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30" tabRatio="500" activeTab="5"/>
  </bookViews>
  <sheets>
    <sheet name="样本到样信息汇总统计" sheetId="1" r:id="rId1"/>
    <sheet name="紧急项目列表" sheetId="2" r:id="rId2"/>
    <sheet name="未进行项目" sheetId="3" r:id="rId3"/>
    <sheet name="进行中项目" sheetId="4" r:id="rId4"/>
    <sheet name="已完成项目" sheetId="5" r:id="rId5"/>
    <sheet name="样本物流寄送统计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<sst xmlns="http://schemas.openxmlformats.org/spreadsheetml/2006/main" count="400" uniqueCount="160">
  <si>
    <t>医院名称</t>
  </si>
  <si>
    <t>客户名称</t>
  </si>
  <si>
    <t>科研经理</t>
  </si>
  <si>
    <r>
      <rPr>
        <b/>
        <sz val="11"/>
        <color rgb="FFFFFFFF"/>
        <rFont val="微软雅黑"/>
        <charset val="134"/>
      </rPr>
      <t>OA</t>
    </r>
    <r>
      <rPr>
        <b/>
        <sz val="11"/>
        <color rgb="FFFFFFFF"/>
        <rFont val="Noto Sans CJK SC"/>
        <charset val="134"/>
      </rPr>
      <t>立项编号</t>
    </r>
  </si>
  <si>
    <t>订单编号</t>
  </si>
  <si>
    <t>样本类型</t>
  </si>
  <si>
    <t>样本性质</t>
  </si>
  <si>
    <t>实收样本量</t>
  </si>
  <si>
    <t>外送测序样本量</t>
  </si>
  <si>
    <t>到样时间</t>
  </si>
  <si>
    <t>优先级</t>
  </si>
  <si>
    <t>具体实验室流程</t>
  </si>
  <si>
    <t>具体操作补充</t>
  </si>
  <si>
    <t>测序安排</t>
  </si>
  <si>
    <t>上机平台</t>
  </si>
  <si>
    <t>上机批次号</t>
  </si>
  <si>
    <t>外送大pool号</t>
  </si>
  <si>
    <t>外送小pool号</t>
  </si>
  <si>
    <t>测序模式</t>
  </si>
  <si>
    <t>测序数据量/例</t>
  </si>
  <si>
    <t>网盘数据位置编号</t>
  </si>
  <si>
    <t>目前进展</t>
  </si>
  <si>
    <t>当前进展的时间点</t>
  </si>
  <si>
    <t>紧急序号</t>
  </si>
  <si>
    <t>未进行序号</t>
  </si>
  <si>
    <t>进行中序号</t>
  </si>
  <si>
    <t>已完成序号</t>
  </si>
  <si>
    <t>物流匹配键</t>
  </si>
  <si>
    <t>物流序号</t>
  </si>
  <si>
    <r>
      <rPr>
        <sz val="10"/>
        <rFont val="微软雅黑"/>
        <charset val="134"/>
      </rPr>
      <t>XX</t>
    </r>
    <r>
      <rPr>
        <sz val="10"/>
        <rFont val="Noto Sans CJK SC"/>
        <charset val="134"/>
      </rPr>
      <t>省人民医院</t>
    </r>
  </si>
  <si>
    <t>张主任课题组</t>
  </si>
  <si>
    <t>陈经理</t>
  </si>
  <si>
    <t>PJ2026-001</t>
  </si>
  <si>
    <t>ORD-2026-0001</t>
  </si>
  <si>
    <t>肿瘤组织</t>
  </si>
  <si>
    <t>核酸</t>
  </si>
  <si>
    <t>2026-05-20</t>
  </si>
  <si>
    <t>紧急</t>
  </si>
  <si>
    <r>
      <rPr>
        <sz val="10"/>
        <rFont val="微软雅黑"/>
        <charset val="134"/>
      </rPr>
      <t>DNA</t>
    </r>
    <r>
      <rPr>
        <sz val="10"/>
        <rFont val="Noto Sans CJK SC"/>
        <charset val="134"/>
      </rPr>
      <t>提取→文库构建→上机测序</t>
    </r>
  </si>
  <si>
    <t>需关注降解情况</t>
  </si>
  <si>
    <t>外送华大</t>
  </si>
  <si>
    <t>G99</t>
  </si>
  <si>
    <t>RUN-2026-001</t>
  </si>
  <si>
    <t>BPOOL-001</t>
  </si>
  <si>
    <t>SPOOL-001</t>
  </si>
  <si>
    <t>PE150</t>
  </si>
  <si>
    <t>6G</t>
  </si>
  <si>
    <t>/data/project_001</t>
  </si>
  <si>
    <t>未提取</t>
  </si>
  <si>
    <t>2026-05-22</t>
  </si>
  <si>
    <r>
      <rPr>
        <sz val="10"/>
        <rFont val="微软雅黑"/>
        <charset val="134"/>
      </rPr>
      <t>XX</t>
    </r>
    <r>
      <rPr>
        <sz val="10"/>
        <rFont val="Noto Sans CJK SC"/>
        <charset val="134"/>
      </rPr>
      <t>市第一医院</t>
    </r>
  </si>
  <si>
    <t>李教授团队</t>
  </si>
  <si>
    <t>PJ2026-002</t>
  </si>
  <si>
    <t>ORD-2026-0002</t>
  </si>
  <si>
    <t>血液</t>
  </si>
  <si>
    <t>原始样本</t>
  </si>
  <si>
    <t>2026-05-21</t>
  </si>
  <si>
    <t>重要</t>
  </si>
  <si>
    <r>
      <rPr>
        <sz val="10"/>
        <rFont val="微软雅黑"/>
        <charset val="134"/>
      </rPr>
      <t>RNA</t>
    </r>
    <r>
      <rPr>
        <sz val="10"/>
        <rFont val="Noto Sans CJK SC"/>
        <charset val="134"/>
      </rPr>
      <t>提取→逆转录→文库构建</t>
    </r>
  </si>
  <si>
    <r>
      <rPr>
        <sz val="10"/>
        <rFont val="微软雅黑"/>
        <charset val="134"/>
      </rPr>
      <t>RNA</t>
    </r>
    <r>
      <rPr>
        <sz val="10"/>
        <rFont val="Noto Sans CJK SC"/>
        <charset val="134"/>
      </rPr>
      <t>完整性较好</t>
    </r>
  </si>
  <si>
    <t>T7</t>
  </si>
  <si>
    <t>RUN-2026-002</t>
  </si>
  <si>
    <t>BPOOL-002</t>
  </si>
  <si>
    <t>SPOOL-002</t>
  </si>
  <si>
    <t>12G</t>
  </si>
  <si>
    <t>/data/project_002</t>
  </si>
  <si>
    <t>提取中</t>
  </si>
  <si>
    <t>2026-05-23</t>
  </si>
  <si>
    <r>
      <rPr>
        <sz val="10"/>
        <rFont val="微软雅黑"/>
        <charset val="134"/>
      </rPr>
      <t>XX</t>
    </r>
    <r>
      <rPr>
        <sz val="10"/>
        <rFont val="Noto Sans CJK SC"/>
        <charset val="134"/>
      </rPr>
      <t>大学附属医院</t>
    </r>
  </si>
  <si>
    <t>王博士实验室</t>
  </si>
  <si>
    <t>林经理</t>
  </si>
  <si>
    <t>PJ2026-003</t>
  </si>
  <si>
    <t>ORD-2026-0003</t>
  </si>
  <si>
    <t>FFPE</t>
  </si>
  <si>
    <t>文库</t>
  </si>
  <si>
    <t>常规</t>
  </si>
  <si>
    <t>质检→文库构建→上机测序</t>
  </si>
  <si>
    <t>切片厚度5μm</t>
  </si>
  <si>
    <t>外送解达</t>
  </si>
  <si>
    <t>illumina</t>
  </si>
  <si>
    <t>RUN-2026-003</t>
  </si>
  <si>
    <t>BPOOL-003</t>
  </si>
  <si>
    <t>SPOOL-003</t>
  </si>
  <si>
    <t>SE50</t>
  </si>
  <si>
    <t>3G</t>
  </si>
  <si>
    <t>/data/project_003</t>
  </si>
  <si>
    <t>文库构建中</t>
  </si>
  <si>
    <t>2026-05-24</t>
  </si>
  <si>
    <r>
      <rPr>
        <sz val="10"/>
        <rFont val="微软雅黑"/>
        <charset val="134"/>
      </rPr>
      <t>XX</t>
    </r>
    <r>
      <rPr>
        <sz val="10"/>
        <rFont val="Noto Sans CJK SC"/>
        <charset val="134"/>
      </rPr>
      <t>肿瘤医院</t>
    </r>
  </si>
  <si>
    <t>赵主任课题组</t>
  </si>
  <si>
    <t>PJ2026-004</t>
  </si>
  <si>
    <t>ORD-2026-0004</t>
  </si>
  <si>
    <t>细胞</t>
  </si>
  <si>
    <r>
      <rPr>
        <sz val="10"/>
        <rFont val="微软雅黑"/>
        <charset val="134"/>
      </rPr>
      <t>DNA</t>
    </r>
    <r>
      <rPr>
        <sz val="10"/>
        <rFont val="Noto Sans CJK SC"/>
        <charset val="134"/>
      </rPr>
      <t>提取→</t>
    </r>
    <r>
      <rPr>
        <sz val="10"/>
        <rFont val="微软雅黑"/>
        <charset val="134"/>
      </rPr>
      <t>PCR</t>
    </r>
    <r>
      <rPr>
        <sz val="10"/>
        <rFont val="Noto Sans CJK SC"/>
        <charset val="134"/>
      </rPr>
      <t>扩增→文库构建</t>
    </r>
  </si>
  <si>
    <t>细胞活性&gt;90%</t>
  </si>
  <si>
    <t>内部上机</t>
  </si>
  <si>
    <t>Vision</t>
  </si>
  <si>
    <t>RUN-2026-004</t>
  </si>
  <si>
    <t>BPOOL-004</t>
  </si>
  <si>
    <t>SPOOL-004</t>
  </si>
  <si>
    <t>/data/project_004</t>
  </si>
  <si>
    <t>文库质检中</t>
  </si>
  <si>
    <r>
      <rPr>
        <sz val="10"/>
        <rFont val="微软雅黑"/>
        <charset val="134"/>
      </rPr>
      <t>XX</t>
    </r>
    <r>
      <rPr>
        <sz val="10"/>
        <rFont val="Noto Sans CJK SC"/>
        <charset val="134"/>
      </rPr>
      <t>儿童医院</t>
    </r>
  </si>
  <si>
    <t>刘教授团队</t>
  </si>
  <si>
    <t>PJ2026-005</t>
  </si>
  <si>
    <t>ORD-2026-0005</t>
  </si>
  <si>
    <t>脑脊液</t>
  </si>
  <si>
    <t>需加急处理</t>
  </si>
  <si>
    <t>T7+</t>
  </si>
  <si>
    <t>RUN-2026-005</t>
  </si>
  <si>
    <t>BPOOL-005</t>
  </si>
  <si>
    <t>SPOOL-005</t>
  </si>
  <si>
    <t>/data/project_005</t>
  </si>
  <si>
    <r>
      <rPr>
        <sz val="10"/>
        <rFont val="微软雅黑"/>
        <charset val="134"/>
      </rPr>
      <t>pooling</t>
    </r>
    <r>
      <rPr>
        <sz val="10"/>
        <rFont val="Noto Sans CJK SC"/>
        <charset val="134"/>
      </rPr>
      <t>排机中</t>
    </r>
  </si>
  <si>
    <t>PJ2026-006</t>
  </si>
  <si>
    <t>ORD-2026-0006</t>
  </si>
  <si>
    <t>PJ2026-007</t>
  </si>
  <si>
    <t>ORD-2026-0007</t>
  </si>
  <si>
    <t>PJ2026-008</t>
  </si>
  <si>
    <t>ORD-2026-0008</t>
  </si>
  <si>
    <t>PJ2026-009</t>
  </si>
  <si>
    <t>ORD-2026-0009</t>
  </si>
  <si>
    <t>PJ2026-010</t>
  </si>
  <si>
    <t>ORD-2026-0010</t>
  </si>
  <si>
    <r>
      <rPr>
        <b/>
        <sz val="10"/>
        <color rgb="FFFFFFFF"/>
        <rFont val="微软雅黑"/>
        <charset val="1"/>
      </rPr>
      <t>OA</t>
    </r>
    <r>
      <rPr>
        <b/>
        <sz val="10"/>
        <color rgb="FFFFFFFF"/>
        <rFont val="Noto Sans CJK SC"/>
        <charset val="134"/>
      </rPr>
      <t>立项编号</t>
    </r>
  </si>
  <si>
    <t>寄送日期</t>
  </si>
  <si>
    <t>寄送单位</t>
  </si>
  <si>
    <t>快递公司</t>
  </si>
  <si>
    <t>快递单号</t>
  </si>
  <si>
    <t>物流安排方</t>
  </si>
  <si>
    <t>运输条件</t>
  </si>
  <si>
    <t>预计到达日期</t>
  </si>
  <si>
    <t>实际到达日期</t>
  </si>
  <si>
    <t>物流状态</t>
  </si>
  <si>
    <t>样本收样状态登记</t>
  </si>
  <si>
    <t>数量登记</t>
  </si>
  <si>
    <t>温度记录</t>
  </si>
  <si>
    <t>异常情况</t>
  </si>
  <si>
    <t>处理措施</t>
  </si>
  <si>
    <t>签收人</t>
  </si>
  <si>
    <t>备注</t>
  </si>
  <si>
    <t>2026-05-18</t>
  </si>
  <si>
    <r>
      <rPr>
        <sz val="10"/>
        <color rgb="FF000000"/>
        <rFont val="微软雅黑"/>
        <charset val="1"/>
      </rPr>
      <t>XX</t>
    </r>
    <r>
      <rPr>
        <sz val="10"/>
        <color rgb="FF000000"/>
        <rFont val="Noto Sans CJK SC"/>
        <charset val="134"/>
      </rPr>
      <t>省人民医院病理科</t>
    </r>
  </si>
  <si>
    <t>生生物流</t>
  </si>
  <si>
    <t>SF1234567890</t>
  </si>
  <si>
    <t>我方下单</t>
  </si>
  <si>
    <r>
      <rPr>
        <sz val="10"/>
        <color rgb="FF000000"/>
        <rFont val="微软雅黑"/>
        <charset val="1"/>
      </rPr>
      <t>-80℃</t>
    </r>
    <r>
      <rPr>
        <sz val="10"/>
        <color rgb="FF000000"/>
        <rFont val="Noto Sans CJK SC"/>
        <charset val="134"/>
      </rPr>
      <t>干冰</t>
    </r>
  </si>
  <si>
    <t>已签收</t>
  </si>
  <si>
    <r>
      <rPr>
        <sz val="10"/>
        <color rgb="FF000000"/>
        <rFont val="微软雅黑"/>
        <charset val="1"/>
      </rPr>
      <t>XX</t>
    </r>
    <r>
      <rPr>
        <sz val="10"/>
        <color rgb="FF000000"/>
        <rFont val="Noto Sans CJK SC"/>
        <charset val="134"/>
      </rPr>
      <t>市第一医院检验科</t>
    </r>
  </si>
  <si>
    <t>顺丰速运</t>
  </si>
  <si>
    <t>SF1234567891</t>
  </si>
  <si>
    <r>
      <rPr>
        <sz val="10"/>
        <color rgb="FF000000"/>
        <rFont val="微软雅黑"/>
        <charset val="1"/>
      </rPr>
      <t>4℃</t>
    </r>
    <r>
      <rPr>
        <sz val="10"/>
        <color rgb="FF000000"/>
        <rFont val="Noto Sans CJK SC"/>
        <charset val="134"/>
      </rPr>
      <t>冰袋</t>
    </r>
  </si>
  <si>
    <r>
      <rPr>
        <sz val="10"/>
        <color rgb="FF000000"/>
        <rFont val="微软雅黑"/>
        <charset val="1"/>
      </rPr>
      <t>XX</t>
    </r>
    <r>
      <rPr>
        <sz val="10"/>
        <color rgb="FF000000"/>
        <rFont val="Noto Sans CJK SC"/>
        <charset val="134"/>
      </rPr>
      <t>大学附属医院中心实验室</t>
    </r>
  </si>
  <si>
    <t>SF1234567892</t>
  </si>
  <si>
    <t>客户自寄</t>
  </si>
  <si>
    <t>常温</t>
  </si>
  <si>
    <r>
      <rPr>
        <sz val="10"/>
        <color rgb="FF000000"/>
        <rFont val="微软雅黑"/>
        <charset val="1"/>
      </rPr>
      <t>XX</t>
    </r>
    <r>
      <rPr>
        <sz val="10"/>
        <color rgb="FF000000"/>
        <rFont val="Noto Sans CJK SC"/>
        <charset val="134"/>
      </rPr>
      <t>肿瘤医院病理科</t>
    </r>
  </si>
  <si>
    <t>SF1234567893</t>
  </si>
  <si>
    <r>
      <rPr>
        <sz val="10"/>
        <color rgb="FF000000"/>
        <rFont val="微软雅黑"/>
        <charset val="1"/>
      </rPr>
      <t>XX</t>
    </r>
    <r>
      <rPr>
        <sz val="10"/>
        <color rgb="FF000000"/>
        <rFont val="Noto Sans CJK SC"/>
        <charset val="134"/>
      </rPr>
      <t>儿童医院检验科</t>
    </r>
  </si>
  <si>
    <t>SF1234567894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</si>
</sst>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rgb="FF000000"/>
      <name val="宋体"/>
      <charset val="134"/>
    </font>
    <font>
      <b/>
      <sz val="10"/>
      <color rgb="FFFFFFFF"/>
      <name val="Noto Sans CJK SC"/>
      <charset val="134"/>
    </font>
    <font>
      <b/>
      <sz val="10"/>
      <color rgb="FFFFFFFF"/>
      <name val="微软雅黑"/>
      <charset val="1"/>
    </font>
    <font>
      <sz val="11"/>
      <name val="Cambria"/>
      <charset val="1"/>
    </font>
    <font>
      <sz val="10"/>
      <color rgb="FF0066CC"/>
      <name val="微软雅黑"/>
      <charset val="1"/>
    </font>
    <font>
      <sz val="10"/>
      <color rgb="FF000000"/>
      <name val="微软雅黑"/>
      <charset val="1"/>
    </font>
    <font>
      <sz val="10"/>
      <color rgb="FF000000"/>
      <name val="Noto Sans CJK SC"/>
      <charset val="134"/>
    </font>
    <font>
      <b/>
      <sz val="10"/>
      <color rgb="FFFFFFFF"/>
      <name val="Noto Sans CJK SC"/>
      <charset val="1"/>
    </font>
    <font>
      <sz val="10"/>
      <color rgb="FF0066CC"/>
      <name val="Noto Sans CJK SC"/>
      <charset val="134"/>
    </font>
    <font>
      <b/>
      <sz val="11"/>
      <color rgb="FFFFFFFF"/>
      <name val="Noto Sans CJK SC"/>
      <charset val="1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0"/>
      <name val="Noto Sans CJK SC"/>
      <charset val="1"/>
    </font>
    <font>
      <sz val="9"/>
      <color rgb="FF808080"/>
      <name val="Cambria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Noto Sans CJK SC"/>
      <charset val="134"/>
    </font>
    <font>
      <sz val="10"/>
      <color rgb="FF000000"/>
      <name val="Noto Sans CJK SC"/>
      <charset val="134"/>
    </font>
    <font>
      <b/>
      <sz val="11"/>
      <color rgb="FFFFFFFF"/>
      <name val="Noto Sans CJK SC"/>
      <charset val="134"/>
    </font>
    <font>
      <b/>
      <sz val="10"/>
      <color rgb="FFFFFFFF"/>
      <name val="Noto Sans CJK SC"/>
      <charset val="134"/>
    </font>
  </fonts>
  <fills count="36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5F5F5"/>
        <bgColor rgb="FFFFFFFF"/>
      </patternFill>
    </fill>
    <fill>
      <patternFill patternType="solid">
        <fgColor rgb="FF366092"/>
        <bgColor rgb="FF3333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E0E0E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Border="0" applyAlignment="0" applyProtection="0"/>
    <xf numFmtId="44" fontId="14" fillId="0" borderId="0" applyBorder="0" applyAlignment="0" applyProtection="0"/>
    <xf numFmtId="9" fontId="14" fillId="0" borderId="0" applyBorder="0" applyAlignment="0" applyProtection="0"/>
    <xf numFmtId="41" fontId="14" fillId="0" borderId="0" applyBorder="0" applyAlignment="0" applyProtection="0"/>
    <xf numFmtId="42" fontId="14" fillId="0" borderId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6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6" fillId="7" borderId="6" applyNumberFormat="0" applyAlignment="0" applyProtection="0">
      <alignment vertical="center"/>
    </xf>
    <xf numFmtId="0" fontId="27" fillId="8" borderId="8" applyNumberFormat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3" fillId="0" borderId="0" xfId="0" applyFont="1"/>
    <xf numFmtId="0" fontId="7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ont>
        <name val="微软雅黑"/>
        <scheme val="none"/>
        <charset val="1"/>
        <family val="0"/>
        <b val="1"/>
        <sz val="10"/>
        <color rgb="FFFFFFFF"/>
      </font>
      <fill>
        <patternFill patternType="solid">
          <bgColor rgb="FFFF6B6B"/>
        </patternFill>
      </fill>
    </dxf>
    <dxf>
      <font>
        <name val="微软雅黑"/>
        <scheme val="none"/>
        <charset val="1"/>
        <family val="0"/>
        <b val="1"/>
        <sz val="10"/>
        <color rgb="FFFFFFFF"/>
      </font>
      <fill>
        <patternFill patternType="solid">
          <bgColor rgb="FFFFA500"/>
        </patternFill>
      </fill>
    </dxf>
    <dxf>
      <font>
        <name val="微软雅黑"/>
        <scheme val="none"/>
        <charset val="1"/>
        <family val="0"/>
        <b val="1"/>
        <sz val="10"/>
        <color rgb="FFFFFFFF"/>
      </font>
      <fill>
        <patternFill patternType="solid">
          <bgColor rgb="FF52C41A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5F5F5"/>
      <rgbColor rgb="00CCFFFF"/>
      <rgbColor rgb="00660066"/>
      <rgbColor rgb="00FF6B6B"/>
      <rgbColor rgb="000066CC"/>
      <rgbColor rgb="00E0E0E0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52C41A"/>
      <rgbColor rgb="00FFCC00"/>
      <rgbColor rgb="00FFA500"/>
      <rgbColor rgb="00FF6600"/>
      <rgbColor rgb="00366092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00"/>
  <sheetViews>
    <sheetView showGridLines="0" workbookViewId="0">
      <pane ySplit="1" topLeftCell="A2" activePane="bottomLeft" state="frozen"/>
      <selection/>
      <selection pane="bottomLeft" activeCell="E6" sqref="E6:E11"/>
    </sheetView>
  </sheetViews>
  <sheetFormatPr defaultColWidth="9" defaultRowHeight="14"/>
  <cols>
    <col min="1" max="1" width="18" customWidth="1"/>
    <col min="2" max="2" width="16" customWidth="1"/>
    <col min="3" max="3" width="12" customWidth="1"/>
    <col min="4" max="5" width="14" customWidth="1"/>
    <col min="6" max="6" width="12" customWidth="1"/>
    <col min="7" max="7" width="16" customWidth="1"/>
    <col min="8" max="8" width="14" customWidth="1"/>
    <col min="9" max="9" width="16" customWidth="1"/>
    <col min="10" max="11" width="12" customWidth="1"/>
    <col min="12" max="12" width="28" customWidth="1"/>
    <col min="13" max="13" width="20" customWidth="1"/>
    <col min="14" max="14" width="14" customWidth="1"/>
    <col min="15" max="15" width="12" customWidth="1"/>
    <col min="16" max="18" width="14" customWidth="1"/>
    <col min="19" max="19" width="12" customWidth="1"/>
    <col min="20" max="20" width="14" customWidth="1"/>
    <col min="21" max="21" width="22" customWidth="1"/>
    <col min="22" max="22" width="14" customWidth="1"/>
    <col min="23" max="23" width="18" customWidth="1"/>
    <col min="24" max="27" width="12" hidden="1" customWidth="1"/>
    <col min="28" max="28" width="30" hidden="1" customWidth="1"/>
    <col min="29" max="29" width="12" hidden="1" customWidth="1"/>
  </cols>
  <sheetData>
    <row r="1" ht="16.5" customHeight="1" spans="1:29">
      <c r="A1" s="16" t="s">
        <v>0</v>
      </c>
      <c r="B1" s="16" t="s">
        <v>1</v>
      </c>
      <c r="C1" s="16" t="s">
        <v>2</v>
      </c>
      <c r="D1" s="17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" t="s">
        <v>28</v>
      </c>
    </row>
    <row r="2" ht="30" customHeight="1" spans="1:29">
      <c r="A2" s="19" t="s">
        <v>29</v>
      </c>
      <c r="B2" s="20" t="s">
        <v>30</v>
      </c>
      <c r="C2" s="20" t="s">
        <v>31</v>
      </c>
      <c r="D2" s="19" t="s">
        <v>32</v>
      </c>
      <c r="E2" s="19" t="s">
        <v>33</v>
      </c>
      <c r="F2" s="20" t="s">
        <v>34</v>
      </c>
      <c r="G2" s="20" t="s">
        <v>35</v>
      </c>
      <c r="H2" s="19">
        <v>50</v>
      </c>
      <c r="I2" s="19">
        <v>48</v>
      </c>
      <c r="J2" s="19" t="s">
        <v>36</v>
      </c>
      <c r="K2" s="20" t="s">
        <v>37</v>
      </c>
      <c r="L2" s="19" t="s">
        <v>38</v>
      </c>
      <c r="M2" s="20" t="s">
        <v>39</v>
      </c>
      <c r="N2" s="20" t="s">
        <v>40</v>
      </c>
      <c r="O2" s="19" t="s">
        <v>41</v>
      </c>
      <c r="P2" s="19" t="s">
        <v>42</v>
      </c>
      <c r="Q2" s="19" t="s">
        <v>43</v>
      </c>
      <c r="R2" s="19" t="s">
        <v>44</v>
      </c>
      <c r="S2" s="19" t="s">
        <v>45</v>
      </c>
      <c r="T2" s="19" t="s">
        <v>46</v>
      </c>
      <c r="U2" s="19" t="s">
        <v>47</v>
      </c>
      <c r="V2" s="20" t="s">
        <v>48</v>
      </c>
      <c r="W2" s="19" t="s">
        <v>49</v>
      </c>
      <c r="X2" s="21">
        <f>IF(K2="紧急",COUNTIF($K$2:K2,"紧急"),"")</f>
        <v>1</v>
      </c>
      <c r="Y2" s="21">
        <f>IF(V2="未提取",COUNTIF($V$2:V2,"未提取"),"")</f>
        <v>1</v>
      </c>
      <c r="Z2" s="21" t="str">
        <f>IF(OR(V2="提取中",V2="文库构建中",V2="文库质检中",V2="pooling排机中",V2="上机测序中"),SUMPRODUCT((($V$2:V2="提取中")+($V$2:V2="文库构建中")+($V$2:V2="文库质检中")+($V$2:V2="pooling排机中")+($V$2:V2="上机测序中"))*1),"")</f>
        <v/>
      </c>
      <c r="AA2" s="21" t="str">
        <f>IF(V2="测序完成",COUNTIF($V$2:V2,"测序完成"),"")</f>
        <v/>
      </c>
      <c r="AB2" s="21" t="str">
        <f>E2&amp;COUNTIFS($E$2:E2,E2)</f>
        <v>ORD-2026-00011</v>
      </c>
      <c r="AC2" s="21">
        <f t="shared" ref="AC2:AC65" si="0">IF(A2&lt;&gt;"",ROW()-1,"")</f>
        <v>1</v>
      </c>
    </row>
    <row r="3" ht="30" customHeight="1" spans="1:29">
      <c r="A3" s="19" t="s">
        <v>50</v>
      </c>
      <c r="B3" s="20" t="s">
        <v>51</v>
      </c>
      <c r="C3" s="20" t="s">
        <v>31</v>
      </c>
      <c r="D3" s="19" t="s">
        <v>52</v>
      </c>
      <c r="E3" s="19" t="s">
        <v>53</v>
      </c>
      <c r="F3" s="20" t="s">
        <v>54</v>
      </c>
      <c r="G3" s="20" t="s">
        <v>55</v>
      </c>
      <c r="H3" s="19">
        <v>200</v>
      </c>
      <c r="I3" s="19">
        <v>200</v>
      </c>
      <c r="J3" s="19" t="s">
        <v>56</v>
      </c>
      <c r="K3" s="20" t="s">
        <v>57</v>
      </c>
      <c r="L3" s="19" t="s">
        <v>58</v>
      </c>
      <c r="M3" s="19" t="s">
        <v>59</v>
      </c>
      <c r="N3" s="20" t="s">
        <v>40</v>
      </c>
      <c r="O3" s="19" t="s">
        <v>60</v>
      </c>
      <c r="P3" s="19" t="s">
        <v>61</v>
      </c>
      <c r="Q3" s="19" t="s">
        <v>62</v>
      </c>
      <c r="R3" s="19" t="s">
        <v>63</v>
      </c>
      <c r="S3" s="19" t="s">
        <v>45</v>
      </c>
      <c r="T3" s="19" t="s">
        <v>64</v>
      </c>
      <c r="U3" s="19" t="s">
        <v>65</v>
      </c>
      <c r="V3" s="20" t="s">
        <v>66</v>
      </c>
      <c r="W3" s="19" t="s">
        <v>67</v>
      </c>
      <c r="X3" s="21" t="str">
        <f>IF(K3="紧急",COUNTIF($K$2:K3,"紧急"),"")</f>
        <v/>
      </c>
      <c r="Y3" s="21" t="str">
        <f>IF(V3="未提取",COUNTIF($V$2:V3,"未提取"),"")</f>
        <v/>
      </c>
      <c r="Z3" s="21">
        <f>IF(OR(V3="提取中",V3="文库构建中",V3="文库质检中",V3="pooling排机中",V3="上机测序中"),SUMPRODUCT((($V$2:V3="提取中")+($V$2:V3="文库构建中")+($V$2:V3="文库质检中")+($V$2:V3="pooling排机中")+($V$2:V3="上机测序中"))*1),"")</f>
        <v>1</v>
      </c>
      <c r="AA3" s="21" t="str">
        <f>IF(V3="测序完成",COUNTIF($V$2:V3,"测序完成"),"")</f>
        <v/>
      </c>
      <c r="AB3" s="21" t="str">
        <f>E3&amp;COUNTIFS($E$2:E3,E3)</f>
        <v>ORD-2026-00021</v>
      </c>
      <c r="AC3" s="21">
        <f t="shared" si="0"/>
        <v>2</v>
      </c>
    </row>
    <row r="4" ht="30" customHeight="1" spans="1:29">
      <c r="A4" s="19" t="s">
        <v>68</v>
      </c>
      <c r="B4" s="20" t="s">
        <v>69</v>
      </c>
      <c r="C4" s="20" t="s">
        <v>70</v>
      </c>
      <c r="D4" s="19" t="s">
        <v>71</v>
      </c>
      <c r="E4" s="19" t="s">
        <v>72</v>
      </c>
      <c r="F4" s="19" t="s">
        <v>73</v>
      </c>
      <c r="G4" s="20" t="s">
        <v>74</v>
      </c>
      <c r="H4" s="19">
        <v>30</v>
      </c>
      <c r="I4" s="19">
        <v>30</v>
      </c>
      <c r="J4" s="19" t="s">
        <v>49</v>
      </c>
      <c r="K4" s="20" t="s">
        <v>75</v>
      </c>
      <c r="L4" s="20" t="s">
        <v>76</v>
      </c>
      <c r="M4" s="20" t="s">
        <v>77</v>
      </c>
      <c r="N4" s="20" t="s">
        <v>78</v>
      </c>
      <c r="O4" s="19" t="s">
        <v>79</v>
      </c>
      <c r="P4" s="19" t="s">
        <v>80</v>
      </c>
      <c r="Q4" s="19" t="s">
        <v>81</v>
      </c>
      <c r="R4" s="19" t="s">
        <v>82</v>
      </c>
      <c r="S4" s="19" t="s">
        <v>83</v>
      </c>
      <c r="T4" s="19" t="s">
        <v>84</v>
      </c>
      <c r="U4" s="19" t="s">
        <v>85</v>
      </c>
      <c r="V4" s="20" t="s">
        <v>86</v>
      </c>
      <c r="W4" s="19" t="s">
        <v>87</v>
      </c>
      <c r="X4" s="21" t="str">
        <f>IF(K4="紧急",COUNTIF($K$2:K4,"紧急"),"")</f>
        <v/>
      </c>
      <c r="Y4" s="21" t="str">
        <f>IF(V4="未提取",COUNTIF($V$2:V4,"未提取"),"")</f>
        <v/>
      </c>
      <c r="Z4" s="21">
        <f>IF(OR(V4="提取中",V4="文库构建中",V4="文库质检中",V4="pooling排机中",V4="上机测序中"),SUMPRODUCT((($V$2:V4="提取中")+($V$2:V4="文库构建中")+($V$2:V4="文库质检中")+($V$2:V4="pooling排机中")+($V$2:V4="上机测序中"))*1),"")</f>
        <v>2</v>
      </c>
      <c r="AA4" s="21" t="str">
        <f>IF(V4="测序完成",COUNTIF($V$2:V4,"测序完成"),"")</f>
        <v/>
      </c>
      <c r="AB4" s="21" t="str">
        <f>E4&amp;COUNTIFS($E$2:E4,E4)</f>
        <v>ORD-2026-00031</v>
      </c>
      <c r="AC4" s="21">
        <f t="shared" si="0"/>
        <v>3</v>
      </c>
    </row>
    <row r="5" ht="30" customHeight="1" spans="1:29">
      <c r="A5" s="19" t="s">
        <v>88</v>
      </c>
      <c r="B5" s="20" t="s">
        <v>89</v>
      </c>
      <c r="C5" s="20" t="s">
        <v>70</v>
      </c>
      <c r="D5" s="19" t="s">
        <v>90</v>
      </c>
      <c r="E5" s="19" t="s">
        <v>91</v>
      </c>
      <c r="F5" s="20" t="s">
        <v>92</v>
      </c>
      <c r="G5" s="20" t="s">
        <v>35</v>
      </c>
      <c r="H5" s="19">
        <v>15</v>
      </c>
      <c r="I5" s="19">
        <v>15</v>
      </c>
      <c r="J5" s="19" t="s">
        <v>67</v>
      </c>
      <c r="K5" s="20" t="s">
        <v>37</v>
      </c>
      <c r="L5" s="19" t="s">
        <v>93</v>
      </c>
      <c r="M5" s="20" t="s">
        <v>94</v>
      </c>
      <c r="N5" s="20" t="s">
        <v>95</v>
      </c>
      <c r="O5" s="19" t="s">
        <v>96</v>
      </c>
      <c r="P5" s="19" t="s">
        <v>97</v>
      </c>
      <c r="Q5" s="19" t="s">
        <v>98</v>
      </c>
      <c r="R5" s="19" t="s">
        <v>99</v>
      </c>
      <c r="S5" s="19" t="s">
        <v>45</v>
      </c>
      <c r="T5" s="19" t="s">
        <v>46</v>
      </c>
      <c r="U5" s="19" t="s">
        <v>100</v>
      </c>
      <c r="V5" s="20" t="s">
        <v>101</v>
      </c>
      <c r="W5" s="19" t="s">
        <v>87</v>
      </c>
      <c r="X5" s="21">
        <f>IF(K5="紧急",COUNTIF($K$2:K5,"紧急"),"")</f>
        <v>2</v>
      </c>
      <c r="Y5" s="21" t="str">
        <f>IF(V5="未提取",COUNTIF($V$2:V5,"未提取"),"")</f>
        <v/>
      </c>
      <c r="Z5" s="21">
        <f>IF(OR(V5="提取中",V5="文库构建中",V5="文库质检中",V5="pooling排机中",V5="上机测序中"),SUMPRODUCT((($V$2:V5="提取中")+($V$2:V5="文库构建中")+($V$2:V5="文库质检中")+($V$2:V5="pooling排机中")+($V$2:V5="上机测序中"))*1),"")</f>
        <v>3</v>
      </c>
      <c r="AA5" s="21" t="str">
        <f>IF(V5="测序完成",COUNTIF($V$2:V5,"测序完成"),"")</f>
        <v/>
      </c>
      <c r="AB5" s="21" t="str">
        <f>E5&amp;COUNTIFS($E$2:E5,E5)</f>
        <v>ORD-2026-00041</v>
      </c>
      <c r="AC5" s="21">
        <f t="shared" si="0"/>
        <v>4</v>
      </c>
    </row>
    <row r="6" ht="30" customHeight="1" spans="1:29">
      <c r="A6" s="19" t="s">
        <v>102</v>
      </c>
      <c r="B6" s="20" t="s">
        <v>103</v>
      </c>
      <c r="C6" s="20" t="s">
        <v>31</v>
      </c>
      <c r="D6" s="19" t="s">
        <v>104</v>
      </c>
      <c r="E6" s="19" t="s">
        <v>105</v>
      </c>
      <c r="F6" s="20" t="s">
        <v>106</v>
      </c>
      <c r="G6" s="20" t="s">
        <v>55</v>
      </c>
      <c r="H6" s="19">
        <v>100</v>
      </c>
      <c r="I6" s="19">
        <v>100</v>
      </c>
      <c r="J6" s="19" t="s">
        <v>87</v>
      </c>
      <c r="K6" s="20" t="s">
        <v>57</v>
      </c>
      <c r="L6" s="19" t="s">
        <v>38</v>
      </c>
      <c r="M6" s="20" t="s">
        <v>107</v>
      </c>
      <c r="N6" s="20" t="s">
        <v>40</v>
      </c>
      <c r="O6" s="19" t="s">
        <v>108</v>
      </c>
      <c r="P6" s="19" t="s">
        <v>109</v>
      </c>
      <c r="Q6" s="19" t="s">
        <v>110</v>
      </c>
      <c r="R6" s="19" t="s">
        <v>111</v>
      </c>
      <c r="S6" s="19" t="s">
        <v>45</v>
      </c>
      <c r="T6" s="19" t="s">
        <v>46</v>
      </c>
      <c r="U6" s="19" t="s">
        <v>112</v>
      </c>
      <c r="V6" s="19" t="s">
        <v>113</v>
      </c>
      <c r="W6" s="19" t="s">
        <v>67</v>
      </c>
      <c r="X6" s="21" t="str">
        <f>IF(K6="紧急",COUNTIF($K$2:K6,"紧急"),"")</f>
        <v/>
      </c>
      <c r="Y6" s="21" t="str">
        <f>IF(V6="未提取",COUNTIF($V$2:V6,"未提取"),"")</f>
        <v/>
      </c>
      <c r="Z6" s="21">
        <f>IF(OR(V6="提取中",V6="文库构建中",V6="文库质检中",V6="pooling排机中",V6="上机测序中"),SUMPRODUCT((($V$2:V6="提取中")+($V$2:V6="文库构建中")+($V$2:V6="文库质检中")+($V$2:V6="pooling排机中")+($V$2:V6="上机测序中"))*1),"")</f>
        <v>4</v>
      </c>
      <c r="AA6" s="21" t="str">
        <f>IF(V6="测序完成",COUNTIF($V$2:V6,"测序完成"),"")</f>
        <v/>
      </c>
      <c r="AB6" s="21" t="str">
        <f>E6&amp;COUNTIFS($E$2:E6,E6)</f>
        <v>ORD-2026-00051</v>
      </c>
      <c r="AC6" s="21">
        <f t="shared" si="0"/>
        <v>5</v>
      </c>
    </row>
    <row r="7" ht="30" customHeight="1" spans="1:29">
      <c r="A7" s="19" t="s">
        <v>102</v>
      </c>
      <c r="B7" s="20" t="s">
        <v>103</v>
      </c>
      <c r="C7" s="20" t="s">
        <v>31</v>
      </c>
      <c r="D7" s="19" t="s">
        <v>114</v>
      </c>
      <c r="E7" s="19" t="s">
        <v>115</v>
      </c>
      <c r="F7" s="20" t="s">
        <v>106</v>
      </c>
      <c r="G7" s="20" t="s">
        <v>55</v>
      </c>
      <c r="H7" s="19">
        <v>100</v>
      </c>
      <c r="I7" s="19">
        <v>100</v>
      </c>
      <c r="J7" s="19" t="s">
        <v>87</v>
      </c>
      <c r="K7" s="20" t="s">
        <v>37</v>
      </c>
      <c r="L7" s="19" t="s">
        <v>38</v>
      </c>
      <c r="M7" s="20" t="s">
        <v>107</v>
      </c>
      <c r="N7" s="20" t="s">
        <v>40</v>
      </c>
      <c r="O7" s="19" t="s">
        <v>108</v>
      </c>
      <c r="P7" s="19" t="s">
        <v>109</v>
      </c>
      <c r="Q7" s="19" t="s">
        <v>110</v>
      </c>
      <c r="R7" s="19" t="s">
        <v>111</v>
      </c>
      <c r="S7" s="19" t="s">
        <v>45</v>
      </c>
      <c r="T7" s="19" t="s">
        <v>46</v>
      </c>
      <c r="U7" s="19" t="s">
        <v>112</v>
      </c>
      <c r="V7" s="19" t="s">
        <v>113</v>
      </c>
      <c r="W7" s="19" t="s">
        <v>67</v>
      </c>
      <c r="X7" s="21">
        <f>IF(K7="紧急",COUNTIF($K$2:K7,"紧急"),"")</f>
        <v>3</v>
      </c>
      <c r="Y7" s="21" t="str">
        <f>IF(V7="未提取",COUNTIF($V$2:V7,"未提取"),"")</f>
        <v/>
      </c>
      <c r="Z7" s="21">
        <f>IF(OR(V7="提取中",V7="文库构建中",V7="文库质检中",V7="pooling排机中",V7="上机测序中"),SUMPRODUCT((($V$2:V7="提取中")+($V$2:V7="文库构建中")+($V$2:V7="文库质检中")+($V$2:V7="pooling排机中")+($V$2:V7="上机测序中"))*1),"")</f>
        <v>5</v>
      </c>
      <c r="AA7" s="21" t="str">
        <f>IF(V7="测序完成",COUNTIF($V$2:V7,"测序完成"),"")</f>
        <v/>
      </c>
      <c r="AB7" s="21" t="str">
        <f>E7&amp;COUNTIFS($E$2:E7,E7)</f>
        <v>ORD-2026-00061</v>
      </c>
      <c r="AC7" s="21">
        <f t="shared" si="0"/>
        <v>6</v>
      </c>
    </row>
    <row r="8" ht="30" customHeight="1" spans="1:29">
      <c r="A8" s="19" t="s">
        <v>102</v>
      </c>
      <c r="B8" s="20" t="s">
        <v>103</v>
      </c>
      <c r="C8" s="20" t="s">
        <v>31</v>
      </c>
      <c r="D8" s="19" t="s">
        <v>116</v>
      </c>
      <c r="E8" s="19" t="s">
        <v>117</v>
      </c>
      <c r="F8" s="20" t="s">
        <v>106</v>
      </c>
      <c r="G8" s="20" t="s">
        <v>55</v>
      </c>
      <c r="H8" s="19">
        <v>100</v>
      </c>
      <c r="I8" s="19">
        <v>100</v>
      </c>
      <c r="J8" s="19" t="s">
        <v>87</v>
      </c>
      <c r="K8" s="20" t="s">
        <v>37</v>
      </c>
      <c r="L8" s="19" t="s">
        <v>38</v>
      </c>
      <c r="M8" s="20" t="s">
        <v>107</v>
      </c>
      <c r="N8" s="20" t="s">
        <v>40</v>
      </c>
      <c r="O8" s="19" t="s">
        <v>108</v>
      </c>
      <c r="P8" s="19" t="s">
        <v>109</v>
      </c>
      <c r="Q8" s="19" t="s">
        <v>110</v>
      </c>
      <c r="R8" s="19" t="s">
        <v>111</v>
      </c>
      <c r="S8" s="19" t="s">
        <v>45</v>
      </c>
      <c r="T8" s="19" t="s">
        <v>46</v>
      </c>
      <c r="U8" s="19" t="s">
        <v>112</v>
      </c>
      <c r="V8" s="19" t="s">
        <v>113</v>
      </c>
      <c r="W8" s="19" t="s">
        <v>67</v>
      </c>
      <c r="X8" s="21">
        <f>IF(K8="紧急",COUNTIF($K$2:K8,"紧急"),"")</f>
        <v>4</v>
      </c>
      <c r="Y8" s="21" t="str">
        <f>IF(V8="未提取",COUNTIF($V$2:V8,"未提取"),"")</f>
        <v/>
      </c>
      <c r="Z8" s="21">
        <f>IF(OR(V8="提取中",V8="文库构建中",V8="文库质检中",V8="pooling排机中",V8="上机测序中"),SUMPRODUCT((($V$2:V8="提取中")+($V$2:V8="文库构建中")+($V$2:V8="文库质检中")+($V$2:V8="pooling排机中")+($V$2:V8="上机测序中"))*1),"")</f>
        <v>6</v>
      </c>
      <c r="AA8" s="21" t="str">
        <f>IF(V8="测序完成",COUNTIF($V$2:V8,"测序完成"),"")</f>
        <v/>
      </c>
      <c r="AB8" s="21" t="str">
        <f>E8&amp;COUNTIFS($E$2:E8,E8)</f>
        <v>ORD-2026-00071</v>
      </c>
      <c r="AC8" s="21">
        <f t="shared" si="0"/>
        <v>7</v>
      </c>
    </row>
    <row r="9" ht="30" customHeight="1" spans="1:29">
      <c r="A9" s="19" t="s">
        <v>102</v>
      </c>
      <c r="B9" s="20" t="s">
        <v>103</v>
      </c>
      <c r="C9" s="20" t="s">
        <v>31</v>
      </c>
      <c r="D9" s="19" t="s">
        <v>118</v>
      </c>
      <c r="E9" s="19" t="s">
        <v>119</v>
      </c>
      <c r="F9" s="20" t="s">
        <v>106</v>
      </c>
      <c r="G9" s="20" t="s">
        <v>55</v>
      </c>
      <c r="H9" s="19">
        <v>100</v>
      </c>
      <c r="I9" s="19">
        <v>100</v>
      </c>
      <c r="J9" s="19" t="s">
        <v>87</v>
      </c>
      <c r="K9" s="20" t="s">
        <v>57</v>
      </c>
      <c r="L9" s="19" t="s">
        <v>38</v>
      </c>
      <c r="M9" s="20" t="s">
        <v>107</v>
      </c>
      <c r="N9" s="20" t="s">
        <v>40</v>
      </c>
      <c r="O9" s="19" t="s">
        <v>108</v>
      </c>
      <c r="P9" s="19" t="s">
        <v>109</v>
      </c>
      <c r="Q9" s="19" t="s">
        <v>110</v>
      </c>
      <c r="R9" s="19" t="s">
        <v>111</v>
      </c>
      <c r="S9" s="19" t="s">
        <v>45</v>
      </c>
      <c r="T9" s="19" t="s">
        <v>46</v>
      </c>
      <c r="U9" s="19" t="s">
        <v>112</v>
      </c>
      <c r="V9" s="19" t="s">
        <v>113</v>
      </c>
      <c r="W9" s="19" t="s">
        <v>67</v>
      </c>
      <c r="X9" s="21" t="str">
        <f>IF(K9="紧急",COUNTIF($K$2:K9,"紧急"),"")</f>
        <v/>
      </c>
      <c r="Y9" s="21" t="str">
        <f>IF(V9="未提取",COUNTIF($V$2:V9,"未提取"),"")</f>
        <v/>
      </c>
      <c r="Z9" s="21">
        <f>IF(OR(V9="提取中",V9="文库构建中",V9="文库质检中",V9="pooling排机中",V9="上机测序中"),SUMPRODUCT((($V$2:V9="提取中")+($V$2:V9="文库构建中")+($V$2:V9="文库质检中")+($V$2:V9="pooling排机中")+($V$2:V9="上机测序中"))*1),"")</f>
        <v>7</v>
      </c>
      <c r="AA9" s="21" t="str">
        <f>IF(V9="测序完成",COUNTIF($V$2:V9,"测序完成"),"")</f>
        <v/>
      </c>
      <c r="AB9" s="21" t="str">
        <f>E9&amp;COUNTIFS($E$2:E9,E9)</f>
        <v>ORD-2026-00081</v>
      </c>
      <c r="AC9" s="21">
        <f t="shared" si="0"/>
        <v>8</v>
      </c>
    </row>
    <row r="10" ht="30" customHeight="1" spans="1:29">
      <c r="A10" s="19" t="s">
        <v>102</v>
      </c>
      <c r="B10" s="20" t="s">
        <v>103</v>
      </c>
      <c r="C10" s="20" t="s">
        <v>31</v>
      </c>
      <c r="D10" s="19" t="s">
        <v>120</v>
      </c>
      <c r="E10" s="19" t="s">
        <v>121</v>
      </c>
      <c r="F10" s="20" t="s">
        <v>106</v>
      </c>
      <c r="G10" s="20" t="s">
        <v>55</v>
      </c>
      <c r="H10" s="19">
        <v>100</v>
      </c>
      <c r="I10" s="19">
        <v>100</v>
      </c>
      <c r="J10" s="19" t="s">
        <v>87</v>
      </c>
      <c r="K10" s="20" t="s">
        <v>37</v>
      </c>
      <c r="L10" s="19" t="s">
        <v>38</v>
      </c>
      <c r="M10" s="20" t="s">
        <v>107</v>
      </c>
      <c r="N10" s="20" t="s">
        <v>40</v>
      </c>
      <c r="O10" s="19" t="s">
        <v>108</v>
      </c>
      <c r="P10" s="19" t="s">
        <v>109</v>
      </c>
      <c r="Q10" s="19" t="s">
        <v>110</v>
      </c>
      <c r="R10" s="19" t="s">
        <v>111</v>
      </c>
      <c r="S10" s="19" t="s">
        <v>45</v>
      </c>
      <c r="T10" s="19" t="s">
        <v>46</v>
      </c>
      <c r="U10" s="19" t="s">
        <v>112</v>
      </c>
      <c r="V10" s="19" t="s">
        <v>113</v>
      </c>
      <c r="W10" s="19" t="s">
        <v>67</v>
      </c>
      <c r="X10" s="21">
        <f>IF(K10="紧急",COUNTIF($K$2:K10,"紧急"),"")</f>
        <v>5</v>
      </c>
      <c r="Y10" s="21" t="str">
        <f>IF(V10="未提取",COUNTIF($V$2:V10,"未提取"),"")</f>
        <v/>
      </c>
      <c r="Z10" s="21">
        <f>IF(OR(V10="提取中",V10="文库构建中",V10="文库质检中",V10="pooling排机中",V10="上机测序中"),SUMPRODUCT((($V$2:V10="提取中")+($V$2:V10="文库构建中")+($V$2:V10="文库质检中")+($V$2:V10="pooling排机中")+($V$2:V10="上机测序中"))*1),"")</f>
        <v>8</v>
      </c>
      <c r="AA10" s="21" t="str">
        <f>IF(V10="测序完成",COUNTIF($V$2:V10,"测序完成"),"")</f>
        <v/>
      </c>
      <c r="AB10" s="21" t="str">
        <f>E10&amp;COUNTIFS($E$2:E10,E10)</f>
        <v>ORD-2026-00091</v>
      </c>
      <c r="AC10" s="21">
        <f t="shared" si="0"/>
        <v>9</v>
      </c>
    </row>
    <row r="11" ht="30" customHeight="1" spans="1:29">
      <c r="A11" s="19" t="s">
        <v>102</v>
      </c>
      <c r="B11" s="20" t="s">
        <v>103</v>
      </c>
      <c r="C11" s="20" t="s">
        <v>31</v>
      </c>
      <c r="D11" s="19" t="s">
        <v>122</v>
      </c>
      <c r="E11" s="19" t="s">
        <v>123</v>
      </c>
      <c r="F11" s="20" t="s">
        <v>106</v>
      </c>
      <c r="G11" s="20" t="s">
        <v>55</v>
      </c>
      <c r="H11" s="19">
        <v>100</v>
      </c>
      <c r="I11" s="19">
        <v>100</v>
      </c>
      <c r="J11" s="19" t="s">
        <v>87</v>
      </c>
      <c r="K11" s="20" t="s">
        <v>37</v>
      </c>
      <c r="L11" s="19" t="s">
        <v>38</v>
      </c>
      <c r="M11" s="20" t="s">
        <v>107</v>
      </c>
      <c r="N11" s="20" t="s">
        <v>40</v>
      </c>
      <c r="O11" s="19" t="s">
        <v>108</v>
      </c>
      <c r="P11" s="19" t="s">
        <v>109</v>
      </c>
      <c r="Q11" s="19" t="s">
        <v>110</v>
      </c>
      <c r="R11" s="19" t="s">
        <v>111</v>
      </c>
      <c r="S11" s="19" t="s">
        <v>45</v>
      </c>
      <c r="T11" s="19" t="s">
        <v>46</v>
      </c>
      <c r="U11" s="19" t="s">
        <v>112</v>
      </c>
      <c r="V11" s="19" t="s">
        <v>113</v>
      </c>
      <c r="W11" s="19" t="s">
        <v>67</v>
      </c>
      <c r="X11" s="21">
        <f>IF(K11="紧急",COUNTIF($K$2:K11,"紧急"),"")</f>
        <v>6</v>
      </c>
      <c r="Y11" s="21" t="str">
        <f>IF(V11="未提取",COUNTIF($V$2:V11,"未提取"),"")</f>
        <v/>
      </c>
      <c r="Z11" s="21">
        <f>IF(OR(V11="提取中",V11="文库构建中",V11="文库质检中",V11="pooling排机中",V11="上机测序中"),SUMPRODUCT((($V$2:V11="提取中")+($V$2:V11="文库构建中")+($V$2:V11="文库质检中")+($V$2:V11="pooling排机中")+($V$2:V11="上机测序中"))*1),"")</f>
        <v>9</v>
      </c>
      <c r="AA11" s="21" t="str">
        <f>IF(V11="测序完成",COUNTIF($V$2:V11,"测序完成"),"")</f>
        <v/>
      </c>
      <c r="AB11" s="21" t="str">
        <f>E11&amp;COUNTIFS($E$2:E11,E11)</f>
        <v>ORD-2026-00101</v>
      </c>
      <c r="AC11" s="21">
        <f t="shared" si="0"/>
        <v>10</v>
      </c>
    </row>
    <row r="12" ht="13.5" customHeight="1" spans="1:29">
      <c r="X12" s="21" t="str">
        <f>IF(K12="紧急",COUNTIF($K$2:K12,"紧急"),"")</f>
        <v/>
      </c>
      <c r="Y12" s="21" t="str">
        <f>IF(V12="未提取",COUNTIF($V$2:V12,"未提取"),"")</f>
        <v/>
      </c>
      <c r="Z12" s="21" t="str">
        <f>IF(OR(V12="提取中",V12="文库构建中",V12="文库质检中",V12="pooling排机中",V12="上机测序中"),SUMPRODUCT((($V$2:V12="提取中")+($V$2:V12="文库构建中")+($V$2:V12="文库质检中")+($V$2:V12="pooling排机中")+($V$2:V12="上机测序中"))*1),"")</f>
        <v/>
      </c>
      <c r="AA12" s="21" t="str">
        <f>IF(V12="测序完成",COUNTIF($V$2:V12,"测序完成"),"")</f>
        <v/>
      </c>
      <c r="AB12" s="21" t="str">
        <f>E12&amp;COUNTIFS($E$2:E12,E12)</f>
        <v>0</v>
      </c>
      <c r="AC12" s="21" t="str">
        <f t="shared" si="0"/>
        <v/>
      </c>
    </row>
    <row r="13" ht="13.5" customHeight="1" spans="1:29">
      <c r="X13" s="21" t="str">
        <f>IF(K13="紧急",COUNTIF($K$2:K13,"紧急"),"")</f>
        <v/>
      </c>
      <c r="Y13" s="21" t="str">
        <f>IF(V13="未提取",COUNTIF($V$2:V13,"未提取"),"")</f>
        <v/>
      </c>
      <c r="Z13" s="21" t="str">
        <f>IF(OR(V13="提取中",V13="文库构建中",V13="文库质检中",V13="pooling排机中",V13="上机测序中"),SUMPRODUCT((($V$2:V13="提取中")+($V$2:V13="文库构建中")+($V$2:V13="文库质检中")+($V$2:V13="pooling排机中")+($V$2:V13="上机测序中"))*1),"")</f>
        <v/>
      </c>
      <c r="AA13" s="21" t="str">
        <f>IF(V13="测序完成",COUNTIF($V$2:V13,"测序完成"),"")</f>
        <v/>
      </c>
      <c r="AB13" s="21" t="str">
        <f>E13&amp;COUNTIFS($E$2:E13,E13)</f>
        <v>0</v>
      </c>
      <c r="AC13" s="21" t="str">
        <f t="shared" si="0"/>
        <v/>
      </c>
    </row>
    <row r="14" ht="13.5" customHeight="1" spans="1:29">
      <c r="X14" s="21" t="str">
        <f>IF(K14="紧急",COUNTIF($K$2:K14,"紧急"),"")</f>
        <v/>
      </c>
      <c r="Y14" s="21" t="str">
        <f>IF(V14="未提取",COUNTIF($V$2:V14,"未提取"),"")</f>
        <v/>
      </c>
      <c r="Z14" s="21" t="str">
        <f>IF(OR(V14="提取中",V14="文库构建中",V14="文库质检中",V14="pooling排机中",V14="上机测序中"),SUMPRODUCT((($V$2:V14="提取中")+($V$2:V14="文库构建中")+($V$2:V14="文库质检中")+($V$2:V14="pooling排机中")+($V$2:V14="上机测序中"))*1),"")</f>
        <v/>
      </c>
      <c r="AA14" s="21" t="str">
        <f>IF(V14="测序完成",COUNTIF($V$2:V14,"测序完成"),"")</f>
        <v/>
      </c>
      <c r="AB14" s="21" t="str">
        <f>E14&amp;COUNTIFS($E$2:E14,E14)</f>
        <v>0</v>
      </c>
      <c r="AC14" s="21" t="str">
        <f t="shared" si="0"/>
        <v/>
      </c>
    </row>
    <row r="15" ht="13.5" customHeight="1" spans="1:29">
      <c r="X15" s="21" t="str">
        <f>IF(K15="紧急",COUNTIF($K$2:K15,"紧急"),"")</f>
        <v/>
      </c>
      <c r="Y15" s="21" t="str">
        <f>IF(V15="未提取",COUNTIF($V$2:V15,"未提取"),"")</f>
        <v/>
      </c>
      <c r="Z15" s="21" t="str">
        <f>IF(OR(V15="提取中",V15="文库构建中",V15="文库质检中",V15="pooling排机中",V15="上机测序中"),SUMPRODUCT((($V$2:V15="提取中")+($V$2:V15="文库构建中")+($V$2:V15="文库质检中")+($V$2:V15="pooling排机中")+($V$2:V15="上机测序中"))*1),"")</f>
        <v/>
      </c>
      <c r="AA15" s="21" t="str">
        <f>IF(V15="测序完成",COUNTIF($V$2:V15,"测序完成"),"")</f>
        <v/>
      </c>
      <c r="AB15" s="21" t="str">
        <f>E15&amp;COUNTIFS($E$2:E15,E15)</f>
        <v>0</v>
      </c>
      <c r="AC15" s="21" t="str">
        <f t="shared" si="0"/>
        <v/>
      </c>
    </row>
    <row r="16" ht="13.5" customHeight="1" spans="1:29">
      <c r="X16" s="21" t="str">
        <f>IF(K16="紧急",COUNTIF($K$2:K16,"紧急"),"")</f>
        <v/>
      </c>
      <c r="Y16" s="21" t="str">
        <f>IF(V16="未提取",COUNTIF($V$2:V16,"未提取"),"")</f>
        <v/>
      </c>
      <c r="Z16" s="21" t="str">
        <f>IF(OR(V16="提取中",V16="文库构建中",V16="文库质检中",V16="pooling排机中",V16="上机测序中"),SUMPRODUCT((($V$2:V16="提取中")+($V$2:V16="文库构建中")+($V$2:V16="文库质检中")+($V$2:V16="pooling排机中")+($V$2:V16="上机测序中"))*1),"")</f>
        <v/>
      </c>
      <c r="AA16" s="21" t="str">
        <f>IF(V16="测序完成",COUNTIF($V$2:V16,"测序完成"),"")</f>
        <v/>
      </c>
      <c r="AB16" s="21" t="str">
        <f>E16&amp;COUNTIFS($E$2:E16,E16)</f>
        <v>0</v>
      </c>
      <c r="AC16" s="21" t="str">
        <f t="shared" si="0"/>
        <v/>
      </c>
    </row>
    <row r="17" ht="13.5" customHeight="1" spans="24:29">
      <c r="X17" s="21" t="str">
        <f>IF(K17="紧急",COUNTIF($K$2:K17,"紧急"),"")</f>
        <v/>
      </c>
      <c r="Y17" s="21" t="str">
        <f>IF(V17="未提取",COUNTIF($V$2:V17,"未提取"),"")</f>
        <v/>
      </c>
      <c r="Z17" s="21" t="str">
        <f>IF(OR(V17="提取中",V17="文库构建中",V17="文库质检中",V17="pooling排机中",V17="上机测序中"),SUMPRODUCT((($V$2:V17="提取中")+($V$2:V17="文库构建中")+($V$2:V17="文库质检中")+($V$2:V17="pooling排机中")+($V$2:V17="上机测序中"))*1),"")</f>
        <v/>
      </c>
      <c r="AA17" s="21" t="str">
        <f>IF(V17="测序完成",COUNTIF($V$2:V17,"测序完成"),"")</f>
        <v/>
      </c>
      <c r="AB17" s="21" t="str">
        <f>E17&amp;COUNTIFS($E$2:E17,E17)</f>
        <v>0</v>
      </c>
      <c r="AC17" s="21" t="str">
        <f t="shared" si="0"/>
        <v/>
      </c>
    </row>
    <row r="18" ht="13.5" customHeight="1" spans="24:29">
      <c r="X18" s="21" t="str">
        <f>IF(K18="紧急",COUNTIF($K$2:K18,"紧急"),"")</f>
        <v/>
      </c>
      <c r="Y18" s="21" t="str">
        <f>IF(V18="未提取",COUNTIF($V$2:V18,"未提取"),"")</f>
        <v/>
      </c>
      <c r="Z18" s="21" t="str">
        <f>IF(OR(V18="提取中",V18="文库构建中",V18="文库质检中",V18="pooling排机中",V18="上机测序中"),SUMPRODUCT((($V$2:V18="提取中")+($V$2:V18="文库构建中")+($V$2:V18="文库质检中")+($V$2:V18="pooling排机中")+($V$2:V18="上机测序中"))*1),"")</f>
        <v/>
      </c>
      <c r="AA18" s="21" t="str">
        <f>IF(V18="测序完成",COUNTIF($V$2:V18,"测序完成"),"")</f>
        <v/>
      </c>
      <c r="AB18" s="21" t="str">
        <f>E18&amp;COUNTIFS($E$2:E18,E18)</f>
        <v>0</v>
      </c>
      <c r="AC18" s="21" t="str">
        <f t="shared" si="0"/>
        <v/>
      </c>
    </row>
    <row r="19" ht="13.5" customHeight="1" spans="24:29">
      <c r="X19" s="21" t="str">
        <f>IF(K19="紧急",COUNTIF($K$2:K19,"紧急"),"")</f>
        <v/>
      </c>
      <c r="Y19" s="21" t="str">
        <f>IF(V19="未提取",COUNTIF($V$2:V19,"未提取"),"")</f>
        <v/>
      </c>
      <c r="Z19" s="21" t="str">
        <f>IF(OR(V19="提取中",V19="文库构建中",V19="文库质检中",V19="pooling排机中",V19="上机测序中"),SUMPRODUCT((($V$2:V19="提取中")+($V$2:V19="文库构建中")+($V$2:V19="文库质检中")+($V$2:V19="pooling排机中")+($V$2:V19="上机测序中"))*1),"")</f>
        <v/>
      </c>
      <c r="AA19" s="21" t="str">
        <f>IF(V19="测序完成",COUNTIF($V$2:V19,"测序完成"),"")</f>
        <v/>
      </c>
      <c r="AB19" s="21" t="str">
        <f>E19&amp;COUNTIFS($E$2:E19,E19)</f>
        <v>0</v>
      </c>
      <c r="AC19" s="21" t="str">
        <f t="shared" si="0"/>
        <v/>
      </c>
    </row>
    <row r="20" ht="13.5" customHeight="1" spans="24:29">
      <c r="X20" s="21" t="str">
        <f>IF(K20="紧急",COUNTIF($K$2:K20,"紧急"),"")</f>
        <v/>
      </c>
      <c r="Y20" s="21" t="str">
        <f>IF(V20="未提取",COUNTIF($V$2:V20,"未提取"),"")</f>
        <v/>
      </c>
      <c r="Z20" s="21" t="str">
        <f>IF(OR(V20="提取中",V20="文库构建中",V20="文库质检中",V20="pooling排机中",V20="上机测序中"),SUMPRODUCT((($V$2:V20="提取中")+($V$2:V20="文库构建中")+($V$2:V20="文库质检中")+($V$2:V20="pooling排机中")+($V$2:V20="上机测序中"))*1),"")</f>
        <v/>
      </c>
      <c r="AA20" s="21" t="str">
        <f>IF(V20="测序完成",COUNTIF($V$2:V20,"测序完成"),"")</f>
        <v/>
      </c>
      <c r="AB20" s="21" t="str">
        <f>E20&amp;COUNTIFS($E$2:E20,E20)</f>
        <v>0</v>
      </c>
      <c r="AC20" s="21" t="str">
        <f t="shared" si="0"/>
        <v/>
      </c>
    </row>
    <row r="21" ht="13.5" customHeight="1" spans="24:29">
      <c r="X21" s="21" t="str">
        <f>IF(K21="紧急",COUNTIF($K$2:K21,"紧急"),"")</f>
        <v/>
      </c>
      <c r="Y21" s="21" t="str">
        <f>IF(V21="未提取",COUNTIF($V$2:V21,"未提取"),"")</f>
        <v/>
      </c>
      <c r="Z21" s="21" t="str">
        <f>IF(OR(V21="提取中",V21="文库构建中",V21="文库质检中",V21="pooling排机中",V21="上机测序中"),SUMPRODUCT((($V$2:V21="提取中")+($V$2:V21="文库构建中")+($V$2:V21="文库质检中")+($V$2:V21="pooling排机中")+($V$2:V21="上机测序中"))*1),"")</f>
        <v/>
      </c>
      <c r="AA21" s="21" t="str">
        <f>IF(V21="测序完成",COUNTIF($V$2:V21,"测序完成"),"")</f>
        <v/>
      </c>
      <c r="AB21" s="21" t="str">
        <f>E21&amp;COUNTIFS($E$2:E21,E21)</f>
        <v>0</v>
      </c>
      <c r="AC21" s="21" t="str">
        <f t="shared" si="0"/>
        <v/>
      </c>
    </row>
    <row r="22" ht="13.5" customHeight="1" spans="24:29">
      <c r="X22" s="21" t="str">
        <f>IF(K22="紧急",COUNTIF($K$2:K22,"紧急"),"")</f>
        <v/>
      </c>
      <c r="Y22" s="21" t="str">
        <f>IF(V22="未提取",COUNTIF($V$2:V22,"未提取"),"")</f>
        <v/>
      </c>
      <c r="Z22" s="21" t="str">
        <f>IF(OR(V22="提取中",V22="文库构建中",V22="文库质检中",V22="pooling排机中",V22="上机测序中"),SUMPRODUCT((($V$2:V22="提取中")+($V$2:V22="文库构建中")+($V$2:V22="文库质检中")+($V$2:V22="pooling排机中")+($V$2:V22="上机测序中"))*1),"")</f>
        <v/>
      </c>
      <c r="AA22" s="21" t="str">
        <f>IF(V22="测序完成",COUNTIF($V$2:V22,"测序完成"),"")</f>
        <v/>
      </c>
      <c r="AB22" s="21" t="str">
        <f>E22&amp;COUNTIFS($E$2:E22,E22)</f>
        <v>0</v>
      </c>
      <c r="AC22" s="21" t="str">
        <f t="shared" si="0"/>
        <v/>
      </c>
    </row>
    <row r="23" ht="13.5" customHeight="1" spans="24:29">
      <c r="X23" s="21" t="str">
        <f>IF(K23="紧急",COUNTIF($K$2:K23,"紧急"),"")</f>
        <v/>
      </c>
      <c r="Y23" s="21" t="str">
        <f>IF(V23="未提取",COUNTIF($V$2:V23,"未提取"),"")</f>
        <v/>
      </c>
      <c r="Z23" s="21" t="str">
        <f>IF(OR(V23="提取中",V23="文库构建中",V23="文库质检中",V23="pooling排机中",V23="上机测序中"),SUMPRODUCT((($V$2:V23="提取中")+($V$2:V23="文库构建中")+($V$2:V23="文库质检中")+($V$2:V23="pooling排机中")+($V$2:V23="上机测序中"))*1),"")</f>
        <v/>
      </c>
      <c r="AA23" s="21" t="str">
        <f>IF(V23="测序完成",COUNTIF($V$2:V23,"测序完成"),"")</f>
        <v/>
      </c>
      <c r="AB23" s="21" t="str">
        <f>E23&amp;COUNTIFS($E$2:E23,E23)</f>
        <v>0</v>
      </c>
      <c r="AC23" s="21" t="str">
        <f t="shared" si="0"/>
        <v/>
      </c>
    </row>
    <row r="24" ht="13.5" customHeight="1" spans="24:29">
      <c r="X24" s="21" t="str">
        <f>IF(K24="紧急",COUNTIF($K$2:K24,"紧急"),"")</f>
        <v/>
      </c>
      <c r="Y24" s="21" t="str">
        <f>IF(V24="未提取",COUNTIF($V$2:V24,"未提取"),"")</f>
        <v/>
      </c>
      <c r="Z24" s="21" t="str">
        <f>IF(OR(V24="提取中",V24="文库构建中",V24="文库质检中",V24="pooling排机中",V24="上机测序中"),SUMPRODUCT((($V$2:V24="提取中")+($V$2:V24="文库构建中")+($V$2:V24="文库质检中")+($V$2:V24="pooling排机中")+($V$2:V24="上机测序中"))*1),"")</f>
        <v/>
      </c>
      <c r="AA24" s="21" t="str">
        <f>IF(V24="测序完成",COUNTIF($V$2:V24,"测序完成"),"")</f>
        <v/>
      </c>
      <c r="AB24" s="21" t="str">
        <f>E24&amp;COUNTIFS($E$2:E24,E24)</f>
        <v>0</v>
      </c>
      <c r="AC24" s="21" t="str">
        <f t="shared" si="0"/>
        <v/>
      </c>
    </row>
    <row r="25" ht="13.5" customHeight="1" spans="24:29">
      <c r="X25" s="21" t="str">
        <f>IF(K25="紧急",COUNTIF($K$2:K25,"紧急"),"")</f>
        <v/>
      </c>
      <c r="Y25" s="21" t="str">
        <f>IF(V25="未提取",COUNTIF($V$2:V25,"未提取"),"")</f>
        <v/>
      </c>
      <c r="Z25" s="21" t="str">
        <f>IF(OR(V25="提取中",V25="文库构建中",V25="文库质检中",V25="pooling排机中",V25="上机测序中"),SUMPRODUCT((($V$2:V25="提取中")+($V$2:V25="文库构建中")+($V$2:V25="文库质检中")+($V$2:V25="pooling排机中")+($V$2:V25="上机测序中"))*1),"")</f>
        <v/>
      </c>
      <c r="AA25" s="21" t="str">
        <f>IF(V25="测序完成",COUNTIF($V$2:V25,"测序完成"),"")</f>
        <v/>
      </c>
      <c r="AB25" s="21" t="str">
        <f>E25&amp;COUNTIFS($E$2:E25,E25)</f>
        <v>0</v>
      </c>
      <c r="AC25" s="21" t="str">
        <f t="shared" si="0"/>
        <v/>
      </c>
    </row>
    <row r="26" ht="13.5" customHeight="1" spans="24:29">
      <c r="X26" s="21" t="str">
        <f>IF(K26="紧急",COUNTIF($K$2:K26,"紧急"),"")</f>
        <v/>
      </c>
      <c r="Y26" s="21" t="str">
        <f>IF(V26="未提取",COUNTIF($V$2:V26,"未提取"),"")</f>
        <v/>
      </c>
      <c r="Z26" s="21" t="str">
        <f>IF(OR(V26="提取中",V26="文库构建中",V26="文库质检中",V26="pooling排机中",V26="上机测序中"),SUMPRODUCT((($V$2:V26="提取中")+($V$2:V26="文库构建中")+($V$2:V26="文库质检中")+($V$2:V26="pooling排机中")+($V$2:V26="上机测序中"))*1),"")</f>
        <v/>
      </c>
      <c r="AA26" s="21" t="str">
        <f>IF(V26="测序完成",COUNTIF($V$2:V26,"测序完成"),"")</f>
        <v/>
      </c>
      <c r="AB26" s="21" t="str">
        <f>E26&amp;COUNTIFS($E$2:E26,E26)</f>
        <v>0</v>
      </c>
      <c r="AC26" s="21" t="str">
        <f t="shared" si="0"/>
        <v/>
      </c>
    </row>
    <row r="27" ht="13.5" customHeight="1" spans="24:29">
      <c r="X27" s="21" t="str">
        <f>IF(K27="紧急",COUNTIF($K$2:K27,"紧急"),"")</f>
        <v/>
      </c>
      <c r="Y27" s="21" t="str">
        <f>IF(V27="未提取",COUNTIF($V$2:V27,"未提取"),"")</f>
        <v/>
      </c>
      <c r="Z27" s="21" t="str">
        <f>IF(OR(V27="提取中",V27="文库构建中",V27="文库质检中",V27="pooling排机中",V27="上机测序中"),SUMPRODUCT((($V$2:V27="提取中")+($V$2:V27="文库构建中")+($V$2:V27="文库质检中")+($V$2:V27="pooling排机中")+($V$2:V27="上机测序中"))*1),"")</f>
        <v/>
      </c>
      <c r="AA27" s="21" t="str">
        <f>IF(V27="测序完成",COUNTIF($V$2:V27,"测序完成"),"")</f>
        <v/>
      </c>
      <c r="AB27" s="21" t="str">
        <f>E27&amp;COUNTIFS($E$2:E27,E27)</f>
        <v>0</v>
      </c>
      <c r="AC27" s="21" t="str">
        <f t="shared" si="0"/>
        <v/>
      </c>
    </row>
    <row r="28" ht="13.5" customHeight="1" spans="24:29">
      <c r="X28" s="21" t="str">
        <f>IF(K28="紧急",COUNTIF($K$2:K28,"紧急"),"")</f>
        <v/>
      </c>
      <c r="Y28" s="21" t="str">
        <f>IF(V28="未提取",COUNTIF($V$2:V28,"未提取"),"")</f>
        <v/>
      </c>
      <c r="Z28" s="21" t="str">
        <f>IF(OR(V28="提取中",V28="文库构建中",V28="文库质检中",V28="pooling排机中",V28="上机测序中"),SUMPRODUCT((($V$2:V28="提取中")+($V$2:V28="文库构建中")+($V$2:V28="文库质检中")+($V$2:V28="pooling排机中")+($V$2:V28="上机测序中"))*1),"")</f>
        <v/>
      </c>
      <c r="AA28" s="21" t="str">
        <f>IF(V28="测序完成",COUNTIF($V$2:V28,"测序完成"),"")</f>
        <v/>
      </c>
      <c r="AB28" s="21" t="str">
        <f>E28&amp;COUNTIFS($E$2:E28,E28)</f>
        <v>0</v>
      </c>
      <c r="AC28" s="21" t="str">
        <f t="shared" si="0"/>
        <v/>
      </c>
    </row>
    <row r="29" ht="13.5" customHeight="1" spans="24:29">
      <c r="X29" s="21" t="str">
        <f>IF(K29="紧急",COUNTIF($K$2:K29,"紧急"),"")</f>
        <v/>
      </c>
      <c r="Y29" s="21" t="str">
        <f>IF(V29="未提取",COUNTIF($V$2:V29,"未提取"),"")</f>
        <v/>
      </c>
      <c r="Z29" s="21" t="str">
        <f>IF(OR(V29="提取中",V29="文库构建中",V29="文库质检中",V29="pooling排机中",V29="上机测序中"),SUMPRODUCT((($V$2:V29="提取中")+($V$2:V29="文库构建中")+($V$2:V29="文库质检中")+($V$2:V29="pooling排机中")+($V$2:V29="上机测序中"))*1),"")</f>
        <v/>
      </c>
      <c r="AA29" s="21" t="str">
        <f>IF(V29="测序完成",COUNTIF($V$2:V29,"测序完成"),"")</f>
        <v/>
      </c>
      <c r="AB29" s="21" t="str">
        <f>E29&amp;COUNTIFS($E$2:E29,E29)</f>
        <v>0</v>
      </c>
      <c r="AC29" s="21" t="str">
        <f t="shared" si="0"/>
        <v/>
      </c>
    </row>
    <row r="30" ht="13.5" customHeight="1" spans="24:29">
      <c r="X30" s="21" t="str">
        <f>IF(K30="紧急",COUNTIF($K$2:K30,"紧急"),"")</f>
        <v/>
      </c>
      <c r="Y30" s="21" t="str">
        <f>IF(V30="未提取",COUNTIF($V$2:V30,"未提取"),"")</f>
        <v/>
      </c>
      <c r="Z30" s="21" t="str">
        <f>IF(OR(V30="提取中",V30="文库构建中",V30="文库质检中",V30="pooling排机中",V30="上机测序中"),SUMPRODUCT((($V$2:V30="提取中")+($V$2:V30="文库构建中")+($V$2:V30="文库质检中")+($V$2:V30="pooling排机中")+($V$2:V30="上机测序中"))*1),"")</f>
        <v/>
      </c>
      <c r="AA30" s="21" t="str">
        <f>IF(V30="测序完成",COUNTIF($V$2:V30,"测序完成"),"")</f>
        <v/>
      </c>
      <c r="AB30" s="21" t="str">
        <f>E30&amp;COUNTIFS($E$2:E30,E30)</f>
        <v>0</v>
      </c>
      <c r="AC30" s="21" t="str">
        <f t="shared" si="0"/>
        <v/>
      </c>
    </row>
    <row r="31" ht="13.5" customHeight="1" spans="24:29">
      <c r="X31" s="21" t="str">
        <f>IF(K31="紧急",COUNTIF($K$2:K31,"紧急"),"")</f>
        <v/>
      </c>
      <c r="Y31" s="21" t="str">
        <f>IF(V31="未提取",COUNTIF($V$2:V31,"未提取"),"")</f>
        <v/>
      </c>
      <c r="Z31" s="21" t="str">
        <f>IF(OR(V31="提取中",V31="文库构建中",V31="文库质检中",V31="pooling排机中",V31="上机测序中"),SUMPRODUCT((($V$2:V31="提取中")+($V$2:V31="文库构建中")+($V$2:V31="文库质检中")+($V$2:V31="pooling排机中")+($V$2:V31="上机测序中"))*1),"")</f>
        <v/>
      </c>
      <c r="AA31" s="21" t="str">
        <f>IF(V31="测序完成",COUNTIF($V$2:V31,"测序完成"),"")</f>
        <v/>
      </c>
      <c r="AB31" s="21" t="str">
        <f>E31&amp;COUNTIFS($E$2:E31,E31)</f>
        <v>0</v>
      </c>
      <c r="AC31" s="21" t="str">
        <f t="shared" si="0"/>
        <v/>
      </c>
    </row>
    <row r="32" ht="13.5" customHeight="1" spans="24:29">
      <c r="X32" s="21" t="str">
        <f>IF(K32="紧急",COUNTIF($K$2:K32,"紧急"),"")</f>
        <v/>
      </c>
      <c r="Y32" s="21" t="str">
        <f>IF(V32="未提取",COUNTIF($V$2:V32,"未提取"),"")</f>
        <v/>
      </c>
      <c r="Z32" s="21" t="str">
        <f>IF(OR(V32="提取中",V32="文库构建中",V32="文库质检中",V32="pooling排机中",V32="上机测序中"),SUMPRODUCT((($V$2:V32="提取中")+($V$2:V32="文库构建中")+($V$2:V32="文库质检中")+($V$2:V32="pooling排机中")+($V$2:V32="上机测序中"))*1),"")</f>
        <v/>
      </c>
      <c r="AA32" s="21" t="str">
        <f>IF(V32="测序完成",COUNTIF($V$2:V32,"测序完成"),"")</f>
        <v/>
      </c>
      <c r="AB32" s="21" t="str">
        <f>E32&amp;COUNTIFS($E$2:E32,E32)</f>
        <v>0</v>
      </c>
      <c r="AC32" s="21" t="str">
        <f t="shared" si="0"/>
        <v/>
      </c>
    </row>
    <row r="33" ht="13.5" customHeight="1" spans="24:29">
      <c r="X33" s="21" t="str">
        <f>IF(K33="紧急",COUNTIF($K$2:K33,"紧急"),"")</f>
        <v/>
      </c>
      <c r="Y33" s="21" t="str">
        <f>IF(V33="未提取",COUNTIF($V$2:V33,"未提取"),"")</f>
        <v/>
      </c>
      <c r="Z33" s="21" t="str">
        <f>IF(OR(V33="提取中",V33="文库构建中",V33="文库质检中",V33="pooling排机中",V33="上机测序中"),SUMPRODUCT((($V$2:V33="提取中")+($V$2:V33="文库构建中")+($V$2:V33="文库质检中")+($V$2:V33="pooling排机中")+($V$2:V33="上机测序中"))*1),"")</f>
        <v/>
      </c>
      <c r="AA33" s="21" t="str">
        <f>IF(V33="测序完成",COUNTIF($V$2:V33,"测序完成"),"")</f>
        <v/>
      </c>
      <c r="AB33" s="21" t="str">
        <f>E33&amp;COUNTIFS($E$2:E33,E33)</f>
        <v>0</v>
      </c>
      <c r="AC33" s="21" t="str">
        <f t="shared" si="0"/>
        <v/>
      </c>
    </row>
    <row r="34" ht="13.5" customHeight="1" spans="24:29">
      <c r="X34" s="21" t="str">
        <f>IF(K34="紧急",COUNTIF($K$2:K34,"紧急"),"")</f>
        <v/>
      </c>
      <c r="Y34" s="21" t="str">
        <f>IF(V34="未提取",COUNTIF($V$2:V34,"未提取"),"")</f>
        <v/>
      </c>
      <c r="Z34" s="21" t="str">
        <f>IF(OR(V34="提取中",V34="文库构建中",V34="文库质检中",V34="pooling排机中",V34="上机测序中"),SUMPRODUCT((($V$2:V34="提取中")+($V$2:V34="文库构建中")+($V$2:V34="文库质检中")+($V$2:V34="pooling排机中")+($V$2:V34="上机测序中"))*1),"")</f>
        <v/>
      </c>
      <c r="AA34" s="21" t="str">
        <f>IF(V34="测序完成",COUNTIF($V$2:V34,"测序完成"),"")</f>
        <v/>
      </c>
      <c r="AB34" s="21" t="str">
        <f>E34&amp;COUNTIFS($E$2:E34,E34)</f>
        <v>0</v>
      </c>
      <c r="AC34" s="21" t="str">
        <f t="shared" si="0"/>
        <v/>
      </c>
    </row>
    <row r="35" ht="13.5" customHeight="1" spans="24:29">
      <c r="X35" s="21" t="str">
        <f>IF(K35="紧急",COUNTIF($K$2:K35,"紧急"),"")</f>
        <v/>
      </c>
      <c r="Y35" s="21" t="str">
        <f>IF(V35="未提取",COUNTIF($V$2:V35,"未提取"),"")</f>
        <v/>
      </c>
      <c r="Z35" s="21" t="str">
        <f>IF(OR(V35="提取中",V35="文库构建中",V35="文库质检中",V35="pooling排机中",V35="上机测序中"),SUMPRODUCT((($V$2:V35="提取中")+($V$2:V35="文库构建中")+($V$2:V35="文库质检中")+($V$2:V35="pooling排机中")+($V$2:V35="上机测序中"))*1),"")</f>
        <v/>
      </c>
      <c r="AA35" s="21" t="str">
        <f>IF(V35="测序完成",COUNTIF($V$2:V35,"测序完成"),"")</f>
        <v/>
      </c>
      <c r="AB35" s="21" t="str">
        <f>E35&amp;COUNTIFS($E$2:E35,E35)</f>
        <v>0</v>
      </c>
      <c r="AC35" s="21" t="str">
        <f t="shared" si="0"/>
        <v/>
      </c>
    </row>
    <row r="36" ht="13.5" customHeight="1" spans="24:29">
      <c r="X36" s="21" t="str">
        <f>IF(K36="紧急",COUNTIF($K$2:K36,"紧急"),"")</f>
        <v/>
      </c>
      <c r="Y36" s="21" t="str">
        <f>IF(V36="未提取",COUNTIF($V$2:V36,"未提取"),"")</f>
        <v/>
      </c>
      <c r="Z36" s="21" t="str">
        <f>IF(OR(V36="提取中",V36="文库构建中",V36="文库质检中",V36="pooling排机中",V36="上机测序中"),SUMPRODUCT((($V$2:V36="提取中")+($V$2:V36="文库构建中")+($V$2:V36="文库质检中")+($V$2:V36="pooling排机中")+($V$2:V36="上机测序中"))*1),"")</f>
        <v/>
      </c>
      <c r="AA36" s="21" t="str">
        <f>IF(V36="测序完成",COUNTIF($V$2:V36,"测序完成"),"")</f>
        <v/>
      </c>
      <c r="AB36" s="21" t="str">
        <f>E36&amp;COUNTIFS($E$2:E36,E36)</f>
        <v>0</v>
      </c>
      <c r="AC36" s="21" t="str">
        <f t="shared" si="0"/>
        <v/>
      </c>
    </row>
    <row r="37" ht="13.5" customHeight="1" spans="24:29">
      <c r="X37" s="21" t="str">
        <f>IF(K37="紧急",COUNTIF($K$2:K37,"紧急"),"")</f>
        <v/>
      </c>
      <c r="Y37" s="21" t="str">
        <f>IF(V37="未提取",COUNTIF($V$2:V37,"未提取"),"")</f>
        <v/>
      </c>
      <c r="Z37" s="21" t="str">
        <f>IF(OR(V37="提取中",V37="文库构建中",V37="文库质检中",V37="pooling排机中",V37="上机测序中"),SUMPRODUCT((($V$2:V37="提取中")+($V$2:V37="文库构建中")+($V$2:V37="文库质检中")+($V$2:V37="pooling排机中")+($V$2:V37="上机测序中"))*1),"")</f>
        <v/>
      </c>
      <c r="AA37" s="21" t="str">
        <f>IF(V37="测序完成",COUNTIF($V$2:V37,"测序完成"),"")</f>
        <v/>
      </c>
      <c r="AB37" s="21" t="str">
        <f>E37&amp;COUNTIFS($E$2:E37,E37)</f>
        <v>0</v>
      </c>
      <c r="AC37" s="21" t="str">
        <f t="shared" si="0"/>
        <v/>
      </c>
    </row>
    <row r="38" ht="13.5" customHeight="1" spans="24:29">
      <c r="X38" s="21" t="str">
        <f>IF(K38="紧急",COUNTIF($K$2:K38,"紧急"),"")</f>
        <v/>
      </c>
      <c r="Y38" s="21" t="str">
        <f>IF(V38="未提取",COUNTIF($V$2:V38,"未提取"),"")</f>
        <v/>
      </c>
      <c r="Z38" s="21" t="str">
        <f>IF(OR(V38="提取中",V38="文库构建中",V38="文库质检中",V38="pooling排机中",V38="上机测序中"),SUMPRODUCT((($V$2:V38="提取中")+($V$2:V38="文库构建中")+($V$2:V38="文库质检中")+($V$2:V38="pooling排机中")+($V$2:V38="上机测序中"))*1),"")</f>
        <v/>
      </c>
      <c r="AA38" s="21" t="str">
        <f>IF(V38="测序完成",COUNTIF($V$2:V38,"测序完成"),"")</f>
        <v/>
      </c>
      <c r="AB38" s="21" t="str">
        <f>E38&amp;COUNTIFS($E$2:E38,E38)</f>
        <v>0</v>
      </c>
      <c r="AC38" s="21" t="str">
        <f t="shared" si="0"/>
        <v/>
      </c>
    </row>
    <row r="39" ht="13.5" customHeight="1" spans="24:29">
      <c r="X39" s="21" t="str">
        <f>IF(K39="紧急",COUNTIF($K$2:K39,"紧急"),"")</f>
        <v/>
      </c>
      <c r="Y39" s="21" t="str">
        <f>IF(V39="未提取",COUNTIF($V$2:V39,"未提取"),"")</f>
        <v/>
      </c>
      <c r="Z39" s="21" t="str">
        <f>IF(OR(V39="提取中",V39="文库构建中",V39="文库质检中",V39="pooling排机中",V39="上机测序中"),SUMPRODUCT((($V$2:V39="提取中")+($V$2:V39="文库构建中")+($V$2:V39="文库质检中")+($V$2:V39="pooling排机中")+($V$2:V39="上机测序中"))*1),"")</f>
        <v/>
      </c>
      <c r="AA39" s="21" t="str">
        <f>IF(V39="测序完成",COUNTIF($V$2:V39,"测序完成"),"")</f>
        <v/>
      </c>
      <c r="AB39" s="21" t="str">
        <f>E39&amp;COUNTIFS($E$2:E39,E39)</f>
        <v>0</v>
      </c>
      <c r="AC39" s="21" t="str">
        <f t="shared" si="0"/>
        <v/>
      </c>
    </row>
    <row r="40" ht="13.5" customHeight="1" spans="24:29">
      <c r="X40" s="21" t="str">
        <f>IF(K40="紧急",COUNTIF($K$2:K40,"紧急"),"")</f>
        <v/>
      </c>
      <c r="Y40" s="21" t="str">
        <f>IF(V40="未提取",COUNTIF($V$2:V40,"未提取"),"")</f>
        <v/>
      </c>
      <c r="Z40" s="21" t="str">
        <f>IF(OR(V40="提取中",V40="文库构建中",V40="文库质检中",V40="pooling排机中",V40="上机测序中"),SUMPRODUCT((($V$2:V40="提取中")+($V$2:V40="文库构建中")+($V$2:V40="文库质检中")+($V$2:V40="pooling排机中")+($V$2:V40="上机测序中"))*1),"")</f>
        <v/>
      </c>
      <c r="AA40" s="21" t="str">
        <f>IF(V40="测序完成",COUNTIF($V$2:V40,"测序完成"),"")</f>
        <v/>
      </c>
      <c r="AB40" s="21" t="str">
        <f>E40&amp;COUNTIFS($E$2:E40,E40)</f>
        <v>0</v>
      </c>
      <c r="AC40" s="21" t="str">
        <f t="shared" si="0"/>
        <v/>
      </c>
    </row>
    <row r="41" ht="13.5" customHeight="1" spans="24:29">
      <c r="X41" s="21" t="str">
        <f>IF(K41="紧急",COUNTIF($K$2:K41,"紧急"),"")</f>
        <v/>
      </c>
      <c r="Y41" s="21" t="str">
        <f>IF(V41="未提取",COUNTIF($V$2:V41,"未提取"),"")</f>
        <v/>
      </c>
      <c r="Z41" s="21" t="str">
        <f>IF(OR(V41="提取中",V41="文库构建中",V41="文库质检中",V41="pooling排机中",V41="上机测序中"),SUMPRODUCT((($V$2:V41="提取中")+($V$2:V41="文库构建中")+($V$2:V41="文库质检中")+($V$2:V41="pooling排机中")+($V$2:V41="上机测序中"))*1),"")</f>
        <v/>
      </c>
      <c r="AA41" s="21" t="str">
        <f>IF(V41="测序完成",COUNTIF($V$2:V41,"测序完成"),"")</f>
        <v/>
      </c>
      <c r="AB41" s="21" t="str">
        <f>E41&amp;COUNTIFS($E$2:E41,E41)</f>
        <v>0</v>
      </c>
      <c r="AC41" s="21" t="str">
        <f t="shared" si="0"/>
        <v/>
      </c>
    </row>
    <row r="42" ht="13.5" customHeight="1" spans="24:29">
      <c r="X42" s="21" t="str">
        <f>IF(K42="紧急",COUNTIF($K$2:K42,"紧急"),"")</f>
        <v/>
      </c>
      <c r="Y42" s="21" t="str">
        <f>IF(V42="未提取",COUNTIF($V$2:V42,"未提取"),"")</f>
        <v/>
      </c>
      <c r="Z42" s="21" t="str">
        <f>IF(OR(V42="提取中",V42="文库构建中",V42="文库质检中",V42="pooling排机中",V42="上机测序中"),SUMPRODUCT((($V$2:V42="提取中")+($V$2:V42="文库构建中")+($V$2:V42="文库质检中")+($V$2:V42="pooling排机中")+($V$2:V42="上机测序中"))*1),"")</f>
        <v/>
      </c>
      <c r="AA42" s="21" t="str">
        <f>IF(V42="测序完成",COUNTIF($V$2:V42,"测序完成"),"")</f>
        <v/>
      </c>
      <c r="AB42" s="21" t="str">
        <f>E42&amp;COUNTIFS($E$2:E42,E42)</f>
        <v>0</v>
      </c>
      <c r="AC42" s="21" t="str">
        <f t="shared" si="0"/>
        <v/>
      </c>
    </row>
    <row r="43" ht="13.5" customHeight="1" spans="24:29">
      <c r="X43" s="21" t="str">
        <f>IF(K43="紧急",COUNTIF($K$2:K43,"紧急"),"")</f>
        <v/>
      </c>
      <c r="Y43" s="21" t="str">
        <f>IF(V43="未提取",COUNTIF($V$2:V43,"未提取"),"")</f>
        <v/>
      </c>
      <c r="Z43" s="21" t="str">
        <f>IF(OR(V43="提取中",V43="文库构建中",V43="文库质检中",V43="pooling排机中",V43="上机测序中"),SUMPRODUCT((($V$2:V43="提取中")+($V$2:V43="文库构建中")+($V$2:V43="文库质检中")+($V$2:V43="pooling排机中")+($V$2:V43="上机测序中"))*1),"")</f>
        <v/>
      </c>
      <c r="AA43" s="21" t="str">
        <f>IF(V43="测序完成",COUNTIF($V$2:V43,"测序完成"),"")</f>
        <v/>
      </c>
      <c r="AB43" s="21" t="str">
        <f>E43&amp;COUNTIFS($E$2:E43,E43)</f>
        <v>0</v>
      </c>
      <c r="AC43" s="21" t="str">
        <f t="shared" si="0"/>
        <v/>
      </c>
    </row>
    <row r="44" ht="13.5" customHeight="1" spans="24:29">
      <c r="X44" s="21" t="str">
        <f>IF(K44="紧急",COUNTIF($K$2:K44,"紧急"),"")</f>
        <v/>
      </c>
      <c r="Y44" s="21" t="str">
        <f>IF(V44="未提取",COUNTIF($V$2:V44,"未提取"),"")</f>
        <v/>
      </c>
      <c r="Z44" s="21" t="str">
        <f>IF(OR(V44="提取中",V44="文库构建中",V44="文库质检中",V44="pooling排机中",V44="上机测序中"),SUMPRODUCT((($V$2:V44="提取中")+($V$2:V44="文库构建中")+($V$2:V44="文库质检中")+($V$2:V44="pooling排机中")+($V$2:V44="上机测序中"))*1),"")</f>
        <v/>
      </c>
      <c r="AA44" s="21" t="str">
        <f>IF(V44="测序完成",COUNTIF($V$2:V44,"测序完成"),"")</f>
        <v/>
      </c>
      <c r="AB44" s="21" t="str">
        <f>E44&amp;COUNTIFS($E$2:E44,E44)</f>
        <v>0</v>
      </c>
      <c r="AC44" s="21" t="str">
        <f t="shared" si="0"/>
        <v/>
      </c>
    </row>
    <row r="45" ht="13.5" customHeight="1" spans="24:29">
      <c r="X45" s="21" t="str">
        <f>IF(K45="紧急",COUNTIF($K$2:K45,"紧急"),"")</f>
        <v/>
      </c>
      <c r="Y45" s="21" t="str">
        <f>IF(V45="未提取",COUNTIF($V$2:V45,"未提取"),"")</f>
        <v/>
      </c>
      <c r="Z45" s="21" t="str">
        <f>IF(OR(V45="提取中",V45="文库构建中",V45="文库质检中",V45="pooling排机中",V45="上机测序中"),SUMPRODUCT((($V$2:V45="提取中")+($V$2:V45="文库构建中")+($V$2:V45="文库质检中")+($V$2:V45="pooling排机中")+($V$2:V45="上机测序中"))*1),"")</f>
        <v/>
      </c>
      <c r="AA45" s="21" t="str">
        <f>IF(V45="测序完成",COUNTIF($V$2:V45,"测序完成"),"")</f>
        <v/>
      </c>
      <c r="AB45" s="21" t="str">
        <f>E45&amp;COUNTIFS($E$2:E45,E45)</f>
        <v>0</v>
      </c>
      <c r="AC45" s="21" t="str">
        <f t="shared" si="0"/>
        <v/>
      </c>
    </row>
    <row r="46" ht="13.5" customHeight="1" spans="24:29">
      <c r="X46" s="21" t="str">
        <f>IF(K46="紧急",COUNTIF($K$2:K46,"紧急"),"")</f>
        <v/>
      </c>
      <c r="Y46" s="21" t="str">
        <f>IF(V46="未提取",COUNTIF($V$2:V46,"未提取"),"")</f>
        <v/>
      </c>
      <c r="Z46" s="21" t="str">
        <f>IF(OR(V46="提取中",V46="文库构建中",V46="文库质检中",V46="pooling排机中",V46="上机测序中"),SUMPRODUCT((($V$2:V46="提取中")+($V$2:V46="文库构建中")+($V$2:V46="文库质检中")+($V$2:V46="pooling排机中")+($V$2:V46="上机测序中"))*1),"")</f>
        <v/>
      </c>
      <c r="AA46" s="21" t="str">
        <f>IF(V46="测序完成",COUNTIF($V$2:V46,"测序完成"),"")</f>
        <v/>
      </c>
      <c r="AB46" s="21" t="str">
        <f>E46&amp;COUNTIFS($E$2:E46,E46)</f>
        <v>0</v>
      </c>
      <c r="AC46" s="21" t="str">
        <f t="shared" si="0"/>
        <v/>
      </c>
    </row>
    <row r="47" ht="13.5" customHeight="1" spans="24:29">
      <c r="X47" s="21" t="str">
        <f>IF(K47="紧急",COUNTIF($K$2:K47,"紧急"),"")</f>
        <v/>
      </c>
      <c r="Y47" s="21" t="str">
        <f>IF(V47="未提取",COUNTIF($V$2:V47,"未提取"),"")</f>
        <v/>
      </c>
      <c r="Z47" s="21" t="str">
        <f>IF(OR(V47="提取中",V47="文库构建中",V47="文库质检中",V47="pooling排机中",V47="上机测序中"),SUMPRODUCT((($V$2:V47="提取中")+($V$2:V47="文库构建中")+($V$2:V47="文库质检中")+($V$2:V47="pooling排机中")+($V$2:V47="上机测序中"))*1),"")</f>
        <v/>
      </c>
      <c r="AA47" s="21" t="str">
        <f>IF(V47="测序完成",COUNTIF($V$2:V47,"测序完成"),"")</f>
        <v/>
      </c>
      <c r="AB47" s="21" t="str">
        <f>E47&amp;COUNTIFS($E$2:E47,E47)</f>
        <v>0</v>
      </c>
      <c r="AC47" s="21" t="str">
        <f t="shared" si="0"/>
        <v/>
      </c>
    </row>
    <row r="48" ht="13.5" customHeight="1" spans="24:29">
      <c r="X48" s="21" t="str">
        <f>IF(K48="紧急",COUNTIF($K$2:K48,"紧急"),"")</f>
        <v/>
      </c>
      <c r="Y48" s="21" t="str">
        <f>IF(V48="未提取",COUNTIF($V$2:V48,"未提取"),"")</f>
        <v/>
      </c>
      <c r="Z48" s="21" t="str">
        <f>IF(OR(V48="提取中",V48="文库构建中",V48="文库质检中",V48="pooling排机中",V48="上机测序中"),SUMPRODUCT((($V$2:V48="提取中")+($V$2:V48="文库构建中")+($V$2:V48="文库质检中")+($V$2:V48="pooling排机中")+($V$2:V48="上机测序中"))*1),"")</f>
        <v/>
      </c>
      <c r="AA48" s="21" t="str">
        <f>IF(V48="测序完成",COUNTIF($V$2:V48,"测序完成"),"")</f>
        <v/>
      </c>
      <c r="AB48" s="21" t="str">
        <f>E48&amp;COUNTIFS($E$2:E48,E48)</f>
        <v>0</v>
      </c>
      <c r="AC48" s="21" t="str">
        <f t="shared" si="0"/>
        <v/>
      </c>
    </row>
    <row r="49" ht="13.5" customHeight="1" spans="24:29">
      <c r="X49" s="21" t="str">
        <f>IF(K49="紧急",COUNTIF($K$2:K49,"紧急"),"")</f>
        <v/>
      </c>
      <c r="Y49" s="21" t="str">
        <f>IF(V49="未提取",COUNTIF($V$2:V49,"未提取"),"")</f>
        <v/>
      </c>
      <c r="Z49" s="21" t="str">
        <f>IF(OR(V49="提取中",V49="文库构建中",V49="文库质检中",V49="pooling排机中",V49="上机测序中"),SUMPRODUCT((($V$2:V49="提取中")+($V$2:V49="文库构建中")+($V$2:V49="文库质检中")+($V$2:V49="pooling排机中")+($V$2:V49="上机测序中"))*1),"")</f>
        <v/>
      </c>
      <c r="AA49" s="21" t="str">
        <f>IF(V49="测序完成",COUNTIF($V$2:V49,"测序完成"),"")</f>
        <v/>
      </c>
      <c r="AB49" s="21" t="str">
        <f>E49&amp;COUNTIFS($E$2:E49,E49)</f>
        <v>0</v>
      </c>
      <c r="AC49" s="21" t="str">
        <f t="shared" si="0"/>
        <v/>
      </c>
    </row>
    <row r="50" ht="13.5" customHeight="1" spans="24:29">
      <c r="X50" s="21" t="str">
        <f>IF(K50="紧急",COUNTIF($K$2:K50,"紧急"),"")</f>
        <v/>
      </c>
      <c r="Y50" s="21" t="str">
        <f>IF(V50="未提取",COUNTIF($V$2:V50,"未提取"),"")</f>
        <v/>
      </c>
      <c r="Z50" s="21" t="str">
        <f>IF(OR(V50="提取中",V50="文库构建中",V50="文库质检中",V50="pooling排机中",V50="上机测序中"),SUMPRODUCT((($V$2:V50="提取中")+($V$2:V50="文库构建中")+($V$2:V50="文库质检中")+($V$2:V50="pooling排机中")+($V$2:V50="上机测序中"))*1),"")</f>
        <v/>
      </c>
      <c r="AA50" s="21" t="str">
        <f>IF(V50="测序完成",COUNTIF($V$2:V50,"测序完成"),"")</f>
        <v/>
      </c>
      <c r="AB50" s="21" t="str">
        <f>E50&amp;COUNTIFS($E$2:E50,E50)</f>
        <v>0</v>
      </c>
      <c r="AC50" s="21" t="str">
        <f t="shared" si="0"/>
        <v/>
      </c>
    </row>
    <row r="51" ht="13.5" customHeight="1" spans="24:29">
      <c r="X51" s="21" t="str">
        <f>IF(K51="紧急",COUNTIF($K$2:K51,"紧急"),"")</f>
        <v/>
      </c>
      <c r="Y51" s="21" t="str">
        <f>IF(V51="未提取",COUNTIF($V$2:V51,"未提取"),"")</f>
        <v/>
      </c>
      <c r="Z51" s="21" t="str">
        <f>IF(OR(V51="提取中",V51="文库构建中",V51="文库质检中",V51="pooling排机中",V51="上机测序中"),SUMPRODUCT((($V$2:V51="提取中")+($V$2:V51="文库构建中")+($V$2:V51="文库质检中")+($V$2:V51="pooling排机中")+($V$2:V51="上机测序中"))*1),"")</f>
        <v/>
      </c>
      <c r="AA51" s="21" t="str">
        <f>IF(V51="测序完成",COUNTIF($V$2:V51,"测序完成"),"")</f>
        <v/>
      </c>
      <c r="AB51" s="21" t="str">
        <f>E51&amp;COUNTIFS($E$2:E51,E51)</f>
        <v>0</v>
      </c>
      <c r="AC51" s="21" t="str">
        <f t="shared" si="0"/>
        <v/>
      </c>
    </row>
    <row r="52" ht="13.5" customHeight="1" spans="24:29">
      <c r="X52" s="21" t="str">
        <f>IF(K52="紧急",COUNTIF($K$2:K52,"紧急"),"")</f>
        <v/>
      </c>
      <c r="Y52" s="21" t="str">
        <f>IF(V52="未提取",COUNTIF($V$2:V52,"未提取"),"")</f>
        <v/>
      </c>
      <c r="Z52" s="21" t="str">
        <f>IF(OR(V52="提取中",V52="文库构建中",V52="文库质检中",V52="pooling排机中",V52="上机测序中"),SUMPRODUCT((($V$2:V52="提取中")+($V$2:V52="文库构建中")+($V$2:V52="文库质检中")+($V$2:V52="pooling排机中")+($V$2:V52="上机测序中"))*1),"")</f>
        <v/>
      </c>
      <c r="AA52" s="21" t="str">
        <f>IF(V52="测序完成",COUNTIF($V$2:V52,"测序完成"),"")</f>
        <v/>
      </c>
      <c r="AB52" s="21" t="str">
        <f>E52&amp;COUNTIFS($E$2:E52,E52)</f>
        <v>0</v>
      </c>
      <c r="AC52" s="21" t="str">
        <f t="shared" si="0"/>
        <v/>
      </c>
    </row>
    <row r="53" ht="13.5" customHeight="1" spans="24:29">
      <c r="X53" s="21" t="str">
        <f>IF(K53="紧急",COUNTIF($K$2:K53,"紧急"),"")</f>
        <v/>
      </c>
      <c r="Y53" s="21" t="str">
        <f>IF(V53="未提取",COUNTIF($V$2:V53,"未提取"),"")</f>
        <v/>
      </c>
      <c r="Z53" s="21" t="str">
        <f>IF(OR(V53="提取中",V53="文库构建中",V53="文库质检中",V53="pooling排机中",V53="上机测序中"),SUMPRODUCT((($V$2:V53="提取中")+($V$2:V53="文库构建中")+($V$2:V53="文库质检中")+($V$2:V53="pooling排机中")+($V$2:V53="上机测序中"))*1),"")</f>
        <v/>
      </c>
      <c r="AA53" s="21" t="str">
        <f>IF(V53="测序完成",COUNTIF($V$2:V53,"测序完成"),"")</f>
        <v/>
      </c>
      <c r="AB53" s="21" t="str">
        <f>E53&amp;COUNTIFS($E$2:E53,E53)</f>
        <v>0</v>
      </c>
      <c r="AC53" s="21" t="str">
        <f t="shared" si="0"/>
        <v/>
      </c>
    </row>
    <row r="54" ht="13.5" customHeight="1" spans="24:29">
      <c r="X54" s="21" t="str">
        <f>IF(K54="紧急",COUNTIF($K$2:K54,"紧急"),"")</f>
        <v/>
      </c>
      <c r="Y54" s="21" t="str">
        <f>IF(V54="未提取",COUNTIF($V$2:V54,"未提取"),"")</f>
        <v/>
      </c>
      <c r="Z54" s="21" t="str">
        <f>IF(OR(V54="提取中",V54="文库构建中",V54="文库质检中",V54="pooling排机中",V54="上机测序中"),SUMPRODUCT((($V$2:V54="提取中")+($V$2:V54="文库构建中")+($V$2:V54="文库质检中")+($V$2:V54="pooling排机中")+($V$2:V54="上机测序中"))*1),"")</f>
        <v/>
      </c>
      <c r="AA54" s="21" t="str">
        <f>IF(V54="测序完成",COUNTIF($V$2:V54,"测序完成"),"")</f>
        <v/>
      </c>
      <c r="AB54" s="21" t="str">
        <f>E54&amp;COUNTIFS($E$2:E54,E54)</f>
        <v>0</v>
      </c>
      <c r="AC54" s="21" t="str">
        <f t="shared" si="0"/>
        <v/>
      </c>
    </row>
    <row r="55" ht="13.5" customHeight="1" spans="24:29">
      <c r="X55" s="21" t="str">
        <f>IF(K55="紧急",COUNTIF($K$2:K55,"紧急"),"")</f>
        <v/>
      </c>
      <c r="Y55" s="21" t="str">
        <f>IF(V55="未提取",COUNTIF($V$2:V55,"未提取"),"")</f>
        <v/>
      </c>
      <c r="Z55" s="21" t="str">
        <f>IF(OR(V55="提取中",V55="文库构建中",V55="文库质检中",V55="pooling排机中",V55="上机测序中"),SUMPRODUCT((($V$2:V55="提取中")+($V$2:V55="文库构建中")+($V$2:V55="文库质检中")+($V$2:V55="pooling排机中")+($V$2:V55="上机测序中"))*1),"")</f>
        <v/>
      </c>
      <c r="AA55" s="21" t="str">
        <f>IF(V55="测序完成",COUNTIF($V$2:V55,"测序完成"),"")</f>
        <v/>
      </c>
      <c r="AB55" s="21" t="str">
        <f>E55&amp;COUNTIFS($E$2:E55,E55)</f>
        <v>0</v>
      </c>
      <c r="AC55" s="21" t="str">
        <f t="shared" si="0"/>
        <v/>
      </c>
    </row>
    <row r="56" ht="13.5" customHeight="1" spans="24:29">
      <c r="X56" s="21" t="str">
        <f>IF(K56="紧急",COUNTIF($K$2:K56,"紧急"),"")</f>
        <v/>
      </c>
      <c r="Y56" s="21" t="str">
        <f>IF(V56="未提取",COUNTIF($V$2:V56,"未提取"),"")</f>
        <v/>
      </c>
      <c r="Z56" s="21" t="str">
        <f>IF(OR(V56="提取中",V56="文库构建中",V56="文库质检中",V56="pooling排机中",V56="上机测序中"),SUMPRODUCT((($V$2:V56="提取中")+($V$2:V56="文库构建中")+($V$2:V56="文库质检中")+($V$2:V56="pooling排机中")+($V$2:V56="上机测序中"))*1),"")</f>
        <v/>
      </c>
      <c r="AA56" s="21" t="str">
        <f>IF(V56="测序完成",COUNTIF($V$2:V56,"测序完成"),"")</f>
        <v/>
      </c>
      <c r="AB56" s="21" t="str">
        <f>E56&amp;COUNTIFS($E$2:E56,E56)</f>
        <v>0</v>
      </c>
      <c r="AC56" s="21" t="str">
        <f t="shared" si="0"/>
        <v/>
      </c>
    </row>
    <row r="57" ht="13.5" customHeight="1" spans="24:29">
      <c r="X57" s="21" t="str">
        <f>IF(K57="紧急",COUNTIF($K$2:K57,"紧急"),"")</f>
        <v/>
      </c>
      <c r="Y57" s="21" t="str">
        <f>IF(V57="未提取",COUNTIF($V$2:V57,"未提取"),"")</f>
        <v/>
      </c>
      <c r="Z57" s="21" t="str">
        <f>IF(OR(V57="提取中",V57="文库构建中",V57="文库质检中",V57="pooling排机中",V57="上机测序中"),SUMPRODUCT((($V$2:V57="提取中")+($V$2:V57="文库构建中")+($V$2:V57="文库质检中")+($V$2:V57="pooling排机中")+($V$2:V57="上机测序中"))*1),"")</f>
        <v/>
      </c>
      <c r="AA57" s="21" t="str">
        <f>IF(V57="测序完成",COUNTIF($V$2:V57,"测序完成"),"")</f>
        <v/>
      </c>
      <c r="AB57" s="21" t="str">
        <f>E57&amp;COUNTIFS($E$2:E57,E57)</f>
        <v>0</v>
      </c>
      <c r="AC57" s="21" t="str">
        <f t="shared" si="0"/>
        <v/>
      </c>
    </row>
    <row r="58" ht="13.5" customHeight="1" spans="24:29">
      <c r="X58" s="21" t="str">
        <f>IF(K58="紧急",COUNTIF($K$2:K58,"紧急"),"")</f>
        <v/>
      </c>
      <c r="Y58" s="21" t="str">
        <f>IF(V58="未提取",COUNTIF($V$2:V58,"未提取"),"")</f>
        <v/>
      </c>
      <c r="Z58" s="21" t="str">
        <f>IF(OR(V58="提取中",V58="文库构建中",V58="文库质检中",V58="pooling排机中",V58="上机测序中"),SUMPRODUCT((($V$2:V58="提取中")+($V$2:V58="文库构建中")+($V$2:V58="文库质检中")+($V$2:V58="pooling排机中")+($V$2:V58="上机测序中"))*1),"")</f>
        <v/>
      </c>
      <c r="AA58" s="21" t="str">
        <f>IF(V58="测序完成",COUNTIF($V$2:V58,"测序完成"),"")</f>
        <v/>
      </c>
      <c r="AB58" s="21" t="str">
        <f>E58&amp;COUNTIFS($E$2:E58,E58)</f>
        <v>0</v>
      </c>
      <c r="AC58" s="21" t="str">
        <f t="shared" si="0"/>
        <v/>
      </c>
    </row>
    <row r="59" ht="13.5" customHeight="1" spans="24:29">
      <c r="X59" s="21" t="str">
        <f>IF(K59="紧急",COUNTIF($K$2:K59,"紧急"),"")</f>
        <v/>
      </c>
      <c r="Y59" s="21" t="str">
        <f>IF(V59="未提取",COUNTIF($V$2:V59,"未提取"),"")</f>
        <v/>
      </c>
      <c r="Z59" s="21" t="str">
        <f>IF(OR(V59="提取中",V59="文库构建中",V59="文库质检中",V59="pooling排机中",V59="上机测序中"),SUMPRODUCT((($V$2:V59="提取中")+($V$2:V59="文库构建中")+($V$2:V59="文库质检中")+($V$2:V59="pooling排机中")+($V$2:V59="上机测序中"))*1),"")</f>
        <v/>
      </c>
      <c r="AA59" s="21" t="str">
        <f>IF(V59="测序完成",COUNTIF($V$2:V59,"测序完成"),"")</f>
        <v/>
      </c>
      <c r="AB59" s="21" t="str">
        <f>E59&amp;COUNTIFS($E$2:E59,E59)</f>
        <v>0</v>
      </c>
      <c r="AC59" s="21" t="str">
        <f t="shared" si="0"/>
        <v/>
      </c>
    </row>
    <row r="60" ht="13.5" customHeight="1" spans="24:29">
      <c r="X60" s="21" t="str">
        <f>IF(K60="紧急",COUNTIF($K$2:K60,"紧急"),"")</f>
        <v/>
      </c>
      <c r="Y60" s="21" t="str">
        <f>IF(V60="未提取",COUNTIF($V$2:V60,"未提取"),"")</f>
        <v/>
      </c>
      <c r="Z60" s="21" t="str">
        <f>IF(OR(V60="提取中",V60="文库构建中",V60="文库质检中",V60="pooling排机中",V60="上机测序中"),SUMPRODUCT((($V$2:V60="提取中")+($V$2:V60="文库构建中")+($V$2:V60="文库质检中")+($V$2:V60="pooling排机中")+($V$2:V60="上机测序中"))*1),"")</f>
        <v/>
      </c>
      <c r="AA60" s="21" t="str">
        <f>IF(V60="测序完成",COUNTIF($V$2:V60,"测序完成"),"")</f>
        <v/>
      </c>
      <c r="AB60" s="21" t="str">
        <f>E60&amp;COUNTIFS($E$2:E60,E60)</f>
        <v>0</v>
      </c>
      <c r="AC60" s="21" t="str">
        <f t="shared" si="0"/>
        <v/>
      </c>
    </row>
    <row r="61" ht="13.5" customHeight="1" spans="24:29">
      <c r="X61" s="21" t="str">
        <f>IF(K61="紧急",COUNTIF($K$2:K61,"紧急"),"")</f>
        <v/>
      </c>
      <c r="Y61" s="21" t="str">
        <f>IF(V61="未提取",COUNTIF($V$2:V61,"未提取"),"")</f>
        <v/>
      </c>
      <c r="Z61" s="21" t="str">
        <f>IF(OR(V61="提取中",V61="文库构建中",V61="文库质检中",V61="pooling排机中",V61="上机测序中"),SUMPRODUCT((($V$2:V61="提取中")+($V$2:V61="文库构建中")+($V$2:V61="文库质检中")+($V$2:V61="pooling排机中")+($V$2:V61="上机测序中"))*1),"")</f>
        <v/>
      </c>
      <c r="AA61" s="21" t="str">
        <f>IF(V61="测序完成",COUNTIF($V$2:V61,"测序完成"),"")</f>
        <v/>
      </c>
      <c r="AB61" s="21" t="str">
        <f>E61&amp;COUNTIFS($E$2:E61,E61)</f>
        <v>0</v>
      </c>
      <c r="AC61" s="21" t="str">
        <f t="shared" si="0"/>
        <v/>
      </c>
    </row>
    <row r="62" ht="13.5" customHeight="1" spans="24:29">
      <c r="X62" s="21" t="str">
        <f>IF(K62="紧急",COUNTIF($K$2:K62,"紧急"),"")</f>
        <v/>
      </c>
      <c r="Y62" s="21" t="str">
        <f>IF(V62="未提取",COUNTIF($V$2:V62,"未提取"),"")</f>
        <v/>
      </c>
      <c r="Z62" s="21" t="str">
        <f>IF(OR(V62="提取中",V62="文库构建中",V62="文库质检中",V62="pooling排机中",V62="上机测序中"),SUMPRODUCT((($V$2:V62="提取中")+($V$2:V62="文库构建中")+($V$2:V62="文库质检中")+($V$2:V62="pooling排机中")+($V$2:V62="上机测序中"))*1),"")</f>
        <v/>
      </c>
      <c r="AA62" s="21" t="str">
        <f>IF(V62="测序完成",COUNTIF($V$2:V62,"测序完成"),"")</f>
        <v/>
      </c>
      <c r="AB62" s="21" t="str">
        <f>E62&amp;COUNTIFS($E$2:E62,E62)</f>
        <v>0</v>
      </c>
      <c r="AC62" s="21" t="str">
        <f t="shared" si="0"/>
        <v/>
      </c>
    </row>
    <row r="63" ht="13.5" customHeight="1" spans="24:29">
      <c r="X63" s="21" t="str">
        <f>IF(K63="紧急",COUNTIF($K$2:K63,"紧急"),"")</f>
        <v/>
      </c>
      <c r="Y63" s="21" t="str">
        <f>IF(V63="未提取",COUNTIF($V$2:V63,"未提取"),"")</f>
        <v/>
      </c>
      <c r="Z63" s="21" t="str">
        <f>IF(OR(V63="提取中",V63="文库构建中",V63="文库质检中",V63="pooling排机中",V63="上机测序中"),SUMPRODUCT((($V$2:V63="提取中")+($V$2:V63="文库构建中")+($V$2:V63="文库质检中")+($V$2:V63="pooling排机中")+($V$2:V63="上机测序中"))*1),"")</f>
        <v/>
      </c>
      <c r="AA63" s="21" t="str">
        <f>IF(V63="测序完成",COUNTIF($V$2:V63,"测序完成"),"")</f>
        <v/>
      </c>
      <c r="AB63" s="21" t="str">
        <f>E63&amp;COUNTIFS($E$2:E63,E63)</f>
        <v>0</v>
      </c>
      <c r="AC63" s="21" t="str">
        <f t="shared" si="0"/>
        <v/>
      </c>
    </row>
    <row r="64" ht="13.5" customHeight="1" spans="24:29">
      <c r="X64" s="21" t="str">
        <f>IF(K64="紧急",COUNTIF($K$2:K64,"紧急"),"")</f>
        <v/>
      </c>
      <c r="Y64" s="21" t="str">
        <f>IF(V64="未提取",COUNTIF($V$2:V64,"未提取"),"")</f>
        <v/>
      </c>
      <c r="Z64" s="21" t="str">
        <f>IF(OR(V64="提取中",V64="文库构建中",V64="文库质检中",V64="pooling排机中",V64="上机测序中"),SUMPRODUCT((($V$2:V64="提取中")+($V$2:V64="文库构建中")+($V$2:V64="文库质检中")+($V$2:V64="pooling排机中")+($V$2:V64="上机测序中"))*1),"")</f>
        <v/>
      </c>
      <c r="AA64" s="21" t="str">
        <f>IF(V64="测序完成",COUNTIF($V$2:V64,"测序完成"),"")</f>
        <v/>
      </c>
      <c r="AB64" s="21" t="str">
        <f>E64&amp;COUNTIFS($E$2:E64,E64)</f>
        <v>0</v>
      </c>
      <c r="AC64" s="21" t="str">
        <f t="shared" si="0"/>
        <v/>
      </c>
    </row>
    <row r="65" ht="13.5" customHeight="1" spans="24:29">
      <c r="X65" s="21" t="str">
        <f>IF(K65="紧急",COUNTIF($K$2:K65,"紧急"),"")</f>
        <v/>
      </c>
      <c r="Y65" s="21" t="str">
        <f>IF(V65="未提取",COUNTIF($V$2:V65,"未提取"),"")</f>
        <v/>
      </c>
      <c r="Z65" s="21" t="str">
        <f>IF(OR(V65="提取中",V65="文库构建中",V65="文库质检中",V65="pooling排机中",V65="上机测序中"),SUMPRODUCT((($V$2:V65="提取中")+($V$2:V65="文库构建中")+($V$2:V65="文库质检中")+($V$2:V65="pooling排机中")+($V$2:V65="上机测序中"))*1),"")</f>
        <v/>
      </c>
      <c r="AA65" s="21" t="str">
        <f>IF(V65="测序完成",COUNTIF($V$2:V65,"测序完成"),"")</f>
        <v/>
      </c>
      <c r="AB65" s="21" t="str">
        <f>E65&amp;COUNTIFS($E$2:E65,E65)</f>
        <v>0</v>
      </c>
      <c r="AC65" s="21" t="str">
        <f t="shared" si="0"/>
        <v/>
      </c>
    </row>
    <row r="66" ht="13.5" customHeight="1" spans="24:29">
      <c r="X66" s="21" t="str">
        <f>IF(K66="紧急",COUNTIF($K$2:K66,"紧急"),"")</f>
        <v/>
      </c>
      <c r="Y66" s="21" t="str">
        <f>IF(V66="未提取",COUNTIF($V$2:V66,"未提取"),"")</f>
        <v/>
      </c>
      <c r="Z66" s="21" t="str">
        <f>IF(OR(V66="提取中",V66="文库构建中",V66="文库质检中",V66="pooling排机中",V66="上机测序中"),SUMPRODUCT((($V$2:V66="提取中")+($V$2:V66="文库构建中")+($V$2:V66="文库质检中")+($V$2:V66="pooling排机中")+($V$2:V66="上机测序中"))*1),"")</f>
        <v/>
      </c>
      <c r="AA66" s="21" t="str">
        <f>IF(V66="测序完成",COUNTIF($V$2:V66,"测序完成"),"")</f>
        <v/>
      </c>
      <c r="AB66" s="21" t="str">
        <f>E66&amp;COUNTIFS($E$2:E66,E66)</f>
        <v>0</v>
      </c>
      <c r="AC66" s="21" t="str">
        <f t="shared" ref="AC66:AC129" si="1">IF(A66&lt;&gt;"",ROW()-1,"")</f>
        <v/>
      </c>
    </row>
    <row r="67" ht="13.5" customHeight="1" spans="24:29">
      <c r="X67" s="21" t="str">
        <f>IF(K67="紧急",COUNTIF($K$2:K67,"紧急"),"")</f>
        <v/>
      </c>
      <c r="Y67" s="21" t="str">
        <f>IF(V67="未提取",COUNTIF($V$2:V67,"未提取"),"")</f>
        <v/>
      </c>
      <c r="Z67" s="21" t="str">
        <f>IF(OR(V67="提取中",V67="文库构建中",V67="文库质检中",V67="pooling排机中",V67="上机测序中"),SUMPRODUCT((($V$2:V67="提取中")+($V$2:V67="文库构建中")+($V$2:V67="文库质检中")+($V$2:V67="pooling排机中")+($V$2:V67="上机测序中"))*1),"")</f>
        <v/>
      </c>
      <c r="AA67" s="21" t="str">
        <f>IF(V67="测序完成",COUNTIF($V$2:V67,"测序完成"),"")</f>
        <v/>
      </c>
      <c r="AB67" s="21" t="str">
        <f>E67&amp;COUNTIFS($E$2:E67,E67)</f>
        <v>0</v>
      </c>
      <c r="AC67" s="21" t="str">
        <f t="shared" si="1"/>
        <v/>
      </c>
    </row>
    <row r="68" ht="13.5" customHeight="1" spans="24:29">
      <c r="X68" s="21" t="str">
        <f>IF(K68="紧急",COUNTIF($K$2:K68,"紧急"),"")</f>
        <v/>
      </c>
      <c r="Y68" s="21" t="str">
        <f>IF(V68="未提取",COUNTIF($V$2:V68,"未提取"),"")</f>
        <v/>
      </c>
      <c r="Z68" s="21" t="str">
        <f>IF(OR(V68="提取中",V68="文库构建中",V68="文库质检中",V68="pooling排机中",V68="上机测序中"),SUMPRODUCT((($V$2:V68="提取中")+($V$2:V68="文库构建中")+($V$2:V68="文库质检中")+($V$2:V68="pooling排机中")+($V$2:V68="上机测序中"))*1),"")</f>
        <v/>
      </c>
      <c r="AA68" s="21" t="str">
        <f>IF(V68="测序完成",COUNTIF($V$2:V68,"测序完成"),"")</f>
        <v/>
      </c>
      <c r="AB68" s="21" t="str">
        <f>E68&amp;COUNTIFS($E$2:E68,E68)</f>
        <v>0</v>
      </c>
      <c r="AC68" s="21" t="str">
        <f t="shared" si="1"/>
        <v/>
      </c>
    </row>
    <row r="69" ht="13.5" customHeight="1" spans="24:29">
      <c r="X69" s="21" t="str">
        <f>IF(K69="紧急",COUNTIF($K$2:K69,"紧急"),"")</f>
        <v/>
      </c>
      <c r="Y69" s="21" t="str">
        <f>IF(V69="未提取",COUNTIF($V$2:V69,"未提取"),"")</f>
        <v/>
      </c>
      <c r="Z69" s="21" t="str">
        <f>IF(OR(V69="提取中",V69="文库构建中",V69="文库质检中",V69="pooling排机中",V69="上机测序中"),SUMPRODUCT((($V$2:V69="提取中")+($V$2:V69="文库构建中")+($V$2:V69="文库质检中")+($V$2:V69="pooling排机中")+($V$2:V69="上机测序中"))*1),"")</f>
        <v/>
      </c>
      <c r="AA69" s="21" t="str">
        <f>IF(V69="测序完成",COUNTIF($V$2:V69,"测序完成"),"")</f>
        <v/>
      </c>
      <c r="AB69" s="21" t="str">
        <f>E69&amp;COUNTIFS($E$2:E69,E69)</f>
        <v>0</v>
      </c>
      <c r="AC69" s="21" t="str">
        <f t="shared" si="1"/>
        <v/>
      </c>
    </row>
    <row r="70" ht="13.5" customHeight="1" spans="24:29">
      <c r="X70" s="21" t="str">
        <f>IF(K70="紧急",COUNTIF($K$2:K70,"紧急"),"")</f>
        <v/>
      </c>
      <c r="Y70" s="21" t="str">
        <f>IF(V70="未提取",COUNTIF($V$2:V70,"未提取"),"")</f>
        <v/>
      </c>
      <c r="Z70" s="21" t="str">
        <f>IF(OR(V70="提取中",V70="文库构建中",V70="文库质检中",V70="pooling排机中",V70="上机测序中"),SUMPRODUCT((($V$2:V70="提取中")+($V$2:V70="文库构建中")+($V$2:V70="文库质检中")+($V$2:V70="pooling排机中")+($V$2:V70="上机测序中"))*1),"")</f>
        <v/>
      </c>
      <c r="AA70" s="21" t="str">
        <f>IF(V70="测序完成",COUNTIF($V$2:V70,"测序完成"),"")</f>
        <v/>
      </c>
      <c r="AB70" s="21" t="str">
        <f>E70&amp;COUNTIFS($E$2:E70,E70)</f>
        <v>0</v>
      </c>
      <c r="AC70" s="21" t="str">
        <f t="shared" si="1"/>
        <v/>
      </c>
    </row>
    <row r="71" ht="13.5" customHeight="1" spans="24:29">
      <c r="X71" s="21" t="str">
        <f>IF(K71="紧急",COUNTIF($K$2:K71,"紧急"),"")</f>
        <v/>
      </c>
      <c r="Y71" s="21" t="str">
        <f>IF(V71="未提取",COUNTIF($V$2:V71,"未提取"),"")</f>
        <v/>
      </c>
      <c r="Z71" s="21" t="str">
        <f>IF(OR(V71="提取中",V71="文库构建中",V71="文库质检中",V71="pooling排机中",V71="上机测序中"),SUMPRODUCT((($V$2:V71="提取中")+($V$2:V71="文库构建中")+($V$2:V71="文库质检中")+($V$2:V71="pooling排机中")+($V$2:V71="上机测序中"))*1),"")</f>
        <v/>
      </c>
      <c r="AA71" s="21" t="str">
        <f>IF(V71="测序完成",COUNTIF($V$2:V71,"测序完成"),"")</f>
        <v/>
      </c>
      <c r="AB71" s="21" t="str">
        <f>E71&amp;COUNTIFS($E$2:E71,E71)</f>
        <v>0</v>
      </c>
      <c r="AC71" s="21" t="str">
        <f t="shared" si="1"/>
        <v/>
      </c>
    </row>
    <row r="72" ht="13.5" customHeight="1" spans="24:29">
      <c r="X72" s="21" t="str">
        <f>IF(K72="紧急",COUNTIF($K$2:K72,"紧急"),"")</f>
        <v/>
      </c>
      <c r="Y72" s="21" t="str">
        <f>IF(V72="未提取",COUNTIF($V$2:V72,"未提取"),"")</f>
        <v/>
      </c>
      <c r="Z72" s="21" t="str">
        <f>IF(OR(V72="提取中",V72="文库构建中",V72="文库质检中",V72="pooling排机中",V72="上机测序中"),SUMPRODUCT((($V$2:V72="提取中")+($V$2:V72="文库构建中")+($V$2:V72="文库质检中")+($V$2:V72="pooling排机中")+($V$2:V72="上机测序中"))*1),"")</f>
        <v/>
      </c>
      <c r="AA72" s="21" t="str">
        <f>IF(V72="测序完成",COUNTIF($V$2:V72,"测序完成"),"")</f>
        <v/>
      </c>
      <c r="AB72" s="21" t="str">
        <f>E72&amp;COUNTIFS($E$2:E72,E72)</f>
        <v>0</v>
      </c>
      <c r="AC72" s="21" t="str">
        <f t="shared" si="1"/>
        <v/>
      </c>
    </row>
    <row r="73" ht="13.5" customHeight="1" spans="24:29">
      <c r="X73" s="21" t="str">
        <f>IF(K73="紧急",COUNTIF($K$2:K73,"紧急"),"")</f>
        <v/>
      </c>
      <c r="Y73" s="21" t="str">
        <f>IF(V73="未提取",COUNTIF($V$2:V73,"未提取"),"")</f>
        <v/>
      </c>
      <c r="Z73" s="21" t="str">
        <f>IF(OR(V73="提取中",V73="文库构建中",V73="文库质检中",V73="pooling排机中",V73="上机测序中"),SUMPRODUCT((($V$2:V73="提取中")+($V$2:V73="文库构建中")+($V$2:V73="文库质检中")+($V$2:V73="pooling排机中")+($V$2:V73="上机测序中"))*1),"")</f>
        <v/>
      </c>
      <c r="AA73" s="21" t="str">
        <f>IF(V73="测序完成",COUNTIF($V$2:V73,"测序完成"),"")</f>
        <v/>
      </c>
      <c r="AB73" s="21" t="str">
        <f>E73&amp;COUNTIFS($E$2:E73,E73)</f>
        <v>0</v>
      </c>
      <c r="AC73" s="21" t="str">
        <f t="shared" si="1"/>
        <v/>
      </c>
    </row>
    <row r="74" ht="13.5" customHeight="1" spans="24:29">
      <c r="X74" s="21" t="str">
        <f>IF(K74="紧急",COUNTIF($K$2:K74,"紧急"),"")</f>
        <v/>
      </c>
      <c r="Y74" s="21" t="str">
        <f>IF(V74="未提取",COUNTIF($V$2:V74,"未提取"),"")</f>
        <v/>
      </c>
      <c r="Z74" s="21" t="str">
        <f>IF(OR(V74="提取中",V74="文库构建中",V74="文库质检中",V74="pooling排机中",V74="上机测序中"),SUMPRODUCT((($V$2:V74="提取中")+($V$2:V74="文库构建中")+($V$2:V74="文库质检中")+($V$2:V74="pooling排机中")+($V$2:V74="上机测序中"))*1),"")</f>
        <v/>
      </c>
      <c r="AA74" s="21" t="str">
        <f>IF(V74="测序完成",COUNTIF($V$2:V74,"测序完成"),"")</f>
        <v/>
      </c>
      <c r="AB74" s="21" t="str">
        <f>E74&amp;COUNTIFS($E$2:E74,E74)</f>
        <v>0</v>
      </c>
      <c r="AC74" s="21" t="str">
        <f t="shared" si="1"/>
        <v/>
      </c>
    </row>
    <row r="75" ht="13.5" customHeight="1" spans="24:29">
      <c r="X75" s="21" t="str">
        <f>IF(K75="紧急",COUNTIF($K$2:K75,"紧急"),"")</f>
        <v/>
      </c>
      <c r="Y75" s="21" t="str">
        <f>IF(V75="未提取",COUNTIF($V$2:V75,"未提取"),"")</f>
        <v/>
      </c>
      <c r="Z75" s="21" t="str">
        <f>IF(OR(V75="提取中",V75="文库构建中",V75="文库质检中",V75="pooling排机中",V75="上机测序中"),SUMPRODUCT((($V$2:V75="提取中")+($V$2:V75="文库构建中")+($V$2:V75="文库质检中")+($V$2:V75="pooling排机中")+($V$2:V75="上机测序中"))*1),"")</f>
        <v/>
      </c>
      <c r="AA75" s="21" t="str">
        <f>IF(V75="测序完成",COUNTIF($V$2:V75,"测序完成"),"")</f>
        <v/>
      </c>
      <c r="AB75" s="21" t="str">
        <f>E75&amp;COUNTIFS($E$2:E75,E75)</f>
        <v>0</v>
      </c>
      <c r="AC75" s="21" t="str">
        <f t="shared" si="1"/>
        <v/>
      </c>
    </row>
    <row r="76" ht="13.5" customHeight="1" spans="24:29">
      <c r="X76" s="21" t="str">
        <f>IF(K76="紧急",COUNTIF($K$2:K76,"紧急"),"")</f>
        <v/>
      </c>
      <c r="Y76" s="21" t="str">
        <f>IF(V76="未提取",COUNTIF($V$2:V76,"未提取"),"")</f>
        <v/>
      </c>
      <c r="Z76" s="21" t="str">
        <f>IF(OR(V76="提取中",V76="文库构建中",V76="文库质检中",V76="pooling排机中",V76="上机测序中"),SUMPRODUCT((($V$2:V76="提取中")+($V$2:V76="文库构建中")+($V$2:V76="文库质检中")+($V$2:V76="pooling排机中")+($V$2:V76="上机测序中"))*1),"")</f>
        <v/>
      </c>
      <c r="AA76" s="21" t="str">
        <f>IF(V76="测序完成",COUNTIF($V$2:V76,"测序完成"),"")</f>
        <v/>
      </c>
      <c r="AB76" s="21" t="str">
        <f>E76&amp;COUNTIFS($E$2:E76,E76)</f>
        <v>0</v>
      </c>
      <c r="AC76" s="21" t="str">
        <f t="shared" si="1"/>
        <v/>
      </c>
    </row>
    <row r="77" ht="13.5" customHeight="1" spans="24:29">
      <c r="X77" s="21" t="str">
        <f>IF(K77="紧急",COUNTIF($K$2:K77,"紧急"),"")</f>
        <v/>
      </c>
      <c r="Y77" s="21" t="str">
        <f>IF(V77="未提取",COUNTIF($V$2:V77,"未提取"),"")</f>
        <v/>
      </c>
      <c r="Z77" s="21" t="str">
        <f>IF(OR(V77="提取中",V77="文库构建中",V77="文库质检中",V77="pooling排机中",V77="上机测序中"),SUMPRODUCT((($V$2:V77="提取中")+($V$2:V77="文库构建中")+($V$2:V77="文库质检中")+($V$2:V77="pooling排机中")+($V$2:V77="上机测序中"))*1),"")</f>
        <v/>
      </c>
      <c r="AA77" s="21" t="str">
        <f>IF(V77="测序完成",COUNTIF($V$2:V77,"测序完成"),"")</f>
        <v/>
      </c>
      <c r="AB77" s="21" t="str">
        <f>E77&amp;COUNTIFS($E$2:E77,E77)</f>
        <v>0</v>
      </c>
      <c r="AC77" s="21" t="str">
        <f t="shared" si="1"/>
        <v/>
      </c>
    </row>
    <row r="78" ht="13.5" customHeight="1" spans="24:29">
      <c r="X78" s="21" t="str">
        <f>IF(K78="紧急",COUNTIF($K$2:K78,"紧急"),"")</f>
        <v/>
      </c>
      <c r="Y78" s="21" t="str">
        <f>IF(V78="未提取",COUNTIF($V$2:V78,"未提取"),"")</f>
        <v/>
      </c>
      <c r="Z78" s="21" t="str">
        <f>IF(OR(V78="提取中",V78="文库构建中",V78="文库质检中",V78="pooling排机中",V78="上机测序中"),SUMPRODUCT((($V$2:V78="提取中")+($V$2:V78="文库构建中")+($V$2:V78="文库质检中")+($V$2:V78="pooling排机中")+($V$2:V78="上机测序中"))*1),"")</f>
        <v/>
      </c>
      <c r="AA78" s="21" t="str">
        <f>IF(V78="测序完成",COUNTIF($V$2:V78,"测序完成"),"")</f>
        <v/>
      </c>
      <c r="AB78" s="21" t="str">
        <f>E78&amp;COUNTIFS($E$2:E78,E78)</f>
        <v>0</v>
      </c>
      <c r="AC78" s="21" t="str">
        <f t="shared" si="1"/>
        <v/>
      </c>
    </row>
    <row r="79" ht="13.5" customHeight="1" spans="24:29">
      <c r="X79" s="21" t="str">
        <f>IF(K79="紧急",COUNTIF($K$2:K79,"紧急"),"")</f>
        <v/>
      </c>
      <c r="Y79" s="21" t="str">
        <f>IF(V79="未提取",COUNTIF($V$2:V79,"未提取"),"")</f>
        <v/>
      </c>
      <c r="Z79" s="21" t="str">
        <f>IF(OR(V79="提取中",V79="文库构建中",V79="文库质检中",V79="pooling排机中",V79="上机测序中"),SUMPRODUCT((($V$2:V79="提取中")+($V$2:V79="文库构建中")+($V$2:V79="文库质检中")+($V$2:V79="pooling排机中")+($V$2:V79="上机测序中"))*1),"")</f>
        <v/>
      </c>
      <c r="AA79" s="21" t="str">
        <f>IF(V79="测序完成",COUNTIF($V$2:V79,"测序完成"),"")</f>
        <v/>
      </c>
      <c r="AB79" s="21" t="str">
        <f>E79&amp;COUNTIFS($E$2:E79,E79)</f>
        <v>0</v>
      </c>
      <c r="AC79" s="21" t="str">
        <f t="shared" si="1"/>
        <v/>
      </c>
    </row>
    <row r="80" ht="13.5" customHeight="1" spans="24:29">
      <c r="X80" s="21" t="str">
        <f>IF(K80="紧急",COUNTIF($K$2:K80,"紧急"),"")</f>
        <v/>
      </c>
      <c r="Y80" s="21" t="str">
        <f>IF(V80="未提取",COUNTIF($V$2:V80,"未提取"),"")</f>
        <v/>
      </c>
      <c r="Z80" s="21" t="str">
        <f>IF(OR(V80="提取中",V80="文库构建中",V80="文库质检中",V80="pooling排机中",V80="上机测序中"),SUMPRODUCT((($V$2:V80="提取中")+($V$2:V80="文库构建中")+($V$2:V80="文库质检中")+($V$2:V80="pooling排机中")+($V$2:V80="上机测序中"))*1),"")</f>
        <v/>
      </c>
      <c r="AA80" s="21" t="str">
        <f>IF(V80="测序完成",COUNTIF($V$2:V80,"测序完成"),"")</f>
        <v/>
      </c>
      <c r="AB80" s="21" t="str">
        <f>E80&amp;COUNTIFS($E$2:E80,E80)</f>
        <v>0</v>
      </c>
      <c r="AC80" s="21" t="str">
        <f t="shared" si="1"/>
        <v/>
      </c>
    </row>
    <row r="81" ht="13.5" customHeight="1" spans="24:29">
      <c r="X81" s="21" t="str">
        <f>IF(K81="紧急",COUNTIF($K$2:K81,"紧急"),"")</f>
        <v/>
      </c>
      <c r="Y81" s="21" t="str">
        <f>IF(V81="未提取",COUNTIF($V$2:V81,"未提取"),"")</f>
        <v/>
      </c>
      <c r="Z81" s="21" t="str">
        <f>IF(OR(V81="提取中",V81="文库构建中",V81="文库质检中",V81="pooling排机中",V81="上机测序中"),SUMPRODUCT((($V$2:V81="提取中")+($V$2:V81="文库构建中")+($V$2:V81="文库质检中")+($V$2:V81="pooling排机中")+($V$2:V81="上机测序中"))*1),"")</f>
        <v/>
      </c>
      <c r="AA81" s="21" t="str">
        <f>IF(V81="测序完成",COUNTIF($V$2:V81,"测序完成"),"")</f>
        <v/>
      </c>
      <c r="AB81" s="21" t="str">
        <f>E81&amp;COUNTIFS($E$2:E81,E81)</f>
        <v>0</v>
      </c>
      <c r="AC81" s="21" t="str">
        <f t="shared" si="1"/>
        <v/>
      </c>
    </row>
    <row r="82" ht="13.5" customHeight="1" spans="24:29">
      <c r="X82" s="21" t="str">
        <f>IF(K82="紧急",COUNTIF($K$2:K82,"紧急"),"")</f>
        <v/>
      </c>
      <c r="Y82" s="21" t="str">
        <f>IF(V82="未提取",COUNTIF($V$2:V82,"未提取"),"")</f>
        <v/>
      </c>
      <c r="Z82" s="21" t="str">
        <f>IF(OR(V82="提取中",V82="文库构建中",V82="文库质检中",V82="pooling排机中",V82="上机测序中"),SUMPRODUCT((($V$2:V82="提取中")+($V$2:V82="文库构建中")+($V$2:V82="文库质检中")+($V$2:V82="pooling排机中")+($V$2:V82="上机测序中"))*1),"")</f>
        <v/>
      </c>
      <c r="AA82" s="21" t="str">
        <f>IF(V82="测序完成",COUNTIF($V$2:V82,"测序完成"),"")</f>
        <v/>
      </c>
      <c r="AB82" s="21" t="str">
        <f>E82&amp;COUNTIFS($E$2:E82,E82)</f>
        <v>0</v>
      </c>
      <c r="AC82" s="21" t="str">
        <f t="shared" si="1"/>
        <v/>
      </c>
    </row>
    <row r="83" ht="13.5" customHeight="1" spans="24:29">
      <c r="X83" s="21" t="str">
        <f>IF(K83="紧急",COUNTIF($K$2:K83,"紧急"),"")</f>
        <v/>
      </c>
      <c r="Y83" s="21" t="str">
        <f>IF(V83="未提取",COUNTIF($V$2:V83,"未提取"),"")</f>
        <v/>
      </c>
      <c r="Z83" s="21" t="str">
        <f>IF(OR(V83="提取中",V83="文库构建中",V83="文库质检中",V83="pooling排机中",V83="上机测序中"),SUMPRODUCT((($V$2:V83="提取中")+($V$2:V83="文库构建中")+($V$2:V83="文库质检中")+($V$2:V83="pooling排机中")+($V$2:V83="上机测序中"))*1),"")</f>
        <v/>
      </c>
      <c r="AA83" s="21" t="str">
        <f>IF(V83="测序完成",COUNTIF($V$2:V83,"测序完成"),"")</f>
        <v/>
      </c>
      <c r="AB83" s="21" t="str">
        <f>E83&amp;COUNTIFS($E$2:E83,E83)</f>
        <v>0</v>
      </c>
      <c r="AC83" s="21" t="str">
        <f t="shared" si="1"/>
        <v/>
      </c>
    </row>
    <row r="84" ht="13.5" customHeight="1" spans="24:29">
      <c r="X84" s="21" t="str">
        <f>IF(K84="紧急",COUNTIF($K$2:K84,"紧急"),"")</f>
        <v/>
      </c>
      <c r="Y84" s="21" t="str">
        <f>IF(V84="未提取",COUNTIF($V$2:V84,"未提取"),"")</f>
        <v/>
      </c>
      <c r="Z84" s="21" t="str">
        <f>IF(OR(V84="提取中",V84="文库构建中",V84="文库质检中",V84="pooling排机中",V84="上机测序中"),SUMPRODUCT((($V$2:V84="提取中")+($V$2:V84="文库构建中")+($V$2:V84="文库质检中")+($V$2:V84="pooling排机中")+($V$2:V84="上机测序中"))*1),"")</f>
        <v/>
      </c>
      <c r="AA84" s="21" t="str">
        <f>IF(V84="测序完成",COUNTIF($V$2:V84,"测序完成"),"")</f>
        <v/>
      </c>
      <c r="AB84" s="21" t="str">
        <f>E84&amp;COUNTIFS($E$2:E84,E84)</f>
        <v>0</v>
      </c>
      <c r="AC84" s="21" t="str">
        <f t="shared" si="1"/>
        <v/>
      </c>
    </row>
    <row r="85" ht="13.5" customHeight="1" spans="24:29">
      <c r="X85" s="21" t="str">
        <f>IF(K85="紧急",COUNTIF($K$2:K85,"紧急"),"")</f>
        <v/>
      </c>
      <c r="Y85" s="21" t="str">
        <f>IF(V85="未提取",COUNTIF($V$2:V85,"未提取"),"")</f>
        <v/>
      </c>
      <c r="Z85" s="21" t="str">
        <f>IF(OR(V85="提取中",V85="文库构建中",V85="文库质检中",V85="pooling排机中",V85="上机测序中"),SUMPRODUCT((($V$2:V85="提取中")+($V$2:V85="文库构建中")+($V$2:V85="文库质检中")+($V$2:V85="pooling排机中")+($V$2:V85="上机测序中"))*1),"")</f>
        <v/>
      </c>
      <c r="AA85" s="21" t="str">
        <f>IF(V85="测序完成",COUNTIF($V$2:V85,"测序完成"),"")</f>
        <v/>
      </c>
      <c r="AB85" s="21" t="str">
        <f>E85&amp;COUNTIFS($E$2:E85,E85)</f>
        <v>0</v>
      </c>
      <c r="AC85" s="21" t="str">
        <f t="shared" si="1"/>
        <v/>
      </c>
    </row>
    <row r="86" ht="13.5" customHeight="1" spans="24:29">
      <c r="X86" s="21" t="str">
        <f>IF(K86="紧急",COUNTIF($K$2:K86,"紧急"),"")</f>
        <v/>
      </c>
      <c r="Y86" s="21" t="str">
        <f>IF(V86="未提取",COUNTIF($V$2:V86,"未提取"),"")</f>
        <v/>
      </c>
      <c r="Z86" s="21" t="str">
        <f>IF(OR(V86="提取中",V86="文库构建中",V86="文库质检中",V86="pooling排机中",V86="上机测序中"),SUMPRODUCT((($V$2:V86="提取中")+($V$2:V86="文库构建中")+($V$2:V86="文库质检中")+($V$2:V86="pooling排机中")+($V$2:V86="上机测序中"))*1),"")</f>
        <v/>
      </c>
      <c r="AA86" s="21" t="str">
        <f>IF(V86="测序完成",COUNTIF($V$2:V86,"测序完成"),"")</f>
        <v/>
      </c>
      <c r="AB86" s="21" t="str">
        <f>E86&amp;COUNTIFS($E$2:E86,E86)</f>
        <v>0</v>
      </c>
      <c r="AC86" s="21" t="str">
        <f t="shared" si="1"/>
        <v/>
      </c>
    </row>
    <row r="87" ht="13.5" customHeight="1" spans="24:29">
      <c r="X87" s="21" t="str">
        <f>IF(K87="紧急",COUNTIF($K$2:K87,"紧急"),"")</f>
        <v/>
      </c>
      <c r="Y87" s="21" t="str">
        <f>IF(V87="未提取",COUNTIF($V$2:V87,"未提取"),"")</f>
        <v/>
      </c>
      <c r="Z87" s="21" t="str">
        <f>IF(OR(V87="提取中",V87="文库构建中",V87="文库质检中",V87="pooling排机中",V87="上机测序中"),SUMPRODUCT((($V$2:V87="提取中")+($V$2:V87="文库构建中")+($V$2:V87="文库质检中")+($V$2:V87="pooling排机中")+($V$2:V87="上机测序中"))*1),"")</f>
        <v/>
      </c>
      <c r="AA87" s="21" t="str">
        <f>IF(V87="测序完成",COUNTIF($V$2:V87,"测序完成"),"")</f>
        <v/>
      </c>
      <c r="AB87" s="21" t="str">
        <f>E87&amp;COUNTIFS($E$2:E87,E87)</f>
        <v>0</v>
      </c>
      <c r="AC87" s="21" t="str">
        <f t="shared" si="1"/>
        <v/>
      </c>
    </row>
    <row r="88" ht="13.5" customHeight="1" spans="24:29">
      <c r="X88" s="21" t="str">
        <f>IF(K88="紧急",COUNTIF($K$2:K88,"紧急"),"")</f>
        <v/>
      </c>
      <c r="Y88" s="21" t="str">
        <f>IF(V88="未提取",COUNTIF($V$2:V88,"未提取"),"")</f>
        <v/>
      </c>
      <c r="Z88" s="21" t="str">
        <f>IF(OR(V88="提取中",V88="文库构建中",V88="文库质检中",V88="pooling排机中",V88="上机测序中"),SUMPRODUCT((($V$2:V88="提取中")+($V$2:V88="文库构建中")+($V$2:V88="文库质检中")+($V$2:V88="pooling排机中")+($V$2:V88="上机测序中"))*1),"")</f>
        <v/>
      </c>
      <c r="AA88" s="21" t="str">
        <f>IF(V88="测序完成",COUNTIF($V$2:V88,"测序完成"),"")</f>
        <v/>
      </c>
      <c r="AB88" s="21" t="str">
        <f>E88&amp;COUNTIFS($E$2:E88,E88)</f>
        <v>0</v>
      </c>
      <c r="AC88" s="21" t="str">
        <f t="shared" si="1"/>
        <v/>
      </c>
    </row>
    <row r="89" ht="13.5" customHeight="1" spans="24:29">
      <c r="X89" s="21" t="str">
        <f>IF(K89="紧急",COUNTIF($K$2:K89,"紧急"),"")</f>
        <v/>
      </c>
      <c r="Y89" s="21" t="str">
        <f>IF(V89="未提取",COUNTIF($V$2:V89,"未提取"),"")</f>
        <v/>
      </c>
      <c r="Z89" s="21" t="str">
        <f>IF(OR(V89="提取中",V89="文库构建中",V89="文库质检中",V89="pooling排机中",V89="上机测序中"),SUMPRODUCT((($V$2:V89="提取中")+($V$2:V89="文库构建中")+($V$2:V89="文库质检中")+($V$2:V89="pooling排机中")+($V$2:V89="上机测序中"))*1),"")</f>
        <v/>
      </c>
      <c r="AA89" s="21" t="str">
        <f>IF(V89="测序完成",COUNTIF($V$2:V89,"测序完成"),"")</f>
        <v/>
      </c>
      <c r="AB89" s="21" t="str">
        <f>E89&amp;COUNTIFS($E$2:E89,E89)</f>
        <v>0</v>
      </c>
      <c r="AC89" s="21" t="str">
        <f t="shared" si="1"/>
        <v/>
      </c>
    </row>
    <row r="90" ht="13.5" customHeight="1" spans="24:29">
      <c r="X90" s="21" t="str">
        <f>IF(K90="紧急",COUNTIF($K$2:K90,"紧急"),"")</f>
        <v/>
      </c>
      <c r="Y90" s="21" t="str">
        <f>IF(V90="未提取",COUNTIF($V$2:V90,"未提取"),"")</f>
        <v/>
      </c>
      <c r="Z90" s="21" t="str">
        <f>IF(OR(V90="提取中",V90="文库构建中",V90="文库质检中",V90="pooling排机中",V90="上机测序中"),SUMPRODUCT((($V$2:V90="提取中")+($V$2:V90="文库构建中")+($V$2:V90="文库质检中")+($V$2:V90="pooling排机中")+($V$2:V90="上机测序中"))*1),"")</f>
        <v/>
      </c>
      <c r="AA90" s="21" t="str">
        <f>IF(V90="测序完成",COUNTIF($V$2:V90,"测序完成"),"")</f>
        <v/>
      </c>
      <c r="AB90" s="21" t="str">
        <f>E90&amp;COUNTIFS($E$2:E90,E90)</f>
        <v>0</v>
      </c>
      <c r="AC90" s="21" t="str">
        <f t="shared" si="1"/>
        <v/>
      </c>
    </row>
    <row r="91" ht="13.5" customHeight="1" spans="24:29">
      <c r="X91" s="21" t="str">
        <f>IF(K91="紧急",COUNTIF($K$2:K91,"紧急"),"")</f>
        <v/>
      </c>
      <c r="Y91" s="21" t="str">
        <f>IF(V91="未提取",COUNTIF($V$2:V91,"未提取"),"")</f>
        <v/>
      </c>
      <c r="Z91" s="21" t="str">
        <f>IF(OR(V91="提取中",V91="文库构建中",V91="文库质检中",V91="pooling排机中",V91="上机测序中"),SUMPRODUCT((($V$2:V91="提取中")+($V$2:V91="文库构建中")+($V$2:V91="文库质检中")+($V$2:V91="pooling排机中")+($V$2:V91="上机测序中"))*1),"")</f>
        <v/>
      </c>
      <c r="AA91" s="21" t="str">
        <f>IF(V91="测序完成",COUNTIF($V$2:V91,"测序完成"),"")</f>
        <v/>
      </c>
      <c r="AB91" s="21" t="str">
        <f>E91&amp;COUNTIFS($E$2:E91,E91)</f>
        <v>0</v>
      </c>
      <c r="AC91" s="21" t="str">
        <f t="shared" si="1"/>
        <v/>
      </c>
    </row>
    <row r="92" ht="13.5" customHeight="1" spans="24:29">
      <c r="X92" s="21" t="str">
        <f>IF(K92="紧急",COUNTIF($K$2:K92,"紧急"),"")</f>
        <v/>
      </c>
      <c r="Y92" s="21" t="str">
        <f>IF(V92="未提取",COUNTIF($V$2:V92,"未提取"),"")</f>
        <v/>
      </c>
      <c r="Z92" s="21" t="str">
        <f>IF(OR(V92="提取中",V92="文库构建中",V92="文库质检中",V92="pooling排机中",V92="上机测序中"),SUMPRODUCT((($V$2:V92="提取中")+($V$2:V92="文库构建中")+($V$2:V92="文库质检中")+($V$2:V92="pooling排机中")+($V$2:V92="上机测序中"))*1),"")</f>
        <v/>
      </c>
      <c r="AA92" s="21" t="str">
        <f>IF(V92="测序完成",COUNTIF($V$2:V92,"测序完成"),"")</f>
        <v/>
      </c>
      <c r="AB92" s="21" t="str">
        <f>E92&amp;COUNTIFS($E$2:E92,E92)</f>
        <v>0</v>
      </c>
      <c r="AC92" s="21" t="str">
        <f t="shared" si="1"/>
        <v/>
      </c>
    </row>
    <row r="93" ht="13.5" customHeight="1" spans="24:29">
      <c r="X93" s="21" t="str">
        <f>IF(K93="紧急",COUNTIF($K$2:K93,"紧急"),"")</f>
        <v/>
      </c>
      <c r="Y93" s="21" t="str">
        <f>IF(V93="未提取",COUNTIF($V$2:V93,"未提取"),"")</f>
        <v/>
      </c>
      <c r="Z93" s="21" t="str">
        <f>IF(OR(V93="提取中",V93="文库构建中",V93="文库质检中",V93="pooling排机中",V93="上机测序中"),SUMPRODUCT((($V$2:V93="提取中")+($V$2:V93="文库构建中")+($V$2:V93="文库质检中")+($V$2:V93="pooling排机中")+($V$2:V93="上机测序中"))*1),"")</f>
        <v/>
      </c>
      <c r="AA93" s="21" t="str">
        <f>IF(V93="测序完成",COUNTIF($V$2:V93,"测序完成"),"")</f>
        <v/>
      </c>
      <c r="AB93" s="21" t="str">
        <f>E93&amp;COUNTIFS($E$2:E93,E93)</f>
        <v>0</v>
      </c>
      <c r="AC93" s="21" t="str">
        <f t="shared" si="1"/>
        <v/>
      </c>
    </row>
    <row r="94" ht="13.5" customHeight="1" spans="24:29">
      <c r="X94" s="21" t="str">
        <f>IF(K94="紧急",COUNTIF($K$2:K94,"紧急"),"")</f>
        <v/>
      </c>
      <c r="Y94" s="21" t="str">
        <f>IF(V94="未提取",COUNTIF($V$2:V94,"未提取"),"")</f>
        <v/>
      </c>
      <c r="Z94" s="21" t="str">
        <f>IF(OR(V94="提取中",V94="文库构建中",V94="文库质检中",V94="pooling排机中",V94="上机测序中"),SUMPRODUCT((($V$2:V94="提取中")+($V$2:V94="文库构建中")+($V$2:V94="文库质检中")+($V$2:V94="pooling排机中")+($V$2:V94="上机测序中"))*1),"")</f>
        <v/>
      </c>
      <c r="AA94" s="21" t="str">
        <f>IF(V94="测序完成",COUNTIF($V$2:V94,"测序完成"),"")</f>
        <v/>
      </c>
      <c r="AB94" s="21" t="str">
        <f>E94&amp;COUNTIFS($E$2:E94,E94)</f>
        <v>0</v>
      </c>
      <c r="AC94" s="21" t="str">
        <f t="shared" si="1"/>
        <v/>
      </c>
    </row>
    <row r="95" ht="13.5" customHeight="1" spans="24:29">
      <c r="X95" s="21" t="str">
        <f>IF(K95="紧急",COUNTIF($K$2:K95,"紧急"),"")</f>
        <v/>
      </c>
      <c r="Y95" s="21" t="str">
        <f>IF(V95="未提取",COUNTIF($V$2:V95,"未提取"),"")</f>
        <v/>
      </c>
      <c r="Z95" s="21" t="str">
        <f>IF(OR(V95="提取中",V95="文库构建中",V95="文库质检中",V95="pooling排机中",V95="上机测序中"),SUMPRODUCT((($V$2:V95="提取中")+($V$2:V95="文库构建中")+($V$2:V95="文库质检中")+($V$2:V95="pooling排机中")+($V$2:V95="上机测序中"))*1),"")</f>
        <v/>
      </c>
      <c r="AA95" s="21" t="str">
        <f>IF(V95="测序完成",COUNTIF($V$2:V95,"测序完成"),"")</f>
        <v/>
      </c>
      <c r="AB95" s="21" t="str">
        <f>E95&amp;COUNTIFS($E$2:E95,E95)</f>
        <v>0</v>
      </c>
      <c r="AC95" s="21" t="str">
        <f t="shared" si="1"/>
        <v/>
      </c>
    </row>
    <row r="96" ht="13.5" customHeight="1" spans="24:29">
      <c r="X96" s="21" t="str">
        <f>IF(K96="紧急",COUNTIF($K$2:K96,"紧急"),"")</f>
        <v/>
      </c>
      <c r="Y96" s="21" t="str">
        <f>IF(V96="未提取",COUNTIF($V$2:V96,"未提取"),"")</f>
        <v/>
      </c>
      <c r="Z96" s="21" t="str">
        <f>IF(OR(V96="提取中",V96="文库构建中",V96="文库质检中",V96="pooling排机中",V96="上机测序中"),SUMPRODUCT((($V$2:V96="提取中")+($V$2:V96="文库构建中")+($V$2:V96="文库质检中")+($V$2:V96="pooling排机中")+($V$2:V96="上机测序中"))*1),"")</f>
        <v/>
      </c>
      <c r="AA96" s="21" t="str">
        <f>IF(V96="测序完成",COUNTIF($V$2:V96,"测序完成"),"")</f>
        <v/>
      </c>
      <c r="AB96" s="21" t="str">
        <f>E96&amp;COUNTIFS($E$2:E96,E96)</f>
        <v>0</v>
      </c>
      <c r="AC96" s="21" t="str">
        <f t="shared" si="1"/>
        <v/>
      </c>
    </row>
    <row r="97" ht="13.5" customHeight="1" spans="24:29">
      <c r="X97" s="21" t="str">
        <f>IF(K97="紧急",COUNTIF($K$2:K97,"紧急"),"")</f>
        <v/>
      </c>
      <c r="Y97" s="21" t="str">
        <f>IF(V97="未提取",COUNTIF($V$2:V97,"未提取"),"")</f>
        <v/>
      </c>
      <c r="Z97" s="21" t="str">
        <f>IF(OR(V97="提取中",V97="文库构建中",V97="文库质检中",V97="pooling排机中",V97="上机测序中"),SUMPRODUCT((($V$2:V97="提取中")+($V$2:V97="文库构建中")+($V$2:V97="文库质检中")+($V$2:V97="pooling排机中")+($V$2:V97="上机测序中"))*1),"")</f>
        <v/>
      </c>
      <c r="AA97" s="21" t="str">
        <f>IF(V97="测序完成",COUNTIF($V$2:V97,"测序完成"),"")</f>
        <v/>
      </c>
      <c r="AB97" s="21" t="str">
        <f>E97&amp;COUNTIFS($E$2:E97,E97)</f>
        <v>0</v>
      </c>
      <c r="AC97" s="21" t="str">
        <f t="shared" si="1"/>
        <v/>
      </c>
    </row>
    <row r="98" ht="13.5" customHeight="1" spans="24:29">
      <c r="X98" s="21" t="str">
        <f>IF(K98="紧急",COUNTIF($K$2:K98,"紧急"),"")</f>
        <v/>
      </c>
      <c r="Y98" s="21" t="str">
        <f>IF(V98="未提取",COUNTIF($V$2:V98,"未提取"),"")</f>
        <v/>
      </c>
      <c r="Z98" s="21" t="str">
        <f>IF(OR(V98="提取中",V98="文库构建中",V98="文库质检中",V98="pooling排机中",V98="上机测序中"),SUMPRODUCT((($V$2:V98="提取中")+($V$2:V98="文库构建中")+($V$2:V98="文库质检中")+($V$2:V98="pooling排机中")+($V$2:V98="上机测序中"))*1),"")</f>
        <v/>
      </c>
      <c r="AA98" s="21" t="str">
        <f>IF(V98="测序完成",COUNTIF($V$2:V98,"测序完成"),"")</f>
        <v/>
      </c>
      <c r="AB98" s="21" t="str">
        <f>E98&amp;COUNTIFS($E$2:E98,E98)</f>
        <v>0</v>
      </c>
      <c r="AC98" s="21" t="str">
        <f t="shared" si="1"/>
        <v/>
      </c>
    </row>
    <row r="99" ht="13.5" customHeight="1" spans="24:29">
      <c r="X99" s="21" t="str">
        <f>IF(K99="紧急",COUNTIF($K$2:K99,"紧急"),"")</f>
        <v/>
      </c>
      <c r="Y99" s="21" t="str">
        <f>IF(V99="未提取",COUNTIF($V$2:V99,"未提取"),"")</f>
        <v/>
      </c>
      <c r="Z99" s="21" t="str">
        <f>IF(OR(V99="提取中",V99="文库构建中",V99="文库质检中",V99="pooling排机中",V99="上机测序中"),SUMPRODUCT((($V$2:V99="提取中")+($V$2:V99="文库构建中")+($V$2:V99="文库质检中")+($V$2:V99="pooling排机中")+($V$2:V99="上机测序中"))*1),"")</f>
        <v/>
      </c>
      <c r="AA99" s="21" t="str">
        <f>IF(V99="测序完成",COUNTIF($V$2:V99,"测序完成"),"")</f>
        <v/>
      </c>
      <c r="AB99" s="21" t="str">
        <f>E99&amp;COUNTIFS($E$2:E99,E99)</f>
        <v>0</v>
      </c>
      <c r="AC99" s="21" t="str">
        <f t="shared" si="1"/>
        <v/>
      </c>
    </row>
    <row r="100" ht="13.5" customHeight="1" spans="24:29">
      <c r="X100" s="21" t="str">
        <f>IF(K100="紧急",COUNTIF($K$2:K100,"紧急"),"")</f>
        <v/>
      </c>
      <c r="Y100" s="21" t="str">
        <f>IF(V100="未提取",COUNTIF($V$2:V100,"未提取"),"")</f>
        <v/>
      </c>
      <c r="Z100" s="21" t="str">
        <f>IF(OR(V100="提取中",V100="文库构建中",V100="文库质检中",V100="pooling排机中",V100="上机测序中"),SUMPRODUCT((($V$2:V100="提取中")+($V$2:V100="文库构建中")+($V$2:V100="文库质检中")+($V$2:V100="pooling排机中")+($V$2:V100="上机测序中"))*1),"")</f>
        <v/>
      </c>
      <c r="AA100" s="21" t="str">
        <f>IF(V100="测序完成",COUNTIF($V$2:V100,"测序完成"),"")</f>
        <v/>
      </c>
      <c r="AB100" s="21" t="str">
        <f>E100&amp;COUNTIFS($E$2:E100,E100)</f>
        <v>0</v>
      </c>
      <c r="AC100" s="21" t="str">
        <f t="shared" si="1"/>
        <v/>
      </c>
    </row>
    <row r="101" spans="24:29">
      <c r="X101" s="21" t="str">
        <f>IF(K101="紧急",COUNTIF($K$2:K101,"紧急"),"")</f>
        <v/>
      </c>
      <c r="Y101" s="21" t="str">
        <f>IF(V101="未提取",COUNTIF($V$2:V101,"未提取"),"")</f>
        <v/>
      </c>
      <c r="Z101" s="21" t="str">
        <f>IF(OR(V101="提取中",V101="文库构建中",V101="文库质检中",V101="pooling排机中",V101="上机测序中"),SUMPRODUCT((($V$2:V101="提取中")+($V$2:V101="文库构建中")+($V$2:V101="文库质检中")+($V$2:V101="pooling排机中")+($V$2:V101="上机测序中"))*1),"")</f>
        <v/>
      </c>
      <c r="AA101" s="21" t="str">
        <f>IF(V101="测序完成",COUNTIF($V$2:V101,"测序完成"),"")</f>
        <v/>
      </c>
      <c r="AB101" s="21" t="str">
        <f>E101&amp;COUNTIFS($E$2:E101,E101)</f>
        <v>0</v>
      </c>
      <c r="AC101" s="21" t="str">
        <f t="shared" si="1"/>
        <v/>
      </c>
    </row>
    <row r="102" spans="24:29">
      <c r="X102" s="21" t="str">
        <f>IF(K102="紧急",COUNTIF($K$2:K102,"紧急"),"")</f>
        <v/>
      </c>
      <c r="Y102" s="21" t="str">
        <f>IF(V102="未提取",COUNTIF($V$2:V102,"未提取"),"")</f>
        <v/>
      </c>
      <c r="Z102" s="21" t="str">
        <f>IF(OR(V102="提取中",V102="文库构建中",V102="文库质检中",V102="pooling排机中",V102="上机测序中"),SUMPRODUCT((($V$2:V102="提取中")+($V$2:V102="文库构建中")+($V$2:V102="文库质检中")+($V$2:V102="pooling排机中")+($V$2:V102="上机测序中"))*1),"")</f>
        <v/>
      </c>
      <c r="AA102" s="21" t="str">
        <f>IF(V102="测序完成",COUNTIF($V$2:V102,"测序完成"),"")</f>
        <v/>
      </c>
      <c r="AB102" s="21" t="str">
        <f>E102&amp;COUNTIFS($E$2:E102,E102)</f>
        <v>0</v>
      </c>
      <c r="AC102" s="21" t="str">
        <f t="shared" si="1"/>
        <v/>
      </c>
    </row>
    <row r="103" spans="24:29">
      <c r="X103" s="21" t="str">
        <f>IF(K103="紧急",COUNTIF($K$2:K103,"紧急"),"")</f>
        <v/>
      </c>
      <c r="Y103" s="21" t="str">
        <f>IF(V103="未提取",COUNTIF($V$2:V103,"未提取"),"")</f>
        <v/>
      </c>
      <c r="Z103" s="21" t="str">
        <f>IF(OR(V103="提取中",V103="文库构建中",V103="文库质检中",V103="pooling排机中",V103="上机测序中"),SUMPRODUCT((($V$2:V103="提取中")+($V$2:V103="文库构建中")+($V$2:V103="文库质检中")+($V$2:V103="pooling排机中")+($V$2:V103="上机测序中"))*1),"")</f>
        <v/>
      </c>
      <c r="AA103" s="21" t="str">
        <f>IF(V103="测序完成",COUNTIF($V$2:V103,"测序完成"),"")</f>
        <v/>
      </c>
      <c r="AB103" s="21" t="str">
        <f>E103&amp;COUNTIFS($E$2:E103,E103)</f>
        <v>0</v>
      </c>
      <c r="AC103" s="21" t="str">
        <f t="shared" si="1"/>
        <v/>
      </c>
    </row>
    <row r="104" spans="24:29">
      <c r="X104" s="21" t="str">
        <f>IF(K104="紧急",COUNTIF($K$2:K104,"紧急"),"")</f>
        <v/>
      </c>
      <c r="Y104" s="21" t="str">
        <f>IF(V104="未提取",COUNTIF($V$2:V104,"未提取"),"")</f>
        <v/>
      </c>
      <c r="Z104" s="21" t="str">
        <f>IF(OR(V104="提取中",V104="文库构建中",V104="文库质检中",V104="pooling排机中",V104="上机测序中"),SUMPRODUCT((($V$2:V104="提取中")+($V$2:V104="文库构建中")+($V$2:V104="文库质检中")+($V$2:V104="pooling排机中")+($V$2:V104="上机测序中"))*1),"")</f>
        <v/>
      </c>
      <c r="AA104" s="21" t="str">
        <f>IF(V104="测序完成",COUNTIF($V$2:V104,"测序完成"),"")</f>
        <v/>
      </c>
      <c r="AB104" s="21" t="str">
        <f>E104&amp;COUNTIFS($E$2:E104,E104)</f>
        <v>0</v>
      </c>
      <c r="AC104" s="21" t="str">
        <f t="shared" si="1"/>
        <v/>
      </c>
    </row>
    <row r="105" spans="24:29">
      <c r="X105" s="21" t="str">
        <f>IF(K105="紧急",COUNTIF($K$2:K105,"紧急"),"")</f>
        <v/>
      </c>
      <c r="Y105" s="21" t="str">
        <f>IF(V105="未提取",COUNTIF($V$2:V105,"未提取"),"")</f>
        <v/>
      </c>
      <c r="Z105" s="21" t="str">
        <f>IF(OR(V105="提取中",V105="文库构建中",V105="文库质检中",V105="pooling排机中",V105="上机测序中"),SUMPRODUCT((($V$2:V105="提取中")+($V$2:V105="文库构建中")+($V$2:V105="文库质检中")+($V$2:V105="pooling排机中")+($V$2:V105="上机测序中"))*1),"")</f>
        <v/>
      </c>
      <c r="AA105" s="21" t="str">
        <f>IF(V105="测序完成",COUNTIF($V$2:V105,"测序完成"),"")</f>
        <v/>
      </c>
      <c r="AB105" s="21" t="str">
        <f>E105&amp;COUNTIFS($E$2:E105,E105)</f>
        <v>0</v>
      </c>
      <c r="AC105" s="21" t="str">
        <f t="shared" si="1"/>
        <v/>
      </c>
    </row>
    <row r="106" spans="24:29">
      <c r="X106" s="21" t="str">
        <f>IF(K106="紧急",COUNTIF($K$2:K106,"紧急"),"")</f>
        <v/>
      </c>
      <c r="Y106" s="21" t="str">
        <f>IF(V106="未提取",COUNTIF($V$2:V106,"未提取"),"")</f>
        <v/>
      </c>
      <c r="Z106" s="21" t="str">
        <f>IF(OR(V106="提取中",V106="文库构建中",V106="文库质检中",V106="pooling排机中",V106="上机测序中"),SUMPRODUCT((($V$2:V106="提取中")+($V$2:V106="文库构建中")+($V$2:V106="文库质检中")+($V$2:V106="pooling排机中")+($V$2:V106="上机测序中"))*1),"")</f>
        <v/>
      </c>
      <c r="AA106" s="21" t="str">
        <f>IF(V106="测序完成",COUNTIF($V$2:V106,"测序完成"),"")</f>
        <v/>
      </c>
      <c r="AB106" s="21" t="str">
        <f>E106&amp;COUNTIFS($E$2:E106,E106)</f>
        <v>0</v>
      </c>
      <c r="AC106" s="21" t="str">
        <f t="shared" si="1"/>
        <v/>
      </c>
    </row>
    <row r="107" spans="24:29">
      <c r="X107" s="21" t="str">
        <f>IF(K107="紧急",COUNTIF($K$2:K107,"紧急"),"")</f>
        <v/>
      </c>
      <c r="Y107" s="21" t="str">
        <f>IF(V107="未提取",COUNTIF($V$2:V107,"未提取"),"")</f>
        <v/>
      </c>
      <c r="Z107" s="21" t="str">
        <f>IF(OR(V107="提取中",V107="文库构建中",V107="文库质检中",V107="pooling排机中",V107="上机测序中"),SUMPRODUCT((($V$2:V107="提取中")+($V$2:V107="文库构建中")+($V$2:V107="文库质检中")+($V$2:V107="pooling排机中")+($V$2:V107="上机测序中"))*1),"")</f>
        <v/>
      </c>
      <c r="AA107" s="21" t="str">
        <f>IF(V107="测序完成",COUNTIF($V$2:V107,"测序完成"),"")</f>
        <v/>
      </c>
      <c r="AB107" s="21" t="str">
        <f>E107&amp;COUNTIFS($E$2:E107,E107)</f>
        <v>0</v>
      </c>
      <c r="AC107" s="21" t="str">
        <f t="shared" si="1"/>
        <v/>
      </c>
    </row>
    <row r="108" spans="24:29">
      <c r="X108" s="21" t="str">
        <f>IF(K108="紧急",COUNTIF($K$2:K108,"紧急"),"")</f>
        <v/>
      </c>
      <c r="Y108" s="21" t="str">
        <f>IF(V108="未提取",COUNTIF($V$2:V108,"未提取"),"")</f>
        <v/>
      </c>
      <c r="Z108" s="21" t="str">
        <f>IF(OR(V108="提取中",V108="文库构建中",V108="文库质检中",V108="pooling排机中",V108="上机测序中"),SUMPRODUCT((($V$2:V108="提取中")+($V$2:V108="文库构建中")+($V$2:V108="文库质检中")+($V$2:V108="pooling排机中")+($V$2:V108="上机测序中"))*1),"")</f>
        <v/>
      </c>
      <c r="AA108" s="21" t="str">
        <f>IF(V108="测序完成",COUNTIF($V$2:V108,"测序完成"),"")</f>
        <v/>
      </c>
      <c r="AB108" s="21" t="str">
        <f>E108&amp;COUNTIFS($E$2:E108,E108)</f>
        <v>0</v>
      </c>
      <c r="AC108" s="21" t="str">
        <f t="shared" si="1"/>
        <v/>
      </c>
    </row>
    <row r="109" spans="24:29">
      <c r="X109" s="21" t="str">
        <f>IF(K109="紧急",COUNTIF($K$2:K109,"紧急"),"")</f>
        <v/>
      </c>
      <c r="Y109" s="21" t="str">
        <f>IF(V109="未提取",COUNTIF($V$2:V109,"未提取"),"")</f>
        <v/>
      </c>
      <c r="Z109" s="21" t="str">
        <f>IF(OR(V109="提取中",V109="文库构建中",V109="文库质检中",V109="pooling排机中",V109="上机测序中"),SUMPRODUCT((($V$2:V109="提取中")+($V$2:V109="文库构建中")+($V$2:V109="文库质检中")+($V$2:V109="pooling排机中")+($V$2:V109="上机测序中"))*1),"")</f>
        <v/>
      </c>
      <c r="AA109" s="21" t="str">
        <f>IF(V109="测序完成",COUNTIF($V$2:V109,"测序完成"),"")</f>
        <v/>
      </c>
      <c r="AB109" s="21" t="str">
        <f>E109&amp;COUNTIFS($E$2:E109,E109)</f>
        <v>0</v>
      </c>
      <c r="AC109" s="21" t="str">
        <f t="shared" si="1"/>
        <v/>
      </c>
    </row>
    <row r="110" spans="24:29">
      <c r="X110" s="21" t="str">
        <f>IF(K110="紧急",COUNTIF($K$2:K110,"紧急"),"")</f>
        <v/>
      </c>
      <c r="Y110" s="21" t="str">
        <f>IF(V110="未提取",COUNTIF($V$2:V110,"未提取"),"")</f>
        <v/>
      </c>
      <c r="Z110" s="21" t="str">
        <f>IF(OR(V110="提取中",V110="文库构建中",V110="文库质检中",V110="pooling排机中",V110="上机测序中"),SUMPRODUCT((($V$2:V110="提取中")+($V$2:V110="文库构建中")+($V$2:V110="文库质检中")+($V$2:V110="pooling排机中")+($V$2:V110="上机测序中"))*1),"")</f>
        <v/>
      </c>
      <c r="AA110" s="21" t="str">
        <f>IF(V110="测序完成",COUNTIF($V$2:V110,"测序完成"),"")</f>
        <v/>
      </c>
      <c r="AB110" s="21" t="str">
        <f>E110&amp;COUNTIFS($E$2:E110,E110)</f>
        <v>0</v>
      </c>
      <c r="AC110" s="21" t="str">
        <f t="shared" si="1"/>
        <v/>
      </c>
    </row>
    <row r="111" spans="24:29">
      <c r="X111" s="21" t="str">
        <f>IF(K111="紧急",COUNTIF($K$2:K111,"紧急"),"")</f>
        <v/>
      </c>
      <c r="Y111" s="21" t="str">
        <f>IF(V111="未提取",COUNTIF($V$2:V111,"未提取"),"")</f>
        <v/>
      </c>
      <c r="Z111" s="21" t="str">
        <f>IF(OR(V111="提取中",V111="文库构建中",V111="文库质检中",V111="pooling排机中",V111="上机测序中"),SUMPRODUCT((($V$2:V111="提取中")+($V$2:V111="文库构建中")+($V$2:V111="文库质检中")+($V$2:V111="pooling排机中")+($V$2:V111="上机测序中"))*1),"")</f>
        <v/>
      </c>
      <c r="AA111" s="21" t="str">
        <f>IF(V111="测序完成",COUNTIF($V$2:V111,"测序完成"),"")</f>
        <v/>
      </c>
      <c r="AB111" s="21" t="str">
        <f>E111&amp;COUNTIFS($E$2:E111,E111)</f>
        <v>0</v>
      </c>
      <c r="AC111" s="21" t="str">
        <f t="shared" si="1"/>
        <v/>
      </c>
    </row>
    <row r="112" spans="24:29">
      <c r="X112" s="21" t="str">
        <f>IF(K112="紧急",COUNTIF($K$2:K112,"紧急"),"")</f>
        <v/>
      </c>
      <c r="Y112" s="21" t="str">
        <f>IF(V112="未提取",COUNTIF($V$2:V112,"未提取"),"")</f>
        <v/>
      </c>
      <c r="Z112" s="21" t="str">
        <f>IF(OR(V112="提取中",V112="文库构建中",V112="文库质检中",V112="pooling排机中",V112="上机测序中"),SUMPRODUCT((($V$2:V112="提取中")+($V$2:V112="文库构建中")+($V$2:V112="文库质检中")+($V$2:V112="pooling排机中")+($V$2:V112="上机测序中"))*1),"")</f>
        <v/>
      </c>
      <c r="AA112" s="21" t="str">
        <f>IF(V112="测序完成",COUNTIF($V$2:V112,"测序完成"),"")</f>
        <v/>
      </c>
      <c r="AB112" s="21" t="str">
        <f>E112&amp;COUNTIFS($E$2:E112,E112)</f>
        <v>0</v>
      </c>
      <c r="AC112" s="21" t="str">
        <f t="shared" si="1"/>
        <v/>
      </c>
    </row>
    <row r="113" spans="24:29">
      <c r="X113" s="21" t="str">
        <f>IF(K113="紧急",COUNTIF($K$2:K113,"紧急"),"")</f>
        <v/>
      </c>
      <c r="Y113" s="21" t="str">
        <f>IF(V113="未提取",COUNTIF($V$2:V113,"未提取"),"")</f>
        <v/>
      </c>
      <c r="Z113" s="21" t="str">
        <f>IF(OR(V113="提取中",V113="文库构建中",V113="文库质检中",V113="pooling排机中",V113="上机测序中"),SUMPRODUCT((($V$2:V113="提取中")+($V$2:V113="文库构建中")+($V$2:V113="文库质检中")+($V$2:V113="pooling排机中")+($V$2:V113="上机测序中"))*1),"")</f>
        <v/>
      </c>
      <c r="AA113" s="21" t="str">
        <f>IF(V113="测序完成",COUNTIF($V$2:V113,"测序完成"),"")</f>
        <v/>
      </c>
      <c r="AB113" s="21" t="str">
        <f>E113&amp;COUNTIFS($E$2:E113,E113)</f>
        <v>0</v>
      </c>
      <c r="AC113" s="21" t="str">
        <f t="shared" si="1"/>
        <v/>
      </c>
    </row>
    <row r="114" spans="24:29">
      <c r="X114" s="21" t="str">
        <f>IF(K114="紧急",COUNTIF($K$2:K114,"紧急"),"")</f>
        <v/>
      </c>
      <c r="Y114" s="21" t="str">
        <f>IF(V114="未提取",COUNTIF($V$2:V114,"未提取"),"")</f>
        <v/>
      </c>
      <c r="Z114" s="21" t="str">
        <f>IF(OR(V114="提取中",V114="文库构建中",V114="文库质检中",V114="pooling排机中",V114="上机测序中"),SUMPRODUCT((($V$2:V114="提取中")+($V$2:V114="文库构建中")+($V$2:V114="文库质检中")+($V$2:V114="pooling排机中")+($V$2:V114="上机测序中"))*1),"")</f>
        <v/>
      </c>
      <c r="AA114" s="21" t="str">
        <f>IF(V114="测序完成",COUNTIF($V$2:V114,"测序完成"),"")</f>
        <v/>
      </c>
      <c r="AB114" s="21" t="str">
        <f>E114&amp;COUNTIFS($E$2:E114,E114)</f>
        <v>0</v>
      </c>
      <c r="AC114" s="21" t="str">
        <f t="shared" si="1"/>
        <v/>
      </c>
    </row>
    <row r="115" spans="24:29">
      <c r="X115" s="21" t="str">
        <f>IF(K115="紧急",COUNTIF($K$2:K115,"紧急"),"")</f>
        <v/>
      </c>
      <c r="Y115" s="21" t="str">
        <f>IF(V115="未提取",COUNTIF($V$2:V115,"未提取"),"")</f>
        <v/>
      </c>
      <c r="Z115" s="21" t="str">
        <f>IF(OR(V115="提取中",V115="文库构建中",V115="文库质检中",V115="pooling排机中",V115="上机测序中"),SUMPRODUCT((($V$2:V115="提取中")+($V$2:V115="文库构建中")+($V$2:V115="文库质检中")+($V$2:V115="pooling排机中")+($V$2:V115="上机测序中"))*1),"")</f>
        <v/>
      </c>
      <c r="AA115" s="21" t="str">
        <f>IF(V115="测序完成",COUNTIF($V$2:V115,"测序完成"),"")</f>
        <v/>
      </c>
      <c r="AB115" s="21" t="str">
        <f>E115&amp;COUNTIFS($E$2:E115,E115)</f>
        <v>0</v>
      </c>
      <c r="AC115" s="21" t="str">
        <f t="shared" si="1"/>
        <v/>
      </c>
    </row>
    <row r="116" spans="24:29">
      <c r="X116" s="21" t="str">
        <f>IF(K116="紧急",COUNTIF($K$2:K116,"紧急"),"")</f>
        <v/>
      </c>
      <c r="Y116" s="21" t="str">
        <f>IF(V116="未提取",COUNTIF($V$2:V116,"未提取"),"")</f>
        <v/>
      </c>
      <c r="Z116" s="21" t="str">
        <f>IF(OR(V116="提取中",V116="文库构建中",V116="文库质检中",V116="pooling排机中",V116="上机测序中"),SUMPRODUCT((($V$2:V116="提取中")+($V$2:V116="文库构建中")+($V$2:V116="文库质检中")+($V$2:V116="pooling排机中")+($V$2:V116="上机测序中"))*1),"")</f>
        <v/>
      </c>
      <c r="AA116" s="21" t="str">
        <f>IF(V116="测序完成",COUNTIF($V$2:V116,"测序完成"),"")</f>
        <v/>
      </c>
      <c r="AB116" s="21" t="str">
        <f>E116&amp;COUNTIFS($E$2:E116,E116)</f>
        <v>0</v>
      </c>
      <c r="AC116" s="21" t="str">
        <f t="shared" si="1"/>
        <v/>
      </c>
    </row>
    <row r="117" spans="24:29">
      <c r="X117" s="21" t="str">
        <f>IF(K117="紧急",COUNTIF($K$2:K117,"紧急"),"")</f>
        <v/>
      </c>
      <c r="Y117" s="21" t="str">
        <f>IF(V117="未提取",COUNTIF($V$2:V117,"未提取"),"")</f>
        <v/>
      </c>
      <c r="Z117" s="21" t="str">
        <f>IF(OR(V117="提取中",V117="文库构建中",V117="文库质检中",V117="pooling排机中",V117="上机测序中"),SUMPRODUCT((($V$2:V117="提取中")+($V$2:V117="文库构建中")+($V$2:V117="文库质检中")+($V$2:V117="pooling排机中")+($V$2:V117="上机测序中"))*1),"")</f>
        <v/>
      </c>
      <c r="AA117" s="21" t="str">
        <f>IF(V117="测序完成",COUNTIF($V$2:V117,"测序完成"),"")</f>
        <v/>
      </c>
      <c r="AB117" s="21" t="str">
        <f>E117&amp;COUNTIFS($E$2:E117,E117)</f>
        <v>0</v>
      </c>
      <c r="AC117" s="21" t="str">
        <f t="shared" si="1"/>
        <v/>
      </c>
    </row>
    <row r="118" spans="24:29">
      <c r="X118" s="21" t="str">
        <f>IF(K118="紧急",COUNTIF($K$2:K118,"紧急"),"")</f>
        <v/>
      </c>
      <c r="Y118" s="21" t="str">
        <f>IF(V118="未提取",COUNTIF($V$2:V118,"未提取"),"")</f>
        <v/>
      </c>
      <c r="Z118" s="21" t="str">
        <f>IF(OR(V118="提取中",V118="文库构建中",V118="文库质检中",V118="pooling排机中",V118="上机测序中"),SUMPRODUCT((($V$2:V118="提取中")+($V$2:V118="文库构建中")+($V$2:V118="文库质检中")+($V$2:V118="pooling排机中")+($V$2:V118="上机测序中"))*1),"")</f>
        <v/>
      </c>
      <c r="AA118" s="21" t="str">
        <f>IF(V118="测序完成",COUNTIF($V$2:V118,"测序完成"),"")</f>
        <v/>
      </c>
      <c r="AB118" s="21" t="str">
        <f>E118&amp;COUNTIFS($E$2:E118,E118)</f>
        <v>0</v>
      </c>
      <c r="AC118" s="21" t="str">
        <f t="shared" si="1"/>
        <v/>
      </c>
    </row>
    <row r="119" spans="24:29">
      <c r="X119" s="21" t="str">
        <f>IF(K119="紧急",COUNTIF($K$2:K119,"紧急"),"")</f>
        <v/>
      </c>
      <c r="Y119" s="21" t="str">
        <f>IF(V119="未提取",COUNTIF($V$2:V119,"未提取"),"")</f>
        <v/>
      </c>
      <c r="Z119" s="21" t="str">
        <f>IF(OR(V119="提取中",V119="文库构建中",V119="文库质检中",V119="pooling排机中",V119="上机测序中"),SUMPRODUCT((($V$2:V119="提取中")+($V$2:V119="文库构建中")+($V$2:V119="文库质检中")+($V$2:V119="pooling排机中")+($V$2:V119="上机测序中"))*1),"")</f>
        <v/>
      </c>
      <c r="AA119" s="21" t="str">
        <f>IF(V119="测序完成",COUNTIF($V$2:V119,"测序完成"),"")</f>
        <v/>
      </c>
      <c r="AB119" s="21" t="str">
        <f>E119&amp;COUNTIFS($E$2:E119,E119)</f>
        <v>0</v>
      </c>
      <c r="AC119" s="21" t="str">
        <f t="shared" si="1"/>
        <v/>
      </c>
    </row>
    <row r="120" spans="24:29">
      <c r="X120" s="21" t="str">
        <f>IF(K120="紧急",COUNTIF($K$2:K120,"紧急"),"")</f>
        <v/>
      </c>
      <c r="Y120" s="21" t="str">
        <f>IF(V120="未提取",COUNTIF($V$2:V120,"未提取"),"")</f>
        <v/>
      </c>
      <c r="Z120" s="21" t="str">
        <f>IF(OR(V120="提取中",V120="文库构建中",V120="文库质检中",V120="pooling排机中",V120="上机测序中"),SUMPRODUCT((($V$2:V120="提取中")+($V$2:V120="文库构建中")+($V$2:V120="文库质检中")+($V$2:V120="pooling排机中")+($V$2:V120="上机测序中"))*1),"")</f>
        <v/>
      </c>
      <c r="AA120" s="21" t="str">
        <f>IF(V120="测序完成",COUNTIF($V$2:V120,"测序完成"),"")</f>
        <v/>
      </c>
      <c r="AB120" s="21" t="str">
        <f>E120&amp;COUNTIFS($E$2:E120,E120)</f>
        <v>0</v>
      </c>
      <c r="AC120" s="21" t="str">
        <f t="shared" si="1"/>
        <v/>
      </c>
    </row>
    <row r="121" spans="24:29">
      <c r="X121" s="21" t="str">
        <f>IF(K121="紧急",COUNTIF($K$2:K121,"紧急"),"")</f>
        <v/>
      </c>
      <c r="Y121" s="21" t="str">
        <f>IF(V121="未提取",COUNTIF($V$2:V121,"未提取"),"")</f>
        <v/>
      </c>
      <c r="Z121" s="21" t="str">
        <f>IF(OR(V121="提取中",V121="文库构建中",V121="文库质检中",V121="pooling排机中",V121="上机测序中"),SUMPRODUCT((($V$2:V121="提取中")+($V$2:V121="文库构建中")+($V$2:V121="文库质检中")+($V$2:V121="pooling排机中")+($V$2:V121="上机测序中"))*1),"")</f>
        <v/>
      </c>
      <c r="AA121" s="21" t="str">
        <f>IF(V121="测序完成",COUNTIF($V$2:V121,"测序完成"),"")</f>
        <v/>
      </c>
      <c r="AB121" s="21" t="str">
        <f>E121&amp;COUNTIFS($E$2:E121,E121)</f>
        <v>0</v>
      </c>
      <c r="AC121" s="21" t="str">
        <f t="shared" si="1"/>
        <v/>
      </c>
    </row>
    <row r="122" spans="24:29">
      <c r="X122" s="21" t="str">
        <f>IF(K122="紧急",COUNTIF($K$2:K122,"紧急"),"")</f>
        <v/>
      </c>
      <c r="Y122" s="21" t="str">
        <f>IF(V122="未提取",COUNTIF($V$2:V122,"未提取"),"")</f>
        <v/>
      </c>
      <c r="Z122" s="21" t="str">
        <f>IF(OR(V122="提取中",V122="文库构建中",V122="文库质检中",V122="pooling排机中",V122="上机测序中"),SUMPRODUCT((($V$2:V122="提取中")+($V$2:V122="文库构建中")+($V$2:V122="文库质检中")+($V$2:V122="pooling排机中")+($V$2:V122="上机测序中"))*1),"")</f>
        <v/>
      </c>
      <c r="AA122" s="21" t="str">
        <f>IF(V122="测序完成",COUNTIF($V$2:V122,"测序完成"),"")</f>
        <v/>
      </c>
      <c r="AB122" s="21" t="str">
        <f>E122&amp;COUNTIFS($E$2:E122,E122)</f>
        <v>0</v>
      </c>
      <c r="AC122" s="21" t="str">
        <f t="shared" si="1"/>
        <v/>
      </c>
    </row>
    <row r="123" spans="24:29">
      <c r="X123" s="21" t="str">
        <f>IF(K123="紧急",COUNTIF($K$2:K123,"紧急"),"")</f>
        <v/>
      </c>
      <c r="Y123" s="21" t="str">
        <f>IF(V123="未提取",COUNTIF($V$2:V123,"未提取"),"")</f>
        <v/>
      </c>
      <c r="Z123" s="21" t="str">
        <f>IF(OR(V123="提取中",V123="文库构建中",V123="文库质检中",V123="pooling排机中",V123="上机测序中"),SUMPRODUCT((($V$2:V123="提取中")+($V$2:V123="文库构建中")+($V$2:V123="文库质检中")+($V$2:V123="pooling排机中")+($V$2:V123="上机测序中"))*1),"")</f>
        <v/>
      </c>
      <c r="AA123" s="21" t="str">
        <f>IF(V123="测序完成",COUNTIF($V$2:V123,"测序完成"),"")</f>
        <v/>
      </c>
      <c r="AB123" s="21" t="str">
        <f>E123&amp;COUNTIFS($E$2:E123,E123)</f>
        <v>0</v>
      </c>
      <c r="AC123" s="21" t="str">
        <f t="shared" si="1"/>
        <v/>
      </c>
    </row>
    <row r="124" spans="24:29">
      <c r="X124" s="21" t="str">
        <f>IF(K124="紧急",COUNTIF($K$2:K124,"紧急"),"")</f>
        <v/>
      </c>
      <c r="Y124" s="21" t="str">
        <f>IF(V124="未提取",COUNTIF($V$2:V124,"未提取"),"")</f>
        <v/>
      </c>
      <c r="Z124" s="21" t="str">
        <f>IF(OR(V124="提取中",V124="文库构建中",V124="文库质检中",V124="pooling排机中",V124="上机测序中"),SUMPRODUCT((($V$2:V124="提取中")+($V$2:V124="文库构建中")+($V$2:V124="文库质检中")+($V$2:V124="pooling排机中")+($V$2:V124="上机测序中"))*1),"")</f>
        <v/>
      </c>
      <c r="AA124" s="21" t="str">
        <f>IF(V124="测序完成",COUNTIF($V$2:V124,"测序完成"),"")</f>
        <v/>
      </c>
      <c r="AB124" s="21" t="str">
        <f>E124&amp;COUNTIFS($E$2:E124,E124)</f>
        <v>0</v>
      </c>
      <c r="AC124" s="21" t="str">
        <f t="shared" si="1"/>
        <v/>
      </c>
    </row>
    <row r="125" spans="24:29">
      <c r="X125" s="21" t="str">
        <f>IF(K125="紧急",COUNTIF($K$2:K125,"紧急"),"")</f>
        <v/>
      </c>
      <c r="Y125" s="21" t="str">
        <f>IF(V125="未提取",COUNTIF($V$2:V125,"未提取"),"")</f>
        <v/>
      </c>
      <c r="Z125" s="21" t="str">
        <f>IF(OR(V125="提取中",V125="文库构建中",V125="文库质检中",V125="pooling排机中",V125="上机测序中"),SUMPRODUCT((($V$2:V125="提取中")+($V$2:V125="文库构建中")+($V$2:V125="文库质检中")+($V$2:V125="pooling排机中")+($V$2:V125="上机测序中"))*1),"")</f>
        <v/>
      </c>
      <c r="AA125" s="21" t="str">
        <f>IF(V125="测序完成",COUNTIF($V$2:V125,"测序完成"),"")</f>
        <v/>
      </c>
      <c r="AB125" s="21" t="str">
        <f>E125&amp;COUNTIFS($E$2:E125,E125)</f>
        <v>0</v>
      </c>
      <c r="AC125" s="21" t="str">
        <f t="shared" si="1"/>
        <v/>
      </c>
    </row>
    <row r="126" spans="24:29">
      <c r="X126" s="21" t="str">
        <f>IF(K126="紧急",COUNTIF($K$2:K126,"紧急"),"")</f>
        <v/>
      </c>
      <c r="Y126" s="21" t="str">
        <f>IF(V126="未提取",COUNTIF($V$2:V126,"未提取"),"")</f>
        <v/>
      </c>
      <c r="Z126" s="21" t="str">
        <f>IF(OR(V126="提取中",V126="文库构建中",V126="文库质检中",V126="pooling排机中",V126="上机测序中"),SUMPRODUCT((($V$2:V126="提取中")+($V$2:V126="文库构建中")+($V$2:V126="文库质检中")+($V$2:V126="pooling排机中")+($V$2:V126="上机测序中"))*1),"")</f>
        <v/>
      </c>
      <c r="AA126" s="21" t="str">
        <f>IF(V126="测序完成",COUNTIF($V$2:V126,"测序完成"),"")</f>
        <v/>
      </c>
      <c r="AB126" s="21" t="str">
        <f>E126&amp;COUNTIFS($E$2:E126,E126)</f>
        <v>0</v>
      </c>
      <c r="AC126" s="21" t="str">
        <f t="shared" si="1"/>
        <v/>
      </c>
    </row>
    <row r="127" spans="24:29">
      <c r="X127" s="21" t="str">
        <f>IF(K127="紧急",COUNTIF($K$2:K127,"紧急"),"")</f>
        <v/>
      </c>
      <c r="Y127" s="21" t="str">
        <f>IF(V127="未提取",COUNTIF($V$2:V127,"未提取"),"")</f>
        <v/>
      </c>
      <c r="Z127" s="21" t="str">
        <f>IF(OR(V127="提取中",V127="文库构建中",V127="文库质检中",V127="pooling排机中",V127="上机测序中"),SUMPRODUCT((($V$2:V127="提取中")+($V$2:V127="文库构建中")+($V$2:V127="文库质检中")+($V$2:V127="pooling排机中")+($V$2:V127="上机测序中"))*1),"")</f>
        <v/>
      </c>
      <c r="AA127" s="21" t="str">
        <f>IF(V127="测序完成",COUNTIF($V$2:V127,"测序完成"),"")</f>
        <v/>
      </c>
      <c r="AB127" s="21" t="str">
        <f>E127&amp;COUNTIFS($E$2:E127,E127)</f>
        <v>0</v>
      </c>
      <c r="AC127" s="21" t="str">
        <f t="shared" si="1"/>
        <v/>
      </c>
    </row>
    <row r="128" spans="24:29">
      <c r="X128" s="21" t="str">
        <f>IF(K128="紧急",COUNTIF($K$2:K128,"紧急"),"")</f>
        <v/>
      </c>
      <c r="Y128" s="21" t="str">
        <f>IF(V128="未提取",COUNTIF($V$2:V128,"未提取"),"")</f>
        <v/>
      </c>
      <c r="Z128" s="21" t="str">
        <f>IF(OR(V128="提取中",V128="文库构建中",V128="文库质检中",V128="pooling排机中",V128="上机测序中"),SUMPRODUCT((($V$2:V128="提取中")+($V$2:V128="文库构建中")+($V$2:V128="文库质检中")+($V$2:V128="pooling排机中")+($V$2:V128="上机测序中"))*1),"")</f>
        <v/>
      </c>
      <c r="AA128" s="21" t="str">
        <f>IF(V128="测序完成",COUNTIF($V$2:V128,"测序完成"),"")</f>
        <v/>
      </c>
      <c r="AB128" s="21" t="str">
        <f>E128&amp;COUNTIFS($E$2:E128,E128)</f>
        <v>0</v>
      </c>
      <c r="AC128" s="21" t="str">
        <f t="shared" si="1"/>
        <v/>
      </c>
    </row>
    <row r="129" spans="24:29">
      <c r="X129" s="21" t="str">
        <f>IF(K129="紧急",COUNTIF($K$2:K129,"紧急"),"")</f>
        <v/>
      </c>
      <c r="Y129" s="21" t="str">
        <f>IF(V129="未提取",COUNTIF($V$2:V129,"未提取"),"")</f>
        <v/>
      </c>
      <c r="Z129" s="21" t="str">
        <f>IF(OR(V129="提取中",V129="文库构建中",V129="文库质检中",V129="pooling排机中",V129="上机测序中"),SUMPRODUCT((($V$2:V129="提取中")+($V$2:V129="文库构建中")+($V$2:V129="文库质检中")+($V$2:V129="pooling排机中")+($V$2:V129="上机测序中"))*1),"")</f>
        <v/>
      </c>
      <c r="AA129" s="21" t="str">
        <f>IF(V129="测序完成",COUNTIF($V$2:V129,"测序完成"),"")</f>
        <v/>
      </c>
      <c r="AB129" s="21" t="str">
        <f>E129&amp;COUNTIFS($E$2:E129,E129)</f>
        <v>0</v>
      </c>
      <c r="AC129" s="21" t="str">
        <f t="shared" si="1"/>
        <v/>
      </c>
    </row>
    <row r="130" spans="24:29">
      <c r="X130" s="21" t="str">
        <f>IF(K130="紧急",COUNTIF($K$2:K130,"紧急"),"")</f>
        <v/>
      </c>
      <c r="Y130" s="21" t="str">
        <f>IF(V130="未提取",COUNTIF($V$2:V130,"未提取"),"")</f>
        <v/>
      </c>
      <c r="Z130" s="21" t="str">
        <f>IF(OR(V130="提取中",V130="文库构建中",V130="文库质检中",V130="pooling排机中",V130="上机测序中"),SUMPRODUCT((($V$2:V130="提取中")+($V$2:V130="文库构建中")+($V$2:V130="文库质检中")+($V$2:V130="pooling排机中")+($V$2:V130="上机测序中"))*1),"")</f>
        <v/>
      </c>
      <c r="AA130" s="21" t="str">
        <f>IF(V130="测序完成",COUNTIF($V$2:V130,"测序完成"),"")</f>
        <v/>
      </c>
      <c r="AB130" s="21" t="str">
        <f>E130&amp;COUNTIFS($E$2:E130,E130)</f>
        <v>0</v>
      </c>
      <c r="AC130" s="21" t="str">
        <f t="shared" ref="AC130:AC193" si="2">IF(A130&lt;&gt;"",ROW()-1,"")</f>
        <v/>
      </c>
    </row>
    <row r="131" spans="24:29">
      <c r="X131" s="21" t="str">
        <f>IF(K131="紧急",COUNTIF($K$2:K131,"紧急"),"")</f>
        <v/>
      </c>
      <c r="Y131" s="21" t="str">
        <f>IF(V131="未提取",COUNTIF($V$2:V131,"未提取"),"")</f>
        <v/>
      </c>
      <c r="Z131" s="21" t="str">
        <f>IF(OR(V131="提取中",V131="文库构建中",V131="文库质检中",V131="pooling排机中",V131="上机测序中"),SUMPRODUCT((($V$2:V131="提取中")+($V$2:V131="文库构建中")+($V$2:V131="文库质检中")+($V$2:V131="pooling排机中")+($V$2:V131="上机测序中"))*1),"")</f>
        <v/>
      </c>
      <c r="AA131" s="21" t="str">
        <f>IF(V131="测序完成",COUNTIF($V$2:V131,"测序完成"),"")</f>
        <v/>
      </c>
      <c r="AB131" s="21" t="str">
        <f>E131&amp;COUNTIFS($E$2:E131,E131)</f>
        <v>0</v>
      </c>
      <c r="AC131" s="21" t="str">
        <f t="shared" si="2"/>
        <v/>
      </c>
    </row>
    <row r="132" spans="24:29">
      <c r="X132" s="21" t="str">
        <f>IF(K132="紧急",COUNTIF($K$2:K132,"紧急"),"")</f>
        <v/>
      </c>
      <c r="Y132" s="21" t="str">
        <f>IF(V132="未提取",COUNTIF($V$2:V132,"未提取"),"")</f>
        <v/>
      </c>
      <c r="Z132" s="21" t="str">
        <f>IF(OR(V132="提取中",V132="文库构建中",V132="文库质检中",V132="pooling排机中",V132="上机测序中"),SUMPRODUCT((($V$2:V132="提取中")+($V$2:V132="文库构建中")+($V$2:V132="文库质检中")+($V$2:V132="pooling排机中")+($V$2:V132="上机测序中"))*1),"")</f>
        <v/>
      </c>
      <c r="AA132" s="21" t="str">
        <f>IF(V132="测序完成",COUNTIF($V$2:V132,"测序完成"),"")</f>
        <v/>
      </c>
      <c r="AB132" s="21" t="str">
        <f>E132&amp;COUNTIFS($E$2:E132,E132)</f>
        <v>0</v>
      </c>
      <c r="AC132" s="21" t="str">
        <f t="shared" si="2"/>
        <v/>
      </c>
    </row>
    <row r="133" spans="24:29">
      <c r="X133" s="21" t="str">
        <f>IF(K133="紧急",COUNTIF($K$2:K133,"紧急"),"")</f>
        <v/>
      </c>
      <c r="Y133" s="21" t="str">
        <f>IF(V133="未提取",COUNTIF($V$2:V133,"未提取"),"")</f>
        <v/>
      </c>
      <c r="Z133" s="21" t="str">
        <f>IF(OR(V133="提取中",V133="文库构建中",V133="文库质检中",V133="pooling排机中",V133="上机测序中"),SUMPRODUCT((($V$2:V133="提取中")+($V$2:V133="文库构建中")+($V$2:V133="文库质检中")+($V$2:V133="pooling排机中")+($V$2:V133="上机测序中"))*1),"")</f>
        <v/>
      </c>
      <c r="AA133" s="21" t="str">
        <f>IF(V133="测序完成",COUNTIF($V$2:V133,"测序完成"),"")</f>
        <v/>
      </c>
      <c r="AB133" s="21" t="str">
        <f>E133&amp;COUNTIFS($E$2:E133,E133)</f>
        <v>0</v>
      </c>
      <c r="AC133" s="21" t="str">
        <f t="shared" si="2"/>
        <v/>
      </c>
    </row>
    <row r="134" spans="24:29">
      <c r="X134" s="21" t="str">
        <f>IF(K134="紧急",COUNTIF($K$2:K134,"紧急"),"")</f>
        <v/>
      </c>
      <c r="Y134" s="21" t="str">
        <f>IF(V134="未提取",COUNTIF($V$2:V134,"未提取"),"")</f>
        <v/>
      </c>
      <c r="Z134" s="21" t="str">
        <f>IF(OR(V134="提取中",V134="文库构建中",V134="文库质检中",V134="pooling排机中",V134="上机测序中"),SUMPRODUCT((($V$2:V134="提取中")+($V$2:V134="文库构建中")+($V$2:V134="文库质检中")+($V$2:V134="pooling排机中")+($V$2:V134="上机测序中"))*1),"")</f>
        <v/>
      </c>
      <c r="AA134" s="21" t="str">
        <f>IF(V134="测序完成",COUNTIF($V$2:V134,"测序完成"),"")</f>
        <v/>
      </c>
      <c r="AB134" s="21" t="str">
        <f>E134&amp;COUNTIFS($E$2:E134,E134)</f>
        <v>0</v>
      </c>
      <c r="AC134" s="21" t="str">
        <f t="shared" si="2"/>
        <v/>
      </c>
    </row>
    <row r="135" spans="24:29">
      <c r="X135" s="21" t="str">
        <f>IF(K135="紧急",COUNTIF($K$2:K135,"紧急"),"")</f>
        <v/>
      </c>
      <c r="Y135" s="21" t="str">
        <f>IF(V135="未提取",COUNTIF($V$2:V135,"未提取"),"")</f>
        <v/>
      </c>
      <c r="Z135" s="21" t="str">
        <f>IF(OR(V135="提取中",V135="文库构建中",V135="文库质检中",V135="pooling排机中",V135="上机测序中"),SUMPRODUCT((($V$2:V135="提取中")+($V$2:V135="文库构建中")+($V$2:V135="文库质检中")+($V$2:V135="pooling排机中")+($V$2:V135="上机测序中"))*1),"")</f>
        <v/>
      </c>
      <c r="AA135" s="21" t="str">
        <f>IF(V135="测序完成",COUNTIF($V$2:V135,"测序完成"),"")</f>
        <v/>
      </c>
      <c r="AB135" s="21" t="str">
        <f>E135&amp;COUNTIFS($E$2:E135,E135)</f>
        <v>0</v>
      </c>
      <c r="AC135" s="21" t="str">
        <f t="shared" si="2"/>
        <v/>
      </c>
    </row>
    <row r="136" spans="24:29">
      <c r="X136" s="21" t="str">
        <f>IF(K136="紧急",COUNTIF($K$2:K136,"紧急"),"")</f>
        <v/>
      </c>
      <c r="Y136" s="21" t="str">
        <f>IF(V136="未提取",COUNTIF($V$2:V136,"未提取"),"")</f>
        <v/>
      </c>
      <c r="Z136" s="21" t="str">
        <f>IF(OR(V136="提取中",V136="文库构建中",V136="文库质检中",V136="pooling排机中",V136="上机测序中"),SUMPRODUCT((($V$2:V136="提取中")+($V$2:V136="文库构建中")+($V$2:V136="文库质检中")+($V$2:V136="pooling排机中")+($V$2:V136="上机测序中"))*1),"")</f>
        <v/>
      </c>
      <c r="AA136" s="21" t="str">
        <f>IF(V136="测序完成",COUNTIF($V$2:V136,"测序完成"),"")</f>
        <v/>
      </c>
      <c r="AB136" s="21" t="str">
        <f>E136&amp;COUNTIFS($E$2:E136,E136)</f>
        <v>0</v>
      </c>
      <c r="AC136" s="21" t="str">
        <f t="shared" si="2"/>
        <v/>
      </c>
    </row>
    <row r="137" spans="24:29">
      <c r="X137" s="21" t="str">
        <f>IF(K137="紧急",COUNTIF($K$2:K137,"紧急"),"")</f>
        <v/>
      </c>
      <c r="Y137" s="21" t="str">
        <f>IF(V137="未提取",COUNTIF($V$2:V137,"未提取"),"")</f>
        <v/>
      </c>
      <c r="Z137" s="21" t="str">
        <f>IF(OR(V137="提取中",V137="文库构建中",V137="文库质检中",V137="pooling排机中",V137="上机测序中"),SUMPRODUCT((($V$2:V137="提取中")+($V$2:V137="文库构建中")+($V$2:V137="文库质检中")+($V$2:V137="pooling排机中")+($V$2:V137="上机测序中"))*1),"")</f>
        <v/>
      </c>
      <c r="AA137" s="21" t="str">
        <f>IF(V137="测序完成",COUNTIF($V$2:V137,"测序完成"),"")</f>
        <v/>
      </c>
      <c r="AB137" s="21" t="str">
        <f>E137&amp;COUNTIFS($E$2:E137,E137)</f>
        <v>0</v>
      </c>
      <c r="AC137" s="21" t="str">
        <f t="shared" si="2"/>
        <v/>
      </c>
    </row>
    <row r="138" spans="24:29">
      <c r="X138" s="21" t="str">
        <f>IF(K138="紧急",COUNTIF($K$2:K138,"紧急"),"")</f>
        <v/>
      </c>
      <c r="Y138" s="21" t="str">
        <f>IF(V138="未提取",COUNTIF($V$2:V138,"未提取"),"")</f>
        <v/>
      </c>
      <c r="Z138" s="21" t="str">
        <f>IF(OR(V138="提取中",V138="文库构建中",V138="文库质检中",V138="pooling排机中",V138="上机测序中"),SUMPRODUCT((($V$2:V138="提取中")+($V$2:V138="文库构建中")+($V$2:V138="文库质检中")+($V$2:V138="pooling排机中")+($V$2:V138="上机测序中"))*1),"")</f>
        <v/>
      </c>
      <c r="AA138" s="21" t="str">
        <f>IF(V138="测序完成",COUNTIF($V$2:V138,"测序完成"),"")</f>
        <v/>
      </c>
      <c r="AB138" s="21" t="str">
        <f>E138&amp;COUNTIFS($E$2:E138,E138)</f>
        <v>0</v>
      </c>
      <c r="AC138" s="21" t="str">
        <f t="shared" si="2"/>
        <v/>
      </c>
    </row>
    <row r="139" spans="24:29">
      <c r="X139" s="21" t="str">
        <f>IF(K139="紧急",COUNTIF($K$2:K139,"紧急"),"")</f>
        <v/>
      </c>
      <c r="Y139" s="21" t="str">
        <f>IF(V139="未提取",COUNTIF($V$2:V139,"未提取"),"")</f>
        <v/>
      </c>
      <c r="Z139" s="21" t="str">
        <f>IF(OR(V139="提取中",V139="文库构建中",V139="文库质检中",V139="pooling排机中",V139="上机测序中"),SUMPRODUCT((($V$2:V139="提取中")+($V$2:V139="文库构建中")+($V$2:V139="文库质检中")+($V$2:V139="pooling排机中")+($V$2:V139="上机测序中"))*1),"")</f>
        <v/>
      </c>
      <c r="AA139" s="21" t="str">
        <f>IF(V139="测序完成",COUNTIF($V$2:V139,"测序完成"),"")</f>
        <v/>
      </c>
      <c r="AB139" s="21" t="str">
        <f>E139&amp;COUNTIFS($E$2:E139,E139)</f>
        <v>0</v>
      </c>
      <c r="AC139" s="21" t="str">
        <f t="shared" si="2"/>
        <v/>
      </c>
    </row>
    <row r="140" spans="24:29">
      <c r="X140" s="21" t="str">
        <f>IF(K140="紧急",COUNTIF($K$2:K140,"紧急"),"")</f>
        <v/>
      </c>
      <c r="Y140" s="21" t="str">
        <f>IF(V140="未提取",COUNTIF($V$2:V140,"未提取"),"")</f>
        <v/>
      </c>
      <c r="Z140" s="21" t="str">
        <f>IF(OR(V140="提取中",V140="文库构建中",V140="文库质检中",V140="pooling排机中",V140="上机测序中"),SUMPRODUCT((($V$2:V140="提取中")+($V$2:V140="文库构建中")+($V$2:V140="文库质检中")+($V$2:V140="pooling排机中")+($V$2:V140="上机测序中"))*1),"")</f>
        <v/>
      </c>
      <c r="AA140" s="21" t="str">
        <f>IF(V140="测序完成",COUNTIF($V$2:V140,"测序完成"),"")</f>
        <v/>
      </c>
      <c r="AB140" s="21" t="str">
        <f>E140&amp;COUNTIFS($E$2:E140,E140)</f>
        <v>0</v>
      </c>
      <c r="AC140" s="21" t="str">
        <f t="shared" si="2"/>
        <v/>
      </c>
    </row>
    <row r="141" spans="24:29">
      <c r="X141" s="21" t="str">
        <f>IF(K141="紧急",COUNTIF($K$2:K141,"紧急"),"")</f>
        <v/>
      </c>
      <c r="Y141" s="21" t="str">
        <f>IF(V141="未提取",COUNTIF($V$2:V141,"未提取"),"")</f>
        <v/>
      </c>
      <c r="Z141" s="21" t="str">
        <f>IF(OR(V141="提取中",V141="文库构建中",V141="文库质检中",V141="pooling排机中",V141="上机测序中"),SUMPRODUCT((($V$2:V141="提取中")+($V$2:V141="文库构建中")+($V$2:V141="文库质检中")+($V$2:V141="pooling排机中")+($V$2:V141="上机测序中"))*1),"")</f>
        <v/>
      </c>
      <c r="AA141" s="21" t="str">
        <f>IF(V141="测序完成",COUNTIF($V$2:V141,"测序完成"),"")</f>
        <v/>
      </c>
      <c r="AB141" s="21" t="str">
        <f>E141&amp;COUNTIFS($E$2:E141,E141)</f>
        <v>0</v>
      </c>
      <c r="AC141" s="21" t="str">
        <f t="shared" si="2"/>
        <v/>
      </c>
    </row>
    <row r="142" spans="24:29">
      <c r="X142" s="21" t="str">
        <f>IF(K142="紧急",COUNTIF($K$2:K142,"紧急"),"")</f>
        <v/>
      </c>
      <c r="Y142" s="21" t="str">
        <f>IF(V142="未提取",COUNTIF($V$2:V142,"未提取"),"")</f>
        <v/>
      </c>
      <c r="Z142" s="21" t="str">
        <f>IF(OR(V142="提取中",V142="文库构建中",V142="文库质检中",V142="pooling排机中",V142="上机测序中"),SUMPRODUCT((($V$2:V142="提取中")+($V$2:V142="文库构建中")+($V$2:V142="文库质检中")+($V$2:V142="pooling排机中")+($V$2:V142="上机测序中"))*1),"")</f>
        <v/>
      </c>
      <c r="AA142" s="21" t="str">
        <f>IF(V142="测序完成",COUNTIF($V$2:V142,"测序完成"),"")</f>
        <v/>
      </c>
      <c r="AB142" s="21" t="str">
        <f>E142&amp;COUNTIFS($E$2:E142,E142)</f>
        <v>0</v>
      </c>
      <c r="AC142" s="21" t="str">
        <f t="shared" si="2"/>
        <v/>
      </c>
    </row>
    <row r="143" spans="24:29">
      <c r="X143" s="21" t="str">
        <f>IF(K143="紧急",COUNTIF($K$2:K143,"紧急"),"")</f>
        <v/>
      </c>
      <c r="Y143" s="21" t="str">
        <f>IF(V143="未提取",COUNTIF($V$2:V143,"未提取"),"")</f>
        <v/>
      </c>
      <c r="Z143" s="21" t="str">
        <f>IF(OR(V143="提取中",V143="文库构建中",V143="文库质检中",V143="pooling排机中",V143="上机测序中"),SUMPRODUCT((($V$2:V143="提取中")+($V$2:V143="文库构建中")+($V$2:V143="文库质检中")+($V$2:V143="pooling排机中")+($V$2:V143="上机测序中"))*1),"")</f>
        <v/>
      </c>
      <c r="AA143" s="21" t="str">
        <f>IF(V143="测序完成",COUNTIF($V$2:V143,"测序完成"),"")</f>
        <v/>
      </c>
      <c r="AB143" s="21" t="str">
        <f>E143&amp;COUNTIFS($E$2:E143,E143)</f>
        <v>0</v>
      </c>
      <c r="AC143" s="21" t="str">
        <f t="shared" si="2"/>
        <v/>
      </c>
    </row>
    <row r="144" spans="24:29">
      <c r="X144" s="21" t="str">
        <f>IF(K144="紧急",COUNTIF($K$2:K144,"紧急"),"")</f>
        <v/>
      </c>
      <c r="Y144" s="21" t="str">
        <f>IF(V144="未提取",COUNTIF($V$2:V144,"未提取"),"")</f>
        <v/>
      </c>
      <c r="Z144" s="21" t="str">
        <f>IF(OR(V144="提取中",V144="文库构建中",V144="文库质检中",V144="pooling排机中",V144="上机测序中"),SUMPRODUCT((($V$2:V144="提取中")+($V$2:V144="文库构建中")+($V$2:V144="文库质检中")+($V$2:V144="pooling排机中")+($V$2:V144="上机测序中"))*1),"")</f>
        <v/>
      </c>
      <c r="AA144" s="21" t="str">
        <f>IF(V144="测序完成",COUNTIF($V$2:V144,"测序完成"),"")</f>
        <v/>
      </c>
      <c r="AB144" s="21" t="str">
        <f>E144&amp;COUNTIFS($E$2:E144,E144)</f>
        <v>0</v>
      </c>
      <c r="AC144" s="21" t="str">
        <f t="shared" si="2"/>
        <v/>
      </c>
    </row>
    <row r="145" spans="24:29">
      <c r="X145" s="21" t="str">
        <f>IF(K145="紧急",COUNTIF($K$2:K145,"紧急"),"")</f>
        <v/>
      </c>
      <c r="Y145" s="21" t="str">
        <f>IF(V145="未提取",COUNTIF($V$2:V145,"未提取"),"")</f>
        <v/>
      </c>
      <c r="Z145" s="21" t="str">
        <f>IF(OR(V145="提取中",V145="文库构建中",V145="文库质检中",V145="pooling排机中",V145="上机测序中"),SUMPRODUCT((($V$2:V145="提取中")+($V$2:V145="文库构建中")+($V$2:V145="文库质检中")+($V$2:V145="pooling排机中")+($V$2:V145="上机测序中"))*1),"")</f>
        <v/>
      </c>
      <c r="AA145" s="21" t="str">
        <f>IF(V145="测序完成",COUNTIF($V$2:V145,"测序完成"),"")</f>
        <v/>
      </c>
      <c r="AB145" s="21" t="str">
        <f>E145&amp;COUNTIFS($E$2:E145,E145)</f>
        <v>0</v>
      </c>
      <c r="AC145" s="21" t="str">
        <f t="shared" si="2"/>
        <v/>
      </c>
    </row>
    <row r="146" spans="24:29">
      <c r="X146" s="21" t="str">
        <f>IF(K146="紧急",COUNTIF($K$2:K146,"紧急"),"")</f>
        <v/>
      </c>
      <c r="Y146" s="21" t="str">
        <f>IF(V146="未提取",COUNTIF($V$2:V146,"未提取"),"")</f>
        <v/>
      </c>
      <c r="Z146" s="21" t="str">
        <f>IF(OR(V146="提取中",V146="文库构建中",V146="文库质检中",V146="pooling排机中",V146="上机测序中"),SUMPRODUCT((($V$2:V146="提取中")+($V$2:V146="文库构建中")+($V$2:V146="文库质检中")+($V$2:V146="pooling排机中")+($V$2:V146="上机测序中"))*1),"")</f>
        <v/>
      </c>
      <c r="AA146" s="21" t="str">
        <f>IF(V146="测序完成",COUNTIF($V$2:V146,"测序完成"),"")</f>
        <v/>
      </c>
      <c r="AB146" s="21" t="str">
        <f>E146&amp;COUNTIFS($E$2:E146,E146)</f>
        <v>0</v>
      </c>
      <c r="AC146" s="21" t="str">
        <f t="shared" si="2"/>
        <v/>
      </c>
    </row>
    <row r="147" spans="24:29">
      <c r="X147" s="21" t="str">
        <f>IF(K147="紧急",COUNTIF($K$2:K147,"紧急"),"")</f>
        <v/>
      </c>
      <c r="Y147" s="21" t="str">
        <f>IF(V147="未提取",COUNTIF($V$2:V147,"未提取"),"")</f>
        <v/>
      </c>
      <c r="Z147" s="21" t="str">
        <f>IF(OR(V147="提取中",V147="文库构建中",V147="文库质检中",V147="pooling排机中",V147="上机测序中"),SUMPRODUCT((($V$2:V147="提取中")+($V$2:V147="文库构建中")+($V$2:V147="文库质检中")+($V$2:V147="pooling排机中")+($V$2:V147="上机测序中"))*1),"")</f>
        <v/>
      </c>
      <c r="AA147" s="21" t="str">
        <f>IF(V147="测序完成",COUNTIF($V$2:V147,"测序完成"),"")</f>
        <v/>
      </c>
      <c r="AB147" s="21" t="str">
        <f>E147&amp;COUNTIFS($E$2:E147,E147)</f>
        <v>0</v>
      </c>
      <c r="AC147" s="21" t="str">
        <f t="shared" si="2"/>
        <v/>
      </c>
    </row>
    <row r="148" spans="24:29">
      <c r="X148" s="21" t="str">
        <f>IF(K148="紧急",COUNTIF($K$2:K148,"紧急"),"")</f>
        <v/>
      </c>
      <c r="Y148" s="21" t="str">
        <f>IF(V148="未提取",COUNTIF($V$2:V148,"未提取"),"")</f>
        <v/>
      </c>
      <c r="Z148" s="21" t="str">
        <f>IF(OR(V148="提取中",V148="文库构建中",V148="文库质检中",V148="pooling排机中",V148="上机测序中"),SUMPRODUCT((($V$2:V148="提取中")+($V$2:V148="文库构建中")+($V$2:V148="文库质检中")+($V$2:V148="pooling排机中")+($V$2:V148="上机测序中"))*1),"")</f>
        <v/>
      </c>
      <c r="AA148" s="21" t="str">
        <f>IF(V148="测序完成",COUNTIF($V$2:V148,"测序完成"),"")</f>
        <v/>
      </c>
      <c r="AB148" s="21" t="str">
        <f>E148&amp;COUNTIFS($E$2:E148,E148)</f>
        <v>0</v>
      </c>
      <c r="AC148" s="21" t="str">
        <f t="shared" si="2"/>
        <v/>
      </c>
    </row>
    <row r="149" spans="24:29">
      <c r="X149" s="21" t="str">
        <f>IF(K149="紧急",COUNTIF($K$2:K149,"紧急"),"")</f>
        <v/>
      </c>
      <c r="Y149" s="21" t="str">
        <f>IF(V149="未提取",COUNTIF($V$2:V149,"未提取"),"")</f>
        <v/>
      </c>
      <c r="Z149" s="21" t="str">
        <f>IF(OR(V149="提取中",V149="文库构建中",V149="文库质检中",V149="pooling排机中",V149="上机测序中"),SUMPRODUCT((($V$2:V149="提取中")+($V$2:V149="文库构建中")+($V$2:V149="文库质检中")+($V$2:V149="pooling排机中")+($V$2:V149="上机测序中"))*1),"")</f>
        <v/>
      </c>
      <c r="AA149" s="21" t="str">
        <f>IF(V149="测序完成",COUNTIF($V$2:V149,"测序完成"),"")</f>
        <v/>
      </c>
      <c r="AB149" s="21" t="str">
        <f>E149&amp;COUNTIFS($E$2:E149,E149)</f>
        <v>0</v>
      </c>
      <c r="AC149" s="21" t="str">
        <f t="shared" si="2"/>
        <v/>
      </c>
    </row>
    <row r="150" spans="24:29">
      <c r="X150" s="21" t="str">
        <f>IF(K150="紧急",COUNTIF($K$2:K150,"紧急"),"")</f>
        <v/>
      </c>
      <c r="Y150" s="21" t="str">
        <f>IF(V150="未提取",COUNTIF($V$2:V150,"未提取"),"")</f>
        <v/>
      </c>
      <c r="Z150" s="21" t="str">
        <f>IF(OR(V150="提取中",V150="文库构建中",V150="文库质检中",V150="pooling排机中",V150="上机测序中"),SUMPRODUCT((($V$2:V150="提取中")+($V$2:V150="文库构建中")+($V$2:V150="文库质检中")+($V$2:V150="pooling排机中")+($V$2:V150="上机测序中"))*1),"")</f>
        <v/>
      </c>
      <c r="AA150" s="21" t="str">
        <f>IF(V150="测序完成",COUNTIF($V$2:V150,"测序完成"),"")</f>
        <v/>
      </c>
      <c r="AB150" s="21" t="str">
        <f>E150&amp;COUNTIFS($E$2:E150,E150)</f>
        <v>0</v>
      </c>
      <c r="AC150" s="21" t="str">
        <f t="shared" si="2"/>
        <v/>
      </c>
    </row>
    <row r="151" spans="24:29">
      <c r="X151" s="21" t="str">
        <f>IF(K151="紧急",COUNTIF($K$2:K151,"紧急"),"")</f>
        <v/>
      </c>
      <c r="Y151" s="21" t="str">
        <f>IF(V151="未提取",COUNTIF($V$2:V151,"未提取"),"")</f>
        <v/>
      </c>
      <c r="Z151" s="21" t="str">
        <f>IF(OR(V151="提取中",V151="文库构建中",V151="文库质检中",V151="pooling排机中",V151="上机测序中"),SUMPRODUCT((($V$2:V151="提取中")+($V$2:V151="文库构建中")+($V$2:V151="文库质检中")+($V$2:V151="pooling排机中")+($V$2:V151="上机测序中"))*1),"")</f>
        <v/>
      </c>
      <c r="AA151" s="21" t="str">
        <f>IF(V151="测序完成",COUNTIF($V$2:V151,"测序完成"),"")</f>
        <v/>
      </c>
      <c r="AB151" s="21" t="str">
        <f>E151&amp;COUNTIFS($E$2:E151,E151)</f>
        <v>0</v>
      </c>
      <c r="AC151" s="21" t="str">
        <f t="shared" si="2"/>
        <v/>
      </c>
    </row>
    <row r="152" spans="24:29">
      <c r="X152" s="21" t="str">
        <f>IF(K152="紧急",COUNTIF($K$2:K152,"紧急"),"")</f>
        <v/>
      </c>
      <c r="Y152" s="21" t="str">
        <f>IF(V152="未提取",COUNTIF($V$2:V152,"未提取"),"")</f>
        <v/>
      </c>
      <c r="Z152" s="21" t="str">
        <f>IF(OR(V152="提取中",V152="文库构建中",V152="文库质检中",V152="pooling排机中",V152="上机测序中"),SUMPRODUCT((($V$2:V152="提取中")+($V$2:V152="文库构建中")+($V$2:V152="文库质检中")+($V$2:V152="pooling排机中")+($V$2:V152="上机测序中"))*1),"")</f>
        <v/>
      </c>
      <c r="AA152" s="21" t="str">
        <f>IF(V152="测序完成",COUNTIF($V$2:V152,"测序完成"),"")</f>
        <v/>
      </c>
      <c r="AB152" s="21" t="str">
        <f>E152&amp;COUNTIFS($E$2:E152,E152)</f>
        <v>0</v>
      </c>
      <c r="AC152" s="21" t="str">
        <f t="shared" si="2"/>
        <v/>
      </c>
    </row>
    <row r="153" spans="24:29">
      <c r="X153" s="21" t="str">
        <f>IF(K153="紧急",COUNTIF($K$2:K153,"紧急"),"")</f>
        <v/>
      </c>
      <c r="Y153" s="21" t="str">
        <f>IF(V153="未提取",COUNTIF($V$2:V153,"未提取"),"")</f>
        <v/>
      </c>
      <c r="Z153" s="21" t="str">
        <f>IF(OR(V153="提取中",V153="文库构建中",V153="文库质检中",V153="pooling排机中",V153="上机测序中"),SUMPRODUCT((($V$2:V153="提取中")+($V$2:V153="文库构建中")+($V$2:V153="文库质检中")+($V$2:V153="pooling排机中")+($V$2:V153="上机测序中"))*1),"")</f>
        <v/>
      </c>
      <c r="AA153" s="21" t="str">
        <f>IF(V153="测序完成",COUNTIF($V$2:V153,"测序完成"),"")</f>
        <v/>
      </c>
      <c r="AB153" s="21" t="str">
        <f>E153&amp;COUNTIFS($E$2:E153,E153)</f>
        <v>0</v>
      </c>
      <c r="AC153" s="21" t="str">
        <f t="shared" si="2"/>
        <v/>
      </c>
    </row>
    <row r="154" spans="24:29">
      <c r="X154" s="21" t="str">
        <f>IF(K154="紧急",COUNTIF($K$2:K154,"紧急"),"")</f>
        <v/>
      </c>
      <c r="Y154" s="21" t="str">
        <f>IF(V154="未提取",COUNTIF($V$2:V154,"未提取"),"")</f>
        <v/>
      </c>
      <c r="Z154" s="21" t="str">
        <f>IF(OR(V154="提取中",V154="文库构建中",V154="文库质检中",V154="pooling排机中",V154="上机测序中"),SUMPRODUCT((($V$2:V154="提取中")+($V$2:V154="文库构建中")+($V$2:V154="文库质检中")+($V$2:V154="pooling排机中")+($V$2:V154="上机测序中"))*1),"")</f>
        <v/>
      </c>
      <c r="AA154" s="21" t="str">
        <f>IF(V154="测序完成",COUNTIF($V$2:V154,"测序完成"),"")</f>
        <v/>
      </c>
      <c r="AB154" s="21" t="str">
        <f>E154&amp;COUNTIFS($E$2:E154,E154)</f>
        <v>0</v>
      </c>
      <c r="AC154" s="21" t="str">
        <f t="shared" si="2"/>
        <v/>
      </c>
    </row>
    <row r="155" spans="24:29">
      <c r="X155" s="21" t="str">
        <f>IF(K155="紧急",COUNTIF($K$2:K155,"紧急"),"")</f>
        <v/>
      </c>
      <c r="Y155" s="21" t="str">
        <f>IF(V155="未提取",COUNTIF($V$2:V155,"未提取"),"")</f>
        <v/>
      </c>
      <c r="Z155" s="21" t="str">
        <f>IF(OR(V155="提取中",V155="文库构建中",V155="文库质检中",V155="pooling排机中",V155="上机测序中"),SUMPRODUCT((($V$2:V155="提取中")+($V$2:V155="文库构建中")+($V$2:V155="文库质检中")+($V$2:V155="pooling排机中")+($V$2:V155="上机测序中"))*1),"")</f>
        <v/>
      </c>
      <c r="AA155" s="21" t="str">
        <f>IF(V155="测序完成",COUNTIF($V$2:V155,"测序完成"),"")</f>
        <v/>
      </c>
      <c r="AB155" s="21" t="str">
        <f>E155&amp;COUNTIFS($E$2:E155,E155)</f>
        <v>0</v>
      </c>
      <c r="AC155" s="21" t="str">
        <f t="shared" si="2"/>
        <v/>
      </c>
    </row>
    <row r="156" spans="24:29">
      <c r="X156" s="21" t="str">
        <f>IF(K156="紧急",COUNTIF($K$2:K156,"紧急"),"")</f>
        <v/>
      </c>
      <c r="Y156" s="21" t="str">
        <f>IF(V156="未提取",COUNTIF($V$2:V156,"未提取"),"")</f>
        <v/>
      </c>
      <c r="Z156" s="21" t="str">
        <f>IF(OR(V156="提取中",V156="文库构建中",V156="文库质检中",V156="pooling排机中",V156="上机测序中"),SUMPRODUCT((($V$2:V156="提取中")+($V$2:V156="文库构建中")+($V$2:V156="文库质检中")+($V$2:V156="pooling排机中")+($V$2:V156="上机测序中"))*1),"")</f>
        <v/>
      </c>
      <c r="AA156" s="21" t="str">
        <f>IF(V156="测序完成",COUNTIF($V$2:V156,"测序完成"),"")</f>
        <v/>
      </c>
      <c r="AB156" s="21" t="str">
        <f>E156&amp;COUNTIFS($E$2:E156,E156)</f>
        <v>0</v>
      </c>
      <c r="AC156" s="21" t="str">
        <f t="shared" si="2"/>
        <v/>
      </c>
    </row>
    <row r="157" spans="24:29">
      <c r="X157" s="21" t="str">
        <f>IF(K157="紧急",COUNTIF($K$2:K157,"紧急"),"")</f>
        <v/>
      </c>
      <c r="Y157" s="21" t="str">
        <f>IF(V157="未提取",COUNTIF($V$2:V157,"未提取"),"")</f>
        <v/>
      </c>
      <c r="Z157" s="21" t="str">
        <f>IF(OR(V157="提取中",V157="文库构建中",V157="文库质检中",V157="pooling排机中",V157="上机测序中"),SUMPRODUCT((($V$2:V157="提取中")+($V$2:V157="文库构建中")+($V$2:V157="文库质检中")+($V$2:V157="pooling排机中")+($V$2:V157="上机测序中"))*1),"")</f>
        <v/>
      </c>
      <c r="AA157" s="21" t="str">
        <f>IF(V157="测序完成",COUNTIF($V$2:V157,"测序完成"),"")</f>
        <v/>
      </c>
      <c r="AB157" s="21" t="str">
        <f>E157&amp;COUNTIFS($E$2:E157,E157)</f>
        <v>0</v>
      </c>
      <c r="AC157" s="21" t="str">
        <f t="shared" si="2"/>
        <v/>
      </c>
    </row>
    <row r="158" spans="24:29">
      <c r="X158" s="21" t="str">
        <f>IF(K158="紧急",COUNTIF($K$2:K158,"紧急"),"")</f>
        <v/>
      </c>
      <c r="Y158" s="21" t="str">
        <f>IF(V158="未提取",COUNTIF($V$2:V158,"未提取"),"")</f>
        <v/>
      </c>
      <c r="Z158" s="21" t="str">
        <f>IF(OR(V158="提取中",V158="文库构建中",V158="文库质检中",V158="pooling排机中",V158="上机测序中"),SUMPRODUCT((($V$2:V158="提取中")+($V$2:V158="文库构建中")+($V$2:V158="文库质检中")+($V$2:V158="pooling排机中")+($V$2:V158="上机测序中"))*1),"")</f>
        <v/>
      </c>
      <c r="AA158" s="21" t="str">
        <f>IF(V158="测序完成",COUNTIF($V$2:V158,"测序完成"),"")</f>
        <v/>
      </c>
      <c r="AB158" s="21" t="str">
        <f>E158&amp;COUNTIFS($E$2:E158,E158)</f>
        <v>0</v>
      </c>
      <c r="AC158" s="21" t="str">
        <f t="shared" si="2"/>
        <v/>
      </c>
    </row>
    <row r="159" spans="24:29">
      <c r="X159" s="21" t="str">
        <f>IF(K159="紧急",COUNTIF($K$2:K159,"紧急"),"")</f>
        <v/>
      </c>
      <c r="Y159" s="21" t="str">
        <f>IF(V159="未提取",COUNTIF($V$2:V159,"未提取"),"")</f>
        <v/>
      </c>
      <c r="Z159" s="21" t="str">
        <f>IF(OR(V159="提取中",V159="文库构建中",V159="文库质检中",V159="pooling排机中",V159="上机测序中"),SUMPRODUCT((($V$2:V159="提取中")+($V$2:V159="文库构建中")+($V$2:V159="文库质检中")+($V$2:V159="pooling排机中")+($V$2:V159="上机测序中"))*1),"")</f>
        <v/>
      </c>
      <c r="AA159" s="21" t="str">
        <f>IF(V159="测序完成",COUNTIF($V$2:V159,"测序完成"),"")</f>
        <v/>
      </c>
      <c r="AB159" s="21" t="str">
        <f>E159&amp;COUNTIFS($E$2:E159,E159)</f>
        <v>0</v>
      </c>
      <c r="AC159" s="21" t="str">
        <f t="shared" si="2"/>
        <v/>
      </c>
    </row>
    <row r="160" spans="24:29">
      <c r="X160" s="21" t="str">
        <f>IF(K160="紧急",COUNTIF($K$2:K160,"紧急"),"")</f>
        <v/>
      </c>
      <c r="Y160" s="21" t="str">
        <f>IF(V160="未提取",COUNTIF($V$2:V160,"未提取"),"")</f>
        <v/>
      </c>
      <c r="Z160" s="21" t="str">
        <f>IF(OR(V160="提取中",V160="文库构建中",V160="文库质检中",V160="pooling排机中",V160="上机测序中"),SUMPRODUCT((($V$2:V160="提取中")+($V$2:V160="文库构建中")+($V$2:V160="文库质检中")+($V$2:V160="pooling排机中")+($V$2:V160="上机测序中"))*1),"")</f>
        <v/>
      </c>
      <c r="AA160" s="21" t="str">
        <f>IF(V160="测序完成",COUNTIF($V$2:V160,"测序完成"),"")</f>
        <v/>
      </c>
      <c r="AB160" s="21" t="str">
        <f>E160&amp;COUNTIFS($E$2:E160,E160)</f>
        <v>0</v>
      </c>
      <c r="AC160" s="21" t="str">
        <f t="shared" si="2"/>
        <v/>
      </c>
    </row>
    <row r="161" spans="24:29">
      <c r="X161" s="21" t="str">
        <f>IF(K161="紧急",COUNTIF($K$2:K161,"紧急"),"")</f>
        <v/>
      </c>
      <c r="Y161" s="21" t="str">
        <f>IF(V161="未提取",COUNTIF($V$2:V161,"未提取"),"")</f>
        <v/>
      </c>
      <c r="Z161" s="21" t="str">
        <f>IF(OR(V161="提取中",V161="文库构建中",V161="文库质检中",V161="pooling排机中",V161="上机测序中"),SUMPRODUCT((($V$2:V161="提取中")+($V$2:V161="文库构建中")+($V$2:V161="文库质检中")+($V$2:V161="pooling排机中")+($V$2:V161="上机测序中"))*1),"")</f>
        <v/>
      </c>
      <c r="AA161" s="21" t="str">
        <f>IF(V161="测序完成",COUNTIF($V$2:V161,"测序完成"),"")</f>
        <v/>
      </c>
      <c r="AB161" s="21" t="str">
        <f>E161&amp;COUNTIFS($E$2:E161,E161)</f>
        <v>0</v>
      </c>
      <c r="AC161" s="21" t="str">
        <f t="shared" si="2"/>
        <v/>
      </c>
    </row>
    <row r="162" spans="24:29">
      <c r="X162" s="21" t="str">
        <f>IF(K162="紧急",COUNTIF($K$2:K162,"紧急"),"")</f>
        <v/>
      </c>
      <c r="Y162" s="21" t="str">
        <f>IF(V162="未提取",COUNTIF($V$2:V162,"未提取"),"")</f>
        <v/>
      </c>
      <c r="Z162" s="21" t="str">
        <f>IF(OR(V162="提取中",V162="文库构建中",V162="文库质检中",V162="pooling排机中",V162="上机测序中"),SUMPRODUCT((($V$2:V162="提取中")+($V$2:V162="文库构建中")+($V$2:V162="文库质检中")+($V$2:V162="pooling排机中")+($V$2:V162="上机测序中"))*1),"")</f>
        <v/>
      </c>
      <c r="AA162" s="21" t="str">
        <f>IF(V162="测序完成",COUNTIF($V$2:V162,"测序完成"),"")</f>
        <v/>
      </c>
      <c r="AB162" s="21" t="str">
        <f>E162&amp;COUNTIFS($E$2:E162,E162)</f>
        <v>0</v>
      </c>
      <c r="AC162" s="21" t="str">
        <f t="shared" si="2"/>
        <v/>
      </c>
    </row>
    <row r="163" spans="24:29">
      <c r="X163" s="21" t="str">
        <f>IF(K163="紧急",COUNTIF($K$2:K163,"紧急"),"")</f>
        <v/>
      </c>
      <c r="Y163" s="21" t="str">
        <f>IF(V163="未提取",COUNTIF($V$2:V163,"未提取"),"")</f>
        <v/>
      </c>
      <c r="Z163" s="21" t="str">
        <f>IF(OR(V163="提取中",V163="文库构建中",V163="文库质检中",V163="pooling排机中",V163="上机测序中"),SUMPRODUCT((($V$2:V163="提取中")+($V$2:V163="文库构建中")+($V$2:V163="文库质检中")+($V$2:V163="pooling排机中")+($V$2:V163="上机测序中"))*1),"")</f>
        <v/>
      </c>
      <c r="AA163" s="21" t="str">
        <f>IF(V163="测序完成",COUNTIF($V$2:V163,"测序完成"),"")</f>
        <v/>
      </c>
      <c r="AB163" s="21" t="str">
        <f>E163&amp;COUNTIFS($E$2:E163,E163)</f>
        <v>0</v>
      </c>
      <c r="AC163" s="21" t="str">
        <f t="shared" si="2"/>
        <v/>
      </c>
    </row>
    <row r="164" spans="24:29">
      <c r="X164" s="21" t="str">
        <f>IF(K164="紧急",COUNTIF($K$2:K164,"紧急"),"")</f>
        <v/>
      </c>
      <c r="Y164" s="21" t="str">
        <f>IF(V164="未提取",COUNTIF($V$2:V164,"未提取"),"")</f>
        <v/>
      </c>
      <c r="Z164" s="21" t="str">
        <f>IF(OR(V164="提取中",V164="文库构建中",V164="文库质检中",V164="pooling排机中",V164="上机测序中"),SUMPRODUCT((($V$2:V164="提取中")+($V$2:V164="文库构建中")+($V$2:V164="文库质检中")+($V$2:V164="pooling排机中")+($V$2:V164="上机测序中"))*1),"")</f>
        <v/>
      </c>
      <c r="AA164" s="21" t="str">
        <f>IF(V164="测序完成",COUNTIF($V$2:V164,"测序完成"),"")</f>
        <v/>
      </c>
      <c r="AB164" s="21" t="str">
        <f>E164&amp;COUNTIFS($E$2:E164,E164)</f>
        <v>0</v>
      </c>
      <c r="AC164" s="21" t="str">
        <f t="shared" si="2"/>
        <v/>
      </c>
    </row>
    <row r="165" spans="24:29">
      <c r="X165" s="21" t="str">
        <f>IF(K165="紧急",COUNTIF($K$2:K165,"紧急"),"")</f>
        <v/>
      </c>
      <c r="Y165" s="21" t="str">
        <f>IF(V165="未提取",COUNTIF($V$2:V165,"未提取"),"")</f>
        <v/>
      </c>
      <c r="Z165" s="21" t="str">
        <f>IF(OR(V165="提取中",V165="文库构建中",V165="文库质检中",V165="pooling排机中",V165="上机测序中"),SUMPRODUCT((($V$2:V165="提取中")+($V$2:V165="文库构建中")+($V$2:V165="文库质检中")+($V$2:V165="pooling排机中")+($V$2:V165="上机测序中"))*1),"")</f>
        <v/>
      </c>
      <c r="AA165" s="21" t="str">
        <f>IF(V165="测序完成",COUNTIF($V$2:V165,"测序完成"),"")</f>
        <v/>
      </c>
      <c r="AB165" s="21" t="str">
        <f>E165&amp;COUNTIFS($E$2:E165,E165)</f>
        <v>0</v>
      </c>
      <c r="AC165" s="21" t="str">
        <f t="shared" si="2"/>
        <v/>
      </c>
    </row>
    <row r="166" spans="24:29">
      <c r="X166" s="21" t="str">
        <f>IF(K166="紧急",COUNTIF($K$2:K166,"紧急"),"")</f>
        <v/>
      </c>
      <c r="Y166" s="21" t="str">
        <f>IF(V166="未提取",COUNTIF($V$2:V166,"未提取"),"")</f>
        <v/>
      </c>
      <c r="Z166" s="21" t="str">
        <f>IF(OR(V166="提取中",V166="文库构建中",V166="文库质检中",V166="pooling排机中",V166="上机测序中"),SUMPRODUCT((($V$2:V166="提取中")+($V$2:V166="文库构建中")+($V$2:V166="文库质检中")+($V$2:V166="pooling排机中")+($V$2:V166="上机测序中"))*1),"")</f>
        <v/>
      </c>
      <c r="AA166" s="21" t="str">
        <f>IF(V166="测序完成",COUNTIF($V$2:V166,"测序完成"),"")</f>
        <v/>
      </c>
      <c r="AB166" s="21" t="str">
        <f>E166&amp;COUNTIFS($E$2:E166,E166)</f>
        <v>0</v>
      </c>
      <c r="AC166" s="21" t="str">
        <f t="shared" si="2"/>
        <v/>
      </c>
    </row>
    <row r="167" spans="24:29">
      <c r="X167" s="21" t="str">
        <f>IF(K167="紧急",COUNTIF($K$2:K167,"紧急"),"")</f>
        <v/>
      </c>
      <c r="Y167" s="21" t="str">
        <f>IF(V167="未提取",COUNTIF($V$2:V167,"未提取"),"")</f>
        <v/>
      </c>
      <c r="Z167" s="21" t="str">
        <f>IF(OR(V167="提取中",V167="文库构建中",V167="文库质检中",V167="pooling排机中",V167="上机测序中"),SUMPRODUCT((($V$2:V167="提取中")+($V$2:V167="文库构建中")+($V$2:V167="文库质检中")+($V$2:V167="pooling排机中")+($V$2:V167="上机测序中"))*1),"")</f>
        <v/>
      </c>
      <c r="AA167" s="21" t="str">
        <f>IF(V167="测序完成",COUNTIF($V$2:V167,"测序完成"),"")</f>
        <v/>
      </c>
      <c r="AB167" s="21" t="str">
        <f>E167&amp;COUNTIFS($E$2:E167,E167)</f>
        <v>0</v>
      </c>
      <c r="AC167" s="21" t="str">
        <f t="shared" si="2"/>
        <v/>
      </c>
    </row>
    <row r="168" spans="24:29">
      <c r="X168" s="21" t="str">
        <f>IF(K168="紧急",COUNTIF($K$2:K168,"紧急"),"")</f>
        <v/>
      </c>
      <c r="Y168" s="21" t="str">
        <f>IF(V168="未提取",COUNTIF($V$2:V168,"未提取"),"")</f>
        <v/>
      </c>
      <c r="Z168" s="21" t="str">
        <f>IF(OR(V168="提取中",V168="文库构建中",V168="文库质检中",V168="pooling排机中",V168="上机测序中"),SUMPRODUCT((($V$2:V168="提取中")+($V$2:V168="文库构建中")+($V$2:V168="文库质检中")+($V$2:V168="pooling排机中")+($V$2:V168="上机测序中"))*1),"")</f>
        <v/>
      </c>
      <c r="AA168" s="21" t="str">
        <f>IF(V168="测序完成",COUNTIF($V$2:V168,"测序完成"),"")</f>
        <v/>
      </c>
      <c r="AB168" s="21" t="str">
        <f>E168&amp;COUNTIFS($E$2:E168,E168)</f>
        <v>0</v>
      </c>
      <c r="AC168" s="21" t="str">
        <f t="shared" si="2"/>
        <v/>
      </c>
    </row>
    <row r="169" spans="24:29">
      <c r="X169" s="21" t="str">
        <f>IF(K169="紧急",COUNTIF($K$2:K169,"紧急"),"")</f>
        <v/>
      </c>
      <c r="Y169" s="21" t="str">
        <f>IF(V169="未提取",COUNTIF($V$2:V169,"未提取"),"")</f>
        <v/>
      </c>
      <c r="Z169" s="21" t="str">
        <f>IF(OR(V169="提取中",V169="文库构建中",V169="文库质检中",V169="pooling排机中",V169="上机测序中"),SUMPRODUCT((($V$2:V169="提取中")+($V$2:V169="文库构建中")+($V$2:V169="文库质检中")+($V$2:V169="pooling排机中")+($V$2:V169="上机测序中"))*1),"")</f>
        <v/>
      </c>
      <c r="AA169" s="21" t="str">
        <f>IF(V169="测序完成",COUNTIF($V$2:V169,"测序完成"),"")</f>
        <v/>
      </c>
      <c r="AB169" s="21" t="str">
        <f>E169&amp;COUNTIFS($E$2:E169,E169)</f>
        <v>0</v>
      </c>
      <c r="AC169" s="21" t="str">
        <f t="shared" si="2"/>
        <v/>
      </c>
    </row>
    <row r="170" spans="24:29">
      <c r="X170" s="21" t="str">
        <f>IF(K170="紧急",COUNTIF($K$2:K170,"紧急"),"")</f>
        <v/>
      </c>
      <c r="Y170" s="21" t="str">
        <f>IF(V170="未提取",COUNTIF($V$2:V170,"未提取"),"")</f>
        <v/>
      </c>
      <c r="Z170" s="21" t="str">
        <f>IF(OR(V170="提取中",V170="文库构建中",V170="文库质检中",V170="pooling排机中",V170="上机测序中"),SUMPRODUCT((($V$2:V170="提取中")+($V$2:V170="文库构建中")+($V$2:V170="文库质检中")+($V$2:V170="pooling排机中")+($V$2:V170="上机测序中"))*1),"")</f>
        <v/>
      </c>
      <c r="AA170" s="21" t="str">
        <f>IF(V170="测序完成",COUNTIF($V$2:V170,"测序完成"),"")</f>
        <v/>
      </c>
      <c r="AB170" s="21" t="str">
        <f>E170&amp;COUNTIFS($E$2:E170,E170)</f>
        <v>0</v>
      </c>
      <c r="AC170" s="21" t="str">
        <f t="shared" si="2"/>
        <v/>
      </c>
    </row>
    <row r="171" spans="24:29">
      <c r="X171" s="21" t="str">
        <f>IF(K171="紧急",COUNTIF($K$2:K171,"紧急"),"")</f>
        <v/>
      </c>
      <c r="Y171" s="21" t="str">
        <f>IF(V171="未提取",COUNTIF($V$2:V171,"未提取"),"")</f>
        <v/>
      </c>
      <c r="Z171" s="21" t="str">
        <f>IF(OR(V171="提取中",V171="文库构建中",V171="文库质检中",V171="pooling排机中",V171="上机测序中"),SUMPRODUCT((($V$2:V171="提取中")+($V$2:V171="文库构建中")+($V$2:V171="文库质检中")+($V$2:V171="pooling排机中")+($V$2:V171="上机测序中"))*1),"")</f>
        <v/>
      </c>
      <c r="AA171" s="21" t="str">
        <f>IF(V171="测序完成",COUNTIF($V$2:V171,"测序完成"),"")</f>
        <v/>
      </c>
      <c r="AB171" s="21" t="str">
        <f>E171&amp;COUNTIFS($E$2:E171,E171)</f>
        <v>0</v>
      </c>
      <c r="AC171" s="21" t="str">
        <f t="shared" si="2"/>
        <v/>
      </c>
    </row>
    <row r="172" spans="24:29">
      <c r="X172" s="21" t="str">
        <f>IF(K172="紧急",COUNTIF($K$2:K172,"紧急"),"")</f>
        <v/>
      </c>
      <c r="Y172" s="21" t="str">
        <f>IF(V172="未提取",COUNTIF($V$2:V172,"未提取"),"")</f>
        <v/>
      </c>
      <c r="Z172" s="21" t="str">
        <f>IF(OR(V172="提取中",V172="文库构建中",V172="文库质检中",V172="pooling排机中",V172="上机测序中"),SUMPRODUCT((($V$2:V172="提取中")+($V$2:V172="文库构建中")+($V$2:V172="文库质检中")+($V$2:V172="pooling排机中")+($V$2:V172="上机测序中"))*1),"")</f>
        <v/>
      </c>
      <c r="AA172" s="21" t="str">
        <f>IF(V172="测序完成",COUNTIF($V$2:V172,"测序完成"),"")</f>
        <v/>
      </c>
      <c r="AB172" s="21" t="str">
        <f>E172&amp;COUNTIFS($E$2:E172,E172)</f>
        <v>0</v>
      </c>
      <c r="AC172" s="21" t="str">
        <f t="shared" si="2"/>
        <v/>
      </c>
    </row>
    <row r="173" spans="24:29">
      <c r="X173" s="21" t="str">
        <f>IF(K173="紧急",COUNTIF($K$2:K173,"紧急"),"")</f>
        <v/>
      </c>
      <c r="Y173" s="21" t="str">
        <f>IF(V173="未提取",COUNTIF($V$2:V173,"未提取"),"")</f>
        <v/>
      </c>
      <c r="Z173" s="21" t="str">
        <f>IF(OR(V173="提取中",V173="文库构建中",V173="文库质检中",V173="pooling排机中",V173="上机测序中"),SUMPRODUCT((($V$2:V173="提取中")+($V$2:V173="文库构建中")+($V$2:V173="文库质检中")+($V$2:V173="pooling排机中")+($V$2:V173="上机测序中"))*1),"")</f>
        <v/>
      </c>
      <c r="AA173" s="21" t="str">
        <f>IF(V173="测序完成",COUNTIF($V$2:V173,"测序完成"),"")</f>
        <v/>
      </c>
      <c r="AB173" s="21" t="str">
        <f>E173&amp;COUNTIFS($E$2:E173,E173)</f>
        <v>0</v>
      </c>
      <c r="AC173" s="21" t="str">
        <f t="shared" si="2"/>
        <v/>
      </c>
    </row>
    <row r="174" spans="24:29">
      <c r="X174" s="21" t="str">
        <f>IF(K174="紧急",COUNTIF($K$2:K174,"紧急"),"")</f>
        <v/>
      </c>
      <c r="Y174" s="21" t="str">
        <f>IF(V174="未提取",COUNTIF($V$2:V174,"未提取"),"")</f>
        <v/>
      </c>
      <c r="Z174" s="21" t="str">
        <f>IF(OR(V174="提取中",V174="文库构建中",V174="文库质检中",V174="pooling排机中",V174="上机测序中"),SUMPRODUCT((($V$2:V174="提取中")+($V$2:V174="文库构建中")+($V$2:V174="文库质检中")+($V$2:V174="pooling排机中")+($V$2:V174="上机测序中"))*1),"")</f>
        <v/>
      </c>
      <c r="AA174" s="21" t="str">
        <f>IF(V174="测序完成",COUNTIF($V$2:V174,"测序完成"),"")</f>
        <v/>
      </c>
      <c r="AB174" s="21" t="str">
        <f>E174&amp;COUNTIFS($E$2:E174,E174)</f>
        <v>0</v>
      </c>
      <c r="AC174" s="21" t="str">
        <f t="shared" si="2"/>
        <v/>
      </c>
    </row>
    <row r="175" spans="24:29">
      <c r="X175" s="21" t="str">
        <f>IF(K175="紧急",COUNTIF($K$2:K175,"紧急"),"")</f>
        <v/>
      </c>
      <c r="Y175" s="21" t="str">
        <f>IF(V175="未提取",COUNTIF($V$2:V175,"未提取"),"")</f>
        <v/>
      </c>
      <c r="Z175" s="21" t="str">
        <f>IF(OR(V175="提取中",V175="文库构建中",V175="文库质检中",V175="pooling排机中",V175="上机测序中"),SUMPRODUCT((($V$2:V175="提取中")+($V$2:V175="文库构建中")+($V$2:V175="文库质检中")+($V$2:V175="pooling排机中")+($V$2:V175="上机测序中"))*1),"")</f>
        <v/>
      </c>
      <c r="AA175" s="21" t="str">
        <f>IF(V175="测序完成",COUNTIF($V$2:V175,"测序完成"),"")</f>
        <v/>
      </c>
      <c r="AB175" s="21" t="str">
        <f>E175&amp;COUNTIFS($E$2:E175,E175)</f>
        <v>0</v>
      </c>
      <c r="AC175" s="21" t="str">
        <f t="shared" si="2"/>
        <v/>
      </c>
    </row>
    <row r="176" spans="24:29">
      <c r="X176" s="21" t="str">
        <f>IF(K176="紧急",COUNTIF($K$2:K176,"紧急"),"")</f>
        <v/>
      </c>
      <c r="Y176" s="21" t="str">
        <f>IF(V176="未提取",COUNTIF($V$2:V176,"未提取"),"")</f>
        <v/>
      </c>
      <c r="Z176" s="21" t="str">
        <f>IF(OR(V176="提取中",V176="文库构建中",V176="文库质检中",V176="pooling排机中",V176="上机测序中"),SUMPRODUCT((($V$2:V176="提取中")+($V$2:V176="文库构建中")+($V$2:V176="文库质检中")+($V$2:V176="pooling排机中")+($V$2:V176="上机测序中"))*1),"")</f>
        <v/>
      </c>
      <c r="AA176" s="21" t="str">
        <f>IF(V176="测序完成",COUNTIF($V$2:V176,"测序完成"),"")</f>
        <v/>
      </c>
      <c r="AB176" s="21" t="str">
        <f>E176&amp;COUNTIFS($E$2:E176,E176)</f>
        <v>0</v>
      </c>
      <c r="AC176" s="21" t="str">
        <f t="shared" si="2"/>
        <v/>
      </c>
    </row>
    <row r="177" spans="24:29">
      <c r="X177" s="21" t="str">
        <f>IF(K177="紧急",COUNTIF($K$2:K177,"紧急"),"")</f>
        <v/>
      </c>
      <c r="Y177" s="21" t="str">
        <f>IF(V177="未提取",COUNTIF($V$2:V177,"未提取"),"")</f>
        <v/>
      </c>
      <c r="Z177" s="21" t="str">
        <f>IF(OR(V177="提取中",V177="文库构建中",V177="文库质检中",V177="pooling排机中",V177="上机测序中"),SUMPRODUCT((($V$2:V177="提取中")+($V$2:V177="文库构建中")+($V$2:V177="文库质检中")+($V$2:V177="pooling排机中")+($V$2:V177="上机测序中"))*1),"")</f>
        <v/>
      </c>
      <c r="AA177" s="21" t="str">
        <f>IF(V177="测序完成",COUNTIF($V$2:V177,"测序完成"),"")</f>
        <v/>
      </c>
      <c r="AB177" s="21" t="str">
        <f>E177&amp;COUNTIFS($E$2:E177,E177)</f>
        <v>0</v>
      </c>
      <c r="AC177" s="21" t="str">
        <f t="shared" si="2"/>
        <v/>
      </c>
    </row>
    <row r="178" spans="24:29">
      <c r="X178" s="21" t="str">
        <f>IF(K178="紧急",COUNTIF($K$2:K178,"紧急"),"")</f>
        <v/>
      </c>
      <c r="Y178" s="21" t="str">
        <f>IF(V178="未提取",COUNTIF($V$2:V178,"未提取"),"")</f>
        <v/>
      </c>
      <c r="Z178" s="21" t="str">
        <f>IF(OR(V178="提取中",V178="文库构建中",V178="文库质检中",V178="pooling排机中",V178="上机测序中"),SUMPRODUCT((($V$2:V178="提取中")+($V$2:V178="文库构建中")+($V$2:V178="文库质检中")+($V$2:V178="pooling排机中")+($V$2:V178="上机测序中"))*1),"")</f>
        <v/>
      </c>
      <c r="AA178" s="21" t="str">
        <f>IF(V178="测序完成",COUNTIF($V$2:V178,"测序完成"),"")</f>
        <v/>
      </c>
      <c r="AB178" s="21" t="str">
        <f>E178&amp;COUNTIFS($E$2:E178,E178)</f>
        <v>0</v>
      </c>
      <c r="AC178" s="21" t="str">
        <f t="shared" si="2"/>
        <v/>
      </c>
    </row>
    <row r="179" spans="24:29">
      <c r="X179" s="21" t="str">
        <f>IF(K179="紧急",COUNTIF($K$2:K179,"紧急"),"")</f>
        <v/>
      </c>
      <c r="Y179" s="21" t="str">
        <f>IF(V179="未提取",COUNTIF($V$2:V179,"未提取"),"")</f>
        <v/>
      </c>
      <c r="Z179" s="21" t="str">
        <f>IF(OR(V179="提取中",V179="文库构建中",V179="文库质检中",V179="pooling排机中",V179="上机测序中"),SUMPRODUCT((($V$2:V179="提取中")+($V$2:V179="文库构建中")+($V$2:V179="文库质检中")+($V$2:V179="pooling排机中")+($V$2:V179="上机测序中"))*1),"")</f>
        <v/>
      </c>
      <c r="AA179" s="21" t="str">
        <f>IF(V179="测序完成",COUNTIF($V$2:V179,"测序完成"),"")</f>
        <v/>
      </c>
      <c r="AB179" s="21" t="str">
        <f>E179&amp;COUNTIFS($E$2:E179,E179)</f>
        <v>0</v>
      </c>
      <c r="AC179" s="21" t="str">
        <f t="shared" si="2"/>
        <v/>
      </c>
    </row>
    <row r="180" spans="24:29">
      <c r="X180" s="21" t="str">
        <f>IF(K180="紧急",COUNTIF($K$2:K180,"紧急"),"")</f>
        <v/>
      </c>
      <c r="Y180" s="21" t="str">
        <f>IF(V180="未提取",COUNTIF($V$2:V180,"未提取"),"")</f>
        <v/>
      </c>
      <c r="Z180" s="21" t="str">
        <f>IF(OR(V180="提取中",V180="文库构建中",V180="文库质检中",V180="pooling排机中",V180="上机测序中"),SUMPRODUCT((($V$2:V180="提取中")+($V$2:V180="文库构建中")+($V$2:V180="文库质检中")+($V$2:V180="pooling排机中")+($V$2:V180="上机测序中"))*1),"")</f>
        <v/>
      </c>
      <c r="AA180" s="21" t="str">
        <f>IF(V180="测序完成",COUNTIF($V$2:V180,"测序完成"),"")</f>
        <v/>
      </c>
      <c r="AB180" s="21" t="str">
        <f>E180&amp;COUNTIFS($E$2:E180,E180)</f>
        <v>0</v>
      </c>
      <c r="AC180" s="21" t="str">
        <f t="shared" si="2"/>
        <v/>
      </c>
    </row>
    <row r="181" spans="24:29">
      <c r="X181" s="21" t="str">
        <f>IF(K181="紧急",COUNTIF($K$2:K181,"紧急"),"")</f>
        <v/>
      </c>
      <c r="Y181" s="21" t="str">
        <f>IF(V181="未提取",COUNTIF($V$2:V181,"未提取"),"")</f>
        <v/>
      </c>
      <c r="Z181" s="21" t="str">
        <f>IF(OR(V181="提取中",V181="文库构建中",V181="文库质检中",V181="pooling排机中",V181="上机测序中"),SUMPRODUCT((($V$2:V181="提取中")+($V$2:V181="文库构建中")+($V$2:V181="文库质检中")+($V$2:V181="pooling排机中")+($V$2:V181="上机测序中"))*1),"")</f>
        <v/>
      </c>
      <c r="AA181" s="21" t="str">
        <f>IF(V181="测序完成",COUNTIF($V$2:V181,"测序完成"),"")</f>
        <v/>
      </c>
      <c r="AB181" s="21" t="str">
        <f>E181&amp;COUNTIFS($E$2:E181,E181)</f>
        <v>0</v>
      </c>
      <c r="AC181" s="21" t="str">
        <f t="shared" si="2"/>
        <v/>
      </c>
    </row>
    <row r="182" spans="24:29">
      <c r="X182" s="21" t="str">
        <f>IF(K182="紧急",COUNTIF($K$2:K182,"紧急"),"")</f>
        <v/>
      </c>
      <c r="Y182" s="21" t="str">
        <f>IF(V182="未提取",COUNTIF($V$2:V182,"未提取"),"")</f>
        <v/>
      </c>
      <c r="Z182" s="21" t="str">
        <f>IF(OR(V182="提取中",V182="文库构建中",V182="文库质检中",V182="pooling排机中",V182="上机测序中"),SUMPRODUCT((($V$2:V182="提取中")+($V$2:V182="文库构建中")+($V$2:V182="文库质检中")+($V$2:V182="pooling排机中")+($V$2:V182="上机测序中"))*1),"")</f>
        <v/>
      </c>
      <c r="AA182" s="21" t="str">
        <f>IF(V182="测序完成",COUNTIF($V$2:V182,"测序完成"),"")</f>
        <v/>
      </c>
      <c r="AB182" s="21" t="str">
        <f>E182&amp;COUNTIFS($E$2:E182,E182)</f>
        <v>0</v>
      </c>
      <c r="AC182" s="21" t="str">
        <f t="shared" si="2"/>
        <v/>
      </c>
    </row>
    <row r="183" spans="24:29">
      <c r="X183" s="21" t="str">
        <f>IF(K183="紧急",COUNTIF($K$2:K183,"紧急"),"")</f>
        <v/>
      </c>
      <c r="Y183" s="21" t="str">
        <f>IF(V183="未提取",COUNTIF($V$2:V183,"未提取"),"")</f>
        <v/>
      </c>
      <c r="Z183" s="21" t="str">
        <f>IF(OR(V183="提取中",V183="文库构建中",V183="文库质检中",V183="pooling排机中",V183="上机测序中"),SUMPRODUCT((($V$2:V183="提取中")+($V$2:V183="文库构建中")+($V$2:V183="文库质检中")+($V$2:V183="pooling排机中")+($V$2:V183="上机测序中"))*1),"")</f>
        <v/>
      </c>
      <c r="AA183" s="21" t="str">
        <f>IF(V183="测序完成",COUNTIF($V$2:V183,"测序完成"),"")</f>
        <v/>
      </c>
      <c r="AB183" s="21" t="str">
        <f>E183&amp;COUNTIFS($E$2:E183,E183)</f>
        <v>0</v>
      </c>
      <c r="AC183" s="21" t="str">
        <f t="shared" si="2"/>
        <v/>
      </c>
    </row>
    <row r="184" spans="24:29">
      <c r="X184" s="21" t="str">
        <f>IF(K184="紧急",COUNTIF($K$2:K184,"紧急"),"")</f>
        <v/>
      </c>
      <c r="Y184" s="21" t="str">
        <f>IF(V184="未提取",COUNTIF($V$2:V184,"未提取"),"")</f>
        <v/>
      </c>
      <c r="Z184" s="21" t="str">
        <f>IF(OR(V184="提取中",V184="文库构建中",V184="文库质检中",V184="pooling排机中",V184="上机测序中"),SUMPRODUCT((($V$2:V184="提取中")+($V$2:V184="文库构建中")+($V$2:V184="文库质检中")+($V$2:V184="pooling排机中")+($V$2:V184="上机测序中"))*1),"")</f>
        <v/>
      </c>
      <c r="AA184" s="21" t="str">
        <f>IF(V184="测序完成",COUNTIF($V$2:V184,"测序完成"),"")</f>
        <v/>
      </c>
      <c r="AB184" s="21" t="str">
        <f>E184&amp;COUNTIFS($E$2:E184,E184)</f>
        <v>0</v>
      </c>
      <c r="AC184" s="21" t="str">
        <f t="shared" si="2"/>
        <v/>
      </c>
    </row>
    <row r="185" spans="24:29">
      <c r="X185" s="21" t="str">
        <f>IF(K185="紧急",COUNTIF($K$2:K185,"紧急"),"")</f>
        <v/>
      </c>
      <c r="Y185" s="21" t="str">
        <f>IF(V185="未提取",COUNTIF($V$2:V185,"未提取"),"")</f>
        <v/>
      </c>
      <c r="Z185" s="21" t="str">
        <f>IF(OR(V185="提取中",V185="文库构建中",V185="文库质检中",V185="pooling排机中",V185="上机测序中"),SUMPRODUCT((($V$2:V185="提取中")+($V$2:V185="文库构建中")+($V$2:V185="文库质检中")+($V$2:V185="pooling排机中")+($V$2:V185="上机测序中"))*1),"")</f>
        <v/>
      </c>
      <c r="AA185" s="21" t="str">
        <f>IF(V185="测序完成",COUNTIF($V$2:V185,"测序完成"),"")</f>
        <v/>
      </c>
      <c r="AB185" s="21" t="str">
        <f>E185&amp;COUNTIFS($E$2:E185,E185)</f>
        <v>0</v>
      </c>
      <c r="AC185" s="21" t="str">
        <f t="shared" si="2"/>
        <v/>
      </c>
    </row>
    <row r="186" spans="24:29">
      <c r="X186" s="21" t="str">
        <f>IF(K186="紧急",COUNTIF($K$2:K186,"紧急"),"")</f>
        <v/>
      </c>
      <c r="Y186" s="21" t="str">
        <f>IF(V186="未提取",COUNTIF($V$2:V186,"未提取"),"")</f>
        <v/>
      </c>
      <c r="Z186" s="21" t="str">
        <f>IF(OR(V186="提取中",V186="文库构建中",V186="文库质检中",V186="pooling排机中",V186="上机测序中"),SUMPRODUCT((($V$2:V186="提取中")+($V$2:V186="文库构建中")+($V$2:V186="文库质检中")+($V$2:V186="pooling排机中")+($V$2:V186="上机测序中"))*1),"")</f>
        <v/>
      </c>
      <c r="AA186" s="21" t="str">
        <f>IF(V186="测序完成",COUNTIF($V$2:V186,"测序完成"),"")</f>
        <v/>
      </c>
      <c r="AB186" s="21" t="str">
        <f>E186&amp;COUNTIFS($E$2:E186,E186)</f>
        <v>0</v>
      </c>
      <c r="AC186" s="21" t="str">
        <f t="shared" si="2"/>
        <v/>
      </c>
    </row>
    <row r="187" spans="24:29">
      <c r="X187" s="21" t="str">
        <f>IF(K187="紧急",COUNTIF($K$2:K187,"紧急"),"")</f>
        <v/>
      </c>
      <c r="Y187" s="21" t="str">
        <f>IF(V187="未提取",COUNTIF($V$2:V187,"未提取"),"")</f>
        <v/>
      </c>
      <c r="Z187" s="21" t="str">
        <f>IF(OR(V187="提取中",V187="文库构建中",V187="文库质检中",V187="pooling排机中",V187="上机测序中"),SUMPRODUCT((($V$2:V187="提取中")+($V$2:V187="文库构建中")+($V$2:V187="文库质检中")+($V$2:V187="pooling排机中")+($V$2:V187="上机测序中"))*1),"")</f>
        <v/>
      </c>
      <c r="AA187" s="21" t="str">
        <f>IF(V187="测序完成",COUNTIF($V$2:V187,"测序完成"),"")</f>
        <v/>
      </c>
      <c r="AB187" s="21" t="str">
        <f>E187&amp;COUNTIFS($E$2:E187,E187)</f>
        <v>0</v>
      </c>
      <c r="AC187" s="21" t="str">
        <f t="shared" si="2"/>
        <v/>
      </c>
    </row>
    <row r="188" spans="24:29">
      <c r="X188" s="21" t="str">
        <f>IF(K188="紧急",COUNTIF($K$2:K188,"紧急"),"")</f>
        <v/>
      </c>
      <c r="Y188" s="21" t="str">
        <f>IF(V188="未提取",COUNTIF($V$2:V188,"未提取"),"")</f>
        <v/>
      </c>
      <c r="Z188" s="21" t="str">
        <f>IF(OR(V188="提取中",V188="文库构建中",V188="文库质检中",V188="pooling排机中",V188="上机测序中"),SUMPRODUCT((($V$2:V188="提取中")+($V$2:V188="文库构建中")+($V$2:V188="文库质检中")+($V$2:V188="pooling排机中")+($V$2:V188="上机测序中"))*1),"")</f>
        <v/>
      </c>
      <c r="AA188" s="21" t="str">
        <f>IF(V188="测序完成",COUNTIF($V$2:V188,"测序完成"),"")</f>
        <v/>
      </c>
      <c r="AB188" s="21" t="str">
        <f>E188&amp;COUNTIFS($E$2:E188,E188)</f>
        <v>0</v>
      </c>
      <c r="AC188" s="21" t="str">
        <f t="shared" si="2"/>
        <v/>
      </c>
    </row>
    <row r="189" spans="24:29">
      <c r="X189" s="21" t="str">
        <f>IF(K189="紧急",COUNTIF($K$2:K189,"紧急"),"")</f>
        <v/>
      </c>
      <c r="Y189" s="21" t="str">
        <f>IF(V189="未提取",COUNTIF($V$2:V189,"未提取"),"")</f>
        <v/>
      </c>
      <c r="Z189" s="21" t="str">
        <f>IF(OR(V189="提取中",V189="文库构建中",V189="文库质检中",V189="pooling排机中",V189="上机测序中"),SUMPRODUCT((($V$2:V189="提取中")+($V$2:V189="文库构建中")+($V$2:V189="文库质检中")+($V$2:V189="pooling排机中")+($V$2:V189="上机测序中"))*1),"")</f>
        <v/>
      </c>
      <c r="AA189" s="21" t="str">
        <f>IF(V189="测序完成",COUNTIF($V$2:V189,"测序完成"),"")</f>
        <v/>
      </c>
      <c r="AB189" s="21" t="str">
        <f>E189&amp;COUNTIFS($E$2:E189,E189)</f>
        <v>0</v>
      </c>
      <c r="AC189" s="21" t="str">
        <f t="shared" si="2"/>
        <v/>
      </c>
    </row>
    <row r="190" spans="24:29">
      <c r="X190" s="21" t="str">
        <f>IF(K190="紧急",COUNTIF($K$2:K190,"紧急"),"")</f>
        <v/>
      </c>
      <c r="Y190" s="21" t="str">
        <f>IF(V190="未提取",COUNTIF($V$2:V190,"未提取"),"")</f>
        <v/>
      </c>
      <c r="Z190" s="21" t="str">
        <f>IF(OR(V190="提取中",V190="文库构建中",V190="文库质检中",V190="pooling排机中",V190="上机测序中"),SUMPRODUCT((($V$2:V190="提取中")+($V$2:V190="文库构建中")+($V$2:V190="文库质检中")+($V$2:V190="pooling排机中")+($V$2:V190="上机测序中"))*1),"")</f>
        <v/>
      </c>
      <c r="AA190" s="21" t="str">
        <f>IF(V190="测序完成",COUNTIF($V$2:V190,"测序完成"),"")</f>
        <v/>
      </c>
      <c r="AB190" s="21" t="str">
        <f>E190&amp;COUNTIFS($E$2:E190,E190)</f>
        <v>0</v>
      </c>
      <c r="AC190" s="21" t="str">
        <f t="shared" si="2"/>
        <v/>
      </c>
    </row>
    <row r="191" spans="24:29">
      <c r="X191" s="21" t="str">
        <f>IF(K191="紧急",COUNTIF($K$2:K191,"紧急"),"")</f>
        <v/>
      </c>
      <c r="Y191" s="21" t="str">
        <f>IF(V191="未提取",COUNTIF($V$2:V191,"未提取"),"")</f>
        <v/>
      </c>
      <c r="Z191" s="21" t="str">
        <f>IF(OR(V191="提取中",V191="文库构建中",V191="文库质检中",V191="pooling排机中",V191="上机测序中"),SUMPRODUCT((($V$2:V191="提取中")+($V$2:V191="文库构建中")+($V$2:V191="文库质检中")+($V$2:V191="pooling排机中")+($V$2:V191="上机测序中"))*1),"")</f>
        <v/>
      </c>
      <c r="AA191" s="21" t="str">
        <f>IF(V191="测序完成",COUNTIF($V$2:V191,"测序完成"),"")</f>
        <v/>
      </c>
      <c r="AB191" s="21" t="str">
        <f>E191&amp;COUNTIFS($E$2:E191,E191)</f>
        <v>0</v>
      </c>
      <c r="AC191" s="21" t="str">
        <f t="shared" si="2"/>
        <v/>
      </c>
    </row>
    <row r="192" spans="24:29">
      <c r="X192" s="21" t="str">
        <f>IF(K192="紧急",COUNTIF($K$2:K192,"紧急"),"")</f>
        <v/>
      </c>
      <c r="Y192" s="21" t="str">
        <f>IF(V192="未提取",COUNTIF($V$2:V192,"未提取"),"")</f>
        <v/>
      </c>
      <c r="Z192" s="21" t="str">
        <f>IF(OR(V192="提取中",V192="文库构建中",V192="文库质检中",V192="pooling排机中",V192="上机测序中"),SUMPRODUCT((($V$2:V192="提取中")+($V$2:V192="文库构建中")+($V$2:V192="文库质检中")+($V$2:V192="pooling排机中")+($V$2:V192="上机测序中"))*1),"")</f>
        <v/>
      </c>
      <c r="AA192" s="21" t="str">
        <f>IF(V192="测序完成",COUNTIF($V$2:V192,"测序完成"),"")</f>
        <v/>
      </c>
      <c r="AB192" s="21" t="str">
        <f>E192&amp;COUNTIFS($E$2:E192,E192)</f>
        <v>0</v>
      </c>
      <c r="AC192" s="21" t="str">
        <f t="shared" si="2"/>
        <v/>
      </c>
    </row>
    <row r="193" spans="24:29">
      <c r="X193" s="21" t="str">
        <f>IF(K193="紧急",COUNTIF($K$2:K193,"紧急"),"")</f>
        <v/>
      </c>
      <c r="Y193" s="21" t="str">
        <f>IF(V193="未提取",COUNTIF($V$2:V193,"未提取"),"")</f>
        <v/>
      </c>
      <c r="Z193" s="21" t="str">
        <f>IF(OR(V193="提取中",V193="文库构建中",V193="文库质检中",V193="pooling排机中",V193="上机测序中"),SUMPRODUCT((($V$2:V193="提取中")+($V$2:V193="文库构建中")+($V$2:V193="文库质检中")+($V$2:V193="pooling排机中")+($V$2:V193="上机测序中"))*1),"")</f>
        <v/>
      </c>
      <c r="AA193" s="21" t="str">
        <f>IF(V193="测序完成",COUNTIF($V$2:V193,"测序完成"),"")</f>
        <v/>
      </c>
      <c r="AB193" s="21" t="str">
        <f>E193&amp;COUNTIFS($E$2:E193,E193)</f>
        <v>0</v>
      </c>
      <c r="AC193" s="21" t="str">
        <f t="shared" si="2"/>
        <v/>
      </c>
    </row>
    <row r="194" spans="24:29">
      <c r="X194" s="21" t="str">
        <f>IF(K194="紧急",COUNTIF($K$2:K194,"紧急"),"")</f>
        <v/>
      </c>
      <c r="Y194" s="21" t="str">
        <f>IF(V194="未提取",COUNTIF($V$2:V194,"未提取"),"")</f>
        <v/>
      </c>
      <c r="Z194" s="21" t="str">
        <f>IF(OR(V194="提取中",V194="文库构建中",V194="文库质检中",V194="pooling排机中",V194="上机测序中"),SUMPRODUCT((($V$2:V194="提取中")+($V$2:V194="文库构建中")+($V$2:V194="文库质检中")+($V$2:V194="pooling排机中")+($V$2:V194="上机测序中"))*1),"")</f>
        <v/>
      </c>
      <c r="AA194" s="21" t="str">
        <f>IF(V194="测序完成",COUNTIF($V$2:V194,"测序完成"),"")</f>
        <v/>
      </c>
      <c r="AB194" s="21" t="str">
        <f>E194&amp;COUNTIFS($E$2:E194,E194)</f>
        <v>0</v>
      </c>
      <c r="AC194" s="21" t="str">
        <f t="shared" ref="AC194:AC257" si="3">IF(A194&lt;&gt;"",ROW()-1,"")</f>
        <v/>
      </c>
    </row>
    <row r="195" spans="24:29">
      <c r="X195" s="21" t="str">
        <f>IF(K195="紧急",COUNTIF($K$2:K195,"紧急"),"")</f>
        <v/>
      </c>
      <c r="Y195" s="21" t="str">
        <f>IF(V195="未提取",COUNTIF($V$2:V195,"未提取"),"")</f>
        <v/>
      </c>
      <c r="Z195" s="21" t="str">
        <f>IF(OR(V195="提取中",V195="文库构建中",V195="文库质检中",V195="pooling排机中",V195="上机测序中"),SUMPRODUCT((($V$2:V195="提取中")+($V$2:V195="文库构建中")+($V$2:V195="文库质检中")+($V$2:V195="pooling排机中")+($V$2:V195="上机测序中"))*1),"")</f>
        <v/>
      </c>
      <c r="AA195" s="21" t="str">
        <f>IF(V195="测序完成",COUNTIF($V$2:V195,"测序完成"),"")</f>
        <v/>
      </c>
      <c r="AB195" s="21" t="str">
        <f>E195&amp;COUNTIFS($E$2:E195,E195)</f>
        <v>0</v>
      </c>
      <c r="AC195" s="21" t="str">
        <f t="shared" si="3"/>
        <v/>
      </c>
    </row>
    <row r="196" spans="24:29">
      <c r="X196" s="21" t="str">
        <f>IF(K196="紧急",COUNTIF($K$2:K196,"紧急"),"")</f>
        <v/>
      </c>
      <c r="Y196" s="21" t="str">
        <f>IF(V196="未提取",COUNTIF($V$2:V196,"未提取"),"")</f>
        <v/>
      </c>
      <c r="Z196" s="21" t="str">
        <f>IF(OR(V196="提取中",V196="文库构建中",V196="文库质检中",V196="pooling排机中",V196="上机测序中"),SUMPRODUCT((($V$2:V196="提取中")+($V$2:V196="文库构建中")+($V$2:V196="文库质检中")+($V$2:V196="pooling排机中")+($V$2:V196="上机测序中"))*1),"")</f>
        <v/>
      </c>
      <c r="AA196" s="21" t="str">
        <f>IF(V196="测序完成",COUNTIF($V$2:V196,"测序完成"),"")</f>
        <v/>
      </c>
      <c r="AB196" s="21" t="str">
        <f>E196&amp;COUNTIFS($E$2:E196,E196)</f>
        <v>0</v>
      </c>
      <c r="AC196" s="21" t="str">
        <f t="shared" si="3"/>
        <v/>
      </c>
    </row>
    <row r="197" spans="24:29">
      <c r="X197" s="21" t="str">
        <f>IF(K197="紧急",COUNTIF($K$2:K197,"紧急"),"")</f>
        <v/>
      </c>
      <c r="Y197" s="21" t="str">
        <f>IF(V197="未提取",COUNTIF($V$2:V197,"未提取"),"")</f>
        <v/>
      </c>
      <c r="Z197" s="21" t="str">
        <f>IF(OR(V197="提取中",V197="文库构建中",V197="文库质检中",V197="pooling排机中",V197="上机测序中"),SUMPRODUCT((($V$2:V197="提取中")+($V$2:V197="文库构建中")+($V$2:V197="文库质检中")+($V$2:V197="pooling排机中")+($V$2:V197="上机测序中"))*1),"")</f>
        <v/>
      </c>
      <c r="AA197" s="21" t="str">
        <f>IF(V197="测序完成",COUNTIF($V$2:V197,"测序完成"),"")</f>
        <v/>
      </c>
      <c r="AB197" s="21" t="str">
        <f>E197&amp;COUNTIFS($E$2:E197,E197)</f>
        <v>0</v>
      </c>
      <c r="AC197" s="21" t="str">
        <f t="shared" si="3"/>
        <v/>
      </c>
    </row>
    <row r="198" spans="24:29">
      <c r="X198" s="21" t="str">
        <f>IF(K198="紧急",COUNTIF($K$2:K198,"紧急"),"")</f>
        <v/>
      </c>
      <c r="Y198" s="21" t="str">
        <f>IF(V198="未提取",COUNTIF($V$2:V198,"未提取"),"")</f>
        <v/>
      </c>
      <c r="Z198" s="21" t="str">
        <f>IF(OR(V198="提取中",V198="文库构建中",V198="文库质检中",V198="pooling排机中",V198="上机测序中"),SUMPRODUCT((($V$2:V198="提取中")+($V$2:V198="文库构建中")+($V$2:V198="文库质检中")+($V$2:V198="pooling排机中")+($V$2:V198="上机测序中"))*1),"")</f>
        <v/>
      </c>
      <c r="AA198" s="21" t="str">
        <f>IF(V198="测序完成",COUNTIF($V$2:V198,"测序完成"),"")</f>
        <v/>
      </c>
      <c r="AB198" s="21" t="str">
        <f>E198&amp;COUNTIFS($E$2:E198,E198)</f>
        <v>0</v>
      </c>
      <c r="AC198" s="21" t="str">
        <f t="shared" si="3"/>
        <v/>
      </c>
    </row>
    <row r="199" spans="24:29">
      <c r="X199" s="21" t="str">
        <f>IF(K199="紧急",COUNTIF($K$2:K199,"紧急"),"")</f>
        <v/>
      </c>
      <c r="Y199" s="21" t="str">
        <f>IF(V199="未提取",COUNTIF($V$2:V199,"未提取"),"")</f>
        <v/>
      </c>
      <c r="Z199" s="21" t="str">
        <f>IF(OR(V199="提取中",V199="文库构建中",V199="文库质检中",V199="pooling排机中",V199="上机测序中"),SUMPRODUCT((($V$2:V199="提取中")+($V$2:V199="文库构建中")+($V$2:V199="文库质检中")+($V$2:V199="pooling排机中")+($V$2:V199="上机测序中"))*1),"")</f>
        <v/>
      </c>
      <c r="AA199" s="21" t="str">
        <f>IF(V199="测序完成",COUNTIF($V$2:V199,"测序完成"),"")</f>
        <v/>
      </c>
      <c r="AB199" s="21" t="str">
        <f>E199&amp;COUNTIFS($E$2:E199,E199)</f>
        <v>0</v>
      </c>
      <c r="AC199" s="21" t="str">
        <f t="shared" si="3"/>
        <v/>
      </c>
    </row>
    <row r="200" spans="24:29">
      <c r="X200" s="21" t="str">
        <f>IF(K200="紧急",COUNTIF($K$2:K200,"紧急"),"")</f>
        <v/>
      </c>
      <c r="Y200" s="21" t="str">
        <f>IF(V200="未提取",COUNTIF($V$2:V200,"未提取"),"")</f>
        <v/>
      </c>
      <c r="Z200" s="21" t="str">
        <f>IF(OR(V200="提取中",V200="文库构建中",V200="文库质检中",V200="pooling排机中",V200="上机测序中"),SUMPRODUCT((($V$2:V200="提取中")+($V$2:V200="文库构建中")+($V$2:V200="文库质检中")+($V$2:V200="pooling排机中")+($V$2:V200="上机测序中"))*1),"")</f>
        <v/>
      </c>
      <c r="AA200" s="21" t="str">
        <f>IF(V200="测序完成",COUNTIF($V$2:V200,"测序完成"),"")</f>
        <v/>
      </c>
      <c r="AB200" s="21" t="str">
        <f>E200&amp;COUNTIFS($E$2:E200,E200)</f>
        <v>0</v>
      </c>
      <c r="AC200" s="21" t="str">
        <f t="shared" si="3"/>
        <v/>
      </c>
    </row>
    <row r="201" spans="24:29">
      <c r="X201" s="21" t="str">
        <f>IF(K201="紧急",COUNTIF($K$2:K201,"紧急"),"")</f>
        <v/>
      </c>
      <c r="Y201" s="21" t="str">
        <f>IF(V201="未提取",COUNTIF($V$2:V201,"未提取"),"")</f>
        <v/>
      </c>
      <c r="Z201" s="21" t="str">
        <f>IF(OR(V201="提取中",V201="文库构建中",V201="文库质检中",V201="pooling排机中",V201="上机测序中"),SUMPRODUCT((($V$2:V201="提取中")+($V$2:V201="文库构建中")+($V$2:V201="文库质检中")+($V$2:V201="pooling排机中")+($V$2:V201="上机测序中"))*1),"")</f>
        <v/>
      </c>
      <c r="AA201" s="21" t="str">
        <f>IF(V201="测序完成",COUNTIF($V$2:V201,"测序完成"),"")</f>
        <v/>
      </c>
      <c r="AB201" s="21" t="str">
        <f>E201&amp;COUNTIFS($E$2:E201,E201)</f>
        <v>0</v>
      </c>
      <c r="AC201" s="21" t="str">
        <f t="shared" si="3"/>
        <v/>
      </c>
    </row>
    <row r="202" spans="24:29">
      <c r="X202" s="21" t="str">
        <f>IF(K202="紧急",COUNTIF($K$2:K202,"紧急"),"")</f>
        <v/>
      </c>
      <c r="Y202" s="21" t="str">
        <f>IF(V202="未提取",COUNTIF($V$2:V202,"未提取"),"")</f>
        <v/>
      </c>
      <c r="Z202" s="21" t="str">
        <f>IF(OR(V202="提取中",V202="文库构建中",V202="文库质检中",V202="pooling排机中",V202="上机测序中"),SUMPRODUCT((($V$2:V202="提取中")+($V$2:V202="文库构建中")+($V$2:V202="文库质检中")+($V$2:V202="pooling排机中")+($V$2:V202="上机测序中"))*1),"")</f>
        <v/>
      </c>
      <c r="AA202" s="21" t="str">
        <f>IF(V202="测序完成",COUNTIF($V$2:V202,"测序完成"),"")</f>
        <v/>
      </c>
      <c r="AB202" s="21" t="str">
        <f>E202&amp;COUNTIFS($E$2:E202,E202)</f>
        <v>0</v>
      </c>
      <c r="AC202" s="21" t="str">
        <f t="shared" si="3"/>
        <v/>
      </c>
    </row>
    <row r="203" spans="24:29">
      <c r="X203" s="21" t="str">
        <f>IF(K203="紧急",COUNTIF($K$2:K203,"紧急"),"")</f>
        <v/>
      </c>
      <c r="Y203" s="21" t="str">
        <f>IF(V203="未提取",COUNTIF($V$2:V203,"未提取"),"")</f>
        <v/>
      </c>
      <c r="Z203" s="21" t="str">
        <f>IF(OR(V203="提取中",V203="文库构建中",V203="文库质检中",V203="pooling排机中",V203="上机测序中"),SUMPRODUCT((($V$2:V203="提取中")+($V$2:V203="文库构建中")+($V$2:V203="文库质检中")+($V$2:V203="pooling排机中")+($V$2:V203="上机测序中"))*1),"")</f>
        <v/>
      </c>
      <c r="AA203" s="21" t="str">
        <f>IF(V203="测序完成",COUNTIF($V$2:V203,"测序完成"),"")</f>
        <v/>
      </c>
      <c r="AB203" s="21" t="str">
        <f>E203&amp;COUNTIFS($E$2:E203,E203)</f>
        <v>0</v>
      </c>
      <c r="AC203" s="21" t="str">
        <f t="shared" si="3"/>
        <v/>
      </c>
    </row>
    <row r="204" spans="24:29">
      <c r="X204" s="21" t="str">
        <f>IF(K204="紧急",COUNTIF($K$2:K204,"紧急"),"")</f>
        <v/>
      </c>
      <c r="Y204" s="21" t="str">
        <f>IF(V204="未提取",COUNTIF($V$2:V204,"未提取"),"")</f>
        <v/>
      </c>
      <c r="Z204" s="21" t="str">
        <f>IF(OR(V204="提取中",V204="文库构建中",V204="文库质检中",V204="pooling排机中",V204="上机测序中"),SUMPRODUCT((($V$2:V204="提取中")+($V$2:V204="文库构建中")+($V$2:V204="文库质检中")+($V$2:V204="pooling排机中")+($V$2:V204="上机测序中"))*1),"")</f>
        <v/>
      </c>
      <c r="AA204" s="21" t="str">
        <f>IF(V204="测序完成",COUNTIF($V$2:V204,"测序完成"),"")</f>
        <v/>
      </c>
      <c r="AB204" s="21" t="str">
        <f>E204&amp;COUNTIFS($E$2:E204,E204)</f>
        <v>0</v>
      </c>
      <c r="AC204" s="21" t="str">
        <f t="shared" si="3"/>
        <v/>
      </c>
    </row>
    <row r="205" spans="24:29">
      <c r="X205" s="21" t="str">
        <f>IF(K205="紧急",COUNTIF($K$2:K205,"紧急"),"")</f>
        <v/>
      </c>
      <c r="Y205" s="21" t="str">
        <f>IF(V205="未提取",COUNTIF($V$2:V205,"未提取"),"")</f>
        <v/>
      </c>
      <c r="Z205" s="21" t="str">
        <f>IF(OR(V205="提取中",V205="文库构建中",V205="文库质检中",V205="pooling排机中",V205="上机测序中"),SUMPRODUCT((($V$2:V205="提取中")+($V$2:V205="文库构建中")+($V$2:V205="文库质检中")+($V$2:V205="pooling排机中")+($V$2:V205="上机测序中"))*1),"")</f>
        <v/>
      </c>
      <c r="AA205" s="21" t="str">
        <f>IF(V205="测序完成",COUNTIF($V$2:V205,"测序完成"),"")</f>
        <v/>
      </c>
      <c r="AB205" s="21" t="str">
        <f>E205&amp;COUNTIFS($E$2:E205,E205)</f>
        <v>0</v>
      </c>
      <c r="AC205" s="21" t="str">
        <f t="shared" si="3"/>
        <v/>
      </c>
    </row>
    <row r="206" spans="24:29">
      <c r="X206" s="21" t="str">
        <f>IF(K206="紧急",COUNTIF($K$2:K206,"紧急"),"")</f>
        <v/>
      </c>
      <c r="Y206" s="21" t="str">
        <f>IF(V206="未提取",COUNTIF($V$2:V206,"未提取"),"")</f>
        <v/>
      </c>
      <c r="Z206" s="21" t="str">
        <f>IF(OR(V206="提取中",V206="文库构建中",V206="文库质检中",V206="pooling排机中",V206="上机测序中"),SUMPRODUCT((($V$2:V206="提取中")+($V$2:V206="文库构建中")+($V$2:V206="文库质检中")+($V$2:V206="pooling排机中")+($V$2:V206="上机测序中"))*1),"")</f>
        <v/>
      </c>
      <c r="AA206" s="21" t="str">
        <f>IF(V206="测序完成",COUNTIF($V$2:V206,"测序完成"),"")</f>
        <v/>
      </c>
      <c r="AB206" s="21" t="str">
        <f>E206&amp;COUNTIFS($E$2:E206,E206)</f>
        <v>0</v>
      </c>
      <c r="AC206" s="21" t="str">
        <f t="shared" si="3"/>
        <v/>
      </c>
    </row>
    <row r="207" spans="24:29">
      <c r="X207" s="21" t="str">
        <f>IF(K207="紧急",COUNTIF($K$2:K207,"紧急"),"")</f>
        <v/>
      </c>
      <c r="Y207" s="21" t="str">
        <f>IF(V207="未提取",COUNTIF($V$2:V207,"未提取"),"")</f>
        <v/>
      </c>
      <c r="Z207" s="21" t="str">
        <f>IF(OR(V207="提取中",V207="文库构建中",V207="文库质检中",V207="pooling排机中",V207="上机测序中"),SUMPRODUCT((($V$2:V207="提取中")+($V$2:V207="文库构建中")+($V$2:V207="文库质检中")+($V$2:V207="pooling排机中")+($V$2:V207="上机测序中"))*1),"")</f>
        <v/>
      </c>
      <c r="AA207" s="21" t="str">
        <f>IF(V207="测序完成",COUNTIF($V$2:V207,"测序完成"),"")</f>
        <v/>
      </c>
      <c r="AB207" s="21" t="str">
        <f>E207&amp;COUNTIFS($E$2:E207,E207)</f>
        <v>0</v>
      </c>
      <c r="AC207" s="21" t="str">
        <f t="shared" si="3"/>
        <v/>
      </c>
    </row>
    <row r="208" spans="24:29">
      <c r="X208" s="21" t="str">
        <f>IF(K208="紧急",COUNTIF($K$2:K208,"紧急"),"")</f>
        <v/>
      </c>
      <c r="Y208" s="21" t="str">
        <f>IF(V208="未提取",COUNTIF($V$2:V208,"未提取"),"")</f>
        <v/>
      </c>
      <c r="Z208" s="21" t="str">
        <f>IF(OR(V208="提取中",V208="文库构建中",V208="文库质检中",V208="pooling排机中",V208="上机测序中"),SUMPRODUCT((($V$2:V208="提取中")+($V$2:V208="文库构建中")+($V$2:V208="文库质检中")+($V$2:V208="pooling排机中")+($V$2:V208="上机测序中"))*1),"")</f>
        <v/>
      </c>
      <c r="AA208" s="21" t="str">
        <f>IF(V208="测序完成",COUNTIF($V$2:V208,"测序完成"),"")</f>
        <v/>
      </c>
      <c r="AB208" s="21" t="str">
        <f>E208&amp;COUNTIFS($E$2:E208,E208)</f>
        <v>0</v>
      </c>
      <c r="AC208" s="21" t="str">
        <f t="shared" si="3"/>
        <v/>
      </c>
    </row>
    <row r="209" spans="24:29">
      <c r="X209" s="21" t="str">
        <f>IF(K209="紧急",COUNTIF($K$2:K209,"紧急"),"")</f>
        <v/>
      </c>
      <c r="Y209" s="21" t="str">
        <f>IF(V209="未提取",COUNTIF($V$2:V209,"未提取"),"")</f>
        <v/>
      </c>
      <c r="Z209" s="21" t="str">
        <f>IF(OR(V209="提取中",V209="文库构建中",V209="文库质检中",V209="pooling排机中",V209="上机测序中"),SUMPRODUCT((($V$2:V209="提取中")+($V$2:V209="文库构建中")+($V$2:V209="文库质检中")+($V$2:V209="pooling排机中")+($V$2:V209="上机测序中"))*1),"")</f>
        <v/>
      </c>
      <c r="AA209" s="21" t="str">
        <f>IF(V209="测序完成",COUNTIF($V$2:V209,"测序完成"),"")</f>
        <v/>
      </c>
      <c r="AB209" s="21" t="str">
        <f>E209&amp;COUNTIFS($E$2:E209,E209)</f>
        <v>0</v>
      </c>
      <c r="AC209" s="21" t="str">
        <f t="shared" si="3"/>
        <v/>
      </c>
    </row>
    <row r="210" spans="24:29">
      <c r="X210" s="21" t="str">
        <f>IF(K210="紧急",COUNTIF($K$2:K210,"紧急"),"")</f>
        <v/>
      </c>
      <c r="Y210" s="21" t="str">
        <f>IF(V210="未提取",COUNTIF($V$2:V210,"未提取"),"")</f>
        <v/>
      </c>
      <c r="Z210" s="21" t="str">
        <f>IF(OR(V210="提取中",V210="文库构建中",V210="文库质检中",V210="pooling排机中",V210="上机测序中"),SUMPRODUCT((($V$2:V210="提取中")+($V$2:V210="文库构建中")+($V$2:V210="文库质检中")+($V$2:V210="pooling排机中")+($V$2:V210="上机测序中"))*1),"")</f>
        <v/>
      </c>
      <c r="AA210" s="21" t="str">
        <f>IF(V210="测序完成",COUNTIF($V$2:V210,"测序完成"),"")</f>
        <v/>
      </c>
      <c r="AB210" s="21" t="str">
        <f>E210&amp;COUNTIFS($E$2:E210,E210)</f>
        <v>0</v>
      </c>
      <c r="AC210" s="21" t="str">
        <f t="shared" si="3"/>
        <v/>
      </c>
    </row>
    <row r="211" spans="24:29">
      <c r="X211" s="21" t="str">
        <f>IF(K211="紧急",COUNTIF($K$2:K211,"紧急"),"")</f>
        <v/>
      </c>
      <c r="Y211" s="21" t="str">
        <f>IF(V211="未提取",COUNTIF($V$2:V211,"未提取"),"")</f>
        <v/>
      </c>
      <c r="Z211" s="21" t="str">
        <f>IF(OR(V211="提取中",V211="文库构建中",V211="文库质检中",V211="pooling排机中",V211="上机测序中"),SUMPRODUCT((($V$2:V211="提取中")+($V$2:V211="文库构建中")+($V$2:V211="文库质检中")+($V$2:V211="pooling排机中")+($V$2:V211="上机测序中"))*1),"")</f>
        <v/>
      </c>
      <c r="AA211" s="21" t="str">
        <f>IF(V211="测序完成",COUNTIF($V$2:V211,"测序完成"),"")</f>
        <v/>
      </c>
      <c r="AB211" s="21" t="str">
        <f>E211&amp;COUNTIFS($E$2:E211,E211)</f>
        <v>0</v>
      </c>
      <c r="AC211" s="21" t="str">
        <f t="shared" si="3"/>
        <v/>
      </c>
    </row>
    <row r="212" spans="24:29">
      <c r="X212" s="21" t="str">
        <f>IF(K212="紧急",COUNTIF($K$2:K212,"紧急"),"")</f>
        <v/>
      </c>
      <c r="Y212" s="21" t="str">
        <f>IF(V212="未提取",COUNTIF($V$2:V212,"未提取"),"")</f>
        <v/>
      </c>
      <c r="Z212" s="21" t="str">
        <f>IF(OR(V212="提取中",V212="文库构建中",V212="文库质检中",V212="pooling排机中",V212="上机测序中"),SUMPRODUCT((($V$2:V212="提取中")+($V$2:V212="文库构建中")+($V$2:V212="文库质检中")+($V$2:V212="pooling排机中")+($V$2:V212="上机测序中"))*1),"")</f>
        <v/>
      </c>
      <c r="AA212" s="21" t="str">
        <f>IF(V212="测序完成",COUNTIF($V$2:V212,"测序完成"),"")</f>
        <v/>
      </c>
      <c r="AB212" s="21" t="str">
        <f>E212&amp;COUNTIFS($E$2:E212,E212)</f>
        <v>0</v>
      </c>
      <c r="AC212" s="21" t="str">
        <f t="shared" si="3"/>
        <v/>
      </c>
    </row>
    <row r="213" spans="24:29">
      <c r="X213" s="21" t="str">
        <f>IF(K213="紧急",COUNTIF($K$2:K213,"紧急"),"")</f>
        <v/>
      </c>
      <c r="Y213" s="21" t="str">
        <f>IF(V213="未提取",COUNTIF($V$2:V213,"未提取"),"")</f>
        <v/>
      </c>
      <c r="Z213" s="21" t="str">
        <f>IF(OR(V213="提取中",V213="文库构建中",V213="文库质检中",V213="pooling排机中",V213="上机测序中"),SUMPRODUCT((($V$2:V213="提取中")+($V$2:V213="文库构建中")+($V$2:V213="文库质检中")+($V$2:V213="pooling排机中")+($V$2:V213="上机测序中"))*1),"")</f>
        <v/>
      </c>
      <c r="AA213" s="21" t="str">
        <f>IF(V213="测序完成",COUNTIF($V$2:V213,"测序完成"),"")</f>
        <v/>
      </c>
      <c r="AB213" s="21" t="str">
        <f>E213&amp;COUNTIFS($E$2:E213,E213)</f>
        <v>0</v>
      </c>
      <c r="AC213" s="21" t="str">
        <f t="shared" si="3"/>
        <v/>
      </c>
    </row>
    <row r="214" spans="24:29">
      <c r="X214" s="21" t="str">
        <f>IF(K214="紧急",COUNTIF($K$2:K214,"紧急"),"")</f>
        <v/>
      </c>
      <c r="Y214" s="21" t="str">
        <f>IF(V214="未提取",COUNTIF($V$2:V214,"未提取"),"")</f>
        <v/>
      </c>
      <c r="Z214" s="21" t="str">
        <f>IF(OR(V214="提取中",V214="文库构建中",V214="文库质检中",V214="pooling排机中",V214="上机测序中"),SUMPRODUCT((($V$2:V214="提取中")+($V$2:V214="文库构建中")+($V$2:V214="文库质检中")+($V$2:V214="pooling排机中")+($V$2:V214="上机测序中"))*1),"")</f>
        <v/>
      </c>
      <c r="AA214" s="21" t="str">
        <f>IF(V214="测序完成",COUNTIF($V$2:V214,"测序完成"),"")</f>
        <v/>
      </c>
      <c r="AB214" s="21" t="str">
        <f>E214&amp;COUNTIFS($E$2:E214,E214)</f>
        <v>0</v>
      </c>
      <c r="AC214" s="21" t="str">
        <f t="shared" si="3"/>
        <v/>
      </c>
    </row>
    <row r="215" spans="24:29">
      <c r="X215" s="21" t="str">
        <f>IF(K215="紧急",COUNTIF($K$2:K215,"紧急"),"")</f>
        <v/>
      </c>
      <c r="Y215" s="21" t="str">
        <f>IF(V215="未提取",COUNTIF($V$2:V215,"未提取"),"")</f>
        <v/>
      </c>
      <c r="Z215" s="21" t="str">
        <f>IF(OR(V215="提取中",V215="文库构建中",V215="文库质检中",V215="pooling排机中",V215="上机测序中"),SUMPRODUCT((($V$2:V215="提取中")+($V$2:V215="文库构建中")+($V$2:V215="文库质检中")+($V$2:V215="pooling排机中")+($V$2:V215="上机测序中"))*1),"")</f>
        <v/>
      </c>
      <c r="AA215" s="21" t="str">
        <f>IF(V215="测序完成",COUNTIF($V$2:V215,"测序完成"),"")</f>
        <v/>
      </c>
      <c r="AB215" s="21" t="str">
        <f>E215&amp;COUNTIFS($E$2:E215,E215)</f>
        <v>0</v>
      </c>
      <c r="AC215" s="21" t="str">
        <f t="shared" si="3"/>
        <v/>
      </c>
    </row>
    <row r="216" spans="24:29">
      <c r="X216" s="21" t="str">
        <f>IF(K216="紧急",COUNTIF($K$2:K216,"紧急"),"")</f>
        <v/>
      </c>
      <c r="Y216" s="21" t="str">
        <f>IF(V216="未提取",COUNTIF($V$2:V216,"未提取"),"")</f>
        <v/>
      </c>
      <c r="Z216" s="21" t="str">
        <f>IF(OR(V216="提取中",V216="文库构建中",V216="文库质检中",V216="pooling排机中",V216="上机测序中"),SUMPRODUCT((($V$2:V216="提取中")+($V$2:V216="文库构建中")+($V$2:V216="文库质检中")+($V$2:V216="pooling排机中")+($V$2:V216="上机测序中"))*1),"")</f>
        <v/>
      </c>
      <c r="AA216" s="21" t="str">
        <f>IF(V216="测序完成",COUNTIF($V$2:V216,"测序完成"),"")</f>
        <v/>
      </c>
      <c r="AB216" s="21" t="str">
        <f>E216&amp;COUNTIFS($E$2:E216,E216)</f>
        <v>0</v>
      </c>
      <c r="AC216" s="21" t="str">
        <f t="shared" si="3"/>
        <v/>
      </c>
    </row>
    <row r="217" spans="24:29">
      <c r="X217" s="21" t="str">
        <f>IF(K217="紧急",COUNTIF($K$2:K217,"紧急"),"")</f>
        <v/>
      </c>
      <c r="Y217" s="21" t="str">
        <f>IF(V217="未提取",COUNTIF($V$2:V217,"未提取"),"")</f>
        <v/>
      </c>
      <c r="Z217" s="21" t="str">
        <f>IF(OR(V217="提取中",V217="文库构建中",V217="文库质检中",V217="pooling排机中",V217="上机测序中"),SUMPRODUCT((($V$2:V217="提取中")+($V$2:V217="文库构建中")+($V$2:V217="文库质检中")+($V$2:V217="pooling排机中")+($V$2:V217="上机测序中"))*1),"")</f>
        <v/>
      </c>
      <c r="AA217" s="21" t="str">
        <f>IF(V217="测序完成",COUNTIF($V$2:V217,"测序完成"),"")</f>
        <v/>
      </c>
      <c r="AB217" s="21" t="str">
        <f>E217&amp;COUNTIFS($E$2:E217,E217)</f>
        <v>0</v>
      </c>
      <c r="AC217" s="21" t="str">
        <f t="shared" si="3"/>
        <v/>
      </c>
    </row>
    <row r="218" spans="24:29">
      <c r="X218" s="21" t="str">
        <f>IF(K218="紧急",COUNTIF($K$2:K218,"紧急"),"")</f>
        <v/>
      </c>
      <c r="Y218" s="21" t="str">
        <f>IF(V218="未提取",COUNTIF($V$2:V218,"未提取"),"")</f>
        <v/>
      </c>
      <c r="Z218" s="21" t="str">
        <f>IF(OR(V218="提取中",V218="文库构建中",V218="文库质检中",V218="pooling排机中",V218="上机测序中"),SUMPRODUCT((($V$2:V218="提取中")+($V$2:V218="文库构建中")+($V$2:V218="文库质检中")+($V$2:V218="pooling排机中")+($V$2:V218="上机测序中"))*1),"")</f>
        <v/>
      </c>
      <c r="AA218" s="21" t="str">
        <f>IF(V218="测序完成",COUNTIF($V$2:V218,"测序完成"),"")</f>
        <v/>
      </c>
      <c r="AB218" s="21" t="str">
        <f>E218&amp;COUNTIFS($E$2:E218,E218)</f>
        <v>0</v>
      </c>
      <c r="AC218" s="21" t="str">
        <f t="shared" si="3"/>
        <v/>
      </c>
    </row>
    <row r="219" spans="24:29">
      <c r="X219" s="21" t="str">
        <f>IF(K219="紧急",COUNTIF($K$2:K219,"紧急"),"")</f>
        <v/>
      </c>
      <c r="Y219" s="21" t="str">
        <f>IF(V219="未提取",COUNTIF($V$2:V219,"未提取"),"")</f>
        <v/>
      </c>
      <c r="Z219" s="21" t="str">
        <f>IF(OR(V219="提取中",V219="文库构建中",V219="文库质检中",V219="pooling排机中",V219="上机测序中"),SUMPRODUCT((($V$2:V219="提取中")+($V$2:V219="文库构建中")+($V$2:V219="文库质检中")+($V$2:V219="pooling排机中")+($V$2:V219="上机测序中"))*1),"")</f>
        <v/>
      </c>
      <c r="AA219" s="21" t="str">
        <f>IF(V219="测序完成",COUNTIF($V$2:V219,"测序完成"),"")</f>
        <v/>
      </c>
      <c r="AB219" s="21" t="str">
        <f>E219&amp;COUNTIFS($E$2:E219,E219)</f>
        <v>0</v>
      </c>
      <c r="AC219" s="21" t="str">
        <f t="shared" si="3"/>
        <v/>
      </c>
    </row>
    <row r="220" spans="24:29">
      <c r="X220" s="21" t="str">
        <f>IF(K220="紧急",COUNTIF($K$2:K220,"紧急"),"")</f>
        <v/>
      </c>
      <c r="Y220" s="21" t="str">
        <f>IF(V220="未提取",COUNTIF($V$2:V220,"未提取"),"")</f>
        <v/>
      </c>
      <c r="Z220" s="21" t="str">
        <f>IF(OR(V220="提取中",V220="文库构建中",V220="文库质检中",V220="pooling排机中",V220="上机测序中"),SUMPRODUCT((($V$2:V220="提取中")+($V$2:V220="文库构建中")+($V$2:V220="文库质检中")+($V$2:V220="pooling排机中")+($V$2:V220="上机测序中"))*1),"")</f>
        <v/>
      </c>
      <c r="AA220" s="21" t="str">
        <f>IF(V220="测序完成",COUNTIF($V$2:V220,"测序完成"),"")</f>
        <v/>
      </c>
      <c r="AB220" s="21" t="str">
        <f>E220&amp;COUNTIFS($E$2:E220,E220)</f>
        <v>0</v>
      </c>
      <c r="AC220" s="21" t="str">
        <f t="shared" si="3"/>
        <v/>
      </c>
    </row>
    <row r="221" spans="24:29">
      <c r="X221" s="21" t="str">
        <f>IF(K221="紧急",COUNTIF($K$2:K221,"紧急"),"")</f>
        <v/>
      </c>
      <c r="Y221" s="21" t="str">
        <f>IF(V221="未提取",COUNTIF($V$2:V221,"未提取"),"")</f>
        <v/>
      </c>
      <c r="Z221" s="21" t="str">
        <f>IF(OR(V221="提取中",V221="文库构建中",V221="文库质检中",V221="pooling排机中",V221="上机测序中"),SUMPRODUCT((($V$2:V221="提取中")+($V$2:V221="文库构建中")+($V$2:V221="文库质检中")+($V$2:V221="pooling排机中")+($V$2:V221="上机测序中"))*1),"")</f>
        <v/>
      </c>
      <c r="AA221" s="21" t="str">
        <f>IF(V221="测序完成",COUNTIF($V$2:V221,"测序完成"),"")</f>
        <v/>
      </c>
      <c r="AB221" s="21" t="str">
        <f>E221&amp;COUNTIFS($E$2:E221,E221)</f>
        <v>0</v>
      </c>
      <c r="AC221" s="21" t="str">
        <f t="shared" si="3"/>
        <v/>
      </c>
    </row>
    <row r="222" spans="24:29">
      <c r="X222" s="21" t="str">
        <f>IF(K222="紧急",COUNTIF($K$2:K222,"紧急"),"")</f>
        <v/>
      </c>
      <c r="Y222" s="21" t="str">
        <f>IF(V222="未提取",COUNTIF($V$2:V222,"未提取"),"")</f>
        <v/>
      </c>
      <c r="Z222" s="21" t="str">
        <f>IF(OR(V222="提取中",V222="文库构建中",V222="文库质检中",V222="pooling排机中",V222="上机测序中"),SUMPRODUCT((($V$2:V222="提取中")+($V$2:V222="文库构建中")+($V$2:V222="文库质检中")+($V$2:V222="pooling排机中")+($V$2:V222="上机测序中"))*1),"")</f>
        <v/>
      </c>
      <c r="AA222" s="21" t="str">
        <f>IF(V222="测序完成",COUNTIF($V$2:V222,"测序完成"),"")</f>
        <v/>
      </c>
      <c r="AB222" s="21" t="str">
        <f>E222&amp;COUNTIFS($E$2:E222,E222)</f>
        <v>0</v>
      </c>
      <c r="AC222" s="21" t="str">
        <f t="shared" si="3"/>
        <v/>
      </c>
    </row>
    <row r="223" spans="24:29">
      <c r="X223" s="21" t="str">
        <f>IF(K223="紧急",COUNTIF($K$2:K223,"紧急"),"")</f>
        <v/>
      </c>
      <c r="Y223" s="21" t="str">
        <f>IF(V223="未提取",COUNTIF($V$2:V223,"未提取"),"")</f>
        <v/>
      </c>
      <c r="Z223" s="21" t="str">
        <f>IF(OR(V223="提取中",V223="文库构建中",V223="文库质检中",V223="pooling排机中",V223="上机测序中"),SUMPRODUCT((($V$2:V223="提取中")+($V$2:V223="文库构建中")+($V$2:V223="文库质检中")+($V$2:V223="pooling排机中")+($V$2:V223="上机测序中"))*1),"")</f>
        <v/>
      </c>
      <c r="AA223" s="21" t="str">
        <f>IF(V223="测序完成",COUNTIF($V$2:V223,"测序完成"),"")</f>
        <v/>
      </c>
      <c r="AB223" s="21" t="str">
        <f>E223&amp;COUNTIFS($E$2:E223,E223)</f>
        <v>0</v>
      </c>
      <c r="AC223" s="21" t="str">
        <f t="shared" si="3"/>
        <v/>
      </c>
    </row>
    <row r="224" spans="24:29">
      <c r="X224" s="21" t="str">
        <f>IF(K224="紧急",COUNTIF($K$2:K224,"紧急"),"")</f>
        <v/>
      </c>
      <c r="Y224" s="21" t="str">
        <f>IF(V224="未提取",COUNTIF($V$2:V224,"未提取"),"")</f>
        <v/>
      </c>
      <c r="Z224" s="21" t="str">
        <f>IF(OR(V224="提取中",V224="文库构建中",V224="文库质检中",V224="pooling排机中",V224="上机测序中"),SUMPRODUCT((($V$2:V224="提取中")+($V$2:V224="文库构建中")+($V$2:V224="文库质检中")+($V$2:V224="pooling排机中")+($V$2:V224="上机测序中"))*1),"")</f>
        <v/>
      </c>
      <c r="AA224" s="21" t="str">
        <f>IF(V224="测序完成",COUNTIF($V$2:V224,"测序完成"),"")</f>
        <v/>
      </c>
      <c r="AB224" s="21" t="str">
        <f>E224&amp;COUNTIFS($E$2:E224,E224)</f>
        <v>0</v>
      </c>
      <c r="AC224" s="21" t="str">
        <f t="shared" si="3"/>
        <v/>
      </c>
    </row>
    <row r="225" spans="24:29">
      <c r="X225" s="21" t="str">
        <f>IF(K225="紧急",COUNTIF($K$2:K225,"紧急"),"")</f>
        <v/>
      </c>
      <c r="Y225" s="21" t="str">
        <f>IF(V225="未提取",COUNTIF($V$2:V225,"未提取"),"")</f>
        <v/>
      </c>
      <c r="Z225" s="21" t="str">
        <f>IF(OR(V225="提取中",V225="文库构建中",V225="文库质检中",V225="pooling排机中",V225="上机测序中"),SUMPRODUCT((($V$2:V225="提取中")+($V$2:V225="文库构建中")+($V$2:V225="文库质检中")+($V$2:V225="pooling排机中")+($V$2:V225="上机测序中"))*1),"")</f>
        <v/>
      </c>
      <c r="AA225" s="21" t="str">
        <f>IF(V225="测序完成",COUNTIF($V$2:V225,"测序完成"),"")</f>
        <v/>
      </c>
      <c r="AB225" s="21" t="str">
        <f>E225&amp;COUNTIFS($E$2:E225,E225)</f>
        <v>0</v>
      </c>
      <c r="AC225" s="21" t="str">
        <f t="shared" si="3"/>
        <v/>
      </c>
    </row>
    <row r="226" spans="24:29">
      <c r="X226" s="21" t="str">
        <f>IF(K226="紧急",COUNTIF($K$2:K226,"紧急"),"")</f>
        <v/>
      </c>
      <c r="Y226" s="21" t="str">
        <f>IF(V226="未提取",COUNTIF($V$2:V226,"未提取"),"")</f>
        <v/>
      </c>
      <c r="Z226" s="21" t="str">
        <f>IF(OR(V226="提取中",V226="文库构建中",V226="文库质检中",V226="pooling排机中",V226="上机测序中"),SUMPRODUCT((($V$2:V226="提取中")+($V$2:V226="文库构建中")+($V$2:V226="文库质检中")+($V$2:V226="pooling排机中")+($V$2:V226="上机测序中"))*1),"")</f>
        <v/>
      </c>
      <c r="AA226" s="21" t="str">
        <f>IF(V226="测序完成",COUNTIF($V$2:V226,"测序完成"),"")</f>
        <v/>
      </c>
      <c r="AB226" s="21" t="str">
        <f>E226&amp;COUNTIFS($E$2:E226,E226)</f>
        <v>0</v>
      </c>
      <c r="AC226" s="21" t="str">
        <f t="shared" si="3"/>
        <v/>
      </c>
    </row>
    <row r="227" spans="24:29">
      <c r="X227" s="21" t="str">
        <f>IF(K227="紧急",COUNTIF($K$2:K227,"紧急"),"")</f>
        <v/>
      </c>
      <c r="Y227" s="21" t="str">
        <f>IF(V227="未提取",COUNTIF($V$2:V227,"未提取"),"")</f>
        <v/>
      </c>
      <c r="Z227" s="21" t="str">
        <f>IF(OR(V227="提取中",V227="文库构建中",V227="文库质检中",V227="pooling排机中",V227="上机测序中"),SUMPRODUCT((($V$2:V227="提取中")+($V$2:V227="文库构建中")+($V$2:V227="文库质检中")+($V$2:V227="pooling排机中")+($V$2:V227="上机测序中"))*1),"")</f>
        <v/>
      </c>
      <c r="AA227" s="21" t="str">
        <f>IF(V227="测序完成",COUNTIF($V$2:V227,"测序完成"),"")</f>
        <v/>
      </c>
      <c r="AB227" s="21" t="str">
        <f>E227&amp;COUNTIFS($E$2:E227,E227)</f>
        <v>0</v>
      </c>
      <c r="AC227" s="21" t="str">
        <f t="shared" si="3"/>
        <v/>
      </c>
    </row>
    <row r="228" spans="24:29">
      <c r="X228" s="21" t="str">
        <f>IF(K228="紧急",COUNTIF($K$2:K228,"紧急"),"")</f>
        <v/>
      </c>
      <c r="Y228" s="21" t="str">
        <f>IF(V228="未提取",COUNTIF($V$2:V228,"未提取"),"")</f>
        <v/>
      </c>
      <c r="Z228" s="21" t="str">
        <f>IF(OR(V228="提取中",V228="文库构建中",V228="文库质检中",V228="pooling排机中",V228="上机测序中"),SUMPRODUCT((($V$2:V228="提取中")+($V$2:V228="文库构建中")+($V$2:V228="文库质检中")+($V$2:V228="pooling排机中")+($V$2:V228="上机测序中"))*1),"")</f>
        <v/>
      </c>
      <c r="AA228" s="21" t="str">
        <f>IF(V228="测序完成",COUNTIF($V$2:V228,"测序完成"),"")</f>
        <v/>
      </c>
      <c r="AB228" s="21" t="str">
        <f>E228&amp;COUNTIFS($E$2:E228,E228)</f>
        <v>0</v>
      </c>
      <c r="AC228" s="21" t="str">
        <f t="shared" si="3"/>
        <v/>
      </c>
    </row>
    <row r="229" spans="24:29">
      <c r="X229" s="21" t="str">
        <f>IF(K229="紧急",COUNTIF($K$2:K229,"紧急"),"")</f>
        <v/>
      </c>
      <c r="Y229" s="21" t="str">
        <f>IF(V229="未提取",COUNTIF($V$2:V229,"未提取"),"")</f>
        <v/>
      </c>
      <c r="Z229" s="21" t="str">
        <f>IF(OR(V229="提取中",V229="文库构建中",V229="文库质检中",V229="pooling排机中",V229="上机测序中"),SUMPRODUCT((($V$2:V229="提取中")+($V$2:V229="文库构建中")+($V$2:V229="文库质检中")+($V$2:V229="pooling排机中")+($V$2:V229="上机测序中"))*1),"")</f>
        <v/>
      </c>
      <c r="AA229" s="21" t="str">
        <f>IF(V229="测序完成",COUNTIF($V$2:V229,"测序完成"),"")</f>
        <v/>
      </c>
      <c r="AB229" s="21" t="str">
        <f>E229&amp;COUNTIFS($E$2:E229,E229)</f>
        <v>0</v>
      </c>
      <c r="AC229" s="21" t="str">
        <f t="shared" si="3"/>
        <v/>
      </c>
    </row>
    <row r="230" spans="24:29">
      <c r="X230" s="21" t="str">
        <f>IF(K230="紧急",COUNTIF($K$2:K230,"紧急"),"")</f>
        <v/>
      </c>
      <c r="Y230" s="21" t="str">
        <f>IF(V230="未提取",COUNTIF($V$2:V230,"未提取"),"")</f>
        <v/>
      </c>
      <c r="Z230" s="21" t="str">
        <f>IF(OR(V230="提取中",V230="文库构建中",V230="文库质检中",V230="pooling排机中",V230="上机测序中"),SUMPRODUCT((($V$2:V230="提取中")+($V$2:V230="文库构建中")+($V$2:V230="文库质检中")+($V$2:V230="pooling排机中")+($V$2:V230="上机测序中"))*1),"")</f>
        <v/>
      </c>
      <c r="AA230" s="21" t="str">
        <f>IF(V230="测序完成",COUNTIF($V$2:V230,"测序完成"),"")</f>
        <v/>
      </c>
      <c r="AB230" s="21" t="str">
        <f>E230&amp;COUNTIFS($E$2:E230,E230)</f>
        <v>0</v>
      </c>
      <c r="AC230" s="21" t="str">
        <f t="shared" si="3"/>
        <v/>
      </c>
    </row>
    <row r="231" spans="24:29">
      <c r="X231" s="21" t="str">
        <f>IF(K231="紧急",COUNTIF($K$2:K231,"紧急"),"")</f>
        <v/>
      </c>
      <c r="Y231" s="21" t="str">
        <f>IF(V231="未提取",COUNTIF($V$2:V231,"未提取"),"")</f>
        <v/>
      </c>
      <c r="Z231" s="21" t="str">
        <f>IF(OR(V231="提取中",V231="文库构建中",V231="文库质检中",V231="pooling排机中",V231="上机测序中"),SUMPRODUCT((($V$2:V231="提取中")+($V$2:V231="文库构建中")+($V$2:V231="文库质检中")+($V$2:V231="pooling排机中")+($V$2:V231="上机测序中"))*1),"")</f>
        <v/>
      </c>
      <c r="AA231" s="21" t="str">
        <f>IF(V231="测序完成",COUNTIF($V$2:V231,"测序完成"),"")</f>
        <v/>
      </c>
      <c r="AB231" s="21" t="str">
        <f>E231&amp;COUNTIFS($E$2:E231,E231)</f>
        <v>0</v>
      </c>
      <c r="AC231" s="21" t="str">
        <f t="shared" si="3"/>
        <v/>
      </c>
    </row>
    <row r="232" spans="24:29">
      <c r="X232" s="21" t="str">
        <f>IF(K232="紧急",COUNTIF($K$2:K232,"紧急"),"")</f>
        <v/>
      </c>
      <c r="Y232" s="21" t="str">
        <f>IF(V232="未提取",COUNTIF($V$2:V232,"未提取"),"")</f>
        <v/>
      </c>
      <c r="Z232" s="21" t="str">
        <f>IF(OR(V232="提取中",V232="文库构建中",V232="文库质检中",V232="pooling排机中",V232="上机测序中"),SUMPRODUCT((($V$2:V232="提取中")+($V$2:V232="文库构建中")+($V$2:V232="文库质检中")+($V$2:V232="pooling排机中")+($V$2:V232="上机测序中"))*1),"")</f>
        <v/>
      </c>
      <c r="AA232" s="21" t="str">
        <f>IF(V232="测序完成",COUNTIF($V$2:V232,"测序完成"),"")</f>
        <v/>
      </c>
      <c r="AB232" s="21" t="str">
        <f>E232&amp;COUNTIFS($E$2:E232,E232)</f>
        <v>0</v>
      </c>
      <c r="AC232" s="21" t="str">
        <f t="shared" si="3"/>
        <v/>
      </c>
    </row>
    <row r="233" spans="24:29">
      <c r="X233" s="21" t="str">
        <f>IF(K233="紧急",COUNTIF($K$2:K233,"紧急"),"")</f>
        <v/>
      </c>
      <c r="Y233" s="21" t="str">
        <f>IF(V233="未提取",COUNTIF($V$2:V233,"未提取"),"")</f>
        <v/>
      </c>
      <c r="Z233" s="21" t="str">
        <f>IF(OR(V233="提取中",V233="文库构建中",V233="文库质检中",V233="pooling排机中",V233="上机测序中"),SUMPRODUCT((($V$2:V233="提取中")+($V$2:V233="文库构建中")+($V$2:V233="文库质检中")+($V$2:V233="pooling排机中")+($V$2:V233="上机测序中"))*1),"")</f>
        <v/>
      </c>
      <c r="AA233" s="21" t="str">
        <f>IF(V233="测序完成",COUNTIF($V$2:V233,"测序完成"),"")</f>
        <v/>
      </c>
      <c r="AB233" s="21" t="str">
        <f>E233&amp;COUNTIFS($E$2:E233,E233)</f>
        <v>0</v>
      </c>
      <c r="AC233" s="21" t="str">
        <f t="shared" si="3"/>
        <v/>
      </c>
    </row>
    <row r="234" spans="24:29">
      <c r="X234" s="21" t="str">
        <f>IF(K234="紧急",COUNTIF($K$2:K234,"紧急"),"")</f>
        <v/>
      </c>
      <c r="Y234" s="21" t="str">
        <f>IF(V234="未提取",COUNTIF($V$2:V234,"未提取"),"")</f>
        <v/>
      </c>
      <c r="Z234" s="21" t="str">
        <f>IF(OR(V234="提取中",V234="文库构建中",V234="文库质检中",V234="pooling排机中",V234="上机测序中"),SUMPRODUCT((($V$2:V234="提取中")+($V$2:V234="文库构建中")+($V$2:V234="文库质检中")+($V$2:V234="pooling排机中")+($V$2:V234="上机测序中"))*1),"")</f>
        <v/>
      </c>
      <c r="AA234" s="21" t="str">
        <f>IF(V234="测序完成",COUNTIF($V$2:V234,"测序完成"),"")</f>
        <v/>
      </c>
      <c r="AB234" s="21" t="str">
        <f>E234&amp;COUNTIFS($E$2:E234,E234)</f>
        <v>0</v>
      </c>
      <c r="AC234" s="21" t="str">
        <f t="shared" si="3"/>
        <v/>
      </c>
    </row>
    <row r="235" spans="24:29">
      <c r="X235" s="21" t="str">
        <f>IF(K235="紧急",COUNTIF($K$2:K235,"紧急"),"")</f>
        <v/>
      </c>
      <c r="Y235" s="21" t="str">
        <f>IF(V235="未提取",COUNTIF($V$2:V235,"未提取"),"")</f>
        <v/>
      </c>
      <c r="Z235" s="21" t="str">
        <f>IF(OR(V235="提取中",V235="文库构建中",V235="文库质检中",V235="pooling排机中",V235="上机测序中"),SUMPRODUCT((($V$2:V235="提取中")+($V$2:V235="文库构建中")+($V$2:V235="文库质检中")+($V$2:V235="pooling排机中")+($V$2:V235="上机测序中"))*1),"")</f>
        <v/>
      </c>
      <c r="AA235" s="21" t="str">
        <f>IF(V235="测序完成",COUNTIF($V$2:V235,"测序完成"),"")</f>
        <v/>
      </c>
      <c r="AB235" s="21" t="str">
        <f>E235&amp;COUNTIFS($E$2:E235,E235)</f>
        <v>0</v>
      </c>
      <c r="AC235" s="21" t="str">
        <f t="shared" si="3"/>
        <v/>
      </c>
    </row>
    <row r="236" spans="24:29">
      <c r="X236" s="21" t="str">
        <f>IF(K236="紧急",COUNTIF($K$2:K236,"紧急"),"")</f>
        <v/>
      </c>
      <c r="Y236" s="21" t="str">
        <f>IF(V236="未提取",COUNTIF($V$2:V236,"未提取"),"")</f>
        <v/>
      </c>
      <c r="Z236" s="21" t="str">
        <f>IF(OR(V236="提取中",V236="文库构建中",V236="文库质检中",V236="pooling排机中",V236="上机测序中"),SUMPRODUCT((($V$2:V236="提取中")+($V$2:V236="文库构建中")+($V$2:V236="文库质检中")+($V$2:V236="pooling排机中")+($V$2:V236="上机测序中"))*1),"")</f>
        <v/>
      </c>
      <c r="AA236" s="21" t="str">
        <f>IF(V236="测序完成",COUNTIF($V$2:V236,"测序完成"),"")</f>
        <v/>
      </c>
      <c r="AB236" s="21" t="str">
        <f>E236&amp;COUNTIFS($E$2:E236,E236)</f>
        <v>0</v>
      </c>
      <c r="AC236" s="21" t="str">
        <f t="shared" si="3"/>
        <v/>
      </c>
    </row>
    <row r="237" spans="24:29">
      <c r="X237" s="21" t="str">
        <f>IF(K237="紧急",COUNTIF($K$2:K237,"紧急"),"")</f>
        <v/>
      </c>
      <c r="Y237" s="21" t="str">
        <f>IF(V237="未提取",COUNTIF($V$2:V237,"未提取"),"")</f>
        <v/>
      </c>
      <c r="Z237" s="21" t="str">
        <f>IF(OR(V237="提取中",V237="文库构建中",V237="文库质检中",V237="pooling排机中",V237="上机测序中"),SUMPRODUCT((($V$2:V237="提取中")+($V$2:V237="文库构建中")+($V$2:V237="文库质检中")+($V$2:V237="pooling排机中")+($V$2:V237="上机测序中"))*1),"")</f>
        <v/>
      </c>
      <c r="AA237" s="21" t="str">
        <f>IF(V237="测序完成",COUNTIF($V$2:V237,"测序完成"),"")</f>
        <v/>
      </c>
      <c r="AB237" s="21" t="str">
        <f>E237&amp;COUNTIFS($E$2:E237,E237)</f>
        <v>0</v>
      </c>
      <c r="AC237" s="21" t="str">
        <f t="shared" si="3"/>
        <v/>
      </c>
    </row>
    <row r="238" spans="24:29">
      <c r="X238" s="21" t="str">
        <f>IF(K238="紧急",COUNTIF($K$2:K238,"紧急"),"")</f>
        <v/>
      </c>
      <c r="Y238" s="21" t="str">
        <f>IF(V238="未提取",COUNTIF($V$2:V238,"未提取"),"")</f>
        <v/>
      </c>
      <c r="Z238" s="21" t="str">
        <f>IF(OR(V238="提取中",V238="文库构建中",V238="文库质检中",V238="pooling排机中",V238="上机测序中"),SUMPRODUCT((($V$2:V238="提取中")+($V$2:V238="文库构建中")+($V$2:V238="文库质检中")+($V$2:V238="pooling排机中")+($V$2:V238="上机测序中"))*1),"")</f>
        <v/>
      </c>
      <c r="AA238" s="21" t="str">
        <f>IF(V238="测序完成",COUNTIF($V$2:V238,"测序完成"),"")</f>
        <v/>
      </c>
      <c r="AB238" s="21" t="str">
        <f>E238&amp;COUNTIFS($E$2:E238,E238)</f>
        <v>0</v>
      </c>
      <c r="AC238" s="21" t="str">
        <f t="shared" si="3"/>
        <v/>
      </c>
    </row>
    <row r="239" spans="24:29">
      <c r="X239" s="21" t="str">
        <f>IF(K239="紧急",COUNTIF($K$2:K239,"紧急"),"")</f>
        <v/>
      </c>
      <c r="Y239" s="21" t="str">
        <f>IF(V239="未提取",COUNTIF($V$2:V239,"未提取"),"")</f>
        <v/>
      </c>
      <c r="Z239" s="21" t="str">
        <f>IF(OR(V239="提取中",V239="文库构建中",V239="文库质检中",V239="pooling排机中",V239="上机测序中"),SUMPRODUCT((($V$2:V239="提取中")+($V$2:V239="文库构建中")+($V$2:V239="文库质检中")+($V$2:V239="pooling排机中")+($V$2:V239="上机测序中"))*1),"")</f>
        <v/>
      </c>
      <c r="AA239" s="21" t="str">
        <f>IF(V239="测序完成",COUNTIF($V$2:V239,"测序完成"),"")</f>
        <v/>
      </c>
      <c r="AB239" s="21" t="str">
        <f>E239&amp;COUNTIFS($E$2:E239,E239)</f>
        <v>0</v>
      </c>
      <c r="AC239" s="21" t="str">
        <f t="shared" si="3"/>
        <v/>
      </c>
    </row>
    <row r="240" spans="24:29">
      <c r="X240" s="21" t="str">
        <f>IF(K240="紧急",COUNTIF($K$2:K240,"紧急"),"")</f>
        <v/>
      </c>
      <c r="Y240" s="21" t="str">
        <f>IF(V240="未提取",COUNTIF($V$2:V240,"未提取"),"")</f>
        <v/>
      </c>
      <c r="Z240" s="21" t="str">
        <f>IF(OR(V240="提取中",V240="文库构建中",V240="文库质检中",V240="pooling排机中",V240="上机测序中"),SUMPRODUCT((($V$2:V240="提取中")+($V$2:V240="文库构建中")+($V$2:V240="文库质检中")+($V$2:V240="pooling排机中")+($V$2:V240="上机测序中"))*1),"")</f>
        <v/>
      </c>
      <c r="AA240" s="21" t="str">
        <f>IF(V240="测序完成",COUNTIF($V$2:V240,"测序完成"),"")</f>
        <v/>
      </c>
      <c r="AB240" s="21" t="str">
        <f>E240&amp;COUNTIFS($E$2:E240,E240)</f>
        <v>0</v>
      </c>
      <c r="AC240" s="21" t="str">
        <f t="shared" si="3"/>
        <v/>
      </c>
    </row>
    <row r="241" spans="24:29">
      <c r="X241" s="21" t="str">
        <f>IF(K241="紧急",COUNTIF($K$2:K241,"紧急"),"")</f>
        <v/>
      </c>
      <c r="Y241" s="21" t="str">
        <f>IF(V241="未提取",COUNTIF($V$2:V241,"未提取"),"")</f>
        <v/>
      </c>
      <c r="Z241" s="21" t="str">
        <f>IF(OR(V241="提取中",V241="文库构建中",V241="文库质检中",V241="pooling排机中",V241="上机测序中"),SUMPRODUCT((($V$2:V241="提取中")+($V$2:V241="文库构建中")+($V$2:V241="文库质检中")+($V$2:V241="pooling排机中")+($V$2:V241="上机测序中"))*1),"")</f>
        <v/>
      </c>
      <c r="AA241" s="21" t="str">
        <f>IF(V241="测序完成",COUNTIF($V$2:V241,"测序完成"),"")</f>
        <v/>
      </c>
      <c r="AB241" s="21" t="str">
        <f>E241&amp;COUNTIFS($E$2:E241,E241)</f>
        <v>0</v>
      </c>
      <c r="AC241" s="21" t="str">
        <f t="shared" si="3"/>
        <v/>
      </c>
    </row>
    <row r="242" spans="24:29">
      <c r="X242" s="21" t="str">
        <f>IF(K242="紧急",COUNTIF($K$2:K242,"紧急"),"")</f>
        <v/>
      </c>
      <c r="Y242" s="21" t="str">
        <f>IF(V242="未提取",COUNTIF($V$2:V242,"未提取"),"")</f>
        <v/>
      </c>
      <c r="Z242" s="21" t="str">
        <f>IF(OR(V242="提取中",V242="文库构建中",V242="文库质检中",V242="pooling排机中",V242="上机测序中"),SUMPRODUCT((($V$2:V242="提取中")+($V$2:V242="文库构建中")+($V$2:V242="文库质检中")+($V$2:V242="pooling排机中")+($V$2:V242="上机测序中"))*1),"")</f>
        <v/>
      </c>
      <c r="AA242" s="21" t="str">
        <f>IF(V242="测序完成",COUNTIF($V$2:V242,"测序完成"),"")</f>
        <v/>
      </c>
      <c r="AB242" s="21" t="str">
        <f>E242&amp;COUNTIFS($E$2:E242,E242)</f>
        <v>0</v>
      </c>
      <c r="AC242" s="21" t="str">
        <f t="shared" si="3"/>
        <v/>
      </c>
    </row>
    <row r="243" spans="24:29">
      <c r="X243" s="21" t="str">
        <f>IF(K243="紧急",COUNTIF($K$2:K243,"紧急"),"")</f>
        <v/>
      </c>
      <c r="Y243" s="21" t="str">
        <f>IF(V243="未提取",COUNTIF($V$2:V243,"未提取"),"")</f>
        <v/>
      </c>
      <c r="Z243" s="21" t="str">
        <f>IF(OR(V243="提取中",V243="文库构建中",V243="文库质检中",V243="pooling排机中",V243="上机测序中"),SUMPRODUCT((($V$2:V243="提取中")+($V$2:V243="文库构建中")+($V$2:V243="文库质检中")+($V$2:V243="pooling排机中")+($V$2:V243="上机测序中"))*1),"")</f>
        <v/>
      </c>
      <c r="AA243" s="21" t="str">
        <f>IF(V243="测序完成",COUNTIF($V$2:V243,"测序完成"),"")</f>
        <v/>
      </c>
      <c r="AB243" s="21" t="str">
        <f>E243&amp;COUNTIFS($E$2:E243,E243)</f>
        <v>0</v>
      </c>
      <c r="AC243" s="21" t="str">
        <f t="shared" si="3"/>
        <v/>
      </c>
    </row>
    <row r="244" spans="24:29">
      <c r="X244" s="21" t="str">
        <f>IF(K244="紧急",COUNTIF($K$2:K244,"紧急"),"")</f>
        <v/>
      </c>
      <c r="Y244" s="21" t="str">
        <f>IF(V244="未提取",COUNTIF($V$2:V244,"未提取"),"")</f>
        <v/>
      </c>
      <c r="Z244" s="21" t="str">
        <f>IF(OR(V244="提取中",V244="文库构建中",V244="文库质检中",V244="pooling排机中",V244="上机测序中"),SUMPRODUCT((($V$2:V244="提取中")+($V$2:V244="文库构建中")+($V$2:V244="文库质检中")+($V$2:V244="pooling排机中")+($V$2:V244="上机测序中"))*1),"")</f>
        <v/>
      </c>
      <c r="AA244" s="21" t="str">
        <f>IF(V244="测序完成",COUNTIF($V$2:V244,"测序完成"),"")</f>
        <v/>
      </c>
      <c r="AB244" s="21" t="str">
        <f>E244&amp;COUNTIFS($E$2:E244,E244)</f>
        <v>0</v>
      </c>
      <c r="AC244" s="21" t="str">
        <f t="shared" si="3"/>
        <v/>
      </c>
    </row>
    <row r="245" spans="24:29">
      <c r="X245" s="21" t="str">
        <f>IF(K245="紧急",COUNTIF($K$2:K245,"紧急"),"")</f>
        <v/>
      </c>
      <c r="Y245" s="21" t="str">
        <f>IF(V245="未提取",COUNTIF($V$2:V245,"未提取"),"")</f>
        <v/>
      </c>
      <c r="Z245" s="21" t="str">
        <f>IF(OR(V245="提取中",V245="文库构建中",V245="文库质检中",V245="pooling排机中",V245="上机测序中"),SUMPRODUCT((($V$2:V245="提取中")+($V$2:V245="文库构建中")+($V$2:V245="文库质检中")+($V$2:V245="pooling排机中")+($V$2:V245="上机测序中"))*1),"")</f>
        <v/>
      </c>
      <c r="AA245" s="21" t="str">
        <f>IF(V245="测序完成",COUNTIF($V$2:V245,"测序完成"),"")</f>
        <v/>
      </c>
      <c r="AB245" s="21" t="str">
        <f>E245&amp;COUNTIFS($E$2:E245,E245)</f>
        <v>0</v>
      </c>
      <c r="AC245" s="21" t="str">
        <f t="shared" si="3"/>
        <v/>
      </c>
    </row>
    <row r="246" spans="24:29">
      <c r="X246" s="21" t="str">
        <f>IF(K246="紧急",COUNTIF($K$2:K246,"紧急"),"")</f>
        <v/>
      </c>
      <c r="Y246" s="21" t="str">
        <f>IF(V246="未提取",COUNTIF($V$2:V246,"未提取"),"")</f>
        <v/>
      </c>
      <c r="Z246" s="21" t="str">
        <f>IF(OR(V246="提取中",V246="文库构建中",V246="文库质检中",V246="pooling排机中",V246="上机测序中"),SUMPRODUCT((($V$2:V246="提取中")+($V$2:V246="文库构建中")+($V$2:V246="文库质检中")+($V$2:V246="pooling排机中")+($V$2:V246="上机测序中"))*1),"")</f>
        <v/>
      </c>
      <c r="AA246" s="21" t="str">
        <f>IF(V246="测序完成",COUNTIF($V$2:V246,"测序完成"),"")</f>
        <v/>
      </c>
      <c r="AB246" s="21" t="str">
        <f>E246&amp;COUNTIFS($E$2:E246,E246)</f>
        <v>0</v>
      </c>
      <c r="AC246" s="21" t="str">
        <f t="shared" si="3"/>
        <v/>
      </c>
    </row>
    <row r="247" spans="24:29">
      <c r="X247" s="21" t="str">
        <f>IF(K247="紧急",COUNTIF($K$2:K247,"紧急"),"")</f>
        <v/>
      </c>
      <c r="Y247" s="21" t="str">
        <f>IF(V247="未提取",COUNTIF($V$2:V247,"未提取"),"")</f>
        <v/>
      </c>
      <c r="Z247" s="21" t="str">
        <f>IF(OR(V247="提取中",V247="文库构建中",V247="文库质检中",V247="pooling排机中",V247="上机测序中"),SUMPRODUCT((($V$2:V247="提取中")+($V$2:V247="文库构建中")+($V$2:V247="文库质检中")+($V$2:V247="pooling排机中")+($V$2:V247="上机测序中"))*1),"")</f>
        <v/>
      </c>
      <c r="AA247" s="21" t="str">
        <f>IF(V247="测序完成",COUNTIF($V$2:V247,"测序完成"),"")</f>
        <v/>
      </c>
      <c r="AB247" s="21" t="str">
        <f>E247&amp;COUNTIFS($E$2:E247,E247)</f>
        <v>0</v>
      </c>
      <c r="AC247" s="21" t="str">
        <f t="shared" si="3"/>
        <v/>
      </c>
    </row>
    <row r="248" spans="24:29">
      <c r="X248" s="21" t="str">
        <f>IF(K248="紧急",COUNTIF($K$2:K248,"紧急"),"")</f>
        <v/>
      </c>
      <c r="Y248" s="21" t="str">
        <f>IF(V248="未提取",COUNTIF($V$2:V248,"未提取"),"")</f>
        <v/>
      </c>
      <c r="Z248" s="21" t="str">
        <f>IF(OR(V248="提取中",V248="文库构建中",V248="文库质检中",V248="pooling排机中",V248="上机测序中"),SUMPRODUCT((($V$2:V248="提取中")+($V$2:V248="文库构建中")+($V$2:V248="文库质检中")+($V$2:V248="pooling排机中")+($V$2:V248="上机测序中"))*1),"")</f>
        <v/>
      </c>
      <c r="AA248" s="21" t="str">
        <f>IF(V248="测序完成",COUNTIF($V$2:V248,"测序完成"),"")</f>
        <v/>
      </c>
      <c r="AB248" s="21" t="str">
        <f>E248&amp;COUNTIFS($E$2:E248,E248)</f>
        <v>0</v>
      </c>
      <c r="AC248" s="21" t="str">
        <f t="shared" si="3"/>
        <v/>
      </c>
    </row>
    <row r="249" spans="24:29">
      <c r="X249" s="21" t="str">
        <f>IF(K249="紧急",COUNTIF($K$2:K249,"紧急"),"")</f>
        <v/>
      </c>
      <c r="Y249" s="21" t="str">
        <f>IF(V249="未提取",COUNTIF($V$2:V249,"未提取"),"")</f>
        <v/>
      </c>
      <c r="Z249" s="21" t="str">
        <f>IF(OR(V249="提取中",V249="文库构建中",V249="文库质检中",V249="pooling排机中",V249="上机测序中"),SUMPRODUCT((($V$2:V249="提取中")+($V$2:V249="文库构建中")+($V$2:V249="文库质检中")+($V$2:V249="pooling排机中")+($V$2:V249="上机测序中"))*1),"")</f>
        <v/>
      </c>
      <c r="AA249" s="21" t="str">
        <f>IF(V249="测序完成",COUNTIF($V$2:V249,"测序完成"),"")</f>
        <v/>
      </c>
      <c r="AB249" s="21" t="str">
        <f>E249&amp;COUNTIFS($E$2:E249,E249)</f>
        <v>0</v>
      </c>
      <c r="AC249" s="21" t="str">
        <f t="shared" si="3"/>
        <v/>
      </c>
    </row>
    <row r="250" spans="24:29">
      <c r="X250" s="21" t="str">
        <f>IF(K250="紧急",COUNTIF($K$2:K250,"紧急"),"")</f>
        <v/>
      </c>
      <c r="Y250" s="21" t="str">
        <f>IF(V250="未提取",COUNTIF($V$2:V250,"未提取"),"")</f>
        <v/>
      </c>
      <c r="Z250" s="21" t="str">
        <f>IF(OR(V250="提取中",V250="文库构建中",V250="文库质检中",V250="pooling排机中",V250="上机测序中"),SUMPRODUCT((($V$2:V250="提取中")+($V$2:V250="文库构建中")+($V$2:V250="文库质检中")+($V$2:V250="pooling排机中")+($V$2:V250="上机测序中"))*1),"")</f>
        <v/>
      </c>
      <c r="AA250" s="21" t="str">
        <f>IF(V250="测序完成",COUNTIF($V$2:V250,"测序完成"),"")</f>
        <v/>
      </c>
      <c r="AB250" s="21" t="str">
        <f>E250&amp;COUNTIFS($E$2:E250,E250)</f>
        <v>0</v>
      </c>
      <c r="AC250" s="21" t="str">
        <f t="shared" si="3"/>
        <v/>
      </c>
    </row>
    <row r="251" spans="24:29">
      <c r="X251" s="21" t="str">
        <f>IF(K251="紧急",COUNTIF($K$2:K251,"紧急"),"")</f>
        <v/>
      </c>
      <c r="Y251" s="21" t="str">
        <f>IF(V251="未提取",COUNTIF($V$2:V251,"未提取"),"")</f>
        <v/>
      </c>
      <c r="Z251" s="21" t="str">
        <f>IF(OR(V251="提取中",V251="文库构建中",V251="文库质检中",V251="pooling排机中",V251="上机测序中"),SUMPRODUCT((($V$2:V251="提取中")+($V$2:V251="文库构建中")+($V$2:V251="文库质检中")+($V$2:V251="pooling排机中")+($V$2:V251="上机测序中"))*1),"")</f>
        <v/>
      </c>
      <c r="AA251" s="21" t="str">
        <f>IF(V251="测序完成",COUNTIF($V$2:V251,"测序完成"),"")</f>
        <v/>
      </c>
      <c r="AB251" s="21" t="str">
        <f>E251&amp;COUNTIFS($E$2:E251,E251)</f>
        <v>0</v>
      </c>
      <c r="AC251" s="21" t="str">
        <f t="shared" si="3"/>
        <v/>
      </c>
    </row>
    <row r="252" spans="24:29">
      <c r="X252" s="21" t="str">
        <f>IF(K252="紧急",COUNTIF($K$2:K252,"紧急"),"")</f>
        <v/>
      </c>
      <c r="Y252" s="21" t="str">
        <f>IF(V252="未提取",COUNTIF($V$2:V252,"未提取"),"")</f>
        <v/>
      </c>
      <c r="Z252" s="21" t="str">
        <f>IF(OR(V252="提取中",V252="文库构建中",V252="文库质检中",V252="pooling排机中",V252="上机测序中"),SUMPRODUCT((($V$2:V252="提取中")+($V$2:V252="文库构建中")+($V$2:V252="文库质检中")+($V$2:V252="pooling排机中")+($V$2:V252="上机测序中"))*1),"")</f>
        <v/>
      </c>
      <c r="AA252" s="21" t="str">
        <f>IF(V252="测序完成",COUNTIF($V$2:V252,"测序完成"),"")</f>
        <v/>
      </c>
      <c r="AB252" s="21" t="str">
        <f>E252&amp;COUNTIFS($E$2:E252,E252)</f>
        <v>0</v>
      </c>
      <c r="AC252" s="21" t="str">
        <f t="shared" si="3"/>
        <v/>
      </c>
    </row>
    <row r="253" spans="24:29">
      <c r="X253" s="21" t="str">
        <f>IF(K253="紧急",COUNTIF($K$2:K253,"紧急"),"")</f>
        <v/>
      </c>
      <c r="Y253" s="21" t="str">
        <f>IF(V253="未提取",COUNTIF($V$2:V253,"未提取"),"")</f>
        <v/>
      </c>
      <c r="Z253" s="21" t="str">
        <f>IF(OR(V253="提取中",V253="文库构建中",V253="文库质检中",V253="pooling排机中",V253="上机测序中"),SUMPRODUCT((($V$2:V253="提取中")+($V$2:V253="文库构建中")+($V$2:V253="文库质检中")+($V$2:V253="pooling排机中")+($V$2:V253="上机测序中"))*1),"")</f>
        <v/>
      </c>
      <c r="AA253" s="21" t="str">
        <f>IF(V253="测序完成",COUNTIF($V$2:V253,"测序完成"),"")</f>
        <v/>
      </c>
      <c r="AB253" s="21" t="str">
        <f>E253&amp;COUNTIFS($E$2:E253,E253)</f>
        <v>0</v>
      </c>
      <c r="AC253" s="21" t="str">
        <f t="shared" si="3"/>
        <v/>
      </c>
    </row>
    <row r="254" spans="24:29">
      <c r="X254" s="21" t="str">
        <f>IF(K254="紧急",COUNTIF($K$2:K254,"紧急"),"")</f>
        <v/>
      </c>
      <c r="Y254" s="21" t="str">
        <f>IF(V254="未提取",COUNTIF($V$2:V254,"未提取"),"")</f>
        <v/>
      </c>
      <c r="Z254" s="21" t="str">
        <f>IF(OR(V254="提取中",V254="文库构建中",V254="文库质检中",V254="pooling排机中",V254="上机测序中"),SUMPRODUCT((($V$2:V254="提取中")+($V$2:V254="文库构建中")+($V$2:V254="文库质检中")+($V$2:V254="pooling排机中")+($V$2:V254="上机测序中"))*1),"")</f>
        <v/>
      </c>
      <c r="AA254" s="21" t="str">
        <f>IF(V254="测序完成",COUNTIF($V$2:V254,"测序完成"),"")</f>
        <v/>
      </c>
      <c r="AB254" s="21" t="str">
        <f>E254&amp;COUNTIFS($E$2:E254,E254)</f>
        <v>0</v>
      </c>
      <c r="AC254" s="21" t="str">
        <f t="shared" si="3"/>
        <v/>
      </c>
    </row>
    <row r="255" spans="24:29">
      <c r="X255" s="21" t="str">
        <f>IF(K255="紧急",COUNTIF($K$2:K255,"紧急"),"")</f>
        <v/>
      </c>
      <c r="Y255" s="21" t="str">
        <f>IF(V255="未提取",COUNTIF($V$2:V255,"未提取"),"")</f>
        <v/>
      </c>
      <c r="Z255" s="21" t="str">
        <f>IF(OR(V255="提取中",V255="文库构建中",V255="文库质检中",V255="pooling排机中",V255="上机测序中"),SUMPRODUCT((($V$2:V255="提取中")+($V$2:V255="文库构建中")+($V$2:V255="文库质检中")+($V$2:V255="pooling排机中")+($V$2:V255="上机测序中"))*1),"")</f>
        <v/>
      </c>
      <c r="AA255" s="21" t="str">
        <f>IF(V255="测序完成",COUNTIF($V$2:V255,"测序完成"),"")</f>
        <v/>
      </c>
      <c r="AB255" s="21" t="str">
        <f>E255&amp;COUNTIFS($E$2:E255,E255)</f>
        <v>0</v>
      </c>
      <c r="AC255" s="21" t="str">
        <f t="shared" si="3"/>
        <v/>
      </c>
    </row>
    <row r="256" spans="24:29">
      <c r="X256" s="21" t="str">
        <f>IF(K256="紧急",COUNTIF($K$2:K256,"紧急"),"")</f>
        <v/>
      </c>
      <c r="Y256" s="21" t="str">
        <f>IF(V256="未提取",COUNTIF($V$2:V256,"未提取"),"")</f>
        <v/>
      </c>
      <c r="Z256" s="21" t="str">
        <f>IF(OR(V256="提取中",V256="文库构建中",V256="文库质检中",V256="pooling排机中",V256="上机测序中"),SUMPRODUCT((($V$2:V256="提取中")+($V$2:V256="文库构建中")+($V$2:V256="文库质检中")+($V$2:V256="pooling排机中")+($V$2:V256="上机测序中"))*1),"")</f>
        <v/>
      </c>
      <c r="AA256" s="21" t="str">
        <f>IF(V256="测序完成",COUNTIF($V$2:V256,"测序完成"),"")</f>
        <v/>
      </c>
      <c r="AB256" s="21" t="str">
        <f>E256&amp;COUNTIFS($E$2:E256,E256)</f>
        <v>0</v>
      </c>
      <c r="AC256" s="21" t="str">
        <f t="shared" si="3"/>
        <v/>
      </c>
    </row>
    <row r="257" spans="24:29">
      <c r="X257" s="21" t="str">
        <f>IF(K257="紧急",COUNTIF($K$2:K257,"紧急"),"")</f>
        <v/>
      </c>
      <c r="Y257" s="21" t="str">
        <f>IF(V257="未提取",COUNTIF($V$2:V257,"未提取"),"")</f>
        <v/>
      </c>
      <c r="Z257" s="21" t="str">
        <f>IF(OR(V257="提取中",V257="文库构建中",V257="文库质检中",V257="pooling排机中",V257="上机测序中"),SUMPRODUCT((($V$2:V257="提取中")+($V$2:V257="文库构建中")+($V$2:V257="文库质检中")+($V$2:V257="pooling排机中")+($V$2:V257="上机测序中"))*1),"")</f>
        <v/>
      </c>
      <c r="AA257" s="21" t="str">
        <f>IF(V257="测序完成",COUNTIF($V$2:V257,"测序完成"),"")</f>
        <v/>
      </c>
      <c r="AB257" s="21" t="str">
        <f>E257&amp;COUNTIFS($E$2:E257,E257)</f>
        <v>0</v>
      </c>
      <c r="AC257" s="21" t="str">
        <f t="shared" si="3"/>
        <v/>
      </c>
    </row>
    <row r="258" spans="24:29">
      <c r="X258" s="21" t="str">
        <f>IF(K258="紧急",COUNTIF($K$2:K258,"紧急"),"")</f>
        <v/>
      </c>
      <c r="Y258" s="21" t="str">
        <f>IF(V258="未提取",COUNTIF($V$2:V258,"未提取"),"")</f>
        <v/>
      </c>
      <c r="Z258" s="21" t="str">
        <f>IF(OR(V258="提取中",V258="文库构建中",V258="文库质检中",V258="pooling排机中",V258="上机测序中"),SUMPRODUCT((($V$2:V258="提取中")+($V$2:V258="文库构建中")+($V$2:V258="文库质检中")+($V$2:V258="pooling排机中")+($V$2:V258="上机测序中"))*1),"")</f>
        <v/>
      </c>
      <c r="AA258" s="21" t="str">
        <f>IF(V258="测序完成",COUNTIF($V$2:V258,"测序完成"),"")</f>
        <v/>
      </c>
      <c r="AB258" s="21" t="str">
        <f>E258&amp;COUNTIFS($E$2:E258,E258)</f>
        <v>0</v>
      </c>
      <c r="AC258" s="21" t="str">
        <f t="shared" ref="AC258:AC321" si="4">IF(A258&lt;&gt;"",ROW()-1,"")</f>
        <v/>
      </c>
    </row>
    <row r="259" spans="24:29">
      <c r="X259" s="21" t="str">
        <f>IF(K259="紧急",COUNTIF($K$2:K259,"紧急"),"")</f>
        <v/>
      </c>
      <c r="Y259" s="21" t="str">
        <f>IF(V259="未提取",COUNTIF($V$2:V259,"未提取"),"")</f>
        <v/>
      </c>
      <c r="Z259" s="21" t="str">
        <f>IF(OR(V259="提取中",V259="文库构建中",V259="文库质检中",V259="pooling排机中",V259="上机测序中"),SUMPRODUCT((($V$2:V259="提取中")+($V$2:V259="文库构建中")+($V$2:V259="文库质检中")+($V$2:V259="pooling排机中")+($V$2:V259="上机测序中"))*1),"")</f>
        <v/>
      </c>
      <c r="AA259" s="21" t="str">
        <f>IF(V259="测序完成",COUNTIF($V$2:V259,"测序完成"),"")</f>
        <v/>
      </c>
      <c r="AB259" s="21" t="str">
        <f>E259&amp;COUNTIFS($E$2:E259,E259)</f>
        <v>0</v>
      </c>
      <c r="AC259" s="21" t="str">
        <f t="shared" si="4"/>
        <v/>
      </c>
    </row>
    <row r="260" spans="24:29">
      <c r="X260" s="21" t="str">
        <f>IF(K260="紧急",COUNTIF($K$2:K260,"紧急"),"")</f>
        <v/>
      </c>
      <c r="Y260" s="21" t="str">
        <f>IF(V260="未提取",COUNTIF($V$2:V260,"未提取"),"")</f>
        <v/>
      </c>
      <c r="Z260" s="21" t="str">
        <f>IF(OR(V260="提取中",V260="文库构建中",V260="文库质检中",V260="pooling排机中",V260="上机测序中"),SUMPRODUCT((($V$2:V260="提取中")+($V$2:V260="文库构建中")+($V$2:V260="文库质检中")+($V$2:V260="pooling排机中")+($V$2:V260="上机测序中"))*1),"")</f>
        <v/>
      </c>
      <c r="AA260" s="21" t="str">
        <f>IF(V260="测序完成",COUNTIF($V$2:V260,"测序完成"),"")</f>
        <v/>
      </c>
      <c r="AB260" s="21" t="str">
        <f>E260&amp;COUNTIFS($E$2:E260,E260)</f>
        <v>0</v>
      </c>
      <c r="AC260" s="21" t="str">
        <f t="shared" si="4"/>
        <v/>
      </c>
    </row>
    <row r="261" spans="24:29">
      <c r="X261" s="21" t="str">
        <f>IF(K261="紧急",COUNTIF($K$2:K261,"紧急"),"")</f>
        <v/>
      </c>
      <c r="Y261" s="21" t="str">
        <f>IF(V261="未提取",COUNTIF($V$2:V261,"未提取"),"")</f>
        <v/>
      </c>
      <c r="Z261" s="21" t="str">
        <f>IF(OR(V261="提取中",V261="文库构建中",V261="文库质检中",V261="pooling排机中",V261="上机测序中"),SUMPRODUCT((($V$2:V261="提取中")+($V$2:V261="文库构建中")+($V$2:V261="文库质检中")+($V$2:V261="pooling排机中")+($V$2:V261="上机测序中"))*1),"")</f>
        <v/>
      </c>
      <c r="AA261" s="21" t="str">
        <f>IF(V261="测序完成",COUNTIF($V$2:V261,"测序完成"),"")</f>
        <v/>
      </c>
      <c r="AB261" s="21" t="str">
        <f>E261&amp;COUNTIFS($E$2:E261,E261)</f>
        <v>0</v>
      </c>
      <c r="AC261" s="21" t="str">
        <f t="shared" si="4"/>
        <v/>
      </c>
    </row>
    <row r="262" spans="24:29">
      <c r="X262" s="21" t="str">
        <f>IF(K262="紧急",COUNTIF($K$2:K262,"紧急"),"")</f>
        <v/>
      </c>
      <c r="Y262" s="21" t="str">
        <f>IF(V262="未提取",COUNTIF($V$2:V262,"未提取"),"")</f>
        <v/>
      </c>
      <c r="Z262" s="21" t="str">
        <f>IF(OR(V262="提取中",V262="文库构建中",V262="文库质检中",V262="pooling排机中",V262="上机测序中"),SUMPRODUCT((($V$2:V262="提取中")+($V$2:V262="文库构建中")+($V$2:V262="文库质检中")+($V$2:V262="pooling排机中")+($V$2:V262="上机测序中"))*1),"")</f>
        <v/>
      </c>
      <c r="AA262" s="21" t="str">
        <f>IF(V262="测序完成",COUNTIF($V$2:V262,"测序完成"),"")</f>
        <v/>
      </c>
      <c r="AB262" s="21" t="str">
        <f>E262&amp;COUNTIFS($E$2:E262,E262)</f>
        <v>0</v>
      </c>
      <c r="AC262" s="21" t="str">
        <f t="shared" si="4"/>
        <v/>
      </c>
    </row>
    <row r="263" spans="24:29">
      <c r="X263" s="21" t="str">
        <f>IF(K263="紧急",COUNTIF($K$2:K263,"紧急"),"")</f>
        <v/>
      </c>
      <c r="Y263" s="21" t="str">
        <f>IF(V263="未提取",COUNTIF($V$2:V263,"未提取"),"")</f>
        <v/>
      </c>
      <c r="Z263" s="21" t="str">
        <f>IF(OR(V263="提取中",V263="文库构建中",V263="文库质检中",V263="pooling排机中",V263="上机测序中"),SUMPRODUCT((($V$2:V263="提取中")+($V$2:V263="文库构建中")+($V$2:V263="文库质检中")+($V$2:V263="pooling排机中")+($V$2:V263="上机测序中"))*1),"")</f>
        <v/>
      </c>
      <c r="AA263" s="21" t="str">
        <f>IF(V263="测序完成",COUNTIF($V$2:V263,"测序完成"),"")</f>
        <v/>
      </c>
      <c r="AB263" s="21" t="str">
        <f>E263&amp;COUNTIFS($E$2:E263,E263)</f>
        <v>0</v>
      </c>
      <c r="AC263" s="21" t="str">
        <f t="shared" si="4"/>
        <v/>
      </c>
    </row>
    <row r="264" spans="24:29">
      <c r="X264" s="21" t="str">
        <f>IF(K264="紧急",COUNTIF($K$2:K264,"紧急"),"")</f>
        <v/>
      </c>
      <c r="Y264" s="21" t="str">
        <f>IF(V264="未提取",COUNTIF($V$2:V264,"未提取"),"")</f>
        <v/>
      </c>
      <c r="Z264" s="21" t="str">
        <f>IF(OR(V264="提取中",V264="文库构建中",V264="文库质检中",V264="pooling排机中",V264="上机测序中"),SUMPRODUCT((($V$2:V264="提取中")+($V$2:V264="文库构建中")+($V$2:V264="文库质检中")+($V$2:V264="pooling排机中")+($V$2:V264="上机测序中"))*1),"")</f>
        <v/>
      </c>
      <c r="AA264" s="21" t="str">
        <f>IF(V264="测序完成",COUNTIF($V$2:V264,"测序完成"),"")</f>
        <v/>
      </c>
      <c r="AB264" s="21" t="str">
        <f>E264&amp;COUNTIFS($E$2:E264,E264)</f>
        <v>0</v>
      </c>
      <c r="AC264" s="21" t="str">
        <f t="shared" si="4"/>
        <v/>
      </c>
    </row>
    <row r="265" spans="24:29">
      <c r="X265" s="21" t="str">
        <f>IF(K265="紧急",COUNTIF($K$2:K265,"紧急"),"")</f>
        <v/>
      </c>
      <c r="Y265" s="21" t="str">
        <f>IF(V265="未提取",COUNTIF($V$2:V265,"未提取"),"")</f>
        <v/>
      </c>
      <c r="Z265" s="21" t="str">
        <f>IF(OR(V265="提取中",V265="文库构建中",V265="文库质检中",V265="pooling排机中",V265="上机测序中"),SUMPRODUCT((($V$2:V265="提取中")+($V$2:V265="文库构建中")+($V$2:V265="文库质检中")+($V$2:V265="pooling排机中")+($V$2:V265="上机测序中"))*1),"")</f>
        <v/>
      </c>
      <c r="AA265" s="21" t="str">
        <f>IF(V265="测序完成",COUNTIF($V$2:V265,"测序完成"),"")</f>
        <v/>
      </c>
      <c r="AB265" s="21" t="str">
        <f>E265&amp;COUNTIFS($E$2:E265,E265)</f>
        <v>0</v>
      </c>
      <c r="AC265" s="21" t="str">
        <f t="shared" si="4"/>
        <v/>
      </c>
    </row>
    <row r="266" spans="24:29">
      <c r="X266" s="21" t="str">
        <f>IF(K266="紧急",COUNTIF($K$2:K266,"紧急"),"")</f>
        <v/>
      </c>
      <c r="Y266" s="21" t="str">
        <f>IF(V266="未提取",COUNTIF($V$2:V266,"未提取"),"")</f>
        <v/>
      </c>
      <c r="Z266" s="21" t="str">
        <f>IF(OR(V266="提取中",V266="文库构建中",V266="文库质检中",V266="pooling排机中",V266="上机测序中"),SUMPRODUCT((($V$2:V266="提取中")+($V$2:V266="文库构建中")+($V$2:V266="文库质检中")+($V$2:V266="pooling排机中")+($V$2:V266="上机测序中"))*1),"")</f>
        <v/>
      </c>
      <c r="AA266" s="21" t="str">
        <f>IF(V266="测序完成",COUNTIF($V$2:V266,"测序完成"),"")</f>
        <v/>
      </c>
      <c r="AB266" s="21" t="str">
        <f>E266&amp;COUNTIFS($E$2:E266,E266)</f>
        <v>0</v>
      </c>
      <c r="AC266" s="21" t="str">
        <f t="shared" si="4"/>
        <v/>
      </c>
    </row>
    <row r="267" spans="24:29">
      <c r="X267" s="21" t="str">
        <f>IF(K267="紧急",COUNTIF($K$2:K267,"紧急"),"")</f>
        <v/>
      </c>
      <c r="Y267" s="21" t="str">
        <f>IF(V267="未提取",COUNTIF($V$2:V267,"未提取"),"")</f>
        <v/>
      </c>
      <c r="Z267" s="21" t="str">
        <f>IF(OR(V267="提取中",V267="文库构建中",V267="文库质检中",V267="pooling排机中",V267="上机测序中"),SUMPRODUCT((($V$2:V267="提取中")+($V$2:V267="文库构建中")+($V$2:V267="文库质检中")+($V$2:V267="pooling排机中")+($V$2:V267="上机测序中"))*1),"")</f>
        <v/>
      </c>
      <c r="AA267" s="21" t="str">
        <f>IF(V267="测序完成",COUNTIF($V$2:V267,"测序完成"),"")</f>
        <v/>
      </c>
      <c r="AB267" s="21" t="str">
        <f>E267&amp;COUNTIFS($E$2:E267,E267)</f>
        <v>0</v>
      </c>
      <c r="AC267" s="21" t="str">
        <f t="shared" si="4"/>
        <v/>
      </c>
    </row>
    <row r="268" spans="24:29">
      <c r="X268" s="21" t="str">
        <f>IF(K268="紧急",COUNTIF($K$2:K268,"紧急"),"")</f>
        <v/>
      </c>
      <c r="Y268" s="21" t="str">
        <f>IF(V268="未提取",COUNTIF($V$2:V268,"未提取"),"")</f>
        <v/>
      </c>
      <c r="Z268" s="21" t="str">
        <f>IF(OR(V268="提取中",V268="文库构建中",V268="文库质检中",V268="pooling排机中",V268="上机测序中"),SUMPRODUCT((($V$2:V268="提取中")+($V$2:V268="文库构建中")+($V$2:V268="文库质检中")+($V$2:V268="pooling排机中")+($V$2:V268="上机测序中"))*1),"")</f>
        <v/>
      </c>
      <c r="AA268" s="21" t="str">
        <f>IF(V268="测序完成",COUNTIF($V$2:V268,"测序完成"),"")</f>
        <v/>
      </c>
      <c r="AB268" s="21" t="str">
        <f>E268&amp;COUNTIFS($E$2:E268,E268)</f>
        <v>0</v>
      </c>
      <c r="AC268" s="21" t="str">
        <f t="shared" si="4"/>
        <v/>
      </c>
    </row>
    <row r="269" spans="24:29">
      <c r="X269" s="21" t="str">
        <f>IF(K269="紧急",COUNTIF($K$2:K269,"紧急"),"")</f>
        <v/>
      </c>
      <c r="Y269" s="21" t="str">
        <f>IF(V269="未提取",COUNTIF($V$2:V269,"未提取"),"")</f>
        <v/>
      </c>
      <c r="Z269" s="21" t="str">
        <f>IF(OR(V269="提取中",V269="文库构建中",V269="文库质检中",V269="pooling排机中",V269="上机测序中"),SUMPRODUCT((($V$2:V269="提取中")+($V$2:V269="文库构建中")+($V$2:V269="文库质检中")+($V$2:V269="pooling排机中")+($V$2:V269="上机测序中"))*1),"")</f>
        <v/>
      </c>
      <c r="AA269" s="21" t="str">
        <f>IF(V269="测序完成",COUNTIF($V$2:V269,"测序完成"),"")</f>
        <v/>
      </c>
      <c r="AB269" s="21" t="str">
        <f>E269&amp;COUNTIFS($E$2:E269,E269)</f>
        <v>0</v>
      </c>
      <c r="AC269" s="21" t="str">
        <f t="shared" si="4"/>
        <v/>
      </c>
    </row>
    <row r="270" spans="24:29">
      <c r="X270" s="21" t="str">
        <f>IF(K270="紧急",COUNTIF($K$2:K270,"紧急"),"")</f>
        <v/>
      </c>
      <c r="Y270" s="21" t="str">
        <f>IF(V270="未提取",COUNTIF($V$2:V270,"未提取"),"")</f>
        <v/>
      </c>
      <c r="Z270" s="21" t="str">
        <f>IF(OR(V270="提取中",V270="文库构建中",V270="文库质检中",V270="pooling排机中",V270="上机测序中"),SUMPRODUCT((($V$2:V270="提取中")+($V$2:V270="文库构建中")+($V$2:V270="文库质检中")+($V$2:V270="pooling排机中")+($V$2:V270="上机测序中"))*1),"")</f>
        <v/>
      </c>
      <c r="AA270" s="21" t="str">
        <f>IF(V270="测序完成",COUNTIF($V$2:V270,"测序完成"),"")</f>
        <v/>
      </c>
      <c r="AB270" s="21" t="str">
        <f>E270&amp;COUNTIFS($E$2:E270,E270)</f>
        <v>0</v>
      </c>
      <c r="AC270" s="21" t="str">
        <f t="shared" si="4"/>
        <v/>
      </c>
    </row>
    <row r="271" spans="24:29">
      <c r="X271" s="21" t="str">
        <f>IF(K271="紧急",COUNTIF($K$2:K271,"紧急"),"")</f>
        <v/>
      </c>
      <c r="Y271" s="21" t="str">
        <f>IF(V271="未提取",COUNTIF($V$2:V271,"未提取"),"")</f>
        <v/>
      </c>
      <c r="Z271" s="21" t="str">
        <f>IF(OR(V271="提取中",V271="文库构建中",V271="文库质检中",V271="pooling排机中",V271="上机测序中"),SUMPRODUCT((($V$2:V271="提取中")+($V$2:V271="文库构建中")+($V$2:V271="文库质检中")+($V$2:V271="pooling排机中")+($V$2:V271="上机测序中"))*1),"")</f>
        <v/>
      </c>
      <c r="AA271" s="21" t="str">
        <f>IF(V271="测序完成",COUNTIF($V$2:V271,"测序完成"),"")</f>
        <v/>
      </c>
      <c r="AB271" s="21" t="str">
        <f>E271&amp;COUNTIFS($E$2:E271,E271)</f>
        <v>0</v>
      </c>
      <c r="AC271" s="21" t="str">
        <f t="shared" si="4"/>
        <v/>
      </c>
    </row>
    <row r="272" spans="24:29">
      <c r="X272" s="21" t="str">
        <f>IF(K272="紧急",COUNTIF($K$2:K272,"紧急"),"")</f>
        <v/>
      </c>
      <c r="Y272" s="21" t="str">
        <f>IF(V272="未提取",COUNTIF($V$2:V272,"未提取"),"")</f>
        <v/>
      </c>
      <c r="Z272" s="21" t="str">
        <f>IF(OR(V272="提取中",V272="文库构建中",V272="文库质检中",V272="pooling排机中",V272="上机测序中"),SUMPRODUCT((($V$2:V272="提取中")+($V$2:V272="文库构建中")+($V$2:V272="文库质检中")+($V$2:V272="pooling排机中")+($V$2:V272="上机测序中"))*1),"")</f>
        <v/>
      </c>
      <c r="AA272" s="21" t="str">
        <f>IF(V272="测序完成",COUNTIF($V$2:V272,"测序完成"),"")</f>
        <v/>
      </c>
      <c r="AB272" s="21" t="str">
        <f>E272&amp;COUNTIFS($E$2:E272,E272)</f>
        <v>0</v>
      </c>
      <c r="AC272" s="21" t="str">
        <f t="shared" si="4"/>
        <v/>
      </c>
    </row>
    <row r="273" spans="24:29">
      <c r="X273" s="21" t="str">
        <f>IF(K273="紧急",COUNTIF($K$2:K273,"紧急"),"")</f>
        <v/>
      </c>
      <c r="Y273" s="21" t="str">
        <f>IF(V273="未提取",COUNTIF($V$2:V273,"未提取"),"")</f>
        <v/>
      </c>
      <c r="Z273" s="21" t="str">
        <f>IF(OR(V273="提取中",V273="文库构建中",V273="文库质检中",V273="pooling排机中",V273="上机测序中"),SUMPRODUCT((($V$2:V273="提取中")+($V$2:V273="文库构建中")+($V$2:V273="文库质检中")+($V$2:V273="pooling排机中")+($V$2:V273="上机测序中"))*1),"")</f>
        <v/>
      </c>
      <c r="AA273" s="21" t="str">
        <f>IF(V273="测序完成",COUNTIF($V$2:V273,"测序完成"),"")</f>
        <v/>
      </c>
      <c r="AB273" s="21" t="str">
        <f>E273&amp;COUNTIFS($E$2:E273,E273)</f>
        <v>0</v>
      </c>
      <c r="AC273" s="21" t="str">
        <f t="shared" si="4"/>
        <v/>
      </c>
    </row>
    <row r="274" spans="24:29">
      <c r="X274" s="21" t="str">
        <f>IF(K274="紧急",COUNTIF($K$2:K274,"紧急"),"")</f>
        <v/>
      </c>
      <c r="Y274" s="21" t="str">
        <f>IF(V274="未提取",COUNTIF($V$2:V274,"未提取"),"")</f>
        <v/>
      </c>
      <c r="Z274" s="21" t="str">
        <f>IF(OR(V274="提取中",V274="文库构建中",V274="文库质检中",V274="pooling排机中",V274="上机测序中"),SUMPRODUCT((($V$2:V274="提取中")+($V$2:V274="文库构建中")+($V$2:V274="文库质检中")+($V$2:V274="pooling排机中")+($V$2:V274="上机测序中"))*1),"")</f>
        <v/>
      </c>
      <c r="AA274" s="21" t="str">
        <f>IF(V274="测序完成",COUNTIF($V$2:V274,"测序完成"),"")</f>
        <v/>
      </c>
      <c r="AB274" s="21" t="str">
        <f>E274&amp;COUNTIFS($E$2:E274,E274)</f>
        <v>0</v>
      </c>
      <c r="AC274" s="21" t="str">
        <f t="shared" si="4"/>
        <v/>
      </c>
    </row>
    <row r="275" spans="24:29">
      <c r="X275" s="21" t="str">
        <f>IF(K275="紧急",COUNTIF($K$2:K275,"紧急"),"")</f>
        <v/>
      </c>
      <c r="Y275" s="21" t="str">
        <f>IF(V275="未提取",COUNTIF($V$2:V275,"未提取"),"")</f>
        <v/>
      </c>
      <c r="Z275" s="21" t="str">
        <f>IF(OR(V275="提取中",V275="文库构建中",V275="文库质检中",V275="pooling排机中",V275="上机测序中"),SUMPRODUCT((($V$2:V275="提取中")+($V$2:V275="文库构建中")+($V$2:V275="文库质检中")+($V$2:V275="pooling排机中")+($V$2:V275="上机测序中"))*1),"")</f>
        <v/>
      </c>
      <c r="AA275" s="21" t="str">
        <f>IF(V275="测序完成",COUNTIF($V$2:V275,"测序完成"),"")</f>
        <v/>
      </c>
      <c r="AB275" s="21" t="str">
        <f>E275&amp;COUNTIFS($E$2:E275,E275)</f>
        <v>0</v>
      </c>
      <c r="AC275" s="21" t="str">
        <f t="shared" si="4"/>
        <v/>
      </c>
    </row>
    <row r="276" spans="24:29">
      <c r="X276" s="21" t="str">
        <f>IF(K276="紧急",COUNTIF($K$2:K276,"紧急"),"")</f>
        <v/>
      </c>
      <c r="Y276" s="21" t="str">
        <f>IF(V276="未提取",COUNTIF($V$2:V276,"未提取"),"")</f>
        <v/>
      </c>
      <c r="Z276" s="21" t="str">
        <f>IF(OR(V276="提取中",V276="文库构建中",V276="文库质检中",V276="pooling排机中",V276="上机测序中"),SUMPRODUCT((($V$2:V276="提取中")+($V$2:V276="文库构建中")+($V$2:V276="文库质检中")+($V$2:V276="pooling排机中")+($V$2:V276="上机测序中"))*1),"")</f>
        <v/>
      </c>
      <c r="AA276" s="21" t="str">
        <f>IF(V276="测序完成",COUNTIF($V$2:V276,"测序完成"),"")</f>
        <v/>
      </c>
      <c r="AB276" s="21" t="str">
        <f>E276&amp;COUNTIFS($E$2:E276,E276)</f>
        <v>0</v>
      </c>
      <c r="AC276" s="21" t="str">
        <f t="shared" si="4"/>
        <v/>
      </c>
    </row>
    <row r="277" spans="24:29">
      <c r="X277" s="21" t="str">
        <f>IF(K277="紧急",COUNTIF($K$2:K277,"紧急"),"")</f>
        <v/>
      </c>
      <c r="Y277" s="21" t="str">
        <f>IF(V277="未提取",COUNTIF($V$2:V277,"未提取"),"")</f>
        <v/>
      </c>
      <c r="Z277" s="21" t="str">
        <f>IF(OR(V277="提取中",V277="文库构建中",V277="文库质检中",V277="pooling排机中",V277="上机测序中"),SUMPRODUCT((($V$2:V277="提取中")+($V$2:V277="文库构建中")+($V$2:V277="文库质检中")+($V$2:V277="pooling排机中")+($V$2:V277="上机测序中"))*1),"")</f>
        <v/>
      </c>
      <c r="AA277" s="21" t="str">
        <f>IF(V277="测序完成",COUNTIF($V$2:V277,"测序完成"),"")</f>
        <v/>
      </c>
      <c r="AB277" s="21" t="str">
        <f>E277&amp;COUNTIFS($E$2:E277,E277)</f>
        <v>0</v>
      </c>
      <c r="AC277" s="21" t="str">
        <f t="shared" si="4"/>
        <v/>
      </c>
    </row>
    <row r="278" spans="24:29">
      <c r="X278" s="21" t="str">
        <f>IF(K278="紧急",COUNTIF($K$2:K278,"紧急"),"")</f>
        <v/>
      </c>
      <c r="Y278" s="21" t="str">
        <f>IF(V278="未提取",COUNTIF($V$2:V278,"未提取"),"")</f>
        <v/>
      </c>
      <c r="Z278" s="21" t="str">
        <f>IF(OR(V278="提取中",V278="文库构建中",V278="文库质检中",V278="pooling排机中",V278="上机测序中"),SUMPRODUCT((($V$2:V278="提取中")+($V$2:V278="文库构建中")+($V$2:V278="文库质检中")+($V$2:V278="pooling排机中")+($V$2:V278="上机测序中"))*1),"")</f>
        <v/>
      </c>
      <c r="AA278" s="21" t="str">
        <f>IF(V278="测序完成",COUNTIF($V$2:V278,"测序完成"),"")</f>
        <v/>
      </c>
      <c r="AB278" s="21" t="str">
        <f>E278&amp;COUNTIFS($E$2:E278,E278)</f>
        <v>0</v>
      </c>
      <c r="AC278" s="21" t="str">
        <f t="shared" si="4"/>
        <v/>
      </c>
    </row>
    <row r="279" spans="24:29">
      <c r="X279" s="21" t="str">
        <f>IF(K279="紧急",COUNTIF($K$2:K279,"紧急"),"")</f>
        <v/>
      </c>
      <c r="Y279" s="21" t="str">
        <f>IF(V279="未提取",COUNTIF($V$2:V279,"未提取"),"")</f>
        <v/>
      </c>
      <c r="Z279" s="21" t="str">
        <f>IF(OR(V279="提取中",V279="文库构建中",V279="文库质检中",V279="pooling排机中",V279="上机测序中"),SUMPRODUCT((($V$2:V279="提取中")+($V$2:V279="文库构建中")+($V$2:V279="文库质检中")+($V$2:V279="pooling排机中")+($V$2:V279="上机测序中"))*1),"")</f>
        <v/>
      </c>
      <c r="AA279" s="21" t="str">
        <f>IF(V279="测序完成",COUNTIF($V$2:V279,"测序完成"),"")</f>
        <v/>
      </c>
      <c r="AB279" s="21" t="str">
        <f>E279&amp;COUNTIFS($E$2:E279,E279)</f>
        <v>0</v>
      </c>
      <c r="AC279" s="21" t="str">
        <f t="shared" si="4"/>
        <v/>
      </c>
    </row>
    <row r="280" spans="24:29">
      <c r="X280" s="21" t="str">
        <f>IF(K280="紧急",COUNTIF($K$2:K280,"紧急"),"")</f>
        <v/>
      </c>
      <c r="Y280" s="21" t="str">
        <f>IF(V280="未提取",COUNTIF($V$2:V280,"未提取"),"")</f>
        <v/>
      </c>
      <c r="Z280" s="21" t="str">
        <f>IF(OR(V280="提取中",V280="文库构建中",V280="文库质检中",V280="pooling排机中",V280="上机测序中"),SUMPRODUCT((($V$2:V280="提取中")+($V$2:V280="文库构建中")+($V$2:V280="文库质检中")+($V$2:V280="pooling排机中")+($V$2:V280="上机测序中"))*1),"")</f>
        <v/>
      </c>
      <c r="AA280" s="21" t="str">
        <f>IF(V280="测序完成",COUNTIF($V$2:V280,"测序完成"),"")</f>
        <v/>
      </c>
      <c r="AB280" s="21" t="str">
        <f>E280&amp;COUNTIFS($E$2:E280,E280)</f>
        <v>0</v>
      </c>
      <c r="AC280" s="21" t="str">
        <f t="shared" si="4"/>
        <v/>
      </c>
    </row>
    <row r="281" spans="24:29">
      <c r="X281" s="21" t="str">
        <f>IF(K281="紧急",COUNTIF($K$2:K281,"紧急"),"")</f>
        <v/>
      </c>
      <c r="Y281" s="21" t="str">
        <f>IF(V281="未提取",COUNTIF($V$2:V281,"未提取"),"")</f>
        <v/>
      </c>
      <c r="Z281" s="21" t="str">
        <f>IF(OR(V281="提取中",V281="文库构建中",V281="文库质检中",V281="pooling排机中",V281="上机测序中"),SUMPRODUCT((($V$2:V281="提取中")+($V$2:V281="文库构建中")+($V$2:V281="文库质检中")+($V$2:V281="pooling排机中")+($V$2:V281="上机测序中"))*1),"")</f>
        <v/>
      </c>
      <c r="AA281" s="21" t="str">
        <f>IF(V281="测序完成",COUNTIF($V$2:V281,"测序完成"),"")</f>
        <v/>
      </c>
      <c r="AB281" s="21" t="str">
        <f>E281&amp;COUNTIFS($E$2:E281,E281)</f>
        <v>0</v>
      </c>
      <c r="AC281" s="21" t="str">
        <f t="shared" si="4"/>
        <v/>
      </c>
    </row>
    <row r="282" spans="24:29">
      <c r="X282" s="21" t="str">
        <f>IF(K282="紧急",COUNTIF($K$2:K282,"紧急"),"")</f>
        <v/>
      </c>
      <c r="Y282" s="21" t="str">
        <f>IF(V282="未提取",COUNTIF($V$2:V282,"未提取"),"")</f>
        <v/>
      </c>
      <c r="Z282" s="21" t="str">
        <f>IF(OR(V282="提取中",V282="文库构建中",V282="文库质检中",V282="pooling排机中",V282="上机测序中"),SUMPRODUCT((($V$2:V282="提取中")+($V$2:V282="文库构建中")+($V$2:V282="文库质检中")+($V$2:V282="pooling排机中")+($V$2:V282="上机测序中"))*1),"")</f>
        <v/>
      </c>
      <c r="AA282" s="21" t="str">
        <f>IF(V282="测序完成",COUNTIF($V$2:V282,"测序完成"),"")</f>
        <v/>
      </c>
      <c r="AB282" s="21" t="str">
        <f>E282&amp;COUNTIFS($E$2:E282,E282)</f>
        <v>0</v>
      </c>
      <c r="AC282" s="21" t="str">
        <f t="shared" si="4"/>
        <v/>
      </c>
    </row>
    <row r="283" spans="24:29">
      <c r="X283" s="21" t="str">
        <f>IF(K283="紧急",COUNTIF($K$2:K283,"紧急"),"")</f>
        <v/>
      </c>
      <c r="Y283" s="21" t="str">
        <f>IF(V283="未提取",COUNTIF($V$2:V283,"未提取"),"")</f>
        <v/>
      </c>
      <c r="Z283" s="21" t="str">
        <f>IF(OR(V283="提取中",V283="文库构建中",V283="文库质检中",V283="pooling排机中",V283="上机测序中"),SUMPRODUCT((($V$2:V283="提取中")+($V$2:V283="文库构建中")+($V$2:V283="文库质检中")+($V$2:V283="pooling排机中")+($V$2:V283="上机测序中"))*1),"")</f>
        <v/>
      </c>
      <c r="AA283" s="21" t="str">
        <f>IF(V283="测序完成",COUNTIF($V$2:V283,"测序完成"),"")</f>
        <v/>
      </c>
      <c r="AB283" s="21" t="str">
        <f>E283&amp;COUNTIFS($E$2:E283,E283)</f>
        <v>0</v>
      </c>
      <c r="AC283" s="21" t="str">
        <f t="shared" si="4"/>
        <v/>
      </c>
    </row>
    <row r="284" spans="24:29">
      <c r="X284" s="21" t="str">
        <f>IF(K284="紧急",COUNTIF($K$2:K284,"紧急"),"")</f>
        <v/>
      </c>
      <c r="Y284" s="21" t="str">
        <f>IF(V284="未提取",COUNTIF($V$2:V284,"未提取"),"")</f>
        <v/>
      </c>
      <c r="Z284" s="21" t="str">
        <f>IF(OR(V284="提取中",V284="文库构建中",V284="文库质检中",V284="pooling排机中",V284="上机测序中"),SUMPRODUCT((($V$2:V284="提取中")+($V$2:V284="文库构建中")+($V$2:V284="文库质检中")+($V$2:V284="pooling排机中")+($V$2:V284="上机测序中"))*1),"")</f>
        <v/>
      </c>
      <c r="AA284" s="21" t="str">
        <f>IF(V284="测序完成",COUNTIF($V$2:V284,"测序完成"),"")</f>
        <v/>
      </c>
      <c r="AB284" s="21" t="str">
        <f>E284&amp;COUNTIFS($E$2:E284,E284)</f>
        <v>0</v>
      </c>
      <c r="AC284" s="21" t="str">
        <f t="shared" si="4"/>
        <v/>
      </c>
    </row>
    <row r="285" spans="24:29">
      <c r="X285" s="21" t="str">
        <f>IF(K285="紧急",COUNTIF($K$2:K285,"紧急"),"")</f>
        <v/>
      </c>
      <c r="Y285" s="21" t="str">
        <f>IF(V285="未提取",COUNTIF($V$2:V285,"未提取"),"")</f>
        <v/>
      </c>
      <c r="Z285" s="21" t="str">
        <f>IF(OR(V285="提取中",V285="文库构建中",V285="文库质检中",V285="pooling排机中",V285="上机测序中"),SUMPRODUCT((($V$2:V285="提取中")+($V$2:V285="文库构建中")+($V$2:V285="文库质检中")+($V$2:V285="pooling排机中")+($V$2:V285="上机测序中"))*1),"")</f>
        <v/>
      </c>
      <c r="AA285" s="21" t="str">
        <f>IF(V285="测序完成",COUNTIF($V$2:V285,"测序完成"),"")</f>
        <v/>
      </c>
      <c r="AB285" s="21" t="str">
        <f>E285&amp;COUNTIFS($E$2:E285,E285)</f>
        <v>0</v>
      </c>
      <c r="AC285" s="21" t="str">
        <f t="shared" si="4"/>
        <v/>
      </c>
    </row>
    <row r="286" spans="24:29">
      <c r="X286" s="21" t="str">
        <f>IF(K286="紧急",COUNTIF($K$2:K286,"紧急"),"")</f>
        <v/>
      </c>
      <c r="Y286" s="21" t="str">
        <f>IF(V286="未提取",COUNTIF($V$2:V286,"未提取"),"")</f>
        <v/>
      </c>
      <c r="Z286" s="21" t="str">
        <f>IF(OR(V286="提取中",V286="文库构建中",V286="文库质检中",V286="pooling排机中",V286="上机测序中"),SUMPRODUCT((($V$2:V286="提取中")+($V$2:V286="文库构建中")+($V$2:V286="文库质检中")+($V$2:V286="pooling排机中")+($V$2:V286="上机测序中"))*1),"")</f>
        <v/>
      </c>
      <c r="AA286" s="21" t="str">
        <f>IF(V286="测序完成",COUNTIF($V$2:V286,"测序完成"),"")</f>
        <v/>
      </c>
      <c r="AB286" s="21" t="str">
        <f>E286&amp;COUNTIFS($E$2:E286,E286)</f>
        <v>0</v>
      </c>
      <c r="AC286" s="21" t="str">
        <f t="shared" si="4"/>
        <v/>
      </c>
    </row>
    <row r="287" spans="24:29">
      <c r="X287" s="21" t="str">
        <f>IF(K287="紧急",COUNTIF($K$2:K287,"紧急"),"")</f>
        <v/>
      </c>
      <c r="Y287" s="21" t="str">
        <f>IF(V287="未提取",COUNTIF($V$2:V287,"未提取"),"")</f>
        <v/>
      </c>
      <c r="Z287" s="21" t="str">
        <f>IF(OR(V287="提取中",V287="文库构建中",V287="文库质检中",V287="pooling排机中",V287="上机测序中"),SUMPRODUCT((($V$2:V287="提取中")+($V$2:V287="文库构建中")+($V$2:V287="文库质检中")+($V$2:V287="pooling排机中")+($V$2:V287="上机测序中"))*1),"")</f>
        <v/>
      </c>
      <c r="AA287" s="21" t="str">
        <f>IF(V287="测序完成",COUNTIF($V$2:V287,"测序完成"),"")</f>
        <v/>
      </c>
      <c r="AB287" s="21" t="str">
        <f>E287&amp;COUNTIFS($E$2:E287,E287)</f>
        <v>0</v>
      </c>
      <c r="AC287" s="21" t="str">
        <f t="shared" si="4"/>
        <v/>
      </c>
    </row>
    <row r="288" spans="24:29">
      <c r="X288" s="21" t="str">
        <f>IF(K288="紧急",COUNTIF($K$2:K288,"紧急"),"")</f>
        <v/>
      </c>
      <c r="Y288" s="21" t="str">
        <f>IF(V288="未提取",COUNTIF($V$2:V288,"未提取"),"")</f>
        <v/>
      </c>
      <c r="Z288" s="21" t="str">
        <f>IF(OR(V288="提取中",V288="文库构建中",V288="文库质检中",V288="pooling排机中",V288="上机测序中"),SUMPRODUCT((($V$2:V288="提取中")+($V$2:V288="文库构建中")+($V$2:V288="文库质检中")+($V$2:V288="pooling排机中")+($V$2:V288="上机测序中"))*1),"")</f>
        <v/>
      </c>
      <c r="AA288" s="21" t="str">
        <f>IF(V288="测序完成",COUNTIF($V$2:V288,"测序完成"),"")</f>
        <v/>
      </c>
      <c r="AB288" s="21" t="str">
        <f>E288&amp;COUNTIFS($E$2:E288,E288)</f>
        <v>0</v>
      </c>
      <c r="AC288" s="21" t="str">
        <f t="shared" si="4"/>
        <v/>
      </c>
    </row>
    <row r="289" spans="24:29">
      <c r="X289" s="21" t="str">
        <f>IF(K289="紧急",COUNTIF($K$2:K289,"紧急"),"")</f>
        <v/>
      </c>
      <c r="Y289" s="21" t="str">
        <f>IF(V289="未提取",COUNTIF($V$2:V289,"未提取"),"")</f>
        <v/>
      </c>
      <c r="Z289" s="21" t="str">
        <f>IF(OR(V289="提取中",V289="文库构建中",V289="文库质检中",V289="pooling排机中",V289="上机测序中"),SUMPRODUCT((($V$2:V289="提取中")+($V$2:V289="文库构建中")+($V$2:V289="文库质检中")+($V$2:V289="pooling排机中")+($V$2:V289="上机测序中"))*1),"")</f>
        <v/>
      </c>
      <c r="AA289" s="21" t="str">
        <f>IF(V289="测序完成",COUNTIF($V$2:V289,"测序完成"),"")</f>
        <v/>
      </c>
      <c r="AB289" s="21" t="str">
        <f>E289&amp;COUNTIFS($E$2:E289,E289)</f>
        <v>0</v>
      </c>
      <c r="AC289" s="21" t="str">
        <f t="shared" si="4"/>
        <v/>
      </c>
    </row>
    <row r="290" spans="24:29">
      <c r="X290" s="21" t="str">
        <f>IF(K290="紧急",COUNTIF($K$2:K290,"紧急"),"")</f>
        <v/>
      </c>
      <c r="Y290" s="21" t="str">
        <f>IF(V290="未提取",COUNTIF($V$2:V290,"未提取"),"")</f>
        <v/>
      </c>
      <c r="Z290" s="21" t="str">
        <f>IF(OR(V290="提取中",V290="文库构建中",V290="文库质检中",V290="pooling排机中",V290="上机测序中"),SUMPRODUCT((($V$2:V290="提取中")+($V$2:V290="文库构建中")+($V$2:V290="文库质检中")+($V$2:V290="pooling排机中")+($V$2:V290="上机测序中"))*1),"")</f>
        <v/>
      </c>
      <c r="AA290" s="21" t="str">
        <f>IF(V290="测序完成",COUNTIF($V$2:V290,"测序完成"),"")</f>
        <v/>
      </c>
      <c r="AB290" s="21" t="str">
        <f>E290&amp;COUNTIFS($E$2:E290,E290)</f>
        <v>0</v>
      </c>
      <c r="AC290" s="21" t="str">
        <f t="shared" si="4"/>
        <v/>
      </c>
    </row>
    <row r="291" spans="24:29">
      <c r="X291" s="21" t="str">
        <f>IF(K291="紧急",COUNTIF($K$2:K291,"紧急"),"")</f>
        <v/>
      </c>
      <c r="Y291" s="21" t="str">
        <f>IF(V291="未提取",COUNTIF($V$2:V291,"未提取"),"")</f>
        <v/>
      </c>
      <c r="Z291" s="21" t="str">
        <f>IF(OR(V291="提取中",V291="文库构建中",V291="文库质检中",V291="pooling排机中",V291="上机测序中"),SUMPRODUCT((($V$2:V291="提取中")+($V$2:V291="文库构建中")+($V$2:V291="文库质检中")+($V$2:V291="pooling排机中")+($V$2:V291="上机测序中"))*1),"")</f>
        <v/>
      </c>
      <c r="AA291" s="21" t="str">
        <f>IF(V291="测序完成",COUNTIF($V$2:V291,"测序完成"),"")</f>
        <v/>
      </c>
      <c r="AB291" s="21" t="str">
        <f>E291&amp;COUNTIFS($E$2:E291,E291)</f>
        <v>0</v>
      </c>
      <c r="AC291" s="21" t="str">
        <f t="shared" si="4"/>
        <v/>
      </c>
    </row>
    <row r="292" spans="24:29">
      <c r="X292" s="21" t="str">
        <f>IF(K292="紧急",COUNTIF($K$2:K292,"紧急"),"")</f>
        <v/>
      </c>
      <c r="Y292" s="21" t="str">
        <f>IF(V292="未提取",COUNTIF($V$2:V292,"未提取"),"")</f>
        <v/>
      </c>
      <c r="Z292" s="21" t="str">
        <f>IF(OR(V292="提取中",V292="文库构建中",V292="文库质检中",V292="pooling排机中",V292="上机测序中"),SUMPRODUCT((($V$2:V292="提取中")+($V$2:V292="文库构建中")+($V$2:V292="文库质检中")+($V$2:V292="pooling排机中")+($V$2:V292="上机测序中"))*1),"")</f>
        <v/>
      </c>
      <c r="AA292" s="21" t="str">
        <f>IF(V292="测序完成",COUNTIF($V$2:V292,"测序完成"),"")</f>
        <v/>
      </c>
      <c r="AB292" s="21" t="str">
        <f>E292&amp;COUNTIFS($E$2:E292,E292)</f>
        <v>0</v>
      </c>
      <c r="AC292" s="21" t="str">
        <f t="shared" si="4"/>
        <v/>
      </c>
    </row>
    <row r="293" spans="24:29">
      <c r="X293" s="21" t="str">
        <f>IF(K293="紧急",COUNTIF($K$2:K293,"紧急"),"")</f>
        <v/>
      </c>
      <c r="Y293" s="21" t="str">
        <f>IF(V293="未提取",COUNTIF($V$2:V293,"未提取"),"")</f>
        <v/>
      </c>
      <c r="Z293" s="21" t="str">
        <f>IF(OR(V293="提取中",V293="文库构建中",V293="文库质检中",V293="pooling排机中",V293="上机测序中"),SUMPRODUCT((($V$2:V293="提取中")+($V$2:V293="文库构建中")+($V$2:V293="文库质检中")+($V$2:V293="pooling排机中")+($V$2:V293="上机测序中"))*1),"")</f>
        <v/>
      </c>
      <c r="AA293" s="21" t="str">
        <f>IF(V293="测序完成",COUNTIF($V$2:V293,"测序完成"),"")</f>
        <v/>
      </c>
      <c r="AB293" s="21" t="str">
        <f>E293&amp;COUNTIFS($E$2:E293,E293)</f>
        <v>0</v>
      </c>
      <c r="AC293" s="21" t="str">
        <f t="shared" si="4"/>
        <v/>
      </c>
    </row>
    <row r="294" spans="24:29">
      <c r="X294" s="21" t="str">
        <f>IF(K294="紧急",COUNTIF($K$2:K294,"紧急"),"")</f>
        <v/>
      </c>
      <c r="Y294" s="21" t="str">
        <f>IF(V294="未提取",COUNTIF($V$2:V294,"未提取"),"")</f>
        <v/>
      </c>
      <c r="Z294" s="21" t="str">
        <f>IF(OR(V294="提取中",V294="文库构建中",V294="文库质检中",V294="pooling排机中",V294="上机测序中"),SUMPRODUCT((($V$2:V294="提取中")+($V$2:V294="文库构建中")+($V$2:V294="文库质检中")+($V$2:V294="pooling排机中")+($V$2:V294="上机测序中"))*1),"")</f>
        <v/>
      </c>
      <c r="AA294" s="21" t="str">
        <f>IF(V294="测序完成",COUNTIF($V$2:V294,"测序完成"),"")</f>
        <v/>
      </c>
      <c r="AB294" s="21" t="str">
        <f>E294&amp;COUNTIFS($E$2:E294,E294)</f>
        <v>0</v>
      </c>
      <c r="AC294" s="21" t="str">
        <f t="shared" si="4"/>
        <v/>
      </c>
    </row>
    <row r="295" spans="24:29">
      <c r="X295" s="21" t="str">
        <f>IF(K295="紧急",COUNTIF($K$2:K295,"紧急"),"")</f>
        <v/>
      </c>
      <c r="Y295" s="21" t="str">
        <f>IF(V295="未提取",COUNTIF($V$2:V295,"未提取"),"")</f>
        <v/>
      </c>
      <c r="Z295" s="21" t="str">
        <f>IF(OR(V295="提取中",V295="文库构建中",V295="文库质检中",V295="pooling排机中",V295="上机测序中"),SUMPRODUCT((($V$2:V295="提取中")+($V$2:V295="文库构建中")+($V$2:V295="文库质检中")+($V$2:V295="pooling排机中")+($V$2:V295="上机测序中"))*1),"")</f>
        <v/>
      </c>
      <c r="AA295" s="21" t="str">
        <f>IF(V295="测序完成",COUNTIF($V$2:V295,"测序完成"),"")</f>
        <v/>
      </c>
      <c r="AB295" s="21" t="str">
        <f>E295&amp;COUNTIFS($E$2:E295,E295)</f>
        <v>0</v>
      </c>
      <c r="AC295" s="21" t="str">
        <f t="shared" si="4"/>
        <v/>
      </c>
    </row>
    <row r="296" spans="24:29">
      <c r="X296" s="21" t="str">
        <f>IF(K296="紧急",COUNTIF($K$2:K296,"紧急"),"")</f>
        <v/>
      </c>
      <c r="Y296" s="21" t="str">
        <f>IF(V296="未提取",COUNTIF($V$2:V296,"未提取"),"")</f>
        <v/>
      </c>
      <c r="Z296" s="21" t="str">
        <f>IF(OR(V296="提取中",V296="文库构建中",V296="文库质检中",V296="pooling排机中",V296="上机测序中"),SUMPRODUCT((($V$2:V296="提取中")+($V$2:V296="文库构建中")+($V$2:V296="文库质检中")+($V$2:V296="pooling排机中")+($V$2:V296="上机测序中"))*1),"")</f>
        <v/>
      </c>
      <c r="AA296" s="21" t="str">
        <f>IF(V296="测序完成",COUNTIF($V$2:V296,"测序完成"),"")</f>
        <v/>
      </c>
      <c r="AB296" s="21" t="str">
        <f>E296&amp;COUNTIFS($E$2:E296,E296)</f>
        <v>0</v>
      </c>
      <c r="AC296" s="21" t="str">
        <f t="shared" si="4"/>
        <v/>
      </c>
    </row>
    <row r="297" spans="24:29">
      <c r="X297" s="21" t="str">
        <f>IF(K297="紧急",COUNTIF($K$2:K297,"紧急"),"")</f>
        <v/>
      </c>
      <c r="Y297" s="21" t="str">
        <f>IF(V297="未提取",COUNTIF($V$2:V297,"未提取"),"")</f>
        <v/>
      </c>
      <c r="Z297" s="21" t="str">
        <f>IF(OR(V297="提取中",V297="文库构建中",V297="文库质检中",V297="pooling排机中",V297="上机测序中"),SUMPRODUCT((($V$2:V297="提取中")+($V$2:V297="文库构建中")+($V$2:V297="文库质检中")+($V$2:V297="pooling排机中")+($V$2:V297="上机测序中"))*1),"")</f>
        <v/>
      </c>
      <c r="AA297" s="21" t="str">
        <f>IF(V297="测序完成",COUNTIF($V$2:V297,"测序完成"),"")</f>
        <v/>
      </c>
      <c r="AB297" s="21" t="str">
        <f>E297&amp;COUNTIFS($E$2:E297,E297)</f>
        <v>0</v>
      </c>
      <c r="AC297" s="21" t="str">
        <f t="shared" si="4"/>
        <v/>
      </c>
    </row>
    <row r="298" spans="24:29">
      <c r="X298" s="21" t="str">
        <f>IF(K298="紧急",COUNTIF($K$2:K298,"紧急"),"")</f>
        <v/>
      </c>
      <c r="Y298" s="21" t="str">
        <f>IF(V298="未提取",COUNTIF($V$2:V298,"未提取"),"")</f>
        <v/>
      </c>
      <c r="Z298" s="21" t="str">
        <f>IF(OR(V298="提取中",V298="文库构建中",V298="文库质检中",V298="pooling排机中",V298="上机测序中"),SUMPRODUCT((($V$2:V298="提取中")+($V$2:V298="文库构建中")+($V$2:V298="文库质检中")+($V$2:V298="pooling排机中")+($V$2:V298="上机测序中"))*1),"")</f>
        <v/>
      </c>
      <c r="AA298" s="21" t="str">
        <f>IF(V298="测序完成",COUNTIF($V$2:V298,"测序完成"),"")</f>
        <v/>
      </c>
      <c r="AB298" s="21" t="str">
        <f>E298&amp;COUNTIFS($E$2:E298,E298)</f>
        <v>0</v>
      </c>
      <c r="AC298" s="21" t="str">
        <f t="shared" si="4"/>
        <v/>
      </c>
    </row>
    <row r="299" spans="24:29">
      <c r="X299" s="21" t="str">
        <f>IF(K299="紧急",COUNTIF($K$2:K299,"紧急"),"")</f>
        <v/>
      </c>
      <c r="Y299" s="21" t="str">
        <f>IF(V299="未提取",COUNTIF($V$2:V299,"未提取"),"")</f>
        <v/>
      </c>
      <c r="Z299" s="21" t="str">
        <f>IF(OR(V299="提取中",V299="文库构建中",V299="文库质检中",V299="pooling排机中",V299="上机测序中"),SUMPRODUCT((($V$2:V299="提取中")+($V$2:V299="文库构建中")+($V$2:V299="文库质检中")+($V$2:V299="pooling排机中")+($V$2:V299="上机测序中"))*1),"")</f>
        <v/>
      </c>
      <c r="AA299" s="21" t="str">
        <f>IF(V299="测序完成",COUNTIF($V$2:V299,"测序完成"),"")</f>
        <v/>
      </c>
      <c r="AB299" s="21" t="str">
        <f>E299&amp;COUNTIFS($E$2:E299,E299)</f>
        <v>0</v>
      </c>
      <c r="AC299" s="21" t="str">
        <f t="shared" si="4"/>
        <v/>
      </c>
    </row>
    <row r="300" spans="24:29">
      <c r="X300" s="21" t="str">
        <f>IF(K300="紧急",COUNTIF($K$2:K300,"紧急"),"")</f>
        <v/>
      </c>
      <c r="Y300" s="21" t="str">
        <f>IF(V300="未提取",COUNTIF($V$2:V300,"未提取"),"")</f>
        <v/>
      </c>
      <c r="Z300" s="21" t="str">
        <f>IF(OR(V300="提取中",V300="文库构建中",V300="文库质检中",V300="pooling排机中",V300="上机测序中"),SUMPRODUCT((($V$2:V300="提取中")+($V$2:V300="文库构建中")+($V$2:V300="文库质检中")+($V$2:V300="pooling排机中")+($V$2:V300="上机测序中"))*1),"")</f>
        <v/>
      </c>
      <c r="AA300" s="21" t="str">
        <f>IF(V300="测序完成",COUNTIF($V$2:V300,"测序完成"),"")</f>
        <v/>
      </c>
      <c r="AB300" s="21" t="str">
        <f>E300&amp;COUNTIFS($E$2:E300,E300)</f>
        <v>0</v>
      </c>
      <c r="AC300" s="21" t="str">
        <f t="shared" si="4"/>
        <v/>
      </c>
    </row>
    <row r="301" spans="24:29">
      <c r="X301" s="21" t="str">
        <f>IF(K301="紧急",COUNTIF($K$2:K301,"紧急"),"")</f>
        <v/>
      </c>
      <c r="Y301" s="21" t="str">
        <f>IF(V301="未提取",COUNTIF($V$2:V301,"未提取"),"")</f>
        <v/>
      </c>
      <c r="Z301" s="21" t="str">
        <f>IF(OR(V301="提取中",V301="文库构建中",V301="文库质检中",V301="pooling排机中",V301="上机测序中"),SUMPRODUCT((($V$2:V301="提取中")+($V$2:V301="文库构建中")+($V$2:V301="文库质检中")+($V$2:V301="pooling排机中")+($V$2:V301="上机测序中"))*1),"")</f>
        <v/>
      </c>
      <c r="AA301" s="21" t="str">
        <f>IF(V301="测序完成",COUNTIF($V$2:V301,"测序完成"),"")</f>
        <v/>
      </c>
      <c r="AB301" s="21" t="str">
        <f>E301&amp;COUNTIFS($E$2:E301,E301)</f>
        <v>0</v>
      </c>
      <c r="AC301" s="21" t="str">
        <f t="shared" si="4"/>
        <v/>
      </c>
    </row>
    <row r="302" spans="24:29">
      <c r="X302" s="21" t="str">
        <f>IF(K302="紧急",COUNTIF($K$2:K302,"紧急"),"")</f>
        <v/>
      </c>
      <c r="Y302" s="21" t="str">
        <f>IF(V302="未提取",COUNTIF($V$2:V302,"未提取"),"")</f>
        <v/>
      </c>
      <c r="Z302" s="21" t="str">
        <f>IF(OR(V302="提取中",V302="文库构建中",V302="文库质检中",V302="pooling排机中",V302="上机测序中"),SUMPRODUCT((($V$2:V302="提取中")+($V$2:V302="文库构建中")+($V$2:V302="文库质检中")+($V$2:V302="pooling排机中")+($V$2:V302="上机测序中"))*1),"")</f>
        <v/>
      </c>
      <c r="AA302" s="21" t="str">
        <f>IF(V302="测序完成",COUNTIF($V$2:V302,"测序完成"),"")</f>
        <v/>
      </c>
      <c r="AB302" s="21" t="str">
        <f>E302&amp;COUNTIFS($E$2:E302,E302)</f>
        <v>0</v>
      </c>
      <c r="AC302" s="21" t="str">
        <f t="shared" si="4"/>
        <v/>
      </c>
    </row>
    <row r="303" spans="24:29">
      <c r="X303" s="21" t="str">
        <f>IF(K303="紧急",COUNTIF($K$2:K303,"紧急"),"")</f>
        <v/>
      </c>
      <c r="Y303" s="21" t="str">
        <f>IF(V303="未提取",COUNTIF($V$2:V303,"未提取"),"")</f>
        <v/>
      </c>
      <c r="Z303" s="21" t="str">
        <f>IF(OR(V303="提取中",V303="文库构建中",V303="文库质检中",V303="pooling排机中",V303="上机测序中"),SUMPRODUCT((($V$2:V303="提取中")+($V$2:V303="文库构建中")+($V$2:V303="文库质检中")+($V$2:V303="pooling排机中")+($V$2:V303="上机测序中"))*1),"")</f>
        <v/>
      </c>
      <c r="AA303" s="21" t="str">
        <f>IF(V303="测序完成",COUNTIF($V$2:V303,"测序完成"),"")</f>
        <v/>
      </c>
      <c r="AB303" s="21" t="str">
        <f>E303&amp;COUNTIFS($E$2:E303,E303)</f>
        <v>0</v>
      </c>
      <c r="AC303" s="21" t="str">
        <f t="shared" si="4"/>
        <v/>
      </c>
    </row>
    <row r="304" spans="24:29">
      <c r="X304" s="21" t="str">
        <f>IF(K304="紧急",COUNTIF($K$2:K304,"紧急"),"")</f>
        <v/>
      </c>
      <c r="Y304" s="21" t="str">
        <f>IF(V304="未提取",COUNTIF($V$2:V304,"未提取"),"")</f>
        <v/>
      </c>
      <c r="Z304" s="21" t="str">
        <f>IF(OR(V304="提取中",V304="文库构建中",V304="文库质检中",V304="pooling排机中",V304="上机测序中"),SUMPRODUCT((($V$2:V304="提取中")+($V$2:V304="文库构建中")+($V$2:V304="文库质检中")+($V$2:V304="pooling排机中")+($V$2:V304="上机测序中"))*1),"")</f>
        <v/>
      </c>
      <c r="AA304" s="21" t="str">
        <f>IF(V304="测序完成",COUNTIF($V$2:V304,"测序完成"),"")</f>
        <v/>
      </c>
      <c r="AB304" s="21" t="str">
        <f>E304&amp;COUNTIFS($E$2:E304,E304)</f>
        <v>0</v>
      </c>
      <c r="AC304" s="21" t="str">
        <f t="shared" si="4"/>
        <v/>
      </c>
    </row>
    <row r="305" spans="24:29">
      <c r="X305" s="21" t="str">
        <f>IF(K305="紧急",COUNTIF($K$2:K305,"紧急"),"")</f>
        <v/>
      </c>
      <c r="Y305" s="21" t="str">
        <f>IF(V305="未提取",COUNTIF($V$2:V305,"未提取"),"")</f>
        <v/>
      </c>
      <c r="Z305" s="21" t="str">
        <f>IF(OR(V305="提取中",V305="文库构建中",V305="文库质检中",V305="pooling排机中",V305="上机测序中"),SUMPRODUCT((($V$2:V305="提取中")+($V$2:V305="文库构建中")+($V$2:V305="文库质检中")+($V$2:V305="pooling排机中")+($V$2:V305="上机测序中"))*1),"")</f>
        <v/>
      </c>
      <c r="AA305" s="21" t="str">
        <f>IF(V305="测序完成",COUNTIF($V$2:V305,"测序完成"),"")</f>
        <v/>
      </c>
      <c r="AB305" s="21" t="str">
        <f>E305&amp;COUNTIFS($E$2:E305,E305)</f>
        <v>0</v>
      </c>
      <c r="AC305" s="21" t="str">
        <f t="shared" si="4"/>
        <v/>
      </c>
    </row>
    <row r="306" spans="24:29">
      <c r="X306" s="21" t="str">
        <f>IF(K306="紧急",COUNTIF($K$2:K306,"紧急"),"")</f>
        <v/>
      </c>
      <c r="Y306" s="21" t="str">
        <f>IF(V306="未提取",COUNTIF($V$2:V306,"未提取"),"")</f>
        <v/>
      </c>
      <c r="Z306" s="21" t="str">
        <f>IF(OR(V306="提取中",V306="文库构建中",V306="文库质检中",V306="pooling排机中",V306="上机测序中"),SUMPRODUCT((($V$2:V306="提取中")+($V$2:V306="文库构建中")+($V$2:V306="文库质检中")+($V$2:V306="pooling排机中")+($V$2:V306="上机测序中"))*1),"")</f>
        <v/>
      </c>
      <c r="AA306" s="21" t="str">
        <f>IF(V306="测序完成",COUNTIF($V$2:V306,"测序完成"),"")</f>
        <v/>
      </c>
      <c r="AB306" s="21" t="str">
        <f>E306&amp;COUNTIFS($E$2:E306,E306)</f>
        <v>0</v>
      </c>
      <c r="AC306" s="21" t="str">
        <f t="shared" si="4"/>
        <v/>
      </c>
    </row>
    <row r="307" spans="24:29">
      <c r="X307" s="21" t="str">
        <f>IF(K307="紧急",COUNTIF($K$2:K307,"紧急"),"")</f>
        <v/>
      </c>
      <c r="Y307" s="21" t="str">
        <f>IF(V307="未提取",COUNTIF($V$2:V307,"未提取"),"")</f>
        <v/>
      </c>
      <c r="Z307" s="21" t="str">
        <f>IF(OR(V307="提取中",V307="文库构建中",V307="文库质检中",V307="pooling排机中",V307="上机测序中"),SUMPRODUCT((($V$2:V307="提取中")+($V$2:V307="文库构建中")+($V$2:V307="文库质检中")+($V$2:V307="pooling排机中")+($V$2:V307="上机测序中"))*1),"")</f>
        <v/>
      </c>
      <c r="AA307" s="21" t="str">
        <f>IF(V307="测序完成",COUNTIF($V$2:V307,"测序完成"),"")</f>
        <v/>
      </c>
      <c r="AB307" s="21" t="str">
        <f>E307&amp;COUNTIFS($E$2:E307,E307)</f>
        <v>0</v>
      </c>
      <c r="AC307" s="21" t="str">
        <f t="shared" si="4"/>
        <v/>
      </c>
    </row>
    <row r="308" spans="24:29">
      <c r="X308" s="21" t="str">
        <f>IF(K308="紧急",COUNTIF($K$2:K308,"紧急"),"")</f>
        <v/>
      </c>
      <c r="Y308" s="21" t="str">
        <f>IF(V308="未提取",COUNTIF($V$2:V308,"未提取"),"")</f>
        <v/>
      </c>
      <c r="Z308" s="21" t="str">
        <f>IF(OR(V308="提取中",V308="文库构建中",V308="文库质检中",V308="pooling排机中",V308="上机测序中"),SUMPRODUCT((($V$2:V308="提取中")+($V$2:V308="文库构建中")+($V$2:V308="文库质检中")+($V$2:V308="pooling排机中")+($V$2:V308="上机测序中"))*1),"")</f>
        <v/>
      </c>
      <c r="AA308" s="21" t="str">
        <f>IF(V308="测序完成",COUNTIF($V$2:V308,"测序完成"),"")</f>
        <v/>
      </c>
      <c r="AB308" s="21" t="str">
        <f>E308&amp;COUNTIFS($E$2:E308,E308)</f>
        <v>0</v>
      </c>
      <c r="AC308" s="21" t="str">
        <f t="shared" si="4"/>
        <v/>
      </c>
    </row>
    <row r="309" spans="24:29">
      <c r="X309" s="21" t="str">
        <f>IF(K309="紧急",COUNTIF($K$2:K309,"紧急"),"")</f>
        <v/>
      </c>
      <c r="Y309" s="21" t="str">
        <f>IF(V309="未提取",COUNTIF($V$2:V309,"未提取"),"")</f>
        <v/>
      </c>
      <c r="Z309" s="21" t="str">
        <f>IF(OR(V309="提取中",V309="文库构建中",V309="文库质检中",V309="pooling排机中",V309="上机测序中"),SUMPRODUCT((($V$2:V309="提取中")+($V$2:V309="文库构建中")+($V$2:V309="文库质检中")+($V$2:V309="pooling排机中")+($V$2:V309="上机测序中"))*1),"")</f>
        <v/>
      </c>
      <c r="AA309" s="21" t="str">
        <f>IF(V309="测序完成",COUNTIF($V$2:V309,"测序完成"),"")</f>
        <v/>
      </c>
      <c r="AB309" s="21" t="str">
        <f>E309&amp;COUNTIFS($E$2:E309,E309)</f>
        <v>0</v>
      </c>
      <c r="AC309" s="21" t="str">
        <f t="shared" si="4"/>
        <v/>
      </c>
    </row>
    <row r="310" spans="24:29">
      <c r="X310" s="21" t="str">
        <f>IF(K310="紧急",COUNTIF($K$2:K310,"紧急"),"")</f>
        <v/>
      </c>
      <c r="Y310" s="21" t="str">
        <f>IF(V310="未提取",COUNTIF($V$2:V310,"未提取"),"")</f>
        <v/>
      </c>
      <c r="Z310" s="21" t="str">
        <f>IF(OR(V310="提取中",V310="文库构建中",V310="文库质检中",V310="pooling排机中",V310="上机测序中"),SUMPRODUCT((($V$2:V310="提取中")+($V$2:V310="文库构建中")+($V$2:V310="文库质检中")+($V$2:V310="pooling排机中")+($V$2:V310="上机测序中"))*1),"")</f>
        <v/>
      </c>
      <c r="AA310" s="21" t="str">
        <f>IF(V310="测序完成",COUNTIF($V$2:V310,"测序完成"),"")</f>
        <v/>
      </c>
      <c r="AB310" s="21" t="str">
        <f>E310&amp;COUNTIFS($E$2:E310,E310)</f>
        <v>0</v>
      </c>
      <c r="AC310" s="21" t="str">
        <f t="shared" si="4"/>
        <v/>
      </c>
    </row>
    <row r="311" spans="24:29">
      <c r="X311" s="21" t="str">
        <f>IF(K311="紧急",COUNTIF($K$2:K311,"紧急"),"")</f>
        <v/>
      </c>
      <c r="Y311" s="21" t="str">
        <f>IF(V311="未提取",COUNTIF($V$2:V311,"未提取"),"")</f>
        <v/>
      </c>
      <c r="Z311" s="21" t="str">
        <f>IF(OR(V311="提取中",V311="文库构建中",V311="文库质检中",V311="pooling排机中",V311="上机测序中"),SUMPRODUCT((($V$2:V311="提取中")+($V$2:V311="文库构建中")+($V$2:V311="文库质检中")+($V$2:V311="pooling排机中")+($V$2:V311="上机测序中"))*1),"")</f>
        <v/>
      </c>
      <c r="AA311" s="21" t="str">
        <f>IF(V311="测序完成",COUNTIF($V$2:V311,"测序完成"),"")</f>
        <v/>
      </c>
      <c r="AB311" s="21" t="str">
        <f>E311&amp;COUNTIFS($E$2:E311,E311)</f>
        <v>0</v>
      </c>
      <c r="AC311" s="21" t="str">
        <f t="shared" si="4"/>
        <v/>
      </c>
    </row>
    <row r="312" spans="24:29">
      <c r="X312" s="21" t="str">
        <f>IF(K312="紧急",COUNTIF($K$2:K312,"紧急"),"")</f>
        <v/>
      </c>
      <c r="Y312" s="21" t="str">
        <f>IF(V312="未提取",COUNTIF($V$2:V312,"未提取"),"")</f>
        <v/>
      </c>
      <c r="Z312" s="21" t="str">
        <f>IF(OR(V312="提取中",V312="文库构建中",V312="文库质检中",V312="pooling排机中",V312="上机测序中"),SUMPRODUCT((($V$2:V312="提取中")+($V$2:V312="文库构建中")+($V$2:V312="文库质检中")+($V$2:V312="pooling排机中")+($V$2:V312="上机测序中"))*1),"")</f>
        <v/>
      </c>
      <c r="AA312" s="21" t="str">
        <f>IF(V312="测序完成",COUNTIF($V$2:V312,"测序完成"),"")</f>
        <v/>
      </c>
      <c r="AB312" s="21" t="str">
        <f>E312&amp;COUNTIFS($E$2:E312,E312)</f>
        <v>0</v>
      </c>
      <c r="AC312" s="21" t="str">
        <f t="shared" si="4"/>
        <v/>
      </c>
    </row>
    <row r="313" spans="24:29">
      <c r="X313" s="21" t="str">
        <f>IF(K313="紧急",COUNTIF($K$2:K313,"紧急"),"")</f>
        <v/>
      </c>
      <c r="Y313" s="21" t="str">
        <f>IF(V313="未提取",COUNTIF($V$2:V313,"未提取"),"")</f>
        <v/>
      </c>
      <c r="Z313" s="21" t="str">
        <f>IF(OR(V313="提取中",V313="文库构建中",V313="文库质检中",V313="pooling排机中",V313="上机测序中"),SUMPRODUCT((($V$2:V313="提取中")+($V$2:V313="文库构建中")+($V$2:V313="文库质检中")+($V$2:V313="pooling排机中")+($V$2:V313="上机测序中"))*1),"")</f>
        <v/>
      </c>
      <c r="AA313" s="21" t="str">
        <f>IF(V313="测序完成",COUNTIF($V$2:V313,"测序完成"),"")</f>
        <v/>
      </c>
      <c r="AB313" s="21" t="str">
        <f>E313&amp;COUNTIFS($E$2:E313,E313)</f>
        <v>0</v>
      </c>
      <c r="AC313" s="21" t="str">
        <f t="shared" si="4"/>
        <v/>
      </c>
    </row>
    <row r="314" spans="24:29">
      <c r="X314" s="21" t="str">
        <f>IF(K314="紧急",COUNTIF($K$2:K314,"紧急"),"")</f>
        <v/>
      </c>
      <c r="Y314" s="21" t="str">
        <f>IF(V314="未提取",COUNTIF($V$2:V314,"未提取"),"")</f>
        <v/>
      </c>
      <c r="Z314" s="21" t="str">
        <f>IF(OR(V314="提取中",V314="文库构建中",V314="文库质检中",V314="pooling排机中",V314="上机测序中"),SUMPRODUCT((($V$2:V314="提取中")+($V$2:V314="文库构建中")+($V$2:V314="文库质检中")+($V$2:V314="pooling排机中")+($V$2:V314="上机测序中"))*1),"")</f>
        <v/>
      </c>
      <c r="AA314" s="21" t="str">
        <f>IF(V314="测序完成",COUNTIF($V$2:V314,"测序完成"),"")</f>
        <v/>
      </c>
      <c r="AB314" s="21" t="str">
        <f>E314&amp;COUNTIFS($E$2:E314,E314)</f>
        <v>0</v>
      </c>
      <c r="AC314" s="21" t="str">
        <f t="shared" si="4"/>
        <v/>
      </c>
    </row>
    <row r="315" spans="24:29">
      <c r="X315" s="21" t="str">
        <f>IF(K315="紧急",COUNTIF($K$2:K315,"紧急"),"")</f>
        <v/>
      </c>
      <c r="Y315" s="21" t="str">
        <f>IF(V315="未提取",COUNTIF($V$2:V315,"未提取"),"")</f>
        <v/>
      </c>
      <c r="Z315" s="21" t="str">
        <f>IF(OR(V315="提取中",V315="文库构建中",V315="文库质检中",V315="pooling排机中",V315="上机测序中"),SUMPRODUCT((($V$2:V315="提取中")+($V$2:V315="文库构建中")+($V$2:V315="文库质检中")+($V$2:V315="pooling排机中")+($V$2:V315="上机测序中"))*1),"")</f>
        <v/>
      </c>
      <c r="AA315" s="21" t="str">
        <f>IF(V315="测序完成",COUNTIF($V$2:V315,"测序完成"),"")</f>
        <v/>
      </c>
      <c r="AB315" s="21" t="str">
        <f>E315&amp;COUNTIFS($E$2:E315,E315)</f>
        <v>0</v>
      </c>
      <c r="AC315" s="21" t="str">
        <f t="shared" si="4"/>
        <v/>
      </c>
    </row>
    <row r="316" spans="24:29">
      <c r="X316" s="21" t="str">
        <f>IF(K316="紧急",COUNTIF($K$2:K316,"紧急"),"")</f>
        <v/>
      </c>
      <c r="Y316" s="21" t="str">
        <f>IF(V316="未提取",COUNTIF($V$2:V316,"未提取"),"")</f>
        <v/>
      </c>
      <c r="Z316" s="21" t="str">
        <f>IF(OR(V316="提取中",V316="文库构建中",V316="文库质检中",V316="pooling排机中",V316="上机测序中"),SUMPRODUCT((($V$2:V316="提取中")+($V$2:V316="文库构建中")+($V$2:V316="文库质检中")+($V$2:V316="pooling排机中")+($V$2:V316="上机测序中"))*1),"")</f>
        <v/>
      </c>
      <c r="AA316" s="21" t="str">
        <f>IF(V316="测序完成",COUNTIF($V$2:V316,"测序完成"),"")</f>
        <v/>
      </c>
      <c r="AB316" s="21" t="str">
        <f>E316&amp;COUNTIFS($E$2:E316,E316)</f>
        <v>0</v>
      </c>
      <c r="AC316" s="21" t="str">
        <f t="shared" si="4"/>
        <v/>
      </c>
    </row>
    <row r="317" spans="24:29">
      <c r="X317" s="21" t="str">
        <f>IF(K317="紧急",COUNTIF($K$2:K317,"紧急"),"")</f>
        <v/>
      </c>
      <c r="Y317" s="21" t="str">
        <f>IF(V317="未提取",COUNTIF($V$2:V317,"未提取"),"")</f>
        <v/>
      </c>
      <c r="Z317" s="21" t="str">
        <f>IF(OR(V317="提取中",V317="文库构建中",V317="文库质检中",V317="pooling排机中",V317="上机测序中"),SUMPRODUCT((($V$2:V317="提取中")+($V$2:V317="文库构建中")+($V$2:V317="文库质检中")+($V$2:V317="pooling排机中")+($V$2:V317="上机测序中"))*1),"")</f>
        <v/>
      </c>
      <c r="AA317" s="21" t="str">
        <f>IF(V317="测序完成",COUNTIF($V$2:V317,"测序完成"),"")</f>
        <v/>
      </c>
      <c r="AB317" s="21" t="str">
        <f>E317&amp;COUNTIFS($E$2:E317,E317)</f>
        <v>0</v>
      </c>
      <c r="AC317" s="21" t="str">
        <f t="shared" si="4"/>
        <v/>
      </c>
    </row>
    <row r="318" spans="24:29">
      <c r="X318" s="21" t="str">
        <f>IF(K318="紧急",COUNTIF($K$2:K318,"紧急"),"")</f>
        <v/>
      </c>
      <c r="Y318" s="21" t="str">
        <f>IF(V318="未提取",COUNTIF($V$2:V318,"未提取"),"")</f>
        <v/>
      </c>
      <c r="Z318" s="21" t="str">
        <f>IF(OR(V318="提取中",V318="文库构建中",V318="文库质检中",V318="pooling排机中",V318="上机测序中"),SUMPRODUCT((($V$2:V318="提取中")+($V$2:V318="文库构建中")+($V$2:V318="文库质检中")+($V$2:V318="pooling排机中")+($V$2:V318="上机测序中"))*1),"")</f>
        <v/>
      </c>
      <c r="AA318" s="21" t="str">
        <f>IF(V318="测序完成",COUNTIF($V$2:V318,"测序完成"),"")</f>
        <v/>
      </c>
      <c r="AB318" s="21" t="str">
        <f>E318&amp;COUNTIFS($E$2:E318,E318)</f>
        <v>0</v>
      </c>
      <c r="AC318" s="21" t="str">
        <f t="shared" si="4"/>
        <v/>
      </c>
    </row>
    <row r="319" spans="24:29">
      <c r="X319" s="21" t="str">
        <f>IF(K319="紧急",COUNTIF($K$2:K319,"紧急"),"")</f>
        <v/>
      </c>
      <c r="Y319" s="21" t="str">
        <f>IF(V319="未提取",COUNTIF($V$2:V319,"未提取"),"")</f>
        <v/>
      </c>
      <c r="Z319" s="21" t="str">
        <f>IF(OR(V319="提取中",V319="文库构建中",V319="文库质检中",V319="pooling排机中",V319="上机测序中"),SUMPRODUCT((($V$2:V319="提取中")+($V$2:V319="文库构建中")+($V$2:V319="文库质检中")+($V$2:V319="pooling排机中")+($V$2:V319="上机测序中"))*1),"")</f>
        <v/>
      </c>
      <c r="AA319" s="21" t="str">
        <f>IF(V319="测序完成",COUNTIF($V$2:V319,"测序完成"),"")</f>
        <v/>
      </c>
      <c r="AB319" s="21" t="str">
        <f>E319&amp;COUNTIFS($E$2:E319,E319)</f>
        <v>0</v>
      </c>
      <c r="AC319" s="21" t="str">
        <f t="shared" si="4"/>
        <v/>
      </c>
    </row>
    <row r="320" spans="24:29">
      <c r="X320" s="21" t="str">
        <f>IF(K320="紧急",COUNTIF($K$2:K320,"紧急"),"")</f>
        <v/>
      </c>
      <c r="Y320" s="21" t="str">
        <f>IF(V320="未提取",COUNTIF($V$2:V320,"未提取"),"")</f>
        <v/>
      </c>
      <c r="Z320" s="21" t="str">
        <f>IF(OR(V320="提取中",V320="文库构建中",V320="文库质检中",V320="pooling排机中",V320="上机测序中"),SUMPRODUCT((($V$2:V320="提取中")+($V$2:V320="文库构建中")+($V$2:V320="文库质检中")+($V$2:V320="pooling排机中")+($V$2:V320="上机测序中"))*1),"")</f>
        <v/>
      </c>
      <c r="AA320" s="21" t="str">
        <f>IF(V320="测序完成",COUNTIF($V$2:V320,"测序完成"),"")</f>
        <v/>
      </c>
      <c r="AB320" s="21" t="str">
        <f>E320&amp;COUNTIFS($E$2:E320,E320)</f>
        <v>0</v>
      </c>
      <c r="AC320" s="21" t="str">
        <f t="shared" si="4"/>
        <v/>
      </c>
    </row>
    <row r="321" spans="24:29">
      <c r="X321" s="21" t="str">
        <f>IF(K321="紧急",COUNTIF($K$2:K321,"紧急"),"")</f>
        <v/>
      </c>
      <c r="Y321" s="21" t="str">
        <f>IF(V321="未提取",COUNTIF($V$2:V321,"未提取"),"")</f>
        <v/>
      </c>
      <c r="Z321" s="21" t="str">
        <f>IF(OR(V321="提取中",V321="文库构建中",V321="文库质检中",V321="pooling排机中",V321="上机测序中"),SUMPRODUCT((($V$2:V321="提取中")+($V$2:V321="文库构建中")+($V$2:V321="文库质检中")+($V$2:V321="pooling排机中")+($V$2:V321="上机测序中"))*1),"")</f>
        <v/>
      </c>
      <c r="AA321" s="21" t="str">
        <f>IF(V321="测序完成",COUNTIF($V$2:V321,"测序完成"),"")</f>
        <v/>
      </c>
      <c r="AB321" s="21" t="str">
        <f>E321&amp;COUNTIFS($E$2:E321,E321)</f>
        <v>0</v>
      </c>
      <c r="AC321" s="21" t="str">
        <f t="shared" si="4"/>
        <v/>
      </c>
    </row>
    <row r="322" spans="24:29">
      <c r="X322" s="21" t="str">
        <f>IF(K322="紧急",COUNTIF($K$2:K322,"紧急"),"")</f>
        <v/>
      </c>
      <c r="Y322" s="21" t="str">
        <f>IF(V322="未提取",COUNTIF($V$2:V322,"未提取"),"")</f>
        <v/>
      </c>
      <c r="Z322" s="21" t="str">
        <f>IF(OR(V322="提取中",V322="文库构建中",V322="文库质检中",V322="pooling排机中",V322="上机测序中"),SUMPRODUCT((($V$2:V322="提取中")+($V$2:V322="文库构建中")+($V$2:V322="文库质检中")+($V$2:V322="pooling排机中")+($V$2:V322="上机测序中"))*1),"")</f>
        <v/>
      </c>
      <c r="AA322" s="21" t="str">
        <f>IF(V322="测序完成",COUNTIF($V$2:V322,"测序完成"),"")</f>
        <v/>
      </c>
      <c r="AB322" s="21" t="str">
        <f>E322&amp;COUNTIFS($E$2:E322,E322)</f>
        <v>0</v>
      </c>
      <c r="AC322" s="21" t="str">
        <f t="shared" ref="AC322:AC385" si="5">IF(A322&lt;&gt;"",ROW()-1,"")</f>
        <v/>
      </c>
    </row>
    <row r="323" spans="24:29">
      <c r="X323" s="21" t="str">
        <f>IF(K323="紧急",COUNTIF($K$2:K323,"紧急"),"")</f>
        <v/>
      </c>
      <c r="Y323" s="21" t="str">
        <f>IF(V323="未提取",COUNTIF($V$2:V323,"未提取"),"")</f>
        <v/>
      </c>
      <c r="Z323" s="21" t="str">
        <f>IF(OR(V323="提取中",V323="文库构建中",V323="文库质检中",V323="pooling排机中",V323="上机测序中"),SUMPRODUCT((($V$2:V323="提取中")+($V$2:V323="文库构建中")+($V$2:V323="文库质检中")+($V$2:V323="pooling排机中")+($V$2:V323="上机测序中"))*1),"")</f>
        <v/>
      </c>
      <c r="AA323" s="21" t="str">
        <f>IF(V323="测序完成",COUNTIF($V$2:V323,"测序完成"),"")</f>
        <v/>
      </c>
      <c r="AB323" s="21" t="str">
        <f>E323&amp;COUNTIFS($E$2:E323,E323)</f>
        <v>0</v>
      </c>
      <c r="AC323" s="21" t="str">
        <f t="shared" si="5"/>
        <v/>
      </c>
    </row>
    <row r="324" spans="24:29">
      <c r="X324" s="21" t="str">
        <f>IF(K324="紧急",COUNTIF($K$2:K324,"紧急"),"")</f>
        <v/>
      </c>
      <c r="Y324" s="21" t="str">
        <f>IF(V324="未提取",COUNTIF($V$2:V324,"未提取"),"")</f>
        <v/>
      </c>
      <c r="Z324" s="21" t="str">
        <f>IF(OR(V324="提取中",V324="文库构建中",V324="文库质检中",V324="pooling排机中",V324="上机测序中"),SUMPRODUCT((($V$2:V324="提取中")+($V$2:V324="文库构建中")+($V$2:V324="文库质检中")+($V$2:V324="pooling排机中")+($V$2:V324="上机测序中"))*1),"")</f>
        <v/>
      </c>
      <c r="AA324" s="21" t="str">
        <f>IF(V324="测序完成",COUNTIF($V$2:V324,"测序完成"),"")</f>
        <v/>
      </c>
      <c r="AB324" s="21" t="str">
        <f>E324&amp;COUNTIFS($E$2:E324,E324)</f>
        <v>0</v>
      </c>
      <c r="AC324" s="21" t="str">
        <f t="shared" si="5"/>
        <v/>
      </c>
    </row>
    <row r="325" spans="24:29">
      <c r="X325" s="21" t="str">
        <f>IF(K325="紧急",COUNTIF($K$2:K325,"紧急"),"")</f>
        <v/>
      </c>
      <c r="Y325" s="21" t="str">
        <f>IF(V325="未提取",COUNTIF($V$2:V325,"未提取"),"")</f>
        <v/>
      </c>
      <c r="Z325" s="21" t="str">
        <f>IF(OR(V325="提取中",V325="文库构建中",V325="文库质检中",V325="pooling排机中",V325="上机测序中"),SUMPRODUCT((($V$2:V325="提取中")+($V$2:V325="文库构建中")+($V$2:V325="文库质检中")+($V$2:V325="pooling排机中")+($V$2:V325="上机测序中"))*1),"")</f>
        <v/>
      </c>
      <c r="AA325" s="21" t="str">
        <f>IF(V325="测序完成",COUNTIF($V$2:V325,"测序完成"),"")</f>
        <v/>
      </c>
      <c r="AB325" s="21" t="str">
        <f>E325&amp;COUNTIFS($E$2:E325,E325)</f>
        <v>0</v>
      </c>
      <c r="AC325" s="21" t="str">
        <f t="shared" si="5"/>
        <v/>
      </c>
    </row>
    <row r="326" spans="24:29">
      <c r="X326" s="21" t="str">
        <f>IF(K326="紧急",COUNTIF($K$2:K326,"紧急"),"")</f>
        <v/>
      </c>
      <c r="Y326" s="21" t="str">
        <f>IF(V326="未提取",COUNTIF($V$2:V326,"未提取"),"")</f>
        <v/>
      </c>
      <c r="Z326" s="21" t="str">
        <f>IF(OR(V326="提取中",V326="文库构建中",V326="文库质检中",V326="pooling排机中",V326="上机测序中"),SUMPRODUCT((($V$2:V326="提取中")+($V$2:V326="文库构建中")+($V$2:V326="文库质检中")+($V$2:V326="pooling排机中")+($V$2:V326="上机测序中"))*1),"")</f>
        <v/>
      </c>
      <c r="AA326" s="21" t="str">
        <f>IF(V326="测序完成",COUNTIF($V$2:V326,"测序完成"),"")</f>
        <v/>
      </c>
      <c r="AB326" s="21" t="str">
        <f>E326&amp;COUNTIFS($E$2:E326,E326)</f>
        <v>0</v>
      </c>
      <c r="AC326" s="21" t="str">
        <f t="shared" si="5"/>
        <v/>
      </c>
    </row>
    <row r="327" spans="24:29">
      <c r="X327" s="21" t="str">
        <f>IF(K327="紧急",COUNTIF($K$2:K327,"紧急"),"")</f>
        <v/>
      </c>
      <c r="Y327" s="21" t="str">
        <f>IF(V327="未提取",COUNTIF($V$2:V327,"未提取"),"")</f>
        <v/>
      </c>
      <c r="Z327" s="21" t="str">
        <f>IF(OR(V327="提取中",V327="文库构建中",V327="文库质检中",V327="pooling排机中",V327="上机测序中"),SUMPRODUCT((($V$2:V327="提取中")+($V$2:V327="文库构建中")+($V$2:V327="文库质检中")+($V$2:V327="pooling排机中")+($V$2:V327="上机测序中"))*1),"")</f>
        <v/>
      </c>
      <c r="AA327" s="21" t="str">
        <f>IF(V327="测序完成",COUNTIF($V$2:V327,"测序完成"),"")</f>
        <v/>
      </c>
      <c r="AB327" s="21" t="str">
        <f>E327&amp;COUNTIFS($E$2:E327,E327)</f>
        <v>0</v>
      </c>
      <c r="AC327" s="21" t="str">
        <f t="shared" si="5"/>
        <v/>
      </c>
    </row>
    <row r="328" spans="24:29">
      <c r="X328" s="21" t="str">
        <f>IF(K328="紧急",COUNTIF($K$2:K328,"紧急"),"")</f>
        <v/>
      </c>
      <c r="Y328" s="21" t="str">
        <f>IF(V328="未提取",COUNTIF($V$2:V328,"未提取"),"")</f>
        <v/>
      </c>
      <c r="Z328" s="21" t="str">
        <f>IF(OR(V328="提取中",V328="文库构建中",V328="文库质检中",V328="pooling排机中",V328="上机测序中"),SUMPRODUCT((($V$2:V328="提取中")+($V$2:V328="文库构建中")+($V$2:V328="文库质检中")+($V$2:V328="pooling排机中")+($V$2:V328="上机测序中"))*1),"")</f>
        <v/>
      </c>
      <c r="AA328" s="21" t="str">
        <f>IF(V328="测序完成",COUNTIF($V$2:V328,"测序完成"),"")</f>
        <v/>
      </c>
      <c r="AB328" s="21" t="str">
        <f>E328&amp;COUNTIFS($E$2:E328,E328)</f>
        <v>0</v>
      </c>
      <c r="AC328" s="21" t="str">
        <f t="shared" si="5"/>
        <v/>
      </c>
    </row>
    <row r="329" spans="24:29">
      <c r="X329" s="21" t="str">
        <f>IF(K329="紧急",COUNTIF($K$2:K329,"紧急"),"")</f>
        <v/>
      </c>
      <c r="Y329" s="21" t="str">
        <f>IF(V329="未提取",COUNTIF($V$2:V329,"未提取"),"")</f>
        <v/>
      </c>
      <c r="Z329" s="21" t="str">
        <f>IF(OR(V329="提取中",V329="文库构建中",V329="文库质检中",V329="pooling排机中",V329="上机测序中"),SUMPRODUCT((($V$2:V329="提取中")+($V$2:V329="文库构建中")+($V$2:V329="文库质检中")+($V$2:V329="pooling排机中")+($V$2:V329="上机测序中"))*1),"")</f>
        <v/>
      </c>
      <c r="AA329" s="21" t="str">
        <f>IF(V329="测序完成",COUNTIF($V$2:V329,"测序完成"),"")</f>
        <v/>
      </c>
      <c r="AB329" s="21" t="str">
        <f>E329&amp;COUNTIFS($E$2:E329,E329)</f>
        <v>0</v>
      </c>
      <c r="AC329" s="21" t="str">
        <f t="shared" si="5"/>
        <v/>
      </c>
    </row>
    <row r="330" spans="24:29">
      <c r="X330" s="21" t="str">
        <f>IF(K330="紧急",COUNTIF($K$2:K330,"紧急"),"")</f>
        <v/>
      </c>
      <c r="Y330" s="21" t="str">
        <f>IF(V330="未提取",COUNTIF($V$2:V330,"未提取"),"")</f>
        <v/>
      </c>
      <c r="Z330" s="21" t="str">
        <f>IF(OR(V330="提取中",V330="文库构建中",V330="文库质检中",V330="pooling排机中",V330="上机测序中"),SUMPRODUCT((($V$2:V330="提取中")+($V$2:V330="文库构建中")+($V$2:V330="文库质检中")+($V$2:V330="pooling排机中")+($V$2:V330="上机测序中"))*1),"")</f>
        <v/>
      </c>
      <c r="AA330" s="21" t="str">
        <f>IF(V330="测序完成",COUNTIF($V$2:V330,"测序完成"),"")</f>
        <v/>
      </c>
      <c r="AB330" s="21" t="str">
        <f>E330&amp;COUNTIFS($E$2:E330,E330)</f>
        <v>0</v>
      </c>
      <c r="AC330" s="21" t="str">
        <f t="shared" si="5"/>
        <v/>
      </c>
    </row>
    <row r="331" spans="24:29">
      <c r="X331" s="21" t="str">
        <f>IF(K331="紧急",COUNTIF($K$2:K331,"紧急"),"")</f>
        <v/>
      </c>
      <c r="Y331" s="21" t="str">
        <f>IF(V331="未提取",COUNTIF($V$2:V331,"未提取"),"")</f>
        <v/>
      </c>
      <c r="Z331" s="21" t="str">
        <f>IF(OR(V331="提取中",V331="文库构建中",V331="文库质检中",V331="pooling排机中",V331="上机测序中"),SUMPRODUCT((($V$2:V331="提取中")+($V$2:V331="文库构建中")+($V$2:V331="文库质检中")+($V$2:V331="pooling排机中")+($V$2:V331="上机测序中"))*1),"")</f>
        <v/>
      </c>
      <c r="AA331" s="21" t="str">
        <f>IF(V331="测序完成",COUNTIF($V$2:V331,"测序完成"),"")</f>
        <v/>
      </c>
      <c r="AB331" s="21" t="str">
        <f>E331&amp;COUNTIFS($E$2:E331,E331)</f>
        <v>0</v>
      </c>
      <c r="AC331" s="21" t="str">
        <f t="shared" si="5"/>
        <v/>
      </c>
    </row>
    <row r="332" spans="24:29">
      <c r="X332" s="21" t="str">
        <f>IF(K332="紧急",COUNTIF($K$2:K332,"紧急"),"")</f>
        <v/>
      </c>
      <c r="Y332" s="21" t="str">
        <f>IF(V332="未提取",COUNTIF($V$2:V332,"未提取"),"")</f>
        <v/>
      </c>
      <c r="Z332" s="21" t="str">
        <f>IF(OR(V332="提取中",V332="文库构建中",V332="文库质检中",V332="pooling排机中",V332="上机测序中"),SUMPRODUCT((($V$2:V332="提取中")+($V$2:V332="文库构建中")+($V$2:V332="文库质检中")+($V$2:V332="pooling排机中")+($V$2:V332="上机测序中"))*1),"")</f>
        <v/>
      </c>
      <c r="AA332" s="21" t="str">
        <f>IF(V332="测序完成",COUNTIF($V$2:V332,"测序完成"),"")</f>
        <v/>
      </c>
      <c r="AB332" s="21" t="str">
        <f>E332&amp;COUNTIFS($E$2:E332,E332)</f>
        <v>0</v>
      </c>
      <c r="AC332" s="21" t="str">
        <f t="shared" si="5"/>
        <v/>
      </c>
    </row>
    <row r="333" spans="24:29">
      <c r="X333" s="21" t="str">
        <f>IF(K333="紧急",COUNTIF($K$2:K333,"紧急"),"")</f>
        <v/>
      </c>
      <c r="Y333" s="21" t="str">
        <f>IF(V333="未提取",COUNTIF($V$2:V333,"未提取"),"")</f>
        <v/>
      </c>
      <c r="Z333" s="21" t="str">
        <f>IF(OR(V333="提取中",V333="文库构建中",V333="文库质检中",V333="pooling排机中",V333="上机测序中"),SUMPRODUCT((($V$2:V333="提取中")+($V$2:V333="文库构建中")+($V$2:V333="文库质检中")+($V$2:V333="pooling排机中")+($V$2:V333="上机测序中"))*1),"")</f>
        <v/>
      </c>
      <c r="AA333" s="21" t="str">
        <f>IF(V333="测序完成",COUNTIF($V$2:V333,"测序完成"),"")</f>
        <v/>
      </c>
      <c r="AB333" s="21" t="str">
        <f>E333&amp;COUNTIFS($E$2:E333,E333)</f>
        <v>0</v>
      </c>
      <c r="AC333" s="21" t="str">
        <f t="shared" si="5"/>
        <v/>
      </c>
    </row>
    <row r="334" spans="24:29">
      <c r="X334" s="21" t="str">
        <f>IF(K334="紧急",COUNTIF($K$2:K334,"紧急"),"")</f>
        <v/>
      </c>
      <c r="Y334" s="21" t="str">
        <f>IF(V334="未提取",COUNTIF($V$2:V334,"未提取"),"")</f>
        <v/>
      </c>
      <c r="Z334" s="21" t="str">
        <f>IF(OR(V334="提取中",V334="文库构建中",V334="文库质检中",V334="pooling排机中",V334="上机测序中"),SUMPRODUCT((($V$2:V334="提取中")+($V$2:V334="文库构建中")+($V$2:V334="文库质检中")+($V$2:V334="pooling排机中")+($V$2:V334="上机测序中"))*1),"")</f>
        <v/>
      </c>
      <c r="AA334" s="21" t="str">
        <f>IF(V334="测序完成",COUNTIF($V$2:V334,"测序完成"),"")</f>
        <v/>
      </c>
      <c r="AB334" s="21" t="str">
        <f>E334&amp;COUNTIFS($E$2:E334,E334)</f>
        <v>0</v>
      </c>
      <c r="AC334" s="21" t="str">
        <f t="shared" si="5"/>
        <v/>
      </c>
    </row>
    <row r="335" spans="24:29">
      <c r="X335" s="21" t="str">
        <f>IF(K335="紧急",COUNTIF($K$2:K335,"紧急"),"")</f>
        <v/>
      </c>
      <c r="Y335" s="21" t="str">
        <f>IF(V335="未提取",COUNTIF($V$2:V335,"未提取"),"")</f>
        <v/>
      </c>
      <c r="Z335" s="21" t="str">
        <f>IF(OR(V335="提取中",V335="文库构建中",V335="文库质检中",V335="pooling排机中",V335="上机测序中"),SUMPRODUCT((($V$2:V335="提取中")+($V$2:V335="文库构建中")+($V$2:V335="文库质检中")+($V$2:V335="pooling排机中")+($V$2:V335="上机测序中"))*1),"")</f>
        <v/>
      </c>
      <c r="AA335" s="21" t="str">
        <f>IF(V335="测序完成",COUNTIF($V$2:V335,"测序完成"),"")</f>
        <v/>
      </c>
      <c r="AB335" s="21" t="str">
        <f>E335&amp;COUNTIFS($E$2:E335,E335)</f>
        <v>0</v>
      </c>
      <c r="AC335" s="21" t="str">
        <f t="shared" si="5"/>
        <v/>
      </c>
    </row>
    <row r="336" spans="24:29">
      <c r="X336" s="21" t="str">
        <f>IF(K336="紧急",COUNTIF($K$2:K336,"紧急"),"")</f>
        <v/>
      </c>
      <c r="Y336" s="21" t="str">
        <f>IF(V336="未提取",COUNTIF($V$2:V336,"未提取"),"")</f>
        <v/>
      </c>
      <c r="Z336" s="21" t="str">
        <f>IF(OR(V336="提取中",V336="文库构建中",V336="文库质检中",V336="pooling排机中",V336="上机测序中"),SUMPRODUCT((($V$2:V336="提取中")+($V$2:V336="文库构建中")+($V$2:V336="文库质检中")+($V$2:V336="pooling排机中")+($V$2:V336="上机测序中"))*1),"")</f>
        <v/>
      </c>
      <c r="AA336" s="21" t="str">
        <f>IF(V336="测序完成",COUNTIF($V$2:V336,"测序完成"),"")</f>
        <v/>
      </c>
      <c r="AB336" s="21" t="str">
        <f>E336&amp;COUNTIFS($E$2:E336,E336)</f>
        <v>0</v>
      </c>
      <c r="AC336" s="21" t="str">
        <f t="shared" si="5"/>
        <v/>
      </c>
    </row>
    <row r="337" spans="24:29">
      <c r="X337" s="21" t="str">
        <f>IF(K337="紧急",COUNTIF($K$2:K337,"紧急"),"")</f>
        <v/>
      </c>
      <c r="Y337" s="21" t="str">
        <f>IF(V337="未提取",COUNTIF($V$2:V337,"未提取"),"")</f>
        <v/>
      </c>
      <c r="Z337" s="21" t="str">
        <f>IF(OR(V337="提取中",V337="文库构建中",V337="文库质检中",V337="pooling排机中",V337="上机测序中"),SUMPRODUCT((($V$2:V337="提取中")+($V$2:V337="文库构建中")+($V$2:V337="文库质检中")+($V$2:V337="pooling排机中")+($V$2:V337="上机测序中"))*1),"")</f>
        <v/>
      </c>
      <c r="AA337" s="21" t="str">
        <f>IF(V337="测序完成",COUNTIF($V$2:V337,"测序完成"),"")</f>
        <v/>
      </c>
      <c r="AB337" s="21" t="str">
        <f>E337&amp;COUNTIFS($E$2:E337,E337)</f>
        <v>0</v>
      </c>
      <c r="AC337" s="21" t="str">
        <f t="shared" si="5"/>
        <v/>
      </c>
    </row>
    <row r="338" spans="24:29">
      <c r="X338" s="21" t="str">
        <f>IF(K338="紧急",COUNTIF($K$2:K338,"紧急"),"")</f>
        <v/>
      </c>
      <c r="Y338" s="21" t="str">
        <f>IF(V338="未提取",COUNTIF($V$2:V338,"未提取"),"")</f>
        <v/>
      </c>
      <c r="Z338" s="21" t="str">
        <f>IF(OR(V338="提取中",V338="文库构建中",V338="文库质检中",V338="pooling排机中",V338="上机测序中"),SUMPRODUCT((($V$2:V338="提取中")+($V$2:V338="文库构建中")+($V$2:V338="文库质检中")+($V$2:V338="pooling排机中")+($V$2:V338="上机测序中"))*1),"")</f>
        <v/>
      </c>
      <c r="AA338" s="21" t="str">
        <f>IF(V338="测序完成",COUNTIF($V$2:V338,"测序完成"),"")</f>
        <v/>
      </c>
      <c r="AB338" s="21" t="str">
        <f>E338&amp;COUNTIFS($E$2:E338,E338)</f>
        <v>0</v>
      </c>
      <c r="AC338" s="21" t="str">
        <f t="shared" si="5"/>
        <v/>
      </c>
    </row>
    <row r="339" spans="24:29">
      <c r="X339" s="21" t="str">
        <f>IF(K339="紧急",COUNTIF($K$2:K339,"紧急"),"")</f>
        <v/>
      </c>
      <c r="Y339" s="21" t="str">
        <f>IF(V339="未提取",COUNTIF($V$2:V339,"未提取"),"")</f>
        <v/>
      </c>
      <c r="Z339" s="21" t="str">
        <f>IF(OR(V339="提取中",V339="文库构建中",V339="文库质检中",V339="pooling排机中",V339="上机测序中"),SUMPRODUCT((($V$2:V339="提取中")+($V$2:V339="文库构建中")+($V$2:V339="文库质检中")+($V$2:V339="pooling排机中")+($V$2:V339="上机测序中"))*1),"")</f>
        <v/>
      </c>
      <c r="AA339" s="21" t="str">
        <f>IF(V339="测序完成",COUNTIF($V$2:V339,"测序完成"),"")</f>
        <v/>
      </c>
      <c r="AB339" s="21" t="str">
        <f>E339&amp;COUNTIFS($E$2:E339,E339)</f>
        <v>0</v>
      </c>
      <c r="AC339" s="21" t="str">
        <f t="shared" si="5"/>
        <v/>
      </c>
    </row>
    <row r="340" spans="24:29">
      <c r="X340" s="21" t="str">
        <f>IF(K340="紧急",COUNTIF($K$2:K340,"紧急"),"")</f>
        <v/>
      </c>
      <c r="Y340" s="21" t="str">
        <f>IF(V340="未提取",COUNTIF($V$2:V340,"未提取"),"")</f>
        <v/>
      </c>
      <c r="Z340" s="21" t="str">
        <f>IF(OR(V340="提取中",V340="文库构建中",V340="文库质检中",V340="pooling排机中",V340="上机测序中"),SUMPRODUCT((($V$2:V340="提取中")+($V$2:V340="文库构建中")+($V$2:V340="文库质检中")+($V$2:V340="pooling排机中")+($V$2:V340="上机测序中"))*1),"")</f>
        <v/>
      </c>
      <c r="AA340" s="21" t="str">
        <f>IF(V340="测序完成",COUNTIF($V$2:V340,"测序完成"),"")</f>
        <v/>
      </c>
      <c r="AB340" s="21" t="str">
        <f>E340&amp;COUNTIFS($E$2:E340,E340)</f>
        <v>0</v>
      </c>
      <c r="AC340" s="21" t="str">
        <f t="shared" si="5"/>
        <v/>
      </c>
    </row>
    <row r="341" spans="24:29">
      <c r="X341" s="21" t="str">
        <f>IF(K341="紧急",COUNTIF($K$2:K341,"紧急"),"")</f>
        <v/>
      </c>
      <c r="Y341" s="21" t="str">
        <f>IF(V341="未提取",COUNTIF($V$2:V341,"未提取"),"")</f>
        <v/>
      </c>
      <c r="Z341" s="21" t="str">
        <f>IF(OR(V341="提取中",V341="文库构建中",V341="文库质检中",V341="pooling排机中",V341="上机测序中"),SUMPRODUCT((($V$2:V341="提取中")+($V$2:V341="文库构建中")+($V$2:V341="文库质检中")+($V$2:V341="pooling排机中")+($V$2:V341="上机测序中"))*1),"")</f>
        <v/>
      </c>
      <c r="AA341" s="21" t="str">
        <f>IF(V341="测序完成",COUNTIF($V$2:V341,"测序完成"),"")</f>
        <v/>
      </c>
      <c r="AB341" s="21" t="str">
        <f>E341&amp;COUNTIFS($E$2:E341,E341)</f>
        <v>0</v>
      </c>
      <c r="AC341" s="21" t="str">
        <f t="shared" si="5"/>
        <v/>
      </c>
    </row>
    <row r="342" spans="24:29">
      <c r="X342" s="21" t="str">
        <f>IF(K342="紧急",COUNTIF($K$2:K342,"紧急"),"")</f>
        <v/>
      </c>
      <c r="Y342" s="21" t="str">
        <f>IF(V342="未提取",COUNTIF($V$2:V342,"未提取"),"")</f>
        <v/>
      </c>
      <c r="Z342" s="21" t="str">
        <f>IF(OR(V342="提取中",V342="文库构建中",V342="文库质检中",V342="pooling排机中",V342="上机测序中"),SUMPRODUCT((($V$2:V342="提取中")+($V$2:V342="文库构建中")+($V$2:V342="文库质检中")+($V$2:V342="pooling排机中")+($V$2:V342="上机测序中"))*1),"")</f>
        <v/>
      </c>
      <c r="AA342" s="21" t="str">
        <f>IF(V342="测序完成",COUNTIF($V$2:V342,"测序完成"),"")</f>
        <v/>
      </c>
      <c r="AB342" s="21" t="str">
        <f>E342&amp;COUNTIFS($E$2:E342,E342)</f>
        <v>0</v>
      </c>
      <c r="AC342" s="21" t="str">
        <f t="shared" si="5"/>
        <v/>
      </c>
    </row>
    <row r="343" spans="24:29">
      <c r="X343" s="21" t="str">
        <f>IF(K343="紧急",COUNTIF($K$2:K343,"紧急"),"")</f>
        <v/>
      </c>
      <c r="Y343" s="21" t="str">
        <f>IF(V343="未提取",COUNTIF($V$2:V343,"未提取"),"")</f>
        <v/>
      </c>
      <c r="Z343" s="21" t="str">
        <f>IF(OR(V343="提取中",V343="文库构建中",V343="文库质检中",V343="pooling排机中",V343="上机测序中"),SUMPRODUCT((($V$2:V343="提取中")+($V$2:V343="文库构建中")+($V$2:V343="文库质检中")+($V$2:V343="pooling排机中")+($V$2:V343="上机测序中"))*1),"")</f>
        <v/>
      </c>
      <c r="AA343" s="21" t="str">
        <f>IF(V343="测序完成",COUNTIF($V$2:V343,"测序完成"),"")</f>
        <v/>
      </c>
      <c r="AB343" s="21" t="str">
        <f>E343&amp;COUNTIFS($E$2:E343,E343)</f>
        <v>0</v>
      </c>
      <c r="AC343" s="21" t="str">
        <f t="shared" si="5"/>
        <v/>
      </c>
    </row>
    <row r="344" spans="24:29">
      <c r="X344" s="21" t="str">
        <f>IF(K344="紧急",COUNTIF($K$2:K344,"紧急"),"")</f>
        <v/>
      </c>
      <c r="Y344" s="21" t="str">
        <f>IF(V344="未提取",COUNTIF($V$2:V344,"未提取"),"")</f>
        <v/>
      </c>
      <c r="Z344" s="21" t="str">
        <f>IF(OR(V344="提取中",V344="文库构建中",V344="文库质检中",V344="pooling排机中",V344="上机测序中"),SUMPRODUCT((($V$2:V344="提取中")+($V$2:V344="文库构建中")+($V$2:V344="文库质检中")+($V$2:V344="pooling排机中")+($V$2:V344="上机测序中"))*1),"")</f>
        <v/>
      </c>
      <c r="AA344" s="21" t="str">
        <f>IF(V344="测序完成",COUNTIF($V$2:V344,"测序完成"),"")</f>
        <v/>
      </c>
      <c r="AB344" s="21" t="str">
        <f>E344&amp;COUNTIFS($E$2:E344,E344)</f>
        <v>0</v>
      </c>
      <c r="AC344" s="21" t="str">
        <f t="shared" si="5"/>
        <v/>
      </c>
    </row>
    <row r="345" spans="24:29">
      <c r="X345" s="21" t="str">
        <f>IF(K345="紧急",COUNTIF($K$2:K345,"紧急"),"")</f>
        <v/>
      </c>
      <c r="Y345" s="21" t="str">
        <f>IF(V345="未提取",COUNTIF($V$2:V345,"未提取"),"")</f>
        <v/>
      </c>
      <c r="Z345" s="21" t="str">
        <f>IF(OR(V345="提取中",V345="文库构建中",V345="文库质检中",V345="pooling排机中",V345="上机测序中"),SUMPRODUCT((($V$2:V345="提取中")+($V$2:V345="文库构建中")+($V$2:V345="文库质检中")+($V$2:V345="pooling排机中")+($V$2:V345="上机测序中"))*1),"")</f>
        <v/>
      </c>
      <c r="AA345" s="21" t="str">
        <f>IF(V345="测序完成",COUNTIF($V$2:V345,"测序完成"),"")</f>
        <v/>
      </c>
      <c r="AB345" s="21" t="str">
        <f>E345&amp;COUNTIFS($E$2:E345,E345)</f>
        <v>0</v>
      </c>
      <c r="AC345" s="21" t="str">
        <f t="shared" si="5"/>
        <v/>
      </c>
    </row>
    <row r="346" spans="24:29">
      <c r="X346" s="21" t="str">
        <f>IF(K346="紧急",COUNTIF($K$2:K346,"紧急"),"")</f>
        <v/>
      </c>
      <c r="Y346" s="21" t="str">
        <f>IF(V346="未提取",COUNTIF($V$2:V346,"未提取"),"")</f>
        <v/>
      </c>
      <c r="Z346" s="21" t="str">
        <f>IF(OR(V346="提取中",V346="文库构建中",V346="文库质检中",V346="pooling排机中",V346="上机测序中"),SUMPRODUCT((($V$2:V346="提取中")+($V$2:V346="文库构建中")+($V$2:V346="文库质检中")+($V$2:V346="pooling排机中")+($V$2:V346="上机测序中"))*1),"")</f>
        <v/>
      </c>
      <c r="AA346" s="21" t="str">
        <f>IF(V346="测序完成",COUNTIF($V$2:V346,"测序完成"),"")</f>
        <v/>
      </c>
      <c r="AB346" s="21" t="str">
        <f>E346&amp;COUNTIFS($E$2:E346,E346)</f>
        <v>0</v>
      </c>
      <c r="AC346" s="21" t="str">
        <f t="shared" si="5"/>
        <v/>
      </c>
    </row>
    <row r="347" spans="24:29">
      <c r="X347" s="21" t="str">
        <f>IF(K347="紧急",COUNTIF($K$2:K347,"紧急"),"")</f>
        <v/>
      </c>
      <c r="Y347" s="21" t="str">
        <f>IF(V347="未提取",COUNTIF($V$2:V347,"未提取"),"")</f>
        <v/>
      </c>
      <c r="Z347" s="21" t="str">
        <f>IF(OR(V347="提取中",V347="文库构建中",V347="文库质检中",V347="pooling排机中",V347="上机测序中"),SUMPRODUCT((($V$2:V347="提取中")+($V$2:V347="文库构建中")+($V$2:V347="文库质检中")+($V$2:V347="pooling排机中")+($V$2:V347="上机测序中"))*1),"")</f>
        <v/>
      </c>
      <c r="AA347" s="21" t="str">
        <f>IF(V347="测序完成",COUNTIF($V$2:V347,"测序完成"),"")</f>
        <v/>
      </c>
      <c r="AB347" s="21" t="str">
        <f>E347&amp;COUNTIFS($E$2:E347,E347)</f>
        <v>0</v>
      </c>
      <c r="AC347" s="21" t="str">
        <f t="shared" si="5"/>
        <v/>
      </c>
    </row>
    <row r="348" spans="24:29">
      <c r="X348" s="21" t="str">
        <f>IF(K348="紧急",COUNTIF($K$2:K348,"紧急"),"")</f>
        <v/>
      </c>
      <c r="Y348" s="21" t="str">
        <f>IF(V348="未提取",COUNTIF($V$2:V348,"未提取"),"")</f>
        <v/>
      </c>
      <c r="Z348" s="21" t="str">
        <f>IF(OR(V348="提取中",V348="文库构建中",V348="文库质检中",V348="pooling排机中",V348="上机测序中"),SUMPRODUCT((($V$2:V348="提取中")+($V$2:V348="文库构建中")+($V$2:V348="文库质检中")+($V$2:V348="pooling排机中")+($V$2:V348="上机测序中"))*1),"")</f>
        <v/>
      </c>
      <c r="AA348" s="21" t="str">
        <f>IF(V348="测序完成",COUNTIF($V$2:V348,"测序完成"),"")</f>
        <v/>
      </c>
      <c r="AB348" s="21" t="str">
        <f>E348&amp;COUNTIFS($E$2:E348,E348)</f>
        <v>0</v>
      </c>
      <c r="AC348" s="21" t="str">
        <f t="shared" si="5"/>
        <v/>
      </c>
    </row>
    <row r="349" spans="24:29">
      <c r="X349" s="21" t="str">
        <f>IF(K349="紧急",COUNTIF($K$2:K349,"紧急"),"")</f>
        <v/>
      </c>
      <c r="Y349" s="21" t="str">
        <f>IF(V349="未提取",COUNTIF($V$2:V349,"未提取"),"")</f>
        <v/>
      </c>
      <c r="Z349" s="21" t="str">
        <f>IF(OR(V349="提取中",V349="文库构建中",V349="文库质检中",V349="pooling排机中",V349="上机测序中"),SUMPRODUCT((($V$2:V349="提取中")+($V$2:V349="文库构建中")+($V$2:V349="文库质检中")+($V$2:V349="pooling排机中")+($V$2:V349="上机测序中"))*1),"")</f>
        <v/>
      </c>
      <c r="AA349" s="21" t="str">
        <f>IF(V349="测序完成",COUNTIF($V$2:V349,"测序完成"),"")</f>
        <v/>
      </c>
      <c r="AB349" s="21" t="str">
        <f>E349&amp;COUNTIFS($E$2:E349,E349)</f>
        <v>0</v>
      </c>
      <c r="AC349" s="21" t="str">
        <f t="shared" si="5"/>
        <v/>
      </c>
    </row>
    <row r="350" spans="24:29">
      <c r="X350" s="21" t="str">
        <f>IF(K350="紧急",COUNTIF($K$2:K350,"紧急"),"")</f>
        <v/>
      </c>
      <c r="Y350" s="21" t="str">
        <f>IF(V350="未提取",COUNTIF($V$2:V350,"未提取"),"")</f>
        <v/>
      </c>
      <c r="Z350" s="21" t="str">
        <f>IF(OR(V350="提取中",V350="文库构建中",V350="文库质检中",V350="pooling排机中",V350="上机测序中"),SUMPRODUCT((($V$2:V350="提取中")+($V$2:V350="文库构建中")+($V$2:V350="文库质检中")+($V$2:V350="pooling排机中")+($V$2:V350="上机测序中"))*1),"")</f>
        <v/>
      </c>
      <c r="AA350" s="21" t="str">
        <f>IF(V350="测序完成",COUNTIF($V$2:V350,"测序完成"),"")</f>
        <v/>
      </c>
      <c r="AB350" s="21" t="str">
        <f>E350&amp;COUNTIFS($E$2:E350,E350)</f>
        <v>0</v>
      </c>
      <c r="AC350" s="21" t="str">
        <f t="shared" si="5"/>
        <v/>
      </c>
    </row>
    <row r="351" spans="24:29">
      <c r="X351" s="21" t="str">
        <f>IF(K351="紧急",COUNTIF($K$2:K351,"紧急"),"")</f>
        <v/>
      </c>
      <c r="Y351" s="21" t="str">
        <f>IF(V351="未提取",COUNTIF($V$2:V351,"未提取"),"")</f>
        <v/>
      </c>
      <c r="Z351" s="21" t="str">
        <f>IF(OR(V351="提取中",V351="文库构建中",V351="文库质检中",V351="pooling排机中",V351="上机测序中"),SUMPRODUCT((($V$2:V351="提取中")+($V$2:V351="文库构建中")+($V$2:V351="文库质检中")+($V$2:V351="pooling排机中")+($V$2:V351="上机测序中"))*1),"")</f>
        <v/>
      </c>
      <c r="AA351" s="21" t="str">
        <f>IF(V351="测序完成",COUNTIF($V$2:V351,"测序完成"),"")</f>
        <v/>
      </c>
      <c r="AB351" s="21" t="str">
        <f>E351&amp;COUNTIFS($E$2:E351,E351)</f>
        <v>0</v>
      </c>
      <c r="AC351" s="21" t="str">
        <f t="shared" si="5"/>
        <v/>
      </c>
    </row>
    <row r="352" spans="24:29">
      <c r="X352" s="21" t="str">
        <f>IF(K352="紧急",COUNTIF($K$2:K352,"紧急"),"")</f>
        <v/>
      </c>
      <c r="Y352" s="21" t="str">
        <f>IF(V352="未提取",COUNTIF($V$2:V352,"未提取"),"")</f>
        <v/>
      </c>
      <c r="Z352" s="21" t="str">
        <f>IF(OR(V352="提取中",V352="文库构建中",V352="文库质检中",V352="pooling排机中",V352="上机测序中"),SUMPRODUCT((($V$2:V352="提取中")+($V$2:V352="文库构建中")+($V$2:V352="文库质检中")+($V$2:V352="pooling排机中")+($V$2:V352="上机测序中"))*1),"")</f>
        <v/>
      </c>
      <c r="AA352" s="21" t="str">
        <f>IF(V352="测序完成",COUNTIF($V$2:V352,"测序完成"),"")</f>
        <v/>
      </c>
      <c r="AB352" s="21" t="str">
        <f>E352&amp;COUNTIFS($E$2:E352,E352)</f>
        <v>0</v>
      </c>
      <c r="AC352" s="21" t="str">
        <f t="shared" si="5"/>
        <v/>
      </c>
    </row>
    <row r="353" spans="24:29">
      <c r="X353" s="21" t="str">
        <f>IF(K353="紧急",COUNTIF($K$2:K353,"紧急"),"")</f>
        <v/>
      </c>
      <c r="Y353" s="21" t="str">
        <f>IF(V353="未提取",COUNTIF($V$2:V353,"未提取"),"")</f>
        <v/>
      </c>
      <c r="Z353" s="21" t="str">
        <f>IF(OR(V353="提取中",V353="文库构建中",V353="文库质检中",V353="pooling排机中",V353="上机测序中"),SUMPRODUCT((($V$2:V353="提取中")+($V$2:V353="文库构建中")+($V$2:V353="文库质检中")+($V$2:V353="pooling排机中")+($V$2:V353="上机测序中"))*1),"")</f>
        <v/>
      </c>
      <c r="AA353" s="21" t="str">
        <f>IF(V353="测序完成",COUNTIF($V$2:V353,"测序完成"),"")</f>
        <v/>
      </c>
      <c r="AB353" s="21" t="str">
        <f>E353&amp;COUNTIFS($E$2:E353,E353)</f>
        <v>0</v>
      </c>
      <c r="AC353" s="21" t="str">
        <f t="shared" si="5"/>
        <v/>
      </c>
    </row>
    <row r="354" spans="24:29">
      <c r="X354" s="21" t="str">
        <f>IF(K354="紧急",COUNTIF($K$2:K354,"紧急"),"")</f>
        <v/>
      </c>
      <c r="Y354" s="21" t="str">
        <f>IF(V354="未提取",COUNTIF($V$2:V354,"未提取"),"")</f>
        <v/>
      </c>
      <c r="Z354" s="21" t="str">
        <f>IF(OR(V354="提取中",V354="文库构建中",V354="文库质检中",V354="pooling排机中",V354="上机测序中"),SUMPRODUCT((($V$2:V354="提取中")+($V$2:V354="文库构建中")+($V$2:V354="文库质检中")+($V$2:V354="pooling排机中")+($V$2:V354="上机测序中"))*1),"")</f>
        <v/>
      </c>
      <c r="AA354" s="21" t="str">
        <f>IF(V354="测序完成",COUNTIF($V$2:V354,"测序完成"),"")</f>
        <v/>
      </c>
      <c r="AB354" s="21" t="str">
        <f>E354&amp;COUNTIFS($E$2:E354,E354)</f>
        <v>0</v>
      </c>
      <c r="AC354" s="21" t="str">
        <f t="shared" si="5"/>
        <v/>
      </c>
    </row>
    <row r="355" spans="24:29">
      <c r="X355" s="21" t="str">
        <f>IF(K355="紧急",COUNTIF($K$2:K355,"紧急"),"")</f>
        <v/>
      </c>
      <c r="Y355" s="21" t="str">
        <f>IF(V355="未提取",COUNTIF($V$2:V355,"未提取"),"")</f>
        <v/>
      </c>
      <c r="Z355" s="21" t="str">
        <f>IF(OR(V355="提取中",V355="文库构建中",V355="文库质检中",V355="pooling排机中",V355="上机测序中"),SUMPRODUCT((($V$2:V355="提取中")+($V$2:V355="文库构建中")+($V$2:V355="文库质检中")+($V$2:V355="pooling排机中")+($V$2:V355="上机测序中"))*1),"")</f>
        <v/>
      </c>
      <c r="AA355" s="21" t="str">
        <f>IF(V355="测序完成",COUNTIF($V$2:V355,"测序完成"),"")</f>
        <v/>
      </c>
      <c r="AB355" s="21" t="str">
        <f>E355&amp;COUNTIFS($E$2:E355,E355)</f>
        <v>0</v>
      </c>
      <c r="AC355" s="21" t="str">
        <f t="shared" si="5"/>
        <v/>
      </c>
    </row>
    <row r="356" spans="24:29">
      <c r="X356" s="21" t="str">
        <f>IF(K356="紧急",COUNTIF($K$2:K356,"紧急"),"")</f>
        <v/>
      </c>
      <c r="Y356" s="21" t="str">
        <f>IF(V356="未提取",COUNTIF($V$2:V356,"未提取"),"")</f>
        <v/>
      </c>
      <c r="Z356" s="21" t="str">
        <f>IF(OR(V356="提取中",V356="文库构建中",V356="文库质检中",V356="pooling排机中",V356="上机测序中"),SUMPRODUCT((($V$2:V356="提取中")+($V$2:V356="文库构建中")+($V$2:V356="文库质检中")+($V$2:V356="pooling排机中")+($V$2:V356="上机测序中"))*1),"")</f>
        <v/>
      </c>
      <c r="AA356" s="21" t="str">
        <f>IF(V356="测序完成",COUNTIF($V$2:V356,"测序完成"),"")</f>
        <v/>
      </c>
      <c r="AB356" s="21" t="str">
        <f>E356&amp;COUNTIFS($E$2:E356,E356)</f>
        <v>0</v>
      </c>
      <c r="AC356" s="21" t="str">
        <f t="shared" si="5"/>
        <v/>
      </c>
    </row>
    <row r="357" spans="24:29">
      <c r="X357" s="21" t="str">
        <f>IF(K357="紧急",COUNTIF($K$2:K357,"紧急"),"")</f>
        <v/>
      </c>
      <c r="Y357" s="21" t="str">
        <f>IF(V357="未提取",COUNTIF($V$2:V357,"未提取"),"")</f>
        <v/>
      </c>
      <c r="Z357" s="21" t="str">
        <f>IF(OR(V357="提取中",V357="文库构建中",V357="文库质检中",V357="pooling排机中",V357="上机测序中"),SUMPRODUCT((($V$2:V357="提取中")+($V$2:V357="文库构建中")+($V$2:V357="文库质检中")+($V$2:V357="pooling排机中")+($V$2:V357="上机测序中"))*1),"")</f>
        <v/>
      </c>
      <c r="AA357" s="21" t="str">
        <f>IF(V357="测序完成",COUNTIF($V$2:V357,"测序完成"),"")</f>
        <v/>
      </c>
      <c r="AB357" s="21" t="str">
        <f>E357&amp;COUNTIFS($E$2:E357,E357)</f>
        <v>0</v>
      </c>
      <c r="AC357" s="21" t="str">
        <f t="shared" si="5"/>
        <v/>
      </c>
    </row>
    <row r="358" spans="24:29">
      <c r="X358" s="21" t="str">
        <f>IF(K358="紧急",COUNTIF($K$2:K358,"紧急"),"")</f>
        <v/>
      </c>
      <c r="Y358" s="21" t="str">
        <f>IF(V358="未提取",COUNTIF($V$2:V358,"未提取"),"")</f>
        <v/>
      </c>
      <c r="Z358" s="21" t="str">
        <f>IF(OR(V358="提取中",V358="文库构建中",V358="文库质检中",V358="pooling排机中",V358="上机测序中"),SUMPRODUCT((($V$2:V358="提取中")+($V$2:V358="文库构建中")+($V$2:V358="文库质检中")+($V$2:V358="pooling排机中")+($V$2:V358="上机测序中"))*1),"")</f>
        <v/>
      </c>
      <c r="AA358" s="21" t="str">
        <f>IF(V358="测序完成",COUNTIF($V$2:V358,"测序完成"),"")</f>
        <v/>
      </c>
      <c r="AB358" s="21" t="str">
        <f>E358&amp;COUNTIFS($E$2:E358,E358)</f>
        <v>0</v>
      </c>
      <c r="AC358" s="21" t="str">
        <f t="shared" si="5"/>
        <v/>
      </c>
    </row>
    <row r="359" spans="24:29">
      <c r="X359" s="21" t="str">
        <f>IF(K359="紧急",COUNTIF($K$2:K359,"紧急"),"")</f>
        <v/>
      </c>
      <c r="Y359" s="21" t="str">
        <f>IF(V359="未提取",COUNTIF($V$2:V359,"未提取"),"")</f>
        <v/>
      </c>
      <c r="Z359" s="21" t="str">
        <f>IF(OR(V359="提取中",V359="文库构建中",V359="文库质检中",V359="pooling排机中",V359="上机测序中"),SUMPRODUCT((($V$2:V359="提取中")+($V$2:V359="文库构建中")+($V$2:V359="文库质检中")+($V$2:V359="pooling排机中")+($V$2:V359="上机测序中"))*1),"")</f>
        <v/>
      </c>
      <c r="AA359" s="21" t="str">
        <f>IF(V359="测序完成",COUNTIF($V$2:V359,"测序完成"),"")</f>
        <v/>
      </c>
      <c r="AB359" s="21" t="str">
        <f>E359&amp;COUNTIFS($E$2:E359,E359)</f>
        <v>0</v>
      </c>
      <c r="AC359" s="21" t="str">
        <f t="shared" si="5"/>
        <v/>
      </c>
    </row>
    <row r="360" spans="24:29">
      <c r="X360" s="21" t="str">
        <f>IF(K360="紧急",COUNTIF($K$2:K360,"紧急"),"")</f>
        <v/>
      </c>
      <c r="Y360" s="21" t="str">
        <f>IF(V360="未提取",COUNTIF($V$2:V360,"未提取"),"")</f>
        <v/>
      </c>
      <c r="Z360" s="21" t="str">
        <f>IF(OR(V360="提取中",V360="文库构建中",V360="文库质检中",V360="pooling排机中",V360="上机测序中"),SUMPRODUCT((($V$2:V360="提取中")+($V$2:V360="文库构建中")+($V$2:V360="文库质检中")+($V$2:V360="pooling排机中")+($V$2:V360="上机测序中"))*1),"")</f>
        <v/>
      </c>
      <c r="AA360" s="21" t="str">
        <f>IF(V360="测序完成",COUNTIF($V$2:V360,"测序完成"),"")</f>
        <v/>
      </c>
      <c r="AB360" s="21" t="str">
        <f>E360&amp;COUNTIFS($E$2:E360,E360)</f>
        <v>0</v>
      </c>
      <c r="AC360" s="21" t="str">
        <f t="shared" si="5"/>
        <v/>
      </c>
    </row>
    <row r="361" spans="24:29">
      <c r="X361" s="21" t="str">
        <f>IF(K361="紧急",COUNTIF($K$2:K361,"紧急"),"")</f>
        <v/>
      </c>
      <c r="Y361" s="21" t="str">
        <f>IF(V361="未提取",COUNTIF($V$2:V361,"未提取"),"")</f>
        <v/>
      </c>
      <c r="Z361" s="21" t="str">
        <f>IF(OR(V361="提取中",V361="文库构建中",V361="文库质检中",V361="pooling排机中",V361="上机测序中"),SUMPRODUCT((($V$2:V361="提取中")+($V$2:V361="文库构建中")+($V$2:V361="文库质检中")+($V$2:V361="pooling排机中")+($V$2:V361="上机测序中"))*1),"")</f>
        <v/>
      </c>
      <c r="AA361" s="21" t="str">
        <f>IF(V361="测序完成",COUNTIF($V$2:V361,"测序完成"),"")</f>
        <v/>
      </c>
      <c r="AB361" s="21" t="str">
        <f>E361&amp;COUNTIFS($E$2:E361,E361)</f>
        <v>0</v>
      </c>
      <c r="AC361" s="21" t="str">
        <f t="shared" si="5"/>
        <v/>
      </c>
    </row>
    <row r="362" spans="24:29">
      <c r="X362" s="21" t="str">
        <f>IF(K362="紧急",COUNTIF($K$2:K362,"紧急"),"")</f>
        <v/>
      </c>
      <c r="Y362" s="21" t="str">
        <f>IF(V362="未提取",COUNTIF($V$2:V362,"未提取"),"")</f>
        <v/>
      </c>
      <c r="Z362" s="21" t="str">
        <f>IF(OR(V362="提取中",V362="文库构建中",V362="文库质检中",V362="pooling排机中",V362="上机测序中"),SUMPRODUCT((($V$2:V362="提取中")+($V$2:V362="文库构建中")+($V$2:V362="文库质检中")+($V$2:V362="pooling排机中")+($V$2:V362="上机测序中"))*1),"")</f>
        <v/>
      </c>
      <c r="AA362" s="21" t="str">
        <f>IF(V362="测序完成",COUNTIF($V$2:V362,"测序完成"),"")</f>
        <v/>
      </c>
      <c r="AB362" s="21" t="str">
        <f>E362&amp;COUNTIFS($E$2:E362,E362)</f>
        <v>0</v>
      </c>
      <c r="AC362" s="21" t="str">
        <f t="shared" si="5"/>
        <v/>
      </c>
    </row>
    <row r="363" spans="24:29">
      <c r="X363" s="21" t="str">
        <f>IF(K363="紧急",COUNTIF($K$2:K363,"紧急"),"")</f>
        <v/>
      </c>
      <c r="Y363" s="21" t="str">
        <f>IF(V363="未提取",COUNTIF($V$2:V363,"未提取"),"")</f>
        <v/>
      </c>
      <c r="Z363" s="21" t="str">
        <f>IF(OR(V363="提取中",V363="文库构建中",V363="文库质检中",V363="pooling排机中",V363="上机测序中"),SUMPRODUCT((($V$2:V363="提取中")+($V$2:V363="文库构建中")+($V$2:V363="文库质检中")+($V$2:V363="pooling排机中")+($V$2:V363="上机测序中"))*1),"")</f>
        <v/>
      </c>
      <c r="AA363" s="21" t="str">
        <f>IF(V363="测序完成",COUNTIF($V$2:V363,"测序完成"),"")</f>
        <v/>
      </c>
      <c r="AB363" s="21" t="str">
        <f>E363&amp;COUNTIFS($E$2:E363,E363)</f>
        <v>0</v>
      </c>
      <c r="AC363" s="21" t="str">
        <f t="shared" si="5"/>
        <v/>
      </c>
    </row>
    <row r="364" spans="24:29">
      <c r="X364" s="21" t="str">
        <f>IF(K364="紧急",COUNTIF($K$2:K364,"紧急"),"")</f>
        <v/>
      </c>
      <c r="Y364" s="21" t="str">
        <f>IF(V364="未提取",COUNTIF($V$2:V364,"未提取"),"")</f>
        <v/>
      </c>
      <c r="Z364" s="21" t="str">
        <f>IF(OR(V364="提取中",V364="文库构建中",V364="文库质检中",V364="pooling排机中",V364="上机测序中"),SUMPRODUCT((($V$2:V364="提取中")+($V$2:V364="文库构建中")+($V$2:V364="文库质检中")+($V$2:V364="pooling排机中")+($V$2:V364="上机测序中"))*1),"")</f>
        <v/>
      </c>
      <c r="AA364" s="21" t="str">
        <f>IF(V364="测序完成",COUNTIF($V$2:V364,"测序完成"),"")</f>
        <v/>
      </c>
      <c r="AB364" s="21" t="str">
        <f>E364&amp;COUNTIFS($E$2:E364,E364)</f>
        <v>0</v>
      </c>
      <c r="AC364" s="21" t="str">
        <f t="shared" si="5"/>
        <v/>
      </c>
    </row>
    <row r="365" spans="24:29">
      <c r="X365" s="21" t="str">
        <f>IF(K365="紧急",COUNTIF($K$2:K365,"紧急"),"")</f>
        <v/>
      </c>
      <c r="Y365" s="21" t="str">
        <f>IF(V365="未提取",COUNTIF($V$2:V365,"未提取"),"")</f>
        <v/>
      </c>
      <c r="Z365" s="21" t="str">
        <f>IF(OR(V365="提取中",V365="文库构建中",V365="文库质检中",V365="pooling排机中",V365="上机测序中"),SUMPRODUCT((($V$2:V365="提取中")+($V$2:V365="文库构建中")+($V$2:V365="文库质检中")+($V$2:V365="pooling排机中")+($V$2:V365="上机测序中"))*1),"")</f>
        <v/>
      </c>
      <c r="AA365" s="21" t="str">
        <f>IF(V365="测序完成",COUNTIF($V$2:V365,"测序完成"),"")</f>
        <v/>
      </c>
      <c r="AB365" s="21" t="str">
        <f>E365&amp;COUNTIFS($E$2:E365,E365)</f>
        <v>0</v>
      </c>
      <c r="AC365" s="21" t="str">
        <f t="shared" si="5"/>
        <v/>
      </c>
    </row>
    <row r="366" spans="24:29">
      <c r="X366" s="21" t="str">
        <f>IF(K366="紧急",COUNTIF($K$2:K366,"紧急"),"")</f>
        <v/>
      </c>
      <c r="Y366" s="21" t="str">
        <f>IF(V366="未提取",COUNTIF($V$2:V366,"未提取"),"")</f>
        <v/>
      </c>
      <c r="Z366" s="21" t="str">
        <f>IF(OR(V366="提取中",V366="文库构建中",V366="文库质检中",V366="pooling排机中",V366="上机测序中"),SUMPRODUCT((($V$2:V366="提取中")+($V$2:V366="文库构建中")+($V$2:V366="文库质检中")+($V$2:V366="pooling排机中")+($V$2:V366="上机测序中"))*1),"")</f>
        <v/>
      </c>
      <c r="AA366" s="21" t="str">
        <f>IF(V366="测序完成",COUNTIF($V$2:V366,"测序完成"),"")</f>
        <v/>
      </c>
      <c r="AB366" s="21" t="str">
        <f>E366&amp;COUNTIFS($E$2:E366,E366)</f>
        <v>0</v>
      </c>
      <c r="AC366" s="21" t="str">
        <f t="shared" si="5"/>
        <v/>
      </c>
    </row>
    <row r="367" spans="24:29">
      <c r="X367" s="21" t="str">
        <f>IF(K367="紧急",COUNTIF($K$2:K367,"紧急"),"")</f>
        <v/>
      </c>
      <c r="Y367" s="21" t="str">
        <f>IF(V367="未提取",COUNTIF($V$2:V367,"未提取"),"")</f>
        <v/>
      </c>
      <c r="Z367" s="21" t="str">
        <f>IF(OR(V367="提取中",V367="文库构建中",V367="文库质检中",V367="pooling排机中",V367="上机测序中"),SUMPRODUCT((($V$2:V367="提取中")+($V$2:V367="文库构建中")+($V$2:V367="文库质检中")+($V$2:V367="pooling排机中")+($V$2:V367="上机测序中"))*1),"")</f>
        <v/>
      </c>
      <c r="AA367" s="21" t="str">
        <f>IF(V367="测序完成",COUNTIF($V$2:V367,"测序完成"),"")</f>
        <v/>
      </c>
      <c r="AB367" s="21" t="str">
        <f>E367&amp;COUNTIFS($E$2:E367,E367)</f>
        <v>0</v>
      </c>
      <c r="AC367" s="21" t="str">
        <f t="shared" si="5"/>
        <v/>
      </c>
    </row>
    <row r="368" spans="24:29">
      <c r="X368" s="21" t="str">
        <f>IF(K368="紧急",COUNTIF($K$2:K368,"紧急"),"")</f>
        <v/>
      </c>
      <c r="Y368" s="21" t="str">
        <f>IF(V368="未提取",COUNTIF($V$2:V368,"未提取"),"")</f>
        <v/>
      </c>
      <c r="Z368" s="21" t="str">
        <f>IF(OR(V368="提取中",V368="文库构建中",V368="文库质检中",V368="pooling排机中",V368="上机测序中"),SUMPRODUCT((($V$2:V368="提取中")+($V$2:V368="文库构建中")+($V$2:V368="文库质检中")+($V$2:V368="pooling排机中")+($V$2:V368="上机测序中"))*1),"")</f>
        <v/>
      </c>
      <c r="AA368" s="21" t="str">
        <f>IF(V368="测序完成",COUNTIF($V$2:V368,"测序完成"),"")</f>
        <v/>
      </c>
      <c r="AB368" s="21" t="str">
        <f>E368&amp;COUNTIFS($E$2:E368,E368)</f>
        <v>0</v>
      </c>
      <c r="AC368" s="21" t="str">
        <f t="shared" si="5"/>
        <v/>
      </c>
    </row>
    <row r="369" spans="24:29">
      <c r="X369" s="21" t="str">
        <f>IF(K369="紧急",COUNTIF($K$2:K369,"紧急"),"")</f>
        <v/>
      </c>
      <c r="Y369" s="21" t="str">
        <f>IF(V369="未提取",COUNTIF($V$2:V369,"未提取"),"")</f>
        <v/>
      </c>
      <c r="Z369" s="21" t="str">
        <f>IF(OR(V369="提取中",V369="文库构建中",V369="文库质检中",V369="pooling排机中",V369="上机测序中"),SUMPRODUCT((($V$2:V369="提取中")+($V$2:V369="文库构建中")+($V$2:V369="文库质检中")+($V$2:V369="pooling排机中")+($V$2:V369="上机测序中"))*1),"")</f>
        <v/>
      </c>
      <c r="AA369" s="21" t="str">
        <f>IF(V369="测序完成",COUNTIF($V$2:V369,"测序完成"),"")</f>
        <v/>
      </c>
      <c r="AB369" s="21" t="str">
        <f>E369&amp;COUNTIFS($E$2:E369,E369)</f>
        <v>0</v>
      </c>
      <c r="AC369" s="21" t="str">
        <f t="shared" si="5"/>
        <v/>
      </c>
    </row>
    <row r="370" spans="24:29">
      <c r="X370" s="21" t="str">
        <f>IF(K370="紧急",COUNTIF($K$2:K370,"紧急"),"")</f>
        <v/>
      </c>
      <c r="Y370" s="21" t="str">
        <f>IF(V370="未提取",COUNTIF($V$2:V370,"未提取"),"")</f>
        <v/>
      </c>
      <c r="Z370" s="21" t="str">
        <f>IF(OR(V370="提取中",V370="文库构建中",V370="文库质检中",V370="pooling排机中",V370="上机测序中"),SUMPRODUCT((($V$2:V370="提取中")+($V$2:V370="文库构建中")+($V$2:V370="文库质检中")+($V$2:V370="pooling排机中")+($V$2:V370="上机测序中"))*1),"")</f>
        <v/>
      </c>
      <c r="AA370" s="21" t="str">
        <f>IF(V370="测序完成",COUNTIF($V$2:V370,"测序完成"),"")</f>
        <v/>
      </c>
      <c r="AB370" s="21" t="str">
        <f>E370&amp;COUNTIFS($E$2:E370,E370)</f>
        <v>0</v>
      </c>
      <c r="AC370" s="21" t="str">
        <f t="shared" si="5"/>
        <v/>
      </c>
    </row>
    <row r="371" spans="24:29">
      <c r="X371" s="21" t="str">
        <f>IF(K371="紧急",COUNTIF($K$2:K371,"紧急"),"")</f>
        <v/>
      </c>
      <c r="Y371" s="21" t="str">
        <f>IF(V371="未提取",COUNTIF($V$2:V371,"未提取"),"")</f>
        <v/>
      </c>
      <c r="Z371" s="21" t="str">
        <f>IF(OR(V371="提取中",V371="文库构建中",V371="文库质检中",V371="pooling排机中",V371="上机测序中"),SUMPRODUCT((($V$2:V371="提取中")+($V$2:V371="文库构建中")+($V$2:V371="文库质检中")+($V$2:V371="pooling排机中")+($V$2:V371="上机测序中"))*1),"")</f>
        <v/>
      </c>
      <c r="AA371" s="21" t="str">
        <f>IF(V371="测序完成",COUNTIF($V$2:V371,"测序完成"),"")</f>
        <v/>
      </c>
      <c r="AB371" s="21" t="str">
        <f>E371&amp;COUNTIFS($E$2:E371,E371)</f>
        <v>0</v>
      </c>
      <c r="AC371" s="21" t="str">
        <f t="shared" si="5"/>
        <v/>
      </c>
    </row>
    <row r="372" spans="24:29">
      <c r="X372" s="21" t="str">
        <f>IF(K372="紧急",COUNTIF($K$2:K372,"紧急"),"")</f>
        <v/>
      </c>
      <c r="Y372" s="21" t="str">
        <f>IF(V372="未提取",COUNTIF($V$2:V372,"未提取"),"")</f>
        <v/>
      </c>
      <c r="Z372" s="21" t="str">
        <f>IF(OR(V372="提取中",V372="文库构建中",V372="文库质检中",V372="pooling排机中",V372="上机测序中"),SUMPRODUCT((($V$2:V372="提取中")+($V$2:V372="文库构建中")+($V$2:V372="文库质检中")+($V$2:V372="pooling排机中")+($V$2:V372="上机测序中"))*1),"")</f>
        <v/>
      </c>
      <c r="AA372" s="21" t="str">
        <f>IF(V372="测序完成",COUNTIF($V$2:V372,"测序完成"),"")</f>
        <v/>
      </c>
      <c r="AB372" s="21" t="str">
        <f>E372&amp;COUNTIFS($E$2:E372,E372)</f>
        <v>0</v>
      </c>
      <c r="AC372" s="21" t="str">
        <f t="shared" si="5"/>
        <v/>
      </c>
    </row>
    <row r="373" spans="24:29">
      <c r="X373" s="21" t="str">
        <f>IF(K373="紧急",COUNTIF($K$2:K373,"紧急"),"")</f>
        <v/>
      </c>
      <c r="Y373" s="21" t="str">
        <f>IF(V373="未提取",COUNTIF($V$2:V373,"未提取"),"")</f>
        <v/>
      </c>
      <c r="Z373" s="21" t="str">
        <f>IF(OR(V373="提取中",V373="文库构建中",V373="文库质检中",V373="pooling排机中",V373="上机测序中"),SUMPRODUCT((($V$2:V373="提取中")+($V$2:V373="文库构建中")+($V$2:V373="文库质检中")+($V$2:V373="pooling排机中")+($V$2:V373="上机测序中"))*1),"")</f>
        <v/>
      </c>
      <c r="AA373" s="21" t="str">
        <f>IF(V373="测序完成",COUNTIF($V$2:V373,"测序完成"),"")</f>
        <v/>
      </c>
      <c r="AB373" s="21" t="str">
        <f>E373&amp;COUNTIFS($E$2:E373,E373)</f>
        <v>0</v>
      </c>
      <c r="AC373" s="21" t="str">
        <f t="shared" si="5"/>
        <v/>
      </c>
    </row>
    <row r="374" spans="24:29">
      <c r="X374" s="21" t="str">
        <f>IF(K374="紧急",COUNTIF($K$2:K374,"紧急"),"")</f>
        <v/>
      </c>
      <c r="Y374" s="21" t="str">
        <f>IF(V374="未提取",COUNTIF($V$2:V374,"未提取"),"")</f>
        <v/>
      </c>
      <c r="Z374" s="21" t="str">
        <f>IF(OR(V374="提取中",V374="文库构建中",V374="文库质检中",V374="pooling排机中",V374="上机测序中"),SUMPRODUCT((($V$2:V374="提取中")+($V$2:V374="文库构建中")+($V$2:V374="文库质检中")+($V$2:V374="pooling排机中")+($V$2:V374="上机测序中"))*1),"")</f>
        <v/>
      </c>
      <c r="AA374" s="21" t="str">
        <f>IF(V374="测序完成",COUNTIF($V$2:V374,"测序完成"),"")</f>
        <v/>
      </c>
      <c r="AB374" s="21" t="str">
        <f>E374&amp;COUNTIFS($E$2:E374,E374)</f>
        <v>0</v>
      </c>
      <c r="AC374" s="21" t="str">
        <f t="shared" si="5"/>
        <v/>
      </c>
    </row>
    <row r="375" spans="24:29">
      <c r="X375" s="21" t="str">
        <f>IF(K375="紧急",COUNTIF($K$2:K375,"紧急"),"")</f>
        <v/>
      </c>
      <c r="Y375" s="21" t="str">
        <f>IF(V375="未提取",COUNTIF($V$2:V375,"未提取"),"")</f>
        <v/>
      </c>
      <c r="Z375" s="21" t="str">
        <f>IF(OR(V375="提取中",V375="文库构建中",V375="文库质检中",V375="pooling排机中",V375="上机测序中"),SUMPRODUCT((($V$2:V375="提取中")+($V$2:V375="文库构建中")+($V$2:V375="文库质检中")+($V$2:V375="pooling排机中")+($V$2:V375="上机测序中"))*1),"")</f>
        <v/>
      </c>
      <c r="AA375" s="21" t="str">
        <f>IF(V375="测序完成",COUNTIF($V$2:V375,"测序完成"),"")</f>
        <v/>
      </c>
      <c r="AB375" s="21" t="str">
        <f>E375&amp;COUNTIFS($E$2:E375,E375)</f>
        <v>0</v>
      </c>
      <c r="AC375" s="21" t="str">
        <f t="shared" si="5"/>
        <v/>
      </c>
    </row>
    <row r="376" spans="24:29">
      <c r="X376" s="21" t="str">
        <f>IF(K376="紧急",COUNTIF($K$2:K376,"紧急"),"")</f>
        <v/>
      </c>
      <c r="Y376" s="21" t="str">
        <f>IF(V376="未提取",COUNTIF($V$2:V376,"未提取"),"")</f>
        <v/>
      </c>
      <c r="Z376" s="21" t="str">
        <f>IF(OR(V376="提取中",V376="文库构建中",V376="文库质检中",V376="pooling排机中",V376="上机测序中"),SUMPRODUCT((($V$2:V376="提取中")+($V$2:V376="文库构建中")+($V$2:V376="文库质检中")+($V$2:V376="pooling排机中")+($V$2:V376="上机测序中"))*1),"")</f>
        <v/>
      </c>
      <c r="AA376" s="21" t="str">
        <f>IF(V376="测序完成",COUNTIF($V$2:V376,"测序完成"),"")</f>
        <v/>
      </c>
      <c r="AB376" s="21" t="str">
        <f>E376&amp;COUNTIFS($E$2:E376,E376)</f>
        <v>0</v>
      </c>
      <c r="AC376" s="21" t="str">
        <f t="shared" si="5"/>
        <v/>
      </c>
    </row>
    <row r="377" spans="24:29">
      <c r="X377" s="21" t="str">
        <f>IF(K377="紧急",COUNTIF($K$2:K377,"紧急"),"")</f>
        <v/>
      </c>
      <c r="Y377" s="21" t="str">
        <f>IF(V377="未提取",COUNTIF($V$2:V377,"未提取"),"")</f>
        <v/>
      </c>
      <c r="Z377" s="21" t="str">
        <f>IF(OR(V377="提取中",V377="文库构建中",V377="文库质检中",V377="pooling排机中",V377="上机测序中"),SUMPRODUCT((($V$2:V377="提取中")+($V$2:V377="文库构建中")+($V$2:V377="文库质检中")+($V$2:V377="pooling排机中")+($V$2:V377="上机测序中"))*1),"")</f>
        <v/>
      </c>
      <c r="AA377" s="21" t="str">
        <f>IF(V377="测序完成",COUNTIF($V$2:V377,"测序完成"),"")</f>
        <v/>
      </c>
      <c r="AB377" s="21" t="str">
        <f>E377&amp;COUNTIFS($E$2:E377,E377)</f>
        <v>0</v>
      </c>
      <c r="AC377" s="21" t="str">
        <f t="shared" si="5"/>
        <v/>
      </c>
    </row>
    <row r="378" spans="24:29">
      <c r="X378" s="21" t="str">
        <f>IF(K378="紧急",COUNTIF($K$2:K378,"紧急"),"")</f>
        <v/>
      </c>
      <c r="Y378" s="21" t="str">
        <f>IF(V378="未提取",COUNTIF($V$2:V378,"未提取"),"")</f>
        <v/>
      </c>
      <c r="Z378" s="21" t="str">
        <f>IF(OR(V378="提取中",V378="文库构建中",V378="文库质检中",V378="pooling排机中",V378="上机测序中"),SUMPRODUCT((($V$2:V378="提取中")+($V$2:V378="文库构建中")+($V$2:V378="文库质检中")+($V$2:V378="pooling排机中")+($V$2:V378="上机测序中"))*1),"")</f>
        <v/>
      </c>
      <c r="AA378" s="21" t="str">
        <f>IF(V378="测序完成",COUNTIF($V$2:V378,"测序完成"),"")</f>
        <v/>
      </c>
      <c r="AB378" s="21" t="str">
        <f>E378&amp;COUNTIFS($E$2:E378,E378)</f>
        <v>0</v>
      </c>
      <c r="AC378" s="21" t="str">
        <f t="shared" si="5"/>
        <v/>
      </c>
    </row>
    <row r="379" spans="24:29">
      <c r="X379" s="21" t="str">
        <f>IF(K379="紧急",COUNTIF($K$2:K379,"紧急"),"")</f>
        <v/>
      </c>
      <c r="Y379" s="21" t="str">
        <f>IF(V379="未提取",COUNTIF($V$2:V379,"未提取"),"")</f>
        <v/>
      </c>
      <c r="Z379" s="21" t="str">
        <f>IF(OR(V379="提取中",V379="文库构建中",V379="文库质检中",V379="pooling排机中",V379="上机测序中"),SUMPRODUCT((($V$2:V379="提取中")+($V$2:V379="文库构建中")+($V$2:V379="文库质检中")+($V$2:V379="pooling排机中")+($V$2:V379="上机测序中"))*1),"")</f>
        <v/>
      </c>
      <c r="AA379" s="21" t="str">
        <f>IF(V379="测序完成",COUNTIF($V$2:V379,"测序完成"),"")</f>
        <v/>
      </c>
      <c r="AB379" s="21" t="str">
        <f>E379&amp;COUNTIFS($E$2:E379,E379)</f>
        <v>0</v>
      </c>
      <c r="AC379" s="21" t="str">
        <f t="shared" si="5"/>
        <v/>
      </c>
    </row>
    <row r="380" spans="24:29">
      <c r="X380" s="21" t="str">
        <f>IF(K380="紧急",COUNTIF($K$2:K380,"紧急"),"")</f>
        <v/>
      </c>
      <c r="Y380" s="21" t="str">
        <f>IF(V380="未提取",COUNTIF($V$2:V380,"未提取"),"")</f>
        <v/>
      </c>
      <c r="Z380" s="21" t="str">
        <f>IF(OR(V380="提取中",V380="文库构建中",V380="文库质检中",V380="pooling排机中",V380="上机测序中"),SUMPRODUCT((($V$2:V380="提取中")+($V$2:V380="文库构建中")+($V$2:V380="文库质检中")+($V$2:V380="pooling排机中")+($V$2:V380="上机测序中"))*1),"")</f>
        <v/>
      </c>
      <c r="AA380" s="21" t="str">
        <f>IF(V380="测序完成",COUNTIF($V$2:V380,"测序完成"),"")</f>
        <v/>
      </c>
      <c r="AB380" s="21" t="str">
        <f>E380&amp;COUNTIFS($E$2:E380,E380)</f>
        <v>0</v>
      </c>
      <c r="AC380" s="21" t="str">
        <f t="shared" si="5"/>
        <v/>
      </c>
    </row>
    <row r="381" spans="24:29">
      <c r="X381" s="21" t="str">
        <f>IF(K381="紧急",COUNTIF($K$2:K381,"紧急"),"")</f>
        <v/>
      </c>
      <c r="Y381" s="21" t="str">
        <f>IF(V381="未提取",COUNTIF($V$2:V381,"未提取"),"")</f>
        <v/>
      </c>
      <c r="Z381" s="21" t="str">
        <f>IF(OR(V381="提取中",V381="文库构建中",V381="文库质检中",V381="pooling排机中",V381="上机测序中"),SUMPRODUCT((($V$2:V381="提取中")+($V$2:V381="文库构建中")+($V$2:V381="文库质检中")+($V$2:V381="pooling排机中")+($V$2:V381="上机测序中"))*1),"")</f>
        <v/>
      </c>
      <c r="AA381" s="21" t="str">
        <f>IF(V381="测序完成",COUNTIF($V$2:V381,"测序完成"),"")</f>
        <v/>
      </c>
      <c r="AB381" s="21" t="str">
        <f>E381&amp;COUNTIFS($E$2:E381,E381)</f>
        <v>0</v>
      </c>
      <c r="AC381" s="21" t="str">
        <f t="shared" si="5"/>
        <v/>
      </c>
    </row>
    <row r="382" spans="24:29">
      <c r="X382" s="21" t="str">
        <f>IF(K382="紧急",COUNTIF($K$2:K382,"紧急"),"")</f>
        <v/>
      </c>
      <c r="Y382" s="21" t="str">
        <f>IF(V382="未提取",COUNTIF($V$2:V382,"未提取"),"")</f>
        <v/>
      </c>
      <c r="Z382" s="21" t="str">
        <f>IF(OR(V382="提取中",V382="文库构建中",V382="文库质检中",V382="pooling排机中",V382="上机测序中"),SUMPRODUCT((($V$2:V382="提取中")+($V$2:V382="文库构建中")+($V$2:V382="文库质检中")+($V$2:V382="pooling排机中")+($V$2:V382="上机测序中"))*1),"")</f>
        <v/>
      </c>
      <c r="AA382" s="21" t="str">
        <f>IF(V382="测序完成",COUNTIF($V$2:V382,"测序完成"),"")</f>
        <v/>
      </c>
      <c r="AB382" s="21" t="str">
        <f>E382&amp;COUNTIFS($E$2:E382,E382)</f>
        <v>0</v>
      </c>
      <c r="AC382" s="21" t="str">
        <f t="shared" si="5"/>
        <v/>
      </c>
    </row>
    <row r="383" spans="24:29">
      <c r="X383" s="21" t="str">
        <f>IF(K383="紧急",COUNTIF($K$2:K383,"紧急"),"")</f>
        <v/>
      </c>
      <c r="Y383" s="21" t="str">
        <f>IF(V383="未提取",COUNTIF($V$2:V383,"未提取"),"")</f>
        <v/>
      </c>
      <c r="Z383" s="21" t="str">
        <f>IF(OR(V383="提取中",V383="文库构建中",V383="文库质检中",V383="pooling排机中",V383="上机测序中"),SUMPRODUCT((($V$2:V383="提取中")+($V$2:V383="文库构建中")+($V$2:V383="文库质检中")+($V$2:V383="pooling排机中")+($V$2:V383="上机测序中"))*1),"")</f>
        <v/>
      </c>
      <c r="AA383" s="21" t="str">
        <f>IF(V383="测序完成",COUNTIF($V$2:V383,"测序完成"),"")</f>
        <v/>
      </c>
      <c r="AB383" s="21" t="str">
        <f>E383&amp;COUNTIFS($E$2:E383,E383)</f>
        <v>0</v>
      </c>
      <c r="AC383" s="21" t="str">
        <f t="shared" si="5"/>
        <v/>
      </c>
    </row>
    <row r="384" spans="24:29">
      <c r="X384" s="21" t="str">
        <f>IF(K384="紧急",COUNTIF($K$2:K384,"紧急"),"")</f>
        <v/>
      </c>
      <c r="Y384" s="21" t="str">
        <f>IF(V384="未提取",COUNTIF($V$2:V384,"未提取"),"")</f>
        <v/>
      </c>
      <c r="Z384" s="21" t="str">
        <f>IF(OR(V384="提取中",V384="文库构建中",V384="文库质检中",V384="pooling排机中",V384="上机测序中"),SUMPRODUCT((($V$2:V384="提取中")+($V$2:V384="文库构建中")+($V$2:V384="文库质检中")+($V$2:V384="pooling排机中")+($V$2:V384="上机测序中"))*1),"")</f>
        <v/>
      </c>
      <c r="AA384" s="21" t="str">
        <f>IF(V384="测序完成",COUNTIF($V$2:V384,"测序完成"),"")</f>
        <v/>
      </c>
      <c r="AB384" s="21" t="str">
        <f>E384&amp;COUNTIFS($E$2:E384,E384)</f>
        <v>0</v>
      </c>
      <c r="AC384" s="21" t="str">
        <f t="shared" si="5"/>
        <v/>
      </c>
    </row>
    <row r="385" spans="24:29">
      <c r="X385" s="21" t="str">
        <f>IF(K385="紧急",COUNTIF($K$2:K385,"紧急"),"")</f>
        <v/>
      </c>
      <c r="Y385" s="21" t="str">
        <f>IF(V385="未提取",COUNTIF($V$2:V385,"未提取"),"")</f>
        <v/>
      </c>
      <c r="Z385" s="21" t="str">
        <f>IF(OR(V385="提取中",V385="文库构建中",V385="文库质检中",V385="pooling排机中",V385="上机测序中"),SUMPRODUCT((($V$2:V385="提取中")+($V$2:V385="文库构建中")+($V$2:V385="文库质检中")+($V$2:V385="pooling排机中")+($V$2:V385="上机测序中"))*1),"")</f>
        <v/>
      </c>
      <c r="AA385" s="21" t="str">
        <f>IF(V385="测序完成",COUNTIF($V$2:V385,"测序完成"),"")</f>
        <v/>
      </c>
      <c r="AB385" s="21" t="str">
        <f>E385&amp;COUNTIFS($E$2:E385,E385)</f>
        <v>0</v>
      </c>
      <c r="AC385" s="21" t="str">
        <f t="shared" si="5"/>
        <v/>
      </c>
    </row>
    <row r="386" spans="24:29">
      <c r="X386" s="21" t="str">
        <f>IF(K386="紧急",COUNTIF($K$2:K386,"紧急"),"")</f>
        <v/>
      </c>
      <c r="Y386" s="21" t="str">
        <f>IF(V386="未提取",COUNTIF($V$2:V386,"未提取"),"")</f>
        <v/>
      </c>
      <c r="Z386" s="21" t="str">
        <f>IF(OR(V386="提取中",V386="文库构建中",V386="文库质检中",V386="pooling排机中",V386="上机测序中"),SUMPRODUCT((($V$2:V386="提取中")+($V$2:V386="文库构建中")+($V$2:V386="文库质检中")+($V$2:V386="pooling排机中")+($V$2:V386="上机测序中"))*1),"")</f>
        <v/>
      </c>
      <c r="AA386" s="21" t="str">
        <f>IF(V386="测序完成",COUNTIF($V$2:V386,"测序完成"),"")</f>
        <v/>
      </c>
      <c r="AB386" s="21" t="str">
        <f>E386&amp;COUNTIFS($E$2:E386,E386)</f>
        <v>0</v>
      </c>
      <c r="AC386" s="21" t="str">
        <f t="shared" ref="AC386:AC449" si="6">IF(A386&lt;&gt;"",ROW()-1,"")</f>
        <v/>
      </c>
    </row>
    <row r="387" spans="24:29">
      <c r="X387" s="21" t="str">
        <f>IF(K387="紧急",COUNTIF($K$2:K387,"紧急"),"")</f>
        <v/>
      </c>
      <c r="Y387" s="21" t="str">
        <f>IF(V387="未提取",COUNTIF($V$2:V387,"未提取"),"")</f>
        <v/>
      </c>
      <c r="Z387" s="21" t="str">
        <f>IF(OR(V387="提取中",V387="文库构建中",V387="文库质检中",V387="pooling排机中",V387="上机测序中"),SUMPRODUCT((($V$2:V387="提取中")+($V$2:V387="文库构建中")+($V$2:V387="文库质检中")+($V$2:V387="pooling排机中")+($V$2:V387="上机测序中"))*1),"")</f>
        <v/>
      </c>
      <c r="AA387" s="21" t="str">
        <f>IF(V387="测序完成",COUNTIF($V$2:V387,"测序完成"),"")</f>
        <v/>
      </c>
      <c r="AB387" s="21" t="str">
        <f>E387&amp;COUNTIFS($E$2:E387,E387)</f>
        <v>0</v>
      </c>
      <c r="AC387" s="21" t="str">
        <f t="shared" si="6"/>
        <v/>
      </c>
    </row>
    <row r="388" spans="24:29">
      <c r="X388" s="21" t="str">
        <f>IF(K388="紧急",COUNTIF($K$2:K388,"紧急"),"")</f>
        <v/>
      </c>
      <c r="Y388" s="21" t="str">
        <f>IF(V388="未提取",COUNTIF($V$2:V388,"未提取"),"")</f>
        <v/>
      </c>
      <c r="Z388" s="21" t="str">
        <f>IF(OR(V388="提取中",V388="文库构建中",V388="文库质检中",V388="pooling排机中",V388="上机测序中"),SUMPRODUCT((($V$2:V388="提取中")+($V$2:V388="文库构建中")+($V$2:V388="文库质检中")+($V$2:V388="pooling排机中")+($V$2:V388="上机测序中"))*1),"")</f>
        <v/>
      </c>
      <c r="AA388" s="21" t="str">
        <f>IF(V388="测序完成",COUNTIF($V$2:V388,"测序完成"),"")</f>
        <v/>
      </c>
      <c r="AB388" s="21" t="str">
        <f>E388&amp;COUNTIFS($E$2:E388,E388)</f>
        <v>0</v>
      </c>
      <c r="AC388" s="21" t="str">
        <f t="shared" si="6"/>
        <v/>
      </c>
    </row>
    <row r="389" spans="24:29">
      <c r="X389" s="21" t="str">
        <f>IF(K389="紧急",COUNTIF($K$2:K389,"紧急"),"")</f>
        <v/>
      </c>
      <c r="Y389" s="21" t="str">
        <f>IF(V389="未提取",COUNTIF($V$2:V389,"未提取"),"")</f>
        <v/>
      </c>
      <c r="Z389" s="21" t="str">
        <f>IF(OR(V389="提取中",V389="文库构建中",V389="文库质检中",V389="pooling排机中",V389="上机测序中"),SUMPRODUCT((($V$2:V389="提取中")+($V$2:V389="文库构建中")+($V$2:V389="文库质检中")+($V$2:V389="pooling排机中")+($V$2:V389="上机测序中"))*1),"")</f>
        <v/>
      </c>
      <c r="AA389" s="21" t="str">
        <f>IF(V389="测序完成",COUNTIF($V$2:V389,"测序完成"),"")</f>
        <v/>
      </c>
      <c r="AB389" s="21" t="str">
        <f>E389&amp;COUNTIFS($E$2:E389,E389)</f>
        <v>0</v>
      </c>
      <c r="AC389" s="21" t="str">
        <f t="shared" si="6"/>
        <v/>
      </c>
    </row>
    <row r="390" spans="24:29">
      <c r="X390" s="21" t="str">
        <f>IF(K390="紧急",COUNTIF($K$2:K390,"紧急"),"")</f>
        <v/>
      </c>
      <c r="Y390" s="21" t="str">
        <f>IF(V390="未提取",COUNTIF($V$2:V390,"未提取"),"")</f>
        <v/>
      </c>
      <c r="Z390" s="21" t="str">
        <f>IF(OR(V390="提取中",V390="文库构建中",V390="文库质检中",V390="pooling排机中",V390="上机测序中"),SUMPRODUCT((($V$2:V390="提取中")+($V$2:V390="文库构建中")+($V$2:V390="文库质检中")+($V$2:V390="pooling排机中")+($V$2:V390="上机测序中"))*1),"")</f>
        <v/>
      </c>
      <c r="AA390" s="21" t="str">
        <f>IF(V390="测序完成",COUNTIF($V$2:V390,"测序完成"),"")</f>
        <v/>
      </c>
      <c r="AB390" s="21" t="str">
        <f>E390&amp;COUNTIFS($E$2:E390,E390)</f>
        <v>0</v>
      </c>
      <c r="AC390" s="21" t="str">
        <f t="shared" si="6"/>
        <v/>
      </c>
    </row>
    <row r="391" spans="24:29">
      <c r="X391" s="21" t="str">
        <f>IF(K391="紧急",COUNTIF($K$2:K391,"紧急"),"")</f>
        <v/>
      </c>
      <c r="Y391" s="21" t="str">
        <f>IF(V391="未提取",COUNTIF($V$2:V391,"未提取"),"")</f>
        <v/>
      </c>
      <c r="Z391" s="21" t="str">
        <f>IF(OR(V391="提取中",V391="文库构建中",V391="文库质检中",V391="pooling排机中",V391="上机测序中"),SUMPRODUCT((($V$2:V391="提取中")+($V$2:V391="文库构建中")+($V$2:V391="文库质检中")+($V$2:V391="pooling排机中")+($V$2:V391="上机测序中"))*1),"")</f>
        <v/>
      </c>
      <c r="AA391" s="21" t="str">
        <f>IF(V391="测序完成",COUNTIF($V$2:V391,"测序完成"),"")</f>
        <v/>
      </c>
      <c r="AB391" s="21" t="str">
        <f>E391&amp;COUNTIFS($E$2:E391,E391)</f>
        <v>0</v>
      </c>
      <c r="AC391" s="21" t="str">
        <f t="shared" si="6"/>
        <v/>
      </c>
    </row>
    <row r="392" spans="24:29">
      <c r="X392" s="21" t="str">
        <f>IF(K392="紧急",COUNTIF($K$2:K392,"紧急"),"")</f>
        <v/>
      </c>
      <c r="Y392" s="21" t="str">
        <f>IF(V392="未提取",COUNTIF($V$2:V392,"未提取"),"")</f>
        <v/>
      </c>
      <c r="Z392" s="21" t="str">
        <f>IF(OR(V392="提取中",V392="文库构建中",V392="文库质检中",V392="pooling排机中",V392="上机测序中"),SUMPRODUCT((($V$2:V392="提取中")+($V$2:V392="文库构建中")+($V$2:V392="文库质检中")+($V$2:V392="pooling排机中")+($V$2:V392="上机测序中"))*1),"")</f>
        <v/>
      </c>
      <c r="AA392" s="21" t="str">
        <f>IF(V392="测序完成",COUNTIF($V$2:V392,"测序完成"),"")</f>
        <v/>
      </c>
      <c r="AB392" s="21" t="str">
        <f>E392&amp;COUNTIFS($E$2:E392,E392)</f>
        <v>0</v>
      </c>
      <c r="AC392" s="21" t="str">
        <f t="shared" si="6"/>
        <v/>
      </c>
    </row>
    <row r="393" spans="24:29">
      <c r="X393" s="21" t="str">
        <f>IF(K393="紧急",COUNTIF($K$2:K393,"紧急"),"")</f>
        <v/>
      </c>
      <c r="Y393" s="21" t="str">
        <f>IF(V393="未提取",COUNTIF($V$2:V393,"未提取"),"")</f>
        <v/>
      </c>
      <c r="Z393" s="21" t="str">
        <f>IF(OR(V393="提取中",V393="文库构建中",V393="文库质检中",V393="pooling排机中",V393="上机测序中"),SUMPRODUCT((($V$2:V393="提取中")+($V$2:V393="文库构建中")+($V$2:V393="文库质检中")+($V$2:V393="pooling排机中")+($V$2:V393="上机测序中"))*1),"")</f>
        <v/>
      </c>
      <c r="AA393" s="21" t="str">
        <f>IF(V393="测序完成",COUNTIF($V$2:V393,"测序完成"),"")</f>
        <v/>
      </c>
      <c r="AB393" s="21" t="str">
        <f>E393&amp;COUNTIFS($E$2:E393,E393)</f>
        <v>0</v>
      </c>
      <c r="AC393" s="21" t="str">
        <f t="shared" si="6"/>
        <v/>
      </c>
    </row>
    <row r="394" spans="24:29">
      <c r="X394" s="21" t="str">
        <f>IF(K394="紧急",COUNTIF($K$2:K394,"紧急"),"")</f>
        <v/>
      </c>
      <c r="Y394" s="21" t="str">
        <f>IF(V394="未提取",COUNTIF($V$2:V394,"未提取"),"")</f>
        <v/>
      </c>
      <c r="Z394" s="21" t="str">
        <f>IF(OR(V394="提取中",V394="文库构建中",V394="文库质检中",V394="pooling排机中",V394="上机测序中"),SUMPRODUCT((($V$2:V394="提取中")+($V$2:V394="文库构建中")+($V$2:V394="文库质检中")+($V$2:V394="pooling排机中")+($V$2:V394="上机测序中"))*1),"")</f>
        <v/>
      </c>
      <c r="AA394" s="21" t="str">
        <f>IF(V394="测序完成",COUNTIF($V$2:V394,"测序完成"),"")</f>
        <v/>
      </c>
      <c r="AB394" s="21" t="str">
        <f>E394&amp;COUNTIFS($E$2:E394,E394)</f>
        <v>0</v>
      </c>
      <c r="AC394" s="21" t="str">
        <f t="shared" si="6"/>
        <v/>
      </c>
    </row>
    <row r="395" spans="24:29">
      <c r="X395" s="21" t="str">
        <f>IF(K395="紧急",COUNTIF($K$2:K395,"紧急"),"")</f>
        <v/>
      </c>
      <c r="Y395" s="21" t="str">
        <f>IF(V395="未提取",COUNTIF($V$2:V395,"未提取"),"")</f>
        <v/>
      </c>
      <c r="Z395" s="21" t="str">
        <f>IF(OR(V395="提取中",V395="文库构建中",V395="文库质检中",V395="pooling排机中",V395="上机测序中"),SUMPRODUCT((($V$2:V395="提取中")+($V$2:V395="文库构建中")+($V$2:V395="文库质检中")+($V$2:V395="pooling排机中")+($V$2:V395="上机测序中"))*1),"")</f>
        <v/>
      </c>
      <c r="AA395" s="21" t="str">
        <f>IF(V395="测序完成",COUNTIF($V$2:V395,"测序完成"),"")</f>
        <v/>
      </c>
      <c r="AB395" s="21" t="str">
        <f>E395&amp;COUNTIFS($E$2:E395,E395)</f>
        <v>0</v>
      </c>
      <c r="AC395" s="21" t="str">
        <f t="shared" si="6"/>
        <v/>
      </c>
    </row>
    <row r="396" spans="24:29">
      <c r="X396" s="21" t="str">
        <f>IF(K396="紧急",COUNTIF($K$2:K396,"紧急"),"")</f>
        <v/>
      </c>
      <c r="Y396" s="21" t="str">
        <f>IF(V396="未提取",COUNTIF($V$2:V396,"未提取"),"")</f>
        <v/>
      </c>
      <c r="Z396" s="21" t="str">
        <f>IF(OR(V396="提取中",V396="文库构建中",V396="文库质检中",V396="pooling排机中",V396="上机测序中"),SUMPRODUCT((($V$2:V396="提取中")+($V$2:V396="文库构建中")+($V$2:V396="文库质检中")+($V$2:V396="pooling排机中")+($V$2:V396="上机测序中"))*1),"")</f>
        <v/>
      </c>
      <c r="AA396" s="21" t="str">
        <f>IF(V396="测序完成",COUNTIF($V$2:V396,"测序完成"),"")</f>
        <v/>
      </c>
      <c r="AB396" s="21" t="str">
        <f>E396&amp;COUNTIFS($E$2:E396,E396)</f>
        <v>0</v>
      </c>
      <c r="AC396" s="21" t="str">
        <f t="shared" si="6"/>
        <v/>
      </c>
    </row>
    <row r="397" spans="24:29">
      <c r="X397" s="21" t="str">
        <f>IF(K397="紧急",COUNTIF($K$2:K397,"紧急"),"")</f>
        <v/>
      </c>
      <c r="Y397" s="21" t="str">
        <f>IF(V397="未提取",COUNTIF($V$2:V397,"未提取"),"")</f>
        <v/>
      </c>
      <c r="Z397" s="21" t="str">
        <f>IF(OR(V397="提取中",V397="文库构建中",V397="文库质检中",V397="pooling排机中",V397="上机测序中"),SUMPRODUCT((($V$2:V397="提取中")+($V$2:V397="文库构建中")+($V$2:V397="文库质检中")+($V$2:V397="pooling排机中")+($V$2:V397="上机测序中"))*1),"")</f>
        <v/>
      </c>
      <c r="AA397" s="21" t="str">
        <f>IF(V397="测序完成",COUNTIF($V$2:V397,"测序完成"),"")</f>
        <v/>
      </c>
      <c r="AB397" s="21" t="str">
        <f>E397&amp;COUNTIFS($E$2:E397,E397)</f>
        <v>0</v>
      </c>
      <c r="AC397" s="21" t="str">
        <f t="shared" si="6"/>
        <v/>
      </c>
    </row>
    <row r="398" spans="24:29">
      <c r="X398" s="21" t="str">
        <f>IF(K398="紧急",COUNTIF($K$2:K398,"紧急"),"")</f>
        <v/>
      </c>
      <c r="Y398" s="21" t="str">
        <f>IF(V398="未提取",COUNTIF($V$2:V398,"未提取"),"")</f>
        <v/>
      </c>
      <c r="Z398" s="21" t="str">
        <f>IF(OR(V398="提取中",V398="文库构建中",V398="文库质检中",V398="pooling排机中",V398="上机测序中"),SUMPRODUCT((($V$2:V398="提取中")+($V$2:V398="文库构建中")+($V$2:V398="文库质检中")+($V$2:V398="pooling排机中")+($V$2:V398="上机测序中"))*1),"")</f>
        <v/>
      </c>
      <c r="AA398" s="21" t="str">
        <f>IF(V398="测序完成",COUNTIF($V$2:V398,"测序完成"),"")</f>
        <v/>
      </c>
      <c r="AB398" s="21" t="str">
        <f>E398&amp;COUNTIFS($E$2:E398,E398)</f>
        <v>0</v>
      </c>
      <c r="AC398" s="21" t="str">
        <f t="shared" si="6"/>
        <v/>
      </c>
    </row>
    <row r="399" spans="24:29">
      <c r="X399" s="21" t="str">
        <f>IF(K399="紧急",COUNTIF($K$2:K399,"紧急"),"")</f>
        <v/>
      </c>
      <c r="Y399" s="21" t="str">
        <f>IF(V399="未提取",COUNTIF($V$2:V399,"未提取"),"")</f>
        <v/>
      </c>
      <c r="Z399" s="21" t="str">
        <f>IF(OR(V399="提取中",V399="文库构建中",V399="文库质检中",V399="pooling排机中",V399="上机测序中"),SUMPRODUCT((($V$2:V399="提取中")+($V$2:V399="文库构建中")+($V$2:V399="文库质检中")+($V$2:V399="pooling排机中")+($V$2:V399="上机测序中"))*1),"")</f>
        <v/>
      </c>
      <c r="AA399" s="21" t="str">
        <f>IF(V399="测序完成",COUNTIF($V$2:V399,"测序完成"),"")</f>
        <v/>
      </c>
      <c r="AB399" s="21" t="str">
        <f>E399&amp;COUNTIFS($E$2:E399,E399)</f>
        <v>0</v>
      </c>
      <c r="AC399" s="21" t="str">
        <f t="shared" si="6"/>
        <v/>
      </c>
    </row>
    <row r="400" spans="24:29">
      <c r="X400" s="21" t="str">
        <f>IF(K400="紧急",COUNTIF($K$2:K400,"紧急"),"")</f>
        <v/>
      </c>
      <c r="Y400" s="21" t="str">
        <f>IF(V400="未提取",COUNTIF($V$2:V400,"未提取"),"")</f>
        <v/>
      </c>
      <c r="Z400" s="21" t="str">
        <f>IF(OR(V400="提取中",V400="文库构建中",V400="文库质检中",V400="pooling排机中",V400="上机测序中"),SUMPRODUCT((($V$2:V400="提取中")+($V$2:V400="文库构建中")+($V$2:V400="文库质检中")+($V$2:V400="pooling排机中")+($V$2:V400="上机测序中"))*1),"")</f>
        <v/>
      </c>
      <c r="AA400" s="21" t="str">
        <f>IF(V400="测序完成",COUNTIF($V$2:V400,"测序完成"),"")</f>
        <v/>
      </c>
      <c r="AB400" s="21" t="str">
        <f>E400&amp;COUNTIFS($E$2:E400,E400)</f>
        <v>0</v>
      </c>
      <c r="AC400" s="21" t="str">
        <f t="shared" si="6"/>
        <v/>
      </c>
    </row>
    <row r="401" spans="24:29">
      <c r="X401" s="21" t="str">
        <f>IF(K401="紧急",COUNTIF($K$2:K401,"紧急"),"")</f>
        <v/>
      </c>
      <c r="Y401" s="21" t="str">
        <f>IF(V401="未提取",COUNTIF($V$2:V401,"未提取"),"")</f>
        <v/>
      </c>
      <c r="Z401" s="21" t="str">
        <f>IF(OR(V401="提取中",V401="文库构建中",V401="文库质检中",V401="pooling排机中",V401="上机测序中"),SUMPRODUCT((($V$2:V401="提取中")+($V$2:V401="文库构建中")+($V$2:V401="文库质检中")+($V$2:V401="pooling排机中")+($V$2:V401="上机测序中"))*1),"")</f>
        <v/>
      </c>
      <c r="AA401" s="21" t="str">
        <f>IF(V401="测序完成",COUNTIF($V$2:V401,"测序完成"),"")</f>
        <v/>
      </c>
      <c r="AB401" s="21" t="str">
        <f>E401&amp;COUNTIFS($E$2:E401,E401)</f>
        <v>0</v>
      </c>
      <c r="AC401" s="21" t="str">
        <f t="shared" si="6"/>
        <v/>
      </c>
    </row>
    <row r="402" spans="24:29">
      <c r="X402" s="21" t="str">
        <f>IF(K402="紧急",COUNTIF($K$2:K402,"紧急"),"")</f>
        <v/>
      </c>
      <c r="Y402" s="21" t="str">
        <f>IF(V402="未提取",COUNTIF($V$2:V402,"未提取"),"")</f>
        <v/>
      </c>
      <c r="Z402" s="21" t="str">
        <f>IF(OR(V402="提取中",V402="文库构建中",V402="文库质检中",V402="pooling排机中",V402="上机测序中"),SUMPRODUCT((($V$2:V402="提取中")+($V$2:V402="文库构建中")+($V$2:V402="文库质检中")+($V$2:V402="pooling排机中")+($V$2:V402="上机测序中"))*1),"")</f>
        <v/>
      </c>
      <c r="AA402" s="21" t="str">
        <f>IF(V402="测序完成",COUNTIF($V$2:V402,"测序完成"),"")</f>
        <v/>
      </c>
      <c r="AB402" s="21" t="str">
        <f>E402&amp;COUNTIFS($E$2:E402,E402)</f>
        <v>0</v>
      </c>
      <c r="AC402" s="21" t="str">
        <f t="shared" si="6"/>
        <v/>
      </c>
    </row>
    <row r="403" spans="24:29">
      <c r="X403" s="21" t="str">
        <f>IF(K403="紧急",COUNTIF($K$2:K403,"紧急"),"")</f>
        <v/>
      </c>
      <c r="Y403" s="21" t="str">
        <f>IF(V403="未提取",COUNTIF($V$2:V403,"未提取"),"")</f>
        <v/>
      </c>
      <c r="Z403" s="21" t="str">
        <f>IF(OR(V403="提取中",V403="文库构建中",V403="文库质检中",V403="pooling排机中",V403="上机测序中"),SUMPRODUCT((($V$2:V403="提取中")+($V$2:V403="文库构建中")+($V$2:V403="文库质检中")+($V$2:V403="pooling排机中")+($V$2:V403="上机测序中"))*1),"")</f>
        <v/>
      </c>
      <c r="AA403" s="21" t="str">
        <f>IF(V403="测序完成",COUNTIF($V$2:V403,"测序完成"),"")</f>
        <v/>
      </c>
      <c r="AB403" s="21" t="str">
        <f>E403&amp;COUNTIFS($E$2:E403,E403)</f>
        <v>0</v>
      </c>
      <c r="AC403" s="21" t="str">
        <f t="shared" si="6"/>
        <v/>
      </c>
    </row>
    <row r="404" spans="24:29">
      <c r="X404" s="21" t="str">
        <f>IF(K404="紧急",COUNTIF($K$2:K404,"紧急"),"")</f>
        <v/>
      </c>
      <c r="Y404" s="21" t="str">
        <f>IF(V404="未提取",COUNTIF($V$2:V404,"未提取"),"")</f>
        <v/>
      </c>
      <c r="Z404" s="21" t="str">
        <f>IF(OR(V404="提取中",V404="文库构建中",V404="文库质检中",V404="pooling排机中",V404="上机测序中"),SUMPRODUCT((($V$2:V404="提取中")+($V$2:V404="文库构建中")+($V$2:V404="文库质检中")+($V$2:V404="pooling排机中")+($V$2:V404="上机测序中"))*1),"")</f>
        <v/>
      </c>
      <c r="AA404" s="21" t="str">
        <f>IF(V404="测序完成",COUNTIF($V$2:V404,"测序完成"),"")</f>
        <v/>
      </c>
      <c r="AB404" s="21" t="str">
        <f>E404&amp;COUNTIFS($E$2:E404,E404)</f>
        <v>0</v>
      </c>
      <c r="AC404" s="21" t="str">
        <f t="shared" si="6"/>
        <v/>
      </c>
    </row>
    <row r="405" spans="24:29">
      <c r="X405" s="21" t="str">
        <f>IF(K405="紧急",COUNTIF($K$2:K405,"紧急"),"")</f>
        <v/>
      </c>
      <c r="Y405" s="21" t="str">
        <f>IF(V405="未提取",COUNTIF($V$2:V405,"未提取"),"")</f>
        <v/>
      </c>
      <c r="Z405" s="21" t="str">
        <f>IF(OR(V405="提取中",V405="文库构建中",V405="文库质检中",V405="pooling排机中",V405="上机测序中"),SUMPRODUCT((($V$2:V405="提取中")+($V$2:V405="文库构建中")+($V$2:V405="文库质检中")+($V$2:V405="pooling排机中")+($V$2:V405="上机测序中"))*1),"")</f>
        <v/>
      </c>
      <c r="AA405" s="21" t="str">
        <f>IF(V405="测序完成",COUNTIF($V$2:V405,"测序完成"),"")</f>
        <v/>
      </c>
      <c r="AB405" s="21" t="str">
        <f>E405&amp;COUNTIFS($E$2:E405,E405)</f>
        <v>0</v>
      </c>
      <c r="AC405" s="21" t="str">
        <f t="shared" si="6"/>
        <v/>
      </c>
    </row>
    <row r="406" spans="24:29">
      <c r="X406" s="21" t="str">
        <f>IF(K406="紧急",COUNTIF($K$2:K406,"紧急"),"")</f>
        <v/>
      </c>
      <c r="Y406" s="21" t="str">
        <f>IF(V406="未提取",COUNTIF($V$2:V406,"未提取"),"")</f>
        <v/>
      </c>
      <c r="Z406" s="21" t="str">
        <f>IF(OR(V406="提取中",V406="文库构建中",V406="文库质检中",V406="pooling排机中",V406="上机测序中"),SUMPRODUCT((($V$2:V406="提取中")+($V$2:V406="文库构建中")+($V$2:V406="文库质检中")+($V$2:V406="pooling排机中")+($V$2:V406="上机测序中"))*1),"")</f>
        <v/>
      </c>
      <c r="AA406" s="21" t="str">
        <f>IF(V406="测序完成",COUNTIF($V$2:V406,"测序完成"),"")</f>
        <v/>
      </c>
      <c r="AB406" s="21" t="str">
        <f>E406&amp;COUNTIFS($E$2:E406,E406)</f>
        <v>0</v>
      </c>
      <c r="AC406" s="21" t="str">
        <f t="shared" si="6"/>
        <v/>
      </c>
    </row>
    <row r="407" spans="24:29">
      <c r="X407" s="21" t="str">
        <f>IF(K407="紧急",COUNTIF($K$2:K407,"紧急"),"")</f>
        <v/>
      </c>
      <c r="Y407" s="21" t="str">
        <f>IF(V407="未提取",COUNTIF($V$2:V407,"未提取"),"")</f>
        <v/>
      </c>
      <c r="Z407" s="21" t="str">
        <f>IF(OR(V407="提取中",V407="文库构建中",V407="文库质检中",V407="pooling排机中",V407="上机测序中"),SUMPRODUCT((($V$2:V407="提取中")+($V$2:V407="文库构建中")+($V$2:V407="文库质检中")+($V$2:V407="pooling排机中")+($V$2:V407="上机测序中"))*1),"")</f>
        <v/>
      </c>
      <c r="AA407" s="21" t="str">
        <f>IF(V407="测序完成",COUNTIF($V$2:V407,"测序完成"),"")</f>
        <v/>
      </c>
      <c r="AB407" s="21" t="str">
        <f>E407&amp;COUNTIFS($E$2:E407,E407)</f>
        <v>0</v>
      </c>
      <c r="AC407" s="21" t="str">
        <f t="shared" si="6"/>
        <v/>
      </c>
    </row>
    <row r="408" spans="24:29">
      <c r="X408" s="21" t="str">
        <f>IF(K408="紧急",COUNTIF($K$2:K408,"紧急"),"")</f>
        <v/>
      </c>
      <c r="Y408" s="21" t="str">
        <f>IF(V408="未提取",COUNTIF($V$2:V408,"未提取"),"")</f>
        <v/>
      </c>
      <c r="Z408" s="21" t="str">
        <f>IF(OR(V408="提取中",V408="文库构建中",V408="文库质检中",V408="pooling排机中",V408="上机测序中"),SUMPRODUCT((($V$2:V408="提取中")+($V$2:V408="文库构建中")+($V$2:V408="文库质检中")+($V$2:V408="pooling排机中")+($V$2:V408="上机测序中"))*1),"")</f>
        <v/>
      </c>
      <c r="AA408" s="21" t="str">
        <f>IF(V408="测序完成",COUNTIF($V$2:V408,"测序完成"),"")</f>
        <v/>
      </c>
      <c r="AB408" s="21" t="str">
        <f>E408&amp;COUNTIFS($E$2:E408,E408)</f>
        <v>0</v>
      </c>
      <c r="AC408" s="21" t="str">
        <f t="shared" si="6"/>
        <v/>
      </c>
    </row>
    <row r="409" spans="24:29">
      <c r="X409" s="21" t="str">
        <f>IF(K409="紧急",COUNTIF($K$2:K409,"紧急"),"")</f>
        <v/>
      </c>
      <c r="Y409" s="21" t="str">
        <f>IF(V409="未提取",COUNTIF($V$2:V409,"未提取"),"")</f>
        <v/>
      </c>
      <c r="Z409" s="21" t="str">
        <f>IF(OR(V409="提取中",V409="文库构建中",V409="文库质检中",V409="pooling排机中",V409="上机测序中"),SUMPRODUCT((($V$2:V409="提取中")+($V$2:V409="文库构建中")+($V$2:V409="文库质检中")+($V$2:V409="pooling排机中")+($V$2:V409="上机测序中"))*1),"")</f>
        <v/>
      </c>
      <c r="AA409" s="21" t="str">
        <f>IF(V409="测序完成",COUNTIF($V$2:V409,"测序完成"),"")</f>
        <v/>
      </c>
      <c r="AB409" s="21" t="str">
        <f>E409&amp;COUNTIFS($E$2:E409,E409)</f>
        <v>0</v>
      </c>
      <c r="AC409" s="21" t="str">
        <f t="shared" si="6"/>
        <v/>
      </c>
    </row>
    <row r="410" spans="24:29">
      <c r="X410" s="21" t="str">
        <f>IF(K410="紧急",COUNTIF($K$2:K410,"紧急"),"")</f>
        <v/>
      </c>
      <c r="Y410" s="21" t="str">
        <f>IF(V410="未提取",COUNTIF($V$2:V410,"未提取"),"")</f>
        <v/>
      </c>
      <c r="Z410" s="21" t="str">
        <f>IF(OR(V410="提取中",V410="文库构建中",V410="文库质检中",V410="pooling排机中",V410="上机测序中"),SUMPRODUCT((($V$2:V410="提取中")+($V$2:V410="文库构建中")+($V$2:V410="文库质检中")+($V$2:V410="pooling排机中")+($V$2:V410="上机测序中"))*1),"")</f>
        <v/>
      </c>
      <c r="AA410" s="21" t="str">
        <f>IF(V410="测序完成",COUNTIF($V$2:V410,"测序完成"),"")</f>
        <v/>
      </c>
      <c r="AB410" s="21" t="str">
        <f>E410&amp;COUNTIFS($E$2:E410,E410)</f>
        <v>0</v>
      </c>
      <c r="AC410" s="21" t="str">
        <f t="shared" si="6"/>
        <v/>
      </c>
    </row>
    <row r="411" spans="24:29">
      <c r="X411" s="21" t="str">
        <f>IF(K411="紧急",COUNTIF($K$2:K411,"紧急"),"")</f>
        <v/>
      </c>
      <c r="Y411" s="21" t="str">
        <f>IF(V411="未提取",COUNTIF($V$2:V411,"未提取"),"")</f>
        <v/>
      </c>
      <c r="Z411" s="21" t="str">
        <f>IF(OR(V411="提取中",V411="文库构建中",V411="文库质检中",V411="pooling排机中",V411="上机测序中"),SUMPRODUCT((($V$2:V411="提取中")+($V$2:V411="文库构建中")+($V$2:V411="文库质检中")+($V$2:V411="pooling排机中")+($V$2:V411="上机测序中"))*1),"")</f>
        <v/>
      </c>
      <c r="AA411" s="21" t="str">
        <f>IF(V411="测序完成",COUNTIF($V$2:V411,"测序完成"),"")</f>
        <v/>
      </c>
      <c r="AB411" s="21" t="str">
        <f>E411&amp;COUNTIFS($E$2:E411,E411)</f>
        <v>0</v>
      </c>
      <c r="AC411" s="21" t="str">
        <f t="shared" si="6"/>
        <v/>
      </c>
    </row>
    <row r="412" spans="24:29">
      <c r="X412" s="21" t="str">
        <f>IF(K412="紧急",COUNTIF($K$2:K412,"紧急"),"")</f>
        <v/>
      </c>
      <c r="Y412" s="21" t="str">
        <f>IF(V412="未提取",COUNTIF($V$2:V412,"未提取"),"")</f>
        <v/>
      </c>
      <c r="Z412" s="21" t="str">
        <f>IF(OR(V412="提取中",V412="文库构建中",V412="文库质检中",V412="pooling排机中",V412="上机测序中"),SUMPRODUCT((($V$2:V412="提取中")+($V$2:V412="文库构建中")+($V$2:V412="文库质检中")+($V$2:V412="pooling排机中")+($V$2:V412="上机测序中"))*1),"")</f>
        <v/>
      </c>
      <c r="AA412" s="21" t="str">
        <f>IF(V412="测序完成",COUNTIF($V$2:V412,"测序完成"),"")</f>
        <v/>
      </c>
      <c r="AB412" s="21" t="str">
        <f>E412&amp;COUNTIFS($E$2:E412,E412)</f>
        <v>0</v>
      </c>
      <c r="AC412" s="21" t="str">
        <f t="shared" si="6"/>
        <v/>
      </c>
    </row>
    <row r="413" spans="24:29">
      <c r="X413" s="21" t="str">
        <f>IF(K413="紧急",COUNTIF($K$2:K413,"紧急"),"")</f>
        <v/>
      </c>
      <c r="Y413" s="21" t="str">
        <f>IF(V413="未提取",COUNTIF($V$2:V413,"未提取"),"")</f>
        <v/>
      </c>
      <c r="Z413" s="21" t="str">
        <f>IF(OR(V413="提取中",V413="文库构建中",V413="文库质检中",V413="pooling排机中",V413="上机测序中"),SUMPRODUCT((($V$2:V413="提取中")+($V$2:V413="文库构建中")+($V$2:V413="文库质检中")+($V$2:V413="pooling排机中")+($V$2:V413="上机测序中"))*1),"")</f>
        <v/>
      </c>
      <c r="AA413" s="21" t="str">
        <f>IF(V413="测序完成",COUNTIF($V$2:V413,"测序完成"),"")</f>
        <v/>
      </c>
      <c r="AB413" s="21" t="str">
        <f>E413&amp;COUNTIFS($E$2:E413,E413)</f>
        <v>0</v>
      </c>
      <c r="AC413" s="21" t="str">
        <f t="shared" si="6"/>
        <v/>
      </c>
    </row>
    <row r="414" spans="24:29">
      <c r="X414" s="21" t="str">
        <f>IF(K414="紧急",COUNTIF($K$2:K414,"紧急"),"")</f>
        <v/>
      </c>
      <c r="Y414" s="21" t="str">
        <f>IF(V414="未提取",COUNTIF($V$2:V414,"未提取"),"")</f>
        <v/>
      </c>
      <c r="Z414" s="21" t="str">
        <f>IF(OR(V414="提取中",V414="文库构建中",V414="文库质检中",V414="pooling排机中",V414="上机测序中"),SUMPRODUCT((($V$2:V414="提取中")+($V$2:V414="文库构建中")+($V$2:V414="文库质检中")+($V$2:V414="pooling排机中")+($V$2:V414="上机测序中"))*1),"")</f>
        <v/>
      </c>
      <c r="AA414" s="21" t="str">
        <f>IF(V414="测序完成",COUNTIF($V$2:V414,"测序完成"),"")</f>
        <v/>
      </c>
      <c r="AB414" s="21" t="str">
        <f>E414&amp;COUNTIFS($E$2:E414,E414)</f>
        <v>0</v>
      </c>
      <c r="AC414" s="21" t="str">
        <f t="shared" si="6"/>
        <v/>
      </c>
    </row>
    <row r="415" spans="24:29">
      <c r="X415" s="21" t="str">
        <f>IF(K415="紧急",COUNTIF($K$2:K415,"紧急"),"")</f>
        <v/>
      </c>
      <c r="Y415" s="21" t="str">
        <f>IF(V415="未提取",COUNTIF($V$2:V415,"未提取"),"")</f>
        <v/>
      </c>
      <c r="Z415" s="21" t="str">
        <f>IF(OR(V415="提取中",V415="文库构建中",V415="文库质检中",V415="pooling排机中",V415="上机测序中"),SUMPRODUCT((($V$2:V415="提取中")+($V$2:V415="文库构建中")+($V$2:V415="文库质检中")+($V$2:V415="pooling排机中")+($V$2:V415="上机测序中"))*1),"")</f>
        <v/>
      </c>
      <c r="AA415" s="21" t="str">
        <f>IF(V415="测序完成",COUNTIF($V$2:V415,"测序完成"),"")</f>
        <v/>
      </c>
      <c r="AB415" s="21" t="str">
        <f>E415&amp;COUNTIFS($E$2:E415,E415)</f>
        <v>0</v>
      </c>
      <c r="AC415" s="21" t="str">
        <f t="shared" si="6"/>
        <v/>
      </c>
    </row>
    <row r="416" spans="24:29">
      <c r="X416" s="21" t="str">
        <f>IF(K416="紧急",COUNTIF($K$2:K416,"紧急"),"")</f>
        <v/>
      </c>
      <c r="Y416" s="21" t="str">
        <f>IF(V416="未提取",COUNTIF($V$2:V416,"未提取"),"")</f>
        <v/>
      </c>
      <c r="Z416" s="21" t="str">
        <f>IF(OR(V416="提取中",V416="文库构建中",V416="文库质检中",V416="pooling排机中",V416="上机测序中"),SUMPRODUCT((($V$2:V416="提取中")+($V$2:V416="文库构建中")+($V$2:V416="文库质检中")+($V$2:V416="pooling排机中")+($V$2:V416="上机测序中"))*1),"")</f>
        <v/>
      </c>
      <c r="AA416" s="21" t="str">
        <f>IF(V416="测序完成",COUNTIF($V$2:V416,"测序完成"),"")</f>
        <v/>
      </c>
      <c r="AB416" s="21" t="str">
        <f>E416&amp;COUNTIFS($E$2:E416,E416)</f>
        <v>0</v>
      </c>
      <c r="AC416" s="21" t="str">
        <f t="shared" si="6"/>
        <v/>
      </c>
    </row>
    <row r="417" spans="24:29">
      <c r="X417" s="21" t="str">
        <f>IF(K417="紧急",COUNTIF($K$2:K417,"紧急"),"")</f>
        <v/>
      </c>
      <c r="Y417" s="21" t="str">
        <f>IF(V417="未提取",COUNTIF($V$2:V417,"未提取"),"")</f>
        <v/>
      </c>
      <c r="Z417" s="21" t="str">
        <f>IF(OR(V417="提取中",V417="文库构建中",V417="文库质检中",V417="pooling排机中",V417="上机测序中"),SUMPRODUCT((($V$2:V417="提取中")+($V$2:V417="文库构建中")+($V$2:V417="文库质检中")+($V$2:V417="pooling排机中")+($V$2:V417="上机测序中"))*1),"")</f>
        <v/>
      </c>
      <c r="AA417" s="21" t="str">
        <f>IF(V417="测序完成",COUNTIF($V$2:V417,"测序完成"),"")</f>
        <v/>
      </c>
      <c r="AB417" s="21" t="str">
        <f>E417&amp;COUNTIFS($E$2:E417,E417)</f>
        <v>0</v>
      </c>
      <c r="AC417" s="21" t="str">
        <f t="shared" si="6"/>
        <v/>
      </c>
    </row>
    <row r="418" spans="24:29">
      <c r="X418" s="21" t="str">
        <f>IF(K418="紧急",COUNTIF($K$2:K418,"紧急"),"")</f>
        <v/>
      </c>
      <c r="Y418" s="21" t="str">
        <f>IF(V418="未提取",COUNTIF($V$2:V418,"未提取"),"")</f>
        <v/>
      </c>
      <c r="Z418" s="21" t="str">
        <f>IF(OR(V418="提取中",V418="文库构建中",V418="文库质检中",V418="pooling排机中",V418="上机测序中"),SUMPRODUCT((($V$2:V418="提取中")+($V$2:V418="文库构建中")+($V$2:V418="文库质检中")+($V$2:V418="pooling排机中")+($V$2:V418="上机测序中"))*1),"")</f>
        <v/>
      </c>
      <c r="AA418" s="21" t="str">
        <f>IF(V418="测序完成",COUNTIF($V$2:V418,"测序完成"),"")</f>
        <v/>
      </c>
      <c r="AB418" s="21" t="str">
        <f>E418&amp;COUNTIFS($E$2:E418,E418)</f>
        <v>0</v>
      </c>
      <c r="AC418" s="21" t="str">
        <f t="shared" si="6"/>
        <v/>
      </c>
    </row>
    <row r="419" spans="24:29">
      <c r="X419" s="21" t="str">
        <f>IF(K419="紧急",COUNTIF($K$2:K419,"紧急"),"")</f>
        <v/>
      </c>
      <c r="Y419" s="21" t="str">
        <f>IF(V419="未提取",COUNTIF($V$2:V419,"未提取"),"")</f>
        <v/>
      </c>
      <c r="Z419" s="21" t="str">
        <f>IF(OR(V419="提取中",V419="文库构建中",V419="文库质检中",V419="pooling排机中",V419="上机测序中"),SUMPRODUCT((($V$2:V419="提取中")+($V$2:V419="文库构建中")+($V$2:V419="文库质检中")+($V$2:V419="pooling排机中")+($V$2:V419="上机测序中"))*1),"")</f>
        <v/>
      </c>
      <c r="AA419" s="21" t="str">
        <f>IF(V419="测序完成",COUNTIF($V$2:V419,"测序完成"),"")</f>
        <v/>
      </c>
      <c r="AB419" s="21" t="str">
        <f>E419&amp;COUNTIFS($E$2:E419,E419)</f>
        <v>0</v>
      </c>
      <c r="AC419" s="21" t="str">
        <f t="shared" si="6"/>
        <v/>
      </c>
    </row>
    <row r="420" spans="24:29">
      <c r="X420" s="21" t="str">
        <f>IF(K420="紧急",COUNTIF($K$2:K420,"紧急"),"")</f>
        <v/>
      </c>
      <c r="Y420" s="21" t="str">
        <f>IF(V420="未提取",COUNTIF($V$2:V420,"未提取"),"")</f>
        <v/>
      </c>
      <c r="Z420" s="21" t="str">
        <f>IF(OR(V420="提取中",V420="文库构建中",V420="文库质检中",V420="pooling排机中",V420="上机测序中"),SUMPRODUCT((($V$2:V420="提取中")+($V$2:V420="文库构建中")+($V$2:V420="文库质检中")+($V$2:V420="pooling排机中")+($V$2:V420="上机测序中"))*1),"")</f>
        <v/>
      </c>
      <c r="AA420" s="21" t="str">
        <f>IF(V420="测序完成",COUNTIF($V$2:V420,"测序完成"),"")</f>
        <v/>
      </c>
      <c r="AB420" s="21" t="str">
        <f>E420&amp;COUNTIFS($E$2:E420,E420)</f>
        <v>0</v>
      </c>
      <c r="AC420" s="21" t="str">
        <f t="shared" si="6"/>
        <v/>
      </c>
    </row>
    <row r="421" spans="24:29">
      <c r="X421" s="21" t="str">
        <f>IF(K421="紧急",COUNTIF($K$2:K421,"紧急"),"")</f>
        <v/>
      </c>
      <c r="Y421" s="21" t="str">
        <f>IF(V421="未提取",COUNTIF($V$2:V421,"未提取"),"")</f>
        <v/>
      </c>
      <c r="Z421" s="21" t="str">
        <f>IF(OR(V421="提取中",V421="文库构建中",V421="文库质检中",V421="pooling排机中",V421="上机测序中"),SUMPRODUCT((($V$2:V421="提取中")+($V$2:V421="文库构建中")+($V$2:V421="文库质检中")+($V$2:V421="pooling排机中")+($V$2:V421="上机测序中"))*1),"")</f>
        <v/>
      </c>
      <c r="AA421" s="21" t="str">
        <f>IF(V421="测序完成",COUNTIF($V$2:V421,"测序完成"),"")</f>
        <v/>
      </c>
      <c r="AB421" s="21" t="str">
        <f>E421&amp;COUNTIFS($E$2:E421,E421)</f>
        <v>0</v>
      </c>
      <c r="AC421" s="21" t="str">
        <f t="shared" si="6"/>
        <v/>
      </c>
    </row>
    <row r="422" spans="24:29">
      <c r="X422" s="21" t="str">
        <f>IF(K422="紧急",COUNTIF($K$2:K422,"紧急"),"")</f>
        <v/>
      </c>
      <c r="Y422" s="21" t="str">
        <f>IF(V422="未提取",COUNTIF($V$2:V422,"未提取"),"")</f>
        <v/>
      </c>
      <c r="Z422" s="21" t="str">
        <f>IF(OR(V422="提取中",V422="文库构建中",V422="文库质检中",V422="pooling排机中",V422="上机测序中"),SUMPRODUCT((($V$2:V422="提取中")+($V$2:V422="文库构建中")+($V$2:V422="文库质检中")+($V$2:V422="pooling排机中")+($V$2:V422="上机测序中"))*1),"")</f>
        <v/>
      </c>
      <c r="AA422" s="21" t="str">
        <f>IF(V422="测序完成",COUNTIF($V$2:V422,"测序完成"),"")</f>
        <v/>
      </c>
      <c r="AB422" s="21" t="str">
        <f>E422&amp;COUNTIFS($E$2:E422,E422)</f>
        <v>0</v>
      </c>
      <c r="AC422" s="21" t="str">
        <f t="shared" si="6"/>
        <v/>
      </c>
    </row>
    <row r="423" spans="24:29">
      <c r="X423" s="21" t="str">
        <f>IF(K423="紧急",COUNTIF($K$2:K423,"紧急"),"")</f>
        <v/>
      </c>
      <c r="Y423" s="21" t="str">
        <f>IF(V423="未提取",COUNTIF($V$2:V423,"未提取"),"")</f>
        <v/>
      </c>
      <c r="Z423" s="21" t="str">
        <f>IF(OR(V423="提取中",V423="文库构建中",V423="文库质检中",V423="pooling排机中",V423="上机测序中"),SUMPRODUCT((($V$2:V423="提取中")+($V$2:V423="文库构建中")+($V$2:V423="文库质检中")+($V$2:V423="pooling排机中")+($V$2:V423="上机测序中"))*1),"")</f>
        <v/>
      </c>
      <c r="AA423" s="21" t="str">
        <f>IF(V423="测序完成",COUNTIF($V$2:V423,"测序完成"),"")</f>
        <v/>
      </c>
      <c r="AB423" s="21" t="str">
        <f>E423&amp;COUNTIFS($E$2:E423,E423)</f>
        <v>0</v>
      </c>
      <c r="AC423" s="21" t="str">
        <f t="shared" si="6"/>
        <v/>
      </c>
    </row>
    <row r="424" spans="24:29">
      <c r="X424" s="21" t="str">
        <f>IF(K424="紧急",COUNTIF($K$2:K424,"紧急"),"")</f>
        <v/>
      </c>
      <c r="Y424" s="21" t="str">
        <f>IF(V424="未提取",COUNTIF($V$2:V424,"未提取"),"")</f>
        <v/>
      </c>
      <c r="Z424" s="21" t="str">
        <f>IF(OR(V424="提取中",V424="文库构建中",V424="文库质检中",V424="pooling排机中",V424="上机测序中"),SUMPRODUCT((($V$2:V424="提取中")+($V$2:V424="文库构建中")+($V$2:V424="文库质检中")+($V$2:V424="pooling排机中")+($V$2:V424="上机测序中"))*1),"")</f>
        <v/>
      </c>
      <c r="AA424" s="21" t="str">
        <f>IF(V424="测序完成",COUNTIF($V$2:V424,"测序完成"),"")</f>
        <v/>
      </c>
      <c r="AB424" s="21" t="str">
        <f>E424&amp;COUNTIFS($E$2:E424,E424)</f>
        <v>0</v>
      </c>
      <c r="AC424" s="21" t="str">
        <f t="shared" si="6"/>
        <v/>
      </c>
    </row>
    <row r="425" spans="24:29">
      <c r="X425" s="21" t="str">
        <f>IF(K425="紧急",COUNTIF($K$2:K425,"紧急"),"")</f>
        <v/>
      </c>
      <c r="Y425" s="21" t="str">
        <f>IF(V425="未提取",COUNTIF($V$2:V425,"未提取"),"")</f>
        <v/>
      </c>
      <c r="Z425" s="21" t="str">
        <f>IF(OR(V425="提取中",V425="文库构建中",V425="文库质检中",V425="pooling排机中",V425="上机测序中"),SUMPRODUCT((($V$2:V425="提取中")+($V$2:V425="文库构建中")+($V$2:V425="文库质检中")+($V$2:V425="pooling排机中")+($V$2:V425="上机测序中"))*1),"")</f>
        <v/>
      </c>
      <c r="AA425" s="21" t="str">
        <f>IF(V425="测序完成",COUNTIF($V$2:V425,"测序完成"),"")</f>
        <v/>
      </c>
      <c r="AB425" s="21" t="str">
        <f>E425&amp;COUNTIFS($E$2:E425,E425)</f>
        <v>0</v>
      </c>
      <c r="AC425" s="21" t="str">
        <f t="shared" si="6"/>
        <v/>
      </c>
    </row>
    <row r="426" spans="24:29">
      <c r="X426" s="21" t="str">
        <f>IF(K426="紧急",COUNTIF($K$2:K426,"紧急"),"")</f>
        <v/>
      </c>
      <c r="Y426" s="21" t="str">
        <f>IF(V426="未提取",COUNTIF($V$2:V426,"未提取"),"")</f>
        <v/>
      </c>
      <c r="Z426" s="21" t="str">
        <f>IF(OR(V426="提取中",V426="文库构建中",V426="文库质检中",V426="pooling排机中",V426="上机测序中"),SUMPRODUCT((($V$2:V426="提取中")+($V$2:V426="文库构建中")+($V$2:V426="文库质检中")+($V$2:V426="pooling排机中")+($V$2:V426="上机测序中"))*1),"")</f>
        <v/>
      </c>
      <c r="AA426" s="21" t="str">
        <f>IF(V426="测序完成",COUNTIF($V$2:V426,"测序完成"),"")</f>
        <v/>
      </c>
      <c r="AB426" s="21" t="str">
        <f>E426&amp;COUNTIFS($E$2:E426,E426)</f>
        <v>0</v>
      </c>
      <c r="AC426" s="21" t="str">
        <f t="shared" si="6"/>
        <v/>
      </c>
    </row>
    <row r="427" spans="24:29">
      <c r="X427" s="21" t="str">
        <f>IF(K427="紧急",COUNTIF($K$2:K427,"紧急"),"")</f>
        <v/>
      </c>
      <c r="Y427" s="21" t="str">
        <f>IF(V427="未提取",COUNTIF($V$2:V427,"未提取"),"")</f>
        <v/>
      </c>
      <c r="Z427" s="21" t="str">
        <f>IF(OR(V427="提取中",V427="文库构建中",V427="文库质检中",V427="pooling排机中",V427="上机测序中"),SUMPRODUCT((($V$2:V427="提取中")+($V$2:V427="文库构建中")+($V$2:V427="文库质检中")+($V$2:V427="pooling排机中")+($V$2:V427="上机测序中"))*1),"")</f>
        <v/>
      </c>
      <c r="AA427" s="21" t="str">
        <f>IF(V427="测序完成",COUNTIF($V$2:V427,"测序完成"),"")</f>
        <v/>
      </c>
      <c r="AB427" s="21" t="str">
        <f>E427&amp;COUNTIFS($E$2:E427,E427)</f>
        <v>0</v>
      </c>
      <c r="AC427" s="21" t="str">
        <f t="shared" si="6"/>
        <v/>
      </c>
    </row>
    <row r="428" spans="24:29">
      <c r="X428" s="21" t="str">
        <f>IF(K428="紧急",COUNTIF($K$2:K428,"紧急"),"")</f>
        <v/>
      </c>
      <c r="Y428" s="21" t="str">
        <f>IF(V428="未提取",COUNTIF($V$2:V428,"未提取"),"")</f>
        <v/>
      </c>
      <c r="Z428" s="21" t="str">
        <f>IF(OR(V428="提取中",V428="文库构建中",V428="文库质检中",V428="pooling排机中",V428="上机测序中"),SUMPRODUCT((($V$2:V428="提取中")+($V$2:V428="文库构建中")+($V$2:V428="文库质检中")+($V$2:V428="pooling排机中")+($V$2:V428="上机测序中"))*1),"")</f>
        <v/>
      </c>
      <c r="AA428" s="21" t="str">
        <f>IF(V428="测序完成",COUNTIF($V$2:V428,"测序完成"),"")</f>
        <v/>
      </c>
      <c r="AB428" s="21" t="str">
        <f>E428&amp;COUNTIFS($E$2:E428,E428)</f>
        <v>0</v>
      </c>
      <c r="AC428" s="21" t="str">
        <f t="shared" si="6"/>
        <v/>
      </c>
    </row>
    <row r="429" spans="24:29">
      <c r="X429" s="21" t="str">
        <f>IF(K429="紧急",COUNTIF($K$2:K429,"紧急"),"")</f>
        <v/>
      </c>
      <c r="Y429" s="21" t="str">
        <f>IF(V429="未提取",COUNTIF($V$2:V429,"未提取"),"")</f>
        <v/>
      </c>
      <c r="Z429" s="21" t="str">
        <f>IF(OR(V429="提取中",V429="文库构建中",V429="文库质检中",V429="pooling排机中",V429="上机测序中"),SUMPRODUCT((($V$2:V429="提取中")+($V$2:V429="文库构建中")+($V$2:V429="文库质检中")+($V$2:V429="pooling排机中")+($V$2:V429="上机测序中"))*1),"")</f>
        <v/>
      </c>
      <c r="AA429" s="21" t="str">
        <f>IF(V429="测序完成",COUNTIF($V$2:V429,"测序完成"),"")</f>
        <v/>
      </c>
      <c r="AB429" s="21" t="str">
        <f>E429&amp;COUNTIFS($E$2:E429,E429)</f>
        <v>0</v>
      </c>
      <c r="AC429" s="21" t="str">
        <f t="shared" si="6"/>
        <v/>
      </c>
    </row>
    <row r="430" spans="24:29">
      <c r="X430" s="21" t="str">
        <f>IF(K430="紧急",COUNTIF($K$2:K430,"紧急"),"")</f>
        <v/>
      </c>
      <c r="Y430" s="21" t="str">
        <f>IF(V430="未提取",COUNTIF($V$2:V430,"未提取"),"")</f>
        <v/>
      </c>
      <c r="Z430" s="21" t="str">
        <f>IF(OR(V430="提取中",V430="文库构建中",V430="文库质检中",V430="pooling排机中",V430="上机测序中"),SUMPRODUCT((($V$2:V430="提取中")+($V$2:V430="文库构建中")+($V$2:V430="文库质检中")+($V$2:V430="pooling排机中")+($V$2:V430="上机测序中"))*1),"")</f>
        <v/>
      </c>
      <c r="AA430" s="21" t="str">
        <f>IF(V430="测序完成",COUNTIF($V$2:V430,"测序完成"),"")</f>
        <v/>
      </c>
      <c r="AB430" s="21" t="str">
        <f>E430&amp;COUNTIFS($E$2:E430,E430)</f>
        <v>0</v>
      </c>
      <c r="AC430" s="21" t="str">
        <f t="shared" si="6"/>
        <v/>
      </c>
    </row>
    <row r="431" spans="24:29">
      <c r="X431" s="21" t="str">
        <f>IF(K431="紧急",COUNTIF($K$2:K431,"紧急"),"")</f>
        <v/>
      </c>
      <c r="Y431" s="21" t="str">
        <f>IF(V431="未提取",COUNTIF($V$2:V431,"未提取"),"")</f>
        <v/>
      </c>
      <c r="Z431" s="21" t="str">
        <f>IF(OR(V431="提取中",V431="文库构建中",V431="文库质检中",V431="pooling排机中",V431="上机测序中"),SUMPRODUCT((($V$2:V431="提取中")+($V$2:V431="文库构建中")+($V$2:V431="文库质检中")+($V$2:V431="pooling排机中")+($V$2:V431="上机测序中"))*1),"")</f>
        <v/>
      </c>
      <c r="AA431" s="21" t="str">
        <f>IF(V431="测序完成",COUNTIF($V$2:V431,"测序完成"),"")</f>
        <v/>
      </c>
      <c r="AB431" s="21" t="str">
        <f>E431&amp;COUNTIFS($E$2:E431,E431)</f>
        <v>0</v>
      </c>
      <c r="AC431" s="21" t="str">
        <f t="shared" si="6"/>
        <v/>
      </c>
    </row>
    <row r="432" spans="24:29">
      <c r="X432" s="21" t="str">
        <f>IF(K432="紧急",COUNTIF($K$2:K432,"紧急"),"")</f>
        <v/>
      </c>
      <c r="Y432" s="21" t="str">
        <f>IF(V432="未提取",COUNTIF($V$2:V432,"未提取"),"")</f>
        <v/>
      </c>
      <c r="Z432" s="21" t="str">
        <f>IF(OR(V432="提取中",V432="文库构建中",V432="文库质检中",V432="pooling排机中",V432="上机测序中"),SUMPRODUCT((($V$2:V432="提取中")+($V$2:V432="文库构建中")+($V$2:V432="文库质检中")+($V$2:V432="pooling排机中")+($V$2:V432="上机测序中"))*1),"")</f>
        <v/>
      </c>
      <c r="AA432" s="21" t="str">
        <f>IF(V432="测序完成",COUNTIF($V$2:V432,"测序完成"),"")</f>
        <v/>
      </c>
      <c r="AB432" s="21" t="str">
        <f>E432&amp;COUNTIFS($E$2:E432,E432)</f>
        <v>0</v>
      </c>
      <c r="AC432" s="21" t="str">
        <f t="shared" si="6"/>
        <v/>
      </c>
    </row>
    <row r="433" spans="24:29">
      <c r="X433" s="21" t="str">
        <f>IF(K433="紧急",COUNTIF($K$2:K433,"紧急"),"")</f>
        <v/>
      </c>
      <c r="Y433" s="21" t="str">
        <f>IF(V433="未提取",COUNTIF($V$2:V433,"未提取"),"")</f>
        <v/>
      </c>
      <c r="Z433" s="21" t="str">
        <f>IF(OR(V433="提取中",V433="文库构建中",V433="文库质检中",V433="pooling排机中",V433="上机测序中"),SUMPRODUCT((($V$2:V433="提取中")+($V$2:V433="文库构建中")+($V$2:V433="文库质检中")+($V$2:V433="pooling排机中")+($V$2:V433="上机测序中"))*1),"")</f>
        <v/>
      </c>
      <c r="AA433" s="21" t="str">
        <f>IF(V433="测序完成",COUNTIF($V$2:V433,"测序完成"),"")</f>
        <v/>
      </c>
      <c r="AB433" s="21" t="str">
        <f>E433&amp;COUNTIFS($E$2:E433,E433)</f>
        <v>0</v>
      </c>
      <c r="AC433" s="21" t="str">
        <f t="shared" si="6"/>
        <v/>
      </c>
    </row>
    <row r="434" spans="24:29">
      <c r="X434" s="21" t="str">
        <f>IF(K434="紧急",COUNTIF($K$2:K434,"紧急"),"")</f>
        <v/>
      </c>
      <c r="Y434" s="21" t="str">
        <f>IF(V434="未提取",COUNTIF($V$2:V434,"未提取"),"")</f>
        <v/>
      </c>
      <c r="Z434" s="21" t="str">
        <f>IF(OR(V434="提取中",V434="文库构建中",V434="文库质检中",V434="pooling排机中",V434="上机测序中"),SUMPRODUCT((($V$2:V434="提取中")+($V$2:V434="文库构建中")+($V$2:V434="文库质检中")+($V$2:V434="pooling排机中")+($V$2:V434="上机测序中"))*1),"")</f>
        <v/>
      </c>
      <c r="AA434" s="21" t="str">
        <f>IF(V434="测序完成",COUNTIF($V$2:V434,"测序完成"),"")</f>
        <v/>
      </c>
      <c r="AB434" s="21" t="str">
        <f>E434&amp;COUNTIFS($E$2:E434,E434)</f>
        <v>0</v>
      </c>
      <c r="AC434" s="21" t="str">
        <f t="shared" si="6"/>
        <v/>
      </c>
    </row>
    <row r="435" spans="24:29">
      <c r="X435" s="21" t="str">
        <f>IF(K435="紧急",COUNTIF($K$2:K435,"紧急"),"")</f>
        <v/>
      </c>
      <c r="Y435" s="21" t="str">
        <f>IF(V435="未提取",COUNTIF($V$2:V435,"未提取"),"")</f>
        <v/>
      </c>
      <c r="Z435" s="21" t="str">
        <f>IF(OR(V435="提取中",V435="文库构建中",V435="文库质检中",V435="pooling排机中",V435="上机测序中"),SUMPRODUCT((($V$2:V435="提取中")+($V$2:V435="文库构建中")+($V$2:V435="文库质检中")+($V$2:V435="pooling排机中")+($V$2:V435="上机测序中"))*1),"")</f>
        <v/>
      </c>
      <c r="AA435" s="21" t="str">
        <f>IF(V435="测序完成",COUNTIF($V$2:V435,"测序完成"),"")</f>
        <v/>
      </c>
      <c r="AB435" s="21" t="str">
        <f>E435&amp;COUNTIFS($E$2:E435,E435)</f>
        <v>0</v>
      </c>
      <c r="AC435" s="21" t="str">
        <f t="shared" si="6"/>
        <v/>
      </c>
    </row>
    <row r="436" spans="24:29">
      <c r="X436" s="21" t="str">
        <f>IF(K436="紧急",COUNTIF($K$2:K436,"紧急"),"")</f>
        <v/>
      </c>
      <c r="Y436" s="21" t="str">
        <f>IF(V436="未提取",COUNTIF($V$2:V436,"未提取"),"")</f>
        <v/>
      </c>
      <c r="Z436" s="21" t="str">
        <f>IF(OR(V436="提取中",V436="文库构建中",V436="文库质检中",V436="pooling排机中",V436="上机测序中"),SUMPRODUCT((($V$2:V436="提取中")+($V$2:V436="文库构建中")+($V$2:V436="文库质检中")+($V$2:V436="pooling排机中")+($V$2:V436="上机测序中"))*1),"")</f>
        <v/>
      </c>
      <c r="AA436" s="21" t="str">
        <f>IF(V436="测序完成",COUNTIF($V$2:V436,"测序完成"),"")</f>
        <v/>
      </c>
      <c r="AB436" s="21" t="str">
        <f>E436&amp;COUNTIFS($E$2:E436,E436)</f>
        <v>0</v>
      </c>
      <c r="AC436" s="21" t="str">
        <f t="shared" si="6"/>
        <v/>
      </c>
    </row>
    <row r="437" spans="24:29">
      <c r="X437" s="21" t="str">
        <f>IF(K437="紧急",COUNTIF($K$2:K437,"紧急"),"")</f>
        <v/>
      </c>
      <c r="Y437" s="21" t="str">
        <f>IF(V437="未提取",COUNTIF($V$2:V437,"未提取"),"")</f>
        <v/>
      </c>
      <c r="Z437" s="21" t="str">
        <f>IF(OR(V437="提取中",V437="文库构建中",V437="文库质检中",V437="pooling排机中",V437="上机测序中"),SUMPRODUCT((($V$2:V437="提取中")+($V$2:V437="文库构建中")+($V$2:V437="文库质检中")+($V$2:V437="pooling排机中")+($V$2:V437="上机测序中"))*1),"")</f>
        <v/>
      </c>
      <c r="AA437" s="21" t="str">
        <f>IF(V437="测序完成",COUNTIF($V$2:V437,"测序完成"),"")</f>
        <v/>
      </c>
      <c r="AB437" s="21" t="str">
        <f>E437&amp;COUNTIFS($E$2:E437,E437)</f>
        <v>0</v>
      </c>
      <c r="AC437" s="21" t="str">
        <f t="shared" si="6"/>
        <v/>
      </c>
    </row>
    <row r="438" spans="24:29">
      <c r="X438" s="21" t="str">
        <f>IF(K438="紧急",COUNTIF($K$2:K438,"紧急"),"")</f>
        <v/>
      </c>
      <c r="Y438" s="21" t="str">
        <f>IF(V438="未提取",COUNTIF($V$2:V438,"未提取"),"")</f>
        <v/>
      </c>
      <c r="Z438" s="21" t="str">
        <f>IF(OR(V438="提取中",V438="文库构建中",V438="文库质检中",V438="pooling排机中",V438="上机测序中"),SUMPRODUCT((($V$2:V438="提取中")+($V$2:V438="文库构建中")+($V$2:V438="文库质检中")+($V$2:V438="pooling排机中")+($V$2:V438="上机测序中"))*1),"")</f>
        <v/>
      </c>
      <c r="AA438" s="21" t="str">
        <f>IF(V438="测序完成",COUNTIF($V$2:V438,"测序完成"),"")</f>
        <v/>
      </c>
      <c r="AB438" s="21" t="str">
        <f>E438&amp;COUNTIFS($E$2:E438,E438)</f>
        <v>0</v>
      </c>
      <c r="AC438" s="21" t="str">
        <f t="shared" si="6"/>
        <v/>
      </c>
    </row>
    <row r="439" spans="24:29">
      <c r="X439" s="21" t="str">
        <f>IF(K439="紧急",COUNTIF($K$2:K439,"紧急"),"")</f>
        <v/>
      </c>
      <c r="Y439" s="21" t="str">
        <f>IF(V439="未提取",COUNTIF($V$2:V439,"未提取"),"")</f>
        <v/>
      </c>
      <c r="Z439" s="21" t="str">
        <f>IF(OR(V439="提取中",V439="文库构建中",V439="文库质检中",V439="pooling排机中",V439="上机测序中"),SUMPRODUCT((($V$2:V439="提取中")+($V$2:V439="文库构建中")+($V$2:V439="文库质检中")+($V$2:V439="pooling排机中")+($V$2:V439="上机测序中"))*1),"")</f>
        <v/>
      </c>
      <c r="AA439" s="21" t="str">
        <f>IF(V439="测序完成",COUNTIF($V$2:V439,"测序完成"),"")</f>
        <v/>
      </c>
      <c r="AB439" s="21" t="str">
        <f>E439&amp;COUNTIFS($E$2:E439,E439)</f>
        <v>0</v>
      </c>
      <c r="AC439" s="21" t="str">
        <f t="shared" si="6"/>
        <v/>
      </c>
    </row>
    <row r="440" spans="24:29">
      <c r="X440" s="21" t="str">
        <f>IF(K440="紧急",COUNTIF($K$2:K440,"紧急"),"")</f>
        <v/>
      </c>
      <c r="Y440" s="21" t="str">
        <f>IF(V440="未提取",COUNTIF($V$2:V440,"未提取"),"")</f>
        <v/>
      </c>
      <c r="Z440" s="21" t="str">
        <f>IF(OR(V440="提取中",V440="文库构建中",V440="文库质检中",V440="pooling排机中",V440="上机测序中"),SUMPRODUCT((($V$2:V440="提取中")+($V$2:V440="文库构建中")+($V$2:V440="文库质检中")+($V$2:V440="pooling排机中")+($V$2:V440="上机测序中"))*1),"")</f>
        <v/>
      </c>
      <c r="AA440" s="21" t="str">
        <f>IF(V440="测序完成",COUNTIF($V$2:V440,"测序完成"),"")</f>
        <v/>
      </c>
      <c r="AB440" s="21" t="str">
        <f>E440&amp;COUNTIFS($E$2:E440,E440)</f>
        <v>0</v>
      </c>
      <c r="AC440" s="21" t="str">
        <f t="shared" si="6"/>
        <v/>
      </c>
    </row>
    <row r="441" spans="24:29">
      <c r="X441" s="21" t="str">
        <f>IF(K441="紧急",COUNTIF($K$2:K441,"紧急"),"")</f>
        <v/>
      </c>
      <c r="Y441" s="21" t="str">
        <f>IF(V441="未提取",COUNTIF($V$2:V441,"未提取"),"")</f>
        <v/>
      </c>
      <c r="Z441" s="21" t="str">
        <f>IF(OR(V441="提取中",V441="文库构建中",V441="文库质检中",V441="pooling排机中",V441="上机测序中"),SUMPRODUCT((($V$2:V441="提取中")+($V$2:V441="文库构建中")+($V$2:V441="文库质检中")+($V$2:V441="pooling排机中")+($V$2:V441="上机测序中"))*1),"")</f>
        <v/>
      </c>
      <c r="AA441" s="21" t="str">
        <f>IF(V441="测序完成",COUNTIF($V$2:V441,"测序完成"),"")</f>
        <v/>
      </c>
      <c r="AB441" s="21" t="str">
        <f>E441&amp;COUNTIFS($E$2:E441,E441)</f>
        <v>0</v>
      </c>
      <c r="AC441" s="21" t="str">
        <f t="shared" si="6"/>
        <v/>
      </c>
    </row>
    <row r="442" spans="24:29">
      <c r="X442" s="21" t="str">
        <f>IF(K442="紧急",COUNTIF($K$2:K442,"紧急"),"")</f>
        <v/>
      </c>
      <c r="Y442" s="21" t="str">
        <f>IF(V442="未提取",COUNTIF($V$2:V442,"未提取"),"")</f>
        <v/>
      </c>
      <c r="Z442" s="21" t="str">
        <f>IF(OR(V442="提取中",V442="文库构建中",V442="文库质检中",V442="pooling排机中",V442="上机测序中"),SUMPRODUCT((($V$2:V442="提取中")+($V$2:V442="文库构建中")+($V$2:V442="文库质检中")+($V$2:V442="pooling排机中")+($V$2:V442="上机测序中"))*1),"")</f>
        <v/>
      </c>
      <c r="AA442" s="21" t="str">
        <f>IF(V442="测序完成",COUNTIF($V$2:V442,"测序完成"),"")</f>
        <v/>
      </c>
      <c r="AB442" s="21" t="str">
        <f>E442&amp;COUNTIFS($E$2:E442,E442)</f>
        <v>0</v>
      </c>
      <c r="AC442" s="21" t="str">
        <f t="shared" si="6"/>
        <v/>
      </c>
    </row>
    <row r="443" spans="24:29">
      <c r="X443" s="21" t="str">
        <f>IF(K443="紧急",COUNTIF($K$2:K443,"紧急"),"")</f>
        <v/>
      </c>
      <c r="Y443" s="21" t="str">
        <f>IF(V443="未提取",COUNTIF($V$2:V443,"未提取"),"")</f>
        <v/>
      </c>
      <c r="Z443" s="21" t="str">
        <f>IF(OR(V443="提取中",V443="文库构建中",V443="文库质检中",V443="pooling排机中",V443="上机测序中"),SUMPRODUCT((($V$2:V443="提取中")+($V$2:V443="文库构建中")+($V$2:V443="文库质检中")+($V$2:V443="pooling排机中")+($V$2:V443="上机测序中"))*1),"")</f>
        <v/>
      </c>
      <c r="AA443" s="21" t="str">
        <f>IF(V443="测序完成",COUNTIF($V$2:V443,"测序完成"),"")</f>
        <v/>
      </c>
      <c r="AB443" s="21" t="str">
        <f>E443&amp;COUNTIFS($E$2:E443,E443)</f>
        <v>0</v>
      </c>
      <c r="AC443" s="21" t="str">
        <f t="shared" si="6"/>
        <v/>
      </c>
    </row>
    <row r="444" spans="24:29">
      <c r="X444" s="21" t="str">
        <f>IF(K444="紧急",COUNTIF($K$2:K444,"紧急"),"")</f>
        <v/>
      </c>
      <c r="Y444" s="21" t="str">
        <f>IF(V444="未提取",COUNTIF($V$2:V444,"未提取"),"")</f>
        <v/>
      </c>
      <c r="Z444" s="21" t="str">
        <f>IF(OR(V444="提取中",V444="文库构建中",V444="文库质检中",V444="pooling排机中",V444="上机测序中"),SUMPRODUCT((($V$2:V444="提取中")+($V$2:V444="文库构建中")+($V$2:V444="文库质检中")+($V$2:V444="pooling排机中")+($V$2:V444="上机测序中"))*1),"")</f>
        <v/>
      </c>
      <c r="AA444" s="21" t="str">
        <f>IF(V444="测序完成",COUNTIF($V$2:V444,"测序完成"),"")</f>
        <v/>
      </c>
      <c r="AB444" s="21" t="str">
        <f>E444&amp;COUNTIFS($E$2:E444,E444)</f>
        <v>0</v>
      </c>
      <c r="AC444" s="21" t="str">
        <f t="shared" si="6"/>
        <v/>
      </c>
    </row>
    <row r="445" spans="24:29">
      <c r="X445" s="21" t="str">
        <f>IF(K445="紧急",COUNTIF($K$2:K445,"紧急"),"")</f>
        <v/>
      </c>
      <c r="Y445" s="21" t="str">
        <f>IF(V445="未提取",COUNTIF($V$2:V445,"未提取"),"")</f>
        <v/>
      </c>
      <c r="Z445" s="21" t="str">
        <f>IF(OR(V445="提取中",V445="文库构建中",V445="文库质检中",V445="pooling排机中",V445="上机测序中"),SUMPRODUCT((($V$2:V445="提取中")+($V$2:V445="文库构建中")+($V$2:V445="文库质检中")+($V$2:V445="pooling排机中")+($V$2:V445="上机测序中"))*1),"")</f>
        <v/>
      </c>
      <c r="AA445" s="21" t="str">
        <f>IF(V445="测序完成",COUNTIF($V$2:V445,"测序完成"),"")</f>
        <v/>
      </c>
      <c r="AB445" s="21" t="str">
        <f>E445&amp;COUNTIFS($E$2:E445,E445)</f>
        <v>0</v>
      </c>
      <c r="AC445" s="21" t="str">
        <f t="shared" si="6"/>
        <v/>
      </c>
    </row>
    <row r="446" spans="24:29">
      <c r="X446" s="21" t="str">
        <f>IF(K446="紧急",COUNTIF($K$2:K446,"紧急"),"")</f>
        <v/>
      </c>
      <c r="Y446" s="21" t="str">
        <f>IF(V446="未提取",COUNTIF($V$2:V446,"未提取"),"")</f>
        <v/>
      </c>
      <c r="Z446" s="21" t="str">
        <f>IF(OR(V446="提取中",V446="文库构建中",V446="文库质检中",V446="pooling排机中",V446="上机测序中"),SUMPRODUCT((($V$2:V446="提取中")+($V$2:V446="文库构建中")+($V$2:V446="文库质检中")+($V$2:V446="pooling排机中")+($V$2:V446="上机测序中"))*1),"")</f>
        <v/>
      </c>
      <c r="AA446" s="21" t="str">
        <f>IF(V446="测序完成",COUNTIF($V$2:V446,"测序完成"),"")</f>
        <v/>
      </c>
      <c r="AB446" s="21" t="str">
        <f>E446&amp;COUNTIFS($E$2:E446,E446)</f>
        <v>0</v>
      </c>
      <c r="AC446" s="21" t="str">
        <f t="shared" si="6"/>
        <v/>
      </c>
    </row>
    <row r="447" spans="24:29">
      <c r="X447" s="21" t="str">
        <f>IF(K447="紧急",COUNTIF($K$2:K447,"紧急"),"")</f>
        <v/>
      </c>
      <c r="Y447" s="21" t="str">
        <f>IF(V447="未提取",COUNTIF($V$2:V447,"未提取"),"")</f>
        <v/>
      </c>
      <c r="Z447" s="21" t="str">
        <f>IF(OR(V447="提取中",V447="文库构建中",V447="文库质检中",V447="pooling排机中",V447="上机测序中"),SUMPRODUCT((($V$2:V447="提取中")+($V$2:V447="文库构建中")+($V$2:V447="文库质检中")+($V$2:V447="pooling排机中")+($V$2:V447="上机测序中"))*1),"")</f>
        <v/>
      </c>
      <c r="AA447" s="21" t="str">
        <f>IF(V447="测序完成",COUNTIF($V$2:V447,"测序完成"),"")</f>
        <v/>
      </c>
      <c r="AB447" s="21" t="str">
        <f>E447&amp;COUNTIFS($E$2:E447,E447)</f>
        <v>0</v>
      </c>
      <c r="AC447" s="21" t="str">
        <f t="shared" si="6"/>
        <v/>
      </c>
    </row>
    <row r="448" spans="24:29">
      <c r="X448" s="21" t="str">
        <f>IF(K448="紧急",COUNTIF($K$2:K448,"紧急"),"")</f>
        <v/>
      </c>
      <c r="Y448" s="21" t="str">
        <f>IF(V448="未提取",COUNTIF($V$2:V448,"未提取"),"")</f>
        <v/>
      </c>
      <c r="Z448" s="21" t="str">
        <f>IF(OR(V448="提取中",V448="文库构建中",V448="文库质检中",V448="pooling排机中",V448="上机测序中"),SUMPRODUCT((($V$2:V448="提取中")+($V$2:V448="文库构建中")+($V$2:V448="文库质检中")+($V$2:V448="pooling排机中")+($V$2:V448="上机测序中"))*1),"")</f>
        <v/>
      </c>
      <c r="AA448" s="21" t="str">
        <f>IF(V448="测序完成",COUNTIF($V$2:V448,"测序完成"),"")</f>
        <v/>
      </c>
      <c r="AB448" s="21" t="str">
        <f>E448&amp;COUNTIFS($E$2:E448,E448)</f>
        <v>0</v>
      </c>
      <c r="AC448" s="21" t="str">
        <f t="shared" si="6"/>
        <v/>
      </c>
    </row>
    <row r="449" spans="24:29">
      <c r="X449" s="21" t="str">
        <f>IF(K449="紧急",COUNTIF($K$2:K449,"紧急"),"")</f>
        <v/>
      </c>
      <c r="Y449" s="21" t="str">
        <f>IF(V449="未提取",COUNTIF($V$2:V449,"未提取"),"")</f>
        <v/>
      </c>
      <c r="Z449" s="21" t="str">
        <f>IF(OR(V449="提取中",V449="文库构建中",V449="文库质检中",V449="pooling排机中",V449="上机测序中"),SUMPRODUCT((($V$2:V449="提取中")+($V$2:V449="文库构建中")+($V$2:V449="文库质检中")+($V$2:V449="pooling排机中")+($V$2:V449="上机测序中"))*1),"")</f>
        <v/>
      </c>
      <c r="AA449" s="21" t="str">
        <f>IF(V449="测序完成",COUNTIF($V$2:V449,"测序完成"),"")</f>
        <v/>
      </c>
      <c r="AB449" s="21" t="str">
        <f>E449&amp;COUNTIFS($E$2:E449,E449)</f>
        <v>0</v>
      </c>
      <c r="AC449" s="21" t="str">
        <f t="shared" si="6"/>
        <v/>
      </c>
    </row>
    <row r="450" spans="24:29">
      <c r="X450" s="21" t="str">
        <f>IF(K450="紧急",COUNTIF($K$2:K450,"紧急"),"")</f>
        <v/>
      </c>
      <c r="Y450" s="21" t="str">
        <f>IF(V450="未提取",COUNTIF($V$2:V450,"未提取"),"")</f>
        <v/>
      </c>
      <c r="Z450" s="21" t="str">
        <f>IF(OR(V450="提取中",V450="文库构建中",V450="文库质检中",V450="pooling排机中",V450="上机测序中"),SUMPRODUCT((($V$2:V450="提取中")+($V$2:V450="文库构建中")+($V$2:V450="文库质检中")+($V$2:V450="pooling排机中")+($V$2:V450="上机测序中"))*1),"")</f>
        <v/>
      </c>
      <c r="AA450" s="21" t="str">
        <f>IF(V450="测序完成",COUNTIF($V$2:V450,"测序完成"),"")</f>
        <v/>
      </c>
      <c r="AB450" s="21" t="str">
        <f>E450&amp;COUNTIFS($E$2:E450,E450)</f>
        <v>0</v>
      </c>
      <c r="AC450" s="21" t="str">
        <f t="shared" ref="AC450:AC500" si="7">IF(A450&lt;&gt;"",ROW()-1,"")</f>
        <v/>
      </c>
    </row>
    <row r="451" spans="24:29">
      <c r="X451" s="21" t="str">
        <f>IF(K451="紧急",COUNTIF($K$2:K451,"紧急"),"")</f>
        <v/>
      </c>
      <c r="Y451" s="21" t="str">
        <f>IF(V451="未提取",COUNTIF($V$2:V451,"未提取"),"")</f>
        <v/>
      </c>
      <c r="Z451" s="21" t="str">
        <f>IF(OR(V451="提取中",V451="文库构建中",V451="文库质检中",V451="pooling排机中",V451="上机测序中"),SUMPRODUCT((($V$2:V451="提取中")+($V$2:V451="文库构建中")+($V$2:V451="文库质检中")+($V$2:V451="pooling排机中")+($V$2:V451="上机测序中"))*1),"")</f>
        <v/>
      </c>
      <c r="AA451" s="21" t="str">
        <f>IF(V451="测序完成",COUNTIF($V$2:V451,"测序完成"),"")</f>
        <v/>
      </c>
      <c r="AB451" s="21" t="str">
        <f>E451&amp;COUNTIFS($E$2:E451,E451)</f>
        <v>0</v>
      </c>
      <c r="AC451" s="21" t="str">
        <f t="shared" si="7"/>
        <v/>
      </c>
    </row>
    <row r="452" spans="24:29">
      <c r="X452" s="21" t="str">
        <f>IF(K452="紧急",COUNTIF($K$2:K452,"紧急"),"")</f>
        <v/>
      </c>
      <c r="Y452" s="21" t="str">
        <f>IF(V452="未提取",COUNTIF($V$2:V452,"未提取"),"")</f>
        <v/>
      </c>
      <c r="Z452" s="21" t="str">
        <f>IF(OR(V452="提取中",V452="文库构建中",V452="文库质检中",V452="pooling排机中",V452="上机测序中"),SUMPRODUCT((($V$2:V452="提取中")+($V$2:V452="文库构建中")+($V$2:V452="文库质检中")+($V$2:V452="pooling排机中")+($V$2:V452="上机测序中"))*1),"")</f>
        <v/>
      </c>
      <c r="AA452" s="21" t="str">
        <f>IF(V452="测序完成",COUNTIF($V$2:V452,"测序完成"),"")</f>
        <v/>
      </c>
      <c r="AB452" s="21" t="str">
        <f>E452&amp;COUNTIFS($E$2:E452,E452)</f>
        <v>0</v>
      </c>
      <c r="AC452" s="21" t="str">
        <f t="shared" si="7"/>
        <v/>
      </c>
    </row>
    <row r="453" spans="24:29">
      <c r="X453" s="21" t="str">
        <f>IF(K453="紧急",COUNTIF($K$2:K453,"紧急"),"")</f>
        <v/>
      </c>
      <c r="Y453" s="21" t="str">
        <f>IF(V453="未提取",COUNTIF($V$2:V453,"未提取"),"")</f>
        <v/>
      </c>
      <c r="Z453" s="21" t="str">
        <f>IF(OR(V453="提取中",V453="文库构建中",V453="文库质检中",V453="pooling排机中",V453="上机测序中"),SUMPRODUCT((($V$2:V453="提取中")+($V$2:V453="文库构建中")+($V$2:V453="文库质检中")+($V$2:V453="pooling排机中")+($V$2:V453="上机测序中"))*1),"")</f>
        <v/>
      </c>
      <c r="AA453" s="21" t="str">
        <f>IF(V453="测序完成",COUNTIF($V$2:V453,"测序完成"),"")</f>
        <v/>
      </c>
      <c r="AB453" s="21" t="str">
        <f>E453&amp;COUNTIFS($E$2:E453,E453)</f>
        <v>0</v>
      </c>
      <c r="AC453" s="21" t="str">
        <f t="shared" si="7"/>
        <v/>
      </c>
    </row>
    <row r="454" spans="24:29">
      <c r="X454" s="21" t="str">
        <f>IF(K454="紧急",COUNTIF($K$2:K454,"紧急"),"")</f>
        <v/>
      </c>
      <c r="Y454" s="21" t="str">
        <f>IF(V454="未提取",COUNTIF($V$2:V454,"未提取"),"")</f>
        <v/>
      </c>
      <c r="Z454" s="21" t="str">
        <f>IF(OR(V454="提取中",V454="文库构建中",V454="文库质检中",V454="pooling排机中",V454="上机测序中"),SUMPRODUCT((($V$2:V454="提取中")+($V$2:V454="文库构建中")+($V$2:V454="文库质检中")+($V$2:V454="pooling排机中")+($V$2:V454="上机测序中"))*1),"")</f>
        <v/>
      </c>
      <c r="AA454" s="21" t="str">
        <f>IF(V454="测序完成",COUNTIF($V$2:V454,"测序完成"),"")</f>
        <v/>
      </c>
      <c r="AB454" s="21" t="str">
        <f>E454&amp;COUNTIFS($E$2:E454,E454)</f>
        <v>0</v>
      </c>
      <c r="AC454" s="21" t="str">
        <f t="shared" si="7"/>
        <v/>
      </c>
    </row>
    <row r="455" spans="24:29">
      <c r="X455" s="21" t="str">
        <f>IF(K455="紧急",COUNTIF($K$2:K455,"紧急"),"")</f>
        <v/>
      </c>
      <c r="Y455" s="21" t="str">
        <f>IF(V455="未提取",COUNTIF($V$2:V455,"未提取"),"")</f>
        <v/>
      </c>
      <c r="Z455" s="21" t="str">
        <f>IF(OR(V455="提取中",V455="文库构建中",V455="文库质检中",V455="pooling排机中",V455="上机测序中"),SUMPRODUCT((($V$2:V455="提取中")+($V$2:V455="文库构建中")+($V$2:V455="文库质检中")+($V$2:V455="pooling排机中")+($V$2:V455="上机测序中"))*1),"")</f>
        <v/>
      </c>
      <c r="AA455" s="21" t="str">
        <f>IF(V455="测序完成",COUNTIF($V$2:V455,"测序完成"),"")</f>
        <v/>
      </c>
      <c r="AB455" s="21" t="str">
        <f>E455&amp;COUNTIFS($E$2:E455,E455)</f>
        <v>0</v>
      </c>
      <c r="AC455" s="21" t="str">
        <f t="shared" si="7"/>
        <v/>
      </c>
    </row>
    <row r="456" spans="24:29">
      <c r="X456" s="21" t="str">
        <f>IF(K456="紧急",COUNTIF($K$2:K456,"紧急"),"")</f>
        <v/>
      </c>
      <c r="Y456" s="21" t="str">
        <f>IF(V456="未提取",COUNTIF($V$2:V456,"未提取"),"")</f>
        <v/>
      </c>
      <c r="Z456" s="21" t="str">
        <f>IF(OR(V456="提取中",V456="文库构建中",V456="文库质检中",V456="pooling排机中",V456="上机测序中"),SUMPRODUCT((($V$2:V456="提取中")+($V$2:V456="文库构建中")+($V$2:V456="文库质检中")+($V$2:V456="pooling排机中")+($V$2:V456="上机测序中"))*1),"")</f>
        <v/>
      </c>
      <c r="AA456" s="21" t="str">
        <f>IF(V456="测序完成",COUNTIF($V$2:V456,"测序完成"),"")</f>
        <v/>
      </c>
      <c r="AB456" s="21" t="str">
        <f>E456&amp;COUNTIFS($E$2:E456,E456)</f>
        <v>0</v>
      </c>
      <c r="AC456" s="21" t="str">
        <f t="shared" si="7"/>
        <v/>
      </c>
    </row>
    <row r="457" spans="24:29">
      <c r="X457" s="21" t="str">
        <f>IF(K457="紧急",COUNTIF($K$2:K457,"紧急"),"")</f>
        <v/>
      </c>
      <c r="Y457" s="21" t="str">
        <f>IF(V457="未提取",COUNTIF($V$2:V457,"未提取"),"")</f>
        <v/>
      </c>
      <c r="Z457" s="21" t="str">
        <f>IF(OR(V457="提取中",V457="文库构建中",V457="文库质检中",V457="pooling排机中",V457="上机测序中"),SUMPRODUCT((($V$2:V457="提取中")+($V$2:V457="文库构建中")+($V$2:V457="文库质检中")+($V$2:V457="pooling排机中")+($V$2:V457="上机测序中"))*1),"")</f>
        <v/>
      </c>
      <c r="AA457" s="21" t="str">
        <f>IF(V457="测序完成",COUNTIF($V$2:V457,"测序完成"),"")</f>
        <v/>
      </c>
      <c r="AB457" s="21" t="str">
        <f>E457&amp;COUNTIFS($E$2:E457,E457)</f>
        <v>0</v>
      </c>
      <c r="AC457" s="21" t="str">
        <f t="shared" si="7"/>
        <v/>
      </c>
    </row>
    <row r="458" spans="24:29">
      <c r="X458" s="21" t="str">
        <f>IF(K458="紧急",COUNTIF($K$2:K458,"紧急"),"")</f>
        <v/>
      </c>
      <c r="Y458" s="21" t="str">
        <f>IF(V458="未提取",COUNTIF($V$2:V458,"未提取"),"")</f>
        <v/>
      </c>
      <c r="Z458" s="21" t="str">
        <f>IF(OR(V458="提取中",V458="文库构建中",V458="文库质检中",V458="pooling排机中",V458="上机测序中"),SUMPRODUCT((($V$2:V458="提取中")+($V$2:V458="文库构建中")+($V$2:V458="文库质检中")+($V$2:V458="pooling排机中")+($V$2:V458="上机测序中"))*1),"")</f>
        <v/>
      </c>
      <c r="AA458" s="21" t="str">
        <f>IF(V458="测序完成",COUNTIF($V$2:V458,"测序完成"),"")</f>
        <v/>
      </c>
      <c r="AB458" s="21" t="str">
        <f>E458&amp;COUNTIFS($E$2:E458,E458)</f>
        <v>0</v>
      </c>
      <c r="AC458" s="21" t="str">
        <f t="shared" si="7"/>
        <v/>
      </c>
    </row>
    <row r="459" spans="24:29">
      <c r="X459" s="21" t="str">
        <f>IF(K459="紧急",COUNTIF($K$2:K459,"紧急"),"")</f>
        <v/>
      </c>
      <c r="Y459" s="21" t="str">
        <f>IF(V459="未提取",COUNTIF($V$2:V459,"未提取"),"")</f>
        <v/>
      </c>
      <c r="Z459" s="21" t="str">
        <f>IF(OR(V459="提取中",V459="文库构建中",V459="文库质检中",V459="pooling排机中",V459="上机测序中"),SUMPRODUCT((($V$2:V459="提取中")+($V$2:V459="文库构建中")+($V$2:V459="文库质检中")+($V$2:V459="pooling排机中")+($V$2:V459="上机测序中"))*1),"")</f>
        <v/>
      </c>
      <c r="AA459" s="21" t="str">
        <f>IF(V459="测序完成",COUNTIF($V$2:V459,"测序完成"),"")</f>
        <v/>
      </c>
      <c r="AB459" s="21" t="str">
        <f>E459&amp;COUNTIFS($E$2:E459,E459)</f>
        <v>0</v>
      </c>
      <c r="AC459" s="21" t="str">
        <f t="shared" si="7"/>
        <v/>
      </c>
    </row>
    <row r="460" spans="24:29">
      <c r="X460" s="21" t="str">
        <f>IF(K460="紧急",COUNTIF($K$2:K460,"紧急"),"")</f>
        <v/>
      </c>
      <c r="Y460" s="21" t="str">
        <f>IF(V460="未提取",COUNTIF($V$2:V460,"未提取"),"")</f>
        <v/>
      </c>
      <c r="Z460" s="21" t="str">
        <f>IF(OR(V460="提取中",V460="文库构建中",V460="文库质检中",V460="pooling排机中",V460="上机测序中"),SUMPRODUCT((($V$2:V460="提取中")+($V$2:V460="文库构建中")+($V$2:V460="文库质检中")+($V$2:V460="pooling排机中")+($V$2:V460="上机测序中"))*1),"")</f>
        <v/>
      </c>
      <c r="AA460" s="21" t="str">
        <f>IF(V460="测序完成",COUNTIF($V$2:V460,"测序完成"),"")</f>
        <v/>
      </c>
      <c r="AB460" s="21" t="str">
        <f>E460&amp;COUNTIFS($E$2:E460,E460)</f>
        <v>0</v>
      </c>
      <c r="AC460" s="21" t="str">
        <f t="shared" si="7"/>
        <v/>
      </c>
    </row>
    <row r="461" spans="24:29">
      <c r="X461" s="21" t="str">
        <f>IF(K461="紧急",COUNTIF($K$2:K461,"紧急"),"")</f>
        <v/>
      </c>
      <c r="Y461" s="21" t="str">
        <f>IF(V461="未提取",COUNTIF($V$2:V461,"未提取"),"")</f>
        <v/>
      </c>
      <c r="Z461" s="21" t="str">
        <f>IF(OR(V461="提取中",V461="文库构建中",V461="文库质检中",V461="pooling排机中",V461="上机测序中"),SUMPRODUCT((($V$2:V461="提取中")+($V$2:V461="文库构建中")+($V$2:V461="文库质检中")+($V$2:V461="pooling排机中")+($V$2:V461="上机测序中"))*1),"")</f>
        <v/>
      </c>
      <c r="AA461" s="21" t="str">
        <f>IF(V461="测序完成",COUNTIF($V$2:V461,"测序完成"),"")</f>
        <v/>
      </c>
      <c r="AB461" s="21" t="str">
        <f>E461&amp;COUNTIFS($E$2:E461,E461)</f>
        <v>0</v>
      </c>
      <c r="AC461" s="21" t="str">
        <f t="shared" si="7"/>
        <v/>
      </c>
    </row>
    <row r="462" spans="24:29">
      <c r="X462" s="21" t="str">
        <f>IF(K462="紧急",COUNTIF($K$2:K462,"紧急"),"")</f>
        <v/>
      </c>
      <c r="Y462" s="21" t="str">
        <f>IF(V462="未提取",COUNTIF($V$2:V462,"未提取"),"")</f>
        <v/>
      </c>
      <c r="Z462" s="21" t="str">
        <f>IF(OR(V462="提取中",V462="文库构建中",V462="文库质检中",V462="pooling排机中",V462="上机测序中"),SUMPRODUCT((($V$2:V462="提取中")+($V$2:V462="文库构建中")+($V$2:V462="文库质检中")+($V$2:V462="pooling排机中")+($V$2:V462="上机测序中"))*1),"")</f>
        <v/>
      </c>
      <c r="AA462" s="21" t="str">
        <f>IF(V462="测序完成",COUNTIF($V$2:V462,"测序完成"),"")</f>
        <v/>
      </c>
      <c r="AB462" s="21" t="str">
        <f>E462&amp;COUNTIFS($E$2:E462,E462)</f>
        <v>0</v>
      </c>
      <c r="AC462" s="21" t="str">
        <f t="shared" si="7"/>
        <v/>
      </c>
    </row>
    <row r="463" spans="24:29">
      <c r="X463" s="21" t="str">
        <f>IF(K463="紧急",COUNTIF($K$2:K463,"紧急"),"")</f>
        <v/>
      </c>
      <c r="Y463" s="21" t="str">
        <f>IF(V463="未提取",COUNTIF($V$2:V463,"未提取"),"")</f>
        <v/>
      </c>
      <c r="Z463" s="21" t="str">
        <f>IF(OR(V463="提取中",V463="文库构建中",V463="文库质检中",V463="pooling排机中",V463="上机测序中"),SUMPRODUCT((($V$2:V463="提取中")+($V$2:V463="文库构建中")+($V$2:V463="文库质检中")+($V$2:V463="pooling排机中")+($V$2:V463="上机测序中"))*1),"")</f>
        <v/>
      </c>
      <c r="AA463" s="21" t="str">
        <f>IF(V463="测序完成",COUNTIF($V$2:V463,"测序完成"),"")</f>
        <v/>
      </c>
      <c r="AB463" s="21" t="str">
        <f>E463&amp;COUNTIFS($E$2:E463,E463)</f>
        <v>0</v>
      </c>
      <c r="AC463" s="21" t="str">
        <f t="shared" si="7"/>
        <v/>
      </c>
    </row>
    <row r="464" spans="24:29">
      <c r="X464" s="21" t="str">
        <f>IF(K464="紧急",COUNTIF($K$2:K464,"紧急"),"")</f>
        <v/>
      </c>
      <c r="Y464" s="21" t="str">
        <f>IF(V464="未提取",COUNTIF($V$2:V464,"未提取"),"")</f>
        <v/>
      </c>
      <c r="Z464" s="21" t="str">
        <f>IF(OR(V464="提取中",V464="文库构建中",V464="文库质检中",V464="pooling排机中",V464="上机测序中"),SUMPRODUCT((($V$2:V464="提取中")+($V$2:V464="文库构建中")+($V$2:V464="文库质检中")+($V$2:V464="pooling排机中")+($V$2:V464="上机测序中"))*1),"")</f>
        <v/>
      </c>
      <c r="AA464" s="21" t="str">
        <f>IF(V464="测序完成",COUNTIF($V$2:V464,"测序完成"),"")</f>
        <v/>
      </c>
      <c r="AB464" s="21" t="str">
        <f>E464&amp;COUNTIFS($E$2:E464,E464)</f>
        <v>0</v>
      </c>
      <c r="AC464" s="21" t="str">
        <f t="shared" si="7"/>
        <v/>
      </c>
    </row>
    <row r="465" spans="24:29">
      <c r="X465" s="21" t="str">
        <f>IF(K465="紧急",COUNTIF($K$2:K465,"紧急"),"")</f>
        <v/>
      </c>
      <c r="Y465" s="21" t="str">
        <f>IF(V465="未提取",COUNTIF($V$2:V465,"未提取"),"")</f>
        <v/>
      </c>
      <c r="Z465" s="21" t="str">
        <f>IF(OR(V465="提取中",V465="文库构建中",V465="文库质检中",V465="pooling排机中",V465="上机测序中"),SUMPRODUCT((($V$2:V465="提取中")+($V$2:V465="文库构建中")+($V$2:V465="文库质检中")+($V$2:V465="pooling排机中")+($V$2:V465="上机测序中"))*1),"")</f>
        <v/>
      </c>
      <c r="AA465" s="21" t="str">
        <f>IF(V465="测序完成",COUNTIF($V$2:V465,"测序完成"),"")</f>
        <v/>
      </c>
      <c r="AB465" s="21" t="str">
        <f>E465&amp;COUNTIFS($E$2:E465,E465)</f>
        <v>0</v>
      </c>
      <c r="AC465" s="21" t="str">
        <f t="shared" si="7"/>
        <v/>
      </c>
    </row>
    <row r="466" spans="24:29">
      <c r="X466" s="21" t="str">
        <f>IF(K466="紧急",COUNTIF($K$2:K466,"紧急"),"")</f>
        <v/>
      </c>
      <c r="Y466" s="21" t="str">
        <f>IF(V466="未提取",COUNTIF($V$2:V466,"未提取"),"")</f>
        <v/>
      </c>
      <c r="Z466" s="21" t="str">
        <f>IF(OR(V466="提取中",V466="文库构建中",V466="文库质检中",V466="pooling排机中",V466="上机测序中"),SUMPRODUCT((($V$2:V466="提取中")+($V$2:V466="文库构建中")+($V$2:V466="文库质检中")+($V$2:V466="pooling排机中")+($V$2:V466="上机测序中"))*1),"")</f>
        <v/>
      </c>
      <c r="AA466" s="21" t="str">
        <f>IF(V466="测序完成",COUNTIF($V$2:V466,"测序完成"),"")</f>
        <v/>
      </c>
      <c r="AB466" s="21" t="str">
        <f>E466&amp;COUNTIFS($E$2:E466,E466)</f>
        <v>0</v>
      </c>
      <c r="AC466" s="21" t="str">
        <f t="shared" si="7"/>
        <v/>
      </c>
    </row>
    <row r="467" spans="24:29">
      <c r="X467" s="21" t="str">
        <f>IF(K467="紧急",COUNTIF($K$2:K467,"紧急"),"")</f>
        <v/>
      </c>
      <c r="Y467" s="21" t="str">
        <f>IF(V467="未提取",COUNTIF($V$2:V467,"未提取"),"")</f>
        <v/>
      </c>
      <c r="Z467" s="21" t="str">
        <f>IF(OR(V467="提取中",V467="文库构建中",V467="文库质检中",V467="pooling排机中",V467="上机测序中"),SUMPRODUCT((($V$2:V467="提取中")+($V$2:V467="文库构建中")+($V$2:V467="文库质检中")+($V$2:V467="pooling排机中")+($V$2:V467="上机测序中"))*1),"")</f>
        <v/>
      </c>
      <c r="AA467" s="21" t="str">
        <f>IF(V467="测序完成",COUNTIF($V$2:V467,"测序完成"),"")</f>
        <v/>
      </c>
      <c r="AB467" s="21" t="str">
        <f>E467&amp;COUNTIFS($E$2:E467,E467)</f>
        <v>0</v>
      </c>
      <c r="AC467" s="21" t="str">
        <f t="shared" si="7"/>
        <v/>
      </c>
    </row>
    <row r="468" spans="24:29">
      <c r="X468" s="21" t="str">
        <f>IF(K468="紧急",COUNTIF($K$2:K468,"紧急"),"")</f>
        <v/>
      </c>
      <c r="Y468" s="21" t="str">
        <f>IF(V468="未提取",COUNTIF($V$2:V468,"未提取"),"")</f>
        <v/>
      </c>
      <c r="Z468" s="21" t="str">
        <f>IF(OR(V468="提取中",V468="文库构建中",V468="文库质检中",V468="pooling排机中",V468="上机测序中"),SUMPRODUCT((($V$2:V468="提取中")+($V$2:V468="文库构建中")+($V$2:V468="文库质检中")+($V$2:V468="pooling排机中")+($V$2:V468="上机测序中"))*1),"")</f>
        <v/>
      </c>
      <c r="AA468" s="21" t="str">
        <f>IF(V468="测序完成",COUNTIF($V$2:V468,"测序完成"),"")</f>
        <v/>
      </c>
      <c r="AB468" s="21" t="str">
        <f>E468&amp;COUNTIFS($E$2:E468,E468)</f>
        <v>0</v>
      </c>
      <c r="AC468" s="21" t="str">
        <f t="shared" si="7"/>
        <v/>
      </c>
    </row>
    <row r="469" spans="24:29">
      <c r="X469" s="21" t="str">
        <f>IF(K469="紧急",COUNTIF($K$2:K469,"紧急"),"")</f>
        <v/>
      </c>
      <c r="Y469" s="21" t="str">
        <f>IF(V469="未提取",COUNTIF($V$2:V469,"未提取"),"")</f>
        <v/>
      </c>
      <c r="Z469" s="21" t="str">
        <f>IF(OR(V469="提取中",V469="文库构建中",V469="文库质检中",V469="pooling排机中",V469="上机测序中"),SUMPRODUCT((($V$2:V469="提取中")+($V$2:V469="文库构建中")+($V$2:V469="文库质检中")+($V$2:V469="pooling排机中")+($V$2:V469="上机测序中"))*1),"")</f>
        <v/>
      </c>
      <c r="AA469" s="21" t="str">
        <f>IF(V469="测序完成",COUNTIF($V$2:V469,"测序完成"),"")</f>
        <v/>
      </c>
      <c r="AB469" s="21" t="str">
        <f>E469&amp;COUNTIFS($E$2:E469,E469)</f>
        <v>0</v>
      </c>
      <c r="AC469" s="21" t="str">
        <f t="shared" si="7"/>
        <v/>
      </c>
    </row>
    <row r="470" spans="24:29">
      <c r="X470" s="21" t="str">
        <f>IF(K470="紧急",COUNTIF($K$2:K470,"紧急"),"")</f>
        <v/>
      </c>
      <c r="Y470" s="21" t="str">
        <f>IF(V470="未提取",COUNTIF($V$2:V470,"未提取"),"")</f>
        <v/>
      </c>
      <c r="Z470" s="21" t="str">
        <f>IF(OR(V470="提取中",V470="文库构建中",V470="文库质检中",V470="pooling排机中",V470="上机测序中"),SUMPRODUCT((($V$2:V470="提取中")+($V$2:V470="文库构建中")+($V$2:V470="文库质检中")+($V$2:V470="pooling排机中")+($V$2:V470="上机测序中"))*1),"")</f>
        <v/>
      </c>
      <c r="AA470" s="21" t="str">
        <f>IF(V470="测序完成",COUNTIF($V$2:V470,"测序完成"),"")</f>
        <v/>
      </c>
      <c r="AB470" s="21" t="str">
        <f>E470&amp;COUNTIFS($E$2:E470,E470)</f>
        <v>0</v>
      </c>
      <c r="AC470" s="21" t="str">
        <f t="shared" si="7"/>
        <v/>
      </c>
    </row>
    <row r="471" spans="24:29">
      <c r="X471" s="21" t="str">
        <f>IF(K471="紧急",COUNTIF($K$2:K471,"紧急"),"")</f>
        <v/>
      </c>
      <c r="Y471" s="21" t="str">
        <f>IF(V471="未提取",COUNTIF($V$2:V471,"未提取"),"")</f>
        <v/>
      </c>
      <c r="Z471" s="21" t="str">
        <f>IF(OR(V471="提取中",V471="文库构建中",V471="文库质检中",V471="pooling排机中",V471="上机测序中"),SUMPRODUCT((($V$2:V471="提取中")+($V$2:V471="文库构建中")+($V$2:V471="文库质检中")+($V$2:V471="pooling排机中")+($V$2:V471="上机测序中"))*1),"")</f>
        <v/>
      </c>
      <c r="AA471" s="21" t="str">
        <f>IF(V471="测序完成",COUNTIF($V$2:V471,"测序完成"),"")</f>
        <v/>
      </c>
      <c r="AB471" s="21" t="str">
        <f>E471&amp;COUNTIFS($E$2:E471,E471)</f>
        <v>0</v>
      </c>
      <c r="AC471" s="21" t="str">
        <f t="shared" si="7"/>
        <v/>
      </c>
    </row>
    <row r="472" spans="24:29">
      <c r="X472" s="21" t="str">
        <f>IF(K472="紧急",COUNTIF($K$2:K472,"紧急"),"")</f>
        <v/>
      </c>
      <c r="Y472" s="21" t="str">
        <f>IF(V472="未提取",COUNTIF($V$2:V472,"未提取"),"")</f>
        <v/>
      </c>
      <c r="Z472" s="21" t="str">
        <f>IF(OR(V472="提取中",V472="文库构建中",V472="文库质检中",V472="pooling排机中",V472="上机测序中"),SUMPRODUCT((($V$2:V472="提取中")+($V$2:V472="文库构建中")+($V$2:V472="文库质检中")+($V$2:V472="pooling排机中")+($V$2:V472="上机测序中"))*1),"")</f>
        <v/>
      </c>
      <c r="AA472" s="21" t="str">
        <f>IF(V472="测序完成",COUNTIF($V$2:V472,"测序完成"),"")</f>
        <v/>
      </c>
      <c r="AB472" s="21" t="str">
        <f>E472&amp;COUNTIFS($E$2:E472,E472)</f>
        <v>0</v>
      </c>
      <c r="AC472" s="21" t="str">
        <f t="shared" si="7"/>
        <v/>
      </c>
    </row>
    <row r="473" spans="24:29">
      <c r="X473" s="21" t="str">
        <f>IF(K473="紧急",COUNTIF($K$2:K473,"紧急"),"")</f>
        <v/>
      </c>
      <c r="Y473" s="21" t="str">
        <f>IF(V473="未提取",COUNTIF($V$2:V473,"未提取"),"")</f>
        <v/>
      </c>
      <c r="Z473" s="21" t="str">
        <f>IF(OR(V473="提取中",V473="文库构建中",V473="文库质检中",V473="pooling排机中",V473="上机测序中"),SUMPRODUCT((($V$2:V473="提取中")+($V$2:V473="文库构建中")+($V$2:V473="文库质检中")+($V$2:V473="pooling排机中")+($V$2:V473="上机测序中"))*1),"")</f>
        <v/>
      </c>
      <c r="AA473" s="21" t="str">
        <f>IF(V473="测序完成",COUNTIF($V$2:V473,"测序完成"),"")</f>
        <v/>
      </c>
      <c r="AB473" s="21" t="str">
        <f>E473&amp;COUNTIFS($E$2:E473,E473)</f>
        <v>0</v>
      </c>
      <c r="AC473" s="21" t="str">
        <f t="shared" si="7"/>
        <v/>
      </c>
    </row>
    <row r="474" spans="24:29">
      <c r="X474" s="21" t="str">
        <f>IF(K474="紧急",COUNTIF($K$2:K474,"紧急"),"")</f>
        <v/>
      </c>
      <c r="Y474" s="21" t="str">
        <f>IF(V474="未提取",COUNTIF($V$2:V474,"未提取"),"")</f>
        <v/>
      </c>
      <c r="Z474" s="21" t="str">
        <f>IF(OR(V474="提取中",V474="文库构建中",V474="文库质检中",V474="pooling排机中",V474="上机测序中"),SUMPRODUCT((($V$2:V474="提取中")+($V$2:V474="文库构建中")+($V$2:V474="文库质检中")+($V$2:V474="pooling排机中")+($V$2:V474="上机测序中"))*1),"")</f>
        <v/>
      </c>
      <c r="AA474" s="21" t="str">
        <f>IF(V474="测序完成",COUNTIF($V$2:V474,"测序完成"),"")</f>
        <v/>
      </c>
      <c r="AB474" s="21" t="str">
        <f>E474&amp;COUNTIFS($E$2:E474,E474)</f>
        <v>0</v>
      </c>
      <c r="AC474" s="21" t="str">
        <f t="shared" si="7"/>
        <v/>
      </c>
    </row>
    <row r="475" spans="24:29">
      <c r="X475" s="21" t="str">
        <f>IF(K475="紧急",COUNTIF($K$2:K475,"紧急"),"")</f>
        <v/>
      </c>
      <c r="Y475" s="21" t="str">
        <f>IF(V475="未提取",COUNTIF($V$2:V475,"未提取"),"")</f>
        <v/>
      </c>
      <c r="Z475" s="21" t="str">
        <f>IF(OR(V475="提取中",V475="文库构建中",V475="文库质检中",V475="pooling排机中",V475="上机测序中"),SUMPRODUCT((($V$2:V475="提取中")+($V$2:V475="文库构建中")+($V$2:V475="文库质检中")+($V$2:V475="pooling排机中")+($V$2:V475="上机测序中"))*1),"")</f>
        <v/>
      </c>
      <c r="AA475" s="21" t="str">
        <f>IF(V475="测序完成",COUNTIF($V$2:V475,"测序完成"),"")</f>
        <v/>
      </c>
      <c r="AB475" s="21" t="str">
        <f>E475&amp;COUNTIFS($E$2:E475,E475)</f>
        <v>0</v>
      </c>
      <c r="AC475" s="21" t="str">
        <f t="shared" si="7"/>
        <v/>
      </c>
    </row>
    <row r="476" spans="24:29">
      <c r="X476" s="21" t="str">
        <f>IF(K476="紧急",COUNTIF($K$2:K476,"紧急"),"")</f>
        <v/>
      </c>
      <c r="Y476" s="21" t="str">
        <f>IF(V476="未提取",COUNTIF($V$2:V476,"未提取"),"")</f>
        <v/>
      </c>
      <c r="Z476" s="21" t="str">
        <f>IF(OR(V476="提取中",V476="文库构建中",V476="文库质检中",V476="pooling排机中",V476="上机测序中"),SUMPRODUCT((($V$2:V476="提取中")+($V$2:V476="文库构建中")+($V$2:V476="文库质检中")+($V$2:V476="pooling排机中")+($V$2:V476="上机测序中"))*1),"")</f>
        <v/>
      </c>
      <c r="AA476" s="21" t="str">
        <f>IF(V476="测序完成",COUNTIF($V$2:V476,"测序完成"),"")</f>
        <v/>
      </c>
      <c r="AB476" s="21" t="str">
        <f>E476&amp;COUNTIFS($E$2:E476,E476)</f>
        <v>0</v>
      </c>
      <c r="AC476" s="21" t="str">
        <f t="shared" si="7"/>
        <v/>
      </c>
    </row>
    <row r="477" spans="24:29">
      <c r="X477" s="21" t="str">
        <f>IF(K477="紧急",COUNTIF($K$2:K477,"紧急"),"")</f>
        <v/>
      </c>
      <c r="Y477" s="21" t="str">
        <f>IF(V477="未提取",COUNTIF($V$2:V477,"未提取"),"")</f>
        <v/>
      </c>
      <c r="Z477" s="21" t="str">
        <f>IF(OR(V477="提取中",V477="文库构建中",V477="文库质检中",V477="pooling排机中",V477="上机测序中"),SUMPRODUCT((($V$2:V477="提取中")+($V$2:V477="文库构建中")+($V$2:V477="文库质检中")+($V$2:V477="pooling排机中")+($V$2:V477="上机测序中"))*1),"")</f>
        <v/>
      </c>
      <c r="AA477" s="21" t="str">
        <f>IF(V477="测序完成",COUNTIF($V$2:V477,"测序完成"),"")</f>
        <v/>
      </c>
      <c r="AB477" s="21" t="str">
        <f>E477&amp;COUNTIFS($E$2:E477,E477)</f>
        <v>0</v>
      </c>
      <c r="AC477" s="21" t="str">
        <f t="shared" si="7"/>
        <v/>
      </c>
    </row>
    <row r="478" spans="24:29">
      <c r="X478" s="21" t="str">
        <f>IF(K478="紧急",COUNTIF($K$2:K478,"紧急"),"")</f>
        <v/>
      </c>
      <c r="Y478" s="21" t="str">
        <f>IF(V478="未提取",COUNTIF($V$2:V478,"未提取"),"")</f>
        <v/>
      </c>
      <c r="Z478" s="21" t="str">
        <f>IF(OR(V478="提取中",V478="文库构建中",V478="文库质检中",V478="pooling排机中",V478="上机测序中"),SUMPRODUCT((($V$2:V478="提取中")+($V$2:V478="文库构建中")+($V$2:V478="文库质检中")+($V$2:V478="pooling排机中")+($V$2:V478="上机测序中"))*1),"")</f>
        <v/>
      </c>
      <c r="AA478" s="21" t="str">
        <f>IF(V478="测序完成",COUNTIF($V$2:V478,"测序完成"),"")</f>
        <v/>
      </c>
      <c r="AB478" s="21" t="str">
        <f>E478&amp;COUNTIFS($E$2:E478,E478)</f>
        <v>0</v>
      </c>
      <c r="AC478" s="21" t="str">
        <f t="shared" si="7"/>
        <v/>
      </c>
    </row>
    <row r="479" spans="24:29">
      <c r="X479" s="21" t="str">
        <f>IF(K479="紧急",COUNTIF($K$2:K479,"紧急"),"")</f>
        <v/>
      </c>
      <c r="Y479" s="21" t="str">
        <f>IF(V479="未提取",COUNTIF($V$2:V479,"未提取"),"")</f>
        <v/>
      </c>
      <c r="Z479" s="21" t="str">
        <f>IF(OR(V479="提取中",V479="文库构建中",V479="文库质检中",V479="pooling排机中",V479="上机测序中"),SUMPRODUCT((($V$2:V479="提取中")+($V$2:V479="文库构建中")+($V$2:V479="文库质检中")+($V$2:V479="pooling排机中")+($V$2:V479="上机测序中"))*1),"")</f>
        <v/>
      </c>
      <c r="AA479" s="21" t="str">
        <f>IF(V479="测序完成",COUNTIF($V$2:V479,"测序完成"),"")</f>
        <v/>
      </c>
      <c r="AB479" s="21" t="str">
        <f>E479&amp;COUNTIFS($E$2:E479,E479)</f>
        <v>0</v>
      </c>
      <c r="AC479" s="21" t="str">
        <f t="shared" si="7"/>
        <v/>
      </c>
    </row>
    <row r="480" spans="24:29">
      <c r="X480" s="21" t="str">
        <f>IF(K480="紧急",COUNTIF($K$2:K480,"紧急"),"")</f>
        <v/>
      </c>
      <c r="Y480" s="21" t="str">
        <f>IF(V480="未提取",COUNTIF($V$2:V480,"未提取"),"")</f>
        <v/>
      </c>
      <c r="Z480" s="21" t="str">
        <f>IF(OR(V480="提取中",V480="文库构建中",V480="文库质检中",V480="pooling排机中",V480="上机测序中"),SUMPRODUCT((($V$2:V480="提取中")+($V$2:V480="文库构建中")+($V$2:V480="文库质检中")+($V$2:V480="pooling排机中")+($V$2:V480="上机测序中"))*1),"")</f>
        <v/>
      </c>
      <c r="AA480" s="21" t="str">
        <f>IF(V480="测序完成",COUNTIF($V$2:V480,"测序完成"),"")</f>
        <v/>
      </c>
      <c r="AB480" s="21" t="str">
        <f>E480&amp;COUNTIFS($E$2:E480,E480)</f>
        <v>0</v>
      </c>
      <c r="AC480" s="21" t="str">
        <f t="shared" si="7"/>
        <v/>
      </c>
    </row>
    <row r="481" spans="24:29">
      <c r="X481" s="21" t="str">
        <f>IF(K481="紧急",COUNTIF($K$2:K481,"紧急"),"")</f>
        <v/>
      </c>
      <c r="Y481" s="21" t="str">
        <f>IF(V481="未提取",COUNTIF($V$2:V481,"未提取"),"")</f>
        <v/>
      </c>
      <c r="Z481" s="21" t="str">
        <f>IF(OR(V481="提取中",V481="文库构建中",V481="文库质检中",V481="pooling排机中",V481="上机测序中"),SUMPRODUCT((($V$2:V481="提取中")+($V$2:V481="文库构建中")+($V$2:V481="文库质检中")+($V$2:V481="pooling排机中")+($V$2:V481="上机测序中"))*1),"")</f>
        <v/>
      </c>
      <c r="AA481" s="21" t="str">
        <f>IF(V481="测序完成",COUNTIF($V$2:V481,"测序完成"),"")</f>
        <v/>
      </c>
      <c r="AB481" s="21" t="str">
        <f>E481&amp;COUNTIFS($E$2:E481,E481)</f>
        <v>0</v>
      </c>
      <c r="AC481" s="21" t="str">
        <f t="shared" si="7"/>
        <v/>
      </c>
    </row>
    <row r="482" spans="24:29">
      <c r="X482" s="21" t="str">
        <f>IF(K482="紧急",COUNTIF($K$2:K482,"紧急"),"")</f>
        <v/>
      </c>
      <c r="Y482" s="21" t="str">
        <f>IF(V482="未提取",COUNTIF($V$2:V482,"未提取"),"")</f>
        <v/>
      </c>
      <c r="Z482" s="21" t="str">
        <f>IF(OR(V482="提取中",V482="文库构建中",V482="文库质检中",V482="pooling排机中",V482="上机测序中"),SUMPRODUCT((($V$2:V482="提取中")+($V$2:V482="文库构建中")+($V$2:V482="文库质检中")+($V$2:V482="pooling排机中")+($V$2:V482="上机测序中"))*1),"")</f>
        <v/>
      </c>
      <c r="AA482" s="21" t="str">
        <f>IF(V482="测序完成",COUNTIF($V$2:V482,"测序完成"),"")</f>
        <v/>
      </c>
      <c r="AB482" s="21" t="str">
        <f>E482&amp;COUNTIFS($E$2:E482,E482)</f>
        <v>0</v>
      </c>
      <c r="AC482" s="21" t="str">
        <f t="shared" si="7"/>
        <v/>
      </c>
    </row>
    <row r="483" spans="24:29">
      <c r="X483" s="21" t="str">
        <f>IF(K483="紧急",COUNTIF($K$2:K483,"紧急"),"")</f>
        <v/>
      </c>
      <c r="Y483" s="21" t="str">
        <f>IF(V483="未提取",COUNTIF($V$2:V483,"未提取"),"")</f>
        <v/>
      </c>
      <c r="Z483" s="21" t="str">
        <f>IF(OR(V483="提取中",V483="文库构建中",V483="文库质检中",V483="pooling排机中",V483="上机测序中"),SUMPRODUCT((($V$2:V483="提取中")+($V$2:V483="文库构建中")+($V$2:V483="文库质检中")+($V$2:V483="pooling排机中")+($V$2:V483="上机测序中"))*1),"")</f>
        <v/>
      </c>
      <c r="AA483" s="21" t="str">
        <f>IF(V483="测序完成",COUNTIF($V$2:V483,"测序完成"),"")</f>
        <v/>
      </c>
      <c r="AB483" s="21" t="str">
        <f>E483&amp;COUNTIFS($E$2:E483,E483)</f>
        <v>0</v>
      </c>
      <c r="AC483" s="21" t="str">
        <f t="shared" si="7"/>
        <v/>
      </c>
    </row>
    <row r="484" spans="24:29">
      <c r="X484" s="21" t="str">
        <f>IF(K484="紧急",COUNTIF($K$2:K484,"紧急"),"")</f>
        <v/>
      </c>
      <c r="Y484" s="21" t="str">
        <f>IF(V484="未提取",COUNTIF($V$2:V484,"未提取"),"")</f>
        <v/>
      </c>
      <c r="Z484" s="21" t="str">
        <f>IF(OR(V484="提取中",V484="文库构建中",V484="文库质检中",V484="pooling排机中",V484="上机测序中"),SUMPRODUCT((($V$2:V484="提取中")+($V$2:V484="文库构建中")+($V$2:V484="文库质检中")+($V$2:V484="pooling排机中")+($V$2:V484="上机测序中"))*1),"")</f>
        <v/>
      </c>
      <c r="AA484" s="21" t="str">
        <f>IF(V484="测序完成",COUNTIF($V$2:V484,"测序完成"),"")</f>
        <v/>
      </c>
      <c r="AB484" s="21" t="str">
        <f>E484&amp;COUNTIFS($E$2:E484,E484)</f>
        <v>0</v>
      </c>
      <c r="AC484" s="21" t="str">
        <f t="shared" si="7"/>
        <v/>
      </c>
    </row>
    <row r="485" spans="24:29">
      <c r="X485" s="21" t="str">
        <f>IF(K485="紧急",COUNTIF($K$2:K485,"紧急"),"")</f>
        <v/>
      </c>
      <c r="Y485" s="21" t="str">
        <f>IF(V485="未提取",COUNTIF($V$2:V485,"未提取"),"")</f>
        <v/>
      </c>
      <c r="Z485" s="21" t="str">
        <f>IF(OR(V485="提取中",V485="文库构建中",V485="文库质检中",V485="pooling排机中",V485="上机测序中"),SUMPRODUCT((($V$2:V485="提取中")+($V$2:V485="文库构建中")+($V$2:V485="文库质检中")+($V$2:V485="pooling排机中")+($V$2:V485="上机测序中"))*1),"")</f>
        <v/>
      </c>
      <c r="AA485" s="21" t="str">
        <f>IF(V485="测序完成",COUNTIF($V$2:V485,"测序完成"),"")</f>
        <v/>
      </c>
      <c r="AB485" s="21" t="str">
        <f>E485&amp;COUNTIFS($E$2:E485,E485)</f>
        <v>0</v>
      </c>
      <c r="AC485" s="21" t="str">
        <f t="shared" si="7"/>
        <v/>
      </c>
    </row>
    <row r="486" spans="24:29">
      <c r="X486" s="21" t="str">
        <f>IF(K486="紧急",COUNTIF($K$2:K486,"紧急"),"")</f>
        <v/>
      </c>
      <c r="Y486" s="21" t="str">
        <f>IF(V486="未提取",COUNTIF($V$2:V486,"未提取"),"")</f>
        <v/>
      </c>
      <c r="Z486" s="21" t="str">
        <f>IF(OR(V486="提取中",V486="文库构建中",V486="文库质检中",V486="pooling排机中",V486="上机测序中"),SUMPRODUCT((($V$2:V486="提取中")+($V$2:V486="文库构建中")+($V$2:V486="文库质检中")+($V$2:V486="pooling排机中")+($V$2:V486="上机测序中"))*1),"")</f>
        <v/>
      </c>
      <c r="AA486" s="21" t="str">
        <f>IF(V486="测序完成",COUNTIF($V$2:V486,"测序完成"),"")</f>
        <v/>
      </c>
      <c r="AB486" s="21" t="str">
        <f>E486&amp;COUNTIFS($E$2:E486,E486)</f>
        <v>0</v>
      </c>
      <c r="AC486" s="21" t="str">
        <f t="shared" si="7"/>
        <v/>
      </c>
    </row>
    <row r="487" spans="24:29">
      <c r="X487" s="21" t="str">
        <f>IF(K487="紧急",COUNTIF($K$2:K487,"紧急"),"")</f>
        <v/>
      </c>
      <c r="Y487" s="21" t="str">
        <f>IF(V487="未提取",COUNTIF($V$2:V487,"未提取"),"")</f>
        <v/>
      </c>
      <c r="Z487" s="21" t="str">
        <f>IF(OR(V487="提取中",V487="文库构建中",V487="文库质检中",V487="pooling排机中",V487="上机测序中"),SUMPRODUCT((($V$2:V487="提取中")+($V$2:V487="文库构建中")+($V$2:V487="文库质检中")+($V$2:V487="pooling排机中")+($V$2:V487="上机测序中"))*1),"")</f>
        <v/>
      </c>
      <c r="AA487" s="21" t="str">
        <f>IF(V487="测序完成",COUNTIF($V$2:V487,"测序完成"),"")</f>
        <v/>
      </c>
      <c r="AB487" s="21" t="str">
        <f>E487&amp;COUNTIFS($E$2:E487,E487)</f>
        <v>0</v>
      </c>
      <c r="AC487" s="21" t="str">
        <f t="shared" si="7"/>
        <v/>
      </c>
    </row>
    <row r="488" spans="24:29">
      <c r="X488" s="21" t="str">
        <f>IF(K488="紧急",COUNTIF($K$2:K488,"紧急"),"")</f>
        <v/>
      </c>
      <c r="Y488" s="21" t="str">
        <f>IF(V488="未提取",COUNTIF($V$2:V488,"未提取"),"")</f>
        <v/>
      </c>
      <c r="Z488" s="21" t="str">
        <f>IF(OR(V488="提取中",V488="文库构建中",V488="文库质检中",V488="pooling排机中",V488="上机测序中"),SUMPRODUCT((($V$2:V488="提取中")+($V$2:V488="文库构建中")+($V$2:V488="文库质检中")+($V$2:V488="pooling排机中")+($V$2:V488="上机测序中"))*1),"")</f>
        <v/>
      </c>
      <c r="AA488" s="21" t="str">
        <f>IF(V488="测序完成",COUNTIF($V$2:V488,"测序完成"),"")</f>
        <v/>
      </c>
      <c r="AB488" s="21" t="str">
        <f>E488&amp;COUNTIFS($E$2:E488,E488)</f>
        <v>0</v>
      </c>
      <c r="AC488" s="21" t="str">
        <f t="shared" si="7"/>
        <v/>
      </c>
    </row>
    <row r="489" spans="24:29">
      <c r="X489" s="21" t="str">
        <f>IF(K489="紧急",COUNTIF($K$2:K489,"紧急"),"")</f>
        <v/>
      </c>
      <c r="Y489" s="21" t="str">
        <f>IF(V489="未提取",COUNTIF($V$2:V489,"未提取"),"")</f>
        <v/>
      </c>
      <c r="Z489" s="21" t="str">
        <f>IF(OR(V489="提取中",V489="文库构建中",V489="文库质检中",V489="pooling排机中",V489="上机测序中"),SUMPRODUCT((($V$2:V489="提取中")+($V$2:V489="文库构建中")+($V$2:V489="文库质检中")+($V$2:V489="pooling排机中")+($V$2:V489="上机测序中"))*1),"")</f>
        <v/>
      </c>
      <c r="AA489" s="21" t="str">
        <f>IF(V489="测序完成",COUNTIF($V$2:V489,"测序完成"),"")</f>
        <v/>
      </c>
      <c r="AB489" s="21" t="str">
        <f>E489&amp;COUNTIFS($E$2:E489,E489)</f>
        <v>0</v>
      </c>
      <c r="AC489" s="21" t="str">
        <f t="shared" si="7"/>
        <v/>
      </c>
    </row>
    <row r="490" spans="24:29">
      <c r="X490" s="21" t="str">
        <f>IF(K490="紧急",COUNTIF($K$2:K490,"紧急"),"")</f>
        <v/>
      </c>
      <c r="Y490" s="21" t="str">
        <f>IF(V490="未提取",COUNTIF($V$2:V490,"未提取"),"")</f>
        <v/>
      </c>
      <c r="Z490" s="21" t="str">
        <f>IF(OR(V490="提取中",V490="文库构建中",V490="文库质检中",V490="pooling排机中",V490="上机测序中"),SUMPRODUCT((($V$2:V490="提取中")+($V$2:V490="文库构建中")+($V$2:V490="文库质检中")+($V$2:V490="pooling排机中")+($V$2:V490="上机测序中"))*1),"")</f>
        <v/>
      </c>
      <c r="AA490" s="21" t="str">
        <f>IF(V490="测序完成",COUNTIF($V$2:V490,"测序完成"),"")</f>
        <v/>
      </c>
      <c r="AB490" s="21" t="str">
        <f>E490&amp;COUNTIFS($E$2:E490,E490)</f>
        <v>0</v>
      </c>
      <c r="AC490" s="21" t="str">
        <f t="shared" si="7"/>
        <v/>
      </c>
    </row>
    <row r="491" spans="24:29">
      <c r="X491" s="21" t="str">
        <f>IF(K491="紧急",COUNTIF($K$2:K491,"紧急"),"")</f>
        <v/>
      </c>
      <c r="Y491" s="21" t="str">
        <f>IF(V491="未提取",COUNTIF($V$2:V491,"未提取"),"")</f>
        <v/>
      </c>
      <c r="Z491" s="21" t="str">
        <f>IF(OR(V491="提取中",V491="文库构建中",V491="文库质检中",V491="pooling排机中",V491="上机测序中"),SUMPRODUCT((($V$2:V491="提取中")+($V$2:V491="文库构建中")+($V$2:V491="文库质检中")+($V$2:V491="pooling排机中")+($V$2:V491="上机测序中"))*1),"")</f>
        <v/>
      </c>
      <c r="AA491" s="21" t="str">
        <f>IF(V491="测序完成",COUNTIF($V$2:V491,"测序完成"),"")</f>
        <v/>
      </c>
      <c r="AB491" s="21" t="str">
        <f>E491&amp;COUNTIFS($E$2:E491,E491)</f>
        <v>0</v>
      </c>
      <c r="AC491" s="21" t="str">
        <f t="shared" si="7"/>
        <v/>
      </c>
    </row>
    <row r="492" spans="24:29">
      <c r="X492" s="21" t="str">
        <f>IF(K492="紧急",COUNTIF($K$2:K492,"紧急"),"")</f>
        <v/>
      </c>
      <c r="Y492" s="21" t="str">
        <f>IF(V492="未提取",COUNTIF($V$2:V492,"未提取"),"")</f>
        <v/>
      </c>
      <c r="Z492" s="21" t="str">
        <f>IF(OR(V492="提取中",V492="文库构建中",V492="文库质检中",V492="pooling排机中",V492="上机测序中"),SUMPRODUCT((($V$2:V492="提取中")+($V$2:V492="文库构建中")+($V$2:V492="文库质检中")+($V$2:V492="pooling排机中")+($V$2:V492="上机测序中"))*1),"")</f>
        <v/>
      </c>
      <c r="AA492" s="21" t="str">
        <f>IF(V492="测序完成",COUNTIF($V$2:V492,"测序完成"),"")</f>
        <v/>
      </c>
      <c r="AB492" s="21" t="str">
        <f>E492&amp;COUNTIFS($E$2:E492,E492)</f>
        <v>0</v>
      </c>
      <c r="AC492" s="21" t="str">
        <f t="shared" si="7"/>
        <v/>
      </c>
    </row>
    <row r="493" spans="24:29">
      <c r="X493" s="21" t="str">
        <f>IF(K493="紧急",COUNTIF($K$2:K493,"紧急"),"")</f>
        <v/>
      </c>
      <c r="Y493" s="21" t="str">
        <f>IF(V493="未提取",COUNTIF($V$2:V493,"未提取"),"")</f>
        <v/>
      </c>
      <c r="Z493" s="21" t="str">
        <f>IF(OR(V493="提取中",V493="文库构建中",V493="文库质检中",V493="pooling排机中",V493="上机测序中"),SUMPRODUCT((($V$2:V493="提取中")+($V$2:V493="文库构建中")+($V$2:V493="文库质检中")+($V$2:V493="pooling排机中")+($V$2:V493="上机测序中"))*1),"")</f>
        <v/>
      </c>
      <c r="AA493" s="21" t="str">
        <f>IF(V493="测序完成",COUNTIF($V$2:V493,"测序完成"),"")</f>
        <v/>
      </c>
      <c r="AB493" s="21" t="str">
        <f>E493&amp;COUNTIFS($E$2:E493,E493)</f>
        <v>0</v>
      </c>
      <c r="AC493" s="21" t="str">
        <f t="shared" si="7"/>
        <v/>
      </c>
    </row>
    <row r="494" spans="24:29">
      <c r="X494" s="21" t="str">
        <f>IF(K494="紧急",COUNTIF($K$2:K494,"紧急"),"")</f>
        <v/>
      </c>
      <c r="Y494" s="21" t="str">
        <f>IF(V494="未提取",COUNTIF($V$2:V494,"未提取"),"")</f>
        <v/>
      </c>
      <c r="Z494" s="21" t="str">
        <f>IF(OR(V494="提取中",V494="文库构建中",V494="文库质检中",V494="pooling排机中",V494="上机测序中"),SUMPRODUCT((($V$2:V494="提取中")+($V$2:V494="文库构建中")+($V$2:V494="文库质检中")+($V$2:V494="pooling排机中")+($V$2:V494="上机测序中"))*1),"")</f>
        <v/>
      </c>
      <c r="AA494" s="21" t="str">
        <f>IF(V494="测序完成",COUNTIF($V$2:V494,"测序完成"),"")</f>
        <v/>
      </c>
      <c r="AB494" s="21" t="str">
        <f>E494&amp;COUNTIFS($E$2:E494,E494)</f>
        <v>0</v>
      </c>
      <c r="AC494" s="21" t="str">
        <f t="shared" si="7"/>
        <v/>
      </c>
    </row>
    <row r="495" spans="24:29">
      <c r="X495" s="21" t="str">
        <f>IF(K495="紧急",COUNTIF($K$2:K495,"紧急"),"")</f>
        <v/>
      </c>
      <c r="Y495" s="21" t="str">
        <f>IF(V495="未提取",COUNTIF($V$2:V495,"未提取"),"")</f>
        <v/>
      </c>
      <c r="Z495" s="21" t="str">
        <f>IF(OR(V495="提取中",V495="文库构建中",V495="文库质检中",V495="pooling排机中",V495="上机测序中"),SUMPRODUCT((($V$2:V495="提取中")+($V$2:V495="文库构建中")+($V$2:V495="文库质检中")+($V$2:V495="pooling排机中")+($V$2:V495="上机测序中"))*1),"")</f>
        <v/>
      </c>
      <c r="AA495" s="21" t="str">
        <f>IF(V495="测序完成",COUNTIF($V$2:V495,"测序完成"),"")</f>
        <v/>
      </c>
      <c r="AB495" s="21" t="str">
        <f>E495&amp;COUNTIFS($E$2:E495,E495)</f>
        <v>0</v>
      </c>
      <c r="AC495" s="21" t="str">
        <f t="shared" si="7"/>
        <v/>
      </c>
    </row>
    <row r="496" spans="24:29">
      <c r="X496" s="21" t="str">
        <f>IF(K496="紧急",COUNTIF($K$2:K496,"紧急"),"")</f>
        <v/>
      </c>
      <c r="Y496" s="21" t="str">
        <f>IF(V496="未提取",COUNTIF($V$2:V496,"未提取"),"")</f>
        <v/>
      </c>
      <c r="Z496" s="21" t="str">
        <f>IF(OR(V496="提取中",V496="文库构建中",V496="文库质检中",V496="pooling排机中",V496="上机测序中"),SUMPRODUCT((($V$2:V496="提取中")+($V$2:V496="文库构建中")+($V$2:V496="文库质检中")+($V$2:V496="pooling排机中")+($V$2:V496="上机测序中"))*1),"")</f>
        <v/>
      </c>
      <c r="AA496" s="21" t="str">
        <f>IF(V496="测序完成",COUNTIF($V$2:V496,"测序完成"),"")</f>
        <v/>
      </c>
      <c r="AB496" s="21" t="str">
        <f>E496&amp;COUNTIFS($E$2:E496,E496)</f>
        <v>0</v>
      </c>
      <c r="AC496" s="21" t="str">
        <f t="shared" si="7"/>
        <v/>
      </c>
    </row>
    <row r="497" spans="24:29">
      <c r="X497" s="21" t="str">
        <f>IF(K497="紧急",COUNTIF($K$2:K497,"紧急"),"")</f>
        <v/>
      </c>
      <c r="Y497" s="21" t="str">
        <f>IF(V497="未提取",COUNTIF($V$2:V497,"未提取"),"")</f>
        <v/>
      </c>
      <c r="Z497" s="21" t="str">
        <f>IF(OR(V497="提取中",V497="文库构建中",V497="文库质检中",V497="pooling排机中",V497="上机测序中"),SUMPRODUCT((($V$2:V497="提取中")+($V$2:V497="文库构建中")+($V$2:V497="文库质检中")+($V$2:V497="pooling排机中")+($V$2:V497="上机测序中"))*1),"")</f>
        <v/>
      </c>
      <c r="AA497" s="21" t="str">
        <f>IF(V497="测序完成",COUNTIF($V$2:V497,"测序完成"),"")</f>
        <v/>
      </c>
      <c r="AB497" s="21" t="str">
        <f>E497&amp;COUNTIFS($E$2:E497,E497)</f>
        <v>0</v>
      </c>
      <c r="AC497" s="21" t="str">
        <f t="shared" si="7"/>
        <v/>
      </c>
    </row>
    <row r="498" spans="24:29">
      <c r="X498" s="21" t="str">
        <f>IF(K498="紧急",COUNTIF($K$2:K498,"紧急"),"")</f>
        <v/>
      </c>
      <c r="Y498" s="21" t="str">
        <f>IF(V498="未提取",COUNTIF($V$2:V498,"未提取"),"")</f>
        <v/>
      </c>
      <c r="Z498" s="21" t="str">
        <f>IF(OR(V498="提取中",V498="文库构建中",V498="文库质检中",V498="pooling排机中",V498="上机测序中"),SUMPRODUCT((($V$2:V498="提取中")+($V$2:V498="文库构建中")+($V$2:V498="文库质检中")+($V$2:V498="pooling排机中")+($V$2:V498="上机测序中"))*1),"")</f>
        <v/>
      </c>
      <c r="AA498" s="21" t="str">
        <f>IF(V498="测序完成",COUNTIF($V$2:V498,"测序完成"),"")</f>
        <v/>
      </c>
      <c r="AB498" s="21" t="str">
        <f>E498&amp;COUNTIFS($E$2:E498,E498)</f>
        <v>0</v>
      </c>
      <c r="AC498" s="21" t="str">
        <f t="shared" si="7"/>
        <v/>
      </c>
    </row>
    <row r="499" spans="24:29">
      <c r="X499" s="21" t="str">
        <f>IF(K499="紧急",COUNTIF($K$2:K499,"紧急"),"")</f>
        <v/>
      </c>
      <c r="Y499" s="21" t="str">
        <f>IF(V499="未提取",COUNTIF($V$2:V499,"未提取"),"")</f>
        <v/>
      </c>
      <c r="Z499" s="21" t="str">
        <f>IF(OR(V499="提取中",V499="文库构建中",V499="文库质检中",V499="pooling排机中",V499="上机测序中"),SUMPRODUCT((($V$2:V499="提取中")+($V$2:V499="文库构建中")+($V$2:V499="文库质检中")+($V$2:V499="pooling排机中")+($V$2:V499="上机测序中"))*1),"")</f>
        <v/>
      </c>
      <c r="AA499" s="21" t="str">
        <f>IF(V499="测序完成",COUNTIF($V$2:V499,"测序完成"),"")</f>
        <v/>
      </c>
      <c r="AB499" s="21" t="str">
        <f>E499&amp;COUNTIFS($E$2:E499,E499)</f>
        <v>0</v>
      </c>
      <c r="AC499" s="21" t="str">
        <f t="shared" si="7"/>
        <v/>
      </c>
    </row>
    <row r="500" spans="24:29">
      <c r="X500" s="21" t="str">
        <f>IF(K500="紧急",COUNTIF($K$2:K500,"紧急"),"")</f>
        <v/>
      </c>
      <c r="Y500" s="21" t="str">
        <f>IF(V500="未提取",COUNTIF($V$2:V500,"未提取"),"")</f>
        <v/>
      </c>
      <c r="Z500" s="21" t="str">
        <f>IF(OR(V500="提取中",V500="文库构建中",V500="文库质检中",V500="pooling排机中",V500="上机测序中"),SUMPRODUCT((($V$2:V500="提取中")+($V$2:V500="文库构建中")+($V$2:V500="文库质检中")+($V$2:V500="pooling排机中")+($V$2:V500="上机测序中"))*1),"")</f>
        <v/>
      </c>
      <c r="AA500" s="21" t="str">
        <f>IF(V500="测序完成",COUNTIF($V$2:V500,"测序完成"),"")</f>
        <v/>
      </c>
      <c r="AB500" s="21" t="str">
        <f>E500&amp;COUNTIFS($E$2:E500,E500)</f>
        <v>0</v>
      </c>
      <c r="AC500" s="21" t="str">
        <f t="shared" si="7"/>
        <v/>
      </c>
    </row>
  </sheetData>
  <conditionalFormatting sqref="K7">
    <cfRule type="cellIs" dxfId="0" priority="11" operator="equal">
      <formula>"紧急"</formula>
    </cfRule>
    <cfRule type="cellIs" dxfId="1" priority="12" operator="equal">
      <formula>"重要"</formula>
    </cfRule>
    <cfRule type="cellIs" dxfId="2" priority="13" operator="equal">
      <formula>"常规"</formula>
    </cfRule>
  </conditionalFormatting>
  <conditionalFormatting sqref="K8">
    <cfRule type="cellIs" dxfId="0" priority="14" operator="equal">
      <formula>"紧急"</formula>
    </cfRule>
    <cfRule type="cellIs" dxfId="1" priority="15" operator="equal">
      <formula>"重要"</formula>
    </cfRule>
    <cfRule type="cellIs" dxfId="2" priority="16" operator="equal">
      <formula>"常规"</formula>
    </cfRule>
  </conditionalFormatting>
  <conditionalFormatting sqref="K9">
    <cfRule type="cellIs" dxfId="2" priority="9" operator="equal">
      <formula>"常规"</formula>
    </cfRule>
    <cfRule type="cellIs" dxfId="1" priority="8" operator="equal">
      <formula>"重要"</formula>
    </cfRule>
    <cfRule type="cellIs" dxfId="0" priority="7" operator="equal">
      <formula>"紧急"</formula>
    </cfRule>
  </conditionalFormatting>
  <conditionalFormatting sqref="K10">
    <cfRule type="cellIs" dxfId="2" priority="3" operator="equal">
      <formula>"常规"</formula>
    </cfRule>
    <cfRule type="cellIs" dxfId="1" priority="2" operator="equal">
      <formula>"重要"</formula>
    </cfRule>
    <cfRule type="cellIs" dxfId="0" priority="1" operator="equal">
      <formula>"紧急"</formula>
    </cfRule>
  </conditionalFormatting>
  <conditionalFormatting sqref="K11">
    <cfRule type="cellIs" dxfId="2" priority="6" operator="equal">
      <formula>"常规"</formula>
    </cfRule>
    <cfRule type="cellIs" dxfId="1" priority="5" operator="equal">
      <formula>"重要"</formula>
    </cfRule>
    <cfRule type="cellIs" dxfId="0" priority="4" operator="equal">
      <formula>"紧急"</formula>
    </cfRule>
  </conditionalFormatting>
  <conditionalFormatting sqref="K2:K6 K12:K1000">
    <cfRule type="cellIs" dxfId="0" priority="17" operator="equal">
      <formula>"紧急"</formula>
    </cfRule>
    <cfRule type="cellIs" dxfId="1" priority="18" operator="equal">
      <formula>"重要"</formula>
    </cfRule>
    <cfRule type="cellIs" dxfId="2" priority="19" operator="equal">
      <formula>"常规"</formula>
    </cfRule>
  </conditionalFormatting>
  <dataValidations count="6">
    <dataValidation type="list" allowBlank="1" errorTitle="输入错误" error="请从下拉列表中选择" promptTitle="样本性质" prompt="请选择样本性质" sqref="G2:G8 G9:G11 G12:G1000">
      <formula1>"核酸,原始样本,文库"</formula1>
    </dataValidation>
    <dataValidation type="list" allowBlank="1" errorTitle="输入错误" error="请从下拉列表中选择" promptTitle="优先级" prompt="请选择优先级" sqref="K2:K8 K9:K11 K12:K1000">
      <formula1>"紧急,重要,常规"</formula1>
    </dataValidation>
    <dataValidation type="list" allowBlank="1" errorTitle="输入错误" error="请从下拉列表中选择" promptTitle="测序安排" prompt="请选择测序安排" sqref="N2:N8 N9:N11 N12:N1000">
      <formula1>"外送华大,外送解达,内部上机"</formula1>
    </dataValidation>
    <dataValidation type="list" allowBlank="1" errorTitle="输入错误" error="请从下拉列表中选择" promptTitle="上机平台" prompt="请选择上机平台" sqref="O2:O8 O9:O11 O12:O1000">
      <formula1>"G99,Vision,illumina,T7,T7+"</formula1>
    </dataValidation>
    <dataValidation type="list" allowBlank="1" errorTitle="输入错误" error="请从下拉列表中选择" promptTitle="测序模式" prompt="请选择测序模式" sqref="S2:S8 S9:S11 S12:S1000">
      <formula1>"PE150,PE100,SE50,SE75,其他"</formula1>
    </dataValidation>
    <dataValidation type="list" allowBlank="1" errorTitle="输入错误" error="请从下拉列表中选择" promptTitle="目前进展" prompt="请选择当前进展" sqref="V2:V8 V9:V11 V12:V1000">
      <formula1>"未提取,提取中,文库构建中,文库质检中,pooling排机中,上机测序中,测序完成"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00"/>
  <sheetViews>
    <sheetView showGridLines="0" workbookViewId="0">
      <pane ySplit="1" topLeftCell="A2" activePane="bottomLeft" state="frozen"/>
      <selection/>
      <selection pane="bottomLeft" activeCell="G15" sqref="G15"/>
    </sheetView>
  </sheetViews>
  <sheetFormatPr defaultColWidth="9" defaultRowHeight="14"/>
  <cols>
    <col min="1" max="1" width="14" customWidth="1"/>
    <col min="2" max="2" width="12" customWidth="1"/>
    <col min="3" max="3" width="10" customWidth="1"/>
    <col min="4" max="5" width="14" customWidth="1"/>
    <col min="6" max="7" width="10" customWidth="1"/>
    <col min="8" max="8" width="12" customWidth="1"/>
    <col min="9" max="9" width="14" customWidth="1"/>
    <col min="10" max="11" width="12" customWidth="1"/>
    <col min="12" max="12" width="24" customWidth="1"/>
    <col min="13" max="13" width="16" customWidth="1"/>
    <col min="14" max="14" width="10" customWidth="1"/>
    <col min="15" max="15" width="12" customWidth="1"/>
    <col min="16" max="18" width="14" customWidth="1"/>
    <col min="19" max="19" width="10" customWidth="1"/>
    <col min="20" max="20" width="14" customWidth="1"/>
    <col min="21" max="21" width="20" customWidth="1"/>
    <col min="22" max="22" width="10" customWidth="1"/>
    <col min="23" max="23" width="14" customWidth="1"/>
  </cols>
  <sheetData>
    <row r="1" ht="24.75" customHeight="1" spans="1:23">
      <c r="A1" s="12" t="s">
        <v>0</v>
      </c>
      <c r="B1" s="12" t="s">
        <v>1</v>
      </c>
      <c r="C1" s="12" t="s">
        <v>2</v>
      </c>
      <c r="D1" s="13" t="s">
        <v>124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</row>
    <row r="2" ht="21.75" customHeight="1" spans="1:23">
      <c r="A2" s="4" t="str">
        <f>IFERROR(INDEX(样本到样信息汇总统计!A$2:A$500,MATCH(1,样本到样信息汇总统计!$X$2:$X$500,0)),"")</f>
        <v>XX省人民医院</v>
      </c>
      <c r="B2" s="4" t="str">
        <f>IFERROR(INDEX(样本到样信息汇总统计!B$2:B$500,MATCH(1,样本到样信息汇总统计!$X$2:$X$500,0)),"")</f>
        <v>张主任课题组</v>
      </c>
      <c r="C2" s="4" t="str">
        <f>IFERROR(INDEX(样本到样信息汇总统计!C$2:C$500,MATCH(1,样本到样信息汇总统计!$X$2:$X$500,0)),"")</f>
        <v>陈经理</v>
      </c>
      <c r="D2" s="4" t="str">
        <f>IFERROR(INDEX(样本到样信息汇总统计!D$2:D$500,MATCH(1,样本到样信息汇总统计!$X$2:$X$500,0)),"")</f>
        <v>PJ2026-001</v>
      </c>
      <c r="E2" s="4" t="str">
        <f>IFERROR(INDEX(样本到样信息汇总统计!E$2:E$500,MATCH(1,样本到样信息汇总统计!$X$2:$X$500,0)),"")</f>
        <v>ORD-2026-0001</v>
      </c>
      <c r="F2" s="4" t="str">
        <f>IFERROR(INDEX(样本到样信息汇总统计!F$2:F$500,MATCH(1,样本到样信息汇总统计!$X$2:$X$500,0)),"")</f>
        <v>肿瘤组织</v>
      </c>
      <c r="G2" s="4" t="str">
        <f>IFERROR(INDEX(样本到样信息汇总统计!G$2:G$500,MATCH(1,样本到样信息汇总统计!$X$2:$X$500,0)),"")</f>
        <v>核酸</v>
      </c>
      <c r="H2" s="4">
        <f>IFERROR(INDEX(样本到样信息汇总统计!H$2:H$500,MATCH(1,样本到样信息汇总统计!$X$2:$X$500,0)),"")</f>
        <v>50</v>
      </c>
      <c r="I2" s="4">
        <f>IFERROR(INDEX(样本到样信息汇总统计!I$2:I$500,MATCH(1,样本到样信息汇总统计!$X$2:$X$500,0)),"")</f>
        <v>48</v>
      </c>
      <c r="J2" s="4" t="str">
        <f>IFERROR(INDEX(样本到样信息汇总统计!J$2:J$500,MATCH(1,样本到样信息汇总统计!$X$2:$X$500,0)),"")</f>
        <v>2026-05-20</v>
      </c>
      <c r="K2" s="14" t="str">
        <f>IFERROR(INDEX(样本到样信息汇总统计!K$2:K$500,MATCH(1,样本到样信息汇总统计!$X$2:$X$500,0)),"")</f>
        <v>紧急</v>
      </c>
      <c r="L2" s="4" t="str">
        <f>IFERROR(INDEX(样本到样信息汇总统计!L$2:L$500,MATCH(1,样本到样信息汇总统计!$X$2:$X$500,0)),"")</f>
        <v>DNA提取→文库构建→上机测序</v>
      </c>
      <c r="M2" s="4" t="str">
        <f>IFERROR(INDEX(样本到样信息汇总统计!M$2:M$500,MATCH(1,样本到样信息汇总统计!$X$2:$X$500,0)),"")</f>
        <v>需关注降解情况</v>
      </c>
      <c r="N2" s="4" t="str">
        <f>IFERROR(INDEX(样本到样信息汇总统计!N$2:N$500,MATCH(1,样本到样信息汇总统计!$X$2:$X$500,0)),"")</f>
        <v>外送华大</v>
      </c>
      <c r="O2" s="4" t="str">
        <f>IFERROR(INDEX(样本到样信息汇总统计!O$2:O$500,MATCH(1,样本到样信息汇总统计!$X$2:$X$500,0)),"")</f>
        <v>G99</v>
      </c>
      <c r="P2" s="4" t="str">
        <f>IFERROR(INDEX(样本到样信息汇总统计!P$2:P$500,MATCH(1,样本到样信息汇总统计!$X$2:$X$500,0)),"")</f>
        <v>RUN-2026-001</v>
      </c>
      <c r="Q2" s="4" t="str">
        <f>IFERROR(INDEX(样本到样信息汇总统计!Q$2:Q$500,MATCH(1,样本到样信息汇总统计!$X$2:$X$500,0)),"")</f>
        <v>BPOOL-001</v>
      </c>
      <c r="R2" s="4" t="str">
        <f>IFERROR(INDEX(样本到样信息汇总统计!R$2:R$500,MATCH(1,样本到样信息汇总统计!$X$2:$X$500,0)),"")</f>
        <v>SPOOL-001</v>
      </c>
      <c r="S2" s="4" t="str">
        <f>IFERROR(INDEX(样本到样信息汇总统计!S$2:S$500,MATCH(1,样本到样信息汇总统计!$X$2:$X$500,0)),"")</f>
        <v>PE150</v>
      </c>
      <c r="T2" s="4" t="str">
        <f>IFERROR(INDEX(样本到样信息汇总统计!T$2:T$500,MATCH(1,样本到样信息汇总统计!$X$2:$X$500,0)),"")</f>
        <v>6G</v>
      </c>
      <c r="U2" s="4" t="str">
        <f>IFERROR(INDEX(样本到样信息汇总统计!U$2:U$500,MATCH(1,样本到样信息汇总统计!$X$2:$X$500,0)),"")</f>
        <v>/data/project_001</v>
      </c>
      <c r="V2" s="4" t="str">
        <f>IFERROR(INDEX(样本到样信息汇总统计!V$2:V$500,MATCH(1,样本到样信息汇总统计!$X$2:$X$500,0)),"")</f>
        <v>未提取</v>
      </c>
      <c r="W2" s="4" t="str">
        <f>IFERROR(INDEX(样本到样信息汇总统计!W$2:W$500,MATCH(1,样本到样信息汇总统计!$X$2:$X$500,0)),"")</f>
        <v>2026-05-22</v>
      </c>
    </row>
    <row r="3" ht="21.75" customHeight="1" spans="1:23">
      <c r="A3" s="8" t="str">
        <f>IFERROR(INDEX(样本到样信息汇总统计!A$2:A$500,MATCH(2,样本到样信息汇总统计!$X$2:$X$500,0)),"")</f>
        <v>XX肿瘤医院</v>
      </c>
      <c r="B3" s="8" t="str">
        <f>IFERROR(INDEX(样本到样信息汇总统计!B$2:B$500,MATCH(2,样本到样信息汇总统计!$X$2:$X$500,0)),"")</f>
        <v>赵主任课题组</v>
      </c>
      <c r="C3" s="8" t="str">
        <f>IFERROR(INDEX(样本到样信息汇总统计!C$2:C$500,MATCH(2,样本到样信息汇总统计!$X$2:$X$500,0)),"")</f>
        <v>林经理</v>
      </c>
      <c r="D3" s="8" t="str">
        <f>IFERROR(INDEX(样本到样信息汇总统计!D$2:D$500,MATCH(2,样本到样信息汇总统计!$X$2:$X$500,0)),"")</f>
        <v>PJ2026-004</v>
      </c>
      <c r="E3" s="8" t="str">
        <f>IFERROR(INDEX(样本到样信息汇总统计!E$2:E$500,MATCH(2,样本到样信息汇总统计!$X$2:$X$500,0)),"")</f>
        <v>ORD-2026-0004</v>
      </c>
      <c r="F3" s="8" t="str">
        <f>IFERROR(INDEX(样本到样信息汇总统计!F$2:F$500,MATCH(2,样本到样信息汇总统计!$X$2:$X$500,0)),"")</f>
        <v>细胞</v>
      </c>
      <c r="G3" s="8" t="str">
        <f>IFERROR(INDEX(样本到样信息汇总统计!G$2:G$500,MATCH(2,样本到样信息汇总统计!$X$2:$X$500,0)),"")</f>
        <v>核酸</v>
      </c>
      <c r="H3" s="8">
        <f>IFERROR(INDEX(样本到样信息汇总统计!H$2:H$500,MATCH(2,样本到样信息汇总统计!$X$2:$X$500,0)),"")</f>
        <v>15</v>
      </c>
      <c r="I3" s="8">
        <f>IFERROR(INDEX(样本到样信息汇总统计!I$2:I$500,MATCH(2,样本到样信息汇总统计!$X$2:$X$500,0)),"")</f>
        <v>15</v>
      </c>
      <c r="J3" s="8" t="str">
        <f>IFERROR(INDEX(样本到样信息汇总统计!J$2:J$500,MATCH(2,样本到样信息汇总统计!$X$2:$X$500,0)),"")</f>
        <v>2026-05-23</v>
      </c>
      <c r="K3" s="15" t="str">
        <f>IFERROR(INDEX(样本到样信息汇总统计!K$2:K$500,MATCH(2,样本到样信息汇总统计!$X$2:$X$500,0)),"")</f>
        <v>紧急</v>
      </c>
      <c r="L3" s="8" t="str">
        <f>IFERROR(INDEX(样本到样信息汇总统计!L$2:L$500,MATCH(2,样本到样信息汇总统计!$X$2:$X$500,0)),"")</f>
        <v>DNA提取→PCR扩增→文库构建</v>
      </c>
      <c r="M3" s="8" t="str">
        <f>IFERROR(INDEX(样本到样信息汇总统计!M$2:M$500,MATCH(2,样本到样信息汇总统计!$X$2:$X$500,0)),"")</f>
        <v>细胞活性&gt;90%</v>
      </c>
      <c r="N3" s="8" t="str">
        <f>IFERROR(INDEX(样本到样信息汇总统计!N$2:N$500,MATCH(2,样本到样信息汇总统计!$X$2:$X$500,0)),"")</f>
        <v>内部上机</v>
      </c>
      <c r="O3" s="8" t="str">
        <f>IFERROR(INDEX(样本到样信息汇总统计!O$2:O$500,MATCH(2,样本到样信息汇总统计!$X$2:$X$500,0)),"")</f>
        <v>Vision</v>
      </c>
      <c r="P3" s="8" t="str">
        <f>IFERROR(INDEX(样本到样信息汇总统计!P$2:P$500,MATCH(2,样本到样信息汇总统计!$X$2:$X$500,0)),"")</f>
        <v>RUN-2026-004</v>
      </c>
      <c r="Q3" s="8" t="str">
        <f>IFERROR(INDEX(样本到样信息汇总统计!Q$2:Q$500,MATCH(2,样本到样信息汇总统计!$X$2:$X$500,0)),"")</f>
        <v>BPOOL-004</v>
      </c>
      <c r="R3" s="8" t="str">
        <f>IFERROR(INDEX(样本到样信息汇总统计!R$2:R$500,MATCH(2,样本到样信息汇总统计!$X$2:$X$500,0)),"")</f>
        <v>SPOOL-004</v>
      </c>
      <c r="S3" s="8" t="str">
        <f>IFERROR(INDEX(样本到样信息汇总统计!S$2:S$500,MATCH(2,样本到样信息汇总统计!$X$2:$X$500,0)),"")</f>
        <v>PE150</v>
      </c>
      <c r="T3" s="8" t="str">
        <f>IFERROR(INDEX(样本到样信息汇总统计!T$2:T$500,MATCH(2,样本到样信息汇总统计!$X$2:$X$500,0)),"")</f>
        <v>6G</v>
      </c>
      <c r="U3" s="8" t="str">
        <f>IFERROR(INDEX(样本到样信息汇总统计!U$2:U$500,MATCH(2,样本到样信息汇总统计!$X$2:$X$500,0)),"")</f>
        <v>/data/project_004</v>
      </c>
      <c r="V3" s="8" t="str">
        <f>IFERROR(INDEX(样本到样信息汇总统计!V$2:V$500,MATCH(2,样本到样信息汇总统计!$X$2:$X$500,0)),"")</f>
        <v>文库质检中</v>
      </c>
      <c r="W3" s="8" t="str">
        <f>IFERROR(INDEX(样本到样信息汇总统计!W$2:W$500,MATCH(2,样本到样信息汇总统计!$X$2:$X$500,0)),"")</f>
        <v>2026-05-24</v>
      </c>
    </row>
    <row r="4" ht="21.75" customHeight="1" spans="1:23">
      <c r="A4" s="4" t="str">
        <f>IFERROR(INDEX(样本到样信息汇总统计!A$2:A$500,MATCH(3,样本到样信息汇总统计!$X$2:$X$500,0)),"")</f>
        <v>XX儿童医院</v>
      </c>
      <c r="B4" s="4" t="str">
        <f>IFERROR(INDEX(样本到样信息汇总统计!B$2:B$500,MATCH(3,样本到样信息汇总统计!$X$2:$X$500,0)),"")</f>
        <v>刘教授团队</v>
      </c>
      <c r="C4" s="4" t="str">
        <f>IFERROR(INDEX(样本到样信息汇总统计!C$2:C$500,MATCH(3,样本到样信息汇总统计!$X$2:$X$500,0)),"")</f>
        <v>陈经理</v>
      </c>
      <c r="D4" s="4" t="str">
        <f>IFERROR(INDEX(样本到样信息汇总统计!D$2:D$500,MATCH(3,样本到样信息汇总统计!$X$2:$X$500,0)),"")</f>
        <v>PJ2026-006</v>
      </c>
      <c r="E4" s="4" t="str">
        <f>IFERROR(INDEX(样本到样信息汇总统计!E$2:E$500,MATCH(3,样本到样信息汇总统计!$X$2:$X$500,0)),"")</f>
        <v>ORD-2026-0006</v>
      </c>
      <c r="F4" s="4" t="str">
        <f>IFERROR(INDEX(样本到样信息汇总统计!F$2:F$500,MATCH(3,样本到样信息汇总统计!$X$2:$X$500,0)),"")</f>
        <v>脑脊液</v>
      </c>
      <c r="G4" s="4" t="str">
        <f>IFERROR(INDEX(样本到样信息汇总统计!G$2:G$500,MATCH(3,样本到样信息汇总统计!$X$2:$X$500,0)),"")</f>
        <v>原始样本</v>
      </c>
      <c r="H4" s="4">
        <f>IFERROR(INDEX(样本到样信息汇总统计!H$2:H$500,MATCH(3,样本到样信息汇总统计!$X$2:$X$500,0)),"")</f>
        <v>100</v>
      </c>
      <c r="I4" s="4">
        <f>IFERROR(INDEX(样本到样信息汇总统计!I$2:I$500,MATCH(3,样本到样信息汇总统计!$X$2:$X$500,0)),"")</f>
        <v>100</v>
      </c>
      <c r="J4" s="4" t="str">
        <f>IFERROR(INDEX(样本到样信息汇总统计!J$2:J$500,MATCH(3,样本到样信息汇总统计!$X$2:$X$500,0)),"")</f>
        <v>2026-05-24</v>
      </c>
      <c r="K4" s="14" t="str">
        <f>IFERROR(INDEX(样本到样信息汇总统计!K$2:K$500,MATCH(3,样本到样信息汇总统计!$X$2:$X$500,0)),"")</f>
        <v>紧急</v>
      </c>
      <c r="L4" s="4" t="str">
        <f>IFERROR(INDEX(样本到样信息汇总统计!L$2:L$500,MATCH(3,样本到样信息汇总统计!$X$2:$X$500,0)),"")</f>
        <v>DNA提取→文库构建→上机测序</v>
      </c>
      <c r="M4" s="4" t="str">
        <f>IFERROR(INDEX(样本到样信息汇总统计!M$2:M$500,MATCH(3,样本到样信息汇总统计!$X$2:$X$500,0)),"")</f>
        <v>需加急处理</v>
      </c>
      <c r="N4" s="4" t="str">
        <f>IFERROR(INDEX(样本到样信息汇总统计!N$2:N$500,MATCH(3,样本到样信息汇总统计!$X$2:$X$500,0)),"")</f>
        <v>外送华大</v>
      </c>
      <c r="O4" s="4" t="str">
        <f>IFERROR(INDEX(样本到样信息汇总统计!O$2:O$500,MATCH(3,样本到样信息汇总统计!$X$2:$X$500,0)),"")</f>
        <v>T7+</v>
      </c>
      <c r="P4" s="4" t="str">
        <f>IFERROR(INDEX(样本到样信息汇总统计!P$2:P$500,MATCH(3,样本到样信息汇总统计!$X$2:$X$500,0)),"")</f>
        <v>RUN-2026-005</v>
      </c>
      <c r="Q4" s="4" t="str">
        <f>IFERROR(INDEX(样本到样信息汇总统计!Q$2:Q$500,MATCH(3,样本到样信息汇总统计!$X$2:$X$500,0)),"")</f>
        <v>BPOOL-005</v>
      </c>
      <c r="R4" s="4" t="str">
        <f>IFERROR(INDEX(样本到样信息汇总统计!R$2:R$500,MATCH(3,样本到样信息汇总统计!$X$2:$X$500,0)),"")</f>
        <v>SPOOL-005</v>
      </c>
      <c r="S4" s="4" t="str">
        <f>IFERROR(INDEX(样本到样信息汇总统计!S$2:S$500,MATCH(3,样本到样信息汇总统计!$X$2:$X$500,0)),"")</f>
        <v>PE150</v>
      </c>
      <c r="T4" s="4" t="str">
        <f>IFERROR(INDEX(样本到样信息汇总统计!T$2:T$500,MATCH(3,样本到样信息汇总统计!$X$2:$X$500,0)),"")</f>
        <v>6G</v>
      </c>
      <c r="U4" s="4" t="str">
        <f>IFERROR(INDEX(样本到样信息汇总统计!U$2:U$500,MATCH(3,样本到样信息汇总统计!$X$2:$X$500,0)),"")</f>
        <v>/data/project_005</v>
      </c>
      <c r="V4" s="4" t="str">
        <f>IFERROR(INDEX(样本到样信息汇总统计!V$2:V$500,MATCH(3,样本到样信息汇总统计!$X$2:$X$500,0)),"")</f>
        <v>pooling排机中</v>
      </c>
      <c r="W4" s="4" t="str">
        <f>IFERROR(INDEX(样本到样信息汇总统计!W$2:W$500,MATCH(3,样本到样信息汇总统计!$X$2:$X$500,0)),"")</f>
        <v>2026-05-23</v>
      </c>
    </row>
    <row r="5" ht="21.75" customHeight="1" spans="1:23">
      <c r="A5" s="8" t="str">
        <f>IFERROR(INDEX(样本到样信息汇总统计!A$2:A$500,MATCH(4,样本到样信息汇总统计!$X$2:$X$500,0)),"")</f>
        <v>XX儿童医院</v>
      </c>
      <c r="B5" s="8" t="str">
        <f>IFERROR(INDEX(样本到样信息汇总统计!B$2:B$500,MATCH(4,样本到样信息汇总统计!$X$2:$X$500,0)),"")</f>
        <v>刘教授团队</v>
      </c>
      <c r="C5" s="8" t="str">
        <f>IFERROR(INDEX(样本到样信息汇总统计!C$2:C$500,MATCH(4,样本到样信息汇总统计!$X$2:$X$500,0)),"")</f>
        <v>陈经理</v>
      </c>
      <c r="D5" s="8" t="str">
        <f>IFERROR(INDEX(样本到样信息汇总统计!D$2:D$500,MATCH(4,样本到样信息汇总统计!$X$2:$X$500,0)),"")</f>
        <v>PJ2026-007</v>
      </c>
      <c r="E5" s="8" t="str">
        <f>IFERROR(INDEX(样本到样信息汇总统计!E$2:E$500,MATCH(4,样本到样信息汇总统计!$X$2:$X$500,0)),"")</f>
        <v>ORD-2026-0007</v>
      </c>
      <c r="F5" s="8" t="str">
        <f>IFERROR(INDEX(样本到样信息汇总统计!F$2:F$500,MATCH(4,样本到样信息汇总统计!$X$2:$X$500,0)),"")</f>
        <v>脑脊液</v>
      </c>
      <c r="G5" s="8" t="str">
        <f>IFERROR(INDEX(样本到样信息汇总统计!G$2:G$500,MATCH(4,样本到样信息汇总统计!$X$2:$X$500,0)),"")</f>
        <v>原始样本</v>
      </c>
      <c r="H5" s="8">
        <f>IFERROR(INDEX(样本到样信息汇总统计!H$2:H$500,MATCH(4,样本到样信息汇总统计!$X$2:$X$500,0)),"")</f>
        <v>100</v>
      </c>
      <c r="I5" s="8">
        <f>IFERROR(INDEX(样本到样信息汇总统计!I$2:I$500,MATCH(4,样本到样信息汇总统计!$X$2:$X$500,0)),"")</f>
        <v>100</v>
      </c>
      <c r="J5" s="8" t="str">
        <f>IFERROR(INDEX(样本到样信息汇总统计!J$2:J$500,MATCH(4,样本到样信息汇总统计!$X$2:$X$500,0)),"")</f>
        <v>2026-05-24</v>
      </c>
      <c r="K5" s="15" t="str">
        <f>IFERROR(INDEX(样本到样信息汇总统计!K$2:K$500,MATCH(4,样本到样信息汇总统计!$X$2:$X$500,0)),"")</f>
        <v>紧急</v>
      </c>
      <c r="L5" s="8" t="str">
        <f>IFERROR(INDEX(样本到样信息汇总统计!L$2:L$500,MATCH(4,样本到样信息汇总统计!$X$2:$X$500,0)),"")</f>
        <v>DNA提取→文库构建→上机测序</v>
      </c>
      <c r="M5" s="8" t="str">
        <f>IFERROR(INDEX(样本到样信息汇总统计!M$2:M$500,MATCH(4,样本到样信息汇总统计!$X$2:$X$500,0)),"")</f>
        <v>需加急处理</v>
      </c>
      <c r="N5" s="8" t="str">
        <f>IFERROR(INDEX(样本到样信息汇总统计!N$2:N$500,MATCH(4,样本到样信息汇总统计!$X$2:$X$500,0)),"")</f>
        <v>外送华大</v>
      </c>
      <c r="O5" s="8" t="str">
        <f>IFERROR(INDEX(样本到样信息汇总统计!O$2:O$500,MATCH(4,样本到样信息汇总统计!$X$2:$X$500,0)),"")</f>
        <v>T7+</v>
      </c>
      <c r="P5" s="8" t="str">
        <f>IFERROR(INDEX(样本到样信息汇总统计!P$2:P$500,MATCH(4,样本到样信息汇总统计!$X$2:$X$500,0)),"")</f>
        <v>RUN-2026-005</v>
      </c>
      <c r="Q5" s="8" t="str">
        <f>IFERROR(INDEX(样本到样信息汇总统计!Q$2:Q$500,MATCH(4,样本到样信息汇总统计!$X$2:$X$500,0)),"")</f>
        <v>BPOOL-005</v>
      </c>
      <c r="R5" s="8" t="str">
        <f>IFERROR(INDEX(样本到样信息汇总统计!R$2:R$500,MATCH(4,样本到样信息汇总统计!$X$2:$X$500,0)),"")</f>
        <v>SPOOL-005</v>
      </c>
      <c r="S5" s="8" t="str">
        <f>IFERROR(INDEX(样本到样信息汇总统计!S$2:S$500,MATCH(4,样本到样信息汇总统计!$X$2:$X$500,0)),"")</f>
        <v>PE150</v>
      </c>
      <c r="T5" s="8" t="str">
        <f>IFERROR(INDEX(样本到样信息汇总统计!T$2:T$500,MATCH(4,样本到样信息汇总统计!$X$2:$X$500,0)),"")</f>
        <v>6G</v>
      </c>
      <c r="U5" s="8" t="str">
        <f>IFERROR(INDEX(样本到样信息汇总统计!U$2:U$500,MATCH(4,样本到样信息汇总统计!$X$2:$X$500,0)),"")</f>
        <v>/data/project_005</v>
      </c>
      <c r="V5" s="8" t="str">
        <f>IFERROR(INDEX(样本到样信息汇总统计!V$2:V$500,MATCH(4,样本到样信息汇总统计!$X$2:$X$500,0)),"")</f>
        <v>pooling排机中</v>
      </c>
      <c r="W5" s="8" t="str">
        <f>IFERROR(INDEX(样本到样信息汇总统计!W$2:W$500,MATCH(4,样本到样信息汇总统计!$X$2:$X$500,0)),"")</f>
        <v>2026-05-23</v>
      </c>
    </row>
    <row r="6" ht="21.75" customHeight="1" spans="1:23">
      <c r="A6" s="4" t="str">
        <f>IFERROR(INDEX(样本到样信息汇总统计!A$2:A$500,MATCH(5,样本到样信息汇总统计!$X$2:$X$500,0)),"")</f>
        <v>XX儿童医院</v>
      </c>
      <c r="B6" s="4" t="str">
        <f>IFERROR(INDEX(样本到样信息汇总统计!B$2:B$500,MATCH(5,样本到样信息汇总统计!$X$2:$X$500,0)),"")</f>
        <v>刘教授团队</v>
      </c>
      <c r="C6" s="4" t="str">
        <f>IFERROR(INDEX(样本到样信息汇总统计!C$2:C$500,MATCH(5,样本到样信息汇总统计!$X$2:$X$500,0)),"")</f>
        <v>陈经理</v>
      </c>
      <c r="D6" s="4" t="str">
        <f>IFERROR(INDEX(样本到样信息汇总统计!D$2:D$500,MATCH(5,样本到样信息汇总统计!$X$2:$X$500,0)),"")</f>
        <v>PJ2026-009</v>
      </c>
      <c r="E6" s="4" t="str">
        <f>IFERROR(INDEX(样本到样信息汇总统计!E$2:E$500,MATCH(5,样本到样信息汇总统计!$X$2:$X$500,0)),"")</f>
        <v>ORD-2026-0009</v>
      </c>
      <c r="F6" s="4" t="str">
        <f>IFERROR(INDEX(样本到样信息汇总统计!F$2:F$500,MATCH(5,样本到样信息汇总统计!$X$2:$X$500,0)),"")</f>
        <v>脑脊液</v>
      </c>
      <c r="G6" s="4" t="str">
        <f>IFERROR(INDEX(样本到样信息汇总统计!G$2:G$500,MATCH(5,样本到样信息汇总统计!$X$2:$X$500,0)),"")</f>
        <v>原始样本</v>
      </c>
      <c r="H6" s="4">
        <f>IFERROR(INDEX(样本到样信息汇总统计!H$2:H$500,MATCH(5,样本到样信息汇总统计!$X$2:$X$500,0)),"")</f>
        <v>100</v>
      </c>
      <c r="I6" s="4">
        <f>IFERROR(INDEX(样本到样信息汇总统计!I$2:I$500,MATCH(5,样本到样信息汇总统计!$X$2:$X$500,0)),"")</f>
        <v>100</v>
      </c>
      <c r="J6" s="4" t="str">
        <f>IFERROR(INDEX(样本到样信息汇总统计!J$2:J$500,MATCH(5,样本到样信息汇总统计!$X$2:$X$500,0)),"")</f>
        <v>2026-05-24</v>
      </c>
      <c r="K6" s="14" t="str">
        <f>IFERROR(INDEX(样本到样信息汇总统计!K$2:K$500,MATCH(5,样本到样信息汇总统计!$X$2:$X$500,0)),"")</f>
        <v>紧急</v>
      </c>
      <c r="L6" s="4" t="str">
        <f>IFERROR(INDEX(样本到样信息汇总统计!L$2:L$500,MATCH(5,样本到样信息汇总统计!$X$2:$X$500,0)),"")</f>
        <v>DNA提取→文库构建→上机测序</v>
      </c>
      <c r="M6" s="4" t="str">
        <f>IFERROR(INDEX(样本到样信息汇总统计!M$2:M$500,MATCH(5,样本到样信息汇总统计!$X$2:$X$500,0)),"")</f>
        <v>需加急处理</v>
      </c>
      <c r="N6" s="4" t="str">
        <f>IFERROR(INDEX(样本到样信息汇总统计!N$2:N$500,MATCH(5,样本到样信息汇总统计!$X$2:$X$500,0)),"")</f>
        <v>外送华大</v>
      </c>
      <c r="O6" s="4" t="str">
        <f>IFERROR(INDEX(样本到样信息汇总统计!O$2:O$500,MATCH(5,样本到样信息汇总统计!$X$2:$X$500,0)),"")</f>
        <v>T7+</v>
      </c>
      <c r="P6" s="4" t="str">
        <f>IFERROR(INDEX(样本到样信息汇总统计!P$2:P$500,MATCH(5,样本到样信息汇总统计!$X$2:$X$500,0)),"")</f>
        <v>RUN-2026-005</v>
      </c>
      <c r="Q6" s="4" t="str">
        <f>IFERROR(INDEX(样本到样信息汇总统计!Q$2:Q$500,MATCH(5,样本到样信息汇总统计!$X$2:$X$500,0)),"")</f>
        <v>BPOOL-005</v>
      </c>
      <c r="R6" s="4" t="str">
        <f>IFERROR(INDEX(样本到样信息汇总统计!R$2:R$500,MATCH(5,样本到样信息汇总统计!$X$2:$X$500,0)),"")</f>
        <v>SPOOL-005</v>
      </c>
      <c r="S6" s="4" t="str">
        <f>IFERROR(INDEX(样本到样信息汇总统计!S$2:S$500,MATCH(5,样本到样信息汇总统计!$X$2:$X$500,0)),"")</f>
        <v>PE150</v>
      </c>
      <c r="T6" s="4" t="str">
        <f>IFERROR(INDEX(样本到样信息汇总统计!T$2:T$500,MATCH(5,样本到样信息汇总统计!$X$2:$X$500,0)),"")</f>
        <v>6G</v>
      </c>
      <c r="U6" s="4" t="str">
        <f>IFERROR(INDEX(样本到样信息汇总统计!U$2:U$500,MATCH(5,样本到样信息汇总统计!$X$2:$X$500,0)),"")</f>
        <v>/data/project_005</v>
      </c>
      <c r="V6" s="4" t="str">
        <f>IFERROR(INDEX(样本到样信息汇总统计!V$2:V$500,MATCH(5,样本到样信息汇总统计!$X$2:$X$500,0)),"")</f>
        <v>pooling排机中</v>
      </c>
      <c r="W6" s="4" t="str">
        <f>IFERROR(INDEX(样本到样信息汇总统计!W$2:W$500,MATCH(5,样本到样信息汇总统计!$X$2:$X$500,0)),"")</f>
        <v>2026-05-23</v>
      </c>
    </row>
    <row r="7" ht="21.75" customHeight="1" spans="1:23">
      <c r="A7" s="8" t="str">
        <f>IFERROR(INDEX(样本到样信息汇总统计!A$2:A$500,MATCH(6,样本到样信息汇总统计!$X$2:$X$500,0)),"")</f>
        <v>XX儿童医院</v>
      </c>
      <c r="B7" s="8" t="str">
        <f>IFERROR(INDEX(样本到样信息汇总统计!B$2:B$500,MATCH(6,样本到样信息汇总统计!$X$2:$X$500,0)),"")</f>
        <v>刘教授团队</v>
      </c>
      <c r="C7" s="8" t="str">
        <f>IFERROR(INDEX(样本到样信息汇总统计!C$2:C$500,MATCH(6,样本到样信息汇总统计!$X$2:$X$500,0)),"")</f>
        <v>陈经理</v>
      </c>
      <c r="D7" s="8" t="str">
        <f>IFERROR(INDEX(样本到样信息汇总统计!D$2:D$500,MATCH(6,样本到样信息汇总统计!$X$2:$X$500,0)),"")</f>
        <v>PJ2026-010</v>
      </c>
      <c r="E7" s="8" t="str">
        <f>IFERROR(INDEX(样本到样信息汇总统计!E$2:E$500,MATCH(6,样本到样信息汇总统计!$X$2:$X$500,0)),"")</f>
        <v>ORD-2026-0010</v>
      </c>
      <c r="F7" s="8" t="str">
        <f>IFERROR(INDEX(样本到样信息汇总统计!F$2:F$500,MATCH(6,样本到样信息汇总统计!$X$2:$X$500,0)),"")</f>
        <v>脑脊液</v>
      </c>
      <c r="G7" s="8" t="str">
        <f>IFERROR(INDEX(样本到样信息汇总统计!G$2:G$500,MATCH(6,样本到样信息汇总统计!$X$2:$X$500,0)),"")</f>
        <v>原始样本</v>
      </c>
      <c r="H7" s="8">
        <f>IFERROR(INDEX(样本到样信息汇总统计!H$2:H$500,MATCH(6,样本到样信息汇总统计!$X$2:$X$500,0)),"")</f>
        <v>100</v>
      </c>
      <c r="I7" s="8">
        <f>IFERROR(INDEX(样本到样信息汇总统计!I$2:I$500,MATCH(6,样本到样信息汇总统计!$X$2:$X$500,0)),"")</f>
        <v>100</v>
      </c>
      <c r="J7" s="8" t="str">
        <f>IFERROR(INDEX(样本到样信息汇总统计!J$2:J$500,MATCH(6,样本到样信息汇总统计!$X$2:$X$500,0)),"")</f>
        <v>2026-05-24</v>
      </c>
      <c r="K7" s="15" t="str">
        <f>IFERROR(INDEX(样本到样信息汇总统计!K$2:K$500,MATCH(6,样本到样信息汇总统计!$X$2:$X$500,0)),"")</f>
        <v>紧急</v>
      </c>
      <c r="L7" s="8" t="str">
        <f>IFERROR(INDEX(样本到样信息汇总统计!L$2:L$500,MATCH(6,样本到样信息汇总统计!$X$2:$X$500,0)),"")</f>
        <v>DNA提取→文库构建→上机测序</v>
      </c>
      <c r="M7" s="8" t="str">
        <f>IFERROR(INDEX(样本到样信息汇总统计!M$2:M$500,MATCH(6,样本到样信息汇总统计!$X$2:$X$500,0)),"")</f>
        <v>需加急处理</v>
      </c>
      <c r="N7" s="8" t="str">
        <f>IFERROR(INDEX(样本到样信息汇总统计!N$2:N$500,MATCH(6,样本到样信息汇总统计!$X$2:$X$500,0)),"")</f>
        <v>外送华大</v>
      </c>
      <c r="O7" s="8" t="str">
        <f>IFERROR(INDEX(样本到样信息汇总统计!O$2:O$500,MATCH(6,样本到样信息汇总统计!$X$2:$X$500,0)),"")</f>
        <v>T7+</v>
      </c>
      <c r="P7" s="8" t="str">
        <f>IFERROR(INDEX(样本到样信息汇总统计!P$2:P$500,MATCH(6,样本到样信息汇总统计!$X$2:$X$500,0)),"")</f>
        <v>RUN-2026-005</v>
      </c>
      <c r="Q7" s="8" t="str">
        <f>IFERROR(INDEX(样本到样信息汇总统计!Q$2:Q$500,MATCH(6,样本到样信息汇总统计!$X$2:$X$500,0)),"")</f>
        <v>BPOOL-005</v>
      </c>
      <c r="R7" s="8" t="str">
        <f>IFERROR(INDEX(样本到样信息汇总统计!R$2:R$500,MATCH(6,样本到样信息汇总统计!$X$2:$X$500,0)),"")</f>
        <v>SPOOL-005</v>
      </c>
      <c r="S7" s="8" t="str">
        <f>IFERROR(INDEX(样本到样信息汇总统计!S$2:S$500,MATCH(6,样本到样信息汇总统计!$X$2:$X$500,0)),"")</f>
        <v>PE150</v>
      </c>
      <c r="T7" s="8" t="str">
        <f>IFERROR(INDEX(样本到样信息汇总统计!T$2:T$500,MATCH(6,样本到样信息汇总统计!$X$2:$X$500,0)),"")</f>
        <v>6G</v>
      </c>
      <c r="U7" s="8" t="str">
        <f>IFERROR(INDEX(样本到样信息汇总统计!U$2:U$500,MATCH(6,样本到样信息汇总统计!$X$2:$X$500,0)),"")</f>
        <v>/data/project_005</v>
      </c>
      <c r="V7" s="8" t="str">
        <f>IFERROR(INDEX(样本到样信息汇总统计!V$2:V$500,MATCH(6,样本到样信息汇总统计!$X$2:$X$500,0)),"")</f>
        <v>pooling排机中</v>
      </c>
      <c r="W7" s="8" t="str">
        <f>IFERROR(INDEX(样本到样信息汇总统计!W$2:W$500,MATCH(6,样本到样信息汇总统计!$X$2:$X$500,0)),"")</f>
        <v>2026-05-23</v>
      </c>
    </row>
    <row r="8" ht="21.75" customHeight="1" spans="1:23">
      <c r="A8" s="4" t="str">
        <f>IFERROR(INDEX(样本到样信息汇总统计!A$2:A$500,MATCH(7,样本到样信息汇总统计!$X$2:$X$500,0)),"")</f>
        <v/>
      </c>
      <c r="B8" s="4" t="str">
        <f>IFERROR(INDEX(样本到样信息汇总统计!B$2:B$500,MATCH(7,样本到样信息汇总统计!$X$2:$X$500,0)),"")</f>
        <v/>
      </c>
      <c r="C8" s="4" t="str">
        <f>IFERROR(INDEX(样本到样信息汇总统计!C$2:C$500,MATCH(7,样本到样信息汇总统计!$X$2:$X$500,0)),"")</f>
        <v/>
      </c>
      <c r="D8" s="4" t="str">
        <f>IFERROR(INDEX(样本到样信息汇总统计!D$2:D$500,MATCH(7,样本到样信息汇总统计!$X$2:$X$500,0)),"")</f>
        <v/>
      </c>
      <c r="E8" s="4" t="str">
        <f>IFERROR(INDEX(样本到样信息汇总统计!E$2:E$500,MATCH(7,样本到样信息汇总统计!$X$2:$X$500,0)),"")</f>
        <v/>
      </c>
      <c r="F8" s="4" t="str">
        <f>IFERROR(INDEX(样本到样信息汇总统计!F$2:F$500,MATCH(7,样本到样信息汇总统计!$X$2:$X$500,0)),"")</f>
        <v/>
      </c>
      <c r="G8" s="4" t="str">
        <f>IFERROR(INDEX(样本到样信息汇总统计!G$2:G$500,MATCH(7,样本到样信息汇总统计!$X$2:$X$500,0)),"")</f>
        <v/>
      </c>
      <c r="H8" s="4" t="str">
        <f>IFERROR(INDEX(样本到样信息汇总统计!H$2:H$500,MATCH(7,样本到样信息汇总统计!$X$2:$X$500,0)),"")</f>
        <v/>
      </c>
      <c r="I8" s="4" t="str">
        <f>IFERROR(INDEX(样本到样信息汇总统计!I$2:I$500,MATCH(7,样本到样信息汇总统计!$X$2:$X$500,0)),"")</f>
        <v/>
      </c>
      <c r="J8" s="4" t="str">
        <f>IFERROR(INDEX(样本到样信息汇总统计!J$2:J$500,MATCH(7,样本到样信息汇总统计!$X$2:$X$500,0)),"")</f>
        <v/>
      </c>
      <c r="K8" s="14" t="str">
        <f>IFERROR(INDEX(样本到样信息汇总统计!K$2:K$500,MATCH(7,样本到样信息汇总统计!$X$2:$X$500,0)),"")</f>
        <v/>
      </c>
      <c r="L8" s="4" t="str">
        <f>IFERROR(INDEX(样本到样信息汇总统计!L$2:L$500,MATCH(7,样本到样信息汇总统计!$X$2:$X$500,0)),"")</f>
        <v/>
      </c>
      <c r="M8" s="4" t="str">
        <f>IFERROR(INDEX(样本到样信息汇总统计!M$2:M$500,MATCH(7,样本到样信息汇总统计!$X$2:$X$500,0)),"")</f>
        <v/>
      </c>
      <c r="N8" s="4" t="str">
        <f>IFERROR(INDEX(样本到样信息汇总统计!N$2:N$500,MATCH(7,样本到样信息汇总统计!$X$2:$X$500,0)),"")</f>
        <v/>
      </c>
      <c r="O8" s="4" t="str">
        <f>IFERROR(INDEX(样本到样信息汇总统计!O$2:O$500,MATCH(7,样本到样信息汇总统计!$X$2:$X$500,0)),"")</f>
        <v/>
      </c>
      <c r="P8" s="4" t="str">
        <f>IFERROR(INDEX(样本到样信息汇总统计!P$2:P$500,MATCH(7,样本到样信息汇总统计!$X$2:$X$500,0)),"")</f>
        <v/>
      </c>
      <c r="Q8" s="4" t="str">
        <f>IFERROR(INDEX(样本到样信息汇总统计!Q$2:Q$500,MATCH(7,样本到样信息汇总统计!$X$2:$X$500,0)),"")</f>
        <v/>
      </c>
      <c r="R8" s="4" t="str">
        <f>IFERROR(INDEX(样本到样信息汇总统计!R$2:R$500,MATCH(7,样本到样信息汇总统计!$X$2:$X$500,0)),"")</f>
        <v/>
      </c>
      <c r="S8" s="4" t="str">
        <f>IFERROR(INDEX(样本到样信息汇总统计!S$2:S$500,MATCH(7,样本到样信息汇总统计!$X$2:$X$500,0)),"")</f>
        <v/>
      </c>
      <c r="T8" s="4" t="str">
        <f>IFERROR(INDEX(样本到样信息汇总统计!T$2:T$500,MATCH(7,样本到样信息汇总统计!$X$2:$X$500,0)),"")</f>
        <v/>
      </c>
      <c r="U8" s="4" t="str">
        <f>IFERROR(INDEX(样本到样信息汇总统计!U$2:U$500,MATCH(7,样本到样信息汇总统计!$X$2:$X$500,0)),"")</f>
        <v/>
      </c>
      <c r="V8" s="4" t="str">
        <f>IFERROR(INDEX(样本到样信息汇总统计!V$2:V$500,MATCH(7,样本到样信息汇总统计!$X$2:$X$500,0)),"")</f>
        <v/>
      </c>
      <c r="W8" s="4" t="str">
        <f>IFERROR(INDEX(样本到样信息汇总统计!W$2:W$500,MATCH(7,样本到样信息汇总统计!$X$2:$X$500,0)),"")</f>
        <v/>
      </c>
    </row>
    <row r="9" ht="21.75" customHeight="1" spans="1:23">
      <c r="A9" s="8" t="str">
        <f>IFERROR(INDEX(样本到样信息汇总统计!A$2:A$500,MATCH(8,样本到样信息汇总统计!$X$2:$X$500,0)),"")</f>
        <v/>
      </c>
      <c r="B9" s="8" t="str">
        <f>IFERROR(INDEX(样本到样信息汇总统计!B$2:B$500,MATCH(8,样本到样信息汇总统计!$X$2:$X$500,0)),"")</f>
        <v/>
      </c>
      <c r="C9" s="8" t="str">
        <f>IFERROR(INDEX(样本到样信息汇总统计!C$2:C$500,MATCH(8,样本到样信息汇总统计!$X$2:$X$500,0)),"")</f>
        <v/>
      </c>
      <c r="D9" s="8" t="str">
        <f>IFERROR(INDEX(样本到样信息汇总统计!D$2:D$500,MATCH(8,样本到样信息汇总统计!$X$2:$X$500,0)),"")</f>
        <v/>
      </c>
      <c r="E9" s="8" t="str">
        <f>IFERROR(INDEX(样本到样信息汇总统计!E$2:E$500,MATCH(8,样本到样信息汇总统计!$X$2:$X$500,0)),"")</f>
        <v/>
      </c>
      <c r="F9" s="8" t="str">
        <f>IFERROR(INDEX(样本到样信息汇总统计!F$2:F$500,MATCH(8,样本到样信息汇总统计!$X$2:$X$500,0)),"")</f>
        <v/>
      </c>
      <c r="G9" s="8" t="str">
        <f>IFERROR(INDEX(样本到样信息汇总统计!G$2:G$500,MATCH(8,样本到样信息汇总统计!$X$2:$X$500,0)),"")</f>
        <v/>
      </c>
      <c r="H9" s="8" t="str">
        <f>IFERROR(INDEX(样本到样信息汇总统计!H$2:H$500,MATCH(8,样本到样信息汇总统计!$X$2:$X$500,0)),"")</f>
        <v/>
      </c>
      <c r="I9" s="8" t="str">
        <f>IFERROR(INDEX(样本到样信息汇总统计!I$2:I$500,MATCH(8,样本到样信息汇总统计!$X$2:$X$500,0)),"")</f>
        <v/>
      </c>
      <c r="J9" s="8" t="str">
        <f>IFERROR(INDEX(样本到样信息汇总统计!J$2:J$500,MATCH(8,样本到样信息汇总统计!$X$2:$X$500,0)),"")</f>
        <v/>
      </c>
      <c r="K9" s="15" t="str">
        <f>IFERROR(INDEX(样本到样信息汇总统计!K$2:K$500,MATCH(8,样本到样信息汇总统计!$X$2:$X$500,0)),"")</f>
        <v/>
      </c>
      <c r="L9" s="8" t="str">
        <f>IFERROR(INDEX(样本到样信息汇总统计!L$2:L$500,MATCH(8,样本到样信息汇总统计!$X$2:$X$500,0)),"")</f>
        <v/>
      </c>
      <c r="M9" s="8" t="str">
        <f>IFERROR(INDEX(样本到样信息汇总统计!M$2:M$500,MATCH(8,样本到样信息汇总统计!$X$2:$X$500,0)),"")</f>
        <v/>
      </c>
      <c r="N9" s="8" t="str">
        <f>IFERROR(INDEX(样本到样信息汇总统计!N$2:N$500,MATCH(8,样本到样信息汇总统计!$X$2:$X$500,0)),"")</f>
        <v/>
      </c>
      <c r="O9" s="8" t="str">
        <f>IFERROR(INDEX(样本到样信息汇总统计!O$2:O$500,MATCH(8,样本到样信息汇总统计!$X$2:$X$500,0)),"")</f>
        <v/>
      </c>
      <c r="P9" s="8" t="str">
        <f>IFERROR(INDEX(样本到样信息汇总统计!P$2:P$500,MATCH(8,样本到样信息汇总统计!$X$2:$X$500,0)),"")</f>
        <v/>
      </c>
      <c r="Q9" s="8" t="str">
        <f>IFERROR(INDEX(样本到样信息汇总统计!Q$2:Q$500,MATCH(8,样本到样信息汇总统计!$X$2:$X$500,0)),"")</f>
        <v/>
      </c>
      <c r="R9" s="8" t="str">
        <f>IFERROR(INDEX(样本到样信息汇总统计!R$2:R$500,MATCH(8,样本到样信息汇总统计!$X$2:$X$500,0)),"")</f>
        <v/>
      </c>
      <c r="S9" s="8" t="str">
        <f>IFERROR(INDEX(样本到样信息汇总统计!S$2:S$500,MATCH(8,样本到样信息汇总统计!$X$2:$X$500,0)),"")</f>
        <v/>
      </c>
      <c r="T9" s="8" t="str">
        <f>IFERROR(INDEX(样本到样信息汇总统计!T$2:T$500,MATCH(8,样本到样信息汇总统计!$X$2:$X$500,0)),"")</f>
        <v/>
      </c>
      <c r="U9" s="8" t="str">
        <f>IFERROR(INDEX(样本到样信息汇总统计!U$2:U$500,MATCH(8,样本到样信息汇总统计!$X$2:$X$500,0)),"")</f>
        <v/>
      </c>
      <c r="V9" s="8" t="str">
        <f>IFERROR(INDEX(样本到样信息汇总统计!V$2:V$500,MATCH(8,样本到样信息汇总统计!$X$2:$X$500,0)),"")</f>
        <v/>
      </c>
      <c r="W9" s="8" t="str">
        <f>IFERROR(INDEX(样本到样信息汇总统计!W$2:W$500,MATCH(8,样本到样信息汇总统计!$X$2:$X$500,0)),"")</f>
        <v/>
      </c>
    </row>
    <row r="10" ht="21.75" customHeight="1" spans="1:23">
      <c r="A10" s="4" t="str">
        <f>IFERROR(INDEX(样本到样信息汇总统计!A$2:A$500,MATCH(9,样本到样信息汇总统计!$X$2:$X$500,0)),"")</f>
        <v/>
      </c>
      <c r="B10" s="4" t="str">
        <f>IFERROR(INDEX(样本到样信息汇总统计!B$2:B$500,MATCH(9,样本到样信息汇总统计!$X$2:$X$500,0)),"")</f>
        <v/>
      </c>
      <c r="C10" s="4" t="str">
        <f>IFERROR(INDEX(样本到样信息汇总统计!C$2:C$500,MATCH(9,样本到样信息汇总统计!$X$2:$X$500,0)),"")</f>
        <v/>
      </c>
      <c r="D10" s="4" t="str">
        <f>IFERROR(INDEX(样本到样信息汇总统计!D$2:D$500,MATCH(9,样本到样信息汇总统计!$X$2:$X$500,0)),"")</f>
        <v/>
      </c>
      <c r="E10" s="4" t="str">
        <f>IFERROR(INDEX(样本到样信息汇总统计!E$2:E$500,MATCH(9,样本到样信息汇总统计!$X$2:$X$500,0)),"")</f>
        <v/>
      </c>
      <c r="F10" s="4" t="str">
        <f>IFERROR(INDEX(样本到样信息汇总统计!F$2:F$500,MATCH(9,样本到样信息汇总统计!$X$2:$X$500,0)),"")</f>
        <v/>
      </c>
      <c r="G10" s="4" t="str">
        <f>IFERROR(INDEX(样本到样信息汇总统计!G$2:G$500,MATCH(9,样本到样信息汇总统计!$X$2:$X$500,0)),"")</f>
        <v/>
      </c>
      <c r="H10" s="4" t="str">
        <f>IFERROR(INDEX(样本到样信息汇总统计!H$2:H$500,MATCH(9,样本到样信息汇总统计!$X$2:$X$500,0)),"")</f>
        <v/>
      </c>
      <c r="I10" s="4" t="str">
        <f>IFERROR(INDEX(样本到样信息汇总统计!I$2:I$500,MATCH(9,样本到样信息汇总统计!$X$2:$X$500,0)),"")</f>
        <v/>
      </c>
      <c r="J10" s="4" t="str">
        <f>IFERROR(INDEX(样本到样信息汇总统计!J$2:J$500,MATCH(9,样本到样信息汇总统计!$X$2:$X$500,0)),"")</f>
        <v/>
      </c>
      <c r="K10" s="14" t="str">
        <f>IFERROR(INDEX(样本到样信息汇总统计!K$2:K$500,MATCH(9,样本到样信息汇总统计!$X$2:$X$500,0)),"")</f>
        <v/>
      </c>
      <c r="L10" s="4" t="str">
        <f>IFERROR(INDEX(样本到样信息汇总统计!L$2:L$500,MATCH(9,样本到样信息汇总统计!$X$2:$X$500,0)),"")</f>
        <v/>
      </c>
      <c r="M10" s="4" t="str">
        <f>IFERROR(INDEX(样本到样信息汇总统计!M$2:M$500,MATCH(9,样本到样信息汇总统计!$X$2:$X$500,0)),"")</f>
        <v/>
      </c>
      <c r="N10" s="4" t="str">
        <f>IFERROR(INDEX(样本到样信息汇总统计!N$2:N$500,MATCH(9,样本到样信息汇总统计!$X$2:$X$500,0)),"")</f>
        <v/>
      </c>
      <c r="O10" s="4" t="str">
        <f>IFERROR(INDEX(样本到样信息汇总统计!O$2:O$500,MATCH(9,样本到样信息汇总统计!$X$2:$X$500,0)),"")</f>
        <v/>
      </c>
      <c r="P10" s="4" t="str">
        <f>IFERROR(INDEX(样本到样信息汇总统计!P$2:P$500,MATCH(9,样本到样信息汇总统计!$X$2:$X$500,0)),"")</f>
        <v/>
      </c>
      <c r="Q10" s="4" t="str">
        <f>IFERROR(INDEX(样本到样信息汇总统计!Q$2:Q$500,MATCH(9,样本到样信息汇总统计!$X$2:$X$500,0)),"")</f>
        <v/>
      </c>
      <c r="R10" s="4" t="str">
        <f>IFERROR(INDEX(样本到样信息汇总统计!R$2:R$500,MATCH(9,样本到样信息汇总统计!$X$2:$X$500,0)),"")</f>
        <v/>
      </c>
      <c r="S10" s="4" t="str">
        <f>IFERROR(INDEX(样本到样信息汇总统计!S$2:S$500,MATCH(9,样本到样信息汇总统计!$X$2:$X$500,0)),"")</f>
        <v/>
      </c>
      <c r="T10" s="4" t="str">
        <f>IFERROR(INDEX(样本到样信息汇总统计!T$2:T$500,MATCH(9,样本到样信息汇总统计!$X$2:$X$500,0)),"")</f>
        <v/>
      </c>
      <c r="U10" s="4" t="str">
        <f>IFERROR(INDEX(样本到样信息汇总统计!U$2:U$500,MATCH(9,样本到样信息汇总统计!$X$2:$X$500,0)),"")</f>
        <v/>
      </c>
      <c r="V10" s="4" t="str">
        <f>IFERROR(INDEX(样本到样信息汇总统计!V$2:V$500,MATCH(9,样本到样信息汇总统计!$X$2:$X$500,0)),"")</f>
        <v/>
      </c>
      <c r="W10" s="4" t="str">
        <f>IFERROR(INDEX(样本到样信息汇总统计!W$2:W$500,MATCH(9,样本到样信息汇总统计!$X$2:$X$500,0)),"")</f>
        <v/>
      </c>
    </row>
    <row r="11" ht="21.75" customHeight="1" spans="1:23">
      <c r="A11" s="8" t="str">
        <f>IFERROR(INDEX(样本到样信息汇总统计!A$2:A$500,MATCH(10,样本到样信息汇总统计!$X$2:$X$500,0)),"")</f>
        <v/>
      </c>
      <c r="B11" s="8" t="str">
        <f>IFERROR(INDEX(样本到样信息汇总统计!B$2:B$500,MATCH(10,样本到样信息汇总统计!$X$2:$X$500,0)),"")</f>
        <v/>
      </c>
      <c r="C11" s="8" t="str">
        <f>IFERROR(INDEX(样本到样信息汇总统计!C$2:C$500,MATCH(10,样本到样信息汇总统计!$X$2:$X$500,0)),"")</f>
        <v/>
      </c>
      <c r="D11" s="8" t="str">
        <f>IFERROR(INDEX(样本到样信息汇总统计!D$2:D$500,MATCH(10,样本到样信息汇总统计!$X$2:$X$500,0)),"")</f>
        <v/>
      </c>
      <c r="E11" s="8" t="str">
        <f>IFERROR(INDEX(样本到样信息汇总统计!E$2:E$500,MATCH(10,样本到样信息汇总统计!$X$2:$X$500,0)),"")</f>
        <v/>
      </c>
      <c r="F11" s="8" t="str">
        <f>IFERROR(INDEX(样本到样信息汇总统计!F$2:F$500,MATCH(10,样本到样信息汇总统计!$X$2:$X$500,0)),"")</f>
        <v/>
      </c>
      <c r="G11" s="8" t="str">
        <f>IFERROR(INDEX(样本到样信息汇总统计!G$2:G$500,MATCH(10,样本到样信息汇总统计!$X$2:$X$500,0)),"")</f>
        <v/>
      </c>
      <c r="H11" s="8" t="str">
        <f>IFERROR(INDEX(样本到样信息汇总统计!H$2:H$500,MATCH(10,样本到样信息汇总统计!$X$2:$X$500,0)),"")</f>
        <v/>
      </c>
      <c r="I11" s="8" t="str">
        <f>IFERROR(INDEX(样本到样信息汇总统计!I$2:I$500,MATCH(10,样本到样信息汇总统计!$X$2:$X$500,0)),"")</f>
        <v/>
      </c>
      <c r="J11" s="8" t="str">
        <f>IFERROR(INDEX(样本到样信息汇总统计!J$2:J$500,MATCH(10,样本到样信息汇总统计!$X$2:$X$500,0)),"")</f>
        <v/>
      </c>
      <c r="K11" s="15" t="str">
        <f>IFERROR(INDEX(样本到样信息汇总统计!K$2:K$500,MATCH(10,样本到样信息汇总统计!$X$2:$X$500,0)),"")</f>
        <v/>
      </c>
      <c r="L11" s="8" t="str">
        <f>IFERROR(INDEX(样本到样信息汇总统计!L$2:L$500,MATCH(10,样本到样信息汇总统计!$X$2:$X$500,0)),"")</f>
        <v/>
      </c>
      <c r="M11" s="8" t="str">
        <f>IFERROR(INDEX(样本到样信息汇总统计!M$2:M$500,MATCH(10,样本到样信息汇总统计!$X$2:$X$500,0)),"")</f>
        <v/>
      </c>
      <c r="N11" s="8" t="str">
        <f>IFERROR(INDEX(样本到样信息汇总统计!N$2:N$500,MATCH(10,样本到样信息汇总统计!$X$2:$X$500,0)),"")</f>
        <v/>
      </c>
      <c r="O11" s="8" t="str">
        <f>IFERROR(INDEX(样本到样信息汇总统计!O$2:O$500,MATCH(10,样本到样信息汇总统计!$X$2:$X$500,0)),"")</f>
        <v/>
      </c>
      <c r="P11" s="8" t="str">
        <f>IFERROR(INDEX(样本到样信息汇总统计!P$2:P$500,MATCH(10,样本到样信息汇总统计!$X$2:$X$500,0)),"")</f>
        <v/>
      </c>
      <c r="Q11" s="8" t="str">
        <f>IFERROR(INDEX(样本到样信息汇总统计!Q$2:Q$500,MATCH(10,样本到样信息汇总统计!$X$2:$X$500,0)),"")</f>
        <v/>
      </c>
      <c r="R11" s="8" t="str">
        <f>IFERROR(INDEX(样本到样信息汇总统计!R$2:R$500,MATCH(10,样本到样信息汇总统计!$X$2:$X$500,0)),"")</f>
        <v/>
      </c>
      <c r="S11" s="8" t="str">
        <f>IFERROR(INDEX(样本到样信息汇总统计!S$2:S$500,MATCH(10,样本到样信息汇总统计!$X$2:$X$500,0)),"")</f>
        <v/>
      </c>
      <c r="T11" s="8" t="str">
        <f>IFERROR(INDEX(样本到样信息汇总统计!T$2:T$500,MATCH(10,样本到样信息汇总统计!$X$2:$X$500,0)),"")</f>
        <v/>
      </c>
      <c r="U11" s="8" t="str">
        <f>IFERROR(INDEX(样本到样信息汇总统计!U$2:U$500,MATCH(10,样本到样信息汇总统计!$X$2:$X$500,0)),"")</f>
        <v/>
      </c>
      <c r="V11" s="8" t="str">
        <f>IFERROR(INDEX(样本到样信息汇总统计!V$2:V$500,MATCH(10,样本到样信息汇总统计!$X$2:$X$500,0)),"")</f>
        <v/>
      </c>
      <c r="W11" s="8" t="str">
        <f>IFERROR(INDEX(样本到样信息汇总统计!W$2:W$500,MATCH(10,样本到样信息汇总统计!$X$2:$X$500,0)),"")</f>
        <v/>
      </c>
    </row>
    <row r="12" ht="21.75" customHeight="1" spans="1:23">
      <c r="A12" s="4" t="str">
        <f>IFERROR(INDEX(样本到样信息汇总统计!A$2:A$500,MATCH(11,样本到样信息汇总统计!$X$2:$X$500,0)),"")</f>
        <v/>
      </c>
      <c r="B12" s="4" t="str">
        <f>IFERROR(INDEX(样本到样信息汇总统计!B$2:B$500,MATCH(11,样本到样信息汇总统计!$X$2:$X$500,0)),"")</f>
        <v/>
      </c>
      <c r="C12" s="4" t="str">
        <f>IFERROR(INDEX(样本到样信息汇总统计!C$2:C$500,MATCH(11,样本到样信息汇总统计!$X$2:$X$500,0)),"")</f>
        <v/>
      </c>
      <c r="D12" s="4" t="str">
        <f>IFERROR(INDEX(样本到样信息汇总统计!D$2:D$500,MATCH(11,样本到样信息汇总统计!$X$2:$X$500,0)),"")</f>
        <v/>
      </c>
      <c r="E12" s="4" t="str">
        <f>IFERROR(INDEX(样本到样信息汇总统计!E$2:E$500,MATCH(11,样本到样信息汇总统计!$X$2:$X$500,0)),"")</f>
        <v/>
      </c>
      <c r="F12" s="4" t="str">
        <f>IFERROR(INDEX(样本到样信息汇总统计!F$2:F$500,MATCH(11,样本到样信息汇总统计!$X$2:$X$500,0)),"")</f>
        <v/>
      </c>
      <c r="G12" s="4" t="str">
        <f>IFERROR(INDEX(样本到样信息汇总统计!G$2:G$500,MATCH(11,样本到样信息汇总统计!$X$2:$X$500,0)),"")</f>
        <v/>
      </c>
      <c r="H12" s="4" t="str">
        <f>IFERROR(INDEX(样本到样信息汇总统计!H$2:H$500,MATCH(11,样本到样信息汇总统计!$X$2:$X$500,0)),"")</f>
        <v/>
      </c>
      <c r="I12" s="4" t="str">
        <f>IFERROR(INDEX(样本到样信息汇总统计!I$2:I$500,MATCH(11,样本到样信息汇总统计!$X$2:$X$500,0)),"")</f>
        <v/>
      </c>
      <c r="J12" s="4" t="str">
        <f>IFERROR(INDEX(样本到样信息汇总统计!J$2:J$500,MATCH(11,样本到样信息汇总统计!$X$2:$X$500,0)),"")</f>
        <v/>
      </c>
      <c r="K12" s="14" t="str">
        <f>IFERROR(INDEX(样本到样信息汇总统计!K$2:K$500,MATCH(11,样本到样信息汇总统计!$X$2:$X$500,0)),"")</f>
        <v/>
      </c>
      <c r="L12" s="4" t="str">
        <f>IFERROR(INDEX(样本到样信息汇总统计!L$2:L$500,MATCH(11,样本到样信息汇总统计!$X$2:$X$500,0)),"")</f>
        <v/>
      </c>
      <c r="M12" s="4" t="str">
        <f>IFERROR(INDEX(样本到样信息汇总统计!M$2:M$500,MATCH(11,样本到样信息汇总统计!$X$2:$X$500,0)),"")</f>
        <v/>
      </c>
      <c r="N12" s="4" t="str">
        <f>IFERROR(INDEX(样本到样信息汇总统计!N$2:N$500,MATCH(11,样本到样信息汇总统计!$X$2:$X$500,0)),"")</f>
        <v/>
      </c>
      <c r="O12" s="4" t="str">
        <f>IFERROR(INDEX(样本到样信息汇总统计!O$2:O$500,MATCH(11,样本到样信息汇总统计!$X$2:$X$500,0)),"")</f>
        <v/>
      </c>
      <c r="P12" s="4" t="str">
        <f>IFERROR(INDEX(样本到样信息汇总统计!P$2:P$500,MATCH(11,样本到样信息汇总统计!$X$2:$X$500,0)),"")</f>
        <v/>
      </c>
      <c r="Q12" s="4" t="str">
        <f>IFERROR(INDEX(样本到样信息汇总统计!Q$2:Q$500,MATCH(11,样本到样信息汇总统计!$X$2:$X$500,0)),"")</f>
        <v/>
      </c>
      <c r="R12" s="4" t="str">
        <f>IFERROR(INDEX(样本到样信息汇总统计!R$2:R$500,MATCH(11,样本到样信息汇总统计!$X$2:$X$500,0)),"")</f>
        <v/>
      </c>
      <c r="S12" s="4" t="str">
        <f>IFERROR(INDEX(样本到样信息汇总统计!S$2:S$500,MATCH(11,样本到样信息汇总统计!$X$2:$X$500,0)),"")</f>
        <v/>
      </c>
      <c r="T12" s="4" t="str">
        <f>IFERROR(INDEX(样本到样信息汇总统计!T$2:T$500,MATCH(11,样本到样信息汇总统计!$X$2:$X$500,0)),"")</f>
        <v/>
      </c>
      <c r="U12" s="4" t="str">
        <f>IFERROR(INDEX(样本到样信息汇总统计!U$2:U$500,MATCH(11,样本到样信息汇总统计!$X$2:$X$500,0)),"")</f>
        <v/>
      </c>
      <c r="V12" s="4" t="str">
        <f>IFERROR(INDEX(样本到样信息汇总统计!V$2:V$500,MATCH(11,样本到样信息汇总统计!$X$2:$X$500,0)),"")</f>
        <v/>
      </c>
      <c r="W12" s="4" t="str">
        <f>IFERROR(INDEX(样本到样信息汇总统计!W$2:W$500,MATCH(11,样本到样信息汇总统计!$X$2:$X$500,0)),"")</f>
        <v/>
      </c>
    </row>
    <row r="13" ht="21.75" customHeight="1" spans="1:23">
      <c r="A13" s="8" t="str">
        <f>IFERROR(INDEX(样本到样信息汇总统计!A$2:A$500,MATCH(12,样本到样信息汇总统计!$X$2:$X$500,0)),"")</f>
        <v/>
      </c>
      <c r="B13" s="8" t="str">
        <f>IFERROR(INDEX(样本到样信息汇总统计!B$2:B$500,MATCH(12,样本到样信息汇总统计!$X$2:$X$500,0)),"")</f>
        <v/>
      </c>
      <c r="C13" s="8" t="str">
        <f>IFERROR(INDEX(样本到样信息汇总统计!C$2:C$500,MATCH(12,样本到样信息汇总统计!$X$2:$X$500,0)),"")</f>
        <v/>
      </c>
      <c r="D13" s="8" t="str">
        <f>IFERROR(INDEX(样本到样信息汇总统计!D$2:D$500,MATCH(12,样本到样信息汇总统计!$X$2:$X$500,0)),"")</f>
        <v/>
      </c>
      <c r="E13" s="8" t="str">
        <f>IFERROR(INDEX(样本到样信息汇总统计!E$2:E$500,MATCH(12,样本到样信息汇总统计!$X$2:$X$500,0)),"")</f>
        <v/>
      </c>
      <c r="F13" s="8" t="str">
        <f>IFERROR(INDEX(样本到样信息汇总统计!F$2:F$500,MATCH(12,样本到样信息汇总统计!$X$2:$X$500,0)),"")</f>
        <v/>
      </c>
      <c r="G13" s="8" t="str">
        <f>IFERROR(INDEX(样本到样信息汇总统计!G$2:G$500,MATCH(12,样本到样信息汇总统计!$X$2:$X$500,0)),"")</f>
        <v/>
      </c>
      <c r="H13" s="8" t="str">
        <f>IFERROR(INDEX(样本到样信息汇总统计!H$2:H$500,MATCH(12,样本到样信息汇总统计!$X$2:$X$500,0)),"")</f>
        <v/>
      </c>
      <c r="I13" s="8" t="str">
        <f>IFERROR(INDEX(样本到样信息汇总统计!I$2:I$500,MATCH(12,样本到样信息汇总统计!$X$2:$X$500,0)),"")</f>
        <v/>
      </c>
      <c r="J13" s="8" t="str">
        <f>IFERROR(INDEX(样本到样信息汇总统计!J$2:J$500,MATCH(12,样本到样信息汇总统计!$X$2:$X$500,0)),"")</f>
        <v/>
      </c>
      <c r="K13" s="15" t="str">
        <f>IFERROR(INDEX(样本到样信息汇总统计!K$2:K$500,MATCH(12,样本到样信息汇总统计!$X$2:$X$500,0)),"")</f>
        <v/>
      </c>
      <c r="L13" s="8" t="str">
        <f>IFERROR(INDEX(样本到样信息汇总统计!L$2:L$500,MATCH(12,样本到样信息汇总统计!$X$2:$X$500,0)),"")</f>
        <v/>
      </c>
      <c r="M13" s="8" t="str">
        <f>IFERROR(INDEX(样本到样信息汇总统计!M$2:M$500,MATCH(12,样本到样信息汇总统计!$X$2:$X$500,0)),"")</f>
        <v/>
      </c>
      <c r="N13" s="8" t="str">
        <f>IFERROR(INDEX(样本到样信息汇总统计!N$2:N$500,MATCH(12,样本到样信息汇总统计!$X$2:$X$500,0)),"")</f>
        <v/>
      </c>
      <c r="O13" s="8" t="str">
        <f>IFERROR(INDEX(样本到样信息汇总统计!O$2:O$500,MATCH(12,样本到样信息汇总统计!$X$2:$X$500,0)),"")</f>
        <v/>
      </c>
      <c r="P13" s="8" t="str">
        <f>IFERROR(INDEX(样本到样信息汇总统计!P$2:P$500,MATCH(12,样本到样信息汇总统计!$X$2:$X$500,0)),"")</f>
        <v/>
      </c>
      <c r="Q13" s="8" t="str">
        <f>IFERROR(INDEX(样本到样信息汇总统计!Q$2:Q$500,MATCH(12,样本到样信息汇总统计!$X$2:$X$500,0)),"")</f>
        <v/>
      </c>
      <c r="R13" s="8" t="str">
        <f>IFERROR(INDEX(样本到样信息汇总统计!R$2:R$500,MATCH(12,样本到样信息汇总统计!$X$2:$X$500,0)),"")</f>
        <v/>
      </c>
      <c r="S13" s="8" t="str">
        <f>IFERROR(INDEX(样本到样信息汇总统计!S$2:S$500,MATCH(12,样本到样信息汇总统计!$X$2:$X$500,0)),"")</f>
        <v/>
      </c>
      <c r="T13" s="8" t="str">
        <f>IFERROR(INDEX(样本到样信息汇总统计!T$2:T$500,MATCH(12,样本到样信息汇总统计!$X$2:$X$500,0)),"")</f>
        <v/>
      </c>
      <c r="U13" s="8" t="str">
        <f>IFERROR(INDEX(样本到样信息汇总统计!U$2:U$500,MATCH(12,样本到样信息汇总统计!$X$2:$X$500,0)),"")</f>
        <v/>
      </c>
      <c r="V13" s="8" t="str">
        <f>IFERROR(INDEX(样本到样信息汇总统计!V$2:V$500,MATCH(12,样本到样信息汇总统计!$X$2:$X$500,0)),"")</f>
        <v/>
      </c>
      <c r="W13" s="8" t="str">
        <f>IFERROR(INDEX(样本到样信息汇总统计!W$2:W$500,MATCH(12,样本到样信息汇总统计!$X$2:$X$500,0)),"")</f>
        <v/>
      </c>
    </row>
    <row r="14" ht="21.75" customHeight="1" spans="1:23">
      <c r="A14" s="4" t="str">
        <f>IFERROR(INDEX(样本到样信息汇总统计!A$2:A$500,MATCH(13,样本到样信息汇总统计!$X$2:$X$500,0)),"")</f>
        <v/>
      </c>
      <c r="B14" s="4" t="str">
        <f>IFERROR(INDEX(样本到样信息汇总统计!B$2:B$500,MATCH(13,样本到样信息汇总统计!$X$2:$X$500,0)),"")</f>
        <v/>
      </c>
      <c r="C14" s="4" t="str">
        <f>IFERROR(INDEX(样本到样信息汇总统计!C$2:C$500,MATCH(13,样本到样信息汇总统计!$X$2:$X$500,0)),"")</f>
        <v/>
      </c>
      <c r="D14" s="4" t="str">
        <f>IFERROR(INDEX(样本到样信息汇总统计!D$2:D$500,MATCH(13,样本到样信息汇总统计!$X$2:$X$500,0)),"")</f>
        <v/>
      </c>
      <c r="E14" s="4" t="str">
        <f>IFERROR(INDEX(样本到样信息汇总统计!E$2:E$500,MATCH(13,样本到样信息汇总统计!$X$2:$X$500,0)),"")</f>
        <v/>
      </c>
      <c r="F14" s="4" t="str">
        <f>IFERROR(INDEX(样本到样信息汇总统计!F$2:F$500,MATCH(13,样本到样信息汇总统计!$X$2:$X$500,0)),"")</f>
        <v/>
      </c>
      <c r="G14" s="4" t="str">
        <f>IFERROR(INDEX(样本到样信息汇总统计!G$2:G$500,MATCH(13,样本到样信息汇总统计!$X$2:$X$500,0)),"")</f>
        <v/>
      </c>
      <c r="H14" s="4" t="str">
        <f>IFERROR(INDEX(样本到样信息汇总统计!H$2:H$500,MATCH(13,样本到样信息汇总统计!$X$2:$X$500,0)),"")</f>
        <v/>
      </c>
      <c r="I14" s="4" t="str">
        <f>IFERROR(INDEX(样本到样信息汇总统计!I$2:I$500,MATCH(13,样本到样信息汇总统计!$X$2:$X$500,0)),"")</f>
        <v/>
      </c>
      <c r="J14" s="4" t="str">
        <f>IFERROR(INDEX(样本到样信息汇总统计!J$2:J$500,MATCH(13,样本到样信息汇总统计!$X$2:$X$500,0)),"")</f>
        <v/>
      </c>
      <c r="K14" s="14" t="str">
        <f>IFERROR(INDEX(样本到样信息汇总统计!K$2:K$500,MATCH(13,样本到样信息汇总统计!$X$2:$X$500,0)),"")</f>
        <v/>
      </c>
      <c r="L14" s="4" t="str">
        <f>IFERROR(INDEX(样本到样信息汇总统计!L$2:L$500,MATCH(13,样本到样信息汇总统计!$X$2:$X$500,0)),"")</f>
        <v/>
      </c>
      <c r="M14" s="4" t="str">
        <f>IFERROR(INDEX(样本到样信息汇总统计!M$2:M$500,MATCH(13,样本到样信息汇总统计!$X$2:$X$500,0)),"")</f>
        <v/>
      </c>
      <c r="N14" s="4" t="str">
        <f>IFERROR(INDEX(样本到样信息汇总统计!N$2:N$500,MATCH(13,样本到样信息汇总统计!$X$2:$X$500,0)),"")</f>
        <v/>
      </c>
      <c r="O14" s="4" t="str">
        <f>IFERROR(INDEX(样本到样信息汇总统计!O$2:O$500,MATCH(13,样本到样信息汇总统计!$X$2:$X$500,0)),"")</f>
        <v/>
      </c>
      <c r="P14" s="4" t="str">
        <f>IFERROR(INDEX(样本到样信息汇总统计!P$2:P$500,MATCH(13,样本到样信息汇总统计!$X$2:$X$500,0)),"")</f>
        <v/>
      </c>
      <c r="Q14" s="4" t="str">
        <f>IFERROR(INDEX(样本到样信息汇总统计!Q$2:Q$500,MATCH(13,样本到样信息汇总统计!$X$2:$X$500,0)),"")</f>
        <v/>
      </c>
      <c r="R14" s="4" t="str">
        <f>IFERROR(INDEX(样本到样信息汇总统计!R$2:R$500,MATCH(13,样本到样信息汇总统计!$X$2:$X$500,0)),"")</f>
        <v/>
      </c>
      <c r="S14" s="4" t="str">
        <f>IFERROR(INDEX(样本到样信息汇总统计!S$2:S$500,MATCH(13,样本到样信息汇总统计!$X$2:$X$500,0)),"")</f>
        <v/>
      </c>
      <c r="T14" s="4" t="str">
        <f>IFERROR(INDEX(样本到样信息汇总统计!T$2:T$500,MATCH(13,样本到样信息汇总统计!$X$2:$X$500,0)),"")</f>
        <v/>
      </c>
      <c r="U14" s="4" t="str">
        <f>IFERROR(INDEX(样本到样信息汇总统计!U$2:U$500,MATCH(13,样本到样信息汇总统计!$X$2:$X$500,0)),"")</f>
        <v/>
      </c>
      <c r="V14" s="4" t="str">
        <f>IFERROR(INDEX(样本到样信息汇总统计!V$2:V$500,MATCH(13,样本到样信息汇总统计!$X$2:$X$500,0)),"")</f>
        <v/>
      </c>
      <c r="W14" s="4" t="str">
        <f>IFERROR(INDEX(样本到样信息汇总统计!W$2:W$500,MATCH(13,样本到样信息汇总统计!$X$2:$X$500,0)),"")</f>
        <v/>
      </c>
    </row>
    <row r="15" ht="21.75" customHeight="1" spans="1:23">
      <c r="A15" s="8" t="str">
        <f>IFERROR(INDEX(样本到样信息汇总统计!A$2:A$500,MATCH(14,样本到样信息汇总统计!$X$2:$X$500,0)),"")</f>
        <v/>
      </c>
      <c r="B15" s="8" t="str">
        <f>IFERROR(INDEX(样本到样信息汇总统计!B$2:B$500,MATCH(14,样本到样信息汇总统计!$X$2:$X$500,0)),"")</f>
        <v/>
      </c>
      <c r="C15" s="8" t="str">
        <f>IFERROR(INDEX(样本到样信息汇总统计!C$2:C$500,MATCH(14,样本到样信息汇总统计!$X$2:$X$500,0)),"")</f>
        <v/>
      </c>
      <c r="D15" s="8" t="str">
        <f>IFERROR(INDEX(样本到样信息汇总统计!D$2:D$500,MATCH(14,样本到样信息汇总统计!$X$2:$X$500,0)),"")</f>
        <v/>
      </c>
      <c r="E15" s="8" t="str">
        <f>IFERROR(INDEX(样本到样信息汇总统计!E$2:E$500,MATCH(14,样本到样信息汇总统计!$X$2:$X$500,0)),"")</f>
        <v/>
      </c>
      <c r="F15" s="8" t="str">
        <f>IFERROR(INDEX(样本到样信息汇总统计!F$2:F$500,MATCH(14,样本到样信息汇总统计!$X$2:$X$500,0)),"")</f>
        <v/>
      </c>
      <c r="G15" s="8" t="str">
        <f>IFERROR(INDEX(样本到样信息汇总统计!G$2:G$500,MATCH(14,样本到样信息汇总统计!$X$2:$X$500,0)),"")</f>
        <v/>
      </c>
      <c r="H15" s="8" t="str">
        <f>IFERROR(INDEX(样本到样信息汇总统计!H$2:H$500,MATCH(14,样本到样信息汇总统计!$X$2:$X$500,0)),"")</f>
        <v/>
      </c>
      <c r="I15" s="8" t="str">
        <f>IFERROR(INDEX(样本到样信息汇总统计!I$2:I$500,MATCH(14,样本到样信息汇总统计!$X$2:$X$500,0)),"")</f>
        <v/>
      </c>
      <c r="J15" s="8" t="str">
        <f>IFERROR(INDEX(样本到样信息汇总统计!J$2:J$500,MATCH(14,样本到样信息汇总统计!$X$2:$X$500,0)),"")</f>
        <v/>
      </c>
      <c r="K15" s="15" t="str">
        <f>IFERROR(INDEX(样本到样信息汇总统计!K$2:K$500,MATCH(14,样本到样信息汇总统计!$X$2:$X$500,0)),"")</f>
        <v/>
      </c>
      <c r="L15" s="8" t="str">
        <f>IFERROR(INDEX(样本到样信息汇总统计!L$2:L$500,MATCH(14,样本到样信息汇总统计!$X$2:$X$500,0)),"")</f>
        <v/>
      </c>
      <c r="M15" s="8" t="str">
        <f>IFERROR(INDEX(样本到样信息汇总统计!M$2:M$500,MATCH(14,样本到样信息汇总统计!$X$2:$X$500,0)),"")</f>
        <v/>
      </c>
      <c r="N15" s="8" t="str">
        <f>IFERROR(INDEX(样本到样信息汇总统计!N$2:N$500,MATCH(14,样本到样信息汇总统计!$X$2:$X$500,0)),"")</f>
        <v/>
      </c>
      <c r="O15" s="8" t="str">
        <f>IFERROR(INDEX(样本到样信息汇总统计!O$2:O$500,MATCH(14,样本到样信息汇总统计!$X$2:$X$500,0)),"")</f>
        <v/>
      </c>
      <c r="P15" s="8" t="str">
        <f>IFERROR(INDEX(样本到样信息汇总统计!P$2:P$500,MATCH(14,样本到样信息汇总统计!$X$2:$X$500,0)),"")</f>
        <v/>
      </c>
      <c r="Q15" s="8" t="str">
        <f>IFERROR(INDEX(样本到样信息汇总统计!Q$2:Q$500,MATCH(14,样本到样信息汇总统计!$X$2:$X$500,0)),"")</f>
        <v/>
      </c>
      <c r="R15" s="8" t="str">
        <f>IFERROR(INDEX(样本到样信息汇总统计!R$2:R$500,MATCH(14,样本到样信息汇总统计!$X$2:$X$500,0)),"")</f>
        <v/>
      </c>
      <c r="S15" s="8" t="str">
        <f>IFERROR(INDEX(样本到样信息汇总统计!S$2:S$500,MATCH(14,样本到样信息汇总统计!$X$2:$X$500,0)),"")</f>
        <v/>
      </c>
      <c r="T15" s="8" t="str">
        <f>IFERROR(INDEX(样本到样信息汇总统计!T$2:T$500,MATCH(14,样本到样信息汇总统计!$X$2:$X$500,0)),"")</f>
        <v/>
      </c>
      <c r="U15" s="8" t="str">
        <f>IFERROR(INDEX(样本到样信息汇总统计!U$2:U$500,MATCH(14,样本到样信息汇总统计!$X$2:$X$500,0)),"")</f>
        <v/>
      </c>
      <c r="V15" s="8" t="str">
        <f>IFERROR(INDEX(样本到样信息汇总统计!V$2:V$500,MATCH(14,样本到样信息汇总统计!$X$2:$X$500,0)),"")</f>
        <v/>
      </c>
      <c r="W15" s="8" t="str">
        <f>IFERROR(INDEX(样本到样信息汇总统计!W$2:W$500,MATCH(14,样本到样信息汇总统计!$X$2:$X$500,0)),"")</f>
        <v/>
      </c>
    </row>
    <row r="16" ht="21.75" customHeight="1" spans="1:23">
      <c r="A16" s="4" t="str">
        <f>IFERROR(INDEX(样本到样信息汇总统计!A$2:A$500,MATCH(15,样本到样信息汇总统计!$X$2:$X$500,0)),"")</f>
        <v/>
      </c>
      <c r="B16" s="4" t="str">
        <f>IFERROR(INDEX(样本到样信息汇总统计!B$2:B$500,MATCH(15,样本到样信息汇总统计!$X$2:$X$500,0)),"")</f>
        <v/>
      </c>
      <c r="C16" s="4" t="str">
        <f>IFERROR(INDEX(样本到样信息汇总统计!C$2:C$500,MATCH(15,样本到样信息汇总统计!$X$2:$X$500,0)),"")</f>
        <v/>
      </c>
      <c r="D16" s="4" t="str">
        <f>IFERROR(INDEX(样本到样信息汇总统计!D$2:D$500,MATCH(15,样本到样信息汇总统计!$X$2:$X$500,0)),"")</f>
        <v/>
      </c>
      <c r="E16" s="4" t="str">
        <f>IFERROR(INDEX(样本到样信息汇总统计!E$2:E$500,MATCH(15,样本到样信息汇总统计!$X$2:$X$500,0)),"")</f>
        <v/>
      </c>
      <c r="F16" s="4" t="str">
        <f>IFERROR(INDEX(样本到样信息汇总统计!F$2:F$500,MATCH(15,样本到样信息汇总统计!$X$2:$X$500,0)),"")</f>
        <v/>
      </c>
      <c r="G16" s="4" t="str">
        <f>IFERROR(INDEX(样本到样信息汇总统计!G$2:G$500,MATCH(15,样本到样信息汇总统计!$X$2:$X$500,0)),"")</f>
        <v/>
      </c>
      <c r="H16" s="4" t="str">
        <f>IFERROR(INDEX(样本到样信息汇总统计!H$2:H$500,MATCH(15,样本到样信息汇总统计!$X$2:$X$500,0)),"")</f>
        <v/>
      </c>
      <c r="I16" s="4" t="str">
        <f>IFERROR(INDEX(样本到样信息汇总统计!I$2:I$500,MATCH(15,样本到样信息汇总统计!$X$2:$X$500,0)),"")</f>
        <v/>
      </c>
      <c r="J16" s="4" t="str">
        <f>IFERROR(INDEX(样本到样信息汇总统计!J$2:J$500,MATCH(15,样本到样信息汇总统计!$X$2:$X$500,0)),"")</f>
        <v/>
      </c>
      <c r="K16" s="14" t="str">
        <f>IFERROR(INDEX(样本到样信息汇总统计!K$2:K$500,MATCH(15,样本到样信息汇总统计!$X$2:$X$500,0)),"")</f>
        <v/>
      </c>
      <c r="L16" s="4" t="str">
        <f>IFERROR(INDEX(样本到样信息汇总统计!L$2:L$500,MATCH(15,样本到样信息汇总统计!$X$2:$X$500,0)),"")</f>
        <v/>
      </c>
      <c r="M16" s="4" t="str">
        <f>IFERROR(INDEX(样本到样信息汇总统计!M$2:M$500,MATCH(15,样本到样信息汇总统计!$X$2:$X$500,0)),"")</f>
        <v/>
      </c>
      <c r="N16" s="4" t="str">
        <f>IFERROR(INDEX(样本到样信息汇总统计!N$2:N$500,MATCH(15,样本到样信息汇总统计!$X$2:$X$500,0)),"")</f>
        <v/>
      </c>
      <c r="O16" s="4" t="str">
        <f>IFERROR(INDEX(样本到样信息汇总统计!O$2:O$500,MATCH(15,样本到样信息汇总统计!$X$2:$X$500,0)),"")</f>
        <v/>
      </c>
      <c r="P16" s="4" t="str">
        <f>IFERROR(INDEX(样本到样信息汇总统计!P$2:P$500,MATCH(15,样本到样信息汇总统计!$X$2:$X$500,0)),"")</f>
        <v/>
      </c>
      <c r="Q16" s="4" t="str">
        <f>IFERROR(INDEX(样本到样信息汇总统计!Q$2:Q$500,MATCH(15,样本到样信息汇总统计!$X$2:$X$500,0)),"")</f>
        <v/>
      </c>
      <c r="R16" s="4" t="str">
        <f>IFERROR(INDEX(样本到样信息汇总统计!R$2:R$500,MATCH(15,样本到样信息汇总统计!$X$2:$X$500,0)),"")</f>
        <v/>
      </c>
      <c r="S16" s="4" t="str">
        <f>IFERROR(INDEX(样本到样信息汇总统计!S$2:S$500,MATCH(15,样本到样信息汇总统计!$X$2:$X$500,0)),"")</f>
        <v/>
      </c>
      <c r="T16" s="4" t="str">
        <f>IFERROR(INDEX(样本到样信息汇总统计!T$2:T$500,MATCH(15,样本到样信息汇总统计!$X$2:$X$500,0)),"")</f>
        <v/>
      </c>
      <c r="U16" s="4" t="str">
        <f>IFERROR(INDEX(样本到样信息汇总统计!U$2:U$500,MATCH(15,样本到样信息汇总统计!$X$2:$X$500,0)),"")</f>
        <v/>
      </c>
      <c r="V16" s="4" t="str">
        <f>IFERROR(INDEX(样本到样信息汇总统计!V$2:V$500,MATCH(15,样本到样信息汇总统计!$X$2:$X$500,0)),"")</f>
        <v/>
      </c>
      <c r="W16" s="4" t="str">
        <f>IFERROR(INDEX(样本到样信息汇总统计!W$2:W$500,MATCH(15,样本到样信息汇总统计!$X$2:$X$500,0)),"")</f>
        <v/>
      </c>
    </row>
    <row r="17" ht="21.75" customHeight="1" spans="1:23">
      <c r="A17" s="8" t="str">
        <f>IFERROR(INDEX(样本到样信息汇总统计!A$2:A$500,MATCH(16,样本到样信息汇总统计!$X$2:$X$500,0)),"")</f>
        <v/>
      </c>
      <c r="B17" s="8" t="str">
        <f>IFERROR(INDEX(样本到样信息汇总统计!B$2:B$500,MATCH(16,样本到样信息汇总统计!$X$2:$X$500,0)),"")</f>
        <v/>
      </c>
      <c r="C17" s="8" t="str">
        <f>IFERROR(INDEX(样本到样信息汇总统计!C$2:C$500,MATCH(16,样本到样信息汇总统计!$X$2:$X$500,0)),"")</f>
        <v/>
      </c>
      <c r="D17" s="8" t="str">
        <f>IFERROR(INDEX(样本到样信息汇总统计!D$2:D$500,MATCH(16,样本到样信息汇总统计!$X$2:$X$500,0)),"")</f>
        <v/>
      </c>
      <c r="E17" s="8" t="str">
        <f>IFERROR(INDEX(样本到样信息汇总统计!E$2:E$500,MATCH(16,样本到样信息汇总统计!$X$2:$X$500,0)),"")</f>
        <v/>
      </c>
      <c r="F17" s="8" t="str">
        <f>IFERROR(INDEX(样本到样信息汇总统计!F$2:F$500,MATCH(16,样本到样信息汇总统计!$X$2:$X$500,0)),"")</f>
        <v/>
      </c>
      <c r="G17" s="8" t="str">
        <f>IFERROR(INDEX(样本到样信息汇总统计!G$2:G$500,MATCH(16,样本到样信息汇总统计!$X$2:$X$500,0)),"")</f>
        <v/>
      </c>
      <c r="H17" s="8" t="str">
        <f>IFERROR(INDEX(样本到样信息汇总统计!H$2:H$500,MATCH(16,样本到样信息汇总统计!$X$2:$X$500,0)),"")</f>
        <v/>
      </c>
      <c r="I17" s="8" t="str">
        <f>IFERROR(INDEX(样本到样信息汇总统计!I$2:I$500,MATCH(16,样本到样信息汇总统计!$X$2:$X$500,0)),"")</f>
        <v/>
      </c>
      <c r="J17" s="8" t="str">
        <f>IFERROR(INDEX(样本到样信息汇总统计!J$2:J$500,MATCH(16,样本到样信息汇总统计!$X$2:$X$500,0)),"")</f>
        <v/>
      </c>
      <c r="K17" s="15" t="str">
        <f>IFERROR(INDEX(样本到样信息汇总统计!K$2:K$500,MATCH(16,样本到样信息汇总统计!$X$2:$X$500,0)),"")</f>
        <v/>
      </c>
      <c r="L17" s="8" t="str">
        <f>IFERROR(INDEX(样本到样信息汇总统计!L$2:L$500,MATCH(16,样本到样信息汇总统计!$X$2:$X$500,0)),"")</f>
        <v/>
      </c>
      <c r="M17" s="8" t="str">
        <f>IFERROR(INDEX(样本到样信息汇总统计!M$2:M$500,MATCH(16,样本到样信息汇总统计!$X$2:$X$500,0)),"")</f>
        <v/>
      </c>
      <c r="N17" s="8" t="str">
        <f>IFERROR(INDEX(样本到样信息汇总统计!N$2:N$500,MATCH(16,样本到样信息汇总统计!$X$2:$X$500,0)),"")</f>
        <v/>
      </c>
      <c r="O17" s="8" t="str">
        <f>IFERROR(INDEX(样本到样信息汇总统计!O$2:O$500,MATCH(16,样本到样信息汇总统计!$X$2:$X$500,0)),"")</f>
        <v/>
      </c>
      <c r="P17" s="8" t="str">
        <f>IFERROR(INDEX(样本到样信息汇总统计!P$2:P$500,MATCH(16,样本到样信息汇总统计!$X$2:$X$500,0)),"")</f>
        <v/>
      </c>
      <c r="Q17" s="8" t="str">
        <f>IFERROR(INDEX(样本到样信息汇总统计!Q$2:Q$500,MATCH(16,样本到样信息汇总统计!$X$2:$X$500,0)),"")</f>
        <v/>
      </c>
      <c r="R17" s="8" t="str">
        <f>IFERROR(INDEX(样本到样信息汇总统计!R$2:R$500,MATCH(16,样本到样信息汇总统计!$X$2:$X$500,0)),"")</f>
        <v/>
      </c>
      <c r="S17" s="8" t="str">
        <f>IFERROR(INDEX(样本到样信息汇总统计!S$2:S$500,MATCH(16,样本到样信息汇总统计!$X$2:$X$500,0)),"")</f>
        <v/>
      </c>
      <c r="T17" s="8" t="str">
        <f>IFERROR(INDEX(样本到样信息汇总统计!T$2:T$500,MATCH(16,样本到样信息汇总统计!$X$2:$X$500,0)),"")</f>
        <v/>
      </c>
      <c r="U17" s="8" t="str">
        <f>IFERROR(INDEX(样本到样信息汇总统计!U$2:U$500,MATCH(16,样本到样信息汇总统计!$X$2:$X$500,0)),"")</f>
        <v/>
      </c>
      <c r="V17" s="8" t="str">
        <f>IFERROR(INDEX(样本到样信息汇总统计!V$2:V$500,MATCH(16,样本到样信息汇总统计!$X$2:$X$500,0)),"")</f>
        <v/>
      </c>
      <c r="W17" s="8" t="str">
        <f>IFERROR(INDEX(样本到样信息汇总统计!W$2:W$500,MATCH(16,样本到样信息汇总统计!$X$2:$X$500,0)),"")</f>
        <v/>
      </c>
    </row>
    <row r="18" ht="21.75" customHeight="1" spans="1:23">
      <c r="A18" s="4" t="str">
        <f>IFERROR(INDEX(样本到样信息汇总统计!A$2:A$500,MATCH(17,样本到样信息汇总统计!$X$2:$X$500,0)),"")</f>
        <v/>
      </c>
      <c r="B18" s="4" t="str">
        <f>IFERROR(INDEX(样本到样信息汇总统计!B$2:B$500,MATCH(17,样本到样信息汇总统计!$X$2:$X$500,0)),"")</f>
        <v/>
      </c>
      <c r="C18" s="4" t="str">
        <f>IFERROR(INDEX(样本到样信息汇总统计!C$2:C$500,MATCH(17,样本到样信息汇总统计!$X$2:$X$500,0)),"")</f>
        <v/>
      </c>
      <c r="D18" s="4" t="str">
        <f>IFERROR(INDEX(样本到样信息汇总统计!D$2:D$500,MATCH(17,样本到样信息汇总统计!$X$2:$X$500,0)),"")</f>
        <v/>
      </c>
      <c r="E18" s="4" t="str">
        <f>IFERROR(INDEX(样本到样信息汇总统计!E$2:E$500,MATCH(17,样本到样信息汇总统计!$X$2:$X$500,0)),"")</f>
        <v/>
      </c>
      <c r="F18" s="4" t="str">
        <f>IFERROR(INDEX(样本到样信息汇总统计!F$2:F$500,MATCH(17,样本到样信息汇总统计!$X$2:$X$500,0)),"")</f>
        <v/>
      </c>
      <c r="G18" s="4" t="str">
        <f>IFERROR(INDEX(样本到样信息汇总统计!G$2:G$500,MATCH(17,样本到样信息汇总统计!$X$2:$X$500,0)),"")</f>
        <v/>
      </c>
      <c r="H18" s="4" t="str">
        <f>IFERROR(INDEX(样本到样信息汇总统计!H$2:H$500,MATCH(17,样本到样信息汇总统计!$X$2:$X$500,0)),"")</f>
        <v/>
      </c>
      <c r="I18" s="4" t="str">
        <f>IFERROR(INDEX(样本到样信息汇总统计!I$2:I$500,MATCH(17,样本到样信息汇总统计!$X$2:$X$500,0)),"")</f>
        <v/>
      </c>
      <c r="J18" s="4" t="str">
        <f>IFERROR(INDEX(样本到样信息汇总统计!J$2:J$500,MATCH(17,样本到样信息汇总统计!$X$2:$X$500,0)),"")</f>
        <v/>
      </c>
      <c r="K18" s="14" t="str">
        <f>IFERROR(INDEX(样本到样信息汇总统计!K$2:K$500,MATCH(17,样本到样信息汇总统计!$X$2:$X$500,0)),"")</f>
        <v/>
      </c>
      <c r="L18" s="4" t="str">
        <f>IFERROR(INDEX(样本到样信息汇总统计!L$2:L$500,MATCH(17,样本到样信息汇总统计!$X$2:$X$500,0)),"")</f>
        <v/>
      </c>
      <c r="M18" s="4" t="str">
        <f>IFERROR(INDEX(样本到样信息汇总统计!M$2:M$500,MATCH(17,样本到样信息汇总统计!$X$2:$X$500,0)),"")</f>
        <v/>
      </c>
      <c r="N18" s="4" t="str">
        <f>IFERROR(INDEX(样本到样信息汇总统计!N$2:N$500,MATCH(17,样本到样信息汇总统计!$X$2:$X$500,0)),"")</f>
        <v/>
      </c>
      <c r="O18" s="4" t="str">
        <f>IFERROR(INDEX(样本到样信息汇总统计!O$2:O$500,MATCH(17,样本到样信息汇总统计!$X$2:$X$500,0)),"")</f>
        <v/>
      </c>
      <c r="P18" s="4" t="str">
        <f>IFERROR(INDEX(样本到样信息汇总统计!P$2:P$500,MATCH(17,样本到样信息汇总统计!$X$2:$X$500,0)),"")</f>
        <v/>
      </c>
      <c r="Q18" s="4" t="str">
        <f>IFERROR(INDEX(样本到样信息汇总统计!Q$2:Q$500,MATCH(17,样本到样信息汇总统计!$X$2:$X$500,0)),"")</f>
        <v/>
      </c>
      <c r="R18" s="4" t="str">
        <f>IFERROR(INDEX(样本到样信息汇总统计!R$2:R$500,MATCH(17,样本到样信息汇总统计!$X$2:$X$500,0)),"")</f>
        <v/>
      </c>
      <c r="S18" s="4" t="str">
        <f>IFERROR(INDEX(样本到样信息汇总统计!S$2:S$500,MATCH(17,样本到样信息汇总统计!$X$2:$X$500,0)),"")</f>
        <v/>
      </c>
      <c r="T18" s="4" t="str">
        <f>IFERROR(INDEX(样本到样信息汇总统计!T$2:T$500,MATCH(17,样本到样信息汇总统计!$X$2:$X$500,0)),"")</f>
        <v/>
      </c>
      <c r="U18" s="4" t="str">
        <f>IFERROR(INDEX(样本到样信息汇总统计!U$2:U$500,MATCH(17,样本到样信息汇总统计!$X$2:$X$500,0)),"")</f>
        <v/>
      </c>
      <c r="V18" s="4" t="str">
        <f>IFERROR(INDEX(样本到样信息汇总统计!V$2:V$500,MATCH(17,样本到样信息汇总统计!$X$2:$X$500,0)),"")</f>
        <v/>
      </c>
      <c r="W18" s="4" t="str">
        <f>IFERROR(INDEX(样本到样信息汇总统计!W$2:W$500,MATCH(17,样本到样信息汇总统计!$X$2:$X$500,0)),"")</f>
        <v/>
      </c>
    </row>
    <row r="19" ht="21.75" customHeight="1" spans="1:23">
      <c r="A19" s="8" t="str">
        <f>IFERROR(INDEX(样本到样信息汇总统计!A$2:A$500,MATCH(18,样本到样信息汇总统计!$X$2:$X$500,0)),"")</f>
        <v/>
      </c>
      <c r="B19" s="8" t="str">
        <f>IFERROR(INDEX(样本到样信息汇总统计!B$2:B$500,MATCH(18,样本到样信息汇总统计!$X$2:$X$500,0)),"")</f>
        <v/>
      </c>
      <c r="C19" s="8" t="str">
        <f>IFERROR(INDEX(样本到样信息汇总统计!C$2:C$500,MATCH(18,样本到样信息汇总统计!$X$2:$X$500,0)),"")</f>
        <v/>
      </c>
      <c r="D19" s="8" t="str">
        <f>IFERROR(INDEX(样本到样信息汇总统计!D$2:D$500,MATCH(18,样本到样信息汇总统计!$X$2:$X$500,0)),"")</f>
        <v/>
      </c>
      <c r="E19" s="8" t="str">
        <f>IFERROR(INDEX(样本到样信息汇总统计!E$2:E$500,MATCH(18,样本到样信息汇总统计!$X$2:$X$500,0)),"")</f>
        <v/>
      </c>
      <c r="F19" s="8" t="str">
        <f>IFERROR(INDEX(样本到样信息汇总统计!F$2:F$500,MATCH(18,样本到样信息汇总统计!$X$2:$X$500,0)),"")</f>
        <v/>
      </c>
      <c r="G19" s="8" t="str">
        <f>IFERROR(INDEX(样本到样信息汇总统计!G$2:G$500,MATCH(18,样本到样信息汇总统计!$X$2:$X$500,0)),"")</f>
        <v/>
      </c>
      <c r="H19" s="8" t="str">
        <f>IFERROR(INDEX(样本到样信息汇总统计!H$2:H$500,MATCH(18,样本到样信息汇总统计!$X$2:$X$500,0)),"")</f>
        <v/>
      </c>
      <c r="I19" s="8" t="str">
        <f>IFERROR(INDEX(样本到样信息汇总统计!I$2:I$500,MATCH(18,样本到样信息汇总统计!$X$2:$X$500,0)),"")</f>
        <v/>
      </c>
      <c r="J19" s="8" t="str">
        <f>IFERROR(INDEX(样本到样信息汇总统计!J$2:J$500,MATCH(18,样本到样信息汇总统计!$X$2:$X$500,0)),"")</f>
        <v/>
      </c>
      <c r="K19" s="15" t="str">
        <f>IFERROR(INDEX(样本到样信息汇总统计!K$2:K$500,MATCH(18,样本到样信息汇总统计!$X$2:$X$500,0)),"")</f>
        <v/>
      </c>
      <c r="L19" s="8" t="str">
        <f>IFERROR(INDEX(样本到样信息汇总统计!L$2:L$500,MATCH(18,样本到样信息汇总统计!$X$2:$X$500,0)),"")</f>
        <v/>
      </c>
      <c r="M19" s="8" t="str">
        <f>IFERROR(INDEX(样本到样信息汇总统计!M$2:M$500,MATCH(18,样本到样信息汇总统计!$X$2:$X$500,0)),"")</f>
        <v/>
      </c>
      <c r="N19" s="8" t="str">
        <f>IFERROR(INDEX(样本到样信息汇总统计!N$2:N$500,MATCH(18,样本到样信息汇总统计!$X$2:$X$500,0)),"")</f>
        <v/>
      </c>
      <c r="O19" s="8" t="str">
        <f>IFERROR(INDEX(样本到样信息汇总统计!O$2:O$500,MATCH(18,样本到样信息汇总统计!$X$2:$X$500,0)),"")</f>
        <v/>
      </c>
      <c r="P19" s="8" t="str">
        <f>IFERROR(INDEX(样本到样信息汇总统计!P$2:P$500,MATCH(18,样本到样信息汇总统计!$X$2:$X$500,0)),"")</f>
        <v/>
      </c>
      <c r="Q19" s="8" t="str">
        <f>IFERROR(INDEX(样本到样信息汇总统计!Q$2:Q$500,MATCH(18,样本到样信息汇总统计!$X$2:$X$500,0)),"")</f>
        <v/>
      </c>
      <c r="R19" s="8" t="str">
        <f>IFERROR(INDEX(样本到样信息汇总统计!R$2:R$500,MATCH(18,样本到样信息汇总统计!$X$2:$X$500,0)),"")</f>
        <v/>
      </c>
      <c r="S19" s="8" t="str">
        <f>IFERROR(INDEX(样本到样信息汇总统计!S$2:S$500,MATCH(18,样本到样信息汇总统计!$X$2:$X$500,0)),"")</f>
        <v/>
      </c>
      <c r="T19" s="8" t="str">
        <f>IFERROR(INDEX(样本到样信息汇总统计!T$2:T$500,MATCH(18,样本到样信息汇总统计!$X$2:$X$500,0)),"")</f>
        <v/>
      </c>
      <c r="U19" s="8" t="str">
        <f>IFERROR(INDEX(样本到样信息汇总统计!U$2:U$500,MATCH(18,样本到样信息汇总统计!$X$2:$X$500,0)),"")</f>
        <v/>
      </c>
      <c r="V19" s="8" t="str">
        <f>IFERROR(INDEX(样本到样信息汇总统计!V$2:V$500,MATCH(18,样本到样信息汇总统计!$X$2:$X$500,0)),"")</f>
        <v/>
      </c>
      <c r="W19" s="8" t="str">
        <f>IFERROR(INDEX(样本到样信息汇总统计!W$2:W$500,MATCH(18,样本到样信息汇总统计!$X$2:$X$500,0)),"")</f>
        <v/>
      </c>
    </row>
    <row r="20" ht="21.75" customHeight="1" spans="1:23">
      <c r="A20" s="4" t="str">
        <f>IFERROR(INDEX(样本到样信息汇总统计!A$2:A$500,MATCH(19,样本到样信息汇总统计!$X$2:$X$500,0)),"")</f>
        <v/>
      </c>
      <c r="B20" s="4" t="str">
        <f>IFERROR(INDEX(样本到样信息汇总统计!B$2:B$500,MATCH(19,样本到样信息汇总统计!$X$2:$X$500,0)),"")</f>
        <v/>
      </c>
      <c r="C20" s="4" t="str">
        <f>IFERROR(INDEX(样本到样信息汇总统计!C$2:C$500,MATCH(19,样本到样信息汇总统计!$X$2:$X$500,0)),"")</f>
        <v/>
      </c>
      <c r="D20" s="4" t="str">
        <f>IFERROR(INDEX(样本到样信息汇总统计!D$2:D$500,MATCH(19,样本到样信息汇总统计!$X$2:$X$500,0)),"")</f>
        <v/>
      </c>
      <c r="E20" s="4" t="str">
        <f>IFERROR(INDEX(样本到样信息汇总统计!E$2:E$500,MATCH(19,样本到样信息汇总统计!$X$2:$X$500,0)),"")</f>
        <v/>
      </c>
      <c r="F20" s="4" t="str">
        <f>IFERROR(INDEX(样本到样信息汇总统计!F$2:F$500,MATCH(19,样本到样信息汇总统计!$X$2:$X$500,0)),"")</f>
        <v/>
      </c>
      <c r="G20" s="4" t="str">
        <f>IFERROR(INDEX(样本到样信息汇总统计!G$2:G$500,MATCH(19,样本到样信息汇总统计!$X$2:$X$500,0)),"")</f>
        <v/>
      </c>
      <c r="H20" s="4" t="str">
        <f>IFERROR(INDEX(样本到样信息汇总统计!H$2:H$500,MATCH(19,样本到样信息汇总统计!$X$2:$X$500,0)),"")</f>
        <v/>
      </c>
      <c r="I20" s="4" t="str">
        <f>IFERROR(INDEX(样本到样信息汇总统计!I$2:I$500,MATCH(19,样本到样信息汇总统计!$X$2:$X$500,0)),"")</f>
        <v/>
      </c>
      <c r="J20" s="4" t="str">
        <f>IFERROR(INDEX(样本到样信息汇总统计!J$2:J$500,MATCH(19,样本到样信息汇总统计!$X$2:$X$500,0)),"")</f>
        <v/>
      </c>
      <c r="K20" s="14" t="str">
        <f>IFERROR(INDEX(样本到样信息汇总统计!K$2:K$500,MATCH(19,样本到样信息汇总统计!$X$2:$X$500,0)),"")</f>
        <v/>
      </c>
      <c r="L20" s="4" t="str">
        <f>IFERROR(INDEX(样本到样信息汇总统计!L$2:L$500,MATCH(19,样本到样信息汇总统计!$X$2:$X$500,0)),"")</f>
        <v/>
      </c>
      <c r="M20" s="4" t="str">
        <f>IFERROR(INDEX(样本到样信息汇总统计!M$2:M$500,MATCH(19,样本到样信息汇总统计!$X$2:$X$500,0)),"")</f>
        <v/>
      </c>
      <c r="N20" s="4" t="str">
        <f>IFERROR(INDEX(样本到样信息汇总统计!N$2:N$500,MATCH(19,样本到样信息汇总统计!$X$2:$X$500,0)),"")</f>
        <v/>
      </c>
      <c r="O20" s="4" t="str">
        <f>IFERROR(INDEX(样本到样信息汇总统计!O$2:O$500,MATCH(19,样本到样信息汇总统计!$X$2:$X$500,0)),"")</f>
        <v/>
      </c>
      <c r="P20" s="4" t="str">
        <f>IFERROR(INDEX(样本到样信息汇总统计!P$2:P$500,MATCH(19,样本到样信息汇总统计!$X$2:$X$500,0)),"")</f>
        <v/>
      </c>
      <c r="Q20" s="4" t="str">
        <f>IFERROR(INDEX(样本到样信息汇总统计!Q$2:Q$500,MATCH(19,样本到样信息汇总统计!$X$2:$X$500,0)),"")</f>
        <v/>
      </c>
      <c r="R20" s="4" t="str">
        <f>IFERROR(INDEX(样本到样信息汇总统计!R$2:R$500,MATCH(19,样本到样信息汇总统计!$X$2:$X$500,0)),"")</f>
        <v/>
      </c>
      <c r="S20" s="4" t="str">
        <f>IFERROR(INDEX(样本到样信息汇总统计!S$2:S$500,MATCH(19,样本到样信息汇总统计!$X$2:$X$500,0)),"")</f>
        <v/>
      </c>
      <c r="T20" s="4" t="str">
        <f>IFERROR(INDEX(样本到样信息汇总统计!T$2:T$500,MATCH(19,样本到样信息汇总统计!$X$2:$X$500,0)),"")</f>
        <v/>
      </c>
      <c r="U20" s="4" t="str">
        <f>IFERROR(INDEX(样本到样信息汇总统计!U$2:U$500,MATCH(19,样本到样信息汇总统计!$X$2:$X$500,0)),"")</f>
        <v/>
      </c>
      <c r="V20" s="4" t="str">
        <f>IFERROR(INDEX(样本到样信息汇总统计!V$2:V$500,MATCH(19,样本到样信息汇总统计!$X$2:$X$500,0)),"")</f>
        <v/>
      </c>
      <c r="W20" s="4" t="str">
        <f>IFERROR(INDEX(样本到样信息汇总统计!W$2:W$500,MATCH(19,样本到样信息汇总统计!$X$2:$X$500,0)),"")</f>
        <v/>
      </c>
    </row>
    <row r="21" ht="14.5" spans="1:23">
      <c r="A21" s="8" t="str">
        <f>IFERROR(INDEX(样本到样信息汇总统计!A$2:A$500,MATCH(20,样本到样信息汇总统计!$X$2:$X$500,0)),"")</f>
        <v/>
      </c>
      <c r="B21" s="8" t="str">
        <f>IFERROR(INDEX(样本到样信息汇总统计!B$2:B$500,MATCH(20,样本到样信息汇总统计!$X$2:$X$500,0)),"")</f>
        <v/>
      </c>
      <c r="C21" s="8" t="str">
        <f>IFERROR(INDEX(样本到样信息汇总统计!C$2:C$500,MATCH(20,样本到样信息汇总统计!$X$2:$X$500,0)),"")</f>
        <v/>
      </c>
      <c r="D21" s="8" t="str">
        <f>IFERROR(INDEX(样本到样信息汇总统计!D$2:D$500,MATCH(20,样本到样信息汇总统计!$X$2:$X$500,0)),"")</f>
        <v/>
      </c>
      <c r="E21" s="8" t="str">
        <f>IFERROR(INDEX(样本到样信息汇总统计!E$2:E$500,MATCH(20,样本到样信息汇总统计!$X$2:$X$500,0)),"")</f>
        <v/>
      </c>
      <c r="F21" s="8" t="str">
        <f>IFERROR(INDEX(样本到样信息汇总统计!F$2:F$500,MATCH(20,样本到样信息汇总统计!$X$2:$X$500,0)),"")</f>
        <v/>
      </c>
      <c r="G21" s="8" t="str">
        <f>IFERROR(INDEX(样本到样信息汇总统计!G$2:G$500,MATCH(20,样本到样信息汇总统计!$X$2:$X$500,0)),"")</f>
        <v/>
      </c>
      <c r="H21" s="8" t="str">
        <f>IFERROR(INDEX(样本到样信息汇总统计!H$2:H$500,MATCH(20,样本到样信息汇总统计!$X$2:$X$500,0)),"")</f>
        <v/>
      </c>
      <c r="I21" s="8" t="str">
        <f>IFERROR(INDEX(样本到样信息汇总统计!I$2:I$500,MATCH(20,样本到样信息汇总统计!$X$2:$X$500,0)),"")</f>
        <v/>
      </c>
      <c r="J21" s="8" t="str">
        <f>IFERROR(INDEX(样本到样信息汇总统计!J$2:J$500,MATCH(20,样本到样信息汇总统计!$X$2:$X$500,0)),"")</f>
        <v/>
      </c>
      <c r="K21" s="15" t="str">
        <f>IFERROR(INDEX(样本到样信息汇总统计!K$2:K$500,MATCH(20,样本到样信息汇总统计!$X$2:$X$500,0)),"")</f>
        <v/>
      </c>
      <c r="L21" s="8" t="str">
        <f>IFERROR(INDEX(样本到样信息汇总统计!L$2:L$500,MATCH(20,样本到样信息汇总统计!$X$2:$X$500,0)),"")</f>
        <v/>
      </c>
      <c r="M21" s="8" t="str">
        <f>IFERROR(INDEX(样本到样信息汇总统计!M$2:M$500,MATCH(20,样本到样信息汇总统计!$X$2:$X$500,0)),"")</f>
        <v/>
      </c>
      <c r="N21" s="8" t="str">
        <f>IFERROR(INDEX(样本到样信息汇总统计!N$2:N$500,MATCH(20,样本到样信息汇总统计!$X$2:$X$500,0)),"")</f>
        <v/>
      </c>
      <c r="O21" s="8" t="str">
        <f>IFERROR(INDEX(样本到样信息汇总统计!O$2:O$500,MATCH(20,样本到样信息汇总统计!$X$2:$X$500,0)),"")</f>
        <v/>
      </c>
      <c r="P21" s="8" t="str">
        <f>IFERROR(INDEX(样本到样信息汇总统计!P$2:P$500,MATCH(20,样本到样信息汇总统计!$X$2:$X$500,0)),"")</f>
        <v/>
      </c>
      <c r="Q21" s="8" t="str">
        <f>IFERROR(INDEX(样本到样信息汇总统计!Q$2:Q$500,MATCH(20,样本到样信息汇总统计!$X$2:$X$500,0)),"")</f>
        <v/>
      </c>
      <c r="R21" s="8" t="str">
        <f>IFERROR(INDEX(样本到样信息汇总统计!R$2:R$500,MATCH(20,样本到样信息汇总统计!$X$2:$X$500,0)),"")</f>
        <v/>
      </c>
      <c r="S21" s="8" t="str">
        <f>IFERROR(INDEX(样本到样信息汇总统计!S$2:S$500,MATCH(20,样本到样信息汇总统计!$X$2:$X$500,0)),"")</f>
        <v/>
      </c>
      <c r="T21" s="8" t="str">
        <f>IFERROR(INDEX(样本到样信息汇总统计!T$2:T$500,MATCH(20,样本到样信息汇总统计!$X$2:$X$500,0)),"")</f>
        <v/>
      </c>
      <c r="U21" s="8" t="str">
        <f>IFERROR(INDEX(样本到样信息汇总统计!U$2:U$500,MATCH(20,样本到样信息汇总统计!$X$2:$X$500,0)),"")</f>
        <v/>
      </c>
      <c r="V21" s="8" t="str">
        <f>IFERROR(INDEX(样本到样信息汇总统计!V$2:V$500,MATCH(20,样本到样信息汇总统计!$X$2:$X$500,0)),"")</f>
        <v/>
      </c>
      <c r="W21" s="8" t="str">
        <f>IFERROR(INDEX(样本到样信息汇总统计!W$2:W$500,MATCH(20,样本到样信息汇总统计!$X$2:$X$500,0)),"")</f>
        <v/>
      </c>
    </row>
    <row r="22" ht="14.5" spans="1:23">
      <c r="A22" s="4" t="str">
        <f>IFERROR(INDEX(样本到样信息汇总统计!A$2:A$500,MATCH(21,样本到样信息汇总统计!$X$2:$X$500,0)),"")</f>
        <v/>
      </c>
      <c r="B22" s="4" t="str">
        <f>IFERROR(INDEX(样本到样信息汇总统计!B$2:B$500,MATCH(21,样本到样信息汇总统计!$X$2:$X$500,0)),"")</f>
        <v/>
      </c>
      <c r="C22" s="4" t="str">
        <f>IFERROR(INDEX(样本到样信息汇总统计!C$2:C$500,MATCH(21,样本到样信息汇总统计!$X$2:$X$500,0)),"")</f>
        <v/>
      </c>
      <c r="D22" s="4" t="str">
        <f>IFERROR(INDEX(样本到样信息汇总统计!D$2:D$500,MATCH(21,样本到样信息汇总统计!$X$2:$X$500,0)),"")</f>
        <v/>
      </c>
      <c r="E22" s="4" t="str">
        <f>IFERROR(INDEX(样本到样信息汇总统计!E$2:E$500,MATCH(21,样本到样信息汇总统计!$X$2:$X$500,0)),"")</f>
        <v/>
      </c>
      <c r="F22" s="4" t="str">
        <f>IFERROR(INDEX(样本到样信息汇总统计!F$2:F$500,MATCH(21,样本到样信息汇总统计!$X$2:$X$500,0)),"")</f>
        <v/>
      </c>
      <c r="G22" s="4" t="str">
        <f>IFERROR(INDEX(样本到样信息汇总统计!G$2:G$500,MATCH(21,样本到样信息汇总统计!$X$2:$X$500,0)),"")</f>
        <v/>
      </c>
      <c r="H22" s="4" t="str">
        <f>IFERROR(INDEX(样本到样信息汇总统计!H$2:H$500,MATCH(21,样本到样信息汇总统计!$X$2:$X$500,0)),"")</f>
        <v/>
      </c>
      <c r="I22" s="4" t="str">
        <f>IFERROR(INDEX(样本到样信息汇总统计!I$2:I$500,MATCH(21,样本到样信息汇总统计!$X$2:$X$500,0)),"")</f>
        <v/>
      </c>
      <c r="J22" s="4" t="str">
        <f>IFERROR(INDEX(样本到样信息汇总统计!J$2:J$500,MATCH(21,样本到样信息汇总统计!$X$2:$X$500,0)),"")</f>
        <v/>
      </c>
      <c r="K22" s="14" t="str">
        <f>IFERROR(INDEX(样本到样信息汇总统计!K$2:K$500,MATCH(21,样本到样信息汇总统计!$X$2:$X$500,0)),"")</f>
        <v/>
      </c>
      <c r="L22" s="4" t="str">
        <f>IFERROR(INDEX(样本到样信息汇总统计!L$2:L$500,MATCH(21,样本到样信息汇总统计!$X$2:$X$500,0)),"")</f>
        <v/>
      </c>
      <c r="M22" s="4" t="str">
        <f>IFERROR(INDEX(样本到样信息汇总统计!M$2:M$500,MATCH(21,样本到样信息汇总统计!$X$2:$X$500,0)),"")</f>
        <v/>
      </c>
      <c r="N22" s="4" t="str">
        <f>IFERROR(INDEX(样本到样信息汇总统计!N$2:N$500,MATCH(21,样本到样信息汇总统计!$X$2:$X$500,0)),"")</f>
        <v/>
      </c>
      <c r="O22" s="4" t="str">
        <f>IFERROR(INDEX(样本到样信息汇总统计!O$2:O$500,MATCH(21,样本到样信息汇总统计!$X$2:$X$500,0)),"")</f>
        <v/>
      </c>
      <c r="P22" s="4" t="str">
        <f>IFERROR(INDEX(样本到样信息汇总统计!P$2:P$500,MATCH(21,样本到样信息汇总统计!$X$2:$X$500,0)),"")</f>
        <v/>
      </c>
      <c r="Q22" s="4" t="str">
        <f>IFERROR(INDEX(样本到样信息汇总统计!Q$2:Q$500,MATCH(21,样本到样信息汇总统计!$X$2:$X$500,0)),"")</f>
        <v/>
      </c>
      <c r="R22" s="4" t="str">
        <f>IFERROR(INDEX(样本到样信息汇总统计!R$2:R$500,MATCH(21,样本到样信息汇总统计!$X$2:$X$500,0)),"")</f>
        <v/>
      </c>
      <c r="S22" s="4" t="str">
        <f>IFERROR(INDEX(样本到样信息汇总统计!S$2:S$500,MATCH(21,样本到样信息汇总统计!$X$2:$X$500,0)),"")</f>
        <v/>
      </c>
      <c r="T22" s="4" t="str">
        <f>IFERROR(INDEX(样本到样信息汇总统计!T$2:T$500,MATCH(21,样本到样信息汇总统计!$X$2:$X$500,0)),"")</f>
        <v/>
      </c>
      <c r="U22" s="4" t="str">
        <f>IFERROR(INDEX(样本到样信息汇总统计!U$2:U$500,MATCH(21,样本到样信息汇总统计!$X$2:$X$500,0)),"")</f>
        <v/>
      </c>
      <c r="V22" s="4" t="str">
        <f>IFERROR(INDEX(样本到样信息汇总统计!V$2:V$500,MATCH(21,样本到样信息汇总统计!$X$2:$X$500,0)),"")</f>
        <v/>
      </c>
      <c r="W22" s="4" t="str">
        <f>IFERROR(INDEX(样本到样信息汇总统计!W$2:W$500,MATCH(21,样本到样信息汇总统计!$X$2:$X$500,0)),"")</f>
        <v/>
      </c>
    </row>
    <row r="23" ht="14.5" spans="1:23">
      <c r="A23" s="8" t="str">
        <f>IFERROR(INDEX(样本到样信息汇总统计!A$2:A$500,MATCH(22,样本到样信息汇总统计!$X$2:$X$500,0)),"")</f>
        <v/>
      </c>
      <c r="B23" s="8" t="str">
        <f>IFERROR(INDEX(样本到样信息汇总统计!B$2:B$500,MATCH(22,样本到样信息汇总统计!$X$2:$X$500,0)),"")</f>
        <v/>
      </c>
      <c r="C23" s="8" t="str">
        <f>IFERROR(INDEX(样本到样信息汇总统计!C$2:C$500,MATCH(22,样本到样信息汇总统计!$X$2:$X$500,0)),"")</f>
        <v/>
      </c>
      <c r="D23" s="8" t="str">
        <f>IFERROR(INDEX(样本到样信息汇总统计!D$2:D$500,MATCH(22,样本到样信息汇总统计!$X$2:$X$500,0)),"")</f>
        <v/>
      </c>
      <c r="E23" s="8" t="str">
        <f>IFERROR(INDEX(样本到样信息汇总统计!E$2:E$500,MATCH(22,样本到样信息汇总统计!$X$2:$X$500,0)),"")</f>
        <v/>
      </c>
      <c r="F23" s="8" t="str">
        <f>IFERROR(INDEX(样本到样信息汇总统计!F$2:F$500,MATCH(22,样本到样信息汇总统计!$X$2:$X$500,0)),"")</f>
        <v/>
      </c>
      <c r="G23" s="8" t="str">
        <f>IFERROR(INDEX(样本到样信息汇总统计!G$2:G$500,MATCH(22,样本到样信息汇总统计!$X$2:$X$500,0)),"")</f>
        <v/>
      </c>
      <c r="H23" s="8" t="str">
        <f>IFERROR(INDEX(样本到样信息汇总统计!H$2:H$500,MATCH(22,样本到样信息汇总统计!$X$2:$X$500,0)),"")</f>
        <v/>
      </c>
      <c r="I23" s="8" t="str">
        <f>IFERROR(INDEX(样本到样信息汇总统计!I$2:I$500,MATCH(22,样本到样信息汇总统计!$X$2:$X$500,0)),"")</f>
        <v/>
      </c>
      <c r="J23" s="8" t="str">
        <f>IFERROR(INDEX(样本到样信息汇总统计!J$2:J$500,MATCH(22,样本到样信息汇总统计!$X$2:$X$500,0)),"")</f>
        <v/>
      </c>
      <c r="K23" s="15" t="str">
        <f>IFERROR(INDEX(样本到样信息汇总统计!K$2:K$500,MATCH(22,样本到样信息汇总统计!$X$2:$X$500,0)),"")</f>
        <v/>
      </c>
      <c r="L23" s="8" t="str">
        <f>IFERROR(INDEX(样本到样信息汇总统计!L$2:L$500,MATCH(22,样本到样信息汇总统计!$X$2:$X$500,0)),"")</f>
        <v/>
      </c>
      <c r="M23" s="8" t="str">
        <f>IFERROR(INDEX(样本到样信息汇总统计!M$2:M$500,MATCH(22,样本到样信息汇总统计!$X$2:$X$500,0)),"")</f>
        <v/>
      </c>
      <c r="N23" s="8" t="str">
        <f>IFERROR(INDEX(样本到样信息汇总统计!N$2:N$500,MATCH(22,样本到样信息汇总统计!$X$2:$X$500,0)),"")</f>
        <v/>
      </c>
      <c r="O23" s="8" t="str">
        <f>IFERROR(INDEX(样本到样信息汇总统计!O$2:O$500,MATCH(22,样本到样信息汇总统计!$X$2:$X$500,0)),"")</f>
        <v/>
      </c>
      <c r="P23" s="8" t="str">
        <f>IFERROR(INDEX(样本到样信息汇总统计!P$2:P$500,MATCH(22,样本到样信息汇总统计!$X$2:$X$500,0)),"")</f>
        <v/>
      </c>
      <c r="Q23" s="8" t="str">
        <f>IFERROR(INDEX(样本到样信息汇总统计!Q$2:Q$500,MATCH(22,样本到样信息汇总统计!$X$2:$X$500,0)),"")</f>
        <v/>
      </c>
      <c r="R23" s="8" t="str">
        <f>IFERROR(INDEX(样本到样信息汇总统计!R$2:R$500,MATCH(22,样本到样信息汇总统计!$X$2:$X$500,0)),"")</f>
        <v/>
      </c>
      <c r="S23" s="8" t="str">
        <f>IFERROR(INDEX(样本到样信息汇总统计!S$2:S$500,MATCH(22,样本到样信息汇总统计!$X$2:$X$500,0)),"")</f>
        <v/>
      </c>
      <c r="T23" s="8" t="str">
        <f>IFERROR(INDEX(样本到样信息汇总统计!T$2:T$500,MATCH(22,样本到样信息汇总统计!$X$2:$X$500,0)),"")</f>
        <v/>
      </c>
      <c r="U23" s="8" t="str">
        <f>IFERROR(INDEX(样本到样信息汇总统计!U$2:U$500,MATCH(22,样本到样信息汇总统计!$X$2:$X$500,0)),"")</f>
        <v/>
      </c>
      <c r="V23" s="8" t="str">
        <f>IFERROR(INDEX(样本到样信息汇总统计!V$2:V$500,MATCH(22,样本到样信息汇总统计!$X$2:$X$500,0)),"")</f>
        <v/>
      </c>
      <c r="W23" s="8" t="str">
        <f>IFERROR(INDEX(样本到样信息汇总统计!W$2:W$500,MATCH(22,样本到样信息汇总统计!$X$2:$X$500,0)),"")</f>
        <v/>
      </c>
    </row>
    <row r="24" ht="14.5" spans="1:23">
      <c r="A24" s="4" t="str">
        <f>IFERROR(INDEX(样本到样信息汇总统计!A$2:A$500,MATCH(23,样本到样信息汇总统计!$X$2:$X$500,0)),"")</f>
        <v/>
      </c>
      <c r="B24" s="4" t="str">
        <f>IFERROR(INDEX(样本到样信息汇总统计!B$2:B$500,MATCH(23,样本到样信息汇总统计!$X$2:$X$500,0)),"")</f>
        <v/>
      </c>
      <c r="C24" s="4" t="str">
        <f>IFERROR(INDEX(样本到样信息汇总统计!C$2:C$500,MATCH(23,样本到样信息汇总统计!$X$2:$X$500,0)),"")</f>
        <v/>
      </c>
      <c r="D24" s="4" t="str">
        <f>IFERROR(INDEX(样本到样信息汇总统计!D$2:D$500,MATCH(23,样本到样信息汇总统计!$X$2:$X$500,0)),"")</f>
        <v/>
      </c>
      <c r="E24" s="4" t="str">
        <f>IFERROR(INDEX(样本到样信息汇总统计!E$2:E$500,MATCH(23,样本到样信息汇总统计!$X$2:$X$500,0)),"")</f>
        <v/>
      </c>
      <c r="F24" s="4" t="str">
        <f>IFERROR(INDEX(样本到样信息汇总统计!F$2:F$500,MATCH(23,样本到样信息汇总统计!$X$2:$X$500,0)),"")</f>
        <v/>
      </c>
      <c r="G24" s="4" t="str">
        <f>IFERROR(INDEX(样本到样信息汇总统计!G$2:G$500,MATCH(23,样本到样信息汇总统计!$X$2:$X$500,0)),"")</f>
        <v/>
      </c>
      <c r="H24" s="4" t="str">
        <f>IFERROR(INDEX(样本到样信息汇总统计!H$2:H$500,MATCH(23,样本到样信息汇总统计!$X$2:$X$500,0)),"")</f>
        <v/>
      </c>
      <c r="I24" s="4" t="str">
        <f>IFERROR(INDEX(样本到样信息汇总统计!I$2:I$500,MATCH(23,样本到样信息汇总统计!$X$2:$X$500,0)),"")</f>
        <v/>
      </c>
      <c r="J24" s="4" t="str">
        <f>IFERROR(INDEX(样本到样信息汇总统计!J$2:J$500,MATCH(23,样本到样信息汇总统计!$X$2:$X$500,0)),"")</f>
        <v/>
      </c>
      <c r="K24" s="14" t="str">
        <f>IFERROR(INDEX(样本到样信息汇总统计!K$2:K$500,MATCH(23,样本到样信息汇总统计!$X$2:$X$500,0)),"")</f>
        <v/>
      </c>
      <c r="L24" s="4" t="str">
        <f>IFERROR(INDEX(样本到样信息汇总统计!L$2:L$500,MATCH(23,样本到样信息汇总统计!$X$2:$X$500,0)),"")</f>
        <v/>
      </c>
      <c r="M24" s="4" t="str">
        <f>IFERROR(INDEX(样本到样信息汇总统计!M$2:M$500,MATCH(23,样本到样信息汇总统计!$X$2:$X$500,0)),"")</f>
        <v/>
      </c>
      <c r="N24" s="4" t="str">
        <f>IFERROR(INDEX(样本到样信息汇总统计!N$2:N$500,MATCH(23,样本到样信息汇总统计!$X$2:$X$500,0)),"")</f>
        <v/>
      </c>
      <c r="O24" s="4" t="str">
        <f>IFERROR(INDEX(样本到样信息汇总统计!O$2:O$500,MATCH(23,样本到样信息汇总统计!$X$2:$X$500,0)),"")</f>
        <v/>
      </c>
      <c r="P24" s="4" t="str">
        <f>IFERROR(INDEX(样本到样信息汇总统计!P$2:P$500,MATCH(23,样本到样信息汇总统计!$X$2:$X$500,0)),"")</f>
        <v/>
      </c>
      <c r="Q24" s="4" t="str">
        <f>IFERROR(INDEX(样本到样信息汇总统计!Q$2:Q$500,MATCH(23,样本到样信息汇总统计!$X$2:$X$500,0)),"")</f>
        <v/>
      </c>
      <c r="R24" s="4" t="str">
        <f>IFERROR(INDEX(样本到样信息汇总统计!R$2:R$500,MATCH(23,样本到样信息汇总统计!$X$2:$X$500,0)),"")</f>
        <v/>
      </c>
      <c r="S24" s="4" t="str">
        <f>IFERROR(INDEX(样本到样信息汇总统计!S$2:S$500,MATCH(23,样本到样信息汇总统计!$X$2:$X$500,0)),"")</f>
        <v/>
      </c>
      <c r="T24" s="4" t="str">
        <f>IFERROR(INDEX(样本到样信息汇总统计!T$2:T$500,MATCH(23,样本到样信息汇总统计!$X$2:$X$500,0)),"")</f>
        <v/>
      </c>
      <c r="U24" s="4" t="str">
        <f>IFERROR(INDEX(样本到样信息汇总统计!U$2:U$500,MATCH(23,样本到样信息汇总统计!$X$2:$X$500,0)),"")</f>
        <v/>
      </c>
      <c r="V24" s="4" t="str">
        <f>IFERROR(INDEX(样本到样信息汇总统计!V$2:V$500,MATCH(23,样本到样信息汇总统计!$X$2:$X$500,0)),"")</f>
        <v/>
      </c>
      <c r="W24" s="4" t="str">
        <f>IFERROR(INDEX(样本到样信息汇总统计!W$2:W$500,MATCH(23,样本到样信息汇总统计!$X$2:$X$500,0)),"")</f>
        <v/>
      </c>
    </row>
    <row r="25" ht="14.5" spans="1:23">
      <c r="A25" s="8" t="str">
        <f>IFERROR(INDEX(样本到样信息汇总统计!A$2:A$500,MATCH(24,样本到样信息汇总统计!$X$2:$X$500,0)),"")</f>
        <v/>
      </c>
      <c r="B25" s="8" t="str">
        <f>IFERROR(INDEX(样本到样信息汇总统计!B$2:B$500,MATCH(24,样本到样信息汇总统计!$X$2:$X$500,0)),"")</f>
        <v/>
      </c>
      <c r="C25" s="8" t="str">
        <f>IFERROR(INDEX(样本到样信息汇总统计!C$2:C$500,MATCH(24,样本到样信息汇总统计!$X$2:$X$500,0)),"")</f>
        <v/>
      </c>
      <c r="D25" s="8" t="str">
        <f>IFERROR(INDEX(样本到样信息汇总统计!D$2:D$500,MATCH(24,样本到样信息汇总统计!$X$2:$X$500,0)),"")</f>
        <v/>
      </c>
      <c r="E25" s="8" t="str">
        <f>IFERROR(INDEX(样本到样信息汇总统计!E$2:E$500,MATCH(24,样本到样信息汇总统计!$X$2:$X$500,0)),"")</f>
        <v/>
      </c>
      <c r="F25" s="8" t="str">
        <f>IFERROR(INDEX(样本到样信息汇总统计!F$2:F$500,MATCH(24,样本到样信息汇总统计!$X$2:$X$500,0)),"")</f>
        <v/>
      </c>
      <c r="G25" s="8" t="str">
        <f>IFERROR(INDEX(样本到样信息汇总统计!G$2:G$500,MATCH(24,样本到样信息汇总统计!$X$2:$X$500,0)),"")</f>
        <v/>
      </c>
      <c r="H25" s="8" t="str">
        <f>IFERROR(INDEX(样本到样信息汇总统计!H$2:H$500,MATCH(24,样本到样信息汇总统计!$X$2:$X$500,0)),"")</f>
        <v/>
      </c>
      <c r="I25" s="8" t="str">
        <f>IFERROR(INDEX(样本到样信息汇总统计!I$2:I$500,MATCH(24,样本到样信息汇总统计!$X$2:$X$500,0)),"")</f>
        <v/>
      </c>
      <c r="J25" s="8" t="str">
        <f>IFERROR(INDEX(样本到样信息汇总统计!J$2:J$500,MATCH(24,样本到样信息汇总统计!$X$2:$X$500,0)),"")</f>
        <v/>
      </c>
      <c r="K25" s="15" t="str">
        <f>IFERROR(INDEX(样本到样信息汇总统计!K$2:K$500,MATCH(24,样本到样信息汇总统计!$X$2:$X$500,0)),"")</f>
        <v/>
      </c>
      <c r="L25" s="8" t="str">
        <f>IFERROR(INDEX(样本到样信息汇总统计!L$2:L$500,MATCH(24,样本到样信息汇总统计!$X$2:$X$500,0)),"")</f>
        <v/>
      </c>
      <c r="M25" s="8" t="str">
        <f>IFERROR(INDEX(样本到样信息汇总统计!M$2:M$500,MATCH(24,样本到样信息汇总统计!$X$2:$X$500,0)),"")</f>
        <v/>
      </c>
      <c r="N25" s="8" t="str">
        <f>IFERROR(INDEX(样本到样信息汇总统计!N$2:N$500,MATCH(24,样本到样信息汇总统计!$X$2:$X$500,0)),"")</f>
        <v/>
      </c>
      <c r="O25" s="8" t="str">
        <f>IFERROR(INDEX(样本到样信息汇总统计!O$2:O$500,MATCH(24,样本到样信息汇总统计!$X$2:$X$500,0)),"")</f>
        <v/>
      </c>
      <c r="P25" s="8" t="str">
        <f>IFERROR(INDEX(样本到样信息汇总统计!P$2:P$500,MATCH(24,样本到样信息汇总统计!$X$2:$X$500,0)),"")</f>
        <v/>
      </c>
      <c r="Q25" s="8" t="str">
        <f>IFERROR(INDEX(样本到样信息汇总统计!Q$2:Q$500,MATCH(24,样本到样信息汇总统计!$X$2:$X$500,0)),"")</f>
        <v/>
      </c>
      <c r="R25" s="8" t="str">
        <f>IFERROR(INDEX(样本到样信息汇总统计!R$2:R$500,MATCH(24,样本到样信息汇总统计!$X$2:$X$500,0)),"")</f>
        <v/>
      </c>
      <c r="S25" s="8" t="str">
        <f>IFERROR(INDEX(样本到样信息汇总统计!S$2:S$500,MATCH(24,样本到样信息汇总统计!$X$2:$X$500,0)),"")</f>
        <v/>
      </c>
      <c r="T25" s="8" t="str">
        <f>IFERROR(INDEX(样本到样信息汇总统计!T$2:T$500,MATCH(24,样本到样信息汇总统计!$X$2:$X$500,0)),"")</f>
        <v/>
      </c>
      <c r="U25" s="8" t="str">
        <f>IFERROR(INDEX(样本到样信息汇总统计!U$2:U$500,MATCH(24,样本到样信息汇总统计!$X$2:$X$500,0)),"")</f>
        <v/>
      </c>
      <c r="V25" s="8" t="str">
        <f>IFERROR(INDEX(样本到样信息汇总统计!V$2:V$500,MATCH(24,样本到样信息汇总统计!$X$2:$X$500,0)),"")</f>
        <v/>
      </c>
      <c r="W25" s="8" t="str">
        <f>IFERROR(INDEX(样本到样信息汇总统计!W$2:W$500,MATCH(24,样本到样信息汇总统计!$X$2:$X$500,0)),"")</f>
        <v/>
      </c>
    </row>
    <row r="26" ht="14.5" spans="1:23">
      <c r="A26" s="4" t="str">
        <f>IFERROR(INDEX(样本到样信息汇总统计!A$2:A$500,MATCH(25,样本到样信息汇总统计!$X$2:$X$500,0)),"")</f>
        <v/>
      </c>
      <c r="B26" s="4" t="str">
        <f>IFERROR(INDEX(样本到样信息汇总统计!B$2:B$500,MATCH(25,样本到样信息汇总统计!$X$2:$X$500,0)),"")</f>
        <v/>
      </c>
      <c r="C26" s="4" t="str">
        <f>IFERROR(INDEX(样本到样信息汇总统计!C$2:C$500,MATCH(25,样本到样信息汇总统计!$X$2:$X$500,0)),"")</f>
        <v/>
      </c>
      <c r="D26" s="4" t="str">
        <f>IFERROR(INDEX(样本到样信息汇总统计!D$2:D$500,MATCH(25,样本到样信息汇总统计!$X$2:$X$500,0)),"")</f>
        <v/>
      </c>
      <c r="E26" s="4" t="str">
        <f>IFERROR(INDEX(样本到样信息汇总统计!E$2:E$500,MATCH(25,样本到样信息汇总统计!$X$2:$X$500,0)),"")</f>
        <v/>
      </c>
      <c r="F26" s="4" t="str">
        <f>IFERROR(INDEX(样本到样信息汇总统计!F$2:F$500,MATCH(25,样本到样信息汇总统计!$X$2:$X$500,0)),"")</f>
        <v/>
      </c>
      <c r="G26" s="4" t="str">
        <f>IFERROR(INDEX(样本到样信息汇总统计!G$2:G$500,MATCH(25,样本到样信息汇总统计!$X$2:$X$500,0)),"")</f>
        <v/>
      </c>
      <c r="H26" s="4" t="str">
        <f>IFERROR(INDEX(样本到样信息汇总统计!H$2:H$500,MATCH(25,样本到样信息汇总统计!$X$2:$X$500,0)),"")</f>
        <v/>
      </c>
      <c r="I26" s="4" t="str">
        <f>IFERROR(INDEX(样本到样信息汇总统计!I$2:I$500,MATCH(25,样本到样信息汇总统计!$X$2:$X$500,0)),"")</f>
        <v/>
      </c>
      <c r="J26" s="4" t="str">
        <f>IFERROR(INDEX(样本到样信息汇总统计!J$2:J$500,MATCH(25,样本到样信息汇总统计!$X$2:$X$500,0)),"")</f>
        <v/>
      </c>
      <c r="K26" s="14" t="str">
        <f>IFERROR(INDEX(样本到样信息汇总统计!K$2:K$500,MATCH(25,样本到样信息汇总统计!$X$2:$X$500,0)),"")</f>
        <v/>
      </c>
      <c r="L26" s="4" t="str">
        <f>IFERROR(INDEX(样本到样信息汇总统计!L$2:L$500,MATCH(25,样本到样信息汇总统计!$X$2:$X$500,0)),"")</f>
        <v/>
      </c>
      <c r="M26" s="4" t="str">
        <f>IFERROR(INDEX(样本到样信息汇总统计!M$2:M$500,MATCH(25,样本到样信息汇总统计!$X$2:$X$500,0)),"")</f>
        <v/>
      </c>
      <c r="N26" s="4" t="str">
        <f>IFERROR(INDEX(样本到样信息汇总统计!N$2:N$500,MATCH(25,样本到样信息汇总统计!$X$2:$X$500,0)),"")</f>
        <v/>
      </c>
      <c r="O26" s="4" t="str">
        <f>IFERROR(INDEX(样本到样信息汇总统计!O$2:O$500,MATCH(25,样本到样信息汇总统计!$X$2:$X$500,0)),"")</f>
        <v/>
      </c>
      <c r="P26" s="4" t="str">
        <f>IFERROR(INDEX(样本到样信息汇总统计!P$2:P$500,MATCH(25,样本到样信息汇总统计!$X$2:$X$500,0)),"")</f>
        <v/>
      </c>
      <c r="Q26" s="4" t="str">
        <f>IFERROR(INDEX(样本到样信息汇总统计!Q$2:Q$500,MATCH(25,样本到样信息汇总统计!$X$2:$X$500,0)),"")</f>
        <v/>
      </c>
      <c r="R26" s="4" t="str">
        <f>IFERROR(INDEX(样本到样信息汇总统计!R$2:R$500,MATCH(25,样本到样信息汇总统计!$X$2:$X$500,0)),"")</f>
        <v/>
      </c>
      <c r="S26" s="4" t="str">
        <f>IFERROR(INDEX(样本到样信息汇总统计!S$2:S$500,MATCH(25,样本到样信息汇总统计!$X$2:$X$500,0)),"")</f>
        <v/>
      </c>
      <c r="T26" s="4" t="str">
        <f>IFERROR(INDEX(样本到样信息汇总统计!T$2:T$500,MATCH(25,样本到样信息汇总统计!$X$2:$X$500,0)),"")</f>
        <v/>
      </c>
      <c r="U26" s="4" t="str">
        <f>IFERROR(INDEX(样本到样信息汇总统计!U$2:U$500,MATCH(25,样本到样信息汇总统计!$X$2:$X$500,0)),"")</f>
        <v/>
      </c>
      <c r="V26" s="4" t="str">
        <f>IFERROR(INDEX(样本到样信息汇总统计!V$2:V$500,MATCH(25,样本到样信息汇总统计!$X$2:$X$500,0)),"")</f>
        <v/>
      </c>
      <c r="W26" s="4" t="str">
        <f>IFERROR(INDEX(样本到样信息汇总统计!W$2:W$500,MATCH(25,样本到样信息汇总统计!$X$2:$X$500,0)),"")</f>
        <v/>
      </c>
    </row>
    <row r="27" ht="14.5" spans="1:23">
      <c r="A27" s="8" t="str">
        <f>IFERROR(INDEX(样本到样信息汇总统计!A$2:A$500,MATCH(26,样本到样信息汇总统计!$X$2:$X$500,0)),"")</f>
        <v/>
      </c>
      <c r="B27" s="8" t="str">
        <f>IFERROR(INDEX(样本到样信息汇总统计!B$2:B$500,MATCH(26,样本到样信息汇总统计!$X$2:$X$500,0)),"")</f>
        <v/>
      </c>
      <c r="C27" s="8" t="str">
        <f>IFERROR(INDEX(样本到样信息汇总统计!C$2:C$500,MATCH(26,样本到样信息汇总统计!$X$2:$X$500,0)),"")</f>
        <v/>
      </c>
      <c r="D27" s="8" t="str">
        <f>IFERROR(INDEX(样本到样信息汇总统计!D$2:D$500,MATCH(26,样本到样信息汇总统计!$X$2:$X$500,0)),"")</f>
        <v/>
      </c>
      <c r="E27" s="8" t="str">
        <f>IFERROR(INDEX(样本到样信息汇总统计!E$2:E$500,MATCH(26,样本到样信息汇总统计!$X$2:$X$500,0)),"")</f>
        <v/>
      </c>
      <c r="F27" s="8" t="str">
        <f>IFERROR(INDEX(样本到样信息汇总统计!F$2:F$500,MATCH(26,样本到样信息汇总统计!$X$2:$X$500,0)),"")</f>
        <v/>
      </c>
      <c r="G27" s="8" t="str">
        <f>IFERROR(INDEX(样本到样信息汇总统计!G$2:G$500,MATCH(26,样本到样信息汇总统计!$X$2:$X$500,0)),"")</f>
        <v/>
      </c>
      <c r="H27" s="8" t="str">
        <f>IFERROR(INDEX(样本到样信息汇总统计!H$2:H$500,MATCH(26,样本到样信息汇总统计!$X$2:$X$500,0)),"")</f>
        <v/>
      </c>
      <c r="I27" s="8" t="str">
        <f>IFERROR(INDEX(样本到样信息汇总统计!I$2:I$500,MATCH(26,样本到样信息汇总统计!$X$2:$X$500,0)),"")</f>
        <v/>
      </c>
      <c r="J27" s="8" t="str">
        <f>IFERROR(INDEX(样本到样信息汇总统计!J$2:J$500,MATCH(26,样本到样信息汇总统计!$X$2:$X$500,0)),"")</f>
        <v/>
      </c>
      <c r="K27" s="15" t="str">
        <f>IFERROR(INDEX(样本到样信息汇总统计!K$2:K$500,MATCH(26,样本到样信息汇总统计!$X$2:$X$500,0)),"")</f>
        <v/>
      </c>
      <c r="L27" s="8" t="str">
        <f>IFERROR(INDEX(样本到样信息汇总统计!L$2:L$500,MATCH(26,样本到样信息汇总统计!$X$2:$X$500,0)),"")</f>
        <v/>
      </c>
      <c r="M27" s="8" t="str">
        <f>IFERROR(INDEX(样本到样信息汇总统计!M$2:M$500,MATCH(26,样本到样信息汇总统计!$X$2:$X$500,0)),"")</f>
        <v/>
      </c>
      <c r="N27" s="8" t="str">
        <f>IFERROR(INDEX(样本到样信息汇总统计!N$2:N$500,MATCH(26,样本到样信息汇总统计!$X$2:$X$500,0)),"")</f>
        <v/>
      </c>
      <c r="O27" s="8" t="str">
        <f>IFERROR(INDEX(样本到样信息汇总统计!O$2:O$500,MATCH(26,样本到样信息汇总统计!$X$2:$X$500,0)),"")</f>
        <v/>
      </c>
      <c r="P27" s="8" t="str">
        <f>IFERROR(INDEX(样本到样信息汇总统计!P$2:P$500,MATCH(26,样本到样信息汇总统计!$X$2:$X$500,0)),"")</f>
        <v/>
      </c>
      <c r="Q27" s="8" t="str">
        <f>IFERROR(INDEX(样本到样信息汇总统计!Q$2:Q$500,MATCH(26,样本到样信息汇总统计!$X$2:$X$500,0)),"")</f>
        <v/>
      </c>
      <c r="R27" s="8" t="str">
        <f>IFERROR(INDEX(样本到样信息汇总统计!R$2:R$500,MATCH(26,样本到样信息汇总统计!$X$2:$X$500,0)),"")</f>
        <v/>
      </c>
      <c r="S27" s="8" t="str">
        <f>IFERROR(INDEX(样本到样信息汇总统计!S$2:S$500,MATCH(26,样本到样信息汇总统计!$X$2:$X$500,0)),"")</f>
        <v/>
      </c>
      <c r="T27" s="8" t="str">
        <f>IFERROR(INDEX(样本到样信息汇总统计!T$2:T$500,MATCH(26,样本到样信息汇总统计!$X$2:$X$500,0)),"")</f>
        <v/>
      </c>
      <c r="U27" s="8" t="str">
        <f>IFERROR(INDEX(样本到样信息汇总统计!U$2:U$500,MATCH(26,样本到样信息汇总统计!$X$2:$X$500,0)),"")</f>
        <v/>
      </c>
      <c r="V27" s="8" t="str">
        <f>IFERROR(INDEX(样本到样信息汇总统计!V$2:V$500,MATCH(26,样本到样信息汇总统计!$X$2:$X$500,0)),"")</f>
        <v/>
      </c>
      <c r="W27" s="8" t="str">
        <f>IFERROR(INDEX(样本到样信息汇总统计!W$2:W$500,MATCH(26,样本到样信息汇总统计!$X$2:$X$500,0)),"")</f>
        <v/>
      </c>
    </row>
    <row r="28" ht="14.5" spans="1:23">
      <c r="A28" s="4" t="str">
        <f>IFERROR(INDEX(样本到样信息汇总统计!A$2:A$500,MATCH(27,样本到样信息汇总统计!$X$2:$X$500,0)),"")</f>
        <v/>
      </c>
      <c r="B28" s="4" t="str">
        <f>IFERROR(INDEX(样本到样信息汇总统计!B$2:B$500,MATCH(27,样本到样信息汇总统计!$X$2:$X$500,0)),"")</f>
        <v/>
      </c>
      <c r="C28" s="4" t="str">
        <f>IFERROR(INDEX(样本到样信息汇总统计!C$2:C$500,MATCH(27,样本到样信息汇总统计!$X$2:$X$500,0)),"")</f>
        <v/>
      </c>
      <c r="D28" s="4" t="str">
        <f>IFERROR(INDEX(样本到样信息汇总统计!D$2:D$500,MATCH(27,样本到样信息汇总统计!$X$2:$X$500,0)),"")</f>
        <v/>
      </c>
      <c r="E28" s="4" t="str">
        <f>IFERROR(INDEX(样本到样信息汇总统计!E$2:E$500,MATCH(27,样本到样信息汇总统计!$X$2:$X$500,0)),"")</f>
        <v/>
      </c>
      <c r="F28" s="4" t="str">
        <f>IFERROR(INDEX(样本到样信息汇总统计!F$2:F$500,MATCH(27,样本到样信息汇总统计!$X$2:$X$500,0)),"")</f>
        <v/>
      </c>
      <c r="G28" s="4" t="str">
        <f>IFERROR(INDEX(样本到样信息汇总统计!G$2:G$500,MATCH(27,样本到样信息汇总统计!$X$2:$X$500,0)),"")</f>
        <v/>
      </c>
      <c r="H28" s="4" t="str">
        <f>IFERROR(INDEX(样本到样信息汇总统计!H$2:H$500,MATCH(27,样本到样信息汇总统计!$X$2:$X$500,0)),"")</f>
        <v/>
      </c>
      <c r="I28" s="4" t="str">
        <f>IFERROR(INDEX(样本到样信息汇总统计!I$2:I$500,MATCH(27,样本到样信息汇总统计!$X$2:$X$500,0)),"")</f>
        <v/>
      </c>
      <c r="J28" s="4" t="str">
        <f>IFERROR(INDEX(样本到样信息汇总统计!J$2:J$500,MATCH(27,样本到样信息汇总统计!$X$2:$X$500,0)),"")</f>
        <v/>
      </c>
      <c r="K28" s="14" t="str">
        <f>IFERROR(INDEX(样本到样信息汇总统计!K$2:K$500,MATCH(27,样本到样信息汇总统计!$X$2:$X$500,0)),"")</f>
        <v/>
      </c>
      <c r="L28" s="4" t="str">
        <f>IFERROR(INDEX(样本到样信息汇总统计!L$2:L$500,MATCH(27,样本到样信息汇总统计!$X$2:$X$500,0)),"")</f>
        <v/>
      </c>
      <c r="M28" s="4" t="str">
        <f>IFERROR(INDEX(样本到样信息汇总统计!M$2:M$500,MATCH(27,样本到样信息汇总统计!$X$2:$X$500,0)),"")</f>
        <v/>
      </c>
      <c r="N28" s="4" t="str">
        <f>IFERROR(INDEX(样本到样信息汇总统计!N$2:N$500,MATCH(27,样本到样信息汇总统计!$X$2:$X$500,0)),"")</f>
        <v/>
      </c>
      <c r="O28" s="4" t="str">
        <f>IFERROR(INDEX(样本到样信息汇总统计!O$2:O$500,MATCH(27,样本到样信息汇总统计!$X$2:$X$500,0)),"")</f>
        <v/>
      </c>
      <c r="P28" s="4" t="str">
        <f>IFERROR(INDEX(样本到样信息汇总统计!P$2:P$500,MATCH(27,样本到样信息汇总统计!$X$2:$X$500,0)),"")</f>
        <v/>
      </c>
      <c r="Q28" s="4" t="str">
        <f>IFERROR(INDEX(样本到样信息汇总统计!Q$2:Q$500,MATCH(27,样本到样信息汇总统计!$X$2:$X$500,0)),"")</f>
        <v/>
      </c>
      <c r="R28" s="4" t="str">
        <f>IFERROR(INDEX(样本到样信息汇总统计!R$2:R$500,MATCH(27,样本到样信息汇总统计!$X$2:$X$500,0)),"")</f>
        <v/>
      </c>
      <c r="S28" s="4" t="str">
        <f>IFERROR(INDEX(样本到样信息汇总统计!S$2:S$500,MATCH(27,样本到样信息汇总统计!$X$2:$X$500,0)),"")</f>
        <v/>
      </c>
      <c r="T28" s="4" t="str">
        <f>IFERROR(INDEX(样本到样信息汇总统计!T$2:T$500,MATCH(27,样本到样信息汇总统计!$X$2:$X$500,0)),"")</f>
        <v/>
      </c>
      <c r="U28" s="4" t="str">
        <f>IFERROR(INDEX(样本到样信息汇总统计!U$2:U$500,MATCH(27,样本到样信息汇总统计!$X$2:$X$500,0)),"")</f>
        <v/>
      </c>
      <c r="V28" s="4" t="str">
        <f>IFERROR(INDEX(样本到样信息汇总统计!V$2:V$500,MATCH(27,样本到样信息汇总统计!$X$2:$X$500,0)),"")</f>
        <v/>
      </c>
      <c r="W28" s="4" t="str">
        <f>IFERROR(INDEX(样本到样信息汇总统计!W$2:W$500,MATCH(27,样本到样信息汇总统计!$X$2:$X$500,0)),"")</f>
        <v/>
      </c>
    </row>
    <row r="29" ht="14.5" spans="1:23">
      <c r="A29" s="8" t="str">
        <f>IFERROR(INDEX(样本到样信息汇总统计!A$2:A$500,MATCH(28,样本到样信息汇总统计!$X$2:$X$500,0)),"")</f>
        <v/>
      </c>
      <c r="B29" s="8" t="str">
        <f>IFERROR(INDEX(样本到样信息汇总统计!B$2:B$500,MATCH(28,样本到样信息汇总统计!$X$2:$X$500,0)),"")</f>
        <v/>
      </c>
      <c r="C29" s="8" t="str">
        <f>IFERROR(INDEX(样本到样信息汇总统计!C$2:C$500,MATCH(28,样本到样信息汇总统计!$X$2:$X$500,0)),"")</f>
        <v/>
      </c>
      <c r="D29" s="8" t="str">
        <f>IFERROR(INDEX(样本到样信息汇总统计!D$2:D$500,MATCH(28,样本到样信息汇总统计!$X$2:$X$500,0)),"")</f>
        <v/>
      </c>
      <c r="E29" s="8" t="str">
        <f>IFERROR(INDEX(样本到样信息汇总统计!E$2:E$500,MATCH(28,样本到样信息汇总统计!$X$2:$X$500,0)),"")</f>
        <v/>
      </c>
      <c r="F29" s="8" t="str">
        <f>IFERROR(INDEX(样本到样信息汇总统计!F$2:F$500,MATCH(28,样本到样信息汇总统计!$X$2:$X$500,0)),"")</f>
        <v/>
      </c>
      <c r="G29" s="8" t="str">
        <f>IFERROR(INDEX(样本到样信息汇总统计!G$2:G$500,MATCH(28,样本到样信息汇总统计!$X$2:$X$500,0)),"")</f>
        <v/>
      </c>
      <c r="H29" s="8" t="str">
        <f>IFERROR(INDEX(样本到样信息汇总统计!H$2:H$500,MATCH(28,样本到样信息汇总统计!$X$2:$X$500,0)),"")</f>
        <v/>
      </c>
      <c r="I29" s="8" t="str">
        <f>IFERROR(INDEX(样本到样信息汇总统计!I$2:I$500,MATCH(28,样本到样信息汇总统计!$X$2:$X$500,0)),"")</f>
        <v/>
      </c>
      <c r="J29" s="8" t="str">
        <f>IFERROR(INDEX(样本到样信息汇总统计!J$2:J$500,MATCH(28,样本到样信息汇总统计!$X$2:$X$500,0)),"")</f>
        <v/>
      </c>
      <c r="K29" s="15" t="str">
        <f>IFERROR(INDEX(样本到样信息汇总统计!K$2:K$500,MATCH(28,样本到样信息汇总统计!$X$2:$X$500,0)),"")</f>
        <v/>
      </c>
      <c r="L29" s="8" t="str">
        <f>IFERROR(INDEX(样本到样信息汇总统计!L$2:L$500,MATCH(28,样本到样信息汇总统计!$X$2:$X$500,0)),"")</f>
        <v/>
      </c>
      <c r="M29" s="8" t="str">
        <f>IFERROR(INDEX(样本到样信息汇总统计!M$2:M$500,MATCH(28,样本到样信息汇总统计!$X$2:$X$500,0)),"")</f>
        <v/>
      </c>
      <c r="N29" s="8" t="str">
        <f>IFERROR(INDEX(样本到样信息汇总统计!N$2:N$500,MATCH(28,样本到样信息汇总统计!$X$2:$X$500,0)),"")</f>
        <v/>
      </c>
      <c r="O29" s="8" t="str">
        <f>IFERROR(INDEX(样本到样信息汇总统计!O$2:O$500,MATCH(28,样本到样信息汇总统计!$X$2:$X$500,0)),"")</f>
        <v/>
      </c>
      <c r="P29" s="8" t="str">
        <f>IFERROR(INDEX(样本到样信息汇总统计!P$2:P$500,MATCH(28,样本到样信息汇总统计!$X$2:$X$500,0)),"")</f>
        <v/>
      </c>
      <c r="Q29" s="8" t="str">
        <f>IFERROR(INDEX(样本到样信息汇总统计!Q$2:Q$500,MATCH(28,样本到样信息汇总统计!$X$2:$X$500,0)),"")</f>
        <v/>
      </c>
      <c r="R29" s="8" t="str">
        <f>IFERROR(INDEX(样本到样信息汇总统计!R$2:R$500,MATCH(28,样本到样信息汇总统计!$X$2:$X$500,0)),"")</f>
        <v/>
      </c>
      <c r="S29" s="8" t="str">
        <f>IFERROR(INDEX(样本到样信息汇总统计!S$2:S$500,MATCH(28,样本到样信息汇总统计!$X$2:$X$500,0)),"")</f>
        <v/>
      </c>
      <c r="T29" s="8" t="str">
        <f>IFERROR(INDEX(样本到样信息汇总统计!T$2:T$500,MATCH(28,样本到样信息汇总统计!$X$2:$X$500,0)),"")</f>
        <v/>
      </c>
      <c r="U29" s="8" t="str">
        <f>IFERROR(INDEX(样本到样信息汇总统计!U$2:U$500,MATCH(28,样本到样信息汇总统计!$X$2:$X$500,0)),"")</f>
        <v/>
      </c>
      <c r="V29" s="8" t="str">
        <f>IFERROR(INDEX(样本到样信息汇总统计!V$2:V$500,MATCH(28,样本到样信息汇总统计!$X$2:$X$500,0)),"")</f>
        <v/>
      </c>
      <c r="W29" s="8" t="str">
        <f>IFERROR(INDEX(样本到样信息汇总统计!W$2:W$500,MATCH(28,样本到样信息汇总统计!$X$2:$X$500,0)),"")</f>
        <v/>
      </c>
    </row>
    <row r="30" ht="14.5" spans="1:23">
      <c r="A30" s="4" t="str">
        <f>IFERROR(INDEX(样本到样信息汇总统计!A$2:A$500,MATCH(29,样本到样信息汇总统计!$X$2:$X$500,0)),"")</f>
        <v/>
      </c>
      <c r="B30" s="4" t="str">
        <f>IFERROR(INDEX(样本到样信息汇总统计!B$2:B$500,MATCH(29,样本到样信息汇总统计!$X$2:$X$500,0)),"")</f>
        <v/>
      </c>
      <c r="C30" s="4" t="str">
        <f>IFERROR(INDEX(样本到样信息汇总统计!C$2:C$500,MATCH(29,样本到样信息汇总统计!$X$2:$X$500,0)),"")</f>
        <v/>
      </c>
      <c r="D30" s="4" t="str">
        <f>IFERROR(INDEX(样本到样信息汇总统计!D$2:D$500,MATCH(29,样本到样信息汇总统计!$X$2:$X$500,0)),"")</f>
        <v/>
      </c>
      <c r="E30" s="4" t="str">
        <f>IFERROR(INDEX(样本到样信息汇总统计!E$2:E$500,MATCH(29,样本到样信息汇总统计!$X$2:$X$500,0)),"")</f>
        <v/>
      </c>
      <c r="F30" s="4" t="str">
        <f>IFERROR(INDEX(样本到样信息汇总统计!F$2:F$500,MATCH(29,样本到样信息汇总统计!$X$2:$X$500,0)),"")</f>
        <v/>
      </c>
      <c r="G30" s="4" t="str">
        <f>IFERROR(INDEX(样本到样信息汇总统计!G$2:G$500,MATCH(29,样本到样信息汇总统计!$X$2:$X$500,0)),"")</f>
        <v/>
      </c>
      <c r="H30" s="4" t="str">
        <f>IFERROR(INDEX(样本到样信息汇总统计!H$2:H$500,MATCH(29,样本到样信息汇总统计!$X$2:$X$500,0)),"")</f>
        <v/>
      </c>
      <c r="I30" s="4" t="str">
        <f>IFERROR(INDEX(样本到样信息汇总统计!I$2:I$500,MATCH(29,样本到样信息汇总统计!$X$2:$X$500,0)),"")</f>
        <v/>
      </c>
      <c r="J30" s="4" t="str">
        <f>IFERROR(INDEX(样本到样信息汇总统计!J$2:J$500,MATCH(29,样本到样信息汇总统计!$X$2:$X$500,0)),"")</f>
        <v/>
      </c>
      <c r="K30" s="14" t="str">
        <f>IFERROR(INDEX(样本到样信息汇总统计!K$2:K$500,MATCH(29,样本到样信息汇总统计!$X$2:$X$500,0)),"")</f>
        <v/>
      </c>
      <c r="L30" s="4" t="str">
        <f>IFERROR(INDEX(样本到样信息汇总统计!L$2:L$500,MATCH(29,样本到样信息汇总统计!$X$2:$X$500,0)),"")</f>
        <v/>
      </c>
      <c r="M30" s="4" t="str">
        <f>IFERROR(INDEX(样本到样信息汇总统计!M$2:M$500,MATCH(29,样本到样信息汇总统计!$X$2:$X$500,0)),"")</f>
        <v/>
      </c>
      <c r="N30" s="4" t="str">
        <f>IFERROR(INDEX(样本到样信息汇总统计!N$2:N$500,MATCH(29,样本到样信息汇总统计!$X$2:$X$500,0)),"")</f>
        <v/>
      </c>
      <c r="O30" s="4" t="str">
        <f>IFERROR(INDEX(样本到样信息汇总统计!O$2:O$500,MATCH(29,样本到样信息汇总统计!$X$2:$X$500,0)),"")</f>
        <v/>
      </c>
      <c r="P30" s="4" t="str">
        <f>IFERROR(INDEX(样本到样信息汇总统计!P$2:P$500,MATCH(29,样本到样信息汇总统计!$X$2:$X$500,0)),"")</f>
        <v/>
      </c>
      <c r="Q30" s="4" t="str">
        <f>IFERROR(INDEX(样本到样信息汇总统计!Q$2:Q$500,MATCH(29,样本到样信息汇总统计!$X$2:$X$500,0)),"")</f>
        <v/>
      </c>
      <c r="R30" s="4" t="str">
        <f>IFERROR(INDEX(样本到样信息汇总统计!R$2:R$500,MATCH(29,样本到样信息汇总统计!$X$2:$X$500,0)),"")</f>
        <v/>
      </c>
      <c r="S30" s="4" t="str">
        <f>IFERROR(INDEX(样本到样信息汇总统计!S$2:S$500,MATCH(29,样本到样信息汇总统计!$X$2:$X$500,0)),"")</f>
        <v/>
      </c>
      <c r="T30" s="4" t="str">
        <f>IFERROR(INDEX(样本到样信息汇总统计!T$2:T$500,MATCH(29,样本到样信息汇总统计!$X$2:$X$500,0)),"")</f>
        <v/>
      </c>
      <c r="U30" s="4" t="str">
        <f>IFERROR(INDEX(样本到样信息汇总统计!U$2:U$500,MATCH(29,样本到样信息汇总统计!$X$2:$X$500,0)),"")</f>
        <v/>
      </c>
      <c r="V30" s="4" t="str">
        <f>IFERROR(INDEX(样本到样信息汇总统计!V$2:V$500,MATCH(29,样本到样信息汇总统计!$X$2:$X$500,0)),"")</f>
        <v/>
      </c>
      <c r="W30" s="4" t="str">
        <f>IFERROR(INDEX(样本到样信息汇总统计!W$2:W$500,MATCH(29,样本到样信息汇总统计!$X$2:$X$500,0)),"")</f>
        <v/>
      </c>
    </row>
    <row r="31" ht="14.5" spans="1:23">
      <c r="A31" s="8" t="str">
        <f>IFERROR(INDEX(样本到样信息汇总统计!A$2:A$500,MATCH(30,样本到样信息汇总统计!$X$2:$X$500,0)),"")</f>
        <v/>
      </c>
      <c r="B31" s="8" t="str">
        <f>IFERROR(INDEX(样本到样信息汇总统计!B$2:B$500,MATCH(30,样本到样信息汇总统计!$X$2:$X$500,0)),"")</f>
        <v/>
      </c>
      <c r="C31" s="8" t="str">
        <f>IFERROR(INDEX(样本到样信息汇总统计!C$2:C$500,MATCH(30,样本到样信息汇总统计!$X$2:$X$500,0)),"")</f>
        <v/>
      </c>
      <c r="D31" s="8" t="str">
        <f>IFERROR(INDEX(样本到样信息汇总统计!D$2:D$500,MATCH(30,样本到样信息汇总统计!$X$2:$X$500,0)),"")</f>
        <v/>
      </c>
      <c r="E31" s="8" t="str">
        <f>IFERROR(INDEX(样本到样信息汇总统计!E$2:E$500,MATCH(30,样本到样信息汇总统计!$X$2:$X$500,0)),"")</f>
        <v/>
      </c>
      <c r="F31" s="8" t="str">
        <f>IFERROR(INDEX(样本到样信息汇总统计!F$2:F$500,MATCH(30,样本到样信息汇总统计!$X$2:$X$500,0)),"")</f>
        <v/>
      </c>
      <c r="G31" s="8" t="str">
        <f>IFERROR(INDEX(样本到样信息汇总统计!G$2:G$500,MATCH(30,样本到样信息汇总统计!$X$2:$X$500,0)),"")</f>
        <v/>
      </c>
      <c r="H31" s="8" t="str">
        <f>IFERROR(INDEX(样本到样信息汇总统计!H$2:H$500,MATCH(30,样本到样信息汇总统计!$X$2:$X$500,0)),"")</f>
        <v/>
      </c>
      <c r="I31" s="8" t="str">
        <f>IFERROR(INDEX(样本到样信息汇总统计!I$2:I$500,MATCH(30,样本到样信息汇总统计!$X$2:$X$500,0)),"")</f>
        <v/>
      </c>
      <c r="J31" s="8" t="str">
        <f>IFERROR(INDEX(样本到样信息汇总统计!J$2:J$500,MATCH(30,样本到样信息汇总统计!$X$2:$X$500,0)),"")</f>
        <v/>
      </c>
      <c r="K31" s="15" t="str">
        <f>IFERROR(INDEX(样本到样信息汇总统计!K$2:K$500,MATCH(30,样本到样信息汇总统计!$X$2:$X$500,0)),"")</f>
        <v/>
      </c>
      <c r="L31" s="8" t="str">
        <f>IFERROR(INDEX(样本到样信息汇总统计!L$2:L$500,MATCH(30,样本到样信息汇总统计!$X$2:$X$500,0)),"")</f>
        <v/>
      </c>
      <c r="M31" s="8" t="str">
        <f>IFERROR(INDEX(样本到样信息汇总统计!M$2:M$500,MATCH(30,样本到样信息汇总统计!$X$2:$X$500,0)),"")</f>
        <v/>
      </c>
      <c r="N31" s="8" t="str">
        <f>IFERROR(INDEX(样本到样信息汇总统计!N$2:N$500,MATCH(30,样本到样信息汇总统计!$X$2:$X$500,0)),"")</f>
        <v/>
      </c>
      <c r="O31" s="8" t="str">
        <f>IFERROR(INDEX(样本到样信息汇总统计!O$2:O$500,MATCH(30,样本到样信息汇总统计!$X$2:$X$500,0)),"")</f>
        <v/>
      </c>
      <c r="P31" s="8" t="str">
        <f>IFERROR(INDEX(样本到样信息汇总统计!P$2:P$500,MATCH(30,样本到样信息汇总统计!$X$2:$X$500,0)),"")</f>
        <v/>
      </c>
      <c r="Q31" s="8" t="str">
        <f>IFERROR(INDEX(样本到样信息汇总统计!Q$2:Q$500,MATCH(30,样本到样信息汇总统计!$X$2:$X$500,0)),"")</f>
        <v/>
      </c>
      <c r="R31" s="8" t="str">
        <f>IFERROR(INDEX(样本到样信息汇总统计!R$2:R$500,MATCH(30,样本到样信息汇总统计!$X$2:$X$500,0)),"")</f>
        <v/>
      </c>
      <c r="S31" s="8" t="str">
        <f>IFERROR(INDEX(样本到样信息汇总统计!S$2:S$500,MATCH(30,样本到样信息汇总统计!$X$2:$X$500,0)),"")</f>
        <v/>
      </c>
      <c r="T31" s="8" t="str">
        <f>IFERROR(INDEX(样本到样信息汇总统计!T$2:T$500,MATCH(30,样本到样信息汇总统计!$X$2:$X$500,0)),"")</f>
        <v/>
      </c>
      <c r="U31" s="8" t="str">
        <f>IFERROR(INDEX(样本到样信息汇总统计!U$2:U$500,MATCH(30,样本到样信息汇总统计!$X$2:$X$500,0)),"")</f>
        <v/>
      </c>
      <c r="V31" s="8" t="str">
        <f>IFERROR(INDEX(样本到样信息汇总统计!V$2:V$500,MATCH(30,样本到样信息汇总统计!$X$2:$X$500,0)),"")</f>
        <v/>
      </c>
      <c r="W31" s="8" t="str">
        <f>IFERROR(INDEX(样本到样信息汇总统计!W$2:W$500,MATCH(30,样本到样信息汇总统计!$X$2:$X$500,0)),"")</f>
        <v/>
      </c>
    </row>
    <row r="32" ht="14.5" spans="1:23">
      <c r="A32" s="4" t="str">
        <f>IFERROR(INDEX(样本到样信息汇总统计!A$2:A$500,MATCH(31,样本到样信息汇总统计!$X$2:$X$500,0)),"")</f>
        <v/>
      </c>
      <c r="B32" s="4" t="str">
        <f>IFERROR(INDEX(样本到样信息汇总统计!B$2:B$500,MATCH(31,样本到样信息汇总统计!$X$2:$X$500,0)),"")</f>
        <v/>
      </c>
      <c r="C32" s="4" t="str">
        <f>IFERROR(INDEX(样本到样信息汇总统计!C$2:C$500,MATCH(31,样本到样信息汇总统计!$X$2:$X$500,0)),"")</f>
        <v/>
      </c>
      <c r="D32" s="4" t="str">
        <f>IFERROR(INDEX(样本到样信息汇总统计!D$2:D$500,MATCH(31,样本到样信息汇总统计!$X$2:$X$500,0)),"")</f>
        <v/>
      </c>
      <c r="E32" s="4" t="str">
        <f>IFERROR(INDEX(样本到样信息汇总统计!E$2:E$500,MATCH(31,样本到样信息汇总统计!$X$2:$X$500,0)),"")</f>
        <v/>
      </c>
      <c r="F32" s="4" t="str">
        <f>IFERROR(INDEX(样本到样信息汇总统计!F$2:F$500,MATCH(31,样本到样信息汇总统计!$X$2:$X$500,0)),"")</f>
        <v/>
      </c>
      <c r="G32" s="4" t="str">
        <f>IFERROR(INDEX(样本到样信息汇总统计!G$2:G$500,MATCH(31,样本到样信息汇总统计!$X$2:$X$500,0)),"")</f>
        <v/>
      </c>
      <c r="H32" s="4" t="str">
        <f>IFERROR(INDEX(样本到样信息汇总统计!H$2:H$500,MATCH(31,样本到样信息汇总统计!$X$2:$X$500,0)),"")</f>
        <v/>
      </c>
      <c r="I32" s="4" t="str">
        <f>IFERROR(INDEX(样本到样信息汇总统计!I$2:I$500,MATCH(31,样本到样信息汇总统计!$X$2:$X$500,0)),"")</f>
        <v/>
      </c>
      <c r="J32" s="4" t="str">
        <f>IFERROR(INDEX(样本到样信息汇总统计!J$2:J$500,MATCH(31,样本到样信息汇总统计!$X$2:$X$500,0)),"")</f>
        <v/>
      </c>
      <c r="K32" s="14" t="str">
        <f>IFERROR(INDEX(样本到样信息汇总统计!K$2:K$500,MATCH(31,样本到样信息汇总统计!$X$2:$X$500,0)),"")</f>
        <v/>
      </c>
      <c r="L32" s="4" t="str">
        <f>IFERROR(INDEX(样本到样信息汇总统计!L$2:L$500,MATCH(31,样本到样信息汇总统计!$X$2:$X$500,0)),"")</f>
        <v/>
      </c>
      <c r="M32" s="4" t="str">
        <f>IFERROR(INDEX(样本到样信息汇总统计!M$2:M$500,MATCH(31,样本到样信息汇总统计!$X$2:$X$500,0)),"")</f>
        <v/>
      </c>
      <c r="N32" s="4" t="str">
        <f>IFERROR(INDEX(样本到样信息汇总统计!N$2:N$500,MATCH(31,样本到样信息汇总统计!$X$2:$X$500,0)),"")</f>
        <v/>
      </c>
      <c r="O32" s="4" t="str">
        <f>IFERROR(INDEX(样本到样信息汇总统计!O$2:O$500,MATCH(31,样本到样信息汇总统计!$X$2:$X$500,0)),"")</f>
        <v/>
      </c>
      <c r="P32" s="4" t="str">
        <f>IFERROR(INDEX(样本到样信息汇总统计!P$2:P$500,MATCH(31,样本到样信息汇总统计!$X$2:$X$500,0)),"")</f>
        <v/>
      </c>
      <c r="Q32" s="4" t="str">
        <f>IFERROR(INDEX(样本到样信息汇总统计!Q$2:Q$500,MATCH(31,样本到样信息汇总统计!$X$2:$X$500,0)),"")</f>
        <v/>
      </c>
      <c r="R32" s="4" t="str">
        <f>IFERROR(INDEX(样本到样信息汇总统计!R$2:R$500,MATCH(31,样本到样信息汇总统计!$X$2:$X$500,0)),"")</f>
        <v/>
      </c>
      <c r="S32" s="4" t="str">
        <f>IFERROR(INDEX(样本到样信息汇总统计!S$2:S$500,MATCH(31,样本到样信息汇总统计!$X$2:$X$500,0)),"")</f>
        <v/>
      </c>
      <c r="T32" s="4" t="str">
        <f>IFERROR(INDEX(样本到样信息汇总统计!T$2:T$500,MATCH(31,样本到样信息汇总统计!$X$2:$X$500,0)),"")</f>
        <v/>
      </c>
      <c r="U32" s="4" t="str">
        <f>IFERROR(INDEX(样本到样信息汇总统计!U$2:U$500,MATCH(31,样本到样信息汇总统计!$X$2:$X$500,0)),"")</f>
        <v/>
      </c>
      <c r="V32" s="4" t="str">
        <f>IFERROR(INDEX(样本到样信息汇总统计!V$2:V$500,MATCH(31,样本到样信息汇总统计!$X$2:$X$500,0)),"")</f>
        <v/>
      </c>
      <c r="W32" s="4" t="str">
        <f>IFERROR(INDEX(样本到样信息汇总统计!W$2:W$500,MATCH(31,样本到样信息汇总统计!$X$2:$X$500,0)),"")</f>
        <v/>
      </c>
    </row>
    <row r="33" ht="14.5" spans="1:23">
      <c r="A33" s="8" t="str">
        <f>IFERROR(INDEX(样本到样信息汇总统计!A$2:A$500,MATCH(32,样本到样信息汇总统计!$X$2:$X$500,0)),"")</f>
        <v/>
      </c>
      <c r="B33" s="8" t="str">
        <f>IFERROR(INDEX(样本到样信息汇总统计!B$2:B$500,MATCH(32,样本到样信息汇总统计!$X$2:$X$500,0)),"")</f>
        <v/>
      </c>
      <c r="C33" s="8" t="str">
        <f>IFERROR(INDEX(样本到样信息汇总统计!C$2:C$500,MATCH(32,样本到样信息汇总统计!$X$2:$X$500,0)),"")</f>
        <v/>
      </c>
      <c r="D33" s="8" t="str">
        <f>IFERROR(INDEX(样本到样信息汇总统计!D$2:D$500,MATCH(32,样本到样信息汇总统计!$X$2:$X$500,0)),"")</f>
        <v/>
      </c>
      <c r="E33" s="8" t="str">
        <f>IFERROR(INDEX(样本到样信息汇总统计!E$2:E$500,MATCH(32,样本到样信息汇总统计!$X$2:$X$500,0)),"")</f>
        <v/>
      </c>
      <c r="F33" s="8" t="str">
        <f>IFERROR(INDEX(样本到样信息汇总统计!F$2:F$500,MATCH(32,样本到样信息汇总统计!$X$2:$X$500,0)),"")</f>
        <v/>
      </c>
      <c r="G33" s="8" t="str">
        <f>IFERROR(INDEX(样本到样信息汇总统计!G$2:G$500,MATCH(32,样本到样信息汇总统计!$X$2:$X$500,0)),"")</f>
        <v/>
      </c>
      <c r="H33" s="8" t="str">
        <f>IFERROR(INDEX(样本到样信息汇总统计!H$2:H$500,MATCH(32,样本到样信息汇总统计!$X$2:$X$500,0)),"")</f>
        <v/>
      </c>
      <c r="I33" s="8" t="str">
        <f>IFERROR(INDEX(样本到样信息汇总统计!I$2:I$500,MATCH(32,样本到样信息汇总统计!$X$2:$X$500,0)),"")</f>
        <v/>
      </c>
      <c r="J33" s="8" t="str">
        <f>IFERROR(INDEX(样本到样信息汇总统计!J$2:J$500,MATCH(32,样本到样信息汇总统计!$X$2:$X$500,0)),"")</f>
        <v/>
      </c>
      <c r="K33" s="15" t="str">
        <f>IFERROR(INDEX(样本到样信息汇总统计!K$2:K$500,MATCH(32,样本到样信息汇总统计!$X$2:$X$500,0)),"")</f>
        <v/>
      </c>
      <c r="L33" s="8" t="str">
        <f>IFERROR(INDEX(样本到样信息汇总统计!L$2:L$500,MATCH(32,样本到样信息汇总统计!$X$2:$X$500,0)),"")</f>
        <v/>
      </c>
      <c r="M33" s="8" t="str">
        <f>IFERROR(INDEX(样本到样信息汇总统计!M$2:M$500,MATCH(32,样本到样信息汇总统计!$X$2:$X$500,0)),"")</f>
        <v/>
      </c>
      <c r="N33" s="8" t="str">
        <f>IFERROR(INDEX(样本到样信息汇总统计!N$2:N$500,MATCH(32,样本到样信息汇总统计!$X$2:$X$500,0)),"")</f>
        <v/>
      </c>
      <c r="O33" s="8" t="str">
        <f>IFERROR(INDEX(样本到样信息汇总统计!O$2:O$500,MATCH(32,样本到样信息汇总统计!$X$2:$X$500,0)),"")</f>
        <v/>
      </c>
      <c r="P33" s="8" t="str">
        <f>IFERROR(INDEX(样本到样信息汇总统计!P$2:P$500,MATCH(32,样本到样信息汇总统计!$X$2:$X$500,0)),"")</f>
        <v/>
      </c>
      <c r="Q33" s="8" t="str">
        <f>IFERROR(INDEX(样本到样信息汇总统计!Q$2:Q$500,MATCH(32,样本到样信息汇总统计!$X$2:$X$500,0)),"")</f>
        <v/>
      </c>
      <c r="R33" s="8" t="str">
        <f>IFERROR(INDEX(样本到样信息汇总统计!R$2:R$500,MATCH(32,样本到样信息汇总统计!$X$2:$X$500,0)),"")</f>
        <v/>
      </c>
      <c r="S33" s="8" t="str">
        <f>IFERROR(INDEX(样本到样信息汇总统计!S$2:S$500,MATCH(32,样本到样信息汇总统计!$X$2:$X$500,0)),"")</f>
        <v/>
      </c>
      <c r="T33" s="8" t="str">
        <f>IFERROR(INDEX(样本到样信息汇总统计!T$2:T$500,MATCH(32,样本到样信息汇总统计!$X$2:$X$500,0)),"")</f>
        <v/>
      </c>
      <c r="U33" s="8" t="str">
        <f>IFERROR(INDEX(样本到样信息汇总统计!U$2:U$500,MATCH(32,样本到样信息汇总统计!$X$2:$X$500,0)),"")</f>
        <v/>
      </c>
      <c r="V33" s="8" t="str">
        <f>IFERROR(INDEX(样本到样信息汇总统计!V$2:V$500,MATCH(32,样本到样信息汇总统计!$X$2:$X$500,0)),"")</f>
        <v/>
      </c>
      <c r="W33" s="8" t="str">
        <f>IFERROR(INDEX(样本到样信息汇总统计!W$2:W$500,MATCH(32,样本到样信息汇总统计!$X$2:$X$500,0)),"")</f>
        <v/>
      </c>
    </row>
    <row r="34" ht="14.5" spans="1:23">
      <c r="A34" s="4" t="str">
        <f>IFERROR(INDEX(样本到样信息汇总统计!A$2:A$500,MATCH(33,样本到样信息汇总统计!$X$2:$X$500,0)),"")</f>
        <v/>
      </c>
      <c r="B34" s="4" t="str">
        <f>IFERROR(INDEX(样本到样信息汇总统计!B$2:B$500,MATCH(33,样本到样信息汇总统计!$X$2:$X$500,0)),"")</f>
        <v/>
      </c>
      <c r="C34" s="4" t="str">
        <f>IFERROR(INDEX(样本到样信息汇总统计!C$2:C$500,MATCH(33,样本到样信息汇总统计!$X$2:$X$500,0)),"")</f>
        <v/>
      </c>
      <c r="D34" s="4" t="str">
        <f>IFERROR(INDEX(样本到样信息汇总统计!D$2:D$500,MATCH(33,样本到样信息汇总统计!$X$2:$X$500,0)),"")</f>
        <v/>
      </c>
      <c r="E34" s="4" t="str">
        <f>IFERROR(INDEX(样本到样信息汇总统计!E$2:E$500,MATCH(33,样本到样信息汇总统计!$X$2:$X$500,0)),"")</f>
        <v/>
      </c>
      <c r="F34" s="4" t="str">
        <f>IFERROR(INDEX(样本到样信息汇总统计!F$2:F$500,MATCH(33,样本到样信息汇总统计!$X$2:$X$500,0)),"")</f>
        <v/>
      </c>
      <c r="G34" s="4" t="str">
        <f>IFERROR(INDEX(样本到样信息汇总统计!G$2:G$500,MATCH(33,样本到样信息汇总统计!$X$2:$X$500,0)),"")</f>
        <v/>
      </c>
      <c r="H34" s="4" t="str">
        <f>IFERROR(INDEX(样本到样信息汇总统计!H$2:H$500,MATCH(33,样本到样信息汇总统计!$X$2:$X$500,0)),"")</f>
        <v/>
      </c>
      <c r="I34" s="4" t="str">
        <f>IFERROR(INDEX(样本到样信息汇总统计!I$2:I$500,MATCH(33,样本到样信息汇总统计!$X$2:$X$500,0)),"")</f>
        <v/>
      </c>
      <c r="J34" s="4" t="str">
        <f>IFERROR(INDEX(样本到样信息汇总统计!J$2:J$500,MATCH(33,样本到样信息汇总统计!$X$2:$X$500,0)),"")</f>
        <v/>
      </c>
      <c r="K34" s="14" t="str">
        <f>IFERROR(INDEX(样本到样信息汇总统计!K$2:K$500,MATCH(33,样本到样信息汇总统计!$X$2:$X$500,0)),"")</f>
        <v/>
      </c>
      <c r="L34" s="4" t="str">
        <f>IFERROR(INDEX(样本到样信息汇总统计!L$2:L$500,MATCH(33,样本到样信息汇总统计!$X$2:$X$500,0)),"")</f>
        <v/>
      </c>
      <c r="M34" s="4" t="str">
        <f>IFERROR(INDEX(样本到样信息汇总统计!M$2:M$500,MATCH(33,样本到样信息汇总统计!$X$2:$X$500,0)),"")</f>
        <v/>
      </c>
      <c r="N34" s="4" t="str">
        <f>IFERROR(INDEX(样本到样信息汇总统计!N$2:N$500,MATCH(33,样本到样信息汇总统计!$X$2:$X$500,0)),"")</f>
        <v/>
      </c>
      <c r="O34" s="4" t="str">
        <f>IFERROR(INDEX(样本到样信息汇总统计!O$2:O$500,MATCH(33,样本到样信息汇总统计!$X$2:$X$500,0)),"")</f>
        <v/>
      </c>
      <c r="P34" s="4" t="str">
        <f>IFERROR(INDEX(样本到样信息汇总统计!P$2:P$500,MATCH(33,样本到样信息汇总统计!$X$2:$X$500,0)),"")</f>
        <v/>
      </c>
      <c r="Q34" s="4" t="str">
        <f>IFERROR(INDEX(样本到样信息汇总统计!Q$2:Q$500,MATCH(33,样本到样信息汇总统计!$X$2:$X$500,0)),"")</f>
        <v/>
      </c>
      <c r="R34" s="4" t="str">
        <f>IFERROR(INDEX(样本到样信息汇总统计!R$2:R$500,MATCH(33,样本到样信息汇总统计!$X$2:$X$500,0)),"")</f>
        <v/>
      </c>
      <c r="S34" s="4" t="str">
        <f>IFERROR(INDEX(样本到样信息汇总统计!S$2:S$500,MATCH(33,样本到样信息汇总统计!$X$2:$X$500,0)),"")</f>
        <v/>
      </c>
      <c r="T34" s="4" t="str">
        <f>IFERROR(INDEX(样本到样信息汇总统计!T$2:T$500,MATCH(33,样本到样信息汇总统计!$X$2:$X$500,0)),"")</f>
        <v/>
      </c>
      <c r="U34" s="4" t="str">
        <f>IFERROR(INDEX(样本到样信息汇总统计!U$2:U$500,MATCH(33,样本到样信息汇总统计!$X$2:$X$500,0)),"")</f>
        <v/>
      </c>
      <c r="V34" s="4" t="str">
        <f>IFERROR(INDEX(样本到样信息汇总统计!V$2:V$500,MATCH(33,样本到样信息汇总统计!$X$2:$X$500,0)),"")</f>
        <v/>
      </c>
      <c r="W34" s="4" t="str">
        <f>IFERROR(INDEX(样本到样信息汇总统计!W$2:W$500,MATCH(33,样本到样信息汇总统计!$X$2:$X$500,0)),"")</f>
        <v/>
      </c>
    </row>
    <row r="35" ht="14.5" spans="1:23">
      <c r="A35" s="8" t="str">
        <f>IFERROR(INDEX(样本到样信息汇总统计!A$2:A$500,MATCH(34,样本到样信息汇总统计!$X$2:$X$500,0)),"")</f>
        <v/>
      </c>
      <c r="B35" s="8" t="str">
        <f>IFERROR(INDEX(样本到样信息汇总统计!B$2:B$500,MATCH(34,样本到样信息汇总统计!$X$2:$X$500,0)),"")</f>
        <v/>
      </c>
      <c r="C35" s="8" t="str">
        <f>IFERROR(INDEX(样本到样信息汇总统计!C$2:C$500,MATCH(34,样本到样信息汇总统计!$X$2:$X$500,0)),"")</f>
        <v/>
      </c>
      <c r="D35" s="8" t="str">
        <f>IFERROR(INDEX(样本到样信息汇总统计!D$2:D$500,MATCH(34,样本到样信息汇总统计!$X$2:$X$500,0)),"")</f>
        <v/>
      </c>
      <c r="E35" s="8" t="str">
        <f>IFERROR(INDEX(样本到样信息汇总统计!E$2:E$500,MATCH(34,样本到样信息汇总统计!$X$2:$X$500,0)),"")</f>
        <v/>
      </c>
      <c r="F35" s="8" t="str">
        <f>IFERROR(INDEX(样本到样信息汇总统计!F$2:F$500,MATCH(34,样本到样信息汇总统计!$X$2:$X$500,0)),"")</f>
        <v/>
      </c>
      <c r="G35" s="8" t="str">
        <f>IFERROR(INDEX(样本到样信息汇总统计!G$2:G$500,MATCH(34,样本到样信息汇总统计!$X$2:$X$500,0)),"")</f>
        <v/>
      </c>
      <c r="H35" s="8" t="str">
        <f>IFERROR(INDEX(样本到样信息汇总统计!H$2:H$500,MATCH(34,样本到样信息汇总统计!$X$2:$X$500,0)),"")</f>
        <v/>
      </c>
      <c r="I35" s="8" t="str">
        <f>IFERROR(INDEX(样本到样信息汇总统计!I$2:I$500,MATCH(34,样本到样信息汇总统计!$X$2:$X$500,0)),"")</f>
        <v/>
      </c>
      <c r="J35" s="8" t="str">
        <f>IFERROR(INDEX(样本到样信息汇总统计!J$2:J$500,MATCH(34,样本到样信息汇总统计!$X$2:$X$500,0)),"")</f>
        <v/>
      </c>
      <c r="K35" s="15" t="str">
        <f>IFERROR(INDEX(样本到样信息汇总统计!K$2:K$500,MATCH(34,样本到样信息汇总统计!$X$2:$X$500,0)),"")</f>
        <v/>
      </c>
      <c r="L35" s="8" t="str">
        <f>IFERROR(INDEX(样本到样信息汇总统计!L$2:L$500,MATCH(34,样本到样信息汇总统计!$X$2:$X$500,0)),"")</f>
        <v/>
      </c>
      <c r="M35" s="8" t="str">
        <f>IFERROR(INDEX(样本到样信息汇总统计!M$2:M$500,MATCH(34,样本到样信息汇总统计!$X$2:$X$500,0)),"")</f>
        <v/>
      </c>
      <c r="N35" s="8" t="str">
        <f>IFERROR(INDEX(样本到样信息汇总统计!N$2:N$500,MATCH(34,样本到样信息汇总统计!$X$2:$X$500,0)),"")</f>
        <v/>
      </c>
      <c r="O35" s="8" t="str">
        <f>IFERROR(INDEX(样本到样信息汇总统计!O$2:O$500,MATCH(34,样本到样信息汇总统计!$X$2:$X$500,0)),"")</f>
        <v/>
      </c>
      <c r="P35" s="8" t="str">
        <f>IFERROR(INDEX(样本到样信息汇总统计!P$2:P$500,MATCH(34,样本到样信息汇总统计!$X$2:$X$500,0)),"")</f>
        <v/>
      </c>
      <c r="Q35" s="8" t="str">
        <f>IFERROR(INDEX(样本到样信息汇总统计!Q$2:Q$500,MATCH(34,样本到样信息汇总统计!$X$2:$X$500,0)),"")</f>
        <v/>
      </c>
      <c r="R35" s="8" t="str">
        <f>IFERROR(INDEX(样本到样信息汇总统计!R$2:R$500,MATCH(34,样本到样信息汇总统计!$X$2:$X$500,0)),"")</f>
        <v/>
      </c>
      <c r="S35" s="8" t="str">
        <f>IFERROR(INDEX(样本到样信息汇总统计!S$2:S$500,MATCH(34,样本到样信息汇总统计!$X$2:$X$500,0)),"")</f>
        <v/>
      </c>
      <c r="T35" s="8" t="str">
        <f>IFERROR(INDEX(样本到样信息汇总统计!T$2:T$500,MATCH(34,样本到样信息汇总统计!$X$2:$X$500,0)),"")</f>
        <v/>
      </c>
      <c r="U35" s="8" t="str">
        <f>IFERROR(INDEX(样本到样信息汇总统计!U$2:U$500,MATCH(34,样本到样信息汇总统计!$X$2:$X$500,0)),"")</f>
        <v/>
      </c>
      <c r="V35" s="8" t="str">
        <f>IFERROR(INDEX(样本到样信息汇总统计!V$2:V$500,MATCH(34,样本到样信息汇总统计!$X$2:$X$500,0)),"")</f>
        <v/>
      </c>
      <c r="W35" s="8" t="str">
        <f>IFERROR(INDEX(样本到样信息汇总统计!W$2:W$500,MATCH(34,样本到样信息汇总统计!$X$2:$X$500,0)),"")</f>
        <v/>
      </c>
    </row>
    <row r="36" ht="14.5" spans="1:23">
      <c r="A36" s="4" t="str">
        <f>IFERROR(INDEX(样本到样信息汇总统计!A$2:A$500,MATCH(35,样本到样信息汇总统计!$X$2:$X$500,0)),"")</f>
        <v/>
      </c>
      <c r="B36" s="4" t="str">
        <f>IFERROR(INDEX(样本到样信息汇总统计!B$2:B$500,MATCH(35,样本到样信息汇总统计!$X$2:$X$500,0)),"")</f>
        <v/>
      </c>
      <c r="C36" s="4" t="str">
        <f>IFERROR(INDEX(样本到样信息汇总统计!C$2:C$500,MATCH(35,样本到样信息汇总统计!$X$2:$X$500,0)),"")</f>
        <v/>
      </c>
      <c r="D36" s="4" t="str">
        <f>IFERROR(INDEX(样本到样信息汇总统计!D$2:D$500,MATCH(35,样本到样信息汇总统计!$X$2:$X$500,0)),"")</f>
        <v/>
      </c>
      <c r="E36" s="4" t="str">
        <f>IFERROR(INDEX(样本到样信息汇总统计!E$2:E$500,MATCH(35,样本到样信息汇总统计!$X$2:$X$500,0)),"")</f>
        <v/>
      </c>
      <c r="F36" s="4" t="str">
        <f>IFERROR(INDEX(样本到样信息汇总统计!F$2:F$500,MATCH(35,样本到样信息汇总统计!$X$2:$X$500,0)),"")</f>
        <v/>
      </c>
      <c r="G36" s="4" t="str">
        <f>IFERROR(INDEX(样本到样信息汇总统计!G$2:G$500,MATCH(35,样本到样信息汇总统计!$X$2:$X$500,0)),"")</f>
        <v/>
      </c>
      <c r="H36" s="4" t="str">
        <f>IFERROR(INDEX(样本到样信息汇总统计!H$2:H$500,MATCH(35,样本到样信息汇总统计!$X$2:$X$500,0)),"")</f>
        <v/>
      </c>
      <c r="I36" s="4" t="str">
        <f>IFERROR(INDEX(样本到样信息汇总统计!I$2:I$500,MATCH(35,样本到样信息汇总统计!$X$2:$X$500,0)),"")</f>
        <v/>
      </c>
      <c r="J36" s="4" t="str">
        <f>IFERROR(INDEX(样本到样信息汇总统计!J$2:J$500,MATCH(35,样本到样信息汇总统计!$X$2:$X$500,0)),"")</f>
        <v/>
      </c>
      <c r="K36" s="14" t="str">
        <f>IFERROR(INDEX(样本到样信息汇总统计!K$2:K$500,MATCH(35,样本到样信息汇总统计!$X$2:$X$500,0)),"")</f>
        <v/>
      </c>
      <c r="L36" s="4" t="str">
        <f>IFERROR(INDEX(样本到样信息汇总统计!L$2:L$500,MATCH(35,样本到样信息汇总统计!$X$2:$X$500,0)),"")</f>
        <v/>
      </c>
      <c r="M36" s="4" t="str">
        <f>IFERROR(INDEX(样本到样信息汇总统计!M$2:M$500,MATCH(35,样本到样信息汇总统计!$X$2:$X$500,0)),"")</f>
        <v/>
      </c>
      <c r="N36" s="4" t="str">
        <f>IFERROR(INDEX(样本到样信息汇总统计!N$2:N$500,MATCH(35,样本到样信息汇总统计!$X$2:$X$500,0)),"")</f>
        <v/>
      </c>
      <c r="O36" s="4" t="str">
        <f>IFERROR(INDEX(样本到样信息汇总统计!O$2:O$500,MATCH(35,样本到样信息汇总统计!$X$2:$X$500,0)),"")</f>
        <v/>
      </c>
      <c r="P36" s="4" t="str">
        <f>IFERROR(INDEX(样本到样信息汇总统计!P$2:P$500,MATCH(35,样本到样信息汇总统计!$X$2:$X$500,0)),"")</f>
        <v/>
      </c>
      <c r="Q36" s="4" t="str">
        <f>IFERROR(INDEX(样本到样信息汇总统计!Q$2:Q$500,MATCH(35,样本到样信息汇总统计!$X$2:$X$500,0)),"")</f>
        <v/>
      </c>
      <c r="R36" s="4" t="str">
        <f>IFERROR(INDEX(样本到样信息汇总统计!R$2:R$500,MATCH(35,样本到样信息汇总统计!$X$2:$X$500,0)),"")</f>
        <v/>
      </c>
      <c r="S36" s="4" t="str">
        <f>IFERROR(INDEX(样本到样信息汇总统计!S$2:S$500,MATCH(35,样本到样信息汇总统计!$X$2:$X$500,0)),"")</f>
        <v/>
      </c>
      <c r="T36" s="4" t="str">
        <f>IFERROR(INDEX(样本到样信息汇总统计!T$2:T$500,MATCH(35,样本到样信息汇总统计!$X$2:$X$500,0)),"")</f>
        <v/>
      </c>
      <c r="U36" s="4" t="str">
        <f>IFERROR(INDEX(样本到样信息汇总统计!U$2:U$500,MATCH(35,样本到样信息汇总统计!$X$2:$X$500,0)),"")</f>
        <v/>
      </c>
      <c r="V36" s="4" t="str">
        <f>IFERROR(INDEX(样本到样信息汇总统计!V$2:V$500,MATCH(35,样本到样信息汇总统计!$X$2:$X$500,0)),"")</f>
        <v/>
      </c>
      <c r="W36" s="4" t="str">
        <f>IFERROR(INDEX(样本到样信息汇总统计!W$2:W$500,MATCH(35,样本到样信息汇总统计!$X$2:$X$500,0)),"")</f>
        <v/>
      </c>
    </row>
    <row r="37" ht="14.5" spans="1:23">
      <c r="A37" s="8" t="str">
        <f>IFERROR(INDEX(样本到样信息汇总统计!A$2:A$500,MATCH(36,样本到样信息汇总统计!$X$2:$X$500,0)),"")</f>
        <v/>
      </c>
      <c r="B37" s="8" t="str">
        <f>IFERROR(INDEX(样本到样信息汇总统计!B$2:B$500,MATCH(36,样本到样信息汇总统计!$X$2:$X$500,0)),"")</f>
        <v/>
      </c>
      <c r="C37" s="8" t="str">
        <f>IFERROR(INDEX(样本到样信息汇总统计!C$2:C$500,MATCH(36,样本到样信息汇总统计!$X$2:$X$500,0)),"")</f>
        <v/>
      </c>
      <c r="D37" s="8" t="str">
        <f>IFERROR(INDEX(样本到样信息汇总统计!D$2:D$500,MATCH(36,样本到样信息汇总统计!$X$2:$X$500,0)),"")</f>
        <v/>
      </c>
      <c r="E37" s="8" t="str">
        <f>IFERROR(INDEX(样本到样信息汇总统计!E$2:E$500,MATCH(36,样本到样信息汇总统计!$X$2:$X$500,0)),"")</f>
        <v/>
      </c>
      <c r="F37" s="8" t="str">
        <f>IFERROR(INDEX(样本到样信息汇总统计!F$2:F$500,MATCH(36,样本到样信息汇总统计!$X$2:$X$500,0)),"")</f>
        <v/>
      </c>
      <c r="G37" s="8" t="str">
        <f>IFERROR(INDEX(样本到样信息汇总统计!G$2:G$500,MATCH(36,样本到样信息汇总统计!$X$2:$X$500,0)),"")</f>
        <v/>
      </c>
      <c r="H37" s="8" t="str">
        <f>IFERROR(INDEX(样本到样信息汇总统计!H$2:H$500,MATCH(36,样本到样信息汇总统计!$X$2:$X$500,0)),"")</f>
        <v/>
      </c>
      <c r="I37" s="8" t="str">
        <f>IFERROR(INDEX(样本到样信息汇总统计!I$2:I$500,MATCH(36,样本到样信息汇总统计!$X$2:$X$500,0)),"")</f>
        <v/>
      </c>
      <c r="J37" s="8" t="str">
        <f>IFERROR(INDEX(样本到样信息汇总统计!J$2:J$500,MATCH(36,样本到样信息汇总统计!$X$2:$X$500,0)),"")</f>
        <v/>
      </c>
      <c r="K37" s="15" t="str">
        <f>IFERROR(INDEX(样本到样信息汇总统计!K$2:K$500,MATCH(36,样本到样信息汇总统计!$X$2:$X$500,0)),"")</f>
        <v/>
      </c>
      <c r="L37" s="8" t="str">
        <f>IFERROR(INDEX(样本到样信息汇总统计!L$2:L$500,MATCH(36,样本到样信息汇总统计!$X$2:$X$500,0)),"")</f>
        <v/>
      </c>
      <c r="M37" s="8" t="str">
        <f>IFERROR(INDEX(样本到样信息汇总统计!M$2:M$500,MATCH(36,样本到样信息汇总统计!$X$2:$X$500,0)),"")</f>
        <v/>
      </c>
      <c r="N37" s="8" t="str">
        <f>IFERROR(INDEX(样本到样信息汇总统计!N$2:N$500,MATCH(36,样本到样信息汇总统计!$X$2:$X$500,0)),"")</f>
        <v/>
      </c>
      <c r="O37" s="8" t="str">
        <f>IFERROR(INDEX(样本到样信息汇总统计!O$2:O$500,MATCH(36,样本到样信息汇总统计!$X$2:$X$500,0)),"")</f>
        <v/>
      </c>
      <c r="P37" s="8" t="str">
        <f>IFERROR(INDEX(样本到样信息汇总统计!P$2:P$500,MATCH(36,样本到样信息汇总统计!$X$2:$X$500,0)),"")</f>
        <v/>
      </c>
      <c r="Q37" s="8" t="str">
        <f>IFERROR(INDEX(样本到样信息汇总统计!Q$2:Q$500,MATCH(36,样本到样信息汇总统计!$X$2:$X$500,0)),"")</f>
        <v/>
      </c>
      <c r="R37" s="8" t="str">
        <f>IFERROR(INDEX(样本到样信息汇总统计!R$2:R$500,MATCH(36,样本到样信息汇总统计!$X$2:$X$500,0)),"")</f>
        <v/>
      </c>
      <c r="S37" s="8" t="str">
        <f>IFERROR(INDEX(样本到样信息汇总统计!S$2:S$500,MATCH(36,样本到样信息汇总统计!$X$2:$X$500,0)),"")</f>
        <v/>
      </c>
      <c r="T37" s="8" t="str">
        <f>IFERROR(INDEX(样本到样信息汇总统计!T$2:T$500,MATCH(36,样本到样信息汇总统计!$X$2:$X$500,0)),"")</f>
        <v/>
      </c>
      <c r="U37" s="8" t="str">
        <f>IFERROR(INDEX(样本到样信息汇总统计!U$2:U$500,MATCH(36,样本到样信息汇总统计!$X$2:$X$500,0)),"")</f>
        <v/>
      </c>
      <c r="V37" s="8" t="str">
        <f>IFERROR(INDEX(样本到样信息汇总统计!V$2:V$500,MATCH(36,样本到样信息汇总统计!$X$2:$X$500,0)),"")</f>
        <v/>
      </c>
      <c r="W37" s="8" t="str">
        <f>IFERROR(INDEX(样本到样信息汇总统计!W$2:W$500,MATCH(36,样本到样信息汇总统计!$X$2:$X$500,0)),"")</f>
        <v/>
      </c>
    </row>
    <row r="38" ht="14.5" spans="1:23">
      <c r="A38" s="4" t="str">
        <f>IFERROR(INDEX(样本到样信息汇总统计!A$2:A$500,MATCH(37,样本到样信息汇总统计!$X$2:$X$500,0)),"")</f>
        <v/>
      </c>
      <c r="B38" s="4" t="str">
        <f>IFERROR(INDEX(样本到样信息汇总统计!B$2:B$500,MATCH(37,样本到样信息汇总统计!$X$2:$X$500,0)),"")</f>
        <v/>
      </c>
      <c r="C38" s="4" t="str">
        <f>IFERROR(INDEX(样本到样信息汇总统计!C$2:C$500,MATCH(37,样本到样信息汇总统计!$X$2:$X$500,0)),"")</f>
        <v/>
      </c>
      <c r="D38" s="4" t="str">
        <f>IFERROR(INDEX(样本到样信息汇总统计!D$2:D$500,MATCH(37,样本到样信息汇总统计!$X$2:$X$500,0)),"")</f>
        <v/>
      </c>
      <c r="E38" s="4" t="str">
        <f>IFERROR(INDEX(样本到样信息汇总统计!E$2:E$500,MATCH(37,样本到样信息汇总统计!$X$2:$X$500,0)),"")</f>
        <v/>
      </c>
      <c r="F38" s="4" t="str">
        <f>IFERROR(INDEX(样本到样信息汇总统计!F$2:F$500,MATCH(37,样本到样信息汇总统计!$X$2:$X$500,0)),"")</f>
        <v/>
      </c>
      <c r="G38" s="4" t="str">
        <f>IFERROR(INDEX(样本到样信息汇总统计!G$2:G$500,MATCH(37,样本到样信息汇总统计!$X$2:$X$500,0)),"")</f>
        <v/>
      </c>
      <c r="H38" s="4" t="str">
        <f>IFERROR(INDEX(样本到样信息汇总统计!H$2:H$500,MATCH(37,样本到样信息汇总统计!$X$2:$X$500,0)),"")</f>
        <v/>
      </c>
      <c r="I38" s="4" t="str">
        <f>IFERROR(INDEX(样本到样信息汇总统计!I$2:I$500,MATCH(37,样本到样信息汇总统计!$X$2:$X$500,0)),"")</f>
        <v/>
      </c>
      <c r="J38" s="4" t="str">
        <f>IFERROR(INDEX(样本到样信息汇总统计!J$2:J$500,MATCH(37,样本到样信息汇总统计!$X$2:$X$500,0)),"")</f>
        <v/>
      </c>
      <c r="K38" s="14" t="str">
        <f>IFERROR(INDEX(样本到样信息汇总统计!K$2:K$500,MATCH(37,样本到样信息汇总统计!$X$2:$X$500,0)),"")</f>
        <v/>
      </c>
      <c r="L38" s="4" t="str">
        <f>IFERROR(INDEX(样本到样信息汇总统计!L$2:L$500,MATCH(37,样本到样信息汇总统计!$X$2:$X$500,0)),"")</f>
        <v/>
      </c>
      <c r="M38" s="4" t="str">
        <f>IFERROR(INDEX(样本到样信息汇总统计!M$2:M$500,MATCH(37,样本到样信息汇总统计!$X$2:$X$500,0)),"")</f>
        <v/>
      </c>
      <c r="N38" s="4" t="str">
        <f>IFERROR(INDEX(样本到样信息汇总统计!N$2:N$500,MATCH(37,样本到样信息汇总统计!$X$2:$X$500,0)),"")</f>
        <v/>
      </c>
      <c r="O38" s="4" t="str">
        <f>IFERROR(INDEX(样本到样信息汇总统计!O$2:O$500,MATCH(37,样本到样信息汇总统计!$X$2:$X$500,0)),"")</f>
        <v/>
      </c>
      <c r="P38" s="4" t="str">
        <f>IFERROR(INDEX(样本到样信息汇总统计!P$2:P$500,MATCH(37,样本到样信息汇总统计!$X$2:$X$500,0)),"")</f>
        <v/>
      </c>
      <c r="Q38" s="4" t="str">
        <f>IFERROR(INDEX(样本到样信息汇总统计!Q$2:Q$500,MATCH(37,样本到样信息汇总统计!$X$2:$X$500,0)),"")</f>
        <v/>
      </c>
      <c r="R38" s="4" t="str">
        <f>IFERROR(INDEX(样本到样信息汇总统计!R$2:R$500,MATCH(37,样本到样信息汇总统计!$X$2:$X$500,0)),"")</f>
        <v/>
      </c>
      <c r="S38" s="4" t="str">
        <f>IFERROR(INDEX(样本到样信息汇总统计!S$2:S$500,MATCH(37,样本到样信息汇总统计!$X$2:$X$500,0)),"")</f>
        <v/>
      </c>
      <c r="T38" s="4" t="str">
        <f>IFERROR(INDEX(样本到样信息汇总统计!T$2:T$500,MATCH(37,样本到样信息汇总统计!$X$2:$X$500,0)),"")</f>
        <v/>
      </c>
      <c r="U38" s="4" t="str">
        <f>IFERROR(INDEX(样本到样信息汇总统计!U$2:U$500,MATCH(37,样本到样信息汇总统计!$X$2:$X$500,0)),"")</f>
        <v/>
      </c>
      <c r="V38" s="4" t="str">
        <f>IFERROR(INDEX(样本到样信息汇总统计!V$2:V$500,MATCH(37,样本到样信息汇总统计!$X$2:$X$500,0)),"")</f>
        <v/>
      </c>
      <c r="W38" s="4" t="str">
        <f>IFERROR(INDEX(样本到样信息汇总统计!W$2:W$500,MATCH(37,样本到样信息汇总统计!$X$2:$X$500,0)),"")</f>
        <v/>
      </c>
    </row>
    <row r="39" ht="14.5" spans="1:23">
      <c r="A39" s="8" t="str">
        <f>IFERROR(INDEX(样本到样信息汇总统计!A$2:A$500,MATCH(38,样本到样信息汇总统计!$X$2:$X$500,0)),"")</f>
        <v/>
      </c>
      <c r="B39" s="8" t="str">
        <f>IFERROR(INDEX(样本到样信息汇总统计!B$2:B$500,MATCH(38,样本到样信息汇总统计!$X$2:$X$500,0)),"")</f>
        <v/>
      </c>
      <c r="C39" s="8" t="str">
        <f>IFERROR(INDEX(样本到样信息汇总统计!C$2:C$500,MATCH(38,样本到样信息汇总统计!$X$2:$X$500,0)),"")</f>
        <v/>
      </c>
      <c r="D39" s="8" t="str">
        <f>IFERROR(INDEX(样本到样信息汇总统计!D$2:D$500,MATCH(38,样本到样信息汇总统计!$X$2:$X$500,0)),"")</f>
        <v/>
      </c>
      <c r="E39" s="8" t="str">
        <f>IFERROR(INDEX(样本到样信息汇总统计!E$2:E$500,MATCH(38,样本到样信息汇总统计!$X$2:$X$500,0)),"")</f>
        <v/>
      </c>
      <c r="F39" s="8" t="str">
        <f>IFERROR(INDEX(样本到样信息汇总统计!F$2:F$500,MATCH(38,样本到样信息汇总统计!$X$2:$X$500,0)),"")</f>
        <v/>
      </c>
      <c r="G39" s="8" t="str">
        <f>IFERROR(INDEX(样本到样信息汇总统计!G$2:G$500,MATCH(38,样本到样信息汇总统计!$X$2:$X$500,0)),"")</f>
        <v/>
      </c>
      <c r="H39" s="8" t="str">
        <f>IFERROR(INDEX(样本到样信息汇总统计!H$2:H$500,MATCH(38,样本到样信息汇总统计!$X$2:$X$500,0)),"")</f>
        <v/>
      </c>
      <c r="I39" s="8" t="str">
        <f>IFERROR(INDEX(样本到样信息汇总统计!I$2:I$500,MATCH(38,样本到样信息汇总统计!$X$2:$X$500,0)),"")</f>
        <v/>
      </c>
      <c r="J39" s="8" t="str">
        <f>IFERROR(INDEX(样本到样信息汇总统计!J$2:J$500,MATCH(38,样本到样信息汇总统计!$X$2:$X$500,0)),"")</f>
        <v/>
      </c>
      <c r="K39" s="15" t="str">
        <f>IFERROR(INDEX(样本到样信息汇总统计!K$2:K$500,MATCH(38,样本到样信息汇总统计!$X$2:$X$500,0)),"")</f>
        <v/>
      </c>
      <c r="L39" s="8" t="str">
        <f>IFERROR(INDEX(样本到样信息汇总统计!L$2:L$500,MATCH(38,样本到样信息汇总统计!$X$2:$X$500,0)),"")</f>
        <v/>
      </c>
      <c r="M39" s="8" t="str">
        <f>IFERROR(INDEX(样本到样信息汇总统计!M$2:M$500,MATCH(38,样本到样信息汇总统计!$X$2:$X$500,0)),"")</f>
        <v/>
      </c>
      <c r="N39" s="8" t="str">
        <f>IFERROR(INDEX(样本到样信息汇总统计!N$2:N$500,MATCH(38,样本到样信息汇总统计!$X$2:$X$500,0)),"")</f>
        <v/>
      </c>
      <c r="O39" s="8" t="str">
        <f>IFERROR(INDEX(样本到样信息汇总统计!O$2:O$500,MATCH(38,样本到样信息汇总统计!$X$2:$X$500,0)),"")</f>
        <v/>
      </c>
      <c r="P39" s="8" t="str">
        <f>IFERROR(INDEX(样本到样信息汇总统计!P$2:P$500,MATCH(38,样本到样信息汇总统计!$X$2:$X$500,0)),"")</f>
        <v/>
      </c>
      <c r="Q39" s="8" t="str">
        <f>IFERROR(INDEX(样本到样信息汇总统计!Q$2:Q$500,MATCH(38,样本到样信息汇总统计!$X$2:$X$500,0)),"")</f>
        <v/>
      </c>
      <c r="R39" s="8" t="str">
        <f>IFERROR(INDEX(样本到样信息汇总统计!R$2:R$500,MATCH(38,样本到样信息汇总统计!$X$2:$X$500,0)),"")</f>
        <v/>
      </c>
      <c r="S39" s="8" t="str">
        <f>IFERROR(INDEX(样本到样信息汇总统计!S$2:S$500,MATCH(38,样本到样信息汇总统计!$X$2:$X$500,0)),"")</f>
        <v/>
      </c>
      <c r="T39" s="8" t="str">
        <f>IFERROR(INDEX(样本到样信息汇总统计!T$2:T$500,MATCH(38,样本到样信息汇总统计!$X$2:$X$500,0)),"")</f>
        <v/>
      </c>
      <c r="U39" s="8" t="str">
        <f>IFERROR(INDEX(样本到样信息汇总统计!U$2:U$500,MATCH(38,样本到样信息汇总统计!$X$2:$X$500,0)),"")</f>
        <v/>
      </c>
      <c r="V39" s="8" t="str">
        <f>IFERROR(INDEX(样本到样信息汇总统计!V$2:V$500,MATCH(38,样本到样信息汇总统计!$X$2:$X$500,0)),"")</f>
        <v/>
      </c>
      <c r="W39" s="8" t="str">
        <f>IFERROR(INDEX(样本到样信息汇总统计!W$2:W$500,MATCH(38,样本到样信息汇总统计!$X$2:$X$500,0)),"")</f>
        <v/>
      </c>
    </row>
    <row r="40" ht="14.5" spans="1:23">
      <c r="A40" s="4" t="str">
        <f>IFERROR(INDEX(样本到样信息汇总统计!A$2:A$500,MATCH(39,样本到样信息汇总统计!$X$2:$X$500,0)),"")</f>
        <v/>
      </c>
      <c r="B40" s="4" t="str">
        <f>IFERROR(INDEX(样本到样信息汇总统计!B$2:B$500,MATCH(39,样本到样信息汇总统计!$X$2:$X$500,0)),"")</f>
        <v/>
      </c>
      <c r="C40" s="4" t="str">
        <f>IFERROR(INDEX(样本到样信息汇总统计!C$2:C$500,MATCH(39,样本到样信息汇总统计!$X$2:$X$500,0)),"")</f>
        <v/>
      </c>
      <c r="D40" s="4" t="str">
        <f>IFERROR(INDEX(样本到样信息汇总统计!D$2:D$500,MATCH(39,样本到样信息汇总统计!$X$2:$X$500,0)),"")</f>
        <v/>
      </c>
      <c r="E40" s="4" t="str">
        <f>IFERROR(INDEX(样本到样信息汇总统计!E$2:E$500,MATCH(39,样本到样信息汇总统计!$X$2:$X$500,0)),"")</f>
        <v/>
      </c>
      <c r="F40" s="4" t="str">
        <f>IFERROR(INDEX(样本到样信息汇总统计!F$2:F$500,MATCH(39,样本到样信息汇总统计!$X$2:$X$500,0)),"")</f>
        <v/>
      </c>
      <c r="G40" s="4" t="str">
        <f>IFERROR(INDEX(样本到样信息汇总统计!G$2:G$500,MATCH(39,样本到样信息汇总统计!$X$2:$X$500,0)),"")</f>
        <v/>
      </c>
      <c r="H40" s="4" t="str">
        <f>IFERROR(INDEX(样本到样信息汇总统计!H$2:H$500,MATCH(39,样本到样信息汇总统计!$X$2:$X$500,0)),"")</f>
        <v/>
      </c>
      <c r="I40" s="4" t="str">
        <f>IFERROR(INDEX(样本到样信息汇总统计!I$2:I$500,MATCH(39,样本到样信息汇总统计!$X$2:$X$500,0)),"")</f>
        <v/>
      </c>
      <c r="J40" s="4" t="str">
        <f>IFERROR(INDEX(样本到样信息汇总统计!J$2:J$500,MATCH(39,样本到样信息汇总统计!$X$2:$X$500,0)),"")</f>
        <v/>
      </c>
      <c r="K40" s="14" t="str">
        <f>IFERROR(INDEX(样本到样信息汇总统计!K$2:K$500,MATCH(39,样本到样信息汇总统计!$X$2:$X$500,0)),"")</f>
        <v/>
      </c>
      <c r="L40" s="4" t="str">
        <f>IFERROR(INDEX(样本到样信息汇总统计!L$2:L$500,MATCH(39,样本到样信息汇总统计!$X$2:$X$500,0)),"")</f>
        <v/>
      </c>
      <c r="M40" s="4" t="str">
        <f>IFERROR(INDEX(样本到样信息汇总统计!M$2:M$500,MATCH(39,样本到样信息汇总统计!$X$2:$X$500,0)),"")</f>
        <v/>
      </c>
      <c r="N40" s="4" t="str">
        <f>IFERROR(INDEX(样本到样信息汇总统计!N$2:N$500,MATCH(39,样本到样信息汇总统计!$X$2:$X$500,0)),"")</f>
        <v/>
      </c>
      <c r="O40" s="4" t="str">
        <f>IFERROR(INDEX(样本到样信息汇总统计!O$2:O$500,MATCH(39,样本到样信息汇总统计!$X$2:$X$500,0)),"")</f>
        <v/>
      </c>
      <c r="P40" s="4" t="str">
        <f>IFERROR(INDEX(样本到样信息汇总统计!P$2:P$500,MATCH(39,样本到样信息汇总统计!$X$2:$X$500,0)),"")</f>
        <v/>
      </c>
      <c r="Q40" s="4" t="str">
        <f>IFERROR(INDEX(样本到样信息汇总统计!Q$2:Q$500,MATCH(39,样本到样信息汇总统计!$X$2:$X$500,0)),"")</f>
        <v/>
      </c>
      <c r="R40" s="4" t="str">
        <f>IFERROR(INDEX(样本到样信息汇总统计!R$2:R$500,MATCH(39,样本到样信息汇总统计!$X$2:$X$500,0)),"")</f>
        <v/>
      </c>
      <c r="S40" s="4" t="str">
        <f>IFERROR(INDEX(样本到样信息汇总统计!S$2:S$500,MATCH(39,样本到样信息汇总统计!$X$2:$X$500,0)),"")</f>
        <v/>
      </c>
      <c r="T40" s="4" t="str">
        <f>IFERROR(INDEX(样本到样信息汇总统计!T$2:T$500,MATCH(39,样本到样信息汇总统计!$X$2:$X$500,0)),"")</f>
        <v/>
      </c>
      <c r="U40" s="4" t="str">
        <f>IFERROR(INDEX(样本到样信息汇总统计!U$2:U$500,MATCH(39,样本到样信息汇总统计!$X$2:$X$500,0)),"")</f>
        <v/>
      </c>
      <c r="V40" s="4" t="str">
        <f>IFERROR(INDEX(样本到样信息汇总统计!V$2:V$500,MATCH(39,样本到样信息汇总统计!$X$2:$X$500,0)),"")</f>
        <v/>
      </c>
      <c r="W40" s="4" t="str">
        <f>IFERROR(INDEX(样本到样信息汇总统计!W$2:W$500,MATCH(39,样本到样信息汇总统计!$X$2:$X$500,0)),"")</f>
        <v/>
      </c>
    </row>
    <row r="41" ht="14.5" spans="1:23">
      <c r="A41" s="8" t="str">
        <f>IFERROR(INDEX(样本到样信息汇总统计!A$2:A$500,MATCH(40,样本到样信息汇总统计!$X$2:$X$500,0)),"")</f>
        <v/>
      </c>
      <c r="B41" s="8" t="str">
        <f>IFERROR(INDEX(样本到样信息汇总统计!B$2:B$500,MATCH(40,样本到样信息汇总统计!$X$2:$X$500,0)),"")</f>
        <v/>
      </c>
      <c r="C41" s="8" t="str">
        <f>IFERROR(INDEX(样本到样信息汇总统计!C$2:C$500,MATCH(40,样本到样信息汇总统计!$X$2:$X$500,0)),"")</f>
        <v/>
      </c>
      <c r="D41" s="8" t="str">
        <f>IFERROR(INDEX(样本到样信息汇总统计!D$2:D$500,MATCH(40,样本到样信息汇总统计!$X$2:$X$500,0)),"")</f>
        <v/>
      </c>
      <c r="E41" s="8" t="str">
        <f>IFERROR(INDEX(样本到样信息汇总统计!E$2:E$500,MATCH(40,样本到样信息汇总统计!$X$2:$X$500,0)),"")</f>
        <v/>
      </c>
      <c r="F41" s="8" t="str">
        <f>IFERROR(INDEX(样本到样信息汇总统计!F$2:F$500,MATCH(40,样本到样信息汇总统计!$X$2:$X$500,0)),"")</f>
        <v/>
      </c>
      <c r="G41" s="8" t="str">
        <f>IFERROR(INDEX(样本到样信息汇总统计!G$2:G$500,MATCH(40,样本到样信息汇总统计!$X$2:$X$500,0)),"")</f>
        <v/>
      </c>
      <c r="H41" s="8" t="str">
        <f>IFERROR(INDEX(样本到样信息汇总统计!H$2:H$500,MATCH(40,样本到样信息汇总统计!$X$2:$X$500,0)),"")</f>
        <v/>
      </c>
      <c r="I41" s="8" t="str">
        <f>IFERROR(INDEX(样本到样信息汇总统计!I$2:I$500,MATCH(40,样本到样信息汇总统计!$X$2:$X$500,0)),"")</f>
        <v/>
      </c>
      <c r="J41" s="8" t="str">
        <f>IFERROR(INDEX(样本到样信息汇总统计!J$2:J$500,MATCH(40,样本到样信息汇总统计!$X$2:$X$500,0)),"")</f>
        <v/>
      </c>
      <c r="K41" s="15" t="str">
        <f>IFERROR(INDEX(样本到样信息汇总统计!K$2:K$500,MATCH(40,样本到样信息汇总统计!$X$2:$X$500,0)),"")</f>
        <v/>
      </c>
      <c r="L41" s="8" t="str">
        <f>IFERROR(INDEX(样本到样信息汇总统计!L$2:L$500,MATCH(40,样本到样信息汇总统计!$X$2:$X$500,0)),"")</f>
        <v/>
      </c>
      <c r="M41" s="8" t="str">
        <f>IFERROR(INDEX(样本到样信息汇总统计!M$2:M$500,MATCH(40,样本到样信息汇总统计!$X$2:$X$500,0)),"")</f>
        <v/>
      </c>
      <c r="N41" s="8" t="str">
        <f>IFERROR(INDEX(样本到样信息汇总统计!N$2:N$500,MATCH(40,样本到样信息汇总统计!$X$2:$X$500,0)),"")</f>
        <v/>
      </c>
      <c r="O41" s="8" t="str">
        <f>IFERROR(INDEX(样本到样信息汇总统计!O$2:O$500,MATCH(40,样本到样信息汇总统计!$X$2:$X$500,0)),"")</f>
        <v/>
      </c>
      <c r="P41" s="8" t="str">
        <f>IFERROR(INDEX(样本到样信息汇总统计!P$2:P$500,MATCH(40,样本到样信息汇总统计!$X$2:$X$500,0)),"")</f>
        <v/>
      </c>
      <c r="Q41" s="8" t="str">
        <f>IFERROR(INDEX(样本到样信息汇总统计!Q$2:Q$500,MATCH(40,样本到样信息汇总统计!$X$2:$X$500,0)),"")</f>
        <v/>
      </c>
      <c r="R41" s="8" t="str">
        <f>IFERROR(INDEX(样本到样信息汇总统计!R$2:R$500,MATCH(40,样本到样信息汇总统计!$X$2:$X$500,0)),"")</f>
        <v/>
      </c>
      <c r="S41" s="8" t="str">
        <f>IFERROR(INDEX(样本到样信息汇总统计!S$2:S$500,MATCH(40,样本到样信息汇总统计!$X$2:$X$500,0)),"")</f>
        <v/>
      </c>
      <c r="T41" s="8" t="str">
        <f>IFERROR(INDEX(样本到样信息汇总统计!T$2:T$500,MATCH(40,样本到样信息汇总统计!$X$2:$X$500,0)),"")</f>
        <v/>
      </c>
      <c r="U41" s="8" t="str">
        <f>IFERROR(INDEX(样本到样信息汇总统计!U$2:U$500,MATCH(40,样本到样信息汇总统计!$X$2:$X$500,0)),"")</f>
        <v/>
      </c>
      <c r="V41" s="8" t="str">
        <f>IFERROR(INDEX(样本到样信息汇总统计!V$2:V$500,MATCH(40,样本到样信息汇总统计!$X$2:$X$500,0)),"")</f>
        <v/>
      </c>
      <c r="W41" s="8" t="str">
        <f>IFERROR(INDEX(样本到样信息汇总统计!W$2:W$500,MATCH(40,样本到样信息汇总统计!$X$2:$X$500,0)),"")</f>
        <v/>
      </c>
    </row>
    <row r="42" ht="14.5" spans="1:23">
      <c r="A42" s="4" t="str">
        <f>IFERROR(INDEX(样本到样信息汇总统计!A$2:A$500,MATCH(41,样本到样信息汇总统计!$X$2:$X$500,0)),"")</f>
        <v/>
      </c>
      <c r="B42" s="4" t="str">
        <f>IFERROR(INDEX(样本到样信息汇总统计!B$2:B$500,MATCH(41,样本到样信息汇总统计!$X$2:$X$500,0)),"")</f>
        <v/>
      </c>
      <c r="C42" s="4" t="str">
        <f>IFERROR(INDEX(样本到样信息汇总统计!C$2:C$500,MATCH(41,样本到样信息汇总统计!$X$2:$X$500,0)),"")</f>
        <v/>
      </c>
      <c r="D42" s="4" t="str">
        <f>IFERROR(INDEX(样本到样信息汇总统计!D$2:D$500,MATCH(41,样本到样信息汇总统计!$X$2:$X$500,0)),"")</f>
        <v/>
      </c>
      <c r="E42" s="4" t="str">
        <f>IFERROR(INDEX(样本到样信息汇总统计!E$2:E$500,MATCH(41,样本到样信息汇总统计!$X$2:$X$500,0)),"")</f>
        <v/>
      </c>
      <c r="F42" s="4" t="str">
        <f>IFERROR(INDEX(样本到样信息汇总统计!F$2:F$500,MATCH(41,样本到样信息汇总统计!$X$2:$X$500,0)),"")</f>
        <v/>
      </c>
      <c r="G42" s="4" t="str">
        <f>IFERROR(INDEX(样本到样信息汇总统计!G$2:G$500,MATCH(41,样本到样信息汇总统计!$X$2:$X$500,0)),"")</f>
        <v/>
      </c>
      <c r="H42" s="4" t="str">
        <f>IFERROR(INDEX(样本到样信息汇总统计!H$2:H$500,MATCH(41,样本到样信息汇总统计!$X$2:$X$500,0)),"")</f>
        <v/>
      </c>
      <c r="I42" s="4" t="str">
        <f>IFERROR(INDEX(样本到样信息汇总统计!I$2:I$500,MATCH(41,样本到样信息汇总统计!$X$2:$X$500,0)),"")</f>
        <v/>
      </c>
      <c r="J42" s="4" t="str">
        <f>IFERROR(INDEX(样本到样信息汇总统计!J$2:J$500,MATCH(41,样本到样信息汇总统计!$X$2:$X$500,0)),"")</f>
        <v/>
      </c>
      <c r="K42" s="14" t="str">
        <f>IFERROR(INDEX(样本到样信息汇总统计!K$2:K$500,MATCH(41,样本到样信息汇总统计!$X$2:$X$500,0)),"")</f>
        <v/>
      </c>
      <c r="L42" s="4" t="str">
        <f>IFERROR(INDEX(样本到样信息汇总统计!L$2:L$500,MATCH(41,样本到样信息汇总统计!$X$2:$X$500,0)),"")</f>
        <v/>
      </c>
      <c r="M42" s="4" t="str">
        <f>IFERROR(INDEX(样本到样信息汇总统计!M$2:M$500,MATCH(41,样本到样信息汇总统计!$X$2:$X$500,0)),"")</f>
        <v/>
      </c>
      <c r="N42" s="4" t="str">
        <f>IFERROR(INDEX(样本到样信息汇总统计!N$2:N$500,MATCH(41,样本到样信息汇总统计!$X$2:$X$500,0)),"")</f>
        <v/>
      </c>
      <c r="O42" s="4" t="str">
        <f>IFERROR(INDEX(样本到样信息汇总统计!O$2:O$500,MATCH(41,样本到样信息汇总统计!$X$2:$X$500,0)),"")</f>
        <v/>
      </c>
      <c r="P42" s="4" t="str">
        <f>IFERROR(INDEX(样本到样信息汇总统计!P$2:P$500,MATCH(41,样本到样信息汇总统计!$X$2:$X$500,0)),"")</f>
        <v/>
      </c>
      <c r="Q42" s="4" t="str">
        <f>IFERROR(INDEX(样本到样信息汇总统计!Q$2:Q$500,MATCH(41,样本到样信息汇总统计!$X$2:$X$500,0)),"")</f>
        <v/>
      </c>
      <c r="R42" s="4" t="str">
        <f>IFERROR(INDEX(样本到样信息汇总统计!R$2:R$500,MATCH(41,样本到样信息汇总统计!$X$2:$X$500,0)),"")</f>
        <v/>
      </c>
      <c r="S42" s="4" t="str">
        <f>IFERROR(INDEX(样本到样信息汇总统计!S$2:S$500,MATCH(41,样本到样信息汇总统计!$X$2:$X$500,0)),"")</f>
        <v/>
      </c>
      <c r="T42" s="4" t="str">
        <f>IFERROR(INDEX(样本到样信息汇总统计!T$2:T$500,MATCH(41,样本到样信息汇总统计!$X$2:$X$500,0)),"")</f>
        <v/>
      </c>
      <c r="U42" s="4" t="str">
        <f>IFERROR(INDEX(样本到样信息汇总统计!U$2:U$500,MATCH(41,样本到样信息汇总统计!$X$2:$X$500,0)),"")</f>
        <v/>
      </c>
      <c r="V42" s="4" t="str">
        <f>IFERROR(INDEX(样本到样信息汇总统计!V$2:V$500,MATCH(41,样本到样信息汇总统计!$X$2:$X$500,0)),"")</f>
        <v/>
      </c>
      <c r="W42" s="4" t="str">
        <f>IFERROR(INDEX(样本到样信息汇总统计!W$2:W$500,MATCH(41,样本到样信息汇总统计!$X$2:$X$500,0)),"")</f>
        <v/>
      </c>
    </row>
    <row r="43" ht="14.5" spans="1:23">
      <c r="A43" s="8" t="str">
        <f>IFERROR(INDEX(样本到样信息汇总统计!A$2:A$500,MATCH(42,样本到样信息汇总统计!$X$2:$X$500,0)),"")</f>
        <v/>
      </c>
      <c r="B43" s="8" t="str">
        <f>IFERROR(INDEX(样本到样信息汇总统计!B$2:B$500,MATCH(42,样本到样信息汇总统计!$X$2:$X$500,0)),"")</f>
        <v/>
      </c>
      <c r="C43" s="8" t="str">
        <f>IFERROR(INDEX(样本到样信息汇总统计!C$2:C$500,MATCH(42,样本到样信息汇总统计!$X$2:$X$500,0)),"")</f>
        <v/>
      </c>
      <c r="D43" s="8" t="str">
        <f>IFERROR(INDEX(样本到样信息汇总统计!D$2:D$500,MATCH(42,样本到样信息汇总统计!$X$2:$X$500,0)),"")</f>
        <v/>
      </c>
      <c r="E43" s="8" t="str">
        <f>IFERROR(INDEX(样本到样信息汇总统计!E$2:E$500,MATCH(42,样本到样信息汇总统计!$X$2:$X$500,0)),"")</f>
        <v/>
      </c>
      <c r="F43" s="8" t="str">
        <f>IFERROR(INDEX(样本到样信息汇总统计!F$2:F$500,MATCH(42,样本到样信息汇总统计!$X$2:$X$500,0)),"")</f>
        <v/>
      </c>
      <c r="G43" s="8" t="str">
        <f>IFERROR(INDEX(样本到样信息汇总统计!G$2:G$500,MATCH(42,样本到样信息汇总统计!$X$2:$X$500,0)),"")</f>
        <v/>
      </c>
      <c r="H43" s="8" t="str">
        <f>IFERROR(INDEX(样本到样信息汇总统计!H$2:H$500,MATCH(42,样本到样信息汇总统计!$X$2:$X$500,0)),"")</f>
        <v/>
      </c>
      <c r="I43" s="8" t="str">
        <f>IFERROR(INDEX(样本到样信息汇总统计!I$2:I$500,MATCH(42,样本到样信息汇总统计!$X$2:$X$500,0)),"")</f>
        <v/>
      </c>
      <c r="J43" s="8" t="str">
        <f>IFERROR(INDEX(样本到样信息汇总统计!J$2:J$500,MATCH(42,样本到样信息汇总统计!$X$2:$X$500,0)),"")</f>
        <v/>
      </c>
      <c r="K43" s="15" t="str">
        <f>IFERROR(INDEX(样本到样信息汇总统计!K$2:K$500,MATCH(42,样本到样信息汇总统计!$X$2:$X$500,0)),"")</f>
        <v/>
      </c>
      <c r="L43" s="8" t="str">
        <f>IFERROR(INDEX(样本到样信息汇总统计!L$2:L$500,MATCH(42,样本到样信息汇总统计!$X$2:$X$500,0)),"")</f>
        <v/>
      </c>
      <c r="M43" s="8" t="str">
        <f>IFERROR(INDEX(样本到样信息汇总统计!M$2:M$500,MATCH(42,样本到样信息汇总统计!$X$2:$X$500,0)),"")</f>
        <v/>
      </c>
      <c r="N43" s="8" t="str">
        <f>IFERROR(INDEX(样本到样信息汇总统计!N$2:N$500,MATCH(42,样本到样信息汇总统计!$X$2:$X$500,0)),"")</f>
        <v/>
      </c>
      <c r="O43" s="8" t="str">
        <f>IFERROR(INDEX(样本到样信息汇总统计!O$2:O$500,MATCH(42,样本到样信息汇总统计!$X$2:$X$500,0)),"")</f>
        <v/>
      </c>
      <c r="P43" s="8" t="str">
        <f>IFERROR(INDEX(样本到样信息汇总统计!P$2:P$500,MATCH(42,样本到样信息汇总统计!$X$2:$X$500,0)),"")</f>
        <v/>
      </c>
      <c r="Q43" s="8" t="str">
        <f>IFERROR(INDEX(样本到样信息汇总统计!Q$2:Q$500,MATCH(42,样本到样信息汇总统计!$X$2:$X$500,0)),"")</f>
        <v/>
      </c>
      <c r="R43" s="8" t="str">
        <f>IFERROR(INDEX(样本到样信息汇总统计!R$2:R$500,MATCH(42,样本到样信息汇总统计!$X$2:$X$500,0)),"")</f>
        <v/>
      </c>
      <c r="S43" s="8" t="str">
        <f>IFERROR(INDEX(样本到样信息汇总统计!S$2:S$500,MATCH(42,样本到样信息汇总统计!$X$2:$X$500,0)),"")</f>
        <v/>
      </c>
      <c r="T43" s="8" t="str">
        <f>IFERROR(INDEX(样本到样信息汇总统计!T$2:T$500,MATCH(42,样本到样信息汇总统计!$X$2:$X$500,0)),"")</f>
        <v/>
      </c>
      <c r="U43" s="8" t="str">
        <f>IFERROR(INDEX(样本到样信息汇总统计!U$2:U$500,MATCH(42,样本到样信息汇总统计!$X$2:$X$500,0)),"")</f>
        <v/>
      </c>
      <c r="V43" s="8" t="str">
        <f>IFERROR(INDEX(样本到样信息汇总统计!V$2:V$500,MATCH(42,样本到样信息汇总统计!$X$2:$X$500,0)),"")</f>
        <v/>
      </c>
      <c r="W43" s="8" t="str">
        <f>IFERROR(INDEX(样本到样信息汇总统计!W$2:W$500,MATCH(42,样本到样信息汇总统计!$X$2:$X$500,0)),"")</f>
        <v/>
      </c>
    </row>
    <row r="44" ht="14.5" spans="1:23">
      <c r="A44" s="4" t="str">
        <f>IFERROR(INDEX(样本到样信息汇总统计!A$2:A$500,MATCH(43,样本到样信息汇总统计!$X$2:$X$500,0)),"")</f>
        <v/>
      </c>
      <c r="B44" s="4" t="str">
        <f>IFERROR(INDEX(样本到样信息汇总统计!B$2:B$500,MATCH(43,样本到样信息汇总统计!$X$2:$X$500,0)),"")</f>
        <v/>
      </c>
      <c r="C44" s="4" t="str">
        <f>IFERROR(INDEX(样本到样信息汇总统计!C$2:C$500,MATCH(43,样本到样信息汇总统计!$X$2:$X$500,0)),"")</f>
        <v/>
      </c>
      <c r="D44" s="4" t="str">
        <f>IFERROR(INDEX(样本到样信息汇总统计!D$2:D$500,MATCH(43,样本到样信息汇总统计!$X$2:$X$500,0)),"")</f>
        <v/>
      </c>
      <c r="E44" s="4" t="str">
        <f>IFERROR(INDEX(样本到样信息汇总统计!E$2:E$500,MATCH(43,样本到样信息汇总统计!$X$2:$X$500,0)),"")</f>
        <v/>
      </c>
      <c r="F44" s="4" t="str">
        <f>IFERROR(INDEX(样本到样信息汇总统计!F$2:F$500,MATCH(43,样本到样信息汇总统计!$X$2:$X$500,0)),"")</f>
        <v/>
      </c>
      <c r="G44" s="4" t="str">
        <f>IFERROR(INDEX(样本到样信息汇总统计!G$2:G$500,MATCH(43,样本到样信息汇总统计!$X$2:$X$500,0)),"")</f>
        <v/>
      </c>
      <c r="H44" s="4" t="str">
        <f>IFERROR(INDEX(样本到样信息汇总统计!H$2:H$500,MATCH(43,样本到样信息汇总统计!$X$2:$X$500,0)),"")</f>
        <v/>
      </c>
      <c r="I44" s="4" t="str">
        <f>IFERROR(INDEX(样本到样信息汇总统计!I$2:I$500,MATCH(43,样本到样信息汇总统计!$X$2:$X$500,0)),"")</f>
        <v/>
      </c>
      <c r="J44" s="4" t="str">
        <f>IFERROR(INDEX(样本到样信息汇总统计!J$2:J$500,MATCH(43,样本到样信息汇总统计!$X$2:$X$500,0)),"")</f>
        <v/>
      </c>
      <c r="K44" s="14" t="str">
        <f>IFERROR(INDEX(样本到样信息汇总统计!K$2:K$500,MATCH(43,样本到样信息汇总统计!$X$2:$X$500,0)),"")</f>
        <v/>
      </c>
      <c r="L44" s="4" t="str">
        <f>IFERROR(INDEX(样本到样信息汇总统计!L$2:L$500,MATCH(43,样本到样信息汇总统计!$X$2:$X$500,0)),"")</f>
        <v/>
      </c>
      <c r="M44" s="4" t="str">
        <f>IFERROR(INDEX(样本到样信息汇总统计!M$2:M$500,MATCH(43,样本到样信息汇总统计!$X$2:$X$500,0)),"")</f>
        <v/>
      </c>
      <c r="N44" s="4" t="str">
        <f>IFERROR(INDEX(样本到样信息汇总统计!N$2:N$500,MATCH(43,样本到样信息汇总统计!$X$2:$X$500,0)),"")</f>
        <v/>
      </c>
      <c r="O44" s="4" t="str">
        <f>IFERROR(INDEX(样本到样信息汇总统计!O$2:O$500,MATCH(43,样本到样信息汇总统计!$X$2:$X$500,0)),"")</f>
        <v/>
      </c>
      <c r="P44" s="4" t="str">
        <f>IFERROR(INDEX(样本到样信息汇总统计!P$2:P$500,MATCH(43,样本到样信息汇总统计!$X$2:$X$500,0)),"")</f>
        <v/>
      </c>
      <c r="Q44" s="4" t="str">
        <f>IFERROR(INDEX(样本到样信息汇总统计!Q$2:Q$500,MATCH(43,样本到样信息汇总统计!$X$2:$X$500,0)),"")</f>
        <v/>
      </c>
      <c r="R44" s="4" t="str">
        <f>IFERROR(INDEX(样本到样信息汇总统计!R$2:R$500,MATCH(43,样本到样信息汇总统计!$X$2:$X$500,0)),"")</f>
        <v/>
      </c>
      <c r="S44" s="4" t="str">
        <f>IFERROR(INDEX(样本到样信息汇总统计!S$2:S$500,MATCH(43,样本到样信息汇总统计!$X$2:$X$500,0)),"")</f>
        <v/>
      </c>
      <c r="T44" s="4" t="str">
        <f>IFERROR(INDEX(样本到样信息汇总统计!T$2:T$500,MATCH(43,样本到样信息汇总统计!$X$2:$X$500,0)),"")</f>
        <v/>
      </c>
      <c r="U44" s="4" t="str">
        <f>IFERROR(INDEX(样本到样信息汇总统计!U$2:U$500,MATCH(43,样本到样信息汇总统计!$X$2:$X$500,0)),"")</f>
        <v/>
      </c>
      <c r="V44" s="4" t="str">
        <f>IFERROR(INDEX(样本到样信息汇总统计!V$2:V$500,MATCH(43,样本到样信息汇总统计!$X$2:$X$500,0)),"")</f>
        <v/>
      </c>
      <c r="W44" s="4" t="str">
        <f>IFERROR(INDEX(样本到样信息汇总统计!W$2:W$500,MATCH(43,样本到样信息汇总统计!$X$2:$X$500,0)),"")</f>
        <v/>
      </c>
    </row>
    <row r="45" ht="14.5" spans="1:23">
      <c r="A45" s="8" t="str">
        <f>IFERROR(INDEX(样本到样信息汇总统计!A$2:A$500,MATCH(44,样本到样信息汇总统计!$X$2:$X$500,0)),"")</f>
        <v/>
      </c>
      <c r="B45" s="8" t="str">
        <f>IFERROR(INDEX(样本到样信息汇总统计!B$2:B$500,MATCH(44,样本到样信息汇总统计!$X$2:$X$500,0)),"")</f>
        <v/>
      </c>
      <c r="C45" s="8" t="str">
        <f>IFERROR(INDEX(样本到样信息汇总统计!C$2:C$500,MATCH(44,样本到样信息汇总统计!$X$2:$X$500,0)),"")</f>
        <v/>
      </c>
      <c r="D45" s="8" t="str">
        <f>IFERROR(INDEX(样本到样信息汇总统计!D$2:D$500,MATCH(44,样本到样信息汇总统计!$X$2:$X$500,0)),"")</f>
        <v/>
      </c>
      <c r="E45" s="8" t="str">
        <f>IFERROR(INDEX(样本到样信息汇总统计!E$2:E$500,MATCH(44,样本到样信息汇总统计!$X$2:$X$500,0)),"")</f>
        <v/>
      </c>
      <c r="F45" s="8" t="str">
        <f>IFERROR(INDEX(样本到样信息汇总统计!F$2:F$500,MATCH(44,样本到样信息汇总统计!$X$2:$X$500,0)),"")</f>
        <v/>
      </c>
      <c r="G45" s="8" t="str">
        <f>IFERROR(INDEX(样本到样信息汇总统计!G$2:G$500,MATCH(44,样本到样信息汇总统计!$X$2:$X$500,0)),"")</f>
        <v/>
      </c>
      <c r="H45" s="8" t="str">
        <f>IFERROR(INDEX(样本到样信息汇总统计!H$2:H$500,MATCH(44,样本到样信息汇总统计!$X$2:$X$500,0)),"")</f>
        <v/>
      </c>
      <c r="I45" s="8" t="str">
        <f>IFERROR(INDEX(样本到样信息汇总统计!I$2:I$500,MATCH(44,样本到样信息汇总统计!$X$2:$X$500,0)),"")</f>
        <v/>
      </c>
      <c r="J45" s="8" t="str">
        <f>IFERROR(INDEX(样本到样信息汇总统计!J$2:J$500,MATCH(44,样本到样信息汇总统计!$X$2:$X$500,0)),"")</f>
        <v/>
      </c>
      <c r="K45" s="15" t="str">
        <f>IFERROR(INDEX(样本到样信息汇总统计!K$2:K$500,MATCH(44,样本到样信息汇总统计!$X$2:$X$500,0)),"")</f>
        <v/>
      </c>
      <c r="L45" s="8" t="str">
        <f>IFERROR(INDEX(样本到样信息汇总统计!L$2:L$500,MATCH(44,样本到样信息汇总统计!$X$2:$X$500,0)),"")</f>
        <v/>
      </c>
      <c r="M45" s="8" t="str">
        <f>IFERROR(INDEX(样本到样信息汇总统计!M$2:M$500,MATCH(44,样本到样信息汇总统计!$X$2:$X$500,0)),"")</f>
        <v/>
      </c>
      <c r="N45" s="8" t="str">
        <f>IFERROR(INDEX(样本到样信息汇总统计!N$2:N$500,MATCH(44,样本到样信息汇总统计!$X$2:$X$500,0)),"")</f>
        <v/>
      </c>
      <c r="O45" s="8" t="str">
        <f>IFERROR(INDEX(样本到样信息汇总统计!O$2:O$500,MATCH(44,样本到样信息汇总统计!$X$2:$X$500,0)),"")</f>
        <v/>
      </c>
      <c r="P45" s="8" t="str">
        <f>IFERROR(INDEX(样本到样信息汇总统计!P$2:P$500,MATCH(44,样本到样信息汇总统计!$X$2:$X$500,0)),"")</f>
        <v/>
      </c>
      <c r="Q45" s="8" t="str">
        <f>IFERROR(INDEX(样本到样信息汇总统计!Q$2:Q$500,MATCH(44,样本到样信息汇总统计!$X$2:$X$500,0)),"")</f>
        <v/>
      </c>
      <c r="R45" s="8" t="str">
        <f>IFERROR(INDEX(样本到样信息汇总统计!R$2:R$500,MATCH(44,样本到样信息汇总统计!$X$2:$X$500,0)),"")</f>
        <v/>
      </c>
      <c r="S45" s="8" t="str">
        <f>IFERROR(INDEX(样本到样信息汇总统计!S$2:S$500,MATCH(44,样本到样信息汇总统计!$X$2:$X$500,0)),"")</f>
        <v/>
      </c>
      <c r="T45" s="8" t="str">
        <f>IFERROR(INDEX(样本到样信息汇总统计!T$2:T$500,MATCH(44,样本到样信息汇总统计!$X$2:$X$500,0)),"")</f>
        <v/>
      </c>
      <c r="U45" s="8" t="str">
        <f>IFERROR(INDEX(样本到样信息汇总统计!U$2:U$500,MATCH(44,样本到样信息汇总统计!$X$2:$X$500,0)),"")</f>
        <v/>
      </c>
      <c r="V45" s="8" t="str">
        <f>IFERROR(INDEX(样本到样信息汇总统计!V$2:V$500,MATCH(44,样本到样信息汇总统计!$X$2:$X$500,0)),"")</f>
        <v/>
      </c>
      <c r="W45" s="8" t="str">
        <f>IFERROR(INDEX(样本到样信息汇总统计!W$2:W$500,MATCH(44,样本到样信息汇总统计!$X$2:$X$500,0)),"")</f>
        <v/>
      </c>
    </row>
    <row r="46" ht="14.5" spans="1:23">
      <c r="A46" s="4" t="str">
        <f>IFERROR(INDEX(样本到样信息汇总统计!A$2:A$500,MATCH(45,样本到样信息汇总统计!$X$2:$X$500,0)),"")</f>
        <v/>
      </c>
      <c r="B46" s="4" t="str">
        <f>IFERROR(INDEX(样本到样信息汇总统计!B$2:B$500,MATCH(45,样本到样信息汇总统计!$X$2:$X$500,0)),"")</f>
        <v/>
      </c>
      <c r="C46" s="4" t="str">
        <f>IFERROR(INDEX(样本到样信息汇总统计!C$2:C$500,MATCH(45,样本到样信息汇总统计!$X$2:$X$500,0)),"")</f>
        <v/>
      </c>
      <c r="D46" s="4" t="str">
        <f>IFERROR(INDEX(样本到样信息汇总统计!D$2:D$500,MATCH(45,样本到样信息汇总统计!$X$2:$X$500,0)),"")</f>
        <v/>
      </c>
      <c r="E46" s="4" t="str">
        <f>IFERROR(INDEX(样本到样信息汇总统计!E$2:E$500,MATCH(45,样本到样信息汇总统计!$X$2:$X$500,0)),"")</f>
        <v/>
      </c>
      <c r="F46" s="4" t="str">
        <f>IFERROR(INDEX(样本到样信息汇总统计!F$2:F$500,MATCH(45,样本到样信息汇总统计!$X$2:$X$500,0)),"")</f>
        <v/>
      </c>
      <c r="G46" s="4" t="str">
        <f>IFERROR(INDEX(样本到样信息汇总统计!G$2:G$500,MATCH(45,样本到样信息汇总统计!$X$2:$X$500,0)),"")</f>
        <v/>
      </c>
      <c r="H46" s="4" t="str">
        <f>IFERROR(INDEX(样本到样信息汇总统计!H$2:H$500,MATCH(45,样本到样信息汇总统计!$X$2:$X$500,0)),"")</f>
        <v/>
      </c>
      <c r="I46" s="4" t="str">
        <f>IFERROR(INDEX(样本到样信息汇总统计!I$2:I$500,MATCH(45,样本到样信息汇总统计!$X$2:$X$500,0)),"")</f>
        <v/>
      </c>
      <c r="J46" s="4" t="str">
        <f>IFERROR(INDEX(样本到样信息汇总统计!J$2:J$500,MATCH(45,样本到样信息汇总统计!$X$2:$X$500,0)),"")</f>
        <v/>
      </c>
      <c r="K46" s="14" t="str">
        <f>IFERROR(INDEX(样本到样信息汇总统计!K$2:K$500,MATCH(45,样本到样信息汇总统计!$X$2:$X$500,0)),"")</f>
        <v/>
      </c>
      <c r="L46" s="4" t="str">
        <f>IFERROR(INDEX(样本到样信息汇总统计!L$2:L$500,MATCH(45,样本到样信息汇总统计!$X$2:$X$500,0)),"")</f>
        <v/>
      </c>
      <c r="M46" s="4" t="str">
        <f>IFERROR(INDEX(样本到样信息汇总统计!M$2:M$500,MATCH(45,样本到样信息汇总统计!$X$2:$X$500,0)),"")</f>
        <v/>
      </c>
      <c r="N46" s="4" t="str">
        <f>IFERROR(INDEX(样本到样信息汇总统计!N$2:N$500,MATCH(45,样本到样信息汇总统计!$X$2:$X$500,0)),"")</f>
        <v/>
      </c>
      <c r="O46" s="4" t="str">
        <f>IFERROR(INDEX(样本到样信息汇总统计!O$2:O$500,MATCH(45,样本到样信息汇总统计!$X$2:$X$500,0)),"")</f>
        <v/>
      </c>
      <c r="P46" s="4" t="str">
        <f>IFERROR(INDEX(样本到样信息汇总统计!P$2:P$500,MATCH(45,样本到样信息汇总统计!$X$2:$X$500,0)),"")</f>
        <v/>
      </c>
      <c r="Q46" s="4" t="str">
        <f>IFERROR(INDEX(样本到样信息汇总统计!Q$2:Q$500,MATCH(45,样本到样信息汇总统计!$X$2:$X$500,0)),"")</f>
        <v/>
      </c>
      <c r="R46" s="4" t="str">
        <f>IFERROR(INDEX(样本到样信息汇总统计!R$2:R$500,MATCH(45,样本到样信息汇总统计!$X$2:$X$500,0)),"")</f>
        <v/>
      </c>
      <c r="S46" s="4" t="str">
        <f>IFERROR(INDEX(样本到样信息汇总统计!S$2:S$500,MATCH(45,样本到样信息汇总统计!$X$2:$X$500,0)),"")</f>
        <v/>
      </c>
      <c r="T46" s="4" t="str">
        <f>IFERROR(INDEX(样本到样信息汇总统计!T$2:T$500,MATCH(45,样本到样信息汇总统计!$X$2:$X$500,0)),"")</f>
        <v/>
      </c>
      <c r="U46" s="4" t="str">
        <f>IFERROR(INDEX(样本到样信息汇总统计!U$2:U$500,MATCH(45,样本到样信息汇总统计!$X$2:$X$500,0)),"")</f>
        <v/>
      </c>
      <c r="V46" s="4" t="str">
        <f>IFERROR(INDEX(样本到样信息汇总统计!V$2:V$500,MATCH(45,样本到样信息汇总统计!$X$2:$X$500,0)),"")</f>
        <v/>
      </c>
      <c r="W46" s="4" t="str">
        <f>IFERROR(INDEX(样本到样信息汇总统计!W$2:W$500,MATCH(45,样本到样信息汇总统计!$X$2:$X$500,0)),"")</f>
        <v/>
      </c>
    </row>
    <row r="47" ht="14.5" spans="1:23">
      <c r="A47" s="8" t="str">
        <f>IFERROR(INDEX(样本到样信息汇总统计!A$2:A$500,MATCH(46,样本到样信息汇总统计!$X$2:$X$500,0)),"")</f>
        <v/>
      </c>
      <c r="B47" s="8" t="str">
        <f>IFERROR(INDEX(样本到样信息汇总统计!B$2:B$500,MATCH(46,样本到样信息汇总统计!$X$2:$X$500,0)),"")</f>
        <v/>
      </c>
      <c r="C47" s="8" t="str">
        <f>IFERROR(INDEX(样本到样信息汇总统计!C$2:C$500,MATCH(46,样本到样信息汇总统计!$X$2:$X$500,0)),"")</f>
        <v/>
      </c>
      <c r="D47" s="8" t="str">
        <f>IFERROR(INDEX(样本到样信息汇总统计!D$2:D$500,MATCH(46,样本到样信息汇总统计!$X$2:$X$500,0)),"")</f>
        <v/>
      </c>
      <c r="E47" s="8" t="str">
        <f>IFERROR(INDEX(样本到样信息汇总统计!E$2:E$500,MATCH(46,样本到样信息汇总统计!$X$2:$X$500,0)),"")</f>
        <v/>
      </c>
      <c r="F47" s="8" t="str">
        <f>IFERROR(INDEX(样本到样信息汇总统计!F$2:F$500,MATCH(46,样本到样信息汇总统计!$X$2:$X$500,0)),"")</f>
        <v/>
      </c>
      <c r="G47" s="8" t="str">
        <f>IFERROR(INDEX(样本到样信息汇总统计!G$2:G$500,MATCH(46,样本到样信息汇总统计!$X$2:$X$500,0)),"")</f>
        <v/>
      </c>
      <c r="H47" s="8" t="str">
        <f>IFERROR(INDEX(样本到样信息汇总统计!H$2:H$500,MATCH(46,样本到样信息汇总统计!$X$2:$X$500,0)),"")</f>
        <v/>
      </c>
      <c r="I47" s="8" t="str">
        <f>IFERROR(INDEX(样本到样信息汇总统计!I$2:I$500,MATCH(46,样本到样信息汇总统计!$X$2:$X$500,0)),"")</f>
        <v/>
      </c>
      <c r="J47" s="8" t="str">
        <f>IFERROR(INDEX(样本到样信息汇总统计!J$2:J$500,MATCH(46,样本到样信息汇总统计!$X$2:$X$500,0)),"")</f>
        <v/>
      </c>
      <c r="K47" s="15" t="str">
        <f>IFERROR(INDEX(样本到样信息汇总统计!K$2:K$500,MATCH(46,样本到样信息汇总统计!$X$2:$X$500,0)),"")</f>
        <v/>
      </c>
      <c r="L47" s="8" t="str">
        <f>IFERROR(INDEX(样本到样信息汇总统计!L$2:L$500,MATCH(46,样本到样信息汇总统计!$X$2:$X$500,0)),"")</f>
        <v/>
      </c>
      <c r="M47" s="8" t="str">
        <f>IFERROR(INDEX(样本到样信息汇总统计!M$2:M$500,MATCH(46,样本到样信息汇总统计!$X$2:$X$500,0)),"")</f>
        <v/>
      </c>
      <c r="N47" s="8" t="str">
        <f>IFERROR(INDEX(样本到样信息汇总统计!N$2:N$500,MATCH(46,样本到样信息汇总统计!$X$2:$X$500,0)),"")</f>
        <v/>
      </c>
      <c r="O47" s="8" t="str">
        <f>IFERROR(INDEX(样本到样信息汇总统计!O$2:O$500,MATCH(46,样本到样信息汇总统计!$X$2:$X$500,0)),"")</f>
        <v/>
      </c>
      <c r="P47" s="8" t="str">
        <f>IFERROR(INDEX(样本到样信息汇总统计!P$2:P$500,MATCH(46,样本到样信息汇总统计!$X$2:$X$500,0)),"")</f>
        <v/>
      </c>
      <c r="Q47" s="8" t="str">
        <f>IFERROR(INDEX(样本到样信息汇总统计!Q$2:Q$500,MATCH(46,样本到样信息汇总统计!$X$2:$X$500,0)),"")</f>
        <v/>
      </c>
      <c r="R47" s="8" t="str">
        <f>IFERROR(INDEX(样本到样信息汇总统计!R$2:R$500,MATCH(46,样本到样信息汇总统计!$X$2:$X$500,0)),"")</f>
        <v/>
      </c>
      <c r="S47" s="8" t="str">
        <f>IFERROR(INDEX(样本到样信息汇总统计!S$2:S$500,MATCH(46,样本到样信息汇总统计!$X$2:$X$500,0)),"")</f>
        <v/>
      </c>
      <c r="T47" s="8" t="str">
        <f>IFERROR(INDEX(样本到样信息汇总统计!T$2:T$500,MATCH(46,样本到样信息汇总统计!$X$2:$X$500,0)),"")</f>
        <v/>
      </c>
      <c r="U47" s="8" t="str">
        <f>IFERROR(INDEX(样本到样信息汇总统计!U$2:U$500,MATCH(46,样本到样信息汇总统计!$X$2:$X$500,0)),"")</f>
        <v/>
      </c>
      <c r="V47" s="8" t="str">
        <f>IFERROR(INDEX(样本到样信息汇总统计!V$2:V$500,MATCH(46,样本到样信息汇总统计!$X$2:$X$500,0)),"")</f>
        <v/>
      </c>
      <c r="W47" s="8" t="str">
        <f>IFERROR(INDEX(样本到样信息汇总统计!W$2:W$500,MATCH(46,样本到样信息汇总统计!$X$2:$X$500,0)),"")</f>
        <v/>
      </c>
    </row>
    <row r="48" ht="14.5" spans="1:23">
      <c r="A48" s="4" t="str">
        <f>IFERROR(INDEX(样本到样信息汇总统计!A$2:A$500,MATCH(47,样本到样信息汇总统计!$X$2:$X$500,0)),"")</f>
        <v/>
      </c>
      <c r="B48" s="4" t="str">
        <f>IFERROR(INDEX(样本到样信息汇总统计!B$2:B$500,MATCH(47,样本到样信息汇总统计!$X$2:$X$500,0)),"")</f>
        <v/>
      </c>
      <c r="C48" s="4" t="str">
        <f>IFERROR(INDEX(样本到样信息汇总统计!C$2:C$500,MATCH(47,样本到样信息汇总统计!$X$2:$X$500,0)),"")</f>
        <v/>
      </c>
      <c r="D48" s="4" t="str">
        <f>IFERROR(INDEX(样本到样信息汇总统计!D$2:D$500,MATCH(47,样本到样信息汇总统计!$X$2:$X$500,0)),"")</f>
        <v/>
      </c>
      <c r="E48" s="4" t="str">
        <f>IFERROR(INDEX(样本到样信息汇总统计!E$2:E$500,MATCH(47,样本到样信息汇总统计!$X$2:$X$500,0)),"")</f>
        <v/>
      </c>
      <c r="F48" s="4" t="str">
        <f>IFERROR(INDEX(样本到样信息汇总统计!F$2:F$500,MATCH(47,样本到样信息汇总统计!$X$2:$X$500,0)),"")</f>
        <v/>
      </c>
      <c r="G48" s="4" t="str">
        <f>IFERROR(INDEX(样本到样信息汇总统计!G$2:G$500,MATCH(47,样本到样信息汇总统计!$X$2:$X$500,0)),"")</f>
        <v/>
      </c>
      <c r="H48" s="4" t="str">
        <f>IFERROR(INDEX(样本到样信息汇总统计!H$2:H$500,MATCH(47,样本到样信息汇总统计!$X$2:$X$500,0)),"")</f>
        <v/>
      </c>
      <c r="I48" s="4" t="str">
        <f>IFERROR(INDEX(样本到样信息汇总统计!I$2:I$500,MATCH(47,样本到样信息汇总统计!$X$2:$X$500,0)),"")</f>
        <v/>
      </c>
      <c r="J48" s="4" t="str">
        <f>IFERROR(INDEX(样本到样信息汇总统计!J$2:J$500,MATCH(47,样本到样信息汇总统计!$X$2:$X$500,0)),"")</f>
        <v/>
      </c>
      <c r="K48" s="14" t="str">
        <f>IFERROR(INDEX(样本到样信息汇总统计!K$2:K$500,MATCH(47,样本到样信息汇总统计!$X$2:$X$500,0)),"")</f>
        <v/>
      </c>
      <c r="L48" s="4" t="str">
        <f>IFERROR(INDEX(样本到样信息汇总统计!L$2:L$500,MATCH(47,样本到样信息汇总统计!$X$2:$X$500,0)),"")</f>
        <v/>
      </c>
      <c r="M48" s="4" t="str">
        <f>IFERROR(INDEX(样本到样信息汇总统计!M$2:M$500,MATCH(47,样本到样信息汇总统计!$X$2:$X$500,0)),"")</f>
        <v/>
      </c>
      <c r="N48" s="4" t="str">
        <f>IFERROR(INDEX(样本到样信息汇总统计!N$2:N$500,MATCH(47,样本到样信息汇总统计!$X$2:$X$500,0)),"")</f>
        <v/>
      </c>
      <c r="O48" s="4" t="str">
        <f>IFERROR(INDEX(样本到样信息汇总统计!O$2:O$500,MATCH(47,样本到样信息汇总统计!$X$2:$X$500,0)),"")</f>
        <v/>
      </c>
      <c r="P48" s="4" t="str">
        <f>IFERROR(INDEX(样本到样信息汇总统计!P$2:P$500,MATCH(47,样本到样信息汇总统计!$X$2:$X$500,0)),"")</f>
        <v/>
      </c>
      <c r="Q48" s="4" t="str">
        <f>IFERROR(INDEX(样本到样信息汇总统计!Q$2:Q$500,MATCH(47,样本到样信息汇总统计!$X$2:$X$500,0)),"")</f>
        <v/>
      </c>
      <c r="R48" s="4" t="str">
        <f>IFERROR(INDEX(样本到样信息汇总统计!R$2:R$500,MATCH(47,样本到样信息汇总统计!$X$2:$X$500,0)),"")</f>
        <v/>
      </c>
      <c r="S48" s="4" t="str">
        <f>IFERROR(INDEX(样本到样信息汇总统计!S$2:S$500,MATCH(47,样本到样信息汇总统计!$X$2:$X$500,0)),"")</f>
        <v/>
      </c>
      <c r="T48" s="4" t="str">
        <f>IFERROR(INDEX(样本到样信息汇总统计!T$2:T$500,MATCH(47,样本到样信息汇总统计!$X$2:$X$500,0)),"")</f>
        <v/>
      </c>
      <c r="U48" s="4" t="str">
        <f>IFERROR(INDEX(样本到样信息汇总统计!U$2:U$500,MATCH(47,样本到样信息汇总统计!$X$2:$X$500,0)),"")</f>
        <v/>
      </c>
      <c r="V48" s="4" t="str">
        <f>IFERROR(INDEX(样本到样信息汇总统计!V$2:V$500,MATCH(47,样本到样信息汇总统计!$X$2:$X$500,0)),"")</f>
        <v/>
      </c>
      <c r="W48" s="4" t="str">
        <f>IFERROR(INDEX(样本到样信息汇总统计!W$2:W$500,MATCH(47,样本到样信息汇总统计!$X$2:$X$500,0)),"")</f>
        <v/>
      </c>
    </row>
    <row r="49" ht="14.5" spans="1:23">
      <c r="A49" s="8" t="str">
        <f>IFERROR(INDEX(样本到样信息汇总统计!A$2:A$500,MATCH(48,样本到样信息汇总统计!$X$2:$X$500,0)),"")</f>
        <v/>
      </c>
      <c r="B49" s="8" t="str">
        <f>IFERROR(INDEX(样本到样信息汇总统计!B$2:B$500,MATCH(48,样本到样信息汇总统计!$X$2:$X$500,0)),"")</f>
        <v/>
      </c>
      <c r="C49" s="8" t="str">
        <f>IFERROR(INDEX(样本到样信息汇总统计!C$2:C$500,MATCH(48,样本到样信息汇总统计!$X$2:$X$500,0)),"")</f>
        <v/>
      </c>
      <c r="D49" s="8" t="str">
        <f>IFERROR(INDEX(样本到样信息汇总统计!D$2:D$500,MATCH(48,样本到样信息汇总统计!$X$2:$X$500,0)),"")</f>
        <v/>
      </c>
      <c r="E49" s="8" t="str">
        <f>IFERROR(INDEX(样本到样信息汇总统计!E$2:E$500,MATCH(48,样本到样信息汇总统计!$X$2:$X$500,0)),"")</f>
        <v/>
      </c>
      <c r="F49" s="8" t="str">
        <f>IFERROR(INDEX(样本到样信息汇总统计!F$2:F$500,MATCH(48,样本到样信息汇总统计!$X$2:$X$500,0)),"")</f>
        <v/>
      </c>
      <c r="G49" s="8" t="str">
        <f>IFERROR(INDEX(样本到样信息汇总统计!G$2:G$500,MATCH(48,样本到样信息汇总统计!$X$2:$X$500,0)),"")</f>
        <v/>
      </c>
      <c r="H49" s="8" t="str">
        <f>IFERROR(INDEX(样本到样信息汇总统计!H$2:H$500,MATCH(48,样本到样信息汇总统计!$X$2:$X$500,0)),"")</f>
        <v/>
      </c>
      <c r="I49" s="8" t="str">
        <f>IFERROR(INDEX(样本到样信息汇总统计!I$2:I$500,MATCH(48,样本到样信息汇总统计!$X$2:$X$500,0)),"")</f>
        <v/>
      </c>
      <c r="J49" s="8" t="str">
        <f>IFERROR(INDEX(样本到样信息汇总统计!J$2:J$500,MATCH(48,样本到样信息汇总统计!$X$2:$X$500,0)),"")</f>
        <v/>
      </c>
      <c r="K49" s="15" t="str">
        <f>IFERROR(INDEX(样本到样信息汇总统计!K$2:K$500,MATCH(48,样本到样信息汇总统计!$X$2:$X$500,0)),"")</f>
        <v/>
      </c>
      <c r="L49" s="8" t="str">
        <f>IFERROR(INDEX(样本到样信息汇总统计!L$2:L$500,MATCH(48,样本到样信息汇总统计!$X$2:$X$500,0)),"")</f>
        <v/>
      </c>
      <c r="M49" s="8" t="str">
        <f>IFERROR(INDEX(样本到样信息汇总统计!M$2:M$500,MATCH(48,样本到样信息汇总统计!$X$2:$X$500,0)),"")</f>
        <v/>
      </c>
      <c r="N49" s="8" t="str">
        <f>IFERROR(INDEX(样本到样信息汇总统计!N$2:N$500,MATCH(48,样本到样信息汇总统计!$X$2:$X$500,0)),"")</f>
        <v/>
      </c>
      <c r="O49" s="8" t="str">
        <f>IFERROR(INDEX(样本到样信息汇总统计!O$2:O$500,MATCH(48,样本到样信息汇总统计!$X$2:$X$500,0)),"")</f>
        <v/>
      </c>
      <c r="P49" s="8" t="str">
        <f>IFERROR(INDEX(样本到样信息汇总统计!P$2:P$500,MATCH(48,样本到样信息汇总统计!$X$2:$X$500,0)),"")</f>
        <v/>
      </c>
      <c r="Q49" s="8" t="str">
        <f>IFERROR(INDEX(样本到样信息汇总统计!Q$2:Q$500,MATCH(48,样本到样信息汇总统计!$X$2:$X$500,0)),"")</f>
        <v/>
      </c>
      <c r="R49" s="8" t="str">
        <f>IFERROR(INDEX(样本到样信息汇总统计!R$2:R$500,MATCH(48,样本到样信息汇总统计!$X$2:$X$500,0)),"")</f>
        <v/>
      </c>
      <c r="S49" s="8" t="str">
        <f>IFERROR(INDEX(样本到样信息汇总统计!S$2:S$500,MATCH(48,样本到样信息汇总统计!$X$2:$X$500,0)),"")</f>
        <v/>
      </c>
      <c r="T49" s="8" t="str">
        <f>IFERROR(INDEX(样本到样信息汇总统计!T$2:T$500,MATCH(48,样本到样信息汇总统计!$X$2:$X$500,0)),"")</f>
        <v/>
      </c>
      <c r="U49" s="8" t="str">
        <f>IFERROR(INDEX(样本到样信息汇总统计!U$2:U$500,MATCH(48,样本到样信息汇总统计!$X$2:$X$500,0)),"")</f>
        <v/>
      </c>
      <c r="V49" s="8" t="str">
        <f>IFERROR(INDEX(样本到样信息汇总统计!V$2:V$500,MATCH(48,样本到样信息汇总统计!$X$2:$X$500,0)),"")</f>
        <v/>
      </c>
      <c r="W49" s="8" t="str">
        <f>IFERROR(INDEX(样本到样信息汇总统计!W$2:W$500,MATCH(48,样本到样信息汇总统计!$X$2:$X$500,0)),"")</f>
        <v/>
      </c>
    </row>
    <row r="50" ht="14.5" spans="1:23">
      <c r="A50" s="4" t="str">
        <f>IFERROR(INDEX(样本到样信息汇总统计!A$2:A$500,MATCH(49,样本到样信息汇总统计!$X$2:$X$500,0)),"")</f>
        <v/>
      </c>
      <c r="B50" s="4" t="str">
        <f>IFERROR(INDEX(样本到样信息汇总统计!B$2:B$500,MATCH(49,样本到样信息汇总统计!$X$2:$X$500,0)),"")</f>
        <v/>
      </c>
      <c r="C50" s="4" t="str">
        <f>IFERROR(INDEX(样本到样信息汇总统计!C$2:C$500,MATCH(49,样本到样信息汇总统计!$X$2:$X$500,0)),"")</f>
        <v/>
      </c>
      <c r="D50" s="4" t="str">
        <f>IFERROR(INDEX(样本到样信息汇总统计!D$2:D$500,MATCH(49,样本到样信息汇总统计!$X$2:$X$500,0)),"")</f>
        <v/>
      </c>
      <c r="E50" s="4" t="str">
        <f>IFERROR(INDEX(样本到样信息汇总统计!E$2:E$500,MATCH(49,样本到样信息汇总统计!$X$2:$X$500,0)),"")</f>
        <v/>
      </c>
      <c r="F50" s="4" t="str">
        <f>IFERROR(INDEX(样本到样信息汇总统计!F$2:F$500,MATCH(49,样本到样信息汇总统计!$X$2:$X$500,0)),"")</f>
        <v/>
      </c>
      <c r="G50" s="4" t="str">
        <f>IFERROR(INDEX(样本到样信息汇总统计!G$2:G$500,MATCH(49,样本到样信息汇总统计!$X$2:$X$500,0)),"")</f>
        <v/>
      </c>
      <c r="H50" s="4" t="str">
        <f>IFERROR(INDEX(样本到样信息汇总统计!H$2:H$500,MATCH(49,样本到样信息汇总统计!$X$2:$X$500,0)),"")</f>
        <v/>
      </c>
      <c r="I50" s="4" t="str">
        <f>IFERROR(INDEX(样本到样信息汇总统计!I$2:I$500,MATCH(49,样本到样信息汇总统计!$X$2:$X$500,0)),"")</f>
        <v/>
      </c>
      <c r="J50" s="4" t="str">
        <f>IFERROR(INDEX(样本到样信息汇总统计!J$2:J$500,MATCH(49,样本到样信息汇总统计!$X$2:$X$500,0)),"")</f>
        <v/>
      </c>
      <c r="K50" s="14" t="str">
        <f>IFERROR(INDEX(样本到样信息汇总统计!K$2:K$500,MATCH(49,样本到样信息汇总统计!$X$2:$X$500,0)),"")</f>
        <v/>
      </c>
      <c r="L50" s="4" t="str">
        <f>IFERROR(INDEX(样本到样信息汇总统计!L$2:L$500,MATCH(49,样本到样信息汇总统计!$X$2:$X$500,0)),"")</f>
        <v/>
      </c>
      <c r="M50" s="4" t="str">
        <f>IFERROR(INDEX(样本到样信息汇总统计!M$2:M$500,MATCH(49,样本到样信息汇总统计!$X$2:$X$500,0)),"")</f>
        <v/>
      </c>
      <c r="N50" s="4" t="str">
        <f>IFERROR(INDEX(样本到样信息汇总统计!N$2:N$500,MATCH(49,样本到样信息汇总统计!$X$2:$X$500,0)),"")</f>
        <v/>
      </c>
      <c r="O50" s="4" t="str">
        <f>IFERROR(INDEX(样本到样信息汇总统计!O$2:O$500,MATCH(49,样本到样信息汇总统计!$X$2:$X$500,0)),"")</f>
        <v/>
      </c>
      <c r="P50" s="4" t="str">
        <f>IFERROR(INDEX(样本到样信息汇总统计!P$2:P$500,MATCH(49,样本到样信息汇总统计!$X$2:$X$500,0)),"")</f>
        <v/>
      </c>
      <c r="Q50" s="4" t="str">
        <f>IFERROR(INDEX(样本到样信息汇总统计!Q$2:Q$500,MATCH(49,样本到样信息汇总统计!$X$2:$X$500,0)),"")</f>
        <v/>
      </c>
      <c r="R50" s="4" t="str">
        <f>IFERROR(INDEX(样本到样信息汇总统计!R$2:R$500,MATCH(49,样本到样信息汇总统计!$X$2:$X$500,0)),"")</f>
        <v/>
      </c>
      <c r="S50" s="4" t="str">
        <f>IFERROR(INDEX(样本到样信息汇总统计!S$2:S$500,MATCH(49,样本到样信息汇总统计!$X$2:$X$500,0)),"")</f>
        <v/>
      </c>
      <c r="T50" s="4" t="str">
        <f>IFERROR(INDEX(样本到样信息汇总统计!T$2:T$500,MATCH(49,样本到样信息汇总统计!$X$2:$X$500,0)),"")</f>
        <v/>
      </c>
      <c r="U50" s="4" t="str">
        <f>IFERROR(INDEX(样本到样信息汇总统计!U$2:U$500,MATCH(49,样本到样信息汇总统计!$X$2:$X$500,0)),"")</f>
        <v/>
      </c>
      <c r="V50" s="4" t="str">
        <f>IFERROR(INDEX(样本到样信息汇总统计!V$2:V$500,MATCH(49,样本到样信息汇总统计!$X$2:$X$500,0)),"")</f>
        <v/>
      </c>
      <c r="W50" s="4" t="str">
        <f>IFERROR(INDEX(样本到样信息汇总统计!W$2:W$500,MATCH(49,样本到样信息汇总统计!$X$2:$X$500,0)),"")</f>
        <v/>
      </c>
    </row>
    <row r="51" ht="14.5" spans="1:23">
      <c r="A51" s="8" t="str">
        <f>IFERROR(INDEX(样本到样信息汇总统计!A$2:A$500,MATCH(50,样本到样信息汇总统计!$X$2:$X$500,0)),"")</f>
        <v/>
      </c>
      <c r="B51" s="8" t="str">
        <f>IFERROR(INDEX(样本到样信息汇总统计!B$2:B$500,MATCH(50,样本到样信息汇总统计!$X$2:$X$500,0)),"")</f>
        <v/>
      </c>
      <c r="C51" s="8" t="str">
        <f>IFERROR(INDEX(样本到样信息汇总统计!C$2:C$500,MATCH(50,样本到样信息汇总统计!$X$2:$X$500,0)),"")</f>
        <v/>
      </c>
      <c r="D51" s="8" t="str">
        <f>IFERROR(INDEX(样本到样信息汇总统计!D$2:D$500,MATCH(50,样本到样信息汇总统计!$X$2:$X$500,0)),"")</f>
        <v/>
      </c>
      <c r="E51" s="8" t="str">
        <f>IFERROR(INDEX(样本到样信息汇总统计!E$2:E$500,MATCH(50,样本到样信息汇总统计!$X$2:$X$500,0)),"")</f>
        <v/>
      </c>
      <c r="F51" s="8" t="str">
        <f>IFERROR(INDEX(样本到样信息汇总统计!F$2:F$500,MATCH(50,样本到样信息汇总统计!$X$2:$X$500,0)),"")</f>
        <v/>
      </c>
      <c r="G51" s="8" t="str">
        <f>IFERROR(INDEX(样本到样信息汇总统计!G$2:G$500,MATCH(50,样本到样信息汇总统计!$X$2:$X$500,0)),"")</f>
        <v/>
      </c>
      <c r="H51" s="8" t="str">
        <f>IFERROR(INDEX(样本到样信息汇总统计!H$2:H$500,MATCH(50,样本到样信息汇总统计!$X$2:$X$500,0)),"")</f>
        <v/>
      </c>
      <c r="I51" s="8" t="str">
        <f>IFERROR(INDEX(样本到样信息汇总统计!I$2:I$500,MATCH(50,样本到样信息汇总统计!$X$2:$X$500,0)),"")</f>
        <v/>
      </c>
      <c r="J51" s="8" t="str">
        <f>IFERROR(INDEX(样本到样信息汇总统计!J$2:J$500,MATCH(50,样本到样信息汇总统计!$X$2:$X$500,0)),"")</f>
        <v/>
      </c>
      <c r="K51" s="15" t="str">
        <f>IFERROR(INDEX(样本到样信息汇总统计!K$2:K$500,MATCH(50,样本到样信息汇总统计!$X$2:$X$500,0)),"")</f>
        <v/>
      </c>
      <c r="L51" s="8" t="str">
        <f>IFERROR(INDEX(样本到样信息汇总统计!L$2:L$500,MATCH(50,样本到样信息汇总统计!$X$2:$X$500,0)),"")</f>
        <v/>
      </c>
      <c r="M51" s="8" t="str">
        <f>IFERROR(INDEX(样本到样信息汇总统计!M$2:M$500,MATCH(50,样本到样信息汇总统计!$X$2:$X$500,0)),"")</f>
        <v/>
      </c>
      <c r="N51" s="8" t="str">
        <f>IFERROR(INDEX(样本到样信息汇总统计!N$2:N$500,MATCH(50,样本到样信息汇总统计!$X$2:$X$500,0)),"")</f>
        <v/>
      </c>
      <c r="O51" s="8" t="str">
        <f>IFERROR(INDEX(样本到样信息汇总统计!O$2:O$500,MATCH(50,样本到样信息汇总统计!$X$2:$X$500,0)),"")</f>
        <v/>
      </c>
      <c r="P51" s="8" t="str">
        <f>IFERROR(INDEX(样本到样信息汇总统计!P$2:P$500,MATCH(50,样本到样信息汇总统计!$X$2:$X$500,0)),"")</f>
        <v/>
      </c>
      <c r="Q51" s="8" t="str">
        <f>IFERROR(INDEX(样本到样信息汇总统计!Q$2:Q$500,MATCH(50,样本到样信息汇总统计!$X$2:$X$500,0)),"")</f>
        <v/>
      </c>
      <c r="R51" s="8" t="str">
        <f>IFERROR(INDEX(样本到样信息汇总统计!R$2:R$500,MATCH(50,样本到样信息汇总统计!$X$2:$X$500,0)),"")</f>
        <v/>
      </c>
      <c r="S51" s="8" t="str">
        <f>IFERROR(INDEX(样本到样信息汇总统计!S$2:S$500,MATCH(50,样本到样信息汇总统计!$X$2:$X$500,0)),"")</f>
        <v/>
      </c>
      <c r="T51" s="8" t="str">
        <f>IFERROR(INDEX(样本到样信息汇总统计!T$2:T$500,MATCH(50,样本到样信息汇总统计!$X$2:$X$500,0)),"")</f>
        <v/>
      </c>
      <c r="U51" s="8" t="str">
        <f>IFERROR(INDEX(样本到样信息汇总统计!U$2:U$500,MATCH(50,样本到样信息汇总统计!$X$2:$X$500,0)),"")</f>
        <v/>
      </c>
      <c r="V51" s="8" t="str">
        <f>IFERROR(INDEX(样本到样信息汇总统计!V$2:V$500,MATCH(50,样本到样信息汇总统计!$X$2:$X$500,0)),"")</f>
        <v/>
      </c>
      <c r="W51" s="8" t="str">
        <f>IFERROR(INDEX(样本到样信息汇总统计!W$2:W$500,MATCH(50,样本到样信息汇总统计!$X$2:$X$500,0)),"")</f>
        <v/>
      </c>
    </row>
    <row r="52" ht="14.5" spans="1:23">
      <c r="A52" s="4" t="str">
        <f>IFERROR(INDEX(样本到样信息汇总统计!A$2:A$500,MATCH(51,样本到样信息汇总统计!$X$2:$X$500,0)),"")</f>
        <v/>
      </c>
      <c r="B52" s="4" t="str">
        <f>IFERROR(INDEX(样本到样信息汇总统计!B$2:B$500,MATCH(51,样本到样信息汇总统计!$X$2:$X$500,0)),"")</f>
        <v/>
      </c>
      <c r="C52" s="4" t="str">
        <f>IFERROR(INDEX(样本到样信息汇总统计!C$2:C$500,MATCH(51,样本到样信息汇总统计!$X$2:$X$500,0)),"")</f>
        <v/>
      </c>
      <c r="D52" s="4" t="str">
        <f>IFERROR(INDEX(样本到样信息汇总统计!D$2:D$500,MATCH(51,样本到样信息汇总统计!$X$2:$X$500,0)),"")</f>
        <v/>
      </c>
      <c r="E52" s="4" t="str">
        <f>IFERROR(INDEX(样本到样信息汇总统计!E$2:E$500,MATCH(51,样本到样信息汇总统计!$X$2:$X$500,0)),"")</f>
        <v/>
      </c>
      <c r="F52" s="4" t="str">
        <f>IFERROR(INDEX(样本到样信息汇总统计!F$2:F$500,MATCH(51,样本到样信息汇总统计!$X$2:$X$500,0)),"")</f>
        <v/>
      </c>
      <c r="G52" s="4" t="str">
        <f>IFERROR(INDEX(样本到样信息汇总统计!G$2:G$500,MATCH(51,样本到样信息汇总统计!$X$2:$X$500,0)),"")</f>
        <v/>
      </c>
      <c r="H52" s="4" t="str">
        <f>IFERROR(INDEX(样本到样信息汇总统计!H$2:H$500,MATCH(51,样本到样信息汇总统计!$X$2:$X$500,0)),"")</f>
        <v/>
      </c>
      <c r="I52" s="4" t="str">
        <f>IFERROR(INDEX(样本到样信息汇总统计!I$2:I$500,MATCH(51,样本到样信息汇总统计!$X$2:$X$500,0)),"")</f>
        <v/>
      </c>
      <c r="J52" s="4" t="str">
        <f>IFERROR(INDEX(样本到样信息汇总统计!J$2:J$500,MATCH(51,样本到样信息汇总统计!$X$2:$X$500,0)),"")</f>
        <v/>
      </c>
      <c r="K52" s="14" t="str">
        <f>IFERROR(INDEX(样本到样信息汇总统计!K$2:K$500,MATCH(51,样本到样信息汇总统计!$X$2:$X$500,0)),"")</f>
        <v/>
      </c>
      <c r="L52" s="4" t="str">
        <f>IFERROR(INDEX(样本到样信息汇总统计!L$2:L$500,MATCH(51,样本到样信息汇总统计!$X$2:$X$500,0)),"")</f>
        <v/>
      </c>
      <c r="M52" s="4" t="str">
        <f>IFERROR(INDEX(样本到样信息汇总统计!M$2:M$500,MATCH(51,样本到样信息汇总统计!$X$2:$X$500,0)),"")</f>
        <v/>
      </c>
      <c r="N52" s="4" t="str">
        <f>IFERROR(INDEX(样本到样信息汇总统计!N$2:N$500,MATCH(51,样本到样信息汇总统计!$X$2:$X$500,0)),"")</f>
        <v/>
      </c>
      <c r="O52" s="4" t="str">
        <f>IFERROR(INDEX(样本到样信息汇总统计!O$2:O$500,MATCH(51,样本到样信息汇总统计!$X$2:$X$500,0)),"")</f>
        <v/>
      </c>
      <c r="P52" s="4" t="str">
        <f>IFERROR(INDEX(样本到样信息汇总统计!P$2:P$500,MATCH(51,样本到样信息汇总统计!$X$2:$X$500,0)),"")</f>
        <v/>
      </c>
      <c r="Q52" s="4" t="str">
        <f>IFERROR(INDEX(样本到样信息汇总统计!Q$2:Q$500,MATCH(51,样本到样信息汇总统计!$X$2:$X$500,0)),"")</f>
        <v/>
      </c>
      <c r="R52" s="4" t="str">
        <f>IFERROR(INDEX(样本到样信息汇总统计!R$2:R$500,MATCH(51,样本到样信息汇总统计!$X$2:$X$500,0)),"")</f>
        <v/>
      </c>
      <c r="S52" s="4" t="str">
        <f>IFERROR(INDEX(样本到样信息汇总统计!S$2:S$500,MATCH(51,样本到样信息汇总统计!$X$2:$X$500,0)),"")</f>
        <v/>
      </c>
      <c r="T52" s="4" t="str">
        <f>IFERROR(INDEX(样本到样信息汇总统计!T$2:T$500,MATCH(51,样本到样信息汇总统计!$X$2:$X$500,0)),"")</f>
        <v/>
      </c>
      <c r="U52" s="4" t="str">
        <f>IFERROR(INDEX(样本到样信息汇总统计!U$2:U$500,MATCH(51,样本到样信息汇总统计!$X$2:$X$500,0)),"")</f>
        <v/>
      </c>
      <c r="V52" s="4" t="str">
        <f>IFERROR(INDEX(样本到样信息汇总统计!V$2:V$500,MATCH(51,样本到样信息汇总统计!$X$2:$X$500,0)),"")</f>
        <v/>
      </c>
      <c r="W52" s="4" t="str">
        <f>IFERROR(INDEX(样本到样信息汇总统计!W$2:W$500,MATCH(51,样本到样信息汇总统计!$X$2:$X$500,0)),"")</f>
        <v/>
      </c>
    </row>
    <row r="53" ht="14.5" spans="1:23">
      <c r="A53" s="8" t="str">
        <f>IFERROR(INDEX(样本到样信息汇总统计!A$2:A$500,MATCH(52,样本到样信息汇总统计!$X$2:$X$500,0)),"")</f>
        <v/>
      </c>
      <c r="B53" s="8" t="str">
        <f>IFERROR(INDEX(样本到样信息汇总统计!B$2:B$500,MATCH(52,样本到样信息汇总统计!$X$2:$X$500,0)),"")</f>
        <v/>
      </c>
      <c r="C53" s="8" t="str">
        <f>IFERROR(INDEX(样本到样信息汇总统计!C$2:C$500,MATCH(52,样本到样信息汇总统计!$X$2:$X$500,0)),"")</f>
        <v/>
      </c>
      <c r="D53" s="8" t="str">
        <f>IFERROR(INDEX(样本到样信息汇总统计!D$2:D$500,MATCH(52,样本到样信息汇总统计!$X$2:$X$500,0)),"")</f>
        <v/>
      </c>
      <c r="E53" s="8" t="str">
        <f>IFERROR(INDEX(样本到样信息汇总统计!E$2:E$500,MATCH(52,样本到样信息汇总统计!$X$2:$X$500,0)),"")</f>
        <v/>
      </c>
      <c r="F53" s="8" t="str">
        <f>IFERROR(INDEX(样本到样信息汇总统计!F$2:F$500,MATCH(52,样本到样信息汇总统计!$X$2:$X$500,0)),"")</f>
        <v/>
      </c>
      <c r="G53" s="8" t="str">
        <f>IFERROR(INDEX(样本到样信息汇总统计!G$2:G$500,MATCH(52,样本到样信息汇总统计!$X$2:$X$500,0)),"")</f>
        <v/>
      </c>
      <c r="H53" s="8" t="str">
        <f>IFERROR(INDEX(样本到样信息汇总统计!H$2:H$500,MATCH(52,样本到样信息汇总统计!$X$2:$X$500,0)),"")</f>
        <v/>
      </c>
      <c r="I53" s="8" t="str">
        <f>IFERROR(INDEX(样本到样信息汇总统计!I$2:I$500,MATCH(52,样本到样信息汇总统计!$X$2:$X$500,0)),"")</f>
        <v/>
      </c>
      <c r="J53" s="8" t="str">
        <f>IFERROR(INDEX(样本到样信息汇总统计!J$2:J$500,MATCH(52,样本到样信息汇总统计!$X$2:$X$500,0)),"")</f>
        <v/>
      </c>
      <c r="K53" s="15" t="str">
        <f>IFERROR(INDEX(样本到样信息汇总统计!K$2:K$500,MATCH(52,样本到样信息汇总统计!$X$2:$X$500,0)),"")</f>
        <v/>
      </c>
      <c r="L53" s="8" t="str">
        <f>IFERROR(INDEX(样本到样信息汇总统计!L$2:L$500,MATCH(52,样本到样信息汇总统计!$X$2:$X$500,0)),"")</f>
        <v/>
      </c>
      <c r="M53" s="8" t="str">
        <f>IFERROR(INDEX(样本到样信息汇总统计!M$2:M$500,MATCH(52,样本到样信息汇总统计!$X$2:$X$500,0)),"")</f>
        <v/>
      </c>
      <c r="N53" s="8" t="str">
        <f>IFERROR(INDEX(样本到样信息汇总统计!N$2:N$500,MATCH(52,样本到样信息汇总统计!$X$2:$X$500,0)),"")</f>
        <v/>
      </c>
      <c r="O53" s="8" t="str">
        <f>IFERROR(INDEX(样本到样信息汇总统计!O$2:O$500,MATCH(52,样本到样信息汇总统计!$X$2:$X$500,0)),"")</f>
        <v/>
      </c>
      <c r="P53" s="8" t="str">
        <f>IFERROR(INDEX(样本到样信息汇总统计!P$2:P$500,MATCH(52,样本到样信息汇总统计!$X$2:$X$500,0)),"")</f>
        <v/>
      </c>
      <c r="Q53" s="8" t="str">
        <f>IFERROR(INDEX(样本到样信息汇总统计!Q$2:Q$500,MATCH(52,样本到样信息汇总统计!$X$2:$X$500,0)),"")</f>
        <v/>
      </c>
      <c r="R53" s="8" t="str">
        <f>IFERROR(INDEX(样本到样信息汇总统计!R$2:R$500,MATCH(52,样本到样信息汇总统计!$X$2:$X$500,0)),"")</f>
        <v/>
      </c>
      <c r="S53" s="8" t="str">
        <f>IFERROR(INDEX(样本到样信息汇总统计!S$2:S$500,MATCH(52,样本到样信息汇总统计!$X$2:$X$500,0)),"")</f>
        <v/>
      </c>
      <c r="T53" s="8" t="str">
        <f>IFERROR(INDEX(样本到样信息汇总统计!T$2:T$500,MATCH(52,样本到样信息汇总统计!$X$2:$X$500,0)),"")</f>
        <v/>
      </c>
      <c r="U53" s="8" t="str">
        <f>IFERROR(INDEX(样本到样信息汇总统计!U$2:U$500,MATCH(52,样本到样信息汇总统计!$X$2:$X$500,0)),"")</f>
        <v/>
      </c>
      <c r="V53" s="8" t="str">
        <f>IFERROR(INDEX(样本到样信息汇总统计!V$2:V$500,MATCH(52,样本到样信息汇总统计!$X$2:$X$500,0)),"")</f>
        <v/>
      </c>
      <c r="W53" s="8" t="str">
        <f>IFERROR(INDEX(样本到样信息汇总统计!W$2:W$500,MATCH(52,样本到样信息汇总统计!$X$2:$X$500,0)),"")</f>
        <v/>
      </c>
    </row>
    <row r="54" ht="14.5" spans="1:23">
      <c r="A54" s="4" t="str">
        <f>IFERROR(INDEX(样本到样信息汇总统计!A$2:A$500,MATCH(53,样本到样信息汇总统计!$X$2:$X$500,0)),"")</f>
        <v/>
      </c>
      <c r="B54" s="4" t="str">
        <f>IFERROR(INDEX(样本到样信息汇总统计!B$2:B$500,MATCH(53,样本到样信息汇总统计!$X$2:$X$500,0)),"")</f>
        <v/>
      </c>
      <c r="C54" s="4" t="str">
        <f>IFERROR(INDEX(样本到样信息汇总统计!C$2:C$500,MATCH(53,样本到样信息汇总统计!$X$2:$X$500,0)),"")</f>
        <v/>
      </c>
      <c r="D54" s="4" t="str">
        <f>IFERROR(INDEX(样本到样信息汇总统计!D$2:D$500,MATCH(53,样本到样信息汇总统计!$X$2:$X$500,0)),"")</f>
        <v/>
      </c>
      <c r="E54" s="4" t="str">
        <f>IFERROR(INDEX(样本到样信息汇总统计!E$2:E$500,MATCH(53,样本到样信息汇总统计!$X$2:$X$500,0)),"")</f>
        <v/>
      </c>
      <c r="F54" s="4" t="str">
        <f>IFERROR(INDEX(样本到样信息汇总统计!F$2:F$500,MATCH(53,样本到样信息汇总统计!$X$2:$X$500,0)),"")</f>
        <v/>
      </c>
      <c r="G54" s="4" t="str">
        <f>IFERROR(INDEX(样本到样信息汇总统计!G$2:G$500,MATCH(53,样本到样信息汇总统计!$X$2:$X$500,0)),"")</f>
        <v/>
      </c>
      <c r="H54" s="4" t="str">
        <f>IFERROR(INDEX(样本到样信息汇总统计!H$2:H$500,MATCH(53,样本到样信息汇总统计!$X$2:$X$500,0)),"")</f>
        <v/>
      </c>
      <c r="I54" s="4" t="str">
        <f>IFERROR(INDEX(样本到样信息汇总统计!I$2:I$500,MATCH(53,样本到样信息汇总统计!$X$2:$X$500,0)),"")</f>
        <v/>
      </c>
      <c r="J54" s="4" t="str">
        <f>IFERROR(INDEX(样本到样信息汇总统计!J$2:J$500,MATCH(53,样本到样信息汇总统计!$X$2:$X$500,0)),"")</f>
        <v/>
      </c>
      <c r="K54" s="14" t="str">
        <f>IFERROR(INDEX(样本到样信息汇总统计!K$2:K$500,MATCH(53,样本到样信息汇总统计!$X$2:$X$500,0)),"")</f>
        <v/>
      </c>
      <c r="L54" s="4" t="str">
        <f>IFERROR(INDEX(样本到样信息汇总统计!L$2:L$500,MATCH(53,样本到样信息汇总统计!$X$2:$X$500,0)),"")</f>
        <v/>
      </c>
      <c r="M54" s="4" t="str">
        <f>IFERROR(INDEX(样本到样信息汇总统计!M$2:M$500,MATCH(53,样本到样信息汇总统计!$X$2:$X$500,0)),"")</f>
        <v/>
      </c>
      <c r="N54" s="4" t="str">
        <f>IFERROR(INDEX(样本到样信息汇总统计!N$2:N$500,MATCH(53,样本到样信息汇总统计!$X$2:$X$500,0)),"")</f>
        <v/>
      </c>
      <c r="O54" s="4" t="str">
        <f>IFERROR(INDEX(样本到样信息汇总统计!O$2:O$500,MATCH(53,样本到样信息汇总统计!$X$2:$X$500,0)),"")</f>
        <v/>
      </c>
      <c r="P54" s="4" t="str">
        <f>IFERROR(INDEX(样本到样信息汇总统计!P$2:P$500,MATCH(53,样本到样信息汇总统计!$X$2:$X$500,0)),"")</f>
        <v/>
      </c>
      <c r="Q54" s="4" t="str">
        <f>IFERROR(INDEX(样本到样信息汇总统计!Q$2:Q$500,MATCH(53,样本到样信息汇总统计!$X$2:$X$500,0)),"")</f>
        <v/>
      </c>
      <c r="R54" s="4" t="str">
        <f>IFERROR(INDEX(样本到样信息汇总统计!R$2:R$500,MATCH(53,样本到样信息汇总统计!$X$2:$X$500,0)),"")</f>
        <v/>
      </c>
      <c r="S54" s="4" t="str">
        <f>IFERROR(INDEX(样本到样信息汇总统计!S$2:S$500,MATCH(53,样本到样信息汇总统计!$X$2:$X$500,0)),"")</f>
        <v/>
      </c>
      <c r="T54" s="4" t="str">
        <f>IFERROR(INDEX(样本到样信息汇总统计!T$2:T$500,MATCH(53,样本到样信息汇总统计!$X$2:$X$500,0)),"")</f>
        <v/>
      </c>
      <c r="U54" s="4" t="str">
        <f>IFERROR(INDEX(样本到样信息汇总统计!U$2:U$500,MATCH(53,样本到样信息汇总统计!$X$2:$X$500,0)),"")</f>
        <v/>
      </c>
      <c r="V54" s="4" t="str">
        <f>IFERROR(INDEX(样本到样信息汇总统计!V$2:V$500,MATCH(53,样本到样信息汇总统计!$X$2:$X$500,0)),"")</f>
        <v/>
      </c>
      <c r="W54" s="4" t="str">
        <f>IFERROR(INDEX(样本到样信息汇总统计!W$2:W$500,MATCH(53,样本到样信息汇总统计!$X$2:$X$500,0)),"")</f>
        <v/>
      </c>
    </row>
    <row r="55" ht="14.5" spans="1:23">
      <c r="A55" s="8" t="str">
        <f>IFERROR(INDEX(样本到样信息汇总统计!A$2:A$500,MATCH(54,样本到样信息汇总统计!$X$2:$X$500,0)),"")</f>
        <v/>
      </c>
      <c r="B55" s="8" t="str">
        <f>IFERROR(INDEX(样本到样信息汇总统计!B$2:B$500,MATCH(54,样本到样信息汇总统计!$X$2:$X$500,0)),"")</f>
        <v/>
      </c>
      <c r="C55" s="8" t="str">
        <f>IFERROR(INDEX(样本到样信息汇总统计!C$2:C$500,MATCH(54,样本到样信息汇总统计!$X$2:$X$500,0)),"")</f>
        <v/>
      </c>
      <c r="D55" s="8" t="str">
        <f>IFERROR(INDEX(样本到样信息汇总统计!D$2:D$500,MATCH(54,样本到样信息汇总统计!$X$2:$X$500,0)),"")</f>
        <v/>
      </c>
      <c r="E55" s="8" t="str">
        <f>IFERROR(INDEX(样本到样信息汇总统计!E$2:E$500,MATCH(54,样本到样信息汇总统计!$X$2:$X$500,0)),"")</f>
        <v/>
      </c>
      <c r="F55" s="8" t="str">
        <f>IFERROR(INDEX(样本到样信息汇总统计!F$2:F$500,MATCH(54,样本到样信息汇总统计!$X$2:$X$500,0)),"")</f>
        <v/>
      </c>
      <c r="G55" s="8" t="str">
        <f>IFERROR(INDEX(样本到样信息汇总统计!G$2:G$500,MATCH(54,样本到样信息汇总统计!$X$2:$X$500,0)),"")</f>
        <v/>
      </c>
      <c r="H55" s="8" t="str">
        <f>IFERROR(INDEX(样本到样信息汇总统计!H$2:H$500,MATCH(54,样本到样信息汇总统计!$X$2:$X$500,0)),"")</f>
        <v/>
      </c>
      <c r="I55" s="8" t="str">
        <f>IFERROR(INDEX(样本到样信息汇总统计!I$2:I$500,MATCH(54,样本到样信息汇总统计!$X$2:$X$500,0)),"")</f>
        <v/>
      </c>
      <c r="J55" s="8" t="str">
        <f>IFERROR(INDEX(样本到样信息汇总统计!J$2:J$500,MATCH(54,样本到样信息汇总统计!$X$2:$X$500,0)),"")</f>
        <v/>
      </c>
      <c r="K55" s="15" t="str">
        <f>IFERROR(INDEX(样本到样信息汇总统计!K$2:K$500,MATCH(54,样本到样信息汇总统计!$X$2:$X$500,0)),"")</f>
        <v/>
      </c>
      <c r="L55" s="8" t="str">
        <f>IFERROR(INDEX(样本到样信息汇总统计!L$2:L$500,MATCH(54,样本到样信息汇总统计!$X$2:$X$500,0)),"")</f>
        <v/>
      </c>
      <c r="M55" s="8" t="str">
        <f>IFERROR(INDEX(样本到样信息汇总统计!M$2:M$500,MATCH(54,样本到样信息汇总统计!$X$2:$X$500,0)),"")</f>
        <v/>
      </c>
      <c r="N55" s="8" t="str">
        <f>IFERROR(INDEX(样本到样信息汇总统计!N$2:N$500,MATCH(54,样本到样信息汇总统计!$X$2:$X$500,0)),"")</f>
        <v/>
      </c>
      <c r="O55" s="8" t="str">
        <f>IFERROR(INDEX(样本到样信息汇总统计!O$2:O$500,MATCH(54,样本到样信息汇总统计!$X$2:$X$500,0)),"")</f>
        <v/>
      </c>
      <c r="P55" s="8" t="str">
        <f>IFERROR(INDEX(样本到样信息汇总统计!P$2:P$500,MATCH(54,样本到样信息汇总统计!$X$2:$X$500,0)),"")</f>
        <v/>
      </c>
      <c r="Q55" s="8" t="str">
        <f>IFERROR(INDEX(样本到样信息汇总统计!Q$2:Q$500,MATCH(54,样本到样信息汇总统计!$X$2:$X$500,0)),"")</f>
        <v/>
      </c>
      <c r="R55" s="8" t="str">
        <f>IFERROR(INDEX(样本到样信息汇总统计!R$2:R$500,MATCH(54,样本到样信息汇总统计!$X$2:$X$500,0)),"")</f>
        <v/>
      </c>
      <c r="S55" s="8" t="str">
        <f>IFERROR(INDEX(样本到样信息汇总统计!S$2:S$500,MATCH(54,样本到样信息汇总统计!$X$2:$X$500,0)),"")</f>
        <v/>
      </c>
      <c r="T55" s="8" t="str">
        <f>IFERROR(INDEX(样本到样信息汇总统计!T$2:T$500,MATCH(54,样本到样信息汇总统计!$X$2:$X$500,0)),"")</f>
        <v/>
      </c>
      <c r="U55" s="8" t="str">
        <f>IFERROR(INDEX(样本到样信息汇总统计!U$2:U$500,MATCH(54,样本到样信息汇总统计!$X$2:$X$500,0)),"")</f>
        <v/>
      </c>
      <c r="V55" s="8" t="str">
        <f>IFERROR(INDEX(样本到样信息汇总统计!V$2:V$500,MATCH(54,样本到样信息汇总统计!$X$2:$X$500,0)),"")</f>
        <v/>
      </c>
      <c r="W55" s="8" t="str">
        <f>IFERROR(INDEX(样本到样信息汇总统计!W$2:W$500,MATCH(54,样本到样信息汇总统计!$X$2:$X$500,0)),"")</f>
        <v/>
      </c>
    </row>
    <row r="56" ht="14.5" spans="1:23">
      <c r="A56" s="4" t="str">
        <f>IFERROR(INDEX(样本到样信息汇总统计!A$2:A$500,MATCH(55,样本到样信息汇总统计!$X$2:$X$500,0)),"")</f>
        <v/>
      </c>
      <c r="B56" s="4" t="str">
        <f>IFERROR(INDEX(样本到样信息汇总统计!B$2:B$500,MATCH(55,样本到样信息汇总统计!$X$2:$X$500,0)),"")</f>
        <v/>
      </c>
      <c r="C56" s="4" t="str">
        <f>IFERROR(INDEX(样本到样信息汇总统计!C$2:C$500,MATCH(55,样本到样信息汇总统计!$X$2:$X$500,0)),"")</f>
        <v/>
      </c>
      <c r="D56" s="4" t="str">
        <f>IFERROR(INDEX(样本到样信息汇总统计!D$2:D$500,MATCH(55,样本到样信息汇总统计!$X$2:$X$500,0)),"")</f>
        <v/>
      </c>
      <c r="E56" s="4" t="str">
        <f>IFERROR(INDEX(样本到样信息汇总统计!E$2:E$500,MATCH(55,样本到样信息汇总统计!$X$2:$X$500,0)),"")</f>
        <v/>
      </c>
      <c r="F56" s="4" t="str">
        <f>IFERROR(INDEX(样本到样信息汇总统计!F$2:F$500,MATCH(55,样本到样信息汇总统计!$X$2:$X$500,0)),"")</f>
        <v/>
      </c>
      <c r="G56" s="4" t="str">
        <f>IFERROR(INDEX(样本到样信息汇总统计!G$2:G$500,MATCH(55,样本到样信息汇总统计!$X$2:$X$500,0)),"")</f>
        <v/>
      </c>
      <c r="H56" s="4" t="str">
        <f>IFERROR(INDEX(样本到样信息汇总统计!H$2:H$500,MATCH(55,样本到样信息汇总统计!$X$2:$X$500,0)),"")</f>
        <v/>
      </c>
      <c r="I56" s="4" t="str">
        <f>IFERROR(INDEX(样本到样信息汇总统计!I$2:I$500,MATCH(55,样本到样信息汇总统计!$X$2:$X$500,0)),"")</f>
        <v/>
      </c>
      <c r="J56" s="4" t="str">
        <f>IFERROR(INDEX(样本到样信息汇总统计!J$2:J$500,MATCH(55,样本到样信息汇总统计!$X$2:$X$500,0)),"")</f>
        <v/>
      </c>
      <c r="K56" s="14" t="str">
        <f>IFERROR(INDEX(样本到样信息汇总统计!K$2:K$500,MATCH(55,样本到样信息汇总统计!$X$2:$X$500,0)),"")</f>
        <v/>
      </c>
      <c r="L56" s="4" t="str">
        <f>IFERROR(INDEX(样本到样信息汇总统计!L$2:L$500,MATCH(55,样本到样信息汇总统计!$X$2:$X$500,0)),"")</f>
        <v/>
      </c>
      <c r="M56" s="4" t="str">
        <f>IFERROR(INDEX(样本到样信息汇总统计!M$2:M$500,MATCH(55,样本到样信息汇总统计!$X$2:$X$500,0)),"")</f>
        <v/>
      </c>
      <c r="N56" s="4" t="str">
        <f>IFERROR(INDEX(样本到样信息汇总统计!N$2:N$500,MATCH(55,样本到样信息汇总统计!$X$2:$X$500,0)),"")</f>
        <v/>
      </c>
      <c r="O56" s="4" t="str">
        <f>IFERROR(INDEX(样本到样信息汇总统计!O$2:O$500,MATCH(55,样本到样信息汇总统计!$X$2:$X$500,0)),"")</f>
        <v/>
      </c>
      <c r="P56" s="4" t="str">
        <f>IFERROR(INDEX(样本到样信息汇总统计!P$2:P$500,MATCH(55,样本到样信息汇总统计!$X$2:$X$500,0)),"")</f>
        <v/>
      </c>
      <c r="Q56" s="4" t="str">
        <f>IFERROR(INDEX(样本到样信息汇总统计!Q$2:Q$500,MATCH(55,样本到样信息汇总统计!$X$2:$X$500,0)),"")</f>
        <v/>
      </c>
      <c r="R56" s="4" t="str">
        <f>IFERROR(INDEX(样本到样信息汇总统计!R$2:R$500,MATCH(55,样本到样信息汇总统计!$X$2:$X$500,0)),"")</f>
        <v/>
      </c>
      <c r="S56" s="4" t="str">
        <f>IFERROR(INDEX(样本到样信息汇总统计!S$2:S$500,MATCH(55,样本到样信息汇总统计!$X$2:$X$500,0)),"")</f>
        <v/>
      </c>
      <c r="T56" s="4" t="str">
        <f>IFERROR(INDEX(样本到样信息汇总统计!T$2:T$500,MATCH(55,样本到样信息汇总统计!$X$2:$X$500,0)),"")</f>
        <v/>
      </c>
      <c r="U56" s="4" t="str">
        <f>IFERROR(INDEX(样本到样信息汇总统计!U$2:U$500,MATCH(55,样本到样信息汇总统计!$X$2:$X$500,0)),"")</f>
        <v/>
      </c>
      <c r="V56" s="4" t="str">
        <f>IFERROR(INDEX(样本到样信息汇总统计!V$2:V$500,MATCH(55,样本到样信息汇总统计!$X$2:$X$500,0)),"")</f>
        <v/>
      </c>
      <c r="W56" s="4" t="str">
        <f>IFERROR(INDEX(样本到样信息汇总统计!W$2:W$500,MATCH(55,样本到样信息汇总统计!$X$2:$X$500,0)),"")</f>
        <v/>
      </c>
    </row>
    <row r="57" ht="14.5" spans="1:23">
      <c r="A57" s="8" t="str">
        <f>IFERROR(INDEX(样本到样信息汇总统计!A$2:A$500,MATCH(56,样本到样信息汇总统计!$X$2:$X$500,0)),"")</f>
        <v/>
      </c>
      <c r="B57" s="8" t="str">
        <f>IFERROR(INDEX(样本到样信息汇总统计!B$2:B$500,MATCH(56,样本到样信息汇总统计!$X$2:$X$500,0)),"")</f>
        <v/>
      </c>
      <c r="C57" s="8" t="str">
        <f>IFERROR(INDEX(样本到样信息汇总统计!C$2:C$500,MATCH(56,样本到样信息汇总统计!$X$2:$X$500,0)),"")</f>
        <v/>
      </c>
      <c r="D57" s="8" t="str">
        <f>IFERROR(INDEX(样本到样信息汇总统计!D$2:D$500,MATCH(56,样本到样信息汇总统计!$X$2:$X$500,0)),"")</f>
        <v/>
      </c>
      <c r="E57" s="8" t="str">
        <f>IFERROR(INDEX(样本到样信息汇总统计!E$2:E$500,MATCH(56,样本到样信息汇总统计!$X$2:$X$500,0)),"")</f>
        <v/>
      </c>
      <c r="F57" s="8" t="str">
        <f>IFERROR(INDEX(样本到样信息汇总统计!F$2:F$500,MATCH(56,样本到样信息汇总统计!$X$2:$X$500,0)),"")</f>
        <v/>
      </c>
      <c r="G57" s="8" t="str">
        <f>IFERROR(INDEX(样本到样信息汇总统计!G$2:G$500,MATCH(56,样本到样信息汇总统计!$X$2:$X$500,0)),"")</f>
        <v/>
      </c>
      <c r="H57" s="8" t="str">
        <f>IFERROR(INDEX(样本到样信息汇总统计!H$2:H$500,MATCH(56,样本到样信息汇总统计!$X$2:$X$500,0)),"")</f>
        <v/>
      </c>
      <c r="I57" s="8" t="str">
        <f>IFERROR(INDEX(样本到样信息汇总统计!I$2:I$500,MATCH(56,样本到样信息汇总统计!$X$2:$X$500,0)),"")</f>
        <v/>
      </c>
      <c r="J57" s="8" t="str">
        <f>IFERROR(INDEX(样本到样信息汇总统计!J$2:J$500,MATCH(56,样本到样信息汇总统计!$X$2:$X$500,0)),"")</f>
        <v/>
      </c>
      <c r="K57" s="15" t="str">
        <f>IFERROR(INDEX(样本到样信息汇总统计!K$2:K$500,MATCH(56,样本到样信息汇总统计!$X$2:$X$500,0)),"")</f>
        <v/>
      </c>
      <c r="L57" s="8" t="str">
        <f>IFERROR(INDEX(样本到样信息汇总统计!L$2:L$500,MATCH(56,样本到样信息汇总统计!$X$2:$X$500,0)),"")</f>
        <v/>
      </c>
      <c r="M57" s="8" t="str">
        <f>IFERROR(INDEX(样本到样信息汇总统计!M$2:M$500,MATCH(56,样本到样信息汇总统计!$X$2:$X$500,0)),"")</f>
        <v/>
      </c>
      <c r="N57" s="8" t="str">
        <f>IFERROR(INDEX(样本到样信息汇总统计!N$2:N$500,MATCH(56,样本到样信息汇总统计!$X$2:$X$500,0)),"")</f>
        <v/>
      </c>
      <c r="O57" s="8" t="str">
        <f>IFERROR(INDEX(样本到样信息汇总统计!O$2:O$500,MATCH(56,样本到样信息汇总统计!$X$2:$X$500,0)),"")</f>
        <v/>
      </c>
      <c r="P57" s="8" t="str">
        <f>IFERROR(INDEX(样本到样信息汇总统计!P$2:P$500,MATCH(56,样本到样信息汇总统计!$X$2:$X$500,0)),"")</f>
        <v/>
      </c>
      <c r="Q57" s="8" t="str">
        <f>IFERROR(INDEX(样本到样信息汇总统计!Q$2:Q$500,MATCH(56,样本到样信息汇总统计!$X$2:$X$500,0)),"")</f>
        <v/>
      </c>
      <c r="R57" s="8" t="str">
        <f>IFERROR(INDEX(样本到样信息汇总统计!R$2:R$500,MATCH(56,样本到样信息汇总统计!$X$2:$X$500,0)),"")</f>
        <v/>
      </c>
      <c r="S57" s="8" t="str">
        <f>IFERROR(INDEX(样本到样信息汇总统计!S$2:S$500,MATCH(56,样本到样信息汇总统计!$X$2:$X$500,0)),"")</f>
        <v/>
      </c>
      <c r="T57" s="8" t="str">
        <f>IFERROR(INDEX(样本到样信息汇总统计!T$2:T$500,MATCH(56,样本到样信息汇总统计!$X$2:$X$500,0)),"")</f>
        <v/>
      </c>
      <c r="U57" s="8" t="str">
        <f>IFERROR(INDEX(样本到样信息汇总统计!U$2:U$500,MATCH(56,样本到样信息汇总统计!$X$2:$X$500,0)),"")</f>
        <v/>
      </c>
      <c r="V57" s="8" t="str">
        <f>IFERROR(INDEX(样本到样信息汇总统计!V$2:V$500,MATCH(56,样本到样信息汇总统计!$X$2:$X$500,0)),"")</f>
        <v/>
      </c>
      <c r="W57" s="8" t="str">
        <f>IFERROR(INDEX(样本到样信息汇总统计!W$2:W$500,MATCH(56,样本到样信息汇总统计!$X$2:$X$500,0)),"")</f>
        <v/>
      </c>
    </row>
    <row r="58" ht="14.5" spans="1:23">
      <c r="A58" s="4" t="str">
        <f>IFERROR(INDEX(样本到样信息汇总统计!A$2:A$500,MATCH(57,样本到样信息汇总统计!$X$2:$X$500,0)),"")</f>
        <v/>
      </c>
      <c r="B58" s="4" t="str">
        <f>IFERROR(INDEX(样本到样信息汇总统计!B$2:B$500,MATCH(57,样本到样信息汇总统计!$X$2:$X$500,0)),"")</f>
        <v/>
      </c>
      <c r="C58" s="4" t="str">
        <f>IFERROR(INDEX(样本到样信息汇总统计!C$2:C$500,MATCH(57,样本到样信息汇总统计!$X$2:$X$500,0)),"")</f>
        <v/>
      </c>
      <c r="D58" s="4" t="str">
        <f>IFERROR(INDEX(样本到样信息汇总统计!D$2:D$500,MATCH(57,样本到样信息汇总统计!$X$2:$X$500,0)),"")</f>
        <v/>
      </c>
      <c r="E58" s="4" t="str">
        <f>IFERROR(INDEX(样本到样信息汇总统计!E$2:E$500,MATCH(57,样本到样信息汇总统计!$X$2:$X$500,0)),"")</f>
        <v/>
      </c>
      <c r="F58" s="4" t="str">
        <f>IFERROR(INDEX(样本到样信息汇总统计!F$2:F$500,MATCH(57,样本到样信息汇总统计!$X$2:$X$500,0)),"")</f>
        <v/>
      </c>
      <c r="G58" s="4" t="str">
        <f>IFERROR(INDEX(样本到样信息汇总统计!G$2:G$500,MATCH(57,样本到样信息汇总统计!$X$2:$X$500,0)),"")</f>
        <v/>
      </c>
      <c r="H58" s="4" t="str">
        <f>IFERROR(INDEX(样本到样信息汇总统计!H$2:H$500,MATCH(57,样本到样信息汇总统计!$X$2:$X$500,0)),"")</f>
        <v/>
      </c>
      <c r="I58" s="4" t="str">
        <f>IFERROR(INDEX(样本到样信息汇总统计!I$2:I$500,MATCH(57,样本到样信息汇总统计!$X$2:$X$500,0)),"")</f>
        <v/>
      </c>
      <c r="J58" s="4" t="str">
        <f>IFERROR(INDEX(样本到样信息汇总统计!J$2:J$500,MATCH(57,样本到样信息汇总统计!$X$2:$X$500,0)),"")</f>
        <v/>
      </c>
      <c r="K58" s="14" t="str">
        <f>IFERROR(INDEX(样本到样信息汇总统计!K$2:K$500,MATCH(57,样本到样信息汇总统计!$X$2:$X$500,0)),"")</f>
        <v/>
      </c>
      <c r="L58" s="4" t="str">
        <f>IFERROR(INDEX(样本到样信息汇总统计!L$2:L$500,MATCH(57,样本到样信息汇总统计!$X$2:$X$500,0)),"")</f>
        <v/>
      </c>
      <c r="M58" s="4" t="str">
        <f>IFERROR(INDEX(样本到样信息汇总统计!M$2:M$500,MATCH(57,样本到样信息汇总统计!$X$2:$X$500,0)),"")</f>
        <v/>
      </c>
      <c r="N58" s="4" t="str">
        <f>IFERROR(INDEX(样本到样信息汇总统计!N$2:N$500,MATCH(57,样本到样信息汇总统计!$X$2:$X$500,0)),"")</f>
        <v/>
      </c>
      <c r="O58" s="4" t="str">
        <f>IFERROR(INDEX(样本到样信息汇总统计!O$2:O$500,MATCH(57,样本到样信息汇总统计!$X$2:$X$500,0)),"")</f>
        <v/>
      </c>
      <c r="P58" s="4" t="str">
        <f>IFERROR(INDEX(样本到样信息汇总统计!P$2:P$500,MATCH(57,样本到样信息汇总统计!$X$2:$X$500,0)),"")</f>
        <v/>
      </c>
      <c r="Q58" s="4" t="str">
        <f>IFERROR(INDEX(样本到样信息汇总统计!Q$2:Q$500,MATCH(57,样本到样信息汇总统计!$X$2:$X$500,0)),"")</f>
        <v/>
      </c>
      <c r="R58" s="4" t="str">
        <f>IFERROR(INDEX(样本到样信息汇总统计!R$2:R$500,MATCH(57,样本到样信息汇总统计!$X$2:$X$500,0)),"")</f>
        <v/>
      </c>
      <c r="S58" s="4" t="str">
        <f>IFERROR(INDEX(样本到样信息汇总统计!S$2:S$500,MATCH(57,样本到样信息汇总统计!$X$2:$X$500,0)),"")</f>
        <v/>
      </c>
      <c r="T58" s="4" t="str">
        <f>IFERROR(INDEX(样本到样信息汇总统计!T$2:T$500,MATCH(57,样本到样信息汇总统计!$X$2:$X$500,0)),"")</f>
        <v/>
      </c>
      <c r="U58" s="4" t="str">
        <f>IFERROR(INDEX(样本到样信息汇总统计!U$2:U$500,MATCH(57,样本到样信息汇总统计!$X$2:$X$500,0)),"")</f>
        <v/>
      </c>
      <c r="V58" s="4" t="str">
        <f>IFERROR(INDEX(样本到样信息汇总统计!V$2:V$500,MATCH(57,样本到样信息汇总统计!$X$2:$X$500,0)),"")</f>
        <v/>
      </c>
      <c r="W58" s="4" t="str">
        <f>IFERROR(INDEX(样本到样信息汇总统计!W$2:W$500,MATCH(57,样本到样信息汇总统计!$X$2:$X$500,0)),"")</f>
        <v/>
      </c>
    </row>
    <row r="59" ht="14.5" spans="1:23">
      <c r="A59" s="8" t="str">
        <f>IFERROR(INDEX(样本到样信息汇总统计!A$2:A$500,MATCH(58,样本到样信息汇总统计!$X$2:$X$500,0)),"")</f>
        <v/>
      </c>
      <c r="B59" s="8" t="str">
        <f>IFERROR(INDEX(样本到样信息汇总统计!B$2:B$500,MATCH(58,样本到样信息汇总统计!$X$2:$X$500,0)),"")</f>
        <v/>
      </c>
      <c r="C59" s="8" t="str">
        <f>IFERROR(INDEX(样本到样信息汇总统计!C$2:C$500,MATCH(58,样本到样信息汇总统计!$X$2:$X$500,0)),"")</f>
        <v/>
      </c>
      <c r="D59" s="8" t="str">
        <f>IFERROR(INDEX(样本到样信息汇总统计!D$2:D$500,MATCH(58,样本到样信息汇总统计!$X$2:$X$500,0)),"")</f>
        <v/>
      </c>
      <c r="E59" s="8" t="str">
        <f>IFERROR(INDEX(样本到样信息汇总统计!E$2:E$500,MATCH(58,样本到样信息汇总统计!$X$2:$X$500,0)),"")</f>
        <v/>
      </c>
      <c r="F59" s="8" t="str">
        <f>IFERROR(INDEX(样本到样信息汇总统计!F$2:F$500,MATCH(58,样本到样信息汇总统计!$X$2:$X$500,0)),"")</f>
        <v/>
      </c>
      <c r="G59" s="8" t="str">
        <f>IFERROR(INDEX(样本到样信息汇总统计!G$2:G$500,MATCH(58,样本到样信息汇总统计!$X$2:$X$500,0)),"")</f>
        <v/>
      </c>
      <c r="H59" s="8" t="str">
        <f>IFERROR(INDEX(样本到样信息汇总统计!H$2:H$500,MATCH(58,样本到样信息汇总统计!$X$2:$X$500,0)),"")</f>
        <v/>
      </c>
      <c r="I59" s="8" t="str">
        <f>IFERROR(INDEX(样本到样信息汇总统计!I$2:I$500,MATCH(58,样本到样信息汇总统计!$X$2:$X$500,0)),"")</f>
        <v/>
      </c>
      <c r="J59" s="8" t="str">
        <f>IFERROR(INDEX(样本到样信息汇总统计!J$2:J$500,MATCH(58,样本到样信息汇总统计!$X$2:$X$500,0)),"")</f>
        <v/>
      </c>
      <c r="K59" s="15" t="str">
        <f>IFERROR(INDEX(样本到样信息汇总统计!K$2:K$500,MATCH(58,样本到样信息汇总统计!$X$2:$X$500,0)),"")</f>
        <v/>
      </c>
      <c r="L59" s="8" t="str">
        <f>IFERROR(INDEX(样本到样信息汇总统计!L$2:L$500,MATCH(58,样本到样信息汇总统计!$X$2:$X$500,0)),"")</f>
        <v/>
      </c>
      <c r="M59" s="8" t="str">
        <f>IFERROR(INDEX(样本到样信息汇总统计!M$2:M$500,MATCH(58,样本到样信息汇总统计!$X$2:$X$500,0)),"")</f>
        <v/>
      </c>
      <c r="N59" s="8" t="str">
        <f>IFERROR(INDEX(样本到样信息汇总统计!N$2:N$500,MATCH(58,样本到样信息汇总统计!$X$2:$X$500,0)),"")</f>
        <v/>
      </c>
      <c r="O59" s="8" t="str">
        <f>IFERROR(INDEX(样本到样信息汇总统计!O$2:O$500,MATCH(58,样本到样信息汇总统计!$X$2:$X$500,0)),"")</f>
        <v/>
      </c>
      <c r="P59" s="8" t="str">
        <f>IFERROR(INDEX(样本到样信息汇总统计!P$2:P$500,MATCH(58,样本到样信息汇总统计!$X$2:$X$500,0)),"")</f>
        <v/>
      </c>
      <c r="Q59" s="8" t="str">
        <f>IFERROR(INDEX(样本到样信息汇总统计!Q$2:Q$500,MATCH(58,样本到样信息汇总统计!$X$2:$X$500,0)),"")</f>
        <v/>
      </c>
      <c r="R59" s="8" t="str">
        <f>IFERROR(INDEX(样本到样信息汇总统计!R$2:R$500,MATCH(58,样本到样信息汇总统计!$X$2:$X$500,0)),"")</f>
        <v/>
      </c>
      <c r="S59" s="8" t="str">
        <f>IFERROR(INDEX(样本到样信息汇总统计!S$2:S$500,MATCH(58,样本到样信息汇总统计!$X$2:$X$500,0)),"")</f>
        <v/>
      </c>
      <c r="T59" s="8" t="str">
        <f>IFERROR(INDEX(样本到样信息汇总统计!T$2:T$500,MATCH(58,样本到样信息汇总统计!$X$2:$X$500,0)),"")</f>
        <v/>
      </c>
      <c r="U59" s="8" t="str">
        <f>IFERROR(INDEX(样本到样信息汇总统计!U$2:U$500,MATCH(58,样本到样信息汇总统计!$X$2:$X$500,0)),"")</f>
        <v/>
      </c>
      <c r="V59" s="8" t="str">
        <f>IFERROR(INDEX(样本到样信息汇总统计!V$2:V$500,MATCH(58,样本到样信息汇总统计!$X$2:$X$500,0)),"")</f>
        <v/>
      </c>
      <c r="W59" s="8" t="str">
        <f>IFERROR(INDEX(样本到样信息汇总统计!W$2:W$500,MATCH(58,样本到样信息汇总统计!$X$2:$X$500,0)),"")</f>
        <v/>
      </c>
    </row>
    <row r="60" ht="14.5" spans="1:23">
      <c r="A60" s="4" t="str">
        <f>IFERROR(INDEX(样本到样信息汇总统计!A$2:A$500,MATCH(59,样本到样信息汇总统计!$X$2:$X$500,0)),"")</f>
        <v/>
      </c>
      <c r="B60" s="4" t="str">
        <f>IFERROR(INDEX(样本到样信息汇总统计!B$2:B$500,MATCH(59,样本到样信息汇总统计!$X$2:$X$500,0)),"")</f>
        <v/>
      </c>
      <c r="C60" s="4" t="str">
        <f>IFERROR(INDEX(样本到样信息汇总统计!C$2:C$500,MATCH(59,样本到样信息汇总统计!$X$2:$X$500,0)),"")</f>
        <v/>
      </c>
      <c r="D60" s="4" t="str">
        <f>IFERROR(INDEX(样本到样信息汇总统计!D$2:D$500,MATCH(59,样本到样信息汇总统计!$X$2:$X$500,0)),"")</f>
        <v/>
      </c>
      <c r="E60" s="4" t="str">
        <f>IFERROR(INDEX(样本到样信息汇总统计!E$2:E$500,MATCH(59,样本到样信息汇总统计!$X$2:$X$500,0)),"")</f>
        <v/>
      </c>
      <c r="F60" s="4" t="str">
        <f>IFERROR(INDEX(样本到样信息汇总统计!F$2:F$500,MATCH(59,样本到样信息汇总统计!$X$2:$X$500,0)),"")</f>
        <v/>
      </c>
      <c r="G60" s="4" t="str">
        <f>IFERROR(INDEX(样本到样信息汇总统计!G$2:G$500,MATCH(59,样本到样信息汇总统计!$X$2:$X$500,0)),"")</f>
        <v/>
      </c>
      <c r="H60" s="4" t="str">
        <f>IFERROR(INDEX(样本到样信息汇总统计!H$2:H$500,MATCH(59,样本到样信息汇总统计!$X$2:$X$500,0)),"")</f>
        <v/>
      </c>
      <c r="I60" s="4" t="str">
        <f>IFERROR(INDEX(样本到样信息汇总统计!I$2:I$500,MATCH(59,样本到样信息汇总统计!$X$2:$X$500,0)),"")</f>
        <v/>
      </c>
      <c r="J60" s="4" t="str">
        <f>IFERROR(INDEX(样本到样信息汇总统计!J$2:J$500,MATCH(59,样本到样信息汇总统计!$X$2:$X$500,0)),"")</f>
        <v/>
      </c>
      <c r="K60" s="14" t="str">
        <f>IFERROR(INDEX(样本到样信息汇总统计!K$2:K$500,MATCH(59,样本到样信息汇总统计!$X$2:$X$500,0)),"")</f>
        <v/>
      </c>
      <c r="L60" s="4" t="str">
        <f>IFERROR(INDEX(样本到样信息汇总统计!L$2:L$500,MATCH(59,样本到样信息汇总统计!$X$2:$X$500,0)),"")</f>
        <v/>
      </c>
      <c r="M60" s="4" t="str">
        <f>IFERROR(INDEX(样本到样信息汇总统计!M$2:M$500,MATCH(59,样本到样信息汇总统计!$X$2:$X$500,0)),"")</f>
        <v/>
      </c>
      <c r="N60" s="4" t="str">
        <f>IFERROR(INDEX(样本到样信息汇总统计!N$2:N$500,MATCH(59,样本到样信息汇总统计!$X$2:$X$500,0)),"")</f>
        <v/>
      </c>
      <c r="O60" s="4" t="str">
        <f>IFERROR(INDEX(样本到样信息汇总统计!O$2:O$500,MATCH(59,样本到样信息汇总统计!$X$2:$X$500,0)),"")</f>
        <v/>
      </c>
      <c r="P60" s="4" t="str">
        <f>IFERROR(INDEX(样本到样信息汇总统计!P$2:P$500,MATCH(59,样本到样信息汇总统计!$X$2:$X$500,0)),"")</f>
        <v/>
      </c>
      <c r="Q60" s="4" t="str">
        <f>IFERROR(INDEX(样本到样信息汇总统计!Q$2:Q$500,MATCH(59,样本到样信息汇总统计!$X$2:$X$500,0)),"")</f>
        <v/>
      </c>
      <c r="R60" s="4" t="str">
        <f>IFERROR(INDEX(样本到样信息汇总统计!R$2:R$500,MATCH(59,样本到样信息汇总统计!$X$2:$X$500,0)),"")</f>
        <v/>
      </c>
      <c r="S60" s="4" t="str">
        <f>IFERROR(INDEX(样本到样信息汇总统计!S$2:S$500,MATCH(59,样本到样信息汇总统计!$X$2:$X$500,0)),"")</f>
        <v/>
      </c>
      <c r="T60" s="4" t="str">
        <f>IFERROR(INDEX(样本到样信息汇总统计!T$2:T$500,MATCH(59,样本到样信息汇总统计!$X$2:$X$500,0)),"")</f>
        <v/>
      </c>
      <c r="U60" s="4" t="str">
        <f>IFERROR(INDEX(样本到样信息汇总统计!U$2:U$500,MATCH(59,样本到样信息汇总统计!$X$2:$X$500,0)),"")</f>
        <v/>
      </c>
      <c r="V60" s="4" t="str">
        <f>IFERROR(INDEX(样本到样信息汇总统计!V$2:V$500,MATCH(59,样本到样信息汇总统计!$X$2:$X$500,0)),"")</f>
        <v/>
      </c>
      <c r="W60" s="4" t="str">
        <f>IFERROR(INDEX(样本到样信息汇总统计!W$2:W$500,MATCH(59,样本到样信息汇总统计!$X$2:$X$500,0)),"")</f>
        <v/>
      </c>
    </row>
    <row r="61" ht="14.5" spans="1:23">
      <c r="A61" s="8" t="str">
        <f>IFERROR(INDEX(样本到样信息汇总统计!A$2:A$500,MATCH(60,样本到样信息汇总统计!$X$2:$X$500,0)),"")</f>
        <v/>
      </c>
      <c r="B61" s="8" t="str">
        <f>IFERROR(INDEX(样本到样信息汇总统计!B$2:B$500,MATCH(60,样本到样信息汇总统计!$X$2:$X$500,0)),"")</f>
        <v/>
      </c>
      <c r="C61" s="8" t="str">
        <f>IFERROR(INDEX(样本到样信息汇总统计!C$2:C$500,MATCH(60,样本到样信息汇总统计!$X$2:$X$500,0)),"")</f>
        <v/>
      </c>
      <c r="D61" s="8" t="str">
        <f>IFERROR(INDEX(样本到样信息汇总统计!D$2:D$500,MATCH(60,样本到样信息汇总统计!$X$2:$X$500,0)),"")</f>
        <v/>
      </c>
      <c r="E61" s="8" t="str">
        <f>IFERROR(INDEX(样本到样信息汇总统计!E$2:E$500,MATCH(60,样本到样信息汇总统计!$X$2:$X$500,0)),"")</f>
        <v/>
      </c>
      <c r="F61" s="8" t="str">
        <f>IFERROR(INDEX(样本到样信息汇总统计!F$2:F$500,MATCH(60,样本到样信息汇总统计!$X$2:$X$500,0)),"")</f>
        <v/>
      </c>
      <c r="G61" s="8" t="str">
        <f>IFERROR(INDEX(样本到样信息汇总统计!G$2:G$500,MATCH(60,样本到样信息汇总统计!$X$2:$X$500,0)),"")</f>
        <v/>
      </c>
      <c r="H61" s="8" t="str">
        <f>IFERROR(INDEX(样本到样信息汇总统计!H$2:H$500,MATCH(60,样本到样信息汇总统计!$X$2:$X$500,0)),"")</f>
        <v/>
      </c>
      <c r="I61" s="8" t="str">
        <f>IFERROR(INDEX(样本到样信息汇总统计!I$2:I$500,MATCH(60,样本到样信息汇总统计!$X$2:$X$500,0)),"")</f>
        <v/>
      </c>
      <c r="J61" s="8" t="str">
        <f>IFERROR(INDEX(样本到样信息汇总统计!J$2:J$500,MATCH(60,样本到样信息汇总统计!$X$2:$X$500,0)),"")</f>
        <v/>
      </c>
      <c r="K61" s="15" t="str">
        <f>IFERROR(INDEX(样本到样信息汇总统计!K$2:K$500,MATCH(60,样本到样信息汇总统计!$X$2:$X$500,0)),"")</f>
        <v/>
      </c>
      <c r="L61" s="8" t="str">
        <f>IFERROR(INDEX(样本到样信息汇总统计!L$2:L$500,MATCH(60,样本到样信息汇总统计!$X$2:$X$500,0)),"")</f>
        <v/>
      </c>
      <c r="M61" s="8" t="str">
        <f>IFERROR(INDEX(样本到样信息汇总统计!M$2:M$500,MATCH(60,样本到样信息汇总统计!$X$2:$X$500,0)),"")</f>
        <v/>
      </c>
      <c r="N61" s="8" t="str">
        <f>IFERROR(INDEX(样本到样信息汇总统计!N$2:N$500,MATCH(60,样本到样信息汇总统计!$X$2:$X$500,0)),"")</f>
        <v/>
      </c>
      <c r="O61" s="8" t="str">
        <f>IFERROR(INDEX(样本到样信息汇总统计!O$2:O$500,MATCH(60,样本到样信息汇总统计!$X$2:$X$500,0)),"")</f>
        <v/>
      </c>
      <c r="P61" s="8" t="str">
        <f>IFERROR(INDEX(样本到样信息汇总统计!P$2:P$500,MATCH(60,样本到样信息汇总统计!$X$2:$X$500,0)),"")</f>
        <v/>
      </c>
      <c r="Q61" s="8" t="str">
        <f>IFERROR(INDEX(样本到样信息汇总统计!Q$2:Q$500,MATCH(60,样本到样信息汇总统计!$X$2:$X$500,0)),"")</f>
        <v/>
      </c>
      <c r="R61" s="8" t="str">
        <f>IFERROR(INDEX(样本到样信息汇总统计!R$2:R$500,MATCH(60,样本到样信息汇总统计!$X$2:$X$500,0)),"")</f>
        <v/>
      </c>
      <c r="S61" s="8" t="str">
        <f>IFERROR(INDEX(样本到样信息汇总统计!S$2:S$500,MATCH(60,样本到样信息汇总统计!$X$2:$X$500,0)),"")</f>
        <v/>
      </c>
      <c r="T61" s="8" t="str">
        <f>IFERROR(INDEX(样本到样信息汇总统计!T$2:T$500,MATCH(60,样本到样信息汇总统计!$X$2:$X$500,0)),"")</f>
        <v/>
      </c>
      <c r="U61" s="8" t="str">
        <f>IFERROR(INDEX(样本到样信息汇总统计!U$2:U$500,MATCH(60,样本到样信息汇总统计!$X$2:$X$500,0)),"")</f>
        <v/>
      </c>
      <c r="V61" s="8" t="str">
        <f>IFERROR(INDEX(样本到样信息汇总统计!V$2:V$500,MATCH(60,样本到样信息汇总统计!$X$2:$X$500,0)),"")</f>
        <v/>
      </c>
      <c r="W61" s="8" t="str">
        <f>IFERROR(INDEX(样本到样信息汇总统计!W$2:W$500,MATCH(60,样本到样信息汇总统计!$X$2:$X$500,0)),"")</f>
        <v/>
      </c>
    </row>
    <row r="62" ht="14.5" spans="1:23">
      <c r="A62" s="4" t="str">
        <f>IFERROR(INDEX(样本到样信息汇总统计!A$2:A$500,MATCH(61,样本到样信息汇总统计!$X$2:$X$500,0)),"")</f>
        <v/>
      </c>
      <c r="B62" s="4" t="str">
        <f>IFERROR(INDEX(样本到样信息汇总统计!B$2:B$500,MATCH(61,样本到样信息汇总统计!$X$2:$X$500,0)),"")</f>
        <v/>
      </c>
      <c r="C62" s="4" t="str">
        <f>IFERROR(INDEX(样本到样信息汇总统计!C$2:C$500,MATCH(61,样本到样信息汇总统计!$X$2:$X$500,0)),"")</f>
        <v/>
      </c>
      <c r="D62" s="4" t="str">
        <f>IFERROR(INDEX(样本到样信息汇总统计!D$2:D$500,MATCH(61,样本到样信息汇总统计!$X$2:$X$500,0)),"")</f>
        <v/>
      </c>
      <c r="E62" s="4" t="str">
        <f>IFERROR(INDEX(样本到样信息汇总统计!E$2:E$500,MATCH(61,样本到样信息汇总统计!$X$2:$X$500,0)),"")</f>
        <v/>
      </c>
      <c r="F62" s="4" t="str">
        <f>IFERROR(INDEX(样本到样信息汇总统计!F$2:F$500,MATCH(61,样本到样信息汇总统计!$X$2:$X$500,0)),"")</f>
        <v/>
      </c>
      <c r="G62" s="4" t="str">
        <f>IFERROR(INDEX(样本到样信息汇总统计!G$2:G$500,MATCH(61,样本到样信息汇总统计!$X$2:$X$500,0)),"")</f>
        <v/>
      </c>
      <c r="H62" s="4" t="str">
        <f>IFERROR(INDEX(样本到样信息汇总统计!H$2:H$500,MATCH(61,样本到样信息汇总统计!$X$2:$X$500,0)),"")</f>
        <v/>
      </c>
      <c r="I62" s="4" t="str">
        <f>IFERROR(INDEX(样本到样信息汇总统计!I$2:I$500,MATCH(61,样本到样信息汇总统计!$X$2:$X$500,0)),"")</f>
        <v/>
      </c>
      <c r="J62" s="4" t="str">
        <f>IFERROR(INDEX(样本到样信息汇总统计!J$2:J$500,MATCH(61,样本到样信息汇总统计!$X$2:$X$500,0)),"")</f>
        <v/>
      </c>
      <c r="K62" s="14" t="str">
        <f>IFERROR(INDEX(样本到样信息汇总统计!K$2:K$500,MATCH(61,样本到样信息汇总统计!$X$2:$X$500,0)),"")</f>
        <v/>
      </c>
      <c r="L62" s="4" t="str">
        <f>IFERROR(INDEX(样本到样信息汇总统计!L$2:L$500,MATCH(61,样本到样信息汇总统计!$X$2:$X$500,0)),"")</f>
        <v/>
      </c>
      <c r="M62" s="4" t="str">
        <f>IFERROR(INDEX(样本到样信息汇总统计!M$2:M$500,MATCH(61,样本到样信息汇总统计!$X$2:$X$500,0)),"")</f>
        <v/>
      </c>
      <c r="N62" s="4" t="str">
        <f>IFERROR(INDEX(样本到样信息汇总统计!N$2:N$500,MATCH(61,样本到样信息汇总统计!$X$2:$X$500,0)),"")</f>
        <v/>
      </c>
      <c r="O62" s="4" t="str">
        <f>IFERROR(INDEX(样本到样信息汇总统计!O$2:O$500,MATCH(61,样本到样信息汇总统计!$X$2:$X$500,0)),"")</f>
        <v/>
      </c>
      <c r="P62" s="4" t="str">
        <f>IFERROR(INDEX(样本到样信息汇总统计!P$2:P$500,MATCH(61,样本到样信息汇总统计!$X$2:$X$500,0)),"")</f>
        <v/>
      </c>
      <c r="Q62" s="4" t="str">
        <f>IFERROR(INDEX(样本到样信息汇总统计!Q$2:Q$500,MATCH(61,样本到样信息汇总统计!$X$2:$X$500,0)),"")</f>
        <v/>
      </c>
      <c r="R62" s="4" t="str">
        <f>IFERROR(INDEX(样本到样信息汇总统计!R$2:R$500,MATCH(61,样本到样信息汇总统计!$X$2:$X$500,0)),"")</f>
        <v/>
      </c>
      <c r="S62" s="4" t="str">
        <f>IFERROR(INDEX(样本到样信息汇总统计!S$2:S$500,MATCH(61,样本到样信息汇总统计!$X$2:$X$500,0)),"")</f>
        <v/>
      </c>
      <c r="T62" s="4" t="str">
        <f>IFERROR(INDEX(样本到样信息汇总统计!T$2:T$500,MATCH(61,样本到样信息汇总统计!$X$2:$X$500,0)),"")</f>
        <v/>
      </c>
      <c r="U62" s="4" t="str">
        <f>IFERROR(INDEX(样本到样信息汇总统计!U$2:U$500,MATCH(61,样本到样信息汇总统计!$X$2:$X$500,0)),"")</f>
        <v/>
      </c>
      <c r="V62" s="4" t="str">
        <f>IFERROR(INDEX(样本到样信息汇总统计!V$2:V$500,MATCH(61,样本到样信息汇总统计!$X$2:$X$500,0)),"")</f>
        <v/>
      </c>
      <c r="W62" s="4" t="str">
        <f>IFERROR(INDEX(样本到样信息汇总统计!W$2:W$500,MATCH(61,样本到样信息汇总统计!$X$2:$X$500,0)),"")</f>
        <v/>
      </c>
    </row>
    <row r="63" ht="14.5" spans="1:23">
      <c r="A63" s="8" t="str">
        <f>IFERROR(INDEX(样本到样信息汇总统计!A$2:A$500,MATCH(62,样本到样信息汇总统计!$X$2:$X$500,0)),"")</f>
        <v/>
      </c>
      <c r="B63" s="8" t="str">
        <f>IFERROR(INDEX(样本到样信息汇总统计!B$2:B$500,MATCH(62,样本到样信息汇总统计!$X$2:$X$500,0)),"")</f>
        <v/>
      </c>
      <c r="C63" s="8" t="str">
        <f>IFERROR(INDEX(样本到样信息汇总统计!C$2:C$500,MATCH(62,样本到样信息汇总统计!$X$2:$X$500,0)),"")</f>
        <v/>
      </c>
      <c r="D63" s="8" t="str">
        <f>IFERROR(INDEX(样本到样信息汇总统计!D$2:D$500,MATCH(62,样本到样信息汇总统计!$X$2:$X$500,0)),"")</f>
        <v/>
      </c>
      <c r="E63" s="8" t="str">
        <f>IFERROR(INDEX(样本到样信息汇总统计!E$2:E$500,MATCH(62,样本到样信息汇总统计!$X$2:$X$500,0)),"")</f>
        <v/>
      </c>
      <c r="F63" s="8" t="str">
        <f>IFERROR(INDEX(样本到样信息汇总统计!F$2:F$500,MATCH(62,样本到样信息汇总统计!$X$2:$X$500,0)),"")</f>
        <v/>
      </c>
      <c r="G63" s="8" t="str">
        <f>IFERROR(INDEX(样本到样信息汇总统计!G$2:G$500,MATCH(62,样本到样信息汇总统计!$X$2:$X$500,0)),"")</f>
        <v/>
      </c>
      <c r="H63" s="8" t="str">
        <f>IFERROR(INDEX(样本到样信息汇总统计!H$2:H$500,MATCH(62,样本到样信息汇总统计!$X$2:$X$500,0)),"")</f>
        <v/>
      </c>
      <c r="I63" s="8" t="str">
        <f>IFERROR(INDEX(样本到样信息汇总统计!I$2:I$500,MATCH(62,样本到样信息汇总统计!$X$2:$X$500,0)),"")</f>
        <v/>
      </c>
      <c r="J63" s="8" t="str">
        <f>IFERROR(INDEX(样本到样信息汇总统计!J$2:J$500,MATCH(62,样本到样信息汇总统计!$X$2:$X$500,0)),"")</f>
        <v/>
      </c>
      <c r="K63" s="15" t="str">
        <f>IFERROR(INDEX(样本到样信息汇总统计!K$2:K$500,MATCH(62,样本到样信息汇总统计!$X$2:$X$500,0)),"")</f>
        <v/>
      </c>
      <c r="L63" s="8" t="str">
        <f>IFERROR(INDEX(样本到样信息汇总统计!L$2:L$500,MATCH(62,样本到样信息汇总统计!$X$2:$X$500,0)),"")</f>
        <v/>
      </c>
      <c r="M63" s="8" t="str">
        <f>IFERROR(INDEX(样本到样信息汇总统计!M$2:M$500,MATCH(62,样本到样信息汇总统计!$X$2:$X$500,0)),"")</f>
        <v/>
      </c>
      <c r="N63" s="8" t="str">
        <f>IFERROR(INDEX(样本到样信息汇总统计!N$2:N$500,MATCH(62,样本到样信息汇总统计!$X$2:$X$500,0)),"")</f>
        <v/>
      </c>
      <c r="O63" s="8" t="str">
        <f>IFERROR(INDEX(样本到样信息汇总统计!O$2:O$500,MATCH(62,样本到样信息汇总统计!$X$2:$X$500,0)),"")</f>
        <v/>
      </c>
      <c r="P63" s="8" t="str">
        <f>IFERROR(INDEX(样本到样信息汇总统计!P$2:P$500,MATCH(62,样本到样信息汇总统计!$X$2:$X$500,0)),"")</f>
        <v/>
      </c>
      <c r="Q63" s="8" t="str">
        <f>IFERROR(INDEX(样本到样信息汇总统计!Q$2:Q$500,MATCH(62,样本到样信息汇总统计!$X$2:$X$500,0)),"")</f>
        <v/>
      </c>
      <c r="R63" s="8" t="str">
        <f>IFERROR(INDEX(样本到样信息汇总统计!R$2:R$500,MATCH(62,样本到样信息汇总统计!$X$2:$X$500,0)),"")</f>
        <v/>
      </c>
      <c r="S63" s="8" t="str">
        <f>IFERROR(INDEX(样本到样信息汇总统计!S$2:S$500,MATCH(62,样本到样信息汇总统计!$X$2:$X$500,0)),"")</f>
        <v/>
      </c>
      <c r="T63" s="8" t="str">
        <f>IFERROR(INDEX(样本到样信息汇总统计!T$2:T$500,MATCH(62,样本到样信息汇总统计!$X$2:$X$500,0)),"")</f>
        <v/>
      </c>
      <c r="U63" s="8" t="str">
        <f>IFERROR(INDEX(样本到样信息汇总统计!U$2:U$500,MATCH(62,样本到样信息汇总统计!$X$2:$X$500,0)),"")</f>
        <v/>
      </c>
      <c r="V63" s="8" t="str">
        <f>IFERROR(INDEX(样本到样信息汇总统计!V$2:V$500,MATCH(62,样本到样信息汇总统计!$X$2:$X$500,0)),"")</f>
        <v/>
      </c>
      <c r="W63" s="8" t="str">
        <f>IFERROR(INDEX(样本到样信息汇总统计!W$2:W$500,MATCH(62,样本到样信息汇总统计!$X$2:$X$500,0)),"")</f>
        <v/>
      </c>
    </row>
    <row r="64" ht="14.5" spans="1:23">
      <c r="A64" s="4" t="str">
        <f>IFERROR(INDEX(样本到样信息汇总统计!A$2:A$500,MATCH(63,样本到样信息汇总统计!$X$2:$X$500,0)),"")</f>
        <v/>
      </c>
      <c r="B64" s="4" t="str">
        <f>IFERROR(INDEX(样本到样信息汇总统计!B$2:B$500,MATCH(63,样本到样信息汇总统计!$X$2:$X$500,0)),"")</f>
        <v/>
      </c>
      <c r="C64" s="4" t="str">
        <f>IFERROR(INDEX(样本到样信息汇总统计!C$2:C$500,MATCH(63,样本到样信息汇总统计!$X$2:$X$500,0)),"")</f>
        <v/>
      </c>
      <c r="D64" s="4" t="str">
        <f>IFERROR(INDEX(样本到样信息汇总统计!D$2:D$500,MATCH(63,样本到样信息汇总统计!$X$2:$X$500,0)),"")</f>
        <v/>
      </c>
      <c r="E64" s="4" t="str">
        <f>IFERROR(INDEX(样本到样信息汇总统计!E$2:E$500,MATCH(63,样本到样信息汇总统计!$X$2:$X$500,0)),"")</f>
        <v/>
      </c>
      <c r="F64" s="4" t="str">
        <f>IFERROR(INDEX(样本到样信息汇总统计!F$2:F$500,MATCH(63,样本到样信息汇总统计!$X$2:$X$500,0)),"")</f>
        <v/>
      </c>
      <c r="G64" s="4" t="str">
        <f>IFERROR(INDEX(样本到样信息汇总统计!G$2:G$500,MATCH(63,样本到样信息汇总统计!$X$2:$X$500,0)),"")</f>
        <v/>
      </c>
      <c r="H64" s="4" t="str">
        <f>IFERROR(INDEX(样本到样信息汇总统计!H$2:H$500,MATCH(63,样本到样信息汇总统计!$X$2:$X$500,0)),"")</f>
        <v/>
      </c>
      <c r="I64" s="4" t="str">
        <f>IFERROR(INDEX(样本到样信息汇总统计!I$2:I$500,MATCH(63,样本到样信息汇总统计!$X$2:$X$500,0)),"")</f>
        <v/>
      </c>
      <c r="J64" s="4" t="str">
        <f>IFERROR(INDEX(样本到样信息汇总统计!J$2:J$500,MATCH(63,样本到样信息汇总统计!$X$2:$X$500,0)),"")</f>
        <v/>
      </c>
      <c r="K64" s="14" t="str">
        <f>IFERROR(INDEX(样本到样信息汇总统计!K$2:K$500,MATCH(63,样本到样信息汇总统计!$X$2:$X$500,0)),"")</f>
        <v/>
      </c>
      <c r="L64" s="4" t="str">
        <f>IFERROR(INDEX(样本到样信息汇总统计!L$2:L$500,MATCH(63,样本到样信息汇总统计!$X$2:$X$500,0)),"")</f>
        <v/>
      </c>
      <c r="M64" s="4" t="str">
        <f>IFERROR(INDEX(样本到样信息汇总统计!M$2:M$500,MATCH(63,样本到样信息汇总统计!$X$2:$X$500,0)),"")</f>
        <v/>
      </c>
      <c r="N64" s="4" t="str">
        <f>IFERROR(INDEX(样本到样信息汇总统计!N$2:N$500,MATCH(63,样本到样信息汇总统计!$X$2:$X$500,0)),"")</f>
        <v/>
      </c>
      <c r="O64" s="4" t="str">
        <f>IFERROR(INDEX(样本到样信息汇总统计!O$2:O$500,MATCH(63,样本到样信息汇总统计!$X$2:$X$500,0)),"")</f>
        <v/>
      </c>
      <c r="P64" s="4" t="str">
        <f>IFERROR(INDEX(样本到样信息汇总统计!P$2:P$500,MATCH(63,样本到样信息汇总统计!$X$2:$X$500,0)),"")</f>
        <v/>
      </c>
      <c r="Q64" s="4" t="str">
        <f>IFERROR(INDEX(样本到样信息汇总统计!Q$2:Q$500,MATCH(63,样本到样信息汇总统计!$X$2:$X$500,0)),"")</f>
        <v/>
      </c>
      <c r="R64" s="4" t="str">
        <f>IFERROR(INDEX(样本到样信息汇总统计!R$2:R$500,MATCH(63,样本到样信息汇总统计!$X$2:$X$500,0)),"")</f>
        <v/>
      </c>
      <c r="S64" s="4" t="str">
        <f>IFERROR(INDEX(样本到样信息汇总统计!S$2:S$500,MATCH(63,样本到样信息汇总统计!$X$2:$X$500,0)),"")</f>
        <v/>
      </c>
      <c r="T64" s="4" t="str">
        <f>IFERROR(INDEX(样本到样信息汇总统计!T$2:T$500,MATCH(63,样本到样信息汇总统计!$X$2:$X$500,0)),"")</f>
        <v/>
      </c>
      <c r="U64" s="4" t="str">
        <f>IFERROR(INDEX(样本到样信息汇总统计!U$2:U$500,MATCH(63,样本到样信息汇总统计!$X$2:$X$500,0)),"")</f>
        <v/>
      </c>
      <c r="V64" s="4" t="str">
        <f>IFERROR(INDEX(样本到样信息汇总统计!V$2:V$500,MATCH(63,样本到样信息汇总统计!$X$2:$X$500,0)),"")</f>
        <v/>
      </c>
      <c r="W64" s="4" t="str">
        <f>IFERROR(INDEX(样本到样信息汇总统计!W$2:W$500,MATCH(63,样本到样信息汇总统计!$X$2:$X$500,0)),"")</f>
        <v/>
      </c>
    </row>
    <row r="65" ht="14.5" spans="1:23">
      <c r="A65" s="8" t="str">
        <f>IFERROR(INDEX(样本到样信息汇总统计!A$2:A$500,MATCH(64,样本到样信息汇总统计!$X$2:$X$500,0)),"")</f>
        <v/>
      </c>
      <c r="B65" s="8" t="str">
        <f>IFERROR(INDEX(样本到样信息汇总统计!B$2:B$500,MATCH(64,样本到样信息汇总统计!$X$2:$X$500,0)),"")</f>
        <v/>
      </c>
      <c r="C65" s="8" t="str">
        <f>IFERROR(INDEX(样本到样信息汇总统计!C$2:C$500,MATCH(64,样本到样信息汇总统计!$X$2:$X$500,0)),"")</f>
        <v/>
      </c>
      <c r="D65" s="8" t="str">
        <f>IFERROR(INDEX(样本到样信息汇总统计!D$2:D$500,MATCH(64,样本到样信息汇总统计!$X$2:$X$500,0)),"")</f>
        <v/>
      </c>
      <c r="E65" s="8" t="str">
        <f>IFERROR(INDEX(样本到样信息汇总统计!E$2:E$500,MATCH(64,样本到样信息汇总统计!$X$2:$X$500,0)),"")</f>
        <v/>
      </c>
      <c r="F65" s="8" t="str">
        <f>IFERROR(INDEX(样本到样信息汇总统计!F$2:F$500,MATCH(64,样本到样信息汇总统计!$X$2:$X$500,0)),"")</f>
        <v/>
      </c>
      <c r="G65" s="8" t="str">
        <f>IFERROR(INDEX(样本到样信息汇总统计!G$2:G$500,MATCH(64,样本到样信息汇总统计!$X$2:$X$500,0)),"")</f>
        <v/>
      </c>
      <c r="H65" s="8" t="str">
        <f>IFERROR(INDEX(样本到样信息汇总统计!H$2:H$500,MATCH(64,样本到样信息汇总统计!$X$2:$X$500,0)),"")</f>
        <v/>
      </c>
      <c r="I65" s="8" t="str">
        <f>IFERROR(INDEX(样本到样信息汇总统计!I$2:I$500,MATCH(64,样本到样信息汇总统计!$X$2:$X$500,0)),"")</f>
        <v/>
      </c>
      <c r="J65" s="8" t="str">
        <f>IFERROR(INDEX(样本到样信息汇总统计!J$2:J$500,MATCH(64,样本到样信息汇总统计!$X$2:$X$500,0)),"")</f>
        <v/>
      </c>
      <c r="K65" s="15" t="str">
        <f>IFERROR(INDEX(样本到样信息汇总统计!K$2:K$500,MATCH(64,样本到样信息汇总统计!$X$2:$X$500,0)),"")</f>
        <v/>
      </c>
      <c r="L65" s="8" t="str">
        <f>IFERROR(INDEX(样本到样信息汇总统计!L$2:L$500,MATCH(64,样本到样信息汇总统计!$X$2:$X$500,0)),"")</f>
        <v/>
      </c>
      <c r="M65" s="8" t="str">
        <f>IFERROR(INDEX(样本到样信息汇总统计!M$2:M$500,MATCH(64,样本到样信息汇总统计!$X$2:$X$500,0)),"")</f>
        <v/>
      </c>
      <c r="N65" s="8" t="str">
        <f>IFERROR(INDEX(样本到样信息汇总统计!N$2:N$500,MATCH(64,样本到样信息汇总统计!$X$2:$X$500,0)),"")</f>
        <v/>
      </c>
      <c r="O65" s="8" t="str">
        <f>IFERROR(INDEX(样本到样信息汇总统计!O$2:O$500,MATCH(64,样本到样信息汇总统计!$X$2:$X$500,0)),"")</f>
        <v/>
      </c>
      <c r="P65" s="8" t="str">
        <f>IFERROR(INDEX(样本到样信息汇总统计!P$2:P$500,MATCH(64,样本到样信息汇总统计!$X$2:$X$500,0)),"")</f>
        <v/>
      </c>
      <c r="Q65" s="8" t="str">
        <f>IFERROR(INDEX(样本到样信息汇总统计!Q$2:Q$500,MATCH(64,样本到样信息汇总统计!$X$2:$X$500,0)),"")</f>
        <v/>
      </c>
      <c r="R65" s="8" t="str">
        <f>IFERROR(INDEX(样本到样信息汇总统计!R$2:R$500,MATCH(64,样本到样信息汇总统计!$X$2:$X$500,0)),"")</f>
        <v/>
      </c>
      <c r="S65" s="8" t="str">
        <f>IFERROR(INDEX(样本到样信息汇总统计!S$2:S$500,MATCH(64,样本到样信息汇总统计!$X$2:$X$500,0)),"")</f>
        <v/>
      </c>
      <c r="T65" s="8" t="str">
        <f>IFERROR(INDEX(样本到样信息汇总统计!T$2:T$500,MATCH(64,样本到样信息汇总统计!$X$2:$X$500,0)),"")</f>
        <v/>
      </c>
      <c r="U65" s="8" t="str">
        <f>IFERROR(INDEX(样本到样信息汇总统计!U$2:U$500,MATCH(64,样本到样信息汇总统计!$X$2:$X$500,0)),"")</f>
        <v/>
      </c>
      <c r="V65" s="8" t="str">
        <f>IFERROR(INDEX(样本到样信息汇总统计!V$2:V$500,MATCH(64,样本到样信息汇总统计!$X$2:$X$500,0)),"")</f>
        <v/>
      </c>
      <c r="W65" s="8" t="str">
        <f>IFERROR(INDEX(样本到样信息汇总统计!W$2:W$500,MATCH(64,样本到样信息汇总统计!$X$2:$X$500,0)),"")</f>
        <v/>
      </c>
    </row>
    <row r="66" ht="14.5" spans="1:23">
      <c r="A66" s="4" t="str">
        <f>IFERROR(INDEX(样本到样信息汇总统计!A$2:A$500,MATCH(65,样本到样信息汇总统计!$X$2:$X$500,0)),"")</f>
        <v/>
      </c>
      <c r="B66" s="4" t="str">
        <f>IFERROR(INDEX(样本到样信息汇总统计!B$2:B$500,MATCH(65,样本到样信息汇总统计!$X$2:$X$500,0)),"")</f>
        <v/>
      </c>
      <c r="C66" s="4" t="str">
        <f>IFERROR(INDEX(样本到样信息汇总统计!C$2:C$500,MATCH(65,样本到样信息汇总统计!$X$2:$X$500,0)),"")</f>
        <v/>
      </c>
      <c r="D66" s="4" t="str">
        <f>IFERROR(INDEX(样本到样信息汇总统计!D$2:D$500,MATCH(65,样本到样信息汇总统计!$X$2:$X$500,0)),"")</f>
        <v/>
      </c>
      <c r="E66" s="4" t="str">
        <f>IFERROR(INDEX(样本到样信息汇总统计!E$2:E$500,MATCH(65,样本到样信息汇总统计!$X$2:$X$500,0)),"")</f>
        <v/>
      </c>
      <c r="F66" s="4" t="str">
        <f>IFERROR(INDEX(样本到样信息汇总统计!F$2:F$500,MATCH(65,样本到样信息汇总统计!$X$2:$X$500,0)),"")</f>
        <v/>
      </c>
      <c r="G66" s="4" t="str">
        <f>IFERROR(INDEX(样本到样信息汇总统计!G$2:G$500,MATCH(65,样本到样信息汇总统计!$X$2:$X$500,0)),"")</f>
        <v/>
      </c>
      <c r="H66" s="4" t="str">
        <f>IFERROR(INDEX(样本到样信息汇总统计!H$2:H$500,MATCH(65,样本到样信息汇总统计!$X$2:$X$500,0)),"")</f>
        <v/>
      </c>
      <c r="I66" s="4" t="str">
        <f>IFERROR(INDEX(样本到样信息汇总统计!I$2:I$500,MATCH(65,样本到样信息汇总统计!$X$2:$X$500,0)),"")</f>
        <v/>
      </c>
      <c r="J66" s="4" t="str">
        <f>IFERROR(INDEX(样本到样信息汇总统计!J$2:J$500,MATCH(65,样本到样信息汇总统计!$X$2:$X$500,0)),"")</f>
        <v/>
      </c>
      <c r="K66" s="14" t="str">
        <f>IFERROR(INDEX(样本到样信息汇总统计!K$2:K$500,MATCH(65,样本到样信息汇总统计!$X$2:$X$500,0)),"")</f>
        <v/>
      </c>
      <c r="L66" s="4" t="str">
        <f>IFERROR(INDEX(样本到样信息汇总统计!L$2:L$500,MATCH(65,样本到样信息汇总统计!$X$2:$X$500,0)),"")</f>
        <v/>
      </c>
      <c r="M66" s="4" t="str">
        <f>IFERROR(INDEX(样本到样信息汇总统计!M$2:M$500,MATCH(65,样本到样信息汇总统计!$X$2:$X$500,0)),"")</f>
        <v/>
      </c>
      <c r="N66" s="4" t="str">
        <f>IFERROR(INDEX(样本到样信息汇总统计!N$2:N$500,MATCH(65,样本到样信息汇总统计!$X$2:$X$500,0)),"")</f>
        <v/>
      </c>
      <c r="O66" s="4" t="str">
        <f>IFERROR(INDEX(样本到样信息汇总统计!O$2:O$500,MATCH(65,样本到样信息汇总统计!$X$2:$X$500,0)),"")</f>
        <v/>
      </c>
      <c r="P66" s="4" t="str">
        <f>IFERROR(INDEX(样本到样信息汇总统计!P$2:P$500,MATCH(65,样本到样信息汇总统计!$X$2:$X$500,0)),"")</f>
        <v/>
      </c>
      <c r="Q66" s="4" t="str">
        <f>IFERROR(INDEX(样本到样信息汇总统计!Q$2:Q$500,MATCH(65,样本到样信息汇总统计!$X$2:$X$500,0)),"")</f>
        <v/>
      </c>
      <c r="R66" s="4" t="str">
        <f>IFERROR(INDEX(样本到样信息汇总统计!R$2:R$500,MATCH(65,样本到样信息汇总统计!$X$2:$X$500,0)),"")</f>
        <v/>
      </c>
      <c r="S66" s="4" t="str">
        <f>IFERROR(INDEX(样本到样信息汇总统计!S$2:S$500,MATCH(65,样本到样信息汇总统计!$X$2:$X$500,0)),"")</f>
        <v/>
      </c>
      <c r="T66" s="4" t="str">
        <f>IFERROR(INDEX(样本到样信息汇总统计!T$2:T$500,MATCH(65,样本到样信息汇总统计!$X$2:$X$500,0)),"")</f>
        <v/>
      </c>
      <c r="U66" s="4" t="str">
        <f>IFERROR(INDEX(样本到样信息汇总统计!U$2:U$500,MATCH(65,样本到样信息汇总统计!$X$2:$X$500,0)),"")</f>
        <v/>
      </c>
      <c r="V66" s="4" t="str">
        <f>IFERROR(INDEX(样本到样信息汇总统计!V$2:V$500,MATCH(65,样本到样信息汇总统计!$X$2:$X$500,0)),"")</f>
        <v/>
      </c>
      <c r="W66" s="4" t="str">
        <f>IFERROR(INDEX(样本到样信息汇总统计!W$2:W$500,MATCH(65,样本到样信息汇总统计!$X$2:$X$500,0)),"")</f>
        <v/>
      </c>
    </row>
    <row r="67" ht="14.5" spans="1:23">
      <c r="A67" s="8" t="str">
        <f>IFERROR(INDEX(样本到样信息汇总统计!A$2:A$500,MATCH(66,样本到样信息汇总统计!$X$2:$X$500,0)),"")</f>
        <v/>
      </c>
      <c r="B67" s="8" t="str">
        <f>IFERROR(INDEX(样本到样信息汇总统计!B$2:B$500,MATCH(66,样本到样信息汇总统计!$X$2:$X$500,0)),"")</f>
        <v/>
      </c>
      <c r="C67" s="8" t="str">
        <f>IFERROR(INDEX(样本到样信息汇总统计!C$2:C$500,MATCH(66,样本到样信息汇总统计!$X$2:$X$500,0)),"")</f>
        <v/>
      </c>
      <c r="D67" s="8" t="str">
        <f>IFERROR(INDEX(样本到样信息汇总统计!D$2:D$500,MATCH(66,样本到样信息汇总统计!$X$2:$X$500,0)),"")</f>
        <v/>
      </c>
      <c r="E67" s="8" t="str">
        <f>IFERROR(INDEX(样本到样信息汇总统计!E$2:E$500,MATCH(66,样本到样信息汇总统计!$X$2:$X$500,0)),"")</f>
        <v/>
      </c>
      <c r="F67" s="8" t="str">
        <f>IFERROR(INDEX(样本到样信息汇总统计!F$2:F$500,MATCH(66,样本到样信息汇总统计!$X$2:$X$500,0)),"")</f>
        <v/>
      </c>
      <c r="G67" s="8" t="str">
        <f>IFERROR(INDEX(样本到样信息汇总统计!G$2:G$500,MATCH(66,样本到样信息汇总统计!$X$2:$X$500,0)),"")</f>
        <v/>
      </c>
      <c r="H67" s="8" t="str">
        <f>IFERROR(INDEX(样本到样信息汇总统计!H$2:H$500,MATCH(66,样本到样信息汇总统计!$X$2:$X$500,0)),"")</f>
        <v/>
      </c>
      <c r="I67" s="8" t="str">
        <f>IFERROR(INDEX(样本到样信息汇总统计!I$2:I$500,MATCH(66,样本到样信息汇总统计!$X$2:$X$500,0)),"")</f>
        <v/>
      </c>
      <c r="J67" s="8" t="str">
        <f>IFERROR(INDEX(样本到样信息汇总统计!J$2:J$500,MATCH(66,样本到样信息汇总统计!$X$2:$X$500,0)),"")</f>
        <v/>
      </c>
      <c r="K67" s="15" t="str">
        <f>IFERROR(INDEX(样本到样信息汇总统计!K$2:K$500,MATCH(66,样本到样信息汇总统计!$X$2:$X$500,0)),"")</f>
        <v/>
      </c>
      <c r="L67" s="8" t="str">
        <f>IFERROR(INDEX(样本到样信息汇总统计!L$2:L$500,MATCH(66,样本到样信息汇总统计!$X$2:$X$500,0)),"")</f>
        <v/>
      </c>
      <c r="M67" s="8" t="str">
        <f>IFERROR(INDEX(样本到样信息汇总统计!M$2:M$500,MATCH(66,样本到样信息汇总统计!$X$2:$X$500,0)),"")</f>
        <v/>
      </c>
      <c r="N67" s="8" t="str">
        <f>IFERROR(INDEX(样本到样信息汇总统计!N$2:N$500,MATCH(66,样本到样信息汇总统计!$X$2:$X$500,0)),"")</f>
        <v/>
      </c>
      <c r="O67" s="8" t="str">
        <f>IFERROR(INDEX(样本到样信息汇总统计!O$2:O$500,MATCH(66,样本到样信息汇总统计!$X$2:$X$500,0)),"")</f>
        <v/>
      </c>
      <c r="P67" s="8" t="str">
        <f>IFERROR(INDEX(样本到样信息汇总统计!P$2:P$500,MATCH(66,样本到样信息汇总统计!$X$2:$X$500,0)),"")</f>
        <v/>
      </c>
      <c r="Q67" s="8" t="str">
        <f>IFERROR(INDEX(样本到样信息汇总统计!Q$2:Q$500,MATCH(66,样本到样信息汇总统计!$X$2:$X$500,0)),"")</f>
        <v/>
      </c>
      <c r="R67" s="8" t="str">
        <f>IFERROR(INDEX(样本到样信息汇总统计!R$2:R$500,MATCH(66,样本到样信息汇总统计!$X$2:$X$500,0)),"")</f>
        <v/>
      </c>
      <c r="S67" s="8" t="str">
        <f>IFERROR(INDEX(样本到样信息汇总统计!S$2:S$500,MATCH(66,样本到样信息汇总统计!$X$2:$X$500,0)),"")</f>
        <v/>
      </c>
      <c r="T67" s="8" t="str">
        <f>IFERROR(INDEX(样本到样信息汇总统计!T$2:T$500,MATCH(66,样本到样信息汇总统计!$X$2:$X$500,0)),"")</f>
        <v/>
      </c>
      <c r="U67" s="8" t="str">
        <f>IFERROR(INDEX(样本到样信息汇总统计!U$2:U$500,MATCH(66,样本到样信息汇总统计!$X$2:$X$500,0)),"")</f>
        <v/>
      </c>
      <c r="V67" s="8" t="str">
        <f>IFERROR(INDEX(样本到样信息汇总统计!V$2:V$500,MATCH(66,样本到样信息汇总统计!$X$2:$X$500,0)),"")</f>
        <v/>
      </c>
      <c r="W67" s="8" t="str">
        <f>IFERROR(INDEX(样本到样信息汇总统计!W$2:W$500,MATCH(66,样本到样信息汇总统计!$X$2:$X$500,0)),"")</f>
        <v/>
      </c>
    </row>
    <row r="68" ht="14.5" spans="1:23">
      <c r="A68" s="4" t="str">
        <f>IFERROR(INDEX(样本到样信息汇总统计!A$2:A$500,MATCH(67,样本到样信息汇总统计!$X$2:$X$500,0)),"")</f>
        <v/>
      </c>
      <c r="B68" s="4" t="str">
        <f>IFERROR(INDEX(样本到样信息汇总统计!B$2:B$500,MATCH(67,样本到样信息汇总统计!$X$2:$X$500,0)),"")</f>
        <v/>
      </c>
      <c r="C68" s="4" t="str">
        <f>IFERROR(INDEX(样本到样信息汇总统计!C$2:C$500,MATCH(67,样本到样信息汇总统计!$X$2:$X$500,0)),"")</f>
        <v/>
      </c>
      <c r="D68" s="4" t="str">
        <f>IFERROR(INDEX(样本到样信息汇总统计!D$2:D$500,MATCH(67,样本到样信息汇总统计!$X$2:$X$500,0)),"")</f>
        <v/>
      </c>
      <c r="E68" s="4" t="str">
        <f>IFERROR(INDEX(样本到样信息汇总统计!E$2:E$500,MATCH(67,样本到样信息汇总统计!$X$2:$X$500,0)),"")</f>
        <v/>
      </c>
      <c r="F68" s="4" t="str">
        <f>IFERROR(INDEX(样本到样信息汇总统计!F$2:F$500,MATCH(67,样本到样信息汇总统计!$X$2:$X$500,0)),"")</f>
        <v/>
      </c>
      <c r="G68" s="4" t="str">
        <f>IFERROR(INDEX(样本到样信息汇总统计!G$2:G$500,MATCH(67,样本到样信息汇总统计!$X$2:$X$500,0)),"")</f>
        <v/>
      </c>
      <c r="H68" s="4" t="str">
        <f>IFERROR(INDEX(样本到样信息汇总统计!H$2:H$500,MATCH(67,样本到样信息汇总统计!$X$2:$X$500,0)),"")</f>
        <v/>
      </c>
      <c r="I68" s="4" t="str">
        <f>IFERROR(INDEX(样本到样信息汇总统计!I$2:I$500,MATCH(67,样本到样信息汇总统计!$X$2:$X$500,0)),"")</f>
        <v/>
      </c>
      <c r="J68" s="4" t="str">
        <f>IFERROR(INDEX(样本到样信息汇总统计!J$2:J$500,MATCH(67,样本到样信息汇总统计!$X$2:$X$500,0)),"")</f>
        <v/>
      </c>
      <c r="K68" s="14" t="str">
        <f>IFERROR(INDEX(样本到样信息汇总统计!K$2:K$500,MATCH(67,样本到样信息汇总统计!$X$2:$X$500,0)),"")</f>
        <v/>
      </c>
      <c r="L68" s="4" t="str">
        <f>IFERROR(INDEX(样本到样信息汇总统计!L$2:L$500,MATCH(67,样本到样信息汇总统计!$X$2:$X$500,0)),"")</f>
        <v/>
      </c>
      <c r="M68" s="4" t="str">
        <f>IFERROR(INDEX(样本到样信息汇总统计!M$2:M$500,MATCH(67,样本到样信息汇总统计!$X$2:$X$500,0)),"")</f>
        <v/>
      </c>
      <c r="N68" s="4" t="str">
        <f>IFERROR(INDEX(样本到样信息汇总统计!N$2:N$500,MATCH(67,样本到样信息汇总统计!$X$2:$X$500,0)),"")</f>
        <v/>
      </c>
      <c r="O68" s="4" t="str">
        <f>IFERROR(INDEX(样本到样信息汇总统计!O$2:O$500,MATCH(67,样本到样信息汇总统计!$X$2:$X$500,0)),"")</f>
        <v/>
      </c>
      <c r="P68" s="4" t="str">
        <f>IFERROR(INDEX(样本到样信息汇总统计!P$2:P$500,MATCH(67,样本到样信息汇总统计!$X$2:$X$500,0)),"")</f>
        <v/>
      </c>
      <c r="Q68" s="4" t="str">
        <f>IFERROR(INDEX(样本到样信息汇总统计!Q$2:Q$500,MATCH(67,样本到样信息汇总统计!$X$2:$X$500,0)),"")</f>
        <v/>
      </c>
      <c r="R68" s="4" t="str">
        <f>IFERROR(INDEX(样本到样信息汇总统计!R$2:R$500,MATCH(67,样本到样信息汇总统计!$X$2:$X$500,0)),"")</f>
        <v/>
      </c>
      <c r="S68" s="4" t="str">
        <f>IFERROR(INDEX(样本到样信息汇总统计!S$2:S$500,MATCH(67,样本到样信息汇总统计!$X$2:$X$500,0)),"")</f>
        <v/>
      </c>
      <c r="T68" s="4" t="str">
        <f>IFERROR(INDEX(样本到样信息汇总统计!T$2:T$500,MATCH(67,样本到样信息汇总统计!$X$2:$X$500,0)),"")</f>
        <v/>
      </c>
      <c r="U68" s="4" t="str">
        <f>IFERROR(INDEX(样本到样信息汇总统计!U$2:U$500,MATCH(67,样本到样信息汇总统计!$X$2:$X$500,0)),"")</f>
        <v/>
      </c>
      <c r="V68" s="4" t="str">
        <f>IFERROR(INDEX(样本到样信息汇总统计!V$2:V$500,MATCH(67,样本到样信息汇总统计!$X$2:$X$500,0)),"")</f>
        <v/>
      </c>
      <c r="W68" s="4" t="str">
        <f>IFERROR(INDEX(样本到样信息汇总统计!W$2:W$500,MATCH(67,样本到样信息汇总统计!$X$2:$X$500,0)),"")</f>
        <v/>
      </c>
    </row>
    <row r="69" ht="14.5" spans="1:23">
      <c r="A69" s="8" t="str">
        <f>IFERROR(INDEX(样本到样信息汇总统计!A$2:A$500,MATCH(68,样本到样信息汇总统计!$X$2:$X$500,0)),"")</f>
        <v/>
      </c>
      <c r="B69" s="8" t="str">
        <f>IFERROR(INDEX(样本到样信息汇总统计!B$2:B$500,MATCH(68,样本到样信息汇总统计!$X$2:$X$500,0)),"")</f>
        <v/>
      </c>
      <c r="C69" s="8" t="str">
        <f>IFERROR(INDEX(样本到样信息汇总统计!C$2:C$500,MATCH(68,样本到样信息汇总统计!$X$2:$X$500,0)),"")</f>
        <v/>
      </c>
      <c r="D69" s="8" t="str">
        <f>IFERROR(INDEX(样本到样信息汇总统计!D$2:D$500,MATCH(68,样本到样信息汇总统计!$X$2:$X$500,0)),"")</f>
        <v/>
      </c>
      <c r="E69" s="8" t="str">
        <f>IFERROR(INDEX(样本到样信息汇总统计!E$2:E$500,MATCH(68,样本到样信息汇总统计!$X$2:$X$500,0)),"")</f>
        <v/>
      </c>
      <c r="F69" s="8" t="str">
        <f>IFERROR(INDEX(样本到样信息汇总统计!F$2:F$500,MATCH(68,样本到样信息汇总统计!$X$2:$X$500,0)),"")</f>
        <v/>
      </c>
      <c r="G69" s="8" t="str">
        <f>IFERROR(INDEX(样本到样信息汇总统计!G$2:G$500,MATCH(68,样本到样信息汇总统计!$X$2:$X$500,0)),"")</f>
        <v/>
      </c>
      <c r="H69" s="8" t="str">
        <f>IFERROR(INDEX(样本到样信息汇总统计!H$2:H$500,MATCH(68,样本到样信息汇总统计!$X$2:$X$500,0)),"")</f>
        <v/>
      </c>
      <c r="I69" s="8" t="str">
        <f>IFERROR(INDEX(样本到样信息汇总统计!I$2:I$500,MATCH(68,样本到样信息汇总统计!$X$2:$X$500,0)),"")</f>
        <v/>
      </c>
      <c r="J69" s="8" t="str">
        <f>IFERROR(INDEX(样本到样信息汇总统计!J$2:J$500,MATCH(68,样本到样信息汇总统计!$X$2:$X$500,0)),"")</f>
        <v/>
      </c>
      <c r="K69" s="15" t="str">
        <f>IFERROR(INDEX(样本到样信息汇总统计!K$2:K$500,MATCH(68,样本到样信息汇总统计!$X$2:$X$500,0)),"")</f>
        <v/>
      </c>
      <c r="L69" s="8" t="str">
        <f>IFERROR(INDEX(样本到样信息汇总统计!L$2:L$500,MATCH(68,样本到样信息汇总统计!$X$2:$X$500,0)),"")</f>
        <v/>
      </c>
      <c r="M69" s="8" t="str">
        <f>IFERROR(INDEX(样本到样信息汇总统计!M$2:M$500,MATCH(68,样本到样信息汇总统计!$X$2:$X$500,0)),"")</f>
        <v/>
      </c>
      <c r="N69" s="8" t="str">
        <f>IFERROR(INDEX(样本到样信息汇总统计!N$2:N$500,MATCH(68,样本到样信息汇总统计!$X$2:$X$500,0)),"")</f>
        <v/>
      </c>
      <c r="O69" s="8" t="str">
        <f>IFERROR(INDEX(样本到样信息汇总统计!O$2:O$500,MATCH(68,样本到样信息汇总统计!$X$2:$X$500,0)),"")</f>
        <v/>
      </c>
      <c r="P69" s="8" t="str">
        <f>IFERROR(INDEX(样本到样信息汇总统计!P$2:P$500,MATCH(68,样本到样信息汇总统计!$X$2:$X$500,0)),"")</f>
        <v/>
      </c>
      <c r="Q69" s="8" t="str">
        <f>IFERROR(INDEX(样本到样信息汇总统计!Q$2:Q$500,MATCH(68,样本到样信息汇总统计!$X$2:$X$500,0)),"")</f>
        <v/>
      </c>
      <c r="R69" s="8" t="str">
        <f>IFERROR(INDEX(样本到样信息汇总统计!R$2:R$500,MATCH(68,样本到样信息汇总统计!$X$2:$X$500,0)),"")</f>
        <v/>
      </c>
      <c r="S69" s="8" t="str">
        <f>IFERROR(INDEX(样本到样信息汇总统计!S$2:S$500,MATCH(68,样本到样信息汇总统计!$X$2:$X$500,0)),"")</f>
        <v/>
      </c>
      <c r="T69" s="8" t="str">
        <f>IFERROR(INDEX(样本到样信息汇总统计!T$2:T$500,MATCH(68,样本到样信息汇总统计!$X$2:$X$500,0)),"")</f>
        <v/>
      </c>
      <c r="U69" s="8" t="str">
        <f>IFERROR(INDEX(样本到样信息汇总统计!U$2:U$500,MATCH(68,样本到样信息汇总统计!$X$2:$X$500,0)),"")</f>
        <v/>
      </c>
      <c r="V69" s="8" t="str">
        <f>IFERROR(INDEX(样本到样信息汇总统计!V$2:V$500,MATCH(68,样本到样信息汇总统计!$X$2:$X$500,0)),"")</f>
        <v/>
      </c>
      <c r="W69" s="8" t="str">
        <f>IFERROR(INDEX(样本到样信息汇总统计!W$2:W$500,MATCH(68,样本到样信息汇总统计!$X$2:$X$500,0)),"")</f>
        <v/>
      </c>
    </row>
    <row r="70" ht="14.5" spans="1:23">
      <c r="A70" s="4" t="str">
        <f>IFERROR(INDEX(样本到样信息汇总统计!A$2:A$500,MATCH(69,样本到样信息汇总统计!$X$2:$X$500,0)),"")</f>
        <v/>
      </c>
      <c r="B70" s="4" t="str">
        <f>IFERROR(INDEX(样本到样信息汇总统计!B$2:B$500,MATCH(69,样本到样信息汇总统计!$X$2:$X$500,0)),"")</f>
        <v/>
      </c>
      <c r="C70" s="4" t="str">
        <f>IFERROR(INDEX(样本到样信息汇总统计!C$2:C$500,MATCH(69,样本到样信息汇总统计!$X$2:$X$500,0)),"")</f>
        <v/>
      </c>
      <c r="D70" s="4" t="str">
        <f>IFERROR(INDEX(样本到样信息汇总统计!D$2:D$500,MATCH(69,样本到样信息汇总统计!$X$2:$X$500,0)),"")</f>
        <v/>
      </c>
      <c r="E70" s="4" t="str">
        <f>IFERROR(INDEX(样本到样信息汇总统计!E$2:E$500,MATCH(69,样本到样信息汇总统计!$X$2:$X$500,0)),"")</f>
        <v/>
      </c>
      <c r="F70" s="4" t="str">
        <f>IFERROR(INDEX(样本到样信息汇总统计!F$2:F$500,MATCH(69,样本到样信息汇总统计!$X$2:$X$500,0)),"")</f>
        <v/>
      </c>
      <c r="G70" s="4" t="str">
        <f>IFERROR(INDEX(样本到样信息汇总统计!G$2:G$500,MATCH(69,样本到样信息汇总统计!$X$2:$X$500,0)),"")</f>
        <v/>
      </c>
      <c r="H70" s="4" t="str">
        <f>IFERROR(INDEX(样本到样信息汇总统计!H$2:H$500,MATCH(69,样本到样信息汇总统计!$X$2:$X$500,0)),"")</f>
        <v/>
      </c>
      <c r="I70" s="4" t="str">
        <f>IFERROR(INDEX(样本到样信息汇总统计!I$2:I$500,MATCH(69,样本到样信息汇总统计!$X$2:$X$500,0)),"")</f>
        <v/>
      </c>
      <c r="J70" s="4" t="str">
        <f>IFERROR(INDEX(样本到样信息汇总统计!J$2:J$500,MATCH(69,样本到样信息汇总统计!$X$2:$X$500,0)),"")</f>
        <v/>
      </c>
      <c r="K70" s="14" t="str">
        <f>IFERROR(INDEX(样本到样信息汇总统计!K$2:K$500,MATCH(69,样本到样信息汇总统计!$X$2:$X$500,0)),"")</f>
        <v/>
      </c>
      <c r="L70" s="4" t="str">
        <f>IFERROR(INDEX(样本到样信息汇总统计!L$2:L$500,MATCH(69,样本到样信息汇总统计!$X$2:$X$500,0)),"")</f>
        <v/>
      </c>
      <c r="M70" s="4" t="str">
        <f>IFERROR(INDEX(样本到样信息汇总统计!M$2:M$500,MATCH(69,样本到样信息汇总统计!$X$2:$X$500,0)),"")</f>
        <v/>
      </c>
      <c r="N70" s="4" t="str">
        <f>IFERROR(INDEX(样本到样信息汇总统计!N$2:N$500,MATCH(69,样本到样信息汇总统计!$X$2:$X$500,0)),"")</f>
        <v/>
      </c>
      <c r="O70" s="4" t="str">
        <f>IFERROR(INDEX(样本到样信息汇总统计!O$2:O$500,MATCH(69,样本到样信息汇总统计!$X$2:$X$500,0)),"")</f>
        <v/>
      </c>
      <c r="P70" s="4" t="str">
        <f>IFERROR(INDEX(样本到样信息汇总统计!P$2:P$500,MATCH(69,样本到样信息汇总统计!$X$2:$X$500,0)),"")</f>
        <v/>
      </c>
      <c r="Q70" s="4" t="str">
        <f>IFERROR(INDEX(样本到样信息汇总统计!Q$2:Q$500,MATCH(69,样本到样信息汇总统计!$X$2:$X$500,0)),"")</f>
        <v/>
      </c>
      <c r="R70" s="4" t="str">
        <f>IFERROR(INDEX(样本到样信息汇总统计!R$2:R$500,MATCH(69,样本到样信息汇总统计!$X$2:$X$500,0)),"")</f>
        <v/>
      </c>
      <c r="S70" s="4" t="str">
        <f>IFERROR(INDEX(样本到样信息汇总统计!S$2:S$500,MATCH(69,样本到样信息汇总统计!$X$2:$X$500,0)),"")</f>
        <v/>
      </c>
      <c r="T70" s="4" t="str">
        <f>IFERROR(INDEX(样本到样信息汇总统计!T$2:T$500,MATCH(69,样本到样信息汇总统计!$X$2:$X$500,0)),"")</f>
        <v/>
      </c>
      <c r="U70" s="4" t="str">
        <f>IFERROR(INDEX(样本到样信息汇总统计!U$2:U$500,MATCH(69,样本到样信息汇总统计!$X$2:$X$500,0)),"")</f>
        <v/>
      </c>
      <c r="V70" s="4" t="str">
        <f>IFERROR(INDEX(样本到样信息汇总统计!V$2:V$500,MATCH(69,样本到样信息汇总统计!$X$2:$X$500,0)),"")</f>
        <v/>
      </c>
      <c r="W70" s="4" t="str">
        <f>IFERROR(INDEX(样本到样信息汇总统计!W$2:W$500,MATCH(69,样本到样信息汇总统计!$X$2:$X$500,0)),"")</f>
        <v/>
      </c>
    </row>
    <row r="71" ht="14.5" spans="1:23">
      <c r="A71" s="8" t="str">
        <f>IFERROR(INDEX(样本到样信息汇总统计!A$2:A$500,MATCH(70,样本到样信息汇总统计!$X$2:$X$500,0)),"")</f>
        <v/>
      </c>
      <c r="B71" s="8" t="str">
        <f>IFERROR(INDEX(样本到样信息汇总统计!B$2:B$500,MATCH(70,样本到样信息汇总统计!$X$2:$X$500,0)),"")</f>
        <v/>
      </c>
      <c r="C71" s="8" t="str">
        <f>IFERROR(INDEX(样本到样信息汇总统计!C$2:C$500,MATCH(70,样本到样信息汇总统计!$X$2:$X$500,0)),"")</f>
        <v/>
      </c>
      <c r="D71" s="8" t="str">
        <f>IFERROR(INDEX(样本到样信息汇总统计!D$2:D$500,MATCH(70,样本到样信息汇总统计!$X$2:$X$500,0)),"")</f>
        <v/>
      </c>
      <c r="E71" s="8" t="str">
        <f>IFERROR(INDEX(样本到样信息汇总统计!E$2:E$500,MATCH(70,样本到样信息汇总统计!$X$2:$X$500,0)),"")</f>
        <v/>
      </c>
      <c r="F71" s="8" t="str">
        <f>IFERROR(INDEX(样本到样信息汇总统计!F$2:F$500,MATCH(70,样本到样信息汇总统计!$X$2:$X$500,0)),"")</f>
        <v/>
      </c>
      <c r="G71" s="8" t="str">
        <f>IFERROR(INDEX(样本到样信息汇总统计!G$2:G$500,MATCH(70,样本到样信息汇总统计!$X$2:$X$500,0)),"")</f>
        <v/>
      </c>
      <c r="H71" s="8" t="str">
        <f>IFERROR(INDEX(样本到样信息汇总统计!H$2:H$500,MATCH(70,样本到样信息汇总统计!$X$2:$X$500,0)),"")</f>
        <v/>
      </c>
      <c r="I71" s="8" t="str">
        <f>IFERROR(INDEX(样本到样信息汇总统计!I$2:I$500,MATCH(70,样本到样信息汇总统计!$X$2:$X$500,0)),"")</f>
        <v/>
      </c>
      <c r="J71" s="8" t="str">
        <f>IFERROR(INDEX(样本到样信息汇总统计!J$2:J$500,MATCH(70,样本到样信息汇总统计!$X$2:$X$500,0)),"")</f>
        <v/>
      </c>
      <c r="K71" s="15" t="str">
        <f>IFERROR(INDEX(样本到样信息汇总统计!K$2:K$500,MATCH(70,样本到样信息汇总统计!$X$2:$X$500,0)),"")</f>
        <v/>
      </c>
      <c r="L71" s="8" t="str">
        <f>IFERROR(INDEX(样本到样信息汇总统计!L$2:L$500,MATCH(70,样本到样信息汇总统计!$X$2:$X$500,0)),"")</f>
        <v/>
      </c>
      <c r="M71" s="8" t="str">
        <f>IFERROR(INDEX(样本到样信息汇总统计!M$2:M$500,MATCH(70,样本到样信息汇总统计!$X$2:$X$500,0)),"")</f>
        <v/>
      </c>
      <c r="N71" s="8" t="str">
        <f>IFERROR(INDEX(样本到样信息汇总统计!N$2:N$500,MATCH(70,样本到样信息汇总统计!$X$2:$X$500,0)),"")</f>
        <v/>
      </c>
      <c r="O71" s="8" t="str">
        <f>IFERROR(INDEX(样本到样信息汇总统计!O$2:O$500,MATCH(70,样本到样信息汇总统计!$X$2:$X$500,0)),"")</f>
        <v/>
      </c>
      <c r="P71" s="8" t="str">
        <f>IFERROR(INDEX(样本到样信息汇总统计!P$2:P$500,MATCH(70,样本到样信息汇总统计!$X$2:$X$500,0)),"")</f>
        <v/>
      </c>
      <c r="Q71" s="8" t="str">
        <f>IFERROR(INDEX(样本到样信息汇总统计!Q$2:Q$500,MATCH(70,样本到样信息汇总统计!$X$2:$X$500,0)),"")</f>
        <v/>
      </c>
      <c r="R71" s="8" t="str">
        <f>IFERROR(INDEX(样本到样信息汇总统计!R$2:R$500,MATCH(70,样本到样信息汇总统计!$X$2:$X$500,0)),"")</f>
        <v/>
      </c>
      <c r="S71" s="8" t="str">
        <f>IFERROR(INDEX(样本到样信息汇总统计!S$2:S$500,MATCH(70,样本到样信息汇总统计!$X$2:$X$500,0)),"")</f>
        <v/>
      </c>
      <c r="T71" s="8" t="str">
        <f>IFERROR(INDEX(样本到样信息汇总统计!T$2:T$500,MATCH(70,样本到样信息汇总统计!$X$2:$X$500,0)),"")</f>
        <v/>
      </c>
      <c r="U71" s="8" t="str">
        <f>IFERROR(INDEX(样本到样信息汇总统计!U$2:U$500,MATCH(70,样本到样信息汇总统计!$X$2:$X$500,0)),"")</f>
        <v/>
      </c>
      <c r="V71" s="8" t="str">
        <f>IFERROR(INDEX(样本到样信息汇总统计!V$2:V$500,MATCH(70,样本到样信息汇总统计!$X$2:$X$500,0)),"")</f>
        <v/>
      </c>
      <c r="W71" s="8" t="str">
        <f>IFERROR(INDEX(样本到样信息汇总统计!W$2:W$500,MATCH(70,样本到样信息汇总统计!$X$2:$X$500,0)),"")</f>
        <v/>
      </c>
    </row>
    <row r="72" ht="14.5" spans="1:23">
      <c r="A72" s="4" t="str">
        <f>IFERROR(INDEX(样本到样信息汇总统计!A$2:A$500,MATCH(71,样本到样信息汇总统计!$X$2:$X$500,0)),"")</f>
        <v/>
      </c>
      <c r="B72" s="4" t="str">
        <f>IFERROR(INDEX(样本到样信息汇总统计!B$2:B$500,MATCH(71,样本到样信息汇总统计!$X$2:$X$500,0)),"")</f>
        <v/>
      </c>
      <c r="C72" s="4" t="str">
        <f>IFERROR(INDEX(样本到样信息汇总统计!C$2:C$500,MATCH(71,样本到样信息汇总统计!$X$2:$X$500,0)),"")</f>
        <v/>
      </c>
      <c r="D72" s="4" t="str">
        <f>IFERROR(INDEX(样本到样信息汇总统计!D$2:D$500,MATCH(71,样本到样信息汇总统计!$X$2:$X$500,0)),"")</f>
        <v/>
      </c>
      <c r="E72" s="4" t="str">
        <f>IFERROR(INDEX(样本到样信息汇总统计!E$2:E$500,MATCH(71,样本到样信息汇总统计!$X$2:$X$500,0)),"")</f>
        <v/>
      </c>
      <c r="F72" s="4" t="str">
        <f>IFERROR(INDEX(样本到样信息汇总统计!F$2:F$500,MATCH(71,样本到样信息汇总统计!$X$2:$X$500,0)),"")</f>
        <v/>
      </c>
      <c r="G72" s="4" t="str">
        <f>IFERROR(INDEX(样本到样信息汇总统计!G$2:G$500,MATCH(71,样本到样信息汇总统计!$X$2:$X$500,0)),"")</f>
        <v/>
      </c>
      <c r="H72" s="4" t="str">
        <f>IFERROR(INDEX(样本到样信息汇总统计!H$2:H$500,MATCH(71,样本到样信息汇总统计!$X$2:$X$500,0)),"")</f>
        <v/>
      </c>
      <c r="I72" s="4" t="str">
        <f>IFERROR(INDEX(样本到样信息汇总统计!I$2:I$500,MATCH(71,样本到样信息汇总统计!$X$2:$X$500,0)),"")</f>
        <v/>
      </c>
      <c r="J72" s="4" t="str">
        <f>IFERROR(INDEX(样本到样信息汇总统计!J$2:J$500,MATCH(71,样本到样信息汇总统计!$X$2:$X$500,0)),"")</f>
        <v/>
      </c>
      <c r="K72" s="14" t="str">
        <f>IFERROR(INDEX(样本到样信息汇总统计!K$2:K$500,MATCH(71,样本到样信息汇总统计!$X$2:$X$500,0)),"")</f>
        <v/>
      </c>
      <c r="L72" s="4" t="str">
        <f>IFERROR(INDEX(样本到样信息汇总统计!L$2:L$500,MATCH(71,样本到样信息汇总统计!$X$2:$X$500,0)),"")</f>
        <v/>
      </c>
      <c r="M72" s="4" t="str">
        <f>IFERROR(INDEX(样本到样信息汇总统计!M$2:M$500,MATCH(71,样本到样信息汇总统计!$X$2:$X$500,0)),"")</f>
        <v/>
      </c>
      <c r="N72" s="4" t="str">
        <f>IFERROR(INDEX(样本到样信息汇总统计!N$2:N$500,MATCH(71,样本到样信息汇总统计!$X$2:$X$500,0)),"")</f>
        <v/>
      </c>
      <c r="O72" s="4" t="str">
        <f>IFERROR(INDEX(样本到样信息汇总统计!O$2:O$500,MATCH(71,样本到样信息汇总统计!$X$2:$X$500,0)),"")</f>
        <v/>
      </c>
      <c r="P72" s="4" t="str">
        <f>IFERROR(INDEX(样本到样信息汇总统计!P$2:P$500,MATCH(71,样本到样信息汇总统计!$X$2:$X$500,0)),"")</f>
        <v/>
      </c>
      <c r="Q72" s="4" t="str">
        <f>IFERROR(INDEX(样本到样信息汇总统计!Q$2:Q$500,MATCH(71,样本到样信息汇总统计!$X$2:$X$500,0)),"")</f>
        <v/>
      </c>
      <c r="R72" s="4" t="str">
        <f>IFERROR(INDEX(样本到样信息汇总统计!R$2:R$500,MATCH(71,样本到样信息汇总统计!$X$2:$X$500,0)),"")</f>
        <v/>
      </c>
      <c r="S72" s="4" t="str">
        <f>IFERROR(INDEX(样本到样信息汇总统计!S$2:S$500,MATCH(71,样本到样信息汇总统计!$X$2:$X$500,0)),"")</f>
        <v/>
      </c>
      <c r="T72" s="4" t="str">
        <f>IFERROR(INDEX(样本到样信息汇总统计!T$2:T$500,MATCH(71,样本到样信息汇总统计!$X$2:$X$500,0)),"")</f>
        <v/>
      </c>
      <c r="U72" s="4" t="str">
        <f>IFERROR(INDEX(样本到样信息汇总统计!U$2:U$500,MATCH(71,样本到样信息汇总统计!$X$2:$X$500,0)),"")</f>
        <v/>
      </c>
      <c r="V72" s="4" t="str">
        <f>IFERROR(INDEX(样本到样信息汇总统计!V$2:V$500,MATCH(71,样本到样信息汇总统计!$X$2:$X$500,0)),"")</f>
        <v/>
      </c>
      <c r="W72" s="4" t="str">
        <f>IFERROR(INDEX(样本到样信息汇总统计!W$2:W$500,MATCH(71,样本到样信息汇总统计!$X$2:$X$500,0)),"")</f>
        <v/>
      </c>
    </row>
    <row r="73" ht="14.5" spans="1:23">
      <c r="A73" s="8" t="str">
        <f>IFERROR(INDEX(样本到样信息汇总统计!A$2:A$500,MATCH(72,样本到样信息汇总统计!$X$2:$X$500,0)),"")</f>
        <v/>
      </c>
      <c r="B73" s="8" t="str">
        <f>IFERROR(INDEX(样本到样信息汇总统计!B$2:B$500,MATCH(72,样本到样信息汇总统计!$X$2:$X$500,0)),"")</f>
        <v/>
      </c>
      <c r="C73" s="8" t="str">
        <f>IFERROR(INDEX(样本到样信息汇总统计!C$2:C$500,MATCH(72,样本到样信息汇总统计!$X$2:$X$500,0)),"")</f>
        <v/>
      </c>
      <c r="D73" s="8" t="str">
        <f>IFERROR(INDEX(样本到样信息汇总统计!D$2:D$500,MATCH(72,样本到样信息汇总统计!$X$2:$X$500,0)),"")</f>
        <v/>
      </c>
      <c r="E73" s="8" t="str">
        <f>IFERROR(INDEX(样本到样信息汇总统计!E$2:E$500,MATCH(72,样本到样信息汇总统计!$X$2:$X$500,0)),"")</f>
        <v/>
      </c>
      <c r="F73" s="8" t="str">
        <f>IFERROR(INDEX(样本到样信息汇总统计!F$2:F$500,MATCH(72,样本到样信息汇总统计!$X$2:$X$500,0)),"")</f>
        <v/>
      </c>
      <c r="G73" s="8" t="str">
        <f>IFERROR(INDEX(样本到样信息汇总统计!G$2:G$500,MATCH(72,样本到样信息汇总统计!$X$2:$X$500,0)),"")</f>
        <v/>
      </c>
      <c r="H73" s="8" t="str">
        <f>IFERROR(INDEX(样本到样信息汇总统计!H$2:H$500,MATCH(72,样本到样信息汇总统计!$X$2:$X$500,0)),"")</f>
        <v/>
      </c>
      <c r="I73" s="8" t="str">
        <f>IFERROR(INDEX(样本到样信息汇总统计!I$2:I$500,MATCH(72,样本到样信息汇总统计!$X$2:$X$500,0)),"")</f>
        <v/>
      </c>
      <c r="J73" s="8" t="str">
        <f>IFERROR(INDEX(样本到样信息汇总统计!J$2:J$500,MATCH(72,样本到样信息汇总统计!$X$2:$X$500,0)),"")</f>
        <v/>
      </c>
      <c r="K73" s="15" t="str">
        <f>IFERROR(INDEX(样本到样信息汇总统计!K$2:K$500,MATCH(72,样本到样信息汇总统计!$X$2:$X$500,0)),"")</f>
        <v/>
      </c>
      <c r="L73" s="8" t="str">
        <f>IFERROR(INDEX(样本到样信息汇总统计!L$2:L$500,MATCH(72,样本到样信息汇总统计!$X$2:$X$500,0)),"")</f>
        <v/>
      </c>
      <c r="M73" s="8" t="str">
        <f>IFERROR(INDEX(样本到样信息汇总统计!M$2:M$500,MATCH(72,样本到样信息汇总统计!$X$2:$X$500,0)),"")</f>
        <v/>
      </c>
      <c r="N73" s="8" t="str">
        <f>IFERROR(INDEX(样本到样信息汇总统计!N$2:N$500,MATCH(72,样本到样信息汇总统计!$X$2:$X$500,0)),"")</f>
        <v/>
      </c>
      <c r="O73" s="8" t="str">
        <f>IFERROR(INDEX(样本到样信息汇总统计!O$2:O$500,MATCH(72,样本到样信息汇总统计!$X$2:$X$500,0)),"")</f>
        <v/>
      </c>
      <c r="P73" s="8" t="str">
        <f>IFERROR(INDEX(样本到样信息汇总统计!P$2:P$500,MATCH(72,样本到样信息汇总统计!$X$2:$X$500,0)),"")</f>
        <v/>
      </c>
      <c r="Q73" s="8" t="str">
        <f>IFERROR(INDEX(样本到样信息汇总统计!Q$2:Q$500,MATCH(72,样本到样信息汇总统计!$X$2:$X$500,0)),"")</f>
        <v/>
      </c>
      <c r="R73" s="8" t="str">
        <f>IFERROR(INDEX(样本到样信息汇总统计!R$2:R$500,MATCH(72,样本到样信息汇总统计!$X$2:$X$500,0)),"")</f>
        <v/>
      </c>
      <c r="S73" s="8" t="str">
        <f>IFERROR(INDEX(样本到样信息汇总统计!S$2:S$500,MATCH(72,样本到样信息汇总统计!$X$2:$X$500,0)),"")</f>
        <v/>
      </c>
      <c r="T73" s="8" t="str">
        <f>IFERROR(INDEX(样本到样信息汇总统计!T$2:T$500,MATCH(72,样本到样信息汇总统计!$X$2:$X$500,0)),"")</f>
        <v/>
      </c>
      <c r="U73" s="8" t="str">
        <f>IFERROR(INDEX(样本到样信息汇总统计!U$2:U$500,MATCH(72,样本到样信息汇总统计!$X$2:$X$500,0)),"")</f>
        <v/>
      </c>
      <c r="V73" s="8" t="str">
        <f>IFERROR(INDEX(样本到样信息汇总统计!V$2:V$500,MATCH(72,样本到样信息汇总统计!$X$2:$X$500,0)),"")</f>
        <v/>
      </c>
      <c r="W73" s="8" t="str">
        <f>IFERROR(INDEX(样本到样信息汇总统计!W$2:W$500,MATCH(72,样本到样信息汇总统计!$X$2:$X$500,0)),"")</f>
        <v/>
      </c>
    </row>
    <row r="74" ht="14.5" spans="1:23">
      <c r="A74" s="4" t="str">
        <f>IFERROR(INDEX(样本到样信息汇总统计!A$2:A$500,MATCH(73,样本到样信息汇总统计!$X$2:$X$500,0)),"")</f>
        <v/>
      </c>
      <c r="B74" s="4" t="str">
        <f>IFERROR(INDEX(样本到样信息汇总统计!B$2:B$500,MATCH(73,样本到样信息汇总统计!$X$2:$X$500,0)),"")</f>
        <v/>
      </c>
      <c r="C74" s="4" t="str">
        <f>IFERROR(INDEX(样本到样信息汇总统计!C$2:C$500,MATCH(73,样本到样信息汇总统计!$X$2:$X$500,0)),"")</f>
        <v/>
      </c>
      <c r="D74" s="4" t="str">
        <f>IFERROR(INDEX(样本到样信息汇总统计!D$2:D$500,MATCH(73,样本到样信息汇总统计!$X$2:$X$500,0)),"")</f>
        <v/>
      </c>
      <c r="E74" s="4" t="str">
        <f>IFERROR(INDEX(样本到样信息汇总统计!E$2:E$500,MATCH(73,样本到样信息汇总统计!$X$2:$X$500,0)),"")</f>
        <v/>
      </c>
      <c r="F74" s="4" t="str">
        <f>IFERROR(INDEX(样本到样信息汇总统计!F$2:F$500,MATCH(73,样本到样信息汇总统计!$X$2:$X$500,0)),"")</f>
        <v/>
      </c>
      <c r="G74" s="4" t="str">
        <f>IFERROR(INDEX(样本到样信息汇总统计!G$2:G$500,MATCH(73,样本到样信息汇总统计!$X$2:$X$500,0)),"")</f>
        <v/>
      </c>
      <c r="H74" s="4" t="str">
        <f>IFERROR(INDEX(样本到样信息汇总统计!H$2:H$500,MATCH(73,样本到样信息汇总统计!$X$2:$X$500,0)),"")</f>
        <v/>
      </c>
      <c r="I74" s="4" t="str">
        <f>IFERROR(INDEX(样本到样信息汇总统计!I$2:I$500,MATCH(73,样本到样信息汇总统计!$X$2:$X$500,0)),"")</f>
        <v/>
      </c>
      <c r="J74" s="4" t="str">
        <f>IFERROR(INDEX(样本到样信息汇总统计!J$2:J$500,MATCH(73,样本到样信息汇总统计!$X$2:$X$500,0)),"")</f>
        <v/>
      </c>
      <c r="K74" s="14" t="str">
        <f>IFERROR(INDEX(样本到样信息汇总统计!K$2:K$500,MATCH(73,样本到样信息汇总统计!$X$2:$X$500,0)),"")</f>
        <v/>
      </c>
      <c r="L74" s="4" t="str">
        <f>IFERROR(INDEX(样本到样信息汇总统计!L$2:L$500,MATCH(73,样本到样信息汇总统计!$X$2:$X$500,0)),"")</f>
        <v/>
      </c>
      <c r="M74" s="4" t="str">
        <f>IFERROR(INDEX(样本到样信息汇总统计!M$2:M$500,MATCH(73,样本到样信息汇总统计!$X$2:$X$500,0)),"")</f>
        <v/>
      </c>
      <c r="N74" s="4" t="str">
        <f>IFERROR(INDEX(样本到样信息汇总统计!N$2:N$500,MATCH(73,样本到样信息汇总统计!$X$2:$X$500,0)),"")</f>
        <v/>
      </c>
      <c r="O74" s="4" t="str">
        <f>IFERROR(INDEX(样本到样信息汇总统计!O$2:O$500,MATCH(73,样本到样信息汇总统计!$X$2:$X$500,0)),"")</f>
        <v/>
      </c>
      <c r="P74" s="4" t="str">
        <f>IFERROR(INDEX(样本到样信息汇总统计!P$2:P$500,MATCH(73,样本到样信息汇总统计!$X$2:$X$500,0)),"")</f>
        <v/>
      </c>
      <c r="Q74" s="4" t="str">
        <f>IFERROR(INDEX(样本到样信息汇总统计!Q$2:Q$500,MATCH(73,样本到样信息汇总统计!$X$2:$X$500,0)),"")</f>
        <v/>
      </c>
      <c r="R74" s="4" t="str">
        <f>IFERROR(INDEX(样本到样信息汇总统计!R$2:R$500,MATCH(73,样本到样信息汇总统计!$X$2:$X$500,0)),"")</f>
        <v/>
      </c>
      <c r="S74" s="4" t="str">
        <f>IFERROR(INDEX(样本到样信息汇总统计!S$2:S$500,MATCH(73,样本到样信息汇总统计!$X$2:$X$500,0)),"")</f>
        <v/>
      </c>
      <c r="T74" s="4" t="str">
        <f>IFERROR(INDEX(样本到样信息汇总统计!T$2:T$500,MATCH(73,样本到样信息汇总统计!$X$2:$X$500,0)),"")</f>
        <v/>
      </c>
      <c r="U74" s="4" t="str">
        <f>IFERROR(INDEX(样本到样信息汇总统计!U$2:U$500,MATCH(73,样本到样信息汇总统计!$X$2:$X$500,0)),"")</f>
        <v/>
      </c>
      <c r="V74" s="4" t="str">
        <f>IFERROR(INDEX(样本到样信息汇总统计!V$2:V$500,MATCH(73,样本到样信息汇总统计!$X$2:$X$500,0)),"")</f>
        <v/>
      </c>
      <c r="W74" s="4" t="str">
        <f>IFERROR(INDEX(样本到样信息汇总统计!W$2:W$500,MATCH(73,样本到样信息汇总统计!$X$2:$X$500,0)),"")</f>
        <v/>
      </c>
    </row>
    <row r="75" ht="14.5" spans="1:23">
      <c r="A75" s="8" t="str">
        <f>IFERROR(INDEX(样本到样信息汇总统计!A$2:A$500,MATCH(74,样本到样信息汇总统计!$X$2:$X$500,0)),"")</f>
        <v/>
      </c>
      <c r="B75" s="8" t="str">
        <f>IFERROR(INDEX(样本到样信息汇总统计!B$2:B$500,MATCH(74,样本到样信息汇总统计!$X$2:$X$500,0)),"")</f>
        <v/>
      </c>
      <c r="C75" s="8" t="str">
        <f>IFERROR(INDEX(样本到样信息汇总统计!C$2:C$500,MATCH(74,样本到样信息汇总统计!$X$2:$X$500,0)),"")</f>
        <v/>
      </c>
      <c r="D75" s="8" t="str">
        <f>IFERROR(INDEX(样本到样信息汇总统计!D$2:D$500,MATCH(74,样本到样信息汇总统计!$X$2:$X$500,0)),"")</f>
        <v/>
      </c>
      <c r="E75" s="8" t="str">
        <f>IFERROR(INDEX(样本到样信息汇总统计!E$2:E$500,MATCH(74,样本到样信息汇总统计!$X$2:$X$500,0)),"")</f>
        <v/>
      </c>
      <c r="F75" s="8" t="str">
        <f>IFERROR(INDEX(样本到样信息汇总统计!F$2:F$500,MATCH(74,样本到样信息汇总统计!$X$2:$X$500,0)),"")</f>
        <v/>
      </c>
      <c r="G75" s="8" t="str">
        <f>IFERROR(INDEX(样本到样信息汇总统计!G$2:G$500,MATCH(74,样本到样信息汇总统计!$X$2:$X$500,0)),"")</f>
        <v/>
      </c>
      <c r="H75" s="8" t="str">
        <f>IFERROR(INDEX(样本到样信息汇总统计!H$2:H$500,MATCH(74,样本到样信息汇总统计!$X$2:$X$500,0)),"")</f>
        <v/>
      </c>
      <c r="I75" s="8" t="str">
        <f>IFERROR(INDEX(样本到样信息汇总统计!I$2:I$500,MATCH(74,样本到样信息汇总统计!$X$2:$X$500,0)),"")</f>
        <v/>
      </c>
      <c r="J75" s="8" t="str">
        <f>IFERROR(INDEX(样本到样信息汇总统计!J$2:J$500,MATCH(74,样本到样信息汇总统计!$X$2:$X$500,0)),"")</f>
        <v/>
      </c>
      <c r="K75" s="15" t="str">
        <f>IFERROR(INDEX(样本到样信息汇总统计!K$2:K$500,MATCH(74,样本到样信息汇总统计!$X$2:$X$500,0)),"")</f>
        <v/>
      </c>
      <c r="L75" s="8" t="str">
        <f>IFERROR(INDEX(样本到样信息汇总统计!L$2:L$500,MATCH(74,样本到样信息汇总统计!$X$2:$X$500,0)),"")</f>
        <v/>
      </c>
      <c r="M75" s="8" t="str">
        <f>IFERROR(INDEX(样本到样信息汇总统计!M$2:M$500,MATCH(74,样本到样信息汇总统计!$X$2:$X$500,0)),"")</f>
        <v/>
      </c>
      <c r="N75" s="8" t="str">
        <f>IFERROR(INDEX(样本到样信息汇总统计!N$2:N$500,MATCH(74,样本到样信息汇总统计!$X$2:$X$500,0)),"")</f>
        <v/>
      </c>
      <c r="O75" s="8" t="str">
        <f>IFERROR(INDEX(样本到样信息汇总统计!O$2:O$500,MATCH(74,样本到样信息汇总统计!$X$2:$X$500,0)),"")</f>
        <v/>
      </c>
      <c r="P75" s="8" t="str">
        <f>IFERROR(INDEX(样本到样信息汇总统计!P$2:P$500,MATCH(74,样本到样信息汇总统计!$X$2:$X$500,0)),"")</f>
        <v/>
      </c>
      <c r="Q75" s="8" t="str">
        <f>IFERROR(INDEX(样本到样信息汇总统计!Q$2:Q$500,MATCH(74,样本到样信息汇总统计!$X$2:$X$500,0)),"")</f>
        <v/>
      </c>
      <c r="R75" s="8" t="str">
        <f>IFERROR(INDEX(样本到样信息汇总统计!R$2:R$500,MATCH(74,样本到样信息汇总统计!$X$2:$X$500,0)),"")</f>
        <v/>
      </c>
      <c r="S75" s="8" t="str">
        <f>IFERROR(INDEX(样本到样信息汇总统计!S$2:S$500,MATCH(74,样本到样信息汇总统计!$X$2:$X$500,0)),"")</f>
        <v/>
      </c>
      <c r="T75" s="8" t="str">
        <f>IFERROR(INDEX(样本到样信息汇总统计!T$2:T$500,MATCH(74,样本到样信息汇总统计!$X$2:$X$500,0)),"")</f>
        <v/>
      </c>
      <c r="U75" s="8" t="str">
        <f>IFERROR(INDEX(样本到样信息汇总统计!U$2:U$500,MATCH(74,样本到样信息汇总统计!$X$2:$X$500,0)),"")</f>
        <v/>
      </c>
      <c r="V75" s="8" t="str">
        <f>IFERROR(INDEX(样本到样信息汇总统计!V$2:V$500,MATCH(74,样本到样信息汇总统计!$X$2:$X$500,0)),"")</f>
        <v/>
      </c>
      <c r="W75" s="8" t="str">
        <f>IFERROR(INDEX(样本到样信息汇总统计!W$2:W$500,MATCH(74,样本到样信息汇总统计!$X$2:$X$500,0)),"")</f>
        <v/>
      </c>
    </row>
    <row r="76" ht="14.5" spans="1:23">
      <c r="A76" s="4" t="str">
        <f>IFERROR(INDEX(样本到样信息汇总统计!A$2:A$500,MATCH(75,样本到样信息汇总统计!$X$2:$X$500,0)),"")</f>
        <v/>
      </c>
      <c r="B76" s="4" t="str">
        <f>IFERROR(INDEX(样本到样信息汇总统计!B$2:B$500,MATCH(75,样本到样信息汇总统计!$X$2:$X$500,0)),"")</f>
        <v/>
      </c>
      <c r="C76" s="4" t="str">
        <f>IFERROR(INDEX(样本到样信息汇总统计!C$2:C$500,MATCH(75,样本到样信息汇总统计!$X$2:$X$500,0)),"")</f>
        <v/>
      </c>
      <c r="D76" s="4" t="str">
        <f>IFERROR(INDEX(样本到样信息汇总统计!D$2:D$500,MATCH(75,样本到样信息汇总统计!$X$2:$X$500,0)),"")</f>
        <v/>
      </c>
      <c r="E76" s="4" t="str">
        <f>IFERROR(INDEX(样本到样信息汇总统计!E$2:E$500,MATCH(75,样本到样信息汇总统计!$X$2:$X$500,0)),"")</f>
        <v/>
      </c>
      <c r="F76" s="4" t="str">
        <f>IFERROR(INDEX(样本到样信息汇总统计!F$2:F$500,MATCH(75,样本到样信息汇总统计!$X$2:$X$500,0)),"")</f>
        <v/>
      </c>
      <c r="G76" s="4" t="str">
        <f>IFERROR(INDEX(样本到样信息汇总统计!G$2:G$500,MATCH(75,样本到样信息汇总统计!$X$2:$X$500,0)),"")</f>
        <v/>
      </c>
      <c r="H76" s="4" t="str">
        <f>IFERROR(INDEX(样本到样信息汇总统计!H$2:H$500,MATCH(75,样本到样信息汇总统计!$X$2:$X$500,0)),"")</f>
        <v/>
      </c>
      <c r="I76" s="4" t="str">
        <f>IFERROR(INDEX(样本到样信息汇总统计!I$2:I$500,MATCH(75,样本到样信息汇总统计!$X$2:$X$500,0)),"")</f>
        <v/>
      </c>
      <c r="J76" s="4" t="str">
        <f>IFERROR(INDEX(样本到样信息汇总统计!J$2:J$500,MATCH(75,样本到样信息汇总统计!$X$2:$X$500,0)),"")</f>
        <v/>
      </c>
      <c r="K76" s="14" t="str">
        <f>IFERROR(INDEX(样本到样信息汇总统计!K$2:K$500,MATCH(75,样本到样信息汇总统计!$X$2:$X$500,0)),"")</f>
        <v/>
      </c>
      <c r="L76" s="4" t="str">
        <f>IFERROR(INDEX(样本到样信息汇总统计!L$2:L$500,MATCH(75,样本到样信息汇总统计!$X$2:$X$500,0)),"")</f>
        <v/>
      </c>
      <c r="M76" s="4" t="str">
        <f>IFERROR(INDEX(样本到样信息汇总统计!M$2:M$500,MATCH(75,样本到样信息汇总统计!$X$2:$X$500,0)),"")</f>
        <v/>
      </c>
      <c r="N76" s="4" t="str">
        <f>IFERROR(INDEX(样本到样信息汇总统计!N$2:N$500,MATCH(75,样本到样信息汇总统计!$X$2:$X$500,0)),"")</f>
        <v/>
      </c>
      <c r="O76" s="4" t="str">
        <f>IFERROR(INDEX(样本到样信息汇总统计!O$2:O$500,MATCH(75,样本到样信息汇总统计!$X$2:$X$500,0)),"")</f>
        <v/>
      </c>
      <c r="P76" s="4" t="str">
        <f>IFERROR(INDEX(样本到样信息汇总统计!P$2:P$500,MATCH(75,样本到样信息汇总统计!$X$2:$X$500,0)),"")</f>
        <v/>
      </c>
      <c r="Q76" s="4" t="str">
        <f>IFERROR(INDEX(样本到样信息汇总统计!Q$2:Q$500,MATCH(75,样本到样信息汇总统计!$X$2:$X$500,0)),"")</f>
        <v/>
      </c>
      <c r="R76" s="4" t="str">
        <f>IFERROR(INDEX(样本到样信息汇总统计!R$2:R$500,MATCH(75,样本到样信息汇总统计!$X$2:$X$500,0)),"")</f>
        <v/>
      </c>
      <c r="S76" s="4" t="str">
        <f>IFERROR(INDEX(样本到样信息汇总统计!S$2:S$500,MATCH(75,样本到样信息汇总统计!$X$2:$X$500,0)),"")</f>
        <v/>
      </c>
      <c r="T76" s="4" t="str">
        <f>IFERROR(INDEX(样本到样信息汇总统计!T$2:T$500,MATCH(75,样本到样信息汇总统计!$X$2:$X$500,0)),"")</f>
        <v/>
      </c>
      <c r="U76" s="4" t="str">
        <f>IFERROR(INDEX(样本到样信息汇总统计!U$2:U$500,MATCH(75,样本到样信息汇总统计!$X$2:$X$500,0)),"")</f>
        <v/>
      </c>
      <c r="V76" s="4" t="str">
        <f>IFERROR(INDEX(样本到样信息汇总统计!V$2:V$500,MATCH(75,样本到样信息汇总统计!$X$2:$X$500,0)),"")</f>
        <v/>
      </c>
      <c r="W76" s="4" t="str">
        <f>IFERROR(INDEX(样本到样信息汇总统计!W$2:W$500,MATCH(75,样本到样信息汇总统计!$X$2:$X$500,0)),"")</f>
        <v/>
      </c>
    </row>
    <row r="77" ht="14.5" spans="1:23">
      <c r="A77" s="8" t="str">
        <f>IFERROR(INDEX(样本到样信息汇总统计!A$2:A$500,MATCH(76,样本到样信息汇总统计!$X$2:$X$500,0)),"")</f>
        <v/>
      </c>
      <c r="B77" s="8" t="str">
        <f>IFERROR(INDEX(样本到样信息汇总统计!B$2:B$500,MATCH(76,样本到样信息汇总统计!$X$2:$X$500,0)),"")</f>
        <v/>
      </c>
      <c r="C77" s="8" t="str">
        <f>IFERROR(INDEX(样本到样信息汇总统计!C$2:C$500,MATCH(76,样本到样信息汇总统计!$X$2:$X$500,0)),"")</f>
        <v/>
      </c>
      <c r="D77" s="8" t="str">
        <f>IFERROR(INDEX(样本到样信息汇总统计!D$2:D$500,MATCH(76,样本到样信息汇总统计!$X$2:$X$500,0)),"")</f>
        <v/>
      </c>
      <c r="E77" s="8" t="str">
        <f>IFERROR(INDEX(样本到样信息汇总统计!E$2:E$500,MATCH(76,样本到样信息汇总统计!$X$2:$X$500,0)),"")</f>
        <v/>
      </c>
      <c r="F77" s="8" t="str">
        <f>IFERROR(INDEX(样本到样信息汇总统计!F$2:F$500,MATCH(76,样本到样信息汇总统计!$X$2:$X$500,0)),"")</f>
        <v/>
      </c>
      <c r="G77" s="8" t="str">
        <f>IFERROR(INDEX(样本到样信息汇总统计!G$2:G$500,MATCH(76,样本到样信息汇总统计!$X$2:$X$500,0)),"")</f>
        <v/>
      </c>
      <c r="H77" s="8" t="str">
        <f>IFERROR(INDEX(样本到样信息汇总统计!H$2:H$500,MATCH(76,样本到样信息汇总统计!$X$2:$X$500,0)),"")</f>
        <v/>
      </c>
      <c r="I77" s="8" t="str">
        <f>IFERROR(INDEX(样本到样信息汇总统计!I$2:I$500,MATCH(76,样本到样信息汇总统计!$X$2:$X$500,0)),"")</f>
        <v/>
      </c>
      <c r="J77" s="8" t="str">
        <f>IFERROR(INDEX(样本到样信息汇总统计!J$2:J$500,MATCH(76,样本到样信息汇总统计!$X$2:$X$500,0)),"")</f>
        <v/>
      </c>
      <c r="K77" s="15" t="str">
        <f>IFERROR(INDEX(样本到样信息汇总统计!K$2:K$500,MATCH(76,样本到样信息汇总统计!$X$2:$X$500,0)),"")</f>
        <v/>
      </c>
      <c r="L77" s="8" t="str">
        <f>IFERROR(INDEX(样本到样信息汇总统计!L$2:L$500,MATCH(76,样本到样信息汇总统计!$X$2:$X$500,0)),"")</f>
        <v/>
      </c>
      <c r="M77" s="8" t="str">
        <f>IFERROR(INDEX(样本到样信息汇总统计!M$2:M$500,MATCH(76,样本到样信息汇总统计!$X$2:$X$500,0)),"")</f>
        <v/>
      </c>
      <c r="N77" s="8" t="str">
        <f>IFERROR(INDEX(样本到样信息汇总统计!N$2:N$500,MATCH(76,样本到样信息汇总统计!$X$2:$X$500,0)),"")</f>
        <v/>
      </c>
      <c r="O77" s="8" t="str">
        <f>IFERROR(INDEX(样本到样信息汇总统计!O$2:O$500,MATCH(76,样本到样信息汇总统计!$X$2:$X$500,0)),"")</f>
        <v/>
      </c>
      <c r="P77" s="8" t="str">
        <f>IFERROR(INDEX(样本到样信息汇总统计!P$2:P$500,MATCH(76,样本到样信息汇总统计!$X$2:$X$500,0)),"")</f>
        <v/>
      </c>
      <c r="Q77" s="8" t="str">
        <f>IFERROR(INDEX(样本到样信息汇总统计!Q$2:Q$500,MATCH(76,样本到样信息汇总统计!$X$2:$X$500,0)),"")</f>
        <v/>
      </c>
      <c r="R77" s="8" t="str">
        <f>IFERROR(INDEX(样本到样信息汇总统计!R$2:R$500,MATCH(76,样本到样信息汇总统计!$X$2:$X$500,0)),"")</f>
        <v/>
      </c>
      <c r="S77" s="8" t="str">
        <f>IFERROR(INDEX(样本到样信息汇总统计!S$2:S$500,MATCH(76,样本到样信息汇总统计!$X$2:$X$500,0)),"")</f>
        <v/>
      </c>
      <c r="T77" s="8" t="str">
        <f>IFERROR(INDEX(样本到样信息汇总统计!T$2:T$500,MATCH(76,样本到样信息汇总统计!$X$2:$X$500,0)),"")</f>
        <v/>
      </c>
      <c r="U77" s="8" t="str">
        <f>IFERROR(INDEX(样本到样信息汇总统计!U$2:U$500,MATCH(76,样本到样信息汇总统计!$X$2:$X$500,0)),"")</f>
        <v/>
      </c>
      <c r="V77" s="8" t="str">
        <f>IFERROR(INDEX(样本到样信息汇总统计!V$2:V$500,MATCH(76,样本到样信息汇总统计!$X$2:$X$500,0)),"")</f>
        <v/>
      </c>
      <c r="W77" s="8" t="str">
        <f>IFERROR(INDEX(样本到样信息汇总统计!W$2:W$500,MATCH(76,样本到样信息汇总统计!$X$2:$X$500,0)),"")</f>
        <v/>
      </c>
    </row>
    <row r="78" ht="14.5" spans="1:23">
      <c r="A78" s="4" t="str">
        <f>IFERROR(INDEX(样本到样信息汇总统计!A$2:A$500,MATCH(77,样本到样信息汇总统计!$X$2:$X$500,0)),"")</f>
        <v/>
      </c>
      <c r="B78" s="4" t="str">
        <f>IFERROR(INDEX(样本到样信息汇总统计!B$2:B$500,MATCH(77,样本到样信息汇总统计!$X$2:$X$500,0)),"")</f>
        <v/>
      </c>
      <c r="C78" s="4" t="str">
        <f>IFERROR(INDEX(样本到样信息汇总统计!C$2:C$500,MATCH(77,样本到样信息汇总统计!$X$2:$X$500,0)),"")</f>
        <v/>
      </c>
      <c r="D78" s="4" t="str">
        <f>IFERROR(INDEX(样本到样信息汇总统计!D$2:D$500,MATCH(77,样本到样信息汇总统计!$X$2:$X$500,0)),"")</f>
        <v/>
      </c>
      <c r="E78" s="4" t="str">
        <f>IFERROR(INDEX(样本到样信息汇总统计!E$2:E$500,MATCH(77,样本到样信息汇总统计!$X$2:$X$500,0)),"")</f>
        <v/>
      </c>
      <c r="F78" s="4" t="str">
        <f>IFERROR(INDEX(样本到样信息汇总统计!F$2:F$500,MATCH(77,样本到样信息汇总统计!$X$2:$X$500,0)),"")</f>
        <v/>
      </c>
      <c r="G78" s="4" t="str">
        <f>IFERROR(INDEX(样本到样信息汇总统计!G$2:G$500,MATCH(77,样本到样信息汇总统计!$X$2:$X$500,0)),"")</f>
        <v/>
      </c>
      <c r="H78" s="4" t="str">
        <f>IFERROR(INDEX(样本到样信息汇总统计!H$2:H$500,MATCH(77,样本到样信息汇总统计!$X$2:$X$500,0)),"")</f>
        <v/>
      </c>
      <c r="I78" s="4" t="str">
        <f>IFERROR(INDEX(样本到样信息汇总统计!I$2:I$500,MATCH(77,样本到样信息汇总统计!$X$2:$X$500,0)),"")</f>
        <v/>
      </c>
      <c r="J78" s="4" t="str">
        <f>IFERROR(INDEX(样本到样信息汇总统计!J$2:J$500,MATCH(77,样本到样信息汇总统计!$X$2:$X$500,0)),"")</f>
        <v/>
      </c>
      <c r="K78" s="14" t="str">
        <f>IFERROR(INDEX(样本到样信息汇总统计!K$2:K$500,MATCH(77,样本到样信息汇总统计!$X$2:$X$500,0)),"")</f>
        <v/>
      </c>
      <c r="L78" s="4" t="str">
        <f>IFERROR(INDEX(样本到样信息汇总统计!L$2:L$500,MATCH(77,样本到样信息汇总统计!$X$2:$X$500,0)),"")</f>
        <v/>
      </c>
      <c r="M78" s="4" t="str">
        <f>IFERROR(INDEX(样本到样信息汇总统计!M$2:M$500,MATCH(77,样本到样信息汇总统计!$X$2:$X$500,0)),"")</f>
        <v/>
      </c>
      <c r="N78" s="4" t="str">
        <f>IFERROR(INDEX(样本到样信息汇总统计!N$2:N$500,MATCH(77,样本到样信息汇总统计!$X$2:$X$500,0)),"")</f>
        <v/>
      </c>
      <c r="O78" s="4" t="str">
        <f>IFERROR(INDEX(样本到样信息汇总统计!O$2:O$500,MATCH(77,样本到样信息汇总统计!$X$2:$X$500,0)),"")</f>
        <v/>
      </c>
      <c r="P78" s="4" t="str">
        <f>IFERROR(INDEX(样本到样信息汇总统计!P$2:P$500,MATCH(77,样本到样信息汇总统计!$X$2:$X$500,0)),"")</f>
        <v/>
      </c>
      <c r="Q78" s="4" t="str">
        <f>IFERROR(INDEX(样本到样信息汇总统计!Q$2:Q$500,MATCH(77,样本到样信息汇总统计!$X$2:$X$500,0)),"")</f>
        <v/>
      </c>
      <c r="R78" s="4" t="str">
        <f>IFERROR(INDEX(样本到样信息汇总统计!R$2:R$500,MATCH(77,样本到样信息汇总统计!$X$2:$X$500,0)),"")</f>
        <v/>
      </c>
      <c r="S78" s="4" t="str">
        <f>IFERROR(INDEX(样本到样信息汇总统计!S$2:S$500,MATCH(77,样本到样信息汇总统计!$X$2:$X$500,0)),"")</f>
        <v/>
      </c>
      <c r="T78" s="4" t="str">
        <f>IFERROR(INDEX(样本到样信息汇总统计!T$2:T$500,MATCH(77,样本到样信息汇总统计!$X$2:$X$500,0)),"")</f>
        <v/>
      </c>
      <c r="U78" s="4" t="str">
        <f>IFERROR(INDEX(样本到样信息汇总统计!U$2:U$500,MATCH(77,样本到样信息汇总统计!$X$2:$X$500,0)),"")</f>
        <v/>
      </c>
      <c r="V78" s="4" t="str">
        <f>IFERROR(INDEX(样本到样信息汇总统计!V$2:V$500,MATCH(77,样本到样信息汇总统计!$X$2:$X$500,0)),"")</f>
        <v/>
      </c>
      <c r="W78" s="4" t="str">
        <f>IFERROR(INDEX(样本到样信息汇总统计!W$2:W$500,MATCH(77,样本到样信息汇总统计!$X$2:$X$500,0)),"")</f>
        <v/>
      </c>
    </row>
    <row r="79" ht="14.5" spans="1:23">
      <c r="A79" s="8" t="str">
        <f>IFERROR(INDEX(样本到样信息汇总统计!A$2:A$500,MATCH(78,样本到样信息汇总统计!$X$2:$X$500,0)),"")</f>
        <v/>
      </c>
      <c r="B79" s="8" t="str">
        <f>IFERROR(INDEX(样本到样信息汇总统计!B$2:B$500,MATCH(78,样本到样信息汇总统计!$X$2:$X$500,0)),"")</f>
        <v/>
      </c>
      <c r="C79" s="8" t="str">
        <f>IFERROR(INDEX(样本到样信息汇总统计!C$2:C$500,MATCH(78,样本到样信息汇总统计!$X$2:$X$500,0)),"")</f>
        <v/>
      </c>
      <c r="D79" s="8" t="str">
        <f>IFERROR(INDEX(样本到样信息汇总统计!D$2:D$500,MATCH(78,样本到样信息汇总统计!$X$2:$X$500,0)),"")</f>
        <v/>
      </c>
      <c r="E79" s="8" t="str">
        <f>IFERROR(INDEX(样本到样信息汇总统计!E$2:E$500,MATCH(78,样本到样信息汇总统计!$X$2:$X$500,0)),"")</f>
        <v/>
      </c>
      <c r="F79" s="8" t="str">
        <f>IFERROR(INDEX(样本到样信息汇总统计!F$2:F$500,MATCH(78,样本到样信息汇总统计!$X$2:$X$500,0)),"")</f>
        <v/>
      </c>
      <c r="G79" s="8" t="str">
        <f>IFERROR(INDEX(样本到样信息汇总统计!G$2:G$500,MATCH(78,样本到样信息汇总统计!$X$2:$X$500,0)),"")</f>
        <v/>
      </c>
      <c r="H79" s="8" t="str">
        <f>IFERROR(INDEX(样本到样信息汇总统计!H$2:H$500,MATCH(78,样本到样信息汇总统计!$X$2:$X$500,0)),"")</f>
        <v/>
      </c>
      <c r="I79" s="8" t="str">
        <f>IFERROR(INDEX(样本到样信息汇总统计!I$2:I$500,MATCH(78,样本到样信息汇总统计!$X$2:$X$500,0)),"")</f>
        <v/>
      </c>
      <c r="J79" s="8" t="str">
        <f>IFERROR(INDEX(样本到样信息汇总统计!J$2:J$500,MATCH(78,样本到样信息汇总统计!$X$2:$X$500,0)),"")</f>
        <v/>
      </c>
      <c r="K79" s="15" t="str">
        <f>IFERROR(INDEX(样本到样信息汇总统计!K$2:K$500,MATCH(78,样本到样信息汇总统计!$X$2:$X$500,0)),"")</f>
        <v/>
      </c>
      <c r="L79" s="8" t="str">
        <f>IFERROR(INDEX(样本到样信息汇总统计!L$2:L$500,MATCH(78,样本到样信息汇总统计!$X$2:$X$500,0)),"")</f>
        <v/>
      </c>
      <c r="M79" s="8" t="str">
        <f>IFERROR(INDEX(样本到样信息汇总统计!M$2:M$500,MATCH(78,样本到样信息汇总统计!$X$2:$X$500,0)),"")</f>
        <v/>
      </c>
      <c r="N79" s="8" t="str">
        <f>IFERROR(INDEX(样本到样信息汇总统计!N$2:N$500,MATCH(78,样本到样信息汇总统计!$X$2:$X$500,0)),"")</f>
        <v/>
      </c>
      <c r="O79" s="8" t="str">
        <f>IFERROR(INDEX(样本到样信息汇总统计!O$2:O$500,MATCH(78,样本到样信息汇总统计!$X$2:$X$500,0)),"")</f>
        <v/>
      </c>
      <c r="P79" s="8" t="str">
        <f>IFERROR(INDEX(样本到样信息汇总统计!P$2:P$500,MATCH(78,样本到样信息汇总统计!$X$2:$X$500,0)),"")</f>
        <v/>
      </c>
      <c r="Q79" s="8" t="str">
        <f>IFERROR(INDEX(样本到样信息汇总统计!Q$2:Q$500,MATCH(78,样本到样信息汇总统计!$X$2:$X$500,0)),"")</f>
        <v/>
      </c>
      <c r="R79" s="8" t="str">
        <f>IFERROR(INDEX(样本到样信息汇总统计!R$2:R$500,MATCH(78,样本到样信息汇总统计!$X$2:$X$500,0)),"")</f>
        <v/>
      </c>
      <c r="S79" s="8" t="str">
        <f>IFERROR(INDEX(样本到样信息汇总统计!S$2:S$500,MATCH(78,样本到样信息汇总统计!$X$2:$X$500,0)),"")</f>
        <v/>
      </c>
      <c r="T79" s="8" t="str">
        <f>IFERROR(INDEX(样本到样信息汇总统计!T$2:T$500,MATCH(78,样本到样信息汇总统计!$X$2:$X$500,0)),"")</f>
        <v/>
      </c>
      <c r="U79" s="8" t="str">
        <f>IFERROR(INDEX(样本到样信息汇总统计!U$2:U$500,MATCH(78,样本到样信息汇总统计!$X$2:$X$500,0)),"")</f>
        <v/>
      </c>
      <c r="V79" s="8" t="str">
        <f>IFERROR(INDEX(样本到样信息汇总统计!V$2:V$500,MATCH(78,样本到样信息汇总统计!$X$2:$X$500,0)),"")</f>
        <v/>
      </c>
      <c r="W79" s="8" t="str">
        <f>IFERROR(INDEX(样本到样信息汇总统计!W$2:W$500,MATCH(78,样本到样信息汇总统计!$X$2:$X$500,0)),"")</f>
        <v/>
      </c>
    </row>
    <row r="80" ht="14.5" spans="1:23">
      <c r="A80" s="4" t="str">
        <f>IFERROR(INDEX(样本到样信息汇总统计!A$2:A$500,MATCH(79,样本到样信息汇总统计!$X$2:$X$500,0)),"")</f>
        <v/>
      </c>
      <c r="B80" s="4" t="str">
        <f>IFERROR(INDEX(样本到样信息汇总统计!B$2:B$500,MATCH(79,样本到样信息汇总统计!$X$2:$X$500,0)),"")</f>
        <v/>
      </c>
      <c r="C80" s="4" t="str">
        <f>IFERROR(INDEX(样本到样信息汇总统计!C$2:C$500,MATCH(79,样本到样信息汇总统计!$X$2:$X$500,0)),"")</f>
        <v/>
      </c>
      <c r="D80" s="4" t="str">
        <f>IFERROR(INDEX(样本到样信息汇总统计!D$2:D$500,MATCH(79,样本到样信息汇总统计!$X$2:$X$500,0)),"")</f>
        <v/>
      </c>
      <c r="E80" s="4" t="str">
        <f>IFERROR(INDEX(样本到样信息汇总统计!E$2:E$500,MATCH(79,样本到样信息汇总统计!$X$2:$X$500,0)),"")</f>
        <v/>
      </c>
      <c r="F80" s="4" t="str">
        <f>IFERROR(INDEX(样本到样信息汇总统计!F$2:F$500,MATCH(79,样本到样信息汇总统计!$X$2:$X$500,0)),"")</f>
        <v/>
      </c>
      <c r="G80" s="4" t="str">
        <f>IFERROR(INDEX(样本到样信息汇总统计!G$2:G$500,MATCH(79,样本到样信息汇总统计!$X$2:$X$500,0)),"")</f>
        <v/>
      </c>
      <c r="H80" s="4" t="str">
        <f>IFERROR(INDEX(样本到样信息汇总统计!H$2:H$500,MATCH(79,样本到样信息汇总统计!$X$2:$X$500,0)),"")</f>
        <v/>
      </c>
      <c r="I80" s="4" t="str">
        <f>IFERROR(INDEX(样本到样信息汇总统计!I$2:I$500,MATCH(79,样本到样信息汇总统计!$X$2:$X$500,0)),"")</f>
        <v/>
      </c>
      <c r="J80" s="4" t="str">
        <f>IFERROR(INDEX(样本到样信息汇总统计!J$2:J$500,MATCH(79,样本到样信息汇总统计!$X$2:$X$500,0)),"")</f>
        <v/>
      </c>
      <c r="K80" s="14" t="str">
        <f>IFERROR(INDEX(样本到样信息汇总统计!K$2:K$500,MATCH(79,样本到样信息汇总统计!$X$2:$X$500,0)),"")</f>
        <v/>
      </c>
      <c r="L80" s="4" t="str">
        <f>IFERROR(INDEX(样本到样信息汇总统计!L$2:L$500,MATCH(79,样本到样信息汇总统计!$X$2:$X$500,0)),"")</f>
        <v/>
      </c>
      <c r="M80" s="4" t="str">
        <f>IFERROR(INDEX(样本到样信息汇总统计!M$2:M$500,MATCH(79,样本到样信息汇总统计!$X$2:$X$500,0)),"")</f>
        <v/>
      </c>
      <c r="N80" s="4" t="str">
        <f>IFERROR(INDEX(样本到样信息汇总统计!N$2:N$500,MATCH(79,样本到样信息汇总统计!$X$2:$X$500,0)),"")</f>
        <v/>
      </c>
      <c r="O80" s="4" t="str">
        <f>IFERROR(INDEX(样本到样信息汇总统计!O$2:O$500,MATCH(79,样本到样信息汇总统计!$X$2:$X$500,0)),"")</f>
        <v/>
      </c>
      <c r="P80" s="4" t="str">
        <f>IFERROR(INDEX(样本到样信息汇总统计!P$2:P$500,MATCH(79,样本到样信息汇总统计!$X$2:$X$500,0)),"")</f>
        <v/>
      </c>
      <c r="Q80" s="4" t="str">
        <f>IFERROR(INDEX(样本到样信息汇总统计!Q$2:Q$500,MATCH(79,样本到样信息汇总统计!$X$2:$X$500,0)),"")</f>
        <v/>
      </c>
      <c r="R80" s="4" t="str">
        <f>IFERROR(INDEX(样本到样信息汇总统计!R$2:R$500,MATCH(79,样本到样信息汇总统计!$X$2:$X$500,0)),"")</f>
        <v/>
      </c>
      <c r="S80" s="4" t="str">
        <f>IFERROR(INDEX(样本到样信息汇总统计!S$2:S$500,MATCH(79,样本到样信息汇总统计!$X$2:$X$500,0)),"")</f>
        <v/>
      </c>
      <c r="T80" s="4" t="str">
        <f>IFERROR(INDEX(样本到样信息汇总统计!T$2:T$500,MATCH(79,样本到样信息汇总统计!$X$2:$X$500,0)),"")</f>
        <v/>
      </c>
      <c r="U80" s="4" t="str">
        <f>IFERROR(INDEX(样本到样信息汇总统计!U$2:U$500,MATCH(79,样本到样信息汇总统计!$X$2:$X$500,0)),"")</f>
        <v/>
      </c>
      <c r="V80" s="4" t="str">
        <f>IFERROR(INDEX(样本到样信息汇总统计!V$2:V$500,MATCH(79,样本到样信息汇总统计!$X$2:$X$500,0)),"")</f>
        <v/>
      </c>
      <c r="W80" s="4" t="str">
        <f>IFERROR(INDEX(样本到样信息汇总统计!W$2:W$500,MATCH(79,样本到样信息汇总统计!$X$2:$X$500,0)),"")</f>
        <v/>
      </c>
    </row>
    <row r="81" ht="14.5" spans="1:23">
      <c r="A81" s="8" t="str">
        <f>IFERROR(INDEX(样本到样信息汇总统计!A$2:A$500,MATCH(80,样本到样信息汇总统计!$X$2:$X$500,0)),"")</f>
        <v/>
      </c>
      <c r="B81" s="8" t="str">
        <f>IFERROR(INDEX(样本到样信息汇总统计!B$2:B$500,MATCH(80,样本到样信息汇总统计!$X$2:$X$500,0)),"")</f>
        <v/>
      </c>
      <c r="C81" s="8" t="str">
        <f>IFERROR(INDEX(样本到样信息汇总统计!C$2:C$500,MATCH(80,样本到样信息汇总统计!$X$2:$X$500,0)),"")</f>
        <v/>
      </c>
      <c r="D81" s="8" t="str">
        <f>IFERROR(INDEX(样本到样信息汇总统计!D$2:D$500,MATCH(80,样本到样信息汇总统计!$X$2:$X$500,0)),"")</f>
        <v/>
      </c>
      <c r="E81" s="8" t="str">
        <f>IFERROR(INDEX(样本到样信息汇总统计!E$2:E$500,MATCH(80,样本到样信息汇总统计!$X$2:$X$500,0)),"")</f>
        <v/>
      </c>
      <c r="F81" s="8" t="str">
        <f>IFERROR(INDEX(样本到样信息汇总统计!F$2:F$500,MATCH(80,样本到样信息汇总统计!$X$2:$X$500,0)),"")</f>
        <v/>
      </c>
      <c r="G81" s="8" t="str">
        <f>IFERROR(INDEX(样本到样信息汇总统计!G$2:G$500,MATCH(80,样本到样信息汇总统计!$X$2:$X$500,0)),"")</f>
        <v/>
      </c>
      <c r="H81" s="8" t="str">
        <f>IFERROR(INDEX(样本到样信息汇总统计!H$2:H$500,MATCH(80,样本到样信息汇总统计!$X$2:$X$500,0)),"")</f>
        <v/>
      </c>
      <c r="I81" s="8" t="str">
        <f>IFERROR(INDEX(样本到样信息汇总统计!I$2:I$500,MATCH(80,样本到样信息汇总统计!$X$2:$X$500,0)),"")</f>
        <v/>
      </c>
      <c r="J81" s="8" t="str">
        <f>IFERROR(INDEX(样本到样信息汇总统计!J$2:J$500,MATCH(80,样本到样信息汇总统计!$X$2:$X$500,0)),"")</f>
        <v/>
      </c>
      <c r="K81" s="15" t="str">
        <f>IFERROR(INDEX(样本到样信息汇总统计!K$2:K$500,MATCH(80,样本到样信息汇总统计!$X$2:$X$500,0)),"")</f>
        <v/>
      </c>
      <c r="L81" s="8" t="str">
        <f>IFERROR(INDEX(样本到样信息汇总统计!L$2:L$500,MATCH(80,样本到样信息汇总统计!$X$2:$X$500,0)),"")</f>
        <v/>
      </c>
      <c r="M81" s="8" t="str">
        <f>IFERROR(INDEX(样本到样信息汇总统计!M$2:M$500,MATCH(80,样本到样信息汇总统计!$X$2:$X$500,0)),"")</f>
        <v/>
      </c>
      <c r="N81" s="8" t="str">
        <f>IFERROR(INDEX(样本到样信息汇总统计!N$2:N$500,MATCH(80,样本到样信息汇总统计!$X$2:$X$500,0)),"")</f>
        <v/>
      </c>
      <c r="O81" s="8" t="str">
        <f>IFERROR(INDEX(样本到样信息汇总统计!O$2:O$500,MATCH(80,样本到样信息汇总统计!$X$2:$X$500,0)),"")</f>
        <v/>
      </c>
      <c r="P81" s="8" t="str">
        <f>IFERROR(INDEX(样本到样信息汇总统计!P$2:P$500,MATCH(80,样本到样信息汇总统计!$X$2:$X$500,0)),"")</f>
        <v/>
      </c>
      <c r="Q81" s="8" t="str">
        <f>IFERROR(INDEX(样本到样信息汇总统计!Q$2:Q$500,MATCH(80,样本到样信息汇总统计!$X$2:$X$500,0)),"")</f>
        <v/>
      </c>
      <c r="R81" s="8" t="str">
        <f>IFERROR(INDEX(样本到样信息汇总统计!R$2:R$500,MATCH(80,样本到样信息汇总统计!$X$2:$X$500,0)),"")</f>
        <v/>
      </c>
      <c r="S81" s="8" t="str">
        <f>IFERROR(INDEX(样本到样信息汇总统计!S$2:S$500,MATCH(80,样本到样信息汇总统计!$X$2:$X$500,0)),"")</f>
        <v/>
      </c>
      <c r="T81" s="8" t="str">
        <f>IFERROR(INDEX(样本到样信息汇总统计!T$2:T$500,MATCH(80,样本到样信息汇总统计!$X$2:$X$500,0)),"")</f>
        <v/>
      </c>
      <c r="U81" s="8" t="str">
        <f>IFERROR(INDEX(样本到样信息汇总统计!U$2:U$500,MATCH(80,样本到样信息汇总统计!$X$2:$X$500,0)),"")</f>
        <v/>
      </c>
      <c r="V81" s="8" t="str">
        <f>IFERROR(INDEX(样本到样信息汇总统计!V$2:V$500,MATCH(80,样本到样信息汇总统计!$X$2:$X$500,0)),"")</f>
        <v/>
      </c>
      <c r="W81" s="8" t="str">
        <f>IFERROR(INDEX(样本到样信息汇总统计!W$2:W$500,MATCH(80,样本到样信息汇总统计!$X$2:$X$500,0)),"")</f>
        <v/>
      </c>
    </row>
    <row r="82" ht="14.5" spans="1:23">
      <c r="A82" s="4" t="str">
        <f>IFERROR(INDEX(样本到样信息汇总统计!A$2:A$500,MATCH(81,样本到样信息汇总统计!$X$2:$X$500,0)),"")</f>
        <v/>
      </c>
      <c r="B82" s="4" t="str">
        <f>IFERROR(INDEX(样本到样信息汇总统计!B$2:B$500,MATCH(81,样本到样信息汇总统计!$X$2:$X$500,0)),"")</f>
        <v/>
      </c>
      <c r="C82" s="4" t="str">
        <f>IFERROR(INDEX(样本到样信息汇总统计!C$2:C$500,MATCH(81,样本到样信息汇总统计!$X$2:$X$500,0)),"")</f>
        <v/>
      </c>
      <c r="D82" s="4" t="str">
        <f>IFERROR(INDEX(样本到样信息汇总统计!D$2:D$500,MATCH(81,样本到样信息汇总统计!$X$2:$X$500,0)),"")</f>
        <v/>
      </c>
      <c r="E82" s="4" t="str">
        <f>IFERROR(INDEX(样本到样信息汇总统计!E$2:E$500,MATCH(81,样本到样信息汇总统计!$X$2:$X$500,0)),"")</f>
        <v/>
      </c>
      <c r="F82" s="4" t="str">
        <f>IFERROR(INDEX(样本到样信息汇总统计!F$2:F$500,MATCH(81,样本到样信息汇总统计!$X$2:$X$500,0)),"")</f>
        <v/>
      </c>
      <c r="G82" s="4" t="str">
        <f>IFERROR(INDEX(样本到样信息汇总统计!G$2:G$500,MATCH(81,样本到样信息汇总统计!$X$2:$X$500,0)),"")</f>
        <v/>
      </c>
      <c r="H82" s="4" t="str">
        <f>IFERROR(INDEX(样本到样信息汇总统计!H$2:H$500,MATCH(81,样本到样信息汇总统计!$X$2:$X$500,0)),"")</f>
        <v/>
      </c>
      <c r="I82" s="4" t="str">
        <f>IFERROR(INDEX(样本到样信息汇总统计!I$2:I$500,MATCH(81,样本到样信息汇总统计!$X$2:$X$500,0)),"")</f>
        <v/>
      </c>
      <c r="J82" s="4" t="str">
        <f>IFERROR(INDEX(样本到样信息汇总统计!J$2:J$500,MATCH(81,样本到样信息汇总统计!$X$2:$X$500,0)),"")</f>
        <v/>
      </c>
      <c r="K82" s="14" t="str">
        <f>IFERROR(INDEX(样本到样信息汇总统计!K$2:K$500,MATCH(81,样本到样信息汇总统计!$X$2:$X$500,0)),"")</f>
        <v/>
      </c>
      <c r="L82" s="4" t="str">
        <f>IFERROR(INDEX(样本到样信息汇总统计!L$2:L$500,MATCH(81,样本到样信息汇总统计!$X$2:$X$500,0)),"")</f>
        <v/>
      </c>
      <c r="M82" s="4" t="str">
        <f>IFERROR(INDEX(样本到样信息汇总统计!M$2:M$500,MATCH(81,样本到样信息汇总统计!$X$2:$X$500,0)),"")</f>
        <v/>
      </c>
      <c r="N82" s="4" t="str">
        <f>IFERROR(INDEX(样本到样信息汇总统计!N$2:N$500,MATCH(81,样本到样信息汇总统计!$X$2:$X$500,0)),"")</f>
        <v/>
      </c>
      <c r="O82" s="4" t="str">
        <f>IFERROR(INDEX(样本到样信息汇总统计!O$2:O$500,MATCH(81,样本到样信息汇总统计!$X$2:$X$500,0)),"")</f>
        <v/>
      </c>
      <c r="P82" s="4" t="str">
        <f>IFERROR(INDEX(样本到样信息汇总统计!P$2:P$500,MATCH(81,样本到样信息汇总统计!$X$2:$X$500,0)),"")</f>
        <v/>
      </c>
      <c r="Q82" s="4" t="str">
        <f>IFERROR(INDEX(样本到样信息汇总统计!Q$2:Q$500,MATCH(81,样本到样信息汇总统计!$X$2:$X$500,0)),"")</f>
        <v/>
      </c>
      <c r="R82" s="4" t="str">
        <f>IFERROR(INDEX(样本到样信息汇总统计!R$2:R$500,MATCH(81,样本到样信息汇总统计!$X$2:$X$500,0)),"")</f>
        <v/>
      </c>
      <c r="S82" s="4" t="str">
        <f>IFERROR(INDEX(样本到样信息汇总统计!S$2:S$500,MATCH(81,样本到样信息汇总统计!$X$2:$X$500,0)),"")</f>
        <v/>
      </c>
      <c r="T82" s="4" t="str">
        <f>IFERROR(INDEX(样本到样信息汇总统计!T$2:T$500,MATCH(81,样本到样信息汇总统计!$X$2:$X$500,0)),"")</f>
        <v/>
      </c>
      <c r="U82" s="4" t="str">
        <f>IFERROR(INDEX(样本到样信息汇总统计!U$2:U$500,MATCH(81,样本到样信息汇总统计!$X$2:$X$500,0)),"")</f>
        <v/>
      </c>
      <c r="V82" s="4" t="str">
        <f>IFERROR(INDEX(样本到样信息汇总统计!V$2:V$500,MATCH(81,样本到样信息汇总统计!$X$2:$X$500,0)),"")</f>
        <v/>
      </c>
      <c r="W82" s="4" t="str">
        <f>IFERROR(INDEX(样本到样信息汇总统计!W$2:W$500,MATCH(81,样本到样信息汇总统计!$X$2:$X$500,0)),"")</f>
        <v/>
      </c>
    </row>
    <row r="83" ht="14.5" spans="1:23">
      <c r="A83" s="8" t="str">
        <f>IFERROR(INDEX(样本到样信息汇总统计!A$2:A$500,MATCH(82,样本到样信息汇总统计!$X$2:$X$500,0)),"")</f>
        <v/>
      </c>
      <c r="B83" s="8" t="str">
        <f>IFERROR(INDEX(样本到样信息汇总统计!B$2:B$500,MATCH(82,样本到样信息汇总统计!$X$2:$X$500,0)),"")</f>
        <v/>
      </c>
      <c r="C83" s="8" t="str">
        <f>IFERROR(INDEX(样本到样信息汇总统计!C$2:C$500,MATCH(82,样本到样信息汇总统计!$X$2:$X$500,0)),"")</f>
        <v/>
      </c>
      <c r="D83" s="8" t="str">
        <f>IFERROR(INDEX(样本到样信息汇总统计!D$2:D$500,MATCH(82,样本到样信息汇总统计!$X$2:$X$500,0)),"")</f>
        <v/>
      </c>
      <c r="E83" s="8" t="str">
        <f>IFERROR(INDEX(样本到样信息汇总统计!E$2:E$500,MATCH(82,样本到样信息汇总统计!$X$2:$X$500,0)),"")</f>
        <v/>
      </c>
      <c r="F83" s="8" t="str">
        <f>IFERROR(INDEX(样本到样信息汇总统计!F$2:F$500,MATCH(82,样本到样信息汇总统计!$X$2:$X$500,0)),"")</f>
        <v/>
      </c>
      <c r="G83" s="8" t="str">
        <f>IFERROR(INDEX(样本到样信息汇总统计!G$2:G$500,MATCH(82,样本到样信息汇总统计!$X$2:$X$500,0)),"")</f>
        <v/>
      </c>
      <c r="H83" s="8" t="str">
        <f>IFERROR(INDEX(样本到样信息汇总统计!H$2:H$500,MATCH(82,样本到样信息汇总统计!$X$2:$X$500,0)),"")</f>
        <v/>
      </c>
      <c r="I83" s="8" t="str">
        <f>IFERROR(INDEX(样本到样信息汇总统计!I$2:I$500,MATCH(82,样本到样信息汇总统计!$X$2:$X$500,0)),"")</f>
        <v/>
      </c>
      <c r="J83" s="8" t="str">
        <f>IFERROR(INDEX(样本到样信息汇总统计!J$2:J$500,MATCH(82,样本到样信息汇总统计!$X$2:$X$500,0)),"")</f>
        <v/>
      </c>
      <c r="K83" s="15" t="str">
        <f>IFERROR(INDEX(样本到样信息汇总统计!K$2:K$500,MATCH(82,样本到样信息汇总统计!$X$2:$X$500,0)),"")</f>
        <v/>
      </c>
      <c r="L83" s="8" t="str">
        <f>IFERROR(INDEX(样本到样信息汇总统计!L$2:L$500,MATCH(82,样本到样信息汇总统计!$X$2:$X$500,0)),"")</f>
        <v/>
      </c>
      <c r="M83" s="8" t="str">
        <f>IFERROR(INDEX(样本到样信息汇总统计!M$2:M$500,MATCH(82,样本到样信息汇总统计!$X$2:$X$500,0)),"")</f>
        <v/>
      </c>
      <c r="N83" s="8" t="str">
        <f>IFERROR(INDEX(样本到样信息汇总统计!N$2:N$500,MATCH(82,样本到样信息汇总统计!$X$2:$X$500,0)),"")</f>
        <v/>
      </c>
      <c r="O83" s="8" t="str">
        <f>IFERROR(INDEX(样本到样信息汇总统计!O$2:O$500,MATCH(82,样本到样信息汇总统计!$X$2:$X$500,0)),"")</f>
        <v/>
      </c>
      <c r="P83" s="8" t="str">
        <f>IFERROR(INDEX(样本到样信息汇总统计!P$2:P$500,MATCH(82,样本到样信息汇总统计!$X$2:$X$500,0)),"")</f>
        <v/>
      </c>
      <c r="Q83" s="8" t="str">
        <f>IFERROR(INDEX(样本到样信息汇总统计!Q$2:Q$500,MATCH(82,样本到样信息汇总统计!$X$2:$X$500,0)),"")</f>
        <v/>
      </c>
      <c r="R83" s="8" t="str">
        <f>IFERROR(INDEX(样本到样信息汇总统计!R$2:R$500,MATCH(82,样本到样信息汇总统计!$X$2:$X$500,0)),"")</f>
        <v/>
      </c>
      <c r="S83" s="8" t="str">
        <f>IFERROR(INDEX(样本到样信息汇总统计!S$2:S$500,MATCH(82,样本到样信息汇总统计!$X$2:$X$500,0)),"")</f>
        <v/>
      </c>
      <c r="T83" s="8" t="str">
        <f>IFERROR(INDEX(样本到样信息汇总统计!T$2:T$500,MATCH(82,样本到样信息汇总统计!$X$2:$X$500,0)),"")</f>
        <v/>
      </c>
      <c r="U83" s="8" t="str">
        <f>IFERROR(INDEX(样本到样信息汇总统计!U$2:U$500,MATCH(82,样本到样信息汇总统计!$X$2:$X$500,0)),"")</f>
        <v/>
      </c>
      <c r="V83" s="8" t="str">
        <f>IFERROR(INDEX(样本到样信息汇总统计!V$2:V$500,MATCH(82,样本到样信息汇总统计!$X$2:$X$500,0)),"")</f>
        <v/>
      </c>
      <c r="W83" s="8" t="str">
        <f>IFERROR(INDEX(样本到样信息汇总统计!W$2:W$500,MATCH(82,样本到样信息汇总统计!$X$2:$X$500,0)),"")</f>
        <v/>
      </c>
    </row>
    <row r="84" ht="14.5" spans="1:23">
      <c r="A84" s="4" t="str">
        <f>IFERROR(INDEX(样本到样信息汇总统计!A$2:A$500,MATCH(83,样本到样信息汇总统计!$X$2:$X$500,0)),"")</f>
        <v/>
      </c>
      <c r="B84" s="4" t="str">
        <f>IFERROR(INDEX(样本到样信息汇总统计!B$2:B$500,MATCH(83,样本到样信息汇总统计!$X$2:$X$500,0)),"")</f>
        <v/>
      </c>
      <c r="C84" s="4" t="str">
        <f>IFERROR(INDEX(样本到样信息汇总统计!C$2:C$500,MATCH(83,样本到样信息汇总统计!$X$2:$X$500,0)),"")</f>
        <v/>
      </c>
      <c r="D84" s="4" t="str">
        <f>IFERROR(INDEX(样本到样信息汇总统计!D$2:D$500,MATCH(83,样本到样信息汇总统计!$X$2:$X$500,0)),"")</f>
        <v/>
      </c>
      <c r="E84" s="4" t="str">
        <f>IFERROR(INDEX(样本到样信息汇总统计!E$2:E$500,MATCH(83,样本到样信息汇总统计!$X$2:$X$500,0)),"")</f>
        <v/>
      </c>
      <c r="F84" s="4" t="str">
        <f>IFERROR(INDEX(样本到样信息汇总统计!F$2:F$500,MATCH(83,样本到样信息汇总统计!$X$2:$X$500,0)),"")</f>
        <v/>
      </c>
      <c r="G84" s="4" t="str">
        <f>IFERROR(INDEX(样本到样信息汇总统计!G$2:G$500,MATCH(83,样本到样信息汇总统计!$X$2:$X$500,0)),"")</f>
        <v/>
      </c>
      <c r="H84" s="4" t="str">
        <f>IFERROR(INDEX(样本到样信息汇总统计!H$2:H$500,MATCH(83,样本到样信息汇总统计!$X$2:$X$500,0)),"")</f>
        <v/>
      </c>
      <c r="I84" s="4" t="str">
        <f>IFERROR(INDEX(样本到样信息汇总统计!I$2:I$500,MATCH(83,样本到样信息汇总统计!$X$2:$X$500,0)),"")</f>
        <v/>
      </c>
      <c r="J84" s="4" t="str">
        <f>IFERROR(INDEX(样本到样信息汇总统计!J$2:J$500,MATCH(83,样本到样信息汇总统计!$X$2:$X$500,0)),"")</f>
        <v/>
      </c>
      <c r="K84" s="14" t="str">
        <f>IFERROR(INDEX(样本到样信息汇总统计!K$2:K$500,MATCH(83,样本到样信息汇总统计!$X$2:$X$500,0)),"")</f>
        <v/>
      </c>
      <c r="L84" s="4" t="str">
        <f>IFERROR(INDEX(样本到样信息汇总统计!L$2:L$500,MATCH(83,样本到样信息汇总统计!$X$2:$X$500,0)),"")</f>
        <v/>
      </c>
      <c r="M84" s="4" t="str">
        <f>IFERROR(INDEX(样本到样信息汇总统计!M$2:M$500,MATCH(83,样本到样信息汇总统计!$X$2:$X$500,0)),"")</f>
        <v/>
      </c>
      <c r="N84" s="4" t="str">
        <f>IFERROR(INDEX(样本到样信息汇总统计!N$2:N$500,MATCH(83,样本到样信息汇总统计!$X$2:$X$500,0)),"")</f>
        <v/>
      </c>
      <c r="O84" s="4" t="str">
        <f>IFERROR(INDEX(样本到样信息汇总统计!O$2:O$500,MATCH(83,样本到样信息汇总统计!$X$2:$X$500,0)),"")</f>
        <v/>
      </c>
      <c r="P84" s="4" t="str">
        <f>IFERROR(INDEX(样本到样信息汇总统计!P$2:P$500,MATCH(83,样本到样信息汇总统计!$X$2:$X$500,0)),"")</f>
        <v/>
      </c>
      <c r="Q84" s="4" t="str">
        <f>IFERROR(INDEX(样本到样信息汇总统计!Q$2:Q$500,MATCH(83,样本到样信息汇总统计!$X$2:$X$500,0)),"")</f>
        <v/>
      </c>
      <c r="R84" s="4" t="str">
        <f>IFERROR(INDEX(样本到样信息汇总统计!R$2:R$500,MATCH(83,样本到样信息汇总统计!$X$2:$X$500,0)),"")</f>
        <v/>
      </c>
      <c r="S84" s="4" t="str">
        <f>IFERROR(INDEX(样本到样信息汇总统计!S$2:S$500,MATCH(83,样本到样信息汇总统计!$X$2:$X$500,0)),"")</f>
        <v/>
      </c>
      <c r="T84" s="4" t="str">
        <f>IFERROR(INDEX(样本到样信息汇总统计!T$2:T$500,MATCH(83,样本到样信息汇总统计!$X$2:$X$500,0)),"")</f>
        <v/>
      </c>
      <c r="U84" s="4" t="str">
        <f>IFERROR(INDEX(样本到样信息汇总统计!U$2:U$500,MATCH(83,样本到样信息汇总统计!$X$2:$X$500,0)),"")</f>
        <v/>
      </c>
      <c r="V84" s="4" t="str">
        <f>IFERROR(INDEX(样本到样信息汇总统计!V$2:V$500,MATCH(83,样本到样信息汇总统计!$X$2:$X$500,0)),"")</f>
        <v/>
      </c>
      <c r="W84" s="4" t="str">
        <f>IFERROR(INDEX(样本到样信息汇总统计!W$2:W$500,MATCH(83,样本到样信息汇总统计!$X$2:$X$500,0)),"")</f>
        <v/>
      </c>
    </row>
    <row r="85" ht="14.5" spans="1:23">
      <c r="A85" s="8" t="str">
        <f>IFERROR(INDEX(样本到样信息汇总统计!A$2:A$500,MATCH(84,样本到样信息汇总统计!$X$2:$X$500,0)),"")</f>
        <v/>
      </c>
      <c r="B85" s="8" t="str">
        <f>IFERROR(INDEX(样本到样信息汇总统计!B$2:B$500,MATCH(84,样本到样信息汇总统计!$X$2:$X$500,0)),"")</f>
        <v/>
      </c>
      <c r="C85" s="8" t="str">
        <f>IFERROR(INDEX(样本到样信息汇总统计!C$2:C$500,MATCH(84,样本到样信息汇总统计!$X$2:$X$500,0)),"")</f>
        <v/>
      </c>
      <c r="D85" s="8" t="str">
        <f>IFERROR(INDEX(样本到样信息汇总统计!D$2:D$500,MATCH(84,样本到样信息汇总统计!$X$2:$X$500,0)),"")</f>
        <v/>
      </c>
      <c r="E85" s="8" t="str">
        <f>IFERROR(INDEX(样本到样信息汇总统计!E$2:E$500,MATCH(84,样本到样信息汇总统计!$X$2:$X$500,0)),"")</f>
        <v/>
      </c>
      <c r="F85" s="8" t="str">
        <f>IFERROR(INDEX(样本到样信息汇总统计!F$2:F$500,MATCH(84,样本到样信息汇总统计!$X$2:$X$500,0)),"")</f>
        <v/>
      </c>
      <c r="G85" s="8" t="str">
        <f>IFERROR(INDEX(样本到样信息汇总统计!G$2:G$500,MATCH(84,样本到样信息汇总统计!$X$2:$X$500,0)),"")</f>
        <v/>
      </c>
      <c r="H85" s="8" t="str">
        <f>IFERROR(INDEX(样本到样信息汇总统计!H$2:H$500,MATCH(84,样本到样信息汇总统计!$X$2:$X$500,0)),"")</f>
        <v/>
      </c>
      <c r="I85" s="8" t="str">
        <f>IFERROR(INDEX(样本到样信息汇总统计!I$2:I$500,MATCH(84,样本到样信息汇总统计!$X$2:$X$500,0)),"")</f>
        <v/>
      </c>
      <c r="J85" s="8" t="str">
        <f>IFERROR(INDEX(样本到样信息汇总统计!J$2:J$500,MATCH(84,样本到样信息汇总统计!$X$2:$X$500,0)),"")</f>
        <v/>
      </c>
      <c r="K85" s="15" t="str">
        <f>IFERROR(INDEX(样本到样信息汇总统计!K$2:K$500,MATCH(84,样本到样信息汇总统计!$X$2:$X$500,0)),"")</f>
        <v/>
      </c>
      <c r="L85" s="8" t="str">
        <f>IFERROR(INDEX(样本到样信息汇总统计!L$2:L$500,MATCH(84,样本到样信息汇总统计!$X$2:$X$500,0)),"")</f>
        <v/>
      </c>
      <c r="M85" s="8" t="str">
        <f>IFERROR(INDEX(样本到样信息汇总统计!M$2:M$500,MATCH(84,样本到样信息汇总统计!$X$2:$X$500,0)),"")</f>
        <v/>
      </c>
      <c r="N85" s="8" t="str">
        <f>IFERROR(INDEX(样本到样信息汇总统计!N$2:N$500,MATCH(84,样本到样信息汇总统计!$X$2:$X$500,0)),"")</f>
        <v/>
      </c>
      <c r="O85" s="8" t="str">
        <f>IFERROR(INDEX(样本到样信息汇总统计!O$2:O$500,MATCH(84,样本到样信息汇总统计!$X$2:$X$500,0)),"")</f>
        <v/>
      </c>
      <c r="P85" s="8" t="str">
        <f>IFERROR(INDEX(样本到样信息汇总统计!P$2:P$500,MATCH(84,样本到样信息汇总统计!$X$2:$X$500,0)),"")</f>
        <v/>
      </c>
      <c r="Q85" s="8" t="str">
        <f>IFERROR(INDEX(样本到样信息汇总统计!Q$2:Q$500,MATCH(84,样本到样信息汇总统计!$X$2:$X$500,0)),"")</f>
        <v/>
      </c>
      <c r="R85" s="8" t="str">
        <f>IFERROR(INDEX(样本到样信息汇总统计!R$2:R$500,MATCH(84,样本到样信息汇总统计!$X$2:$X$500,0)),"")</f>
        <v/>
      </c>
      <c r="S85" s="8" t="str">
        <f>IFERROR(INDEX(样本到样信息汇总统计!S$2:S$500,MATCH(84,样本到样信息汇总统计!$X$2:$X$500,0)),"")</f>
        <v/>
      </c>
      <c r="T85" s="8" t="str">
        <f>IFERROR(INDEX(样本到样信息汇总统计!T$2:T$500,MATCH(84,样本到样信息汇总统计!$X$2:$X$500,0)),"")</f>
        <v/>
      </c>
      <c r="U85" s="8" t="str">
        <f>IFERROR(INDEX(样本到样信息汇总统计!U$2:U$500,MATCH(84,样本到样信息汇总统计!$X$2:$X$500,0)),"")</f>
        <v/>
      </c>
      <c r="V85" s="8" t="str">
        <f>IFERROR(INDEX(样本到样信息汇总统计!V$2:V$500,MATCH(84,样本到样信息汇总统计!$X$2:$X$500,0)),"")</f>
        <v/>
      </c>
      <c r="W85" s="8" t="str">
        <f>IFERROR(INDEX(样本到样信息汇总统计!W$2:W$500,MATCH(84,样本到样信息汇总统计!$X$2:$X$500,0)),"")</f>
        <v/>
      </c>
    </row>
    <row r="86" ht="14.5" spans="1:23">
      <c r="A86" s="4" t="str">
        <f>IFERROR(INDEX(样本到样信息汇总统计!A$2:A$500,MATCH(85,样本到样信息汇总统计!$X$2:$X$500,0)),"")</f>
        <v/>
      </c>
      <c r="B86" s="4" t="str">
        <f>IFERROR(INDEX(样本到样信息汇总统计!B$2:B$500,MATCH(85,样本到样信息汇总统计!$X$2:$X$500,0)),"")</f>
        <v/>
      </c>
      <c r="C86" s="4" t="str">
        <f>IFERROR(INDEX(样本到样信息汇总统计!C$2:C$500,MATCH(85,样本到样信息汇总统计!$X$2:$X$500,0)),"")</f>
        <v/>
      </c>
      <c r="D86" s="4" t="str">
        <f>IFERROR(INDEX(样本到样信息汇总统计!D$2:D$500,MATCH(85,样本到样信息汇总统计!$X$2:$X$500,0)),"")</f>
        <v/>
      </c>
      <c r="E86" s="4" t="str">
        <f>IFERROR(INDEX(样本到样信息汇总统计!E$2:E$500,MATCH(85,样本到样信息汇总统计!$X$2:$X$500,0)),"")</f>
        <v/>
      </c>
      <c r="F86" s="4" t="str">
        <f>IFERROR(INDEX(样本到样信息汇总统计!F$2:F$500,MATCH(85,样本到样信息汇总统计!$X$2:$X$500,0)),"")</f>
        <v/>
      </c>
      <c r="G86" s="4" t="str">
        <f>IFERROR(INDEX(样本到样信息汇总统计!G$2:G$500,MATCH(85,样本到样信息汇总统计!$X$2:$X$500,0)),"")</f>
        <v/>
      </c>
      <c r="H86" s="4" t="str">
        <f>IFERROR(INDEX(样本到样信息汇总统计!H$2:H$500,MATCH(85,样本到样信息汇总统计!$X$2:$X$500,0)),"")</f>
        <v/>
      </c>
      <c r="I86" s="4" t="str">
        <f>IFERROR(INDEX(样本到样信息汇总统计!I$2:I$500,MATCH(85,样本到样信息汇总统计!$X$2:$X$500,0)),"")</f>
        <v/>
      </c>
      <c r="J86" s="4" t="str">
        <f>IFERROR(INDEX(样本到样信息汇总统计!J$2:J$500,MATCH(85,样本到样信息汇总统计!$X$2:$X$500,0)),"")</f>
        <v/>
      </c>
      <c r="K86" s="14" t="str">
        <f>IFERROR(INDEX(样本到样信息汇总统计!K$2:K$500,MATCH(85,样本到样信息汇总统计!$X$2:$X$500,0)),"")</f>
        <v/>
      </c>
      <c r="L86" s="4" t="str">
        <f>IFERROR(INDEX(样本到样信息汇总统计!L$2:L$500,MATCH(85,样本到样信息汇总统计!$X$2:$X$500,0)),"")</f>
        <v/>
      </c>
      <c r="M86" s="4" t="str">
        <f>IFERROR(INDEX(样本到样信息汇总统计!M$2:M$500,MATCH(85,样本到样信息汇总统计!$X$2:$X$500,0)),"")</f>
        <v/>
      </c>
      <c r="N86" s="4" t="str">
        <f>IFERROR(INDEX(样本到样信息汇总统计!N$2:N$500,MATCH(85,样本到样信息汇总统计!$X$2:$X$500,0)),"")</f>
        <v/>
      </c>
      <c r="O86" s="4" t="str">
        <f>IFERROR(INDEX(样本到样信息汇总统计!O$2:O$500,MATCH(85,样本到样信息汇总统计!$X$2:$X$500,0)),"")</f>
        <v/>
      </c>
      <c r="P86" s="4" t="str">
        <f>IFERROR(INDEX(样本到样信息汇总统计!P$2:P$500,MATCH(85,样本到样信息汇总统计!$X$2:$X$500,0)),"")</f>
        <v/>
      </c>
      <c r="Q86" s="4" t="str">
        <f>IFERROR(INDEX(样本到样信息汇总统计!Q$2:Q$500,MATCH(85,样本到样信息汇总统计!$X$2:$X$500,0)),"")</f>
        <v/>
      </c>
      <c r="R86" s="4" t="str">
        <f>IFERROR(INDEX(样本到样信息汇总统计!R$2:R$500,MATCH(85,样本到样信息汇总统计!$X$2:$X$500,0)),"")</f>
        <v/>
      </c>
      <c r="S86" s="4" t="str">
        <f>IFERROR(INDEX(样本到样信息汇总统计!S$2:S$500,MATCH(85,样本到样信息汇总统计!$X$2:$X$500,0)),"")</f>
        <v/>
      </c>
      <c r="T86" s="4" t="str">
        <f>IFERROR(INDEX(样本到样信息汇总统计!T$2:T$500,MATCH(85,样本到样信息汇总统计!$X$2:$X$500,0)),"")</f>
        <v/>
      </c>
      <c r="U86" s="4" t="str">
        <f>IFERROR(INDEX(样本到样信息汇总统计!U$2:U$500,MATCH(85,样本到样信息汇总统计!$X$2:$X$500,0)),"")</f>
        <v/>
      </c>
      <c r="V86" s="4" t="str">
        <f>IFERROR(INDEX(样本到样信息汇总统计!V$2:V$500,MATCH(85,样本到样信息汇总统计!$X$2:$X$500,0)),"")</f>
        <v/>
      </c>
      <c r="W86" s="4" t="str">
        <f>IFERROR(INDEX(样本到样信息汇总统计!W$2:W$500,MATCH(85,样本到样信息汇总统计!$X$2:$X$500,0)),"")</f>
        <v/>
      </c>
    </row>
    <row r="87" ht="14.5" spans="1:23">
      <c r="A87" s="8" t="str">
        <f>IFERROR(INDEX(样本到样信息汇总统计!A$2:A$500,MATCH(86,样本到样信息汇总统计!$X$2:$X$500,0)),"")</f>
        <v/>
      </c>
      <c r="B87" s="8" t="str">
        <f>IFERROR(INDEX(样本到样信息汇总统计!B$2:B$500,MATCH(86,样本到样信息汇总统计!$X$2:$X$500,0)),"")</f>
        <v/>
      </c>
      <c r="C87" s="8" t="str">
        <f>IFERROR(INDEX(样本到样信息汇总统计!C$2:C$500,MATCH(86,样本到样信息汇总统计!$X$2:$X$500,0)),"")</f>
        <v/>
      </c>
      <c r="D87" s="8" t="str">
        <f>IFERROR(INDEX(样本到样信息汇总统计!D$2:D$500,MATCH(86,样本到样信息汇总统计!$X$2:$X$500,0)),"")</f>
        <v/>
      </c>
      <c r="E87" s="8" t="str">
        <f>IFERROR(INDEX(样本到样信息汇总统计!E$2:E$500,MATCH(86,样本到样信息汇总统计!$X$2:$X$500,0)),"")</f>
        <v/>
      </c>
      <c r="F87" s="8" t="str">
        <f>IFERROR(INDEX(样本到样信息汇总统计!F$2:F$500,MATCH(86,样本到样信息汇总统计!$X$2:$X$500,0)),"")</f>
        <v/>
      </c>
      <c r="G87" s="8" t="str">
        <f>IFERROR(INDEX(样本到样信息汇总统计!G$2:G$500,MATCH(86,样本到样信息汇总统计!$X$2:$X$500,0)),"")</f>
        <v/>
      </c>
      <c r="H87" s="8" t="str">
        <f>IFERROR(INDEX(样本到样信息汇总统计!H$2:H$500,MATCH(86,样本到样信息汇总统计!$X$2:$X$500,0)),"")</f>
        <v/>
      </c>
      <c r="I87" s="8" t="str">
        <f>IFERROR(INDEX(样本到样信息汇总统计!I$2:I$500,MATCH(86,样本到样信息汇总统计!$X$2:$X$500,0)),"")</f>
        <v/>
      </c>
      <c r="J87" s="8" t="str">
        <f>IFERROR(INDEX(样本到样信息汇总统计!J$2:J$500,MATCH(86,样本到样信息汇总统计!$X$2:$X$500,0)),"")</f>
        <v/>
      </c>
      <c r="K87" s="15" t="str">
        <f>IFERROR(INDEX(样本到样信息汇总统计!K$2:K$500,MATCH(86,样本到样信息汇总统计!$X$2:$X$500,0)),"")</f>
        <v/>
      </c>
      <c r="L87" s="8" t="str">
        <f>IFERROR(INDEX(样本到样信息汇总统计!L$2:L$500,MATCH(86,样本到样信息汇总统计!$X$2:$X$500,0)),"")</f>
        <v/>
      </c>
      <c r="M87" s="8" t="str">
        <f>IFERROR(INDEX(样本到样信息汇总统计!M$2:M$500,MATCH(86,样本到样信息汇总统计!$X$2:$X$500,0)),"")</f>
        <v/>
      </c>
      <c r="N87" s="8" t="str">
        <f>IFERROR(INDEX(样本到样信息汇总统计!N$2:N$500,MATCH(86,样本到样信息汇总统计!$X$2:$X$500,0)),"")</f>
        <v/>
      </c>
      <c r="O87" s="8" t="str">
        <f>IFERROR(INDEX(样本到样信息汇总统计!O$2:O$500,MATCH(86,样本到样信息汇总统计!$X$2:$X$500,0)),"")</f>
        <v/>
      </c>
      <c r="P87" s="8" t="str">
        <f>IFERROR(INDEX(样本到样信息汇总统计!P$2:P$500,MATCH(86,样本到样信息汇总统计!$X$2:$X$500,0)),"")</f>
        <v/>
      </c>
      <c r="Q87" s="8" t="str">
        <f>IFERROR(INDEX(样本到样信息汇总统计!Q$2:Q$500,MATCH(86,样本到样信息汇总统计!$X$2:$X$500,0)),"")</f>
        <v/>
      </c>
      <c r="R87" s="8" t="str">
        <f>IFERROR(INDEX(样本到样信息汇总统计!R$2:R$500,MATCH(86,样本到样信息汇总统计!$X$2:$X$500,0)),"")</f>
        <v/>
      </c>
      <c r="S87" s="8" t="str">
        <f>IFERROR(INDEX(样本到样信息汇总统计!S$2:S$500,MATCH(86,样本到样信息汇总统计!$X$2:$X$500,0)),"")</f>
        <v/>
      </c>
      <c r="T87" s="8" t="str">
        <f>IFERROR(INDEX(样本到样信息汇总统计!T$2:T$500,MATCH(86,样本到样信息汇总统计!$X$2:$X$500,0)),"")</f>
        <v/>
      </c>
      <c r="U87" s="8" t="str">
        <f>IFERROR(INDEX(样本到样信息汇总统计!U$2:U$500,MATCH(86,样本到样信息汇总统计!$X$2:$X$500,0)),"")</f>
        <v/>
      </c>
      <c r="V87" s="8" t="str">
        <f>IFERROR(INDEX(样本到样信息汇总统计!V$2:V$500,MATCH(86,样本到样信息汇总统计!$X$2:$X$500,0)),"")</f>
        <v/>
      </c>
      <c r="W87" s="8" t="str">
        <f>IFERROR(INDEX(样本到样信息汇总统计!W$2:W$500,MATCH(86,样本到样信息汇总统计!$X$2:$X$500,0)),"")</f>
        <v/>
      </c>
    </row>
    <row r="88" ht="14.5" spans="1:23">
      <c r="A88" s="4" t="str">
        <f>IFERROR(INDEX(样本到样信息汇总统计!A$2:A$500,MATCH(87,样本到样信息汇总统计!$X$2:$X$500,0)),"")</f>
        <v/>
      </c>
      <c r="B88" s="4" t="str">
        <f>IFERROR(INDEX(样本到样信息汇总统计!B$2:B$500,MATCH(87,样本到样信息汇总统计!$X$2:$X$500,0)),"")</f>
        <v/>
      </c>
      <c r="C88" s="4" t="str">
        <f>IFERROR(INDEX(样本到样信息汇总统计!C$2:C$500,MATCH(87,样本到样信息汇总统计!$X$2:$X$500,0)),"")</f>
        <v/>
      </c>
      <c r="D88" s="4" t="str">
        <f>IFERROR(INDEX(样本到样信息汇总统计!D$2:D$500,MATCH(87,样本到样信息汇总统计!$X$2:$X$500,0)),"")</f>
        <v/>
      </c>
      <c r="E88" s="4" t="str">
        <f>IFERROR(INDEX(样本到样信息汇总统计!E$2:E$500,MATCH(87,样本到样信息汇总统计!$X$2:$X$500,0)),"")</f>
        <v/>
      </c>
      <c r="F88" s="4" t="str">
        <f>IFERROR(INDEX(样本到样信息汇总统计!F$2:F$500,MATCH(87,样本到样信息汇总统计!$X$2:$X$500,0)),"")</f>
        <v/>
      </c>
      <c r="G88" s="4" t="str">
        <f>IFERROR(INDEX(样本到样信息汇总统计!G$2:G$500,MATCH(87,样本到样信息汇总统计!$X$2:$X$500,0)),"")</f>
        <v/>
      </c>
      <c r="H88" s="4" t="str">
        <f>IFERROR(INDEX(样本到样信息汇总统计!H$2:H$500,MATCH(87,样本到样信息汇总统计!$X$2:$X$500,0)),"")</f>
        <v/>
      </c>
      <c r="I88" s="4" t="str">
        <f>IFERROR(INDEX(样本到样信息汇总统计!I$2:I$500,MATCH(87,样本到样信息汇总统计!$X$2:$X$500,0)),"")</f>
        <v/>
      </c>
      <c r="J88" s="4" t="str">
        <f>IFERROR(INDEX(样本到样信息汇总统计!J$2:J$500,MATCH(87,样本到样信息汇总统计!$X$2:$X$500,0)),"")</f>
        <v/>
      </c>
      <c r="K88" s="14" t="str">
        <f>IFERROR(INDEX(样本到样信息汇总统计!K$2:K$500,MATCH(87,样本到样信息汇总统计!$X$2:$X$500,0)),"")</f>
        <v/>
      </c>
      <c r="L88" s="4" t="str">
        <f>IFERROR(INDEX(样本到样信息汇总统计!L$2:L$500,MATCH(87,样本到样信息汇总统计!$X$2:$X$500,0)),"")</f>
        <v/>
      </c>
      <c r="M88" s="4" t="str">
        <f>IFERROR(INDEX(样本到样信息汇总统计!M$2:M$500,MATCH(87,样本到样信息汇总统计!$X$2:$X$500,0)),"")</f>
        <v/>
      </c>
      <c r="N88" s="4" t="str">
        <f>IFERROR(INDEX(样本到样信息汇总统计!N$2:N$500,MATCH(87,样本到样信息汇总统计!$X$2:$X$500,0)),"")</f>
        <v/>
      </c>
      <c r="O88" s="4" t="str">
        <f>IFERROR(INDEX(样本到样信息汇总统计!O$2:O$500,MATCH(87,样本到样信息汇总统计!$X$2:$X$500,0)),"")</f>
        <v/>
      </c>
      <c r="P88" s="4" t="str">
        <f>IFERROR(INDEX(样本到样信息汇总统计!P$2:P$500,MATCH(87,样本到样信息汇总统计!$X$2:$X$500,0)),"")</f>
        <v/>
      </c>
      <c r="Q88" s="4" t="str">
        <f>IFERROR(INDEX(样本到样信息汇总统计!Q$2:Q$500,MATCH(87,样本到样信息汇总统计!$X$2:$X$500,0)),"")</f>
        <v/>
      </c>
      <c r="R88" s="4" t="str">
        <f>IFERROR(INDEX(样本到样信息汇总统计!R$2:R$500,MATCH(87,样本到样信息汇总统计!$X$2:$X$500,0)),"")</f>
        <v/>
      </c>
      <c r="S88" s="4" t="str">
        <f>IFERROR(INDEX(样本到样信息汇总统计!S$2:S$500,MATCH(87,样本到样信息汇总统计!$X$2:$X$500,0)),"")</f>
        <v/>
      </c>
      <c r="T88" s="4" t="str">
        <f>IFERROR(INDEX(样本到样信息汇总统计!T$2:T$500,MATCH(87,样本到样信息汇总统计!$X$2:$X$500,0)),"")</f>
        <v/>
      </c>
      <c r="U88" s="4" t="str">
        <f>IFERROR(INDEX(样本到样信息汇总统计!U$2:U$500,MATCH(87,样本到样信息汇总统计!$X$2:$X$500,0)),"")</f>
        <v/>
      </c>
      <c r="V88" s="4" t="str">
        <f>IFERROR(INDEX(样本到样信息汇总统计!V$2:V$500,MATCH(87,样本到样信息汇总统计!$X$2:$X$500,0)),"")</f>
        <v/>
      </c>
      <c r="W88" s="4" t="str">
        <f>IFERROR(INDEX(样本到样信息汇总统计!W$2:W$500,MATCH(87,样本到样信息汇总统计!$X$2:$X$500,0)),"")</f>
        <v/>
      </c>
    </row>
    <row r="89" ht="14.5" spans="1:23">
      <c r="A89" s="8" t="str">
        <f>IFERROR(INDEX(样本到样信息汇总统计!A$2:A$500,MATCH(88,样本到样信息汇总统计!$X$2:$X$500,0)),"")</f>
        <v/>
      </c>
      <c r="B89" s="8" t="str">
        <f>IFERROR(INDEX(样本到样信息汇总统计!B$2:B$500,MATCH(88,样本到样信息汇总统计!$X$2:$X$500,0)),"")</f>
        <v/>
      </c>
      <c r="C89" s="8" t="str">
        <f>IFERROR(INDEX(样本到样信息汇总统计!C$2:C$500,MATCH(88,样本到样信息汇总统计!$X$2:$X$500,0)),"")</f>
        <v/>
      </c>
      <c r="D89" s="8" t="str">
        <f>IFERROR(INDEX(样本到样信息汇总统计!D$2:D$500,MATCH(88,样本到样信息汇总统计!$X$2:$X$500,0)),"")</f>
        <v/>
      </c>
      <c r="E89" s="8" t="str">
        <f>IFERROR(INDEX(样本到样信息汇总统计!E$2:E$500,MATCH(88,样本到样信息汇总统计!$X$2:$X$500,0)),"")</f>
        <v/>
      </c>
      <c r="F89" s="8" t="str">
        <f>IFERROR(INDEX(样本到样信息汇总统计!F$2:F$500,MATCH(88,样本到样信息汇总统计!$X$2:$X$500,0)),"")</f>
        <v/>
      </c>
      <c r="G89" s="8" t="str">
        <f>IFERROR(INDEX(样本到样信息汇总统计!G$2:G$500,MATCH(88,样本到样信息汇总统计!$X$2:$X$500,0)),"")</f>
        <v/>
      </c>
      <c r="H89" s="8" t="str">
        <f>IFERROR(INDEX(样本到样信息汇总统计!H$2:H$500,MATCH(88,样本到样信息汇总统计!$X$2:$X$500,0)),"")</f>
        <v/>
      </c>
      <c r="I89" s="8" t="str">
        <f>IFERROR(INDEX(样本到样信息汇总统计!I$2:I$500,MATCH(88,样本到样信息汇总统计!$X$2:$X$500,0)),"")</f>
        <v/>
      </c>
      <c r="J89" s="8" t="str">
        <f>IFERROR(INDEX(样本到样信息汇总统计!J$2:J$500,MATCH(88,样本到样信息汇总统计!$X$2:$X$500,0)),"")</f>
        <v/>
      </c>
      <c r="K89" s="15" t="str">
        <f>IFERROR(INDEX(样本到样信息汇总统计!K$2:K$500,MATCH(88,样本到样信息汇总统计!$X$2:$X$500,0)),"")</f>
        <v/>
      </c>
      <c r="L89" s="8" t="str">
        <f>IFERROR(INDEX(样本到样信息汇总统计!L$2:L$500,MATCH(88,样本到样信息汇总统计!$X$2:$X$500,0)),"")</f>
        <v/>
      </c>
      <c r="M89" s="8" t="str">
        <f>IFERROR(INDEX(样本到样信息汇总统计!M$2:M$500,MATCH(88,样本到样信息汇总统计!$X$2:$X$500,0)),"")</f>
        <v/>
      </c>
      <c r="N89" s="8" t="str">
        <f>IFERROR(INDEX(样本到样信息汇总统计!N$2:N$500,MATCH(88,样本到样信息汇总统计!$X$2:$X$500,0)),"")</f>
        <v/>
      </c>
      <c r="O89" s="8" t="str">
        <f>IFERROR(INDEX(样本到样信息汇总统计!O$2:O$500,MATCH(88,样本到样信息汇总统计!$X$2:$X$500,0)),"")</f>
        <v/>
      </c>
      <c r="P89" s="8" t="str">
        <f>IFERROR(INDEX(样本到样信息汇总统计!P$2:P$500,MATCH(88,样本到样信息汇总统计!$X$2:$X$500,0)),"")</f>
        <v/>
      </c>
      <c r="Q89" s="8" t="str">
        <f>IFERROR(INDEX(样本到样信息汇总统计!Q$2:Q$500,MATCH(88,样本到样信息汇总统计!$X$2:$X$500,0)),"")</f>
        <v/>
      </c>
      <c r="R89" s="8" t="str">
        <f>IFERROR(INDEX(样本到样信息汇总统计!R$2:R$500,MATCH(88,样本到样信息汇总统计!$X$2:$X$500,0)),"")</f>
        <v/>
      </c>
      <c r="S89" s="8" t="str">
        <f>IFERROR(INDEX(样本到样信息汇总统计!S$2:S$500,MATCH(88,样本到样信息汇总统计!$X$2:$X$500,0)),"")</f>
        <v/>
      </c>
      <c r="T89" s="8" t="str">
        <f>IFERROR(INDEX(样本到样信息汇总统计!T$2:T$500,MATCH(88,样本到样信息汇总统计!$X$2:$X$500,0)),"")</f>
        <v/>
      </c>
      <c r="U89" s="8" t="str">
        <f>IFERROR(INDEX(样本到样信息汇总统计!U$2:U$500,MATCH(88,样本到样信息汇总统计!$X$2:$X$500,0)),"")</f>
        <v/>
      </c>
      <c r="V89" s="8" t="str">
        <f>IFERROR(INDEX(样本到样信息汇总统计!V$2:V$500,MATCH(88,样本到样信息汇总统计!$X$2:$X$500,0)),"")</f>
        <v/>
      </c>
      <c r="W89" s="8" t="str">
        <f>IFERROR(INDEX(样本到样信息汇总统计!W$2:W$500,MATCH(88,样本到样信息汇总统计!$X$2:$X$500,0)),"")</f>
        <v/>
      </c>
    </row>
    <row r="90" ht="14.5" spans="1:23">
      <c r="A90" s="4" t="str">
        <f>IFERROR(INDEX(样本到样信息汇总统计!A$2:A$500,MATCH(89,样本到样信息汇总统计!$X$2:$X$500,0)),"")</f>
        <v/>
      </c>
      <c r="B90" s="4" t="str">
        <f>IFERROR(INDEX(样本到样信息汇总统计!B$2:B$500,MATCH(89,样本到样信息汇总统计!$X$2:$X$500,0)),"")</f>
        <v/>
      </c>
      <c r="C90" s="4" t="str">
        <f>IFERROR(INDEX(样本到样信息汇总统计!C$2:C$500,MATCH(89,样本到样信息汇总统计!$X$2:$X$500,0)),"")</f>
        <v/>
      </c>
      <c r="D90" s="4" t="str">
        <f>IFERROR(INDEX(样本到样信息汇总统计!D$2:D$500,MATCH(89,样本到样信息汇总统计!$X$2:$X$500,0)),"")</f>
        <v/>
      </c>
      <c r="E90" s="4" t="str">
        <f>IFERROR(INDEX(样本到样信息汇总统计!E$2:E$500,MATCH(89,样本到样信息汇总统计!$X$2:$X$500,0)),"")</f>
        <v/>
      </c>
      <c r="F90" s="4" t="str">
        <f>IFERROR(INDEX(样本到样信息汇总统计!F$2:F$500,MATCH(89,样本到样信息汇总统计!$X$2:$X$500,0)),"")</f>
        <v/>
      </c>
      <c r="G90" s="4" t="str">
        <f>IFERROR(INDEX(样本到样信息汇总统计!G$2:G$500,MATCH(89,样本到样信息汇总统计!$X$2:$X$500,0)),"")</f>
        <v/>
      </c>
      <c r="H90" s="4" t="str">
        <f>IFERROR(INDEX(样本到样信息汇总统计!H$2:H$500,MATCH(89,样本到样信息汇总统计!$X$2:$X$500,0)),"")</f>
        <v/>
      </c>
      <c r="I90" s="4" t="str">
        <f>IFERROR(INDEX(样本到样信息汇总统计!I$2:I$500,MATCH(89,样本到样信息汇总统计!$X$2:$X$500,0)),"")</f>
        <v/>
      </c>
      <c r="J90" s="4" t="str">
        <f>IFERROR(INDEX(样本到样信息汇总统计!J$2:J$500,MATCH(89,样本到样信息汇总统计!$X$2:$X$500,0)),"")</f>
        <v/>
      </c>
      <c r="K90" s="14" t="str">
        <f>IFERROR(INDEX(样本到样信息汇总统计!K$2:K$500,MATCH(89,样本到样信息汇总统计!$X$2:$X$500,0)),"")</f>
        <v/>
      </c>
      <c r="L90" s="4" t="str">
        <f>IFERROR(INDEX(样本到样信息汇总统计!L$2:L$500,MATCH(89,样本到样信息汇总统计!$X$2:$X$500,0)),"")</f>
        <v/>
      </c>
      <c r="M90" s="4" t="str">
        <f>IFERROR(INDEX(样本到样信息汇总统计!M$2:M$500,MATCH(89,样本到样信息汇总统计!$X$2:$X$500,0)),"")</f>
        <v/>
      </c>
      <c r="N90" s="4" t="str">
        <f>IFERROR(INDEX(样本到样信息汇总统计!N$2:N$500,MATCH(89,样本到样信息汇总统计!$X$2:$X$500,0)),"")</f>
        <v/>
      </c>
      <c r="O90" s="4" t="str">
        <f>IFERROR(INDEX(样本到样信息汇总统计!O$2:O$500,MATCH(89,样本到样信息汇总统计!$X$2:$X$500,0)),"")</f>
        <v/>
      </c>
      <c r="P90" s="4" t="str">
        <f>IFERROR(INDEX(样本到样信息汇总统计!P$2:P$500,MATCH(89,样本到样信息汇总统计!$X$2:$X$500,0)),"")</f>
        <v/>
      </c>
      <c r="Q90" s="4" t="str">
        <f>IFERROR(INDEX(样本到样信息汇总统计!Q$2:Q$500,MATCH(89,样本到样信息汇总统计!$X$2:$X$500,0)),"")</f>
        <v/>
      </c>
      <c r="R90" s="4" t="str">
        <f>IFERROR(INDEX(样本到样信息汇总统计!R$2:R$500,MATCH(89,样本到样信息汇总统计!$X$2:$X$500,0)),"")</f>
        <v/>
      </c>
      <c r="S90" s="4" t="str">
        <f>IFERROR(INDEX(样本到样信息汇总统计!S$2:S$500,MATCH(89,样本到样信息汇总统计!$X$2:$X$500,0)),"")</f>
        <v/>
      </c>
      <c r="T90" s="4" t="str">
        <f>IFERROR(INDEX(样本到样信息汇总统计!T$2:T$500,MATCH(89,样本到样信息汇总统计!$X$2:$X$500,0)),"")</f>
        <v/>
      </c>
      <c r="U90" s="4" t="str">
        <f>IFERROR(INDEX(样本到样信息汇总统计!U$2:U$500,MATCH(89,样本到样信息汇总统计!$X$2:$X$500,0)),"")</f>
        <v/>
      </c>
      <c r="V90" s="4" t="str">
        <f>IFERROR(INDEX(样本到样信息汇总统计!V$2:V$500,MATCH(89,样本到样信息汇总统计!$X$2:$X$500,0)),"")</f>
        <v/>
      </c>
      <c r="W90" s="4" t="str">
        <f>IFERROR(INDEX(样本到样信息汇总统计!W$2:W$500,MATCH(89,样本到样信息汇总统计!$X$2:$X$500,0)),"")</f>
        <v/>
      </c>
    </row>
    <row r="91" ht="14.5" spans="1:23">
      <c r="A91" s="8" t="str">
        <f>IFERROR(INDEX(样本到样信息汇总统计!A$2:A$500,MATCH(90,样本到样信息汇总统计!$X$2:$X$500,0)),"")</f>
        <v/>
      </c>
      <c r="B91" s="8" t="str">
        <f>IFERROR(INDEX(样本到样信息汇总统计!B$2:B$500,MATCH(90,样本到样信息汇总统计!$X$2:$X$500,0)),"")</f>
        <v/>
      </c>
      <c r="C91" s="8" t="str">
        <f>IFERROR(INDEX(样本到样信息汇总统计!C$2:C$500,MATCH(90,样本到样信息汇总统计!$X$2:$X$500,0)),"")</f>
        <v/>
      </c>
      <c r="D91" s="8" t="str">
        <f>IFERROR(INDEX(样本到样信息汇总统计!D$2:D$500,MATCH(90,样本到样信息汇总统计!$X$2:$X$500,0)),"")</f>
        <v/>
      </c>
      <c r="E91" s="8" t="str">
        <f>IFERROR(INDEX(样本到样信息汇总统计!E$2:E$500,MATCH(90,样本到样信息汇总统计!$X$2:$X$500,0)),"")</f>
        <v/>
      </c>
      <c r="F91" s="8" t="str">
        <f>IFERROR(INDEX(样本到样信息汇总统计!F$2:F$500,MATCH(90,样本到样信息汇总统计!$X$2:$X$500,0)),"")</f>
        <v/>
      </c>
      <c r="G91" s="8" t="str">
        <f>IFERROR(INDEX(样本到样信息汇总统计!G$2:G$500,MATCH(90,样本到样信息汇总统计!$X$2:$X$500,0)),"")</f>
        <v/>
      </c>
      <c r="H91" s="8" t="str">
        <f>IFERROR(INDEX(样本到样信息汇总统计!H$2:H$500,MATCH(90,样本到样信息汇总统计!$X$2:$X$500,0)),"")</f>
        <v/>
      </c>
      <c r="I91" s="8" t="str">
        <f>IFERROR(INDEX(样本到样信息汇总统计!I$2:I$500,MATCH(90,样本到样信息汇总统计!$X$2:$X$500,0)),"")</f>
        <v/>
      </c>
      <c r="J91" s="8" t="str">
        <f>IFERROR(INDEX(样本到样信息汇总统计!J$2:J$500,MATCH(90,样本到样信息汇总统计!$X$2:$X$500,0)),"")</f>
        <v/>
      </c>
      <c r="K91" s="15" t="str">
        <f>IFERROR(INDEX(样本到样信息汇总统计!K$2:K$500,MATCH(90,样本到样信息汇总统计!$X$2:$X$500,0)),"")</f>
        <v/>
      </c>
      <c r="L91" s="8" t="str">
        <f>IFERROR(INDEX(样本到样信息汇总统计!L$2:L$500,MATCH(90,样本到样信息汇总统计!$X$2:$X$500,0)),"")</f>
        <v/>
      </c>
      <c r="M91" s="8" t="str">
        <f>IFERROR(INDEX(样本到样信息汇总统计!M$2:M$500,MATCH(90,样本到样信息汇总统计!$X$2:$X$500,0)),"")</f>
        <v/>
      </c>
      <c r="N91" s="8" t="str">
        <f>IFERROR(INDEX(样本到样信息汇总统计!N$2:N$500,MATCH(90,样本到样信息汇总统计!$X$2:$X$500,0)),"")</f>
        <v/>
      </c>
      <c r="O91" s="8" t="str">
        <f>IFERROR(INDEX(样本到样信息汇总统计!O$2:O$500,MATCH(90,样本到样信息汇总统计!$X$2:$X$500,0)),"")</f>
        <v/>
      </c>
      <c r="P91" s="8" t="str">
        <f>IFERROR(INDEX(样本到样信息汇总统计!P$2:P$500,MATCH(90,样本到样信息汇总统计!$X$2:$X$500,0)),"")</f>
        <v/>
      </c>
      <c r="Q91" s="8" t="str">
        <f>IFERROR(INDEX(样本到样信息汇总统计!Q$2:Q$500,MATCH(90,样本到样信息汇总统计!$X$2:$X$500,0)),"")</f>
        <v/>
      </c>
      <c r="R91" s="8" t="str">
        <f>IFERROR(INDEX(样本到样信息汇总统计!R$2:R$500,MATCH(90,样本到样信息汇总统计!$X$2:$X$500,0)),"")</f>
        <v/>
      </c>
      <c r="S91" s="8" t="str">
        <f>IFERROR(INDEX(样本到样信息汇总统计!S$2:S$500,MATCH(90,样本到样信息汇总统计!$X$2:$X$500,0)),"")</f>
        <v/>
      </c>
      <c r="T91" s="8" t="str">
        <f>IFERROR(INDEX(样本到样信息汇总统计!T$2:T$500,MATCH(90,样本到样信息汇总统计!$X$2:$X$500,0)),"")</f>
        <v/>
      </c>
      <c r="U91" s="8" t="str">
        <f>IFERROR(INDEX(样本到样信息汇总统计!U$2:U$500,MATCH(90,样本到样信息汇总统计!$X$2:$X$500,0)),"")</f>
        <v/>
      </c>
      <c r="V91" s="8" t="str">
        <f>IFERROR(INDEX(样本到样信息汇总统计!V$2:V$500,MATCH(90,样本到样信息汇总统计!$X$2:$X$500,0)),"")</f>
        <v/>
      </c>
      <c r="W91" s="8" t="str">
        <f>IFERROR(INDEX(样本到样信息汇总统计!W$2:W$500,MATCH(90,样本到样信息汇总统计!$X$2:$X$500,0)),"")</f>
        <v/>
      </c>
    </row>
    <row r="92" ht="14.5" spans="1:23">
      <c r="A92" s="4" t="str">
        <f>IFERROR(INDEX(样本到样信息汇总统计!A$2:A$500,MATCH(91,样本到样信息汇总统计!$X$2:$X$500,0)),"")</f>
        <v/>
      </c>
      <c r="B92" s="4" t="str">
        <f>IFERROR(INDEX(样本到样信息汇总统计!B$2:B$500,MATCH(91,样本到样信息汇总统计!$X$2:$X$500,0)),"")</f>
        <v/>
      </c>
      <c r="C92" s="4" t="str">
        <f>IFERROR(INDEX(样本到样信息汇总统计!C$2:C$500,MATCH(91,样本到样信息汇总统计!$X$2:$X$500,0)),"")</f>
        <v/>
      </c>
      <c r="D92" s="4" t="str">
        <f>IFERROR(INDEX(样本到样信息汇总统计!D$2:D$500,MATCH(91,样本到样信息汇总统计!$X$2:$X$500,0)),"")</f>
        <v/>
      </c>
      <c r="E92" s="4" t="str">
        <f>IFERROR(INDEX(样本到样信息汇总统计!E$2:E$500,MATCH(91,样本到样信息汇总统计!$X$2:$X$500,0)),"")</f>
        <v/>
      </c>
      <c r="F92" s="4" t="str">
        <f>IFERROR(INDEX(样本到样信息汇总统计!F$2:F$500,MATCH(91,样本到样信息汇总统计!$X$2:$X$500,0)),"")</f>
        <v/>
      </c>
      <c r="G92" s="4" t="str">
        <f>IFERROR(INDEX(样本到样信息汇总统计!G$2:G$500,MATCH(91,样本到样信息汇总统计!$X$2:$X$500,0)),"")</f>
        <v/>
      </c>
      <c r="H92" s="4" t="str">
        <f>IFERROR(INDEX(样本到样信息汇总统计!H$2:H$500,MATCH(91,样本到样信息汇总统计!$X$2:$X$500,0)),"")</f>
        <v/>
      </c>
      <c r="I92" s="4" t="str">
        <f>IFERROR(INDEX(样本到样信息汇总统计!I$2:I$500,MATCH(91,样本到样信息汇总统计!$X$2:$X$500,0)),"")</f>
        <v/>
      </c>
      <c r="J92" s="4" t="str">
        <f>IFERROR(INDEX(样本到样信息汇总统计!J$2:J$500,MATCH(91,样本到样信息汇总统计!$X$2:$X$500,0)),"")</f>
        <v/>
      </c>
      <c r="K92" s="14" t="str">
        <f>IFERROR(INDEX(样本到样信息汇总统计!K$2:K$500,MATCH(91,样本到样信息汇总统计!$X$2:$X$500,0)),"")</f>
        <v/>
      </c>
      <c r="L92" s="4" t="str">
        <f>IFERROR(INDEX(样本到样信息汇总统计!L$2:L$500,MATCH(91,样本到样信息汇总统计!$X$2:$X$500,0)),"")</f>
        <v/>
      </c>
      <c r="M92" s="4" t="str">
        <f>IFERROR(INDEX(样本到样信息汇总统计!M$2:M$500,MATCH(91,样本到样信息汇总统计!$X$2:$X$500,0)),"")</f>
        <v/>
      </c>
      <c r="N92" s="4" t="str">
        <f>IFERROR(INDEX(样本到样信息汇总统计!N$2:N$500,MATCH(91,样本到样信息汇总统计!$X$2:$X$500,0)),"")</f>
        <v/>
      </c>
      <c r="O92" s="4" t="str">
        <f>IFERROR(INDEX(样本到样信息汇总统计!O$2:O$500,MATCH(91,样本到样信息汇总统计!$X$2:$X$500,0)),"")</f>
        <v/>
      </c>
      <c r="P92" s="4" t="str">
        <f>IFERROR(INDEX(样本到样信息汇总统计!P$2:P$500,MATCH(91,样本到样信息汇总统计!$X$2:$X$500,0)),"")</f>
        <v/>
      </c>
      <c r="Q92" s="4" t="str">
        <f>IFERROR(INDEX(样本到样信息汇总统计!Q$2:Q$500,MATCH(91,样本到样信息汇总统计!$X$2:$X$500,0)),"")</f>
        <v/>
      </c>
      <c r="R92" s="4" t="str">
        <f>IFERROR(INDEX(样本到样信息汇总统计!R$2:R$500,MATCH(91,样本到样信息汇总统计!$X$2:$X$500,0)),"")</f>
        <v/>
      </c>
      <c r="S92" s="4" t="str">
        <f>IFERROR(INDEX(样本到样信息汇总统计!S$2:S$500,MATCH(91,样本到样信息汇总统计!$X$2:$X$500,0)),"")</f>
        <v/>
      </c>
      <c r="T92" s="4" t="str">
        <f>IFERROR(INDEX(样本到样信息汇总统计!T$2:T$500,MATCH(91,样本到样信息汇总统计!$X$2:$X$500,0)),"")</f>
        <v/>
      </c>
      <c r="U92" s="4" t="str">
        <f>IFERROR(INDEX(样本到样信息汇总统计!U$2:U$500,MATCH(91,样本到样信息汇总统计!$X$2:$X$500,0)),"")</f>
        <v/>
      </c>
      <c r="V92" s="4" t="str">
        <f>IFERROR(INDEX(样本到样信息汇总统计!V$2:V$500,MATCH(91,样本到样信息汇总统计!$X$2:$X$500,0)),"")</f>
        <v/>
      </c>
      <c r="W92" s="4" t="str">
        <f>IFERROR(INDEX(样本到样信息汇总统计!W$2:W$500,MATCH(91,样本到样信息汇总统计!$X$2:$X$500,0)),"")</f>
        <v/>
      </c>
    </row>
    <row r="93" ht="14.5" spans="1:23">
      <c r="A93" s="8" t="str">
        <f>IFERROR(INDEX(样本到样信息汇总统计!A$2:A$500,MATCH(92,样本到样信息汇总统计!$X$2:$X$500,0)),"")</f>
        <v/>
      </c>
      <c r="B93" s="8" t="str">
        <f>IFERROR(INDEX(样本到样信息汇总统计!B$2:B$500,MATCH(92,样本到样信息汇总统计!$X$2:$X$500,0)),"")</f>
        <v/>
      </c>
      <c r="C93" s="8" t="str">
        <f>IFERROR(INDEX(样本到样信息汇总统计!C$2:C$500,MATCH(92,样本到样信息汇总统计!$X$2:$X$500,0)),"")</f>
        <v/>
      </c>
      <c r="D93" s="8" t="str">
        <f>IFERROR(INDEX(样本到样信息汇总统计!D$2:D$500,MATCH(92,样本到样信息汇总统计!$X$2:$X$500,0)),"")</f>
        <v/>
      </c>
      <c r="E93" s="8" t="str">
        <f>IFERROR(INDEX(样本到样信息汇总统计!E$2:E$500,MATCH(92,样本到样信息汇总统计!$X$2:$X$500,0)),"")</f>
        <v/>
      </c>
      <c r="F93" s="8" t="str">
        <f>IFERROR(INDEX(样本到样信息汇总统计!F$2:F$500,MATCH(92,样本到样信息汇总统计!$X$2:$X$500,0)),"")</f>
        <v/>
      </c>
      <c r="G93" s="8" t="str">
        <f>IFERROR(INDEX(样本到样信息汇总统计!G$2:G$500,MATCH(92,样本到样信息汇总统计!$X$2:$X$500,0)),"")</f>
        <v/>
      </c>
      <c r="H93" s="8" t="str">
        <f>IFERROR(INDEX(样本到样信息汇总统计!H$2:H$500,MATCH(92,样本到样信息汇总统计!$X$2:$X$500,0)),"")</f>
        <v/>
      </c>
      <c r="I93" s="8" t="str">
        <f>IFERROR(INDEX(样本到样信息汇总统计!I$2:I$500,MATCH(92,样本到样信息汇总统计!$X$2:$X$500,0)),"")</f>
        <v/>
      </c>
      <c r="J93" s="8" t="str">
        <f>IFERROR(INDEX(样本到样信息汇总统计!J$2:J$500,MATCH(92,样本到样信息汇总统计!$X$2:$X$500,0)),"")</f>
        <v/>
      </c>
      <c r="K93" s="15" t="str">
        <f>IFERROR(INDEX(样本到样信息汇总统计!K$2:K$500,MATCH(92,样本到样信息汇总统计!$X$2:$X$500,0)),"")</f>
        <v/>
      </c>
      <c r="L93" s="8" t="str">
        <f>IFERROR(INDEX(样本到样信息汇总统计!L$2:L$500,MATCH(92,样本到样信息汇总统计!$X$2:$X$500,0)),"")</f>
        <v/>
      </c>
      <c r="M93" s="8" t="str">
        <f>IFERROR(INDEX(样本到样信息汇总统计!M$2:M$500,MATCH(92,样本到样信息汇总统计!$X$2:$X$500,0)),"")</f>
        <v/>
      </c>
      <c r="N93" s="8" t="str">
        <f>IFERROR(INDEX(样本到样信息汇总统计!N$2:N$500,MATCH(92,样本到样信息汇总统计!$X$2:$X$500,0)),"")</f>
        <v/>
      </c>
      <c r="O93" s="8" t="str">
        <f>IFERROR(INDEX(样本到样信息汇总统计!O$2:O$500,MATCH(92,样本到样信息汇总统计!$X$2:$X$500,0)),"")</f>
        <v/>
      </c>
      <c r="P93" s="8" t="str">
        <f>IFERROR(INDEX(样本到样信息汇总统计!P$2:P$500,MATCH(92,样本到样信息汇总统计!$X$2:$X$500,0)),"")</f>
        <v/>
      </c>
      <c r="Q93" s="8" t="str">
        <f>IFERROR(INDEX(样本到样信息汇总统计!Q$2:Q$500,MATCH(92,样本到样信息汇总统计!$X$2:$X$500,0)),"")</f>
        <v/>
      </c>
      <c r="R93" s="8" t="str">
        <f>IFERROR(INDEX(样本到样信息汇总统计!R$2:R$500,MATCH(92,样本到样信息汇总统计!$X$2:$X$500,0)),"")</f>
        <v/>
      </c>
      <c r="S93" s="8" t="str">
        <f>IFERROR(INDEX(样本到样信息汇总统计!S$2:S$500,MATCH(92,样本到样信息汇总统计!$X$2:$X$500,0)),"")</f>
        <v/>
      </c>
      <c r="T93" s="8" t="str">
        <f>IFERROR(INDEX(样本到样信息汇总统计!T$2:T$500,MATCH(92,样本到样信息汇总统计!$X$2:$X$500,0)),"")</f>
        <v/>
      </c>
      <c r="U93" s="8" t="str">
        <f>IFERROR(INDEX(样本到样信息汇总统计!U$2:U$500,MATCH(92,样本到样信息汇总统计!$X$2:$X$500,0)),"")</f>
        <v/>
      </c>
      <c r="V93" s="8" t="str">
        <f>IFERROR(INDEX(样本到样信息汇总统计!V$2:V$500,MATCH(92,样本到样信息汇总统计!$X$2:$X$500,0)),"")</f>
        <v/>
      </c>
      <c r="W93" s="8" t="str">
        <f>IFERROR(INDEX(样本到样信息汇总统计!W$2:W$500,MATCH(92,样本到样信息汇总统计!$X$2:$X$500,0)),"")</f>
        <v/>
      </c>
    </row>
    <row r="94" ht="14.5" spans="1:23">
      <c r="A94" s="4" t="str">
        <f>IFERROR(INDEX(样本到样信息汇总统计!A$2:A$500,MATCH(93,样本到样信息汇总统计!$X$2:$X$500,0)),"")</f>
        <v/>
      </c>
      <c r="B94" s="4" t="str">
        <f>IFERROR(INDEX(样本到样信息汇总统计!B$2:B$500,MATCH(93,样本到样信息汇总统计!$X$2:$X$500,0)),"")</f>
        <v/>
      </c>
      <c r="C94" s="4" t="str">
        <f>IFERROR(INDEX(样本到样信息汇总统计!C$2:C$500,MATCH(93,样本到样信息汇总统计!$X$2:$X$500,0)),"")</f>
        <v/>
      </c>
      <c r="D94" s="4" t="str">
        <f>IFERROR(INDEX(样本到样信息汇总统计!D$2:D$500,MATCH(93,样本到样信息汇总统计!$X$2:$X$500,0)),"")</f>
        <v/>
      </c>
      <c r="E94" s="4" t="str">
        <f>IFERROR(INDEX(样本到样信息汇总统计!E$2:E$500,MATCH(93,样本到样信息汇总统计!$X$2:$X$500,0)),"")</f>
        <v/>
      </c>
      <c r="F94" s="4" t="str">
        <f>IFERROR(INDEX(样本到样信息汇总统计!F$2:F$500,MATCH(93,样本到样信息汇总统计!$X$2:$X$500,0)),"")</f>
        <v/>
      </c>
      <c r="G94" s="4" t="str">
        <f>IFERROR(INDEX(样本到样信息汇总统计!G$2:G$500,MATCH(93,样本到样信息汇总统计!$X$2:$X$500,0)),"")</f>
        <v/>
      </c>
      <c r="H94" s="4" t="str">
        <f>IFERROR(INDEX(样本到样信息汇总统计!H$2:H$500,MATCH(93,样本到样信息汇总统计!$X$2:$X$500,0)),"")</f>
        <v/>
      </c>
      <c r="I94" s="4" t="str">
        <f>IFERROR(INDEX(样本到样信息汇总统计!I$2:I$500,MATCH(93,样本到样信息汇总统计!$X$2:$X$500,0)),"")</f>
        <v/>
      </c>
      <c r="J94" s="4" t="str">
        <f>IFERROR(INDEX(样本到样信息汇总统计!J$2:J$500,MATCH(93,样本到样信息汇总统计!$X$2:$X$500,0)),"")</f>
        <v/>
      </c>
      <c r="K94" s="14" t="str">
        <f>IFERROR(INDEX(样本到样信息汇总统计!K$2:K$500,MATCH(93,样本到样信息汇总统计!$X$2:$X$500,0)),"")</f>
        <v/>
      </c>
      <c r="L94" s="4" t="str">
        <f>IFERROR(INDEX(样本到样信息汇总统计!L$2:L$500,MATCH(93,样本到样信息汇总统计!$X$2:$X$500,0)),"")</f>
        <v/>
      </c>
      <c r="M94" s="4" t="str">
        <f>IFERROR(INDEX(样本到样信息汇总统计!M$2:M$500,MATCH(93,样本到样信息汇总统计!$X$2:$X$500,0)),"")</f>
        <v/>
      </c>
      <c r="N94" s="4" t="str">
        <f>IFERROR(INDEX(样本到样信息汇总统计!N$2:N$500,MATCH(93,样本到样信息汇总统计!$X$2:$X$500,0)),"")</f>
        <v/>
      </c>
      <c r="O94" s="4" t="str">
        <f>IFERROR(INDEX(样本到样信息汇总统计!O$2:O$500,MATCH(93,样本到样信息汇总统计!$X$2:$X$500,0)),"")</f>
        <v/>
      </c>
      <c r="P94" s="4" t="str">
        <f>IFERROR(INDEX(样本到样信息汇总统计!P$2:P$500,MATCH(93,样本到样信息汇总统计!$X$2:$X$500,0)),"")</f>
        <v/>
      </c>
      <c r="Q94" s="4" t="str">
        <f>IFERROR(INDEX(样本到样信息汇总统计!Q$2:Q$500,MATCH(93,样本到样信息汇总统计!$X$2:$X$500,0)),"")</f>
        <v/>
      </c>
      <c r="R94" s="4" t="str">
        <f>IFERROR(INDEX(样本到样信息汇总统计!R$2:R$500,MATCH(93,样本到样信息汇总统计!$X$2:$X$500,0)),"")</f>
        <v/>
      </c>
      <c r="S94" s="4" t="str">
        <f>IFERROR(INDEX(样本到样信息汇总统计!S$2:S$500,MATCH(93,样本到样信息汇总统计!$X$2:$X$500,0)),"")</f>
        <v/>
      </c>
      <c r="T94" s="4" t="str">
        <f>IFERROR(INDEX(样本到样信息汇总统计!T$2:T$500,MATCH(93,样本到样信息汇总统计!$X$2:$X$500,0)),"")</f>
        <v/>
      </c>
      <c r="U94" s="4" t="str">
        <f>IFERROR(INDEX(样本到样信息汇总统计!U$2:U$500,MATCH(93,样本到样信息汇总统计!$X$2:$X$500,0)),"")</f>
        <v/>
      </c>
      <c r="V94" s="4" t="str">
        <f>IFERROR(INDEX(样本到样信息汇总统计!V$2:V$500,MATCH(93,样本到样信息汇总统计!$X$2:$X$500,0)),"")</f>
        <v/>
      </c>
      <c r="W94" s="4" t="str">
        <f>IFERROR(INDEX(样本到样信息汇总统计!W$2:W$500,MATCH(93,样本到样信息汇总统计!$X$2:$X$500,0)),"")</f>
        <v/>
      </c>
    </row>
    <row r="95" ht="14.5" spans="1:23">
      <c r="A95" s="8" t="str">
        <f>IFERROR(INDEX(样本到样信息汇总统计!A$2:A$500,MATCH(94,样本到样信息汇总统计!$X$2:$X$500,0)),"")</f>
        <v/>
      </c>
      <c r="B95" s="8" t="str">
        <f>IFERROR(INDEX(样本到样信息汇总统计!B$2:B$500,MATCH(94,样本到样信息汇总统计!$X$2:$X$500,0)),"")</f>
        <v/>
      </c>
      <c r="C95" s="8" t="str">
        <f>IFERROR(INDEX(样本到样信息汇总统计!C$2:C$500,MATCH(94,样本到样信息汇总统计!$X$2:$X$500,0)),"")</f>
        <v/>
      </c>
      <c r="D95" s="8" t="str">
        <f>IFERROR(INDEX(样本到样信息汇总统计!D$2:D$500,MATCH(94,样本到样信息汇总统计!$X$2:$X$500,0)),"")</f>
        <v/>
      </c>
      <c r="E95" s="8" t="str">
        <f>IFERROR(INDEX(样本到样信息汇总统计!E$2:E$500,MATCH(94,样本到样信息汇总统计!$X$2:$X$500,0)),"")</f>
        <v/>
      </c>
      <c r="F95" s="8" t="str">
        <f>IFERROR(INDEX(样本到样信息汇总统计!F$2:F$500,MATCH(94,样本到样信息汇总统计!$X$2:$X$500,0)),"")</f>
        <v/>
      </c>
      <c r="G95" s="8" t="str">
        <f>IFERROR(INDEX(样本到样信息汇总统计!G$2:G$500,MATCH(94,样本到样信息汇总统计!$X$2:$X$500,0)),"")</f>
        <v/>
      </c>
      <c r="H95" s="8" t="str">
        <f>IFERROR(INDEX(样本到样信息汇总统计!H$2:H$500,MATCH(94,样本到样信息汇总统计!$X$2:$X$500,0)),"")</f>
        <v/>
      </c>
      <c r="I95" s="8" t="str">
        <f>IFERROR(INDEX(样本到样信息汇总统计!I$2:I$500,MATCH(94,样本到样信息汇总统计!$X$2:$X$500,0)),"")</f>
        <v/>
      </c>
      <c r="J95" s="8" t="str">
        <f>IFERROR(INDEX(样本到样信息汇总统计!J$2:J$500,MATCH(94,样本到样信息汇总统计!$X$2:$X$500,0)),"")</f>
        <v/>
      </c>
      <c r="K95" s="15" t="str">
        <f>IFERROR(INDEX(样本到样信息汇总统计!K$2:K$500,MATCH(94,样本到样信息汇总统计!$X$2:$X$500,0)),"")</f>
        <v/>
      </c>
      <c r="L95" s="8" t="str">
        <f>IFERROR(INDEX(样本到样信息汇总统计!L$2:L$500,MATCH(94,样本到样信息汇总统计!$X$2:$X$500,0)),"")</f>
        <v/>
      </c>
      <c r="M95" s="8" t="str">
        <f>IFERROR(INDEX(样本到样信息汇总统计!M$2:M$500,MATCH(94,样本到样信息汇总统计!$X$2:$X$500,0)),"")</f>
        <v/>
      </c>
      <c r="N95" s="8" t="str">
        <f>IFERROR(INDEX(样本到样信息汇总统计!N$2:N$500,MATCH(94,样本到样信息汇总统计!$X$2:$X$500,0)),"")</f>
        <v/>
      </c>
      <c r="O95" s="8" t="str">
        <f>IFERROR(INDEX(样本到样信息汇总统计!O$2:O$500,MATCH(94,样本到样信息汇总统计!$X$2:$X$500,0)),"")</f>
        <v/>
      </c>
      <c r="P95" s="8" t="str">
        <f>IFERROR(INDEX(样本到样信息汇总统计!P$2:P$500,MATCH(94,样本到样信息汇总统计!$X$2:$X$500,0)),"")</f>
        <v/>
      </c>
      <c r="Q95" s="8" t="str">
        <f>IFERROR(INDEX(样本到样信息汇总统计!Q$2:Q$500,MATCH(94,样本到样信息汇总统计!$X$2:$X$500,0)),"")</f>
        <v/>
      </c>
      <c r="R95" s="8" t="str">
        <f>IFERROR(INDEX(样本到样信息汇总统计!R$2:R$500,MATCH(94,样本到样信息汇总统计!$X$2:$X$500,0)),"")</f>
        <v/>
      </c>
      <c r="S95" s="8" t="str">
        <f>IFERROR(INDEX(样本到样信息汇总统计!S$2:S$500,MATCH(94,样本到样信息汇总统计!$X$2:$X$500,0)),"")</f>
        <v/>
      </c>
      <c r="T95" s="8" t="str">
        <f>IFERROR(INDEX(样本到样信息汇总统计!T$2:T$500,MATCH(94,样本到样信息汇总统计!$X$2:$X$500,0)),"")</f>
        <v/>
      </c>
      <c r="U95" s="8" t="str">
        <f>IFERROR(INDEX(样本到样信息汇总统计!U$2:U$500,MATCH(94,样本到样信息汇总统计!$X$2:$X$500,0)),"")</f>
        <v/>
      </c>
      <c r="V95" s="8" t="str">
        <f>IFERROR(INDEX(样本到样信息汇总统计!V$2:V$500,MATCH(94,样本到样信息汇总统计!$X$2:$X$500,0)),"")</f>
        <v/>
      </c>
      <c r="W95" s="8" t="str">
        <f>IFERROR(INDEX(样本到样信息汇总统计!W$2:W$500,MATCH(94,样本到样信息汇总统计!$X$2:$X$500,0)),"")</f>
        <v/>
      </c>
    </row>
    <row r="96" ht="14.5" spans="1:23">
      <c r="A96" s="4" t="str">
        <f>IFERROR(INDEX(样本到样信息汇总统计!A$2:A$500,MATCH(95,样本到样信息汇总统计!$X$2:$X$500,0)),"")</f>
        <v/>
      </c>
      <c r="B96" s="4" t="str">
        <f>IFERROR(INDEX(样本到样信息汇总统计!B$2:B$500,MATCH(95,样本到样信息汇总统计!$X$2:$X$500,0)),"")</f>
        <v/>
      </c>
      <c r="C96" s="4" t="str">
        <f>IFERROR(INDEX(样本到样信息汇总统计!C$2:C$500,MATCH(95,样本到样信息汇总统计!$X$2:$X$500,0)),"")</f>
        <v/>
      </c>
      <c r="D96" s="4" t="str">
        <f>IFERROR(INDEX(样本到样信息汇总统计!D$2:D$500,MATCH(95,样本到样信息汇总统计!$X$2:$X$500,0)),"")</f>
        <v/>
      </c>
      <c r="E96" s="4" t="str">
        <f>IFERROR(INDEX(样本到样信息汇总统计!E$2:E$500,MATCH(95,样本到样信息汇总统计!$X$2:$X$500,0)),"")</f>
        <v/>
      </c>
      <c r="F96" s="4" t="str">
        <f>IFERROR(INDEX(样本到样信息汇总统计!F$2:F$500,MATCH(95,样本到样信息汇总统计!$X$2:$X$500,0)),"")</f>
        <v/>
      </c>
      <c r="G96" s="4" t="str">
        <f>IFERROR(INDEX(样本到样信息汇总统计!G$2:G$500,MATCH(95,样本到样信息汇总统计!$X$2:$X$500,0)),"")</f>
        <v/>
      </c>
      <c r="H96" s="4" t="str">
        <f>IFERROR(INDEX(样本到样信息汇总统计!H$2:H$500,MATCH(95,样本到样信息汇总统计!$X$2:$X$500,0)),"")</f>
        <v/>
      </c>
      <c r="I96" s="4" t="str">
        <f>IFERROR(INDEX(样本到样信息汇总统计!I$2:I$500,MATCH(95,样本到样信息汇总统计!$X$2:$X$500,0)),"")</f>
        <v/>
      </c>
      <c r="J96" s="4" t="str">
        <f>IFERROR(INDEX(样本到样信息汇总统计!J$2:J$500,MATCH(95,样本到样信息汇总统计!$X$2:$X$500,0)),"")</f>
        <v/>
      </c>
      <c r="K96" s="14" t="str">
        <f>IFERROR(INDEX(样本到样信息汇总统计!K$2:K$500,MATCH(95,样本到样信息汇总统计!$X$2:$X$500,0)),"")</f>
        <v/>
      </c>
      <c r="L96" s="4" t="str">
        <f>IFERROR(INDEX(样本到样信息汇总统计!L$2:L$500,MATCH(95,样本到样信息汇总统计!$X$2:$X$500,0)),"")</f>
        <v/>
      </c>
      <c r="M96" s="4" t="str">
        <f>IFERROR(INDEX(样本到样信息汇总统计!M$2:M$500,MATCH(95,样本到样信息汇总统计!$X$2:$X$500,0)),"")</f>
        <v/>
      </c>
      <c r="N96" s="4" t="str">
        <f>IFERROR(INDEX(样本到样信息汇总统计!N$2:N$500,MATCH(95,样本到样信息汇总统计!$X$2:$X$500,0)),"")</f>
        <v/>
      </c>
      <c r="O96" s="4" t="str">
        <f>IFERROR(INDEX(样本到样信息汇总统计!O$2:O$500,MATCH(95,样本到样信息汇总统计!$X$2:$X$500,0)),"")</f>
        <v/>
      </c>
      <c r="P96" s="4" t="str">
        <f>IFERROR(INDEX(样本到样信息汇总统计!P$2:P$500,MATCH(95,样本到样信息汇总统计!$X$2:$X$500,0)),"")</f>
        <v/>
      </c>
      <c r="Q96" s="4" t="str">
        <f>IFERROR(INDEX(样本到样信息汇总统计!Q$2:Q$500,MATCH(95,样本到样信息汇总统计!$X$2:$X$500,0)),"")</f>
        <v/>
      </c>
      <c r="R96" s="4" t="str">
        <f>IFERROR(INDEX(样本到样信息汇总统计!R$2:R$500,MATCH(95,样本到样信息汇总统计!$X$2:$X$500,0)),"")</f>
        <v/>
      </c>
      <c r="S96" s="4" t="str">
        <f>IFERROR(INDEX(样本到样信息汇总统计!S$2:S$500,MATCH(95,样本到样信息汇总统计!$X$2:$X$500,0)),"")</f>
        <v/>
      </c>
      <c r="T96" s="4" t="str">
        <f>IFERROR(INDEX(样本到样信息汇总统计!T$2:T$500,MATCH(95,样本到样信息汇总统计!$X$2:$X$500,0)),"")</f>
        <v/>
      </c>
      <c r="U96" s="4" t="str">
        <f>IFERROR(INDEX(样本到样信息汇总统计!U$2:U$500,MATCH(95,样本到样信息汇总统计!$X$2:$X$500,0)),"")</f>
        <v/>
      </c>
      <c r="V96" s="4" t="str">
        <f>IFERROR(INDEX(样本到样信息汇总统计!V$2:V$500,MATCH(95,样本到样信息汇总统计!$X$2:$X$500,0)),"")</f>
        <v/>
      </c>
      <c r="W96" s="4" t="str">
        <f>IFERROR(INDEX(样本到样信息汇总统计!W$2:W$500,MATCH(95,样本到样信息汇总统计!$X$2:$X$500,0)),"")</f>
        <v/>
      </c>
    </row>
    <row r="97" ht="14.5" spans="1:23">
      <c r="A97" s="8" t="str">
        <f>IFERROR(INDEX(样本到样信息汇总统计!A$2:A$500,MATCH(96,样本到样信息汇总统计!$X$2:$X$500,0)),"")</f>
        <v/>
      </c>
      <c r="B97" s="8" t="str">
        <f>IFERROR(INDEX(样本到样信息汇总统计!B$2:B$500,MATCH(96,样本到样信息汇总统计!$X$2:$X$500,0)),"")</f>
        <v/>
      </c>
      <c r="C97" s="8" t="str">
        <f>IFERROR(INDEX(样本到样信息汇总统计!C$2:C$500,MATCH(96,样本到样信息汇总统计!$X$2:$X$500,0)),"")</f>
        <v/>
      </c>
      <c r="D97" s="8" t="str">
        <f>IFERROR(INDEX(样本到样信息汇总统计!D$2:D$500,MATCH(96,样本到样信息汇总统计!$X$2:$X$500,0)),"")</f>
        <v/>
      </c>
      <c r="E97" s="8" t="str">
        <f>IFERROR(INDEX(样本到样信息汇总统计!E$2:E$500,MATCH(96,样本到样信息汇总统计!$X$2:$X$500,0)),"")</f>
        <v/>
      </c>
      <c r="F97" s="8" t="str">
        <f>IFERROR(INDEX(样本到样信息汇总统计!F$2:F$500,MATCH(96,样本到样信息汇总统计!$X$2:$X$500,0)),"")</f>
        <v/>
      </c>
      <c r="G97" s="8" t="str">
        <f>IFERROR(INDEX(样本到样信息汇总统计!G$2:G$500,MATCH(96,样本到样信息汇总统计!$X$2:$X$500,0)),"")</f>
        <v/>
      </c>
      <c r="H97" s="8" t="str">
        <f>IFERROR(INDEX(样本到样信息汇总统计!H$2:H$500,MATCH(96,样本到样信息汇总统计!$X$2:$X$500,0)),"")</f>
        <v/>
      </c>
      <c r="I97" s="8" t="str">
        <f>IFERROR(INDEX(样本到样信息汇总统计!I$2:I$500,MATCH(96,样本到样信息汇总统计!$X$2:$X$500,0)),"")</f>
        <v/>
      </c>
      <c r="J97" s="8" t="str">
        <f>IFERROR(INDEX(样本到样信息汇总统计!J$2:J$500,MATCH(96,样本到样信息汇总统计!$X$2:$X$500,0)),"")</f>
        <v/>
      </c>
      <c r="K97" s="15" t="str">
        <f>IFERROR(INDEX(样本到样信息汇总统计!K$2:K$500,MATCH(96,样本到样信息汇总统计!$X$2:$X$500,0)),"")</f>
        <v/>
      </c>
      <c r="L97" s="8" t="str">
        <f>IFERROR(INDEX(样本到样信息汇总统计!L$2:L$500,MATCH(96,样本到样信息汇总统计!$X$2:$X$500,0)),"")</f>
        <v/>
      </c>
      <c r="M97" s="8" t="str">
        <f>IFERROR(INDEX(样本到样信息汇总统计!M$2:M$500,MATCH(96,样本到样信息汇总统计!$X$2:$X$500,0)),"")</f>
        <v/>
      </c>
      <c r="N97" s="8" t="str">
        <f>IFERROR(INDEX(样本到样信息汇总统计!N$2:N$500,MATCH(96,样本到样信息汇总统计!$X$2:$X$500,0)),"")</f>
        <v/>
      </c>
      <c r="O97" s="8" t="str">
        <f>IFERROR(INDEX(样本到样信息汇总统计!O$2:O$500,MATCH(96,样本到样信息汇总统计!$X$2:$X$500,0)),"")</f>
        <v/>
      </c>
      <c r="P97" s="8" t="str">
        <f>IFERROR(INDEX(样本到样信息汇总统计!P$2:P$500,MATCH(96,样本到样信息汇总统计!$X$2:$X$500,0)),"")</f>
        <v/>
      </c>
      <c r="Q97" s="8" t="str">
        <f>IFERROR(INDEX(样本到样信息汇总统计!Q$2:Q$500,MATCH(96,样本到样信息汇总统计!$X$2:$X$500,0)),"")</f>
        <v/>
      </c>
      <c r="R97" s="8" t="str">
        <f>IFERROR(INDEX(样本到样信息汇总统计!R$2:R$500,MATCH(96,样本到样信息汇总统计!$X$2:$X$500,0)),"")</f>
        <v/>
      </c>
      <c r="S97" s="8" t="str">
        <f>IFERROR(INDEX(样本到样信息汇总统计!S$2:S$500,MATCH(96,样本到样信息汇总统计!$X$2:$X$500,0)),"")</f>
        <v/>
      </c>
      <c r="T97" s="8" t="str">
        <f>IFERROR(INDEX(样本到样信息汇总统计!T$2:T$500,MATCH(96,样本到样信息汇总统计!$X$2:$X$500,0)),"")</f>
        <v/>
      </c>
      <c r="U97" s="8" t="str">
        <f>IFERROR(INDEX(样本到样信息汇总统计!U$2:U$500,MATCH(96,样本到样信息汇总统计!$X$2:$X$500,0)),"")</f>
        <v/>
      </c>
      <c r="V97" s="8" t="str">
        <f>IFERROR(INDEX(样本到样信息汇总统计!V$2:V$500,MATCH(96,样本到样信息汇总统计!$X$2:$X$500,0)),"")</f>
        <v/>
      </c>
      <c r="W97" s="8" t="str">
        <f>IFERROR(INDEX(样本到样信息汇总统计!W$2:W$500,MATCH(96,样本到样信息汇总统计!$X$2:$X$500,0)),"")</f>
        <v/>
      </c>
    </row>
    <row r="98" ht="14.5" spans="1:23">
      <c r="A98" s="4" t="str">
        <f>IFERROR(INDEX(样本到样信息汇总统计!A$2:A$500,MATCH(97,样本到样信息汇总统计!$X$2:$X$500,0)),"")</f>
        <v/>
      </c>
      <c r="B98" s="4" t="str">
        <f>IFERROR(INDEX(样本到样信息汇总统计!B$2:B$500,MATCH(97,样本到样信息汇总统计!$X$2:$X$500,0)),"")</f>
        <v/>
      </c>
      <c r="C98" s="4" t="str">
        <f>IFERROR(INDEX(样本到样信息汇总统计!C$2:C$500,MATCH(97,样本到样信息汇总统计!$X$2:$X$500,0)),"")</f>
        <v/>
      </c>
      <c r="D98" s="4" t="str">
        <f>IFERROR(INDEX(样本到样信息汇总统计!D$2:D$500,MATCH(97,样本到样信息汇总统计!$X$2:$X$500,0)),"")</f>
        <v/>
      </c>
      <c r="E98" s="4" t="str">
        <f>IFERROR(INDEX(样本到样信息汇总统计!E$2:E$500,MATCH(97,样本到样信息汇总统计!$X$2:$X$500,0)),"")</f>
        <v/>
      </c>
      <c r="F98" s="4" t="str">
        <f>IFERROR(INDEX(样本到样信息汇总统计!F$2:F$500,MATCH(97,样本到样信息汇总统计!$X$2:$X$500,0)),"")</f>
        <v/>
      </c>
      <c r="G98" s="4" t="str">
        <f>IFERROR(INDEX(样本到样信息汇总统计!G$2:G$500,MATCH(97,样本到样信息汇总统计!$X$2:$X$500,0)),"")</f>
        <v/>
      </c>
      <c r="H98" s="4" t="str">
        <f>IFERROR(INDEX(样本到样信息汇总统计!H$2:H$500,MATCH(97,样本到样信息汇总统计!$X$2:$X$500,0)),"")</f>
        <v/>
      </c>
      <c r="I98" s="4" t="str">
        <f>IFERROR(INDEX(样本到样信息汇总统计!I$2:I$500,MATCH(97,样本到样信息汇总统计!$X$2:$X$500,0)),"")</f>
        <v/>
      </c>
      <c r="J98" s="4" t="str">
        <f>IFERROR(INDEX(样本到样信息汇总统计!J$2:J$500,MATCH(97,样本到样信息汇总统计!$X$2:$X$500,0)),"")</f>
        <v/>
      </c>
      <c r="K98" s="14" t="str">
        <f>IFERROR(INDEX(样本到样信息汇总统计!K$2:K$500,MATCH(97,样本到样信息汇总统计!$X$2:$X$500,0)),"")</f>
        <v/>
      </c>
      <c r="L98" s="4" t="str">
        <f>IFERROR(INDEX(样本到样信息汇总统计!L$2:L$500,MATCH(97,样本到样信息汇总统计!$X$2:$X$500,0)),"")</f>
        <v/>
      </c>
      <c r="M98" s="4" t="str">
        <f>IFERROR(INDEX(样本到样信息汇总统计!M$2:M$500,MATCH(97,样本到样信息汇总统计!$X$2:$X$500,0)),"")</f>
        <v/>
      </c>
      <c r="N98" s="4" t="str">
        <f>IFERROR(INDEX(样本到样信息汇总统计!N$2:N$500,MATCH(97,样本到样信息汇总统计!$X$2:$X$500,0)),"")</f>
        <v/>
      </c>
      <c r="O98" s="4" t="str">
        <f>IFERROR(INDEX(样本到样信息汇总统计!O$2:O$500,MATCH(97,样本到样信息汇总统计!$X$2:$X$500,0)),"")</f>
        <v/>
      </c>
      <c r="P98" s="4" t="str">
        <f>IFERROR(INDEX(样本到样信息汇总统计!P$2:P$500,MATCH(97,样本到样信息汇总统计!$X$2:$X$500,0)),"")</f>
        <v/>
      </c>
      <c r="Q98" s="4" t="str">
        <f>IFERROR(INDEX(样本到样信息汇总统计!Q$2:Q$500,MATCH(97,样本到样信息汇总统计!$X$2:$X$500,0)),"")</f>
        <v/>
      </c>
      <c r="R98" s="4" t="str">
        <f>IFERROR(INDEX(样本到样信息汇总统计!R$2:R$500,MATCH(97,样本到样信息汇总统计!$X$2:$X$500,0)),"")</f>
        <v/>
      </c>
      <c r="S98" s="4" t="str">
        <f>IFERROR(INDEX(样本到样信息汇总统计!S$2:S$500,MATCH(97,样本到样信息汇总统计!$X$2:$X$500,0)),"")</f>
        <v/>
      </c>
      <c r="T98" s="4" t="str">
        <f>IFERROR(INDEX(样本到样信息汇总统计!T$2:T$500,MATCH(97,样本到样信息汇总统计!$X$2:$X$500,0)),"")</f>
        <v/>
      </c>
      <c r="U98" s="4" t="str">
        <f>IFERROR(INDEX(样本到样信息汇总统计!U$2:U$500,MATCH(97,样本到样信息汇总统计!$X$2:$X$500,0)),"")</f>
        <v/>
      </c>
      <c r="V98" s="4" t="str">
        <f>IFERROR(INDEX(样本到样信息汇总统计!V$2:V$500,MATCH(97,样本到样信息汇总统计!$X$2:$X$500,0)),"")</f>
        <v/>
      </c>
      <c r="W98" s="4" t="str">
        <f>IFERROR(INDEX(样本到样信息汇总统计!W$2:W$500,MATCH(97,样本到样信息汇总统计!$X$2:$X$500,0)),"")</f>
        <v/>
      </c>
    </row>
    <row r="99" ht="14.5" spans="1:23">
      <c r="A99" s="8" t="str">
        <f>IFERROR(INDEX(样本到样信息汇总统计!A$2:A$500,MATCH(98,样本到样信息汇总统计!$X$2:$X$500,0)),"")</f>
        <v/>
      </c>
      <c r="B99" s="8" t="str">
        <f>IFERROR(INDEX(样本到样信息汇总统计!B$2:B$500,MATCH(98,样本到样信息汇总统计!$X$2:$X$500,0)),"")</f>
        <v/>
      </c>
      <c r="C99" s="8" t="str">
        <f>IFERROR(INDEX(样本到样信息汇总统计!C$2:C$500,MATCH(98,样本到样信息汇总统计!$X$2:$X$500,0)),"")</f>
        <v/>
      </c>
      <c r="D99" s="8" t="str">
        <f>IFERROR(INDEX(样本到样信息汇总统计!D$2:D$500,MATCH(98,样本到样信息汇总统计!$X$2:$X$500,0)),"")</f>
        <v/>
      </c>
      <c r="E99" s="8" t="str">
        <f>IFERROR(INDEX(样本到样信息汇总统计!E$2:E$500,MATCH(98,样本到样信息汇总统计!$X$2:$X$500,0)),"")</f>
        <v/>
      </c>
      <c r="F99" s="8" t="str">
        <f>IFERROR(INDEX(样本到样信息汇总统计!F$2:F$500,MATCH(98,样本到样信息汇总统计!$X$2:$X$500,0)),"")</f>
        <v/>
      </c>
      <c r="G99" s="8" t="str">
        <f>IFERROR(INDEX(样本到样信息汇总统计!G$2:G$500,MATCH(98,样本到样信息汇总统计!$X$2:$X$500,0)),"")</f>
        <v/>
      </c>
      <c r="H99" s="8" t="str">
        <f>IFERROR(INDEX(样本到样信息汇总统计!H$2:H$500,MATCH(98,样本到样信息汇总统计!$X$2:$X$500,0)),"")</f>
        <v/>
      </c>
      <c r="I99" s="8" t="str">
        <f>IFERROR(INDEX(样本到样信息汇总统计!I$2:I$500,MATCH(98,样本到样信息汇总统计!$X$2:$X$500,0)),"")</f>
        <v/>
      </c>
      <c r="J99" s="8" t="str">
        <f>IFERROR(INDEX(样本到样信息汇总统计!J$2:J$500,MATCH(98,样本到样信息汇总统计!$X$2:$X$500,0)),"")</f>
        <v/>
      </c>
      <c r="K99" s="15" t="str">
        <f>IFERROR(INDEX(样本到样信息汇总统计!K$2:K$500,MATCH(98,样本到样信息汇总统计!$X$2:$X$500,0)),"")</f>
        <v/>
      </c>
      <c r="L99" s="8" t="str">
        <f>IFERROR(INDEX(样本到样信息汇总统计!L$2:L$500,MATCH(98,样本到样信息汇总统计!$X$2:$X$500,0)),"")</f>
        <v/>
      </c>
      <c r="M99" s="8" t="str">
        <f>IFERROR(INDEX(样本到样信息汇总统计!M$2:M$500,MATCH(98,样本到样信息汇总统计!$X$2:$X$500,0)),"")</f>
        <v/>
      </c>
      <c r="N99" s="8" t="str">
        <f>IFERROR(INDEX(样本到样信息汇总统计!N$2:N$500,MATCH(98,样本到样信息汇总统计!$X$2:$X$500,0)),"")</f>
        <v/>
      </c>
      <c r="O99" s="8" t="str">
        <f>IFERROR(INDEX(样本到样信息汇总统计!O$2:O$500,MATCH(98,样本到样信息汇总统计!$X$2:$X$500,0)),"")</f>
        <v/>
      </c>
      <c r="P99" s="8" t="str">
        <f>IFERROR(INDEX(样本到样信息汇总统计!P$2:P$500,MATCH(98,样本到样信息汇总统计!$X$2:$X$500,0)),"")</f>
        <v/>
      </c>
      <c r="Q99" s="8" t="str">
        <f>IFERROR(INDEX(样本到样信息汇总统计!Q$2:Q$500,MATCH(98,样本到样信息汇总统计!$X$2:$X$500,0)),"")</f>
        <v/>
      </c>
      <c r="R99" s="8" t="str">
        <f>IFERROR(INDEX(样本到样信息汇总统计!R$2:R$500,MATCH(98,样本到样信息汇总统计!$X$2:$X$500,0)),"")</f>
        <v/>
      </c>
      <c r="S99" s="8" t="str">
        <f>IFERROR(INDEX(样本到样信息汇总统计!S$2:S$500,MATCH(98,样本到样信息汇总统计!$X$2:$X$500,0)),"")</f>
        <v/>
      </c>
      <c r="T99" s="8" t="str">
        <f>IFERROR(INDEX(样本到样信息汇总统计!T$2:T$500,MATCH(98,样本到样信息汇总统计!$X$2:$X$500,0)),"")</f>
        <v/>
      </c>
      <c r="U99" s="8" t="str">
        <f>IFERROR(INDEX(样本到样信息汇总统计!U$2:U$500,MATCH(98,样本到样信息汇总统计!$X$2:$X$500,0)),"")</f>
        <v/>
      </c>
      <c r="V99" s="8" t="str">
        <f>IFERROR(INDEX(样本到样信息汇总统计!V$2:V$500,MATCH(98,样本到样信息汇总统计!$X$2:$X$500,0)),"")</f>
        <v/>
      </c>
      <c r="W99" s="8" t="str">
        <f>IFERROR(INDEX(样本到样信息汇总统计!W$2:W$500,MATCH(98,样本到样信息汇总统计!$X$2:$X$500,0)),"")</f>
        <v/>
      </c>
    </row>
    <row r="100" ht="14.5" spans="1:23">
      <c r="A100" s="4" t="str">
        <f>IFERROR(INDEX(样本到样信息汇总统计!A$2:A$500,MATCH(99,样本到样信息汇总统计!$X$2:$X$500,0)),"")</f>
        <v/>
      </c>
      <c r="B100" s="4" t="str">
        <f>IFERROR(INDEX(样本到样信息汇总统计!B$2:B$500,MATCH(99,样本到样信息汇总统计!$X$2:$X$500,0)),"")</f>
        <v/>
      </c>
      <c r="C100" s="4" t="str">
        <f>IFERROR(INDEX(样本到样信息汇总统计!C$2:C$500,MATCH(99,样本到样信息汇总统计!$X$2:$X$500,0)),"")</f>
        <v/>
      </c>
      <c r="D100" s="4" t="str">
        <f>IFERROR(INDEX(样本到样信息汇总统计!D$2:D$500,MATCH(99,样本到样信息汇总统计!$X$2:$X$500,0)),"")</f>
        <v/>
      </c>
      <c r="E100" s="4" t="str">
        <f>IFERROR(INDEX(样本到样信息汇总统计!E$2:E$500,MATCH(99,样本到样信息汇总统计!$X$2:$X$500,0)),"")</f>
        <v/>
      </c>
      <c r="F100" s="4" t="str">
        <f>IFERROR(INDEX(样本到样信息汇总统计!F$2:F$500,MATCH(99,样本到样信息汇总统计!$X$2:$X$500,0)),"")</f>
        <v/>
      </c>
      <c r="G100" s="4" t="str">
        <f>IFERROR(INDEX(样本到样信息汇总统计!G$2:G$500,MATCH(99,样本到样信息汇总统计!$X$2:$X$500,0)),"")</f>
        <v/>
      </c>
      <c r="H100" s="4" t="str">
        <f>IFERROR(INDEX(样本到样信息汇总统计!H$2:H$500,MATCH(99,样本到样信息汇总统计!$X$2:$X$500,0)),"")</f>
        <v/>
      </c>
      <c r="I100" s="4" t="str">
        <f>IFERROR(INDEX(样本到样信息汇总统计!I$2:I$500,MATCH(99,样本到样信息汇总统计!$X$2:$X$500,0)),"")</f>
        <v/>
      </c>
      <c r="J100" s="4" t="str">
        <f>IFERROR(INDEX(样本到样信息汇总统计!J$2:J$500,MATCH(99,样本到样信息汇总统计!$X$2:$X$500,0)),"")</f>
        <v/>
      </c>
      <c r="K100" s="14" t="str">
        <f>IFERROR(INDEX(样本到样信息汇总统计!K$2:K$500,MATCH(99,样本到样信息汇总统计!$X$2:$X$500,0)),"")</f>
        <v/>
      </c>
      <c r="L100" s="4" t="str">
        <f>IFERROR(INDEX(样本到样信息汇总统计!L$2:L$500,MATCH(99,样本到样信息汇总统计!$X$2:$X$500,0)),"")</f>
        <v/>
      </c>
      <c r="M100" s="4" t="str">
        <f>IFERROR(INDEX(样本到样信息汇总统计!M$2:M$500,MATCH(99,样本到样信息汇总统计!$X$2:$X$500,0)),"")</f>
        <v/>
      </c>
      <c r="N100" s="4" t="str">
        <f>IFERROR(INDEX(样本到样信息汇总统计!N$2:N$500,MATCH(99,样本到样信息汇总统计!$X$2:$X$500,0)),"")</f>
        <v/>
      </c>
      <c r="O100" s="4" t="str">
        <f>IFERROR(INDEX(样本到样信息汇总统计!O$2:O$500,MATCH(99,样本到样信息汇总统计!$X$2:$X$500,0)),"")</f>
        <v/>
      </c>
      <c r="P100" s="4" t="str">
        <f>IFERROR(INDEX(样本到样信息汇总统计!P$2:P$500,MATCH(99,样本到样信息汇总统计!$X$2:$X$500,0)),"")</f>
        <v/>
      </c>
      <c r="Q100" s="4" t="str">
        <f>IFERROR(INDEX(样本到样信息汇总统计!Q$2:Q$500,MATCH(99,样本到样信息汇总统计!$X$2:$X$500,0)),"")</f>
        <v/>
      </c>
      <c r="R100" s="4" t="str">
        <f>IFERROR(INDEX(样本到样信息汇总统计!R$2:R$500,MATCH(99,样本到样信息汇总统计!$X$2:$X$500,0)),"")</f>
        <v/>
      </c>
      <c r="S100" s="4" t="str">
        <f>IFERROR(INDEX(样本到样信息汇总统计!S$2:S$500,MATCH(99,样本到样信息汇总统计!$X$2:$X$500,0)),"")</f>
        <v/>
      </c>
      <c r="T100" s="4" t="str">
        <f>IFERROR(INDEX(样本到样信息汇总统计!T$2:T$500,MATCH(99,样本到样信息汇总统计!$X$2:$X$500,0)),"")</f>
        <v/>
      </c>
      <c r="U100" s="4" t="str">
        <f>IFERROR(INDEX(样本到样信息汇总统计!U$2:U$500,MATCH(99,样本到样信息汇总统计!$X$2:$X$500,0)),"")</f>
        <v/>
      </c>
      <c r="V100" s="4" t="str">
        <f>IFERROR(INDEX(样本到样信息汇总统计!V$2:V$500,MATCH(99,样本到样信息汇总统计!$X$2:$X$500,0)),"")</f>
        <v/>
      </c>
      <c r="W100" s="4" t="str">
        <f>IFERROR(INDEX(样本到样信息汇总统计!W$2:W$500,MATCH(99,样本到样信息汇总统计!$X$2:$X$500,0)),"")</f>
        <v/>
      </c>
    </row>
    <row r="101" ht="14.5" spans="1:23">
      <c r="A101" s="8" t="str">
        <f>IFERROR(INDEX(样本到样信息汇总统计!A$2:A$500,MATCH(100,样本到样信息汇总统计!$X$2:$X$500,0)),"")</f>
        <v/>
      </c>
      <c r="B101" s="8" t="str">
        <f>IFERROR(INDEX(样本到样信息汇总统计!B$2:B$500,MATCH(100,样本到样信息汇总统计!$X$2:$X$500,0)),"")</f>
        <v/>
      </c>
      <c r="C101" s="8" t="str">
        <f>IFERROR(INDEX(样本到样信息汇总统计!C$2:C$500,MATCH(100,样本到样信息汇总统计!$X$2:$X$500,0)),"")</f>
        <v/>
      </c>
      <c r="D101" s="8" t="str">
        <f>IFERROR(INDEX(样本到样信息汇总统计!D$2:D$500,MATCH(100,样本到样信息汇总统计!$X$2:$X$500,0)),"")</f>
        <v/>
      </c>
      <c r="E101" s="8" t="str">
        <f>IFERROR(INDEX(样本到样信息汇总统计!E$2:E$500,MATCH(100,样本到样信息汇总统计!$X$2:$X$500,0)),"")</f>
        <v/>
      </c>
      <c r="F101" s="8" t="str">
        <f>IFERROR(INDEX(样本到样信息汇总统计!F$2:F$500,MATCH(100,样本到样信息汇总统计!$X$2:$X$500,0)),"")</f>
        <v/>
      </c>
      <c r="G101" s="8" t="str">
        <f>IFERROR(INDEX(样本到样信息汇总统计!G$2:G$500,MATCH(100,样本到样信息汇总统计!$X$2:$X$500,0)),"")</f>
        <v/>
      </c>
      <c r="H101" s="8" t="str">
        <f>IFERROR(INDEX(样本到样信息汇总统计!H$2:H$500,MATCH(100,样本到样信息汇总统计!$X$2:$X$500,0)),"")</f>
        <v/>
      </c>
      <c r="I101" s="8" t="str">
        <f>IFERROR(INDEX(样本到样信息汇总统计!I$2:I$500,MATCH(100,样本到样信息汇总统计!$X$2:$X$500,0)),"")</f>
        <v/>
      </c>
      <c r="J101" s="8" t="str">
        <f>IFERROR(INDEX(样本到样信息汇总统计!J$2:J$500,MATCH(100,样本到样信息汇总统计!$X$2:$X$500,0)),"")</f>
        <v/>
      </c>
      <c r="K101" s="15" t="str">
        <f>IFERROR(INDEX(样本到样信息汇总统计!K$2:K$500,MATCH(100,样本到样信息汇总统计!$X$2:$X$500,0)),"")</f>
        <v/>
      </c>
      <c r="L101" s="8" t="str">
        <f>IFERROR(INDEX(样本到样信息汇总统计!L$2:L$500,MATCH(100,样本到样信息汇总统计!$X$2:$X$500,0)),"")</f>
        <v/>
      </c>
      <c r="M101" s="8" t="str">
        <f>IFERROR(INDEX(样本到样信息汇总统计!M$2:M$500,MATCH(100,样本到样信息汇总统计!$X$2:$X$500,0)),"")</f>
        <v/>
      </c>
      <c r="N101" s="8" t="str">
        <f>IFERROR(INDEX(样本到样信息汇总统计!N$2:N$500,MATCH(100,样本到样信息汇总统计!$X$2:$X$500,0)),"")</f>
        <v/>
      </c>
      <c r="O101" s="8" t="str">
        <f>IFERROR(INDEX(样本到样信息汇总统计!O$2:O$500,MATCH(100,样本到样信息汇总统计!$X$2:$X$500,0)),"")</f>
        <v/>
      </c>
      <c r="P101" s="8" t="str">
        <f>IFERROR(INDEX(样本到样信息汇总统计!P$2:P$500,MATCH(100,样本到样信息汇总统计!$X$2:$X$500,0)),"")</f>
        <v/>
      </c>
      <c r="Q101" s="8" t="str">
        <f>IFERROR(INDEX(样本到样信息汇总统计!Q$2:Q$500,MATCH(100,样本到样信息汇总统计!$X$2:$X$500,0)),"")</f>
        <v/>
      </c>
      <c r="R101" s="8" t="str">
        <f>IFERROR(INDEX(样本到样信息汇总统计!R$2:R$500,MATCH(100,样本到样信息汇总统计!$X$2:$X$500,0)),"")</f>
        <v/>
      </c>
      <c r="S101" s="8" t="str">
        <f>IFERROR(INDEX(样本到样信息汇总统计!S$2:S$500,MATCH(100,样本到样信息汇总统计!$X$2:$X$500,0)),"")</f>
        <v/>
      </c>
      <c r="T101" s="8" t="str">
        <f>IFERROR(INDEX(样本到样信息汇总统计!T$2:T$500,MATCH(100,样本到样信息汇总统计!$X$2:$X$500,0)),"")</f>
        <v/>
      </c>
      <c r="U101" s="8" t="str">
        <f>IFERROR(INDEX(样本到样信息汇总统计!U$2:U$500,MATCH(100,样本到样信息汇总统计!$X$2:$X$500,0)),"")</f>
        <v/>
      </c>
      <c r="V101" s="8" t="str">
        <f>IFERROR(INDEX(样本到样信息汇总统计!V$2:V$500,MATCH(100,样本到样信息汇总统计!$X$2:$X$500,0)),"")</f>
        <v/>
      </c>
      <c r="W101" s="8" t="str">
        <f>IFERROR(INDEX(样本到样信息汇总统计!W$2:W$500,MATCH(100,样本到样信息汇总统计!$X$2:$X$500,0)),"")</f>
        <v/>
      </c>
    </row>
    <row r="102" ht="14.5" spans="1:23">
      <c r="A102" s="4" t="str">
        <f>IFERROR(INDEX(样本到样信息汇总统计!A$2:A$500,MATCH(101,样本到样信息汇总统计!$X$2:$X$500,0)),"")</f>
        <v/>
      </c>
      <c r="B102" s="4" t="str">
        <f>IFERROR(INDEX(样本到样信息汇总统计!B$2:B$500,MATCH(101,样本到样信息汇总统计!$X$2:$X$500,0)),"")</f>
        <v/>
      </c>
      <c r="C102" s="4" t="str">
        <f>IFERROR(INDEX(样本到样信息汇总统计!C$2:C$500,MATCH(101,样本到样信息汇总统计!$X$2:$X$500,0)),"")</f>
        <v/>
      </c>
      <c r="D102" s="4" t="str">
        <f>IFERROR(INDEX(样本到样信息汇总统计!D$2:D$500,MATCH(101,样本到样信息汇总统计!$X$2:$X$500,0)),"")</f>
        <v/>
      </c>
      <c r="E102" s="4" t="str">
        <f>IFERROR(INDEX(样本到样信息汇总统计!E$2:E$500,MATCH(101,样本到样信息汇总统计!$X$2:$X$500,0)),"")</f>
        <v/>
      </c>
      <c r="F102" s="4" t="str">
        <f>IFERROR(INDEX(样本到样信息汇总统计!F$2:F$500,MATCH(101,样本到样信息汇总统计!$X$2:$X$500,0)),"")</f>
        <v/>
      </c>
      <c r="G102" s="4" t="str">
        <f>IFERROR(INDEX(样本到样信息汇总统计!G$2:G$500,MATCH(101,样本到样信息汇总统计!$X$2:$X$500,0)),"")</f>
        <v/>
      </c>
      <c r="H102" s="4" t="str">
        <f>IFERROR(INDEX(样本到样信息汇总统计!H$2:H$500,MATCH(101,样本到样信息汇总统计!$X$2:$X$500,0)),"")</f>
        <v/>
      </c>
      <c r="I102" s="4" t="str">
        <f>IFERROR(INDEX(样本到样信息汇总统计!I$2:I$500,MATCH(101,样本到样信息汇总统计!$X$2:$X$500,0)),"")</f>
        <v/>
      </c>
      <c r="J102" s="4" t="str">
        <f>IFERROR(INDEX(样本到样信息汇总统计!J$2:J$500,MATCH(101,样本到样信息汇总统计!$X$2:$X$500,0)),"")</f>
        <v/>
      </c>
      <c r="K102" s="14" t="str">
        <f>IFERROR(INDEX(样本到样信息汇总统计!K$2:K$500,MATCH(101,样本到样信息汇总统计!$X$2:$X$500,0)),"")</f>
        <v/>
      </c>
      <c r="L102" s="4" t="str">
        <f>IFERROR(INDEX(样本到样信息汇总统计!L$2:L$500,MATCH(101,样本到样信息汇总统计!$X$2:$X$500,0)),"")</f>
        <v/>
      </c>
      <c r="M102" s="4" t="str">
        <f>IFERROR(INDEX(样本到样信息汇总统计!M$2:M$500,MATCH(101,样本到样信息汇总统计!$X$2:$X$500,0)),"")</f>
        <v/>
      </c>
      <c r="N102" s="4" t="str">
        <f>IFERROR(INDEX(样本到样信息汇总统计!N$2:N$500,MATCH(101,样本到样信息汇总统计!$X$2:$X$500,0)),"")</f>
        <v/>
      </c>
      <c r="O102" s="4" t="str">
        <f>IFERROR(INDEX(样本到样信息汇总统计!O$2:O$500,MATCH(101,样本到样信息汇总统计!$X$2:$X$500,0)),"")</f>
        <v/>
      </c>
      <c r="P102" s="4" t="str">
        <f>IFERROR(INDEX(样本到样信息汇总统计!P$2:P$500,MATCH(101,样本到样信息汇总统计!$X$2:$X$500,0)),"")</f>
        <v/>
      </c>
      <c r="Q102" s="4" t="str">
        <f>IFERROR(INDEX(样本到样信息汇总统计!Q$2:Q$500,MATCH(101,样本到样信息汇总统计!$X$2:$X$500,0)),"")</f>
        <v/>
      </c>
      <c r="R102" s="4" t="str">
        <f>IFERROR(INDEX(样本到样信息汇总统计!R$2:R$500,MATCH(101,样本到样信息汇总统计!$X$2:$X$500,0)),"")</f>
        <v/>
      </c>
      <c r="S102" s="4" t="str">
        <f>IFERROR(INDEX(样本到样信息汇总统计!S$2:S$500,MATCH(101,样本到样信息汇总统计!$X$2:$X$500,0)),"")</f>
        <v/>
      </c>
      <c r="T102" s="4" t="str">
        <f>IFERROR(INDEX(样本到样信息汇总统计!T$2:T$500,MATCH(101,样本到样信息汇总统计!$X$2:$X$500,0)),"")</f>
        <v/>
      </c>
      <c r="U102" s="4" t="str">
        <f>IFERROR(INDEX(样本到样信息汇总统计!U$2:U$500,MATCH(101,样本到样信息汇总统计!$X$2:$X$500,0)),"")</f>
        <v/>
      </c>
      <c r="V102" s="4" t="str">
        <f>IFERROR(INDEX(样本到样信息汇总统计!V$2:V$500,MATCH(101,样本到样信息汇总统计!$X$2:$X$500,0)),"")</f>
        <v/>
      </c>
      <c r="W102" s="4" t="str">
        <f>IFERROR(INDEX(样本到样信息汇总统计!W$2:W$500,MATCH(101,样本到样信息汇总统计!$X$2:$X$500,0)),"")</f>
        <v/>
      </c>
    </row>
    <row r="103" ht="14.5" spans="1:23">
      <c r="A103" s="8" t="str">
        <f>IFERROR(INDEX(样本到样信息汇总统计!A$2:A$500,MATCH(102,样本到样信息汇总统计!$X$2:$X$500,0)),"")</f>
        <v/>
      </c>
      <c r="B103" s="8" t="str">
        <f>IFERROR(INDEX(样本到样信息汇总统计!B$2:B$500,MATCH(102,样本到样信息汇总统计!$X$2:$X$500,0)),"")</f>
        <v/>
      </c>
      <c r="C103" s="8" t="str">
        <f>IFERROR(INDEX(样本到样信息汇总统计!C$2:C$500,MATCH(102,样本到样信息汇总统计!$X$2:$X$500,0)),"")</f>
        <v/>
      </c>
      <c r="D103" s="8" t="str">
        <f>IFERROR(INDEX(样本到样信息汇总统计!D$2:D$500,MATCH(102,样本到样信息汇总统计!$X$2:$X$500,0)),"")</f>
        <v/>
      </c>
      <c r="E103" s="8" t="str">
        <f>IFERROR(INDEX(样本到样信息汇总统计!E$2:E$500,MATCH(102,样本到样信息汇总统计!$X$2:$X$500,0)),"")</f>
        <v/>
      </c>
      <c r="F103" s="8" t="str">
        <f>IFERROR(INDEX(样本到样信息汇总统计!F$2:F$500,MATCH(102,样本到样信息汇总统计!$X$2:$X$500,0)),"")</f>
        <v/>
      </c>
      <c r="G103" s="8" t="str">
        <f>IFERROR(INDEX(样本到样信息汇总统计!G$2:G$500,MATCH(102,样本到样信息汇总统计!$X$2:$X$500,0)),"")</f>
        <v/>
      </c>
      <c r="H103" s="8" t="str">
        <f>IFERROR(INDEX(样本到样信息汇总统计!H$2:H$500,MATCH(102,样本到样信息汇总统计!$X$2:$X$500,0)),"")</f>
        <v/>
      </c>
      <c r="I103" s="8" t="str">
        <f>IFERROR(INDEX(样本到样信息汇总统计!I$2:I$500,MATCH(102,样本到样信息汇总统计!$X$2:$X$500,0)),"")</f>
        <v/>
      </c>
      <c r="J103" s="8" t="str">
        <f>IFERROR(INDEX(样本到样信息汇总统计!J$2:J$500,MATCH(102,样本到样信息汇总统计!$X$2:$X$500,0)),"")</f>
        <v/>
      </c>
      <c r="K103" s="15" t="str">
        <f>IFERROR(INDEX(样本到样信息汇总统计!K$2:K$500,MATCH(102,样本到样信息汇总统计!$X$2:$X$500,0)),"")</f>
        <v/>
      </c>
      <c r="L103" s="8" t="str">
        <f>IFERROR(INDEX(样本到样信息汇总统计!L$2:L$500,MATCH(102,样本到样信息汇总统计!$X$2:$X$500,0)),"")</f>
        <v/>
      </c>
      <c r="M103" s="8" t="str">
        <f>IFERROR(INDEX(样本到样信息汇总统计!M$2:M$500,MATCH(102,样本到样信息汇总统计!$X$2:$X$500,0)),"")</f>
        <v/>
      </c>
      <c r="N103" s="8" t="str">
        <f>IFERROR(INDEX(样本到样信息汇总统计!N$2:N$500,MATCH(102,样本到样信息汇总统计!$X$2:$X$500,0)),"")</f>
        <v/>
      </c>
      <c r="O103" s="8" t="str">
        <f>IFERROR(INDEX(样本到样信息汇总统计!O$2:O$500,MATCH(102,样本到样信息汇总统计!$X$2:$X$500,0)),"")</f>
        <v/>
      </c>
      <c r="P103" s="8" t="str">
        <f>IFERROR(INDEX(样本到样信息汇总统计!P$2:P$500,MATCH(102,样本到样信息汇总统计!$X$2:$X$500,0)),"")</f>
        <v/>
      </c>
      <c r="Q103" s="8" t="str">
        <f>IFERROR(INDEX(样本到样信息汇总统计!Q$2:Q$500,MATCH(102,样本到样信息汇总统计!$X$2:$X$500,0)),"")</f>
        <v/>
      </c>
      <c r="R103" s="8" t="str">
        <f>IFERROR(INDEX(样本到样信息汇总统计!R$2:R$500,MATCH(102,样本到样信息汇总统计!$X$2:$X$500,0)),"")</f>
        <v/>
      </c>
      <c r="S103" s="8" t="str">
        <f>IFERROR(INDEX(样本到样信息汇总统计!S$2:S$500,MATCH(102,样本到样信息汇总统计!$X$2:$X$500,0)),"")</f>
        <v/>
      </c>
      <c r="T103" s="8" t="str">
        <f>IFERROR(INDEX(样本到样信息汇总统计!T$2:T$500,MATCH(102,样本到样信息汇总统计!$X$2:$X$500,0)),"")</f>
        <v/>
      </c>
      <c r="U103" s="8" t="str">
        <f>IFERROR(INDEX(样本到样信息汇总统计!U$2:U$500,MATCH(102,样本到样信息汇总统计!$X$2:$X$500,0)),"")</f>
        <v/>
      </c>
      <c r="V103" s="8" t="str">
        <f>IFERROR(INDEX(样本到样信息汇总统计!V$2:V$500,MATCH(102,样本到样信息汇总统计!$X$2:$X$500,0)),"")</f>
        <v/>
      </c>
      <c r="W103" s="8" t="str">
        <f>IFERROR(INDEX(样本到样信息汇总统计!W$2:W$500,MATCH(102,样本到样信息汇总统计!$X$2:$X$500,0)),"")</f>
        <v/>
      </c>
    </row>
    <row r="104" ht="14.5" spans="1:23">
      <c r="A104" s="4" t="str">
        <f>IFERROR(INDEX(样本到样信息汇总统计!A$2:A$500,MATCH(103,样本到样信息汇总统计!$X$2:$X$500,0)),"")</f>
        <v/>
      </c>
      <c r="B104" s="4" t="str">
        <f>IFERROR(INDEX(样本到样信息汇总统计!B$2:B$500,MATCH(103,样本到样信息汇总统计!$X$2:$X$500,0)),"")</f>
        <v/>
      </c>
      <c r="C104" s="4" t="str">
        <f>IFERROR(INDEX(样本到样信息汇总统计!C$2:C$500,MATCH(103,样本到样信息汇总统计!$X$2:$X$500,0)),"")</f>
        <v/>
      </c>
      <c r="D104" s="4" t="str">
        <f>IFERROR(INDEX(样本到样信息汇总统计!D$2:D$500,MATCH(103,样本到样信息汇总统计!$X$2:$X$500,0)),"")</f>
        <v/>
      </c>
      <c r="E104" s="4" t="str">
        <f>IFERROR(INDEX(样本到样信息汇总统计!E$2:E$500,MATCH(103,样本到样信息汇总统计!$X$2:$X$500,0)),"")</f>
        <v/>
      </c>
      <c r="F104" s="4" t="str">
        <f>IFERROR(INDEX(样本到样信息汇总统计!F$2:F$500,MATCH(103,样本到样信息汇总统计!$X$2:$X$500,0)),"")</f>
        <v/>
      </c>
      <c r="G104" s="4" t="str">
        <f>IFERROR(INDEX(样本到样信息汇总统计!G$2:G$500,MATCH(103,样本到样信息汇总统计!$X$2:$X$500,0)),"")</f>
        <v/>
      </c>
      <c r="H104" s="4" t="str">
        <f>IFERROR(INDEX(样本到样信息汇总统计!H$2:H$500,MATCH(103,样本到样信息汇总统计!$X$2:$X$500,0)),"")</f>
        <v/>
      </c>
      <c r="I104" s="4" t="str">
        <f>IFERROR(INDEX(样本到样信息汇总统计!I$2:I$500,MATCH(103,样本到样信息汇总统计!$X$2:$X$500,0)),"")</f>
        <v/>
      </c>
      <c r="J104" s="4" t="str">
        <f>IFERROR(INDEX(样本到样信息汇总统计!J$2:J$500,MATCH(103,样本到样信息汇总统计!$X$2:$X$500,0)),"")</f>
        <v/>
      </c>
      <c r="K104" s="14" t="str">
        <f>IFERROR(INDEX(样本到样信息汇总统计!K$2:K$500,MATCH(103,样本到样信息汇总统计!$X$2:$X$500,0)),"")</f>
        <v/>
      </c>
      <c r="L104" s="4" t="str">
        <f>IFERROR(INDEX(样本到样信息汇总统计!L$2:L$500,MATCH(103,样本到样信息汇总统计!$X$2:$X$500,0)),"")</f>
        <v/>
      </c>
      <c r="M104" s="4" t="str">
        <f>IFERROR(INDEX(样本到样信息汇总统计!M$2:M$500,MATCH(103,样本到样信息汇总统计!$X$2:$X$500,0)),"")</f>
        <v/>
      </c>
      <c r="N104" s="4" t="str">
        <f>IFERROR(INDEX(样本到样信息汇总统计!N$2:N$500,MATCH(103,样本到样信息汇总统计!$X$2:$X$500,0)),"")</f>
        <v/>
      </c>
      <c r="O104" s="4" t="str">
        <f>IFERROR(INDEX(样本到样信息汇总统计!O$2:O$500,MATCH(103,样本到样信息汇总统计!$X$2:$X$500,0)),"")</f>
        <v/>
      </c>
      <c r="P104" s="4" t="str">
        <f>IFERROR(INDEX(样本到样信息汇总统计!P$2:P$500,MATCH(103,样本到样信息汇总统计!$X$2:$X$500,0)),"")</f>
        <v/>
      </c>
      <c r="Q104" s="4" t="str">
        <f>IFERROR(INDEX(样本到样信息汇总统计!Q$2:Q$500,MATCH(103,样本到样信息汇总统计!$X$2:$X$500,0)),"")</f>
        <v/>
      </c>
      <c r="R104" s="4" t="str">
        <f>IFERROR(INDEX(样本到样信息汇总统计!R$2:R$500,MATCH(103,样本到样信息汇总统计!$X$2:$X$500,0)),"")</f>
        <v/>
      </c>
      <c r="S104" s="4" t="str">
        <f>IFERROR(INDEX(样本到样信息汇总统计!S$2:S$500,MATCH(103,样本到样信息汇总统计!$X$2:$X$500,0)),"")</f>
        <v/>
      </c>
      <c r="T104" s="4" t="str">
        <f>IFERROR(INDEX(样本到样信息汇总统计!T$2:T$500,MATCH(103,样本到样信息汇总统计!$X$2:$X$500,0)),"")</f>
        <v/>
      </c>
      <c r="U104" s="4" t="str">
        <f>IFERROR(INDEX(样本到样信息汇总统计!U$2:U$500,MATCH(103,样本到样信息汇总统计!$X$2:$X$500,0)),"")</f>
        <v/>
      </c>
      <c r="V104" s="4" t="str">
        <f>IFERROR(INDEX(样本到样信息汇总统计!V$2:V$500,MATCH(103,样本到样信息汇总统计!$X$2:$X$500,0)),"")</f>
        <v/>
      </c>
      <c r="W104" s="4" t="str">
        <f>IFERROR(INDEX(样本到样信息汇总统计!W$2:W$500,MATCH(103,样本到样信息汇总统计!$X$2:$X$500,0)),"")</f>
        <v/>
      </c>
    </row>
    <row r="105" ht="14.5" spans="1:23">
      <c r="A105" s="8" t="str">
        <f>IFERROR(INDEX(样本到样信息汇总统计!A$2:A$500,MATCH(104,样本到样信息汇总统计!$X$2:$X$500,0)),"")</f>
        <v/>
      </c>
      <c r="B105" s="8" t="str">
        <f>IFERROR(INDEX(样本到样信息汇总统计!B$2:B$500,MATCH(104,样本到样信息汇总统计!$X$2:$X$500,0)),"")</f>
        <v/>
      </c>
      <c r="C105" s="8" t="str">
        <f>IFERROR(INDEX(样本到样信息汇总统计!C$2:C$500,MATCH(104,样本到样信息汇总统计!$X$2:$X$500,0)),"")</f>
        <v/>
      </c>
      <c r="D105" s="8" t="str">
        <f>IFERROR(INDEX(样本到样信息汇总统计!D$2:D$500,MATCH(104,样本到样信息汇总统计!$X$2:$X$500,0)),"")</f>
        <v/>
      </c>
      <c r="E105" s="8" t="str">
        <f>IFERROR(INDEX(样本到样信息汇总统计!E$2:E$500,MATCH(104,样本到样信息汇总统计!$X$2:$X$500,0)),"")</f>
        <v/>
      </c>
      <c r="F105" s="8" t="str">
        <f>IFERROR(INDEX(样本到样信息汇总统计!F$2:F$500,MATCH(104,样本到样信息汇总统计!$X$2:$X$500,0)),"")</f>
        <v/>
      </c>
      <c r="G105" s="8" t="str">
        <f>IFERROR(INDEX(样本到样信息汇总统计!G$2:G$500,MATCH(104,样本到样信息汇总统计!$X$2:$X$500,0)),"")</f>
        <v/>
      </c>
      <c r="H105" s="8" t="str">
        <f>IFERROR(INDEX(样本到样信息汇总统计!H$2:H$500,MATCH(104,样本到样信息汇总统计!$X$2:$X$500,0)),"")</f>
        <v/>
      </c>
      <c r="I105" s="8" t="str">
        <f>IFERROR(INDEX(样本到样信息汇总统计!I$2:I$500,MATCH(104,样本到样信息汇总统计!$X$2:$X$500,0)),"")</f>
        <v/>
      </c>
      <c r="J105" s="8" t="str">
        <f>IFERROR(INDEX(样本到样信息汇总统计!J$2:J$500,MATCH(104,样本到样信息汇总统计!$X$2:$X$500,0)),"")</f>
        <v/>
      </c>
      <c r="K105" s="15" t="str">
        <f>IFERROR(INDEX(样本到样信息汇总统计!K$2:K$500,MATCH(104,样本到样信息汇总统计!$X$2:$X$500,0)),"")</f>
        <v/>
      </c>
      <c r="L105" s="8" t="str">
        <f>IFERROR(INDEX(样本到样信息汇总统计!L$2:L$500,MATCH(104,样本到样信息汇总统计!$X$2:$X$500,0)),"")</f>
        <v/>
      </c>
      <c r="M105" s="8" t="str">
        <f>IFERROR(INDEX(样本到样信息汇总统计!M$2:M$500,MATCH(104,样本到样信息汇总统计!$X$2:$X$500,0)),"")</f>
        <v/>
      </c>
      <c r="N105" s="8" t="str">
        <f>IFERROR(INDEX(样本到样信息汇总统计!N$2:N$500,MATCH(104,样本到样信息汇总统计!$X$2:$X$500,0)),"")</f>
        <v/>
      </c>
      <c r="O105" s="8" t="str">
        <f>IFERROR(INDEX(样本到样信息汇总统计!O$2:O$500,MATCH(104,样本到样信息汇总统计!$X$2:$X$500,0)),"")</f>
        <v/>
      </c>
      <c r="P105" s="8" t="str">
        <f>IFERROR(INDEX(样本到样信息汇总统计!P$2:P$500,MATCH(104,样本到样信息汇总统计!$X$2:$X$500,0)),"")</f>
        <v/>
      </c>
      <c r="Q105" s="8" t="str">
        <f>IFERROR(INDEX(样本到样信息汇总统计!Q$2:Q$500,MATCH(104,样本到样信息汇总统计!$X$2:$X$500,0)),"")</f>
        <v/>
      </c>
      <c r="R105" s="8" t="str">
        <f>IFERROR(INDEX(样本到样信息汇总统计!R$2:R$500,MATCH(104,样本到样信息汇总统计!$X$2:$X$500,0)),"")</f>
        <v/>
      </c>
      <c r="S105" s="8" t="str">
        <f>IFERROR(INDEX(样本到样信息汇总统计!S$2:S$500,MATCH(104,样本到样信息汇总统计!$X$2:$X$500,0)),"")</f>
        <v/>
      </c>
      <c r="T105" s="8" t="str">
        <f>IFERROR(INDEX(样本到样信息汇总统计!T$2:T$500,MATCH(104,样本到样信息汇总统计!$X$2:$X$500,0)),"")</f>
        <v/>
      </c>
      <c r="U105" s="8" t="str">
        <f>IFERROR(INDEX(样本到样信息汇总统计!U$2:U$500,MATCH(104,样本到样信息汇总统计!$X$2:$X$500,0)),"")</f>
        <v/>
      </c>
      <c r="V105" s="8" t="str">
        <f>IFERROR(INDEX(样本到样信息汇总统计!V$2:V$500,MATCH(104,样本到样信息汇总统计!$X$2:$X$500,0)),"")</f>
        <v/>
      </c>
      <c r="W105" s="8" t="str">
        <f>IFERROR(INDEX(样本到样信息汇总统计!W$2:W$500,MATCH(104,样本到样信息汇总统计!$X$2:$X$500,0)),"")</f>
        <v/>
      </c>
    </row>
    <row r="106" ht="14.5" spans="1:23">
      <c r="A106" s="4" t="str">
        <f>IFERROR(INDEX(样本到样信息汇总统计!A$2:A$500,MATCH(105,样本到样信息汇总统计!$X$2:$X$500,0)),"")</f>
        <v/>
      </c>
      <c r="B106" s="4" t="str">
        <f>IFERROR(INDEX(样本到样信息汇总统计!B$2:B$500,MATCH(105,样本到样信息汇总统计!$X$2:$X$500,0)),"")</f>
        <v/>
      </c>
      <c r="C106" s="4" t="str">
        <f>IFERROR(INDEX(样本到样信息汇总统计!C$2:C$500,MATCH(105,样本到样信息汇总统计!$X$2:$X$500,0)),"")</f>
        <v/>
      </c>
      <c r="D106" s="4" t="str">
        <f>IFERROR(INDEX(样本到样信息汇总统计!D$2:D$500,MATCH(105,样本到样信息汇总统计!$X$2:$X$500,0)),"")</f>
        <v/>
      </c>
      <c r="E106" s="4" t="str">
        <f>IFERROR(INDEX(样本到样信息汇总统计!E$2:E$500,MATCH(105,样本到样信息汇总统计!$X$2:$X$500,0)),"")</f>
        <v/>
      </c>
      <c r="F106" s="4" t="str">
        <f>IFERROR(INDEX(样本到样信息汇总统计!F$2:F$500,MATCH(105,样本到样信息汇总统计!$X$2:$X$500,0)),"")</f>
        <v/>
      </c>
      <c r="G106" s="4" t="str">
        <f>IFERROR(INDEX(样本到样信息汇总统计!G$2:G$500,MATCH(105,样本到样信息汇总统计!$X$2:$X$500,0)),"")</f>
        <v/>
      </c>
      <c r="H106" s="4" t="str">
        <f>IFERROR(INDEX(样本到样信息汇总统计!H$2:H$500,MATCH(105,样本到样信息汇总统计!$X$2:$X$500,0)),"")</f>
        <v/>
      </c>
      <c r="I106" s="4" t="str">
        <f>IFERROR(INDEX(样本到样信息汇总统计!I$2:I$500,MATCH(105,样本到样信息汇总统计!$X$2:$X$500,0)),"")</f>
        <v/>
      </c>
      <c r="J106" s="4" t="str">
        <f>IFERROR(INDEX(样本到样信息汇总统计!J$2:J$500,MATCH(105,样本到样信息汇总统计!$X$2:$X$500,0)),"")</f>
        <v/>
      </c>
      <c r="K106" s="14" t="str">
        <f>IFERROR(INDEX(样本到样信息汇总统计!K$2:K$500,MATCH(105,样本到样信息汇总统计!$X$2:$X$500,0)),"")</f>
        <v/>
      </c>
      <c r="L106" s="4" t="str">
        <f>IFERROR(INDEX(样本到样信息汇总统计!L$2:L$500,MATCH(105,样本到样信息汇总统计!$X$2:$X$500,0)),"")</f>
        <v/>
      </c>
      <c r="M106" s="4" t="str">
        <f>IFERROR(INDEX(样本到样信息汇总统计!M$2:M$500,MATCH(105,样本到样信息汇总统计!$X$2:$X$500,0)),"")</f>
        <v/>
      </c>
      <c r="N106" s="4" t="str">
        <f>IFERROR(INDEX(样本到样信息汇总统计!N$2:N$500,MATCH(105,样本到样信息汇总统计!$X$2:$X$500,0)),"")</f>
        <v/>
      </c>
      <c r="O106" s="4" t="str">
        <f>IFERROR(INDEX(样本到样信息汇总统计!O$2:O$500,MATCH(105,样本到样信息汇总统计!$X$2:$X$500,0)),"")</f>
        <v/>
      </c>
      <c r="P106" s="4" t="str">
        <f>IFERROR(INDEX(样本到样信息汇总统计!P$2:P$500,MATCH(105,样本到样信息汇总统计!$X$2:$X$500,0)),"")</f>
        <v/>
      </c>
      <c r="Q106" s="4" t="str">
        <f>IFERROR(INDEX(样本到样信息汇总统计!Q$2:Q$500,MATCH(105,样本到样信息汇总统计!$X$2:$X$500,0)),"")</f>
        <v/>
      </c>
      <c r="R106" s="4" t="str">
        <f>IFERROR(INDEX(样本到样信息汇总统计!R$2:R$500,MATCH(105,样本到样信息汇总统计!$X$2:$X$500,0)),"")</f>
        <v/>
      </c>
      <c r="S106" s="4" t="str">
        <f>IFERROR(INDEX(样本到样信息汇总统计!S$2:S$500,MATCH(105,样本到样信息汇总统计!$X$2:$X$500,0)),"")</f>
        <v/>
      </c>
      <c r="T106" s="4" t="str">
        <f>IFERROR(INDEX(样本到样信息汇总统计!T$2:T$500,MATCH(105,样本到样信息汇总统计!$X$2:$X$500,0)),"")</f>
        <v/>
      </c>
      <c r="U106" s="4" t="str">
        <f>IFERROR(INDEX(样本到样信息汇总统计!U$2:U$500,MATCH(105,样本到样信息汇总统计!$X$2:$X$500,0)),"")</f>
        <v/>
      </c>
      <c r="V106" s="4" t="str">
        <f>IFERROR(INDEX(样本到样信息汇总统计!V$2:V$500,MATCH(105,样本到样信息汇总统计!$X$2:$X$500,0)),"")</f>
        <v/>
      </c>
      <c r="W106" s="4" t="str">
        <f>IFERROR(INDEX(样本到样信息汇总统计!W$2:W$500,MATCH(105,样本到样信息汇总统计!$X$2:$X$500,0)),"")</f>
        <v/>
      </c>
    </row>
    <row r="107" ht="14.5" spans="1:23">
      <c r="A107" s="8" t="str">
        <f>IFERROR(INDEX(样本到样信息汇总统计!A$2:A$500,MATCH(106,样本到样信息汇总统计!$X$2:$X$500,0)),"")</f>
        <v/>
      </c>
      <c r="B107" s="8" t="str">
        <f>IFERROR(INDEX(样本到样信息汇总统计!B$2:B$500,MATCH(106,样本到样信息汇总统计!$X$2:$X$500,0)),"")</f>
        <v/>
      </c>
      <c r="C107" s="8" t="str">
        <f>IFERROR(INDEX(样本到样信息汇总统计!C$2:C$500,MATCH(106,样本到样信息汇总统计!$X$2:$X$500,0)),"")</f>
        <v/>
      </c>
      <c r="D107" s="8" t="str">
        <f>IFERROR(INDEX(样本到样信息汇总统计!D$2:D$500,MATCH(106,样本到样信息汇总统计!$X$2:$X$500,0)),"")</f>
        <v/>
      </c>
      <c r="E107" s="8" t="str">
        <f>IFERROR(INDEX(样本到样信息汇总统计!E$2:E$500,MATCH(106,样本到样信息汇总统计!$X$2:$X$500,0)),"")</f>
        <v/>
      </c>
      <c r="F107" s="8" t="str">
        <f>IFERROR(INDEX(样本到样信息汇总统计!F$2:F$500,MATCH(106,样本到样信息汇总统计!$X$2:$X$500,0)),"")</f>
        <v/>
      </c>
      <c r="G107" s="8" t="str">
        <f>IFERROR(INDEX(样本到样信息汇总统计!G$2:G$500,MATCH(106,样本到样信息汇总统计!$X$2:$X$500,0)),"")</f>
        <v/>
      </c>
      <c r="H107" s="8" t="str">
        <f>IFERROR(INDEX(样本到样信息汇总统计!H$2:H$500,MATCH(106,样本到样信息汇总统计!$X$2:$X$500,0)),"")</f>
        <v/>
      </c>
      <c r="I107" s="8" t="str">
        <f>IFERROR(INDEX(样本到样信息汇总统计!I$2:I$500,MATCH(106,样本到样信息汇总统计!$X$2:$X$500,0)),"")</f>
        <v/>
      </c>
      <c r="J107" s="8" t="str">
        <f>IFERROR(INDEX(样本到样信息汇总统计!J$2:J$500,MATCH(106,样本到样信息汇总统计!$X$2:$X$500,0)),"")</f>
        <v/>
      </c>
      <c r="K107" s="15" t="str">
        <f>IFERROR(INDEX(样本到样信息汇总统计!K$2:K$500,MATCH(106,样本到样信息汇总统计!$X$2:$X$500,0)),"")</f>
        <v/>
      </c>
      <c r="L107" s="8" t="str">
        <f>IFERROR(INDEX(样本到样信息汇总统计!L$2:L$500,MATCH(106,样本到样信息汇总统计!$X$2:$X$500,0)),"")</f>
        <v/>
      </c>
      <c r="M107" s="8" t="str">
        <f>IFERROR(INDEX(样本到样信息汇总统计!M$2:M$500,MATCH(106,样本到样信息汇总统计!$X$2:$X$500,0)),"")</f>
        <v/>
      </c>
      <c r="N107" s="8" t="str">
        <f>IFERROR(INDEX(样本到样信息汇总统计!N$2:N$500,MATCH(106,样本到样信息汇总统计!$X$2:$X$500,0)),"")</f>
        <v/>
      </c>
      <c r="O107" s="8" t="str">
        <f>IFERROR(INDEX(样本到样信息汇总统计!O$2:O$500,MATCH(106,样本到样信息汇总统计!$X$2:$X$500,0)),"")</f>
        <v/>
      </c>
      <c r="P107" s="8" t="str">
        <f>IFERROR(INDEX(样本到样信息汇总统计!P$2:P$500,MATCH(106,样本到样信息汇总统计!$X$2:$X$500,0)),"")</f>
        <v/>
      </c>
      <c r="Q107" s="8" t="str">
        <f>IFERROR(INDEX(样本到样信息汇总统计!Q$2:Q$500,MATCH(106,样本到样信息汇总统计!$X$2:$X$500,0)),"")</f>
        <v/>
      </c>
      <c r="R107" s="8" t="str">
        <f>IFERROR(INDEX(样本到样信息汇总统计!R$2:R$500,MATCH(106,样本到样信息汇总统计!$X$2:$X$500,0)),"")</f>
        <v/>
      </c>
      <c r="S107" s="8" t="str">
        <f>IFERROR(INDEX(样本到样信息汇总统计!S$2:S$500,MATCH(106,样本到样信息汇总统计!$X$2:$X$500,0)),"")</f>
        <v/>
      </c>
      <c r="T107" s="8" t="str">
        <f>IFERROR(INDEX(样本到样信息汇总统计!T$2:T$500,MATCH(106,样本到样信息汇总统计!$X$2:$X$500,0)),"")</f>
        <v/>
      </c>
      <c r="U107" s="8" t="str">
        <f>IFERROR(INDEX(样本到样信息汇总统计!U$2:U$500,MATCH(106,样本到样信息汇总统计!$X$2:$X$500,0)),"")</f>
        <v/>
      </c>
      <c r="V107" s="8" t="str">
        <f>IFERROR(INDEX(样本到样信息汇总统计!V$2:V$500,MATCH(106,样本到样信息汇总统计!$X$2:$X$500,0)),"")</f>
        <v/>
      </c>
      <c r="W107" s="8" t="str">
        <f>IFERROR(INDEX(样本到样信息汇总统计!W$2:W$500,MATCH(106,样本到样信息汇总统计!$X$2:$X$500,0)),"")</f>
        <v/>
      </c>
    </row>
    <row r="108" ht="14.5" spans="1:23">
      <c r="A108" s="4" t="str">
        <f>IFERROR(INDEX(样本到样信息汇总统计!A$2:A$500,MATCH(107,样本到样信息汇总统计!$X$2:$X$500,0)),"")</f>
        <v/>
      </c>
      <c r="B108" s="4" t="str">
        <f>IFERROR(INDEX(样本到样信息汇总统计!B$2:B$500,MATCH(107,样本到样信息汇总统计!$X$2:$X$500,0)),"")</f>
        <v/>
      </c>
      <c r="C108" s="4" t="str">
        <f>IFERROR(INDEX(样本到样信息汇总统计!C$2:C$500,MATCH(107,样本到样信息汇总统计!$X$2:$X$500,0)),"")</f>
        <v/>
      </c>
      <c r="D108" s="4" t="str">
        <f>IFERROR(INDEX(样本到样信息汇总统计!D$2:D$500,MATCH(107,样本到样信息汇总统计!$X$2:$X$500,0)),"")</f>
        <v/>
      </c>
      <c r="E108" s="4" t="str">
        <f>IFERROR(INDEX(样本到样信息汇总统计!E$2:E$500,MATCH(107,样本到样信息汇总统计!$X$2:$X$500,0)),"")</f>
        <v/>
      </c>
      <c r="F108" s="4" t="str">
        <f>IFERROR(INDEX(样本到样信息汇总统计!F$2:F$500,MATCH(107,样本到样信息汇总统计!$X$2:$X$500,0)),"")</f>
        <v/>
      </c>
      <c r="G108" s="4" t="str">
        <f>IFERROR(INDEX(样本到样信息汇总统计!G$2:G$500,MATCH(107,样本到样信息汇总统计!$X$2:$X$500,0)),"")</f>
        <v/>
      </c>
      <c r="H108" s="4" t="str">
        <f>IFERROR(INDEX(样本到样信息汇总统计!H$2:H$500,MATCH(107,样本到样信息汇总统计!$X$2:$X$500,0)),"")</f>
        <v/>
      </c>
      <c r="I108" s="4" t="str">
        <f>IFERROR(INDEX(样本到样信息汇总统计!I$2:I$500,MATCH(107,样本到样信息汇总统计!$X$2:$X$500,0)),"")</f>
        <v/>
      </c>
      <c r="J108" s="4" t="str">
        <f>IFERROR(INDEX(样本到样信息汇总统计!J$2:J$500,MATCH(107,样本到样信息汇总统计!$X$2:$X$500,0)),"")</f>
        <v/>
      </c>
      <c r="K108" s="14" t="str">
        <f>IFERROR(INDEX(样本到样信息汇总统计!K$2:K$500,MATCH(107,样本到样信息汇总统计!$X$2:$X$500,0)),"")</f>
        <v/>
      </c>
      <c r="L108" s="4" t="str">
        <f>IFERROR(INDEX(样本到样信息汇总统计!L$2:L$500,MATCH(107,样本到样信息汇总统计!$X$2:$X$500,0)),"")</f>
        <v/>
      </c>
      <c r="M108" s="4" t="str">
        <f>IFERROR(INDEX(样本到样信息汇总统计!M$2:M$500,MATCH(107,样本到样信息汇总统计!$X$2:$X$500,0)),"")</f>
        <v/>
      </c>
      <c r="N108" s="4" t="str">
        <f>IFERROR(INDEX(样本到样信息汇总统计!N$2:N$500,MATCH(107,样本到样信息汇总统计!$X$2:$X$500,0)),"")</f>
        <v/>
      </c>
      <c r="O108" s="4" t="str">
        <f>IFERROR(INDEX(样本到样信息汇总统计!O$2:O$500,MATCH(107,样本到样信息汇总统计!$X$2:$X$500,0)),"")</f>
        <v/>
      </c>
      <c r="P108" s="4" t="str">
        <f>IFERROR(INDEX(样本到样信息汇总统计!P$2:P$500,MATCH(107,样本到样信息汇总统计!$X$2:$X$500,0)),"")</f>
        <v/>
      </c>
      <c r="Q108" s="4" t="str">
        <f>IFERROR(INDEX(样本到样信息汇总统计!Q$2:Q$500,MATCH(107,样本到样信息汇总统计!$X$2:$X$500,0)),"")</f>
        <v/>
      </c>
      <c r="R108" s="4" t="str">
        <f>IFERROR(INDEX(样本到样信息汇总统计!R$2:R$500,MATCH(107,样本到样信息汇总统计!$X$2:$X$500,0)),"")</f>
        <v/>
      </c>
      <c r="S108" s="4" t="str">
        <f>IFERROR(INDEX(样本到样信息汇总统计!S$2:S$500,MATCH(107,样本到样信息汇总统计!$X$2:$X$500,0)),"")</f>
        <v/>
      </c>
      <c r="T108" s="4" t="str">
        <f>IFERROR(INDEX(样本到样信息汇总统计!T$2:T$500,MATCH(107,样本到样信息汇总统计!$X$2:$X$500,0)),"")</f>
        <v/>
      </c>
      <c r="U108" s="4" t="str">
        <f>IFERROR(INDEX(样本到样信息汇总统计!U$2:U$500,MATCH(107,样本到样信息汇总统计!$X$2:$X$500,0)),"")</f>
        <v/>
      </c>
      <c r="V108" s="4" t="str">
        <f>IFERROR(INDEX(样本到样信息汇总统计!V$2:V$500,MATCH(107,样本到样信息汇总统计!$X$2:$X$500,0)),"")</f>
        <v/>
      </c>
      <c r="W108" s="4" t="str">
        <f>IFERROR(INDEX(样本到样信息汇总统计!W$2:W$500,MATCH(107,样本到样信息汇总统计!$X$2:$X$500,0)),"")</f>
        <v/>
      </c>
    </row>
    <row r="109" ht="14.5" spans="1:23">
      <c r="A109" s="8" t="str">
        <f>IFERROR(INDEX(样本到样信息汇总统计!A$2:A$500,MATCH(108,样本到样信息汇总统计!$X$2:$X$500,0)),"")</f>
        <v/>
      </c>
      <c r="B109" s="8" t="str">
        <f>IFERROR(INDEX(样本到样信息汇总统计!B$2:B$500,MATCH(108,样本到样信息汇总统计!$X$2:$X$500,0)),"")</f>
        <v/>
      </c>
      <c r="C109" s="8" t="str">
        <f>IFERROR(INDEX(样本到样信息汇总统计!C$2:C$500,MATCH(108,样本到样信息汇总统计!$X$2:$X$500,0)),"")</f>
        <v/>
      </c>
      <c r="D109" s="8" t="str">
        <f>IFERROR(INDEX(样本到样信息汇总统计!D$2:D$500,MATCH(108,样本到样信息汇总统计!$X$2:$X$500,0)),"")</f>
        <v/>
      </c>
      <c r="E109" s="8" t="str">
        <f>IFERROR(INDEX(样本到样信息汇总统计!E$2:E$500,MATCH(108,样本到样信息汇总统计!$X$2:$X$500,0)),"")</f>
        <v/>
      </c>
      <c r="F109" s="8" t="str">
        <f>IFERROR(INDEX(样本到样信息汇总统计!F$2:F$500,MATCH(108,样本到样信息汇总统计!$X$2:$X$500,0)),"")</f>
        <v/>
      </c>
      <c r="G109" s="8" t="str">
        <f>IFERROR(INDEX(样本到样信息汇总统计!G$2:G$500,MATCH(108,样本到样信息汇总统计!$X$2:$X$500,0)),"")</f>
        <v/>
      </c>
      <c r="H109" s="8" t="str">
        <f>IFERROR(INDEX(样本到样信息汇总统计!H$2:H$500,MATCH(108,样本到样信息汇总统计!$X$2:$X$500,0)),"")</f>
        <v/>
      </c>
      <c r="I109" s="8" t="str">
        <f>IFERROR(INDEX(样本到样信息汇总统计!I$2:I$500,MATCH(108,样本到样信息汇总统计!$X$2:$X$500,0)),"")</f>
        <v/>
      </c>
      <c r="J109" s="8" t="str">
        <f>IFERROR(INDEX(样本到样信息汇总统计!J$2:J$500,MATCH(108,样本到样信息汇总统计!$X$2:$X$500,0)),"")</f>
        <v/>
      </c>
      <c r="K109" s="15" t="str">
        <f>IFERROR(INDEX(样本到样信息汇总统计!K$2:K$500,MATCH(108,样本到样信息汇总统计!$X$2:$X$500,0)),"")</f>
        <v/>
      </c>
      <c r="L109" s="8" t="str">
        <f>IFERROR(INDEX(样本到样信息汇总统计!L$2:L$500,MATCH(108,样本到样信息汇总统计!$X$2:$X$500,0)),"")</f>
        <v/>
      </c>
      <c r="M109" s="8" t="str">
        <f>IFERROR(INDEX(样本到样信息汇总统计!M$2:M$500,MATCH(108,样本到样信息汇总统计!$X$2:$X$500,0)),"")</f>
        <v/>
      </c>
      <c r="N109" s="8" t="str">
        <f>IFERROR(INDEX(样本到样信息汇总统计!N$2:N$500,MATCH(108,样本到样信息汇总统计!$X$2:$X$500,0)),"")</f>
        <v/>
      </c>
      <c r="O109" s="8" t="str">
        <f>IFERROR(INDEX(样本到样信息汇总统计!O$2:O$500,MATCH(108,样本到样信息汇总统计!$X$2:$X$500,0)),"")</f>
        <v/>
      </c>
      <c r="P109" s="8" t="str">
        <f>IFERROR(INDEX(样本到样信息汇总统计!P$2:P$500,MATCH(108,样本到样信息汇总统计!$X$2:$X$500,0)),"")</f>
        <v/>
      </c>
      <c r="Q109" s="8" t="str">
        <f>IFERROR(INDEX(样本到样信息汇总统计!Q$2:Q$500,MATCH(108,样本到样信息汇总统计!$X$2:$X$500,0)),"")</f>
        <v/>
      </c>
      <c r="R109" s="8" t="str">
        <f>IFERROR(INDEX(样本到样信息汇总统计!R$2:R$500,MATCH(108,样本到样信息汇总统计!$X$2:$X$500,0)),"")</f>
        <v/>
      </c>
      <c r="S109" s="8" t="str">
        <f>IFERROR(INDEX(样本到样信息汇总统计!S$2:S$500,MATCH(108,样本到样信息汇总统计!$X$2:$X$500,0)),"")</f>
        <v/>
      </c>
      <c r="T109" s="8" t="str">
        <f>IFERROR(INDEX(样本到样信息汇总统计!T$2:T$500,MATCH(108,样本到样信息汇总统计!$X$2:$X$500,0)),"")</f>
        <v/>
      </c>
      <c r="U109" s="8" t="str">
        <f>IFERROR(INDEX(样本到样信息汇总统计!U$2:U$500,MATCH(108,样本到样信息汇总统计!$X$2:$X$500,0)),"")</f>
        <v/>
      </c>
      <c r="V109" s="8" t="str">
        <f>IFERROR(INDEX(样本到样信息汇总统计!V$2:V$500,MATCH(108,样本到样信息汇总统计!$X$2:$X$500,0)),"")</f>
        <v/>
      </c>
      <c r="W109" s="8" t="str">
        <f>IFERROR(INDEX(样本到样信息汇总统计!W$2:W$500,MATCH(108,样本到样信息汇总统计!$X$2:$X$500,0)),"")</f>
        <v/>
      </c>
    </row>
    <row r="110" ht="14.5" spans="1:23">
      <c r="A110" s="4" t="str">
        <f>IFERROR(INDEX(样本到样信息汇总统计!A$2:A$500,MATCH(109,样本到样信息汇总统计!$X$2:$X$500,0)),"")</f>
        <v/>
      </c>
      <c r="B110" s="4" t="str">
        <f>IFERROR(INDEX(样本到样信息汇总统计!B$2:B$500,MATCH(109,样本到样信息汇总统计!$X$2:$X$500,0)),"")</f>
        <v/>
      </c>
      <c r="C110" s="4" t="str">
        <f>IFERROR(INDEX(样本到样信息汇总统计!C$2:C$500,MATCH(109,样本到样信息汇总统计!$X$2:$X$500,0)),"")</f>
        <v/>
      </c>
      <c r="D110" s="4" t="str">
        <f>IFERROR(INDEX(样本到样信息汇总统计!D$2:D$500,MATCH(109,样本到样信息汇总统计!$X$2:$X$500,0)),"")</f>
        <v/>
      </c>
      <c r="E110" s="4" t="str">
        <f>IFERROR(INDEX(样本到样信息汇总统计!E$2:E$500,MATCH(109,样本到样信息汇总统计!$X$2:$X$500,0)),"")</f>
        <v/>
      </c>
      <c r="F110" s="4" t="str">
        <f>IFERROR(INDEX(样本到样信息汇总统计!F$2:F$500,MATCH(109,样本到样信息汇总统计!$X$2:$X$500,0)),"")</f>
        <v/>
      </c>
      <c r="G110" s="4" t="str">
        <f>IFERROR(INDEX(样本到样信息汇总统计!G$2:G$500,MATCH(109,样本到样信息汇总统计!$X$2:$X$500,0)),"")</f>
        <v/>
      </c>
      <c r="H110" s="4" t="str">
        <f>IFERROR(INDEX(样本到样信息汇总统计!H$2:H$500,MATCH(109,样本到样信息汇总统计!$X$2:$X$500,0)),"")</f>
        <v/>
      </c>
      <c r="I110" s="4" t="str">
        <f>IFERROR(INDEX(样本到样信息汇总统计!I$2:I$500,MATCH(109,样本到样信息汇总统计!$X$2:$X$500,0)),"")</f>
        <v/>
      </c>
      <c r="J110" s="4" t="str">
        <f>IFERROR(INDEX(样本到样信息汇总统计!J$2:J$500,MATCH(109,样本到样信息汇总统计!$X$2:$X$500,0)),"")</f>
        <v/>
      </c>
      <c r="K110" s="14" t="str">
        <f>IFERROR(INDEX(样本到样信息汇总统计!K$2:K$500,MATCH(109,样本到样信息汇总统计!$X$2:$X$500,0)),"")</f>
        <v/>
      </c>
      <c r="L110" s="4" t="str">
        <f>IFERROR(INDEX(样本到样信息汇总统计!L$2:L$500,MATCH(109,样本到样信息汇总统计!$X$2:$X$500,0)),"")</f>
        <v/>
      </c>
      <c r="M110" s="4" t="str">
        <f>IFERROR(INDEX(样本到样信息汇总统计!M$2:M$500,MATCH(109,样本到样信息汇总统计!$X$2:$X$500,0)),"")</f>
        <v/>
      </c>
      <c r="N110" s="4" t="str">
        <f>IFERROR(INDEX(样本到样信息汇总统计!N$2:N$500,MATCH(109,样本到样信息汇总统计!$X$2:$X$500,0)),"")</f>
        <v/>
      </c>
      <c r="O110" s="4" t="str">
        <f>IFERROR(INDEX(样本到样信息汇总统计!O$2:O$500,MATCH(109,样本到样信息汇总统计!$X$2:$X$500,0)),"")</f>
        <v/>
      </c>
      <c r="P110" s="4" t="str">
        <f>IFERROR(INDEX(样本到样信息汇总统计!P$2:P$500,MATCH(109,样本到样信息汇总统计!$X$2:$X$500,0)),"")</f>
        <v/>
      </c>
      <c r="Q110" s="4" t="str">
        <f>IFERROR(INDEX(样本到样信息汇总统计!Q$2:Q$500,MATCH(109,样本到样信息汇总统计!$X$2:$X$500,0)),"")</f>
        <v/>
      </c>
      <c r="R110" s="4" t="str">
        <f>IFERROR(INDEX(样本到样信息汇总统计!R$2:R$500,MATCH(109,样本到样信息汇总统计!$X$2:$X$500,0)),"")</f>
        <v/>
      </c>
      <c r="S110" s="4" t="str">
        <f>IFERROR(INDEX(样本到样信息汇总统计!S$2:S$500,MATCH(109,样本到样信息汇总统计!$X$2:$X$500,0)),"")</f>
        <v/>
      </c>
      <c r="T110" s="4" t="str">
        <f>IFERROR(INDEX(样本到样信息汇总统计!T$2:T$500,MATCH(109,样本到样信息汇总统计!$X$2:$X$500,0)),"")</f>
        <v/>
      </c>
      <c r="U110" s="4" t="str">
        <f>IFERROR(INDEX(样本到样信息汇总统计!U$2:U$500,MATCH(109,样本到样信息汇总统计!$X$2:$X$500,0)),"")</f>
        <v/>
      </c>
      <c r="V110" s="4" t="str">
        <f>IFERROR(INDEX(样本到样信息汇总统计!V$2:V$500,MATCH(109,样本到样信息汇总统计!$X$2:$X$500,0)),"")</f>
        <v/>
      </c>
      <c r="W110" s="4" t="str">
        <f>IFERROR(INDEX(样本到样信息汇总统计!W$2:W$500,MATCH(109,样本到样信息汇总统计!$X$2:$X$500,0)),"")</f>
        <v/>
      </c>
    </row>
    <row r="111" ht="14.5" spans="1:23">
      <c r="A111" s="8" t="str">
        <f>IFERROR(INDEX(样本到样信息汇总统计!A$2:A$500,MATCH(110,样本到样信息汇总统计!$X$2:$X$500,0)),"")</f>
        <v/>
      </c>
      <c r="B111" s="8" t="str">
        <f>IFERROR(INDEX(样本到样信息汇总统计!B$2:B$500,MATCH(110,样本到样信息汇总统计!$X$2:$X$500,0)),"")</f>
        <v/>
      </c>
      <c r="C111" s="8" t="str">
        <f>IFERROR(INDEX(样本到样信息汇总统计!C$2:C$500,MATCH(110,样本到样信息汇总统计!$X$2:$X$500,0)),"")</f>
        <v/>
      </c>
      <c r="D111" s="8" t="str">
        <f>IFERROR(INDEX(样本到样信息汇总统计!D$2:D$500,MATCH(110,样本到样信息汇总统计!$X$2:$X$500,0)),"")</f>
        <v/>
      </c>
      <c r="E111" s="8" t="str">
        <f>IFERROR(INDEX(样本到样信息汇总统计!E$2:E$500,MATCH(110,样本到样信息汇总统计!$X$2:$X$500,0)),"")</f>
        <v/>
      </c>
      <c r="F111" s="8" t="str">
        <f>IFERROR(INDEX(样本到样信息汇总统计!F$2:F$500,MATCH(110,样本到样信息汇总统计!$X$2:$X$500,0)),"")</f>
        <v/>
      </c>
      <c r="G111" s="8" t="str">
        <f>IFERROR(INDEX(样本到样信息汇总统计!G$2:G$500,MATCH(110,样本到样信息汇总统计!$X$2:$X$500,0)),"")</f>
        <v/>
      </c>
      <c r="H111" s="8" t="str">
        <f>IFERROR(INDEX(样本到样信息汇总统计!H$2:H$500,MATCH(110,样本到样信息汇总统计!$X$2:$X$500,0)),"")</f>
        <v/>
      </c>
      <c r="I111" s="8" t="str">
        <f>IFERROR(INDEX(样本到样信息汇总统计!I$2:I$500,MATCH(110,样本到样信息汇总统计!$X$2:$X$500,0)),"")</f>
        <v/>
      </c>
      <c r="J111" s="8" t="str">
        <f>IFERROR(INDEX(样本到样信息汇总统计!J$2:J$500,MATCH(110,样本到样信息汇总统计!$X$2:$X$500,0)),"")</f>
        <v/>
      </c>
      <c r="K111" s="15" t="str">
        <f>IFERROR(INDEX(样本到样信息汇总统计!K$2:K$500,MATCH(110,样本到样信息汇总统计!$X$2:$X$500,0)),"")</f>
        <v/>
      </c>
      <c r="L111" s="8" t="str">
        <f>IFERROR(INDEX(样本到样信息汇总统计!L$2:L$500,MATCH(110,样本到样信息汇总统计!$X$2:$X$500,0)),"")</f>
        <v/>
      </c>
      <c r="M111" s="8" t="str">
        <f>IFERROR(INDEX(样本到样信息汇总统计!M$2:M$500,MATCH(110,样本到样信息汇总统计!$X$2:$X$500,0)),"")</f>
        <v/>
      </c>
      <c r="N111" s="8" t="str">
        <f>IFERROR(INDEX(样本到样信息汇总统计!N$2:N$500,MATCH(110,样本到样信息汇总统计!$X$2:$X$500,0)),"")</f>
        <v/>
      </c>
      <c r="O111" s="8" t="str">
        <f>IFERROR(INDEX(样本到样信息汇总统计!O$2:O$500,MATCH(110,样本到样信息汇总统计!$X$2:$X$500,0)),"")</f>
        <v/>
      </c>
      <c r="P111" s="8" t="str">
        <f>IFERROR(INDEX(样本到样信息汇总统计!P$2:P$500,MATCH(110,样本到样信息汇总统计!$X$2:$X$500,0)),"")</f>
        <v/>
      </c>
      <c r="Q111" s="8" t="str">
        <f>IFERROR(INDEX(样本到样信息汇总统计!Q$2:Q$500,MATCH(110,样本到样信息汇总统计!$X$2:$X$500,0)),"")</f>
        <v/>
      </c>
      <c r="R111" s="8" t="str">
        <f>IFERROR(INDEX(样本到样信息汇总统计!R$2:R$500,MATCH(110,样本到样信息汇总统计!$X$2:$X$500,0)),"")</f>
        <v/>
      </c>
      <c r="S111" s="8" t="str">
        <f>IFERROR(INDEX(样本到样信息汇总统计!S$2:S$500,MATCH(110,样本到样信息汇总统计!$X$2:$X$500,0)),"")</f>
        <v/>
      </c>
      <c r="T111" s="8" t="str">
        <f>IFERROR(INDEX(样本到样信息汇总统计!T$2:T$500,MATCH(110,样本到样信息汇总统计!$X$2:$X$500,0)),"")</f>
        <v/>
      </c>
      <c r="U111" s="8" t="str">
        <f>IFERROR(INDEX(样本到样信息汇总统计!U$2:U$500,MATCH(110,样本到样信息汇总统计!$X$2:$X$500,0)),"")</f>
        <v/>
      </c>
      <c r="V111" s="8" t="str">
        <f>IFERROR(INDEX(样本到样信息汇总统计!V$2:V$500,MATCH(110,样本到样信息汇总统计!$X$2:$X$500,0)),"")</f>
        <v/>
      </c>
      <c r="W111" s="8" t="str">
        <f>IFERROR(INDEX(样本到样信息汇总统计!W$2:W$500,MATCH(110,样本到样信息汇总统计!$X$2:$X$500,0)),"")</f>
        <v/>
      </c>
    </row>
    <row r="112" ht="14.5" spans="1:23">
      <c r="A112" s="4" t="str">
        <f>IFERROR(INDEX(样本到样信息汇总统计!A$2:A$500,MATCH(111,样本到样信息汇总统计!$X$2:$X$500,0)),"")</f>
        <v/>
      </c>
      <c r="B112" s="4" t="str">
        <f>IFERROR(INDEX(样本到样信息汇总统计!B$2:B$500,MATCH(111,样本到样信息汇总统计!$X$2:$X$500,0)),"")</f>
        <v/>
      </c>
      <c r="C112" s="4" t="str">
        <f>IFERROR(INDEX(样本到样信息汇总统计!C$2:C$500,MATCH(111,样本到样信息汇总统计!$X$2:$X$500,0)),"")</f>
        <v/>
      </c>
      <c r="D112" s="4" t="str">
        <f>IFERROR(INDEX(样本到样信息汇总统计!D$2:D$500,MATCH(111,样本到样信息汇总统计!$X$2:$X$500,0)),"")</f>
        <v/>
      </c>
      <c r="E112" s="4" t="str">
        <f>IFERROR(INDEX(样本到样信息汇总统计!E$2:E$500,MATCH(111,样本到样信息汇总统计!$X$2:$X$500,0)),"")</f>
        <v/>
      </c>
      <c r="F112" s="4" t="str">
        <f>IFERROR(INDEX(样本到样信息汇总统计!F$2:F$500,MATCH(111,样本到样信息汇总统计!$X$2:$X$500,0)),"")</f>
        <v/>
      </c>
      <c r="G112" s="4" t="str">
        <f>IFERROR(INDEX(样本到样信息汇总统计!G$2:G$500,MATCH(111,样本到样信息汇总统计!$X$2:$X$500,0)),"")</f>
        <v/>
      </c>
      <c r="H112" s="4" t="str">
        <f>IFERROR(INDEX(样本到样信息汇总统计!H$2:H$500,MATCH(111,样本到样信息汇总统计!$X$2:$X$500,0)),"")</f>
        <v/>
      </c>
      <c r="I112" s="4" t="str">
        <f>IFERROR(INDEX(样本到样信息汇总统计!I$2:I$500,MATCH(111,样本到样信息汇总统计!$X$2:$X$500,0)),"")</f>
        <v/>
      </c>
      <c r="J112" s="4" t="str">
        <f>IFERROR(INDEX(样本到样信息汇总统计!J$2:J$500,MATCH(111,样本到样信息汇总统计!$X$2:$X$500,0)),"")</f>
        <v/>
      </c>
      <c r="K112" s="14" t="str">
        <f>IFERROR(INDEX(样本到样信息汇总统计!K$2:K$500,MATCH(111,样本到样信息汇总统计!$X$2:$X$500,0)),"")</f>
        <v/>
      </c>
      <c r="L112" s="4" t="str">
        <f>IFERROR(INDEX(样本到样信息汇总统计!L$2:L$500,MATCH(111,样本到样信息汇总统计!$X$2:$X$500,0)),"")</f>
        <v/>
      </c>
      <c r="M112" s="4" t="str">
        <f>IFERROR(INDEX(样本到样信息汇总统计!M$2:M$500,MATCH(111,样本到样信息汇总统计!$X$2:$X$500,0)),"")</f>
        <v/>
      </c>
      <c r="N112" s="4" t="str">
        <f>IFERROR(INDEX(样本到样信息汇总统计!N$2:N$500,MATCH(111,样本到样信息汇总统计!$X$2:$X$500,0)),"")</f>
        <v/>
      </c>
      <c r="O112" s="4" t="str">
        <f>IFERROR(INDEX(样本到样信息汇总统计!O$2:O$500,MATCH(111,样本到样信息汇总统计!$X$2:$X$500,0)),"")</f>
        <v/>
      </c>
      <c r="P112" s="4" t="str">
        <f>IFERROR(INDEX(样本到样信息汇总统计!P$2:P$500,MATCH(111,样本到样信息汇总统计!$X$2:$X$500,0)),"")</f>
        <v/>
      </c>
      <c r="Q112" s="4" t="str">
        <f>IFERROR(INDEX(样本到样信息汇总统计!Q$2:Q$500,MATCH(111,样本到样信息汇总统计!$X$2:$X$500,0)),"")</f>
        <v/>
      </c>
      <c r="R112" s="4" t="str">
        <f>IFERROR(INDEX(样本到样信息汇总统计!R$2:R$500,MATCH(111,样本到样信息汇总统计!$X$2:$X$500,0)),"")</f>
        <v/>
      </c>
      <c r="S112" s="4" t="str">
        <f>IFERROR(INDEX(样本到样信息汇总统计!S$2:S$500,MATCH(111,样本到样信息汇总统计!$X$2:$X$500,0)),"")</f>
        <v/>
      </c>
      <c r="T112" s="4" t="str">
        <f>IFERROR(INDEX(样本到样信息汇总统计!T$2:T$500,MATCH(111,样本到样信息汇总统计!$X$2:$X$500,0)),"")</f>
        <v/>
      </c>
      <c r="U112" s="4" t="str">
        <f>IFERROR(INDEX(样本到样信息汇总统计!U$2:U$500,MATCH(111,样本到样信息汇总统计!$X$2:$X$500,0)),"")</f>
        <v/>
      </c>
      <c r="V112" s="4" t="str">
        <f>IFERROR(INDEX(样本到样信息汇总统计!V$2:V$500,MATCH(111,样本到样信息汇总统计!$X$2:$X$500,0)),"")</f>
        <v/>
      </c>
      <c r="W112" s="4" t="str">
        <f>IFERROR(INDEX(样本到样信息汇总统计!W$2:W$500,MATCH(111,样本到样信息汇总统计!$X$2:$X$500,0)),"")</f>
        <v/>
      </c>
    </row>
    <row r="113" ht="14.5" spans="1:23">
      <c r="A113" s="8" t="str">
        <f>IFERROR(INDEX(样本到样信息汇总统计!A$2:A$500,MATCH(112,样本到样信息汇总统计!$X$2:$X$500,0)),"")</f>
        <v/>
      </c>
      <c r="B113" s="8" t="str">
        <f>IFERROR(INDEX(样本到样信息汇总统计!B$2:B$500,MATCH(112,样本到样信息汇总统计!$X$2:$X$500,0)),"")</f>
        <v/>
      </c>
      <c r="C113" s="8" t="str">
        <f>IFERROR(INDEX(样本到样信息汇总统计!C$2:C$500,MATCH(112,样本到样信息汇总统计!$X$2:$X$500,0)),"")</f>
        <v/>
      </c>
      <c r="D113" s="8" t="str">
        <f>IFERROR(INDEX(样本到样信息汇总统计!D$2:D$500,MATCH(112,样本到样信息汇总统计!$X$2:$X$500,0)),"")</f>
        <v/>
      </c>
      <c r="E113" s="8" t="str">
        <f>IFERROR(INDEX(样本到样信息汇总统计!E$2:E$500,MATCH(112,样本到样信息汇总统计!$X$2:$X$500,0)),"")</f>
        <v/>
      </c>
      <c r="F113" s="8" t="str">
        <f>IFERROR(INDEX(样本到样信息汇总统计!F$2:F$500,MATCH(112,样本到样信息汇总统计!$X$2:$X$500,0)),"")</f>
        <v/>
      </c>
      <c r="G113" s="8" t="str">
        <f>IFERROR(INDEX(样本到样信息汇总统计!G$2:G$500,MATCH(112,样本到样信息汇总统计!$X$2:$X$500,0)),"")</f>
        <v/>
      </c>
      <c r="H113" s="8" t="str">
        <f>IFERROR(INDEX(样本到样信息汇总统计!H$2:H$500,MATCH(112,样本到样信息汇总统计!$X$2:$X$500,0)),"")</f>
        <v/>
      </c>
      <c r="I113" s="8" t="str">
        <f>IFERROR(INDEX(样本到样信息汇总统计!I$2:I$500,MATCH(112,样本到样信息汇总统计!$X$2:$X$500,0)),"")</f>
        <v/>
      </c>
      <c r="J113" s="8" t="str">
        <f>IFERROR(INDEX(样本到样信息汇总统计!J$2:J$500,MATCH(112,样本到样信息汇总统计!$X$2:$X$500,0)),"")</f>
        <v/>
      </c>
      <c r="K113" s="15" t="str">
        <f>IFERROR(INDEX(样本到样信息汇总统计!K$2:K$500,MATCH(112,样本到样信息汇总统计!$X$2:$X$500,0)),"")</f>
        <v/>
      </c>
      <c r="L113" s="8" t="str">
        <f>IFERROR(INDEX(样本到样信息汇总统计!L$2:L$500,MATCH(112,样本到样信息汇总统计!$X$2:$X$500,0)),"")</f>
        <v/>
      </c>
      <c r="M113" s="8" t="str">
        <f>IFERROR(INDEX(样本到样信息汇总统计!M$2:M$500,MATCH(112,样本到样信息汇总统计!$X$2:$X$500,0)),"")</f>
        <v/>
      </c>
      <c r="N113" s="8" t="str">
        <f>IFERROR(INDEX(样本到样信息汇总统计!N$2:N$500,MATCH(112,样本到样信息汇总统计!$X$2:$X$500,0)),"")</f>
        <v/>
      </c>
      <c r="O113" s="8" t="str">
        <f>IFERROR(INDEX(样本到样信息汇总统计!O$2:O$500,MATCH(112,样本到样信息汇总统计!$X$2:$X$500,0)),"")</f>
        <v/>
      </c>
      <c r="P113" s="8" t="str">
        <f>IFERROR(INDEX(样本到样信息汇总统计!P$2:P$500,MATCH(112,样本到样信息汇总统计!$X$2:$X$500,0)),"")</f>
        <v/>
      </c>
      <c r="Q113" s="8" t="str">
        <f>IFERROR(INDEX(样本到样信息汇总统计!Q$2:Q$500,MATCH(112,样本到样信息汇总统计!$X$2:$X$500,0)),"")</f>
        <v/>
      </c>
      <c r="R113" s="8" t="str">
        <f>IFERROR(INDEX(样本到样信息汇总统计!R$2:R$500,MATCH(112,样本到样信息汇总统计!$X$2:$X$500,0)),"")</f>
        <v/>
      </c>
      <c r="S113" s="8" t="str">
        <f>IFERROR(INDEX(样本到样信息汇总统计!S$2:S$500,MATCH(112,样本到样信息汇总统计!$X$2:$X$500,0)),"")</f>
        <v/>
      </c>
      <c r="T113" s="8" t="str">
        <f>IFERROR(INDEX(样本到样信息汇总统计!T$2:T$500,MATCH(112,样本到样信息汇总统计!$X$2:$X$500,0)),"")</f>
        <v/>
      </c>
      <c r="U113" s="8" t="str">
        <f>IFERROR(INDEX(样本到样信息汇总统计!U$2:U$500,MATCH(112,样本到样信息汇总统计!$X$2:$X$500,0)),"")</f>
        <v/>
      </c>
      <c r="V113" s="8" t="str">
        <f>IFERROR(INDEX(样本到样信息汇总统计!V$2:V$500,MATCH(112,样本到样信息汇总统计!$X$2:$X$500,0)),"")</f>
        <v/>
      </c>
      <c r="W113" s="8" t="str">
        <f>IFERROR(INDEX(样本到样信息汇总统计!W$2:W$500,MATCH(112,样本到样信息汇总统计!$X$2:$X$500,0)),"")</f>
        <v/>
      </c>
    </row>
    <row r="114" ht="14.5" spans="1:23">
      <c r="A114" s="4" t="str">
        <f>IFERROR(INDEX(样本到样信息汇总统计!A$2:A$500,MATCH(113,样本到样信息汇总统计!$X$2:$X$500,0)),"")</f>
        <v/>
      </c>
      <c r="B114" s="4" t="str">
        <f>IFERROR(INDEX(样本到样信息汇总统计!B$2:B$500,MATCH(113,样本到样信息汇总统计!$X$2:$X$500,0)),"")</f>
        <v/>
      </c>
      <c r="C114" s="4" t="str">
        <f>IFERROR(INDEX(样本到样信息汇总统计!C$2:C$500,MATCH(113,样本到样信息汇总统计!$X$2:$X$500,0)),"")</f>
        <v/>
      </c>
      <c r="D114" s="4" t="str">
        <f>IFERROR(INDEX(样本到样信息汇总统计!D$2:D$500,MATCH(113,样本到样信息汇总统计!$X$2:$X$500,0)),"")</f>
        <v/>
      </c>
      <c r="E114" s="4" t="str">
        <f>IFERROR(INDEX(样本到样信息汇总统计!E$2:E$500,MATCH(113,样本到样信息汇总统计!$X$2:$X$500,0)),"")</f>
        <v/>
      </c>
      <c r="F114" s="4" t="str">
        <f>IFERROR(INDEX(样本到样信息汇总统计!F$2:F$500,MATCH(113,样本到样信息汇总统计!$X$2:$X$500,0)),"")</f>
        <v/>
      </c>
      <c r="G114" s="4" t="str">
        <f>IFERROR(INDEX(样本到样信息汇总统计!G$2:G$500,MATCH(113,样本到样信息汇总统计!$X$2:$X$500,0)),"")</f>
        <v/>
      </c>
      <c r="H114" s="4" t="str">
        <f>IFERROR(INDEX(样本到样信息汇总统计!H$2:H$500,MATCH(113,样本到样信息汇总统计!$X$2:$X$500,0)),"")</f>
        <v/>
      </c>
      <c r="I114" s="4" t="str">
        <f>IFERROR(INDEX(样本到样信息汇总统计!I$2:I$500,MATCH(113,样本到样信息汇总统计!$X$2:$X$500,0)),"")</f>
        <v/>
      </c>
      <c r="J114" s="4" t="str">
        <f>IFERROR(INDEX(样本到样信息汇总统计!J$2:J$500,MATCH(113,样本到样信息汇总统计!$X$2:$X$500,0)),"")</f>
        <v/>
      </c>
      <c r="K114" s="14" t="str">
        <f>IFERROR(INDEX(样本到样信息汇总统计!K$2:K$500,MATCH(113,样本到样信息汇总统计!$X$2:$X$500,0)),"")</f>
        <v/>
      </c>
      <c r="L114" s="4" t="str">
        <f>IFERROR(INDEX(样本到样信息汇总统计!L$2:L$500,MATCH(113,样本到样信息汇总统计!$X$2:$X$500,0)),"")</f>
        <v/>
      </c>
      <c r="M114" s="4" t="str">
        <f>IFERROR(INDEX(样本到样信息汇总统计!M$2:M$500,MATCH(113,样本到样信息汇总统计!$X$2:$X$500,0)),"")</f>
        <v/>
      </c>
      <c r="N114" s="4" t="str">
        <f>IFERROR(INDEX(样本到样信息汇总统计!N$2:N$500,MATCH(113,样本到样信息汇总统计!$X$2:$X$500,0)),"")</f>
        <v/>
      </c>
      <c r="O114" s="4" t="str">
        <f>IFERROR(INDEX(样本到样信息汇总统计!O$2:O$500,MATCH(113,样本到样信息汇总统计!$X$2:$X$500,0)),"")</f>
        <v/>
      </c>
      <c r="P114" s="4" t="str">
        <f>IFERROR(INDEX(样本到样信息汇总统计!P$2:P$500,MATCH(113,样本到样信息汇总统计!$X$2:$X$500,0)),"")</f>
        <v/>
      </c>
      <c r="Q114" s="4" t="str">
        <f>IFERROR(INDEX(样本到样信息汇总统计!Q$2:Q$500,MATCH(113,样本到样信息汇总统计!$X$2:$X$500,0)),"")</f>
        <v/>
      </c>
      <c r="R114" s="4" t="str">
        <f>IFERROR(INDEX(样本到样信息汇总统计!R$2:R$500,MATCH(113,样本到样信息汇总统计!$X$2:$X$500,0)),"")</f>
        <v/>
      </c>
      <c r="S114" s="4" t="str">
        <f>IFERROR(INDEX(样本到样信息汇总统计!S$2:S$500,MATCH(113,样本到样信息汇总统计!$X$2:$X$500,0)),"")</f>
        <v/>
      </c>
      <c r="T114" s="4" t="str">
        <f>IFERROR(INDEX(样本到样信息汇总统计!T$2:T$500,MATCH(113,样本到样信息汇总统计!$X$2:$X$500,0)),"")</f>
        <v/>
      </c>
      <c r="U114" s="4" t="str">
        <f>IFERROR(INDEX(样本到样信息汇总统计!U$2:U$500,MATCH(113,样本到样信息汇总统计!$X$2:$X$500,0)),"")</f>
        <v/>
      </c>
      <c r="V114" s="4" t="str">
        <f>IFERROR(INDEX(样本到样信息汇总统计!V$2:V$500,MATCH(113,样本到样信息汇总统计!$X$2:$X$500,0)),"")</f>
        <v/>
      </c>
      <c r="W114" s="4" t="str">
        <f>IFERROR(INDEX(样本到样信息汇总统计!W$2:W$500,MATCH(113,样本到样信息汇总统计!$X$2:$X$500,0)),"")</f>
        <v/>
      </c>
    </row>
    <row r="115" ht="14.5" spans="1:23">
      <c r="A115" s="8" t="str">
        <f>IFERROR(INDEX(样本到样信息汇总统计!A$2:A$500,MATCH(114,样本到样信息汇总统计!$X$2:$X$500,0)),"")</f>
        <v/>
      </c>
      <c r="B115" s="8" t="str">
        <f>IFERROR(INDEX(样本到样信息汇总统计!B$2:B$500,MATCH(114,样本到样信息汇总统计!$X$2:$X$500,0)),"")</f>
        <v/>
      </c>
      <c r="C115" s="8" t="str">
        <f>IFERROR(INDEX(样本到样信息汇总统计!C$2:C$500,MATCH(114,样本到样信息汇总统计!$X$2:$X$500,0)),"")</f>
        <v/>
      </c>
      <c r="D115" s="8" t="str">
        <f>IFERROR(INDEX(样本到样信息汇总统计!D$2:D$500,MATCH(114,样本到样信息汇总统计!$X$2:$X$500,0)),"")</f>
        <v/>
      </c>
      <c r="E115" s="8" t="str">
        <f>IFERROR(INDEX(样本到样信息汇总统计!E$2:E$500,MATCH(114,样本到样信息汇总统计!$X$2:$X$500,0)),"")</f>
        <v/>
      </c>
      <c r="F115" s="8" t="str">
        <f>IFERROR(INDEX(样本到样信息汇总统计!F$2:F$500,MATCH(114,样本到样信息汇总统计!$X$2:$X$500,0)),"")</f>
        <v/>
      </c>
      <c r="G115" s="8" t="str">
        <f>IFERROR(INDEX(样本到样信息汇总统计!G$2:G$500,MATCH(114,样本到样信息汇总统计!$X$2:$X$500,0)),"")</f>
        <v/>
      </c>
      <c r="H115" s="8" t="str">
        <f>IFERROR(INDEX(样本到样信息汇总统计!H$2:H$500,MATCH(114,样本到样信息汇总统计!$X$2:$X$500,0)),"")</f>
        <v/>
      </c>
      <c r="I115" s="8" t="str">
        <f>IFERROR(INDEX(样本到样信息汇总统计!I$2:I$500,MATCH(114,样本到样信息汇总统计!$X$2:$X$500,0)),"")</f>
        <v/>
      </c>
      <c r="J115" s="8" t="str">
        <f>IFERROR(INDEX(样本到样信息汇总统计!J$2:J$500,MATCH(114,样本到样信息汇总统计!$X$2:$X$500,0)),"")</f>
        <v/>
      </c>
      <c r="K115" s="15" t="str">
        <f>IFERROR(INDEX(样本到样信息汇总统计!K$2:K$500,MATCH(114,样本到样信息汇总统计!$X$2:$X$500,0)),"")</f>
        <v/>
      </c>
      <c r="L115" s="8" t="str">
        <f>IFERROR(INDEX(样本到样信息汇总统计!L$2:L$500,MATCH(114,样本到样信息汇总统计!$X$2:$X$500,0)),"")</f>
        <v/>
      </c>
      <c r="M115" s="8" t="str">
        <f>IFERROR(INDEX(样本到样信息汇总统计!M$2:M$500,MATCH(114,样本到样信息汇总统计!$X$2:$X$500,0)),"")</f>
        <v/>
      </c>
      <c r="N115" s="8" t="str">
        <f>IFERROR(INDEX(样本到样信息汇总统计!N$2:N$500,MATCH(114,样本到样信息汇总统计!$X$2:$X$500,0)),"")</f>
        <v/>
      </c>
      <c r="O115" s="8" t="str">
        <f>IFERROR(INDEX(样本到样信息汇总统计!O$2:O$500,MATCH(114,样本到样信息汇总统计!$X$2:$X$500,0)),"")</f>
        <v/>
      </c>
      <c r="P115" s="8" t="str">
        <f>IFERROR(INDEX(样本到样信息汇总统计!P$2:P$500,MATCH(114,样本到样信息汇总统计!$X$2:$X$500,0)),"")</f>
        <v/>
      </c>
      <c r="Q115" s="8" t="str">
        <f>IFERROR(INDEX(样本到样信息汇总统计!Q$2:Q$500,MATCH(114,样本到样信息汇总统计!$X$2:$X$500,0)),"")</f>
        <v/>
      </c>
      <c r="R115" s="8" t="str">
        <f>IFERROR(INDEX(样本到样信息汇总统计!R$2:R$500,MATCH(114,样本到样信息汇总统计!$X$2:$X$500,0)),"")</f>
        <v/>
      </c>
      <c r="S115" s="8" t="str">
        <f>IFERROR(INDEX(样本到样信息汇总统计!S$2:S$500,MATCH(114,样本到样信息汇总统计!$X$2:$X$500,0)),"")</f>
        <v/>
      </c>
      <c r="T115" s="8" t="str">
        <f>IFERROR(INDEX(样本到样信息汇总统计!T$2:T$500,MATCH(114,样本到样信息汇总统计!$X$2:$X$500,0)),"")</f>
        <v/>
      </c>
      <c r="U115" s="8" t="str">
        <f>IFERROR(INDEX(样本到样信息汇总统计!U$2:U$500,MATCH(114,样本到样信息汇总统计!$X$2:$X$500,0)),"")</f>
        <v/>
      </c>
      <c r="V115" s="8" t="str">
        <f>IFERROR(INDEX(样本到样信息汇总统计!V$2:V$500,MATCH(114,样本到样信息汇总统计!$X$2:$X$500,0)),"")</f>
        <v/>
      </c>
      <c r="W115" s="8" t="str">
        <f>IFERROR(INDEX(样本到样信息汇总统计!W$2:W$500,MATCH(114,样本到样信息汇总统计!$X$2:$X$500,0)),"")</f>
        <v/>
      </c>
    </row>
    <row r="116" ht="14.5" spans="1:23">
      <c r="A116" s="4" t="str">
        <f>IFERROR(INDEX(样本到样信息汇总统计!A$2:A$500,MATCH(115,样本到样信息汇总统计!$X$2:$X$500,0)),"")</f>
        <v/>
      </c>
      <c r="B116" s="4" t="str">
        <f>IFERROR(INDEX(样本到样信息汇总统计!B$2:B$500,MATCH(115,样本到样信息汇总统计!$X$2:$X$500,0)),"")</f>
        <v/>
      </c>
      <c r="C116" s="4" t="str">
        <f>IFERROR(INDEX(样本到样信息汇总统计!C$2:C$500,MATCH(115,样本到样信息汇总统计!$X$2:$X$500,0)),"")</f>
        <v/>
      </c>
      <c r="D116" s="4" t="str">
        <f>IFERROR(INDEX(样本到样信息汇总统计!D$2:D$500,MATCH(115,样本到样信息汇总统计!$X$2:$X$500,0)),"")</f>
        <v/>
      </c>
      <c r="E116" s="4" t="str">
        <f>IFERROR(INDEX(样本到样信息汇总统计!E$2:E$500,MATCH(115,样本到样信息汇总统计!$X$2:$X$500,0)),"")</f>
        <v/>
      </c>
      <c r="F116" s="4" t="str">
        <f>IFERROR(INDEX(样本到样信息汇总统计!F$2:F$500,MATCH(115,样本到样信息汇总统计!$X$2:$X$500,0)),"")</f>
        <v/>
      </c>
      <c r="G116" s="4" t="str">
        <f>IFERROR(INDEX(样本到样信息汇总统计!G$2:G$500,MATCH(115,样本到样信息汇总统计!$X$2:$X$500,0)),"")</f>
        <v/>
      </c>
      <c r="H116" s="4" t="str">
        <f>IFERROR(INDEX(样本到样信息汇总统计!H$2:H$500,MATCH(115,样本到样信息汇总统计!$X$2:$X$500,0)),"")</f>
        <v/>
      </c>
      <c r="I116" s="4" t="str">
        <f>IFERROR(INDEX(样本到样信息汇总统计!I$2:I$500,MATCH(115,样本到样信息汇总统计!$X$2:$X$500,0)),"")</f>
        <v/>
      </c>
      <c r="J116" s="4" t="str">
        <f>IFERROR(INDEX(样本到样信息汇总统计!J$2:J$500,MATCH(115,样本到样信息汇总统计!$X$2:$X$500,0)),"")</f>
        <v/>
      </c>
      <c r="K116" s="14" t="str">
        <f>IFERROR(INDEX(样本到样信息汇总统计!K$2:K$500,MATCH(115,样本到样信息汇总统计!$X$2:$X$500,0)),"")</f>
        <v/>
      </c>
      <c r="L116" s="4" t="str">
        <f>IFERROR(INDEX(样本到样信息汇总统计!L$2:L$500,MATCH(115,样本到样信息汇总统计!$X$2:$X$500,0)),"")</f>
        <v/>
      </c>
      <c r="M116" s="4" t="str">
        <f>IFERROR(INDEX(样本到样信息汇总统计!M$2:M$500,MATCH(115,样本到样信息汇总统计!$X$2:$X$500,0)),"")</f>
        <v/>
      </c>
      <c r="N116" s="4" t="str">
        <f>IFERROR(INDEX(样本到样信息汇总统计!N$2:N$500,MATCH(115,样本到样信息汇总统计!$X$2:$X$500,0)),"")</f>
        <v/>
      </c>
      <c r="O116" s="4" t="str">
        <f>IFERROR(INDEX(样本到样信息汇总统计!O$2:O$500,MATCH(115,样本到样信息汇总统计!$X$2:$X$500,0)),"")</f>
        <v/>
      </c>
      <c r="P116" s="4" t="str">
        <f>IFERROR(INDEX(样本到样信息汇总统计!P$2:P$500,MATCH(115,样本到样信息汇总统计!$X$2:$X$500,0)),"")</f>
        <v/>
      </c>
      <c r="Q116" s="4" t="str">
        <f>IFERROR(INDEX(样本到样信息汇总统计!Q$2:Q$500,MATCH(115,样本到样信息汇总统计!$X$2:$X$500,0)),"")</f>
        <v/>
      </c>
      <c r="R116" s="4" t="str">
        <f>IFERROR(INDEX(样本到样信息汇总统计!R$2:R$500,MATCH(115,样本到样信息汇总统计!$X$2:$X$500,0)),"")</f>
        <v/>
      </c>
      <c r="S116" s="4" t="str">
        <f>IFERROR(INDEX(样本到样信息汇总统计!S$2:S$500,MATCH(115,样本到样信息汇总统计!$X$2:$X$500,0)),"")</f>
        <v/>
      </c>
      <c r="T116" s="4" t="str">
        <f>IFERROR(INDEX(样本到样信息汇总统计!T$2:T$500,MATCH(115,样本到样信息汇总统计!$X$2:$X$500,0)),"")</f>
        <v/>
      </c>
      <c r="U116" s="4" t="str">
        <f>IFERROR(INDEX(样本到样信息汇总统计!U$2:U$500,MATCH(115,样本到样信息汇总统计!$X$2:$X$500,0)),"")</f>
        <v/>
      </c>
      <c r="V116" s="4" t="str">
        <f>IFERROR(INDEX(样本到样信息汇总统计!V$2:V$500,MATCH(115,样本到样信息汇总统计!$X$2:$X$500,0)),"")</f>
        <v/>
      </c>
      <c r="W116" s="4" t="str">
        <f>IFERROR(INDEX(样本到样信息汇总统计!W$2:W$500,MATCH(115,样本到样信息汇总统计!$X$2:$X$500,0)),"")</f>
        <v/>
      </c>
    </row>
    <row r="117" ht="14.5" spans="1:23">
      <c r="A117" s="8" t="str">
        <f>IFERROR(INDEX(样本到样信息汇总统计!A$2:A$500,MATCH(116,样本到样信息汇总统计!$X$2:$X$500,0)),"")</f>
        <v/>
      </c>
      <c r="B117" s="8" t="str">
        <f>IFERROR(INDEX(样本到样信息汇总统计!B$2:B$500,MATCH(116,样本到样信息汇总统计!$X$2:$X$500,0)),"")</f>
        <v/>
      </c>
      <c r="C117" s="8" t="str">
        <f>IFERROR(INDEX(样本到样信息汇总统计!C$2:C$500,MATCH(116,样本到样信息汇总统计!$X$2:$X$500,0)),"")</f>
        <v/>
      </c>
      <c r="D117" s="8" t="str">
        <f>IFERROR(INDEX(样本到样信息汇总统计!D$2:D$500,MATCH(116,样本到样信息汇总统计!$X$2:$X$500,0)),"")</f>
        <v/>
      </c>
      <c r="E117" s="8" t="str">
        <f>IFERROR(INDEX(样本到样信息汇总统计!E$2:E$500,MATCH(116,样本到样信息汇总统计!$X$2:$X$500,0)),"")</f>
        <v/>
      </c>
      <c r="F117" s="8" t="str">
        <f>IFERROR(INDEX(样本到样信息汇总统计!F$2:F$500,MATCH(116,样本到样信息汇总统计!$X$2:$X$500,0)),"")</f>
        <v/>
      </c>
      <c r="G117" s="8" t="str">
        <f>IFERROR(INDEX(样本到样信息汇总统计!G$2:G$500,MATCH(116,样本到样信息汇总统计!$X$2:$X$500,0)),"")</f>
        <v/>
      </c>
      <c r="H117" s="8" t="str">
        <f>IFERROR(INDEX(样本到样信息汇总统计!H$2:H$500,MATCH(116,样本到样信息汇总统计!$X$2:$X$500,0)),"")</f>
        <v/>
      </c>
      <c r="I117" s="8" t="str">
        <f>IFERROR(INDEX(样本到样信息汇总统计!I$2:I$500,MATCH(116,样本到样信息汇总统计!$X$2:$X$500,0)),"")</f>
        <v/>
      </c>
      <c r="J117" s="8" t="str">
        <f>IFERROR(INDEX(样本到样信息汇总统计!J$2:J$500,MATCH(116,样本到样信息汇总统计!$X$2:$X$500,0)),"")</f>
        <v/>
      </c>
      <c r="K117" s="15" t="str">
        <f>IFERROR(INDEX(样本到样信息汇总统计!K$2:K$500,MATCH(116,样本到样信息汇总统计!$X$2:$X$500,0)),"")</f>
        <v/>
      </c>
      <c r="L117" s="8" t="str">
        <f>IFERROR(INDEX(样本到样信息汇总统计!L$2:L$500,MATCH(116,样本到样信息汇总统计!$X$2:$X$500,0)),"")</f>
        <v/>
      </c>
      <c r="M117" s="8" t="str">
        <f>IFERROR(INDEX(样本到样信息汇总统计!M$2:M$500,MATCH(116,样本到样信息汇总统计!$X$2:$X$500,0)),"")</f>
        <v/>
      </c>
      <c r="N117" s="8" t="str">
        <f>IFERROR(INDEX(样本到样信息汇总统计!N$2:N$500,MATCH(116,样本到样信息汇总统计!$X$2:$X$500,0)),"")</f>
        <v/>
      </c>
      <c r="O117" s="8" t="str">
        <f>IFERROR(INDEX(样本到样信息汇总统计!O$2:O$500,MATCH(116,样本到样信息汇总统计!$X$2:$X$500,0)),"")</f>
        <v/>
      </c>
      <c r="P117" s="8" t="str">
        <f>IFERROR(INDEX(样本到样信息汇总统计!P$2:P$500,MATCH(116,样本到样信息汇总统计!$X$2:$X$500,0)),"")</f>
        <v/>
      </c>
      <c r="Q117" s="8" t="str">
        <f>IFERROR(INDEX(样本到样信息汇总统计!Q$2:Q$500,MATCH(116,样本到样信息汇总统计!$X$2:$X$500,0)),"")</f>
        <v/>
      </c>
      <c r="R117" s="8" t="str">
        <f>IFERROR(INDEX(样本到样信息汇总统计!R$2:R$500,MATCH(116,样本到样信息汇总统计!$X$2:$X$500,0)),"")</f>
        <v/>
      </c>
      <c r="S117" s="8" t="str">
        <f>IFERROR(INDEX(样本到样信息汇总统计!S$2:S$500,MATCH(116,样本到样信息汇总统计!$X$2:$X$500,0)),"")</f>
        <v/>
      </c>
      <c r="T117" s="8" t="str">
        <f>IFERROR(INDEX(样本到样信息汇总统计!T$2:T$500,MATCH(116,样本到样信息汇总统计!$X$2:$X$500,0)),"")</f>
        <v/>
      </c>
      <c r="U117" s="8" t="str">
        <f>IFERROR(INDEX(样本到样信息汇总统计!U$2:U$500,MATCH(116,样本到样信息汇总统计!$X$2:$X$500,0)),"")</f>
        <v/>
      </c>
      <c r="V117" s="8" t="str">
        <f>IFERROR(INDEX(样本到样信息汇总统计!V$2:V$500,MATCH(116,样本到样信息汇总统计!$X$2:$X$500,0)),"")</f>
        <v/>
      </c>
      <c r="W117" s="8" t="str">
        <f>IFERROR(INDEX(样本到样信息汇总统计!W$2:W$500,MATCH(116,样本到样信息汇总统计!$X$2:$X$500,0)),"")</f>
        <v/>
      </c>
    </row>
    <row r="118" ht="14.5" spans="1:23">
      <c r="A118" s="4" t="str">
        <f>IFERROR(INDEX(样本到样信息汇总统计!A$2:A$500,MATCH(117,样本到样信息汇总统计!$X$2:$X$500,0)),"")</f>
        <v/>
      </c>
      <c r="B118" s="4" t="str">
        <f>IFERROR(INDEX(样本到样信息汇总统计!B$2:B$500,MATCH(117,样本到样信息汇总统计!$X$2:$X$500,0)),"")</f>
        <v/>
      </c>
      <c r="C118" s="4" t="str">
        <f>IFERROR(INDEX(样本到样信息汇总统计!C$2:C$500,MATCH(117,样本到样信息汇总统计!$X$2:$X$500,0)),"")</f>
        <v/>
      </c>
      <c r="D118" s="4" t="str">
        <f>IFERROR(INDEX(样本到样信息汇总统计!D$2:D$500,MATCH(117,样本到样信息汇总统计!$X$2:$X$500,0)),"")</f>
        <v/>
      </c>
      <c r="E118" s="4" t="str">
        <f>IFERROR(INDEX(样本到样信息汇总统计!E$2:E$500,MATCH(117,样本到样信息汇总统计!$X$2:$X$500,0)),"")</f>
        <v/>
      </c>
      <c r="F118" s="4" t="str">
        <f>IFERROR(INDEX(样本到样信息汇总统计!F$2:F$500,MATCH(117,样本到样信息汇总统计!$X$2:$X$500,0)),"")</f>
        <v/>
      </c>
      <c r="G118" s="4" t="str">
        <f>IFERROR(INDEX(样本到样信息汇总统计!G$2:G$500,MATCH(117,样本到样信息汇总统计!$X$2:$X$500,0)),"")</f>
        <v/>
      </c>
      <c r="H118" s="4" t="str">
        <f>IFERROR(INDEX(样本到样信息汇总统计!H$2:H$500,MATCH(117,样本到样信息汇总统计!$X$2:$X$500,0)),"")</f>
        <v/>
      </c>
      <c r="I118" s="4" t="str">
        <f>IFERROR(INDEX(样本到样信息汇总统计!I$2:I$500,MATCH(117,样本到样信息汇总统计!$X$2:$X$500,0)),"")</f>
        <v/>
      </c>
      <c r="J118" s="4" t="str">
        <f>IFERROR(INDEX(样本到样信息汇总统计!J$2:J$500,MATCH(117,样本到样信息汇总统计!$X$2:$X$500,0)),"")</f>
        <v/>
      </c>
      <c r="K118" s="14" t="str">
        <f>IFERROR(INDEX(样本到样信息汇总统计!K$2:K$500,MATCH(117,样本到样信息汇总统计!$X$2:$X$500,0)),"")</f>
        <v/>
      </c>
      <c r="L118" s="4" t="str">
        <f>IFERROR(INDEX(样本到样信息汇总统计!L$2:L$500,MATCH(117,样本到样信息汇总统计!$X$2:$X$500,0)),"")</f>
        <v/>
      </c>
      <c r="M118" s="4" t="str">
        <f>IFERROR(INDEX(样本到样信息汇总统计!M$2:M$500,MATCH(117,样本到样信息汇总统计!$X$2:$X$500,0)),"")</f>
        <v/>
      </c>
      <c r="N118" s="4" t="str">
        <f>IFERROR(INDEX(样本到样信息汇总统计!N$2:N$500,MATCH(117,样本到样信息汇总统计!$X$2:$X$500,0)),"")</f>
        <v/>
      </c>
      <c r="O118" s="4" t="str">
        <f>IFERROR(INDEX(样本到样信息汇总统计!O$2:O$500,MATCH(117,样本到样信息汇总统计!$X$2:$X$500,0)),"")</f>
        <v/>
      </c>
      <c r="P118" s="4" t="str">
        <f>IFERROR(INDEX(样本到样信息汇总统计!P$2:P$500,MATCH(117,样本到样信息汇总统计!$X$2:$X$500,0)),"")</f>
        <v/>
      </c>
      <c r="Q118" s="4" t="str">
        <f>IFERROR(INDEX(样本到样信息汇总统计!Q$2:Q$500,MATCH(117,样本到样信息汇总统计!$X$2:$X$500,0)),"")</f>
        <v/>
      </c>
      <c r="R118" s="4" t="str">
        <f>IFERROR(INDEX(样本到样信息汇总统计!R$2:R$500,MATCH(117,样本到样信息汇总统计!$X$2:$X$500,0)),"")</f>
        <v/>
      </c>
      <c r="S118" s="4" t="str">
        <f>IFERROR(INDEX(样本到样信息汇总统计!S$2:S$500,MATCH(117,样本到样信息汇总统计!$X$2:$X$500,0)),"")</f>
        <v/>
      </c>
      <c r="T118" s="4" t="str">
        <f>IFERROR(INDEX(样本到样信息汇总统计!T$2:T$500,MATCH(117,样本到样信息汇总统计!$X$2:$X$500,0)),"")</f>
        <v/>
      </c>
      <c r="U118" s="4" t="str">
        <f>IFERROR(INDEX(样本到样信息汇总统计!U$2:U$500,MATCH(117,样本到样信息汇总统计!$X$2:$X$500,0)),"")</f>
        <v/>
      </c>
      <c r="V118" s="4" t="str">
        <f>IFERROR(INDEX(样本到样信息汇总统计!V$2:V$500,MATCH(117,样本到样信息汇总统计!$X$2:$X$500,0)),"")</f>
        <v/>
      </c>
      <c r="W118" s="4" t="str">
        <f>IFERROR(INDEX(样本到样信息汇总统计!W$2:W$500,MATCH(117,样本到样信息汇总统计!$X$2:$X$500,0)),"")</f>
        <v/>
      </c>
    </row>
    <row r="119" ht="14.5" spans="1:23">
      <c r="A119" s="8" t="str">
        <f>IFERROR(INDEX(样本到样信息汇总统计!A$2:A$500,MATCH(118,样本到样信息汇总统计!$X$2:$X$500,0)),"")</f>
        <v/>
      </c>
      <c r="B119" s="8" t="str">
        <f>IFERROR(INDEX(样本到样信息汇总统计!B$2:B$500,MATCH(118,样本到样信息汇总统计!$X$2:$X$500,0)),"")</f>
        <v/>
      </c>
      <c r="C119" s="8" t="str">
        <f>IFERROR(INDEX(样本到样信息汇总统计!C$2:C$500,MATCH(118,样本到样信息汇总统计!$X$2:$X$500,0)),"")</f>
        <v/>
      </c>
      <c r="D119" s="8" t="str">
        <f>IFERROR(INDEX(样本到样信息汇总统计!D$2:D$500,MATCH(118,样本到样信息汇总统计!$X$2:$X$500,0)),"")</f>
        <v/>
      </c>
      <c r="E119" s="8" t="str">
        <f>IFERROR(INDEX(样本到样信息汇总统计!E$2:E$500,MATCH(118,样本到样信息汇总统计!$X$2:$X$500,0)),"")</f>
        <v/>
      </c>
      <c r="F119" s="8" t="str">
        <f>IFERROR(INDEX(样本到样信息汇总统计!F$2:F$500,MATCH(118,样本到样信息汇总统计!$X$2:$X$500,0)),"")</f>
        <v/>
      </c>
      <c r="G119" s="8" t="str">
        <f>IFERROR(INDEX(样本到样信息汇总统计!G$2:G$500,MATCH(118,样本到样信息汇总统计!$X$2:$X$500,0)),"")</f>
        <v/>
      </c>
      <c r="H119" s="8" t="str">
        <f>IFERROR(INDEX(样本到样信息汇总统计!H$2:H$500,MATCH(118,样本到样信息汇总统计!$X$2:$X$500,0)),"")</f>
        <v/>
      </c>
      <c r="I119" s="8" t="str">
        <f>IFERROR(INDEX(样本到样信息汇总统计!I$2:I$500,MATCH(118,样本到样信息汇总统计!$X$2:$X$500,0)),"")</f>
        <v/>
      </c>
      <c r="J119" s="8" t="str">
        <f>IFERROR(INDEX(样本到样信息汇总统计!J$2:J$500,MATCH(118,样本到样信息汇总统计!$X$2:$X$500,0)),"")</f>
        <v/>
      </c>
      <c r="K119" s="15" t="str">
        <f>IFERROR(INDEX(样本到样信息汇总统计!K$2:K$500,MATCH(118,样本到样信息汇总统计!$X$2:$X$500,0)),"")</f>
        <v/>
      </c>
      <c r="L119" s="8" t="str">
        <f>IFERROR(INDEX(样本到样信息汇总统计!L$2:L$500,MATCH(118,样本到样信息汇总统计!$X$2:$X$500,0)),"")</f>
        <v/>
      </c>
      <c r="M119" s="8" t="str">
        <f>IFERROR(INDEX(样本到样信息汇总统计!M$2:M$500,MATCH(118,样本到样信息汇总统计!$X$2:$X$500,0)),"")</f>
        <v/>
      </c>
      <c r="N119" s="8" t="str">
        <f>IFERROR(INDEX(样本到样信息汇总统计!N$2:N$500,MATCH(118,样本到样信息汇总统计!$X$2:$X$500,0)),"")</f>
        <v/>
      </c>
      <c r="O119" s="8" t="str">
        <f>IFERROR(INDEX(样本到样信息汇总统计!O$2:O$500,MATCH(118,样本到样信息汇总统计!$X$2:$X$500,0)),"")</f>
        <v/>
      </c>
      <c r="P119" s="8" t="str">
        <f>IFERROR(INDEX(样本到样信息汇总统计!P$2:P$500,MATCH(118,样本到样信息汇总统计!$X$2:$X$500,0)),"")</f>
        <v/>
      </c>
      <c r="Q119" s="8" t="str">
        <f>IFERROR(INDEX(样本到样信息汇总统计!Q$2:Q$500,MATCH(118,样本到样信息汇总统计!$X$2:$X$500,0)),"")</f>
        <v/>
      </c>
      <c r="R119" s="8" t="str">
        <f>IFERROR(INDEX(样本到样信息汇总统计!R$2:R$500,MATCH(118,样本到样信息汇总统计!$X$2:$X$500,0)),"")</f>
        <v/>
      </c>
      <c r="S119" s="8" t="str">
        <f>IFERROR(INDEX(样本到样信息汇总统计!S$2:S$500,MATCH(118,样本到样信息汇总统计!$X$2:$X$500,0)),"")</f>
        <v/>
      </c>
      <c r="T119" s="8" t="str">
        <f>IFERROR(INDEX(样本到样信息汇总统计!T$2:T$500,MATCH(118,样本到样信息汇总统计!$X$2:$X$500,0)),"")</f>
        <v/>
      </c>
      <c r="U119" s="8" t="str">
        <f>IFERROR(INDEX(样本到样信息汇总统计!U$2:U$500,MATCH(118,样本到样信息汇总统计!$X$2:$X$500,0)),"")</f>
        <v/>
      </c>
      <c r="V119" s="8" t="str">
        <f>IFERROR(INDEX(样本到样信息汇总统计!V$2:V$500,MATCH(118,样本到样信息汇总统计!$X$2:$X$500,0)),"")</f>
        <v/>
      </c>
      <c r="W119" s="8" t="str">
        <f>IFERROR(INDEX(样本到样信息汇总统计!W$2:W$500,MATCH(118,样本到样信息汇总统计!$X$2:$X$500,0)),"")</f>
        <v/>
      </c>
    </row>
    <row r="120" ht="14.5" spans="1:23">
      <c r="A120" s="4" t="str">
        <f>IFERROR(INDEX(样本到样信息汇总统计!A$2:A$500,MATCH(119,样本到样信息汇总统计!$X$2:$X$500,0)),"")</f>
        <v/>
      </c>
      <c r="B120" s="4" t="str">
        <f>IFERROR(INDEX(样本到样信息汇总统计!B$2:B$500,MATCH(119,样本到样信息汇总统计!$X$2:$X$500,0)),"")</f>
        <v/>
      </c>
      <c r="C120" s="4" t="str">
        <f>IFERROR(INDEX(样本到样信息汇总统计!C$2:C$500,MATCH(119,样本到样信息汇总统计!$X$2:$X$500,0)),"")</f>
        <v/>
      </c>
      <c r="D120" s="4" t="str">
        <f>IFERROR(INDEX(样本到样信息汇总统计!D$2:D$500,MATCH(119,样本到样信息汇总统计!$X$2:$X$500,0)),"")</f>
        <v/>
      </c>
      <c r="E120" s="4" t="str">
        <f>IFERROR(INDEX(样本到样信息汇总统计!E$2:E$500,MATCH(119,样本到样信息汇总统计!$X$2:$X$500,0)),"")</f>
        <v/>
      </c>
      <c r="F120" s="4" t="str">
        <f>IFERROR(INDEX(样本到样信息汇总统计!F$2:F$500,MATCH(119,样本到样信息汇总统计!$X$2:$X$500,0)),"")</f>
        <v/>
      </c>
      <c r="G120" s="4" t="str">
        <f>IFERROR(INDEX(样本到样信息汇总统计!G$2:G$500,MATCH(119,样本到样信息汇总统计!$X$2:$X$500,0)),"")</f>
        <v/>
      </c>
      <c r="H120" s="4" t="str">
        <f>IFERROR(INDEX(样本到样信息汇总统计!H$2:H$500,MATCH(119,样本到样信息汇总统计!$X$2:$X$500,0)),"")</f>
        <v/>
      </c>
      <c r="I120" s="4" t="str">
        <f>IFERROR(INDEX(样本到样信息汇总统计!I$2:I$500,MATCH(119,样本到样信息汇总统计!$X$2:$X$500,0)),"")</f>
        <v/>
      </c>
      <c r="J120" s="4" t="str">
        <f>IFERROR(INDEX(样本到样信息汇总统计!J$2:J$500,MATCH(119,样本到样信息汇总统计!$X$2:$X$500,0)),"")</f>
        <v/>
      </c>
      <c r="K120" s="14" t="str">
        <f>IFERROR(INDEX(样本到样信息汇总统计!K$2:K$500,MATCH(119,样本到样信息汇总统计!$X$2:$X$500,0)),"")</f>
        <v/>
      </c>
      <c r="L120" s="4" t="str">
        <f>IFERROR(INDEX(样本到样信息汇总统计!L$2:L$500,MATCH(119,样本到样信息汇总统计!$X$2:$X$500,0)),"")</f>
        <v/>
      </c>
      <c r="M120" s="4" t="str">
        <f>IFERROR(INDEX(样本到样信息汇总统计!M$2:M$500,MATCH(119,样本到样信息汇总统计!$X$2:$X$500,0)),"")</f>
        <v/>
      </c>
      <c r="N120" s="4" t="str">
        <f>IFERROR(INDEX(样本到样信息汇总统计!N$2:N$500,MATCH(119,样本到样信息汇总统计!$X$2:$X$500,0)),"")</f>
        <v/>
      </c>
      <c r="O120" s="4" t="str">
        <f>IFERROR(INDEX(样本到样信息汇总统计!O$2:O$500,MATCH(119,样本到样信息汇总统计!$X$2:$X$500,0)),"")</f>
        <v/>
      </c>
      <c r="P120" s="4" t="str">
        <f>IFERROR(INDEX(样本到样信息汇总统计!P$2:P$500,MATCH(119,样本到样信息汇总统计!$X$2:$X$500,0)),"")</f>
        <v/>
      </c>
      <c r="Q120" s="4" t="str">
        <f>IFERROR(INDEX(样本到样信息汇总统计!Q$2:Q$500,MATCH(119,样本到样信息汇总统计!$X$2:$X$500,0)),"")</f>
        <v/>
      </c>
      <c r="R120" s="4" t="str">
        <f>IFERROR(INDEX(样本到样信息汇总统计!R$2:R$500,MATCH(119,样本到样信息汇总统计!$X$2:$X$500,0)),"")</f>
        <v/>
      </c>
      <c r="S120" s="4" t="str">
        <f>IFERROR(INDEX(样本到样信息汇总统计!S$2:S$500,MATCH(119,样本到样信息汇总统计!$X$2:$X$500,0)),"")</f>
        <v/>
      </c>
      <c r="T120" s="4" t="str">
        <f>IFERROR(INDEX(样本到样信息汇总统计!T$2:T$500,MATCH(119,样本到样信息汇总统计!$X$2:$X$500,0)),"")</f>
        <v/>
      </c>
      <c r="U120" s="4" t="str">
        <f>IFERROR(INDEX(样本到样信息汇总统计!U$2:U$500,MATCH(119,样本到样信息汇总统计!$X$2:$X$500,0)),"")</f>
        <v/>
      </c>
      <c r="V120" s="4" t="str">
        <f>IFERROR(INDEX(样本到样信息汇总统计!V$2:V$500,MATCH(119,样本到样信息汇总统计!$X$2:$X$500,0)),"")</f>
        <v/>
      </c>
      <c r="W120" s="4" t="str">
        <f>IFERROR(INDEX(样本到样信息汇总统计!W$2:W$500,MATCH(119,样本到样信息汇总统计!$X$2:$X$500,0)),"")</f>
        <v/>
      </c>
    </row>
    <row r="121" ht="14.5" spans="1:23">
      <c r="A121" s="8" t="str">
        <f>IFERROR(INDEX(样本到样信息汇总统计!A$2:A$500,MATCH(120,样本到样信息汇总统计!$X$2:$X$500,0)),"")</f>
        <v/>
      </c>
      <c r="B121" s="8" t="str">
        <f>IFERROR(INDEX(样本到样信息汇总统计!B$2:B$500,MATCH(120,样本到样信息汇总统计!$X$2:$X$500,0)),"")</f>
        <v/>
      </c>
      <c r="C121" s="8" t="str">
        <f>IFERROR(INDEX(样本到样信息汇总统计!C$2:C$500,MATCH(120,样本到样信息汇总统计!$X$2:$X$500,0)),"")</f>
        <v/>
      </c>
      <c r="D121" s="8" t="str">
        <f>IFERROR(INDEX(样本到样信息汇总统计!D$2:D$500,MATCH(120,样本到样信息汇总统计!$X$2:$X$500,0)),"")</f>
        <v/>
      </c>
      <c r="E121" s="8" t="str">
        <f>IFERROR(INDEX(样本到样信息汇总统计!E$2:E$500,MATCH(120,样本到样信息汇总统计!$X$2:$X$500,0)),"")</f>
        <v/>
      </c>
      <c r="F121" s="8" t="str">
        <f>IFERROR(INDEX(样本到样信息汇总统计!F$2:F$500,MATCH(120,样本到样信息汇总统计!$X$2:$X$500,0)),"")</f>
        <v/>
      </c>
      <c r="G121" s="8" t="str">
        <f>IFERROR(INDEX(样本到样信息汇总统计!G$2:G$500,MATCH(120,样本到样信息汇总统计!$X$2:$X$500,0)),"")</f>
        <v/>
      </c>
      <c r="H121" s="8" t="str">
        <f>IFERROR(INDEX(样本到样信息汇总统计!H$2:H$500,MATCH(120,样本到样信息汇总统计!$X$2:$X$500,0)),"")</f>
        <v/>
      </c>
      <c r="I121" s="8" t="str">
        <f>IFERROR(INDEX(样本到样信息汇总统计!I$2:I$500,MATCH(120,样本到样信息汇总统计!$X$2:$X$500,0)),"")</f>
        <v/>
      </c>
      <c r="J121" s="8" t="str">
        <f>IFERROR(INDEX(样本到样信息汇总统计!J$2:J$500,MATCH(120,样本到样信息汇总统计!$X$2:$X$500,0)),"")</f>
        <v/>
      </c>
      <c r="K121" s="15" t="str">
        <f>IFERROR(INDEX(样本到样信息汇总统计!K$2:K$500,MATCH(120,样本到样信息汇总统计!$X$2:$X$500,0)),"")</f>
        <v/>
      </c>
      <c r="L121" s="8" t="str">
        <f>IFERROR(INDEX(样本到样信息汇总统计!L$2:L$500,MATCH(120,样本到样信息汇总统计!$X$2:$X$500,0)),"")</f>
        <v/>
      </c>
      <c r="M121" s="8" t="str">
        <f>IFERROR(INDEX(样本到样信息汇总统计!M$2:M$500,MATCH(120,样本到样信息汇总统计!$X$2:$X$500,0)),"")</f>
        <v/>
      </c>
      <c r="N121" s="8" t="str">
        <f>IFERROR(INDEX(样本到样信息汇总统计!N$2:N$500,MATCH(120,样本到样信息汇总统计!$X$2:$X$500,0)),"")</f>
        <v/>
      </c>
      <c r="O121" s="8" t="str">
        <f>IFERROR(INDEX(样本到样信息汇总统计!O$2:O$500,MATCH(120,样本到样信息汇总统计!$X$2:$X$500,0)),"")</f>
        <v/>
      </c>
      <c r="P121" s="8" t="str">
        <f>IFERROR(INDEX(样本到样信息汇总统计!P$2:P$500,MATCH(120,样本到样信息汇总统计!$X$2:$X$500,0)),"")</f>
        <v/>
      </c>
      <c r="Q121" s="8" t="str">
        <f>IFERROR(INDEX(样本到样信息汇总统计!Q$2:Q$500,MATCH(120,样本到样信息汇总统计!$X$2:$X$500,0)),"")</f>
        <v/>
      </c>
      <c r="R121" s="8" t="str">
        <f>IFERROR(INDEX(样本到样信息汇总统计!R$2:R$500,MATCH(120,样本到样信息汇总统计!$X$2:$X$500,0)),"")</f>
        <v/>
      </c>
      <c r="S121" s="8" t="str">
        <f>IFERROR(INDEX(样本到样信息汇总统计!S$2:S$500,MATCH(120,样本到样信息汇总统计!$X$2:$X$500,0)),"")</f>
        <v/>
      </c>
      <c r="T121" s="8" t="str">
        <f>IFERROR(INDEX(样本到样信息汇总统计!T$2:T$500,MATCH(120,样本到样信息汇总统计!$X$2:$X$500,0)),"")</f>
        <v/>
      </c>
      <c r="U121" s="8" t="str">
        <f>IFERROR(INDEX(样本到样信息汇总统计!U$2:U$500,MATCH(120,样本到样信息汇总统计!$X$2:$X$500,0)),"")</f>
        <v/>
      </c>
      <c r="V121" s="8" t="str">
        <f>IFERROR(INDEX(样本到样信息汇总统计!V$2:V$500,MATCH(120,样本到样信息汇总统计!$X$2:$X$500,0)),"")</f>
        <v/>
      </c>
      <c r="W121" s="8" t="str">
        <f>IFERROR(INDEX(样本到样信息汇总统计!W$2:W$500,MATCH(120,样本到样信息汇总统计!$X$2:$X$500,0)),"")</f>
        <v/>
      </c>
    </row>
    <row r="122" ht="14.5" spans="1:23">
      <c r="A122" s="4" t="str">
        <f>IFERROR(INDEX(样本到样信息汇总统计!A$2:A$500,MATCH(121,样本到样信息汇总统计!$X$2:$X$500,0)),"")</f>
        <v/>
      </c>
      <c r="B122" s="4" t="str">
        <f>IFERROR(INDEX(样本到样信息汇总统计!B$2:B$500,MATCH(121,样本到样信息汇总统计!$X$2:$X$500,0)),"")</f>
        <v/>
      </c>
      <c r="C122" s="4" t="str">
        <f>IFERROR(INDEX(样本到样信息汇总统计!C$2:C$500,MATCH(121,样本到样信息汇总统计!$X$2:$X$500,0)),"")</f>
        <v/>
      </c>
      <c r="D122" s="4" t="str">
        <f>IFERROR(INDEX(样本到样信息汇总统计!D$2:D$500,MATCH(121,样本到样信息汇总统计!$X$2:$X$500,0)),"")</f>
        <v/>
      </c>
      <c r="E122" s="4" t="str">
        <f>IFERROR(INDEX(样本到样信息汇总统计!E$2:E$500,MATCH(121,样本到样信息汇总统计!$X$2:$X$500,0)),"")</f>
        <v/>
      </c>
      <c r="F122" s="4" t="str">
        <f>IFERROR(INDEX(样本到样信息汇总统计!F$2:F$500,MATCH(121,样本到样信息汇总统计!$X$2:$X$500,0)),"")</f>
        <v/>
      </c>
      <c r="G122" s="4" t="str">
        <f>IFERROR(INDEX(样本到样信息汇总统计!G$2:G$500,MATCH(121,样本到样信息汇总统计!$X$2:$X$500,0)),"")</f>
        <v/>
      </c>
      <c r="H122" s="4" t="str">
        <f>IFERROR(INDEX(样本到样信息汇总统计!H$2:H$500,MATCH(121,样本到样信息汇总统计!$X$2:$X$500,0)),"")</f>
        <v/>
      </c>
      <c r="I122" s="4" t="str">
        <f>IFERROR(INDEX(样本到样信息汇总统计!I$2:I$500,MATCH(121,样本到样信息汇总统计!$X$2:$X$500,0)),"")</f>
        <v/>
      </c>
      <c r="J122" s="4" t="str">
        <f>IFERROR(INDEX(样本到样信息汇总统计!J$2:J$500,MATCH(121,样本到样信息汇总统计!$X$2:$X$500,0)),"")</f>
        <v/>
      </c>
      <c r="K122" s="14" t="str">
        <f>IFERROR(INDEX(样本到样信息汇总统计!K$2:K$500,MATCH(121,样本到样信息汇总统计!$X$2:$X$500,0)),"")</f>
        <v/>
      </c>
      <c r="L122" s="4" t="str">
        <f>IFERROR(INDEX(样本到样信息汇总统计!L$2:L$500,MATCH(121,样本到样信息汇总统计!$X$2:$X$500,0)),"")</f>
        <v/>
      </c>
      <c r="M122" s="4" t="str">
        <f>IFERROR(INDEX(样本到样信息汇总统计!M$2:M$500,MATCH(121,样本到样信息汇总统计!$X$2:$X$500,0)),"")</f>
        <v/>
      </c>
      <c r="N122" s="4" t="str">
        <f>IFERROR(INDEX(样本到样信息汇总统计!N$2:N$500,MATCH(121,样本到样信息汇总统计!$X$2:$X$500,0)),"")</f>
        <v/>
      </c>
      <c r="O122" s="4" t="str">
        <f>IFERROR(INDEX(样本到样信息汇总统计!O$2:O$500,MATCH(121,样本到样信息汇总统计!$X$2:$X$500,0)),"")</f>
        <v/>
      </c>
      <c r="P122" s="4" t="str">
        <f>IFERROR(INDEX(样本到样信息汇总统计!P$2:P$500,MATCH(121,样本到样信息汇总统计!$X$2:$X$500,0)),"")</f>
        <v/>
      </c>
      <c r="Q122" s="4" t="str">
        <f>IFERROR(INDEX(样本到样信息汇总统计!Q$2:Q$500,MATCH(121,样本到样信息汇总统计!$X$2:$X$500,0)),"")</f>
        <v/>
      </c>
      <c r="R122" s="4" t="str">
        <f>IFERROR(INDEX(样本到样信息汇总统计!R$2:R$500,MATCH(121,样本到样信息汇总统计!$X$2:$X$500,0)),"")</f>
        <v/>
      </c>
      <c r="S122" s="4" t="str">
        <f>IFERROR(INDEX(样本到样信息汇总统计!S$2:S$500,MATCH(121,样本到样信息汇总统计!$X$2:$X$500,0)),"")</f>
        <v/>
      </c>
      <c r="T122" s="4" t="str">
        <f>IFERROR(INDEX(样本到样信息汇总统计!T$2:T$500,MATCH(121,样本到样信息汇总统计!$X$2:$X$500,0)),"")</f>
        <v/>
      </c>
      <c r="U122" s="4" t="str">
        <f>IFERROR(INDEX(样本到样信息汇总统计!U$2:U$500,MATCH(121,样本到样信息汇总统计!$X$2:$X$500,0)),"")</f>
        <v/>
      </c>
      <c r="V122" s="4" t="str">
        <f>IFERROR(INDEX(样本到样信息汇总统计!V$2:V$500,MATCH(121,样本到样信息汇总统计!$X$2:$X$500,0)),"")</f>
        <v/>
      </c>
      <c r="W122" s="4" t="str">
        <f>IFERROR(INDEX(样本到样信息汇总统计!W$2:W$500,MATCH(121,样本到样信息汇总统计!$X$2:$X$500,0)),"")</f>
        <v/>
      </c>
    </row>
    <row r="123" ht="14.5" spans="1:23">
      <c r="A123" s="8" t="str">
        <f>IFERROR(INDEX(样本到样信息汇总统计!A$2:A$500,MATCH(122,样本到样信息汇总统计!$X$2:$X$500,0)),"")</f>
        <v/>
      </c>
      <c r="B123" s="8" t="str">
        <f>IFERROR(INDEX(样本到样信息汇总统计!B$2:B$500,MATCH(122,样本到样信息汇总统计!$X$2:$X$500,0)),"")</f>
        <v/>
      </c>
      <c r="C123" s="8" t="str">
        <f>IFERROR(INDEX(样本到样信息汇总统计!C$2:C$500,MATCH(122,样本到样信息汇总统计!$X$2:$X$500,0)),"")</f>
        <v/>
      </c>
      <c r="D123" s="8" t="str">
        <f>IFERROR(INDEX(样本到样信息汇总统计!D$2:D$500,MATCH(122,样本到样信息汇总统计!$X$2:$X$500,0)),"")</f>
        <v/>
      </c>
      <c r="E123" s="8" t="str">
        <f>IFERROR(INDEX(样本到样信息汇总统计!E$2:E$500,MATCH(122,样本到样信息汇总统计!$X$2:$X$500,0)),"")</f>
        <v/>
      </c>
      <c r="F123" s="8" t="str">
        <f>IFERROR(INDEX(样本到样信息汇总统计!F$2:F$500,MATCH(122,样本到样信息汇总统计!$X$2:$X$500,0)),"")</f>
        <v/>
      </c>
      <c r="G123" s="8" t="str">
        <f>IFERROR(INDEX(样本到样信息汇总统计!G$2:G$500,MATCH(122,样本到样信息汇总统计!$X$2:$X$500,0)),"")</f>
        <v/>
      </c>
      <c r="H123" s="8" t="str">
        <f>IFERROR(INDEX(样本到样信息汇总统计!H$2:H$500,MATCH(122,样本到样信息汇总统计!$X$2:$X$500,0)),"")</f>
        <v/>
      </c>
      <c r="I123" s="8" t="str">
        <f>IFERROR(INDEX(样本到样信息汇总统计!I$2:I$500,MATCH(122,样本到样信息汇总统计!$X$2:$X$500,0)),"")</f>
        <v/>
      </c>
      <c r="J123" s="8" t="str">
        <f>IFERROR(INDEX(样本到样信息汇总统计!J$2:J$500,MATCH(122,样本到样信息汇总统计!$X$2:$X$500,0)),"")</f>
        <v/>
      </c>
      <c r="K123" s="15" t="str">
        <f>IFERROR(INDEX(样本到样信息汇总统计!K$2:K$500,MATCH(122,样本到样信息汇总统计!$X$2:$X$500,0)),"")</f>
        <v/>
      </c>
      <c r="L123" s="8" t="str">
        <f>IFERROR(INDEX(样本到样信息汇总统计!L$2:L$500,MATCH(122,样本到样信息汇总统计!$X$2:$X$500,0)),"")</f>
        <v/>
      </c>
      <c r="M123" s="8" t="str">
        <f>IFERROR(INDEX(样本到样信息汇总统计!M$2:M$500,MATCH(122,样本到样信息汇总统计!$X$2:$X$500,0)),"")</f>
        <v/>
      </c>
      <c r="N123" s="8" t="str">
        <f>IFERROR(INDEX(样本到样信息汇总统计!N$2:N$500,MATCH(122,样本到样信息汇总统计!$X$2:$X$500,0)),"")</f>
        <v/>
      </c>
      <c r="O123" s="8" t="str">
        <f>IFERROR(INDEX(样本到样信息汇总统计!O$2:O$500,MATCH(122,样本到样信息汇总统计!$X$2:$X$500,0)),"")</f>
        <v/>
      </c>
      <c r="P123" s="8" t="str">
        <f>IFERROR(INDEX(样本到样信息汇总统计!P$2:P$500,MATCH(122,样本到样信息汇总统计!$X$2:$X$500,0)),"")</f>
        <v/>
      </c>
      <c r="Q123" s="8" t="str">
        <f>IFERROR(INDEX(样本到样信息汇总统计!Q$2:Q$500,MATCH(122,样本到样信息汇总统计!$X$2:$X$500,0)),"")</f>
        <v/>
      </c>
      <c r="R123" s="8" t="str">
        <f>IFERROR(INDEX(样本到样信息汇总统计!R$2:R$500,MATCH(122,样本到样信息汇总统计!$X$2:$X$500,0)),"")</f>
        <v/>
      </c>
      <c r="S123" s="8" t="str">
        <f>IFERROR(INDEX(样本到样信息汇总统计!S$2:S$500,MATCH(122,样本到样信息汇总统计!$X$2:$X$500,0)),"")</f>
        <v/>
      </c>
      <c r="T123" s="8" t="str">
        <f>IFERROR(INDEX(样本到样信息汇总统计!T$2:T$500,MATCH(122,样本到样信息汇总统计!$X$2:$X$500,0)),"")</f>
        <v/>
      </c>
      <c r="U123" s="8" t="str">
        <f>IFERROR(INDEX(样本到样信息汇总统计!U$2:U$500,MATCH(122,样本到样信息汇总统计!$X$2:$X$500,0)),"")</f>
        <v/>
      </c>
      <c r="V123" s="8" t="str">
        <f>IFERROR(INDEX(样本到样信息汇总统计!V$2:V$500,MATCH(122,样本到样信息汇总统计!$X$2:$X$500,0)),"")</f>
        <v/>
      </c>
      <c r="W123" s="8" t="str">
        <f>IFERROR(INDEX(样本到样信息汇总统计!W$2:W$500,MATCH(122,样本到样信息汇总统计!$X$2:$X$500,0)),"")</f>
        <v/>
      </c>
    </row>
    <row r="124" ht="14.5" spans="1:23">
      <c r="A124" s="4" t="str">
        <f>IFERROR(INDEX(样本到样信息汇总统计!A$2:A$500,MATCH(123,样本到样信息汇总统计!$X$2:$X$500,0)),"")</f>
        <v/>
      </c>
      <c r="B124" s="4" t="str">
        <f>IFERROR(INDEX(样本到样信息汇总统计!B$2:B$500,MATCH(123,样本到样信息汇总统计!$X$2:$X$500,0)),"")</f>
        <v/>
      </c>
      <c r="C124" s="4" t="str">
        <f>IFERROR(INDEX(样本到样信息汇总统计!C$2:C$500,MATCH(123,样本到样信息汇总统计!$X$2:$X$500,0)),"")</f>
        <v/>
      </c>
      <c r="D124" s="4" t="str">
        <f>IFERROR(INDEX(样本到样信息汇总统计!D$2:D$500,MATCH(123,样本到样信息汇总统计!$X$2:$X$500,0)),"")</f>
        <v/>
      </c>
      <c r="E124" s="4" t="str">
        <f>IFERROR(INDEX(样本到样信息汇总统计!E$2:E$500,MATCH(123,样本到样信息汇总统计!$X$2:$X$500,0)),"")</f>
        <v/>
      </c>
      <c r="F124" s="4" t="str">
        <f>IFERROR(INDEX(样本到样信息汇总统计!F$2:F$500,MATCH(123,样本到样信息汇总统计!$X$2:$X$500,0)),"")</f>
        <v/>
      </c>
      <c r="G124" s="4" t="str">
        <f>IFERROR(INDEX(样本到样信息汇总统计!G$2:G$500,MATCH(123,样本到样信息汇总统计!$X$2:$X$500,0)),"")</f>
        <v/>
      </c>
      <c r="H124" s="4" t="str">
        <f>IFERROR(INDEX(样本到样信息汇总统计!H$2:H$500,MATCH(123,样本到样信息汇总统计!$X$2:$X$500,0)),"")</f>
        <v/>
      </c>
      <c r="I124" s="4" t="str">
        <f>IFERROR(INDEX(样本到样信息汇总统计!I$2:I$500,MATCH(123,样本到样信息汇总统计!$X$2:$X$500,0)),"")</f>
        <v/>
      </c>
      <c r="J124" s="4" t="str">
        <f>IFERROR(INDEX(样本到样信息汇总统计!J$2:J$500,MATCH(123,样本到样信息汇总统计!$X$2:$X$500,0)),"")</f>
        <v/>
      </c>
      <c r="K124" s="14" t="str">
        <f>IFERROR(INDEX(样本到样信息汇总统计!K$2:K$500,MATCH(123,样本到样信息汇总统计!$X$2:$X$500,0)),"")</f>
        <v/>
      </c>
      <c r="L124" s="4" t="str">
        <f>IFERROR(INDEX(样本到样信息汇总统计!L$2:L$500,MATCH(123,样本到样信息汇总统计!$X$2:$X$500,0)),"")</f>
        <v/>
      </c>
      <c r="M124" s="4" t="str">
        <f>IFERROR(INDEX(样本到样信息汇总统计!M$2:M$500,MATCH(123,样本到样信息汇总统计!$X$2:$X$500,0)),"")</f>
        <v/>
      </c>
      <c r="N124" s="4" t="str">
        <f>IFERROR(INDEX(样本到样信息汇总统计!N$2:N$500,MATCH(123,样本到样信息汇总统计!$X$2:$X$500,0)),"")</f>
        <v/>
      </c>
      <c r="O124" s="4" t="str">
        <f>IFERROR(INDEX(样本到样信息汇总统计!O$2:O$500,MATCH(123,样本到样信息汇总统计!$X$2:$X$500,0)),"")</f>
        <v/>
      </c>
      <c r="P124" s="4" t="str">
        <f>IFERROR(INDEX(样本到样信息汇总统计!P$2:P$500,MATCH(123,样本到样信息汇总统计!$X$2:$X$500,0)),"")</f>
        <v/>
      </c>
      <c r="Q124" s="4" t="str">
        <f>IFERROR(INDEX(样本到样信息汇总统计!Q$2:Q$500,MATCH(123,样本到样信息汇总统计!$X$2:$X$500,0)),"")</f>
        <v/>
      </c>
      <c r="R124" s="4" t="str">
        <f>IFERROR(INDEX(样本到样信息汇总统计!R$2:R$500,MATCH(123,样本到样信息汇总统计!$X$2:$X$500,0)),"")</f>
        <v/>
      </c>
      <c r="S124" s="4" t="str">
        <f>IFERROR(INDEX(样本到样信息汇总统计!S$2:S$500,MATCH(123,样本到样信息汇总统计!$X$2:$X$500,0)),"")</f>
        <v/>
      </c>
      <c r="T124" s="4" t="str">
        <f>IFERROR(INDEX(样本到样信息汇总统计!T$2:T$500,MATCH(123,样本到样信息汇总统计!$X$2:$X$500,0)),"")</f>
        <v/>
      </c>
      <c r="U124" s="4" t="str">
        <f>IFERROR(INDEX(样本到样信息汇总统计!U$2:U$500,MATCH(123,样本到样信息汇总统计!$X$2:$X$500,0)),"")</f>
        <v/>
      </c>
      <c r="V124" s="4" t="str">
        <f>IFERROR(INDEX(样本到样信息汇总统计!V$2:V$500,MATCH(123,样本到样信息汇总统计!$X$2:$X$500,0)),"")</f>
        <v/>
      </c>
      <c r="W124" s="4" t="str">
        <f>IFERROR(INDEX(样本到样信息汇总统计!W$2:W$500,MATCH(123,样本到样信息汇总统计!$X$2:$X$500,0)),"")</f>
        <v/>
      </c>
    </row>
    <row r="125" ht="14.5" spans="1:23">
      <c r="A125" s="8" t="str">
        <f>IFERROR(INDEX(样本到样信息汇总统计!A$2:A$500,MATCH(124,样本到样信息汇总统计!$X$2:$X$500,0)),"")</f>
        <v/>
      </c>
      <c r="B125" s="8" t="str">
        <f>IFERROR(INDEX(样本到样信息汇总统计!B$2:B$500,MATCH(124,样本到样信息汇总统计!$X$2:$X$500,0)),"")</f>
        <v/>
      </c>
      <c r="C125" s="8" t="str">
        <f>IFERROR(INDEX(样本到样信息汇总统计!C$2:C$500,MATCH(124,样本到样信息汇总统计!$X$2:$X$500,0)),"")</f>
        <v/>
      </c>
      <c r="D125" s="8" t="str">
        <f>IFERROR(INDEX(样本到样信息汇总统计!D$2:D$500,MATCH(124,样本到样信息汇总统计!$X$2:$X$500,0)),"")</f>
        <v/>
      </c>
      <c r="E125" s="8" t="str">
        <f>IFERROR(INDEX(样本到样信息汇总统计!E$2:E$500,MATCH(124,样本到样信息汇总统计!$X$2:$X$500,0)),"")</f>
        <v/>
      </c>
      <c r="F125" s="8" t="str">
        <f>IFERROR(INDEX(样本到样信息汇总统计!F$2:F$500,MATCH(124,样本到样信息汇总统计!$X$2:$X$500,0)),"")</f>
        <v/>
      </c>
      <c r="G125" s="8" t="str">
        <f>IFERROR(INDEX(样本到样信息汇总统计!G$2:G$500,MATCH(124,样本到样信息汇总统计!$X$2:$X$500,0)),"")</f>
        <v/>
      </c>
      <c r="H125" s="8" t="str">
        <f>IFERROR(INDEX(样本到样信息汇总统计!H$2:H$500,MATCH(124,样本到样信息汇总统计!$X$2:$X$500,0)),"")</f>
        <v/>
      </c>
      <c r="I125" s="8" t="str">
        <f>IFERROR(INDEX(样本到样信息汇总统计!I$2:I$500,MATCH(124,样本到样信息汇总统计!$X$2:$X$500,0)),"")</f>
        <v/>
      </c>
      <c r="J125" s="8" t="str">
        <f>IFERROR(INDEX(样本到样信息汇总统计!J$2:J$500,MATCH(124,样本到样信息汇总统计!$X$2:$X$500,0)),"")</f>
        <v/>
      </c>
      <c r="K125" s="15" t="str">
        <f>IFERROR(INDEX(样本到样信息汇总统计!K$2:K$500,MATCH(124,样本到样信息汇总统计!$X$2:$X$500,0)),"")</f>
        <v/>
      </c>
      <c r="L125" s="8" t="str">
        <f>IFERROR(INDEX(样本到样信息汇总统计!L$2:L$500,MATCH(124,样本到样信息汇总统计!$X$2:$X$500,0)),"")</f>
        <v/>
      </c>
      <c r="M125" s="8" t="str">
        <f>IFERROR(INDEX(样本到样信息汇总统计!M$2:M$500,MATCH(124,样本到样信息汇总统计!$X$2:$X$500,0)),"")</f>
        <v/>
      </c>
      <c r="N125" s="8" t="str">
        <f>IFERROR(INDEX(样本到样信息汇总统计!N$2:N$500,MATCH(124,样本到样信息汇总统计!$X$2:$X$500,0)),"")</f>
        <v/>
      </c>
      <c r="O125" s="8" t="str">
        <f>IFERROR(INDEX(样本到样信息汇总统计!O$2:O$500,MATCH(124,样本到样信息汇总统计!$X$2:$X$500,0)),"")</f>
        <v/>
      </c>
      <c r="P125" s="8" t="str">
        <f>IFERROR(INDEX(样本到样信息汇总统计!P$2:P$500,MATCH(124,样本到样信息汇总统计!$X$2:$X$500,0)),"")</f>
        <v/>
      </c>
      <c r="Q125" s="8" t="str">
        <f>IFERROR(INDEX(样本到样信息汇总统计!Q$2:Q$500,MATCH(124,样本到样信息汇总统计!$X$2:$X$500,0)),"")</f>
        <v/>
      </c>
      <c r="R125" s="8" t="str">
        <f>IFERROR(INDEX(样本到样信息汇总统计!R$2:R$500,MATCH(124,样本到样信息汇总统计!$X$2:$X$500,0)),"")</f>
        <v/>
      </c>
      <c r="S125" s="8" t="str">
        <f>IFERROR(INDEX(样本到样信息汇总统计!S$2:S$500,MATCH(124,样本到样信息汇总统计!$X$2:$X$500,0)),"")</f>
        <v/>
      </c>
      <c r="T125" s="8" t="str">
        <f>IFERROR(INDEX(样本到样信息汇总统计!T$2:T$500,MATCH(124,样本到样信息汇总统计!$X$2:$X$500,0)),"")</f>
        <v/>
      </c>
      <c r="U125" s="8" t="str">
        <f>IFERROR(INDEX(样本到样信息汇总统计!U$2:U$500,MATCH(124,样本到样信息汇总统计!$X$2:$X$500,0)),"")</f>
        <v/>
      </c>
      <c r="V125" s="8" t="str">
        <f>IFERROR(INDEX(样本到样信息汇总统计!V$2:V$500,MATCH(124,样本到样信息汇总统计!$X$2:$X$500,0)),"")</f>
        <v/>
      </c>
      <c r="W125" s="8" t="str">
        <f>IFERROR(INDEX(样本到样信息汇总统计!W$2:W$500,MATCH(124,样本到样信息汇总统计!$X$2:$X$500,0)),"")</f>
        <v/>
      </c>
    </row>
    <row r="126" ht="14.5" spans="1:23">
      <c r="A126" s="4" t="str">
        <f>IFERROR(INDEX(样本到样信息汇总统计!A$2:A$500,MATCH(125,样本到样信息汇总统计!$X$2:$X$500,0)),"")</f>
        <v/>
      </c>
      <c r="B126" s="4" t="str">
        <f>IFERROR(INDEX(样本到样信息汇总统计!B$2:B$500,MATCH(125,样本到样信息汇总统计!$X$2:$X$500,0)),"")</f>
        <v/>
      </c>
      <c r="C126" s="4" t="str">
        <f>IFERROR(INDEX(样本到样信息汇总统计!C$2:C$500,MATCH(125,样本到样信息汇总统计!$X$2:$X$500,0)),"")</f>
        <v/>
      </c>
      <c r="D126" s="4" t="str">
        <f>IFERROR(INDEX(样本到样信息汇总统计!D$2:D$500,MATCH(125,样本到样信息汇总统计!$X$2:$X$500,0)),"")</f>
        <v/>
      </c>
      <c r="E126" s="4" t="str">
        <f>IFERROR(INDEX(样本到样信息汇总统计!E$2:E$500,MATCH(125,样本到样信息汇总统计!$X$2:$X$500,0)),"")</f>
        <v/>
      </c>
      <c r="F126" s="4" t="str">
        <f>IFERROR(INDEX(样本到样信息汇总统计!F$2:F$500,MATCH(125,样本到样信息汇总统计!$X$2:$X$500,0)),"")</f>
        <v/>
      </c>
      <c r="G126" s="4" t="str">
        <f>IFERROR(INDEX(样本到样信息汇总统计!G$2:G$500,MATCH(125,样本到样信息汇总统计!$X$2:$X$500,0)),"")</f>
        <v/>
      </c>
      <c r="H126" s="4" t="str">
        <f>IFERROR(INDEX(样本到样信息汇总统计!H$2:H$500,MATCH(125,样本到样信息汇总统计!$X$2:$X$500,0)),"")</f>
        <v/>
      </c>
      <c r="I126" s="4" t="str">
        <f>IFERROR(INDEX(样本到样信息汇总统计!I$2:I$500,MATCH(125,样本到样信息汇总统计!$X$2:$X$500,0)),"")</f>
        <v/>
      </c>
      <c r="J126" s="4" t="str">
        <f>IFERROR(INDEX(样本到样信息汇总统计!J$2:J$500,MATCH(125,样本到样信息汇总统计!$X$2:$X$500,0)),"")</f>
        <v/>
      </c>
      <c r="K126" s="14" t="str">
        <f>IFERROR(INDEX(样本到样信息汇总统计!K$2:K$500,MATCH(125,样本到样信息汇总统计!$X$2:$X$500,0)),"")</f>
        <v/>
      </c>
      <c r="L126" s="4" t="str">
        <f>IFERROR(INDEX(样本到样信息汇总统计!L$2:L$500,MATCH(125,样本到样信息汇总统计!$X$2:$X$500,0)),"")</f>
        <v/>
      </c>
      <c r="M126" s="4" t="str">
        <f>IFERROR(INDEX(样本到样信息汇总统计!M$2:M$500,MATCH(125,样本到样信息汇总统计!$X$2:$X$500,0)),"")</f>
        <v/>
      </c>
      <c r="N126" s="4" t="str">
        <f>IFERROR(INDEX(样本到样信息汇总统计!N$2:N$500,MATCH(125,样本到样信息汇总统计!$X$2:$X$500,0)),"")</f>
        <v/>
      </c>
      <c r="O126" s="4" t="str">
        <f>IFERROR(INDEX(样本到样信息汇总统计!O$2:O$500,MATCH(125,样本到样信息汇总统计!$X$2:$X$500,0)),"")</f>
        <v/>
      </c>
      <c r="P126" s="4" t="str">
        <f>IFERROR(INDEX(样本到样信息汇总统计!P$2:P$500,MATCH(125,样本到样信息汇总统计!$X$2:$X$500,0)),"")</f>
        <v/>
      </c>
      <c r="Q126" s="4" t="str">
        <f>IFERROR(INDEX(样本到样信息汇总统计!Q$2:Q$500,MATCH(125,样本到样信息汇总统计!$X$2:$X$500,0)),"")</f>
        <v/>
      </c>
      <c r="R126" s="4" t="str">
        <f>IFERROR(INDEX(样本到样信息汇总统计!R$2:R$500,MATCH(125,样本到样信息汇总统计!$X$2:$X$500,0)),"")</f>
        <v/>
      </c>
      <c r="S126" s="4" t="str">
        <f>IFERROR(INDEX(样本到样信息汇总统计!S$2:S$500,MATCH(125,样本到样信息汇总统计!$X$2:$X$500,0)),"")</f>
        <v/>
      </c>
      <c r="T126" s="4" t="str">
        <f>IFERROR(INDEX(样本到样信息汇总统计!T$2:T$500,MATCH(125,样本到样信息汇总统计!$X$2:$X$500,0)),"")</f>
        <v/>
      </c>
      <c r="U126" s="4" t="str">
        <f>IFERROR(INDEX(样本到样信息汇总统计!U$2:U$500,MATCH(125,样本到样信息汇总统计!$X$2:$X$500,0)),"")</f>
        <v/>
      </c>
      <c r="V126" s="4" t="str">
        <f>IFERROR(INDEX(样本到样信息汇总统计!V$2:V$500,MATCH(125,样本到样信息汇总统计!$X$2:$X$500,0)),"")</f>
        <v/>
      </c>
      <c r="W126" s="4" t="str">
        <f>IFERROR(INDEX(样本到样信息汇总统计!W$2:W$500,MATCH(125,样本到样信息汇总统计!$X$2:$X$500,0)),"")</f>
        <v/>
      </c>
    </row>
    <row r="127" ht="14.5" spans="1:23">
      <c r="A127" s="8" t="str">
        <f>IFERROR(INDEX(样本到样信息汇总统计!A$2:A$500,MATCH(126,样本到样信息汇总统计!$X$2:$X$500,0)),"")</f>
        <v/>
      </c>
      <c r="B127" s="8" t="str">
        <f>IFERROR(INDEX(样本到样信息汇总统计!B$2:B$500,MATCH(126,样本到样信息汇总统计!$X$2:$X$500,0)),"")</f>
        <v/>
      </c>
      <c r="C127" s="8" t="str">
        <f>IFERROR(INDEX(样本到样信息汇总统计!C$2:C$500,MATCH(126,样本到样信息汇总统计!$X$2:$X$500,0)),"")</f>
        <v/>
      </c>
      <c r="D127" s="8" t="str">
        <f>IFERROR(INDEX(样本到样信息汇总统计!D$2:D$500,MATCH(126,样本到样信息汇总统计!$X$2:$X$500,0)),"")</f>
        <v/>
      </c>
      <c r="E127" s="8" t="str">
        <f>IFERROR(INDEX(样本到样信息汇总统计!E$2:E$500,MATCH(126,样本到样信息汇总统计!$X$2:$X$500,0)),"")</f>
        <v/>
      </c>
      <c r="F127" s="8" t="str">
        <f>IFERROR(INDEX(样本到样信息汇总统计!F$2:F$500,MATCH(126,样本到样信息汇总统计!$X$2:$X$500,0)),"")</f>
        <v/>
      </c>
      <c r="G127" s="8" t="str">
        <f>IFERROR(INDEX(样本到样信息汇总统计!G$2:G$500,MATCH(126,样本到样信息汇总统计!$X$2:$X$500,0)),"")</f>
        <v/>
      </c>
      <c r="H127" s="8" t="str">
        <f>IFERROR(INDEX(样本到样信息汇总统计!H$2:H$500,MATCH(126,样本到样信息汇总统计!$X$2:$X$500,0)),"")</f>
        <v/>
      </c>
      <c r="I127" s="8" t="str">
        <f>IFERROR(INDEX(样本到样信息汇总统计!I$2:I$500,MATCH(126,样本到样信息汇总统计!$X$2:$X$500,0)),"")</f>
        <v/>
      </c>
      <c r="J127" s="8" t="str">
        <f>IFERROR(INDEX(样本到样信息汇总统计!J$2:J$500,MATCH(126,样本到样信息汇总统计!$X$2:$X$500,0)),"")</f>
        <v/>
      </c>
      <c r="K127" s="15" t="str">
        <f>IFERROR(INDEX(样本到样信息汇总统计!K$2:K$500,MATCH(126,样本到样信息汇总统计!$X$2:$X$500,0)),"")</f>
        <v/>
      </c>
      <c r="L127" s="8" t="str">
        <f>IFERROR(INDEX(样本到样信息汇总统计!L$2:L$500,MATCH(126,样本到样信息汇总统计!$X$2:$X$500,0)),"")</f>
        <v/>
      </c>
      <c r="M127" s="8" t="str">
        <f>IFERROR(INDEX(样本到样信息汇总统计!M$2:M$500,MATCH(126,样本到样信息汇总统计!$X$2:$X$500,0)),"")</f>
        <v/>
      </c>
      <c r="N127" s="8" t="str">
        <f>IFERROR(INDEX(样本到样信息汇总统计!N$2:N$500,MATCH(126,样本到样信息汇总统计!$X$2:$X$500,0)),"")</f>
        <v/>
      </c>
      <c r="O127" s="8" t="str">
        <f>IFERROR(INDEX(样本到样信息汇总统计!O$2:O$500,MATCH(126,样本到样信息汇总统计!$X$2:$X$500,0)),"")</f>
        <v/>
      </c>
      <c r="P127" s="8" t="str">
        <f>IFERROR(INDEX(样本到样信息汇总统计!P$2:P$500,MATCH(126,样本到样信息汇总统计!$X$2:$X$500,0)),"")</f>
        <v/>
      </c>
      <c r="Q127" s="8" t="str">
        <f>IFERROR(INDEX(样本到样信息汇总统计!Q$2:Q$500,MATCH(126,样本到样信息汇总统计!$X$2:$X$500,0)),"")</f>
        <v/>
      </c>
      <c r="R127" s="8" t="str">
        <f>IFERROR(INDEX(样本到样信息汇总统计!R$2:R$500,MATCH(126,样本到样信息汇总统计!$X$2:$X$500,0)),"")</f>
        <v/>
      </c>
      <c r="S127" s="8" t="str">
        <f>IFERROR(INDEX(样本到样信息汇总统计!S$2:S$500,MATCH(126,样本到样信息汇总统计!$X$2:$X$500,0)),"")</f>
        <v/>
      </c>
      <c r="T127" s="8" t="str">
        <f>IFERROR(INDEX(样本到样信息汇总统计!T$2:T$500,MATCH(126,样本到样信息汇总统计!$X$2:$X$500,0)),"")</f>
        <v/>
      </c>
      <c r="U127" s="8" t="str">
        <f>IFERROR(INDEX(样本到样信息汇总统计!U$2:U$500,MATCH(126,样本到样信息汇总统计!$X$2:$X$500,0)),"")</f>
        <v/>
      </c>
      <c r="V127" s="8" t="str">
        <f>IFERROR(INDEX(样本到样信息汇总统计!V$2:V$500,MATCH(126,样本到样信息汇总统计!$X$2:$X$500,0)),"")</f>
        <v/>
      </c>
      <c r="W127" s="8" t="str">
        <f>IFERROR(INDEX(样本到样信息汇总统计!W$2:W$500,MATCH(126,样本到样信息汇总统计!$X$2:$X$500,0)),"")</f>
        <v/>
      </c>
    </row>
    <row r="128" ht="14.5" spans="1:23">
      <c r="A128" s="4" t="str">
        <f>IFERROR(INDEX(样本到样信息汇总统计!A$2:A$500,MATCH(127,样本到样信息汇总统计!$X$2:$X$500,0)),"")</f>
        <v/>
      </c>
      <c r="B128" s="4" t="str">
        <f>IFERROR(INDEX(样本到样信息汇总统计!B$2:B$500,MATCH(127,样本到样信息汇总统计!$X$2:$X$500,0)),"")</f>
        <v/>
      </c>
      <c r="C128" s="4" t="str">
        <f>IFERROR(INDEX(样本到样信息汇总统计!C$2:C$500,MATCH(127,样本到样信息汇总统计!$X$2:$X$500,0)),"")</f>
        <v/>
      </c>
      <c r="D128" s="4" t="str">
        <f>IFERROR(INDEX(样本到样信息汇总统计!D$2:D$500,MATCH(127,样本到样信息汇总统计!$X$2:$X$500,0)),"")</f>
        <v/>
      </c>
      <c r="E128" s="4" t="str">
        <f>IFERROR(INDEX(样本到样信息汇总统计!E$2:E$500,MATCH(127,样本到样信息汇总统计!$X$2:$X$500,0)),"")</f>
        <v/>
      </c>
      <c r="F128" s="4" t="str">
        <f>IFERROR(INDEX(样本到样信息汇总统计!F$2:F$500,MATCH(127,样本到样信息汇总统计!$X$2:$X$500,0)),"")</f>
        <v/>
      </c>
      <c r="G128" s="4" t="str">
        <f>IFERROR(INDEX(样本到样信息汇总统计!G$2:G$500,MATCH(127,样本到样信息汇总统计!$X$2:$X$500,0)),"")</f>
        <v/>
      </c>
      <c r="H128" s="4" t="str">
        <f>IFERROR(INDEX(样本到样信息汇总统计!H$2:H$500,MATCH(127,样本到样信息汇总统计!$X$2:$X$500,0)),"")</f>
        <v/>
      </c>
      <c r="I128" s="4" t="str">
        <f>IFERROR(INDEX(样本到样信息汇总统计!I$2:I$500,MATCH(127,样本到样信息汇总统计!$X$2:$X$500,0)),"")</f>
        <v/>
      </c>
      <c r="J128" s="4" t="str">
        <f>IFERROR(INDEX(样本到样信息汇总统计!J$2:J$500,MATCH(127,样本到样信息汇总统计!$X$2:$X$500,0)),"")</f>
        <v/>
      </c>
      <c r="K128" s="14" t="str">
        <f>IFERROR(INDEX(样本到样信息汇总统计!K$2:K$500,MATCH(127,样本到样信息汇总统计!$X$2:$X$500,0)),"")</f>
        <v/>
      </c>
      <c r="L128" s="4" t="str">
        <f>IFERROR(INDEX(样本到样信息汇总统计!L$2:L$500,MATCH(127,样本到样信息汇总统计!$X$2:$X$500,0)),"")</f>
        <v/>
      </c>
      <c r="M128" s="4" t="str">
        <f>IFERROR(INDEX(样本到样信息汇总统计!M$2:M$500,MATCH(127,样本到样信息汇总统计!$X$2:$X$500,0)),"")</f>
        <v/>
      </c>
      <c r="N128" s="4" t="str">
        <f>IFERROR(INDEX(样本到样信息汇总统计!N$2:N$500,MATCH(127,样本到样信息汇总统计!$X$2:$X$500,0)),"")</f>
        <v/>
      </c>
      <c r="O128" s="4" t="str">
        <f>IFERROR(INDEX(样本到样信息汇总统计!O$2:O$500,MATCH(127,样本到样信息汇总统计!$X$2:$X$500,0)),"")</f>
        <v/>
      </c>
      <c r="P128" s="4" t="str">
        <f>IFERROR(INDEX(样本到样信息汇总统计!P$2:P$500,MATCH(127,样本到样信息汇总统计!$X$2:$X$500,0)),"")</f>
        <v/>
      </c>
      <c r="Q128" s="4" t="str">
        <f>IFERROR(INDEX(样本到样信息汇总统计!Q$2:Q$500,MATCH(127,样本到样信息汇总统计!$X$2:$X$500,0)),"")</f>
        <v/>
      </c>
      <c r="R128" s="4" t="str">
        <f>IFERROR(INDEX(样本到样信息汇总统计!R$2:R$500,MATCH(127,样本到样信息汇总统计!$X$2:$X$500,0)),"")</f>
        <v/>
      </c>
      <c r="S128" s="4" t="str">
        <f>IFERROR(INDEX(样本到样信息汇总统计!S$2:S$500,MATCH(127,样本到样信息汇总统计!$X$2:$X$500,0)),"")</f>
        <v/>
      </c>
      <c r="T128" s="4" t="str">
        <f>IFERROR(INDEX(样本到样信息汇总统计!T$2:T$500,MATCH(127,样本到样信息汇总统计!$X$2:$X$500,0)),"")</f>
        <v/>
      </c>
      <c r="U128" s="4" t="str">
        <f>IFERROR(INDEX(样本到样信息汇总统计!U$2:U$500,MATCH(127,样本到样信息汇总统计!$X$2:$X$500,0)),"")</f>
        <v/>
      </c>
      <c r="V128" s="4" t="str">
        <f>IFERROR(INDEX(样本到样信息汇总统计!V$2:V$500,MATCH(127,样本到样信息汇总统计!$X$2:$X$500,0)),"")</f>
        <v/>
      </c>
      <c r="W128" s="4" t="str">
        <f>IFERROR(INDEX(样本到样信息汇总统计!W$2:W$500,MATCH(127,样本到样信息汇总统计!$X$2:$X$500,0)),"")</f>
        <v/>
      </c>
    </row>
    <row r="129" ht="14.5" spans="1:23">
      <c r="A129" s="8" t="str">
        <f>IFERROR(INDEX(样本到样信息汇总统计!A$2:A$500,MATCH(128,样本到样信息汇总统计!$X$2:$X$500,0)),"")</f>
        <v/>
      </c>
      <c r="B129" s="8" t="str">
        <f>IFERROR(INDEX(样本到样信息汇总统计!B$2:B$500,MATCH(128,样本到样信息汇总统计!$X$2:$X$500,0)),"")</f>
        <v/>
      </c>
      <c r="C129" s="8" t="str">
        <f>IFERROR(INDEX(样本到样信息汇总统计!C$2:C$500,MATCH(128,样本到样信息汇总统计!$X$2:$X$500,0)),"")</f>
        <v/>
      </c>
      <c r="D129" s="8" t="str">
        <f>IFERROR(INDEX(样本到样信息汇总统计!D$2:D$500,MATCH(128,样本到样信息汇总统计!$X$2:$X$500,0)),"")</f>
        <v/>
      </c>
      <c r="E129" s="8" t="str">
        <f>IFERROR(INDEX(样本到样信息汇总统计!E$2:E$500,MATCH(128,样本到样信息汇总统计!$X$2:$X$500,0)),"")</f>
        <v/>
      </c>
      <c r="F129" s="8" t="str">
        <f>IFERROR(INDEX(样本到样信息汇总统计!F$2:F$500,MATCH(128,样本到样信息汇总统计!$X$2:$X$500,0)),"")</f>
        <v/>
      </c>
      <c r="G129" s="8" t="str">
        <f>IFERROR(INDEX(样本到样信息汇总统计!G$2:G$500,MATCH(128,样本到样信息汇总统计!$X$2:$X$500,0)),"")</f>
        <v/>
      </c>
      <c r="H129" s="8" t="str">
        <f>IFERROR(INDEX(样本到样信息汇总统计!H$2:H$500,MATCH(128,样本到样信息汇总统计!$X$2:$X$500,0)),"")</f>
        <v/>
      </c>
      <c r="I129" s="8" t="str">
        <f>IFERROR(INDEX(样本到样信息汇总统计!I$2:I$500,MATCH(128,样本到样信息汇总统计!$X$2:$X$500,0)),"")</f>
        <v/>
      </c>
      <c r="J129" s="8" t="str">
        <f>IFERROR(INDEX(样本到样信息汇总统计!J$2:J$500,MATCH(128,样本到样信息汇总统计!$X$2:$X$500,0)),"")</f>
        <v/>
      </c>
      <c r="K129" s="15" t="str">
        <f>IFERROR(INDEX(样本到样信息汇总统计!K$2:K$500,MATCH(128,样本到样信息汇总统计!$X$2:$X$500,0)),"")</f>
        <v/>
      </c>
      <c r="L129" s="8" t="str">
        <f>IFERROR(INDEX(样本到样信息汇总统计!L$2:L$500,MATCH(128,样本到样信息汇总统计!$X$2:$X$500,0)),"")</f>
        <v/>
      </c>
      <c r="M129" s="8" t="str">
        <f>IFERROR(INDEX(样本到样信息汇总统计!M$2:M$500,MATCH(128,样本到样信息汇总统计!$X$2:$X$500,0)),"")</f>
        <v/>
      </c>
      <c r="N129" s="8" t="str">
        <f>IFERROR(INDEX(样本到样信息汇总统计!N$2:N$500,MATCH(128,样本到样信息汇总统计!$X$2:$X$500,0)),"")</f>
        <v/>
      </c>
      <c r="O129" s="8" t="str">
        <f>IFERROR(INDEX(样本到样信息汇总统计!O$2:O$500,MATCH(128,样本到样信息汇总统计!$X$2:$X$500,0)),"")</f>
        <v/>
      </c>
      <c r="P129" s="8" t="str">
        <f>IFERROR(INDEX(样本到样信息汇总统计!P$2:P$500,MATCH(128,样本到样信息汇总统计!$X$2:$X$500,0)),"")</f>
        <v/>
      </c>
      <c r="Q129" s="8" t="str">
        <f>IFERROR(INDEX(样本到样信息汇总统计!Q$2:Q$500,MATCH(128,样本到样信息汇总统计!$X$2:$X$500,0)),"")</f>
        <v/>
      </c>
      <c r="R129" s="8" t="str">
        <f>IFERROR(INDEX(样本到样信息汇总统计!R$2:R$500,MATCH(128,样本到样信息汇总统计!$X$2:$X$500,0)),"")</f>
        <v/>
      </c>
      <c r="S129" s="8" t="str">
        <f>IFERROR(INDEX(样本到样信息汇总统计!S$2:S$500,MATCH(128,样本到样信息汇总统计!$X$2:$X$500,0)),"")</f>
        <v/>
      </c>
      <c r="T129" s="8" t="str">
        <f>IFERROR(INDEX(样本到样信息汇总统计!T$2:T$500,MATCH(128,样本到样信息汇总统计!$X$2:$X$500,0)),"")</f>
        <v/>
      </c>
      <c r="U129" s="8" t="str">
        <f>IFERROR(INDEX(样本到样信息汇总统计!U$2:U$500,MATCH(128,样本到样信息汇总统计!$X$2:$X$500,0)),"")</f>
        <v/>
      </c>
      <c r="V129" s="8" t="str">
        <f>IFERROR(INDEX(样本到样信息汇总统计!V$2:V$500,MATCH(128,样本到样信息汇总统计!$X$2:$X$500,0)),"")</f>
        <v/>
      </c>
      <c r="W129" s="8" t="str">
        <f>IFERROR(INDEX(样本到样信息汇总统计!W$2:W$500,MATCH(128,样本到样信息汇总统计!$X$2:$X$500,0)),"")</f>
        <v/>
      </c>
    </row>
    <row r="130" ht="14.5" spans="1:23">
      <c r="A130" s="4" t="str">
        <f>IFERROR(INDEX(样本到样信息汇总统计!A$2:A$500,MATCH(129,样本到样信息汇总统计!$X$2:$X$500,0)),"")</f>
        <v/>
      </c>
      <c r="B130" s="4" t="str">
        <f>IFERROR(INDEX(样本到样信息汇总统计!B$2:B$500,MATCH(129,样本到样信息汇总统计!$X$2:$X$500,0)),"")</f>
        <v/>
      </c>
      <c r="C130" s="4" t="str">
        <f>IFERROR(INDEX(样本到样信息汇总统计!C$2:C$500,MATCH(129,样本到样信息汇总统计!$X$2:$X$500,0)),"")</f>
        <v/>
      </c>
      <c r="D130" s="4" t="str">
        <f>IFERROR(INDEX(样本到样信息汇总统计!D$2:D$500,MATCH(129,样本到样信息汇总统计!$X$2:$X$500,0)),"")</f>
        <v/>
      </c>
      <c r="E130" s="4" t="str">
        <f>IFERROR(INDEX(样本到样信息汇总统计!E$2:E$500,MATCH(129,样本到样信息汇总统计!$X$2:$X$500,0)),"")</f>
        <v/>
      </c>
      <c r="F130" s="4" t="str">
        <f>IFERROR(INDEX(样本到样信息汇总统计!F$2:F$500,MATCH(129,样本到样信息汇总统计!$X$2:$X$500,0)),"")</f>
        <v/>
      </c>
      <c r="G130" s="4" t="str">
        <f>IFERROR(INDEX(样本到样信息汇总统计!G$2:G$500,MATCH(129,样本到样信息汇总统计!$X$2:$X$500,0)),"")</f>
        <v/>
      </c>
      <c r="H130" s="4" t="str">
        <f>IFERROR(INDEX(样本到样信息汇总统计!H$2:H$500,MATCH(129,样本到样信息汇总统计!$X$2:$X$500,0)),"")</f>
        <v/>
      </c>
      <c r="I130" s="4" t="str">
        <f>IFERROR(INDEX(样本到样信息汇总统计!I$2:I$500,MATCH(129,样本到样信息汇总统计!$X$2:$X$500,0)),"")</f>
        <v/>
      </c>
      <c r="J130" s="4" t="str">
        <f>IFERROR(INDEX(样本到样信息汇总统计!J$2:J$500,MATCH(129,样本到样信息汇总统计!$X$2:$X$500,0)),"")</f>
        <v/>
      </c>
      <c r="K130" s="14" t="str">
        <f>IFERROR(INDEX(样本到样信息汇总统计!K$2:K$500,MATCH(129,样本到样信息汇总统计!$X$2:$X$500,0)),"")</f>
        <v/>
      </c>
      <c r="L130" s="4" t="str">
        <f>IFERROR(INDEX(样本到样信息汇总统计!L$2:L$500,MATCH(129,样本到样信息汇总统计!$X$2:$X$500,0)),"")</f>
        <v/>
      </c>
      <c r="M130" s="4" t="str">
        <f>IFERROR(INDEX(样本到样信息汇总统计!M$2:M$500,MATCH(129,样本到样信息汇总统计!$X$2:$X$500,0)),"")</f>
        <v/>
      </c>
      <c r="N130" s="4" t="str">
        <f>IFERROR(INDEX(样本到样信息汇总统计!N$2:N$500,MATCH(129,样本到样信息汇总统计!$X$2:$X$500,0)),"")</f>
        <v/>
      </c>
      <c r="O130" s="4" t="str">
        <f>IFERROR(INDEX(样本到样信息汇总统计!O$2:O$500,MATCH(129,样本到样信息汇总统计!$X$2:$X$500,0)),"")</f>
        <v/>
      </c>
      <c r="P130" s="4" t="str">
        <f>IFERROR(INDEX(样本到样信息汇总统计!P$2:P$500,MATCH(129,样本到样信息汇总统计!$X$2:$X$500,0)),"")</f>
        <v/>
      </c>
      <c r="Q130" s="4" t="str">
        <f>IFERROR(INDEX(样本到样信息汇总统计!Q$2:Q$500,MATCH(129,样本到样信息汇总统计!$X$2:$X$500,0)),"")</f>
        <v/>
      </c>
      <c r="R130" s="4" t="str">
        <f>IFERROR(INDEX(样本到样信息汇总统计!R$2:R$500,MATCH(129,样本到样信息汇总统计!$X$2:$X$500,0)),"")</f>
        <v/>
      </c>
      <c r="S130" s="4" t="str">
        <f>IFERROR(INDEX(样本到样信息汇总统计!S$2:S$500,MATCH(129,样本到样信息汇总统计!$X$2:$X$500,0)),"")</f>
        <v/>
      </c>
      <c r="T130" s="4" t="str">
        <f>IFERROR(INDEX(样本到样信息汇总统计!T$2:T$500,MATCH(129,样本到样信息汇总统计!$X$2:$X$500,0)),"")</f>
        <v/>
      </c>
      <c r="U130" s="4" t="str">
        <f>IFERROR(INDEX(样本到样信息汇总统计!U$2:U$500,MATCH(129,样本到样信息汇总统计!$X$2:$X$500,0)),"")</f>
        <v/>
      </c>
      <c r="V130" s="4" t="str">
        <f>IFERROR(INDEX(样本到样信息汇总统计!V$2:V$500,MATCH(129,样本到样信息汇总统计!$X$2:$X$500,0)),"")</f>
        <v/>
      </c>
      <c r="W130" s="4" t="str">
        <f>IFERROR(INDEX(样本到样信息汇总统计!W$2:W$500,MATCH(129,样本到样信息汇总统计!$X$2:$X$500,0)),"")</f>
        <v/>
      </c>
    </row>
    <row r="131" ht="14.5" spans="1:23">
      <c r="A131" s="8" t="str">
        <f>IFERROR(INDEX(样本到样信息汇总统计!A$2:A$500,MATCH(130,样本到样信息汇总统计!$X$2:$X$500,0)),"")</f>
        <v/>
      </c>
      <c r="B131" s="8" t="str">
        <f>IFERROR(INDEX(样本到样信息汇总统计!B$2:B$500,MATCH(130,样本到样信息汇总统计!$X$2:$X$500,0)),"")</f>
        <v/>
      </c>
      <c r="C131" s="8" t="str">
        <f>IFERROR(INDEX(样本到样信息汇总统计!C$2:C$500,MATCH(130,样本到样信息汇总统计!$X$2:$X$500,0)),"")</f>
        <v/>
      </c>
      <c r="D131" s="8" t="str">
        <f>IFERROR(INDEX(样本到样信息汇总统计!D$2:D$500,MATCH(130,样本到样信息汇总统计!$X$2:$X$500,0)),"")</f>
        <v/>
      </c>
      <c r="E131" s="8" t="str">
        <f>IFERROR(INDEX(样本到样信息汇总统计!E$2:E$500,MATCH(130,样本到样信息汇总统计!$X$2:$X$500,0)),"")</f>
        <v/>
      </c>
      <c r="F131" s="8" t="str">
        <f>IFERROR(INDEX(样本到样信息汇总统计!F$2:F$500,MATCH(130,样本到样信息汇总统计!$X$2:$X$500,0)),"")</f>
        <v/>
      </c>
      <c r="G131" s="8" t="str">
        <f>IFERROR(INDEX(样本到样信息汇总统计!G$2:G$500,MATCH(130,样本到样信息汇总统计!$X$2:$X$500,0)),"")</f>
        <v/>
      </c>
      <c r="H131" s="8" t="str">
        <f>IFERROR(INDEX(样本到样信息汇总统计!H$2:H$500,MATCH(130,样本到样信息汇总统计!$X$2:$X$500,0)),"")</f>
        <v/>
      </c>
      <c r="I131" s="8" t="str">
        <f>IFERROR(INDEX(样本到样信息汇总统计!I$2:I$500,MATCH(130,样本到样信息汇总统计!$X$2:$X$500,0)),"")</f>
        <v/>
      </c>
      <c r="J131" s="8" t="str">
        <f>IFERROR(INDEX(样本到样信息汇总统计!J$2:J$500,MATCH(130,样本到样信息汇总统计!$X$2:$X$500,0)),"")</f>
        <v/>
      </c>
      <c r="K131" s="15" t="str">
        <f>IFERROR(INDEX(样本到样信息汇总统计!K$2:K$500,MATCH(130,样本到样信息汇总统计!$X$2:$X$500,0)),"")</f>
        <v/>
      </c>
      <c r="L131" s="8" t="str">
        <f>IFERROR(INDEX(样本到样信息汇总统计!L$2:L$500,MATCH(130,样本到样信息汇总统计!$X$2:$X$500,0)),"")</f>
        <v/>
      </c>
      <c r="M131" s="8" t="str">
        <f>IFERROR(INDEX(样本到样信息汇总统计!M$2:M$500,MATCH(130,样本到样信息汇总统计!$X$2:$X$500,0)),"")</f>
        <v/>
      </c>
      <c r="N131" s="8" t="str">
        <f>IFERROR(INDEX(样本到样信息汇总统计!N$2:N$500,MATCH(130,样本到样信息汇总统计!$X$2:$X$500,0)),"")</f>
        <v/>
      </c>
      <c r="O131" s="8" t="str">
        <f>IFERROR(INDEX(样本到样信息汇总统计!O$2:O$500,MATCH(130,样本到样信息汇总统计!$X$2:$X$500,0)),"")</f>
        <v/>
      </c>
      <c r="P131" s="8" t="str">
        <f>IFERROR(INDEX(样本到样信息汇总统计!P$2:P$500,MATCH(130,样本到样信息汇总统计!$X$2:$X$500,0)),"")</f>
        <v/>
      </c>
      <c r="Q131" s="8" t="str">
        <f>IFERROR(INDEX(样本到样信息汇总统计!Q$2:Q$500,MATCH(130,样本到样信息汇总统计!$X$2:$X$500,0)),"")</f>
        <v/>
      </c>
      <c r="R131" s="8" t="str">
        <f>IFERROR(INDEX(样本到样信息汇总统计!R$2:R$500,MATCH(130,样本到样信息汇总统计!$X$2:$X$500,0)),"")</f>
        <v/>
      </c>
      <c r="S131" s="8" t="str">
        <f>IFERROR(INDEX(样本到样信息汇总统计!S$2:S$500,MATCH(130,样本到样信息汇总统计!$X$2:$X$500,0)),"")</f>
        <v/>
      </c>
      <c r="T131" s="8" t="str">
        <f>IFERROR(INDEX(样本到样信息汇总统计!T$2:T$500,MATCH(130,样本到样信息汇总统计!$X$2:$X$500,0)),"")</f>
        <v/>
      </c>
      <c r="U131" s="8" t="str">
        <f>IFERROR(INDEX(样本到样信息汇总统计!U$2:U$500,MATCH(130,样本到样信息汇总统计!$X$2:$X$500,0)),"")</f>
        <v/>
      </c>
      <c r="V131" s="8" t="str">
        <f>IFERROR(INDEX(样本到样信息汇总统计!V$2:V$500,MATCH(130,样本到样信息汇总统计!$X$2:$X$500,0)),"")</f>
        <v/>
      </c>
      <c r="W131" s="8" t="str">
        <f>IFERROR(INDEX(样本到样信息汇总统计!W$2:W$500,MATCH(130,样本到样信息汇总统计!$X$2:$X$500,0)),"")</f>
        <v/>
      </c>
    </row>
    <row r="132" ht="14.5" spans="1:23">
      <c r="A132" s="4" t="str">
        <f>IFERROR(INDEX(样本到样信息汇总统计!A$2:A$500,MATCH(131,样本到样信息汇总统计!$X$2:$X$500,0)),"")</f>
        <v/>
      </c>
      <c r="B132" s="4" t="str">
        <f>IFERROR(INDEX(样本到样信息汇总统计!B$2:B$500,MATCH(131,样本到样信息汇总统计!$X$2:$X$500,0)),"")</f>
        <v/>
      </c>
      <c r="C132" s="4" t="str">
        <f>IFERROR(INDEX(样本到样信息汇总统计!C$2:C$500,MATCH(131,样本到样信息汇总统计!$X$2:$X$500,0)),"")</f>
        <v/>
      </c>
      <c r="D132" s="4" t="str">
        <f>IFERROR(INDEX(样本到样信息汇总统计!D$2:D$500,MATCH(131,样本到样信息汇总统计!$X$2:$X$500,0)),"")</f>
        <v/>
      </c>
      <c r="E132" s="4" t="str">
        <f>IFERROR(INDEX(样本到样信息汇总统计!E$2:E$500,MATCH(131,样本到样信息汇总统计!$X$2:$X$500,0)),"")</f>
        <v/>
      </c>
      <c r="F132" s="4" t="str">
        <f>IFERROR(INDEX(样本到样信息汇总统计!F$2:F$500,MATCH(131,样本到样信息汇总统计!$X$2:$X$500,0)),"")</f>
        <v/>
      </c>
      <c r="G132" s="4" t="str">
        <f>IFERROR(INDEX(样本到样信息汇总统计!G$2:G$500,MATCH(131,样本到样信息汇总统计!$X$2:$X$500,0)),"")</f>
        <v/>
      </c>
      <c r="H132" s="4" t="str">
        <f>IFERROR(INDEX(样本到样信息汇总统计!H$2:H$500,MATCH(131,样本到样信息汇总统计!$X$2:$X$500,0)),"")</f>
        <v/>
      </c>
      <c r="I132" s="4" t="str">
        <f>IFERROR(INDEX(样本到样信息汇总统计!I$2:I$500,MATCH(131,样本到样信息汇总统计!$X$2:$X$500,0)),"")</f>
        <v/>
      </c>
      <c r="J132" s="4" t="str">
        <f>IFERROR(INDEX(样本到样信息汇总统计!J$2:J$500,MATCH(131,样本到样信息汇总统计!$X$2:$X$500,0)),"")</f>
        <v/>
      </c>
      <c r="K132" s="14" t="str">
        <f>IFERROR(INDEX(样本到样信息汇总统计!K$2:K$500,MATCH(131,样本到样信息汇总统计!$X$2:$X$500,0)),"")</f>
        <v/>
      </c>
      <c r="L132" s="4" t="str">
        <f>IFERROR(INDEX(样本到样信息汇总统计!L$2:L$500,MATCH(131,样本到样信息汇总统计!$X$2:$X$500,0)),"")</f>
        <v/>
      </c>
      <c r="M132" s="4" t="str">
        <f>IFERROR(INDEX(样本到样信息汇总统计!M$2:M$500,MATCH(131,样本到样信息汇总统计!$X$2:$X$500,0)),"")</f>
        <v/>
      </c>
      <c r="N132" s="4" t="str">
        <f>IFERROR(INDEX(样本到样信息汇总统计!N$2:N$500,MATCH(131,样本到样信息汇总统计!$X$2:$X$500,0)),"")</f>
        <v/>
      </c>
      <c r="O132" s="4" t="str">
        <f>IFERROR(INDEX(样本到样信息汇总统计!O$2:O$500,MATCH(131,样本到样信息汇总统计!$X$2:$X$500,0)),"")</f>
        <v/>
      </c>
      <c r="P132" s="4" t="str">
        <f>IFERROR(INDEX(样本到样信息汇总统计!P$2:P$500,MATCH(131,样本到样信息汇总统计!$X$2:$X$500,0)),"")</f>
        <v/>
      </c>
      <c r="Q132" s="4" t="str">
        <f>IFERROR(INDEX(样本到样信息汇总统计!Q$2:Q$500,MATCH(131,样本到样信息汇总统计!$X$2:$X$500,0)),"")</f>
        <v/>
      </c>
      <c r="R132" s="4" t="str">
        <f>IFERROR(INDEX(样本到样信息汇总统计!R$2:R$500,MATCH(131,样本到样信息汇总统计!$X$2:$X$500,0)),"")</f>
        <v/>
      </c>
      <c r="S132" s="4" t="str">
        <f>IFERROR(INDEX(样本到样信息汇总统计!S$2:S$500,MATCH(131,样本到样信息汇总统计!$X$2:$X$500,0)),"")</f>
        <v/>
      </c>
      <c r="T132" s="4" t="str">
        <f>IFERROR(INDEX(样本到样信息汇总统计!T$2:T$500,MATCH(131,样本到样信息汇总统计!$X$2:$X$500,0)),"")</f>
        <v/>
      </c>
      <c r="U132" s="4" t="str">
        <f>IFERROR(INDEX(样本到样信息汇总统计!U$2:U$500,MATCH(131,样本到样信息汇总统计!$X$2:$X$500,0)),"")</f>
        <v/>
      </c>
      <c r="V132" s="4" t="str">
        <f>IFERROR(INDEX(样本到样信息汇总统计!V$2:V$500,MATCH(131,样本到样信息汇总统计!$X$2:$X$500,0)),"")</f>
        <v/>
      </c>
      <c r="W132" s="4" t="str">
        <f>IFERROR(INDEX(样本到样信息汇总统计!W$2:W$500,MATCH(131,样本到样信息汇总统计!$X$2:$X$500,0)),"")</f>
        <v/>
      </c>
    </row>
    <row r="133" ht="14.5" spans="1:23">
      <c r="A133" s="8" t="str">
        <f>IFERROR(INDEX(样本到样信息汇总统计!A$2:A$500,MATCH(132,样本到样信息汇总统计!$X$2:$X$500,0)),"")</f>
        <v/>
      </c>
      <c r="B133" s="8" t="str">
        <f>IFERROR(INDEX(样本到样信息汇总统计!B$2:B$500,MATCH(132,样本到样信息汇总统计!$X$2:$X$500,0)),"")</f>
        <v/>
      </c>
      <c r="C133" s="8" t="str">
        <f>IFERROR(INDEX(样本到样信息汇总统计!C$2:C$500,MATCH(132,样本到样信息汇总统计!$X$2:$X$500,0)),"")</f>
        <v/>
      </c>
      <c r="D133" s="8" t="str">
        <f>IFERROR(INDEX(样本到样信息汇总统计!D$2:D$500,MATCH(132,样本到样信息汇总统计!$X$2:$X$500,0)),"")</f>
        <v/>
      </c>
      <c r="E133" s="8" t="str">
        <f>IFERROR(INDEX(样本到样信息汇总统计!E$2:E$500,MATCH(132,样本到样信息汇总统计!$X$2:$X$500,0)),"")</f>
        <v/>
      </c>
      <c r="F133" s="8" t="str">
        <f>IFERROR(INDEX(样本到样信息汇总统计!F$2:F$500,MATCH(132,样本到样信息汇总统计!$X$2:$X$500,0)),"")</f>
        <v/>
      </c>
      <c r="G133" s="8" t="str">
        <f>IFERROR(INDEX(样本到样信息汇总统计!G$2:G$500,MATCH(132,样本到样信息汇总统计!$X$2:$X$500,0)),"")</f>
        <v/>
      </c>
      <c r="H133" s="8" t="str">
        <f>IFERROR(INDEX(样本到样信息汇总统计!H$2:H$500,MATCH(132,样本到样信息汇总统计!$X$2:$X$500,0)),"")</f>
        <v/>
      </c>
      <c r="I133" s="8" t="str">
        <f>IFERROR(INDEX(样本到样信息汇总统计!I$2:I$500,MATCH(132,样本到样信息汇总统计!$X$2:$X$500,0)),"")</f>
        <v/>
      </c>
      <c r="J133" s="8" t="str">
        <f>IFERROR(INDEX(样本到样信息汇总统计!J$2:J$500,MATCH(132,样本到样信息汇总统计!$X$2:$X$500,0)),"")</f>
        <v/>
      </c>
      <c r="K133" s="15" t="str">
        <f>IFERROR(INDEX(样本到样信息汇总统计!K$2:K$500,MATCH(132,样本到样信息汇总统计!$X$2:$X$500,0)),"")</f>
        <v/>
      </c>
      <c r="L133" s="8" t="str">
        <f>IFERROR(INDEX(样本到样信息汇总统计!L$2:L$500,MATCH(132,样本到样信息汇总统计!$X$2:$X$500,0)),"")</f>
        <v/>
      </c>
      <c r="M133" s="8" t="str">
        <f>IFERROR(INDEX(样本到样信息汇总统计!M$2:M$500,MATCH(132,样本到样信息汇总统计!$X$2:$X$500,0)),"")</f>
        <v/>
      </c>
      <c r="N133" s="8" t="str">
        <f>IFERROR(INDEX(样本到样信息汇总统计!N$2:N$500,MATCH(132,样本到样信息汇总统计!$X$2:$X$500,0)),"")</f>
        <v/>
      </c>
      <c r="O133" s="8" t="str">
        <f>IFERROR(INDEX(样本到样信息汇总统计!O$2:O$500,MATCH(132,样本到样信息汇总统计!$X$2:$X$500,0)),"")</f>
        <v/>
      </c>
      <c r="P133" s="8" t="str">
        <f>IFERROR(INDEX(样本到样信息汇总统计!P$2:P$500,MATCH(132,样本到样信息汇总统计!$X$2:$X$500,0)),"")</f>
        <v/>
      </c>
      <c r="Q133" s="8" t="str">
        <f>IFERROR(INDEX(样本到样信息汇总统计!Q$2:Q$500,MATCH(132,样本到样信息汇总统计!$X$2:$X$500,0)),"")</f>
        <v/>
      </c>
      <c r="R133" s="8" t="str">
        <f>IFERROR(INDEX(样本到样信息汇总统计!R$2:R$500,MATCH(132,样本到样信息汇总统计!$X$2:$X$500,0)),"")</f>
        <v/>
      </c>
      <c r="S133" s="8" t="str">
        <f>IFERROR(INDEX(样本到样信息汇总统计!S$2:S$500,MATCH(132,样本到样信息汇总统计!$X$2:$X$500,0)),"")</f>
        <v/>
      </c>
      <c r="T133" s="8" t="str">
        <f>IFERROR(INDEX(样本到样信息汇总统计!T$2:T$500,MATCH(132,样本到样信息汇总统计!$X$2:$X$500,0)),"")</f>
        <v/>
      </c>
      <c r="U133" s="8" t="str">
        <f>IFERROR(INDEX(样本到样信息汇总统计!U$2:U$500,MATCH(132,样本到样信息汇总统计!$X$2:$X$500,0)),"")</f>
        <v/>
      </c>
      <c r="V133" s="8" t="str">
        <f>IFERROR(INDEX(样本到样信息汇总统计!V$2:V$500,MATCH(132,样本到样信息汇总统计!$X$2:$X$500,0)),"")</f>
        <v/>
      </c>
      <c r="W133" s="8" t="str">
        <f>IFERROR(INDEX(样本到样信息汇总统计!W$2:W$500,MATCH(132,样本到样信息汇总统计!$X$2:$X$500,0)),"")</f>
        <v/>
      </c>
    </row>
    <row r="134" ht="14.5" spans="1:23">
      <c r="A134" s="4" t="str">
        <f>IFERROR(INDEX(样本到样信息汇总统计!A$2:A$500,MATCH(133,样本到样信息汇总统计!$X$2:$X$500,0)),"")</f>
        <v/>
      </c>
      <c r="B134" s="4" t="str">
        <f>IFERROR(INDEX(样本到样信息汇总统计!B$2:B$500,MATCH(133,样本到样信息汇总统计!$X$2:$X$500,0)),"")</f>
        <v/>
      </c>
      <c r="C134" s="4" t="str">
        <f>IFERROR(INDEX(样本到样信息汇总统计!C$2:C$500,MATCH(133,样本到样信息汇总统计!$X$2:$X$500,0)),"")</f>
        <v/>
      </c>
      <c r="D134" s="4" t="str">
        <f>IFERROR(INDEX(样本到样信息汇总统计!D$2:D$500,MATCH(133,样本到样信息汇总统计!$X$2:$X$500,0)),"")</f>
        <v/>
      </c>
      <c r="E134" s="4" t="str">
        <f>IFERROR(INDEX(样本到样信息汇总统计!E$2:E$500,MATCH(133,样本到样信息汇总统计!$X$2:$X$500,0)),"")</f>
        <v/>
      </c>
      <c r="F134" s="4" t="str">
        <f>IFERROR(INDEX(样本到样信息汇总统计!F$2:F$500,MATCH(133,样本到样信息汇总统计!$X$2:$X$500,0)),"")</f>
        <v/>
      </c>
      <c r="G134" s="4" t="str">
        <f>IFERROR(INDEX(样本到样信息汇总统计!G$2:G$500,MATCH(133,样本到样信息汇总统计!$X$2:$X$500,0)),"")</f>
        <v/>
      </c>
      <c r="H134" s="4" t="str">
        <f>IFERROR(INDEX(样本到样信息汇总统计!H$2:H$500,MATCH(133,样本到样信息汇总统计!$X$2:$X$500,0)),"")</f>
        <v/>
      </c>
      <c r="I134" s="4" t="str">
        <f>IFERROR(INDEX(样本到样信息汇总统计!I$2:I$500,MATCH(133,样本到样信息汇总统计!$X$2:$X$500,0)),"")</f>
        <v/>
      </c>
      <c r="J134" s="4" t="str">
        <f>IFERROR(INDEX(样本到样信息汇总统计!J$2:J$500,MATCH(133,样本到样信息汇总统计!$X$2:$X$500,0)),"")</f>
        <v/>
      </c>
      <c r="K134" s="14" t="str">
        <f>IFERROR(INDEX(样本到样信息汇总统计!K$2:K$500,MATCH(133,样本到样信息汇总统计!$X$2:$X$500,0)),"")</f>
        <v/>
      </c>
      <c r="L134" s="4" t="str">
        <f>IFERROR(INDEX(样本到样信息汇总统计!L$2:L$500,MATCH(133,样本到样信息汇总统计!$X$2:$X$500,0)),"")</f>
        <v/>
      </c>
      <c r="M134" s="4" t="str">
        <f>IFERROR(INDEX(样本到样信息汇总统计!M$2:M$500,MATCH(133,样本到样信息汇总统计!$X$2:$X$500,0)),"")</f>
        <v/>
      </c>
      <c r="N134" s="4" t="str">
        <f>IFERROR(INDEX(样本到样信息汇总统计!N$2:N$500,MATCH(133,样本到样信息汇总统计!$X$2:$X$500,0)),"")</f>
        <v/>
      </c>
      <c r="O134" s="4" t="str">
        <f>IFERROR(INDEX(样本到样信息汇总统计!O$2:O$500,MATCH(133,样本到样信息汇总统计!$X$2:$X$500,0)),"")</f>
        <v/>
      </c>
      <c r="P134" s="4" t="str">
        <f>IFERROR(INDEX(样本到样信息汇总统计!P$2:P$500,MATCH(133,样本到样信息汇总统计!$X$2:$X$500,0)),"")</f>
        <v/>
      </c>
      <c r="Q134" s="4" t="str">
        <f>IFERROR(INDEX(样本到样信息汇总统计!Q$2:Q$500,MATCH(133,样本到样信息汇总统计!$X$2:$X$500,0)),"")</f>
        <v/>
      </c>
      <c r="R134" s="4" t="str">
        <f>IFERROR(INDEX(样本到样信息汇总统计!R$2:R$500,MATCH(133,样本到样信息汇总统计!$X$2:$X$500,0)),"")</f>
        <v/>
      </c>
      <c r="S134" s="4" t="str">
        <f>IFERROR(INDEX(样本到样信息汇总统计!S$2:S$500,MATCH(133,样本到样信息汇总统计!$X$2:$X$500,0)),"")</f>
        <v/>
      </c>
      <c r="T134" s="4" t="str">
        <f>IFERROR(INDEX(样本到样信息汇总统计!T$2:T$500,MATCH(133,样本到样信息汇总统计!$X$2:$X$500,0)),"")</f>
        <v/>
      </c>
      <c r="U134" s="4" t="str">
        <f>IFERROR(INDEX(样本到样信息汇总统计!U$2:U$500,MATCH(133,样本到样信息汇总统计!$X$2:$X$500,0)),"")</f>
        <v/>
      </c>
      <c r="V134" s="4" t="str">
        <f>IFERROR(INDEX(样本到样信息汇总统计!V$2:V$500,MATCH(133,样本到样信息汇总统计!$X$2:$X$500,0)),"")</f>
        <v/>
      </c>
      <c r="W134" s="4" t="str">
        <f>IFERROR(INDEX(样本到样信息汇总统计!W$2:W$500,MATCH(133,样本到样信息汇总统计!$X$2:$X$500,0)),"")</f>
        <v/>
      </c>
    </row>
    <row r="135" ht="14.5" spans="1:23">
      <c r="A135" s="8" t="str">
        <f>IFERROR(INDEX(样本到样信息汇总统计!A$2:A$500,MATCH(134,样本到样信息汇总统计!$X$2:$X$500,0)),"")</f>
        <v/>
      </c>
      <c r="B135" s="8" t="str">
        <f>IFERROR(INDEX(样本到样信息汇总统计!B$2:B$500,MATCH(134,样本到样信息汇总统计!$X$2:$X$500,0)),"")</f>
        <v/>
      </c>
      <c r="C135" s="8" t="str">
        <f>IFERROR(INDEX(样本到样信息汇总统计!C$2:C$500,MATCH(134,样本到样信息汇总统计!$X$2:$X$500,0)),"")</f>
        <v/>
      </c>
      <c r="D135" s="8" t="str">
        <f>IFERROR(INDEX(样本到样信息汇总统计!D$2:D$500,MATCH(134,样本到样信息汇总统计!$X$2:$X$500,0)),"")</f>
        <v/>
      </c>
      <c r="E135" s="8" t="str">
        <f>IFERROR(INDEX(样本到样信息汇总统计!E$2:E$500,MATCH(134,样本到样信息汇总统计!$X$2:$X$500,0)),"")</f>
        <v/>
      </c>
      <c r="F135" s="8" t="str">
        <f>IFERROR(INDEX(样本到样信息汇总统计!F$2:F$500,MATCH(134,样本到样信息汇总统计!$X$2:$X$500,0)),"")</f>
        <v/>
      </c>
      <c r="G135" s="8" t="str">
        <f>IFERROR(INDEX(样本到样信息汇总统计!G$2:G$500,MATCH(134,样本到样信息汇总统计!$X$2:$X$500,0)),"")</f>
        <v/>
      </c>
      <c r="H135" s="8" t="str">
        <f>IFERROR(INDEX(样本到样信息汇总统计!H$2:H$500,MATCH(134,样本到样信息汇总统计!$X$2:$X$500,0)),"")</f>
        <v/>
      </c>
      <c r="I135" s="8" t="str">
        <f>IFERROR(INDEX(样本到样信息汇总统计!I$2:I$500,MATCH(134,样本到样信息汇总统计!$X$2:$X$500,0)),"")</f>
        <v/>
      </c>
      <c r="J135" s="8" t="str">
        <f>IFERROR(INDEX(样本到样信息汇总统计!J$2:J$500,MATCH(134,样本到样信息汇总统计!$X$2:$X$500,0)),"")</f>
        <v/>
      </c>
      <c r="K135" s="15" t="str">
        <f>IFERROR(INDEX(样本到样信息汇总统计!K$2:K$500,MATCH(134,样本到样信息汇总统计!$X$2:$X$500,0)),"")</f>
        <v/>
      </c>
      <c r="L135" s="8" t="str">
        <f>IFERROR(INDEX(样本到样信息汇总统计!L$2:L$500,MATCH(134,样本到样信息汇总统计!$X$2:$X$500,0)),"")</f>
        <v/>
      </c>
      <c r="M135" s="8" t="str">
        <f>IFERROR(INDEX(样本到样信息汇总统计!M$2:M$500,MATCH(134,样本到样信息汇总统计!$X$2:$X$500,0)),"")</f>
        <v/>
      </c>
      <c r="N135" s="8" t="str">
        <f>IFERROR(INDEX(样本到样信息汇总统计!N$2:N$500,MATCH(134,样本到样信息汇总统计!$X$2:$X$500,0)),"")</f>
        <v/>
      </c>
      <c r="O135" s="8" t="str">
        <f>IFERROR(INDEX(样本到样信息汇总统计!O$2:O$500,MATCH(134,样本到样信息汇总统计!$X$2:$X$500,0)),"")</f>
        <v/>
      </c>
      <c r="P135" s="8" t="str">
        <f>IFERROR(INDEX(样本到样信息汇总统计!P$2:P$500,MATCH(134,样本到样信息汇总统计!$X$2:$X$500,0)),"")</f>
        <v/>
      </c>
      <c r="Q135" s="8" t="str">
        <f>IFERROR(INDEX(样本到样信息汇总统计!Q$2:Q$500,MATCH(134,样本到样信息汇总统计!$X$2:$X$500,0)),"")</f>
        <v/>
      </c>
      <c r="R135" s="8" t="str">
        <f>IFERROR(INDEX(样本到样信息汇总统计!R$2:R$500,MATCH(134,样本到样信息汇总统计!$X$2:$X$500,0)),"")</f>
        <v/>
      </c>
      <c r="S135" s="8" t="str">
        <f>IFERROR(INDEX(样本到样信息汇总统计!S$2:S$500,MATCH(134,样本到样信息汇总统计!$X$2:$X$500,0)),"")</f>
        <v/>
      </c>
      <c r="T135" s="8" t="str">
        <f>IFERROR(INDEX(样本到样信息汇总统计!T$2:T$500,MATCH(134,样本到样信息汇总统计!$X$2:$X$500,0)),"")</f>
        <v/>
      </c>
      <c r="U135" s="8" t="str">
        <f>IFERROR(INDEX(样本到样信息汇总统计!U$2:U$500,MATCH(134,样本到样信息汇总统计!$X$2:$X$500,0)),"")</f>
        <v/>
      </c>
      <c r="V135" s="8" t="str">
        <f>IFERROR(INDEX(样本到样信息汇总统计!V$2:V$500,MATCH(134,样本到样信息汇总统计!$X$2:$X$500,0)),"")</f>
        <v/>
      </c>
      <c r="W135" s="8" t="str">
        <f>IFERROR(INDEX(样本到样信息汇总统计!W$2:W$500,MATCH(134,样本到样信息汇总统计!$X$2:$X$500,0)),"")</f>
        <v/>
      </c>
    </row>
    <row r="136" ht="14.5" spans="1:23">
      <c r="A136" s="4" t="str">
        <f>IFERROR(INDEX(样本到样信息汇总统计!A$2:A$500,MATCH(135,样本到样信息汇总统计!$X$2:$X$500,0)),"")</f>
        <v/>
      </c>
      <c r="B136" s="4" t="str">
        <f>IFERROR(INDEX(样本到样信息汇总统计!B$2:B$500,MATCH(135,样本到样信息汇总统计!$X$2:$X$500,0)),"")</f>
        <v/>
      </c>
      <c r="C136" s="4" t="str">
        <f>IFERROR(INDEX(样本到样信息汇总统计!C$2:C$500,MATCH(135,样本到样信息汇总统计!$X$2:$X$500,0)),"")</f>
        <v/>
      </c>
      <c r="D136" s="4" t="str">
        <f>IFERROR(INDEX(样本到样信息汇总统计!D$2:D$500,MATCH(135,样本到样信息汇总统计!$X$2:$X$500,0)),"")</f>
        <v/>
      </c>
      <c r="E136" s="4" t="str">
        <f>IFERROR(INDEX(样本到样信息汇总统计!E$2:E$500,MATCH(135,样本到样信息汇总统计!$X$2:$X$500,0)),"")</f>
        <v/>
      </c>
      <c r="F136" s="4" t="str">
        <f>IFERROR(INDEX(样本到样信息汇总统计!F$2:F$500,MATCH(135,样本到样信息汇总统计!$X$2:$X$500,0)),"")</f>
        <v/>
      </c>
      <c r="G136" s="4" t="str">
        <f>IFERROR(INDEX(样本到样信息汇总统计!G$2:G$500,MATCH(135,样本到样信息汇总统计!$X$2:$X$500,0)),"")</f>
        <v/>
      </c>
      <c r="H136" s="4" t="str">
        <f>IFERROR(INDEX(样本到样信息汇总统计!H$2:H$500,MATCH(135,样本到样信息汇总统计!$X$2:$X$500,0)),"")</f>
        <v/>
      </c>
      <c r="I136" s="4" t="str">
        <f>IFERROR(INDEX(样本到样信息汇总统计!I$2:I$500,MATCH(135,样本到样信息汇总统计!$X$2:$X$500,0)),"")</f>
        <v/>
      </c>
      <c r="J136" s="4" t="str">
        <f>IFERROR(INDEX(样本到样信息汇总统计!J$2:J$500,MATCH(135,样本到样信息汇总统计!$X$2:$X$500,0)),"")</f>
        <v/>
      </c>
      <c r="K136" s="14" t="str">
        <f>IFERROR(INDEX(样本到样信息汇总统计!K$2:K$500,MATCH(135,样本到样信息汇总统计!$X$2:$X$500,0)),"")</f>
        <v/>
      </c>
      <c r="L136" s="4" t="str">
        <f>IFERROR(INDEX(样本到样信息汇总统计!L$2:L$500,MATCH(135,样本到样信息汇总统计!$X$2:$X$500,0)),"")</f>
        <v/>
      </c>
      <c r="M136" s="4" t="str">
        <f>IFERROR(INDEX(样本到样信息汇总统计!M$2:M$500,MATCH(135,样本到样信息汇总统计!$X$2:$X$500,0)),"")</f>
        <v/>
      </c>
      <c r="N136" s="4" t="str">
        <f>IFERROR(INDEX(样本到样信息汇总统计!N$2:N$500,MATCH(135,样本到样信息汇总统计!$X$2:$X$500,0)),"")</f>
        <v/>
      </c>
      <c r="O136" s="4" t="str">
        <f>IFERROR(INDEX(样本到样信息汇总统计!O$2:O$500,MATCH(135,样本到样信息汇总统计!$X$2:$X$500,0)),"")</f>
        <v/>
      </c>
      <c r="P136" s="4" t="str">
        <f>IFERROR(INDEX(样本到样信息汇总统计!P$2:P$500,MATCH(135,样本到样信息汇总统计!$X$2:$X$500,0)),"")</f>
        <v/>
      </c>
      <c r="Q136" s="4" t="str">
        <f>IFERROR(INDEX(样本到样信息汇总统计!Q$2:Q$500,MATCH(135,样本到样信息汇总统计!$X$2:$X$500,0)),"")</f>
        <v/>
      </c>
      <c r="R136" s="4" t="str">
        <f>IFERROR(INDEX(样本到样信息汇总统计!R$2:R$500,MATCH(135,样本到样信息汇总统计!$X$2:$X$500,0)),"")</f>
        <v/>
      </c>
      <c r="S136" s="4" t="str">
        <f>IFERROR(INDEX(样本到样信息汇总统计!S$2:S$500,MATCH(135,样本到样信息汇总统计!$X$2:$X$500,0)),"")</f>
        <v/>
      </c>
      <c r="T136" s="4" t="str">
        <f>IFERROR(INDEX(样本到样信息汇总统计!T$2:T$500,MATCH(135,样本到样信息汇总统计!$X$2:$X$500,0)),"")</f>
        <v/>
      </c>
      <c r="U136" s="4" t="str">
        <f>IFERROR(INDEX(样本到样信息汇总统计!U$2:U$500,MATCH(135,样本到样信息汇总统计!$X$2:$X$500,0)),"")</f>
        <v/>
      </c>
      <c r="V136" s="4" t="str">
        <f>IFERROR(INDEX(样本到样信息汇总统计!V$2:V$500,MATCH(135,样本到样信息汇总统计!$X$2:$X$500,0)),"")</f>
        <v/>
      </c>
      <c r="W136" s="4" t="str">
        <f>IFERROR(INDEX(样本到样信息汇总统计!W$2:W$500,MATCH(135,样本到样信息汇总统计!$X$2:$X$500,0)),"")</f>
        <v/>
      </c>
    </row>
    <row r="137" ht="14.5" spans="1:23">
      <c r="A137" s="8" t="str">
        <f>IFERROR(INDEX(样本到样信息汇总统计!A$2:A$500,MATCH(136,样本到样信息汇总统计!$X$2:$X$500,0)),"")</f>
        <v/>
      </c>
      <c r="B137" s="8" t="str">
        <f>IFERROR(INDEX(样本到样信息汇总统计!B$2:B$500,MATCH(136,样本到样信息汇总统计!$X$2:$X$500,0)),"")</f>
        <v/>
      </c>
      <c r="C137" s="8" t="str">
        <f>IFERROR(INDEX(样本到样信息汇总统计!C$2:C$500,MATCH(136,样本到样信息汇总统计!$X$2:$X$500,0)),"")</f>
        <v/>
      </c>
      <c r="D137" s="8" t="str">
        <f>IFERROR(INDEX(样本到样信息汇总统计!D$2:D$500,MATCH(136,样本到样信息汇总统计!$X$2:$X$500,0)),"")</f>
        <v/>
      </c>
      <c r="E137" s="8" t="str">
        <f>IFERROR(INDEX(样本到样信息汇总统计!E$2:E$500,MATCH(136,样本到样信息汇总统计!$X$2:$X$500,0)),"")</f>
        <v/>
      </c>
      <c r="F137" s="8" t="str">
        <f>IFERROR(INDEX(样本到样信息汇总统计!F$2:F$500,MATCH(136,样本到样信息汇总统计!$X$2:$X$500,0)),"")</f>
        <v/>
      </c>
      <c r="G137" s="8" t="str">
        <f>IFERROR(INDEX(样本到样信息汇总统计!G$2:G$500,MATCH(136,样本到样信息汇总统计!$X$2:$X$500,0)),"")</f>
        <v/>
      </c>
      <c r="H137" s="8" t="str">
        <f>IFERROR(INDEX(样本到样信息汇总统计!H$2:H$500,MATCH(136,样本到样信息汇总统计!$X$2:$X$500,0)),"")</f>
        <v/>
      </c>
      <c r="I137" s="8" t="str">
        <f>IFERROR(INDEX(样本到样信息汇总统计!I$2:I$500,MATCH(136,样本到样信息汇总统计!$X$2:$X$500,0)),"")</f>
        <v/>
      </c>
      <c r="J137" s="8" t="str">
        <f>IFERROR(INDEX(样本到样信息汇总统计!J$2:J$500,MATCH(136,样本到样信息汇总统计!$X$2:$X$500,0)),"")</f>
        <v/>
      </c>
      <c r="K137" s="15" t="str">
        <f>IFERROR(INDEX(样本到样信息汇总统计!K$2:K$500,MATCH(136,样本到样信息汇总统计!$X$2:$X$500,0)),"")</f>
        <v/>
      </c>
      <c r="L137" s="8" t="str">
        <f>IFERROR(INDEX(样本到样信息汇总统计!L$2:L$500,MATCH(136,样本到样信息汇总统计!$X$2:$X$500,0)),"")</f>
        <v/>
      </c>
      <c r="M137" s="8" t="str">
        <f>IFERROR(INDEX(样本到样信息汇总统计!M$2:M$500,MATCH(136,样本到样信息汇总统计!$X$2:$X$500,0)),"")</f>
        <v/>
      </c>
      <c r="N137" s="8" t="str">
        <f>IFERROR(INDEX(样本到样信息汇总统计!N$2:N$500,MATCH(136,样本到样信息汇总统计!$X$2:$X$500,0)),"")</f>
        <v/>
      </c>
      <c r="O137" s="8" t="str">
        <f>IFERROR(INDEX(样本到样信息汇总统计!O$2:O$500,MATCH(136,样本到样信息汇总统计!$X$2:$X$500,0)),"")</f>
        <v/>
      </c>
      <c r="P137" s="8" t="str">
        <f>IFERROR(INDEX(样本到样信息汇总统计!P$2:P$500,MATCH(136,样本到样信息汇总统计!$X$2:$X$500,0)),"")</f>
        <v/>
      </c>
      <c r="Q137" s="8" t="str">
        <f>IFERROR(INDEX(样本到样信息汇总统计!Q$2:Q$500,MATCH(136,样本到样信息汇总统计!$X$2:$X$500,0)),"")</f>
        <v/>
      </c>
      <c r="R137" s="8" t="str">
        <f>IFERROR(INDEX(样本到样信息汇总统计!R$2:R$500,MATCH(136,样本到样信息汇总统计!$X$2:$X$500,0)),"")</f>
        <v/>
      </c>
      <c r="S137" s="8" t="str">
        <f>IFERROR(INDEX(样本到样信息汇总统计!S$2:S$500,MATCH(136,样本到样信息汇总统计!$X$2:$X$500,0)),"")</f>
        <v/>
      </c>
      <c r="T137" s="8" t="str">
        <f>IFERROR(INDEX(样本到样信息汇总统计!T$2:T$500,MATCH(136,样本到样信息汇总统计!$X$2:$X$500,0)),"")</f>
        <v/>
      </c>
      <c r="U137" s="8" t="str">
        <f>IFERROR(INDEX(样本到样信息汇总统计!U$2:U$500,MATCH(136,样本到样信息汇总统计!$X$2:$X$500,0)),"")</f>
        <v/>
      </c>
      <c r="V137" s="8" t="str">
        <f>IFERROR(INDEX(样本到样信息汇总统计!V$2:V$500,MATCH(136,样本到样信息汇总统计!$X$2:$X$500,0)),"")</f>
        <v/>
      </c>
      <c r="W137" s="8" t="str">
        <f>IFERROR(INDEX(样本到样信息汇总统计!W$2:W$500,MATCH(136,样本到样信息汇总统计!$X$2:$X$500,0)),"")</f>
        <v/>
      </c>
    </row>
    <row r="138" ht="14.5" spans="1:23">
      <c r="A138" s="4" t="str">
        <f>IFERROR(INDEX(样本到样信息汇总统计!A$2:A$500,MATCH(137,样本到样信息汇总统计!$X$2:$X$500,0)),"")</f>
        <v/>
      </c>
      <c r="B138" s="4" t="str">
        <f>IFERROR(INDEX(样本到样信息汇总统计!B$2:B$500,MATCH(137,样本到样信息汇总统计!$X$2:$X$500,0)),"")</f>
        <v/>
      </c>
      <c r="C138" s="4" t="str">
        <f>IFERROR(INDEX(样本到样信息汇总统计!C$2:C$500,MATCH(137,样本到样信息汇总统计!$X$2:$X$500,0)),"")</f>
        <v/>
      </c>
      <c r="D138" s="4" t="str">
        <f>IFERROR(INDEX(样本到样信息汇总统计!D$2:D$500,MATCH(137,样本到样信息汇总统计!$X$2:$X$500,0)),"")</f>
        <v/>
      </c>
      <c r="E138" s="4" t="str">
        <f>IFERROR(INDEX(样本到样信息汇总统计!E$2:E$500,MATCH(137,样本到样信息汇总统计!$X$2:$X$500,0)),"")</f>
        <v/>
      </c>
      <c r="F138" s="4" t="str">
        <f>IFERROR(INDEX(样本到样信息汇总统计!F$2:F$500,MATCH(137,样本到样信息汇总统计!$X$2:$X$500,0)),"")</f>
        <v/>
      </c>
      <c r="G138" s="4" t="str">
        <f>IFERROR(INDEX(样本到样信息汇总统计!G$2:G$500,MATCH(137,样本到样信息汇总统计!$X$2:$X$500,0)),"")</f>
        <v/>
      </c>
      <c r="H138" s="4" t="str">
        <f>IFERROR(INDEX(样本到样信息汇总统计!H$2:H$500,MATCH(137,样本到样信息汇总统计!$X$2:$X$500,0)),"")</f>
        <v/>
      </c>
      <c r="I138" s="4" t="str">
        <f>IFERROR(INDEX(样本到样信息汇总统计!I$2:I$500,MATCH(137,样本到样信息汇总统计!$X$2:$X$500,0)),"")</f>
        <v/>
      </c>
      <c r="J138" s="4" t="str">
        <f>IFERROR(INDEX(样本到样信息汇总统计!J$2:J$500,MATCH(137,样本到样信息汇总统计!$X$2:$X$500,0)),"")</f>
        <v/>
      </c>
      <c r="K138" s="14" t="str">
        <f>IFERROR(INDEX(样本到样信息汇总统计!K$2:K$500,MATCH(137,样本到样信息汇总统计!$X$2:$X$500,0)),"")</f>
        <v/>
      </c>
      <c r="L138" s="4" t="str">
        <f>IFERROR(INDEX(样本到样信息汇总统计!L$2:L$500,MATCH(137,样本到样信息汇总统计!$X$2:$X$500,0)),"")</f>
        <v/>
      </c>
      <c r="M138" s="4" t="str">
        <f>IFERROR(INDEX(样本到样信息汇总统计!M$2:M$500,MATCH(137,样本到样信息汇总统计!$X$2:$X$500,0)),"")</f>
        <v/>
      </c>
      <c r="N138" s="4" t="str">
        <f>IFERROR(INDEX(样本到样信息汇总统计!N$2:N$500,MATCH(137,样本到样信息汇总统计!$X$2:$X$500,0)),"")</f>
        <v/>
      </c>
      <c r="O138" s="4" t="str">
        <f>IFERROR(INDEX(样本到样信息汇总统计!O$2:O$500,MATCH(137,样本到样信息汇总统计!$X$2:$X$500,0)),"")</f>
        <v/>
      </c>
      <c r="P138" s="4" t="str">
        <f>IFERROR(INDEX(样本到样信息汇总统计!P$2:P$500,MATCH(137,样本到样信息汇总统计!$X$2:$X$500,0)),"")</f>
        <v/>
      </c>
      <c r="Q138" s="4" t="str">
        <f>IFERROR(INDEX(样本到样信息汇总统计!Q$2:Q$500,MATCH(137,样本到样信息汇总统计!$X$2:$X$500,0)),"")</f>
        <v/>
      </c>
      <c r="R138" s="4" t="str">
        <f>IFERROR(INDEX(样本到样信息汇总统计!R$2:R$500,MATCH(137,样本到样信息汇总统计!$X$2:$X$500,0)),"")</f>
        <v/>
      </c>
      <c r="S138" s="4" t="str">
        <f>IFERROR(INDEX(样本到样信息汇总统计!S$2:S$500,MATCH(137,样本到样信息汇总统计!$X$2:$X$500,0)),"")</f>
        <v/>
      </c>
      <c r="T138" s="4" t="str">
        <f>IFERROR(INDEX(样本到样信息汇总统计!T$2:T$500,MATCH(137,样本到样信息汇总统计!$X$2:$X$500,0)),"")</f>
        <v/>
      </c>
      <c r="U138" s="4" t="str">
        <f>IFERROR(INDEX(样本到样信息汇总统计!U$2:U$500,MATCH(137,样本到样信息汇总统计!$X$2:$X$500,0)),"")</f>
        <v/>
      </c>
      <c r="V138" s="4" t="str">
        <f>IFERROR(INDEX(样本到样信息汇总统计!V$2:V$500,MATCH(137,样本到样信息汇总统计!$X$2:$X$500,0)),"")</f>
        <v/>
      </c>
      <c r="W138" s="4" t="str">
        <f>IFERROR(INDEX(样本到样信息汇总统计!W$2:W$500,MATCH(137,样本到样信息汇总统计!$X$2:$X$500,0)),"")</f>
        <v/>
      </c>
    </row>
    <row r="139" ht="14.5" spans="1:23">
      <c r="A139" s="8" t="str">
        <f>IFERROR(INDEX(样本到样信息汇总统计!A$2:A$500,MATCH(138,样本到样信息汇总统计!$X$2:$X$500,0)),"")</f>
        <v/>
      </c>
      <c r="B139" s="8" t="str">
        <f>IFERROR(INDEX(样本到样信息汇总统计!B$2:B$500,MATCH(138,样本到样信息汇总统计!$X$2:$X$500,0)),"")</f>
        <v/>
      </c>
      <c r="C139" s="8" t="str">
        <f>IFERROR(INDEX(样本到样信息汇总统计!C$2:C$500,MATCH(138,样本到样信息汇总统计!$X$2:$X$500,0)),"")</f>
        <v/>
      </c>
      <c r="D139" s="8" t="str">
        <f>IFERROR(INDEX(样本到样信息汇总统计!D$2:D$500,MATCH(138,样本到样信息汇总统计!$X$2:$X$500,0)),"")</f>
        <v/>
      </c>
      <c r="E139" s="8" t="str">
        <f>IFERROR(INDEX(样本到样信息汇总统计!E$2:E$500,MATCH(138,样本到样信息汇总统计!$X$2:$X$500,0)),"")</f>
        <v/>
      </c>
      <c r="F139" s="8" t="str">
        <f>IFERROR(INDEX(样本到样信息汇总统计!F$2:F$500,MATCH(138,样本到样信息汇总统计!$X$2:$X$500,0)),"")</f>
        <v/>
      </c>
      <c r="G139" s="8" t="str">
        <f>IFERROR(INDEX(样本到样信息汇总统计!G$2:G$500,MATCH(138,样本到样信息汇总统计!$X$2:$X$500,0)),"")</f>
        <v/>
      </c>
      <c r="H139" s="8" t="str">
        <f>IFERROR(INDEX(样本到样信息汇总统计!H$2:H$500,MATCH(138,样本到样信息汇总统计!$X$2:$X$500,0)),"")</f>
        <v/>
      </c>
      <c r="I139" s="8" t="str">
        <f>IFERROR(INDEX(样本到样信息汇总统计!I$2:I$500,MATCH(138,样本到样信息汇总统计!$X$2:$X$500,0)),"")</f>
        <v/>
      </c>
      <c r="J139" s="8" t="str">
        <f>IFERROR(INDEX(样本到样信息汇总统计!J$2:J$500,MATCH(138,样本到样信息汇总统计!$X$2:$X$500,0)),"")</f>
        <v/>
      </c>
      <c r="K139" s="15" t="str">
        <f>IFERROR(INDEX(样本到样信息汇总统计!K$2:K$500,MATCH(138,样本到样信息汇总统计!$X$2:$X$500,0)),"")</f>
        <v/>
      </c>
      <c r="L139" s="8" t="str">
        <f>IFERROR(INDEX(样本到样信息汇总统计!L$2:L$500,MATCH(138,样本到样信息汇总统计!$X$2:$X$500,0)),"")</f>
        <v/>
      </c>
      <c r="M139" s="8" t="str">
        <f>IFERROR(INDEX(样本到样信息汇总统计!M$2:M$500,MATCH(138,样本到样信息汇总统计!$X$2:$X$500,0)),"")</f>
        <v/>
      </c>
      <c r="N139" s="8" t="str">
        <f>IFERROR(INDEX(样本到样信息汇总统计!N$2:N$500,MATCH(138,样本到样信息汇总统计!$X$2:$X$500,0)),"")</f>
        <v/>
      </c>
      <c r="O139" s="8" t="str">
        <f>IFERROR(INDEX(样本到样信息汇总统计!O$2:O$500,MATCH(138,样本到样信息汇总统计!$X$2:$X$500,0)),"")</f>
        <v/>
      </c>
      <c r="P139" s="8" t="str">
        <f>IFERROR(INDEX(样本到样信息汇总统计!P$2:P$500,MATCH(138,样本到样信息汇总统计!$X$2:$X$500,0)),"")</f>
        <v/>
      </c>
      <c r="Q139" s="8" t="str">
        <f>IFERROR(INDEX(样本到样信息汇总统计!Q$2:Q$500,MATCH(138,样本到样信息汇总统计!$X$2:$X$500,0)),"")</f>
        <v/>
      </c>
      <c r="R139" s="8" t="str">
        <f>IFERROR(INDEX(样本到样信息汇总统计!R$2:R$500,MATCH(138,样本到样信息汇总统计!$X$2:$X$500,0)),"")</f>
        <v/>
      </c>
      <c r="S139" s="8" t="str">
        <f>IFERROR(INDEX(样本到样信息汇总统计!S$2:S$500,MATCH(138,样本到样信息汇总统计!$X$2:$X$500,0)),"")</f>
        <v/>
      </c>
      <c r="T139" s="8" t="str">
        <f>IFERROR(INDEX(样本到样信息汇总统计!T$2:T$500,MATCH(138,样本到样信息汇总统计!$X$2:$X$500,0)),"")</f>
        <v/>
      </c>
      <c r="U139" s="8" t="str">
        <f>IFERROR(INDEX(样本到样信息汇总统计!U$2:U$500,MATCH(138,样本到样信息汇总统计!$X$2:$X$500,0)),"")</f>
        <v/>
      </c>
      <c r="V139" s="8" t="str">
        <f>IFERROR(INDEX(样本到样信息汇总统计!V$2:V$500,MATCH(138,样本到样信息汇总统计!$X$2:$X$500,0)),"")</f>
        <v/>
      </c>
      <c r="W139" s="8" t="str">
        <f>IFERROR(INDEX(样本到样信息汇总统计!W$2:W$500,MATCH(138,样本到样信息汇总统计!$X$2:$X$500,0)),"")</f>
        <v/>
      </c>
    </row>
    <row r="140" ht="14.5" spans="1:23">
      <c r="A140" s="4" t="str">
        <f>IFERROR(INDEX(样本到样信息汇总统计!A$2:A$500,MATCH(139,样本到样信息汇总统计!$X$2:$X$500,0)),"")</f>
        <v/>
      </c>
      <c r="B140" s="4" t="str">
        <f>IFERROR(INDEX(样本到样信息汇总统计!B$2:B$500,MATCH(139,样本到样信息汇总统计!$X$2:$X$500,0)),"")</f>
        <v/>
      </c>
      <c r="C140" s="4" t="str">
        <f>IFERROR(INDEX(样本到样信息汇总统计!C$2:C$500,MATCH(139,样本到样信息汇总统计!$X$2:$X$500,0)),"")</f>
        <v/>
      </c>
      <c r="D140" s="4" t="str">
        <f>IFERROR(INDEX(样本到样信息汇总统计!D$2:D$500,MATCH(139,样本到样信息汇总统计!$X$2:$X$500,0)),"")</f>
        <v/>
      </c>
      <c r="E140" s="4" t="str">
        <f>IFERROR(INDEX(样本到样信息汇总统计!E$2:E$500,MATCH(139,样本到样信息汇总统计!$X$2:$X$500,0)),"")</f>
        <v/>
      </c>
      <c r="F140" s="4" t="str">
        <f>IFERROR(INDEX(样本到样信息汇总统计!F$2:F$500,MATCH(139,样本到样信息汇总统计!$X$2:$X$500,0)),"")</f>
        <v/>
      </c>
      <c r="G140" s="4" t="str">
        <f>IFERROR(INDEX(样本到样信息汇总统计!G$2:G$500,MATCH(139,样本到样信息汇总统计!$X$2:$X$500,0)),"")</f>
        <v/>
      </c>
      <c r="H140" s="4" t="str">
        <f>IFERROR(INDEX(样本到样信息汇总统计!H$2:H$500,MATCH(139,样本到样信息汇总统计!$X$2:$X$500,0)),"")</f>
        <v/>
      </c>
      <c r="I140" s="4" t="str">
        <f>IFERROR(INDEX(样本到样信息汇总统计!I$2:I$500,MATCH(139,样本到样信息汇总统计!$X$2:$X$500,0)),"")</f>
        <v/>
      </c>
      <c r="J140" s="4" t="str">
        <f>IFERROR(INDEX(样本到样信息汇总统计!J$2:J$500,MATCH(139,样本到样信息汇总统计!$X$2:$X$500,0)),"")</f>
        <v/>
      </c>
      <c r="K140" s="14" t="str">
        <f>IFERROR(INDEX(样本到样信息汇总统计!K$2:K$500,MATCH(139,样本到样信息汇总统计!$X$2:$X$500,0)),"")</f>
        <v/>
      </c>
      <c r="L140" s="4" t="str">
        <f>IFERROR(INDEX(样本到样信息汇总统计!L$2:L$500,MATCH(139,样本到样信息汇总统计!$X$2:$X$500,0)),"")</f>
        <v/>
      </c>
      <c r="M140" s="4" t="str">
        <f>IFERROR(INDEX(样本到样信息汇总统计!M$2:M$500,MATCH(139,样本到样信息汇总统计!$X$2:$X$500,0)),"")</f>
        <v/>
      </c>
      <c r="N140" s="4" t="str">
        <f>IFERROR(INDEX(样本到样信息汇总统计!N$2:N$500,MATCH(139,样本到样信息汇总统计!$X$2:$X$500,0)),"")</f>
        <v/>
      </c>
      <c r="O140" s="4" t="str">
        <f>IFERROR(INDEX(样本到样信息汇总统计!O$2:O$500,MATCH(139,样本到样信息汇总统计!$X$2:$X$500,0)),"")</f>
        <v/>
      </c>
      <c r="P140" s="4" t="str">
        <f>IFERROR(INDEX(样本到样信息汇总统计!P$2:P$500,MATCH(139,样本到样信息汇总统计!$X$2:$X$500,0)),"")</f>
        <v/>
      </c>
      <c r="Q140" s="4" t="str">
        <f>IFERROR(INDEX(样本到样信息汇总统计!Q$2:Q$500,MATCH(139,样本到样信息汇总统计!$X$2:$X$500,0)),"")</f>
        <v/>
      </c>
      <c r="R140" s="4" t="str">
        <f>IFERROR(INDEX(样本到样信息汇总统计!R$2:R$500,MATCH(139,样本到样信息汇总统计!$X$2:$X$500,0)),"")</f>
        <v/>
      </c>
      <c r="S140" s="4" t="str">
        <f>IFERROR(INDEX(样本到样信息汇总统计!S$2:S$500,MATCH(139,样本到样信息汇总统计!$X$2:$X$500,0)),"")</f>
        <v/>
      </c>
      <c r="T140" s="4" t="str">
        <f>IFERROR(INDEX(样本到样信息汇总统计!T$2:T$500,MATCH(139,样本到样信息汇总统计!$X$2:$X$500,0)),"")</f>
        <v/>
      </c>
      <c r="U140" s="4" t="str">
        <f>IFERROR(INDEX(样本到样信息汇总统计!U$2:U$500,MATCH(139,样本到样信息汇总统计!$X$2:$X$500,0)),"")</f>
        <v/>
      </c>
      <c r="V140" s="4" t="str">
        <f>IFERROR(INDEX(样本到样信息汇总统计!V$2:V$500,MATCH(139,样本到样信息汇总统计!$X$2:$X$500,0)),"")</f>
        <v/>
      </c>
      <c r="W140" s="4" t="str">
        <f>IFERROR(INDEX(样本到样信息汇总统计!W$2:W$500,MATCH(139,样本到样信息汇总统计!$X$2:$X$500,0)),"")</f>
        <v/>
      </c>
    </row>
    <row r="141" ht="14.5" spans="1:23">
      <c r="A141" s="8" t="str">
        <f>IFERROR(INDEX(样本到样信息汇总统计!A$2:A$500,MATCH(140,样本到样信息汇总统计!$X$2:$X$500,0)),"")</f>
        <v/>
      </c>
      <c r="B141" s="8" t="str">
        <f>IFERROR(INDEX(样本到样信息汇总统计!B$2:B$500,MATCH(140,样本到样信息汇总统计!$X$2:$X$500,0)),"")</f>
        <v/>
      </c>
      <c r="C141" s="8" t="str">
        <f>IFERROR(INDEX(样本到样信息汇总统计!C$2:C$500,MATCH(140,样本到样信息汇总统计!$X$2:$X$500,0)),"")</f>
        <v/>
      </c>
      <c r="D141" s="8" t="str">
        <f>IFERROR(INDEX(样本到样信息汇总统计!D$2:D$500,MATCH(140,样本到样信息汇总统计!$X$2:$X$500,0)),"")</f>
        <v/>
      </c>
      <c r="E141" s="8" t="str">
        <f>IFERROR(INDEX(样本到样信息汇总统计!E$2:E$500,MATCH(140,样本到样信息汇总统计!$X$2:$X$500,0)),"")</f>
        <v/>
      </c>
      <c r="F141" s="8" t="str">
        <f>IFERROR(INDEX(样本到样信息汇总统计!F$2:F$500,MATCH(140,样本到样信息汇总统计!$X$2:$X$500,0)),"")</f>
        <v/>
      </c>
      <c r="G141" s="8" t="str">
        <f>IFERROR(INDEX(样本到样信息汇总统计!G$2:G$500,MATCH(140,样本到样信息汇总统计!$X$2:$X$500,0)),"")</f>
        <v/>
      </c>
      <c r="H141" s="8" t="str">
        <f>IFERROR(INDEX(样本到样信息汇总统计!H$2:H$500,MATCH(140,样本到样信息汇总统计!$X$2:$X$500,0)),"")</f>
        <v/>
      </c>
      <c r="I141" s="8" t="str">
        <f>IFERROR(INDEX(样本到样信息汇总统计!I$2:I$500,MATCH(140,样本到样信息汇总统计!$X$2:$X$500,0)),"")</f>
        <v/>
      </c>
      <c r="J141" s="8" t="str">
        <f>IFERROR(INDEX(样本到样信息汇总统计!J$2:J$500,MATCH(140,样本到样信息汇总统计!$X$2:$X$500,0)),"")</f>
        <v/>
      </c>
      <c r="K141" s="15" t="str">
        <f>IFERROR(INDEX(样本到样信息汇总统计!K$2:K$500,MATCH(140,样本到样信息汇总统计!$X$2:$X$500,0)),"")</f>
        <v/>
      </c>
      <c r="L141" s="8" t="str">
        <f>IFERROR(INDEX(样本到样信息汇总统计!L$2:L$500,MATCH(140,样本到样信息汇总统计!$X$2:$X$500,0)),"")</f>
        <v/>
      </c>
      <c r="M141" s="8" t="str">
        <f>IFERROR(INDEX(样本到样信息汇总统计!M$2:M$500,MATCH(140,样本到样信息汇总统计!$X$2:$X$500,0)),"")</f>
        <v/>
      </c>
      <c r="N141" s="8" t="str">
        <f>IFERROR(INDEX(样本到样信息汇总统计!N$2:N$500,MATCH(140,样本到样信息汇总统计!$X$2:$X$500,0)),"")</f>
        <v/>
      </c>
      <c r="O141" s="8" t="str">
        <f>IFERROR(INDEX(样本到样信息汇总统计!O$2:O$500,MATCH(140,样本到样信息汇总统计!$X$2:$X$500,0)),"")</f>
        <v/>
      </c>
      <c r="P141" s="8" t="str">
        <f>IFERROR(INDEX(样本到样信息汇总统计!P$2:P$500,MATCH(140,样本到样信息汇总统计!$X$2:$X$500,0)),"")</f>
        <v/>
      </c>
      <c r="Q141" s="8" t="str">
        <f>IFERROR(INDEX(样本到样信息汇总统计!Q$2:Q$500,MATCH(140,样本到样信息汇总统计!$X$2:$X$500,0)),"")</f>
        <v/>
      </c>
      <c r="R141" s="8" t="str">
        <f>IFERROR(INDEX(样本到样信息汇总统计!R$2:R$500,MATCH(140,样本到样信息汇总统计!$X$2:$X$500,0)),"")</f>
        <v/>
      </c>
      <c r="S141" s="8" t="str">
        <f>IFERROR(INDEX(样本到样信息汇总统计!S$2:S$500,MATCH(140,样本到样信息汇总统计!$X$2:$X$500,0)),"")</f>
        <v/>
      </c>
      <c r="T141" s="8" t="str">
        <f>IFERROR(INDEX(样本到样信息汇总统计!T$2:T$500,MATCH(140,样本到样信息汇总统计!$X$2:$X$500,0)),"")</f>
        <v/>
      </c>
      <c r="U141" s="8" t="str">
        <f>IFERROR(INDEX(样本到样信息汇总统计!U$2:U$500,MATCH(140,样本到样信息汇总统计!$X$2:$X$500,0)),"")</f>
        <v/>
      </c>
      <c r="V141" s="8" t="str">
        <f>IFERROR(INDEX(样本到样信息汇总统计!V$2:V$500,MATCH(140,样本到样信息汇总统计!$X$2:$X$500,0)),"")</f>
        <v/>
      </c>
      <c r="W141" s="8" t="str">
        <f>IFERROR(INDEX(样本到样信息汇总统计!W$2:W$500,MATCH(140,样本到样信息汇总统计!$X$2:$X$500,0)),"")</f>
        <v/>
      </c>
    </row>
    <row r="142" ht="14.5" spans="1:23">
      <c r="A142" s="4" t="str">
        <f>IFERROR(INDEX(样本到样信息汇总统计!A$2:A$500,MATCH(141,样本到样信息汇总统计!$X$2:$X$500,0)),"")</f>
        <v/>
      </c>
      <c r="B142" s="4" t="str">
        <f>IFERROR(INDEX(样本到样信息汇总统计!B$2:B$500,MATCH(141,样本到样信息汇总统计!$X$2:$X$500,0)),"")</f>
        <v/>
      </c>
      <c r="C142" s="4" t="str">
        <f>IFERROR(INDEX(样本到样信息汇总统计!C$2:C$500,MATCH(141,样本到样信息汇总统计!$X$2:$X$500,0)),"")</f>
        <v/>
      </c>
      <c r="D142" s="4" t="str">
        <f>IFERROR(INDEX(样本到样信息汇总统计!D$2:D$500,MATCH(141,样本到样信息汇总统计!$X$2:$X$500,0)),"")</f>
        <v/>
      </c>
      <c r="E142" s="4" t="str">
        <f>IFERROR(INDEX(样本到样信息汇总统计!E$2:E$500,MATCH(141,样本到样信息汇总统计!$X$2:$X$500,0)),"")</f>
        <v/>
      </c>
      <c r="F142" s="4" t="str">
        <f>IFERROR(INDEX(样本到样信息汇总统计!F$2:F$500,MATCH(141,样本到样信息汇总统计!$X$2:$X$500,0)),"")</f>
        <v/>
      </c>
      <c r="G142" s="4" t="str">
        <f>IFERROR(INDEX(样本到样信息汇总统计!G$2:G$500,MATCH(141,样本到样信息汇总统计!$X$2:$X$500,0)),"")</f>
        <v/>
      </c>
      <c r="H142" s="4" t="str">
        <f>IFERROR(INDEX(样本到样信息汇总统计!H$2:H$500,MATCH(141,样本到样信息汇总统计!$X$2:$X$500,0)),"")</f>
        <v/>
      </c>
      <c r="I142" s="4" t="str">
        <f>IFERROR(INDEX(样本到样信息汇总统计!I$2:I$500,MATCH(141,样本到样信息汇总统计!$X$2:$X$500,0)),"")</f>
        <v/>
      </c>
      <c r="J142" s="4" t="str">
        <f>IFERROR(INDEX(样本到样信息汇总统计!J$2:J$500,MATCH(141,样本到样信息汇总统计!$X$2:$X$500,0)),"")</f>
        <v/>
      </c>
      <c r="K142" s="14" t="str">
        <f>IFERROR(INDEX(样本到样信息汇总统计!K$2:K$500,MATCH(141,样本到样信息汇总统计!$X$2:$X$500,0)),"")</f>
        <v/>
      </c>
      <c r="L142" s="4" t="str">
        <f>IFERROR(INDEX(样本到样信息汇总统计!L$2:L$500,MATCH(141,样本到样信息汇总统计!$X$2:$X$500,0)),"")</f>
        <v/>
      </c>
      <c r="M142" s="4" t="str">
        <f>IFERROR(INDEX(样本到样信息汇总统计!M$2:M$500,MATCH(141,样本到样信息汇总统计!$X$2:$X$500,0)),"")</f>
        <v/>
      </c>
      <c r="N142" s="4" t="str">
        <f>IFERROR(INDEX(样本到样信息汇总统计!N$2:N$500,MATCH(141,样本到样信息汇总统计!$X$2:$X$500,0)),"")</f>
        <v/>
      </c>
      <c r="O142" s="4" t="str">
        <f>IFERROR(INDEX(样本到样信息汇总统计!O$2:O$500,MATCH(141,样本到样信息汇总统计!$X$2:$X$500,0)),"")</f>
        <v/>
      </c>
      <c r="P142" s="4" t="str">
        <f>IFERROR(INDEX(样本到样信息汇总统计!P$2:P$500,MATCH(141,样本到样信息汇总统计!$X$2:$X$500,0)),"")</f>
        <v/>
      </c>
      <c r="Q142" s="4" t="str">
        <f>IFERROR(INDEX(样本到样信息汇总统计!Q$2:Q$500,MATCH(141,样本到样信息汇总统计!$X$2:$X$500,0)),"")</f>
        <v/>
      </c>
      <c r="R142" s="4" t="str">
        <f>IFERROR(INDEX(样本到样信息汇总统计!R$2:R$500,MATCH(141,样本到样信息汇总统计!$X$2:$X$500,0)),"")</f>
        <v/>
      </c>
      <c r="S142" s="4" t="str">
        <f>IFERROR(INDEX(样本到样信息汇总统计!S$2:S$500,MATCH(141,样本到样信息汇总统计!$X$2:$X$500,0)),"")</f>
        <v/>
      </c>
      <c r="T142" s="4" t="str">
        <f>IFERROR(INDEX(样本到样信息汇总统计!T$2:T$500,MATCH(141,样本到样信息汇总统计!$X$2:$X$500,0)),"")</f>
        <v/>
      </c>
      <c r="U142" s="4" t="str">
        <f>IFERROR(INDEX(样本到样信息汇总统计!U$2:U$500,MATCH(141,样本到样信息汇总统计!$X$2:$X$500,0)),"")</f>
        <v/>
      </c>
      <c r="V142" s="4" t="str">
        <f>IFERROR(INDEX(样本到样信息汇总统计!V$2:V$500,MATCH(141,样本到样信息汇总统计!$X$2:$X$500,0)),"")</f>
        <v/>
      </c>
      <c r="W142" s="4" t="str">
        <f>IFERROR(INDEX(样本到样信息汇总统计!W$2:W$500,MATCH(141,样本到样信息汇总统计!$X$2:$X$500,0)),"")</f>
        <v/>
      </c>
    </row>
    <row r="143" ht="14.5" spans="1:23">
      <c r="A143" s="8" t="str">
        <f>IFERROR(INDEX(样本到样信息汇总统计!A$2:A$500,MATCH(142,样本到样信息汇总统计!$X$2:$X$500,0)),"")</f>
        <v/>
      </c>
      <c r="B143" s="8" t="str">
        <f>IFERROR(INDEX(样本到样信息汇总统计!B$2:B$500,MATCH(142,样本到样信息汇总统计!$X$2:$X$500,0)),"")</f>
        <v/>
      </c>
      <c r="C143" s="8" t="str">
        <f>IFERROR(INDEX(样本到样信息汇总统计!C$2:C$500,MATCH(142,样本到样信息汇总统计!$X$2:$X$500,0)),"")</f>
        <v/>
      </c>
      <c r="D143" s="8" t="str">
        <f>IFERROR(INDEX(样本到样信息汇总统计!D$2:D$500,MATCH(142,样本到样信息汇总统计!$X$2:$X$500,0)),"")</f>
        <v/>
      </c>
      <c r="E143" s="8" t="str">
        <f>IFERROR(INDEX(样本到样信息汇总统计!E$2:E$500,MATCH(142,样本到样信息汇总统计!$X$2:$X$500,0)),"")</f>
        <v/>
      </c>
      <c r="F143" s="8" t="str">
        <f>IFERROR(INDEX(样本到样信息汇总统计!F$2:F$500,MATCH(142,样本到样信息汇总统计!$X$2:$X$500,0)),"")</f>
        <v/>
      </c>
      <c r="G143" s="8" t="str">
        <f>IFERROR(INDEX(样本到样信息汇总统计!G$2:G$500,MATCH(142,样本到样信息汇总统计!$X$2:$X$500,0)),"")</f>
        <v/>
      </c>
      <c r="H143" s="8" t="str">
        <f>IFERROR(INDEX(样本到样信息汇总统计!H$2:H$500,MATCH(142,样本到样信息汇总统计!$X$2:$X$500,0)),"")</f>
        <v/>
      </c>
      <c r="I143" s="8" t="str">
        <f>IFERROR(INDEX(样本到样信息汇总统计!I$2:I$500,MATCH(142,样本到样信息汇总统计!$X$2:$X$500,0)),"")</f>
        <v/>
      </c>
      <c r="J143" s="8" t="str">
        <f>IFERROR(INDEX(样本到样信息汇总统计!J$2:J$500,MATCH(142,样本到样信息汇总统计!$X$2:$X$500,0)),"")</f>
        <v/>
      </c>
      <c r="K143" s="15" t="str">
        <f>IFERROR(INDEX(样本到样信息汇总统计!K$2:K$500,MATCH(142,样本到样信息汇总统计!$X$2:$X$500,0)),"")</f>
        <v/>
      </c>
      <c r="L143" s="8" t="str">
        <f>IFERROR(INDEX(样本到样信息汇总统计!L$2:L$500,MATCH(142,样本到样信息汇总统计!$X$2:$X$500,0)),"")</f>
        <v/>
      </c>
      <c r="M143" s="8" t="str">
        <f>IFERROR(INDEX(样本到样信息汇总统计!M$2:M$500,MATCH(142,样本到样信息汇总统计!$X$2:$X$500,0)),"")</f>
        <v/>
      </c>
      <c r="N143" s="8" t="str">
        <f>IFERROR(INDEX(样本到样信息汇总统计!N$2:N$500,MATCH(142,样本到样信息汇总统计!$X$2:$X$500,0)),"")</f>
        <v/>
      </c>
      <c r="O143" s="8" t="str">
        <f>IFERROR(INDEX(样本到样信息汇总统计!O$2:O$500,MATCH(142,样本到样信息汇总统计!$X$2:$X$500,0)),"")</f>
        <v/>
      </c>
      <c r="P143" s="8" t="str">
        <f>IFERROR(INDEX(样本到样信息汇总统计!P$2:P$500,MATCH(142,样本到样信息汇总统计!$X$2:$X$500,0)),"")</f>
        <v/>
      </c>
      <c r="Q143" s="8" t="str">
        <f>IFERROR(INDEX(样本到样信息汇总统计!Q$2:Q$500,MATCH(142,样本到样信息汇总统计!$X$2:$X$500,0)),"")</f>
        <v/>
      </c>
      <c r="R143" s="8" t="str">
        <f>IFERROR(INDEX(样本到样信息汇总统计!R$2:R$500,MATCH(142,样本到样信息汇总统计!$X$2:$X$500,0)),"")</f>
        <v/>
      </c>
      <c r="S143" s="8" t="str">
        <f>IFERROR(INDEX(样本到样信息汇总统计!S$2:S$500,MATCH(142,样本到样信息汇总统计!$X$2:$X$500,0)),"")</f>
        <v/>
      </c>
      <c r="T143" s="8" t="str">
        <f>IFERROR(INDEX(样本到样信息汇总统计!T$2:T$500,MATCH(142,样本到样信息汇总统计!$X$2:$X$500,0)),"")</f>
        <v/>
      </c>
      <c r="U143" s="8" t="str">
        <f>IFERROR(INDEX(样本到样信息汇总统计!U$2:U$500,MATCH(142,样本到样信息汇总统计!$X$2:$X$500,0)),"")</f>
        <v/>
      </c>
      <c r="V143" s="8" t="str">
        <f>IFERROR(INDEX(样本到样信息汇总统计!V$2:V$500,MATCH(142,样本到样信息汇总统计!$X$2:$X$500,0)),"")</f>
        <v/>
      </c>
      <c r="W143" s="8" t="str">
        <f>IFERROR(INDEX(样本到样信息汇总统计!W$2:W$500,MATCH(142,样本到样信息汇总统计!$X$2:$X$500,0)),"")</f>
        <v/>
      </c>
    </row>
    <row r="144" ht="14.5" spans="1:23">
      <c r="A144" s="4" t="str">
        <f>IFERROR(INDEX(样本到样信息汇总统计!A$2:A$500,MATCH(143,样本到样信息汇总统计!$X$2:$X$500,0)),"")</f>
        <v/>
      </c>
      <c r="B144" s="4" t="str">
        <f>IFERROR(INDEX(样本到样信息汇总统计!B$2:B$500,MATCH(143,样本到样信息汇总统计!$X$2:$X$500,0)),"")</f>
        <v/>
      </c>
      <c r="C144" s="4" t="str">
        <f>IFERROR(INDEX(样本到样信息汇总统计!C$2:C$500,MATCH(143,样本到样信息汇总统计!$X$2:$X$500,0)),"")</f>
        <v/>
      </c>
      <c r="D144" s="4" t="str">
        <f>IFERROR(INDEX(样本到样信息汇总统计!D$2:D$500,MATCH(143,样本到样信息汇总统计!$X$2:$X$500,0)),"")</f>
        <v/>
      </c>
      <c r="E144" s="4" t="str">
        <f>IFERROR(INDEX(样本到样信息汇总统计!E$2:E$500,MATCH(143,样本到样信息汇总统计!$X$2:$X$500,0)),"")</f>
        <v/>
      </c>
      <c r="F144" s="4" t="str">
        <f>IFERROR(INDEX(样本到样信息汇总统计!F$2:F$500,MATCH(143,样本到样信息汇总统计!$X$2:$X$500,0)),"")</f>
        <v/>
      </c>
      <c r="G144" s="4" t="str">
        <f>IFERROR(INDEX(样本到样信息汇总统计!G$2:G$500,MATCH(143,样本到样信息汇总统计!$X$2:$X$500,0)),"")</f>
        <v/>
      </c>
      <c r="H144" s="4" t="str">
        <f>IFERROR(INDEX(样本到样信息汇总统计!H$2:H$500,MATCH(143,样本到样信息汇总统计!$X$2:$X$500,0)),"")</f>
        <v/>
      </c>
      <c r="I144" s="4" t="str">
        <f>IFERROR(INDEX(样本到样信息汇总统计!I$2:I$500,MATCH(143,样本到样信息汇总统计!$X$2:$X$500,0)),"")</f>
        <v/>
      </c>
      <c r="J144" s="4" t="str">
        <f>IFERROR(INDEX(样本到样信息汇总统计!J$2:J$500,MATCH(143,样本到样信息汇总统计!$X$2:$X$500,0)),"")</f>
        <v/>
      </c>
      <c r="K144" s="14" t="str">
        <f>IFERROR(INDEX(样本到样信息汇总统计!K$2:K$500,MATCH(143,样本到样信息汇总统计!$X$2:$X$500,0)),"")</f>
        <v/>
      </c>
      <c r="L144" s="4" t="str">
        <f>IFERROR(INDEX(样本到样信息汇总统计!L$2:L$500,MATCH(143,样本到样信息汇总统计!$X$2:$X$500,0)),"")</f>
        <v/>
      </c>
      <c r="M144" s="4" t="str">
        <f>IFERROR(INDEX(样本到样信息汇总统计!M$2:M$500,MATCH(143,样本到样信息汇总统计!$X$2:$X$500,0)),"")</f>
        <v/>
      </c>
      <c r="N144" s="4" t="str">
        <f>IFERROR(INDEX(样本到样信息汇总统计!N$2:N$500,MATCH(143,样本到样信息汇总统计!$X$2:$X$500,0)),"")</f>
        <v/>
      </c>
      <c r="O144" s="4" t="str">
        <f>IFERROR(INDEX(样本到样信息汇总统计!O$2:O$500,MATCH(143,样本到样信息汇总统计!$X$2:$X$500,0)),"")</f>
        <v/>
      </c>
      <c r="P144" s="4" t="str">
        <f>IFERROR(INDEX(样本到样信息汇总统计!P$2:P$500,MATCH(143,样本到样信息汇总统计!$X$2:$X$500,0)),"")</f>
        <v/>
      </c>
      <c r="Q144" s="4" t="str">
        <f>IFERROR(INDEX(样本到样信息汇总统计!Q$2:Q$500,MATCH(143,样本到样信息汇总统计!$X$2:$X$500,0)),"")</f>
        <v/>
      </c>
      <c r="R144" s="4" t="str">
        <f>IFERROR(INDEX(样本到样信息汇总统计!R$2:R$500,MATCH(143,样本到样信息汇总统计!$X$2:$X$500,0)),"")</f>
        <v/>
      </c>
      <c r="S144" s="4" t="str">
        <f>IFERROR(INDEX(样本到样信息汇总统计!S$2:S$500,MATCH(143,样本到样信息汇总统计!$X$2:$X$500,0)),"")</f>
        <v/>
      </c>
      <c r="T144" s="4" t="str">
        <f>IFERROR(INDEX(样本到样信息汇总统计!T$2:T$500,MATCH(143,样本到样信息汇总统计!$X$2:$X$500,0)),"")</f>
        <v/>
      </c>
      <c r="U144" s="4" t="str">
        <f>IFERROR(INDEX(样本到样信息汇总统计!U$2:U$500,MATCH(143,样本到样信息汇总统计!$X$2:$X$500,0)),"")</f>
        <v/>
      </c>
      <c r="V144" s="4" t="str">
        <f>IFERROR(INDEX(样本到样信息汇总统计!V$2:V$500,MATCH(143,样本到样信息汇总统计!$X$2:$X$500,0)),"")</f>
        <v/>
      </c>
      <c r="W144" s="4" t="str">
        <f>IFERROR(INDEX(样本到样信息汇总统计!W$2:W$500,MATCH(143,样本到样信息汇总统计!$X$2:$X$500,0)),"")</f>
        <v/>
      </c>
    </row>
    <row r="145" ht="14.5" spans="1:23">
      <c r="A145" s="8" t="str">
        <f>IFERROR(INDEX(样本到样信息汇总统计!A$2:A$500,MATCH(144,样本到样信息汇总统计!$X$2:$X$500,0)),"")</f>
        <v/>
      </c>
      <c r="B145" s="8" t="str">
        <f>IFERROR(INDEX(样本到样信息汇总统计!B$2:B$500,MATCH(144,样本到样信息汇总统计!$X$2:$X$500,0)),"")</f>
        <v/>
      </c>
      <c r="C145" s="8" t="str">
        <f>IFERROR(INDEX(样本到样信息汇总统计!C$2:C$500,MATCH(144,样本到样信息汇总统计!$X$2:$X$500,0)),"")</f>
        <v/>
      </c>
      <c r="D145" s="8" t="str">
        <f>IFERROR(INDEX(样本到样信息汇总统计!D$2:D$500,MATCH(144,样本到样信息汇总统计!$X$2:$X$500,0)),"")</f>
        <v/>
      </c>
      <c r="E145" s="8" t="str">
        <f>IFERROR(INDEX(样本到样信息汇总统计!E$2:E$500,MATCH(144,样本到样信息汇总统计!$X$2:$X$500,0)),"")</f>
        <v/>
      </c>
      <c r="F145" s="8" t="str">
        <f>IFERROR(INDEX(样本到样信息汇总统计!F$2:F$500,MATCH(144,样本到样信息汇总统计!$X$2:$X$500,0)),"")</f>
        <v/>
      </c>
      <c r="G145" s="8" t="str">
        <f>IFERROR(INDEX(样本到样信息汇总统计!G$2:G$500,MATCH(144,样本到样信息汇总统计!$X$2:$X$500,0)),"")</f>
        <v/>
      </c>
      <c r="H145" s="8" t="str">
        <f>IFERROR(INDEX(样本到样信息汇总统计!H$2:H$500,MATCH(144,样本到样信息汇总统计!$X$2:$X$500,0)),"")</f>
        <v/>
      </c>
      <c r="I145" s="8" t="str">
        <f>IFERROR(INDEX(样本到样信息汇总统计!I$2:I$500,MATCH(144,样本到样信息汇总统计!$X$2:$X$500,0)),"")</f>
        <v/>
      </c>
      <c r="J145" s="8" t="str">
        <f>IFERROR(INDEX(样本到样信息汇总统计!J$2:J$500,MATCH(144,样本到样信息汇总统计!$X$2:$X$500,0)),"")</f>
        <v/>
      </c>
      <c r="K145" s="15" t="str">
        <f>IFERROR(INDEX(样本到样信息汇总统计!K$2:K$500,MATCH(144,样本到样信息汇总统计!$X$2:$X$500,0)),"")</f>
        <v/>
      </c>
      <c r="L145" s="8" t="str">
        <f>IFERROR(INDEX(样本到样信息汇总统计!L$2:L$500,MATCH(144,样本到样信息汇总统计!$X$2:$X$500,0)),"")</f>
        <v/>
      </c>
      <c r="M145" s="8" t="str">
        <f>IFERROR(INDEX(样本到样信息汇总统计!M$2:M$500,MATCH(144,样本到样信息汇总统计!$X$2:$X$500,0)),"")</f>
        <v/>
      </c>
      <c r="N145" s="8" t="str">
        <f>IFERROR(INDEX(样本到样信息汇总统计!N$2:N$500,MATCH(144,样本到样信息汇总统计!$X$2:$X$500,0)),"")</f>
        <v/>
      </c>
      <c r="O145" s="8" t="str">
        <f>IFERROR(INDEX(样本到样信息汇总统计!O$2:O$500,MATCH(144,样本到样信息汇总统计!$X$2:$X$500,0)),"")</f>
        <v/>
      </c>
      <c r="P145" s="8" t="str">
        <f>IFERROR(INDEX(样本到样信息汇总统计!P$2:P$500,MATCH(144,样本到样信息汇总统计!$X$2:$X$500,0)),"")</f>
        <v/>
      </c>
      <c r="Q145" s="8" t="str">
        <f>IFERROR(INDEX(样本到样信息汇总统计!Q$2:Q$500,MATCH(144,样本到样信息汇总统计!$X$2:$X$500,0)),"")</f>
        <v/>
      </c>
      <c r="R145" s="8" t="str">
        <f>IFERROR(INDEX(样本到样信息汇总统计!R$2:R$500,MATCH(144,样本到样信息汇总统计!$X$2:$X$500,0)),"")</f>
        <v/>
      </c>
      <c r="S145" s="8" t="str">
        <f>IFERROR(INDEX(样本到样信息汇总统计!S$2:S$500,MATCH(144,样本到样信息汇总统计!$X$2:$X$500,0)),"")</f>
        <v/>
      </c>
      <c r="T145" s="8" t="str">
        <f>IFERROR(INDEX(样本到样信息汇总统计!T$2:T$500,MATCH(144,样本到样信息汇总统计!$X$2:$X$500,0)),"")</f>
        <v/>
      </c>
      <c r="U145" s="8" t="str">
        <f>IFERROR(INDEX(样本到样信息汇总统计!U$2:U$500,MATCH(144,样本到样信息汇总统计!$X$2:$X$500,0)),"")</f>
        <v/>
      </c>
      <c r="V145" s="8" t="str">
        <f>IFERROR(INDEX(样本到样信息汇总统计!V$2:V$500,MATCH(144,样本到样信息汇总统计!$X$2:$X$500,0)),"")</f>
        <v/>
      </c>
      <c r="W145" s="8" t="str">
        <f>IFERROR(INDEX(样本到样信息汇总统计!W$2:W$500,MATCH(144,样本到样信息汇总统计!$X$2:$X$500,0)),"")</f>
        <v/>
      </c>
    </row>
    <row r="146" ht="14.5" spans="1:23">
      <c r="A146" s="4" t="str">
        <f>IFERROR(INDEX(样本到样信息汇总统计!A$2:A$500,MATCH(145,样本到样信息汇总统计!$X$2:$X$500,0)),"")</f>
        <v/>
      </c>
      <c r="B146" s="4" t="str">
        <f>IFERROR(INDEX(样本到样信息汇总统计!B$2:B$500,MATCH(145,样本到样信息汇总统计!$X$2:$X$500,0)),"")</f>
        <v/>
      </c>
      <c r="C146" s="4" t="str">
        <f>IFERROR(INDEX(样本到样信息汇总统计!C$2:C$500,MATCH(145,样本到样信息汇总统计!$X$2:$X$500,0)),"")</f>
        <v/>
      </c>
      <c r="D146" s="4" t="str">
        <f>IFERROR(INDEX(样本到样信息汇总统计!D$2:D$500,MATCH(145,样本到样信息汇总统计!$X$2:$X$500,0)),"")</f>
        <v/>
      </c>
      <c r="E146" s="4" t="str">
        <f>IFERROR(INDEX(样本到样信息汇总统计!E$2:E$500,MATCH(145,样本到样信息汇总统计!$X$2:$X$500,0)),"")</f>
        <v/>
      </c>
      <c r="F146" s="4" t="str">
        <f>IFERROR(INDEX(样本到样信息汇总统计!F$2:F$500,MATCH(145,样本到样信息汇总统计!$X$2:$X$500,0)),"")</f>
        <v/>
      </c>
      <c r="G146" s="4" t="str">
        <f>IFERROR(INDEX(样本到样信息汇总统计!G$2:G$500,MATCH(145,样本到样信息汇总统计!$X$2:$X$500,0)),"")</f>
        <v/>
      </c>
      <c r="H146" s="4" t="str">
        <f>IFERROR(INDEX(样本到样信息汇总统计!H$2:H$500,MATCH(145,样本到样信息汇总统计!$X$2:$X$500,0)),"")</f>
        <v/>
      </c>
      <c r="I146" s="4" t="str">
        <f>IFERROR(INDEX(样本到样信息汇总统计!I$2:I$500,MATCH(145,样本到样信息汇总统计!$X$2:$X$500,0)),"")</f>
        <v/>
      </c>
      <c r="J146" s="4" t="str">
        <f>IFERROR(INDEX(样本到样信息汇总统计!J$2:J$500,MATCH(145,样本到样信息汇总统计!$X$2:$X$500,0)),"")</f>
        <v/>
      </c>
      <c r="K146" s="14" t="str">
        <f>IFERROR(INDEX(样本到样信息汇总统计!K$2:K$500,MATCH(145,样本到样信息汇总统计!$X$2:$X$500,0)),"")</f>
        <v/>
      </c>
      <c r="L146" s="4" t="str">
        <f>IFERROR(INDEX(样本到样信息汇总统计!L$2:L$500,MATCH(145,样本到样信息汇总统计!$X$2:$X$500,0)),"")</f>
        <v/>
      </c>
      <c r="M146" s="4" t="str">
        <f>IFERROR(INDEX(样本到样信息汇总统计!M$2:M$500,MATCH(145,样本到样信息汇总统计!$X$2:$X$500,0)),"")</f>
        <v/>
      </c>
      <c r="N146" s="4" t="str">
        <f>IFERROR(INDEX(样本到样信息汇总统计!N$2:N$500,MATCH(145,样本到样信息汇总统计!$X$2:$X$500,0)),"")</f>
        <v/>
      </c>
      <c r="O146" s="4" t="str">
        <f>IFERROR(INDEX(样本到样信息汇总统计!O$2:O$500,MATCH(145,样本到样信息汇总统计!$X$2:$X$500,0)),"")</f>
        <v/>
      </c>
      <c r="P146" s="4" t="str">
        <f>IFERROR(INDEX(样本到样信息汇总统计!P$2:P$500,MATCH(145,样本到样信息汇总统计!$X$2:$X$500,0)),"")</f>
        <v/>
      </c>
      <c r="Q146" s="4" t="str">
        <f>IFERROR(INDEX(样本到样信息汇总统计!Q$2:Q$500,MATCH(145,样本到样信息汇总统计!$X$2:$X$500,0)),"")</f>
        <v/>
      </c>
      <c r="R146" s="4" t="str">
        <f>IFERROR(INDEX(样本到样信息汇总统计!R$2:R$500,MATCH(145,样本到样信息汇总统计!$X$2:$X$500,0)),"")</f>
        <v/>
      </c>
      <c r="S146" s="4" t="str">
        <f>IFERROR(INDEX(样本到样信息汇总统计!S$2:S$500,MATCH(145,样本到样信息汇总统计!$X$2:$X$500,0)),"")</f>
        <v/>
      </c>
      <c r="T146" s="4" t="str">
        <f>IFERROR(INDEX(样本到样信息汇总统计!T$2:T$500,MATCH(145,样本到样信息汇总统计!$X$2:$X$500,0)),"")</f>
        <v/>
      </c>
      <c r="U146" s="4" t="str">
        <f>IFERROR(INDEX(样本到样信息汇总统计!U$2:U$500,MATCH(145,样本到样信息汇总统计!$X$2:$X$500,0)),"")</f>
        <v/>
      </c>
      <c r="V146" s="4" t="str">
        <f>IFERROR(INDEX(样本到样信息汇总统计!V$2:V$500,MATCH(145,样本到样信息汇总统计!$X$2:$X$500,0)),"")</f>
        <v/>
      </c>
      <c r="W146" s="4" t="str">
        <f>IFERROR(INDEX(样本到样信息汇总统计!W$2:W$500,MATCH(145,样本到样信息汇总统计!$X$2:$X$500,0)),"")</f>
        <v/>
      </c>
    </row>
    <row r="147" ht="14.5" spans="1:23">
      <c r="A147" s="8" t="str">
        <f>IFERROR(INDEX(样本到样信息汇总统计!A$2:A$500,MATCH(146,样本到样信息汇总统计!$X$2:$X$500,0)),"")</f>
        <v/>
      </c>
      <c r="B147" s="8" t="str">
        <f>IFERROR(INDEX(样本到样信息汇总统计!B$2:B$500,MATCH(146,样本到样信息汇总统计!$X$2:$X$500,0)),"")</f>
        <v/>
      </c>
      <c r="C147" s="8" t="str">
        <f>IFERROR(INDEX(样本到样信息汇总统计!C$2:C$500,MATCH(146,样本到样信息汇总统计!$X$2:$X$500,0)),"")</f>
        <v/>
      </c>
      <c r="D147" s="8" t="str">
        <f>IFERROR(INDEX(样本到样信息汇总统计!D$2:D$500,MATCH(146,样本到样信息汇总统计!$X$2:$X$500,0)),"")</f>
        <v/>
      </c>
      <c r="E147" s="8" t="str">
        <f>IFERROR(INDEX(样本到样信息汇总统计!E$2:E$500,MATCH(146,样本到样信息汇总统计!$X$2:$X$500,0)),"")</f>
        <v/>
      </c>
      <c r="F147" s="8" t="str">
        <f>IFERROR(INDEX(样本到样信息汇总统计!F$2:F$500,MATCH(146,样本到样信息汇总统计!$X$2:$X$500,0)),"")</f>
        <v/>
      </c>
      <c r="G147" s="8" t="str">
        <f>IFERROR(INDEX(样本到样信息汇总统计!G$2:G$500,MATCH(146,样本到样信息汇总统计!$X$2:$X$500,0)),"")</f>
        <v/>
      </c>
      <c r="H147" s="8" t="str">
        <f>IFERROR(INDEX(样本到样信息汇总统计!H$2:H$500,MATCH(146,样本到样信息汇总统计!$X$2:$X$500,0)),"")</f>
        <v/>
      </c>
      <c r="I147" s="8" t="str">
        <f>IFERROR(INDEX(样本到样信息汇总统计!I$2:I$500,MATCH(146,样本到样信息汇总统计!$X$2:$X$500,0)),"")</f>
        <v/>
      </c>
      <c r="J147" s="8" t="str">
        <f>IFERROR(INDEX(样本到样信息汇总统计!J$2:J$500,MATCH(146,样本到样信息汇总统计!$X$2:$X$500,0)),"")</f>
        <v/>
      </c>
      <c r="K147" s="15" t="str">
        <f>IFERROR(INDEX(样本到样信息汇总统计!K$2:K$500,MATCH(146,样本到样信息汇总统计!$X$2:$X$500,0)),"")</f>
        <v/>
      </c>
      <c r="L147" s="8" t="str">
        <f>IFERROR(INDEX(样本到样信息汇总统计!L$2:L$500,MATCH(146,样本到样信息汇总统计!$X$2:$X$500,0)),"")</f>
        <v/>
      </c>
      <c r="M147" s="8" t="str">
        <f>IFERROR(INDEX(样本到样信息汇总统计!M$2:M$500,MATCH(146,样本到样信息汇总统计!$X$2:$X$500,0)),"")</f>
        <v/>
      </c>
      <c r="N147" s="8" t="str">
        <f>IFERROR(INDEX(样本到样信息汇总统计!N$2:N$500,MATCH(146,样本到样信息汇总统计!$X$2:$X$500,0)),"")</f>
        <v/>
      </c>
      <c r="O147" s="8" t="str">
        <f>IFERROR(INDEX(样本到样信息汇总统计!O$2:O$500,MATCH(146,样本到样信息汇总统计!$X$2:$X$500,0)),"")</f>
        <v/>
      </c>
      <c r="P147" s="8" t="str">
        <f>IFERROR(INDEX(样本到样信息汇总统计!P$2:P$500,MATCH(146,样本到样信息汇总统计!$X$2:$X$500,0)),"")</f>
        <v/>
      </c>
      <c r="Q147" s="8" t="str">
        <f>IFERROR(INDEX(样本到样信息汇总统计!Q$2:Q$500,MATCH(146,样本到样信息汇总统计!$X$2:$X$500,0)),"")</f>
        <v/>
      </c>
      <c r="R147" s="8" t="str">
        <f>IFERROR(INDEX(样本到样信息汇总统计!R$2:R$500,MATCH(146,样本到样信息汇总统计!$X$2:$X$500,0)),"")</f>
        <v/>
      </c>
      <c r="S147" s="8" t="str">
        <f>IFERROR(INDEX(样本到样信息汇总统计!S$2:S$500,MATCH(146,样本到样信息汇总统计!$X$2:$X$500,0)),"")</f>
        <v/>
      </c>
      <c r="T147" s="8" t="str">
        <f>IFERROR(INDEX(样本到样信息汇总统计!T$2:T$500,MATCH(146,样本到样信息汇总统计!$X$2:$X$500,0)),"")</f>
        <v/>
      </c>
      <c r="U147" s="8" t="str">
        <f>IFERROR(INDEX(样本到样信息汇总统计!U$2:U$500,MATCH(146,样本到样信息汇总统计!$X$2:$X$500,0)),"")</f>
        <v/>
      </c>
      <c r="V147" s="8" t="str">
        <f>IFERROR(INDEX(样本到样信息汇总统计!V$2:V$500,MATCH(146,样本到样信息汇总统计!$X$2:$X$500,0)),"")</f>
        <v/>
      </c>
      <c r="W147" s="8" t="str">
        <f>IFERROR(INDEX(样本到样信息汇总统计!W$2:W$500,MATCH(146,样本到样信息汇总统计!$X$2:$X$500,0)),"")</f>
        <v/>
      </c>
    </row>
    <row r="148" ht="14.5" spans="1:23">
      <c r="A148" s="4" t="str">
        <f>IFERROR(INDEX(样本到样信息汇总统计!A$2:A$500,MATCH(147,样本到样信息汇总统计!$X$2:$X$500,0)),"")</f>
        <v/>
      </c>
      <c r="B148" s="4" t="str">
        <f>IFERROR(INDEX(样本到样信息汇总统计!B$2:B$500,MATCH(147,样本到样信息汇总统计!$X$2:$X$500,0)),"")</f>
        <v/>
      </c>
      <c r="C148" s="4" t="str">
        <f>IFERROR(INDEX(样本到样信息汇总统计!C$2:C$500,MATCH(147,样本到样信息汇总统计!$X$2:$X$500,0)),"")</f>
        <v/>
      </c>
      <c r="D148" s="4" t="str">
        <f>IFERROR(INDEX(样本到样信息汇总统计!D$2:D$500,MATCH(147,样本到样信息汇总统计!$X$2:$X$500,0)),"")</f>
        <v/>
      </c>
      <c r="E148" s="4" t="str">
        <f>IFERROR(INDEX(样本到样信息汇总统计!E$2:E$500,MATCH(147,样本到样信息汇总统计!$X$2:$X$500,0)),"")</f>
        <v/>
      </c>
      <c r="F148" s="4" t="str">
        <f>IFERROR(INDEX(样本到样信息汇总统计!F$2:F$500,MATCH(147,样本到样信息汇总统计!$X$2:$X$500,0)),"")</f>
        <v/>
      </c>
      <c r="G148" s="4" t="str">
        <f>IFERROR(INDEX(样本到样信息汇总统计!G$2:G$500,MATCH(147,样本到样信息汇总统计!$X$2:$X$500,0)),"")</f>
        <v/>
      </c>
      <c r="H148" s="4" t="str">
        <f>IFERROR(INDEX(样本到样信息汇总统计!H$2:H$500,MATCH(147,样本到样信息汇总统计!$X$2:$X$500,0)),"")</f>
        <v/>
      </c>
      <c r="I148" s="4" t="str">
        <f>IFERROR(INDEX(样本到样信息汇总统计!I$2:I$500,MATCH(147,样本到样信息汇总统计!$X$2:$X$500,0)),"")</f>
        <v/>
      </c>
      <c r="J148" s="4" t="str">
        <f>IFERROR(INDEX(样本到样信息汇总统计!J$2:J$500,MATCH(147,样本到样信息汇总统计!$X$2:$X$500,0)),"")</f>
        <v/>
      </c>
      <c r="K148" s="14" t="str">
        <f>IFERROR(INDEX(样本到样信息汇总统计!K$2:K$500,MATCH(147,样本到样信息汇总统计!$X$2:$X$500,0)),"")</f>
        <v/>
      </c>
      <c r="L148" s="4" t="str">
        <f>IFERROR(INDEX(样本到样信息汇总统计!L$2:L$500,MATCH(147,样本到样信息汇总统计!$X$2:$X$500,0)),"")</f>
        <v/>
      </c>
      <c r="M148" s="4" t="str">
        <f>IFERROR(INDEX(样本到样信息汇总统计!M$2:M$500,MATCH(147,样本到样信息汇总统计!$X$2:$X$500,0)),"")</f>
        <v/>
      </c>
      <c r="N148" s="4" t="str">
        <f>IFERROR(INDEX(样本到样信息汇总统计!N$2:N$500,MATCH(147,样本到样信息汇总统计!$X$2:$X$500,0)),"")</f>
        <v/>
      </c>
      <c r="O148" s="4" t="str">
        <f>IFERROR(INDEX(样本到样信息汇总统计!O$2:O$500,MATCH(147,样本到样信息汇总统计!$X$2:$X$500,0)),"")</f>
        <v/>
      </c>
      <c r="P148" s="4" t="str">
        <f>IFERROR(INDEX(样本到样信息汇总统计!P$2:P$500,MATCH(147,样本到样信息汇总统计!$X$2:$X$500,0)),"")</f>
        <v/>
      </c>
      <c r="Q148" s="4" t="str">
        <f>IFERROR(INDEX(样本到样信息汇总统计!Q$2:Q$500,MATCH(147,样本到样信息汇总统计!$X$2:$X$500,0)),"")</f>
        <v/>
      </c>
      <c r="R148" s="4" t="str">
        <f>IFERROR(INDEX(样本到样信息汇总统计!R$2:R$500,MATCH(147,样本到样信息汇总统计!$X$2:$X$500,0)),"")</f>
        <v/>
      </c>
      <c r="S148" s="4" t="str">
        <f>IFERROR(INDEX(样本到样信息汇总统计!S$2:S$500,MATCH(147,样本到样信息汇总统计!$X$2:$X$500,0)),"")</f>
        <v/>
      </c>
      <c r="T148" s="4" t="str">
        <f>IFERROR(INDEX(样本到样信息汇总统计!T$2:T$500,MATCH(147,样本到样信息汇总统计!$X$2:$X$500,0)),"")</f>
        <v/>
      </c>
      <c r="U148" s="4" t="str">
        <f>IFERROR(INDEX(样本到样信息汇总统计!U$2:U$500,MATCH(147,样本到样信息汇总统计!$X$2:$X$500,0)),"")</f>
        <v/>
      </c>
      <c r="V148" s="4" t="str">
        <f>IFERROR(INDEX(样本到样信息汇总统计!V$2:V$500,MATCH(147,样本到样信息汇总统计!$X$2:$X$500,0)),"")</f>
        <v/>
      </c>
      <c r="W148" s="4" t="str">
        <f>IFERROR(INDEX(样本到样信息汇总统计!W$2:W$500,MATCH(147,样本到样信息汇总统计!$X$2:$X$500,0)),"")</f>
        <v/>
      </c>
    </row>
    <row r="149" ht="14.5" spans="1:23">
      <c r="A149" s="8" t="str">
        <f>IFERROR(INDEX(样本到样信息汇总统计!A$2:A$500,MATCH(148,样本到样信息汇总统计!$X$2:$X$500,0)),"")</f>
        <v/>
      </c>
      <c r="B149" s="8" t="str">
        <f>IFERROR(INDEX(样本到样信息汇总统计!B$2:B$500,MATCH(148,样本到样信息汇总统计!$X$2:$X$500,0)),"")</f>
        <v/>
      </c>
      <c r="C149" s="8" t="str">
        <f>IFERROR(INDEX(样本到样信息汇总统计!C$2:C$500,MATCH(148,样本到样信息汇总统计!$X$2:$X$500,0)),"")</f>
        <v/>
      </c>
      <c r="D149" s="8" t="str">
        <f>IFERROR(INDEX(样本到样信息汇总统计!D$2:D$500,MATCH(148,样本到样信息汇总统计!$X$2:$X$500,0)),"")</f>
        <v/>
      </c>
      <c r="E149" s="8" t="str">
        <f>IFERROR(INDEX(样本到样信息汇总统计!E$2:E$500,MATCH(148,样本到样信息汇总统计!$X$2:$X$500,0)),"")</f>
        <v/>
      </c>
      <c r="F149" s="8" t="str">
        <f>IFERROR(INDEX(样本到样信息汇总统计!F$2:F$500,MATCH(148,样本到样信息汇总统计!$X$2:$X$500,0)),"")</f>
        <v/>
      </c>
      <c r="G149" s="8" t="str">
        <f>IFERROR(INDEX(样本到样信息汇总统计!G$2:G$500,MATCH(148,样本到样信息汇总统计!$X$2:$X$500,0)),"")</f>
        <v/>
      </c>
      <c r="H149" s="8" t="str">
        <f>IFERROR(INDEX(样本到样信息汇总统计!H$2:H$500,MATCH(148,样本到样信息汇总统计!$X$2:$X$500,0)),"")</f>
        <v/>
      </c>
      <c r="I149" s="8" t="str">
        <f>IFERROR(INDEX(样本到样信息汇总统计!I$2:I$500,MATCH(148,样本到样信息汇总统计!$X$2:$X$500,0)),"")</f>
        <v/>
      </c>
      <c r="J149" s="8" t="str">
        <f>IFERROR(INDEX(样本到样信息汇总统计!J$2:J$500,MATCH(148,样本到样信息汇总统计!$X$2:$X$500,0)),"")</f>
        <v/>
      </c>
      <c r="K149" s="15" t="str">
        <f>IFERROR(INDEX(样本到样信息汇总统计!K$2:K$500,MATCH(148,样本到样信息汇总统计!$X$2:$X$500,0)),"")</f>
        <v/>
      </c>
      <c r="L149" s="8" t="str">
        <f>IFERROR(INDEX(样本到样信息汇总统计!L$2:L$500,MATCH(148,样本到样信息汇总统计!$X$2:$X$500,0)),"")</f>
        <v/>
      </c>
      <c r="M149" s="8" t="str">
        <f>IFERROR(INDEX(样本到样信息汇总统计!M$2:M$500,MATCH(148,样本到样信息汇总统计!$X$2:$X$500,0)),"")</f>
        <v/>
      </c>
      <c r="N149" s="8" t="str">
        <f>IFERROR(INDEX(样本到样信息汇总统计!N$2:N$500,MATCH(148,样本到样信息汇总统计!$X$2:$X$500,0)),"")</f>
        <v/>
      </c>
      <c r="O149" s="8" t="str">
        <f>IFERROR(INDEX(样本到样信息汇总统计!O$2:O$500,MATCH(148,样本到样信息汇总统计!$X$2:$X$500,0)),"")</f>
        <v/>
      </c>
      <c r="P149" s="8" t="str">
        <f>IFERROR(INDEX(样本到样信息汇总统计!P$2:P$500,MATCH(148,样本到样信息汇总统计!$X$2:$X$500,0)),"")</f>
        <v/>
      </c>
      <c r="Q149" s="8" t="str">
        <f>IFERROR(INDEX(样本到样信息汇总统计!Q$2:Q$500,MATCH(148,样本到样信息汇总统计!$X$2:$X$500,0)),"")</f>
        <v/>
      </c>
      <c r="R149" s="8" t="str">
        <f>IFERROR(INDEX(样本到样信息汇总统计!R$2:R$500,MATCH(148,样本到样信息汇总统计!$X$2:$X$500,0)),"")</f>
        <v/>
      </c>
      <c r="S149" s="8" t="str">
        <f>IFERROR(INDEX(样本到样信息汇总统计!S$2:S$500,MATCH(148,样本到样信息汇总统计!$X$2:$X$500,0)),"")</f>
        <v/>
      </c>
      <c r="T149" s="8" t="str">
        <f>IFERROR(INDEX(样本到样信息汇总统计!T$2:T$500,MATCH(148,样本到样信息汇总统计!$X$2:$X$500,0)),"")</f>
        <v/>
      </c>
      <c r="U149" s="8" t="str">
        <f>IFERROR(INDEX(样本到样信息汇总统计!U$2:U$500,MATCH(148,样本到样信息汇总统计!$X$2:$X$500,0)),"")</f>
        <v/>
      </c>
      <c r="V149" s="8" t="str">
        <f>IFERROR(INDEX(样本到样信息汇总统计!V$2:V$500,MATCH(148,样本到样信息汇总统计!$X$2:$X$500,0)),"")</f>
        <v/>
      </c>
      <c r="W149" s="8" t="str">
        <f>IFERROR(INDEX(样本到样信息汇总统计!W$2:W$500,MATCH(148,样本到样信息汇总统计!$X$2:$X$500,0)),"")</f>
        <v/>
      </c>
    </row>
    <row r="150" ht="14.5" spans="1:23">
      <c r="A150" s="4" t="str">
        <f>IFERROR(INDEX(样本到样信息汇总统计!A$2:A$500,MATCH(149,样本到样信息汇总统计!$X$2:$X$500,0)),"")</f>
        <v/>
      </c>
      <c r="B150" s="4" t="str">
        <f>IFERROR(INDEX(样本到样信息汇总统计!B$2:B$500,MATCH(149,样本到样信息汇总统计!$X$2:$X$500,0)),"")</f>
        <v/>
      </c>
      <c r="C150" s="4" t="str">
        <f>IFERROR(INDEX(样本到样信息汇总统计!C$2:C$500,MATCH(149,样本到样信息汇总统计!$X$2:$X$500,0)),"")</f>
        <v/>
      </c>
      <c r="D150" s="4" t="str">
        <f>IFERROR(INDEX(样本到样信息汇总统计!D$2:D$500,MATCH(149,样本到样信息汇总统计!$X$2:$X$500,0)),"")</f>
        <v/>
      </c>
      <c r="E150" s="4" t="str">
        <f>IFERROR(INDEX(样本到样信息汇总统计!E$2:E$500,MATCH(149,样本到样信息汇总统计!$X$2:$X$500,0)),"")</f>
        <v/>
      </c>
      <c r="F150" s="4" t="str">
        <f>IFERROR(INDEX(样本到样信息汇总统计!F$2:F$500,MATCH(149,样本到样信息汇总统计!$X$2:$X$500,0)),"")</f>
        <v/>
      </c>
      <c r="G150" s="4" t="str">
        <f>IFERROR(INDEX(样本到样信息汇总统计!G$2:G$500,MATCH(149,样本到样信息汇总统计!$X$2:$X$500,0)),"")</f>
        <v/>
      </c>
      <c r="H150" s="4" t="str">
        <f>IFERROR(INDEX(样本到样信息汇总统计!H$2:H$500,MATCH(149,样本到样信息汇总统计!$X$2:$X$500,0)),"")</f>
        <v/>
      </c>
      <c r="I150" s="4" t="str">
        <f>IFERROR(INDEX(样本到样信息汇总统计!I$2:I$500,MATCH(149,样本到样信息汇总统计!$X$2:$X$500,0)),"")</f>
        <v/>
      </c>
      <c r="J150" s="4" t="str">
        <f>IFERROR(INDEX(样本到样信息汇总统计!J$2:J$500,MATCH(149,样本到样信息汇总统计!$X$2:$X$500,0)),"")</f>
        <v/>
      </c>
      <c r="K150" s="14" t="str">
        <f>IFERROR(INDEX(样本到样信息汇总统计!K$2:K$500,MATCH(149,样本到样信息汇总统计!$X$2:$X$500,0)),"")</f>
        <v/>
      </c>
      <c r="L150" s="4" t="str">
        <f>IFERROR(INDEX(样本到样信息汇总统计!L$2:L$500,MATCH(149,样本到样信息汇总统计!$X$2:$X$500,0)),"")</f>
        <v/>
      </c>
      <c r="M150" s="4" t="str">
        <f>IFERROR(INDEX(样本到样信息汇总统计!M$2:M$500,MATCH(149,样本到样信息汇总统计!$X$2:$X$500,0)),"")</f>
        <v/>
      </c>
      <c r="N150" s="4" t="str">
        <f>IFERROR(INDEX(样本到样信息汇总统计!N$2:N$500,MATCH(149,样本到样信息汇总统计!$X$2:$X$500,0)),"")</f>
        <v/>
      </c>
      <c r="O150" s="4" t="str">
        <f>IFERROR(INDEX(样本到样信息汇总统计!O$2:O$500,MATCH(149,样本到样信息汇总统计!$X$2:$X$500,0)),"")</f>
        <v/>
      </c>
      <c r="P150" s="4" t="str">
        <f>IFERROR(INDEX(样本到样信息汇总统计!P$2:P$500,MATCH(149,样本到样信息汇总统计!$X$2:$X$500,0)),"")</f>
        <v/>
      </c>
      <c r="Q150" s="4" t="str">
        <f>IFERROR(INDEX(样本到样信息汇总统计!Q$2:Q$500,MATCH(149,样本到样信息汇总统计!$X$2:$X$500,0)),"")</f>
        <v/>
      </c>
      <c r="R150" s="4" t="str">
        <f>IFERROR(INDEX(样本到样信息汇总统计!R$2:R$500,MATCH(149,样本到样信息汇总统计!$X$2:$X$500,0)),"")</f>
        <v/>
      </c>
      <c r="S150" s="4" t="str">
        <f>IFERROR(INDEX(样本到样信息汇总统计!S$2:S$500,MATCH(149,样本到样信息汇总统计!$X$2:$X$500,0)),"")</f>
        <v/>
      </c>
      <c r="T150" s="4" t="str">
        <f>IFERROR(INDEX(样本到样信息汇总统计!T$2:T$500,MATCH(149,样本到样信息汇总统计!$X$2:$X$500,0)),"")</f>
        <v/>
      </c>
      <c r="U150" s="4" t="str">
        <f>IFERROR(INDEX(样本到样信息汇总统计!U$2:U$500,MATCH(149,样本到样信息汇总统计!$X$2:$X$500,0)),"")</f>
        <v/>
      </c>
      <c r="V150" s="4" t="str">
        <f>IFERROR(INDEX(样本到样信息汇总统计!V$2:V$500,MATCH(149,样本到样信息汇总统计!$X$2:$X$500,0)),"")</f>
        <v/>
      </c>
      <c r="W150" s="4" t="str">
        <f>IFERROR(INDEX(样本到样信息汇总统计!W$2:W$500,MATCH(149,样本到样信息汇总统计!$X$2:$X$500,0)),"")</f>
        <v/>
      </c>
    </row>
    <row r="151" ht="14.5" spans="1:23">
      <c r="A151" s="8" t="str">
        <f>IFERROR(INDEX(样本到样信息汇总统计!A$2:A$500,MATCH(150,样本到样信息汇总统计!$X$2:$X$500,0)),"")</f>
        <v/>
      </c>
      <c r="B151" s="8" t="str">
        <f>IFERROR(INDEX(样本到样信息汇总统计!B$2:B$500,MATCH(150,样本到样信息汇总统计!$X$2:$X$500,0)),"")</f>
        <v/>
      </c>
      <c r="C151" s="8" t="str">
        <f>IFERROR(INDEX(样本到样信息汇总统计!C$2:C$500,MATCH(150,样本到样信息汇总统计!$X$2:$X$500,0)),"")</f>
        <v/>
      </c>
      <c r="D151" s="8" t="str">
        <f>IFERROR(INDEX(样本到样信息汇总统计!D$2:D$500,MATCH(150,样本到样信息汇总统计!$X$2:$X$500,0)),"")</f>
        <v/>
      </c>
      <c r="E151" s="8" t="str">
        <f>IFERROR(INDEX(样本到样信息汇总统计!E$2:E$500,MATCH(150,样本到样信息汇总统计!$X$2:$X$500,0)),"")</f>
        <v/>
      </c>
      <c r="F151" s="8" t="str">
        <f>IFERROR(INDEX(样本到样信息汇总统计!F$2:F$500,MATCH(150,样本到样信息汇总统计!$X$2:$X$500,0)),"")</f>
        <v/>
      </c>
      <c r="G151" s="8" t="str">
        <f>IFERROR(INDEX(样本到样信息汇总统计!G$2:G$500,MATCH(150,样本到样信息汇总统计!$X$2:$X$500,0)),"")</f>
        <v/>
      </c>
      <c r="H151" s="8" t="str">
        <f>IFERROR(INDEX(样本到样信息汇总统计!H$2:H$500,MATCH(150,样本到样信息汇总统计!$X$2:$X$500,0)),"")</f>
        <v/>
      </c>
      <c r="I151" s="8" t="str">
        <f>IFERROR(INDEX(样本到样信息汇总统计!I$2:I$500,MATCH(150,样本到样信息汇总统计!$X$2:$X$500,0)),"")</f>
        <v/>
      </c>
      <c r="J151" s="8" t="str">
        <f>IFERROR(INDEX(样本到样信息汇总统计!J$2:J$500,MATCH(150,样本到样信息汇总统计!$X$2:$X$500,0)),"")</f>
        <v/>
      </c>
      <c r="K151" s="15" t="str">
        <f>IFERROR(INDEX(样本到样信息汇总统计!K$2:K$500,MATCH(150,样本到样信息汇总统计!$X$2:$X$500,0)),"")</f>
        <v/>
      </c>
      <c r="L151" s="8" t="str">
        <f>IFERROR(INDEX(样本到样信息汇总统计!L$2:L$500,MATCH(150,样本到样信息汇总统计!$X$2:$X$500,0)),"")</f>
        <v/>
      </c>
      <c r="M151" s="8" t="str">
        <f>IFERROR(INDEX(样本到样信息汇总统计!M$2:M$500,MATCH(150,样本到样信息汇总统计!$X$2:$X$500,0)),"")</f>
        <v/>
      </c>
      <c r="N151" s="8" t="str">
        <f>IFERROR(INDEX(样本到样信息汇总统计!N$2:N$500,MATCH(150,样本到样信息汇总统计!$X$2:$X$500,0)),"")</f>
        <v/>
      </c>
      <c r="O151" s="8" t="str">
        <f>IFERROR(INDEX(样本到样信息汇总统计!O$2:O$500,MATCH(150,样本到样信息汇总统计!$X$2:$X$500,0)),"")</f>
        <v/>
      </c>
      <c r="P151" s="8" t="str">
        <f>IFERROR(INDEX(样本到样信息汇总统计!P$2:P$500,MATCH(150,样本到样信息汇总统计!$X$2:$X$500,0)),"")</f>
        <v/>
      </c>
      <c r="Q151" s="8" t="str">
        <f>IFERROR(INDEX(样本到样信息汇总统计!Q$2:Q$500,MATCH(150,样本到样信息汇总统计!$X$2:$X$500,0)),"")</f>
        <v/>
      </c>
      <c r="R151" s="8" t="str">
        <f>IFERROR(INDEX(样本到样信息汇总统计!R$2:R$500,MATCH(150,样本到样信息汇总统计!$X$2:$X$500,0)),"")</f>
        <v/>
      </c>
      <c r="S151" s="8" t="str">
        <f>IFERROR(INDEX(样本到样信息汇总统计!S$2:S$500,MATCH(150,样本到样信息汇总统计!$X$2:$X$500,0)),"")</f>
        <v/>
      </c>
      <c r="T151" s="8" t="str">
        <f>IFERROR(INDEX(样本到样信息汇总统计!T$2:T$500,MATCH(150,样本到样信息汇总统计!$X$2:$X$500,0)),"")</f>
        <v/>
      </c>
      <c r="U151" s="8" t="str">
        <f>IFERROR(INDEX(样本到样信息汇总统计!U$2:U$500,MATCH(150,样本到样信息汇总统计!$X$2:$X$500,0)),"")</f>
        <v/>
      </c>
      <c r="V151" s="8" t="str">
        <f>IFERROR(INDEX(样本到样信息汇总统计!V$2:V$500,MATCH(150,样本到样信息汇总统计!$X$2:$X$500,0)),"")</f>
        <v/>
      </c>
      <c r="W151" s="8" t="str">
        <f>IFERROR(INDEX(样本到样信息汇总统计!W$2:W$500,MATCH(150,样本到样信息汇总统计!$X$2:$X$500,0)),"")</f>
        <v/>
      </c>
    </row>
    <row r="152" ht="14.5" spans="1:23">
      <c r="A152" s="4" t="str">
        <f>IFERROR(INDEX(样本到样信息汇总统计!A$2:A$500,MATCH(151,样本到样信息汇总统计!$X$2:$X$500,0)),"")</f>
        <v/>
      </c>
      <c r="B152" s="4" t="str">
        <f>IFERROR(INDEX(样本到样信息汇总统计!B$2:B$500,MATCH(151,样本到样信息汇总统计!$X$2:$X$500,0)),"")</f>
        <v/>
      </c>
      <c r="C152" s="4" t="str">
        <f>IFERROR(INDEX(样本到样信息汇总统计!C$2:C$500,MATCH(151,样本到样信息汇总统计!$X$2:$X$500,0)),"")</f>
        <v/>
      </c>
      <c r="D152" s="4" t="str">
        <f>IFERROR(INDEX(样本到样信息汇总统计!D$2:D$500,MATCH(151,样本到样信息汇总统计!$X$2:$X$500,0)),"")</f>
        <v/>
      </c>
      <c r="E152" s="4" t="str">
        <f>IFERROR(INDEX(样本到样信息汇总统计!E$2:E$500,MATCH(151,样本到样信息汇总统计!$X$2:$X$500,0)),"")</f>
        <v/>
      </c>
      <c r="F152" s="4" t="str">
        <f>IFERROR(INDEX(样本到样信息汇总统计!F$2:F$500,MATCH(151,样本到样信息汇总统计!$X$2:$X$500,0)),"")</f>
        <v/>
      </c>
      <c r="G152" s="4" t="str">
        <f>IFERROR(INDEX(样本到样信息汇总统计!G$2:G$500,MATCH(151,样本到样信息汇总统计!$X$2:$X$500,0)),"")</f>
        <v/>
      </c>
      <c r="H152" s="4" t="str">
        <f>IFERROR(INDEX(样本到样信息汇总统计!H$2:H$500,MATCH(151,样本到样信息汇总统计!$X$2:$X$500,0)),"")</f>
        <v/>
      </c>
      <c r="I152" s="4" t="str">
        <f>IFERROR(INDEX(样本到样信息汇总统计!I$2:I$500,MATCH(151,样本到样信息汇总统计!$X$2:$X$500,0)),"")</f>
        <v/>
      </c>
      <c r="J152" s="4" t="str">
        <f>IFERROR(INDEX(样本到样信息汇总统计!J$2:J$500,MATCH(151,样本到样信息汇总统计!$X$2:$X$500,0)),"")</f>
        <v/>
      </c>
      <c r="K152" s="14" t="str">
        <f>IFERROR(INDEX(样本到样信息汇总统计!K$2:K$500,MATCH(151,样本到样信息汇总统计!$X$2:$X$500,0)),"")</f>
        <v/>
      </c>
      <c r="L152" s="4" t="str">
        <f>IFERROR(INDEX(样本到样信息汇总统计!L$2:L$500,MATCH(151,样本到样信息汇总统计!$X$2:$X$500,0)),"")</f>
        <v/>
      </c>
      <c r="M152" s="4" t="str">
        <f>IFERROR(INDEX(样本到样信息汇总统计!M$2:M$500,MATCH(151,样本到样信息汇总统计!$X$2:$X$500,0)),"")</f>
        <v/>
      </c>
      <c r="N152" s="4" t="str">
        <f>IFERROR(INDEX(样本到样信息汇总统计!N$2:N$500,MATCH(151,样本到样信息汇总统计!$X$2:$X$500,0)),"")</f>
        <v/>
      </c>
      <c r="O152" s="4" t="str">
        <f>IFERROR(INDEX(样本到样信息汇总统计!O$2:O$500,MATCH(151,样本到样信息汇总统计!$X$2:$X$500,0)),"")</f>
        <v/>
      </c>
      <c r="P152" s="4" t="str">
        <f>IFERROR(INDEX(样本到样信息汇总统计!P$2:P$500,MATCH(151,样本到样信息汇总统计!$X$2:$X$500,0)),"")</f>
        <v/>
      </c>
      <c r="Q152" s="4" t="str">
        <f>IFERROR(INDEX(样本到样信息汇总统计!Q$2:Q$500,MATCH(151,样本到样信息汇总统计!$X$2:$X$500,0)),"")</f>
        <v/>
      </c>
      <c r="R152" s="4" t="str">
        <f>IFERROR(INDEX(样本到样信息汇总统计!R$2:R$500,MATCH(151,样本到样信息汇总统计!$X$2:$X$500,0)),"")</f>
        <v/>
      </c>
      <c r="S152" s="4" t="str">
        <f>IFERROR(INDEX(样本到样信息汇总统计!S$2:S$500,MATCH(151,样本到样信息汇总统计!$X$2:$X$500,0)),"")</f>
        <v/>
      </c>
      <c r="T152" s="4" t="str">
        <f>IFERROR(INDEX(样本到样信息汇总统计!T$2:T$500,MATCH(151,样本到样信息汇总统计!$X$2:$X$500,0)),"")</f>
        <v/>
      </c>
      <c r="U152" s="4" t="str">
        <f>IFERROR(INDEX(样本到样信息汇总统计!U$2:U$500,MATCH(151,样本到样信息汇总统计!$X$2:$X$500,0)),"")</f>
        <v/>
      </c>
      <c r="V152" s="4" t="str">
        <f>IFERROR(INDEX(样本到样信息汇总统计!V$2:V$500,MATCH(151,样本到样信息汇总统计!$X$2:$X$500,0)),"")</f>
        <v/>
      </c>
      <c r="W152" s="4" t="str">
        <f>IFERROR(INDEX(样本到样信息汇总统计!W$2:W$500,MATCH(151,样本到样信息汇总统计!$X$2:$X$500,0)),"")</f>
        <v/>
      </c>
    </row>
    <row r="153" ht="14.5" spans="1:23">
      <c r="A153" s="8" t="str">
        <f>IFERROR(INDEX(样本到样信息汇总统计!A$2:A$500,MATCH(152,样本到样信息汇总统计!$X$2:$X$500,0)),"")</f>
        <v/>
      </c>
      <c r="B153" s="8" t="str">
        <f>IFERROR(INDEX(样本到样信息汇总统计!B$2:B$500,MATCH(152,样本到样信息汇总统计!$X$2:$X$500,0)),"")</f>
        <v/>
      </c>
      <c r="C153" s="8" t="str">
        <f>IFERROR(INDEX(样本到样信息汇总统计!C$2:C$500,MATCH(152,样本到样信息汇总统计!$X$2:$X$500,0)),"")</f>
        <v/>
      </c>
      <c r="D153" s="8" t="str">
        <f>IFERROR(INDEX(样本到样信息汇总统计!D$2:D$500,MATCH(152,样本到样信息汇总统计!$X$2:$X$500,0)),"")</f>
        <v/>
      </c>
      <c r="E153" s="8" t="str">
        <f>IFERROR(INDEX(样本到样信息汇总统计!E$2:E$500,MATCH(152,样本到样信息汇总统计!$X$2:$X$500,0)),"")</f>
        <v/>
      </c>
      <c r="F153" s="8" t="str">
        <f>IFERROR(INDEX(样本到样信息汇总统计!F$2:F$500,MATCH(152,样本到样信息汇总统计!$X$2:$X$500,0)),"")</f>
        <v/>
      </c>
      <c r="G153" s="8" t="str">
        <f>IFERROR(INDEX(样本到样信息汇总统计!G$2:G$500,MATCH(152,样本到样信息汇总统计!$X$2:$X$500,0)),"")</f>
        <v/>
      </c>
      <c r="H153" s="8" t="str">
        <f>IFERROR(INDEX(样本到样信息汇总统计!H$2:H$500,MATCH(152,样本到样信息汇总统计!$X$2:$X$500,0)),"")</f>
        <v/>
      </c>
      <c r="I153" s="8" t="str">
        <f>IFERROR(INDEX(样本到样信息汇总统计!I$2:I$500,MATCH(152,样本到样信息汇总统计!$X$2:$X$500,0)),"")</f>
        <v/>
      </c>
      <c r="J153" s="8" t="str">
        <f>IFERROR(INDEX(样本到样信息汇总统计!J$2:J$500,MATCH(152,样本到样信息汇总统计!$X$2:$X$500,0)),"")</f>
        <v/>
      </c>
      <c r="K153" s="15" t="str">
        <f>IFERROR(INDEX(样本到样信息汇总统计!K$2:K$500,MATCH(152,样本到样信息汇总统计!$X$2:$X$500,0)),"")</f>
        <v/>
      </c>
      <c r="L153" s="8" t="str">
        <f>IFERROR(INDEX(样本到样信息汇总统计!L$2:L$500,MATCH(152,样本到样信息汇总统计!$X$2:$X$500,0)),"")</f>
        <v/>
      </c>
      <c r="M153" s="8" t="str">
        <f>IFERROR(INDEX(样本到样信息汇总统计!M$2:M$500,MATCH(152,样本到样信息汇总统计!$X$2:$X$500,0)),"")</f>
        <v/>
      </c>
      <c r="N153" s="8" t="str">
        <f>IFERROR(INDEX(样本到样信息汇总统计!N$2:N$500,MATCH(152,样本到样信息汇总统计!$X$2:$X$500,0)),"")</f>
        <v/>
      </c>
      <c r="O153" s="8" t="str">
        <f>IFERROR(INDEX(样本到样信息汇总统计!O$2:O$500,MATCH(152,样本到样信息汇总统计!$X$2:$X$500,0)),"")</f>
        <v/>
      </c>
      <c r="P153" s="8" t="str">
        <f>IFERROR(INDEX(样本到样信息汇总统计!P$2:P$500,MATCH(152,样本到样信息汇总统计!$X$2:$X$500,0)),"")</f>
        <v/>
      </c>
      <c r="Q153" s="8" t="str">
        <f>IFERROR(INDEX(样本到样信息汇总统计!Q$2:Q$500,MATCH(152,样本到样信息汇总统计!$X$2:$X$500,0)),"")</f>
        <v/>
      </c>
      <c r="R153" s="8" t="str">
        <f>IFERROR(INDEX(样本到样信息汇总统计!R$2:R$500,MATCH(152,样本到样信息汇总统计!$X$2:$X$500,0)),"")</f>
        <v/>
      </c>
      <c r="S153" s="8" t="str">
        <f>IFERROR(INDEX(样本到样信息汇总统计!S$2:S$500,MATCH(152,样本到样信息汇总统计!$X$2:$X$500,0)),"")</f>
        <v/>
      </c>
      <c r="T153" s="8" t="str">
        <f>IFERROR(INDEX(样本到样信息汇总统计!T$2:T$500,MATCH(152,样本到样信息汇总统计!$X$2:$X$500,0)),"")</f>
        <v/>
      </c>
      <c r="U153" s="8" t="str">
        <f>IFERROR(INDEX(样本到样信息汇总统计!U$2:U$500,MATCH(152,样本到样信息汇总统计!$X$2:$X$500,0)),"")</f>
        <v/>
      </c>
      <c r="V153" s="8" t="str">
        <f>IFERROR(INDEX(样本到样信息汇总统计!V$2:V$500,MATCH(152,样本到样信息汇总统计!$X$2:$X$500,0)),"")</f>
        <v/>
      </c>
      <c r="W153" s="8" t="str">
        <f>IFERROR(INDEX(样本到样信息汇总统计!W$2:W$500,MATCH(152,样本到样信息汇总统计!$X$2:$X$500,0)),"")</f>
        <v/>
      </c>
    </row>
    <row r="154" ht="14.5" spans="1:23">
      <c r="A154" s="4" t="str">
        <f>IFERROR(INDEX(样本到样信息汇总统计!A$2:A$500,MATCH(153,样本到样信息汇总统计!$X$2:$X$500,0)),"")</f>
        <v/>
      </c>
      <c r="B154" s="4" t="str">
        <f>IFERROR(INDEX(样本到样信息汇总统计!B$2:B$500,MATCH(153,样本到样信息汇总统计!$X$2:$X$500,0)),"")</f>
        <v/>
      </c>
      <c r="C154" s="4" t="str">
        <f>IFERROR(INDEX(样本到样信息汇总统计!C$2:C$500,MATCH(153,样本到样信息汇总统计!$X$2:$X$500,0)),"")</f>
        <v/>
      </c>
      <c r="D154" s="4" t="str">
        <f>IFERROR(INDEX(样本到样信息汇总统计!D$2:D$500,MATCH(153,样本到样信息汇总统计!$X$2:$X$500,0)),"")</f>
        <v/>
      </c>
      <c r="E154" s="4" t="str">
        <f>IFERROR(INDEX(样本到样信息汇总统计!E$2:E$500,MATCH(153,样本到样信息汇总统计!$X$2:$X$500,0)),"")</f>
        <v/>
      </c>
      <c r="F154" s="4" t="str">
        <f>IFERROR(INDEX(样本到样信息汇总统计!F$2:F$500,MATCH(153,样本到样信息汇总统计!$X$2:$X$500,0)),"")</f>
        <v/>
      </c>
      <c r="G154" s="4" t="str">
        <f>IFERROR(INDEX(样本到样信息汇总统计!G$2:G$500,MATCH(153,样本到样信息汇总统计!$X$2:$X$500,0)),"")</f>
        <v/>
      </c>
      <c r="H154" s="4" t="str">
        <f>IFERROR(INDEX(样本到样信息汇总统计!H$2:H$500,MATCH(153,样本到样信息汇总统计!$X$2:$X$500,0)),"")</f>
        <v/>
      </c>
      <c r="I154" s="4" t="str">
        <f>IFERROR(INDEX(样本到样信息汇总统计!I$2:I$500,MATCH(153,样本到样信息汇总统计!$X$2:$X$500,0)),"")</f>
        <v/>
      </c>
      <c r="J154" s="4" t="str">
        <f>IFERROR(INDEX(样本到样信息汇总统计!J$2:J$500,MATCH(153,样本到样信息汇总统计!$X$2:$X$500,0)),"")</f>
        <v/>
      </c>
      <c r="K154" s="14" t="str">
        <f>IFERROR(INDEX(样本到样信息汇总统计!K$2:K$500,MATCH(153,样本到样信息汇总统计!$X$2:$X$500,0)),"")</f>
        <v/>
      </c>
      <c r="L154" s="4" t="str">
        <f>IFERROR(INDEX(样本到样信息汇总统计!L$2:L$500,MATCH(153,样本到样信息汇总统计!$X$2:$X$500,0)),"")</f>
        <v/>
      </c>
      <c r="M154" s="4" t="str">
        <f>IFERROR(INDEX(样本到样信息汇总统计!M$2:M$500,MATCH(153,样本到样信息汇总统计!$X$2:$X$500,0)),"")</f>
        <v/>
      </c>
      <c r="N154" s="4" t="str">
        <f>IFERROR(INDEX(样本到样信息汇总统计!N$2:N$500,MATCH(153,样本到样信息汇总统计!$X$2:$X$500,0)),"")</f>
        <v/>
      </c>
      <c r="O154" s="4" t="str">
        <f>IFERROR(INDEX(样本到样信息汇总统计!O$2:O$500,MATCH(153,样本到样信息汇总统计!$X$2:$X$500,0)),"")</f>
        <v/>
      </c>
      <c r="P154" s="4" t="str">
        <f>IFERROR(INDEX(样本到样信息汇总统计!P$2:P$500,MATCH(153,样本到样信息汇总统计!$X$2:$X$500,0)),"")</f>
        <v/>
      </c>
      <c r="Q154" s="4" t="str">
        <f>IFERROR(INDEX(样本到样信息汇总统计!Q$2:Q$500,MATCH(153,样本到样信息汇总统计!$X$2:$X$500,0)),"")</f>
        <v/>
      </c>
      <c r="R154" s="4" t="str">
        <f>IFERROR(INDEX(样本到样信息汇总统计!R$2:R$500,MATCH(153,样本到样信息汇总统计!$X$2:$X$500,0)),"")</f>
        <v/>
      </c>
      <c r="S154" s="4" t="str">
        <f>IFERROR(INDEX(样本到样信息汇总统计!S$2:S$500,MATCH(153,样本到样信息汇总统计!$X$2:$X$500,0)),"")</f>
        <v/>
      </c>
      <c r="T154" s="4" t="str">
        <f>IFERROR(INDEX(样本到样信息汇总统计!T$2:T$500,MATCH(153,样本到样信息汇总统计!$X$2:$X$500,0)),"")</f>
        <v/>
      </c>
      <c r="U154" s="4" t="str">
        <f>IFERROR(INDEX(样本到样信息汇总统计!U$2:U$500,MATCH(153,样本到样信息汇总统计!$X$2:$X$500,0)),"")</f>
        <v/>
      </c>
      <c r="V154" s="4" t="str">
        <f>IFERROR(INDEX(样本到样信息汇总统计!V$2:V$500,MATCH(153,样本到样信息汇总统计!$X$2:$X$500,0)),"")</f>
        <v/>
      </c>
      <c r="W154" s="4" t="str">
        <f>IFERROR(INDEX(样本到样信息汇总统计!W$2:W$500,MATCH(153,样本到样信息汇总统计!$X$2:$X$500,0)),"")</f>
        <v/>
      </c>
    </row>
    <row r="155" ht="14.5" spans="1:23">
      <c r="A155" s="8" t="str">
        <f>IFERROR(INDEX(样本到样信息汇总统计!A$2:A$500,MATCH(154,样本到样信息汇总统计!$X$2:$X$500,0)),"")</f>
        <v/>
      </c>
      <c r="B155" s="8" t="str">
        <f>IFERROR(INDEX(样本到样信息汇总统计!B$2:B$500,MATCH(154,样本到样信息汇总统计!$X$2:$X$500,0)),"")</f>
        <v/>
      </c>
      <c r="C155" s="8" t="str">
        <f>IFERROR(INDEX(样本到样信息汇总统计!C$2:C$500,MATCH(154,样本到样信息汇总统计!$X$2:$X$500,0)),"")</f>
        <v/>
      </c>
      <c r="D155" s="8" t="str">
        <f>IFERROR(INDEX(样本到样信息汇总统计!D$2:D$500,MATCH(154,样本到样信息汇总统计!$X$2:$X$500,0)),"")</f>
        <v/>
      </c>
      <c r="E155" s="8" t="str">
        <f>IFERROR(INDEX(样本到样信息汇总统计!E$2:E$500,MATCH(154,样本到样信息汇总统计!$X$2:$X$500,0)),"")</f>
        <v/>
      </c>
      <c r="F155" s="8" t="str">
        <f>IFERROR(INDEX(样本到样信息汇总统计!F$2:F$500,MATCH(154,样本到样信息汇总统计!$X$2:$X$500,0)),"")</f>
        <v/>
      </c>
      <c r="G155" s="8" t="str">
        <f>IFERROR(INDEX(样本到样信息汇总统计!G$2:G$500,MATCH(154,样本到样信息汇总统计!$X$2:$X$500,0)),"")</f>
        <v/>
      </c>
      <c r="H155" s="8" t="str">
        <f>IFERROR(INDEX(样本到样信息汇总统计!H$2:H$500,MATCH(154,样本到样信息汇总统计!$X$2:$X$500,0)),"")</f>
        <v/>
      </c>
      <c r="I155" s="8" t="str">
        <f>IFERROR(INDEX(样本到样信息汇总统计!I$2:I$500,MATCH(154,样本到样信息汇总统计!$X$2:$X$500,0)),"")</f>
        <v/>
      </c>
      <c r="J155" s="8" t="str">
        <f>IFERROR(INDEX(样本到样信息汇总统计!J$2:J$500,MATCH(154,样本到样信息汇总统计!$X$2:$X$500,0)),"")</f>
        <v/>
      </c>
      <c r="K155" s="15" t="str">
        <f>IFERROR(INDEX(样本到样信息汇总统计!K$2:K$500,MATCH(154,样本到样信息汇总统计!$X$2:$X$500,0)),"")</f>
        <v/>
      </c>
      <c r="L155" s="8" t="str">
        <f>IFERROR(INDEX(样本到样信息汇总统计!L$2:L$500,MATCH(154,样本到样信息汇总统计!$X$2:$X$500,0)),"")</f>
        <v/>
      </c>
      <c r="M155" s="8" t="str">
        <f>IFERROR(INDEX(样本到样信息汇总统计!M$2:M$500,MATCH(154,样本到样信息汇总统计!$X$2:$X$500,0)),"")</f>
        <v/>
      </c>
      <c r="N155" s="8" t="str">
        <f>IFERROR(INDEX(样本到样信息汇总统计!N$2:N$500,MATCH(154,样本到样信息汇总统计!$X$2:$X$500,0)),"")</f>
        <v/>
      </c>
      <c r="O155" s="8" t="str">
        <f>IFERROR(INDEX(样本到样信息汇总统计!O$2:O$500,MATCH(154,样本到样信息汇总统计!$X$2:$X$500,0)),"")</f>
        <v/>
      </c>
      <c r="P155" s="8" t="str">
        <f>IFERROR(INDEX(样本到样信息汇总统计!P$2:P$500,MATCH(154,样本到样信息汇总统计!$X$2:$X$500,0)),"")</f>
        <v/>
      </c>
      <c r="Q155" s="8" t="str">
        <f>IFERROR(INDEX(样本到样信息汇总统计!Q$2:Q$500,MATCH(154,样本到样信息汇总统计!$X$2:$X$500,0)),"")</f>
        <v/>
      </c>
      <c r="R155" s="8" t="str">
        <f>IFERROR(INDEX(样本到样信息汇总统计!R$2:R$500,MATCH(154,样本到样信息汇总统计!$X$2:$X$500,0)),"")</f>
        <v/>
      </c>
      <c r="S155" s="8" t="str">
        <f>IFERROR(INDEX(样本到样信息汇总统计!S$2:S$500,MATCH(154,样本到样信息汇总统计!$X$2:$X$500,0)),"")</f>
        <v/>
      </c>
      <c r="T155" s="8" t="str">
        <f>IFERROR(INDEX(样本到样信息汇总统计!T$2:T$500,MATCH(154,样本到样信息汇总统计!$X$2:$X$500,0)),"")</f>
        <v/>
      </c>
      <c r="U155" s="8" t="str">
        <f>IFERROR(INDEX(样本到样信息汇总统计!U$2:U$500,MATCH(154,样本到样信息汇总统计!$X$2:$X$500,0)),"")</f>
        <v/>
      </c>
      <c r="V155" s="8" t="str">
        <f>IFERROR(INDEX(样本到样信息汇总统计!V$2:V$500,MATCH(154,样本到样信息汇总统计!$X$2:$X$500,0)),"")</f>
        <v/>
      </c>
      <c r="W155" s="8" t="str">
        <f>IFERROR(INDEX(样本到样信息汇总统计!W$2:W$500,MATCH(154,样本到样信息汇总统计!$X$2:$X$500,0)),"")</f>
        <v/>
      </c>
    </row>
    <row r="156" ht="14.5" spans="1:23">
      <c r="A156" s="4" t="str">
        <f>IFERROR(INDEX(样本到样信息汇总统计!A$2:A$500,MATCH(155,样本到样信息汇总统计!$X$2:$X$500,0)),"")</f>
        <v/>
      </c>
      <c r="B156" s="4" t="str">
        <f>IFERROR(INDEX(样本到样信息汇总统计!B$2:B$500,MATCH(155,样本到样信息汇总统计!$X$2:$X$500,0)),"")</f>
        <v/>
      </c>
      <c r="C156" s="4" t="str">
        <f>IFERROR(INDEX(样本到样信息汇总统计!C$2:C$500,MATCH(155,样本到样信息汇总统计!$X$2:$X$500,0)),"")</f>
        <v/>
      </c>
      <c r="D156" s="4" t="str">
        <f>IFERROR(INDEX(样本到样信息汇总统计!D$2:D$500,MATCH(155,样本到样信息汇总统计!$X$2:$X$500,0)),"")</f>
        <v/>
      </c>
      <c r="E156" s="4" t="str">
        <f>IFERROR(INDEX(样本到样信息汇总统计!E$2:E$500,MATCH(155,样本到样信息汇总统计!$X$2:$X$500,0)),"")</f>
        <v/>
      </c>
      <c r="F156" s="4" t="str">
        <f>IFERROR(INDEX(样本到样信息汇总统计!F$2:F$500,MATCH(155,样本到样信息汇总统计!$X$2:$X$500,0)),"")</f>
        <v/>
      </c>
      <c r="G156" s="4" t="str">
        <f>IFERROR(INDEX(样本到样信息汇总统计!G$2:G$500,MATCH(155,样本到样信息汇总统计!$X$2:$X$500,0)),"")</f>
        <v/>
      </c>
      <c r="H156" s="4" t="str">
        <f>IFERROR(INDEX(样本到样信息汇总统计!H$2:H$500,MATCH(155,样本到样信息汇总统计!$X$2:$X$500,0)),"")</f>
        <v/>
      </c>
      <c r="I156" s="4" t="str">
        <f>IFERROR(INDEX(样本到样信息汇总统计!I$2:I$500,MATCH(155,样本到样信息汇总统计!$X$2:$X$500,0)),"")</f>
        <v/>
      </c>
      <c r="J156" s="4" t="str">
        <f>IFERROR(INDEX(样本到样信息汇总统计!J$2:J$500,MATCH(155,样本到样信息汇总统计!$X$2:$X$500,0)),"")</f>
        <v/>
      </c>
      <c r="K156" s="14" t="str">
        <f>IFERROR(INDEX(样本到样信息汇总统计!K$2:K$500,MATCH(155,样本到样信息汇总统计!$X$2:$X$500,0)),"")</f>
        <v/>
      </c>
      <c r="L156" s="4" t="str">
        <f>IFERROR(INDEX(样本到样信息汇总统计!L$2:L$500,MATCH(155,样本到样信息汇总统计!$X$2:$X$500,0)),"")</f>
        <v/>
      </c>
      <c r="M156" s="4" t="str">
        <f>IFERROR(INDEX(样本到样信息汇总统计!M$2:M$500,MATCH(155,样本到样信息汇总统计!$X$2:$X$500,0)),"")</f>
        <v/>
      </c>
      <c r="N156" s="4" t="str">
        <f>IFERROR(INDEX(样本到样信息汇总统计!N$2:N$500,MATCH(155,样本到样信息汇总统计!$X$2:$X$500,0)),"")</f>
        <v/>
      </c>
      <c r="O156" s="4" t="str">
        <f>IFERROR(INDEX(样本到样信息汇总统计!O$2:O$500,MATCH(155,样本到样信息汇总统计!$X$2:$X$500,0)),"")</f>
        <v/>
      </c>
      <c r="P156" s="4" t="str">
        <f>IFERROR(INDEX(样本到样信息汇总统计!P$2:P$500,MATCH(155,样本到样信息汇总统计!$X$2:$X$500,0)),"")</f>
        <v/>
      </c>
      <c r="Q156" s="4" t="str">
        <f>IFERROR(INDEX(样本到样信息汇总统计!Q$2:Q$500,MATCH(155,样本到样信息汇总统计!$X$2:$X$500,0)),"")</f>
        <v/>
      </c>
      <c r="R156" s="4" t="str">
        <f>IFERROR(INDEX(样本到样信息汇总统计!R$2:R$500,MATCH(155,样本到样信息汇总统计!$X$2:$X$500,0)),"")</f>
        <v/>
      </c>
      <c r="S156" s="4" t="str">
        <f>IFERROR(INDEX(样本到样信息汇总统计!S$2:S$500,MATCH(155,样本到样信息汇总统计!$X$2:$X$500,0)),"")</f>
        <v/>
      </c>
      <c r="T156" s="4" t="str">
        <f>IFERROR(INDEX(样本到样信息汇总统计!T$2:T$500,MATCH(155,样本到样信息汇总统计!$X$2:$X$500,0)),"")</f>
        <v/>
      </c>
      <c r="U156" s="4" t="str">
        <f>IFERROR(INDEX(样本到样信息汇总统计!U$2:U$500,MATCH(155,样本到样信息汇总统计!$X$2:$X$500,0)),"")</f>
        <v/>
      </c>
      <c r="V156" s="4" t="str">
        <f>IFERROR(INDEX(样本到样信息汇总统计!V$2:V$500,MATCH(155,样本到样信息汇总统计!$X$2:$X$500,0)),"")</f>
        <v/>
      </c>
      <c r="W156" s="4" t="str">
        <f>IFERROR(INDEX(样本到样信息汇总统计!W$2:W$500,MATCH(155,样本到样信息汇总统计!$X$2:$X$500,0)),"")</f>
        <v/>
      </c>
    </row>
    <row r="157" ht="14.5" spans="1:23">
      <c r="A157" s="8" t="str">
        <f>IFERROR(INDEX(样本到样信息汇总统计!A$2:A$500,MATCH(156,样本到样信息汇总统计!$X$2:$X$500,0)),"")</f>
        <v/>
      </c>
      <c r="B157" s="8" t="str">
        <f>IFERROR(INDEX(样本到样信息汇总统计!B$2:B$500,MATCH(156,样本到样信息汇总统计!$X$2:$X$500,0)),"")</f>
        <v/>
      </c>
      <c r="C157" s="8" t="str">
        <f>IFERROR(INDEX(样本到样信息汇总统计!C$2:C$500,MATCH(156,样本到样信息汇总统计!$X$2:$X$500,0)),"")</f>
        <v/>
      </c>
      <c r="D157" s="8" t="str">
        <f>IFERROR(INDEX(样本到样信息汇总统计!D$2:D$500,MATCH(156,样本到样信息汇总统计!$X$2:$X$500,0)),"")</f>
        <v/>
      </c>
      <c r="E157" s="8" t="str">
        <f>IFERROR(INDEX(样本到样信息汇总统计!E$2:E$500,MATCH(156,样本到样信息汇总统计!$X$2:$X$500,0)),"")</f>
        <v/>
      </c>
      <c r="F157" s="8" t="str">
        <f>IFERROR(INDEX(样本到样信息汇总统计!F$2:F$500,MATCH(156,样本到样信息汇总统计!$X$2:$X$500,0)),"")</f>
        <v/>
      </c>
      <c r="G157" s="8" t="str">
        <f>IFERROR(INDEX(样本到样信息汇总统计!G$2:G$500,MATCH(156,样本到样信息汇总统计!$X$2:$X$500,0)),"")</f>
        <v/>
      </c>
      <c r="H157" s="8" t="str">
        <f>IFERROR(INDEX(样本到样信息汇总统计!H$2:H$500,MATCH(156,样本到样信息汇总统计!$X$2:$X$500,0)),"")</f>
        <v/>
      </c>
      <c r="I157" s="8" t="str">
        <f>IFERROR(INDEX(样本到样信息汇总统计!I$2:I$500,MATCH(156,样本到样信息汇总统计!$X$2:$X$500,0)),"")</f>
        <v/>
      </c>
      <c r="J157" s="8" t="str">
        <f>IFERROR(INDEX(样本到样信息汇总统计!J$2:J$500,MATCH(156,样本到样信息汇总统计!$X$2:$X$500,0)),"")</f>
        <v/>
      </c>
      <c r="K157" s="15" t="str">
        <f>IFERROR(INDEX(样本到样信息汇总统计!K$2:K$500,MATCH(156,样本到样信息汇总统计!$X$2:$X$500,0)),"")</f>
        <v/>
      </c>
      <c r="L157" s="8" t="str">
        <f>IFERROR(INDEX(样本到样信息汇总统计!L$2:L$500,MATCH(156,样本到样信息汇总统计!$X$2:$X$500,0)),"")</f>
        <v/>
      </c>
      <c r="M157" s="8" t="str">
        <f>IFERROR(INDEX(样本到样信息汇总统计!M$2:M$500,MATCH(156,样本到样信息汇总统计!$X$2:$X$500,0)),"")</f>
        <v/>
      </c>
      <c r="N157" s="8" t="str">
        <f>IFERROR(INDEX(样本到样信息汇总统计!N$2:N$500,MATCH(156,样本到样信息汇总统计!$X$2:$X$500,0)),"")</f>
        <v/>
      </c>
      <c r="O157" s="8" t="str">
        <f>IFERROR(INDEX(样本到样信息汇总统计!O$2:O$500,MATCH(156,样本到样信息汇总统计!$X$2:$X$500,0)),"")</f>
        <v/>
      </c>
      <c r="P157" s="8" t="str">
        <f>IFERROR(INDEX(样本到样信息汇总统计!P$2:P$500,MATCH(156,样本到样信息汇总统计!$X$2:$X$500,0)),"")</f>
        <v/>
      </c>
      <c r="Q157" s="8" t="str">
        <f>IFERROR(INDEX(样本到样信息汇总统计!Q$2:Q$500,MATCH(156,样本到样信息汇总统计!$X$2:$X$500,0)),"")</f>
        <v/>
      </c>
      <c r="R157" s="8" t="str">
        <f>IFERROR(INDEX(样本到样信息汇总统计!R$2:R$500,MATCH(156,样本到样信息汇总统计!$X$2:$X$500,0)),"")</f>
        <v/>
      </c>
      <c r="S157" s="8" t="str">
        <f>IFERROR(INDEX(样本到样信息汇总统计!S$2:S$500,MATCH(156,样本到样信息汇总统计!$X$2:$X$500,0)),"")</f>
        <v/>
      </c>
      <c r="T157" s="8" t="str">
        <f>IFERROR(INDEX(样本到样信息汇总统计!T$2:T$500,MATCH(156,样本到样信息汇总统计!$X$2:$X$500,0)),"")</f>
        <v/>
      </c>
      <c r="U157" s="8" t="str">
        <f>IFERROR(INDEX(样本到样信息汇总统计!U$2:U$500,MATCH(156,样本到样信息汇总统计!$X$2:$X$500,0)),"")</f>
        <v/>
      </c>
      <c r="V157" s="8" t="str">
        <f>IFERROR(INDEX(样本到样信息汇总统计!V$2:V$500,MATCH(156,样本到样信息汇总统计!$X$2:$X$500,0)),"")</f>
        <v/>
      </c>
      <c r="W157" s="8" t="str">
        <f>IFERROR(INDEX(样本到样信息汇总统计!W$2:W$500,MATCH(156,样本到样信息汇总统计!$X$2:$X$500,0)),"")</f>
        <v/>
      </c>
    </row>
    <row r="158" ht="14.5" spans="1:23">
      <c r="A158" s="4" t="str">
        <f>IFERROR(INDEX(样本到样信息汇总统计!A$2:A$500,MATCH(157,样本到样信息汇总统计!$X$2:$X$500,0)),"")</f>
        <v/>
      </c>
      <c r="B158" s="4" t="str">
        <f>IFERROR(INDEX(样本到样信息汇总统计!B$2:B$500,MATCH(157,样本到样信息汇总统计!$X$2:$X$500,0)),"")</f>
        <v/>
      </c>
      <c r="C158" s="4" t="str">
        <f>IFERROR(INDEX(样本到样信息汇总统计!C$2:C$500,MATCH(157,样本到样信息汇总统计!$X$2:$X$500,0)),"")</f>
        <v/>
      </c>
      <c r="D158" s="4" t="str">
        <f>IFERROR(INDEX(样本到样信息汇总统计!D$2:D$500,MATCH(157,样本到样信息汇总统计!$X$2:$X$500,0)),"")</f>
        <v/>
      </c>
      <c r="E158" s="4" t="str">
        <f>IFERROR(INDEX(样本到样信息汇总统计!E$2:E$500,MATCH(157,样本到样信息汇总统计!$X$2:$X$500,0)),"")</f>
        <v/>
      </c>
      <c r="F158" s="4" t="str">
        <f>IFERROR(INDEX(样本到样信息汇总统计!F$2:F$500,MATCH(157,样本到样信息汇总统计!$X$2:$X$500,0)),"")</f>
        <v/>
      </c>
      <c r="G158" s="4" t="str">
        <f>IFERROR(INDEX(样本到样信息汇总统计!G$2:G$500,MATCH(157,样本到样信息汇总统计!$X$2:$X$500,0)),"")</f>
        <v/>
      </c>
      <c r="H158" s="4" t="str">
        <f>IFERROR(INDEX(样本到样信息汇总统计!H$2:H$500,MATCH(157,样本到样信息汇总统计!$X$2:$X$500,0)),"")</f>
        <v/>
      </c>
      <c r="I158" s="4" t="str">
        <f>IFERROR(INDEX(样本到样信息汇总统计!I$2:I$500,MATCH(157,样本到样信息汇总统计!$X$2:$X$500,0)),"")</f>
        <v/>
      </c>
      <c r="J158" s="4" t="str">
        <f>IFERROR(INDEX(样本到样信息汇总统计!J$2:J$500,MATCH(157,样本到样信息汇总统计!$X$2:$X$500,0)),"")</f>
        <v/>
      </c>
      <c r="K158" s="14" t="str">
        <f>IFERROR(INDEX(样本到样信息汇总统计!K$2:K$500,MATCH(157,样本到样信息汇总统计!$X$2:$X$500,0)),"")</f>
        <v/>
      </c>
      <c r="L158" s="4" t="str">
        <f>IFERROR(INDEX(样本到样信息汇总统计!L$2:L$500,MATCH(157,样本到样信息汇总统计!$X$2:$X$500,0)),"")</f>
        <v/>
      </c>
      <c r="M158" s="4" t="str">
        <f>IFERROR(INDEX(样本到样信息汇总统计!M$2:M$500,MATCH(157,样本到样信息汇总统计!$X$2:$X$500,0)),"")</f>
        <v/>
      </c>
      <c r="N158" s="4" t="str">
        <f>IFERROR(INDEX(样本到样信息汇总统计!N$2:N$500,MATCH(157,样本到样信息汇总统计!$X$2:$X$500,0)),"")</f>
        <v/>
      </c>
      <c r="O158" s="4" t="str">
        <f>IFERROR(INDEX(样本到样信息汇总统计!O$2:O$500,MATCH(157,样本到样信息汇总统计!$X$2:$X$500,0)),"")</f>
        <v/>
      </c>
      <c r="P158" s="4" t="str">
        <f>IFERROR(INDEX(样本到样信息汇总统计!P$2:P$500,MATCH(157,样本到样信息汇总统计!$X$2:$X$500,0)),"")</f>
        <v/>
      </c>
      <c r="Q158" s="4" t="str">
        <f>IFERROR(INDEX(样本到样信息汇总统计!Q$2:Q$500,MATCH(157,样本到样信息汇总统计!$X$2:$X$500,0)),"")</f>
        <v/>
      </c>
      <c r="R158" s="4" t="str">
        <f>IFERROR(INDEX(样本到样信息汇总统计!R$2:R$500,MATCH(157,样本到样信息汇总统计!$X$2:$X$500,0)),"")</f>
        <v/>
      </c>
      <c r="S158" s="4" t="str">
        <f>IFERROR(INDEX(样本到样信息汇总统计!S$2:S$500,MATCH(157,样本到样信息汇总统计!$X$2:$X$500,0)),"")</f>
        <v/>
      </c>
      <c r="T158" s="4" t="str">
        <f>IFERROR(INDEX(样本到样信息汇总统计!T$2:T$500,MATCH(157,样本到样信息汇总统计!$X$2:$X$500,0)),"")</f>
        <v/>
      </c>
      <c r="U158" s="4" t="str">
        <f>IFERROR(INDEX(样本到样信息汇总统计!U$2:U$500,MATCH(157,样本到样信息汇总统计!$X$2:$X$500,0)),"")</f>
        <v/>
      </c>
      <c r="V158" s="4" t="str">
        <f>IFERROR(INDEX(样本到样信息汇总统计!V$2:V$500,MATCH(157,样本到样信息汇总统计!$X$2:$X$500,0)),"")</f>
        <v/>
      </c>
      <c r="W158" s="4" t="str">
        <f>IFERROR(INDEX(样本到样信息汇总统计!W$2:W$500,MATCH(157,样本到样信息汇总统计!$X$2:$X$500,0)),"")</f>
        <v/>
      </c>
    </row>
    <row r="159" ht="14.5" spans="1:23">
      <c r="A159" s="8" t="str">
        <f>IFERROR(INDEX(样本到样信息汇总统计!A$2:A$500,MATCH(158,样本到样信息汇总统计!$X$2:$X$500,0)),"")</f>
        <v/>
      </c>
      <c r="B159" s="8" t="str">
        <f>IFERROR(INDEX(样本到样信息汇总统计!B$2:B$500,MATCH(158,样本到样信息汇总统计!$X$2:$X$500,0)),"")</f>
        <v/>
      </c>
      <c r="C159" s="8" t="str">
        <f>IFERROR(INDEX(样本到样信息汇总统计!C$2:C$500,MATCH(158,样本到样信息汇总统计!$X$2:$X$500,0)),"")</f>
        <v/>
      </c>
      <c r="D159" s="8" t="str">
        <f>IFERROR(INDEX(样本到样信息汇总统计!D$2:D$500,MATCH(158,样本到样信息汇总统计!$X$2:$X$500,0)),"")</f>
        <v/>
      </c>
      <c r="E159" s="8" t="str">
        <f>IFERROR(INDEX(样本到样信息汇总统计!E$2:E$500,MATCH(158,样本到样信息汇总统计!$X$2:$X$500,0)),"")</f>
        <v/>
      </c>
      <c r="F159" s="8" t="str">
        <f>IFERROR(INDEX(样本到样信息汇总统计!F$2:F$500,MATCH(158,样本到样信息汇总统计!$X$2:$X$500,0)),"")</f>
        <v/>
      </c>
      <c r="G159" s="8" t="str">
        <f>IFERROR(INDEX(样本到样信息汇总统计!G$2:G$500,MATCH(158,样本到样信息汇总统计!$X$2:$X$500,0)),"")</f>
        <v/>
      </c>
      <c r="H159" s="8" t="str">
        <f>IFERROR(INDEX(样本到样信息汇总统计!H$2:H$500,MATCH(158,样本到样信息汇总统计!$X$2:$X$500,0)),"")</f>
        <v/>
      </c>
      <c r="I159" s="8" t="str">
        <f>IFERROR(INDEX(样本到样信息汇总统计!I$2:I$500,MATCH(158,样本到样信息汇总统计!$X$2:$X$500,0)),"")</f>
        <v/>
      </c>
      <c r="J159" s="8" t="str">
        <f>IFERROR(INDEX(样本到样信息汇总统计!J$2:J$500,MATCH(158,样本到样信息汇总统计!$X$2:$X$500,0)),"")</f>
        <v/>
      </c>
      <c r="K159" s="15" t="str">
        <f>IFERROR(INDEX(样本到样信息汇总统计!K$2:K$500,MATCH(158,样本到样信息汇总统计!$X$2:$X$500,0)),"")</f>
        <v/>
      </c>
      <c r="L159" s="8" t="str">
        <f>IFERROR(INDEX(样本到样信息汇总统计!L$2:L$500,MATCH(158,样本到样信息汇总统计!$X$2:$X$500,0)),"")</f>
        <v/>
      </c>
      <c r="M159" s="8" t="str">
        <f>IFERROR(INDEX(样本到样信息汇总统计!M$2:M$500,MATCH(158,样本到样信息汇总统计!$X$2:$X$500,0)),"")</f>
        <v/>
      </c>
      <c r="N159" s="8" t="str">
        <f>IFERROR(INDEX(样本到样信息汇总统计!N$2:N$500,MATCH(158,样本到样信息汇总统计!$X$2:$X$500,0)),"")</f>
        <v/>
      </c>
      <c r="O159" s="8" t="str">
        <f>IFERROR(INDEX(样本到样信息汇总统计!O$2:O$500,MATCH(158,样本到样信息汇总统计!$X$2:$X$500,0)),"")</f>
        <v/>
      </c>
      <c r="P159" s="8" t="str">
        <f>IFERROR(INDEX(样本到样信息汇总统计!P$2:P$500,MATCH(158,样本到样信息汇总统计!$X$2:$X$500,0)),"")</f>
        <v/>
      </c>
      <c r="Q159" s="8" t="str">
        <f>IFERROR(INDEX(样本到样信息汇总统计!Q$2:Q$500,MATCH(158,样本到样信息汇总统计!$X$2:$X$500,0)),"")</f>
        <v/>
      </c>
      <c r="R159" s="8" t="str">
        <f>IFERROR(INDEX(样本到样信息汇总统计!R$2:R$500,MATCH(158,样本到样信息汇总统计!$X$2:$X$500,0)),"")</f>
        <v/>
      </c>
      <c r="S159" s="8" t="str">
        <f>IFERROR(INDEX(样本到样信息汇总统计!S$2:S$500,MATCH(158,样本到样信息汇总统计!$X$2:$X$500,0)),"")</f>
        <v/>
      </c>
      <c r="T159" s="8" t="str">
        <f>IFERROR(INDEX(样本到样信息汇总统计!T$2:T$500,MATCH(158,样本到样信息汇总统计!$X$2:$X$500,0)),"")</f>
        <v/>
      </c>
      <c r="U159" s="8" t="str">
        <f>IFERROR(INDEX(样本到样信息汇总统计!U$2:U$500,MATCH(158,样本到样信息汇总统计!$X$2:$X$500,0)),"")</f>
        <v/>
      </c>
      <c r="V159" s="8" t="str">
        <f>IFERROR(INDEX(样本到样信息汇总统计!V$2:V$500,MATCH(158,样本到样信息汇总统计!$X$2:$X$500,0)),"")</f>
        <v/>
      </c>
      <c r="W159" s="8" t="str">
        <f>IFERROR(INDEX(样本到样信息汇总统计!W$2:W$500,MATCH(158,样本到样信息汇总统计!$X$2:$X$500,0)),"")</f>
        <v/>
      </c>
    </row>
    <row r="160" ht="14.5" spans="1:23">
      <c r="A160" s="4" t="str">
        <f>IFERROR(INDEX(样本到样信息汇总统计!A$2:A$500,MATCH(159,样本到样信息汇总统计!$X$2:$X$500,0)),"")</f>
        <v/>
      </c>
      <c r="B160" s="4" t="str">
        <f>IFERROR(INDEX(样本到样信息汇总统计!B$2:B$500,MATCH(159,样本到样信息汇总统计!$X$2:$X$500,0)),"")</f>
        <v/>
      </c>
      <c r="C160" s="4" t="str">
        <f>IFERROR(INDEX(样本到样信息汇总统计!C$2:C$500,MATCH(159,样本到样信息汇总统计!$X$2:$X$500,0)),"")</f>
        <v/>
      </c>
      <c r="D160" s="4" t="str">
        <f>IFERROR(INDEX(样本到样信息汇总统计!D$2:D$500,MATCH(159,样本到样信息汇总统计!$X$2:$X$500,0)),"")</f>
        <v/>
      </c>
      <c r="E160" s="4" t="str">
        <f>IFERROR(INDEX(样本到样信息汇总统计!E$2:E$500,MATCH(159,样本到样信息汇总统计!$X$2:$X$500,0)),"")</f>
        <v/>
      </c>
      <c r="F160" s="4" t="str">
        <f>IFERROR(INDEX(样本到样信息汇总统计!F$2:F$500,MATCH(159,样本到样信息汇总统计!$X$2:$X$500,0)),"")</f>
        <v/>
      </c>
      <c r="G160" s="4" t="str">
        <f>IFERROR(INDEX(样本到样信息汇总统计!G$2:G$500,MATCH(159,样本到样信息汇总统计!$X$2:$X$500,0)),"")</f>
        <v/>
      </c>
      <c r="H160" s="4" t="str">
        <f>IFERROR(INDEX(样本到样信息汇总统计!H$2:H$500,MATCH(159,样本到样信息汇总统计!$X$2:$X$500,0)),"")</f>
        <v/>
      </c>
      <c r="I160" s="4" t="str">
        <f>IFERROR(INDEX(样本到样信息汇总统计!I$2:I$500,MATCH(159,样本到样信息汇总统计!$X$2:$X$500,0)),"")</f>
        <v/>
      </c>
      <c r="J160" s="4" t="str">
        <f>IFERROR(INDEX(样本到样信息汇总统计!J$2:J$500,MATCH(159,样本到样信息汇总统计!$X$2:$X$500,0)),"")</f>
        <v/>
      </c>
      <c r="K160" s="14" t="str">
        <f>IFERROR(INDEX(样本到样信息汇总统计!K$2:K$500,MATCH(159,样本到样信息汇总统计!$X$2:$X$500,0)),"")</f>
        <v/>
      </c>
      <c r="L160" s="4" t="str">
        <f>IFERROR(INDEX(样本到样信息汇总统计!L$2:L$500,MATCH(159,样本到样信息汇总统计!$X$2:$X$500,0)),"")</f>
        <v/>
      </c>
      <c r="M160" s="4" t="str">
        <f>IFERROR(INDEX(样本到样信息汇总统计!M$2:M$500,MATCH(159,样本到样信息汇总统计!$X$2:$X$500,0)),"")</f>
        <v/>
      </c>
      <c r="N160" s="4" t="str">
        <f>IFERROR(INDEX(样本到样信息汇总统计!N$2:N$500,MATCH(159,样本到样信息汇总统计!$X$2:$X$500,0)),"")</f>
        <v/>
      </c>
      <c r="O160" s="4" t="str">
        <f>IFERROR(INDEX(样本到样信息汇总统计!O$2:O$500,MATCH(159,样本到样信息汇总统计!$X$2:$X$500,0)),"")</f>
        <v/>
      </c>
      <c r="P160" s="4" t="str">
        <f>IFERROR(INDEX(样本到样信息汇总统计!P$2:P$500,MATCH(159,样本到样信息汇总统计!$X$2:$X$500,0)),"")</f>
        <v/>
      </c>
      <c r="Q160" s="4" t="str">
        <f>IFERROR(INDEX(样本到样信息汇总统计!Q$2:Q$500,MATCH(159,样本到样信息汇总统计!$X$2:$X$500,0)),"")</f>
        <v/>
      </c>
      <c r="R160" s="4" t="str">
        <f>IFERROR(INDEX(样本到样信息汇总统计!R$2:R$500,MATCH(159,样本到样信息汇总统计!$X$2:$X$500,0)),"")</f>
        <v/>
      </c>
      <c r="S160" s="4" t="str">
        <f>IFERROR(INDEX(样本到样信息汇总统计!S$2:S$500,MATCH(159,样本到样信息汇总统计!$X$2:$X$500,0)),"")</f>
        <v/>
      </c>
      <c r="T160" s="4" t="str">
        <f>IFERROR(INDEX(样本到样信息汇总统计!T$2:T$500,MATCH(159,样本到样信息汇总统计!$X$2:$X$500,0)),"")</f>
        <v/>
      </c>
      <c r="U160" s="4" t="str">
        <f>IFERROR(INDEX(样本到样信息汇总统计!U$2:U$500,MATCH(159,样本到样信息汇总统计!$X$2:$X$500,0)),"")</f>
        <v/>
      </c>
      <c r="V160" s="4" t="str">
        <f>IFERROR(INDEX(样本到样信息汇总统计!V$2:V$500,MATCH(159,样本到样信息汇总统计!$X$2:$X$500,0)),"")</f>
        <v/>
      </c>
      <c r="W160" s="4" t="str">
        <f>IFERROR(INDEX(样本到样信息汇总统计!W$2:W$500,MATCH(159,样本到样信息汇总统计!$X$2:$X$500,0)),"")</f>
        <v/>
      </c>
    </row>
    <row r="161" ht="14.5" spans="1:23">
      <c r="A161" s="8" t="str">
        <f>IFERROR(INDEX(样本到样信息汇总统计!A$2:A$500,MATCH(160,样本到样信息汇总统计!$X$2:$X$500,0)),"")</f>
        <v/>
      </c>
      <c r="B161" s="8" t="str">
        <f>IFERROR(INDEX(样本到样信息汇总统计!B$2:B$500,MATCH(160,样本到样信息汇总统计!$X$2:$X$500,0)),"")</f>
        <v/>
      </c>
      <c r="C161" s="8" t="str">
        <f>IFERROR(INDEX(样本到样信息汇总统计!C$2:C$500,MATCH(160,样本到样信息汇总统计!$X$2:$X$500,0)),"")</f>
        <v/>
      </c>
      <c r="D161" s="8" t="str">
        <f>IFERROR(INDEX(样本到样信息汇总统计!D$2:D$500,MATCH(160,样本到样信息汇总统计!$X$2:$X$500,0)),"")</f>
        <v/>
      </c>
      <c r="E161" s="8" t="str">
        <f>IFERROR(INDEX(样本到样信息汇总统计!E$2:E$500,MATCH(160,样本到样信息汇总统计!$X$2:$X$500,0)),"")</f>
        <v/>
      </c>
      <c r="F161" s="8" t="str">
        <f>IFERROR(INDEX(样本到样信息汇总统计!F$2:F$500,MATCH(160,样本到样信息汇总统计!$X$2:$X$500,0)),"")</f>
        <v/>
      </c>
      <c r="G161" s="8" t="str">
        <f>IFERROR(INDEX(样本到样信息汇总统计!G$2:G$500,MATCH(160,样本到样信息汇总统计!$X$2:$X$500,0)),"")</f>
        <v/>
      </c>
      <c r="H161" s="8" t="str">
        <f>IFERROR(INDEX(样本到样信息汇总统计!H$2:H$500,MATCH(160,样本到样信息汇总统计!$X$2:$X$500,0)),"")</f>
        <v/>
      </c>
      <c r="I161" s="8" t="str">
        <f>IFERROR(INDEX(样本到样信息汇总统计!I$2:I$500,MATCH(160,样本到样信息汇总统计!$X$2:$X$500,0)),"")</f>
        <v/>
      </c>
      <c r="J161" s="8" t="str">
        <f>IFERROR(INDEX(样本到样信息汇总统计!J$2:J$500,MATCH(160,样本到样信息汇总统计!$X$2:$X$500,0)),"")</f>
        <v/>
      </c>
      <c r="K161" s="15" t="str">
        <f>IFERROR(INDEX(样本到样信息汇总统计!K$2:K$500,MATCH(160,样本到样信息汇总统计!$X$2:$X$500,0)),"")</f>
        <v/>
      </c>
      <c r="L161" s="8" t="str">
        <f>IFERROR(INDEX(样本到样信息汇总统计!L$2:L$500,MATCH(160,样本到样信息汇总统计!$X$2:$X$500,0)),"")</f>
        <v/>
      </c>
      <c r="M161" s="8" t="str">
        <f>IFERROR(INDEX(样本到样信息汇总统计!M$2:M$500,MATCH(160,样本到样信息汇总统计!$X$2:$X$500,0)),"")</f>
        <v/>
      </c>
      <c r="N161" s="8" t="str">
        <f>IFERROR(INDEX(样本到样信息汇总统计!N$2:N$500,MATCH(160,样本到样信息汇总统计!$X$2:$X$500,0)),"")</f>
        <v/>
      </c>
      <c r="O161" s="8" t="str">
        <f>IFERROR(INDEX(样本到样信息汇总统计!O$2:O$500,MATCH(160,样本到样信息汇总统计!$X$2:$X$500,0)),"")</f>
        <v/>
      </c>
      <c r="P161" s="8" t="str">
        <f>IFERROR(INDEX(样本到样信息汇总统计!P$2:P$500,MATCH(160,样本到样信息汇总统计!$X$2:$X$500,0)),"")</f>
        <v/>
      </c>
      <c r="Q161" s="8" t="str">
        <f>IFERROR(INDEX(样本到样信息汇总统计!Q$2:Q$500,MATCH(160,样本到样信息汇总统计!$X$2:$X$500,0)),"")</f>
        <v/>
      </c>
      <c r="R161" s="8" t="str">
        <f>IFERROR(INDEX(样本到样信息汇总统计!R$2:R$500,MATCH(160,样本到样信息汇总统计!$X$2:$X$500,0)),"")</f>
        <v/>
      </c>
      <c r="S161" s="8" t="str">
        <f>IFERROR(INDEX(样本到样信息汇总统计!S$2:S$500,MATCH(160,样本到样信息汇总统计!$X$2:$X$500,0)),"")</f>
        <v/>
      </c>
      <c r="T161" s="8" t="str">
        <f>IFERROR(INDEX(样本到样信息汇总统计!T$2:T$500,MATCH(160,样本到样信息汇总统计!$X$2:$X$500,0)),"")</f>
        <v/>
      </c>
      <c r="U161" s="8" t="str">
        <f>IFERROR(INDEX(样本到样信息汇总统计!U$2:U$500,MATCH(160,样本到样信息汇总统计!$X$2:$X$500,0)),"")</f>
        <v/>
      </c>
      <c r="V161" s="8" t="str">
        <f>IFERROR(INDEX(样本到样信息汇总统计!V$2:V$500,MATCH(160,样本到样信息汇总统计!$X$2:$X$500,0)),"")</f>
        <v/>
      </c>
      <c r="W161" s="8" t="str">
        <f>IFERROR(INDEX(样本到样信息汇总统计!W$2:W$500,MATCH(160,样本到样信息汇总统计!$X$2:$X$500,0)),"")</f>
        <v/>
      </c>
    </row>
    <row r="162" ht="14.5" spans="1:23">
      <c r="A162" s="4" t="str">
        <f>IFERROR(INDEX(样本到样信息汇总统计!A$2:A$500,MATCH(161,样本到样信息汇总统计!$X$2:$X$500,0)),"")</f>
        <v/>
      </c>
      <c r="B162" s="4" t="str">
        <f>IFERROR(INDEX(样本到样信息汇总统计!B$2:B$500,MATCH(161,样本到样信息汇总统计!$X$2:$X$500,0)),"")</f>
        <v/>
      </c>
      <c r="C162" s="4" t="str">
        <f>IFERROR(INDEX(样本到样信息汇总统计!C$2:C$500,MATCH(161,样本到样信息汇总统计!$X$2:$X$500,0)),"")</f>
        <v/>
      </c>
      <c r="D162" s="4" t="str">
        <f>IFERROR(INDEX(样本到样信息汇总统计!D$2:D$500,MATCH(161,样本到样信息汇总统计!$X$2:$X$500,0)),"")</f>
        <v/>
      </c>
      <c r="E162" s="4" t="str">
        <f>IFERROR(INDEX(样本到样信息汇总统计!E$2:E$500,MATCH(161,样本到样信息汇总统计!$X$2:$X$500,0)),"")</f>
        <v/>
      </c>
      <c r="F162" s="4" t="str">
        <f>IFERROR(INDEX(样本到样信息汇总统计!F$2:F$500,MATCH(161,样本到样信息汇总统计!$X$2:$X$500,0)),"")</f>
        <v/>
      </c>
      <c r="G162" s="4" t="str">
        <f>IFERROR(INDEX(样本到样信息汇总统计!G$2:G$500,MATCH(161,样本到样信息汇总统计!$X$2:$X$500,0)),"")</f>
        <v/>
      </c>
      <c r="H162" s="4" t="str">
        <f>IFERROR(INDEX(样本到样信息汇总统计!H$2:H$500,MATCH(161,样本到样信息汇总统计!$X$2:$X$500,0)),"")</f>
        <v/>
      </c>
      <c r="I162" s="4" t="str">
        <f>IFERROR(INDEX(样本到样信息汇总统计!I$2:I$500,MATCH(161,样本到样信息汇总统计!$X$2:$X$500,0)),"")</f>
        <v/>
      </c>
      <c r="J162" s="4" t="str">
        <f>IFERROR(INDEX(样本到样信息汇总统计!J$2:J$500,MATCH(161,样本到样信息汇总统计!$X$2:$X$500,0)),"")</f>
        <v/>
      </c>
      <c r="K162" s="14" t="str">
        <f>IFERROR(INDEX(样本到样信息汇总统计!K$2:K$500,MATCH(161,样本到样信息汇总统计!$X$2:$X$500,0)),"")</f>
        <v/>
      </c>
      <c r="L162" s="4" t="str">
        <f>IFERROR(INDEX(样本到样信息汇总统计!L$2:L$500,MATCH(161,样本到样信息汇总统计!$X$2:$X$500,0)),"")</f>
        <v/>
      </c>
      <c r="M162" s="4" t="str">
        <f>IFERROR(INDEX(样本到样信息汇总统计!M$2:M$500,MATCH(161,样本到样信息汇总统计!$X$2:$X$500,0)),"")</f>
        <v/>
      </c>
      <c r="N162" s="4" t="str">
        <f>IFERROR(INDEX(样本到样信息汇总统计!N$2:N$500,MATCH(161,样本到样信息汇总统计!$X$2:$X$500,0)),"")</f>
        <v/>
      </c>
      <c r="O162" s="4" t="str">
        <f>IFERROR(INDEX(样本到样信息汇总统计!O$2:O$500,MATCH(161,样本到样信息汇总统计!$X$2:$X$500,0)),"")</f>
        <v/>
      </c>
      <c r="P162" s="4" t="str">
        <f>IFERROR(INDEX(样本到样信息汇总统计!P$2:P$500,MATCH(161,样本到样信息汇总统计!$X$2:$X$500,0)),"")</f>
        <v/>
      </c>
      <c r="Q162" s="4" t="str">
        <f>IFERROR(INDEX(样本到样信息汇总统计!Q$2:Q$500,MATCH(161,样本到样信息汇总统计!$X$2:$X$500,0)),"")</f>
        <v/>
      </c>
      <c r="R162" s="4" t="str">
        <f>IFERROR(INDEX(样本到样信息汇总统计!R$2:R$500,MATCH(161,样本到样信息汇总统计!$X$2:$X$500,0)),"")</f>
        <v/>
      </c>
      <c r="S162" s="4" t="str">
        <f>IFERROR(INDEX(样本到样信息汇总统计!S$2:S$500,MATCH(161,样本到样信息汇总统计!$X$2:$X$500,0)),"")</f>
        <v/>
      </c>
      <c r="T162" s="4" t="str">
        <f>IFERROR(INDEX(样本到样信息汇总统计!T$2:T$500,MATCH(161,样本到样信息汇总统计!$X$2:$X$500,0)),"")</f>
        <v/>
      </c>
      <c r="U162" s="4" t="str">
        <f>IFERROR(INDEX(样本到样信息汇总统计!U$2:U$500,MATCH(161,样本到样信息汇总统计!$X$2:$X$500,0)),"")</f>
        <v/>
      </c>
      <c r="V162" s="4" t="str">
        <f>IFERROR(INDEX(样本到样信息汇总统计!V$2:V$500,MATCH(161,样本到样信息汇总统计!$X$2:$X$500,0)),"")</f>
        <v/>
      </c>
      <c r="W162" s="4" t="str">
        <f>IFERROR(INDEX(样本到样信息汇总统计!W$2:W$500,MATCH(161,样本到样信息汇总统计!$X$2:$X$500,0)),"")</f>
        <v/>
      </c>
    </row>
    <row r="163" ht="14.5" spans="1:23">
      <c r="A163" s="8" t="str">
        <f>IFERROR(INDEX(样本到样信息汇总统计!A$2:A$500,MATCH(162,样本到样信息汇总统计!$X$2:$X$500,0)),"")</f>
        <v/>
      </c>
      <c r="B163" s="8" t="str">
        <f>IFERROR(INDEX(样本到样信息汇总统计!B$2:B$500,MATCH(162,样本到样信息汇总统计!$X$2:$X$500,0)),"")</f>
        <v/>
      </c>
      <c r="C163" s="8" t="str">
        <f>IFERROR(INDEX(样本到样信息汇总统计!C$2:C$500,MATCH(162,样本到样信息汇总统计!$X$2:$X$500,0)),"")</f>
        <v/>
      </c>
      <c r="D163" s="8" t="str">
        <f>IFERROR(INDEX(样本到样信息汇总统计!D$2:D$500,MATCH(162,样本到样信息汇总统计!$X$2:$X$500,0)),"")</f>
        <v/>
      </c>
      <c r="E163" s="8" t="str">
        <f>IFERROR(INDEX(样本到样信息汇总统计!E$2:E$500,MATCH(162,样本到样信息汇总统计!$X$2:$X$500,0)),"")</f>
        <v/>
      </c>
      <c r="F163" s="8" t="str">
        <f>IFERROR(INDEX(样本到样信息汇总统计!F$2:F$500,MATCH(162,样本到样信息汇总统计!$X$2:$X$500,0)),"")</f>
        <v/>
      </c>
      <c r="G163" s="8" t="str">
        <f>IFERROR(INDEX(样本到样信息汇总统计!G$2:G$500,MATCH(162,样本到样信息汇总统计!$X$2:$X$500,0)),"")</f>
        <v/>
      </c>
      <c r="H163" s="8" t="str">
        <f>IFERROR(INDEX(样本到样信息汇总统计!H$2:H$500,MATCH(162,样本到样信息汇总统计!$X$2:$X$500,0)),"")</f>
        <v/>
      </c>
      <c r="I163" s="8" t="str">
        <f>IFERROR(INDEX(样本到样信息汇总统计!I$2:I$500,MATCH(162,样本到样信息汇总统计!$X$2:$X$500,0)),"")</f>
        <v/>
      </c>
      <c r="J163" s="8" t="str">
        <f>IFERROR(INDEX(样本到样信息汇总统计!J$2:J$500,MATCH(162,样本到样信息汇总统计!$X$2:$X$500,0)),"")</f>
        <v/>
      </c>
      <c r="K163" s="15" t="str">
        <f>IFERROR(INDEX(样本到样信息汇总统计!K$2:K$500,MATCH(162,样本到样信息汇总统计!$X$2:$X$500,0)),"")</f>
        <v/>
      </c>
      <c r="L163" s="8" t="str">
        <f>IFERROR(INDEX(样本到样信息汇总统计!L$2:L$500,MATCH(162,样本到样信息汇总统计!$X$2:$X$500,0)),"")</f>
        <v/>
      </c>
      <c r="M163" s="8" t="str">
        <f>IFERROR(INDEX(样本到样信息汇总统计!M$2:M$500,MATCH(162,样本到样信息汇总统计!$X$2:$X$500,0)),"")</f>
        <v/>
      </c>
      <c r="N163" s="8" t="str">
        <f>IFERROR(INDEX(样本到样信息汇总统计!N$2:N$500,MATCH(162,样本到样信息汇总统计!$X$2:$X$500,0)),"")</f>
        <v/>
      </c>
      <c r="O163" s="8" t="str">
        <f>IFERROR(INDEX(样本到样信息汇总统计!O$2:O$500,MATCH(162,样本到样信息汇总统计!$X$2:$X$500,0)),"")</f>
        <v/>
      </c>
      <c r="P163" s="8" t="str">
        <f>IFERROR(INDEX(样本到样信息汇总统计!P$2:P$500,MATCH(162,样本到样信息汇总统计!$X$2:$X$500,0)),"")</f>
        <v/>
      </c>
      <c r="Q163" s="8" t="str">
        <f>IFERROR(INDEX(样本到样信息汇总统计!Q$2:Q$500,MATCH(162,样本到样信息汇总统计!$X$2:$X$500,0)),"")</f>
        <v/>
      </c>
      <c r="R163" s="8" t="str">
        <f>IFERROR(INDEX(样本到样信息汇总统计!R$2:R$500,MATCH(162,样本到样信息汇总统计!$X$2:$X$500,0)),"")</f>
        <v/>
      </c>
      <c r="S163" s="8" t="str">
        <f>IFERROR(INDEX(样本到样信息汇总统计!S$2:S$500,MATCH(162,样本到样信息汇总统计!$X$2:$X$500,0)),"")</f>
        <v/>
      </c>
      <c r="T163" s="8" t="str">
        <f>IFERROR(INDEX(样本到样信息汇总统计!T$2:T$500,MATCH(162,样本到样信息汇总统计!$X$2:$X$500,0)),"")</f>
        <v/>
      </c>
      <c r="U163" s="8" t="str">
        <f>IFERROR(INDEX(样本到样信息汇总统计!U$2:U$500,MATCH(162,样本到样信息汇总统计!$X$2:$X$500,0)),"")</f>
        <v/>
      </c>
      <c r="V163" s="8" t="str">
        <f>IFERROR(INDEX(样本到样信息汇总统计!V$2:V$500,MATCH(162,样本到样信息汇总统计!$X$2:$X$500,0)),"")</f>
        <v/>
      </c>
      <c r="W163" s="8" t="str">
        <f>IFERROR(INDEX(样本到样信息汇总统计!W$2:W$500,MATCH(162,样本到样信息汇总统计!$X$2:$X$500,0)),"")</f>
        <v/>
      </c>
    </row>
    <row r="164" ht="14.5" spans="1:23">
      <c r="A164" s="4" t="str">
        <f>IFERROR(INDEX(样本到样信息汇总统计!A$2:A$500,MATCH(163,样本到样信息汇总统计!$X$2:$X$500,0)),"")</f>
        <v/>
      </c>
      <c r="B164" s="4" t="str">
        <f>IFERROR(INDEX(样本到样信息汇总统计!B$2:B$500,MATCH(163,样本到样信息汇总统计!$X$2:$X$500,0)),"")</f>
        <v/>
      </c>
      <c r="C164" s="4" t="str">
        <f>IFERROR(INDEX(样本到样信息汇总统计!C$2:C$500,MATCH(163,样本到样信息汇总统计!$X$2:$X$500,0)),"")</f>
        <v/>
      </c>
      <c r="D164" s="4" t="str">
        <f>IFERROR(INDEX(样本到样信息汇总统计!D$2:D$500,MATCH(163,样本到样信息汇总统计!$X$2:$X$500,0)),"")</f>
        <v/>
      </c>
      <c r="E164" s="4" t="str">
        <f>IFERROR(INDEX(样本到样信息汇总统计!E$2:E$500,MATCH(163,样本到样信息汇总统计!$X$2:$X$500,0)),"")</f>
        <v/>
      </c>
      <c r="F164" s="4" t="str">
        <f>IFERROR(INDEX(样本到样信息汇总统计!F$2:F$500,MATCH(163,样本到样信息汇总统计!$X$2:$X$500,0)),"")</f>
        <v/>
      </c>
      <c r="G164" s="4" t="str">
        <f>IFERROR(INDEX(样本到样信息汇总统计!G$2:G$500,MATCH(163,样本到样信息汇总统计!$X$2:$X$500,0)),"")</f>
        <v/>
      </c>
      <c r="H164" s="4" t="str">
        <f>IFERROR(INDEX(样本到样信息汇总统计!H$2:H$500,MATCH(163,样本到样信息汇总统计!$X$2:$X$500,0)),"")</f>
        <v/>
      </c>
      <c r="I164" s="4" t="str">
        <f>IFERROR(INDEX(样本到样信息汇总统计!I$2:I$500,MATCH(163,样本到样信息汇总统计!$X$2:$X$500,0)),"")</f>
        <v/>
      </c>
      <c r="J164" s="4" t="str">
        <f>IFERROR(INDEX(样本到样信息汇总统计!J$2:J$500,MATCH(163,样本到样信息汇总统计!$X$2:$X$500,0)),"")</f>
        <v/>
      </c>
      <c r="K164" s="14" t="str">
        <f>IFERROR(INDEX(样本到样信息汇总统计!K$2:K$500,MATCH(163,样本到样信息汇总统计!$X$2:$X$500,0)),"")</f>
        <v/>
      </c>
      <c r="L164" s="4" t="str">
        <f>IFERROR(INDEX(样本到样信息汇总统计!L$2:L$500,MATCH(163,样本到样信息汇总统计!$X$2:$X$500,0)),"")</f>
        <v/>
      </c>
      <c r="M164" s="4" t="str">
        <f>IFERROR(INDEX(样本到样信息汇总统计!M$2:M$500,MATCH(163,样本到样信息汇总统计!$X$2:$X$500,0)),"")</f>
        <v/>
      </c>
      <c r="N164" s="4" t="str">
        <f>IFERROR(INDEX(样本到样信息汇总统计!N$2:N$500,MATCH(163,样本到样信息汇总统计!$X$2:$X$500,0)),"")</f>
        <v/>
      </c>
      <c r="O164" s="4" t="str">
        <f>IFERROR(INDEX(样本到样信息汇总统计!O$2:O$500,MATCH(163,样本到样信息汇总统计!$X$2:$X$500,0)),"")</f>
        <v/>
      </c>
      <c r="P164" s="4" t="str">
        <f>IFERROR(INDEX(样本到样信息汇总统计!P$2:P$500,MATCH(163,样本到样信息汇总统计!$X$2:$X$500,0)),"")</f>
        <v/>
      </c>
      <c r="Q164" s="4" t="str">
        <f>IFERROR(INDEX(样本到样信息汇总统计!Q$2:Q$500,MATCH(163,样本到样信息汇总统计!$X$2:$X$500,0)),"")</f>
        <v/>
      </c>
      <c r="R164" s="4" t="str">
        <f>IFERROR(INDEX(样本到样信息汇总统计!R$2:R$500,MATCH(163,样本到样信息汇总统计!$X$2:$X$500,0)),"")</f>
        <v/>
      </c>
      <c r="S164" s="4" t="str">
        <f>IFERROR(INDEX(样本到样信息汇总统计!S$2:S$500,MATCH(163,样本到样信息汇总统计!$X$2:$X$500,0)),"")</f>
        <v/>
      </c>
      <c r="T164" s="4" t="str">
        <f>IFERROR(INDEX(样本到样信息汇总统计!T$2:T$500,MATCH(163,样本到样信息汇总统计!$X$2:$X$500,0)),"")</f>
        <v/>
      </c>
      <c r="U164" s="4" t="str">
        <f>IFERROR(INDEX(样本到样信息汇总统计!U$2:U$500,MATCH(163,样本到样信息汇总统计!$X$2:$X$500,0)),"")</f>
        <v/>
      </c>
      <c r="V164" s="4" t="str">
        <f>IFERROR(INDEX(样本到样信息汇总统计!V$2:V$500,MATCH(163,样本到样信息汇总统计!$X$2:$X$500,0)),"")</f>
        <v/>
      </c>
      <c r="W164" s="4" t="str">
        <f>IFERROR(INDEX(样本到样信息汇总统计!W$2:W$500,MATCH(163,样本到样信息汇总统计!$X$2:$X$500,0)),"")</f>
        <v/>
      </c>
    </row>
    <row r="165" ht="14.5" spans="1:23">
      <c r="A165" s="8" t="str">
        <f>IFERROR(INDEX(样本到样信息汇总统计!A$2:A$500,MATCH(164,样本到样信息汇总统计!$X$2:$X$500,0)),"")</f>
        <v/>
      </c>
      <c r="B165" s="8" t="str">
        <f>IFERROR(INDEX(样本到样信息汇总统计!B$2:B$500,MATCH(164,样本到样信息汇总统计!$X$2:$X$500,0)),"")</f>
        <v/>
      </c>
      <c r="C165" s="8" t="str">
        <f>IFERROR(INDEX(样本到样信息汇总统计!C$2:C$500,MATCH(164,样本到样信息汇总统计!$X$2:$X$500,0)),"")</f>
        <v/>
      </c>
      <c r="D165" s="8" t="str">
        <f>IFERROR(INDEX(样本到样信息汇总统计!D$2:D$500,MATCH(164,样本到样信息汇总统计!$X$2:$X$500,0)),"")</f>
        <v/>
      </c>
      <c r="E165" s="8" t="str">
        <f>IFERROR(INDEX(样本到样信息汇总统计!E$2:E$500,MATCH(164,样本到样信息汇总统计!$X$2:$X$500,0)),"")</f>
        <v/>
      </c>
      <c r="F165" s="8" t="str">
        <f>IFERROR(INDEX(样本到样信息汇总统计!F$2:F$500,MATCH(164,样本到样信息汇总统计!$X$2:$X$500,0)),"")</f>
        <v/>
      </c>
      <c r="G165" s="8" t="str">
        <f>IFERROR(INDEX(样本到样信息汇总统计!G$2:G$500,MATCH(164,样本到样信息汇总统计!$X$2:$X$500,0)),"")</f>
        <v/>
      </c>
      <c r="H165" s="8" t="str">
        <f>IFERROR(INDEX(样本到样信息汇总统计!H$2:H$500,MATCH(164,样本到样信息汇总统计!$X$2:$X$500,0)),"")</f>
        <v/>
      </c>
      <c r="I165" s="8" t="str">
        <f>IFERROR(INDEX(样本到样信息汇总统计!I$2:I$500,MATCH(164,样本到样信息汇总统计!$X$2:$X$500,0)),"")</f>
        <v/>
      </c>
      <c r="J165" s="8" t="str">
        <f>IFERROR(INDEX(样本到样信息汇总统计!J$2:J$500,MATCH(164,样本到样信息汇总统计!$X$2:$X$500,0)),"")</f>
        <v/>
      </c>
      <c r="K165" s="15" t="str">
        <f>IFERROR(INDEX(样本到样信息汇总统计!K$2:K$500,MATCH(164,样本到样信息汇总统计!$X$2:$X$500,0)),"")</f>
        <v/>
      </c>
      <c r="L165" s="8" t="str">
        <f>IFERROR(INDEX(样本到样信息汇总统计!L$2:L$500,MATCH(164,样本到样信息汇总统计!$X$2:$X$500,0)),"")</f>
        <v/>
      </c>
      <c r="M165" s="8" t="str">
        <f>IFERROR(INDEX(样本到样信息汇总统计!M$2:M$500,MATCH(164,样本到样信息汇总统计!$X$2:$X$500,0)),"")</f>
        <v/>
      </c>
      <c r="N165" s="8" t="str">
        <f>IFERROR(INDEX(样本到样信息汇总统计!N$2:N$500,MATCH(164,样本到样信息汇总统计!$X$2:$X$500,0)),"")</f>
        <v/>
      </c>
      <c r="O165" s="8" t="str">
        <f>IFERROR(INDEX(样本到样信息汇总统计!O$2:O$500,MATCH(164,样本到样信息汇总统计!$X$2:$X$500,0)),"")</f>
        <v/>
      </c>
      <c r="P165" s="8" t="str">
        <f>IFERROR(INDEX(样本到样信息汇总统计!P$2:P$500,MATCH(164,样本到样信息汇总统计!$X$2:$X$500,0)),"")</f>
        <v/>
      </c>
      <c r="Q165" s="8" t="str">
        <f>IFERROR(INDEX(样本到样信息汇总统计!Q$2:Q$500,MATCH(164,样本到样信息汇总统计!$X$2:$X$500,0)),"")</f>
        <v/>
      </c>
      <c r="R165" s="8" t="str">
        <f>IFERROR(INDEX(样本到样信息汇总统计!R$2:R$500,MATCH(164,样本到样信息汇总统计!$X$2:$X$500,0)),"")</f>
        <v/>
      </c>
      <c r="S165" s="8" t="str">
        <f>IFERROR(INDEX(样本到样信息汇总统计!S$2:S$500,MATCH(164,样本到样信息汇总统计!$X$2:$X$500,0)),"")</f>
        <v/>
      </c>
      <c r="T165" s="8" t="str">
        <f>IFERROR(INDEX(样本到样信息汇总统计!T$2:T$500,MATCH(164,样本到样信息汇总统计!$X$2:$X$500,0)),"")</f>
        <v/>
      </c>
      <c r="U165" s="8" t="str">
        <f>IFERROR(INDEX(样本到样信息汇总统计!U$2:U$500,MATCH(164,样本到样信息汇总统计!$X$2:$X$500,0)),"")</f>
        <v/>
      </c>
      <c r="V165" s="8" t="str">
        <f>IFERROR(INDEX(样本到样信息汇总统计!V$2:V$500,MATCH(164,样本到样信息汇总统计!$X$2:$X$500,0)),"")</f>
        <v/>
      </c>
      <c r="W165" s="8" t="str">
        <f>IFERROR(INDEX(样本到样信息汇总统计!W$2:W$500,MATCH(164,样本到样信息汇总统计!$X$2:$X$500,0)),"")</f>
        <v/>
      </c>
    </row>
    <row r="166" ht="14.5" spans="1:23">
      <c r="A166" s="4" t="str">
        <f>IFERROR(INDEX(样本到样信息汇总统计!A$2:A$500,MATCH(165,样本到样信息汇总统计!$X$2:$X$500,0)),"")</f>
        <v/>
      </c>
      <c r="B166" s="4" t="str">
        <f>IFERROR(INDEX(样本到样信息汇总统计!B$2:B$500,MATCH(165,样本到样信息汇总统计!$X$2:$X$500,0)),"")</f>
        <v/>
      </c>
      <c r="C166" s="4" t="str">
        <f>IFERROR(INDEX(样本到样信息汇总统计!C$2:C$500,MATCH(165,样本到样信息汇总统计!$X$2:$X$500,0)),"")</f>
        <v/>
      </c>
      <c r="D166" s="4" t="str">
        <f>IFERROR(INDEX(样本到样信息汇总统计!D$2:D$500,MATCH(165,样本到样信息汇总统计!$X$2:$X$500,0)),"")</f>
        <v/>
      </c>
      <c r="E166" s="4" t="str">
        <f>IFERROR(INDEX(样本到样信息汇总统计!E$2:E$500,MATCH(165,样本到样信息汇总统计!$X$2:$X$500,0)),"")</f>
        <v/>
      </c>
      <c r="F166" s="4" t="str">
        <f>IFERROR(INDEX(样本到样信息汇总统计!F$2:F$500,MATCH(165,样本到样信息汇总统计!$X$2:$X$500,0)),"")</f>
        <v/>
      </c>
      <c r="G166" s="4" t="str">
        <f>IFERROR(INDEX(样本到样信息汇总统计!G$2:G$500,MATCH(165,样本到样信息汇总统计!$X$2:$X$500,0)),"")</f>
        <v/>
      </c>
      <c r="H166" s="4" t="str">
        <f>IFERROR(INDEX(样本到样信息汇总统计!H$2:H$500,MATCH(165,样本到样信息汇总统计!$X$2:$X$500,0)),"")</f>
        <v/>
      </c>
      <c r="I166" s="4" t="str">
        <f>IFERROR(INDEX(样本到样信息汇总统计!I$2:I$500,MATCH(165,样本到样信息汇总统计!$X$2:$X$500,0)),"")</f>
        <v/>
      </c>
      <c r="J166" s="4" t="str">
        <f>IFERROR(INDEX(样本到样信息汇总统计!J$2:J$500,MATCH(165,样本到样信息汇总统计!$X$2:$X$500,0)),"")</f>
        <v/>
      </c>
      <c r="K166" s="14" t="str">
        <f>IFERROR(INDEX(样本到样信息汇总统计!K$2:K$500,MATCH(165,样本到样信息汇总统计!$X$2:$X$500,0)),"")</f>
        <v/>
      </c>
      <c r="L166" s="4" t="str">
        <f>IFERROR(INDEX(样本到样信息汇总统计!L$2:L$500,MATCH(165,样本到样信息汇总统计!$X$2:$X$500,0)),"")</f>
        <v/>
      </c>
      <c r="M166" s="4" t="str">
        <f>IFERROR(INDEX(样本到样信息汇总统计!M$2:M$500,MATCH(165,样本到样信息汇总统计!$X$2:$X$500,0)),"")</f>
        <v/>
      </c>
      <c r="N166" s="4" t="str">
        <f>IFERROR(INDEX(样本到样信息汇总统计!N$2:N$500,MATCH(165,样本到样信息汇总统计!$X$2:$X$500,0)),"")</f>
        <v/>
      </c>
      <c r="O166" s="4" t="str">
        <f>IFERROR(INDEX(样本到样信息汇总统计!O$2:O$500,MATCH(165,样本到样信息汇总统计!$X$2:$X$500,0)),"")</f>
        <v/>
      </c>
      <c r="P166" s="4" t="str">
        <f>IFERROR(INDEX(样本到样信息汇总统计!P$2:P$500,MATCH(165,样本到样信息汇总统计!$X$2:$X$500,0)),"")</f>
        <v/>
      </c>
      <c r="Q166" s="4" t="str">
        <f>IFERROR(INDEX(样本到样信息汇总统计!Q$2:Q$500,MATCH(165,样本到样信息汇总统计!$X$2:$X$500,0)),"")</f>
        <v/>
      </c>
      <c r="R166" s="4" t="str">
        <f>IFERROR(INDEX(样本到样信息汇总统计!R$2:R$500,MATCH(165,样本到样信息汇总统计!$X$2:$X$500,0)),"")</f>
        <v/>
      </c>
      <c r="S166" s="4" t="str">
        <f>IFERROR(INDEX(样本到样信息汇总统计!S$2:S$500,MATCH(165,样本到样信息汇总统计!$X$2:$X$500,0)),"")</f>
        <v/>
      </c>
      <c r="T166" s="4" t="str">
        <f>IFERROR(INDEX(样本到样信息汇总统计!T$2:T$500,MATCH(165,样本到样信息汇总统计!$X$2:$X$500,0)),"")</f>
        <v/>
      </c>
      <c r="U166" s="4" t="str">
        <f>IFERROR(INDEX(样本到样信息汇总统计!U$2:U$500,MATCH(165,样本到样信息汇总统计!$X$2:$X$500,0)),"")</f>
        <v/>
      </c>
      <c r="V166" s="4" t="str">
        <f>IFERROR(INDEX(样本到样信息汇总统计!V$2:V$500,MATCH(165,样本到样信息汇总统计!$X$2:$X$500,0)),"")</f>
        <v/>
      </c>
      <c r="W166" s="4" t="str">
        <f>IFERROR(INDEX(样本到样信息汇总统计!W$2:W$500,MATCH(165,样本到样信息汇总统计!$X$2:$X$500,0)),"")</f>
        <v/>
      </c>
    </row>
    <row r="167" ht="14.5" spans="1:23">
      <c r="A167" s="8" t="str">
        <f>IFERROR(INDEX(样本到样信息汇总统计!A$2:A$500,MATCH(166,样本到样信息汇总统计!$X$2:$X$500,0)),"")</f>
        <v/>
      </c>
      <c r="B167" s="8" t="str">
        <f>IFERROR(INDEX(样本到样信息汇总统计!B$2:B$500,MATCH(166,样本到样信息汇总统计!$X$2:$X$500,0)),"")</f>
        <v/>
      </c>
      <c r="C167" s="8" t="str">
        <f>IFERROR(INDEX(样本到样信息汇总统计!C$2:C$500,MATCH(166,样本到样信息汇总统计!$X$2:$X$500,0)),"")</f>
        <v/>
      </c>
      <c r="D167" s="8" t="str">
        <f>IFERROR(INDEX(样本到样信息汇总统计!D$2:D$500,MATCH(166,样本到样信息汇总统计!$X$2:$X$500,0)),"")</f>
        <v/>
      </c>
      <c r="E167" s="8" t="str">
        <f>IFERROR(INDEX(样本到样信息汇总统计!E$2:E$500,MATCH(166,样本到样信息汇总统计!$X$2:$X$500,0)),"")</f>
        <v/>
      </c>
      <c r="F167" s="8" t="str">
        <f>IFERROR(INDEX(样本到样信息汇总统计!F$2:F$500,MATCH(166,样本到样信息汇总统计!$X$2:$X$500,0)),"")</f>
        <v/>
      </c>
      <c r="G167" s="8" t="str">
        <f>IFERROR(INDEX(样本到样信息汇总统计!G$2:G$500,MATCH(166,样本到样信息汇总统计!$X$2:$X$500,0)),"")</f>
        <v/>
      </c>
      <c r="H167" s="8" t="str">
        <f>IFERROR(INDEX(样本到样信息汇总统计!H$2:H$500,MATCH(166,样本到样信息汇总统计!$X$2:$X$500,0)),"")</f>
        <v/>
      </c>
      <c r="I167" s="8" t="str">
        <f>IFERROR(INDEX(样本到样信息汇总统计!I$2:I$500,MATCH(166,样本到样信息汇总统计!$X$2:$X$500,0)),"")</f>
        <v/>
      </c>
      <c r="J167" s="8" t="str">
        <f>IFERROR(INDEX(样本到样信息汇总统计!J$2:J$500,MATCH(166,样本到样信息汇总统计!$X$2:$X$500,0)),"")</f>
        <v/>
      </c>
      <c r="K167" s="15" t="str">
        <f>IFERROR(INDEX(样本到样信息汇总统计!K$2:K$500,MATCH(166,样本到样信息汇总统计!$X$2:$X$500,0)),"")</f>
        <v/>
      </c>
      <c r="L167" s="8" t="str">
        <f>IFERROR(INDEX(样本到样信息汇总统计!L$2:L$500,MATCH(166,样本到样信息汇总统计!$X$2:$X$500,0)),"")</f>
        <v/>
      </c>
      <c r="M167" s="8" t="str">
        <f>IFERROR(INDEX(样本到样信息汇总统计!M$2:M$500,MATCH(166,样本到样信息汇总统计!$X$2:$X$500,0)),"")</f>
        <v/>
      </c>
      <c r="N167" s="8" t="str">
        <f>IFERROR(INDEX(样本到样信息汇总统计!N$2:N$500,MATCH(166,样本到样信息汇总统计!$X$2:$X$500,0)),"")</f>
        <v/>
      </c>
      <c r="O167" s="8" t="str">
        <f>IFERROR(INDEX(样本到样信息汇总统计!O$2:O$500,MATCH(166,样本到样信息汇总统计!$X$2:$X$500,0)),"")</f>
        <v/>
      </c>
      <c r="P167" s="8" t="str">
        <f>IFERROR(INDEX(样本到样信息汇总统计!P$2:P$500,MATCH(166,样本到样信息汇总统计!$X$2:$X$500,0)),"")</f>
        <v/>
      </c>
      <c r="Q167" s="8" t="str">
        <f>IFERROR(INDEX(样本到样信息汇总统计!Q$2:Q$500,MATCH(166,样本到样信息汇总统计!$X$2:$X$500,0)),"")</f>
        <v/>
      </c>
      <c r="R167" s="8" t="str">
        <f>IFERROR(INDEX(样本到样信息汇总统计!R$2:R$500,MATCH(166,样本到样信息汇总统计!$X$2:$X$500,0)),"")</f>
        <v/>
      </c>
      <c r="S167" s="8" t="str">
        <f>IFERROR(INDEX(样本到样信息汇总统计!S$2:S$500,MATCH(166,样本到样信息汇总统计!$X$2:$X$500,0)),"")</f>
        <v/>
      </c>
      <c r="T167" s="8" t="str">
        <f>IFERROR(INDEX(样本到样信息汇总统计!T$2:T$500,MATCH(166,样本到样信息汇总统计!$X$2:$X$500,0)),"")</f>
        <v/>
      </c>
      <c r="U167" s="8" t="str">
        <f>IFERROR(INDEX(样本到样信息汇总统计!U$2:U$500,MATCH(166,样本到样信息汇总统计!$X$2:$X$500,0)),"")</f>
        <v/>
      </c>
      <c r="V167" s="8" t="str">
        <f>IFERROR(INDEX(样本到样信息汇总统计!V$2:V$500,MATCH(166,样本到样信息汇总统计!$X$2:$X$500,0)),"")</f>
        <v/>
      </c>
      <c r="W167" s="8" t="str">
        <f>IFERROR(INDEX(样本到样信息汇总统计!W$2:W$500,MATCH(166,样本到样信息汇总统计!$X$2:$X$500,0)),"")</f>
        <v/>
      </c>
    </row>
    <row r="168" ht="14.5" spans="1:23">
      <c r="A168" s="4" t="str">
        <f>IFERROR(INDEX(样本到样信息汇总统计!A$2:A$500,MATCH(167,样本到样信息汇总统计!$X$2:$X$500,0)),"")</f>
        <v/>
      </c>
      <c r="B168" s="4" t="str">
        <f>IFERROR(INDEX(样本到样信息汇总统计!B$2:B$500,MATCH(167,样本到样信息汇总统计!$X$2:$X$500,0)),"")</f>
        <v/>
      </c>
      <c r="C168" s="4" t="str">
        <f>IFERROR(INDEX(样本到样信息汇总统计!C$2:C$500,MATCH(167,样本到样信息汇总统计!$X$2:$X$500,0)),"")</f>
        <v/>
      </c>
      <c r="D168" s="4" t="str">
        <f>IFERROR(INDEX(样本到样信息汇总统计!D$2:D$500,MATCH(167,样本到样信息汇总统计!$X$2:$X$500,0)),"")</f>
        <v/>
      </c>
      <c r="E168" s="4" t="str">
        <f>IFERROR(INDEX(样本到样信息汇总统计!E$2:E$500,MATCH(167,样本到样信息汇总统计!$X$2:$X$500,0)),"")</f>
        <v/>
      </c>
      <c r="F168" s="4" t="str">
        <f>IFERROR(INDEX(样本到样信息汇总统计!F$2:F$500,MATCH(167,样本到样信息汇总统计!$X$2:$X$500,0)),"")</f>
        <v/>
      </c>
      <c r="G168" s="4" t="str">
        <f>IFERROR(INDEX(样本到样信息汇总统计!G$2:G$500,MATCH(167,样本到样信息汇总统计!$X$2:$X$500,0)),"")</f>
        <v/>
      </c>
      <c r="H168" s="4" t="str">
        <f>IFERROR(INDEX(样本到样信息汇总统计!H$2:H$500,MATCH(167,样本到样信息汇总统计!$X$2:$X$500,0)),"")</f>
        <v/>
      </c>
      <c r="I168" s="4" t="str">
        <f>IFERROR(INDEX(样本到样信息汇总统计!I$2:I$500,MATCH(167,样本到样信息汇总统计!$X$2:$X$500,0)),"")</f>
        <v/>
      </c>
      <c r="J168" s="4" t="str">
        <f>IFERROR(INDEX(样本到样信息汇总统计!J$2:J$500,MATCH(167,样本到样信息汇总统计!$X$2:$X$500,0)),"")</f>
        <v/>
      </c>
      <c r="K168" s="14" t="str">
        <f>IFERROR(INDEX(样本到样信息汇总统计!K$2:K$500,MATCH(167,样本到样信息汇总统计!$X$2:$X$500,0)),"")</f>
        <v/>
      </c>
      <c r="L168" s="4" t="str">
        <f>IFERROR(INDEX(样本到样信息汇总统计!L$2:L$500,MATCH(167,样本到样信息汇总统计!$X$2:$X$500,0)),"")</f>
        <v/>
      </c>
      <c r="M168" s="4" t="str">
        <f>IFERROR(INDEX(样本到样信息汇总统计!M$2:M$500,MATCH(167,样本到样信息汇总统计!$X$2:$X$500,0)),"")</f>
        <v/>
      </c>
      <c r="N168" s="4" t="str">
        <f>IFERROR(INDEX(样本到样信息汇总统计!N$2:N$500,MATCH(167,样本到样信息汇总统计!$X$2:$X$500,0)),"")</f>
        <v/>
      </c>
      <c r="O168" s="4" t="str">
        <f>IFERROR(INDEX(样本到样信息汇总统计!O$2:O$500,MATCH(167,样本到样信息汇总统计!$X$2:$X$500,0)),"")</f>
        <v/>
      </c>
      <c r="P168" s="4" t="str">
        <f>IFERROR(INDEX(样本到样信息汇总统计!P$2:P$500,MATCH(167,样本到样信息汇总统计!$X$2:$X$500,0)),"")</f>
        <v/>
      </c>
      <c r="Q168" s="4" t="str">
        <f>IFERROR(INDEX(样本到样信息汇总统计!Q$2:Q$500,MATCH(167,样本到样信息汇总统计!$X$2:$X$500,0)),"")</f>
        <v/>
      </c>
      <c r="R168" s="4" t="str">
        <f>IFERROR(INDEX(样本到样信息汇总统计!R$2:R$500,MATCH(167,样本到样信息汇总统计!$X$2:$X$500,0)),"")</f>
        <v/>
      </c>
      <c r="S168" s="4" t="str">
        <f>IFERROR(INDEX(样本到样信息汇总统计!S$2:S$500,MATCH(167,样本到样信息汇总统计!$X$2:$X$500,0)),"")</f>
        <v/>
      </c>
      <c r="T168" s="4" t="str">
        <f>IFERROR(INDEX(样本到样信息汇总统计!T$2:T$500,MATCH(167,样本到样信息汇总统计!$X$2:$X$500,0)),"")</f>
        <v/>
      </c>
      <c r="U168" s="4" t="str">
        <f>IFERROR(INDEX(样本到样信息汇总统计!U$2:U$500,MATCH(167,样本到样信息汇总统计!$X$2:$X$500,0)),"")</f>
        <v/>
      </c>
      <c r="V168" s="4" t="str">
        <f>IFERROR(INDEX(样本到样信息汇总统计!V$2:V$500,MATCH(167,样本到样信息汇总统计!$X$2:$X$500,0)),"")</f>
        <v/>
      </c>
      <c r="W168" s="4" t="str">
        <f>IFERROR(INDEX(样本到样信息汇总统计!W$2:W$500,MATCH(167,样本到样信息汇总统计!$X$2:$X$500,0)),"")</f>
        <v/>
      </c>
    </row>
    <row r="169" ht="14.5" spans="1:23">
      <c r="A169" s="8" t="str">
        <f>IFERROR(INDEX(样本到样信息汇总统计!A$2:A$500,MATCH(168,样本到样信息汇总统计!$X$2:$X$500,0)),"")</f>
        <v/>
      </c>
      <c r="B169" s="8" t="str">
        <f>IFERROR(INDEX(样本到样信息汇总统计!B$2:B$500,MATCH(168,样本到样信息汇总统计!$X$2:$X$500,0)),"")</f>
        <v/>
      </c>
      <c r="C169" s="8" t="str">
        <f>IFERROR(INDEX(样本到样信息汇总统计!C$2:C$500,MATCH(168,样本到样信息汇总统计!$X$2:$X$500,0)),"")</f>
        <v/>
      </c>
      <c r="D169" s="8" t="str">
        <f>IFERROR(INDEX(样本到样信息汇总统计!D$2:D$500,MATCH(168,样本到样信息汇总统计!$X$2:$X$500,0)),"")</f>
        <v/>
      </c>
      <c r="E169" s="8" t="str">
        <f>IFERROR(INDEX(样本到样信息汇总统计!E$2:E$500,MATCH(168,样本到样信息汇总统计!$X$2:$X$500,0)),"")</f>
        <v/>
      </c>
      <c r="F169" s="8" t="str">
        <f>IFERROR(INDEX(样本到样信息汇总统计!F$2:F$500,MATCH(168,样本到样信息汇总统计!$X$2:$X$500,0)),"")</f>
        <v/>
      </c>
      <c r="G169" s="8" t="str">
        <f>IFERROR(INDEX(样本到样信息汇总统计!G$2:G$500,MATCH(168,样本到样信息汇总统计!$X$2:$X$500,0)),"")</f>
        <v/>
      </c>
      <c r="H169" s="8" t="str">
        <f>IFERROR(INDEX(样本到样信息汇总统计!H$2:H$500,MATCH(168,样本到样信息汇总统计!$X$2:$X$500,0)),"")</f>
        <v/>
      </c>
      <c r="I169" s="8" t="str">
        <f>IFERROR(INDEX(样本到样信息汇总统计!I$2:I$500,MATCH(168,样本到样信息汇总统计!$X$2:$X$500,0)),"")</f>
        <v/>
      </c>
      <c r="J169" s="8" t="str">
        <f>IFERROR(INDEX(样本到样信息汇总统计!J$2:J$500,MATCH(168,样本到样信息汇总统计!$X$2:$X$500,0)),"")</f>
        <v/>
      </c>
      <c r="K169" s="15" t="str">
        <f>IFERROR(INDEX(样本到样信息汇总统计!K$2:K$500,MATCH(168,样本到样信息汇总统计!$X$2:$X$500,0)),"")</f>
        <v/>
      </c>
      <c r="L169" s="8" t="str">
        <f>IFERROR(INDEX(样本到样信息汇总统计!L$2:L$500,MATCH(168,样本到样信息汇总统计!$X$2:$X$500,0)),"")</f>
        <v/>
      </c>
      <c r="M169" s="8" t="str">
        <f>IFERROR(INDEX(样本到样信息汇总统计!M$2:M$500,MATCH(168,样本到样信息汇总统计!$X$2:$X$500,0)),"")</f>
        <v/>
      </c>
      <c r="N169" s="8" t="str">
        <f>IFERROR(INDEX(样本到样信息汇总统计!N$2:N$500,MATCH(168,样本到样信息汇总统计!$X$2:$X$500,0)),"")</f>
        <v/>
      </c>
      <c r="O169" s="8" t="str">
        <f>IFERROR(INDEX(样本到样信息汇总统计!O$2:O$500,MATCH(168,样本到样信息汇总统计!$X$2:$X$500,0)),"")</f>
        <v/>
      </c>
      <c r="P169" s="8" t="str">
        <f>IFERROR(INDEX(样本到样信息汇总统计!P$2:P$500,MATCH(168,样本到样信息汇总统计!$X$2:$X$500,0)),"")</f>
        <v/>
      </c>
      <c r="Q169" s="8" t="str">
        <f>IFERROR(INDEX(样本到样信息汇总统计!Q$2:Q$500,MATCH(168,样本到样信息汇总统计!$X$2:$X$500,0)),"")</f>
        <v/>
      </c>
      <c r="R169" s="8" t="str">
        <f>IFERROR(INDEX(样本到样信息汇总统计!R$2:R$500,MATCH(168,样本到样信息汇总统计!$X$2:$X$500,0)),"")</f>
        <v/>
      </c>
      <c r="S169" s="8" t="str">
        <f>IFERROR(INDEX(样本到样信息汇总统计!S$2:S$500,MATCH(168,样本到样信息汇总统计!$X$2:$X$500,0)),"")</f>
        <v/>
      </c>
      <c r="T169" s="8" t="str">
        <f>IFERROR(INDEX(样本到样信息汇总统计!T$2:T$500,MATCH(168,样本到样信息汇总统计!$X$2:$X$500,0)),"")</f>
        <v/>
      </c>
      <c r="U169" s="8" t="str">
        <f>IFERROR(INDEX(样本到样信息汇总统计!U$2:U$500,MATCH(168,样本到样信息汇总统计!$X$2:$X$500,0)),"")</f>
        <v/>
      </c>
      <c r="V169" s="8" t="str">
        <f>IFERROR(INDEX(样本到样信息汇总统计!V$2:V$500,MATCH(168,样本到样信息汇总统计!$X$2:$X$500,0)),"")</f>
        <v/>
      </c>
      <c r="W169" s="8" t="str">
        <f>IFERROR(INDEX(样本到样信息汇总统计!W$2:W$500,MATCH(168,样本到样信息汇总统计!$X$2:$X$500,0)),"")</f>
        <v/>
      </c>
    </row>
    <row r="170" ht="14.5" spans="1:23">
      <c r="A170" s="4" t="str">
        <f>IFERROR(INDEX(样本到样信息汇总统计!A$2:A$500,MATCH(169,样本到样信息汇总统计!$X$2:$X$500,0)),"")</f>
        <v/>
      </c>
      <c r="B170" s="4" t="str">
        <f>IFERROR(INDEX(样本到样信息汇总统计!B$2:B$500,MATCH(169,样本到样信息汇总统计!$X$2:$X$500,0)),"")</f>
        <v/>
      </c>
      <c r="C170" s="4" t="str">
        <f>IFERROR(INDEX(样本到样信息汇总统计!C$2:C$500,MATCH(169,样本到样信息汇总统计!$X$2:$X$500,0)),"")</f>
        <v/>
      </c>
      <c r="D170" s="4" t="str">
        <f>IFERROR(INDEX(样本到样信息汇总统计!D$2:D$500,MATCH(169,样本到样信息汇总统计!$X$2:$X$500,0)),"")</f>
        <v/>
      </c>
      <c r="E170" s="4" t="str">
        <f>IFERROR(INDEX(样本到样信息汇总统计!E$2:E$500,MATCH(169,样本到样信息汇总统计!$X$2:$X$500,0)),"")</f>
        <v/>
      </c>
      <c r="F170" s="4" t="str">
        <f>IFERROR(INDEX(样本到样信息汇总统计!F$2:F$500,MATCH(169,样本到样信息汇总统计!$X$2:$X$500,0)),"")</f>
        <v/>
      </c>
      <c r="G170" s="4" t="str">
        <f>IFERROR(INDEX(样本到样信息汇总统计!G$2:G$500,MATCH(169,样本到样信息汇总统计!$X$2:$X$500,0)),"")</f>
        <v/>
      </c>
      <c r="H170" s="4" t="str">
        <f>IFERROR(INDEX(样本到样信息汇总统计!H$2:H$500,MATCH(169,样本到样信息汇总统计!$X$2:$X$500,0)),"")</f>
        <v/>
      </c>
      <c r="I170" s="4" t="str">
        <f>IFERROR(INDEX(样本到样信息汇总统计!I$2:I$500,MATCH(169,样本到样信息汇总统计!$X$2:$X$500,0)),"")</f>
        <v/>
      </c>
      <c r="J170" s="4" t="str">
        <f>IFERROR(INDEX(样本到样信息汇总统计!J$2:J$500,MATCH(169,样本到样信息汇总统计!$X$2:$X$500,0)),"")</f>
        <v/>
      </c>
      <c r="K170" s="14" t="str">
        <f>IFERROR(INDEX(样本到样信息汇总统计!K$2:K$500,MATCH(169,样本到样信息汇总统计!$X$2:$X$500,0)),"")</f>
        <v/>
      </c>
      <c r="L170" s="4" t="str">
        <f>IFERROR(INDEX(样本到样信息汇总统计!L$2:L$500,MATCH(169,样本到样信息汇总统计!$X$2:$X$500,0)),"")</f>
        <v/>
      </c>
      <c r="M170" s="4" t="str">
        <f>IFERROR(INDEX(样本到样信息汇总统计!M$2:M$500,MATCH(169,样本到样信息汇总统计!$X$2:$X$500,0)),"")</f>
        <v/>
      </c>
      <c r="N170" s="4" t="str">
        <f>IFERROR(INDEX(样本到样信息汇总统计!N$2:N$500,MATCH(169,样本到样信息汇总统计!$X$2:$X$500,0)),"")</f>
        <v/>
      </c>
      <c r="O170" s="4" t="str">
        <f>IFERROR(INDEX(样本到样信息汇总统计!O$2:O$500,MATCH(169,样本到样信息汇总统计!$X$2:$X$500,0)),"")</f>
        <v/>
      </c>
      <c r="P170" s="4" t="str">
        <f>IFERROR(INDEX(样本到样信息汇总统计!P$2:P$500,MATCH(169,样本到样信息汇总统计!$X$2:$X$500,0)),"")</f>
        <v/>
      </c>
      <c r="Q170" s="4" t="str">
        <f>IFERROR(INDEX(样本到样信息汇总统计!Q$2:Q$500,MATCH(169,样本到样信息汇总统计!$X$2:$X$500,0)),"")</f>
        <v/>
      </c>
      <c r="R170" s="4" t="str">
        <f>IFERROR(INDEX(样本到样信息汇总统计!R$2:R$500,MATCH(169,样本到样信息汇总统计!$X$2:$X$500,0)),"")</f>
        <v/>
      </c>
      <c r="S170" s="4" t="str">
        <f>IFERROR(INDEX(样本到样信息汇总统计!S$2:S$500,MATCH(169,样本到样信息汇总统计!$X$2:$X$500,0)),"")</f>
        <v/>
      </c>
      <c r="T170" s="4" t="str">
        <f>IFERROR(INDEX(样本到样信息汇总统计!T$2:T$500,MATCH(169,样本到样信息汇总统计!$X$2:$X$500,0)),"")</f>
        <v/>
      </c>
      <c r="U170" s="4" t="str">
        <f>IFERROR(INDEX(样本到样信息汇总统计!U$2:U$500,MATCH(169,样本到样信息汇总统计!$X$2:$X$500,0)),"")</f>
        <v/>
      </c>
      <c r="V170" s="4" t="str">
        <f>IFERROR(INDEX(样本到样信息汇总统计!V$2:V$500,MATCH(169,样本到样信息汇总统计!$X$2:$X$500,0)),"")</f>
        <v/>
      </c>
      <c r="W170" s="4" t="str">
        <f>IFERROR(INDEX(样本到样信息汇总统计!W$2:W$500,MATCH(169,样本到样信息汇总统计!$X$2:$X$500,0)),"")</f>
        <v/>
      </c>
    </row>
    <row r="171" ht="14.5" spans="1:23">
      <c r="A171" s="8" t="str">
        <f>IFERROR(INDEX(样本到样信息汇总统计!A$2:A$500,MATCH(170,样本到样信息汇总统计!$X$2:$X$500,0)),"")</f>
        <v/>
      </c>
      <c r="B171" s="8" t="str">
        <f>IFERROR(INDEX(样本到样信息汇总统计!B$2:B$500,MATCH(170,样本到样信息汇总统计!$X$2:$X$500,0)),"")</f>
        <v/>
      </c>
      <c r="C171" s="8" t="str">
        <f>IFERROR(INDEX(样本到样信息汇总统计!C$2:C$500,MATCH(170,样本到样信息汇总统计!$X$2:$X$500,0)),"")</f>
        <v/>
      </c>
      <c r="D171" s="8" t="str">
        <f>IFERROR(INDEX(样本到样信息汇总统计!D$2:D$500,MATCH(170,样本到样信息汇总统计!$X$2:$X$500,0)),"")</f>
        <v/>
      </c>
      <c r="E171" s="8" t="str">
        <f>IFERROR(INDEX(样本到样信息汇总统计!E$2:E$500,MATCH(170,样本到样信息汇总统计!$X$2:$X$500,0)),"")</f>
        <v/>
      </c>
      <c r="F171" s="8" t="str">
        <f>IFERROR(INDEX(样本到样信息汇总统计!F$2:F$500,MATCH(170,样本到样信息汇总统计!$X$2:$X$500,0)),"")</f>
        <v/>
      </c>
      <c r="G171" s="8" t="str">
        <f>IFERROR(INDEX(样本到样信息汇总统计!G$2:G$500,MATCH(170,样本到样信息汇总统计!$X$2:$X$500,0)),"")</f>
        <v/>
      </c>
      <c r="H171" s="8" t="str">
        <f>IFERROR(INDEX(样本到样信息汇总统计!H$2:H$500,MATCH(170,样本到样信息汇总统计!$X$2:$X$500,0)),"")</f>
        <v/>
      </c>
      <c r="I171" s="8" t="str">
        <f>IFERROR(INDEX(样本到样信息汇总统计!I$2:I$500,MATCH(170,样本到样信息汇总统计!$X$2:$X$500,0)),"")</f>
        <v/>
      </c>
      <c r="J171" s="8" t="str">
        <f>IFERROR(INDEX(样本到样信息汇总统计!J$2:J$500,MATCH(170,样本到样信息汇总统计!$X$2:$X$500,0)),"")</f>
        <v/>
      </c>
      <c r="K171" s="15" t="str">
        <f>IFERROR(INDEX(样本到样信息汇总统计!K$2:K$500,MATCH(170,样本到样信息汇总统计!$X$2:$X$500,0)),"")</f>
        <v/>
      </c>
      <c r="L171" s="8" t="str">
        <f>IFERROR(INDEX(样本到样信息汇总统计!L$2:L$500,MATCH(170,样本到样信息汇总统计!$X$2:$X$500,0)),"")</f>
        <v/>
      </c>
      <c r="M171" s="8" t="str">
        <f>IFERROR(INDEX(样本到样信息汇总统计!M$2:M$500,MATCH(170,样本到样信息汇总统计!$X$2:$X$500,0)),"")</f>
        <v/>
      </c>
      <c r="N171" s="8" t="str">
        <f>IFERROR(INDEX(样本到样信息汇总统计!N$2:N$500,MATCH(170,样本到样信息汇总统计!$X$2:$X$500,0)),"")</f>
        <v/>
      </c>
      <c r="O171" s="8" t="str">
        <f>IFERROR(INDEX(样本到样信息汇总统计!O$2:O$500,MATCH(170,样本到样信息汇总统计!$X$2:$X$500,0)),"")</f>
        <v/>
      </c>
      <c r="P171" s="8" t="str">
        <f>IFERROR(INDEX(样本到样信息汇总统计!P$2:P$500,MATCH(170,样本到样信息汇总统计!$X$2:$X$500,0)),"")</f>
        <v/>
      </c>
      <c r="Q171" s="8" t="str">
        <f>IFERROR(INDEX(样本到样信息汇总统计!Q$2:Q$500,MATCH(170,样本到样信息汇总统计!$X$2:$X$500,0)),"")</f>
        <v/>
      </c>
      <c r="R171" s="8" t="str">
        <f>IFERROR(INDEX(样本到样信息汇总统计!R$2:R$500,MATCH(170,样本到样信息汇总统计!$X$2:$X$500,0)),"")</f>
        <v/>
      </c>
      <c r="S171" s="8" t="str">
        <f>IFERROR(INDEX(样本到样信息汇总统计!S$2:S$500,MATCH(170,样本到样信息汇总统计!$X$2:$X$500,0)),"")</f>
        <v/>
      </c>
      <c r="T171" s="8" t="str">
        <f>IFERROR(INDEX(样本到样信息汇总统计!T$2:T$500,MATCH(170,样本到样信息汇总统计!$X$2:$X$500,0)),"")</f>
        <v/>
      </c>
      <c r="U171" s="8" t="str">
        <f>IFERROR(INDEX(样本到样信息汇总统计!U$2:U$500,MATCH(170,样本到样信息汇总统计!$X$2:$X$500,0)),"")</f>
        <v/>
      </c>
      <c r="V171" s="8" t="str">
        <f>IFERROR(INDEX(样本到样信息汇总统计!V$2:V$500,MATCH(170,样本到样信息汇总统计!$X$2:$X$500,0)),"")</f>
        <v/>
      </c>
      <c r="W171" s="8" t="str">
        <f>IFERROR(INDEX(样本到样信息汇总统计!W$2:W$500,MATCH(170,样本到样信息汇总统计!$X$2:$X$500,0)),"")</f>
        <v/>
      </c>
    </row>
    <row r="172" ht="14.5" spans="1:23">
      <c r="A172" s="4" t="str">
        <f>IFERROR(INDEX(样本到样信息汇总统计!A$2:A$500,MATCH(171,样本到样信息汇总统计!$X$2:$X$500,0)),"")</f>
        <v/>
      </c>
      <c r="B172" s="4" t="str">
        <f>IFERROR(INDEX(样本到样信息汇总统计!B$2:B$500,MATCH(171,样本到样信息汇总统计!$X$2:$X$500,0)),"")</f>
        <v/>
      </c>
      <c r="C172" s="4" t="str">
        <f>IFERROR(INDEX(样本到样信息汇总统计!C$2:C$500,MATCH(171,样本到样信息汇总统计!$X$2:$X$500,0)),"")</f>
        <v/>
      </c>
      <c r="D172" s="4" t="str">
        <f>IFERROR(INDEX(样本到样信息汇总统计!D$2:D$500,MATCH(171,样本到样信息汇总统计!$X$2:$X$500,0)),"")</f>
        <v/>
      </c>
      <c r="E172" s="4" t="str">
        <f>IFERROR(INDEX(样本到样信息汇总统计!E$2:E$500,MATCH(171,样本到样信息汇总统计!$X$2:$X$500,0)),"")</f>
        <v/>
      </c>
      <c r="F172" s="4" t="str">
        <f>IFERROR(INDEX(样本到样信息汇总统计!F$2:F$500,MATCH(171,样本到样信息汇总统计!$X$2:$X$500,0)),"")</f>
        <v/>
      </c>
      <c r="G172" s="4" t="str">
        <f>IFERROR(INDEX(样本到样信息汇总统计!G$2:G$500,MATCH(171,样本到样信息汇总统计!$X$2:$X$500,0)),"")</f>
        <v/>
      </c>
      <c r="H172" s="4" t="str">
        <f>IFERROR(INDEX(样本到样信息汇总统计!H$2:H$500,MATCH(171,样本到样信息汇总统计!$X$2:$X$500,0)),"")</f>
        <v/>
      </c>
      <c r="I172" s="4" t="str">
        <f>IFERROR(INDEX(样本到样信息汇总统计!I$2:I$500,MATCH(171,样本到样信息汇总统计!$X$2:$X$500,0)),"")</f>
        <v/>
      </c>
      <c r="J172" s="4" t="str">
        <f>IFERROR(INDEX(样本到样信息汇总统计!J$2:J$500,MATCH(171,样本到样信息汇总统计!$X$2:$X$500,0)),"")</f>
        <v/>
      </c>
      <c r="K172" s="14" t="str">
        <f>IFERROR(INDEX(样本到样信息汇总统计!K$2:K$500,MATCH(171,样本到样信息汇总统计!$X$2:$X$500,0)),"")</f>
        <v/>
      </c>
      <c r="L172" s="4" t="str">
        <f>IFERROR(INDEX(样本到样信息汇总统计!L$2:L$500,MATCH(171,样本到样信息汇总统计!$X$2:$X$500,0)),"")</f>
        <v/>
      </c>
      <c r="M172" s="4" t="str">
        <f>IFERROR(INDEX(样本到样信息汇总统计!M$2:M$500,MATCH(171,样本到样信息汇总统计!$X$2:$X$500,0)),"")</f>
        <v/>
      </c>
      <c r="N172" s="4" t="str">
        <f>IFERROR(INDEX(样本到样信息汇总统计!N$2:N$500,MATCH(171,样本到样信息汇总统计!$X$2:$X$500,0)),"")</f>
        <v/>
      </c>
      <c r="O172" s="4" t="str">
        <f>IFERROR(INDEX(样本到样信息汇总统计!O$2:O$500,MATCH(171,样本到样信息汇总统计!$X$2:$X$500,0)),"")</f>
        <v/>
      </c>
      <c r="P172" s="4" t="str">
        <f>IFERROR(INDEX(样本到样信息汇总统计!P$2:P$500,MATCH(171,样本到样信息汇总统计!$X$2:$X$500,0)),"")</f>
        <v/>
      </c>
      <c r="Q172" s="4" t="str">
        <f>IFERROR(INDEX(样本到样信息汇总统计!Q$2:Q$500,MATCH(171,样本到样信息汇总统计!$X$2:$X$500,0)),"")</f>
        <v/>
      </c>
      <c r="R172" s="4" t="str">
        <f>IFERROR(INDEX(样本到样信息汇总统计!R$2:R$500,MATCH(171,样本到样信息汇总统计!$X$2:$X$500,0)),"")</f>
        <v/>
      </c>
      <c r="S172" s="4" t="str">
        <f>IFERROR(INDEX(样本到样信息汇总统计!S$2:S$500,MATCH(171,样本到样信息汇总统计!$X$2:$X$500,0)),"")</f>
        <v/>
      </c>
      <c r="T172" s="4" t="str">
        <f>IFERROR(INDEX(样本到样信息汇总统计!T$2:T$500,MATCH(171,样本到样信息汇总统计!$X$2:$X$500,0)),"")</f>
        <v/>
      </c>
      <c r="U172" s="4" t="str">
        <f>IFERROR(INDEX(样本到样信息汇总统计!U$2:U$500,MATCH(171,样本到样信息汇总统计!$X$2:$X$500,0)),"")</f>
        <v/>
      </c>
      <c r="V172" s="4" t="str">
        <f>IFERROR(INDEX(样本到样信息汇总统计!V$2:V$500,MATCH(171,样本到样信息汇总统计!$X$2:$X$500,0)),"")</f>
        <v/>
      </c>
      <c r="W172" s="4" t="str">
        <f>IFERROR(INDEX(样本到样信息汇总统计!W$2:W$500,MATCH(171,样本到样信息汇总统计!$X$2:$X$500,0)),"")</f>
        <v/>
      </c>
    </row>
    <row r="173" ht="14.5" spans="1:23">
      <c r="A173" s="8" t="str">
        <f>IFERROR(INDEX(样本到样信息汇总统计!A$2:A$500,MATCH(172,样本到样信息汇总统计!$X$2:$X$500,0)),"")</f>
        <v/>
      </c>
      <c r="B173" s="8" t="str">
        <f>IFERROR(INDEX(样本到样信息汇总统计!B$2:B$500,MATCH(172,样本到样信息汇总统计!$X$2:$X$500,0)),"")</f>
        <v/>
      </c>
      <c r="C173" s="8" t="str">
        <f>IFERROR(INDEX(样本到样信息汇总统计!C$2:C$500,MATCH(172,样本到样信息汇总统计!$X$2:$X$500,0)),"")</f>
        <v/>
      </c>
      <c r="D173" s="8" t="str">
        <f>IFERROR(INDEX(样本到样信息汇总统计!D$2:D$500,MATCH(172,样本到样信息汇总统计!$X$2:$X$500,0)),"")</f>
        <v/>
      </c>
      <c r="E173" s="8" t="str">
        <f>IFERROR(INDEX(样本到样信息汇总统计!E$2:E$500,MATCH(172,样本到样信息汇总统计!$X$2:$X$500,0)),"")</f>
        <v/>
      </c>
      <c r="F173" s="8" t="str">
        <f>IFERROR(INDEX(样本到样信息汇总统计!F$2:F$500,MATCH(172,样本到样信息汇总统计!$X$2:$X$500,0)),"")</f>
        <v/>
      </c>
      <c r="G173" s="8" t="str">
        <f>IFERROR(INDEX(样本到样信息汇总统计!G$2:G$500,MATCH(172,样本到样信息汇总统计!$X$2:$X$500,0)),"")</f>
        <v/>
      </c>
      <c r="H173" s="8" t="str">
        <f>IFERROR(INDEX(样本到样信息汇总统计!H$2:H$500,MATCH(172,样本到样信息汇总统计!$X$2:$X$500,0)),"")</f>
        <v/>
      </c>
      <c r="I173" s="8" t="str">
        <f>IFERROR(INDEX(样本到样信息汇总统计!I$2:I$500,MATCH(172,样本到样信息汇总统计!$X$2:$X$500,0)),"")</f>
        <v/>
      </c>
      <c r="J173" s="8" t="str">
        <f>IFERROR(INDEX(样本到样信息汇总统计!J$2:J$500,MATCH(172,样本到样信息汇总统计!$X$2:$X$500,0)),"")</f>
        <v/>
      </c>
      <c r="K173" s="15" t="str">
        <f>IFERROR(INDEX(样本到样信息汇总统计!K$2:K$500,MATCH(172,样本到样信息汇总统计!$X$2:$X$500,0)),"")</f>
        <v/>
      </c>
      <c r="L173" s="8" t="str">
        <f>IFERROR(INDEX(样本到样信息汇总统计!L$2:L$500,MATCH(172,样本到样信息汇总统计!$X$2:$X$500,0)),"")</f>
        <v/>
      </c>
      <c r="M173" s="8" t="str">
        <f>IFERROR(INDEX(样本到样信息汇总统计!M$2:M$500,MATCH(172,样本到样信息汇总统计!$X$2:$X$500,0)),"")</f>
        <v/>
      </c>
      <c r="N173" s="8" t="str">
        <f>IFERROR(INDEX(样本到样信息汇总统计!N$2:N$500,MATCH(172,样本到样信息汇总统计!$X$2:$X$500,0)),"")</f>
        <v/>
      </c>
      <c r="O173" s="8" t="str">
        <f>IFERROR(INDEX(样本到样信息汇总统计!O$2:O$500,MATCH(172,样本到样信息汇总统计!$X$2:$X$500,0)),"")</f>
        <v/>
      </c>
      <c r="P173" s="8" t="str">
        <f>IFERROR(INDEX(样本到样信息汇总统计!P$2:P$500,MATCH(172,样本到样信息汇总统计!$X$2:$X$500,0)),"")</f>
        <v/>
      </c>
      <c r="Q173" s="8" t="str">
        <f>IFERROR(INDEX(样本到样信息汇总统计!Q$2:Q$500,MATCH(172,样本到样信息汇总统计!$X$2:$X$500,0)),"")</f>
        <v/>
      </c>
      <c r="R173" s="8" t="str">
        <f>IFERROR(INDEX(样本到样信息汇总统计!R$2:R$500,MATCH(172,样本到样信息汇总统计!$X$2:$X$500,0)),"")</f>
        <v/>
      </c>
      <c r="S173" s="8" t="str">
        <f>IFERROR(INDEX(样本到样信息汇总统计!S$2:S$500,MATCH(172,样本到样信息汇总统计!$X$2:$X$500,0)),"")</f>
        <v/>
      </c>
      <c r="T173" s="8" t="str">
        <f>IFERROR(INDEX(样本到样信息汇总统计!T$2:T$500,MATCH(172,样本到样信息汇总统计!$X$2:$X$500,0)),"")</f>
        <v/>
      </c>
      <c r="U173" s="8" t="str">
        <f>IFERROR(INDEX(样本到样信息汇总统计!U$2:U$500,MATCH(172,样本到样信息汇总统计!$X$2:$X$500,0)),"")</f>
        <v/>
      </c>
      <c r="V173" s="8" t="str">
        <f>IFERROR(INDEX(样本到样信息汇总统计!V$2:V$500,MATCH(172,样本到样信息汇总统计!$X$2:$X$500,0)),"")</f>
        <v/>
      </c>
      <c r="W173" s="8" t="str">
        <f>IFERROR(INDEX(样本到样信息汇总统计!W$2:W$500,MATCH(172,样本到样信息汇总统计!$X$2:$X$500,0)),"")</f>
        <v/>
      </c>
    </row>
    <row r="174" ht="14.5" spans="1:23">
      <c r="A174" s="4" t="str">
        <f>IFERROR(INDEX(样本到样信息汇总统计!A$2:A$500,MATCH(173,样本到样信息汇总统计!$X$2:$X$500,0)),"")</f>
        <v/>
      </c>
      <c r="B174" s="4" t="str">
        <f>IFERROR(INDEX(样本到样信息汇总统计!B$2:B$500,MATCH(173,样本到样信息汇总统计!$X$2:$X$500,0)),"")</f>
        <v/>
      </c>
      <c r="C174" s="4" t="str">
        <f>IFERROR(INDEX(样本到样信息汇总统计!C$2:C$500,MATCH(173,样本到样信息汇总统计!$X$2:$X$500,0)),"")</f>
        <v/>
      </c>
      <c r="D174" s="4" t="str">
        <f>IFERROR(INDEX(样本到样信息汇总统计!D$2:D$500,MATCH(173,样本到样信息汇总统计!$X$2:$X$500,0)),"")</f>
        <v/>
      </c>
      <c r="E174" s="4" t="str">
        <f>IFERROR(INDEX(样本到样信息汇总统计!E$2:E$500,MATCH(173,样本到样信息汇总统计!$X$2:$X$500,0)),"")</f>
        <v/>
      </c>
      <c r="F174" s="4" t="str">
        <f>IFERROR(INDEX(样本到样信息汇总统计!F$2:F$500,MATCH(173,样本到样信息汇总统计!$X$2:$X$500,0)),"")</f>
        <v/>
      </c>
      <c r="G174" s="4" t="str">
        <f>IFERROR(INDEX(样本到样信息汇总统计!G$2:G$500,MATCH(173,样本到样信息汇总统计!$X$2:$X$500,0)),"")</f>
        <v/>
      </c>
      <c r="H174" s="4" t="str">
        <f>IFERROR(INDEX(样本到样信息汇总统计!H$2:H$500,MATCH(173,样本到样信息汇总统计!$X$2:$X$500,0)),"")</f>
        <v/>
      </c>
      <c r="I174" s="4" t="str">
        <f>IFERROR(INDEX(样本到样信息汇总统计!I$2:I$500,MATCH(173,样本到样信息汇总统计!$X$2:$X$500,0)),"")</f>
        <v/>
      </c>
      <c r="J174" s="4" t="str">
        <f>IFERROR(INDEX(样本到样信息汇总统计!J$2:J$500,MATCH(173,样本到样信息汇总统计!$X$2:$X$500,0)),"")</f>
        <v/>
      </c>
      <c r="K174" s="14" t="str">
        <f>IFERROR(INDEX(样本到样信息汇总统计!K$2:K$500,MATCH(173,样本到样信息汇总统计!$X$2:$X$500,0)),"")</f>
        <v/>
      </c>
      <c r="L174" s="4" t="str">
        <f>IFERROR(INDEX(样本到样信息汇总统计!L$2:L$500,MATCH(173,样本到样信息汇总统计!$X$2:$X$500,0)),"")</f>
        <v/>
      </c>
      <c r="M174" s="4" t="str">
        <f>IFERROR(INDEX(样本到样信息汇总统计!M$2:M$500,MATCH(173,样本到样信息汇总统计!$X$2:$X$500,0)),"")</f>
        <v/>
      </c>
      <c r="N174" s="4" t="str">
        <f>IFERROR(INDEX(样本到样信息汇总统计!N$2:N$500,MATCH(173,样本到样信息汇总统计!$X$2:$X$500,0)),"")</f>
        <v/>
      </c>
      <c r="O174" s="4" t="str">
        <f>IFERROR(INDEX(样本到样信息汇总统计!O$2:O$500,MATCH(173,样本到样信息汇总统计!$X$2:$X$500,0)),"")</f>
        <v/>
      </c>
      <c r="P174" s="4" t="str">
        <f>IFERROR(INDEX(样本到样信息汇总统计!P$2:P$500,MATCH(173,样本到样信息汇总统计!$X$2:$X$500,0)),"")</f>
        <v/>
      </c>
      <c r="Q174" s="4" t="str">
        <f>IFERROR(INDEX(样本到样信息汇总统计!Q$2:Q$500,MATCH(173,样本到样信息汇总统计!$X$2:$X$500,0)),"")</f>
        <v/>
      </c>
      <c r="R174" s="4" t="str">
        <f>IFERROR(INDEX(样本到样信息汇总统计!R$2:R$500,MATCH(173,样本到样信息汇总统计!$X$2:$X$500,0)),"")</f>
        <v/>
      </c>
      <c r="S174" s="4" t="str">
        <f>IFERROR(INDEX(样本到样信息汇总统计!S$2:S$500,MATCH(173,样本到样信息汇总统计!$X$2:$X$500,0)),"")</f>
        <v/>
      </c>
      <c r="T174" s="4" t="str">
        <f>IFERROR(INDEX(样本到样信息汇总统计!T$2:T$500,MATCH(173,样本到样信息汇总统计!$X$2:$X$500,0)),"")</f>
        <v/>
      </c>
      <c r="U174" s="4" t="str">
        <f>IFERROR(INDEX(样本到样信息汇总统计!U$2:U$500,MATCH(173,样本到样信息汇总统计!$X$2:$X$500,0)),"")</f>
        <v/>
      </c>
      <c r="V174" s="4" t="str">
        <f>IFERROR(INDEX(样本到样信息汇总统计!V$2:V$500,MATCH(173,样本到样信息汇总统计!$X$2:$X$500,0)),"")</f>
        <v/>
      </c>
      <c r="W174" s="4" t="str">
        <f>IFERROR(INDEX(样本到样信息汇总统计!W$2:W$500,MATCH(173,样本到样信息汇总统计!$X$2:$X$500,0)),"")</f>
        <v/>
      </c>
    </row>
    <row r="175" ht="14.5" spans="1:23">
      <c r="A175" s="8" t="str">
        <f>IFERROR(INDEX(样本到样信息汇总统计!A$2:A$500,MATCH(174,样本到样信息汇总统计!$X$2:$X$500,0)),"")</f>
        <v/>
      </c>
      <c r="B175" s="8" t="str">
        <f>IFERROR(INDEX(样本到样信息汇总统计!B$2:B$500,MATCH(174,样本到样信息汇总统计!$X$2:$X$500,0)),"")</f>
        <v/>
      </c>
      <c r="C175" s="8" t="str">
        <f>IFERROR(INDEX(样本到样信息汇总统计!C$2:C$500,MATCH(174,样本到样信息汇总统计!$X$2:$X$500,0)),"")</f>
        <v/>
      </c>
      <c r="D175" s="8" t="str">
        <f>IFERROR(INDEX(样本到样信息汇总统计!D$2:D$500,MATCH(174,样本到样信息汇总统计!$X$2:$X$500,0)),"")</f>
        <v/>
      </c>
      <c r="E175" s="8" t="str">
        <f>IFERROR(INDEX(样本到样信息汇总统计!E$2:E$500,MATCH(174,样本到样信息汇总统计!$X$2:$X$500,0)),"")</f>
        <v/>
      </c>
      <c r="F175" s="8" t="str">
        <f>IFERROR(INDEX(样本到样信息汇总统计!F$2:F$500,MATCH(174,样本到样信息汇总统计!$X$2:$X$500,0)),"")</f>
        <v/>
      </c>
      <c r="G175" s="8" t="str">
        <f>IFERROR(INDEX(样本到样信息汇总统计!G$2:G$500,MATCH(174,样本到样信息汇总统计!$X$2:$X$500,0)),"")</f>
        <v/>
      </c>
      <c r="H175" s="8" t="str">
        <f>IFERROR(INDEX(样本到样信息汇总统计!H$2:H$500,MATCH(174,样本到样信息汇总统计!$X$2:$X$500,0)),"")</f>
        <v/>
      </c>
      <c r="I175" s="8" t="str">
        <f>IFERROR(INDEX(样本到样信息汇总统计!I$2:I$500,MATCH(174,样本到样信息汇总统计!$X$2:$X$500,0)),"")</f>
        <v/>
      </c>
      <c r="J175" s="8" t="str">
        <f>IFERROR(INDEX(样本到样信息汇总统计!J$2:J$500,MATCH(174,样本到样信息汇总统计!$X$2:$X$500,0)),"")</f>
        <v/>
      </c>
      <c r="K175" s="15" t="str">
        <f>IFERROR(INDEX(样本到样信息汇总统计!K$2:K$500,MATCH(174,样本到样信息汇总统计!$X$2:$X$500,0)),"")</f>
        <v/>
      </c>
      <c r="L175" s="8" t="str">
        <f>IFERROR(INDEX(样本到样信息汇总统计!L$2:L$500,MATCH(174,样本到样信息汇总统计!$X$2:$X$500,0)),"")</f>
        <v/>
      </c>
      <c r="M175" s="8" t="str">
        <f>IFERROR(INDEX(样本到样信息汇总统计!M$2:M$500,MATCH(174,样本到样信息汇总统计!$X$2:$X$500,0)),"")</f>
        <v/>
      </c>
      <c r="N175" s="8" t="str">
        <f>IFERROR(INDEX(样本到样信息汇总统计!N$2:N$500,MATCH(174,样本到样信息汇总统计!$X$2:$X$500,0)),"")</f>
        <v/>
      </c>
      <c r="O175" s="8" t="str">
        <f>IFERROR(INDEX(样本到样信息汇总统计!O$2:O$500,MATCH(174,样本到样信息汇总统计!$X$2:$X$500,0)),"")</f>
        <v/>
      </c>
      <c r="P175" s="8" t="str">
        <f>IFERROR(INDEX(样本到样信息汇总统计!P$2:P$500,MATCH(174,样本到样信息汇总统计!$X$2:$X$500,0)),"")</f>
        <v/>
      </c>
      <c r="Q175" s="8" t="str">
        <f>IFERROR(INDEX(样本到样信息汇总统计!Q$2:Q$500,MATCH(174,样本到样信息汇总统计!$X$2:$X$500,0)),"")</f>
        <v/>
      </c>
      <c r="R175" s="8" t="str">
        <f>IFERROR(INDEX(样本到样信息汇总统计!R$2:R$500,MATCH(174,样本到样信息汇总统计!$X$2:$X$500,0)),"")</f>
        <v/>
      </c>
      <c r="S175" s="8" t="str">
        <f>IFERROR(INDEX(样本到样信息汇总统计!S$2:S$500,MATCH(174,样本到样信息汇总统计!$X$2:$X$500,0)),"")</f>
        <v/>
      </c>
      <c r="T175" s="8" t="str">
        <f>IFERROR(INDEX(样本到样信息汇总统计!T$2:T$500,MATCH(174,样本到样信息汇总统计!$X$2:$X$500,0)),"")</f>
        <v/>
      </c>
      <c r="U175" s="8" t="str">
        <f>IFERROR(INDEX(样本到样信息汇总统计!U$2:U$500,MATCH(174,样本到样信息汇总统计!$X$2:$X$500,0)),"")</f>
        <v/>
      </c>
      <c r="V175" s="8" t="str">
        <f>IFERROR(INDEX(样本到样信息汇总统计!V$2:V$500,MATCH(174,样本到样信息汇总统计!$X$2:$X$500,0)),"")</f>
        <v/>
      </c>
      <c r="W175" s="8" t="str">
        <f>IFERROR(INDEX(样本到样信息汇总统计!W$2:W$500,MATCH(174,样本到样信息汇总统计!$X$2:$X$500,0)),"")</f>
        <v/>
      </c>
    </row>
    <row r="176" ht="14.5" spans="1:23">
      <c r="A176" s="4" t="str">
        <f>IFERROR(INDEX(样本到样信息汇总统计!A$2:A$500,MATCH(175,样本到样信息汇总统计!$X$2:$X$500,0)),"")</f>
        <v/>
      </c>
      <c r="B176" s="4" t="str">
        <f>IFERROR(INDEX(样本到样信息汇总统计!B$2:B$500,MATCH(175,样本到样信息汇总统计!$X$2:$X$500,0)),"")</f>
        <v/>
      </c>
      <c r="C176" s="4" t="str">
        <f>IFERROR(INDEX(样本到样信息汇总统计!C$2:C$500,MATCH(175,样本到样信息汇总统计!$X$2:$X$500,0)),"")</f>
        <v/>
      </c>
      <c r="D176" s="4" t="str">
        <f>IFERROR(INDEX(样本到样信息汇总统计!D$2:D$500,MATCH(175,样本到样信息汇总统计!$X$2:$X$500,0)),"")</f>
        <v/>
      </c>
      <c r="E176" s="4" t="str">
        <f>IFERROR(INDEX(样本到样信息汇总统计!E$2:E$500,MATCH(175,样本到样信息汇总统计!$X$2:$X$500,0)),"")</f>
        <v/>
      </c>
      <c r="F176" s="4" t="str">
        <f>IFERROR(INDEX(样本到样信息汇总统计!F$2:F$500,MATCH(175,样本到样信息汇总统计!$X$2:$X$500,0)),"")</f>
        <v/>
      </c>
      <c r="G176" s="4" t="str">
        <f>IFERROR(INDEX(样本到样信息汇总统计!G$2:G$500,MATCH(175,样本到样信息汇总统计!$X$2:$X$500,0)),"")</f>
        <v/>
      </c>
      <c r="H176" s="4" t="str">
        <f>IFERROR(INDEX(样本到样信息汇总统计!H$2:H$500,MATCH(175,样本到样信息汇总统计!$X$2:$X$500,0)),"")</f>
        <v/>
      </c>
      <c r="I176" s="4" t="str">
        <f>IFERROR(INDEX(样本到样信息汇总统计!I$2:I$500,MATCH(175,样本到样信息汇总统计!$X$2:$X$500,0)),"")</f>
        <v/>
      </c>
      <c r="J176" s="4" t="str">
        <f>IFERROR(INDEX(样本到样信息汇总统计!J$2:J$500,MATCH(175,样本到样信息汇总统计!$X$2:$X$500,0)),"")</f>
        <v/>
      </c>
      <c r="K176" s="14" t="str">
        <f>IFERROR(INDEX(样本到样信息汇总统计!K$2:K$500,MATCH(175,样本到样信息汇总统计!$X$2:$X$500,0)),"")</f>
        <v/>
      </c>
      <c r="L176" s="4" t="str">
        <f>IFERROR(INDEX(样本到样信息汇总统计!L$2:L$500,MATCH(175,样本到样信息汇总统计!$X$2:$X$500,0)),"")</f>
        <v/>
      </c>
      <c r="M176" s="4" t="str">
        <f>IFERROR(INDEX(样本到样信息汇总统计!M$2:M$500,MATCH(175,样本到样信息汇总统计!$X$2:$X$500,0)),"")</f>
        <v/>
      </c>
      <c r="N176" s="4" t="str">
        <f>IFERROR(INDEX(样本到样信息汇总统计!N$2:N$500,MATCH(175,样本到样信息汇总统计!$X$2:$X$500,0)),"")</f>
        <v/>
      </c>
      <c r="O176" s="4" t="str">
        <f>IFERROR(INDEX(样本到样信息汇总统计!O$2:O$500,MATCH(175,样本到样信息汇总统计!$X$2:$X$500,0)),"")</f>
        <v/>
      </c>
      <c r="P176" s="4" t="str">
        <f>IFERROR(INDEX(样本到样信息汇总统计!P$2:P$500,MATCH(175,样本到样信息汇总统计!$X$2:$X$500,0)),"")</f>
        <v/>
      </c>
      <c r="Q176" s="4" t="str">
        <f>IFERROR(INDEX(样本到样信息汇总统计!Q$2:Q$500,MATCH(175,样本到样信息汇总统计!$X$2:$X$500,0)),"")</f>
        <v/>
      </c>
      <c r="R176" s="4" t="str">
        <f>IFERROR(INDEX(样本到样信息汇总统计!R$2:R$500,MATCH(175,样本到样信息汇总统计!$X$2:$X$500,0)),"")</f>
        <v/>
      </c>
      <c r="S176" s="4" t="str">
        <f>IFERROR(INDEX(样本到样信息汇总统计!S$2:S$500,MATCH(175,样本到样信息汇总统计!$X$2:$X$500,0)),"")</f>
        <v/>
      </c>
      <c r="T176" s="4" t="str">
        <f>IFERROR(INDEX(样本到样信息汇总统计!T$2:T$500,MATCH(175,样本到样信息汇总统计!$X$2:$X$500,0)),"")</f>
        <v/>
      </c>
      <c r="U176" s="4" t="str">
        <f>IFERROR(INDEX(样本到样信息汇总统计!U$2:U$500,MATCH(175,样本到样信息汇总统计!$X$2:$X$500,0)),"")</f>
        <v/>
      </c>
      <c r="V176" s="4" t="str">
        <f>IFERROR(INDEX(样本到样信息汇总统计!V$2:V$500,MATCH(175,样本到样信息汇总统计!$X$2:$X$500,0)),"")</f>
        <v/>
      </c>
      <c r="W176" s="4" t="str">
        <f>IFERROR(INDEX(样本到样信息汇总统计!W$2:W$500,MATCH(175,样本到样信息汇总统计!$X$2:$X$500,0)),"")</f>
        <v/>
      </c>
    </row>
    <row r="177" ht="14.5" spans="1:23">
      <c r="A177" s="8" t="str">
        <f>IFERROR(INDEX(样本到样信息汇总统计!A$2:A$500,MATCH(176,样本到样信息汇总统计!$X$2:$X$500,0)),"")</f>
        <v/>
      </c>
      <c r="B177" s="8" t="str">
        <f>IFERROR(INDEX(样本到样信息汇总统计!B$2:B$500,MATCH(176,样本到样信息汇总统计!$X$2:$X$500,0)),"")</f>
        <v/>
      </c>
      <c r="C177" s="8" t="str">
        <f>IFERROR(INDEX(样本到样信息汇总统计!C$2:C$500,MATCH(176,样本到样信息汇总统计!$X$2:$X$500,0)),"")</f>
        <v/>
      </c>
      <c r="D177" s="8" t="str">
        <f>IFERROR(INDEX(样本到样信息汇总统计!D$2:D$500,MATCH(176,样本到样信息汇总统计!$X$2:$X$500,0)),"")</f>
        <v/>
      </c>
      <c r="E177" s="8" t="str">
        <f>IFERROR(INDEX(样本到样信息汇总统计!E$2:E$500,MATCH(176,样本到样信息汇总统计!$X$2:$X$500,0)),"")</f>
        <v/>
      </c>
      <c r="F177" s="8" t="str">
        <f>IFERROR(INDEX(样本到样信息汇总统计!F$2:F$500,MATCH(176,样本到样信息汇总统计!$X$2:$X$500,0)),"")</f>
        <v/>
      </c>
      <c r="G177" s="8" t="str">
        <f>IFERROR(INDEX(样本到样信息汇总统计!G$2:G$500,MATCH(176,样本到样信息汇总统计!$X$2:$X$500,0)),"")</f>
        <v/>
      </c>
      <c r="H177" s="8" t="str">
        <f>IFERROR(INDEX(样本到样信息汇总统计!H$2:H$500,MATCH(176,样本到样信息汇总统计!$X$2:$X$500,0)),"")</f>
        <v/>
      </c>
      <c r="I177" s="8" t="str">
        <f>IFERROR(INDEX(样本到样信息汇总统计!I$2:I$500,MATCH(176,样本到样信息汇总统计!$X$2:$X$500,0)),"")</f>
        <v/>
      </c>
      <c r="J177" s="8" t="str">
        <f>IFERROR(INDEX(样本到样信息汇总统计!J$2:J$500,MATCH(176,样本到样信息汇总统计!$X$2:$X$500,0)),"")</f>
        <v/>
      </c>
      <c r="K177" s="15" t="str">
        <f>IFERROR(INDEX(样本到样信息汇总统计!K$2:K$500,MATCH(176,样本到样信息汇总统计!$X$2:$X$500,0)),"")</f>
        <v/>
      </c>
      <c r="L177" s="8" t="str">
        <f>IFERROR(INDEX(样本到样信息汇总统计!L$2:L$500,MATCH(176,样本到样信息汇总统计!$X$2:$X$500,0)),"")</f>
        <v/>
      </c>
      <c r="M177" s="8" t="str">
        <f>IFERROR(INDEX(样本到样信息汇总统计!M$2:M$500,MATCH(176,样本到样信息汇总统计!$X$2:$X$500,0)),"")</f>
        <v/>
      </c>
      <c r="N177" s="8" t="str">
        <f>IFERROR(INDEX(样本到样信息汇总统计!N$2:N$500,MATCH(176,样本到样信息汇总统计!$X$2:$X$500,0)),"")</f>
        <v/>
      </c>
      <c r="O177" s="8" t="str">
        <f>IFERROR(INDEX(样本到样信息汇总统计!O$2:O$500,MATCH(176,样本到样信息汇总统计!$X$2:$X$500,0)),"")</f>
        <v/>
      </c>
      <c r="P177" s="8" t="str">
        <f>IFERROR(INDEX(样本到样信息汇总统计!P$2:P$500,MATCH(176,样本到样信息汇总统计!$X$2:$X$500,0)),"")</f>
        <v/>
      </c>
      <c r="Q177" s="8" t="str">
        <f>IFERROR(INDEX(样本到样信息汇总统计!Q$2:Q$500,MATCH(176,样本到样信息汇总统计!$X$2:$X$500,0)),"")</f>
        <v/>
      </c>
      <c r="R177" s="8" t="str">
        <f>IFERROR(INDEX(样本到样信息汇总统计!R$2:R$500,MATCH(176,样本到样信息汇总统计!$X$2:$X$500,0)),"")</f>
        <v/>
      </c>
      <c r="S177" s="8" t="str">
        <f>IFERROR(INDEX(样本到样信息汇总统计!S$2:S$500,MATCH(176,样本到样信息汇总统计!$X$2:$X$500,0)),"")</f>
        <v/>
      </c>
      <c r="T177" s="8" t="str">
        <f>IFERROR(INDEX(样本到样信息汇总统计!T$2:T$500,MATCH(176,样本到样信息汇总统计!$X$2:$X$500,0)),"")</f>
        <v/>
      </c>
      <c r="U177" s="8" t="str">
        <f>IFERROR(INDEX(样本到样信息汇总统计!U$2:U$500,MATCH(176,样本到样信息汇总统计!$X$2:$X$500,0)),"")</f>
        <v/>
      </c>
      <c r="V177" s="8" t="str">
        <f>IFERROR(INDEX(样本到样信息汇总统计!V$2:V$500,MATCH(176,样本到样信息汇总统计!$X$2:$X$500,0)),"")</f>
        <v/>
      </c>
      <c r="W177" s="8" t="str">
        <f>IFERROR(INDEX(样本到样信息汇总统计!W$2:W$500,MATCH(176,样本到样信息汇总统计!$X$2:$X$500,0)),"")</f>
        <v/>
      </c>
    </row>
    <row r="178" ht="14.5" spans="1:23">
      <c r="A178" s="4" t="str">
        <f>IFERROR(INDEX(样本到样信息汇总统计!A$2:A$500,MATCH(177,样本到样信息汇总统计!$X$2:$X$500,0)),"")</f>
        <v/>
      </c>
      <c r="B178" s="4" t="str">
        <f>IFERROR(INDEX(样本到样信息汇总统计!B$2:B$500,MATCH(177,样本到样信息汇总统计!$X$2:$X$500,0)),"")</f>
        <v/>
      </c>
      <c r="C178" s="4" t="str">
        <f>IFERROR(INDEX(样本到样信息汇总统计!C$2:C$500,MATCH(177,样本到样信息汇总统计!$X$2:$X$500,0)),"")</f>
        <v/>
      </c>
      <c r="D178" s="4" t="str">
        <f>IFERROR(INDEX(样本到样信息汇总统计!D$2:D$500,MATCH(177,样本到样信息汇总统计!$X$2:$X$500,0)),"")</f>
        <v/>
      </c>
      <c r="E178" s="4" t="str">
        <f>IFERROR(INDEX(样本到样信息汇总统计!E$2:E$500,MATCH(177,样本到样信息汇总统计!$X$2:$X$500,0)),"")</f>
        <v/>
      </c>
      <c r="F178" s="4" t="str">
        <f>IFERROR(INDEX(样本到样信息汇总统计!F$2:F$500,MATCH(177,样本到样信息汇总统计!$X$2:$X$500,0)),"")</f>
        <v/>
      </c>
      <c r="G178" s="4" t="str">
        <f>IFERROR(INDEX(样本到样信息汇总统计!G$2:G$500,MATCH(177,样本到样信息汇总统计!$X$2:$X$500,0)),"")</f>
        <v/>
      </c>
      <c r="H178" s="4" t="str">
        <f>IFERROR(INDEX(样本到样信息汇总统计!H$2:H$500,MATCH(177,样本到样信息汇总统计!$X$2:$X$500,0)),"")</f>
        <v/>
      </c>
      <c r="I178" s="4" t="str">
        <f>IFERROR(INDEX(样本到样信息汇总统计!I$2:I$500,MATCH(177,样本到样信息汇总统计!$X$2:$X$500,0)),"")</f>
        <v/>
      </c>
      <c r="J178" s="4" t="str">
        <f>IFERROR(INDEX(样本到样信息汇总统计!J$2:J$500,MATCH(177,样本到样信息汇总统计!$X$2:$X$500,0)),"")</f>
        <v/>
      </c>
      <c r="K178" s="14" t="str">
        <f>IFERROR(INDEX(样本到样信息汇总统计!K$2:K$500,MATCH(177,样本到样信息汇总统计!$X$2:$X$500,0)),"")</f>
        <v/>
      </c>
      <c r="L178" s="4" t="str">
        <f>IFERROR(INDEX(样本到样信息汇总统计!L$2:L$500,MATCH(177,样本到样信息汇总统计!$X$2:$X$500,0)),"")</f>
        <v/>
      </c>
      <c r="M178" s="4" t="str">
        <f>IFERROR(INDEX(样本到样信息汇总统计!M$2:M$500,MATCH(177,样本到样信息汇总统计!$X$2:$X$500,0)),"")</f>
        <v/>
      </c>
      <c r="N178" s="4" t="str">
        <f>IFERROR(INDEX(样本到样信息汇总统计!N$2:N$500,MATCH(177,样本到样信息汇总统计!$X$2:$X$500,0)),"")</f>
        <v/>
      </c>
      <c r="O178" s="4" t="str">
        <f>IFERROR(INDEX(样本到样信息汇总统计!O$2:O$500,MATCH(177,样本到样信息汇总统计!$X$2:$X$500,0)),"")</f>
        <v/>
      </c>
      <c r="P178" s="4" t="str">
        <f>IFERROR(INDEX(样本到样信息汇总统计!P$2:P$500,MATCH(177,样本到样信息汇总统计!$X$2:$X$500,0)),"")</f>
        <v/>
      </c>
      <c r="Q178" s="4" t="str">
        <f>IFERROR(INDEX(样本到样信息汇总统计!Q$2:Q$500,MATCH(177,样本到样信息汇总统计!$X$2:$X$500,0)),"")</f>
        <v/>
      </c>
      <c r="R178" s="4" t="str">
        <f>IFERROR(INDEX(样本到样信息汇总统计!R$2:R$500,MATCH(177,样本到样信息汇总统计!$X$2:$X$500,0)),"")</f>
        <v/>
      </c>
      <c r="S178" s="4" t="str">
        <f>IFERROR(INDEX(样本到样信息汇总统计!S$2:S$500,MATCH(177,样本到样信息汇总统计!$X$2:$X$500,0)),"")</f>
        <v/>
      </c>
      <c r="T178" s="4" t="str">
        <f>IFERROR(INDEX(样本到样信息汇总统计!T$2:T$500,MATCH(177,样本到样信息汇总统计!$X$2:$X$500,0)),"")</f>
        <v/>
      </c>
      <c r="U178" s="4" t="str">
        <f>IFERROR(INDEX(样本到样信息汇总统计!U$2:U$500,MATCH(177,样本到样信息汇总统计!$X$2:$X$500,0)),"")</f>
        <v/>
      </c>
      <c r="V178" s="4" t="str">
        <f>IFERROR(INDEX(样本到样信息汇总统计!V$2:V$500,MATCH(177,样本到样信息汇总统计!$X$2:$X$500,0)),"")</f>
        <v/>
      </c>
      <c r="W178" s="4" t="str">
        <f>IFERROR(INDEX(样本到样信息汇总统计!W$2:W$500,MATCH(177,样本到样信息汇总统计!$X$2:$X$500,0)),"")</f>
        <v/>
      </c>
    </row>
    <row r="179" ht="14.5" spans="1:23">
      <c r="A179" s="8" t="str">
        <f>IFERROR(INDEX(样本到样信息汇总统计!A$2:A$500,MATCH(178,样本到样信息汇总统计!$X$2:$X$500,0)),"")</f>
        <v/>
      </c>
      <c r="B179" s="8" t="str">
        <f>IFERROR(INDEX(样本到样信息汇总统计!B$2:B$500,MATCH(178,样本到样信息汇总统计!$X$2:$X$500,0)),"")</f>
        <v/>
      </c>
      <c r="C179" s="8" t="str">
        <f>IFERROR(INDEX(样本到样信息汇总统计!C$2:C$500,MATCH(178,样本到样信息汇总统计!$X$2:$X$500,0)),"")</f>
        <v/>
      </c>
      <c r="D179" s="8" t="str">
        <f>IFERROR(INDEX(样本到样信息汇总统计!D$2:D$500,MATCH(178,样本到样信息汇总统计!$X$2:$X$500,0)),"")</f>
        <v/>
      </c>
      <c r="E179" s="8" t="str">
        <f>IFERROR(INDEX(样本到样信息汇总统计!E$2:E$500,MATCH(178,样本到样信息汇总统计!$X$2:$X$500,0)),"")</f>
        <v/>
      </c>
      <c r="F179" s="8" t="str">
        <f>IFERROR(INDEX(样本到样信息汇总统计!F$2:F$500,MATCH(178,样本到样信息汇总统计!$X$2:$X$500,0)),"")</f>
        <v/>
      </c>
      <c r="G179" s="8" t="str">
        <f>IFERROR(INDEX(样本到样信息汇总统计!G$2:G$500,MATCH(178,样本到样信息汇总统计!$X$2:$X$500,0)),"")</f>
        <v/>
      </c>
      <c r="H179" s="8" t="str">
        <f>IFERROR(INDEX(样本到样信息汇总统计!H$2:H$500,MATCH(178,样本到样信息汇总统计!$X$2:$X$500,0)),"")</f>
        <v/>
      </c>
      <c r="I179" s="8" t="str">
        <f>IFERROR(INDEX(样本到样信息汇总统计!I$2:I$500,MATCH(178,样本到样信息汇总统计!$X$2:$X$500,0)),"")</f>
        <v/>
      </c>
      <c r="J179" s="8" t="str">
        <f>IFERROR(INDEX(样本到样信息汇总统计!J$2:J$500,MATCH(178,样本到样信息汇总统计!$X$2:$X$500,0)),"")</f>
        <v/>
      </c>
      <c r="K179" s="15" t="str">
        <f>IFERROR(INDEX(样本到样信息汇总统计!K$2:K$500,MATCH(178,样本到样信息汇总统计!$X$2:$X$500,0)),"")</f>
        <v/>
      </c>
      <c r="L179" s="8" t="str">
        <f>IFERROR(INDEX(样本到样信息汇总统计!L$2:L$500,MATCH(178,样本到样信息汇总统计!$X$2:$X$500,0)),"")</f>
        <v/>
      </c>
      <c r="M179" s="8" t="str">
        <f>IFERROR(INDEX(样本到样信息汇总统计!M$2:M$500,MATCH(178,样本到样信息汇总统计!$X$2:$X$500,0)),"")</f>
        <v/>
      </c>
      <c r="N179" s="8" t="str">
        <f>IFERROR(INDEX(样本到样信息汇总统计!N$2:N$500,MATCH(178,样本到样信息汇总统计!$X$2:$X$500,0)),"")</f>
        <v/>
      </c>
      <c r="O179" s="8" t="str">
        <f>IFERROR(INDEX(样本到样信息汇总统计!O$2:O$500,MATCH(178,样本到样信息汇总统计!$X$2:$X$500,0)),"")</f>
        <v/>
      </c>
      <c r="P179" s="8" t="str">
        <f>IFERROR(INDEX(样本到样信息汇总统计!P$2:P$500,MATCH(178,样本到样信息汇总统计!$X$2:$X$500,0)),"")</f>
        <v/>
      </c>
      <c r="Q179" s="8" t="str">
        <f>IFERROR(INDEX(样本到样信息汇总统计!Q$2:Q$500,MATCH(178,样本到样信息汇总统计!$X$2:$X$500,0)),"")</f>
        <v/>
      </c>
      <c r="R179" s="8" t="str">
        <f>IFERROR(INDEX(样本到样信息汇总统计!R$2:R$500,MATCH(178,样本到样信息汇总统计!$X$2:$X$500,0)),"")</f>
        <v/>
      </c>
      <c r="S179" s="8" t="str">
        <f>IFERROR(INDEX(样本到样信息汇总统计!S$2:S$500,MATCH(178,样本到样信息汇总统计!$X$2:$X$500,0)),"")</f>
        <v/>
      </c>
      <c r="T179" s="8" t="str">
        <f>IFERROR(INDEX(样本到样信息汇总统计!T$2:T$500,MATCH(178,样本到样信息汇总统计!$X$2:$X$500,0)),"")</f>
        <v/>
      </c>
      <c r="U179" s="8" t="str">
        <f>IFERROR(INDEX(样本到样信息汇总统计!U$2:U$500,MATCH(178,样本到样信息汇总统计!$X$2:$X$500,0)),"")</f>
        <v/>
      </c>
      <c r="V179" s="8" t="str">
        <f>IFERROR(INDEX(样本到样信息汇总统计!V$2:V$500,MATCH(178,样本到样信息汇总统计!$X$2:$X$500,0)),"")</f>
        <v/>
      </c>
      <c r="W179" s="8" t="str">
        <f>IFERROR(INDEX(样本到样信息汇总统计!W$2:W$500,MATCH(178,样本到样信息汇总统计!$X$2:$X$500,0)),"")</f>
        <v/>
      </c>
    </row>
    <row r="180" ht="14.5" spans="1:23">
      <c r="A180" s="4" t="str">
        <f>IFERROR(INDEX(样本到样信息汇总统计!A$2:A$500,MATCH(179,样本到样信息汇总统计!$X$2:$X$500,0)),"")</f>
        <v/>
      </c>
      <c r="B180" s="4" t="str">
        <f>IFERROR(INDEX(样本到样信息汇总统计!B$2:B$500,MATCH(179,样本到样信息汇总统计!$X$2:$X$500,0)),"")</f>
        <v/>
      </c>
      <c r="C180" s="4" t="str">
        <f>IFERROR(INDEX(样本到样信息汇总统计!C$2:C$500,MATCH(179,样本到样信息汇总统计!$X$2:$X$500,0)),"")</f>
        <v/>
      </c>
      <c r="D180" s="4" t="str">
        <f>IFERROR(INDEX(样本到样信息汇总统计!D$2:D$500,MATCH(179,样本到样信息汇总统计!$X$2:$X$500,0)),"")</f>
        <v/>
      </c>
      <c r="E180" s="4" t="str">
        <f>IFERROR(INDEX(样本到样信息汇总统计!E$2:E$500,MATCH(179,样本到样信息汇总统计!$X$2:$X$500,0)),"")</f>
        <v/>
      </c>
      <c r="F180" s="4" t="str">
        <f>IFERROR(INDEX(样本到样信息汇总统计!F$2:F$500,MATCH(179,样本到样信息汇总统计!$X$2:$X$500,0)),"")</f>
        <v/>
      </c>
      <c r="G180" s="4" t="str">
        <f>IFERROR(INDEX(样本到样信息汇总统计!G$2:G$500,MATCH(179,样本到样信息汇总统计!$X$2:$X$500,0)),"")</f>
        <v/>
      </c>
      <c r="H180" s="4" t="str">
        <f>IFERROR(INDEX(样本到样信息汇总统计!H$2:H$500,MATCH(179,样本到样信息汇总统计!$X$2:$X$500,0)),"")</f>
        <v/>
      </c>
      <c r="I180" s="4" t="str">
        <f>IFERROR(INDEX(样本到样信息汇总统计!I$2:I$500,MATCH(179,样本到样信息汇总统计!$X$2:$X$500,0)),"")</f>
        <v/>
      </c>
      <c r="J180" s="4" t="str">
        <f>IFERROR(INDEX(样本到样信息汇总统计!J$2:J$500,MATCH(179,样本到样信息汇总统计!$X$2:$X$500,0)),"")</f>
        <v/>
      </c>
      <c r="K180" s="14" t="str">
        <f>IFERROR(INDEX(样本到样信息汇总统计!K$2:K$500,MATCH(179,样本到样信息汇总统计!$X$2:$X$500,0)),"")</f>
        <v/>
      </c>
      <c r="L180" s="4" t="str">
        <f>IFERROR(INDEX(样本到样信息汇总统计!L$2:L$500,MATCH(179,样本到样信息汇总统计!$X$2:$X$500,0)),"")</f>
        <v/>
      </c>
      <c r="M180" s="4" t="str">
        <f>IFERROR(INDEX(样本到样信息汇总统计!M$2:M$500,MATCH(179,样本到样信息汇总统计!$X$2:$X$500,0)),"")</f>
        <v/>
      </c>
      <c r="N180" s="4" t="str">
        <f>IFERROR(INDEX(样本到样信息汇总统计!N$2:N$500,MATCH(179,样本到样信息汇总统计!$X$2:$X$500,0)),"")</f>
        <v/>
      </c>
      <c r="O180" s="4" t="str">
        <f>IFERROR(INDEX(样本到样信息汇总统计!O$2:O$500,MATCH(179,样本到样信息汇总统计!$X$2:$X$500,0)),"")</f>
        <v/>
      </c>
      <c r="P180" s="4" t="str">
        <f>IFERROR(INDEX(样本到样信息汇总统计!P$2:P$500,MATCH(179,样本到样信息汇总统计!$X$2:$X$500,0)),"")</f>
        <v/>
      </c>
      <c r="Q180" s="4" t="str">
        <f>IFERROR(INDEX(样本到样信息汇总统计!Q$2:Q$500,MATCH(179,样本到样信息汇总统计!$X$2:$X$500,0)),"")</f>
        <v/>
      </c>
      <c r="R180" s="4" t="str">
        <f>IFERROR(INDEX(样本到样信息汇总统计!R$2:R$500,MATCH(179,样本到样信息汇总统计!$X$2:$X$500,0)),"")</f>
        <v/>
      </c>
      <c r="S180" s="4" t="str">
        <f>IFERROR(INDEX(样本到样信息汇总统计!S$2:S$500,MATCH(179,样本到样信息汇总统计!$X$2:$X$500,0)),"")</f>
        <v/>
      </c>
      <c r="T180" s="4" t="str">
        <f>IFERROR(INDEX(样本到样信息汇总统计!T$2:T$500,MATCH(179,样本到样信息汇总统计!$X$2:$X$500,0)),"")</f>
        <v/>
      </c>
      <c r="U180" s="4" t="str">
        <f>IFERROR(INDEX(样本到样信息汇总统计!U$2:U$500,MATCH(179,样本到样信息汇总统计!$X$2:$X$500,0)),"")</f>
        <v/>
      </c>
      <c r="V180" s="4" t="str">
        <f>IFERROR(INDEX(样本到样信息汇总统计!V$2:V$500,MATCH(179,样本到样信息汇总统计!$X$2:$X$500,0)),"")</f>
        <v/>
      </c>
      <c r="W180" s="4" t="str">
        <f>IFERROR(INDEX(样本到样信息汇总统计!W$2:W$500,MATCH(179,样本到样信息汇总统计!$X$2:$X$500,0)),"")</f>
        <v/>
      </c>
    </row>
    <row r="181" ht="14.5" spans="1:23">
      <c r="A181" s="8" t="str">
        <f>IFERROR(INDEX(样本到样信息汇总统计!A$2:A$500,MATCH(180,样本到样信息汇总统计!$X$2:$X$500,0)),"")</f>
        <v/>
      </c>
      <c r="B181" s="8" t="str">
        <f>IFERROR(INDEX(样本到样信息汇总统计!B$2:B$500,MATCH(180,样本到样信息汇总统计!$X$2:$X$500,0)),"")</f>
        <v/>
      </c>
      <c r="C181" s="8" t="str">
        <f>IFERROR(INDEX(样本到样信息汇总统计!C$2:C$500,MATCH(180,样本到样信息汇总统计!$X$2:$X$500,0)),"")</f>
        <v/>
      </c>
      <c r="D181" s="8" t="str">
        <f>IFERROR(INDEX(样本到样信息汇总统计!D$2:D$500,MATCH(180,样本到样信息汇总统计!$X$2:$X$500,0)),"")</f>
        <v/>
      </c>
      <c r="E181" s="8" t="str">
        <f>IFERROR(INDEX(样本到样信息汇总统计!E$2:E$500,MATCH(180,样本到样信息汇总统计!$X$2:$X$500,0)),"")</f>
        <v/>
      </c>
      <c r="F181" s="8" t="str">
        <f>IFERROR(INDEX(样本到样信息汇总统计!F$2:F$500,MATCH(180,样本到样信息汇总统计!$X$2:$X$500,0)),"")</f>
        <v/>
      </c>
      <c r="G181" s="8" t="str">
        <f>IFERROR(INDEX(样本到样信息汇总统计!G$2:G$500,MATCH(180,样本到样信息汇总统计!$X$2:$X$500,0)),"")</f>
        <v/>
      </c>
      <c r="H181" s="8" t="str">
        <f>IFERROR(INDEX(样本到样信息汇总统计!H$2:H$500,MATCH(180,样本到样信息汇总统计!$X$2:$X$500,0)),"")</f>
        <v/>
      </c>
      <c r="I181" s="8" t="str">
        <f>IFERROR(INDEX(样本到样信息汇总统计!I$2:I$500,MATCH(180,样本到样信息汇总统计!$X$2:$X$500,0)),"")</f>
        <v/>
      </c>
      <c r="J181" s="8" t="str">
        <f>IFERROR(INDEX(样本到样信息汇总统计!J$2:J$500,MATCH(180,样本到样信息汇总统计!$X$2:$X$500,0)),"")</f>
        <v/>
      </c>
      <c r="K181" s="15" t="str">
        <f>IFERROR(INDEX(样本到样信息汇总统计!K$2:K$500,MATCH(180,样本到样信息汇总统计!$X$2:$X$500,0)),"")</f>
        <v/>
      </c>
      <c r="L181" s="8" t="str">
        <f>IFERROR(INDEX(样本到样信息汇总统计!L$2:L$500,MATCH(180,样本到样信息汇总统计!$X$2:$X$500,0)),"")</f>
        <v/>
      </c>
      <c r="M181" s="8" t="str">
        <f>IFERROR(INDEX(样本到样信息汇总统计!M$2:M$500,MATCH(180,样本到样信息汇总统计!$X$2:$X$500,0)),"")</f>
        <v/>
      </c>
      <c r="N181" s="8" t="str">
        <f>IFERROR(INDEX(样本到样信息汇总统计!N$2:N$500,MATCH(180,样本到样信息汇总统计!$X$2:$X$500,0)),"")</f>
        <v/>
      </c>
      <c r="O181" s="8" t="str">
        <f>IFERROR(INDEX(样本到样信息汇总统计!O$2:O$500,MATCH(180,样本到样信息汇总统计!$X$2:$X$500,0)),"")</f>
        <v/>
      </c>
      <c r="P181" s="8" t="str">
        <f>IFERROR(INDEX(样本到样信息汇总统计!P$2:P$500,MATCH(180,样本到样信息汇总统计!$X$2:$X$500,0)),"")</f>
        <v/>
      </c>
      <c r="Q181" s="8" t="str">
        <f>IFERROR(INDEX(样本到样信息汇总统计!Q$2:Q$500,MATCH(180,样本到样信息汇总统计!$X$2:$X$500,0)),"")</f>
        <v/>
      </c>
      <c r="R181" s="8" t="str">
        <f>IFERROR(INDEX(样本到样信息汇总统计!R$2:R$500,MATCH(180,样本到样信息汇总统计!$X$2:$X$500,0)),"")</f>
        <v/>
      </c>
      <c r="S181" s="8" t="str">
        <f>IFERROR(INDEX(样本到样信息汇总统计!S$2:S$500,MATCH(180,样本到样信息汇总统计!$X$2:$X$500,0)),"")</f>
        <v/>
      </c>
      <c r="T181" s="8" t="str">
        <f>IFERROR(INDEX(样本到样信息汇总统计!T$2:T$500,MATCH(180,样本到样信息汇总统计!$X$2:$X$500,0)),"")</f>
        <v/>
      </c>
      <c r="U181" s="8" t="str">
        <f>IFERROR(INDEX(样本到样信息汇总统计!U$2:U$500,MATCH(180,样本到样信息汇总统计!$X$2:$X$500,0)),"")</f>
        <v/>
      </c>
      <c r="V181" s="8" t="str">
        <f>IFERROR(INDEX(样本到样信息汇总统计!V$2:V$500,MATCH(180,样本到样信息汇总统计!$X$2:$X$500,0)),"")</f>
        <v/>
      </c>
      <c r="W181" s="8" t="str">
        <f>IFERROR(INDEX(样本到样信息汇总统计!W$2:W$500,MATCH(180,样本到样信息汇总统计!$X$2:$X$500,0)),"")</f>
        <v/>
      </c>
    </row>
    <row r="182" ht="14.5" spans="1:23">
      <c r="A182" s="4" t="str">
        <f>IFERROR(INDEX(样本到样信息汇总统计!A$2:A$500,MATCH(181,样本到样信息汇总统计!$X$2:$X$500,0)),"")</f>
        <v/>
      </c>
      <c r="B182" s="4" t="str">
        <f>IFERROR(INDEX(样本到样信息汇总统计!B$2:B$500,MATCH(181,样本到样信息汇总统计!$X$2:$X$500,0)),"")</f>
        <v/>
      </c>
      <c r="C182" s="4" t="str">
        <f>IFERROR(INDEX(样本到样信息汇总统计!C$2:C$500,MATCH(181,样本到样信息汇总统计!$X$2:$X$500,0)),"")</f>
        <v/>
      </c>
      <c r="D182" s="4" t="str">
        <f>IFERROR(INDEX(样本到样信息汇总统计!D$2:D$500,MATCH(181,样本到样信息汇总统计!$X$2:$X$500,0)),"")</f>
        <v/>
      </c>
      <c r="E182" s="4" t="str">
        <f>IFERROR(INDEX(样本到样信息汇总统计!E$2:E$500,MATCH(181,样本到样信息汇总统计!$X$2:$X$500,0)),"")</f>
        <v/>
      </c>
      <c r="F182" s="4" t="str">
        <f>IFERROR(INDEX(样本到样信息汇总统计!F$2:F$500,MATCH(181,样本到样信息汇总统计!$X$2:$X$500,0)),"")</f>
        <v/>
      </c>
      <c r="G182" s="4" t="str">
        <f>IFERROR(INDEX(样本到样信息汇总统计!G$2:G$500,MATCH(181,样本到样信息汇总统计!$X$2:$X$500,0)),"")</f>
        <v/>
      </c>
      <c r="H182" s="4" t="str">
        <f>IFERROR(INDEX(样本到样信息汇总统计!H$2:H$500,MATCH(181,样本到样信息汇总统计!$X$2:$X$500,0)),"")</f>
        <v/>
      </c>
      <c r="I182" s="4" t="str">
        <f>IFERROR(INDEX(样本到样信息汇总统计!I$2:I$500,MATCH(181,样本到样信息汇总统计!$X$2:$X$500,0)),"")</f>
        <v/>
      </c>
      <c r="J182" s="4" t="str">
        <f>IFERROR(INDEX(样本到样信息汇总统计!J$2:J$500,MATCH(181,样本到样信息汇总统计!$X$2:$X$500,0)),"")</f>
        <v/>
      </c>
      <c r="K182" s="14" t="str">
        <f>IFERROR(INDEX(样本到样信息汇总统计!K$2:K$500,MATCH(181,样本到样信息汇总统计!$X$2:$X$500,0)),"")</f>
        <v/>
      </c>
      <c r="L182" s="4" t="str">
        <f>IFERROR(INDEX(样本到样信息汇总统计!L$2:L$500,MATCH(181,样本到样信息汇总统计!$X$2:$X$500,0)),"")</f>
        <v/>
      </c>
      <c r="M182" s="4" t="str">
        <f>IFERROR(INDEX(样本到样信息汇总统计!M$2:M$500,MATCH(181,样本到样信息汇总统计!$X$2:$X$500,0)),"")</f>
        <v/>
      </c>
      <c r="N182" s="4" t="str">
        <f>IFERROR(INDEX(样本到样信息汇总统计!N$2:N$500,MATCH(181,样本到样信息汇总统计!$X$2:$X$500,0)),"")</f>
        <v/>
      </c>
      <c r="O182" s="4" t="str">
        <f>IFERROR(INDEX(样本到样信息汇总统计!O$2:O$500,MATCH(181,样本到样信息汇总统计!$X$2:$X$500,0)),"")</f>
        <v/>
      </c>
      <c r="P182" s="4" t="str">
        <f>IFERROR(INDEX(样本到样信息汇总统计!P$2:P$500,MATCH(181,样本到样信息汇总统计!$X$2:$X$500,0)),"")</f>
        <v/>
      </c>
      <c r="Q182" s="4" t="str">
        <f>IFERROR(INDEX(样本到样信息汇总统计!Q$2:Q$500,MATCH(181,样本到样信息汇总统计!$X$2:$X$500,0)),"")</f>
        <v/>
      </c>
      <c r="R182" s="4" t="str">
        <f>IFERROR(INDEX(样本到样信息汇总统计!R$2:R$500,MATCH(181,样本到样信息汇总统计!$X$2:$X$500,0)),"")</f>
        <v/>
      </c>
      <c r="S182" s="4" t="str">
        <f>IFERROR(INDEX(样本到样信息汇总统计!S$2:S$500,MATCH(181,样本到样信息汇总统计!$X$2:$X$500,0)),"")</f>
        <v/>
      </c>
      <c r="T182" s="4" t="str">
        <f>IFERROR(INDEX(样本到样信息汇总统计!T$2:T$500,MATCH(181,样本到样信息汇总统计!$X$2:$X$500,0)),"")</f>
        <v/>
      </c>
      <c r="U182" s="4" t="str">
        <f>IFERROR(INDEX(样本到样信息汇总统计!U$2:U$500,MATCH(181,样本到样信息汇总统计!$X$2:$X$500,0)),"")</f>
        <v/>
      </c>
      <c r="V182" s="4" t="str">
        <f>IFERROR(INDEX(样本到样信息汇总统计!V$2:V$500,MATCH(181,样本到样信息汇总统计!$X$2:$X$500,0)),"")</f>
        <v/>
      </c>
      <c r="W182" s="4" t="str">
        <f>IFERROR(INDEX(样本到样信息汇总统计!W$2:W$500,MATCH(181,样本到样信息汇总统计!$X$2:$X$500,0)),"")</f>
        <v/>
      </c>
    </row>
    <row r="183" ht="14.5" spans="1:23">
      <c r="A183" s="8" t="str">
        <f>IFERROR(INDEX(样本到样信息汇总统计!A$2:A$500,MATCH(182,样本到样信息汇总统计!$X$2:$X$500,0)),"")</f>
        <v/>
      </c>
      <c r="B183" s="8" t="str">
        <f>IFERROR(INDEX(样本到样信息汇总统计!B$2:B$500,MATCH(182,样本到样信息汇总统计!$X$2:$X$500,0)),"")</f>
        <v/>
      </c>
      <c r="C183" s="8" t="str">
        <f>IFERROR(INDEX(样本到样信息汇总统计!C$2:C$500,MATCH(182,样本到样信息汇总统计!$X$2:$X$500,0)),"")</f>
        <v/>
      </c>
      <c r="D183" s="8" t="str">
        <f>IFERROR(INDEX(样本到样信息汇总统计!D$2:D$500,MATCH(182,样本到样信息汇总统计!$X$2:$X$500,0)),"")</f>
        <v/>
      </c>
      <c r="E183" s="8" t="str">
        <f>IFERROR(INDEX(样本到样信息汇总统计!E$2:E$500,MATCH(182,样本到样信息汇总统计!$X$2:$X$500,0)),"")</f>
        <v/>
      </c>
      <c r="F183" s="8" t="str">
        <f>IFERROR(INDEX(样本到样信息汇总统计!F$2:F$500,MATCH(182,样本到样信息汇总统计!$X$2:$X$500,0)),"")</f>
        <v/>
      </c>
      <c r="G183" s="8" t="str">
        <f>IFERROR(INDEX(样本到样信息汇总统计!G$2:G$500,MATCH(182,样本到样信息汇总统计!$X$2:$X$500,0)),"")</f>
        <v/>
      </c>
      <c r="H183" s="8" t="str">
        <f>IFERROR(INDEX(样本到样信息汇总统计!H$2:H$500,MATCH(182,样本到样信息汇总统计!$X$2:$X$500,0)),"")</f>
        <v/>
      </c>
      <c r="I183" s="8" t="str">
        <f>IFERROR(INDEX(样本到样信息汇总统计!I$2:I$500,MATCH(182,样本到样信息汇总统计!$X$2:$X$500,0)),"")</f>
        <v/>
      </c>
      <c r="J183" s="8" t="str">
        <f>IFERROR(INDEX(样本到样信息汇总统计!J$2:J$500,MATCH(182,样本到样信息汇总统计!$X$2:$X$500,0)),"")</f>
        <v/>
      </c>
      <c r="K183" s="15" t="str">
        <f>IFERROR(INDEX(样本到样信息汇总统计!K$2:K$500,MATCH(182,样本到样信息汇总统计!$X$2:$X$500,0)),"")</f>
        <v/>
      </c>
      <c r="L183" s="8" t="str">
        <f>IFERROR(INDEX(样本到样信息汇总统计!L$2:L$500,MATCH(182,样本到样信息汇总统计!$X$2:$X$500,0)),"")</f>
        <v/>
      </c>
      <c r="M183" s="8" t="str">
        <f>IFERROR(INDEX(样本到样信息汇总统计!M$2:M$500,MATCH(182,样本到样信息汇总统计!$X$2:$X$500,0)),"")</f>
        <v/>
      </c>
      <c r="N183" s="8" t="str">
        <f>IFERROR(INDEX(样本到样信息汇总统计!N$2:N$500,MATCH(182,样本到样信息汇总统计!$X$2:$X$500,0)),"")</f>
        <v/>
      </c>
      <c r="O183" s="8" t="str">
        <f>IFERROR(INDEX(样本到样信息汇总统计!O$2:O$500,MATCH(182,样本到样信息汇总统计!$X$2:$X$500,0)),"")</f>
        <v/>
      </c>
      <c r="P183" s="8" t="str">
        <f>IFERROR(INDEX(样本到样信息汇总统计!P$2:P$500,MATCH(182,样本到样信息汇总统计!$X$2:$X$500,0)),"")</f>
        <v/>
      </c>
      <c r="Q183" s="8" t="str">
        <f>IFERROR(INDEX(样本到样信息汇总统计!Q$2:Q$500,MATCH(182,样本到样信息汇总统计!$X$2:$X$500,0)),"")</f>
        <v/>
      </c>
      <c r="R183" s="8" t="str">
        <f>IFERROR(INDEX(样本到样信息汇总统计!R$2:R$500,MATCH(182,样本到样信息汇总统计!$X$2:$X$500,0)),"")</f>
        <v/>
      </c>
      <c r="S183" s="8" t="str">
        <f>IFERROR(INDEX(样本到样信息汇总统计!S$2:S$500,MATCH(182,样本到样信息汇总统计!$X$2:$X$500,0)),"")</f>
        <v/>
      </c>
      <c r="T183" s="8" t="str">
        <f>IFERROR(INDEX(样本到样信息汇总统计!T$2:T$500,MATCH(182,样本到样信息汇总统计!$X$2:$X$500,0)),"")</f>
        <v/>
      </c>
      <c r="U183" s="8" t="str">
        <f>IFERROR(INDEX(样本到样信息汇总统计!U$2:U$500,MATCH(182,样本到样信息汇总统计!$X$2:$X$500,0)),"")</f>
        <v/>
      </c>
      <c r="V183" s="8" t="str">
        <f>IFERROR(INDEX(样本到样信息汇总统计!V$2:V$500,MATCH(182,样本到样信息汇总统计!$X$2:$X$500,0)),"")</f>
        <v/>
      </c>
      <c r="W183" s="8" t="str">
        <f>IFERROR(INDEX(样本到样信息汇总统计!W$2:W$500,MATCH(182,样本到样信息汇总统计!$X$2:$X$500,0)),"")</f>
        <v/>
      </c>
    </row>
    <row r="184" ht="14.5" spans="1:23">
      <c r="A184" s="4" t="str">
        <f>IFERROR(INDEX(样本到样信息汇总统计!A$2:A$500,MATCH(183,样本到样信息汇总统计!$X$2:$X$500,0)),"")</f>
        <v/>
      </c>
      <c r="B184" s="4" t="str">
        <f>IFERROR(INDEX(样本到样信息汇总统计!B$2:B$500,MATCH(183,样本到样信息汇总统计!$X$2:$X$500,0)),"")</f>
        <v/>
      </c>
      <c r="C184" s="4" t="str">
        <f>IFERROR(INDEX(样本到样信息汇总统计!C$2:C$500,MATCH(183,样本到样信息汇总统计!$X$2:$X$500,0)),"")</f>
        <v/>
      </c>
      <c r="D184" s="4" t="str">
        <f>IFERROR(INDEX(样本到样信息汇总统计!D$2:D$500,MATCH(183,样本到样信息汇总统计!$X$2:$X$500,0)),"")</f>
        <v/>
      </c>
      <c r="E184" s="4" t="str">
        <f>IFERROR(INDEX(样本到样信息汇总统计!E$2:E$500,MATCH(183,样本到样信息汇总统计!$X$2:$X$500,0)),"")</f>
        <v/>
      </c>
      <c r="F184" s="4" t="str">
        <f>IFERROR(INDEX(样本到样信息汇总统计!F$2:F$500,MATCH(183,样本到样信息汇总统计!$X$2:$X$500,0)),"")</f>
        <v/>
      </c>
      <c r="G184" s="4" t="str">
        <f>IFERROR(INDEX(样本到样信息汇总统计!G$2:G$500,MATCH(183,样本到样信息汇总统计!$X$2:$X$500,0)),"")</f>
        <v/>
      </c>
      <c r="H184" s="4" t="str">
        <f>IFERROR(INDEX(样本到样信息汇总统计!H$2:H$500,MATCH(183,样本到样信息汇总统计!$X$2:$X$500,0)),"")</f>
        <v/>
      </c>
      <c r="I184" s="4" t="str">
        <f>IFERROR(INDEX(样本到样信息汇总统计!I$2:I$500,MATCH(183,样本到样信息汇总统计!$X$2:$X$500,0)),"")</f>
        <v/>
      </c>
      <c r="J184" s="4" t="str">
        <f>IFERROR(INDEX(样本到样信息汇总统计!J$2:J$500,MATCH(183,样本到样信息汇总统计!$X$2:$X$500,0)),"")</f>
        <v/>
      </c>
      <c r="K184" s="14" t="str">
        <f>IFERROR(INDEX(样本到样信息汇总统计!K$2:K$500,MATCH(183,样本到样信息汇总统计!$X$2:$X$500,0)),"")</f>
        <v/>
      </c>
      <c r="L184" s="4" t="str">
        <f>IFERROR(INDEX(样本到样信息汇总统计!L$2:L$500,MATCH(183,样本到样信息汇总统计!$X$2:$X$500,0)),"")</f>
        <v/>
      </c>
      <c r="M184" s="4" t="str">
        <f>IFERROR(INDEX(样本到样信息汇总统计!M$2:M$500,MATCH(183,样本到样信息汇总统计!$X$2:$X$500,0)),"")</f>
        <v/>
      </c>
      <c r="N184" s="4" t="str">
        <f>IFERROR(INDEX(样本到样信息汇总统计!N$2:N$500,MATCH(183,样本到样信息汇总统计!$X$2:$X$500,0)),"")</f>
        <v/>
      </c>
      <c r="O184" s="4" t="str">
        <f>IFERROR(INDEX(样本到样信息汇总统计!O$2:O$500,MATCH(183,样本到样信息汇总统计!$X$2:$X$500,0)),"")</f>
        <v/>
      </c>
      <c r="P184" s="4" t="str">
        <f>IFERROR(INDEX(样本到样信息汇总统计!P$2:P$500,MATCH(183,样本到样信息汇总统计!$X$2:$X$500,0)),"")</f>
        <v/>
      </c>
      <c r="Q184" s="4" t="str">
        <f>IFERROR(INDEX(样本到样信息汇总统计!Q$2:Q$500,MATCH(183,样本到样信息汇总统计!$X$2:$X$500,0)),"")</f>
        <v/>
      </c>
      <c r="R184" s="4" t="str">
        <f>IFERROR(INDEX(样本到样信息汇总统计!R$2:R$500,MATCH(183,样本到样信息汇总统计!$X$2:$X$500,0)),"")</f>
        <v/>
      </c>
      <c r="S184" s="4" t="str">
        <f>IFERROR(INDEX(样本到样信息汇总统计!S$2:S$500,MATCH(183,样本到样信息汇总统计!$X$2:$X$500,0)),"")</f>
        <v/>
      </c>
      <c r="T184" s="4" t="str">
        <f>IFERROR(INDEX(样本到样信息汇总统计!T$2:T$500,MATCH(183,样本到样信息汇总统计!$X$2:$X$500,0)),"")</f>
        <v/>
      </c>
      <c r="U184" s="4" t="str">
        <f>IFERROR(INDEX(样本到样信息汇总统计!U$2:U$500,MATCH(183,样本到样信息汇总统计!$X$2:$X$500,0)),"")</f>
        <v/>
      </c>
      <c r="V184" s="4" t="str">
        <f>IFERROR(INDEX(样本到样信息汇总统计!V$2:V$500,MATCH(183,样本到样信息汇总统计!$X$2:$X$500,0)),"")</f>
        <v/>
      </c>
      <c r="W184" s="4" t="str">
        <f>IFERROR(INDEX(样本到样信息汇总统计!W$2:W$500,MATCH(183,样本到样信息汇总统计!$X$2:$X$500,0)),"")</f>
        <v/>
      </c>
    </row>
    <row r="185" ht="14.5" spans="1:23">
      <c r="A185" s="8" t="str">
        <f>IFERROR(INDEX(样本到样信息汇总统计!A$2:A$500,MATCH(184,样本到样信息汇总统计!$X$2:$X$500,0)),"")</f>
        <v/>
      </c>
      <c r="B185" s="8" t="str">
        <f>IFERROR(INDEX(样本到样信息汇总统计!B$2:B$500,MATCH(184,样本到样信息汇总统计!$X$2:$X$500,0)),"")</f>
        <v/>
      </c>
      <c r="C185" s="8" t="str">
        <f>IFERROR(INDEX(样本到样信息汇总统计!C$2:C$500,MATCH(184,样本到样信息汇总统计!$X$2:$X$500,0)),"")</f>
        <v/>
      </c>
      <c r="D185" s="8" t="str">
        <f>IFERROR(INDEX(样本到样信息汇总统计!D$2:D$500,MATCH(184,样本到样信息汇总统计!$X$2:$X$500,0)),"")</f>
        <v/>
      </c>
      <c r="E185" s="8" t="str">
        <f>IFERROR(INDEX(样本到样信息汇总统计!E$2:E$500,MATCH(184,样本到样信息汇总统计!$X$2:$X$500,0)),"")</f>
        <v/>
      </c>
      <c r="F185" s="8" t="str">
        <f>IFERROR(INDEX(样本到样信息汇总统计!F$2:F$500,MATCH(184,样本到样信息汇总统计!$X$2:$X$500,0)),"")</f>
        <v/>
      </c>
      <c r="G185" s="8" t="str">
        <f>IFERROR(INDEX(样本到样信息汇总统计!G$2:G$500,MATCH(184,样本到样信息汇总统计!$X$2:$X$500,0)),"")</f>
        <v/>
      </c>
      <c r="H185" s="8" t="str">
        <f>IFERROR(INDEX(样本到样信息汇总统计!H$2:H$500,MATCH(184,样本到样信息汇总统计!$X$2:$X$500,0)),"")</f>
        <v/>
      </c>
      <c r="I185" s="8" t="str">
        <f>IFERROR(INDEX(样本到样信息汇总统计!I$2:I$500,MATCH(184,样本到样信息汇总统计!$X$2:$X$500,0)),"")</f>
        <v/>
      </c>
      <c r="J185" s="8" t="str">
        <f>IFERROR(INDEX(样本到样信息汇总统计!J$2:J$500,MATCH(184,样本到样信息汇总统计!$X$2:$X$500,0)),"")</f>
        <v/>
      </c>
      <c r="K185" s="15" t="str">
        <f>IFERROR(INDEX(样本到样信息汇总统计!K$2:K$500,MATCH(184,样本到样信息汇总统计!$X$2:$X$500,0)),"")</f>
        <v/>
      </c>
      <c r="L185" s="8" t="str">
        <f>IFERROR(INDEX(样本到样信息汇总统计!L$2:L$500,MATCH(184,样本到样信息汇总统计!$X$2:$X$500,0)),"")</f>
        <v/>
      </c>
      <c r="M185" s="8" t="str">
        <f>IFERROR(INDEX(样本到样信息汇总统计!M$2:M$500,MATCH(184,样本到样信息汇总统计!$X$2:$X$500,0)),"")</f>
        <v/>
      </c>
      <c r="N185" s="8" t="str">
        <f>IFERROR(INDEX(样本到样信息汇总统计!N$2:N$500,MATCH(184,样本到样信息汇总统计!$X$2:$X$500,0)),"")</f>
        <v/>
      </c>
      <c r="O185" s="8" t="str">
        <f>IFERROR(INDEX(样本到样信息汇总统计!O$2:O$500,MATCH(184,样本到样信息汇总统计!$X$2:$X$500,0)),"")</f>
        <v/>
      </c>
      <c r="P185" s="8" t="str">
        <f>IFERROR(INDEX(样本到样信息汇总统计!P$2:P$500,MATCH(184,样本到样信息汇总统计!$X$2:$X$500,0)),"")</f>
        <v/>
      </c>
      <c r="Q185" s="8" t="str">
        <f>IFERROR(INDEX(样本到样信息汇总统计!Q$2:Q$500,MATCH(184,样本到样信息汇总统计!$X$2:$X$500,0)),"")</f>
        <v/>
      </c>
      <c r="R185" s="8" t="str">
        <f>IFERROR(INDEX(样本到样信息汇总统计!R$2:R$500,MATCH(184,样本到样信息汇总统计!$X$2:$X$500,0)),"")</f>
        <v/>
      </c>
      <c r="S185" s="8" t="str">
        <f>IFERROR(INDEX(样本到样信息汇总统计!S$2:S$500,MATCH(184,样本到样信息汇总统计!$X$2:$X$500,0)),"")</f>
        <v/>
      </c>
      <c r="T185" s="8" t="str">
        <f>IFERROR(INDEX(样本到样信息汇总统计!T$2:T$500,MATCH(184,样本到样信息汇总统计!$X$2:$X$500,0)),"")</f>
        <v/>
      </c>
      <c r="U185" s="8" t="str">
        <f>IFERROR(INDEX(样本到样信息汇总统计!U$2:U$500,MATCH(184,样本到样信息汇总统计!$X$2:$X$500,0)),"")</f>
        <v/>
      </c>
      <c r="V185" s="8" t="str">
        <f>IFERROR(INDEX(样本到样信息汇总统计!V$2:V$500,MATCH(184,样本到样信息汇总统计!$X$2:$X$500,0)),"")</f>
        <v/>
      </c>
      <c r="W185" s="8" t="str">
        <f>IFERROR(INDEX(样本到样信息汇总统计!W$2:W$500,MATCH(184,样本到样信息汇总统计!$X$2:$X$500,0)),"")</f>
        <v/>
      </c>
    </row>
    <row r="186" ht="14.5" spans="1:23">
      <c r="A186" s="4" t="str">
        <f>IFERROR(INDEX(样本到样信息汇总统计!A$2:A$500,MATCH(185,样本到样信息汇总统计!$X$2:$X$500,0)),"")</f>
        <v/>
      </c>
      <c r="B186" s="4" t="str">
        <f>IFERROR(INDEX(样本到样信息汇总统计!B$2:B$500,MATCH(185,样本到样信息汇总统计!$X$2:$X$500,0)),"")</f>
        <v/>
      </c>
      <c r="C186" s="4" t="str">
        <f>IFERROR(INDEX(样本到样信息汇总统计!C$2:C$500,MATCH(185,样本到样信息汇总统计!$X$2:$X$500,0)),"")</f>
        <v/>
      </c>
      <c r="D186" s="4" t="str">
        <f>IFERROR(INDEX(样本到样信息汇总统计!D$2:D$500,MATCH(185,样本到样信息汇总统计!$X$2:$X$500,0)),"")</f>
        <v/>
      </c>
      <c r="E186" s="4" t="str">
        <f>IFERROR(INDEX(样本到样信息汇总统计!E$2:E$500,MATCH(185,样本到样信息汇总统计!$X$2:$X$500,0)),"")</f>
        <v/>
      </c>
      <c r="F186" s="4" t="str">
        <f>IFERROR(INDEX(样本到样信息汇总统计!F$2:F$500,MATCH(185,样本到样信息汇总统计!$X$2:$X$500,0)),"")</f>
        <v/>
      </c>
      <c r="G186" s="4" t="str">
        <f>IFERROR(INDEX(样本到样信息汇总统计!G$2:G$500,MATCH(185,样本到样信息汇总统计!$X$2:$X$500,0)),"")</f>
        <v/>
      </c>
      <c r="H186" s="4" t="str">
        <f>IFERROR(INDEX(样本到样信息汇总统计!H$2:H$500,MATCH(185,样本到样信息汇总统计!$X$2:$X$500,0)),"")</f>
        <v/>
      </c>
      <c r="I186" s="4" t="str">
        <f>IFERROR(INDEX(样本到样信息汇总统计!I$2:I$500,MATCH(185,样本到样信息汇总统计!$X$2:$X$500,0)),"")</f>
        <v/>
      </c>
      <c r="J186" s="4" t="str">
        <f>IFERROR(INDEX(样本到样信息汇总统计!J$2:J$500,MATCH(185,样本到样信息汇总统计!$X$2:$X$500,0)),"")</f>
        <v/>
      </c>
      <c r="K186" s="14" t="str">
        <f>IFERROR(INDEX(样本到样信息汇总统计!K$2:K$500,MATCH(185,样本到样信息汇总统计!$X$2:$X$500,0)),"")</f>
        <v/>
      </c>
      <c r="L186" s="4" t="str">
        <f>IFERROR(INDEX(样本到样信息汇总统计!L$2:L$500,MATCH(185,样本到样信息汇总统计!$X$2:$X$500,0)),"")</f>
        <v/>
      </c>
      <c r="M186" s="4" t="str">
        <f>IFERROR(INDEX(样本到样信息汇总统计!M$2:M$500,MATCH(185,样本到样信息汇总统计!$X$2:$X$500,0)),"")</f>
        <v/>
      </c>
      <c r="N186" s="4" t="str">
        <f>IFERROR(INDEX(样本到样信息汇总统计!N$2:N$500,MATCH(185,样本到样信息汇总统计!$X$2:$X$500,0)),"")</f>
        <v/>
      </c>
      <c r="O186" s="4" t="str">
        <f>IFERROR(INDEX(样本到样信息汇总统计!O$2:O$500,MATCH(185,样本到样信息汇总统计!$X$2:$X$500,0)),"")</f>
        <v/>
      </c>
      <c r="P186" s="4" t="str">
        <f>IFERROR(INDEX(样本到样信息汇总统计!P$2:P$500,MATCH(185,样本到样信息汇总统计!$X$2:$X$500,0)),"")</f>
        <v/>
      </c>
      <c r="Q186" s="4" t="str">
        <f>IFERROR(INDEX(样本到样信息汇总统计!Q$2:Q$500,MATCH(185,样本到样信息汇总统计!$X$2:$X$500,0)),"")</f>
        <v/>
      </c>
      <c r="R186" s="4" t="str">
        <f>IFERROR(INDEX(样本到样信息汇总统计!R$2:R$500,MATCH(185,样本到样信息汇总统计!$X$2:$X$500,0)),"")</f>
        <v/>
      </c>
      <c r="S186" s="4" t="str">
        <f>IFERROR(INDEX(样本到样信息汇总统计!S$2:S$500,MATCH(185,样本到样信息汇总统计!$X$2:$X$500,0)),"")</f>
        <v/>
      </c>
      <c r="T186" s="4" t="str">
        <f>IFERROR(INDEX(样本到样信息汇总统计!T$2:T$500,MATCH(185,样本到样信息汇总统计!$X$2:$X$500,0)),"")</f>
        <v/>
      </c>
      <c r="U186" s="4" t="str">
        <f>IFERROR(INDEX(样本到样信息汇总统计!U$2:U$500,MATCH(185,样本到样信息汇总统计!$X$2:$X$500,0)),"")</f>
        <v/>
      </c>
      <c r="V186" s="4" t="str">
        <f>IFERROR(INDEX(样本到样信息汇总统计!V$2:V$500,MATCH(185,样本到样信息汇总统计!$X$2:$X$500,0)),"")</f>
        <v/>
      </c>
      <c r="W186" s="4" t="str">
        <f>IFERROR(INDEX(样本到样信息汇总统计!W$2:W$500,MATCH(185,样本到样信息汇总统计!$X$2:$X$500,0)),"")</f>
        <v/>
      </c>
    </row>
    <row r="187" ht="14.5" spans="1:23">
      <c r="A187" s="8" t="str">
        <f>IFERROR(INDEX(样本到样信息汇总统计!A$2:A$500,MATCH(186,样本到样信息汇总统计!$X$2:$X$500,0)),"")</f>
        <v/>
      </c>
      <c r="B187" s="8" t="str">
        <f>IFERROR(INDEX(样本到样信息汇总统计!B$2:B$500,MATCH(186,样本到样信息汇总统计!$X$2:$X$500,0)),"")</f>
        <v/>
      </c>
      <c r="C187" s="8" t="str">
        <f>IFERROR(INDEX(样本到样信息汇总统计!C$2:C$500,MATCH(186,样本到样信息汇总统计!$X$2:$X$500,0)),"")</f>
        <v/>
      </c>
      <c r="D187" s="8" t="str">
        <f>IFERROR(INDEX(样本到样信息汇总统计!D$2:D$500,MATCH(186,样本到样信息汇总统计!$X$2:$X$500,0)),"")</f>
        <v/>
      </c>
      <c r="E187" s="8" t="str">
        <f>IFERROR(INDEX(样本到样信息汇总统计!E$2:E$500,MATCH(186,样本到样信息汇总统计!$X$2:$X$500,0)),"")</f>
        <v/>
      </c>
      <c r="F187" s="8" t="str">
        <f>IFERROR(INDEX(样本到样信息汇总统计!F$2:F$500,MATCH(186,样本到样信息汇总统计!$X$2:$X$500,0)),"")</f>
        <v/>
      </c>
      <c r="G187" s="8" t="str">
        <f>IFERROR(INDEX(样本到样信息汇总统计!G$2:G$500,MATCH(186,样本到样信息汇总统计!$X$2:$X$500,0)),"")</f>
        <v/>
      </c>
      <c r="H187" s="8" t="str">
        <f>IFERROR(INDEX(样本到样信息汇总统计!H$2:H$500,MATCH(186,样本到样信息汇总统计!$X$2:$X$500,0)),"")</f>
        <v/>
      </c>
      <c r="I187" s="8" t="str">
        <f>IFERROR(INDEX(样本到样信息汇总统计!I$2:I$500,MATCH(186,样本到样信息汇总统计!$X$2:$X$500,0)),"")</f>
        <v/>
      </c>
      <c r="J187" s="8" t="str">
        <f>IFERROR(INDEX(样本到样信息汇总统计!J$2:J$500,MATCH(186,样本到样信息汇总统计!$X$2:$X$500,0)),"")</f>
        <v/>
      </c>
      <c r="K187" s="15" t="str">
        <f>IFERROR(INDEX(样本到样信息汇总统计!K$2:K$500,MATCH(186,样本到样信息汇总统计!$X$2:$X$500,0)),"")</f>
        <v/>
      </c>
      <c r="L187" s="8" t="str">
        <f>IFERROR(INDEX(样本到样信息汇总统计!L$2:L$500,MATCH(186,样本到样信息汇总统计!$X$2:$X$500,0)),"")</f>
        <v/>
      </c>
      <c r="M187" s="8" t="str">
        <f>IFERROR(INDEX(样本到样信息汇总统计!M$2:M$500,MATCH(186,样本到样信息汇总统计!$X$2:$X$500,0)),"")</f>
        <v/>
      </c>
      <c r="N187" s="8" t="str">
        <f>IFERROR(INDEX(样本到样信息汇总统计!N$2:N$500,MATCH(186,样本到样信息汇总统计!$X$2:$X$500,0)),"")</f>
        <v/>
      </c>
      <c r="O187" s="8" t="str">
        <f>IFERROR(INDEX(样本到样信息汇总统计!O$2:O$500,MATCH(186,样本到样信息汇总统计!$X$2:$X$500,0)),"")</f>
        <v/>
      </c>
      <c r="P187" s="8" t="str">
        <f>IFERROR(INDEX(样本到样信息汇总统计!P$2:P$500,MATCH(186,样本到样信息汇总统计!$X$2:$X$500,0)),"")</f>
        <v/>
      </c>
      <c r="Q187" s="8" t="str">
        <f>IFERROR(INDEX(样本到样信息汇总统计!Q$2:Q$500,MATCH(186,样本到样信息汇总统计!$X$2:$X$500,0)),"")</f>
        <v/>
      </c>
      <c r="R187" s="8" t="str">
        <f>IFERROR(INDEX(样本到样信息汇总统计!R$2:R$500,MATCH(186,样本到样信息汇总统计!$X$2:$X$500,0)),"")</f>
        <v/>
      </c>
      <c r="S187" s="8" t="str">
        <f>IFERROR(INDEX(样本到样信息汇总统计!S$2:S$500,MATCH(186,样本到样信息汇总统计!$X$2:$X$500,0)),"")</f>
        <v/>
      </c>
      <c r="T187" s="8" t="str">
        <f>IFERROR(INDEX(样本到样信息汇总统计!T$2:T$500,MATCH(186,样本到样信息汇总统计!$X$2:$X$500,0)),"")</f>
        <v/>
      </c>
      <c r="U187" s="8" t="str">
        <f>IFERROR(INDEX(样本到样信息汇总统计!U$2:U$500,MATCH(186,样本到样信息汇总统计!$X$2:$X$500,0)),"")</f>
        <v/>
      </c>
      <c r="V187" s="8" t="str">
        <f>IFERROR(INDEX(样本到样信息汇总统计!V$2:V$500,MATCH(186,样本到样信息汇总统计!$X$2:$X$500,0)),"")</f>
        <v/>
      </c>
      <c r="W187" s="8" t="str">
        <f>IFERROR(INDEX(样本到样信息汇总统计!W$2:W$500,MATCH(186,样本到样信息汇总统计!$X$2:$X$500,0)),"")</f>
        <v/>
      </c>
    </row>
    <row r="188" ht="14.5" spans="1:23">
      <c r="A188" s="4" t="str">
        <f>IFERROR(INDEX(样本到样信息汇总统计!A$2:A$500,MATCH(187,样本到样信息汇总统计!$X$2:$X$500,0)),"")</f>
        <v/>
      </c>
      <c r="B188" s="4" t="str">
        <f>IFERROR(INDEX(样本到样信息汇总统计!B$2:B$500,MATCH(187,样本到样信息汇总统计!$X$2:$X$500,0)),"")</f>
        <v/>
      </c>
      <c r="C188" s="4" t="str">
        <f>IFERROR(INDEX(样本到样信息汇总统计!C$2:C$500,MATCH(187,样本到样信息汇总统计!$X$2:$X$500,0)),"")</f>
        <v/>
      </c>
      <c r="D188" s="4" t="str">
        <f>IFERROR(INDEX(样本到样信息汇总统计!D$2:D$500,MATCH(187,样本到样信息汇总统计!$X$2:$X$500,0)),"")</f>
        <v/>
      </c>
      <c r="E188" s="4" t="str">
        <f>IFERROR(INDEX(样本到样信息汇总统计!E$2:E$500,MATCH(187,样本到样信息汇总统计!$X$2:$X$500,0)),"")</f>
        <v/>
      </c>
      <c r="F188" s="4" t="str">
        <f>IFERROR(INDEX(样本到样信息汇总统计!F$2:F$500,MATCH(187,样本到样信息汇总统计!$X$2:$X$500,0)),"")</f>
        <v/>
      </c>
      <c r="G188" s="4" t="str">
        <f>IFERROR(INDEX(样本到样信息汇总统计!G$2:G$500,MATCH(187,样本到样信息汇总统计!$X$2:$X$500,0)),"")</f>
        <v/>
      </c>
      <c r="H188" s="4" t="str">
        <f>IFERROR(INDEX(样本到样信息汇总统计!H$2:H$500,MATCH(187,样本到样信息汇总统计!$X$2:$X$500,0)),"")</f>
        <v/>
      </c>
      <c r="I188" s="4" t="str">
        <f>IFERROR(INDEX(样本到样信息汇总统计!I$2:I$500,MATCH(187,样本到样信息汇总统计!$X$2:$X$500,0)),"")</f>
        <v/>
      </c>
      <c r="J188" s="4" t="str">
        <f>IFERROR(INDEX(样本到样信息汇总统计!J$2:J$500,MATCH(187,样本到样信息汇总统计!$X$2:$X$500,0)),"")</f>
        <v/>
      </c>
      <c r="K188" s="14" t="str">
        <f>IFERROR(INDEX(样本到样信息汇总统计!K$2:K$500,MATCH(187,样本到样信息汇总统计!$X$2:$X$500,0)),"")</f>
        <v/>
      </c>
      <c r="L188" s="4" t="str">
        <f>IFERROR(INDEX(样本到样信息汇总统计!L$2:L$500,MATCH(187,样本到样信息汇总统计!$X$2:$X$500,0)),"")</f>
        <v/>
      </c>
      <c r="M188" s="4" t="str">
        <f>IFERROR(INDEX(样本到样信息汇总统计!M$2:M$500,MATCH(187,样本到样信息汇总统计!$X$2:$X$500,0)),"")</f>
        <v/>
      </c>
      <c r="N188" s="4" t="str">
        <f>IFERROR(INDEX(样本到样信息汇总统计!N$2:N$500,MATCH(187,样本到样信息汇总统计!$X$2:$X$500,0)),"")</f>
        <v/>
      </c>
      <c r="O188" s="4" t="str">
        <f>IFERROR(INDEX(样本到样信息汇总统计!O$2:O$500,MATCH(187,样本到样信息汇总统计!$X$2:$X$500,0)),"")</f>
        <v/>
      </c>
      <c r="P188" s="4" t="str">
        <f>IFERROR(INDEX(样本到样信息汇总统计!P$2:P$500,MATCH(187,样本到样信息汇总统计!$X$2:$X$500,0)),"")</f>
        <v/>
      </c>
      <c r="Q188" s="4" t="str">
        <f>IFERROR(INDEX(样本到样信息汇总统计!Q$2:Q$500,MATCH(187,样本到样信息汇总统计!$X$2:$X$500,0)),"")</f>
        <v/>
      </c>
      <c r="R188" s="4" t="str">
        <f>IFERROR(INDEX(样本到样信息汇总统计!R$2:R$500,MATCH(187,样本到样信息汇总统计!$X$2:$X$500,0)),"")</f>
        <v/>
      </c>
      <c r="S188" s="4" t="str">
        <f>IFERROR(INDEX(样本到样信息汇总统计!S$2:S$500,MATCH(187,样本到样信息汇总统计!$X$2:$X$500,0)),"")</f>
        <v/>
      </c>
      <c r="T188" s="4" t="str">
        <f>IFERROR(INDEX(样本到样信息汇总统计!T$2:T$500,MATCH(187,样本到样信息汇总统计!$X$2:$X$500,0)),"")</f>
        <v/>
      </c>
      <c r="U188" s="4" t="str">
        <f>IFERROR(INDEX(样本到样信息汇总统计!U$2:U$500,MATCH(187,样本到样信息汇总统计!$X$2:$X$500,0)),"")</f>
        <v/>
      </c>
      <c r="V188" s="4" t="str">
        <f>IFERROR(INDEX(样本到样信息汇总统计!V$2:V$500,MATCH(187,样本到样信息汇总统计!$X$2:$X$500,0)),"")</f>
        <v/>
      </c>
      <c r="W188" s="4" t="str">
        <f>IFERROR(INDEX(样本到样信息汇总统计!W$2:W$500,MATCH(187,样本到样信息汇总统计!$X$2:$X$500,0)),"")</f>
        <v/>
      </c>
    </row>
    <row r="189" ht="14.5" spans="1:23">
      <c r="A189" s="8" t="str">
        <f>IFERROR(INDEX(样本到样信息汇总统计!A$2:A$500,MATCH(188,样本到样信息汇总统计!$X$2:$X$500,0)),"")</f>
        <v/>
      </c>
      <c r="B189" s="8" t="str">
        <f>IFERROR(INDEX(样本到样信息汇总统计!B$2:B$500,MATCH(188,样本到样信息汇总统计!$X$2:$X$500,0)),"")</f>
        <v/>
      </c>
      <c r="C189" s="8" t="str">
        <f>IFERROR(INDEX(样本到样信息汇总统计!C$2:C$500,MATCH(188,样本到样信息汇总统计!$X$2:$X$500,0)),"")</f>
        <v/>
      </c>
      <c r="D189" s="8" t="str">
        <f>IFERROR(INDEX(样本到样信息汇总统计!D$2:D$500,MATCH(188,样本到样信息汇总统计!$X$2:$X$500,0)),"")</f>
        <v/>
      </c>
      <c r="E189" s="8" t="str">
        <f>IFERROR(INDEX(样本到样信息汇总统计!E$2:E$500,MATCH(188,样本到样信息汇总统计!$X$2:$X$500,0)),"")</f>
        <v/>
      </c>
      <c r="F189" s="8" t="str">
        <f>IFERROR(INDEX(样本到样信息汇总统计!F$2:F$500,MATCH(188,样本到样信息汇总统计!$X$2:$X$500,0)),"")</f>
        <v/>
      </c>
      <c r="G189" s="8" t="str">
        <f>IFERROR(INDEX(样本到样信息汇总统计!G$2:G$500,MATCH(188,样本到样信息汇总统计!$X$2:$X$500,0)),"")</f>
        <v/>
      </c>
      <c r="H189" s="8" t="str">
        <f>IFERROR(INDEX(样本到样信息汇总统计!H$2:H$500,MATCH(188,样本到样信息汇总统计!$X$2:$X$500,0)),"")</f>
        <v/>
      </c>
      <c r="I189" s="8" t="str">
        <f>IFERROR(INDEX(样本到样信息汇总统计!I$2:I$500,MATCH(188,样本到样信息汇总统计!$X$2:$X$500,0)),"")</f>
        <v/>
      </c>
      <c r="J189" s="8" t="str">
        <f>IFERROR(INDEX(样本到样信息汇总统计!J$2:J$500,MATCH(188,样本到样信息汇总统计!$X$2:$X$500,0)),"")</f>
        <v/>
      </c>
      <c r="K189" s="15" t="str">
        <f>IFERROR(INDEX(样本到样信息汇总统计!K$2:K$500,MATCH(188,样本到样信息汇总统计!$X$2:$X$500,0)),"")</f>
        <v/>
      </c>
      <c r="L189" s="8" t="str">
        <f>IFERROR(INDEX(样本到样信息汇总统计!L$2:L$500,MATCH(188,样本到样信息汇总统计!$X$2:$X$500,0)),"")</f>
        <v/>
      </c>
      <c r="M189" s="8" t="str">
        <f>IFERROR(INDEX(样本到样信息汇总统计!M$2:M$500,MATCH(188,样本到样信息汇总统计!$X$2:$X$500,0)),"")</f>
        <v/>
      </c>
      <c r="N189" s="8" t="str">
        <f>IFERROR(INDEX(样本到样信息汇总统计!N$2:N$500,MATCH(188,样本到样信息汇总统计!$X$2:$X$500,0)),"")</f>
        <v/>
      </c>
      <c r="O189" s="8" t="str">
        <f>IFERROR(INDEX(样本到样信息汇总统计!O$2:O$500,MATCH(188,样本到样信息汇总统计!$X$2:$X$500,0)),"")</f>
        <v/>
      </c>
      <c r="P189" s="8" t="str">
        <f>IFERROR(INDEX(样本到样信息汇总统计!P$2:P$500,MATCH(188,样本到样信息汇总统计!$X$2:$X$500,0)),"")</f>
        <v/>
      </c>
      <c r="Q189" s="8" t="str">
        <f>IFERROR(INDEX(样本到样信息汇总统计!Q$2:Q$500,MATCH(188,样本到样信息汇总统计!$X$2:$X$500,0)),"")</f>
        <v/>
      </c>
      <c r="R189" s="8" t="str">
        <f>IFERROR(INDEX(样本到样信息汇总统计!R$2:R$500,MATCH(188,样本到样信息汇总统计!$X$2:$X$500,0)),"")</f>
        <v/>
      </c>
      <c r="S189" s="8" t="str">
        <f>IFERROR(INDEX(样本到样信息汇总统计!S$2:S$500,MATCH(188,样本到样信息汇总统计!$X$2:$X$500,0)),"")</f>
        <v/>
      </c>
      <c r="T189" s="8" t="str">
        <f>IFERROR(INDEX(样本到样信息汇总统计!T$2:T$500,MATCH(188,样本到样信息汇总统计!$X$2:$X$500,0)),"")</f>
        <v/>
      </c>
      <c r="U189" s="8" t="str">
        <f>IFERROR(INDEX(样本到样信息汇总统计!U$2:U$500,MATCH(188,样本到样信息汇总统计!$X$2:$X$500,0)),"")</f>
        <v/>
      </c>
      <c r="V189" s="8" t="str">
        <f>IFERROR(INDEX(样本到样信息汇总统计!V$2:V$500,MATCH(188,样本到样信息汇总统计!$X$2:$X$500,0)),"")</f>
        <v/>
      </c>
      <c r="W189" s="8" t="str">
        <f>IFERROR(INDEX(样本到样信息汇总统计!W$2:W$500,MATCH(188,样本到样信息汇总统计!$X$2:$X$500,0)),"")</f>
        <v/>
      </c>
    </row>
    <row r="190" ht="14.5" spans="1:23">
      <c r="A190" s="4" t="str">
        <f>IFERROR(INDEX(样本到样信息汇总统计!A$2:A$500,MATCH(189,样本到样信息汇总统计!$X$2:$X$500,0)),"")</f>
        <v/>
      </c>
      <c r="B190" s="4" t="str">
        <f>IFERROR(INDEX(样本到样信息汇总统计!B$2:B$500,MATCH(189,样本到样信息汇总统计!$X$2:$X$500,0)),"")</f>
        <v/>
      </c>
      <c r="C190" s="4" t="str">
        <f>IFERROR(INDEX(样本到样信息汇总统计!C$2:C$500,MATCH(189,样本到样信息汇总统计!$X$2:$X$500,0)),"")</f>
        <v/>
      </c>
      <c r="D190" s="4" t="str">
        <f>IFERROR(INDEX(样本到样信息汇总统计!D$2:D$500,MATCH(189,样本到样信息汇总统计!$X$2:$X$500,0)),"")</f>
        <v/>
      </c>
      <c r="E190" s="4" t="str">
        <f>IFERROR(INDEX(样本到样信息汇总统计!E$2:E$500,MATCH(189,样本到样信息汇总统计!$X$2:$X$500,0)),"")</f>
        <v/>
      </c>
      <c r="F190" s="4" t="str">
        <f>IFERROR(INDEX(样本到样信息汇总统计!F$2:F$500,MATCH(189,样本到样信息汇总统计!$X$2:$X$500,0)),"")</f>
        <v/>
      </c>
      <c r="G190" s="4" t="str">
        <f>IFERROR(INDEX(样本到样信息汇总统计!G$2:G$500,MATCH(189,样本到样信息汇总统计!$X$2:$X$500,0)),"")</f>
        <v/>
      </c>
      <c r="H190" s="4" t="str">
        <f>IFERROR(INDEX(样本到样信息汇总统计!H$2:H$500,MATCH(189,样本到样信息汇总统计!$X$2:$X$500,0)),"")</f>
        <v/>
      </c>
      <c r="I190" s="4" t="str">
        <f>IFERROR(INDEX(样本到样信息汇总统计!I$2:I$500,MATCH(189,样本到样信息汇总统计!$X$2:$X$500,0)),"")</f>
        <v/>
      </c>
      <c r="J190" s="4" t="str">
        <f>IFERROR(INDEX(样本到样信息汇总统计!J$2:J$500,MATCH(189,样本到样信息汇总统计!$X$2:$X$500,0)),"")</f>
        <v/>
      </c>
      <c r="K190" s="14" t="str">
        <f>IFERROR(INDEX(样本到样信息汇总统计!K$2:K$500,MATCH(189,样本到样信息汇总统计!$X$2:$X$500,0)),"")</f>
        <v/>
      </c>
      <c r="L190" s="4" t="str">
        <f>IFERROR(INDEX(样本到样信息汇总统计!L$2:L$500,MATCH(189,样本到样信息汇总统计!$X$2:$X$500,0)),"")</f>
        <v/>
      </c>
      <c r="M190" s="4" t="str">
        <f>IFERROR(INDEX(样本到样信息汇总统计!M$2:M$500,MATCH(189,样本到样信息汇总统计!$X$2:$X$500,0)),"")</f>
        <v/>
      </c>
      <c r="N190" s="4" t="str">
        <f>IFERROR(INDEX(样本到样信息汇总统计!N$2:N$500,MATCH(189,样本到样信息汇总统计!$X$2:$X$500,0)),"")</f>
        <v/>
      </c>
      <c r="O190" s="4" t="str">
        <f>IFERROR(INDEX(样本到样信息汇总统计!O$2:O$500,MATCH(189,样本到样信息汇总统计!$X$2:$X$500,0)),"")</f>
        <v/>
      </c>
      <c r="P190" s="4" t="str">
        <f>IFERROR(INDEX(样本到样信息汇总统计!P$2:P$500,MATCH(189,样本到样信息汇总统计!$X$2:$X$500,0)),"")</f>
        <v/>
      </c>
      <c r="Q190" s="4" t="str">
        <f>IFERROR(INDEX(样本到样信息汇总统计!Q$2:Q$500,MATCH(189,样本到样信息汇总统计!$X$2:$X$500,0)),"")</f>
        <v/>
      </c>
      <c r="R190" s="4" t="str">
        <f>IFERROR(INDEX(样本到样信息汇总统计!R$2:R$500,MATCH(189,样本到样信息汇总统计!$X$2:$X$500,0)),"")</f>
        <v/>
      </c>
      <c r="S190" s="4" t="str">
        <f>IFERROR(INDEX(样本到样信息汇总统计!S$2:S$500,MATCH(189,样本到样信息汇总统计!$X$2:$X$500,0)),"")</f>
        <v/>
      </c>
      <c r="T190" s="4" t="str">
        <f>IFERROR(INDEX(样本到样信息汇总统计!T$2:T$500,MATCH(189,样本到样信息汇总统计!$X$2:$X$500,0)),"")</f>
        <v/>
      </c>
      <c r="U190" s="4" t="str">
        <f>IFERROR(INDEX(样本到样信息汇总统计!U$2:U$500,MATCH(189,样本到样信息汇总统计!$X$2:$X$500,0)),"")</f>
        <v/>
      </c>
      <c r="V190" s="4" t="str">
        <f>IFERROR(INDEX(样本到样信息汇总统计!V$2:V$500,MATCH(189,样本到样信息汇总统计!$X$2:$X$500,0)),"")</f>
        <v/>
      </c>
      <c r="W190" s="4" t="str">
        <f>IFERROR(INDEX(样本到样信息汇总统计!W$2:W$500,MATCH(189,样本到样信息汇总统计!$X$2:$X$500,0)),"")</f>
        <v/>
      </c>
    </row>
    <row r="191" ht="14.5" spans="1:23">
      <c r="A191" s="8" t="str">
        <f>IFERROR(INDEX(样本到样信息汇总统计!A$2:A$500,MATCH(190,样本到样信息汇总统计!$X$2:$X$500,0)),"")</f>
        <v/>
      </c>
      <c r="B191" s="8" t="str">
        <f>IFERROR(INDEX(样本到样信息汇总统计!B$2:B$500,MATCH(190,样本到样信息汇总统计!$X$2:$X$500,0)),"")</f>
        <v/>
      </c>
      <c r="C191" s="8" t="str">
        <f>IFERROR(INDEX(样本到样信息汇总统计!C$2:C$500,MATCH(190,样本到样信息汇总统计!$X$2:$X$500,0)),"")</f>
        <v/>
      </c>
      <c r="D191" s="8" t="str">
        <f>IFERROR(INDEX(样本到样信息汇总统计!D$2:D$500,MATCH(190,样本到样信息汇总统计!$X$2:$X$500,0)),"")</f>
        <v/>
      </c>
      <c r="E191" s="8" t="str">
        <f>IFERROR(INDEX(样本到样信息汇总统计!E$2:E$500,MATCH(190,样本到样信息汇总统计!$X$2:$X$500,0)),"")</f>
        <v/>
      </c>
      <c r="F191" s="8" t="str">
        <f>IFERROR(INDEX(样本到样信息汇总统计!F$2:F$500,MATCH(190,样本到样信息汇总统计!$X$2:$X$500,0)),"")</f>
        <v/>
      </c>
      <c r="G191" s="8" t="str">
        <f>IFERROR(INDEX(样本到样信息汇总统计!G$2:G$500,MATCH(190,样本到样信息汇总统计!$X$2:$X$500,0)),"")</f>
        <v/>
      </c>
      <c r="H191" s="8" t="str">
        <f>IFERROR(INDEX(样本到样信息汇总统计!H$2:H$500,MATCH(190,样本到样信息汇总统计!$X$2:$X$500,0)),"")</f>
        <v/>
      </c>
      <c r="I191" s="8" t="str">
        <f>IFERROR(INDEX(样本到样信息汇总统计!I$2:I$500,MATCH(190,样本到样信息汇总统计!$X$2:$X$500,0)),"")</f>
        <v/>
      </c>
      <c r="J191" s="8" t="str">
        <f>IFERROR(INDEX(样本到样信息汇总统计!J$2:J$500,MATCH(190,样本到样信息汇总统计!$X$2:$X$500,0)),"")</f>
        <v/>
      </c>
      <c r="K191" s="15" t="str">
        <f>IFERROR(INDEX(样本到样信息汇总统计!K$2:K$500,MATCH(190,样本到样信息汇总统计!$X$2:$X$500,0)),"")</f>
        <v/>
      </c>
      <c r="L191" s="8" t="str">
        <f>IFERROR(INDEX(样本到样信息汇总统计!L$2:L$500,MATCH(190,样本到样信息汇总统计!$X$2:$X$500,0)),"")</f>
        <v/>
      </c>
      <c r="M191" s="8" t="str">
        <f>IFERROR(INDEX(样本到样信息汇总统计!M$2:M$500,MATCH(190,样本到样信息汇总统计!$X$2:$X$500,0)),"")</f>
        <v/>
      </c>
      <c r="N191" s="8" t="str">
        <f>IFERROR(INDEX(样本到样信息汇总统计!N$2:N$500,MATCH(190,样本到样信息汇总统计!$X$2:$X$500,0)),"")</f>
        <v/>
      </c>
      <c r="O191" s="8" t="str">
        <f>IFERROR(INDEX(样本到样信息汇总统计!O$2:O$500,MATCH(190,样本到样信息汇总统计!$X$2:$X$500,0)),"")</f>
        <v/>
      </c>
      <c r="P191" s="8" t="str">
        <f>IFERROR(INDEX(样本到样信息汇总统计!P$2:P$500,MATCH(190,样本到样信息汇总统计!$X$2:$X$500,0)),"")</f>
        <v/>
      </c>
      <c r="Q191" s="8" t="str">
        <f>IFERROR(INDEX(样本到样信息汇总统计!Q$2:Q$500,MATCH(190,样本到样信息汇总统计!$X$2:$X$500,0)),"")</f>
        <v/>
      </c>
      <c r="R191" s="8" t="str">
        <f>IFERROR(INDEX(样本到样信息汇总统计!R$2:R$500,MATCH(190,样本到样信息汇总统计!$X$2:$X$500,0)),"")</f>
        <v/>
      </c>
      <c r="S191" s="8" t="str">
        <f>IFERROR(INDEX(样本到样信息汇总统计!S$2:S$500,MATCH(190,样本到样信息汇总统计!$X$2:$X$500,0)),"")</f>
        <v/>
      </c>
      <c r="T191" s="8" t="str">
        <f>IFERROR(INDEX(样本到样信息汇总统计!T$2:T$500,MATCH(190,样本到样信息汇总统计!$X$2:$X$500,0)),"")</f>
        <v/>
      </c>
      <c r="U191" s="8" t="str">
        <f>IFERROR(INDEX(样本到样信息汇总统计!U$2:U$500,MATCH(190,样本到样信息汇总统计!$X$2:$X$500,0)),"")</f>
        <v/>
      </c>
      <c r="V191" s="8" t="str">
        <f>IFERROR(INDEX(样本到样信息汇总统计!V$2:V$500,MATCH(190,样本到样信息汇总统计!$X$2:$X$500,0)),"")</f>
        <v/>
      </c>
      <c r="W191" s="8" t="str">
        <f>IFERROR(INDEX(样本到样信息汇总统计!W$2:W$500,MATCH(190,样本到样信息汇总统计!$X$2:$X$500,0)),"")</f>
        <v/>
      </c>
    </row>
    <row r="192" ht="14.5" spans="1:23">
      <c r="A192" s="4" t="str">
        <f>IFERROR(INDEX(样本到样信息汇总统计!A$2:A$500,MATCH(191,样本到样信息汇总统计!$X$2:$X$500,0)),"")</f>
        <v/>
      </c>
      <c r="B192" s="4" t="str">
        <f>IFERROR(INDEX(样本到样信息汇总统计!B$2:B$500,MATCH(191,样本到样信息汇总统计!$X$2:$X$500,0)),"")</f>
        <v/>
      </c>
      <c r="C192" s="4" t="str">
        <f>IFERROR(INDEX(样本到样信息汇总统计!C$2:C$500,MATCH(191,样本到样信息汇总统计!$X$2:$X$500,0)),"")</f>
        <v/>
      </c>
      <c r="D192" s="4" t="str">
        <f>IFERROR(INDEX(样本到样信息汇总统计!D$2:D$500,MATCH(191,样本到样信息汇总统计!$X$2:$X$500,0)),"")</f>
        <v/>
      </c>
      <c r="E192" s="4" t="str">
        <f>IFERROR(INDEX(样本到样信息汇总统计!E$2:E$500,MATCH(191,样本到样信息汇总统计!$X$2:$X$500,0)),"")</f>
        <v/>
      </c>
      <c r="F192" s="4" t="str">
        <f>IFERROR(INDEX(样本到样信息汇总统计!F$2:F$500,MATCH(191,样本到样信息汇总统计!$X$2:$X$500,0)),"")</f>
        <v/>
      </c>
      <c r="G192" s="4" t="str">
        <f>IFERROR(INDEX(样本到样信息汇总统计!G$2:G$500,MATCH(191,样本到样信息汇总统计!$X$2:$X$500,0)),"")</f>
        <v/>
      </c>
      <c r="H192" s="4" t="str">
        <f>IFERROR(INDEX(样本到样信息汇总统计!H$2:H$500,MATCH(191,样本到样信息汇总统计!$X$2:$X$500,0)),"")</f>
        <v/>
      </c>
      <c r="I192" s="4" t="str">
        <f>IFERROR(INDEX(样本到样信息汇总统计!I$2:I$500,MATCH(191,样本到样信息汇总统计!$X$2:$X$500,0)),"")</f>
        <v/>
      </c>
      <c r="J192" s="4" t="str">
        <f>IFERROR(INDEX(样本到样信息汇总统计!J$2:J$500,MATCH(191,样本到样信息汇总统计!$X$2:$X$500,0)),"")</f>
        <v/>
      </c>
      <c r="K192" s="14" t="str">
        <f>IFERROR(INDEX(样本到样信息汇总统计!K$2:K$500,MATCH(191,样本到样信息汇总统计!$X$2:$X$500,0)),"")</f>
        <v/>
      </c>
      <c r="L192" s="4" t="str">
        <f>IFERROR(INDEX(样本到样信息汇总统计!L$2:L$500,MATCH(191,样本到样信息汇总统计!$X$2:$X$500,0)),"")</f>
        <v/>
      </c>
      <c r="M192" s="4" t="str">
        <f>IFERROR(INDEX(样本到样信息汇总统计!M$2:M$500,MATCH(191,样本到样信息汇总统计!$X$2:$X$500,0)),"")</f>
        <v/>
      </c>
      <c r="N192" s="4" t="str">
        <f>IFERROR(INDEX(样本到样信息汇总统计!N$2:N$500,MATCH(191,样本到样信息汇总统计!$X$2:$X$500,0)),"")</f>
        <v/>
      </c>
      <c r="O192" s="4" t="str">
        <f>IFERROR(INDEX(样本到样信息汇总统计!O$2:O$500,MATCH(191,样本到样信息汇总统计!$X$2:$X$500,0)),"")</f>
        <v/>
      </c>
      <c r="P192" s="4" t="str">
        <f>IFERROR(INDEX(样本到样信息汇总统计!P$2:P$500,MATCH(191,样本到样信息汇总统计!$X$2:$X$500,0)),"")</f>
        <v/>
      </c>
      <c r="Q192" s="4" t="str">
        <f>IFERROR(INDEX(样本到样信息汇总统计!Q$2:Q$500,MATCH(191,样本到样信息汇总统计!$X$2:$X$500,0)),"")</f>
        <v/>
      </c>
      <c r="R192" s="4" t="str">
        <f>IFERROR(INDEX(样本到样信息汇总统计!R$2:R$500,MATCH(191,样本到样信息汇总统计!$X$2:$X$500,0)),"")</f>
        <v/>
      </c>
      <c r="S192" s="4" t="str">
        <f>IFERROR(INDEX(样本到样信息汇总统计!S$2:S$500,MATCH(191,样本到样信息汇总统计!$X$2:$X$500,0)),"")</f>
        <v/>
      </c>
      <c r="T192" s="4" t="str">
        <f>IFERROR(INDEX(样本到样信息汇总统计!T$2:T$500,MATCH(191,样本到样信息汇总统计!$X$2:$X$500,0)),"")</f>
        <v/>
      </c>
      <c r="U192" s="4" t="str">
        <f>IFERROR(INDEX(样本到样信息汇总统计!U$2:U$500,MATCH(191,样本到样信息汇总统计!$X$2:$X$500,0)),"")</f>
        <v/>
      </c>
      <c r="V192" s="4" t="str">
        <f>IFERROR(INDEX(样本到样信息汇总统计!V$2:V$500,MATCH(191,样本到样信息汇总统计!$X$2:$X$500,0)),"")</f>
        <v/>
      </c>
      <c r="W192" s="4" t="str">
        <f>IFERROR(INDEX(样本到样信息汇总统计!W$2:W$500,MATCH(191,样本到样信息汇总统计!$X$2:$X$500,0)),"")</f>
        <v/>
      </c>
    </row>
    <row r="193" ht="14.5" spans="1:23">
      <c r="A193" s="8" t="str">
        <f>IFERROR(INDEX(样本到样信息汇总统计!A$2:A$500,MATCH(192,样本到样信息汇总统计!$X$2:$X$500,0)),"")</f>
        <v/>
      </c>
      <c r="B193" s="8" t="str">
        <f>IFERROR(INDEX(样本到样信息汇总统计!B$2:B$500,MATCH(192,样本到样信息汇总统计!$X$2:$X$500,0)),"")</f>
        <v/>
      </c>
      <c r="C193" s="8" t="str">
        <f>IFERROR(INDEX(样本到样信息汇总统计!C$2:C$500,MATCH(192,样本到样信息汇总统计!$X$2:$X$500,0)),"")</f>
        <v/>
      </c>
      <c r="D193" s="8" t="str">
        <f>IFERROR(INDEX(样本到样信息汇总统计!D$2:D$500,MATCH(192,样本到样信息汇总统计!$X$2:$X$500,0)),"")</f>
        <v/>
      </c>
      <c r="E193" s="8" t="str">
        <f>IFERROR(INDEX(样本到样信息汇总统计!E$2:E$500,MATCH(192,样本到样信息汇总统计!$X$2:$X$500,0)),"")</f>
        <v/>
      </c>
      <c r="F193" s="8" t="str">
        <f>IFERROR(INDEX(样本到样信息汇总统计!F$2:F$500,MATCH(192,样本到样信息汇总统计!$X$2:$X$500,0)),"")</f>
        <v/>
      </c>
      <c r="G193" s="8" t="str">
        <f>IFERROR(INDEX(样本到样信息汇总统计!G$2:G$500,MATCH(192,样本到样信息汇总统计!$X$2:$X$500,0)),"")</f>
        <v/>
      </c>
      <c r="H193" s="8" t="str">
        <f>IFERROR(INDEX(样本到样信息汇总统计!H$2:H$500,MATCH(192,样本到样信息汇总统计!$X$2:$X$500,0)),"")</f>
        <v/>
      </c>
      <c r="I193" s="8" t="str">
        <f>IFERROR(INDEX(样本到样信息汇总统计!I$2:I$500,MATCH(192,样本到样信息汇总统计!$X$2:$X$500,0)),"")</f>
        <v/>
      </c>
      <c r="J193" s="8" t="str">
        <f>IFERROR(INDEX(样本到样信息汇总统计!J$2:J$500,MATCH(192,样本到样信息汇总统计!$X$2:$X$500,0)),"")</f>
        <v/>
      </c>
      <c r="K193" s="15" t="str">
        <f>IFERROR(INDEX(样本到样信息汇总统计!K$2:K$500,MATCH(192,样本到样信息汇总统计!$X$2:$X$500,0)),"")</f>
        <v/>
      </c>
      <c r="L193" s="8" t="str">
        <f>IFERROR(INDEX(样本到样信息汇总统计!L$2:L$500,MATCH(192,样本到样信息汇总统计!$X$2:$X$500,0)),"")</f>
        <v/>
      </c>
      <c r="M193" s="8" t="str">
        <f>IFERROR(INDEX(样本到样信息汇总统计!M$2:M$500,MATCH(192,样本到样信息汇总统计!$X$2:$X$500,0)),"")</f>
        <v/>
      </c>
      <c r="N193" s="8" t="str">
        <f>IFERROR(INDEX(样本到样信息汇总统计!N$2:N$500,MATCH(192,样本到样信息汇总统计!$X$2:$X$500,0)),"")</f>
        <v/>
      </c>
      <c r="O193" s="8" t="str">
        <f>IFERROR(INDEX(样本到样信息汇总统计!O$2:O$500,MATCH(192,样本到样信息汇总统计!$X$2:$X$500,0)),"")</f>
        <v/>
      </c>
      <c r="P193" s="8" t="str">
        <f>IFERROR(INDEX(样本到样信息汇总统计!P$2:P$500,MATCH(192,样本到样信息汇总统计!$X$2:$X$500,0)),"")</f>
        <v/>
      </c>
      <c r="Q193" s="8" t="str">
        <f>IFERROR(INDEX(样本到样信息汇总统计!Q$2:Q$500,MATCH(192,样本到样信息汇总统计!$X$2:$X$500,0)),"")</f>
        <v/>
      </c>
      <c r="R193" s="8" t="str">
        <f>IFERROR(INDEX(样本到样信息汇总统计!R$2:R$500,MATCH(192,样本到样信息汇总统计!$X$2:$X$500,0)),"")</f>
        <v/>
      </c>
      <c r="S193" s="8" t="str">
        <f>IFERROR(INDEX(样本到样信息汇总统计!S$2:S$500,MATCH(192,样本到样信息汇总统计!$X$2:$X$500,0)),"")</f>
        <v/>
      </c>
      <c r="T193" s="8" t="str">
        <f>IFERROR(INDEX(样本到样信息汇总统计!T$2:T$500,MATCH(192,样本到样信息汇总统计!$X$2:$X$500,0)),"")</f>
        <v/>
      </c>
      <c r="U193" s="8" t="str">
        <f>IFERROR(INDEX(样本到样信息汇总统计!U$2:U$500,MATCH(192,样本到样信息汇总统计!$X$2:$X$500,0)),"")</f>
        <v/>
      </c>
      <c r="V193" s="8" t="str">
        <f>IFERROR(INDEX(样本到样信息汇总统计!V$2:V$500,MATCH(192,样本到样信息汇总统计!$X$2:$X$500,0)),"")</f>
        <v/>
      </c>
      <c r="W193" s="8" t="str">
        <f>IFERROR(INDEX(样本到样信息汇总统计!W$2:W$500,MATCH(192,样本到样信息汇总统计!$X$2:$X$500,0)),"")</f>
        <v/>
      </c>
    </row>
    <row r="194" ht="14.5" spans="1:23">
      <c r="A194" s="4" t="str">
        <f>IFERROR(INDEX(样本到样信息汇总统计!A$2:A$500,MATCH(193,样本到样信息汇总统计!$X$2:$X$500,0)),"")</f>
        <v/>
      </c>
      <c r="B194" s="4" t="str">
        <f>IFERROR(INDEX(样本到样信息汇总统计!B$2:B$500,MATCH(193,样本到样信息汇总统计!$X$2:$X$500,0)),"")</f>
        <v/>
      </c>
      <c r="C194" s="4" t="str">
        <f>IFERROR(INDEX(样本到样信息汇总统计!C$2:C$500,MATCH(193,样本到样信息汇总统计!$X$2:$X$500,0)),"")</f>
        <v/>
      </c>
      <c r="D194" s="4" t="str">
        <f>IFERROR(INDEX(样本到样信息汇总统计!D$2:D$500,MATCH(193,样本到样信息汇总统计!$X$2:$X$500,0)),"")</f>
        <v/>
      </c>
      <c r="E194" s="4" t="str">
        <f>IFERROR(INDEX(样本到样信息汇总统计!E$2:E$500,MATCH(193,样本到样信息汇总统计!$X$2:$X$500,0)),"")</f>
        <v/>
      </c>
      <c r="F194" s="4" t="str">
        <f>IFERROR(INDEX(样本到样信息汇总统计!F$2:F$500,MATCH(193,样本到样信息汇总统计!$X$2:$X$500,0)),"")</f>
        <v/>
      </c>
      <c r="G194" s="4" t="str">
        <f>IFERROR(INDEX(样本到样信息汇总统计!G$2:G$500,MATCH(193,样本到样信息汇总统计!$X$2:$X$500,0)),"")</f>
        <v/>
      </c>
      <c r="H194" s="4" t="str">
        <f>IFERROR(INDEX(样本到样信息汇总统计!H$2:H$500,MATCH(193,样本到样信息汇总统计!$X$2:$X$500,0)),"")</f>
        <v/>
      </c>
      <c r="I194" s="4" t="str">
        <f>IFERROR(INDEX(样本到样信息汇总统计!I$2:I$500,MATCH(193,样本到样信息汇总统计!$X$2:$X$500,0)),"")</f>
        <v/>
      </c>
      <c r="J194" s="4" t="str">
        <f>IFERROR(INDEX(样本到样信息汇总统计!J$2:J$500,MATCH(193,样本到样信息汇总统计!$X$2:$X$500,0)),"")</f>
        <v/>
      </c>
      <c r="K194" s="14" t="str">
        <f>IFERROR(INDEX(样本到样信息汇总统计!K$2:K$500,MATCH(193,样本到样信息汇总统计!$X$2:$X$500,0)),"")</f>
        <v/>
      </c>
      <c r="L194" s="4" t="str">
        <f>IFERROR(INDEX(样本到样信息汇总统计!L$2:L$500,MATCH(193,样本到样信息汇总统计!$X$2:$X$500,0)),"")</f>
        <v/>
      </c>
      <c r="M194" s="4" t="str">
        <f>IFERROR(INDEX(样本到样信息汇总统计!M$2:M$500,MATCH(193,样本到样信息汇总统计!$X$2:$X$500,0)),"")</f>
        <v/>
      </c>
      <c r="N194" s="4" t="str">
        <f>IFERROR(INDEX(样本到样信息汇总统计!N$2:N$500,MATCH(193,样本到样信息汇总统计!$X$2:$X$500,0)),"")</f>
        <v/>
      </c>
      <c r="O194" s="4" t="str">
        <f>IFERROR(INDEX(样本到样信息汇总统计!O$2:O$500,MATCH(193,样本到样信息汇总统计!$X$2:$X$500,0)),"")</f>
        <v/>
      </c>
      <c r="P194" s="4" t="str">
        <f>IFERROR(INDEX(样本到样信息汇总统计!P$2:P$500,MATCH(193,样本到样信息汇总统计!$X$2:$X$500,0)),"")</f>
        <v/>
      </c>
      <c r="Q194" s="4" t="str">
        <f>IFERROR(INDEX(样本到样信息汇总统计!Q$2:Q$500,MATCH(193,样本到样信息汇总统计!$X$2:$X$500,0)),"")</f>
        <v/>
      </c>
      <c r="R194" s="4" t="str">
        <f>IFERROR(INDEX(样本到样信息汇总统计!R$2:R$500,MATCH(193,样本到样信息汇总统计!$X$2:$X$500,0)),"")</f>
        <v/>
      </c>
      <c r="S194" s="4" t="str">
        <f>IFERROR(INDEX(样本到样信息汇总统计!S$2:S$500,MATCH(193,样本到样信息汇总统计!$X$2:$X$500,0)),"")</f>
        <v/>
      </c>
      <c r="T194" s="4" t="str">
        <f>IFERROR(INDEX(样本到样信息汇总统计!T$2:T$500,MATCH(193,样本到样信息汇总统计!$X$2:$X$500,0)),"")</f>
        <v/>
      </c>
      <c r="U194" s="4" t="str">
        <f>IFERROR(INDEX(样本到样信息汇总统计!U$2:U$500,MATCH(193,样本到样信息汇总统计!$X$2:$X$500,0)),"")</f>
        <v/>
      </c>
      <c r="V194" s="4" t="str">
        <f>IFERROR(INDEX(样本到样信息汇总统计!V$2:V$500,MATCH(193,样本到样信息汇总统计!$X$2:$X$500,0)),"")</f>
        <v/>
      </c>
      <c r="W194" s="4" t="str">
        <f>IFERROR(INDEX(样本到样信息汇总统计!W$2:W$500,MATCH(193,样本到样信息汇总统计!$X$2:$X$500,0)),"")</f>
        <v/>
      </c>
    </row>
    <row r="195" ht="14.5" spans="1:23">
      <c r="A195" s="8" t="str">
        <f>IFERROR(INDEX(样本到样信息汇总统计!A$2:A$500,MATCH(194,样本到样信息汇总统计!$X$2:$X$500,0)),"")</f>
        <v/>
      </c>
      <c r="B195" s="8" t="str">
        <f>IFERROR(INDEX(样本到样信息汇总统计!B$2:B$500,MATCH(194,样本到样信息汇总统计!$X$2:$X$500,0)),"")</f>
        <v/>
      </c>
      <c r="C195" s="8" t="str">
        <f>IFERROR(INDEX(样本到样信息汇总统计!C$2:C$500,MATCH(194,样本到样信息汇总统计!$X$2:$X$500,0)),"")</f>
        <v/>
      </c>
      <c r="D195" s="8" t="str">
        <f>IFERROR(INDEX(样本到样信息汇总统计!D$2:D$500,MATCH(194,样本到样信息汇总统计!$X$2:$X$500,0)),"")</f>
        <v/>
      </c>
      <c r="E195" s="8" t="str">
        <f>IFERROR(INDEX(样本到样信息汇总统计!E$2:E$500,MATCH(194,样本到样信息汇总统计!$X$2:$X$500,0)),"")</f>
        <v/>
      </c>
      <c r="F195" s="8" t="str">
        <f>IFERROR(INDEX(样本到样信息汇总统计!F$2:F$500,MATCH(194,样本到样信息汇总统计!$X$2:$X$500,0)),"")</f>
        <v/>
      </c>
      <c r="G195" s="8" t="str">
        <f>IFERROR(INDEX(样本到样信息汇总统计!G$2:G$500,MATCH(194,样本到样信息汇总统计!$X$2:$X$500,0)),"")</f>
        <v/>
      </c>
      <c r="H195" s="8" t="str">
        <f>IFERROR(INDEX(样本到样信息汇总统计!H$2:H$500,MATCH(194,样本到样信息汇总统计!$X$2:$X$500,0)),"")</f>
        <v/>
      </c>
      <c r="I195" s="8" t="str">
        <f>IFERROR(INDEX(样本到样信息汇总统计!I$2:I$500,MATCH(194,样本到样信息汇总统计!$X$2:$X$500,0)),"")</f>
        <v/>
      </c>
      <c r="J195" s="8" t="str">
        <f>IFERROR(INDEX(样本到样信息汇总统计!J$2:J$500,MATCH(194,样本到样信息汇总统计!$X$2:$X$500,0)),"")</f>
        <v/>
      </c>
      <c r="K195" s="15" t="str">
        <f>IFERROR(INDEX(样本到样信息汇总统计!K$2:K$500,MATCH(194,样本到样信息汇总统计!$X$2:$X$500,0)),"")</f>
        <v/>
      </c>
      <c r="L195" s="8" t="str">
        <f>IFERROR(INDEX(样本到样信息汇总统计!L$2:L$500,MATCH(194,样本到样信息汇总统计!$X$2:$X$500,0)),"")</f>
        <v/>
      </c>
      <c r="M195" s="8" t="str">
        <f>IFERROR(INDEX(样本到样信息汇总统计!M$2:M$500,MATCH(194,样本到样信息汇总统计!$X$2:$X$500,0)),"")</f>
        <v/>
      </c>
      <c r="N195" s="8" t="str">
        <f>IFERROR(INDEX(样本到样信息汇总统计!N$2:N$500,MATCH(194,样本到样信息汇总统计!$X$2:$X$500,0)),"")</f>
        <v/>
      </c>
      <c r="O195" s="8" t="str">
        <f>IFERROR(INDEX(样本到样信息汇总统计!O$2:O$500,MATCH(194,样本到样信息汇总统计!$X$2:$X$500,0)),"")</f>
        <v/>
      </c>
      <c r="P195" s="8" t="str">
        <f>IFERROR(INDEX(样本到样信息汇总统计!P$2:P$500,MATCH(194,样本到样信息汇总统计!$X$2:$X$500,0)),"")</f>
        <v/>
      </c>
      <c r="Q195" s="8" t="str">
        <f>IFERROR(INDEX(样本到样信息汇总统计!Q$2:Q$500,MATCH(194,样本到样信息汇总统计!$X$2:$X$500,0)),"")</f>
        <v/>
      </c>
      <c r="R195" s="8" t="str">
        <f>IFERROR(INDEX(样本到样信息汇总统计!R$2:R$500,MATCH(194,样本到样信息汇总统计!$X$2:$X$500,0)),"")</f>
        <v/>
      </c>
      <c r="S195" s="8" t="str">
        <f>IFERROR(INDEX(样本到样信息汇总统计!S$2:S$500,MATCH(194,样本到样信息汇总统计!$X$2:$X$500,0)),"")</f>
        <v/>
      </c>
      <c r="T195" s="8" t="str">
        <f>IFERROR(INDEX(样本到样信息汇总统计!T$2:T$500,MATCH(194,样本到样信息汇总统计!$X$2:$X$500,0)),"")</f>
        <v/>
      </c>
      <c r="U195" s="8" t="str">
        <f>IFERROR(INDEX(样本到样信息汇总统计!U$2:U$500,MATCH(194,样本到样信息汇总统计!$X$2:$X$500,0)),"")</f>
        <v/>
      </c>
      <c r="V195" s="8" t="str">
        <f>IFERROR(INDEX(样本到样信息汇总统计!V$2:V$500,MATCH(194,样本到样信息汇总统计!$X$2:$X$500,0)),"")</f>
        <v/>
      </c>
      <c r="W195" s="8" t="str">
        <f>IFERROR(INDEX(样本到样信息汇总统计!W$2:W$500,MATCH(194,样本到样信息汇总统计!$X$2:$X$500,0)),"")</f>
        <v/>
      </c>
    </row>
    <row r="196" ht="14.5" spans="1:23">
      <c r="A196" s="4" t="str">
        <f>IFERROR(INDEX(样本到样信息汇总统计!A$2:A$500,MATCH(195,样本到样信息汇总统计!$X$2:$X$500,0)),"")</f>
        <v/>
      </c>
      <c r="B196" s="4" t="str">
        <f>IFERROR(INDEX(样本到样信息汇总统计!B$2:B$500,MATCH(195,样本到样信息汇总统计!$X$2:$X$500,0)),"")</f>
        <v/>
      </c>
      <c r="C196" s="4" t="str">
        <f>IFERROR(INDEX(样本到样信息汇总统计!C$2:C$500,MATCH(195,样本到样信息汇总统计!$X$2:$X$500,0)),"")</f>
        <v/>
      </c>
      <c r="D196" s="4" t="str">
        <f>IFERROR(INDEX(样本到样信息汇总统计!D$2:D$500,MATCH(195,样本到样信息汇总统计!$X$2:$X$500,0)),"")</f>
        <v/>
      </c>
      <c r="E196" s="4" t="str">
        <f>IFERROR(INDEX(样本到样信息汇总统计!E$2:E$500,MATCH(195,样本到样信息汇总统计!$X$2:$X$500,0)),"")</f>
        <v/>
      </c>
      <c r="F196" s="4" t="str">
        <f>IFERROR(INDEX(样本到样信息汇总统计!F$2:F$500,MATCH(195,样本到样信息汇总统计!$X$2:$X$500,0)),"")</f>
        <v/>
      </c>
      <c r="G196" s="4" t="str">
        <f>IFERROR(INDEX(样本到样信息汇总统计!G$2:G$500,MATCH(195,样本到样信息汇总统计!$X$2:$X$500,0)),"")</f>
        <v/>
      </c>
      <c r="H196" s="4" t="str">
        <f>IFERROR(INDEX(样本到样信息汇总统计!H$2:H$500,MATCH(195,样本到样信息汇总统计!$X$2:$X$500,0)),"")</f>
        <v/>
      </c>
      <c r="I196" s="4" t="str">
        <f>IFERROR(INDEX(样本到样信息汇总统计!I$2:I$500,MATCH(195,样本到样信息汇总统计!$X$2:$X$500,0)),"")</f>
        <v/>
      </c>
      <c r="J196" s="4" t="str">
        <f>IFERROR(INDEX(样本到样信息汇总统计!J$2:J$500,MATCH(195,样本到样信息汇总统计!$X$2:$X$500,0)),"")</f>
        <v/>
      </c>
      <c r="K196" s="14" t="str">
        <f>IFERROR(INDEX(样本到样信息汇总统计!K$2:K$500,MATCH(195,样本到样信息汇总统计!$X$2:$X$500,0)),"")</f>
        <v/>
      </c>
      <c r="L196" s="4" t="str">
        <f>IFERROR(INDEX(样本到样信息汇总统计!L$2:L$500,MATCH(195,样本到样信息汇总统计!$X$2:$X$500,0)),"")</f>
        <v/>
      </c>
      <c r="M196" s="4" t="str">
        <f>IFERROR(INDEX(样本到样信息汇总统计!M$2:M$500,MATCH(195,样本到样信息汇总统计!$X$2:$X$500,0)),"")</f>
        <v/>
      </c>
      <c r="N196" s="4" t="str">
        <f>IFERROR(INDEX(样本到样信息汇总统计!N$2:N$500,MATCH(195,样本到样信息汇总统计!$X$2:$X$500,0)),"")</f>
        <v/>
      </c>
      <c r="O196" s="4" t="str">
        <f>IFERROR(INDEX(样本到样信息汇总统计!O$2:O$500,MATCH(195,样本到样信息汇总统计!$X$2:$X$500,0)),"")</f>
        <v/>
      </c>
      <c r="P196" s="4" t="str">
        <f>IFERROR(INDEX(样本到样信息汇总统计!P$2:P$500,MATCH(195,样本到样信息汇总统计!$X$2:$X$500,0)),"")</f>
        <v/>
      </c>
      <c r="Q196" s="4" t="str">
        <f>IFERROR(INDEX(样本到样信息汇总统计!Q$2:Q$500,MATCH(195,样本到样信息汇总统计!$X$2:$X$500,0)),"")</f>
        <v/>
      </c>
      <c r="R196" s="4" t="str">
        <f>IFERROR(INDEX(样本到样信息汇总统计!R$2:R$500,MATCH(195,样本到样信息汇总统计!$X$2:$X$500,0)),"")</f>
        <v/>
      </c>
      <c r="S196" s="4" t="str">
        <f>IFERROR(INDEX(样本到样信息汇总统计!S$2:S$500,MATCH(195,样本到样信息汇总统计!$X$2:$X$500,0)),"")</f>
        <v/>
      </c>
      <c r="T196" s="4" t="str">
        <f>IFERROR(INDEX(样本到样信息汇总统计!T$2:T$500,MATCH(195,样本到样信息汇总统计!$X$2:$X$500,0)),"")</f>
        <v/>
      </c>
      <c r="U196" s="4" t="str">
        <f>IFERROR(INDEX(样本到样信息汇总统计!U$2:U$500,MATCH(195,样本到样信息汇总统计!$X$2:$X$500,0)),"")</f>
        <v/>
      </c>
      <c r="V196" s="4" t="str">
        <f>IFERROR(INDEX(样本到样信息汇总统计!V$2:V$500,MATCH(195,样本到样信息汇总统计!$X$2:$X$500,0)),"")</f>
        <v/>
      </c>
      <c r="W196" s="4" t="str">
        <f>IFERROR(INDEX(样本到样信息汇总统计!W$2:W$500,MATCH(195,样本到样信息汇总统计!$X$2:$X$500,0)),"")</f>
        <v/>
      </c>
    </row>
    <row r="197" ht="14.5" spans="1:23">
      <c r="A197" s="8" t="str">
        <f>IFERROR(INDEX(样本到样信息汇总统计!A$2:A$500,MATCH(196,样本到样信息汇总统计!$X$2:$X$500,0)),"")</f>
        <v/>
      </c>
      <c r="B197" s="8" t="str">
        <f>IFERROR(INDEX(样本到样信息汇总统计!B$2:B$500,MATCH(196,样本到样信息汇总统计!$X$2:$X$500,0)),"")</f>
        <v/>
      </c>
      <c r="C197" s="8" t="str">
        <f>IFERROR(INDEX(样本到样信息汇总统计!C$2:C$500,MATCH(196,样本到样信息汇总统计!$X$2:$X$500,0)),"")</f>
        <v/>
      </c>
      <c r="D197" s="8" t="str">
        <f>IFERROR(INDEX(样本到样信息汇总统计!D$2:D$500,MATCH(196,样本到样信息汇总统计!$X$2:$X$500,0)),"")</f>
        <v/>
      </c>
      <c r="E197" s="8" t="str">
        <f>IFERROR(INDEX(样本到样信息汇总统计!E$2:E$500,MATCH(196,样本到样信息汇总统计!$X$2:$X$500,0)),"")</f>
        <v/>
      </c>
      <c r="F197" s="8" t="str">
        <f>IFERROR(INDEX(样本到样信息汇总统计!F$2:F$500,MATCH(196,样本到样信息汇总统计!$X$2:$X$500,0)),"")</f>
        <v/>
      </c>
      <c r="G197" s="8" t="str">
        <f>IFERROR(INDEX(样本到样信息汇总统计!G$2:G$500,MATCH(196,样本到样信息汇总统计!$X$2:$X$500,0)),"")</f>
        <v/>
      </c>
      <c r="H197" s="8" t="str">
        <f>IFERROR(INDEX(样本到样信息汇总统计!H$2:H$500,MATCH(196,样本到样信息汇总统计!$X$2:$X$500,0)),"")</f>
        <v/>
      </c>
      <c r="I197" s="8" t="str">
        <f>IFERROR(INDEX(样本到样信息汇总统计!I$2:I$500,MATCH(196,样本到样信息汇总统计!$X$2:$X$500,0)),"")</f>
        <v/>
      </c>
      <c r="J197" s="8" t="str">
        <f>IFERROR(INDEX(样本到样信息汇总统计!J$2:J$500,MATCH(196,样本到样信息汇总统计!$X$2:$X$500,0)),"")</f>
        <v/>
      </c>
      <c r="K197" s="15" t="str">
        <f>IFERROR(INDEX(样本到样信息汇总统计!K$2:K$500,MATCH(196,样本到样信息汇总统计!$X$2:$X$500,0)),"")</f>
        <v/>
      </c>
      <c r="L197" s="8" t="str">
        <f>IFERROR(INDEX(样本到样信息汇总统计!L$2:L$500,MATCH(196,样本到样信息汇总统计!$X$2:$X$500,0)),"")</f>
        <v/>
      </c>
      <c r="M197" s="8" t="str">
        <f>IFERROR(INDEX(样本到样信息汇总统计!M$2:M$500,MATCH(196,样本到样信息汇总统计!$X$2:$X$500,0)),"")</f>
        <v/>
      </c>
      <c r="N197" s="8" t="str">
        <f>IFERROR(INDEX(样本到样信息汇总统计!N$2:N$500,MATCH(196,样本到样信息汇总统计!$X$2:$X$500,0)),"")</f>
        <v/>
      </c>
      <c r="O197" s="8" t="str">
        <f>IFERROR(INDEX(样本到样信息汇总统计!O$2:O$500,MATCH(196,样本到样信息汇总统计!$X$2:$X$500,0)),"")</f>
        <v/>
      </c>
      <c r="P197" s="8" t="str">
        <f>IFERROR(INDEX(样本到样信息汇总统计!P$2:P$500,MATCH(196,样本到样信息汇总统计!$X$2:$X$500,0)),"")</f>
        <v/>
      </c>
      <c r="Q197" s="8" t="str">
        <f>IFERROR(INDEX(样本到样信息汇总统计!Q$2:Q$500,MATCH(196,样本到样信息汇总统计!$X$2:$X$500,0)),"")</f>
        <v/>
      </c>
      <c r="R197" s="8" t="str">
        <f>IFERROR(INDEX(样本到样信息汇总统计!R$2:R$500,MATCH(196,样本到样信息汇总统计!$X$2:$X$500,0)),"")</f>
        <v/>
      </c>
      <c r="S197" s="8" t="str">
        <f>IFERROR(INDEX(样本到样信息汇总统计!S$2:S$500,MATCH(196,样本到样信息汇总统计!$X$2:$X$500,0)),"")</f>
        <v/>
      </c>
      <c r="T197" s="8" t="str">
        <f>IFERROR(INDEX(样本到样信息汇总统计!T$2:T$500,MATCH(196,样本到样信息汇总统计!$X$2:$X$500,0)),"")</f>
        <v/>
      </c>
      <c r="U197" s="8" t="str">
        <f>IFERROR(INDEX(样本到样信息汇总统计!U$2:U$500,MATCH(196,样本到样信息汇总统计!$X$2:$X$500,0)),"")</f>
        <v/>
      </c>
      <c r="V197" s="8" t="str">
        <f>IFERROR(INDEX(样本到样信息汇总统计!V$2:V$500,MATCH(196,样本到样信息汇总统计!$X$2:$X$500,0)),"")</f>
        <v/>
      </c>
      <c r="W197" s="8" t="str">
        <f>IFERROR(INDEX(样本到样信息汇总统计!W$2:W$500,MATCH(196,样本到样信息汇总统计!$X$2:$X$500,0)),"")</f>
        <v/>
      </c>
    </row>
    <row r="198" ht="14.5" spans="1:23">
      <c r="A198" s="4" t="str">
        <f>IFERROR(INDEX(样本到样信息汇总统计!A$2:A$500,MATCH(197,样本到样信息汇总统计!$X$2:$X$500,0)),"")</f>
        <v/>
      </c>
      <c r="B198" s="4" t="str">
        <f>IFERROR(INDEX(样本到样信息汇总统计!B$2:B$500,MATCH(197,样本到样信息汇总统计!$X$2:$X$500,0)),"")</f>
        <v/>
      </c>
      <c r="C198" s="4" t="str">
        <f>IFERROR(INDEX(样本到样信息汇总统计!C$2:C$500,MATCH(197,样本到样信息汇总统计!$X$2:$X$500,0)),"")</f>
        <v/>
      </c>
      <c r="D198" s="4" t="str">
        <f>IFERROR(INDEX(样本到样信息汇总统计!D$2:D$500,MATCH(197,样本到样信息汇总统计!$X$2:$X$500,0)),"")</f>
        <v/>
      </c>
      <c r="E198" s="4" t="str">
        <f>IFERROR(INDEX(样本到样信息汇总统计!E$2:E$500,MATCH(197,样本到样信息汇总统计!$X$2:$X$500,0)),"")</f>
        <v/>
      </c>
      <c r="F198" s="4" t="str">
        <f>IFERROR(INDEX(样本到样信息汇总统计!F$2:F$500,MATCH(197,样本到样信息汇总统计!$X$2:$X$500,0)),"")</f>
        <v/>
      </c>
      <c r="G198" s="4" t="str">
        <f>IFERROR(INDEX(样本到样信息汇总统计!G$2:G$500,MATCH(197,样本到样信息汇总统计!$X$2:$X$500,0)),"")</f>
        <v/>
      </c>
      <c r="H198" s="4" t="str">
        <f>IFERROR(INDEX(样本到样信息汇总统计!H$2:H$500,MATCH(197,样本到样信息汇总统计!$X$2:$X$500,0)),"")</f>
        <v/>
      </c>
      <c r="I198" s="4" t="str">
        <f>IFERROR(INDEX(样本到样信息汇总统计!I$2:I$500,MATCH(197,样本到样信息汇总统计!$X$2:$X$500,0)),"")</f>
        <v/>
      </c>
      <c r="J198" s="4" t="str">
        <f>IFERROR(INDEX(样本到样信息汇总统计!J$2:J$500,MATCH(197,样本到样信息汇总统计!$X$2:$X$500,0)),"")</f>
        <v/>
      </c>
      <c r="K198" s="14" t="str">
        <f>IFERROR(INDEX(样本到样信息汇总统计!K$2:K$500,MATCH(197,样本到样信息汇总统计!$X$2:$X$500,0)),"")</f>
        <v/>
      </c>
      <c r="L198" s="4" t="str">
        <f>IFERROR(INDEX(样本到样信息汇总统计!L$2:L$500,MATCH(197,样本到样信息汇总统计!$X$2:$X$500,0)),"")</f>
        <v/>
      </c>
      <c r="M198" s="4" t="str">
        <f>IFERROR(INDEX(样本到样信息汇总统计!M$2:M$500,MATCH(197,样本到样信息汇总统计!$X$2:$X$500,0)),"")</f>
        <v/>
      </c>
      <c r="N198" s="4" t="str">
        <f>IFERROR(INDEX(样本到样信息汇总统计!N$2:N$500,MATCH(197,样本到样信息汇总统计!$X$2:$X$500,0)),"")</f>
        <v/>
      </c>
      <c r="O198" s="4" t="str">
        <f>IFERROR(INDEX(样本到样信息汇总统计!O$2:O$500,MATCH(197,样本到样信息汇总统计!$X$2:$X$500,0)),"")</f>
        <v/>
      </c>
      <c r="P198" s="4" t="str">
        <f>IFERROR(INDEX(样本到样信息汇总统计!P$2:P$500,MATCH(197,样本到样信息汇总统计!$X$2:$X$500,0)),"")</f>
        <v/>
      </c>
      <c r="Q198" s="4" t="str">
        <f>IFERROR(INDEX(样本到样信息汇总统计!Q$2:Q$500,MATCH(197,样本到样信息汇总统计!$X$2:$X$500,0)),"")</f>
        <v/>
      </c>
      <c r="R198" s="4" t="str">
        <f>IFERROR(INDEX(样本到样信息汇总统计!R$2:R$500,MATCH(197,样本到样信息汇总统计!$X$2:$X$500,0)),"")</f>
        <v/>
      </c>
      <c r="S198" s="4" t="str">
        <f>IFERROR(INDEX(样本到样信息汇总统计!S$2:S$500,MATCH(197,样本到样信息汇总统计!$X$2:$X$500,0)),"")</f>
        <v/>
      </c>
      <c r="T198" s="4" t="str">
        <f>IFERROR(INDEX(样本到样信息汇总统计!T$2:T$500,MATCH(197,样本到样信息汇总统计!$X$2:$X$500,0)),"")</f>
        <v/>
      </c>
      <c r="U198" s="4" t="str">
        <f>IFERROR(INDEX(样本到样信息汇总统计!U$2:U$500,MATCH(197,样本到样信息汇总统计!$X$2:$X$500,0)),"")</f>
        <v/>
      </c>
      <c r="V198" s="4" t="str">
        <f>IFERROR(INDEX(样本到样信息汇总统计!V$2:V$500,MATCH(197,样本到样信息汇总统计!$X$2:$X$500,0)),"")</f>
        <v/>
      </c>
      <c r="W198" s="4" t="str">
        <f>IFERROR(INDEX(样本到样信息汇总统计!W$2:W$500,MATCH(197,样本到样信息汇总统计!$X$2:$X$500,0)),"")</f>
        <v/>
      </c>
    </row>
    <row r="199" ht="14.5" spans="1:23">
      <c r="A199" s="8" t="str">
        <f>IFERROR(INDEX(样本到样信息汇总统计!A$2:A$500,MATCH(198,样本到样信息汇总统计!$X$2:$X$500,0)),"")</f>
        <v/>
      </c>
      <c r="B199" s="8" t="str">
        <f>IFERROR(INDEX(样本到样信息汇总统计!B$2:B$500,MATCH(198,样本到样信息汇总统计!$X$2:$X$500,0)),"")</f>
        <v/>
      </c>
      <c r="C199" s="8" t="str">
        <f>IFERROR(INDEX(样本到样信息汇总统计!C$2:C$500,MATCH(198,样本到样信息汇总统计!$X$2:$X$500,0)),"")</f>
        <v/>
      </c>
      <c r="D199" s="8" t="str">
        <f>IFERROR(INDEX(样本到样信息汇总统计!D$2:D$500,MATCH(198,样本到样信息汇总统计!$X$2:$X$500,0)),"")</f>
        <v/>
      </c>
      <c r="E199" s="8" t="str">
        <f>IFERROR(INDEX(样本到样信息汇总统计!E$2:E$500,MATCH(198,样本到样信息汇总统计!$X$2:$X$500,0)),"")</f>
        <v/>
      </c>
      <c r="F199" s="8" t="str">
        <f>IFERROR(INDEX(样本到样信息汇总统计!F$2:F$500,MATCH(198,样本到样信息汇总统计!$X$2:$X$500,0)),"")</f>
        <v/>
      </c>
      <c r="G199" s="8" t="str">
        <f>IFERROR(INDEX(样本到样信息汇总统计!G$2:G$500,MATCH(198,样本到样信息汇总统计!$X$2:$X$500,0)),"")</f>
        <v/>
      </c>
      <c r="H199" s="8" t="str">
        <f>IFERROR(INDEX(样本到样信息汇总统计!H$2:H$500,MATCH(198,样本到样信息汇总统计!$X$2:$X$500,0)),"")</f>
        <v/>
      </c>
      <c r="I199" s="8" t="str">
        <f>IFERROR(INDEX(样本到样信息汇总统计!I$2:I$500,MATCH(198,样本到样信息汇总统计!$X$2:$X$500,0)),"")</f>
        <v/>
      </c>
      <c r="J199" s="8" t="str">
        <f>IFERROR(INDEX(样本到样信息汇总统计!J$2:J$500,MATCH(198,样本到样信息汇总统计!$X$2:$X$500,0)),"")</f>
        <v/>
      </c>
      <c r="K199" s="15" t="str">
        <f>IFERROR(INDEX(样本到样信息汇总统计!K$2:K$500,MATCH(198,样本到样信息汇总统计!$X$2:$X$500,0)),"")</f>
        <v/>
      </c>
      <c r="L199" s="8" t="str">
        <f>IFERROR(INDEX(样本到样信息汇总统计!L$2:L$500,MATCH(198,样本到样信息汇总统计!$X$2:$X$500,0)),"")</f>
        <v/>
      </c>
      <c r="M199" s="8" t="str">
        <f>IFERROR(INDEX(样本到样信息汇总统计!M$2:M$500,MATCH(198,样本到样信息汇总统计!$X$2:$X$500,0)),"")</f>
        <v/>
      </c>
      <c r="N199" s="8" t="str">
        <f>IFERROR(INDEX(样本到样信息汇总统计!N$2:N$500,MATCH(198,样本到样信息汇总统计!$X$2:$X$500,0)),"")</f>
        <v/>
      </c>
      <c r="O199" s="8" t="str">
        <f>IFERROR(INDEX(样本到样信息汇总统计!O$2:O$500,MATCH(198,样本到样信息汇总统计!$X$2:$X$500,0)),"")</f>
        <v/>
      </c>
      <c r="P199" s="8" t="str">
        <f>IFERROR(INDEX(样本到样信息汇总统计!P$2:P$500,MATCH(198,样本到样信息汇总统计!$X$2:$X$500,0)),"")</f>
        <v/>
      </c>
      <c r="Q199" s="8" t="str">
        <f>IFERROR(INDEX(样本到样信息汇总统计!Q$2:Q$500,MATCH(198,样本到样信息汇总统计!$X$2:$X$500,0)),"")</f>
        <v/>
      </c>
      <c r="R199" s="8" t="str">
        <f>IFERROR(INDEX(样本到样信息汇总统计!R$2:R$500,MATCH(198,样本到样信息汇总统计!$X$2:$X$500,0)),"")</f>
        <v/>
      </c>
      <c r="S199" s="8" t="str">
        <f>IFERROR(INDEX(样本到样信息汇总统计!S$2:S$500,MATCH(198,样本到样信息汇总统计!$X$2:$X$500,0)),"")</f>
        <v/>
      </c>
      <c r="T199" s="8" t="str">
        <f>IFERROR(INDEX(样本到样信息汇总统计!T$2:T$500,MATCH(198,样本到样信息汇总统计!$X$2:$X$500,0)),"")</f>
        <v/>
      </c>
      <c r="U199" s="8" t="str">
        <f>IFERROR(INDEX(样本到样信息汇总统计!U$2:U$500,MATCH(198,样本到样信息汇总统计!$X$2:$X$500,0)),"")</f>
        <v/>
      </c>
      <c r="V199" s="8" t="str">
        <f>IFERROR(INDEX(样本到样信息汇总统计!V$2:V$500,MATCH(198,样本到样信息汇总统计!$X$2:$X$500,0)),"")</f>
        <v/>
      </c>
      <c r="W199" s="8" t="str">
        <f>IFERROR(INDEX(样本到样信息汇总统计!W$2:W$500,MATCH(198,样本到样信息汇总统计!$X$2:$X$500,0)),"")</f>
        <v/>
      </c>
    </row>
    <row r="200" ht="14.5" spans="1:23">
      <c r="A200" s="4" t="str">
        <f>IFERROR(INDEX(样本到样信息汇总统计!A$2:A$500,MATCH(199,样本到样信息汇总统计!$X$2:$X$500,0)),"")</f>
        <v/>
      </c>
      <c r="B200" s="4" t="str">
        <f>IFERROR(INDEX(样本到样信息汇总统计!B$2:B$500,MATCH(199,样本到样信息汇总统计!$X$2:$X$500,0)),"")</f>
        <v/>
      </c>
      <c r="C200" s="4" t="str">
        <f>IFERROR(INDEX(样本到样信息汇总统计!C$2:C$500,MATCH(199,样本到样信息汇总统计!$X$2:$X$500,0)),"")</f>
        <v/>
      </c>
      <c r="D200" s="4" t="str">
        <f>IFERROR(INDEX(样本到样信息汇总统计!D$2:D$500,MATCH(199,样本到样信息汇总统计!$X$2:$X$500,0)),"")</f>
        <v/>
      </c>
      <c r="E200" s="4" t="str">
        <f>IFERROR(INDEX(样本到样信息汇总统计!E$2:E$500,MATCH(199,样本到样信息汇总统计!$X$2:$X$500,0)),"")</f>
        <v/>
      </c>
      <c r="F200" s="4" t="str">
        <f>IFERROR(INDEX(样本到样信息汇总统计!F$2:F$500,MATCH(199,样本到样信息汇总统计!$X$2:$X$500,0)),"")</f>
        <v/>
      </c>
      <c r="G200" s="4" t="str">
        <f>IFERROR(INDEX(样本到样信息汇总统计!G$2:G$500,MATCH(199,样本到样信息汇总统计!$X$2:$X$500,0)),"")</f>
        <v/>
      </c>
      <c r="H200" s="4" t="str">
        <f>IFERROR(INDEX(样本到样信息汇总统计!H$2:H$500,MATCH(199,样本到样信息汇总统计!$X$2:$X$500,0)),"")</f>
        <v/>
      </c>
      <c r="I200" s="4" t="str">
        <f>IFERROR(INDEX(样本到样信息汇总统计!I$2:I$500,MATCH(199,样本到样信息汇总统计!$X$2:$X$500,0)),"")</f>
        <v/>
      </c>
      <c r="J200" s="4" t="str">
        <f>IFERROR(INDEX(样本到样信息汇总统计!J$2:J$500,MATCH(199,样本到样信息汇总统计!$X$2:$X$500,0)),"")</f>
        <v/>
      </c>
      <c r="K200" s="14" t="str">
        <f>IFERROR(INDEX(样本到样信息汇总统计!K$2:K$500,MATCH(199,样本到样信息汇总统计!$X$2:$X$500,0)),"")</f>
        <v/>
      </c>
      <c r="L200" s="4" t="str">
        <f>IFERROR(INDEX(样本到样信息汇总统计!L$2:L$500,MATCH(199,样本到样信息汇总统计!$X$2:$X$500,0)),"")</f>
        <v/>
      </c>
      <c r="M200" s="4" t="str">
        <f>IFERROR(INDEX(样本到样信息汇总统计!M$2:M$500,MATCH(199,样本到样信息汇总统计!$X$2:$X$500,0)),"")</f>
        <v/>
      </c>
      <c r="N200" s="4" t="str">
        <f>IFERROR(INDEX(样本到样信息汇总统计!N$2:N$500,MATCH(199,样本到样信息汇总统计!$X$2:$X$500,0)),"")</f>
        <v/>
      </c>
      <c r="O200" s="4" t="str">
        <f>IFERROR(INDEX(样本到样信息汇总统计!O$2:O$500,MATCH(199,样本到样信息汇总统计!$X$2:$X$500,0)),"")</f>
        <v/>
      </c>
      <c r="P200" s="4" t="str">
        <f>IFERROR(INDEX(样本到样信息汇总统计!P$2:P$500,MATCH(199,样本到样信息汇总统计!$X$2:$X$500,0)),"")</f>
        <v/>
      </c>
      <c r="Q200" s="4" t="str">
        <f>IFERROR(INDEX(样本到样信息汇总统计!Q$2:Q$500,MATCH(199,样本到样信息汇总统计!$X$2:$X$500,0)),"")</f>
        <v/>
      </c>
      <c r="R200" s="4" t="str">
        <f>IFERROR(INDEX(样本到样信息汇总统计!R$2:R$500,MATCH(199,样本到样信息汇总统计!$X$2:$X$500,0)),"")</f>
        <v/>
      </c>
      <c r="S200" s="4" t="str">
        <f>IFERROR(INDEX(样本到样信息汇总统计!S$2:S$500,MATCH(199,样本到样信息汇总统计!$X$2:$X$500,0)),"")</f>
        <v/>
      </c>
      <c r="T200" s="4" t="str">
        <f>IFERROR(INDEX(样本到样信息汇总统计!T$2:T$500,MATCH(199,样本到样信息汇总统计!$X$2:$X$500,0)),"")</f>
        <v/>
      </c>
      <c r="U200" s="4" t="str">
        <f>IFERROR(INDEX(样本到样信息汇总统计!U$2:U$500,MATCH(199,样本到样信息汇总统计!$X$2:$X$500,0)),"")</f>
        <v/>
      </c>
      <c r="V200" s="4" t="str">
        <f>IFERROR(INDEX(样本到样信息汇总统计!V$2:V$500,MATCH(199,样本到样信息汇总统计!$X$2:$X$500,0)),"")</f>
        <v/>
      </c>
      <c r="W200" s="4" t="str">
        <f>IFERROR(INDEX(样本到样信息汇总统计!W$2:W$500,MATCH(199,样本到样信息汇总统计!$X$2:$X$500,0)),"")</f>
        <v/>
      </c>
    </row>
    <row r="201" ht="14.5" spans="1:23">
      <c r="A201" s="8" t="str">
        <f>IFERROR(INDEX(样本到样信息汇总统计!A$2:A$500,MATCH(200,样本到样信息汇总统计!$X$2:$X$500,0)),"")</f>
        <v/>
      </c>
      <c r="B201" s="8" t="str">
        <f>IFERROR(INDEX(样本到样信息汇总统计!B$2:B$500,MATCH(200,样本到样信息汇总统计!$X$2:$X$500,0)),"")</f>
        <v/>
      </c>
      <c r="C201" s="8" t="str">
        <f>IFERROR(INDEX(样本到样信息汇总统计!C$2:C$500,MATCH(200,样本到样信息汇总统计!$X$2:$X$500,0)),"")</f>
        <v/>
      </c>
      <c r="D201" s="8" t="str">
        <f>IFERROR(INDEX(样本到样信息汇总统计!D$2:D$500,MATCH(200,样本到样信息汇总统计!$X$2:$X$500,0)),"")</f>
        <v/>
      </c>
      <c r="E201" s="8" t="str">
        <f>IFERROR(INDEX(样本到样信息汇总统计!E$2:E$500,MATCH(200,样本到样信息汇总统计!$X$2:$X$500,0)),"")</f>
        <v/>
      </c>
      <c r="F201" s="8" t="str">
        <f>IFERROR(INDEX(样本到样信息汇总统计!F$2:F$500,MATCH(200,样本到样信息汇总统计!$X$2:$X$500,0)),"")</f>
        <v/>
      </c>
      <c r="G201" s="8" t="str">
        <f>IFERROR(INDEX(样本到样信息汇总统计!G$2:G$500,MATCH(200,样本到样信息汇总统计!$X$2:$X$500,0)),"")</f>
        <v/>
      </c>
      <c r="H201" s="8" t="str">
        <f>IFERROR(INDEX(样本到样信息汇总统计!H$2:H$500,MATCH(200,样本到样信息汇总统计!$X$2:$X$500,0)),"")</f>
        <v/>
      </c>
      <c r="I201" s="8" t="str">
        <f>IFERROR(INDEX(样本到样信息汇总统计!I$2:I$500,MATCH(200,样本到样信息汇总统计!$X$2:$X$500,0)),"")</f>
        <v/>
      </c>
      <c r="J201" s="8" t="str">
        <f>IFERROR(INDEX(样本到样信息汇总统计!J$2:J$500,MATCH(200,样本到样信息汇总统计!$X$2:$X$500,0)),"")</f>
        <v/>
      </c>
      <c r="K201" s="15" t="str">
        <f>IFERROR(INDEX(样本到样信息汇总统计!K$2:K$500,MATCH(200,样本到样信息汇总统计!$X$2:$X$500,0)),"")</f>
        <v/>
      </c>
      <c r="L201" s="8" t="str">
        <f>IFERROR(INDEX(样本到样信息汇总统计!L$2:L$500,MATCH(200,样本到样信息汇总统计!$X$2:$X$500,0)),"")</f>
        <v/>
      </c>
      <c r="M201" s="8" t="str">
        <f>IFERROR(INDEX(样本到样信息汇总统计!M$2:M$500,MATCH(200,样本到样信息汇总统计!$X$2:$X$500,0)),"")</f>
        <v/>
      </c>
      <c r="N201" s="8" t="str">
        <f>IFERROR(INDEX(样本到样信息汇总统计!N$2:N$500,MATCH(200,样本到样信息汇总统计!$X$2:$X$500,0)),"")</f>
        <v/>
      </c>
      <c r="O201" s="8" t="str">
        <f>IFERROR(INDEX(样本到样信息汇总统计!O$2:O$500,MATCH(200,样本到样信息汇总统计!$X$2:$X$500,0)),"")</f>
        <v/>
      </c>
      <c r="P201" s="8" t="str">
        <f>IFERROR(INDEX(样本到样信息汇总统计!P$2:P$500,MATCH(200,样本到样信息汇总统计!$X$2:$X$500,0)),"")</f>
        <v/>
      </c>
      <c r="Q201" s="8" t="str">
        <f>IFERROR(INDEX(样本到样信息汇总统计!Q$2:Q$500,MATCH(200,样本到样信息汇总统计!$X$2:$X$500,0)),"")</f>
        <v/>
      </c>
      <c r="R201" s="8" t="str">
        <f>IFERROR(INDEX(样本到样信息汇总统计!R$2:R$500,MATCH(200,样本到样信息汇总统计!$X$2:$X$500,0)),"")</f>
        <v/>
      </c>
      <c r="S201" s="8" t="str">
        <f>IFERROR(INDEX(样本到样信息汇总统计!S$2:S$500,MATCH(200,样本到样信息汇总统计!$X$2:$X$500,0)),"")</f>
        <v/>
      </c>
      <c r="T201" s="8" t="str">
        <f>IFERROR(INDEX(样本到样信息汇总统计!T$2:T$500,MATCH(200,样本到样信息汇总统计!$X$2:$X$500,0)),"")</f>
        <v/>
      </c>
      <c r="U201" s="8" t="str">
        <f>IFERROR(INDEX(样本到样信息汇总统计!U$2:U$500,MATCH(200,样本到样信息汇总统计!$X$2:$X$500,0)),"")</f>
        <v/>
      </c>
      <c r="V201" s="8" t="str">
        <f>IFERROR(INDEX(样本到样信息汇总统计!V$2:V$500,MATCH(200,样本到样信息汇总统计!$X$2:$X$500,0)),"")</f>
        <v/>
      </c>
      <c r="W201" s="8" t="str">
        <f>IFERROR(INDEX(样本到样信息汇总统计!W$2:W$500,MATCH(200,样本到样信息汇总统计!$X$2:$X$500,0)),"")</f>
        <v/>
      </c>
    </row>
    <row r="202" ht="14.5" spans="1:23">
      <c r="A202" s="4" t="str">
        <f>IFERROR(INDEX(样本到样信息汇总统计!A$2:A$500,MATCH(201,样本到样信息汇总统计!$X$2:$X$500,0)),"")</f>
        <v/>
      </c>
      <c r="B202" s="4" t="str">
        <f>IFERROR(INDEX(样本到样信息汇总统计!B$2:B$500,MATCH(201,样本到样信息汇总统计!$X$2:$X$500,0)),"")</f>
        <v/>
      </c>
      <c r="C202" s="4" t="str">
        <f>IFERROR(INDEX(样本到样信息汇总统计!C$2:C$500,MATCH(201,样本到样信息汇总统计!$X$2:$X$500,0)),"")</f>
        <v/>
      </c>
      <c r="D202" s="4" t="str">
        <f>IFERROR(INDEX(样本到样信息汇总统计!D$2:D$500,MATCH(201,样本到样信息汇总统计!$X$2:$X$500,0)),"")</f>
        <v/>
      </c>
      <c r="E202" s="4" t="str">
        <f>IFERROR(INDEX(样本到样信息汇总统计!E$2:E$500,MATCH(201,样本到样信息汇总统计!$X$2:$X$500,0)),"")</f>
        <v/>
      </c>
      <c r="F202" s="4" t="str">
        <f>IFERROR(INDEX(样本到样信息汇总统计!F$2:F$500,MATCH(201,样本到样信息汇总统计!$X$2:$X$500,0)),"")</f>
        <v/>
      </c>
      <c r="G202" s="4" t="str">
        <f>IFERROR(INDEX(样本到样信息汇总统计!G$2:G$500,MATCH(201,样本到样信息汇总统计!$X$2:$X$500,0)),"")</f>
        <v/>
      </c>
      <c r="H202" s="4" t="str">
        <f>IFERROR(INDEX(样本到样信息汇总统计!H$2:H$500,MATCH(201,样本到样信息汇总统计!$X$2:$X$500,0)),"")</f>
        <v/>
      </c>
      <c r="I202" s="4" t="str">
        <f>IFERROR(INDEX(样本到样信息汇总统计!I$2:I$500,MATCH(201,样本到样信息汇总统计!$X$2:$X$500,0)),"")</f>
        <v/>
      </c>
      <c r="J202" s="4" t="str">
        <f>IFERROR(INDEX(样本到样信息汇总统计!J$2:J$500,MATCH(201,样本到样信息汇总统计!$X$2:$X$500,0)),"")</f>
        <v/>
      </c>
      <c r="K202" s="14" t="str">
        <f>IFERROR(INDEX(样本到样信息汇总统计!K$2:K$500,MATCH(201,样本到样信息汇总统计!$X$2:$X$500,0)),"")</f>
        <v/>
      </c>
      <c r="L202" s="4" t="str">
        <f>IFERROR(INDEX(样本到样信息汇总统计!L$2:L$500,MATCH(201,样本到样信息汇总统计!$X$2:$X$500,0)),"")</f>
        <v/>
      </c>
      <c r="M202" s="4" t="str">
        <f>IFERROR(INDEX(样本到样信息汇总统计!M$2:M$500,MATCH(201,样本到样信息汇总统计!$X$2:$X$500,0)),"")</f>
        <v/>
      </c>
      <c r="N202" s="4" t="str">
        <f>IFERROR(INDEX(样本到样信息汇总统计!N$2:N$500,MATCH(201,样本到样信息汇总统计!$X$2:$X$500,0)),"")</f>
        <v/>
      </c>
      <c r="O202" s="4" t="str">
        <f>IFERROR(INDEX(样本到样信息汇总统计!O$2:O$500,MATCH(201,样本到样信息汇总统计!$X$2:$X$500,0)),"")</f>
        <v/>
      </c>
      <c r="P202" s="4" t="str">
        <f>IFERROR(INDEX(样本到样信息汇总统计!P$2:P$500,MATCH(201,样本到样信息汇总统计!$X$2:$X$500,0)),"")</f>
        <v/>
      </c>
      <c r="Q202" s="4" t="str">
        <f>IFERROR(INDEX(样本到样信息汇总统计!Q$2:Q$500,MATCH(201,样本到样信息汇总统计!$X$2:$X$500,0)),"")</f>
        <v/>
      </c>
      <c r="R202" s="4" t="str">
        <f>IFERROR(INDEX(样本到样信息汇总统计!R$2:R$500,MATCH(201,样本到样信息汇总统计!$X$2:$X$500,0)),"")</f>
        <v/>
      </c>
      <c r="S202" s="4" t="str">
        <f>IFERROR(INDEX(样本到样信息汇总统计!S$2:S$500,MATCH(201,样本到样信息汇总统计!$X$2:$X$500,0)),"")</f>
        <v/>
      </c>
      <c r="T202" s="4" t="str">
        <f>IFERROR(INDEX(样本到样信息汇总统计!T$2:T$500,MATCH(201,样本到样信息汇总统计!$X$2:$X$500,0)),"")</f>
        <v/>
      </c>
      <c r="U202" s="4" t="str">
        <f>IFERROR(INDEX(样本到样信息汇总统计!U$2:U$500,MATCH(201,样本到样信息汇总统计!$X$2:$X$500,0)),"")</f>
        <v/>
      </c>
      <c r="V202" s="4" t="str">
        <f>IFERROR(INDEX(样本到样信息汇总统计!V$2:V$500,MATCH(201,样本到样信息汇总统计!$X$2:$X$500,0)),"")</f>
        <v/>
      </c>
      <c r="W202" s="4" t="str">
        <f>IFERROR(INDEX(样本到样信息汇总统计!W$2:W$500,MATCH(201,样本到样信息汇总统计!$X$2:$X$500,0)),"")</f>
        <v/>
      </c>
    </row>
    <row r="203" ht="14.5" spans="1:23">
      <c r="A203" s="8" t="str">
        <f>IFERROR(INDEX(样本到样信息汇总统计!A$2:A$500,MATCH(202,样本到样信息汇总统计!$X$2:$X$500,0)),"")</f>
        <v/>
      </c>
      <c r="B203" s="8" t="str">
        <f>IFERROR(INDEX(样本到样信息汇总统计!B$2:B$500,MATCH(202,样本到样信息汇总统计!$X$2:$X$500,0)),"")</f>
        <v/>
      </c>
      <c r="C203" s="8" t="str">
        <f>IFERROR(INDEX(样本到样信息汇总统计!C$2:C$500,MATCH(202,样本到样信息汇总统计!$X$2:$X$500,0)),"")</f>
        <v/>
      </c>
      <c r="D203" s="8" t="str">
        <f>IFERROR(INDEX(样本到样信息汇总统计!D$2:D$500,MATCH(202,样本到样信息汇总统计!$X$2:$X$500,0)),"")</f>
        <v/>
      </c>
      <c r="E203" s="8" t="str">
        <f>IFERROR(INDEX(样本到样信息汇总统计!E$2:E$500,MATCH(202,样本到样信息汇总统计!$X$2:$X$500,0)),"")</f>
        <v/>
      </c>
      <c r="F203" s="8" t="str">
        <f>IFERROR(INDEX(样本到样信息汇总统计!F$2:F$500,MATCH(202,样本到样信息汇总统计!$X$2:$X$500,0)),"")</f>
        <v/>
      </c>
      <c r="G203" s="8" t="str">
        <f>IFERROR(INDEX(样本到样信息汇总统计!G$2:G$500,MATCH(202,样本到样信息汇总统计!$X$2:$X$500,0)),"")</f>
        <v/>
      </c>
      <c r="H203" s="8" t="str">
        <f>IFERROR(INDEX(样本到样信息汇总统计!H$2:H$500,MATCH(202,样本到样信息汇总统计!$X$2:$X$500,0)),"")</f>
        <v/>
      </c>
      <c r="I203" s="8" t="str">
        <f>IFERROR(INDEX(样本到样信息汇总统计!I$2:I$500,MATCH(202,样本到样信息汇总统计!$X$2:$X$500,0)),"")</f>
        <v/>
      </c>
      <c r="J203" s="8" t="str">
        <f>IFERROR(INDEX(样本到样信息汇总统计!J$2:J$500,MATCH(202,样本到样信息汇总统计!$X$2:$X$500,0)),"")</f>
        <v/>
      </c>
      <c r="K203" s="15" t="str">
        <f>IFERROR(INDEX(样本到样信息汇总统计!K$2:K$500,MATCH(202,样本到样信息汇总统计!$X$2:$X$500,0)),"")</f>
        <v/>
      </c>
      <c r="L203" s="8" t="str">
        <f>IFERROR(INDEX(样本到样信息汇总统计!L$2:L$500,MATCH(202,样本到样信息汇总统计!$X$2:$X$500,0)),"")</f>
        <v/>
      </c>
      <c r="M203" s="8" t="str">
        <f>IFERROR(INDEX(样本到样信息汇总统计!M$2:M$500,MATCH(202,样本到样信息汇总统计!$X$2:$X$500,0)),"")</f>
        <v/>
      </c>
      <c r="N203" s="8" t="str">
        <f>IFERROR(INDEX(样本到样信息汇总统计!N$2:N$500,MATCH(202,样本到样信息汇总统计!$X$2:$X$500,0)),"")</f>
        <v/>
      </c>
      <c r="O203" s="8" t="str">
        <f>IFERROR(INDEX(样本到样信息汇总统计!O$2:O$500,MATCH(202,样本到样信息汇总统计!$X$2:$X$500,0)),"")</f>
        <v/>
      </c>
      <c r="P203" s="8" t="str">
        <f>IFERROR(INDEX(样本到样信息汇总统计!P$2:P$500,MATCH(202,样本到样信息汇总统计!$X$2:$X$500,0)),"")</f>
        <v/>
      </c>
      <c r="Q203" s="8" t="str">
        <f>IFERROR(INDEX(样本到样信息汇总统计!Q$2:Q$500,MATCH(202,样本到样信息汇总统计!$X$2:$X$500,0)),"")</f>
        <v/>
      </c>
      <c r="R203" s="8" t="str">
        <f>IFERROR(INDEX(样本到样信息汇总统计!R$2:R$500,MATCH(202,样本到样信息汇总统计!$X$2:$X$500,0)),"")</f>
        <v/>
      </c>
      <c r="S203" s="8" t="str">
        <f>IFERROR(INDEX(样本到样信息汇总统计!S$2:S$500,MATCH(202,样本到样信息汇总统计!$X$2:$X$500,0)),"")</f>
        <v/>
      </c>
      <c r="T203" s="8" t="str">
        <f>IFERROR(INDEX(样本到样信息汇总统计!T$2:T$500,MATCH(202,样本到样信息汇总统计!$X$2:$X$500,0)),"")</f>
        <v/>
      </c>
      <c r="U203" s="8" t="str">
        <f>IFERROR(INDEX(样本到样信息汇总统计!U$2:U$500,MATCH(202,样本到样信息汇总统计!$X$2:$X$500,0)),"")</f>
        <v/>
      </c>
      <c r="V203" s="8" t="str">
        <f>IFERROR(INDEX(样本到样信息汇总统计!V$2:V$500,MATCH(202,样本到样信息汇总统计!$X$2:$X$500,0)),"")</f>
        <v/>
      </c>
      <c r="W203" s="8" t="str">
        <f>IFERROR(INDEX(样本到样信息汇总统计!W$2:W$500,MATCH(202,样本到样信息汇总统计!$X$2:$X$500,0)),"")</f>
        <v/>
      </c>
    </row>
    <row r="204" ht="14.5" spans="1:23">
      <c r="A204" s="4" t="str">
        <f>IFERROR(INDEX(样本到样信息汇总统计!A$2:A$500,MATCH(203,样本到样信息汇总统计!$X$2:$X$500,0)),"")</f>
        <v/>
      </c>
      <c r="B204" s="4" t="str">
        <f>IFERROR(INDEX(样本到样信息汇总统计!B$2:B$500,MATCH(203,样本到样信息汇总统计!$X$2:$X$500,0)),"")</f>
        <v/>
      </c>
      <c r="C204" s="4" t="str">
        <f>IFERROR(INDEX(样本到样信息汇总统计!C$2:C$500,MATCH(203,样本到样信息汇总统计!$X$2:$X$500,0)),"")</f>
        <v/>
      </c>
      <c r="D204" s="4" t="str">
        <f>IFERROR(INDEX(样本到样信息汇总统计!D$2:D$500,MATCH(203,样本到样信息汇总统计!$X$2:$X$500,0)),"")</f>
        <v/>
      </c>
      <c r="E204" s="4" t="str">
        <f>IFERROR(INDEX(样本到样信息汇总统计!E$2:E$500,MATCH(203,样本到样信息汇总统计!$X$2:$X$500,0)),"")</f>
        <v/>
      </c>
      <c r="F204" s="4" t="str">
        <f>IFERROR(INDEX(样本到样信息汇总统计!F$2:F$500,MATCH(203,样本到样信息汇总统计!$X$2:$X$500,0)),"")</f>
        <v/>
      </c>
      <c r="G204" s="4" t="str">
        <f>IFERROR(INDEX(样本到样信息汇总统计!G$2:G$500,MATCH(203,样本到样信息汇总统计!$X$2:$X$500,0)),"")</f>
        <v/>
      </c>
      <c r="H204" s="4" t="str">
        <f>IFERROR(INDEX(样本到样信息汇总统计!H$2:H$500,MATCH(203,样本到样信息汇总统计!$X$2:$X$500,0)),"")</f>
        <v/>
      </c>
      <c r="I204" s="4" t="str">
        <f>IFERROR(INDEX(样本到样信息汇总统计!I$2:I$500,MATCH(203,样本到样信息汇总统计!$X$2:$X$500,0)),"")</f>
        <v/>
      </c>
      <c r="J204" s="4" t="str">
        <f>IFERROR(INDEX(样本到样信息汇总统计!J$2:J$500,MATCH(203,样本到样信息汇总统计!$X$2:$X$500,0)),"")</f>
        <v/>
      </c>
      <c r="K204" s="14" t="str">
        <f>IFERROR(INDEX(样本到样信息汇总统计!K$2:K$500,MATCH(203,样本到样信息汇总统计!$X$2:$X$500,0)),"")</f>
        <v/>
      </c>
      <c r="L204" s="4" t="str">
        <f>IFERROR(INDEX(样本到样信息汇总统计!L$2:L$500,MATCH(203,样本到样信息汇总统计!$X$2:$X$500,0)),"")</f>
        <v/>
      </c>
      <c r="M204" s="4" t="str">
        <f>IFERROR(INDEX(样本到样信息汇总统计!M$2:M$500,MATCH(203,样本到样信息汇总统计!$X$2:$X$500,0)),"")</f>
        <v/>
      </c>
      <c r="N204" s="4" t="str">
        <f>IFERROR(INDEX(样本到样信息汇总统计!N$2:N$500,MATCH(203,样本到样信息汇总统计!$X$2:$X$500,0)),"")</f>
        <v/>
      </c>
      <c r="O204" s="4" t="str">
        <f>IFERROR(INDEX(样本到样信息汇总统计!O$2:O$500,MATCH(203,样本到样信息汇总统计!$X$2:$X$500,0)),"")</f>
        <v/>
      </c>
      <c r="P204" s="4" t="str">
        <f>IFERROR(INDEX(样本到样信息汇总统计!P$2:P$500,MATCH(203,样本到样信息汇总统计!$X$2:$X$500,0)),"")</f>
        <v/>
      </c>
      <c r="Q204" s="4" t="str">
        <f>IFERROR(INDEX(样本到样信息汇总统计!Q$2:Q$500,MATCH(203,样本到样信息汇总统计!$X$2:$X$500,0)),"")</f>
        <v/>
      </c>
      <c r="R204" s="4" t="str">
        <f>IFERROR(INDEX(样本到样信息汇总统计!R$2:R$500,MATCH(203,样本到样信息汇总统计!$X$2:$X$500,0)),"")</f>
        <v/>
      </c>
      <c r="S204" s="4" t="str">
        <f>IFERROR(INDEX(样本到样信息汇总统计!S$2:S$500,MATCH(203,样本到样信息汇总统计!$X$2:$X$500,0)),"")</f>
        <v/>
      </c>
      <c r="T204" s="4" t="str">
        <f>IFERROR(INDEX(样本到样信息汇总统计!T$2:T$500,MATCH(203,样本到样信息汇总统计!$X$2:$X$500,0)),"")</f>
        <v/>
      </c>
      <c r="U204" s="4" t="str">
        <f>IFERROR(INDEX(样本到样信息汇总统计!U$2:U$500,MATCH(203,样本到样信息汇总统计!$X$2:$X$500,0)),"")</f>
        <v/>
      </c>
      <c r="V204" s="4" t="str">
        <f>IFERROR(INDEX(样本到样信息汇总统计!V$2:V$500,MATCH(203,样本到样信息汇总统计!$X$2:$X$500,0)),"")</f>
        <v/>
      </c>
      <c r="W204" s="4" t="str">
        <f>IFERROR(INDEX(样本到样信息汇总统计!W$2:W$500,MATCH(203,样本到样信息汇总统计!$X$2:$X$500,0)),"")</f>
        <v/>
      </c>
    </row>
    <row r="205" ht="14.5" spans="1:23">
      <c r="A205" s="8" t="str">
        <f>IFERROR(INDEX(样本到样信息汇总统计!A$2:A$500,MATCH(204,样本到样信息汇总统计!$X$2:$X$500,0)),"")</f>
        <v/>
      </c>
      <c r="B205" s="8" t="str">
        <f>IFERROR(INDEX(样本到样信息汇总统计!B$2:B$500,MATCH(204,样本到样信息汇总统计!$X$2:$X$500,0)),"")</f>
        <v/>
      </c>
      <c r="C205" s="8" t="str">
        <f>IFERROR(INDEX(样本到样信息汇总统计!C$2:C$500,MATCH(204,样本到样信息汇总统计!$X$2:$X$500,0)),"")</f>
        <v/>
      </c>
      <c r="D205" s="8" t="str">
        <f>IFERROR(INDEX(样本到样信息汇总统计!D$2:D$500,MATCH(204,样本到样信息汇总统计!$X$2:$X$500,0)),"")</f>
        <v/>
      </c>
      <c r="E205" s="8" t="str">
        <f>IFERROR(INDEX(样本到样信息汇总统计!E$2:E$500,MATCH(204,样本到样信息汇总统计!$X$2:$X$500,0)),"")</f>
        <v/>
      </c>
      <c r="F205" s="8" t="str">
        <f>IFERROR(INDEX(样本到样信息汇总统计!F$2:F$500,MATCH(204,样本到样信息汇总统计!$X$2:$X$500,0)),"")</f>
        <v/>
      </c>
      <c r="G205" s="8" t="str">
        <f>IFERROR(INDEX(样本到样信息汇总统计!G$2:G$500,MATCH(204,样本到样信息汇总统计!$X$2:$X$500,0)),"")</f>
        <v/>
      </c>
      <c r="H205" s="8" t="str">
        <f>IFERROR(INDEX(样本到样信息汇总统计!H$2:H$500,MATCH(204,样本到样信息汇总统计!$X$2:$X$500,0)),"")</f>
        <v/>
      </c>
      <c r="I205" s="8" t="str">
        <f>IFERROR(INDEX(样本到样信息汇总统计!I$2:I$500,MATCH(204,样本到样信息汇总统计!$X$2:$X$500,0)),"")</f>
        <v/>
      </c>
      <c r="J205" s="8" t="str">
        <f>IFERROR(INDEX(样本到样信息汇总统计!J$2:J$500,MATCH(204,样本到样信息汇总统计!$X$2:$X$500,0)),"")</f>
        <v/>
      </c>
      <c r="K205" s="15" t="str">
        <f>IFERROR(INDEX(样本到样信息汇总统计!K$2:K$500,MATCH(204,样本到样信息汇总统计!$X$2:$X$500,0)),"")</f>
        <v/>
      </c>
      <c r="L205" s="8" t="str">
        <f>IFERROR(INDEX(样本到样信息汇总统计!L$2:L$500,MATCH(204,样本到样信息汇总统计!$X$2:$X$500,0)),"")</f>
        <v/>
      </c>
      <c r="M205" s="8" t="str">
        <f>IFERROR(INDEX(样本到样信息汇总统计!M$2:M$500,MATCH(204,样本到样信息汇总统计!$X$2:$X$500,0)),"")</f>
        <v/>
      </c>
      <c r="N205" s="8" t="str">
        <f>IFERROR(INDEX(样本到样信息汇总统计!N$2:N$500,MATCH(204,样本到样信息汇总统计!$X$2:$X$500,0)),"")</f>
        <v/>
      </c>
      <c r="O205" s="8" t="str">
        <f>IFERROR(INDEX(样本到样信息汇总统计!O$2:O$500,MATCH(204,样本到样信息汇总统计!$X$2:$X$500,0)),"")</f>
        <v/>
      </c>
      <c r="P205" s="8" t="str">
        <f>IFERROR(INDEX(样本到样信息汇总统计!P$2:P$500,MATCH(204,样本到样信息汇总统计!$X$2:$X$500,0)),"")</f>
        <v/>
      </c>
      <c r="Q205" s="8" t="str">
        <f>IFERROR(INDEX(样本到样信息汇总统计!Q$2:Q$500,MATCH(204,样本到样信息汇总统计!$X$2:$X$500,0)),"")</f>
        <v/>
      </c>
      <c r="R205" s="8" t="str">
        <f>IFERROR(INDEX(样本到样信息汇总统计!R$2:R$500,MATCH(204,样本到样信息汇总统计!$X$2:$X$500,0)),"")</f>
        <v/>
      </c>
      <c r="S205" s="8" t="str">
        <f>IFERROR(INDEX(样本到样信息汇总统计!S$2:S$500,MATCH(204,样本到样信息汇总统计!$X$2:$X$500,0)),"")</f>
        <v/>
      </c>
      <c r="T205" s="8" t="str">
        <f>IFERROR(INDEX(样本到样信息汇总统计!T$2:T$500,MATCH(204,样本到样信息汇总统计!$X$2:$X$500,0)),"")</f>
        <v/>
      </c>
      <c r="U205" s="8" t="str">
        <f>IFERROR(INDEX(样本到样信息汇总统计!U$2:U$500,MATCH(204,样本到样信息汇总统计!$X$2:$X$500,0)),"")</f>
        <v/>
      </c>
      <c r="V205" s="8" t="str">
        <f>IFERROR(INDEX(样本到样信息汇总统计!V$2:V$500,MATCH(204,样本到样信息汇总统计!$X$2:$X$500,0)),"")</f>
        <v/>
      </c>
      <c r="W205" s="8" t="str">
        <f>IFERROR(INDEX(样本到样信息汇总统计!W$2:W$500,MATCH(204,样本到样信息汇总统计!$X$2:$X$500,0)),"")</f>
        <v/>
      </c>
    </row>
    <row r="206" ht="14.5" spans="1:23">
      <c r="A206" s="4" t="str">
        <f>IFERROR(INDEX(样本到样信息汇总统计!A$2:A$500,MATCH(205,样本到样信息汇总统计!$X$2:$X$500,0)),"")</f>
        <v/>
      </c>
      <c r="B206" s="4" t="str">
        <f>IFERROR(INDEX(样本到样信息汇总统计!B$2:B$500,MATCH(205,样本到样信息汇总统计!$X$2:$X$500,0)),"")</f>
        <v/>
      </c>
      <c r="C206" s="4" t="str">
        <f>IFERROR(INDEX(样本到样信息汇总统计!C$2:C$500,MATCH(205,样本到样信息汇总统计!$X$2:$X$500,0)),"")</f>
        <v/>
      </c>
      <c r="D206" s="4" t="str">
        <f>IFERROR(INDEX(样本到样信息汇总统计!D$2:D$500,MATCH(205,样本到样信息汇总统计!$X$2:$X$500,0)),"")</f>
        <v/>
      </c>
      <c r="E206" s="4" t="str">
        <f>IFERROR(INDEX(样本到样信息汇总统计!E$2:E$500,MATCH(205,样本到样信息汇总统计!$X$2:$X$500,0)),"")</f>
        <v/>
      </c>
      <c r="F206" s="4" t="str">
        <f>IFERROR(INDEX(样本到样信息汇总统计!F$2:F$500,MATCH(205,样本到样信息汇总统计!$X$2:$X$500,0)),"")</f>
        <v/>
      </c>
      <c r="G206" s="4" t="str">
        <f>IFERROR(INDEX(样本到样信息汇总统计!G$2:G$500,MATCH(205,样本到样信息汇总统计!$X$2:$X$500,0)),"")</f>
        <v/>
      </c>
      <c r="H206" s="4" t="str">
        <f>IFERROR(INDEX(样本到样信息汇总统计!H$2:H$500,MATCH(205,样本到样信息汇总统计!$X$2:$X$500,0)),"")</f>
        <v/>
      </c>
      <c r="I206" s="4" t="str">
        <f>IFERROR(INDEX(样本到样信息汇总统计!I$2:I$500,MATCH(205,样本到样信息汇总统计!$X$2:$X$500,0)),"")</f>
        <v/>
      </c>
      <c r="J206" s="4" t="str">
        <f>IFERROR(INDEX(样本到样信息汇总统计!J$2:J$500,MATCH(205,样本到样信息汇总统计!$X$2:$X$500,0)),"")</f>
        <v/>
      </c>
      <c r="K206" s="14" t="str">
        <f>IFERROR(INDEX(样本到样信息汇总统计!K$2:K$500,MATCH(205,样本到样信息汇总统计!$X$2:$X$500,0)),"")</f>
        <v/>
      </c>
      <c r="L206" s="4" t="str">
        <f>IFERROR(INDEX(样本到样信息汇总统计!L$2:L$500,MATCH(205,样本到样信息汇总统计!$X$2:$X$500,0)),"")</f>
        <v/>
      </c>
      <c r="M206" s="4" t="str">
        <f>IFERROR(INDEX(样本到样信息汇总统计!M$2:M$500,MATCH(205,样本到样信息汇总统计!$X$2:$X$500,0)),"")</f>
        <v/>
      </c>
      <c r="N206" s="4" t="str">
        <f>IFERROR(INDEX(样本到样信息汇总统计!N$2:N$500,MATCH(205,样本到样信息汇总统计!$X$2:$X$500,0)),"")</f>
        <v/>
      </c>
      <c r="O206" s="4" t="str">
        <f>IFERROR(INDEX(样本到样信息汇总统计!O$2:O$500,MATCH(205,样本到样信息汇总统计!$X$2:$X$500,0)),"")</f>
        <v/>
      </c>
      <c r="P206" s="4" t="str">
        <f>IFERROR(INDEX(样本到样信息汇总统计!P$2:P$500,MATCH(205,样本到样信息汇总统计!$X$2:$X$500,0)),"")</f>
        <v/>
      </c>
      <c r="Q206" s="4" t="str">
        <f>IFERROR(INDEX(样本到样信息汇总统计!Q$2:Q$500,MATCH(205,样本到样信息汇总统计!$X$2:$X$500,0)),"")</f>
        <v/>
      </c>
      <c r="R206" s="4" t="str">
        <f>IFERROR(INDEX(样本到样信息汇总统计!R$2:R$500,MATCH(205,样本到样信息汇总统计!$X$2:$X$500,0)),"")</f>
        <v/>
      </c>
      <c r="S206" s="4" t="str">
        <f>IFERROR(INDEX(样本到样信息汇总统计!S$2:S$500,MATCH(205,样本到样信息汇总统计!$X$2:$X$500,0)),"")</f>
        <v/>
      </c>
      <c r="T206" s="4" t="str">
        <f>IFERROR(INDEX(样本到样信息汇总统计!T$2:T$500,MATCH(205,样本到样信息汇总统计!$X$2:$X$500,0)),"")</f>
        <v/>
      </c>
      <c r="U206" s="4" t="str">
        <f>IFERROR(INDEX(样本到样信息汇总统计!U$2:U$500,MATCH(205,样本到样信息汇总统计!$X$2:$X$500,0)),"")</f>
        <v/>
      </c>
      <c r="V206" s="4" t="str">
        <f>IFERROR(INDEX(样本到样信息汇总统计!V$2:V$500,MATCH(205,样本到样信息汇总统计!$X$2:$X$500,0)),"")</f>
        <v/>
      </c>
      <c r="W206" s="4" t="str">
        <f>IFERROR(INDEX(样本到样信息汇总统计!W$2:W$500,MATCH(205,样本到样信息汇总统计!$X$2:$X$500,0)),"")</f>
        <v/>
      </c>
    </row>
    <row r="207" ht="14.5" spans="1:23">
      <c r="A207" s="8" t="str">
        <f>IFERROR(INDEX(样本到样信息汇总统计!A$2:A$500,MATCH(206,样本到样信息汇总统计!$X$2:$X$500,0)),"")</f>
        <v/>
      </c>
      <c r="B207" s="8" t="str">
        <f>IFERROR(INDEX(样本到样信息汇总统计!B$2:B$500,MATCH(206,样本到样信息汇总统计!$X$2:$X$500,0)),"")</f>
        <v/>
      </c>
      <c r="C207" s="8" t="str">
        <f>IFERROR(INDEX(样本到样信息汇总统计!C$2:C$500,MATCH(206,样本到样信息汇总统计!$X$2:$X$500,0)),"")</f>
        <v/>
      </c>
      <c r="D207" s="8" t="str">
        <f>IFERROR(INDEX(样本到样信息汇总统计!D$2:D$500,MATCH(206,样本到样信息汇总统计!$X$2:$X$500,0)),"")</f>
        <v/>
      </c>
      <c r="E207" s="8" t="str">
        <f>IFERROR(INDEX(样本到样信息汇总统计!E$2:E$500,MATCH(206,样本到样信息汇总统计!$X$2:$X$500,0)),"")</f>
        <v/>
      </c>
      <c r="F207" s="8" t="str">
        <f>IFERROR(INDEX(样本到样信息汇总统计!F$2:F$500,MATCH(206,样本到样信息汇总统计!$X$2:$X$500,0)),"")</f>
        <v/>
      </c>
      <c r="G207" s="8" t="str">
        <f>IFERROR(INDEX(样本到样信息汇总统计!G$2:G$500,MATCH(206,样本到样信息汇总统计!$X$2:$X$500,0)),"")</f>
        <v/>
      </c>
      <c r="H207" s="8" t="str">
        <f>IFERROR(INDEX(样本到样信息汇总统计!H$2:H$500,MATCH(206,样本到样信息汇总统计!$X$2:$X$500,0)),"")</f>
        <v/>
      </c>
      <c r="I207" s="8" t="str">
        <f>IFERROR(INDEX(样本到样信息汇总统计!I$2:I$500,MATCH(206,样本到样信息汇总统计!$X$2:$X$500,0)),"")</f>
        <v/>
      </c>
      <c r="J207" s="8" t="str">
        <f>IFERROR(INDEX(样本到样信息汇总统计!J$2:J$500,MATCH(206,样本到样信息汇总统计!$X$2:$X$500,0)),"")</f>
        <v/>
      </c>
      <c r="K207" s="15" t="str">
        <f>IFERROR(INDEX(样本到样信息汇总统计!K$2:K$500,MATCH(206,样本到样信息汇总统计!$X$2:$X$500,0)),"")</f>
        <v/>
      </c>
      <c r="L207" s="8" t="str">
        <f>IFERROR(INDEX(样本到样信息汇总统计!L$2:L$500,MATCH(206,样本到样信息汇总统计!$X$2:$X$500,0)),"")</f>
        <v/>
      </c>
      <c r="M207" s="8" t="str">
        <f>IFERROR(INDEX(样本到样信息汇总统计!M$2:M$500,MATCH(206,样本到样信息汇总统计!$X$2:$X$500,0)),"")</f>
        <v/>
      </c>
      <c r="N207" s="8" t="str">
        <f>IFERROR(INDEX(样本到样信息汇总统计!N$2:N$500,MATCH(206,样本到样信息汇总统计!$X$2:$X$500,0)),"")</f>
        <v/>
      </c>
      <c r="O207" s="8" t="str">
        <f>IFERROR(INDEX(样本到样信息汇总统计!O$2:O$500,MATCH(206,样本到样信息汇总统计!$X$2:$X$500,0)),"")</f>
        <v/>
      </c>
      <c r="P207" s="8" t="str">
        <f>IFERROR(INDEX(样本到样信息汇总统计!P$2:P$500,MATCH(206,样本到样信息汇总统计!$X$2:$X$500,0)),"")</f>
        <v/>
      </c>
      <c r="Q207" s="8" t="str">
        <f>IFERROR(INDEX(样本到样信息汇总统计!Q$2:Q$500,MATCH(206,样本到样信息汇总统计!$X$2:$X$500,0)),"")</f>
        <v/>
      </c>
      <c r="R207" s="8" t="str">
        <f>IFERROR(INDEX(样本到样信息汇总统计!R$2:R$500,MATCH(206,样本到样信息汇总统计!$X$2:$X$500,0)),"")</f>
        <v/>
      </c>
      <c r="S207" s="8" t="str">
        <f>IFERROR(INDEX(样本到样信息汇总统计!S$2:S$500,MATCH(206,样本到样信息汇总统计!$X$2:$X$500,0)),"")</f>
        <v/>
      </c>
      <c r="T207" s="8" t="str">
        <f>IFERROR(INDEX(样本到样信息汇总统计!T$2:T$500,MATCH(206,样本到样信息汇总统计!$X$2:$X$500,0)),"")</f>
        <v/>
      </c>
      <c r="U207" s="8" t="str">
        <f>IFERROR(INDEX(样本到样信息汇总统计!U$2:U$500,MATCH(206,样本到样信息汇总统计!$X$2:$X$500,0)),"")</f>
        <v/>
      </c>
      <c r="V207" s="8" t="str">
        <f>IFERROR(INDEX(样本到样信息汇总统计!V$2:V$500,MATCH(206,样本到样信息汇总统计!$X$2:$X$500,0)),"")</f>
        <v/>
      </c>
      <c r="W207" s="8" t="str">
        <f>IFERROR(INDEX(样本到样信息汇总统计!W$2:W$500,MATCH(206,样本到样信息汇总统计!$X$2:$X$500,0)),"")</f>
        <v/>
      </c>
    </row>
    <row r="208" ht="14.5" spans="1:23">
      <c r="A208" s="4" t="str">
        <f>IFERROR(INDEX(样本到样信息汇总统计!A$2:A$500,MATCH(207,样本到样信息汇总统计!$X$2:$X$500,0)),"")</f>
        <v/>
      </c>
      <c r="B208" s="4" t="str">
        <f>IFERROR(INDEX(样本到样信息汇总统计!B$2:B$500,MATCH(207,样本到样信息汇总统计!$X$2:$X$500,0)),"")</f>
        <v/>
      </c>
      <c r="C208" s="4" t="str">
        <f>IFERROR(INDEX(样本到样信息汇总统计!C$2:C$500,MATCH(207,样本到样信息汇总统计!$X$2:$X$500,0)),"")</f>
        <v/>
      </c>
      <c r="D208" s="4" t="str">
        <f>IFERROR(INDEX(样本到样信息汇总统计!D$2:D$500,MATCH(207,样本到样信息汇总统计!$X$2:$X$500,0)),"")</f>
        <v/>
      </c>
      <c r="E208" s="4" t="str">
        <f>IFERROR(INDEX(样本到样信息汇总统计!E$2:E$500,MATCH(207,样本到样信息汇总统计!$X$2:$X$500,0)),"")</f>
        <v/>
      </c>
      <c r="F208" s="4" t="str">
        <f>IFERROR(INDEX(样本到样信息汇总统计!F$2:F$500,MATCH(207,样本到样信息汇总统计!$X$2:$X$500,0)),"")</f>
        <v/>
      </c>
      <c r="G208" s="4" t="str">
        <f>IFERROR(INDEX(样本到样信息汇总统计!G$2:G$500,MATCH(207,样本到样信息汇总统计!$X$2:$X$500,0)),"")</f>
        <v/>
      </c>
      <c r="H208" s="4" t="str">
        <f>IFERROR(INDEX(样本到样信息汇总统计!H$2:H$500,MATCH(207,样本到样信息汇总统计!$X$2:$X$500,0)),"")</f>
        <v/>
      </c>
      <c r="I208" s="4" t="str">
        <f>IFERROR(INDEX(样本到样信息汇总统计!I$2:I$500,MATCH(207,样本到样信息汇总统计!$X$2:$X$500,0)),"")</f>
        <v/>
      </c>
      <c r="J208" s="4" t="str">
        <f>IFERROR(INDEX(样本到样信息汇总统计!J$2:J$500,MATCH(207,样本到样信息汇总统计!$X$2:$X$500,0)),"")</f>
        <v/>
      </c>
      <c r="K208" s="14" t="str">
        <f>IFERROR(INDEX(样本到样信息汇总统计!K$2:K$500,MATCH(207,样本到样信息汇总统计!$X$2:$X$500,0)),"")</f>
        <v/>
      </c>
      <c r="L208" s="4" t="str">
        <f>IFERROR(INDEX(样本到样信息汇总统计!L$2:L$500,MATCH(207,样本到样信息汇总统计!$X$2:$X$500,0)),"")</f>
        <v/>
      </c>
      <c r="M208" s="4" t="str">
        <f>IFERROR(INDEX(样本到样信息汇总统计!M$2:M$500,MATCH(207,样本到样信息汇总统计!$X$2:$X$500,0)),"")</f>
        <v/>
      </c>
      <c r="N208" s="4" t="str">
        <f>IFERROR(INDEX(样本到样信息汇总统计!N$2:N$500,MATCH(207,样本到样信息汇总统计!$X$2:$X$500,0)),"")</f>
        <v/>
      </c>
      <c r="O208" s="4" t="str">
        <f>IFERROR(INDEX(样本到样信息汇总统计!O$2:O$500,MATCH(207,样本到样信息汇总统计!$X$2:$X$500,0)),"")</f>
        <v/>
      </c>
      <c r="P208" s="4" t="str">
        <f>IFERROR(INDEX(样本到样信息汇总统计!P$2:P$500,MATCH(207,样本到样信息汇总统计!$X$2:$X$500,0)),"")</f>
        <v/>
      </c>
      <c r="Q208" s="4" t="str">
        <f>IFERROR(INDEX(样本到样信息汇总统计!Q$2:Q$500,MATCH(207,样本到样信息汇总统计!$X$2:$X$500,0)),"")</f>
        <v/>
      </c>
      <c r="R208" s="4" t="str">
        <f>IFERROR(INDEX(样本到样信息汇总统计!R$2:R$500,MATCH(207,样本到样信息汇总统计!$X$2:$X$500,0)),"")</f>
        <v/>
      </c>
      <c r="S208" s="4" t="str">
        <f>IFERROR(INDEX(样本到样信息汇总统计!S$2:S$500,MATCH(207,样本到样信息汇总统计!$X$2:$X$500,0)),"")</f>
        <v/>
      </c>
      <c r="T208" s="4" t="str">
        <f>IFERROR(INDEX(样本到样信息汇总统计!T$2:T$500,MATCH(207,样本到样信息汇总统计!$X$2:$X$500,0)),"")</f>
        <v/>
      </c>
      <c r="U208" s="4" t="str">
        <f>IFERROR(INDEX(样本到样信息汇总统计!U$2:U$500,MATCH(207,样本到样信息汇总统计!$X$2:$X$500,0)),"")</f>
        <v/>
      </c>
      <c r="V208" s="4" t="str">
        <f>IFERROR(INDEX(样本到样信息汇总统计!V$2:V$500,MATCH(207,样本到样信息汇总统计!$X$2:$X$500,0)),"")</f>
        <v/>
      </c>
      <c r="W208" s="4" t="str">
        <f>IFERROR(INDEX(样本到样信息汇总统计!W$2:W$500,MATCH(207,样本到样信息汇总统计!$X$2:$X$500,0)),"")</f>
        <v/>
      </c>
    </row>
    <row r="209" ht="14.5" spans="1:23">
      <c r="A209" s="8" t="str">
        <f>IFERROR(INDEX(样本到样信息汇总统计!A$2:A$500,MATCH(208,样本到样信息汇总统计!$X$2:$X$500,0)),"")</f>
        <v/>
      </c>
      <c r="B209" s="8" t="str">
        <f>IFERROR(INDEX(样本到样信息汇总统计!B$2:B$500,MATCH(208,样本到样信息汇总统计!$X$2:$X$500,0)),"")</f>
        <v/>
      </c>
      <c r="C209" s="8" t="str">
        <f>IFERROR(INDEX(样本到样信息汇总统计!C$2:C$500,MATCH(208,样本到样信息汇总统计!$X$2:$X$500,0)),"")</f>
        <v/>
      </c>
      <c r="D209" s="8" t="str">
        <f>IFERROR(INDEX(样本到样信息汇总统计!D$2:D$500,MATCH(208,样本到样信息汇总统计!$X$2:$X$500,0)),"")</f>
        <v/>
      </c>
      <c r="E209" s="8" t="str">
        <f>IFERROR(INDEX(样本到样信息汇总统计!E$2:E$500,MATCH(208,样本到样信息汇总统计!$X$2:$X$500,0)),"")</f>
        <v/>
      </c>
      <c r="F209" s="8" t="str">
        <f>IFERROR(INDEX(样本到样信息汇总统计!F$2:F$500,MATCH(208,样本到样信息汇总统计!$X$2:$X$500,0)),"")</f>
        <v/>
      </c>
      <c r="G209" s="8" t="str">
        <f>IFERROR(INDEX(样本到样信息汇总统计!G$2:G$500,MATCH(208,样本到样信息汇总统计!$X$2:$X$500,0)),"")</f>
        <v/>
      </c>
      <c r="H209" s="8" t="str">
        <f>IFERROR(INDEX(样本到样信息汇总统计!H$2:H$500,MATCH(208,样本到样信息汇总统计!$X$2:$X$500,0)),"")</f>
        <v/>
      </c>
      <c r="I209" s="8" t="str">
        <f>IFERROR(INDEX(样本到样信息汇总统计!I$2:I$500,MATCH(208,样本到样信息汇总统计!$X$2:$X$500,0)),"")</f>
        <v/>
      </c>
      <c r="J209" s="8" t="str">
        <f>IFERROR(INDEX(样本到样信息汇总统计!J$2:J$500,MATCH(208,样本到样信息汇总统计!$X$2:$X$500,0)),"")</f>
        <v/>
      </c>
      <c r="K209" s="15" t="str">
        <f>IFERROR(INDEX(样本到样信息汇总统计!K$2:K$500,MATCH(208,样本到样信息汇总统计!$X$2:$X$500,0)),"")</f>
        <v/>
      </c>
      <c r="L209" s="8" t="str">
        <f>IFERROR(INDEX(样本到样信息汇总统计!L$2:L$500,MATCH(208,样本到样信息汇总统计!$X$2:$X$500,0)),"")</f>
        <v/>
      </c>
      <c r="M209" s="8" t="str">
        <f>IFERROR(INDEX(样本到样信息汇总统计!M$2:M$500,MATCH(208,样本到样信息汇总统计!$X$2:$X$500,0)),"")</f>
        <v/>
      </c>
      <c r="N209" s="8" t="str">
        <f>IFERROR(INDEX(样本到样信息汇总统计!N$2:N$500,MATCH(208,样本到样信息汇总统计!$X$2:$X$500,0)),"")</f>
        <v/>
      </c>
      <c r="O209" s="8" t="str">
        <f>IFERROR(INDEX(样本到样信息汇总统计!O$2:O$500,MATCH(208,样本到样信息汇总统计!$X$2:$X$500,0)),"")</f>
        <v/>
      </c>
      <c r="P209" s="8" t="str">
        <f>IFERROR(INDEX(样本到样信息汇总统计!P$2:P$500,MATCH(208,样本到样信息汇总统计!$X$2:$X$500,0)),"")</f>
        <v/>
      </c>
      <c r="Q209" s="8" t="str">
        <f>IFERROR(INDEX(样本到样信息汇总统计!Q$2:Q$500,MATCH(208,样本到样信息汇总统计!$X$2:$X$500,0)),"")</f>
        <v/>
      </c>
      <c r="R209" s="8" t="str">
        <f>IFERROR(INDEX(样本到样信息汇总统计!R$2:R$500,MATCH(208,样本到样信息汇总统计!$X$2:$X$500,0)),"")</f>
        <v/>
      </c>
      <c r="S209" s="8" t="str">
        <f>IFERROR(INDEX(样本到样信息汇总统计!S$2:S$500,MATCH(208,样本到样信息汇总统计!$X$2:$X$500,0)),"")</f>
        <v/>
      </c>
      <c r="T209" s="8" t="str">
        <f>IFERROR(INDEX(样本到样信息汇总统计!T$2:T$500,MATCH(208,样本到样信息汇总统计!$X$2:$X$500,0)),"")</f>
        <v/>
      </c>
      <c r="U209" s="8" t="str">
        <f>IFERROR(INDEX(样本到样信息汇总统计!U$2:U$500,MATCH(208,样本到样信息汇总统计!$X$2:$X$500,0)),"")</f>
        <v/>
      </c>
      <c r="V209" s="8" t="str">
        <f>IFERROR(INDEX(样本到样信息汇总统计!V$2:V$500,MATCH(208,样本到样信息汇总统计!$X$2:$X$500,0)),"")</f>
        <v/>
      </c>
      <c r="W209" s="8" t="str">
        <f>IFERROR(INDEX(样本到样信息汇总统计!W$2:W$500,MATCH(208,样本到样信息汇总统计!$X$2:$X$500,0)),"")</f>
        <v/>
      </c>
    </row>
    <row r="210" ht="14.5" spans="1:23">
      <c r="A210" s="4" t="str">
        <f>IFERROR(INDEX(样本到样信息汇总统计!A$2:A$500,MATCH(209,样本到样信息汇总统计!$X$2:$X$500,0)),"")</f>
        <v/>
      </c>
      <c r="B210" s="4" t="str">
        <f>IFERROR(INDEX(样本到样信息汇总统计!B$2:B$500,MATCH(209,样本到样信息汇总统计!$X$2:$X$500,0)),"")</f>
        <v/>
      </c>
      <c r="C210" s="4" t="str">
        <f>IFERROR(INDEX(样本到样信息汇总统计!C$2:C$500,MATCH(209,样本到样信息汇总统计!$X$2:$X$500,0)),"")</f>
        <v/>
      </c>
      <c r="D210" s="4" t="str">
        <f>IFERROR(INDEX(样本到样信息汇总统计!D$2:D$500,MATCH(209,样本到样信息汇总统计!$X$2:$X$500,0)),"")</f>
        <v/>
      </c>
      <c r="E210" s="4" t="str">
        <f>IFERROR(INDEX(样本到样信息汇总统计!E$2:E$500,MATCH(209,样本到样信息汇总统计!$X$2:$X$500,0)),"")</f>
        <v/>
      </c>
      <c r="F210" s="4" t="str">
        <f>IFERROR(INDEX(样本到样信息汇总统计!F$2:F$500,MATCH(209,样本到样信息汇总统计!$X$2:$X$500,0)),"")</f>
        <v/>
      </c>
      <c r="G210" s="4" t="str">
        <f>IFERROR(INDEX(样本到样信息汇总统计!G$2:G$500,MATCH(209,样本到样信息汇总统计!$X$2:$X$500,0)),"")</f>
        <v/>
      </c>
      <c r="H210" s="4" t="str">
        <f>IFERROR(INDEX(样本到样信息汇总统计!H$2:H$500,MATCH(209,样本到样信息汇总统计!$X$2:$X$500,0)),"")</f>
        <v/>
      </c>
      <c r="I210" s="4" t="str">
        <f>IFERROR(INDEX(样本到样信息汇总统计!I$2:I$500,MATCH(209,样本到样信息汇总统计!$X$2:$X$500,0)),"")</f>
        <v/>
      </c>
      <c r="J210" s="4" t="str">
        <f>IFERROR(INDEX(样本到样信息汇总统计!J$2:J$500,MATCH(209,样本到样信息汇总统计!$X$2:$X$500,0)),"")</f>
        <v/>
      </c>
      <c r="K210" s="14" t="str">
        <f>IFERROR(INDEX(样本到样信息汇总统计!K$2:K$500,MATCH(209,样本到样信息汇总统计!$X$2:$X$500,0)),"")</f>
        <v/>
      </c>
      <c r="L210" s="4" t="str">
        <f>IFERROR(INDEX(样本到样信息汇总统计!L$2:L$500,MATCH(209,样本到样信息汇总统计!$X$2:$X$500,0)),"")</f>
        <v/>
      </c>
      <c r="M210" s="4" t="str">
        <f>IFERROR(INDEX(样本到样信息汇总统计!M$2:M$500,MATCH(209,样本到样信息汇总统计!$X$2:$X$500,0)),"")</f>
        <v/>
      </c>
      <c r="N210" s="4" t="str">
        <f>IFERROR(INDEX(样本到样信息汇总统计!N$2:N$500,MATCH(209,样本到样信息汇总统计!$X$2:$X$500,0)),"")</f>
        <v/>
      </c>
      <c r="O210" s="4" t="str">
        <f>IFERROR(INDEX(样本到样信息汇总统计!O$2:O$500,MATCH(209,样本到样信息汇总统计!$X$2:$X$500,0)),"")</f>
        <v/>
      </c>
      <c r="P210" s="4" t="str">
        <f>IFERROR(INDEX(样本到样信息汇总统计!P$2:P$500,MATCH(209,样本到样信息汇总统计!$X$2:$X$500,0)),"")</f>
        <v/>
      </c>
      <c r="Q210" s="4" t="str">
        <f>IFERROR(INDEX(样本到样信息汇总统计!Q$2:Q$500,MATCH(209,样本到样信息汇总统计!$X$2:$X$500,0)),"")</f>
        <v/>
      </c>
      <c r="R210" s="4" t="str">
        <f>IFERROR(INDEX(样本到样信息汇总统计!R$2:R$500,MATCH(209,样本到样信息汇总统计!$X$2:$X$500,0)),"")</f>
        <v/>
      </c>
      <c r="S210" s="4" t="str">
        <f>IFERROR(INDEX(样本到样信息汇总统计!S$2:S$500,MATCH(209,样本到样信息汇总统计!$X$2:$X$500,0)),"")</f>
        <v/>
      </c>
      <c r="T210" s="4" t="str">
        <f>IFERROR(INDEX(样本到样信息汇总统计!T$2:T$500,MATCH(209,样本到样信息汇总统计!$X$2:$X$500,0)),"")</f>
        <v/>
      </c>
      <c r="U210" s="4" t="str">
        <f>IFERROR(INDEX(样本到样信息汇总统计!U$2:U$500,MATCH(209,样本到样信息汇总统计!$X$2:$X$500,0)),"")</f>
        <v/>
      </c>
      <c r="V210" s="4" t="str">
        <f>IFERROR(INDEX(样本到样信息汇总统计!V$2:V$500,MATCH(209,样本到样信息汇总统计!$X$2:$X$500,0)),"")</f>
        <v/>
      </c>
      <c r="W210" s="4" t="str">
        <f>IFERROR(INDEX(样本到样信息汇总统计!W$2:W$500,MATCH(209,样本到样信息汇总统计!$X$2:$X$500,0)),"")</f>
        <v/>
      </c>
    </row>
    <row r="211" ht="14.5" spans="1:23">
      <c r="A211" s="8" t="str">
        <f>IFERROR(INDEX(样本到样信息汇总统计!A$2:A$500,MATCH(210,样本到样信息汇总统计!$X$2:$X$500,0)),"")</f>
        <v/>
      </c>
      <c r="B211" s="8" t="str">
        <f>IFERROR(INDEX(样本到样信息汇总统计!B$2:B$500,MATCH(210,样本到样信息汇总统计!$X$2:$X$500,0)),"")</f>
        <v/>
      </c>
      <c r="C211" s="8" t="str">
        <f>IFERROR(INDEX(样本到样信息汇总统计!C$2:C$500,MATCH(210,样本到样信息汇总统计!$X$2:$X$500,0)),"")</f>
        <v/>
      </c>
      <c r="D211" s="8" t="str">
        <f>IFERROR(INDEX(样本到样信息汇总统计!D$2:D$500,MATCH(210,样本到样信息汇总统计!$X$2:$X$500,0)),"")</f>
        <v/>
      </c>
      <c r="E211" s="8" t="str">
        <f>IFERROR(INDEX(样本到样信息汇总统计!E$2:E$500,MATCH(210,样本到样信息汇总统计!$X$2:$X$500,0)),"")</f>
        <v/>
      </c>
      <c r="F211" s="8" t="str">
        <f>IFERROR(INDEX(样本到样信息汇总统计!F$2:F$500,MATCH(210,样本到样信息汇总统计!$X$2:$X$500,0)),"")</f>
        <v/>
      </c>
      <c r="G211" s="8" t="str">
        <f>IFERROR(INDEX(样本到样信息汇总统计!G$2:G$500,MATCH(210,样本到样信息汇总统计!$X$2:$X$500,0)),"")</f>
        <v/>
      </c>
      <c r="H211" s="8" t="str">
        <f>IFERROR(INDEX(样本到样信息汇总统计!H$2:H$500,MATCH(210,样本到样信息汇总统计!$X$2:$X$500,0)),"")</f>
        <v/>
      </c>
      <c r="I211" s="8" t="str">
        <f>IFERROR(INDEX(样本到样信息汇总统计!I$2:I$500,MATCH(210,样本到样信息汇总统计!$X$2:$X$500,0)),"")</f>
        <v/>
      </c>
      <c r="J211" s="8" t="str">
        <f>IFERROR(INDEX(样本到样信息汇总统计!J$2:J$500,MATCH(210,样本到样信息汇总统计!$X$2:$X$500,0)),"")</f>
        <v/>
      </c>
      <c r="K211" s="15" t="str">
        <f>IFERROR(INDEX(样本到样信息汇总统计!K$2:K$500,MATCH(210,样本到样信息汇总统计!$X$2:$X$500,0)),"")</f>
        <v/>
      </c>
      <c r="L211" s="8" t="str">
        <f>IFERROR(INDEX(样本到样信息汇总统计!L$2:L$500,MATCH(210,样本到样信息汇总统计!$X$2:$X$500,0)),"")</f>
        <v/>
      </c>
      <c r="M211" s="8" t="str">
        <f>IFERROR(INDEX(样本到样信息汇总统计!M$2:M$500,MATCH(210,样本到样信息汇总统计!$X$2:$X$500,0)),"")</f>
        <v/>
      </c>
      <c r="N211" s="8" t="str">
        <f>IFERROR(INDEX(样本到样信息汇总统计!N$2:N$500,MATCH(210,样本到样信息汇总统计!$X$2:$X$500,0)),"")</f>
        <v/>
      </c>
      <c r="O211" s="8" t="str">
        <f>IFERROR(INDEX(样本到样信息汇总统计!O$2:O$500,MATCH(210,样本到样信息汇总统计!$X$2:$X$500,0)),"")</f>
        <v/>
      </c>
      <c r="P211" s="8" t="str">
        <f>IFERROR(INDEX(样本到样信息汇总统计!P$2:P$500,MATCH(210,样本到样信息汇总统计!$X$2:$X$500,0)),"")</f>
        <v/>
      </c>
      <c r="Q211" s="8" t="str">
        <f>IFERROR(INDEX(样本到样信息汇总统计!Q$2:Q$500,MATCH(210,样本到样信息汇总统计!$X$2:$X$500,0)),"")</f>
        <v/>
      </c>
      <c r="R211" s="8" t="str">
        <f>IFERROR(INDEX(样本到样信息汇总统计!R$2:R$500,MATCH(210,样本到样信息汇总统计!$X$2:$X$500,0)),"")</f>
        <v/>
      </c>
      <c r="S211" s="8" t="str">
        <f>IFERROR(INDEX(样本到样信息汇总统计!S$2:S$500,MATCH(210,样本到样信息汇总统计!$X$2:$X$500,0)),"")</f>
        <v/>
      </c>
      <c r="T211" s="8" t="str">
        <f>IFERROR(INDEX(样本到样信息汇总统计!T$2:T$500,MATCH(210,样本到样信息汇总统计!$X$2:$X$500,0)),"")</f>
        <v/>
      </c>
      <c r="U211" s="8" t="str">
        <f>IFERROR(INDEX(样本到样信息汇总统计!U$2:U$500,MATCH(210,样本到样信息汇总统计!$X$2:$X$500,0)),"")</f>
        <v/>
      </c>
      <c r="V211" s="8" t="str">
        <f>IFERROR(INDEX(样本到样信息汇总统计!V$2:V$500,MATCH(210,样本到样信息汇总统计!$X$2:$X$500,0)),"")</f>
        <v/>
      </c>
      <c r="W211" s="8" t="str">
        <f>IFERROR(INDEX(样本到样信息汇总统计!W$2:W$500,MATCH(210,样本到样信息汇总统计!$X$2:$X$500,0)),"")</f>
        <v/>
      </c>
    </row>
    <row r="212" ht="14.5" spans="1:23">
      <c r="A212" s="4" t="str">
        <f>IFERROR(INDEX(样本到样信息汇总统计!A$2:A$500,MATCH(211,样本到样信息汇总统计!$X$2:$X$500,0)),"")</f>
        <v/>
      </c>
      <c r="B212" s="4" t="str">
        <f>IFERROR(INDEX(样本到样信息汇总统计!B$2:B$500,MATCH(211,样本到样信息汇总统计!$X$2:$X$500,0)),"")</f>
        <v/>
      </c>
      <c r="C212" s="4" t="str">
        <f>IFERROR(INDEX(样本到样信息汇总统计!C$2:C$500,MATCH(211,样本到样信息汇总统计!$X$2:$X$500,0)),"")</f>
        <v/>
      </c>
      <c r="D212" s="4" t="str">
        <f>IFERROR(INDEX(样本到样信息汇总统计!D$2:D$500,MATCH(211,样本到样信息汇总统计!$X$2:$X$500,0)),"")</f>
        <v/>
      </c>
      <c r="E212" s="4" t="str">
        <f>IFERROR(INDEX(样本到样信息汇总统计!E$2:E$500,MATCH(211,样本到样信息汇总统计!$X$2:$X$500,0)),"")</f>
        <v/>
      </c>
      <c r="F212" s="4" t="str">
        <f>IFERROR(INDEX(样本到样信息汇总统计!F$2:F$500,MATCH(211,样本到样信息汇总统计!$X$2:$X$500,0)),"")</f>
        <v/>
      </c>
      <c r="G212" s="4" t="str">
        <f>IFERROR(INDEX(样本到样信息汇总统计!G$2:G$500,MATCH(211,样本到样信息汇总统计!$X$2:$X$500,0)),"")</f>
        <v/>
      </c>
      <c r="H212" s="4" t="str">
        <f>IFERROR(INDEX(样本到样信息汇总统计!H$2:H$500,MATCH(211,样本到样信息汇总统计!$X$2:$X$500,0)),"")</f>
        <v/>
      </c>
      <c r="I212" s="4" t="str">
        <f>IFERROR(INDEX(样本到样信息汇总统计!I$2:I$500,MATCH(211,样本到样信息汇总统计!$X$2:$X$500,0)),"")</f>
        <v/>
      </c>
      <c r="J212" s="4" t="str">
        <f>IFERROR(INDEX(样本到样信息汇总统计!J$2:J$500,MATCH(211,样本到样信息汇总统计!$X$2:$X$500,0)),"")</f>
        <v/>
      </c>
      <c r="K212" s="14" t="str">
        <f>IFERROR(INDEX(样本到样信息汇总统计!K$2:K$500,MATCH(211,样本到样信息汇总统计!$X$2:$X$500,0)),"")</f>
        <v/>
      </c>
      <c r="L212" s="4" t="str">
        <f>IFERROR(INDEX(样本到样信息汇总统计!L$2:L$500,MATCH(211,样本到样信息汇总统计!$X$2:$X$500,0)),"")</f>
        <v/>
      </c>
      <c r="M212" s="4" t="str">
        <f>IFERROR(INDEX(样本到样信息汇总统计!M$2:M$500,MATCH(211,样本到样信息汇总统计!$X$2:$X$500,0)),"")</f>
        <v/>
      </c>
      <c r="N212" s="4" t="str">
        <f>IFERROR(INDEX(样本到样信息汇总统计!N$2:N$500,MATCH(211,样本到样信息汇总统计!$X$2:$X$500,0)),"")</f>
        <v/>
      </c>
      <c r="O212" s="4" t="str">
        <f>IFERROR(INDEX(样本到样信息汇总统计!O$2:O$500,MATCH(211,样本到样信息汇总统计!$X$2:$X$500,0)),"")</f>
        <v/>
      </c>
      <c r="P212" s="4" t="str">
        <f>IFERROR(INDEX(样本到样信息汇总统计!P$2:P$500,MATCH(211,样本到样信息汇总统计!$X$2:$X$500,0)),"")</f>
        <v/>
      </c>
      <c r="Q212" s="4" t="str">
        <f>IFERROR(INDEX(样本到样信息汇总统计!Q$2:Q$500,MATCH(211,样本到样信息汇总统计!$X$2:$X$500,0)),"")</f>
        <v/>
      </c>
      <c r="R212" s="4" t="str">
        <f>IFERROR(INDEX(样本到样信息汇总统计!R$2:R$500,MATCH(211,样本到样信息汇总统计!$X$2:$X$500,0)),"")</f>
        <v/>
      </c>
      <c r="S212" s="4" t="str">
        <f>IFERROR(INDEX(样本到样信息汇总统计!S$2:S$500,MATCH(211,样本到样信息汇总统计!$X$2:$X$500,0)),"")</f>
        <v/>
      </c>
      <c r="T212" s="4" t="str">
        <f>IFERROR(INDEX(样本到样信息汇总统计!T$2:T$500,MATCH(211,样本到样信息汇总统计!$X$2:$X$500,0)),"")</f>
        <v/>
      </c>
      <c r="U212" s="4" t="str">
        <f>IFERROR(INDEX(样本到样信息汇总统计!U$2:U$500,MATCH(211,样本到样信息汇总统计!$X$2:$X$500,0)),"")</f>
        <v/>
      </c>
      <c r="V212" s="4" t="str">
        <f>IFERROR(INDEX(样本到样信息汇总统计!V$2:V$500,MATCH(211,样本到样信息汇总统计!$X$2:$X$500,0)),"")</f>
        <v/>
      </c>
      <c r="W212" s="4" t="str">
        <f>IFERROR(INDEX(样本到样信息汇总统计!W$2:W$500,MATCH(211,样本到样信息汇总统计!$X$2:$X$500,0)),"")</f>
        <v/>
      </c>
    </row>
    <row r="213" ht="14.5" spans="1:23">
      <c r="A213" s="8" t="str">
        <f>IFERROR(INDEX(样本到样信息汇总统计!A$2:A$500,MATCH(212,样本到样信息汇总统计!$X$2:$X$500,0)),"")</f>
        <v/>
      </c>
      <c r="B213" s="8" t="str">
        <f>IFERROR(INDEX(样本到样信息汇总统计!B$2:B$500,MATCH(212,样本到样信息汇总统计!$X$2:$X$500,0)),"")</f>
        <v/>
      </c>
      <c r="C213" s="8" t="str">
        <f>IFERROR(INDEX(样本到样信息汇总统计!C$2:C$500,MATCH(212,样本到样信息汇总统计!$X$2:$X$500,0)),"")</f>
        <v/>
      </c>
      <c r="D213" s="8" t="str">
        <f>IFERROR(INDEX(样本到样信息汇总统计!D$2:D$500,MATCH(212,样本到样信息汇总统计!$X$2:$X$500,0)),"")</f>
        <v/>
      </c>
      <c r="E213" s="8" t="str">
        <f>IFERROR(INDEX(样本到样信息汇总统计!E$2:E$500,MATCH(212,样本到样信息汇总统计!$X$2:$X$500,0)),"")</f>
        <v/>
      </c>
      <c r="F213" s="8" t="str">
        <f>IFERROR(INDEX(样本到样信息汇总统计!F$2:F$500,MATCH(212,样本到样信息汇总统计!$X$2:$X$500,0)),"")</f>
        <v/>
      </c>
      <c r="G213" s="8" t="str">
        <f>IFERROR(INDEX(样本到样信息汇总统计!G$2:G$500,MATCH(212,样本到样信息汇总统计!$X$2:$X$500,0)),"")</f>
        <v/>
      </c>
      <c r="H213" s="8" t="str">
        <f>IFERROR(INDEX(样本到样信息汇总统计!H$2:H$500,MATCH(212,样本到样信息汇总统计!$X$2:$X$500,0)),"")</f>
        <v/>
      </c>
      <c r="I213" s="8" t="str">
        <f>IFERROR(INDEX(样本到样信息汇总统计!I$2:I$500,MATCH(212,样本到样信息汇总统计!$X$2:$X$500,0)),"")</f>
        <v/>
      </c>
      <c r="J213" s="8" t="str">
        <f>IFERROR(INDEX(样本到样信息汇总统计!J$2:J$500,MATCH(212,样本到样信息汇总统计!$X$2:$X$500,0)),"")</f>
        <v/>
      </c>
      <c r="K213" s="15" t="str">
        <f>IFERROR(INDEX(样本到样信息汇总统计!K$2:K$500,MATCH(212,样本到样信息汇总统计!$X$2:$X$500,0)),"")</f>
        <v/>
      </c>
      <c r="L213" s="8" t="str">
        <f>IFERROR(INDEX(样本到样信息汇总统计!L$2:L$500,MATCH(212,样本到样信息汇总统计!$X$2:$X$500,0)),"")</f>
        <v/>
      </c>
      <c r="M213" s="8" t="str">
        <f>IFERROR(INDEX(样本到样信息汇总统计!M$2:M$500,MATCH(212,样本到样信息汇总统计!$X$2:$X$500,0)),"")</f>
        <v/>
      </c>
      <c r="N213" s="8" t="str">
        <f>IFERROR(INDEX(样本到样信息汇总统计!N$2:N$500,MATCH(212,样本到样信息汇总统计!$X$2:$X$500,0)),"")</f>
        <v/>
      </c>
      <c r="O213" s="8" t="str">
        <f>IFERROR(INDEX(样本到样信息汇总统计!O$2:O$500,MATCH(212,样本到样信息汇总统计!$X$2:$X$500,0)),"")</f>
        <v/>
      </c>
      <c r="P213" s="8" t="str">
        <f>IFERROR(INDEX(样本到样信息汇总统计!P$2:P$500,MATCH(212,样本到样信息汇总统计!$X$2:$X$500,0)),"")</f>
        <v/>
      </c>
      <c r="Q213" s="8" t="str">
        <f>IFERROR(INDEX(样本到样信息汇总统计!Q$2:Q$500,MATCH(212,样本到样信息汇总统计!$X$2:$X$500,0)),"")</f>
        <v/>
      </c>
      <c r="R213" s="8" t="str">
        <f>IFERROR(INDEX(样本到样信息汇总统计!R$2:R$500,MATCH(212,样本到样信息汇总统计!$X$2:$X$500,0)),"")</f>
        <v/>
      </c>
      <c r="S213" s="8" t="str">
        <f>IFERROR(INDEX(样本到样信息汇总统计!S$2:S$500,MATCH(212,样本到样信息汇总统计!$X$2:$X$500,0)),"")</f>
        <v/>
      </c>
      <c r="T213" s="8" t="str">
        <f>IFERROR(INDEX(样本到样信息汇总统计!T$2:T$500,MATCH(212,样本到样信息汇总统计!$X$2:$X$500,0)),"")</f>
        <v/>
      </c>
      <c r="U213" s="8" t="str">
        <f>IFERROR(INDEX(样本到样信息汇总统计!U$2:U$500,MATCH(212,样本到样信息汇总统计!$X$2:$X$500,0)),"")</f>
        <v/>
      </c>
      <c r="V213" s="8" t="str">
        <f>IFERROR(INDEX(样本到样信息汇总统计!V$2:V$500,MATCH(212,样本到样信息汇总统计!$X$2:$X$500,0)),"")</f>
        <v/>
      </c>
      <c r="W213" s="8" t="str">
        <f>IFERROR(INDEX(样本到样信息汇总统计!W$2:W$500,MATCH(212,样本到样信息汇总统计!$X$2:$X$500,0)),"")</f>
        <v/>
      </c>
    </row>
    <row r="214" ht="14.5" spans="1:23">
      <c r="A214" s="4" t="str">
        <f>IFERROR(INDEX(样本到样信息汇总统计!A$2:A$500,MATCH(213,样本到样信息汇总统计!$X$2:$X$500,0)),"")</f>
        <v/>
      </c>
      <c r="B214" s="4" t="str">
        <f>IFERROR(INDEX(样本到样信息汇总统计!B$2:B$500,MATCH(213,样本到样信息汇总统计!$X$2:$X$500,0)),"")</f>
        <v/>
      </c>
      <c r="C214" s="4" t="str">
        <f>IFERROR(INDEX(样本到样信息汇总统计!C$2:C$500,MATCH(213,样本到样信息汇总统计!$X$2:$X$500,0)),"")</f>
        <v/>
      </c>
      <c r="D214" s="4" t="str">
        <f>IFERROR(INDEX(样本到样信息汇总统计!D$2:D$500,MATCH(213,样本到样信息汇总统计!$X$2:$X$500,0)),"")</f>
        <v/>
      </c>
      <c r="E214" s="4" t="str">
        <f>IFERROR(INDEX(样本到样信息汇总统计!E$2:E$500,MATCH(213,样本到样信息汇总统计!$X$2:$X$500,0)),"")</f>
        <v/>
      </c>
      <c r="F214" s="4" t="str">
        <f>IFERROR(INDEX(样本到样信息汇总统计!F$2:F$500,MATCH(213,样本到样信息汇总统计!$X$2:$X$500,0)),"")</f>
        <v/>
      </c>
      <c r="G214" s="4" t="str">
        <f>IFERROR(INDEX(样本到样信息汇总统计!G$2:G$500,MATCH(213,样本到样信息汇总统计!$X$2:$X$500,0)),"")</f>
        <v/>
      </c>
      <c r="H214" s="4" t="str">
        <f>IFERROR(INDEX(样本到样信息汇总统计!H$2:H$500,MATCH(213,样本到样信息汇总统计!$X$2:$X$500,0)),"")</f>
        <v/>
      </c>
      <c r="I214" s="4" t="str">
        <f>IFERROR(INDEX(样本到样信息汇总统计!I$2:I$500,MATCH(213,样本到样信息汇总统计!$X$2:$X$500,0)),"")</f>
        <v/>
      </c>
      <c r="J214" s="4" t="str">
        <f>IFERROR(INDEX(样本到样信息汇总统计!J$2:J$500,MATCH(213,样本到样信息汇总统计!$X$2:$X$500,0)),"")</f>
        <v/>
      </c>
      <c r="K214" s="14" t="str">
        <f>IFERROR(INDEX(样本到样信息汇总统计!K$2:K$500,MATCH(213,样本到样信息汇总统计!$X$2:$X$500,0)),"")</f>
        <v/>
      </c>
      <c r="L214" s="4" t="str">
        <f>IFERROR(INDEX(样本到样信息汇总统计!L$2:L$500,MATCH(213,样本到样信息汇总统计!$X$2:$X$500,0)),"")</f>
        <v/>
      </c>
      <c r="M214" s="4" t="str">
        <f>IFERROR(INDEX(样本到样信息汇总统计!M$2:M$500,MATCH(213,样本到样信息汇总统计!$X$2:$X$500,0)),"")</f>
        <v/>
      </c>
      <c r="N214" s="4" t="str">
        <f>IFERROR(INDEX(样本到样信息汇总统计!N$2:N$500,MATCH(213,样本到样信息汇总统计!$X$2:$X$500,0)),"")</f>
        <v/>
      </c>
      <c r="O214" s="4" t="str">
        <f>IFERROR(INDEX(样本到样信息汇总统计!O$2:O$500,MATCH(213,样本到样信息汇总统计!$X$2:$X$500,0)),"")</f>
        <v/>
      </c>
      <c r="P214" s="4" t="str">
        <f>IFERROR(INDEX(样本到样信息汇总统计!P$2:P$500,MATCH(213,样本到样信息汇总统计!$X$2:$X$500,0)),"")</f>
        <v/>
      </c>
      <c r="Q214" s="4" t="str">
        <f>IFERROR(INDEX(样本到样信息汇总统计!Q$2:Q$500,MATCH(213,样本到样信息汇总统计!$X$2:$X$500,0)),"")</f>
        <v/>
      </c>
      <c r="R214" s="4" t="str">
        <f>IFERROR(INDEX(样本到样信息汇总统计!R$2:R$500,MATCH(213,样本到样信息汇总统计!$X$2:$X$500,0)),"")</f>
        <v/>
      </c>
      <c r="S214" s="4" t="str">
        <f>IFERROR(INDEX(样本到样信息汇总统计!S$2:S$500,MATCH(213,样本到样信息汇总统计!$X$2:$X$500,0)),"")</f>
        <v/>
      </c>
      <c r="T214" s="4" t="str">
        <f>IFERROR(INDEX(样本到样信息汇总统计!T$2:T$500,MATCH(213,样本到样信息汇总统计!$X$2:$X$500,0)),"")</f>
        <v/>
      </c>
      <c r="U214" s="4" t="str">
        <f>IFERROR(INDEX(样本到样信息汇总统计!U$2:U$500,MATCH(213,样本到样信息汇总统计!$X$2:$X$500,0)),"")</f>
        <v/>
      </c>
      <c r="V214" s="4" t="str">
        <f>IFERROR(INDEX(样本到样信息汇总统计!V$2:V$500,MATCH(213,样本到样信息汇总统计!$X$2:$X$500,0)),"")</f>
        <v/>
      </c>
      <c r="W214" s="4" t="str">
        <f>IFERROR(INDEX(样本到样信息汇总统计!W$2:W$500,MATCH(213,样本到样信息汇总统计!$X$2:$X$500,0)),"")</f>
        <v/>
      </c>
    </row>
    <row r="215" ht="14.5" spans="1:23">
      <c r="A215" s="8" t="str">
        <f>IFERROR(INDEX(样本到样信息汇总统计!A$2:A$500,MATCH(214,样本到样信息汇总统计!$X$2:$X$500,0)),"")</f>
        <v/>
      </c>
      <c r="B215" s="8" t="str">
        <f>IFERROR(INDEX(样本到样信息汇总统计!B$2:B$500,MATCH(214,样本到样信息汇总统计!$X$2:$X$500,0)),"")</f>
        <v/>
      </c>
      <c r="C215" s="8" t="str">
        <f>IFERROR(INDEX(样本到样信息汇总统计!C$2:C$500,MATCH(214,样本到样信息汇总统计!$X$2:$X$500,0)),"")</f>
        <v/>
      </c>
      <c r="D215" s="8" t="str">
        <f>IFERROR(INDEX(样本到样信息汇总统计!D$2:D$500,MATCH(214,样本到样信息汇总统计!$X$2:$X$500,0)),"")</f>
        <v/>
      </c>
      <c r="E215" s="8" t="str">
        <f>IFERROR(INDEX(样本到样信息汇总统计!E$2:E$500,MATCH(214,样本到样信息汇总统计!$X$2:$X$500,0)),"")</f>
        <v/>
      </c>
      <c r="F215" s="8" t="str">
        <f>IFERROR(INDEX(样本到样信息汇总统计!F$2:F$500,MATCH(214,样本到样信息汇总统计!$X$2:$X$500,0)),"")</f>
        <v/>
      </c>
      <c r="G215" s="8" t="str">
        <f>IFERROR(INDEX(样本到样信息汇总统计!G$2:G$500,MATCH(214,样本到样信息汇总统计!$X$2:$X$500,0)),"")</f>
        <v/>
      </c>
      <c r="H215" s="8" t="str">
        <f>IFERROR(INDEX(样本到样信息汇总统计!H$2:H$500,MATCH(214,样本到样信息汇总统计!$X$2:$X$500,0)),"")</f>
        <v/>
      </c>
      <c r="I215" s="8" t="str">
        <f>IFERROR(INDEX(样本到样信息汇总统计!I$2:I$500,MATCH(214,样本到样信息汇总统计!$X$2:$X$500,0)),"")</f>
        <v/>
      </c>
      <c r="J215" s="8" t="str">
        <f>IFERROR(INDEX(样本到样信息汇总统计!J$2:J$500,MATCH(214,样本到样信息汇总统计!$X$2:$X$500,0)),"")</f>
        <v/>
      </c>
      <c r="K215" s="15" t="str">
        <f>IFERROR(INDEX(样本到样信息汇总统计!K$2:K$500,MATCH(214,样本到样信息汇总统计!$X$2:$X$500,0)),"")</f>
        <v/>
      </c>
      <c r="L215" s="8" t="str">
        <f>IFERROR(INDEX(样本到样信息汇总统计!L$2:L$500,MATCH(214,样本到样信息汇总统计!$X$2:$X$500,0)),"")</f>
        <v/>
      </c>
      <c r="M215" s="8" t="str">
        <f>IFERROR(INDEX(样本到样信息汇总统计!M$2:M$500,MATCH(214,样本到样信息汇总统计!$X$2:$X$500,0)),"")</f>
        <v/>
      </c>
      <c r="N215" s="8" t="str">
        <f>IFERROR(INDEX(样本到样信息汇总统计!N$2:N$500,MATCH(214,样本到样信息汇总统计!$X$2:$X$500,0)),"")</f>
        <v/>
      </c>
      <c r="O215" s="8" t="str">
        <f>IFERROR(INDEX(样本到样信息汇总统计!O$2:O$500,MATCH(214,样本到样信息汇总统计!$X$2:$X$500,0)),"")</f>
        <v/>
      </c>
      <c r="P215" s="8" t="str">
        <f>IFERROR(INDEX(样本到样信息汇总统计!P$2:P$500,MATCH(214,样本到样信息汇总统计!$X$2:$X$500,0)),"")</f>
        <v/>
      </c>
      <c r="Q215" s="8" t="str">
        <f>IFERROR(INDEX(样本到样信息汇总统计!Q$2:Q$500,MATCH(214,样本到样信息汇总统计!$X$2:$X$500,0)),"")</f>
        <v/>
      </c>
      <c r="R215" s="8" t="str">
        <f>IFERROR(INDEX(样本到样信息汇总统计!R$2:R$500,MATCH(214,样本到样信息汇总统计!$X$2:$X$500,0)),"")</f>
        <v/>
      </c>
      <c r="S215" s="8" t="str">
        <f>IFERROR(INDEX(样本到样信息汇总统计!S$2:S$500,MATCH(214,样本到样信息汇总统计!$X$2:$X$500,0)),"")</f>
        <v/>
      </c>
      <c r="T215" s="8" t="str">
        <f>IFERROR(INDEX(样本到样信息汇总统计!T$2:T$500,MATCH(214,样本到样信息汇总统计!$X$2:$X$500,0)),"")</f>
        <v/>
      </c>
      <c r="U215" s="8" t="str">
        <f>IFERROR(INDEX(样本到样信息汇总统计!U$2:U$500,MATCH(214,样本到样信息汇总统计!$X$2:$X$500,0)),"")</f>
        <v/>
      </c>
      <c r="V215" s="8" t="str">
        <f>IFERROR(INDEX(样本到样信息汇总统计!V$2:V$500,MATCH(214,样本到样信息汇总统计!$X$2:$X$500,0)),"")</f>
        <v/>
      </c>
      <c r="W215" s="8" t="str">
        <f>IFERROR(INDEX(样本到样信息汇总统计!W$2:W$500,MATCH(214,样本到样信息汇总统计!$X$2:$X$500,0)),"")</f>
        <v/>
      </c>
    </row>
    <row r="216" ht="14.5" spans="1:23">
      <c r="A216" s="4" t="str">
        <f>IFERROR(INDEX(样本到样信息汇总统计!A$2:A$500,MATCH(215,样本到样信息汇总统计!$X$2:$X$500,0)),"")</f>
        <v/>
      </c>
      <c r="B216" s="4" t="str">
        <f>IFERROR(INDEX(样本到样信息汇总统计!B$2:B$500,MATCH(215,样本到样信息汇总统计!$X$2:$X$500,0)),"")</f>
        <v/>
      </c>
      <c r="C216" s="4" t="str">
        <f>IFERROR(INDEX(样本到样信息汇总统计!C$2:C$500,MATCH(215,样本到样信息汇总统计!$X$2:$X$500,0)),"")</f>
        <v/>
      </c>
      <c r="D216" s="4" t="str">
        <f>IFERROR(INDEX(样本到样信息汇总统计!D$2:D$500,MATCH(215,样本到样信息汇总统计!$X$2:$X$500,0)),"")</f>
        <v/>
      </c>
      <c r="E216" s="4" t="str">
        <f>IFERROR(INDEX(样本到样信息汇总统计!E$2:E$500,MATCH(215,样本到样信息汇总统计!$X$2:$X$500,0)),"")</f>
        <v/>
      </c>
      <c r="F216" s="4" t="str">
        <f>IFERROR(INDEX(样本到样信息汇总统计!F$2:F$500,MATCH(215,样本到样信息汇总统计!$X$2:$X$500,0)),"")</f>
        <v/>
      </c>
      <c r="G216" s="4" t="str">
        <f>IFERROR(INDEX(样本到样信息汇总统计!G$2:G$500,MATCH(215,样本到样信息汇总统计!$X$2:$X$500,0)),"")</f>
        <v/>
      </c>
      <c r="H216" s="4" t="str">
        <f>IFERROR(INDEX(样本到样信息汇总统计!H$2:H$500,MATCH(215,样本到样信息汇总统计!$X$2:$X$500,0)),"")</f>
        <v/>
      </c>
      <c r="I216" s="4" t="str">
        <f>IFERROR(INDEX(样本到样信息汇总统计!I$2:I$500,MATCH(215,样本到样信息汇总统计!$X$2:$X$500,0)),"")</f>
        <v/>
      </c>
      <c r="J216" s="4" t="str">
        <f>IFERROR(INDEX(样本到样信息汇总统计!J$2:J$500,MATCH(215,样本到样信息汇总统计!$X$2:$X$500,0)),"")</f>
        <v/>
      </c>
      <c r="K216" s="14" t="str">
        <f>IFERROR(INDEX(样本到样信息汇总统计!K$2:K$500,MATCH(215,样本到样信息汇总统计!$X$2:$X$500,0)),"")</f>
        <v/>
      </c>
      <c r="L216" s="4" t="str">
        <f>IFERROR(INDEX(样本到样信息汇总统计!L$2:L$500,MATCH(215,样本到样信息汇总统计!$X$2:$X$500,0)),"")</f>
        <v/>
      </c>
      <c r="M216" s="4" t="str">
        <f>IFERROR(INDEX(样本到样信息汇总统计!M$2:M$500,MATCH(215,样本到样信息汇总统计!$X$2:$X$500,0)),"")</f>
        <v/>
      </c>
      <c r="N216" s="4" t="str">
        <f>IFERROR(INDEX(样本到样信息汇总统计!N$2:N$500,MATCH(215,样本到样信息汇总统计!$X$2:$X$500,0)),"")</f>
        <v/>
      </c>
      <c r="O216" s="4" t="str">
        <f>IFERROR(INDEX(样本到样信息汇总统计!O$2:O$500,MATCH(215,样本到样信息汇总统计!$X$2:$X$500,0)),"")</f>
        <v/>
      </c>
      <c r="P216" s="4" t="str">
        <f>IFERROR(INDEX(样本到样信息汇总统计!P$2:P$500,MATCH(215,样本到样信息汇总统计!$X$2:$X$500,0)),"")</f>
        <v/>
      </c>
      <c r="Q216" s="4" t="str">
        <f>IFERROR(INDEX(样本到样信息汇总统计!Q$2:Q$500,MATCH(215,样本到样信息汇总统计!$X$2:$X$500,0)),"")</f>
        <v/>
      </c>
      <c r="R216" s="4" t="str">
        <f>IFERROR(INDEX(样本到样信息汇总统计!R$2:R$500,MATCH(215,样本到样信息汇总统计!$X$2:$X$500,0)),"")</f>
        <v/>
      </c>
      <c r="S216" s="4" t="str">
        <f>IFERROR(INDEX(样本到样信息汇总统计!S$2:S$500,MATCH(215,样本到样信息汇总统计!$X$2:$X$500,0)),"")</f>
        <v/>
      </c>
      <c r="T216" s="4" t="str">
        <f>IFERROR(INDEX(样本到样信息汇总统计!T$2:T$500,MATCH(215,样本到样信息汇总统计!$X$2:$X$500,0)),"")</f>
        <v/>
      </c>
      <c r="U216" s="4" t="str">
        <f>IFERROR(INDEX(样本到样信息汇总统计!U$2:U$500,MATCH(215,样本到样信息汇总统计!$X$2:$X$500,0)),"")</f>
        <v/>
      </c>
      <c r="V216" s="4" t="str">
        <f>IFERROR(INDEX(样本到样信息汇总统计!V$2:V$500,MATCH(215,样本到样信息汇总统计!$X$2:$X$500,0)),"")</f>
        <v/>
      </c>
      <c r="W216" s="4" t="str">
        <f>IFERROR(INDEX(样本到样信息汇总统计!W$2:W$500,MATCH(215,样本到样信息汇总统计!$X$2:$X$500,0)),"")</f>
        <v/>
      </c>
    </row>
    <row r="217" ht="14.5" spans="1:23">
      <c r="A217" s="8" t="str">
        <f>IFERROR(INDEX(样本到样信息汇总统计!A$2:A$500,MATCH(216,样本到样信息汇总统计!$X$2:$X$500,0)),"")</f>
        <v/>
      </c>
      <c r="B217" s="8" t="str">
        <f>IFERROR(INDEX(样本到样信息汇总统计!B$2:B$500,MATCH(216,样本到样信息汇总统计!$X$2:$X$500,0)),"")</f>
        <v/>
      </c>
      <c r="C217" s="8" t="str">
        <f>IFERROR(INDEX(样本到样信息汇总统计!C$2:C$500,MATCH(216,样本到样信息汇总统计!$X$2:$X$500,0)),"")</f>
        <v/>
      </c>
      <c r="D217" s="8" t="str">
        <f>IFERROR(INDEX(样本到样信息汇总统计!D$2:D$500,MATCH(216,样本到样信息汇总统计!$X$2:$X$500,0)),"")</f>
        <v/>
      </c>
      <c r="E217" s="8" t="str">
        <f>IFERROR(INDEX(样本到样信息汇总统计!E$2:E$500,MATCH(216,样本到样信息汇总统计!$X$2:$X$500,0)),"")</f>
        <v/>
      </c>
      <c r="F217" s="8" t="str">
        <f>IFERROR(INDEX(样本到样信息汇总统计!F$2:F$500,MATCH(216,样本到样信息汇总统计!$X$2:$X$500,0)),"")</f>
        <v/>
      </c>
      <c r="G217" s="8" t="str">
        <f>IFERROR(INDEX(样本到样信息汇总统计!G$2:G$500,MATCH(216,样本到样信息汇总统计!$X$2:$X$500,0)),"")</f>
        <v/>
      </c>
      <c r="H217" s="8" t="str">
        <f>IFERROR(INDEX(样本到样信息汇总统计!H$2:H$500,MATCH(216,样本到样信息汇总统计!$X$2:$X$500,0)),"")</f>
        <v/>
      </c>
      <c r="I217" s="8" t="str">
        <f>IFERROR(INDEX(样本到样信息汇总统计!I$2:I$500,MATCH(216,样本到样信息汇总统计!$X$2:$X$500,0)),"")</f>
        <v/>
      </c>
      <c r="J217" s="8" t="str">
        <f>IFERROR(INDEX(样本到样信息汇总统计!J$2:J$500,MATCH(216,样本到样信息汇总统计!$X$2:$X$500,0)),"")</f>
        <v/>
      </c>
      <c r="K217" s="15" t="str">
        <f>IFERROR(INDEX(样本到样信息汇总统计!K$2:K$500,MATCH(216,样本到样信息汇总统计!$X$2:$X$500,0)),"")</f>
        <v/>
      </c>
      <c r="L217" s="8" t="str">
        <f>IFERROR(INDEX(样本到样信息汇总统计!L$2:L$500,MATCH(216,样本到样信息汇总统计!$X$2:$X$500,0)),"")</f>
        <v/>
      </c>
      <c r="M217" s="8" t="str">
        <f>IFERROR(INDEX(样本到样信息汇总统计!M$2:M$500,MATCH(216,样本到样信息汇总统计!$X$2:$X$500,0)),"")</f>
        <v/>
      </c>
      <c r="N217" s="8" t="str">
        <f>IFERROR(INDEX(样本到样信息汇总统计!N$2:N$500,MATCH(216,样本到样信息汇总统计!$X$2:$X$500,0)),"")</f>
        <v/>
      </c>
      <c r="O217" s="8" t="str">
        <f>IFERROR(INDEX(样本到样信息汇总统计!O$2:O$500,MATCH(216,样本到样信息汇总统计!$X$2:$X$500,0)),"")</f>
        <v/>
      </c>
      <c r="P217" s="8" t="str">
        <f>IFERROR(INDEX(样本到样信息汇总统计!P$2:P$500,MATCH(216,样本到样信息汇总统计!$X$2:$X$500,0)),"")</f>
        <v/>
      </c>
      <c r="Q217" s="8" t="str">
        <f>IFERROR(INDEX(样本到样信息汇总统计!Q$2:Q$500,MATCH(216,样本到样信息汇总统计!$X$2:$X$500,0)),"")</f>
        <v/>
      </c>
      <c r="R217" s="8" t="str">
        <f>IFERROR(INDEX(样本到样信息汇总统计!R$2:R$500,MATCH(216,样本到样信息汇总统计!$X$2:$X$500,0)),"")</f>
        <v/>
      </c>
      <c r="S217" s="8" t="str">
        <f>IFERROR(INDEX(样本到样信息汇总统计!S$2:S$500,MATCH(216,样本到样信息汇总统计!$X$2:$X$500,0)),"")</f>
        <v/>
      </c>
      <c r="T217" s="8" t="str">
        <f>IFERROR(INDEX(样本到样信息汇总统计!T$2:T$500,MATCH(216,样本到样信息汇总统计!$X$2:$X$500,0)),"")</f>
        <v/>
      </c>
      <c r="U217" s="8" t="str">
        <f>IFERROR(INDEX(样本到样信息汇总统计!U$2:U$500,MATCH(216,样本到样信息汇总统计!$X$2:$X$500,0)),"")</f>
        <v/>
      </c>
      <c r="V217" s="8" t="str">
        <f>IFERROR(INDEX(样本到样信息汇总统计!V$2:V$500,MATCH(216,样本到样信息汇总统计!$X$2:$X$500,0)),"")</f>
        <v/>
      </c>
      <c r="W217" s="8" t="str">
        <f>IFERROR(INDEX(样本到样信息汇总统计!W$2:W$500,MATCH(216,样本到样信息汇总统计!$X$2:$X$500,0)),"")</f>
        <v/>
      </c>
    </row>
    <row r="218" ht="14.5" spans="1:23">
      <c r="A218" s="4" t="str">
        <f>IFERROR(INDEX(样本到样信息汇总统计!A$2:A$500,MATCH(217,样本到样信息汇总统计!$X$2:$X$500,0)),"")</f>
        <v/>
      </c>
      <c r="B218" s="4" t="str">
        <f>IFERROR(INDEX(样本到样信息汇总统计!B$2:B$500,MATCH(217,样本到样信息汇总统计!$X$2:$X$500,0)),"")</f>
        <v/>
      </c>
      <c r="C218" s="4" t="str">
        <f>IFERROR(INDEX(样本到样信息汇总统计!C$2:C$500,MATCH(217,样本到样信息汇总统计!$X$2:$X$500,0)),"")</f>
        <v/>
      </c>
      <c r="D218" s="4" t="str">
        <f>IFERROR(INDEX(样本到样信息汇总统计!D$2:D$500,MATCH(217,样本到样信息汇总统计!$X$2:$X$500,0)),"")</f>
        <v/>
      </c>
      <c r="E218" s="4" t="str">
        <f>IFERROR(INDEX(样本到样信息汇总统计!E$2:E$500,MATCH(217,样本到样信息汇总统计!$X$2:$X$500,0)),"")</f>
        <v/>
      </c>
      <c r="F218" s="4" t="str">
        <f>IFERROR(INDEX(样本到样信息汇总统计!F$2:F$500,MATCH(217,样本到样信息汇总统计!$X$2:$X$500,0)),"")</f>
        <v/>
      </c>
      <c r="G218" s="4" t="str">
        <f>IFERROR(INDEX(样本到样信息汇总统计!G$2:G$500,MATCH(217,样本到样信息汇总统计!$X$2:$X$500,0)),"")</f>
        <v/>
      </c>
      <c r="H218" s="4" t="str">
        <f>IFERROR(INDEX(样本到样信息汇总统计!H$2:H$500,MATCH(217,样本到样信息汇总统计!$X$2:$X$500,0)),"")</f>
        <v/>
      </c>
      <c r="I218" s="4" t="str">
        <f>IFERROR(INDEX(样本到样信息汇总统计!I$2:I$500,MATCH(217,样本到样信息汇总统计!$X$2:$X$500,0)),"")</f>
        <v/>
      </c>
      <c r="J218" s="4" t="str">
        <f>IFERROR(INDEX(样本到样信息汇总统计!J$2:J$500,MATCH(217,样本到样信息汇总统计!$X$2:$X$500,0)),"")</f>
        <v/>
      </c>
      <c r="K218" s="14" t="str">
        <f>IFERROR(INDEX(样本到样信息汇总统计!K$2:K$500,MATCH(217,样本到样信息汇总统计!$X$2:$X$500,0)),"")</f>
        <v/>
      </c>
      <c r="L218" s="4" t="str">
        <f>IFERROR(INDEX(样本到样信息汇总统计!L$2:L$500,MATCH(217,样本到样信息汇总统计!$X$2:$X$500,0)),"")</f>
        <v/>
      </c>
      <c r="M218" s="4" t="str">
        <f>IFERROR(INDEX(样本到样信息汇总统计!M$2:M$500,MATCH(217,样本到样信息汇总统计!$X$2:$X$500,0)),"")</f>
        <v/>
      </c>
      <c r="N218" s="4" t="str">
        <f>IFERROR(INDEX(样本到样信息汇总统计!N$2:N$500,MATCH(217,样本到样信息汇总统计!$X$2:$X$500,0)),"")</f>
        <v/>
      </c>
      <c r="O218" s="4" t="str">
        <f>IFERROR(INDEX(样本到样信息汇总统计!O$2:O$500,MATCH(217,样本到样信息汇总统计!$X$2:$X$500,0)),"")</f>
        <v/>
      </c>
      <c r="P218" s="4" t="str">
        <f>IFERROR(INDEX(样本到样信息汇总统计!P$2:P$500,MATCH(217,样本到样信息汇总统计!$X$2:$X$500,0)),"")</f>
        <v/>
      </c>
      <c r="Q218" s="4" t="str">
        <f>IFERROR(INDEX(样本到样信息汇总统计!Q$2:Q$500,MATCH(217,样本到样信息汇总统计!$X$2:$X$500,0)),"")</f>
        <v/>
      </c>
      <c r="R218" s="4" t="str">
        <f>IFERROR(INDEX(样本到样信息汇总统计!R$2:R$500,MATCH(217,样本到样信息汇总统计!$X$2:$X$500,0)),"")</f>
        <v/>
      </c>
      <c r="S218" s="4" t="str">
        <f>IFERROR(INDEX(样本到样信息汇总统计!S$2:S$500,MATCH(217,样本到样信息汇总统计!$X$2:$X$500,0)),"")</f>
        <v/>
      </c>
      <c r="T218" s="4" t="str">
        <f>IFERROR(INDEX(样本到样信息汇总统计!T$2:T$500,MATCH(217,样本到样信息汇总统计!$X$2:$X$500,0)),"")</f>
        <v/>
      </c>
      <c r="U218" s="4" t="str">
        <f>IFERROR(INDEX(样本到样信息汇总统计!U$2:U$500,MATCH(217,样本到样信息汇总统计!$X$2:$X$500,0)),"")</f>
        <v/>
      </c>
      <c r="V218" s="4" t="str">
        <f>IFERROR(INDEX(样本到样信息汇总统计!V$2:V$500,MATCH(217,样本到样信息汇总统计!$X$2:$X$500,0)),"")</f>
        <v/>
      </c>
      <c r="W218" s="4" t="str">
        <f>IFERROR(INDEX(样本到样信息汇总统计!W$2:W$500,MATCH(217,样本到样信息汇总统计!$X$2:$X$500,0)),"")</f>
        <v/>
      </c>
    </row>
    <row r="219" ht="14.5" spans="1:23">
      <c r="A219" s="8" t="str">
        <f>IFERROR(INDEX(样本到样信息汇总统计!A$2:A$500,MATCH(218,样本到样信息汇总统计!$X$2:$X$500,0)),"")</f>
        <v/>
      </c>
      <c r="B219" s="8" t="str">
        <f>IFERROR(INDEX(样本到样信息汇总统计!B$2:B$500,MATCH(218,样本到样信息汇总统计!$X$2:$X$500,0)),"")</f>
        <v/>
      </c>
      <c r="C219" s="8" t="str">
        <f>IFERROR(INDEX(样本到样信息汇总统计!C$2:C$500,MATCH(218,样本到样信息汇总统计!$X$2:$X$500,0)),"")</f>
        <v/>
      </c>
      <c r="D219" s="8" t="str">
        <f>IFERROR(INDEX(样本到样信息汇总统计!D$2:D$500,MATCH(218,样本到样信息汇总统计!$X$2:$X$500,0)),"")</f>
        <v/>
      </c>
      <c r="E219" s="8" t="str">
        <f>IFERROR(INDEX(样本到样信息汇总统计!E$2:E$500,MATCH(218,样本到样信息汇总统计!$X$2:$X$500,0)),"")</f>
        <v/>
      </c>
      <c r="F219" s="8" t="str">
        <f>IFERROR(INDEX(样本到样信息汇总统计!F$2:F$500,MATCH(218,样本到样信息汇总统计!$X$2:$X$500,0)),"")</f>
        <v/>
      </c>
      <c r="G219" s="8" t="str">
        <f>IFERROR(INDEX(样本到样信息汇总统计!G$2:G$500,MATCH(218,样本到样信息汇总统计!$X$2:$X$500,0)),"")</f>
        <v/>
      </c>
      <c r="H219" s="8" t="str">
        <f>IFERROR(INDEX(样本到样信息汇总统计!H$2:H$500,MATCH(218,样本到样信息汇总统计!$X$2:$X$500,0)),"")</f>
        <v/>
      </c>
      <c r="I219" s="8" t="str">
        <f>IFERROR(INDEX(样本到样信息汇总统计!I$2:I$500,MATCH(218,样本到样信息汇总统计!$X$2:$X$500,0)),"")</f>
        <v/>
      </c>
      <c r="J219" s="8" t="str">
        <f>IFERROR(INDEX(样本到样信息汇总统计!J$2:J$500,MATCH(218,样本到样信息汇总统计!$X$2:$X$500,0)),"")</f>
        <v/>
      </c>
      <c r="K219" s="15" t="str">
        <f>IFERROR(INDEX(样本到样信息汇总统计!K$2:K$500,MATCH(218,样本到样信息汇总统计!$X$2:$X$500,0)),"")</f>
        <v/>
      </c>
      <c r="L219" s="8" t="str">
        <f>IFERROR(INDEX(样本到样信息汇总统计!L$2:L$500,MATCH(218,样本到样信息汇总统计!$X$2:$X$500,0)),"")</f>
        <v/>
      </c>
      <c r="M219" s="8" t="str">
        <f>IFERROR(INDEX(样本到样信息汇总统计!M$2:M$500,MATCH(218,样本到样信息汇总统计!$X$2:$X$500,0)),"")</f>
        <v/>
      </c>
      <c r="N219" s="8" t="str">
        <f>IFERROR(INDEX(样本到样信息汇总统计!N$2:N$500,MATCH(218,样本到样信息汇总统计!$X$2:$X$500,0)),"")</f>
        <v/>
      </c>
      <c r="O219" s="8" t="str">
        <f>IFERROR(INDEX(样本到样信息汇总统计!O$2:O$500,MATCH(218,样本到样信息汇总统计!$X$2:$X$500,0)),"")</f>
        <v/>
      </c>
      <c r="P219" s="8" t="str">
        <f>IFERROR(INDEX(样本到样信息汇总统计!P$2:P$500,MATCH(218,样本到样信息汇总统计!$X$2:$X$500,0)),"")</f>
        <v/>
      </c>
      <c r="Q219" s="8" t="str">
        <f>IFERROR(INDEX(样本到样信息汇总统计!Q$2:Q$500,MATCH(218,样本到样信息汇总统计!$X$2:$X$500,0)),"")</f>
        <v/>
      </c>
      <c r="R219" s="8" t="str">
        <f>IFERROR(INDEX(样本到样信息汇总统计!R$2:R$500,MATCH(218,样本到样信息汇总统计!$X$2:$X$500,0)),"")</f>
        <v/>
      </c>
      <c r="S219" s="8" t="str">
        <f>IFERROR(INDEX(样本到样信息汇总统计!S$2:S$500,MATCH(218,样本到样信息汇总统计!$X$2:$X$500,0)),"")</f>
        <v/>
      </c>
      <c r="T219" s="8" t="str">
        <f>IFERROR(INDEX(样本到样信息汇总统计!T$2:T$500,MATCH(218,样本到样信息汇总统计!$X$2:$X$500,0)),"")</f>
        <v/>
      </c>
      <c r="U219" s="8" t="str">
        <f>IFERROR(INDEX(样本到样信息汇总统计!U$2:U$500,MATCH(218,样本到样信息汇总统计!$X$2:$X$500,0)),"")</f>
        <v/>
      </c>
      <c r="V219" s="8" t="str">
        <f>IFERROR(INDEX(样本到样信息汇总统计!V$2:V$500,MATCH(218,样本到样信息汇总统计!$X$2:$X$500,0)),"")</f>
        <v/>
      </c>
      <c r="W219" s="8" t="str">
        <f>IFERROR(INDEX(样本到样信息汇总统计!W$2:W$500,MATCH(218,样本到样信息汇总统计!$X$2:$X$500,0)),"")</f>
        <v/>
      </c>
    </row>
    <row r="220" ht="14.5" spans="1:23">
      <c r="A220" s="4" t="str">
        <f>IFERROR(INDEX(样本到样信息汇总统计!A$2:A$500,MATCH(219,样本到样信息汇总统计!$X$2:$X$500,0)),"")</f>
        <v/>
      </c>
      <c r="B220" s="4" t="str">
        <f>IFERROR(INDEX(样本到样信息汇总统计!B$2:B$500,MATCH(219,样本到样信息汇总统计!$X$2:$X$500,0)),"")</f>
        <v/>
      </c>
      <c r="C220" s="4" t="str">
        <f>IFERROR(INDEX(样本到样信息汇总统计!C$2:C$500,MATCH(219,样本到样信息汇总统计!$X$2:$X$500,0)),"")</f>
        <v/>
      </c>
      <c r="D220" s="4" t="str">
        <f>IFERROR(INDEX(样本到样信息汇总统计!D$2:D$500,MATCH(219,样本到样信息汇总统计!$X$2:$X$500,0)),"")</f>
        <v/>
      </c>
      <c r="E220" s="4" t="str">
        <f>IFERROR(INDEX(样本到样信息汇总统计!E$2:E$500,MATCH(219,样本到样信息汇总统计!$X$2:$X$500,0)),"")</f>
        <v/>
      </c>
      <c r="F220" s="4" t="str">
        <f>IFERROR(INDEX(样本到样信息汇总统计!F$2:F$500,MATCH(219,样本到样信息汇总统计!$X$2:$X$500,0)),"")</f>
        <v/>
      </c>
      <c r="G220" s="4" t="str">
        <f>IFERROR(INDEX(样本到样信息汇总统计!G$2:G$500,MATCH(219,样本到样信息汇总统计!$X$2:$X$500,0)),"")</f>
        <v/>
      </c>
      <c r="H220" s="4" t="str">
        <f>IFERROR(INDEX(样本到样信息汇总统计!H$2:H$500,MATCH(219,样本到样信息汇总统计!$X$2:$X$500,0)),"")</f>
        <v/>
      </c>
      <c r="I220" s="4" t="str">
        <f>IFERROR(INDEX(样本到样信息汇总统计!I$2:I$500,MATCH(219,样本到样信息汇总统计!$X$2:$X$500,0)),"")</f>
        <v/>
      </c>
      <c r="J220" s="4" t="str">
        <f>IFERROR(INDEX(样本到样信息汇总统计!J$2:J$500,MATCH(219,样本到样信息汇总统计!$X$2:$X$500,0)),"")</f>
        <v/>
      </c>
      <c r="K220" s="14" t="str">
        <f>IFERROR(INDEX(样本到样信息汇总统计!K$2:K$500,MATCH(219,样本到样信息汇总统计!$X$2:$X$500,0)),"")</f>
        <v/>
      </c>
      <c r="L220" s="4" t="str">
        <f>IFERROR(INDEX(样本到样信息汇总统计!L$2:L$500,MATCH(219,样本到样信息汇总统计!$X$2:$X$500,0)),"")</f>
        <v/>
      </c>
      <c r="M220" s="4" t="str">
        <f>IFERROR(INDEX(样本到样信息汇总统计!M$2:M$500,MATCH(219,样本到样信息汇总统计!$X$2:$X$500,0)),"")</f>
        <v/>
      </c>
      <c r="N220" s="4" t="str">
        <f>IFERROR(INDEX(样本到样信息汇总统计!N$2:N$500,MATCH(219,样本到样信息汇总统计!$X$2:$X$500,0)),"")</f>
        <v/>
      </c>
      <c r="O220" s="4" t="str">
        <f>IFERROR(INDEX(样本到样信息汇总统计!O$2:O$500,MATCH(219,样本到样信息汇总统计!$X$2:$X$500,0)),"")</f>
        <v/>
      </c>
      <c r="P220" s="4" t="str">
        <f>IFERROR(INDEX(样本到样信息汇总统计!P$2:P$500,MATCH(219,样本到样信息汇总统计!$X$2:$X$500,0)),"")</f>
        <v/>
      </c>
      <c r="Q220" s="4" t="str">
        <f>IFERROR(INDEX(样本到样信息汇总统计!Q$2:Q$500,MATCH(219,样本到样信息汇总统计!$X$2:$X$500,0)),"")</f>
        <v/>
      </c>
      <c r="R220" s="4" t="str">
        <f>IFERROR(INDEX(样本到样信息汇总统计!R$2:R$500,MATCH(219,样本到样信息汇总统计!$X$2:$X$500,0)),"")</f>
        <v/>
      </c>
      <c r="S220" s="4" t="str">
        <f>IFERROR(INDEX(样本到样信息汇总统计!S$2:S$500,MATCH(219,样本到样信息汇总统计!$X$2:$X$500,0)),"")</f>
        <v/>
      </c>
      <c r="T220" s="4" t="str">
        <f>IFERROR(INDEX(样本到样信息汇总统计!T$2:T$500,MATCH(219,样本到样信息汇总统计!$X$2:$X$500,0)),"")</f>
        <v/>
      </c>
      <c r="U220" s="4" t="str">
        <f>IFERROR(INDEX(样本到样信息汇总统计!U$2:U$500,MATCH(219,样本到样信息汇总统计!$X$2:$X$500,0)),"")</f>
        <v/>
      </c>
      <c r="V220" s="4" t="str">
        <f>IFERROR(INDEX(样本到样信息汇总统计!V$2:V$500,MATCH(219,样本到样信息汇总统计!$X$2:$X$500,0)),"")</f>
        <v/>
      </c>
      <c r="W220" s="4" t="str">
        <f>IFERROR(INDEX(样本到样信息汇总统计!W$2:W$500,MATCH(219,样本到样信息汇总统计!$X$2:$X$500,0)),"")</f>
        <v/>
      </c>
    </row>
    <row r="221" ht="14.5" spans="1:23">
      <c r="A221" s="8" t="str">
        <f>IFERROR(INDEX(样本到样信息汇总统计!A$2:A$500,MATCH(220,样本到样信息汇总统计!$X$2:$X$500,0)),"")</f>
        <v/>
      </c>
      <c r="B221" s="8" t="str">
        <f>IFERROR(INDEX(样本到样信息汇总统计!B$2:B$500,MATCH(220,样本到样信息汇总统计!$X$2:$X$500,0)),"")</f>
        <v/>
      </c>
      <c r="C221" s="8" t="str">
        <f>IFERROR(INDEX(样本到样信息汇总统计!C$2:C$500,MATCH(220,样本到样信息汇总统计!$X$2:$X$500,0)),"")</f>
        <v/>
      </c>
      <c r="D221" s="8" t="str">
        <f>IFERROR(INDEX(样本到样信息汇总统计!D$2:D$500,MATCH(220,样本到样信息汇总统计!$X$2:$X$500,0)),"")</f>
        <v/>
      </c>
      <c r="E221" s="8" t="str">
        <f>IFERROR(INDEX(样本到样信息汇总统计!E$2:E$500,MATCH(220,样本到样信息汇总统计!$X$2:$X$500,0)),"")</f>
        <v/>
      </c>
      <c r="F221" s="8" t="str">
        <f>IFERROR(INDEX(样本到样信息汇总统计!F$2:F$500,MATCH(220,样本到样信息汇总统计!$X$2:$X$500,0)),"")</f>
        <v/>
      </c>
      <c r="G221" s="8" t="str">
        <f>IFERROR(INDEX(样本到样信息汇总统计!G$2:G$500,MATCH(220,样本到样信息汇总统计!$X$2:$X$500,0)),"")</f>
        <v/>
      </c>
      <c r="H221" s="8" t="str">
        <f>IFERROR(INDEX(样本到样信息汇总统计!H$2:H$500,MATCH(220,样本到样信息汇总统计!$X$2:$X$500,0)),"")</f>
        <v/>
      </c>
      <c r="I221" s="8" t="str">
        <f>IFERROR(INDEX(样本到样信息汇总统计!I$2:I$500,MATCH(220,样本到样信息汇总统计!$X$2:$X$500,0)),"")</f>
        <v/>
      </c>
      <c r="J221" s="8" t="str">
        <f>IFERROR(INDEX(样本到样信息汇总统计!J$2:J$500,MATCH(220,样本到样信息汇总统计!$X$2:$X$500,0)),"")</f>
        <v/>
      </c>
      <c r="K221" s="15" t="str">
        <f>IFERROR(INDEX(样本到样信息汇总统计!K$2:K$500,MATCH(220,样本到样信息汇总统计!$X$2:$X$500,0)),"")</f>
        <v/>
      </c>
      <c r="L221" s="8" t="str">
        <f>IFERROR(INDEX(样本到样信息汇总统计!L$2:L$500,MATCH(220,样本到样信息汇总统计!$X$2:$X$500,0)),"")</f>
        <v/>
      </c>
      <c r="M221" s="8" t="str">
        <f>IFERROR(INDEX(样本到样信息汇总统计!M$2:M$500,MATCH(220,样本到样信息汇总统计!$X$2:$X$500,0)),"")</f>
        <v/>
      </c>
      <c r="N221" s="8" t="str">
        <f>IFERROR(INDEX(样本到样信息汇总统计!N$2:N$500,MATCH(220,样本到样信息汇总统计!$X$2:$X$500,0)),"")</f>
        <v/>
      </c>
      <c r="O221" s="8" t="str">
        <f>IFERROR(INDEX(样本到样信息汇总统计!O$2:O$500,MATCH(220,样本到样信息汇总统计!$X$2:$X$500,0)),"")</f>
        <v/>
      </c>
      <c r="P221" s="8" t="str">
        <f>IFERROR(INDEX(样本到样信息汇总统计!P$2:P$500,MATCH(220,样本到样信息汇总统计!$X$2:$X$500,0)),"")</f>
        <v/>
      </c>
      <c r="Q221" s="8" t="str">
        <f>IFERROR(INDEX(样本到样信息汇总统计!Q$2:Q$500,MATCH(220,样本到样信息汇总统计!$X$2:$X$500,0)),"")</f>
        <v/>
      </c>
      <c r="R221" s="8" t="str">
        <f>IFERROR(INDEX(样本到样信息汇总统计!R$2:R$500,MATCH(220,样本到样信息汇总统计!$X$2:$X$500,0)),"")</f>
        <v/>
      </c>
      <c r="S221" s="8" t="str">
        <f>IFERROR(INDEX(样本到样信息汇总统计!S$2:S$500,MATCH(220,样本到样信息汇总统计!$X$2:$X$500,0)),"")</f>
        <v/>
      </c>
      <c r="T221" s="8" t="str">
        <f>IFERROR(INDEX(样本到样信息汇总统计!T$2:T$500,MATCH(220,样本到样信息汇总统计!$X$2:$X$500,0)),"")</f>
        <v/>
      </c>
      <c r="U221" s="8" t="str">
        <f>IFERROR(INDEX(样本到样信息汇总统计!U$2:U$500,MATCH(220,样本到样信息汇总统计!$X$2:$X$500,0)),"")</f>
        <v/>
      </c>
      <c r="V221" s="8" t="str">
        <f>IFERROR(INDEX(样本到样信息汇总统计!V$2:V$500,MATCH(220,样本到样信息汇总统计!$X$2:$X$500,0)),"")</f>
        <v/>
      </c>
      <c r="W221" s="8" t="str">
        <f>IFERROR(INDEX(样本到样信息汇总统计!W$2:W$500,MATCH(220,样本到样信息汇总统计!$X$2:$X$500,0)),"")</f>
        <v/>
      </c>
    </row>
    <row r="222" ht="14.5" spans="1:23">
      <c r="A222" s="4" t="str">
        <f>IFERROR(INDEX(样本到样信息汇总统计!A$2:A$500,MATCH(221,样本到样信息汇总统计!$X$2:$X$500,0)),"")</f>
        <v/>
      </c>
      <c r="B222" s="4" t="str">
        <f>IFERROR(INDEX(样本到样信息汇总统计!B$2:B$500,MATCH(221,样本到样信息汇总统计!$X$2:$X$500,0)),"")</f>
        <v/>
      </c>
      <c r="C222" s="4" t="str">
        <f>IFERROR(INDEX(样本到样信息汇总统计!C$2:C$500,MATCH(221,样本到样信息汇总统计!$X$2:$X$500,0)),"")</f>
        <v/>
      </c>
      <c r="D222" s="4" t="str">
        <f>IFERROR(INDEX(样本到样信息汇总统计!D$2:D$500,MATCH(221,样本到样信息汇总统计!$X$2:$X$500,0)),"")</f>
        <v/>
      </c>
      <c r="E222" s="4" t="str">
        <f>IFERROR(INDEX(样本到样信息汇总统计!E$2:E$500,MATCH(221,样本到样信息汇总统计!$X$2:$X$500,0)),"")</f>
        <v/>
      </c>
      <c r="F222" s="4" t="str">
        <f>IFERROR(INDEX(样本到样信息汇总统计!F$2:F$500,MATCH(221,样本到样信息汇总统计!$X$2:$X$500,0)),"")</f>
        <v/>
      </c>
      <c r="G222" s="4" t="str">
        <f>IFERROR(INDEX(样本到样信息汇总统计!G$2:G$500,MATCH(221,样本到样信息汇总统计!$X$2:$X$500,0)),"")</f>
        <v/>
      </c>
      <c r="H222" s="4" t="str">
        <f>IFERROR(INDEX(样本到样信息汇总统计!H$2:H$500,MATCH(221,样本到样信息汇总统计!$X$2:$X$500,0)),"")</f>
        <v/>
      </c>
      <c r="I222" s="4" t="str">
        <f>IFERROR(INDEX(样本到样信息汇总统计!I$2:I$500,MATCH(221,样本到样信息汇总统计!$X$2:$X$500,0)),"")</f>
        <v/>
      </c>
      <c r="J222" s="4" t="str">
        <f>IFERROR(INDEX(样本到样信息汇总统计!J$2:J$500,MATCH(221,样本到样信息汇总统计!$X$2:$X$500,0)),"")</f>
        <v/>
      </c>
      <c r="K222" s="14" t="str">
        <f>IFERROR(INDEX(样本到样信息汇总统计!K$2:K$500,MATCH(221,样本到样信息汇总统计!$X$2:$X$500,0)),"")</f>
        <v/>
      </c>
      <c r="L222" s="4" t="str">
        <f>IFERROR(INDEX(样本到样信息汇总统计!L$2:L$500,MATCH(221,样本到样信息汇总统计!$X$2:$X$500,0)),"")</f>
        <v/>
      </c>
      <c r="M222" s="4" t="str">
        <f>IFERROR(INDEX(样本到样信息汇总统计!M$2:M$500,MATCH(221,样本到样信息汇总统计!$X$2:$X$500,0)),"")</f>
        <v/>
      </c>
      <c r="N222" s="4" t="str">
        <f>IFERROR(INDEX(样本到样信息汇总统计!N$2:N$500,MATCH(221,样本到样信息汇总统计!$X$2:$X$500,0)),"")</f>
        <v/>
      </c>
      <c r="O222" s="4" t="str">
        <f>IFERROR(INDEX(样本到样信息汇总统计!O$2:O$500,MATCH(221,样本到样信息汇总统计!$X$2:$X$500,0)),"")</f>
        <v/>
      </c>
      <c r="P222" s="4" t="str">
        <f>IFERROR(INDEX(样本到样信息汇总统计!P$2:P$500,MATCH(221,样本到样信息汇总统计!$X$2:$X$500,0)),"")</f>
        <v/>
      </c>
      <c r="Q222" s="4" t="str">
        <f>IFERROR(INDEX(样本到样信息汇总统计!Q$2:Q$500,MATCH(221,样本到样信息汇总统计!$X$2:$X$500,0)),"")</f>
        <v/>
      </c>
      <c r="R222" s="4" t="str">
        <f>IFERROR(INDEX(样本到样信息汇总统计!R$2:R$500,MATCH(221,样本到样信息汇总统计!$X$2:$X$500,0)),"")</f>
        <v/>
      </c>
      <c r="S222" s="4" t="str">
        <f>IFERROR(INDEX(样本到样信息汇总统计!S$2:S$500,MATCH(221,样本到样信息汇总统计!$X$2:$X$500,0)),"")</f>
        <v/>
      </c>
      <c r="T222" s="4" t="str">
        <f>IFERROR(INDEX(样本到样信息汇总统计!T$2:T$500,MATCH(221,样本到样信息汇总统计!$X$2:$X$500,0)),"")</f>
        <v/>
      </c>
      <c r="U222" s="4" t="str">
        <f>IFERROR(INDEX(样本到样信息汇总统计!U$2:U$500,MATCH(221,样本到样信息汇总统计!$X$2:$X$500,0)),"")</f>
        <v/>
      </c>
      <c r="V222" s="4" t="str">
        <f>IFERROR(INDEX(样本到样信息汇总统计!V$2:V$500,MATCH(221,样本到样信息汇总统计!$X$2:$X$500,0)),"")</f>
        <v/>
      </c>
      <c r="W222" s="4" t="str">
        <f>IFERROR(INDEX(样本到样信息汇总统计!W$2:W$500,MATCH(221,样本到样信息汇总统计!$X$2:$X$500,0)),"")</f>
        <v/>
      </c>
    </row>
    <row r="223" ht="14.5" spans="1:23">
      <c r="A223" s="8" t="str">
        <f>IFERROR(INDEX(样本到样信息汇总统计!A$2:A$500,MATCH(222,样本到样信息汇总统计!$X$2:$X$500,0)),"")</f>
        <v/>
      </c>
      <c r="B223" s="8" t="str">
        <f>IFERROR(INDEX(样本到样信息汇总统计!B$2:B$500,MATCH(222,样本到样信息汇总统计!$X$2:$X$500,0)),"")</f>
        <v/>
      </c>
      <c r="C223" s="8" t="str">
        <f>IFERROR(INDEX(样本到样信息汇总统计!C$2:C$500,MATCH(222,样本到样信息汇总统计!$X$2:$X$500,0)),"")</f>
        <v/>
      </c>
      <c r="D223" s="8" t="str">
        <f>IFERROR(INDEX(样本到样信息汇总统计!D$2:D$500,MATCH(222,样本到样信息汇总统计!$X$2:$X$500,0)),"")</f>
        <v/>
      </c>
      <c r="E223" s="8" t="str">
        <f>IFERROR(INDEX(样本到样信息汇总统计!E$2:E$500,MATCH(222,样本到样信息汇总统计!$X$2:$X$500,0)),"")</f>
        <v/>
      </c>
      <c r="F223" s="8" t="str">
        <f>IFERROR(INDEX(样本到样信息汇总统计!F$2:F$500,MATCH(222,样本到样信息汇总统计!$X$2:$X$500,0)),"")</f>
        <v/>
      </c>
      <c r="G223" s="8" t="str">
        <f>IFERROR(INDEX(样本到样信息汇总统计!G$2:G$500,MATCH(222,样本到样信息汇总统计!$X$2:$X$500,0)),"")</f>
        <v/>
      </c>
      <c r="H223" s="8" t="str">
        <f>IFERROR(INDEX(样本到样信息汇总统计!H$2:H$500,MATCH(222,样本到样信息汇总统计!$X$2:$X$500,0)),"")</f>
        <v/>
      </c>
      <c r="I223" s="8" t="str">
        <f>IFERROR(INDEX(样本到样信息汇总统计!I$2:I$500,MATCH(222,样本到样信息汇总统计!$X$2:$X$500,0)),"")</f>
        <v/>
      </c>
      <c r="J223" s="8" t="str">
        <f>IFERROR(INDEX(样本到样信息汇总统计!J$2:J$500,MATCH(222,样本到样信息汇总统计!$X$2:$X$500,0)),"")</f>
        <v/>
      </c>
      <c r="K223" s="15" t="str">
        <f>IFERROR(INDEX(样本到样信息汇总统计!K$2:K$500,MATCH(222,样本到样信息汇总统计!$X$2:$X$500,0)),"")</f>
        <v/>
      </c>
      <c r="L223" s="8" t="str">
        <f>IFERROR(INDEX(样本到样信息汇总统计!L$2:L$500,MATCH(222,样本到样信息汇总统计!$X$2:$X$500,0)),"")</f>
        <v/>
      </c>
      <c r="M223" s="8" t="str">
        <f>IFERROR(INDEX(样本到样信息汇总统计!M$2:M$500,MATCH(222,样本到样信息汇总统计!$X$2:$X$500,0)),"")</f>
        <v/>
      </c>
      <c r="N223" s="8" t="str">
        <f>IFERROR(INDEX(样本到样信息汇总统计!N$2:N$500,MATCH(222,样本到样信息汇总统计!$X$2:$X$500,0)),"")</f>
        <v/>
      </c>
      <c r="O223" s="8" t="str">
        <f>IFERROR(INDEX(样本到样信息汇总统计!O$2:O$500,MATCH(222,样本到样信息汇总统计!$X$2:$X$500,0)),"")</f>
        <v/>
      </c>
      <c r="P223" s="8" t="str">
        <f>IFERROR(INDEX(样本到样信息汇总统计!P$2:P$500,MATCH(222,样本到样信息汇总统计!$X$2:$X$500,0)),"")</f>
        <v/>
      </c>
      <c r="Q223" s="8" t="str">
        <f>IFERROR(INDEX(样本到样信息汇总统计!Q$2:Q$500,MATCH(222,样本到样信息汇总统计!$X$2:$X$500,0)),"")</f>
        <v/>
      </c>
      <c r="R223" s="8" t="str">
        <f>IFERROR(INDEX(样本到样信息汇总统计!R$2:R$500,MATCH(222,样本到样信息汇总统计!$X$2:$X$500,0)),"")</f>
        <v/>
      </c>
      <c r="S223" s="8" t="str">
        <f>IFERROR(INDEX(样本到样信息汇总统计!S$2:S$500,MATCH(222,样本到样信息汇总统计!$X$2:$X$500,0)),"")</f>
        <v/>
      </c>
      <c r="T223" s="8" t="str">
        <f>IFERROR(INDEX(样本到样信息汇总统计!T$2:T$500,MATCH(222,样本到样信息汇总统计!$X$2:$X$500,0)),"")</f>
        <v/>
      </c>
      <c r="U223" s="8" t="str">
        <f>IFERROR(INDEX(样本到样信息汇总统计!U$2:U$500,MATCH(222,样本到样信息汇总统计!$X$2:$X$500,0)),"")</f>
        <v/>
      </c>
      <c r="V223" s="8" t="str">
        <f>IFERROR(INDEX(样本到样信息汇总统计!V$2:V$500,MATCH(222,样本到样信息汇总统计!$X$2:$X$500,0)),"")</f>
        <v/>
      </c>
      <c r="W223" s="8" t="str">
        <f>IFERROR(INDEX(样本到样信息汇总统计!W$2:W$500,MATCH(222,样本到样信息汇总统计!$X$2:$X$500,0)),"")</f>
        <v/>
      </c>
    </row>
    <row r="224" ht="14.5" spans="1:23">
      <c r="A224" s="4" t="str">
        <f>IFERROR(INDEX(样本到样信息汇总统计!A$2:A$500,MATCH(223,样本到样信息汇总统计!$X$2:$X$500,0)),"")</f>
        <v/>
      </c>
      <c r="B224" s="4" t="str">
        <f>IFERROR(INDEX(样本到样信息汇总统计!B$2:B$500,MATCH(223,样本到样信息汇总统计!$X$2:$X$500,0)),"")</f>
        <v/>
      </c>
      <c r="C224" s="4" t="str">
        <f>IFERROR(INDEX(样本到样信息汇总统计!C$2:C$500,MATCH(223,样本到样信息汇总统计!$X$2:$X$500,0)),"")</f>
        <v/>
      </c>
      <c r="D224" s="4" t="str">
        <f>IFERROR(INDEX(样本到样信息汇总统计!D$2:D$500,MATCH(223,样本到样信息汇总统计!$X$2:$X$500,0)),"")</f>
        <v/>
      </c>
      <c r="E224" s="4" t="str">
        <f>IFERROR(INDEX(样本到样信息汇总统计!E$2:E$500,MATCH(223,样本到样信息汇总统计!$X$2:$X$500,0)),"")</f>
        <v/>
      </c>
      <c r="F224" s="4" t="str">
        <f>IFERROR(INDEX(样本到样信息汇总统计!F$2:F$500,MATCH(223,样本到样信息汇总统计!$X$2:$X$500,0)),"")</f>
        <v/>
      </c>
      <c r="G224" s="4" t="str">
        <f>IFERROR(INDEX(样本到样信息汇总统计!G$2:G$500,MATCH(223,样本到样信息汇总统计!$X$2:$X$500,0)),"")</f>
        <v/>
      </c>
      <c r="H224" s="4" t="str">
        <f>IFERROR(INDEX(样本到样信息汇总统计!H$2:H$500,MATCH(223,样本到样信息汇总统计!$X$2:$X$500,0)),"")</f>
        <v/>
      </c>
      <c r="I224" s="4" t="str">
        <f>IFERROR(INDEX(样本到样信息汇总统计!I$2:I$500,MATCH(223,样本到样信息汇总统计!$X$2:$X$500,0)),"")</f>
        <v/>
      </c>
      <c r="J224" s="4" t="str">
        <f>IFERROR(INDEX(样本到样信息汇总统计!J$2:J$500,MATCH(223,样本到样信息汇总统计!$X$2:$X$500,0)),"")</f>
        <v/>
      </c>
      <c r="K224" s="14" t="str">
        <f>IFERROR(INDEX(样本到样信息汇总统计!K$2:K$500,MATCH(223,样本到样信息汇总统计!$X$2:$X$500,0)),"")</f>
        <v/>
      </c>
      <c r="L224" s="4" t="str">
        <f>IFERROR(INDEX(样本到样信息汇总统计!L$2:L$500,MATCH(223,样本到样信息汇总统计!$X$2:$X$500,0)),"")</f>
        <v/>
      </c>
      <c r="M224" s="4" t="str">
        <f>IFERROR(INDEX(样本到样信息汇总统计!M$2:M$500,MATCH(223,样本到样信息汇总统计!$X$2:$X$500,0)),"")</f>
        <v/>
      </c>
      <c r="N224" s="4" t="str">
        <f>IFERROR(INDEX(样本到样信息汇总统计!N$2:N$500,MATCH(223,样本到样信息汇总统计!$X$2:$X$500,0)),"")</f>
        <v/>
      </c>
      <c r="O224" s="4" t="str">
        <f>IFERROR(INDEX(样本到样信息汇总统计!O$2:O$500,MATCH(223,样本到样信息汇总统计!$X$2:$X$500,0)),"")</f>
        <v/>
      </c>
      <c r="P224" s="4" t="str">
        <f>IFERROR(INDEX(样本到样信息汇总统计!P$2:P$500,MATCH(223,样本到样信息汇总统计!$X$2:$X$500,0)),"")</f>
        <v/>
      </c>
      <c r="Q224" s="4" t="str">
        <f>IFERROR(INDEX(样本到样信息汇总统计!Q$2:Q$500,MATCH(223,样本到样信息汇总统计!$X$2:$X$500,0)),"")</f>
        <v/>
      </c>
      <c r="R224" s="4" t="str">
        <f>IFERROR(INDEX(样本到样信息汇总统计!R$2:R$500,MATCH(223,样本到样信息汇总统计!$X$2:$X$500,0)),"")</f>
        <v/>
      </c>
      <c r="S224" s="4" t="str">
        <f>IFERROR(INDEX(样本到样信息汇总统计!S$2:S$500,MATCH(223,样本到样信息汇总统计!$X$2:$X$500,0)),"")</f>
        <v/>
      </c>
      <c r="T224" s="4" t="str">
        <f>IFERROR(INDEX(样本到样信息汇总统计!T$2:T$500,MATCH(223,样本到样信息汇总统计!$X$2:$X$500,0)),"")</f>
        <v/>
      </c>
      <c r="U224" s="4" t="str">
        <f>IFERROR(INDEX(样本到样信息汇总统计!U$2:U$500,MATCH(223,样本到样信息汇总统计!$X$2:$X$500,0)),"")</f>
        <v/>
      </c>
      <c r="V224" s="4" t="str">
        <f>IFERROR(INDEX(样本到样信息汇总统计!V$2:V$500,MATCH(223,样本到样信息汇总统计!$X$2:$X$500,0)),"")</f>
        <v/>
      </c>
      <c r="W224" s="4" t="str">
        <f>IFERROR(INDEX(样本到样信息汇总统计!W$2:W$500,MATCH(223,样本到样信息汇总统计!$X$2:$X$500,0)),"")</f>
        <v/>
      </c>
    </row>
    <row r="225" ht="14.5" spans="1:23">
      <c r="A225" s="8" t="str">
        <f>IFERROR(INDEX(样本到样信息汇总统计!A$2:A$500,MATCH(224,样本到样信息汇总统计!$X$2:$X$500,0)),"")</f>
        <v/>
      </c>
      <c r="B225" s="8" t="str">
        <f>IFERROR(INDEX(样本到样信息汇总统计!B$2:B$500,MATCH(224,样本到样信息汇总统计!$X$2:$X$500,0)),"")</f>
        <v/>
      </c>
      <c r="C225" s="8" t="str">
        <f>IFERROR(INDEX(样本到样信息汇总统计!C$2:C$500,MATCH(224,样本到样信息汇总统计!$X$2:$X$500,0)),"")</f>
        <v/>
      </c>
      <c r="D225" s="8" t="str">
        <f>IFERROR(INDEX(样本到样信息汇总统计!D$2:D$500,MATCH(224,样本到样信息汇总统计!$X$2:$X$500,0)),"")</f>
        <v/>
      </c>
      <c r="E225" s="8" t="str">
        <f>IFERROR(INDEX(样本到样信息汇总统计!E$2:E$500,MATCH(224,样本到样信息汇总统计!$X$2:$X$500,0)),"")</f>
        <v/>
      </c>
      <c r="F225" s="8" t="str">
        <f>IFERROR(INDEX(样本到样信息汇总统计!F$2:F$500,MATCH(224,样本到样信息汇总统计!$X$2:$X$500,0)),"")</f>
        <v/>
      </c>
      <c r="G225" s="8" t="str">
        <f>IFERROR(INDEX(样本到样信息汇总统计!G$2:G$500,MATCH(224,样本到样信息汇总统计!$X$2:$X$500,0)),"")</f>
        <v/>
      </c>
      <c r="H225" s="8" t="str">
        <f>IFERROR(INDEX(样本到样信息汇总统计!H$2:H$500,MATCH(224,样本到样信息汇总统计!$X$2:$X$500,0)),"")</f>
        <v/>
      </c>
      <c r="I225" s="8" t="str">
        <f>IFERROR(INDEX(样本到样信息汇总统计!I$2:I$500,MATCH(224,样本到样信息汇总统计!$X$2:$X$500,0)),"")</f>
        <v/>
      </c>
      <c r="J225" s="8" t="str">
        <f>IFERROR(INDEX(样本到样信息汇总统计!J$2:J$500,MATCH(224,样本到样信息汇总统计!$X$2:$X$500,0)),"")</f>
        <v/>
      </c>
      <c r="K225" s="15" t="str">
        <f>IFERROR(INDEX(样本到样信息汇总统计!K$2:K$500,MATCH(224,样本到样信息汇总统计!$X$2:$X$500,0)),"")</f>
        <v/>
      </c>
      <c r="L225" s="8" t="str">
        <f>IFERROR(INDEX(样本到样信息汇总统计!L$2:L$500,MATCH(224,样本到样信息汇总统计!$X$2:$X$500,0)),"")</f>
        <v/>
      </c>
      <c r="M225" s="8" t="str">
        <f>IFERROR(INDEX(样本到样信息汇总统计!M$2:M$500,MATCH(224,样本到样信息汇总统计!$X$2:$X$500,0)),"")</f>
        <v/>
      </c>
      <c r="N225" s="8" t="str">
        <f>IFERROR(INDEX(样本到样信息汇总统计!N$2:N$500,MATCH(224,样本到样信息汇总统计!$X$2:$X$500,0)),"")</f>
        <v/>
      </c>
      <c r="O225" s="8" t="str">
        <f>IFERROR(INDEX(样本到样信息汇总统计!O$2:O$500,MATCH(224,样本到样信息汇总统计!$X$2:$X$500,0)),"")</f>
        <v/>
      </c>
      <c r="P225" s="8" t="str">
        <f>IFERROR(INDEX(样本到样信息汇总统计!P$2:P$500,MATCH(224,样本到样信息汇总统计!$X$2:$X$500,0)),"")</f>
        <v/>
      </c>
      <c r="Q225" s="8" t="str">
        <f>IFERROR(INDEX(样本到样信息汇总统计!Q$2:Q$500,MATCH(224,样本到样信息汇总统计!$X$2:$X$500,0)),"")</f>
        <v/>
      </c>
      <c r="R225" s="8" t="str">
        <f>IFERROR(INDEX(样本到样信息汇总统计!R$2:R$500,MATCH(224,样本到样信息汇总统计!$X$2:$X$500,0)),"")</f>
        <v/>
      </c>
      <c r="S225" s="8" t="str">
        <f>IFERROR(INDEX(样本到样信息汇总统计!S$2:S$500,MATCH(224,样本到样信息汇总统计!$X$2:$X$500,0)),"")</f>
        <v/>
      </c>
      <c r="T225" s="8" t="str">
        <f>IFERROR(INDEX(样本到样信息汇总统计!T$2:T$500,MATCH(224,样本到样信息汇总统计!$X$2:$X$500,0)),"")</f>
        <v/>
      </c>
      <c r="U225" s="8" t="str">
        <f>IFERROR(INDEX(样本到样信息汇总统计!U$2:U$500,MATCH(224,样本到样信息汇总统计!$X$2:$X$500,0)),"")</f>
        <v/>
      </c>
      <c r="V225" s="8" t="str">
        <f>IFERROR(INDEX(样本到样信息汇总统计!V$2:V$500,MATCH(224,样本到样信息汇总统计!$X$2:$X$500,0)),"")</f>
        <v/>
      </c>
      <c r="W225" s="8" t="str">
        <f>IFERROR(INDEX(样本到样信息汇总统计!W$2:W$500,MATCH(224,样本到样信息汇总统计!$X$2:$X$500,0)),"")</f>
        <v/>
      </c>
    </row>
    <row r="226" ht="14.5" spans="1:23">
      <c r="A226" s="4" t="str">
        <f>IFERROR(INDEX(样本到样信息汇总统计!A$2:A$500,MATCH(225,样本到样信息汇总统计!$X$2:$X$500,0)),"")</f>
        <v/>
      </c>
      <c r="B226" s="4" t="str">
        <f>IFERROR(INDEX(样本到样信息汇总统计!B$2:B$500,MATCH(225,样本到样信息汇总统计!$X$2:$X$500,0)),"")</f>
        <v/>
      </c>
      <c r="C226" s="4" t="str">
        <f>IFERROR(INDEX(样本到样信息汇总统计!C$2:C$500,MATCH(225,样本到样信息汇总统计!$X$2:$X$500,0)),"")</f>
        <v/>
      </c>
      <c r="D226" s="4" t="str">
        <f>IFERROR(INDEX(样本到样信息汇总统计!D$2:D$500,MATCH(225,样本到样信息汇总统计!$X$2:$X$500,0)),"")</f>
        <v/>
      </c>
      <c r="E226" s="4" t="str">
        <f>IFERROR(INDEX(样本到样信息汇总统计!E$2:E$500,MATCH(225,样本到样信息汇总统计!$X$2:$X$500,0)),"")</f>
        <v/>
      </c>
      <c r="F226" s="4" t="str">
        <f>IFERROR(INDEX(样本到样信息汇总统计!F$2:F$500,MATCH(225,样本到样信息汇总统计!$X$2:$X$500,0)),"")</f>
        <v/>
      </c>
      <c r="G226" s="4" t="str">
        <f>IFERROR(INDEX(样本到样信息汇总统计!G$2:G$500,MATCH(225,样本到样信息汇总统计!$X$2:$X$500,0)),"")</f>
        <v/>
      </c>
      <c r="H226" s="4" t="str">
        <f>IFERROR(INDEX(样本到样信息汇总统计!H$2:H$500,MATCH(225,样本到样信息汇总统计!$X$2:$X$500,0)),"")</f>
        <v/>
      </c>
      <c r="I226" s="4" t="str">
        <f>IFERROR(INDEX(样本到样信息汇总统计!I$2:I$500,MATCH(225,样本到样信息汇总统计!$X$2:$X$500,0)),"")</f>
        <v/>
      </c>
      <c r="J226" s="4" t="str">
        <f>IFERROR(INDEX(样本到样信息汇总统计!J$2:J$500,MATCH(225,样本到样信息汇总统计!$X$2:$X$500,0)),"")</f>
        <v/>
      </c>
      <c r="K226" s="14" t="str">
        <f>IFERROR(INDEX(样本到样信息汇总统计!K$2:K$500,MATCH(225,样本到样信息汇总统计!$X$2:$X$500,0)),"")</f>
        <v/>
      </c>
      <c r="L226" s="4" t="str">
        <f>IFERROR(INDEX(样本到样信息汇总统计!L$2:L$500,MATCH(225,样本到样信息汇总统计!$X$2:$X$500,0)),"")</f>
        <v/>
      </c>
      <c r="M226" s="4" t="str">
        <f>IFERROR(INDEX(样本到样信息汇总统计!M$2:M$500,MATCH(225,样本到样信息汇总统计!$X$2:$X$500,0)),"")</f>
        <v/>
      </c>
      <c r="N226" s="4" t="str">
        <f>IFERROR(INDEX(样本到样信息汇总统计!N$2:N$500,MATCH(225,样本到样信息汇总统计!$X$2:$X$500,0)),"")</f>
        <v/>
      </c>
      <c r="O226" s="4" t="str">
        <f>IFERROR(INDEX(样本到样信息汇总统计!O$2:O$500,MATCH(225,样本到样信息汇总统计!$X$2:$X$500,0)),"")</f>
        <v/>
      </c>
      <c r="P226" s="4" t="str">
        <f>IFERROR(INDEX(样本到样信息汇总统计!P$2:P$500,MATCH(225,样本到样信息汇总统计!$X$2:$X$500,0)),"")</f>
        <v/>
      </c>
      <c r="Q226" s="4" t="str">
        <f>IFERROR(INDEX(样本到样信息汇总统计!Q$2:Q$500,MATCH(225,样本到样信息汇总统计!$X$2:$X$500,0)),"")</f>
        <v/>
      </c>
      <c r="R226" s="4" t="str">
        <f>IFERROR(INDEX(样本到样信息汇总统计!R$2:R$500,MATCH(225,样本到样信息汇总统计!$X$2:$X$500,0)),"")</f>
        <v/>
      </c>
      <c r="S226" s="4" t="str">
        <f>IFERROR(INDEX(样本到样信息汇总统计!S$2:S$500,MATCH(225,样本到样信息汇总统计!$X$2:$X$500,0)),"")</f>
        <v/>
      </c>
      <c r="T226" s="4" t="str">
        <f>IFERROR(INDEX(样本到样信息汇总统计!T$2:T$500,MATCH(225,样本到样信息汇总统计!$X$2:$X$500,0)),"")</f>
        <v/>
      </c>
      <c r="U226" s="4" t="str">
        <f>IFERROR(INDEX(样本到样信息汇总统计!U$2:U$500,MATCH(225,样本到样信息汇总统计!$X$2:$X$500,0)),"")</f>
        <v/>
      </c>
      <c r="V226" s="4" t="str">
        <f>IFERROR(INDEX(样本到样信息汇总统计!V$2:V$500,MATCH(225,样本到样信息汇总统计!$X$2:$X$500,0)),"")</f>
        <v/>
      </c>
      <c r="W226" s="4" t="str">
        <f>IFERROR(INDEX(样本到样信息汇总统计!W$2:W$500,MATCH(225,样本到样信息汇总统计!$X$2:$X$500,0)),"")</f>
        <v/>
      </c>
    </row>
    <row r="227" ht="14.5" spans="1:23">
      <c r="A227" s="8" t="str">
        <f>IFERROR(INDEX(样本到样信息汇总统计!A$2:A$500,MATCH(226,样本到样信息汇总统计!$X$2:$X$500,0)),"")</f>
        <v/>
      </c>
      <c r="B227" s="8" t="str">
        <f>IFERROR(INDEX(样本到样信息汇总统计!B$2:B$500,MATCH(226,样本到样信息汇总统计!$X$2:$X$500,0)),"")</f>
        <v/>
      </c>
      <c r="C227" s="8" t="str">
        <f>IFERROR(INDEX(样本到样信息汇总统计!C$2:C$500,MATCH(226,样本到样信息汇总统计!$X$2:$X$500,0)),"")</f>
        <v/>
      </c>
      <c r="D227" s="8" t="str">
        <f>IFERROR(INDEX(样本到样信息汇总统计!D$2:D$500,MATCH(226,样本到样信息汇总统计!$X$2:$X$500,0)),"")</f>
        <v/>
      </c>
      <c r="E227" s="8" t="str">
        <f>IFERROR(INDEX(样本到样信息汇总统计!E$2:E$500,MATCH(226,样本到样信息汇总统计!$X$2:$X$500,0)),"")</f>
        <v/>
      </c>
      <c r="F227" s="8" t="str">
        <f>IFERROR(INDEX(样本到样信息汇总统计!F$2:F$500,MATCH(226,样本到样信息汇总统计!$X$2:$X$500,0)),"")</f>
        <v/>
      </c>
      <c r="G227" s="8" t="str">
        <f>IFERROR(INDEX(样本到样信息汇总统计!G$2:G$500,MATCH(226,样本到样信息汇总统计!$X$2:$X$500,0)),"")</f>
        <v/>
      </c>
      <c r="H227" s="8" t="str">
        <f>IFERROR(INDEX(样本到样信息汇总统计!H$2:H$500,MATCH(226,样本到样信息汇总统计!$X$2:$X$500,0)),"")</f>
        <v/>
      </c>
      <c r="I227" s="8" t="str">
        <f>IFERROR(INDEX(样本到样信息汇总统计!I$2:I$500,MATCH(226,样本到样信息汇总统计!$X$2:$X$500,0)),"")</f>
        <v/>
      </c>
      <c r="J227" s="8" t="str">
        <f>IFERROR(INDEX(样本到样信息汇总统计!J$2:J$500,MATCH(226,样本到样信息汇总统计!$X$2:$X$500,0)),"")</f>
        <v/>
      </c>
      <c r="K227" s="15" t="str">
        <f>IFERROR(INDEX(样本到样信息汇总统计!K$2:K$500,MATCH(226,样本到样信息汇总统计!$X$2:$X$500,0)),"")</f>
        <v/>
      </c>
      <c r="L227" s="8" t="str">
        <f>IFERROR(INDEX(样本到样信息汇总统计!L$2:L$500,MATCH(226,样本到样信息汇总统计!$X$2:$X$500,0)),"")</f>
        <v/>
      </c>
      <c r="M227" s="8" t="str">
        <f>IFERROR(INDEX(样本到样信息汇总统计!M$2:M$500,MATCH(226,样本到样信息汇总统计!$X$2:$X$500,0)),"")</f>
        <v/>
      </c>
      <c r="N227" s="8" t="str">
        <f>IFERROR(INDEX(样本到样信息汇总统计!N$2:N$500,MATCH(226,样本到样信息汇总统计!$X$2:$X$500,0)),"")</f>
        <v/>
      </c>
      <c r="O227" s="8" t="str">
        <f>IFERROR(INDEX(样本到样信息汇总统计!O$2:O$500,MATCH(226,样本到样信息汇总统计!$X$2:$X$500,0)),"")</f>
        <v/>
      </c>
      <c r="P227" s="8" t="str">
        <f>IFERROR(INDEX(样本到样信息汇总统计!P$2:P$500,MATCH(226,样本到样信息汇总统计!$X$2:$X$500,0)),"")</f>
        <v/>
      </c>
      <c r="Q227" s="8" t="str">
        <f>IFERROR(INDEX(样本到样信息汇总统计!Q$2:Q$500,MATCH(226,样本到样信息汇总统计!$X$2:$X$500,0)),"")</f>
        <v/>
      </c>
      <c r="R227" s="8" t="str">
        <f>IFERROR(INDEX(样本到样信息汇总统计!R$2:R$500,MATCH(226,样本到样信息汇总统计!$X$2:$X$500,0)),"")</f>
        <v/>
      </c>
      <c r="S227" s="8" t="str">
        <f>IFERROR(INDEX(样本到样信息汇总统计!S$2:S$500,MATCH(226,样本到样信息汇总统计!$X$2:$X$500,0)),"")</f>
        <v/>
      </c>
      <c r="T227" s="8" t="str">
        <f>IFERROR(INDEX(样本到样信息汇总统计!T$2:T$500,MATCH(226,样本到样信息汇总统计!$X$2:$X$500,0)),"")</f>
        <v/>
      </c>
      <c r="U227" s="8" t="str">
        <f>IFERROR(INDEX(样本到样信息汇总统计!U$2:U$500,MATCH(226,样本到样信息汇总统计!$X$2:$X$500,0)),"")</f>
        <v/>
      </c>
      <c r="V227" s="8" t="str">
        <f>IFERROR(INDEX(样本到样信息汇总统计!V$2:V$500,MATCH(226,样本到样信息汇总统计!$X$2:$X$500,0)),"")</f>
        <v/>
      </c>
      <c r="W227" s="8" t="str">
        <f>IFERROR(INDEX(样本到样信息汇总统计!W$2:W$500,MATCH(226,样本到样信息汇总统计!$X$2:$X$500,0)),"")</f>
        <v/>
      </c>
    </row>
    <row r="228" ht="14.5" spans="1:23">
      <c r="A228" s="4" t="str">
        <f>IFERROR(INDEX(样本到样信息汇总统计!A$2:A$500,MATCH(227,样本到样信息汇总统计!$X$2:$X$500,0)),"")</f>
        <v/>
      </c>
      <c r="B228" s="4" t="str">
        <f>IFERROR(INDEX(样本到样信息汇总统计!B$2:B$500,MATCH(227,样本到样信息汇总统计!$X$2:$X$500,0)),"")</f>
        <v/>
      </c>
      <c r="C228" s="4" t="str">
        <f>IFERROR(INDEX(样本到样信息汇总统计!C$2:C$500,MATCH(227,样本到样信息汇总统计!$X$2:$X$500,0)),"")</f>
        <v/>
      </c>
      <c r="D228" s="4" t="str">
        <f>IFERROR(INDEX(样本到样信息汇总统计!D$2:D$500,MATCH(227,样本到样信息汇总统计!$X$2:$X$500,0)),"")</f>
        <v/>
      </c>
      <c r="E228" s="4" t="str">
        <f>IFERROR(INDEX(样本到样信息汇总统计!E$2:E$500,MATCH(227,样本到样信息汇总统计!$X$2:$X$500,0)),"")</f>
        <v/>
      </c>
      <c r="F228" s="4" t="str">
        <f>IFERROR(INDEX(样本到样信息汇总统计!F$2:F$500,MATCH(227,样本到样信息汇总统计!$X$2:$X$500,0)),"")</f>
        <v/>
      </c>
      <c r="G228" s="4" t="str">
        <f>IFERROR(INDEX(样本到样信息汇总统计!G$2:G$500,MATCH(227,样本到样信息汇总统计!$X$2:$X$500,0)),"")</f>
        <v/>
      </c>
      <c r="H228" s="4" t="str">
        <f>IFERROR(INDEX(样本到样信息汇总统计!H$2:H$500,MATCH(227,样本到样信息汇总统计!$X$2:$X$500,0)),"")</f>
        <v/>
      </c>
      <c r="I228" s="4" t="str">
        <f>IFERROR(INDEX(样本到样信息汇总统计!I$2:I$500,MATCH(227,样本到样信息汇总统计!$X$2:$X$500,0)),"")</f>
        <v/>
      </c>
      <c r="J228" s="4" t="str">
        <f>IFERROR(INDEX(样本到样信息汇总统计!J$2:J$500,MATCH(227,样本到样信息汇总统计!$X$2:$X$500,0)),"")</f>
        <v/>
      </c>
      <c r="K228" s="14" t="str">
        <f>IFERROR(INDEX(样本到样信息汇总统计!K$2:K$500,MATCH(227,样本到样信息汇总统计!$X$2:$X$500,0)),"")</f>
        <v/>
      </c>
      <c r="L228" s="4" t="str">
        <f>IFERROR(INDEX(样本到样信息汇总统计!L$2:L$500,MATCH(227,样本到样信息汇总统计!$X$2:$X$500,0)),"")</f>
        <v/>
      </c>
      <c r="M228" s="4" t="str">
        <f>IFERROR(INDEX(样本到样信息汇总统计!M$2:M$500,MATCH(227,样本到样信息汇总统计!$X$2:$X$500,0)),"")</f>
        <v/>
      </c>
      <c r="N228" s="4" t="str">
        <f>IFERROR(INDEX(样本到样信息汇总统计!N$2:N$500,MATCH(227,样本到样信息汇总统计!$X$2:$X$500,0)),"")</f>
        <v/>
      </c>
      <c r="O228" s="4" t="str">
        <f>IFERROR(INDEX(样本到样信息汇总统计!O$2:O$500,MATCH(227,样本到样信息汇总统计!$X$2:$X$500,0)),"")</f>
        <v/>
      </c>
      <c r="P228" s="4" t="str">
        <f>IFERROR(INDEX(样本到样信息汇总统计!P$2:P$500,MATCH(227,样本到样信息汇总统计!$X$2:$X$500,0)),"")</f>
        <v/>
      </c>
      <c r="Q228" s="4" t="str">
        <f>IFERROR(INDEX(样本到样信息汇总统计!Q$2:Q$500,MATCH(227,样本到样信息汇总统计!$X$2:$X$500,0)),"")</f>
        <v/>
      </c>
      <c r="R228" s="4" t="str">
        <f>IFERROR(INDEX(样本到样信息汇总统计!R$2:R$500,MATCH(227,样本到样信息汇总统计!$X$2:$X$500,0)),"")</f>
        <v/>
      </c>
      <c r="S228" s="4" t="str">
        <f>IFERROR(INDEX(样本到样信息汇总统计!S$2:S$500,MATCH(227,样本到样信息汇总统计!$X$2:$X$500,0)),"")</f>
        <v/>
      </c>
      <c r="T228" s="4" t="str">
        <f>IFERROR(INDEX(样本到样信息汇总统计!T$2:T$500,MATCH(227,样本到样信息汇总统计!$X$2:$X$500,0)),"")</f>
        <v/>
      </c>
      <c r="U228" s="4" t="str">
        <f>IFERROR(INDEX(样本到样信息汇总统计!U$2:U$500,MATCH(227,样本到样信息汇总统计!$X$2:$X$500,0)),"")</f>
        <v/>
      </c>
      <c r="V228" s="4" t="str">
        <f>IFERROR(INDEX(样本到样信息汇总统计!V$2:V$500,MATCH(227,样本到样信息汇总统计!$X$2:$X$500,0)),"")</f>
        <v/>
      </c>
      <c r="W228" s="4" t="str">
        <f>IFERROR(INDEX(样本到样信息汇总统计!W$2:W$500,MATCH(227,样本到样信息汇总统计!$X$2:$X$500,0)),"")</f>
        <v/>
      </c>
    </row>
    <row r="229" ht="14.5" spans="1:23">
      <c r="A229" s="8" t="str">
        <f>IFERROR(INDEX(样本到样信息汇总统计!A$2:A$500,MATCH(228,样本到样信息汇总统计!$X$2:$X$500,0)),"")</f>
        <v/>
      </c>
      <c r="B229" s="8" t="str">
        <f>IFERROR(INDEX(样本到样信息汇总统计!B$2:B$500,MATCH(228,样本到样信息汇总统计!$X$2:$X$500,0)),"")</f>
        <v/>
      </c>
      <c r="C229" s="8" t="str">
        <f>IFERROR(INDEX(样本到样信息汇总统计!C$2:C$500,MATCH(228,样本到样信息汇总统计!$X$2:$X$500,0)),"")</f>
        <v/>
      </c>
      <c r="D229" s="8" t="str">
        <f>IFERROR(INDEX(样本到样信息汇总统计!D$2:D$500,MATCH(228,样本到样信息汇总统计!$X$2:$X$500,0)),"")</f>
        <v/>
      </c>
      <c r="E229" s="8" t="str">
        <f>IFERROR(INDEX(样本到样信息汇总统计!E$2:E$500,MATCH(228,样本到样信息汇总统计!$X$2:$X$500,0)),"")</f>
        <v/>
      </c>
      <c r="F229" s="8" t="str">
        <f>IFERROR(INDEX(样本到样信息汇总统计!F$2:F$500,MATCH(228,样本到样信息汇总统计!$X$2:$X$500,0)),"")</f>
        <v/>
      </c>
      <c r="G229" s="8" t="str">
        <f>IFERROR(INDEX(样本到样信息汇总统计!G$2:G$500,MATCH(228,样本到样信息汇总统计!$X$2:$X$500,0)),"")</f>
        <v/>
      </c>
      <c r="H229" s="8" t="str">
        <f>IFERROR(INDEX(样本到样信息汇总统计!H$2:H$500,MATCH(228,样本到样信息汇总统计!$X$2:$X$500,0)),"")</f>
        <v/>
      </c>
      <c r="I229" s="8" t="str">
        <f>IFERROR(INDEX(样本到样信息汇总统计!I$2:I$500,MATCH(228,样本到样信息汇总统计!$X$2:$X$500,0)),"")</f>
        <v/>
      </c>
      <c r="J229" s="8" t="str">
        <f>IFERROR(INDEX(样本到样信息汇总统计!J$2:J$500,MATCH(228,样本到样信息汇总统计!$X$2:$X$500,0)),"")</f>
        <v/>
      </c>
      <c r="K229" s="15" t="str">
        <f>IFERROR(INDEX(样本到样信息汇总统计!K$2:K$500,MATCH(228,样本到样信息汇总统计!$X$2:$X$500,0)),"")</f>
        <v/>
      </c>
      <c r="L229" s="8" t="str">
        <f>IFERROR(INDEX(样本到样信息汇总统计!L$2:L$500,MATCH(228,样本到样信息汇总统计!$X$2:$X$500,0)),"")</f>
        <v/>
      </c>
      <c r="M229" s="8" t="str">
        <f>IFERROR(INDEX(样本到样信息汇总统计!M$2:M$500,MATCH(228,样本到样信息汇总统计!$X$2:$X$500,0)),"")</f>
        <v/>
      </c>
      <c r="N229" s="8" t="str">
        <f>IFERROR(INDEX(样本到样信息汇总统计!N$2:N$500,MATCH(228,样本到样信息汇总统计!$X$2:$X$500,0)),"")</f>
        <v/>
      </c>
      <c r="O229" s="8" t="str">
        <f>IFERROR(INDEX(样本到样信息汇总统计!O$2:O$500,MATCH(228,样本到样信息汇总统计!$X$2:$X$500,0)),"")</f>
        <v/>
      </c>
      <c r="P229" s="8" t="str">
        <f>IFERROR(INDEX(样本到样信息汇总统计!P$2:P$500,MATCH(228,样本到样信息汇总统计!$X$2:$X$500,0)),"")</f>
        <v/>
      </c>
      <c r="Q229" s="8" t="str">
        <f>IFERROR(INDEX(样本到样信息汇总统计!Q$2:Q$500,MATCH(228,样本到样信息汇总统计!$X$2:$X$500,0)),"")</f>
        <v/>
      </c>
      <c r="R229" s="8" t="str">
        <f>IFERROR(INDEX(样本到样信息汇总统计!R$2:R$500,MATCH(228,样本到样信息汇总统计!$X$2:$X$500,0)),"")</f>
        <v/>
      </c>
      <c r="S229" s="8" t="str">
        <f>IFERROR(INDEX(样本到样信息汇总统计!S$2:S$500,MATCH(228,样本到样信息汇总统计!$X$2:$X$500,0)),"")</f>
        <v/>
      </c>
      <c r="T229" s="8" t="str">
        <f>IFERROR(INDEX(样本到样信息汇总统计!T$2:T$500,MATCH(228,样本到样信息汇总统计!$X$2:$X$500,0)),"")</f>
        <v/>
      </c>
      <c r="U229" s="8" t="str">
        <f>IFERROR(INDEX(样本到样信息汇总统计!U$2:U$500,MATCH(228,样本到样信息汇总统计!$X$2:$X$500,0)),"")</f>
        <v/>
      </c>
      <c r="V229" s="8" t="str">
        <f>IFERROR(INDEX(样本到样信息汇总统计!V$2:V$500,MATCH(228,样本到样信息汇总统计!$X$2:$X$500,0)),"")</f>
        <v/>
      </c>
      <c r="W229" s="8" t="str">
        <f>IFERROR(INDEX(样本到样信息汇总统计!W$2:W$500,MATCH(228,样本到样信息汇总统计!$X$2:$X$500,0)),"")</f>
        <v/>
      </c>
    </row>
    <row r="230" ht="14.5" spans="1:23">
      <c r="A230" s="4" t="str">
        <f>IFERROR(INDEX(样本到样信息汇总统计!A$2:A$500,MATCH(229,样本到样信息汇总统计!$X$2:$X$500,0)),"")</f>
        <v/>
      </c>
      <c r="B230" s="4" t="str">
        <f>IFERROR(INDEX(样本到样信息汇总统计!B$2:B$500,MATCH(229,样本到样信息汇总统计!$X$2:$X$500,0)),"")</f>
        <v/>
      </c>
      <c r="C230" s="4" t="str">
        <f>IFERROR(INDEX(样本到样信息汇总统计!C$2:C$500,MATCH(229,样本到样信息汇总统计!$X$2:$X$500,0)),"")</f>
        <v/>
      </c>
      <c r="D230" s="4" t="str">
        <f>IFERROR(INDEX(样本到样信息汇总统计!D$2:D$500,MATCH(229,样本到样信息汇总统计!$X$2:$X$500,0)),"")</f>
        <v/>
      </c>
      <c r="E230" s="4" t="str">
        <f>IFERROR(INDEX(样本到样信息汇总统计!E$2:E$500,MATCH(229,样本到样信息汇总统计!$X$2:$X$500,0)),"")</f>
        <v/>
      </c>
      <c r="F230" s="4" t="str">
        <f>IFERROR(INDEX(样本到样信息汇总统计!F$2:F$500,MATCH(229,样本到样信息汇总统计!$X$2:$X$500,0)),"")</f>
        <v/>
      </c>
      <c r="G230" s="4" t="str">
        <f>IFERROR(INDEX(样本到样信息汇总统计!G$2:G$500,MATCH(229,样本到样信息汇总统计!$X$2:$X$500,0)),"")</f>
        <v/>
      </c>
      <c r="H230" s="4" t="str">
        <f>IFERROR(INDEX(样本到样信息汇总统计!H$2:H$500,MATCH(229,样本到样信息汇总统计!$X$2:$X$500,0)),"")</f>
        <v/>
      </c>
      <c r="I230" s="4" t="str">
        <f>IFERROR(INDEX(样本到样信息汇总统计!I$2:I$500,MATCH(229,样本到样信息汇总统计!$X$2:$X$500,0)),"")</f>
        <v/>
      </c>
      <c r="J230" s="4" t="str">
        <f>IFERROR(INDEX(样本到样信息汇总统计!J$2:J$500,MATCH(229,样本到样信息汇总统计!$X$2:$X$500,0)),"")</f>
        <v/>
      </c>
      <c r="K230" s="14" t="str">
        <f>IFERROR(INDEX(样本到样信息汇总统计!K$2:K$500,MATCH(229,样本到样信息汇总统计!$X$2:$X$500,0)),"")</f>
        <v/>
      </c>
      <c r="L230" s="4" t="str">
        <f>IFERROR(INDEX(样本到样信息汇总统计!L$2:L$500,MATCH(229,样本到样信息汇总统计!$X$2:$X$500,0)),"")</f>
        <v/>
      </c>
      <c r="M230" s="4" t="str">
        <f>IFERROR(INDEX(样本到样信息汇总统计!M$2:M$500,MATCH(229,样本到样信息汇总统计!$X$2:$X$500,0)),"")</f>
        <v/>
      </c>
      <c r="N230" s="4" t="str">
        <f>IFERROR(INDEX(样本到样信息汇总统计!N$2:N$500,MATCH(229,样本到样信息汇总统计!$X$2:$X$500,0)),"")</f>
        <v/>
      </c>
      <c r="O230" s="4" t="str">
        <f>IFERROR(INDEX(样本到样信息汇总统计!O$2:O$500,MATCH(229,样本到样信息汇总统计!$X$2:$X$500,0)),"")</f>
        <v/>
      </c>
      <c r="P230" s="4" t="str">
        <f>IFERROR(INDEX(样本到样信息汇总统计!P$2:P$500,MATCH(229,样本到样信息汇总统计!$X$2:$X$500,0)),"")</f>
        <v/>
      </c>
      <c r="Q230" s="4" t="str">
        <f>IFERROR(INDEX(样本到样信息汇总统计!Q$2:Q$500,MATCH(229,样本到样信息汇总统计!$X$2:$X$500,0)),"")</f>
        <v/>
      </c>
      <c r="R230" s="4" t="str">
        <f>IFERROR(INDEX(样本到样信息汇总统计!R$2:R$500,MATCH(229,样本到样信息汇总统计!$X$2:$X$500,0)),"")</f>
        <v/>
      </c>
      <c r="S230" s="4" t="str">
        <f>IFERROR(INDEX(样本到样信息汇总统计!S$2:S$500,MATCH(229,样本到样信息汇总统计!$X$2:$X$500,0)),"")</f>
        <v/>
      </c>
      <c r="T230" s="4" t="str">
        <f>IFERROR(INDEX(样本到样信息汇总统计!T$2:T$500,MATCH(229,样本到样信息汇总统计!$X$2:$X$500,0)),"")</f>
        <v/>
      </c>
      <c r="U230" s="4" t="str">
        <f>IFERROR(INDEX(样本到样信息汇总统计!U$2:U$500,MATCH(229,样本到样信息汇总统计!$X$2:$X$500,0)),"")</f>
        <v/>
      </c>
      <c r="V230" s="4" t="str">
        <f>IFERROR(INDEX(样本到样信息汇总统计!V$2:V$500,MATCH(229,样本到样信息汇总统计!$X$2:$X$500,0)),"")</f>
        <v/>
      </c>
      <c r="W230" s="4" t="str">
        <f>IFERROR(INDEX(样本到样信息汇总统计!W$2:W$500,MATCH(229,样本到样信息汇总统计!$X$2:$X$500,0)),"")</f>
        <v/>
      </c>
    </row>
    <row r="231" ht="14.5" spans="1:23">
      <c r="A231" s="8" t="str">
        <f>IFERROR(INDEX(样本到样信息汇总统计!A$2:A$500,MATCH(230,样本到样信息汇总统计!$X$2:$X$500,0)),"")</f>
        <v/>
      </c>
      <c r="B231" s="8" t="str">
        <f>IFERROR(INDEX(样本到样信息汇总统计!B$2:B$500,MATCH(230,样本到样信息汇总统计!$X$2:$X$500,0)),"")</f>
        <v/>
      </c>
      <c r="C231" s="8" t="str">
        <f>IFERROR(INDEX(样本到样信息汇总统计!C$2:C$500,MATCH(230,样本到样信息汇总统计!$X$2:$X$500,0)),"")</f>
        <v/>
      </c>
      <c r="D231" s="8" t="str">
        <f>IFERROR(INDEX(样本到样信息汇总统计!D$2:D$500,MATCH(230,样本到样信息汇总统计!$X$2:$X$500,0)),"")</f>
        <v/>
      </c>
      <c r="E231" s="8" t="str">
        <f>IFERROR(INDEX(样本到样信息汇总统计!E$2:E$500,MATCH(230,样本到样信息汇总统计!$X$2:$X$500,0)),"")</f>
        <v/>
      </c>
      <c r="F231" s="8" t="str">
        <f>IFERROR(INDEX(样本到样信息汇总统计!F$2:F$500,MATCH(230,样本到样信息汇总统计!$X$2:$X$500,0)),"")</f>
        <v/>
      </c>
      <c r="G231" s="8" t="str">
        <f>IFERROR(INDEX(样本到样信息汇总统计!G$2:G$500,MATCH(230,样本到样信息汇总统计!$X$2:$X$500,0)),"")</f>
        <v/>
      </c>
      <c r="H231" s="8" t="str">
        <f>IFERROR(INDEX(样本到样信息汇总统计!H$2:H$500,MATCH(230,样本到样信息汇总统计!$X$2:$X$500,0)),"")</f>
        <v/>
      </c>
      <c r="I231" s="8" t="str">
        <f>IFERROR(INDEX(样本到样信息汇总统计!I$2:I$500,MATCH(230,样本到样信息汇总统计!$X$2:$X$500,0)),"")</f>
        <v/>
      </c>
      <c r="J231" s="8" t="str">
        <f>IFERROR(INDEX(样本到样信息汇总统计!J$2:J$500,MATCH(230,样本到样信息汇总统计!$X$2:$X$500,0)),"")</f>
        <v/>
      </c>
      <c r="K231" s="15" t="str">
        <f>IFERROR(INDEX(样本到样信息汇总统计!K$2:K$500,MATCH(230,样本到样信息汇总统计!$X$2:$X$500,0)),"")</f>
        <v/>
      </c>
      <c r="L231" s="8" t="str">
        <f>IFERROR(INDEX(样本到样信息汇总统计!L$2:L$500,MATCH(230,样本到样信息汇总统计!$X$2:$X$500,0)),"")</f>
        <v/>
      </c>
      <c r="M231" s="8" t="str">
        <f>IFERROR(INDEX(样本到样信息汇总统计!M$2:M$500,MATCH(230,样本到样信息汇总统计!$X$2:$X$500,0)),"")</f>
        <v/>
      </c>
      <c r="N231" s="8" t="str">
        <f>IFERROR(INDEX(样本到样信息汇总统计!N$2:N$500,MATCH(230,样本到样信息汇总统计!$X$2:$X$500,0)),"")</f>
        <v/>
      </c>
      <c r="O231" s="8" t="str">
        <f>IFERROR(INDEX(样本到样信息汇总统计!O$2:O$500,MATCH(230,样本到样信息汇总统计!$X$2:$X$500,0)),"")</f>
        <v/>
      </c>
      <c r="P231" s="8" t="str">
        <f>IFERROR(INDEX(样本到样信息汇总统计!P$2:P$500,MATCH(230,样本到样信息汇总统计!$X$2:$X$500,0)),"")</f>
        <v/>
      </c>
      <c r="Q231" s="8" t="str">
        <f>IFERROR(INDEX(样本到样信息汇总统计!Q$2:Q$500,MATCH(230,样本到样信息汇总统计!$X$2:$X$500,0)),"")</f>
        <v/>
      </c>
      <c r="R231" s="8" t="str">
        <f>IFERROR(INDEX(样本到样信息汇总统计!R$2:R$500,MATCH(230,样本到样信息汇总统计!$X$2:$X$500,0)),"")</f>
        <v/>
      </c>
      <c r="S231" s="8" t="str">
        <f>IFERROR(INDEX(样本到样信息汇总统计!S$2:S$500,MATCH(230,样本到样信息汇总统计!$X$2:$X$500,0)),"")</f>
        <v/>
      </c>
      <c r="T231" s="8" t="str">
        <f>IFERROR(INDEX(样本到样信息汇总统计!T$2:T$500,MATCH(230,样本到样信息汇总统计!$X$2:$X$500,0)),"")</f>
        <v/>
      </c>
      <c r="U231" s="8" t="str">
        <f>IFERROR(INDEX(样本到样信息汇总统计!U$2:U$500,MATCH(230,样本到样信息汇总统计!$X$2:$X$500,0)),"")</f>
        <v/>
      </c>
      <c r="V231" s="8" t="str">
        <f>IFERROR(INDEX(样本到样信息汇总统计!V$2:V$500,MATCH(230,样本到样信息汇总统计!$X$2:$X$500,0)),"")</f>
        <v/>
      </c>
      <c r="W231" s="8" t="str">
        <f>IFERROR(INDEX(样本到样信息汇总统计!W$2:W$500,MATCH(230,样本到样信息汇总统计!$X$2:$X$500,0)),"")</f>
        <v/>
      </c>
    </row>
    <row r="232" ht="14.5" spans="1:23">
      <c r="A232" s="4" t="str">
        <f>IFERROR(INDEX(样本到样信息汇总统计!A$2:A$500,MATCH(231,样本到样信息汇总统计!$X$2:$X$500,0)),"")</f>
        <v/>
      </c>
      <c r="B232" s="4" t="str">
        <f>IFERROR(INDEX(样本到样信息汇总统计!B$2:B$500,MATCH(231,样本到样信息汇总统计!$X$2:$X$500,0)),"")</f>
        <v/>
      </c>
      <c r="C232" s="4" t="str">
        <f>IFERROR(INDEX(样本到样信息汇总统计!C$2:C$500,MATCH(231,样本到样信息汇总统计!$X$2:$X$500,0)),"")</f>
        <v/>
      </c>
      <c r="D232" s="4" t="str">
        <f>IFERROR(INDEX(样本到样信息汇总统计!D$2:D$500,MATCH(231,样本到样信息汇总统计!$X$2:$X$500,0)),"")</f>
        <v/>
      </c>
      <c r="E232" s="4" t="str">
        <f>IFERROR(INDEX(样本到样信息汇总统计!E$2:E$500,MATCH(231,样本到样信息汇总统计!$X$2:$X$500,0)),"")</f>
        <v/>
      </c>
      <c r="F232" s="4" t="str">
        <f>IFERROR(INDEX(样本到样信息汇总统计!F$2:F$500,MATCH(231,样本到样信息汇总统计!$X$2:$X$500,0)),"")</f>
        <v/>
      </c>
      <c r="G232" s="4" t="str">
        <f>IFERROR(INDEX(样本到样信息汇总统计!G$2:G$500,MATCH(231,样本到样信息汇总统计!$X$2:$X$500,0)),"")</f>
        <v/>
      </c>
      <c r="H232" s="4" t="str">
        <f>IFERROR(INDEX(样本到样信息汇总统计!H$2:H$500,MATCH(231,样本到样信息汇总统计!$X$2:$X$500,0)),"")</f>
        <v/>
      </c>
      <c r="I232" s="4" t="str">
        <f>IFERROR(INDEX(样本到样信息汇总统计!I$2:I$500,MATCH(231,样本到样信息汇总统计!$X$2:$X$500,0)),"")</f>
        <v/>
      </c>
      <c r="J232" s="4" t="str">
        <f>IFERROR(INDEX(样本到样信息汇总统计!J$2:J$500,MATCH(231,样本到样信息汇总统计!$X$2:$X$500,0)),"")</f>
        <v/>
      </c>
      <c r="K232" s="14" t="str">
        <f>IFERROR(INDEX(样本到样信息汇总统计!K$2:K$500,MATCH(231,样本到样信息汇总统计!$X$2:$X$500,0)),"")</f>
        <v/>
      </c>
      <c r="L232" s="4" t="str">
        <f>IFERROR(INDEX(样本到样信息汇总统计!L$2:L$500,MATCH(231,样本到样信息汇总统计!$X$2:$X$500,0)),"")</f>
        <v/>
      </c>
      <c r="M232" s="4" t="str">
        <f>IFERROR(INDEX(样本到样信息汇总统计!M$2:M$500,MATCH(231,样本到样信息汇总统计!$X$2:$X$500,0)),"")</f>
        <v/>
      </c>
      <c r="N232" s="4" t="str">
        <f>IFERROR(INDEX(样本到样信息汇总统计!N$2:N$500,MATCH(231,样本到样信息汇总统计!$X$2:$X$500,0)),"")</f>
        <v/>
      </c>
      <c r="O232" s="4" t="str">
        <f>IFERROR(INDEX(样本到样信息汇总统计!O$2:O$500,MATCH(231,样本到样信息汇总统计!$X$2:$X$500,0)),"")</f>
        <v/>
      </c>
      <c r="P232" s="4" t="str">
        <f>IFERROR(INDEX(样本到样信息汇总统计!P$2:P$500,MATCH(231,样本到样信息汇总统计!$X$2:$X$500,0)),"")</f>
        <v/>
      </c>
      <c r="Q232" s="4" t="str">
        <f>IFERROR(INDEX(样本到样信息汇总统计!Q$2:Q$500,MATCH(231,样本到样信息汇总统计!$X$2:$X$500,0)),"")</f>
        <v/>
      </c>
      <c r="R232" s="4" t="str">
        <f>IFERROR(INDEX(样本到样信息汇总统计!R$2:R$500,MATCH(231,样本到样信息汇总统计!$X$2:$X$500,0)),"")</f>
        <v/>
      </c>
      <c r="S232" s="4" t="str">
        <f>IFERROR(INDEX(样本到样信息汇总统计!S$2:S$500,MATCH(231,样本到样信息汇总统计!$X$2:$X$500,0)),"")</f>
        <v/>
      </c>
      <c r="T232" s="4" t="str">
        <f>IFERROR(INDEX(样本到样信息汇总统计!T$2:T$500,MATCH(231,样本到样信息汇总统计!$X$2:$X$500,0)),"")</f>
        <v/>
      </c>
      <c r="U232" s="4" t="str">
        <f>IFERROR(INDEX(样本到样信息汇总统计!U$2:U$500,MATCH(231,样本到样信息汇总统计!$X$2:$X$500,0)),"")</f>
        <v/>
      </c>
      <c r="V232" s="4" t="str">
        <f>IFERROR(INDEX(样本到样信息汇总统计!V$2:V$500,MATCH(231,样本到样信息汇总统计!$X$2:$X$500,0)),"")</f>
        <v/>
      </c>
      <c r="W232" s="4" t="str">
        <f>IFERROR(INDEX(样本到样信息汇总统计!W$2:W$500,MATCH(231,样本到样信息汇总统计!$X$2:$X$500,0)),"")</f>
        <v/>
      </c>
    </row>
    <row r="233" ht="14.5" spans="1:23">
      <c r="A233" s="8" t="str">
        <f>IFERROR(INDEX(样本到样信息汇总统计!A$2:A$500,MATCH(232,样本到样信息汇总统计!$X$2:$X$500,0)),"")</f>
        <v/>
      </c>
      <c r="B233" s="8" t="str">
        <f>IFERROR(INDEX(样本到样信息汇总统计!B$2:B$500,MATCH(232,样本到样信息汇总统计!$X$2:$X$500,0)),"")</f>
        <v/>
      </c>
      <c r="C233" s="8" t="str">
        <f>IFERROR(INDEX(样本到样信息汇总统计!C$2:C$500,MATCH(232,样本到样信息汇总统计!$X$2:$X$500,0)),"")</f>
        <v/>
      </c>
      <c r="D233" s="8" t="str">
        <f>IFERROR(INDEX(样本到样信息汇总统计!D$2:D$500,MATCH(232,样本到样信息汇总统计!$X$2:$X$500,0)),"")</f>
        <v/>
      </c>
      <c r="E233" s="8" t="str">
        <f>IFERROR(INDEX(样本到样信息汇总统计!E$2:E$500,MATCH(232,样本到样信息汇总统计!$X$2:$X$500,0)),"")</f>
        <v/>
      </c>
      <c r="F233" s="8" t="str">
        <f>IFERROR(INDEX(样本到样信息汇总统计!F$2:F$500,MATCH(232,样本到样信息汇总统计!$X$2:$X$500,0)),"")</f>
        <v/>
      </c>
      <c r="G233" s="8" t="str">
        <f>IFERROR(INDEX(样本到样信息汇总统计!G$2:G$500,MATCH(232,样本到样信息汇总统计!$X$2:$X$500,0)),"")</f>
        <v/>
      </c>
      <c r="H233" s="8" t="str">
        <f>IFERROR(INDEX(样本到样信息汇总统计!H$2:H$500,MATCH(232,样本到样信息汇总统计!$X$2:$X$500,0)),"")</f>
        <v/>
      </c>
      <c r="I233" s="8" t="str">
        <f>IFERROR(INDEX(样本到样信息汇总统计!I$2:I$500,MATCH(232,样本到样信息汇总统计!$X$2:$X$500,0)),"")</f>
        <v/>
      </c>
      <c r="J233" s="8" t="str">
        <f>IFERROR(INDEX(样本到样信息汇总统计!J$2:J$500,MATCH(232,样本到样信息汇总统计!$X$2:$X$500,0)),"")</f>
        <v/>
      </c>
      <c r="K233" s="15" t="str">
        <f>IFERROR(INDEX(样本到样信息汇总统计!K$2:K$500,MATCH(232,样本到样信息汇总统计!$X$2:$X$500,0)),"")</f>
        <v/>
      </c>
      <c r="L233" s="8" t="str">
        <f>IFERROR(INDEX(样本到样信息汇总统计!L$2:L$500,MATCH(232,样本到样信息汇总统计!$X$2:$X$500,0)),"")</f>
        <v/>
      </c>
      <c r="M233" s="8" t="str">
        <f>IFERROR(INDEX(样本到样信息汇总统计!M$2:M$500,MATCH(232,样本到样信息汇总统计!$X$2:$X$500,0)),"")</f>
        <v/>
      </c>
      <c r="N233" s="8" t="str">
        <f>IFERROR(INDEX(样本到样信息汇总统计!N$2:N$500,MATCH(232,样本到样信息汇总统计!$X$2:$X$500,0)),"")</f>
        <v/>
      </c>
      <c r="O233" s="8" t="str">
        <f>IFERROR(INDEX(样本到样信息汇总统计!O$2:O$500,MATCH(232,样本到样信息汇总统计!$X$2:$X$500,0)),"")</f>
        <v/>
      </c>
      <c r="P233" s="8" t="str">
        <f>IFERROR(INDEX(样本到样信息汇总统计!P$2:P$500,MATCH(232,样本到样信息汇总统计!$X$2:$X$500,0)),"")</f>
        <v/>
      </c>
      <c r="Q233" s="8" t="str">
        <f>IFERROR(INDEX(样本到样信息汇总统计!Q$2:Q$500,MATCH(232,样本到样信息汇总统计!$X$2:$X$500,0)),"")</f>
        <v/>
      </c>
      <c r="R233" s="8" t="str">
        <f>IFERROR(INDEX(样本到样信息汇总统计!R$2:R$500,MATCH(232,样本到样信息汇总统计!$X$2:$X$500,0)),"")</f>
        <v/>
      </c>
      <c r="S233" s="8" t="str">
        <f>IFERROR(INDEX(样本到样信息汇总统计!S$2:S$500,MATCH(232,样本到样信息汇总统计!$X$2:$X$500,0)),"")</f>
        <v/>
      </c>
      <c r="T233" s="8" t="str">
        <f>IFERROR(INDEX(样本到样信息汇总统计!T$2:T$500,MATCH(232,样本到样信息汇总统计!$X$2:$X$500,0)),"")</f>
        <v/>
      </c>
      <c r="U233" s="8" t="str">
        <f>IFERROR(INDEX(样本到样信息汇总统计!U$2:U$500,MATCH(232,样本到样信息汇总统计!$X$2:$X$500,0)),"")</f>
        <v/>
      </c>
      <c r="V233" s="8" t="str">
        <f>IFERROR(INDEX(样本到样信息汇总统计!V$2:V$500,MATCH(232,样本到样信息汇总统计!$X$2:$X$500,0)),"")</f>
        <v/>
      </c>
      <c r="W233" s="8" t="str">
        <f>IFERROR(INDEX(样本到样信息汇总统计!W$2:W$500,MATCH(232,样本到样信息汇总统计!$X$2:$X$500,0)),"")</f>
        <v/>
      </c>
    </row>
    <row r="234" ht="14.5" spans="1:23">
      <c r="A234" s="4" t="str">
        <f>IFERROR(INDEX(样本到样信息汇总统计!A$2:A$500,MATCH(233,样本到样信息汇总统计!$X$2:$X$500,0)),"")</f>
        <v/>
      </c>
      <c r="B234" s="4" t="str">
        <f>IFERROR(INDEX(样本到样信息汇总统计!B$2:B$500,MATCH(233,样本到样信息汇总统计!$X$2:$X$500,0)),"")</f>
        <v/>
      </c>
      <c r="C234" s="4" t="str">
        <f>IFERROR(INDEX(样本到样信息汇总统计!C$2:C$500,MATCH(233,样本到样信息汇总统计!$X$2:$X$500,0)),"")</f>
        <v/>
      </c>
      <c r="D234" s="4" t="str">
        <f>IFERROR(INDEX(样本到样信息汇总统计!D$2:D$500,MATCH(233,样本到样信息汇总统计!$X$2:$X$500,0)),"")</f>
        <v/>
      </c>
      <c r="E234" s="4" t="str">
        <f>IFERROR(INDEX(样本到样信息汇总统计!E$2:E$500,MATCH(233,样本到样信息汇总统计!$X$2:$X$500,0)),"")</f>
        <v/>
      </c>
      <c r="F234" s="4" t="str">
        <f>IFERROR(INDEX(样本到样信息汇总统计!F$2:F$500,MATCH(233,样本到样信息汇总统计!$X$2:$X$500,0)),"")</f>
        <v/>
      </c>
      <c r="G234" s="4" t="str">
        <f>IFERROR(INDEX(样本到样信息汇总统计!G$2:G$500,MATCH(233,样本到样信息汇总统计!$X$2:$X$500,0)),"")</f>
        <v/>
      </c>
      <c r="H234" s="4" t="str">
        <f>IFERROR(INDEX(样本到样信息汇总统计!H$2:H$500,MATCH(233,样本到样信息汇总统计!$X$2:$X$500,0)),"")</f>
        <v/>
      </c>
      <c r="I234" s="4" t="str">
        <f>IFERROR(INDEX(样本到样信息汇总统计!I$2:I$500,MATCH(233,样本到样信息汇总统计!$X$2:$X$500,0)),"")</f>
        <v/>
      </c>
      <c r="J234" s="4" t="str">
        <f>IFERROR(INDEX(样本到样信息汇总统计!J$2:J$500,MATCH(233,样本到样信息汇总统计!$X$2:$X$500,0)),"")</f>
        <v/>
      </c>
      <c r="K234" s="14" t="str">
        <f>IFERROR(INDEX(样本到样信息汇总统计!K$2:K$500,MATCH(233,样本到样信息汇总统计!$X$2:$X$500,0)),"")</f>
        <v/>
      </c>
      <c r="L234" s="4" t="str">
        <f>IFERROR(INDEX(样本到样信息汇总统计!L$2:L$500,MATCH(233,样本到样信息汇总统计!$X$2:$X$500,0)),"")</f>
        <v/>
      </c>
      <c r="M234" s="4" t="str">
        <f>IFERROR(INDEX(样本到样信息汇总统计!M$2:M$500,MATCH(233,样本到样信息汇总统计!$X$2:$X$500,0)),"")</f>
        <v/>
      </c>
      <c r="N234" s="4" t="str">
        <f>IFERROR(INDEX(样本到样信息汇总统计!N$2:N$500,MATCH(233,样本到样信息汇总统计!$X$2:$X$500,0)),"")</f>
        <v/>
      </c>
      <c r="O234" s="4" t="str">
        <f>IFERROR(INDEX(样本到样信息汇总统计!O$2:O$500,MATCH(233,样本到样信息汇总统计!$X$2:$X$500,0)),"")</f>
        <v/>
      </c>
      <c r="P234" s="4" t="str">
        <f>IFERROR(INDEX(样本到样信息汇总统计!P$2:P$500,MATCH(233,样本到样信息汇总统计!$X$2:$X$500,0)),"")</f>
        <v/>
      </c>
      <c r="Q234" s="4" t="str">
        <f>IFERROR(INDEX(样本到样信息汇总统计!Q$2:Q$500,MATCH(233,样本到样信息汇总统计!$X$2:$X$500,0)),"")</f>
        <v/>
      </c>
      <c r="R234" s="4" t="str">
        <f>IFERROR(INDEX(样本到样信息汇总统计!R$2:R$500,MATCH(233,样本到样信息汇总统计!$X$2:$X$500,0)),"")</f>
        <v/>
      </c>
      <c r="S234" s="4" t="str">
        <f>IFERROR(INDEX(样本到样信息汇总统计!S$2:S$500,MATCH(233,样本到样信息汇总统计!$X$2:$X$500,0)),"")</f>
        <v/>
      </c>
      <c r="T234" s="4" t="str">
        <f>IFERROR(INDEX(样本到样信息汇总统计!T$2:T$500,MATCH(233,样本到样信息汇总统计!$X$2:$X$500,0)),"")</f>
        <v/>
      </c>
      <c r="U234" s="4" t="str">
        <f>IFERROR(INDEX(样本到样信息汇总统计!U$2:U$500,MATCH(233,样本到样信息汇总统计!$X$2:$X$500,0)),"")</f>
        <v/>
      </c>
      <c r="V234" s="4" t="str">
        <f>IFERROR(INDEX(样本到样信息汇总统计!V$2:V$500,MATCH(233,样本到样信息汇总统计!$X$2:$X$500,0)),"")</f>
        <v/>
      </c>
      <c r="W234" s="4" t="str">
        <f>IFERROR(INDEX(样本到样信息汇总统计!W$2:W$500,MATCH(233,样本到样信息汇总统计!$X$2:$X$500,0)),"")</f>
        <v/>
      </c>
    </row>
    <row r="235" ht="14.5" spans="1:23">
      <c r="A235" s="8" t="str">
        <f>IFERROR(INDEX(样本到样信息汇总统计!A$2:A$500,MATCH(234,样本到样信息汇总统计!$X$2:$X$500,0)),"")</f>
        <v/>
      </c>
      <c r="B235" s="8" t="str">
        <f>IFERROR(INDEX(样本到样信息汇总统计!B$2:B$500,MATCH(234,样本到样信息汇总统计!$X$2:$X$500,0)),"")</f>
        <v/>
      </c>
      <c r="C235" s="8" t="str">
        <f>IFERROR(INDEX(样本到样信息汇总统计!C$2:C$500,MATCH(234,样本到样信息汇总统计!$X$2:$X$500,0)),"")</f>
        <v/>
      </c>
      <c r="D235" s="8" t="str">
        <f>IFERROR(INDEX(样本到样信息汇总统计!D$2:D$500,MATCH(234,样本到样信息汇总统计!$X$2:$X$500,0)),"")</f>
        <v/>
      </c>
      <c r="E235" s="8" t="str">
        <f>IFERROR(INDEX(样本到样信息汇总统计!E$2:E$500,MATCH(234,样本到样信息汇总统计!$X$2:$X$500,0)),"")</f>
        <v/>
      </c>
      <c r="F235" s="8" t="str">
        <f>IFERROR(INDEX(样本到样信息汇总统计!F$2:F$500,MATCH(234,样本到样信息汇总统计!$X$2:$X$500,0)),"")</f>
        <v/>
      </c>
      <c r="G235" s="8" t="str">
        <f>IFERROR(INDEX(样本到样信息汇总统计!G$2:G$500,MATCH(234,样本到样信息汇总统计!$X$2:$X$500,0)),"")</f>
        <v/>
      </c>
      <c r="H235" s="8" t="str">
        <f>IFERROR(INDEX(样本到样信息汇总统计!H$2:H$500,MATCH(234,样本到样信息汇总统计!$X$2:$X$500,0)),"")</f>
        <v/>
      </c>
      <c r="I235" s="8" t="str">
        <f>IFERROR(INDEX(样本到样信息汇总统计!I$2:I$500,MATCH(234,样本到样信息汇总统计!$X$2:$X$500,0)),"")</f>
        <v/>
      </c>
      <c r="J235" s="8" t="str">
        <f>IFERROR(INDEX(样本到样信息汇总统计!J$2:J$500,MATCH(234,样本到样信息汇总统计!$X$2:$X$500,0)),"")</f>
        <v/>
      </c>
      <c r="K235" s="15" t="str">
        <f>IFERROR(INDEX(样本到样信息汇总统计!K$2:K$500,MATCH(234,样本到样信息汇总统计!$X$2:$X$500,0)),"")</f>
        <v/>
      </c>
      <c r="L235" s="8" t="str">
        <f>IFERROR(INDEX(样本到样信息汇总统计!L$2:L$500,MATCH(234,样本到样信息汇总统计!$X$2:$X$500,0)),"")</f>
        <v/>
      </c>
      <c r="M235" s="8" t="str">
        <f>IFERROR(INDEX(样本到样信息汇总统计!M$2:M$500,MATCH(234,样本到样信息汇总统计!$X$2:$X$500,0)),"")</f>
        <v/>
      </c>
      <c r="N235" s="8" t="str">
        <f>IFERROR(INDEX(样本到样信息汇总统计!N$2:N$500,MATCH(234,样本到样信息汇总统计!$X$2:$X$500,0)),"")</f>
        <v/>
      </c>
      <c r="O235" s="8" t="str">
        <f>IFERROR(INDEX(样本到样信息汇总统计!O$2:O$500,MATCH(234,样本到样信息汇总统计!$X$2:$X$500,0)),"")</f>
        <v/>
      </c>
      <c r="P235" s="8" t="str">
        <f>IFERROR(INDEX(样本到样信息汇总统计!P$2:P$500,MATCH(234,样本到样信息汇总统计!$X$2:$X$500,0)),"")</f>
        <v/>
      </c>
      <c r="Q235" s="8" t="str">
        <f>IFERROR(INDEX(样本到样信息汇总统计!Q$2:Q$500,MATCH(234,样本到样信息汇总统计!$X$2:$X$500,0)),"")</f>
        <v/>
      </c>
      <c r="R235" s="8" t="str">
        <f>IFERROR(INDEX(样本到样信息汇总统计!R$2:R$500,MATCH(234,样本到样信息汇总统计!$X$2:$X$500,0)),"")</f>
        <v/>
      </c>
      <c r="S235" s="8" t="str">
        <f>IFERROR(INDEX(样本到样信息汇总统计!S$2:S$500,MATCH(234,样本到样信息汇总统计!$X$2:$X$500,0)),"")</f>
        <v/>
      </c>
      <c r="T235" s="8" t="str">
        <f>IFERROR(INDEX(样本到样信息汇总统计!T$2:T$500,MATCH(234,样本到样信息汇总统计!$X$2:$X$500,0)),"")</f>
        <v/>
      </c>
      <c r="U235" s="8" t="str">
        <f>IFERROR(INDEX(样本到样信息汇总统计!U$2:U$500,MATCH(234,样本到样信息汇总统计!$X$2:$X$500,0)),"")</f>
        <v/>
      </c>
      <c r="V235" s="8" t="str">
        <f>IFERROR(INDEX(样本到样信息汇总统计!V$2:V$500,MATCH(234,样本到样信息汇总统计!$X$2:$X$500,0)),"")</f>
        <v/>
      </c>
      <c r="W235" s="8" t="str">
        <f>IFERROR(INDEX(样本到样信息汇总统计!W$2:W$500,MATCH(234,样本到样信息汇总统计!$X$2:$X$500,0)),"")</f>
        <v/>
      </c>
    </row>
    <row r="236" ht="14.5" spans="1:23">
      <c r="A236" s="4" t="str">
        <f>IFERROR(INDEX(样本到样信息汇总统计!A$2:A$500,MATCH(235,样本到样信息汇总统计!$X$2:$X$500,0)),"")</f>
        <v/>
      </c>
      <c r="B236" s="4" t="str">
        <f>IFERROR(INDEX(样本到样信息汇总统计!B$2:B$500,MATCH(235,样本到样信息汇总统计!$X$2:$X$500,0)),"")</f>
        <v/>
      </c>
      <c r="C236" s="4" t="str">
        <f>IFERROR(INDEX(样本到样信息汇总统计!C$2:C$500,MATCH(235,样本到样信息汇总统计!$X$2:$X$500,0)),"")</f>
        <v/>
      </c>
      <c r="D236" s="4" t="str">
        <f>IFERROR(INDEX(样本到样信息汇总统计!D$2:D$500,MATCH(235,样本到样信息汇总统计!$X$2:$X$500,0)),"")</f>
        <v/>
      </c>
      <c r="E236" s="4" t="str">
        <f>IFERROR(INDEX(样本到样信息汇总统计!E$2:E$500,MATCH(235,样本到样信息汇总统计!$X$2:$X$500,0)),"")</f>
        <v/>
      </c>
      <c r="F236" s="4" t="str">
        <f>IFERROR(INDEX(样本到样信息汇总统计!F$2:F$500,MATCH(235,样本到样信息汇总统计!$X$2:$X$500,0)),"")</f>
        <v/>
      </c>
      <c r="G236" s="4" t="str">
        <f>IFERROR(INDEX(样本到样信息汇总统计!G$2:G$500,MATCH(235,样本到样信息汇总统计!$X$2:$X$500,0)),"")</f>
        <v/>
      </c>
      <c r="H236" s="4" t="str">
        <f>IFERROR(INDEX(样本到样信息汇总统计!H$2:H$500,MATCH(235,样本到样信息汇总统计!$X$2:$X$500,0)),"")</f>
        <v/>
      </c>
      <c r="I236" s="4" t="str">
        <f>IFERROR(INDEX(样本到样信息汇总统计!I$2:I$500,MATCH(235,样本到样信息汇总统计!$X$2:$X$500,0)),"")</f>
        <v/>
      </c>
      <c r="J236" s="4" t="str">
        <f>IFERROR(INDEX(样本到样信息汇总统计!J$2:J$500,MATCH(235,样本到样信息汇总统计!$X$2:$X$500,0)),"")</f>
        <v/>
      </c>
      <c r="K236" s="14" t="str">
        <f>IFERROR(INDEX(样本到样信息汇总统计!K$2:K$500,MATCH(235,样本到样信息汇总统计!$X$2:$X$500,0)),"")</f>
        <v/>
      </c>
      <c r="L236" s="4" t="str">
        <f>IFERROR(INDEX(样本到样信息汇总统计!L$2:L$500,MATCH(235,样本到样信息汇总统计!$X$2:$X$500,0)),"")</f>
        <v/>
      </c>
      <c r="M236" s="4" t="str">
        <f>IFERROR(INDEX(样本到样信息汇总统计!M$2:M$500,MATCH(235,样本到样信息汇总统计!$X$2:$X$500,0)),"")</f>
        <v/>
      </c>
      <c r="N236" s="4" t="str">
        <f>IFERROR(INDEX(样本到样信息汇总统计!N$2:N$500,MATCH(235,样本到样信息汇总统计!$X$2:$X$500,0)),"")</f>
        <v/>
      </c>
      <c r="O236" s="4" t="str">
        <f>IFERROR(INDEX(样本到样信息汇总统计!O$2:O$500,MATCH(235,样本到样信息汇总统计!$X$2:$X$500,0)),"")</f>
        <v/>
      </c>
      <c r="P236" s="4" t="str">
        <f>IFERROR(INDEX(样本到样信息汇总统计!P$2:P$500,MATCH(235,样本到样信息汇总统计!$X$2:$X$500,0)),"")</f>
        <v/>
      </c>
      <c r="Q236" s="4" t="str">
        <f>IFERROR(INDEX(样本到样信息汇总统计!Q$2:Q$500,MATCH(235,样本到样信息汇总统计!$X$2:$X$500,0)),"")</f>
        <v/>
      </c>
      <c r="R236" s="4" t="str">
        <f>IFERROR(INDEX(样本到样信息汇总统计!R$2:R$500,MATCH(235,样本到样信息汇总统计!$X$2:$X$500,0)),"")</f>
        <v/>
      </c>
      <c r="S236" s="4" t="str">
        <f>IFERROR(INDEX(样本到样信息汇总统计!S$2:S$500,MATCH(235,样本到样信息汇总统计!$X$2:$X$500,0)),"")</f>
        <v/>
      </c>
      <c r="T236" s="4" t="str">
        <f>IFERROR(INDEX(样本到样信息汇总统计!T$2:T$500,MATCH(235,样本到样信息汇总统计!$X$2:$X$500,0)),"")</f>
        <v/>
      </c>
      <c r="U236" s="4" t="str">
        <f>IFERROR(INDEX(样本到样信息汇总统计!U$2:U$500,MATCH(235,样本到样信息汇总统计!$X$2:$X$500,0)),"")</f>
        <v/>
      </c>
      <c r="V236" s="4" t="str">
        <f>IFERROR(INDEX(样本到样信息汇总统计!V$2:V$500,MATCH(235,样本到样信息汇总统计!$X$2:$X$500,0)),"")</f>
        <v/>
      </c>
      <c r="W236" s="4" t="str">
        <f>IFERROR(INDEX(样本到样信息汇总统计!W$2:W$500,MATCH(235,样本到样信息汇总统计!$X$2:$X$500,0)),"")</f>
        <v/>
      </c>
    </row>
    <row r="237" ht="14.5" spans="1:23">
      <c r="A237" s="8" t="str">
        <f>IFERROR(INDEX(样本到样信息汇总统计!A$2:A$500,MATCH(236,样本到样信息汇总统计!$X$2:$X$500,0)),"")</f>
        <v/>
      </c>
      <c r="B237" s="8" t="str">
        <f>IFERROR(INDEX(样本到样信息汇总统计!B$2:B$500,MATCH(236,样本到样信息汇总统计!$X$2:$X$500,0)),"")</f>
        <v/>
      </c>
      <c r="C237" s="8" t="str">
        <f>IFERROR(INDEX(样本到样信息汇总统计!C$2:C$500,MATCH(236,样本到样信息汇总统计!$X$2:$X$500,0)),"")</f>
        <v/>
      </c>
      <c r="D237" s="8" t="str">
        <f>IFERROR(INDEX(样本到样信息汇总统计!D$2:D$500,MATCH(236,样本到样信息汇总统计!$X$2:$X$500,0)),"")</f>
        <v/>
      </c>
      <c r="E237" s="8" t="str">
        <f>IFERROR(INDEX(样本到样信息汇总统计!E$2:E$500,MATCH(236,样本到样信息汇总统计!$X$2:$X$500,0)),"")</f>
        <v/>
      </c>
      <c r="F237" s="8" t="str">
        <f>IFERROR(INDEX(样本到样信息汇总统计!F$2:F$500,MATCH(236,样本到样信息汇总统计!$X$2:$X$500,0)),"")</f>
        <v/>
      </c>
      <c r="G237" s="8" t="str">
        <f>IFERROR(INDEX(样本到样信息汇总统计!G$2:G$500,MATCH(236,样本到样信息汇总统计!$X$2:$X$500,0)),"")</f>
        <v/>
      </c>
      <c r="H237" s="8" t="str">
        <f>IFERROR(INDEX(样本到样信息汇总统计!H$2:H$500,MATCH(236,样本到样信息汇总统计!$X$2:$X$500,0)),"")</f>
        <v/>
      </c>
      <c r="I237" s="8" t="str">
        <f>IFERROR(INDEX(样本到样信息汇总统计!I$2:I$500,MATCH(236,样本到样信息汇总统计!$X$2:$X$500,0)),"")</f>
        <v/>
      </c>
      <c r="J237" s="8" t="str">
        <f>IFERROR(INDEX(样本到样信息汇总统计!J$2:J$500,MATCH(236,样本到样信息汇总统计!$X$2:$X$500,0)),"")</f>
        <v/>
      </c>
      <c r="K237" s="15" t="str">
        <f>IFERROR(INDEX(样本到样信息汇总统计!K$2:K$500,MATCH(236,样本到样信息汇总统计!$X$2:$X$500,0)),"")</f>
        <v/>
      </c>
      <c r="L237" s="8" t="str">
        <f>IFERROR(INDEX(样本到样信息汇总统计!L$2:L$500,MATCH(236,样本到样信息汇总统计!$X$2:$X$500,0)),"")</f>
        <v/>
      </c>
      <c r="M237" s="8" t="str">
        <f>IFERROR(INDEX(样本到样信息汇总统计!M$2:M$500,MATCH(236,样本到样信息汇总统计!$X$2:$X$500,0)),"")</f>
        <v/>
      </c>
      <c r="N237" s="8" t="str">
        <f>IFERROR(INDEX(样本到样信息汇总统计!N$2:N$500,MATCH(236,样本到样信息汇总统计!$X$2:$X$500,0)),"")</f>
        <v/>
      </c>
      <c r="O237" s="8" t="str">
        <f>IFERROR(INDEX(样本到样信息汇总统计!O$2:O$500,MATCH(236,样本到样信息汇总统计!$X$2:$X$500,0)),"")</f>
        <v/>
      </c>
      <c r="P237" s="8" t="str">
        <f>IFERROR(INDEX(样本到样信息汇总统计!P$2:P$500,MATCH(236,样本到样信息汇总统计!$X$2:$X$500,0)),"")</f>
        <v/>
      </c>
      <c r="Q237" s="8" t="str">
        <f>IFERROR(INDEX(样本到样信息汇总统计!Q$2:Q$500,MATCH(236,样本到样信息汇总统计!$X$2:$X$500,0)),"")</f>
        <v/>
      </c>
      <c r="R237" s="8" t="str">
        <f>IFERROR(INDEX(样本到样信息汇总统计!R$2:R$500,MATCH(236,样本到样信息汇总统计!$X$2:$X$500,0)),"")</f>
        <v/>
      </c>
      <c r="S237" s="8" t="str">
        <f>IFERROR(INDEX(样本到样信息汇总统计!S$2:S$500,MATCH(236,样本到样信息汇总统计!$X$2:$X$500,0)),"")</f>
        <v/>
      </c>
      <c r="T237" s="8" t="str">
        <f>IFERROR(INDEX(样本到样信息汇总统计!T$2:T$500,MATCH(236,样本到样信息汇总统计!$X$2:$X$500,0)),"")</f>
        <v/>
      </c>
      <c r="U237" s="8" t="str">
        <f>IFERROR(INDEX(样本到样信息汇总统计!U$2:U$500,MATCH(236,样本到样信息汇总统计!$X$2:$X$500,0)),"")</f>
        <v/>
      </c>
      <c r="V237" s="8" t="str">
        <f>IFERROR(INDEX(样本到样信息汇总统计!V$2:V$500,MATCH(236,样本到样信息汇总统计!$X$2:$X$500,0)),"")</f>
        <v/>
      </c>
      <c r="W237" s="8" t="str">
        <f>IFERROR(INDEX(样本到样信息汇总统计!W$2:W$500,MATCH(236,样本到样信息汇总统计!$X$2:$X$500,0)),"")</f>
        <v/>
      </c>
    </row>
    <row r="238" ht="14.5" spans="1:23">
      <c r="A238" s="4" t="str">
        <f>IFERROR(INDEX(样本到样信息汇总统计!A$2:A$500,MATCH(237,样本到样信息汇总统计!$X$2:$X$500,0)),"")</f>
        <v/>
      </c>
      <c r="B238" s="4" t="str">
        <f>IFERROR(INDEX(样本到样信息汇总统计!B$2:B$500,MATCH(237,样本到样信息汇总统计!$X$2:$X$500,0)),"")</f>
        <v/>
      </c>
      <c r="C238" s="4" t="str">
        <f>IFERROR(INDEX(样本到样信息汇总统计!C$2:C$500,MATCH(237,样本到样信息汇总统计!$X$2:$X$500,0)),"")</f>
        <v/>
      </c>
      <c r="D238" s="4" t="str">
        <f>IFERROR(INDEX(样本到样信息汇总统计!D$2:D$500,MATCH(237,样本到样信息汇总统计!$X$2:$X$500,0)),"")</f>
        <v/>
      </c>
      <c r="E238" s="4" t="str">
        <f>IFERROR(INDEX(样本到样信息汇总统计!E$2:E$500,MATCH(237,样本到样信息汇总统计!$X$2:$X$500,0)),"")</f>
        <v/>
      </c>
      <c r="F238" s="4" t="str">
        <f>IFERROR(INDEX(样本到样信息汇总统计!F$2:F$500,MATCH(237,样本到样信息汇总统计!$X$2:$X$500,0)),"")</f>
        <v/>
      </c>
      <c r="G238" s="4" t="str">
        <f>IFERROR(INDEX(样本到样信息汇总统计!G$2:G$500,MATCH(237,样本到样信息汇总统计!$X$2:$X$500,0)),"")</f>
        <v/>
      </c>
      <c r="H238" s="4" t="str">
        <f>IFERROR(INDEX(样本到样信息汇总统计!H$2:H$500,MATCH(237,样本到样信息汇总统计!$X$2:$X$500,0)),"")</f>
        <v/>
      </c>
      <c r="I238" s="4" t="str">
        <f>IFERROR(INDEX(样本到样信息汇总统计!I$2:I$500,MATCH(237,样本到样信息汇总统计!$X$2:$X$500,0)),"")</f>
        <v/>
      </c>
      <c r="J238" s="4" t="str">
        <f>IFERROR(INDEX(样本到样信息汇总统计!J$2:J$500,MATCH(237,样本到样信息汇总统计!$X$2:$X$500,0)),"")</f>
        <v/>
      </c>
      <c r="K238" s="14" t="str">
        <f>IFERROR(INDEX(样本到样信息汇总统计!K$2:K$500,MATCH(237,样本到样信息汇总统计!$X$2:$X$500,0)),"")</f>
        <v/>
      </c>
      <c r="L238" s="4" t="str">
        <f>IFERROR(INDEX(样本到样信息汇总统计!L$2:L$500,MATCH(237,样本到样信息汇总统计!$X$2:$X$500,0)),"")</f>
        <v/>
      </c>
      <c r="M238" s="4" t="str">
        <f>IFERROR(INDEX(样本到样信息汇总统计!M$2:M$500,MATCH(237,样本到样信息汇总统计!$X$2:$X$500,0)),"")</f>
        <v/>
      </c>
      <c r="N238" s="4" t="str">
        <f>IFERROR(INDEX(样本到样信息汇总统计!N$2:N$500,MATCH(237,样本到样信息汇总统计!$X$2:$X$500,0)),"")</f>
        <v/>
      </c>
      <c r="O238" s="4" t="str">
        <f>IFERROR(INDEX(样本到样信息汇总统计!O$2:O$500,MATCH(237,样本到样信息汇总统计!$X$2:$X$500,0)),"")</f>
        <v/>
      </c>
      <c r="P238" s="4" t="str">
        <f>IFERROR(INDEX(样本到样信息汇总统计!P$2:P$500,MATCH(237,样本到样信息汇总统计!$X$2:$X$500,0)),"")</f>
        <v/>
      </c>
      <c r="Q238" s="4" t="str">
        <f>IFERROR(INDEX(样本到样信息汇总统计!Q$2:Q$500,MATCH(237,样本到样信息汇总统计!$X$2:$X$500,0)),"")</f>
        <v/>
      </c>
      <c r="R238" s="4" t="str">
        <f>IFERROR(INDEX(样本到样信息汇总统计!R$2:R$500,MATCH(237,样本到样信息汇总统计!$X$2:$X$500,0)),"")</f>
        <v/>
      </c>
      <c r="S238" s="4" t="str">
        <f>IFERROR(INDEX(样本到样信息汇总统计!S$2:S$500,MATCH(237,样本到样信息汇总统计!$X$2:$X$500,0)),"")</f>
        <v/>
      </c>
      <c r="T238" s="4" t="str">
        <f>IFERROR(INDEX(样本到样信息汇总统计!T$2:T$500,MATCH(237,样本到样信息汇总统计!$X$2:$X$500,0)),"")</f>
        <v/>
      </c>
      <c r="U238" s="4" t="str">
        <f>IFERROR(INDEX(样本到样信息汇总统计!U$2:U$500,MATCH(237,样本到样信息汇总统计!$X$2:$X$500,0)),"")</f>
        <v/>
      </c>
      <c r="V238" s="4" t="str">
        <f>IFERROR(INDEX(样本到样信息汇总统计!V$2:V$500,MATCH(237,样本到样信息汇总统计!$X$2:$X$500,0)),"")</f>
        <v/>
      </c>
      <c r="W238" s="4" t="str">
        <f>IFERROR(INDEX(样本到样信息汇总统计!W$2:W$500,MATCH(237,样本到样信息汇总统计!$X$2:$X$500,0)),"")</f>
        <v/>
      </c>
    </row>
    <row r="239" ht="14.5" spans="1:23">
      <c r="A239" s="8" t="str">
        <f>IFERROR(INDEX(样本到样信息汇总统计!A$2:A$500,MATCH(238,样本到样信息汇总统计!$X$2:$X$500,0)),"")</f>
        <v/>
      </c>
      <c r="B239" s="8" t="str">
        <f>IFERROR(INDEX(样本到样信息汇总统计!B$2:B$500,MATCH(238,样本到样信息汇总统计!$X$2:$X$500,0)),"")</f>
        <v/>
      </c>
      <c r="C239" s="8" t="str">
        <f>IFERROR(INDEX(样本到样信息汇总统计!C$2:C$500,MATCH(238,样本到样信息汇总统计!$X$2:$X$500,0)),"")</f>
        <v/>
      </c>
      <c r="D239" s="8" t="str">
        <f>IFERROR(INDEX(样本到样信息汇总统计!D$2:D$500,MATCH(238,样本到样信息汇总统计!$X$2:$X$500,0)),"")</f>
        <v/>
      </c>
      <c r="E239" s="8" t="str">
        <f>IFERROR(INDEX(样本到样信息汇总统计!E$2:E$500,MATCH(238,样本到样信息汇总统计!$X$2:$X$500,0)),"")</f>
        <v/>
      </c>
      <c r="F239" s="8" t="str">
        <f>IFERROR(INDEX(样本到样信息汇总统计!F$2:F$500,MATCH(238,样本到样信息汇总统计!$X$2:$X$500,0)),"")</f>
        <v/>
      </c>
      <c r="G239" s="8" t="str">
        <f>IFERROR(INDEX(样本到样信息汇总统计!G$2:G$500,MATCH(238,样本到样信息汇总统计!$X$2:$X$500,0)),"")</f>
        <v/>
      </c>
      <c r="H239" s="8" t="str">
        <f>IFERROR(INDEX(样本到样信息汇总统计!H$2:H$500,MATCH(238,样本到样信息汇总统计!$X$2:$X$500,0)),"")</f>
        <v/>
      </c>
      <c r="I239" s="8" t="str">
        <f>IFERROR(INDEX(样本到样信息汇总统计!I$2:I$500,MATCH(238,样本到样信息汇总统计!$X$2:$X$500,0)),"")</f>
        <v/>
      </c>
      <c r="J239" s="8" t="str">
        <f>IFERROR(INDEX(样本到样信息汇总统计!J$2:J$500,MATCH(238,样本到样信息汇总统计!$X$2:$X$500,0)),"")</f>
        <v/>
      </c>
      <c r="K239" s="15" t="str">
        <f>IFERROR(INDEX(样本到样信息汇总统计!K$2:K$500,MATCH(238,样本到样信息汇总统计!$X$2:$X$500,0)),"")</f>
        <v/>
      </c>
      <c r="L239" s="8" t="str">
        <f>IFERROR(INDEX(样本到样信息汇总统计!L$2:L$500,MATCH(238,样本到样信息汇总统计!$X$2:$X$500,0)),"")</f>
        <v/>
      </c>
      <c r="M239" s="8" t="str">
        <f>IFERROR(INDEX(样本到样信息汇总统计!M$2:M$500,MATCH(238,样本到样信息汇总统计!$X$2:$X$500,0)),"")</f>
        <v/>
      </c>
      <c r="N239" s="8" t="str">
        <f>IFERROR(INDEX(样本到样信息汇总统计!N$2:N$500,MATCH(238,样本到样信息汇总统计!$X$2:$X$500,0)),"")</f>
        <v/>
      </c>
      <c r="O239" s="8" t="str">
        <f>IFERROR(INDEX(样本到样信息汇总统计!O$2:O$500,MATCH(238,样本到样信息汇总统计!$X$2:$X$500,0)),"")</f>
        <v/>
      </c>
      <c r="P239" s="8" t="str">
        <f>IFERROR(INDEX(样本到样信息汇总统计!P$2:P$500,MATCH(238,样本到样信息汇总统计!$X$2:$X$500,0)),"")</f>
        <v/>
      </c>
      <c r="Q239" s="8" t="str">
        <f>IFERROR(INDEX(样本到样信息汇总统计!Q$2:Q$500,MATCH(238,样本到样信息汇总统计!$X$2:$X$500,0)),"")</f>
        <v/>
      </c>
      <c r="R239" s="8" t="str">
        <f>IFERROR(INDEX(样本到样信息汇总统计!R$2:R$500,MATCH(238,样本到样信息汇总统计!$X$2:$X$500,0)),"")</f>
        <v/>
      </c>
      <c r="S239" s="8" t="str">
        <f>IFERROR(INDEX(样本到样信息汇总统计!S$2:S$500,MATCH(238,样本到样信息汇总统计!$X$2:$X$500,0)),"")</f>
        <v/>
      </c>
      <c r="T239" s="8" t="str">
        <f>IFERROR(INDEX(样本到样信息汇总统计!T$2:T$500,MATCH(238,样本到样信息汇总统计!$X$2:$X$500,0)),"")</f>
        <v/>
      </c>
      <c r="U239" s="8" t="str">
        <f>IFERROR(INDEX(样本到样信息汇总统计!U$2:U$500,MATCH(238,样本到样信息汇总统计!$X$2:$X$500,0)),"")</f>
        <v/>
      </c>
      <c r="V239" s="8" t="str">
        <f>IFERROR(INDEX(样本到样信息汇总统计!V$2:V$500,MATCH(238,样本到样信息汇总统计!$X$2:$X$500,0)),"")</f>
        <v/>
      </c>
      <c r="W239" s="8" t="str">
        <f>IFERROR(INDEX(样本到样信息汇总统计!W$2:W$500,MATCH(238,样本到样信息汇总统计!$X$2:$X$500,0)),"")</f>
        <v/>
      </c>
    </row>
    <row r="240" ht="14.5" spans="1:23">
      <c r="A240" s="4" t="str">
        <f>IFERROR(INDEX(样本到样信息汇总统计!A$2:A$500,MATCH(239,样本到样信息汇总统计!$X$2:$X$500,0)),"")</f>
        <v/>
      </c>
      <c r="B240" s="4" t="str">
        <f>IFERROR(INDEX(样本到样信息汇总统计!B$2:B$500,MATCH(239,样本到样信息汇总统计!$X$2:$X$500,0)),"")</f>
        <v/>
      </c>
      <c r="C240" s="4" t="str">
        <f>IFERROR(INDEX(样本到样信息汇总统计!C$2:C$500,MATCH(239,样本到样信息汇总统计!$X$2:$X$500,0)),"")</f>
        <v/>
      </c>
      <c r="D240" s="4" t="str">
        <f>IFERROR(INDEX(样本到样信息汇总统计!D$2:D$500,MATCH(239,样本到样信息汇总统计!$X$2:$X$500,0)),"")</f>
        <v/>
      </c>
      <c r="E240" s="4" t="str">
        <f>IFERROR(INDEX(样本到样信息汇总统计!E$2:E$500,MATCH(239,样本到样信息汇总统计!$X$2:$X$500,0)),"")</f>
        <v/>
      </c>
      <c r="F240" s="4" t="str">
        <f>IFERROR(INDEX(样本到样信息汇总统计!F$2:F$500,MATCH(239,样本到样信息汇总统计!$X$2:$X$500,0)),"")</f>
        <v/>
      </c>
      <c r="G240" s="4" t="str">
        <f>IFERROR(INDEX(样本到样信息汇总统计!G$2:G$500,MATCH(239,样本到样信息汇总统计!$X$2:$X$500,0)),"")</f>
        <v/>
      </c>
      <c r="H240" s="4" t="str">
        <f>IFERROR(INDEX(样本到样信息汇总统计!H$2:H$500,MATCH(239,样本到样信息汇总统计!$X$2:$X$500,0)),"")</f>
        <v/>
      </c>
      <c r="I240" s="4" t="str">
        <f>IFERROR(INDEX(样本到样信息汇总统计!I$2:I$500,MATCH(239,样本到样信息汇总统计!$X$2:$X$500,0)),"")</f>
        <v/>
      </c>
      <c r="J240" s="4" t="str">
        <f>IFERROR(INDEX(样本到样信息汇总统计!J$2:J$500,MATCH(239,样本到样信息汇总统计!$X$2:$X$500,0)),"")</f>
        <v/>
      </c>
      <c r="K240" s="14" t="str">
        <f>IFERROR(INDEX(样本到样信息汇总统计!K$2:K$500,MATCH(239,样本到样信息汇总统计!$X$2:$X$500,0)),"")</f>
        <v/>
      </c>
      <c r="L240" s="4" t="str">
        <f>IFERROR(INDEX(样本到样信息汇总统计!L$2:L$500,MATCH(239,样本到样信息汇总统计!$X$2:$X$500,0)),"")</f>
        <v/>
      </c>
      <c r="M240" s="4" t="str">
        <f>IFERROR(INDEX(样本到样信息汇总统计!M$2:M$500,MATCH(239,样本到样信息汇总统计!$X$2:$X$500,0)),"")</f>
        <v/>
      </c>
      <c r="N240" s="4" t="str">
        <f>IFERROR(INDEX(样本到样信息汇总统计!N$2:N$500,MATCH(239,样本到样信息汇总统计!$X$2:$X$500,0)),"")</f>
        <v/>
      </c>
      <c r="O240" s="4" t="str">
        <f>IFERROR(INDEX(样本到样信息汇总统计!O$2:O$500,MATCH(239,样本到样信息汇总统计!$X$2:$X$500,0)),"")</f>
        <v/>
      </c>
      <c r="P240" s="4" t="str">
        <f>IFERROR(INDEX(样本到样信息汇总统计!P$2:P$500,MATCH(239,样本到样信息汇总统计!$X$2:$X$500,0)),"")</f>
        <v/>
      </c>
      <c r="Q240" s="4" t="str">
        <f>IFERROR(INDEX(样本到样信息汇总统计!Q$2:Q$500,MATCH(239,样本到样信息汇总统计!$X$2:$X$500,0)),"")</f>
        <v/>
      </c>
      <c r="R240" s="4" t="str">
        <f>IFERROR(INDEX(样本到样信息汇总统计!R$2:R$500,MATCH(239,样本到样信息汇总统计!$X$2:$X$500,0)),"")</f>
        <v/>
      </c>
      <c r="S240" s="4" t="str">
        <f>IFERROR(INDEX(样本到样信息汇总统计!S$2:S$500,MATCH(239,样本到样信息汇总统计!$X$2:$X$500,0)),"")</f>
        <v/>
      </c>
      <c r="T240" s="4" t="str">
        <f>IFERROR(INDEX(样本到样信息汇总统计!T$2:T$500,MATCH(239,样本到样信息汇总统计!$X$2:$X$500,0)),"")</f>
        <v/>
      </c>
      <c r="U240" s="4" t="str">
        <f>IFERROR(INDEX(样本到样信息汇总统计!U$2:U$500,MATCH(239,样本到样信息汇总统计!$X$2:$X$500,0)),"")</f>
        <v/>
      </c>
      <c r="V240" s="4" t="str">
        <f>IFERROR(INDEX(样本到样信息汇总统计!V$2:V$500,MATCH(239,样本到样信息汇总统计!$X$2:$X$500,0)),"")</f>
        <v/>
      </c>
      <c r="W240" s="4" t="str">
        <f>IFERROR(INDEX(样本到样信息汇总统计!W$2:W$500,MATCH(239,样本到样信息汇总统计!$X$2:$X$500,0)),"")</f>
        <v/>
      </c>
    </row>
    <row r="241" ht="14.5" spans="1:23">
      <c r="A241" s="8" t="str">
        <f>IFERROR(INDEX(样本到样信息汇总统计!A$2:A$500,MATCH(240,样本到样信息汇总统计!$X$2:$X$500,0)),"")</f>
        <v/>
      </c>
      <c r="B241" s="8" t="str">
        <f>IFERROR(INDEX(样本到样信息汇总统计!B$2:B$500,MATCH(240,样本到样信息汇总统计!$X$2:$X$500,0)),"")</f>
        <v/>
      </c>
      <c r="C241" s="8" t="str">
        <f>IFERROR(INDEX(样本到样信息汇总统计!C$2:C$500,MATCH(240,样本到样信息汇总统计!$X$2:$X$500,0)),"")</f>
        <v/>
      </c>
      <c r="D241" s="8" t="str">
        <f>IFERROR(INDEX(样本到样信息汇总统计!D$2:D$500,MATCH(240,样本到样信息汇总统计!$X$2:$X$500,0)),"")</f>
        <v/>
      </c>
      <c r="E241" s="8" t="str">
        <f>IFERROR(INDEX(样本到样信息汇总统计!E$2:E$500,MATCH(240,样本到样信息汇总统计!$X$2:$X$500,0)),"")</f>
        <v/>
      </c>
      <c r="F241" s="8" t="str">
        <f>IFERROR(INDEX(样本到样信息汇总统计!F$2:F$500,MATCH(240,样本到样信息汇总统计!$X$2:$X$500,0)),"")</f>
        <v/>
      </c>
      <c r="G241" s="8" t="str">
        <f>IFERROR(INDEX(样本到样信息汇总统计!G$2:G$500,MATCH(240,样本到样信息汇总统计!$X$2:$X$500,0)),"")</f>
        <v/>
      </c>
      <c r="H241" s="8" t="str">
        <f>IFERROR(INDEX(样本到样信息汇总统计!H$2:H$500,MATCH(240,样本到样信息汇总统计!$X$2:$X$500,0)),"")</f>
        <v/>
      </c>
      <c r="I241" s="8" t="str">
        <f>IFERROR(INDEX(样本到样信息汇总统计!I$2:I$500,MATCH(240,样本到样信息汇总统计!$X$2:$X$500,0)),"")</f>
        <v/>
      </c>
      <c r="J241" s="8" t="str">
        <f>IFERROR(INDEX(样本到样信息汇总统计!J$2:J$500,MATCH(240,样本到样信息汇总统计!$X$2:$X$500,0)),"")</f>
        <v/>
      </c>
      <c r="K241" s="15" t="str">
        <f>IFERROR(INDEX(样本到样信息汇总统计!K$2:K$500,MATCH(240,样本到样信息汇总统计!$X$2:$X$500,0)),"")</f>
        <v/>
      </c>
      <c r="L241" s="8" t="str">
        <f>IFERROR(INDEX(样本到样信息汇总统计!L$2:L$500,MATCH(240,样本到样信息汇总统计!$X$2:$X$500,0)),"")</f>
        <v/>
      </c>
      <c r="M241" s="8" t="str">
        <f>IFERROR(INDEX(样本到样信息汇总统计!M$2:M$500,MATCH(240,样本到样信息汇总统计!$X$2:$X$500,0)),"")</f>
        <v/>
      </c>
      <c r="N241" s="8" t="str">
        <f>IFERROR(INDEX(样本到样信息汇总统计!N$2:N$500,MATCH(240,样本到样信息汇总统计!$X$2:$X$500,0)),"")</f>
        <v/>
      </c>
      <c r="O241" s="8" t="str">
        <f>IFERROR(INDEX(样本到样信息汇总统计!O$2:O$500,MATCH(240,样本到样信息汇总统计!$X$2:$X$500,0)),"")</f>
        <v/>
      </c>
      <c r="P241" s="8" t="str">
        <f>IFERROR(INDEX(样本到样信息汇总统计!P$2:P$500,MATCH(240,样本到样信息汇总统计!$X$2:$X$500,0)),"")</f>
        <v/>
      </c>
      <c r="Q241" s="8" t="str">
        <f>IFERROR(INDEX(样本到样信息汇总统计!Q$2:Q$500,MATCH(240,样本到样信息汇总统计!$X$2:$X$500,0)),"")</f>
        <v/>
      </c>
      <c r="R241" s="8" t="str">
        <f>IFERROR(INDEX(样本到样信息汇总统计!R$2:R$500,MATCH(240,样本到样信息汇总统计!$X$2:$X$500,0)),"")</f>
        <v/>
      </c>
      <c r="S241" s="8" t="str">
        <f>IFERROR(INDEX(样本到样信息汇总统计!S$2:S$500,MATCH(240,样本到样信息汇总统计!$X$2:$X$500,0)),"")</f>
        <v/>
      </c>
      <c r="T241" s="8" t="str">
        <f>IFERROR(INDEX(样本到样信息汇总统计!T$2:T$500,MATCH(240,样本到样信息汇总统计!$X$2:$X$500,0)),"")</f>
        <v/>
      </c>
      <c r="U241" s="8" t="str">
        <f>IFERROR(INDEX(样本到样信息汇总统计!U$2:U$500,MATCH(240,样本到样信息汇总统计!$X$2:$X$500,0)),"")</f>
        <v/>
      </c>
      <c r="V241" s="8" t="str">
        <f>IFERROR(INDEX(样本到样信息汇总统计!V$2:V$500,MATCH(240,样本到样信息汇总统计!$X$2:$X$500,0)),"")</f>
        <v/>
      </c>
      <c r="W241" s="8" t="str">
        <f>IFERROR(INDEX(样本到样信息汇总统计!W$2:W$500,MATCH(240,样本到样信息汇总统计!$X$2:$X$500,0)),"")</f>
        <v/>
      </c>
    </row>
    <row r="242" ht="14.5" spans="1:23">
      <c r="A242" s="4" t="str">
        <f>IFERROR(INDEX(样本到样信息汇总统计!A$2:A$500,MATCH(241,样本到样信息汇总统计!$X$2:$X$500,0)),"")</f>
        <v/>
      </c>
      <c r="B242" s="4" t="str">
        <f>IFERROR(INDEX(样本到样信息汇总统计!B$2:B$500,MATCH(241,样本到样信息汇总统计!$X$2:$X$500,0)),"")</f>
        <v/>
      </c>
      <c r="C242" s="4" t="str">
        <f>IFERROR(INDEX(样本到样信息汇总统计!C$2:C$500,MATCH(241,样本到样信息汇总统计!$X$2:$X$500,0)),"")</f>
        <v/>
      </c>
      <c r="D242" s="4" t="str">
        <f>IFERROR(INDEX(样本到样信息汇总统计!D$2:D$500,MATCH(241,样本到样信息汇总统计!$X$2:$X$500,0)),"")</f>
        <v/>
      </c>
      <c r="E242" s="4" t="str">
        <f>IFERROR(INDEX(样本到样信息汇总统计!E$2:E$500,MATCH(241,样本到样信息汇总统计!$X$2:$X$500,0)),"")</f>
        <v/>
      </c>
      <c r="F242" s="4" t="str">
        <f>IFERROR(INDEX(样本到样信息汇总统计!F$2:F$500,MATCH(241,样本到样信息汇总统计!$X$2:$X$500,0)),"")</f>
        <v/>
      </c>
      <c r="G242" s="4" t="str">
        <f>IFERROR(INDEX(样本到样信息汇总统计!G$2:G$500,MATCH(241,样本到样信息汇总统计!$X$2:$X$500,0)),"")</f>
        <v/>
      </c>
      <c r="H242" s="4" t="str">
        <f>IFERROR(INDEX(样本到样信息汇总统计!H$2:H$500,MATCH(241,样本到样信息汇总统计!$X$2:$X$500,0)),"")</f>
        <v/>
      </c>
      <c r="I242" s="4" t="str">
        <f>IFERROR(INDEX(样本到样信息汇总统计!I$2:I$500,MATCH(241,样本到样信息汇总统计!$X$2:$X$500,0)),"")</f>
        <v/>
      </c>
      <c r="J242" s="4" t="str">
        <f>IFERROR(INDEX(样本到样信息汇总统计!J$2:J$500,MATCH(241,样本到样信息汇总统计!$X$2:$X$500,0)),"")</f>
        <v/>
      </c>
      <c r="K242" s="14" t="str">
        <f>IFERROR(INDEX(样本到样信息汇总统计!K$2:K$500,MATCH(241,样本到样信息汇总统计!$X$2:$X$500,0)),"")</f>
        <v/>
      </c>
      <c r="L242" s="4" t="str">
        <f>IFERROR(INDEX(样本到样信息汇总统计!L$2:L$500,MATCH(241,样本到样信息汇总统计!$X$2:$X$500,0)),"")</f>
        <v/>
      </c>
      <c r="M242" s="4" t="str">
        <f>IFERROR(INDEX(样本到样信息汇总统计!M$2:M$500,MATCH(241,样本到样信息汇总统计!$X$2:$X$500,0)),"")</f>
        <v/>
      </c>
      <c r="N242" s="4" t="str">
        <f>IFERROR(INDEX(样本到样信息汇总统计!N$2:N$500,MATCH(241,样本到样信息汇总统计!$X$2:$X$500,0)),"")</f>
        <v/>
      </c>
      <c r="O242" s="4" t="str">
        <f>IFERROR(INDEX(样本到样信息汇总统计!O$2:O$500,MATCH(241,样本到样信息汇总统计!$X$2:$X$500,0)),"")</f>
        <v/>
      </c>
      <c r="P242" s="4" t="str">
        <f>IFERROR(INDEX(样本到样信息汇总统计!P$2:P$500,MATCH(241,样本到样信息汇总统计!$X$2:$X$500,0)),"")</f>
        <v/>
      </c>
      <c r="Q242" s="4" t="str">
        <f>IFERROR(INDEX(样本到样信息汇总统计!Q$2:Q$500,MATCH(241,样本到样信息汇总统计!$X$2:$X$500,0)),"")</f>
        <v/>
      </c>
      <c r="R242" s="4" t="str">
        <f>IFERROR(INDEX(样本到样信息汇总统计!R$2:R$500,MATCH(241,样本到样信息汇总统计!$X$2:$X$500,0)),"")</f>
        <v/>
      </c>
      <c r="S242" s="4" t="str">
        <f>IFERROR(INDEX(样本到样信息汇总统计!S$2:S$500,MATCH(241,样本到样信息汇总统计!$X$2:$X$500,0)),"")</f>
        <v/>
      </c>
      <c r="T242" s="4" t="str">
        <f>IFERROR(INDEX(样本到样信息汇总统计!T$2:T$500,MATCH(241,样本到样信息汇总统计!$X$2:$X$500,0)),"")</f>
        <v/>
      </c>
      <c r="U242" s="4" t="str">
        <f>IFERROR(INDEX(样本到样信息汇总统计!U$2:U$500,MATCH(241,样本到样信息汇总统计!$X$2:$X$500,0)),"")</f>
        <v/>
      </c>
      <c r="V242" s="4" t="str">
        <f>IFERROR(INDEX(样本到样信息汇总统计!V$2:V$500,MATCH(241,样本到样信息汇总统计!$X$2:$X$500,0)),"")</f>
        <v/>
      </c>
      <c r="W242" s="4" t="str">
        <f>IFERROR(INDEX(样本到样信息汇总统计!W$2:W$500,MATCH(241,样本到样信息汇总统计!$X$2:$X$500,0)),"")</f>
        <v/>
      </c>
    </row>
    <row r="243" ht="14.5" spans="1:23">
      <c r="A243" s="8" t="str">
        <f>IFERROR(INDEX(样本到样信息汇总统计!A$2:A$500,MATCH(242,样本到样信息汇总统计!$X$2:$X$500,0)),"")</f>
        <v/>
      </c>
      <c r="B243" s="8" t="str">
        <f>IFERROR(INDEX(样本到样信息汇总统计!B$2:B$500,MATCH(242,样本到样信息汇总统计!$X$2:$X$500,0)),"")</f>
        <v/>
      </c>
      <c r="C243" s="8" t="str">
        <f>IFERROR(INDEX(样本到样信息汇总统计!C$2:C$500,MATCH(242,样本到样信息汇总统计!$X$2:$X$500,0)),"")</f>
        <v/>
      </c>
      <c r="D243" s="8" t="str">
        <f>IFERROR(INDEX(样本到样信息汇总统计!D$2:D$500,MATCH(242,样本到样信息汇总统计!$X$2:$X$500,0)),"")</f>
        <v/>
      </c>
      <c r="E243" s="8" t="str">
        <f>IFERROR(INDEX(样本到样信息汇总统计!E$2:E$500,MATCH(242,样本到样信息汇总统计!$X$2:$X$500,0)),"")</f>
        <v/>
      </c>
      <c r="F243" s="8" t="str">
        <f>IFERROR(INDEX(样本到样信息汇总统计!F$2:F$500,MATCH(242,样本到样信息汇总统计!$X$2:$X$500,0)),"")</f>
        <v/>
      </c>
      <c r="G243" s="8" t="str">
        <f>IFERROR(INDEX(样本到样信息汇总统计!G$2:G$500,MATCH(242,样本到样信息汇总统计!$X$2:$X$500,0)),"")</f>
        <v/>
      </c>
      <c r="H243" s="8" t="str">
        <f>IFERROR(INDEX(样本到样信息汇总统计!H$2:H$500,MATCH(242,样本到样信息汇总统计!$X$2:$X$500,0)),"")</f>
        <v/>
      </c>
      <c r="I243" s="8" t="str">
        <f>IFERROR(INDEX(样本到样信息汇总统计!I$2:I$500,MATCH(242,样本到样信息汇总统计!$X$2:$X$500,0)),"")</f>
        <v/>
      </c>
      <c r="J243" s="8" t="str">
        <f>IFERROR(INDEX(样本到样信息汇总统计!J$2:J$500,MATCH(242,样本到样信息汇总统计!$X$2:$X$500,0)),"")</f>
        <v/>
      </c>
      <c r="K243" s="15" t="str">
        <f>IFERROR(INDEX(样本到样信息汇总统计!K$2:K$500,MATCH(242,样本到样信息汇总统计!$X$2:$X$500,0)),"")</f>
        <v/>
      </c>
      <c r="L243" s="8" t="str">
        <f>IFERROR(INDEX(样本到样信息汇总统计!L$2:L$500,MATCH(242,样本到样信息汇总统计!$X$2:$X$500,0)),"")</f>
        <v/>
      </c>
      <c r="M243" s="8" t="str">
        <f>IFERROR(INDEX(样本到样信息汇总统计!M$2:M$500,MATCH(242,样本到样信息汇总统计!$X$2:$X$500,0)),"")</f>
        <v/>
      </c>
      <c r="N243" s="8" t="str">
        <f>IFERROR(INDEX(样本到样信息汇总统计!N$2:N$500,MATCH(242,样本到样信息汇总统计!$X$2:$X$500,0)),"")</f>
        <v/>
      </c>
      <c r="O243" s="8" t="str">
        <f>IFERROR(INDEX(样本到样信息汇总统计!O$2:O$500,MATCH(242,样本到样信息汇总统计!$X$2:$X$500,0)),"")</f>
        <v/>
      </c>
      <c r="P243" s="8" t="str">
        <f>IFERROR(INDEX(样本到样信息汇总统计!P$2:P$500,MATCH(242,样本到样信息汇总统计!$X$2:$X$500,0)),"")</f>
        <v/>
      </c>
      <c r="Q243" s="8" t="str">
        <f>IFERROR(INDEX(样本到样信息汇总统计!Q$2:Q$500,MATCH(242,样本到样信息汇总统计!$X$2:$X$500,0)),"")</f>
        <v/>
      </c>
      <c r="R243" s="8" t="str">
        <f>IFERROR(INDEX(样本到样信息汇总统计!R$2:R$500,MATCH(242,样本到样信息汇总统计!$X$2:$X$500,0)),"")</f>
        <v/>
      </c>
      <c r="S243" s="8" t="str">
        <f>IFERROR(INDEX(样本到样信息汇总统计!S$2:S$500,MATCH(242,样本到样信息汇总统计!$X$2:$X$500,0)),"")</f>
        <v/>
      </c>
      <c r="T243" s="8" t="str">
        <f>IFERROR(INDEX(样本到样信息汇总统计!T$2:T$500,MATCH(242,样本到样信息汇总统计!$X$2:$X$500,0)),"")</f>
        <v/>
      </c>
      <c r="U243" s="8" t="str">
        <f>IFERROR(INDEX(样本到样信息汇总统计!U$2:U$500,MATCH(242,样本到样信息汇总统计!$X$2:$X$500,0)),"")</f>
        <v/>
      </c>
      <c r="V243" s="8" t="str">
        <f>IFERROR(INDEX(样本到样信息汇总统计!V$2:V$500,MATCH(242,样本到样信息汇总统计!$X$2:$X$500,0)),"")</f>
        <v/>
      </c>
      <c r="W243" s="8" t="str">
        <f>IFERROR(INDEX(样本到样信息汇总统计!W$2:W$500,MATCH(242,样本到样信息汇总统计!$X$2:$X$500,0)),"")</f>
        <v/>
      </c>
    </row>
    <row r="244" ht="14.5" spans="1:23">
      <c r="A244" s="4" t="str">
        <f>IFERROR(INDEX(样本到样信息汇总统计!A$2:A$500,MATCH(243,样本到样信息汇总统计!$X$2:$X$500,0)),"")</f>
        <v/>
      </c>
      <c r="B244" s="4" t="str">
        <f>IFERROR(INDEX(样本到样信息汇总统计!B$2:B$500,MATCH(243,样本到样信息汇总统计!$X$2:$X$500,0)),"")</f>
        <v/>
      </c>
      <c r="C244" s="4" t="str">
        <f>IFERROR(INDEX(样本到样信息汇总统计!C$2:C$500,MATCH(243,样本到样信息汇总统计!$X$2:$X$500,0)),"")</f>
        <v/>
      </c>
      <c r="D244" s="4" t="str">
        <f>IFERROR(INDEX(样本到样信息汇总统计!D$2:D$500,MATCH(243,样本到样信息汇总统计!$X$2:$X$500,0)),"")</f>
        <v/>
      </c>
      <c r="E244" s="4" t="str">
        <f>IFERROR(INDEX(样本到样信息汇总统计!E$2:E$500,MATCH(243,样本到样信息汇总统计!$X$2:$X$500,0)),"")</f>
        <v/>
      </c>
      <c r="F244" s="4" t="str">
        <f>IFERROR(INDEX(样本到样信息汇总统计!F$2:F$500,MATCH(243,样本到样信息汇总统计!$X$2:$X$500,0)),"")</f>
        <v/>
      </c>
      <c r="G244" s="4" t="str">
        <f>IFERROR(INDEX(样本到样信息汇总统计!G$2:G$500,MATCH(243,样本到样信息汇总统计!$X$2:$X$500,0)),"")</f>
        <v/>
      </c>
      <c r="H244" s="4" t="str">
        <f>IFERROR(INDEX(样本到样信息汇总统计!H$2:H$500,MATCH(243,样本到样信息汇总统计!$X$2:$X$500,0)),"")</f>
        <v/>
      </c>
      <c r="I244" s="4" t="str">
        <f>IFERROR(INDEX(样本到样信息汇总统计!I$2:I$500,MATCH(243,样本到样信息汇总统计!$X$2:$X$500,0)),"")</f>
        <v/>
      </c>
      <c r="J244" s="4" t="str">
        <f>IFERROR(INDEX(样本到样信息汇总统计!J$2:J$500,MATCH(243,样本到样信息汇总统计!$X$2:$X$500,0)),"")</f>
        <v/>
      </c>
      <c r="K244" s="14" t="str">
        <f>IFERROR(INDEX(样本到样信息汇总统计!K$2:K$500,MATCH(243,样本到样信息汇总统计!$X$2:$X$500,0)),"")</f>
        <v/>
      </c>
      <c r="L244" s="4" t="str">
        <f>IFERROR(INDEX(样本到样信息汇总统计!L$2:L$500,MATCH(243,样本到样信息汇总统计!$X$2:$X$500,0)),"")</f>
        <v/>
      </c>
      <c r="M244" s="4" t="str">
        <f>IFERROR(INDEX(样本到样信息汇总统计!M$2:M$500,MATCH(243,样本到样信息汇总统计!$X$2:$X$500,0)),"")</f>
        <v/>
      </c>
      <c r="N244" s="4" t="str">
        <f>IFERROR(INDEX(样本到样信息汇总统计!N$2:N$500,MATCH(243,样本到样信息汇总统计!$X$2:$X$500,0)),"")</f>
        <v/>
      </c>
      <c r="O244" s="4" t="str">
        <f>IFERROR(INDEX(样本到样信息汇总统计!O$2:O$500,MATCH(243,样本到样信息汇总统计!$X$2:$X$500,0)),"")</f>
        <v/>
      </c>
      <c r="P244" s="4" t="str">
        <f>IFERROR(INDEX(样本到样信息汇总统计!P$2:P$500,MATCH(243,样本到样信息汇总统计!$X$2:$X$500,0)),"")</f>
        <v/>
      </c>
      <c r="Q244" s="4" t="str">
        <f>IFERROR(INDEX(样本到样信息汇总统计!Q$2:Q$500,MATCH(243,样本到样信息汇总统计!$X$2:$X$500,0)),"")</f>
        <v/>
      </c>
      <c r="R244" s="4" t="str">
        <f>IFERROR(INDEX(样本到样信息汇总统计!R$2:R$500,MATCH(243,样本到样信息汇总统计!$X$2:$X$500,0)),"")</f>
        <v/>
      </c>
      <c r="S244" s="4" t="str">
        <f>IFERROR(INDEX(样本到样信息汇总统计!S$2:S$500,MATCH(243,样本到样信息汇总统计!$X$2:$X$500,0)),"")</f>
        <v/>
      </c>
      <c r="T244" s="4" t="str">
        <f>IFERROR(INDEX(样本到样信息汇总统计!T$2:T$500,MATCH(243,样本到样信息汇总统计!$X$2:$X$500,0)),"")</f>
        <v/>
      </c>
      <c r="U244" s="4" t="str">
        <f>IFERROR(INDEX(样本到样信息汇总统计!U$2:U$500,MATCH(243,样本到样信息汇总统计!$X$2:$X$500,0)),"")</f>
        <v/>
      </c>
      <c r="V244" s="4" t="str">
        <f>IFERROR(INDEX(样本到样信息汇总统计!V$2:V$500,MATCH(243,样本到样信息汇总统计!$X$2:$X$500,0)),"")</f>
        <v/>
      </c>
      <c r="W244" s="4" t="str">
        <f>IFERROR(INDEX(样本到样信息汇总统计!W$2:W$500,MATCH(243,样本到样信息汇总统计!$X$2:$X$500,0)),"")</f>
        <v/>
      </c>
    </row>
    <row r="245" ht="14.5" spans="1:23">
      <c r="A245" s="8" t="str">
        <f>IFERROR(INDEX(样本到样信息汇总统计!A$2:A$500,MATCH(244,样本到样信息汇总统计!$X$2:$X$500,0)),"")</f>
        <v/>
      </c>
      <c r="B245" s="8" t="str">
        <f>IFERROR(INDEX(样本到样信息汇总统计!B$2:B$500,MATCH(244,样本到样信息汇总统计!$X$2:$X$500,0)),"")</f>
        <v/>
      </c>
      <c r="C245" s="8" t="str">
        <f>IFERROR(INDEX(样本到样信息汇总统计!C$2:C$500,MATCH(244,样本到样信息汇总统计!$X$2:$X$500,0)),"")</f>
        <v/>
      </c>
      <c r="D245" s="8" t="str">
        <f>IFERROR(INDEX(样本到样信息汇总统计!D$2:D$500,MATCH(244,样本到样信息汇总统计!$X$2:$X$500,0)),"")</f>
        <v/>
      </c>
      <c r="E245" s="8" t="str">
        <f>IFERROR(INDEX(样本到样信息汇总统计!E$2:E$500,MATCH(244,样本到样信息汇总统计!$X$2:$X$500,0)),"")</f>
        <v/>
      </c>
      <c r="F245" s="8" t="str">
        <f>IFERROR(INDEX(样本到样信息汇总统计!F$2:F$500,MATCH(244,样本到样信息汇总统计!$X$2:$X$500,0)),"")</f>
        <v/>
      </c>
      <c r="G245" s="8" t="str">
        <f>IFERROR(INDEX(样本到样信息汇总统计!G$2:G$500,MATCH(244,样本到样信息汇总统计!$X$2:$X$500,0)),"")</f>
        <v/>
      </c>
      <c r="H245" s="8" t="str">
        <f>IFERROR(INDEX(样本到样信息汇总统计!H$2:H$500,MATCH(244,样本到样信息汇总统计!$X$2:$X$500,0)),"")</f>
        <v/>
      </c>
      <c r="I245" s="8" t="str">
        <f>IFERROR(INDEX(样本到样信息汇总统计!I$2:I$500,MATCH(244,样本到样信息汇总统计!$X$2:$X$500,0)),"")</f>
        <v/>
      </c>
      <c r="J245" s="8" t="str">
        <f>IFERROR(INDEX(样本到样信息汇总统计!J$2:J$500,MATCH(244,样本到样信息汇总统计!$X$2:$X$500,0)),"")</f>
        <v/>
      </c>
      <c r="K245" s="15" t="str">
        <f>IFERROR(INDEX(样本到样信息汇总统计!K$2:K$500,MATCH(244,样本到样信息汇总统计!$X$2:$X$500,0)),"")</f>
        <v/>
      </c>
      <c r="L245" s="8" t="str">
        <f>IFERROR(INDEX(样本到样信息汇总统计!L$2:L$500,MATCH(244,样本到样信息汇总统计!$X$2:$X$500,0)),"")</f>
        <v/>
      </c>
      <c r="M245" s="8" t="str">
        <f>IFERROR(INDEX(样本到样信息汇总统计!M$2:M$500,MATCH(244,样本到样信息汇总统计!$X$2:$X$500,0)),"")</f>
        <v/>
      </c>
      <c r="N245" s="8" t="str">
        <f>IFERROR(INDEX(样本到样信息汇总统计!N$2:N$500,MATCH(244,样本到样信息汇总统计!$X$2:$X$500,0)),"")</f>
        <v/>
      </c>
      <c r="O245" s="8" t="str">
        <f>IFERROR(INDEX(样本到样信息汇总统计!O$2:O$500,MATCH(244,样本到样信息汇总统计!$X$2:$X$500,0)),"")</f>
        <v/>
      </c>
      <c r="P245" s="8" t="str">
        <f>IFERROR(INDEX(样本到样信息汇总统计!P$2:P$500,MATCH(244,样本到样信息汇总统计!$X$2:$X$500,0)),"")</f>
        <v/>
      </c>
      <c r="Q245" s="8" t="str">
        <f>IFERROR(INDEX(样本到样信息汇总统计!Q$2:Q$500,MATCH(244,样本到样信息汇总统计!$X$2:$X$500,0)),"")</f>
        <v/>
      </c>
      <c r="R245" s="8" t="str">
        <f>IFERROR(INDEX(样本到样信息汇总统计!R$2:R$500,MATCH(244,样本到样信息汇总统计!$X$2:$X$500,0)),"")</f>
        <v/>
      </c>
      <c r="S245" s="8" t="str">
        <f>IFERROR(INDEX(样本到样信息汇总统计!S$2:S$500,MATCH(244,样本到样信息汇总统计!$X$2:$X$500,0)),"")</f>
        <v/>
      </c>
      <c r="T245" s="8" t="str">
        <f>IFERROR(INDEX(样本到样信息汇总统计!T$2:T$500,MATCH(244,样本到样信息汇总统计!$X$2:$X$500,0)),"")</f>
        <v/>
      </c>
      <c r="U245" s="8" t="str">
        <f>IFERROR(INDEX(样本到样信息汇总统计!U$2:U$500,MATCH(244,样本到样信息汇总统计!$X$2:$X$500,0)),"")</f>
        <v/>
      </c>
      <c r="V245" s="8" t="str">
        <f>IFERROR(INDEX(样本到样信息汇总统计!V$2:V$500,MATCH(244,样本到样信息汇总统计!$X$2:$X$500,0)),"")</f>
        <v/>
      </c>
      <c r="W245" s="8" t="str">
        <f>IFERROR(INDEX(样本到样信息汇总统计!W$2:W$500,MATCH(244,样本到样信息汇总统计!$X$2:$X$500,0)),"")</f>
        <v/>
      </c>
    </row>
    <row r="246" ht="14.5" spans="1:23">
      <c r="A246" s="4" t="str">
        <f>IFERROR(INDEX(样本到样信息汇总统计!A$2:A$500,MATCH(245,样本到样信息汇总统计!$X$2:$X$500,0)),"")</f>
        <v/>
      </c>
      <c r="B246" s="4" t="str">
        <f>IFERROR(INDEX(样本到样信息汇总统计!B$2:B$500,MATCH(245,样本到样信息汇总统计!$X$2:$X$500,0)),"")</f>
        <v/>
      </c>
      <c r="C246" s="4" t="str">
        <f>IFERROR(INDEX(样本到样信息汇总统计!C$2:C$500,MATCH(245,样本到样信息汇总统计!$X$2:$X$500,0)),"")</f>
        <v/>
      </c>
      <c r="D246" s="4" t="str">
        <f>IFERROR(INDEX(样本到样信息汇总统计!D$2:D$500,MATCH(245,样本到样信息汇总统计!$X$2:$X$500,0)),"")</f>
        <v/>
      </c>
      <c r="E246" s="4" t="str">
        <f>IFERROR(INDEX(样本到样信息汇总统计!E$2:E$500,MATCH(245,样本到样信息汇总统计!$X$2:$X$500,0)),"")</f>
        <v/>
      </c>
      <c r="F246" s="4" t="str">
        <f>IFERROR(INDEX(样本到样信息汇总统计!F$2:F$500,MATCH(245,样本到样信息汇总统计!$X$2:$X$500,0)),"")</f>
        <v/>
      </c>
      <c r="G246" s="4" t="str">
        <f>IFERROR(INDEX(样本到样信息汇总统计!G$2:G$500,MATCH(245,样本到样信息汇总统计!$X$2:$X$500,0)),"")</f>
        <v/>
      </c>
      <c r="H246" s="4" t="str">
        <f>IFERROR(INDEX(样本到样信息汇总统计!H$2:H$500,MATCH(245,样本到样信息汇总统计!$X$2:$X$500,0)),"")</f>
        <v/>
      </c>
      <c r="I246" s="4" t="str">
        <f>IFERROR(INDEX(样本到样信息汇总统计!I$2:I$500,MATCH(245,样本到样信息汇总统计!$X$2:$X$500,0)),"")</f>
        <v/>
      </c>
      <c r="J246" s="4" t="str">
        <f>IFERROR(INDEX(样本到样信息汇总统计!J$2:J$500,MATCH(245,样本到样信息汇总统计!$X$2:$X$500,0)),"")</f>
        <v/>
      </c>
      <c r="K246" s="14" t="str">
        <f>IFERROR(INDEX(样本到样信息汇总统计!K$2:K$500,MATCH(245,样本到样信息汇总统计!$X$2:$X$500,0)),"")</f>
        <v/>
      </c>
      <c r="L246" s="4" t="str">
        <f>IFERROR(INDEX(样本到样信息汇总统计!L$2:L$500,MATCH(245,样本到样信息汇总统计!$X$2:$X$500,0)),"")</f>
        <v/>
      </c>
      <c r="M246" s="4" t="str">
        <f>IFERROR(INDEX(样本到样信息汇总统计!M$2:M$500,MATCH(245,样本到样信息汇总统计!$X$2:$X$500,0)),"")</f>
        <v/>
      </c>
      <c r="N246" s="4" t="str">
        <f>IFERROR(INDEX(样本到样信息汇总统计!N$2:N$500,MATCH(245,样本到样信息汇总统计!$X$2:$X$500,0)),"")</f>
        <v/>
      </c>
      <c r="O246" s="4" t="str">
        <f>IFERROR(INDEX(样本到样信息汇总统计!O$2:O$500,MATCH(245,样本到样信息汇总统计!$X$2:$X$500,0)),"")</f>
        <v/>
      </c>
      <c r="P246" s="4" t="str">
        <f>IFERROR(INDEX(样本到样信息汇总统计!P$2:P$500,MATCH(245,样本到样信息汇总统计!$X$2:$X$500,0)),"")</f>
        <v/>
      </c>
      <c r="Q246" s="4" t="str">
        <f>IFERROR(INDEX(样本到样信息汇总统计!Q$2:Q$500,MATCH(245,样本到样信息汇总统计!$X$2:$X$500,0)),"")</f>
        <v/>
      </c>
      <c r="R246" s="4" t="str">
        <f>IFERROR(INDEX(样本到样信息汇总统计!R$2:R$500,MATCH(245,样本到样信息汇总统计!$X$2:$X$500,0)),"")</f>
        <v/>
      </c>
      <c r="S246" s="4" t="str">
        <f>IFERROR(INDEX(样本到样信息汇总统计!S$2:S$500,MATCH(245,样本到样信息汇总统计!$X$2:$X$500,0)),"")</f>
        <v/>
      </c>
      <c r="T246" s="4" t="str">
        <f>IFERROR(INDEX(样本到样信息汇总统计!T$2:T$500,MATCH(245,样本到样信息汇总统计!$X$2:$X$500,0)),"")</f>
        <v/>
      </c>
      <c r="U246" s="4" t="str">
        <f>IFERROR(INDEX(样本到样信息汇总统计!U$2:U$500,MATCH(245,样本到样信息汇总统计!$X$2:$X$500,0)),"")</f>
        <v/>
      </c>
      <c r="V246" s="4" t="str">
        <f>IFERROR(INDEX(样本到样信息汇总统计!V$2:V$500,MATCH(245,样本到样信息汇总统计!$X$2:$X$500,0)),"")</f>
        <v/>
      </c>
      <c r="W246" s="4" t="str">
        <f>IFERROR(INDEX(样本到样信息汇总统计!W$2:W$500,MATCH(245,样本到样信息汇总统计!$X$2:$X$500,0)),"")</f>
        <v/>
      </c>
    </row>
    <row r="247" ht="14.5" spans="1:23">
      <c r="A247" s="8" t="str">
        <f>IFERROR(INDEX(样本到样信息汇总统计!A$2:A$500,MATCH(246,样本到样信息汇总统计!$X$2:$X$500,0)),"")</f>
        <v/>
      </c>
      <c r="B247" s="8" t="str">
        <f>IFERROR(INDEX(样本到样信息汇总统计!B$2:B$500,MATCH(246,样本到样信息汇总统计!$X$2:$X$500,0)),"")</f>
        <v/>
      </c>
      <c r="C247" s="8" t="str">
        <f>IFERROR(INDEX(样本到样信息汇总统计!C$2:C$500,MATCH(246,样本到样信息汇总统计!$X$2:$X$500,0)),"")</f>
        <v/>
      </c>
      <c r="D247" s="8" t="str">
        <f>IFERROR(INDEX(样本到样信息汇总统计!D$2:D$500,MATCH(246,样本到样信息汇总统计!$X$2:$X$500,0)),"")</f>
        <v/>
      </c>
      <c r="E247" s="8" t="str">
        <f>IFERROR(INDEX(样本到样信息汇总统计!E$2:E$500,MATCH(246,样本到样信息汇总统计!$X$2:$X$500,0)),"")</f>
        <v/>
      </c>
      <c r="F247" s="8" t="str">
        <f>IFERROR(INDEX(样本到样信息汇总统计!F$2:F$500,MATCH(246,样本到样信息汇总统计!$X$2:$X$500,0)),"")</f>
        <v/>
      </c>
      <c r="G247" s="8" t="str">
        <f>IFERROR(INDEX(样本到样信息汇总统计!G$2:G$500,MATCH(246,样本到样信息汇总统计!$X$2:$X$500,0)),"")</f>
        <v/>
      </c>
      <c r="H247" s="8" t="str">
        <f>IFERROR(INDEX(样本到样信息汇总统计!H$2:H$500,MATCH(246,样本到样信息汇总统计!$X$2:$X$500,0)),"")</f>
        <v/>
      </c>
      <c r="I247" s="8" t="str">
        <f>IFERROR(INDEX(样本到样信息汇总统计!I$2:I$500,MATCH(246,样本到样信息汇总统计!$X$2:$X$500,0)),"")</f>
        <v/>
      </c>
      <c r="J247" s="8" t="str">
        <f>IFERROR(INDEX(样本到样信息汇总统计!J$2:J$500,MATCH(246,样本到样信息汇总统计!$X$2:$X$500,0)),"")</f>
        <v/>
      </c>
      <c r="K247" s="15" t="str">
        <f>IFERROR(INDEX(样本到样信息汇总统计!K$2:K$500,MATCH(246,样本到样信息汇总统计!$X$2:$X$500,0)),"")</f>
        <v/>
      </c>
      <c r="L247" s="8" t="str">
        <f>IFERROR(INDEX(样本到样信息汇总统计!L$2:L$500,MATCH(246,样本到样信息汇总统计!$X$2:$X$500,0)),"")</f>
        <v/>
      </c>
      <c r="M247" s="8" t="str">
        <f>IFERROR(INDEX(样本到样信息汇总统计!M$2:M$500,MATCH(246,样本到样信息汇总统计!$X$2:$X$500,0)),"")</f>
        <v/>
      </c>
      <c r="N247" s="8" t="str">
        <f>IFERROR(INDEX(样本到样信息汇总统计!N$2:N$500,MATCH(246,样本到样信息汇总统计!$X$2:$X$500,0)),"")</f>
        <v/>
      </c>
      <c r="O247" s="8" t="str">
        <f>IFERROR(INDEX(样本到样信息汇总统计!O$2:O$500,MATCH(246,样本到样信息汇总统计!$X$2:$X$500,0)),"")</f>
        <v/>
      </c>
      <c r="P247" s="8" t="str">
        <f>IFERROR(INDEX(样本到样信息汇总统计!P$2:P$500,MATCH(246,样本到样信息汇总统计!$X$2:$X$500,0)),"")</f>
        <v/>
      </c>
      <c r="Q247" s="8" t="str">
        <f>IFERROR(INDEX(样本到样信息汇总统计!Q$2:Q$500,MATCH(246,样本到样信息汇总统计!$X$2:$X$500,0)),"")</f>
        <v/>
      </c>
      <c r="R247" s="8" t="str">
        <f>IFERROR(INDEX(样本到样信息汇总统计!R$2:R$500,MATCH(246,样本到样信息汇总统计!$X$2:$X$500,0)),"")</f>
        <v/>
      </c>
      <c r="S247" s="8" t="str">
        <f>IFERROR(INDEX(样本到样信息汇总统计!S$2:S$500,MATCH(246,样本到样信息汇总统计!$X$2:$X$500,0)),"")</f>
        <v/>
      </c>
      <c r="T247" s="8" t="str">
        <f>IFERROR(INDEX(样本到样信息汇总统计!T$2:T$500,MATCH(246,样本到样信息汇总统计!$X$2:$X$500,0)),"")</f>
        <v/>
      </c>
      <c r="U247" s="8" t="str">
        <f>IFERROR(INDEX(样本到样信息汇总统计!U$2:U$500,MATCH(246,样本到样信息汇总统计!$X$2:$X$500,0)),"")</f>
        <v/>
      </c>
      <c r="V247" s="8" t="str">
        <f>IFERROR(INDEX(样本到样信息汇总统计!V$2:V$500,MATCH(246,样本到样信息汇总统计!$X$2:$X$500,0)),"")</f>
        <v/>
      </c>
      <c r="W247" s="8" t="str">
        <f>IFERROR(INDEX(样本到样信息汇总统计!W$2:W$500,MATCH(246,样本到样信息汇总统计!$X$2:$X$500,0)),"")</f>
        <v/>
      </c>
    </row>
    <row r="248" ht="14.5" spans="1:23">
      <c r="A248" s="4" t="str">
        <f>IFERROR(INDEX(样本到样信息汇总统计!A$2:A$500,MATCH(247,样本到样信息汇总统计!$X$2:$X$500,0)),"")</f>
        <v/>
      </c>
      <c r="B248" s="4" t="str">
        <f>IFERROR(INDEX(样本到样信息汇总统计!B$2:B$500,MATCH(247,样本到样信息汇总统计!$X$2:$X$500,0)),"")</f>
        <v/>
      </c>
      <c r="C248" s="4" t="str">
        <f>IFERROR(INDEX(样本到样信息汇总统计!C$2:C$500,MATCH(247,样本到样信息汇总统计!$X$2:$X$500,0)),"")</f>
        <v/>
      </c>
      <c r="D248" s="4" t="str">
        <f>IFERROR(INDEX(样本到样信息汇总统计!D$2:D$500,MATCH(247,样本到样信息汇总统计!$X$2:$X$500,0)),"")</f>
        <v/>
      </c>
      <c r="E248" s="4" t="str">
        <f>IFERROR(INDEX(样本到样信息汇总统计!E$2:E$500,MATCH(247,样本到样信息汇总统计!$X$2:$X$500,0)),"")</f>
        <v/>
      </c>
      <c r="F248" s="4" t="str">
        <f>IFERROR(INDEX(样本到样信息汇总统计!F$2:F$500,MATCH(247,样本到样信息汇总统计!$X$2:$X$500,0)),"")</f>
        <v/>
      </c>
      <c r="G248" s="4" t="str">
        <f>IFERROR(INDEX(样本到样信息汇总统计!G$2:G$500,MATCH(247,样本到样信息汇总统计!$X$2:$X$500,0)),"")</f>
        <v/>
      </c>
      <c r="H248" s="4" t="str">
        <f>IFERROR(INDEX(样本到样信息汇总统计!H$2:H$500,MATCH(247,样本到样信息汇总统计!$X$2:$X$500,0)),"")</f>
        <v/>
      </c>
      <c r="I248" s="4" t="str">
        <f>IFERROR(INDEX(样本到样信息汇总统计!I$2:I$500,MATCH(247,样本到样信息汇总统计!$X$2:$X$500,0)),"")</f>
        <v/>
      </c>
      <c r="J248" s="4" t="str">
        <f>IFERROR(INDEX(样本到样信息汇总统计!J$2:J$500,MATCH(247,样本到样信息汇总统计!$X$2:$X$500,0)),"")</f>
        <v/>
      </c>
      <c r="K248" s="14" t="str">
        <f>IFERROR(INDEX(样本到样信息汇总统计!K$2:K$500,MATCH(247,样本到样信息汇总统计!$X$2:$X$500,0)),"")</f>
        <v/>
      </c>
      <c r="L248" s="4" t="str">
        <f>IFERROR(INDEX(样本到样信息汇总统计!L$2:L$500,MATCH(247,样本到样信息汇总统计!$X$2:$X$500,0)),"")</f>
        <v/>
      </c>
      <c r="M248" s="4" t="str">
        <f>IFERROR(INDEX(样本到样信息汇总统计!M$2:M$500,MATCH(247,样本到样信息汇总统计!$X$2:$X$500,0)),"")</f>
        <v/>
      </c>
      <c r="N248" s="4" t="str">
        <f>IFERROR(INDEX(样本到样信息汇总统计!N$2:N$500,MATCH(247,样本到样信息汇总统计!$X$2:$X$500,0)),"")</f>
        <v/>
      </c>
      <c r="O248" s="4" t="str">
        <f>IFERROR(INDEX(样本到样信息汇总统计!O$2:O$500,MATCH(247,样本到样信息汇总统计!$X$2:$X$500,0)),"")</f>
        <v/>
      </c>
      <c r="P248" s="4" t="str">
        <f>IFERROR(INDEX(样本到样信息汇总统计!P$2:P$500,MATCH(247,样本到样信息汇总统计!$X$2:$X$500,0)),"")</f>
        <v/>
      </c>
      <c r="Q248" s="4" t="str">
        <f>IFERROR(INDEX(样本到样信息汇总统计!Q$2:Q$500,MATCH(247,样本到样信息汇总统计!$X$2:$X$500,0)),"")</f>
        <v/>
      </c>
      <c r="R248" s="4" t="str">
        <f>IFERROR(INDEX(样本到样信息汇总统计!R$2:R$500,MATCH(247,样本到样信息汇总统计!$X$2:$X$500,0)),"")</f>
        <v/>
      </c>
      <c r="S248" s="4" t="str">
        <f>IFERROR(INDEX(样本到样信息汇总统计!S$2:S$500,MATCH(247,样本到样信息汇总统计!$X$2:$X$500,0)),"")</f>
        <v/>
      </c>
      <c r="T248" s="4" t="str">
        <f>IFERROR(INDEX(样本到样信息汇总统计!T$2:T$500,MATCH(247,样本到样信息汇总统计!$X$2:$X$500,0)),"")</f>
        <v/>
      </c>
      <c r="U248" s="4" t="str">
        <f>IFERROR(INDEX(样本到样信息汇总统计!U$2:U$500,MATCH(247,样本到样信息汇总统计!$X$2:$X$500,0)),"")</f>
        <v/>
      </c>
      <c r="V248" s="4" t="str">
        <f>IFERROR(INDEX(样本到样信息汇总统计!V$2:V$500,MATCH(247,样本到样信息汇总统计!$X$2:$X$500,0)),"")</f>
        <v/>
      </c>
      <c r="W248" s="4" t="str">
        <f>IFERROR(INDEX(样本到样信息汇总统计!W$2:W$500,MATCH(247,样本到样信息汇总统计!$X$2:$X$500,0)),"")</f>
        <v/>
      </c>
    </row>
    <row r="249" ht="14.5" spans="1:23">
      <c r="A249" s="8" t="str">
        <f>IFERROR(INDEX(样本到样信息汇总统计!A$2:A$500,MATCH(248,样本到样信息汇总统计!$X$2:$X$500,0)),"")</f>
        <v/>
      </c>
      <c r="B249" s="8" t="str">
        <f>IFERROR(INDEX(样本到样信息汇总统计!B$2:B$500,MATCH(248,样本到样信息汇总统计!$X$2:$X$500,0)),"")</f>
        <v/>
      </c>
      <c r="C249" s="8" t="str">
        <f>IFERROR(INDEX(样本到样信息汇总统计!C$2:C$500,MATCH(248,样本到样信息汇总统计!$X$2:$X$500,0)),"")</f>
        <v/>
      </c>
      <c r="D249" s="8" t="str">
        <f>IFERROR(INDEX(样本到样信息汇总统计!D$2:D$500,MATCH(248,样本到样信息汇总统计!$X$2:$X$500,0)),"")</f>
        <v/>
      </c>
      <c r="E249" s="8" t="str">
        <f>IFERROR(INDEX(样本到样信息汇总统计!E$2:E$500,MATCH(248,样本到样信息汇总统计!$X$2:$X$500,0)),"")</f>
        <v/>
      </c>
      <c r="F249" s="8" t="str">
        <f>IFERROR(INDEX(样本到样信息汇总统计!F$2:F$500,MATCH(248,样本到样信息汇总统计!$X$2:$X$500,0)),"")</f>
        <v/>
      </c>
      <c r="G249" s="8" t="str">
        <f>IFERROR(INDEX(样本到样信息汇总统计!G$2:G$500,MATCH(248,样本到样信息汇总统计!$X$2:$X$500,0)),"")</f>
        <v/>
      </c>
      <c r="H249" s="8" t="str">
        <f>IFERROR(INDEX(样本到样信息汇总统计!H$2:H$500,MATCH(248,样本到样信息汇总统计!$X$2:$X$500,0)),"")</f>
        <v/>
      </c>
      <c r="I249" s="8" t="str">
        <f>IFERROR(INDEX(样本到样信息汇总统计!I$2:I$500,MATCH(248,样本到样信息汇总统计!$X$2:$X$500,0)),"")</f>
        <v/>
      </c>
      <c r="J249" s="8" t="str">
        <f>IFERROR(INDEX(样本到样信息汇总统计!J$2:J$500,MATCH(248,样本到样信息汇总统计!$X$2:$X$500,0)),"")</f>
        <v/>
      </c>
      <c r="K249" s="15" t="str">
        <f>IFERROR(INDEX(样本到样信息汇总统计!K$2:K$500,MATCH(248,样本到样信息汇总统计!$X$2:$X$500,0)),"")</f>
        <v/>
      </c>
      <c r="L249" s="8" t="str">
        <f>IFERROR(INDEX(样本到样信息汇总统计!L$2:L$500,MATCH(248,样本到样信息汇总统计!$X$2:$X$500,0)),"")</f>
        <v/>
      </c>
      <c r="M249" s="8" t="str">
        <f>IFERROR(INDEX(样本到样信息汇总统计!M$2:M$500,MATCH(248,样本到样信息汇总统计!$X$2:$X$500,0)),"")</f>
        <v/>
      </c>
      <c r="N249" s="8" t="str">
        <f>IFERROR(INDEX(样本到样信息汇总统计!N$2:N$500,MATCH(248,样本到样信息汇总统计!$X$2:$X$500,0)),"")</f>
        <v/>
      </c>
      <c r="O249" s="8" t="str">
        <f>IFERROR(INDEX(样本到样信息汇总统计!O$2:O$500,MATCH(248,样本到样信息汇总统计!$X$2:$X$500,0)),"")</f>
        <v/>
      </c>
      <c r="P249" s="8" t="str">
        <f>IFERROR(INDEX(样本到样信息汇总统计!P$2:P$500,MATCH(248,样本到样信息汇总统计!$X$2:$X$500,0)),"")</f>
        <v/>
      </c>
      <c r="Q249" s="8" t="str">
        <f>IFERROR(INDEX(样本到样信息汇总统计!Q$2:Q$500,MATCH(248,样本到样信息汇总统计!$X$2:$X$500,0)),"")</f>
        <v/>
      </c>
      <c r="R249" s="8" t="str">
        <f>IFERROR(INDEX(样本到样信息汇总统计!R$2:R$500,MATCH(248,样本到样信息汇总统计!$X$2:$X$500,0)),"")</f>
        <v/>
      </c>
      <c r="S249" s="8" t="str">
        <f>IFERROR(INDEX(样本到样信息汇总统计!S$2:S$500,MATCH(248,样本到样信息汇总统计!$X$2:$X$500,0)),"")</f>
        <v/>
      </c>
      <c r="T249" s="8" t="str">
        <f>IFERROR(INDEX(样本到样信息汇总统计!T$2:T$500,MATCH(248,样本到样信息汇总统计!$X$2:$X$500,0)),"")</f>
        <v/>
      </c>
      <c r="U249" s="8" t="str">
        <f>IFERROR(INDEX(样本到样信息汇总统计!U$2:U$500,MATCH(248,样本到样信息汇总统计!$X$2:$X$500,0)),"")</f>
        <v/>
      </c>
      <c r="V249" s="8" t="str">
        <f>IFERROR(INDEX(样本到样信息汇总统计!V$2:V$500,MATCH(248,样本到样信息汇总统计!$X$2:$X$500,0)),"")</f>
        <v/>
      </c>
      <c r="W249" s="8" t="str">
        <f>IFERROR(INDEX(样本到样信息汇总统计!W$2:W$500,MATCH(248,样本到样信息汇总统计!$X$2:$X$500,0)),"")</f>
        <v/>
      </c>
    </row>
    <row r="250" ht="14.5" spans="1:23">
      <c r="A250" s="4" t="str">
        <f>IFERROR(INDEX(样本到样信息汇总统计!A$2:A$500,MATCH(249,样本到样信息汇总统计!$X$2:$X$500,0)),"")</f>
        <v/>
      </c>
      <c r="B250" s="4" t="str">
        <f>IFERROR(INDEX(样本到样信息汇总统计!B$2:B$500,MATCH(249,样本到样信息汇总统计!$X$2:$X$500,0)),"")</f>
        <v/>
      </c>
      <c r="C250" s="4" t="str">
        <f>IFERROR(INDEX(样本到样信息汇总统计!C$2:C$500,MATCH(249,样本到样信息汇总统计!$X$2:$X$500,0)),"")</f>
        <v/>
      </c>
      <c r="D250" s="4" t="str">
        <f>IFERROR(INDEX(样本到样信息汇总统计!D$2:D$500,MATCH(249,样本到样信息汇总统计!$X$2:$X$500,0)),"")</f>
        <v/>
      </c>
      <c r="E250" s="4" t="str">
        <f>IFERROR(INDEX(样本到样信息汇总统计!E$2:E$500,MATCH(249,样本到样信息汇总统计!$X$2:$X$500,0)),"")</f>
        <v/>
      </c>
      <c r="F250" s="4" t="str">
        <f>IFERROR(INDEX(样本到样信息汇总统计!F$2:F$500,MATCH(249,样本到样信息汇总统计!$X$2:$X$500,0)),"")</f>
        <v/>
      </c>
      <c r="G250" s="4" t="str">
        <f>IFERROR(INDEX(样本到样信息汇总统计!G$2:G$500,MATCH(249,样本到样信息汇总统计!$X$2:$X$500,0)),"")</f>
        <v/>
      </c>
      <c r="H250" s="4" t="str">
        <f>IFERROR(INDEX(样本到样信息汇总统计!H$2:H$500,MATCH(249,样本到样信息汇总统计!$X$2:$X$500,0)),"")</f>
        <v/>
      </c>
      <c r="I250" s="4" t="str">
        <f>IFERROR(INDEX(样本到样信息汇总统计!I$2:I$500,MATCH(249,样本到样信息汇总统计!$X$2:$X$500,0)),"")</f>
        <v/>
      </c>
      <c r="J250" s="4" t="str">
        <f>IFERROR(INDEX(样本到样信息汇总统计!J$2:J$500,MATCH(249,样本到样信息汇总统计!$X$2:$X$500,0)),"")</f>
        <v/>
      </c>
      <c r="K250" s="14" t="str">
        <f>IFERROR(INDEX(样本到样信息汇总统计!K$2:K$500,MATCH(249,样本到样信息汇总统计!$X$2:$X$500,0)),"")</f>
        <v/>
      </c>
      <c r="L250" s="4" t="str">
        <f>IFERROR(INDEX(样本到样信息汇总统计!L$2:L$500,MATCH(249,样本到样信息汇总统计!$X$2:$X$500,0)),"")</f>
        <v/>
      </c>
      <c r="M250" s="4" t="str">
        <f>IFERROR(INDEX(样本到样信息汇总统计!M$2:M$500,MATCH(249,样本到样信息汇总统计!$X$2:$X$500,0)),"")</f>
        <v/>
      </c>
      <c r="N250" s="4" t="str">
        <f>IFERROR(INDEX(样本到样信息汇总统计!N$2:N$500,MATCH(249,样本到样信息汇总统计!$X$2:$X$500,0)),"")</f>
        <v/>
      </c>
      <c r="O250" s="4" t="str">
        <f>IFERROR(INDEX(样本到样信息汇总统计!O$2:O$500,MATCH(249,样本到样信息汇总统计!$X$2:$X$500,0)),"")</f>
        <v/>
      </c>
      <c r="P250" s="4" t="str">
        <f>IFERROR(INDEX(样本到样信息汇总统计!P$2:P$500,MATCH(249,样本到样信息汇总统计!$X$2:$X$500,0)),"")</f>
        <v/>
      </c>
      <c r="Q250" s="4" t="str">
        <f>IFERROR(INDEX(样本到样信息汇总统计!Q$2:Q$500,MATCH(249,样本到样信息汇总统计!$X$2:$X$500,0)),"")</f>
        <v/>
      </c>
      <c r="R250" s="4" t="str">
        <f>IFERROR(INDEX(样本到样信息汇总统计!R$2:R$500,MATCH(249,样本到样信息汇总统计!$X$2:$X$500,0)),"")</f>
        <v/>
      </c>
      <c r="S250" s="4" t="str">
        <f>IFERROR(INDEX(样本到样信息汇总统计!S$2:S$500,MATCH(249,样本到样信息汇总统计!$X$2:$X$500,0)),"")</f>
        <v/>
      </c>
      <c r="T250" s="4" t="str">
        <f>IFERROR(INDEX(样本到样信息汇总统计!T$2:T$500,MATCH(249,样本到样信息汇总统计!$X$2:$X$500,0)),"")</f>
        <v/>
      </c>
      <c r="U250" s="4" t="str">
        <f>IFERROR(INDEX(样本到样信息汇总统计!U$2:U$500,MATCH(249,样本到样信息汇总统计!$X$2:$X$500,0)),"")</f>
        <v/>
      </c>
      <c r="V250" s="4" t="str">
        <f>IFERROR(INDEX(样本到样信息汇总统计!V$2:V$500,MATCH(249,样本到样信息汇总统计!$X$2:$X$500,0)),"")</f>
        <v/>
      </c>
      <c r="W250" s="4" t="str">
        <f>IFERROR(INDEX(样本到样信息汇总统计!W$2:W$500,MATCH(249,样本到样信息汇总统计!$X$2:$X$500,0)),"")</f>
        <v/>
      </c>
    </row>
    <row r="251" ht="14.5" spans="1:23">
      <c r="A251" s="8" t="str">
        <f>IFERROR(INDEX(样本到样信息汇总统计!A$2:A$500,MATCH(250,样本到样信息汇总统计!$X$2:$X$500,0)),"")</f>
        <v/>
      </c>
      <c r="B251" s="8" t="str">
        <f>IFERROR(INDEX(样本到样信息汇总统计!B$2:B$500,MATCH(250,样本到样信息汇总统计!$X$2:$X$500,0)),"")</f>
        <v/>
      </c>
      <c r="C251" s="8" t="str">
        <f>IFERROR(INDEX(样本到样信息汇总统计!C$2:C$500,MATCH(250,样本到样信息汇总统计!$X$2:$X$500,0)),"")</f>
        <v/>
      </c>
      <c r="D251" s="8" t="str">
        <f>IFERROR(INDEX(样本到样信息汇总统计!D$2:D$500,MATCH(250,样本到样信息汇总统计!$X$2:$X$500,0)),"")</f>
        <v/>
      </c>
      <c r="E251" s="8" t="str">
        <f>IFERROR(INDEX(样本到样信息汇总统计!E$2:E$500,MATCH(250,样本到样信息汇总统计!$X$2:$X$500,0)),"")</f>
        <v/>
      </c>
      <c r="F251" s="8" t="str">
        <f>IFERROR(INDEX(样本到样信息汇总统计!F$2:F$500,MATCH(250,样本到样信息汇总统计!$X$2:$X$500,0)),"")</f>
        <v/>
      </c>
      <c r="G251" s="8" t="str">
        <f>IFERROR(INDEX(样本到样信息汇总统计!G$2:G$500,MATCH(250,样本到样信息汇总统计!$X$2:$X$500,0)),"")</f>
        <v/>
      </c>
      <c r="H251" s="8" t="str">
        <f>IFERROR(INDEX(样本到样信息汇总统计!H$2:H$500,MATCH(250,样本到样信息汇总统计!$X$2:$X$500,0)),"")</f>
        <v/>
      </c>
      <c r="I251" s="8" t="str">
        <f>IFERROR(INDEX(样本到样信息汇总统计!I$2:I$500,MATCH(250,样本到样信息汇总统计!$X$2:$X$500,0)),"")</f>
        <v/>
      </c>
      <c r="J251" s="8" t="str">
        <f>IFERROR(INDEX(样本到样信息汇总统计!J$2:J$500,MATCH(250,样本到样信息汇总统计!$X$2:$X$500,0)),"")</f>
        <v/>
      </c>
      <c r="K251" s="15" t="str">
        <f>IFERROR(INDEX(样本到样信息汇总统计!K$2:K$500,MATCH(250,样本到样信息汇总统计!$X$2:$X$500,0)),"")</f>
        <v/>
      </c>
      <c r="L251" s="8" t="str">
        <f>IFERROR(INDEX(样本到样信息汇总统计!L$2:L$500,MATCH(250,样本到样信息汇总统计!$X$2:$X$500,0)),"")</f>
        <v/>
      </c>
      <c r="M251" s="8" t="str">
        <f>IFERROR(INDEX(样本到样信息汇总统计!M$2:M$500,MATCH(250,样本到样信息汇总统计!$X$2:$X$500,0)),"")</f>
        <v/>
      </c>
      <c r="N251" s="8" t="str">
        <f>IFERROR(INDEX(样本到样信息汇总统计!N$2:N$500,MATCH(250,样本到样信息汇总统计!$X$2:$X$500,0)),"")</f>
        <v/>
      </c>
      <c r="O251" s="8" t="str">
        <f>IFERROR(INDEX(样本到样信息汇总统计!O$2:O$500,MATCH(250,样本到样信息汇总统计!$X$2:$X$500,0)),"")</f>
        <v/>
      </c>
      <c r="P251" s="8" t="str">
        <f>IFERROR(INDEX(样本到样信息汇总统计!P$2:P$500,MATCH(250,样本到样信息汇总统计!$X$2:$X$500,0)),"")</f>
        <v/>
      </c>
      <c r="Q251" s="8" t="str">
        <f>IFERROR(INDEX(样本到样信息汇总统计!Q$2:Q$500,MATCH(250,样本到样信息汇总统计!$X$2:$X$500,0)),"")</f>
        <v/>
      </c>
      <c r="R251" s="8" t="str">
        <f>IFERROR(INDEX(样本到样信息汇总统计!R$2:R$500,MATCH(250,样本到样信息汇总统计!$X$2:$X$500,0)),"")</f>
        <v/>
      </c>
      <c r="S251" s="8" t="str">
        <f>IFERROR(INDEX(样本到样信息汇总统计!S$2:S$500,MATCH(250,样本到样信息汇总统计!$X$2:$X$500,0)),"")</f>
        <v/>
      </c>
      <c r="T251" s="8" t="str">
        <f>IFERROR(INDEX(样本到样信息汇总统计!T$2:T$500,MATCH(250,样本到样信息汇总统计!$X$2:$X$500,0)),"")</f>
        <v/>
      </c>
      <c r="U251" s="8" t="str">
        <f>IFERROR(INDEX(样本到样信息汇总统计!U$2:U$500,MATCH(250,样本到样信息汇总统计!$X$2:$X$500,0)),"")</f>
        <v/>
      </c>
      <c r="V251" s="8" t="str">
        <f>IFERROR(INDEX(样本到样信息汇总统计!V$2:V$500,MATCH(250,样本到样信息汇总统计!$X$2:$X$500,0)),"")</f>
        <v/>
      </c>
      <c r="W251" s="8" t="str">
        <f>IFERROR(INDEX(样本到样信息汇总统计!W$2:W$500,MATCH(250,样本到样信息汇总统计!$X$2:$X$500,0)),"")</f>
        <v/>
      </c>
    </row>
    <row r="252" ht="14.5" spans="1:23">
      <c r="A252" s="4" t="str">
        <f>IFERROR(INDEX(样本到样信息汇总统计!A$2:A$500,MATCH(251,样本到样信息汇总统计!$X$2:$X$500,0)),"")</f>
        <v/>
      </c>
      <c r="B252" s="4" t="str">
        <f>IFERROR(INDEX(样本到样信息汇总统计!B$2:B$500,MATCH(251,样本到样信息汇总统计!$X$2:$X$500,0)),"")</f>
        <v/>
      </c>
      <c r="C252" s="4" t="str">
        <f>IFERROR(INDEX(样本到样信息汇总统计!C$2:C$500,MATCH(251,样本到样信息汇总统计!$X$2:$X$500,0)),"")</f>
        <v/>
      </c>
      <c r="D252" s="4" t="str">
        <f>IFERROR(INDEX(样本到样信息汇总统计!D$2:D$500,MATCH(251,样本到样信息汇总统计!$X$2:$X$500,0)),"")</f>
        <v/>
      </c>
      <c r="E252" s="4" t="str">
        <f>IFERROR(INDEX(样本到样信息汇总统计!E$2:E$500,MATCH(251,样本到样信息汇总统计!$X$2:$X$500,0)),"")</f>
        <v/>
      </c>
      <c r="F252" s="4" t="str">
        <f>IFERROR(INDEX(样本到样信息汇总统计!F$2:F$500,MATCH(251,样本到样信息汇总统计!$X$2:$X$500,0)),"")</f>
        <v/>
      </c>
      <c r="G252" s="4" t="str">
        <f>IFERROR(INDEX(样本到样信息汇总统计!G$2:G$500,MATCH(251,样本到样信息汇总统计!$X$2:$X$500,0)),"")</f>
        <v/>
      </c>
      <c r="H252" s="4" t="str">
        <f>IFERROR(INDEX(样本到样信息汇总统计!H$2:H$500,MATCH(251,样本到样信息汇总统计!$X$2:$X$500,0)),"")</f>
        <v/>
      </c>
      <c r="I252" s="4" t="str">
        <f>IFERROR(INDEX(样本到样信息汇总统计!I$2:I$500,MATCH(251,样本到样信息汇总统计!$X$2:$X$500,0)),"")</f>
        <v/>
      </c>
      <c r="J252" s="4" t="str">
        <f>IFERROR(INDEX(样本到样信息汇总统计!J$2:J$500,MATCH(251,样本到样信息汇总统计!$X$2:$X$500,0)),"")</f>
        <v/>
      </c>
      <c r="K252" s="14" t="str">
        <f>IFERROR(INDEX(样本到样信息汇总统计!K$2:K$500,MATCH(251,样本到样信息汇总统计!$X$2:$X$500,0)),"")</f>
        <v/>
      </c>
      <c r="L252" s="4" t="str">
        <f>IFERROR(INDEX(样本到样信息汇总统计!L$2:L$500,MATCH(251,样本到样信息汇总统计!$X$2:$X$500,0)),"")</f>
        <v/>
      </c>
      <c r="M252" s="4" t="str">
        <f>IFERROR(INDEX(样本到样信息汇总统计!M$2:M$500,MATCH(251,样本到样信息汇总统计!$X$2:$X$500,0)),"")</f>
        <v/>
      </c>
      <c r="N252" s="4" t="str">
        <f>IFERROR(INDEX(样本到样信息汇总统计!N$2:N$500,MATCH(251,样本到样信息汇总统计!$X$2:$X$500,0)),"")</f>
        <v/>
      </c>
      <c r="O252" s="4" t="str">
        <f>IFERROR(INDEX(样本到样信息汇总统计!O$2:O$500,MATCH(251,样本到样信息汇总统计!$X$2:$X$500,0)),"")</f>
        <v/>
      </c>
      <c r="P252" s="4" t="str">
        <f>IFERROR(INDEX(样本到样信息汇总统计!P$2:P$500,MATCH(251,样本到样信息汇总统计!$X$2:$X$500,0)),"")</f>
        <v/>
      </c>
      <c r="Q252" s="4" t="str">
        <f>IFERROR(INDEX(样本到样信息汇总统计!Q$2:Q$500,MATCH(251,样本到样信息汇总统计!$X$2:$X$500,0)),"")</f>
        <v/>
      </c>
      <c r="R252" s="4" t="str">
        <f>IFERROR(INDEX(样本到样信息汇总统计!R$2:R$500,MATCH(251,样本到样信息汇总统计!$X$2:$X$500,0)),"")</f>
        <v/>
      </c>
      <c r="S252" s="4" t="str">
        <f>IFERROR(INDEX(样本到样信息汇总统计!S$2:S$500,MATCH(251,样本到样信息汇总统计!$X$2:$X$500,0)),"")</f>
        <v/>
      </c>
      <c r="T252" s="4" t="str">
        <f>IFERROR(INDEX(样本到样信息汇总统计!T$2:T$500,MATCH(251,样本到样信息汇总统计!$X$2:$X$500,0)),"")</f>
        <v/>
      </c>
      <c r="U252" s="4" t="str">
        <f>IFERROR(INDEX(样本到样信息汇总统计!U$2:U$500,MATCH(251,样本到样信息汇总统计!$X$2:$X$500,0)),"")</f>
        <v/>
      </c>
      <c r="V252" s="4" t="str">
        <f>IFERROR(INDEX(样本到样信息汇总统计!V$2:V$500,MATCH(251,样本到样信息汇总统计!$X$2:$X$500,0)),"")</f>
        <v/>
      </c>
      <c r="W252" s="4" t="str">
        <f>IFERROR(INDEX(样本到样信息汇总统计!W$2:W$500,MATCH(251,样本到样信息汇总统计!$X$2:$X$500,0)),"")</f>
        <v/>
      </c>
    </row>
    <row r="253" ht="14.5" spans="1:23">
      <c r="A253" s="8" t="str">
        <f>IFERROR(INDEX(样本到样信息汇总统计!A$2:A$500,MATCH(252,样本到样信息汇总统计!$X$2:$X$500,0)),"")</f>
        <v/>
      </c>
      <c r="B253" s="8" t="str">
        <f>IFERROR(INDEX(样本到样信息汇总统计!B$2:B$500,MATCH(252,样本到样信息汇总统计!$X$2:$X$500,0)),"")</f>
        <v/>
      </c>
      <c r="C253" s="8" t="str">
        <f>IFERROR(INDEX(样本到样信息汇总统计!C$2:C$500,MATCH(252,样本到样信息汇总统计!$X$2:$X$500,0)),"")</f>
        <v/>
      </c>
      <c r="D253" s="8" t="str">
        <f>IFERROR(INDEX(样本到样信息汇总统计!D$2:D$500,MATCH(252,样本到样信息汇总统计!$X$2:$X$500,0)),"")</f>
        <v/>
      </c>
      <c r="E253" s="8" t="str">
        <f>IFERROR(INDEX(样本到样信息汇总统计!E$2:E$500,MATCH(252,样本到样信息汇总统计!$X$2:$X$500,0)),"")</f>
        <v/>
      </c>
      <c r="F253" s="8" t="str">
        <f>IFERROR(INDEX(样本到样信息汇总统计!F$2:F$500,MATCH(252,样本到样信息汇总统计!$X$2:$X$500,0)),"")</f>
        <v/>
      </c>
      <c r="G253" s="8" t="str">
        <f>IFERROR(INDEX(样本到样信息汇总统计!G$2:G$500,MATCH(252,样本到样信息汇总统计!$X$2:$X$500,0)),"")</f>
        <v/>
      </c>
      <c r="H253" s="8" t="str">
        <f>IFERROR(INDEX(样本到样信息汇总统计!H$2:H$500,MATCH(252,样本到样信息汇总统计!$X$2:$X$500,0)),"")</f>
        <v/>
      </c>
      <c r="I253" s="8" t="str">
        <f>IFERROR(INDEX(样本到样信息汇总统计!I$2:I$500,MATCH(252,样本到样信息汇总统计!$X$2:$X$500,0)),"")</f>
        <v/>
      </c>
      <c r="J253" s="8" t="str">
        <f>IFERROR(INDEX(样本到样信息汇总统计!J$2:J$500,MATCH(252,样本到样信息汇总统计!$X$2:$X$500,0)),"")</f>
        <v/>
      </c>
      <c r="K253" s="15" t="str">
        <f>IFERROR(INDEX(样本到样信息汇总统计!K$2:K$500,MATCH(252,样本到样信息汇总统计!$X$2:$X$500,0)),"")</f>
        <v/>
      </c>
      <c r="L253" s="8" t="str">
        <f>IFERROR(INDEX(样本到样信息汇总统计!L$2:L$500,MATCH(252,样本到样信息汇总统计!$X$2:$X$500,0)),"")</f>
        <v/>
      </c>
      <c r="M253" s="8" t="str">
        <f>IFERROR(INDEX(样本到样信息汇总统计!M$2:M$500,MATCH(252,样本到样信息汇总统计!$X$2:$X$500,0)),"")</f>
        <v/>
      </c>
      <c r="N253" s="8" t="str">
        <f>IFERROR(INDEX(样本到样信息汇总统计!N$2:N$500,MATCH(252,样本到样信息汇总统计!$X$2:$X$500,0)),"")</f>
        <v/>
      </c>
      <c r="O253" s="8" t="str">
        <f>IFERROR(INDEX(样本到样信息汇总统计!O$2:O$500,MATCH(252,样本到样信息汇总统计!$X$2:$X$500,0)),"")</f>
        <v/>
      </c>
      <c r="P253" s="8" t="str">
        <f>IFERROR(INDEX(样本到样信息汇总统计!P$2:P$500,MATCH(252,样本到样信息汇总统计!$X$2:$X$500,0)),"")</f>
        <v/>
      </c>
      <c r="Q253" s="8" t="str">
        <f>IFERROR(INDEX(样本到样信息汇总统计!Q$2:Q$500,MATCH(252,样本到样信息汇总统计!$X$2:$X$500,0)),"")</f>
        <v/>
      </c>
      <c r="R253" s="8" t="str">
        <f>IFERROR(INDEX(样本到样信息汇总统计!R$2:R$500,MATCH(252,样本到样信息汇总统计!$X$2:$X$500,0)),"")</f>
        <v/>
      </c>
      <c r="S253" s="8" t="str">
        <f>IFERROR(INDEX(样本到样信息汇总统计!S$2:S$500,MATCH(252,样本到样信息汇总统计!$X$2:$X$500,0)),"")</f>
        <v/>
      </c>
      <c r="T253" s="8" t="str">
        <f>IFERROR(INDEX(样本到样信息汇总统计!T$2:T$500,MATCH(252,样本到样信息汇总统计!$X$2:$X$500,0)),"")</f>
        <v/>
      </c>
      <c r="U253" s="8" t="str">
        <f>IFERROR(INDEX(样本到样信息汇总统计!U$2:U$500,MATCH(252,样本到样信息汇总统计!$X$2:$X$500,0)),"")</f>
        <v/>
      </c>
      <c r="V253" s="8" t="str">
        <f>IFERROR(INDEX(样本到样信息汇总统计!V$2:V$500,MATCH(252,样本到样信息汇总统计!$X$2:$X$500,0)),"")</f>
        <v/>
      </c>
      <c r="W253" s="8" t="str">
        <f>IFERROR(INDEX(样本到样信息汇总统计!W$2:W$500,MATCH(252,样本到样信息汇总统计!$X$2:$X$500,0)),"")</f>
        <v/>
      </c>
    </row>
    <row r="254" ht="14.5" spans="1:23">
      <c r="A254" s="4" t="str">
        <f>IFERROR(INDEX(样本到样信息汇总统计!A$2:A$500,MATCH(253,样本到样信息汇总统计!$X$2:$X$500,0)),"")</f>
        <v/>
      </c>
      <c r="B254" s="4" t="str">
        <f>IFERROR(INDEX(样本到样信息汇总统计!B$2:B$500,MATCH(253,样本到样信息汇总统计!$X$2:$X$500,0)),"")</f>
        <v/>
      </c>
      <c r="C254" s="4" t="str">
        <f>IFERROR(INDEX(样本到样信息汇总统计!C$2:C$500,MATCH(253,样本到样信息汇总统计!$X$2:$X$500,0)),"")</f>
        <v/>
      </c>
      <c r="D254" s="4" t="str">
        <f>IFERROR(INDEX(样本到样信息汇总统计!D$2:D$500,MATCH(253,样本到样信息汇总统计!$X$2:$X$500,0)),"")</f>
        <v/>
      </c>
      <c r="E254" s="4" t="str">
        <f>IFERROR(INDEX(样本到样信息汇总统计!E$2:E$500,MATCH(253,样本到样信息汇总统计!$X$2:$X$500,0)),"")</f>
        <v/>
      </c>
      <c r="F254" s="4" t="str">
        <f>IFERROR(INDEX(样本到样信息汇总统计!F$2:F$500,MATCH(253,样本到样信息汇总统计!$X$2:$X$500,0)),"")</f>
        <v/>
      </c>
      <c r="G254" s="4" t="str">
        <f>IFERROR(INDEX(样本到样信息汇总统计!G$2:G$500,MATCH(253,样本到样信息汇总统计!$X$2:$X$500,0)),"")</f>
        <v/>
      </c>
      <c r="H254" s="4" t="str">
        <f>IFERROR(INDEX(样本到样信息汇总统计!H$2:H$500,MATCH(253,样本到样信息汇总统计!$X$2:$X$500,0)),"")</f>
        <v/>
      </c>
      <c r="I254" s="4" t="str">
        <f>IFERROR(INDEX(样本到样信息汇总统计!I$2:I$500,MATCH(253,样本到样信息汇总统计!$X$2:$X$500,0)),"")</f>
        <v/>
      </c>
      <c r="J254" s="4" t="str">
        <f>IFERROR(INDEX(样本到样信息汇总统计!J$2:J$500,MATCH(253,样本到样信息汇总统计!$X$2:$X$500,0)),"")</f>
        <v/>
      </c>
      <c r="K254" s="14" t="str">
        <f>IFERROR(INDEX(样本到样信息汇总统计!K$2:K$500,MATCH(253,样本到样信息汇总统计!$X$2:$X$500,0)),"")</f>
        <v/>
      </c>
      <c r="L254" s="4" t="str">
        <f>IFERROR(INDEX(样本到样信息汇总统计!L$2:L$500,MATCH(253,样本到样信息汇总统计!$X$2:$X$500,0)),"")</f>
        <v/>
      </c>
      <c r="M254" s="4" t="str">
        <f>IFERROR(INDEX(样本到样信息汇总统计!M$2:M$500,MATCH(253,样本到样信息汇总统计!$X$2:$X$500,0)),"")</f>
        <v/>
      </c>
      <c r="N254" s="4" t="str">
        <f>IFERROR(INDEX(样本到样信息汇总统计!N$2:N$500,MATCH(253,样本到样信息汇总统计!$X$2:$X$500,0)),"")</f>
        <v/>
      </c>
      <c r="O254" s="4" t="str">
        <f>IFERROR(INDEX(样本到样信息汇总统计!O$2:O$500,MATCH(253,样本到样信息汇总统计!$X$2:$X$500,0)),"")</f>
        <v/>
      </c>
      <c r="P254" s="4" t="str">
        <f>IFERROR(INDEX(样本到样信息汇总统计!P$2:P$500,MATCH(253,样本到样信息汇总统计!$X$2:$X$500,0)),"")</f>
        <v/>
      </c>
      <c r="Q254" s="4" t="str">
        <f>IFERROR(INDEX(样本到样信息汇总统计!Q$2:Q$500,MATCH(253,样本到样信息汇总统计!$X$2:$X$500,0)),"")</f>
        <v/>
      </c>
      <c r="R254" s="4" t="str">
        <f>IFERROR(INDEX(样本到样信息汇总统计!R$2:R$500,MATCH(253,样本到样信息汇总统计!$X$2:$X$500,0)),"")</f>
        <v/>
      </c>
      <c r="S254" s="4" t="str">
        <f>IFERROR(INDEX(样本到样信息汇总统计!S$2:S$500,MATCH(253,样本到样信息汇总统计!$X$2:$X$500,0)),"")</f>
        <v/>
      </c>
      <c r="T254" s="4" t="str">
        <f>IFERROR(INDEX(样本到样信息汇总统计!T$2:T$500,MATCH(253,样本到样信息汇总统计!$X$2:$X$500,0)),"")</f>
        <v/>
      </c>
      <c r="U254" s="4" t="str">
        <f>IFERROR(INDEX(样本到样信息汇总统计!U$2:U$500,MATCH(253,样本到样信息汇总统计!$X$2:$X$500,0)),"")</f>
        <v/>
      </c>
      <c r="V254" s="4" t="str">
        <f>IFERROR(INDEX(样本到样信息汇总统计!V$2:V$500,MATCH(253,样本到样信息汇总统计!$X$2:$X$500,0)),"")</f>
        <v/>
      </c>
      <c r="W254" s="4" t="str">
        <f>IFERROR(INDEX(样本到样信息汇总统计!W$2:W$500,MATCH(253,样本到样信息汇总统计!$X$2:$X$500,0)),"")</f>
        <v/>
      </c>
    </row>
    <row r="255" ht="14.5" spans="1:23">
      <c r="A255" s="8" t="str">
        <f>IFERROR(INDEX(样本到样信息汇总统计!A$2:A$500,MATCH(254,样本到样信息汇总统计!$X$2:$X$500,0)),"")</f>
        <v/>
      </c>
      <c r="B255" s="8" t="str">
        <f>IFERROR(INDEX(样本到样信息汇总统计!B$2:B$500,MATCH(254,样本到样信息汇总统计!$X$2:$X$500,0)),"")</f>
        <v/>
      </c>
      <c r="C255" s="8" t="str">
        <f>IFERROR(INDEX(样本到样信息汇总统计!C$2:C$500,MATCH(254,样本到样信息汇总统计!$X$2:$X$500,0)),"")</f>
        <v/>
      </c>
      <c r="D255" s="8" t="str">
        <f>IFERROR(INDEX(样本到样信息汇总统计!D$2:D$500,MATCH(254,样本到样信息汇总统计!$X$2:$X$500,0)),"")</f>
        <v/>
      </c>
      <c r="E255" s="8" t="str">
        <f>IFERROR(INDEX(样本到样信息汇总统计!E$2:E$500,MATCH(254,样本到样信息汇总统计!$X$2:$X$500,0)),"")</f>
        <v/>
      </c>
      <c r="F255" s="8" t="str">
        <f>IFERROR(INDEX(样本到样信息汇总统计!F$2:F$500,MATCH(254,样本到样信息汇总统计!$X$2:$X$500,0)),"")</f>
        <v/>
      </c>
      <c r="G255" s="8" t="str">
        <f>IFERROR(INDEX(样本到样信息汇总统计!G$2:G$500,MATCH(254,样本到样信息汇总统计!$X$2:$X$500,0)),"")</f>
        <v/>
      </c>
      <c r="H255" s="8" t="str">
        <f>IFERROR(INDEX(样本到样信息汇总统计!H$2:H$500,MATCH(254,样本到样信息汇总统计!$X$2:$X$500,0)),"")</f>
        <v/>
      </c>
      <c r="I255" s="8" t="str">
        <f>IFERROR(INDEX(样本到样信息汇总统计!I$2:I$500,MATCH(254,样本到样信息汇总统计!$X$2:$X$500,0)),"")</f>
        <v/>
      </c>
      <c r="J255" s="8" t="str">
        <f>IFERROR(INDEX(样本到样信息汇总统计!J$2:J$500,MATCH(254,样本到样信息汇总统计!$X$2:$X$500,0)),"")</f>
        <v/>
      </c>
      <c r="K255" s="15" t="str">
        <f>IFERROR(INDEX(样本到样信息汇总统计!K$2:K$500,MATCH(254,样本到样信息汇总统计!$X$2:$X$500,0)),"")</f>
        <v/>
      </c>
      <c r="L255" s="8" t="str">
        <f>IFERROR(INDEX(样本到样信息汇总统计!L$2:L$500,MATCH(254,样本到样信息汇总统计!$X$2:$X$500,0)),"")</f>
        <v/>
      </c>
      <c r="M255" s="8" t="str">
        <f>IFERROR(INDEX(样本到样信息汇总统计!M$2:M$500,MATCH(254,样本到样信息汇总统计!$X$2:$X$500,0)),"")</f>
        <v/>
      </c>
      <c r="N255" s="8" t="str">
        <f>IFERROR(INDEX(样本到样信息汇总统计!N$2:N$500,MATCH(254,样本到样信息汇总统计!$X$2:$X$500,0)),"")</f>
        <v/>
      </c>
      <c r="O255" s="8" t="str">
        <f>IFERROR(INDEX(样本到样信息汇总统计!O$2:O$500,MATCH(254,样本到样信息汇总统计!$X$2:$X$500,0)),"")</f>
        <v/>
      </c>
      <c r="P255" s="8" t="str">
        <f>IFERROR(INDEX(样本到样信息汇总统计!P$2:P$500,MATCH(254,样本到样信息汇总统计!$X$2:$X$500,0)),"")</f>
        <v/>
      </c>
      <c r="Q255" s="8" t="str">
        <f>IFERROR(INDEX(样本到样信息汇总统计!Q$2:Q$500,MATCH(254,样本到样信息汇总统计!$X$2:$X$500,0)),"")</f>
        <v/>
      </c>
      <c r="R255" s="8" t="str">
        <f>IFERROR(INDEX(样本到样信息汇总统计!R$2:R$500,MATCH(254,样本到样信息汇总统计!$X$2:$X$500,0)),"")</f>
        <v/>
      </c>
      <c r="S255" s="8" t="str">
        <f>IFERROR(INDEX(样本到样信息汇总统计!S$2:S$500,MATCH(254,样本到样信息汇总统计!$X$2:$X$500,0)),"")</f>
        <v/>
      </c>
      <c r="T255" s="8" t="str">
        <f>IFERROR(INDEX(样本到样信息汇总统计!T$2:T$500,MATCH(254,样本到样信息汇总统计!$X$2:$X$500,0)),"")</f>
        <v/>
      </c>
      <c r="U255" s="8" t="str">
        <f>IFERROR(INDEX(样本到样信息汇总统计!U$2:U$500,MATCH(254,样本到样信息汇总统计!$X$2:$X$500,0)),"")</f>
        <v/>
      </c>
      <c r="V255" s="8" t="str">
        <f>IFERROR(INDEX(样本到样信息汇总统计!V$2:V$500,MATCH(254,样本到样信息汇总统计!$X$2:$X$500,0)),"")</f>
        <v/>
      </c>
      <c r="W255" s="8" t="str">
        <f>IFERROR(INDEX(样本到样信息汇总统计!W$2:W$500,MATCH(254,样本到样信息汇总统计!$X$2:$X$500,0)),"")</f>
        <v/>
      </c>
    </row>
    <row r="256" ht="14.5" spans="1:23">
      <c r="A256" s="4" t="str">
        <f>IFERROR(INDEX(样本到样信息汇总统计!A$2:A$500,MATCH(255,样本到样信息汇总统计!$X$2:$X$500,0)),"")</f>
        <v/>
      </c>
      <c r="B256" s="4" t="str">
        <f>IFERROR(INDEX(样本到样信息汇总统计!B$2:B$500,MATCH(255,样本到样信息汇总统计!$X$2:$X$500,0)),"")</f>
        <v/>
      </c>
      <c r="C256" s="4" t="str">
        <f>IFERROR(INDEX(样本到样信息汇总统计!C$2:C$500,MATCH(255,样本到样信息汇总统计!$X$2:$X$500,0)),"")</f>
        <v/>
      </c>
      <c r="D256" s="4" t="str">
        <f>IFERROR(INDEX(样本到样信息汇总统计!D$2:D$500,MATCH(255,样本到样信息汇总统计!$X$2:$X$500,0)),"")</f>
        <v/>
      </c>
      <c r="E256" s="4" t="str">
        <f>IFERROR(INDEX(样本到样信息汇总统计!E$2:E$500,MATCH(255,样本到样信息汇总统计!$X$2:$X$500,0)),"")</f>
        <v/>
      </c>
      <c r="F256" s="4" t="str">
        <f>IFERROR(INDEX(样本到样信息汇总统计!F$2:F$500,MATCH(255,样本到样信息汇总统计!$X$2:$X$500,0)),"")</f>
        <v/>
      </c>
      <c r="G256" s="4" t="str">
        <f>IFERROR(INDEX(样本到样信息汇总统计!G$2:G$500,MATCH(255,样本到样信息汇总统计!$X$2:$X$500,0)),"")</f>
        <v/>
      </c>
      <c r="H256" s="4" t="str">
        <f>IFERROR(INDEX(样本到样信息汇总统计!H$2:H$500,MATCH(255,样本到样信息汇总统计!$X$2:$X$500,0)),"")</f>
        <v/>
      </c>
      <c r="I256" s="4" t="str">
        <f>IFERROR(INDEX(样本到样信息汇总统计!I$2:I$500,MATCH(255,样本到样信息汇总统计!$X$2:$X$500,0)),"")</f>
        <v/>
      </c>
      <c r="J256" s="4" t="str">
        <f>IFERROR(INDEX(样本到样信息汇总统计!J$2:J$500,MATCH(255,样本到样信息汇总统计!$X$2:$X$500,0)),"")</f>
        <v/>
      </c>
      <c r="K256" s="14" t="str">
        <f>IFERROR(INDEX(样本到样信息汇总统计!K$2:K$500,MATCH(255,样本到样信息汇总统计!$X$2:$X$500,0)),"")</f>
        <v/>
      </c>
      <c r="L256" s="4" t="str">
        <f>IFERROR(INDEX(样本到样信息汇总统计!L$2:L$500,MATCH(255,样本到样信息汇总统计!$X$2:$X$500,0)),"")</f>
        <v/>
      </c>
      <c r="M256" s="4" t="str">
        <f>IFERROR(INDEX(样本到样信息汇总统计!M$2:M$500,MATCH(255,样本到样信息汇总统计!$X$2:$X$500,0)),"")</f>
        <v/>
      </c>
      <c r="N256" s="4" t="str">
        <f>IFERROR(INDEX(样本到样信息汇总统计!N$2:N$500,MATCH(255,样本到样信息汇总统计!$X$2:$X$500,0)),"")</f>
        <v/>
      </c>
      <c r="O256" s="4" t="str">
        <f>IFERROR(INDEX(样本到样信息汇总统计!O$2:O$500,MATCH(255,样本到样信息汇总统计!$X$2:$X$500,0)),"")</f>
        <v/>
      </c>
      <c r="P256" s="4" t="str">
        <f>IFERROR(INDEX(样本到样信息汇总统计!P$2:P$500,MATCH(255,样本到样信息汇总统计!$X$2:$X$500,0)),"")</f>
        <v/>
      </c>
      <c r="Q256" s="4" t="str">
        <f>IFERROR(INDEX(样本到样信息汇总统计!Q$2:Q$500,MATCH(255,样本到样信息汇总统计!$X$2:$X$500,0)),"")</f>
        <v/>
      </c>
      <c r="R256" s="4" t="str">
        <f>IFERROR(INDEX(样本到样信息汇总统计!R$2:R$500,MATCH(255,样本到样信息汇总统计!$X$2:$X$500,0)),"")</f>
        <v/>
      </c>
      <c r="S256" s="4" t="str">
        <f>IFERROR(INDEX(样本到样信息汇总统计!S$2:S$500,MATCH(255,样本到样信息汇总统计!$X$2:$X$500,0)),"")</f>
        <v/>
      </c>
      <c r="T256" s="4" t="str">
        <f>IFERROR(INDEX(样本到样信息汇总统计!T$2:T$500,MATCH(255,样本到样信息汇总统计!$X$2:$X$500,0)),"")</f>
        <v/>
      </c>
      <c r="U256" s="4" t="str">
        <f>IFERROR(INDEX(样本到样信息汇总统计!U$2:U$500,MATCH(255,样本到样信息汇总统计!$X$2:$X$500,0)),"")</f>
        <v/>
      </c>
      <c r="V256" s="4" t="str">
        <f>IFERROR(INDEX(样本到样信息汇总统计!V$2:V$500,MATCH(255,样本到样信息汇总统计!$X$2:$X$500,0)),"")</f>
        <v/>
      </c>
      <c r="W256" s="4" t="str">
        <f>IFERROR(INDEX(样本到样信息汇总统计!W$2:W$500,MATCH(255,样本到样信息汇总统计!$X$2:$X$500,0)),"")</f>
        <v/>
      </c>
    </row>
    <row r="257" ht="14.5" spans="1:23">
      <c r="A257" s="8" t="str">
        <f>IFERROR(INDEX(样本到样信息汇总统计!A$2:A$500,MATCH(256,样本到样信息汇总统计!$X$2:$X$500,0)),"")</f>
        <v/>
      </c>
      <c r="B257" s="8" t="str">
        <f>IFERROR(INDEX(样本到样信息汇总统计!B$2:B$500,MATCH(256,样本到样信息汇总统计!$X$2:$X$500,0)),"")</f>
        <v/>
      </c>
      <c r="C257" s="8" t="str">
        <f>IFERROR(INDEX(样本到样信息汇总统计!C$2:C$500,MATCH(256,样本到样信息汇总统计!$X$2:$X$500,0)),"")</f>
        <v/>
      </c>
      <c r="D257" s="8" t="str">
        <f>IFERROR(INDEX(样本到样信息汇总统计!D$2:D$500,MATCH(256,样本到样信息汇总统计!$X$2:$X$500,0)),"")</f>
        <v/>
      </c>
      <c r="E257" s="8" t="str">
        <f>IFERROR(INDEX(样本到样信息汇总统计!E$2:E$500,MATCH(256,样本到样信息汇总统计!$X$2:$X$500,0)),"")</f>
        <v/>
      </c>
      <c r="F257" s="8" t="str">
        <f>IFERROR(INDEX(样本到样信息汇总统计!F$2:F$500,MATCH(256,样本到样信息汇总统计!$X$2:$X$500,0)),"")</f>
        <v/>
      </c>
      <c r="G257" s="8" t="str">
        <f>IFERROR(INDEX(样本到样信息汇总统计!G$2:G$500,MATCH(256,样本到样信息汇总统计!$X$2:$X$500,0)),"")</f>
        <v/>
      </c>
      <c r="H257" s="8" t="str">
        <f>IFERROR(INDEX(样本到样信息汇总统计!H$2:H$500,MATCH(256,样本到样信息汇总统计!$X$2:$X$500,0)),"")</f>
        <v/>
      </c>
      <c r="I257" s="8" t="str">
        <f>IFERROR(INDEX(样本到样信息汇总统计!I$2:I$500,MATCH(256,样本到样信息汇总统计!$X$2:$X$500,0)),"")</f>
        <v/>
      </c>
      <c r="J257" s="8" t="str">
        <f>IFERROR(INDEX(样本到样信息汇总统计!J$2:J$500,MATCH(256,样本到样信息汇总统计!$X$2:$X$500,0)),"")</f>
        <v/>
      </c>
      <c r="K257" s="15" t="str">
        <f>IFERROR(INDEX(样本到样信息汇总统计!K$2:K$500,MATCH(256,样本到样信息汇总统计!$X$2:$X$500,0)),"")</f>
        <v/>
      </c>
      <c r="L257" s="8" t="str">
        <f>IFERROR(INDEX(样本到样信息汇总统计!L$2:L$500,MATCH(256,样本到样信息汇总统计!$X$2:$X$500,0)),"")</f>
        <v/>
      </c>
      <c r="M257" s="8" t="str">
        <f>IFERROR(INDEX(样本到样信息汇总统计!M$2:M$500,MATCH(256,样本到样信息汇总统计!$X$2:$X$500,0)),"")</f>
        <v/>
      </c>
      <c r="N257" s="8" t="str">
        <f>IFERROR(INDEX(样本到样信息汇总统计!N$2:N$500,MATCH(256,样本到样信息汇总统计!$X$2:$X$500,0)),"")</f>
        <v/>
      </c>
      <c r="O257" s="8" t="str">
        <f>IFERROR(INDEX(样本到样信息汇总统计!O$2:O$500,MATCH(256,样本到样信息汇总统计!$X$2:$X$500,0)),"")</f>
        <v/>
      </c>
      <c r="P257" s="8" t="str">
        <f>IFERROR(INDEX(样本到样信息汇总统计!P$2:P$500,MATCH(256,样本到样信息汇总统计!$X$2:$X$500,0)),"")</f>
        <v/>
      </c>
      <c r="Q257" s="8" t="str">
        <f>IFERROR(INDEX(样本到样信息汇总统计!Q$2:Q$500,MATCH(256,样本到样信息汇总统计!$X$2:$X$500,0)),"")</f>
        <v/>
      </c>
      <c r="R257" s="8" t="str">
        <f>IFERROR(INDEX(样本到样信息汇总统计!R$2:R$500,MATCH(256,样本到样信息汇总统计!$X$2:$X$500,0)),"")</f>
        <v/>
      </c>
      <c r="S257" s="8" t="str">
        <f>IFERROR(INDEX(样本到样信息汇总统计!S$2:S$500,MATCH(256,样本到样信息汇总统计!$X$2:$X$500,0)),"")</f>
        <v/>
      </c>
      <c r="T257" s="8" t="str">
        <f>IFERROR(INDEX(样本到样信息汇总统计!T$2:T$500,MATCH(256,样本到样信息汇总统计!$X$2:$X$500,0)),"")</f>
        <v/>
      </c>
      <c r="U257" s="8" t="str">
        <f>IFERROR(INDEX(样本到样信息汇总统计!U$2:U$500,MATCH(256,样本到样信息汇总统计!$X$2:$X$500,0)),"")</f>
        <v/>
      </c>
      <c r="V257" s="8" t="str">
        <f>IFERROR(INDEX(样本到样信息汇总统计!V$2:V$500,MATCH(256,样本到样信息汇总统计!$X$2:$X$500,0)),"")</f>
        <v/>
      </c>
      <c r="W257" s="8" t="str">
        <f>IFERROR(INDEX(样本到样信息汇总统计!W$2:W$500,MATCH(256,样本到样信息汇总统计!$X$2:$X$500,0)),"")</f>
        <v/>
      </c>
    </row>
    <row r="258" ht="14.5" spans="1:23">
      <c r="A258" s="4" t="str">
        <f>IFERROR(INDEX(样本到样信息汇总统计!A$2:A$500,MATCH(257,样本到样信息汇总统计!$X$2:$X$500,0)),"")</f>
        <v/>
      </c>
      <c r="B258" s="4" t="str">
        <f>IFERROR(INDEX(样本到样信息汇总统计!B$2:B$500,MATCH(257,样本到样信息汇总统计!$X$2:$X$500,0)),"")</f>
        <v/>
      </c>
      <c r="C258" s="4" t="str">
        <f>IFERROR(INDEX(样本到样信息汇总统计!C$2:C$500,MATCH(257,样本到样信息汇总统计!$X$2:$X$500,0)),"")</f>
        <v/>
      </c>
      <c r="D258" s="4" t="str">
        <f>IFERROR(INDEX(样本到样信息汇总统计!D$2:D$500,MATCH(257,样本到样信息汇总统计!$X$2:$X$500,0)),"")</f>
        <v/>
      </c>
      <c r="E258" s="4" t="str">
        <f>IFERROR(INDEX(样本到样信息汇总统计!E$2:E$500,MATCH(257,样本到样信息汇总统计!$X$2:$X$500,0)),"")</f>
        <v/>
      </c>
      <c r="F258" s="4" t="str">
        <f>IFERROR(INDEX(样本到样信息汇总统计!F$2:F$500,MATCH(257,样本到样信息汇总统计!$X$2:$X$500,0)),"")</f>
        <v/>
      </c>
      <c r="G258" s="4" t="str">
        <f>IFERROR(INDEX(样本到样信息汇总统计!G$2:G$500,MATCH(257,样本到样信息汇总统计!$X$2:$X$500,0)),"")</f>
        <v/>
      </c>
      <c r="H258" s="4" t="str">
        <f>IFERROR(INDEX(样本到样信息汇总统计!H$2:H$500,MATCH(257,样本到样信息汇总统计!$X$2:$X$500,0)),"")</f>
        <v/>
      </c>
      <c r="I258" s="4" t="str">
        <f>IFERROR(INDEX(样本到样信息汇总统计!I$2:I$500,MATCH(257,样本到样信息汇总统计!$X$2:$X$500,0)),"")</f>
        <v/>
      </c>
      <c r="J258" s="4" t="str">
        <f>IFERROR(INDEX(样本到样信息汇总统计!J$2:J$500,MATCH(257,样本到样信息汇总统计!$X$2:$X$500,0)),"")</f>
        <v/>
      </c>
      <c r="K258" s="14" t="str">
        <f>IFERROR(INDEX(样本到样信息汇总统计!K$2:K$500,MATCH(257,样本到样信息汇总统计!$X$2:$X$500,0)),"")</f>
        <v/>
      </c>
      <c r="L258" s="4" t="str">
        <f>IFERROR(INDEX(样本到样信息汇总统计!L$2:L$500,MATCH(257,样本到样信息汇总统计!$X$2:$X$500,0)),"")</f>
        <v/>
      </c>
      <c r="M258" s="4" t="str">
        <f>IFERROR(INDEX(样本到样信息汇总统计!M$2:M$500,MATCH(257,样本到样信息汇总统计!$X$2:$X$500,0)),"")</f>
        <v/>
      </c>
      <c r="N258" s="4" t="str">
        <f>IFERROR(INDEX(样本到样信息汇总统计!N$2:N$500,MATCH(257,样本到样信息汇总统计!$X$2:$X$500,0)),"")</f>
        <v/>
      </c>
      <c r="O258" s="4" t="str">
        <f>IFERROR(INDEX(样本到样信息汇总统计!O$2:O$500,MATCH(257,样本到样信息汇总统计!$X$2:$X$500,0)),"")</f>
        <v/>
      </c>
      <c r="P258" s="4" t="str">
        <f>IFERROR(INDEX(样本到样信息汇总统计!P$2:P$500,MATCH(257,样本到样信息汇总统计!$X$2:$X$500,0)),"")</f>
        <v/>
      </c>
      <c r="Q258" s="4" t="str">
        <f>IFERROR(INDEX(样本到样信息汇总统计!Q$2:Q$500,MATCH(257,样本到样信息汇总统计!$X$2:$X$500,0)),"")</f>
        <v/>
      </c>
      <c r="R258" s="4" t="str">
        <f>IFERROR(INDEX(样本到样信息汇总统计!R$2:R$500,MATCH(257,样本到样信息汇总统计!$X$2:$X$500,0)),"")</f>
        <v/>
      </c>
      <c r="S258" s="4" t="str">
        <f>IFERROR(INDEX(样本到样信息汇总统计!S$2:S$500,MATCH(257,样本到样信息汇总统计!$X$2:$X$500,0)),"")</f>
        <v/>
      </c>
      <c r="T258" s="4" t="str">
        <f>IFERROR(INDEX(样本到样信息汇总统计!T$2:T$500,MATCH(257,样本到样信息汇总统计!$X$2:$X$500,0)),"")</f>
        <v/>
      </c>
      <c r="U258" s="4" t="str">
        <f>IFERROR(INDEX(样本到样信息汇总统计!U$2:U$500,MATCH(257,样本到样信息汇总统计!$X$2:$X$500,0)),"")</f>
        <v/>
      </c>
      <c r="V258" s="4" t="str">
        <f>IFERROR(INDEX(样本到样信息汇总统计!V$2:V$500,MATCH(257,样本到样信息汇总统计!$X$2:$X$500,0)),"")</f>
        <v/>
      </c>
      <c r="W258" s="4" t="str">
        <f>IFERROR(INDEX(样本到样信息汇总统计!W$2:W$500,MATCH(257,样本到样信息汇总统计!$X$2:$X$500,0)),"")</f>
        <v/>
      </c>
    </row>
    <row r="259" ht="14.5" spans="1:23">
      <c r="A259" s="8" t="str">
        <f>IFERROR(INDEX(样本到样信息汇总统计!A$2:A$500,MATCH(258,样本到样信息汇总统计!$X$2:$X$500,0)),"")</f>
        <v/>
      </c>
      <c r="B259" s="8" t="str">
        <f>IFERROR(INDEX(样本到样信息汇总统计!B$2:B$500,MATCH(258,样本到样信息汇总统计!$X$2:$X$500,0)),"")</f>
        <v/>
      </c>
      <c r="C259" s="8" t="str">
        <f>IFERROR(INDEX(样本到样信息汇总统计!C$2:C$500,MATCH(258,样本到样信息汇总统计!$X$2:$X$500,0)),"")</f>
        <v/>
      </c>
      <c r="D259" s="8" t="str">
        <f>IFERROR(INDEX(样本到样信息汇总统计!D$2:D$500,MATCH(258,样本到样信息汇总统计!$X$2:$X$500,0)),"")</f>
        <v/>
      </c>
      <c r="E259" s="8" t="str">
        <f>IFERROR(INDEX(样本到样信息汇总统计!E$2:E$500,MATCH(258,样本到样信息汇总统计!$X$2:$X$500,0)),"")</f>
        <v/>
      </c>
      <c r="F259" s="8" t="str">
        <f>IFERROR(INDEX(样本到样信息汇总统计!F$2:F$500,MATCH(258,样本到样信息汇总统计!$X$2:$X$500,0)),"")</f>
        <v/>
      </c>
      <c r="G259" s="8" t="str">
        <f>IFERROR(INDEX(样本到样信息汇总统计!G$2:G$500,MATCH(258,样本到样信息汇总统计!$X$2:$X$500,0)),"")</f>
        <v/>
      </c>
      <c r="H259" s="8" t="str">
        <f>IFERROR(INDEX(样本到样信息汇总统计!H$2:H$500,MATCH(258,样本到样信息汇总统计!$X$2:$X$500,0)),"")</f>
        <v/>
      </c>
      <c r="I259" s="8" t="str">
        <f>IFERROR(INDEX(样本到样信息汇总统计!I$2:I$500,MATCH(258,样本到样信息汇总统计!$X$2:$X$500,0)),"")</f>
        <v/>
      </c>
      <c r="J259" s="8" t="str">
        <f>IFERROR(INDEX(样本到样信息汇总统计!J$2:J$500,MATCH(258,样本到样信息汇总统计!$X$2:$X$500,0)),"")</f>
        <v/>
      </c>
      <c r="K259" s="15" t="str">
        <f>IFERROR(INDEX(样本到样信息汇总统计!K$2:K$500,MATCH(258,样本到样信息汇总统计!$X$2:$X$500,0)),"")</f>
        <v/>
      </c>
      <c r="L259" s="8" t="str">
        <f>IFERROR(INDEX(样本到样信息汇总统计!L$2:L$500,MATCH(258,样本到样信息汇总统计!$X$2:$X$500,0)),"")</f>
        <v/>
      </c>
      <c r="M259" s="8" t="str">
        <f>IFERROR(INDEX(样本到样信息汇总统计!M$2:M$500,MATCH(258,样本到样信息汇总统计!$X$2:$X$500,0)),"")</f>
        <v/>
      </c>
      <c r="N259" s="8" t="str">
        <f>IFERROR(INDEX(样本到样信息汇总统计!N$2:N$500,MATCH(258,样本到样信息汇总统计!$X$2:$X$500,0)),"")</f>
        <v/>
      </c>
      <c r="O259" s="8" t="str">
        <f>IFERROR(INDEX(样本到样信息汇总统计!O$2:O$500,MATCH(258,样本到样信息汇总统计!$X$2:$X$500,0)),"")</f>
        <v/>
      </c>
      <c r="P259" s="8" t="str">
        <f>IFERROR(INDEX(样本到样信息汇总统计!P$2:P$500,MATCH(258,样本到样信息汇总统计!$X$2:$X$500,0)),"")</f>
        <v/>
      </c>
      <c r="Q259" s="8" t="str">
        <f>IFERROR(INDEX(样本到样信息汇总统计!Q$2:Q$500,MATCH(258,样本到样信息汇总统计!$X$2:$X$500,0)),"")</f>
        <v/>
      </c>
      <c r="R259" s="8" t="str">
        <f>IFERROR(INDEX(样本到样信息汇总统计!R$2:R$500,MATCH(258,样本到样信息汇总统计!$X$2:$X$500,0)),"")</f>
        <v/>
      </c>
      <c r="S259" s="8" t="str">
        <f>IFERROR(INDEX(样本到样信息汇总统计!S$2:S$500,MATCH(258,样本到样信息汇总统计!$X$2:$X$500,0)),"")</f>
        <v/>
      </c>
      <c r="T259" s="8" t="str">
        <f>IFERROR(INDEX(样本到样信息汇总统计!T$2:T$500,MATCH(258,样本到样信息汇总统计!$X$2:$X$500,0)),"")</f>
        <v/>
      </c>
      <c r="U259" s="8" t="str">
        <f>IFERROR(INDEX(样本到样信息汇总统计!U$2:U$500,MATCH(258,样本到样信息汇总统计!$X$2:$X$500,0)),"")</f>
        <v/>
      </c>
      <c r="V259" s="8" t="str">
        <f>IFERROR(INDEX(样本到样信息汇总统计!V$2:V$500,MATCH(258,样本到样信息汇总统计!$X$2:$X$500,0)),"")</f>
        <v/>
      </c>
      <c r="W259" s="8" t="str">
        <f>IFERROR(INDEX(样本到样信息汇总统计!W$2:W$500,MATCH(258,样本到样信息汇总统计!$X$2:$X$500,0)),"")</f>
        <v/>
      </c>
    </row>
    <row r="260" ht="14.5" spans="1:23">
      <c r="A260" s="4" t="str">
        <f>IFERROR(INDEX(样本到样信息汇总统计!A$2:A$500,MATCH(259,样本到样信息汇总统计!$X$2:$X$500,0)),"")</f>
        <v/>
      </c>
      <c r="B260" s="4" t="str">
        <f>IFERROR(INDEX(样本到样信息汇总统计!B$2:B$500,MATCH(259,样本到样信息汇总统计!$X$2:$X$500,0)),"")</f>
        <v/>
      </c>
      <c r="C260" s="4" t="str">
        <f>IFERROR(INDEX(样本到样信息汇总统计!C$2:C$500,MATCH(259,样本到样信息汇总统计!$X$2:$X$500,0)),"")</f>
        <v/>
      </c>
      <c r="D260" s="4" t="str">
        <f>IFERROR(INDEX(样本到样信息汇总统计!D$2:D$500,MATCH(259,样本到样信息汇总统计!$X$2:$X$500,0)),"")</f>
        <v/>
      </c>
      <c r="E260" s="4" t="str">
        <f>IFERROR(INDEX(样本到样信息汇总统计!E$2:E$500,MATCH(259,样本到样信息汇总统计!$X$2:$X$500,0)),"")</f>
        <v/>
      </c>
      <c r="F260" s="4" t="str">
        <f>IFERROR(INDEX(样本到样信息汇总统计!F$2:F$500,MATCH(259,样本到样信息汇总统计!$X$2:$X$500,0)),"")</f>
        <v/>
      </c>
      <c r="G260" s="4" t="str">
        <f>IFERROR(INDEX(样本到样信息汇总统计!G$2:G$500,MATCH(259,样本到样信息汇总统计!$X$2:$X$500,0)),"")</f>
        <v/>
      </c>
      <c r="H260" s="4" t="str">
        <f>IFERROR(INDEX(样本到样信息汇总统计!H$2:H$500,MATCH(259,样本到样信息汇总统计!$X$2:$X$500,0)),"")</f>
        <v/>
      </c>
      <c r="I260" s="4" t="str">
        <f>IFERROR(INDEX(样本到样信息汇总统计!I$2:I$500,MATCH(259,样本到样信息汇总统计!$X$2:$X$500,0)),"")</f>
        <v/>
      </c>
      <c r="J260" s="4" t="str">
        <f>IFERROR(INDEX(样本到样信息汇总统计!J$2:J$500,MATCH(259,样本到样信息汇总统计!$X$2:$X$500,0)),"")</f>
        <v/>
      </c>
      <c r="K260" s="14" t="str">
        <f>IFERROR(INDEX(样本到样信息汇总统计!K$2:K$500,MATCH(259,样本到样信息汇总统计!$X$2:$X$500,0)),"")</f>
        <v/>
      </c>
      <c r="L260" s="4" t="str">
        <f>IFERROR(INDEX(样本到样信息汇总统计!L$2:L$500,MATCH(259,样本到样信息汇总统计!$X$2:$X$500,0)),"")</f>
        <v/>
      </c>
      <c r="M260" s="4" t="str">
        <f>IFERROR(INDEX(样本到样信息汇总统计!M$2:M$500,MATCH(259,样本到样信息汇总统计!$X$2:$X$500,0)),"")</f>
        <v/>
      </c>
      <c r="N260" s="4" t="str">
        <f>IFERROR(INDEX(样本到样信息汇总统计!N$2:N$500,MATCH(259,样本到样信息汇总统计!$X$2:$X$500,0)),"")</f>
        <v/>
      </c>
      <c r="O260" s="4" t="str">
        <f>IFERROR(INDEX(样本到样信息汇总统计!O$2:O$500,MATCH(259,样本到样信息汇总统计!$X$2:$X$500,0)),"")</f>
        <v/>
      </c>
      <c r="P260" s="4" t="str">
        <f>IFERROR(INDEX(样本到样信息汇总统计!P$2:P$500,MATCH(259,样本到样信息汇总统计!$X$2:$X$500,0)),"")</f>
        <v/>
      </c>
      <c r="Q260" s="4" t="str">
        <f>IFERROR(INDEX(样本到样信息汇总统计!Q$2:Q$500,MATCH(259,样本到样信息汇总统计!$X$2:$X$500,0)),"")</f>
        <v/>
      </c>
      <c r="R260" s="4" t="str">
        <f>IFERROR(INDEX(样本到样信息汇总统计!R$2:R$500,MATCH(259,样本到样信息汇总统计!$X$2:$X$500,0)),"")</f>
        <v/>
      </c>
      <c r="S260" s="4" t="str">
        <f>IFERROR(INDEX(样本到样信息汇总统计!S$2:S$500,MATCH(259,样本到样信息汇总统计!$X$2:$X$500,0)),"")</f>
        <v/>
      </c>
      <c r="T260" s="4" t="str">
        <f>IFERROR(INDEX(样本到样信息汇总统计!T$2:T$500,MATCH(259,样本到样信息汇总统计!$X$2:$X$500,0)),"")</f>
        <v/>
      </c>
      <c r="U260" s="4" t="str">
        <f>IFERROR(INDEX(样本到样信息汇总统计!U$2:U$500,MATCH(259,样本到样信息汇总统计!$X$2:$X$500,0)),"")</f>
        <v/>
      </c>
      <c r="V260" s="4" t="str">
        <f>IFERROR(INDEX(样本到样信息汇总统计!V$2:V$500,MATCH(259,样本到样信息汇总统计!$X$2:$X$500,0)),"")</f>
        <v/>
      </c>
      <c r="W260" s="4" t="str">
        <f>IFERROR(INDEX(样本到样信息汇总统计!W$2:W$500,MATCH(259,样本到样信息汇总统计!$X$2:$X$500,0)),"")</f>
        <v/>
      </c>
    </row>
    <row r="261" ht="14.5" spans="1:23">
      <c r="A261" s="8" t="str">
        <f>IFERROR(INDEX(样本到样信息汇总统计!A$2:A$500,MATCH(260,样本到样信息汇总统计!$X$2:$X$500,0)),"")</f>
        <v/>
      </c>
      <c r="B261" s="8" t="str">
        <f>IFERROR(INDEX(样本到样信息汇总统计!B$2:B$500,MATCH(260,样本到样信息汇总统计!$X$2:$X$500,0)),"")</f>
        <v/>
      </c>
      <c r="C261" s="8" t="str">
        <f>IFERROR(INDEX(样本到样信息汇总统计!C$2:C$500,MATCH(260,样本到样信息汇总统计!$X$2:$X$500,0)),"")</f>
        <v/>
      </c>
      <c r="D261" s="8" t="str">
        <f>IFERROR(INDEX(样本到样信息汇总统计!D$2:D$500,MATCH(260,样本到样信息汇总统计!$X$2:$X$500,0)),"")</f>
        <v/>
      </c>
      <c r="E261" s="8" t="str">
        <f>IFERROR(INDEX(样本到样信息汇总统计!E$2:E$500,MATCH(260,样本到样信息汇总统计!$X$2:$X$500,0)),"")</f>
        <v/>
      </c>
      <c r="F261" s="8" t="str">
        <f>IFERROR(INDEX(样本到样信息汇总统计!F$2:F$500,MATCH(260,样本到样信息汇总统计!$X$2:$X$500,0)),"")</f>
        <v/>
      </c>
      <c r="G261" s="8" t="str">
        <f>IFERROR(INDEX(样本到样信息汇总统计!G$2:G$500,MATCH(260,样本到样信息汇总统计!$X$2:$X$500,0)),"")</f>
        <v/>
      </c>
      <c r="H261" s="8" t="str">
        <f>IFERROR(INDEX(样本到样信息汇总统计!H$2:H$500,MATCH(260,样本到样信息汇总统计!$X$2:$X$500,0)),"")</f>
        <v/>
      </c>
      <c r="I261" s="8" t="str">
        <f>IFERROR(INDEX(样本到样信息汇总统计!I$2:I$500,MATCH(260,样本到样信息汇总统计!$X$2:$X$500,0)),"")</f>
        <v/>
      </c>
      <c r="J261" s="8" t="str">
        <f>IFERROR(INDEX(样本到样信息汇总统计!J$2:J$500,MATCH(260,样本到样信息汇总统计!$X$2:$X$500,0)),"")</f>
        <v/>
      </c>
      <c r="K261" s="15" t="str">
        <f>IFERROR(INDEX(样本到样信息汇总统计!K$2:K$500,MATCH(260,样本到样信息汇总统计!$X$2:$X$500,0)),"")</f>
        <v/>
      </c>
      <c r="L261" s="8" t="str">
        <f>IFERROR(INDEX(样本到样信息汇总统计!L$2:L$500,MATCH(260,样本到样信息汇总统计!$X$2:$X$500,0)),"")</f>
        <v/>
      </c>
      <c r="M261" s="8" t="str">
        <f>IFERROR(INDEX(样本到样信息汇总统计!M$2:M$500,MATCH(260,样本到样信息汇总统计!$X$2:$X$500,0)),"")</f>
        <v/>
      </c>
      <c r="N261" s="8" t="str">
        <f>IFERROR(INDEX(样本到样信息汇总统计!N$2:N$500,MATCH(260,样本到样信息汇总统计!$X$2:$X$500,0)),"")</f>
        <v/>
      </c>
      <c r="O261" s="8" t="str">
        <f>IFERROR(INDEX(样本到样信息汇总统计!O$2:O$500,MATCH(260,样本到样信息汇总统计!$X$2:$X$500,0)),"")</f>
        <v/>
      </c>
      <c r="P261" s="8" t="str">
        <f>IFERROR(INDEX(样本到样信息汇总统计!P$2:P$500,MATCH(260,样本到样信息汇总统计!$X$2:$X$500,0)),"")</f>
        <v/>
      </c>
      <c r="Q261" s="8" t="str">
        <f>IFERROR(INDEX(样本到样信息汇总统计!Q$2:Q$500,MATCH(260,样本到样信息汇总统计!$X$2:$X$500,0)),"")</f>
        <v/>
      </c>
      <c r="R261" s="8" t="str">
        <f>IFERROR(INDEX(样本到样信息汇总统计!R$2:R$500,MATCH(260,样本到样信息汇总统计!$X$2:$X$500,0)),"")</f>
        <v/>
      </c>
      <c r="S261" s="8" t="str">
        <f>IFERROR(INDEX(样本到样信息汇总统计!S$2:S$500,MATCH(260,样本到样信息汇总统计!$X$2:$X$500,0)),"")</f>
        <v/>
      </c>
      <c r="T261" s="8" t="str">
        <f>IFERROR(INDEX(样本到样信息汇总统计!T$2:T$500,MATCH(260,样本到样信息汇总统计!$X$2:$X$500,0)),"")</f>
        <v/>
      </c>
      <c r="U261" s="8" t="str">
        <f>IFERROR(INDEX(样本到样信息汇总统计!U$2:U$500,MATCH(260,样本到样信息汇总统计!$X$2:$X$500,0)),"")</f>
        <v/>
      </c>
      <c r="V261" s="8" t="str">
        <f>IFERROR(INDEX(样本到样信息汇总统计!V$2:V$500,MATCH(260,样本到样信息汇总统计!$X$2:$X$500,0)),"")</f>
        <v/>
      </c>
      <c r="W261" s="8" t="str">
        <f>IFERROR(INDEX(样本到样信息汇总统计!W$2:W$500,MATCH(260,样本到样信息汇总统计!$X$2:$X$500,0)),"")</f>
        <v/>
      </c>
    </row>
    <row r="262" ht="14.5" spans="1:23">
      <c r="A262" s="4" t="str">
        <f>IFERROR(INDEX(样本到样信息汇总统计!A$2:A$500,MATCH(261,样本到样信息汇总统计!$X$2:$X$500,0)),"")</f>
        <v/>
      </c>
      <c r="B262" s="4" t="str">
        <f>IFERROR(INDEX(样本到样信息汇总统计!B$2:B$500,MATCH(261,样本到样信息汇总统计!$X$2:$X$500,0)),"")</f>
        <v/>
      </c>
      <c r="C262" s="4" t="str">
        <f>IFERROR(INDEX(样本到样信息汇总统计!C$2:C$500,MATCH(261,样本到样信息汇总统计!$X$2:$X$500,0)),"")</f>
        <v/>
      </c>
      <c r="D262" s="4" t="str">
        <f>IFERROR(INDEX(样本到样信息汇总统计!D$2:D$500,MATCH(261,样本到样信息汇总统计!$X$2:$X$500,0)),"")</f>
        <v/>
      </c>
      <c r="E262" s="4" t="str">
        <f>IFERROR(INDEX(样本到样信息汇总统计!E$2:E$500,MATCH(261,样本到样信息汇总统计!$X$2:$X$500,0)),"")</f>
        <v/>
      </c>
      <c r="F262" s="4" t="str">
        <f>IFERROR(INDEX(样本到样信息汇总统计!F$2:F$500,MATCH(261,样本到样信息汇总统计!$X$2:$X$500,0)),"")</f>
        <v/>
      </c>
      <c r="G262" s="4" t="str">
        <f>IFERROR(INDEX(样本到样信息汇总统计!G$2:G$500,MATCH(261,样本到样信息汇总统计!$X$2:$X$500,0)),"")</f>
        <v/>
      </c>
      <c r="H262" s="4" t="str">
        <f>IFERROR(INDEX(样本到样信息汇总统计!H$2:H$500,MATCH(261,样本到样信息汇总统计!$X$2:$X$500,0)),"")</f>
        <v/>
      </c>
      <c r="I262" s="4" t="str">
        <f>IFERROR(INDEX(样本到样信息汇总统计!I$2:I$500,MATCH(261,样本到样信息汇总统计!$X$2:$X$500,0)),"")</f>
        <v/>
      </c>
      <c r="J262" s="4" t="str">
        <f>IFERROR(INDEX(样本到样信息汇总统计!J$2:J$500,MATCH(261,样本到样信息汇总统计!$X$2:$X$500,0)),"")</f>
        <v/>
      </c>
      <c r="K262" s="14" t="str">
        <f>IFERROR(INDEX(样本到样信息汇总统计!K$2:K$500,MATCH(261,样本到样信息汇总统计!$X$2:$X$500,0)),"")</f>
        <v/>
      </c>
      <c r="L262" s="4" t="str">
        <f>IFERROR(INDEX(样本到样信息汇总统计!L$2:L$500,MATCH(261,样本到样信息汇总统计!$X$2:$X$500,0)),"")</f>
        <v/>
      </c>
      <c r="M262" s="4" t="str">
        <f>IFERROR(INDEX(样本到样信息汇总统计!M$2:M$500,MATCH(261,样本到样信息汇总统计!$X$2:$X$500,0)),"")</f>
        <v/>
      </c>
      <c r="N262" s="4" t="str">
        <f>IFERROR(INDEX(样本到样信息汇总统计!N$2:N$500,MATCH(261,样本到样信息汇总统计!$X$2:$X$500,0)),"")</f>
        <v/>
      </c>
      <c r="O262" s="4" t="str">
        <f>IFERROR(INDEX(样本到样信息汇总统计!O$2:O$500,MATCH(261,样本到样信息汇总统计!$X$2:$X$500,0)),"")</f>
        <v/>
      </c>
      <c r="P262" s="4" t="str">
        <f>IFERROR(INDEX(样本到样信息汇总统计!P$2:P$500,MATCH(261,样本到样信息汇总统计!$X$2:$X$500,0)),"")</f>
        <v/>
      </c>
      <c r="Q262" s="4" t="str">
        <f>IFERROR(INDEX(样本到样信息汇总统计!Q$2:Q$500,MATCH(261,样本到样信息汇总统计!$X$2:$X$500,0)),"")</f>
        <v/>
      </c>
      <c r="R262" s="4" t="str">
        <f>IFERROR(INDEX(样本到样信息汇总统计!R$2:R$500,MATCH(261,样本到样信息汇总统计!$X$2:$X$500,0)),"")</f>
        <v/>
      </c>
      <c r="S262" s="4" t="str">
        <f>IFERROR(INDEX(样本到样信息汇总统计!S$2:S$500,MATCH(261,样本到样信息汇总统计!$X$2:$X$500,0)),"")</f>
        <v/>
      </c>
      <c r="T262" s="4" t="str">
        <f>IFERROR(INDEX(样本到样信息汇总统计!T$2:T$500,MATCH(261,样本到样信息汇总统计!$X$2:$X$500,0)),"")</f>
        <v/>
      </c>
      <c r="U262" s="4" t="str">
        <f>IFERROR(INDEX(样本到样信息汇总统计!U$2:U$500,MATCH(261,样本到样信息汇总统计!$X$2:$X$500,0)),"")</f>
        <v/>
      </c>
      <c r="V262" s="4" t="str">
        <f>IFERROR(INDEX(样本到样信息汇总统计!V$2:V$500,MATCH(261,样本到样信息汇总统计!$X$2:$X$500,0)),"")</f>
        <v/>
      </c>
      <c r="W262" s="4" t="str">
        <f>IFERROR(INDEX(样本到样信息汇总统计!W$2:W$500,MATCH(261,样本到样信息汇总统计!$X$2:$X$500,0)),"")</f>
        <v/>
      </c>
    </row>
    <row r="263" ht="14.5" spans="1:23">
      <c r="A263" s="8" t="str">
        <f>IFERROR(INDEX(样本到样信息汇总统计!A$2:A$500,MATCH(262,样本到样信息汇总统计!$X$2:$X$500,0)),"")</f>
        <v/>
      </c>
      <c r="B263" s="8" t="str">
        <f>IFERROR(INDEX(样本到样信息汇总统计!B$2:B$500,MATCH(262,样本到样信息汇总统计!$X$2:$X$500,0)),"")</f>
        <v/>
      </c>
      <c r="C263" s="8" t="str">
        <f>IFERROR(INDEX(样本到样信息汇总统计!C$2:C$500,MATCH(262,样本到样信息汇总统计!$X$2:$X$500,0)),"")</f>
        <v/>
      </c>
      <c r="D263" s="8" t="str">
        <f>IFERROR(INDEX(样本到样信息汇总统计!D$2:D$500,MATCH(262,样本到样信息汇总统计!$X$2:$X$500,0)),"")</f>
        <v/>
      </c>
      <c r="E263" s="8" t="str">
        <f>IFERROR(INDEX(样本到样信息汇总统计!E$2:E$500,MATCH(262,样本到样信息汇总统计!$X$2:$X$500,0)),"")</f>
        <v/>
      </c>
      <c r="F263" s="8" t="str">
        <f>IFERROR(INDEX(样本到样信息汇总统计!F$2:F$500,MATCH(262,样本到样信息汇总统计!$X$2:$X$500,0)),"")</f>
        <v/>
      </c>
      <c r="G263" s="8" t="str">
        <f>IFERROR(INDEX(样本到样信息汇总统计!G$2:G$500,MATCH(262,样本到样信息汇总统计!$X$2:$X$500,0)),"")</f>
        <v/>
      </c>
      <c r="H263" s="8" t="str">
        <f>IFERROR(INDEX(样本到样信息汇总统计!H$2:H$500,MATCH(262,样本到样信息汇总统计!$X$2:$X$500,0)),"")</f>
        <v/>
      </c>
      <c r="I263" s="8" t="str">
        <f>IFERROR(INDEX(样本到样信息汇总统计!I$2:I$500,MATCH(262,样本到样信息汇总统计!$X$2:$X$500,0)),"")</f>
        <v/>
      </c>
      <c r="J263" s="8" t="str">
        <f>IFERROR(INDEX(样本到样信息汇总统计!J$2:J$500,MATCH(262,样本到样信息汇总统计!$X$2:$X$500,0)),"")</f>
        <v/>
      </c>
      <c r="K263" s="15" t="str">
        <f>IFERROR(INDEX(样本到样信息汇总统计!K$2:K$500,MATCH(262,样本到样信息汇总统计!$X$2:$X$500,0)),"")</f>
        <v/>
      </c>
      <c r="L263" s="8" t="str">
        <f>IFERROR(INDEX(样本到样信息汇总统计!L$2:L$500,MATCH(262,样本到样信息汇总统计!$X$2:$X$500,0)),"")</f>
        <v/>
      </c>
      <c r="M263" s="8" t="str">
        <f>IFERROR(INDEX(样本到样信息汇总统计!M$2:M$500,MATCH(262,样本到样信息汇总统计!$X$2:$X$500,0)),"")</f>
        <v/>
      </c>
      <c r="N263" s="8" t="str">
        <f>IFERROR(INDEX(样本到样信息汇总统计!N$2:N$500,MATCH(262,样本到样信息汇总统计!$X$2:$X$500,0)),"")</f>
        <v/>
      </c>
      <c r="O263" s="8" t="str">
        <f>IFERROR(INDEX(样本到样信息汇总统计!O$2:O$500,MATCH(262,样本到样信息汇总统计!$X$2:$X$500,0)),"")</f>
        <v/>
      </c>
      <c r="P263" s="8" t="str">
        <f>IFERROR(INDEX(样本到样信息汇总统计!P$2:P$500,MATCH(262,样本到样信息汇总统计!$X$2:$X$500,0)),"")</f>
        <v/>
      </c>
      <c r="Q263" s="8" t="str">
        <f>IFERROR(INDEX(样本到样信息汇总统计!Q$2:Q$500,MATCH(262,样本到样信息汇总统计!$X$2:$X$500,0)),"")</f>
        <v/>
      </c>
      <c r="R263" s="8" t="str">
        <f>IFERROR(INDEX(样本到样信息汇总统计!R$2:R$500,MATCH(262,样本到样信息汇总统计!$X$2:$X$500,0)),"")</f>
        <v/>
      </c>
      <c r="S263" s="8" t="str">
        <f>IFERROR(INDEX(样本到样信息汇总统计!S$2:S$500,MATCH(262,样本到样信息汇总统计!$X$2:$X$500,0)),"")</f>
        <v/>
      </c>
      <c r="T263" s="8" t="str">
        <f>IFERROR(INDEX(样本到样信息汇总统计!T$2:T$500,MATCH(262,样本到样信息汇总统计!$X$2:$X$500,0)),"")</f>
        <v/>
      </c>
      <c r="U263" s="8" t="str">
        <f>IFERROR(INDEX(样本到样信息汇总统计!U$2:U$500,MATCH(262,样本到样信息汇总统计!$X$2:$X$500,0)),"")</f>
        <v/>
      </c>
      <c r="V263" s="8" t="str">
        <f>IFERROR(INDEX(样本到样信息汇总统计!V$2:V$500,MATCH(262,样本到样信息汇总统计!$X$2:$X$500,0)),"")</f>
        <v/>
      </c>
      <c r="W263" s="8" t="str">
        <f>IFERROR(INDEX(样本到样信息汇总统计!W$2:W$500,MATCH(262,样本到样信息汇总统计!$X$2:$X$500,0)),"")</f>
        <v/>
      </c>
    </row>
    <row r="264" ht="14.5" spans="1:23">
      <c r="A264" s="4" t="str">
        <f>IFERROR(INDEX(样本到样信息汇总统计!A$2:A$500,MATCH(263,样本到样信息汇总统计!$X$2:$X$500,0)),"")</f>
        <v/>
      </c>
      <c r="B264" s="4" t="str">
        <f>IFERROR(INDEX(样本到样信息汇总统计!B$2:B$500,MATCH(263,样本到样信息汇总统计!$X$2:$X$500,0)),"")</f>
        <v/>
      </c>
      <c r="C264" s="4" t="str">
        <f>IFERROR(INDEX(样本到样信息汇总统计!C$2:C$500,MATCH(263,样本到样信息汇总统计!$X$2:$X$500,0)),"")</f>
        <v/>
      </c>
      <c r="D264" s="4" t="str">
        <f>IFERROR(INDEX(样本到样信息汇总统计!D$2:D$500,MATCH(263,样本到样信息汇总统计!$X$2:$X$500,0)),"")</f>
        <v/>
      </c>
      <c r="E264" s="4" t="str">
        <f>IFERROR(INDEX(样本到样信息汇总统计!E$2:E$500,MATCH(263,样本到样信息汇总统计!$X$2:$X$500,0)),"")</f>
        <v/>
      </c>
      <c r="F264" s="4" t="str">
        <f>IFERROR(INDEX(样本到样信息汇总统计!F$2:F$500,MATCH(263,样本到样信息汇总统计!$X$2:$X$500,0)),"")</f>
        <v/>
      </c>
      <c r="G264" s="4" t="str">
        <f>IFERROR(INDEX(样本到样信息汇总统计!G$2:G$500,MATCH(263,样本到样信息汇总统计!$X$2:$X$500,0)),"")</f>
        <v/>
      </c>
      <c r="H264" s="4" t="str">
        <f>IFERROR(INDEX(样本到样信息汇总统计!H$2:H$500,MATCH(263,样本到样信息汇总统计!$X$2:$X$500,0)),"")</f>
        <v/>
      </c>
      <c r="I264" s="4" t="str">
        <f>IFERROR(INDEX(样本到样信息汇总统计!I$2:I$500,MATCH(263,样本到样信息汇总统计!$X$2:$X$500,0)),"")</f>
        <v/>
      </c>
      <c r="J264" s="4" t="str">
        <f>IFERROR(INDEX(样本到样信息汇总统计!J$2:J$500,MATCH(263,样本到样信息汇总统计!$X$2:$X$500,0)),"")</f>
        <v/>
      </c>
      <c r="K264" s="14" t="str">
        <f>IFERROR(INDEX(样本到样信息汇总统计!K$2:K$500,MATCH(263,样本到样信息汇总统计!$X$2:$X$500,0)),"")</f>
        <v/>
      </c>
      <c r="L264" s="4" t="str">
        <f>IFERROR(INDEX(样本到样信息汇总统计!L$2:L$500,MATCH(263,样本到样信息汇总统计!$X$2:$X$500,0)),"")</f>
        <v/>
      </c>
      <c r="M264" s="4" t="str">
        <f>IFERROR(INDEX(样本到样信息汇总统计!M$2:M$500,MATCH(263,样本到样信息汇总统计!$X$2:$X$500,0)),"")</f>
        <v/>
      </c>
      <c r="N264" s="4" t="str">
        <f>IFERROR(INDEX(样本到样信息汇总统计!N$2:N$500,MATCH(263,样本到样信息汇总统计!$X$2:$X$500,0)),"")</f>
        <v/>
      </c>
      <c r="O264" s="4" t="str">
        <f>IFERROR(INDEX(样本到样信息汇总统计!O$2:O$500,MATCH(263,样本到样信息汇总统计!$X$2:$X$500,0)),"")</f>
        <v/>
      </c>
      <c r="P264" s="4" t="str">
        <f>IFERROR(INDEX(样本到样信息汇总统计!P$2:P$500,MATCH(263,样本到样信息汇总统计!$X$2:$X$500,0)),"")</f>
        <v/>
      </c>
      <c r="Q264" s="4" t="str">
        <f>IFERROR(INDEX(样本到样信息汇总统计!Q$2:Q$500,MATCH(263,样本到样信息汇总统计!$X$2:$X$500,0)),"")</f>
        <v/>
      </c>
      <c r="R264" s="4" t="str">
        <f>IFERROR(INDEX(样本到样信息汇总统计!R$2:R$500,MATCH(263,样本到样信息汇总统计!$X$2:$X$500,0)),"")</f>
        <v/>
      </c>
      <c r="S264" s="4" t="str">
        <f>IFERROR(INDEX(样本到样信息汇总统计!S$2:S$500,MATCH(263,样本到样信息汇总统计!$X$2:$X$500,0)),"")</f>
        <v/>
      </c>
      <c r="T264" s="4" t="str">
        <f>IFERROR(INDEX(样本到样信息汇总统计!T$2:T$500,MATCH(263,样本到样信息汇总统计!$X$2:$X$500,0)),"")</f>
        <v/>
      </c>
      <c r="U264" s="4" t="str">
        <f>IFERROR(INDEX(样本到样信息汇总统计!U$2:U$500,MATCH(263,样本到样信息汇总统计!$X$2:$X$500,0)),"")</f>
        <v/>
      </c>
      <c r="V264" s="4" t="str">
        <f>IFERROR(INDEX(样本到样信息汇总统计!V$2:V$500,MATCH(263,样本到样信息汇总统计!$X$2:$X$500,0)),"")</f>
        <v/>
      </c>
      <c r="W264" s="4" t="str">
        <f>IFERROR(INDEX(样本到样信息汇总统计!W$2:W$500,MATCH(263,样本到样信息汇总统计!$X$2:$X$500,0)),"")</f>
        <v/>
      </c>
    </row>
    <row r="265" ht="14.5" spans="1:23">
      <c r="A265" s="8" t="str">
        <f>IFERROR(INDEX(样本到样信息汇总统计!A$2:A$500,MATCH(264,样本到样信息汇总统计!$X$2:$X$500,0)),"")</f>
        <v/>
      </c>
      <c r="B265" s="8" t="str">
        <f>IFERROR(INDEX(样本到样信息汇总统计!B$2:B$500,MATCH(264,样本到样信息汇总统计!$X$2:$X$500,0)),"")</f>
        <v/>
      </c>
      <c r="C265" s="8" t="str">
        <f>IFERROR(INDEX(样本到样信息汇总统计!C$2:C$500,MATCH(264,样本到样信息汇总统计!$X$2:$X$500,0)),"")</f>
        <v/>
      </c>
      <c r="D265" s="8" t="str">
        <f>IFERROR(INDEX(样本到样信息汇总统计!D$2:D$500,MATCH(264,样本到样信息汇总统计!$X$2:$X$500,0)),"")</f>
        <v/>
      </c>
      <c r="E265" s="8" t="str">
        <f>IFERROR(INDEX(样本到样信息汇总统计!E$2:E$500,MATCH(264,样本到样信息汇总统计!$X$2:$X$500,0)),"")</f>
        <v/>
      </c>
      <c r="F265" s="8" t="str">
        <f>IFERROR(INDEX(样本到样信息汇总统计!F$2:F$500,MATCH(264,样本到样信息汇总统计!$X$2:$X$500,0)),"")</f>
        <v/>
      </c>
      <c r="G265" s="8" t="str">
        <f>IFERROR(INDEX(样本到样信息汇总统计!G$2:G$500,MATCH(264,样本到样信息汇总统计!$X$2:$X$500,0)),"")</f>
        <v/>
      </c>
      <c r="H265" s="8" t="str">
        <f>IFERROR(INDEX(样本到样信息汇总统计!H$2:H$500,MATCH(264,样本到样信息汇总统计!$X$2:$X$500,0)),"")</f>
        <v/>
      </c>
      <c r="I265" s="8" t="str">
        <f>IFERROR(INDEX(样本到样信息汇总统计!I$2:I$500,MATCH(264,样本到样信息汇总统计!$X$2:$X$500,0)),"")</f>
        <v/>
      </c>
      <c r="J265" s="8" t="str">
        <f>IFERROR(INDEX(样本到样信息汇总统计!J$2:J$500,MATCH(264,样本到样信息汇总统计!$X$2:$X$500,0)),"")</f>
        <v/>
      </c>
      <c r="K265" s="15" t="str">
        <f>IFERROR(INDEX(样本到样信息汇总统计!K$2:K$500,MATCH(264,样本到样信息汇总统计!$X$2:$X$500,0)),"")</f>
        <v/>
      </c>
      <c r="L265" s="8" t="str">
        <f>IFERROR(INDEX(样本到样信息汇总统计!L$2:L$500,MATCH(264,样本到样信息汇总统计!$X$2:$X$500,0)),"")</f>
        <v/>
      </c>
      <c r="M265" s="8" t="str">
        <f>IFERROR(INDEX(样本到样信息汇总统计!M$2:M$500,MATCH(264,样本到样信息汇总统计!$X$2:$X$500,0)),"")</f>
        <v/>
      </c>
      <c r="N265" s="8" t="str">
        <f>IFERROR(INDEX(样本到样信息汇总统计!N$2:N$500,MATCH(264,样本到样信息汇总统计!$X$2:$X$500,0)),"")</f>
        <v/>
      </c>
      <c r="O265" s="8" t="str">
        <f>IFERROR(INDEX(样本到样信息汇总统计!O$2:O$500,MATCH(264,样本到样信息汇总统计!$X$2:$X$500,0)),"")</f>
        <v/>
      </c>
      <c r="P265" s="8" t="str">
        <f>IFERROR(INDEX(样本到样信息汇总统计!P$2:P$500,MATCH(264,样本到样信息汇总统计!$X$2:$X$500,0)),"")</f>
        <v/>
      </c>
      <c r="Q265" s="8" t="str">
        <f>IFERROR(INDEX(样本到样信息汇总统计!Q$2:Q$500,MATCH(264,样本到样信息汇总统计!$X$2:$X$500,0)),"")</f>
        <v/>
      </c>
      <c r="R265" s="8" t="str">
        <f>IFERROR(INDEX(样本到样信息汇总统计!R$2:R$500,MATCH(264,样本到样信息汇总统计!$X$2:$X$500,0)),"")</f>
        <v/>
      </c>
      <c r="S265" s="8" t="str">
        <f>IFERROR(INDEX(样本到样信息汇总统计!S$2:S$500,MATCH(264,样本到样信息汇总统计!$X$2:$X$500,0)),"")</f>
        <v/>
      </c>
      <c r="T265" s="8" t="str">
        <f>IFERROR(INDEX(样本到样信息汇总统计!T$2:T$500,MATCH(264,样本到样信息汇总统计!$X$2:$X$500,0)),"")</f>
        <v/>
      </c>
      <c r="U265" s="8" t="str">
        <f>IFERROR(INDEX(样本到样信息汇总统计!U$2:U$500,MATCH(264,样本到样信息汇总统计!$X$2:$X$500,0)),"")</f>
        <v/>
      </c>
      <c r="V265" s="8" t="str">
        <f>IFERROR(INDEX(样本到样信息汇总统计!V$2:V$500,MATCH(264,样本到样信息汇总统计!$X$2:$X$500,0)),"")</f>
        <v/>
      </c>
      <c r="W265" s="8" t="str">
        <f>IFERROR(INDEX(样本到样信息汇总统计!W$2:W$500,MATCH(264,样本到样信息汇总统计!$X$2:$X$500,0)),"")</f>
        <v/>
      </c>
    </row>
    <row r="266" ht="14.5" spans="1:23">
      <c r="A266" s="4" t="str">
        <f>IFERROR(INDEX(样本到样信息汇总统计!A$2:A$500,MATCH(265,样本到样信息汇总统计!$X$2:$X$500,0)),"")</f>
        <v/>
      </c>
      <c r="B266" s="4" t="str">
        <f>IFERROR(INDEX(样本到样信息汇总统计!B$2:B$500,MATCH(265,样本到样信息汇总统计!$X$2:$X$500,0)),"")</f>
        <v/>
      </c>
      <c r="C266" s="4" t="str">
        <f>IFERROR(INDEX(样本到样信息汇总统计!C$2:C$500,MATCH(265,样本到样信息汇总统计!$X$2:$X$500,0)),"")</f>
        <v/>
      </c>
      <c r="D266" s="4" t="str">
        <f>IFERROR(INDEX(样本到样信息汇总统计!D$2:D$500,MATCH(265,样本到样信息汇总统计!$X$2:$X$500,0)),"")</f>
        <v/>
      </c>
      <c r="E266" s="4" t="str">
        <f>IFERROR(INDEX(样本到样信息汇总统计!E$2:E$500,MATCH(265,样本到样信息汇总统计!$X$2:$X$500,0)),"")</f>
        <v/>
      </c>
      <c r="F266" s="4" t="str">
        <f>IFERROR(INDEX(样本到样信息汇总统计!F$2:F$500,MATCH(265,样本到样信息汇总统计!$X$2:$X$500,0)),"")</f>
        <v/>
      </c>
      <c r="G266" s="4" t="str">
        <f>IFERROR(INDEX(样本到样信息汇总统计!G$2:G$500,MATCH(265,样本到样信息汇总统计!$X$2:$X$500,0)),"")</f>
        <v/>
      </c>
      <c r="H266" s="4" t="str">
        <f>IFERROR(INDEX(样本到样信息汇总统计!H$2:H$500,MATCH(265,样本到样信息汇总统计!$X$2:$X$500,0)),"")</f>
        <v/>
      </c>
      <c r="I266" s="4" t="str">
        <f>IFERROR(INDEX(样本到样信息汇总统计!I$2:I$500,MATCH(265,样本到样信息汇总统计!$X$2:$X$500,0)),"")</f>
        <v/>
      </c>
      <c r="J266" s="4" t="str">
        <f>IFERROR(INDEX(样本到样信息汇总统计!J$2:J$500,MATCH(265,样本到样信息汇总统计!$X$2:$X$500,0)),"")</f>
        <v/>
      </c>
      <c r="K266" s="14" t="str">
        <f>IFERROR(INDEX(样本到样信息汇总统计!K$2:K$500,MATCH(265,样本到样信息汇总统计!$X$2:$X$500,0)),"")</f>
        <v/>
      </c>
      <c r="L266" s="4" t="str">
        <f>IFERROR(INDEX(样本到样信息汇总统计!L$2:L$500,MATCH(265,样本到样信息汇总统计!$X$2:$X$500,0)),"")</f>
        <v/>
      </c>
      <c r="M266" s="4" t="str">
        <f>IFERROR(INDEX(样本到样信息汇总统计!M$2:M$500,MATCH(265,样本到样信息汇总统计!$X$2:$X$500,0)),"")</f>
        <v/>
      </c>
      <c r="N266" s="4" t="str">
        <f>IFERROR(INDEX(样本到样信息汇总统计!N$2:N$500,MATCH(265,样本到样信息汇总统计!$X$2:$X$500,0)),"")</f>
        <v/>
      </c>
      <c r="O266" s="4" t="str">
        <f>IFERROR(INDEX(样本到样信息汇总统计!O$2:O$500,MATCH(265,样本到样信息汇总统计!$X$2:$X$500,0)),"")</f>
        <v/>
      </c>
      <c r="P266" s="4" t="str">
        <f>IFERROR(INDEX(样本到样信息汇总统计!P$2:P$500,MATCH(265,样本到样信息汇总统计!$X$2:$X$500,0)),"")</f>
        <v/>
      </c>
      <c r="Q266" s="4" t="str">
        <f>IFERROR(INDEX(样本到样信息汇总统计!Q$2:Q$500,MATCH(265,样本到样信息汇总统计!$X$2:$X$500,0)),"")</f>
        <v/>
      </c>
      <c r="R266" s="4" t="str">
        <f>IFERROR(INDEX(样本到样信息汇总统计!R$2:R$500,MATCH(265,样本到样信息汇总统计!$X$2:$X$500,0)),"")</f>
        <v/>
      </c>
      <c r="S266" s="4" t="str">
        <f>IFERROR(INDEX(样本到样信息汇总统计!S$2:S$500,MATCH(265,样本到样信息汇总统计!$X$2:$X$500,0)),"")</f>
        <v/>
      </c>
      <c r="T266" s="4" t="str">
        <f>IFERROR(INDEX(样本到样信息汇总统计!T$2:T$500,MATCH(265,样本到样信息汇总统计!$X$2:$X$500,0)),"")</f>
        <v/>
      </c>
      <c r="U266" s="4" t="str">
        <f>IFERROR(INDEX(样本到样信息汇总统计!U$2:U$500,MATCH(265,样本到样信息汇总统计!$X$2:$X$500,0)),"")</f>
        <v/>
      </c>
      <c r="V266" s="4" t="str">
        <f>IFERROR(INDEX(样本到样信息汇总统计!V$2:V$500,MATCH(265,样本到样信息汇总统计!$X$2:$X$500,0)),"")</f>
        <v/>
      </c>
      <c r="W266" s="4" t="str">
        <f>IFERROR(INDEX(样本到样信息汇总统计!W$2:W$500,MATCH(265,样本到样信息汇总统计!$X$2:$X$500,0)),"")</f>
        <v/>
      </c>
    </row>
    <row r="267" ht="14.5" spans="1:23">
      <c r="A267" s="8" t="str">
        <f>IFERROR(INDEX(样本到样信息汇总统计!A$2:A$500,MATCH(266,样本到样信息汇总统计!$X$2:$X$500,0)),"")</f>
        <v/>
      </c>
      <c r="B267" s="8" t="str">
        <f>IFERROR(INDEX(样本到样信息汇总统计!B$2:B$500,MATCH(266,样本到样信息汇总统计!$X$2:$X$500,0)),"")</f>
        <v/>
      </c>
      <c r="C267" s="8" t="str">
        <f>IFERROR(INDEX(样本到样信息汇总统计!C$2:C$500,MATCH(266,样本到样信息汇总统计!$X$2:$X$500,0)),"")</f>
        <v/>
      </c>
      <c r="D267" s="8" t="str">
        <f>IFERROR(INDEX(样本到样信息汇总统计!D$2:D$500,MATCH(266,样本到样信息汇总统计!$X$2:$X$500,0)),"")</f>
        <v/>
      </c>
      <c r="E267" s="8" t="str">
        <f>IFERROR(INDEX(样本到样信息汇总统计!E$2:E$500,MATCH(266,样本到样信息汇总统计!$X$2:$X$500,0)),"")</f>
        <v/>
      </c>
      <c r="F267" s="8" t="str">
        <f>IFERROR(INDEX(样本到样信息汇总统计!F$2:F$500,MATCH(266,样本到样信息汇总统计!$X$2:$X$500,0)),"")</f>
        <v/>
      </c>
      <c r="G267" s="8" t="str">
        <f>IFERROR(INDEX(样本到样信息汇总统计!G$2:G$500,MATCH(266,样本到样信息汇总统计!$X$2:$X$500,0)),"")</f>
        <v/>
      </c>
      <c r="H267" s="8" t="str">
        <f>IFERROR(INDEX(样本到样信息汇总统计!H$2:H$500,MATCH(266,样本到样信息汇总统计!$X$2:$X$500,0)),"")</f>
        <v/>
      </c>
      <c r="I267" s="8" t="str">
        <f>IFERROR(INDEX(样本到样信息汇总统计!I$2:I$500,MATCH(266,样本到样信息汇总统计!$X$2:$X$500,0)),"")</f>
        <v/>
      </c>
      <c r="J267" s="8" t="str">
        <f>IFERROR(INDEX(样本到样信息汇总统计!J$2:J$500,MATCH(266,样本到样信息汇总统计!$X$2:$X$500,0)),"")</f>
        <v/>
      </c>
      <c r="K267" s="15" t="str">
        <f>IFERROR(INDEX(样本到样信息汇总统计!K$2:K$500,MATCH(266,样本到样信息汇总统计!$X$2:$X$500,0)),"")</f>
        <v/>
      </c>
      <c r="L267" s="8" t="str">
        <f>IFERROR(INDEX(样本到样信息汇总统计!L$2:L$500,MATCH(266,样本到样信息汇总统计!$X$2:$X$500,0)),"")</f>
        <v/>
      </c>
      <c r="M267" s="8" t="str">
        <f>IFERROR(INDEX(样本到样信息汇总统计!M$2:M$500,MATCH(266,样本到样信息汇总统计!$X$2:$X$500,0)),"")</f>
        <v/>
      </c>
      <c r="N267" s="8" t="str">
        <f>IFERROR(INDEX(样本到样信息汇总统计!N$2:N$500,MATCH(266,样本到样信息汇总统计!$X$2:$X$500,0)),"")</f>
        <v/>
      </c>
      <c r="O267" s="8" t="str">
        <f>IFERROR(INDEX(样本到样信息汇总统计!O$2:O$500,MATCH(266,样本到样信息汇总统计!$X$2:$X$500,0)),"")</f>
        <v/>
      </c>
      <c r="P267" s="8" t="str">
        <f>IFERROR(INDEX(样本到样信息汇总统计!P$2:P$500,MATCH(266,样本到样信息汇总统计!$X$2:$X$500,0)),"")</f>
        <v/>
      </c>
      <c r="Q267" s="8" t="str">
        <f>IFERROR(INDEX(样本到样信息汇总统计!Q$2:Q$500,MATCH(266,样本到样信息汇总统计!$X$2:$X$500,0)),"")</f>
        <v/>
      </c>
      <c r="R267" s="8" t="str">
        <f>IFERROR(INDEX(样本到样信息汇总统计!R$2:R$500,MATCH(266,样本到样信息汇总统计!$X$2:$X$500,0)),"")</f>
        <v/>
      </c>
      <c r="S267" s="8" t="str">
        <f>IFERROR(INDEX(样本到样信息汇总统计!S$2:S$500,MATCH(266,样本到样信息汇总统计!$X$2:$X$500,0)),"")</f>
        <v/>
      </c>
      <c r="T267" s="8" t="str">
        <f>IFERROR(INDEX(样本到样信息汇总统计!T$2:T$500,MATCH(266,样本到样信息汇总统计!$X$2:$X$500,0)),"")</f>
        <v/>
      </c>
      <c r="U267" s="8" t="str">
        <f>IFERROR(INDEX(样本到样信息汇总统计!U$2:U$500,MATCH(266,样本到样信息汇总统计!$X$2:$X$500,0)),"")</f>
        <v/>
      </c>
      <c r="V267" s="8" t="str">
        <f>IFERROR(INDEX(样本到样信息汇总统计!V$2:V$500,MATCH(266,样本到样信息汇总统计!$X$2:$X$500,0)),"")</f>
        <v/>
      </c>
      <c r="W267" s="8" t="str">
        <f>IFERROR(INDEX(样本到样信息汇总统计!W$2:W$500,MATCH(266,样本到样信息汇总统计!$X$2:$X$500,0)),"")</f>
        <v/>
      </c>
    </row>
    <row r="268" ht="14.5" spans="1:23">
      <c r="A268" s="4" t="str">
        <f>IFERROR(INDEX(样本到样信息汇总统计!A$2:A$500,MATCH(267,样本到样信息汇总统计!$X$2:$X$500,0)),"")</f>
        <v/>
      </c>
      <c r="B268" s="4" t="str">
        <f>IFERROR(INDEX(样本到样信息汇总统计!B$2:B$500,MATCH(267,样本到样信息汇总统计!$X$2:$X$500,0)),"")</f>
        <v/>
      </c>
      <c r="C268" s="4" t="str">
        <f>IFERROR(INDEX(样本到样信息汇总统计!C$2:C$500,MATCH(267,样本到样信息汇总统计!$X$2:$X$500,0)),"")</f>
        <v/>
      </c>
      <c r="D268" s="4" t="str">
        <f>IFERROR(INDEX(样本到样信息汇总统计!D$2:D$500,MATCH(267,样本到样信息汇总统计!$X$2:$X$500,0)),"")</f>
        <v/>
      </c>
      <c r="E268" s="4" t="str">
        <f>IFERROR(INDEX(样本到样信息汇总统计!E$2:E$500,MATCH(267,样本到样信息汇总统计!$X$2:$X$500,0)),"")</f>
        <v/>
      </c>
      <c r="F268" s="4" t="str">
        <f>IFERROR(INDEX(样本到样信息汇总统计!F$2:F$500,MATCH(267,样本到样信息汇总统计!$X$2:$X$500,0)),"")</f>
        <v/>
      </c>
      <c r="G268" s="4" t="str">
        <f>IFERROR(INDEX(样本到样信息汇总统计!G$2:G$500,MATCH(267,样本到样信息汇总统计!$X$2:$X$500,0)),"")</f>
        <v/>
      </c>
      <c r="H268" s="4" t="str">
        <f>IFERROR(INDEX(样本到样信息汇总统计!H$2:H$500,MATCH(267,样本到样信息汇总统计!$X$2:$X$500,0)),"")</f>
        <v/>
      </c>
      <c r="I268" s="4" t="str">
        <f>IFERROR(INDEX(样本到样信息汇总统计!I$2:I$500,MATCH(267,样本到样信息汇总统计!$X$2:$X$500,0)),"")</f>
        <v/>
      </c>
      <c r="J268" s="4" t="str">
        <f>IFERROR(INDEX(样本到样信息汇总统计!J$2:J$500,MATCH(267,样本到样信息汇总统计!$X$2:$X$500,0)),"")</f>
        <v/>
      </c>
      <c r="K268" s="14" t="str">
        <f>IFERROR(INDEX(样本到样信息汇总统计!K$2:K$500,MATCH(267,样本到样信息汇总统计!$X$2:$X$500,0)),"")</f>
        <v/>
      </c>
      <c r="L268" s="4" t="str">
        <f>IFERROR(INDEX(样本到样信息汇总统计!L$2:L$500,MATCH(267,样本到样信息汇总统计!$X$2:$X$500,0)),"")</f>
        <v/>
      </c>
      <c r="M268" s="4" t="str">
        <f>IFERROR(INDEX(样本到样信息汇总统计!M$2:M$500,MATCH(267,样本到样信息汇总统计!$X$2:$X$500,0)),"")</f>
        <v/>
      </c>
      <c r="N268" s="4" t="str">
        <f>IFERROR(INDEX(样本到样信息汇总统计!N$2:N$500,MATCH(267,样本到样信息汇总统计!$X$2:$X$500,0)),"")</f>
        <v/>
      </c>
      <c r="O268" s="4" t="str">
        <f>IFERROR(INDEX(样本到样信息汇总统计!O$2:O$500,MATCH(267,样本到样信息汇总统计!$X$2:$X$500,0)),"")</f>
        <v/>
      </c>
      <c r="P268" s="4" t="str">
        <f>IFERROR(INDEX(样本到样信息汇总统计!P$2:P$500,MATCH(267,样本到样信息汇总统计!$X$2:$X$500,0)),"")</f>
        <v/>
      </c>
      <c r="Q268" s="4" t="str">
        <f>IFERROR(INDEX(样本到样信息汇总统计!Q$2:Q$500,MATCH(267,样本到样信息汇总统计!$X$2:$X$500,0)),"")</f>
        <v/>
      </c>
      <c r="R268" s="4" t="str">
        <f>IFERROR(INDEX(样本到样信息汇总统计!R$2:R$500,MATCH(267,样本到样信息汇总统计!$X$2:$X$500,0)),"")</f>
        <v/>
      </c>
      <c r="S268" s="4" t="str">
        <f>IFERROR(INDEX(样本到样信息汇总统计!S$2:S$500,MATCH(267,样本到样信息汇总统计!$X$2:$X$500,0)),"")</f>
        <v/>
      </c>
      <c r="T268" s="4" t="str">
        <f>IFERROR(INDEX(样本到样信息汇总统计!T$2:T$500,MATCH(267,样本到样信息汇总统计!$X$2:$X$500,0)),"")</f>
        <v/>
      </c>
      <c r="U268" s="4" t="str">
        <f>IFERROR(INDEX(样本到样信息汇总统计!U$2:U$500,MATCH(267,样本到样信息汇总统计!$X$2:$X$500,0)),"")</f>
        <v/>
      </c>
      <c r="V268" s="4" t="str">
        <f>IFERROR(INDEX(样本到样信息汇总统计!V$2:V$500,MATCH(267,样本到样信息汇总统计!$X$2:$X$500,0)),"")</f>
        <v/>
      </c>
      <c r="W268" s="4" t="str">
        <f>IFERROR(INDEX(样本到样信息汇总统计!W$2:W$500,MATCH(267,样本到样信息汇总统计!$X$2:$X$500,0)),"")</f>
        <v/>
      </c>
    </row>
    <row r="269" ht="14.5" spans="1:23">
      <c r="A269" s="8" t="str">
        <f>IFERROR(INDEX(样本到样信息汇总统计!A$2:A$500,MATCH(268,样本到样信息汇总统计!$X$2:$X$500,0)),"")</f>
        <v/>
      </c>
      <c r="B269" s="8" t="str">
        <f>IFERROR(INDEX(样本到样信息汇总统计!B$2:B$500,MATCH(268,样本到样信息汇总统计!$X$2:$X$500,0)),"")</f>
        <v/>
      </c>
      <c r="C269" s="8" t="str">
        <f>IFERROR(INDEX(样本到样信息汇总统计!C$2:C$500,MATCH(268,样本到样信息汇总统计!$X$2:$X$500,0)),"")</f>
        <v/>
      </c>
      <c r="D269" s="8" t="str">
        <f>IFERROR(INDEX(样本到样信息汇总统计!D$2:D$500,MATCH(268,样本到样信息汇总统计!$X$2:$X$500,0)),"")</f>
        <v/>
      </c>
      <c r="E269" s="8" t="str">
        <f>IFERROR(INDEX(样本到样信息汇总统计!E$2:E$500,MATCH(268,样本到样信息汇总统计!$X$2:$X$500,0)),"")</f>
        <v/>
      </c>
      <c r="F269" s="8" t="str">
        <f>IFERROR(INDEX(样本到样信息汇总统计!F$2:F$500,MATCH(268,样本到样信息汇总统计!$X$2:$X$500,0)),"")</f>
        <v/>
      </c>
      <c r="G269" s="8" t="str">
        <f>IFERROR(INDEX(样本到样信息汇总统计!G$2:G$500,MATCH(268,样本到样信息汇总统计!$X$2:$X$500,0)),"")</f>
        <v/>
      </c>
      <c r="H269" s="8" t="str">
        <f>IFERROR(INDEX(样本到样信息汇总统计!H$2:H$500,MATCH(268,样本到样信息汇总统计!$X$2:$X$500,0)),"")</f>
        <v/>
      </c>
      <c r="I269" s="8" t="str">
        <f>IFERROR(INDEX(样本到样信息汇总统计!I$2:I$500,MATCH(268,样本到样信息汇总统计!$X$2:$X$500,0)),"")</f>
        <v/>
      </c>
      <c r="J269" s="8" t="str">
        <f>IFERROR(INDEX(样本到样信息汇总统计!J$2:J$500,MATCH(268,样本到样信息汇总统计!$X$2:$X$500,0)),"")</f>
        <v/>
      </c>
      <c r="K269" s="15" t="str">
        <f>IFERROR(INDEX(样本到样信息汇总统计!K$2:K$500,MATCH(268,样本到样信息汇总统计!$X$2:$X$500,0)),"")</f>
        <v/>
      </c>
      <c r="L269" s="8" t="str">
        <f>IFERROR(INDEX(样本到样信息汇总统计!L$2:L$500,MATCH(268,样本到样信息汇总统计!$X$2:$X$500,0)),"")</f>
        <v/>
      </c>
      <c r="M269" s="8" t="str">
        <f>IFERROR(INDEX(样本到样信息汇总统计!M$2:M$500,MATCH(268,样本到样信息汇总统计!$X$2:$X$500,0)),"")</f>
        <v/>
      </c>
      <c r="N269" s="8" t="str">
        <f>IFERROR(INDEX(样本到样信息汇总统计!N$2:N$500,MATCH(268,样本到样信息汇总统计!$X$2:$X$500,0)),"")</f>
        <v/>
      </c>
      <c r="O269" s="8" t="str">
        <f>IFERROR(INDEX(样本到样信息汇总统计!O$2:O$500,MATCH(268,样本到样信息汇总统计!$X$2:$X$500,0)),"")</f>
        <v/>
      </c>
      <c r="P269" s="8" t="str">
        <f>IFERROR(INDEX(样本到样信息汇总统计!P$2:P$500,MATCH(268,样本到样信息汇总统计!$X$2:$X$500,0)),"")</f>
        <v/>
      </c>
      <c r="Q269" s="8" t="str">
        <f>IFERROR(INDEX(样本到样信息汇总统计!Q$2:Q$500,MATCH(268,样本到样信息汇总统计!$X$2:$X$500,0)),"")</f>
        <v/>
      </c>
      <c r="R269" s="8" t="str">
        <f>IFERROR(INDEX(样本到样信息汇总统计!R$2:R$500,MATCH(268,样本到样信息汇总统计!$X$2:$X$500,0)),"")</f>
        <v/>
      </c>
      <c r="S269" s="8" t="str">
        <f>IFERROR(INDEX(样本到样信息汇总统计!S$2:S$500,MATCH(268,样本到样信息汇总统计!$X$2:$X$500,0)),"")</f>
        <v/>
      </c>
      <c r="T269" s="8" t="str">
        <f>IFERROR(INDEX(样本到样信息汇总统计!T$2:T$500,MATCH(268,样本到样信息汇总统计!$X$2:$X$500,0)),"")</f>
        <v/>
      </c>
      <c r="U269" s="8" t="str">
        <f>IFERROR(INDEX(样本到样信息汇总统计!U$2:U$500,MATCH(268,样本到样信息汇总统计!$X$2:$X$500,0)),"")</f>
        <v/>
      </c>
      <c r="V269" s="8" t="str">
        <f>IFERROR(INDEX(样本到样信息汇总统计!V$2:V$500,MATCH(268,样本到样信息汇总统计!$X$2:$X$500,0)),"")</f>
        <v/>
      </c>
      <c r="W269" s="8" t="str">
        <f>IFERROR(INDEX(样本到样信息汇总统计!W$2:W$500,MATCH(268,样本到样信息汇总统计!$X$2:$X$500,0)),"")</f>
        <v/>
      </c>
    </row>
    <row r="270" ht="14.5" spans="1:23">
      <c r="A270" s="4" t="str">
        <f>IFERROR(INDEX(样本到样信息汇总统计!A$2:A$500,MATCH(269,样本到样信息汇总统计!$X$2:$X$500,0)),"")</f>
        <v/>
      </c>
      <c r="B270" s="4" t="str">
        <f>IFERROR(INDEX(样本到样信息汇总统计!B$2:B$500,MATCH(269,样本到样信息汇总统计!$X$2:$X$500,0)),"")</f>
        <v/>
      </c>
      <c r="C270" s="4" t="str">
        <f>IFERROR(INDEX(样本到样信息汇总统计!C$2:C$500,MATCH(269,样本到样信息汇总统计!$X$2:$X$500,0)),"")</f>
        <v/>
      </c>
      <c r="D270" s="4" t="str">
        <f>IFERROR(INDEX(样本到样信息汇总统计!D$2:D$500,MATCH(269,样本到样信息汇总统计!$X$2:$X$500,0)),"")</f>
        <v/>
      </c>
      <c r="E270" s="4" t="str">
        <f>IFERROR(INDEX(样本到样信息汇总统计!E$2:E$500,MATCH(269,样本到样信息汇总统计!$X$2:$X$500,0)),"")</f>
        <v/>
      </c>
      <c r="F270" s="4" t="str">
        <f>IFERROR(INDEX(样本到样信息汇总统计!F$2:F$500,MATCH(269,样本到样信息汇总统计!$X$2:$X$500,0)),"")</f>
        <v/>
      </c>
      <c r="G270" s="4" t="str">
        <f>IFERROR(INDEX(样本到样信息汇总统计!G$2:G$500,MATCH(269,样本到样信息汇总统计!$X$2:$X$500,0)),"")</f>
        <v/>
      </c>
      <c r="H270" s="4" t="str">
        <f>IFERROR(INDEX(样本到样信息汇总统计!H$2:H$500,MATCH(269,样本到样信息汇总统计!$X$2:$X$500,0)),"")</f>
        <v/>
      </c>
      <c r="I270" s="4" t="str">
        <f>IFERROR(INDEX(样本到样信息汇总统计!I$2:I$500,MATCH(269,样本到样信息汇总统计!$X$2:$X$500,0)),"")</f>
        <v/>
      </c>
      <c r="J270" s="4" t="str">
        <f>IFERROR(INDEX(样本到样信息汇总统计!J$2:J$500,MATCH(269,样本到样信息汇总统计!$X$2:$X$500,0)),"")</f>
        <v/>
      </c>
      <c r="K270" s="14" t="str">
        <f>IFERROR(INDEX(样本到样信息汇总统计!K$2:K$500,MATCH(269,样本到样信息汇总统计!$X$2:$X$500,0)),"")</f>
        <v/>
      </c>
      <c r="L270" s="4" t="str">
        <f>IFERROR(INDEX(样本到样信息汇总统计!L$2:L$500,MATCH(269,样本到样信息汇总统计!$X$2:$X$500,0)),"")</f>
        <v/>
      </c>
      <c r="M270" s="4" t="str">
        <f>IFERROR(INDEX(样本到样信息汇总统计!M$2:M$500,MATCH(269,样本到样信息汇总统计!$X$2:$X$500,0)),"")</f>
        <v/>
      </c>
      <c r="N270" s="4" t="str">
        <f>IFERROR(INDEX(样本到样信息汇总统计!N$2:N$500,MATCH(269,样本到样信息汇总统计!$X$2:$X$500,0)),"")</f>
        <v/>
      </c>
      <c r="O270" s="4" t="str">
        <f>IFERROR(INDEX(样本到样信息汇总统计!O$2:O$500,MATCH(269,样本到样信息汇总统计!$X$2:$X$500,0)),"")</f>
        <v/>
      </c>
      <c r="P270" s="4" t="str">
        <f>IFERROR(INDEX(样本到样信息汇总统计!P$2:P$500,MATCH(269,样本到样信息汇总统计!$X$2:$X$500,0)),"")</f>
        <v/>
      </c>
      <c r="Q270" s="4" t="str">
        <f>IFERROR(INDEX(样本到样信息汇总统计!Q$2:Q$500,MATCH(269,样本到样信息汇总统计!$X$2:$X$500,0)),"")</f>
        <v/>
      </c>
      <c r="R270" s="4" t="str">
        <f>IFERROR(INDEX(样本到样信息汇总统计!R$2:R$500,MATCH(269,样本到样信息汇总统计!$X$2:$X$500,0)),"")</f>
        <v/>
      </c>
      <c r="S270" s="4" t="str">
        <f>IFERROR(INDEX(样本到样信息汇总统计!S$2:S$500,MATCH(269,样本到样信息汇总统计!$X$2:$X$500,0)),"")</f>
        <v/>
      </c>
      <c r="T270" s="4" t="str">
        <f>IFERROR(INDEX(样本到样信息汇总统计!T$2:T$500,MATCH(269,样本到样信息汇总统计!$X$2:$X$500,0)),"")</f>
        <v/>
      </c>
      <c r="U270" s="4" t="str">
        <f>IFERROR(INDEX(样本到样信息汇总统计!U$2:U$500,MATCH(269,样本到样信息汇总统计!$X$2:$X$500,0)),"")</f>
        <v/>
      </c>
      <c r="V270" s="4" t="str">
        <f>IFERROR(INDEX(样本到样信息汇总统计!V$2:V$500,MATCH(269,样本到样信息汇总统计!$X$2:$X$500,0)),"")</f>
        <v/>
      </c>
      <c r="W270" s="4" t="str">
        <f>IFERROR(INDEX(样本到样信息汇总统计!W$2:W$500,MATCH(269,样本到样信息汇总统计!$X$2:$X$500,0)),"")</f>
        <v/>
      </c>
    </row>
    <row r="271" ht="14.5" spans="1:23">
      <c r="A271" s="8" t="str">
        <f>IFERROR(INDEX(样本到样信息汇总统计!A$2:A$500,MATCH(270,样本到样信息汇总统计!$X$2:$X$500,0)),"")</f>
        <v/>
      </c>
      <c r="B271" s="8" t="str">
        <f>IFERROR(INDEX(样本到样信息汇总统计!B$2:B$500,MATCH(270,样本到样信息汇总统计!$X$2:$X$500,0)),"")</f>
        <v/>
      </c>
      <c r="C271" s="8" t="str">
        <f>IFERROR(INDEX(样本到样信息汇总统计!C$2:C$500,MATCH(270,样本到样信息汇总统计!$X$2:$X$500,0)),"")</f>
        <v/>
      </c>
      <c r="D271" s="8" t="str">
        <f>IFERROR(INDEX(样本到样信息汇总统计!D$2:D$500,MATCH(270,样本到样信息汇总统计!$X$2:$X$500,0)),"")</f>
        <v/>
      </c>
      <c r="E271" s="8" t="str">
        <f>IFERROR(INDEX(样本到样信息汇总统计!E$2:E$500,MATCH(270,样本到样信息汇总统计!$X$2:$X$500,0)),"")</f>
        <v/>
      </c>
      <c r="F271" s="8" t="str">
        <f>IFERROR(INDEX(样本到样信息汇总统计!F$2:F$500,MATCH(270,样本到样信息汇总统计!$X$2:$X$500,0)),"")</f>
        <v/>
      </c>
      <c r="G271" s="8" t="str">
        <f>IFERROR(INDEX(样本到样信息汇总统计!G$2:G$500,MATCH(270,样本到样信息汇总统计!$X$2:$X$500,0)),"")</f>
        <v/>
      </c>
      <c r="H271" s="8" t="str">
        <f>IFERROR(INDEX(样本到样信息汇总统计!H$2:H$500,MATCH(270,样本到样信息汇总统计!$X$2:$X$500,0)),"")</f>
        <v/>
      </c>
      <c r="I271" s="8" t="str">
        <f>IFERROR(INDEX(样本到样信息汇总统计!I$2:I$500,MATCH(270,样本到样信息汇总统计!$X$2:$X$500,0)),"")</f>
        <v/>
      </c>
      <c r="J271" s="8" t="str">
        <f>IFERROR(INDEX(样本到样信息汇总统计!J$2:J$500,MATCH(270,样本到样信息汇总统计!$X$2:$X$500,0)),"")</f>
        <v/>
      </c>
      <c r="K271" s="15" t="str">
        <f>IFERROR(INDEX(样本到样信息汇总统计!K$2:K$500,MATCH(270,样本到样信息汇总统计!$X$2:$X$500,0)),"")</f>
        <v/>
      </c>
      <c r="L271" s="8" t="str">
        <f>IFERROR(INDEX(样本到样信息汇总统计!L$2:L$500,MATCH(270,样本到样信息汇总统计!$X$2:$X$500,0)),"")</f>
        <v/>
      </c>
      <c r="M271" s="8" t="str">
        <f>IFERROR(INDEX(样本到样信息汇总统计!M$2:M$500,MATCH(270,样本到样信息汇总统计!$X$2:$X$500,0)),"")</f>
        <v/>
      </c>
      <c r="N271" s="8" t="str">
        <f>IFERROR(INDEX(样本到样信息汇总统计!N$2:N$500,MATCH(270,样本到样信息汇总统计!$X$2:$X$500,0)),"")</f>
        <v/>
      </c>
      <c r="O271" s="8" t="str">
        <f>IFERROR(INDEX(样本到样信息汇总统计!O$2:O$500,MATCH(270,样本到样信息汇总统计!$X$2:$X$500,0)),"")</f>
        <v/>
      </c>
      <c r="P271" s="8" t="str">
        <f>IFERROR(INDEX(样本到样信息汇总统计!P$2:P$500,MATCH(270,样本到样信息汇总统计!$X$2:$X$500,0)),"")</f>
        <v/>
      </c>
      <c r="Q271" s="8" t="str">
        <f>IFERROR(INDEX(样本到样信息汇总统计!Q$2:Q$500,MATCH(270,样本到样信息汇总统计!$X$2:$X$500,0)),"")</f>
        <v/>
      </c>
      <c r="R271" s="8" t="str">
        <f>IFERROR(INDEX(样本到样信息汇总统计!R$2:R$500,MATCH(270,样本到样信息汇总统计!$X$2:$X$500,0)),"")</f>
        <v/>
      </c>
      <c r="S271" s="8" t="str">
        <f>IFERROR(INDEX(样本到样信息汇总统计!S$2:S$500,MATCH(270,样本到样信息汇总统计!$X$2:$X$500,0)),"")</f>
        <v/>
      </c>
      <c r="T271" s="8" t="str">
        <f>IFERROR(INDEX(样本到样信息汇总统计!T$2:T$500,MATCH(270,样本到样信息汇总统计!$X$2:$X$500,0)),"")</f>
        <v/>
      </c>
      <c r="U271" s="8" t="str">
        <f>IFERROR(INDEX(样本到样信息汇总统计!U$2:U$500,MATCH(270,样本到样信息汇总统计!$X$2:$X$500,0)),"")</f>
        <v/>
      </c>
      <c r="V271" s="8" t="str">
        <f>IFERROR(INDEX(样本到样信息汇总统计!V$2:V$500,MATCH(270,样本到样信息汇总统计!$X$2:$X$500,0)),"")</f>
        <v/>
      </c>
      <c r="W271" s="8" t="str">
        <f>IFERROR(INDEX(样本到样信息汇总统计!W$2:W$500,MATCH(270,样本到样信息汇总统计!$X$2:$X$500,0)),"")</f>
        <v/>
      </c>
    </row>
    <row r="272" ht="14.5" spans="1:23">
      <c r="A272" s="4" t="str">
        <f>IFERROR(INDEX(样本到样信息汇总统计!A$2:A$500,MATCH(271,样本到样信息汇总统计!$X$2:$X$500,0)),"")</f>
        <v/>
      </c>
      <c r="B272" s="4" t="str">
        <f>IFERROR(INDEX(样本到样信息汇总统计!B$2:B$500,MATCH(271,样本到样信息汇总统计!$X$2:$X$500,0)),"")</f>
        <v/>
      </c>
      <c r="C272" s="4" t="str">
        <f>IFERROR(INDEX(样本到样信息汇总统计!C$2:C$500,MATCH(271,样本到样信息汇总统计!$X$2:$X$500,0)),"")</f>
        <v/>
      </c>
      <c r="D272" s="4" t="str">
        <f>IFERROR(INDEX(样本到样信息汇总统计!D$2:D$500,MATCH(271,样本到样信息汇总统计!$X$2:$X$500,0)),"")</f>
        <v/>
      </c>
      <c r="E272" s="4" t="str">
        <f>IFERROR(INDEX(样本到样信息汇总统计!E$2:E$500,MATCH(271,样本到样信息汇总统计!$X$2:$X$500,0)),"")</f>
        <v/>
      </c>
      <c r="F272" s="4" t="str">
        <f>IFERROR(INDEX(样本到样信息汇总统计!F$2:F$500,MATCH(271,样本到样信息汇总统计!$X$2:$X$500,0)),"")</f>
        <v/>
      </c>
      <c r="G272" s="4" t="str">
        <f>IFERROR(INDEX(样本到样信息汇总统计!G$2:G$500,MATCH(271,样本到样信息汇总统计!$X$2:$X$500,0)),"")</f>
        <v/>
      </c>
      <c r="H272" s="4" t="str">
        <f>IFERROR(INDEX(样本到样信息汇总统计!H$2:H$500,MATCH(271,样本到样信息汇总统计!$X$2:$X$500,0)),"")</f>
        <v/>
      </c>
      <c r="I272" s="4" t="str">
        <f>IFERROR(INDEX(样本到样信息汇总统计!I$2:I$500,MATCH(271,样本到样信息汇总统计!$X$2:$X$500,0)),"")</f>
        <v/>
      </c>
      <c r="J272" s="4" t="str">
        <f>IFERROR(INDEX(样本到样信息汇总统计!J$2:J$500,MATCH(271,样本到样信息汇总统计!$X$2:$X$500,0)),"")</f>
        <v/>
      </c>
      <c r="K272" s="14" t="str">
        <f>IFERROR(INDEX(样本到样信息汇总统计!K$2:K$500,MATCH(271,样本到样信息汇总统计!$X$2:$X$500,0)),"")</f>
        <v/>
      </c>
      <c r="L272" s="4" t="str">
        <f>IFERROR(INDEX(样本到样信息汇总统计!L$2:L$500,MATCH(271,样本到样信息汇总统计!$X$2:$X$500,0)),"")</f>
        <v/>
      </c>
      <c r="M272" s="4" t="str">
        <f>IFERROR(INDEX(样本到样信息汇总统计!M$2:M$500,MATCH(271,样本到样信息汇总统计!$X$2:$X$500,0)),"")</f>
        <v/>
      </c>
      <c r="N272" s="4" t="str">
        <f>IFERROR(INDEX(样本到样信息汇总统计!N$2:N$500,MATCH(271,样本到样信息汇总统计!$X$2:$X$500,0)),"")</f>
        <v/>
      </c>
      <c r="O272" s="4" t="str">
        <f>IFERROR(INDEX(样本到样信息汇总统计!O$2:O$500,MATCH(271,样本到样信息汇总统计!$X$2:$X$500,0)),"")</f>
        <v/>
      </c>
      <c r="P272" s="4" t="str">
        <f>IFERROR(INDEX(样本到样信息汇总统计!P$2:P$500,MATCH(271,样本到样信息汇总统计!$X$2:$X$500,0)),"")</f>
        <v/>
      </c>
      <c r="Q272" s="4" t="str">
        <f>IFERROR(INDEX(样本到样信息汇总统计!Q$2:Q$500,MATCH(271,样本到样信息汇总统计!$X$2:$X$500,0)),"")</f>
        <v/>
      </c>
      <c r="R272" s="4" t="str">
        <f>IFERROR(INDEX(样本到样信息汇总统计!R$2:R$500,MATCH(271,样本到样信息汇总统计!$X$2:$X$500,0)),"")</f>
        <v/>
      </c>
      <c r="S272" s="4" t="str">
        <f>IFERROR(INDEX(样本到样信息汇总统计!S$2:S$500,MATCH(271,样本到样信息汇总统计!$X$2:$X$500,0)),"")</f>
        <v/>
      </c>
      <c r="T272" s="4" t="str">
        <f>IFERROR(INDEX(样本到样信息汇总统计!T$2:T$500,MATCH(271,样本到样信息汇总统计!$X$2:$X$500,0)),"")</f>
        <v/>
      </c>
      <c r="U272" s="4" t="str">
        <f>IFERROR(INDEX(样本到样信息汇总统计!U$2:U$500,MATCH(271,样本到样信息汇总统计!$X$2:$X$500,0)),"")</f>
        <v/>
      </c>
      <c r="V272" s="4" t="str">
        <f>IFERROR(INDEX(样本到样信息汇总统计!V$2:V$500,MATCH(271,样本到样信息汇总统计!$X$2:$X$500,0)),"")</f>
        <v/>
      </c>
      <c r="W272" s="4" t="str">
        <f>IFERROR(INDEX(样本到样信息汇总统计!W$2:W$500,MATCH(271,样本到样信息汇总统计!$X$2:$X$500,0)),"")</f>
        <v/>
      </c>
    </row>
    <row r="273" ht="14.5" spans="1:23">
      <c r="A273" s="8" t="str">
        <f>IFERROR(INDEX(样本到样信息汇总统计!A$2:A$500,MATCH(272,样本到样信息汇总统计!$X$2:$X$500,0)),"")</f>
        <v/>
      </c>
      <c r="B273" s="8" t="str">
        <f>IFERROR(INDEX(样本到样信息汇总统计!B$2:B$500,MATCH(272,样本到样信息汇总统计!$X$2:$X$500,0)),"")</f>
        <v/>
      </c>
      <c r="C273" s="8" t="str">
        <f>IFERROR(INDEX(样本到样信息汇总统计!C$2:C$500,MATCH(272,样本到样信息汇总统计!$X$2:$X$500,0)),"")</f>
        <v/>
      </c>
      <c r="D273" s="8" t="str">
        <f>IFERROR(INDEX(样本到样信息汇总统计!D$2:D$500,MATCH(272,样本到样信息汇总统计!$X$2:$X$500,0)),"")</f>
        <v/>
      </c>
      <c r="E273" s="8" t="str">
        <f>IFERROR(INDEX(样本到样信息汇总统计!E$2:E$500,MATCH(272,样本到样信息汇总统计!$X$2:$X$500,0)),"")</f>
        <v/>
      </c>
      <c r="F273" s="8" t="str">
        <f>IFERROR(INDEX(样本到样信息汇总统计!F$2:F$500,MATCH(272,样本到样信息汇总统计!$X$2:$X$500,0)),"")</f>
        <v/>
      </c>
      <c r="G273" s="8" t="str">
        <f>IFERROR(INDEX(样本到样信息汇总统计!G$2:G$500,MATCH(272,样本到样信息汇总统计!$X$2:$X$500,0)),"")</f>
        <v/>
      </c>
      <c r="H273" s="8" t="str">
        <f>IFERROR(INDEX(样本到样信息汇总统计!H$2:H$500,MATCH(272,样本到样信息汇总统计!$X$2:$X$500,0)),"")</f>
        <v/>
      </c>
      <c r="I273" s="8" t="str">
        <f>IFERROR(INDEX(样本到样信息汇总统计!I$2:I$500,MATCH(272,样本到样信息汇总统计!$X$2:$X$500,0)),"")</f>
        <v/>
      </c>
      <c r="J273" s="8" t="str">
        <f>IFERROR(INDEX(样本到样信息汇总统计!J$2:J$500,MATCH(272,样本到样信息汇总统计!$X$2:$X$500,0)),"")</f>
        <v/>
      </c>
      <c r="K273" s="15" t="str">
        <f>IFERROR(INDEX(样本到样信息汇总统计!K$2:K$500,MATCH(272,样本到样信息汇总统计!$X$2:$X$500,0)),"")</f>
        <v/>
      </c>
      <c r="L273" s="8" t="str">
        <f>IFERROR(INDEX(样本到样信息汇总统计!L$2:L$500,MATCH(272,样本到样信息汇总统计!$X$2:$X$500,0)),"")</f>
        <v/>
      </c>
      <c r="M273" s="8" t="str">
        <f>IFERROR(INDEX(样本到样信息汇总统计!M$2:M$500,MATCH(272,样本到样信息汇总统计!$X$2:$X$500,0)),"")</f>
        <v/>
      </c>
      <c r="N273" s="8" t="str">
        <f>IFERROR(INDEX(样本到样信息汇总统计!N$2:N$500,MATCH(272,样本到样信息汇总统计!$X$2:$X$500,0)),"")</f>
        <v/>
      </c>
      <c r="O273" s="8" t="str">
        <f>IFERROR(INDEX(样本到样信息汇总统计!O$2:O$500,MATCH(272,样本到样信息汇总统计!$X$2:$X$500,0)),"")</f>
        <v/>
      </c>
      <c r="P273" s="8" t="str">
        <f>IFERROR(INDEX(样本到样信息汇总统计!P$2:P$500,MATCH(272,样本到样信息汇总统计!$X$2:$X$500,0)),"")</f>
        <v/>
      </c>
      <c r="Q273" s="8" t="str">
        <f>IFERROR(INDEX(样本到样信息汇总统计!Q$2:Q$500,MATCH(272,样本到样信息汇总统计!$X$2:$X$500,0)),"")</f>
        <v/>
      </c>
      <c r="R273" s="8" t="str">
        <f>IFERROR(INDEX(样本到样信息汇总统计!R$2:R$500,MATCH(272,样本到样信息汇总统计!$X$2:$X$500,0)),"")</f>
        <v/>
      </c>
      <c r="S273" s="8" t="str">
        <f>IFERROR(INDEX(样本到样信息汇总统计!S$2:S$500,MATCH(272,样本到样信息汇总统计!$X$2:$X$500,0)),"")</f>
        <v/>
      </c>
      <c r="T273" s="8" t="str">
        <f>IFERROR(INDEX(样本到样信息汇总统计!T$2:T$500,MATCH(272,样本到样信息汇总统计!$X$2:$X$500,0)),"")</f>
        <v/>
      </c>
      <c r="U273" s="8" t="str">
        <f>IFERROR(INDEX(样本到样信息汇总统计!U$2:U$500,MATCH(272,样本到样信息汇总统计!$X$2:$X$500,0)),"")</f>
        <v/>
      </c>
      <c r="V273" s="8" t="str">
        <f>IFERROR(INDEX(样本到样信息汇总统计!V$2:V$500,MATCH(272,样本到样信息汇总统计!$X$2:$X$500,0)),"")</f>
        <v/>
      </c>
      <c r="W273" s="8" t="str">
        <f>IFERROR(INDEX(样本到样信息汇总统计!W$2:W$500,MATCH(272,样本到样信息汇总统计!$X$2:$X$500,0)),"")</f>
        <v/>
      </c>
    </row>
    <row r="274" ht="14.5" spans="1:23">
      <c r="A274" s="4" t="str">
        <f>IFERROR(INDEX(样本到样信息汇总统计!A$2:A$500,MATCH(273,样本到样信息汇总统计!$X$2:$X$500,0)),"")</f>
        <v/>
      </c>
      <c r="B274" s="4" t="str">
        <f>IFERROR(INDEX(样本到样信息汇总统计!B$2:B$500,MATCH(273,样本到样信息汇总统计!$X$2:$X$500,0)),"")</f>
        <v/>
      </c>
      <c r="C274" s="4" t="str">
        <f>IFERROR(INDEX(样本到样信息汇总统计!C$2:C$500,MATCH(273,样本到样信息汇总统计!$X$2:$X$500,0)),"")</f>
        <v/>
      </c>
      <c r="D274" s="4" t="str">
        <f>IFERROR(INDEX(样本到样信息汇总统计!D$2:D$500,MATCH(273,样本到样信息汇总统计!$X$2:$X$500,0)),"")</f>
        <v/>
      </c>
      <c r="E274" s="4" t="str">
        <f>IFERROR(INDEX(样本到样信息汇总统计!E$2:E$500,MATCH(273,样本到样信息汇总统计!$X$2:$X$500,0)),"")</f>
        <v/>
      </c>
      <c r="F274" s="4" t="str">
        <f>IFERROR(INDEX(样本到样信息汇总统计!F$2:F$500,MATCH(273,样本到样信息汇总统计!$X$2:$X$500,0)),"")</f>
        <v/>
      </c>
      <c r="G274" s="4" t="str">
        <f>IFERROR(INDEX(样本到样信息汇总统计!G$2:G$500,MATCH(273,样本到样信息汇总统计!$X$2:$X$500,0)),"")</f>
        <v/>
      </c>
      <c r="H274" s="4" t="str">
        <f>IFERROR(INDEX(样本到样信息汇总统计!H$2:H$500,MATCH(273,样本到样信息汇总统计!$X$2:$X$500,0)),"")</f>
        <v/>
      </c>
      <c r="I274" s="4" t="str">
        <f>IFERROR(INDEX(样本到样信息汇总统计!I$2:I$500,MATCH(273,样本到样信息汇总统计!$X$2:$X$500,0)),"")</f>
        <v/>
      </c>
      <c r="J274" s="4" t="str">
        <f>IFERROR(INDEX(样本到样信息汇总统计!J$2:J$500,MATCH(273,样本到样信息汇总统计!$X$2:$X$500,0)),"")</f>
        <v/>
      </c>
      <c r="K274" s="14" t="str">
        <f>IFERROR(INDEX(样本到样信息汇总统计!K$2:K$500,MATCH(273,样本到样信息汇总统计!$X$2:$X$500,0)),"")</f>
        <v/>
      </c>
      <c r="L274" s="4" t="str">
        <f>IFERROR(INDEX(样本到样信息汇总统计!L$2:L$500,MATCH(273,样本到样信息汇总统计!$X$2:$X$500,0)),"")</f>
        <v/>
      </c>
      <c r="M274" s="4" t="str">
        <f>IFERROR(INDEX(样本到样信息汇总统计!M$2:M$500,MATCH(273,样本到样信息汇总统计!$X$2:$X$500,0)),"")</f>
        <v/>
      </c>
      <c r="N274" s="4" t="str">
        <f>IFERROR(INDEX(样本到样信息汇总统计!N$2:N$500,MATCH(273,样本到样信息汇总统计!$X$2:$X$500,0)),"")</f>
        <v/>
      </c>
      <c r="O274" s="4" t="str">
        <f>IFERROR(INDEX(样本到样信息汇总统计!O$2:O$500,MATCH(273,样本到样信息汇总统计!$X$2:$X$500,0)),"")</f>
        <v/>
      </c>
      <c r="P274" s="4" t="str">
        <f>IFERROR(INDEX(样本到样信息汇总统计!P$2:P$500,MATCH(273,样本到样信息汇总统计!$X$2:$X$500,0)),"")</f>
        <v/>
      </c>
      <c r="Q274" s="4" t="str">
        <f>IFERROR(INDEX(样本到样信息汇总统计!Q$2:Q$500,MATCH(273,样本到样信息汇总统计!$X$2:$X$500,0)),"")</f>
        <v/>
      </c>
      <c r="R274" s="4" t="str">
        <f>IFERROR(INDEX(样本到样信息汇总统计!R$2:R$500,MATCH(273,样本到样信息汇总统计!$X$2:$X$500,0)),"")</f>
        <v/>
      </c>
      <c r="S274" s="4" t="str">
        <f>IFERROR(INDEX(样本到样信息汇总统计!S$2:S$500,MATCH(273,样本到样信息汇总统计!$X$2:$X$500,0)),"")</f>
        <v/>
      </c>
      <c r="T274" s="4" t="str">
        <f>IFERROR(INDEX(样本到样信息汇总统计!T$2:T$500,MATCH(273,样本到样信息汇总统计!$X$2:$X$500,0)),"")</f>
        <v/>
      </c>
      <c r="U274" s="4" t="str">
        <f>IFERROR(INDEX(样本到样信息汇总统计!U$2:U$500,MATCH(273,样本到样信息汇总统计!$X$2:$X$500,0)),"")</f>
        <v/>
      </c>
      <c r="V274" s="4" t="str">
        <f>IFERROR(INDEX(样本到样信息汇总统计!V$2:V$500,MATCH(273,样本到样信息汇总统计!$X$2:$X$500,0)),"")</f>
        <v/>
      </c>
      <c r="W274" s="4" t="str">
        <f>IFERROR(INDEX(样本到样信息汇总统计!W$2:W$500,MATCH(273,样本到样信息汇总统计!$X$2:$X$500,0)),"")</f>
        <v/>
      </c>
    </row>
    <row r="275" ht="14.5" spans="1:23">
      <c r="A275" s="8" t="str">
        <f>IFERROR(INDEX(样本到样信息汇总统计!A$2:A$500,MATCH(274,样本到样信息汇总统计!$X$2:$X$500,0)),"")</f>
        <v/>
      </c>
      <c r="B275" s="8" t="str">
        <f>IFERROR(INDEX(样本到样信息汇总统计!B$2:B$500,MATCH(274,样本到样信息汇总统计!$X$2:$X$500,0)),"")</f>
        <v/>
      </c>
      <c r="C275" s="8" t="str">
        <f>IFERROR(INDEX(样本到样信息汇总统计!C$2:C$500,MATCH(274,样本到样信息汇总统计!$X$2:$X$500,0)),"")</f>
        <v/>
      </c>
      <c r="D275" s="8" t="str">
        <f>IFERROR(INDEX(样本到样信息汇总统计!D$2:D$500,MATCH(274,样本到样信息汇总统计!$X$2:$X$500,0)),"")</f>
        <v/>
      </c>
      <c r="E275" s="8" t="str">
        <f>IFERROR(INDEX(样本到样信息汇总统计!E$2:E$500,MATCH(274,样本到样信息汇总统计!$X$2:$X$500,0)),"")</f>
        <v/>
      </c>
      <c r="F275" s="8" t="str">
        <f>IFERROR(INDEX(样本到样信息汇总统计!F$2:F$500,MATCH(274,样本到样信息汇总统计!$X$2:$X$500,0)),"")</f>
        <v/>
      </c>
      <c r="G275" s="8" t="str">
        <f>IFERROR(INDEX(样本到样信息汇总统计!G$2:G$500,MATCH(274,样本到样信息汇总统计!$X$2:$X$500,0)),"")</f>
        <v/>
      </c>
      <c r="H275" s="8" t="str">
        <f>IFERROR(INDEX(样本到样信息汇总统计!H$2:H$500,MATCH(274,样本到样信息汇总统计!$X$2:$X$500,0)),"")</f>
        <v/>
      </c>
      <c r="I275" s="8" t="str">
        <f>IFERROR(INDEX(样本到样信息汇总统计!I$2:I$500,MATCH(274,样本到样信息汇总统计!$X$2:$X$500,0)),"")</f>
        <v/>
      </c>
      <c r="J275" s="8" t="str">
        <f>IFERROR(INDEX(样本到样信息汇总统计!J$2:J$500,MATCH(274,样本到样信息汇总统计!$X$2:$X$500,0)),"")</f>
        <v/>
      </c>
      <c r="K275" s="15" t="str">
        <f>IFERROR(INDEX(样本到样信息汇总统计!K$2:K$500,MATCH(274,样本到样信息汇总统计!$X$2:$X$500,0)),"")</f>
        <v/>
      </c>
      <c r="L275" s="8" t="str">
        <f>IFERROR(INDEX(样本到样信息汇总统计!L$2:L$500,MATCH(274,样本到样信息汇总统计!$X$2:$X$500,0)),"")</f>
        <v/>
      </c>
      <c r="M275" s="8" t="str">
        <f>IFERROR(INDEX(样本到样信息汇总统计!M$2:M$500,MATCH(274,样本到样信息汇总统计!$X$2:$X$500,0)),"")</f>
        <v/>
      </c>
      <c r="N275" s="8" t="str">
        <f>IFERROR(INDEX(样本到样信息汇总统计!N$2:N$500,MATCH(274,样本到样信息汇总统计!$X$2:$X$500,0)),"")</f>
        <v/>
      </c>
      <c r="O275" s="8" t="str">
        <f>IFERROR(INDEX(样本到样信息汇总统计!O$2:O$500,MATCH(274,样本到样信息汇总统计!$X$2:$X$500,0)),"")</f>
        <v/>
      </c>
      <c r="P275" s="8" t="str">
        <f>IFERROR(INDEX(样本到样信息汇总统计!P$2:P$500,MATCH(274,样本到样信息汇总统计!$X$2:$X$500,0)),"")</f>
        <v/>
      </c>
      <c r="Q275" s="8" t="str">
        <f>IFERROR(INDEX(样本到样信息汇总统计!Q$2:Q$500,MATCH(274,样本到样信息汇总统计!$X$2:$X$500,0)),"")</f>
        <v/>
      </c>
      <c r="R275" s="8" t="str">
        <f>IFERROR(INDEX(样本到样信息汇总统计!R$2:R$500,MATCH(274,样本到样信息汇总统计!$X$2:$X$500,0)),"")</f>
        <v/>
      </c>
      <c r="S275" s="8" t="str">
        <f>IFERROR(INDEX(样本到样信息汇总统计!S$2:S$500,MATCH(274,样本到样信息汇总统计!$X$2:$X$500,0)),"")</f>
        <v/>
      </c>
      <c r="T275" s="8" t="str">
        <f>IFERROR(INDEX(样本到样信息汇总统计!T$2:T$500,MATCH(274,样本到样信息汇总统计!$X$2:$X$500,0)),"")</f>
        <v/>
      </c>
      <c r="U275" s="8" t="str">
        <f>IFERROR(INDEX(样本到样信息汇总统计!U$2:U$500,MATCH(274,样本到样信息汇总统计!$X$2:$X$500,0)),"")</f>
        <v/>
      </c>
      <c r="V275" s="8" t="str">
        <f>IFERROR(INDEX(样本到样信息汇总统计!V$2:V$500,MATCH(274,样本到样信息汇总统计!$X$2:$X$500,0)),"")</f>
        <v/>
      </c>
      <c r="W275" s="8" t="str">
        <f>IFERROR(INDEX(样本到样信息汇总统计!W$2:W$500,MATCH(274,样本到样信息汇总统计!$X$2:$X$500,0)),"")</f>
        <v/>
      </c>
    </row>
    <row r="276" ht="14.5" spans="1:23">
      <c r="A276" s="4" t="str">
        <f>IFERROR(INDEX(样本到样信息汇总统计!A$2:A$500,MATCH(275,样本到样信息汇总统计!$X$2:$X$500,0)),"")</f>
        <v/>
      </c>
      <c r="B276" s="4" t="str">
        <f>IFERROR(INDEX(样本到样信息汇总统计!B$2:B$500,MATCH(275,样本到样信息汇总统计!$X$2:$X$500,0)),"")</f>
        <v/>
      </c>
      <c r="C276" s="4" t="str">
        <f>IFERROR(INDEX(样本到样信息汇总统计!C$2:C$500,MATCH(275,样本到样信息汇总统计!$X$2:$X$500,0)),"")</f>
        <v/>
      </c>
      <c r="D276" s="4" t="str">
        <f>IFERROR(INDEX(样本到样信息汇总统计!D$2:D$500,MATCH(275,样本到样信息汇总统计!$X$2:$X$500,0)),"")</f>
        <v/>
      </c>
      <c r="E276" s="4" t="str">
        <f>IFERROR(INDEX(样本到样信息汇总统计!E$2:E$500,MATCH(275,样本到样信息汇总统计!$X$2:$X$500,0)),"")</f>
        <v/>
      </c>
      <c r="F276" s="4" t="str">
        <f>IFERROR(INDEX(样本到样信息汇总统计!F$2:F$500,MATCH(275,样本到样信息汇总统计!$X$2:$X$500,0)),"")</f>
        <v/>
      </c>
      <c r="G276" s="4" t="str">
        <f>IFERROR(INDEX(样本到样信息汇总统计!G$2:G$500,MATCH(275,样本到样信息汇总统计!$X$2:$X$500,0)),"")</f>
        <v/>
      </c>
      <c r="H276" s="4" t="str">
        <f>IFERROR(INDEX(样本到样信息汇总统计!H$2:H$500,MATCH(275,样本到样信息汇总统计!$X$2:$X$500,0)),"")</f>
        <v/>
      </c>
      <c r="I276" s="4" t="str">
        <f>IFERROR(INDEX(样本到样信息汇总统计!I$2:I$500,MATCH(275,样本到样信息汇总统计!$X$2:$X$500,0)),"")</f>
        <v/>
      </c>
      <c r="J276" s="4" t="str">
        <f>IFERROR(INDEX(样本到样信息汇总统计!J$2:J$500,MATCH(275,样本到样信息汇总统计!$X$2:$X$500,0)),"")</f>
        <v/>
      </c>
      <c r="K276" s="14" t="str">
        <f>IFERROR(INDEX(样本到样信息汇总统计!K$2:K$500,MATCH(275,样本到样信息汇总统计!$X$2:$X$500,0)),"")</f>
        <v/>
      </c>
      <c r="L276" s="4" t="str">
        <f>IFERROR(INDEX(样本到样信息汇总统计!L$2:L$500,MATCH(275,样本到样信息汇总统计!$X$2:$X$500,0)),"")</f>
        <v/>
      </c>
      <c r="M276" s="4" t="str">
        <f>IFERROR(INDEX(样本到样信息汇总统计!M$2:M$500,MATCH(275,样本到样信息汇总统计!$X$2:$X$500,0)),"")</f>
        <v/>
      </c>
      <c r="N276" s="4" t="str">
        <f>IFERROR(INDEX(样本到样信息汇总统计!N$2:N$500,MATCH(275,样本到样信息汇总统计!$X$2:$X$500,0)),"")</f>
        <v/>
      </c>
      <c r="O276" s="4" t="str">
        <f>IFERROR(INDEX(样本到样信息汇总统计!O$2:O$500,MATCH(275,样本到样信息汇总统计!$X$2:$X$500,0)),"")</f>
        <v/>
      </c>
      <c r="P276" s="4" t="str">
        <f>IFERROR(INDEX(样本到样信息汇总统计!P$2:P$500,MATCH(275,样本到样信息汇总统计!$X$2:$X$500,0)),"")</f>
        <v/>
      </c>
      <c r="Q276" s="4" t="str">
        <f>IFERROR(INDEX(样本到样信息汇总统计!Q$2:Q$500,MATCH(275,样本到样信息汇总统计!$X$2:$X$500,0)),"")</f>
        <v/>
      </c>
      <c r="R276" s="4" t="str">
        <f>IFERROR(INDEX(样本到样信息汇总统计!R$2:R$500,MATCH(275,样本到样信息汇总统计!$X$2:$X$500,0)),"")</f>
        <v/>
      </c>
      <c r="S276" s="4" t="str">
        <f>IFERROR(INDEX(样本到样信息汇总统计!S$2:S$500,MATCH(275,样本到样信息汇总统计!$X$2:$X$500,0)),"")</f>
        <v/>
      </c>
      <c r="T276" s="4" t="str">
        <f>IFERROR(INDEX(样本到样信息汇总统计!T$2:T$500,MATCH(275,样本到样信息汇总统计!$X$2:$X$500,0)),"")</f>
        <v/>
      </c>
      <c r="U276" s="4" t="str">
        <f>IFERROR(INDEX(样本到样信息汇总统计!U$2:U$500,MATCH(275,样本到样信息汇总统计!$X$2:$X$500,0)),"")</f>
        <v/>
      </c>
      <c r="V276" s="4" t="str">
        <f>IFERROR(INDEX(样本到样信息汇总统计!V$2:V$500,MATCH(275,样本到样信息汇总统计!$X$2:$X$500,0)),"")</f>
        <v/>
      </c>
      <c r="W276" s="4" t="str">
        <f>IFERROR(INDEX(样本到样信息汇总统计!W$2:W$500,MATCH(275,样本到样信息汇总统计!$X$2:$X$500,0)),"")</f>
        <v/>
      </c>
    </row>
    <row r="277" ht="14.5" spans="1:23">
      <c r="A277" s="8" t="str">
        <f>IFERROR(INDEX(样本到样信息汇总统计!A$2:A$500,MATCH(276,样本到样信息汇总统计!$X$2:$X$500,0)),"")</f>
        <v/>
      </c>
      <c r="B277" s="8" t="str">
        <f>IFERROR(INDEX(样本到样信息汇总统计!B$2:B$500,MATCH(276,样本到样信息汇总统计!$X$2:$X$500,0)),"")</f>
        <v/>
      </c>
      <c r="C277" s="8" t="str">
        <f>IFERROR(INDEX(样本到样信息汇总统计!C$2:C$500,MATCH(276,样本到样信息汇总统计!$X$2:$X$500,0)),"")</f>
        <v/>
      </c>
      <c r="D277" s="8" t="str">
        <f>IFERROR(INDEX(样本到样信息汇总统计!D$2:D$500,MATCH(276,样本到样信息汇总统计!$X$2:$X$500,0)),"")</f>
        <v/>
      </c>
      <c r="E277" s="8" t="str">
        <f>IFERROR(INDEX(样本到样信息汇总统计!E$2:E$500,MATCH(276,样本到样信息汇总统计!$X$2:$X$500,0)),"")</f>
        <v/>
      </c>
      <c r="F277" s="8" t="str">
        <f>IFERROR(INDEX(样本到样信息汇总统计!F$2:F$500,MATCH(276,样本到样信息汇总统计!$X$2:$X$500,0)),"")</f>
        <v/>
      </c>
      <c r="G277" s="8" t="str">
        <f>IFERROR(INDEX(样本到样信息汇总统计!G$2:G$500,MATCH(276,样本到样信息汇总统计!$X$2:$X$500,0)),"")</f>
        <v/>
      </c>
      <c r="H277" s="8" t="str">
        <f>IFERROR(INDEX(样本到样信息汇总统计!H$2:H$500,MATCH(276,样本到样信息汇总统计!$X$2:$X$500,0)),"")</f>
        <v/>
      </c>
      <c r="I277" s="8" t="str">
        <f>IFERROR(INDEX(样本到样信息汇总统计!I$2:I$500,MATCH(276,样本到样信息汇总统计!$X$2:$X$500,0)),"")</f>
        <v/>
      </c>
      <c r="J277" s="8" t="str">
        <f>IFERROR(INDEX(样本到样信息汇总统计!J$2:J$500,MATCH(276,样本到样信息汇总统计!$X$2:$X$500,0)),"")</f>
        <v/>
      </c>
      <c r="K277" s="15" t="str">
        <f>IFERROR(INDEX(样本到样信息汇总统计!K$2:K$500,MATCH(276,样本到样信息汇总统计!$X$2:$X$500,0)),"")</f>
        <v/>
      </c>
      <c r="L277" s="8" t="str">
        <f>IFERROR(INDEX(样本到样信息汇总统计!L$2:L$500,MATCH(276,样本到样信息汇总统计!$X$2:$X$500,0)),"")</f>
        <v/>
      </c>
      <c r="M277" s="8" t="str">
        <f>IFERROR(INDEX(样本到样信息汇总统计!M$2:M$500,MATCH(276,样本到样信息汇总统计!$X$2:$X$500,0)),"")</f>
        <v/>
      </c>
      <c r="N277" s="8" t="str">
        <f>IFERROR(INDEX(样本到样信息汇总统计!N$2:N$500,MATCH(276,样本到样信息汇总统计!$X$2:$X$500,0)),"")</f>
        <v/>
      </c>
      <c r="O277" s="8" t="str">
        <f>IFERROR(INDEX(样本到样信息汇总统计!O$2:O$500,MATCH(276,样本到样信息汇总统计!$X$2:$X$500,0)),"")</f>
        <v/>
      </c>
      <c r="P277" s="8" t="str">
        <f>IFERROR(INDEX(样本到样信息汇总统计!P$2:P$500,MATCH(276,样本到样信息汇总统计!$X$2:$X$500,0)),"")</f>
        <v/>
      </c>
      <c r="Q277" s="8" t="str">
        <f>IFERROR(INDEX(样本到样信息汇总统计!Q$2:Q$500,MATCH(276,样本到样信息汇总统计!$X$2:$X$500,0)),"")</f>
        <v/>
      </c>
      <c r="R277" s="8" t="str">
        <f>IFERROR(INDEX(样本到样信息汇总统计!R$2:R$500,MATCH(276,样本到样信息汇总统计!$X$2:$X$500,0)),"")</f>
        <v/>
      </c>
      <c r="S277" s="8" t="str">
        <f>IFERROR(INDEX(样本到样信息汇总统计!S$2:S$500,MATCH(276,样本到样信息汇总统计!$X$2:$X$500,0)),"")</f>
        <v/>
      </c>
      <c r="T277" s="8" t="str">
        <f>IFERROR(INDEX(样本到样信息汇总统计!T$2:T$500,MATCH(276,样本到样信息汇总统计!$X$2:$X$500,0)),"")</f>
        <v/>
      </c>
      <c r="U277" s="8" t="str">
        <f>IFERROR(INDEX(样本到样信息汇总统计!U$2:U$500,MATCH(276,样本到样信息汇总统计!$X$2:$X$500,0)),"")</f>
        <v/>
      </c>
      <c r="V277" s="8" t="str">
        <f>IFERROR(INDEX(样本到样信息汇总统计!V$2:V$500,MATCH(276,样本到样信息汇总统计!$X$2:$X$500,0)),"")</f>
        <v/>
      </c>
      <c r="W277" s="8" t="str">
        <f>IFERROR(INDEX(样本到样信息汇总统计!W$2:W$500,MATCH(276,样本到样信息汇总统计!$X$2:$X$500,0)),"")</f>
        <v/>
      </c>
    </row>
    <row r="278" ht="14.5" spans="1:23">
      <c r="A278" s="4" t="str">
        <f>IFERROR(INDEX(样本到样信息汇总统计!A$2:A$500,MATCH(277,样本到样信息汇总统计!$X$2:$X$500,0)),"")</f>
        <v/>
      </c>
      <c r="B278" s="4" t="str">
        <f>IFERROR(INDEX(样本到样信息汇总统计!B$2:B$500,MATCH(277,样本到样信息汇总统计!$X$2:$X$500,0)),"")</f>
        <v/>
      </c>
      <c r="C278" s="4" t="str">
        <f>IFERROR(INDEX(样本到样信息汇总统计!C$2:C$500,MATCH(277,样本到样信息汇总统计!$X$2:$X$500,0)),"")</f>
        <v/>
      </c>
      <c r="D278" s="4" t="str">
        <f>IFERROR(INDEX(样本到样信息汇总统计!D$2:D$500,MATCH(277,样本到样信息汇总统计!$X$2:$X$500,0)),"")</f>
        <v/>
      </c>
      <c r="E278" s="4" t="str">
        <f>IFERROR(INDEX(样本到样信息汇总统计!E$2:E$500,MATCH(277,样本到样信息汇总统计!$X$2:$X$500,0)),"")</f>
        <v/>
      </c>
      <c r="F278" s="4" t="str">
        <f>IFERROR(INDEX(样本到样信息汇总统计!F$2:F$500,MATCH(277,样本到样信息汇总统计!$X$2:$X$500,0)),"")</f>
        <v/>
      </c>
      <c r="G278" s="4" t="str">
        <f>IFERROR(INDEX(样本到样信息汇总统计!G$2:G$500,MATCH(277,样本到样信息汇总统计!$X$2:$X$500,0)),"")</f>
        <v/>
      </c>
      <c r="H278" s="4" t="str">
        <f>IFERROR(INDEX(样本到样信息汇总统计!H$2:H$500,MATCH(277,样本到样信息汇总统计!$X$2:$X$500,0)),"")</f>
        <v/>
      </c>
      <c r="I278" s="4" t="str">
        <f>IFERROR(INDEX(样本到样信息汇总统计!I$2:I$500,MATCH(277,样本到样信息汇总统计!$X$2:$X$500,0)),"")</f>
        <v/>
      </c>
      <c r="J278" s="4" t="str">
        <f>IFERROR(INDEX(样本到样信息汇总统计!J$2:J$500,MATCH(277,样本到样信息汇总统计!$X$2:$X$500,0)),"")</f>
        <v/>
      </c>
      <c r="K278" s="14" t="str">
        <f>IFERROR(INDEX(样本到样信息汇总统计!K$2:K$500,MATCH(277,样本到样信息汇总统计!$X$2:$X$500,0)),"")</f>
        <v/>
      </c>
      <c r="L278" s="4" t="str">
        <f>IFERROR(INDEX(样本到样信息汇总统计!L$2:L$500,MATCH(277,样本到样信息汇总统计!$X$2:$X$500,0)),"")</f>
        <v/>
      </c>
      <c r="M278" s="4" t="str">
        <f>IFERROR(INDEX(样本到样信息汇总统计!M$2:M$500,MATCH(277,样本到样信息汇总统计!$X$2:$X$500,0)),"")</f>
        <v/>
      </c>
      <c r="N278" s="4" t="str">
        <f>IFERROR(INDEX(样本到样信息汇总统计!N$2:N$500,MATCH(277,样本到样信息汇总统计!$X$2:$X$500,0)),"")</f>
        <v/>
      </c>
      <c r="O278" s="4" t="str">
        <f>IFERROR(INDEX(样本到样信息汇总统计!O$2:O$500,MATCH(277,样本到样信息汇总统计!$X$2:$X$500,0)),"")</f>
        <v/>
      </c>
      <c r="P278" s="4" t="str">
        <f>IFERROR(INDEX(样本到样信息汇总统计!P$2:P$500,MATCH(277,样本到样信息汇总统计!$X$2:$X$500,0)),"")</f>
        <v/>
      </c>
      <c r="Q278" s="4" t="str">
        <f>IFERROR(INDEX(样本到样信息汇总统计!Q$2:Q$500,MATCH(277,样本到样信息汇总统计!$X$2:$X$500,0)),"")</f>
        <v/>
      </c>
      <c r="R278" s="4" t="str">
        <f>IFERROR(INDEX(样本到样信息汇总统计!R$2:R$500,MATCH(277,样本到样信息汇总统计!$X$2:$X$500,0)),"")</f>
        <v/>
      </c>
      <c r="S278" s="4" t="str">
        <f>IFERROR(INDEX(样本到样信息汇总统计!S$2:S$500,MATCH(277,样本到样信息汇总统计!$X$2:$X$500,0)),"")</f>
        <v/>
      </c>
      <c r="T278" s="4" t="str">
        <f>IFERROR(INDEX(样本到样信息汇总统计!T$2:T$500,MATCH(277,样本到样信息汇总统计!$X$2:$X$500,0)),"")</f>
        <v/>
      </c>
      <c r="U278" s="4" t="str">
        <f>IFERROR(INDEX(样本到样信息汇总统计!U$2:U$500,MATCH(277,样本到样信息汇总统计!$X$2:$X$500,0)),"")</f>
        <v/>
      </c>
      <c r="V278" s="4" t="str">
        <f>IFERROR(INDEX(样本到样信息汇总统计!V$2:V$500,MATCH(277,样本到样信息汇总统计!$X$2:$X$500,0)),"")</f>
        <v/>
      </c>
      <c r="W278" s="4" t="str">
        <f>IFERROR(INDEX(样本到样信息汇总统计!W$2:W$500,MATCH(277,样本到样信息汇总统计!$X$2:$X$500,0)),"")</f>
        <v/>
      </c>
    </row>
    <row r="279" ht="14.5" spans="1:23">
      <c r="A279" s="8" t="str">
        <f>IFERROR(INDEX(样本到样信息汇总统计!A$2:A$500,MATCH(278,样本到样信息汇总统计!$X$2:$X$500,0)),"")</f>
        <v/>
      </c>
      <c r="B279" s="8" t="str">
        <f>IFERROR(INDEX(样本到样信息汇总统计!B$2:B$500,MATCH(278,样本到样信息汇总统计!$X$2:$X$500,0)),"")</f>
        <v/>
      </c>
      <c r="C279" s="8" t="str">
        <f>IFERROR(INDEX(样本到样信息汇总统计!C$2:C$500,MATCH(278,样本到样信息汇总统计!$X$2:$X$500,0)),"")</f>
        <v/>
      </c>
      <c r="D279" s="8" t="str">
        <f>IFERROR(INDEX(样本到样信息汇总统计!D$2:D$500,MATCH(278,样本到样信息汇总统计!$X$2:$X$500,0)),"")</f>
        <v/>
      </c>
      <c r="E279" s="8" t="str">
        <f>IFERROR(INDEX(样本到样信息汇总统计!E$2:E$500,MATCH(278,样本到样信息汇总统计!$X$2:$X$500,0)),"")</f>
        <v/>
      </c>
      <c r="F279" s="8" t="str">
        <f>IFERROR(INDEX(样本到样信息汇总统计!F$2:F$500,MATCH(278,样本到样信息汇总统计!$X$2:$X$500,0)),"")</f>
        <v/>
      </c>
      <c r="G279" s="8" t="str">
        <f>IFERROR(INDEX(样本到样信息汇总统计!G$2:G$500,MATCH(278,样本到样信息汇总统计!$X$2:$X$500,0)),"")</f>
        <v/>
      </c>
      <c r="H279" s="8" t="str">
        <f>IFERROR(INDEX(样本到样信息汇总统计!H$2:H$500,MATCH(278,样本到样信息汇总统计!$X$2:$X$500,0)),"")</f>
        <v/>
      </c>
      <c r="I279" s="8" t="str">
        <f>IFERROR(INDEX(样本到样信息汇总统计!I$2:I$500,MATCH(278,样本到样信息汇总统计!$X$2:$X$500,0)),"")</f>
        <v/>
      </c>
      <c r="J279" s="8" t="str">
        <f>IFERROR(INDEX(样本到样信息汇总统计!J$2:J$500,MATCH(278,样本到样信息汇总统计!$X$2:$X$500,0)),"")</f>
        <v/>
      </c>
      <c r="K279" s="15" t="str">
        <f>IFERROR(INDEX(样本到样信息汇总统计!K$2:K$500,MATCH(278,样本到样信息汇总统计!$X$2:$X$500,0)),"")</f>
        <v/>
      </c>
      <c r="L279" s="8" t="str">
        <f>IFERROR(INDEX(样本到样信息汇总统计!L$2:L$500,MATCH(278,样本到样信息汇总统计!$X$2:$X$500,0)),"")</f>
        <v/>
      </c>
      <c r="M279" s="8" t="str">
        <f>IFERROR(INDEX(样本到样信息汇总统计!M$2:M$500,MATCH(278,样本到样信息汇总统计!$X$2:$X$500,0)),"")</f>
        <v/>
      </c>
      <c r="N279" s="8" t="str">
        <f>IFERROR(INDEX(样本到样信息汇总统计!N$2:N$500,MATCH(278,样本到样信息汇总统计!$X$2:$X$500,0)),"")</f>
        <v/>
      </c>
      <c r="O279" s="8" t="str">
        <f>IFERROR(INDEX(样本到样信息汇总统计!O$2:O$500,MATCH(278,样本到样信息汇总统计!$X$2:$X$500,0)),"")</f>
        <v/>
      </c>
      <c r="P279" s="8" t="str">
        <f>IFERROR(INDEX(样本到样信息汇总统计!P$2:P$500,MATCH(278,样本到样信息汇总统计!$X$2:$X$500,0)),"")</f>
        <v/>
      </c>
      <c r="Q279" s="8" t="str">
        <f>IFERROR(INDEX(样本到样信息汇总统计!Q$2:Q$500,MATCH(278,样本到样信息汇总统计!$X$2:$X$500,0)),"")</f>
        <v/>
      </c>
      <c r="R279" s="8" t="str">
        <f>IFERROR(INDEX(样本到样信息汇总统计!R$2:R$500,MATCH(278,样本到样信息汇总统计!$X$2:$X$500,0)),"")</f>
        <v/>
      </c>
      <c r="S279" s="8" t="str">
        <f>IFERROR(INDEX(样本到样信息汇总统计!S$2:S$500,MATCH(278,样本到样信息汇总统计!$X$2:$X$500,0)),"")</f>
        <v/>
      </c>
      <c r="T279" s="8" t="str">
        <f>IFERROR(INDEX(样本到样信息汇总统计!T$2:T$500,MATCH(278,样本到样信息汇总统计!$X$2:$X$500,0)),"")</f>
        <v/>
      </c>
      <c r="U279" s="8" t="str">
        <f>IFERROR(INDEX(样本到样信息汇总统计!U$2:U$500,MATCH(278,样本到样信息汇总统计!$X$2:$X$500,0)),"")</f>
        <v/>
      </c>
      <c r="V279" s="8" t="str">
        <f>IFERROR(INDEX(样本到样信息汇总统计!V$2:V$500,MATCH(278,样本到样信息汇总统计!$X$2:$X$500,0)),"")</f>
        <v/>
      </c>
      <c r="W279" s="8" t="str">
        <f>IFERROR(INDEX(样本到样信息汇总统计!W$2:W$500,MATCH(278,样本到样信息汇总统计!$X$2:$X$500,0)),"")</f>
        <v/>
      </c>
    </row>
    <row r="280" ht="14.5" spans="1:23">
      <c r="A280" s="4" t="str">
        <f>IFERROR(INDEX(样本到样信息汇总统计!A$2:A$500,MATCH(279,样本到样信息汇总统计!$X$2:$X$500,0)),"")</f>
        <v/>
      </c>
      <c r="B280" s="4" t="str">
        <f>IFERROR(INDEX(样本到样信息汇总统计!B$2:B$500,MATCH(279,样本到样信息汇总统计!$X$2:$X$500,0)),"")</f>
        <v/>
      </c>
      <c r="C280" s="4" t="str">
        <f>IFERROR(INDEX(样本到样信息汇总统计!C$2:C$500,MATCH(279,样本到样信息汇总统计!$X$2:$X$500,0)),"")</f>
        <v/>
      </c>
      <c r="D280" s="4" t="str">
        <f>IFERROR(INDEX(样本到样信息汇总统计!D$2:D$500,MATCH(279,样本到样信息汇总统计!$X$2:$X$500,0)),"")</f>
        <v/>
      </c>
      <c r="E280" s="4" t="str">
        <f>IFERROR(INDEX(样本到样信息汇总统计!E$2:E$500,MATCH(279,样本到样信息汇总统计!$X$2:$X$500,0)),"")</f>
        <v/>
      </c>
      <c r="F280" s="4" t="str">
        <f>IFERROR(INDEX(样本到样信息汇总统计!F$2:F$500,MATCH(279,样本到样信息汇总统计!$X$2:$X$500,0)),"")</f>
        <v/>
      </c>
      <c r="G280" s="4" t="str">
        <f>IFERROR(INDEX(样本到样信息汇总统计!G$2:G$500,MATCH(279,样本到样信息汇总统计!$X$2:$X$500,0)),"")</f>
        <v/>
      </c>
      <c r="H280" s="4" t="str">
        <f>IFERROR(INDEX(样本到样信息汇总统计!H$2:H$500,MATCH(279,样本到样信息汇总统计!$X$2:$X$500,0)),"")</f>
        <v/>
      </c>
      <c r="I280" s="4" t="str">
        <f>IFERROR(INDEX(样本到样信息汇总统计!I$2:I$500,MATCH(279,样本到样信息汇总统计!$X$2:$X$500,0)),"")</f>
        <v/>
      </c>
      <c r="J280" s="4" t="str">
        <f>IFERROR(INDEX(样本到样信息汇总统计!J$2:J$500,MATCH(279,样本到样信息汇总统计!$X$2:$X$500,0)),"")</f>
        <v/>
      </c>
      <c r="K280" s="14" t="str">
        <f>IFERROR(INDEX(样本到样信息汇总统计!K$2:K$500,MATCH(279,样本到样信息汇总统计!$X$2:$X$500,0)),"")</f>
        <v/>
      </c>
      <c r="L280" s="4" t="str">
        <f>IFERROR(INDEX(样本到样信息汇总统计!L$2:L$500,MATCH(279,样本到样信息汇总统计!$X$2:$X$500,0)),"")</f>
        <v/>
      </c>
      <c r="M280" s="4" t="str">
        <f>IFERROR(INDEX(样本到样信息汇总统计!M$2:M$500,MATCH(279,样本到样信息汇总统计!$X$2:$X$500,0)),"")</f>
        <v/>
      </c>
      <c r="N280" s="4" t="str">
        <f>IFERROR(INDEX(样本到样信息汇总统计!N$2:N$500,MATCH(279,样本到样信息汇总统计!$X$2:$X$500,0)),"")</f>
        <v/>
      </c>
      <c r="O280" s="4" t="str">
        <f>IFERROR(INDEX(样本到样信息汇总统计!O$2:O$500,MATCH(279,样本到样信息汇总统计!$X$2:$X$500,0)),"")</f>
        <v/>
      </c>
      <c r="P280" s="4" t="str">
        <f>IFERROR(INDEX(样本到样信息汇总统计!P$2:P$500,MATCH(279,样本到样信息汇总统计!$X$2:$X$500,0)),"")</f>
        <v/>
      </c>
      <c r="Q280" s="4" t="str">
        <f>IFERROR(INDEX(样本到样信息汇总统计!Q$2:Q$500,MATCH(279,样本到样信息汇总统计!$X$2:$X$500,0)),"")</f>
        <v/>
      </c>
      <c r="R280" s="4" t="str">
        <f>IFERROR(INDEX(样本到样信息汇总统计!R$2:R$500,MATCH(279,样本到样信息汇总统计!$X$2:$X$500,0)),"")</f>
        <v/>
      </c>
      <c r="S280" s="4" t="str">
        <f>IFERROR(INDEX(样本到样信息汇总统计!S$2:S$500,MATCH(279,样本到样信息汇总统计!$X$2:$X$500,0)),"")</f>
        <v/>
      </c>
      <c r="T280" s="4" t="str">
        <f>IFERROR(INDEX(样本到样信息汇总统计!T$2:T$500,MATCH(279,样本到样信息汇总统计!$X$2:$X$500,0)),"")</f>
        <v/>
      </c>
      <c r="U280" s="4" t="str">
        <f>IFERROR(INDEX(样本到样信息汇总统计!U$2:U$500,MATCH(279,样本到样信息汇总统计!$X$2:$X$500,0)),"")</f>
        <v/>
      </c>
      <c r="V280" s="4" t="str">
        <f>IFERROR(INDEX(样本到样信息汇总统计!V$2:V$500,MATCH(279,样本到样信息汇总统计!$X$2:$X$500,0)),"")</f>
        <v/>
      </c>
      <c r="W280" s="4" t="str">
        <f>IFERROR(INDEX(样本到样信息汇总统计!W$2:W$500,MATCH(279,样本到样信息汇总统计!$X$2:$X$500,0)),"")</f>
        <v/>
      </c>
    </row>
    <row r="281" ht="14.5" spans="1:23">
      <c r="A281" s="8" t="str">
        <f>IFERROR(INDEX(样本到样信息汇总统计!A$2:A$500,MATCH(280,样本到样信息汇总统计!$X$2:$X$500,0)),"")</f>
        <v/>
      </c>
      <c r="B281" s="8" t="str">
        <f>IFERROR(INDEX(样本到样信息汇总统计!B$2:B$500,MATCH(280,样本到样信息汇总统计!$X$2:$X$500,0)),"")</f>
        <v/>
      </c>
      <c r="C281" s="8" t="str">
        <f>IFERROR(INDEX(样本到样信息汇总统计!C$2:C$500,MATCH(280,样本到样信息汇总统计!$X$2:$X$500,0)),"")</f>
        <v/>
      </c>
      <c r="D281" s="8" t="str">
        <f>IFERROR(INDEX(样本到样信息汇总统计!D$2:D$500,MATCH(280,样本到样信息汇总统计!$X$2:$X$500,0)),"")</f>
        <v/>
      </c>
      <c r="E281" s="8" t="str">
        <f>IFERROR(INDEX(样本到样信息汇总统计!E$2:E$500,MATCH(280,样本到样信息汇总统计!$X$2:$X$500,0)),"")</f>
        <v/>
      </c>
      <c r="F281" s="8" t="str">
        <f>IFERROR(INDEX(样本到样信息汇总统计!F$2:F$500,MATCH(280,样本到样信息汇总统计!$X$2:$X$500,0)),"")</f>
        <v/>
      </c>
      <c r="G281" s="8" t="str">
        <f>IFERROR(INDEX(样本到样信息汇总统计!G$2:G$500,MATCH(280,样本到样信息汇总统计!$X$2:$X$500,0)),"")</f>
        <v/>
      </c>
      <c r="H281" s="8" t="str">
        <f>IFERROR(INDEX(样本到样信息汇总统计!H$2:H$500,MATCH(280,样本到样信息汇总统计!$X$2:$X$500,0)),"")</f>
        <v/>
      </c>
      <c r="I281" s="8" t="str">
        <f>IFERROR(INDEX(样本到样信息汇总统计!I$2:I$500,MATCH(280,样本到样信息汇总统计!$X$2:$X$500,0)),"")</f>
        <v/>
      </c>
      <c r="J281" s="8" t="str">
        <f>IFERROR(INDEX(样本到样信息汇总统计!J$2:J$500,MATCH(280,样本到样信息汇总统计!$X$2:$X$500,0)),"")</f>
        <v/>
      </c>
      <c r="K281" s="15" t="str">
        <f>IFERROR(INDEX(样本到样信息汇总统计!K$2:K$500,MATCH(280,样本到样信息汇总统计!$X$2:$X$500,0)),"")</f>
        <v/>
      </c>
      <c r="L281" s="8" t="str">
        <f>IFERROR(INDEX(样本到样信息汇总统计!L$2:L$500,MATCH(280,样本到样信息汇总统计!$X$2:$X$500,0)),"")</f>
        <v/>
      </c>
      <c r="M281" s="8" t="str">
        <f>IFERROR(INDEX(样本到样信息汇总统计!M$2:M$500,MATCH(280,样本到样信息汇总统计!$X$2:$X$500,0)),"")</f>
        <v/>
      </c>
      <c r="N281" s="8" t="str">
        <f>IFERROR(INDEX(样本到样信息汇总统计!N$2:N$500,MATCH(280,样本到样信息汇总统计!$X$2:$X$500,0)),"")</f>
        <v/>
      </c>
      <c r="O281" s="8" t="str">
        <f>IFERROR(INDEX(样本到样信息汇总统计!O$2:O$500,MATCH(280,样本到样信息汇总统计!$X$2:$X$500,0)),"")</f>
        <v/>
      </c>
      <c r="P281" s="8" t="str">
        <f>IFERROR(INDEX(样本到样信息汇总统计!P$2:P$500,MATCH(280,样本到样信息汇总统计!$X$2:$X$500,0)),"")</f>
        <v/>
      </c>
      <c r="Q281" s="8" t="str">
        <f>IFERROR(INDEX(样本到样信息汇总统计!Q$2:Q$500,MATCH(280,样本到样信息汇总统计!$X$2:$X$500,0)),"")</f>
        <v/>
      </c>
      <c r="R281" s="8" t="str">
        <f>IFERROR(INDEX(样本到样信息汇总统计!R$2:R$500,MATCH(280,样本到样信息汇总统计!$X$2:$X$500,0)),"")</f>
        <v/>
      </c>
      <c r="S281" s="8" t="str">
        <f>IFERROR(INDEX(样本到样信息汇总统计!S$2:S$500,MATCH(280,样本到样信息汇总统计!$X$2:$X$500,0)),"")</f>
        <v/>
      </c>
      <c r="T281" s="8" t="str">
        <f>IFERROR(INDEX(样本到样信息汇总统计!T$2:T$500,MATCH(280,样本到样信息汇总统计!$X$2:$X$500,0)),"")</f>
        <v/>
      </c>
      <c r="U281" s="8" t="str">
        <f>IFERROR(INDEX(样本到样信息汇总统计!U$2:U$500,MATCH(280,样本到样信息汇总统计!$X$2:$X$500,0)),"")</f>
        <v/>
      </c>
      <c r="V281" s="8" t="str">
        <f>IFERROR(INDEX(样本到样信息汇总统计!V$2:V$500,MATCH(280,样本到样信息汇总统计!$X$2:$X$500,0)),"")</f>
        <v/>
      </c>
      <c r="W281" s="8" t="str">
        <f>IFERROR(INDEX(样本到样信息汇总统计!W$2:W$500,MATCH(280,样本到样信息汇总统计!$X$2:$X$500,0)),"")</f>
        <v/>
      </c>
    </row>
    <row r="282" ht="14.5" spans="1:23">
      <c r="A282" s="4" t="str">
        <f>IFERROR(INDEX(样本到样信息汇总统计!A$2:A$500,MATCH(281,样本到样信息汇总统计!$X$2:$X$500,0)),"")</f>
        <v/>
      </c>
      <c r="B282" s="4" t="str">
        <f>IFERROR(INDEX(样本到样信息汇总统计!B$2:B$500,MATCH(281,样本到样信息汇总统计!$X$2:$X$500,0)),"")</f>
        <v/>
      </c>
      <c r="C282" s="4" t="str">
        <f>IFERROR(INDEX(样本到样信息汇总统计!C$2:C$500,MATCH(281,样本到样信息汇总统计!$X$2:$X$500,0)),"")</f>
        <v/>
      </c>
      <c r="D282" s="4" t="str">
        <f>IFERROR(INDEX(样本到样信息汇总统计!D$2:D$500,MATCH(281,样本到样信息汇总统计!$X$2:$X$500,0)),"")</f>
        <v/>
      </c>
      <c r="E282" s="4" t="str">
        <f>IFERROR(INDEX(样本到样信息汇总统计!E$2:E$500,MATCH(281,样本到样信息汇总统计!$X$2:$X$500,0)),"")</f>
        <v/>
      </c>
      <c r="F282" s="4" t="str">
        <f>IFERROR(INDEX(样本到样信息汇总统计!F$2:F$500,MATCH(281,样本到样信息汇总统计!$X$2:$X$500,0)),"")</f>
        <v/>
      </c>
      <c r="G282" s="4" t="str">
        <f>IFERROR(INDEX(样本到样信息汇总统计!G$2:G$500,MATCH(281,样本到样信息汇总统计!$X$2:$X$500,0)),"")</f>
        <v/>
      </c>
      <c r="H282" s="4" t="str">
        <f>IFERROR(INDEX(样本到样信息汇总统计!H$2:H$500,MATCH(281,样本到样信息汇总统计!$X$2:$X$500,0)),"")</f>
        <v/>
      </c>
      <c r="I282" s="4" t="str">
        <f>IFERROR(INDEX(样本到样信息汇总统计!I$2:I$500,MATCH(281,样本到样信息汇总统计!$X$2:$X$500,0)),"")</f>
        <v/>
      </c>
      <c r="J282" s="4" t="str">
        <f>IFERROR(INDEX(样本到样信息汇总统计!J$2:J$500,MATCH(281,样本到样信息汇总统计!$X$2:$X$500,0)),"")</f>
        <v/>
      </c>
      <c r="K282" s="14" t="str">
        <f>IFERROR(INDEX(样本到样信息汇总统计!K$2:K$500,MATCH(281,样本到样信息汇总统计!$X$2:$X$500,0)),"")</f>
        <v/>
      </c>
      <c r="L282" s="4" t="str">
        <f>IFERROR(INDEX(样本到样信息汇总统计!L$2:L$500,MATCH(281,样本到样信息汇总统计!$X$2:$X$500,0)),"")</f>
        <v/>
      </c>
      <c r="M282" s="4" t="str">
        <f>IFERROR(INDEX(样本到样信息汇总统计!M$2:M$500,MATCH(281,样本到样信息汇总统计!$X$2:$X$500,0)),"")</f>
        <v/>
      </c>
      <c r="N282" s="4" t="str">
        <f>IFERROR(INDEX(样本到样信息汇总统计!N$2:N$500,MATCH(281,样本到样信息汇总统计!$X$2:$X$500,0)),"")</f>
        <v/>
      </c>
      <c r="O282" s="4" t="str">
        <f>IFERROR(INDEX(样本到样信息汇总统计!O$2:O$500,MATCH(281,样本到样信息汇总统计!$X$2:$X$500,0)),"")</f>
        <v/>
      </c>
      <c r="P282" s="4" t="str">
        <f>IFERROR(INDEX(样本到样信息汇总统计!P$2:P$500,MATCH(281,样本到样信息汇总统计!$X$2:$X$500,0)),"")</f>
        <v/>
      </c>
      <c r="Q282" s="4" t="str">
        <f>IFERROR(INDEX(样本到样信息汇总统计!Q$2:Q$500,MATCH(281,样本到样信息汇总统计!$X$2:$X$500,0)),"")</f>
        <v/>
      </c>
      <c r="R282" s="4" t="str">
        <f>IFERROR(INDEX(样本到样信息汇总统计!R$2:R$500,MATCH(281,样本到样信息汇总统计!$X$2:$X$500,0)),"")</f>
        <v/>
      </c>
      <c r="S282" s="4" t="str">
        <f>IFERROR(INDEX(样本到样信息汇总统计!S$2:S$500,MATCH(281,样本到样信息汇总统计!$X$2:$X$500,0)),"")</f>
        <v/>
      </c>
      <c r="T282" s="4" t="str">
        <f>IFERROR(INDEX(样本到样信息汇总统计!T$2:T$500,MATCH(281,样本到样信息汇总统计!$X$2:$X$500,0)),"")</f>
        <v/>
      </c>
      <c r="U282" s="4" t="str">
        <f>IFERROR(INDEX(样本到样信息汇总统计!U$2:U$500,MATCH(281,样本到样信息汇总统计!$X$2:$X$500,0)),"")</f>
        <v/>
      </c>
      <c r="V282" s="4" t="str">
        <f>IFERROR(INDEX(样本到样信息汇总统计!V$2:V$500,MATCH(281,样本到样信息汇总统计!$X$2:$X$500,0)),"")</f>
        <v/>
      </c>
      <c r="W282" s="4" t="str">
        <f>IFERROR(INDEX(样本到样信息汇总统计!W$2:W$500,MATCH(281,样本到样信息汇总统计!$X$2:$X$500,0)),"")</f>
        <v/>
      </c>
    </row>
    <row r="283" ht="14.5" spans="1:23">
      <c r="A283" s="8" t="str">
        <f>IFERROR(INDEX(样本到样信息汇总统计!A$2:A$500,MATCH(282,样本到样信息汇总统计!$X$2:$X$500,0)),"")</f>
        <v/>
      </c>
      <c r="B283" s="8" t="str">
        <f>IFERROR(INDEX(样本到样信息汇总统计!B$2:B$500,MATCH(282,样本到样信息汇总统计!$X$2:$X$500,0)),"")</f>
        <v/>
      </c>
      <c r="C283" s="8" t="str">
        <f>IFERROR(INDEX(样本到样信息汇总统计!C$2:C$500,MATCH(282,样本到样信息汇总统计!$X$2:$X$500,0)),"")</f>
        <v/>
      </c>
      <c r="D283" s="8" t="str">
        <f>IFERROR(INDEX(样本到样信息汇总统计!D$2:D$500,MATCH(282,样本到样信息汇总统计!$X$2:$X$500,0)),"")</f>
        <v/>
      </c>
      <c r="E283" s="8" t="str">
        <f>IFERROR(INDEX(样本到样信息汇总统计!E$2:E$500,MATCH(282,样本到样信息汇总统计!$X$2:$X$500,0)),"")</f>
        <v/>
      </c>
      <c r="F283" s="8" t="str">
        <f>IFERROR(INDEX(样本到样信息汇总统计!F$2:F$500,MATCH(282,样本到样信息汇总统计!$X$2:$X$500,0)),"")</f>
        <v/>
      </c>
      <c r="G283" s="8" t="str">
        <f>IFERROR(INDEX(样本到样信息汇总统计!G$2:G$500,MATCH(282,样本到样信息汇总统计!$X$2:$X$500,0)),"")</f>
        <v/>
      </c>
      <c r="H283" s="8" t="str">
        <f>IFERROR(INDEX(样本到样信息汇总统计!H$2:H$500,MATCH(282,样本到样信息汇总统计!$X$2:$X$500,0)),"")</f>
        <v/>
      </c>
      <c r="I283" s="8" t="str">
        <f>IFERROR(INDEX(样本到样信息汇总统计!I$2:I$500,MATCH(282,样本到样信息汇总统计!$X$2:$X$500,0)),"")</f>
        <v/>
      </c>
      <c r="J283" s="8" t="str">
        <f>IFERROR(INDEX(样本到样信息汇总统计!J$2:J$500,MATCH(282,样本到样信息汇总统计!$X$2:$X$500,0)),"")</f>
        <v/>
      </c>
      <c r="K283" s="15" t="str">
        <f>IFERROR(INDEX(样本到样信息汇总统计!K$2:K$500,MATCH(282,样本到样信息汇总统计!$X$2:$X$500,0)),"")</f>
        <v/>
      </c>
      <c r="L283" s="8" t="str">
        <f>IFERROR(INDEX(样本到样信息汇总统计!L$2:L$500,MATCH(282,样本到样信息汇总统计!$X$2:$X$500,0)),"")</f>
        <v/>
      </c>
      <c r="M283" s="8" t="str">
        <f>IFERROR(INDEX(样本到样信息汇总统计!M$2:M$500,MATCH(282,样本到样信息汇总统计!$X$2:$X$500,0)),"")</f>
        <v/>
      </c>
      <c r="N283" s="8" t="str">
        <f>IFERROR(INDEX(样本到样信息汇总统计!N$2:N$500,MATCH(282,样本到样信息汇总统计!$X$2:$X$500,0)),"")</f>
        <v/>
      </c>
      <c r="O283" s="8" t="str">
        <f>IFERROR(INDEX(样本到样信息汇总统计!O$2:O$500,MATCH(282,样本到样信息汇总统计!$X$2:$X$500,0)),"")</f>
        <v/>
      </c>
      <c r="P283" s="8" t="str">
        <f>IFERROR(INDEX(样本到样信息汇总统计!P$2:P$500,MATCH(282,样本到样信息汇总统计!$X$2:$X$500,0)),"")</f>
        <v/>
      </c>
      <c r="Q283" s="8" t="str">
        <f>IFERROR(INDEX(样本到样信息汇总统计!Q$2:Q$500,MATCH(282,样本到样信息汇总统计!$X$2:$X$500,0)),"")</f>
        <v/>
      </c>
      <c r="R283" s="8" t="str">
        <f>IFERROR(INDEX(样本到样信息汇总统计!R$2:R$500,MATCH(282,样本到样信息汇总统计!$X$2:$X$500,0)),"")</f>
        <v/>
      </c>
      <c r="S283" s="8" t="str">
        <f>IFERROR(INDEX(样本到样信息汇总统计!S$2:S$500,MATCH(282,样本到样信息汇总统计!$X$2:$X$500,0)),"")</f>
        <v/>
      </c>
      <c r="T283" s="8" t="str">
        <f>IFERROR(INDEX(样本到样信息汇总统计!T$2:T$500,MATCH(282,样本到样信息汇总统计!$X$2:$X$500,0)),"")</f>
        <v/>
      </c>
      <c r="U283" s="8" t="str">
        <f>IFERROR(INDEX(样本到样信息汇总统计!U$2:U$500,MATCH(282,样本到样信息汇总统计!$X$2:$X$500,0)),"")</f>
        <v/>
      </c>
      <c r="V283" s="8" t="str">
        <f>IFERROR(INDEX(样本到样信息汇总统计!V$2:V$500,MATCH(282,样本到样信息汇总统计!$X$2:$X$500,0)),"")</f>
        <v/>
      </c>
      <c r="W283" s="8" t="str">
        <f>IFERROR(INDEX(样本到样信息汇总统计!W$2:W$500,MATCH(282,样本到样信息汇总统计!$X$2:$X$500,0)),"")</f>
        <v/>
      </c>
    </row>
    <row r="284" ht="14.5" spans="1:23">
      <c r="A284" s="4" t="str">
        <f>IFERROR(INDEX(样本到样信息汇总统计!A$2:A$500,MATCH(283,样本到样信息汇总统计!$X$2:$X$500,0)),"")</f>
        <v/>
      </c>
      <c r="B284" s="4" t="str">
        <f>IFERROR(INDEX(样本到样信息汇总统计!B$2:B$500,MATCH(283,样本到样信息汇总统计!$X$2:$X$500,0)),"")</f>
        <v/>
      </c>
      <c r="C284" s="4" t="str">
        <f>IFERROR(INDEX(样本到样信息汇总统计!C$2:C$500,MATCH(283,样本到样信息汇总统计!$X$2:$X$500,0)),"")</f>
        <v/>
      </c>
      <c r="D284" s="4" t="str">
        <f>IFERROR(INDEX(样本到样信息汇总统计!D$2:D$500,MATCH(283,样本到样信息汇总统计!$X$2:$X$500,0)),"")</f>
        <v/>
      </c>
      <c r="E284" s="4" t="str">
        <f>IFERROR(INDEX(样本到样信息汇总统计!E$2:E$500,MATCH(283,样本到样信息汇总统计!$X$2:$X$500,0)),"")</f>
        <v/>
      </c>
      <c r="F284" s="4" t="str">
        <f>IFERROR(INDEX(样本到样信息汇总统计!F$2:F$500,MATCH(283,样本到样信息汇总统计!$X$2:$X$500,0)),"")</f>
        <v/>
      </c>
      <c r="G284" s="4" t="str">
        <f>IFERROR(INDEX(样本到样信息汇总统计!G$2:G$500,MATCH(283,样本到样信息汇总统计!$X$2:$X$500,0)),"")</f>
        <v/>
      </c>
      <c r="H284" s="4" t="str">
        <f>IFERROR(INDEX(样本到样信息汇总统计!H$2:H$500,MATCH(283,样本到样信息汇总统计!$X$2:$X$500,0)),"")</f>
        <v/>
      </c>
      <c r="I284" s="4" t="str">
        <f>IFERROR(INDEX(样本到样信息汇总统计!I$2:I$500,MATCH(283,样本到样信息汇总统计!$X$2:$X$500,0)),"")</f>
        <v/>
      </c>
      <c r="J284" s="4" t="str">
        <f>IFERROR(INDEX(样本到样信息汇总统计!J$2:J$500,MATCH(283,样本到样信息汇总统计!$X$2:$X$500,0)),"")</f>
        <v/>
      </c>
      <c r="K284" s="14" t="str">
        <f>IFERROR(INDEX(样本到样信息汇总统计!K$2:K$500,MATCH(283,样本到样信息汇总统计!$X$2:$X$500,0)),"")</f>
        <v/>
      </c>
      <c r="L284" s="4" t="str">
        <f>IFERROR(INDEX(样本到样信息汇总统计!L$2:L$500,MATCH(283,样本到样信息汇总统计!$X$2:$X$500,0)),"")</f>
        <v/>
      </c>
      <c r="M284" s="4" t="str">
        <f>IFERROR(INDEX(样本到样信息汇总统计!M$2:M$500,MATCH(283,样本到样信息汇总统计!$X$2:$X$500,0)),"")</f>
        <v/>
      </c>
      <c r="N284" s="4" t="str">
        <f>IFERROR(INDEX(样本到样信息汇总统计!N$2:N$500,MATCH(283,样本到样信息汇总统计!$X$2:$X$500,0)),"")</f>
        <v/>
      </c>
      <c r="O284" s="4" t="str">
        <f>IFERROR(INDEX(样本到样信息汇总统计!O$2:O$500,MATCH(283,样本到样信息汇总统计!$X$2:$X$500,0)),"")</f>
        <v/>
      </c>
      <c r="P284" s="4" t="str">
        <f>IFERROR(INDEX(样本到样信息汇总统计!P$2:P$500,MATCH(283,样本到样信息汇总统计!$X$2:$X$500,0)),"")</f>
        <v/>
      </c>
      <c r="Q284" s="4" t="str">
        <f>IFERROR(INDEX(样本到样信息汇总统计!Q$2:Q$500,MATCH(283,样本到样信息汇总统计!$X$2:$X$500,0)),"")</f>
        <v/>
      </c>
      <c r="R284" s="4" t="str">
        <f>IFERROR(INDEX(样本到样信息汇总统计!R$2:R$500,MATCH(283,样本到样信息汇总统计!$X$2:$X$500,0)),"")</f>
        <v/>
      </c>
      <c r="S284" s="4" t="str">
        <f>IFERROR(INDEX(样本到样信息汇总统计!S$2:S$500,MATCH(283,样本到样信息汇总统计!$X$2:$X$500,0)),"")</f>
        <v/>
      </c>
      <c r="T284" s="4" t="str">
        <f>IFERROR(INDEX(样本到样信息汇总统计!T$2:T$500,MATCH(283,样本到样信息汇总统计!$X$2:$X$500,0)),"")</f>
        <v/>
      </c>
      <c r="U284" s="4" t="str">
        <f>IFERROR(INDEX(样本到样信息汇总统计!U$2:U$500,MATCH(283,样本到样信息汇总统计!$X$2:$X$500,0)),"")</f>
        <v/>
      </c>
      <c r="V284" s="4" t="str">
        <f>IFERROR(INDEX(样本到样信息汇总统计!V$2:V$500,MATCH(283,样本到样信息汇总统计!$X$2:$X$500,0)),"")</f>
        <v/>
      </c>
      <c r="W284" s="4" t="str">
        <f>IFERROR(INDEX(样本到样信息汇总统计!W$2:W$500,MATCH(283,样本到样信息汇总统计!$X$2:$X$500,0)),"")</f>
        <v/>
      </c>
    </row>
    <row r="285" ht="14.5" spans="1:23">
      <c r="A285" s="8" t="str">
        <f>IFERROR(INDEX(样本到样信息汇总统计!A$2:A$500,MATCH(284,样本到样信息汇总统计!$X$2:$X$500,0)),"")</f>
        <v/>
      </c>
      <c r="B285" s="8" t="str">
        <f>IFERROR(INDEX(样本到样信息汇总统计!B$2:B$500,MATCH(284,样本到样信息汇总统计!$X$2:$X$500,0)),"")</f>
        <v/>
      </c>
      <c r="C285" s="8" t="str">
        <f>IFERROR(INDEX(样本到样信息汇总统计!C$2:C$500,MATCH(284,样本到样信息汇总统计!$X$2:$X$500,0)),"")</f>
        <v/>
      </c>
      <c r="D285" s="8" t="str">
        <f>IFERROR(INDEX(样本到样信息汇总统计!D$2:D$500,MATCH(284,样本到样信息汇总统计!$X$2:$X$500,0)),"")</f>
        <v/>
      </c>
      <c r="E285" s="8" t="str">
        <f>IFERROR(INDEX(样本到样信息汇总统计!E$2:E$500,MATCH(284,样本到样信息汇总统计!$X$2:$X$500,0)),"")</f>
        <v/>
      </c>
      <c r="F285" s="8" t="str">
        <f>IFERROR(INDEX(样本到样信息汇总统计!F$2:F$500,MATCH(284,样本到样信息汇总统计!$X$2:$X$500,0)),"")</f>
        <v/>
      </c>
      <c r="G285" s="8" t="str">
        <f>IFERROR(INDEX(样本到样信息汇总统计!G$2:G$500,MATCH(284,样本到样信息汇总统计!$X$2:$X$500,0)),"")</f>
        <v/>
      </c>
      <c r="H285" s="8" t="str">
        <f>IFERROR(INDEX(样本到样信息汇总统计!H$2:H$500,MATCH(284,样本到样信息汇总统计!$X$2:$X$500,0)),"")</f>
        <v/>
      </c>
      <c r="I285" s="8" t="str">
        <f>IFERROR(INDEX(样本到样信息汇总统计!I$2:I$500,MATCH(284,样本到样信息汇总统计!$X$2:$X$500,0)),"")</f>
        <v/>
      </c>
      <c r="J285" s="8" t="str">
        <f>IFERROR(INDEX(样本到样信息汇总统计!J$2:J$500,MATCH(284,样本到样信息汇总统计!$X$2:$X$500,0)),"")</f>
        <v/>
      </c>
      <c r="K285" s="15" t="str">
        <f>IFERROR(INDEX(样本到样信息汇总统计!K$2:K$500,MATCH(284,样本到样信息汇总统计!$X$2:$X$500,0)),"")</f>
        <v/>
      </c>
      <c r="L285" s="8" t="str">
        <f>IFERROR(INDEX(样本到样信息汇总统计!L$2:L$500,MATCH(284,样本到样信息汇总统计!$X$2:$X$500,0)),"")</f>
        <v/>
      </c>
      <c r="M285" s="8" t="str">
        <f>IFERROR(INDEX(样本到样信息汇总统计!M$2:M$500,MATCH(284,样本到样信息汇总统计!$X$2:$X$500,0)),"")</f>
        <v/>
      </c>
      <c r="N285" s="8" t="str">
        <f>IFERROR(INDEX(样本到样信息汇总统计!N$2:N$500,MATCH(284,样本到样信息汇总统计!$X$2:$X$500,0)),"")</f>
        <v/>
      </c>
      <c r="O285" s="8" t="str">
        <f>IFERROR(INDEX(样本到样信息汇总统计!O$2:O$500,MATCH(284,样本到样信息汇总统计!$X$2:$X$500,0)),"")</f>
        <v/>
      </c>
      <c r="P285" s="8" t="str">
        <f>IFERROR(INDEX(样本到样信息汇总统计!P$2:P$500,MATCH(284,样本到样信息汇总统计!$X$2:$X$500,0)),"")</f>
        <v/>
      </c>
      <c r="Q285" s="8" t="str">
        <f>IFERROR(INDEX(样本到样信息汇总统计!Q$2:Q$500,MATCH(284,样本到样信息汇总统计!$X$2:$X$500,0)),"")</f>
        <v/>
      </c>
      <c r="R285" s="8" t="str">
        <f>IFERROR(INDEX(样本到样信息汇总统计!R$2:R$500,MATCH(284,样本到样信息汇总统计!$X$2:$X$500,0)),"")</f>
        <v/>
      </c>
      <c r="S285" s="8" t="str">
        <f>IFERROR(INDEX(样本到样信息汇总统计!S$2:S$500,MATCH(284,样本到样信息汇总统计!$X$2:$X$500,0)),"")</f>
        <v/>
      </c>
      <c r="T285" s="8" t="str">
        <f>IFERROR(INDEX(样本到样信息汇总统计!T$2:T$500,MATCH(284,样本到样信息汇总统计!$X$2:$X$500,0)),"")</f>
        <v/>
      </c>
      <c r="U285" s="8" t="str">
        <f>IFERROR(INDEX(样本到样信息汇总统计!U$2:U$500,MATCH(284,样本到样信息汇总统计!$X$2:$X$500,0)),"")</f>
        <v/>
      </c>
      <c r="V285" s="8" t="str">
        <f>IFERROR(INDEX(样本到样信息汇总统计!V$2:V$500,MATCH(284,样本到样信息汇总统计!$X$2:$X$500,0)),"")</f>
        <v/>
      </c>
      <c r="W285" s="8" t="str">
        <f>IFERROR(INDEX(样本到样信息汇总统计!W$2:W$500,MATCH(284,样本到样信息汇总统计!$X$2:$X$500,0)),"")</f>
        <v/>
      </c>
    </row>
    <row r="286" ht="14.5" spans="1:23">
      <c r="A286" s="4" t="str">
        <f>IFERROR(INDEX(样本到样信息汇总统计!A$2:A$500,MATCH(285,样本到样信息汇总统计!$X$2:$X$500,0)),"")</f>
        <v/>
      </c>
      <c r="B286" s="4" t="str">
        <f>IFERROR(INDEX(样本到样信息汇总统计!B$2:B$500,MATCH(285,样本到样信息汇总统计!$X$2:$X$500,0)),"")</f>
        <v/>
      </c>
      <c r="C286" s="4" t="str">
        <f>IFERROR(INDEX(样本到样信息汇总统计!C$2:C$500,MATCH(285,样本到样信息汇总统计!$X$2:$X$500,0)),"")</f>
        <v/>
      </c>
      <c r="D286" s="4" t="str">
        <f>IFERROR(INDEX(样本到样信息汇总统计!D$2:D$500,MATCH(285,样本到样信息汇总统计!$X$2:$X$500,0)),"")</f>
        <v/>
      </c>
      <c r="E286" s="4" t="str">
        <f>IFERROR(INDEX(样本到样信息汇总统计!E$2:E$500,MATCH(285,样本到样信息汇总统计!$X$2:$X$500,0)),"")</f>
        <v/>
      </c>
      <c r="F286" s="4" t="str">
        <f>IFERROR(INDEX(样本到样信息汇总统计!F$2:F$500,MATCH(285,样本到样信息汇总统计!$X$2:$X$500,0)),"")</f>
        <v/>
      </c>
      <c r="G286" s="4" t="str">
        <f>IFERROR(INDEX(样本到样信息汇总统计!G$2:G$500,MATCH(285,样本到样信息汇总统计!$X$2:$X$500,0)),"")</f>
        <v/>
      </c>
      <c r="H286" s="4" t="str">
        <f>IFERROR(INDEX(样本到样信息汇总统计!H$2:H$500,MATCH(285,样本到样信息汇总统计!$X$2:$X$500,0)),"")</f>
        <v/>
      </c>
      <c r="I286" s="4" t="str">
        <f>IFERROR(INDEX(样本到样信息汇总统计!I$2:I$500,MATCH(285,样本到样信息汇总统计!$X$2:$X$500,0)),"")</f>
        <v/>
      </c>
      <c r="J286" s="4" t="str">
        <f>IFERROR(INDEX(样本到样信息汇总统计!J$2:J$500,MATCH(285,样本到样信息汇总统计!$X$2:$X$500,0)),"")</f>
        <v/>
      </c>
      <c r="K286" s="14" t="str">
        <f>IFERROR(INDEX(样本到样信息汇总统计!K$2:K$500,MATCH(285,样本到样信息汇总统计!$X$2:$X$500,0)),"")</f>
        <v/>
      </c>
      <c r="L286" s="4" t="str">
        <f>IFERROR(INDEX(样本到样信息汇总统计!L$2:L$500,MATCH(285,样本到样信息汇总统计!$X$2:$X$500,0)),"")</f>
        <v/>
      </c>
      <c r="M286" s="4" t="str">
        <f>IFERROR(INDEX(样本到样信息汇总统计!M$2:M$500,MATCH(285,样本到样信息汇总统计!$X$2:$X$500,0)),"")</f>
        <v/>
      </c>
      <c r="N286" s="4" t="str">
        <f>IFERROR(INDEX(样本到样信息汇总统计!N$2:N$500,MATCH(285,样本到样信息汇总统计!$X$2:$X$500,0)),"")</f>
        <v/>
      </c>
      <c r="O286" s="4" t="str">
        <f>IFERROR(INDEX(样本到样信息汇总统计!O$2:O$500,MATCH(285,样本到样信息汇总统计!$X$2:$X$500,0)),"")</f>
        <v/>
      </c>
      <c r="P286" s="4" t="str">
        <f>IFERROR(INDEX(样本到样信息汇总统计!P$2:P$500,MATCH(285,样本到样信息汇总统计!$X$2:$X$500,0)),"")</f>
        <v/>
      </c>
      <c r="Q286" s="4" t="str">
        <f>IFERROR(INDEX(样本到样信息汇总统计!Q$2:Q$500,MATCH(285,样本到样信息汇总统计!$X$2:$X$500,0)),"")</f>
        <v/>
      </c>
      <c r="R286" s="4" t="str">
        <f>IFERROR(INDEX(样本到样信息汇总统计!R$2:R$500,MATCH(285,样本到样信息汇总统计!$X$2:$X$500,0)),"")</f>
        <v/>
      </c>
      <c r="S286" s="4" t="str">
        <f>IFERROR(INDEX(样本到样信息汇总统计!S$2:S$500,MATCH(285,样本到样信息汇总统计!$X$2:$X$500,0)),"")</f>
        <v/>
      </c>
      <c r="T286" s="4" t="str">
        <f>IFERROR(INDEX(样本到样信息汇总统计!T$2:T$500,MATCH(285,样本到样信息汇总统计!$X$2:$X$500,0)),"")</f>
        <v/>
      </c>
      <c r="U286" s="4" t="str">
        <f>IFERROR(INDEX(样本到样信息汇总统计!U$2:U$500,MATCH(285,样本到样信息汇总统计!$X$2:$X$500,0)),"")</f>
        <v/>
      </c>
      <c r="V286" s="4" t="str">
        <f>IFERROR(INDEX(样本到样信息汇总统计!V$2:V$500,MATCH(285,样本到样信息汇总统计!$X$2:$X$500,0)),"")</f>
        <v/>
      </c>
      <c r="W286" s="4" t="str">
        <f>IFERROR(INDEX(样本到样信息汇总统计!W$2:W$500,MATCH(285,样本到样信息汇总统计!$X$2:$X$500,0)),"")</f>
        <v/>
      </c>
    </row>
    <row r="287" ht="14.5" spans="1:23">
      <c r="A287" s="8" t="str">
        <f>IFERROR(INDEX(样本到样信息汇总统计!A$2:A$500,MATCH(286,样本到样信息汇总统计!$X$2:$X$500,0)),"")</f>
        <v/>
      </c>
      <c r="B287" s="8" t="str">
        <f>IFERROR(INDEX(样本到样信息汇总统计!B$2:B$500,MATCH(286,样本到样信息汇总统计!$X$2:$X$500,0)),"")</f>
        <v/>
      </c>
      <c r="C287" s="8" t="str">
        <f>IFERROR(INDEX(样本到样信息汇总统计!C$2:C$500,MATCH(286,样本到样信息汇总统计!$X$2:$X$500,0)),"")</f>
        <v/>
      </c>
      <c r="D287" s="8" t="str">
        <f>IFERROR(INDEX(样本到样信息汇总统计!D$2:D$500,MATCH(286,样本到样信息汇总统计!$X$2:$X$500,0)),"")</f>
        <v/>
      </c>
      <c r="E287" s="8" t="str">
        <f>IFERROR(INDEX(样本到样信息汇总统计!E$2:E$500,MATCH(286,样本到样信息汇总统计!$X$2:$X$500,0)),"")</f>
        <v/>
      </c>
      <c r="F287" s="8" t="str">
        <f>IFERROR(INDEX(样本到样信息汇总统计!F$2:F$500,MATCH(286,样本到样信息汇总统计!$X$2:$X$500,0)),"")</f>
        <v/>
      </c>
      <c r="G287" s="8" t="str">
        <f>IFERROR(INDEX(样本到样信息汇总统计!G$2:G$500,MATCH(286,样本到样信息汇总统计!$X$2:$X$500,0)),"")</f>
        <v/>
      </c>
      <c r="H287" s="8" t="str">
        <f>IFERROR(INDEX(样本到样信息汇总统计!H$2:H$500,MATCH(286,样本到样信息汇总统计!$X$2:$X$500,0)),"")</f>
        <v/>
      </c>
      <c r="I287" s="8" t="str">
        <f>IFERROR(INDEX(样本到样信息汇总统计!I$2:I$500,MATCH(286,样本到样信息汇总统计!$X$2:$X$500,0)),"")</f>
        <v/>
      </c>
      <c r="J287" s="8" t="str">
        <f>IFERROR(INDEX(样本到样信息汇总统计!J$2:J$500,MATCH(286,样本到样信息汇总统计!$X$2:$X$500,0)),"")</f>
        <v/>
      </c>
      <c r="K287" s="15" t="str">
        <f>IFERROR(INDEX(样本到样信息汇总统计!K$2:K$500,MATCH(286,样本到样信息汇总统计!$X$2:$X$500,0)),"")</f>
        <v/>
      </c>
      <c r="L287" s="8" t="str">
        <f>IFERROR(INDEX(样本到样信息汇总统计!L$2:L$500,MATCH(286,样本到样信息汇总统计!$X$2:$X$500,0)),"")</f>
        <v/>
      </c>
      <c r="M287" s="8" t="str">
        <f>IFERROR(INDEX(样本到样信息汇总统计!M$2:M$500,MATCH(286,样本到样信息汇总统计!$X$2:$X$500,0)),"")</f>
        <v/>
      </c>
      <c r="N287" s="8" t="str">
        <f>IFERROR(INDEX(样本到样信息汇总统计!N$2:N$500,MATCH(286,样本到样信息汇总统计!$X$2:$X$500,0)),"")</f>
        <v/>
      </c>
      <c r="O287" s="8" t="str">
        <f>IFERROR(INDEX(样本到样信息汇总统计!O$2:O$500,MATCH(286,样本到样信息汇总统计!$X$2:$X$500,0)),"")</f>
        <v/>
      </c>
      <c r="P287" s="8" t="str">
        <f>IFERROR(INDEX(样本到样信息汇总统计!P$2:P$500,MATCH(286,样本到样信息汇总统计!$X$2:$X$500,0)),"")</f>
        <v/>
      </c>
      <c r="Q287" s="8" t="str">
        <f>IFERROR(INDEX(样本到样信息汇总统计!Q$2:Q$500,MATCH(286,样本到样信息汇总统计!$X$2:$X$500,0)),"")</f>
        <v/>
      </c>
      <c r="R287" s="8" t="str">
        <f>IFERROR(INDEX(样本到样信息汇总统计!R$2:R$500,MATCH(286,样本到样信息汇总统计!$X$2:$X$500,0)),"")</f>
        <v/>
      </c>
      <c r="S287" s="8" t="str">
        <f>IFERROR(INDEX(样本到样信息汇总统计!S$2:S$500,MATCH(286,样本到样信息汇总统计!$X$2:$X$500,0)),"")</f>
        <v/>
      </c>
      <c r="T287" s="8" t="str">
        <f>IFERROR(INDEX(样本到样信息汇总统计!T$2:T$500,MATCH(286,样本到样信息汇总统计!$X$2:$X$500,0)),"")</f>
        <v/>
      </c>
      <c r="U287" s="8" t="str">
        <f>IFERROR(INDEX(样本到样信息汇总统计!U$2:U$500,MATCH(286,样本到样信息汇总统计!$X$2:$X$500,0)),"")</f>
        <v/>
      </c>
      <c r="V287" s="8" t="str">
        <f>IFERROR(INDEX(样本到样信息汇总统计!V$2:V$500,MATCH(286,样本到样信息汇总统计!$X$2:$X$500,0)),"")</f>
        <v/>
      </c>
      <c r="W287" s="8" t="str">
        <f>IFERROR(INDEX(样本到样信息汇总统计!W$2:W$500,MATCH(286,样本到样信息汇总统计!$X$2:$X$500,0)),"")</f>
        <v/>
      </c>
    </row>
    <row r="288" ht="14.5" spans="1:23">
      <c r="A288" s="4" t="str">
        <f>IFERROR(INDEX(样本到样信息汇总统计!A$2:A$500,MATCH(287,样本到样信息汇总统计!$X$2:$X$500,0)),"")</f>
        <v/>
      </c>
      <c r="B288" s="4" t="str">
        <f>IFERROR(INDEX(样本到样信息汇总统计!B$2:B$500,MATCH(287,样本到样信息汇总统计!$X$2:$X$500,0)),"")</f>
        <v/>
      </c>
      <c r="C288" s="4" t="str">
        <f>IFERROR(INDEX(样本到样信息汇总统计!C$2:C$500,MATCH(287,样本到样信息汇总统计!$X$2:$X$500,0)),"")</f>
        <v/>
      </c>
      <c r="D288" s="4" t="str">
        <f>IFERROR(INDEX(样本到样信息汇总统计!D$2:D$500,MATCH(287,样本到样信息汇总统计!$X$2:$X$500,0)),"")</f>
        <v/>
      </c>
      <c r="E288" s="4" t="str">
        <f>IFERROR(INDEX(样本到样信息汇总统计!E$2:E$500,MATCH(287,样本到样信息汇总统计!$X$2:$X$500,0)),"")</f>
        <v/>
      </c>
      <c r="F288" s="4" t="str">
        <f>IFERROR(INDEX(样本到样信息汇总统计!F$2:F$500,MATCH(287,样本到样信息汇总统计!$X$2:$X$500,0)),"")</f>
        <v/>
      </c>
      <c r="G288" s="4" t="str">
        <f>IFERROR(INDEX(样本到样信息汇总统计!G$2:G$500,MATCH(287,样本到样信息汇总统计!$X$2:$X$500,0)),"")</f>
        <v/>
      </c>
      <c r="H288" s="4" t="str">
        <f>IFERROR(INDEX(样本到样信息汇总统计!H$2:H$500,MATCH(287,样本到样信息汇总统计!$X$2:$X$500,0)),"")</f>
        <v/>
      </c>
      <c r="I288" s="4" t="str">
        <f>IFERROR(INDEX(样本到样信息汇总统计!I$2:I$500,MATCH(287,样本到样信息汇总统计!$X$2:$X$500,0)),"")</f>
        <v/>
      </c>
      <c r="J288" s="4" t="str">
        <f>IFERROR(INDEX(样本到样信息汇总统计!J$2:J$500,MATCH(287,样本到样信息汇总统计!$X$2:$X$500,0)),"")</f>
        <v/>
      </c>
      <c r="K288" s="14" t="str">
        <f>IFERROR(INDEX(样本到样信息汇总统计!K$2:K$500,MATCH(287,样本到样信息汇总统计!$X$2:$X$500,0)),"")</f>
        <v/>
      </c>
      <c r="L288" s="4" t="str">
        <f>IFERROR(INDEX(样本到样信息汇总统计!L$2:L$500,MATCH(287,样本到样信息汇总统计!$X$2:$X$500,0)),"")</f>
        <v/>
      </c>
      <c r="M288" s="4" t="str">
        <f>IFERROR(INDEX(样本到样信息汇总统计!M$2:M$500,MATCH(287,样本到样信息汇总统计!$X$2:$X$500,0)),"")</f>
        <v/>
      </c>
      <c r="N288" s="4" t="str">
        <f>IFERROR(INDEX(样本到样信息汇总统计!N$2:N$500,MATCH(287,样本到样信息汇总统计!$X$2:$X$500,0)),"")</f>
        <v/>
      </c>
      <c r="O288" s="4" t="str">
        <f>IFERROR(INDEX(样本到样信息汇总统计!O$2:O$500,MATCH(287,样本到样信息汇总统计!$X$2:$X$500,0)),"")</f>
        <v/>
      </c>
      <c r="P288" s="4" t="str">
        <f>IFERROR(INDEX(样本到样信息汇总统计!P$2:P$500,MATCH(287,样本到样信息汇总统计!$X$2:$X$500,0)),"")</f>
        <v/>
      </c>
      <c r="Q288" s="4" t="str">
        <f>IFERROR(INDEX(样本到样信息汇总统计!Q$2:Q$500,MATCH(287,样本到样信息汇总统计!$X$2:$X$500,0)),"")</f>
        <v/>
      </c>
      <c r="R288" s="4" t="str">
        <f>IFERROR(INDEX(样本到样信息汇总统计!R$2:R$500,MATCH(287,样本到样信息汇总统计!$X$2:$X$500,0)),"")</f>
        <v/>
      </c>
      <c r="S288" s="4" t="str">
        <f>IFERROR(INDEX(样本到样信息汇总统计!S$2:S$500,MATCH(287,样本到样信息汇总统计!$X$2:$X$500,0)),"")</f>
        <v/>
      </c>
      <c r="T288" s="4" t="str">
        <f>IFERROR(INDEX(样本到样信息汇总统计!T$2:T$500,MATCH(287,样本到样信息汇总统计!$X$2:$X$500,0)),"")</f>
        <v/>
      </c>
      <c r="U288" s="4" t="str">
        <f>IFERROR(INDEX(样本到样信息汇总统计!U$2:U$500,MATCH(287,样本到样信息汇总统计!$X$2:$X$500,0)),"")</f>
        <v/>
      </c>
      <c r="V288" s="4" t="str">
        <f>IFERROR(INDEX(样本到样信息汇总统计!V$2:V$500,MATCH(287,样本到样信息汇总统计!$X$2:$X$500,0)),"")</f>
        <v/>
      </c>
      <c r="W288" s="4" t="str">
        <f>IFERROR(INDEX(样本到样信息汇总统计!W$2:W$500,MATCH(287,样本到样信息汇总统计!$X$2:$X$500,0)),"")</f>
        <v/>
      </c>
    </row>
    <row r="289" ht="14.5" spans="1:23">
      <c r="A289" s="8" t="str">
        <f>IFERROR(INDEX(样本到样信息汇总统计!A$2:A$500,MATCH(288,样本到样信息汇总统计!$X$2:$X$500,0)),"")</f>
        <v/>
      </c>
      <c r="B289" s="8" t="str">
        <f>IFERROR(INDEX(样本到样信息汇总统计!B$2:B$500,MATCH(288,样本到样信息汇总统计!$X$2:$X$500,0)),"")</f>
        <v/>
      </c>
      <c r="C289" s="8" t="str">
        <f>IFERROR(INDEX(样本到样信息汇总统计!C$2:C$500,MATCH(288,样本到样信息汇总统计!$X$2:$X$500,0)),"")</f>
        <v/>
      </c>
      <c r="D289" s="8" t="str">
        <f>IFERROR(INDEX(样本到样信息汇总统计!D$2:D$500,MATCH(288,样本到样信息汇总统计!$X$2:$X$500,0)),"")</f>
        <v/>
      </c>
      <c r="E289" s="8" t="str">
        <f>IFERROR(INDEX(样本到样信息汇总统计!E$2:E$500,MATCH(288,样本到样信息汇总统计!$X$2:$X$500,0)),"")</f>
        <v/>
      </c>
      <c r="F289" s="8" t="str">
        <f>IFERROR(INDEX(样本到样信息汇总统计!F$2:F$500,MATCH(288,样本到样信息汇总统计!$X$2:$X$500,0)),"")</f>
        <v/>
      </c>
      <c r="G289" s="8" t="str">
        <f>IFERROR(INDEX(样本到样信息汇总统计!G$2:G$500,MATCH(288,样本到样信息汇总统计!$X$2:$X$500,0)),"")</f>
        <v/>
      </c>
      <c r="H289" s="8" t="str">
        <f>IFERROR(INDEX(样本到样信息汇总统计!H$2:H$500,MATCH(288,样本到样信息汇总统计!$X$2:$X$500,0)),"")</f>
        <v/>
      </c>
      <c r="I289" s="8" t="str">
        <f>IFERROR(INDEX(样本到样信息汇总统计!I$2:I$500,MATCH(288,样本到样信息汇总统计!$X$2:$X$500,0)),"")</f>
        <v/>
      </c>
      <c r="J289" s="8" t="str">
        <f>IFERROR(INDEX(样本到样信息汇总统计!J$2:J$500,MATCH(288,样本到样信息汇总统计!$X$2:$X$500,0)),"")</f>
        <v/>
      </c>
      <c r="K289" s="15" t="str">
        <f>IFERROR(INDEX(样本到样信息汇总统计!K$2:K$500,MATCH(288,样本到样信息汇总统计!$X$2:$X$500,0)),"")</f>
        <v/>
      </c>
      <c r="L289" s="8" t="str">
        <f>IFERROR(INDEX(样本到样信息汇总统计!L$2:L$500,MATCH(288,样本到样信息汇总统计!$X$2:$X$500,0)),"")</f>
        <v/>
      </c>
      <c r="M289" s="8" t="str">
        <f>IFERROR(INDEX(样本到样信息汇总统计!M$2:M$500,MATCH(288,样本到样信息汇总统计!$X$2:$X$500,0)),"")</f>
        <v/>
      </c>
      <c r="N289" s="8" t="str">
        <f>IFERROR(INDEX(样本到样信息汇总统计!N$2:N$500,MATCH(288,样本到样信息汇总统计!$X$2:$X$500,0)),"")</f>
        <v/>
      </c>
      <c r="O289" s="8" t="str">
        <f>IFERROR(INDEX(样本到样信息汇总统计!O$2:O$500,MATCH(288,样本到样信息汇总统计!$X$2:$X$500,0)),"")</f>
        <v/>
      </c>
      <c r="P289" s="8" t="str">
        <f>IFERROR(INDEX(样本到样信息汇总统计!P$2:P$500,MATCH(288,样本到样信息汇总统计!$X$2:$X$500,0)),"")</f>
        <v/>
      </c>
      <c r="Q289" s="8" t="str">
        <f>IFERROR(INDEX(样本到样信息汇总统计!Q$2:Q$500,MATCH(288,样本到样信息汇总统计!$X$2:$X$500,0)),"")</f>
        <v/>
      </c>
      <c r="R289" s="8" t="str">
        <f>IFERROR(INDEX(样本到样信息汇总统计!R$2:R$500,MATCH(288,样本到样信息汇总统计!$X$2:$X$500,0)),"")</f>
        <v/>
      </c>
      <c r="S289" s="8" t="str">
        <f>IFERROR(INDEX(样本到样信息汇总统计!S$2:S$500,MATCH(288,样本到样信息汇总统计!$X$2:$X$500,0)),"")</f>
        <v/>
      </c>
      <c r="T289" s="8" t="str">
        <f>IFERROR(INDEX(样本到样信息汇总统计!T$2:T$500,MATCH(288,样本到样信息汇总统计!$X$2:$X$500,0)),"")</f>
        <v/>
      </c>
      <c r="U289" s="8" t="str">
        <f>IFERROR(INDEX(样本到样信息汇总统计!U$2:U$500,MATCH(288,样本到样信息汇总统计!$X$2:$X$500,0)),"")</f>
        <v/>
      </c>
      <c r="V289" s="8" t="str">
        <f>IFERROR(INDEX(样本到样信息汇总统计!V$2:V$500,MATCH(288,样本到样信息汇总统计!$X$2:$X$500,0)),"")</f>
        <v/>
      </c>
      <c r="W289" s="8" t="str">
        <f>IFERROR(INDEX(样本到样信息汇总统计!W$2:W$500,MATCH(288,样本到样信息汇总统计!$X$2:$X$500,0)),"")</f>
        <v/>
      </c>
    </row>
    <row r="290" ht="14.5" spans="1:23">
      <c r="A290" s="4" t="str">
        <f>IFERROR(INDEX(样本到样信息汇总统计!A$2:A$500,MATCH(289,样本到样信息汇总统计!$X$2:$X$500,0)),"")</f>
        <v/>
      </c>
      <c r="B290" s="4" t="str">
        <f>IFERROR(INDEX(样本到样信息汇总统计!B$2:B$500,MATCH(289,样本到样信息汇总统计!$X$2:$X$500,0)),"")</f>
        <v/>
      </c>
      <c r="C290" s="4" t="str">
        <f>IFERROR(INDEX(样本到样信息汇总统计!C$2:C$500,MATCH(289,样本到样信息汇总统计!$X$2:$X$500,0)),"")</f>
        <v/>
      </c>
      <c r="D290" s="4" t="str">
        <f>IFERROR(INDEX(样本到样信息汇总统计!D$2:D$500,MATCH(289,样本到样信息汇总统计!$X$2:$X$500,0)),"")</f>
        <v/>
      </c>
      <c r="E290" s="4" t="str">
        <f>IFERROR(INDEX(样本到样信息汇总统计!E$2:E$500,MATCH(289,样本到样信息汇总统计!$X$2:$X$500,0)),"")</f>
        <v/>
      </c>
      <c r="F290" s="4" t="str">
        <f>IFERROR(INDEX(样本到样信息汇总统计!F$2:F$500,MATCH(289,样本到样信息汇总统计!$X$2:$X$500,0)),"")</f>
        <v/>
      </c>
      <c r="G290" s="4" t="str">
        <f>IFERROR(INDEX(样本到样信息汇总统计!G$2:G$500,MATCH(289,样本到样信息汇总统计!$X$2:$X$500,0)),"")</f>
        <v/>
      </c>
      <c r="H290" s="4" t="str">
        <f>IFERROR(INDEX(样本到样信息汇总统计!H$2:H$500,MATCH(289,样本到样信息汇总统计!$X$2:$X$500,0)),"")</f>
        <v/>
      </c>
      <c r="I290" s="4" t="str">
        <f>IFERROR(INDEX(样本到样信息汇总统计!I$2:I$500,MATCH(289,样本到样信息汇总统计!$X$2:$X$500,0)),"")</f>
        <v/>
      </c>
      <c r="J290" s="4" t="str">
        <f>IFERROR(INDEX(样本到样信息汇总统计!J$2:J$500,MATCH(289,样本到样信息汇总统计!$X$2:$X$500,0)),"")</f>
        <v/>
      </c>
      <c r="K290" s="14" t="str">
        <f>IFERROR(INDEX(样本到样信息汇总统计!K$2:K$500,MATCH(289,样本到样信息汇总统计!$X$2:$X$500,0)),"")</f>
        <v/>
      </c>
      <c r="L290" s="4" t="str">
        <f>IFERROR(INDEX(样本到样信息汇总统计!L$2:L$500,MATCH(289,样本到样信息汇总统计!$X$2:$X$500,0)),"")</f>
        <v/>
      </c>
      <c r="M290" s="4" t="str">
        <f>IFERROR(INDEX(样本到样信息汇总统计!M$2:M$500,MATCH(289,样本到样信息汇总统计!$X$2:$X$500,0)),"")</f>
        <v/>
      </c>
      <c r="N290" s="4" t="str">
        <f>IFERROR(INDEX(样本到样信息汇总统计!N$2:N$500,MATCH(289,样本到样信息汇总统计!$X$2:$X$500,0)),"")</f>
        <v/>
      </c>
      <c r="O290" s="4" t="str">
        <f>IFERROR(INDEX(样本到样信息汇总统计!O$2:O$500,MATCH(289,样本到样信息汇总统计!$X$2:$X$500,0)),"")</f>
        <v/>
      </c>
      <c r="P290" s="4" t="str">
        <f>IFERROR(INDEX(样本到样信息汇总统计!P$2:P$500,MATCH(289,样本到样信息汇总统计!$X$2:$X$500,0)),"")</f>
        <v/>
      </c>
      <c r="Q290" s="4" t="str">
        <f>IFERROR(INDEX(样本到样信息汇总统计!Q$2:Q$500,MATCH(289,样本到样信息汇总统计!$X$2:$X$500,0)),"")</f>
        <v/>
      </c>
      <c r="R290" s="4" t="str">
        <f>IFERROR(INDEX(样本到样信息汇总统计!R$2:R$500,MATCH(289,样本到样信息汇总统计!$X$2:$X$500,0)),"")</f>
        <v/>
      </c>
      <c r="S290" s="4" t="str">
        <f>IFERROR(INDEX(样本到样信息汇总统计!S$2:S$500,MATCH(289,样本到样信息汇总统计!$X$2:$X$500,0)),"")</f>
        <v/>
      </c>
      <c r="T290" s="4" t="str">
        <f>IFERROR(INDEX(样本到样信息汇总统计!T$2:T$500,MATCH(289,样本到样信息汇总统计!$X$2:$X$500,0)),"")</f>
        <v/>
      </c>
      <c r="U290" s="4" t="str">
        <f>IFERROR(INDEX(样本到样信息汇总统计!U$2:U$500,MATCH(289,样本到样信息汇总统计!$X$2:$X$500,0)),"")</f>
        <v/>
      </c>
      <c r="V290" s="4" t="str">
        <f>IFERROR(INDEX(样本到样信息汇总统计!V$2:V$500,MATCH(289,样本到样信息汇总统计!$X$2:$X$500,0)),"")</f>
        <v/>
      </c>
      <c r="W290" s="4" t="str">
        <f>IFERROR(INDEX(样本到样信息汇总统计!W$2:W$500,MATCH(289,样本到样信息汇总统计!$X$2:$X$500,0)),"")</f>
        <v/>
      </c>
    </row>
    <row r="291" ht="14.5" spans="1:23">
      <c r="A291" s="8" t="str">
        <f>IFERROR(INDEX(样本到样信息汇总统计!A$2:A$500,MATCH(290,样本到样信息汇总统计!$X$2:$X$500,0)),"")</f>
        <v/>
      </c>
      <c r="B291" s="8" t="str">
        <f>IFERROR(INDEX(样本到样信息汇总统计!B$2:B$500,MATCH(290,样本到样信息汇总统计!$X$2:$X$500,0)),"")</f>
        <v/>
      </c>
      <c r="C291" s="8" t="str">
        <f>IFERROR(INDEX(样本到样信息汇总统计!C$2:C$500,MATCH(290,样本到样信息汇总统计!$X$2:$X$500,0)),"")</f>
        <v/>
      </c>
      <c r="D291" s="8" t="str">
        <f>IFERROR(INDEX(样本到样信息汇总统计!D$2:D$500,MATCH(290,样本到样信息汇总统计!$X$2:$X$500,0)),"")</f>
        <v/>
      </c>
      <c r="E291" s="8" t="str">
        <f>IFERROR(INDEX(样本到样信息汇总统计!E$2:E$500,MATCH(290,样本到样信息汇总统计!$X$2:$X$500,0)),"")</f>
        <v/>
      </c>
      <c r="F291" s="8" t="str">
        <f>IFERROR(INDEX(样本到样信息汇总统计!F$2:F$500,MATCH(290,样本到样信息汇总统计!$X$2:$X$500,0)),"")</f>
        <v/>
      </c>
      <c r="G291" s="8" t="str">
        <f>IFERROR(INDEX(样本到样信息汇总统计!G$2:G$500,MATCH(290,样本到样信息汇总统计!$X$2:$X$500,0)),"")</f>
        <v/>
      </c>
      <c r="H291" s="8" t="str">
        <f>IFERROR(INDEX(样本到样信息汇总统计!H$2:H$500,MATCH(290,样本到样信息汇总统计!$X$2:$X$500,0)),"")</f>
        <v/>
      </c>
      <c r="I291" s="8" t="str">
        <f>IFERROR(INDEX(样本到样信息汇总统计!I$2:I$500,MATCH(290,样本到样信息汇总统计!$X$2:$X$500,0)),"")</f>
        <v/>
      </c>
      <c r="J291" s="8" t="str">
        <f>IFERROR(INDEX(样本到样信息汇总统计!J$2:J$500,MATCH(290,样本到样信息汇总统计!$X$2:$X$500,0)),"")</f>
        <v/>
      </c>
      <c r="K291" s="15" t="str">
        <f>IFERROR(INDEX(样本到样信息汇总统计!K$2:K$500,MATCH(290,样本到样信息汇总统计!$X$2:$X$500,0)),"")</f>
        <v/>
      </c>
      <c r="L291" s="8" t="str">
        <f>IFERROR(INDEX(样本到样信息汇总统计!L$2:L$500,MATCH(290,样本到样信息汇总统计!$X$2:$X$500,0)),"")</f>
        <v/>
      </c>
      <c r="M291" s="8" t="str">
        <f>IFERROR(INDEX(样本到样信息汇总统计!M$2:M$500,MATCH(290,样本到样信息汇总统计!$X$2:$X$500,0)),"")</f>
        <v/>
      </c>
      <c r="N291" s="8" t="str">
        <f>IFERROR(INDEX(样本到样信息汇总统计!N$2:N$500,MATCH(290,样本到样信息汇总统计!$X$2:$X$500,0)),"")</f>
        <v/>
      </c>
      <c r="O291" s="8" t="str">
        <f>IFERROR(INDEX(样本到样信息汇总统计!O$2:O$500,MATCH(290,样本到样信息汇总统计!$X$2:$X$500,0)),"")</f>
        <v/>
      </c>
      <c r="P291" s="8" t="str">
        <f>IFERROR(INDEX(样本到样信息汇总统计!P$2:P$500,MATCH(290,样本到样信息汇总统计!$X$2:$X$500,0)),"")</f>
        <v/>
      </c>
      <c r="Q291" s="8" t="str">
        <f>IFERROR(INDEX(样本到样信息汇总统计!Q$2:Q$500,MATCH(290,样本到样信息汇总统计!$X$2:$X$500,0)),"")</f>
        <v/>
      </c>
      <c r="R291" s="8" t="str">
        <f>IFERROR(INDEX(样本到样信息汇总统计!R$2:R$500,MATCH(290,样本到样信息汇总统计!$X$2:$X$500,0)),"")</f>
        <v/>
      </c>
      <c r="S291" s="8" t="str">
        <f>IFERROR(INDEX(样本到样信息汇总统计!S$2:S$500,MATCH(290,样本到样信息汇总统计!$X$2:$X$500,0)),"")</f>
        <v/>
      </c>
      <c r="T291" s="8" t="str">
        <f>IFERROR(INDEX(样本到样信息汇总统计!T$2:T$500,MATCH(290,样本到样信息汇总统计!$X$2:$X$500,0)),"")</f>
        <v/>
      </c>
      <c r="U291" s="8" t="str">
        <f>IFERROR(INDEX(样本到样信息汇总统计!U$2:U$500,MATCH(290,样本到样信息汇总统计!$X$2:$X$500,0)),"")</f>
        <v/>
      </c>
      <c r="V291" s="8" t="str">
        <f>IFERROR(INDEX(样本到样信息汇总统计!V$2:V$500,MATCH(290,样本到样信息汇总统计!$X$2:$X$500,0)),"")</f>
        <v/>
      </c>
      <c r="W291" s="8" t="str">
        <f>IFERROR(INDEX(样本到样信息汇总统计!W$2:W$500,MATCH(290,样本到样信息汇总统计!$X$2:$X$500,0)),"")</f>
        <v/>
      </c>
    </row>
    <row r="292" ht="14.5" spans="1:23">
      <c r="A292" s="4" t="str">
        <f>IFERROR(INDEX(样本到样信息汇总统计!A$2:A$500,MATCH(291,样本到样信息汇总统计!$X$2:$X$500,0)),"")</f>
        <v/>
      </c>
      <c r="B292" s="4" t="str">
        <f>IFERROR(INDEX(样本到样信息汇总统计!B$2:B$500,MATCH(291,样本到样信息汇总统计!$X$2:$X$500,0)),"")</f>
        <v/>
      </c>
      <c r="C292" s="4" t="str">
        <f>IFERROR(INDEX(样本到样信息汇总统计!C$2:C$500,MATCH(291,样本到样信息汇总统计!$X$2:$X$500,0)),"")</f>
        <v/>
      </c>
      <c r="D292" s="4" t="str">
        <f>IFERROR(INDEX(样本到样信息汇总统计!D$2:D$500,MATCH(291,样本到样信息汇总统计!$X$2:$X$500,0)),"")</f>
        <v/>
      </c>
      <c r="E292" s="4" t="str">
        <f>IFERROR(INDEX(样本到样信息汇总统计!E$2:E$500,MATCH(291,样本到样信息汇总统计!$X$2:$X$500,0)),"")</f>
        <v/>
      </c>
      <c r="F292" s="4" t="str">
        <f>IFERROR(INDEX(样本到样信息汇总统计!F$2:F$500,MATCH(291,样本到样信息汇总统计!$X$2:$X$500,0)),"")</f>
        <v/>
      </c>
      <c r="G292" s="4" t="str">
        <f>IFERROR(INDEX(样本到样信息汇总统计!G$2:G$500,MATCH(291,样本到样信息汇总统计!$X$2:$X$500,0)),"")</f>
        <v/>
      </c>
      <c r="H292" s="4" t="str">
        <f>IFERROR(INDEX(样本到样信息汇总统计!H$2:H$500,MATCH(291,样本到样信息汇总统计!$X$2:$X$500,0)),"")</f>
        <v/>
      </c>
      <c r="I292" s="4" t="str">
        <f>IFERROR(INDEX(样本到样信息汇总统计!I$2:I$500,MATCH(291,样本到样信息汇总统计!$X$2:$X$500,0)),"")</f>
        <v/>
      </c>
      <c r="J292" s="4" t="str">
        <f>IFERROR(INDEX(样本到样信息汇总统计!J$2:J$500,MATCH(291,样本到样信息汇总统计!$X$2:$X$500,0)),"")</f>
        <v/>
      </c>
      <c r="K292" s="14" t="str">
        <f>IFERROR(INDEX(样本到样信息汇总统计!K$2:K$500,MATCH(291,样本到样信息汇总统计!$X$2:$X$500,0)),"")</f>
        <v/>
      </c>
      <c r="L292" s="4" t="str">
        <f>IFERROR(INDEX(样本到样信息汇总统计!L$2:L$500,MATCH(291,样本到样信息汇总统计!$X$2:$X$500,0)),"")</f>
        <v/>
      </c>
      <c r="M292" s="4" t="str">
        <f>IFERROR(INDEX(样本到样信息汇总统计!M$2:M$500,MATCH(291,样本到样信息汇总统计!$X$2:$X$500,0)),"")</f>
        <v/>
      </c>
      <c r="N292" s="4" t="str">
        <f>IFERROR(INDEX(样本到样信息汇总统计!N$2:N$500,MATCH(291,样本到样信息汇总统计!$X$2:$X$500,0)),"")</f>
        <v/>
      </c>
      <c r="O292" s="4" t="str">
        <f>IFERROR(INDEX(样本到样信息汇总统计!O$2:O$500,MATCH(291,样本到样信息汇总统计!$X$2:$X$500,0)),"")</f>
        <v/>
      </c>
      <c r="P292" s="4" t="str">
        <f>IFERROR(INDEX(样本到样信息汇总统计!P$2:P$500,MATCH(291,样本到样信息汇总统计!$X$2:$X$500,0)),"")</f>
        <v/>
      </c>
      <c r="Q292" s="4" t="str">
        <f>IFERROR(INDEX(样本到样信息汇总统计!Q$2:Q$500,MATCH(291,样本到样信息汇总统计!$X$2:$X$500,0)),"")</f>
        <v/>
      </c>
      <c r="R292" s="4" t="str">
        <f>IFERROR(INDEX(样本到样信息汇总统计!R$2:R$500,MATCH(291,样本到样信息汇总统计!$X$2:$X$500,0)),"")</f>
        <v/>
      </c>
      <c r="S292" s="4" t="str">
        <f>IFERROR(INDEX(样本到样信息汇总统计!S$2:S$500,MATCH(291,样本到样信息汇总统计!$X$2:$X$500,0)),"")</f>
        <v/>
      </c>
      <c r="T292" s="4" t="str">
        <f>IFERROR(INDEX(样本到样信息汇总统计!T$2:T$500,MATCH(291,样本到样信息汇总统计!$X$2:$X$500,0)),"")</f>
        <v/>
      </c>
      <c r="U292" s="4" t="str">
        <f>IFERROR(INDEX(样本到样信息汇总统计!U$2:U$500,MATCH(291,样本到样信息汇总统计!$X$2:$X$500,0)),"")</f>
        <v/>
      </c>
      <c r="V292" s="4" t="str">
        <f>IFERROR(INDEX(样本到样信息汇总统计!V$2:V$500,MATCH(291,样本到样信息汇总统计!$X$2:$X$500,0)),"")</f>
        <v/>
      </c>
      <c r="W292" s="4" t="str">
        <f>IFERROR(INDEX(样本到样信息汇总统计!W$2:W$500,MATCH(291,样本到样信息汇总统计!$X$2:$X$500,0)),"")</f>
        <v/>
      </c>
    </row>
    <row r="293" ht="14.5" spans="1:23">
      <c r="A293" s="8" t="str">
        <f>IFERROR(INDEX(样本到样信息汇总统计!A$2:A$500,MATCH(292,样本到样信息汇总统计!$X$2:$X$500,0)),"")</f>
        <v/>
      </c>
      <c r="B293" s="8" t="str">
        <f>IFERROR(INDEX(样本到样信息汇总统计!B$2:B$500,MATCH(292,样本到样信息汇总统计!$X$2:$X$500,0)),"")</f>
        <v/>
      </c>
      <c r="C293" s="8" t="str">
        <f>IFERROR(INDEX(样本到样信息汇总统计!C$2:C$500,MATCH(292,样本到样信息汇总统计!$X$2:$X$500,0)),"")</f>
        <v/>
      </c>
      <c r="D293" s="8" t="str">
        <f>IFERROR(INDEX(样本到样信息汇总统计!D$2:D$500,MATCH(292,样本到样信息汇总统计!$X$2:$X$500,0)),"")</f>
        <v/>
      </c>
      <c r="E293" s="8" t="str">
        <f>IFERROR(INDEX(样本到样信息汇总统计!E$2:E$500,MATCH(292,样本到样信息汇总统计!$X$2:$X$500,0)),"")</f>
        <v/>
      </c>
      <c r="F293" s="8" t="str">
        <f>IFERROR(INDEX(样本到样信息汇总统计!F$2:F$500,MATCH(292,样本到样信息汇总统计!$X$2:$X$500,0)),"")</f>
        <v/>
      </c>
      <c r="G293" s="8" t="str">
        <f>IFERROR(INDEX(样本到样信息汇总统计!G$2:G$500,MATCH(292,样本到样信息汇总统计!$X$2:$X$500,0)),"")</f>
        <v/>
      </c>
      <c r="H293" s="8" t="str">
        <f>IFERROR(INDEX(样本到样信息汇总统计!H$2:H$500,MATCH(292,样本到样信息汇总统计!$X$2:$X$500,0)),"")</f>
        <v/>
      </c>
      <c r="I293" s="8" t="str">
        <f>IFERROR(INDEX(样本到样信息汇总统计!I$2:I$500,MATCH(292,样本到样信息汇总统计!$X$2:$X$500,0)),"")</f>
        <v/>
      </c>
      <c r="J293" s="8" t="str">
        <f>IFERROR(INDEX(样本到样信息汇总统计!J$2:J$500,MATCH(292,样本到样信息汇总统计!$X$2:$X$500,0)),"")</f>
        <v/>
      </c>
      <c r="K293" s="15" t="str">
        <f>IFERROR(INDEX(样本到样信息汇总统计!K$2:K$500,MATCH(292,样本到样信息汇总统计!$X$2:$X$500,0)),"")</f>
        <v/>
      </c>
      <c r="L293" s="8" t="str">
        <f>IFERROR(INDEX(样本到样信息汇总统计!L$2:L$500,MATCH(292,样本到样信息汇总统计!$X$2:$X$500,0)),"")</f>
        <v/>
      </c>
      <c r="M293" s="8" t="str">
        <f>IFERROR(INDEX(样本到样信息汇总统计!M$2:M$500,MATCH(292,样本到样信息汇总统计!$X$2:$X$500,0)),"")</f>
        <v/>
      </c>
      <c r="N293" s="8" t="str">
        <f>IFERROR(INDEX(样本到样信息汇总统计!N$2:N$500,MATCH(292,样本到样信息汇总统计!$X$2:$X$500,0)),"")</f>
        <v/>
      </c>
      <c r="O293" s="8" t="str">
        <f>IFERROR(INDEX(样本到样信息汇总统计!O$2:O$500,MATCH(292,样本到样信息汇总统计!$X$2:$X$500,0)),"")</f>
        <v/>
      </c>
      <c r="P293" s="8" t="str">
        <f>IFERROR(INDEX(样本到样信息汇总统计!P$2:P$500,MATCH(292,样本到样信息汇总统计!$X$2:$X$500,0)),"")</f>
        <v/>
      </c>
      <c r="Q293" s="8" t="str">
        <f>IFERROR(INDEX(样本到样信息汇总统计!Q$2:Q$500,MATCH(292,样本到样信息汇总统计!$X$2:$X$500,0)),"")</f>
        <v/>
      </c>
      <c r="R293" s="8" t="str">
        <f>IFERROR(INDEX(样本到样信息汇总统计!R$2:R$500,MATCH(292,样本到样信息汇总统计!$X$2:$X$500,0)),"")</f>
        <v/>
      </c>
      <c r="S293" s="8" t="str">
        <f>IFERROR(INDEX(样本到样信息汇总统计!S$2:S$500,MATCH(292,样本到样信息汇总统计!$X$2:$X$500,0)),"")</f>
        <v/>
      </c>
      <c r="T293" s="8" t="str">
        <f>IFERROR(INDEX(样本到样信息汇总统计!T$2:T$500,MATCH(292,样本到样信息汇总统计!$X$2:$X$500,0)),"")</f>
        <v/>
      </c>
      <c r="U293" s="8" t="str">
        <f>IFERROR(INDEX(样本到样信息汇总统计!U$2:U$500,MATCH(292,样本到样信息汇总统计!$X$2:$X$500,0)),"")</f>
        <v/>
      </c>
      <c r="V293" s="8" t="str">
        <f>IFERROR(INDEX(样本到样信息汇总统计!V$2:V$500,MATCH(292,样本到样信息汇总统计!$X$2:$X$500,0)),"")</f>
        <v/>
      </c>
      <c r="W293" s="8" t="str">
        <f>IFERROR(INDEX(样本到样信息汇总统计!W$2:W$500,MATCH(292,样本到样信息汇总统计!$X$2:$X$500,0)),"")</f>
        <v/>
      </c>
    </row>
    <row r="294" ht="14.5" spans="1:23">
      <c r="A294" s="4" t="str">
        <f>IFERROR(INDEX(样本到样信息汇总统计!A$2:A$500,MATCH(293,样本到样信息汇总统计!$X$2:$X$500,0)),"")</f>
        <v/>
      </c>
      <c r="B294" s="4" t="str">
        <f>IFERROR(INDEX(样本到样信息汇总统计!B$2:B$500,MATCH(293,样本到样信息汇总统计!$X$2:$X$500,0)),"")</f>
        <v/>
      </c>
      <c r="C294" s="4" t="str">
        <f>IFERROR(INDEX(样本到样信息汇总统计!C$2:C$500,MATCH(293,样本到样信息汇总统计!$X$2:$X$500,0)),"")</f>
        <v/>
      </c>
      <c r="D294" s="4" t="str">
        <f>IFERROR(INDEX(样本到样信息汇总统计!D$2:D$500,MATCH(293,样本到样信息汇总统计!$X$2:$X$500,0)),"")</f>
        <v/>
      </c>
      <c r="E294" s="4" t="str">
        <f>IFERROR(INDEX(样本到样信息汇总统计!E$2:E$500,MATCH(293,样本到样信息汇总统计!$X$2:$X$500,0)),"")</f>
        <v/>
      </c>
      <c r="F294" s="4" t="str">
        <f>IFERROR(INDEX(样本到样信息汇总统计!F$2:F$500,MATCH(293,样本到样信息汇总统计!$X$2:$X$500,0)),"")</f>
        <v/>
      </c>
      <c r="G294" s="4" t="str">
        <f>IFERROR(INDEX(样本到样信息汇总统计!G$2:G$500,MATCH(293,样本到样信息汇总统计!$X$2:$X$500,0)),"")</f>
        <v/>
      </c>
      <c r="H294" s="4" t="str">
        <f>IFERROR(INDEX(样本到样信息汇总统计!H$2:H$500,MATCH(293,样本到样信息汇总统计!$X$2:$X$500,0)),"")</f>
        <v/>
      </c>
      <c r="I294" s="4" t="str">
        <f>IFERROR(INDEX(样本到样信息汇总统计!I$2:I$500,MATCH(293,样本到样信息汇总统计!$X$2:$X$500,0)),"")</f>
        <v/>
      </c>
      <c r="J294" s="4" t="str">
        <f>IFERROR(INDEX(样本到样信息汇总统计!J$2:J$500,MATCH(293,样本到样信息汇总统计!$X$2:$X$500,0)),"")</f>
        <v/>
      </c>
      <c r="K294" s="14" t="str">
        <f>IFERROR(INDEX(样本到样信息汇总统计!K$2:K$500,MATCH(293,样本到样信息汇总统计!$X$2:$X$500,0)),"")</f>
        <v/>
      </c>
      <c r="L294" s="4" t="str">
        <f>IFERROR(INDEX(样本到样信息汇总统计!L$2:L$500,MATCH(293,样本到样信息汇总统计!$X$2:$X$500,0)),"")</f>
        <v/>
      </c>
      <c r="M294" s="4" t="str">
        <f>IFERROR(INDEX(样本到样信息汇总统计!M$2:M$500,MATCH(293,样本到样信息汇总统计!$X$2:$X$500,0)),"")</f>
        <v/>
      </c>
      <c r="N294" s="4" t="str">
        <f>IFERROR(INDEX(样本到样信息汇总统计!N$2:N$500,MATCH(293,样本到样信息汇总统计!$X$2:$X$500,0)),"")</f>
        <v/>
      </c>
      <c r="O294" s="4" t="str">
        <f>IFERROR(INDEX(样本到样信息汇总统计!O$2:O$500,MATCH(293,样本到样信息汇总统计!$X$2:$X$500,0)),"")</f>
        <v/>
      </c>
      <c r="P294" s="4" t="str">
        <f>IFERROR(INDEX(样本到样信息汇总统计!P$2:P$500,MATCH(293,样本到样信息汇总统计!$X$2:$X$500,0)),"")</f>
        <v/>
      </c>
      <c r="Q294" s="4" t="str">
        <f>IFERROR(INDEX(样本到样信息汇总统计!Q$2:Q$500,MATCH(293,样本到样信息汇总统计!$X$2:$X$500,0)),"")</f>
        <v/>
      </c>
      <c r="R294" s="4" t="str">
        <f>IFERROR(INDEX(样本到样信息汇总统计!R$2:R$500,MATCH(293,样本到样信息汇总统计!$X$2:$X$500,0)),"")</f>
        <v/>
      </c>
      <c r="S294" s="4" t="str">
        <f>IFERROR(INDEX(样本到样信息汇总统计!S$2:S$500,MATCH(293,样本到样信息汇总统计!$X$2:$X$500,0)),"")</f>
        <v/>
      </c>
      <c r="T294" s="4" t="str">
        <f>IFERROR(INDEX(样本到样信息汇总统计!T$2:T$500,MATCH(293,样本到样信息汇总统计!$X$2:$X$500,0)),"")</f>
        <v/>
      </c>
      <c r="U294" s="4" t="str">
        <f>IFERROR(INDEX(样本到样信息汇总统计!U$2:U$500,MATCH(293,样本到样信息汇总统计!$X$2:$X$500,0)),"")</f>
        <v/>
      </c>
      <c r="V294" s="4" t="str">
        <f>IFERROR(INDEX(样本到样信息汇总统计!V$2:V$500,MATCH(293,样本到样信息汇总统计!$X$2:$X$500,0)),"")</f>
        <v/>
      </c>
      <c r="W294" s="4" t="str">
        <f>IFERROR(INDEX(样本到样信息汇总统计!W$2:W$500,MATCH(293,样本到样信息汇总统计!$X$2:$X$500,0)),"")</f>
        <v/>
      </c>
    </row>
    <row r="295" ht="14.5" spans="1:23">
      <c r="A295" s="8" t="str">
        <f>IFERROR(INDEX(样本到样信息汇总统计!A$2:A$500,MATCH(294,样本到样信息汇总统计!$X$2:$X$500,0)),"")</f>
        <v/>
      </c>
      <c r="B295" s="8" t="str">
        <f>IFERROR(INDEX(样本到样信息汇总统计!B$2:B$500,MATCH(294,样本到样信息汇总统计!$X$2:$X$500,0)),"")</f>
        <v/>
      </c>
      <c r="C295" s="8" t="str">
        <f>IFERROR(INDEX(样本到样信息汇总统计!C$2:C$500,MATCH(294,样本到样信息汇总统计!$X$2:$X$500,0)),"")</f>
        <v/>
      </c>
      <c r="D295" s="8" t="str">
        <f>IFERROR(INDEX(样本到样信息汇总统计!D$2:D$500,MATCH(294,样本到样信息汇总统计!$X$2:$X$500,0)),"")</f>
        <v/>
      </c>
      <c r="E295" s="8" t="str">
        <f>IFERROR(INDEX(样本到样信息汇总统计!E$2:E$500,MATCH(294,样本到样信息汇总统计!$X$2:$X$500,0)),"")</f>
        <v/>
      </c>
      <c r="F295" s="8" t="str">
        <f>IFERROR(INDEX(样本到样信息汇总统计!F$2:F$500,MATCH(294,样本到样信息汇总统计!$X$2:$X$500,0)),"")</f>
        <v/>
      </c>
      <c r="G295" s="8" t="str">
        <f>IFERROR(INDEX(样本到样信息汇总统计!G$2:G$500,MATCH(294,样本到样信息汇总统计!$X$2:$X$500,0)),"")</f>
        <v/>
      </c>
      <c r="H295" s="8" t="str">
        <f>IFERROR(INDEX(样本到样信息汇总统计!H$2:H$500,MATCH(294,样本到样信息汇总统计!$X$2:$X$500,0)),"")</f>
        <v/>
      </c>
      <c r="I295" s="8" t="str">
        <f>IFERROR(INDEX(样本到样信息汇总统计!I$2:I$500,MATCH(294,样本到样信息汇总统计!$X$2:$X$500,0)),"")</f>
        <v/>
      </c>
      <c r="J295" s="8" t="str">
        <f>IFERROR(INDEX(样本到样信息汇总统计!J$2:J$500,MATCH(294,样本到样信息汇总统计!$X$2:$X$500,0)),"")</f>
        <v/>
      </c>
      <c r="K295" s="15" t="str">
        <f>IFERROR(INDEX(样本到样信息汇总统计!K$2:K$500,MATCH(294,样本到样信息汇总统计!$X$2:$X$500,0)),"")</f>
        <v/>
      </c>
      <c r="L295" s="8" t="str">
        <f>IFERROR(INDEX(样本到样信息汇总统计!L$2:L$500,MATCH(294,样本到样信息汇总统计!$X$2:$X$500,0)),"")</f>
        <v/>
      </c>
      <c r="M295" s="8" t="str">
        <f>IFERROR(INDEX(样本到样信息汇总统计!M$2:M$500,MATCH(294,样本到样信息汇总统计!$X$2:$X$500,0)),"")</f>
        <v/>
      </c>
      <c r="N295" s="8" t="str">
        <f>IFERROR(INDEX(样本到样信息汇总统计!N$2:N$500,MATCH(294,样本到样信息汇总统计!$X$2:$X$500,0)),"")</f>
        <v/>
      </c>
      <c r="O295" s="8" t="str">
        <f>IFERROR(INDEX(样本到样信息汇总统计!O$2:O$500,MATCH(294,样本到样信息汇总统计!$X$2:$X$500,0)),"")</f>
        <v/>
      </c>
      <c r="P295" s="8" t="str">
        <f>IFERROR(INDEX(样本到样信息汇总统计!P$2:P$500,MATCH(294,样本到样信息汇总统计!$X$2:$X$500,0)),"")</f>
        <v/>
      </c>
      <c r="Q295" s="8" t="str">
        <f>IFERROR(INDEX(样本到样信息汇总统计!Q$2:Q$500,MATCH(294,样本到样信息汇总统计!$X$2:$X$500,0)),"")</f>
        <v/>
      </c>
      <c r="R295" s="8" t="str">
        <f>IFERROR(INDEX(样本到样信息汇总统计!R$2:R$500,MATCH(294,样本到样信息汇总统计!$X$2:$X$500,0)),"")</f>
        <v/>
      </c>
      <c r="S295" s="8" t="str">
        <f>IFERROR(INDEX(样本到样信息汇总统计!S$2:S$500,MATCH(294,样本到样信息汇总统计!$X$2:$X$500,0)),"")</f>
        <v/>
      </c>
      <c r="T295" s="8" t="str">
        <f>IFERROR(INDEX(样本到样信息汇总统计!T$2:T$500,MATCH(294,样本到样信息汇总统计!$X$2:$X$500,0)),"")</f>
        <v/>
      </c>
      <c r="U295" s="8" t="str">
        <f>IFERROR(INDEX(样本到样信息汇总统计!U$2:U$500,MATCH(294,样本到样信息汇总统计!$X$2:$X$500,0)),"")</f>
        <v/>
      </c>
      <c r="V295" s="8" t="str">
        <f>IFERROR(INDEX(样本到样信息汇总统计!V$2:V$500,MATCH(294,样本到样信息汇总统计!$X$2:$X$500,0)),"")</f>
        <v/>
      </c>
      <c r="W295" s="8" t="str">
        <f>IFERROR(INDEX(样本到样信息汇总统计!W$2:W$500,MATCH(294,样本到样信息汇总统计!$X$2:$X$500,0)),"")</f>
        <v/>
      </c>
    </row>
    <row r="296" ht="14.5" spans="1:23">
      <c r="A296" s="4" t="str">
        <f>IFERROR(INDEX(样本到样信息汇总统计!A$2:A$500,MATCH(295,样本到样信息汇总统计!$X$2:$X$500,0)),"")</f>
        <v/>
      </c>
      <c r="B296" s="4" t="str">
        <f>IFERROR(INDEX(样本到样信息汇总统计!B$2:B$500,MATCH(295,样本到样信息汇总统计!$X$2:$X$500,0)),"")</f>
        <v/>
      </c>
      <c r="C296" s="4" t="str">
        <f>IFERROR(INDEX(样本到样信息汇总统计!C$2:C$500,MATCH(295,样本到样信息汇总统计!$X$2:$X$500,0)),"")</f>
        <v/>
      </c>
      <c r="D296" s="4" t="str">
        <f>IFERROR(INDEX(样本到样信息汇总统计!D$2:D$500,MATCH(295,样本到样信息汇总统计!$X$2:$X$500,0)),"")</f>
        <v/>
      </c>
      <c r="E296" s="4" t="str">
        <f>IFERROR(INDEX(样本到样信息汇总统计!E$2:E$500,MATCH(295,样本到样信息汇总统计!$X$2:$X$500,0)),"")</f>
        <v/>
      </c>
      <c r="F296" s="4" t="str">
        <f>IFERROR(INDEX(样本到样信息汇总统计!F$2:F$500,MATCH(295,样本到样信息汇总统计!$X$2:$X$500,0)),"")</f>
        <v/>
      </c>
      <c r="G296" s="4" t="str">
        <f>IFERROR(INDEX(样本到样信息汇总统计!G$2:G$500,MATCH(295,样本到样信息汇总统计!$X$2:$X$500,0)),"")</f>
        <v/>
      </c>
      <c r="H296" s="4" t="str">
        <f>IFERROR(INDEX(样本到样信息汇总统计!H$2:H$500,MATCH(295,样本到样信息汇总统计!$X$2:$X$500,0)),"")</f>
        <v/>
      </c>
      <c r="I296" s="4" t="str">
        <f>IFERROR(INDEX(样本到样信息汇总统计!I$2:I$500,MATCH(295,样本到样信息汇总统计!$X$2:$X$500,0)),"")</f>
        <v/>
      </c>
      <c r="J296" s="4" t="str">
        <f>IFERROR(INDEX(样本到样信息汇总统计!J$2:J$500,MATCH(295,样本到样信息汇总统计!$X$2:$X$500,0)),"")</f>
        <v/>
      </c>
      <c r="K296" s="14" t="str">
        <f>IFERROR(INDEX(样本到样信息汇总统计!K$2:K$500,MATCH(295,样本到样信息汇总统计!$X$2:$X$500,0)),"")</f>
        <v/>
      </c>
      <c r="L296" s="4" t="str">
        <f>IFERROR(INDEX(样本到样信息汇总统计!L$2:L$500,MATCH(295,样本到样信息汇总统计!$X$2:$X$500,0)),"")</f>
        <v/>
      </c>
      <c r="M296" s="4" t="str">
        <f>IFERROR(INDEX(样本到样信息汇总统计!M$2:M$500,MATCH(295,样本到样信息汇总统计!$X$2:$X$500,0)),"")</f>
        <v/>
      </c>
      <c r="N296" s="4" t="str">
        <f>IFERROR(INDEX(样本到样信息汇总统计!N$2:N$500,MATCH(295,样本到样信息汇总统计!$X$2:$X$500,0)),"")</f>
        <v/>
      </c>
      <c r="O296" s="4" t="str">
        <f>IFERROR(INDEX(样本到样信息汇总统计!O$2:O$500,MATCH(295,样本到样信息汇总统计!$X$2:$X$500,0)),"")</f>
        <v/>
      </c>
      <c r="P296" s="4" t="str">
        <f>IFERROR(INDEX(样本到样信息汇总统计!P$2:P$500,MATCH(295,样本到样信息汇总统计!$X$2:$X$500,0)),"")</f>
        <v/>
      </c>
      <c r="Q296" s="4" t="str">
        <f>IFERROR(INDEX(样本到样信息汇总统计!Q$2:Q$500,MATCH(295,样本到样信息汇总统计!$X$2:$X$500,0)),"")</f>
        <v/>
      </c>
      <c r="R296" s="4" t="str">
        <f>IFERROR(INDEX(样本到样信息汇总统计!R$2:R$500,MATCH(295,样本到样信息汇总统计!$X$2:$X$500,0)),"")</f>
        <v/>
      </c>
      <c r="S296" s="4" t="str">
        <f>IFERROR(INDEX(样本到样信息汇总统计!S$2:S$500,MATCH(295,样本到样信息汇总统计!$X$2:$X$500,0)),"")</f>
        <v/>
      </c>
      <c r="T296" s="4" t="str">
        <f>IFERROR(INDEX(样本到样信息汇总统计!T$2:T$500,MATCH(295,样本到样信息汇总统计!$X$2:$X$500,0)),"")</f>
        <v/>
      </c>
      <c r="U296" s="4" t="str">
        <f>IFERROR(INDEX(样本到样信息汇总统计!U$2:U$500,MATCH(295,样本到样信息汇总统计!$X$2:$X$500,0)),"")</f>
        <v/>
      </c>
      <c r="V296" s="4" t="str">
        <f>IFERROR(INDEX(样本到样信息汇总统计!V$2:V$500,MATCH(295,样本到样信息汇总统计!$X$2:$X$500,0)),"")</f>
        <v/>
      </c>
      <c r="W296" s="4" t="str">
        <f>IFERROR(INDEX(样本到样信息汇总统计!W$2:W$500,MATCH(295,样本到样信息汇总统计!$X$2:$X$500,0)),"")</f>
        <v/>
      </c>
    </row>
    <row r="297" ht="14.5" spans="1:23">
      <c r="A297" s="8" t="str">
        <f>IFERROR(INDEX(样本到样信息汇总统计!A$2:A$500,MATCH(296,样本到样信息汇总统计!$X$2:$X$500,0)),"")</f>
        <v/>
      </c>
      <c r="B297" s="8" t="str">
        <f>IFERROR(INDEX(样本到样信息汇总统计!B$2:B$500,MATCH(296,样本到样信息汇总统计!$X$2:$X$500,0)),"")</f>
        <v/>
      </c>
      <c r="C297" s="8" t="str">
        <f>IFERROR(INDEX(样本到样信息汇总统计!C$2:C$500,MATCH(296,样本到样信息汇总统计!$X$2:$X$500,0)),"")</f>
        <v/>
      </c>
      <c r="D297" s="8" t="str">
        <f>IFERROR(INDEX(样本到样信息汇总统计!D$2:D$500,MATCH(296,样本到样信息汇总统计!$X$2:$X$500,0)),"")</f>
        <v/>
      </c>
      <c r="E297" s="8" t="str">
        <f>IFERROR(INDEX(样本到样信息汇总统计!E$2:E$500,MATCH(296,样本到样信息汇总统计!$X$2:$X$500,0)),"")</f>
        <v/>
      </c>
      <c r="F297" s="8" t="str">
        <f>IFERROR(INDEX(样本到样信息汇总统计!F$2:F$500,MATCH(296,样本到样信息汇总统计!$X$2:$X$500,0)),"")</f>
        <v/>
      </c>
      <c r="G297" s="8" t="str">
        <f>IFERROR(INDEX(样本到样信息汇总统计!G$2:G$500,MATCH(296,样本到样信息汇总统计!$X$2:$X$500,0)),"")</f>
        <v/>
      </c>
      <c r="H297" s="8" t="str">
        <f>IFERROR(INDEX(样本到样信息汇总统计!H$2:H$500,MATCH(296,样本到样信息汇总统计!$X$2:$X$500,0)),"")</f>
        <v/>
      </c>
      <c r="I297" s="8" t="str">
        <f>IFERROR(INDEX(样本到样信息汇总统计!I$2:I$500,MATCH(296,样本到样信息汇总统计!$X$2:$X$500,0)),"")</f>
        <v/>
      </c>
      <c r="J297" s="8" t="str">
        <f>IFERROR(INDEX(样本到样信息汇总统计!J$2:J$500,MATCH(296,样本到样信息汇总统计!$X$2:$X$500,0)),"")</f>
        <v/>
      </c>
      <c r="K297" s="15" t="str">
        <f>IFERROR(INDEX(样本到样信息汇总统计!K$2:K$500,MATCH(296,样本到样信息汇总统计!$X$2:$X$500,0)),"")</f>
        <v/>
      </c>
      <c r="L297" s="8" t="str">
        <f>IFERROR(INDEX(样本到样信息汇总统计!L$2:L$500,MATCH(296,样本到样信息汇总统计!$X$2:$X$500,0)),"")</f>
        <v/>
      </c>
      <c r="M297" s="8" t="str">
        <f>IFERROR(INDEX(样本到样信息汇总统计!M$2:M$500,MATCH(296,样本到样信息汇总统计!$X$2:$X$500,0)),"")</f>
        <v/>
      </c>
      <c r="N297" s="8" t="str">
        <f>IFERROR(INDEX(样本到样信息汇总统计!N$2:N$500,MATCH(296,样本到样信息汇总统计!$X$2:$X$500,0)),"")</f>
        <v/>
      </c>
      <c r="O297" s="8" t="str">
        <f>IFERROR(INDEX(样本到样信息汇总统计!O$2:O$500,MATCH(296,样本到样信息汇总统计!$X$2:$X$500,0)),"")</f>
        <v/>
      </c>
      <c r="P297" s="8" t="str">
        <f>IFERROR(INDEX(样本到样信息汇总统计!P$2:P$500,MATCH(296,样本到样信息汇总统计!$X$2:$X$500,0)),"")</f>
        <v/>
      </c>
      <c r="Q297" s="8" t="str">
        <f>IFERROR(INDEX(样本到样信息汇总统计!Q$2:Q$500,MATCH(296,样本到样信息汇总统计!$X$2:$X$500,0)),"")</f>
        <v/>
      </c>
      <c r="R297" s="8" t="str">
        <f>IFERROR(INDEX(样本到样信息汇总统计!R$2:R$500,MATCH(296,样本到样信息汇总统计!$X$2:$X$500,0)),"")</f>
        <v/>
      </c>
      <c r="S297" s="8" t="str">
        <f>IFERROR(INDEX(样本到样信息汇总统计!S$2:S$500,MATCH(296,样本到样信息汇总统计!$X$2:$X$500,0)),"")</f>
        <v/>
      </c>
      <c r="T297" s="8" t="str">
        <f>IFERROR(INDEX(样本到样信息汇总统计!T$2:T$500,MATCH(296,样本到样信息汇总统计!$X$2:$X$500,0)),"")</f>
        <v/>
      </c>
      <c r="U297" s="8" t="str">
        <f>IFERROR(INDEX(样本到样信息汇总统计!U$2:U$500,MATCH(296,样本到样信息汇总统计!$X$2:$X$500,0)),"")</f>
        <v/>
      </c>
      <c r="V297" s="8" t="str">
        <f>IFERROR(INDEX(样本到样信息汇总统计!V$2:V$500,MATCH(296,样本到样信息汇总统计!$X$2:$X$500,0)),"")</f>
        <v/>
      </c>
      <c r="W297" s="8" t="str">
        <f>IFERROR(INDEX(样本到样信息汇总统计!W$2:W$500,MATCH(296,样本到样信息汇总统计!$X$2:$X$500,0)),"")</f>
        <v/>
      </c>
    </row>
    <row r="298" ht="14.5" spans="1:23">
      <c r="A298" s="4" t="str">
        <f>IFERROR(INDEX(样本到样信息汇总统计!A$2:A$500,MATCH(297,样本到样信息汇总统计!$X$2:$X$500,0)),"")</f>
        <v/>
      </c>
      <c r="B298" s="4" t="str">
        <f>IFERROR(INDEX(样本到样信息汇总统计!B$2:B$500,MATCH(297,样本到样信息汇总统计!$X$2:$X$500,0)),"")</f>
        <v/>
      </c>
      <c r="C298" s="4" t="str">
        <f>IFERROR(INDEX(样本到样信息汇总统计!C$2:C$500,MATCH(297,样本到样信息汇总统计!$X$2:$X$500,0)),"")</f>
        <v/>
      </c>
      <c r="D298" s="4" t="str">
        <f>IFERROR(INDEX(样本到样信息汇总统计!D$2:D$500,MATCH(297,样本到样信息汇总统计!$X$2:$X$500,0)),"")</f>
        <v/>
      </c>
      <c r="E298" s="4" t="str">
        <f>IFERROR(INDEX(样本到样信息汇总统计!E$2:E$500,MATCH(297,样本到样信息汇总统计!$X$2:$X$500,0)),"")</f>
        <v/>
      </c>
      <c r="F298" s="4" t="str">
        <f>IFERROR(INDEX(样本到样信息汇总统计!F$2:F$500,MATCH(297,样本到样信息汇总统计!$X$2:$X$500,0)),"")</f>
        <v/>
      </c>
      <c r="G298" s="4" t="str">
        <f>IFERROR(INDEX(样本到样信息汇总统计!G$2:G$500,MATCH(297,样本到样信息汇总统计!$X$2:$X$500,0)),"")</f>
        <v/>
      </c>
      <c r="H298" s="4" t="str">
        <f>IFERROR(INDEX(样本到样信息汇总统计!H$2:H$500,MATCH(297,样本到样信息汇总统计!$X$2:$X$500,0)),"")</f>
        <v/>
      </c>
      <c r="I298" s="4" t="str">
        <f>IFERROR(INDEX(样本到样信息汇总统计!I$2:I$500,MATCH(297,样本到样信息汇总统计!$X$2:$X$500,0)),"")</f>
        <v/>
      </c>
      <c r="J298" s="4" t="str">
        <f>IFERROR(INDEX(样本到样信息汇总统计!J$2:J$500,MATCH(297,样本到样信息汇总统计!$X$2:$X$500,0)),"")</f>
        <v/>
      </c>
      <c r="K298" s="14" t="str">
        <f>IFERROR(INDEX(样本到样信息汇总统计!K$2:K$500,MATCH(297,样本到样信息汇总统计!$X$2:$X$500,0)),"")</f>
        <v/>
      </c>
      <c r="L298" s="4" t="str">
        <f>IFERROR(INDEX(样本到样信息汇总统计!L$2:L$500,MATCH(297,样本到样信息汇总统计!$X$2:$X$500,0)),"")</f>
        <v/>
      </c>
      <c r="M298" s="4" t="str">
        <f>IFERROR(INDEX(样本到样信息汇总统计!M$2:M$500,MATCH(297,样本到样信息汇总统计!$X$2:$X$500,0)),"")</f>
        <v/>
      </c>
      <c r="N298" s="4" t="str">
        <f>IFERROR(INDEX(样本到样信息汇总统计!N$2:N$500,MATCH(297,样本到样信息汇总统计!$X$2:$X$500,0)),"")</f>
        <v/>
      </c>
      <c r="O298" s="4" t="str">
        <f>IFERROR(INDEX(样本到样信息汇总统计!O$2:O$500,MATCH(297,样本到样信息汇总统计!$X$2:$X$500,0)),"")</f>
        <v/>
      </c>
      <c r="P298" s="4" t="str">
        <f>IFERROR(INDEX(样本到样信息汇总统计!P$2:P$500,MATCH(297,样本到样信息汇总统计!$X$2:$X$500,0)),"")</f>
        <v/>
      </c>
      <c r="Q298" s="4" t="str">
        <f>IFERROR(INDEX(样本到样信息汇总统计!Q$2:Q$500,MATCH(297,样本到样信息汇总统计!$X$2:$X$500,0)),"")</f>
        <v/>
      </c>
      <c r="R298" s="4" t="str">
        <f>IFERROR(INDEX(样本到样信息汇总统计!R$2:R$500,MATCH(297,样本到样信息汇总统计!$X$2:$X$500,0)),"")</f>
        <v/>
      </c>
      <c r="S298" s="4" t="str">
        <f>IFERROR(INDEX(样本到样信息汇总统计!S$2:S$500,MATCH(297,样本到样信息汇总统计!$X$2:$X$500,0)),"")</f>
        <v/>
      </c>
      <c r="T298" s="4" t="str">
        <f>IFERROR(INDEX(样本到样信息汇总统计!T$2:T$500,MATCH(297,样本到样信息汇总统计!$X$2:$X$500,0)),"")</f>
        <v/>
      </c>
      <c r="U298" s="4" t="str">
        <f>IFERROR(INDEX(样本到样信息汇总统计!U$2:U$500,MATCH(297,样本到样信息汇总统计!$X$2:$X$500,0)),"")</f>
        <v/>
      </c>
      <c r="V298" s="4" t="str">
        <f>IFERROR(INDEX(样本到样信息汇总统计!V$2:V$500,MATCH(297,样本到样信息汇总统计!$X$2:$X$500,0)),"")</f>
        <v/>
      </c>
      <c r="W298" s="4" t="str">
        <f>IFERROR(INDEX(样本到样信息汇总统计!W$2:W$500,MATCH(297,样本到样信息汇总统计!$X$2:$X$500,0)),"")</f>
        <v/>
      </c>
    </row>
    <row r="299" ht="14.5" spans="1:23">
      <c r="A299" s="8" t="str">
        <f>IFERROR(INDEX(样本到样信息汇总统计!A$2:A$500,MATCH(298,样本到样信息汇总统计!$X$2:$X$500,0)),"")</f>
        <v/>
      </c>
      <c r="B299" s="8" t="str">
        <f>IFERROR(INDEX(样本到样信息汇总统计!B$2:B$500,MATCH(298,样本到样信息汇总统计!$X$2:$X$500,0)),"")</f>
        <v/>
      </c>
      <c r="C299" s="8" t="str">
        <f>IFERROR(INDEX(样本到样信息汇总统计!C$2:C$500,MATCH(298,样本到样信息汇总统计!$X$2:$X$500,0)),"")</f>
        <v/>
      </c>
      <c r="D299" s="8" t="str">
        <f>IFERROR(INDEX(样本到样信息汇总统计!D$2:D$500,MATCH(298,样本到样信息汇总统计!$X$2:$X$500,0)),"")</f>
        <v/>
      </c>
      <c r="E299" s="8" t="str">
        <f>IFERROR(INDEX(样本到样信息汇总统计!E$2:E$500,MATCH(298,样本到样信息汇总统计!$X$2:$X$500,0)),"")</f>
        <v/>
      </c>
      <c r="F299" s="8" t="str">
        <f>IFERROR(INDEX(样本到样信息汇总统计!F$2:F$500,MATCH(298,样本到样信息汇总统计!$X$2:$X$500,0)),"")</f>
        <v/>
      </c>
      <c r="G299" s="8" t="str">
        <f>IFERROR(INDEX(样本到样信息汇总统计!G$2:G$500,MATCH(298,样本到样信息汇总统计!$X$2:$X$500,0)),"")</f>
        <v/>
      </c>
      <c r="H299" s="8" t="str">
        <f>IFERROR(INDEX(样本到样信息汇总统计!H$2:H$500,MATCH(298,样本到样信息汇总统计!$X$2:$X$500,0)),"")</f>
        <v/>
      </c>
      <c r="I299" s="8" t="str">
        <f>IFERROR(INDEX(样本到样信息汇总统计!I$2:I$500,MATCH(298,样本到样信息汇总统计!$X$2:$X$500,0)),"")</f>
        <v/>
      </c>
      <c r="J299" s="8" t="str">
        <f>IFERROR(INDEX(样本到样信息汇总统计!J$2:J$500,MATCH(298,样本到样信息汇总统计!$X$2:$X$500,0)),"")</f>
        <v/>
      </c>
      <c r="K299" s="15" t="str">
        <f>IFERROR(INDEX(样本到样信息汇总统计!K$2:K$500,MATCH(298,样本到样信息汇总统计!$X$2:$X$500,0)),"")</f>
        <v/>
      </c>
      <c r="L299" s="8" t="str">
        <f>IFERROR(INDEX(样本到样信息汇总统计!L$2:L$500,MATCH(298,样本到样信息汇总统计!$X$2:$X$500,0)),"")</f>
        <v/>
      </c>
      <c r="M299" s="8" t="str">
        <f>IFERROR(INDEX(样本到样信息汇总统计!M$2:M$500,MATCH(298,样本到样信息汇总统计!$X$2:$X$500,0)),"")</f>
        <v/>
      </c>
      <c r="N299" s="8" t="str">
        <f>IFERROR(INDEX(样本到样信息汇总统计!N$2:N$500,MATCH(298,样本到样信息汇总统计!$X$2:$X$500,0)),"")</f>
        <v/>
      </c>
      <c r="O299" s="8" t="str">
        <f>IFERROR(INDEX(样本到样信息汇总统计!O$2:O$500,MATCH(298,样本到样信息汇总统计!$X$2:$X$500,0)),"")</f>
        <v/>
      </c>
      <c r="P299" s="8" t="str">
        <f>IFERROR(INDEX(样本到样信息汇总统计!P$2:P$500,MATCH(298,样本到样信息汇总统计!$X$2:$X$500,0)),"")</f>
        <v/>
      </c>
      <c r="Q299" s="8" t="str">
        <f>IFERROR(INDEX(样本到样信息汇总统计!Q$2:Q$500,MATCH(298,样本到样信息汇总统计!$X$2:$X$500,0)),"")</f>
        <v/>
      </c>
      <c r="R299" s="8" t="str">
        <f>IFERROR(INDEX(样本到样信息汇总统计!R$2:R$500,MATCH(298,样本到样信息汇总统计!$X$2:$X$500,0)),"")</f>
        <v/>
      </c>
      <c r="S299" s="8" t="str">
        <f>IFERROR(INDEX(样本到样信息汇总统计!S$2:S$500,MATCH(298,样本到样信息汇总统计!$X$2:$X$500,0)),"")</f>
        <v/>
      </c>
      <c r="T299" s="8" t="str">
        <f>IFERROR(INDEX(样本到样信息汇总统计!T$2:T$500,MATCH(298,样本到样信息汇总统计!$X$2:$X$500,0)),"")</f>
        <v/>
      </c>
      <c r="U299" s="8" t="str">
        <f>IFERROR(INDEX(样本到样信息汇总统计!U$2:U$500,MATCH(298,样本到样信息汇总统计!$X$2:$X$500,0)),"")</f>
        <v/>
      </c>
      <c r="V299" s="8" t="str">
        <f>IFERROR(INDEX(样本到样信息汇总统计!V$2:V$500,MATCH(298,样本到样信息汇总统计!$X$2:$X$500,0)),"")</f>
        <v/>
      </c>
      <c r="W299" s="8" t="str">
        <f>IFERROR(INDEX(样本到样信息汇总统计!W$2:W$500,MATCH(298,样本到样信息汇总统计!$X$2:$X$500,0)),"")</f>
        <v/>
      </c>
    </row>
    <row r="300" ht="14.5" spans="1:23">
      <c r="A300" s="4" t="str">
        <f>IFERROR(INDEX(样本到样信息汇总统计!A$2:A$500,MATCH(299,样本到样信息汇总统计!$X$2:$X$500,0)),"")</f>
        <v/>
      </c>
      <c r="B300" s="4" t="str">
        <f>IFERROR(INDEX(样本到样信息汇总统计!B$2:B$500,MATCH(299,样本到样信息汇总统计!$X$2:$X$500,0)),"")</f>
        <v/>
      </c>
      <c r="C300" s="4" t="str">
        <f>IFERROR(INDEX(样本到样信息汇总统计!C$2:C$500,MATCH(299,样本到样信息汇总统计!$X$2:$X$500,0)),"")</f>
        <v/>
      </c>
      <c r="D300" s="4" t="str">
        <f>IFERROR(INDEX(样本到样信息汇总统计!D$2:D$500,MATCH(299,样本到样信息汇总统计!$X$2:$X$500,0)),"")</f>
        <v/>
      </c>
      <c r="E300" s="4" t="str">
        <f>IFERROR(INDEX(样本到样信息汇总统计!E$2:E$500,MATCH(299,样本到样信息汇总统计!$X$2:$X$500,0)),"")</f>
        <v/>
      </c>
      <c r="F300" s="4" t="str">
        <f>IFERROR(INDEX(样本到样信息汇总统计!F$2:F$500,MATCH(299,样本到样信息汇总统计!$X$2:$X$500,0)),"")</f>
        <v/>
      </c>
      <c r="G300" s="4" t="str">
        <f>IFERROR(INDEX(样本到样信息汇总统计!G$2:G$500,MATCH(299,样本到样信息汇总统计!$X$2:$X$500,0)),"")</f>
        <v/>
      </c>
      <c r="H300" s="4" t="str">
        <f>IFERROR(INDEX(样本到样信息汇总统计!H$2:H$500,MATCH(299,样本到样信息汇总统计!$X$2:$X$500,0)),"")</f>
        <v/>
      </c>
      <c r="I300" s="4" t="str">
        <f>IFERROR(INDEX(样本到样信息汇总统计!I$2:I$500,MATCH(299,样本到样信息汇总统计!$X$2:$X$500,0)),"")</f>
        <v/>
      </c>
      <c r="J300" s="4" t="str">
        <f>IFERROR(INDEX(样本到样信息汇总统计!J$2:J$500,MATCH(299,样本到样信息汇总统计!$X$2:$X$500,0)),"")</f>
        <v/>
      </c>
      <c r="K300" s="14" t="str">
        <f>IFERROR(INDEX(样本到样信息汇总统计!K$2:K$500,MATCH(299,样本到样信息汇总统计!$X$2:$X$500,0)),"")</f>
        <v/>
      </c>
      <c r="L300" s="4" t="str">
        <f>IFERROR(INDEX(样本到样信息汇总统计!L$2:L$500,MATCH(299,样本到样信息汇总统计!$X$2:$X$500,0)),"")</f>
        <v/>
      </c>
      <c r="M300" s="4" t="str">
        <f>IFERROR(INDEX(样本到样信息汇总统计!M$2:M$500,MATCH(299,样本到样信息汇总统计!$X$2:$X$500,0)),"")</f>
        <v/>
      </c>
      <c r="N300" s="4" t="str">
        <f>IFERROR(INDEX(样本到样信息汇总统计!N$2:N$500,MATCH(299,样本到样信息汇总统计!$X$2:$X$500,0)),"")</f>
        <v/>
      </c>
      <c r="O300" s="4" t="str">
        <f>IFERROR(INDEX(样本到样信息汇总统计!O$2:O$500,MATCH(299,样本到样信息汇总统计!$X$2:$X$500,0)),"")</f>
        <v/>
      </c>
      <c r="P300" s="4" t="str">
        <f>IFERROR(INDEX(样本到样信息汇总统计!P$2:P$500,MATCH(299,样本到样信息汇总统计!$X$2:$X$500,0)),"")</f>
        <v/>
      </c>
      <c r="Q300" s="4" t="str">
        <f>IFERROR(INDEX(样本到样信息汇总统计!Q$2:Q$500,MATCH(299,样本到样信息汇总统计!$X$2:$X$500,0)),"")</f>
        <v/>
      </c>
      <c r="R300" s="4" t="str">
        <f>IFERROR(INDEX(样本到样信息汇总统计!R$2:R$500,MATCH(299,样本到样信息汇总统计!$X$2:$X$500,0)),"")</f>
        <v/>
      </c>
      <c r="S300" s="4" t="str">
        <f>IFERROR(INDEX(样本到样信息汇总统计!S$2:S$500,MATCH(299,样本到样信息汇总统计!$X$2:$X$500,0)),"")</f>
        <v/>
      </c>
      <c r="T300" s="4" t="str">
        <f>IFERROR(INDEX(样本到样信息汇总统计!T$2:T$500,MATCH(299,样本到样信息汇总统计!$X$2:$X$500,0)),"")</f>
        <v/>
      </c>
      <c r="U300" s="4" t="str">
        <f>IFERROR(INDEX(样本到样信息汇总统计!U$2:U$500,MATCH(299,样本到样信息汇总统计!$X$2:$X$500,0)),"")</f>
        <v/>
      </c>
      <c r="V300" s="4" t="str">
        <f>IFERROR(INDEX(样本到样信息汇总统计!V$2:V$500,MATCH(299,样本到样信息汇总统计!$X$2:$X$500,0)),"")</f>
        <v/>
      </c>
      <c r="W300" s="4" t="str">
        <f>IFERROR(INDEX(样本到样信息汇总统计!W$2:W$500,MATCH(299,样本到样信息汇总统计!$X$2:$X$500,0)),"")</f>
        <v/>
      </c>
    </row>
    <row r="301" ht="14.5" spans="1:23">
      <c r="A301" s="8" t="str">
        <f>IFERROR(INDEX(样本到样信息汇总统计!A$2:A$500,MATCH(300,样本到样信息汇总统计!$X$2:$X$500,0)),"")</f>
        <v/>
      </c>
      <c r="B301" s="8" t="str">
        <f>IFERROR(INDEX(样本到样信息汇总统计!B$2:B$500,MATCH(300,样本到样信息汇总统计!$X$2:$X$500,0)),"")</f>
        <v/>
      </c>
      <c r="C301" s="8" t="str">
        <f>IFERROR(INDEX(样本到样信息汇总统计!C$2:C$500,MATCH(300,样本到样信息汇总统计!$X$2:$X$500,0)),"")</f>
        <v/>
      </c>
      <c r="D301" s="8" t="str">
        <f>IFERROR(INDEX(样本到样信息汇总统计!D$2:D$500,MATCH(300,样本到样信息汇总统计!$X$2:$X$500,0)),"")</f>
        <v/>
      </c>
      <c r="E301" s="8" t="str">
        <f>IFERROR(INDEX(样本到样信息汇总统计!E$2:E$500,MATCH(300,样本到样信息汇总统计!$X$2:$X$500,0)),"")</f>
        <v/>
      </c>
      <c r="F301" s="8" t="str">
        <f>IFERROR(INDEX(样本到样信息汇总统计!F$2:F$500,MATCH(300,样本到样信息汇总统计!$X$2:$X$500,0)),"")</f>
        <v/>
      </c>
      <c r="G301" s="8" t="str">
        <f>IFERROR(INDEX(样本到样信息汇总统计!G$2:G$500,MATCH(300,样本到样信息汇总统计!$X$2:$X$500,0)),"")</f>
        <v/>
      </c>
      <c r="H301" s="8" t="str">
        <f>IFERROR(INDEX(样本到样信息汇总统计!H$2:H$500,MATCH(300,样本到样信息汇总统计!$X$2:$X$500,0)),"")</f>
        <v/>
      </c>
      <c r="I301" s="8" t="str">
        <f>IFERROR(INDEX(样本到样信息汇总统计!I$2:I$500,MATCH(300,样本到样信息汇总统计!$X$2:$X$500,0)),"")</f>
        <v/>
      </c>
      <c r="J301" s="8" t="str">
        <f>IFERROR(INDEX(样本到样信息汇总统计!J$2:J$500,MATCH(300,样本到样信息汇总统计!$X$2:$X$500,0)),"")</f>
        <v/>
      </c>
      <c r="K301" s="15" t="str">
        <f>IFERROR(INDEX(样本到样信息汇总统计!K$2:K$500,MATCH(300,样本到样信息汇总统计!$X$2:$X$500,0)),"")</f>
        <v/>
      </c>
      <c r="L301" s="8" t="str">
        <f>IFERROR(INDEX(样本到样信息汇总统计!L$2:L$500,MATCH(300,样本到样信息汇总统计!$X$2:$X$500,0)),"")</f>
        <v/>
      </c>
      <c r="M301" s="8" t="str">
        <f>IFERROR(INDEX(样本到样信息汇总统计!M$2:M$500,MATCH(300,样本到样信息汇总统计!$X$2:$X$500,0)),"")</f>
        <v/>
      </c>
      <c r="N301" s="8" t="str">
        <f>IFERROR(INDEX(样本到样信息汇总统计!N$2:N$500,MATCH(300,样本到样信息汇总统计!$X$2:$X$500,0)),"")</f>
        <v/>
      </c>
      <c r="O301" s="8" t="str">
        <f>IFERROR(INDEX(样本到样信息汇总统计!O$2:O$500,MATCH(300,样本到样信息汇总统计!$X$2:$X$500,0)),"")</f>
        <v/>
      </c>
      <c r="P301" s="8" t="str">
        <f>IFERROR(INDEX(样本到样信息汇总统计!P$2:P$500,MATCH(300,样本到样信息汇总统计!$X$2:$X$500,0)),"")</f>
        <v/>
      </c>
      <c r="Q301" s="8" t="str">
        <f>IFERROR(INDEX(样本到样信息汇总统计!Q$2:Q$500,MATCH(300,样本到样信息汇总统计!$X$2:$X$500,0)),"")</f>
        <v/>
      </c>
      <c r="R301" s="8" t="str">
        <f>IFERROR(INDEX(样本到样信息汇总统计!R$2:R$500,MATCH(300,样本到样信息汇总统计!$X$2:$X$500,0)),"")</f>
        <v/>
      </c>
      <c r="S301" s="8" t="str">
        <f>IFERROR(INDEX(样本到样信息汇总统计!S$2:S$500,MATCH(300,样本到样信息汇总统计!$X$2:$X$500,0)),"")</f>
        <v/>
      </c>
      <c r="T301" s="8" t="str">
        <f>IFERROR(INDEX(样本到样信息汇总统计!T$2:T$500,MATCH(300,样本到样信息汇总统计!$X$2:$X$500,0)),"")</f>
        <v/>
      </c>
      <c r="U301" s="8" t="str">
        <f>IFERROR(INDEX(样本到样信息汇总统计!U$2:U$500,MATCH(300,样本到样信息汇总统计!$X$2:$X$500,0)),"")</f>
        <v/>
      </c>
      <c r="V301" s="8" t="str">
        <f>IFERROR(INDEX(样本到样信息汇总统计!V$2:V$500,MATCH(300,样本到样信息汇总统计!$X$2:$X$500,0)),"")</f>
        <v/>
      </c>
      <c r="W301" s="8" t="str">
        <f>IFERROR(INDEX(样本到样信息汇总统计!W$2:W$500,MATCH(300,样本到样信息汇总统计!$X$2:$X$500,0)),"")</f>
        <v/>
      </c>
    </row>
    <row r="302" ht="14.5" spans="1:23">
      <c r="A302" s="4" t="str">
        <f>IFERROR(INDEX(样本到样信息汇总统计!A$2:A$500,MATCH(301,样本到样信息汇总统计!$X$2:$X$500,0)),"")</f>
        <v/>
      </c>
      <c r="B302" s="4" t="str">
        <f>IFERROR(INDEX(样本到样信息汇总统计!B$2:B$500,MATCH(301,样本到样信息汇总统计!$X$2:$X$500,0)),"")</f>
        <v/>
      </c>
      <c r="C302" s="4" t="str">
        <f>IFERROR(INDEX(样本到样信息汇总统计!C$2:C$500,MATCH(301,样本到样信息汇总统计!$X$2:$X$500,0)),"")</f>
        <v/>
      </c>
      <c r="D302" s="4" t="str">
        <f>IFERROR(INDEX(样本到样信息汇总统计!D$2:D$500,MATCH(301,样本到样信息汇总统计!$X$2:$X$500,0)),"")</f>
        <v/>
      </c>
      <c r="E302" s="4" t="str">
        <f>IFERROR(INDEX(样本到样信息汇总统计!E$2:E$500,MATCH(301,样本到样信息汇总统计!$X$2:$X$500,0)),"")</f>
        <v/>
      </c>
      <c r="F302" s="4" t="str">
        <f>IFERROR(INDEX(样本到样信息汇总统计!F$2:F$500,MATCH(301,样本到样信息汇总统计!$X$2:$X$500,0)),"")</f>
        <v/>
      </c>
      <c r="G302" s="4" t="str">
        <f>IFERROR(INDEX(样本到样信息汇总统计!G$2:G$500,MATCH(301,样本到样信息汇总统计!$X$2:$X$500,0)),"")</f>
        <v/>
      </c>
      <c r="H302" s="4" t="str">
        <f>IFERROR(INDEX(样本到样信息汇总统计!H$2:H$500,MATCH(301,样本到样信息汇总统计!$X$2:$X$500,0)),"")</f>
        <v/>
      </c>
      <c r="I302" s="4" t="str">
        <f>IFERROR(INDEX(样本到样信息汇总统计!I$2:I$500,MATCH(301,样本到样信息汇总统计!$X$2:$X$500,0)),"")</f>
        <v/>
      </c>
      <c r="J302" s="4" t="str">
        <f>IFERROR(INDEX(样本到样信息汇总统计!J$2:J$500,MATCH(301,样本到样信息汇总统计!$X$2:$X$500,0)),"")</f>
        <v/>
      </c>
      <c r="K302" s="14" t="str">
        <f>IFERROR(INDEX(样本到样信息汇总统计!K$2:K$500,MATCH(301,样本到样信息汇总统计!$X$2:$X$500,0)),"")</f>
        <v/>
      </c>
      <c r="L302" s="4" t="str">
        <f>IFERROR(INDEX(样本到样信息汇总统计!L$2:L$500,MATCH(301,样本到样信息汇总统计!$X$2:$X$500,0)),"")</f>
        <v/>
      </c>
      <c r="M302" s="4" t="str">
        <f>IFERROR(INDEX(样本到样信息汇总统计!M$2:M$500,MATCH(301,样本到样信息汇总统计!$X$2:$X$500,0)),"")</f>
        <v/>
      </c>
      <c r="N302" s="4" t="str">
        <f>IFERROR(INDEX(样本到样信息汇总统计!N$2:N$500,MATCH(301,样本到样信息汇总统计!$X$2:$X$500,0)),"")</f>
        <v/>
      </c>
      <c r="O302" s="4" t="str">
        <f>IFERROR(INDEX(样本到样信息汇总统计!O$2:O$500,MATCH(301,样本到样信息汇总统计!$X$2:$X$500,0)),"")</f>
        <v/>
      </c>
      <c r="P302" s="4" t="str">
        <f>IFERROR(INDEX(样本到样信息汇总统计!P$2:P$500,MATCH(301,样本到样信息汇总统计!$X$2:$X$500,0)),"")</f>
        <v/>
      </c>
      <c r="Q302" s="4" t="str">
        <f>IFERROR(INDEX(样本到样信息汇总统计!Q$2:Q$500,MATCH(301,样本到样信息汇总统计!$X$2:$X$500,0)),"")</f>
        <v/>
      </c>
      <c r="R302" s="4" t="str">
        <f>IFERROR(INDEX(样本到样信息汇总统计!R$2:R$500,MATCH(301,样本到样信息汇总统计!$X$2:$X$500,0)),"")</f>
        <v/>
      </c>
      <c r="S302" s="4" t="str">
        <f>IFERROR(INDEX(样本到样信息汇总统计!S$2:S$500,MATCH(301,样本到样信息汇总统计!$X$2:$X$500,0)),"")</f>
        <v/>
      </c>
      <c r="T302" s="4" t="str">
        <f>IFERROR(INDEX(样本到样信息汇总统计!T$2:T$500,MATCH(301,样本到样信息汇总统计!$X$2:$X$500,0)),"")</f>
        <v/>
      </c>
      <c r="U302" s="4" t="str">
        <f>IFERROR(INDEX(样本到样信息汇总统计!U$2:U$500,MATCH(301,样本到样信息汇总统计!$X$2:$X$500,0)),"")</f>
        <v/>
      </c>
      <c r="V302" s="4" t="str">
        <f>IFERROR(INDEX(样本到样信息汇总统计!V$2:V$500,MATCH(301,样本到样信息汇总统计!$X$2:$X$500,0)),"")</f>
        <v/>
      </c>
      <c r="W302" s="4" t="str">
        <f>IFERROR(INDEX(样本到样信息汇总统计!W$2:W$500,MATCH(301,样本到样信息汇总统计!$X$2:$X$500,0)),"")</f>
        <v/>
      </c>
    </row>
    <row r="303" ht="14.5" spans="1:23">
      <c r="A303" s="8" t="str">
        <f>IFERROR(INDEX(样本到样信息汇总统计!A$2:A$500,MATCH(302,样本到样信息汇总统计!$X$2:$X$500,0)),"")</f>
        <v/>
      </c>
      <c r="B303" s="8" t="str">
        <f>IFERROR(INDEX(样本到样信息汇总统计!B$2:B$500,MATCH(302,样本到样信息汇总统计!$X$2:$X$500,0)),"")</f>
        <v/>
      </c>
      <c r="C303" s="8" t="str">
        <f>IFERROR(INDEX(样本到样信息汇总统计!C$2:C$500,MATCH(302,样本到样信息汇总统计!$X$2:$X$500,0)),"")</f>
        <v/>
      </c>
      <c r="D303" s="8" t="str">
        <f>IFERROR(INDEX(样本到样信息汇总统计!D$2:D$500,MATCH(302,样本到样信息汇总统计!$X$2:$X$500,0)),"")</f>
        <v/>
      </c>
      <c r="E303" s="8" t="str">
        <f>IFERROR(INDEX(样本到样信息汇总统计!E$2:E$500,MATCH(302,样本到样信息汇总统计!$X$2:$X$500,0)),"")</f>
        <v/>
      </c>
      <c r="F303" s="8" t="str">
        <f>IFERROR(INDEX(样本到样信息汇总统计!F$2:F$500,MATCH(302,样本到样信息汇总统计!$X$2:$X$500,0)),"")</f>
        <v/>
      </c>
      <c r="G303" s="8" t="str">
        <f>IFERROR(INDEX(样本到样信息汇总统计!G$2:G$500,MATCH(302,样本到样信息汇总统计!$X$2:$X$500,0)),"")</f>
        <v/>
      </c>
      <c r="H303" s="8" t="str">
        <f>IFERROR(INDEX(样本到样信息汇总统计!H$2:H$500,MATCH(302,样本到样信息汇总统计!$X$2:$X$500,0)),"")</f>
        <v/>
      </c>
      <c r="I303" s="8" t="str">
        <f>IFERROR(INDEX(样本到样信息汇总统计!I$2:I$500,MATCH(302,样本到样信息汇总统计!$X$2:$X$500,0)),"")</f>
        <v/>
      </c>
      <c r="J303" s="8" t="str">
        <f>IFERROR(INDEX(样本到样信息汇总统计!J$2:J$500,MATCH(302,样本到样信息汇总统计!$X$2:$X$500,0)),"")</f>
        <v/>
      </c>
      <c r="K303" s="15" t="str">
        <f>IFERROR(INDEX(样本到样信息汇总统计!K$2:K$500,MATCH(302,样本到样信息汇总统计!$X$2:$X$500,0)),"")</f>
        <v/>
      </c>
      <c r="L303" s="8" t="str">
        <f>IFERROR(INDEX(样本到样信息汇总统计!L$2:L$500,MATCH(302,样本到样信息汇总统计!$X$2:$X$500,0)),"")</f>
        <v/>
      </c>
      <c r="M303" s="8" t="str">
        <f>IFERROR(INDEX(样本到样信息汇总统计!M$2:M$500,MATCH(302,样本到样信息汇总统计!$X$2:$X$500,0)),"")</f>
        <v/>
      </c>
      <c r="N303" s="8" t="str">
        <f>IFERROR(INDEX(样本到样信息汇总统计!N$2:N$500,MATCH(302,样本到样信息汇总统计!$X$2:$X$500,0)),"")</f>
        <v/>
      </c>
      <c r="O303" s="8" t="str">
        <f>IFERROR(INDEX(样本到样信息汇总统计!O$2:O$500,MATCH(302,样本到样信息汇总统计!$X$2:$X$500,0)),"")</f>
        <v/>
      </c>
      <c r="P303" s="8" t="str">
        <f>IFERROR(INDEX(样本到样信息汇总统计!P$2:P$500,MATCH(302,样本到样信息汇总统计!$X$2:$X$500,0)),"")</f>
        <v/>
      </c>
      <c r="Q303" s="8" t="str">
        <f>IFERROR(INDEX(样本到样信息汇总统计!Q$2:Q$500,MATCH(302,样本到样信息汇总统计!$X$2:$X$500,0)),"")</f>
        <v/>
      </c>
      <c r="R303" s="8" t="str">
        <f>IFERROR(INDEX(样本到样信息汇总统计!R$2:R$500,MATCH(302,样本到样信息汇总统计!$X$2:$X$500,0)),"")</f>
        <v/>
      </c>
      <c r="S303" s="8" t="str">
        <f>IFERROR(INDEX(样本到样信息汇总统计!S$2:S$500,MATCH(302,样本到样信息汇总统计!$X$2:$X$500,0)),"")</f>
        <v/>
      </c>
      <c r="T303" s="8" t="str">
        <f>IFERROR(INDEX(样本到样信息汇总统计!T$2:T$500,MATCH(302,样本到样信息汇总统计!$X$2:$X$500,0)),"")</f>
        <v/>
      </c>
      <c r="U303" s="8" t="str">
        <f>IFERROR(INDEX(样本到样信息汇总统计!U$2:U$500,MATCH(302,样本到样信息汇总统计!$X$2:$X$500,0)),"")</f>
        <v/>
      </c>
      <c r="V303" s="8" t="str">
        <f>IFERROR(INDEX(样本到样信息汇总统计!V$2:V$500,MATCH(302,样本到样信息汇总统计!$X$2:$X$500,0)),"")</f>
        <v/>
      </c>
      <c r="W303" s="8" t="str">
        <f>IFERROR(INDEX(样本到样信息汇总统计!W$2:W$500,MATCH(302,样本到样信息汇总统计!$X$2:$X$500,0)),"")</f>
        <v/>
      </c>
    </row>
    <row r="304" ht="14.5" spans="1:23">
      <c r="A304" s="4" t="str">
        <f>IFERROR(INDEX(样本到样信息汇总统计!A$2:A$500,MATCH(303,样本到样信息汇总统计!$X$2:$X$500,0)),"")</f>
        <v/>
      </c>
      <c r="B304" s="4" t="str">
        <f>IFERROR(INDEX(样本到样信息汇总统计!B$2:B$500,MATCH(303,样本到样信息汇总统计!$X$2:$X$500,0)),"")</f>
        <v/>
      </c>
      <c r="C304" s="4" t="str">
        <f>IFERROR(INDEX(样本到样信息汇总统计!C$2:C$500,MATCH(303,样本到样信息汇总统计!$X$2:$X$500,0)),"")</f>
        <v/>
      </c>
      <c r="D304" s="4" t="str">
        <f>IFERROR(INDEX(样本到样信息汇总统计!D$2:D$500,MATCH(303,样本到样信息汇总统计!$X$2:$X$500,0)),"")</f>
        <v/>
      </c>
      <c r="E304" s="4" t="str">
        <f>IFERROR(INDEX(样本到样信息汇总统计!E$2:E$500,MATCH(303,样本到样信息汇总统计!$X$2:$X$500,0)),"")</f>
        <v/>
      </c>
      <c r="F304" s="4" t="str">
        <f>IFERROR(INDEX(样本到样信息汇总统计!F$2:F$500,MATCH(303,样本到样信息汇总统计!$X$2:$X$500,0)),"")</f>
        <v/>
      </c>
      <c r="G304" s="4" t="str">
        <f>IFERROR(INDEX(样本到样信息汇总统计!G$2:G$500,MATCH(303,样本到样信息汇总统计!$X$2:$X$500,0)),"")</f>
        <v/>
      </c>
      <c r="H304" s="4" t="str">
        <f>IFERROR(INDEX(样本到样信息汇总统计!H$2:H$500,MATCH(303,样本到样信息汇总统计!$X$2:$X$500,0)),"")</f>
        <v/>
      </c>
      <c r="I304" s="4" t="str">
        <f>IFERROR(INDEX(样本到样信息汇总统计!I$2:I$500,MATCH(303,样本到样信息汇总统计!$X$2:$X$500,0)),"")</f>
        <v/>
      </c>
      <c r="J304" s="4" t="str">
        <f>IFERROR(INDEX(样本到样信息汇总统计!J$2:J$500,MATCH(303,样本到样信息汇总统计!$X$2:$X$500,0)),"")</f>
        <v/>
      </c>
      <c r="K304" s="14" t="str">
        <f>IFERROR(INDEX(样本到样信息汇总统计!K$2:K$500,MATCH(303,样本到样信息汇总统计!$X$2:$X$500,0)),"")</f>
        <v/>
      </c>
      <c r="L304" s="4" t="str">
        <f>IFERROR(INDEX(样本到样信息汇总统计!L$2:L$500,MATCH(303,样本到样信息汇总统计!$X$2:$X$500,0)),"")</f>
        <v/>
      </c>
      <c r="M304" s="4" t="str">
        <f>IFERROR(INDEX(样本到样信息汇总统计!M$2:M$500,MATCH(303,样本到样信息汇总统计!$X$2:$X$500,0)),"")</f>
        <v/>
      </c>
      <c r="N304" s="4" t="str">
        <f>IFERROR(INDEX(样本到样信息汇总统计!N$2:N$500,MATCH(303,样本到样信息汇总统计!$X$2:$X$500,0)),"")</f>
        <v/>
      </c>
      <c r="O304" s="4" t="str">
        <f>IFERROR(INDEX(样本到样信息汇总统计!O$2:O$500,MATCH(303,样本到样信息汇总统计!$X$2:$X$500,0)),"")</f>
        <v/>
      </c>
      <c r="P304" s="4" t="str">
        <f>IFERROR(INDEX(样本到样信息汇总统计!P$2:P$500,MATCH(303,样本到样信息汇总统计!$X$2:$X$500,0)),"")</f>
        <v/>
      </c>
      <c r="Q304" s="4" t="str">
        <f>IFERROR(INDEX(样本到样信息汇总统计!Q$2:Q$500,MATCH(303,样本到样信息汇总统计!$X$2:$X$500,0)),"")</f>
        <v/>
      </c>
      <c r="R304" s="4" t="str">
        <f>IFERROR(INDEX(样本到样信息汇总统计!R$2:R$500,MATCH(303,样本到样信息汇总统计!$X$2:$X$500,0)),"")</f>
        <v/>
      </c>
      <c r="S304" s="4" t="str">
        <f>IFERROR(INDEX(样本到样信息汇总统计!S$2:S$500,MATCH(303,样本到样信息汇总统计!$X$2:$X$500,0)),"")</f>
        <v/>
      </c>
      <c r="T304" s="4" t="str">
        <f>IFERROR(INDEX(样本到样信息汇总统计!T$2:T$500,MATCH(303,样本到样信息汇总统计!$X$2:$X$500,0)),"")</f>
        <v/>
      </c>
      <c r="U304" s="4" t="str">
        <f>IFERROR(INDEX(样本到样信息汇总统计!U$2:U$500,MATCH(303,样本到样信息汇总统计!$X$2:$X$500,0)),"")</f>
        <v/>
      </c>
      <c r="V304" s="4" t="str">
        <f>IFERROR(INDEX(样本到样信息汇总统计!V$2:V$500,MATCH(303,样本到样信息汇总统计!$X$2:$X$500,0)),"")</f>
        <v/>
      </c>
      <c r="W304" s="4" t="str">
        <f>IFERROR(INDEX(样本到样信息汇总统计!W$2:W$500,MATCH(303,样本到样信息汇总统计!$X$2:$X$500,0)),"")</f>
        <v/>
      </c>
    </row>
    <row r="305" ht="14.5" spans="1:23">
      <c r="A305" s="8" t="str">
        <f>IFERROR(INDEX(样本到样信息汇总统计!A$2:A$500,MATCH(304,样本到样信息汇总统计!$X$2:$X$500,0)),"")</f>
        <v/>
      </c>
      <c r="B305" s="8" t="str">
        <f>IFERROR(INDEX(样本到样信息汇总统计!B$2:B$500,MATCH(304,样本到样信息汇总统计!$X$2:$X$500,0)),"")</f>
        <v/>
      </c>
      <c r="C305" s="8" t="str">
        <f>IFERROR(INDEX(样本到样信息汇总统计!C$2:C$500,MATCH(304,样本到样信息汇总统计!$X$2:$X$500,0)),"")</f>
        <v/>
      </c>
      <c r="D305" s="8" t="str">
        <f>IFERROR(INDEX(样本到样信息汇总统计!D$2:D$500,MATCH(304,样本到样信息汇总统计!$X$2:$X$500,0)),"")</f>
        <v/>
      </c>
      <c r="E305" s="8" t="str">
        <f>IFERROR(INDEX(样本到样信息汇总统计!E$2:E$500,MATCH(304,样本到样信息汇总统计!$X$2:$X$500,0)),"")</f>
        <v/>
      </c>
      <c r="F305" s="8" t="str">
        <f>IFERROR(INDEX(样本到样信息汇总统计!F$2:F$500,MATCH(304,样本到样信息汇总统计!$X$2:$X$500,0)),"")</f>
        <v/>
      </c>
      <c r="G305" s="8" t="str">
        <f>IFERROR(INDEX(样本到样信息汇总统计!G$2:G$500,MATCH(304,样本到样信息汇总统计!$X$2:$X$500,0)),"")</f>
        <v/>
      </c>
      <c r="H305" s="8" t="str">
        <f>IFERROR(INDEX(样本到样信息汇总统计!H$2:H$500,MATCH(304,样本到样信息汇总统计!$X$2:$X$500,0)),"")</f>
        <v/>
      </c>
      <c r="I305" s="8" t="str">
        <f>IFERROR(INDEX(样本到样信息汇总统计!I$2:I$500,MATCH(304,样本到样信息汇总统计!$X$2:$X$500,0)),"")</f>
        <v/>
      </c>
      <c r="J305" s="8" t="str">
        <f>IFERROR(INDEX(样本到样信息汇总统计!J$2:J$500,MATCH(304,样本到样信息汇总统计!$X$2:$X$500,0)),"")</f>
        <v/>
      </c>
      <c r="K305" s="15" t="str">
        <f>IFERROR(INDEX(样本到样信息汇总统计!K$2:K$500,MATCH(304,样本到样信息汇总统计!$X$2:$X$500,0)),"")</f>
        <v/>
      </c>
      <c r="L305" s="8" t="str">
        <f>IFERROR(INDEX(样本到样信息汇总统计!L$2:L$500,MATCH(304,样本到样信息汇总统计!$X$2:$X$500,0)),"")</f>
        <v/>
      </c>
      <c r="M305" s="8" t="str">
        <f>IFERROR(INDEX(样本到样信息汇总统计!M$2:M$500,MATCH(304,样本到样信息汇总统计!$X$2:$X$500,0)),"")</f>
        <v/>
      </c>
      <c r="N305" s="8" t="str">
        <f>IFERROR(INDEX(样本到样信息汇总统计!N$2:N$500,MATCH(304,样本到样信息汇总统计!$X$2:$X$500,0)),"")</f>
        <v/>
      </c>
      <c r="O305" s="8" t="str">
        <f>IFERROR(INDEX(样本到样信息汇总统计!O$2:O$500,MATCH(304,样本到样信息汇总统计!$X$2:$X$500,0)),"")</f>
        <v/>
      </c>
      <c r="P305" s="8" t="str">
        <f>IFERROR(INDEX(样本到样信息汇总统计!P$2:P$500,MATCH(304,样本到样信息汇总统计!$X$2:$X$500,0)),"")</f>
        <v/>
      </c>
      <c r="Q305" s="8" t="str">
        <f>IFERROR(INDEX(样本到样信息汇总统计!Q$2:Q$500,MATCH(304,样本到样信息汇总统计!$X$2:$X$500,0)),"")</f>
        <v/>
      </c>
      <c r="R305" s="8" t="str">
        <f>IFERROR(INDEX(样本到样信息汇总统计!R$2:R$500,MATCH(304,样本到样信息汇总统计!$X$2:$X$500,0)),"")</f>
        <v/>
      </c>
      <c r="S305" s="8" t="str">
        <f>IFERROR(INDEX(样本到样信息汇总统计!S$2:S$500,MATCH(304,样本到样信息汇总统计!$X$2:$X$500,0)),"")</f>
        <v/>
      </c>
      <c r="T305" s="8" t="str">
        <f>IFERROR(INDEX(样本到样信息汇总统计!T$2:T$500,MATCH(304,样本到样信息汇总统计!$X$2:$X$500,0)),"")</f>
        <v/>
      </c>
      <c r="U305" s="8" t="str">
        <f>IFERROR(INDEX(样本到样信息汇总统计!U$2:U$500,MATCH(304,样本到样信息汇总统计!$X$2:$X$500,0)),"")</f>
        <v/>
      </c>
      <c r="V305" s="8" t="str">
        <f>IFERROR(INDEX(样本到样信息汇总统计!V$2:V$500,MATCH(304,样本到样信息汇总统计!$X$2:$X$500,0)),"")</f>
        <v/>
      </c>
      <c r="W305" s="8" t="str">
        <f>IFERROR(INDEX(样本到样信息汇总统计!W$2:W$500,MATCH(304,样本到样信息汇总统计!$X$2:$X$500,0)),"")</f>
        <v/>
      </c>
    </row>
    <row r="306" ht="14.5" spans="1:23">
      <c r="A306" s="4" t="str">
        <f>IFERROR(INDEX(样本到样信息汇总统计!A$2:A$500,MATCH(305,样本到样信息汇总统计!$X$2:$X$500,0)),"")</f>
        <v/>
      </c>
      <c r="B306" s="4" t="str">
        <f>IFERROR(INDEX(样本到样信息汇总统计!B$2:B$500,MATCH(305,样本到样信息汇总统计!$X$2:$X$500,0)),"")</f>
        <v/>
      </c>
      <c r="C306" s="4" t="str">
        <f>IFERROR(INDEX(样本到样信息汇总统计!C$2:C$500,MATCH(305,样本到样信息汇总统计!$X$2:$X$500,0)),"")</f>
        <v/>
      </c>
      <c r="D306" s="4" t="str">
        <f>IFERROR(INDEX(样本到样信息汇总统计!D$2:D$500,MATCH(305,样本到样信息汇总统计!$X$2:$X$500,0)),"")</f>
        <v/>
      </c>
      <c r="E306" s="4" t="str">
        <f>IFERROR(INDEX(样本到样信息汇总统计!E$2:E$500,MATCH(305,样本到样信息汇总统计!$X$2:$X$500,0)),"")</f>
        <v/>
      </c>
      <c r="F306" s="4" t="str">
        <f>IFERROR(INDEX(样本到样信息汇总统计!F$2:F$500,MATCH(305,样本到样信息汇总统计!$X$2:$X$500,0)),"")</f>
        <v/>
      </c>
      <c r="G306" s="4" t="str">
        <f>IFERROR(INDEX(样本到样信息汇总统计!G$2:G$500,MATCH(305,样本到样信息汇总统计!$X$2:$X$500,0)),"")</f>
        <v/>
      </c>
      <c r="H306" s="4" t="str">
        <f>IFERROR(INDEX(样本到样信息汇总统计!H$2:H$500,MATCH(305,样本到样信息汇总统计!$X$2:$X$500,0)),"")</f>
        <v/>
      </c>
      <c r="I306" s="4" t="str">
        <f>IFERROR(INDEX(样本到样信息汇总统计!I$2:I$500,MATCH(305,样本到样信息汇总统计!$X$2:$X$500,0)),"")</f>
        <v/>
      </c>
      <c r="J306" s="4" t="str">
        <f>IFERROR(INDEX(样本到样信息汇总统计!J$2:J$500,MATCH(305,样本到样信息汇总统计!$X$2:$X$500,0)),"")</f>
        <v/>
      </c>
      <c r="K306" s="14" t="str">
        <f>IFERROR(INDEX(样本到样信息汇总统计!K$2:K$500,MATCH(305,样本到样信息汇总统计!$X$2:$X$500,0)),"")</f>
        <v/>
      </c>
      <c r="L306" s="4" t="str">
        <f>IFERROR(INDEX(样本到样信息汇总统计!L$2:L$500,MATCH(305,样本到样信息汇总统计!$X$2:$X$500,0)),"")</f>
        <v/>
      </c>
      <c r="M306" s="4" t="str">
        <f>IFERROR(INDEX(样本到样信息汇总统计!M$2:M$500,MATCH(305,样本到样信息汇总统计!$X$2:$X$500,0)),"")</f>
        <v/>
      </c>
      <c r="N306" s="4" t="str">
        <f>IFERROR(INDEX(样本到样信息汇总统计!N$2:N$500,MATCH(305,样本到样信息汇总统计!$X$2:$X$500,0)),"")</f>
        <v/>
      </c>
      <c r="O306" s="4" t="str">
        <f>IFERROR(INDEX(样本到样信息汇总统计!O$2:O$500,MATCH(305,样本到样信息汇总统计!$X$2:$X$500,0)),"")</f>
        <v/>
      </c>
      <c r="P306" s="4" t="str">
        <f>IFERROR(INDEX(样本到样信息汇总统计!P$2:P$500,MATCH(305,样本到样信息汇总统计!$X$2:$X$500,0)),"")</f>
        <v/>
      </c>
      <c r="Q306" s="4" t="str">
        <f>IFERROR(INDEX(样本到样信息汇总统计!Q$2:Q$500,MATCH(305,样本到样信息汇总统计!$X$2:$X$500,0)),"")</f>
        <v/>
      </c>
      <c r="R306" s="4" t="str">
        <f>IFERROR(INDEX(样本到样信息汇总统计!R$2:R$500,MATCH(305,样本到样信息汇总统计!$X$2:$X$500,0)),"")</f>
        <v/>
      </c>
      <c r="S306" s="4" t="str">
        <f>IFERROR(INDEX(样本到样信息汇总统计!S$2:S$500,MATCH(305,样本到样信息汇总统计!$X$2:$X$500,0)),"")</f>
        <v/>
      </c>
      <c r="T306" s="4" t="str">
        <f>IFERROR(INDEX(样本到样信息汇总统计!T$2:T$500,MATCH(305,样本到样信息汇总统计!$X$2:$X$500,0)),"")</f>
        <v/>
      </c>
      <c r="U306" s="4" t="str">
        <f>IFERROR(INDEX(样本到样信息汇总统计!U$2:U$500,MATCH(305,样本到样信息汇总统计!$X$2:$X$500,0)),"")</f>
        <v/>
      </c>
      <c r="V306" s="4" t="str">
        <f>IFERROR(INDEX(样本到样信息汇总统计!V$2:V$500,MATCH(305,样本到样信息汇总统计!$X$2:$X$500,0)),"")</f>
        <v/>
      </c>
      <c r="W306" s="4" t="str">
        <f>IFERROR(INDEX(样本到样信息汇总统计!W$2:W$500,MATCH(305,样本到样信息汇总统计!$X$2:$X$500,0)),"")</f>
        <v/>
      </c>
    </row>
    <row r="307" ht="14.5" spans="1:23">
      <c r="A307" s="8" t="str">
        <f>IFERROR(INDEX(样本到样信息汇总统计!A$2:A$500,MATCH(306,样本到样信息汇总统计!$X$2:$X$500,0)),"")</f>
        <v/>
      </c>
      <c r="B307" s="8" t="str">
        <f>IFERROR(INDEX(样本到样信息汇总统计!B$2:B$500,MATCH(306,样本到样信息汇总统计!$X$2:$X$500,0)),"")</f>
        <v/>
      </c>
      <c r="C307" s="8" t="str">
        <f>IFERROR(INDEX(样本到样信息汇总统计!C$2:C$500,MATCH(306,样本到样信息汇总统计!$X$2:$X$500,0)),"")</f>
        <v/>
      </c>
      <c r="D307" s="8" t="str">
        <f>IFERROR(INDEX(样本到样信息汇总统计!D$2:D$500,MATCH(306,样本到样信息汇总统计!$X$2:$X$500,0)),"")</f>
        <v/>
      </c>
      <c r="E307" s="8" t="str">
        <f>IFERROR(INDEX(样本到样信息汇总统计!E$2:E$500,MATCH(306,样本到样信息汇总统计!$X$2:$X$500,0)),"")</f>
        <v/>
      </c>
      <c r="F307" s="8" t="str">
        <f>IFERROR(INDEX(样本到样信息汇总统计!F$2:F$500,MATCH(306,样本到样信息汇总统计!$X$2:$X$500,0)),"")</f>
        <v/>
      </c>
      <c r="G307" s="8" t="str">
        <f>IFERROR(INDEX(样本到样信息汇总统计!G$2:G$500,MATCH(306,样本到样信息汇总统计!$X$2:$X$500,0)),"")</f>
        <v/>
      </c>
      <c r="H307" s="8" t="str">
        <f>IFERROR(INDEX(样本到样信息汇总统计!H$2:H$500,MATCH(306,样本到样信息汇总统计!$X$2:$X$500,0)),"")</f>
        <v/>
      </c>
      <c r="I307" s="8" t="str">
        <f>IFERROR(INDEX(样本到样信息汇总统计!I$2:I$500,MATCH(306,样本到样信息汇总统计!$X$2:$X$500,0)),"")</f>
        <v/>
      </c>
      <c r="J307" s="8" t="str">
        <f>IFERROR(INDEX(样本到样信息汇总统计!J$2:J$500,MATCH(306,样本到样信息汇总统计!$X$2:$X$500,0)),"")</f>
        <v/>
      </c>
      <c r="K307" s="15" t="str">
        <f>IFERROR(INDEX(样本到样信息汇总统计!K$2:K$500,MATCH(306,样本到样信息汇总统计!$X$2:$X$500,0)),"")</f>
        <v/>
      </c>
      <c r="L307" s="8" t="str">
        <f>IFERROR(INDEX(样本到样信息汇总统计!L$2:L$500,MATCH(306,样本到样信息汇总统计!$X$2:$X$500,0)),"")</f>
        <v/>
      </c>
      <c r="M307" s="8" t="str">
        <f>IFERROR(INDEX(样本到样信息汇总统计!M$2:M$500,MATCH(306,样本到样信息汇总统计!$X$2:$X$500,0)),"")</f>
        <v/>
      </c>
      <c r="N307" s="8" t="str">
        <f>IFERROR(INDEX(样本到样信息汇总统计!N$2:N$500,MATCH(306,样本到样信息汇总统计!$X$2:$X$500,0)),"")</f>
        <v/>
      </c>
      <c r="O307" s="8" t="str">
        <f>IFERROR(INDEX(样本到样信息汇总统计!O$2:O$500,MATCH(306,样本到样信息汇总统计!$X$2:$X$500,0)),"")</f>
        <v/>
      </c>
      <c r="P307" s="8" t="str">
        <f>IFERROR(INDEX(样本到样信息汇总统计!P$2:P$500,MATCH(306,样本到样信息汇总统计!$X$2:$X$500,0)),"")</f>
        <v/>
      </c>
      <c r="Q307" s="8" t="str">
        <f>IFERROR(INDEX(样本到样信息汇总统计!Q$2:Q$500,MATCH(306,样本到样信息汇总统计!$X$2:$X$500,0)),"")</f>
        <v/>
      </c>
      <c r="R307" s="8" t="str">
        <f>IFERROR(INDEX(样本到样信息汇总统计!R$2:R$500,MATCH(306,样本到样信息汇总统计!$X$2:$X$500,0)),"")</f>
        <v/>
      </c>
      <c r="S307" s="8" t="str">
        <f>IFERROR(INDEX(样本到样信息汇总统计!S$2:S$500,MATCH(306,样本到样信息汇总统计!$X$2:$X$500,0)),"")</f>
        <v/>
      </c>
      <c r="T307" s="8" t="str">
        <f>IFERROR(INDEX(样本到样信息汇总统计!T$2:T$500,MATCH(306,样本到样信息汇总统计!$X$2:$X$500,0)),"")</f>
        <v/>
      </c>
      <c r="U307" s="8" t="str">
        <f>IFERROR(INDEX(样本到样信息汇总统计!U$2:U$500,MATCH(306,样本到样信息汇总统计!$X$2:$X$500,0)),"")</f>
        <v/>
      </c>
      <c r="V307" s="8" t="str">
        <f>IFERROR(INDEX(样本到样信息汇总统计!V$2:V$500,MATCH(306,样本到样信息汇总统计!$X$2:$X$500,0)),"")</f>
        <v/>
      </c>
      <c r="W307" s="8" t="str">
        <f>IFERROR(INDEX(样本到样信息汇总统计!W$2:W$500,MATCH(306,样本到样信息汇总统计!$X$2:$X$500,0)),"")</f>
        <v/>
      </c>
    </row>
    <row r="308" ht="14.5" spans="1:23">
      <c r="A308" s="4" t="str">
        <f>IFERROR(INDEX(样本到样信息汇总统计!A$2:A$500,MATCH(307,样本到样信息汇总统计!$X$2:$X$500,0)),"")</f>
        <v/>
      </c>
      <c r="B308" s="4" t="str">
        <f>IFERROR(INDEX(样本到样信息汇总统计!B$2:B$500,MATCH(307,样本到样信息汇总统计!$X$2:$X$500,0)),"")</f>
        <v/>
      </c>
      <c r="C308" s="4" t="str">
        <f>IFERROR(INDEX(样本到样信息汇总统计!C$2:C$500,MATCH(307,样本到样信息汇总统计!$X$2:$X$500,0)),"")</f>
        <v/>
      </c>
      <c r="D308" s="4" t="str">
        <f>IFERROR(INDEX(样本到样信息汇总统计!D$2:D$500,MATCH(307,样本到样信息汇总统计!$X$2:$X$500,0)),"")</f>
        <v/>
      </c>
      <c r="E308" s="4" t="str">
        <f>IFERROR(INDEX(样本到样信息汇总统计!E$2:E$500,MATCH(307,样本到样信息汇总统计!$X$2:$X$500,0)),"")</f>
        <v/>
      </c>
      <c r="F308" s="4" t="str">
        <f>IFERROR(INDEX(样本到样信息汇总统计!F$2:F$500,MATCH(307,样本到样信息汇总统计!$X$2:$X$500,0)),"")</f>
        <v/>
      </c>
      <c r="G308" s="4" t="str">
        <f>IFERROR(INDEX(样本到样信息汇总统计!G$2:G$500,MATCH(307,样本到样信息汇总统计!$X$2:$X$500,0)),"")</f>
        <v/>
      </c>
      <c r="H308" s="4" t="str">
        <f>IFERROR(INDEX(样本到样信息汇总统计!H$2:H$500,MATCH(307,样本到样信息汇总统计!$X$2:$X$500,0)),"")</f>
        <v/>
      </c>
      <c r="I308" s="4" t="str">
        <f>IFERROR(INDEX(样本到样信息汇总统计!I$2:I$500,MATCH(307,样本到样信息汇总统计!$X$2:$X$500,0)),"")</f>
        <v/>
      </c>
      <c r="J308" s="4" t="str">
        <f>IFERROR(INDEX(样本到样信息汇总统计!J$2:J$500,MATCH(307,样本到样信息汇总统计!$X$2:$X$500,0)),"")</f>
        <v/>
      </c>
      <c r="K308" s="14" t="str">
        <f>IFERROR(INDEX(样本到样信息汇总统计!K$2:K$500,MATCH(307,样本到样信息汇总统计!$X$2:$X$500,0)),"")</f>
        <v/>
      </c>
      <c r="L308" s="4" t="str">
        <f>IFERROR(INDEX(样本到样信息汇总统计!L$2:L$500,MATCH(307,样本到样信息汇总统计!$X$2:$X$500,0)),"")</f>
        <v/>
      </c>
      <c r="M308" s="4" t="str">
        <f>IFERROR(INDEX(样本到样信息汇总统计!M$2:M$500,MATCH(307,样本到样信息汇总统计!$X$2:$X$500,0)),"")</f>
        <v/>
      </c>
      <c r="N308" s="4" t="str">
        <f>IFERROR(INDEX(样本到样信息汇总统计!N$2:N$500,MATCH(307,样本到样信息汇总统计!$X$2:$X$500,0)),"")</f>
        <v/>
      </c>
      <c r="O308" s="4" t="str">
        <f>IFERROR(INDEX(样本到样信息汇总统计!O$2:O$500,MATCH(307,样本到样信息汇总统计!$X$2:$X$500,0)),"")</f>
        <v/>
      </c>
      <c r="P308" s="4" t="str">
        <f>IFERROR(INDEX(样本到样信息汇总统计!P$2:P$500,MATCH(307,样本到样信息汇总统计!$X$2:$X$500,0)),"")</f>
        <v/>
      </c>
      <c r="Q308" s="4" t="str">
        <f>IFERROR(INDEX(样本到样信息汇总统计!Q$2:Q$500,MATCH(307,样本到样信息汇总统计!$X$2:$X$500,0)),"")</f>
        <v/>
      </c>
      <c r="R308" s="4" t="str">
        <f>IFERROR(INDEX(样本到样信息汇总统计!R$2:R$500,MATCH(307,样本到样信息汇总统计!$X$2:$X$500,0)),"")</f>
        <v/>
      </c>
      <c r="S308" s="4" t="str">
        <f>IFERROR(INDEX(样本到样信息汇总统计!S$2:S$500,MATCH(307,样本到样信息汇总统计!$X$2:$X$500,0)),"")</f>
        <v/>
      </c>
      <c r="T308" s="4" t="str">
        <f>IFERROR(INDEX(样本到样信息汇总统计!T$2:T$500,MATCH(307,样本到样信息汇总统计!$X$2:$X$500,0)),"")</f>
        <v/>
      </c>
      <c r="U308" s="4" t="str">
        <f>IFERROR(INDEX(样本到样信息汇总统计!U$2:U$500,MATCH(307,样本到样信息汇总统计!$X$2:$X$500,0)),"")</f>
        <v/>
      </c>
      <c r="V308" s="4" t="str">
        <f>IFERROR(INDEX(样本到样信息汇总统计!V$2:V$500,MATCH(307,样本到样信息汇总统计!$X$2:$X$500,0)),"")</f>
        <v/>
      </c>
      <c r="W308" s="4" t="str">
        <f>IFERROR(INDEX(样本到样信息汇总统计!W$2:W$500,MATCH(307,样本到样信息汇总统计!$X$2:$X$500,0)),"")</f>
        <v/>
      </c>
    </row>
    <row r="309" ht="14.5" spans="1:23">
      <c r="A309" s="8" t="str">
        <f>IFERROR(INDEX(样本到样信息汇总统计!A$2:A$500,MATCH(308,样本到样信息汇总统计!$X$2:$X$500,0)),"")</f>
        <v/>
      </c>
      <c r="B309" s="8" t="str">
        <f>IFERROR(INDEX(样本到样信息汇总统计!B$2:B$500,MATCH(308,样本到样信息汇总统计!$X$2:$X$500,0)),"")</f>
        <v/>
      </c>
      <c r="C309" s="8" t="str">
        <f>IFERROR(INDEX(样本到样信息汇总统计!C$2:C$500,MATCH(308,样本到样信息汇总统计!$X$2:$X$500,0)),"")</f>
        <v/>
      </c>
      <c r="D309" s="8" t="str">
        <f>IFERROR(INDEX(样本到样信息汇总统计!D$2:D$500,MATCH(308,样本到样信息汇总统计!$X$2:$X$500,0)),"")</f>
        <v/>
      </c>
      <c r="E309" s="8" t="str">
        <f>IFERROR(INDEX(样本到样信息汇总统计!E$2:E$500,MATCH(308,样本到样信息汇总统计!$X$2:$X$500,0)),"")</f>
        <v/>
      </c>
      <c r="F309" s="8" t="str">
        <f>IFERROR(INDEX(样本到样信息汇总统计!F$2:F$500,MATCH(308,样本到样信息汇总统计!$X$2:$X$500,0)),"")</f>
        <v/>
      </c>
      <c r="G309" s="8" t="str">
        <f>IFERROR(INDEX(样本到样信息汇总统计!G$2:G$500,MATCH(308,样本到样信息汇总统计!$X$2:$X$500,0)),"")</f>
        <v/>
      </c>
      <c r="H309" s="8" t="str">
        <f>IFERROR(INDEX(样本到样信息汇总统计!H$2:H$500,MATCH(308,样本到样信息汇总统计!$X$2:$X$500,0)),"")</f>
        <v/>
      </c>
      <c r="I309" s="8" t="str">
        <f>IFERROR(INDEX(样本到样信息汇总统计!I$2:I$500,MATCH(308,样本到样信息汇总统计!$X$2:$X$500,0)),"")</f>
        <v/>
      </c>
      <c r="J309" s="8" t="str">
        <f>IFERROR(INDEX(样本到样信息汇总统计!J$2:J$500,MATCH(308,样本到样信息汇总统计!$X$2:$X$500,0)),"")</f>
        <v/>
      </c>
      <c r="K309" s="15" t="str">
        <f>IFERROR(INDEX(样本到样信息汇总统计!K$2:K$500,MATCH(308,样本到样信息汇总统计!$X$2:$X$500,0)),"")</f>
        <v/>
      </c>
      <c r="L309" s="8" t="str">
        <f>IFERROR(INDEX(样本到样信息汇总统计!L$2:L$500,MATCH(308,样本到样信息汇总统计!$X$2:$X$500,0)),"")</f>
        <v/>
      </c>
      <c r="M309" s="8" t="str">
        <f>IFERROR(INDEX(样本到样信息汇总统计!M$2:M$500,MATCH(308,样本到样信息汇总统计!$X$2:$X$500,0)),"")</f>
        <v/>
      </c>
      <c r="N309" s="8" t="str">
        <f>IFERROR(INDEX(样本到样信息汇总统计!N$2:N$500,MATCH(308,样本到样信息汇总统计!$X$2:$X$500,0)),"")</f>
        <v/>
      </c>
      <c r="O309" s="8" t="str">
        <f>IFERROR(INDEX(样本到样信息汇总统计!O$2:O$500,MATCH(308,样本到样信息汇总统计!$X$2:$X$500,0)),"")</f>
        <v/>
      </c>
      <c r="P309" s="8" t="str">
        <f>IFERROR(INDEX(样本到样信息汇总统计!P$2:P$500,MATCH(308,样本到样信息汇总统计!$X$2:$X$500,0)),"")</f>
        <v/>
      </c>
      <c r="Q309" s="8" t="str">
        <f>IFERROR(INDEX(样本到样信息汇总统计!Q$2:Q$500,MATCH(308,样本到样信息汇总统计!$X$2:$X$500,0)),"")</f>
        <v/>
      </c>
      <c r="R309" s="8" t="str">
        <f>IFERROR(INDEX(样本到样信息汇总统计!R$2:R$500,MATCH(308,样本到样信息汇总统计!$X$2:$X$500,0)),"")</f>
        <v/>
      </c>
      <c r="S309" s="8" t="str">
        <f>IFERROR(INDEX(样本到样信息汇总统计!S$2:S$500,MATCH(308,样本到样信息汇总统计!$X$2:$X$500,0)),"")</f>
        <v/>
      </c>
      <c r="T309" s="8" t="str">
        <f>IFERROR(INDEX(样本到样信息汇总统计!T$2:T$500,MATCH(308,样本到样信息汇总统计!$X$2:$X$500,0)),"")</f>
        <v/>
      </c>
      <c r="U309" s="8" t="str">
        <f>IFERROR(INDEX(样本到样信息汇总统计!U$2:U$500,MATCH(308,样本到样信息汇总统计!$X$2:$X$500,0)),"")</f>
        <v/>
      </c>
      <c r="V309" s="8" t="str">
        <f>IFERROR(INDEX(样本到样信息汇总统计!V$2:V$500,MATCH(308,样本到样信息汇总统计!$X$2:$X$500,0)),"")</f>
        <v/>
      </c>
      <c r="W309" s="8" t="str">
        <f>IFERROR(INDEX(样本到样信息汇总统计!W$2:W$500,MATCH(308,样本到样信息汇总统计!$X$2:$X$500,0)),"")</f>
        <v/>
      </c>
    </row>
    <row r="310" ht="14.5" spans="1:23">
      <c r="A310" s="4" t="str">
        <f>IFERROR(INDEX(样本到样信息汇总统计!A$2:A$500,MATCH(309,样本到样信息汇总统计!$X$2:$X$500,0)),"")</f>
        <v/>
      </c>
      <c r="B310" s="4" t="str">
        <f>IFERROR(INDEX(样本到样信息汇总统计!B$2:B$500,MATCH(309,样本到样信息汇总统计!$X$2:$X$500,0)),"")</f>
        <v/>
      </c>
      <c r="C310" s="4" t="str">
        <f>IFERROR(INDEX(样本到样信息汇总统计!C$2:C$500,MATCH(309,样本到样信息汇总统计!$X$2:$X$500,0)),"")</f>
        <v/>
      </c>
      <c r="D310" s="4" t="str">
        <f>IFERROR(INDEX(样本到样信息汇总统计!D$2:D$500,MATCH(309,样本到样信息汇总统计!$X$2:$X$500,0)),"")</f>
        <v/>
      </c>
      <c r="E310" s="4" t="str">
        <f>IFERROR(INDEX(样本到样信息汇总统计!E$2:E$500,MATCH(309,样本到样信息汇总统计!$X$2:$X$500,0)),"")</f>
        <v/>
      </c>
      <c r="F310" s="4" t="str">
        <f>IFERROR(INDEX(样本到样信息汇总统计!F$2:F$500,MATCH(309,样本到样信息汇总统计!$X$2:$X$500,0)),"")</f>
        <v/>
      </c>
      <c r="G310" s="4" t="str">
        <f>IFERROR(INDEX(样本到样信息汇总统计!G$2:G$500,MATCH(309,样本到样信息汇总统计!$X$2:$X$500,0)),"")</f>
        <v/>
      </c>
      <c r="H310" s="4" t="str">
        <f>IFERROR(INDEX(样本到样信息汇总统计!H$2:H$500,MATCH(309,样本到样信息汇总统计!$X$2:$X$500,0)),"")</f>
        <v/>
      </c>
      <c r="I310" s="4" t="str">
        <f>IFERROR(INDEX(样本到样信息汇总统计!I$2:I$500,MATCH(309,样本到样信息汇总统计!$X$2:$X$500,0)),"")</f>
        <v/>
      </c>
      <c r="J310" s="4" t="str">
        <f>IFERROR(INDEX(样本到样信息汇总统计!J$2:J$500,MATCH(309,样本到样信息汇总统计!$X$2:$X$500,0)),"")</f>
        <v/>
      </c>
      <c r="K310" s="14" t="str">
        <f>IFERROR(INDEX(样本到样信息汇总统计!K$2:K$500,MATCH(309,样本到样信息汇总统计!$X$2:$X$500,0)),"")</f>
        <v/>
      </c>
      <c r="L310" s="4" t="str">
        <f>IFERROR(INDEX(样本到样信息汇总统计!L$2:L$500,MATCH(309,样本到样信息汇总统计!$X$2:$X$500,0)),"")</f>
        <v/>
      </c>
      <c r="M310" s="4" t="str">
        <f>IFERROR(INDEX(样本到样信息汇总统计!M$2:M$500,MATCH(309,样本到样信息汇总统计!$X$2:$X$500,0)),"")</f>
        <v/>
      </c>
      <c r="N310" s="4" t="str">
        <f>IFERROR(INDEX(样本到样信息汇总统计!N$2:N$500,MATCH(309,样本到样信息汇总统计!$X$2:$X$500,0)),"")</f>
        <v/>
      </c>
      <c r="O310" s="4" t="str">
        <f>IFERROR(INDEX(样本到样信息汇总统计!O$2:O$500,MATCH(309,样本到样信息汇总统计!$X$2:$X$500,0)),"")</f>
        <v/>
      </c>
      <c r="P310" s="4" t="str">
        <f>IFERROR(INDEX(样本到样信息汇总统计!P$2:P$500,MATCH(309,样本到样信息汇总统计!$X$2:$X$500,0)),"")</f>
        <v/>
      </c>
      <c r="Q310" s="4" t="str">
        <f>IFERROR(INDEX(样本到样信息汇总统计!Q$2:Q$500,MATCH(309,样本到样信息汇总统计!$X$2:$X$500,0)),"")</f>
        <v/>
      </c>
      <c r="R310" s="4" t="str">
        <f>IFERROR(INDEX(样本到样信息汇总统计!R$2:R$500,MATCH(309,样本到样信息汇总统计!$X$2:$X$500,0)),"")</f>
        <v/>
      </c>
      <c r="S310" s="4" t="str">
        <f>IFERROR(INDEX(样本到样信息汇总统计!S$2:S$500,MATCH(309,样本到样信息汇总统计!$X$2:$X$500,0)),"")</f>
        <v/>
      </c>
      <c r="T310" s="4" t="str">
        <f>IFERROR(INDEX(样本到样信息汇总统计!T$2:T$500,MATCH(309,样本到样信息汇总统计!$X$2:$X$500,0)),"")</f>
        <v/>
      </c>
      <c r="U310" s="4" t="str">
        <f>IFERROR(INDEX(样本到样信息汇总统计!U$2:U$500,MATCH(309,样本到样信息汇总统计!$X$2:$X$500,0)),"")</f>
        <v/>
      </c>
      <c r="V310" s="4" t="str">
        <f>IFERROR(INDEX(样本到样信息汇总统计!V$2:V$500,MATCH(309,样本到样信息汇总统计!$X$2:$X$500,0)),"")</f>
        <v/>
      </c>
      <c r="W310" s="4" t="str">
        <f>IFERROR(INDEX(样本到样信息汇总统计!W$2:W$500,MATCH(309,样本到样信息汇总统计!$X$2:$X$500,0)),"")</f>
        <v/>
      </c>
    </row>
    <row r="311" ht="14.5" spans="1:23">
      <c r="A311" s="8" t="str">
        <f>IFERROR(INDEX(样本到样信息汇总统计!A$2:A$500,MATCH(310,样本到样信息汇总统计!$X$2:$X$500,0)),"")</f>
        <v/>
      </c>
      <c r="B311" s="8" t="str">
        <f>IFERROR(INDEX(样本到样信息汇总统计!B$2:B$500,MATCH(310,样本到样信息汇总统计!$X$2:$X$500,0)),"")</f>
        <v/>
      </c>
      <c r="C311" s="8" t="str">
        <f>IFERROR(INDEX(样本到样信息汇总统计!C$2:C$500,MATCH(310,样本到样信息汇总统计!$X$2:$X$500,0)),"")</f>
        <v/>
      </c>
      <c r="D311" s="8" t="str">
        <f>IFERROR(INDEX(样本到样信息汇总统计!D$2:D$500,MATCH(310,样本到样信息汇总统计!$X$2:$X$500,0)),"")</f>
        <v/>
      </c>
      <c r="E311" s="8" t="str">
        <f>IFERROR(INDEX(样本到样信息汇总统计!E$2:E$500,MATCH(310,样本到样信息汇总统计!$X$2:$X$500,0)),"")</f>
        <v/>
      </c>
      <c r="F311" s="8" t="str">
        <f>IFERROR(INDEX(样本到样信息汇总统计!F$2:F$500,MATCH(310,样本到样信息汇总统计!$X$2:$X$500,0)),"")</f>
        <v/>
      </c>
      <c r="G311" s="8" t="str">
        <f>IFERROR(INDEX(样本到样信息汇总统计!G$2:G$500,MATCH(310,样本到样信息汇总统计!$X$2:$X$500,0)),"")</f>
        <v/>
      </c>
      <c r="H311" s="8" t="str">
        <f>IFERROR(INDEX(样本到样信息汇总统计!H$2:H$500,MATCH(310,样本到样信息汇总统计!$X$2:$X$500,0)),"")</f>
        <v/>
      </c>
      <c r="I311" s="8" t="str">
        <f>IFERROR(INDEX(样本到样信息汇总统计!I$2:I$500,MATCH(310,样本到样信息汇总统计!$X$2:$X$500,0)),"")</f>
        <v/>
      </c>
      <c r="J311" s="8" t="str">
        <f>IFERROR(INDEX(样本到样信息汇总统计!J$2:J$500,MATCH(310,样本到样信息汇总统计!$X$2:$X$500,0)),"")</f>
        <v/>
      </c>
      <c r="K311" s="15" t="str">
        <f>IFERROR(INDEX(样本到样信息汇总统计!K$2:K$500,MATCH(310,样本到样信息汇总统计!$X$2:$X$500,0)),"")</f>
        <v/>
      </c>
      <c r="L311" s="8" t="str">
        <f>IFERROR(INDEX(样本到样信息汇总统计!L$2:L$500,MATCH(310,样本到样信息汇总统计!$X$2:$X$500,0)),"")</f>
        <v/>
      </c>
      <c r="M311" s="8" t="str">
        <f>IFERROR(INDEX(样本到样信息汇总统计!M$2:M$500,MATCH(310,样本到样信息汇总统计!$X$2:$X$500,0)),"")</f>
        <v/>
      </c>
      <c r="N311" s="8" t="str">
        <f>IFERROR(INDEX(样本到样信息汇总统计!N$2:N$500,MATCH(310,样本到样信息汇总统计!$X$2:$X$500,0)),"")</f>
        <v/>
      </c>
      <c r="O311" s="8" t="str">
        <f>IFERROR(INDEX(样本到样信息汇总统计!O$2:O$500,MATCH(310,样本到样信息汇总统计!$X$2:$X$500,0)),"")</f>
        <v/>
      </c>
      <c r="P311" s="8" t="str">
        <f>IFERROR(INDEX(样本到样信息汇总统计!P$2:P$500,MATCH(310,样本到样信息汇总统计!$X$2:$X$500,0)),"")</f>
        <v/>
      </c>
      <c r="Q311" s="8" t="str">
        <f>IFERROR(INDEX(样本到样信息汇总统计!Q$2:Q$500,MATCH(310,样本到样信息汇总统计!$X$2:$X$500,0)),"")</f>
        <v/>
      </c>
      <c r="R311" s="8" t="str">
        <f>IFERROR(INDEX(样本到样信息汇总统计!R$2:R$500,MATCH(310,样本到样信息汇总统计!$X$2:$X$500,0)),"")</f>
        <v/>
      </c>
      <c r="S311" s="8" t="str">
        <f>IFERROR(INDEX(样本到样信息汇总统计!S$2:S$500,MATCH(310,样本到样信息汇总统计!$X$2:$X$500,0)),"")</f>
        <v/>
      </c>
      <c r="T311" s="8" t="str">
        <f>IFERROR(INDEX(样本到样信息汇总统计!T$2:T$500,MATCH(310,样本到样信息汇总统计!$X$2:$X$500,0)),"")</f>
        <v/>
      </c>
      <c r="U311" s="8" t="str">
        <f>IFERROR(INDEX(样本到样信息汇总统计!U$2:U$500,MATCH(310,样本到样信息汇总统计!$X$2:$X$500,0)),"")</f>
        <v/>
      </c>
      <c r="V311" s="8" t="str">
        <f>IFERROR(INDEX(样本到样信息汇总统计!V$2:V$500,MATCH(310,样本到样信息汇总统计!$X$2:$X$500,0)),"")</f>
        <v/>
      </c>
      <c r="W311" s="8" t="str">
        <f>IFERROR(INDEX(样本到样信息汇总统计!W$2:W$500,MATCH(310,样本到样信息汇总统计!$X$2:$X$500,0)),"")</f>
        <v/>
      </c>
    </row>
    <row r="312" ht="14.5" spans="1:23">
      <c r="A312" s="4" t="str">
        <f>IFERROR(INDEX(样本到样信息汇总统计!A$2:A$500,MATCH(311,样本到样信息汇总统计!$X$2:$X$500,0)),"")</f>
        <v/>
      </c>
      <c r="B312" s="4" t="str">
        <f>IFERROR(INDEX(样本到样信息汇总统计!B$2:B$500,MATCH(311,样本到样信息汇总统计!$X$2:$X$500,0)),"")</f>
        <v/>
      </c>
      <c r="C312" s="4" t="str">
        <f>IFERROR(INDEX(样本到样信息汇总统计!C$2:C$500,MATCH(311,样本到样信息汇总统计!$X$2:$X$500,0)),"")</f>
        <v/>
      </c>
      <c r="D312" s="4" t="str">
        <f>IFERROR(INDEX(样本到样信息汇总统计!D$2:D$500,MATCH(311,样本到样信息汇总统计!$X$2:$X$500,0)),"")</f>
        <v/>
      </c>
      <c r="E312" s="4" t="str">
        <f>IFERROR(INDEX(样本到样信息汇总统计!E$2:E$500,MATCH(311,样本到样信息汇总统计!$X$2:$X$500,0)),"")</f>
        <v/>
      </c>
      <c r="F312" s="4" t="str">
        <f>IFERROR(INDEX(样本到样信息汇总统计!F$2:F$500,MATCH(311,样本到样信息汇总统计!$X$2:$X$500,0)),"")</f>
        <v/>
      </c>
      <c r="G312" s="4" t="str">
        <f>IFERROR(INDEX(样本到样信息汇总统计!G$2:G$500,MATCH(311,样本到样信息汇总统计!$X$2:$X$500,0)),"")</f>
        <v/>
      </c>
      <c r="H312" s="4" t="str">
        <f>IFERROR(INDEX(样本到样信息汇总统计!H$2:H$500,MATCH(311,样本到样信息汇总统计!$X$2:$X$500,0)),"")</f>
        <v/>
      </c>
      <c r="I312" s="4" t="str">
        <f>IFERROR(INDEX(样本到样信息汇总统计!I$2:I$500,MATCH(311,样本到样信息汇总统计!$X$2:$X$500,0)),"")</f>
        <v/>
      </c>
      <c r="J312" s="4" t="str">
        <f>IFERROR(INDEX(样本到样信息汇总统计!J$2:J$500,MATCH(311,样本到样信息汇总统计!$X$2:$X$500,0)),"")</f>
        <v/>
      </c>
      <c r="K312" s="14" t="str">
        <f>IFERROR(INDEX(样本到样信息汇总统计!K$2:K$500,MATCH(311,样本到样信息汇总统计!$X$2:$X$500,0)),"")</f>
        <v/>
      </c>
      <c r="L312" s="4" t="str">
        <f>IFERROR(INDEX(样本到样信息汇总统计!L$2:L$500,MATCH(311,样本到样信息汇总统计!$X$2:$X$500,0)),"")</f>
        <v/>
      </c>
      <c r="M312" s="4" t="str">
        <f>IFERROR(INDEX(样本到样信息汇总统计!M$2:M$500,MATCH(311,样本到样信息汇总统计!$X$2:$X$500,0)),"")</f>
        <v/>
      </c>
      <c r="N312" s="4" t="str">
        <f>IFERROR(INDEX(样本到样信息汇总统计!N$2:N$500,MATCH(311,样本到样信息汇总统计!$X$2:$X$500,0)),"")</f>
        <v/>
      </c>
      <c r="O312" s="4" t="str">
        <f>IFERROR(INDEX(样本到样信息汇总统计!O$2:O$500,MATCH(311,样本到样信息汇总统计!$X$2:$X$500,0)),"")</f>
        <v/>
      </c>
      <c r="P312" s="4" t="str">
        <f>IFERROR(INDEX(样本到样信息汇总统计!P$2:P$500,MATCH(311,样本到样信息汇总统计!$X$2:$X$500,0)),"")</f>
        <v/>
      </c>
      <c r="Q312" s="4" t="str">
        <f>IFERROR(INDEX(样本到样信息汇总统计!Q$2:Q$500,MATCH(311,样本到样信息汇总统计!$X$2:$X$500,0)),"")</f>
        <v/>
      </c>
      <c r="R312" s="4" t="str">
        <f>IFERROR(INDEX(样本到样信息汇总统计!R$2:R$500,MATCH(311,样本到样信息汇总统计!$X$2:$X$500,0)),"")</f>
        <v/>
      </c>
      <c r="S312" s="4" t="str">
        <f>IFERROR(INDEX(样本到样信息汇总统计!S$2:S$500,MATCH(311,样本到样信息汇总统计!$X$2:$X$500,0)),"")</f>
        <v/>
      </c>
      <c r="T312" s="4" t="str">
        <f>IFERROR(INDEX(样本到样信息汇总统计!T$2:T$500,MATCH(311,样本到样信息汇总统计!$X$2:$X$500,0)),"")</f>
        <v/>
      </c>
      <c r="U312" s="4" t="str">
        <f>IFERROR(INDEX(样本到样信息汇总统计!U$2:U$500,MATCH(311,样本到样信息汇总统计!$X$2:$X$500,0)),"")</f>
        <v/>
      </c>
      <c r="V312" s="4" t="str">
        <f>IFERROR(INDEX(样本到样信息汇总统计!V$2:V$500,MATCH(311,样本到样信息汇总统计!$X$2:$X$500,0)),"")</f>
        <v/>
      </c>
      <c r="W312" s="4" t="str">
        <f>IFERROR(INDEX(样本到样信息汇总统计!W$2:W$500,MATCH(311,样本到样信息汇总统计!$X$2:$X$500,0)),"")</f>
        <v/>
      </c>
    </row>
    <row r="313" ht="14.5" spans="1:23">
      <c r="A313" s="8" t="str">
        <f>IFERROR(INDEX(样本到样信息汇总统计!A$2:A$500,MATCH(312,样本到样信息汇总统计!$X$2:$X$500,0)),"")</f>
        <v/>
      </c>
      <c r="B313" s="8" t="str">
        <f>IFERROR(INDEX(样本到样信息汇总统计!B$2:B$500,MATCH(312,样本到样信息汇总统计!$X$2:$X$500,0)),"")</f>
        <v/>
      </c>
      <c r="C313" s="8" t="str">
        <f>IFERROR(INDEX(样本到样信息汇总统计!C$2:C$500,MATCH(312,样本到样信息汇总统计!$X$2:$X$500,0)),"")</f>
        <v/>
      </c>
      <c r="D313" s="8" t="str">
        <f>IFERROR(INDEX(样本到样信息汇总统计!D$2:D$500,MATCH(312,样本到样信息汇总统计!$X$2:$X$500,0)),"")</f>
        <v/>
      </c>
      <c r="E313" s="8" t="str">
        <f>IFERROR(INDEX(样本到样信息汇总统计!E$2:E$500,MATCH(312,样本到样信息汇总统计!$X$2:$X$500,0)),"")</f>
        <v/>
      </c>
      <c r="F313" s="8" t="str">
        <f>IFERROR(INDEX(样本到样信息汇总统计!F$2:F$500,MATCH(312,样本到样信息汇总统计!$X$2:$X$500,0)),"")</f>
        <v/>
      </c>
      <c r="G313" s="8" t="str">
        <f>IFERROR(INDEX(样本到样信息汇总统计!G$2:G$500,MATCH(312,样本到样信息汇总统计!$X$2:$X$500,0)),"")</f>
        <v/>
      </c>
      <c r="H313" s="8" t="str">
        <f>IFERROR(INDEX(样本到样信息汇总统计!H$2:H$500,MATCH(312,样本到样信息汇总统计!$X$2:$X$500,0)),"")</f>
        <v/>
      </c>
      <c r="I313" s="8" t="str">
        <f>IFERROR(INDEX(样本到样信息汇总统计!I$2:I$500,MATCH(312,样本到样信息汇总统计!$X$2:$X$500,0)),"")</f>
        <v/>
      </c>
      <c r="J313" s="8" t="str">
        <f>IFERROR(INDEX(样本到样信息汇总统计!J$2:J$500,MATCH(312,样本到样信息汇总统计!$X$2:$X$500,0)),"")</f>
        <v/>
      </c>
      <c r="K313" s="15" t="str">
        <f>IFERROR(INDEX(样本到样信息汇总统计!K$2:K$500,MATCH(312,样本到样信息汇总统计!$X$2:$X$500,0)),"")</f>
        <v/>
      </c>
      <c r="L313" s="8" t="str">
        <f>IFERROR(INDEX(样本到样信息汇总统计!L$2:L$500,MATCH(312,样本到样信息汇总统计!$X$2:$X$500,0)),"")</f>
        <v/>
      </c>
      <c r="M313" s="8" t="str">
        <f>IFERROR(INDEX(样本到样信息汇总统计!M$2:M$500,MATCH(312,样本到样信息汇总统计!$X$2:$X$500,0)),"")</f>
        <v/>
      </c>
      <c r="N313" s="8" t="str">
        <f>IFERROR(INDEX(样本到样信息汇总统计!N$2:N$500,MATCH(312,样本到样信息汇总统计!$X$2:$X$500,0)),"")</f>
        <v/>
      </c>
      <c r="O313" s="8" t="str">
        <f>IFERROR(INDEX(样本到样信息汇总统计!O$2:O$500,MATCH(312,样本到样信息汇总统计!$X$2:$X$500,0)),"")</f>
        <v/>
      </c>
      <c r="P313" s="8" t="str">
        <f>IFERROR(INDEX(样本到样信息汇总统计!P$2:P$500,MATCH(312,样本到样信息汇总统计!$X$2:$X$500,0)),"")</f>
        <v/>
      </c>
      <c r="Q313" s="8" t="str">
        <f>IFERROR(INDEX(样本到样信息汇总统计!Q$2:Q$500,MATCH(312,样本到样信息汇总统计!$X$2:$X$500,0)),"")</f>
        <v/>
      </c>
      <c r="R313" s="8" t="str">
        <f>IFERROR(INDEX(样本到样信息汇总统计!R$2:R$500,MATCH(312,样本到样信息汇总统计!$X$2:$X$500,0)),"")</f>
        <v/>
      </c>
      <c r="S313" s="8" t="str">
        <f>IFERROR(INDEX(样本到样信息汇总统计!S$2:S$500,MATCH(312,样本到样信息汇总统计!$X$2:$X$500,0)),"")</f>
        <v/>
      </c>
      <c r="T313" s="8" t="str">
        <f>IFERROR(INDEX(样本到样信息汇总统计!T$2:T$500,MATCH(312,样本到样信息汇总统计!$X$2:$X$500,0)),"")</f>
        <v/>
      </c>
      <c r="U313" s="8" t="str">
        <f>IFERROR(INDEX(样本到样信息汇总统计!U$2:U$500,MATCH(312,样本到样信息汇总统计!$X$2:$X$500,0)),"")</f>
        <v/>
      </c>
      <c r="V313" s="8" t="str">
        <f>IFERROR(INDEX(样本到样信息汇总统计!V$2:V$500,MATCH(312,样本到样信息汇总统计!$X$2:$X$500,0)),"")</f>
        <v/>
      </c>
      <c r="W313" s="8" t="str">
        <f>IFERROR(INDEX(样本到样信息汇总统计!W$2:W$500,MATCH(312,样本到样信息汇总统计!$X$2:$X$500,0)),"")</f>
        <v/>
      </c>
    </row>
    <row r="314" ht="14.5" spans="1:23">
      <c r="A314" s="4" t="str">
        <f>IFERROR(INDEX(样本到样信息汇总统计!A$2:A$500,MATCH(313,样本到样信息汇总统计!$X$2:$X$500,0)),"")</f>
        <v/>
      </c>
      <c r="B314" s="4" t="str">
        <f>IFERROR(INDEX(样本到样信息汇总统计!B$2:B$500,MATCH(313,样本到样信息汇总统计!$X$2:$X$500,0)),"")</f>
        <v/>
      </c>
      <c r="C314" s="4" t="str">
        <f>IFERROR(INDEX(样本到样信息汇总统计!C$2:C$500,MATCH(313,样本到样信息汇总统计!$X$2:$X$500,0)),"")</f>
        <v/>
      </c>
      <c r="D314" s="4" t="str">
        <f>IFERROR(INDEX(样本到样信息汇总统计!D$2:D$500,MATCH(313,样本到样信息汇总统计!$X$2:$X$500,0)),"")</f>
        <v/>
      </c>
      <c r="E314" s="4" t="str">
        <f>IFERROR(INDEX(样本到样信息汇总统计!E$2:E$500,MATCH(313,样本到样信息汇总统计!$X$2:$X$500,0)),"")</f>
        <v/>
      </c>
      <c r="F314" s="4" t="str">
        <f>IFERROR(INDEX(样本到样信息汇总统计!F$2:F$500,MATCH(313,样本到样信息汇总统计!$X$2:$X$500,0)),"")</f>
        <v/>
      </c>
      <c r="G314" s="4" t="str">
        <f>IFERROR(INDEX(样本到样信息汇总统计!G$2:G$500,MATCH(313,样本到样信息汇总统计!$X$2:$X$500,0)),"")</f>
        <v/>
      </c>
      <c r="H314" s="4" t="str">
        <f>IFERROR(INDEX(样本到样信息汇总统计!H$2:H$500,MATCH(313,样本到样信息汇总统计!$X$2:$X$500,0)),"")</f>
        <v/>
      </c>
      <c r="I314" s="4" t="str">
        <f>IFERROR(INDEX(样本到样信息汇总统计!I$2:I$500,MATCH(313,样本到样信息汇总统计!$X$2:$X$500,0)),"")</f>
        <v/>
      </c>
      <c r="J314" s="4" t="str">
        <f>IFERROR(INDEX(样本到样信息汇总统计!J$2:J$500,MATCH(313,样本到样信息汇总统计!$X$2:$X$500,0)),"")</f>
        <v/>
      </c>
      <c r="K314" s="14" t="str">
        <f>IFERROR(INDEX(样本到样信息汇总统计!K$2:K$500,MATCH(313,样本到样信息汇总统计!$X$2:$X$500,0)),"")</f>
        <v/>
      </c>
      <c r="L314" s="4" t="str">
        <f>IFERROR(INDEX(样本到样信息汇总统计!L$2:L$500,MATCH(313,样本到样信息汇总统计!$X$2:$X$500,0)),"")</f>
        <v/>
      </c>
      <c r="M314" s="4" t="str">
        <f>IFERROR(INDEX(样本到样信息汇总统计!M$2:M$500,MATCH(313,样本到样信息汇总统计!$X$2:$X$500,0)),"")</f>
        <v/>
      </c>
      <c r="N314" s="4" t="str">
        <f>IFERROR(INDEX(样本到样信息汇总统计!N$2:N$500,MATCH(313,样本到样信息汇总统计!$X$2:$X$500,0)),"")</f>
        <v/>
      </c>
      <c r="O314" s="4" t="str">
        <f>IFERROR(INDEX(样本到样信息汇总统计!O$2:O$500,MATCH(313,样本到样信息汇总统计!$X$2:$X$500,0)),"")</f>
        <v/>
      </c>
      <c r="P314" s="4" t="str">
        <f>IFERROR(INDEX(样本到样信息汇总统计!P$2:P$500,MATCH(313,样本到样信息汇总统计!$X$2:$X$500,0)),"")</f>
        <v/>
      </c>
      <c r="Q314" s="4" t="str">
        <f>IFERROR(INDEX(样本到样信息汇总统计!Q$2:Q$500,MATCH(313,样本到样信息汇总统计!$X$2:$X$500,0)),"")</f>
        <v/>
      </c>
      <c r="R314" s="4" t="str">
        <f>IFERROR(INDEX(样本到样信息汇总统计!R$2:R$500,MATCH(313,样本到样信息汇总统计!$X$2:$X$500,0)),"")</f>
        <v/>
      </c>
      <c r="S314" s="4" t="str">
        <f>IFERROR(INDEX(样本到样信息汇总统计!S$2:S$500,MATCH(313,样本到样信息汇总统计!$X$2:$X$500,0)),"")</f>
        <v/>
      </c>
      <c r="T314" s="4" t="str">
        <f>IFERROR(INDEX(样本到样信息汇总统计!T$2:T$500,MATCH(313,样本到样信息汇总统计!$X$2:$X$500,0)),"")</f>
        <v/>
      </c>
      <c r="U314" s="4" t="str">
        <f>IFERROR(INDEX(样本到样信息汇总统计!U$2:U$500,MATCH(313,样本到样信息汇总统计!$X$2:$X$500,0)),"")</f>
        <v/>
      </c>
      <c r="V314" s="4" t="str">
        <f>IFERROR(INDEX(样本到样信息汇总统计!V$2:V$500,MATCH(313,样本到样信息汇总统计!$X$2:$X$500,0)),"")</f>
        <v/>
      </c>
      <c r="W314" s="4" t="str">
        <f>IFERROR(INDEX(样本到样信息汇总统计!W$2:W$500,MATCH(313,样本到样信息汇总统计!$X$2:$X$500,0)),"")</f>
        <v/>
      </c>
    </row>
    <row r="315" ht="14.5" spans="1:23">
      <c r="A315" s="8" t="str">
        <f>IFERROR(INDEX(样本到样信息汇总统计!A$2:A$500,MATCH(314,样本到样信息汇总统计!$X$2:$X$500,0)),"")</f>
        <v/>
      </c>
      <c r="B315" s="8" t="str">
        <f>IFERROR(INDEX(样本到样信息汇总统计!B$2:B$500,MATCH(314,样本到样信息汇总统计!$X$2:$X$500,0)),"")</f>
        <v/>
      </c>
      <c r="C315" s="8" t="str">
        <f>IFERROR(INDEX(样本到样信息汇总统计!C$2:C$500,MATCH(314,样本到样信息汇总统计!$X$2:$X$500,0)),"")</f>
        <v/>
      </c>
      <c r="D315" s="8" t="str">
        <f>IFERROR(INDEX(样本到样信息汇总统计!D$2:D$500,MATCH(314,样本到样信息汇总统计!$X$2:$X$500,0)),"")</f>
        <v/>
      </c>
      <c r="E315" s="8" t="str">
        <f>IFERROR(INDEX(样本到样信息汇总统计!E$2:E$500,MATCH(314,样本到样信息汇总统计!$X$2:$X$500,0)),"")</f>
        <v/>
      </c>
      <c r="F315" s="8" t="str">
        <f>IFERROR(INDEX(样本到样信息汇总统计!F$2:F$500,MATCH(314,样本到样信息汇总统计!$X$2:$X$500,0)),"")</f>
        <v/>
      </c>
      <c r="G315" s="8" t="str">
        <f>IFERROR(INDEX(样本到样信息汇总统计!G$2:G$500,MATCH(314,样本到样信息汇总统计!$X$2:$X$500,0)),"")</f>
        <v/>
      </c>
      <c r="H315" s="8" t="str">
        <f>IFERROR(INDEX(样本到样信息汇总统计!H$2:H$500,MATCH(314,样本到样信息汇总统计!$X$2:$X$500,0)),"")</f>
        <v/>
      </c>
      <c r="I315" s="8" t="str">
        <f>IFERROR(INDEX(样本到样信息汇总统计!I$2:I$500,MATCH(314,样本到样信息汇总统计!$X$2:$X$500,0)),"")</f>
        <v/>
      </c>
      <c r="J315" s="8" t="str">
        <f>IFERROR(INDEX(样本到样信息汇总统计!J$2:J$500,MATCH(314,样本到样信息汇总统计!$X$2:$X$500,0)),"")</f>
        <v/>
      </c>
      <c r="K315" s="15" t="str">
        <f>IFERROR(INDEX(样本到样信息汇总统计!K$2:K$500,MATCH(314,样本到样信息汇总统计!$X$2:$X$500,0)),"")</f>
        <v/>
      </c>
      <c r="L315" s="8" t="str">
        <f>IFERROR(INDEX(样本到样信息汇总统计!L$2:L$500,MATCH(314,样本到样信息汇总统计!$X$2:$X$500,0)),"")</f>
        <v/>
      </c>
      <c r="M315" s="8" t="str">
        <f>IFERROR(INDEX(样本到样信息汇总统计!M$2:M$500,MATCH(314,样本到样信息汇总统计!$X$2:$X$500,0)),"")</f>
        <v/>
      </c>
      <c r="N315" s="8" t="str">
        <f>IFERROR(INDEX(样本到样信息汇总统计!N$2:N$500,MATCH(314,样本到样信息汇总统计!$X$2:$X$500,0)),"")</f>
        <v/>
      </c>
      <c r="O315" s="8" t="str">
        <f>IFERROR(INDEX(样本到样信息汇总统计!O$2:O$500,MATCH(314,样本到样信息汇总统计!$X$2:$X$500,0)),"")</f>
        <v/>
      </c>
      <c r="P315" s="8" t="str">
        <f>IFERROR(INDEX(样本到样信息汇总统计!P$2:P$500,MATCH(314,样本到样信息汇总统计!$X$2:$X$500,0)),"")</f>
        <v/>
      </c>
      <c r="Q315" s="8" t="str">
        <f>IFERROR(INDEX(样本到样信息汇总统计!Q$2:Q$500,MATCH(314,样本到样信息汇总统计!$X$2:$X$500,0)),"")</f>
        <v/>
      </c>
      <c r="R315" s="8" t="str">
        <f>IFERROR(INDEX(样本到样信息汇总统计!R$2:R$500,MATCH(314,样本到样信息汇总统计!$X$2:$X$500,0)),"")</f>
        <v/>
      </c>
      <c r="S315" s="8" t="str">
        <f>IFERROR(INDEX(样本到样信息汇总统计!S$2:S$500,MATCH(314,样本到样信息汇总统计!$X$2:$X$500,0)),"")</f>
        <v/>
      </c>
      <c r="T315" s="8" t="str">
        <f>IFERROR(INDEX(样本到样信息汇总统计!T$2:T$500,MATCH(314,样本到样信息汇总统计!$X$2:$X$500,0)),"")</f>
        <v/>
      </c>
      <c r="U315" s="8" t="str">
        <f>IFERROR(INDEX(样本到样信息汇总统计!U$2:U$500,MATCH(314,样本到样信息汇总统计!$X$2:$X$500,0)),"")</f>
        <v/>
      </c>
      <c r="V315" s="8" t="str">
        <f>IFERROR(INDEX(样本到样信息汇总统计!V$2:V$500,MATCH(314,样本到样信息汇总统计!$X$2:$X$500,0)),"")</f>
        <v/>
      </c>
      <c r="W315" s="8" t="str">
        <f>IFERROR(INDEX(样本到样信息汇总统计!W$2:W$500,MATCH(314,样本到样信息汇总统计!$X$2:$X$500,0)),"")</f>
        <v/>
      </c>
    </row>
    <row r="316" ht="14.5" spans="1:23">
      <c r="A316" s="4" t="str">
        <f>IFERROR(INDEX(样本到样信息汇总统计!A$2:A$500,MATCH(315,样本到样信息汇总统计!$X$2:$X$500,0)),"")</f>
        <v/>
      </c>
      <c r="B316" s="4" t="str">
        <f>IFERROR(INDEX(样本到样信息汇总统计!B$2:B$500,MATCH(315,样本到样信息汇总统计!$X$2:$X$500,0)),"")</f>
        <v/>
      </c>
      <c r="C316" s="4" t="str">
        <f>IFERROR(INDEX(样本到样信息汇总统计!C$2:C$500,MATCH(315,样本到样信息汇总统计!$X$2:$X$500,0)),"")</f>
        <v/>
      </c>
      <c r="D316" s="4" t="str">
        <f>IFERROR(INDEX(样本到样信息汇总统计!D$2:D$500,MATCH(315,样本到样信息汇总统计!$X$2:$X$500,0)),"")</f>
        <v/>
      </c>
      <c r="E316" s="4" t="str">
        <f>IFERROR(INDEX(样本到样信息汇总统计!E$2:E$500,MATCH(315,样本到样信息汇总统计!$X$2:$X$500,0)),"")</f>
        <v/>
      </c>
      <c r="F316" s="4" t="str">
        <f>IFERROR(INDEX(样本到样信息汇总统计!F$2:F$500,MATCH(315,样本到样信息汇总统计!$X$2:$X$500,0)),"")</f>
        <v/>
      </c>
      <c r="G316" s="4" t="str">
        <f>IFERROR(INDEX(样本到样信息汇总统计!G$2:G$500,MATCH(315,样本到样信息汇总统计!$X$2:$X$500,0)),"")</f>
        <v/>
      </c>
      <c r="H316" s="4" t="str">
        <f>IFERROR(INDEX(样本到样信息汇总统计!H$2:H$500,MATCH(315,样本到样信息汇总统计!$X$2:$X$500,0)),"")</f>
        <v/>
      </c>
      <c r="I316" s="4" t="str">
        <f>IFERROR(INDEX(样本到样信息汇总统计!I$2:I$500,MATCH(315,样本到样信息汇总统计!$X$2:$X$500,0)),"")</f>
        <v/>
      </c>
      <c r="J316" s="4" t="str">
        <f>IFERROR(INDEX(样本到样信息汇总统计!J$2:J$500,MATCH(315,样本到样信息汇总统计!$X$2:$X$500,0)),"")</f>
        <v/>
      </c>
      <c r="K316" s="14" t="str">
        <f>IFERROR(INDEX(样本到样信息汇总统计!K$2:K$500,MATCH(315,样本到样信息汇总统计!$X$2:$X$500,0)),"")</f>
        <v/>
      </c>
      <c r="L316" s="4" t="str">
        <f>IFERROR(INDEX(样本到样信息汇总统计!L$2:L$500,MATCH(315,样本到样信息汇总统计!$X$2:$X$500,0)),"")</f>
        <v/>
      </c>
      <c r="M316" s="4" t="str">
        <f>IFERROR(INDEX(样本到样信息汇总统计!M$2:M$500,MATCH(315,样本到样信息汇总统计!$X$2:$X$500,0)),"")</f>
        <v/>
      </c>
      <c r="N316" s="4" t="str">
        <f>IFERROR(INDEX(样本到样信息汇总统计!N$2:N$500,MATCH(315,样本到样信息汇总统计!$X$2:$X$500,0)),"")</f>
        <v/>
      </c>
      <c r="O316" s="4" t="str">
        <f>IFERROR(INDEX(样本到样信息汇总统计!O$2:O$500,MATCH(315,样本到样信息汇总统计!$X$2:$X$500,0)),"")</f>
        <v/>
      </c>
      <c r="P316" s="4" t="str">
        <f>IFERROR(INDEX(样本到样信息汇总统计!P$2:P$500,MATCH(315,样本到样信息汇总统计!$X$2:$X$500,0)),"")</f>
        <v/>
      </c>
      <c r="Q316" s="4" t="str">
        <f>IFERROR(INDEX(样本到样信息汇总统计!Q$2:Q$500,MATCH(315,样本到样信息汇总统计!$X$2:$X$500,0)),"")</f>
        <v/>
      </c>
      <c r="R316" s="4" t="str">
        <f>IFERROR(INDEX(样本到样信息汇总统计!R$2:R$500,MATCH(315,样本到样信息汇总统计!$X$2:$X$500,0)),"")</f>
        <v/>
      </c>
      <c r="S316" s="4" t="str">
        <f>IFERROR(INDEX(样本到样信息汇总统计!S$2:S$500,MATCH(315,样本到样信息汇总统计!$X$2:$X$500,0)),"")</f>
        <v/>
      </c>
      <c r="T316" s="4" t="str">
        <f>IFERROR(INDEX(样本到样信息汇总统计!T$2:T$500,MATCH(315,样本到样信息汇总统计!$X$2:$X$500,0)),"")</f>
        <v/>
      </c>
      <c r="U316" s="4" t="str">
        <f>IFERROR(INDEX(样本到样信息汇总统计!U$2:U$500,MATCH(315,样本到样信息汇总统计!$X$2:$X$500,0)),"")</f>
        <v/>
      </c>
      <c r="V316" s="4" t="str">
        <f>IFERROR(INDEX(样本到样信息汇总统计!V$2:V$500,MATCH(315,样本到样信息汇总统计!$X$2:$X$500,0)),"")</f>
        <v/>
      </c>
      <c r="W316" s="4" t="str">
        <f>IFERROR(INDEX(样本到样信息汇总统计!W$2:W$500,MATCH(315,样本到样信息汇总统计!$X$2:$X$500,0)),"")</f>
        <v/>
      </c>
    </row>
    <row r="317" ht="14.5" spans="1:23">
      <c r="A317" s="8" t="str">
        <f>IFERROR(INDEX(样本到样信息汇总统计!A$2:A$500,MATCH(316,样本到样信息汇总统计!$X$2:$X$500,0)),"")</f>
        <v/>
      </c>
      <c r="B317" s="8" t="str">
        <f>IFERROR(INDEX(样本到样信息汇总统计!B$2:B$500,MATCH(316,样本到样信息汇总统计!$X$2:$X$500,0)),"")</f>
        <v/>
      </c>
      <c r="C317" s="8" t="str">
        <f>IFERROR(INDEX(样本到样信息汇总统计!C$2:C$500,MATCH(316,样本到样信息汇总统计!$X$2:$X$500,0)),"")</f>
        <v/>
      </c>
      <c r="D317" s="8" t="str">
        <f>IFERROR(INDEX(样本到样信息汇总统计!D$2:D$500,MATCH(316,样本到样信息汇总统计!$X$2:$X$500,0)),"")</f>
        <v/>
      </c>
      <c r="E317" s="8" t="str">
        <f>IFERROR(INDEX(样本到样信息汇总统计!E$2:E$500,MATCH(316,样本到样信息汇总统计!$X$2:$X$500,0)),"")</f>
        <v/>
      </c>
      <c r="F317" s="8" t="str">
        <f>IFERROR(INDEX(样本到样信息汇总统计!F$2:F$500,MATCH(316,样本到样信息汇总统计!$X$2:$X$500,0)),"")</f>
        <v/>
      </c>
      <c r="G317" s="8" t="str">
        <f>IFERROR(INDEX(样本到样信息汇总统计!G$2:G$500,MATCH(316,样本到样信息汇总统计!$X$2:$X$500,0)),"")</f>
        <v/>
      </c>
      <c r="H317" s="8" t="str">
        <f>IFERROR(INDEX(样本到样信息汇总统计!H$2:H$500,MATCH(316,样本到样信息汇总统计!$X$2:$X$500,0)),"")</f>
        <v/>
      </c>
      <c r="I317" s="8" t="str">
        <f>IFERROR(INDEX(样本到样信息汇总统计!I$2:I$500,MATCH(316,样本到样信息汇总统计!$X$2:$X$500,0)),"")</f>
        <v/>
      </c>
      <c r="J317" s="8" t="str">
        <f>IFERROR(INDEX(样本到样信息汇总统计!J$2:J$500,MATCH(316,样本到样信息汇总统计!$X$2:$X$500,0)),"")</f>
        <v/>
      </c>
      <c r="K317" s="15" t="str">
        <f>IFERROR(INDEX(样本到样信息汇总统计!K$2:K$500,MATCH(316,样本到样信息汇总统计!$X$2:$X$500,0)),"")</f>
        <v/>
      </c>
      <c r="L317" s="8" t="str">
        <f>IFERROR(INDEX(样本到样信息汇总统计!L$2:L$500,MATCH(316,样本到样信息汇总统计!$X$2:$X$500,0)),"")</f>
        <v/>
      </c>
      <c r="M317" s="8" t="str">
        <f>IFERROR(INDEX(样本到样信息汇总统计!M$2:M$500,MATCH(316,样本到样信息汇总统计!$X$2:$X$500,0)),"")</f>
        <v/>
      </c>
      <c r="N317" s="8" t="str">
        <f>IFERROR(INDEX(样本到样信息汇总统计!N$2:N$500,MATCH(316,样本到样信息汇总统计!$X$2:$X$500,0)),"")</f>
        <v/>
      </c>
      <c r="O317" s="8" t="str">
        <f>IFERROR(INDEX(样本到样信息汇总统计!O$2:O$500,MATCH(316,样本到样信息汇总统计!$X$2:$X$500,0)),"")</f>
        <v/>
      </c>
      <c r="P317" s="8" t="str">
        <f>IFERROR(INDEX(样本到样信息汇总统计!P$2:P$500,MATCH(316,样本到样信息汇总统计!$X$2:$X$500,0)),"")</f>
        <v/>
      </c>
      <c r="Q317" s="8" t="str">
        <f>IFERROR(INDEX(样本到样信息汇总统计!Q$2:Q$500,MATCH(316,样本到样信息汇总统计!$X$2:$X$500,0)),"")</f>
        <v/>
      </c>
      <c r="R317" s="8" t="str">
        <f>IFERROR(INDEX(样本到样信息汇总统计!R$2:R$500,MATCH(316,样本到样信息汇总统计!$X$2:$X$500,0)),"")</f>
        <v/>
      </c>
      <c r="S317" s="8" t="str">
        <f>IFERROR(INDEX(样本到样信息汇总统计!S$2:S$500,MATCH(316,样本到样信息汇总统计!$X$2:$X$500,0)),"")</f>
        <v/>
      </c>
      <c r="T317" s="8" t="str">
        <f>IFERROR(INDEX(样本到样信息汇总统计!T$2:T$500,MATCH(316,样本到样信息汇总统计!$X$2:$X$500,0)),"")</f>
        <v/>
      </c>
      <c r="U317" s="8" t="str">
        <f>IFERROR(INDEX(样本到样信息汇总统计!U$2:U$500,MATCH(316,样本到样信息汇总统计!$X$2:$X$500,0)),"")</f>
        <v/>
      </c>
      <c r="V317" s="8" t="str">
        <f>IFERROR(INDEX(样本到样信息汇总统计!V$2:V$500,MATCH(316,样本到样信息汇总统计!$X$2:$X$500,0)),"")</f>
        <v/>
      </c>
      <c r="W317" s="8" t="str">
        <f>IFERROR(INDEX(样本到样信息汇总统计!W$2:W$500,MATCH(316,样本到样信息汇总统计!$X$2:$X$500,0)),"")</f>
        <v/>
      </c>
    </row>
    <row r="318" ht="14.5" spans="1:23">
      <c r="A318" s="4" t="str">
        <f>IFERROR(INDEX(样本到样信息汇总统计!A$2:A$500,MATCH(317,样本到样信息汇总统计!$X$2:$X$500,0)),"")</f>
        <v/>
      </c>
      <c r="B318" s="4" t="str">
        <f>IFERROR(INDEX(样本到样信息汇总统计!B$2:B$500,MATCH(317,样本到样信息汇总统计!$X$2:$X$500,0)),"")</f>
        <v/>
      </c>
      <c r="C318" s="4" t="str">
        <f>IFERROR(INDEX(样本到样信息汇总统计!C$2:C$500,MATCH(317,样本到样信息汇总统计!$X$2:$X$500,0)),"")</f>
        <v/>
      </c>
      <c r="D318" s="4" t="str">
        <f>IFERROR(INDEX(样本到样信息汇总统计!D$2:D$500,MATCH(317,样本到样信息汇总统计!$X$2:$X$500,0)),"")</f>
        <v/>
      </c>
      <c r="E318" s="4" t="str">
        <f>IFERROR(INDEX(样本到样信息汇总统计!E$2:E$500,MATCH(317,样本到样信息汇总统计!$X$2:$X$500,0)),"")</f>
        <v/>
      </c>
      <c r="F318" s="4" t="str">
        <f>IFERROR(INDEX(样本到样信息汇总统计!F$2:F$500,MATCH(317,样本到样信息汇总统计!$X$2:$X$500,0)),"")</f>
        <v/>
      </c>
      <c r="G318" s="4" t="str">
        <f>IFERROR(INDEX(样本到样信息汇总统计!G$2:G$500,MATCH(317,样本到样信息汇总统计!$X$2:$X$500,0)),"")</f>
        <v/>
      </c>
      <c r="H318" s="4" t="str">
        <f>IFERROR(INDEX(样本到样信息汇总统计!H$2:H$500,MATCH(317,样本到样信息汇总统计!$X$2:$X$500,0)),"")</f>
        <v/>
      </c>
      <c r="I318" s="4" t="str">
        <f>IFERROR(INDEX(样本到样信息汇总统计!I$2:I$500,MATCH(317,样本到样信息汇总统计!$X$2:$X$500,0)),"")</f>
        <v/>
      </c>
      <c r="J318" s="4" t="str">
        <f>IFERROR(INDEX(样本到样信息汇总统计!J$2:J$500,MATCH(317,样本到样信息汇总统计!$X$2:$X$500,0)),"")</f>
        <v/>
      </c>
      <c r="K318" s="14" t="str">
        <f>IFERROR(INDEX(样本到样信息汇总统计!K$2:K$500,MATCH(317,样本到样信息汇总统计!$X$2:$X$500,0)),"")</f>
        <v/>
      </c>
      <c r="L318" s="4" t="str">
        <f>IFERROR(INDEX(样本到样信息汇总统计!L$2:L$500,MATCH(317,样本到样信息汇总统计!$X$2:$X$500,0)),"")</f>
        <v/>
      </c>
      <c r="M318" s="4" t="str">
        <f>IFERROR(INDEX(样本到样信息汇总统计!M$2:M$500,MATCH(317,样本到样信息汇总统计!$X$2:$X$500,0)),"")</f>
        <v/>
      </c>
      <c r="N318" s="4" t="str">
        <f>IFERROR(INDEX(样本到样信息汇总统计!N$2:N$500,MATCH(317,样本到样信息汇总统计!$X$2:$X$500,0)),"")</f>
        <v/>
      </c>
      <c r="O318" s="4" t="str">
        <f>IFERROR(INDEX(样本到样信息汇总统计!O$2:O$500,MATCH(317,样本到样信息汇总统计!$X$2:$X$500,0)),"")</f>
        <v/>
      </c>
      <c r="P318" s="4" t="str">
        <f>IFERROR(INDEX(样本到样信息汇总统计!P$2:P$500,MATCH(317,样本到样信息汇总统计!$X$2:$X$500,0)),"")</f>
        <v/>
      </c>
      <c r="Q318" s="4" t="str">
        <f>IFERROR(INDEX(样本到样信息汇总统计!Q$2:Q$500,MATCH(317,样本到样信息汇总统计!$X$2:$X$500,0)),"")</f>
        <v/>
      </c>
      <c r="R318" s="4" t="str">
        <f>IFERROR(INDEX(样本到样信息汇总统计!R$2:R$500,MATCH(317,样本到样信息汇总统计!$X$2:$X$500,0)),"")</f>
        <v/>
      </c>
      <c r="S318" s="4" t="str">
        <f>IFERROR(INDEX(样本到样信息汇总统计!S$2:S$500,MATCH(317,样本到样信息汇总统计!$X$2:$X$500,0)),"")</f>
        <v/>
      </c>
      <c r="T318" s="4" t="str">
        <f>IFERROR(INDEX(样本到样信息汇总统计!T$2:T$500,MATCH(317,样本到样信息汇总统计!$X$2:$X$500,0)),"")</f>
        <v/>
      </c>
      <c r="U318" s="4" t="str">
        <f>IFERROR(INDEX(样本到样信息汇总统计!U$2:U$500,MATCH(317,样本到样信息汇总统计!$X$2:$X$500,0)),"")</f>
        <v/>
      </c>
      <c r="V318" s="4" t="str">
        <f>IFERROR(INDEX(样本到样信息汇总统计!V$2:V$500,MATCH(317,样本到样信息汇总统计!$X$2:$X$500,0)),"")</f>
        <v/>
      </c>
      <c r="W318" s="4" t="str">
        <f>IFERROR(INDEX(样本到样信息汇总统计!W$2:W$500,MATCH(317,样本到样信息汇总统计!$X$2:$X$500,0)),"")</f>
        <v/>
      </c>
    </row>
    <row r="319" ht="14.5" spans="1:23">
      <c r="A319" s="8" t="str">
        <f>IFERROR(INDEX(样本到样信息汇总统计!A$2:A$500,MATCH(318,样本到样信息汇总统计!$X$2:$X$500,0)),"")</f>
        <v/>
      </c>
      <c r="B319" s="8" t="str">
        <f>IFERROR(INDEX(样本到样信息汇总统计!B$2:B$500,MATCH(318,样本到样信息汇总统计!$X$2:$X$500,0)),"")</f>
        <v/>
      </c>
      <c r="C319" s="8" t="str">
        <f>IFERROR(INDEX(样本到样信息汇总统计!C$2:C$500,MATCH(318,样本到样信息汇总统计!$X$2:$X$500,0)),"")</f>
        <v/>
      </c>
      <c r="D319" s="8" t="str">
        <f>IFERROR(INDEX(样本到样信息汇总统计!D$2:D$500,MATCH(318,样本到样信息汇总统计!$X$2:$X$500,0)),"")</f>
        <v/>
      </c>
      <c r="E319" s="8" t="str">
        <f>IFERROR(INDEX(样本到样信息汇总统计!E$2:E$500,MATCH(318,样本到样信息汇总统计!$X$2:$X$500,0)),"")</f>
        <v/>
      </c>
      <c r="F319" s="8" t="str">
        <f>IFERROR(INDEX(样本到样信息汇总统计!F$2:F$500,MATCH(318,样本到样信息汇总统计!$X$2:$X$500,0)),"")</f>
        <v/>
      </c>
      <c r="G319" s="8" t="str">
        <f>IFERROR(INDEX(样本到样信息汇总统计!G$2:G$500,MATCH(318,样本到样信息汇总统计!$X$2:$X$500,0)),"")</f>
        <v/>
      </c>
      <c r="H319" s="8" t="str">
        <f>IFERROR(INDEX(样本到样信息汇总统计!H$2:H$500,MATCH(318,样本到样信息汇总统计!$X$2:$X$500,0)),"")</f>
        <v/>
      </c>
      <c r="I319" s="8" t="str">
        <f>IFERROR(INDEX(样本到样信息汇总统计!I$2:I$500,MATCH(318,样本到样信息汇总统计!$X$2:$X$500,0)),"")</f>
        <v/>
      </c>
      <c r="J319" s="8" t="str">
        <f>IFERROR(INDEX(样本到样信息汇总统计!J$2:J$500,MATCH(318,样本到样信息汇总统计!$X$2:$X$500,0)),"")</f>
        <v/>
      </c>
      <c r="K319" s="15" t="str">
        <f>IFERROR(INDEX(样本到样信息汇总统计!K$2:K$500,MATCH(318,样本到样信息汇总统计!$X$2:$X$500,0)),"")</f>
        <v/>
      </c>
      <c r="L319" s="8" t="str">
        <f>IFERROR(INDEX(样本到样信息汇总统计!L$2:L$500,MATCH(318,样本到样信息汇总统计!$X$2:$X$500,0)),"")</f>
        <v/>
      </c>
      <c r="M319" s="8" t="str">
        <f>IFERROR(INDEX(样本到样信息汇总统计!M$2:M$500,MATCH(318,样本到样信息汇总统计!$X$2:$X$500,0)),"")</f>
        <v/>
      </c>
      <c r="N319" s="8" t="str">
        <f>IFERROR(INDEX(样本到样信息汇总统计!N$2:N$500,MATCH(318,样本到样信息汇总统计!$X$2:$X$500,0)),"")</f>
        <v/>
      </c>
      <c r="O319" s="8" t="str">
        <f>IFERROR(INDEX(样本到样信息汇总统计!O$2:O$500,MATCH(318,样本到样信息汇总统计!$X$2:$X$500,0)),"")</f>
        <v/>
      </c>
      <c r="P319" s="8" t="str">
        <f>IFERROR(INDEX(样本到样信息汇总统计!P$2:P$500,MATCH(318,样本到样信息汇总统计!$X$2:$X$500,0)),"")</f>
        <v/>
      </c>
      <c r="Q319" s="8" t="str">
        <f>IFERROR(INDEX(样本到样信息汇总统计!Q$2:Q$500,MATCH(318,样本到样信息汇总统计!$X$2:$X$500,0)),"")</f>
        <v/>
      </c>
      <c r="R319" s="8" t="str">
        <f>IFERROR(INDEX(样本到样信息汇总统计!R$2:R$500,MATCH(318,样本到样信息汇总统计!$X$2:$X$500,0)),"")</f>
        <v/>
      </c>
      <c r="S319" s="8" t="str">
        <f>IFERROR(INDEX(样本到样信息汇总统计!S$2:S$500,MATCH(318,样本到样信息汇总统计!$X$2:$X$500,0)),"")</f>
        <v/>
      </c>
      <c r="T319" s="8" t="str">
        <f>IFERROR(INDEX(样本到样信息汇总统计!T$2:T$500,MATCH(318,样本到样信息汇总统计!$X$2:$X$500,0)),"")</f>
        <v/>
      </c>
      <c r="U319" s="8" t="str">
        <f>IFERROR(INDEX(样本到样信息汇总统计!U$2:U$500,MATCH(318,样本到样信息汇总统计!$X$2:$X$500,0)),"")</f>
        <v/>
      </c>
      <c r="V319" s="8" t="str">
        <f>IFERROR(INDEX(样本到样信息汇总统计!V$2:V$500,MATCH(318,样本到样信息汇总统计!$X$2:$X$500,0)),"")</f>
        <v/>
      </c>
      <c r="W319" s="8" t="str">
        <f>IFERROR(INDEX(样本到样信息汇总统计!W$2:W$500,MATCH(318,样本到样信息汇总统计!$X$2:$X$500,0)),"")</f>
        <v/>
      </c>
    </row>
    <row r="320" ht="14.5" spans="1:23">
      <c r="A320" s="4" t="str">
        <f>IFERROR(INDEX(样本到样信息汇总统计!A$2:A$500,MATCH(319,样本到样信息汇总统计!$X$2:$X$500,0)),"")</f>
        <v/>
      </c>
      <c r="B320" s="4" t="str">
        <f>IFERROR(INDEX(样本到样信息汇总统计!B$2:B$500,MATCH(319,样本到样信息汇总统计!$X$2:$X$500,0)),"")</f>
        <v/>
      </c>
      <c r="C320" s="4" t="str">
        <f>IFERROR(INDEX(样本到样信息汇总统计!C$2:C$500,MATCH(319,样本到样信息汇总统计!$X$2:$X$500,0)),"")</f>
        <v/>
      </c>
      <c r="D320" s="4" t="str">
        <f>IFERROR(INDEX(样本到样信息汇总统计!D$2:D$500,MATCH(319,样本到样信息汇总统计!$X$2:$X$500,0)),"")</f>
        <v/>
      </c>
      <c r="E320" s="4" t="str">
        <f>IFERROR(INDEX(样本到样信息汇总统计!E$2:E$500,MATCH(319,样本到样信息汇总统计!$X$2:$X$500,0)),"")</f>
        <v/>
      </c>
      <c r="F320" s="4" t="str">
        <f>IFERROR(INDEX(样本到样信息汇总统计!F$2:F$500,MATCH(319,样本到样信息汇总统计!$X$2:$X$500,0)),"")</f>
        <v/>
      </c>
      <c r="G320" s="4" t="str">
        <f>IFERROR(INDEX(样本到样信息汇总统计!G$2:G$500,MATCH(319,样本到样信息汇总统计!$X$2:$X$500,0)),"")</f>
        <v/>
      </c>
      <c r="H320" s="4" t="str">
        <f>IFERROR(INDEX(样本到样信息汇总统计!H$2:H$500,MATCH(319,样本到样信息汇总统计!$X$2:$X$500,0)),"")</f>
        <v/>
      </c>
      <c r="I320" s="4" t="str">
        <f>IFERROR(INDEX(样本到样信息汇总统计!I$2:I$500,MATCH(319,样本到样信息汇总统计!$X$2:$X$500,0)),"")</f>
        <v/>
      </c>
      <c r="J320" s="4" t="str">
        <f>IFERROR(INDEX(样本到样信息汇总统计!J$2:J$500,MATCH(319,样本到样信息汇总统计!$X$2:$X$500,0)),"")</f>
        <v/>
      </c>
      <c r="K320" s="14" t="str">
        <f>IFERROR(INDEX(样本到样信息汇总统计!K$2:K$500,MATCH(319,样本到样信息汇总统计!$X$2:$X$500,0)),"")</f>
        <v/>
      </c>
      <c r="L320" s="4" t="str">
        <f>IFERROR(INDEX(样本到样信息汇总统计!L$2:L$500,MATCH(319,样本到样信息汇总统计!$X$2:$X$500,0)),"")</f>
        <v/>
      </c>
      <c r="M320" s="4" t="str">
        <f>IFERROR(INDEX(样本到样信息汇总统计!M$2:M$500,MATCH(319,样本到样信息汇总统计!$X$2:$X$500,0)),"")</f>
        <v/>
      </c>
      <c r="N320" s="4" t="str">
        <f>IFERROR(INDEX(样本到样信息汇总统计!N$2:N$500,MATCH(319,样本到样信息汇总统计!$X$2:$X$500,0)),"")</f>
        <v/>
      </c>
      <c r="O320" s="4" t="str">
        <f>IFERROR(INDEX(样本到样信息汇总统计!O$2:O$500,MATCH(319,样本到样信息汇总统计!$X$2:$X$500,0)),"")</f>
        <v/>
      </c>
      <c r="P320" s="4" t="str">
        <f>IFERROR(INDEX(样本到样信息汇总统计!P$2:P$500,MATCH(319,样本到样信息汇总统计!$X$2:$X$500,0)),"")</f>
        <v/>
      </c>
      <c r="Q320" s="4" t="str">
        <f>IFERROR(INDEX(样本到样信息汇总统计!Q$2:Q$500,MATCH(319,样本到样信息汇总统计!$X$2:$X$500,0)),"")</f>
        <v/>
      </c>
      <c r="R320" s="4" t="str">
        <f>IFERROR(INDEX(样本到样信息汇总统计!R$2:R$500,MATCH(319,样本到样信息汇总统计!$X$2:$X$500,0)),"")</f>
        <v/>
      </c>
      <c r="S320" s="4" t="str">
        <f>IFERROR(INDEX(样本到样信息汇总统计!S$2:S$500,MATCH(319,样本到样信息汇总统计!$X$2:$X$500,0)),"")</f>
        <v/>
      </c>
      <c r="T320" s="4" t="str">
        <f>IFERROR(INDEX(样本到样信息汇总统计!T$2:T$500,MATCH(319,样本到样信息汇总统计!$X$2:$X$500,0)),"")</f>
        <v/>
      </c>
      <c r="U320" s="4" t="str">
        <f>IFERROR(INDEX(样本到样信息汇总统计!U$2:U$500,MATCH(319,样本到样信息汇总统计!$X$2:$X$500,0)),"")</f>
        <v/>
      </c>
      <c r="V320" s="4" t="str">
        <f>IFERROR(INDEX(样本到样信息汇总统计!V$2:V$500,MATCH(319,样本到样信息汇总统计!$X$2:$X$500,0)),"")</f>
        <v/>
      </c>
      <c r="W320" s="4" t="str">
        <f>IFERROR(INDEX(样本到样信息汇总统计!W$2:W$500,MATCH(319,样本到样信息汇总统计!$X$2:$X$500,0)),"")</f>
        <v/>
      </c>
    </row>
    <row r="321" ht="14.5" spans="1:23">
      <c r="A321" s="8" t="str">
        <f>IFERROR(INDEX(样本到样信息汇总统计!A$2:A$500,MATCH(320,样本到样信息汇总统计!$X$2:$X$500,0)),"")</f>
        <v/>
      </c>
      <c r="B321" s="8" t="str">
        <f>IFERROR(INDEX(样本到样信息汇总统计!B$2:B$500,MATCH(320,样本到样信息汇总统计!$X$2:$X$500,0)),"")</f>
        <v/>
      </c>
      <c r="C321" s="8" t="str">
        <f>IFERROR(INDEX(样本到样信息汇总统计!C$2:C$500,MATCH(320,样本到样信息汇总统计!$X$2:$X$500,0)),"")</f>
        <v/>
      </c>
      <c r="D321" s="8" t="str">
        <f>IFERROR(INDEX(样本到样信息汇总统计!D$2:D$500,MATCH(320,样本到样信息汇总统计!$X$2:$X$500,0)),"")</f>
        <v/>
      </c>
      <c r="E321" s="8" t="str">
        <f>IFERROR(INDEX(样本到样信息汇总统计!E$2:E$500,MATCH(320,样本到样信息汇总统计!$X$2:$X$500,0)),"")</f>
        <v/>
      </c>
      <c r="F321" s="8" t="str">
        <f>IFERROR(INDEX(样本到样信息汇总统计!F$2:F$500,MATCH(320,样本到样信息汇总统计!$X$2:$X$500,0)),"")</f>
        <v/>
      </c>
      <c r="G321" s="8" t="str">
        <f>IFERROR(INDEX(样本到样信息汇总统计!G$2:G$500,MATCH(320,样本到样信息汇总统计!$X$2:$X$500,0)),"")</f>
        <v/>
      </c>
      <c r="H321" s="8" t="str">
        <f>IFERROR(INDEX(样本到样信息汇总统计!H$2:H$500,MATCH(320,样本到样信息汇总统计!$X$2:$X$500,0)),"")</f>
        <v/>
      </c>
      <c r="I321" s="8" t="str">
        <f>IFERROR(INDEX(样本到样信息汇总统计!I$2:I$500,MATCH(320,样本到样信息汇总统计!$X$2:$X$500,0)),"")</f>
        <v/>
      </c>
      <c r="J321" s="8" t="str">
        <f>IFERROR(INDEX(样本到样信息汇总统计!J$2:J$500,MATCH(320,样本到样信息汇总统计!$X$2:$X$500,0)),"")</f>
        <v/>
      </c>
      <c r="K321" s="15" t="str">
        <f>IFERROR(INDEX(样本到样信息汇总统计!K$2:K$500,MATCH(320,样本到样信息汇总统计!$X$2:$X$500,0)),"")</f>
        <v/>
      </c>
      <c r="L321" s="8" t="str">
        <f>IFERROR(INDEX(样本到样信息汇总统计!L$2:L$500,MATCH(320,样本到样信息汇总统计!$X$2:$X$500,0)),"")</f>
        <v/>
      </c>
      <c r="M321" s="8" t="str">
        <f>IFERROR(INDEX(样本到样信息汇总统计!M$2:M$500,MATCH(320,样本到样信息汇总统计!$X$2:$X$500,0)),"")</f>
        <v/>
      </c>
      <c r="N321" s="8" t="str">
        <f>IFERROR(INDEX(样本到样信息汇总统计!N$2:N$500,MATCH(320,样本到样信息汇总统计!$X$2:$X$500,0)),"")</f>
        <v/>
      </c>
      <c r="O321" s="8" t="str">
        <f>IFERROR(INDEX(样本到样信息汇总统计!O$2:O$500,MATCH(320,样本到样信息汇总统计!$X$2:$X$500,0)),"")</f>
        <v/>
      </c>
      <c r="P321" s="8" t="str">
        <f>IFERROR(INDEX(样本到样信息汇总统计!P$2:P$500,MATCH(320,样本到样信息汇总统计!$X$2:$X$500,0)),"")</f>
        <v/>
      </c>
      <c r="Q321" s="8" t="str">
        <f>IFERROR(INDEX(样本到样信息汇总统计!Q$2:Q$500,MATCH(320,样本到样信息汇总统计!$X$2:$X$500,0)),"")</f>
        <v/>
      </c>
      <c r="R321" s="8" t="str">
        <f>IFERROR(INDEX(样本到样信息汇总统计!R$2:R$500,MATCH(320,样本到样信息汇总统计!$X$2:$X$500,0)),"")</f>
        <v/>
      </c>
      <c r="S321" s="8" t="str">
        <f>IFERROR(INDEX(样本到样信息汇总统计!S$2:S$500,MATCH(320,样本到样信息汇总统计!$X$2:$X$500,0)),"")</f>
        <v/>
      </c>
      <c r="T321" s="8" t="str">
        <f>IFERROR(INDEX(样本到样信息汇总统计!T$2:T$500,MATCH(320,样本到样信息汇总统计!$X$2:$X$500,0)),"")</f>
        <v/>
      </c>
      <c r="U321" s="8" t="str">
        <f>IFERROR(INDEX(样本到样信息汇总统计!U$2:U$500,MATCH(320,样本到样信息汇总统计!$X$2:$X$500,0)),"")</f>
        <v/>
      </c>
      <c r="V321" s="8" t="str">
        <f>IFERROR(INDEX(样本到样信息汇总统计!V$2:V$500,MATCH(320,样本到样信息汇总统计!$X$2:$X$500,0)),"")</f>
        <v/>
      </c>
      <c r="W321" s="8" t="str">
        <f>IFERROR(INDEX(样本到样信息汇总统计!W$2:W$500,MATCH(320,样本到样信息汇总统计!$X$2:$X$500,0)),"")</f>
        <v/>
      </c>
    </row>
    <row r="322" ht="14.5" spans="1:23">
      <c r="A322" s="4" t="str">
        <f>IFERROR(INDEX(样本到样信息汇总统计!A$2:A$500,MATCH(321,样本到样信息汇总统计!$X$2:$X$500,0)),"")</f>
        <v/>
      </c>
      <c r="B322" s="4" t="str">
        <f>IFERROR(INDEX(样本到样信息汇总统计!B$2:B$500,MATCH(321,样本到样信息汇总统计!$X$2:$X$500,0)),"")</f>
        <v/>
      </c>
      <c r="C322" s="4" t="str">
        <f>IFERROR(INDEX(样本到样信息汇总统计!C$2:C$500,MATCH(321,样本到样信息汇总统计!$X$2:$X$500,0)),"")</f>
        <v/>
      </c>
      <c r="D322" s="4" t="str">
        <f>IFERROR(INDEX(样本到样信息汇总统计!D$2:D$500,MATCH(321,样本到样信息汇总统计!$X$2:$X$500,0)),"")</f>
        <v/>
      </c>
      <c r="E322" s="4" t="str">
        <f>IFERROR(INDEX(样本到样信息汇总统计!E$2:E$500,MATCH(321,样本到样信息汇总统计!$X$2:$X$500,0)),"")</f>
        <v/>
      </c>
      <c r="F322" s="4" t="str">
        <f>IFERROR(INDEX(样本到样信息汇总统计!F$2:F$500,MATCH(321,样本到样信息汇总统计!$X$2:$X$500,0)),"")</f>
        <v/>
      </c>
      <c r="G322" s="4" t="str">
        <f>IFERROR(INDEX(样本到样信息汇总统计!G$2:G$500,MATCH(321,样本到样信息汇总统计!$X$2:$X$500,0)),"")</f>
        <v/>
      </c>
      <c r="H322" s="4" t="str">
        <f>IFERROR(INDEX(样本到样信息汇总统计!H$2:H$500,MATCH(321,样本到样信息汇总统计!$X$2:$X$500,0)),"")</f>
        <v/>
      </c>
      <c r="I322" s="4" t="str">
        <f>IFERROR(INDEX(样本到样信息汇总统计!I$2:I$500,MATCH(321,样本到样信息汇总统计!$X$2:$X$500,0)),"")</f>
        <v/>
      </c>
      <c r="J322" s="4" t="str">
        <f>IFERROR(INDEX(样本到样信息汇总统计!J$2:J$500,MATCH(321,样本到样信息汇总统计!$X$2:$X$500,0)),"")</f>
        <v/>
      </c>
      <c r="K322" s="14" t="str">
        <f>IFERROR(INDEX(样本到样信息汇总统计!K$2:K$500,MATCH(321,样本到样信息汇总统计!$X$2:$X$500,0)),"")</f>
        <v/>
      </c>
      <c r="L322" s="4" t="str">
        <f>IFERROR(INDEX(样本到样信息汇总统计!L$2:L$500,MATCH(321,样本到样信息汇总统计!$X$2:$X$500,0)),"")</f>
        <v/>
      </c>
      <c r="M322" s="4" t="str">
        <f>IFERROR(INDEX(样本到样信息汇总统计!M$2:M$500,MATCH(321,样本到样信息汇总统计!$X$2:$X$500,0)),"")</f>
        <v/>
      </c>
      <c r="N322" s="4" t="str">
        <f>IFERROR(INDEX(样本到样信息汇总统计!N$2:N$500,MATCH(321,样本到样信息汇总统计!$X$2:$X$500,0)),"")</f>
        <v/>
      </c>
      <c r="O322" s="4" t="str">
        <f>IFERROR(INDEX(样本到样信息汇总统计!O$2:O$500,MATCH(321,样本到样信息汇总统计!$X$2:$X$500,0)),"")</f>
        <v/>
      </c>
      <c r="P322" s="4" t="str">
        <f>IFERROR(INDEX(样本到样信息汇总统计!P$2:P$500,MATCH(321,样本到样信息汇总统计!$X$2:$X$500,0)),"")</f>
        <v/>
      </c>
      <c r="Q322" s="4" t="str">
        <f>IFERROR(INDEX(样本到样信息汇总统计!Q$2:Q$500,MATCH(321,样本到样信息汇总统计!$X$2:$X$500,0)),"")</f>
        <v/>
      </c>
      <c r="R322" s="4" t="str">
        <f>IFERROR(INDEX(样本到样信息汇总统计!R$2:R$500,MATCH(321,样本到样信息汇总统计!$X$2:$X$500,0)),"")</f>
        <v/>
      </c>
      <c r="S322" s="4" t="str">
        <f>IFERROR(INDEX(样本到样信息汇总统计!S$2:S$500,MATCH(321,样本到样信息汇总统计!$X$2:$X$500,0)),"")</f>
        <v/>
      </c>
      <c r="T322" s="4" t="str">
        <f>IFERROR(INDEX(样本到样信息汇总统计!T$2:T$500,MATCH(321,样本到样信息汇总统计!$X$2:$X$500,0)),"")</f>
        <v/>
      </c>
      <c r="U322" s="4" t="str">
        <f>IFERROR(INDEX(样本到样信息汇总统计!U$2:U$500,MATCH(321,样本到样信息汇总统计!$X$2:$X$500,0)),"")</f>
        <v/>
      </c>
      <c r="V322" s="4" t="str">
        <f>IFERROR(INDEX(样本到样信息汇总统计!V$2:V$500,MATCH(321,样本到样信息汇总统计!$X$2:$X$500,0)),"")</f>
        <v/>
      </c>
      <c r="W322" s="4" t="str">
        <f>IFERROR(INDEX(样本到样信息汇总统计!W$2:W$500,MATCH(321,样本到样信息汇总统计!$X$2:$X$500,0)),"")</f>
        <v/>
      </c>
    </row>
    <row r="323" ht="14.5" spans="1:23">
      <c r="A323" s="8" t="str">
        <f>IFERROR(INDEX(样本到样信息汇总统计!A$2:A$500,MATCH(322,样本到样信息汇总统计!$X$2:$X$500,0)),"")</f>
        <v/>
      </c>
      <c r="B323" s="8" t="str">
        <f>IFERROR(INDEX(样本到样信息汇总统计!B$2:B$500,MATCH(322,样本到样信息汇总统计!$X$2:$X$500,0)),"")</f>
        <v/>
      </c>
      <c r="C323" s="8" t="str">
        <f>IFERROR(INDEX(样本到样信息汇总统计!C$2:C$500,MATCH(322,样本到样信息汇总统计!$X$2:$X$500,0)),"")</f>
        <v/>
      </c>
      <c r="D323" s="8" t="str">
        <f>IFERROR(INDEX(样本到样信息汇总统计!D$2:D$500,MATCH(322,样本到样信息汇总统计!$X$2:$X$500,0)),"")</f>
        <v/>
      </c>
      <c r="E323" s="8" t="str">
        <f>IFERROR(INDEX(样本到样信息汇总统计!E$2:E$500,MATCH(322,样本到样信息汇总统计!$X$2:$X$500,0)),"")</f>
        <v/>
      </c>
      <c r="F323" s="8" t="str">
        <f>IFERROR(INDEX(样本到样信息汇总统计!F$2:F$500,MATCH(322,样本到样信息汇总统计!$X$2:$X$500,0)),"")</f>
        <v/>
      </c>
      <c r="G323" s="8" t="str">
        <f>IFERROR(INDEX(样本到样信息汇总统计!G$2:G$500,MATCH(322,样本到样信息汇总统计!$X$2:$X$500,0)),"")</f>
        <v/>
      </c>
      <c r="H323" s="8" t="str">
        <f>IFERROR(INDEX(样本到样信息汇总统计!H$2:H$500,MATCH(322,样本到样信息汇总统计!$X$2:$X$500,0)),"")</f>
        <v/>
      </c>
      <c r="I323" s="8" t="str">
        <f>IFERROR(INDEX(样本到样信息汇总统计!I$2:I$500,MATCH(322,样本到样信息汇总统计!$X$2:$X$500,0)),"")</f>
        <v/>
      </c>
      <c r="J323" s="8" t="str">
        <f>IFERROR(INDEX(样本到样信息汇总统计!J$2:J$500,MATCH(322,样本到样信息汇总统计!$X$2:$X$500,0)),"")</f>
        <v/>
      </c>
      <c r="K323" s="15" t="str">
        <f>IFERROR(INDEX(样本到样信息汇总统计!K$2:K$500,MATCH(322,样本到样信息汇总统计!$X$2:$X$500,0)),"")</f>
        <v/>
      </c>
      <c r="L323" s="8" t="str">
        <f>IFERROR(INDEX(样本到样信息汇总统计!L$2:L$500,MATCH(322,样本到样信息汇总统计!$X$2:$X$500,0)),"")</f>
        <v/>
      </c>
      <c r="M323" s="8" t="str">
        <f>IFERROR(INDEX(样本到样信息汇总统计!M$2:M$500,MATCH(322,样本到样信息汇总统计!$X$2:$X$500,0)),"")</f>
        <v/>
      </c>
      <c r="N323" s="8" t="str">
        <f>IFERROR(INDEX(样本到样信息汇总统计!N$2:N$500,MATCH(322,样本到样信息汇总统计!$X$2:$X$500,0)),"")</f>
        <v/>
      </c>
      <c r="O323" s="8" t="str">
        <f>IFERROR(INDEX(样本到样信息汇总统计!O$2:O$500,MATCH(322,样本到样信息汇总统计!$X$2:$X$500,0)),"")</f>
        <v/>
      </c>
      <c r="P323" s="8" t="str">
        <f>IFERROR(INDEX(样本到样信息汇总统计!P$2:P$500,MATCH(322,样本到样信息汇总统计!$X$2:$X$500,0)),"")</f>
        <v/>
      </c>
      <c r="Q323" s="8" t="str">
        <f>IFERROR(INDEX(样本到样信息汇总统计!Q$2:Q$500,MATCH(322,样本到样信息汇总统计!$X$2:$X$500,0)),"")</f>
        <v/>
      </c>
      <c r="R323" s="8" t="str">
        <f>IFERROR(INDEX(样本到样信息汇总统计!R$2:R$500,MATCH(322,样本到样信息汇总统计!$X$2:$X$500,0)),"")</f>
        <v/>
      </c>
      <c r="S323" s="8" t="str">
        <f>IFERROR(INDEX(样本到样信息汇总统计!S$2:S$500,MATCH(322,样本到样信息汇总统计!$X$2:$X$500,0)),"")</f>
        <v/>
      </c>
      <c r="T323" s="8" t="str">
        <f>IFERROR(INDEX(样本到样信息汇总统计!T$2:T$500,MATCH(322,样本到样信息汇总统计!$X$2:$X$500,0)),"")</f>
        <v/>
      </c>
      <c r="U323" s="8" t="str">
        <f>IFERROR(INDEX(样本到样信息汇总统计!U$2:U$500,MATCH(322,样本到样信息汇总统计!$X$2:$X$500,0)),"")</f>
        <v/>
      </c>
      <c r="V323" s="8" t="str">
        <f>IFERROR(INDEX(样本到样信息汇总统计!V$2:V$500,MATCH(322,样本到样信息汇总统计!$X$2:$X$500,0)),"")</f>
        <v/>
      </c>
      <c r="W323" s="8" t="str">
        <f>IFERROR(INDEX(样本到样信息汇总统计!W$2:W$500,MATCH(322,样本到样信息汇总统计!$X$2:$X$500,0)),"")</f>
        <v/>
      </c>
    </row>
    <row r="324" ht="14.5" spans="1:23">
      <c r="A324" s="4" t="str">
        <f>IFERROR(INDEX(样本到样信息汇总统计!A$2:A$500,MATCH(323,样本到样信息汇总统计!$X$2:$X$500,0)),"")</f>
        <v/>
      </c>
      <c r="B324" s="4" t="str">
        <f>IFERROR(INDEX(样本到样信息汇总统计!B$2:B$500,MATCH(323,样本到样信息汇总统计!$X$2:$X$500,0)),"")</f>
        <v/>
      </c>
      <c r="C324" s="4" t="str">
        <f>IFERROR(INDEX(样本到样信息汇总统计!C$2:C$500,MATCH(323,样本到样信息汇总统计!$X$2:$X$500,0)),"")</f>
        <v/>
      </c>
      <c r="D324" s="4" t="str">
        <f>IFERROR(INDEX(样本到样信息汇总统计!D$2:D$500,MATCH(323,样本到样信息汇总统计!$X$2:$X$500,0)),"")</f>
        <v/>
      </c>
      <c r="E324" s="4" t="str">
        <f>IFERROR(INDEX(样本到样信息汇总统计!E$2:E$500,MATCH(323,样本到样信息汇总统计!$X$2:$X$500,0)),"")</f>
        <v/>
      </c>
      <c r="F324" s="4" t="str">
        <f>IFERROR(INDEX(样本到样信息汇总统计!F$2:F$500,MATCH(323,样本到样信息汇总统计!$X$2:$X$500,0)),"")</f>
        <v/>
      </c>
      <c r="G324" s="4" t="str">
        <f>IFERROR(INDEX(样本到样信息汇总统计!G$2:G$500,MATCH(323,样本到样信息汇总统计!$X$2:$X$500,0)),"")</f>
        <v/>
      </c>
      <c r="H324" s="4" t="str">
        <f>IFERROR(INDEX(样本到样信息汇总统计!H$2:H$500,MATCH(323,样本到样信息汇总统计!$X$2:$X$500,0)),"")</f>
        <v/>
      </c>
      <c r="I324" s="4" t="str">
        <f>IFERROR(INDEX(样本到样信息汇总统计!I$2:I$500,MATCH(323,样本到样信息汇总统计!$X$2:$X$500,0)),"")</f>
        <v/>
      </c>
      <c r="J324" s="4" t="str">
        <f>IFERROR(INDEX(样本到样信息汇总统计!J$2:J$500,MATCH(323,样本到样信息汇总统计!$X$2:$X$500,0)),"")</f>
        <v/>
      </c>
      <c r="K324" s="14" t="str">
        <f>IFERROR(INDEX(样本到样信息汇总统计!K$2:K$500,MATCH(323,样本到样信息汇总统计!$X$2:$X$500,0)),"")</f>
        <v/>
      </c>
      <c r="L324" s="4" t="str">
        <f>IFERROR(INDEX(样本到样信息汇总统计!L$2:L$500,MATCH(323,样本到样信息汇总统计!$X$2:$X$500,0)),"")</f>
        <v/>
      </c>
      <c r="M324" s="4" t="str">
        <f>IFERROR(INDEX(样本到样信息汇总统计!M$2:M$500,MATCH(323,样本到样信息汇总统计!$X$2:$X$500,0)),"")</f>
        <v/>
      </c>
      <c r="N324" s="4" t="str">
        <f>IFERROR(INDEX(样本到样信息汇总统计!N$2:N$500,MATCH(323,样本到样信息汇总统计!$X$2:$X$500,0)),"")</f>
        <v/>
      </c>
      <c r="O324" s="4" t="str">
        <f>IFERROR(INDEX(样本到样信息汇总统计!O$2:O$500,MATCH(323,样本到样信息汇总统计!$X$2:$X$500,0)),"")</f>
        <v/>
      </c>
      <c r="P324" s="4" t="str">
        <f>IFERROR(INDEX(样本到样信息汇总统计!P$2:P$500,MATCH(323,样本到样信息汇总统计!$X$2:$X$500,0)),"")</f>
        <v/>
      </c>
      <c r="Q324" s="4" t="str">
        <f>IFERROR(INDEX(样本到样信息汇总统计!Q$2:Q$500,MATCH(323,样本到样信息汇总统计!$X$2:$X$500,0)),"")</f>
        <v/>
      </c>
      <c r="R324" s="4" t="str">
        <f>IFERROR(INDEX(样本到样信息汇总统计!R$2:R$500,MATCH(323,样本到样信息汇总统计!$X$2:$X$500,0)),"")</f>
        <v/>
      </c>
      <c r="S324" s="4" t="str">
        <f>IFERROR(INDEX(样本到样信息汇总统计!S$2:S$500,MATCH(323,样本到样信息汇总统计!$X$2:$X$500,0)),"")</f>
        <v/>
      </c>
      <c r="T324" s="4" t="str">
        <f>IFERROR(INDEX(样本到样信息汇总统计!T$2:T$500,MATCH(323,样本到样信息汇总统计!$X$2:$X$500,0)),"")</f>
        <v/>
      </c>
      <c r="U324" s="4" t="str">
        <f>IFERROR(INDEX(样本到样信息汇总统计!U$2:U$500,MATCH(323,样本到样信息汇总统计!$X$2:$X$500,0)),"")</f>
        <v/>
      </c>
      <c r="V324" s="4" t="str">
        <f>IFERROR(INDEX(样本到样信息汇总统计!V$2:V$500,MATCH(323,样本到样信息汇总统计!$X$2:$X$500,0)),"")</f>
        <v/>
      </c>
      <c r="W324" s="4" t="str">
        <f>IFERROR(INDEX(样本到样信息汇总统计!W$2:W$500,MATCH(323,样本到样信息汇总统计!$X$2:$X$500,0)),"")</f>
        <v/>
      </c>
    </row>
    <row r="325" ht="14.5" spans="1:23">
      <c r="A325" s="8" t="str">
        <f>IFERROR(INDEX(样本到样信息汇总统计!A$2:A$500,MATCH(324,样本到样信息汇总统计!$X$2:$X$500,0)),"")</f>
        <v/>
      </c>
      <c r="B325" s="8" t="str">
        <f>IFERROR(INDEX(样本到样信息汇总统计!B$2:B$500,MATCH(324,样本到样信息汇总统计!$X$2:$X$500,0)),"")</f>
        <v/>
      </c>
      <c r="C325" s="8" t="str">
        <f>IFERROR(INDEX(样本到样信息汇总统计!C$2:C$500,MATCH(324,样本到样信息汇总统计!$X$2:$X$500,0)),"")</f>
        <v/>
      </c>
      <c r="D325" s="8" t="str">
        <f>IFERROR(INDEX(样本到样信息汇总统计!D$2:D$500,MATCH(324,样本到样信息汇总统计!$X$2:$X$500,0)),"")</f>
        <v/>
      </c>
      <c r="E325" s="8" t="str">
        <f>IFERROR(INDEX(样本到样信息汇总统计!E$2:E$500,MATCH(324,样本到样信息汇总统计!$X$2:$X$500,0)),"")</f>
        <v/>
      </c>
      <c r="F325" s="8" t="str">
        <f>IFERROR(INDEX(样本到样信息汇总统计!F$2:F$500,MATCH(324,样本到样信息汇总统计!$X$2:$X$500,0)),"")</f>
        <v/>
      </c>
      <c r="G325" s="8" t="str">
        <f>IFERROR(INDEX(样本到样信息汇总统计!G$2:G$500,MATCH(324,样本到样信息汇总统计!$X$2:$X$500,0)),"")</f>
        <v/>
      </c>
      <c r="H325" s="8" t="str">
        <f>IFERROR(INDEX(样本到样信息汇总统计!H$2:H$500,MATCH(324,样本到样信息汇总统计!$X$2:$X$500,0)),"")</f>
        <v/>
      </c>
      <c r="I325" s="8" t="str">
        <f>IFERROR(INDEX(样本到样信息汇总统计!I$2:I$500,MATCH(324,样本到样信息汇总统计!$X$2:$X$500,0)),"")</f>
        <v/>
      </c>
      <c r="J325" s="8" t="str">
        <f>IFERROR(INDEX(样本到样信息汇总统计!J$2:J$500,MATCH(324,样本到样信息汇总统计!$X$2:$X$500,0)),"")</f>
        <v/>
      </c>
      <c r="K325" s="15" t="str">
        <f>IFERROR(INDEX(样本到样信息汇总统计!K$2:K$500,MATCH(324,样本到样信息汇总统计!$X$2:$X$500,0)),"")</f>
        <v/>
      </c>
      <c r="L325" s="8" t="str">
        <f>IFERROR(INDEX(样本到样信息汇总统计!L$2:L$500,MATCH(324,样本到样信息汇总统计!$X$2:$X$500,0)),"")</f>
        <v/>
      </c>
      <c r="M325" s="8" t="str">
        <f>IFERROR(INDEX(样本到样信息汇总统计!M$2:M$500,MATCH(324,样本到样信息汇总统计!$X$2:$X$500,0)),"")</f>
        <v/>
      </c>
      <c r="N325" s="8" t="str">
        <f>IFERROR(INDEX(样本到样信息汇总统计!N$2:N$500,MATCH(324,样本到样信息汇总统计!$X$2:$X$500,0)),"")</f>
        <v/>
      </c>
      <c r="O325" s="8" t="str">
        <f>IFERROR(INDEX(样本到样信息汇总统计!O$2:O$500,MATCH(324,样本到样信息汇总统计!$X$2:$X$500,0)),"")</f>
        <v/>
      </c>
      <c r="P325" s="8" t="str">
        <f>IFERROR(INDEX(样本到样信息汇总统计!P$2:P$500,MATCH(324,样本到样信息汇总统计!$X$2:$X$500,0)),"")</f>
        <v/>
      </c>
      <c r="Q325" s="8" t="str">
        <f>IFERROR(INDEX(样本到样信息汇总统计!Q$2:Q$500,MATCH(324,样本到样信息汇总统计!$X$2:$X$500,0)),"")</f>
        <v/>
      </c>
      <c r="R325" s="8" t="str">
        <f>IFERROR(INDEX(样本到样信息汇总统计!R$2:R$500,MATCH(324,样本到样信息汇总统计!$X$2:$X$500,0)),"")</f>
        <v/>
      </c>
      <c r="S325" s="8" t="str">
        <f>IFERROR(INDEX(样本到样信息汇总统计!S$2:S$500,MATCH(324,样本到样信息汇总统计!$X$2:$X$500,0)),"")</f>
        <v/>
      </c>
      <c r="T325" s="8" t="str">
        <f>IFERROR(INDEX(样本到样信息汇总统计!T$2:T$500,MATCH(324,样本到样信息汇总统计!$X$2:$X$500,0)),"")</f>
        <v/>
      </c>
      <c r="U325" s="8" t="str">
        <f>IFERROR(INDEX(样本到样信息汇总统计!U$2:U$500,MATCH(324,样本到样信息汇总统计!$X$2:$X$500,0)),"")</f>
        <v/>
      </c>
      <c r="V325" s="8" t="str">
        <f>IFERROR(INDEX(样本到样信息汇总统计!V$2:V$500,MATCH(324,样本到样信息汇总统计!$X$2:$X$500,0)),"")</f>
        <v/>
      </c>
      <c r="W325" s="8" t="str">
        <f>IFERROR(INDEX(样本到样信息汇总统计!W$2:W$500,MATCH(324,样本到样信息汇总统计!$X$2:$X$500,0)),"")</f>
        <v/>
      </c>
    </row>
    <row r="326" ht="14.5" spans="1:23">
      <c r="A326" s="4" t="str">
        <f>IFERROR(INDEX(样本到样信息汇总统计!A$2:A$500,MATCH(325,样本到样信息汇总统计!$X$2:$X$500,0)),"")</f>
        <v/>
      </c>
      <c r="B326" s="4" t="str">
        <f>IFERROR(INDEX(样本到样信息汇总统计!B$2:B$500,MATCH(325,样本到样信息汇总统计!$X$2:$X$500,0)),"")</f>
        <v/>
      </c>
      <c r="C326" s="4" t="str">
        <f>IFERROR(INDEX(样本到样信息汇总统计!C$2:C$500,MATCH(325,样本到样信息汇总统计!$X$2:$X$500,0)),"")</f>
        <v/>
      </c>
      <c r="D326" s="4" t="str">
        <f>IFERROR(INDEX(样本到样信息汇总统计!D$2:D$500,MATCH(325,样本到样信息汇总统计!$X$2:$X$500,0)),"")</f>
        <v/>
      </c>
      <c r="E326" s="4" t="str">
        <f>IFERROR(INDEX(样本到样信息汇总统计!E$2:E$500,MATCH(325,样本到样信息汇总统计!$X$2:$X$500,0)),"")</f>
        <v/>
      </c>
      <c r="F326" s="4" t="str">
        <f>IFERROR(INDEX(样本到样信息汇总统计!F$2:F$500,MATCH(325,样本到样信息汇总统计!$X$2:$X$500,0)),"")</f>
        <v/>
      </c>
      <c r="G326" s="4" t="str">
        <f>IFERROR(INDEX(样本到样信息汇总统计!G$2:G$500,MATCH(325,样本到样信息汇总统计!$X$2:$X$500,0)),"")</f>
        <v/>
      </c>
      <c r="H326" s="4" t="str">
        <f>IFERROR(INDEX(样本到样信息汇总统计!H$2:H$500,MATCH(325,样本到样信息汇总统计!$X$2:$X$500,0)),"")</f>
        <v/>
      </c>
      <c r="I326" s="4" t="str">
        <f>IFERROR(INDEX(样本到样信息汇总统计!I$2:I$500,MATCH(325,样本到样信息汇总统计!$X$2:$X$500,0)),"")</f>
        <v/>
      </c>
      <c r="J326" s="4" t="str">
        <f>IFERROR(INDEX(样本到样信息汇总统计!J$2:J$500,MATCH(325,样本到样信息汇总统计!$X$2:$X$500,0)),"")</f>
        <v/>
      </c>
      <c r="K326" s="14" t="str">
        <f>IFERROR(INDEX(样本到样信息汇总统计!K$2:K$500,MATCH(325,样本到样信息汇总统计!$X$2:$X$500,0)),"")</f>
        <v/>
      </c>
      <c r="L326" s="4" t="str">
        <f>IFERROR(INDEX(样本到样信息汇总统计!L$2:L$500,MATCH(325,样本到样信息汇总统计!$X$2:$X$500,0)),"")</f>
        <v/>
      </c>
      <c r="M326" s="4" t="str">
        <f>IFERROR(INDEX(样本到样信息汇总统计!M$2:M$500,MATCH(325,样本到样信息汇总统计!$X$2:$X$500,0)),"")</f>
        <v/>
      </c>
      <c r="N326" s="4" t="str">
        <f>IFERROR(INDEX(样本到样信息汇总统计!N$2:N$500,MATCH(325,样本到样信息汇总统计!$X$2:$X$500,0)),"")</f>
        <v/>
      </c>
      <c r="O326" s="4" t="str">
        <f>IFERROR(INDEX(样本到样信息汇总统计!O$2:O$500,MATCH(325,样本到样信息汇总统计!$X$2:$X$500,0)),"")</f>
        <v/>
      </c>
      <c r="P326" s="4" t="str">
        <f>IFERROR(INDEX(样本到样信息汇总统计!P$2:P$500,MATCH(325,样本到样信息汇总统计!$X$2:$X$500,0)),"")</f>
        <v/>
      </c>
      <c r="Q326" s="4" t="str">
        <f>IFERROR(INDEX(样本到样信息汇总统计!Q$2:Q$500,MATCH(325,样本到样信息汇总统计!$X$2:$X$500,0)),"")</f>
        <v/>
      </c>
      <c r="R326" s="4" t="str">
        <f>IFERROR(INDEX(样本到样信息汇总统计!R$2:R$500,MATCH(325,样本到样信息汇总统计!$X$2:$X$500,0)),"")</f>
        <v/>
      </c>
      <c r="S326" s="4" t="str">
        <f>IFERROR(INDEX(样本到样信息汇总统计!S$2:S$500,MATCH(325,样本到样信息汇总统计!$X$2:$X$500,0)),"")</f>
        <v/>
      </c>
      <c r="T326" s="4" t="str">
        <f>IFERROR(INDEX(样本到样信息汇总统计!T$2:T$500,MATCH(325,样本到样信息汇总统计!$X$2:$X$500,0)),"")</f>
        <v/>
      </c>
      <c r="U326" s="4" t="str">
        <f>IFERROR(INDEX(样本到样信息汇总统计!U$2:U$500,MATCH(325,样本到样信息汇总统计!$X$2:$X$500,0)),"")</f>
        <v/>
      </c>
      <c r="V326" s="4" t="str">
        <f>IFERROR(INDEX(样本到样信息汇总统计!V$2:V$500,MATCH(325,样本到样信息汇总统计!$X$2:$X$500,0)),"")</f>
        <v/>
      </c>
      <c r="W326" s="4" t="str">
        <f>IFERROR(INDEX(样本到样信息汇总统计!W$2:W$500,MATCH(325,样本到样信息汇总统计!$X$2:$X$500,0)),"")</f>
        <v/>
      </c>
    </row>
    <row r="327" ht="14.5" spans="1:23">
      <c r="A327" s="8" t="str">
        <f>IFERROR(INDEX(样本到样信息汇总统计!A$2:A$500,MATCH(326,样本到样信息汇总统计!$X$2:$X$500,0)),"")</f>
        <v/>
      </c>
      <c r="B327" s="8" t="str">
        <f>IFERROR(INDEX(样本到样信息汇总统计!B$2:B$500,MATCH(326,样本到样信息汇总统计!$X$2:$X$500,0)),"")</f>
        <v/>
      </c>
      <c r="C327" s="8" t="str">
        <f>IFERROR(INDEX(样本到样信息汇总统计!C$2:C$500,MATCH(326,样本到样信息汇总统计!$X$2:$X$500,0)),"")</f>
        <v/>
      </c>
      <c r="D327" s="8" t="str">
        <f>IFERROR(INDEX(样本到样信息汇总统计!D$2:D$500,MATCH(326,样本到样信息汇总统计!$X$2:$X$500,0)),"")</f>
        <v/>
      </c>
      <c r="E327" s="8" t="str">
        <f>IFERROR(INDEX(样本到样信息汇总统计!E$2:E$500,MATCH(326,样本到样信息汇总统计!$X$2:$X$500,0)),"")</f>
        <v/>
      </c>
      <c r="F327" s="8" t="str">
        <f>IFERROR(INDEX(样本到样信息汇总统计!F$2:F$500,MATCH(326,样本到样信息汇总统计!$X$2:$X$500,0)),"")</f>
        <v/>
      </c>
      <c r="G327" s="8" t="str">
        <f>IFERROR(INDEX(样本到样信息汇总统计!G$2:G$500,MATCH(326,样本到样信息汇总统计!$X$2:$X$500,0)),"")</f>
        <v/>
      </c>
      <c r="H327" s="8" t="str">
        <f>IFERROR(INDEX(样本到样信息汇总统计!H$2:H$500,MATCH(326,样本到样信息汇总统计!$X$2:$X$500,0)),"")</f>
        <v/>
      </c>
      <c r="I327" s="8" t="str">
        <f>IFERROR(INDEX(样本到样信息汇总统计!I$2:I$500,MATCH(326,样本到样信息汇总统计!$X$2:$X$500,0)),"")</f>
        <v/>
      </c>
      <c r="J327" s="8" t="str">
        <f>IFERROR(INDEX(样本到样信息汇总统计!J$2:J$500,MATCH(326,样本到样信息汇总统计!$X$2:$X$500,0)),"")</f>
        <v/>
      </c>
      <c r="K327" s="15" t="str">
        <f>IFERROR(INDEX(样本到样信息汇总统计!K$2:K$500,MATCH(326,样本到样信息汇总统计!$X$2:$X$500,0)),"")</f>
        <v/>
      </c>
      <c r="L327" s="8" t="str">
        <f>IFERROR(INDEX(样本到样信息汇总统计!L$2:L$500,MATCH(326,样本到样信息汇总统计!$X$2:$X$500,0)),"")</f>
        <v/>
      </c>
      <c r="M327" s="8" t="str">
        <f>IFERROR(INDEX(样本到样信息汇总统计!M$2:M$500,MATCH(326,样本到样信息汇总统计!$X$2:$X$500,0)),"")</f>
        <v/>
      </c>
      <c r="N327" s="8" t="str">
        <f>IFERROR(INDEX(样本到样信息汇总统计!N$2:N$500,MATCH(326,样本到样信息汇总统计!$X$2:$X$500,0)),"")</f>
        <v/>
      </c>
      <c r="O327" s="8" t="str">
        <f>IFERROR(INDEX(样本到样信息汇总统计!O$2:O$500,MATCH(326,样本到样信息汇总统计!$X$2:$X$500,0)),"")</f>
        <v/>
      </c>
      <c r="P327" s="8" t="str">
        <f>IFERROR(INDEX(样本到样信息汇总统计!P$2:P$500,MATCH(326,样本到样信息汇总统计!$X$2:$X$500,0)),"")</f>
        <v/>
      </c>
      <c r="Q327" s="8" t="str">
        <f>IFERROR(INDEX(样本到样信息汇总统计!Q$2:Q$500,MATCH(326,样本到样信息汇总统计!$X$2:$X$500,0)),"")</f>
        <v/>
      </c>
      <c r="R327" s="8" t="str">
        <f>IFERROR(INDEX(样本到样信息汇总统计!R$2:R$500,MATCH(326,样本到样信息汇总统计!$X$2:$X$500,0)),"")</f>
        <v/>
      </c>
      <c r="S327" s="8" t="str">
        <f>IFERROR(INDEX(样本到样信息汇总统计!S$2:S$500,MATCH(326,样本到样信息汇总统计!$X$2:$X$500,0)),"")</f>
        <v/>
      </c>
      <c r="T327" s="8" t="str">
        <f>IFERROR(INDEX(样本到样信息汇总统计!T$2:T$500,MATCH(326,样本到样信息汇总统计!$X$2:$X$500,0)),"")</f>
        <v/>
      </c>
      <c r="U327" s="8" t="str">
        <f>IFERROR(INDEX(样本到样信息汇总统计!U$2:U$500,MATCH(326,样本到样信息汇总统计!$X$2:$X$500,0)),"")</f>
        <v/>
      </c>
      <c r="V327" s="8" t="str">
        <f>IFERROR(INDEX(样本到样信息汇总统计!V$2:V$500,MATCH(326,样本到样信息汇总统计!$X$2:$X$500,0)),"")</f>
        <v/>
      </c>
      <c r="W327" s="8" t="str">
        <f>IFERROR(INDEX(样本到样信息汇总统计!W$2:W$500,MATCH(326,样本到样信息汇总统计!$X$2:$X$500,0)),"")</f>
        <v/>
      </c>
    </row>
    <row r="328" ht="14.5" spans="1:23">
      <c r="A328" s="4" t="str">
        <f>IFERROR(INDEX(样本到样信息汇总统计!A$2:A$500,MATCH(327,样本到样信息汇总统计!$X$2:$X$500,0)),"")</f>
        <v/>
      </c>
      <c r="B328" s="4" t="str">
        <f>IFERROR(INDEX(样本到样信息汇总统计!B$2:B$500,MATCH(327,样本到样信息汇总统计!$X$2:$X$500,0)),"")</f>
        <v/>
      </c>
      <c r="C328" s="4" t="str">
        <f>IFERROR(INDEX(样本到样信息汇总统计!C$2:C$500,MATCH(327,样本到样信息汇总统计!$X$2:$X$500,0)),"")</f>
        <v/>
      </c>
      <c r="D328" s="4" t="str">
        <f>IFERROR(INDEX(样本到样信息汇总统计!D$2:D$500,MATCH(327,样本到样信息汇总统计!$X$2:$X$500,0)),"")</f>
        <v/>
      </c>
      <c r="E328" s="4" t="str">
        <f>IFERROR(INDEX(样本到样信息汇总统计!E$2:E$500,MATCH(327,样本到样信息汇总统计!$X$2:$X$500,0)),"")</f>
        <v/>
      </c>
      <c r="F328" s="4" t="str">
        <f>IFERROR(INDEX(样本到样信息汇总统计!F$2:F$500,MATCH(327,样本到样信息汇总统计!$X$2:$X$500,0)),"")</f>
        <v/>
      </c>
      <c r="G328" s="4" t="str">
        <f>IFERROR(INDEX(样本到样信息汇总统计!G$2:G$500,MATCH(327,样本到样信息汇总统计!$X$2:$X$500,0)),"")</f>
        <v/>
      </c>
      <c r="H328" s="4" t="str">
        <f>IFERROR(INDEX(样本到样信息汇总统计!H$2:H$500,MATCH(327,样本到样信息汇总统计!$X$2:$X$500,0)),"")</f>
        <v/>
      </c>
      <c r="I328" s="4" t="str">
        <f>IFERROR(INDEX(样本到样信息汇总统计!I$2:I$500,MATCH(327,样本到样信息汇总统计!$X$2:$X$500,0)),"")</f>
        <v/>
      </c>
      <c r="J328" s="4" t="str">
        <f>IFERROR(INDEX(样本到样信息汇总统计!J$2:J$500,MATCH(327,样本到样信息汇总统计!$X$2:$X$500,0)),"")</f>
        <v/>
      </c>
      <c r="K328" s="14" t="str">
        <f>IFERROR(INDEX(样本到样信息汇总统计!K$2:K$500,MATCH(327,样本到样信息汇总统计!$X$2:$X$500,0)),"")</f>
        <v/>
      </c>
      <c r="L328" s="4" t="str">
        <f>IFERROR(INDEX(样本到样信息汇总统计!L$2:L$500,MATCH(327,样本到样信息汇总统计!$X$2:$X$500,0)),"")</f>
        <v/>
      </c>
      <c r="M328" s="4" t="str">
        <f>IFERROR(INDEX(样本到样信息汇总统计!M$2:M$500,MATCH(327,样本到样信息汇总统计!$X$2:$X$500,0)),"")</f>
        <v/>
      </c>
      <c r="N328" s="4" t="str">
        <f>IFERROR(INDEX(样本到样信息汇总统计!N$2:N$500,MATCH(327,样本到样信息汇总统计!$X$2:$X$500,0)),"")</f>
        <v/>
      </c>
      <c r="O328" s="4" t="str">
        <f>IFERROR(INDEX(样本到样信息汇总统计!O$2:O$500,MATCH(327,样本到样信息汇总统计!$X$2:$X$500,0)),"")</f>
        <v/>
      </c>
      <c r="P328" s="4" t="str">
        <f>IFERROR(INDEX(样本到样信息汇总统计!P$2:P$500,MATCH(327,样本到样信息汇总统计!$X$2:$X$500,0)),"")</f>
        <v/>
      </c>
      <c r="Q328" s="4" t="str">
        <f>IFERROR(INDEX(样本到样信息汇总统计!Q$2:Q$500,MATCH(327,样本到样信息汇总统计!$X$2:$X$500,0)),"")</f>
        <v/>
      </c>
      <c r="R328" s="4" t="str">
        <f>IFERROR(INDEX(样本到样信息汇总统计!R$2:R$500,MATCH(327,样本到样信息汇总统计!$X$2:$X$500,0)),"")</f>
        <v/>
      </c>
      <c r="S328" s="4" t="str">
        <f>IFERROR(INDEX(样本到样信息汇总统计!S$2:S$500,MATCH(327,样本到样信息汇总统计!$X$2:$X$500,0)),"")</f>
        <v/>
      </c>
      <c r="T328" s="4" t="str">
        <f>IFERROR(INDEX(样本到样信息汇总统计!T$2:T$500,MATCH(327,样本到样信息汇总统计!$X$2:$X$500,0)),"")</f>
        <v/>
      </c>
      <c r="U328" s="4" t="str">
        <f>IFERROR(INDEX(样本到样信息汇总统计!U$2:U$500,MATCH(327,样本到样信息汇总统计!$X$2:$X$500,0)),"")</f>
        <v/>
      </c>
      <c r="V328" s="4" t="str">
        <f>IFERROR(INDEX(样本到样信息汇总统计!V$2:V$500,MATCH(327,样本到样信息汇总统计!$X$2:$X$500,0)),"")</f>
        <v/>
      </c>
      <c r="W328" s="4" t="str">
        <f>IFERROR(INDEX(样本到样信息汇总统计!W$2:W$500,MATCH(327,样本到样信息汇总统计!$X$2:$X$500,0)),"")</f>
        <v/>
      </c>
    </row>
    <row r="329" ht="14.5" spans="1:23">
      <c r="A329" s="8" t="str">
        <f>IFERROR(INDEX(样本到样信息汇总统计!A$2:A$500,MATCH(328,样本到样信息汇总统计!$X$2:$X$500,0)),"")</f>
        <v/>
      </c>
      <c r="B329" s="8" t="str">
        <f>IFERROR(INDEX(样本到样信息汇总统计!B$2:B$500,MATCH(328,样本到样信息汇总统计!$X$2:$X$500,0)),"")</f>
        <v/>
      </c>
      <c r="C329" s="8" t="str">
        <f>IFERROR(INDEX(样本到样信息汇总统计!C$2:C$500,MATCH(328,样本到样信息汇总统计!$X$2:$X$500,0)),"")</f>
        <v/>
      </c>
      <c r="D329" s="8" t="str">
        <f>IFERROR(INDEX(样本到样信息汇总统计!D$2:D$500,MATCH(328,样本到样信息汇总统计!$X$2:$X$500,0)),"")</f>
        <v/>
      </c>
      <c r="E329" s="8" t="str">
        <f>IFERROR(INDEX(样本到样信息汇总统计!E$2:E$500,MATCH(328,样本到样信息汇总统计!$X$2:$X$500,0)),"")</f>
        <v/>
      </c>
      <c r="F329" s="8" t="str">
        <f>IFERROR(INDEX(样本到样信息汇总统计!F$2:F$500,MATCH(328,样本到样信息汇总统计!$X$2:$X$500,0)),"")</f>
        <v/>
      </c>
      <c r="G329" s="8" t="str">
        <f>IFERROR(INDEX(样本到样信息汇总统计!G$2:G$500,MATCH(328,样本到样信息汇总统计!$X$2:$X$500,0)),"")</f>
        <v/>
      </c>
      <c r="H329" s="8" t="str">
        <f>IFERROR(INDEX(样本到样信息汇总统计!H$2:H$500,MATCH(328,样本到样信息汇总统计!$X$2:$X$500,0)),"")</f>
        <v/>
      </c>
      <c r="I329" s="8" t="str">
        <f>IFERROR(INDEX(样本到样信息汇总统计!I$2:I$500,MATCH(328,样本到样信息汇总统计!$X$2:$X$500,0)),"")</f>
        <v/>
      </c>
      <c r="J329" s="8" t="str">
        <f>IFERROR(INDEX(样本到样信息汇总统计!J$2:J$500,MATCH(328,样本到样信息汇总统计!$X$2:$X$500,0)),"")</f>
        <v/>
      </c>
      <c r="K329" s="15" t="str">
        <f>IFERROR(INDEX(样本到样信息汇总统计!K$2:K$500,MATCH(328,样本到样信息汇总统计!$X$2:$X$500,0)),"")</f>
        <v/>
      </c>
      <c r="L329" s="8" t="str">
        <f>IFERROR(INDEX(样本到样信息汇总统计!L$2:L$500,MATCH(328,样本到样信息汇总统计!$X$2:$X$500,0)),"")</f>
        <v/>
      </c>
      <c r="M329" s="8" t="str">
        <f>IFERROR(INDEX(样本到样信息汇总统计!M$2:M$500,MATCH(328,样本到样信息汇总统计!$X$2:$X$500,0)),"")</f>
        <v/>
      </c>
      <c r="N329" s="8" t="str">
        <f>IFERROR(INDEX(样本到样信息汇总统计!N$2:N$500,MATCH(328,样本到样信息汇总统计!$X$2:$X$500,0)),"")</f>
        <v/>
      </c>
      <c r="O329" s="8" t="str">
        <f>IFERROR(INDEX(样本到样信息汇总统计!O$2:O$500,MATCH(328,样本到样信息汇总统计!$X$2:$X$500,0)),"")</f>
        <v/>
      </c>
      <c r="P329" s="8" t="str">
        <f>IFERROR(INDEX(样本到样信息汇总统计!P$2:P$500,MATCH(328,样本到样信息汇总统计!$X$2:$X$500,0)),"")</f>
        <v/>
      </c>
      <c r="Q329" s="8" t="str">
        <f>IFERROR(INDEX(样本到样信息汇总统计!Q$2:Q$500,MATCH(328,样本到样信息汇总统计!$X$2:$X$500,0)),"")</f>
        <v/>
      </c>
      <c r="R329" s="8" t="str">
        <f>IFERROR(INDEX(样本到样信息汇总统计!R$2:R$500,MATCH(328,样本到样信息汇总统计!$X$2:$X$500,0)),"")</f>
        <v/>
      </c>
      <c r="S329" s="8" t="str">
        <f>IFERROR(INDEX(样本到样信息汇总统计!S$2:S$500,MATCH(328,样本到样信息汇总统计!$X$2:$X$500,0)),"")</f>
        <v/>
      </c>
      <c r="T329" s="8" t="str">
        <f>IFERROR(INDEX(样本到样信息汇总统计!T$2:T$500,MATCH(328,样本到样信息汇总统计!$X$2:$X$500,0)),"")</f>
        <v/>
      </c>
      <c r="U329" s="8" t="str">
        <f>IFERROR(INDEX(样本到样信息汇总统计!U$2:U$500,MATCH(328,样本到样信息汇总统计!$X$2:$X$500,0)),"")</f>
        <v/>
      </c>
      <c r="V329" s="8" t="str">
        <f>IFERROR(INDEX(样本到样信息汇总统计!V$2:V$500,MATCH(328,样本到样信息汇总统计!$X$2:$X$500,0)),"")</f>
        <v/>
      </c>
      <c r="W329" s="8" t="str">
        <f>IFERROR(INDEX(样本到样信息汇总统计!W$2:W$500,MATCH(328,样本到样信息汇总统计!$X$2:$X$500,0)),"")</f>
        <v/>
      </c>
    </row>
    <row r="330" ht="14.5" spans="1:23">
      <c r="A330" s="4" t="str">
        <f>IFERROR(INDEX(样本到样信息汇总统计!A$2:A$500,MATCH(329,样本到样信息汇总统计!$X$2:$X$500,0)),"")</f>
        <v/>
      </c>
      <c r="B330" s="4" t="str">
        <f>IFERROR(INDEX(样本到样信息汇总统计!B$2:B$500,MATCH(329,样本到样信息汇总统计!$X$2:$X$500,0)),"")</f>
        <v/>
      </c>
      <c r="C330" s="4" t="str">
        <f>IFERROR(INDEX(样本到样信息汇总统计!C$2:C$500,MATCH(329,样本到样信息汇总统计!$X$2:$X$500,0)),"")</f>
        <v/>
      </c>
      <c r="D330" s="4" t="str">
        <f>IFERROR(INDEX(样本到样信息汇总统计!D$2:D$500,MATCH(329,样本到样信息汇总统计!$X$2:$X$500,0)),"")</f>
        <v/>
      </c>
      <c r="E330" s="4" t="str">
        <f>IFERROR(INDEX(样本到样信息汇总统计!E$2:E$500,MATCH(329,样本到样信息汇总统计!$X$2:$X$500,0)),"")</f>
        <v/>
      </c>
      <c r="F330" s="4" t="str">
        <f>IFERROR(INDEX(样本到样信息汇总统计!F$2:F$500,MATCH(329,样本到样信息汇总统计!$X$2:$X$500,0)),"")</f>
        <v/>
      </c>
      <c r="G330" s="4" t="str">
        <f>IFERROR(INDEX(样本到样信息汇总统计!G$2:G$500,MATCH(329,样本到样信息汇总统计!$X$2:$X$500,0)),"")</f>
        <v/>
      </c>
      <c r="H330" s="4" t="str">
        <f>IFERROR(INDEX(样本到样信息汇总统计!H$2:H$500,MATCH(329,样本到样信息汇总统计!$X$2:$X$500,0)),"")</f>
        <v/>
      </c>
      <c r="I330" s="4" t="str">
        <f>IFERROR(INDEX(样本到样信息汇总统计!I$2:I$500,MATCH(329,样本到样信息汇总统计!$X$2:$X$500,0)),"")</f>
        <v/>
      </c>
      <c r="J330" s="4" t="str">
        <f>IFERROR(INDEX(样本到样信息汇总统计!J$2:J$500,MATCH(329,样本到样信息汇总统计!$X$2:$X$500,0)),"")</f>
        <v/>
      </c>
      <c r="K330" s="14" t="str">
        <f>IFERROR(INDEX(样本到样信息汇总统计!K$2:K$500,MATCH(329,样本到样信息汇总统计!$X$2:$X$500,0)),"")</f>
        <v/>
      </c>
      <c r="L330" s="4" t="str">
        <f>IFERROR(INDEX(样本到样信息汇总统计!L$2:L$500,MATCH(329,样本到样信息汇总统计!$X$2:$X$500,0)),"")</f>
        <v/>
      </c>
      <c r="M330" s="4" t="str">
        <f>IFERROR(INDEX(样本到样信息汇总统计!M$2:M$500,MATCH(329,样本到样信息汇总统计!$X$2:$X$500,0)),"")</f>
        <v/>
      </c>
      <c r="N330" s="4" t="str">
        <f>IFERROR(INDEX(样本到样信息汇总统计!N$2:N$500,MATCH(329,样本到样信息汇总统计!$X$2:$X$500,0)),"")</f>
        <v/>
      </c>
      <c r="O330" s="4" t="str">
        <f>IFERROR(INDEX(样本到样信息汇总统计!O$2:O$500,MATCH(329,样本到样信息汇总统计!$X$2:$X$500,0)),"")</f>
        <v/>
      </c>
      <c r="P330" s="4" t="str">
        <f>IFERROR(INDEX(样本到样信息汇总统计!P$2:P$500,MATCH(329,样本到样信息汇总统计!$X$2:$X$500,0)),"")</f>
        <v/>
      </c>
      <c r="Q330" s="4" t="str">
        <f>IFERROR(INDEX(样本到样信息汇总统计!Q$2:Q$500,MATCH(329,样本到样信息汇总统计!$X$2:$X$500,0)),"")</f>
        <v/>
      </c>
      <c r="R330" s="4" t="str">
        <f>IFERROR(INDEX(样本到样信息汇总统计!R$2:R$500,MATCH(329,样本到样信息汇总统计!$X$2:$X$500,0)),"")</f>
        <v/>
      </c>
      <c r="S330" s="4" t="str">
        <f>IFERROR(INDEX(样本到样信息汇总统计!S$2:S$500,MATCH(329,样本到样信息汇总统计!$X$2:$X$500,0)),"")</f>
        <v/>
      </c>
      <c r="T330" s="4" t="str">
        <f>IFERROR(INDEX(样本到样信息汇总统计!T$2:T$500,MATCH(329,样本到样信息汇总统计!$X$2:$X$500,0)),"")</f>
        <v/>
      </c>
      <c r="U330" s="4" t="str">
        <f>IFERROR(INDEX(样本到样信息汇总统计!U$2:U$500,MATCH(329,样本到样信息汇总统计!$X$2:$X$500,0)),"")</f>
        <v/>
      </c>
      <c r="V330" s="4" t="str">
        <f>IFERROR(INDEX(样本到样信息汇总统计!V$2:V$500,MATCH(329,样本到样信息汇总统计!$X$2:$X$500,0)),"")</f>
        <v/>
      </c>
      <c r="W330" s="4" t="str">
        <f>IFERROR(INDEX(样本到样信息汇总统计!W$2:W$500,MATCH(329,样本到样信息汇总统计!$X$2:$X$500,0)),"")</f>
        <v/>
      </c>
    </row>
    <row r="331" ht="14.5" spans="1:23">
      <c r="A331" s="8" t="str">
        <f>IFERROR(INDEX(样本到样信息汇总统计!A$2:A$500,MATCH(330,样本到样信息汇总统计!$X$2:$X$500,0)),"")</f>
        <v/>
      </c>
      <c r="B331" s="8" t="str">
        <f>IFERROR(INDEX(样本到样信息汇总统计!B$2:B$500,MATCH(330,样本到样信息汇总统计!$X$2:$X$500,0)),"")</f>
        <v/>
      </c>
      <c r="C331" s="8" t="str">
        <f>IFERROR(INDEX(样本到样信息汇总统计!C$2:C$500,MATCH(330,样本到样信息汇总统计!$X$2:$X$500,0)),"")</f>
        <v/>
      </c>
      <c r="D331" s="8" t="str">
        <f>IFERROR(INDEX(样本到样信息汇总统计!D$2:D$500,MATCH(330,样本到样信息汇总统计!$X$2:$X$500,0)),"")</f>
        <v/>
      </c>
      <c r="E331" s="8" t="str">
        <f>IFERROR(INDEX(样本到样信息汇总统计!E$2:E$500,MATCH(330,样本到样信息汇总统计!$X$2:$X$500,0)),"")</f>
        <v/>
      </c>
      <c r="F331" s="8" t="str">
        <f>IFERROR(INDEX(样本到样信息汇总统计!F$2:F$500,MATCH(330,样本到样信息汇总统计!$X$2:$X$500,0)),"")</f>
        <v/>
      </c>
      <c r="G331" s="8" t="str">
        <f>IFERROR(INDEX(样本到样信息汇总统计!G$2:G$500,MATCH(330,样本到样信息汇总统计!$X$2:$X$500,0)),"")</f>
        <v/>
      </c>
      <c r="H331" s="8" t="str">
        <f>IFERROR(INDEX(样本到样信息汇总统计!H$2:H$500,MATCH(330,样本到样信息汇总统计!$X$2:$X$500,0)),"")</f>
        <v/>
      </c>
      <c r="I331" s="8" t="str">
        <f>IFERROR(INDEX(样本到样信息汇总统计!I$2:I$500,MATCH(330,样本到样信息汇总统计!$X$2:$X$500,0)),"")</f>
        <v/>
      </c>
      <c r="J331" s="8" t="str">
        <f>IFERROR(INDEX(样本到样信息汇总统计!J$2:J$500,MATCH(330,样本到样信息汇总统计!$X$2:$X$500,0)),"")</f>
        <v/>
      </c>
      <c r="K331" s="15" t="str">
        <f>IFERROR(INDEX(样本到样信息汇总统计!K$2:K$500,MATCH(330,样本到样信息汇总统计!$X$2:$X$500,0)),"")</f>
        <v/>
      </c>
      <c r="L331" s="8" t="str">
        <f>IFERROR(INDEX(样本到样信息汇总统计!L$2:L$500,MATCH(330,样本到样信息汇总统计!$X$2:$X$500,0)),"")</f>
        <v/>
      </c>
      <c r="M331" s="8" t="str">
        <f>IFERROR(INDEX(样本到样信息汇总统计!M$2:M$500,MATCH(330,样本到样信息汇总统计!$X$2:$X$500,0)),"")</f>
        <v/>
      </c>
      <c r="N331" s="8" t="str">
        <f>IFERROR(INDEX(样本到样信息汇总统计!N$2:N$500,MATCH(330,样本到样信息汇总统计!$X$2:$X$500,0)),"")</f>
        <v/>
      </c>
      <c r="O331" s="8" t="str">
        <f>IFERROR(INDEX(样本到样信息汇总统计!O$2:O$500,MATCH(330,样本到样信息汇总统计!$X$2:$X$500,0)),"")</f>
        <v/>
      </c>
      <c r="P331" s="8" t="str">
        <f>IFERROR(INDEX(样本到样信息汇总统计!P$2:P$500,MATCH(330,样本到样信息汇总统计!$X$2:$X$500,0)),"")</f>
        <v/>
      </c>
      <c r="Q331" s="8" t="str">
        <f>IFERROR(INDEX(样本到样信息汇总统计!Q$2:Q$500,MATCH(330,样本到样信息汇总统计!$X$2:$X$500,0)),"")</f>
        <v/>
      </c>
      <c r="R331" s="8" t="str">
        <f>IFERROR(INDEX(样本到样信息汇总统计!R$2:R$500,MATCH(330,样本到样信息汇总统计!$X$2:$X$500,0)),"")</f>
        <v/>
      </c>
      <c r="S331" s="8" t="str">
        <f>IFERROR(INDEX(样本到样信息汇总统计!S$2:S$500,MATCH(330,样本到样信息汇总统计!$X$2:$X$500,0)),"")</f>
        <v/>
      </c>
      <c r="T331" s="8" t="str">
        <f>IFERROR(INDEX(样本到样信息汇总统计!T$2:T$500,MATCH(330,样本到样信息汇总统计!$X$2:$X$500,0)),"")</f>
        <v/>
      </c>
      <c r="U331" s="8" t="str">
        <f>IFERROR(INDEX(样本到样信息汇总统计!U$2:U$500,MATCH(330,样本到样信息汇总统计!$X$2:$X$500,0)),"")</f>
        <v/>
      </c>
      <c r="V331" s="8" t="str">
        <f>IFERROR(INDEX(样本到样信息汇总统计!V$2:V$500,MATCH(330,样本到样信息汇总统计!$X$2:$X$500,0)),"")</f>
        <v/>
      </c>
      <c r="W331" s="8" t="str">
        <f>IFERROR(INDEX(样本到样信息汇总统计!W$2:W$500,MATCH(330,样本到样信息汇总统计!$X$2:$X$500,0)),"")</f>
        <v/>
      </c>
    </row>
    <row r="332" ht="14.5" spans="1:23">
      <c r="A332" s="4" t="str">
        <f>IFERROR(INDEX(样本到样信息汇总统计!A$2:A$500,MATCH(331,样本到样信息汇总统计!$X$2:$X$500,0)),"")</f>
        <v/>
      </c>
      <c r="B332" s="4" t="str">
        <f>IFERROR(INDEX(样本到样信息汇总统计!B$2:B$500,MATCH(331,样本到样信息汇总统计!$X$2:$X$500,0)),"")</f>
        <v/>
      </c>
      <c r="C332" s="4" t="str">
        <f>IFERROR(INDEX(样本到样信息汇总统计!C$2:C$500,MATCH(331,样本到样信息汇总统计!$X$2:$X$500,0)),"")</f>
        <v/>
      </c>
      <c r="D332" s="4" t="str">
        <f>IFERROR(INDEX(样本到样信息汇总统计!D$2:D$500,MATCH(331,样本到样信息汇总统计!$X$2:$X$500,0)),"")</f>
        <v/>
      </c>
      <c r="E332" s="4" t="str">
        <f>IFERROR(INDEX(样本到样信息汇总统计!E$2:E$500,MATCH(331,样本到样信息汇总统计!$X$2:$X$500,0)),"")</f>
        <v/>
      </c>
      <c r="F332" s="4" t="str">
        <f>IFERROR(INDEX(样本到样信息汇总统计!F$2:F$500,MATCH(331,样本到样信息汇总统计!$X$2:$X$500,0)),"")</f>
        <v/>
      </c>
      <c r="G332" s="4" t="str">
        <f>IFERROR(INDEX(样本到样信息汇总统计!G$2:G$500,MATCH(331,样本到样信息汇总统计!$X$2:$X$500,0)),"")</f>
        <v/>
      </c>
      <c r="H332" s="4" t="str">
        <f>IFERROR(INDEX(样本到样信息汇总统计!H$2:H$500,MATCH(331,样本到样信息汇总统计!$X$2:$X$500,0)),"")</f>
        <v/>
      </c>
      <c r="I332" s="4" t="str">
        <f>IFERROR(INDEX(样本到样信息汇总统计!I$2:I$500,MATCH(331,样本到样信息汇总统计!$X$2:$X$500,0)),"")</f>
        <v/>
      </c>
      <c r="J332" s="4" t="str">
        <f>IFERROR(INDEX(样本到样信息汇总统计!J$2:J$500,MATCH(331,样本到样信息汇总统计!$X$2:$X$500,0)),"")</f>
        <v/>
      </c>
      <c r="K332" s="14" t="str">
        <f>IFERROR(INDEX(样本到样信息汇总统计!K$2:K$500,MATCH(331,样本到样信息汇总统计!$X$2:$X$500,0)),"")</f>
        <v/>
      </c>
      <c r="L332" s="4" t="str">
        <f>IFERROR(INDEX(样本到样信息汇总统计!L$2:L$500,MATCH(331,样本到样信息汇总统计!$X$2:$X$500,0)),"")</f>
        <v/>
      </c>
      <c r="M332" s="4" t="str">
        <f>IFERROR(INDEX(样本到样信息汇总统计!M$2:M$500,MATCH(331,样本到样信息汇总统计!$X$2:$X$500,0)),"")</f>
        <v/>
      </c>
      <c r="N332" s="4" t="str">
        <f>IFERROR(INDEX(样本到样信息汇总统计!N$2:N$500,MATCH(331,样本到样信息汇总统计!$X$2:$X$500,0)),"")</f>
        <v/>
      </c>
      <c r="O332" s="4" t="str">
        <f>IFERROR(INDEX(样本到样信息汇总统计!O$2:O$500,MATCH(331,样本到样信息汇总统计!$X$2:$X$500,0)),"")</f>
        <v/>
      </c>
      <c r="P332" s="4" t="str">
        <f>IFERROR(INDEX(样本到样信息汇总统计!P$2:P$500,MATCH(331,样本到样信息汇总统计!$X$2:$X$500,0)),"")</f>
        <v/>
      </c>
      <c r="Q332" s="4" t="str">
        <f>IFERROR(INDEX(样本到样信息汇总统计!Q$2:Q$500,MATCH(331,样本到样信息汇总统计!$X$2:$X$500,0)),"")</f>
        <v/>
      </c>
      <c r="R332" s="4" t="str">
        <f>IFERROR(INDEX(样本到样信息汇总统计!R$2:R$500,MATCH(331,样本到样信息汇总统计!$X$2:$X$500,0)),"")</f>
        <v/>
      </c>
      <c r="S332" s="4" t="str">
        <f>IFERROR(INDEX(样本到样信息汇总统计!S$2:S$500,MATCH(331,样本到样信息汇总统计!$X$2:$X$500,0)),"")</f>
        <v/>
      </c>
      <c r="T332" s="4" t="str">
        <f>IFERROR(INDEX(样本到样信息汇总统计!T$2:T$500,MATCH(331,样本到样信息汇总统计!$X$2:$X$500,0)),"")</f>
        <v/>
      </c>
      <c r="U332" s="4" t="str">
        <f>IFERROR(INDEX(样本到样信息汇总统计!U$2:U$500,MATCH(331,样本到样信息汇总统计!$X$2:$X$500,0)),"")</f>
        <v/>
      </c>
      <c r="V332" s="4" t="str">
        <f>IFERROR(INDEX(样本到样信息汇总统计!V$2:V$500,MATCH(331,样本到样信息汇总统计!$X$2:$X$500,0)),"")</f>
        <v/>
      </c>
      <c r="W332" s="4" t="str">
        <f>IFERROR(INDEX(样本到样信息汇总统计!W$2:W$500,MATCH(331,样本到样信息汇总统计!$X$2:$X$500,0)),"")</f>
        <v/>
      </c>
    </row>
    <row r="333" ht="14.5" spans="1:23">
      <c r="A333" s="8" t="str">
        <f>IFERROR(INDEX(样本到样信息汇总统计!A$2:A$500,MATCH(332,样本到样信息汇总统计!$X$2:$X$500,0)),"")</f>
        <v/>
      </c>
      <c r="B333" s="8" t="str">
        <f>IFERROR(INDEX(样本到样信息汇总统计!B$2:B$500,MATCH(332,样本到样信息汇总统计!$X$2:$X$500,0)),"")</f>
        <v/>
      </c>
      <c r="C333" s="8" t="str">
        <f>IFERROR(INDEX(样本到样信息汇总统计!C$2:C$500,MATCH(332,样本到样信息汇总统计!$X$2:$X$500,0)),"")</f>
        <v/>
      </c>
      <c r="D333" s="8" t="str">
        <f>IFERROR(INDEX(样本到样信息汇总统计!D$2:D$500,MATCH(332,样本到样信息汇总统计!$X$2:$X$500,0)),"")</f>
        <v/>
      </c>
      <c r="E333" s="8" t="str">
        <f>IFERROR(INDEX(样本到样信息汇总统计!E$2:E$500,MATCH(332,样本到样信息汇总统计!$X$2:$X$500,0)),"")</f>
        <v/>
      </c>
      <c r="F333" s="8" t="str">
        <f>IFERROR(INDEX(样本到样信息汇总统计!F$2:F$500,MATCH(332,样本到样信息汇总统计!$X$2:$X$500,0)),"")</f>
        <v/>
      </c>
      <c r="G333" s="8" t="str">
        <f>IFERROR(INDEX(样本到样信息汇总统计!G$2:G$500,MATCH(332,样本到样信息汇总统计!$X$2:$X$500,0)),"")</f>
        <v/>
      </c>
      <c r="H333" s="8" t="str">
        <f>IFERROR(INDEX(样本到样信息汇总统计!H$2:H$500,MATCH(332,样本到样信息汇总统计!$X$2:$X$500,0)),"")</f>
        <v/>
      </c>
      <c r="I333" s="8" t="str">
        <f>IFERROR(INDEX(样本到样信息汇总统计!I$2:I$500,MATCH(332,样本到样信息汇总统计!$X$2:$X$500,0)),"")</f>
        <v/>
      </c>
      <c r="J333" s="8" t="str">
        <f>IFERROR(INDEX(样本到样信息汇总统计!J$2:J$500,MATCH(332,样本到样信息汇总统计!$X$2:$X$500,0)),"")</f>
        <v/>
      </c>
      <c r="K333" s="15" t="str">
        <f>IFERROR(INDEX(样本到样信息汇总统计!K$2:K$500,MATCH(332,样本到样信息汇总统计!$X$2:$X$500,0)),"")</f>
        <v/>
      </c>
      <c r="L333" s="8" t="str">
        <f>IFERROR(INDEX(样本到样信息汇总统计!L$2:L$500,MATCH(332,样本到样信息汇总统计!$X$2:$X$500,0)),"")</f>
        <v/>
      </c>
      <c r="M333" s="8" t="str">
        <f>IFERROR(INDEX(样本到样信息汇总统计!M$2:M$500,MATCH(332,样本到样信息汇总统计!$X$2:$X$500,0)),"")</f>
        <v/>
      </c>
      <c r="N333" s="8" t="str">
        <f>IFERROR(INDEX(样本到样信息汇总统计!N$2:N$500,MATCH(332,样本到样信息汇总统计!$X$2:$X$500,0)),"")</f>
        <v/>
      </c>
      <c r="O333" s="8" t="str">
        <f>IFERROR(INDEX(样本到样信息汇总统计!O$2:O$500,MATCH(332,样本到样信息汇总统计!$X$2:$X$500,0)),"")</f>
        <v/>
      </c>
      <c r="P333" s="8" t="str">
        <f>IFERROR(INDEX(样本到样信息汇总统计!P$2:P$500,MATCH(332,样本到样信息汇总统计!$X$2:$X$500,0)),"")</f>
        <v/>
      </c>
      <c r="Q333" s="8" t="str">
        <f>IFERROR(INDEX(样本到样信息汇总统计!Q$2:Q$500,MATCH(332,样本到样信息汇总统计!$X$2:$X$500,0)),"")</f>
        <v/>
      </c>
      <c r="R333" s="8" t="str">
        <f>IFERROR(INDEX(样本到样信息汇总统计!R$2:R$500,MATCH(332,样本到样信息汇总统计!$X$2:$X$500,0)),"")</f>
        <v/>
      </c>
      <c r="S333" s="8" t="str">
        <f>IFERROR(INDEX(样本到样信息汇总统计!S$2:S$500,MATCH(332,样本到样信息汇总统计!$X$2:$X$500,0)),"")</f>
        <v/>
      </c>
      <c r="T333" s="8" t="str">
        <f>IFERROR(INDEX(样本到样信息汇总统计!T$2:T$500,MATCH(332,样本到样信息汇总统计!$X$2:$X$500,0)),"")</f>
        <v/>
      </c>
      <c r="U333" s="8" t="str">
        <f>IFERROR(INDEX(样本到样信息汇总统计!U$2:U$500,MATCH(332,样本到样信息汇总统计!$X$2:$X$500,0)),"")</f>
        <v/>
      </c>
      <c r="V333" s="8" t="str">
        <f>IFERROR(INDEX(样本到样信息汇总统计!V$2:V$500,MATCH(332,样本到样信息汇总统计!$X$2:$X$500,0)),"")</f>
        <v/>
      </c>
      <c r="W333" s="8" t="str">
        <f>IFERROR(INDEX(样本到样信息汇总统计!W$2:W$500,MATCH(332,样本到样信息汇总统计!$X$2:$X$500,0)),"")</f>
        <v/>
      </c>
    </row>
    <row r="334" ht="14.5" spans="1:23">
      <c r="A334" s="4" t="str">
        <f>IFERROR(INDEX(样本到样信息汇总统计!A$2:A$500,MATCH(333,样本到样信息汇总统计!$X$2:$X$500,0)),"")</f>
        <v/>
      </c>
      <c r="B334" s="4" t="str">
        <f>IFERROR(INDEX(样本到样信息汇总统计!B$2:B$500,MATCH(333,样本到样信息汇总统计!$X$2:$X$500,0)),"")</f>
        <v/>
      </c>
      <c r="C334" s="4" t="str">
        <f>IFERROR(INDEX(样本到样信息汇总统计!C$2:C$500,MATCH(333,样本到样信息汇总统计!$X$2:$X$500,0)),"")</f>
        <v/>
      </c>
      <c r="D334" s="4" t="str">
        <f>IFERROR(INDEX(样本到样信息汇总统计!D$2:D$500,MATCH(333,样本到样信息汇总统计!$X$2:$X$500,0)),"")</f>
        <v/>
      </c>
      <c r="E334" s="4" t="str">
        <f>IFERROR(INDEX(样本到样信息汇总统计!E$2:E$500,MATCH(333,样本到样信息汇总统计!$X$2:$X$500,0)),"")</f>
        <v/>
      </c>
      <c r="F334" s="4" t="str">
        <f>IFERROR(INDEX(样本到样信息汇总统计!F$2:F$500,MATCH(333,样本到样信息汇总统计!$X$2:$X$500,0)),"")</f>
        <v/>
      </c>
      <c r="G334" s="4" t="str">
        <f>IFERROR(INDEX(样本到样信息汇总统计!G$2:G$500,MATCH(333,样本到样信息汇总统计!$X$2:$X$500,0)),"")</f>
        <v/>
      </c>
      <c r="H334" s="4" t="str">
        <f>IFERROR(INDEX(样本到样信息汇总统计!H$2:H$500,MATCH(333,样本到样信息汇总统计!$X$2:$X$500,0)),"")</f>
        <v/>
      </c>
      <c r="I334" s="4" t="str">
        <f>IFERROR(INDEX(样本到样信息汇总统计!I$2:I$500,MATCH(333,样本到样信息汇总统计!$X$2:$X$500,0)),"")</f>
        <v/>
      </c>
      <c r="J334" s="4" t="str">
        <f>IFERROR(INDEX(样本到样信息汇总统计!J$2:J$500,MATCH(333,样本到样信息汇总统计!$X$2:$X$500,0)),"")</f>
        <v/>
      </c>
      <c r="K334" s="14" t="str">
        <f>IFERROR(INDEX(样本到样信息汇总统计!K$2:K$500,MATCH(333,样本到样信息汇总统计!$X$2:$X$500,0)),"")</f>
        <v/>
      </c>
      <c r="L334" s="4" t="str">
        <f>IFERROR(INDEX(样本到样信息汇总统计!L$2:L$500,MATCH(333,样本到样信息汇总统计!$X$2:$X$500,0)),"")</f>
        <v/>
      </c>
      <c r="M334" s="4" t="str">
        <f>IFERROR(INDEX(样本到样信息汇总统计!M$2:M$500,MATCH(333,样本到样信息汇总统计!$X$2:$X$500,0)),"")</f>
        <v/>
      </c>
      <c r="N334" s="4" t="str">
        <f>IFERROR(INDEX(样本到样信息汇总统计!N$2:N$500,MATCH(333,样本到样信息汇总统计!$X$2:$X$500,0)),"")</f>
        <v/>
      </c>
      <c r="O334" s="4" t="str">
        <f>IFERROR(INDEX(样本到样信息汇总统计!O$2:O$500,MATCH(333,样本到样信息汇总统计!$X$2:$X$500,0)),"")</f>
        <v/>
      </c>
      <c r="P334" s="4" t="str">
        <f>IFERROR(INDEX(样本到样信息汇总统计!P$2:P$500,MATCH(333,样本到样信息汇总统计!$X$2:$X$500,0)),"")</f>
        <v/>
      </c>
      <c r="Q334" s="4" t="str">
        <f>IFERROR(INDEX(样本到样信息汇总统计!Q$2:Q$500,MATCH(333,样本到样信息汇总统计!$X$2:$X$500,0)),"")</f>
        <v/>
      </c>
      <c r="R334" s="4" t="str">
        <f>IFERROR(INDEX(样本到样信息汇总统计!R$2:R$500,MATCH(333,样本到样信息汇总统计!$X$2:$X$500,0)),"")</f>
        <v/>
      </c>
      <c r="S334" s="4" t="str">
        <f>IFERROR(INDEX(样本到样信息汇总统计!S$2:S$500,MATCH(333,样本到样信息汇总统计!$X$2:$X$500,0)),"")</f>
        <v/>
      </c>
      <c r="T334" s="4" t="str">
        <f>IFERROR(INDEX(样本到样信息汇总统计!T$2:T$500,MATCH(333,样本到样信息汇总统计!$X$2:$X$500,0)),"")</f>
        <v/>
      </c>
      <c r="U334" s="4" t="str">
        <f>IFERROR(INDEX(样本到样信息汇总统计!U$2:U$500,MATCH(333,样本到样信息汇总统计!$X$2:$X$500,0)),"")</f>
        <v/>
      </c>
      <c r="V334" s="4" t="str">
        <f>IFERROR(INDEX(样本到样信息汇总统计!V$2:V$500,MATCH(333,样本到样信息汇总统计!$X$2:$X$500,0)),"")</f>
        <v/>
      </c>
      <c r="W334" s="4" t="str">
        <f>IFERROR(INDEX(样本到样信息汇总统计!W$2:W$500,MATCH(333,样本到样信息汇总统计!$X$2:$X$500,0)),"")</f>
        <v/>
      </c>
    </row>
    <row r="335" ht="14.5" spans="1:23">
      <c r="A335" s="8" t="str">
        <f>IFERROR(INDEX(样本到样信息汇总统计!A$2:A$500,MATCH(334,样本到样信息汇总统计!$X$2:$X$500,0)),"")</f>
        <v/>
      </c>
      <c r="B335" s="8" t="str">
        <f>IFERROR(INDEX(样本到样信息汇总统计!B$2:B$500,MATCH(334,样本到样信息汇总统计!$X$2:$X$500,0)),"")</f>
        <v/>
      </c>
      <c r="C335" s="8" t="str">
        <f>IFERROR(INDEX(样本到样信息汇总统计!C$2:C$500,MATCH(334,样本到样信息汇总统计!$X$2:$X$500,0)),"")</f>
        <v/>
      </c>
      <c r="D335" s="8" t="str">
        <f>IFERROR(INDEX(样本到样信息汇总统计!D$2:D$500,MATCH(334,样本到样信息汇总统计!$X$2:$X$500,0)),"")</f>
        <v/>
      </c>
      <c r="E335" s="8" t="str">
        <f>IFERROR(INDEX(样本到样信息汇总统计!E$2:E$500,MATCH(334,样本到样信息汇总统计!$X$2:$X$500,0)),"")</f>
        <v/>
      </c>
      <c r="F335" s="8" t="str">
        <f>IFERROR(INDEX(样本到样信息汇总统计!F$2:F$500,MATCH(334,样本到样信息汇总统计!$X$2:$X$500,0)),"")</f>
        <v/>
      </c>
      <c r="G335" s="8" t="str">
        <f>IFERROR(INDEX(样本到样信息汇总统计!G$2:G$500,MATCH(334,样本到样信息汇总统计!$X$2:$X$500,0)),"")</f>
        <v/>
      </c>
      <c r="H335" s="8" t="str">
        <f>IFERROR(INDEX(样本到样信息汇总统计!H$2:H$500,MATCH(334,样本到样信息汇总统计!$X$2:$X$500,0)),"")</f>
        <v/>
      </c>
      <c r="I335" s="8" t="str">
        <f>IFERROR(INDEX(样本到样信息汇总统计!I$2:I$500,MATCH(334,样本到样信息汇总统计!$X$2:$X$500,0)),"")</f>
        <v/>
      </c>
      <c r="J335" s="8" t="str">
        <f>IFERROR(INDEX(样本到样信息汇总统计!J$2:J$500,MATCH(334,样本到样信息汇总统计!$X$2:$X$500,0)),"")</f>
        <v/>
      </c>
      <c r="K335" s="15" t="str">
        <f>IFERROR(INDEX(样本到样信息汇总统计!K$2:K$500,MATCH(334,样本到样信息汇总统计!$X$2:$X$500,0)),"")</f>
        <v/>
      </c>
      <c r="L335" s="8" t="str">
        <f>IFERROR(INDEX(样本到样信息汇总统计!L$2:L$500,MATCH(334,样本到样信息汇总统计!$X$2:$X$500,0)),"")</f>
        <v/>
      </c>
      <c r="M335" s="8" t="str">
        <f>IFERROR(INDEX(样本到样信息汇总统计!M$2:M$500,MATCH(334,样本到样信息汇总统计!$X$2:$X$500,0)),"")</f>
        <v/>
      </c>
      <c r="N335" s="8" t="str">
        <f>IFERROR(INDEX(样本到样信息汇总统计!N$2:N$500,MATCH(334,样本到样信息汇总统计!$X$2:$X$500,0)),"")</f>
        <v/>
      </c>
      <c r="O335" s="8" t="str">
        <f>IFERROR(INDEX(样本到样信息汇总统计!O$2:O$500,MATCH(334,样本到样信息汇总统计!$X$2:$X$500,0)),"")</f>
        <v/>
      </c>
      <c r="P335" s="8" t="str">
        <f>IFERROR(INDEX(样本到样信息汇总统计!P$2:P$500,MATCH(334,样本到样信息汇总统计!$X$2:$X$500,0)),"")</f>
        <v/>
      </c>
      <c r="Q335" s="8" t="str">
        <f>IFERROR(INDEX(样本到样信息汇总统计!Q$2:Q$500,MATCH(334,样本到样信息汇总统计!$X$2:$X$500,0)),"")</f>
        <v/>
      </c>
      <c r="R335" s="8" t="str">
        <f>IFERROR(INDEX(样本到样信息汇总统计!R$2:R$500,MATCH(334,样本到样信息汇总统计!$X$2:$X$500,0)),"")</f>
        <v/>
      </c>
      <c r="S335" s="8" t="str">
        <f>IFERROR(INDEX(样本到样信息汇总统计!S$2:S$500,MATCH(334,样本到样信息汇总统计!$X$2:$X$500,0)),"")</f>
        <v/>
      </c>
      <c r="T335" s="8" t="str">
        <f>IFERROR(INDEX(样本到样信息汇总统计!T$2:T$500,MATCH(334,样本到样信息汇总统计!$X$2:$X$500,0)),"")</f>
        <v/>
      </c>
      <c r="U335" s="8" t="str">
        <f>IFERROR(INDEX(样本到样信息汇总统计!U$2:U$500,MATCH(334,样本到样信息汇总统计!$X$2:$X$500,0)),"")</f>
        <v/>
      </c>
      <c r="V335" s="8" t="str">
        <f>IFERROR(INDEX(样本到样信息汇总统计!V$2:V$500,MATCH(334,样本到样信息汇总统计!$X$2:$X$500,0)),"")</f>
        <v/>
      </c>
      <c r="W335" s="8" t="str">
        <f>IFERROR(INDEX(样本到样信息汇总统计!W$2:W$500,MATCH(334,样本到样信息汇总统计!$X$2:$X$500,0)),"")</f>
        <v/>
      </c>
    </row>
    <row r="336" ht="14.5" spans="1:23">
      <c r="A336" s="4" t="str">
        <f>IFERROR(INDEX(样本到样信息汇总统计!A$2:A$500,MATCH(335,样本到样信息汇总统计!$X$2:$X$500,0)),"")</f>
        <v/>
      </c>
      <c r="B336" s="4" t="str">
        <f>IFERROR(INDEX(样本到样信息汇总统计!B$2:B$500,MATCH(335,样本到样信息汇总统计!$X$2:$X$500,0)),"")</f>
        <v/>
      </c>
      <c r="C336" s="4" t="str">
        <f>IFERROR(INDEX(样本到样信息汇总统计!C$2:C$500,MATCH(335,样本到样信息汇总统计!$X$2:$X$500,0)),"")</f>
        <v/>
      </c>
      <c r="D336" s="4" t="str">
        <f>IFERROR(INDEX(样本到样信息汇总统计!D$2:D$500,MATCH(335,样本到样信息汇总统计!$X$2:$X$500,0)),"")</f>
        <v/>
      </c>
      <c r="E336" s="4" t="str">
        <f>IFERROR(INDEX(样本到样信息汇总统计!E$2:E$500,MATCH(335,样本到样信息汇总统计!$X$2:$X$500,0)),"")</f>
        <v/>
      </c>
      <c r="F336" s="4" t="str">
        <f>IFERROR(INDEX(样本到样信息汇总统计!F$2:F$500,MATCH(335,样本到样信息汇总统计!$X$2:$X$500,0)),"")</f>
        <v/>
      </c>
      <c r="G336" s="4" t="str">
        <f>IFERROR(INDEX(样本到样信息汇总统计!G$2:G$500,MATCH(335,样本到样信息汇总统计!$X$2:$X$500,0)),"")</f>
        <v/>
      </c>
      <c r="H336" s="4" t="str">
        <f>IFERROR(INDEX(样本到样信息汇总统计!H$2:H$500,MATCH(335,样本到样信息汇总统计!$X$2:$X$500,0)),"")</f>
        <v/>
      </c>
      <c r="I336" s="4" t="str">
        <f>IFERROR(INDEX(样本到样信息汇总统计!I$2:I$500,MATCH(335,样本到样信息汇总统计!$X$2:$X$500,0)),"")</f>
        <v/>
      </c>
      <c r="J336" s="4" t="str">
        <f>IFERROR(INDEX(样本到样信息汇总统计!J$2:J$500,MATCH(335,样本到样信息汇总统计!$X$2:$X$500,0)),"")</f>
        <v/>
      </c>
      <c r="K336" s="14" t="str">
        <f>IFERROR(INDEX(样本到样信息汇总统计!K$2:K$500,MATCH(335,样本到样信息汇总统计!$X$2:$X$500,0)),"")</f>
        <v/>
      </c>
      <c r="L336" s="4" t="str">
        <f>IFERROR(INDEX(样本到样信息汇总统计!L$2:L$500,MATCH(335,样本到样信息汇总统计!$X$2:$X$500,0)),"")</f>
        <v/>
      </c>
      <c r="M336" s="4" t="str">
        <f>IFERROR(INDEX(样本到样信息汇总统计!M$2:M$500,MATCH(335,样本到样信息汇总统计!$X$2:$X$500,0)),"")</f>
        <v/>
      </c>
      <c r="N336" s="4" t="str">
        <f>IFERROR(INDEX(样本到样信息汇总统计!N$2:N$500,MATCH(335,样本到样信息汇总统计!$X$2:$X$500,0)),"")</f>
        <v/>
      </c>
      <c r="O336" s="4" t="str">
        <f>IFERROR(INDEX(样本到样信息汇总统计!O$2:O$500,MATCH(335,样本到样信息汇总统计!$X$2:$X$500,0)),"")</f>
        <v/>
      </c>
      <c r="P336" s="4" t="str">
        <f>IFERROR(INDEX(样本到样信息汇总统计!P$2:P$500,MATCH(335,样本到样信息汇总统计!$X$2:$X$500,0)),"")</f>
        <v/>
      </c>
      <c r="Q336" s="4" t="str">
        <f>IFERROR(INDEX(样本到样信息汇总统计!Q$2:Q$500,MATCH(335,样本到样信息汇总统计!$X$2:$X$500,0)),"")</f>
        <v/>
      </c>
      <c r="R336" s="4" t="str">
        <f>IFERROR(INDEX(样本到样信息汇总统计!R$2:R$500,MATCH(335,样本到样信息汇总统计!$X$2:$X$500,0)),"")</f>
        <v/>
      </c>
      <c r="S336" s="4" t="str">
        <f>IFERROR(INDEX(样本到样信息汇总统计!S$2:S$500,MATCH(335,样本到样信息汇总统计!$X$2:$X$500,0)),"")</f>
        <v/>
      </c>
      <c r="T336" s="4" t="str">
        <f>IFERROR(INDEX(样本到样信息汇总统计!T$2:T$500,MATCH(335,样本到样信息汇总统计!$X$2:$X$500,0)),"")</f>
        <v/>
      </c>
      <c r="U336" s="4" t="str">
        <f>IFERROR(INDEX(样本到样信息汇总统计!U$2:U$500,MATCH(335,样本到样信息汇总统计!$X$2:$X$500,0)),"")</f>
        <v/>
      </c>
      <c r="V336" s="4" t="str">
        <f>IFERROR(INDEX(样本到样信息汇总统计!V$2:V$500,MATCH(335,样本到样信息汇总统计!$X$2:$X$500,0)),"")</f>
        <v/>
      </c>
      <c r="W336" s="4" t="str">
        <f>IFERROR(INDEX(样本到样信息汇总统计!W$2:W$500,MATCH(335,样本到样信息汇总统计!$X$2:$X$500,0)),"")</f>
        <v/>
      </c>
    </row>
    <row r="337" ht="14.5" spans="1:23">
      <c r="A337" s="8" t="str">
        <f>IFERROR(INDEX(样本到样信息汇总统计!A$2:A$500,MATCH(336,样本到样信息汇总统计!$X$2:$X$500,0)),"")</f>
        <v/>
      </c>
      <c r="B337" s="8" t="str">
        <f>IFERROR(INDEX(样本到样信息汇总统计!B$2:B$500,MATCH(336,样本到样信息汇总统计!$X$2:$X$500,0)),"")</f>
        <v/>
      </c>
      <c r="C337" s="8" t="str">
        <f>IFERROR(INDEX(样本到样信息汇总统计!C$2:C$500,MATCH(336,样本到样信息汇总统计!$X$2:$X$500,0)),"")</f>
        <v/>
      </c>
      <c r="D337" s="8" t="str">
        <f>IFERROR(INDEX(样本到样信息汇总统计!D$2:D$500,MATCH(336,样本到样信息汇总统计!$X$2:$X$500,0)),"")</f>
        <v/>
      </c>
      <c r="E337" s="8" t="str">
        <f>IFERROR(INDEX(样本到样信息汇总统计!E$2:E$500,MATCH(336,样本到样信息汇总统计!$X$2:$X$500,0)),"")</f>
        <v/>
      </c>
      <c r="F337" s="8" t="str">
        <f>IFERROR(INDEX(样本到样信息汇总统计!F$2:F$500,MATCH(336,样本到样信息汇总统计!$X$2:$X$500,0)),"")</f>
        <v/>
      </c>
      <c r="G337" s="8" t="str">
        <f>IFERROR(INDEX(样本到样信息汇总统计!G$2:G$500,MATCH(336,样本到样信息汇总统计!$X$2:$X$500,0)),"")</f>
        <v/>
      </c>
      <c r="H337" s="8" t="str">
        <f>IFERROR(INDEX(样本到样信息汇总统计!H$2:H$500,MATCH(336,样本到样信息汇总统计!$X$2:$X$500,0)),"")</f>
        <v/>
      </c>
      <c r="I337" s="8" t="str">
        <f>IFERROR(INDEX(样本到样信息汇总统计!I$2:I$500,MATCH(336,样本到样信息汇总统计!$X$2:$X$500,0)),"")</f>
        <v/>
      </c>
      <c r="J337" s="8" t="str">
        <f>IFERROR(INDEX(样本到样信息汇总统计!J$2:J$500,MATCH(336,样本到样信息汇总统计!$X$2:$X$500,0)),"")</f>
        <v/>
      </c>
      <c r="K337" s="15" t="str">
        <f>IFERROR(INDEX(样本到样信息汇总统计!K$2:K$500,MATCH(336,样本到样信息汇总统计!$X$2:$X$500,0)),"")</f>
        <v/>
      </c>
      <c r="L337" s="8" t="str">
        <f>IFERROR(INDEX(样本到样信息汇总统计!L$2:L$500,MATCH(336,样本到样信息汇总统计!$X$2:$X$500,0)),"")</f>
        <v/>
      </c>
      <c r="M337" s="8" t="str">
        <f>IFERROR(INDEX(样本到样信息汇总统计!M$2:M$500,MATCH(336,样本到样信息汇总统计!$X$2:$X$500,0)),"")</f>
        <v/>
      </c>
      <c r="N337" s="8" t="str">
        <f>IFERROR(INDEX(样本到样信息汇总统计!N$2:N$500,MATCH(336,样本到样信息汇总统计!$X$2:$X$500,0)),"")</f>
        <v/>
      </c>
      <c r="O337" s="8" t="str">
        <f>IFERROR(INDEX(样本到样信息汇总统计!O$2:O$500,MATCH(336,样本到样信息汇总统计!$X$2:$X$500,0)),"")</f>
        <v/>
      </c>
      <c r="P337" s="8" t="str">
        <f>IFERROR(INDEX(样本到样信息汇总统计!P$2:P$500,MATCH(336,样本到样信息汇总统计!$X$2:$X$500,0)),"")</f>
        <v/>
      </c>
      <c r="Q337" s="8" t="str">
        <f>IFERROR(INDEX(样本到样信息汇总统计!Q$2:Q$500,MATCH(336,样本到样信息汇总统计!$X$2:$X$500,0)),"")</f>
        <v/>
      </c>
      <c r="R337" s="8" t="str">
        <f>IFERROR(INDEX(样本到样信息汇总统计!R$2:R$500,MATCH(336,样本到样信息汇总统计!$X$2:$X$500,0)),"")</f>
        <v/>
      </c>
      <c r="S337" s="8" t="str">
        <f>IFERROR(INDEX(样本到样信息汇总统计!S$2:S$500,MATCH(336,样本到样信息汇总统计!$X$2:$X$500,0)),"")</f>
        <v/>
      </c>
      <c r="T337" s="8" t="str">
        <f>IFERROR(INDEX(样本到样信息汇总统计!T$2:T$500,MATCH(336,样本到样信息汇总统计!$X$2:$X$500,0)),"")</f>
        <v/>
      </c>
      <c r="U337" s="8" t="str">
        <f>IFERROR(INDEX(样本到样信息汇总统计!U$2:U$500,MATCH(336,样本到样信息汇总统计!$X$2:$X$500,0)),"")</f>
        <v/>
      </c>
      <c r="V337" s="8" t="str">
        <f>IFERROR(INDEX(样本到样信息汇总统计!V$2:V$500,MATCH(336,样本到样信息汇总统计!$X$2:$X$500,0)),"")</f>
        <v/>
      </c>
      <c r="W337" s="8" t="str">
        <f>IFERROR(INDEX(样本到样信息汇总统计!W$2:W$500,MATCH(336,样本到样信息汇总统计!$X$2:$X$500,0)),"")</f>
        <v/>
      </c>
    </row>
    <row r="338" ht="14.5" spans="1:23">
      <c r="A338" s="4" t="str">
        <f>IFERROR(INDEX(样本到样信息汇总统计!A$2:A$500,MATCH(337,样本到样信息汇总统计!$X$2:$X$500,0)),"")</f>
        <v/>
      </c>
      <c r="B338" s="4" t="str">
        <f>IFERROR(INDEX(样本到样信息汇总统计!B$2:B$500,MATCH(337,样本到样信息汇总统计!$X$2:$X$500,0)),"")</f>
        <v/>
      </c>
      <c r="C338" s="4" t="str">
        <f>IFERROR(INDEX(样本到样信息汇总统计!C$2:C$500,MATCH(337,样本到样信息汇总统计!$X$2:$X$500,0)),"")</f>
        <v/>
      </c>
      <c r="D338" s="4" t="str">
        <f>IFERROR(INDEX(样本到样信息汇总统计!D$2:D$500,MATCH(337,样本到样信息汇总统计!$X$2:$X$500,0)),"")</f>
        <v/>
      </c>
      <c r="E338" s="4" t="str">
        <f>IFERROR(INDEX(样本到样信息汇总统计!E$2:E$500,MATCH(337,样本到样信息汇总统计!$X$2:$X$500,0)),"")</f>
        <v/>
      </c>
      <c r="F338" s="4" t="str">
        <f>IFERROR(INDEX(样本到样信息汇总统计!F$2:F$500,MATCH(337,样本到样信息汇总统计!$X$2:$X$500,0)),"")</f>
        <v/>
      </c>
      <c r="G338" s="4" t="str">
        <f>IFERROR(INDEX(样本到样信息汇总统计!G$2:G$500,MATCH(337,样本到样信息汇总统计!$X$2:$X$500,0)),"")</f>
        <v/>
      </c>
      <c r="H338" s="4" t="str">
        <f>IFERROR(INDEX(样本到样信息汇总统计!H$2:H$500,MATCH(337,样本到样信息汇总统计!$X$2:$X$500,0)),"")</f>
        <v/>
      </c>
      <c r="I338" s="4" t="str">
        <f>IFERROR(INDEX(样本到样信息汇总统计!I$2:I$500,MATCH(337,样本到样信息汇总统计!$X$2:$X$500,0)),"")</f>
        <v/>
      </c>
      <c r="J338" s="4" t="str">
        <f>IFERROR(INDEX(样本到样信息汇总统计!J$2:J$500,MATCH(337,样本到样信息汇总统计!$X$2:$X$500,0)),"")</f>
        <v/>
      </c>
      <c r="K338" s="14" t="str">
        <f>IFERROR(INDEX(样本到样信息汇总统计!K$2:K$500,MATCH(337,样本到样信息汇总统计!$X$2:$X$500,0)),"")</f>
        <v/>
      </c>
      <c r="L338" s="4" t="str">
        <f>IFERROR(INDEX(样本到样信息汇总统计!L$2:L$500,MATCH(337,样本到样信息汇总统计!$X$2:$X$500,0)),"")</f>
        <v/>
      </c>
      <c r="M338" s="4" t="str">
        <f>IFERROR(INDEX(样本到样信息汇总统计!M$2:M$500,MATCH(337,样本到样信息汇总统计!$X$2:$X$500,0)),"")</f>
        <v/>
      </c>
      <c r="N338" s="4" t="str">
        <f>IFERROR(INDEX(样本到样信息汇总统计!N$2:N$500,MATCH(337,样本到样信息汇总统计!$X$2:$X$500,0)),"")</f>
        <v/>
      </c>
      <c r="O338" s="4" t="str">
        <f>IFERROR(INDEX(样本到样信息汇总统计!O$2:O$500,MATCH(337,样本到样信息汇总统计!$X$2:$X$500,0)),"")</f>
        <v/>
      </c>
      <c r="P338" s="4" t="str">
        <f>IFERROR(INDEX(样本到样信息汇总统计!P$2:P$500,MATCH(337,样本到样信息汇总统计!$X$2:$X$500,0)),"")</f>
        <v/>
      </c>
      <c r="Q338" s="4" t="str">
        <f>IFERROR(INDEX(样本到样信息汇总统计!Q$2:Q$500,MATCH(337,样本到样信息汇总统计!$X$2:$X$500,0)),"")</f>
        <v/>
      </c>
      <c r="R338" s="4" t="str">
        <f>IFERROR(INDEX(样本到样信息汇总统计!R$2:R$500,MATCH(337,样本到样信息汇总统计!$X$2:$X$500,0)),"")</f>
        <v/>
      </c>
      <c r="S338" s="4" t="str">
        <f>IFERROR(INDEX(样本到样信息汇总统计!S$2:S$500,MATCH(337,样本到样信息汇总统计!$X$2:$X$500,0)),"")</f>
        <v/>
      </c>
      <c r="T338" s="4" t="str">
        <f>IFERROR(INDEX(样本到样信息汇总统计!T$2:T$500,MATCH(337,样本到样信息汇总统计!$X$2:$X$500,0)),"")</f>
        <v/>
      </c>
      <c r="U338" s="4" t="str">
        <f>IFERROR(INDEX(样本到样信息汇总统计!U$2:U$500,MATCH(337,样本到样信息汇总统计!$X$2:$X$500,0)),"")</f>
        <v/>
      </c>
      <c r="V338" s="4" t="str">
        <f>IFERROR(INDEX(样本到样信息汇总统计!V$2:V$500,MATCH(337,样本到样信息汇总统计!$X$2:$X$500,0)),"")</f>
        <v/>
      </c>
      <c r="W338" s="4" t="str">
        <f>IFERROR(INDEX(样本到样信息汇总统计!W$2:W$500,MATCH(337,样本到样信息汇总统计!$X$2:$X$500,0)),"")</f>
        <v/>
      </c>
    </row>
    <row r="339" ht="14.5" spans="1:23">
      <c r="A339" s="8" t="str">
        <f>IFERROR(INDEX(样本到样信息汇总统计!A$2:A$500,MATCH(338,样本到样信息汇总统计!$X$2:$X$500,0)),"")</f>
        <v/>
      </c>
      <c r="B339" s="8" t="str">
        <f>IFERROR(INDEX(样本到样信息汇总统计!B$2:B$500,MATCH(338,样本到样信息汇总统计!$X$2:$X$500,0)),"")</f>
        <v/>
      </c>
      <c r="C339" s="8" t="str">
        <f>IFERROR(INDEX(样本到样信息汇总统计!C$2:C$500,MATCH(338,样本到样信息汇总统计!$X$2:$X$500,0)),"")</f>
        <v/>
      </c>
      <c r="D339" s="8" t="str">
        <f>IFERROR(INDEX(样本到样信息汇总统计!D$2:D$500,MATCH(338,样本到样信息汇总统计!$X$2:$X$500,0)),"")</f>
        <v/>
      </c>
      <c r="E339" s="8" t="str">
        <f>IFERROR(INDEX(样本到样信息汇总统计!E$2:E$500,MATCH(338,样本到样信息汇总统计!$X$2:$X$500,0)),"")</f>
        <v/>
      </c>
      <c r="F339" s="8" t="str">
        <f>IFERROR(INDEX(样本到样信息汇总统计!F$2:F$500,MATCH(338,样本到样信息汇总统计!$X$2:$X$500,0)),"")</f>
        <v/>
      </c>
      <c r="G339" s="8" t="str">
        <f>IFERROR(INDEX(样本到样信息汇总统计!G$2:G$500,MATCH(338,样本到样信息汇总统计!$X$2:$X$500,0)),"")</f>
        <v/>
      </c>
      <c r="H339" s="8" t="str">
        <f>IFERROR(INDEX(样本到样信息汇总统计!H$2:H$500,MATCH(338,样本到样信息汇总统计!$X$2:$X$500,0)),"")</f>
        <v/>
      </c>
      <c r="I339" s="8" t="str">
        <f>IFERROR(INDEX(样本到样信息汇总统计!I$2:I$500,MATCH(338,样本到样信息汇总统计!$X$2:$X$500,0)),"")</f>
        <v/>
      </c>
      <c r="J339" s="8" t="str">
        <f>IFERROR(INDEX(样本到样信息汇总统计!J$2:J$500,MATCH(338,样本到样信息汇总统计!$X$2:$X$500,0)),"")</f>
        <v/>
      </c>
      <c r="K339" s="15" t="str">
        <f>IFERROR(INDEX(样本到样信息汇总统计!K$2:K$500,MATCH(338,样本到样信息汇总统计!$X$2:$X$500,0)),"")</f>
        <v/>
      </c>
      <c r="L339" s="8" t="str">
        <f>IFERROR(INDEX(样本到样信息汇总统计!L$2:L$500,MATCH(338,样本到样信息汇总统计!$X$2:$X$500,0)),"")</f>
        <v/>
      </c>
      <c r="M339" s="8" t="str">
        <f>IFERROR(INDEX(样本到样信息汇总统计!M$2:M$500,MATCH(338,样本到样信息汇总统计!$X$2:$X$500,0)),"")</f>
        <v/>
      </c>
      <c r="N339" s="8" t="str">
        <f>IFERROR(INDEX(样本到样信息汇总统计!N$2:N$500,MATCH(338,样本到样信息汇总统计!$X$2:$X$500,0)),"")</f>
        <v/>
      </c>
      <c r="O339" s="8" t="str">
        <f>IFERROR(INDEX(样本到样信息汇总统计!O$2:O$500,MATCH(338,样本到样信息汇总统计!$X$2:$X$500,0)),"")</f>
        <v/>
      </c>
      <c r="P339" s="8" t="str">
        <f>IFERROR(INDEX(样本到样信息汇总统计!P$2:P$500,MATCH(338,样本到样信息汇总统计!$X$2:$X$500,0)),"")</f>
        <v/>
      </c>
      <c r="Q339" s="8" t="str">
        <f>IFERROR(INDEX(样本到样信息汇总统计!Q$2:Q$500,MATCH(338,样本到样信息汇总统计!$X$2:$X$500,0)),"")</f>
        <v/>
      </c>
      <c r="R339" s="8" t="str">
        <f>IFERROR(INDEX(样本到样信息汇总统计!R$2:R$500,MATCH(338,样本到样信息汇总统计!$X$2:$X$500,0)),"")</f>
        <v/>
      </c>
      <c r="S339" s="8" t="str">
        <f>IFERROR(INDEX(样本到样信息汇总统计!S$2:S$500,MATCH(338,样本到样信息汇总统计!$X$2:$X$500,0)),"")</f>
        <v/>
      </c>
      <c r="T339" s="8" t="str">
        <f>IFERROR(INDEX(样本到样信息汇总统计!T$2:T$500,MATCH(338,样本到样信息汇总统计!$X$2:$X$500,0)),"")</f>
        <v/>
      </c>
      <c r="U339" s="8" t="str">
        <f>IFERROR(INDEX(样本到样信息汇总统计!U$2:U$500,MATCH(338,样本到样信息汇总统计!$X$2:$X$500,0)),"")</f>
        <v/>
      </c>
      <c r="V339" s="8" t="str">
        <f>IFERROR(INDEX(样本到样信息汇总统计!V$2:V$500,MATCH(338,样本到样信息汇总统计!$X$2:$X$500,0)),"")</f>
        <v/>
      </c>
      <c r="W339" s="8" t="str">
        <f>IFERROR(INDEX(样本到样信息汇总统计!W$2:W$500,MATCH(338,样本到样信息汇总统计!$X$2:$X$500,0)),"")</f>
        <v/>
      </c>
    </row>
    <row r="340" ht="14.5" spans="1:23">
      <c r="A340" s="4" t="str">
        <f>IFERROR(INDEX(样本到样信息汇总统计!A$2:A$500,MATCH(339,样本到样信息汇总统计!$X$2:$X$500,0)),"")</f>
        <v/>
      </c>
      <c r="B340" s="4" t="str">
        <f>IFERROR(INDEX(样本到样信息汇总统计!B$2:B$500,MATCH(339,样本到样信息汇总统计!$X$2:$X$500,0)),"")</f>
        <v/>
      </c>
      <c r="C340" s="4" t="str">
        <f>IFERROR(INDEX(样本到样信息汇总统计!C$2:C$500,MATCH(339,样本到样信息汇总统计!$X$2:$X$500,0)),"")</f>
        <v/>
      </c>
      <c r="D340" s="4" t="str">
        <f>IFERROR(INDEX(样本到样信息汇总统计!D$2:D$500,MATCH(339,样本到样信息汇总统计!$X$2:$X$500,0)),"")</f>
        <v/>
      </c>
      <c r="E340" s="4" t="str">
        <f>IFERROR(INDEX(样本到样信息汇总统计!E$2:E$500,MATCH(339,样本到样信息汇总统计!$X$2:$X$500,0)),"")</f>
        <v/>
      </c>
      <c r="F340" s="4" t="str">
        <f>IFERROR(INDEX(样本到样信息汇总统计!F$2:F$500,MATCH(339,样本到样信息汇总统计!$X$2:$X$500,0)),"")</f>
        <v/>
      </c>
      <c r="G340" s="4" t="str">
        <f>IFERROR(INDEX(样本到样信息汇总统计!G$2:G$500,MATCH(339,样本到样信息汇总统计!$X$2:$X$500,0)),"")</f>
        <v/>
      </c>
      <c r="H340" s="4" t="str">
        <f>IFERROR(INDEX(样本到样信息汇总统计!H$2:H$500,MATCH(339,样本到样信息汇总统计!$X$2:$X$500,0)),"")</f>
        <v/>
      </c>
      <c r="I340" s="4" t="str">
        <f>IFERROR(INDEX(样本到样信息汇总统计!I$2:I$500,MATCH(339,样本到样信息汇总统计!$X$2:$X$500,0)),"")</f>
        <v/>
      </c>
      <c r="J340" s="4" t="str">
        <f>IFERROR(INDEX(样本到样信息汇总统计!J$2:J$500,MATCH(339,样本到样信息汇总统计!$X$2:$X$500,0)),"")</f>
        <v/>
      </c>
      <c r="K340" s="14" t="str">
        <f>IFERROR(INDEX(样本到样信息汇总统计!K$2:K$500,MATCH(339,样本到样信息汇总统计!$X$2:$X$500,0)),"")</f>
        <v/>
      </c>
      <c r="L340" s="4" t="str">
        <f>IFERROR(INDEX(样本到样信息汇总统计!L$2:L$500,MATCH(339,样本到样信息汇总统计!$X$2:$X$500,0)),"")</f>
        <v/>
      </c>
      <c r="M340" s="4" t="str">
        <f>IFERROR(INDEX(样本到样信息汇总统计!M$2:M$500,MATCH(339,样本到样信息汇总统计!$X$2:$X$500,0)),"")</f>
        <v/>
      </c>
      <c r="N340" s="4" t="str">
        <f>IFERROR(INDEX(样本到样信息汇总统计!N$2:N$500,MATCH(339,样本到样信息汇总统计!$X$2:$X$500,0)),"")</f>
        <v/>
      </c>
      <c r="O340" s="4" t="str">
        <f>IFERROR(INDEX(样本到样信息汇总统计!O$2:O$500,MATCH(339,样本到样信息汇总统计!$X$2:$X$500,0)),"")</f>
        <v/>
      </c>
      <c r="P340" s="4" t="str">
        <f>IFERROR(INDEX(样本到样信息汇总统计!P$2:P$500,MATCH(339,样本到样信息汇总统计!$X$2:$X$500,0)),"")</f>
        <v/>
      </c>
      <c r="Q340" s="4" t="str">
        <f>IFERROR(INDEX(样本到样信息汇总统计!Q$2:Q$500,MATCH(339,样本到样信息汇总统计!$X$2:$X$500,0)),"")</f>
        <v/>
      </c>
      <c r="R340" s="4" t="str">
        <f>IFERROR(INDEX(样本到样信息汇总统计!R$2:R$500,MATCH(339,样本到样信息汇总统计!$X$2:$X$500,0)),"")</f>
        <v/>
      </c>
      <c r="S340" s="4" t="str">
        <f>IFERROR(INDEX(样本到样信息汇总统计!S$2:S$500,MATCH(339,样本到样信息汇总统计!$X$2:$X$500,0)),"")</f>
        <v/>
      </c>
      <c r="T340" s="4" t="str">
        <f>IFERROR(INDEX(样本到样信息汇总统计!T$2:T$500,MATCH(339,样本到样信息汇总统计!$X$2:$X$500,0)),"")</f>
        <v/>
      </c>
      <c r="U340" s="4" t="str">
        <f>IFERROR(INDEX(样本到样信息汇总统计!U$2:U$500,MATCH(339,样本到样信息汇总统计!$X$2:$X$500,0)),"")</f>
        <v/>
      </c>
      <c r="V340" s="4" t="str">
        <f>IFERROR(INDEX(样本到样信息汇总统计!V$2:V$500,MATCH(339,样本到样信息汇总统计!$X$2:$X$500,0)),"")</f>
        <v/>
      </c>
      <c r="W340" s="4" t="str">
        <f>IFERROR(INDEX(样本到样信息汇总统计!W$2:W$500,MATCH(339,样本到样信息汇总统计!$X$2:$X$500,0)),"")</f>
        <v/>
      </c>
    </row>
    <row r="341" ht="14.5" spans="1:23">
      <c r="A341" s="8" t="str">
        <f>IFERROR(INDEX(样本到样信息汇总统计!A$2:A$500,MATCH(340,样本到样信息汇总统计!$X$2:$X$500,0)),"")</f>
        <v/>
      </c>
      <c r="B341" s="8" t="str">
        <f>IFERROR(INDEX(样本到样信息汇总统计!B$2:B$500,MATCH(340,样本到样信息汇总统计!$X$2:$X$500,0)),"")</f>
        <v/>
      </c>
      <c r="C341" s="8" t="str">
        <f>IFERROR(INDEX(样本到样信息汇总统计!C$2:C$500,MATCH(340,样本到样信息汇总统计!$X$2:$X$500,0)),"")</f>
        <v/>
      </c>
      <c r="D341" s="8" t="str">
        <f>IFERROR(INDEX(样本到样信息汇总统计!D$2:D$500,MATCH(340,样本到样信息汇总统计!$X$2:$X$500,0)),"")</f>
        <v/>
      </c>
      <c r="E341" s="8" t="str">
        <f>IFERROR(INDEX(样本到样信息汇总统计!E$2:E$500,MATCH(340,样本到样信息汇总统计!$X$2:$X$500,0)),"")</f>
        <v/>
      </c>
      <c r="F341" s="8" t="str">
        <f>IFERROR(INDEX(样本到样信息汇总统计!F$2:F$500,MATCH(340,样本到样信息汇总统计!$X$2:$X$500,0)),"")</f>
        <v/>
      </c>
      <c r="G341" s="8" t="str">
        <f>IFERROR(INDEX(样本到样信息汇总统计!G$2:G$500,MATCH(340,样本到样信息汇总统计!$X$2:$X$500,0)),"")</f>
        <v/>
      </c>
      <c r="H341" s="8" t="str">
        <f>IFERROR(INDEX(样本到样信息汇总统计!H$2:H$500,MATCH(340,样本到样信息汇总统计!$X$2:$X$500,0)),"")</f>
        <v/>
      </c>
      <c r="I341" s="8" t="str">
        <f>IFERROR(INDEX(样本到样信息汇总统计!I$2:I$500,MATCH(340,样本到样信息汇总统计!$X$2:$X$500,0)),"")</f>
        <v/>
      </c>
      <c r="J341" s="8" t="str">
        <f>IFERROR(INDEX(样本到样信息汇总统计!J$2:J$500,MATCH(340,样本到样信息汇总统计!$X$2:$X$500,0)),"")</f>
        <v/>
      </c>
      <c r="K341" s="15" t="str">
        <f>IFERROR(INDEX(样本到样信息汇总统计!K$2:K$500,MATCH(340,样本到样信息汇总统计!$X$2:$X$500,0)),"")</f>
        <v/>
      </c>
      <c r="L341" s="8" t="str">
        <f>IFERROR(INDEX(样本到样信息汇总统计!L$2:L$500,MATCH(340,样本到样信息汇总统计!$X$2:$X$500,0)),"")</f>
        <v/>
      </c>
      <c r="M341" s="8" t="str">
        <f>IFERROR(INDEX(样本到样信息汇总统计!M$2:M$500,MATCH(340,样本到样信息汇总统计!$X$2:$X$500,0)),"")</f>
        <v/>
      </c>
      <c r="N341" s="8" t="str">
        <f>IFERROR(INDEX(样本到样信息汇总统计!N$2:N$500,MATCH(340,样本到样信息汇总统计!$X$2:$X$500,0)),"")</f>
        <v/>
      </c>
      <c r="O341" s="8" t="str">
        <f>IFERROR(INDEX(样本到样信息汇总统计!O$2:O$500,MATCH(340,样本到样信息汇总统计!$X$2:$X$500,0)),"")</f>
        <v/>
      </c>
      <c r="P341" s="8" t="str">
        <f>IFERROR(INDEX(样本到样信息汇总统计!P$2:P$500,MATCH(340,样本到样信息汇总统计!$X$2:$X$500,0)),"")</f>
        <v/>
      </c>
      <c r="Q341" s="8" t="str">
        <f>IFERROR(INDEX(样本到样信息汇总统计!Q$2:Q$500,MATCH(340,样本到样信息汇总统计!$X$2:$X$500,0)),"")</f>
        <v/>
      </c>
      <c r="R341" s="8" t="str">
        <f>IFERROR(INDEX(样本到样信息汇总统计!R$2:R$500,MATCH(340,样本到样信息汇总统计!$X$2:$X$500,0)),"")</f>
        <v/>
      </c>
      <c r="S341" s="8" t="str">
        <f>IFERROR(INDEX(样本到样信息汇总统计!S$2:S$500,MATCH(340,样本到样信息汇总统计!$X$2:$X$500,0)),"")</f>
        <v/>
      </c>
      <c r="T341" s="8" t="str">
        <f>IFERROR(INDEX(样本到样信息汇总统计!T$2:T$500,MATCH(340,样本到样信息汇总统计!$X$2:$X$500,0)),"")</f>
        <v/>
      </c>
      <c r="U341" s="8" t="str">
        <f>IFERROR(INDEX(样本到样信息汇总统计!U$2:U$500,MATCH(340,样本到样信息汇总统计!$X$2:$X$500,0)),"")</f>
        <v/>
      </c>
      <c r="V341" s="8" t="str">
        <f>IFERROR(INDEX(样本到样信息汇总统计!V$2:V$500,MATCH(340,样本到样信息汇总统计!$X$2:$X$500,0)),"")</f>
        <v/>
      </c>
      <c r="W341" s="8" t="str">
        <f>IFERROR(INDEX(样本到样信息汇总统计!W$2:W$500,MATCH(340,样本到样信息汇总统计!$X$2:$X$500,0)),"")</f>
        <v/>
      </c>
    </row>
    <row r="342" ht="14.5" spans="1:23">
      <c r="A342" s="4" t="str">
        <f>IFERROR(INDEX(样本到样信息汇总统计!A$2:A$500,MATCH(341,样本到样信息汇总统计!$X$2:$X$500,0)),"")</f>
        <v/>
      </c>
      <c r="B342" s="4" t="str">
        <f>IFERROR(INDEX(样本到样信息汇总统计!B$2:B$500,MATCH(341,样本到样信息汇总统计!$X$2:$X$500,0)),"")</f>
        <v/>
      </c>
      <c r="C342" s="4" t="str">
        <f>IFERROR(INDEX(样本到样信息汇总统计!C$2:C$500,MATCH(341,样本到样信息汇总统计!$X$2:$X$500,0)),"")</f>
        <v/>
      </c>
      <c r="D342" s="4" t="str">
        <f>IFERROR(INDEX(样本到样信息汇总统计!D$2:D$500,MATCH(341,样本到样信息汇总统计!$X$2:$X$500,0)),"")</f>
        <v/>
      </c>
      <c r="E342" s="4" t="str">
        <f>IFERROR(INDEX(样本到样信息汇总统计!E$2:E$500,MATCH(341,样本到样信息汇总统计!$X$2:$X$500,0)),"")</f>
        <v/>
      </c>
      <c r="F342" s="4" t="str">
        <f>IFERROR(INDEX(样本到样信息汇总统计!F$2:F$500,MATCH(341,样本到样信息汇总统计!$X$2:$X$500,0)),"")</f>
        <v/>
      </c>
      <c r="G342" s="4" t="str">
        <f>IFERROR(INDEX(样本到样信息汇总统计!G$2:G$500,MATCH(341,样本到样信息汇总统计!$X$2:$X$500,0)),"")</f>
        <v/>
      </c>
      <c r="H342" s="4" t="str">
        <f>IFERROR(INDEX(样本到样信息汇总统计!H$2:H$500,MATCH(341,样本到样信息汇总统计!$X$2:$X$500,0)),"")</f>
        <v/>
      </c>
      <c r="I342" s="4" t="str">
        <f>IFERROR(INDEX(样本到样信息汇总统计!I$2:I$500,MATCH(341,样本到样信息汇总统计!$X$2:$X$500,0)),"")</f>
        <v/>
      </c>
      <c r="J342" s="4" t="str">
        <f>IFERROR(INDEX(样本到样信息汇总统计!J$2:J$500,MATCH(341,样本到样信息汇总统计!$X$2:$X$500,0)),"")</f>
        <v/>
      </c>
      <c r="K342" s="14" t="str">
        <f>IFERROR(INDEX(样本到样信息汇总统计!K$2:K$500,MATCH(341,样本到样信息汇总统计!$X$2:$X$500,0)),"")</f>
        <v/>
      </c>
      <c r="L342" s="4" t="str">
        <f>IFERROR(INDEX(样本到样信息汇总统计!L$2:L$500,MATCH(341,样本到样信息汇总统计!$X$2:$X$500,0)),"")</f>
        <v/>
      </c>
      <c r="M342" s="4" t="str">
        <f>IFERROR(INDEX(样本到样信息汇总统计!M$2:M$500,MATCH(341,样本到样信息汇总统计!$X$2:$X$500,0)),"")</f>
        <v/>
      </c>
      <c r="N342" s="4" t="str">
        <f>IFERROR(INDEX(样本到样信息汇总统计!N$2:N$500,MATCH(341,样本到样信息汇总统计!$X$2:$X$500,0)),"")</f>
        <v/>
      </c>
      <c r="O342" s="4" t="str">
        <f>IFERROR(INDEX(样本到样信息汇总统计!O$2:O$500,MATCH(341,样本到样信息汇总统计!$X$2:$X$500,0)),"")</f>
        <v/>
      </c>
      <c r="P342" s="4" t="str">
        <f>IFERROR(INDEX(样本到样信息汇总统计!P$2:P$500,MATCH(341,样本到样信息汇总统计!$X$2:$X$500,0)),"")</f>
        <v/>
      </c>
      <c r="Q342" s="4" t="str">
        <f>IFERROR(INDEX(样本到样信息汇总统计!Q$2:Q$500,MATCH(341,样本到样信息汇总统计!$X$2:$X$500,0)),"")</f>
        <v/>
      </c>
      <c r="R342" s="4" t="str">
        <f>IFERROR(INDEX(样本到样信息汇总统计!R$2:R$500,MATCH(341,样本到样信息汇总统计!$X$2:$X$500,0)),"")</f>
        <v/>
      </c>
      <c r="S342" s="4" t="str">
        <f>IFERROR(INDEX(样本到样信息汇总统计!S$2:S$500,MATCH(341,样本到样信息汇总统计!$X$2:$X$500,0)),"")</f>
        <v/>
      </c>
      <c r="T342" s="4" t="str">
        <f>IFERROR(INDEX(样本到样信息汇总统计!T$2:T$500,MATCH(341,样本到样信息汇总统计!$X$2:$X$500,0)),"")</f>
        <v/>
      </c>
      <c r="U342" s="4" t="str">
        <f>IFERROR(INDEX(样本到样信息汇总统计!U$2:U$500,MATCH(341,样本到样信息汇总统计!$X$2:$X$500,0)),"")</f>
        <v/>
      </c>
      <c r="V342" s="4" t="str">
        <f>IFERROR(INDEX(样本到样信息汇总统计!V$2:V$500,MATCH(341,样本到样信息汇总统计!$X$2:$X$500,0)),"")</f>
        <v/>
      </c>
      <c r="W342" s="4" t="str">
        <f>IFERROR(INDEX(样本到样信息汇总统计!W$2:W$500,MATCH(341,样本到样信息汇总统计!$X$2:$X$500,0)),"")</f>
        <v/>
      </c>
    </row>
    <row r="343" ht="14.5" spans="1:23">
      <c r="A343" s="8" t="str">
        <f>IFERROR(INDEX(样本到样信息汇总统计!A$2:A$500,MATCH(342,样本到样信息汇总统计!$X$2:$X$500,0)),"")</f>
        <v/>
      </c>
      <c r="B343" s="8" t="str">
        <f>IFERROR(INDEX(样本到样信息汇总统计!B$2:B$500,MATCH(342,样本到样信息汇总统计!$X$2:$X$500,0)),"")</f>
        <v/>
      </c>
      <c r="C343" s="8" t="str">
        <f>IFERROR(INDEX(样本到样信息汇总统计!C$2:C$500,MATCH(342,样本到样信息汇总统计!$X$2:$X$500,0)),"")</f>
        <v/>
      </c>
      <c r="D343" s="8" t="str">
        <f>IFERROR(INDEX(样本到样信息汇总统计!D$2:D$500,MATCH(342,样本到样信息汇总统计!$X$2:$X$500,0)),"")</f>
        <v/>
      </c>
      <c r="E343" s="8" t="str">
        <f>IFERROR(INDEX(样本到样信息汇总统计!E$2:E$500,MATCH(342,样本到样信息汇总统计!$X$2:$X$500,0)),"")</f>
        <v/>
      </c>
      <c r="F343" s="8" t="str">
        <f>IFERROR(INDEX(样本到样信息汇总统计!F$2:F$500,MATCH(342,样本到样信息汇总统计!$X$2:$X$500,0)),"")</f>
        <v/>
      </c>
      <c r="G343" s="8" t="str">
        <f>IFERROR(INDEX(样本到样信息汇总统计!G$2:G$500,MATCH(342,样本到样信息汇总统计!$X$2:$X$500,0)),"")</f>
        <v/>
      </c>
      <c r="H343" s="8" t="str">
        <f>IFERROR(INDEX(样本到样信息汇总统计!H$2:H$500,MATCH(342,样本到样信息汇总统计!$X$2:$X$500,0)),"")</f>
        <v/>
      </c>
      <c r="I343" s="8" t="str">
        <f>IFERROR(INDEX(样本到样信息汇总统计!I$2:I$500,MATCH(342,样本到样信息汇总统计!$X$2:$X$500,0)),"")</f>
        <v/>
      </c>
      <c r="J343" s="8" t="str">
        <f>IFERROR(INDEX(样本到样信息汇总统计!J$2:J$500,MATCH(342,样本到样信息汇总统计!$X$2:$X$500,0)),"")</f>
        <v/>
      </c>
      <c r="K343" s="15" t="str">
        <f>IFERROR(INDEX(样本到样信息汇总统计!K$2:K$500,MATCH(342,样本到样信息汇总统计!$X$2:$X$500,0)),"")</f>
        <v/>
      </c>
      <c r="L343" s="8" t="str">
        <f>IFERROR(INDEX(样本到样信息汇总统计!L$2:L$500,MATCH(342,样本到样信息汇总统计!$X$2:$X$500,0)),"")</f>
        <v/>
      </c>
      <c r="M343" s="8" t="str">
        <f>IFERROR(INDEX(样本到样信息汇总统计!M$2:M$500,MATCH(342,样本到样信息汇总统计!$X$2:$X$500,0)),"")</f>
        <v/>
      </c>
      <c r="N343" s="8" t="str">
        <f>IFERROR(INDEX(样本到样信息汇总统计!N$2:N$500,MATCH(342,样本到样信息汇总统计!$X$2:$X$500,0)),"")</f>
        <v/>
      </c>
      <c r="O343" s="8" t="str">
        <f>IFERROR(INDEX(样本到样信息汇总统计!O$2:O$500,MATCH(342,样本到样信息汇总统计!$X$2:$X$500,0)),"")</f>
        <v/>
      </c>
      <c r="P343" s="8" t="str">
        <f>IFERROR(INDEX(样本到样信息汇总统计!P$2:P$500,MATCH(342,样本到样信息汇总统计!$X$2:$X$500,0)),"")</f>
        <v/>
      </c>
      <c r="Q343" s="8" t="str">
        <f>IFERROR(INDEX(样本到样信息汇总统计!Q$2:Q$500,MATCH(342,样本到样信息汇总统计!$X$2:$X$500,0)),"")</f>
        <v/>
      </c>
      <c r="R343" s="8" t="str">
        <f>IFERROR(INDEX(样本到样信息汇总统计!R$2:R$500,MATCH(342,样本到样信息汇总统计!$X$2:$X$500,0)),"")</f>
        <v/>
      </c>
      <c r="S343" s="8" t="str">
        <f>IFERROR(INDEX(样本到样信息汇总统计!S$2:S$500,MATCH(342,样本到样信息汇总统计!$X$2:$X$500,0)),"")</f>
        <v/>
      </c>
      <c r="T343" s="8" t="str">
        <f>IFERROR(INDEX(样本到样信息汇总统计!T$2:T$500,MATCH(342,样本到样信息汇总统计!$X$2:$X$500,0)),"")</f>
        <v/>
      </c>
      <c r="U343" s="8" t="str">
        <f>IFERROR(INDEX(样本到样信息汇总统计!U$2:U$500,MATCH(342,样本到样信息汇总统计!$X$2:$X$500,0)),"")</f>
        <v/>
      </c>
      <c r="V343" s="8" t="str">
        <f>IFERROR(INDEX(样本到样信息汇总统计!V$2:V$500,MATCH(342,样本到样信息汇总统计!$X$2:$X$500,0)),"")</f>
        <v/>
      </c>
      <c r="W343" s="8" t="str">
        <f>IFERROR(INDEX(样本到样信息汇总统计!W$2:W$500,MATCH(342,样本到样信息汇总统计!$X$2:$X$500,0)),"")</f>
        <v/>
      </c>
    </row>
    <row r="344" ht="14.5" spans="1:23">
      <c r="A344" s="4" t="str">
        <f>IFERROR(INDEX(样本到样信息汇总统计!A$2:A$500,MATCH(343,样本到样信息汇总统计!$X$2:$X$500,0)),"")</f>
        <v/>
      </c>
      <c r="B344" s="4" t="str">
        <f>IFERROR(INDEX(样本到样信息汇总统计!B$2:B$500,MATCH(343,样本到样信息汇总统计!$X$2:$X$500,0)),"")</f>
        <v/>
      </c>
      <c r="C344" s="4" t="str">
        <f>IFERROR(INDEX(样本到样信息汇总统计!C$2:C$500,MATCH(343,样本到样信息汇总统计!$X$2:$X$500,0)),"")</f>
        <v/>
      </c>
      <c r="D344" s="4" t="str">
        <f>IFERROR(INDEX(样本到样信息汇总统计!D$2:D$500,MATCH(343,样本到样信息汇总统计!$X$2:$X$500,0)),"")</f>
        <v/>
      </c>
      <c r="E344" s="4" t="str">
        <f>IFERROR(INDEX(样本到样信息汇总统计!E$2:E$500,MATCH(343,样本到样信息汇总统计!$X$2:$X$500,0)),"")</f>
        <v/>
      </c>
      <c r="F344" s="4" t="str">
        <f>IFERROR(INDEX(样本到样信息汇总统计!F$2:F$500,MATCH(343,样本到样信息汇总统计!$X$2:$X$500,0)),"")</f>
        <v/>
      </c>
      <c r="G344" s="4" t="str">
        <f>IFERROR(INDEX(样本到样信息汇总统计!G$2:G$500,MATCH(343,样本到样信息汇总统计!$X$2:$X$500,0)),"")</f>
        <v/>
      </c>
      <c r="H344" s="4" t="str">
        <f>IFERROR(INDEX(样本到样信息汇总统计!H$2:H$500,MATCH(343,样本到样信息汇总统计!$X$2:$X$500,0)),"")</f>
        <v/>
      </c>
      <c r="I344" s="4" t="str">
        <f>IFERROR(INDEX(样本到样信息汇总统计!I$2:I$500,MATCH(343,样本到样信息汇总统计!$X$2:$X$500,0)),"")</f>
        <v/>
      </c>
      <c r="J344" s="4" t="str">
        <f>IFERROR(INDEX(样本到样信息汇总统计!J$2:J$500,MATCH(343,样本到样信息汇总统计!$X$2:$X$500,0)),"")</f>
        <v/>
      </c>
      <c r="K344" s="14" t="str">
        <f>IFERROR(INDEX(样本到样信息汇总统计!K$2:K$500,MATCH(343,样本到样信息汇总统计!$X$2:$X$500,0)),"")</f>
        <v/>
      </c>
      <c r="L344" s="4" t="str">
        <f>IFERROR(INDEX(样本到样信息汇总统计!L$2:L$500,MATCH(343,样本到样信息汇总统计!$X$2:$X$500,0)),"")</f>
        <v/>
      </c>
      <c r="M344" s="4" t="str">
        <f>IFERROR(INDEX(样本到样信息汇总统计!M$2:M$500,MATCH(343,样本到样信息汇总统计!$X$2:$X$500,0)),"")</f>
        <v/>
      </c>
      <c r="N344" s="4" t="str">
        <f>IFERROR(INDEX(样本到样信息汇总统计!N$2:N$500,MATCH(343,样本到样信息汇总统计!$X$2:$X$500,0)),"")</f>
        <v/>
      </c>
      <c r="O344" s="4" t="str">
        <f>IFERROR(INDEX(样本到样信息汇总统计!O$2:O$500,MATCH(343,样本到样信息汇总统计!$X$2:$X$500,0)),"")</f>
        <v/>
      </c>
      <c r="P344" s="4" t="str">
        <f>IFERROR(INDEX(样本到样信息汇总统计!P$2:P$500,MATCH(343,样本到样信息汇总统计!$X$2:$X$500,0)),"")</f>
        <v/>
      </c>
      <c r="Q344" s="4" t="str">
        <f>IFERROR(INDEX(样本到样信息汇总统计!Q$2:Q$500,MATCH(343,样本到样信息汇总统计!$X$2:$X$500,0)),"")</f>
        <v/>
      </c>
      <c r="R344" s="4" t="str">
        <f>IFERROR(INDEX(样本到样信息汇总统计!R$2:R$500,MATCH(343,样本到样信息汇总统计!$X$2:$X$500,0)),"")</f>
        <v/>
      </c>
      <c r="S344" s="4" t="str">
        <f>IFERROR(INDEX(样本到样信息汇总统计!S$2:S$500,MATCH(343,样本到样信息汇总统计!$X$2:$X$500,0)),"")</f>
        <v/>
      </c>
      <c r="T344" s="4" t="str">
        <f>IFERROR(INDEX(样本到样信息汇总统计!T$2:T$500,MATCH(343,样本到样信息汇总统计!$X$2:$X$500,0)),"")</f>
        <v/>
      </c>
      <c r="U344" s="4" t="str">
        <f>IFERROR(INDEX(样本到样信息汇总统计!U$2:U$500,MATCH(343,样本到样信息汇总统计!$X$2:$X$500,0)),"")</f>
        <v/>
      </c>
      <c r="V344" s="4" t="str">
        <f>IFERROR(INDEX(样本到样信息汇总统计!V$2:V$500,MATCH(343,样本到样信息汇总统计!$X$2:$X$500,0)),"")</f>
        <v/>
      </c>
      <c r="W344" s="4" t="str">
        <f>IFERROR(INDEX(样本到样信息汇总统计!W$2:W$500,MATCH(343,样本到样信息汇总统计!$X$2:$X$500,0)),"")</f>
        <v/>
      </c>
    </row>
    <row r="345" ht="14.5" spans="1:23">
      <c r="A345" s="8" t="str">
        <f>IFERROR(INDEX(样本到样信息汇总统计!A$2:A$500,MATCH(344,样本到样信息汇总统计!$X$2:$X$500,0)),"")</f>
        <v/>
      </c>
      <c r="B345" s="8" t="str">
        <f>IFERROR(INDEX(样本到样信息汇总统计!B$2:B$500,MATCH(344,样本到样信息汇总统计!$X$2:$X$500,0)),"")</f>
        <v/>
      </c>
      <c r="C345" s="8" t="str">
        <f>IFERROR(INDEX(样本到样信息汇总统计!C$2:C$500,MATCH(344,样本到样信息汇总统计!$X$2:$X$500,0)),"")</f>
        <v/>
      </c>
      <c r="D345" s="8" t="str">
        <f>IFERROR(INDEX(样本到样信息汇总统计!D$2:D$500,MATCH(344,样本到样信息汇总统计!$X$2:$X$500,0)),"")</f>
        <v/>
      </c>
      <c r="E345" s="8" t="str">
        <f>IFERROR(INDEX(样本到样信息汇总统计!E$2:E$500,MATCH(344,样本到样信息汇总统计!$X$2:$X$500,0)),"")</f>
        <v/>
      </c>
      <c r="F345" s="8" t="str">
        <f>IFERROR(INDEX(样本到样信息汇总统计!F$2:F$500,MATCH(344,样本到样信息汇总统计!$X$2:$X$500,0)),"")</f>
        <v/>
      </c>
      <c r="G345" s="8" t="str">
        <f>IFERROR(INDEX(样本到样信息汇总统计!G$2:G$500,MATCH(344,样本到样信息汇总统计!$X$2:$X$500,0)),"")</f>
        <v/>
      </c>
      <c r="H345" s="8" t="str">
        <f>IFERROR(INDEX(样本到样信息汇总统计!H$2:H$500,MATCH(344,样本到样信息汇总统计!$X$2:$X$500,0)),"")</f>
        <v/>
      </c>
      <c r="I345" s="8" t="str">
        <f>IFERROR(INDEX(样本到样信息汇总统计!I$2:I$500,MATCH(344,样本到样信息汇总统计!$X$2:$X$500,0)),"")</f>
        <v/>
      </c>
      <c r="J345" s="8" t="str">
        <f>IFERROR(INDEX(样本到样信息汇总统计!J$2:J$500,MATCH(344,样本到样信息汇总统计!$X$2:$X$500,0)),"")</f>
        <v/>
      </c>
      <c r="K345" s="15" t="str">
        <f>IFERROR(INDEX(样本到样信息汇总统计!K$2:K$500,MATCH(344,样本到样信息汇总统计!$X$2:$X$500,0)),"")</f>
        <v/>
      </c>
      <c r="L345" s="8" t="str">
        <f>IFERROR(INDEX(样本到样信息汇总统计!L$2:L$500,MATCH(344,样本到样信息汇总统计!$X$2:$X$500,0)),"")</f>
        <v/>
      </c>
      <c r="M345" s="8" t="str">
        <f>IFERROR(INDEX(样本到样信息汇总统计!M$2:M$500,MATCH(344,样本到样信息汇总统计!$X$2:$X$500,0)),"")</f>
        <v/>
      </c>
      <c r="N345" s="8" t="str">
        <f>IFERROR(INDEX(样本到样信息汇总统计!N$2:N$500,MATCH(344,样本到样信息汇总统计!$X$2:$X$500,0)),"")</f>
        <v/>
      </c>
      <c r="O345" s="8" t="str">
        <f>IFERROR(INDEX(样本到样信息汇总统计!O$2:O$500,MATCH(344,样本到样信息汇总统计!$X$2:$X$500,0)),"")</f>
        <v/>
      </c>
      <c r="P345" s="8" t="str">
        <f>IFERROR(INDEX(样本到样信息汇总统计!P$2:P$500,MATCH(344,样本到样信息汇总统计!$X$2:$X$500,0)),"")</f>
        <v/>
      </c>
      <c r="Q345" s="8" t="str">
        <f>IFERROR(INDEX(样本到样信息汇总统计!Q$2:Q$500,MATCH(344,样本到样信息汇总统计!$X$2:$X$500,0)),"")</f>
        <v/>
      </c>
      <c r="R345" s="8" t="str">
        <f>IFERROR(INDEX(样本到样信息汇总统计!R$2:R$500,MATCH(344,样本到样信息汇总统计!$X$2:$X$500,0)),"")</f>
        <v/>
      </c>
      <c r="S345" s="8" t="str">
        <f>IFERROR(INDEX(样本到样信息汇总统计!S$2:S$500,MATCH(344,样本到样信息汇总统计!$X$2:$X$500,0)),"")</f>
        <v/>
      </c>
      <c r="T345" s="8" t="str">
        <f>IFERROR(INDEX(样本到样信息汇总统计!T$2:T$500,MATCH(344,样本到样信息汇总统计!$X$2:$X$500,0)),"")</f>
        <v/>
      </c>
      <c r="U345" s="8" t="str">
        <f>IFERROR(INDEX(样本到样信息汇总统计!U$2:U$500,MATCH(344,样本到样信息汇总统计!$X$2:$X$500,0)),"")</f>
        <v/>
      </c>
      <c r="V345" s="8" t="str">
        <f>IFERROR(INDEX(样本到样信息汇总统计!V$2:V$500,MATCH(344,样本到样信息汇总统计!$X$2:$X$500,0)),"")</f>
        <v/>
      </c>
      <c r="W345" s="8" t="str">
        <f>IFERROR(INDEX(样本到样信息汇总统计!W$2:W$500,MATCH(344,样本到样信息汇总统计!$X$2:$X$500,0)),"")</f>
        <v/>
      </c>
    </row>
    <row r="346" ht="14.5" spans="1:23">
      <c r="A346" s="4" t="str">
        <f>IFERROR(INDEX(样本到样信息汇总统计!A$2:A$500,MATCH(345,样本到样信息汇总统计!$X$2:$X$500,0)),"")</f>
        <v/>
      </c>
      <c r="B346" s="4" t="str">
        <f>IFERROR(INDEX(样本到样信息汇总统计!B$2:B$500,MATCH(345,样本到样信息汇总统计!$X$2:$X$500,0)),"")</f>
        <v/>
      </c>
      <c r="C346" s="4" t="str">
        <f>IFERROR(INDEX(样本到样信息汇总统计!C$2:C$500,MATCH(345,样本到样信息汇总统计!$X$2:$X$500,0)),"")</f>
        <v/>
      </c>
      <c r="D346" s="4" t="str">
        <f>IFERROR(INDEX(样本到样信息汇总统计!D$2:D$500,MATCH(345,样本到样信息汇总统计!$X$2:$X$500,0)),"")</f>
        <v/>
      </c>
      <c r="E346" s="4" t="str">
        <f>IFERROR(INDEX(样本到样信息汇总统计!E$2:E$500,MATCH(345,样本到样信息汇总统计!$X$2:$X$500,0)),"")</f>
        <v/>
      </c>
      <c r="F346" s="4" t="str">
        <f>IFERROR(INDEX(样本到样信息汇总统计!F$2:F$500,MATCH(345,样本到样信息汇总统计!$X$2:$X$500,0)),"")</f>
        <v/>
      </c>
      <c r="G346" s="4" t="str">
        <f>IFERROR(INDEX(样本到样信息汇总统计!G$2:G$500,MATCH(345,样本到样信息汇总统计!$X$2:$X$500,0)),"")</f>
        <v/>
      </c>
      <c r="H346" s="4" t="str">
        <f>IFERROR(INDEX(样本到样信息汇总统计!H$2:H$500,MATCH(345,样本到样信息汇总统计!$X$2:$X$500,0)),"")</f>
        <v/>
      </c>
      <c r="I346" s="4" t="str">
        <f>IFERROR(INDEX(样本到样信息汇总统计!I$2:I$500,MATCH(345,样本到样信息汇总统计!$X$2:$X$500,0)),"")</f>
        <v/>
      </c>
      <c r="J346" s="4" t="str">
        <f>IFERROR(INDEX(样本到样信息汇总统计!J$2:J$500,MATCH(345,样本到样信息汇总统计!$X$2:$X$500,0)),"")</f>
        <v/>
      </c>
      <c r="K346" s="14" t="str">
        <f>IFERROR(INDEX(样本到样信息汇总统计!K$2:K$500,MATCH(345,样本到样信息汇总统计!$X$2:$X$500,0)),"")</f>
        <v/>
      </c>
      <c r="L346" s="4" t="str">
        <f>IFERROR(INDEX(样本到样信息汇总统计!L$2:L$500,MATCH(345,样本到样信息汇总统计!$X$2:$X$500,0)),"")</f>
        <v/>
      </c>
      <c r="M346" s="4" t="str">
        <f>IFERROR(INDEX(样本到样信息汇总统计!M$2:M$500,MATCH(345,样本到样信息汇总统计!$X$2:$X$500,0)),"")</f>
        <v/>
      </c>
      <c r="N346" s="4" t="str">
        <f>IFERROR(INDEX(样本到样信息汇总统计!N$2:N$500,MATCH(345,样本到样信息汇总统计!$X$2:$X$500,0)),"")</f>
        <v/>
      </c>
      <c r="O346" s="4" t="str">
        <f>IFERROR(INDEX(样本到样信息汇总统计!O$2:O$500,MATCH(345,样本到样信息汇总统计!$X$2:$X$500,0)),"")</f>
        <v/>
      </c>
      <c r="P346" s="4" t="str">
        <f>IFERROR(INDEX(样本到样信息汇总统计!P$2:P$500,MATCH(345,样本到样信息汇总统计!$X$2:$X$500,0)),"")</f>
        <v/>
      </c>
      <c r="Q346" s="4" t="str">
        <f>IFERROR(INDEX(样本到样信息汇总统计!Q$2:Q$500,MATCH(345,样本到样信息汇总统计!$X$2:$X$500,0)),"")</f>
        <v/>
      </c>
      <c r="R346" s="4" t="str">
        <f>IFERROR(INDEX(样本到样信息汇总统计!R$2:R$500,MATCH(345,样本到样信息汇总统计!$X$2:$X$500,0)),"")</f>
        <v/>
      </c>
      <c r="S346" s="4" t="str">
        <f>IFERROR(INDEX(样本到样信息汇总统计!S$2:S$500,MATCH(345,样本到样信息汇总统计!$X$2:$X$500,0)),"")</f>
        <v/>
      </c>
      <c r="T346" s="4" t="str">
        <f>IFERROR(INDEX(样本到样信息汇总统计!T$2:T$500,MATCH(345,样本到样信息汇总统计!$X$2:$X$500,0)),"")</f>
        <v/>
      </c>
      <c r="U346" s="4" t="str">
        <f>IFERROR(INDEX(样本到样信息汇总统计!U$2:U$500,MATCH(345,样本到样信息汇总统计!$X$2:$X$500,0)),"")</f>
        <v/>
      </c>
      <c r="V346" s="4" t="str">
        <f>IFERROR(INDEX(样本到样信息汇总统计!V$2:V$500,MATCH(345,样本到样信息汇总统计!$X$2:$X$500,0)),"")</f>
        <v/>
      </c>
      <c r="W346" s="4" t="str">
        <f>IFERROR(INDEX(样本到样信息汇总统计!W$2:W$500,MATCH(345,样本到样信息汇总统计!$X$2:$X$500,0)),"")</f>
        <v/>
      </c>
    </row>
    <row r="347" ht="14.5" spans="1:23">
      <c r="A347" s="8" t="str">
        <f>IFERROR(INDEX(样本到样信息汇总统计!A$2:A$500,MATCH(346,样本到样信息汇总统计!$X$2:$X$500,0)),"")</f>
        <v/>
      </c>
      <c r="B347" s="8" t="str">
        <f>IFERROR(INDEX(样本到样信息汇总统计!B$2:B$500,MATCH(346,样本到样信息汇总统计!$X$2:$X$500,0)),"")</f>
        <v/>
      </c>
      <c r="C347" s="8" t="str">
        <f>IFERROR(INDEX(样本到样信息汇总统计!C$2:C$500,MATCH(346,样本到样信息汇总统计!$X$2:$X$500,0)),"")</f>
        <v/>
      </c>
      <c r="D347" s="8" t="str">
        <f>IFERROR(INDEX(样本到样信息汇总统计!D$2:D$500,MATCH(346,样本到样信息汇总统计!$X$2:$X$500,0)),"")</f>
        <v/>
      </c>
      <c r="E347" s="8" t="str">
        <f>IFERROR(INDEX(样本到样信息汇总统计!E$2:E$500,MATCH(346,样本到样信息汇总统计!$X$2:$X$500,0)),"")</f>
        <v/>
      </c>
      <c r="F347" s="8" t="str">
        <f>IFERROR(INDEX(样本到样信息汇总统计!F$2:F$500,MATCH(346,样本到样信息汇总统计!$X$2:$X$500,0)),"")</f>
        <v/>
      </c>
      <c r="G347" s="8" t="str">
        <f>IFERROR(INDEX(样本到样信息汇总统计!G$2:G$500,MATCH(346,样本到样信息汇总统计!$X$2:$X$500,0)),"")</f>
        <v/>
      </c>
      <c r="H347" s="8" t="str">
        <f>IFERROR(INDEX(样本到样信息汇总统计!H$2:H$500,MATCH(346,样本到样信息汇总统计!$X$2:$X$500,0)),"")</f>
        <v/>
      </c>
      <c r="I347" s="8" t="str">
        <f>IFERROR(INDEX(样本到样信息汇总统计!I$2:I$500,MATCH(346,样本到样信息汇总统计!$X$2:$X$500,0)),"")</f>
        <v/>
      </c>
      <c r="J347" s="8" t="str">
        <f>IFERROR(INDEX(样本到样信息汇总统计!J$2:J$500,MATCH(346,样本到样信息汇总统计!$X$2:$X$500,0)),"")</f>
        <v/>
      </c>
      <c r="K347" s="15" t="str">
        <f>IFERROR(INDEX(样本到样信息汇总统计!K$2:K$500,MATCH(346,样本到样信息汇总统计!$X$2:$X$500,0)),"")</f>
        <v/>
      </c>
      <c r="L347" s="8" t="str">
        <f>IFERROR(INDEX(样本到样信息汇总统计!L$2:L$500,MATCH(346,样本到样信息汇总统计!$X$2:$X$500,0)),"")</f>
        <v/>
      </c>
      <c r="M347" s="8" t="str">
        <f>IFERROR(INDEX(样本到样信息汇总统计!M$2:M$500,MATCH(346,样本到样信息汇总统计!$X$2:$X$500,0)),"")</f>
        <v/>
      </c>
      <c r="N347" s="8" t="str">
        <f>IFERROR(INDEX(样本到样信息汇总统计!N$2:N$500,MATCH(346,样本到样信息汇总统计!$X$2:$X$500,0)),"")</f>
        <v/>
      </c>
      <c r="O347" s="8" t="str">
        <f>IFERROR(INDEX(样本到样信息汇总统计!O$2:O$500,MATCH(346,样本到样信息汇总统计!$X$2:$X$500,0)),"")</f>
        <v/>
      </c>
      <c r="P347" s="8" t="str">
        <f>IFERROR(INDEX(样本到样信息汇总统计!P$2:P$500,MATCH(346,样本到样信息汇总统计!$X$2:$X$500,0)),"")</f>
        <v/>
      </c>
      <c r="Q347" s="8" t="str">
        <f>IFERROR(INDEX(样本到样信息汇总统计!Q$2:Q$500,MATCH(346,样本到样信息汇总统计!$X$2:$X$500,0)),"")</f>
        <v/>
      </c>
      <c r="R347" s="8" t="str">
        <f>IFERROR(INDEX(样本到样信息汇总统计!R$2:R$500,MATCH(346,样本到样信息汇总统计!$X$2:$X$500,0)),"")</f>
        <v/>
      </c>
      <c r="S347" s="8" t="str">
        <f>IFERROR(INDEX(样本到样信息汇总统计!S$2:S$500,MATCH(346,样本到样信息汇总统计!$X$2:$X$500,0)),"")</f>
        <v/>
      </c>
      <c r="T347" s="8" t="str">
        <f>IFERROR(INDEX(样本到样信息汇总统计!T$2:T$500,MATCH(346,样本到样信息汇总统计!$X$2:$X$500,0)),"")</f>
        <v/>
      </c>
      <c r="U347" s="8" t="str">
        <f>IFERROR(INDEX(样本到样信息汇总统计!U$2:U$500,MATCH(346,样本到样信息汇总统计!$X$2:$X$500,0)),"")</f>
        <v/>
      </c>
      <c r="V347" s="8" t="str">
        <f>IFERROR(INDEX(样本到样信息汇总统计!V$2:V$500,MATCH(346,样本到样信息汇总统计!$X$2:$X$500,0)),"")</f>
        <v/>
      </c>
      <c r="W347" s="8" t="str">
        <f>IFERROR(INDEX(样本到样信息汇总统计!W$2:W$500,MATCH(346,样本到样信息汇总统计!$X$2:$X$500,0)),"")</f>
        <v/>
      </c>
    </row>
    <row r="348" ht="14.5" spans="1:23">
      <c r="A348" s="4" t="str">
        <f>IFERROR(INDEX(样本到样信息汇总统计!A$2:A$500,MATCH(347,样本到样信息汇总统计!$X$2:$X$500,0)),"")</f>
        <v/>
      </c>
      <c r="B348" s="4" t="str">
        <f>IFERROR(INDEX(样本到样信息汇总统计!B$2:B$500,MATCH(347,样本到样信息汇总统计!$X$2:$X$500,0)),"")</f>
        <v/>
      </c>
      <c r="C348" s="4" t="str">
        <f>IFERROR(INDEX(样本到样信息汇总统计!C$2:C$500,MATCH(347,样本到样信息汇总统计!$X$2:$X$500,0)),"")</f>
        <v/>
      </c>
      <c r="D348" s="4" t="str">
        <f>IFERROR(INDEX(样本到样信息汇总统计!D$2:D$500,MATCH(347,样本到样信息汇总统计!$X$2:$X$500,0)),"")</f>
        <v/>
      </c>
      <c r="E348" s="4" t="str">
        <f>IFERROR(INDEX(样本到样信息汇总统计!E$2:E$500,MATCH(347,样本到样信息汇总统计!$X$2:$X$500,0)),"")</f>
        <v/>
      </c>
      <c r="F348" s="4" t="str">
        <f>IFERROR(INDEX(样本到样信息汇总统计!F$2:F$500,MATCH(347,样本到样信息汇总统计!$X$2:$X$500,0)),"")</f>
        <v/>
      </c>
      <c r="G348" s="4" t="str">
        <f>IFERROR(INDEX(样本到样信息汇总统计!G$2:G$500,MATCH(347,样本到样信息汇总统计!$X$2:$X$500,0)),"")</f>
        <v/>
      </c>
      <c r="H348" s="4" t="str">
        <f>IFERROR(INDEX(样本到样信息汇总统计!H$2:H$500,MATCH(347,样本到样信息汇总统计!$X$2:$X$500,0)),"")</f>
        <v/>
      </c>
      <c r="I348" s="4" t="str">
        <f>IFERROR(INDEX(样本到样信息汇总统计!I$2:I$500,MATCH(347,样本到样信息汇总统计!$X$2:$X$500,0)),"")</f>
        <v/>
      </c>
      <c r="J348" s="4" t="str">
        <f>IFERROR(INDEX(样本到样信息汇总统计!J$2:J$500,MATCH(347,样本到样信息汇总统计!$X$2:$X$500,0)),"")</f>
        <v/>
      </c>
      <c r="K348" s="14" t="str">
        <f>IFERROR(INDEX(样本到样信息汇总统计!K$2:K$500,MATCH(347,样本到样信息汇总统计!$X$2:$X$500,0)),"")</f>
        <v/>
      </c>
      <c r="L348" s="4" t="str">
        <f>IFERROR(INDEX(样本到样信息汇总统计!L$2:L$500,MATCH(347,样本到样信息汇总统计!$X$2:$X$500,0)),"")</f>
        <v/>
      </c>
      <c r="M348" s="4" t="str">
        <f>IFERROR(INDEX(样本到样信息汇总统计!M$2:M$500,MATCH(347,样本到样信息汇总统计!$X$2:$X$500,0)),"")</f>
        <v/>
      </c>
      <c r="N348" s="4" t="str">
        <f>IFERROR(INDEX(样本到样信息汇总统计!N$2:N$500,MATCH(347,样本到样信息汇总统计!$X$2:$X$500,0)),"")</f>
        <v/>
      </c>
      <c r="O348" s="4" t="str">
        <f>IFERROR(INDEX(样本到样信息汇总统计!O$2:O$500,MATCH(347,样本到样信息汇总统计!$X$2:$X$500,0)),"")</f>
        <v/>
      </c>
      <c r="P348" s="4" t="str">
        <f>IFERROR(INDEX(样本到样信息汇总统计!P$2:P$500,MATCH(347,样本到样信息汇总统计!$X$2:$X$500,0)),"")</f>
        <v/>
      </c>
      <c r="Q348" s="4" t="str">
        <f>IFERROR(INDEX(样本到样信息汇总统计!Q$2:Q$500,MATCH(347,样本到样信息汇总统计!$X$2:$X$500,0)),"")</f>
        <v/>
      </c>
      <c r="R348" s="4" t="str">
        <f>IFERROR(INDEX(样本到样信息汇总统计!R$2:R$500,MATCH(347,样本到样信息汇总统计!$X$2:$X$500,0)),"")</f>
        <v/>
      </c>
      <c r="S348" s="4" t="str">
        <f>IFERROR(INDEX(样本到样信息汇总统计!S$2:S$500,MATCH(347,样本到样信息汇总统计!$X$2:$X$500,0)),"")</f>
        <v/>
      </c>
      <c r="T348" s="4" t="str">
        <f>IFERROR(INDEX(样本到样信息汇总统计!T$2:T$500,MATCH(347,样本到样信息汇总统计!$X$2:$X$500,0)),"")</f>
        <v/>
      </c>
      <c r="U348" s="4" t="str">
        <f>IFERROR(INDEX(样本到样信息汇总统计!U$2:U$500,MATCH(347,样本到样信息汇总统计!$X$2:$X$500,0)),"")</f>
        <v/>
      </c>
      <c r="V348" s="4" t="str">
        <f>IFERROR(INDEX(样本到样信息汇总统计!V$2:V$500,MATCH(347,样本到样信息汇总统计!$X$2:$X$500,0)),"")</f>
        <v/>
      </c>
      <c r="W348" s="4" t="str">
        <f>IFERROR(INDEX(样本到样信息汇总统计!W$2:W$500,MATCH(347,样本到样信息汇总统计!$X$2:$X$500,0)),"")</f>
        <v/>
      </c>
    </row>
    <row r="349" ht="14.5" spans="1:23">
      <c r="A349" s="8" t="str">
        <f>IFERROR(INDEX(样本到样信息汇总统计!A$2:A$500,MATCH(348,样本到样信息汇总统计!$X$2:$X$500,0)),"")</f>
        <v/>
      </c>
      <c r="B349" s="8" t="str">
        <f>IFERROR(INDEX(样本到样信息汇总统计!B$2:B$500,MATCH(348,样本到样信息汇总统计!$X$2:$X$500,0)),"")</f>
        <v/>
      </c>
      <c r="C349" s="8" t="str">
        <f>IFERROR(INDEX(样本到样信息汇总统计!C$2:C$500,MATCH(348,样本到样信息汇总统计!$X$2:$X$500,0)),"")</f>
        <v/>
      </c>
      <c r="D349" s="8" t="str">
        <f>IFERROR(INDEX(样本到样信息汇总统计!D$2:D$500,MATCH(348,样本到样信息汇总统计!$X$2:$X$500,0)),"")</f>
        <v/>
      </c>
      <c r="E349" s="8" t="str">
        <f>IFERROR(INDEX(样本到样信息汇总统计!E$2:E$500,MATCH(348,样本到样信息汇总统计!$X$2:$X$500,0)),"")</f>
        <v/>
      </c>
      <c r="F349" s="8" t="str">
        <f>IFERROR(INDEX(样本到样信息汇总统计!F$2:F$500,MATCH(348,样本到样信息汇总统计!$X$2:$X$500,0)),"")</f>
        <v/>
      </c>
      <c r="G349" s="8" t="str">
        <f>IFERROR(INDEX(样本到样信息汇总统计!G$2:G$500,MATCH(348,样本到样信息汇总统计!$X$2:$X$500,0)),"")</f>
        <v/>
      </c>
      <c r="H349" s="8" t="str">
        <f>IFERROR(INDEX(样本到样信息汇总统计!H$2:H$500,MATCH(348,样本到样信息汇总统计!$X$2:$X$500,0)),"")</f>
        <v/>
      </c>
      <c r="I349" s="8" t="str">
        <f>IFERROR(INDEX(样本到样信息汇总统计!I$2:I$500,MATCH(348,样本到样信息汇总统计!$X$2:$X$500,0)),"")</f>
        <v/>
      </c>
      <c r="J349" s="8" t="str">
        <f>IFERROR(INDEX(样本到样信息汇总统计!J$2:J$500,MATCH(348,样本到样信息汇总统计!$X$2:$X$500,0)),"")</f>
        <v/>
      </c>
      <c r="K349" s="15" t="str">
        <f>IFERROR(INDEX(样本到样信息汇总统计!K$2:K$500,MATCH(348,样本到样信息汇总统计!$X$2:$X$500,0)),"")</f>
        <v/>
      </c>
      <c r="L349" s="8" t="str">
        <f>IFERROR(INDEX(样本到样信息汇总统计!L$2:L$500,MATCH(348,样本到样信息汇总统计!$X$2:$X$500,0)),"")</f>
        <v/>
      </c>
      <c r="M349" s="8" t="str">
        <f>IFERROR(INDEX(样本到样信息汇总统计!M$2:M$500,MATCH(348,样本到样信息汇总统计!$X$2:$X$500,0)),"")</f>
        <v/>
      </c>
      <c r="N349" s="8" t="str">
        <f>IFERROR(INDEX(样本到样信息汇总统计!N$2:N$500,MATCH(348,样本到样信息汇总统计!$X$2:$X$500,0)),"")</f>
        <v/>
      </c>
      <c r="O349" s="8" t="str">
        <f>IFERROR(INDEX(样本到样信息汇总统计!O$2:O$500,MATCH(348,样本到样信息汇总统计!$X$2:$X$500,0)),"")</f>
        <v/>
      </c>
      <c r="P349" s="8" t="str">
        <f>IFERROR(INDEX(样本到样信息汇总统计!P$2:P$500,MATCH(348,样本到样信息汇总统计!$X$2:$X$500,0)),"")</f>
        <v/>
      </c>
      <c r="Q349" s="8" t="str">
        <f>IFERROR(INDEX(样本到样信息汇总统计!Q$2:Q$500,MATCH(348,样本到样信息汇总统计!$X$2:$X$500,0)),"")</f>
        <v/>
      </c>
      <c r="R349" s="8" t="str">
        <f>IFERROR(INDEX(样本到样信息汇总统计!R$2:R$500,MATCH(348,样本到样信息汇总统计!$X$2:$X$500,0)),"")</f>
        <v/>
      </c>
      <c r="S349" s="8" t="str">
        <f>IFERROR(INDEX(样本到样信息汇总统计!S$2:S$500,MATCH(348,样本到样信息汇总统计!$X$2:$X$500,0)),"")</f>
        <v/>
      </c>
      <c r="T349" s="8" t="str">
        <f>IFERROR(INDEX(样本到样信息汇总统计!T$2:T$500,MATCH(348,样本到样信息汇总统计!$X$2:$X$500,0)),"")</f>
        <v/>
      </c>
      <c r="U349" s="8" t="str">
        <f>IFERROR(INDEX(样本到样信息汇总统计!U$2:U$500,MATCH(348,样本到样信息汇总统计!$X$2:$X$500,0)),"")</f>
        <v/>
      </c>
      <c r="V349" s="8" t="str">
        <f>IFERROR(INDEX(样本到样信息汇总统计!V$2:V$500,MATCH(348,样本到样信息汇总统计!$X$2:$X$500,0)),"")</f>
        <v/>
      </c>
      <c r="W349" s="8" t="str">
        <f>IFERROR(INDEX(样本到样信息汇总统计!W$2:W$500,MATCH(348,样本到样信息汇总统计!$X$2:$X$500,0)),"")</f>
        <v/>
      </c>
    </row>
    <row r="350" ht="14.5" spans="1:23">
      <c r="A350" s="4" t="str">
        <f>IFERROR(INDEX(样本到样信息汇总统计!A$2:A$500,MATCH(349,样本到样信息汇总统计!$X$2:$X$500,0)),"")</f>
        <v/>
      </c>
      <c r="B350" s="4" t="str">
        <f>IFERROR(INDEX(样本到样信息汇总统计!B$2:B$500,MATCH(349,样本到样信息汇总统计!$X$2:$X$500,0)),"")</f>
        <v/>
      </c>
      <c r="C350" s="4" t="str">
        <f>IFERROR(INDEX(样本到样信息汇总统计!C$2:C$500,MATCH(349,样本到样信息汇总统计!$X$2:$X$500,0)),"")</f>
        <v/>
      </c>
      <c r="D350" s="4" t="str">
        <f>IFERROR(INDEX(样本到样信息汇总统计!D$2:D$500,MATCH(349,样本到样信息汇总统计!$X$2:$X$500,0)),"")</f>
        <v/>
      </c>
      <c r="E350" s="4" t="str">
        <f>IFERROR(INDEX(样本到样信息汇总统计!E$2:E$500,MATCH(349,样本到样信息汇总统计!$X$2:$X$500,0)),"")</f>
        <v/>
      </c>
      <c r="F350" s="4" t="str">
        <f>IFERROR(INDEX(样本到样信息汇总统计!F$2:F$500,MATCH(349,样本到样信息汇总统计!$X$2:$X$500,0)),"")</f>
        <v/>
      </c>
      <c r="G350" s="4" t="str">
        <f>IFERROR(INDEX(样本到样信息汇总统计!G$2:G$500,MATCH(349,样本到样信息汇总统计!$X$2:$X$500,0)),"")</f>
        <v/>
      </c>
      <c r="H350" s="4" t="str">
        <f>IFERROR(INDEX(样本到样信息汇总统计!H$2:H$500,MATCH(349,样本到样信息汇总统计!$X$2:$X$500,0)),"")</f>
        <v/>
      </c>
      <c r="I350" s="4" t="str">
        <f>IFERROR(INDEX(样本到样信息汇总统计!I$2:I$500,MATCH(349,样本到样信息汇总统计!$X$2:$X$500,0)),"")</f>
        <v/>
      </c>
      <c r="J350" s="4" t="str">
        <f>IFERROR(INDEX(样本到样信息汇总统计!J$2:J$500,MATCH(349,样本到样信息汇总统计!$X$2:$X$500,0)),"")</f>
        <v/>
      </c>
      <c r="K350" s="14" t="str">
        <f>IFERROR(INDEX(样本到样信息汇总统计!K$2:K$500,MATCH(349,样本到样信息汇总统计!$X$2:$X$500,0)),"")</f>
        <v/>
      </c>
      <c r="L350" s="4" t="str">
        <f>IFERROR(INDEX(样本到样信息汇总统计!L$2:L$500,MATCH(349,样本到样信息汇总统计!$X$2:$X$500,0)),"")</f>
        <v/>
      </c>
      <c r="M350" s="4" t="str">
        <f>IFERROR(INDEX(样本到样信息汇总统计!M$2:M$500,MATCH(349,样本到样信息汇总统计!$X$2:$X$500,0)),"")</f>
        <v/>
      </c>
      <c r="N350" s="4" t="str">
        <f>IFERROR(INDEX(样本到样信息汇总统计!N$2:N$500,MATCH(349,样本到样信息汇总统计!$X$2:$X$500,0)),"")</f>
        <v/>
      </c>
      <c r="O350" s="4" t="str">
        <f>IFERROR(INDEX(样本到样信息汇总统计!O$2:O$500,MATCH(349,样本到样信息汇总统计!$X$2:$X$500,0)),"")</f>
        <v/>
      </c>
      <c r="P350" s="4" t="str">
        <f>IFERROR(INDEX(样本到样信息汇总统计!P$2:P$500,MATCH(349,样本到样信息汇总统计!$X$2:$X$500,0)),"")</f>
        <v/>
      </c>
      <c r="Q350" s="4" t="str">
        <f>IFERROR(INDEX(样本到样信息汇总统计!Q$2:Q$500,MATCH(349,样本到样信息汇总统计!$X$2:$X$500,0)),"")</f>
        <v/>
      </c>
      <c r="R350" s="4" t="str">
        <f>IFERROR(INDEX(样本到样信息汇总统计!R$2:R$500,MATCH(349,样本到样信息汇总统计!$X$2:$X$500,0)),"")</f>
        <v/>
      </c>
      <c r="S350" s="4" t="str">
        <f>IFERROR(INDEX(样本到样信息汇总统计!S$2:S$500,MATCH(349,样本到样信息汇总统计!$X$2:$X$500,0)),"")</f>
        <v/>
      </c>
      <c r="T350" s="4" t="str">
        <f>IFERROR(INDEX(样本到样信息汇总统计!T$2:T$500,MATCH(349,样本到样信息汇总统计!$X$2:$X$500,0)),"")</f>
        <v/>
      </c>
      <c r="U350" s="4" t="str">
        <f>IFERROR(INDEX(样本到样信息汇总统计!U$2:U$500,MATCH(349,样本到样信息汇总统计!$X$2:$X$500,0)),"")</f>
        <v/>
      </c>
      <c r="V350" s="4" t="str">
        <f>IFERROR(INDEX(样本到样信息汇总统计!V$2:V$500,MATCH(349,样本到样信息汇总统计!$X$2:$X$500,0)),"")</f>
        <v/>
      </c>
      <c r="W350" s="4" t="str">
        <f>IFERROR(INDEX(样本到样信息汇总统计!W$2:W$500,MATCH(349,样本到样信息汇总统计!$X$2:$X$500,0)),"")</f>
        <v/>
      </c>
    </row>
    <row r="351" ht="14.5" spans="1:23">
      <c r="A351" s="8" t="str">
        <f>IFERROR(INDEX(样本到样信息汇总统计!A$2:A$500,MATCH(350,样本到样信息汇总统计!$X$2:$X$500,0)),"")</f>
        <v/>
      </c>
      <c r="B351" s="8" t="str">
        <f>IFERROR(INDEX(样本到样信息汇总统计!B$2:B$500,MATCH(350,样本到样信息汇总统计!$X$2:$X$500,0)),"")</f>
        <v/>
      </c>
      <c r="C351" s="8" t="str">
        <f>IFERROR(INDEX(样本到样信息汇总统计!C$2:C$500,MATCH(350,样本到样信息汇总统计!$X$2:$X$500,0)),"")</f>
        <v/>
      </c>
      <c r="D351" s="8" t="str">
        <f>IFERROR(INDEX(样本到样信息汇总统计!D$2:D$500,MATCH(350,样本到样信息汇总统计!$X$2:$X$500,0)),"")</f>
        <v/>
      </c>
      <c r="E351" s="8" t="str">
        <f>IFERROR(INDEX(样本到样信息汇总统计!E$2:E$500,MATCH(350,样本到样信息汇总统计!$X$2:$X$500,0)),"")</f>
        <v/>
      </c>
      <c r="F351" s="8" t="str">
        <f>IFERROR(INDEX(样本到样信息汇总统计!F$2:F$500,MATCH(350,样本到样信息汇总统计!$X$2:$X$500,0)),"")</f>
        <v/>
      </c>
      <c r="G351" s="8" t="str">
        <f>IFERROR(INDEX(样本到样信息汇总统计!G$2:G$500,MATCH(350,样本到样信息汇总统计!$X$2:$X$500,0)),"")</f>
        <v/>
      </c>
      <c r="H351" s="8" t="str">
        <f>IFERROR(INDEX(样本到样信息汇总统计!H$2:H$500,MATCH(350,样本到样信息汇总统计!$X$2:$X$500,0)),"")</f>
        <v/>
      </c>
      <c r="I351" s="8" t="str">
        <f>IFERROR(INDEX(样本到样信息汇总统计!I$2:I$500,MATCH(350,样本到样信息汇总统计!$X$2:$X$500,0)),"")</f>
        <v/>
      </c>
      <c r="J351" s="8" t="str">
        <f>IFERROR(INDEX(样本到样信息汇总统计!J$2:J$500,MATCH(350,样本到样信息汇总统计!$X$2:$X$500,0)),"")</f>
        <v/>
      </c>
      <c r="K351" s="15" t="str">
        <f>IFERROR(INDEX(样本到样信息汇总统计!K$2:K$500,MATCH(350,样本到样信息汇总统计!$X$2:$X$500,0)),"")</f>
        <v/>
      </c>
      <c r="L351" s="8" t="str">
        <f>IFERROR(INDEX(样本到样信息汇总统计!L$2:L$500,MATCH(350,样本到样信息汇总统计!$X$2:$X$500,0)),"")</f>
        <v/>
      </c>
      <c r="M351" s="8" t="str">
        <f>IFERROR(INDEX(样本到样信息汇总统计!M$2:M$500,MATCH(350,样本到样信息汇总统计!$X$2:$X$500,0)),"")</f>
        <v/>
      </c>
      <c r="N351" s="8" t="str">
        <f>IFERROR(INDEX(样本到样信息汇总统计!N$2:N$500,MATCH(350,样本到样信息汇总统计!$X$2:$X$500,0)),"")</f>
        <v/>
      </c>
      <c r="O351" s="8" t="str">
        <f>IFERROR(INDEX(样本到样信息汇总统计!O$2:O$500,MATCH(350,样本到样信息汇总统计!$X$2:$X$500,0)),"")</f>
        <v/>
      </c>
      <c r="P351" s="8" t="str">
        <f>IFERROR(INDEX(样本到样信息汇总统计!P$2:P$500,MATCH(350,样本到样信息汇总统计!$X$2:$X$500,0)),"")</f>
        <v/>
      </c>
      <c r="Q351" s="8" t="str">
        <f>IFERROR(INDEX(样本到样信息汇总统计!Q$2:Q$500,MATCH(350,样本到样信息汇总统计!$X$2:$X$500,0)),"")</f>
        <v/>
      </c>
      <c r="R351" s="8" t="str">
        <f>IFERROR(INDEX(样本到样信息汇总统计!R$2:R$500,MATCH(350,样本到样信息汇总统计!$X$2:$X$500,0)),"")</f>
        <v/>
      </c>
      <c r="S351" s="8" t="str">
        <f>IFERROR(INDEX(样本到样信息汇总统计!S$2:S$500,MATCH(350,样本到样信息汇总统计!$X$2:$X$500,0)),"")</f>
        <v/>
      </c>
      <c r="T351" s="8" t="str">
        <f>IFERROR(INDEX(样本到样信息汇总统计!T$2:T$500,MATCH(350,样本到样信息汇总统计!$X$2:$X$500,0)),"")</f>
        <v/>
      </c>
      <c r="U351" s="8" t="str">
        <f>IFERROR(INDEX(样本到样信息汇总统计!U$2:U$500,MATCH(350,样本到样信息汇总统计!$X$2:$X$500,0)),"")</f>
        <v/>
      </c>
      <c r="V351" s="8" t="str">
        <f>IFERROR(INDEX(样本到样信息汇总统计!V$2:V$500,MATCH(350,样本到样信息汇总统计!$X$2:$X$500,0)),"")</f>
        <v/>
      </c>
      <c r="W351" s="8" t="str">
        <f>IFERROR(INDEX(样本到样信息汇总统计!W$2:W$500,MATCH(350,样本到样信息汇总统计!$X$2:$X$500,0)),"")</f>
        <v/>
      </c>
    </row>
    <row r="352" ht="14.5" spans="1:23">
      <c r="A352" s="4" t="str">
        <f>IFERROR(INDEX(样本到样信息汇总统计!A$2:A$500,MATCH(351,样本到样信息汇总统计!$X$2:$X$500,0)),"")</f>
        <v/>
      </c>
      <c r="B352" s="4" t="str">
        <f>IFERROR(INDEX(样本到样信息汇总统计!B$2:B$500,MATCH(351,样本到样信息汇总统计!$X$2:$X$500,0)),"")</f>
        <v/>
      </c>
      <c r="C352" s="4" t="str">
        <f>IFERROR(INDEX(样本到样信息汇总统计!C$2:C$500,MATCH(351,样本到样信息汇总统计!$X$2:$X$500,0)),"")</f>
        <v/>
      </c>
      <c r="D352" s="4" t="str">
        <f>IFERROR(INDEX(样本到样信息汇总统计!D$2:D$500,MATCH(351,样本到样信息汇总统计!$X$2:$X$500,0)),"")</f>
        <v/>
      </c>
      <c r="E352" s="4" t="str">
        <f>IFERROR(INDEX(样本到样信息汇总统计!E$2:E$500,MATCH(351,样本到样信息汇总统计!$X$2:$X$500,0)),"")</f>
        <v/>
      </c>
      <c r="F352" s="4" t="str">
        <f>IFERROR(INDEX(样本到样信息汇总统计!F$2:F$500,MATCH(351,样本到样信息汇总统计!$X$2:$X$500,0)),"")</f>
        <v/>
      </c>
      <c r="G352" s="4" t="str">
        <f>IFERROR(INDEX(样本到样信息汇总统计!G$2:G$500,MATCH(351,样本到样信息汇总统计!$X$2:$X$500,0)),"")</f>
        <v/>
      </c>
      <c r="H352" s="4" t="str">
        <f>IFERROR(INDEX(样本到样信息汇总统计!H$2:H$500,MATCH(351,样本到样信息汇总统计!$X$2:$X$500,0)),"")</f>
        <v/>
      </c>
      <c r="I352" s="4" t="str">
        <f>IFERROR(INDEX(样本到样信息汇总统计!I$2:I$500,MATCH(351,样本到样信息汇总统计!$X$2:$X$500,0)),"")</f>
        <v/>
      </c>
      <c r="J352" s="4" t="str">
        <f>IFERROR(INDEX(样本到样信息汇总统计!J$2:J$500,MATCH(351,样本到样信息汇总统计!$X$2:$X$500,0)),"")</f>
        <v/>
      </c>
      <c r="K352" s="14" t="str">
        <f>IFERROR(INDEX(样本到样信息汇总统计!K$2:K$500,MATCH(351,样本到样信息汇总统计!$X$2:$X$500,0)),"")</f>
        <v/>
      </c>
      <c r="L352" s="4" t="str">
        <f>IFERROR(INDEX(样本到样信息汇总统计!L$2:L$500,MATCH(351,样本到样信息汇总统计!$X$2:$X$500,0)),"")</f>
        <v/>
      </c>
      <c r="M352" s="4" t="str">
        <f>IFERROR(INDEX(样本到样信息汇总统计!M$2:M$500,MATCH(351,样本到样信息汇总统计!$X$2:$X$500,0)),"")</f>
        <v/>
      </c>
      <c r="N352" s="4" t="str">
        <f>IFERROR(INDEX(样本到样信息汇总统计!N$2:N$500,MATCH(351,样本到样信息汇总统计!$X$2:$X$500,0)),"")</f>
        <v/>
      </c>
      <c r="O352" s="4" t="str">
        <f>IFERROR(INDEX(样本到样信息汇总统计!O$2:O$500,MATCH(351,样本到样信息汇总统计!$X$2:$X$500,0)),"")</f>
        <v/>
      </c>
      <c r="P352" s="4" t="str">
        <f>IFERROR(INDEX(样本到样信息汇总统计!P$2:P$500,MATCH(351,样本到样信息汇总统计!$X$2:$X$500,0)),"")</f>
        <v/>
      </c>
      <c r="Q352" s="4" t="str">
        <f>IFERROR(INDEX(样本到样信息汇总统计!Q$2:Q$500,MATCH(351,样本到样信息汇总统计!$X$2:$X$500,0)),"")</f>
        <v/>
      </c>
      <c r="R352" s="4" t="str">
        <f>IFERROR(INDEX(样本到样信息汇总统计!R$2:R$500,MATCH(351,样本到样信息汇总统计!$X$2:$X$500,0)),"")</f>
        <v/>
      </c>
      <c r="S352" s="4" t="str">
        <f>IFERROR(INDEX(样本到样信息汇总统计!S$2:S$500,MATCH(351,样本到样信息汇总统计!$X$2:$X$500,0)),"")</f>
        <v/>
      </c>
      <c r="T352" s="4" t="str">
        <f>IFERROR(INDEX(样本到样信息汇总统计!T$2:T$500,MATCH(351,样本到样信息汇总统计!$X$2:$X$500,0)),"")</f>
        <v/>
      </c>
      <c r="U352" s="4" t="str">
        <f>IFERROR(INDEX(样本到样信息汇总统计!U$2:U$500,MATCH(351,样本到样信息汇总统计!$X$2:$X$500,0)),"")</f>
        <v/>
      </c>
      <c r="V352" s="4" t="str">
        <f>IFERROR(INDEX(样本到样信息汇总统计!V$2:V$500,MATCH(351,样本到样信息汇总统计!$X$2:$X$500,0)),"")</f>
        <v/>
      </c>
      <c r="W352" s="4" t="str">
        <f>IFERROR(INDEX(样本到样信息汇总统计!W$2:W$500,MATCH(351,样本到样信息汇总统计!$X$2:$X$500,0)),"")</f>
        <v/>
      </c>
    </row>
    <row r="353" ht="14.5" spans="1:23">
      <c r="A353" s="8" t="str">
        <f>IFERROR(INDEX(样本到样信息汇总统计!A$2:A$500,MATCH(352,样本到样信息汇总统计!$X$2:$X$500,0)),"")</f>
        <v/>
      </c>
      <c r="B353" s="8" t="str">
        <f>IFERROR(INDEX(样本到样信息汇总统计!B$2:B$500,MATCH(352,样本到样信息汇总统计!$X$2:$X$500,0)),"")</f>
        <v/>
      </c>
      <c r="C353" s="8" t="str">
        <f>IFERROR(INDEX(样本到样信息汇总统计!C$2:C$500,MATCH(352,样本到样信息汇总统计!$X$2:$X$500,0)),"")</f>
        <v/>
      </c>
      <c r="D353" s="8" t="str">
        <f>IFERROR(INDEX(样本到样信息汇总统计!D$2:D$500,MATCH(352,样本到样信息汇总统计!$X$2:$X$500,0)),"")</f>
        <v/>
      </c>
      <c r="E353" s="8" t="str">
        <f>IFERROR(INDEX(样本到样信息汇总统计!E$2:E$500,MATCH(352,样本到样信息汇总统计!$X$2:$X$500,0)),"")</f>
        <v/>
      </c>
      <c r="F353" s="8" t="str">
        <f>IFERROR(INDEX(样本到样信息汇总统计!F$2:F$500,MATCH(352,样本到样信息汇总统计!$X$2:$X$500,0)),"")</f>
        <v/>
      </c>
      <c r="G353" s="8" t="str">
        <f>IFERROR(INDEX(样本到样信息汇总统计!G$2:G$500,MATCH(352,样本到样信息汇总统计!$X$2:$X$500,0)),"")</f>
        <v/>
      </c>
      <c r="H353" s="8" t="str">
        <f>IFERROR(INDEX(样本到样信息汇总统计!H$2:H$500,MATCH(352,样本到样信息汇总统计!$X$2:$X$500,0)),"")</f>
        <v/>
      </c>
      <c r="I353" s="8" t="str">
        <f>IFERROR(INDEX(样本到样信息汇总统计!I$2:I$500,MATCH(352,样本到样信息汇总统计!$X$2:$X$500,0)),"")</f>
        <v/>
      </c>
      <c r="J353" s="8" t="str">
        <f>IFERROR(INDEX(样本到样信息汇总统计!J$2:J$500,MATCH(352,样本到样信息汇总统计!$X$2:$X$500,0)),"")</f>
        <v/>
      </c>
      <c r="K353" s="15" t="str">
        <f>IFERROR(INDEX(样本到样信息汇总统计!K$2:K$500,MATCH(352,样本到样信息汇总统计!$X$2:$X$500,0)),"")</f>
        <v/>
      </c>
      <c r="L353" s="8" t="str">
        <f>IFERROR(INDEX(样本到样信息汇总统计!L$2:L$500,MATCH(352,样本到样信息汇总统计!$X$2:$X$500,0)),"")</f>
        <v/>
      </c>
      <c r="M353" s="8" t="str">
        <f>IFERROR(INDEX(样本到样信息汇总统计!M$2:M$500,MATCH(352,样本到样信息汇总统计!$X$2:$X$500,0)),"")</f>
        <v/>
      </c>
      <c r="N353" s="8" t="str">
        <f>IFERROR(INDEX(样本到样信息汇总统计!N$2:N$500,MATCH(352,样本到样信息汇总统计!$X$2:$X$500,0)),"")</f>
        <v/>
      </c>
      <c r="O353" s="8" t="str">
        <f>IFERROR(INDEX(样本到样信息汇总统计!O$2:O$500,MATCH(352,样本到样信息汇总统计!$X$2:$X$500,0)),"")</f>
        <v/>
      </c>
      <c r="P353" s="8" t="str">
        <f>IFERROR(INDEX(样本到样信息汇总统计!P$2:P$500,MATCH(352,样本到样信息汇总统计!$X$2:$X$500,0)),"")</f>
        <v/>
      </c>
      <c r="Q353" s="8" t="str">
        <f>IFERROR(INDEX(样本到样信息汇总统计!Q$2:Q$500,MATCH(352,样本到样信息汇总统计!$X$2:$X$500,0)),"")</f>
        <v/>
      </c>
      <c r="R353" s="8" t="str">
        <f>IFERROR(INDEX(样本到样信息汇总统计!R$2:R$500,MATCH(352,样本到样信息汇总统计!$X$2:$X$500,0)),"")</f>
        <v/>
      </c>
      <c r="S353" s="8" t="str">
        <f>IFERROR(INDEX(样本到样信息汇总统计!S$2:S$500,MATCH(352,样本到样信息汇总统计!$X$2:$X$500,0)),"")</f>
        <v/>
      </c>
      <c r="T353" s="8" t="str">
        <f>IFERROR(INDEX(样本到样信息汇总统计!T$2:T$500,MATCH(352,样本到样信息汇总统计!$X$2:$X$500,0)),"")</f>
        <v/>
      </c>
      <c r="U353" s="8" t="str">
        <f>IFERROR(INDEX(样本到样信息汇总统计!U$2:U$500,MATCH(352,样本到样信息汇总统计!$X$2:$X$500,0)),"")</f>
        <v/>
      </c>
      <c r="V353" s="8" t="str">
        <f>IFERROR(INDEX(样本到样信息汇总统计!V$2:V$500,MATCH(352,样本到样信息汇总统计!$X$2:$X$500,0)),"")</f>
        <v/>
      </c>
      <c r="W353" s="8" t="str">
        <f>IFERROR(INDEX(样本到样信息汇总统计!W$2:W$500,MATCH(352,样本到样信息汇总统计!$X$2:$X$500,0)),"")</f>
        <v/>
      </c>
    </row>
    <row r="354" ht="14.5" spans="1:23">
      <c r="A354" s="4" t="str">
        <f>IFERROR(INDEX(样本到样信息汇总统计!A$2:A$500,MATCH(353,样本到样信息汇总统计!$X$2:$X$500,0)),"")</f>
        <v/>
      </c>
      <c r="B354" s="4" t="str">
        <f>IFERROR(INDEX(样本到样信息汇总统计!B$2:B$500,MATCH(353,样本到样信息汇总统计!$X$2:$X$500,0)),"")</f>
        <v/>
      </c>
      <c r="C354" s="4" t="str">
        <f>IFERROR(INDEX(样本到样信息汇总统计!C$2:C$500,MATCH(353,样本到样信息汇总统计!$X$2:$X$500,0)),"")</f>
        <v/>
      </c>
      <c r="D354" s="4" t="str">
        <f>IFERROR(INDEX(样本到样信息汇总统计!D$2:D$500,MATCH(353,样本到样信息汇总统计!$X$2:$X$500,0)),"")</f>
        <v/>
      </c>
      <c r="E354" s="4" t="str">
        <f>IFERROR(INDEX(样本到样信息汇总统计!E$2:E$500,MATCH(353,样本到样信息汇总统计!$X$2:$X$500,0)),"")</f>
        <v/>
      </c>
      <c r="F354" s="4" t="str">
        <f>IFERROR(INDEX(样本到样信息汇总统计!F$2:F$500,MATCH(353,样本到样信息汇总统计!$X$2:$X$500,0)),"")</f>
        <v/>
      </c>
      <c r="G354" s="4" t="str">
        <f>IFERROR(INDEX(样本到样信息汇总统计!G$2:G$500,MATCH(353,样本到样信息汇总统计!$X$2:$X$500,0)),"")</f>
        <v/>
      </c>
      <c r="H354" s="4" t="str">
        <f>IFERROR(INDEX(样本到样信息汇总统计!H$2:H$500,MATCH(353,样本到样信息汇总统计!$X$2:$X$500,0)),"")</f>
        <v/>
      </c>
      <c r="I354" s="4" t="str">
        <f>IFERROR(INDEX(样本到样信息汇总统计!I$2:I$500,MATCH(353,样本到样信息汇总统计!$X$2:$X$500,0)),"")</f>
        <v/>
      </c>
      <c r="J354" s="4" t="str">
        <f>IFERROR(INDEX(样本到样信息汇总统计!J$2:J$500,MATCH(353,样本到样信息汇总统计!$X$2:$X$500,0)),"")</f>
        <v/>
      </c>
      <c r="K354" s="14" t="str">
        <f>IFERROR(INDEX(样本到样信息汇总统计!K$2:K$500,MATCH(353,样本到样信息汇总统计!$X$2:$X$500,0)),"")</f>
        <v/>
      </c>
      <c r="L354" s="4" t="str">
        <f>IFERROR(INDEX(样本到样信息汇总统计!L$2:L$500,MATCH(353,样本到样信息汇总统计!$X$2:$X$500,0)),"")</f>
        <v/>
      </c>
      <c r="M354" s="4" t="str">
        <f>IFERROR(INDEX(样本到样信息汇总统计!M$2:M$500,MATCH(353,样本到样信息汇总统计!$X$2:$X$500,0)),"")</f>
        <v/>
      </c>
      <c r="N354" s="4" t="str">
        <f>IFERROR(INDEX(样本到样信息汇总统计!N$2:N$500,MATCH(353,样本到样信息汇总统计!$X$2:$X$500,0)),"")</f>
        <v/>
      </c>
      <c r="O354" s="4" t="str">
        <f>IFERROR(INDEX(样本到样信息汇总统计!O$2:O$500,MATCH(353,样本到样信息汇总统计!$X$2:$X$500,0)),"")</f>
        <v/>
      </c>
      <c r="P354" s="4" t="str">
        <f>IFERROR(INDEX(样本到样信息汇总统计!P$2:P$500,MATCH(353,样本到样信息汇总统计!$X$2:$X$500,0)),"")</f>
        <v/>
      </c>
      <c r="Q354" s="4" t="str">
        <f>IFERROR(INDEX(样本到样信息汇总统计!Q$2:Q$500,MATCH(353,样本到样信息汇总统计!$X$2:$X$500,0)),"")</f>
        <v/>
      </c>
      <c r="R354" s="4" t="str">
        <f>IFERROR(INDEX(样本到样信息汇总统计!R$2:R$500,MATCH(353,样本到样信息汇总统计!$X$2:$X$500,0)),"")</f>
        <v/>
      </c>
      <c r="S354" s="4" t="str">
        <f>IFERROR(INDEX(样本到样信息汇总统计!S$2:S$500,MATCH(353,样本到样信息汇总统计!$X$2:$X$500,0)),"")</f>
        <v/>
      </c>
      <c r="T354" s="4" t="str">
        <f>IFERROR(INDEX(样本到样信息汇总统计!T$2:T$500,MATCH(353,样本到样信息汇总统计!$X$2:$X$500,0)),"")</f>
        <v/>
      </c>
      <c r="U354" s="4" t="str">
        <f>IFERROR(INDEX(样本到样信息汇总统计!U$2:U$500,MATCH(353,样本到样信息汇总统计!$X$2:$X$500,0)),"")</f>
        <v/>
      </c>
      <c r="V354" s="4" t="str">
        <f>IFERROR(INDEX(样本到样信息汇总统计!V$2:V$500,MATCH(353,样本到样信息汇总统计!$X$2:$X$500,0)),"")</f>
        <v/>
      </c>
      <c r="W354" s="4" t="str">
        <f>IFERROR(INDEX(样本到样信息汇总统计!W$2:W$500,MATCH(353,样本到样信息汇总统计!$X$2:$X$500,0)),"")</f>
        <v/>
      </c>
    </row>
    <row r="355" ht="14.5" spans="1:23">
      <c r="A355" s="8" t="str">
        <f>IFERROR(INDEX(样本到样信息汇总统计!A$2:A$500,MATCH(354,样本到样信息汇总统计!$X$2:$X$500,0)),"")</f>
        <v/>
      </c>
      <c r="B355" s="8" t="str">
        <f>IFERROR(INDEX(样本到样信息汇总统计!B$2:B$500,MATCH(354,样本到样信息汇总统计!$X$2:$X$500,0)),"")</f>
        <v/>
      </c>
      <c r="C355" s="8" t="str">
        <f>IFERROR(INDEX(样本到样信息汇总统计!C$2:C$500,MATCH(354,样本到样信息汇总统计!$X$2:$X$500,0)),"")</f>
        <v/>
      </c>
      <c r="D355" s="8" t="str">
        <f>IFERROR(INDEX(样本到样信息汇总统计!D$2:D$500,MATCH(354,样本到样信息汇总统计!$X$2:$X$500,0)),"")</f>
        <v/>
      </c>
      <c r="E355" s="8" t="str">
        <f>IFERROR(INDEX(样本到样信息汇总统计!E$2:E$500,MATCH(354,样本到样信息汇总统计!$X$2:$X$500,0)),"")</f>
        <v/>
      </c>
      <c r="F355" s="8" t="str">
        <f>IFERROR(INDEX(样本到样信息汇总统计!F$2:F$500,MATCH(354,样本到样信息汇总统计!$X$2:$X$500,0)),"")</f>
        <v/>
      </c>
      <c r="G355" s="8" t="str">
        <f>IFERROR(INDEX(样本到样信息汇总统计!G$2:G$500,MATCH(354,样本到样信息汇总统计!$X$2:$X$500,0)),"")</f>
        <v/>
      </c>
      <c r="H355" s="8" t="str">
        <f>IFERROR(INDEX(样本到样信息汇总统计!H$2:H$500,MATCH(354,样本到样信息汇总统计!$X$2:$X$500,0)),"")</f>
        <v/>
      </c>
      <c r="I355" s="8" t="str">
        <f>IFERROR(INDEX(样本到样信息汇总统计!I$2:I$500,MATCH(354,样本到样信息汇总统计!$X$2:$X$500,0)),"")</f>
        <v/>
      </c>
      <c r="J355" s="8" t="str">
        <f>IFERROR(INDEX(样本到样信息汇总统计!J$2:J$500,MATCH(354,样本到样信息汇总统计!$X$2:$X$500,0)),"")</f>
        <v/>
      </c>
      <c r="K355" s="15" t="str">
        <f>IFERROR(INDEX(样本到样信息汇总统计!K$2:K$500,MATCH(354,样本到样信息汇总统计!$X$2:$X$500,0)),"")</f>
        <v/>
      </c>
      <c r="L355" s="8" t="str">
        <f>IFERROR(INDEX(样本到样信息汇总统计!L$2:L$500,MATCH(354,样本到样信息汇总统计!$X$2:$X$500,0)),"")</f>
        <v/>
      </c>
      <c r="M355" s="8" t="str">
        <f>IFERROR(INDEX(样本到样信息汇总统计!M$2:M$500,MATCH(354,样本到样信息汇总统计!$X$2:$X$500,0)),"")</f>
        <v/>
      </c>
      <c r="N355" s="8" t="str">
        <f>IFERROR(INDEX(样本到样信息汇总统计!N$2:N$500,MATCH(354,样本到样信息汇总统计!$X$2:$X$500,0)),"")</f>
        <v/>
      </c>
      <c r="O355" s="8" t="str">
        <f>IFERROR(INDEX(样本到样信息汇总统计!O$2:O$500,MATCH(354,样本到样信息汇总统计!$X$2:$X$500,0)),"")</f>
        <v/>
      </c>
      <c r="P355" s="8" t="str">
        <f>IFERROR(INDEX(样本到样信息汇总统计!P$2:P$500,MATCH(354,样本到样信息汇总统计!$X$2:$X$500,0)),"")</f>
        <v/>
      </c>
      <c r="Q355" s="8" t="str">
        <f>IFERROR(INDEX(样本到样信息汇总统计!Q$2:Q$500,MATCH(354,样本到样信息汇总统计!$X$2:$X$500,0)),"")</f>
        <v/>
      </c>
      <c r="R355" s="8" t="str">
        <f>IFERROR(INDEX(样本到样信息汇总统计!R$2:R$500,MATCH(354,样本到样信息汇总统计!$X$2:$X$500,0)),"")</f>
        <v/>
      </c>
      <c r="S355" s="8" t="str">
        <f>IFERROR(INDEX(样本到样信息汇总统计!S$2:S$500,MATCH(354,样本到样信息汇总统计!$X$2:$X$500,0)),"")</f>
        <v/>
      </c>
      <c r="T355" s="8" t="str">
        <f>IFERROR(INDEX(样本到样信息汇总统计!T$2:T$500,MATCH(354,样本到样信息汇总统计!$X$2:$X$500,0)),"")</f>
        <v/>
      </c>
      <c r="U355" s="8" t="str">
        <f>IFERROR(INDEX(样本到样信息汇总统计!U$2:U$500,MATCH(354,样本到样信息汇总统计!$X$2:$X$500,0)),"")</f>
        <v/>
      </c>
      <c r="V355" s="8" t="str">
        <f>IFERROR(INDEX(样本到样信息汇总统计!V$2:V$500,MATCH(354,样本到样信息汇总统计!$X$2:$X$500,0)),"")</f>
        <v/>
      </c>
      <c r="W355" s="8" t="str">
        <f>IFERROR(INDEX(样本到样信息汇总统计!W$2:W$500,MATCH(354,样本到样信息汇总统计!$X$2:$X$500,0)),"")</f>
        <v/>
      </c>
    </row>
    <row r="356" ht="14.5" spans="1:23">
      <c r="A356" s="4" t="str">
        <f>IFERROR(INDEX(样本到样信息汇总统计!A$2:A$500,MATCH(355,样本到样信息汇总统计!$X$2:$X$500,0)),"")</f>
        <v/>
      </c>
      <c r="B356" s="4" t="str">
        <f>IFERROR(INDEX(样本到样信息汇总统计!B$2:B$500,MATCH(355,样本到样信息汇总统计!$X$2:$X$500,0)),"")</f>
        <v/>
      </c>
      <c r="C356" s="4" t="str">
        <f>IFERROR(INDEX(样本到样信息汇总统计!C$2:C$500,MATCH(355,样本到样信息汇总统计!$X$2:$X$500,0)),"")</f>
        <v/>
      </c>
      <c r="D356" s="4" t="str">
        <f>IFERROR(INDEX(样本到样信息汇总统计!D$2:D$500,MATCH(355,样本到样信息汇总统计!$X$2:$X$500,0)),"")</f>
        <v/>
      </c>
      <c r="E356" s="4" t="str">
        <f>IFERROR(INDEX(样本到样信息汇总统计!E$2:E$500,MATCH(355,样本到样信息汇总统计!$X$2:$X$500,0)),"")</f>
        <v/>
      </c>
      <c r="F356" s="4" t="str">
        <f>IFERROR(INDEX(样本到样信息汇总统计!F$2:F$500,MATCH(355,样本到样信息汇总统计!$X$2:$X$500,0)),"")</f>
        <v/>
      </c>
      <c r="G356" s="4" t="str">
        <f>IFERROR(INDEX(样本到样信息汇总统计!G$2:G$500,MATCH(355,样本到样信息汇总统计!$X$2:$X$500,0)),"")</f>
        <v/>
      </c>
      <c r="H356" s="4" t="str">
        <f>IFERROR(INDEX(样本到样信息汇总统计!H$2:H$500,MATCH(355,样本到样信息汇总统计!$X$2:$X$500,0)),"")</f>
        <v/>
      </c>
      <c r="I356" s="4" t="str">
        <f>IFERROR(INDEX(样本到样信息汇总统计!I$2:I$500,MATCH(355,样本到样信息汇总统计!$X$2:$X$500,0)),"")</f>
        <v/>
      </c>
      <c r="J356" s="4" t="str">
        <f>IFERROR(INDEX(样本到样信息汇总统计!J$2:J$500,MATCH(355,样本到样信息汇总统计!$X$2:$X$500,0)),"")</f>
        <v/>
      </c>
      <c r="K356" s="14" t="str">
        <f>IFERROR(INDEX(样本到样信息汇总统计!K$2:K$500,MATCH(355,样本到样信息汇总统计!$X$2:$X$500,0)),"")</f>
        <v/>
      </c>
      <c r="L356" s="4" t="str">
        <f>IFERROR(INDEX(样本到样信息汇总统计!L$2:L$500,MATCH(355,样本到样信息汇总统计!$X$2:$X$500,0)),"")</f>
        <v/>
      </c>
      <c r="M356" s="4" t="str">
        <f>IFERROR(INDEX(样本到样信息汇总统计!M$2:M$500,MATCH(355,样本到样信息汇总统计!$X$2:$X$500,0)),"")</f>
        <v/>
      </c>
      <c r="N356" s="4" t="str">
        <f>IFERROR(INDEX(样本到样信息汇总统计!N$2:N$500,MATCH(355,样本到样信息汇总统计!$X$2:$X$500,0)),"")</f>
        <v/>
      </c>
      <c r="O356" s="4" t="str">
        <f>IFERROR(INDEX(样本到样信息汇总统计!O$2:O$500,MATCH(355,样本到样信息汇总统计!$X$2:$X$500,0)),"")</f>
        <v/>
      </c>
      <c r="P356" s="4" t="str">
        <f>IFERROR(INDEX(样本到样信息汇总统计!P$2:P$500,MATCH(355,样本到样信息汇总统计!$X$2:$X$500,0)),"")</f>
        <v/>
      </c>
      <c r="Q356" s="4" t="str">
        <f>IFERROR(INDEX(样本到样信息汇总统计!Q$2:Q$500,MATCH(355,样本到样信息汇总统计!$X$2:$X$500,0)),"")</f>
        <v/>
      </c>
      <c r="R356" s="4" t="str">
        <f>IFERROR(INDEX(样本到样信息汇总统计!R$2:R$500,MATCH(355,样本到样信息汇总统计!$X$2:$X$500,0)),"")</f>
        <v/>
      </c>
      <c r="S356" s="4" t="str">
        <f>IFERROR(INDEX(样本到样信息汇总统计!S$2:S$500,MATCH(355,样本到样信息汇总统计!$X$2:$X$500,0)),"")</f>
        <v/>
      </c>
      <c r="T356" s="4" t="str">
        <f>IFERROR(INDEX(样本到样信息汇总统计!T$2:T$500,MATCH(355,样本到样信息汇总统计!$X$2:$X$500,0)),"")</f>
        <v/>
      </c>
      <c r="U356" s="4" t="str">
        <f>IFERROR(INDEX(样本到样信息汇总统计!U$2:U$500,MATCH(355,样本到样信息汇总统计!$X$2:$X$500,0)),"")</f>
        <v/>
      </c>
      <c r="V356" s="4" t="str">
        <f>IFERROR(INDEX(样本到样信息汇总统计!V$2:V$500,MATCH(355,样本到样信息汇总统计!$X$2:$X$500,0)),"")</f>
        <v/>
      </c>
      <c r="W356" s="4" t="str">
        <f>IFERROR(INDEX(样本到样信息汇总统计!W$2:W$500,MATCH(355,样本到样信息汇总统计!$X$2:$X$500,0)),"")</f>
        <v/>
      </c>
    </row>
    <row r="357" ht="14.5" spans="1:23">
      <c r="A357" s="8" t="str">
        <f>IFERROR(INDEX(样本到样信息汇总统计!A$2:A$500,MATCH(356,样本到样信息汇总统计!$X$2:$X$500,0)),"")</f>
        <v/>
      </c>
      <c r="B357" s="8" t="str">
        <f>IFERROR(INDEX(样本到样信息汇总统计!B$2:B$500,MATCH(356,样本到样信息汇总统计!$X$2:$X$500,0)),"")</f>
        <v/>
      </c>
      <c r="C357" s="8" t="str">
        <f>IFERROR(INDEX(样本到样信息汇总统计!C$2:C$500,MATCH(356,样本到样信息汇总统计!$X$2:$X$500,0)),"")</f>
        <v/>
      </c>
      <c r="D357" s="8" t="str">
        <f>IFERROR(INDEX(样本到样信息汇总统计!D$2:D$500,MATCH(356,样本到样信息汇总统计!$X$2:$X$500,0)),"")</f>
        <v/>
      </c>
      <c r="E357" s="8" t="str">
        <f>IFERROR(INDEX(样本到样信息汇总统计!E$2:E$500,MATCH(356,样本到样信息汇总统计!$X$2:$X$500,0)),"")</f>
        <v/>
      </c>
      <c r="F357" s="8" t="str">
        <f>IFERROR(INDEX(样本到样信息汇总统计!F$2:F$500,MATCH(356,样本到样信息汇总统计!$X$2:$X$500,0)),"")</f>
        <v/>
      </c>
      <c r="G357" s="8" t="str">
        <f>IFERROR(INDEX(样本到样信息汇总统计!G$2:G$500,MATCH(356,样本到样信息汇总统计!$X$2:$X$500,0)),"")</f>
        <v/>
      </c>
      <c r="H357" s="8" t="str">
        <f>IFERROR(INDEX(样本到样信息汇总统计!H$2:H$500,MATCH(356,样本到样信息汇总统计!$X$2:$X$500,0)),"")</f>
        <v/>
      </c>
      <c r="I357" s="8" t="str">
        <f>IFERROR(INDEX(样本到样信息汇总统计!I$2:I$500,MATCH(356,样本到样信息汇总统计!$X$2:$X$500,0)),"")</f>
        <v/>
      </c>
      <c r="J357" s="8" t="str">
        <f>IFERROR(INDEX(样本到样信息汇总统计!J$2:J$500,MATCH(356,样本到样信息汇总统计!$X$2:$X$500,0)),"")</f>
        <v/>
      </c>
      <c r="K357" s="15" t="str">
        <f>IFERROR(INDEX(样本到样信息汇总统计!K$2:K$500,MATCH(356,样本到样信息汇总统计!$X$2:$X$500,0)),"")</f>
        <v/>
      </c>
      <c r="L357" s="8" t="str">
        <f>IFERROR(INDEX(样本到样信息汇总统计!L$2:L$500,MATCH(356,样本到样信息汇总统计!$X$2:$X$500,0)),"")</f>
        <v/>
      </c>
      <c r="M357" s="8" t="str">
        <f>IFERROR(INDEX(样本到样信息汇总统计!M$2:M$500,MATCH(356,样本到样信息汇总统计!$X$2:$X$500,0)),"")</f>
        <v/>
      </c>
      <c r="N357" s="8" t="str">
        <f>IFERROR(INDEX(样本到样信息汇总统计!N$2:N$500,MATCH(356,样本到样信息汇总统计!$X$2:$X$500,0)),"")</f>
        <v/>
      </c>
      <c r="O357" s="8" t="str">
        <f>IFERROR(INDEX(样本到样信息汇总统计!O$2:O$500,MATCH(356,样本到样信息汇总统计!$X$2:$X$500,0)),"")</f>
        <v/>
      </c>
      <c r="P357" s="8" t="str">
        <f>IFERROR(INDEX(样本到样信息汇总统计!P$2:P$500,MATCH(356,样本到样信息汇总统计!$X$2:$X$500,0)),"")</f>
        <v/>
      </c>
      <c r="Q357" s="8" t="str">
        <f>IFERROR(INDEX(样本到样信息汇总统计!Q$2:Q$500,MATCH(356,样本到样信息汇总统计!$X$2:$X$500,0)),"")</f>
        <v/>
      </c>
      <c r="R357" s="8" t="str">
        <f>IFERROR(INDEX(样本到样信息汇总统计!R$2:R$500,MATCH(356,样本到样信息汇总统计!$X$2:$X$500,0)),"")</f>
        <v/>
      </c>
      <c r="S357" s="8" t="str">
        <f>IFERROR(INDEX(样本到样信息汇总统计!S$2:S$500,MATCH(356,样本到样信息汇总统计!$X$2:$X$500,0)),"")</f>
        <v/>
      </c>
      <c r="T357" s="8" t="str">
        <f>IFERROR(INDEX(样本到样信息汇总统计!T$2:T$500,MATCH(356,样本到样信息汇总统计!$X$2:$X$500,0)),"")</f>
        <v/>
      </c>
      <c r="U357" s="8" t="str">
        <f>IFERROR(INDEX(样本到样信息汇总统计!U$2:U$500,MATCH(356,样本到样信息汇总统计!$X$2:$X$500,0)),"")</f>
        <v/>
      </c>
      <c r="V357" s="8" t="str">
        <f>IFERROR(INDEX(样本到样信息汇总统计!V$2:V$500,MATCH(356,样本到样信息汇总统计!$X$2:$X$500,0)),"")</f>
        <v/>
      </c>
      <c r="W357" s="8" t="str">
        <f>IFERROR(INDEX(样本到样信息汇总统计!W$2:W$500,MATCH(356,样本到样信息汇总统计!$X$2:$X$500,0)),"")</f>
        <v/>
      </c>
    </row>
    <row r="358" ht="14.5" spans="1:23">
      <c r="A358" s="4" t="str">
        <f>IFERROR(INDEX(样本到样信息汇总统计!A$2:A$500,MATCH(357,样本到样信息汇总统计!$X$2:$X$500,0)),"")</f>
        <v/>
      </c>
      <c r="B358" s="4" t="str">
        <f>IFERROR(INDEX(样本到样信息汇总统计!B$2:B$500,MATCH(357,样本到样信息汇总统计!$X$2:$X$500,0)),"")</f>
        <v/>
      </c>
      <c r="C358" s="4" t="str">
        <f>IFERROR(INDEX(样本到样信息汇总统计!C$2:C$500,MATCH(357,样本到样信息汇总统计!$X$2:$X$500,0)),"")</f>
        <v/>
      </c>
      <c r="D358" s="4" t="str">
        <f>IFERROR(INDEX(样本到样信息汇总统计!D$2:D$500,MATCH(357,样本到样信息汇总统计!$X$2:$X$500,0)),"")</f>
        <v/>
      </c>
      <c r="E358" s="4" t="str">
        <f>IFERROR(INDEX(样本到样信息汇总统计!E$2:E$500,MATCH(357,样本到样信息汇总统计!$X$2:$X$500,0)),"")</f>
        <v/>
      </c>
      <c r="F358" s="4" t="str">
        <f>IFERROR(INDEX(样本到样信息汇总统计!F$2:F$500,MATCH(357,样本到样信息汇总统计!$X$2:$X$500,0)),"")</f>
        <v/>
      </c>
      <c r="G358" s="4" t="str">
        <f>IFERROR(INDEX(样本到样信息汇总统计!G$2:G$500,MATCH(357,样本到样信息汇总统计!$X$2:$X$500,0)),"")</f>
        <v/>
      </c>
      <c r="H358" s="4" t="str">
        <f>IFERROR(INDEX(样本到样信息汇总统计!H$2:H$500,MATCH(357,样本到样信息汇总统计!$X$2:$X$500,0)),"")</f>
        <v/>
      </c>
      <c r="I358" s="4" t="str">
        <f>IFERROR(INDEX(样本到样信息汇总统计!I$2:I$500,MATCH(357,样本到样信息汇总统计!$X$2:$X$500,0)),"")</f>
        <v/>
      </c>
      <c r="J358" s="4" t="str">
        <f>IFERROR(INDEX(样本到样信息汇总统计!J$2:J$500,MATCH(357,样本到样信息汇总统计!$X$2:$X$500,0)),"")</f>
        <v/>
      </c>
      <c r="K358" s="14" t="str">
        <f>IFERROR(INDEX(样本到样信息汇总统计!K$2:K$500,MATCH(357,样本到样信息汇总统计!$X$2:$X$500,0)),"")</f>
        <v/>
      </c>
      <c r="L358" s="4" t="str">
        <f>IFERROR(INDEX(样本到样信息汇总统计!L$2:L$500,MATCH(357,样本到样信息汇总统计!$X$2:$X$500,0)),"")</f>
        <v/>
      </c>
      <c r="M358" s="4" t="str">
        <f>IFERROR(INDEX(样本到样信息汇总统计!M$2:M$500,MATCH(357,样本到样信息汇总统计!$X$2:$X$500,0)),"")</f>
        <v/>
      </c>
      <c r="N358" s="4" t="str">
        <f>IFERROR(INDEX(样本到样信息汇总统计!N$2:N$500,MATCH(357,样本到样信息汇总统计!$X$2:$X$500,0)),"")</f>
        <v/>
      </c>
      <c r="O358" s="4" t="str">
        <f>IFERROR(INDEX(样本到样信息汇总统计!O$2:O$500,MATCH(357,样本到样信息汇总统计!$X$2:$X$500,0)),"")</f>
        <v/>
      </c>
      <c r="P358" s="4" t="str">
        <f>IFERROR(INDEX(样本到样信息汇总统计!P$2:P$500,MATCH(357,样本到样信息汇总统计!$X$2:$X$500,0)),"")</f>
        <v/>
      </c>
      <c r="Q358" s="4" t="str">
        <f>IFERROR(INDEX(样本到样信息汇总统计!Q$2:Q$500,MATCH(357,样本到样信息汇总统计!$X$2:$X$500,0)),"")</f>
        <v/>
      </c>
      <c r="R358" s="4" t="str">
        <f>IFERROR(INDEX(样本到样信息汇总统计!R$2:R$500,MATCH(357,样本到样信息汇总统计!$X$2:$X$500,0)),"")</f>
        <v/>
      </c>
      <c r="S358" s="4" t="str">
        <f>IFERROR(INDEX(样本到样信息汇总统计!S$2:S$500,MATCH(357,样本到样信息汇总统计!$X$2:$X$500,0)),"")</f>
        <v/>
      </c>
      <c r="T358" s="4" t="str">
        <f>IFERROR(INDEX(样本到样信息汇总统计!T$2:T$500,MATCH(357,样本到样信息汇总统计!$X$2:$X$500,0)),"")</f>
        <v/>
      </c>
      <c r="U358" s="4" t="str">
        <f>IFERROR(INDEX(样本到样信息汇总统计!U$2:U$500,MATCH(357,样本到样信息汇总统计!$X$2:$X$500,0)),"")</f>
        <v/>
      </c>
      <c r="V358" s="4" t="str">
        <f>IFERROR(INDEX(样本到样信息汇总统计!V$2:V$500,MATCH(357,样本到样信息汇总统计!$X$2:$X$500,0)),"")</f>
        <v/>
      </c>
      <c r="W358" s="4" t="str">
        <f>IFERROR(INDEX(样本到样信息汇总统计!W$2:W$500,MATCH(357,样本到样信息汇总统计!$X$2:$X$500,0)),"")</f>
        <v/>
      </c>
    </row>
    <row r="359" ht="14.5" spans="1:23">
      <c r="A359" s="8" t="str">
        <f>IFERROR(INDEX(样本到样信息汇总统计!A$2:A$500,MATCH(358,样本到样信息汇总统计!$X$2:$X$500,0)),"")</f>
        <v/>
      </c>
      <c r="B359" s="8" t="str">
        <f>IFERROR(INDEX(样本到样信息汇总统计!B$2:B$500,MATCH(358,样本到样信息汇总统计!$X$2:$X$500,0)),"")</f>
        <v/>
      </c>
      <c r="C359" s="8" t="str">
        <f>IFERROR(INDEX(样本到样信息汇总统计!C$2:C$500,MATCH(358,样本到样信息汇总统计!$X$2:$X$500,0)),"")</f>
        <v/>
      </c>
      <c r="D359" s="8" t="str">
        <f>IFERROR(INDEX(样本到样信息汇总统计!D$2:D$500,MATCH(358,样本到样信息汇总统计!$X$2:$X$500,0)),"")</f>
        <v/>
      </c>
      <c r="E359" s="8" t="str">
        <f>IFERROR(INDEX(样本到样信息汇总统计!E$2:E$500,MATCH(358,样本到样信息汇总统计!$X$2:$X$500,0)),"")</f>
        <v/>
      </c>
      <c r="F359" s="8" t="str">
        <f>IFERROR(INDEX(样本到样信息汇总统计!F$2:F$500,MATCH(358,样本到样信息汇总统计!$X$2:$X$500,0)),"")</f>
        <v/>
      </c>
      <c r="G359" s="8" t="str">
        <f>IFERROR(INDEX(样本到样信息汇总统计!G$2:G$500,MATCH(358,样本到样信息汇总统计!$X$2:$X$500,0)),"")</f>
        <v/>
      </c>
      <c r="H359" s="8" t="str">
        <f>IFERROR(INDEX(样本到样信息汇总统计!H$2:H$500,MATCH(358,样本到样信息汇总统计!$X$2:$X$500,0)),"")</f>
        <v/>
      </c>
      <c r="I359" s="8" t="str">
        <f>IFERROR(INDEX(样本到样信息汇总统计!I$2:I$500,MATCH(358,样本到样信息汇总统计!$X$2:$X$500,0)),"")</f>
        <v/>
      </c>
      <c r="J359" s="8" t="str">
        <f>IFERROR(INDEX(样本到样信息汇总统计!J$2:J$500,MATCH(358,样本到样信息汇总统计!$X$2:$X$500,0)),"")</f>
        <v/>
      </c>
      <c r="K359" s="15" t="str">
        <f>IFERROR(INDEX(样本到样信息汇总统计!K$2:K$500,MATCH(358,样本到样信息汇总统计!$X$2:$X$500,0)),"")</f>
        <v/>
      </c>
      <c r="L359" s="8" t="str">
        <f>IFERROR(INDEX(样本到样信息汇总统计!L$2:L$500,MATCH(358,样本到样信息汇总统计!$X$2:$X$500,0)),"")</f>
        <v/>
      </c>
      <c r="M359" s="8" t="str">
        <f>IFERROR(INDEX(样本到样信息汇总统计!M$2:M$500,MATCH(358,样本到样信息汇总统计!$X$2:$X$500,0)),"")</f>
        <v/>
      </c>
      <c r="N359" s="8" t="str">
        <f>IFERROR(INDEX(样本到样信息汇总统计!N$2:N$500,MATCH(358,样本到样信息汇总统计!$X$2:$X$500,0)),"")</f>
        <v/>
      </c>
      <c r="O359" s="8" t="str">
        <f>IFERROR(INDEX(样本到样信息汇总统计!O$2:O$500,MATCH(358,样本到样信息汇总统计!$X$2:$X$500,0)),"")</f>
        <v/>
      </c>
      <c r="P359" s="8" t="str">
        <f>IFERROR(INDEX(样本到样信息汇总统计!P$2:P$500,MATCH(358,样本到样信息汇总统计!$X$2:$X$500,0)),"")</f>
        <v/>
      </c>
      <c r="Q359" s="8" t="str">
        <f>IFERROR(INDEX(样本到样信息汇总统计!Q$2:Q$500,MATCH(358,样本到样信息汇总统计!$X$2:$X$500,0)),"")</f>
        <v/>
      </c>
      <c r="R359" s="8" t="str">
        <f>IFERROR(INDEX(样本到样信息汇总统计!R$2:R$500,MATCH(358,样本到样信息汇总统计!$X$2:$X$500,0)),"")</f>
        <v/>
      </c>
      <c r="S359" s="8" t="str">
        <f>IFERROR(INDEX(样本到样信息汇总统计!S$2:S$500,MATCH(358,样本到样信息汇总统计!$X$2:$X$500,0)),"")</f>
        <v/>
      </c>
      <c r="T359" s="8" t="str">
        <f>IFERROR(INDEX(样本到样信息汇总统计!T$2:T$500,MATCH(358,样本到样信息汇总统计!$X$2:$X$500,0)),"")</f>
        <v/>
      </c>
      <c r="U359" s="8" t="str">
        <f>IFERROR(INDEX(样本到样信息汇总统计!U$2:U$500,MATCH(358,样本到样信息汇总统计!$X$2:$X$500,0)),"")</f>
        <v/>
      </c>
      <c r="V359" s="8" t="str">
        <f>IFERROR(INDEX(样本到样信息汇总统计!V$2:V$500,MATCH(358,样本到样信息汇总统计!$X$2:$X$500,0)),"")</f>
        <v/>
      </c>
      <c r="W359" s="8" t="str">
        <f>IFERROR(INDEX(样本到样信息汇总统计!W$2:W$500,MATCH(358,样本到样信息汇总统计!$X$2:$X$500,0)),"")</f>
        <v/>
      </c>
    </row>
    <row r="360" ht="14.5" spans="1:23">
      <c r="A360" s="4" t="str">
        <f>IFERROR(INDEX(样本到样信息汇总统计!A$2:A$500,MATCH(359,样本到样信息汇总统计!$X$2:$X$500,0)),"")</f>
        <v/>
      </c>
      <c r="B360" s="4" t="str">
        <f>IFERROR(INDEX(样本到样信息汇总统计!B$2:B$500,MATCH(359,样本到样信息汇总统计!$X$2:$X$500,0)),"")</f>
        <v/>
      </c>
      <c r="C360" s="4" t="str">
        <f>IFERROR(INDEX(样本到样信息汇总统计!C$2:C$500,MATCH(359,样本到样信息汇总统计!$X$2:$X$500,0)),"")</f>
        <v/>
      </c>
      <c r="D360" s="4" t="str">
        <f>IFERROR(INDEX(样本到样信息汇总统计!D$2:D$500,MATCH(359,样本到样信息汇总统计!$X$2:$X$500,0)),"")</f>
        <v/>
      </c>
      <c r="E360" s="4" t="str">
        <f>IFERROR(INDEX(样本到样信息汇总统计!E$2:E$500,MATCH(359,样本到样信息汇总统计!$X$2:$X$500,0)),"")</f>
        <v/>
      </c>
      <c r="F360" s="4" t="str">
        <f>IFERROR(INDEX(样本到样信息汇总统计!F$2:F$500,MATCH(359,样本到样信息汇总统计!$X$2:$X$500,0)),"")</f>
        <v/>
      </c>
      <c r="G360" s="4" t="str">
        <f>IFERROR(INDEX(样本到样信息汇总统计!G$2:G$500,MATCH(359,样本到样信息汇总统计!$X$2:$X$500,0)),"")</f>
        <v/>
      </c>
      <c r="H360" s="4" t="str">
        <f>IFERROR(INDEX(样本到样信息汇总统计!H$2:H$500,MATCH(359,样本到样信息汇总统计!$X$2:$X$500,0)),"")</f>
        <v/>
      </c>
      <c r="I360" s="4" t="str">
        <f>IFERROR(INDEX(样本到样信息汇总统计!I$2:I$500,MATCH(359,样本到样信息汇总统计!$X$2:$X$500,0)),"")</f>
        <v/>
      </c>
      <c r="J360" s="4" t="str">
        <f>IFERROR(INDEX(样本到样信息汇总统计!J$2:J$500,MATCH(359,样本到样信息汇总统计!$X$2:$X$500,0)),"")</f>
        <v/>
      </c>
      <c r="K360" s="14" t="str">
        <f>IFERROR(INDEX(样本到样信息汇总统计!K$2:K$500,MATCH(359,样本到样信息汇总统计!$X$2:$X$500,0)),"")</f>
        <v/>
      </c>
      <c r="L360" s="4" t="str">
        <f>IFERROR(INDEX(样本到样信息汇总统计!L$2:L$500,MATCH(359,样本到样信息汇总统计!$X$2:$X$500,0)),"")</f>
        <v/>
      </c>
      <c r="M360" s="4" t="str">
        <f>IFERROR(INDEX(样本到样信息汇总统计!M$2:M$500,MATCH(359,样本到样信息汇总统计!$X$2:$X$500,0)),"")</f>
        <v/>
      </c>
      <c r="N360" s="4" t="str">
        <f>IFERROR(INDEX(样本到样信息汇总统计!N$2:N$500,MATCH(359,样本到样信息汇总统计!$X$2:$X$500,0)),"")</f>
        <v/>
      </c>
      <c r="O360" s="4" t="str">
        <f>IFERROR(INDEX(样本到样信息汇总统计!O$2:O$500,MATCH(359,样本到样信息汇总统计!$X$2:$X$500,0)),"")</f>
        <v/>
      </c>
      <c r="P360" s="4" t="str">
        <f>IFERROR(INDEX(样本到样信息汇总统计!P$2:P$500,MATCH(359,样本到样信息汇总统计!$X$2:$X$500,0)),"")</f>
        <v/>
      </c>
      <c r="Q360" s="4" t="str">
        <f>IFERROR(INDEX(样本到样信息汇总统计!Q$2:Q$500,MATCH(359,样本到样信息汇总统计!$X$2:$X$500,0)),"")</f>
        <v/>
      </c>
      <c r="R360" s="4" t="str">
        <f>IFERROR(INDEX(样本到样信息汇总统计!R$2:R$500,MATCH(359,样本到样信息汇总统计!$X$2:$X$500,0)),"")</f>
        <v/>
      </c>
      <c r="S360" s="4" t="str">
        <f>IFERROR(INDEX(样本到样信息汇总统计!S$2:S$500,MATCH(359,样本到样信息汇总统计!$X$2:$X$500,0)),"")</f>
        <v/>
      </c>
      <c r="T360" s="4" t="str">
        <f>IFERROR(INDEX(样本到样信息汇总统计!T$2:T$500,MATCH(359,样本到样信息汇总统计!$X$2:$X$500,0)),"")</f>
        <v/>
      </c>
      <c r="U360" s="4" t="str">
        <f>IFERROR(INDEX(样本到样信息汇总统计!U$2:U$500,MATCH(359,样本到样信息汇总统计!$X$2:$X$500,0)),"")</f>
        <v/>
      </c>
      <c r="V360" s="4" t="str">
        <f>IFERROR(INDEX(样本到样信息汇总统计!V$2:V$500,MATCH(359,样本到样信息汇总统计!$X$2:$X$500,0)),"")</f>
        <v/>
      </c>
      <c r="W360" s="4" t="str">
        <f>IFERROR(INDEX(样本到样信息汇总统计!W$2:W$500,MATCH(359,样本到样信息汇总统计!$X$2:$X$500,0)),"")</f>
        <v/>
      </c>
    </row>
    <row r="361" ht="14.5" spans="1:23">
      <c r="A361" s="8" t="str">
        <f>IFERROR(INDEX(样本到样信息汇总统计!A$2:A$500,MATCH(360,样本到样信息汇总统计!$X$2:$X$500,0)),"")</f>
        <v/>
      </c>
      <c r="B361" s="8" t="str">
        <f>IFERROR(INDEX(样本到样信息汇总统计!B$2:B$500,MATCH(360,样本到样信息汇总统计!$X$2:$X$500,0)),"")</f>
        <v/>
      </c>
      <c r="C361" s="8" t="str">
        <f>IFERROR(INDEX(样本到样信息汇总统计!C$2:C$500,MATCH(360,样本到样信息汇总统计!$X$2:$X$500,0)),"")</f>
        <v/>
      </c>
      <c r="D361" s="8" t="str">
        <f>IFERROR(INDEX(样本到样信息汇总统计!D$2:D$500,MATCH(360,样本到样信息汇总统计!$X$2:$X$500,0)),"")</f>
        <v/>
      </c>
      <c r="E361" s="8" t="str">
        <f>IFERROR(INDEX(样本到样信息汇总统计!E$2:E$500,MATCH(360,样本到样信息汇总统计!$X$2:$X$500,0)),"")</f>
        <v/>
      </c>
      <c r="F361" s="8" t="str">
        <f>IFERROR(INDEX(样本到样信息汇总统计!F$2:F$500,MATCH(360,样本到样信息汇总统计!$X$2:$X$500,0)),"")</f>
        <v/>
      </c>
      <c r="G361" s="8" t="str">
        <f>IFERROR(INDEX(样本到样信息汇总统计!G$2:G$500,MATCH(360,样本到样信息汇总统计!$X$2:$X$500,0)),"")</f>
        <v/>
      </c>
      <c r="H361" s="8" t="str">
        <f>IFERROR(INDEX(样本到样信息汇总统计!H$2:H$500,MATCH(360,样本到样信息汇总统计!$X$2:$X$500,0)),"")</f>
        <v/>
      </c>
      <c r="I361" s="8" t="str">
        <f>IFERROR(INDEX(样本到样信息汇总统计!I$2:I$500,MATCH(360,样本到样信息汇总统计!$X$2:$X$500,0)),"")</f>
        <v/>
      </c>
      <c r="J361" s="8" t="str">
        <f>IFERROR(INDEX(样本到样信息汇总统计!J$2:J$500,MATCH(360,样本到样信息汇总统计!$X$2:$X$500,0)),"")</f>
        <v/>
      </c>
      <c r="K361" s="15" t="str">
        <f>IFERROR(INDEX(样本到样信息汇总统计!K$2:K$500,MATCH(360,样本到样信息汇总统计!$X$2:$X$500,0)),"")</f>
        <v/>
      </c>
      <c r="L361" s="8" t="str">
        <f>IFERROR(INDEX(样本到样信息汇总统计!L$2:L$500,MATCH(360,样本到样信息汇总统计!$X$2:$X$500,0)),"")</f>
        <v/>
      </c>
      <c r="M361" s="8" t="str">
        <f>IFERROR(INDEX(样本到样信息汇总统计!M$2:M$500,MATCH(360,样本到样信息汇总统计!$X$2:$X$500,0)),"")</f>
        <v/>
      </c>
      <c r="N361" s="8" t="str">
        <f>IFERROR(INDEX(样本到样信息汇总统计!N$2:N$500,MATCH(360,样本到样信息汇总统计!$X$2:$X$500,0)),"")</f>
        <v/>
      </c>
      <c r="O361" s="8" t="str">
        <f>IFERROR(INDEX(样本到样信息汇总统计!O$2:O$500,MATCH(360,样本到样信息汇总统计!$X$2:$X$500,0)),"")</f>
        <v/>
      </c>
      <c r="P361" s="8" t="str">
        <f>IFERROR(INDEX(样本到样信息汇总统计!P$2:P$500,MATCH(360,样本到样信息汇总统计!$X$2:$X$500,0)),"")</f>
        <v/>
      </c>
      <c r="Q361" s="8" t="str">
        <f>IFERROR(INDEX(样本到样信息汇总统计!Q$2:Q$500,MATCH(360,样本到样信息汇总统计!$X$2:$X$500,0)),"")</f>
        <v/>
      </c>
      <c r="R361" s="8" t="str">
        <f>IFERROR(INDEX(样本到样信息汇总统计!R$2:R$500,MATCH(360,样本到样信息汇总统计!$X$2:$X$500,0)),"")</f>
        <v/>
      </c>
      <c r="S361" s="8" t="str">
        <f>IFERROR(INDEX(样本到样信息汇总统计!S$2:S$500,MATCH(360,样本到样信息汇总统计!$X$2:$X$500,0)),"")</f>
        <v/>
      </c>
      <c r="T361" s="8" t="str">
        <f>IFERROR(INDEX(样本到样信息汇总统计!T$2:T$500,MATCH(360,样本到样信息汇总统计!$X$2:$X$500,0)),"")</f>
        <v/>
      </c>
      <c r="U361" s="8" t="str">
        <f>IFERROR(INDEX(样本到样信息汇总统计!U$2:U$500,MATCH(360,样本到样信息汇总统计!$X$2:$X$500,0)),"")</f>
        <v/>
      </c>
      <c r="V361" s="8" t="str">
        <f>IFERROR(INDEX(样本到样信息汇总统计!V$2:V$500,MATCH(360,样本到样信息汇总统计!$X$2:$X$500,0)),"")</f>
        <v/>
      </c>
      <c r="W361" s="8" t="str">
        <f>IFERROR(INDEX(样本到样信息汇总统计!W$2:W$500,MATCH(360,样本到样信息汇总统计!$X$2:$X$500,0)),"")</f>
        <v/>
      </c>
    </row>
    <row r="362" ht="14.5" spans="1:23">
      <c r="A362" s="4" t="str">
        <f>IFERROR(INDEX(样本到样信息汇总统计!A$2:A$500,MATCH(361,样本到样信息汇总统计!$X$2:$X$500,0)),"")</f>
        <v/>
      </c>
      <c r="B362" s="4" t="str">
        <f>IFERROR(INDEX(样本到样信息汇总统计!B$2:B$500,MATCH(361,样本到样信息汇总统计!$X$2:$X$500,0)),"")</f>
        <v/>
      </c>
      <c r="C362" s="4" t="str">
        <f>IFERROR(INDEX(样本到样信息汇总统计!C$2:C$500,MATCH(361,样本到样信息汇总统计!$X$2:$X$500,0)),"")</f>
        <v/>
      </c>
      <c r="D362" s="4" t="str">
        <f>IFERROR(INDEX(样本到样信息汇总统计!D$2:D$500,MATCH(361,样本到样信息汇总统计!$X$2:$X$500,0)),"")</f>
        <v/>
      </c>
      <c r="E362" s="4" t="str">
        <f>IFERROR(INDEX(样本到样信息汇总统计!E$2:E$500,MATCH(361,样本到样信息汇总统计!$X$2:$X$500,0)),"")</f>
        <v/>
      </c>
      <c r="F362" s="4" t="str">
        <f>IFERROR(INDEX(样本到样信息汇总统计!F$2:F$500,MATCH(361,样本到样信息汇总统计!$X$2:$X$500,0)),"")</f>
        <v/>
      </c>
      <c r="G362" s="4" t="str">
        <f>IFERROR(INDEX(样本到样信息汇总统计!G$2:G$500,MATCH(361,样本到样信息汇总统计!$X$2:$X$500,0)),"")</f>
        <v/>
      </c>
      <c r="H362" s="4" t="str">
        <f>IFERROR(INDEX(样本到样信息汇总统计!H$2:H$500,MATCH(361,样本到样信息汇总统计!$X$2:$X$500,0)),"")</f>
        <v/>
      </c>
      <c r="I362" s="4" t="str">
        <f>IFERROR(INDEX(样本到样信息汇总统计!I$2:I$500,MATCH(361,样本到样信息汇总统计!$X$2:$X$500,0)),"")</f>
        <v/>
      </c>
      <c r="J362" s="4" t="str">
        <f>IFERROR(INDEX(样本到样信息汇总统计!J$2:J$500,MATCH(361,样本到样信息汇总统计!$X$2:$X$500,0)),"")</f>
        <v/>
      </c>
      <c r="K362" s="14" t="str">
        <f>IFERROR(INDEX(样本到样信息汇总统计!K$2:K$500,MATCH(361,样本到样信息汇总统计!$X$2:$X$500,0)),"")</f>
        <v/>
      </c>
      <c r="L362" s="4" t="str">
        <f>IFERROR(INDEX(样本到样信息汇总统计!L$2:L$500,MATCH(361,样本到样信息汇总统计!$X$2:$X$500,0)),"")</f>
        <v/>
      </c>
      <c r="M362" s="4" t="str">
        <f>IFERROR(INDEX(样本到样信息汇总统计!M$2:M$500,MATCH(361,样本到样信息汇总统计!$X$2:$X$500,0)),"")</f>
        <v/>
      </c>
      <c r="N362" s="4" t="str">
        <f>IFERROR(INDEX(样本到样信息汇总统计!N$2:N$500,MATCH(361,样本到样信息汇总统计!$X$2:$X$500,0)),"")</f>
        <v/>
      </c>
      <c r="O362" s="4" t="str">
        <f>IFERROR(INDEX(样本到样信息汇总统计!O$2:O$500,MATCH(361,样本到样信息汇总统计!$X$2:$X$500,0)),"")</f>
        <v/>
      </c>
      <c r="P362" s="4" t="str">
        <f>IFERROR(INDEX(样本到样信息汇总统计!P$2:P$500,MATCH(361,样本到样信息汇总统计!$X$2:$X$500,0)),"")</f>
        <v/>
      </c>
      <c r="Q362" s="4" t="str">
        <f>IFERROR(INDEX(样本到样信息汇总统计!Q$2:Q$500,MATCH(361,样本到样信息汇总统计!$X$2:$X$500,0)),"")</f>
        <v/>
      </c>
      <c r="R362" s="4" t="str">
        <f>IFERROR(INDEX(样本到样信息汇总统计!R$2:R$500,MATCH(361,样本到样信息汇总统计!$X$2:$X$500,0)),"")</f>
        <v/>
      </c>
      <c r="S362" s="4" t="str">
        <f>IFERROR(INDEX(样本到样信息汇总统计!S$2:S$500,MATCH(361,样本到样信息汇总统计!$X$2:$X$500,0)),"")</f>
        <v/>
      </c>
      <c r="T362" s="4" t="str">
        <f>IFERROR(INDEX(样本到样信息汇总统计!T$2:T$500,MATCH(361,样本到样信息汇总统计!$X$2:$X$500,0)),"")</f>
        <v/>
      </c>
      <c r="U362" s="4" t="str">
        <f>IFERROR(INDEX(样本到样信息汇总统计!U$2:U$500,MATCH(361,样本到样信息汇总统计!$X$2:$X$500,0)),"")</f>
        <v/>
      </c>
      <c r="V362" s="4" t="str">
        <f>IFERROR(INDEX(样本到样信息汇总统计!V$2:V$500,MATCH(361,样本到样信息汇总统计!$X$2:$X$500,0)),"")</f>
        <v/>
      </c>
      <c r="W362" s="4" t="str">
        <f>IFERROR(INDEX(样本到样信息汇总统计!W$2:W$500,MATCH(361,样本到样信息汇总统计!$X$2:$X$500,0)),"")</f>
        <v/>
      </c>
    </row>
    <row r="363" ht="14.5" spans="1:23">
      <c r="A363" s="8" t="str">
        <f>IFERROR(INDEX(样本到样信息汇总统计!A$2:A$500,MATCH(362,样本到样信息汇总统计!$X$2:$X$500,0)),"")</f>
        <v/>
      </c>
      <c r="B363" s="8" t="str">
        <f>IFERROR(INDEX(样本到样信息汇总统计!B$2:B$500,MATCH(362,样本到样信息汇总统计!$X$2:$X$500,0)),"")</f>
        <v/>
      </c>
      <c r="C363" s="8" t="str">
        <f>IFERROR(INDEX(样本到样信息汇总统计!C$2:C$500,MATCH(362,样本到样信息汇总统计!$X$2:$X$500,0)),"")</f>
        <v/>
      </c>
      <c r="D363" s="8" t="str">
        <f>IFERROR(INDEX(样本到样信息汇总统计!D$2:D$500,MATCH(362,样本到样信息汇总统计!$X$2:$X$500,0)),"")</f>
        <v/>
      </c>
      <c r="E363" s="8" t="str">
        <f>IFERROR(INDEX(样本到样信息汇总统计!E$2:E$500,MATCH(362,样本到样信息汇总统计!$X$2:$X$500,0)),"")</f>
        <v/>
      </c>
      <c r="F363" s="8" t="str">
        <f>IFERROR(INDEX(样本到样信息汇总统计!F$2:F$500,MATCH(362,样本到样信息汇总统计!$X$2:$X$500,0)),"")</f>
        <v/>
      </c>
      <c r="G363" s="8" t="str">
        <f>IFERROR(INDEX(样本到样信息汇总统计!G$2:G$500,MATCH(362,样本到样信息汇总统计!$X$2:$X$500,0)),"")</f>
        <v/>
      </c>
      <c r="H363" s="8" t="str">
        <f>IFERROR(INDEX(样本到样信息汇总统计!H$2:H$500,MATCH(362,样本到样信息汇总统计!$X$2:$X$500,0)),"")</f>
        <v/>
      </c>
      <c r="I363" s="8" t="str">
        <f>IFERROR(INDEX(样本到样信息汇总统计!I$2:I$500,MATCH(362,样本到样信息汇总统计!$X$2:$X$500,0)),"")</f>
        <v/>
      </c>
      <c r="J363" s="8" t="str">
        <f>IFERROR(INDEX(样本到样信息汇总统计!J$2:J$500,MATCH(362,样本到样信息汇总统计!$X$2:$X$500,0)),"")</f>
        <v/>
      </c>
      <c r="K363" s="15" t="str">
        <f>IFERROR(INDEX(样本到样信息汇总统计!K$2:K$500,MATCH(362,样本到样信息汇总统计!$X$2:$X$500,0)),"")</f>
        <v/>
      </c>
      <c r="L363" s="8" t="str">
        <f>IFERROR(INDEX(样本到样信息汇总统计!L$2:L$500,MATCH(362,样本到样信息汇总统计!$X$2:$X$500,0)),"")</f>
        <v/>
      </c>
      <c r="M363" s="8" t="str">
        <f>IFERROR(INDEX(样本到样信息汇总统计!M$2:M$500,MATCH(362,样本到样信息汇总统计!$X$2:$X$500,0)),"")</f>
        <v/>
      </c>
      <c r="N363" s="8" t="str">
        <f>IFERROR(INDEX(样本到样信息汇总统计!N$2:N$500,MATCH(362,样本到样信息汇总统计!$X$2:$X$500,0)),"")</f>
        <v/>
      </c>
      <c r="O363" s="8" t="str">
        <f>IFERROR(INDEX(样本到样信息汇总统计!O$2:O$500,MATCH(362,样本到样信息汇总统计!$X$2:$X$500,0)),"")</f>
        <v/>
      </c>
      <c r="P363" s="8" t="str">
        <f>IFERROR(INDEX(样本到样信息汇总统计!P$2:P$500,MATCH(362,样本到样信息汇总统计!$X$2:$X$500,0)),"")</f>
        <v/>
      </c>
      <c r="Q363" s="8" t="str">
        <f>IFERROR(INDEX(样本到样信息汇总统计!Q$2:Q$500,MATCH(362,样本到样信息汇总统计!$X$2:$X$500,0)),"")</f>
        <v/>
      </c>
      <c r="R363" s="8" t="str">
        <f>IFERROR(INDEX(样本到样信息汇总统计!R$2:R$500,MATCH(362,样本到样信息汇总统计!$X$2:$X$500,0)),"")</f>
        <v/>
      </c>
      <c r="S363" s="8" t="str">
        <f>IFERROR(INDEX(样本到样信息汇总统计!S$2:S$500,MATCH(362,样本到样信息汇总统计!$X$2:$X$500,0)),"")</f>
        <v/>
      </c>
      <c r="T363" s="8" t="str">
        <f>IFERROR(INDEX(样本到样信息汇总统计!T$2:T$500,MATCH(362,样本到样信息汇总统计!$X$2:$X$500,0)),"")</f>
        <v/>
      </c>
      <c r="U363" s="8" t="str">
        <f>IFERROR(INDEX(样本到样信息汇总统计!U$2:U$500,MATCH(362,样本到样信息汇总统计!$X$2:$X$500,0)),"")</f>
        <v/>
      </c>
      <c r="V363" s="8" t="str">
        <f>IFERROR(INDEX(样本到样信息汇总统计!V$2:V$500,MATCH(362,样本到样信息汇总统计!$X$2:$X$500,0)),"")</f>
        <v/>
      </c>
      <c r="W363" s="8" t="str">
        <f>IFERROR(INDEX(样本到样信息汇总统计!W$2:W$500,MATCH(362,样本到样信息汇总统计!$X$2:$X$500,0)),"")</f>
        <v/>
      </c>
    </row>
    <row r="364" ht="14.5" spans="1:23">
      <c r="A364" s="4" t="str">
        <f>IFERROR(INDEX(样本到样信息汇总统计!A$2:A$500,MATCH(363,样本到样信息汇总统计!$X$2:$X$500,0)),"")</f>
        <v/>
      </c>
      <c r="B364" s="4" t="str">
        <f>IFERROR(INDEX(样本到样信息汇总统计!B$2:B$500,MATCH(363,样本到样信息汇总统计!$X$2:$X$500,0)),"")</f>
        <v/>
      </c>
      <c r="C364" s="4" t="str">
        <f>IFERROR(INDEX(样本到样信息汇总统计!C$2:C$500,MATCH(363,样本到样信息汇总统计!$X$2:$X$500,0)),"")</f>
        <v/>
      </c>
      <c r="D364" s="4" t="str">
        <f>IFERROR(INDEX(样本到样信息汇总统计!D$2:D$500,MATCH(363,样本到样信息汇总统计!$X$2:$X$500,0)),"")</f>
        <v/>
      </c>
      <c r="E364" s="4" t="str">
        <f>IFERROR(INDEX(样本到样信息汇总统计!E$2:E$500,MATCH(363,样本到样信息汇总统计!$X$2:$X$500,0)),"")</f>
        <v/>
      </c>
      <c r="F364" s="4" t="str">
        <f>IFERROR(INDEX(样本到样信息汇总统计!F$2:F$500,MATCH(363,样本到样信息汇总统计!$X$2:$X$500,0)),"")</f>
        <v/>
      </c>
      <c r="G364" s="4" t="str">
        <f>IFERROR(INDEX(样本到样信息汇总统计!G$2:G$500,MATCH(363,样本到样信息汇总统计!$X$2:$X$500,0)),"")</f>
        <v/>
      </c>
      <c r="H364" s="4" t="str">
        <f>IFERROR(INDEX(样本到样信息汇总统计!H$2:H$500,MATCH(363,样本到样信息汇总统计!$X$2:$X$500,0)),"")</f>
        <v/>
      </c>
      <c r="I364" s="4" t="str">
        <f>IFERROR(INDEX(样本到样信息汇总统计!I$2:I$500,MATCH(363,样本到样信息汇总统计!$X$2:$X$500,0)),"")</f>
        <v/>
      </c>
      <c r="J364" s="4" t="str">
        <f>IFERROR(INDEX(样本到样信息汇总统计!J$2:J$500,MATCH(363,样本到样信息汇总统计!$X$2:$X$500,0)),"")</f>
        <v/>
      </c>
      <c r="K364" s="14" t="str">
        <f>IFERROR(INDEX(样本到样信息汇总统计!K$2:K$500,MATCH(363,样本到样信息汇总统计!$X$2:$X$500,0)),"")</f>
        <v/>
      </c>
      <c r="L364" s="4" t="str">
        <f>IFERROR(INDEX(样本到样信息汇总统计!L$2:L$500,MATCH(363,样本到样信息汇总统计!$X$2:$X$500,0)),"")</f>
        <v/>
      </c>
      <c r="M364" s="4" t="str">
        <f>IFERROR(INDEX(样本到样信息汇总统计!M$2:M$500,MATCH(363,样本到样信息汇总统计!$X$2:$X$500,0)),"")</f>
        <v/>
      </c>
      <c r="N364" s="4" t="str">
        <f>IFERROR(INDEX(样本到样信息汇总统计!N$2:N$500,MATCH(363,样本到样信息汇总统计!$X$2:$X$500,0)),"")</f>
        <v/>
      </c>
      <c r="O364" s="4" t="str">
        <f>IFERROR(INDEX(样本到样信息汇总统计!O$2:O$500,MATCH(363,样本到样信息汇总统计!$X$2:$X$500,0)),"")</f>
        <v/>
      </c>
      <c r="P364" s="4" t="str">
        <f>IFERROR(INDEX(样本到样信息汇总统计!P$2:P$500,MATCH(363,样本到样信息汇总统计!$X$2:$X$500,0)),"")</f>
        <v/>
      </c>
      <c r="Q364" s="4" t="str">
        <f>IFERROR(INDEX(样本到样信息汇总统计!Q$2:Q$500,MATCH(363,样本到样信息汇总统计!$X$2:$X$500,0)),"")</f>
        <v/>
      </c>
      <c r="R364" s="4" t="str">
        <f>IFERROR(INDEX(样本到样信息汇总统计!R$2:R$500,MATCH(363,样本到样信息汇总统计!$X$2:$X$500,0)),"")</f>
        <v/>
      </c>
      <c r="S364" s="4" t="str">
        <f>IFERROR(INDEX(样本到样信息汇总统计!S$2:S$500,MATCH(363,样本到样信息汇总统计!$X$2:$X$500,0)),"")</f>
        <v/>
      </c>
      <c r="T364" s="4" t="str">
        <f>IFERROR(INDEX(样本到样信息汇总统计!T$2:T$500,MATCH(363,样本到样信息汇总统计!$X$2:$X$500,0)),"")</f>
        <v/>
      </c>
      <c r="U364" s="4" t="str">
        <f>IFERROR(INDEX(样本到样信息汇总统计!U$2:U$500,MATCH(363,样本到样信息汇总统计!$X$2:$X$500,0)),"")</f>
        <v/>
      </c>
      <c r="V364" s="4" t="str">
        <f>IFERROR(INDEX(样本到样信息汇总统计!V$2:V$500,MATCH(363,样本到样信息汇总统计!$X$2:$X$500,0)),"")</f>
        <v/>
      </c>
      <c r="W364" s="4" t="str">
        <f>IFERROR(INDEX(样本到样信息汇总统计!W$2:W$500,MATCH(363,样本到样信息汇总统计!$X$2:$X$500,0)),"")</f>
        <v/>
      </c>
    </row>
    <row r="365" ht="14.5" spans="1:23">
      <c r="A365" s="8" t="str">
        <f>IFERROR(INDEX(样本到样信息汇总统计!A$2:A$500,MATCH(364,样本到样信息汇总统计!$X$2:$X$500,0)),"")</f>
        <v/>
      </c>
      <c r="B365" s="8" t="str">
        <f>IFERROR(INDEX(样本到样信息汇总统计!B$2:B$500,MATCH(364,样本到样信息汇总统计!$X$2:$X$500,0)),"")</f>
        <v/>
      </c>
      <c r="C365" s="8" t="str">
        <f>IFERROR(INDEX(样本到样信息汇总统计!C$2:C$500,MATCH(364,样本到样信息汇总统计!$X$2:$X$500,0)),"")</f>
        <v/>
      </c>
      <c r="D365" s="8" t="str">
        <f>IFERROR(INDEX(样本到样信息汇总统计!D$2:D$500,MATCH(364,样本到样信息汇总统计!$X$2:$X$500,0)),"")</f>
        <v/>
      </c>
      <c r="E365" s="8" t="str">
        <f>IFERROR(INDEX(样本到样信息汇总统计!E$2:E$500,MATCH(364,样本到样信息汇总统计!$X$2:$X$500,0)),"")</f>
        <v/>
      </c>
      <c r="F365" s="8" t="str">
        <f>IFERROR(INDEX(样本到样信息汇总统计!F$2:F$500,MATCH(364,样本到样信息汇总统计!$X$2:$X$500,0)),"")</f>
        <v/>
      </c>
      <c r="G365" s="8" t="str">
        <f>IFERROR(INDEX(样本到样信息汇总统计!G$2:G$500,MATCH(364,样本到样信息汇总统计!$X$2:$X$500,0)),"")</f>
        <v/>
      </c>
      <c r="H365" s="8" t="str">
        <f>IFERROR(INDEX(样本到样信息汇总统计!H$2:H$500,MATCH(364,样本到样信息汇总统计!$X$2:$X$500,0)),"")</f>
        <v/>
      </c>
      <c r="I365" s="8" t="str">
        <f>IFERROR(INDEX(样本到样信息汇总统计!I$2:I$500,MATCH(364,样本到样信息汇总统计!$X$2:$X$500,0)),"")</f>
        <v/>
      </c>
      <c r="J365" s="8" t="str">
        <f>IFERROR(INDEX(样本到样信息汇总统计!J$2:J$500,MATCH(364,样本到样信息汇总统计!$X$2:$X$500,0)),"")</f>
        <v/>
      </c>
      <c r="K365" s="15" t="str">
        <f>IFERROR(INDEX(样本到样信息汇总统计!K$2:K$500,MATCH(364,样本到样信息汇总统计!$X$2:$X$500,0)),"")</f>
        <v/>
      </c>
      <c r="L365" s="8" t="str">
        <f>IFERROR(INDEX(样本到样信息汇总统计!L$2:L$500,MATCH(364,样本到样信息汇总统计!$X$2:$X$500,0)),"")</f>
        <v/>
      </c>
      <c r="M365" s="8" t="str">
        <f>IFERROR(INDEX(样本到样信息汇总统计!M$2:M$500,MATCH(364,样本到样信息汇总统计!$X$2:$X$500,0)),"")</f>
        <v/>
      </c>
      <c r="N365" s="8" t="str">
        <f>IFERROR(INDEX(样本到样信息汇总统计!N$2:N$500,MATCH(364,样本到样信息汇总统计!$X$2:$X$500,0)),"")</f>
        <v/>
      </c>
      <c r="O365" s="8" t="str">
        <f>IFERROR(INDEX(样本到样信息汇总统计!O$2:O$500,MATCH(364,样本到样信息汇总统计!$X$2:$X$500,0)),"")</f>
        <v/>
      </c>
      <c r="P365" s="8" t="str">
        <f>IFERROR(INDEX(样本到样信息汇总统计!P$2:P$500,MATCH(364,样本到样信息汇总统计!$X$2:$X$500,0)),"")</f>
        <v/>
      </c>
      <c r="Q365" s="8" t="str">
        <f>IFERROR(INDEX(样本到样信息汇总统计!Q$2:Q$500,MATCH(364,样本到样信息汇总统计!$X$2:$X$500,0)),"")</f>
        <v/>
      </c>
      <c r="R365" s="8" t="str">
        <f>IFERROR(INDEX(样本到样信息汇总统计!R$2:R$500,MATCH(364,样本到样信息汇总统计!$X$2:$X$500,0)),"")</f>
        <v/>
      </c>
      <c r="S365" s="8" t="str">
        <f>IFERROR(INDEX(样本到样信息汇总统计!S$2:S$500,MATCH(364,样本到样信息汇总统计!$X$2:$X$500,0)),"")</f>
        <v/>
      </c>
      <c r="T365" s="8" t="str">
        <f>IFERROR(INDEX(样本到样信息汇总统计!T$2:T$500,MATCH(364,样本到样信息汇总统计!$X$2:$X$500,0)),"")</f>
        <v/>
      </c>
      <c r="U365" s="8" t="str">
        <f>IFERROR(INDEX(样本到样信息汇总统计!U$2:U$500,MATCH(364,样本到样信息汇总统计!$X$2:$X$500,0)),"")</f>
        <v/>
      </c>
      <c r="V365" s="8" t="str">
        <f>IFERROR(INDEX(样本到样信息汇总统计!V$2:V$500,MATCH(364,样本到样信息汇总统计!$X$2:$X$500,0)),"")</f>
        <v/>
      </c>
      <c r="W365" s="8" t="str">
        <f>IFERROR(INDEX(样本到样信息汇总统计!W$2:W$500,MATCH(364,样本到样信息汇总统计!$X$2:$X$500,0)),"")</f>
        <v/>
      </c>
    </row>
    <row r="366" ht="14.5" spans="1:23">
      <c r="A366" s="4" t="str">
        <f>IFERROR(INDEX(样本到样信息汇总统计!A$2:A$500,MATCH(365,样本到样信息汇总统计!$X$2:$X$500,0)),"")</f>
        <v/>
      </c>
      <c r="B366" s="4" t="str">
        <f>IFERROR(INDEX(样本到样信息汇总统计!B$2:B$500,MATCH(365,样本到样信息汇总统计!$X$2:$X$500,0)),"")</f>
        <v/>
      </c>
      <c r="C366" s="4" t="str">
        <f>IFERROR(INDEX(样本到样信息汇总统计!C$2:C$500,MATCH(365,样本到样信息汇总统计!$X$2:$X$500,0)),"")</f>
        <v/>
      </c>
      <c r="D366" s="4" t="str">
        <f>IFERROR(INDEX(样本到样信息汇总统计!D$2:D$500,MATCH(365,样本到样信息汇总统计!$X$2:$X$500,0)),"")</f>
        <v/>
      </c>
      <c r="E366" s="4" t="str">
        <f>IFERROR(INDEX(样本到样信息汇总统计!E$2:E$500,MATCH(365,样本到样信息汇总统计!$X$2:$X$500,0)),"")</f>
        <v/>
      </c>
      <c r="F366" s="4" t="str">
        <f>IFERROR(INDEX(样本到样信息汇总统计!F$2:F$500,MATCH(365,样本到样信息汇总统计!$X$2:$X$500,0)),"")</f>
        <v/>
      </c>
      <c r="G366" s="4" t="str">
        <f>IFERROR(INDEX(样本到样信息汇总统计!G$2:G$500,MATCH(365,样本到样信息汇总统计!$X$2:$X$500,0)),"")</f>
        <v/>
      </c>
      <c r="H366" s="4" t="str">
        <f>IFERROR(INDEX(样本到样信息汇总统计!H$2:H$500,MATCH(365,样本到样信息汇总统计!$X$2:$X$500,0)),"")</f>
        <v/>
      </c>
      <c r="I366" s="4" t="str">
        <f>IFERROR(INDEX(样本到样信息汇总统计!I$2:I$500,MATCH(365,样本到样信息汇总统计!$X$2:$X$500,0)),"")</f>
        <v/>
      </c>
      <c r="J366" s="4" t="str">
        <f>IFERROR(INDEX(样本到样信息汇总统计!J$2:J$500,MATCH(365,样本到样信息汇总统计!$X$2:$X$500,0)),"")</f>
        <v/>
      </c>
      <c r="K366" s="14" t="str">
        <f>IFERROR(INDEX(样本到样信息汇总统计!K$2:K$500,MATCH(365,样本到样信息汇总统计!$X$2:$X$500,0)),"")</f>
        <v/>
      </c>
      <c r="L366" s="4" t="str">
        <f>IFERROR(INDEX(样本到样信息汇总统计!L$2:L$500,MATCH(365,样本到样信息汇总统计!$X$2:$X$500,0)),"")</f>
        <v/>
      </c>
      <c r="M366" s="4" t="str">
        <f>IFERROR(INDEX(样本到样信息汇总统计!M$2:M$500,MATCH(365,样本到样信息汇总统计!$X$2:$X$500,0)),"")</f>
        <v/>
      </c>
      <c r="N366" s="4" t="str">
        <f>IFERROR(INDEX(样本到样信息汇总统计!N$2:N$500,MATCH(365,样本到样信息汇总统计!$X$2:$X$500,0)),"")</f>
        <v/>
      </c>
      <c r="O366" s="4" t="str">
        <f>IFERROR(INDEX(样本到样信息汇总统计!O$2:O$500,MATCH(365,样本到样信息汇总统计!$X$2:$X$500,0)),"")</f>
        <v/>
      </c>
      <c r="P366" s="4" t="str">
        <f>IFERROR(INDEX(样本到样信息汇总统计!P$2:P$500,MATCH(365,样本到样信息汇总统计!$X$2:$X$500,0)),"")</f>
        <v/>
      </c>
      <c r="Q366" s="4" t="str">
        <f>IFERROR(INDEX(样本到样信息汇总统计!Q$2:Q$500,MATCH(365,样本到样信息汇总统计!$X$2:$X$500,0)),"")</f>
        <v/>
      </c>
      <c r="R366" s="4" t="str">
        <f>IFERROR(INDEX(样本到样信息汇总统计!R$2:R$500,MATCH(365,样本到样信息汇总统计!$X$2:$X$500,0)),"")</f>
        <v/>
      </c>
      <c r="S366" s="4" t="str">
        <f>IFERROR(INDEX(样本到样信息汇总统计!S$2:S$500,MATCH(365,样本到样信息汇总统计!$X$2:$X$500,0)),"")</f>
        <v/>
      </c>
      <c r="T366" s="4" t="str">
        <f>IFERROR(INDEX(样本到样信息汇总统计!T$2:T$500,MATCH(365,样本到样信息汇总统计!$X$2:$X$500,0)),"")</f>
        <v/>
      </c>
      <c r="U366" s="4" t="str">
        <f>IFERROR(INDEX(样本到样信息汇总统计!U$2:U$500,MATCH(365,样本到样信息汇总统计!$X$2:$X$500,0)),"")</f>
        <v/>
      </c>
      <c r="V366" s="4" t="str">
        <f>IFERROR(INDEX(样本到样信息汇总统计!V$2:V$500,MATCH(365,样本到样信息汇总统计!$X$2:$X$500,0)),"")</f>
        <v/>
      </c>
      <c r="W366" s="4" t="str">
        <f>IFERROR(INDEX(样本到样信息汇总统计!W$2:W$500,MATCH(365,样本到样信息汇总统计!$X$2:$X$500,0)),"")</f>
        <v/>
      </c>
    </row>
    <row r="367" ht="14.5" spans="1:23">
      <c r="A367" s="8" t="str">
        <f>IFERROR(INDEX(样本到样信息汇总统计!A$2:A$500,MATCH(366,样本到样信息汇总统计!$X$2:$X$500,0)),"")</f>
        <v/>
      </c>
      <c r="B367" s="8" t="str">
        <f>IFERROR(INDEX(样本到样信息汇总统计!B$2:B$500,MATCH(366,样本到样信息汇总统计!$X$2:$X$500,0)),"")</f>
        <v/>
      </c>
      <c r="C367" s="8" t="str">
        <f>IFERROR(INDEX(样本到样信息汇总统计!C$2:C$500,MATCH(366,样本到样信息汇总统计!$X$2:$X$500,0)),"")</f>
        <v/>
      </c>
      <c r="D367" s="8" t="str">
        <f>IFERROR(INDEX(样本到样信息汇总统计!D$2:D$500,MATCH(366,样本到样信息汇总统计!$X$2:$X$500,0)),"")</f>
        <v/>
      </c>
      <c r="E367" s="8" t="str">
        <f>IFERROR(INDEX(样本到样信息汇总统计!E$2:E$500,MATCH(366,样本到样信息汇总统计!$X$2:$X$500,0)),"")</f>
        <v/>
      </c>
      <c r="F367" s="8" t="str">
        <f>IFERROR(INDEX(样本到样信息汇总统计!F$2:F$500,MATCH(366,样本到样信息汇总统计!$X$2:$X$500,0)),"")</f>
        <v/>
      </c>
      <c r="G367" s="8" t="str">
        <f>IFERROR(INDEX(样本到样信息汇总统计!G$2:G$500,MATCH(366,样本到样信息汇总统计!$X$2:$X$500,0)),"")</f>
        <v/>
      </c>
      <c r="H367" s="8" t="str">
        <f>IFERROR(INDEX(样本到样信息汇总统计!H$2:H$500,MATCH(366,样本到样信息汇总统计!$X$2:$X$500,0)),"")</f>
        <v/>
      </c>
      <c r="I367" s="8" t="str">
        <f>IFERROR(INDEX(样本到样信息汇总统计!I$2:I$500,MATCH(366,样本到样信息汇总统计!$X$2:$X$500,0)),"")</f>
        <v/>
      </c>
      <c r="J367" s="8" t="str">
        <f>IFERROR(INDEX(样本到样信息汇总统计!J$2:J$500,MATCH(366,样本到样信息汇总统计!$X$2:$X$500,0)),"")</f>
        <v/>
      </c>
      <c r="K367" s="15" t="str">
        <f>IFERROR(INDEX(样本到样信息汇总统计!K$2:K$500,MATCH(366,样本到样信息汇总统计!$X$2:$X$500,0)),"")</f>
        <v/>
      </c>
      <c r="L367" s="8" t="str">
        <f>IFERROR(INDEX(样本到样信息汇总统计!L$2:L$500,MATCH(366,样本到样信息汇总统计!$X$2:$X$500,0)),"")</f>
        <v/>
      </c>
      <c r="M367" s="8" t="str">
        <f>IFERROR(INDEX(样本到样信息汇总统计!M$2:M$500,MATCH(366,样本到样信息汇总统计!$X$2:$X$500,0)),"")</f>
        <v/>
      </c>
      <c r="N367" s="8" t="str">
        <f>IFERROR(INDEX(样本到样信息汇总统计!N$2:N$500,MATCH(366,样本到样信息汇总统计!$X$2:$X$500,0)),"")</f>
        <v/>
      </c>
      <c r="O367" s="8" t="str">
        <f>IFERROR(INDEX(样本到样信息汇总统计!O$2:O$500,MATCH(366,样本到样信息汇总统计!$X$2:$X$500,0)),"")</f>
        <v/>
      </c>
      <c r="P367" s="8" t="str">
        <f>IFERROR(INDEX(样本到样信息汇总统计!P$2:P$500,MATCH(366,样本到样信息汇总统计!$X$2:$X$500,0)),"")</f>
        <v/>
      </c>
      <c r="Q367" s="8" t="str">
        <f>IFERROR(INDEX(样本到样信息汇总统计!Q$2:Q$500,MATCH(366,样本到样信息汇总统计!$X$2:$X$500,0)),"")</f>
        <v/>
      </c>
      <c r="R367" s="8" t="str">
        <f>IFERROR(INDEX(样本到样信息汇总统计!R$2:R$500,MATCH(366,样本到样信息汇总统计!$X$2:$X$500,0)),"")</f>
        <v/>
      </c>
      <c r="S367" s="8" t="str">
        <f>IFERROR(INDEX(样本到样信息汇总统计!S$2:S$500,MATCH(366,样本到样信息汇总统计!$X$2:$X$500,0)),"")</f>
        <v/>
      </c>
      <c r="T367" s="8" t="str">
        <f>IFERROR(INDEX(样本到样信息汇总统计!T$2:T$500,MATCH(366,样本到样信息汇总统计!$X$2:$X$500,0)),"")</f>
        <v/>
      </c>
      <c r="U367" s="8" t="str">
        <f>IFERROR(INDEX(样本到样信息汇总统计!U$2:U$500,MATCH(366,样本到样信息汇总统计!$X$2:$X$500,0)),"")</f>
        <v/>
      </c>
      <c r="V367" s="8" t="str">
        <f>IFERROR(INDEX(样本到样信息汇总统计!V$2:V$500,MATCH(366,样本到样信息汇总统计!$X$2:$X$500,0)),"")</f>
        <v/>
      </c>
      <c r="W367" s="8" t="str">
        <f>IFERROR(INDEX(样本到样信息汇总统计!W$2:W$500,MATCH(366,样本到样信息汇总统计!$X$2:$X$500,0)),"")</f>
        <v/>
      </c>
    </row>
    <row r="368" ht="14.5" spans="1:23">
      <c r="A368" s="4" t="str">
        <f>IFERROR(INDEX(样本到样信息汇总统计!A$2:A$500,MATCH(367,样本到样信息汇总统计!$X$2:$X$500,0)),"")</f>
        <v/>
      </c>
      <c r="B368" s="4" t="str">
        <f>IFERROR(INDEX(样本到样信息汇总统计!B$2:B$500,MATCH(367,样本到样信息汇总统计!$X$2:$X$500,0)),"")</f>
        <v/>
      </c>
      <c r="C368" s="4" t="str">
        <f>IFERROR(INDEX(样本到样信息汇总统计!C$2:C$500,MATCH(367,样本到样信息汇总统计!$X$2:$X$500,0)),"")</f>
        <v/>
      </c>
      <c r="D368" s="4" t="str">
        <f>IFERROR(INDEX(样本到样信息汇总统计!D$2:D$500,MATCH(367,样本到样信息汇总统计!$X$2:$X$500,0)),"")</f>
        <v/>
      </c>
      <c r="E368" s="4" t="str">
        <f>IFERROR(INDEX(样本到样信息汇总统计!E$2:E$500,MATCH(367,样本到样信息汇总统计!$X$2:$X$500,0)),"")</f>
        <v/>
      </c>
      <c r="F368" s="4" t="str">
        <f>IFERROR(INDEX(样本到样信息汇总统计!F$2:F$500,MATCH(367,样本到样信息汇总统计!$X$2:$X$500,0)),"")</f>
        <v/>
      </c>
      <c r="G368" s="4" t="str">
        <f>IFERROR(INDEX(样本到样信息汇总统计!G$2:G$500,MATCH(367,样本到样信息汇总统计!$X$2:$X$500,0)),"")</f>
        <v/>
      </c>
      <c r="H368" s="4" t="str">
        <f>IFERROR(INDEX(样本到样信息汇总统计!H$2:H$500,MATCH(367,样本到样信息汇总统计!$X$2:$X$500,0)),"")</f>
        <v/>
      </c>
      <c r="I368" s="4" t="str">
        <f>IFERROR(INDEX(样本到样信息汇总统计!I$2:I$500,MATCH(367,样本到样信息汇总统计!$X$2:$X$500,0)),"")</f>
        <v/>
      </c>
      <c r="J368" s="4" t="str">
        <f>IFERROR(INDEX(样本到样信息汇总统计!J$2:J$500,MATCH(367,样本到样信息汇总统计!$X$2:$X$500,0)),"")</f>
        <v/>
      </c>
      <c r="K368" s="14" t="str">
        <f>IFERROR(INDEX(样本到样信息汇总统计!K$2:K$500,MATCH(367,样本到样信息汇总统计!$X$2:$X$500,0)),"")</f>
        <v/>
      </c>
      <c r="L368" s="4" t="str">
        <f>IFERROR(INDEX(样本到样信息汇总统计!L$2:L$500,MATCH(367,样本到样信息汇总统计!$X$2:$X$500,0)),"")</f>
        <v/>
      </c>
      <c r="M368" s="4" t="str">
        <f>IFERROR(INDEX(样本到样信息汇总统计!M$2:M$500,MATCH(367,样本到样信息汇总统计!$X$2:$X$500,0)),"")</f>
        <v/>
      </c>
      <c r="N368" s="4" t="str">
        <f>IFERROR(INDEX(样本到样信息汇总统计!N$2:N$500,MATCH(367,样本到样信息汇总统计!$X$2:$X$500,0)),"")</f>
        <v/>
      </c>
      <c r="O368" s="4" t="str">
        <f>IFERROR(INDEX(样本到样信息汇总统计!O$2:O$500,MATCH(367,样本到样信息汇总统计!$X$2:$X$500,0)),"")</f>
        <v/>
      </c>
      <c r="P368" s="4" t="str">
        <f>IFERROR(INDEX(样本到样信息汇总统计!P$2:P$500,MATCH(367,样本到样信息汇总统计!$X$2:$X$500,0)),"")</f>
        <v/>
      </c>
      <c r="Q368" s="4" t="str">
        <f>IFERROR(INDEX(样本到样信息汇总统计!Q$2:Q$500,MATCH(367,样本到样信息汇总统计!$X$2:$X$500,0)),"")</f>
        <v/>
      </c>
      <c r="R368" s="4" t="str">
        <f>IFERROR(INDEX(样本到样信息汇总统计!R$2:R$500,MATCH(367,样本到样信息汇总统计!$X$2:$X$500,0)),"")</f>
        <v/>
      </c>
      <c r="S368" s="4" t="str">
        <f>IFERROR(INDEX(样本到样信息汇总统计!S$2:S$500,MATCH(367,样本到样信息汇总统计!$X$2:$X$500,0)),"")</f>
        <v/>
      </c>
      <c r="T368" s="4" t="str">
        <f>IFERROR(INDEX(样本到样信息汇总统计!T$2:T$500,MATCH(367,样本到样信息汇总统计!$X$2:$X$500,0)),"")</f>
        <v/>
      </c>
      <c r="U368" s="4" t="str">
        <f>IFERROR(INDEX(样本到样信息汇总统计!U$2:U$500,MATCH(367,样本到样信息汇总统计!$X$2:$X$500,0)),"")</f>
        <v/>
      </c>
      <c r="V368" s="4" t="str">
        <f>IFERROR(INDEX(样本到样信息汇总统计!V$2:V$500,MATCH(367,样本到样信息汇总统计!$X$2:$X$500,0)),"")</f>
        <v/>
      </c>
      <c r="W368" s="4" t="str">
        <f>IFERROR(INDEX(样本到样信息汇总统计!W$2:W$500,MATCH(367,样本到样信息汇总统计!$X$2:$X$500,0)),"")</f>
        <v/>
      </c>
    </row>
    <row r="369" ht="14.5" spans="1:23">
      <c r="A369" s="8" t="str">
        <f>IFERROR(INDEX(样本到样信息汇总统计!A$2:A$500,MATCH(368,样本到样信息汇总统计!$X$2:$X$500,0)),"")</f>
        <v/>
      </c>
      <c r="B369" s="8" t="str">
        <f>IFERROR(INDEX(样本到样信息汇总统计!B$2:B$500,MATCH(368,样本到样信息汇总统计!$X$2:$X$500,0)),"")</f>
        <v/>
      </c>
      <c r="C369" s="8" t="str">
        <f>IFERROR(INDEX(样本到样信息汇总统计!C$2:C$500,MATCH(368,样本到样信息汇总统计!$X$2:$X$500,0)),"")</f>
        <v/>
      </c>
      <c r="D369" s="8" t="str">
        <f>IFERROR(INDEX(样本到样信息汇总统计!D$2:D$500,MATCH(368,样本到样信息汇总统计!$X$2:$X$500,0)),"")</f>
        <v/>
      </c>
      <c r="E369" s="8" t="str">
        <f>IFERROR(INDEX(样本到样信息汇总统计!E$2:E$500,MATCH(368,样本到样信息汇总统计!$X$2:$X$500,0)),"")</f>
        <v/>
      </c>
      <c r="F369" s="8" t="str">
        <f>IFERROR(INDEX(样本到样信息汇总统计!F$2:F$500,MATCH(368,样本到样信息汇总统计!$X$2:$X$500,0)),"")</f>
        <v/>
      </c>
      <c r="G369" s="8" t="str">
        <f>IFERROR(INDEX(样本到样信息汇总统计!G$2:G$500,MATCH(368,样本到样信息汇总统计!$X$2:$X$500,0)),"")</f>
        <v/>
      </c>
      <c r="H369" s="8" t="str">
        <f>IFERROR(INDEX(样本到样信息汇总统计!H$2:H$500,MATCH(368,样本到样信息汇总统计!$X$2:$X$500,0)),"")</f>
        <v/>
      </c>
      <c r="I369" s="8" t="str">
        <f>IFERROR(INDEX(样本到样信息汇总统计!I$2:I$500,MATCH(368,样本到样信息汇总统计!$X$2:$X$500,0)),"")</f>
        <v/>
      </c>
      <c r="J369" s="8" t="str">
        <f>IFERROR(INDEX(样本到样信息汇总统计!J$2:J$500,MATCH(368,样本到样信息汇总统计!$X$2:$X$500,0)),"")</f>
        <v/>
      </c>
      <c r="K369" s="15" t="str">
        <f>IFERROR(INDEX(样本到样信息汇总统计!K$2:K$500,MATCH(368,样本到样信息汇总统计!$X$2:$X$500,0)),"")</f>
        <v/>
      </c>
      <c r="L369" s="8" t="str">
        <f>IFERROR(INDEX(样本到样信息汇总统计!L$2:L$500,MATCH(368,样本到样信息汇总统计!$X$2:$X$500,0)),"")</f>
        <v/>
      </c>
      <c r="M369" s="8" t="str">
        <f>IFERROR(INDEX(样本到样信息汇总统计!M$2:M$500,MATCH(368,样本到样信息汇总统计!$X$2:$X$500,0)),"")</f>
        <v/>
      </c>
      <c r="N369" s="8" t="str">
        <f>IFERROR(INDEX(样本到样信息汇总统计!N$2:N$500,MATCH(368,样本到样信息汇总统计!$X$2:$X$500,0)),"")</f>
        <v/>
      </c>
      <c r="O369" s="8" t="str">
        <f>IFERROR(INDEX(样本到样信息汇总统计!O$2:O$500,MATCH(368,样本到样信息汇总统计!$X$2:$X$500,0)),"")</f>
        <v/>
      </c>
      <c r="P369" s="8" t="str">
        <f>IFERROR(INDEX(样本到样信息汇总统计!P$2:P$500,MATCH(368,样本到样信息汇总统计!$X$2:$X$500,0)),"")</f>
        <v/>
      </c>
      <c r="Q369" s="8" t="str">
        <f>IFERROR(INDEX(样本到样信息汇总统计!Q$2:Q$500,MATCH(368,样本到样信息汇总统计!$X$2:$X$500,0)),"")</f>
        <v/>
      </c>
      <c r="R369" s="8" t="str">
        <f>IFERROR(INDEX(样本到样信息汇总统计!R$2:R$500,MATCH(368,样本到样信息汇总统计!$X$2:$X$500,0)),"")</f>
        <v/>
      </c>
      <c r="S369" s="8" t="str">
        <f>IFERROR(INDEX(样本到样信息汇总统计!S$2:S$500,MATCH(368,样本到样信息汇总统计!$X$2:$X$500,0)),"")</f>
        <v/>
      </c>
      <c r="T369" s="8" t="str">
        <f>IFERROR(INDEX(样本到样信息汇总统计!T$2:T$500,MATCH(368,样本到样信息汇总统计!$X$2:$X$500,0)),"")</f>
        <v/>
      </c>
      <c r="U369" s="8" t="str">
        <f>IFERROR(INDEX(样本到样信息汇总统计!U$2:U$500,MATCH(368,样本到样信息汇总统计!$X$2:$X$500,0)),"")</f>
        <v/>
      </c>
      <c r="V369" s="8" t="str">
        <f>IFERROR(INDEX(样本到样信息汇总统计!V$2:V$500,MATCH(368,样本到样信息汇总统计!$X$2:$X$500,0)),"")</f>
        <v/>
      </c>
      <c r="W369" s="8" t="str">
        <f>IFERROR(INDEX(样本到样信息汇总统计!W$2:W$500,MATCH(368,样本到样信息汇总统计!$X$2:$X$500,0)),"")</f>
        <v/>
      </c>
    </row>
    <row r="370" ht="14.5" spans="1:23">
      <c r="A370" s="4" t="str">
        <f>IFERROR(INDEX(样本到样信息汇总统计!A$2:A$500,MATCH(369,样本到样信息汇总统计!$X$2:$X$500,0)),"")</f>
        <v/>
      </c>
      <c r="B370" s="4" t="str">
        <f>IFERROR(INDEX(样本到样信息汇总统计!B$2:B$500,MATCH(369,样本到样信息汇总统计!$X$2:$X$500,0)),"")</f>
        <v/>
      </c>
      <c r="C370" s="4" t="str">
        <f>IFERROR(INDEX(样本到样信息汇总统计!C$2:C$500,MATCH(369,样本到样信息汇总统计!$X$2:$X$500,0)),"")</f>
        <v/>
      </c>
      <c r="D370" s="4" t="str">
        <f>IFERROR(INDEX(样本到样信息汇总统计!D$2:D$500,MATCH(369,样本到样信息汇总统计!$X$2:$X$500,0)),"")</f>
        <v/>
      </c>
      <c r="E370" s="4" t="str">
        <f>IFERROR(INDEX(样本到样信息汇总统计!E$2:E$500,MATCH(369,样本到样信息汇总统计!$X$2:$X$500,0)),"")</f>
        <v/>
      </c>
      <c r="F370" s="4" t="str">
        <f>IFERROR(INDEX(样本到样信息汇总统计!F$2:F$500,MATCH(369,样本到样信息汇总统计!$X$2:$X$500,0)),"")</f>
        <v/>
      </c>
      <c r="G370" s="4" t="str">
        <f>IFERROR(INDEX(样本到样信息汇总统计!G$2:G$500,MATCH(369,样本到样信息汇总统计!$X$2:$X$500,0)),"")</f>
        <v/>
      </c>
      <c r="H370" s="4" t="str">
        <f>IFERROR(INDEX(样本到样信息汇总统计!H$2:H$500,MATCH(369,样本到样信息汇总统计!$X$2:$X$500,0)),"")</f>
        <v/>
      </c>
      <c r="I370" s="4" t="str">
        <f>IFERROR(INDEX(样本到样信息汇总统计!I$2:I$500,MATCH(369,样本到样信息汇总统计!$X$2:$X$500,0)),"")</f>
        <v/>
      </c>
      <c r="J370" s="4" t="str">
        <f>IFERROR(INDEX(样本到样信息汇总统计!J$2:J$500,MATCH(369,样本到样信息汇总统计!$X$2:$X$500,0)),"")</f>
        <v/>
      </c>
      <c r="K370" s="14" t="str">
        <f>IFERROR(INDEX(样本到样信息汇总统计!K$2:K$500,MATCH(369,样本到样信息汇总统计!$X$2:$X$500,0)),"")</f>
        <v/>
      </c>
      <c r="L370" s="4" t="str">
        <f>IFERROR(INDEX(样本到样信息汇总统计!L$2:L$500,MATCH(369,样本到样信息汇总统计!$X$2:$X$500,0)),"")</f>
        <v/>
      </c>
      <c r="M370" s="4" t="str">
        <f>IFERROR(INDEX(样本到样信息汇总统计!M$2:M$500,MATCH(369,样本到样信息汇总统计!$X$2:$X$500,0)),"")</f>
        <v/>
      </c>
      <c r="N370" s="4" t="str">
        <f>IFERROR(INDEX(样本到样信息汇总统计!N$2:N$500,MATCH(369,样本到样信息汇总统计!$X$2:$X$500,0)),"")</f>
        <v/>
      </c>
      <c r="O370" s="4" t="str">
        <f>IFERROR(INDEX(样本到样信息汇总统计!O$2:O$500,MATCH(369,样本到样信息汇总统计!$X$2:$X$500,0)),"")</f>
        <v/>
      </c>
      <c r="P370" s="4" t="str">
        <f>IFERROR(INDEX(样本到样信息汇总统计!P$2:P$500,MATCH(369,样本到样信息汇总统计!$X$2:$X$500,0)),"")</f>
        <v/>
      </c>
      <c r="Q370" s="4" t="str">
        <f>IFERROR(INDEX(样本到样信息汇总统计!Q$2:Q$500,MATCH(369,样本到样信息汇总统计!$X$2:$X$500,0)),"")</f>
        <v/>
      </c>
      <c r="R370" s="4" t="str">
        <f>IFERROR(INDEX(样本到样信息汇总统计!R$2:R$500,MATCH(369,样本到样信息汇总统计!$X$2:$X$500,0)),"")</f>
        <v/>
      </c>
      <c r="S370" s="4" t="str">
        <f>IFERROR(INDEX(样本到样信息汇总统计!S$2:S$500,MATCH(369,样本到样信息汇总统计!$X$2:$X$500,0)),"")</f>
        <v/>
      </c>
      <c r="T370" s="4" t="str">
        <f>IFERROR(INDEX(样本到样信息汇总统计!T$2:T$500,MATCH(369,样本到样信息汇总统计!$X$2:$X$500,0)),"")</f>
        <v/>
      </c>
      <c r="U370" s="4" t="str">
        <f>IFERROR(INDEX(样本到样信息汇总统计!U$2:U$500,MATCH(369,样本到样信息汇总统计!$X$2:$X$500,0)),"")</f>
        <v/>
      </c>
      <c r="V370" s="4" t="str">
        <f>IFERROR(INDEX(样本到样信息汇总统计!V$2:V$500,MATCH(369,样本到样信息汇总统计!$X$2:$X$500,0)),"")</f>
        <v/>
      </c>
      <c r="W370" s="4" t="str">
        <f>IFERROR(INDEX(样本到样信息汇总统计!W$2:W$500,MATCH(369,样本到样信息汇总统计!$X$2:$X$500,0)),"")</f>
        <v/>
      </c>
    </row>
    <row r="371" ht="14.5" spans="1:23">
      <c r="A371" s="8" t="str">
        <f>IFERROR(INDEX(样本到样信息汇总统计!A$2:A$500,MATCH(370,样本到样信息汇总统计!$X$2:$X$500,0)),"")</f>
        <v/>
      </c>
      <c r="B371" s="8" t="str">
        <f>IFERROR(INDEX(样本到样信息汇总统计!B$2:B$500,MATCH(370,样本到样信息汇总统计!$X$2:$X$500,0)),"")</f>
        <v/>
      </c>
      <c r="C371" s="8" t="str">
        <f>IFERROR(INDEX(样本到样信息汇总统计!C$2:C$500,MATCH(370,样本到样信息汇总统计!$X$2:$X$500,0)),"")</f>
        <v/>
      </c>
      <c r="D371" s="8" t="str">
        <f>IFERROR(INDEX(样本到样信息汇总统计!D$2:D$500,MATCH(370,样本到样信息汇总统计!$X$2:$X$500,0)),"")</f>
        <v/>
      </c>
      <c r="E371" s="8" t="str">
        <f>IFERROR(INDEX(样本到样信息汇总统计!E$2:E$500,MATCH(370,样本到样信息汇总统计!$X$2:$X$500,0)),"")</f>
        <v/>
      </c>
      <c r="F371" s="8" t="str">
        <f>IFERROR(INDEX(样本到样信息汇总统计!F$2:F$500,MATCH(370,样本到样信息汇总统计!$X$2:$X$500,0)),"")</f>
        <v/>
      </c>
      <c r="G371" s="8" t="str">
        <f>IFERROR(INDEX(样本到样信息汇总统计!G$2:G$500,MATCH(370,样本到样信息汇总统计!$X$2:$X$500,0)),"")</f>
        <v/>
      </c>
      <c r="H371" s="8" t="str">
        <f>IFERROR(INDEX(样本到样信息汇总统计!H$2:H$500,MATCH(370,样本到样信息汇总统计!$X$2:$X$500,0)),"")</f>
        <v/>
      </c>
      <c r="I371" s="8" t="str">
        <f>IFERROR(INDEX(样本到样信息汇总统计!I$2:I$500,MATCH(370,样本到样信息汇总统计!$X$2:$X$500,0)),"")</f>
        <v/>
      </c>
      <c r="J371" s="8" t="str">
        <f>IFERROR(INDEX(样本到样信息汇总统计!J$2:J$500,MATCH(370,样本到样信息汇总统计!$X$2:$X$500,0)),"")</f>
        <v/>
      </c>
      <c r="K371" s="15" t="str">
        <f>IFERROR(INDEX(样本到样信息汇总统计!K$2:K$500,MATCH(370,样本到样信息汇总统计!$X$2:$X$500,0)),"")</f>
        <v/>
      </c>
      <c r="L371" s="8" t="str">
        <f>IFERROR(INDEX(样本到样信息汇总统计!L$2:L$500,MATCH(370,样本到样信息汇总统计!$X$2:$X$500,0)),"")</f>
        <v/>
      </c>
      <c r="M371" s="8" t="str">
        <f>IFERROR(INDEX(样本到样信息汇总统计!M$2:M$500,MATCH(370,样本到样信息汇总统计!$X$2:$X$500,0)),"")</f>
        <v/>
      </c>
      <c r="N371" s="8" t="str">
        <f>IFERROR(INDEX(样本到样信息汇总统计!N$2:N$500,MATCH(370,样本到样信息汇总统计!$X$2:$X$500,0)),"")</f>
        <v/>
      </c>
      <c r="O371" s="8" t="str">
        <f>IFERROR(INDEX(样本到样信息汇总统计!O$2:O$500,MATCH(370,样本到样信息汇总统计!$X$2:$X$500,0)),"")</f>
        <v/>
      </c>
      <c r="P371" s="8" t="str">
        <f>IFERROR(INDEX(样本到样信息汇总统计!P$2:P$500,MATCH(370,样本到样信息汇总统计!$X$2:$X$500,0)),"")</f>
        <v/>
      </c>
      <c r="Q371" s="8" t="str">
        <f>IFERROR(INDEX(样本到样信息汇总统计!Q$2:Q$500,MATCH(370,样本到样信息汇总统计!$X$2:$X$500,0)),"")</f>
        <v/>
      </c>
      <c r="R371" s="8" t="str">
        <f>IFERROR(INDEX(样本到样信息汇总统计!R$2:R$500,MATCH(370,样本到样信息汇总统计!$X$2:$X$500,0)),"")</f>
        <v/>
      </c>
      <c r="S371" s="8" t="str">
        <f>IFERROR(INDEX(样本到样信息汇总统计!S$2:S$500,MATCH(370,样本到样信息汇总统计!$X$2:$X$500,0)),"")</f>
        <v/>
      </c>
      <c r="T371" s="8" t="str">
        <f>IFERROR(INDEX(样本到样信息汇总统计!T$2:T$500,MATCH(370,样本到样信息汇总统计!$X$2:$X$500,0)),"")</f>
        <v/>
      </c>
      <c r="U371" s="8" t="str">
        <f>IFERROR(INDEX(样本到样信息汇总统计!U$2:U$500,MATCH(370,样本到样信息汇总统计!$X$2:$X$500,0)),"")</f>
        <v/>
      </c>
      <c r="V371" s="8" t="str">
        <f>IFERROR(INDEX(样本到样信息汇总统计!V$2:V$500,MATCH(370,样本到样信息汇总统计!$X$2:$X$500,0)),"")</f>
        <v/>
      </c>
      <c r="W371" s="8" t="str">
        <f>IFERROR(INDEX(样本到样信息汇总统计!W$2:W$500,MATCH(370,样本到样信息汇总统计!$X$2:$X$500,0)),"")</f>
        <v/>
      </c>
    </row>
    <row r="372" ht="14.5" spans="1:23">
      <c r="A372" s="4" t="str">
        <f>IFERROR(INDEX(样本到样信息汇总统计!A$2:A$500,MATCH(371,样本到样信息汇总统计!$X$2:$X$500,0)),"")</f>
        <v/>
      </c>
      <c r="B372" s="4" t="str">
        <f>IFERROR(INDEX(样本到样信息汇总统计!B$2:B$500,MATCH(371,样本到样信息汇总统计!$X$2:$X$500,0)),"")</f>
        <v/>
      </c>
      <c r="C372" s="4" t="str">
        <f>IFERROR(INDEX(样本到样信息汇总统计!C$2:C$500,MATCH(371,样本到样信息汇总统计!$X$2:$X$500,0)),"")</f>
        <v/>
      </c>
      <c r="D372" s="4" t="str">
        <f>IFERROR(INDEX(样本到样信息汇总统计!D$2:D$500,MATCH(371,样本到样信息汇总统计!$X$2:$X$500,0)),"")</f>
        <v/>
      </c>
      <c r="E372" s="4" t="str">
        <f>IFERROR(INDEX(样本到样信息汇总统计!E$2:E$500,MATCH(371,样本到样信息汇总统计!$X$2:$X$500,0)),"")</f>
        <v/>
      </c>
      <c r="F372" s="4" t="str">
        <f>IFERROR(INDEX(样本到样信息汇总统计!F$2:F$500,MATCH(371,样本到样信息汇总统计!$X$2:$X$500,0)),"")</f>
        <v/>
      </c>
      <c r="G372" s="4" t="str">
        <f>IFERROR(INDEX(样本到样信息汇总统计!G$2:G$500,MATCH(371,样本到样信息汇总统计!$X$2:$X$500,0)),"")</f>
        <v/>
      </c>
      <c r="H372" s="4" t="str">
        <f>IFERROR(INDEX(样本到样信息汇总统计!H$2:H$500,MATCH(371,样本到样信息汇总统计!$X$2:$X$500,0)),"")</f>
        <v/>
      </c>
      <c r="I372" s="4" t="str">
        <f>IFERROR(INDEX(样本到样信息汇总统计!I$2:I$500,MATCH(371,样本到样信息汇总统计!$X$2:$X$500,0)),"")</f>
        <v/>
      </c>
      <c r="J372" s="4" t="str">
        <f>IFERROR(INDEX(样本到样信息汇总统计!J$2:J$500,MATCH(371,样本到样信息汇总统计!$X$2:$X$500,0)),"")</f>
        <v/>
      </c>
      <c r="K372" s="14" t="str">
        <f>IFERROR(INDEX(样本到样信息汇总统计!K$2:K$500,MATCH(371,样本到样信息汇总统计!$X$2:$X$500,0)),"")</f>
        <v/>
      </c>
      <c r="L372" s="4" t="str">
        <f>IFERROR(INDEX(样本到样信息汇总统计!L$2:L$500,MATCH(371,样本到样信息汇总统计!$X$2:$X$500,0)),"")</f>
        <v/>
      </c>
      <c r="M372" s="4" t="str">
        <f>IFERROR(INDEX(样本到样信息汇总统计!M$2:M$500,MATCH(371,样本到样信息汇总统计!$X$2:$X$500,0)),"")</f>
        <v/>
      </c>
      <c r="N372" s="4" t="str">
        <f>IFERROR(INDEX(样本到样信息汇总统计!N$2:N$500,MATCH(371,样本到样信息汇总统计!$X$2:$X$500,0)),"")</f>
        <v/>
      </c>
      <c r="O372" s="4" t="str">
        <f>IFERROR(INDEX(样本到样信息汇总统计!O$2:O$500,MATCH(371,样本到样信息汇总统计!$X$2:$X$500,0)),"")</f>
        <v/>
      </c>
      <c r="P372" s="4" t="str">
        <f>IFERROR(INDEX(样本到样信息汇总统计!P$2:P$500,MATCH(371,样本到样信息汇总统计!$X$2:$X$500,0)),"")</f>
        <v/>
      </c>
      <c r="Q372" s="4" t="str">
        <f>IFERROR(INDEX(样本到样信息汇总统计!Q$2:Q$500,MATCH(371,样本到样信息汇总统计!$X$2:$X$500,0)),"")</f>
        <v/>
      </c>
      <c r="R372" s="4" t="str">
        <f>IFERROR(INDEX(样本到样信息汇总统计!R$2:R$500,MATCH(371,样本到样信息汇总统计!$X$2:$X$500,0)),"")</f>
        <v/>
      </c>
      <c r="S372" s="4" t="str">
        <f>IFERROR(INDEX(样本到样信息汇总统计!S$2:S$500,MATCH(371,样本到样信息汇总统计!$X$2:$X$500,0)),"")</f>
        <v/>
      </c>
      <c r="T372" s="4" t="str">
        <f>IFERROR(INDEX(样本到样信息汇总统计!T$2:T$500,MATCH(371,样本到样信息汇总统计!$X$2:$X$500,0)),"")</f>
        <v/>
      </c>
      <c r="U372" s="4" t="str">
        <f>IFERROR(INDEX(样本到样信息汇总统计!U$2:U$500,MATCH(371,样本到样信息汇总统计!$X$2:$X$500,0)),"")</f>
        <v/>
      </c>
      <c r="V372" s="4" t="str">
        <f>IFERROR(INDEX(样本到样信息汇总统计!V$2:V$500,MATCH(371,样本到样信息汇总统计!$X$2:$X$500,0)),"")</f>
        <v/>
      </c>
      <c r="W372" s="4" t="str">
        <f>IFERROR(INDEX(样本到样信息汇总统计!W$2:W$500,MATCH(371,样本到样信息汇总统计!$X$2:$X$500,0)),"")</f>
        <v/>
      </c>
    </row>
    <row r="373" ht="14.5" spans="1:23">
      <c r="A373" s="8" t="str">
        <f>IFERROR(INDEX(样本到样信息汇总统计!A$2:A$500,MATCH(372,样本到样信息汇总统计!$X$2:$X$500,0)),"")</f>
        <v/>
      </c>
      <c r="B373" s="8" t="str">
        <f>IFERROR(INDEX(样本到样信息汇总统计!B$2:B$500,MATCH(372,样本到样信息汇总统计!$X$2:$X$500,0)),"")</f>
        <v/>
      </c>
      <c r="C373" s="8" t="str">
        <f>IFERROR(INDEX(样本到样信息汇总统计!C$2:C$500,MATCH(372,样本到样信息汇总统计!$X$2:$X$500,0)),"")</f>
        <v/>
      </c>
      <c r="D373" s="8" t="str">
        <f>IFERROR(INDEX(样本到样信息汇总统计!D$2:D$500,MATCH(372,样本到样信息汇总统计!$X$2:$X$500,0)),"")</f>
        <v/>
      </c>
      <c r="E373" s="8" t="str">
        <f>IFERROR(INDEX(样本到样信息汇总统计!E$2:E$500,MATCH(372,样本到样信息汇总统计!$X$2:$X$500,0)),"")</f>
        <v/>
      </c>
      <c r="F373" s="8" t="str">
        <f>IFERROR(INDEX(样本到样信息汇总统计!F$2:F$500,MATCH(372,样本到样信息汇总统计!$X$2:$X$500,0)),"")</f>
        <v/>
      </c>
      <c r="G373" s="8" t="str">
        <f>IFERROR(INDEX(样本到样信息汇总统计!G$2:G$500,MATCH(372,样本到样信息汇总统计!$X$2:$X$500,0)),"")</f>
        <v/>
      </c>
      <c r="H373" s="8" t="str">
        <f>IFERROR(INDEX(样本到样信息汇总统计!H$2:H$500,MATCH(372,样本到样信息汇总统计!$X$2:$X$500,0)),"")</f>
        <v/>
      </c>
      <c r="I373" s="8" t="str">
        <f>IFERROR(INDEX(样本到样信息汇总统计!I$2:I$500,MATCH(372,样本到样信息汇总统计!$X$2:$X$500,0)),"")</f>
        <v/>
      </c>
      <c r="J373" s="8" t="str">
        <f>IFERROR(INDEX(样本到样信息汇总统计!J$2:J$500,MATCH(372,样本到样信息汇总统计!$X$2:$X$500,0)),"")</f>
        <v/>
      </c>
      <c r="K373" s="15" t="str">
        <f>IFERROR(INDEX(样本到样信息汇总统计!K$2:K$500,MATCH(372,样本到样信息汇总统计!$X$2:$X$500,0)),"")</f>
        <v/>
      </c>
      <c r="L373" s="8" t="str">
        <f>IFERROR(INDEX(样本到样信息汇总统计!L$2:L$500,MATCH(372,样本到样信息汇总统计!$X$2:$X$500,0)),"")</f>
        <v/>
      </c>
      <c r="M373" s="8" t="str">
        <f>IFERROR(INDEX(样本到样信息汇总统计!M$2:M$500,MATCH(372,样本到样信息汇总统计!$X$2:$X$500,0)),"")</f>
        <v/>
      </c>
      <c r="N373" s="8" t="str">
        <f>IFERROR(INDEX(样本到样信息汇总统计!N$2:N$500,MATCH(372,样本到样信息汇总统计!$X$2:$X$500,0)),"")</f>
        <v/>
      </c>
      <c r="O373" s="8" t="str">
        <f>IFERROR(INDEX(样本到样信息汇总统计!O$2:O$500,MATCH(372,样本到样信息汇总统计!$X$2:$X$500,0)),"")</f>
        <v/>
      </c>
      <c r="P373" s="8" t="str">
        <f>IFERROR(INDEX(样本到样信息汇总统计!P$2:P$500,MATCH(372,样本到样信息汇总统计!$X$2:$X$500,0)),"")</f>
        <v/>
      </c>
      <c r="Q373" s="8" t="str">
        <f>IFERROR(INDEX(样本到样信息汇总统计!Q$2:Q$500,MATCH(372,样本到样信息汇总统计!$X$2:$X$500,0)),"")</f>
        <v/>
      </c>
      <c r="R373" s="8" t="str">
        <f>IFERROR(INDEX(样本到样信息汇总统计!R$2:R$500,MATCH(372,样本到样信息汇总统计!$X$2:$X$500,0)),"")</f>
        <v/>
      </c>
      <c r="S373" s="8" t="str">
        <f>IFERROR(INDEX(样本到样信息汇总统计!S$2:S$500,MATCH(372,样本到样信息汇总统计!$X$2:$X$500,0)),"")</f>
        <v/>
      </c>
      <c r="T373" s="8" t="str">
        <f>IFERROR(INDEX(样本到样信息汇总统计!T$2:T$500,MATCH(372,样本到样信息汇总统计!$X$2:$X$500,0)),"")</f>
        <v/>
      </c>
      <c r="U373" s="8" t="str">
        <f>IFERROR(INDEX(样本到样信息汇总统计!U$2:U$500,MATCH(372,样本到样信息汇总统计!$X$2:$X$500,0)),"")</f>
        <v/>
      </c>
      <c r="V373" s="8" t="str">
        <f>IFERROR(INDEX(样本到样信息汇总统计!V$2:V$500,MATCH(372,样本到样信息汇总统计!$X$2:$X$500,0)),"")</f>
        <v/>
      </c>
      <c r="W373" s="8" t="str">
        <f>IFERROR(INDEX(样本到样信息汇总统计!W$2:W$500,MATCH(372,样本到样信息汇总统计!$X$2:$X$500,0)),"")</f>
        <v/>
      </c>
    </row>
    <row r="374" ht="14.5" spans="1:23">
      <c r="A374" s="4" t="str">
        <f>IFERROR(INDEX(样本到样信息汇总统计!A$2:A$500,MATCH(373,样本到样信息汇总统计!$X$2:$X$500,0)),"")</f>
        <v/>
      </c>
      <c r="B374" s="4" t="str">
        <f>IFERROR(INDEX(样本到样信息汇总统计!B$2:B$500,MATCH(373,样本到样信息汇总统计!$X$2:$X$500,0)),"")</f>
        <v/>
      </c>
      <c r="C374" s="4" t="str">
        <f>IFERROR(INDEX(样本到样信息汇总统计!C$2:C$500,MATCH(373,样本到样信息汇总统计!$X$2:$X$500,0)),"")</f>
        <v/>
      </c>
      <c r="D374" s="4" t="str">
        <f>IFERROR(INDEX(样本到样信息汇总统计!D$2:D$500,MATCH(373,样本到样信息汇总统计!$X$2:$X$500,0)),"")</f>
        <v/>
      </c>
      <c r="E374" s="4" t="str">
        <f>IFERROR(INDEX(样本到样信息汇总统计!E$2:E$500,MATCH(373,样本到样信息汇总统计!$X$2:$X$500,0)),"")</f>
        <v/>
      </c>
      <c r="F374" s="4" t="str">
        <f>IFERROR(INDEX(样本到样信息汇总统计!F$2:F$500,MATCH(373,样本到样信息汇总统计!$X$2:$X$500,0)),"")</f>
        <v/>
      </c>
      <c r="G374" s="4" t="str">
        <f>IFERROR(INDEX(样本到样信息汇总统计!G$2:G$500,MATCH(373,样本到样信息汇总统计!$X$2:$X$500,0)),"")</f>
        <v/>
      </c>
      <c r="H374" s="4" t="str">
        <f>IFERROR(INDEX(样本到样信息汇总统计!H$2:H$500,MATCH(373,样本到样信息汇总统计!$X$2:$X$500,0)),"")</f>
        <v/>
      </c>
      <c r="I374" s="4" t="str">
        <f>IFERROR(INDEX(样本到样信息汇总统计!I$2:I$500,MATCH(373,样本到样信息汇总统计!$X$2:$X$500,0)),"")</f>
        <v/>
      </c>
      <c r="J374" s="4" t="str">
        <f>IFERROR(INDEX(样本到样信息汇总统计!J$2:J$500,MATCH(373,样本到样信息汇总统计!$X$2:$X$500,0)),"")</f>
        <v/>
      </c>
      <c r="K374" s="14" t="str">
        <f>IFERROR(INDEX(样本到样信息汇总统计!K$2:K$500,MATCH(373,样本到样信息汇总统计!$X$2:$X$500,0)),"")</f>
        <v/>
      </c>
      <c r="L374" s="4" t="str">
        <f>IFERROR(INDEX(样本到样信息汇总统计!L$2:L$500,MATCH(373,样本到样信息汇总统计!$X$2:$X$500,0)),"")</f>
        <v/>
      </c>
      <c r="M374" s="4" t="str">
        <f>IFERROR(INDEX(样本到样信息汇总统计!M$2:M$500,MATCH(373,样本到样信息汇总统计!$X$2:$X$500,0)),"")</f>
        <v/>
      </c>
      <c r="N374" s="4" t="str">
        <f>IFERROR(INDEX(样本到样信息汇总统计!N$2:N$500,MATCH(373,样本到样信息汇总统计!$X$2:$X$500,0)),"")</f>
        <v/>
      </c>
      <c r="O374" s="4" t="str">
        <f>IFERROR(INDEX(样本到样信息汇总统计!O$2:O$500,MATCH(373,样本到样信息汇总统计!$X$2:$X$500,0)),"")</f>
        <v/>
      </c>
      <c r="P374" s="4" t="str">
        <f>IFERROR(INDEX(样本到样信息汇总统计!P$2:P$500,MATCH(373,样本到样信息汇总统计!$X$2:$X$500,0)),"")</f>
        <v/>
      </c>
      <c r="Q374" s="4" t="str">
        <f>IFERROR(INDEX(样本到样信息汇总统计!Q$2:Q$500,MATCH(373,样本到样信息汇总统计!$X$2:$X$500,0)),"")</f>
        <v/>
      </c>
      <c r="R374" s="4" t="str">
        <f>IFERROR(INDEX(样本到样信息汇总统计!R$2:R$500,MATCH(373,样本到样信息汇总统计!$X$2:$X$500,0)),"")</f>
        <v/>
      </c>
      <c r="S374" s="4" t="str">
        <f>IFERROR(INDEX(样本到样信息汇总统计!S$2:S$500,MATCH(373,样本到样信息汇总统计!$X$2:$X$500,0)),"")</f>
        <v/>
      </c>
      <c r="T374" s="4" t="str">
        <f>IFERROR(INDEX(样本到样信息汇总统计!T$2:T$500,MATCH(373,样本到样信息汇总统计!$X$2:$X$500,0)),"")</f>
        <v/>
      </c>
      <c r="U374" s="4" t="str">
        <f>IFERROR(INDEX(样本到样信息汇总统计!U$2:U$500,MATCH(373,样本到样信息汇总统计!$X$2:$X$500,0)),"")</f>
        <v/>
      </c>
      <c r="V374" s="4" t="str">
        <f>IFERROR(INDEX(样本到样信息汇总统计!V$2:V$500,MATCH(373,样本到样信息汇总统计!$X$2:$X$500,0)),"")</f>
        <v/>
      </c>
      <c r="W374" s="4" t="str">
        <f>IFERROR(INDEX(样本到样信息汇总统计!W$2:W$500,MATCH(373,样本到样信息汇总统计!$X$2:$X$500,0)),"")</f>
        <v/>
      </c>
    </row>
    <row r="375" ht="14.5" spans="1:23">
      <c r="A375" s="8" t="str">
        <f>IFERROR(INDEX(样本到样信息汇总统计!A$2:A$500,MATCH(374,样本到样信息汇总统计!$X$2:$X$500,0)),"")</f>
        <v/>
      </c>
      <c r="B375" s="8" t="str">
        <f>IFERROR(INDEX(样本到样信息汇总统计!B$2:B$500,MATCH(374,样本到样信息汇总统计!$X$2:$X$500,0)),"")</f>
        <v/>
      </c>
      <c r="C375" s="8" t="str">
        <f>IFERROR(INDEX(样本到样信息汇总统计!C$2:C$500,MATCH(374,样本到样信息汇总统计!$X$2:$X$500,0)),"")</f>
        <v/>
      </c>
      <c r="D375" s="8" t="str">
        <f>IFERROR(INDEX(样本到样信息汇总统计!D$2:D$500,MATCH(374,样本到样信息汇总统计!$X$2:$X$500,0)),"")</f>
        <v/>
      </c>
      <c r="E375" s="8" t="str">
        <f>IFERROR(INDEX(样本到样信息汇总统计!E$2:E$500,MATCH(374,样本到样信息汇总统计!$X$2:$X$500,0)),"")</f>
        <v/>
      </c>
      <c r="F375" s="8" t="str">
        <f>IFERROR(INDEX(样本到样信息汇总统计!F$2:F$500,MATCH(374,样本到样信息汇总统计!$X$2:$X$500,0)),"")</f>
        <v/>
      </c>
      <c r="G375" s="8" t="str">
        <f>IFERROR(INDEX(样本到样信息汇总统计!G$2:G$500,MATCH(374,样本到样信息汇总统计!$X$2:$X$500,0)),"")</f>
        <v/>
      </c>
      <c r="H375" s="8" t="str">
        <f>IFERROR(INDEX(样本到样信息汇总统计!H$2:H$500,MATCH(374,样本到样信息汇总统计!$X$2:$X$500,0)),"")</f>
        <v/>
      </c>
      <c r="I375" s="8" t="str">
        <f>IFERROR(INDEX(样本到样信息汇总统计!I$2:I$500,MATCH(374,样本到样信息汇总统计!$X$2:$X$500,0)),"")</f>
        <v/>
      </c>
      <c r="J375" s="8" t="str">
        <f>IFERROR(INDEX(样本到样信息汇总统计!J$2:J$500,MATCH(374,样本到样信息汇总统计!$X$2:$X$500,0)),"")</f>
        <v/>
      </c>
      <c r="K375" s="15" t="str">
        <f>IFERROR(INDEX(样本到样信息汇总统计!K$2:K$500,MATCH(374,样本到样信息汇总统计!$X$2:$X$500,0)),"")</f>
        <v/>
      </c>
      <c r="L375" s="8" t="str">
        <f>IFERROR(INDEX(样本到样信息汇总统计!L$2:L$500,MATCH(374,样本到样信息汇总统计!$X$2:$X$500,0)),"")</f>
        <v/>
      </c>
      <c r="M375" s="8" t="str">
        <f>IFERROR(INDEX(样本到样信息汇总统计!M$2:M$500,MATCH(374,样本到样信息汇总统计!$X$2:$X$500,0)),"")</f>
        <v/>
      </c>
      <c r="N375" s="8" t="str">
        <f>IFERROR(INDEX(样本到样信息汇总统计!N$2:N$500,MATCH(374,样本到样信息汇总统计!$X$2:$X$500,0)),"")</f>
        <v/>
      </c>
      <c r="O375" s="8" t="str">
        <f>IFERROR(INDEX(样本到样信息汇总统计!O$2:O$500,MATCH(374,样本到样信息汇总统计!$X$2:$X$500,0)),"")</f>
        <v/>
      </c>
      <c r="P375" s="8" t="str">
        <f>IFERROR(INDEX(样本到样信息汇总统计!P$2:P$500,MATCH(374,样本到样信息汇总统计!$X$2:$X$500,0)),"")</f>
        <v/>
      </c>
      <c r="Q375" s="8" t="str">
        <f>IFERROR(INDEX(样本到样信息汇总统计!Q$2:Q$500,MATCH(374,样本到样信息汇总统计!$X$2:$X$500,0)),"")</f>
        <v/>
      </c>
      <c r="R375" s="8" t="str">
        <f>IFERROR(INDEX(样本到样信息汇总统计!R$2:R$500,MATCH(374,样本到样信息汇总统计!$X$2:$X$500,0)),"")</f>
        <v/>
      </c>
      <c r="S375" s="8" t="str">
        <f>IFERROR(INDEX(样本到样信息汇总统计!S$2:S$500,MATCH(374,样本到样信息汇总统计!$X$2:$X$500,0)),"")</f>
        <v/>
      </c>
      <c r="T375" s="8" t="str">
        <f>IFERROR(INDEX(样本到样信息汇总统计!T$2:T$500,MATCH(374,样本到样信息汇总统计!$X$2:$X$500,0)),"")</f>
        <v/>
      </c>
      <c r="U375" s="8" t="str">
        <f>IFERROR(INDEX(样本到样信息汇总统计!U$2:U$500,MATCH(374,样本到样信息汇总统计!$X$2:$X$500,0)),"")</f>
        <v/>
      </c>
      <c r="V375" s="8" t="str">
        <f>IFERROR(INDEX(样本到样信息汇总统计!V$2:V$500,MATCH(374,样本到样信息汇总统计!$X$2:$X$500,0)),"")</f>
        <v/>
      </c>
      <c r="W375" s="8" t="str">
        <f>IFERROR(INDEX(样本到样信息汇总统计!W$2:W$500,MATCH(374,样本到样信息汇总统计!$X$2:$X$500,0)),"")</f>
        <v/>
      </c>
    </row>
    <row r="376" ht="14.5" spans="1:23">
      <c r="A376" s="4" t="str">
        <f>IFERROR(INDEX(样本到样信息汇总统计!A$2:A$500,MATCH(375,样本到样信息汇总统计!$X$2:$X$500,0)),"")</f>
        <v/>
      </c>
      <c r="B376" s="4" t="str">
        <f>IFERROR(INDEX(样本到样信息汇总统计!B$2:B$500,MATCH(375,样本到样信息汇总统计!$X$2:$X$500,0)),"")</f>
        <v/>
      </c>
      <c r="C376" s="4" t="str">
        <f>IFERROR(INDEX(样本到样信息汇总统计!C$2:C$500,MATCH(375,样本到样信息汇总统计!$X$2:$X$500,0)),"")</f>
        <v/>
      </c>
      <c r="D376" s="4" t="str">
        <f>IFERROR(INDEX(样本到样信息汇总统计!D$2:D$500,MATCH(375,样本到样信息汇总统计!$X$2:$X$500,0)),"")</f>
        <v/>
      </c>
      <c r="E376" s="4" t="str">
        <f>IFERROR(INDEX(样本到样信息汇总统计!E$2:E$500,MATCH(375,样本到样信息汇总统计!$X$2:$X$500,0)),"")</f>
        <v/>
      </c>
      <c r="F376" s="4" t="str">
        <f>IFERROR(INDEX(样本到样信息汇总统计!F$2:F$500,MATCH(375,样本到样信息汇总统计!$X$2:$X$500,0)),"")</f>
        <v/>
      </c>
      <c r="G376" s="4" t="str">
        <f>IFERROR(INDEX(样本到样信息汇总统计!G$2:G$500,MATCH(375,样本到样信息汇总统计!$X$2:$X$500,0)),"")</f>
        <v/>
      </c>
      <c r="H376" s="4" t="str">
        <f>IFERROR(INDEX(样本到样信息汇总统计!H$2:H$500,MATCH(375,样本到样信息汇总统计!$X$2:$X$500,0)),"")</f>
        <v/>
      </c>
      <c r="I376" s="4" t="str">
        <f>IFERROR(INDEX(样本到样信息汇总统计!I$2:I$500,MATCH(375,样本到样信息汇总统计!$X$2:$X$500,0)),"")</f>
        <v/>
      </c>
      <c r="J376" s="4" t="str">
        <f>IFERROR(INDEX(样本到样信息汇总统计!J$2:J$500,MATCH(375,样本到样信息汇总统计!$X$2:$X$500,0)),"")</f>
        <v/>
      </c>
      <c r="K376" s="14" t="str">
        <f>IFERROR(INDEX(样本到样信息汇总统计!K$2:K$500,MATCH(375,样本到样信息汇总统计!$X$2:$X$500,0)),"")</f>
        <v/>
      </c>
      <c r="L376" s="4" t="str">
        <f>IFERROR(INDEX(样本到样信息汇总统计!L$2:L$500,MATCH(375,样本到样信息汇总统计!$X$2:$X$500,0)),"")</f>
        <v/>
      </c>
      <c r="M376" s="4" t="str">
        <f>IFERROR(INDEX(样本到样信息汇总统计!M$2:M$500,MATCH(375,样本到样信息汇总统计!$X$2:$X$500,0)),"")</f>
        <v/>
      </c>
      <c r="N376" s="4" t="str">
        <f>IFERROR(INDEX(样本到样信息汇总统计!N$2:N$500,MATCH(375,样本到样信息汇总统计!$X$2:$X$500,0)),"")</f>
        <v/>
      </c>
      <c r="O376" s="4" t="str">
        <f>IFERROR(INDEX(样本到样信息汇总统计!O$2:O$500,MATCH(375,样本到样信息汇总统计!$X$2:$X$500,0)),"")</f>
        <v/>
      </c>
      <c r="P376" s="4" t="str">
        <f>IFERROR(INDEX(样本到样信息汇总统计!P$2:P$500,MATCH(375,样本到样信息汇总统计!$X$2:$X$500,0)),"")</f>
        <v/>
      </c>
      <c r="Q376" s="4" t="str">
        <f>IFERROR(INDEX(样本到样信息汇总统计!Q$2:Q$500,MATCH(375,样本到样信息汇总统计!$X$2:$X$500,0)),"")</f>
        <v/>
      </c>
      <c r="R376" s="4" t="str">
        <f>IFERROR(INDEX(样本到样信息汇总统计!R$2:R$500,MATCH(375,样本到样信息汇总统计!$X$2:$X$500,0)),"")</f>
        <v/>
      </c>
      <c r="S376" s="4" t="str">
        <f>IFERROR(INDEX(样本到样信息汇总统计!S$2:S$500,MATCH(375,样本到样信息汇总统计!$X$2:$X$500,0)),"")</f>
        <v/>
      </c>
      <c r="T376" s="4" t="str">
        <f>IFERROR(INDEX(样本到样信息汇总统计!T$2:T$500,MATCH(375,样本到样信息汇总统计!$X$2:$X$500,0)),"")</f>
        <v/>
      </c>
      <c r="U376" s="4" t="str">
        <f>IFERROR(INDEX(样本到样信息汇总统计!U$2:U$500,MATCH(375,样本到样信息汇总统计!$X$2:$X$500,0)),"")</f>
        <v/>
      </c>
      <c r="V376" s="4" t="str">
        <f>IFERROR(INDEX(样本到样信息汇总统计!V$2:V$500,MATCH(375,样本到样信息汇总统计!$X$2:$X$500,0)),"")</f>
        <v/>
      </c>
      <c r="W376" s="4" t="str">
        <f>IFERROR(INDEX(样本到样信息汇总统计!W$2:W$500,MATCH(375,样本到样信息汇总统计!$X$2:$X$500,0)),"")</f>
        <v/>
      </c>
    </row>
    <row r="377" ht="14.5" spans="1:23">
      <c r="A377" s="8" t="str">
        <f>IFERROR(INDEX(样本到样信息汇总统计!A$2:A$500,MATCH(376,样本到样信息汇总统计!$X$2:$X$500,0)),"")</f>
        <v/>
      </c>
      <c r="B377" s="8" t="str">
        <f>IFERROR(INDEX(样本到样信息汇总统计!B$2:B$500,MATCH(376,样本到样信息汇总统计!$X$2:$X$500,0)),"")</f>
        <v/>
      </c>
      <c r="C377" s="8" t="str">
        <f>IFERROR(INDEX(样本到样信息汇总统计!C$2:C$500,MATCH(376,样本到样信息汇总统计!$X$2:$X$500,0)),"")</f>
        <v/>
      </c>
      <c r="D377" s="8" t="str">
        <f>IFERROR(INDEX(样本到样信息汇总统计!D$2:D$500,MATCH(376,样本到样信息汇总统计!$X$2:$X$500,0)),"")</f>
        <v/>
      </c>
      <c r="E377" s="8" t="str">
        <f>IFERROR(INDEX(样本到样信息汇总统计!E$2:E$500,MATCH(376,样本到样信息汇总统计!$X$2:$X$500,0)),"")</f>
        <v/>
      </c>
      <c r="F377" s="8" t="str">
        <f>IFERROR(INDEX(样本到样信息汇总统计!F$2:F$500,MATCH(376,样本到样信息汇总统计!$X$2:$X$500,0)),"")</f>
        <v/>
      </c>
      <c r="G377" s="8" t="str">
        <f>IFERROR(INDEX(样本到样信息汇总统计!G$2:G$500,MATCH(376,样本到样信息汇总统计!$X$2:$X$500,0)),"")</f>
        <v/>
      </c>
      <c r="H377" s="8" t="str">
        <f>IFERROR(INDEX(样本到样信息汇总统计!H$2:H$500,MATCH(376,样本到样信息汇总统计!$X$2:$X$500,0)),"")</f>
        <v/>
      </c>
      <c r="I377" s="8" t="str">
        <f>IFERROR(INDEX(样本到样信息汇总统计!I$2:I$500,MATCH(376,样本到样信息汇总统计!$X$2:$X$500,0)),"")</f>
        <v/>
      </c>
      <c r="J377" s="8" t="str">
        <f>IFERROR(INDEX(样本到样信息汇总统计!J$2:J$500,MATCH(376,样本到样信息汇总统计!$X$2:$X$500,0)),"")</f>
        <v/>
      </c>
      <c r="K377" s="15" t="str">
        <f>IFERROR(INDEX(样本到样信息汇总统计!K$2:K$500,MATCH(376,样本到样信息汇总统计!$X$2:$X$500,0)),"")</f>
        <v/>
      </c>
      <c r="L377" s="8" t="str">
        <f>IFERROR(INDEX(样本到样信息汇总统计!L$2:L$500,MATCH(376,样本到样信息汇总统计!$X$2:$X$500,0)),"")</f>
        <v/>
      </c>
      <c r="M377" s="8" t="str">
        <f>IFERROR(INDEX(样本到样信息汇总统计!M$2:M$500,MATCH(376,样本到样信息汇总统计!$X$2:$X$500,0)),"")</f>
        <v/>
      </c>
      <c r="N377" s="8" t="str">
        <f>IFERROR(INDEX(样本到样信息汇总统计!N$2:N$500,MATCH(376,样本到样信息汇总统计!$X$2:$X$500,0)),"")</f>
        <v/>
      </c>
      <c r="O377" s="8" t="str">
        <f>IFERROR(INDEX(样本到样信息汇总统计!O$2:O$500,MATCH(376,样本到样信息汇总统计!$X$2:$X$500,0)),"")</f>
        <v/>
      </c>
      <c r="P377" s="8" t="str">
        <f>IFERROR(INDEX(样本到样信息汇总统计!P$2:P$500,MATCH(376,样本到样信息汇总统计!$X$2:$X$500,0)),"")</f>
        <v/>
      </c>
      <c r="Q377" s="8" t="str">
        <f>IFERROR(INDEX(样本到样信息汇总统计!Q$2:Q$500,MATCH(376,样本到样信息汇总统计!$X$2:$X$500,0)),"")</f>
        <v/>
      </c>
      <c r="R377" s="8" t="str">
        <f>IFERROR(INDEX(样本到样信息汇总统计!R$2:R$500,MATCH(376,样本到样信息汇总统计!$X$2:$X$500,0)),"")</f>
        <v/>
      </c>
      <c r="S377" s="8" t="str">
        <f>IFERROR(INDEX(样本到样信息汇总统计!S$2:S$500,MATCH(376,样本到样信息汇总统计!$X$2:$X$500,0)),"")</f>
        <v/>
      </c>
      <c r="T377" s="8" t="str">
        <f>IFERROR(INDEX(样本到样信息汇总统计!T$2:T$500,MATCH(376,样本到样信息汇总统计!$X$2:$X$500,0)),"")</f>
        <v/>
      </c>
      <c r="U377" s="8" t="str">
        <f>IFERROR(INDEX(样本到样信息汇总统计!U$2:U$500,MATCH(376,样本到样信息汇总统计!$X$2:$X$500,0)),"")</f>
        <v/>
      </c>
      <c r="V377" s="8" t="str">
        <f>IFERROR(INDEX(样本到样信息汇总统计!V$2:V$500,MATCH(376,样本到样信息汇总统计!$X$2:$X$500,0)),"")</f>
        <v/>
      </c>
      <c r="W377" s="8" t="str">
        <f>IFERROR(INDEX(样本到样信息汇总统计!W$2:W$500,MATCH(376,样本到样信息汇总统计!$X$2:$X$500,0)),"")</f>
        <v/>
      </c>
    </row>
    <row r="378" ht="14.5" spans="1:23">
      <c r="A378" s="4" t="str">
        <f>IFERROR(INDEX(样本到样信息汇总统计!A$2:A$500,MATCH(377,样本到样信息汇总统计!$X$2:$X$500,0)),"")</f>
        <v/>
      </c>
      <c r="B378" s="4" t="str">
        <f>IFERROR(INDEX(样本到样信息汇总统计!B$2:B$500,MATCH(377,样本到样信息汇总统计!$X$2:$X$500,0)),"")</f>
        <v/>
      </c>
      <c r="C378" s="4" t="str">
        <f>IFERROR(INDEX(样本到样信息汇总统计!C$2:C$500,MATCH(377,样本到样信息汇总统计!$X$2:$X$500,0)),"")</f>
        <v/>
      </c>
      <c r="D378" s="4" t="str">
        <f>IFERROR(INDEX(样本到样信息汇总统计!D$2:D$500,MATCH(377,样本到样信息汇总统计!$X$2:$X$500,0)),"")</f>
        <v/>
      </c>
      <c r="E378" s="4" t="str">
        <f>IFERROR(INDEX(样本到样信息汇总统计!E$2:E$500,MATCH(377,样本到样信息汇总统计!$X$2:$X$500,0)),"")</f>
        <v/>
      </c>
      <c r="F378" s="4" t="str">
        <f>IFERROR(INDEX(样本到样信息汇总统计!F$2:F$500,MATCH(377,样本到样信息汇总统计!$X$2:$X$500,0)),"")</f>
        <v/>
      </c>
      <c r="G378" s="4" t="str">
        <f>IFERROR(INDEX(样本到样信息汇总统计!G$2:G$500,MATCH(377,样本到样信息汇总统计!$X$2:$X$500,0)),"")</f>
        <v/>
      </c>
      <c r="H378" s="4" t="str">
        <f>IFERROR(INDEX(样本到样信息汇总统计!H$2:H$500,MATCH(377,样本到样信息汇总统计!$X$2:$X$500,0)),"")</f>
        <v/>
      </c>
      <c r="I378" s="4" t="str">
        <f>IFERROR(INDEX(样本到样信息汇总统计!I$2:I$500,MATCH(377,样本到样信息汇总统计!$X$2:$X$500,0)),"")</f>
        <v/>
      </c>
      <c r="J378" s="4" t="str">
        <f>IFERROR(INDEX(样本到样信息汇总统计!J$2:J$500,MATCH(377,样本到样信息汇总统计!$X$2:$X$500,0)),"")</f>
        <v/>
      </c>
      <c r="K378" s="14" t="str">
        <f>IFERROR(INDEX(样本到样信息汇总统计!K$2:K$500,MATCH(377,样本到样信息汇总统计!$X$2:$X$500,0)),"")</f>
        <v/>
      </c>
      <c r="L378" s="4" t="str">
        <f>IFERROR(INDEX(样本到样信息汇总统计!L$2:L$500,MATCH(377,样本到样信息汇总统计!$X$2:$X$500,0)),"")</f>
        <v/>
      </c>
      <c r="M378" s="4" t="str">
        <f>IFERROR(INDEX(样本到样信息汇总统计!M$2:M$500,MATCH(377,样本到样信息汇总统计!$X$2:$X$500,0)),"")</f>
        <v/>
      </c>
      <c r="N378" s="4" t="str">
        <f>IFERROR(INDEX(样本到样信息汇总统计!N$2:N$500,MATCH(377,样本到样信息汇总统计!$X$2:$X$500,0)),"")</f>
        <v/>
      </c>
      <c r="O378" s="4" t="str">
        <f>IFERROR(INDEX(样本到样信息汇总统计!O$2:O$500,MATCH(377,样本到样信息汇总统计!$X$2:$X$500,0)),"")</f>
        <v/>
      </c>
      <c r="P378" s="4" t="str">
        <f>IFERROR(INDEX(样本到样信息汇总统计!P$2:P$500,MATCH(377,样本到样信息汇总统计!$X$2:$X$500,0)),"")</f>
        <v/>
      </c>
      <c r="Q378" s="4" t="str">
        <f>IFERROR(INDEX(样本到样信息汇总统计!Q$2:Q$500,MATCH(377,样本到样信息汇总统计!$X$2:$X$500,0)),"")</f>
        <v/>
      </c>
      <c r="R378" s="4" t="str">
        <f>IFERROR(INDEX(样本到样信息汇总统计!R$2:R$500,MATCH(377,样本到样信息汇总统计!$X$2:$X$500,0)),"")</f>
        <v/>
      </c>
      <c r="S378" s="4" t="str">
        <f>IFERROR(INDEX(样本到样信息汇总统计!S$2:S$500,MATCH(377,样本到样信息汇总统计!$X$2:$X$500,0)),"")</f>
        <v/>
      </c>
      <c r="T378" s="4" t="str">
        <f>IFERROR(INDEX(样本到样信息汇总统计!T$2:T$500,MATCH(377,样本到样信息汇总统计!$X$2:$X$500,0)),"")</f>
        <v/>
      </c>
      <c r="U378" s="4" t="str">
        <f>IFERROR(INDEX(样本到样信息汇总统计!U$2:U$500,MATCH(377,样本到样信息汇总统计!$X$2:$X$500,0)),"")</f>
        <v/>
      </c>
      <c r="V378" s="4" t="str">
        <f>IFERROR(INDEX(样本到样信息汇总统计!V$2:V$500,MATCH(377,样本到样信息汇总统计!$X$2:$X$500,0)),"")</f>
        <v/>
      </c>
      <c r="W378" s="4" t="str">
        <f>IFERROR(INDEX(样本到样信息汇总统计!W$2:W$500,MATCH(377,样本到样信息汇总统计!$X$2:$X$500,0)),"")</f>
        <v/>
      </c>
    </row>
    <row r="379" ht="14.5" spans="1:23">
      <c r="A379" s="8" t="str">
        <f>IFERROR(INDEX(样本到样信息汇总统计!A$2:A$500,MATCH(378,样本到样信息汇总统计!$X$2:$X$500,0)),"")</f>
        <v/>
      </c>
      <c r="B379" s="8" t="str">
        <f>IFERROR(INDEX(样本到样信息汇总统计!B$2:B$500,MATCH(378,样本到样信息汇总统计!$X$2:$X$500,0)),"")</f>
        <v/>
      </c>
      <c r="C379" s="8" t="str">
        <f>IFERROR(INDEX(样本到样信息汇总统计!C$2:C$500,MATCH(378,样本到样信息汇总统计!$X$2:$X$500,0)),"")</f>
        <v/>
      </c>
      <c r="D379" s="8" t="str">
        <f>IFERROR(INDEX(样本到样信息汇总统计!D$2:D$500,MATCH(378,样本到样信息汇总统计!$X$2:$X$500,0)),"")</f>
        <v/>
      </c>
      <c r="E379" s="8" t="str">
        <f>IFERROR(INDEX(样本到样信息汇总统计!E$2:E$500,MATCH(378,样本到样信息汇总统计!$X$2:$X$500,0)),"")</f>
        <v/>
      </c>
      <c r="F379" s="8" t="str">
        <f>IFERROR(INDEX(样本到样信息汇总统计!F$2:F$500,MATCH(378,样本到样信息汇总统计!$X$2:$X$500,0)),"")</f>
        <v/>
      </c>
      <c r="G379" s="8" t="str">
        <f>IFERROR(INDEX(样本到样信息汇总统计!G$2:G$500,MATCH(378,样本到样信息汇总统计!$X$2:$X$500,0)),"")</f>
        <v/>
      </c>
      <c r="H379" s="8" t="str">
        <f>IFERROR(INDEX(样本到样信息汇总统计!H$2:H$500,MATCH(378,样本到样信息汇总统计!$X$2:$X$500,0)),"")</f>
        <v/>
      </c>
      <c r="I379" s="8" t="str">
        <f>IFERROR(INDEX(样本到样信息汇总统计!I$2:I$500,MATCH(378,样本到样信息汇总统计!$X$2:$X$500,0)),"")</f>
        <v/>
      </c>
      <c r="J379" s="8" t="str">
        <f>IFERROR(INDEX(样本到样信息汇总统计!J$2:J$500,MATCH(378,样本到样信息汇总统计!$X$2:$X$500,0)),"")</f>
        <v/>
      </c>
      <c r="K379" s="15" t="str">
        <f>IFERROR(INDEX(样本到样信息汇总统计!K$2:K$500,MATCH(378,样本到样信息汇总统计!$X$2:$X$500,0)),"")</f>
        <v/>
      </c>
      <c r="L379" s="8" t="str">
        <f>IFERROR(INDEX(样本到样信息汇总统计!L$2:L$500,MATCH(378,样本到样信息汇总统计!$X$2:$X$500,0)),"")</f>
        <v/>
      </c>
      <c r="M379" s="8" t="str">
        <f>IFERROR(INDEX(样本到样信息汇总统计!M$2:M$500,MATCH(378,样本到样信息汇总统计!$X$2:$X$500,0)),"")</f>
        <v/>
      </c>
      <c r="N379" s="8" t="str">
        <f>IFERROR(INDEX(样本到样信息汇总统计!N$2:N$500,MATCH(378,样本到样信息汇总统计!$X$2:$X$500,0)),"")</f>
        <v/>
      </c>
      <c r="O379" s="8" t="str">
        <f>IFERROR(INDEX(样本到样信息汇总统计!O$2:O$500,MATCH(378,样本到样信息汇总统计!$X$2:$X$500,0)),"")</f>
        <v/>
      </c>
      <c r="P379" s="8" t="str">
        <f>IFERROR(INDEX(样本到样信息汇总统计!P$2:P$500,MATCH(378,样本到样信息汇总统计!$X$2:$X$500,0)),"")</f>
        <v/>
      </c>
      <c r="Q379" s="8" t="str">
        <f>IFERROR(INDEX(样本到样信息汇总统计!Q$2:Q$500,MATCH(378,样本到样信息汇总统计!$X$2:$X$500,0)),"")</f>
        <v/>
      </c>
      <c r="R379" s="8" t="str">
        <f>IFERROR(INDEX(样本到样信息汇总统计!R$2:R$500,MATCH(378,样本到样信息汇总统计!$X$2:$X$500,0)),"")</f>
        <v/>
      </c>
      <c r="S379" s="8" t="str">
        <f>IFERROR(INDEX(样本到样信息汇总统计!S$2:S$500,MATCH(378,样本到样信息汇总统计!$X$2:$X$500,0)),"")</f>
        <v/>
      </c>
      <c r="T379" s="8" t="str">
        <f>IFERROR(INDEX(样本到样信息汇总统计!T$2:T$500,MATCH(378,样本到样信息汇总统计!$X$2:$X$500,0)),"")</f>
        <v/>
      </c>
      <c r="U379" s="8" t="str">
        <f>IFERROR(INDEX(样本到样信息汇总统计!U$2:U$500,MATCH(378,样本到样信息汇总统计!$X$2:$X$500,0)),"")</f>
        <v/>
      </c>
      <c r="V379" s="8" t="str">
        <f>IFERROR(INDEX(样本到样信息汇总统计!V$2:V$500,MATCH(378,样本到样信息汇总统计!$X$2:$X$500,0)),"")</f>
        <v/>
      </c>
      <c r="W379" s="8" t="str">
        <f>IFERROR(INDEX(样本到样信息汇总统计!W$2:W$500,MATCH(378,样本到样信息汇总统计!$X$2:$X$500,0)),"")</f>
        <v/>
      </c>
    </row>
    <row r="380" ht="14.5" spans="1:23">
      <c r="A380" s="4" t="str">
        <f>IFERROR(INDEX(样本到样信息汇总统计!A$2:A$500,MATCH(379,样本到样信息汇总统计!$X$2:$X$500,0)),"")</f>
        <v/>
      </c>
      <c r="B380" s="4" t="str">
        <f>IFERROR(INDEX(样本到样信息汇总统计!B$2:B$500,MATCH(379,样本到样信息汇总统计!$X$2:$X$500,0)),"")</f>
        <v/>
      </c>
      <c r="C380" s="4" t="str">
        <f>IFERROR(INDEX(样本到样信息汇总统计!C$2:C$500,MATCH(379,样本到样信息汇总统计!$X$2:$X$500,0)),"")</f>
        <v/>
      </c>
      <c r="D380" s="4" t="str">
        <f>IFERROR(INDEX(样本到样信息汇总统计!D$2:D$500,MATCH(379,样本到样信息汇总统计!$X$2:$X$500,0)),"")</f>
        <v/>
      </c>
      <c r="E380" s="4" t="str">
        <f>IFERROR(INDEX(样本到样信息汇总统计!E$2:E$500,MATCH(379,样本到样信息汇总统计!$X$2:$X$500,0)),"")</f>
        <v/>
      </c>
      <c r="F380" s="4" t="str">
        <f>IFERROR(INDEX(样本到样信息汇总统计!F$2:F$500,MATCH(379,样本到样信息汇总统计!$X$2:$X$500,0)),"")</f>
        <v/>
      </c>
      <c r="G380" s="4" t="str">
        <f>IFERROR(INDEX(样本到样信息汇总统计!G$2:G$500,MATCH(379,样本到样信息汇总统计!$X$2:$X$500,0)),"")</f>
        <v/>
      </c>
      <c r="H380" s="4" t="str">
        <f>IFERROR(INDEX(样本到样信息汇总统计!H$2:H$500,MATCH(379,样本到样信息汇总统计!$X$2:$X$500,0)),"")</f>
        <v/>
      </c>
      <c r="I380" s="4" t="str">
        <f>IFERROR(INDEX(样本到样信息汇总统计!I$2:I$500,MATCH(379,样本到样信息汇总统计!$X$2:$X$500,0)),"")</f>
        <v/>
      </c>
      <c r="J380" s="4" t="str">
        <f>IFERROR(INDEX(样本到样信息汇总统计!J$2:J$500,MATCH(379,样本到样信息汇总统计!$X$2:$X$500,0)),"")</f>
        <v/>
      </c>
      <c r="K380" s="14" t="str">
        <f>IFERROR(INDEX(样本到样信息汇总统计!K$2:K$500,MATCH(379,样本到样信息汇总统计!$X$2:$X$500,0)),"")</f>
        <v/>
      </c>
      <c r="L380" s="4" t="str">
        <f>IFERROR(INDEX(样本到样信息汇总统计!L$2:L$500,MATCH(379,样本到样信息汇总统计!$X$2:$X$500,0)),"")</f>
        <v/>
      </c>
      <c r="M380" s="4" t="str">
        <f>IFERROR(INDEX(样本到样信息汇总统计!M$2:M$500,MATCH(379,样本到样信息汇总统计!$X$2:$X$500,0)),"")</f>
        <v/>
      </c>
      <c r="N380" s="4" t="str">
        <f>IFERROR(INDEX(样本到样信息汇总统计!N$2:N$500,MATCH(379,样本到样信息汇总统计!$X$2:$X$500,0)),"")</f>
        <v/>
      </c>
      <c r="O380" s="4" t="str">
        <f>IFERROR(INDEX(样本到样信息汇总统计!O$2:O$500,MATCH(379,样本到样信息汇总统计!$X$2:$X$500,0)),"")</f>
        <v/>
      </c>
      <c r="P380" s="4" t="str">
        <f>IFERROR(INDEX(样本到样信息汇总统计!P$2:P$500,MATCH(379,样本到样信息汇总统计!$X$2:$X$500,0)),"")</f>
        <v/>
      </c>
      <c r="Q380" s="4" t="str">
        <f>IFERROR(INDEX(样本到样信息汇总统计!Q$2:Q$500,MATCH(379,样本到样信息汇总统计!$X$2:$X$500,0)),"")</f>
        <v/>
      </c>
      <c r="R380" s="4" t="str">
        <f>IFERROR(INDEX(样本到样信息汇总统计!R$2:R$500,MATCH(379,样本到样信息汇总统计!$X$2:$X$500,0)),"")</f>
        <v/>
      </c>
      <c r="S380" s="4" t="str">
        <f>IFERROR(INDEX(样本到样信息汇总统计!S$2:S$500,MATCH(379,样本到样信息汇总统计!$X$2:$X$500,0)),"")</f>
        <v/>
      </c>
      <c r="T380" s="4" t="str">
        <f>IFERROR(INDEX(样本到样信息汇总统计!T$2:T$500,MATCH(379,样本到样信息汇总统计!$X$2:$X$500,0)),"")</f>
        <v/>
      </c>
      <c r="U380" s="4" t="str">
        <f>IFERROR(INDEX(样本到样信息汇总统计!U$2:U$500,MATCH(379,样本到样信息汇总统计!$X$2:$X$500,0)),"")</f>
        <v/>
      </c>
      <c r="V380" s="4" t="str">
        <f>IFERROR(INDEX(样本到样信息汇总统计!V$2:V$500,MATCH(379,样本到样信息汇总统计!$X$2:$X$500,0)),"")</f>
        <v/>
      </c>
      <c r="W380" s="4" t="str">
        <f>IFERROR(INDEX(样本到样信息汇总统计!W$2:W$500,MATCH(379,样本到样信息汇总统计!$X$2:$X$500,0)),"")</f>
        <v/>
      </c>
    </row>
    <row r="381" ht="14.5" spans="1:23">
      <c r="A381" s="8" t="str">
        <f>IFERROR(INDEX(样本到样信息汇总统计!A$2:A$500,MATCH(380,样本到样信息汇总统计!$X$2:$X$500,0)),"")</f>
        <v/>
      </c>
      <c r="B381" s="8" t="str">
        <f>IFERROR(INDEX(样本到样信息汇总统计!B$2:B$500,MATCH(380,样本到样信息汇总统计!$X$2:$X$500,0)),"")</f>
        <v/>
      </c>
      <c r="C381" s="8" t="str">
        <f>IFERROR(INDEX(样本到样信息汇总统计!C$2:C$500,MATCH(380,样本到样信息汇总统计!$X$2:$X$500,0)),"")</f>
        <v/>
      </c>
      <c r="D381" s="8" t="str">
        <f>IFERROR(INDEX(样本到样信息汇总统计!D$2:D$500,MATCH(380,样本到样信息汇总统计!$X$2:$X$500,0)),"")</f>
        <v/>
      </c>
      <c r="E381" s="8" t="str">
        <f>IFERROR(INDEX(样本到样信息汇总统计!E$2:E$500,MATCH(380,样本到样信息汇总统计!$X$2:$X$500,0)),"")</f>
        <v/>
      </c>
      <c r="F381" s="8" t="str">
        <f>IFERROR(INDEX(样本到样信息汇总统计!F$2:F$500,MATCH(380,样本到样信息汇总统计!$X$2:$X$500,0)),"")</f>
        <v/>
      </c>
      <c r="G381" s="8" t="str">
        <f>IFERROR(INDEX(样本到样信息汇总统计!G$2:G$500,MATCH(380,样本到样信息汇总统计!$X$2:$X$500,0)),"")</f>
        <v/>
      </c>
      <c r="H381" s="8" t="str">
        <f>IFERROR(INDEX(样本到样信息汇总统计!H$2:H$500,MATCH(380,样本到样信息汇总统计!$X$2:$X$500,0)),"")</f>
        <v/>
      </c>
      <c r="I381" s="8" t="str">
        <f>IFERROR(INDEX(样本到样信息汇总统计!I$2:I$500,MATCH(380,样本到样信息汇总统计!$X$2:$X$500,0)),"")</f>
        <v/>
      </c>
      <c r="J381" s="8" t="str">
        <f>IFERROR(INDEX(样本到样信息汇总统计!J$2:J$500,MATCH(380,样本到样信息汇总统计!$X$2:$X$500,0)),"")</f>
        <v/>
      </c>
      <c r="K381" s="15" t="str">
        <f>IFERROR(INDEX(样本到样信息汇总统计!K$2:K$500,MATCH(380,样本到样信息汇总统计!$X$2:$X$500,0)),"")</f>
        <v/>
      </c>
      <c r="L381" s="8" t="str">
        <f>IFERROR(INDEX(样本到样信息汇总统计!L$2:L$500,MATCH(380,样本到样信息汇总统计!$X$2:$X$500,0)),"")</f>
        <v/>
      </c>
      <c r="M381" s="8" t="str">
        <f>IFERROR(INDEX(样本到样信息汇总统计!M$2:M$500,MATCH(380,样本到样信息汇总统计!$X$2:$X$500,0)),"")</f>
        <v/>
      </c>
      <c r="N381" s="8" t="str">
        <f>IFERROR(INDEX(样本到样信息汇总统计!N$2:N$500,MATCH(380,样本到样信息汇总统计!$X$2:$X$500,0)),"")</f>
        <v/>
      </c>
      <c r="O381" s="8" t="str">
        <f>IFERROR(INDEX(样本到样信息汇总统计!O$2:O$500,MATCH(380,样本到样信息汇总统计!$X$2:$X$500,0)),"")</f>
        <v/>
      </c>
      <c r="P381" s="8" t="str">
        <f>IFERROR(INDEX(样本到样信息汇总统计!P$2:P$500,MATCH(380,样本到样信息汇总统计!$X$2:$X$500,0)),"")</f>
        <v/>
      </c>
      <c r="Q381" s="8" t="str">
        <f>IFERROR(INDEX(样本到样信息汇总统计!Q$2:Q$500,MATCH(380,样本到样信息汇总统计!$X$2:$X$500,0)),"")</f>
        <v/>
      </c>
      <c r="R381" s="8" t="str">
        <f>IFERROR(INDEX(样本到样信息汇总统计!R$2:R$500,MATCH(380,样本到样信息汇总统计!$X$2:$X$500,0)),"")</f>
        <v/>
      </c>
      <c r="S381" s="8" t="str">
        <f>IFERROR(INDEX(样本到样信息汇总统计!S$2:S$500,MATCH(380,样本到样信息汇总统计!$X$2:$X$500,0)),"")</f>
        <v/>
      </c>
      <c r="T381" s="8" t="str">
        <f>IFERROR(INDEX(样本到样信息汇总统计!T$2:T$500,MATCH(380,样本到样信息汇总统计!$X$2:$X$500,0)),"")</f>
        <v/>
      </c>
      <c r="U381" s="8" t="str">
        <f>IFERROR(INDEX(样本到样信息汇总统计!U$2:U$500,MATCH(380,样本到样信息汇总统计!$X$2:$X$500,0)),"")</f>
        <v/>
      </c>
      <c r="V381" s="8" t="str">
        <f>IFERROR(INDEX(样本到样信息汇总统计!V$2:V$500,MATCH(380,样本到样信息汇总统计!$X$2:$X$500,0)),"")</f>
        <v/>
      </c>
      <c r="W381" s="8" t="str">
        <f>IFERROR(INDEX(样本到样信息汇总统计!W$2:W$500,MATCH(380,样本到样信息汇总统计!$X$2:$X$500,0)),"")</f>
        <v/>
      </c>
    </row>
    <row r="382" ht="14.5" spans="1:23">
      <c r="A382" s="4" t="str">
        <f>IFERROR(INDEX(样本到样信息汇总统计!A$2:A$500,MATCH(381,样本到样信息汇总统计!$X$2:$X$500,0)),"")</f>
        <v/>
      </c>
      <c r="B382" s="4" t="str">
        <f>IFERROR(INDEX(样本到样信息汇总统计!B$2:B$500,MATCH(381,样本到样信息汇总统计!$X$2:$X$500,0)),"")</f>
        <v/>
      </c>
      <c r="C382" s="4" t="str">
        <f>IFERROR(INDEX(样本到样信息汇总统计!C$2:C$500,MATCH(381,样本到样信息汇总统计!$X$2:$X$500,0)),"")</f>
        <v/>
      </c>
      <c r="D382" s="4" t="str">
        <f>IFERROR(INDEX(样本到样信息汇总统计!D$2:D$500,MATCH(381,样本到样信息汇总统计!$X$2:$X$500,0)),"")</f>
        <v/>
      </c>
      <c r="E382" s="4" t="str">
        <f>IFERROR(INDEX(样本到样信息汇总统计!E$2:E$500,MATCH(381,样本到样信息汇总统计!$X$2:$X$500,0)),"")</f>
        <v/>
      </c>
      <c r="F382" s="4" t="str">
        <f>IFERROR(INDEX(样本到样信息汇总统计!F$2:F$500,MATCH(381,样本到样信息汇总统计!$X$2:$X$500,0)),"")</f>
        <v/>
      </c>
      <c r="G382" s="4" t="str">
        <f>IFERROR(INDEX(样本到样信息汇总统计!G$2:G$500,MATCH(381,样本到样信息汇总统计!$X$2:$X$500,0)),"")</f>
        <v/>
      </c>
      <c r="H382" s="4" t="str">
        <f>IFERROR(INDEX(样本到样信息汇总统计!H$2:H$500,MATCH(381,样本到样信息汇总统计!$X$2:$X$500,0)),"")</f>
        <v/>
      </c>
      <c r="I382" s="4" t="str">
        <f>IFERROR(INDEX(样本到样信息汇总统计!I$2:I$500,MATCH(381,样本到样信息汇总统计!$X$2:$X$500,0)),"")</f>
        <v/>
      </c>
      <c r="J382" s="4" t="str">
        <f>IFERROR(INDEX(样本到样信息汇总统计!J$2:J$500,MATCH(381,样本到样信息汇总统计!$X$2:$X$500,0)),"")</f>
        <v/>
      </c>
      <c r="K382" s="14" t="str">
        <f>IFERROR(INDEX(样本到样信息汇总统计!K$2:K$500,MATCH(381,样本到样信息汇总统计!$X$2:$X$500,0)),"")</f>
        <v/>
      </c>
      <c r="L382" s="4" t="str">
        <f>IFERROR(INDEX(样本到样信息汇总统计!L$2:L$500,MATCH(381,样本到样信息汇总统计!$X$2:$X$500,0)),"")</f>
        <v/>
      </c>
      <c r="M382" s="4" t="str">
        <f>IFERROR(INDEX(样本到样信息汇总统计!M$2:M$500,MATCH(381,样本到样信息汇总统计!$X$2:$X$500,0)),"")</f>
        <v/>
      </c>
      <c r="N382" s="4" t="str">
        <f>IFERROR(INDEX(样本到样信息汇总统计!N$2:N$500,MATCH(381,样本到样信息汇总统计!$X$2:$X$500,0)),"")</f>
        <v/>
      </c>
      <c r="O382" s="4" t="str">
        <f>IFERROR(INDEX(样本到样信息汇总统计!O$2:O$500,MATCH(381,样本到样信息汇总统计!$X$2:$X$500,0)),"")</f>
        <v/>
      </c>
      <c r="P382" s="4" t="str">
        <f>IFERROR(INDEX(样本到样信息汇总统计!P$2:P$500,MATCH(381,样本到样信息汇总统计!$X$2:$X$500,0)),"")</f>
        <v/>
      </c>
      <c r="Q382" s="4" t="str">
        <f>IFERROR(INDEX(样本到样信息汇总统计!Q$2:Q$500,MATCH(381,样本到样信息汇总统计!$X$2:$X$500,0)),"")</f>
        <v/>
      </c>
      <c r="R382" s="4" t="str">
        <f>IFERROR(INDEX(样本到样信息汇总统计!R$2:R$500,MATCH(381,样本到样信息汇总统计!$X$2:$X$500,0)),"")</f>
        <v/>
      </c>
      <c r="S382" s="4" t="str">
        <f>IFERROR(INDEX(样本到样信息汇总统计!S$2:S$500,MATCH(381,样本到样信息汇总统计!$X$2:$X$500,0)),"")</f>
        <v/>
      </c>
      <c r="T382" s="4" t="str">
        <f>IFERROR(INDEX(样本到样信息汇总统计!T$2:T$500,MATCH(381,样本到样信息汇总统计!$X$2:$X$500,0)),"")</f>
        <v/>
      </c>
      <c r="U382" s="4" t="str">
        <f>IFERROR(INDEX(样本到样信息汇总统计!U$2:U$500,MATCH(381,样本到样信息汇总统计!$X$2:$X$500,0)),"")</f>
        <v/>
      </c>
      <c r="V382" s="4" t="str">
        <f>IFERROR(INDEX(样本到样信息汇总统计!V$2:V$500,MATCH(381,样本到样信息汇总统计!$X$2:$X$500,0)),"")</f>
        <v/>
      </c>
      <c r="W382" s="4" t="str">
        <f>IFERROR(INDEX(样本到样信息汇总统计!W$2:W$500,MATCH(381,样本到样信息汇总统计!$X$2:$X$500,0)),"")</f>
        <v/>
      </c>
    </row>
    <row r="383" ht="14.5" spans="1:23">
      <c r="A383" s="8" t="str">
        <f>IFERROR(INDEX(样本到样信息汇总统计!A$2:A$500,MATCH(382,样本到样信息汇总统计!$X$2:$X$500,0)),"")</f>
        <v/>
      </c>
      <c r="B383" s="8" t="str">
        <f>IFERROR(INDEX(样本到样信息汇总统计!B$2:B$500,MATCH(382,样本到样信息汇总统计!$X$2:$X$500,0)),"")</f>
        <v/>
      </c>
      <c r="C383" s="8" t="str">
        <f>IFERROR(INDEX(样本到样信息汇总统计!C$2:C$500,MATCH(382,样本到样信息汇总统计!$X$2:$X$500,0)),"")</f>
        <v/>
      </c>
      <c r="D383" s="8" t="str">
        <f>IFERROR(INDEX(样本到样信息汇总统计!D$2:D$500,MATCH(382,样本到样信息汇总统计!$X$2:$X$500,0)),"")</f>
        <v/>
      </c>
      <c r="E383" s="8" t="str">
        <f>IFERROR(INDEX(样本到样信息汇总统计!E$2:E$500,MATCH(382,样本到样信息汇总统计!$X$2:$X$500,0)),"")</f>
        <v/>
      </c>
      <c r="F383" s="8" t="str">
        <f>IFERROR(INDEX(样本到样信息汇总统计!F$2:F$500,MATCH(382,样本到样信息汇总统计!$X$2:$X$500,0)),"")</f>
        <v/>
      </c>
      <c r="G383" s="8" t="str">
        <f>IFERROR(INDEX(样本到样信息汇总统计!G$2:G$500,MATCH(382,样本到样信息汇总统计!$X$2:$X$500,0)),"")</f>
        <v/>
      </c>
      <c r="H383" s="8" t="str">
        <f>IFERROR(INDEX(样本到样信息汇总统计!H$2:H$500,MATCH(382,样本到样信息汇总统计!$X$2:$X$500,0)),"")</f>
        <v/>
      </c>
      <c r="I383" s="8" t="str">
        <f>IFERROR(INDEX(样本到样信息汇总统计!I$2:I$500,MATCH(382,样本到样信息汇总统计!$X$2:$X$500,0)),"")</f>
        <v/>
      </c>
      <c r="J383" s="8" t="str">
        <f>IFERROR(INDEX(样本到样信息汇总统计!J$2:J$500,MATCH(382,样本到样信息汇总统计!$X$2:$X$500,0)),"")</f>
        <v/>
      </c>
      <c r="K383" s="15" t="str">
        <f>IFERROR(INDEX(样本到样信息汇总统计!K$2:K$500,MATCH(382,样本到样信息汇总统计!$X$2:$X$500,0)),"")</f>
        <v/>
      </c>
      <c r="L383" s="8" t="str">
        <f>IFERROR(INDEX(样本到样信息汇总统计!L$2:L$500,MATCH(382,样本到样信息汇总统计!$X$2:$X$500,0)),"")</f>
        <v/>
      </c>
      <c r="M383" s="8" t="str">
        <f>IFERROR(INDEX(样本到样信息汇总统计!M$2:M$500,MATCH(382,样本到样信息汇总统计!$X$2:$X$500,0)),"")</f>
        <v/>
      </c>
      <c r="N383" s="8" t="str">
        <f>IFERROR(INDEX(样本到样信息汇总统计!N$2:N$500,MATCH(382,样本到样信息汇总统计!$X$2:$X$500,0)),"")</f>
        <v/>
      </c>
      <c r="O383" s="8" t="str">
        <f>IFERROR(INDEX(样本到样信息汇总统计!O$2:O$500,MATCH(382,样本到样信息汇总统计!$X$2:$X$500,0)),"")</f>
        <v/>
      </c>
      <c r="P383" s="8" t="str">
        <f>IFERROR(INDEX(样本到样信息汇总统计!P$2:P$500,MATCH(382,样本到样信息汇总统计!$X$2:$X$500,0)),"")</f>
        <v/>
      </c>
      <c r="Q383" s="8" t="str">
        <f>IFERROR(INDEX(样本到样信息汇总统计!Q$2:Q$500,MATCH(382,样本到样信息汇总统计!$X$2:$X$500,0)),"")</f>
        <v/>
      </c>
      <c r="R383" s="8" t="str">
        <f>IFERROR(INDEX(样本到样信息汇总统计!R$2:R$500,MATCH(382,样本到样信息汇总统计!$X$2:$X$500,0)),"")</f>
        <v/>
      </c>
      <c r="S383" s="8" t="str">
        <f>IFERROR(INDEX(样本到样信息汇总统计!S$2:S$500,MATCH(382,样本到样信息汇总统计!$X$2:$X$500,0)),"")</f>
        <v/>
      </c>
      <c r="T383" s="8" t="str">
        <f>IFERROR(INDEX(样本到样信息汇总统计!T$2:T$500,MATCH(382,样本到样信息汇总统计!$X$2:$X$500,0)),"")</f>
        <v/>
      </c>
      <c r="U383" s="8" t="str">
        <f>IFERROR(INDEX(样本到样信息汇总统计!U$2:U$500,MATCH(382,样本到样信息汇总统计!$X$2:$X$500,0)),"")</f>
        <v/>
      </c>
      <c r="V383" s="8" t="str">
        <f>IFERROR(INDEX(样本到样信息汇总统计!V$2:V$500,MATCH(382,样本到样信息汇总统计!$X$2:$X$500,0)),"")</f>
        <v/>
      </c>
      <c r="W383" s="8" t="str">
        <f>IFERROR(INDEX(样本到样信息汇总统计!W$2:W$500,MATCH(382,样本到样信息汇总统计!$X$2:$X$500,0)),"")</f>
        <v/>
      </c>
    </row>
    <row r="384" ht="14.5" spans="1:23">
      <c r="A384" s="4" t="str">
        <f>IFERROR(INDEX(样本到样信息汇总统计!A$2:A$500,MATCH(383,样本到样信息汇总统计!$X$2:$X$500,0)),"")</f>
        <v/>
      </c>
      <c r="B384" s="4" t="str">
        <f>IFERROR(INDEX(样本到样信息汇总统计!B$2:B$500,MATCH(383,样本到样信息汇总统计!$X$2:$X$500,0)),"")</f>
        <v/>
      </c>
      <c r="C384" s="4" t="str">
        <f>IFERROR(INDEX(样本到样信息汇总统计!C$2:C$500,MATCH(383,样本到样信息汇总统计!$X$2:$X$500,0)),"")</f>
        <v/>
      </c>
      <c r="D384" s="4" t="str">
        <f>IFERROR(INDEX(样本到样信息汇总统计!D$2:D$500,MATCH(383,样本到样信息汇总统计!$X$2:$X$500,0)),"")</f>
        <v/>
      </c>
      <c r="E384" s="4" t="str">
        <f>IFERROR(INDEX(样本到样信息汇总统计!E$2:E$500,MATCH(383,样本到样信息汇总统计!$X$2:$X$500,0)),"")</f>
        <v/>
      </c>
      <c r="F384" s="4" t="str">
        <f>IFERROR(INDEX(样本到样信息汇总统计!F$2:F$500,MATCH(383,样本到样信息汇总统计!$X$2:$X$500,0)),"")</f>
        <v/>
      </c>
      <c r="G384" s="4" t="str">
        <f>IFERROR(INDEX(样本到样信息汇总统计!G$2:G$500,MATCH(383,样本到样信息汇总统计!$X$2:$X$500,0)),"")</f>
        <v/>
      </c>
      <c r="H384" s="4" t="str">
        <f>IFERROR(INDEX(样本到样信息汇总统计!H$2:H$500,MATCH(383,样本到样信息汇总统计!$X$2:$X$500,0)),"")</f>
        <v/>
      </c>
      <c r="I384" s="4" t="str">
        <f>IFERROR(INDEX(样本到样信息汇总统计!I$2:I$500,MATCH(383,样本到样信息汇总统计!$X$2:$X$500,0)),"")</f>
        <v/>
      </c>
      <c r="J384" s="4" t="str">
        <f>IFERROR(INDEX(样本到样信息汇总统计!J$2:J$500,MATCH(383,样本到样信息汇总统计!$X$2:$X$500,0)),"")</f>
        <v/>
      </c>
      <c r="K384" s="14" t="str">
        <f>IFERROR(INDEX(样本到样信息汇总统计!K$2:K$500,MATCH(383,样本到样信息汇总统计!$X$2:$X$500,0)),"")</f>
        <v/>
      </c>
      <c r="L384" s="4" t="str">
        <f>IFERROR(INDEX(样本到样信息汇总统计!L$2:L$500,MATCH(383,样本到样信息汇总统计!$X$2:$X$500,0)),"")</f>
        <v/>
      </c>
      <c r="M384" s="4" t="str">
        <f>IFERROR(INDEX(样本到样信息汇总统计!M$2:M$500,MATCH(383,样本到样信息汇总统计!$X$2:$X$500,0)),"")</f>
        <v/>
      </c>
      <c r="N384" s="4" t="str">
        <f>IFERROR(INDEX(样本到样信息汇总统计!N$2:N$500,MATCH(383,样本到样信息汇总统计!$X$2:$X$500,0)),"")</f>
        <v/>
      </c>
      <c r="O384" s="4" t="str">
        <f>IFERROR(INDEX(样本到样信息汇总统计!O$2:O$500,MATCH(383,样本到样信息汇总统计!$X$2:$X$500,0)),"")</f>
        <v/>
      </c>
      <c r="P384" s="4" t="str">
        <f>IFERROR(INDEX(样本到样信息汇总统计!P$2:P$500,MATCH(383,样本到样信息汇总统计!$X$2:$X$500,0)),"")</f>
        <v/>
      </c>
      <c r="Q384" s="4" t="str">
        <f>IFERROR(INDEX(样本到样信息汇总统计!Q$2:Q$500,MATCH(383,样本到样信息汇总统计!$X$2:$X$500,0)),"")</f>
        <v/>
      </c>
      <c r="R384" s="4" t="str">
        <f>IFERROR(INDEX(样本到样信息汇总统计!R$2:R$500,MATCH(383,样本到样信息汇总统计!$X$2:$X$500,0)),"")</f>
        <v/>
      </c>
      <c r="S384" s="4" t="str">
        <f>IFERROR(INDEX(样本到样信息汇总统计!S$2:S$500,MATCH(383,样本到样信息汇总统计!$X$2:$X$500,0)),"")</f>
        <v/>
      </c>
      <c r="T384" s="4" t="str">
        <f>IFERROR(INDEX(样本到样信息汇总统计!T$2:T$500,MATCH(383,样本到样信息汇总统计!$X$2:$X$500,0)),"")</f>
        <v/>
      </c>
      <c r="U384" s="4" t="str">
        <f>IFERROR(INDEX(样本到样信息汇总统计!U$2:U$500,MATCH(383,样本到样信息汇总统计!$X$2:$X$500,0)),"")</f>
        <v/>
      </c>
      <c r="V384" s="4" t="str">
        <f>IFERROR(INDEX(样本到样信息汇总统计!V$2:V$500,MATCH(383,样本到样信息汇总统计!$X$2:$X$500,0)),"")</f>
        <v/>
      </c>
      <c r="W384" s="4" t="str">
        <f>IFERROR(INDEX(样本到样信息汇总统计!W$2:W$500,MATCH(383,样本到样信息汇总统计!$X$2:$X$500,0)),"")</f>
        <v/>
      </c>
    </row>
    <row r="385" ht="14.5" spans="1:23">
      <c r="A385" s="8" t="str">
        <f>IFERROR(INDEX(样本到样信息汇总统计!A$2:A$500,MATCH(384,样本到样信息汇总统计!$X$2:$X$500,0)),"")</f>
        <v/>
      </c>
      <c r="B385" s="8" t="str">
        <f>IFERROR(INDEX(样本到样信息汇总统计!B$2:B$500,MATCH(384,样本到样信息汇总统计!$X$2:$X$500,0)),"")</f>
        <v/>
      </c>
      <c r="C385" s="8" t="str">
        <f>IFERROR(INDEX(样本到样信息汇总统计!C$2:C$500,MATCH(384,样本到样信息汇总统计!$X$2:$X$500,0)),"")</f>
        <v/>
      </c>
      <c r="D385" s="8" t="str">
        <f>IFERROR(INDEX(样本到样信息汇总统计!D$2:D$500,MATCH(384,样本到样信息汇总统计!$X$2:$X$500,0)),"")</f>
        <v/>
      </c>
      <c r="E385" s="8" t="str">
        <f>IFERROR(INDEX(样本到样信息汇总统计!E$2:E$500,MATCH(384,样本到样信息汇总统计!$X$2:$X$500,0)),"")</f>
        <v/>
      </c>
      <c r="F385" s="8" t="str">
        <f>IFERROR(INDEX(样本到样信息汇总统计!F$2:F$500,MATCH(384,样本到样信息汇总统计!$X$2:$X$500,0)),"")</f>
        <v/>
      </c>
      <c r="G385" s="8" t="str">
        <f>IFERROR(INDEX(样本到样信息汇总统计!G$2:G$500,MATCH(384,样本到样信息汇总统计!$X$2:$X$500,0)),"")</f>
        <v/>
      </c>
      <c r="H385" s="8" t="str">
        <f>IFERROR(INDEX(样本到样信息汇总统计!H$2:H$500,MATCH(384,样本到样信息汇总统计!$X$2:$X$500,0)),"")</f>
        <v/>
      </c>
      <c r="I385" s="8" t="str">
        <f>IFERROR(INDEX(样本到样信息汇总统计!I$2:I$500,MATCH(384,样本到样信息汇总统计!$X$2:$X$500,0)),"")</f>
        <v/>
      </c>
      <c r="J385" s="8" t="str">
        <f>IFERROR(INDEX(样本到样信息汇总统计!J$2:J$500,MATCH(384,样本到样信息汇总统计!$X$2:$X$500,0)),"")</f>
        <v/>
      </c>
      <c r="K385" s="15" t="str">
        <f>IFERROR(INDEX(样本到样信息汇总统计!K$2:K$500,MATCH(384,样本到样信息汇总统计!$X$2:$X$500,0)),"")</f>
        <v/>
      </c>
      <c r="L385" s="8" t="str">
        <f>IFERROR(INDEX(样本到样信息汇总统计!L$2:L$500,MATCH(384,样本到样信息汇总统计!$X$2:$X$500,0)),"")</f>
        <v/>
      </c>
      <c r="M385" s="8" t="str">
        <f>IFERROR(INDEX(样本到样信息汇总统计!M$2:M$500,MATCH(384,样本到样信息汇总统计!$X$2:$X$500,0)),"")</f>
        <v/>
      </c>
      <c r="N385" s="8" t="str">
        <f>IFERROR(INDEX(样本到样信息汇总统计!N$2:N$500,MATCH(384,样本到样信息汇总统计!$X$2:$X$500,0)),"")</f>
        <v/>
      </c>
      <c r="O385" s="8" t="str">
        <f>IFERROR(INDEX(样本到样信息汇总统计!O$2:O$500,MATCH(384,样本到样信息汇总统计!$X$2:$X$500,0)),"")</f>
        <v/>
      </c>
      <c r="P385" s="8" t="str">
        <f>IFERROR(INDEX(样本到样信息汇总统计!P$2:P$500,MATCH(384,样本到样信息汇总统计!$X$2:$X$500,0)),"")</f>
        <v/>
      </c>
      <c r="Q385" s="8" t="str">
        <f>IFERROR(INDEX(样本到样信息汇总统计!Q$2:Q$500,MATCH(384,样本到样信息汇总统计!$X$2:$X$500,0)),"")</f>
        <v/>
      </c>
      <c r="R385" s="8" t="str">
        <f>IFERROR(INDEX(样本到样信息汇总统计!R$2:R$500,MATCH(384,样本到样信息汇总统计!$X$2:$X$500,0)),"")</f>
        <v/>
      </c>
      <c r="S385" s="8" t="str">
        <f>IFERROR(INDEX(样本到样信息汇总统计!S$2:S$500,MATCH(384,样本到样信息汇总统计!$X$2:$X$500,0)),"")</f>
        <v/>
      </c>
      <c r="T385" s="8" t="str">
        <f>IFERROR(INDEX(样本到样信息汇总统计!T$2:T$500,MATCH(384,样本到样信息汇总统计!$X$2:$X$500,0)),"")</f>
        <v/>
      </c>
      <c r="U385" s="8" t="str">
        <f>IFERROR(INDEX(样本到样信息汇总统计!U$2:U$500,MATCH(384,样本到样信息汇总统计!$X$2:$X$500,0)),"")</f>
        <v/>
      </c>
      <c r="V385" s="8" t="str">
        <f>IFERROR(INDEX(样本到样信息汇总统计!V$2:V$500,MATCH(384,样本到样信息汇总统计!$X$2:$X$500,0)),"")</f>
        <v/>
      </c>
      <c r="W385" s="8" t="str">
        <f>IFERROR(INDEX(样本到样信息汇总统计!W$2:W$500,MATCH(384,样本到样信息汇总统计!$X$2:$X$500,0)),"")</f>
        <v/>
      </c>
    </row>
    <row r="386" ht="14.5" spans="1:23">
      <c r="A386" s="4" t="str">
        <f>IFERROR(INDEX(样本到样信息汇总统计!A$2:A$500,MATCH(385,样本到样信息汇总统计!$X$2:$X$500,0)),"")</f>
        <v/>
      </c>
      <c r="B386" s="4" t="str">
        <f>IFERROR(INDEX(样本到样信息汇总统计!B$2:B$500,MATCH(385,样本到样信息汇总统计!$X$2:$X$500,0)),"")</f>
        <v/>
      </c>
      <c r="C386" s="4" t="str">
        <f>IFERROR(INDEX(样本到样信息汇总统计!C$2:C$500,MATCH(385,样本到样信息汇总统计!$X$2:$X$500,0)),"")</f>
        <v/>
      </c>
      <c r="D386" s="4" t="str">
        <f>IFERROR(INDEX(样本到样信息汇总统计!D$2:D$500,MATCH(385,样本到样信息汇总统计!$X$2:$X$500,0)),"")</f>
        <v/>
      </c>
      <c r="E386" s="4" t="str">
        <f>IFERROR(INDEX(样本到样信息汇总统计!E$2:E$500,MATCH(385,样本到样信息汇总统计!$X$2:$X$500,0)),"")</f>
        <v/>
      </c>
      <c r="F386" s="4" t="str">
        <f>IFERROR(INDEX(样本到样信息汇总统计!F$2:F$500,MATCH(385,样本到样信息汇总统计!$X$2:$X$500,0)),"")</f>
        <v/>
      </c>
      <c r="G386" s="4" t="str">
        <f>IFERROR(INDEX(样本到样信息汇总统计!G$2:G$500,MATCH(385,样本到样信息汇总统计!$X$2:$X$500,0)),"")</f>
        <v/>
      </c>
      <c r="H386" s="4" t="str">
        <f>IFERROR(INDEX(样本到样信息汇总统计!H$2:H$500,MATCH(385,样本到样信息汇总统计!$X$2:$X$500,0)),"")</f>
        <v/>
      </c>
      <c r="I386" s="4" t="str">
        <f>IFERROR(INDEX(样本到样信息汇总统计!I$2:I$500,MATCH(385,样本到样信息汇总统计!$X$2:$X$500,0)),"")</f>
        <v/>
      </c>
      <c r="J386" s="4" t="str">
        <f>IFERROR(INDEX(样本到样信息汇总统计!J$2:J$500,MATCH(385,样本到样信息汇总统计!$X$2:$X$500,0)),"")</f>
        <v/>
      </c>
      <c r="K386" s="14" t="str">
        <f>IFERROR(INDEX(样本到样信息汇总统计!K$2:K$500,MATCH(385,样本到样信息汇总统计!$X$2:$X$500,0)),"")</f>
        <v/>
      </c>
      <c r="L386" s="4" t="str">
        <f>IFERROR(INDEX(样本到样信息汇总统计!L$2:L$500,MATCH(385,样本到样信息汇总统计!$X$2:$X$500,0)),"")</f>
        <v/>
      </c>
      <c r="M386" s="4" t="str">
        <f>IFERROR(INDEX(样本到样信息汇总统计!M$2:M$500,MATCH(385,样本到样信息汇总统计!$X$2:$X$500,0)),"")</f>
        <v/>
      </c>
      <c r="N386" s="4" t="str">
        <f>IFERROR(INDEX(样本到样信息汇总统计!N$2:N$500,MATCH(385,样本到样信息汇总统计!$X$2:$X$500,0)),"")</f>
        <v/>
      </c>
      <c r="O386" s="4" t="str">
        <f>IFERROR(INDEX(样本到样信息汇总统计!O$2:O$500,MATCH(385,样本到样信息汇总统计!$X$2:$X$500,0)),"")</f>
        <v/>
      </c>
      <c r="P386" s="4" t="str">
        <f>IFERROR(INDEX(样本到样信息汇总统计!P$2:P$500,MATCH(385,样本到样信息汇总统计!$X$2:$X$500,0)),"")</f>
        <v/>
      </c>
      <c r="Q386" s="4" t="str">
        <f>IFERROR(INDEX(样本到样信息汇总统计!Q$2:Q$500,MATCH(385,样本到样信息汇总统计!$X$2:$X$500,0)),"")</f>
        <v/>
      </c>
      <c r="R386" s="4" t="str">
        <f>IFERROR(INDEX(样本到样信息汇总统计!R$2:R$500,MATCH(385,样本到样信息汇总统计!$X$2:$X$500,0)),"")</f>
        <v/>
      </c>
      <c r="S386" s="4" t="str">
        <f>IFERROR(INDEX(样本到样信息汇总统计!S$2:S$500,MATCH(385,样本到样信息汇总统计!$X$2:$X$500,0)),"")</f>
        <v/>
      </c>
      <c r="T386" s="4" t="str">
        <f>IFERROR(INDEX(样本到样信息汇总统计!T$2:T$500,MATCH(385,样本到样信息汇总统计!$X$2:$X$500,0)),"")</f>
        <v/>
      </c>
      <c r="U386" s="4" t="str">
        <f>IFERROR(INDEX(样本到样信息汇总统计!U$2:U$500,MATCH(385,样本到样信息汇总统计!$X$2:$X$500,0)),"")</f>
        <v/>
      </c>
      <c r="V386" s="4" t="str">
        <f>IFERROR(INDEX(样本到样信息汇总统计!V$2:V$500,MATCH(385,样本到样信息汇总统计!$X$2:$X$500,0)),"")</f>
        <v/>
      </c>
      <c r="W386" s="4" t="str">
        <f>IFERROR(INDEX(样本到样信息汇总统计!W$2:W$500,MATCH(385,样本到样信息汇总统计!$X$2:$X$500,0)),"")</f>
        <v/>
      </c>
    </row>
    <row r="387" ht="14.5" spans="1:23">
      <c r="A387" s="8" t="str">
        <f>IFERROR(INDEX(样本到样信息汇总统计!A$2:A$500,MATCH(386,样本到样信息汇总统计!$X$2:$X$500,0)),"")</f>
        <v/>
      </c>
      <c r="B387" s="8" t="str">
        <f>IFERROR(INDEX(样本到样信息汇总统计!B$2:B$500,MATCH(386,样本到样信息汇总统计!$X$2:$X$500,0)),"")</f>
        <v/>
      </c>
      <c r="C387" s="8" t="str">
        <f>IFERROR(INDEX(样本到样信息汇总统计!C$2:C$500,MATCH(386,样本到样信息汇总统计!$X$2:$X$500,0)),"")</f>
        <v/>
      </c>
      <c r="D387" s="8" t="str">
        <f>IFERROR(INDEX(样本到样信息汇总统计!D$2:D$500,MATCH(386,样本到样信息汇总统计!$X$2:$X$500,0)),"")</f>
        <v/>
      </c>
      <c r="E387" s="8" t="str">
        <f>IFERROR(INDEX(样本到样信息汇总统计!E$2:E$500,MATCH(386,样本到样信息汇总统计!$X$2:$X$500,0)),"")</f>
        <v/>
      </c>
      <c r="F387" s="8" t="str">
        <f>IFERROR(INDEX(样本到样信息汇总统计!F$2:F$500,MATCH(386,样本到样信息汇总统计!$X$2:$X$500,0)),"")</f>
        <v/>
      </c>
      <c r="G387" s="8" t="str">
        <f>IFERROR(INDEX(样本到样信息汇总统计!G$2:G$500,MATCH(386,样本到样信息汇总统计!$X$2:$X$500,0)),"")</f>
        <v/>
      </c>
      <c r="H387" s="8" t="str">
        <f>IFERROR(INDEX(样本到样信息汇总统计!H$2:H$500,MATCH(386,样本到样信息汇总统计!$X$2:$X$500,0)),"")</f>
        <v/>
      </c>
      <c r="I387" s="8" t="str">
        <f>IFERROR(INDEX(样本到样信息汇总统计!I$2:I$500,MATCH(386,样本到样信息汇总统计!$X$2:$X$500,0)),"")</f>
        <v/>
      </c>
      <c r="J387" s="8" t="str">
        <f>IFERROR(INDEX(样本到样信息汇总统计!J$2:J$500,MATCH(386,样本到样信息汇总统计!$X$2:$X$500,0)),"")</f>
        <v/>
      </c>
      <c r="K387" s="15" t="str">
        <f>IFERROR(INDEX(样本到样信息汇总统计!K$2:K$500,MATCH(386,样本到样信息汇总统计!$X$2:$X$500,0)),"")</f>
        <v/>
      </c>
      <c r="L387" s="8" t="str">
        <f>IFERROR(INDEX(样本到样信息汇总统计!L$2:L$500,MATCH(386,样本到样信息汇总统计!$X$2:$X$500,0)),"")</f>
        <v/>
      </c>
      <c r="M387" s="8" t="str">
        <f>IFERROR(INDEX(样本到样信息汇总统计!M$2:M$500,MATCH(386,样本到样信息汇总统计!$X$2:$X$500,0)),"")</f>
        <v/>
      </c>
      <c r="N387" s="8" t="str">
        <f>IFERROR(INDEX(样本到样信息汇总统计!N$2:N$500,MATCH(386,样本到样信息汇总统计!$X$2:$X$500,0)),"")</f>
        <v/>
      </c>
      <c r="O387" s="8" t="str">
        <f>IFERROR(INDEX(样本到样信息汇总统计!O$2:O$500,MATCH(386,样本到样信息汇总统计!$X$2:$X$500,0)),"")</f>
        <v/>
      </c>
      <c r="P387" s="8" t="str">
        <f>IFERROR(INDEX(样本到样信息汇总统计!P$2:P$500,MATCH(386,样本到样信息汇总统计!$X$2:$X$500,0)),"")</f>
        <v/>
      </c>
      <c r="Q387" s="8" t="str">
        <f>IFERROR(INDEX(样本到样信息汇总统计!Q$2:Q$500,MATCH(386,样本到样信息汇总统计!$X$2:$X$500,0)),"")</f>
        <v/>
      </c>
      <c r="R387" s="8" t="str">
        <f>IFERROR(INDEX(样本到样信息汇总统计!R$2:R$500,MATCH(386,样本到样信息汇总统计!$X$2:$X$500,0)),"")</f>
        <v/>
      </c>
      <c r="S387" s="8" t="str">
        <f>IFERROR(INDEX(样本到样信息汇总统计!S$2:S$500,MATCH(386,样本到样信息汇总统计!$X$2:$X$500,0)),"")</f>
        <v/>
      </c>
      <c r="T387" s="8" t="str">
        <f>IFERROR(INDEX(样本到样信息汇总统计!T$2:T$500,MATCH(386,样本到样信息汇总统计!$X$2:$X$500,0)),"")</f>
        <v/>
      </c>
      <c r="U387" s="8" t="str">
        <f>IFERROR(INDEX(样本到样信息汇总统计!U$2:U$500,MATCH(386,样本到样信息汇总统计!$X$2:$X$500,0)),"")</f>
        <v/>
      </c>
      <c r="V387" s="8" t="str">
        <f>IFERROR(INDEX(样本到样信息汇总统计!V$2:V$500,MATCH(386,样本到样信息汇总统计!$X$2:$X$500,0)),"")</f>
        <v/>
      </c>
      <c r="W387" s="8" t="str">
        <f>IFERROR(INDEX(样本到样信息汇总统计!W$2:W$500,MATCH(386,样本到样信息汇总统计!$X$2:$X$500,0)),"")</f>
        <v/>
      </c>
    </row>
    <row r="388" ht="14.5" spans="1:23">
      <c r="A388" s="4" t="str">
        <f>IFERROR(INDEX(样本到样信息汇总统计!A$2:A$500,MATCH(387,样本到样信息汇总统计!$X$2:$X$500,0)),"")</f>
        <v/>
      </c>
      <c r="B388" s="4" t="str">
        <f>IFERROR(INDEX(样本到样信息汇总统计!B$2:B$500,MATCH(387,样本到样信息汇总统计!$X$2:$X$500,0)),"")</f>
        <v/>
      </c>
      <c r="C388" s="4" t="str">
        <f>IFERROR(INDEX(样本到样信息汇总统计!C$2:C$500,MATCH(387,样本到样信息汇总统计!$X$2:$X$500,0)),"")</f>
        <v/>
      </c>
      <c r="D388" s="4" t="str">
        <f>IFERROR(INDEX(样本到样信息汇总统计!D$2:D$500,MATCH(387,样本到样信息汇总统计!$X$2:$X$500,0)),"")</f>
        <v/>
      </c>
      <c r="E388" s="4" t="str">
        <f>IFERROR(INDEX(样本到样信息汇总统计!E$2:E$500,MATCH(387,样本到样信息汇总统计!$X$2:$X$500,0)),"")</f>
        <v/>
      </c>
      <c r="F388" s="4" t="str">
        <f>IFERROR(INDEX(样本到样信息汇总统计!F$2:F$500,MATCH(387,样本到样信息汇总统计!$X$2:$X$500,0)),"")</f>
        <v/>
      </c>
      <c r="G388" s="4" t="str">
        <f>IFERROR(INDEX(样本到样信息汇总统计!G$2:G$500,MATCH(387,样本到样信息汇总统计!$X$2:$X$500,0)),"")</f>
        <v/>
      </c>
      <c r="H388" s="4" t="str">
        <f>IFERROR(INDEX(样本到样信息汇总统计!H$2:H$500,MATCH(387,样本到样信息汇总统计!$X$2:$X$500,0)),"")</f>
        <v/>
      </c>
      <c r="I388" s="4" t="str">
        <f>IFERROR(INDEX(样本到样信息汇总统计!I$2:I$500,MATCH(387,样本到样信息汇总统计!$X$2:$X$500,0)),"")</f>
        <v/>
      </c>
      <c r="J388" s="4" t="str">
        <f>IFERROR(INDEX(样本到样信息汇总统计!J$2:J$500,MATCH(387,样本到样信息汇总统计!$X$2:$X$500,0)),"")</f>
        <v/>
      </c>
      <c r="K388" s="14" t="str">
        <f>IFERROR(INDEX(样本到样信息汇总统计!K$2:K$500,MATCH(387,样本到样信息汇总统计!$X$2:$X$500,0)),"")</f>
        <v/>
      </c>
      <c r="L388" s="4" t="str">
        <f>IFERROR(INDEX(样本到样信息汇总统计!L$2:L$500,MATCH(387,样本到样信息汇总统计!$X$2:$X$500,0)),"")</f>
        <v/>
      </c>
      <c r="M388" s="4" t="str">
        <f>IFERROR(INDEX(样本到样信息汇总统计!M$2:M$500,MATCH(387,样本到样信息汇总统计!$X$2:$X$500,0)),"")</f>
        <v/>
      </c>
      <c r="N388" s="4" t="str">
        <f>IFERROR(INDEX(样本到样信息汇总统计!N$2:N$500,MATCH(387,样本到样信息汇总统计!$X$2:$X$500,0)),"")</f>
        <v/>
      </c>
      <c r="O388" s="4" t="str">
        <f>IFERROR(INDEX(样本到样信息汇总统计!O$2:O$500,MATCH(387,样本到样信息汇总统计!$X$2:$X$500,0)),"")</f>
        <v/>
      </c>
      <c r="P388" s="4" t="str">
        <f>IFERROR(INDEX(样本到样信息汇总统计!P$2:P$500,MATCH(387,样本到样信息汇总统计!$X$2:$X$500,0)),"")</f>
        <v/>
      </c>
      <c r="Q388" s="4" t="str">
        <f>IFERROR(INDEX(样本到样信息汇总统计!Q$2:Q$500,MATCH(387,样本到样信息汇总统计!$X$2:$X$500,0)),"")</f>
        <v/>
      </c>
      <c r="R388" s="4" t="str">
        <f>IFERROR(INDEX(样本到样信息汇总统计!R$2:R$500,MATCH(387,样本到样信息汇总统计!$X$2:$X$500,0)),"")</f>
        <v/>
      </c>
      <c r="S388" s="4" t="str">
        <f>IFERROR(INDEX(样本到样信息汇总统计!S$2:S$500,MATCH(387,样本到样信息汇总统计!$X$2:$X$500,0)),"")</f>
        <v/>
      </c>
      <c r="T388" s="4" t="str">
        <f>IFERROR(INDEX(样本到样信息汇总统计!T$2:T$500,MATCH(387,样本到样信息汇总统计!$X$2:$X$500,0)),"")</f>
        <v/>
      </c>
      <c r="U388" s="4" t="str">
        <f>IFERROR(INDEX(样本到样信息汇总统计!U$2:U$500,MATCH(387,样本到样信息汇总统计!$X$2:$X$500,0)),"")</f>
        <v/>
      </c>
      <c r="V388" s="4" t="str">
        <f>IFERROR(INDEX(样本到样信息汇总统计!V$2:V$500,MATCH(387,样本到样信息汇总统计!$X$2:$X$500,0)),"")</f>
        <v/>
      </c>
      <c r="W388" s="4" t="str">
        <f>IFERROR(INDEX(样本到样信息汇总统计!W$2:W$500,MATCH(387,样本到样信息汇总统计!$X$2:$X$500,0)),"")</f>
        <v/>
      </c>
    </row>
    <row r="389" ht="14.5" spans="1:23">
      <c r="A389" s="8" t="str">
        <f>IFERROR(INDEX(样本到样信息汇总统计!A$2:A$500,MATCH(388,样本到样信息汇总统计!$X$2:$X$500,0)),"")</f>
        <v/>
      </c>
      <c r="B389" s="8" t="str">
        <f>IFERROR(INDEX(样本到样信息汇总统计!B$2:B$500,MATCH(388,样本到样信息汇总统计!$X$2:$X$500,0)),"")</f>
        <v/>
      </c>
      <c r="C389" s="8" t="str">
        <f>IFERROR(INDEX(样本到样信息汇总统计!C$2:C$500,MATCH(388,样本到样信息汇总统计!$X$2:$X$500,0)),"")</f>
        <v/>
      </c>
      <c r="D389" s="8" t="str">
        <f>IFERROR(INDEX(样本到样信息汇总统计!D$2:D$500,MATCH(388,样本到样信息汇总统计!$X$2:$X$500,0)),"")</f>
        <v/>
      </c>
      <c r="E389" s="8" t="str">
        <f>IFERROR(INDEX(样本到样信息汇总统计!E$2:E$500,MATCH(388,样本到样信息汇总统计!$X$2:$X$500,0)),"")</f>
        <v/>
      </c>
      <c r="F389" s="8" t="str">
        <f>IFERROR(INDEX(样本到样信息汇总统计!F$2:F$500,MATCH(388,样本到样信息汇总统计!$X$2:$X$500,0)),"")</f>
        <v/>
      </c>
      <c r="G389" s="8" t="str">
        <f>IFERROR(INDEX(样本到样信息汇总统计!G$2:G$500,MATCH(388,样本到样信息汇总统计!$X$2:$X$500,0)),"")</f>
        <v/>
      </c>
      <c r="H389" s="8" t="str">
        <f>IFERROR(INDEX(样本到样信息汇总统计!H$2:H$500,MATCH(388,样本到样信息汇总统计!$X$2:$X$500,0)),"")</f>
        <v/>
      </c>
      <c r="I389" s="8" t="str">
        <f>IFERROR(INDEX(样本到样信息汇总统计!I$2:I$500,MATCH(388,样本到样信息汇总统计!$X$2:$X$500,0)),"")</f>
        <v/>
      </c>
      <c r="J389" s="8" t="str">
        <f>IFERROR(INDEX(样本到样信息汇总统计!J$2:J$500,MATCH(388,样本到样信息汇总统计!$X$2:$X$500,0)),"")</f>
        <v/>
      </c>
      <c r="K389" s="15" t="str">
        <f>IFERROR(INDEX(样本到样信息汇总统计!K$2:K$500,MATCH(388,样本到样信息汇总统计!$X$2:$X$500,0)),"")</f>
        <v/>
      </c>
      <c r="L389" s="8" t="str">
        <f>IFERROR(INDEX(样本到样信息汇总统计!L$2:L$500,MATCH(388,样本到样信息汇总统计!$X$2:$X$500,0)),"")</f>
        <v/>
      </c>
      <c r="M389" s="8" t="str">
        <f>IFERROR(INDEX(样本到样信息汇总统计!M$2:M$500,MATCH(388,样本到样信息汇总统计!$X$2:$X$500,0)),"")</f>
        <v/>
      </c>
      <c r="N389" s="8" t="str">
        <f>IFERROR(INDEX(样本到样信息汇总统计!N$2:N$500,MATCH(388,样本到样信息汇总统计!$X$2:$X$500,0)),"")</f>
        <v/>
      </c>
      <c r="O389" s="8" t="str">
        <f>IFERROR(INDEX(样本到样信息汇总统计!O$2:O$500,MATCH(388,样本到样信息汇总统计!$X$2:$X$500,0)),"")</f>
        <v/>
      </c>
      <c r="P389" s="8" t="str">
        <f>IFERROR(INDEX(样本到样信息汇总统计!P$2:P$500,MATCH(388,样本到样信息汇总统计!$X$2:$X$500,0)),"")</f>
        <v/>
      </c>
      <c r="Q389" s="8" t="str">
        <f>IFERROR(INDEX(样本到样信息汇总统计!Q$2:Q$500,MATCH(388,样本到样信息汇总统计!$X$2:$X$500,0)),"")</f>
        <v/>
      </c>
      <c r="R389" s="8" t="str">
        <f>IFERROR(INDEX(样本到样信息汇总统计!R$2:R$500,MATCH(388,样本到样信息汇总统计!$X$2:$X$500,0)),"")</f>
        <v/>
      </c>
      <c r="S389" s="8" t="str">
        <f>IFERROR(INDEX(样本到样信息汇总统计!S$2:S$500,MATCH(388,样本到样信息汇总统计!$X$2:$X$500,0)),"")</f>
        <v/>
      </c>
      <c r="T389" s="8" t="str">
        <f>IFERROR(INDEX(样本到样信息汇总统计!T$2:T$500,MATCH(388,样本到样信息汇总统计!$X$2:$X$500,0)),"")</f>
        <v/>
      </c>
      <c r="U389" s="8" t="str">
        <f>IFERROR(INDEX(样本到样信息汇总统计!U$2:U$500,MATCH(388,样本到样信息汇总统计!$X$2:$X$500,0)),"")</f>
        <v/>
      </c>
      <c r="V389" s="8" t="str">
        <f>IFERROR(INDEX(样本到样信息汇总统计!V$2:V$500,MATCH(388,样本到样信息汇总统计!$X$2:$X$500,0)),"")</f>
        <v/>
      </c>
      <c r="W389" s="8" t="str">
        <f>IFERROR(INDEX(样本到样信息汇总统计!W$2:W$500,MATCH(388,样本到样信息汇总统计!$X$2:$X$500,0)),"")</f>
        <v/>
      </c>
    </row>
    <row r="390" ht="14.5" spans="1:23">
      <c r="A390" s="4" t="str">
        <f>IFERROR(INDEX(样本到样信息汇总统计!A$2:A$500,MATCH(389,样本到样信息汇总统计!$X$2:$X$500,0)),"")</f>
        <v/>
      </c>
      <c r="B390" s="4" t="str">
        <f>IFERROR(INDEX(样本到样信息汇总统计!B$2:B$500,MATCH(389,样本到样信息汇总统计!$X$2:$X$500,0)),"")</f>
        <v/>
      </c>
      <c r="C390" s="4" t="str">
        <f>IFERROR(INDEX(样本到样信息汇总统计!C$2:C$500,MATCH(389,样本到样信息汇总统计!$X$2:$X$500,0)),"")</f>
        <v/>
      </c>
      <c r="D390" s="4" t="str">
        <f>IFERROR(INDEX(样本到样信息汇总统计!D$2:D$500,MATCH(389,样本到样信息汇总统计!$X$2:$X$500,0)),"")</f>
        <v/>
      </c>
      <c r="E390" s="4" t="str">
        <f>IFERROR(INDEX(样本到样信息汇总统计!E$2:E$500,MATCH(389,样本到样信息汇总统计!$X$2:$X$500,0)),"")</f>
        <v/>
      </c>
      <c r="F390" s="4" t="str">
        <f>IFERROR(INDEX(样本到样信息汇总统计!F$2:F$500,MATCH(389,样本到样信息汇总统计!$X$2:$X$500,0)),"")</f>
        <v/>
      </c>
      <c r="G390" s="4" t="str">
        <f>IFERROR(INDEX(样本到样信息汇总统计!G$2:G$500,MATCH(389,样本到样信息汇总统计!$X$2:$X$500,0)),"")</f>
        <v/>
      </c>
      <c r="H390" s="4" t="str">
        <f>IFERROR(INDEX(样本到样信息汇总统计!H$2:H$500,MATCH(389,样本到样信息汇总统计!$X$2:$X$500,0)),"")</f>
        <v/>
      </c>
      <c r="I390" s="4" t="str">
        <f>IFERROR(INDEX(样本到样信息汇总统计!I$2:I$500,MATCH(389,样本到样信息汇总统计!$X$2:$X$500,0)),"")</f>
        <v/>
      </c>
      <c r="J390" s="4" t="str">
        <f>IFERROR(INDEX(样本到样信息汇总统计!J$2:J$500,MATCH(389,样本到样信息汇总统计!$X$2:$X$500,0)),"")</f>
        <v/>
      </c>
      <c r="K390" s="14" t="str">
        <f>IFERROR(INDEX(样本到样信息汇总统计!K$2:K$500,MATCH(389,样本到样信息汇总统计!$X$2:$X$500,0)),"")</f>
        <v/>
      </c>
      <c r="L390" s="4" t="str">
        <f>IFERROR(INDEX(样本到样信息汇总统计!L$2:L$500,MATCH(389,样本到样信息汇总统计!$X$2:$X$500,0)),"")</f>
        <v/>
      </c>
      <c r="M390" s="4" t="str">
        <f>IFERROR(INDEX(样本到样信息汇总统计!M$2:M$500,MATCH(389,样本到样信息汇总统计!$X$2:$X$500,0)),"")</f>
        <v/>
      </c>
      <c r="N390" s="4" t="str">
        <f>IFERROR(INDEX(样本到样信息汇总统计!N$2:N$500,MATCH(389,样本到样信息汇总统计!$X$2:$X$500,0)),"")</f>
        <v/>
      </c>
      <c r="O390" s="4" t="str">
        <f>IFERROR(INDEX(样本到样信息汇总统计!O$2:O$500,MATCH(389,样本到样信息汇总统计!$X$2:$X$500,0)),"")</f>
        <v/>
      </c>
      <c r="P390" s="4" t="str">
        <f>IFERROR(INDEX(样本到样信息汇总统计!P$2:P$500,MATCH(389,样本到样信息汇总统计!$X$2:$X$500,0)),"")</f>
        <v/>
      </c>
      <c r="Q390" s="4" t="str">
        <f>IFERROR(INDEX(样本到样信息汇总统计!Q$2:Q$500,MATCH(389,样本到样信息汇总统计!$X$2:$X$500,0)),"")</f>
        <v/>
      </c>
      <c r="R390" s="4" t="str">
        <f>IFERROR(INDEX(样本到样信息汇总统计!R$2:R$500,MATCH(389,样本到样信息汇总统计!$X$2:$X$500,0)),"")</f>
        <v/>
      </c>
      <c r="S390" s="4" t="str">
        <f>IFERROR(INDEX(样本到样信息汇总统计!S$2:S$500,MATCH(389,样本到样信息汇总统计!$X$2:$X$500,0)),"")</f>
        <v/>
      </c>
      <c r="T390" s="4" t="str">
        <f>IFERROR(INDEX(样本到样信息汇总统计!T$2:T$500,MATCH(389,样本到样信息汇总统计!$X$2:$X$500,0)),"")</f>
        <v/>
      </c>
      <c r="U390" s="4" t="str">
        <f>IFERROR(INDEX(样本到样信息汇总统计!U$2:U$500,MATCH(389,样本到样信息汇总统计!$X$2:$X$500,0)),"")</f>
        <v/>
      </c>
      <c r="V390" s="4" t="str">
        <f>IFERROR(INDEX(样本到样信息汇总统计!V$2:V$500,MATCH(389,样本到样信息汇总统计!$X$2:$X$500,0)),"")</f>
        <v/>
      </c>
      <c r="W390" s="4" t="str">
        <f>IFERROR(INDEX(样本到样信息汇总统计!W$2:W$500,MATCH(389,样本到样信息汇总统计!$X$2:$X$500,0)),"")</f>
        <v/>
      </c>
    </row>
    <row r="391" ht="14.5" spans="1:23">
      <c r="A391" s="8" t="str">
        <f>IFERROR(INDEX(样本到样信息汇总统计!A$2:A$500,MATCH(390,样本到样信息汇总统计!$X$2:$X$500,0)),"")</f>
        <v/>
      </c>
      <c r="B391" s="8" t="str">
        <f>IFERROR(INDEX(样本到样信息汇总统计!B$2:B$500,MATCH(390,样本到样信息汇总统计!$X$2:$X$500,0)),"")</f>
        <v/>
      </c>
      <c r="C391" s="8" t="str">
        <f>IFERROR(INDEX(样本到样信息汇总统计!C$2:C$500,MATCH(390,样本到样信息汇总统计!$X$2:$X$500,0)),"")</f>
        <v/>
      </c>
      <c r="D391" s="8" t="str">
        <f>IFERROR(INDEX(样本到样信息汇总统计!D$2:D$500,MATCH(390,样本到样信息汇总统计!$X$2:$X$500,0)),"")</f>
        <v/>
      </c>
      <c r="E391" s="8" t="str">
        <f>IFERROR(INDEX(样本到样信息汇总统计!E$2:E$500,MATCH(390,样本到样信息汇总统计!$X$2:$X$500,0)),"")</f>
        <v/>
      </c>
      <c r="F391" s="8" t="str">
        <f>IFERROR(INDEX(样本到样信息汇总统计!F$2:F$500,MATCH(390,样本到样信息汇总统计!$X$2:$X$500,0)),"")</f>
        <v/>
      </c>
      <c r="G391" s="8" t="str">
        <f>IFERROR(INDEX(样本到样信息汇总统计!G$2:G$500,MATCH(390,样本到样信息汇总统计!$X$2:$X$500,0)),"")</f>
        <v/>
      </c>
      <c r="H391" s="8" t="str">
        <f>IFERROR(INDEX(样本到样信息汇总统计!H$2:H$500,MATCH(390,样本到样信息汇总统计!$X$2:$X$500,0)),"")</f>
        <v/>
      </c>
      <c r="I391" s="8" t="str">
        <f>IFERROR(INDEX(样本到样信息汇总统计!I$2:I$500,MATCH(390,样本到样信息汇总统计!$X$2:$X$500,0)),"")</f>
        <v/>
      </c>
      <c r="J391" s="8" t="str">
        <f>IFERROR(INDEX(样本到样信息汇总统计!J$2:J$500,MATCH(390,样本到样信息汇总统计!$X$2:$X$500,0)),"")</f>
        <v/>
      </c>
      <c r="K391" s="15" t="str">
        <f>IFERROR(INDEX(样本到样信息汇总统计!K$2:K$500,MATCH(390,样本到样信息汇总统计!$X$2:$X$500,0)),"")</f>
        <v/>
      </c>
      <c r="L391" s="8" t="str">
        <f>IFERROR(INDEX(样本到样信息汇总统计!L$2:L$500,MATCH(390,样本到样信息汇总统计!$X$2:$X$500,0)),"")</f>
        <v/>
      </c>
      <c r="M391" s="8" t="str">
        <f>IFERROR(INDEX(样本到样信息汇总统计!M$2:M$500,MATCH(390,样本到样信息汇总统计!$X$2:$X$500,0)),"")</f>
        <v/>
      </c>
      <c r="N391" s="8" t="str">
        <f>IFERROR(INDEX(样本到样信息汇总统计!N$2:N$500,MATCH(390,样本到样信息汇总统计!$X$2:$X$500,0)),"")</f>
        <v/>
      </c>
      <c r="O391" s="8" t="str">
        <f>IFERROR(INDEX(样本到样信息汇总统计!O$2:O$500,MATCH(390,样本到样信息汇总统计!$X$2:$X$500,0)),"")</f>
        <v/>
      </c>
      <c r="P391" s="8" t="str">
        <f>IFERROR(INDEX(样本到样信息汇总统计!P$2:P$500,MATCH(390,样本到样信息汇总统计!$X$2:$X$500,0)),"")</f>
        <v/>
      </c>
      <c r="Q391" s="8" t="str">
        <f>IFERROR(INDEX(样本到样信息汇总统计!Q$2:Q$500,MATCH(390,样本到样信息汇总统计!$X$2:$X$500,0)),"")</f>
        <v/>
      </c>
      <c r="R391" s="8" t="str">
        <f>IFERROR(INDEX(样本到样信息汇总统计!R$2:R$500,MATCH(390,样本到样信息汇总统计!$X$2:$X$500,0)),"")</f>
        <v/>
      </c>
      <c r="S391" s="8" t="str">
        <f>IFERROR(INDEX(样本到样信息汇总统计!S$2:S$500,MATCH(390,样本到样信息汇总统计!$X$2:$X$500,0)),"")</f>
        <v/>
      </c>
      <c r="T391" s="8" t="str">
        <f>IFERROR(INDEX(样本到样信息汇总统计!T$2:T$500,MATCH(390,样本到样信息汇总统计!$X$2:$X$500,0)),"")</f>
        <v/>
      </c>
      <c r="U391" s="8" t="str">
        <f>IFERROR(INDEX(样本到样信息汇总统计!U$2:U$500,MATCH(390,样本到样信息汇总统计!$X$2:$X$500,0)),"")</f>
        <v/>
      </c>
      <c r="V391" s="8" t="str">
        <f>IFERROR(INDEX(样本到样信息汇总统计!V$2:V$500,MATCH(390,样本到样信息汇总统计!$X$2:$X$500,0)),"")</f>
        <v/>
      </c>
      <c r="W391" s="8" t="str">
        <f>IFERROR(INDEX(样本到样信息汇总统计!W$2:W$500,MATCH(390,样本到样信息汇总统计!$X$2:$X$500,0)),"")</f>
        <v/>
      </c>
    </row>
    <row r="392" ht="14.5" spans="1:23">
      <c r="A392" s="4" t="str">
        <f>IFERROR(INDEX(样本到样信息汇总统计!A$2:A$500,MATCH(391,样本到样信息汇总统计!$X$2:$X$500,0)),"")</f>
        <v/>
      </c>
      <c r="B392" s="4" t="str">
        <f>IFERROR(INDEX(样本到样信息汇总统计!B$2:B$500,MATCH(391,样本到样信息汇总统计!$X$2:$X$500,0)),"")</f>
        <v/>
      </c>
      <c r="C392" s="4" t="str">
        <f>IFERROR(INDEX(样本到样信息汇总统计!C$2:C$500,MATCH(391,样本到样信息汇总统计!$X$2:$X$500,0)),"")</f>
        <v/>
      </c>
      <c r="D392" s="4" t="str">
        <f>IFERROR(INDEX(样本到样信息汇总统计!D$2:D$500,MATCH(391,样本到样信息汇总统计!$X$2:$X$500,0)),"")</f>
        <v/>
      </c>
      <c r="E392" s="4" t="str">
        <f>IFERROR(INDEX(样本到样信息汇总统计!E$2:E$500,MATCH(391,样本到样信息汇总统计!$X$2:$X$500,0)),"")</f>
        <v/>
      </c>
      <c r="F392" s="4" t="str">
        <f>IFERROR(INDEX(样本到样信息汇总统计!F$2:F$500,MATCH(391,样本到样信息汇总统计!$X$2:$X$500,0)),"")</f>
        <v/>
      </c>
      <c r="G392" s="4" t="str">
        <f>IFERROR(INDEX(样本到样信息汇总统计!G$2:G$500,MATCH(391,样本到样信息汇总统计!$X$2:$X$500,0)),"")</f>
        <v/>
      </c>
      <c r="H392" s="4" t="str">
        <f>IFERROR(INDEX(样本到样信息汇总统计!H$2:H$500,MATCH(391,样本到样信息汇总统计!$X$2:$X$500,0)),"")</f>
        <v/>
      </c>
      <c r="I392" s="4" t="str">
        <f>IFERROR(INDEX(样本到样信息汇总统计!I$2:I$500,MATCH(391,样本到样信息汇总统计!$X$2:$X$500,0)),"")</f>
        <v/>
      </c>
      <c r="J392" s="4" t="str">
        <f>IFERROR(INDEX(样本到样信息汇总统计!J$2:J$500,MATCH(391,样本到样信息汇总统计!$X$2:$X$500,0)),"")</f>
        <v/>
      </c>
      <c r="K392" s="14" t="str">
        <f>IFERROR(INDEX(样本到样信息汇总统计!K$2:K$500,MATCH(391,样本到样信息汇总统计!$X$2:$X$500,0)),"")</f>
        <v/>
      </c>
      <c r="L392" s="4" t="str">
        <f>IFERROR(INDEX(样本到样信息汇总统计!L$2:L$500,MATCH(391,样本到样信息汇总统计!$X$2:$X$500,0)),"")</f>
        <v/>
      </c>
      <c r="M392" s="4" t="str">
        <f>IFERROR(INDEX(样本到样信息汇总统计!M$2:M$500,MATCH(391,样本到样信息汇总统计!$X$2:$X$500,0)),"")</f>
        <v/>
      </c>
      <c r="N392" s="4" t="str">
        <f>IFERROR(INDEX(样本到样信息汇总统计!N$2:N$500,MATCH(391,样本到样信息汇总统计!$X$2:$X$500,0)),"")</f>
        <v/>
      </c>
      <c r="O392" s="4" t="str">
        <f>IFERROR(INDEX(样本到样信息汇总统计!O$2:O$500,MATCH(391,样本到样信息汇总统计!$X$2:$X$500,0)),"")</f>
        <v/>
      </c>
      <c r="P392" s="4" t="str">
        <f>IFERROR(INDEX(样本到样信息汇总统计!P$2:P$500,MATCH(391,样本到样信息汇总统计!$X$2:$X$500,0)),"")</f>
        <v/>
      </c>
      <c r="Q392" s="4" t="str">
        <f>IFERROR(INDEX(样本到样信息汇总统计!Q$2:Q$500,MATCH(391,样本到样信息汇总统计!$X$2:$X$500,0)),"")</f>
        <v/>
      </c>
      <c r="R392" s="4" t="str">
        <f>IFERROR(INDEX(样本到样信息汇总统计!R$2:R$500,MATCH(391,样本到样信息汇总统计!$X$2:$X$500,0)),"")</f>
        <v/>
      </c>
      <c r="S392" s="4" t="str">
        <f>IFERROR(INDEX(样本到样信息汇总统计!S$2:S$500,MATCH(391,样本到样信息汇总统计!$X$2:$X$500,0)),"")</f>
        <v/>
      </c>
      <c r="T392" s="4" t="str">
        <f>IFERROR(INDEX(样本到样信息汇总统计!T$2:T$500,MATCH(391,样本到样信息汇总统计!$X$2:$X$500,0)),"")</f>
        <v/>
      </c>
      <c r="U392" s="4" t="str">
        <f>IFERROR(INDEX(样本到样信息汇总统计!U$2:U$500,MATCH(391,样本到样信息汇总统计!$X$2:$X$500,0)),"")</f>
        <v/>
      </c>
      <c r="V392" s="4" t="str">
        <f>IFERROR(INDEX(样本到样信息汇总统计!V$2:V$500,MATCH(391,样本到样信息汇总统计!$X$2:$X$500,0)),"")</f>
        <v/>
      </c>
      <c r="W392" s="4" t="str">
        <f>IFERROR(INDEX(样本到样信息汇总统计!W$2:W$500,MATCH(391,样本到样信息汇总统计!$X$2:$X$500,0)),"")</f>
        <v/>
      </c>
    </row>
    <row r="393" ht="14.5" spans="1:23">
      <c r="A393" s="8" t="str">
        <f>IFERROR(INDEX(样本到样信息汇总统计!A$2:A$500,MATCH(392,样本到样信息汇总统计!$X$2:$X$500,0)),"")</f>
        <v/>
      </c>
      <c r="B393" s="8" t="str">
        <f>IFERROR(INDEX(样本到样信息汇总统计!B$2:B$500,MATCH(392,样本到样信息汇总统计!$X$2:$X$500,0)),"")</f>
        <v/>
      </c>
      <c r="C393" s="8" t="str">
        <f>IFERROR(INDEX(样本到样信息汇总统计!C$2:C$500,MATCH(392,样本到样信息汇总统计!$X$2:$X$500,0)),"")</f>
        <v/>
      </c>
      <c r="D393" s="8" t="str">
        <f>IFERROR(INDEX(样本到样信息汇总统计!D$2:D$500,MATCH(392,样本到样信息汇总统计!$X$2:$X$500,0)),"")</f>
        <v/>
      </c>
      <c r="E393" s="8" t="str">
        <f>IFERROR(INDEX(样本到样信息汇总统计!E$2:E$500,MATCH(392,样本到样信息汇总统计!$X$2:$X$500,0)),"")</f>
        <v/>
      </c>
      <c r="F393" s="8" t="str">
        <f>IFERROR(INDEX(样本到样信息汇总统计!F$2:F$500,MATCH(392,样本到样信息汇总统计!$X$2:$X$500,0)),"")</f>
        <v/>
      </c>
      <c r="G393" s="8" t="str">
        <f>IFERROR(INDEX(样本到样信息汇总统计!G$2:G$500,MATCH(392,样本到样信息汇总统计!$X$2:$X$500,0)),"")</f>
        <v/>
      </c>
      <c r="H393" s="8" t="str">
        <f>IFERROR(INDEX(样本到样信息汇总统计!H$2:H$500,MATCH(392,样本到样信息汇总统计!$X$2:$X$500,0)),"")</f>
        <v/>
      </c>
      <c r="I393" s="8" t="str">
        <f>IFERROR(INDEX(样本到样信息汇总统计!I$2:I$500,MATCH(392,样本到样信息汇总统计!$X$2:$X$500,0)),"")</f>
        <v/>
      </c>
      <c r="J393" s="8" t="str">
        <f>IFERROR(INDEX(样本到样信息汇总统计!J$2:J$500,MATCH(392,样本到样信息汇总统计!$X$2:$X$500,0)),"")</f>
        <v/>
      </c>
      <c r="K393" s="15" t="str">
        <f>IFERROR(INDEX(样本到样信息汇总统计!K$2:K$500,MATCH(392,样本到样信息汇总统计!$X$2:$X$500,0)),"")</f>
        <v/>
      </c>
      <c r="L393" s="8" t="str">
        <f>IFERROR(INDEX(样本到样信息汇总统计!L$2:L$500,MATCH(392,样本到样信息汇总统计!$X$2:$X$500,0)),"")</f>
        <v/>
      </c>
      <c r="M393" s="8" t="str">
        <f>IFERROR(INDEX(样本到样信息汇总统计!M$2:M$500,MATCH(392,样本到样信息汇总统计!$X$2:$X$500,0)),"")</f>
        <v/>
      </c>
      <c r="N393" s="8" t="str">
        <f>IFERROR(INDEX(样本到样信息汇总统计!N$2:N$500,MATCH(392,样本到样信息汇总统计!$X$2:$X$500,0)),"")</f>
        <v/>
      </c>
      <c r="O393" s="8" t="str">
        <f>IFERROR(INDEX(样本到样信息汇总统计!O$2:O$500,MATCH(392,样本到样信息汇总统计!$X$2:$X$500,0)),"")</f>
        <v/>
      </c>
      <c r="P393" s="8" t="str">
        <f>IFERROR(INDEX(样本到样信息汇总统计!P$2:P$500,MATCH(392,样本到样信息汇总统计!$X$2:$X$500,0)),"")</f>
        <v/>
      </c>
      <c r="Q393" s="8" t="str">
        <f>IFERROR(INDEX(样本到样信息汇总统计!Q$2:Q$500,MATCH(392,样本到样信息汇总统计!$X$2:$X$500,0)),"")</f>
        <v/>
      </c>
      <c r="R393" s="8" t="str">
        <f>IFERROR(INDEX(样本到样信息汇总统计!R$2:R$500,MATCH(392,样本到样信息汇总统计!$X$2:$X$500,0)),"")</f>
        <v/>
      </c>
      <c r="S393" s="8" t="str">
        <f>IFERROR(INDEX(样本到样信息汇总统计!S$2:S$500,MATCH(392,样本到样信息汇总统计!$X$2:$X$500,0)),"")</f>
        <v/>
      </c>
      <c r="T393" s="8" t="str">
        <f>IFERROR(INDEX(样本到样信息汇总统计!T$2:T$500,MATCH(392,样本到样信息汇总统计!$X$2:$X$500,0)),"")</f>
        <v/>
      </c>
      <c r="U393" s="8" t="str">
        <f>IFERROR(INDEX(样本到样信息汇总统计!U$2:U$500,MATCH(392,样本到样信息汇总统计!$X$2:$X$500,0)),"")</f>
        <v/>
      </c>
      <c r="V393" s="8" t="str">
        <f>IFERROR(INDEX(样本到样信息汇总统计!V$2:V$500,MATCH(392,样本到样信息汇总统计!$X$2:$X$500,0)),"")</f>
        <v/>
      </c>
      <c r="W393" s="8" t="str">
        <f>IFERROR(INDEX(样本到样信息汇总统计!W$2:W$500,MATCH(392,样本到样信息汇总统计!$X$2:$X$500,0)),"")</f>
        <v/>
      </c>
    </row>
    <row r="394" ht="14.5" spans="1:23">
      <c r="A394" s="4" t="str">
        <f>IFERROR(INDEX(样本到样信息汇总统计!A$2:A$500,MATCH(393,样本到样信息汇总统计!$X$2:$X$500,0)),"")</f>
        <v/>
      </c>
      <c r="B394" s="4" t="str">
        <f>IFERROR(INDEX(样本到样信息汇总统计!B$2:B$500,MATCH(393,样本到样信息汇总统计!$X$2:$X$500,0)),"")</f>
        <v/>
      </c>
      <c r="C394" s="4" t="str">
        <f>IFERROR(INDEX(样本到样信息汇总统计!C$2:C$500,MATCH(393,样本到样信息汇总统计!$X$2:$X$500,0)),"")</f>
        <v/>
      </c>
      <c r="D394" s="4" t="str">
        <f>IFERROR(INDEX(样本到样信息汇总统计!D$2:D$500,MATCH(393,样本到样信息汇总统计!$X$2:$X$500,0)),"")</f>
        <v/>
      </c>
      <c r="E394" s="4" t="str">
        <f>IFERROR(INDEX(样本到样信息汇总统计!E$2:E$500,MATCH(393,样本到样信息汇总统计!$X$2:$X$500,0)),"")</f>
        <v/>
      </c>
      <c r="F394" s="4" t="str">
        <f>IFERROR(INDEX(样本到样信息汇总统计!F$2:F$500,MATCH(393,样本到样信息汇总统计!$X$2:$X$500,0)),"")</f>
        <v/>
      </c>
      <c r="G394" s="4" t="str">
        <f>IFERROR(INDEX(样本到样信息汇总统计!G$2:G$500,MATCH(393,样本到样信息汇总统计!$X$2:$X$500,0)),"")</f>
        <v/>
      </c>
      <c r="H394" s="4" t="str">
        <f>IFERROR(INDEX(样本到样信息汇总统计!H$2:H$500,MATCH(393,样本到样信息汇总统计!$X$2:$X$500,0)),"")</f>
        <v/>
      </c>
      <c r="I394" s="4" t="str">
        <f>IFERROR(INDEX(样本到样信息汇总统计!I$2:I$500,MATCH(393,样本到样信息汇总统计!$X$2:$X$500,0)),"")</f>
        <v/>
      </c>
      <c r="J394" s="4" t="str">
        <f>IFERROR(INDEX(样本到样信息汇总统计!J$2:J$500,MATCH(393,样本到样信息汇总统计!$X$2:$X$500,0)),"")</f>
        <v/>
      </c>
      <c r="K394" s="14" t="str">
        <f>IFERROR(INDEX(样本到样信息汇总统计!K$2:K$500,MATCH(393,样本到样信息汇总统计!$X$2:$X$500,0)),"")</f>
        <v/>
      </c>
      <c r="L394" s="4" t="str">
        <f>IFERROR(INDEX(样本到样信息汇总统计!L$2:L$500,MATCH(393,样本到样信息汇总统计!$X$2:$X$500,0)),"")</f>
        <v/>
      </c>
      <c r="M394" s="4" t="str">
        <f>IFERROR(INDEX(样本到样信息汇总统计!M$2:M$500,MATCH(393,样本到样信息汇总统计!$X$2:$X$500,0)),"")</f>
        <v/>
      </c>
      <c r="N394" s="4" t="str">
        <f>IFERROR(INDEX(样本到样信息汇总统计!N$2:N$500,MATCH(393,样本到样信息汇总统计!$X$2:$X$500,0)),"")</f>
        <v/>
      </c>
      <c r="O394" s="4" t="str">
        <f>IFERROR(INDEX(样本到样信息汇总统计!O$2:O$500,MATCH(393,样本到样信息汇总统计!$X$2:$X$500,0)),"")</f>
        <v/>
      </c>
      <c r="P394" s="4" t="str">
        <f>IFERROR(INDEX(样本到样信息汇总统计!P$2:P$500,MATCH(393,样本到样信息汇总统计!$X$2:$X$500,0)),"")</f>
        <v/>
      </c>
      <c r="Q394" s="4" t="str">
        <f>IFERROR(INDEX(样本到样信息汇总统计!Q$2:Q$500,MATCH(393,样本到样信息汇总统计!$X$2:$X$500,0)),"")</f>
        <v/>
      </c>
      <c r="R394" s="4" t="str">
        <f>IFERROR(INDEX(样本到样信息汇总统计!R$2:R$500,MATCH(393,样本到样信息汇总统计!$X$2:$X$500,0)),"")</f>
        <v/>
      </c>
      <c r="S394" s="4" t="str">
        <f>IFERROR(INDEX(样本到样信息汇总统计!S$2:S$500,MATCH(393,样本到样信息汇总统计!$X$2:$X$500,0)),"")</f>
        <v/>
      </c>
      <c r="T394" s="4" t="str">
        <f>IFERROR(INDEX(样本到样信息汇总统计!T$2:T$500,MATCH(393,样本到样信息汇总统计!$X$2:$X$500,0)),"")</f>
        <v/>
      </c>
      <c r="U394" s="4" t="str">
        <f>IFERROR(INDEX(样本到样信息汇总统计!U$2:U$500,MATCH(393,样本到样信息汇总统计!$X$2:$X$500,0)),"")</f>
        <v/>
      </c>
      <c r="V394" s="4" t="str">
        <f>IFERROR(INDEX(样本到样信息汇总统计!V$2:V$500,MATCH(393,样本到样信息汇总统计!$X$2:$X$500,0)),"")</f>
        <v/>
      </c>
      <c r="W394" s="4" t="str">
        <f>IFERROR(INDEX(样本到样信息汇总统计!W$2:W$500,MATCH(393,样本到样信息汇总统计!$X$2:$X$500,0)),"")</f>
        <v/>
      </c>
    </row>
    <row r="395" ht="14.5" spans="1:23">
      <c r="A395" s="8" t="str">
        <f>IFERROR(INDEX(样本到样信息汇总统计!A$2:A$500,MATCH(394,样本到样信息汇总统计!$X$2:$X$500,0)),"")</f>
        <v/>
      </c>
      <c r="B395" s="8" t="str">
        <f>IFERROR(INDEX(样本到样信息汇总统计!B$2:B$500,MATCH(394,样本到样信息汇总统计!$X$2:$X$500,0)),"")</f>
        <v/>
      </c>
      <c r="C395" s="8" t="str">
        <f>IFERROR(INDEX(样本到样信息汇总统计!C$2:C$500,MATCH(394,样本到样信息汇总统计!$X$2:$X$500,0)),"")</f>
        <v/>
      </c>
      <c r="D395" s="8" t="str">
        <f>IFERROR(INDEX(样本到样信息汇总统计!D$2:D$500,MATCH(394,样本到样信息汇总统计!$X$2:$X$500,0)),"")</f>
        <v/>
      </c>
      <c r="E395" s="8" t="str">
        <f>IFERROR(INDEX(样本到样信息汇总统计!E$2:E$500,MATCH(394,样本到样信息汇总统计!$X$2:$X$500,0)),"")</f>
        <v/>
      </c>
      <c r="F395" s="8" t="str">
        <f>IFERROR(INDEX(样本到样信息汇总统计!F$2:F$500,MATCH(394,样本到样信息汇总统计!$X$2:$X$500,0)),"")</f>
        <v/>
      </c>
      <c r="G395" s="8" t="str">
        <f>IFERROR(INDEX(样本到样信息汇总统计!G$2:G$500,MATCH(394,样本到样信息汇总统计!$X$2:$X$500,0)),"")</f>
        <v/>
      </c>
      <c r="H395" s="8" t="str">
        <f>IFERROR(INDEX(样本到样信息汇总统计!H$2:H$500,MATCH(394,样本到样信息汇总统计!$X$2:$X$500,0)),"")</f>
        <v/>
      </c>
      <c r="I395" s="8" t="str">
        <f>IFERROR(INDEX(样本到样信息汇总统计!I$2:I$500,MATCH(394,样本到样信息汇总统计!$X$2:$X$500,0)),"")</f>
        <v/>
      </c>
      <c r="J395" s="8" t="str">
        <f>IFERROR(INDEX(样本到样信息汇总统计!J$2:J$500,MATCH(394,样本到样信息汇总统计!$X$2:$X$500,0)),"")</f>
        <v/>
      </c>
      <c r="K395" s="15" t="str">
        <f>IFERROR(INDEX(样本到样信息汇总统计!K$2:K$500,MATCH(394,样本到样信息汇总统计!$X$2:$X$500,0)),"")</f>
        <v/>
      </c>
      <c r="L395" s="8" t="str">
        <f>IFERROR(INDEX(样本到样信息汇总统计!L$2:L$500,MATCH(394,样本到样信息汇总统计!$X$2:$X$500,0)),"")</f>
        <v/>
      </c>
      <c r="M395" s="8" t="str">
        <f>IFERROR(INDEX(样本到样信息汇总统计!M$2:M$500,MATCH(394,样本到样信息汇总统计!$X$2:$X$500,0)),"")</f>
        <v/>
      </c>
      <c r="N395" s="8" t="str">
        <f>IFERROR(INDEX(样本到样信息汇总统计!N$2:N$500,MATCH(394,样本到样信息汇总统计!$X$2:$X$500,0)),"")</f>
        <v/>
      </c>
      <c r="O395" s="8" t="str">
        <f>IFERROR(INDEX(样本到样信息汇总统计!O$2:O$500,MATCH(394,样本到样信息汇总统计!$X$2:$X$500,0)),"")</f>
        <v/>
      </c>
      <c r="P395" s="8" t="str">
        <f>IFERROR(INDEX(样本到样信息汇总统计!P$2:P$500,MATCH(394,样本到样信息汇总统计!$X$2:$X$500,0)),"")</f>
        <v/>
      </c>
      <c r="Q395" s="8" t="str">
        <f>IFERROR(INDEX(样本到样信息汇总统计!Q$2:Q$500,MATCH(394,样本到样信息汇总统计!$X$2:$X$500,0)),"")</f>
        <v/>
      </c>
      <c r="R395" s="8" t="str">
        <f>IFERROR(INDEX(样本到样信息汇总统计!R$2:R$500,MATCH(394,样本到样信息汇总统计!$X$2:$X$500,0)),"")</f>
        <v/>
      </c>
      <c r="S395" s="8" t="str">
        <f>IFERROR(INDEX(样本到样信息汇总统计!S$2:S$500,MATCH(394,样本到样信息汇总统计!$X$2:$X$500,0)),"")</f>
        <v/>
      </c>
      <c r="T395" s="8" t="str">
        <f>IFERROR(INDEX(样本到样信息汇总统计!T$2:T$500,MATCH(394,样本到样信息汇总统计!$X$2:$X$500,0)),"")</f>
        <v/>
      </c>
      <c r="U395" s="8" t="str">
        <f>IFERROR(INDEX(样本到样信息汇总统计!U$2:U$500,MATCH(394,样本到样信息汇总统计!$X$2:$X$500,0)),"")</f>
        <v/>
      </c>
      <c r="V395" s="8" t="str">
        <f>IFERROR(INDEX(样本到样信息汇总统计!V$2:V$500,MATCH(394,样本到样信息汇总统计!$X$2:$X$500,0)),"")</f>
        <v/>
      </c>
      <c r="W395" s="8" t="str">
        <f>IFERROR(INDEX(样本到样信息汇总统计!W$2:W$500,MATCH(394,样本到样信息汇总统计!$X$2:$X$500,0)),"")</f>
        <v/>
      </c>
    </row>
    <row r="396" ht="14.5" spans="1:23">
      <c r="A396" s="4" t="str">
        <f>IFERROR(INDEX(样本到样信息汇总统计!A$2:A$500,MATCH(395,样本到样信息汇总统计!$X$2:$X$500,0)),"")</f>
        <v/>
      </c>
      <c r="B396" s="4" t="str">
        <f>IFERROR(INDEX(样本到样信息汇总统计!B$2:B$500,MATCH(395,样本到样信息汇总统计!$X$2:$X$500,0)),"")</f>
        <v/>
      </c>
      <c r="C396" s="4" t="str">
        <f>IFERROR(INDEX(样本到样信息汇总统计!C$2:C$500,MATCH(395,样本到样信息汇总统计!$X$2:$X$500,0)),"")</f>
        <v/>
      </c>
      <c r="D396" s="4" t="str">
        <f>IFERROR(INDEX(样本到样信息汇总统计!D$2:D$500,MATCH(395,样本到样信息汇总统计!$X$2:$X$500,0)),"")</f>
        <v/>
      </c>
      <c r="E396" s="4" t="str">
        <f>IFERROR(INDEX(样本到样信息汇总统计!E$2:E$500,MATCH(395,样本到样信息汇总统计!$X$2:$X$500,0)),"")</f>
        <v/>
      </c>
      <c r="F396" s="4" t="str">
        <f>IFERROR(INDEX(样本到样信息汇总统计!F$2:F$500,MATCH(395,样本到样信息汇总统计!$X$2:$X$500,0)),"")</f>
        <v/>
      </c>
      <c r="G396" s="4" t="str">
        <f>IFERROR(INDEX(样本到样信息汇总统计!G$2:G$500,MATCH(395,样本到样信息汇总统计!$X$2:$X$500,0)),"")</f>
        <v/>
      </c>
      <c r="H396" s="4" t="str">
        <f>IFERROR(INDEX(样本到样信息汇总统计!H$2:H$500,MATCH(395,样本到样信息汇总统计!$X$2:$X$500,0)),"")</f>
        <v/>
      </c>
      <c r="I396" s="4" t="str">
        <f>IFERROR(INDEX(样本到样信息汇总统计!I$2:I$500,MATCH(395,样本到样信息汇总统计!$X$2:$X$500,0)),"")</f>
        <v/>
      </c>
      <c r="J396" s="4" t="str">
        <f>IFERROR(INDEX(样本到样信息汇总统计!J$2:J$500,MATCH(395,样本到样信息汇总统计!$X$2:$X$500,0)),"")</f>
        <v/>
      </c>
      <c r="K396" s="14" t="str">
        <f>IFERROR(INDEX(样本到样信息汇总统计!K$2:K$500,MATCH(395,样本到样信息汇总统计!$X$2:$X$500,0)),"")</f>
        <v/>
      </c>
      <c r="L396" s="4" t="str">
        <f>IFERROR(INDEX(样本到样信息汇总统计!L$2:L$500,MATCH(395,样本到样信息汇总统计!$X$2:$X$500,0)),"")</f>
        <v/>
      </c>
      <c r="M396" s="4" t="str">
        <f>IFERROR(INDEX(样本到样信息汇总统计!M$2:M$500,MATCH(395,样本到样信息汇总统计!$X$2:$X$500,0)),"")</f>
        <v/>
      </c>
      <c r="N396" s="4" t="str">
        <f>IFERROR(INDEX(样本到样信息汇总统计!N$2:N$500,MATCH(395,样本到样信息汇总统计!$X$2:$X$500,0)),"")</f>
        <v/>
      </c>
      <c r="O396" s="4" t="str">
        <f>IFERROR(INDEX(样本到样信息汇总统计!O$2:O$500,MATCH(395,样本到样信息汇总统计!$X$2:$X$500,0)),"")</f>
        <v/>
      </c>
      <c r="P396" s="4" t="str">
        <f>IFERROR(INDEX(样本到样信息汇总统计!P$2:P$500,MATCH(395,样本到样信息汇总统计!$X$2:$X$500,0)),"")</f>
        <v/>
      </c>
      <c r="Q396" s="4" t="str">
        <f>IFERROR(INDEX(样本到样信息汇总统计!Q$2:Q$500,MATCH(395,样本到样信息汇总统计!$X$2:$X$500,0)),"")</f>
        <v/>
      </c>
      <c r="R396" s="4" t="str">
        <f>IFERROR(INDEX(样本到样信息汇总统计!R$2:R$500,MATCH(395,样本到样信息汇总统计!$X$2:$X$500,0)),"")</f>
        <v/>
      </c>
      <c r="S396" s="4" t="str">
        <f>IFERROR(INDEX(样本到样信息汇总统计!S$2:S$500,MATCH(395,样本到样信息汇总统计!$X$2:$X$500,0)),"")</f>
        <v/>
      </c>
      <c r="T396" s="4" t="str">
        <f>IFERROR(INDEX(样本到样信息汇总统计!T$2:T$500,MATCH(395,样本到样信息汇总统计!$X$2:$X$500,0)),"")</f>
        <v/>
      </c>
      <c r="U396" s="4" t="str">
        <f>IFERROR(INDEX(样本到样信息汇总统计!U$2:U$500,MATCH(395,样本到样信息汇总统计!$X$2:$X$500,0)),"")</f>
        <v/>
      </c>
      <c r="V396" s="4" t="str">
        <f>IFERROR(INDEX(样本到样信息汇总统计!V$2:V$500,MATCH(395,样本到样信息汇总统计!$X$2:$X$500,0)),"")</f>
        <v/>
      </c>
      <c r="W396" s="4" t="str">
        <f>IFERROR(INDEX(样本到样信息汇总统计!W$2:W$500,MATCH(395,样本到样信息汇总统计!$X$2:$X$500,0)),"")</f>
        <v/>
      </c>
    </row>
    <row r="397" ht="14.5" spans="1:23">
      <c r="A397" s="8" t="str">
        <f>IFERROR(INDEX(样本到样信息汇总统计!A$2:A$500,MATCH(396,样本到样信息汇总统计!$X$2:$X$500,0)),"")</f>
        <v/>
      </c>
      <c r="B397" s="8" t="str">
        <f>IFERROR(INDEX(样本到样信息汇总统计!B$2:B$500,MATCH(396,样本到样信息汇总统计!$X$2:$X$500,0)),"")</f>
        <v/>
      </c>
      <c r="C397" s="8" t="str">
        <f>IFERROR(INDEX(样本到样信息汇总统计!C$2:C$500,MATCH(396,样本到样信息汇总统计!$X$2:$X$500,0)),"")</f>
        <v/>
      </c>
      <c r="D397" s="8" t="str">
        <f>IFERROR(INDEX(样本到样信息汇总统计!D$2:D$500,MATCH(396,样本到样信息汇总统计!$X$2:$X$500,0)),"")</f>
        <v/>
      </c>
      <c r="E397" s="8" t="str">
        <f>IFERROR(INDEX(样本到样信息汇总统计!E$2:E$500,MATCH(396,样本到样信息汇总统计!$X$2:$X$500,0)),"")</f>
        <v/>
      </c>
      <c r="F397" s="8" t="str">
        <f>IFERROR(INDEX(样本到样信息汇总统计!F$2:F$500,MATCH(396,样本到样信息汇总统计!$X$2:$X$500,0)),"")</f>
        <v/>
      </c>
      <c r="G397" s="8" t="str">
        <f>IFERROR(INDEX(样本到样信息汇总统计!G$2:G$500,MATCH(396,样本到样信息汇总统计!$X$2:$X$500,0)),"")</f>
        <v/>
      </c>
      <c r="H397" s="8" t="str">
        <f>IFERROR(INDEX(样本到样信息汇总统计!H$2:H$500,MATCH(396,样本到样信息汇总统计!$X$2:$X$500,0)),"")</f>
        <v/>
      </c>
      <c r="I397" s="8" t="str">
        <f>IFERROR(INDEX(样本到样信息汇总统计!I$2:I$500,MATCH(396,样本到样信息汇总统计!$X$2:$X$500,0)),"")</f>
        <v/>
      </c>
      <c r="J397" s="8" t="str">
        <f>IFERROR(INDEX(样本到样信息汇总统计!J$2:J$500,MATCH(396,样本到样信息汇总统计!$X$2:$X$500,0)),"")</f>
        <v/>
      </c>
      <c r="K397" s="15" t="str">
        <f>IFERROR(INDEX(样本到样信息汇总统计!K$2:K$500,MATCH(396,样本到样信息汇总统计!$X$2:$X$500,0)),"")</f>
        <v/>
      </c>
      <c r="L397" s="8" t="str">
        <f>IFERROR(INDEX(样本到样信息汇总统计!L$2:L$500,MATCH(396,样本到样信息汇总统计!$X$2:$X$500,0)),"")</f>
        <v/>
      </c>
      <c r="M397" s="8" t="str">
        <f>IFERROR(INDEX(样本到样信息汇总统计!M$2:M$500,MATCH(396,样本到样信息汇总统计!$X$2:$X$500,0)),"")</f>
        <v/>
      </c>
      <c r="N397" s="8" t="str">
        <f>IFERROR(INDEX(样本到样信息汇总统计!N$2:N$500,MATCH(396,样本到样信息汇总统计!$X$2:$X$500,0)),"")</f>
        <v/>
      </c>
      <c r="O397" s="8" t="str">
        <f>IFERROR(INDEX(样本到样信息汇总统计!O$2:O$500,MATCH(396,样本到样信息汇总统计!$X$2:$X$500,0)),"")</f>
        <v/>
      </c>
      <c r="P397" s="8" t="str">
        <f>IFERROR(INDEX(样本到样信息汇总统计!P$2:P$500,MATCH(396,样本到样信息汇总统计!$X$2:$X$500,0)),"")</f>
        <v/>
      </c>
      <c r="Q397" s="8" t="str">
        <f>IFERROR(INDEX(样本到样信息汇总统计!Q$2:Q$500,MATCH(396,样本到样信息汇总统计!$X$2:$X$500,0)),"")</f>
        <v/>
      </c>
      <c r="R397" s="8" t="str">
        <f>IFERROR(INDEX(样本到样信息汇总统计!R$2:R$500,MATCH(396,样本到样信息汇总统计!$X$2:$X$500,0)),"")</f>
        <v/>
      </c>
      <c r="S397" s="8" t="str">
        <f>IFERROR(INDEX(样本到样信息汇总统计!S$2:S$500,MATCH(396,样本到样信息汇总统计!$X$2:$X$500,0)),"")</f>
        <v/>
      </c>
      <c r="T397" s="8" t="str">
        <f>IFERROR(INDEX(样本到样信息汇总统计!T$2:T$500,MATCH(396,样本到样信息汇总统计!$X$2:$X$500,0)),"")</f>
        <v/>
      </c>
      <c r="U397" s="8" t="str">
        <f>IFERROR(INDEX(样本到样信息汇总统计!U$2:U$500,MATCH(396,样本到样信息汇总统计!$X$2:$X$500,0)),"")</f>
        <v/>
      </c>
      <c r="V397" s="8" t="str">
        <f>IFERROR(INDEX(样本到样信息汇总统计!V$2:V$500,MATCH(396,样本到样信息汇总统计!$X$2:$X$500,0)),"")</f>
        <v/>
      </c>
      <c r="W397" s="8" t="str">
        <f>IFERROR(INDEX(样本到样信息汇总统计!W$2:W$500,MATCH(396,样本到样信息汇总统计!$X$2:$X$500,0)),"")</f>
        <v/>
      </c>
    </row>
    <row r="398" ht="14.5" spans="1:23">
      <c r="A398" s="4" t="str">
        <f>IFERROR(INDEX(样本到样信息汇总统计!A$2:A$500,MATCH(397,样本到样信息汇总统计!$X$2:$X$500,0)),"")</f>
        <v/>
      </c>
      <c r="B398" s="4" t="str">
        <f>IFERROR(INDEX(样本到样信息汇总统计!B$2:B$500,MATCH(397,样本到样信息汇总统计!$X$2:$X$500,0)),"")</f>
        <v/>
      </c>
      <c r="C398" s="4" t="str">
        <f>IFERROR(INDEX(样本到样信息汇总统计!C$2:C$500,MATCH(397,样本到样信息汇总统计!$X$2:$X$500,0)),"")</f>
        <v/>
      </c>
      <c r="D398" s="4" t="str">
        <f>IFERROR(INDEX(样本到样信息汇总统计!D$2:D$500,MATCH(397,样本到样信息汇总统计!$X$2:$X$500,0)),"")</f>
        <v/>
      </c>
      <c r="E398" s="4" t="str">
        <f>IFERROR(INDEX(样本到样信息汇总统计!E$2:E$500,MATCH(397,样本到样信息汇总统计!$X$2:$X$500,0)),"")</f>
        <v/>
      </c>
      <c r="F398" s="4" t="str">
        <f>IFERROR(INDEX(样本到样信息汇总统计!F$2:F$500,MATCH(397,样本到样信息汇总统计!$X$2:$X$500,0)),"")</f>
        <v/>
      </c>
      <c r="G398" s="4" t="str">
        <f>IFERROR(INDEX(样本到样信息汇总统计!G$2:G$500,MATCH(397,样本到样信息汇总统计!$X$2:$X$500,0)),"")</f>
        <v/>
      </c>
      <c r="H398" s="4" t="str">
        <f>IFERROR(INDEX(样本到样信息汇总统计!H$2:H$500,MATCH(397,样本到样信息汇总统计!$X$2:$X$500,0)),"")</f>
        <v/>
      </c>
      <c r="I398" s="4" t="str">
        <f>IFERROR(INDEX(样本到样信息汇总统计!I$2:I$500,MATCH(397,样本到样信息汇总统计!$X$2:$X$500,0)),"")</f>
        <v/>
      </c>
      <c r="J398" s="4" t="str">
        <f>IFERROR(INDEX(样本到样信息汇总统计!J$2:J$500,MATCH(397,样本到样信息汇总统计!$X$2:$X$500,0)),"")</f>
        <v/>
      </c>
      <c r="K398" s="14" t="str">
        <f>IFERROR(INDEX(样本到样信息汇总统计!K$2:K$500,MATCH(397,样本到样信息汇总统计!$X$2:$X$500,0)),"")</f>
        <v/>
      </c>
      <c r="L398" s="4" t="str">
        <f>IFERROR(INDEX(样本到样信息汇总统计!L$2:L$500,MATCH(397,样本到样信息汇总统计!$X$2:$X$500,0)),"")</f>
        <v/>
      </c>
      <c r="M398" s="4" t="str">
        <f>IFERROR(INDEX(样本到样信息汇总统计!M$2:M$500,MATCH(397,样本到样信息汇总统计!$X$2:$X$500,0)),"")</f>
        <v/>
      </c>
      <c r="N398" s="4" t="str">
        <f>IFERROR(INDEX(样本到样信息汇总统计!N$2:N$500,MATCH(397,样本到样信息汇总统计!$X$2:$X$500,0)),"")</f>
        <v/>
      </c>
      <c r="O398" s="4" t="str">
        <f>IFERROR(INDEX(样本到样信息汇总统计!O$2:O$500,MATCH(397,样本到样信息汇总统计!$X$2:$X$500,0)),"")</f>
        <v/>
      </c>
      <c r="P398" s="4" t="str">
        <f>IFERROR(INDEX(样本到样信息汇总统计!P$2:P$500,MATCH(397,样本到样信息汇总统计!$X$2:$X$500,0)),"")</f>
        <v/>
      </c>
      <c r="Q398" s="4" t="str">
        <f>IFERROR(INDEX(样本到样信息汇总统计!Q$2:Q$500,MATCH(397,样本到样信息汇总统计!$X$2:$X$500,0)),"")</f>
        <v/>
      </c>
      <c r="R398" s="4" t="str">
        <f>IFERROR(INDEX(样本到样信息汇总统计!R$2:R$500,MATCH(397,样本到样信息汇总统计!$X$2:$X$500,0)),"")</f>
        <v/>
      </c>
      <c r="S398" s="4" t="str">
        <f>IFERROR(INDEX(样本到样信息汇总统计!S$2:S$500,MATCH(397,样本到样信息汇总统计!$X$2:$X$500,0)),"")</f>
        <v/>
      </c>
      <c r="T398" s="4" t="str">
        <f>IFERROR(INDEX(样本到样信息汇总统计!T$2:T$500,MATCH(397,样本到样信息汇总统计!$X$2:$X$500,0)),"")</f>
        <v/>
      </c>
      <c r="U398" s="4" t="str">
        <f>IFERROR(INDEX(样本到样信息汇总统计!U$2:U$500,MATCH(397,样本到样信息汇总统计!$X$2:$X$500,0)),"")</f>
        <v/>
      </c>
      <c r="V398" s="4" t="str">
        <f>IFERROR(INDEX(样本到样信息汇总统计!V$2:V$500,MATCH(397,样本到样信息汇总统计!$X$2:$X$500,0)),"")</f>
        <v/>
      </c>
      <c r="W398" s="4" t="str">
        <f>IFERROR(INDEX(样本到样信息汇总统计!W$2:W$500,MATCH(397,样本到样信息汇总统计!$X$2:$X$500,0)),"")</f>
        <v/>
      </c>
    </row>
    <row r="399" ht="14.5" spans="1:23">
      <c r="A399" s="8" t="str">
        <f>IFERROR(INDEX(样本到样信息汇总统计!A$2:A$500,MATCH(398,样本到样信息汇总统计!$X$2:$X$500,0)),"")</f>
        <v/>
      </c>
      <c r="B399" s="8" t="str">
        <f>IFERROR(INDEX(样本到样信息汇总统计!B$2:B$500,MATCH(398,样本到样信息汇总统计!$X$2:$X$500,0)),"")</f>
        <v/>
      </c>
      <c r="C399" s="8" t="str">
        <f>IFERROR(INDEX(样本到样信息汇总统计!C$2:C$500,MATCH(398,样本到样信息汇总统计!$X$2:$X$500,0)),"")</f>
        <v/>
      </c>
      <c r="D399" s="8" t="str">
        <f>IFERROR(INDEX(样本到样信息汇总统计!D$2:D$500,MATCH(398,样本到样信息汇总统计!$X$2:$X$500,0)),"")</f>
        <v/>
      </c>
      <c r="E399" s="8" t="str">
        <f>IFERROR(INDEX(样本到样信息汇总统计!E$2:E$500,MATCH(398,样本到样信息汇总统计!$X$2:$X$500,0)),"")</f>
        <v/>
      </c>
      <c r="F399" s="8" t="str">
        <f>IFERROR(INDEX(样本到样信息汇总统计!F$2:F$500,MATCH(398,样本到样信息汇总统计!$X$2:$X$500,0)),"")</f>
        <v/>
      </c>
      <c r="G399" s="8" t="str">
        <f>IFERROR(INDEX(样本到样信息汇总统计!G$2:G$500,MATCH(398,样本到样信息汇总统计!$X$2:$X$500,0)),"")</f>
        <v/>
      </c>
      <c r="H399" s="8" t="str">
        <f>IFERROR(INDEX(样本到样信息汇总统计!H$2:H$500,MATCH(398,样本到样信息汇总统计!$X$2:$X$500,0)),"")</f>
        <v/>
      </c>
      <c r="I399" s="8" t="str">
        <f>IFERROR(INDEX(样本到样信息汇总统计!I$2:I$500,MATCH(398,样本到样信息汇总统计!$X$2:$X$500,0)),"")</f>
        <v/>
      </c>
      <c r="J399" s="8" t="str">
        <f>IFERROR(INDEX(样本到样信息汇总统计!J$2:J$500,MATCH(398,样本到样信息汇总统计!$X$2:$X$500,0)),"")</f>
        <v/>
      </c>
      <c r="K399" s="15" t="str">
        <f>IFERROR(INDEX(样本到样信息汇总统计!K$2:K$500,MATCH(398,样本到样信息汇总统计!$X$2:$X$500,0)),"")</f>
        <v/>
      </c>
      <c r="L399" s="8" t="str">
        <f>IFERROR(INDEX(样本到样信息汇总统计!L$2:L$500,MATCH(398,样本到样信息汇总统计!$X$2:$X$500,0)),"")</f>
        <v/>
      </c>
      <c r="M399" s="8" t="str">
        <f>IFERROR(INDEX(样本到样信息汇总统计!M$2:M$500,MATCH(398,样本到样信息汇总统计!$X$2:$X$500,0)),"")</f>
        <v/>
      </c>
      <c r="N399" s="8" t="str">
        <f>IFERROR(INDEX(样本到样信息汇总统计!N$2:N$500,MATCH(398,样本到样信息汇总统计!$X$2:$X$500,0)),"")</f>
        <v/>
      </c>
      <c r="O399" s="8" t="str">
        <f>IFERROR(INDEX(样本到样信息汇总统计!O$2:O$500,MATCH(398,样本到样信息汇总统计!$X$2:$X$500,0)),"")</f>
        <v/>
      </c>
      <c r="P399" s="8" t="str">
        <f>IFERROR(INDEX(样本到样信息汇总统计!P$2:P$500,MATCH(398,样本到样信息汇总统计!$X$2:$X$500,0)),"")</f>
        <v/>
      </c>
      <c r="Q399" s="8" t="str">
        <f>IFERROR(INDEX(样本到样信息汇总统计!Q$2:Q$500,MATCH(398,样本到样信息汇总统计!$X$2:$X$500,0)),"")</f>
        <v/>
      </c>
      <c r="R399" s="8" t="str">
        <f>IFERROR(INDEX(样本到样信息汇总统计!R$2:R$500,MATCH(398,样本到样信息汇总统计!$X$2:$X$500,0)),"")</f>
        <v/>
      </c>
      <c r="S399" s="8" t="str">
        <f>IFERROR(INDEX(样本到样信息汇总统计!S$2:S$500,MATCH(398,样本到样信息汇总统计!$X$2:$X$500,0)),"")</f>
        <v/>
      </c>
      <c r="T399" s="8" t="str">
        <f>IFERROR(INDEX(样本到样信息汇总统计!T$2:T$500,MATCH(398,样本到样信息汇总统计!$X$2:$X$500,0)),"")</f>
        <v/>
      </c>
      <c r="U399" s="8" t="str">
        <f>IFERROR(INDEX(样本到样信息汇总统计!U$2:U$500,MATCH(398,样本到样信息汇总统计!$X$2:$X$500,0)),"")</f>
        <v/>
      </c>
      <c r="V399" s="8" t="str">
        <f>IFERROR(INDEX(样本到样信息汇总统计!V$2:V$500,MATCH(398,样本到样信息汇总统计!$X$2:$X$500,0)),"")</f>
        <v/>
      </c>
      <c r="W399" s="8" t="str">
        <f>IFERROR(INDEX(样本到样信息汇总统计!W$2:W$500,MATCH(398,样本到样信息汇总统计!$X$2:$X$500,0)),"")</f>
        <v/>
      </c>
    </row>
    <row r="400" ht="14.5" spans="1:23">
      <c r="A400" s="4" t="str">
        <f>IFERROR(INDEX(样本到样信息汇总统计!A$2:A$500,MATCH(399,样本到样信息汇总统计!$X$2:$X$500,0)),"")</f>
        <v/>
      </c>
      <c r="B400" s="4" t="str">
        <f>IFERROR(INDEX(样本到样信息汇总统计!B$2:B$500,MATCH(399,样本到样信息汇总统计!$X$2:$X$500,0)),"")</f>
        <v/>
      </c>
      <c r="C400" s="4" t="str">
        <f>IFERROR(INDEX(样本到样信息汇总统计!C$2:C$500,MATCH(399,样本到样信息汇总统计!$X$2:$X$500,0)),"")</f>
        <v/>
      </c>
      <c r="D400" s="4" t="str">
        <f>IFERROR(INDEX(样本到样信息汇总统计!D$2:D$500,MATCH(399,样本到样信息汇总统计!$X$2:$X$500,0)),"")</f>
        <v/>
      </c>
      <c r="E400" s="4" t="str">
        <f>IFERROR(INDEX(样本到样信息汇总统计!E$2:E$500,MATCH(399,样本到样信息汇总统计!$X$2:$X$500,0)),"")</f>
        <v/>
      </c>
      <c r="F400" s="4" t="str">
        <f>IFERROR(INDEX(样本到样信息汇总统计!F$2:F$500,MATCH(399,样本到样信息汇总统计!$X$2:$X$500,0)),"")</f>
        <v/>
      </c>
      <c r="G400" s="4" t="str">
        <f>IFERROR(INDEX(样本到样信息汇总统计!G$2:G$500,MATCH(399,样本到样信息汇总统计!$X$2:$X$500,0)),"")</f>
        <v/>
      </c>
      <c r="H400" s="4" t="str">
        <f>IFERROR(INDEX(样本到样信息汇总统计!H$2:H$500,MATCH(399,样本到样信息汇总统计!$X$2:$X$500,0)),"")</f>
        <v/>
      </c>
      <c r="I400" s="4" t="str">
        <f>IFERROR(INDEX(样本到样信息汇总统计!I$2:I$500,MATCH(399,样本到样信息汇总统计!$X$2:$X$500,0)),"")</f>
        <v/>
      </c>
      <c r="J400" s="4" t="str">
        <f>IFERROR(INDEX(样本到样信息汇总统计!J$2:J$500,MATCH(399,样本到样信息汇总统计!$X$2:$X$500,0)),"")</f>
        <v/>
      </c>
      <c r="K400" s="14" t="str">
        <f>IFERROR(INDEX(样本到样信息汇总统计!K$2:K$500,MATCH(399,样本到样信息汇总统计!$X$2:$X$500,0)),"")</f>
        <v/>
      </c>
      <c r="L400" s="4" t="str">
        <f>IFERROR(INDEX(样本到样信息汇总统计!L$2:L$500,MATCH(399,样本到样信息汇总统计!$X$2:$X$500,0)),"")</f>
        <v/>
      </c>
      <c r="M400" s="4" t="str">
        <f>IFERROR(INDEX(样本到样信息汇总统计!M$2:M$500,MATCH(399,样本到样信息汇总统计!$X$2:$X$500,0)),"")</f>
        <v/>
      </c>
      <c r="N400" s="4" t="str">
        <f>IFERROR(INDEX(样本到样信息汇总统计!N$2:N$500,MATCH(399,样本到样信息汇总统计!$X$2:$X$500,0)),"")</f>
        <v/>
      </c>
      <c r="O400" s="4" t="str">
        <f>IFERROR(INDEX(样本到样信息汇总统计!O$2:O$500,MATCH(399,样本到样信息汇总统计!$X$2:$X$500,0)),"")</f>
        <v/>
      </c>
      <c r="P400" s="4" t="str">
        <f>IFERROR(INDEX(样本到样信息汇总统计!P$2:P$500,MATCH(399,样本到样信息汇总统计!$X$2:$X$500,0)),"")</f>
        <v/>
      </c>
      <c r="Q400" s="4" t="str">
        <f>IFERROR(INDEX(样本到样信息汇总统计!Q$2:Q$500,MATCH(399,样本到样信息汇总统计!$X$2:$X$500,0)),"")</f>
        <v/>
      </c>
      <c r="R400" s="4" t="str">
        <f>IFERROR(INDEX(样本到样信息汇总统计!R$2:R$500,MATCH(399,样本到样信息汇总统计!$X$2:$X$500,0)),"")</f>
        <v/>
      </c>
      <c r="S400" s="4" t="str">
        <f>IFERROR(INDEX(样本到样信息汇总统计!S$2:S$500,MATCH(399,样本到样信息汇总统计!$X$2:$X$500,0)),"")</f>
        <v/>
      </c>
      <c r="T400" s="4" t="str">
        <f>IFERROR(INDEX(样本到样信息汇总统计!T$2:T$500,MATCH(399,样本到样信息汇总统计!$X$2:$X$500,0)),"")</f>
        <v/>
      </c>
      <c r="U400" s="4" t="str">
        <f>IFERROR(INDEX(样本到样信息汇总统计!U$2:U$500,MATCH(399,样本到样信息汇总统计!$X$2:$X$500,0)),"")</f>
        <v/>
      </c>
      <c r="V400" s="4" t="str">
        <f>IFERROR(INDEX(样本到样信息汇总统计!V$2:V$500,MATCH(399,样本到样信息汇总统计!$X$2:$X$500,0)),"")</f>
        <v/>
      </c>
      <c r="W400" s="4" t="str">
        <f>IFERROR(INDEX(样本到样信息汇总统计!W$2:W$500,MATCH(399,样本到样信息汇总统计!$X$2:$X$500,0)),"")</f>
        <v/>
      </c>
    </row>
    <row r="401" ht="14.5" spans="1:23">
      <c r="A401" s="8" t="str">
        <f>IFERROR(INDEX(样本到样信息汇总统计!A$2:A$500,MATCH(400,样本到样信息汇总统计!$X$2:$X$500,0)),"")</f>
        <v/>
      </c>
      <c r="B401" s="8" t="str">
        <f>IFERROR(INDEX(样本到样信息汇总统计!B$2:B$500,MATCH(400,样本到样信息汇总统计!$X$2:$X$500,0)),"")</f>
        <v/>
      </c>
      <c r="C401" s="8" t="str">
        <f>IFERROR(INDEX(样本到样信息汇总统计!C$2:C$500,MATCH(400,样本到样信息汇总统计!$X$2:$X$500,0)),"")</f>
        <v/>
      </c>
      <c r="D401" s="8" t="str">
        <f>IFERROR(INDEX(样本到样信息汇总统计!D$2:D$500,MATCH(400,样本到样信息汇总统计!$X$2:$X$500,0)),"")</f>
        <v/>
      </c>
      <c r="E401" s="8" t="str">
        <f>IFERROR(INDEX(样本到样信息汇总统计!E$2:E$500,MATCH(400,样本到样信息汇总统计!$X$2:$X$500,0)),"")</f>
        <v/>
      </c>
      <c r="F401" s="8" t="str">
        <f>IFERROR(INDEX(样本到样信息汇总统计!F$2:F$500,MATCH(400,样本到样信息汇总统计!$X$2:$X$500,0)),"")</f>
        <v/>
      </c>
      <c r="G401" s="8" t="str">
        <f>IFERROR(INDEX(样本到样信息汇总统计!G$2:G$500,MATCH(400,样本到样信息汇总统计!$X$2:$X$500,0)),"")</f>
        <v/>
      </c>
      <c r="H401" s="8" t="str">
        <f>IFERROR(INDEX(样本到样信息汇总统计!H$2:H$500,MATCH(400,样本到样信息汇总统计!$X$2:$X$500,0)),"")</f>
        <v/>
      </c>
      <c r="I401" s="8" t="str">
        <f>IFERROR(INDEX(样本到样信息汇总统计!I$2:I$500,MATCH(400,样本到样信息汇总统计!$X$2:$X$500,0)),"")</f>
        <v/>
      </c>
      <c r="J401" s="8" t="str">
        <f>IFERROR(INDEX(样本到样信息汇总统计!J$2:J$500,MATCH(400,样本到样信息汇总统计!$X$2:$X$500,0)),"")</f>
        <v/>
      </c>
      <c r="K401" s="15" t="str">
        <f>IFERROR(INDEX(样本到样信息汇总统计!K$2:K$500,MATCH(400,样本到样信息汇总统计!$X$2:$X$500,0)),"")</f>
        <v/>
      </c>
      <c r="L401" s="8" t="str">
        <f>IFERROR(INDEX(样本到样信息汇总统计!L$2:L$500,MATCH(400,样本到样信息汇总统计!$X$2:$X$500,0)),"")</f>
        <v/>
      </c>
      <c r="M401" s="8" t="str">
        <f>IFERROR(INDEX(样本到样信息汇总统计!M$2:M$500,MATCH(400,样本到样信息汇总统计!$X$2:$X$500,0)),"")</f>
        <v/>
      </c>
      <c r="N401" s="8" t="str">
        <f>IFERROR(INDEX(样本到样信息汇总统计!N$2:N$500,MATCH(400,样本到样信息汇总统计!$X$2:$X$500,0)),"")</f>
        <v/>
      </c>
      <c r="O401" s="8" t="str">
        <f>IFERROR(INDEX(样本到样信息汇总统计!O$2:O$500,MATCH(400,样本到样信息汇总统计!$X$2:$X$500,0)),"")</f>
        <v/>
      </c>
      <c r="P401" s="8" t="str">
        <f>IFERROR(INDEX(样本到样信息汇总统计!P$2:P$500,MATCH(400,样本到样信息汇总统计!$X$2:$X$500,0)),"")</f>
        <v/>
      </c>
      <c r="Q401" s="8" t="str">
        <f>IFERROR(INDEX(样本到样信息汇总统计!Q$2:Q$500,MATCH(400,样本到样信息汇总统计!$X$2:$X$500,0)),"")</f>
        <v/>
      </c>
      <c r="R401" s="8" t="str">
        <f>IFERROR(INDEX(样本到样信息汇总统计!R$2:R$500,MATCH(400,样本到样信息汇总统计!$X$2:$X$500,0)),"")</f>
        <v/>
      </c>
      <c r="S401" s="8" t="str">
        <f>IFERROR(INDEX(样本到样信息汇总统计!S$2:S$500,MATCH(400,样本到样信息汇总统计!$X$2:$X$500,0)),"")</f>
        <v/>
      </c>
      <c r="T401" s="8" t="str">
        <f>IFERROR(INDEX(样本到样信息汇总统计!T$2:T$500,MATCH(400,样本到样信息汇总统计!$X$2:$X$500,0)),"")</f>
        <v/>
      </c>
      <c r="U401" s="8" t="str">
        <f>IFERROR(INDEX(样本到样信息汇总统计!U$2:U$500,MATCH(400,样本到样信息汇总统计!$X$2:$X$500,0)),"")</f>
        <v/>
      </c>
      <c r="V401" s="8" t="str">
        <f>IFERROR(INDEX(样本到样信息汇总统计!V$2:V$500,MATCH(400,样本到样信息汇总统计!$X$2:$X$500,0)),"")</f>
        <v/>
      </c>
      <c r="W401" s="8" t="str">
        <f>IFERROR(INDEX(样本到样信息汇总统计!W$2:W$500,MATCH(400,样本到样信息汇总统计!$X$2:$X$500,0)),"")</f>
        <v/>
      </c>
    </row>
    <row r="402" ht="14.5" spans="1:23">
      <c r="A402" s="4" t="str">
        <f>IFERROR(INDEX(样本到样信息汇总统计!A$2:A$500,MATCH(401,样本到样信息汇总统计!$X$2:$X$500,0)),"")</f>
        <v/>
      </c>
      <c r="B402" s="4" t="str">
        <f>IFERROR(INDEX(样本到样信息汇总统计!B$2:B$500,MATCH(401,样本到样信息汇总统计!$X$2:$X$500,0)),"")</f>
        <v/>
      </c>
      <c r="C402" s="4" t="str">
        <f>IFERROR(INDEX(样本到样信息汇总统计!C$2:C$500,MATCH(401,样本到样信息汇总统计!$X$2:$X$500,0)),"")</f>
        <v/>
      </c>
      <c r="D402" s="4" t="str">
        <f>IFERROR(INDEX(样本到样信息汇总统计!D$2:D$500,MATCH(401,样本到样信息汇总统计!$X$2:$X$500,0)),"")</f>
        <v/>
      </c>
      <c r="E402" s="4" t="str">
        <f>IFERROR(INDEX(样本到样信息汇总统计!E$2:E$500,MATCH(401,样本到样信息汇总统计!$X$2:$X$500,0)),"")</f>
        <v/>
      </c>
      <c r="F402" s="4" t="str">
        <f>IFERROR(INDEX(样本到样信息汇总统计!F$2:F$500,MATCH(401,样本到样信息汇总统计!$X$2:$X$500,0)),"")</f>
        <v/>
      </c>
      <c r="G402" s="4" t="str">
        <f>IFERROR(INDEX(样本到样信息汇总统计!G$2:G$500,MATCH(401,样本到样信息汇总统计!$X$2:$X$500,0)),"")</f>
        <v/>
      </c>
      <c r="H402" s="4" t="str">
        <f>IFERROR(INDEX(样本到样信息汇总统计!H$2:H$500,MATCH(401,样本到样信息汇总统计!$X$2:$X$500,0)),"")</f>
        <v/>
      </c>
      <c r="I402" s="4" t="str">
        <f>IFERROR(INDEX(样本到样信息汇总统计!I$2:I$500,MATCH(401,样本到样信息汇总统计!$X$2:$X$500,0)),"")</f>
        <v/>
      </c>
      <c r="J402" s="4" t="str">
        <f>IFERROR(INDEX(样本到样信息汇总统计!J$2:J$500,MATCH(401,样本到样信息汇总统计!$X$2:$X$500,0)),"")</f>
        <v/>
      </c>
      <c r="K402" s="14" t="str">
        <f>IFERROR(INDEX(样本到样信息汇总统计!K$2:K$500,MATCH(401,样本到样信息汇总统计!$X$2:$X$500,0)),"")</f>
        <v/>
      </c>
      <c r="L402" s="4" t="str">
        <f>IFERROR(INDEX(样本到样信息汇总统计!L$2:L$500,MATCH(401,样本到样信息汇总统计!$X$2:$X$500,0)),"")</f>
        <v/>
      </c>
      <c r="M402" s="4" t="str">
        <f>IFERROR(INDEX(样本到样信息汇总统计!M$2:M$500,MATCH(401,样本到样信息汇总统计!$X$2:$X$500,0)),"")</f>
        <v/>
      </c>
      <c r="N402" s="4" t="str">
        <f>IFERROR(INDEX(样本到样信息汇总统计!N$2:N$500,MATCH(401,样本到样信息汇总统计!$X$2:$X$500,0)),"")</f>
        <v/>
      </c>
      <c r="O402" s="4" t="str">
        <f>IFERROR(INDEX(样本到样信息汇总统计!O$2:O$500,MATCH(401,样本到样信息汇总统计!$X$2:$X$500,0)),"")</f>
        <v/>
      </c>
      <c r="P402" s="4" t="str">
        <f>IFERROR(INDEX(样本到样信息汇总统计!P$2:P$500,MATCH(401,样本到样信息汇总统计!$X$2:$X$500,0)),"")</f>
        <v/>
      </c>
      <c r="Q402" s="4" t="str">
        <f>IFERROR(INDEX(样本到样信息汇总统计!Q$2:Q$500,MATCH(401,样本到样信息汇总统计!$X$2:$X$500,0)),"")</f>
        <v/>
      </c>
      <c r="R402" s="4" t="str">
        <f>IFERROR(INDEX(样本到样信息汇总统计!R$2:R$500,MATCH(401,样本到样信息汇总统计!$X$2:$X$500,0)),"")</f>
        <v/>
      </c>
      <c r="S402" s="4" t="str">
        <f>IFERROR(INDEX(样本到样信息汇总统计!S$2:S$500,MATCH(401,样本到样信息汇总统计!$X$2:$X$500,0)),"")</f>
        <v/>
      </c>
      <c r="T402" s="4" t="str">
        <f>IFERROR(INDEX(样本到样信息汇总统计!T$2:T$500,MATCH(401,样本到样信息汇总统计!$X$2:$X$500,0)),"")</f>
        <v/>
      </c>
      <c r="U402" s="4" t="str">
        <f>IFERROR(INDEX(样本到样信息汇总统计!U$2:U$500,MATCH(401,样本到样信息汇总统计!$X$2:$X$500,0)),"")</f>
        <v/>
      </c>
      <c r="V402" s="4" t="str">
        <f>IFERROR(INDEX(样本到样信息汇总统计!V$2:V$500,MATCH(401,样本到样信息汇总统计!$X$2:$X$500,0)),"")</f>
        <v/>
      </c>
      <c r="W402" s="4" t="str">
        <f>IFERROR(INDEX(样本到样信息汇总统计!W$2:W$500,MATCH(401,样本到样信息汇总统计!$X$2:$X$500,0)),"")</f>
        <v/>
      </c>
    </row>
    <row r="403" ht="14.5" spans="1:23">
      <c r="A403" s="8" t="str">
        <f>IFERROR(INDEX(样本到样信息汇总统计!A$2:A$500,MATCH(402,样本到样信息汇总统计!$X$2:$X$500,0)),"")</f>
        <v/>
      </c>
      <c r="B403" s="8" t="str">
        <f>IFERROR(INDEX(样本到样信息汇总统计!B$2:B$500,MATCH(402,样本到样信息汇总统计!$X$2:$X$500,0)),"")</f>
        <v/>
      </c>
      <c r="C403" s="8" t="str">
        <f>IFERROR(INDEX(样本到样信息汇总统计!C$2:C$500,MATCH(402,样本到样信息汇总统计!$X$2:$X$500,0)),"")</f>
        <v/>
      </c>
      <c r="D403" s="8" t="str">
        <f>IFERROR(INDEX(样本到样信息汇总统计!D$2:D$500,MATCH(402,样本到样信息汇总统计!$X$2:$X$500,0)),"")</f>
        <v/>
      </c>
      <c r="E403" s="8" t="str">
        <f>IFERROR(INDEX(样本到样信息汇总统计!E$2:E$500,MATCH(402,样本到样信息汇总统计!$X$2:$X$500,0)),"")</f>
        <v/>
      </c>
      <c r="F403" s="8" t="str">
        <f>IFERROR(INDEX(样本到样信息汇总统计!F$2:F$500,MATCH(402,样本到样信息汇总统计!$X$2:$X$500,0)),"")</f>
        <v/>
      </c>
      <c r="G403" s="8" t="str">
        <f>IFERROR(INDEX(样本到样信息汇总统计!G$2:G$500,MATCH(402,样本到样信息汇总统计!$X$2:$X$500,0)),"")</f>
        <v/>
      </c>
      <c r="H403" s="8" t="str">
        <f>IFERROR(INDEX(样本到样信息汇总统计!H$2:H$500,MATCH(402,样本到样信息汇总统计!$X$2:$X$500,0)),"")</f>
        <v/>
      </c>
      <c r="I403" s="8" t="str">
        <f>IFERROR(INDEX(样本到样信息汇总统计!I$2:I$500,MATCH(402,样本到样信息汇总统计!$X$2:$X$500,0)),"")</f>
        <v/>
      </c>
      <c r="J403" s="8" t="str">
        <f>IFERROR(INDEX(样本到样信息汇总统计!J$2:J$500,MATCH(402,样本到样信息汇总统计!$X$2:$X$500,0)),"")</f>
        <v/>
      </c>
      <c r="K403" s="15" t="str">
        <f>IFERROR(INDEX(样本到样信息汇总统计!K$2:K$500,MATCH(402,样本到样信息汇总统计!$X$2:$X$500,0)),"")</f>
        <v/>
      </c>
      <c r="L403" s="8" t="str">
        <f>IFERROR(INDEX(样本到样信息汇总统计!L$2:L$500,MATCH(402,样本到样信息汇总统计!$X$2:$X$500,0)),"")</f>
        <v/>
      </c>
      <c r="M403" s="8" t="str">
        <f>IFERROR(INDEX(样本到样信息汇总统计!M$2:M$500,MATCH(402,样本到样信息汇总统计!$X$2:$X$500,0)),"")</f>
        <v/>
      </c>
      <c r="N403" s="8" t="str">
        <f>IFERROR(INDEX(样本到样信息汇总统计!N$2:N$500,MATCH(402,样本到样信息汇总统计!$X$2:$X$500,0)),"")</f>
        <v/>
      </c>
      <c r="O403" s="8" t="str">
        <f>IFERROR(INDEX(样本到样信息汇总统计!O$2:O$500,MATCH(402,样本到样信息汇总统计!$X$2:$X$500,0)),"")</f>
        <v/>
      </c>
      <c r="P403" s="8" t="str">
        <f>IFERROR(INDEX(样本到样信息汇总统计!P$2:P$500,MATCH(402,样本到样信息汇总统计!$X$2:$X$500,0)),"")</f>
        <v/>
      </c>
      <c r="Q403" s="8" t="str">
        <f>IFERROR(INDEX(样本到样信息汇总统计!Q$2:Q$500,MATCH(402,样本到样信息汇总统计!$X$2:$X$500,0)),"")</f>
        <v/>
      </c>
      <c r="R403" s="8" t="str">
        <f>IFERROR(INDEX(样本到样信息汇总统计!R$2:R$500,MATCH(402,样本到样信息汇总统计!$X$2:$X$500,0)),"")</f>
        <v/>
      </c>
      <c r="S403" s="8" t="str">
        <f>IFERROR(INDEX(样本到样信息汇总统计!S$2:S$500,MATCH(402,样本到样信息汇总统计!$X$2:$X$500,0)),"")</f>
        <v/>
      </c>
      <c r="T403" s="8" t="str">
        <f>IFERROR(INDEX(样本到样信息汇总统计!T$2:T$500,MATCH(402,样本到样信息汇总统计!$X$2:$X$500,0)),"")</f>
        <v/>
      </c>
      <c r="U403" s="8" t="str">
        <f>IFERROR(INDEX(样本到样信息汇总统计!U$2:U$500,MATCH(402,样本到样信息汇总统计!$X$2:$X$500,0)),"")</f>
        <v/>
      </c>
      <c r="V403" s="8" t="str">
        <f>IFERROR(INDEX(样本到样信息汇总统计!V$2:V$500,MATCH(402,样本到样信息汇总统计!$X$2:$X$500,0)),"")</f>
        <v/>
      </c>
      <c r="W403" s="8" t="str">
        <f>IFERROR(INDEX(样本到样信息汇总统计!W$2:W$500,MATCH(402,样本到样信息汇总统计!$X$2:$X$500,0)),"")</f>
        <v/>
      </c>
    </row>
    <row r="404" ht="14.5" spans="1:23">
      <c r="A404" s="4" t="str">
        <f>IFERROR(INDEX(样本到样信息汇总统计!A$2:A$500,MATCH(403,样本到样信息汇总统计!$X$2:$X$500,0)),"")</f>
        <v/>
      </c>
      <c r="B404" s="4" t="str">
        <f>IFERROR(INDEX(样本到样信息汇总统计!B$2:B$500,MATCH(403,样本到样信息汇总统计!$X$2:$X$500,0)),"")</f>
        <v/>
      </c>
      <c r="C404" s="4" t="str">
        <f>IFERROR(INDEX(样本到样信息汇总统计!C$2:C$500,MATCH(403,样本到样信息汇总统计!$X$2:$X$500,0)),"")</f>
        <v/>
      </c>
      <c r="D404" s="4" t="str">
        <f>IFERROR(INDEX(样本到样信息汇总统计!D$2:D$500,MATCH(403,样本到样信息汇总统计!$X$2:$X$500,0)),"")</f>
        <v/>
      </c>
      <c r="E404" s="4" t="str">
        <f>IFERROR(INDEX(样本到样信息汇总统计!E$2:E$500,MATCH(403,样本到样信息汇总统计!$X$2:$X$500,0)),"")</f>
        <v/>
      </c>
      <c r="F404" s="4" t="str">
        <f>IFERROR(INDEX(样本到样信息汇总统计!F$2:F$500,MATCH(403,样本到样信息汇总统计!$X$2:$X$500,0)),"")</f>
        <v/>
      </c>
      <c r="G404" s="4" t="str">
        <f>IFERROR(INDEX(样本到样信息汇总统计!G$2:G$500,MATCH(403,样本到样信息汇总统计!$X$2:$X$500,0)),"")</f>
        <v/>
      </c>
      <c r="H404" s="4" t="str">
        <f>IFERROR(INDEX(样本到样信息汇总统计!H$2:H$500,MATCH(403,样本到样信息汇总统计!$X$2:$X$500,0)),"")</f>
        <v/>
      </c>
      <c r="I404" s="4" t="str">
        <f>IFERROR(INDEX(样本到样信息汇总统计!I$2:I$500,MATCH(403,样本到样信息汇总统计!$X$2:$X$500,0)),"")</f>
        <v/>
      </c>
      <c r="J404" s="4" t="str">
        <f>IFERROR(INDEX(样本到样信息汇总统计!J$2:J$500,MATCH(403,样本到样信息汇总统计!$X$2:$X$500,0)),"")</f>
        <v/>
      </c>
      <c r="K404" s="14" t="str">
        <f>IFERROR(INDEX(样本到样信息汇总统计!K$2:K$500,MATCH(403,样本到样信息汇总统计!$X$2:$X$500,0)),"")</f>
        <v/>
      </c>
      <c r="L404" s="4" t="str">
        <f>IFERROR(INDEX(样本到样信息汇总统计!L$2:L$500,MATCH(403,样本到样信息汇总统计!$X$2:$X$500,0)),"")</f>
        <v/>
      </c>
      <c r="M404" s="4" t="str">
        <f>IFERROR(INDEX(样本到样信息汇总统计!M$2:M$500,MATCH(403,样本到样信息汇总统计!$X$2:$X$500,0)),"")</f>
        <v/>
      </c>
      <c r="N404" s="4" t="str">
        <f>IFERROR(INDEX(样本到样信息汇总统计!N$2:N$500,MATCH(403,样本到样信息汇总统计!$X$2:$X$500,0)),"")</f>
        <v/>
      </c>
      <c r="O404" s="4" t="str">
        <f>IFERROR(INDEX(样本到样信息汇总统计!O$2:O$500,MATCH(403,样本到样信息汇总统计!$X$2:$X$500,0)),"")</f>
        <v/>
      </c>
      <c r="P404" s="4" t="str">
        <f>IFERROR(INDEX(样本到样信息汇总统计!P$2:P$500,MATCH(403,样本到样信息汇总统计!$X$2:$X$500,0)),"")</f>
        <v/>
      </c>
      <c r="Q404" s="4" t="str">
        <f>IFERROR(INDEX(样本到样信息汇总统计!Q$2:Q$500,MATCH(403,样本到样信息汇总统计!$X$2:$X$500,0)),"")</f>
        <v/>
      </c>
      <c r="R404" s="4" t="str">
        <f>IFERROR(INDEX(样本到样信息汇总统计!R$2:R$500,MATCH(403,样本到样信息汇总统计!$X$2:$X$500,0)),"")</f>
        <v/>
      </c>
      <c r="S404" s="4" t="str">
        <f>IFERROR(INDEX(样本到样信息汇总统计!S$2:S$500,MATCH(403,样本到样信息汇总统计!$X$2:$X$500,0)),"")</f>
        <v/>
      </c>
      <c r="T404" s="4" t="str">
        <f>IFERROR(INDEX(样本到样信息汇总统计!T$2:T$500,MATCH(403,样本到样信息汇总统计!$X$2:$X$500,0)),"")</f>
        <v/>
      </c>
      <c r="U404" s="4" t="str">
        <f>IFERROR(INDEX(样本到样信息汇总统计!U$2:U$500,MATCH(403,样本到样信息汇总统计!$X$2:$X$500,0)),"")</f>
        <v/>
      </c>
      <c r="V404" s="4" t="str">
        <f>IFERROR(INDEX(样本到样信息汇总统计!V$2:V$500,MATCH(403,样本到样信息汇总统计!$X$2:$X$500,0)),"")</f>
        <v/>
      </c>
      <c r="W404" s="4" t="str">
        <f>IFERROR(INDEX(样本到样信息汇总统计!W$2:W$500,MATCH(403,样本到样信息汇总统计!$X$2:$X$500,0)),"")</f>
        <v/>
      </c>
    </row>
    <row r="405" ht="14.5" spans="1:23">
      <c r="A405" s="8" t="str">
        <f>IFERROR(INDEX(样本到样信息汇总统计!A$2:A$500,MATCH(404,样本到样信息汇总统计!$X$2:$X$500,0)),"")</f>
        <v/>
      </c>
      <c r="B405" s="8" t="str">
        <f>IFERROR(INDEX(样本到样信息汇总统计!B$2:B$500,MATCH(404,样本到样信息汇总统计!$X$2:$X$500,0)),"")</f>
        <v/>
      </c>
      <c r="C405" s="8" t="str">
        <f>IFERROR(INDEX(样本到样信息汇总统计!C$2:C$500,MATCH(404,样本到样信息汇总统计!$X$2:$X$500,0)),"")</f>
        <v/>
      </c>
      <c r="D405" s="8" t="str">
        <f>IFERROR(INDEX(样本到样信息汇总统计!D$2:D$500,MATCH(404,样本到样信息汇总统计!$X$2:$X$500,0)),"")</f>
        <v/>
      </c>
      <c r="E405" s="8" t="str">
        <f>IFERROR(INDEX(样本到样信息汇总统计!E$2:E$500,MATCH(404,样本到样信息汇总统计!$X$2:$X$500,0)),"")</f>
        <v/>
      </c>
      <c r="F405" s="8" t="str">
        <f>IFERROR(INDEX(样本到样信息汇总统计!F$2:F$500,MATCH(404,样本到样信息汇总统计!$X$2:$X$500,0)),"")</f>
        <v/>
      </c>
      <c r="G405" s="8" t="str">
        <f>IFERROR(INDEX(样本到样信息汇总统计!G$2:G$500,MATCH(404,样本到样信息汇总统计!$X$2:$X$500,0)),"")</f>
        <v/>
      </c>
      <c r="H405" s="8" t="str">
        <f>IFERROR(INDEX(样本到样信息汇总统计!H$2:H$500,MATCH(404,样本到样信息汇总统计!$X$2:$X$500,0)),"")</f>
        <v/>
      </c>
      <c r="I405" s="8" t="str">
        <f>IFERROR(INDEX(样本到样信息汇总统计!I$2:I$500,MATCH(404,样本到样信息汇总统计!$X$2:$X$500,0)),"")</f>
        <v/>
      </c>
      <c r="J405" s="8" t="str">
        <f>IFERROR(INDEX(样本到样信息汇总统计!J$2:J$500,MATCH(404,样本到样信息汇总统计!$X$2:$X$500,0)),"")</f>
        <v/>
      </c>
      <c r="K405" s="15" t="str">
        <f>IFERROR(INDEX(样本到样信息汇总统计!K$2:K$500,MATCH(404,样本到样信息汇总统计!$X$2:$X$500,0)),"")</f>
        <v/>
      </c>
      <c r="L405" s="8" t="str">
        <f>IFERROR(INDEX(样本到样信息汇总统计!L$2:L$500,MATCH(404,样本到样信息汇总统计!$X$2:$X$500,0)),"")</f>
        <v/>
      </c>
      <c r="M405" s="8" t="str">
        <f>IFERROR(INDEX(样本到样信息汇总统计!M$2:M$500,MATCH(404,样本到样信息汇总统计!$X$2:$X$500,0)),"")</f>
        <v/>
      </c>
      <c r="N405" s="8" t="str">
        <f>IFERROR(INDEX(样本到样信息汇总统计!N$2:N$500,MATCH(404,样本到样信息汇总统计!$X$2:$X$500,0)),"")</f>
        <v/>
      </c>
      <c r="O405" s="8" t="str">
        <f>IFERROR(INDEX(样本到样信息汇总统计!O$2:O$500,MATCH(404,样本到样信息汇总统计!$X$2:$X$500,0)),"")</f>
        <v/>
      </c>
      <c r="P405" s="8" t="str">
        <f>IFERROR(INDEX(样本到样信息汇总统计!P$2:P$500,MATCH(404,样本到样信息汇总统计!$X$2:$X$500,0)),"")</f>
        <v/>
      </c>
      <c r="Q405" s="8" t="str">
        <f>IFERROR(INDEX(样本到样信息汇总统计!Q$2:Q$500,MATCH(404,样本到样信息汇总统计!$X$2:$X$500,0)),"")</f>
        <v/>
      </c>
      <c r="R405" s="8" t="str">
        <f>IFERROR(INDEX(样本到样信息汇总统计!R$2:R$500,MATCH(404,样本到样信息汇总统计!$X$2:$X$500,0)),"")</f>
        <v/>
      </c>
      <c r="S405" s="8" t="str">
        <f>IFERROR(INDEX(样本到样信息汇总统计!S$2:S$500,MATCH(404,样本到样信息汇总统计!$X$2:$X$500,0)),"")</f>
        <v/>
      </c>
      <c r="T405" s="8" t="str">
        <f>IFERROR(INDEX(样本到样信息汇总统计!T$2:T$500,MATCH(404,样本到样信息汇总统计!$X$2:$X$500,0)),"")</f>
        <v/>
      </c>
      <c r="U405" s="8" t="str">
        <f>IFERROR(INDEX(样本到样信息汇总统计!U$2:U$500,MATCH(404,样本到样信息汇总统计!$X$2:$X$500,0)),"")</f>
        <v/>
      </c>
      <c r="V405" s="8" t="str">
        <f>IFERROR(INDEX(样本到样信息汇总统计!V$2:V$500,MATCH(404,样本到样信息汇总统计!$X$2:$X$500,0)),"")</f>
        <v/>
      </c>
      <c r="W405" s="8" t="str">
        <f>IFERROR(INDEX(样本到样信息汇总统计!W$2:W$500,MATCH(404,样本到样信息汇总统计!$X$2:$X$500,0)),"")</f>
        <v/>
      </c>
    </row>
    <row r="406" ht="14.5" spans="1:23">
      <c r="A406" s="4" t="str">
        <f>IFERROR(INDEX(样本到样信息汇总统计!A$2:A$500,MATCH(405,样本到样信息汇总统计!$X$2:$X$500,0)),"")</f>
        <v/>
      </c>
      <c r="B406" s="4" t="str">
        <f>IFERROR(INDEX(样本到样信息汇总统计!B$2:B$500,MATCH(405,样本到样信息汇总统计!$X$2:$X$500,0)),"")</f>
        <v/>
      </c>
      <c r="C406" s="4" t="str">
        <f>IFERROR(INDEX(样本到样信息汇总统计!C$2:C$500,MATCH(405,样本到样信息汇总统计!$X$2:$X$500,0)),"")</f>
        <v/>
      </c>
      <c r="D406" s="4" t="str">
        <f>IFERROR(INDEX(样本到样信息汇总统计!D$2:D$500,MATCH(405,样本到样信息汇总统计!$X$2:$X$500,0)),"")</f>
        <v/>
      </c>
      <c r="E406" s="4" t="str">
        <f>IFERROR(INDEX(样本到样信息汇总统计!E$2:E$500,MATCH(405,样本到样信息汇总统计!$X$2:$X$500,0)),"")</f>
        <v/>
      </c>
      <c r="F406" s="4" t="str">
        <f>IFERROR(INDEX(样本到样信息汇总统计!F$2:F$500,MATCH(405,样本到样信息汇总统计!$X$2:$X$500,0)),"")</f>
        <v/>
      </c>
      <c r="G406" s="4" t="str">
        <f>IFERROR(INDEX(样本到样信息汇总统计!G$2:G$500,MATCH(405,样本到样信息汇总统计!$X$2:$X$500,0)),"")</f>
        <v/>
      </c>
      <c r="H406" s="4" t="str">
        <f>IFERROR(INDEX(样本到样信息汇总统计!H$2:H$500,MATCH(405,样本到样信息汇总统计!$X$2:$X$500,0)),"")</f>
        <v/>
      </c>
      <c r="I406" s="4" t="str">
        <f>IFERROR(INDEX(样本到样信息汇总统计!I$2:I$500,MATCH(405,样本到样信息汇总统计!$X$2:$X$500,0)),"")</f>
        <v/>
      </c>
      <c r="J406" s="4" t="str">
        <f>IFERROR(INDEX(样本到样信息汇总统计!J$2:J$500,MATCH(405,样本到样信息汇总统计!$X$2:$X$500,0)),"")</f>
        <v/>
      </c>
      <c r="K406" s="14" t="str">
        <f>IFERROR(INDEX(样本到样信息汇总统计!K$2:K$500,MATCH(405,样本到样信息汇总统计!$X$2:$X$500,0)),"")</f>
        <v/>
      </c>
      <c r="L406" s="4" t="str">
        <f>IFERROR(INDEX(样本到样信息汇总统计!L$2:L$500,MATCH(405,样本到样信息汇总统计!$X$2:$X$500,0)),"")</f>
        <v/>
      </c>
      <c r="M406" s="4" t="str">
        <f>IFERROR(INDEX(样本到样信息汇总统计!M$2:M$500,MATCH(405,样本到样信息汇总统计!$X$2:$X$500,0)),"")</f>
        <v/>
      </c>
      <c r="N406" s="4" t="str">
        <f>IFERROR(INDEX(样本到样信息汇总统计!N$2:N$500,MATCH(405,样本到样信息汇总统计!$X$2:$X$500,0)),"")</f>
        <v/>
      </c>
      <c r="O406" s="4" t="str">
        <f>IFERROR(INDEX(样本到样信息汇总统计!O$2:O$500,MATCH(405,样本到样信息汇总统计!$X$2:$X$500,0)),"")</f>
        <v/>
      </c>
      <c r="P406" s="4" t="str">
        <f>IFERROR(INDEX(样本到样信息汇总统计!P$2:P$500,MATCH(405,样本到样信息汇总统计!$X$2:$X$500,0)),"")</f>
        <v/>
      </c>
      <c r="Q406" s="4" t="str">
        <f>IFERROR(INDEX(样本到样信息汇总统计!Q$2:Q$500,MATCH(405,样本到样信息汇总统计!$X$2:$X$500,0)),"")</f>
        <v/>
      </c>
      <c r="R406" s="4" t="str">
        <f>IFERROR(INDEX(样本到样信息汇总统计!R$2:R$500,MATCH(405,样本到样信息汇总统计!$X$2:$X$500,0)),"")</f>
        <v/>
      </c>
      <c r="S406" s="4" t="str">
        <f>IFERROR(INDEX(样本到样信息汇总统计!S$2:S$500,MATCH(405,样本到样信息汇总统计!$X$2:$X$500,0)),"")</f>
        <v/>
      </c>
      <c r="T406" s="4" t="str">
        <f>IFERROR(INDEX(样本到样信息汇总统计!T$2:T$500,MATCH(405,样本到样信息汇总统计!$X$2:$X$500,0)),"")</f>
        <v/>
      </c>
      <c r="U406" s="4" t="str">
        <f>IFERROR(INDEX(样本到样信息汇总统计!U$2:U$500,MATCH(405,样本到样信息汇总统计!$X$2:$X$500,0)),"")</f>
        <v/>
      </c>
      <c r="V406" s="4" t="str">
        <f>IFERROR(INDEX(样本到样信息汇总统计!V$2:V$500,MATCH(405,样本到样信息汇总统计!$X$2:$X$500,0)),"")</f>
        <v/>
      </c>
      <c r="W406" s="4" t="str">
        <f>IFERROR(INDEX(样本到样信息汇总统计!W$2:W$500,MATCH(405,样本到样信息汇总统计!$X$2:$X$500,0)),"")</f>
        <v/>
      </c>
    </row>
    <row r="407" ht="14.5" spans="1:23">
      <c r="A407" s="8" t="str">
        <f>IFERROR(INDEX(样本到样信息汇总统计!A$2:A$500,MATCH(406,样本到样信息汇总统计!$X$2:$X$500,0)),"")</f>
        <v/>
      </c>
      <c r="B407" s="8" t="str">
        <f>IFERROR(INDEX(样本到样信息汇总统计!B$2:B$500,MATCH(406,样本到样信息汇总统计!$X$2:$X$500,0)),"")</f>
        <v/>
      </c>
      <c r="C407" s="8" t="str">
        <f>IFERROR(INDEX(样本到样信息汇总统计!C$2:C$500,MATCH(406,样本到样信息汇总统计!$X$2:$X$500,0)),"")</f>
        <v/>
      </c>
      <c r="D407" s="8" t="str">
        <f>IFERROR(INDEX(样本到样信息汇总统计!D$2:D$500,MATCH(406,样本到样信息汇总统计!$X$2:$X$500,0)),"")</f>
        <v/>
      </c>
      <c r="E407" s="8" t="str">
        <f>IFERROR(INDEX(样本到样信息汇总统计!E$2:E$500,MATCH(406,样本到样信息汇总统计!$X$2:$X$500,0)),"")</f>
        <v/>
      </c>
      <c r="F407" s="8" t="str">
        <f>IFERROR(INDEX(样本到样信息汇总统计!F$2:F$500,MATCH(406,样本到样信息汇总统计!$X$2:$X$500,0)),"")</f>
        <v/>
      </c>
      <c r="G407" s="8" t="str">
        <f>IFERROR(INDEX(样本到样信息汇总统计!G$2:G$500,MATCH(406,样本到样信息汇总统计!$X$2:$X$500,0)),"")</f>
        <v/>
      </c>
      <c r="H407" s="8" t="str">
        <f>IFERROR(INDEX(样本到样信息汇总统计!H$2:H$500,MATCH(406,样本到样信息汇总统计!$X$2:$X$500,0)),"")</f>
        <v/>
      </c>
      <c r="I407" s="8" t="str">
        <f>IFERROR(INDEX(样本到样信息汇总统计!I$2:I$500,MATCH(406,样本到样信息汇总统计!$X$2:$X$500,0)),"")</f>
        <v/>
      </c>
      <c r="J407" s="8" t="str">
        <f>IFERROR(INDEX(样本到样信息汇总统计!J$2:J$500,MATCH(406,样本到样信息汇总统计!$X$2:$X$500,0)),"")</f>
        <v/>
      </c>
      <c r="K407" s="15" t="str">
        <f>IFERROR(INDEX(样本到样信息汇总统计!K$2:K$500,MATCH(406,样本到样信息汇总统计!$X$2:$X$500,0)),"")</f>
        <v/>
      </c>
      <c r="L407" s="8" t="str">
        <f>IFERROR(INDEX(样本到样信息汇总统计!L$2:L$500,MATCH(406,样本到样信息汇总统计!$X$2:$X$500,0)),"")</f>
        <v/>
      </c>
      <c r="M407" s="8" t="str">
        <f>IFERROR(INDEX(样本到样信息汇总统计!M$2:M$500,MATCH(406,样本到样信息汇总统计!$X$2:$X$500,0)),"")</f>
        <v/>
      </c>
      <c r="N407" s="8" t="str">
        <f>IFERROR(INDEX(样本到样信息汇总统计!N$2:N$500,MATCH(406,样本到样信息汇总统计!$X$2:$X$500,0)),"")</f>
        <v/>
      </c>
      <c r="O407" s="8" t="str">
        <f>IFERROR(INDEX(样本到样信息汇总统计!O$2:O$500,MATCH(406,样本到样信息汇总统计!$X$2:$X$500,0)),"")</f>
        <v/>
      </c>
      <c r="P407" s="8" t="str">
        <f>IFERROR(INDEX(样本到样信息汇总统计!P$2:P$500,MATCH(406,样本到样信息汇总统计!$X$2:$X$500,0)),"")</f>
        <v/>
      </c>
      <c r="Q407" s="8" t="str">
        <f>IFERROR(INDEX(样本到样信息汇总统计!Q$2:Q$500,MATCH(406,样本到样信息汇总统计!$X$2:$X$500,0)),"")</f>
        <v/>
      </c>
      <c r="R407" s="8" t="str">
        <f>IFERROR(INDEX(样本到样信息汇总统计!R$2:R$500,MATCH(406,样本到样信息汇总统计!$X$2:$X$500,0)),"")</f>
        <v/>
      </c>
      <c r="S407" s="8" t="str">
        <f>IFERROR(INDEX(样本到样信息汇总统计!S$2:S$500,MATCH(406,样本到样信息汇总统计!$X$2:$X$500,0)),"")</f>
        <v/>
      </c>
      <c r="T407" s="8" t="str">
        <f>IFERROR(INDEX(样本到样信息汇总统计!T$2:T$500,MATCH(406,样本到样信息汇总统计!$X$2:$X$500,0)),"")</f>
        <v/>
      </c>
      <c r="U407" s="8" t="str">
        <f>IFERROR(INDEX(样本到样信息汇总统计!U$2:U$500,MATCH(406,样本到样信息汇总统计!$X$2:$X$500,0)),"")</f>
        <v/>
      </c>
      <c r="V407" s="8" t="str">
        <f>IFERROR(INDEX(样本到样信息汇总统计!V$2:V$500,MATCH(406,样本到样信息汇总统计!$X$2:$X$500,0)),"")</f>
        <v/>
      </c>
      <c r="W407" s="8" t="str">
        <f>IFERROR(INDEX(样本到样信息汇总统计!W$2:W$500,MATCH(406,样本到样信息汇总统计!$X$2:$X$500,0)),"")</f>
        <v/>
      </c>
    </row>
    <row r="408" ht="14.5" spans="1:23">
      <c r="A408" s="4" t="str">
        <f>IFERROR(INDEX(样本到样信息汇总统计!A$2:A$500,MATCH(407,样本到样信息汇总统计!$X$2:$X$500,0)),"")</f>
        <v/>
      </c>
      <c r="B408" s="4" t="str">
        <f>IFERROR(INDEX(样本到样信息汇总统计!B$2:B$500,MATCH(407,样本到样信息汇总统计!$X$2:$X$500,0)),"")</f>
        <v/>
      </c>
      <c r="C408" s="4" t="str">
        <f>IFERROR(INDEX(样本到样信息汇总统计!C$2:C$500,MATCH(407,样本到样信息汇总统计!$X$2:$X$500,0)),"")</f>
        <v/>
      </c>
      <c r="D408" s="4" t="str">
        <f>IFERROR(INDEX(样本到样信息汇总统计!D$2:D$500,MATCH(407,样本到样信息汇总统计!$X$2:$X$500,0)),"")</f>
        <v/>
      </c>
      <c r="E408" s="4" t="str">
        <f>IFERROR(INDEX(样本到样信息汇总统计!E$2:E$500,MATCH(407,样本到样信息汇总统计!$X$2:$X$500,0)),"")</f>
        <v/>
      </c>
      <c r="F408" s="4" t="str">
        <f>IFERROR(INDEX(样本到样信息汇总统计!F$2:F$500,MATCH(407,样本到样信息汇总统计!$X$2:$X$500,0)),"")</f>
        <v/>
      </c>
      <c r="G408" s="4" t="str">
        <f>IFERROR(INDEX(样本到样信息汇总统计!G$2:G$500,MATCH(407,样本到样信息汇总统计!$X$2:$X$500,0)),"")</f>
        <v/>
      </c>
      <c r="H408" s="4" t="str">
        <f>IFERROR(INDEX(样本到样信息汇总统计!H$2:H$500,MATCH(407,样本到样信息汇总统计!$X$2:$X$500,0)),"")</f>
        <v/>
      </c>
      <c r="I408" s="4" t="str">
        <f>IFERROR(INDEX(样本到样信息汇总统计!I$2:I$500,MATCH(407,样本到样信息汇总统计!$X$2:$X$500,0)),"")</f>
        <v/>
      </c>
      <c r="J408" s="4" t="str">
        <f>IFERROR(INDEX(样本到样信息汇总统计!J$2:J$500,MATCH(407,样本到样信息汇总统计!$X$2:$X$500,0)),"")</f>
        <v/>
      </c>
      <c r="K408" s="14" t="str">
        <f>IFERROR(INDEX(样本到样信息汇总统计!K$2:K$500,MATCH(407,样本到样信息汇总统计!$X$2:$X$500,0)),"")</f>
        <v/>
      </c>
      <c r="L408" s="4" t="str">
        <f>IFERROR(INDEX(样本到样信息汇总统计!L$2:L$500,MATCH(407,样本到样信息汇总统计!$X$2:$X$500,0)),"")</f>
        <v/>
      </c>
      <c r="M408" s="4" t="str">
        <f>IFERROR(INDEX(样本到样信息汇总统计!M$2:M$500,MATCH(407,样本到样信息汇总统计!$X$2:$X$500,0)),"")</f>
        <v/>
      </c>
      <c r="N408" s="4" t="str">
        <f>IFERROR(INDEX(样本到样信息汇总统计!N$2:N$500,MATCH(407,样本到样信息汇总统计!$X$2:$X$500,0)),"")</f>
        <v/>
      </c>
      <c r="O408" s="4" t="str">
        <f>IFERROR(INDEX(样本到样信息汇总统计!O$2:O$500,MATCH(407,样本到样信息汇总统计!$X$2:$X$500,0)),"")</f>
        <v/>
      </c>
      <c r="P408" s="4" t="str">
        <f>IFERROR(INDEX(样本到样信息汇总统计!P$2:P$500,MATCH(407,样本到样信息汇总统计!$X$2:$X$500,0)),"")</f>
        <v/>
      </c>
      <c r="Q408" s="4" t="str">
        <f>IFERROR(INDEX(样本到样信息汇总统计!Q$2:Q$500,MATCH(407,样本到样信息汇总统计!$X$2:$X$500,0)),"")</f>
        <v/>
      </c>
      <c r="R408" s="4" t="str">
        <f>IFERROR(INDEX(样本到样信息汇总统计!R$2:R$500,MATCH(407,样本到样信息汇总统计!$X$2:$X$500,0)),"")</f>
        <v/>
      </c>
      <c r="S408" s="4" t="str">
        <f>IFERROR(INDEX(样本到样信息汇总统计!S$2:S$500,MATCH(407,样本到样信息汇总统计!$X$2:$X$500,0)),"")</f>
        <v/>
      </c>
      <c r="T408" s="4" t="str">
        <f>IFERROR(INDEX(样本到样信息汇总统计!T$2:T$500,MATCH(407,样本到样信息汇总统计!$X$2:$X$500,0)),"")</f>
        <v/>
      </c>
      <c r="U408" s="4" t="str">
        <f>IFERROR(INDEX(样本到样信息汇总统计!U$2:U$500,MATCH(407,样本到样信息汇总统计!$X$2:$X$500,0)),"")</f>
        <v/>
      </c>
      <c r="V408" s="4" t="str">
        <f>IFERROR(INDEX(样本到样信息汇总统计!V$2:V$500,MATCH(407,样本到样信息汇总统计!$X$2:$X$500,0)),"")</f>
        <v/>
      </c>
      <c r="W408" s="4" t="str">
        <f>IFERROR(INDEX(样本到样信息汇总统计!W$2:W$500,MATCH(407,样本到样信息汇总统计!$X$2:$X$500,0)),"")</f>
        <v/>
      </c>
    </row>
    <row r="409" ht="14.5" spans="1:23">
      <c r="A409" s="8" t="str">
        <f>IFERROR(INDEX(样本到样信息汇总统计!A$2:A$500,MATCH(408,样本到样信息汇总统计!$X$2:$X$500,0)),"")</f>
        <v/>
      </c>
      <c r="B409" s="8" t="str">
        <f>IFERROR(INDEX(样本到样信息汇总统计!B$2:B$500,MATCH(408,样本到样信息汇总统计!$X$2:$X$500,0)),"")</f>
        <v/>
      </c>
      <c r="C409" s="8" t="str">
        <f>IFERROR(INDEX(样本到样信息汇总统计!C$2:C$500,MATCH(408,样本到样信息汇总统计!$X$2:$X$500,0)),"")</f>
        <v/>
      </c>
      <c r="D409" s="8" t="str">
        <f>IFERROR(INDEX(样本到样信息汇总统计!D$2:D$500,MATCH(408,样本到样信息汇总统计!$X$2:$X$500,0)),"")</f>
        <v/>
      </c>
      <c r="E409" s="8" t="str">
        <f>IFERROR(INDEX(样本到样信息汇总统计!E$2:E$500,MATCH(408,样本到样信息汇总统计!$X$2:$X$500,0)),"")</f>
        <v/>
      </c>
      <c r="F409" s="8" t="str">
        <f>IFERROR(INDEX(样本到样信息汇总统计!F$2:F$500,MATCH(408,样本到样信息汇总统计!$X$2:$X$500,0)),"")</f>
        <v/>
      </c>
      <c r="G409" s="8" t="str">
        <f>IFERROR(INDEX(样本到样信息汇总统计!G$2:G$500,MATCH(408,样本到样信息汇总统计!$X$2:$X$500,0)),"")</f>
        <v/>
      </c>
      <c r="H409" s="8" t="str">
        <f>IFERROR(INDEX(样本到样信息汇总统计!H$2:H$500,MATCH(408,样本到样信息汇总统计!$X$2:$X$500,0)),"")</f>
        <v/>
      </c>
      <c r="I409" s="8" t="str">
        <f>IFERROR(INDEX(样本到样信息汇总统计!I$2:I$500,MATCH(408,样本到样信息汇总统计!$X$2:$X$500,0)),"")</f>
        <v/>
      </c>
      <c r="J409" s="8" t="str">
        <f>IFERROR(INDEX(样本到样信息汇总统计!J$2:J$500,MATCH(408,样本到样信息汇总统计!$X$2:$X$500,0)),"")</f>
        <v/>
      </c>
      <c r="K409" s="15" t="str">
        <f>IFERROR(INDEX(样本到样信息汇总统计!K$2:K$500,MATCH(408,样本到样信息汇总统计!$X$2:$X$500,0)),"")</f>
        <v/>
      </c>
      <c r="L409" s="8" t="str">
        <f>IFERROR(INDEX(样本到样信息汇总统计!L$2:L$500,MATCH(408,样本到样信息汇总统计!$X$2:$X$500,0)),"")</f>
        <v/>
      </c>
      <c r="M409" s="8" t="str">
        <f>IFERROR(INDEX(样本到样信息汇总统计!M$2:M$500,MATCH(408,样本到样信息汇总统计!$X$2:$X$500,0)),"")</f>
        <v/>
      </c>
      <c r="N409" s="8" t="str">
        <f>IFERROR(INDEX(样本到样信息汇总统计!N$2:N$500,MATCH(408,样本到样信息汇总统计!$X$2:$X$500,0)),"")</f>
        <v/>
      </c>
      <c r="O409" s="8" t="str">
        <f>IFERROR(INDEX(样本到样信息汇总统计!O$2:O$500,MATCH(408,样本到样信息汇总统计!$X$2:$X$500,0)),"")</f>
        <v/>
      </c>
      <c r="P409" s="8" t="str">
        <f>IFERROR(INDEX(样本到样信息汇总统计!P$2:P$500,MATCH(408,样本到样信息汇总统计!$X$2:$X$500,0)),"")</f>
        <v/>
      </c>
      <c r="Q409" s="8" t="str">
        <f>IFERROR(INDEX(样本到样信息汇总统计!Q$2:Q$500,MATCH(408,样本到样信息汇总统计!$X$2:$X$500,0)),"")</f>
        <v/>
      </c>
      <c r="R409" s="8" t="str">
        <f>IFERROR(INDEX(样本到样信息汇总统计!R$2:R$500,MATCH(408,样本到样信息汇总统计!$X$2:$X$500,0)),"")</f>
        <v/>
      </c>
      <c r="S409" s="8" t="str">
        <f>IFERROR(INDEX(样本到样信息汇总统计!S$2:S$500,MATCH(408,样本到样信息汇总统计!$X$2:$X$500,0)),"")</f>
        <v/>
      </c>
      <c r="T409" s="8" t="str">
        <f>IFERROR(INDEX(样本到样信息汇总统计!T$2:T$500,MATCH(408,样本到样信息汇总统计!$X$2:$X$500,0)),"")</f>
        <v/>
      </c>
      <c r="U409" s="8" t="str">
        <f>IFERROR(INDEX(样本到样信息汇总统计!U$2:U$500,MATCH(408,样本到样信息汇总统计!$X$2:$X$500,0)),"")</f>
        <v/>
      </c>
      <c r="V409" s="8" t="str">
        <f>IFERROR(INDEX(样本到样信息汇总统计!V$2:V$500,MATCH(408,样本到样信息汇总统计!$X$2:$X$500,0)),"")</f>
        <v/>
      </c>
      <c r="W409" s="8" t="str">
        <f>IFERROR(INDEX(样本到样信息汇总统计!W$2:W$500,MATCH(408,样本到样信息汇总统计!$X$2:$X$500,0)),"")</f>
        <v/>
      </c>
    </row>
    <row r="410" ht="14.5" spans="1:23">
      <c r="A410" s="4" t="str">
        <f>IFERROR(INDEX(样本到样信息汇总统计!A$2:A$500,MATCH(409,样本到样信息汇总统计!$X$2:$X$500,0)),"")</f>
        <v/>
      </c>
      <c r="B410" s="4" t="str">
        <f>IFERROR(INDEX(样本到样信息汇总统计!B$2:B$500,MATCH(409,样本到样信息汇总统计!$X$2:$X$500,0)),"")</f>
        <v/>
      </c>
      <c r="C410" s="4" t="str">
        <f>IFERROR(INDEX(样本到样信息汇总统计!C$2:C$500,MATCH(409,样本到样信息汇总统计!$X$2:$X$500,0)),"")</f>
        <v/>
      </c>
      <c r="D410" s="4" t="str">
        <f>IFERROR(INDEX(样本到样信息汇总统计!D$2:D$500,MATCH(409,样本到样信息汇总统计!$X$2:$X$500,0)),"")</f>
        <v/>
      </c>
      <c r="E410" s="4" t="str">
        <f>IFERROR(INDEX(样本到样信息汇总统计!E$2:E$500,MATCH(409,样本到样信息汇总统计!$X$2:$X$500,0)),"")</f>
        <v/>
      </c>
      <c r="F410" s="4" t="str">
        <f>IFERROR(INDEX(样本到样信息汇总统计!F$2:F$500,MATCH(409,样本到样信息汇总统计!$X$2:$X$500,0)),"")</f>
        <v/>
      </c>
      <c r="G410" s="4" t="str">
        <f>IFERROR(INDEX(样本到样信息汇总统计!G$2:G$500,MATCH(409,样本到样信息汇总统计!$X$2:$X$500,0)),"")</f>
        <v/>
      </c>
      <c r="H410" s="4" t="str">
        <f>IFERROR(INDEX(样本到样信息汇总统计!H$2:H$500,MATCH(409,样本到样信息汇总统计!$X$2:$X$500,0)),"")</f>
        <v/>
      </c>
      <c r="I410" s="4" t="str">
        <f>IFERROR(INDEX(样本到样信息汇总统计!I$2:I$500,MATCH(409,样本到样信息汇总统计!$X$2:$X$500,0)),"")</f>
        <v/>
      </c>
      <c r="J410" s="4" t="str">
        <f>IFERROR(INDEX(样本到样信息汇总统计!J$2:J$500,MATCH(409,样本到样信息汇总统计!$X$2:$X$500,0)),"")</f>
        <v/>
      </c>
      <c r="K410" s="14" t="str">
        <f>IFERROR(INDEX(样本到样信息汇总统计!K$2:K$500,MATCH(409,样本到样信息汇总统计!$X$2:$X$500,0)),"")</f>
        <v/>
      </c>
      <c r="L410" s="4" t="str">
        <f>IFERROR(INDEX(样本到样信息汇总统计!L$2:L$500,MATCH(409,样本到样信息汇总统计!$X$2:$X$500,0)),"")</f>
        <v/>
      </c>
      <c r="M410" s="4" t="str">
        <f>IFERROR(INDEX(样本到样信息汇总统计!M$2:M$500,MATCH(409,样本到样信息汇总统计!$X$2:$X$500,0)),"")</f>
        <v/>
      </c>
      <c r="N410" s="4" t="str">
        <f>IFERROR(INDEX(样本到样信息汇总统计!N$2:N$500,MATCH(409,样本到样信息汇总统计!$X$2:$X$500,0)),"")</f>
        <v/>
      </c>
      <c r="O410" s="4" t="str">
        <f>IFERROR(INDEX(样本到样信息汇总统计!O$2:O$500,MATCH(409,样本到样信息汇总统计!$X$2:$X$500,0)),"")</f>
        <v/>
      </c>
      <c r="P410" s="4" t="str">
        <f>IFERROR(INDEX(样本到样信息汇总统计!P$2:P$500,MATCH(409,样本到样信息汇总统计!$X$2:$X$500,0)),"")</f>
        <v/>
      </c>
      <c r="Q410" s="4" t="str">
        <f>IFERROR(INDEX(样本到样信息汇总统计!Q$2:Q$500,MATCH(409,样本到样信息汇总统计!$X$2:$X$500,0)),"")</f>
        <v/>
      </c>
      <c r="R410" s="4" t="str">
        <f>IFERROR(INDEX(样本到样信息汇总统计!R$2:R$500,MATCH(409,样本到样信息汇总统计!$X$2:$X$500,0)),"")</f>
        <v/>
      </c>
      <c r="S410" s="4" t="str">
        <f>IFERROR(INDEX(样本到样信息汇总统计!S$2:S$500,MATCH(409,样本到样信息汇总统计!$X$2:$X$500,0)),"")</f>
        <v/>
      </c>
      <c r="T410" s="4" t="str">
        <f>IFERROR(INDEX(样本到样信息汇总统计!T$2:T$500,MATCH(409,样本到样信息汇总统计!$X$2:$X$500,0)),"")</f>
        <v/>
      </c>
      <c r="U410" s="4" t="str">
        <f>IFERROR(INDEX(样本到样信息汇总统计!U$2:U$500,MATCH(409,样本到样信息汇总统计!$X$2:$X$500,0)),"")</f>
        <v/>
      </c>
      <c r="V410" s="4" t="str">
        <f>IFERROR(INDEX(样本到样信息汇总统计!V$2:V$500,MATCH(409,样本到样信息汇总统计!$X$2:$X$500,0)),"")</f>
        <v/>
      </c>
      <c r="W410" s="4" t="str">
        <f>IFERROR(INDEX(样本到样信息汇总统计!W$2:W$500,MATCH(409,样本到样信息汇总统计!$X$2:$X$500,0)),"")</f>
        <v/>
      </c>
    </row>
    <row r="411" ht="14.5" spans="1:23">
      <c r="A411" s="8" t="str">
        <f>IFERROR(INDEX(样本到样信息汇总统计!A$2:A$500,MATCH(410,样本到样信息汇总统计!$X$2:$X$500,0)),"")</f>
        <v/>
      </c>
      <c r="B411" s="8" t="str">
        <f>IFERROR(INDEX(样本到样信息汇总统计!B$2:B$500,MATCH(410,样本到样信息汇总统计!$X$2:$X$500,0)),"")</f>
        <v/>
      </c>
      <c r="C411" s="8" t="str">
        <f>IFERROR(INDEX(样本到样信息汇总统计!C$2:C$500,MATCH(410,样本到样信息汇总统计!$X$2:$X$500,0)),"")</f>
        <v/>
      </c>
      <c r="D411" s="8" t="str">
        <f>IFERROR(INDEX(样本到样信息汇总统计!D$2:D$500,MATCH(410,样本到样信息汇总统计!$X$2:$X$500,0)),"")</f>
        <v/>
      </c>
      <c r="E411" s="8" t="str">
        <f>IFERROR(INDEX(样本到样信息汇总统计!E$2:E$500,MATCH(410,样本到样信息汇总统计!$X$2:$X$500,0)),"")</f>
        <v/>
      </c>
      <c r="F411" s="8" t="str">
        <f>IFERROR(INDEX(样本到样信息汇总统计!F$2:F$500,MATCH(410,样本到样信息汇总统计!$X$2:$X$500,0)),"")</f>
        <v/>
      </c>
      <c r="G411" s="8" t="str">
        <f>IFERROR(INDEX(样本到样信息汇总统计!G$2:G$500,MATCH(410,样本到样信息汇总统计!$X$2:$X$500,0)),"")</f>
        <v/>
      </c>
      <c r="H411" s="8" t="str">
        <f>IFERROR(INDEX(样本到样信息汇总统计!H$2:H$500,MATCH(410,样本到样信息汇总统计!$X$2:$X$500,0)),"")</f>
        <v/>
      </c>
      <c r="I411" s="8" t="str">
        <f>IFERROR(INDEX(样本到样信息汇总统计!I$2:I$500,MATCH(410,样本到样信息汇总统计!$X$2:$X$500,0)),"")</f>
        <v/>
      </c>
      <c r="J411" s="8" t="str">
        <f>IFERROR(INDEX(样本到样信息汇总统计!J$2:J$500,MATCH(410,样本到样信息汇总统计!$X$2:$X$500,0)),"")</f>
        <v/>
      </c>
      <c r="K411" s="15" t="str">
        <f>IFERROR(INDEX(样本到样信息汇总统计!K$2:K$500,MATCH(410,样本到样信息汇总统计!$X$2:$X$500,0)),"")</f>
        <v/>
      </c>
      <c r="L411" s="8" t="str">
        <f>IFERROR(INDEX(样本到样信息汇总统计!L$2:L$500,MATCH(410,样本到样信息汇总统计!$X$2:$X$500,0)),"")</f>
        <v/>
      </c>
      <c r="M411" s="8" t="str">
        <f>IFERROR(INDEX(样本到样信息汇总统计!M$2:M$500,MATCH(410,样本到样信息汇总统计!$X$2:$X$500,0)),"")</f>
        <v/>
      </c>
      <c r="N411" s="8" t="str">
        <f>IFERROR(INDEX(样本到样信息汇总统计!N$2:N$500,MATCH(410,样本到样信息汇总统计!$X$2:$X$500,0)),"")</f>
        <v/>
      </c>
      <c r="O411" s="8" t="str">
        <f>IFERROR(INDEX(样本到样信息汇总统计!O$2:O$500,MATCH(410,样本到样信息汇总统计!$X$2:$X$500,0)),"")</f>
        <v/>
      </c>
      <c r="P411" s="8" t="str">
        <f>IFERROR(INDEX(样本到样信息汇总统计!P$2:P$500,MATCH(410,样本到样信息汇总统计!$X$2:$X$500,0)),"")</f>
        <v/>
      </c>
      <c r="Q411" s="8" t="str">
        <f>IFERROR(INDEX(样本到样信息汇总统计!Q$2:Q$500,MATCH(410,样本到样信息汇总统计!$X$2:$X$500,0)),"")</f>
        <v/>
      </c>
      <c r="R411" s="8" t="str">
        <f>IFERROR(INDEX(样本到样信息汇总统计!R$2:R$500,MATCH(410,样本到样信息汇总统计!$X$2:$X$500,0)),"")</f>
        <v/>
      </c>
      <c r="S411" s="8" t="str">
        <f>IFERROR(INDEX(样本到样信息汇总统计!S$2:S$500,MATCH(410,样本到样信息汇总统计!$X$2:$X$500,0)),"")</f>
        <v/>
      </c>
      <c r="T411" s="8" t="str">
        <f>IFERROR(INDEX(样本到样信息汇总统计!T$2:T$500,MATCH(410,样本到样信息汇总统计!$X$2:$X$500,0)),"")</f>
        <v/>
      </c>
      <c r="U411" s="8" t="str">
        <f>IFERROR(INDEX(样本到样信息汇总统计!U$2:U$500,MATCH(410,样本到样信息汇总统计!$X$2:$X$500,0)),"")</f>
        <v/>
      </c>
      <c r="V411" s="8" t="str">
        <f>IFERROR(INDEX(样本到样信息汇总统计!V$2:V$500,MATCH(410,样本到样信息汇总统计!$X$2:$X$500,0)),"")</f>
        <v/>
      </c>
      <c r="W411" s="8" t="str">
        <f>IFERROR(INDEX(样本到样信息汇总统计!W$2:W$500,MATCH(410,样本到样信息汇总统计!$X$2:$X$500,0)),"")</f>
        <v/>
      </c>
    </row>
    <row r="412" ht="14.5" spans="1:23">
      <c r="A412" s="4" t="str">
        <f>IFERROR(INDEX(样本到样信息汇总统计!A$2:A$500,MATCH(411,样本到样信息汇总统计!$X$2:$X$500,0)),"")</f>
        <v/>
      </c>
      <c r="B412" s="4" t="str">
        <f>IFERROR(INDEX(样本到样信息汇总统计!B$2:B$500,MATCH(411,样本到样信息汇总统计!$X$2:$X$500,0)),"")</f>
        <v/>
      </c>
      <c r="C412" s="4" t="str">
        <f>IFERROR(INDEX(样本到样信息汇总统计!C$2:C$500,MATCH(411,样本到样信息汇总统计!$X$2:$X$500,0)),"")</f>
        <v/>
      </c>
      <c r="D412" s="4" t="str">
        <f>IFERROR(INDEX(样本到样信息汇总统计!D$2:D$500,MATCH(411,样本到样信息汇总统计!$X$2:$X$500,0)),"")</f>
        <v/>
      </c>
      <c r="E412" s="4" t="str">
        <f>IFERROR(INDEX(样本到样信息汇总统计!E$2:E$500,MATCH(411,样本到样信息汇总统计!$X$2:$X$500,0)),"")</f>
        <v/>
      </c>
      <c r="F412" s="4" t="str">
        <f>IFERROR(INDEX(样本到样信息汇总统计!F$2:F$500,MATCH(411,样本到样信息汇总统计!$X$2:$X$500,0)),"")</f>
        <v/>
      </c>
      <c r="G412" s="4" t="str">
        <f>IFERROR(INDEX(样本到样信息汇总统计!G$2:G$500,MATCH(411,样本到样信息汇总统计!$X$2:$X$500,0)),"")</f>
        <v/>
      </c>
      <c r="H412" s="4" t="str">
        <f>IFERROR(INDEX(样本到样信息汇总统计!H$2:H$500,MATCH(411,样本到样信息汇总统计!$X$2:$X$500,0)),"")</f>
        <v/>
      </c>
      <c r="I412" s="4" t="str">
        <f>IFERROR(INDEX(样本到样信息汇总统计!I$2:I$500,MATCH(411,样本到样信息汇总统计!$X$2:$X$500,0)),"")</f>
        <v/>
      </c>
      <c r="J412" s="4" t="str">
        <f>IFERROR(INDEX(样本到样信息汇总统计!J$2:J$500,MATCH(411,样本到样信息汇总统计!$X$2:$X$500,0)),"")</f>
        <v/>
      </c>
      <c r="K412" s="14" t="str">
        <f>IFERROR(INDEX(样本到样信息汇总统计!K$2:K$500,MATCH(411,样本到样信息汇总统计!$X$2:$X$500,0)),"")</f>
        <v/>
      </c>
      <c r="L412" s="4" t="str">
        <f>IFERROR(INDEX(样本到样信息汇总统计!L$2:L$500,MATCH(411,样本到样信息汇总统计!$X$2:$X$500,0)),"")</f>
        <v/>
      </c>
      <c r="M412" s="4" t="str">
        <f>IFERROR(INDEX(样本到样信息汇总统计!M$2:M$500,MATCH(411,样本到样信息汇总统计!$X$2:$X$500,0)),"")</f>
        <v/>
      </c>
      <c r="N412" s="4" t="str">
        <f>IFERROR(INDEX(样本到样信息汇总统计!N$2:N$500,MATCH(411,样本到样信息汇总统计!$X$2:$X$500,0)),"")</f>
        <v/>
      </c>
      <c r="O412" s="4" t="str">
        <f>IFERROR(INDEX(样本到样信息汇总统计!O$2:O$500,MATCH(411,样本到样信息汇总统计!$X$2:$X$500,0)),"")</f>
        <v/>
      </c>
      <c r="P412" s="4" t="str">
        <f>IFERROR(INDEX(样本到样信息汇总统计!P$2:P$500,MATCH(411,样本到样信息汇总统计!$X$2:$X$500,0)),"")</f>
        <v/>
      </c>
      <c r="Q412" s="4" t="str">
        <f>IFERROR(INDEX(样本到样信息汇总统计!Q$2:Q$500,MATCH(411,样本到样信息汇总统计!$X$2:$X$500,0)),"")</f>
        <v/>
      </c>
      <c r="R412" s="4" t="str">
        <f>IFERROR(INDEX(样本到样信息汇总统计!R$2:R$500,MATCH(411,样本到样信息汇总统计!$X$2:$X$500,0)),"")</f>
        <v/>
      </c>
      <c r="S412" s="4" t="str">
        <f>IFERROR(INDEX(样本到样信息汇总统计!S$2:S$500,MATCH(411,样本到样信息汇总统计!$X$2:$X$500,0)),"")</f>
        <v/>
      </c>
      <c r="T412" s="4" t="str">
        <f>IFERROR(INDEX(样本到样信息汇总统计!T$2:T$500,MATCH(411,样本到样信息汇总统计!$X$2:$X$500,0)),"")</f>
        <v/>
      </c>
      <c r="U412" s="4" t="str">
        <f>IFERROR(INDEX(样本到样信息汇总统计!U$2:U$500,MATCH(411,样本到样信息汇总统计!$X$2:$X$500,0)),"")</f>
        <v/>
      </c>
      <c r="V412" s="4" t="str">
        <f>IFERROR(INDEX(样本到样信息汇总统计!V$2:V$500,MATCH(411,样本到样信息汇总统计!$X$2:$X$500,0)),"")</f>
        <v/>
      </c>
      <c r="W412" s="4" t="str">
        <f>IFERROR(INDEX(样本到样信息汇总统计!W$2:W$500,MATCH(411,样本到样信息汇总统计!$X$2:$X$500,0)),"")</f>
        <v/>
      </c>
    </row>
    <row r="413" ht="14.5" spans="1:23">
      <c r="A413" s="8" t="str">
        <f>IFERROR(INDEX(样本到样信息汇总统计!A$2:A$500,MATCH(412,样本到样信息汇总统计!$X$2:$X$500,0)),"")</f>
        <v/>
      </c>
      <c r="B413" s="8" t="str">
        <f>IFERROR(INDEX(样本到样信息汇总统计!B$2:B$500,MATCH(412,样本到样信息汇总统计!$X$2:$X$500,0)),"")</f>
        <v/>
      </c>
      <c r="C413" s="8" t="str">
        <f>IFERROR(INDEX(样本到样信息汇总统计!C$2:C$500,MATCH(412,样本到样信息汇总统计!$X$2:$X$500,0)),"")</f>
        <v/>
      </c>
      <c r="D413" s="8" t="str">
        <f>IFERROR(INDEX(样本到样信息汇总统计!D$2:D$500,MATCH(412,样本到样信息汇总统计!$X$2:$X$500,0)),"")</f>
        <v/>
      </c>
      <c r="E413" s="8" t="str">
        <f>IFERROR(INDEX(样本到样信息汇总统计!E$2:E$500,MATCH(412,样本到样信息汇总统计!$X$2:$X$500,0)),"")</f>
        <v/>
      </c>
      <c r="F413" s="8" t="str">
        <f>IFERROR(INDEX(样本到样信息汇总统计!F$2:F$500,MATCH(412,样本到样信息汇总统计!$X$2:$X$500,0)),"")</f>
        <v/>
      </c>
      <c r="G413" s="8" t="str">
        <f>IFERROR(INDEX(样本到样信息汇总统计!G$2:G$500,MATCH(412,样本到样信息汇总统计!$X$2:$X$500,0)),"")</f>
        <v/>
      </c>
      <c r="H413" s="8" t="str">
        <f>IFERROR(INDEX(样本到样信息汇总统计!H$2:H$500,MATCH(412,样本到样信息汇总统计!$X$2:$X$500,0)),"")</f>
        <v/>
      </c>
      <c r="I413" s="8" t="str">
        <f>IFERROR(INDEX(样本到样信息汇总统计!I$2:I$500,MATCH(412,样本到样信息汇总统计!$X$2:$X$500,0)),"")</f>
        <v/>
      </c>
      <c r="J413" s="8" t="str">
        <f>IFERROR(INDEX(样本到样信息汇总统计!J$2:J$500,MATCH(412,样本到样信息汇总统计!$X$2:$X$500,0)),"")</f>
        <v/>
      </c>
      <c r="K413" s="15" t="str">
        <f>IFERROR(INDEX(样本到样信息汇总统计!K$2:K$500,MATCH(412,样本到样信息汇总统计!$X$2:$X$500,0)),"")</f>
        <v/>
      </c>
      <c r="L413" s="8" t="str">
        <f>IFERROR(INDEX(样本到样信息汇总统计!L$2:L$500,MATCH(412,样本到样信息汇总统计!$X$2:$X$500,0)),"")</f>
        <v/>
      </c>
      <c r="M413" s="8" t="str">
        <f>IFERROR(INDEX(样本到样信息汇总统计!M$2:M$500,MATCH(412,样本到样信息汇总统计!$X$2:$X$500,0)),"")</f>
        <v/>
      </c>
      <c r="N413" s="8" t="str">
        <f>IFERROR(INDEX(样本到样信息汇总统计!N$2:N$500,MATCH(412,样本到样信息汇总统计!$X$2:$X$500,0)),"")</f>
        <v/>
      </c>
      <c r="O413" s="8" t="str">
        <f>IFERROR(INDEX(样本到样信息汇总统计!O$2:O$500,MATCH(412,样本到样信息汇总统计!$X$2:$X$500,0)),"")</f>
        <v/>
      </c>
      <c r="P413" s="8" t="str">
        <f>IFERROR(INDEX(样本到样信息汇总统计!P$2:P$500,MATCH(412,样本到样信息汇总统计!$X$2:$X$500,0)),"")</f>
        <v/>
      </c>
      <c r="Q413" s="8" t="str">
        <f>IFERROR(INDEX(样本到样信息汇总统计!Q$2:Q$500,MATCH(412,样本到样信息汇总统计!$X$2:$X$500,0)),"")</f>
        <v/>
      </c>
      <c r="R413" s="8" t="str">
        <f>IFERROR(INDEX(样本到样信息汇总统计!R$2:R$500,MATCH(412,样本到样信息汇总统计!$X$2:$X$500,0)),"")</f>
        <v/>
      </c>
      <c r="S413" s="8" t="str">
        <f>IFERROR(INDEX(样本到样信息汇总统计!S$2:S$500,MATCH(412,样本到样信息汇总统计!$X$2:$X$500,0)),"")</f>
        <v/>
      </c>
      <c r="T413" s="8" t="str">
        <f>IFERROR(INDEX(样本到样信息汇总统计!T$2:T$500,MATCH(412,样本到样信息汇总统计!$X$2:$X$500,0)),"")</f>
        <v/>
      </c>
      <c r="U413" s="8" t="str">
        <f>IFERROR(INDEX(样本到样信息汇总统计!U$2:U$500,MATCH(412,样本到样信息汇总统计!$X$2:$X$500,0)),"")</f>
        <v/>
      </c>
      <c r="V413" s="8" t="str">
        <f>IFERROR(INDEX(样本到样信息汇总统计!V$2:V$500,MATCH(412,样本到样信息汇总统计!$X$2:$X$500,0)),"")</f>
        <v/>
      </c>
      <c r="W413" s="8" t="str">
        <f>IFERROR(INDEX(样本到样信息汇总统计!W$2:W$500,MATCH(412,样本到样信息汇总统计!$X$2:$X$500,0)),"")</f>
        <v/>
      </c>
    </row>
    <row r="414" ht="14.5" spans="1:23">
      <c r="A414" s="4" t="str">
        <f>IFERROR(INDEX(样本到样信息汇总统计!A$2:A$500,MATCH(413,样本到样信息汇总统计!$X$2:$X$500,0)),"")</f>
        <v/>
      </c>
      <c r="B414" s="4" t="str">
        <f>IFERROR(INDEX(样本到样信息汇总统计!B$2:B$500,MATCH(413,样本到样信息汇总统计!$X$2:$X$500,0)),"")</f>
        <v/>
      </c>
      <c r="C414" s="4" t="str">
        <f>IFERROR(INDEX(样本到样信息汇总统计!C$2:C$500,MATCH(413,样本到样信息汇总统计!$X$2:$X$500,0)),"")</f>
        <v/>
      </c>
      <c r="D414" s="4" t="str">
        <f>IFERROR(INDEX(样本到样信息汇总统计!D$2:D$500,MATCH(413,样本到样信息汇总统计!$X$2:$X$500,0)),"")</f>
        <v/>
      </c>
      <c r="E414" s="4" t="str">
        <f>IFERROR(INDEX(样本到样信息汇总统计!E$2:E$500,MATCH(413,样本到样信息汇总统计!$X$2:$X$500,0)),"")</f>
        <v/>
      </c>
      <c r="F414" s="4" t="str">
        <f>IFERROR(INDEX(样本到样信息汇总统计!F$2:F$500,MATCH(413,样本到样信息汇总统计!$X$2:$X$500,0)),"")</f>
        <v/>
      </c>
      <c r="G414" s="4" t="str">
        <f>IFERROR(INDEX(样本到样信息汇总统计!G$2:G$500,MATCH(413,样本到样信息汇总统计!$X$2:$X$500,0)),"")</f>
        <v/>
      </c>
      <c r="H414" s="4" t="str">
        <f>IFERROR(INDEX(样本到样信息汇总统计!H$2:H$500,MATCH(413,样本到样信息汇总统计!$X$2:$X$500,0)),"")</f>
        <v/>
      </c>
      <c r="I414" s="4" t="str">
        <f>IFERROR(INDEX(样本到样信息汇总统计!I$2:I$500,MATCH(413,样本到样信息汇总统计!$X$2:$X$500,0)),"")</f>
        <v/>
      </c>
      <c r="J414" s="4" t="str">
        <f>IFERROR(INDEX(样本到样信息汇总统计!J$2:J$500,MATCH(413,样本到样信息汇总统计!$X$2:$X$500,0)),"")</f>
        <v/>
      </c>
      <c r="K414" s="14" t="str">
        <f>IFERROR(INDEX(样本到样信息汇总统计!K$2:K$500,MATCH(413,样本到样信息汇总统计!$X$2:$X$500,0)),"")</f>
        <v/>
      </c>
      <c r="L414" s="4" t="str">
        <f>IFERROR(INDEX(样本到样信息汇总统计!L$2:L$500,MATCH(413,样本到样信息汇总统计!$X$2:$X$500,0)),"")</f>
        <v/>
      </c>
      <c r="M414" s="4" t="str">
        <f>IFERROR(INDEX(样本到样信息汇总统计!M$2:M$500,MATCH(413,样本到样信息汇总统计!$X$2:$X$500,0)),"")</f>
        <v/>
      </c>
      <c r="N414" s="4" t="str">
        <f>IFERROR(INDEX(样本到样信息汇总统计!N$2:N$500,MATCH(413,样本到样信息汇总统计!$X$2:$X$500,0)),"")</f>
        <v/>
      </c>
      <c r="O414" s="4" t="str">
        <f>IFERROR(INDEX(样本到样信息汇总统计!O$2:O$500,MATCH(413,样本到样信息汇总统计!$X$2:$X$500,0)),"")</f>
        <v/>
      </c>
      <c r="P414" s="4" t="str">
        <f>IFERROR(INDEX(样本到样信息汇总统计!P$2:P$500,MATCH(413,样本到样信息汇总统计!$X$2:$X$500,0)),"")</f>
        <v/>
      </c>
      <c r="Q414" s="4" t="str">
        <f>IFERROR(INDEX(样本到样信息汇总统计!Q$2:Q$500,MATCH(413,样本到样信息汇总统计!$X$2:$X$500,0)),"")</f>
        <v/>
      </c>
      <c r="R414" s="4" t="str">
        <f>IFERROR(INDEX(样本到样信息汇总统计!R$2:R$500,MATCH(413,样本到样信息汇总统计!$X$2:$X$500,0)),"")</f>
        <v/>
      </c>
      <c r="S414" s="4" t="str">
        <f>IFERROR(INDEX(样本到样信息汇总统计!S$2:S$500,MATCH(413,样本到样信息汇总统计!$X$2:$X$500,0)),"")</f>
        <v/>
      </c>
      <c r="T414" s="4" t="str">
        <f>IFERROR(INDEX(样本到样信息汇总统计!T$2:T$500,MATCH(413,样本到样信息汇总统计!$X$2:$X$500,0)),"")</f>
        <v/>
      </c>
      <c r="U414" s="4" t="str">
        <f>IFERROR(INDEX(样本到样信息汇总统计!U$2:U$500,MATCH(413,样本到样信息汇总统计!$X$2:$X$500,0)),"")</f>
        <v/>
      </c>
      <c r="V414" s="4" t="str">
        <f>IFERROR(INDEX(样本到样信息汇总统计!V$2:V$500,MATCH(413,样本到样信息汇总统计!$X$2:$X$500,0)),"")</f>
        <v/>
      </c>
      <c r="W414" s="4" t="str">
        <f>IFERROR(INDEX(样本到样信息汇总统计!W$2:W$500,MATCH(413,样本到样信息汇总统计!$X$2:$X$500,0)),"")</f>
        <v/>
      </c>
    </row>
    <row r="415" ht="14.5" spans="1:23">
      <c r="A415" s="8" t="str">
        <f>IFERROR(INDEX(样本到样信息汇总统计!A$2:A$500,MATCH(414,样本到样信息汇总统计!$X$2:$X$500,0)),"")</f>
        <v/>
      </c>
      <c r="B415" s="8" t="str">
        <f>IFERROR(INDEX(样本到样信息汇总统计!B$2:B$500,MATCH(414,样本到样信息汇总统计!$X$2:$X$500,0)),"")</f>
        <v/>
      </c>
      <c r="C415" s="8" t="str">
        <f>IFERROR(INDEX(样本到样信息汇总统计!C$2:C$500,MATCH(414,样本到样信息汇总统计!$X$2:$X$500,0)),"")</f>
        <v/>
      </c>
      <c r="D415" s="8" t="str">
        <f>IFERROR(INDEX(样本到样信息汇总统计!D$2:D$500,MATCH(414,样本到样信息汇总统计!$X$2:$X$500,0)),"")</f>
        <v/>
      </c>
      <c r="E415" s="8" t="str">
        <f>IFERROR(INDEX(样本到样信息汇总统计!E$2:E$500,MATCH(414,样本到样信息汇总统计!$X$2:$X$500,0)),"")</f>
        <v/>
      </c>
      <c r="F415" s="8" t="str">
        <f>IFERROR(INDEX(样本到样信息汇总统计!F$2:F$500,MATCH(414,样本到样信息汇总统计!$X$2:$X$500,0)),"")</f>
        <v/>
      </c>
      <c r="G415" s="8" t="str">
        <f>IFERROR(INDEX(样本到样信息汇总统计!G$2:G$500,MATCH(414,样本到样信息汇总统计!$X$2:$X$500,0)),"")</f>
        <v/>
      </c>
      <c r="H415" s="8" t="str">
        <f>IFERROR(INDEX(样本到样信息汇总统计!H$2:H$500,MATCH(414,样本到样信息汇总统计!$X$2:$X$500,0)),"")</f>
        <v/>
      </c>
      <c r="I415" s="8" t="str">
        <f>IFERROR(INDEX(样本到样信息汇总统计!I$2:I$500,MATCH(414,样本到样信息汇总统计!$X$2:$X$500,0)),"")</f>
        <v/>
      </c>
      <c r="J415" s="8" t="str">
        <f>IFERROR(INDEX(样本到样信息汇总统计!J$2:J$500,MATCH(414,样本到样信息汇总统计!$X$2:$X$500,0)),"")</f>
        <v/>
      </c>
      <c r="K415" s="15" t="str">
        <f>IFERROR(INDEX(样本到样信息汇总统计!K$2:K$500,MATCH(414,样本到样信息汇总统计!$X$2:$X$500,0)),"")</f>
        <v/>
      </c>
      <c r="L415" s="8" t="str">
        <f>IFERROR(INDEX(样本到样信息汇总统计!L$2:L$500,MATCH(414,样本到样信息汇总统计!$X$2:$X$500,0)),"")</f>
        <v/>
      </c>
      <c r="M415" s="8" t="str">
        <f>IFERROR(INDEX(样本到样信息汇总统计!M$2:M$500,MATCH(414,样本到样信息汇总统计!$X$2:$X$500,0)),"")</f>
        <v/>
      </c>
      <c r="N415" s="8" t="str">
        <f>IFERROR(INDEX(样本到样信息汇总统计!N$2:N$500,MATCH(414,样本到样信息汇总统计!$X$2:$X$500,0)),"")</f>
        <v/>
      </c>
      <c r="O415" s="8" t="str">
        <f>IFERROR(INDEX(样本到样信息汇总统计!O$2:O$500,MATCH(414,样本到样信息汇总统计!$X$2:$X$500,0)),"")</f>
        <v/>
      </c>
      <c r="P415" s="8" t="str">
        <f>IFERROR(INDEX(样本到样信息汇总统计!P$2:P$500,MATCH(414,样本到样信息汇总统计!$X$2:$X$500,0)),"")</f>
        <v/>
      </c>
      <c r="Q415" s="8" t="str">
        <f>IFERROR(INDEX(样本到样信息汇总统计!Q$2:Q$500,MATCH(414,样本到样信息汇总统计!$X$2:$X$500,0)),"")</f>
        <v/>
      </c>
      <c r="R415" s="8" t="str">
        <f>IFERROR(INDEX(样本到样信息汇总统计!R$2:R$500,MATCH(414,样本到样信息汇总统计!$X$2:$X$500,0)),"")</f>
        <v/>
      </c>
      <c r="S415" s="8" t="str">
        <f>IFERROR(INDEX(样本到样信息汇总统计!S$2:S$500,MATCH(414,样本到样信息汇总统计!$X$2:$X$500,0)),"")</f>
        <v/>
      </c>
      <c r="T415" s="8" t="str">
        <f>IFERROR(INDEX(样本到样信息汇总统计!T$2:T$500,MATCH(414,样本到样信息汇总统计!$X$2:$X$500,0)),"")</f>
        <v/>
      </c>
      <c r="U415" s="8" t="str">
        <f>IFERROR(INDEX(样本到样信息汇总统计!U$2:U$500,MATCH(414,样本到样信息汇总统计!$X$2:$X$500,0)),"")</f>
        <v/>
      </c>
      <c r="V415" s="8" t="str">
        <f>IFERROR(INDEX(样本到样信息汇总统计!V$2:V$500,MATCH(414,样本到样信息汇总统计!$X$2:$X$500,0)),"")</f>
        <v/>
      </c>
      <c r="W415" s="8" t="str">
        <f>IFERROR(INDEX(样本到样信息汇总统计!W$2:W$500,MATCH(414,样本到样信息汇总统计!$X$2:$X$500,0)),"")</f>
        <v/>
      </c>
    </row>
    <row r="416" ht="14.5" spans="1:23">
      <c r="A416" s="4" t="str">
        <f>IFERROR(INDEX(样本到样信息汇总统计!A$2:A$500,MATCH(415,样本到样信息汇总统计!$X$2:$X$500,0)),"")</f>
        <v/>
      </c>
      <c r="B416" s="4" t="str">
        <f>IFERROR(INDEX(样本到样信息汇总统计!B$2:B$500,MATCH(415,样本到样信息汇总统计!$X$2:$X$500,0)),"")</f>
        <v/>
      </c>
      <c r="C416" s="4" t="str">
        <f>IFERROR(INDEX(样本到样信息汇总统计!C$2:C$500,MATCH(415,样本到样信息汇总统计!$X$2:$X$500,0)),"")</f>
        <v/>
      </c>
      <c r="D416" s="4" t="str">
        <f>IFERROR(INDEX(样本到样信息汇总统计!D$2:D$500,MATCH(415,样本到样信息汇总统计!$X$2:$X$500,0)),"")</f>
        <v/>
      </c>
      <c r="E416" s="4" t="str">
        <f>IFERROR(INDEX(样本到样信息汇总统计!E$2:E$500,MATCH(415,样本到样信息汇总统计!$X$2:$X$500,0)),"")</f>
        <v/>
      </c>
      <c r="F416" s="4" t="str">
        <f>IFERROR(INDEX(样本到样信息汇总统计!F$2:F$500,MATCH(415,样本到样信息汇总统计!$X$2:$X$500,0)),"")</f>
        <v/>
      </c>
      <c r="G416" s="4" t="str">
        <f>IFERROR(INDEX(样本到样信息汇总统计!G$2:G$500,MATCH(415,样本到样信息汇总统计!$X$2:$X$500,0)),"")</f>
        <v/>
      </c>
      <c r="H416" s="4" t="str">
        <f>IFERROR(INDEX(样本到样信息汇总统计!H$2:H$500,MATCH(415,样本到样信息汇总统计!$X$2:$X$500,0)),"")</f>
        <v/>
      </c>
      <c r="I416" s="4" t="str">
        <f>IFERROR(INDEX(样本到样信息汇总统计!I$2:I$500,MATCH(415,样本到样信息汇总统计!$X$2:$X$500,0)),"")</f>
        <v/>
      </c>
      <c r="J416" s="4" t="str">
        <f>IFERROR(INDEX(样本到样信息汇总统计!J$2:J$500,MATCH(415,样本到样信息汇总统计!$X$2:$X$500,0)),"")</f>
        <v/>
      </c>
      <c r="K416" s="14" t="str">
        <f>IFERROR(INDEX(样本到样信息汇总统计!K$2:K$500,MATCH(415,样本到样信息汇总统计!$X$2:$X$500,0)),"")</f>
        <v/>
      </c>
      <c r="L416" s="4" t="str">
        <f>IFERROR(INDEX(样本到样信息汇总统计!L$2:L$500,MATCH(415,样本到样信息汇总统计!$X$2:$X$500,0)),"")</f>
        <v/>
      </c>
      <c r="M416" s="4" t="str">
        <f>IFERROR(INDEX(样本到样信息汇总统计!M$2:M$500,MATCH(415,样本到样信息汇总统计!$X$2:$X$500,0)),"")</f>
        <v/>
      </c>
      <c r="N416" s="4" t="str">
        <f>IFERROR(INDEX(样本到样信息汇总统计!N$2:N$500,MATCH(415,样本到样信息汇总统计!$X$2:$X$500,0)),"")</f>
        <v/>
      </c>
      <c r="O416" s="4" t="str">
        <f>IFERROR(INDEX(样本到样信息汇总统计!O$2:O$500,MATCH(415,样本到样信息汇总统计!$X$2:$X$500,0)),"")</f>
        <v/>
      </c>
      <c r="P416" s="4" t="str">
        <f>IFERROR(INDEX(样本到样信息汇总统计!P$2:P$500,MATCH(415,样本到样信息汇总统计!$X$2:$X$500,0)),"")</f>
        <v/>
      </c>
      <c r="Q416" s="4" t="str">
        <f>IFERROR(INDEX(样本到样信息汇总统计!Q$2:Q$500,MATCH(415,样本到样信息汇总统计!$X$2:$X$500,0)),"")</f>
        <v/>
      </c>
      <c r="R416" s="4" t="str">
        <f>IFERROR(INDEX(样本到样信息汇总统计!R$2:R$500,MATCH(415,样本到样信息汇总统计!$X$2:$X$500,0)),"")</f>
        <v/>
      </c>
      <c r="S416" s="4" t="str">
        <f>IFERROR(INDEX(样本到样信息汇总统计!S$2:S$500,MATCH(415,样本到样信息汇总统计!$X$2:$X$500,0)),"")</f>
        <v/>
      </c>
      <c r="T416" s="4" t="str">
        <f>IFERROR(INDEX(样本到样信息汇总统计!T$2:T$500,MATCH(415,样本到样信息汇总统计!$X$2:$X$500,0)),"")</f>
        <v/>
      </c>
      <c r="U416" s="4" t="str">
        <f>IFERROR(INDEX(样本到样信息汇总统计!U$2:U$500,MATCH(415,样本到样信息汇总统计!$X$2:$X$500,0)),"")</f>
        <v/>
      </c>
      <c r="V416" s="4" t="str">
        <f>IFERROR(INDEX(样本到样信息汇总统计!V$2:V$500,MATCH(415,样本到样信息汇总统计!$X$2:$X$500,0)),"")</f>
        <v/>
      </c>
      <c r="W416" s="4" t="str">
        <f>IFERROR(INDEX(样本到样信息汇总统计!W$2:W$500,MATCH(415,样本到样信息汇总统计!$X$2:$X$500,0)),"")</f>
        <v/>
      </c>
    </row>
    <row r="417" ht="14.5" spans="1:23">
      <c r="A417" s="8" t="str">
        <f>IFERROR(INDEX(样本到样信息汇总统计!A$2:A$500,MATCH(416,样本到样信息汇总统计!$X$2:$X$500,0)),"")</f>
        <v/>
      </c>
      <c r="B417" s="8" t="str">
        <f>IFERROR(INDEX(样本到样信息汇总统计!B$2:B$500,MATCH(416,样本到样信息汇总统计!$X$2:$X$500,0)),"")</f>
        <v/>
      </c>
      <c r="C417" s="8" t="str">
        <f>IFERROR(INDEX(样本到样信息汇总统计!C$2:C$500,MATCH(416,样本到样信息汇总统计!$X$2:$X$500,0)),"")</f>
        <v/>
      </c>
      <c r="D417" s="8" t="str">
        <f>IFERROR(INDEX(样本到样信息汇总统计!D$2:D$500,MATCH(416,样本到样信息汇总统计!$X$2:$X$500,0)),"")</f>
        <v/>
      </c>
      <c r="E417" s="8" t="str">
        <f>IFERROR(INDEX(样本到样信息汇总统计!E$2:E$500,MATCH(416,样本到样信息汇总统计!$X$2:$X$500,0)),"")</f>
        <v/>
      </c>
      <c r="F417" s="8" t="str">
        <f>IFERROR(INDEX(样本到样信息汇总统计!F$2:F$500,MATCH(416,样本到样信息汇总统计!$X$2:$X$500,0)),"")</f>
        <v/>
      </c>
      <c r="G417" s="8" t="str">
        <f>IFERROR(INDEX(样本到样信息汇总统计!G$2:G$500,MATCH(416,样本到样信息汇总统计!$X$2:$X$500,0)),"")</f>
        <v/>
      </c>
      <c r="H417" s="8" t="str">
        <f>IFERROR(INDEX(样本到样信息汇总统计!H$2:H$500,MATCH(416,样本到样信息汇总统计!$X$2:$X$500,0)),"")</f>
        <v/>
      </c>
      <c r="I417" s="8" t="str">
        <f>IFERROR(INDEX(样本到样信息汇总统计!I$2:I$500,MATCH(416,样本到样信息汇总统计!$X$2:$X$500,0)),"")</f>
        <v/>
      </c>
      <c r="J417" s="8" t="str">
        <f>IFERROR(INDEX(样本到样信息汇总统计!J$2:J$500,MATCH(416,样本到样信息汇总统计!$X$2:$X$500,0)),"")</f>
        <v/>
      </c>
      <c r="K417" s="15" t="str">
        <f>IFERROR(INDEX(样本到样信息汇总统计!K$2:K$500,MATCH(416,样本到样信息汇总统计!$X$2:$X$500,0)),"")</f>
        <v/>
      </c>
      <c r="L417" s="8" t="str">
        <f>IFERROR(INDEX(样本到样信息汇总统计!L$2:L$500,MATCH(416,样本到样信息汇总统计!$X$2:$X$500,0)),"")</f>
        <v/>
      </c>
      <c r="M417" s="8" t="str">
        <f>IFERROR(INDEX(样本到样信息汇总统计!M$2:M$500,MATCH(416,样本到样信息汇总统计!$X$2:$X$500,0)),"")</f>
        <v/>
      </c>
      <c r="N417" s="8" t="str">
        <f>IFERROR(INDEX(样本到样信息汇总统计!N$2:N$500,MATCH(416,样本到样信息汇总统计!$X$2:$X$500,0)),"")</f>
        <v/>
      </c>
      <c r="O417" s="8" t="str">
        <f>IFERROR(INDEX(样本到样信息汇总统计!O$2:O$500,MATCH(416,样本到样信息汇总统计!$X$2:$X$500,0)),"")</f>
        <v/>
      </c>
      <c r="P417" s="8" t="str">
        <f>IFERROR(INDEX(样本到样信息汇总统计!P$2:P$500,MATCH(416,样本到样信息汇总统计!$X$2:$X$500,0)),"")</f>
        <v/>
      </c>
      <c r="Q417" s="8" t="str">
        <f>IFERROR(INDEX(样本到样信息汇总统计!Q$2:Q$500,MATCH(416,样本到样信息汇总统计!$X$2:$X$500,0)),"")</f>
        <v/>
      </c>
      <c r="R417" s="8" t="str">
        <f>IFERROR(INDEX(样本到样信息汇总统计!R$2:R$500,MATCH(416,样本到样信息汇总统计!$X$2:$X$500,0)),"")</f>
        <v/>
      </c>
      <c r="S417" s="8" t="str">
        <f>IFERROR(INDEX(样本到样信息汇总统计!S$2:S$500,MATCH(416,样本到样信息汇总统计!$X$2:$X$500,0)),"")</f>
        <v/>
      </c>
      <c r="T417" s="8" t="str">
        <f>IFERROR(INDEX(样本到样信息汇总统计!T$2:T$500,MATCH(416,样本到样信息汇总统计!$X$2:$X$500,0)),"")</f>
        <v/>
      </c>
      <c r="U417" s="8" t="str">
        <f>IFERROR(INDEX(样本到样信息汇总统计!U$2:U$500,MATCH(416,样本到样信息汇总统计!$X$2:$X$500,0)),"")</f>
        <v/>
      </c>
      <c r="V417" s="8" t="str">
        <f>IFERROR(INDEX(样本到样信息汇总统计!V$2:V$500,MATCH(416,样本到样信息汇总统计!$X$2:$X$500,0)),"")</f>
        <v/>
      </c>
      <c r="W417" s="8" t="str">
        <f>IFERROR(INDEX(样本到样信息汇总统计!W$2:W$500,MATCH(416,样本到样信息汇总统计!$X$2:$X$500,0)),"")</f>
        <v/>
      </c>
    </row>
    <row r="418" ht="14.5" spans="1:23">
      <c r="A418" s="4" t="str">
        <f>IFERROR(INDEX(样本到样信息汇总统计!A$2:A$500,MATCH(417,样本到样信息汇总统计!$X$2:$X$500,0)),"")</f>
        <v/>
      </c>
      <c r="B418" s="4" t="str">
        <f>IFERROR(INDEX(样本到样信息汇总统计!B$2:B$500,MATCH(417,样本到样信息汇总统计!$X$2:$X$500,0)),"")</f>
        <v/>
      </c>
      <c r="C418" s="4" t="str">
        <f>IFERROR(INDEX(样本到样信息汇总统计!C$2:C$500,MATCH(417,样本到样信息汇总统计!$X$2:$X$500,0)),"")</f>
        <v/>
      </c>
      <c r="D418" s="4" t="str">
        <f>IFERROR(INDEX(样本到样信息汇总统计!D$2:D$500,MATCH(417,样本到样信息汇总统计!$X$2:$X$500,0)),"")</f>
        <v/>
      </c>
      <c r="E418" s="4" t="str">
        <f>IFERROR(INDEX(样本到样信息汇总统计!E$2:E$500,MATCH(417,样本到样信息汇总统计!$X$2:$X$500,0)),"")</f>
        <v/>
      </c>
      <c r="F418" s="4" t="str">
        <f>IFERROR(INDEX(样本到样信息汇总统计!F$2:F$500,MATCH(417,样本到样信息汇总统计!$X$2:$X$500,0)),"")</f>
        <v/>
      </c>
      <c r="G418" s="4" t="str">
        <f>IFERROR(INDEX(样本到样信息汇总统计!G$2:G$500,MATCH(417,样本到样信息汇总统计!$X$2:$X$500,0)),"")</f>
        <v/>
      </c>
      <c r="H418" s="4" t="str">
        <f>IFERROR(INDEX(样本到样信息汇总统计!H$2:H$500,MATCH(417,样本到样信息汇总统计!$X$2:$X$500,0)),"")</f>
        <v/>
      </c>
      <c r="I418" s="4" t="str">
        <f>IFERROR(INDEX(样本到样信息汇总统计!I$2:I$500,MATCH(417,样本到样信息汇总统计!$X$2:$X$500,0)),"")</f>
        <v/>
      </c>
      <c r="J418" s="4" t="str">
        <f>IFERROR(INDEX(样本到样信息汇总统计!J$2:J$500,MATCH(417,样本到样信息汇总统计!$X$2:$X$500,0)),"")</f>
        <v/>
      </c>
      <c r="K418" s="14" t="str">
        <f>IFERROR(INDEX(样本到样信息汇总统计!K$2:K$500,MATCH(417,样本到样信息汇总统计!$X$2:$X$500,0)),"")</f>
        <v/>
      </c>
      <c r="L418" s="4" t="str">
        <f>IFERROR(INDEX(样本到样信息汇总统计!L$2:L$500,MATCH(417,样本到样信息汇总统计!$X$2:$X$500,0)),"")</f>
        <v/>
      </c>
      <c r="M418" s="4" t="str">
        <f>IFERROR(INDEX(样本到样信息汇总统计!M$2:M$500,MATCH(417,样本到样信息汇总统计!$X$2:$X$500,0)),"")</f>
        <v/>
      </c>
      <c r="N418" s="4" t="str">
        <f>IFERROR(INDEX(样本到样信息汇总统计!N$2:N$500,MATCH(417,样本到样信息汇总统计!$X$2:$X$500,0)),"")</f>
        <v/>
      </c>
      <c r="O418" s="4" t="str">
        <f>IFERROR(INDEX(样本到样信息汇总统计!O$2:O$500,MATCH(417,样本到样信息汇总统计!$X$2:$X$500,0)),"")</f>
        <v/>
      </c>
      <c r="P418" s="4" t="str">
        <f>IFERROR(INDEX(样本到样信息汇总统计!P$2:P$500,MATCH(417,样本到样信息汇总统计!$X$2:$X$500,0)),"")</f>
        <v/>
      </c>
      <c r="Q418" s="4" t="str">
        <f>IFERROR(INDEX(样本到样信息汇总统计!Q$2:Q$500,MATCH(417,样本到样信息汇总统计!$X$2:$X$500,0)),"")</f>
        <v/>
      </c>
      <c r="R418" s="4" t="str">
        <f>IFERROR(INDEX(样本到样信息汇总统计!R$2:R$500,MATCH(417,样本到样信息汇总统计!$X$2:$X$500,0)),"")</f>
        <v/>
      </c>
      <c r="S418" s="4" t="str">
        <f>IFERROR(INDEX(样本到样信息汇总统计!S$2:S$500,MATCH(417,样本到样信息汇总统计!$X$2:$X$500,0)),"")</f>
        <v/>
      </c>
      <c r="T418" s="4" t="str">
        <f>IFERROR(INDEX(样本到样信息汇总统计!T$2:T$500,MATCH(417,样本到样信息汇总统计!$X$2:$X$500,0)),"")</f>
        <v/>
      </c>
      <c r="U418" s="4" t="str">
        <f>IFERROR(INDEX(样本到样信息汇总统计!U$2:U$500,MATCH(417,样本到样信息汇总统计!$X$2:$X$500,0)),"")</f>
        <v/>
      </c>
      <c r="V418" s="4" t="str">
        <f>IFERROR(INDEX(样本到样信息汇总统计!V$2:V$500,MATCH(417,样本到样信息汇总统计!$X$2:$X$500,0)),"")</f>
        <v/>
      </c>
      <c r="W418" s="4" t="str">
        <f>IFERROR(INDEX(样本到样信息汇总统计!W$2:W$500,MATCH(417,样本到样信息汇总统计!$X$2:$X$500,0)),"")</f>
        <v/>
      </c>
    </row>
    <row r="419" ht="14.5" spans="1:23">
      <c r="A419" s="8" t="str">
        <f>IFERROR(INDEX(样本到样信息汇总统计!A$2:A$500,MATCH(418,样本到样信息汇总统计!$X$2:$X$500,0)),"")</f>
        <v/>
      </c>
      <c r="B419" s="8" t="str">
        <f>IFERROR(INDEX(样本到样信息汇总统计!B$2:B$500,MATCH(418,样本到样信息汇总统计!$X$2:$X$500,0)),"")</f>
        <v/>
      </c>
      <c r="C419" s="8" t="str">
        <f>IFERROR(INDEX(样本到样信息汇总统计!C$2:C$500,MATCH(418,样本到样信息汇总统计!$X$2:$X$500,0)),"")</f>
        <v/>
      </c>
      <c r="D419" s="8" t="str">
        <f>IFERROR(INDEX(样本到样信息汇总统计!D$2:D$500,MATCH(418,样本到样信息汇总统计!$X$2:$X$500,0)),"")</f>
        <v/>
      </c>
      <c r="E419" s="8" t="str">
        <f>IFERROR(INDEX(样本到样信息汇总统计!E$2:E$500,MATCH(418,样本到样信息汇总统计!$X$2:$X$500,0)),"")</f>
        <v/>
      </c>
      <c r="F419" s="8" t="str">
        <f>IFERROR(INDEX(样本到样信息汇总统计!F$2:F$500,MATCH(418,样本到样信息汇总统计!$X$2:$X$500,0)),"")</f>
        <v/>
      </c>
      <c r="G419" s="8" t="str">
        <f>IFERROR(INDEX(样本到样信息汇总统计!G$2:G$500,MATCH(418,样本到样信息汇总统计!$X$2:$X$500,0)),"")</f>
        <v/>
      </c>
      <c r="H419" s="8" t="str">
        <f>IFERROR(INDEX(样本到样信息汇总统计!H$2:H$500,MATCH(418,样本到样信息汇总统计!$X$2:$X$500,0)),"")</f>
        <v/>
      </c>
      <c r="I419" s="8" t="str">
        <f>IFERROR(INDEX(样本到样信息汇总统计!I$2:I$500,MATCH(418,样本到样信息汇总统计!$X$2:$X$500,0)),"")</f>
        <v/>
      </c>
      <c r="J419" s="8" t="str">
        <f>IFERROR(INDEX(样本到样信息汇总统计!J$2:J$500,MATCH(418,样本到样信息汇总统计!$X$2:$X$500,0)),"")</f>
        <v/>
      </c>
      <c r="K419" s="15" t="str">
        <f>IFERROR(INDEX(样本到样信息汇总统计!K$2:K$500,MATCH(418,样本到样信息汇总统计!$X$2:$X$500,0)),"")</f>
        <v/>
      </c>
      <c r="L419" s="8" t="str">
        <f>IFERROR(INDEX(样本到样信息汇总统计!L$2:L$500,MATCH(418,样本到样信息汇总统计!$X$2:$X$500,0)),"")</f>
        <v/>
      </c>
      <c r="M419" s="8" t="str">
        <f>IFERROR(INDEX(样本到样信息汇总统计!M$2:M$500,MATCH(418,样本到样信息汇总统计!$X$2:$X$500,0)),"")</f>
        <v/>
      </c>
      <c r="N419" s="8" t="str">
        <f>IFERROR(INDEX(样本到样信息汇总统计!N$2:N$500,MATCH(418,样本到样信息汇总统计!$X$2:$X$500,0)),"")</f>
        <v/>
      </c>
      <c r="O419" s="8" t="str">
        <f>IFERROR(INDEX(样本到样信息汇总统计!O$2:O$500,MATCH(418,样本到样信息汇总统计!$X$2:$X$500,0)),"")</f>
        <v/>
      </c>
      <c r="P419" s="8" t="str">
        <f>IFERROR(INDEX(样本到样信息汇总统计!P$2:P$500,MATCH(418,样本到样信息汇总统计!$X$2:$X$500,0)),"")</f>
        <v/>
      </c>
      <c r="Q419" s="8" t="str">
        <f>IFERROR(INDEX(样本到样信息汇总统计!Q$2:Q$500,MATCH(418,样本到样信息汇总统计!$X$2:$X$500,0)),"")</f>
        <v/>
      </c>
      <c r="R419" s="8" t="str">
        <f>IFERROR(INDEX(样本到样信息汇总统计!R$2:R$500,MATCH(418,样本到样信息汇总统计!$X$2:$X$500,0)),"")</f>
        <v/>
      </c>
      <c r="S419" s="8" t="str">
        <f>IFERROR(INDEX(样本到样信息汇总统计!S$2:S$500,MATCH(418,样本到样信息汇总统计!$X$2:$X$500,0)),"")</f>
        <v/>
      </c>
      <c r="T419" s="8" t="str">
        <f>IFERROR(INDEX(样本到样信息汇总统计!T$2:T$500,MATCH(418,样本到样信息汇总统计!$X$2:$X$500,0)),"")</f>
        <v/>
      </c>
      <c r="U419" s="8" t="str">
        <f>IFERROR(INDEX(样本到样信息汇总统计!U$2:U$500,MATCH(418,样本到样信息汇总统计!$X$2:$X$500,0)),"")</f>
        <v/>
      </c>
      <c r="V419" s="8" t="str">
        <f>IFERROR(INDEX(样本到样信息汇总统计!V$2:V$500,MATCH(418,样本到样信息汇总统计!$X$2:$X$500,0)),"")</f>
        <v/>
      </c>
      <c r="W419" s="8" t="str">
        <f>IFERROR(INDEX(样本到样信息汇总统计!W$2:W$500,MATCH(418,样本到样信息汇总统计!$X$2:$X$500,0)),"")</f>
        <v/>
      </c>
    </row>
    <row r="420" ht="14.5" spans="1:23">
      <c r="A420" s="4" t="str">
        <f>IFERROR(INDEX(样本到样信息汇总统计!A$2:A$500,MATCH(419,样本到样信息汇总统计!$X$2:$X$500,0)),"")</f>
        <v/>
      </c>
      <c r="B420" s="4" t="str">
        <f>IFERROR(INDEX(样本到样信息汇总统计!B$2:B$500,MATCH(419,样本到样信息汇总统计!$X$2:$X$500,0)),"")</f>
        <v/>
      </c>
      <c r="C420" s="4" t="str">
        <f>IFERROR(INDEX(样本到样信息汇总统计!C$2:C$500,MATCH(419,样本到样信息汇总统计!$X$2:$X$500,0)),"")</f>
        <v/>
      </c>
      <c r="D420" s="4" t="str">
        <f>IFERROR(INDEX(样本到样信息汇总统计!D$2:D$500,MATCH(419,样本到样信息汇总统计!$X$2:$X$500,0)),"")</f>
        <v/>
      </c>
      <c r="E420" s="4" t="str">
        <f>IFERROR(INDEX(样本到样信息汇总统计!E$2:E$500,MATCH(419,样本到样信息汇总统计!$X$2:$X$500,0)),"")</f>
        <v/>
      </c>
      <c r="F420" s="4" t="str">
        <f>IFERROR(INDEX(样本到样信息汇总统计!F$2:F$500,MATCH(419,样本到样信息汇总统计!$X$2:$X$500,0)),"")</f>
        <v/>
      </c>
      <c r="G420" s="4" t="str">
        <f>IFERROR(INDEX(样本到样信息汇总统计!G$2:G$500,MATCH(419,样本到样信息汇总统计!$X$2:$X$500,0)),"")</f>
        <v/>
      </c>
      <c r="H420" s="4" t="str">
        <f>IFERROR(INDEX(样本到样信息汇总统计!H$2:H$500,MATCH(419,样本到样信息汇总统计!$X$2:$X$500,0)),"")</f>
        <v/>
      </c>
      <c r="I420" s="4" t="str">
        <f>IFERROR(INDEX(样本到样信息汇总统计!I$2:I$500,MATCH(419,样本到样信息汇总统计!$X$2:$X$500,0)),"")</f>
        <v/>
      </c>
      <c r="J420" s="4" t="str">
        <f>IFERROR(INDEX(样本到样信息汇总统计!J$2:J$500,MATCH(419,样本到样信息汇总统计!$X$2:$X$500,0)),"")</f>
        <v/>
      </c>
      <c r="K420" s="14" t="str">
        <f>IFERROR(INDEX(样本到样信息汇总统计!K$2:K$500,MATCH(419,样本到样信息汇总统计!$X$2:$X$500,0)),"")</f>
        <v/>
      </c>
      <c r="L420" s="4" t="str">
        <f>IFERROR(INDEX(样本到样信息汇总统计!L$2:L$500,MATCH(419,样本到样信息汇总统计!$X$2:$X$500,0)),"")</f>
        <v/>
      </c>
      <c r="M420" s="4" t="str">
        <f>IFERROR(INDEX(样本到样信息汇总统计!M$2:M$500,MATCH(419,样本到样信息汇总统计!$X$2:$X$500,0)),"")</f>
        <v/>
      </c>
      <c r="N420" s="4" t="str">
        <f>IFERROR(INDEX(样本到样信息汇总统计!N$2:N$500,MATCH(419,样本到样信息汇总统计!$X$2:$X$500,0)),"")</f>
        <v/>
      </c>
      <c r="O420" s="4" t="str">
        <f>IFERROR(INDEX(样本到样信息汇总统计!O$2:O$500,MATCH(419,样本到样信息汇总统计!$X$2:$X$500,0)),"")</f>
        <v/>
      </c>
      <c r="P420" s="4" t="str">
        <f>IFERROR(INDEX(样本到样信息汇总统计!P$2:P$500,MATCH(419,样本到样信息汇总统计!$X$2:$X$500,0)),"")</f>
        <v/>
      </c>
      <c r="Q420" s="4" t="str">
        <f>IFERROR(INDEX(样本到样信息汇总统计!Q$2:Q$500,MATCH(419,样本到样信息汇总统计!$X$2:$X$500,0)),"")</f>
        <v/>
      </c>
      <c r="R420" s="4" t="str">
        <f>IFERROR(INDEX(样本到样信息汇总统计!R$2:R$500,MATCH(419,样本到样信息汇总统计!$X$2:$X$500,0)),"")</f>
        <v/>
      </c>
      <c r="S420" s="4" t="str">
        <f>IFERROR(INDEX(样本到样信息汇总统计!S$2:S$500,MATCH(419,样本到样信息汇总统计!$X$2:$X$500,0)),"")</f>
        <v/>
      </c>
      <c r="T420" s="4" t="str">
        <f>IFERROR(INDEX(样本到样信息汇总统计!T$2:T$500,MATCH(419,样本到样信息汇总统计!$X$2:$X$500,0)),"")</f>
        <v/>
      </c>
      <c r="U420" s="4" t="str">
        <f>IFERROR(INDEX(样本到样信息汇总统计!U$2:U$500,MATCH(419,样本到样信息汇总统计!$X$2:$X$500,0)),"")</f>
        <v/>
      </c>
      <c r="V420" s="4" t="str">
        <f>IFERROR(INDEX(样本到样信息汇总统计!V$2:V$500,MATCH(419,样本到样信息汇总统计!$X$2:$X$500,0)),"")</f>
        <v/>
      </c>
      <c r="W420" s="4" t="str">
        <f>IFERROR(INDEX(样本到样信息汇总统计!W$2:W$500,MATCH(419,样本到样信息汇总统计!$X$2:$X$500,0)),"")</f>
        <v/>
      </c>
    </row>
    <row r="421" ht="14.5" spans="1:23">
      <c r="A421" s="8" t="str">
        <f>IFERROR(INDEX(样本到样信息汇总统计!A$2:A$500,MATCH(420,样本到样信息汇总统计!$X$2:$X$500,0)),"")</f>
        <v/>
      </c>
      <c r="B421" s="8" t="str">
        <f>IFERROR(INDEX(样本到样信息汇总统计!B$2:B$500,MATCH(420,样本到样信息汇总统计!$X$2:$X$500,0)),"")</f>
        <v/>
      </c>
      <c r="C421" s="8" t="str">
        <f>IFERROR(INDEX(样本到样信息汇总统计!C$2:C$500,MATCH(420,样本到样信息汇总统计!$X$2:$X$500,0)),"")</f>
        <v/>
      </c>
      <c r="D421" s="8" t="str">
        <f>IFERROR(INDEX(样本到样信息汇总统计!D$2:D$500,MATCH(420,样本到样信息汇总统计!$X$2:$X$500,0)),"")</f>
        <v/>
      </c>
      <c r="E421" s="8" t="str">
        <f>IFERROR(INDEX(样本到样信息汇总统计!E$2:E$500,MATCH(420,样本到样信息汇总统计!$X$2:$X$500,0)),"")</f>
        <v/>
      </c>
      <c r="F421" s="8" t="str">
        <f>IFERROR(INDEX(样本到样信息汇总统计!F$2:F$500,MATCH(420,样本到样信息汇总统计!$X$2:$X$500,0)),"")</f>
        <v/>
      </c>
      <c r="G421" s="8" t="str">
        <f>IFERROR(INDEX(样本到样信息汇总统计!G$2:G$500,MATCH(420,样本到样信息汇总统计!$X$2:$X$500,0)),"")</f>
        <v/>
      </c>
      <c r="H421" s="8" t="str">
        <f>IFERROR(INDEX(样本到样信息汇总统计!H$2:H$500,MATCH(420,样本到样信息汇总统计!$X$2:$X$500,0)),"")</f>
        <v/>
      </c>
      <c r="I421" s="8" t="str">
        <f>IFERROR(INDEX(样本到样信息汇总统计!I$2:I$500,MATCH(420,样本到样信息汇总统计!$X$2:$X$500,0)),"")</f>
        <v/>
      </c>
      <c r="J421" s="8" t="str">
        <f>IFERROR(INDEX(样本到样信息汇总统计!J$2:J$500,MATCH(420,样本到样信息汇总统计!$X$2:$X$500,0)),"")</f>
        <v/>
      </c>
      <c r="K421" s="15" t="str">
        <f>IFERROR(INDEX(样本到样信息汇总统计!K$2:K$500,MATCH(420,样本到样信息汇总统计!$X$2:$X$500,0)),"")</f>
        <v/>
      </c>
      <c r="L421" s="8" t="str">
        <f>IFERROR(INDEX(样本到样信息汇总统计!L$2:L$500,MATCH(420,样本到样信息汇总统计!$X$2:$X$500,0)),"")</f>
        <v/>
      </c>
      <c r="M421" s="8" t="str">
        <f>IFERROR(INDEX(样本到样信息汇总统计!M$2:M$500,MATCH(420,样本到样信息汇总统计!$X$2:$X$500,0)),"")</f>
        <v/>
      </c>
      <c r="N421" s="8" t="str">
        <f>IFERROR(INDEX(样本到样信息汇总统计!N$2:N$500,MATCH(420,样本到样信息汇总统计!$X$2:$X$500,0)),"")</f>
        <v/>
      </c>
      <c r="O421" s="8" t="str">
        <f>IFERROR(INDEX(样本到样信息汇总统计!O$2:O$500,MATCH(420,样本到样信息汇总统计!$X$2:$X$500,0)),"")</f>
        <v/>
      </c>
      <c r="P421" s="8" t="str">
        <f>IFERROR(INDEX(样本到样信息汇总统计!P$2:P$500,MATCH(420,样本到样信息汇总统计!$X$2:$X$500,0)),"")</f>
        <v/>
      </c>
      <c r="Q421" s="8" t="str">
        <f>IFERROR(INDEX(样本到样信息汇总统计!Q$2:Q$500,MATCH(420,样本到样信息汇总统计!$X$2:$X$500,0)),"")</f>
        <v/>
      </c>
      <c r="R421" s="8" t="str">
        <f>IFERROR(INDEX(样本到样信息汇总统计!R$2:R$500,MATCH(420,样本到样信息汇总统计!$X$2:$X$500,0)),"")</f>
        <v/>
      </c>
      <c r="S421" s="8" t="str">
        <f>IFERROR(INDEX(样本到样信息汇总统计!S$2:S$500,MATCH(420,样本到样信息汇总统计!$X$2:$X$500,0)),"")</f>
        <v/>
      </c>
      <c r="T421" s="8" t="str">
        <f>IFERROR(INDEX(样本到样信息汇总统计!T$2:T$500,MATCH(420,样本到样信息汇总统计!$X$2:$X$500,0)),"")</f>
        <v/>
      </c>
      <c r="U421" s="8" t="str">
        <f>IFERROR(INDEX(样本到样信息汇总统计!U$2:U$500,MATCH(420,样本到样信息汇总统计!$X$2:$X$500,0)),"")</f>
        <v/>
      </c>
      <c r="V421" s="8" t="str">
        <f>IFERROR(INDEX(样本到样信息汇总统计!V$2:V$500,MATCH(420,样本到样信息汇总统计!$X$2:$X$500,0)),"")</f>
        <v/>
      </c>
      <c r="W421" s="8" t="str">
        <f>IFERROR(INDEX(样本到样信息汇总统计!W$2:W$500,MATCH(420,样本到样信息汇总统计!$X$2:$X$500,0)),"")</f>
        <v/>
      </c>
    </row>
    <row r="422" ht="14.5" spans="1:23">
      <c r="A422" s="4" t="str">
        <f>IFERROR(INDEX(样本到样信息汇总统计!A$2:A$500,MATCH(421,样本到样信息汇总统计!$X$2:$X$500,0)),"")</f>
        <v/>
      </c>
      <c r="B422" s="4" t="str">
        <f>IFERROR(INDEX(样本到样信息汇总统计!B$2:B$500,MATCH(421,样本到样信息汇总统计!$X$2:$X$500,0)),"")</f>
        <v/>
      </c>
      <c r="C422" s="4" t="str">
        <f>IFERROR(INDEX(样本到样信息汇总统计!C$2:C$500,MATCH(421,样本到样信息汇总统计!$X$2:$X$500,0)),"")</f>
        <v/>
      </c>
      <c r="D422" s="4" t="str">
        <f>IFERROR(INDEX(样本到样信息汇总统计!D$2:D$500,MATCH(421,样本到样信息汇总统计!$X$2:$X$500,0)),"")</f>
        <v/>
      </c>
      <c r="E422" s="4" t="str">
        <f>IFERROR(INDEX(样本到样信息汇总统计!E$2:E$500,MATCH(421,样本到样信息汇总统计!$X$2:$X$500,0)),"")</f>
        <v/>
      </c>
      <c r="F422" s="4" t="str">
        <f>IFERROR(INDEX(样本到样信息汇总统计!F$2:F$500,MATCH(421,样本到样信息汇总统计!$X$2:$X$500,0)),"")</f>
        <v/>
      </c>
      <c r="G422" s="4" t="str">
        <f>IFERROR(INDEX(样本到样信息汇总统计!G$2:G$500,MATCH(421,样本到样信息汇总统计!$X$2:$X$500,0)),"")</f>
        <v/>
      </c>
      <c r="H422" s="4" t="str">
        <f>IFERROR(INDEX(样本到样信息汇总统计!H$2:H$500,MATCH(421,样本到样信息汇总统计!$X$2:$X$500,0)),"")</f>
        <v/>
      </c>
      <c r="I422" s="4" t="str">
        <f>IFERROR(INDEX(样本到样信息汇总统计!I$2:I$500,MATCH(421,样本到样信息汇总统计!$X$2:$X$500,0)),"")</f>
        <v/>
      </c>
      <c r="J422" s="4" t="str">
        <f>IFERROR(INDEX(样本到样信息汇总统计!J$2:J$500,MATCH(421,样本到样信息汇总统计!$X$2:$X$500,0)),"")</f>
        <v/>
      </c>
      <c r="K422" s="14" t="str">
        <f>IFERROR(INDEX(样本到样信息汇总统计!K$2:K$500,MATCH(421,样本到样信息汇总统计!$X$2:$X$500,0)),"")</f>
        <v/>
      </c>
      <c r="L422" s="4" t="str">
        <f>IFERROR(INDEX(样本到样信息汇总统计!L$2:L$500,MATCH(421,样本到样信息汇总统计!$X$2:$X$500,0)),"")</f>
        <v/>
      </c>
      <c r="M422" s="4" t="str">
        <f>IFERROR(INDEX(样本到样信息汇总统计!M$2:M$500,MATCH(421,样本到样信息汇总统计!$X$2:$X$500,0)),"")</f>
        <v/>
      </c>
      <c r="N422" s="4" t="str">
        <f>IFERROR(INDEX(样本到样信息汇总统计!N$2:N$500,MATCH(421,样本到样信息汇总统计!$X$2:$X$500,0)),"")</f>
        <v/>
      </c>
      <c r="O422" s="4" t="str">
        <f>IFERROR(INDEX(样本到样信息汇总统计!O$2:O$500,MATCH(421,样本到样信息汇总统计!$X$2:$X$500,0)),"")</f>
        <v/>
      </c>
      <c r="P422" s="4" t="str">
        <f>IFERROR(INDEX(样本到样信息汇总统计!P$2:P$500,MATCH(421,样本到样信息汇总统计!$X$2:$X$500,0)),"")</f>
        <v/>
      </c>
      <c r="Q422" s="4" t="str">
        <f>IFERROR(INDEX(样本到样信息汇总统计!Q$2:Q$500,MATCH(421,样本到样信息汇总统计!$X$2:$X$500,0)),"")</f>
        <v/>
      </c>
      <c r="R422" s="4" t="str">
        <f>IFERROR(INDEX(样本到样信息汇总统计!R$2:R$500,MATCH(421,样本到样信息汇总统计!$X$2:$X$500,0)),"")</f>
        <v/>
      </c>
      <c r="S422" s="4" t="str">
        <f>IFERROR(INDEX(样本到样信息汇总统计!S$2:S$500,MATCH(421,样本到样信息汇总统计!$X$2:$X$500,0)),"")</f>
        <v/>
      </c>
      <c r="T422" s="4" t="str">
        <f>IFERROR(INDEX(样本到样信息汇总统计!T$2:T$500,MATCH(421,样本到样信息汇总统计!$X$2:$X$500,0)),"")</f>
        <v/>
      </c>
      <c r="U422" s="4" t="str">
        <f>IFERROR(INDEX(样本到样信息汇总统计!U$2:U$500,MATCH(421,样本到样信息汇总统计!$X$2:$X$500,0)),"")</f>
        <v/>
      </c>
      <c r="V422" s="4" t="str">
        <f>IFERROR(INDEX(样本到样信息汇总统计!V$2:V$500,MATCH(421,样本到样信息汇总统计!$X$2:$X$500,0)),"")</f>
        <v/>
      </c>
      <c r="W422" s="4" t="str">
        <f>IFERROR(INDEX(样本到样信息汇总统计!W$2:W$500,MATCH(421,样本到样信息汇总统计!$X$2:$X$500,0)),"")</f>
        <v/>
      </c>
    </row>
    <row r="423" ht="14.5" spans="1:23">
      <c r="A423" s="8" t="str">
        <f>IFERROR(INDEX(样本到样信息汇总统计!A$2:A$500,MATCH(422,样本到样信息汇总统计!$X$2:$X$500,0)),"")</f>
        <v/>
      </c>
      <c r="B423" s="8" t="str">
        <f>IFERROR(INDEX(样本到样信息汇总统计!B$2:B$500,MATCH(422,样本到样信息汇总统计!$X$2:$X$500,0)),"")</f>
        <v/>
      </c>
      <c r="C423" s="8" t="str">
        <f>IFERROR(INDEX(样本到样信息汇总统计!C$2:C$500,MATCH(422,样本到样信息汇总统计!$X$2:$X$500,0)),"")</f>
        <v/>
      </c>
      <c r="D423" s="8" t="str">
        <f>IFERROR(INDEX(样本到样信息汇总统计!D$2:D$500,MATCH(422,样本到样信息汇总统计!$X$2:$X$500,0)),"")</f>
        <v/>
      </c>
      <c r="E423" s="8" t="str">
        <f>IFERROR(INDEX(样本到样信息汇总统计!E$2:E$500,MATCH(422,样本到样信息汇总统计!$X$2:$X$500,0)),"")</f>
        <v/>
      </c>
      <c r="F423" s="8" t="str">
        <f>IFERROR(INDEX(样本到样信息汇总统计!F$2:F$500,MATCH(422,样本到样信息汇总统计!$X$2:$X$500,0)),"")</f>
        <v/>
      </c>
      <c r="G423" s="8" t="str">
        <f>IFERROR(INDEX(样本到样信息汇总统计!G$2:G$500,MATCH(422,样本到样信息汇总统计!$X$2:$X$500,0)),"")</f>
        <v/>
      </c>
      <c r="H423" s="8" t="str">
        <f>IFERROR(INDEX(样本到样信息汇总统计!H$2:H$500,MATCH(422,样本到样信息汇总统计!$X$2:$X$500,0)),"")</f>
        <v/>
      </c>
      <c r="I423" s="8" t="str">
        <f>IFERROR(INDEX(样本到样信息汇总统计!I$2:I$500,MATCH(422,样本到样信息汇总统计!$X$2:$X$500,0)),"")</f>
        <v/>
      </c>
      <c r="J423" s="8" t="str">
        <f>IFERROR(INDEX(样本到样信息汇总统计!J$2:J$500,MATCH(422,样本到样信息汇总统计!$X$2:$X$500,0)),"")</f>
        <v/>
      </c>
      <c r="K423" s="15" t="str">
        <f>IFERROR(INDEX(样本到样信息汇总统计!K$2:K$500,MATCH(422,样本到样信息汇总统计!$X$2:$X$500,0)),"")</f>
        <v/>
      </c>
      <c r="L423" s="8" t="str">
        <f>IFERROR(INDEX(样本到样信息汇总统计!L$2:L$500,MATCH(422,样本到样信息汇总统计!$X$2:$X$500,0)),"")</f>
        <v/>
      </c>
      <c r="M423" s="8" t="str">
        <f>IFERROR(INDEX(样本到样信息汇总统计!M$2:M$500,MATCH(422,样本到样信息汇总统计!$X$2:$X$500,0)),"")</f>
        <v/>
      </c>
      <c r="N423" s="8" t="str">
        <f>IFERROR(INDEX(样本到样信息汇总统计!N$2:N$500,MATCH(422,样本到样信息汇总统计!$X$2:$X$500,0)),"")</f>
        <v/>
      </c>
      <c r="O423" s="8" t="str">
        <f>IFERROR(INDEX(样本到样信息汇总统计!O$2:O$500,MATCH(422,样本到样信息汇总统计!$X$2:$X$500,0)),"")</f>
        <v/>
      </c>
      <c r="P423" s="8" t="str">
        <f>IFERROR(INDEX(样本到样信息汇总统计!P$2:P$500,MATCH(422,样本到样信息汇总统计!$X$2:$X$500,0)),"")</f>
        <v/>
      </c>
      <c r="Q423" s="8" t="str">
        <f>IFERROR(INDEX(样本到样信息汇总统计!Q$2:Q$500,MATCH(422,样本到样信息汇总统计!$X$2:$X$500,0)),"")</f>
        <v/>
      </c>
      <c r="R423" s="8" t="str">
        <f>IFERROR(INDEX(样本到样信息汇总统计!R$2:R$500,MATCH(422,样本到样信息汇总统计!$X$2:$X$500,0)),"")</f>
        <v/>
      </c>
      <c r="S423" s="8" t="str">
        <f>IFERROR(INDEX(样本到样信息汇总统计!S$2:S$500,MATCH(422,样本到样信息汇总统计!$X$2:$X$500,0)),"")</f>
        <v/>
      </c>
      <c r="T423" s="8" t="str">
        <f>IFERROR(INDEX(样本到样信息汇总统计!T$2:T$500,MATCH(422,样本到样信息汇总统计!$X$2:$X$500,0)),"")</f>
        <v/>
      </c>
      <c r="U423" s="8" t="str">
        <f>IFERROR(INDEX(样本到样信息汇总统计!U$2:U$500,MATCH(422,样本到样信息汇总统计!$X$2:$X$500,0)),"")</f>
        <v/>
      </c>
      <c r="V423" s="8" t="str">
        <f>IFERROR(INDEX(样本到样信息汇总统计!V$2:V$500,MATCH(422,样本到样信息汇总统计!$X$2:$X$500,0)),"")</f>
        <v/>
      </c>
      <c r="W423" s="8" t="str">
        <f>IFERROR(INDEX(样本到样信息汇总统计!W$2:W$500,MATCH(422,样本到样信息汇总统计!$X$2:$X$500,0)),"")</f>
        <v/>
      </c>
    </row>
    <row r="424" ht="14.5" spans="1:23">
      <c r="A424" s="4" t="str">
        <f>IFERROR(INDEX(样本到样信息汇总统计!A$2:A$500,MATCH(423,样本到样信息汇总统计!$X$2:$X$500,0)),"")</f>
        <v/>
      </c>
      <c r="B424" s="4" t="str">
        <f>IFERROR(INDEX(样本到样信息汇总统计!B$2:B$500,MATCH(423,样本到样信息汇总统计!$X$2:$X$500,0)),"")</f>
        <v/>
      </c>
      <c r="C424" s="4" t="str">
        <f>IFERROR(INDEX(样本到样信息汇总统计!C$2:C$500,MATCH(423,样本到样信息汇总统计!$X$2:$X$500,0)),"")</f>
        <v/>
      </c>
      <c r="D424" s="4" t="str">
        <f>IFERROR(INDEX(样本到样信息汇总统计!D$2:D$500,MATCH(423,样本到样信息汇总统计!$X$2:$X$500,0)),"")</f>
        <v/>
      </c>
      <c r="E424" s="4" t="str">
        <f>IFERROR(INDEX(样本到样信息汇总统计!E$2:E$500,MATCH(423,样本到样信息汇总统计!$X$2:$X$500,0)),"")</f>
        <v/>
      </c>
      <c r="F424" s="4" t="str">
        <f>IFERROR(INDEX(样本到样信息汇总统计!F$2:F$500,MATCH(423,样本到样信息汇总统计!$X$2:$X$500,0)),"")</f>
        <v/>
      </c>
      <c r="G424" s="4" t="str">
        <f>IFERROR(INDEX(样本到样信息汇总统计!G$2:G$500,MATCH(423,样本到样信息汇总统计!$X$2:$X$500,0)),"")</f>
        <v/>
      </c>
      <c r="H424" s="4" t="str">
        <f>IFERROR(INDEX(样本到样信息汇总统计!H$2:H$500,MATCH(423,样本到样信息汇总统计!$X$2:$X$500,0)),"")</f>
        <v/>
      </c>
      <c r="I424" s="4" t="str">
        <f>IFERROR(INDEX(样本到样信息汇总统计!I$2:I$500,MATCH(423,样本到样信息汇总统计!$X$2:$X$500,0)),"")</f>
        <v/>
      </c>
      <c r="J424" s="4" t="str">
        <f>IFERROR(INDEX(样本到样信息汇总统计!J$2:J$500,MATCH(423,样本到样信息汇总统计!$X$2:$X$500,0)),"")</f>
        <v/>
      </c>
      <c r="K424" s="14" t="str">
        <f>IFERROR(INDEX(样本到样信息汇总统计!K$2:K$500,MATCH(423,样本到样信息汇总统计!$X$2:$X$500,0)),"")</f>
        <v/>
      </c>
      <c r="L424" s="4" t="str">
        <f>IFERROR(INDEX(样本到样信息汇总统计!L$2:L$500,MATCH(423,样本到样信息汇总统计!$X$2:$X$500,0)),"")</f>
        <v/>
      </c>
      <c r="M424" s="4" t="str">
        <f>IFERROR(INDEX(样本到样信息汇总统计!M$2:M$500,MATCH(423,样本到样信息汇总统计!$X$2:$X$500,0)),"")</f>
        <v/>
      </c>
      <c r="N424" s="4" t="str">
        <f>IFERROR(INDEX(样本到样信息汇总统计!N$2:N$500,MATCH(423,样本到样信息汇总统计!$X$2:$X$500,0)),"")</f>
        <v/>
      </c>
      <c r="O424" s="4" t="str">
        <f>IFERROR(INDEX(样本到样信息汇总统计!O$2:O$500,MATCH(423,样本到样信息汇总统计!$X$2:$X$500,0)),"")</f>
        <v/>
      </c>
      <c r="P424" s="4" t="str">
        <f>IFERROR(INDEX(样本到样信息汇总统计!P$2:P$500,MATCH(423,样本到样信息汇总统计!$X$2:$X$500,0)),"")</f>
        <v/>
      </c>
      <c r="Q424" s="4" t="str">
        <f>IFERROR(INDEX(样本到样信息汇总统计!Q$2:Q$500,MATCH(423,样本到样信息汇总统计!$X$2:$X$500,0)),"")</f>
        <v/>
      </c>
      <c r="R424" s="4" t="str">
        <f>IFERROR(INDEX(样本到样信息汇总统计!R$2:R$500,MATCH(423,样本到样信息汇总统计!$X$2:$X$500,0)),"")</f>
        <v/>
      </c>
      <c r="S424" s="4" t="str">
        <f>IFERROR(INDEX(样本到样信息汇总统计!S$2:S$500,MATCH(423,样本到样信息汇总统计!$X$2:$X$500,0)),"")</f>
        <v/>
      </c>
      <c r="T424" s="4" t="str">
        <f>IFERROR(INDEX(样本到样信息汇总统计!T$2:T$500,MATCH(423,样本到样信息汇总统计!$X$2:$X$500,0)),"")</f>
        <v/>
      </c>
      <c r="U424" s="4" t="str">
        <f>IFERROR(INDEX(样本到样信息汇总统计!U$2:U$500,MATCH(423,样本到样信息汇总统计!$X$2:$X$500,0)),"")</f>
        <v/>
      </c>
      <c r="V424" s="4" t="str">
        <f>IFERROR(INDEX(样本到样信息汇总统计!V$2:V$500,MATCH(423,样本到样信息汇总统计!$X$2:$X$500,0)),"")</f>
        <v/>
      </c>
      <c r="W424" s="4" t="str">
        <f>IFERROR(INDEX(样本到样信息汇总统计!W$2:W$500,MATCH(423,样本到样信息汇总统计!$X$2:$X$500,0)),"")</f>
        <v/>
      </c>
    </row>
    <row r="425" ht="14.5" spans="1:23">
      <c r="A425" s="8" t="str">
        <f>IFERROR(INDEX(样本到样信息汇总统计!A$2:A$500,MATCH(424,样本到样信息汇总统计!$X$2:$X$500,0)),"")</f>
        <v/>
      </c>
      <c r="B425" s="8" t="str">
        <f>IFERROR(INDEX(样本到样信息汇总统计!B$2:B$500,MATCH(424,样本到样信息汇总统计!$X$2:$X$500,0)),"")</f>
        <v/>
      </c>
      <c r="C425" s="8" t="str">
        <f>IFERROR(INDEX(样本到样信息汇总统计!C$2:C$500,MATCH(424,样本到样信息汇总统计!$X$2:$X$500,0)),"")</f>
        <v/>
      </c>
      <c r="D425" s="8" t="str">
        <f>IFERROR(INDEX(样本到样信息汇总统计!D$2:D$500,MATCH(424,样本到样信息汇总统计!$X$2:$X$500,0)),"")</f>
        <v/>
      </c>
      <c r="E425" s="8" t="str">
        <f>IFERROR(INDEX(样本到样信息汇总统计!E$2:E$500,MATCH(424,样本到样信息汇总统计!$X$2:$X$500,0)),"")</f>
        <v/>
      </c>
      <c r="F425" s="8" t="str">
        <f>IFERROR(INDEX(样本到样信息汇总统计!F$2:F$500,MATCH(424,样本到样信息汇总统计!$X$2:$X$500,0)),"")</f>
        <v/>
      </c>
      <c r="G425" s="8" t="str">
        <f>IFERROR(INDEX(样本到样信息汇总统计!G$2:G$500,MATCH(424,样本到样信息汇总统计!$X$2:$X$500,0)),"")</f>
        <v/>
      </c>
      <c r="H425" s="8" t="str">
        <f>IFERROR(INDEX(样本到样信息汇总统计!H$2:H$500,MATCH(424,样本到样信息汇总统计!$X$2:$X$500,0)),"")</f>
        <v/>
      </c>
      <c r="I425" s="8" t="str">
        <f>IFERROR(INDEX(样本到样信息汇总统计!I$2:I$500,MATCH(424,样本到样信息汇总统计!$X$2:$X$500,0)),"")</f>
        <v/>
      </c>
      <c r="J425" s="8" t="str">
        <f>IFERROR(INDEX(样本到样信息汇总统计!J$2:J$500,MATCH(424,样本到样信息汇总统计!$X$2:$X$500,0)),"")</f>
        <v/>
      </c>
      <c r="K425" s="15" t="str">
        <f>IFERROR(INDEX(样本到样信息汇总统计!K$2:K$500,MATCH(424,样本到样信息汇总统计!$X$2:$X$500,0)),"")</f>
        <v/>
      </c>
      <c r="L425" s="8" t="str">
        <f>IFERROR(INDEX(样本到样信息汇总统计!L$2:L$500,MATCH(424,样本到样信息汇总统计!$X$2:$X$500,0)),"")</f>
        <v/>
      </c>
      <c r="M425" s="8" t="str">
        <f>IFERROR(INDEX(样本到样信息汇总统计!M$2:M$500,MATCH(424,样本到样信息汇总统计!$X$2:$X$500,0)),"")</f>
        <v/>
      </c>
      <c r="N425" s="8" t="str">
        <f>IFERROR(INDEX(样本到样信息汇总统计!N$2:N$500,MATCH(424,样本到样信息汇总统计!$X$2:$X$500,0)),"")</f>
        <v/>
      </c>
      <c r="O425" s="8" t="str">
        <f>IFERROR(INDEX(样本到样信息汇总统计!O$2:O$500,MATCH(424,样本到样信息汇总统计!$X$2:$X$500,0)),"")</f>
        <v/>
      </c>
      <c r="P425" s="8" t="str">
        <f>IFERROR(INDEX(样本到样信息汇总统计!P$2:P$500,MATCH(424,样本到样信息汇总统计!$X$2:$X$500,0)),"")</f>
        <v/>
      </c>
      <c r="Q425" s="8" t="str">
        <f>IFERROR(INDEX(样本到样信息汇总统计!Q$2:Q$500,MATCH(424,样本到样信息汇总统计!$X$2:$X$500,0)),"")</f>
        <v/>
      </c>
      <c r="R425" s="8" t="str">
        <f>IFERROR(INDEX(样本到样信息汇总统计!R$2:R$500,MATCH(424,样本到样信息汇总统计!$X$2:$X$500,0)),"")</f>
        <v/>
      </c>
      <c r="S425" s="8" t="str">
        <f>IFERROR(INDEX(样本到样信息汇总统计!S$2:S$500,MATCH(424,样本到样信息汇总统计!$X$2:$X$500,0)),"")</f>
        <v/>
      </c>
      <c r="T425" s="8" t="str">
        <f>IFERROR(INDEX(样本到样信息汇总统计!T$2:T$500,MATCH(424,样本到样信息汇总统计!$X$2:$X$500,0)),"")</f>
        <v/>
      </c>
      <c r="U425" s="8" t="str">
        <f>IFERROR(INDEX(样本到样信息汇总统计!U$2:U$500,MATCH(424,样本到样信息汇总统计!$X$2:$X$500,0)),"")</f>
        <v/>
      </c>
      <c r="V425" s="8" t="str">
        <f>IFERROR(INDEX(样本到样信息汇总统计!V$2:V$500,MATCH(424,样本到样信息汇总统计!$X$2:$X$500,0)),"")</f>
        <v/>
      </c>
      <c r="W425" s="8" t="str">
        <f>IFERROR(INDEX(样本到样信息汇总统计!W$2:W$500,MATCH(424,样本到样信息汇总统计!$X$2:$X$500,0)),"")</f>
        <v/>
      </c>
    </row>
    <row r="426" ht="14.5" spans="1:23">
      <c r="A426" s="4" t="str">
        <f>IFERROR(INDEX(样本到样信息汇总统计!A$2:A$500,MATCH(425,样本到样信息汇总统计!$X$2:$X$500,0)),"")</f>
        <v/>
      </c>
      <c r="B426" s="4" t="str">
        <f>IFERROR(INDEX(样本到样信息汇总统计!B$2:B$500,MATCH(425,样本到样信息汇总统计!$X$2:$X$500,0)),"")</f>
        <v/>
      </c>
      <c r="C426" s="4" t="str">
        <f>IFERROR(INDEX(样本到样信息汇总统计!C$2:C$500,MATCH(425,样本到样信息汇总统计!$X$2:$X$500,0)),"")</f>
        <v/>
      </c>
      <c r="D426" s="4" t="str">
        <f>IFERROR(INDEX(样本到样信息汇总统计!D$2:D$500,MATCH(425,样本到样信息汇总统计!$X$2:$X$500,0)),"")</f>
        <v/>
      </c>
      <c r="E426" s="4" t="str">
        <f>IFERROR(INDEX(样本到样信息汇总统计!E$2:E$500,MATCH(425,样本到样信息汇总统计!$X$2:$X$500,0)),"")</f>
        <v/>
      </c>
      <c r="F426" s="4" t="str">
        <f>IFERROR(INDEX(样本到样信息汇总统计!F$2:F$500,MATCH(425,样本到样信息汇总统计!$X$2:$X$500,0)),"")</f>
        <v/>
      </c>
      <c r="G426" s="4" t="str">
        <f>IFERROR(INDEX(样本到样信息汇总统计!G$2:G$500,MATCH(425,样本到样信息汇总统计!$X$2:$X$500,0)),"")</f>
        <v/>
      </c>
      <c r="H426" s="4" t="str">
        <f>IFERROR(INDEX(样本到样信息汇总统计!H$2:H$500,MATCH(425,样本到样信息汇总统计!$X$2:$X$500,0)),"")</f>
        <v/>
      </c>
      <c r="I426" s="4" t="str">
        <f>IFERROR(INDEX(样本到样信息汇总统计!I$2:I$500,MATCH(425,样本到样信息汇总统计!$X$2:$X$500,0)),"")</f>
        <v/>
      </c>
      <c r="J426" s="4" t="str">
        <f>IFERROR(INDEX(样本到样信息汇总统计!J$2:J$500,MATCH(425,样本到样信息汇总统计!$X$2:$X$500,0)),"")</f>
        <v/>
      </c>
      <c r="K426" s="14" t="str">
        <f>IFERROR(INDEX(样本到样信息汇总统计!K$2:K$500,MATCH(425,样本到样信息汇总统计!$X$2:$X$500,0)),"")</f>
        <v/>
      </c>
      <c r="L426" s="4" t="str">
        <f>IFERROR(INDEX(样本到样信息汇总统计!L$2:L$500,MATCH(425,样本到样信息汇总统计!$X$2:$X$500,0)),"")</f>
        <v/>
      </c>
      <c r="M426" s="4" t="str">
        <f>IFERROR(INDEX(样本到样信息汇总统计!M$2:M$500,MATCH(425,样本到样信息汇总统计!$X$2:$X$500,0)),"")</f>
        <v/>
      </c>
      <c r="N426" s="4" t="str">
        <f>IFERROR(INDEX(样本到样信息汇总统计!N$2:N$500,MATCH(425,样本到样信息汇总统计!$X$2:$X$500,0)),"")</f>
        <v/>
      </c>
      <c r="O426" s="4" t="str">
        <f>IFERROR(INDEX(样本到样信息汇总统计!O$2:O$500,MATCH(425,样本到样信息汇总统计!$X$2:$X$500,0)),"")</f>
        <v/>
      </c>
      <c r="P426" s="4" t="str">
        <f>IFERROR(INDEX(样本到样信息汇总统计!P$2:P$500,MATCH(425,样本到样信息汇总统计!$X$2:$X$500,0)),"")</f>
        <v/>
      </c>
      <c r="Q426" s="4" t="str">
        <f>IFERROR(INDEX(样本到样信息汇总统计!Q$2:Q$500,MATCH(425,样本到样信息汇总统计!$X$2:$X$500,0)),"")</f>
        <v/>
      </c>
      <c r="R426" s="4" t="str">
        <f>IFERROR(INDEX(样本到样信息汇总统计!R$2:R$500,MATCH(425,样本到样信息汇总统计!$X$2:$X$500,0)),"")</f>
        <v/>
      </c>
      <c r="S426" s="4" t="str">
        <f>IFERROR(INDEX(样本到样信息汇总统计!S$2:S$500,MATCH(425,样本到样信息汇总统计!$X$2:$X$500,0)),"")</f>
        <v/>
      </c>
      <c r="T426" s="4" t="str">
        <f>IFERROR(INDEX(样本到样信息汇总统计!T$2:T$500,MATCH(425,样本到样信息汇总统计!$X$2:$X$500,0)),"")</f>
        <v/>
      </c>
      <c r="U426" s="4" t="str">
        <f>IFERROR(INDEX(样本到样信息汇总统计!U$2:U$500,MATCH(425,样本到样信息汇总统计!$X$2:$X$500,0)),"")</f>
        <v/>
      </c>
      <c r="V426" s="4" t="str">
        <f>IFERROR(INDEX(样本到样信息汇总统计!V$2:V$500,MATCH(425,样本到样信息汇总统计!$X$2:$X$500,0)),"")</f>
        <v/>
      </c>
      <c r="W426" s="4" t="str">
        <f>IFERROR(INDEX(样本到样信息汇总统计!W$2:W$500,MATCH(425,样本到样信息汇总统计!$X$2:$X$500,0)),"")</f>
        <v/>
      </c>
    </row>
    <row r="427" ht="14.5" spans="1:23">
      <c r="A427" s="8" t="str">
        <f>IFERROR(INDEX(样本到样信息汇总统计!A$2:A$500,MATCH(426,样本到样信息汇总统计!$X$2:$X$500,0)),"")</f>
        <v/>
      </c>
      <c r="B427" s="8" t="str">
        <f>IFERROR(INDEX(样本到样信息汇总统计!B$2:B$500,MATCH(426,样本到样信息汇总统计!$X$2:$X$500,0)),"")</f>
        <v/>
      </c>
      <c r="C427" s="8" t="str">
        <f>IFERROR(INDEX(样本到样信息汇总统计!C$2:C$500,MATCH(426,样本到样信息汇总统计!$X$2:$X$500,0)),"")</f>
        <v/>
      </c>
      <c r="D427" s="8" t="str">
        <f>IFERROR(INDEX(样本到样信息汇总统计!D$2:D$500,MATCH(426,样本到样信息汇总统计!$X$2:$X$500,0)),"")</f>
        <v/>
      </c>
      <c r="E427" s="8" t="str">
        <f>IFERROR(INDEX(样本到样信息汇总统计!E$2:E$500,MATCH(426,样本到样信息汇总统计!$X$2:$X$500,0)),"")</f>
        <v/>
      </c>
      <c r="F427" s="8" t="str">
        <f>IFERROR(INDEX(样本到样信息汇总统计!F$2:F$500,MATCH(426,样本到样信息汇总统计!$X$2:$X$500,0)),"")</f>
        <v/>
      </c>
      <c r="G427" s="8" t="str">
        <f>IFERROR(INDEX(样本到样信息汇总统计!G$2:G$500,MATCH(426,样本到样信息汇总统计!$X$2:$X$500,0)),"")</f>
        <v/>
      </c>
      <c r="H427" s="8" t="str">
        <f>IFERROR(INDEX(样本到样信息汇总统计!H$2:H$500,MATCH(426,样本到样信息汇总统计!$X$2:$X$500,0)),"")</f>
        <v/>
      </c>
      <c r="I427" s="8" t="str">
        <f>IFERROR(INDEX(样本到样信息汇总统计!I$2:I$500,MATCH(426,样本到样信息汇总统计!$X$2:$X$500,0)),"")</f>
        <v/>
      </c>
      <c r="J427" s="8" t="str">
        <f>IFERROR(INDEX(样本到样信息汇总统计!J$2:J$500,MATCH(426,样本到样信息汇总统计!$X$2:$X$500,0)),"")</f>
        <v/>
      </c>
      <c r="K427" s="15" t="str">
        <f>IFERROR(INDEX(样本到样信息汇总统计!K$2:K$500,MATCH(426,样本到样信息汇总统计!$X$2:$X$500,0)),"")</f>
        <v/>
      </c>
      <c r="L427" s="8" t="str">
        <f>IFERROR(INDEX(样本到样信息汇总统计!L$2:L$500,MATCH(426,样本到样信息汇总统计!$X$2:$X$500,0)),"")</f>
        <v/>
      </c>
      <c r="M427" s="8" t="str">
        <f>IFERROR(INDEX(样本到样信息汇总统计!M$2:M$500,MATCH(426,样本到样信息汇总统计!$X$2:$X$500,0)),"")</f>
        <v/>
      </c>
      <c r="N427" s="8" t="str">
        <f>IFERROR(INDEX(样本到样信息汇总统计!N$2:N$500,MATCH(426,样本到样信息汇总统计!$X$2:$X$500,0)),"")</f>
        <v/>
      </c>
      <c r="O427" s="8" t="str">
        <f>IFERROR(INDEX(样本到样信息汇总统计!O$2:O$500,MATCH(426,样本到样信息汇总统计!$X$2:$X$500,0)),"")</f>
        <v/>
      </c>
      <c r="P427" s="8" t="str">
        <f>IFERROR(INDEX(样本到样信息汇总统计!P$2:P$500,MATCH(426,样本到样信息汇总统计!$X$2:$X$500,0)),"")</f>
        <v/>
      </c>
      <c r="Q427" s="8" t="str">
        <f>IFERROR(INDEX(样本到样信息汇总统计!Q$2:Q$500,MATCH(426,样本到样信息汇总统计!$X$2:$X$500,0)),"")</f>
        <v/>
      </c>
      <c r="R427" s="8" t="str">
        <f>IFERROR(INDEX(样本到样信息汇总统计!R$2:R$500,MATCH(426,样本到样信息汇总统计!$X$2:$X$500,0)),"")</f>
        <v/>
      </c>
      <c r="S427" s="8" t="str">
        <f>IFERROR(INDEX(样本到样信息汇总统计!S$2:S$500,MATCH(426,样本到样信息汇总统计!$X$2:$X$500,0)),"")</f>
        <v/>
      </c>
      <c r="T427" s="8" t="str">
        <f>IFERROR(INDEX(样本到样信息汇总统计!T$2:T$500,MATCH(426,样本到样信息汇总统计!$X$2:$X$500,0)),"")</f>
        <v/>
      </c>
      <c r="U427" s="8" t="str">
        <f>IFERROR(INDEX(样本到样信息汇总统计!U$2:U$500,MATCH(426,样本到样信息汇总统计!$X$2:$X$500,0)),"")</f>
        <v/>
      </c>
      <c r="V427" s="8" t="str">
        <f>IFERROR(INDEX(样本到样信息汇总统计!V$2:V$500,MATCH(426,样本到样信息汇总统计!$X$2:$X$500,0)),"")</f>
        <v/>
      </c>
      <c r="W427" s="8" t="str">
        <f>IFERROR(INDEX(样本到样信息汇总统计!W$2:W$500,MATCH(426,样本到样信息汇总统计!$X$2:$X$500,0)),"")</f>
        <v/>
      </c>
    </row>
    <row r="428" ht="14.5" spans="1:23">
      <c r="A428" s="4" t="str">
        <f>IFERROR(INDEX(样本到样信息汇总统计!A$2:A$500,MATCH(427,样本到样信息汇总统计!$X$2:$X$500,0)),"")</f>
        <v/>
      </c>
      <c r="B428" s="4" t="str">
        <f>IFERROR(INDEX(样本到样信息汇总统计!B$2:B$500,MATCH(427,样本到样信息汇总统计!$X$2:$X$500,0)),"")</f>
        <v/>
      </c>
      <c r="C428" s="4" t="str">
        <f>IFERROR(INDEX(样本到样信息汇总统计!C$2:C$500,MATCH(427,样本到样信息汇总统计!$X$2:$X$500,0)),"")</f>
        <v/>
      </c>
      <c r="D428" s="4" t="str">
        <f>IFERROR(INDEX(样本到样信息汇总统计!D$2:D$500,MATCH(427,样本到样信息汇总统计!$X$2:$X$500,0)),"")</f>
        <v/>
      </c>
      <c r="E428" s="4" t="str">
        <f>IFERROR(INDEX(样本到样信息汇总统计!E$2:E$500,MATCH(427,样本到样信息汇总统计!$X$2:$X$500,0)),"")</f>
        <v/>
      </c>
      <c r="F428" s="4" t="str">
        <f>IFERROR(INDEX(样本到样信息汇总统计!F$2:F$500,MATCH(427,样本到样信息汇总统计!$X$2:$X$500,0)),"")</f>
        <v/>
      </c>
      <c r="G428" s="4" t="str">
        <f>IFERROR(INDEX(样本到样信息汇总统计!G$2:G$500,MATCH(427,样本到样信息汇总统计!$X$2:$X$500,0)),"")</f>
        <v/>
      </c>
      <c r="H428" s="4" t="str">
        <f>IFERROR(INDEX(样本到样信息汇总统计!H$2:H$500,MATCH(427,样本到样信息汇总统计!$X$2:$X$500,0)),"")</f>
        <v/>
      </c>
      <c r="I428" s="4" t="str">
        <f>IFERROR(INDEX(样本到样信息汇总统计!I$2:I$500,MATCH(427,样本到样信息汇总统计!$X$2:$X$500,0)),"")</f>
        <v/>
      </c>
      <c r="J428" s="4" t="str">
        <f>IFERROR(INDEX(样本到样信息汇总统计!J$2:J$500,MATCH(427,样本到样信息汇总统计!$X$2:$X$500,0)),"")</f>
        <v/>
      </c>
      <c r="K428" s="14" t="str">
        <f>IFERROR(INDEX(样本到样信息汇总统计!K$2:K$500,MATCH(427,样本到样信息汇总统计!$X$2:$X$500,0)),"")</f>
        <v/>
      </c>
      <c r="L428" s="4" t="str">
        <f>IFERROR(INDEX(样本到样信息汇总统计!L$2:L$500,MATCH(427,样本到样信息汇总统计!$X$2:$X$500,0)),"")</f>
        <v/>
      </c>
      <c r="M428" s="4" t="str">
        <f>IFERROR(INDEX(样本到样信息汇总统计!M$2:M$500,MATCH(427,样本到样信息汇总统计!$X$2:$X$500,0)),"")</f>
        <v/>
      </c>
      <c r="N428" s="4" t="str">
        <f>IFERROR(INDEX(样本到样信息汇总统计!N$2:N$500,MATCH(427,样本到样信息汇总统计!$X$2:$X$500,0)),"")</f>
        <v/>
      </c>
      <c r="O428" s="4" t="str">
        <f>IFERROR(INDEX(样本到样信息汇总统计!O$2:O$500,MATCH(427,样本到样信息汇总统计!$X$2:$X$500,0)),"")</f>
        <v/>
      </c>
      <c r="P428" s="4" t="str">
        <f>IFERROR(INDEX(样本到样信息汇总统计!P$2:P$500,MATCH(427,样本到样信息汇总统计!$X$2:$X$500,0)),"")</f>
        <v/>
      </c>
      <c r="Q428" s="4" t="str">
        <f>IFERROR(INDEX(样本到样信息汇总统计!Q$2:Q$500,MATCH(427,样本到样信息汇总统计!$X$2:$X$500,0)),"")</f>
        <v/>
      </c>
      <c r="R428" s="4" t="str">
        <f>IFERROR(INDEX(样本到样信息汇总统计!R$2:R$500,MATCH(427,样本到样信息汇总统计!$X$2:$X$500,0)),"")</f>
        <v/>
      </c>
      <c r="S428" s="4" t="str">
        <f>IFERROR(INDEX(样本到样信息汇总统计!S$2:S$500,MATCH(427,样本到样信息汇总统计!$X$2:$X$500,0)),"")</f>
        <v/>
      </c>
      <c r="T428" s="4" t="str">
        <f>IFERROR(INDEX(样本到样信息汇总统计!T$2:T$500,MATCH(427,样本到样信息汇总统计!$X$2:$X$500,0)),"")</f>
        <v/>
      </c>
      <c r="U428" s="4" t="str">
        <f>IFERROR(INDEX(样本到样信息汇总统计!U$2:U$500,MATCH(427,样本到样信息汇总统计!$X$2:$X$500,0)),"")</f>
        <v/>
      </c>
      <c r="V428" s="4" t="str">
        <f>IFERROR(INDEX(样本到样信息汇总统计!V$2:V$500,MATCH(427,样本到样信息汇总统计!$X$2:$X$500,0)),"")</f>
        <v/>
      </c>
      <c r="W428" s="4" t="str">
        <f>IFERROR(INDEX(样本到样信息汇总统计!W$2:W$500,MATCH(427,样本到样信息汇总统计!$X$2:$X$500,0)),"")</f>
        <v/>
      </c>
    </row>
    <row r="429" ht="14.5" spans="1:23">
      <c r="A429" s="8" t="str">
        <f>IFERROR(INDEX(样本到样信息汇总统计!A$2:A$500,MATCH(428,样本到样信息汇总统计!$X$2:$X$500,0)),"")</f>
        <v/>
      </c>
      <c r="B429" s="8" t="str">
        <f>IFERROR(INDEX(样本到样信息汇总统计!B$2:B$500,MATCH(428,样本到样信息汇总统计!$X$2:$X$500,0)),"")</f>
        <v/>
      </c>
      <c r="C429" s="8" t="str">
        <f>IFERROR(INDEX(样本到样信息汇总统计!C$2:C$500,MATCH(428,样本到样信息汇总统计!$X$2:$X$500,0)),"")</f>
        <v/>
      </c>
      <c r="D429" s="8" t="str">
        <f>IFERROR(INDEX(样本到样信息汇总统计!D$2:D$500,MATCH(428,样本到样信息汇总统计!$X$2:$X$500,0)),"")</f>
        <v/>
      </c>
      <c r="E429" s="8" t="str">
        <f>IFERROR(INDEX(样本到样信息汇总统计!E$2:E$500,MATCH(428,样本到样信息汇总统计!$X$2:$X$500,0)),"")</f>
        <v/>
      </c>
      <c r="F429" s="8" t="str">
        <f>IFERROR(INDEX(样本到样信息汇总统计!F$2:F$500,MATCH(428,样本到样信息汇总统计!$X$2:$X$500,0)),"")</f>
        <v/>
      </c>
      <c r="G429" s="8" t="str">
        <f>IFERROR(INDEX(样本到样信息汇总统计!G$2:G$500,MATCH(428,样本到样信息汇总统计!$X$2:$X$500,0)),"")</f>
        <v/>
      </c>
      <c r="H429" s="8" t="str">
        <f>IFERROR(INDEX(样本到样信息汇总统计!H$2:H$500,MATCH(428,样本到样信息汇总统计!$X$2:$X$500,0)),"")</f>
        <v/>
      </c>
      <c r="I429" s="8" t="str">
        <f>IFERROR(INDEX(样本到样信息汇总统计!I$2:I$500,MATCH(428,样本到样信息汇总统计!$X$2:$X$500,0)),"")</f>
        <v/>
      </c>
      <c r="J429" s="8" t="str">
        <f>IFERROR(INDEX(样本到样信息汇总统计!J$2:J$500,MATCH(428,样本到样信息汇总统计!$X$2:$X$500,0)),"")</f>
        <v/>
      </c>
      <c r="K429" s="15" t="str">
        <f>IFERROR(INDEX(样本到样信息汇总统计!K$2:K$500,MATCH(428,样本到样信息汇总统计!$X$2:$X$500,0)),"")</f>
        <v/>
      </c>
      <c r="L429" s="8" t="str">
        <f>IFERROR(INDEX(样本到样信息汇总统计!L$2:L$500,MATCH(428,样本到样信息汇总统计!$X$2:$X$500,0)),"")</f>
        <v/>
      </c>
      <c r="M429" s="8" t="str">
        <f>IFERROR(INDEX(样本到样信息汇总统计!M$2:M$500,MATCH(428,样本到样信息汇总统计!$X$2:$X$500,0)),"")</f>
        <v/>
      </c>
      <c r="N429" s="8" t="str">
        <f>IFERROR(INDEX(样本到样信息汇总统计!N$2:N$500,MATCH(428,样本到样信息汇总统计!$X$2:$X$500,0)),"")</f>
        <v/>
      </c>
      <c r="O429" s="8" t="str">
        <f>IFERROR(INDEX(样本到样信息汇总统计!O$2:O$500,MATCH(428,样本到样信息汇总统计!$X$2:$X$500,0)),"")</f>
        <v/>
      </c>
      <c r="P429" s="8" t="str">
        <f>IFERROR(INDEX(样本到样信息汇总统计!P$2:P$500,MATCH(428,样本到样信息汇总统计!$X$2:$X$500,0)),"")</f>
        <v/>
      </c>
      <c r="Q429" s="8" t="str">
        <f>IFERROR(INDEX(样本到样信息汇总统计!Q$2:Q$500,MATCH(428,样本到样信息汇总统计!$X$2:$X$500,0)),"")</f>
        <v/>
      </c>
      <c r="R429" s="8" t="str">
        <f>IFERROR(INDEX(样本到样信息汇总统计!R$2:R$500,MATCH(428,样本到样信息汇总统计!$X$2:$X$500,0)),"")</f>
        <v/>
      </c>
      <c r="S429" s="8" t="str">
        <f>IFERROR(INDEX(样本到样信息汇总统计!S$2:S$500,MATCH(428,样本到样信息汇总统计!$X$2:$X$500,0)),"")</f>
        <v/>
      </c>
      <c r="T429" s="8" t="str">
        <f>IFERROR(INDEX(样本到样信息汇总统计!T$2:T$500,MATCH(428,样本到样信息汇总统计!$X$2:$X$500,0)),"")</f>
        <v/>
      </c>
      <c r="U429" s="8" t="str">
        <f>IFERROR(INDEX(样本到样信息汇总统计!U$2:U$500,MATCH(428,样本到样信息汇总统计!$X$2:$X$500,0)),"")</f>
        <v/>
      </c>
      <c r="V429" s="8" t="str">
        <f>IFERROR(INDEX(样本到样信息汇总统计!V$2:V$500,MATCH(428,样本到样信息汇总统计!$X$2:$X$500,0)),"")</f>
        <v/>
      </c>
      <c r="W429" s="8" t="str">
        <f>IFERROR(INDEX(样本到样信息汇总统计!W$2:W$500,MATCH(428,样本到样信息汇总统计!$X$2:$X$500,0)),"")</f>
        <v/>
      </c>
    </row>
    <row r="430" ht="14.5" spans="1:23">
      <c r="A430" s="4" t="str">
        <f>IFERROR(INDEX(样本到样信息汇总统计!A$2:A$500,MATCH(429,样本到样信息汇总统计!$X$2:$X$500,0)),"")</f>
        <v/>
      </c>
      <c r="B430" s="4" t="str">
        <f>IFERROR(INDEX(样本到样信息汇总统计!B$2:B$500,MATCH(429,样本到样信息汇总统计!$X$2:$X$500,0)),"")</f>
        <v/>
      </c>
      <c r="C430" s="4" t="str">
        <f>IFERROR(INDEX(样本到样信息汇总统计!C$2:C$500,MATCH(429,样本到样信息汇总统计!$X$2:$X$500,0)),"")</f>
        <v/>
      </c>
      <c r="D430" s="4" t="str">
        <f>IFERROR(INDEX(样本到样信息汇总统计!D$2:D$500,MATCH(429,样本到样信息汇总统计!$X$2:$X$500,0)),"")</f>
        <v/>
      </c>
      <c r="E430" s="4" t="str">
        <f>IFERROR(INDEX(样本到样信息汇总统计!E$2:E$500,MATCH(429,样本到样信息汇总统计!$X$2:$X$500,0)),"")</f>
        <v/>
      </c>
      <c r="F430" s="4" t="str">
        <f>IFERROR(INDEX(样本到样信息汇总统计!F$2:F$500,MATCH(429,样本到样信息汇总统计!$X$2:$X$500,0)),"")</f>
        <v/>
      </c>
      <c r="G430" s="4" t="str">
        <f>IFERROR(INDEX(样本到样信息汇总统计!G$2:G$500,MATCH(429,样本到样信息汇总统计!$X$2:$X$500,0)),"")</f>
        <v/>
      </c>
      <c r="H430" s="4" t="str">
        <f>IFERROR(INDEX(样本到样信息汇总统计!H$2:H$500,MATCH(429,样本到样信息汇总统计!$X$2:$X$500,0)),"")</f>
        <v/>
      </c>
      <c r="I430" s="4" t="str">
        <f>IFERROR(INDEX(样本到样信息汇总统计!I$2:I$500,MATCH(429,样本到样信息汇总统计!$X$2:$X$500,0)),"")</f>
        <v/>
      </c>
      <c r="J430" s="4" t="str">
        <f>IFERROR(INDEX(样本到样信息汇总统计!J$2:J$500,MATCH(429,样本到样信息汇总统计!$X$2:$X$500,0)),"")</f>
        <v/>
      </c>
      <c r="K430" s="14" t="str">
        <f>IFERROR(INDEX(样本到样信息汇总统计!K$2:K$500,MATCH(429,样本到样信息汇总统计!$X$2:$X$500,0)),"")</f>
        <v/>
      </c>
      <c r="L430" s="4" t="str">
        <f>IFERROR(INDEX(样本到样信息汇总统计!L$2:L$500,MATCH(429,样本到样信息汇总统计!$X$2:$X$500,0)),"")</f>
        <v/>
      </c>
      <c r="M430" s="4" t="str">
        <f>IFERROR(INDEX(样本到样信息汇总统计!M$2:M$500,MATCH(429,样本到样信息汇总统计!$X$2:$X$500,0)),"")</f>
        <v/>
      </c>
      <c r="N430" s="4" t="str">
        <f>IFERROR(INDEX(样本到样信息汇总统计!N$2:N$500,MATCH(429,样本到样信息汇总统计!$X$2:$X$500,0)),"")</f>
        <v/>
      </c>
      <c r="O430" s="4" t="str">
        <f>IFERROR(INDEX(样本到样信息汇总统计!O$2:O$500,MATCH(429,样本到样信息汇总统计!$X$2:$X$500,0)),"")</f>
        <v/>
      </c>
      <c r="P430" s="4" t="str">
        <f>IFERROR(INDEX(样本到样信息汇总统计!P$2:P$500,MATCH(429,样本到样信息汇总统计!$X$2:$X$500,0)),"")</f>
        <v/>
      </c>
      <c r="Q430" s="4" t="str">
        <f>IFERROR(INDEX(样本到样信息汇总统计!Q$2:Q$500,MATCH(429,样本到样信息汇总统计!$X$2:$X$500,0)),"")</f>
        <v/>
      </c>
      <c r="R430" s="4" t="str">
        <f>IFERROR(INDEX(样本到样信息汇总统计!R$2:R$500,MATCH(429,样本到样信息汇总统计!$X$2:$X$500,0)),"")</f>
        <v/>
      </c>
      <c r="S430" s="4" t="str">
        <f>IFERROR(INDEX(样本到样信息汇总统计!S$2:S$500,MATCH(429,样本到样信息汇总统计!$X$2:$X$500,0)),"")</f>
        <v/>
      </c>
      <c r="T430" s="4" t="str">
        <f>IFERROR(INDEX(样本到样信息汇总统计!T$2:T$500,MATCH(429,样本到样信息汇总统计!$X$2:$X$500,0)),"")</f>
        <v/>
      </c>
      <c r="U430" s="4" t="str">
        <f>IFERROR(INDEX(样本到样信息汇总统计!U$2:U$500,MATCH(429,样本到样信息汇总统计!$X$2:$X$500,0)),"")</f>
        <v/>
      </c>
      <c r="V430" s="4" t="str">
        <f>IFERROR(INDEX(样本到样信息汇总统计!V$2:V$500,MATCH(429,样本到样信息汇总统计!$X$2:$X$500,0)),"")</f>
        <v/>
      </c>
      <c r="W430" s="4" t="str">
        <f>IFERROR(INDEX(样本到样信息汇总统计!W$2:W$500,MATCH(429,样本到样信息汇总统计!$X$2:$X$500,0)),"")</f>
        <v/>
      </c>
    </row>
    <row r="431" ht="14.5" spans="1:23">
      <c r="A431" s="8" t="str">
        <f>IFERROR(INDEX(样本到样信息汇总统计!A$2:A$500,MATCH(430,样本到样信息汇总统计!$X$2:$X$500,0)),"")</f>
        <v/>
      </c>
      <c r="B431" s="8" t="str">
        <f>IFERROR(INDEX(样本到样信息汇总统计!B$2:B$500,MATCH(430,样本到样信息汇总统计!$X$2:$X$500,0)),"")</f>
        <v/>
      </c>
      <c r="C431" s="8" t="str">
        <f>IFERROR(INDEX(样本到样信息汇总统计!C$2:C$500,MATCH(430,样本到样信息汇总统计!$X$2:$X$500,0)),"")</f>
        <v/>
      </c>
      <c r="D431" s="8" t="str">
        <f>IFERROR(INDEX(样本到样信息汇总统计!D$2:D$500,MATCH(430,样本到样信息汇总统计!$X$2:$X$500,0)),"")</f>
        <v/>
      </c>
      <c r="E431" s="8" t="str">
        <f>IFERROR(INDEX(样本到样信息汇总统计!E$2:E$500,MATCH(430,样本到样信息汇总统计!$X$2:$X$500,0)),"")</f>
        <v/>
      </c>
      <c r="F431" s="8" t="str">
        <f>IFERROR(INDEX(样本到样信息汇总统计!F$2:F$500,MATCH(430,样本到样信息汇总统计!$X$2:$X$500,0)),"")</f>
        <v/>
      </c>
      <c r="G431" s="8" t="str">
        <f>IFERROR(INDEX(样本到样信息汇总统计!G$2:G$500,MATCH(430,样本到样信息汇总统计!$X$2:$X$500,0)),"")</f>
        <v/>
      </c>
      <c r="H431" s="8" t="str">
        <f>IFERROR(INDEX(样本到样信息汇总统计!H$2:H$500,MATCH(430,样本到样信息汇总统计!$X$2:$X$500,0)),"")</f>
        <v/>
      </c>
      <c r="I431" s="8" t="str">
        <f>IFERROR(INDEX(样本到样信息汇总统计!I$2:I$500,MATCH(430,样本到样信息汇总统计!$X$2:$X$500,0)),"")</f>
        <v/>
      </c>
      <c r="J431" s="8" t="str">
        <f>IFERROR(INDEX(样本到样信息汇总统计!J$2:J$500,MATCH(430,样本到样信息汇总统计!$X$2:$X$500,0)),"")</f>
        <v/>
      </c>
      <c r="K431" s="15" t="str">
        <f>IFERROR(INDEX(样本到样信息汇总统计!K$2:K$500,MATCH(430,样本到样信息汇总统计!$X$2:$X$500,0)),"")</f>
        <v/>
      </c>
      <c r="L431" s="8" t="str">
        <f>IFERROR(INDEX(样本到样信息汇总统计!L$2:L$500,MATCH(430,样本到样信息汇总统计!$X$2:$X$500,0)),"")</f>
        <v/>
      </c>
      <c r="M431" s="8" t="str">
        <f>IFERROR(INDEX(样本到样信息汇总统计!M$2:M$500,MATCH(430,样本到样信息汇总统计!$X$2:$X$500,0)),"")</f>
        <v/>
      </c>
      <c r="N431" s="8" t="str">
        <f>IFERROR(INDEX(样本到样信息汇总统计!N$2:N$500,MATCH(430,样本到样信息汇总统计!$X$2:$X$500,0)),"")</f>
        <v/>
      </c>
      <c r="O431" s="8" t="str">
        <f>IFERROR(INDEX(样本到样信息汇总统计!O$2:O$500,MATCH(430,样本到样信息汇总统计!$X$2:$X$500,0)),"")</f>
        <v/>
      </c>
      <c r="P431" s="8" t="str">
        <f>IFERROR(INDEX(样本到样信息汇总统计!P$2:P$500,MATCH(430,样本到样信息汇总统计!$X$2:$X$500,0)),"")</f>
        <v/>
      </c>
      <c r="Q431" s="8" t="str">
        <f>IFERROR(INDEX(样本到样信息汇总统计!Q$2:Q$500,MATCH(430,样本到样信息汇总统计!$X$2:$X$500,0)),"")</f>
        <v/>
      </c>
      <c r="R431" s="8" t="str">
        <f>IFERROR(INDEX(样本到样信息汇总统计!R$2:R$500,MATCH(430,样本到样信息汇总统计!$X$2:$X$500,0)),"")</f>
        <v/>
      </c>
      <c r="S431" s="8" t="str">
        <f>IFERROR(INDEX(样本到样信息汇总统计!S$2:S$500,MATCH(430,样本到样信息汇总统计!$X$2:$X$500,0)),"")</f>
        <v/>
      </c>
      <c r="T431" s="8" t="str">
        <f>IFERROR(INDEX(样本到样信息汇总统计!T$2:T$500,MATCH(430,样本到样信息汇总统计!$X$2:$X$500,0)),"")</f>
        <v/>
      </c>
      <c r="U431" s="8" t="str">
        <f>IFERROR(INDEX(样本到样信息汇总统计!U$2:U$500,MATCH(430,样本到样信息汇总统计!$X$2:$X$500,0)),"")</f>
        <v/>
      </c>
      <c r="V431" s="8" t="str">
        <f>IFERROR(INDEX(样本到样信息汇总统计!V$2:V$500,MATCH(430,样本到样信息汇总统计!$X$2:$X$500,0)),"")</f>
        <v/>
      </c>
      <c r="W431" s="8" t="str">
        <f>IFERROR(INDEX(样本到样信息汇总统计!W$2:W$500,MATCH(430,样本到样信息汇总统计!$X$2:$X$500,0)),"")</f>
        <v/>
      </c>
    </row>
    <row r="432" ht="14.5" spans="1:23">
      <c r="A432" s="4" t="str">
        <f>IFERROR(INDEX(样本到样信息汇总统计!A$2:A$500,MATCH(431,样本到样信息汇总统计!$X$2:$X$500,0)),"")</f>
        <v/>
      </c>
      <c r="B432" s="4" t="str">
        <f>IFERROR(INDEX(样本到样信息汇总统计!B$2:B$500,MATCH(431,样本到样信息汇总统计!$X$2:$X$500,0)),"")</f>
        <v/>
      </c>
      <c r="C432" s="4" t="str">
        <f>IFERROR(INDEX(样本到样信息汇总统计!C$2:C$500,MATCH(431,样本到样信息汇总统计!$X$2:$X$500,0)),"")</f>
        <v/>
      </c>
      <c r="D432" s="4" t="str">
        <f>IFERROR(INDEX(样本到样信息汇总统计!D$2:D$500,MATCH(431,样本到样信息汇总统计!$X$2:$X$500,0)),"")</f>
        <v/>
      </c>
      <c r="E432" s="4" t="str">
        <f>IFERROR(INDEX(样本到样信息汇总统计!E$2:E$500,MATCH(431,样本到样信息汇总统计!$X$2:$X$500,0)),"")</f>
        <v/>
      </c>
      <c r="F432" s="4" t="str">
        <f>IFERROR(INDEX(样本到样信息汇总统计!F$2:F$500,MATCH(431,样本到样信息汇总统计!$X$2:$X$500,0)),"")</f>
        <v/>
      </c>
      <c r="G432" s="4" t="str">
        <f>IFERROR(INDEX(样本到样信息汇总统计!G$2:G$500,MATCH(431,样本到样信息汇总统计!$X$2:$X$500,0)),"")</f>
        <v/>
      </c>
      <c r="H432" s="4" t="str">
        <f>IFERROR(INDEX(样本到样信息汇总统计!H$2:H$500,MATCH(431,样本到样信息汇总统计!$X$2:$X$500,0)),"")</f>
        <v/>
      </c>
      <c r="I432" s="4" t="str">
        <f>IFERROR(INDEX(样本到样信息汇总统计!I$2:I$500,MATCH(431,样本到样信息汇总统计!$X$2:$X$500,0)),"")</f>
        <v/>
      </c>
      <c r="J432" s="4" t="str">
        <f>IFERROR(INDEX(样本到样信息汇总统计!J$2:J$500,MATCH(431,样本到样信息汇总统计!$X$2:$X$500,0)),"")</f>
        <v/>
      </c>
      <c r="K432" s="14" t="str">
        <f>IFERROR(INDEX(样本到样信息汇总统计!K$2:K$500,MATCH(431,样本到样信息汇总统计!$X$2:$X$500,0)),"")</f>
        <v/>
      </c>
      <c r="L432" s="4" t="str">
        <f>IFERROR(INDEX(样本到样信息汇总统计!L$2:L$500,MATCH(431,样本到样信息汇总统计!$X$2:$X$500,0)),"")</f>
        <v/>
      </c>
      <c r="M432" s="4" t="str">
        <f>IFERROR(INDEX(样本到样信息汇总统计!M$2:M$500,MATCH(431,样本到样信息汇总统计!$X$2:$X$500,0)),"")</f>
        <v/>
      </c>
      <c r="N432" s="4" t="str">
        <f>IFERROR(INDEX(样本到样信息汇总统计!N$2:N$500,MATCH(431,样本到样信息汇总统计!$X$2:$X$500,0)),"")</f>
        <v/>
      </c>
      <c r="O432" s="4" t="str">
        <f>IFERROR(INDEX(样本到样信息汇总统计!O$2:O$500,MATCH(431,样本到样信息汇总统计!$X$2:$X$500,0)),"")</f>
        <v/>
      </c>
      <c r="P432" s="4" t="str">
        <f>IFERROR(INDEX(样本到样信息汇总统计!P$2:P$500,MATCH(431,样本到样信息汇总统计!$X$2:$X$500,0)),"")</f>
        <v/>
      </c>
      <c r="Q432" s="4" t="str">
        <f>IFERROR(INDEX(样本到样信息汇总统计!Q$2:Q$500,MATCH(431,样本到样信息汇总统计!$X$2:$X$500,0)),"")</f>
        <v/>
      </c>
      <c r="R432" s="4" t="str">
        <f>IFERROR(INDEX(样本到样信息汇总统计!R$2:R$500,MATCH(431,样本到样信息汇总统计!$X$2:$X$500,0)),"")</f>
        <v/>
      </c>
      <c r="S432" s="4" t="str">
        <f>IFERROR(INDEX(样本到样信息汇总统计!S$2:S$500,MATCH(431,样本到样信息汇总统计!$X$2:$X$500,0)),"")</f>
        <v/>
      </c>
      <c r="T432" s="4" t="str">
        <f>IFERROR(INDEX(样本到样信息汇总统计!T$2:T$500,MATCH(431,样本到样信息汇总统计!$X$2:$X$500,0)),"")</f>
        <v/>
      </c>
      <c r="U432" s="4" t="str">
        <f>IFERROR(INDEX(样本到样信息汇总统计!U$2:U$500,MATCH(431,样本到样信息汇总统计!$X$2:$X$500,0)),"")</f>
        <v/>
      </c>
      <c r="V432" s="4" t="str">
        <f>IFERROR(INDEX(样本到样信息汇总统计!V$2:V$500,MATCH(431,样本到样信息汇总统计!$X$2:$X$500,0)),"")</f>
        <v/>
      </c>
      <c r="W432" s="4" t="str">
        <f>IFERROR(INDEX(样本到样信息汇总统计!W$2:W$500,MATCH(431,样本到样信息汇总统计!$X$2:$X$500,0)),"")</f>
        <v/>
      </c>
    </row>
    <row r="433" ht="14.5" spans="1:23">
      <c r="A433" s="8" t="str">
        <f>IFERROR(INDEX(样本到样信息汇总统计!A$2:A$500,MATCH(432,样本到样信息汇总统计!$X$2:$X$500,0)),"")</f>
        <v/>
      </c>
      <c r="B433" s="8" t="str">
        <f>IFERROR(INDEX(样本到样信息汇总统计!B$2:B$500,MATCH(432,样本到样信息汇总统计!$X$2:$X$500,0)),"")</f>
        <v/>
      </c>
      <c r="C433" s="8" t="str">
        <f>IFERROR(INDEX(样本到样信息汇总统计!C$2:C$500,MATCH(432,样本到样信息汇总统计!$X$2:$X$500,0)),"")</f>
        <v/>
      </c>
      <c r="D433" s="8" t="str">
        <f>IFERROR(INDEX(样本到样信息汇总统计!D$2:D$500,MATCH(432,样本到样信息汇总统计!$X$2:$X$500,0)),"")</f>
        <v/>
      </c>
      <c r="E433" s="8" t="str">
        <f>IFERROR(INDEX(样本到样信息汇总统计!E$2:E$500,MATCH(432,样本到样信息汇总统计!$X$2:$X$500,0)),"")</f>
        <v/>
      </c>
      <c r="F433" s="8" t="str">
        <f>IFERROR(INDEX(样本到样信息汇总统计!F$2:F$500,MATCH(432,样本到样信息汇总统计!$X$2:$X$500,0)),"")</f>
        <v/>
      </c>
      <c r="G433" s="8" t="str">
        <f>IFERROR(INDEX(样本到样信息汇总统计!G$2:G$500,MATCH(432,样本到样信息汇总统计!$X$2:$X$500,0)),"")</f>
        <v/>
      </c>
      <c r="H433" s="8" t="str">
        <f>IFERROR(INDEX(样本到样信息汇总统计!H$2:H$500,MATCH(432,样本到样信息汇总统计!$X$2:$X$500,0)),"")</f>
        <v/>
      </c>
      <c r="I433" s="8" t="str">
        <f>IFERROR(INDEX(样本到样信息汇总统计!I$2:I$500,MATCH(432,样本到样信息汇总统计!$X$2:$X$500,0)),"")</f>
        <v/>
      </c>
      <c r="J433" s="8" t="str">
        <f>IFERROR(INDEX(样本到样信息汇总统计!J$2:J$500,MATCH(432,样本到样信息汇总统计!$X$2:$X$500,0)),"")</f>
        <v/>
      </c>
      <c r="K433" s="15" t="str">
        <f>IFERROR(INDEX(样本到样信息汇总统计!K$2:K$500,MATCH(432,样本到样信息汇总统计!$X$2:$X$500,0)),"")</f>
        <v/>
      </c>
      <c r="L433" s="8" t="str">
        <f>IFERROR(INDEX(样本到样信息汇总统计!L$2:L$500,MATCH(432,样本到样信息汇总统计!$X$2:$X$500,0)),"")</f>
        <v/>
      </c>
      <c r="M433" s="8" t="str">
        <f>IFERROR(INDEX(样本到样信息汇总统计!M$2:M$500,MATCH(432,样本到样信息汇总统计!$X$2:$X$500,0)),"")</f>
        <v/>
      </c>
      <c r="N433" s="8" t="str">
        <f>IFERROR(INDEX(样本到样信息汇总统计!N$2:N$500,MATCH(432,样本到样信息汇总统计!$X$2:$X$500,0)),"")</f>
        <v/>
      </c>
      <c r="O433" s="8" t="str">
        <f>IFERROR(INDEX(样本到样信息汇总统计!O$2:O$500,MATCH(432,样本到样信息汇总统计!$X$2:$X$500,0)),"")</f>
        <v/>
      </c>
      <c r="P433" s="8" t="str">
        <f>IFERROR(INDEX(样本到样信息汇总统计!P$2:P$500,MATCH(432,样本到样信息汇总统计!$X$2:$X$500,0)),"")</f>
        <v/>
      </c>
      <c r="Q433" s="8" t="str">
        <f>IFERROR(INDEX(样本到样信息汇总统计!Q$2:Q$500,MATCH(432,样本到样信息汇总统计!$X$2:$X$500,0)),"")</f>
        <v/>
      </c>
      <c r="R433" s="8" t="str">
        <f>IFERROR(INDEX(样本到样信息汇总统计!R$2:R$500,MATCH(432,样本到样信息汇总统计!$X$2:$X$500,0)),"")</f>
        <v/>
      </c>
      <c r="S433" s="8" t="str">
        <f>IFERROR(INDEX(样本到样信息汇总统计!S$2:S$500,MATCH(432,样本到样信息汇总统计!$X$2:$X$500,0)),"")</f>
        <v/>
      </c>
      <c r="T433" s="8" t="str">
        <f>IFERROR(INDEX(样本到样信息汇总统计!T$2:T$500,MATCH(432,样本到样信息汇总统计!$X$2:$X$500,0)),"")</f>
        <v/>
      </c>
      <c r="U433" s="8" t="str">
        <f>IFERROR(INDEX(样本到样信息汇总统计!U$2:U$500,MATCH(432,样本到样信息汇总统计!$X$2:$X$500,0)),"")</f>
        <v/>
      </c>
      <c r="V433" s="8" t="str">
        <f>IFERROR(INDEX(样本到样信息汇总统计!V$2:V$500,MATCH(432,样本到样信息汇总统计!$X$2:$X$500,0)),"")</f>
        <v/>
      </c>
      <c r="W433" s="8" t="str">
        <f>IFERROR(INDEX(样本到样信息汇总统计!W$2:W$500,MATCH(432,样本到样信息汇总统计!$X$2:$X$500,0)),"")</f>
        <v/>
      </c>
    </row>
    <row r="434" ht="14.5" spans="1:23">
      <c r="A434" s="4" t="str">
        <f>IFERROR(INDEX(样本到样信息汇总统计!A$2:A$500,MATCH(433,样本到样信息汇总统计!$X$2:$X$500,0)),"")</f>
        <v/>
      </c>
      <c r="B434" s="4" t="str">
        <f>IFERROR(INDEX(样本到样信息汇总统计!B$2:B$500,MATCH(433,样本到样信息汇总统计!$X$2:$X$500,0)),"")</f>
        <v/>
      </c>
      <c r="C434" s="4" t="str">
        <f>IFERROR(INDEX(样本到样信息汇总统计!C$2:C$500,MATCH(433,样本到样信息汇总统计!$X$2:$X$500,0)),"")</f>
        <v/>
      </c>
      <c r="D434" s="4" t="str">
        <f>IFERROR(INDEX(样本到样信息汇总统计!D$2:D$500,MATCH(433,样本到样信息汇总统计!$X$2:$X$500,0)),"")</f>
        <v/>
      </c>
      <c r="E434" s="4" t="str">
        <f>IFERROR(INDEX(样本到样信息汇总统计!E$2:E$500,MATCH(433,样本到样信息汇总统计!$X$2:$X$500,0)),"")</f>
        <v/>
      </c>
      <c r="F434" s="4" t="str">
        <f>IFERROR(INDEX(样本到样信息汇总统计!F$2:F$500,MATCH(433,样本到样信息汇总统计!$X$2:$X$500,0)),"")</f>
        <v/>
      </c>
      <c r="G434" s="4" t="str">
        <f>IFERROR(INDEX(样本到样信息汇总统计!G$2:G$500,MATCH(433,样本到样信息汇总统计!$X$2:$X$500,0)),"")</f>
        <v/>
      </c>
      <c r="H434" s="4" t="str">
        <f>IFERROR(INDEX(样本到样信息汇总统计!H$2:H$500,MATCH(433,样本到样信息汇总统计!$X$2:$X$500,0)),"")</f>
        <v/>
      </c>
      <c r="I434" s="4" t="str">
        <f>IFERROR(INDEX(样本到样信息汇总统计!I$2:I$500,MATCH(433,样本到样信息汇总统计!$X$2:$X$500,0)),"")</f>
        <v/>
      </c>
      <c r="J434" s="4" t="str">
        <f>IFERROR(INDEX(样本到样信息汇总统计!J$2:J$500,MATCH(433,样本到样信息汇总统计!$X$2:$X$500,0)),"")</f>
        <v/>
      </c>
      <c r="K434" s="14" t="str">
        <f>IFERROR(INDEX(样本到样信息汇总统计!K$2:K$500,MATCH(433,样本到样信息汇总统计!$X$2:$X$500,0)),"")</f>
        <v/>
      </c>
      <c r="L434" s="4" t="str">
        <f>IFERROR(INDEX(样本到样信息汇总统计!L$2:L$500,MATCH(433,样本到样信息汇总统计!$X$2:$X$500,0)),"")</f>
        <v/>
      </c>
      <c r="M434" s="4" t="str">
        <f>IFERROR(INDEX(样本到样信息汇总统计!M$2:M$500,MATCH(433,样本到样信息汇总统计!$X$2:$X$500,0)),"")</f>
        <v/>
      </c>
      <c r="N434" s="4" t="str">
        <f>IFERROR(INDEX(样本到样信息汇总统计!N$2:N$500,MATCH(433,样本到样信息汇总统计!$X$2:$X$500,0)),"")</f>
        <v/>
      </c>
      <c r="O434" s="4" t="str">
        <f>IFERROR(INDEX(样本到样信息汇总统计!O$2:O$500,MATCH(433,样本到样信息汇总统计!$X$2:$X$500,0)),"")</f>
        <v/>
      </c>
      <c r="P434" s="4" t="str">
        <f>IFERROR(INDEX(样本到样信息汇总统计!P$2:P$500,MATCH(433,样本到样信息汇总统计!$X$2:$X$500,0)),"")</f>
        <v/>
      </c>
      <c r="Q434" s="4" t="str">
        <f>IFERROR(INDEX(样本到样信息汇总统计!Q$2:Q$500,MATCH(433,样本到样信息汇总统计!$X$2:$X$500,0)),"")</f>
        <v/>
      </c>
      <c r="R434" s="4" t="str">
        <f>IFERROR(INDEX(样本到样信息汇总统计!R$2:R$500,MATCH(433,样本到样信息汇总统计!$X$2:$X$500,0)),"")</f>
        <v/>
      </c>
      <c r="S434" s="4" t="str">
        <f>IFERROR(INDEX(样本到样信息汇总统计!S$2:S$500,MATCH(433,样本到样信息汇总统计!$X$2:$X$500,0)),"")</f>
        <v/>
      </c>
      <c r="T434" s="4" t="str">
        <f>IFERROR(INDEX(样本到样信息汇总统计!T$2:T$500,MATCH(433,样本到样信息汇总统计!$X$2:$X$500,0)),"")</f>
        <v/>
      </c>
      <c r="U434" s="4" t="str">
        <f>IFERROR(INDEX(样本到样信息汇总统计!U$2:U$500,MATCH(433,样本到样信息汇总统计!$X$2:$X$500,0)),"")</f>
        <v/>
      </c>
      <c r="V434" s="4" t="str">
        <f>IFERROR(INDEX(样本到样信息汇总统计!V$2:V$500,MATCH(433,样本到样信息汇总统计!$X$2:$X$500,0)),"")</f>
        <v/>
      </c>
      <c r="W434" s="4" t="str">
        <f>IFERROR(INDEX(样本到样信息汇总统计!W$2:W$500,MATCH(433,样本到样信息汇总统计!$X$2:$X$500,0)),"")</f>
        <v/>
      </c>
    </row>
    <row r="435" ht="14.5" spans="1:23">
      <c r="A435" s="8" t="str">
        <f>IFERROR(INDEX(样本到样信息汇总统计!A$2:A$500,MATCH(434,样本到样信息汇总统计!$X$2:$X$500,0)),"")</f>
        <v/>
      </c>
      <c r="B435" s="8" t="str">
        <f>IFERROR(INDEX(样本到样信息汇总统计!B$2:B$500,MATCH(434,样本到样信息汇总统计!$X$2:$X$500,0)),"")</f>
        <v/>
      </c>
      <c r="C435" s="8" t="str">
        <f>IFERROR(INDEX(样本到样信息汇总统计!C$2:C$500,MATCH(434,样本到样信息汇总统计!$X$2:$X$500,0)),"")</f>
        <v/>
      </c>
      <c r="D435" s="8" t="str">
        <f>IFERROR(INDEX(样本到样信息汇总统计!D$2:D$500,MATCH(434,样本到样信息汇总统计!$X$2:$X$500,0)),"")</f>
        <v/>
      </c>
      <c r="E435" s="8" t="str">
        <f>IFERROR(INDEX(样本到样信息汇总统计!E$2:E$500,MATCH(434,样本到样信息汇总统计!$X$2:$X$500,0)),"")</f>
        <v/>
      </c>
      <c r="F435" s="8" t="str">
        <f>IFERROR(INDEX(样本到样信息汇总统计!F$2:F$500,MATCH(434,样本到样信息汇总统计!$X$2:$X$500,0)),"")</f>
        <v/>
      </c>
      <c r="G435" s="8" t="str">
        <f>IFERROR(INDEX(样本到样信息汇总统计!G$2:G$500,MATCH(434,样本到样信息汇总统计!$X$2:$X$500,0)),"")</f>
        <v/>
      </c>
      <c r="H435" s="8" t="str">
        <f>IFERROR(INDEX(样本到样信息汇总统计!H$2:H$500,MATCH(434,样本到样信息汇总统计!$X$2:$X$500,0)),"")</f>
        <v/>
      </c>
      <c r="I435" s="8" t="str">
        <f>IFERROR(INDEX(样本到样信息汇总统计!I$2:I$500,MATCH(434,样本到样信息汇总统计!$X$2:$X$500,0)),"")</f>
        <v/>
      </c>
      <c r="J435" s="8" t="str">
        <f>IFERROR(INDEX(样本到样信息汇总统计!J$2:J$500,MATCH(434,样本到样信息汇总统计!$X$2:$X$500,0)),"")</f>
        <v/>
      </c>
      <c r="K435" s="15" t="str">
        <f>IFERROR(INDEX(样本到样信息汇总统计!K$2:K$500,MATCH(434,样本到样信息汇总统计!$X$2:$X$500,0)),"")</f>
        <v/>
      </c>
      <c r="L435" s="8" t="str">
        <f>IFERROR(INDEX(样本到样信息汇总统计!L$2:L$500,MATCH(434,样本到样信息汇总统计!$X$2:$X$500,0)),"")</f>
        <v/>
      </c>
      <c r="M435" s="8" t="str">
        <f>IFERROR(INDEX(样本到样信息汇总统计!M$2:M$500,MATCH(434,样本到样信息汇总统计!$X$2:$X$500,0)),"")</f>
        <v/>
      </c>
      <c r="N435" s="8" t="str">
        <f>IFERROR(INDEX(样本到样信息汇总统计!N$2:N$500,MATCH(434,样本到样信息汇总统计!$X$2:$X$500,0)),"")</f>
        <v/>
      </c>
      <c r="O435" s="8" t="str">
        <f>IFERROR(INDEX(样本到样信息汇总统计!O$2:O$500,MATCH(434,样本到样信息汇总统计!$X$2:$X$500,0)),"")</f>
        <v/>
      </c>
      <c r="P435" s="8" t="str">
        <f>IFERROR(INDEX(样本到样信息汇总统计!P$2:P$500,MATCH(434,样本到样信息汇总统计!$X$2:$X$500,0)),"")</f>
        <v/>
      </c>
      <c r="Q435" s="8" t="str">
        <f>IFERROR(INDEX(样本到样信息汇总统计!Q$2:Q$500,MATCH(434,样本到样信息汇总统计!$X$2:$X$500,0)),"")</f>
        <v/>
      </c>
      <c r="R435" s="8" t="str">
        <f>IFERROR(INDEX(样本到样信息汇总统计!R$2:R$500,MATCH(434,样本到样信息汇总统计!$X$2:$X$500,0)),"")</f>
        <v/>
      </c>
      <c r="S435" s="8" t="str">
        <f>IFERROR(INDEX(样本到样信息汇总统计!S$2:S$500,MATCH(434,样本到样信息汇总统计!$X$2:$X$500,0)),"")</f>
        <v/>
      </c>
      <c r="T435" s="8" t="str">
        <f>IFERROR(INDEX(样本到样信息汇总统计!T$2:T$500,MATCH(434,样本到样信息汇总统计!$X$2:$X$500,0)),"")</f>
        <v/>
      </c>
      <c r="U435" s="8" t="str">
        <f>IFERROR(INDEX(样本到样信息汇总统计!U$2:U$500,MATCH(434,样本到样信息汇总统计!$X$2:$X$500,0)),"")</f>
        <v/>
      </c>
      <c r="V435" s="8" t="str">
        <f>IFERROR(INDEX(样本到样信息汇总统计!V$2:V$500,MATCH(434,样本到样信息汇总统计!$X$2:$X$500,0)),"")</f>
        <v/>
      </c>
      <c r="W435" s="8" t="str">
        <f>IFERROR(INDEX(样本到样信息汇总统计!W$2:W$500,MATCH(434,样本到样信息汇总统计!$X$2:$X$500,0)),"")</f>
        <v/>
      </c>
    </row>
    <row r="436" ht="14.5" spans="1:23">
      <c r="A436" s="4" t="str">
        <f>IFERROR(INDEX(样本到样信息汇总统计!A$2:A$500,MATCH(435,样本到样信息汇总统计!$X$2:$X$500,0)),"")</f>
        <v/>
      </c>
      <c r="B436" s="4" t="str">
        <f>IFERROR(INDEX(样本到样信息汇总统计!B$2:B$500,MATCH(435,样本到样信息汇总统计!$X$2:$X$500,0)),"")</f>
        <v/>
      </c>
      <c r="C436" s="4" t="str">
        <f>IFERROR(INDEX(样本到样信息汇总统计!C$2:C$500,MATCH(435,样本到样信息汇总统计!$X$2:$X$500,0)),"")</f>
        <v/>
      </c>
      <c r="D436" s="4" t="str">
        <f>IFERROR(INDEX(样本到样信息汇总统计!D$2:D$500,MATCH(435,样本到样信息汇总统计!$X$2:$X$500,0)),"")</f>
        <v/>
      </c>
      <c r="E436" s="4" t="str">
        <f>IFERROR(INDEX(样本到样信息汇总统计!E$2:E$500,MATCH(435,样本到样信息汇总统计!$X$2:$X$500,0)),"")</f>
        <v/>
      </c>
      <c r="F436" s="4" t="str">
        <f>IFERROR(INDEX(样本到样信息汇总统计!F$2:F$500,MATCH(435,样本到样信息汇总统计!$X$2:$X$500,0)),"")</f>
        <v/>
      </c>
      <c r="G436" s="4" t="str">
        <f>IFERROR(INDEX(样本到样信息汇总统计!G$2:G$500,MATCH(435,样本到样信息汇总统计!$X$2:$X$500,0)),"")</f>
        <v/>
      </c>
      <c r="H436" s="4" t="str">
        <f>IFERROR(INDEX(样本到样信息汇总统计!H$2:H$500,MATCH(435,样本到样信息汇总统计!$X$2:$X$500,0)),"")</f>
        <v/>
      </c>
      <c r="I436" s="4" t="str">
        <f>IFERROR(INDEX(样本到样信息汇总统计!I$2:I$500,MATCH(435,样本到样信息汇总统计!$X$2:$X$500,0)),"")</f>
        <v/>
      </c>
      <c r="J436" s="4" t="str">
        <f>IFERROR(INDEX(样本到样信息汇总统计!J$2:J$500,MATCH(435,样本到样信息汇总统计!$X$2:$X$500,0)),"")</f>
        <v/>
      </c>
      <c r="K436" s="14" t="str">
        <f>IFERROR(INDEX(样本到样信息汇总统计!K$2:K$500,MATCH(435,样本到样信息汇总统计!$X$2:$X$500,0)),"")</f>
        <v/>
      </c>
      <c r="L436" s="4" t="str">
        <f>IFERROR(INDEX(样本到样信息汇总统计!L$2:L$500,MATCH(435,样本到样信息汇总统计!$X$2:$X$500,0)),"")</f>
        <v/>
      </c>
      <c r="M436" s="4" t="str">
        <f>IFERROR(INDEX(样本到样信息汇总统计!M$2:M$500,MATCH(435,样本到样信息汇总统计!$X$2:$X$500,0)),"")</f>
        <v/>
      </c>
      <c r="N436" s="4" t="str">
        <f>IFERROR(INDEX(样本到样信息汇总统计!N$2:N$500,MATCH(435,样本到样信息汇总统计!$X$2:$X$500,0)),"")</f>
        <v/>
      </c>
      <c r="O436" s="4" t="str">
        <f>IFERROR(INDEX(样本到样信息汇总统计!O$2:O$500,MATCH(435,样本到样信息汇总统计!$X$2:$X$500,0)),"")</f>
        <v/>
      </c>
      <c r="P436" s="4" t="str">
        <f>IFERROR(INDEX(样本到样信息汇总统计!P$2:P$500,MATCH(435,样本到样信息汇总统计!$X$2:$X$500,0)),"")</f>
        <v/>
      </c>
      <c r="Q436" s="4" t="str">
        <f>IFERROR(INDEX(样本到样信息汇总统计!Q$2:Q$500,MATCH(435,样本到样信息汇总统计!$X$2:$X$500,0)),"")</f>
        <v/>
      </c>
      <c r="R436" s="4" t="str">
        <f>IFERROR(INDEX(样本到样信息汇总统计!R$2:R$500,MATCH(435,样本到样信息汇总统计!$X$2:$X$500,0)),"")</f>
        <v/>
      </c>
      <c r="S436" s="4" t="str">
        <f>IFERROR(INDEX(样本到样信息汇总统计!S$2:S$500,MATCH(435,样本到样信息汇总统计!$X$2:$X$500,0)),"")</f>
        <v/>
      </c>
      <c r="T436" s="4" t="str">
        <f>IFERROR(INDEX(样本到样信息汇总统计!T$2:T$500,MATCH(435,样本到样信息汇总统计!$X$2:$X$500,0)),"")</f>
        <v/>
      </c>
      <c r="U436" s="4" t="str">
        <f>IFERROR(INDEX(样本到样信息汇总统计!U$2:U$500,MATCH(435,样本到样信息汇总统计!$X$2:$X$500,0)),"")</f>
        <v/>
      </c>
      <c r="V436" s="4" t="str">
        <f>IFERROR(INDEX(样本到样信息汇总统计!V$2:V$500,MATCH(435,样本到样信息汇总统计!$X$2:$X$500,0)),"")</f>
        <v/>
      </c>
      <c r="W436" s="4" t="str">
        <f>IFERROR(INDEX(样本到样信息汇总统计!W$2:W$500,MATCH(435,样本到样信息汇总统计!$X$2:$X$500,0)),"")</f>
        <v/>
      </c>
    </row>
    <row r="437" ht="14.5" spans="1:23">
      <c r="A437" s="8" t="str">
        <f>IFERROR(INDEX(样本到样信息汇总统计!A$2:A$500,MATCH(436,样本到样信息汇总统计!$X$2:$X$500,0)),"")</f>
        <v/>
      </c>
      <c r="B437" s="8" t="str">
        <f>IFERROR(INDEX(样本到样信息汇总统计!B$2:B$500,MATCH(436,样本到样信息汇总统计!$X$2:$X$500,0)),"")</f>
        <v/>
      </c>
      <c r="C437" s="8" t="str">
        <f>IFERROR(INDEX(样本到样信息汇总统计!C$2:C$500,MATCH(436,样本到样信息汇总统计!$X$2:$X$500,0)),"")</f>
        <v/>
      </c>
      <c r="D437" s="8" t="str">
        <f>IFERROR(INDEX(样本到样信息汇总统计!D$2:D$500,MATCH(436,样本到样信息汇总统计!$X$2:$X$500,0)),"")</f>
        <v/>
      </c>
      <c r="E437" s="8" t="str">
        <f>IFERROR(INDEX(样本到样信息汇总统计!E$2:E$500,MATCH(436,样本到样信息汇总统计!$X$2:$X$500,0)),"")</f>
        <v/>
      </c>
      <c r="F437" s="8" t="str">
        <f>IFERROR(INDEX(样本到样信息汇总统计!F$2:F$500,MATCH(436,样本到样信息汇总统计!$X$2:$X$500,0)),"")</f>
        <v/>
      </c>
      <c r="G437" s="8" t="str">
        <f>IFERROR(INDEX(样本到样信息汇总统计!G$2:G$500,MATCH(436,样本到样信息汇总统计!$X$2:$X$500,0)),"")</f>
        <v/>
      </c>
      <c r="H437" s="8" t="str">
        <f>IFERROR(INDEX(样本到样信息汇总统计!H$2:H$500,MATCH(436,样本到样信息汇总统计!$X$2:$X$500,0)),"")</f>
        <v/>
      </c>
      <c r="I437" s="8" t="str">
        <f>IFERROR(INDEX(样本到样信息汇总统计!I$2:I$500,MATCH(436,样本到样信息汇总统计!$X$2:$X$500,0)),"")</f>
        <v/>
      </c>
      <c r="J437" s="8" t="str">
        <f>IFERROR(INDEX(样本到样信息汇总统计!J$2:J$500,MATCH(436,样本到样信息汇总统计!$X$2:$X$500,0)),"")</f>
        <v/>
      </c>
      <c r="K437" s="15" t="str">
        <f>IFERROR(INDEX(样本到样信息汇总统计!K$2:K$500,MATCH(436,样本到样信息汇总统计!$X$2:$X$500,0)),"")</f>
        <v/>
      </c>
      <c r="L437" s="8" t="str">
        <f>IFERROR(INDEX(样本到样信息汇总统计!L$2:L$500,MATCH(436,样本到样信息汇总统计!$X$2:$X$500,0)),"")</f>
        <v/>
      </c>
      <c r="M437" s="8" t="str">
        <f>IFERROR(INDEX(样本到样信息汇总统计!M$2:M$500,MATCH(436,样本到样信息汇总统计!$X$2:$X$500,0)),"")</f>
        <v/>
      </c>
      <c r="N437" s="8" t="str">
        <f>IFERROR(INDEX(样本到样信息汇总统计!N$2:N$500,MATCH(436,样本到样信息汇总统计!$X$2:$X$500,0)),"")</f>
        <v/>
      </c>
      <c r="O437" s="8" t="str">
        <f>IFERROR(INDEX(样本到样信息汇总统计!O$2:O$500,MATCH(436,样本到样信息汇总统计!$X$2:$X$500,0)),"")</f>
        <v/>
      </c>
      <c r="P437" s="8" t="str">
        <f>IFERROR(INDEX(样本到样信息汇总统计!P$2:P$500,MATCH(436,样本到样信息汇总统计!$X$2:$X$500,0)),"")</f>
        <v/>
      </c>
      <c r="Q437" s="8" t="str">
        <f>IFERROR(INDEX(样本到样信息汇总统计!Q$2:Q$500,MATCH(436,样本到样信息汇总统计!$X$2:$X$500,0)),"")</f>
        <v/>
      </c>
      <c r="R437" s="8" t="str">
        <f>IFERROR(INDEX(样本到样信息汇总统计!R$2:R$500,MATCH(436,样本到样信息汇总统计!$X$2:$X$500,0)),"")</f>
        <v/>
      </c>
      <c r="S437" s="8" t="str">
        <f>IFERROR(INDEX(样本到样信息汇总统计!S$2:S$500,MATCH(436,样本到样信息汇总统计!$X$2:$X$500,0)),"")</f>
        <v/>
      </c>
      <c r="T437" s="8" t="str">
        <f>IFERROR(INDEX(样本到样信息汇总统计!T$2:T$500,MATCH(436,样本到样信息汇总统计!$X$2:$X$500,0)),"")</f>
        <v/>
      </c>
      <c r="U437" s="8" t="str">
        <f>IFERROR(INDEX(样本到样信息汇总统计!U$2:U$500,MATCH(436,样本到样信息汇总统计!$X$2:$X$500,0)),"")</f>
        <v/>
      </c>
      <c r="V437" s="8" t="str">
        <f>IFERROR(INDEX(样本到样信息汇总统计!V$2:V$500,MATCH(436,样本到样信息汇总统计!$X$2:$X$500,0)),"")</f>
        <v/>
      </c>
      <c r="W437" s="8" t="str">
        <f>IFERROR(INDEX(样本到样信息汇总统计!W$2:W$500,MATCH(436,样本到样信息汇总统计!$X$2:$X$500,0)),"")</f>
        <v/>
      </c>
    </row>
    <row r="438" ht="14.5" spans="1:23">
      <c r="A438" s="4" t="str">
        <f>IFERROR(INDEX(样本到样信息汇总统计!A$2:A$500,MATCH(437,样本到样信息汇总统计!$X$2:$X$500,0)),"")</f>
        <v/>
      </c>
      <c r="B438" s="4" t="str">
        <f>IFERROR(INDEX(样本到样信息汇总统计!B$2:B$500,MATCH(437,样本到样信息汇总统计!$X$2:$X$500,0)),"")</f>
        <v/>
      </c>
      <c r="C438" s="4" t="str">
        <f>IFERROR(INDEX(样本到样信息汇总统计!C$2:C$500,MATCH(437,样本到样信息汇总统计!$X$2:$X$500,0)),"")</f>
        <v/>
      </c>
      <c r="D438" s="4" t="str">
        <f>IFERROR(INDEX(样本到样信息汇总统计!D$2:D$500,MATCH(437,样本到样信息汇总统计!$X$2:$X$500,0)),"")</f>
        <v/>
      </c>
      <c r="E438" s="4" t="str">
        <f>IFERROR(INDEX(样本到样信息汇总统计!E$2:E$500,MATCH(437,样本到样信息汇总统计!$X$2:$X$500,0)),"")</f>
        <v/>
      </c>
      <c r="F438" s="4" t="str">
        <f>IFERROR(INDEX(样本到样信息汇总统计!F$2:F$500,MATCH(437,样本到样信息汇总统计!$X$2:$X$500,0)),"")</f>
        <v/>
      </c>
      <c r="G438" s="4" t="str">
        <f>IFERROR(INDEX(样本到样信息汇总统计!G$2:G$500,MATCH(437,样本到样信息汇总统计!$X$2:$X$500,0)),"")</f>
        <v/>
      </c>
      <c r="H438" s="4" t="str">
        <f>IFERROR(INDEX(样本到样信息汇总统计!H$2:H$500,MATCH(437,样本到样信息汇总统计!$X$2:$X$500,0)),"")</f>
        <v/>
      </c>
      <c r="I438" s="4" t="str">
        <f>IFERROR(INDEX(样本到样信息汇总统计!I$2:I$500,MATCH(437,样本到样信息汇总统计!$X$2:$X$500,0)),"")</f>
        <v/>
      </c>
      <c r="J438" s="4" t="str">
        <f>IFERROR(INDEX(样本到样信息汇总统计!J$2:J$500,MATCH(437,样本到样信息汇总统计!$X$2:$X$500,0)),"")</f>
        <v/>
      </c>
      <c r="K438" s="14" t="str">
        <f>IFERROR(INDEX(样本到样信息汇总统计!K$2:K$500,MATCH(437,样本到样信息汇总统计!$X$2:$X$500,0)),"")</f>
        <v/>
      </c>
      <c r="L438" s="4" t="str">
        <f>IFERROR(INDEX(样本到样信息汇总统计!L$2:L$500,MATCH(437,样本到样信息汇总统计!$X$2:$X$500,0)),"")</f>
        <v/>
      </c>
      <c r="M438" s="4" t="str">
        <f>IFERROR(INDEX(样本到样信息汇总统计!M$2:M$500,MATCH(437,样本到样信息汇总统计!$X$2:$X$500,0)),"")</f>
        <v/>
      </c>
      <c r="N438" s="4" t="str">
        <f>IFERROR(INDEX(样本到样信息汇总统计!N$2:N$500,MATCH(437,样本到样信息汇总统计!$X$2:$X$500,0)),"")</f>
        <v/>
      </c>
      <c r="O438" s="4" t="str">
        <f>IFERROR(INDEX(样本到样信息汇总统计!O$2:O$500,MATCH(437,样本到样信息汇总统计!$X$2:$X$500,0)),"")</f>
        <v/>
      </c>
      <c r="P438" s="4" t="str">
        <f>IFERROR(INDEX(样本到样信息汇总统计!P$2:P$500,MATCH(437,样本到样信息汇总统计!$X$2:$X$500,0)),"")</f>
        <v/>
      </c>
      <c r="Q438" s="4" t="str">
        <f>IFERROR(INDEX(样本到样信息汇总统计!Q$2:Q$500,MATCH(437,样本到样信息汇总统计!$X$2:$X$500,0)),"")</f>
        <v/>
      </c>
      <c r="R438" s="4" t="str">
        <f>IFERROR(INDEX(样本到样信息汇总统计!R$2:R$500,MATCH(437,样本到样信息汇总统计!$X$2:$X$500,0)),"")</f>
        <v/>
      </c>
      <c r="S438" s="4" t="str">
        <f>IFERROR(INDEX(样本到样信息汇总统计!S$2:S$500,MATCH(437,样本到样信息汇总统计!$X$2:$X$500,0)),"")</f>
        <v/>
      </c>
      <c r="T438" s="4" t="str">
        <f>IFERROR(INDEX(样本到样信息汇总统计!T$2:T$500,MATCH(437,样本到样信息汇总统计!$X$2:$X$500,0)),"")</f>
        <v/>
      </c>
      <c r="U438" s="4" t="str">
        <f>IFERROR(INDEX(样本到样信息汇总统计!U$2:U$500,MATCH(437,样本到样信息汇总统计!$X$2:$X$500,0)),"")</f>
        <v/>
      </c>
      <c r="V438" s="4" t="str">
        <f>IFERROR(INDEX(样本到样信息汇总统计!V$2:V$500,MATCH(437,样本到样信息汇总统计!$X$2:$X$500,0)),"")</f>
        <v/>
      </c>
      <c r="W438" s="4" t="str">
        <f>IFERROR(INDEX(样本到样信息汇总统计!W$2:W$500,MATCH(437,样本到样信息汇总统计!$X$2:$X$500,0)),"")</f>
        <v/>
      </c>
    </row>
    <row r="439" ht="14.5" spans="1:23">
      <c r="A439" s="8" t="str">
        <f>IFERROR(INDEX(样本到样信息汇总统计!A$2:A$500,MATCH(438,样本到样信息汇总统计!$X$2:$X$500,0)),"")</f>
        <v/>
      </c>
      <c r="B439" s="8" t="str">
        <f>IFERROR(INDEX(样本到样信息汇总统计!B$2:B$500,MATCH(438,样本到样信息汇总统计!$X$2:$X$500,0)),"")</f>
        <v/>
      </c>
      <c r="C439" s="8" t="str">
        <f>IFERROR(INDEX(样本到样信息汇总统计!C$2:C$500,MATCH(438,样本到样信息汇总统计!$X$2:$X$500,0)),"")</f>
        <v/>
      </c>
      <c r="D439" s="8" t="str">
        <f>IFERROR(INDEX(样本到样信息汇总统计!D$2:D$500,MATCH(438,样本到样信息汇总统计!$X$2:$X$500,0)),"")</f>
        <v/>
      </c>
      <c r="E439" s="8" t="str">
        <f>IFERROR(INDEX(样本到样信息汇总统计!E$2:E$500,MATCH(438,样本到样信息汇总统计!$X$2:$X$500,0)),"")</f>
        <v/>
      </c>
      <c r="F439" s="8" t="str">
        <f>IFERROR(INDEX(样本到样信息汇总统计!F$2:F$500,MATCH(438,样本到样信息汇总统计!$X$2:$X$500,0)),"")</f>
        <v/>
      </c>
      <c r="G439" s="8" t="str">
        <f>IFERROR(INDEX(样本到样信息汇总统计!G$2:G$500,MATCH(438,样本到样信息汇总统计!$X$2:$X$500,0)),"")</f>
        <v/>
      </c>
      <c r="H439" s="8" t="str">
        <f>IFERROR(INDEX(样本到样信息汇总统计!H$2:H$500,MATCH(438,样本到样信息汇总统计!$X$2:$X$500,0)),"")</f>
        <v/>
      </c>
      <c r="I439" s="8" t="str">
        <f>IFERROR(INDEX(样本到样信息汇总统计!I$2:I$500,MATCH(438,样本到样信息汇总统计!$X$2:$X$500,0)),"")</f>
        <v/>
      </c>
      <c r="J439" s="8" t="str">
        <f>IFERROR(INDEX(样本到样信息汇总统计!J$2:J$500,MATCH(438,样本到样信息汇总统计!$X$2:$X$500,0)),"")</f>
        <v/>
      </c>
      <c r="K439" s="15" t="str">
        <f>IFERROR(INDEX(样本到样信息汇总统计!K$2:K$500,MATCH(438,样本到样信息汇总统计!$X$2:$X$500,0)),"")</f>
        <v/>
      </c>
      <c r="L439" s="8" t="str">
        <f>IFERROR(INDEX(样本到样信息汇总统计!L$2:L$500,MATCH(438,样本到样信息汇总统计!$X$2:$X$500,0)),"")</f>
        <v/>
      </c>
      <c r="M439" s="8" t="str">
        <f>IFERROR(INDEX(样本到样信息汇总统计!M$2:M$500,MATCH(438,样本到样信息汇总统计!$X$2:$X$500,0)),"")</f>
        <v/>
      </c>
      <c r="N439" s="8" t="str">
        <f>IFERROR(INDEX(样本到样信息汇总统计!N$2:N$500,MATCH(438,样本到样信息汇总统计!$X$2:$X$500,0)),"")</f>
        <v/>
      </c>
      <c r="O439" s="8" t="str">
        <f>IFERROR(INDEX(样本到样信息汇总统计!O$2:O$500,MATCH(438,样本到样信息汇总统计!$X$2:$X$500,0)),"")</f>
        <v/>
      </c>
      <c r="P439" s="8" t="str">
        <f>IFERROR(INDEX(样本到样信息汇总统计!P$2:P$500,MATCH(438,样本到样信息汇总统计!$X$2:$X$500,0)),"")</f>
        <v/>
      </c>
      <c r="Q439" s="8" t="str">
        <f>IFERROR(INDEX(样本到样信息汇总统计!Q$2:Q$500,MATCH(438,样本到样信息汇总统计!$X$2:$X$500,0)),"")</f>
        <v/>
      </c>
      <c r="R439" s="8" t="str">
        <f>IFERROR(INDEX(样本到样信息汇总统计!R$2:R$500,MATCH(438,样本到样信息汇总统计!$X$2:$X$500,0)),"")</f>
        <v/>
      </c>
      <c r="S439" s="8" t="str">
        <f>IFERROR(INDEX(样本到样信息汇总统计!S$2:S$500,MATCH(438,样本到样信息汇总统计!$X$2:$X$500,0)),"")</f>
        <v/>
      </c>
      <c r="T439" s="8" t="str">
        <f>IFERROR(INDEX(样本到样信息汇总统计!T$2:T$500,MATCH(438,样本到样信息汇总统计!$X$2:$X$500,0)),"")</f>
        <v/>
      </c>
      <c r="U439" s="8" t="str">
        <f>IFERROR(INDEX(样本到样信息汇总统计!U$2:U$500,MATCH(438,样本到样信息汇总统计!$X$2:$X$500,0)),"")</f>
        <v/>
      </c>
      <c r="V439" s="8" t="str">
        <f>IFERROR(INDEX(样本到样信息汇总统计!V$2:V$500,MATCH(438,样本到样信息汇总统计!$X$2:$X$500,0)),"")</f>
        <v/>
      </c>
      <c r="W439" s="8" t="str">
        <f>IFERROR(INDEX(样本到样信息汇总统计!W$2:W$500,MATCH(438,样本到样信息汇总统计!$X$2:$X$500,0)),"")</f>
        <v/>
      </c>
    </row>
    <row r="440" ht="14.5" spans="1:23">
      <c r="A440" s="4" t="str">
        <f>IFERROR(INDEX(样本到样信息汇总统计!A$2:A$500,MATCH(439,样本到样信息汇总统计!$X$2:$X$500,0)),"")</f>
        <v/>
      </c>
      <c r="B440" s="4" t="str">
        <f>IFERROR(INDEX(样本到样信息汇总统计!B$2:B$500,MATCH(439,样本到样信息汇总统计!$X$2:$X$500,0)),"")</f>
        <v/>
      </c>
      <c r="C440" s="4" t="str">
        <f>IFERROR(INDEX(样本到样信息汇总统计!C$2:C$500,MATCH(439,样本到样信息汇总统计!$X$2:$X$500,0)),"")</f>
        <v/>
      </c>
      <c r="D440" s="4" t="str">
        <f>IFERROR(INDEX(样本到样信息汇总统计!D$2:D$500,MATCH(439,样本到样信息汇总统计!$X$2:$X$500,0)),"")</f>
        <v/>
      </c>
      <c r="E440" s="4" t="str">
        <f>IFERROR(INDEX(样本到样信息汇总统计!E$2:E$500,MATCH(439,样本到样信息汇总统计!$X$2:$X$500,0)),"")</f>
        <v/>
      </c>
      <c r="F440" s="4" t="str">
        <f>IFERROR(INDEX(样本到样信息汇总统计!F$2:F$500,MATCH(439,样本到样信息汇总统计!$X$2:$X$500,0)),"")</f>
        <v/>
      </c>
      <c r="G440" s="4" t="str">
        <f>IFERROR(INDEX(样本到样信息汇总统计!G$2:G$500,MATCH(439,样本到样信息汇总统计!$X$2:$X$500,0)),"")</f>
        <v/>
      </c>
      <c r="H440" s="4" t="str">
        <f>IFERROR(INDEX(样本到样信息汇总统计!H$2:H$500,MATCH(439,样本到样信息汇总统计!$X$2:$X$500,0)),"")</f>
        <v/>
      </c>
      <c r="I440" s="4" t="str">
        <f>IFERROR(INDEX(样本到样信息汇总统计!I$2:I$500,MATCH(439,样本到样信息汇总统计!$X$2:$X$500,0)),"")</f>
        <v/>
      </c>
      <c r="J440" s="4" t="str">
        <f>IFERROR(INDEX(样本到样信息汇总统计!J$2:J$500,MATCH(439,样本到样信息汇总统计!$X$2:$X$500,0)),"")</f>
        <v/>
      </c>
      <c r="K440" s="14" t="str">
        <f>IFERROR(INDEX(样本到样信息汇总统计!K$2:K$500,MATCH(439,样本到样信息汇总统计!$X$2:$X$500,0)),"")</f>
        <v/>
      </c>
      <c r="L440" s="4" t="str">
        <f>IFERROR(INDEX(样本到样信息汇总统计!L$2:L$500,MATCH(439,样本到样信息汇总统计!$X$2:$X$500,0)),"")</f>
        <v/>
      </c>
      <c r="M440" s="4" t="str">
        <f>IFERROR(INDEX(样本到样信息汇总统计!M$2:M$500,MATCH(439,样本到样信息汇总统计!$X$2:$X$500,0)),"")</f>
        <v/>
      </c>
      <c r="N440" s="4" t="str">
        <f>IFERROR(INDEX(样本到样信息汇总统计!N$2:N$500,MATCH(439,样本到样信息汇总统计!$X$2:$X$500,0)),"")</f>
        <v/>
      </c>
      <c r="O440" s="4" t="str">
        <f>IFERROR(INDEX(样本到样信息汇总统计!O$2:O$500,MATCH(439,样本到样信息汇总统计!$X$2:$X$500,0)),"")</f>
        <v/>
      </c>
      <c r="P440" s="4" t="str">
        <f>IFERROR(INDEX(样本到样信息汇总统计!P$2:P$500,MATCH(439,样本到样信息汇总统计!$X$2:$X$500,0)),"")</f>
        <v/>
      </c>
      <c r="Q440" s="4" t="str">
        <f>IFERROR(INDEX(样本到样信息汇总统计!Q$2:Q$500,MATCH(439,样本到样信息汇总统计!$X$2:$X$500,0)),"")</f>
        <v/>
      </c>
      <c r="R440" s="4" t="str">
        <f>IFERROR(INDEX(样本到样信息汇总统计!R$2:R$500,MATCH(439,样本到样信息汇总统计!$X$2:$X$500,0)),"")</f>
        <v/>
      </c>
      <c r="S440" s="4" t="str">
        <f>IFERROR(INDEX(样本到样信息汇总统计!S$2:S$500,MATCH(439,样本到样信息汇总统计!$X$2:$X$500,0)),"")</f>
        <v/>
      </c>
      <c r="T440" s="4" t="str">
        <f>IFERROR(INDEX(样本到样信息汇总统计!T$2:T$500,MATCH(439,样本到样信息汇总统计!$X$2:$X$500,0)),"")</f>
        <v/>
      </c>
      <c r="U440" s="4" t="str">
        <f>IFERROR(INDEX(样本到样信息汇总统计!U$2:U$500,MATCH(439,样本到样信息汇总统计!$X$2:$X$500,0)),"")</f>
        <v/>
      </c>
      <c r="V440" s="4" t="str">
        <f>IFERROR(INDEX(样本到样信息汇总统计!V$2:V$500,MATCH(439,样本到样信息汇总统计!$X$2:$X$500,0)),"")</f>
        <v/>
      </c>
      <c r="W440" s="4" t="str">
        <f>IFERROR(INDEX(样本到样信息汇总统计!W$2:W$500,MATCH(439,样本到样信息汇总统计!$X$2:$X$500,0)),"")</f>
        <v/>
      </c>
    </row>
    <row r="441" ht="14.5" spans="1:23">
      <c r="A441" s="8" t="str">
        <f>IFERROR(INDEX(样本到样信息汇总统计!A$2:A$500,MATCH(440,样本到样信息汇总统计!$X$2:$X$500,0)),"")</f>
        <v/>
      </c>
      <c r="B441" s="8" t="str">
        <f>IFERROR(INDEX(样本到样信息汇总统计!B$2:B$500,MATCH(440,样本到样信息汇总统计!$X$2:$X$500,0)),"")</f>
        <v/>
      </c>
      <c r="C441" s="8" t="str">
        <f>IFERROR(INDEX(样本到样信息汇总统计!C$2:C$500,MATCH(440,样本到样信息汇总统计!$X$2:$X$500,0)),"")</f>
        <v/>
      </c>
      <c r="D441" s="8" t="str">
        <f>IFERROR(INDEX(样本到样信息汇总统计!D$2:D$500,MATCH(440,样本到样信息汇总统计!$X$2:$X$500,0)),"")</f>
        <v/>
      </c>
      <c r="E441" s="8" t="str">
        <f>IFERROR(INDEX(样本到样信息汇总统计!E$2:E$500,MATCH(440,样本到样信息汇总统计!$X$2:$X$500,0)),"")</f>
        <v/>
      </c>
      <c r="F441" s="8" t="str">
        <f>IFERROR(INDEX(样本到样信息汇总统计!F$2:F$500,MATCH(440,样本到样信息汇总统计!$X$2:$X$500,0)),"")</f>
        <v/>
      </c>
      <c r="G441" s="8" t="str">
        <f>IFERROR(INDEX(样本到样信息汇总统计!G$2:G$500,MATCH(440,样本到样信息汇总统计!$X$2:$X$500,0)),"")</f>
        <v/>
      </c>
      <c r="H441" s="8" t="str">
        <f>IFERROR(INDEX(样本到样信息汇总统计!H$2:H$500,MATCH(440,样本到样信息汇总统计!$X$2:$X$500,0)),"")</f>
        <v/>
      </c>
      <c r="I441" s="8" t="str">
        <f>IFERROR(INDEX(样本到样信息汇总统计!I$2:I$500,MATCH(440,样本到样信息汇总统计!$X$2:$X$500,0)),"")</f>
        <v/>
      </c>
      <c r="J441" s="8" t="str">
        <f>IFERROR(INDEX(样本到样信息汇总统计!J$2:J$500,MATCH(440,样本到样信息汇总统计!$X$2:$X$500,0)),"")</f>
        <v/>
      </c>
      <c r="K441" s="15" t="str">
        <f>IFERROR(INDEX(样本到样信息汇总统计!K$2:K$500,MATCH(440,样本到样信息汇总统计!$X$2:$X$500,0)),"")</f>
        <v/>
      </c>
      <c r="L441" s="8" t="str">
        <f>IFERROR(INDEX(样本到样信息汇总统计!L$2:L$500,MATCH(440,样本到样信息汇总统计!$X$2:$X$500,0)),"")</f>
        <v/>
      </c>
      <c r="M441" s="8" t="str">
        <f>IFERROR(INDEX(样本到样信息汇总统计!M$2:M$500,MATCH(440,样本到样信息汇总统计!$X$2:$X$500,0)),"")</f>
        <v/>
      </c>
      <c r="N441" s="8" t="str">
        <f>IFERROR(INDEX(样本到样信息汇总统计!N$2:N$500,MATCH(440,样本到样信息汇总统计!$X$2:$X$500,0)),"")</f>
        <v/>
      </c>
      <c r="O441" s="8" t="str">
        <f>IFERROR(INDEX(样本到样信息汇总统计!O$2:O$500,MATCH(440,样本到样信息汇总统计!$X$2:$X$500,0)),"")</f>
        <v/>
      </c>
      <c r="P441" s="8" t="str">
        <f>IFERROR(INDEX(样本到样信息汇总统计!P$2:P$500,MATCH(440,样本到样信息汇总统计!$X$2:$X$500,0)),"")</f>
        <v/>
      </c>
      <c r="Q441" s="8" t="str">
        <f>IFERROR(INDEX(样本到样信息汇总统计!Q$2:Q$500,MATCH(440,样本到样信息汇总统计!$X$2:$X$500,0)),"")</f>
        <v/>
      </c>
      <c r="R441" s="8" t="str">
        <f>IFERROR(INDEX(样本到样信息汇总统计!R$2:R$500,MATCH(440,样本到样信息汇总统计!$X$2:$X$500,0)),"")</f>
        <v/>
      </c>
      <c r="S441" s="8" t="str">
        <f>IFERROR(INDEX(样本到样信息汇总统计!S$2:S$500,MATCH(440,样本到样信息汇总统计!$X$2:$X$500,0)),"")</f>
        <v/>
      </c>
      <c r="T441" s="8" t="str">
        <f>IFERROR(INDEX(样本到样信息汇总统计!T$2:T$500,MATCH(440,样本到样信息汇总统计!$X$2:$X$500,0)),"")</f>
        <v/>
      </c>
      <c r="U441" s="8" t="str">
        <f>IFERROR(INDEX(样本到样信息汇总统计!U$2:U$500,MATCH(440,样本到样信息汇总统计!$X$2:$X$500,0)),"")</f>
        <v/>
      </c>
      <c r="V441" s="8" t="str">
        <f>IFERROR(INDEX(样本到样信息汇总统计!V$2:V$500,MATCH(440,样本到样信息汇总统计!$X$2:$X$500,0)),"")</f>
        <v/>
      </c>
      <c r="W441" s="8" t="str">
        <f>IFERROR(INDEX(样本到样信息汇总统计!W$2:W$500,MATCH(440,样本到样信息汇总统计!$X$2:$X$500,0)),"")</f>
        <v/>
      </c>
    </row>
    <row r="442" ht="14.5" spans="1:23">
      <c r="A442" s="4" t="str">
        <f>IFERROR(INDEX(样本到样信息汇总统计!A$2:A$500,MATCH(441,样本到样信息汇总统计!$X$2:$X$500,0)),"")</f>
        <v/>
      </c>
      <c r="B442" s="4" t="str">
        <f>IFERROR(INDEX(样本到样信息汇总统计!B$2:B$500,MATCH(441,样本到样信息汇总统计!$X$2:$X$500,0)),"")</f>
        <v/>
      </c>
      <c r="C442" s="4" t="str">
        <f>IFERROR(INDEX(样本到样信息汇总统计!C$2:C$500,MATCH(441,样本到样信息汇总统计!$X$2:$X$500,0)),"")</f>
        <v/>
      </c>
      <c r="D442" s="4" t="str">
        <f>IFERROR(INDEX(样本到样信息汇总统计!D$2:D$500,MATCH(441,样本到样信息汇总统计!$X$2:$X$500,0)),"")</f>
        <v/>
      </c>
      <c r="E442" s="4" t="str">
        <f>IFERROR(INDEX(样本到样信息汇总统计!E$2:E$500,MATCH(441,样本到样信息汇总统计!$X$2:$X$500,0)),"")</f>
        <v/>
      </c>
      <c r="F442" s="4" t="str">
        <f>IFERROR(INDEX(样本到样信息汇总统计!F$2:F$500,MATCH(441,样本到样信息汇总统计!$X$2:$X$500,0)),"")</f>
        <v/>
      </c>
      <c r="G442" s="4" t="str">
        <f>IFERROR(INDEX(样本到样信息汇总统计!G$2:G$500,MATCH(441,样本到样信息汇总统计!$X$2:$X$500,0)),"")</f>
        <v/>
      </c>
      <c r="H442" s="4" t="str">
        <f>IFERROR(INDEX(样本到样信息汇总统计!H$2:H$500,MATCH(441,样本到样信息汇总统计!$X$2:$X$500,0)),"")</f>
        <v/>
      </c>
      <c r="I442" s="4" t="str">
        <f>IFERROR(INDEX(样本到样信息汇总统计!I$2:I$500,MATCH(441,样本到样信息汇总统计!$X$2:$X$500,0)),"")</f>
        <v/>
      </c>
      <c r="J442" s="4" t="str">
        <f>IFERROR(INDEX(样本到样信息汇总统计!J$2:J$500,MATCH(441,样本到样信息汇总统计!$X$2:$X$500,0)),"")</f>
        <v/>
      </c>
      <c r="K442" s="14" t="str">
        <f>IFERROR(INDEX(样本到样信息汇总统计!K$2:K$500,MATCH(441,样本到样信息汇总统计!$X$2:$X$500,0)),"")</f>
        <v/>
      </c>
      <c r="L442" s="4" t="str">
        <f>IFERROR(INDEX(样本到样信息汇总统计!L$2:L$500,MATCH(441,样本到样信息汇总统计!$X$2:$X$500,0)),"")</f>
        <v/>
      </c>
      <c r="M442" s="4" t="str">
        <f>IFERROR(INDEX(样本到样信息汇总统计!M$2:M$500,MATCH(441,样本到样信息汇总统计!$X$2:$X$500,0)),"")</f>
        <v/>
      </c>
      <c r="N442" s="4" t="str">
        <f>IFERROR(INDEX(样本到样信息汇总统计!N$2:N$500,MATCH(441,样本到样信息汇总统计!$X$2:$X$500,0)),"")</f>
        <v/>
      </c>
      <c r="O442" s="4" t="str">
        <f>IFERROR(INDEX(样本到样信息汇总统计!O$2:O$500,MATCH(441,样本到样信息汇总统计!$X$2:$X$500,0)),"")</f>
        <v/>
      </c>
      <c r="P442" s="4" t="str">
        <f>IFERROR(INDEX(样本到样信息汇总统计!P$2:P$500,MATCH(441,样本到样信息汇总统计!$X$2:$X$500,0)),"")</f>
        <v/>
      </c>
      <c r="Q442" s="4" t="str">
        <f>IFERROR(INDEX(样本到样信息汇总统计!Q$2:Q$500,MATCH(441,样本到样信息汇总统计!$X$2:$X$500,0)),"")</f>
        <v/>
      </c>
      <c r="R442" s="4" t="str">
        <f>IFERROR(INDEX(样本到样信息汇总统计!R$2:R$500,MATCH(441,样本到样信息汇总统计!$X$2:$X$500,0)),"")</f>
        <v/>
      </c>
      <c r="S442" s="4" t="str">
        <f>IFERROR(INDEX(样本到样信息汇总统计!S$2:S$500,MATCH(441,样本到样信息汇总统计!$X$2:$X$500,0)),"")</f>
        <v/>
      </c>
      <c r="T442" s="4" t="str">
        <f>IFERROR(INDEX(样本到样信息汇总统计!T$2:T$500,MATCH(441,样本到样信息汇总统计!$X$2:$X$500,0)),"")</f>
        <v/>
      </c>
      <c r="U442" s="4" t="str">
        <f>IFERROR(INDEX(样本到样信息汇总统计!U$2:U$500,MATCH(441,样本到样信息汇总统计!$X$2:$X$500,0)),"")</f>
        <v/>
      </c>
      <c r="V442" s="4" t="str">
        <f>IFERROR(INDEX(样本到样信息汇总统计!V$2:V$500,MATCH(441,样本到样信息汇总统计!$X$2:$X$500,0)),"")</f>
        <v/>
      </c>
      <c r="W442" s="4" t="str">
        <f>IFERROR(INDEX(样本到样信息汇总统计!W$2:W$500,MATCH(441,样本到样信息汇总统计!$X$2:$X$500,0)),"")</f>
        <v/>
      </c>
    </row>
    <row r="443" ht="14.5" spans="1:23">
      <c r="A443" s="8" t="str">
        <f>IFERROR(INDEX(样本到样信息汇总统计!A$2:A$500,MATCH(442,样本到样信息汇总统计!$X$2:$X$500,0)),"")</f>
        <v/>
      </c>
      <c r="B443" s="8" t="str">
        <f>IFERROR(INDEX(样本到样信息汇总统计!B$2:B$500,MATCH(442,样本到样信息汇总统计!$X$2:$X$500,0)),"")</f>
        <v/>
      </c>
      <c r="C443" s="8" t="str">
        <f>IFERROR(INDEX(样本到样信息汇总统计!C$2:C$500,MATCH(442,样本到样信息汇总统计!$X$2:$X$500,0)),"")</f>
        <v/>
      </c>
      <c r="D443" s="8" t="str">
        <f>IFERROR(INDEX(样本到样信息汇总统计!D$2:D$500,MATCH(442,样本到样信息汇总统计!$X$2:$X$500,0)),"")</f>
        <v/>
      </c>
      <c r="E443" s="8" t="str">
        <f>IFERROR(INDEX(样本到样信息汇总统计!E$2:E$500,MATCH(442,样本到样信息汇总统计!$X$2:$X$500,0)),"")</f>
        <v/>
      </c>
      <c r="F443" s="8" t="str">
        <f>IFERROR(INDEX(样本到样信息汇总统计!F$2:F$500,MATCH(442,样本到样信息汇总统计!$X$2:$X$500,0)),"")</f>
        <v/>
      </c>
      <c r="G443" s="8" t="str">
        <f>IFERROR(INDEX(样本到样信息汇总统计!G$2:G$500,MATCH(442,样本到样信息汇总统计!$X$2:$X$500,0)),"")</f>
        <v/>
      </c>
      <c r="H443" s="8" t="str">
        <f>IFERROR(INDEX(样本到样信息汇总统计!H$2:H$500,MATCH(442,样本到样信息汇总统计!$X$2:$X$500,0)),"")</f>
        <v/>
      </c>
      <c r="I443" s="8" t="str">
        <f>IFERROR(INDEX(样本到样信息汇总统计!I$2:I$500,MATCH(442,样本到样信息汇总统计!$X$2:$X$500,0)),"")</f>
        <v/>
      </c>
      <c r="J443" s="8" t="str">
        <f>IFERROR(INDEX(样本到样信息汇总统计!J$2:J$500,MATCH(442,样本到样信息汇总统计!$X$2:$X$500,0)),"")</f>
        <v/>
      </c>
      <c r="K443" s="15" t="str">
        <f>IFERROR(INDEX(样本到样信息汇总统计!K$2:K$500,MATCH(442,样本到样信息汇总统计!$X$2:$X$500,0)),"")</f>
        <v/>
      </c>
      <c r="L443" s="8" t="str">
        <f>IFERROR(INDEX(样本到样信息汇总统计!L$2:L$500,MATCH(442,样本到样信息汇总统计!$X$2:$X$500,0)),"")</f>
        <v/>
      </c>
      <c r="M443" s="8" t="str">
        <f>IFERROR(INDEX(样本到样信息汇总统计!M$2:M$500,MATCH(442,样本到样信息汇总统计!$X$2:$X$500,0)),"")</f>
        <v/>
      </c>
      <c r="N443" s="8" t="str">
        <f>IFERROR(INDEX(样本到样信息汇总统计!N$2:N$500,MATCH(442,样本到样信息汇总统计!$X$2:$X$500,0)),"")</f>
        <v/>
      </c>
      <c r="O443" s="8" t="str">
        <f>IFERROR(INDEX(样本到样信息汇总统计!O$2:O$500,MATCH(442,样本到样信息汇总统计!$X$2:$X$500,0)),"")</f>
        <v/>
      </c>
      <c r="P443" s="8" t="str">
        <f>IFERROR(INDEX(样本到样信息汇总统计!P$2:P$500,MATCH(442,样本到样信息汇总统计!$X$2:$X$500,0)),"")</f>
        <v/>
      </c>
      <c r="Q443" s="8" t="str">
        <f>IFERROR(INDEX(样本到样信息汇总统计!Q$2:Q$500,MATCH(442,样本到样信息汇总统计!$X$2:$X$500,0)),"")</f>
        <v/>
      </c>
      <c r="R443" s="8" t="str">
        <f>IFERROR(INDEX(样本到样信息汇总统计!R$2:R$500,MATCH(442,样本到样信息汇总统计!$X$2:$X$500,0)),"")</f>
        <v/>
      </c>
      <c r="S443" s="8" t="str">
        <f>IFERROR(INDEX(样本到样信息汇总统计!S$2:S$500,MATCH(442,样本到样信息汇总统计!$X$2:$X$500,0)),"")</f>
        <v/>
      </c>
      <c r="T443" s="8" t="str">
        <f>IFERROR(INDEX(样本到样信息汇总统计!T$2:T$500,MATCH(442,样本到样信息汇总统计!$X$2:$X$500,0)),"")</f>
        <v/>
      </c>
      <c r="U443" s="8" t="str">
        <f>IFERROR(INDEX(样本到样信息汇总统计!U$2:U$500,MATCH(442,样本到样信息汇总统计!$X$2:$X$500,0)),"")</f>
        <v/>
      </c>
      <c r="V443" s="8" t="str">
        <f>IFERROR(INDEX(样本到样信息汇总统计!V$2:V$500,MATCH(442,样本到样信息汇总统计!$X$2:$X$500,0)),"")</f>
        <v/>
      </c>
      <c r="W443" s="8" t="str">
        <f>IFERROR(INDEX(样本到样信息汇总统计!W$2:W$500,MATCH(442,样本到样信息汇总统计!$X$2:$X$500,0)),"")</f>
        <v/>
      </c>
    </row>
    <row r="444" ht="14.5" spans="1:23">
      <c r="A444" s="4" t="str">
        <f>IFERROR(INDEX(样本到样信息汇总统计!A$2:A$500,MATCH(443,样本到样信息汇总统计!$X$2:$X$500,0)),"")</f>
        <v/>
      </c>
      <c r="B444" s="4" t="str">
        <f>IFERROR(INDEX(样本到样信息汇总统计!B$2:B$500,MATCH(443,样本到样信息汇总统计!$X$2:$X$500,0)),"")</f>
        <v/>
      </c>
      <c r="C444" s="4" t="str">
        <f>IFERROR(INDEX(样本到样信息汇总统计!C$2:C$500,MATCH(443,样本到样信息汇总统计!$X$2:$X$500,0)),"")</f>
        <v/>
      </c>
      <c r="D444" s="4" t="str">
        <f>IFERROR(INDEX(样本到样信息汇总统计!D$2:D$500,MATCH(443,样本到样信息汇总统计!$X$2:$X$500,0)),"")</f>
        <v/>
      </c>
      <c r="E444" s="4" t="str">
        <f>IFERROR(INDEX(样本到样信息汇总统计!E$2:E$500,MATCH(443,样本到样信息汇总统计!$X$2:$X$500,0)),"")</f>
        <v/>
      </c>
      <c r="F444" s="4" t="str">
        <f>IFERROR(INDEX(样本到样信息汇总统计!F$2:F$500,MATCH(443,样本到样信息汇总统计!$X$2:$X$500,0)),"")</f>
        <v/>
      </c>
      <c r="G444" s="4" t="str">
        <f>IFERROR(INDEX(样本到样信息汇总统计!G$2:G$500,MATCH(443,样本到样信息汇总统计!$X$2:$X$500,0)),"")</f>
        <v/>
      </c>
      <c r="H444" s="4" t="str">
        <f>IFERROR(INDEX(样本到样信息汇总统计!H$2:H$500,MATCH(443,样本到样信息汇总统计!$X$2:$X$500,0)),"")</f>
        <v/>
      </c>
      <c r="I444" s="4" t="str">
        <f>IFERROR(INDEX(样本到样信息汇总统计!I$2:I$500,MATCH(443,样本到样信息汇总统计!$X$2:$X$500,0)),"")</f>
        <v/>
      </c>
      <c r="J444" s="4" t="str">
        <f>IFERROR(INDEX(样本到样信息汇总统计!J$2:J$500,MATCH(443,样本到样信息汇总统计!$X$2:$X$500,0)),"")</f>
        <v/>
      </c>
      <c r="K444" s="14" t="str">
        <f>IFERROR(INDEX(样本到样信息汇总统计!K$2:K$500,MATCH(443,样本到样信息汇总统计!$X$2:$X$500,0)),"")</f>
        <v/>
      </c>
      <c r="L444" s="4" t="str">
        <f>IFERROR(INDEX(样本到样信息汇总统计!L$2:L$500,MATCH(443,样本到样信息汇总统计!$X$2:$X$500,0)),"")</f>
        <v/>
      </c>
      <c r="M444" s="4" t="str">
        <f>IFERROR(INDEX(样本到样信息汇总统计!M$2:M$500,MATCH(443,样本到样信息汇总统计!$X$2:$X$500,0)),"")</f>
        <v/>
      </c>
      <c r="N444" s="4" t="str">
        <f>IFERROR(INDEX(样本到样信息汇总统计!N$2:N$500,MATCH(443,样本到样信息汇总统计!$X$2:$X$500,0)),"")</f>
        <v/>
      </c>
      <c r="O444" s="4" t="str">
        <f>IFERROR(INDEX(样本到样信息汇总统计!O$2:O$500,MATCH(443,样本到样信息汇总统计!$X$2:$X$500,0)),"")</f>
        <v/>
      </c>
      <c r="P444" s="4" t="str">
        <f>IFERROR(INDEX(样本到样信息汇总统计!P$2:P$500,MATCH(443,样本到样信息汇总统计!$X$2:$X$500,0)),"")</f>
        <v/>
      </c>
      <c r="Q444" s="4" t="str">
        <f>IFERROR(INDEX(样本到样信息汇总统计!Q$2:Q$500,MATCH(443,样本到样信息汇总统计!$X$2:$X$500,0)),"")</f>
        <v/>
      </c>
      <c r="R444" s="4" t="str">
        <f>IFERROR(INDEX(样本到样信息汇总统计!R$2:R$500,MATCH(443,样本到样信息汇总统计!$X$2:$X$500,0)),"")</f>
        <v/>
      </c>
      <c r="S444" s="4" t="str">
        <f>IFERROR(INDEX(样本到样信息汇总统计!S$2:S$500,MATCH(443,样本到样信息汇总统计!$X$2:$X$500,0)),"")</f>
        <v/>
      </c>
      <c r="T444" s="4" t="str">
        <f>IFERROR(INDEX(样本到样信息汇总统计!T$2:T$500,MATCH(443,样本到样信息汇总统计!$X$2:$X$500,0)),"")</f>
        <v/>
      </c>
      <c r="U444" s="4" t="str">
        <f>IFERROR(INDEX(样本到样信息汇总统计!U$2:U$500,MATCH(443,样本到样信息汇总统计!$X$2:$X$500,0)),"")</f>
        <v/>
      </c>
      <c r="V444" s="4" t="str">
        <f>IFERROR(INDEX(样本到样信息汇总统计!V$2:V$500,MATCH(443,样本到样信息汇总统计!$X$2:$X$500,0)),"")</f>
        <v/>
      </c>
      <c r="W444" s="4" t="str">
        <f>IFERROR(INDEX(样本到样信息汇总统计!W$2:W$500,MATCH(443,样本到样信息汇总统计!$X$2:$X$500,0)),"")</f>
        <v/>
      </c>
    </row>
    <row r="445" ht="14.5" spans="1:23">
      <c r="A445" s="8" t="str">
        <f>IFERROR(INDEX(样本到样信息汇总统计!A$2:A$500,MATCH(444,样本到样信息汇总统计!$X$2:$X$500,0)),"")</f>
        <v/>
      </c>
      <c r="B445" s="8" t="str">
        <f>IFERROR(INDEX(样本到样信息汇总统计!B$2:B$500,MATCH(444,样本到样信息汇总统计!$X$2:$X$500,0)),"")</f>
        <v/>
      </c>
      <c r="C445" s="8" t="str">
        <f>IFERROR(INDEX(样本到样信息汇总统计!C$2:C$500,MATCH(444,样本到样信息汇总统计!$X$2:$X$500,0)),"")</f>
        <v/>
      </c>
      <c r="D445" s="8" t="str">
        <f>IFERROR(INDEX(样本到样信息汇总统计!D$2:D$500,MATCH(444,样本到样信息汇总统计!$X$2:$X$500,0)),"")</f>
        <v/>
      </c>
      <c r="E445" s="8" t="str">
        <f>IFERROR(INDEX(样本到样信息汇总统计!E$2:E$500,MATCH(444,样本到样信息汇总统计!$X$2:$X$500,0)),"")</f>
        <v/>
      </c>
      <c r="F445" s="8" t="str">
        <f>IFERROR(INDEX(样本到样信息汇总统计!F$2:F$500,MATCH(444,样本到样信息汇总统计!$X$2:$X$500,0)),"")</f>
        <v/>
      </c>
      <c r="G445" s="8" t="str">
        <f>IFERROR(INDEX(样本到样信息汇总统计!G$2:G$500,MATCH(444,样本到样信息汇总统计!$X$2:$X$500,0)),"")</f>
        <v/>
      </c>
      <c r="H445" s="8" t="str">
        <f>IFERROR(INDEX(样本到样信息汇总统计!H$2:H$500,MATCH(444,样本到样信息汇总统计!$X$2:$X$500,0)),"")</f>
        <v/>
      </c>
      <c r="I445" s="8" t="str">
        <f>IFERROR(INDEX(样本到样信息汇总统计!I$2:I$500,MATCH(444,样本到样信息汇总统计!$X$2:$X$500,0)),"")</f>
        <v/>
      </c>
      <c r="J445" s="8" t="str">
        <f>IFERROR(INDEX(样本到样信息汇总统计!J$2:J$500,MATCH(444,样本到样信息汇总统计!$X$2:$X$500,0)),"")</f>
        <v/>
      </c>
      <c r="K445" s="15" t="str">
        <f>IFERROR(INDEX(样本到样信息汇总统计!K$2:K$500,MATCH(444,样本到样信息汇总统计!$X$2:$X$500,0)),"")</f>
        <v/>
      </c>
      <c r="L445" s="8" t="str">
        <f>IFERROR(INDEX(样本到样信息汇总统计!L$2:L$500,MATCH(444,样本到样信息汇总统计!$X$2:$X$500,0)),"")</f>
        <v/>
      </c>
      <c r="M445" s="8" t="str">
        <f>IFERROR(INDEX(样本到样信息汇总统计!M$2:M$500,MATCH(444,样本到样信息汇总统计!$X$2:$X$500,0)),"")</f>
        <v/>
      </c>
      <c r="N445" s="8" t="str">
        <f>IFERROR(INDEX(样本到样信息汇总统计!N$2:N$500,MATCH(444,样本到样信息汇总统计!$X$2:$X$500,0)),"")</f>
        <v/>
      </c>
      <c r="O445" s="8" t="str">
        <f>IFERROR(INDEX(样本到样信息汇总统计!O$2:O$500,MATCH(444,样本到样信息汇总统计!$X$2:$X$500,0)),"")</f>
        <v/>
      </c>
      <c r="P445" s="8" t="str">
        <f>IFERROR(INDEX(样本到样信息汇总统计!P$2:P$500,MATCH(444,样本到样信息汇总统计!$X$2:$X$500,0)),"")</f>
        <v/>
      </c>
      <c r="Q445" s="8" t="str">
        <f>IFERROR(INDEX(样本到样信息汇总统计!Q$2:Q$500,MATCH(444,样本到样信息汇总统计!$X$2:$X$500,0)),"")</f>
        <v/>
      </c>
      <c r="R445" s="8" t="str">
        <f>IFERROR(INDEX(样本到样信息汇总统计!R$2:R$500,MATCH(444,样本到样信息汇总统计!$X$2:$X$500,0)),"")</f>
        <v/>
      </c>
      <c r="S445" s="8" t="str">
        <f>IFERROR(INDEX(样本到样信息汇总统计!S$2:S$500,MATCH(444,样本到样信息汇总统计!$X$2:$X$500,0)),"")</f>
        <v/>
      </c>
      <c r="T445" s="8" t="str">
        <f>IFERROR(INDEX(样本到样信息汇总统计!T$2:T$500,MATCH(444,样本到样信息汇总统计!$X$2:$X$500,0)),"")</f>
        <v/>
      </c>
      <c r="U445" s="8" t="str">
        <f>IFERROR(INDEX(样本到样信息汇总统计!U$2:U$500,MATCH(444,样本到样信息汇总统计!$X$2:$X$500,0)),"")</f>
        <v/>
      </c>
      <c r="V445" s="8" t="str">
        <f>IFERROR(INDEX(样本到样信息汇总统计!V$2:V$500,MATCH(444,样本到样信息汇总统计!$X$2:$X$500,0)),"")</f>
        <v/>
      </c>
      <c r="W445" s="8" t="str">
        <f>IFERROR(INDEX(样本到样信息汇总统计!W$2:W$500,MATCH(444,样本到样信息汇总统计!$X$2:$X$500,0)),"")</f>
        <v/>
      </c>
    </row>
    <row r="446" ht="14.5" spans="1:23">
      <c r="A446" s="4" t="str">
        <f>IFERROR(INDEX(样本到样信息汇总统计!A$2:A$500,MATCH(445,样本到样信息汇总统计!$X$2:$X$500,0)),"")</f>
        <v/>
      </c>
      <c r="B446" s="4" t="str">
        <f>IFERROR(INDEX(样本到样信息汇总统计!B$2:B$500,MATCH(445,样本到样信息汇总统计!$X$2:$X$500,0)),"")</f>
        <v/>
      </c>
      <c r="C446" s="4" t="str">
        <f>IFERROR(INDEX(样本到样信息汇总统计!C$2:C$500,MATCH(445,样本到样信息汇总统计!$X$2:$X$500,0)),"")</f>
        <v/>
      </c>
      <c r="D446" s="4" t="str">
        <f>IFERROR(INDEX(样本到样信息汇总统计!D$2:D$500,MATCH(445,样本到样信息汇总统计!$X$2:$X$500,0)),"")</f>
        <v/>
      </c>
      <c r="E446" s="4" t="str">
        <f>IFERROR(INDEX(样本到样信息汇总统计!E$2:E$500,MATCH(445,样本到样信息汇总统计!$X$2:$X$500,0)),"")</f>
        <v/>
      </c>
      <c r="F446" s="4" t="str">
        <f>IFERROR(INDEX(样本到样信息汇总统计!F$2:F$500,MATCH(445,样本到样信息汇总统计!$X$2:$X$500,0)),"")</f>
        <v/>
      </c>
      <c r="G446" s="4" t="str">
        <f>IFERROR(INDEX(样本到样信息汇总统计!G$2:G$500,MATCH(445,样本到样信息汇总统计!$X$2:$X$500,0)),"")</f>
        <v/>
      </c>
      <c r="H446" s="4" t="str">
        <f>IFERROR(INDEX(样本到样信息汇总统计!H$2:H$500,MATCH(445,样本到样信息汇总统计!$X$2:$X$500,0)),"")</f>
        <v/>
      </c>
      <c r="I446" s="4" t="str">
        <f>IFERROR(INDEX(样本到样信息汇总统计!I$2:I$500,MATCH(445,样本到样信息汇总统计!$X$2:$X$500,0)),"")</f>
        <v/>
      </c>
      <c r="J446" s="4" t="str">
        <f>IFERROR(INDEX(样本到样信息汇总统计!J$2:J$500,MATCH(445,样本到样信息汇总统计!$X$2:$X$500,0)),"")</f>
        <v/>
      </c>
      <c r="K446" s="14" t="str">
        <f>IFERROR(INDEX(样本到样信息汇总统计!K$2:K$500,MATCH(445,样本到样信息汇总统计!$X$2:$X$500,0)),"")</f>
        <v/>
      </c>
      <c r="L446" s="4" t="str">
        <f>IFERROR(INDEX(样本到样信息汇总统计!L$2:L$500,MATCH(445,样本到样信息汇总统计!$X$2:$X$500,0)),"")</f>
        <v/>
      </c>
      <c r="M446" s="4" t="str">
        <f>IFERROR(INDEX(样本到样信息汇总统计!M$2:M$500,MATCH(445,样本到样信息汇总统计!$X$2:$X$500,0)),"")</f>
        <v/>
      </c>
      <c r="N446" s="4" t="str">
        <f>IFERROR(INDEX(样本到样信息汇总统计!N$2:N$500,MATCH(445,样本到样信息汇总统计!$X$2:$X$500,0)),"")</f>
        <v/>
      </c>
      <c r="O446" s="4" t="str">
        <f>IFERROR(INDEX(样本到样信息汇总统计!O$2:O$500,MATCH(445,样本到样信息汇总统计!$X$2:$X$500,0)),"")</f>
        <v/>
      </c>
      <c r="P446" s="4" t="str">
        <f>IFERROR(INDEX(样本到样信息汇总统计!P$2:P$500,MATCH(445,样本到样信息汇总统计!$X$2:$X$500,0)),"")</f>
        <v/>
      </c>
      <c r="Q446" s="4" t="str">
        <f>IFERROR(INDEX(样本到样信息汇总统计!Q$2:Q$500,MATCH(445,样本到样信息汇总统计!$X$2:$X$500,0)),"")</f>
        <v/>
      </c>
      <c r="R446" s="4" t="str">
        <f>IFERROR(INDEX(样本到样信息汇总统计!R$2:R$500,MATCH(445,样本到样信息汇总统计!$X$2:$X$500,0)),"")</f>
        <v/>
      </c>
      <c r="S446" s="4" t="str">
        <f>IFERROR(INDEX(样本到样信息汇总统计!S$2:S$500,MATCH(445,样本到样信息汇总统计!$X$2:$X$500,0)),"")</f>
        <v/>
      </c>
      <c r="T446" s="4" t="str">
        <f>IFERROR(INDEX(样本到样信息汇总统计!T$2:T$500,MATCH(445,样本到样信息汇总统计!$X$2:$X$500,0)),"")</f>
        <v/>
      </c>
      <c r="U446" s="4" t="str">
        <f>IFERROR(INDEX(样本到样信息汇总统计!U$2:U$500,MATCH(445,样本到样信息汇总统计!$X$2:$X$500,0)),"")</f>
        <v/>
      </c>
      <c r="V446" s="4" t="str">
        <f>IFERROR(INDEX(样本到样信息汇总统计!V$2:V$500,MATCH(445,样本到样信息汇总统计!$X$2:$X$500,0)),"")</f>
        <v/>
      </c>
      <c r="W446" s="4" t="str">
        <f>IFERROR(INDEX(样本到样信息汇总统计!W$2:W$500,MATCH(445,样本到样信息汇总统计!$X$2:$X$500,0)),"")</f>
        <v/>
      </c>
    </row>
    <row r="447" ht="14.5" spans="1:23">
      <c r="A447" s="8" t="str">
        <f>IFERROR(INDEX(样本到样信息汇总统计!A$2:A$500,MATCH(446,样本到样信息汇总统计!$X$2:$X$500,0)),"")</f>
        <v/>
      </c>
      <c r="B447" s="8" t="str">
        <f>IFERROR(INDEX(样本到样信息汇总统计!B$2:B$500,MATCH(446,样本到样信息汇总统计!$X$2:$X$500,0)),"")</f>
        <v/>
      </c>
      <c r="C447" s="8" t="str">
        <f>IFERROR(INDEX(样本到样信息汇总统计!C$2:C$500,MATCH(446,样本到样信息汇总统计!$X$2:$X$500,0)),"")</f>
        <v/>
      </c>
      <c r="D447" s="8" t="str">
        <f>IFERROR(INDEX(样本到样信息汇总统计!D$2:D$500,MATCH(446,样本到样信息汇总统计!$X$2:$X$500,0)),"")</f>
        <v/>
      </c>
      <c r="E447" s="8" t="str">
        <f>IFERROR(INDEX(样本到样信息汇总统计!E$2:E$500,MATCH(446,样本到样信息汇总统计!$X$2:$X$500,0)),"")</f>
        <v/>
      </c>
      <c r="F447" s="8" t="str">
        <f>IFERROR(INDEX(样本到样信息汇总统计!F$2:F$500,MATCH(446,样本到样信息汇总统计!$X$2:$X$500,0)),"")</f>
        <v/>
      </c>
      <c r="G447" s="8" t="str">
        <f>IFERROR(INDEX(样本到样信息汇总统计!G$2:G$500,MATCH(446,样本到样信息汇总统计!$X$2:$X$500,0)),"")</f>
        <v/>
      </c>
      <c r="H447" s="8" t="str">
        <f>IFERROR(INDEX(样本到样信息汇总统计!H$2:H$500,MATCH(446,样本到样信息汇总统计!$X$2:$X$500,0)),"")</f>
        <v/>
      </c>
      <c r="I447" s="8" t="str">
        <f>IFERROR(INDEX(样本到样信息汇总统计!I$2:I$500,MATCH(446,样本到样信息汇总统计!$X$2:$X$500,0)),"")</f>
        <v/>
      </c>
      <c r="J447" s="8" t="str">
        <f>IFERROR(INDEX(样本到样信息汇总统计!J$2:J$500,MATCH(446,样本到样信息汇总统计!$X$2:$X$500,0)),"")</f>
        <v/>
      </c>
      <c r="K447" s="15" t="str">
        <f>IFERROR(INDEX(样本到样信息汇总统计!K$2:K$500,MATCH(446,样本到样信息汇总统计!$X$2:$X$500,0)),"")</f>
        <v/>
      </c>
      <c r="L447" s="8" t="str">
        <f>IFERROR(INDEX(样本到样信息汇总统计!L$2:L$500,MATCH(446,样本到样信息汇总统计!$X$2:$X$500,0)),"")</f>
        <v/>
      </c>
      <c r="M447" s="8" t="str">
        <f>IFERROR(INDEX(样本到样信息汇总统计!M$2:M$500,MATCH(446,样本到样信息汇总统计!$X$2:$X$500,0)),"")</f>
        <v/>
      </c>
      <c r="N447" s="8" t="str">
        <f>IFERROR(INDEX(样本到样信息汇总统计!N$2:N$500,MATCH(446,样本到样信息汇总统计!$X$2:$X$500,0)),"")</f>
        <v/>
      </c>
      <c r="O447" s="8" t="str">
        <f>IFERROR(INDEX(样本到样信息汇总统计!O$2:O$500,MATCH(446,样本到样信息汇总统计!$X$2:$X$500,0)),"")</f>
        <v/>
      </c>
      <c r="P447" s="8" t="str">
        <f>IFERROR(INDEX(样本到样信息汇总统计!P$2:P$500,MATCH(446,样本到样信息汇总统计!$X$2:$X$500,0)),"")</f>
        <v/>
      </c>
      <c r="Q447" s="8" t="str">
        <f>IFERROR(INDEX(样本到样信息汇总统计!Q$2:Q$500,MATCH(446,样本到样信息汇总统计!$X$2:$X$500,0)),"")</f>
        <v/>
      </c>
      <c r="R447" s="8" t="str">
        <f>IFERROR(INDEX(样本到样信息汇总统计!R$2:R$500,MATCH(446,样本到样信息汇总统计!$X$2:$X$500,0)),"")</f>
        <v/>
      </c>
      <c r="S447" s="8" t="str">
        <f>IFERROR(INDEX(样本到样信息汇总统计!S$2:S$500,MATCH(446,样本到样信息汇总统计!$X$2:$X$500,0)),"")</f>
        <v/>
      </c>
      <c r="T447" s="8" t="str">
        <f>IFERROR(INDEX(样本到样信息汇总统计!T$2:T$500,MATCH(446,样本到样信息汇总统计!$X$2:$X$500,0)),"")</f>
        <v/>
      </c>
      <c r="U447" s="8" t="str">
        <f>IFERROR(INDEX(样本到样信息汇总统计!U$2:U$500,MATCH(446,样本到样信息汇总统计!$X$2:$X$500,0)),"")</f>
        <v/>
      </c>
      <c r="V447" s="8" t="str">
        <f>IFERROR(INDEX(样本到样信息汇总统计!V$2:V$500,MATCH(446,样本到样信息汇总统计!$X$2:$X$500,0)),"")</f>
        <v/>
      </c>
      <c r="W447" s="8" t="str">
        <f>IFERROR(INDEX(样本到样信息汇总统计!W$2:W$500,MATCH(446,样本到样信息汇总统计!$X$2:$X$500,0)),"")</f>
        <v/>
      </c>
    </row>
    <row r="448" ht="14.5" spans="1:23">
      <c r="A448" s="4" t="str">
        <f>IFERROR(INDEX(样本到样信息汇总统计!A$2:A$500,MATCH(447,样本到样信息汇总统计!$X$2:$X$500,0)),"")</f>
        <v/>
      </c>
      <c r="B448" s="4" t="str">
        <f>IFERROR(INDEX(样本到样信息汇总统计!B$2:B$500,MATCH(447,样本到样信息汇总统计!$X$2:$X$500,0)),"")</f>
        <v/>
      </c>
      <c r="C448" s="4" t="str">
        <f>IFERROR(INDEX(样本到样信息汇总统计!C$2:C$500,MATCH(447,样本到样信息汇总统计!$X$2:$X$500,0)),"")</f>
        <v/>
      </c>
      <c r="D448" s="4" t="str">
        <f>IFERROR(INDEX(样本到样信息汇总统计!D$2:D$500,MATCH(447,样本到样信息汇总统计!$X$2:$X$500,0)),"")</f>
        <v/>
      </c>
      <c r="E448" s="4" t="str">
        <f>IFERROR(INDEX(样本到样信息汇总统计!E$2:E$500,MATCH(447,样本到样信息汇总统计!$X$2:$X$500,0)),"")</f>
        <v/>
      </c>
      <c r="F448" s="4" t="str">
        <f>IFERROR(INDEX(样本到样信息汇总统计!F$2:F$500,MATCH(447,样本到样信息汇总统计!$X$2:$X$500,0)),"")</f>
        <v/>
      </c>
      <c r="G448" s="4" t="str">
        <f>IFERROR(INDEX(样本到样信息汇总统计!G$2:G$500,MATCH(447,样本到样信息汇总统计!$X$2:$X$500,0)),"")</f>
        <v/>
      </c>
      <c r="H448" s="4" t="str">
        <f>IFERROR(INDEX(样本到样信息汇总统计!H$2:H$500,MATCH(447,样本到样信息汇总统计!$X$2:$X$500,0)),"")</f>
        <v/>
      </c>
      <c r="I448" s="4" t="str">
        <f>IFERROR(INDEX(样本到样信息汇总统计!I$2:I$500,MATCH(447,样本到样信息汇总统计!$X$2:$X$500,0)),"")</f>
        <v/>
      </c>
      <c r="J448" s="4" t="str">
        <f>IFERROR(INDEX(样本到样信息汇总统计!J$2:J$500,MATCH(447,样本到样信息汇总统计!$X$2:$X$500,0)),"")</f>
        <v/>
      </c>
      <c r="K448" s="14" t="str">
        <f>IFERROR(INDEX(样本到样信息汇总统计!K$2:K$500,MATCH(447,样本到样信息汇总统计!$X$2:$X$500,0)),"")</f>
        <v/>
      </c>
      <c r="L448" s="4" t="str">
        <f>IFERROR(INDEX(样本到样信息汇总统计!L$2:L$500,MATCH(447,样本到样信息汇总统计!$X$2:$X$500,0)),"")</f>
        <v/>
      </c>
      <c r="M448" s="4" t="str">
        <f>IFERROR(INDEX(样本到样信息汇总统计!M$2:M$500,MATCH(447,样本到样信息汇总统计!$X$2:$X$500,0)),"")</f>
        <v/>
      </c>
      <c r="N448" s="4" t="str">
        <f>IFERROR(INDEX(样本到样信息汇总统计!N$2:N$500,MATCH(447,样本到样信息汇总统计!$X$2:$X$500,0)),"")</f>
        <v/>
      </c>
      <c r="O448" s="4" t="str">
        <f>IFERROR(INDEX(样本到样信息汇总统计!O$2:O$500,MATCH(447,样本到样信息汇总统计!$X$2:$X$500,0)),"")</f>
        <v/>
      </c>
      <c r="P448" s="4" t="str">
        <f>IFERROR(INDEX(样本到样信息汇总统计!P$2:P$500,MATCH(447,样本到样信息汇总统计!$X$2:$X$500,0)),"")</f>
        <v/>
      </c>
      <c r="Q448" s="4" t="str">
        <f>IFERROR(INDEX(样本到样信息汇总统计!Q$2:Q$500,MATCH(447,样本到样信息汇总统计!$X$2:$X$500,0)),"")</f>
        <v/>
      </c>
      <c r="R448" s="4" t="str">
        <f>IFERROR(INDEX(样本到样信息汇总统计!R$2:R$500,MATCH(447,样本到样信息汇总统计!$X$2:$X$500,0)),"")</f>
        <v/>
      </c>
      <c r="S448" s="4" t="str">
        <f>IFERROR(INDEX(样本到样信息汇总统计!S$2:S$500,MATCH(447,样本到样信息汇总统计!$X$2:$X$500,0)),"")</f>
        <v/>
      </c>
      <c r="T448" s="4" t="str">
        <f>IFERROR(INDEX(样本到样信息汇总统计!T$2:T$500,MATCH(447,样本到样信息汇总统计!$X$2:$X$500,0)),"")</f>
        <v/>
      </c>
      <c r="U448" s="4" t="str">
        <f>IFERROR(INDEX(样本到样信息汇总统计!U$2:U$500,MATCH(447,样本到样信息汇总统计!$X$2:$X$500,0)),"")</f>
        <v/>
      </c>
      <c r="V448" s="4" t="str">
        <f>IFERROR(INDEX(样本到样信息汇总统计!V$2:V$500,MATCH(447,样本到样信息汇总统计!$X$2:$X$500,0)),"")</f>
        <v/>
      </c>
      <c r="W448" s="4" t="str">
        <f>IFERROR(INDEX(样本到样信息汇总统计!W$2:W$500,MATCH(447,样本到样信息汇总统计!$X$2:$X$500,0)),"")</f>
        <v/>
      </c>
    </row>
    <row r="449" ht="14.5" spans="1:23">
      <c r="A449" s="8" t="str">
        <f>IFERROR(INDEX(样本到样信息汇总统计!A$2:A$500,MATCH(448,样本到样信息汇总统计!$X$2:$X$500,0)),"")</f>
        <v/>
      </c>
      <c r="B449" s="8" t="str">
        <f>IFERROR(INDEX(样本到样信息汇总统计!B$2:B$500,MATCH(448,样本到样信息汇总统计!$X$2:$X$500,0)),"")</f>
        <v/>
      </c>
      <c r="C449" s="8" t="str">
        <f>IFERROR(INDEX(样本到样信息汇总统计!C$2:C$500,MATCH(448,样本到样信息汇总统计!$X$2:$X$500,0)),"")</f>
        <v/>
      </c>
      <c r="D449" s="8" t="str">
        <f>IFERROR(INDEX(样本到样信息汇总统计!D$2:D$500,MATCH(448,样本到样信息汇总统计!$X$2:$X$500,0)),"")</f>
        <v/>
      </c>
      <c r="E449" s="8" t="str">
        <f>IFERROR(INDEX(样本到样信息汇总统计!E$2:E$500,MATCH(448,样本到样信息汇总统计!$X$2:$X$500,0)),"")</f>
        <v/>
      </c>
      <c r="F449" s="8" t="str">
        <f>IFERROR(INDEX(样本到样信息汇总统计!F$2:F$500,MATCH(448,样本到样信息汇总统计!$X$2:$X$500,0)),"")</f>
        <v/>
      </c>
      <c r="G449" s="8" t="str">
        <f>IFERROR(INDEX(样本到样信息汇总统计!G$2:G$500,MATCH(448,样本到样信息汇总统计!$X$2:$X$500,0)),"")</f>
        <v/>
      </c>
      <c r="H449" s="8" t="str">
        <f>IFERROR(INDEX(样本到样信息汇总统计!H$2:H$500,MATCH(448,样本到样信息汇总统计!$X$2:$X$500,0)),"")</f>
        <v/>
      </c>
      <c r="I449" s="8" t="str">
        <f>IFERROR(INDEX(样本到样信息汇总统计!I$2:I$500,MATCH(448,样本到样信息汇总统计!$X$2:$X$500,0)),"")</f>
        <v/>
      </c>
      <c r="J449" s="8" t="str">
        <f>IFERROR(INDEX(样本到样信息汇总统计!J$2:J$500,MATCH(448,样本到样信息汇总统计!$X$2:$X$500,0)),"")</f>
        <v/>
      </c>
      <c r="K449" s="15" t="str">
        <f>IFERROR(INDEX(样本到样信息汇总统计!K$2:K$500,MATCH(448,样本到样信息汇总统计!$X$2:$X$500,0)),"")</f>
        <v/>
      </c>
      <c r="L449" s="8" t="str">
        <f>IFERROR(INDEX(样本到样信息汇总统计!L$2:L$500,MATCH(448,样本到样信息汇总统计!$X$2:$X$500,0)),"")</f>
        <v/>
      </c>
      <c r="M449" s="8" t="str">
        <f>IFERROR(INDEX(样本到样信息汇总统计!M$2:M$500,MATCH(448,样本到样信息汇总统计!$X$2:$X$500,0)),"")</f>
        <v/>
      </c>
      <c r="N449" s="8" t="str">
        <f>IFERROR(INDEX(样本到样信息汇总统计!N$2:N$500,MATCH(448,样本到样信息汇总统计!$X$2:$X$500,0)),"")</f>
        <v/>
      </c>
      <c r="O449" s="8" t="str">
        <f>IFERROR(INDEX(样本到样信息汇总统计!O$2:O$500,MATCH(448,样本到样信息汇总统计!$X$2:$X$500,0)),"")</f>
        <v/>
      </c>
      <c r="P449" s="8" t="str">
        <f>IFERROR(INDEX(样本到样信息汇总统计!P$2:P$500,MATCH(448,样本到样信息汇总统计!$X$2:$X$500,0)),"")</f>
        <v/>
      </c>
      <c r="Q449" s="8" t="str">
        <f>IFERROR(INDEX(样本到样信息汇总统计!Q$2:Q$500,MATCH(448,样本到样信息汇总统计!$X$2:$X$500,0)),"")</f>
        <v/>
      </c>
      <c r="R449" s="8" t="str">
        <f>IFERROR(INDEX(样本到样信息汇总统计!R$2:R$500,MATCH(448,样本到样信息汇总统计!$X$2:$X$500,0)),"")</f>
        <v/>
      </c>
      <c r="S449" s="8" t="str">
        <f>IFERROR(INDEX(样本到样信息汇总统计!S$2:S$500,MATCH(448,样本到样信息汇总统计!$X$2:$X$500,0)),"")</f>
        <v/>
      </c>
      <c r="T449" s="8" t="str">
        <f>IFERROR(INDEX(样本到样信息汇总统计!T$2:T$500,MATCH(448,样本到样信息汇总统计!$X$2:$X$500,0)),"")</f>
        <v/>
      </c>
      <c r="U449" s="8" t="str">
        <f>IFERROR(INDEX(样本到样信息汇总统计!U$2:U$500,MATCH(448,样本到样信息汇总统计!$X$2:$X$500,0)),"")</f>
        <v/>
      </c>
      <c r="V449" s="8" t="str">
        <f>IFERROR(INDEX(样本到样信息汇总统计!V$2:V$500,MATCH(448,样本到样信息汇总统计!$X$2:$X$500,0)),"")</f>
        <v/>
      </c>
      <c r="W449" s="8" t="str">
        <f>IFERROR(INDEX(样本到样信息汇总统计!W$2:W$500,MATCH(448,样本到样信息汇总统计!$X$2:$X$500,0)),"")</f>
        <v/>
      </c>
    </row>
    <row r="450" ht="14.5" spans="1:23">
      <c r="A450" s="4" t="str">
        <f>IFERROR(INDEX(样本到样信息汇总统计!A$2:A$500,MATCH(449,样本到样信息汇总统计!$X$2:$X$500,0)),"")</f>
        <v/>
      </c>
      <c r="B450" s="4" t="str">
        <f>IFERROR(INDEX(样本到样信息汇总统计!B$2:B$500,MATCH(449,样本到样信息汇总统计!$X$2:$X$500,0)),"")</f>
        <v/>
      </c>
      <c r="C450" s="4" t="str">
        <f>IFERROR(INDEX(样本到样信息汇总统计!C$2:C$500,MATCH(449,样本到样信息汇总统计!$X$2:$X$500,0)),"")</f>
        <v/>
      </c>
      <c r="D450" s="4" t="str">
        <f>IFERROR(INDEX(样本到样信息汇总统计!D$2:D$500,MATCH(449,样本到样信息汇总统计!$X$2:$X$500,0)),"")</f>
        <v/>
      </c>
      <c r="E450" s="4" t="str">
        <f>IFERROR(INDEX(样本到样信息汇总统计!E$2:E$500,MATCH(449,样本到样信息汇总统计!$X$2:$X$500,0)),"")</f>
        <v/>
      </c>
      <c r="F450" s="4" t="str">
        <f>IFERROR(INDEX(样本到样信息汇总统计!F$2:F$500,MATCH(449,样本到样信息汇总统计!$X$2:$X$500,0)),"")</f>
        <v/>
      </c>
      <c r="G450" s="4" t="str">
        <f>IFERROR(INDEX(样本到样信息汇总统计!G$2:G$500,MATCH(449,样本到样信息汇总统计!$X$2:$X$500,0)),"")</f>
        <v/>
      </c>
      <c r="H450" s="4" t="str">
        <f>IFERROR(INDEX(样本到样信息汇总统计!H$2:H$500,MATCH(449,样本到样信息汇总统计!$X$2:$X$500,0)),"")</f>
        <v/>
      </c>
      <c r="I450" s="4" t="str">
        <f>IFERROR(INDEX(样本到样信息汇总统计!I$2:I$500,MATCH(449,样本到样信息汇总统计!$X$2:$X$500,0)),"")</f>
        <v/>
      </c>
      <c r="J450" s="4" t="str">
        <f>IFERROR(INDEX(样本到样信息汇总统计!J$2:J$500,MATCH(449,样本到样信息汇总统计!$X$2:$X$500,0)),"")</f>
        <v/>
      </c>
      <c r="K450" s="14" t="str">
        <f>IFERROR(INDEX(样本到样信息汇总统计!K$2:K$500,MATCH(449,样本到样信息汇总统计!$X$2:$X$500,0)),"")</f>
        <v/>
      </c>
      <c r="L450" s="4" t="str">
        <f>IFERROR(INDEX(样本到样信息汇总统计!L$2:L$500,MATCH(449,样本到样信息汇总统计!$X$2:$X$500,0)),"")</f>
        <v/>
      </c>
      <c r="M450" s="4" t="str">
        <f>IFERROR(INDEX(样本到样信息汇总统计!M$2:M$500,MATCH(449,样本到样信息汇总统计!$X$2:$X$500,0)),"")</f>
        <v/>
      </c>
      <c r="N450" s="4" t="str">
        <f>IFERROR(INDEX(样本到样信息汇总统计!N$2:N$500,MATCH(449,样本到样信息汇总统计!$X$2:$X$500,0)),"")</f>
        <v/>
      </c>
      <c r="O450" s="4" t="str">
        <f>IFERROR(INDEX(样本到样信息汇总统计!O$2:O$500,MATCH(449,样本到样信息汇总统计!$X$2:$X$500,0)),"")</f>
        <v/>
      </c>
      <c r="P450" s="4" t="str">
        <f>IFERROR(INDEX(样本到样信息汇总统计!P$2:P$500,MATCH(449,样本到样信息汇总统计!$X$2:$X$500,0)),"")</f>
        <v/>
      </c>
      <c r="Q450" s="4" t="str">
        <f>IFERROR(INDEX(样本到样信息汇总统计!Q$2:Q$500,MATCH(449,样本到样信息汇总统计!$X$2:$X$500,0)),"")</f>
        <v/>
      </c>
      <c r="R450" s="4" t="str">
        <f>IFERROR(INDEX(样本到样信息汇总统计!R$2:R$500,MATCH(449,样本到样信息汇总统计!$X$2:$X$500,0)),"")</f>
        <v/>
      </c>
      <c r="S450" s="4" t="str">
        <f>IFERROR(INDEX(样本到样信息汇总统计!S$2:S$500,MATCH(449,样本到样信息汇总统计!$X$2:$X$500,0)),"")</f>
        <v/>
      </c>
      <c r="T450" s="4" t="str">
        <f>IFERROR(INDEX(样本到样信息汇总统计!T$2:T$500,MATCH(449,样本到样信息汇总统计!$X$2:$X$500,0)),"")</f>
        <v/>
      </c>
      <c r="U450" s="4" t="str">
        <f>IFERROR(INDEX(样本到样信息汇总统计!U$2:U$500,MATCH(449,样本到样信息汇总统计!$X$2:$X$500,0)),"")</f>
        <v/>
      </c>
      <c r="V450" s="4" t="str">
        <f>IFERROR(INDEX(样本到样信息汇总统计!V$2:V$500,MATCH(449,样本到样信息汇总统计!$X$2:$X$500,0)),"")</f>
        <v/>
      </c>
      <c r="W450" s="4" t="str">
        <f>IFERROR(INDEX(样本到样信息汇总统计!W$2:W$500,MATCH(449,样本到样信息汇总统计!$X$2:$X$500,0)),"")</f>
        <v/>
      </c>
    </row>
    <row r="451" ht="14.5" spans="1:23">
      <c r="A451" s="8" t="str">
        <f>IFERROR(INDEX(样本到样信息汇总统计!A$2:A$500,MATCH(450,样本到样信息汇总统计!$X$2:$X$500,0)),"")</f>
        <v/>
      </c>
      <c r="B451" s="8" t="str">
        <f>IFERROR(INDEX(样本到样信息汇总统计!B$2:B$500,MATCH(450,样本到样信息汇总统计!$X$2:$X$500,0)),"")</f>
        <v/>
      </c>
      <c r="C451" s="8" t="str">
        <f>IFERROR(INDEX(样本到样信息汇总统计!C$2:C$500,MATCH(450,样本到样信息汇总统计!$X$2:$X$500,0)),"")</f>
        <v/>
      </c>
      <c r="D451" s="8" t="str">
        <f>IFERROR(INDEX(样本到样信息汇总统计!D$2:D$500,MATCH(450,样本到样信息汇总统计!$X$2:$X$500,0)),"")</f>
        <v/>
      </c>
      <c r="E451" s="8" t="str">
        <f>IFERROR(INDEX(样本到样信息汇总统计!E$2:E$500,MATCH(450,样本到样信息汇总统计!$X$2:$X$500,0)),"")</f>
        <v/>
      </c>
      <c r="F451" s="8" t="str">
        <f>IFERROR(INDEX(样本到样信息汇总统计!F$2:F$500,MATCH(450,样本到样信息汇总统计!$X$2:$X$500,0)),"")</f>
        <v/>
      </c>
      <c r="G451" s="8" t="str">
        <f>IFERROR(INDEX(样本到样信息汇总统计!G$2:G$500,MATCH(450,样本到样信息汇总统计!$X$2:$X$500,0)),"")</f>
        <v/>
      </c>
      <c r="H451" s="8" t="str">
        <f>IFERROR(INDEX(样本到样信息汇总统计!H$2:H$500,MATCH(450,样本到样信息汇总统计!$X$2:$X$500,0)),"")</f>
        <v/>
      </c>
      <c r="I451" s="8" t="str">
        <f>IFERROR(INDEX(样本到样信息汇总统计!I$2:I$500,MATCH(450,样本到样信息汇总统计!$X$2:$X$500,0)),"")</f>
        <v/>
      </c>
      <c r="J451" s="8" t="str">
        <f>IFERROR(INDEX(样本到样信息汇总统计!J$2:J$500,MATCH(450,样本到样信息汇总统计!$X$2:$X$500,0)),"")</f>
        <v/>
      </c>
      <c r="K451" s="15" t="str">
        <f>IFERROR(INDEX(样本到样信息汇总统计!K$2:K$500,MATCH(450,样本到样信息汇总统计!$X$2:$X$500,0)),"")</f>
        <v/>
      </c>
      <c r="L451" s="8" t="str">
        <f>IFERROR(INDEX(样本到样信息汇总统计!L$2:L$500,MATCH(450,样本到样信息汇总统计!$X$2:$X$500,0)),"")</f>
        <v/>
      </c>
      <c r="M451" s="8" t="str">
        <f>IFERROR(INDEX(样本到样信息汇总统计!M$2:M$500,MATCH(450,样本到样信息汇总统计!$X$2:$X$500,0)),"")</f>
        <v/>
      </c>
      <c r="N451" s="8" t="str">
        <f>IFERROR(INDEX(样本到样信息汇总统计!N$2:N$500,MATCH(450,样本到样信息汇总统计!$X$2:$X$500,0)),"")</f>
        <v/>
      </c>
      <c r="O451" s="8" t="str">
        <f>IFERROR(INDEX(样本到样信息汇总统计!O$2:O$500,MATCH(450,样本到样信息汇总统计!$X$2:$X$500,0)),"")</f>
        <v/>
      </c>
      <c r="P451" s="8" t="str">
        <f>IFERROR(INDEX(样本到样信息汇总统计!P$2:P$500,MATCH(450,样本到样信息汇总统计!$X$2:$X$500,0)),"")</f>
        <v/>
      </c>
      <c r="Q451" s="8" t="str">
        <f>IFERROR(INDEX(样本到样信息汇总统计!Q$2:Q$500,MATCH(450,样本到样信息汇总统计!$X$2:$X$500,0)),"")</f>
        <v/>
      </c>
      <c r="R451" s="8" t="str">
        <f>IFERROR(INDEX(样本到样信息汇总统计!R$2:R$500,MATCH(450,样本到样信息汇总统计!$X$2:$X$500,0)),"")</f>
        <v/>
      </c>
      <c r="S451" s="8" t="str">
        <f>IFERROR(INDEX(样本到样信息汇总统计!S$2:S$500,MATCH(450,样本到样信息汇总统计!$X$2:$X$500,0)),"")</f>
        <v/>
      </c>
      <c r="T451" s="8" t="str">
        <f>IFERROR(INDEX(样本到样信息汇总统计!T$2:T$500,MATCH(450,样本到样信息汇总统计!$X$2:$X$500,0)),"")</f>
        <v/>
      </c>
      <c r="U451" s="8" t="str">
        <f>IFERROR(INDEX(样本到样信息汇总统计!U$2:U$500,MATCH(450,样本到样信息汇总统计!$X$2:$X$500,0)),"")</f>
        <v/>
      </c>
      <c r="V451" s="8" t="str">
        <f>IFERROR(INDEX(样本到样信息汇总统计!V$2:V$500,MATCH(450,样本到样信息汇总统计!$X$2:$X$500,0)),"")</f>
        <v/>
      </c>
      <c r="W451" s="8" t="str">
        <f>IFERROR(INDEX(样本到样信息汇总统计!W$2:W$500,MATCH(450,样本到样信息汇总统计!$X$2:$X$500,0)),"")</f>
        <v/>
      </c>
    </row>
    <row r="452" ht="14.5" spans="1:23">
      <c r="A452" s="4" t="str">
        <f>IFERROR(INDEX(样本到样信息汇总统计!A$2:A$500,MATCH(451,样本到样信息汇总统计!$X$2:$X$500,0)),"")</f>
        <v/>
      </c>
      <c r="B452" s="4" t="str">
        <f>IFERROR(INDEX(样本到样信息汇总统计!B$2:B$500,MATCH(451,样本到样信息汇总统计!$X$2:$X$500,0)),"")</f>
        <v/>
      </c>
      <c r="C452" s="4" t="str">
        <f>IFERROR(INDEX(样本到样信息汇总统计!C$2:C$500,MATCH(451,样本到样信息汇总统计!$X$2:$X$500,0)),"")</f>
        <v/>
      </c>
      <c r="D452" s="4" t="str">
        <f>IFERROR(INDEX(样本到样信息汇总统计!D$2:D$500,MATCH(451,样本到样信息汇总统计!$X$2:$X$500,0)),"")</f>
        <v/>
      </c>
      <c r="E452" s="4" t="str">
        <f>IFERROR(INDEX(样本到样信息汇总统计!E$2:E$500,MATCH(451,样本到样信息汇总统计!$X$2:$X$500,0)),"")</f>
        <v/>
      </c>
      <c r="F452" s="4" t="str">
        <f>IFERROR(INDEX(样本到样信息汇总统计!F$2:F$500,MATCH(451,样本到样信息汇总统计!$X$2:$X$500,0)),"")</f>
        <v/>
      </c>
      <c r="G452" s="4" t="str">
        <f>IFERROR(INDEX(样本到样信息汇总统计!G$2:G$500,MATCH(451,样本到样信息汇总统计!$X$2:$X$500,0)),"")</f>
        <v/>
      </c>
      <c r="H452" s="4" t="str">
        <f>IFERROR(INDEX(样本到样信息汇总统计!H$2:H$500,MATCH(451,样本到样信息汇总统计!$X$2:$X$500,0)),"")</f>
        <v/>
      </c>
      <c r="I452" s="4" t="str">
        <f>IFERROR(INDEX(样本到样信息汇总统计!I$2:I$500,MATCH(451,样本到样信息汇总统计!$X$2:$X$500,0)),"")</f>
        <v/>
      </c>
      <c r="J452" s="4" t="str">
        <f>IFERROR(INDEX(样本到样信息汇总统计!J$2:J$500,MATCH(451,样本到样信息汇总统计!$X$2:$X$500,0)),"")</f>
        <v/>
      </c>
      <c r="K452" s="14" t="str">
        <f>IFERROR(INDEX(样本到样信息汇总统计!K$2:K$500,MATCH(451,样本到样信息汇总统计!$X$2:$X$500,0)),"")</f>
        <v/>
      </c>
      <c r="L452" s="4" t="str">
        <f>IFERROR(INDEX(样本到样信息汇总统计!L$2:L$500,MATCH(451,样本到样信息汇总统计!$X$2:$X$500,0)),"")</f>
        <v/>
      </c>
      <c r="M452" s="4" t="str">
        <f>IFERROR(INDEX(样本到样信息汇总统计!M$2:M$500,MATCH(451,样本到样信息汇总统计!$X$2:$X$500,0)),"")</f>
        <v/>
      </c>
      <c r="N452" s="4" t="str">
        <f>IFERROR(INDEX(样本到样信息汇总统计!N$2:N$500,MATCH(451,样本到样信息汇总统计!$X$2:$X$500,0)),"")</f>
        <v/>
      </c>
      <c r="O452" s="4" t="str">
        <f>IFERROR(INDEX(样本到样信息汇总统计!O$2:O$500,MATCH(451,样本到样信息汇总统计!$X$2:$X$500,0)),"")</f>
        <v/>
      </c>
      <c r="P452" s="4" t="str">
        <f>IFERROR(INDEX(样本到样信息汇总统计!P$2:P$500,MATCH(451,样本到样信息汇总统计!$X$2:$X$500,0)),"")</f>
        <v/>
      </c>
      <c r="Q452" s="4" t="str">
        <f>IFERROR(INDEX(样本到样信息汇总统计!Q$2:Q$500,MATCH(451,样本到样信息汇总统计!$X$2:$X$500,0)),"")</f>
        <v/>
      </c>
      <c r="R452" s="4" t="str">
        <f>IFERROR(INDEX(样本到样信息汇总统计!R$2:R$500,MATCH(451,样本到样信息汇总统计!$X$2:$X$500,0)),"")</f>
        <v/>
      </c>
      <c r="S452" s="4" t="str">
        <f>IFERROR(INDEX(样本到样信息汇总统计!S$2:S$500,MATCH(451,样本到样信息汇总统计!$X$2:$X$500,0)),"")</f>
        <v/>
      </c>
      <c r="T452" s="4" t="str">
        <f>IFERROR(INDEX(样本到样信息汇总统计!T$2:T$500,MATCH(451,样本到样信息汇总统计!$X$2:$X$500,0)),"")</f>
        <v/>
      </c>
      <c r="U452" s="4" t="str">
        <f>IFERROR(INDEX(样本到样信息汇总统计!U$2:U$500,MATCH(451,样本到样信息汇总统计!$X$2:$X$500,0)),"")</f>
        <v/>
      </c>
      <c r="V452" s="4" t="str">
        <f>IFERROR(INDEX(样本到样信息汇总统计!V$2:V$500,MATCH(451,样本到样信息汇总统计!$X$2:$X$500,0)),"")</f>
        <v/>
      </c>
      <c r="W452" s="4" t="str">
        <f>IFERROR(INDEX(样本到样信息汇总统计!W$2:W$500,MATCH(451,样本到样信息汇总统计!$X$2:$X$500,0)),"")</f>
        <v/>
      </c>
    </row>
    <row r="453" ht="14.5" spans="1:23">
      <c r="A453" s="8" t="str">
        <f>IFERROR(INDEX(样本到样信息汇总统计!A$2:A$500,MATCH(452,样本到样信息汇总统计!$X$2:$X$500,0)),"")</f>
        <v/>
      </c>
      <c r="B453" s="8" t="str">
        <f>IFERROR(INDEX(样本到样信息汇总统计!B$2:B$500,MATCH(452,样本到样信息汇总统计!$X$2:$X$500,0)),"")</f>
        <v/>
      </c>
      <c r="C453" s="8" t="str">
        <f>IFERROR(INDEX(样本到样信息汇总统计!C$2:C$500,MATCH(452,样本到样信息汇总统计!$X$2:$X$500,0)),"")</f>
        <v/>
      </c>
      <c r="D453" s="8" t="str">
        <f>IFERROR(INDEX(样本到样信息汇总统计!D$2:D$500,MATCH(452,样本到样信息汇总统计!$X$2:$X$500,0)),"")</f>
        <v/>
      </c>
      <c r="E453" s="8" t="str">
        <f>IFERROR(INDEX(样本到样信息汇总统计!E$2:E$500,MATCH(452,样本到样信息汇总统计!$X$2:$X$500,0)),"")</f>
        <v/>
      </c>
      <c r="F453" s="8" t="str">
        <f>IFERROR(INDEX(样本到样信息汇总统计!F$2:F$500,MATCH(452,样本到样信息汇总统计!$X$2:$X$500,0)),"")</f>
        <v/>
      </c>
      <c r="G453" s="8" t="str">
        <f>IFERROR(INDEX(样本到样信息汇总统计!G$2:G$500,MATCH(452,样本到样信息汇总统计!$X$2:$X$500,0)),"")</f>
        <v/>
      </c>
      <c r="H453" s="8" t="str">
        <f>IFERROR(INDEX(样本到样信息汇总统计!H$2:H$500,MATCH(452,样本到样信息汇总统计!$X$2:$X$500,0)),"")</f>
        <v/>
      </c>
      <c r="I453" s="8" t="str">
        <f>IFERROR(INDEX(样本到样信息汇总统计!I$2:I$500,MATCH(452,样本到样信息汇总统计!$X$2:$X$500,0)),"")</f>
        <v/>
      </c>
      <c r="J453" s="8" t="str">
        <f>IFERROR(INDEX(样本到样信息汇总统计!J$2:J$500,MATCH(452,样本到样信息汇总统计!$X$2:$X$500,0)),"")</f>
        <v/>
      </c>
      <c r="K453" s="15" t="str">
        <f>IFERROR(INDEX(样本到样信息汇总统计!K$2:K$500,MATCH(452,样本到样信息汇总统计!$X$2:$X$500,0)),"")</f>
        <v/>
      </c>
      <c r="L453" s="8" t="str">
        <f>IFERROR(INDEX(样本到样信息汇总统计!L$2:L$500,MATCH(452,样本到样信息汇总统计!$X$2:$X$500,0)),"")</f>
        <v/>
      </c>
      <c r="M453" s="8" t="str">
        <f>IFERROR(INDEX(样本到样信息汇总统计!M$2:M$500,MATCH(452,样本到样信息汇总统计!$X$2:$X$500,0)),"")</f>
        <v/>
      </c>
      <c r="N453" s="8" t="str">
        <f>IFERROR(INDEX(样本到样信息汇总统计!N$2:N$500,MATCH(452,样本到样信息汇总统计!$X$2:$X$500,0)),"")</f>
        <v/>
      </c>
      <c r="O453" s="8" t="str">
        <f>IFERROR(INDEX(样本到样信息汇总统计!O$2:O$500,MATCH(452,样本到样信息汇总统计!$X$2:$X$500,0)),"")</f>
        <v/>
      </c>
      <c r="P453" s="8" t="str">
        <f>IFERROR(INDEX(样本到样信息汇总统计!P$2:P$500,MATCH(452,样本到样信息汇总统计!$X$2:$X$500,0)),"")</f>
        <v/>
      </c>
      <c r="Q453" s="8" t="str">
        <f>IFERROR(INDEX(样本到样信息汇总统计!Q$2:Q$500,MATCH(452,样本到样信息汇总统计!$X$2:$X$500,0)),"")</f>
        <v/>
      </c>
      <c r="R453" s="8" t="str">
        <f>IFERROR(INDEX(样本到样信息汇总统计!R$2:R$500,MATCH(452,样本到样信息汇总统计!$X$2:$X$500,0)),"")</f>
        <v/>
      </c>
      <c r="S453" s="8" t="str">
        <f>IFERROR(INDEX(样本到样信息汇总统计!S$2:S$500,MATCH(452,样本到样信息汇总统计!$X$2:$X$500,0)),"")</f>
        <v/>
      </c>
      <c r="T453" s="8" t="str">
        <f>IFERROR(INDEX(样本到样信息汇总统计!T$2:T$500,MATCH(452,样本到样信息汇总统计!$X$2:$X$500,0)),"")</f>
        <v/>
      </c>
      <c r="U453" s="8" t="str">
        <f>IFERROR(INDEX(样本到样信息汇总统计!U$2:U$500,MATCH(452,样本到样信息汇总统计!$X$2:$X$500,0)),"")</f>
        <v/>
      </c>
      <c r="V453" s="8" t="str">
        <f>IFERROR(INDEX(样本到样信息汇总统计!V$2:V$500,MATCH(452,样本到样信息汇总统计!$X$2:$X$500,0)),"")</f>
        <v/>
      </c>
      <c r="W453" s="8" t="str">
        <f>IFERROR(INDEX(样本到样信息汇总统计!W$2:W$500,MATCH(452,样本到样信息汇总统计!$X$2:$X$500,0)),"")</f>
        <v/>
      </c>
    </row>
    <row r="454" ht="14.5" spans="1:23">
      <c r="A454" s="4" t="str">
        <f>IFERROR(INDEX(样本到样信息汇总统计!A$2:A$500,MATCH(453,样本到样信息汇总统计!$X$2:$X$500,0)),"")</f>
        <v/>
      </c>
      <c r="B454" s="4" t="str">
        <f>IFERROR(INDEX(样本到样信息汇总统计!B$2:B$500,MATCH(453,样本到样信息汇总统计!$X$2:$X$500,0)),"")</f>
        <v/>
      </c>
      <c r="C454" s="4" t="str">
        <f>IFERROR(INDEX(样本到样信息汇总统计!C$2:C$500,MATCH(453,样本到样信息汇总统计!$X$2:$X$500,0)),"")</f>
        <v/>
      </c>
      <c r="D454" s="4" t="str">
        <f>IFERROR(INDEX(样本到样信息汇总统计!D$2:D$500,MATCH(453,样本到样信息汇总统计!$X$2:$X$500,0)),"")</f>
        <v/>
      </c>
      <c r="E454" s="4" t="str">
        <f>IFERROR(INDEX(样本到样信息汇总统计!E$2:E$500,MATCH(453,样本到样信息汇总统计!$X$2:$X$500,0)),"")</f>
        <v/>
      </c>
      <c r="F454" s="4" t="str">
        <f>IFERROR(INDEX(样本到样信息汇总统计!F$2:F$500,MATCH(453,样本到样信息汇总统计!$X$2:$X$500,0)),"")</f>
        <v/>
      </c>
      <c r="G454" s="4" t="str">
        <f>IFERROR(INDEX(样本到样信息汇总统计!G$2:G$500,MATCH(453,样本到样信息汇总统计!$X$2:$X$500,0)),"")</f>
        <v/>
      </c>
      <c r="H454" s="4" t="str">
        <f>IFERROR(INDEX(样本到样信息汇总统计!H$2:H$500,MATCH(453,样本到样信息汇总统计!$X$2:$X$500,0)),"")</f>
        <v/>
      </c>
      <c r="I454" s="4" t="str">
        <f>IFERROR(INDEX(样本到样信息汇总统计!I$2:I$500,MATCH(453,样本到样信息汇总统计!$X$2:$X$500,0)),"")</f>
        <v/>
      </c>
      <c r="J454" s="4" t="str">
        <f>IFERROR(INDEX(样本到样信息汇总统计!J$2:J$500,MATCH(453,样本到样信息汇总统计!$X$2:$X$500,0)),"")</f>
        <v/>
      </c>
      <c r="K454" s="14" t="str">
        <f>IFERROR(INDEX(样本到样信息汇总统计!K$2:K$500,MATCH(453,样本到样信息汇总统计!$X$2:$X$500,0)),"")</f>
        <v/>
      </c>
      <c r="L454" s="4" t="str">
        <f>IFERROR(INDEX(样本到样信息汇总统计!L$2:L$500,MATCH(453,样本到样信息汇总统计!$X$2:$X$500,0)),"")</f>
        <v/>
      </c>
      <c r="M454" s="4" t="str">
        <f>IFERROR(INDEX(样本到样信息汇总统计!M$2:M$500,MATCH(453,样本到样信息汇总统计!$X$2:$X$500,0)),"")</f>
        <v/>
      </c>
      <c r="N454" s="4" t="str">
        <f>IFERROR(INDEX(样本到样信息汇总统计!N$2:N$500,MATCH(453,样本到样信息汇总统计!$X$2:$X$500,0)),"")</f>
        <v/>
      </c>
      <c r="O454" s="4" t="str">
        <f>IFERROR(INDEX(样本到样信息汇总统计!O$2:O$500,MATCH(453,样本到样信息汇总统计!$X$2:$X$500,0)),"")</f>
        <v/>
      </c>
      <c r="P454" s="4" t="str">
        <f>IFERROR(INDEX(样本到样信息汇总统计!P$2:P$500,MATCH(453,样本到样信息汇总统计!$X$2:$X$500,0)),"")</f>
        <v/>
      </c>
      <c r="Q454" s="4" t="str">
        <f>IFERROR(INDEX(样本到样信息汇总统计!Q$2:Q$500,MATCH(453,样本到样信息汇总统计!$X$2:$X$500,0)),"")</f>
        <v/>
      </c>
      <c r="R454" s="4" t="str">
        <f>IFERROR(INDEX(样本到样信息汇总统计!R$2:R$500,MATCH(453,样本到样信息汇总统计!$X$2:$X$500,0)),"")</f>
        <v/>
      </c>
      <c r="S454" s="4" t="str">
        <f>IFERROR(INDEX(样本到样信息汇总统计!S$2:S$500,MATCH(453,样本到样信息汇总统计!$X$2:$X$500,0)),"")</f>
        <v/>
      </c>
      <c r="T454" s="4" t="str">
        <f>IFERROR(INDEX(样本到样信息汇总统计!T$2:T$500,MATCH(453,样本到样信息汇总统计!$X$2:$X$500,0)),"")</f>
        <v/>
      </c>
      <c r="U454" s="4" t="str">
        <f>IFERROR(INDEX(样本到样信息汇总统计!U$2:U$500,MATCH(453,样本到样信息汇总统计!$X$2:$X$500,0)),"")</f>
        <v/>
      </c>
      <c r="V454" s="4" t="str">
        <f>IFERROR(INDEX(样本到样信息汇总统计!V$2:V$500,MATCH(453,样本到样信息汇总统计!$X$2:$X$500,0)),"")</f>
        <v/>
      </c>
      <c r="W454" s="4" t="str">
        <f>IFERROR(INDEX(样本到样信息汇总统计!W$2:W$500,MATCH(453,样本到样信息汇总统计!$X$2:$X$500,0)),"")</f>
        <v/>
      </c>
    </row>
    <row r="455" ht="14.5" spans="1:23">
      <c r="A455" s="8" t="str">
        <f>IFERROR(INDEX(样本到样信息汇总统计!A$2:A$500,MATCH(454,样本到样信息汇总统计!$X$2:$X$500,0)),"")</f>
        <v/>
      </c>
      <c r="B455" s="8" t="str">
        <f>IFERROR(INDEX(样本到样信息汇总统计!B$2:B$500,MATCH(454,样本到样信息汇总统计!$X$2:$X$500,0)),"")</f>
        <v/>
      </c>
      <c r="C455" s="8" t="str">
        <f>IFERROR(INDEX(样本到样信息汇总统计!C$2:C$500,MATCH(454,样本到样信息汇总统计!$X$2:$X$500,0)),"")</f>
        <v/>
      </c>
      <c r="D455" s="8" t="str">
        <f>IFERROR(INDEX(样本到样信息汇总统计!D$2:D$500,MATCH(454,样本到样信息汇总统计!$X$2:$X$500,0)),"")</f>
        <v/>
      </c>
      <c r="E455" s="8" t="str">
        <f>IFERROR(INDEX(样本到样信息汇总统计!E$2:E$500,MATCH(454,样本到样信息汇总统计!$X$2:$X$500,0)),"")</f>
        <v/>
      </c>
      <c r="F455" s="8" t="str">
        <f>IFERROR(INDEX(样本到样信息汇总统计!F$2:F$500,MATCH(454,样本到样信息汇总统计!$X$2:$X$500,0)),"")</f>
        <v/>
      </c>
      <c r="G455" s="8" t="str">
        <f>IFERROR(INDEX(样本到样信息汇总统计!G$2:G$500,MATCH(454,样本到样信息汇总统计!$X$2:$X$500,0)),"")</f>
        <v/>
      </c>
      <c r="H455" s="8" t="str">
        <f>IFERROR(INDEX(样本到样信息汇总统计!H$2:H$500,MATCH(454,样本到样信息汇总统计!$X$2:$X$500,0)),"")</f>
        <v/>
      </c>
      <c r="I455" s="8" t="str">
        <f>IFERROR(INDEX(样本到样信息汇总统计!I$2:I$500,MATCH(454,样本到样信息汇总统计!$X$2:$X$500,0)),"")</f>
        <v/>
      </c>
      <c r="J455" s="8" t="str">
        <f>IFERROR(INDEX(样本到样信息汇总统计!J$2:J$500,MATCH(454,样本到样信息汇总统计!$X$2:$X$500,0)),"")</f>
        <v/>
      </c>
      <c r="K455" s="15" t="str">
        <f>IFERROR(INDEX(样本到样信息汇总统计!K$2:K$500,MATCH(454,样本到样信息汇总统计!$X$2:$X$500,0)),"")</f>
        <v/>
      </c>
      <c r="L455" s="8" t="str">
        <f>IFERROR(INDEX(样本到样信息汇总统计!L$2:L$500,MATCH(454,样本到样信息汇总统计!$X$2:$X$500,0)),"")</f>
        <v/>
      </c>
      <c r="M455" s="8" t="str">
        <f>IFERROR(INDEX(样本到样信息汇总统计!M$2:M$500,MATCH(454,样本到样信息汇总统计!$X$2:$X$500,0)),"")</f>
        <v/>
      </c>
      <c r="N455" s="8" t="str">
        <f>IFERROR(INDEX(样本到样信息汇总统计!N$2:N$500,MATCH(454,样本到样信息汇总统计!$X$2:$X$500,0)),"")</f>
        <v/>
      </c>
      <c r="O455" s="8" t="str">
        <f>IFERROR(INDEX(样本到样信息汇总统计!O$2:O$500,MATCH(454,样本到样信息汇总统计!$X$2:$X$500,0)),"")</f>
        <v/>
      </c>
      <c r="P455" s="8" t="str">
        <f>IFERROR(INDEX(样本到样信息汇总统计!P$2:P$500,MATCH(454,样本到样信息汇总统计!$X$2:$X$500,0)),"")</f>
        <v/>
      </c>
      <c r="Q455" s="8" t="str">
        <f>IFERROR(INDEX(样本到样信息汇总统计!Q$2:Q$500,MATCH(454,样本到样信息汇总统计!$X$2:$X$500,0)),"")</f>
        <v/>
      </c>
      <c r="R455" s="8" t="str">
        <f>IFERROR(INDEX(样本到样信息汇总统计!R$2:R$500,MATCH(454,样本到样信息汇总统计!$X$2:$X$500,0)),"")</f>
        <v/>
      </c>
      <c r="S455" s="8" t="str">
        <f>IFERROR(INDEX(样本到样信息汇总统计!S$2:S$500,MATCH(454,样本到样信息汇总统计!$X$2:$X$500,0)),"")</f>
        <v/>
      </c>
      <c r="T455" s="8" t="str">
        <f>IFERROR(INDEX(样本到样信息汇总统计!T$2:T$500,MATCH(454,样本到样信息汇总统计!$X$2:$X$500,0)),"")</f>
        <v/>
      </c>
      <c r="U455" s="8" t="str">
        <f>IFERROR(INDEX(样本到样信息汇总统计!U$2:U$500,MATCH(454,样本到样信息汇总统计!$X$2:$X$500,0)),"")</f>
        <v/>
      </c>
      <c r="V455" s="8" t="str">
        <f>IFERROR(INDEX(样本到样信息汇总统计!V$2:V$500,MATCH(454,样本到样信息汇总统计!$X$2:$X$500,0)),"")</f>
        <v/>
      </c>
      <c r="W455" s="8" t="str">
        <f>IFERROR(INDEX(样本到样信息汇总统计!W$2:W$500,MATCH(454,样本到样信息汇总统计!$X$2:$X$500,0)),"")</f>
        <v/>
      </c>
    </row>
    <row r="456" ht="14.5" spans="1:23">
      <c r="A456" s="4" t="str">
        <f>IFERROR(INDEX(样本到样信息汇总统计!A$2:A$500,MATCH(455,样本到样信息汇总统计!$X$2:$X$500,0)),"")</f>
        <v/>
      </c>
      <c r="B456" s="4" t="str">
        <f>IFERROR(INDEX(样本到样信息汇总统计!B$2:B$500,MATCH(455,样本到样信息汇总统计!$X$2:$X$500,0)),"")</f>
        <v/>
      </c>
      <c r="C456" s="4" t="str">
        <f>IFERROR(INDEX(样本到样信息汇总统计!C$2:C$500,MATCH(455,样本到样信息汇总统计!$X$2:$X$500,0)),"")</f>
        <v/>
      </c>
      <c r="D456" s="4" t="str">
        <f>IFERROR(INDEX(样本到样信息汇总统计!D$2:D$500,MATCH(455,样本到样信息汇总统计!$X$2:$X$500,0)),"")</f>
        <v/>
      </c>
      <c r="E456" s="4" t="str">
        <f>IFERROR(INDEX(样本到样信息汇总统计!E$2:E$500,MATCH(455,样本到样信息汇总统计!$X$2:$X$500,0)),"")</f>
        <v/>
      </c>
      <c r="F456" s="4" t="str">
        <f>IFERROR(INDEX(样本到样信息汇总统计!F$2:F$500,MATCH(455,样本到样信息汇总统计!$X$2:$X$500,0)),"")</f>
        <v/>
      </c>
      <c r="G456" s="4" t="str">
        <f>IFERROR(INDEX(样本到样信息汇总统计!G$2:G$500,MATCH(455,样本到样信息汇总统计!$X$2:$X$500,0)),"")</f>
        <v/>
      </c>
      <c r="H456" s="4" t="str">
        <f>IFERROR(INDEX(样本到样信息汇总统计!H$2:H$500,MATCH(455,样本到样信息汇总统计!$X$2:$X$500,0)),"")</f>
        <v/>
      </c>
      <c r="I456" s="4" t="str">
        <f>IFERROR(INDEX(样本到样信息汇总统计!I$2:I$500,MATCH(455,样本到样信息汇总统计!$X$2:$X$500,0)),"")</f>
        <v/>
      </c>
      <c r="J456" s="4" t="str">
        <f>IFERROR(INDEX(样本到样信息汇总统计!J$2:J$500,MATCH(455,样本到样信息汇总统计!$X$2:$X$500,0)),"")</f>
        <v/>
      </c>
      <c r="K456" s="14" t="str">
        <f>IFERROR(INDEX(样本到样信息汇总统计!K$2:K$500,MATCH(455,样本到样信息汇总统计!$X$2:$X$500,0)),"")</f>
        <v/>
      </c>
      <c r="L456" s="4" t="str">
        <f>IFERROR(INDEX(样本到样信息汇总统计!L$2:L$500,MATCH(455,样本到样信息汇总统计!$X$2:$X$500,0)),"")</f>
        <v/>
      </c>
      <c r="M456" s="4" t="str">
        <f>IFERROR(INDEX(样本到样信息汇总统计!M$2:M$500,MATCH(455,样本到样信息汇总统计!$X$2:$X$500,0)),"")</f>
        <v/>
      </c>
      <c r="N456" s="4" t="str">
        <f>IFERROR(INDEX(样本到样信息汇总统计!N$2:N$500,MATCH(455,样本到样信息汇总统计!$X$2:$X$500,0)),"")</f>
        <v/>
      </c>
      <c r="O456" s="4" t="str">
        <f>IFERROR(INDEX(样本到样信息汇总统计!O$2:O$500,MATCH(455,样本到样信息汇总统计!$X$2:$X$500,0)),"")</f>
        <v/>
      </c>
      <c r="P456" s="4" t="str">
        <f>IFERROR(INDEX(样本到样信息汇总统计!P$2:P$500,MATCH(455,样本到样信息汇总统计!$X$2:$X$500,0)),"")</f>
        <v/>
      </c>
      <c r="Q456" s="4" t="str">
        <f>IFERROR(INDEX(样本到样信息汇总统计!Q$2:Q$500,MATCH(455,样本到样信息汇总统计!$X$2:$X$500,0)),"")</f>
        <v/>
      </c>
      <c r="R456" s="4" t="str">
        <f>IFERROR(INDEX(样本到样信息汇总统计!R$2:R$500,MATCH(455,样本到样信息汇总统计!$X$2:$X$500,0)),"")</f>
        <v/>
      </c>
      <c r="S456" s="4" t="str">
        <f>IFERROR(INDEX(样本到样信息汇总统计!S$2:S$500,MATCH(455,样本到样信息汇总统计!$X$2:$X$500,0)),"")</f>
        <v/>
      </c>
      <c r="T456" s="4" t="str">
        <f>IFERROR(INDEX(样本到样信息汇总统计!T$2:T$500,MATCH(455,样本到样信息汇总统计!$X$2:$X$500,0)),"")</f>
        <v/>
      </c>
      <c r="U456" s="4" t="str">
        <f>IFERROR(INDEX(样本到样信息汇总统计!U$2:U$500,MATCH(455,样本到样信息汇总统计!$X$2:$X$500,0)),"")</f>
        <v/>
      </c>
      <c r="V456" s="4" t="str">
        <f>IFERROR(INDEX(样本到样信息汇总统计!V$2:V$500,MATCH(455,样本到样信息汇总统计!$X$2:$X$500,0)),"")</f>
        <v/>
      </c>
      <c r="W456" s="4" t="str">
        <f>IFERROR(INDEX(样本到样信息汇总统计!W$2:W$500,MATCH(455,样本到样信息汇总统计!$X$2:$X$500,0)),"")</f>
        <v/>
      </c>
    </row>
    <row r="457" ht="14.5" spans="1:23">
      <c r="A457" s="8" t="str">
        <f>IFERROR(INDEX(样本到样信息汇总统计!A$2:A$500,MATCH(456,样本到样信息汇总统计!$X$2:$X$500,0)),"")</f>
        <v/>
      </c>
      <c r="B457" s="8" t="str">
        <f>IFERROR(INDEX(样本到样信息汇总统计!B$2:B$500,MATCH(456,样本到样信息汇总统计!$X$2:$X$500,0)),"")</f>
        <v/>
      </c>
      <c r="C457" s="8" t="str">
        <f>IFERROR(INDEX(样本到样信息汇总统计!C$2:C$500,MATCH(456,样本到样信息汇总统计!$X$2:$X$500,0)),"")</f>
        <v/>
      </c>
      <c r="D457" s="8" t="str">
        <f>IFERROR(INDEX(样本到样信息汇总统计!D$2:D$500,MATCH(456,样本到样信息汇总统计!$X$2:$X$500,0)),"")</f>
        <v/>
      </c>
      <c r="E457" s="8" t="str">
        <f>IFERROR(INDEX(样本到样信息汇总统计!E$2:E$500,MATCH(456,样本到样信息汇总统计!$X$2:$X$500,0)),"")</f>
        <v/>
      </c>
      <c r="F457" s="8" t="str">
        <f>IFERROR(INDEX(样本到样信息汇总统计!F$2:F$500,MATCH(456,样本到样信息汇总统计!$X$2:$X$500,0)),"")</f>
        <v/>
      </c>
      <c r="G457" s="8" t="str">
        <f>IFERROR(INDEX(样本到样信息汇总统计!G$2:G$500,MATCH(456,样本到样信息汇总统计!$X$2:$X$500,0)),"")</f>
        <v/>
      </c>
      <c r="H457" s="8" t="str">
        <f>IFERROR(INDEX(样本到样信息汇总统计!H$2:H$500,MATCH(456,样本到样信息汇总统计!$X$2:$X$500,0)),"")</f>
        <v/>
      </c>
      <c r="I457" s="8" t="str">
        <f>IFERROR(INDEX(样本到样信息汇总统计!I$2:I$500,MATCH(456,样本到样信息汇总统计!$X$2:$X$500,0)),"")</f>
        <v/>
      </c>
      <c r="J457" s="8" t="str">
        <f>IFERROR(INDEX(样本到样信息汇总统计!J$2:J$500,MATCH(456,样本到样信息汇总统计!$X$2:$X$500,0)),"")</f>
        <v/>
      </c>
      <c r="K457" s="15" t="str">
        <f>IFERROR(INDEX(样本到样信息汇总统计!K$2:K$500,MATCH(456,样本到样信息汇总统计!$X$2:$X$500,0)),"")</f>
        <v/>
      </c>
      <c r="L457" s="8" t="str">
        <f>IFERROR(INDEX(样本到样信息汇总统计!L$2:L$500,MATCH(456,样本到样信息汇总统计!$X$2:$X$500,0)),"")</f>
        <v/>
      </c>
      <c r="M457" s="8" t="str">
        <f>IFERROR(INDEX(样本到样信息汇总统计!M$2:M$500,MATCH(456,样本到样信息汇总统计!$X$2:$X$500,0)),"")</f>
        <v/>
      </c>
      <c r="N457" s="8" t="str">
        <f>IFERROR(INDEX(样本到样信息汇总统计!N$2:N$500,MATCH(456,样本到样信息汇总统计!$X$2:$X$500,0)),"")</f>
        <v/>
      </c>
      <c r="O457" s="8" t="str">
        <f>IFERROR(INDEX(样本到样信息汇总统计!O$2:O$500,MATCH(456,样本到样信息汇总统计!$X$2:$X$500,0)),"")</f>
        <v/>
      </c>
      <c r="P457" s="8" t="str">
        <f>IFERROR(INDEX(样本到样信息汇总统计!P$2:P$500,MATCH(456,样本到样信息汇总统计!$X$2:$X$500,0)),"")</f>
        <v/>
      </c>
      <c r="Q457" s="8" t="str">
        <f>IFERROR(INDEX(样本到样信息汇总统计!Q$2:Q$500,MATCH(456,样本到样信息汇总统计!$X$2:$X$500,0)),"")</f>
        <v/>
      </c>
      <c r="R457" s="8" t="str">
        <f>IFERROR(INDEX(样本到样信息汇总统计!R$2:R$500,MATCH(456,样本到样信息汇总统计!$X$2:$X$500,0)),"")</f>
        <v/>
      </c>
      <c r="S457" s="8" t="str">
        <f>IFERROR(INDEX(样本到样信息汇总统计!S$2:S$500,MATCH(456,样本到样信息汇总统计!$X$2:$X$500,0)),"")</f>
        <v/>
      </c>
      <c r="T457" s="8" t="str">
        <f>IFERROR(INDEX(样本到样信息汇总统计!T$2:T$500,MATCH(456,样本到样信息汇总统计!$X$2:$X$500,0)),"")</f>
        <v/>
      </c>
      <c r="U457" s="8" t="str">
        <f>IFERROR(INDEX(样本到样信息汇总统计!U$2:U$500,MATCH(456,样本到样信息汇总统计!$X$2:$X$500,0)),"")</f>
        <v/>
      </c>
      <c r="V457" s="8" t="str">
        <f>IFERROR(INDEX(样本到样信息汇总统计!V$2:V$500,MATCH(456,样本到样信息汇总统计!$X$2:$X$500,0)),"")</f>
        <v/>
      </c>
      <c r="W457" s="8" t="str">
        <f>IFERROR(INDEX(样本到样信息汇总统计!W$2:W$500,MATCH(456,样本到样信息汇总统计!$X$2:$X$500,0)),"")</f>
        <v/>
      </c>
    </row>
    <row r="458" ht="14.5" spans="1:23">
      <c r="A458" s="4" t="str">
        <f>IFERROR(INDEX(样本到样信息汇总统计!A$2:A$500,MATCH(457,样本到样信息汇总统计!$X$2:$X$500,0)),"")</f>
        <v/>
      </c>
      <c r="B458" s="4" t="str">
        <f>IFERROR(INDEX(样本到样信息汇总统计!B$2:B$500,MATCH(457,样本到样信息汇总统计!$X$2:$X$500,0)),"")</f>
        <v/>
      </c>
      <c r="C458" s="4" t="str">
        <f>IFERROR(INDEX(样本到样信息汇总统计!C$2:C$500,MATCH(457,样本到样信息汇总统计!$X$2:$X$500,0)),"")</f>
        <v/>
      </c>
      <c r="D458" s="4" t="str">
        <f>IFERROR(INDEX(样本到样信息汇总统计!D$2:D$500,MATCH(457,样本到样信息汇总统计!$X$2:$X$500,0)),"")</f>
        <v/>
      </c>
      <c r="E458" s="4" t="str">
        <f>IFERROR(INDEX(样本到样信息汇总统计!E$2:E$500,MATCH(457,样本到样信息汇总统计!$X$2:$X$500,0)),"")</f>
        <v/>
      </c>
      <c r="F458" s="4" t="str">
        <f>IFERROR(INDEX(样本到样信息汇总统计!F$2:F$500,MATCH(457,样本到样信息汇总统计!$X$2:$X$500,0)),"")</f>
        <v/>
      </c>
      <c r="G458" s="4" t="str">
        <f>IFERROR(INDEX(样本到样信息汇总统计!G$2:G$500,MATCH(457,样本到样信息汇总统计!$X$2:$X$500,0)),"")</f>
        <v/>
      </c>
      <c r="H458" s="4" t="str">
        <f>IFERROR(INDEX(样本到样信息汇总统计!H$2:H$500,MATCH(457,样本到样信息汇总统计!$X$2:$X$500,0)),"")</f>
        <v/>
      </c>
      <c r="I458" s="4" t="str">
        <f>IFERROR(INDEX(样本到样信息汇总统计!I$2:I$500,MATCH(457,样本到样信息汇总统计!$X$2:$X$500,0)),"")</f>
        <v/>
      </c>
      <c r="J458" s="4" t="str">
        <f>IFERROR(INDEX(样本到样信息汇总统计!J$2:J$500,MATCH(457,样本到样信息汇总统计!$X$2:$X$500,0)),"")</f>
        <v/>
      </c>
      <c r="K458" s="14" t="str">
        <f>IFERROR(INDEX(样本到样信息汇总统计!K$2:K$500,MATCH(457,样本到样信息汇总统计!$X$2:$X$500,0)),"")</f>
        <v/>
      </c>
      <c r="L458" s="4" t="str">
        <f>IFERROR(INDEX(样本到样信息汇总统计!L$2:L$500,MATCH(457,样本到样信息汇总统计!$X$2:$X$500,0)),"")</f>
        <v/>
      </c>
      <c r="M458" s="4" t="str">
        <f>IFERROR(INDEX(样本到样信息汇总统计!M$2:M$500,MATCH(457,样本到样信息汇总统计!$X$2:$X$500,0)),"")</f>
        <v/>
      </c>
      <c r="N458" s="4" t="str">
        <f>IFERROR(INDEX(样本到样信息汇总统计!N$2:N$500,MATCH(457,样本到样信息汇总统计!$X$2:$X$500,0)),"")</f>
        <v/>
      </c>
      <c r="O458" s="4" t="str">
        <f>IFERROR(INDEX(样本到样信息汇总统计!O$2:O$500,MATCH(457,样本到样信息汇总统计!$X$2:$X$500,0)),"")</f>
        <v/>
      </c>
      <c r="P458" s="4" t="str">
        <f>IFERROR(INDEX(样本到样信息汇总统计!P$2:P$500,MATCH(457,样本到样信息汇总统计!$X$2:$X$500,0)),"")</f>
        <v/>
      </c>
      <c r="Q458" s="4" t="str">
        <f>IFERROR(INDEX(样本到样信息汇总统计!Q$2:Q$500,MATCH(457,样本到样信息汇总统计!$X$2:$X$500,0)),"")</f>
        <v/>
      </c>
      <c r="R458" s="4" t="str">
        <f>IFERROR(INDEX(样本到样信息汇总统计!R$2:R$500,MATCH(457,样本到样信息汇总统计!$X$2:$X$500,0)),"")</f>
        <v/>
      </c>
      <c r="S458" s="4" t="str">
        <f>IFERROR(INDEX(样本到样信息汇总统计!S$2:S$500,MATCH(457,样本到样信息汇总统计!$X$2:$X$500,0)),"")</f>
        <v/>
      </c>
      <c r="T458" s="4" t="str">
        <f>IFERROR(INDEX(样本到样信息汇总统计!T$2:T$500,MATCH(457,样本到样信息汇总统计!$X$2:$X$500,0)),"")</f>
        <v/>
      </c>
      <c r="U458" s="4" t="str">
        <f>IFERROR(INDEX(样本到样信息汇总统计!U$2:U$500,MATCH(457,样本到样信息汇总统计!$X$2:$X$500,0)),"")</f>
        <v/>
      </c>
      <c r="V458" s="4" t="str">
        <f>IFERROR(INDEX(样本到样信息汇总统计!V$2:V$500,MATCH(457,样本到样信息汇总统计!$X$2:$X$500,0)),"")</f>
        <v/>
      </c>
      <c r="W458" s="4" t="str">
        <f>IFERROR(INDEX(样本到样信息汇总统计!W$2:W$500,MATCH(457,样本到样信息汇总统计!$X$2:$X$500,0)),"")</f>
        <v/>
      </c>
    </row>
    <row r="459" ht="14.5" spans="1:23">
      <c r="A459" s="8" t="str">
        <f>IFERROR(INDEX(样本到样信息汇总统计!A$2:A$500,MATCH(458,样本到样信息汇总统计!$X$2:$X$500,0)),"")</f>
        <v/>
      </c>
      <c r="B459" s="8" t="str">
        <f>IFERROR(INDEX(样本到样信息汇总统计!B$2:B$500,MATCH(458,样本到样信息汇总统计!$X$2:$X$500,0)),"")</f>
        <v/>
      </c>
      <c r="C459" s="8" t="str">
        <f>IFERROR(INDEX(样本到样信息汇总统计!C$2:C$500,MATCH(458,样本到样信息汇总统计!$X$2:$X$500,0)),"")</f>
        <v/>
      </c>
      <c r="D459" s="8" t="str">
        <f>IFERROR(INDEX(样本到样信息汇总统计!D$2:D$500,MATCH(458,样本到样信息汇总统计!$X$2:$X$500,0)),"")</f>
        <v/>
      </c>
      <c r="E459" s="8" t="str">
        <f>IFERROR(INDEX(样本到样信息汇总统计!E$2:E$500,MATCH(458,样本到样信息汇总统计!$X$2:$X$500,0)),"")</f>
        <v/>
      </c>
      <c r="F459" s="8" t="str">
        <f>IFERROR(INDEX(样本到样信息汇总统计!F$2:F$500,MATCH(458,样本到样信息汇总统计!$X$2:$X$500,0)),"")</f>
        <v/>
      </c>
      <c r="G459" s="8" t="str">
        <f>IFERROR(INDEX(样本到样信息汇总统计!G$2:G$500,MATCH(458,样本到样信息汇总统计!$X$2:$X$500,0)),"")</f>
        <v/>
      </c>
      <c r="H459" s="8" t="str">
        <f>IFERROR(INDEX(样本到样信息汇总统计!H$2:H$500,MATCH(458,样本到样信息汇总统计!$X$2:$X$500,0)),"")</f>
        <v/>
      </c>
      <c r="I459" s="8" t="str">
        <f>IFERROR(INDEX(样本到样信息汇总统计!I$2:I$500,MATCH(458,样本到样信息汇总统计!$X$2:$X$500,0)),"")</f>
        <v/>
      </c>
      <c r="J459" s="8" t="str">
        <f>IFERROR(INDEX(样本到样信息汇总统计!J$2:J$500,MATCH(458,样本到样信息汇总统计!$X$2:$X$500,0)),"")</f>
        <v/>
      </c>
      <c r="K459" s="15" t="str">
        <f>IFERROR(INDEX(样本到样信息汇总统计!K$2:K$500,MATCH(458,样本到样信息汇总统计!$X$2:$X$500,0)),"")</f>
        <v/>
      </c>
      <c r="L459" s="8" t="str">
        <f>IFERROR(INDEX(样本到样信息汇总统计!L$2:L$500,MATCH(458,样本到样信息汇总统计!$X$2:$X$500,0)),"")</f>
        <v/>
      </c>
      <c r="M459" s="8" t="str">
        <f>IFERROR(INDEX(样本到样信息汇总统计!M$2:M$500,MATCH(458,样本到样信息汇总统计!$X$2:$X$500,0)),"")</f>
        <v/>
      </c>
      <c r="N459" s="8" t="str">
        <f>IFERROR(INDEX(样本到样信息汇总统计!N$2:N$500,MATCH(458,样本到样信息汇总统计!$X$2:$X$500,0)),"")</f>
        <v/>
      </c>
      <c r="O459" s="8" t="str">
        <f>IFERROR(INDEX(样本到样信息汇总统计!O$2:O$500,MATCH(458,样本到样信息汇总统计!$X$2:$X$500,0)),"")</f>
        <v/>
      </c>
      <c r="P459" s="8" t="str">
        <f>IFERROR(INDEX(样本到样信息汇总统计!P$2:P$500,MATCH(458,样本到样信息汇总统计!$X$2:$X$500,0)),"")</f>
        <v/>
      </c>
      <c r="Q459" s="8" t="str">
        <f>IFERROR(INDEX(样本到样信息汇总统计!Q$2:Q$500,MATCH(458,样本到样信息汇总统计!$X$2:$X$500,0)),"")</f>
        <v/>
      </c>
      <c r="R459" s="8" t="str">
        <f>IFERROR(INDEX(样本到样信息汇总统计!R$2:R$500,MATCH(458,样本到样信息汇总统计!$X$2:$X$500,0)),"")</f>
        <v/>
      </c>
      <c r="S459" s="8" t="str">
        <f>IFERROR(INDEX(样本到样信息汇总统计!S$2:S$500,MATCH(458,样本到样信息汇总统计!$X$2:$X$500,0)),"")</f>
        <v/>
      </c>
      <c r="T459" s="8" t="str">
        <f>IFERROR(INDEX(样本到样信息汇总统计!T$2:T$500,MATCH(458,样本到样信息汇总统计!$X$2:$X$500,0)),"")</f>
        <v/>
      </c>
      <c r="U459" s="8" t="str">
        <f>IFERROR(INDEX(样本到样信息汇总统计!U$2:U$500,MATCH(458,样本到样信息汇总统计!$X$2:$X$500,0)),"")</f>
        <v/>
      </c>
      <c r="V459" s="8" t="str">
        <f>IFERROR(INDEX(样本到样信息汇总统计!V$2:V$500,MATCH(458,样本到样信息汇总统计!$X$2:$X$500,0)),"")</f>
        <v/>
      </c>
      <c r="W459" s="8" t="str">
        <f>IFERROR(INDEX(样本到样信息汇总统计!W$2:W$500,MATCH(458,样本到样信息汇总统计!$X$2:$X$500,0)),"")</f>
        <v/>
      </c>
    </row>
    <row r="460" ht="14.5" spans="1:23">
      <c r="A460" s="4" t="str">
        <f>IFERROR(INDEX(样本到样信息汇总统计!A$2:A$500,MATCH(459,样本到样信息汇总统计!$X$2:$X$500,0)),"")</f>
        <v/>
      </c>
      <c r="B460" s="4" t="str">
        <f>IFERROR(INDEX(样本到样信息汇总统计!B$2:B$500,MATCH(459,样本到样信息汇总统计!$X$2:$X$500,0)),"")</f>
        <v/>
      </c>
      <c r="C460" s="4" t="str">
        <f>IFERROR(INDEX(样本到样信息汇总统计!C$2:C$500,MATCH(459,样本到样信息汇总统计!$X$2:$X$500,0)),"")</f>
        <v/>
      </c>
      <c r="D460" s="4" t="str">
        <f>IFERROR(INDEX(样本到样信息汇总统计!D$2:D$500,MATCH(459,样本到样信息汇总统计!$X$2:$X$500,0)),"")</f>
        <v/>
      </c>
      <c r="E460" s="4" t="str">
        <f>IFERROR(INDEX(样本到样信息汇总统计!E$2:E$500,MATCH(459,样本到样信息汇总统计!$X$2:$X$500,0)),"")</f>
        <v/>
      </c>
      <c r="F460" s="4" t="str">
        <f>IFERROR(INDEX(样本到样信息汇总统计!F$2:F$500,MATCH(459,样本到样信息汇总统计!$X$2:$X$500,0)),"")</f>
        <v/>
      </c>
      <c r="G460" s="4" t="str">
        <f>IFERROR(INDEX(样本到样信息汇总统计!G$2:G$500,MATCH(459,样本到样信息汇总统计!$X$2:$X$500,0)),"")</f>
        <v/>
      </c>
      <c r="H460" s="4" t="str">
        <f>IFERROR(INDEX(样本到样信息汇总统计!H$2:H$500,MATCH(459,样本到样信息汇总统计!$X$2:$X$500,0)),"")</f>
        <v/>
      </c>
      <c r="I460" s="4" t="str">
        <f>IFERROR(INDEX(样本到样信息汇总统计!I$2:I$500,MATCH(459,样本到样信息汇总统计!$X$2:$X$500,0)),"")</f>
        <v/>
      </c>
      <c r="J460" s="4" t="str">
        <f>IFERROR(INDEX(样本到样信息汇总统计!J$2:J$500,MATCH(459,样本到样信息汇总统计!$X$2:$X$500,0)),"")</f>
        <v/>
      </c>
      <c r="K460" s="14" t="str">
        <f>IFERROR(INDEX(样本到样信息汇总统计!K$2:K$500,MATCH(459,样本到样信息汇总统计!$X$2:$X$500,0)),"")</f>
        <v/>
      </c>
      <c r="L460" s="4" t="str">
        <f>IFERROR(INDEX(样本到样信息汇总统计!L$2:L$500,MATCH(459,样本到样信息汇总统计!$X$2:$X$500,0)),"")</f>
        <v/>
      </c>
      <c r="M460" s="4" t="str">
        <f>IFERROR(INDEX(样本到样信息汇总统计!M$2:M$500,MATCH(459,样本到样信息汇总统计!$X$2:$X$500,0)),"")</f>
        <v/>
      </c>
      <c r="N460" s="4" t="str">
        <f>IFERROR(INDEX(样本到样信息汇总统计!N$2:N$500,MATCH(459,样本到样信息汇总统计!$X$2:$X$500,0)),"")</f>
        <v/>
      </c>
      <c r="O460" s="4" t="str">
        <f>IFERROR(INDEX(样本到样信息汇总统计!O$2:O$500,MATCH(459,样本到样信息汇总统计!$X$2:$X$500,0)),"")</f>
        <v/>
      </c>
      <c r="P460" s="4" t="str">
        <f>IFERROR(INDEX(样本到样信息汇总统计!P$2:P$500,MATCH(459,样本到样信息汇总统计!$X$2:$X$500,0)),"")</f>
        <v/>
      </c>
      <c r="Q460" s="4" t="str">
        <f>IFERROR(INDEX(样本到样信息汇总统计!Q$2:Q$500,MATCH(459,样本到样信息汇总统计!$X$2:$X$500,0)),"")</f>
        <v/>
      </c>
      <c r="R460" s="4" t="str">
        <f>IFERROR(INDEX(样本到样信息汇总统计!R$2:R$500,MATCH(459,样本到样信息汇总统计!$X$2:$X$500,0)),"")</f>
        <v/>
      </c>
      <c r="S460" s="4" t="str">
        <f>IFERROR(INDEX(样本到样信息汇总统计!S$2:S$500,MATCH(459,样本到样信息汇总统计!$X$2:$X$500,0)),"")</f>
        <v/>
      </c>
      <c r="T460" s="4" t="str">
        <f>IFERROR(INDEX(样本到样信息汇总统计!T$2:T$500,MATCH(459,样本到样信息汇总统计!$X$2:$X$500,0)),"")</f>
        <v/>
      </c>
      <c r="U460" s="4" t="str">
        <f>IFERROR(INDEX(样本到样信息汇总统计!U$2:U$500,MATCH(459,样本到样信息汇总统计!$X$2:$X$500,0)),"")</f>
        <v/>
      </c>
      <c r="V460" s="4" t="str">
        <f>IFERROR(INDEX(样本到样信息汇总统计!V$2:V$500,MATCH(459,样本到样信息汇总统计!$X$2:$X$500,0)),"")</f>
        <v/>
      </c>
      <c r="W460" s="4" t="str">
        <f>IFERROR(INDEX(样本到样信息汇总统计!W$2:W$500,MATCH(459,样本到样信息汇总统计!$X$2:$X$500,0)),"")</f>
        <v/>
      </c>
    </row>
    <row r="461" ht="14.5" spans="1:23">
      <c r="A461" s="8" t="str">
        <f>IFERROR(INDEX(样本到样信息汇总统计!A$2:A$500,MATCH(460,样本到样信息汇总统计!$X$2:$X$500,0)),"")</f>
        <v/>
      </c>
      <c r="B461" s="8" t="str">
        <f>IFERROR(INDEX(样本到样信息汇总统计!B$2:B$500,MATCH(460,样本到样信息汇总统计!$X$2:$X$500,0)),"")</f>
        <v/>
      </c>
      <c r="C461" s="8" t="str">
        <f>IFERROR(INDEX(样本到样信息汇总统计!C$2:C$500,MATCH(460,样本到样信息汇总统计!$X$2:$X$500,0)),"")</f>
        <v/>
      </c>
      <c r="D461" s="8" t="str">
        <f>IFERROR(INDEX(样本到样信息汇总统计!D$2:D$500,MATCH(460,样本到样信息汇总统计!$X$2:$X$500,0)),"")</f>
        <v/>
      </c>
      <c r="E461" s="8" t="str">
        <f>IFERROR(INDEX(样本到样信息汇总统计!E$2:E$500,MATCH(460,样本到样信息汇总统计!$X$2:$X$500,0)),"")</f>
        <v/>
      </c>
      <c r="F461" s="8" t="str">
        <f>IFERROR(INDEX(样本到样信息汇总统计!F$2:F$500,MATCH(460,样本到样信息汇总统计!$X$2:$X$500,0)),"")</f>
        <v/>
      </c>
      <c r="G461" s="8" t="str">
        <f>IFERROR(INDEX(样本到样信息汇总统计!G$2:G$500,MATCH(460,样本到样信息汇总统计!$X$2:$X$500,0)),"")</f>
        <v/>
      </c>
      <c r="H461" s="8" t="str">
        <f>IFERROR(INDEX(样本到样信息汇总统计!H$2:H$500,MATCH(460,样本到样信息汇总统计!$X$2:$X$500,0)),"")</f>
        <v/>
      </c>
      <c r="I461" s="8" t="str">
        <f>IFERROR(INDEX(样本到样信息汇总统计!I$2:I$500,MATCH(460,样本到样信息汇总统计!$X$2:$X$500,0)),"")</f>
        <v/>
      </c>
      <c r="J461" s="8" t="str">
        <f>IFERROR(INDEX(样本到样信息汇总统计!J$2:J$500,MATCH(460,样本到样信息汇总统计!$X$2:$X$500,0)),"")</f>
        <v/>
      </c>
      <c r="K461" s="15" t="str">
        <f>IFERROR(INDEX(样本到样信息汇总统计!K$2:K$500,MATCH(460,样本到样信息汇总统计!$X$2:$X$500,0)),"")</f>
        <v/>
      </c>
      <c r="L461" s="8" t="str">
        <f>IFERROR(INDEX(样本到样信息汇总统计!L$2:L$500,MATCH(460,样本到样信息汇总统计!$X$2:$X$500,0)),"")</f>
        <v/>
      </c>
      <c r="M461" s="8" t="str">
        <f>IFERROR(INDEX(样本到样信息汇总统计!M$2:M$500,MATCH(460,样本到样信息汇总统计!$X$2:$X$500,0)),"")</f>
        <v/>
      </c>
      <c r="N461" s="8" t="str">
        <f>IFERROR(INDEX(样本到样信息汇总统计!N$2:N$500,MATCH(460,样本到样信息汇总统计!$X$2:$X$500,0)),"")</f>
        <v/>
      </c>
      <c r="O461" s="8" t="str">
        <f>IFERROR(INDEX(样本到样信息汇总统计!O$2:O$500,MATCH(460,样本到样信息汇总统计!$X$2:$X$500,0)),"")</f>
        <v/>
      </c>
      <c r="P461" s="8" t="str">
        <f>IFERROR(INDEX(样本到样信息汇总统计!P$2:P$500,MATCH(460,样本到样信息汇总统计!$X$2:$X$500,0)),"")</f>
        <v/>
      </c>
      <c r="Q461" s="8" t="str">
        <f>IFERROR(INDEX(样本到样信息汇总统计!Q$2:Q$500,MATCH(460,样本到样信息汇总统计!$X$2:$X$500,0)),"")</f>
        <v/>
      </c>
      <c r="R461" s="8" t="str">
        <f>IFERROR(INDEX(样本到样信息汇总统计!R$2:R$500,MATCH(460,样本到样信息汇总统计!$X$2:$X$500,0)),"")</f>
        <v/>
      </c>
      <c r="S461" s="8" t="str">
        <f>IFERROR(INDEX(样本到样信息汇总统计!S$2:S$500,MATCH(460,样本到样信息汇总统计!$X$2:$X$500,0)),"")</f>
        <v/>
      </c>
      <c r="T461" s="8" t="str">
        <f>IFERROR(INDEX(样本到样信息汇总统计!T$2:T$500,MATCH(460,样本到样信息汇总统计!$X$2:$X$500,0)),"")</f>
        <v/>
      </c>
      <c r="U461" s="8" t="str">
        <f>IFERROR(INDEX(样本到样信息汇总统计!U$2:U$500,MATCH(460,样本到样信息汇总统计!$X$2:$X$500,0)),"")</f>
        <v/>
      </c>
      <c r="V461" s="8" t="str">
        <f>IFERROR(INDEX(样本到样信息汇总统计!V$2:V$500,MATCH(460,样本到样信息汇总统计!$X$2:$X$500,0)),"")</f>
        <v/>
      </c>
      <c r="W461" s="8" t="str">
        <f>IFERROR(INDEX(样本到样信息汇总统计!W$2:W$500,MATCH(460,样本到样信息汇总统计!$X$2:$X$500,0)),"")</f>
        <v/>
      </c>
    </row>
    <row r="462" ht="14.5" spans="1:23">
      <c r="A462" s="4" t="str">
        <f>IFERROR(INDEX(样本到样信息汇总统计!A$2:A$500,MATCH(461,样本到样信息汇总统计!$X$2:$X$500,0)),"")</f>
        <v/>
      </c>
      <c r="B462" s="4" t="str">
        <f>IFERROR(INDEX(样本到样信息汇总统计!B$2:B$500,MATCH(461,样本到样信息汇总统计!$X$2:$X$500,0)),"")</f>
        <v/>
      </c>
      <c r="C462" s="4" t="str">
        <f>IFERROR(INDEX(样本到样信息汇总统计!C$2:C$500,MATCH(461,样本到样信息汇总统计!$X$2:$X$500,0)),"")</f>
        <v/>
      </c>
      <c r="D462" s="4" t="str">
        <f>IFERROR(INDEX(样本到样信息汇总统计!D$2:D$500,MATCH(461,样本到样信息汇总统计!$X$2:$X$500,0)),"")</f>
        <v/>
      </c>
      <c r="E462" s="4" t="str">
        <f>IFERROR(INDEX(样本到样信息汇总统计!E$2:E$500,MATCH(461,样本到样信息汇总统计!$X$2:$X$500,0)),"")</f>
        <v/>
      </c>
      <c r="F462" s="4" t="str">
        <f>IFERROR(INDEX(样本到样信息汇总统计!F$2:F$500,MATCH(461,样本到样信息汇总统计!$X$2:$X$500,0)),"")</f>
        <v/>
      </c>
      <c r="G462" s="4" t="str">
        <f>IFERROR(INDEX(样本到样信息汇总统计!G$2:G$500,MATCH(461,样本到样信息汇总统计!$X$2:$X$500,0)),"")</f>
        <v/>
      </c>
      <c r="H462" s="4" t="str">
        <f>IFERROR(INDEX(样本到样信息汇总统计!H$2:H$500,MATCH(461,样本到样信息汇总统计!$X$2:$X$500,0)),"")</f>
        <v/>
      </c>
      <c r="I462" s="4" t="str">
        <f>IFERROR(INDEX(样本到样信息汇总统计!I$2:I$500,MATCH(461,样本到样信息汇总统计!$X$2:$X$500,0)),"")</f>
        <v/>
      </c>
      <c r="J462" s="4" t="str">
        <f>IFERROR(INDEX(样本到样信息汇总统计!J$2:J$500,MATCH(461,样本到样信息汇总统计!$X$2:$X$500,0)),"")</f>
        <v/>
      </c>
      <c r="K462" s="14" t="str">
        <f>IFERROR(INDEX(样本到样信息汇总统计!K$2:K$500,MATCH(461,样本到样信息汇总统计!$X$2:$X$500,0)),"")</f>
        <v/>
      </c>
      <c r="L462" s="4" t="str">
        <f>IFERROR(INDEX(样本到样信息汇总统计!L$2:L$500,MATCH(461,样本到样信息汇总统计!$X$2:$X$500,0)),"")</f>
        <v/>
      </c>
      <c r="M462" s="4" t="str">
        <f>IFERROR(INDEX(样本到样信息汇总统计!M$2:M$500,MATCH(461,样本到样信息汇总统计!$X$2:$X$500,0)),"")</f>
        <v/>
      </c>
      <c r="N462" s="4" t="str">
        <f>IFERROR(INDEX(样本到样信息汇总统计!N$2:N$500,MATCH(461,样本到样信息汇总统计!$X$2:$X$500,0)),"")</f>
        <v/>
      </c>
      <c r="O462" s="4" t="str">
        <f>IFERROR(INDEX(样本到样信息汇总统计!O$2:O$500,MATCH(461,样本到样信息汇总统计!$X$2:$X$500,0)),"")</f>
        <v/>
      </c>
      <c r="P462" s="4" t="str">
        <f>IFERROR(INDEX(样本到样信息汇总统计!P$2:P$500,MATCH(461,样本到样信息汇总统计!$X$2:$X$500,0)),"")</f>
        <v/>
      </c>
      <c r="Q462" s="4" t="str">
        <f>IFERROR(INDEX(样本到样信息汇总统计!Q$2:Q$500,MATCH(461,样本到样信息汇总统计!$X$2:$X$500,0)),"")</f>
        <v/>
      </c>
      <c r="R462" s="4" t="str">
        <f>IFERROR(INDEX(样本到样信息汇总统计!R$2:R$500,MATCH(461,样本到样信息汇总统计!$X$2:$X$500,0)),"")</f>
        <v/>
      </c>
      <c r="S462" s="4" t="str">
        <f>IFERROR(INDEX(样本到样信息汇总统计!S$2:S$500,MATCH(461,样本到样信息汇总统计!$X$2:$X$500,0)),"")</f>
        <v/>
      </c>
      <c r="T462" s="4" t="str">
        <f>IFERROR(INDEX(样本到样信息汇总统计!T$2:T$500,MATCH(461,样本到样信息汇总统计!$X$2:$X$500,0)),"")</f>
        <v/>
      </c>
      <c r="U462" s="4" t="str">
        <f>IFERROR(INDEX(样本到样信息汇总统计!U$2:U$500,MATCH(461,样本到样信息汇总统计!$X$2:$X$500,0)),"")</f>
        <v/>
      </c>
      <c r="V462" s="4" t="str">
        <f>IFERROR(INDEX(样本到样信息汇总统计!V$2:V$500,MATCH(461,样本到样信息汇总统计!$X$2:$X$500,0)),"")</f>
        <v/>
      </c>
      <c r="W462" s="4" t="str">
        <f>IFERROR(INDEX(样本到样信息汇总统计!W$2:W$500,MATCH(461,样本到样信息汇总统计!$X$2:$X$500,0)),"")</f>
        <v/>
      </c>
    </row>
    <row r="463" ht="14.5" spans="1:23">
      <c r="A463" s="8" t="str">
        <f>IFERROR(INDEX(样本到样信息汇总统计!A$2:A$500,MATCH(462,样本到样信息汇总统计!$X$2:$X$500,0)),"")</f>
        <v/>
      </c>
      <c r="B463" s="8" t="str">
        <f>IFERROR(INDEX(样本到样信息汇总统计!B$2:B$500,MATCH(462,样本到样信息汇总统计!$X$2:$X$500,0)),"")</f>
        <v/>
      </c>
      <c r="C463" s="8" t="str">
        <f>IFERROR(INDEX(样本到样信息汇总统计!C$2:C$500,MATCH(462,样本到样信息汇总统计!$X$2:$X$500,0)),"")</f>
        <v/>
      </c>
      <c r="D463" s="8" t="str">
        <f>IFERROR(INDEX(样本到样信息汇总统计!D$2:D$500,MATCH(462,样本到样信息汇总统计!$X$2:$X$500,0)),"")</f>
        <v/>
      </c>
      <c r="E463" s="8" t="str">
        <f>IFERROR(INDEX(样本到样信息汇总统计!E$2:E$500,MATCH(462,样本到样信息汇总统计!$X$2:$X$500,0)),"")</f>
        <v/>
      </c>
      <c r="F463" s="8" t="str">
        <f>IFERROR(INDEX(样本到样信息汇总统计!F$2:F$500,MATCH(462,样本到样信息汇总统计!$X$2:$X$500,0)),"")</f>
        <v/>
      </c>
      <c r="G463" s="8" t="str">
        <f>IFERROR(INDEX(样本到样信息汇总统计!G$2:G$500,MATCH(462,样本到样信息汇总统计!$X$2:$X$500,0)),"")</f>
        <v/>
      </c>
      <c r="H463" s="8" t="str">
        <f>IFERROR(INDEX(样本到样信息汇总统计!H$2:H$500,MATCH(462,样本到样信息汇总统计!$X$2:$X$500,0)),"")</f>
        <v/>
      </c>
      <c r="I463" s="8" t="str">
        <f>IFERROR(INDEX(样本到样信息汇总统计!I$2:I$500,MATCH(462,样本到样信息汇总统计!$X$2:$X$500,0)),"")</f>
        <v/>
      </c>
      <c r="J463" s="8" t="str">
        <f>IFERROR(INDEX(样本到样信息汇总统计!J$2:J$500,MATCH(462,样本到样信息汇总统计!$X$2:$X$500,0)),"")</f>
        <v/>
      </c>
      <c r="K463" s="15" t="str">
        <f>IFERROR(INDEX(样本到样信息汇总统计!K$2:K$500,MATCH(462,样本到样信息汇总统计!$X$2:$X$500,0)),"")</f>
        <v/>
      </c>
      <c r="L463" s="8" t="str">
        <f>IFERROR(INDEX(样本到样信息汇总统计!L$2:L$500,MATCH(462,样本到样信息汇总统计!$X$2:$X$500,0)),"")</f>
        <v/>
      </c>
      <c r="M463" s="8" t="str">
        <f>IFERROR(INDEX(样本到样信息汇总统计!M$2:M$500,MATCH(462,样本到样信息汇总统计!$X$2:$X$500,0)),"")</f>
        <v/>
      </c>
      <c r="N463" s="8" t="str">
        <f>IFERROR(INDEX(样本到样信息汇总统计!N$2:N$500,MATCH(462,样本到样信息汇总统计!$X$2:$X$500,0)),"")</f>
        <v/>
      </c>
      <c r="O463" s="8" t="str">
        <f>IFERROR(INDEX(样本到样信息汇总统计!O$2:O$500,MATCH(462,样本到样信息汇总统计!$X$2:$X$500,0)),"")</f>
        <v/>
      </c>
      <c r="P463" s="8" t="str">
        <f>IFERROR(INDEX(样本到样信息汇总统计!P$2:P$500,MATCH(462,样本到样信息汇总统计!$X$2:$X$500,0)),"")</f>
        <v/>
      </c>
      <c r="Q463" s="8" t="str">
        <f>IFERROR(INDEX(样本到样信息汇总统计!Q$2:Q$500,MATCH(462,样本到样信息汇总统计!$X$2:$X$500,0)),"")</f>
        <v/>
      </c>
      <c r="R463" s="8" t="str">
        <f>IFERROR(INDEX(样本到样信息汇总统计!R$2:R$500,MATCH(462,样本到样信息汇总统计!$X$2:$X$500,0)),"")</f>
        <v/>
      </c>
      <c r="S463" s="8" t="str">
        <f>IFERROR(INDEX(样本到样信息汇总统计!S$2:S$500,MATCH(462,样本到样信息汇总统计!$X$2:$X$500,0)),"")</f>
        <v/>
      </c>
      <c r="T463" s="8" t="str">
        <f>IFERROR(INDEX(样本到样信息汇总统计!T$2:T$500,MATCH(462,样本到样信息汇总统计!$X$2:$X$500,0)),"")</f>
        <v/>
      </c>
      <c r="U463" s="8" t="str">
        <f>IFERROR(INDEX(样本到样信息汇总统计!U$2:U$500,MATCH(462,样本到样信息汇总统计!$X$2:$X$500,0)),"")</f>
        <v/>
      </c>
      <c r="V463" s="8" t="str">
        <f>IFERROR(INDEX(样本到样信息汇总统计!V$2:V$500,MATCH(462,样本到样信息汇总统计!$X$2:$X$500,0)),"")</f>
        <v/>
      </c>
      <c r="W463" s="8" t="str">
        <f>IFERROR(INDEX(样本到样信息汇总统计!W$2:W$500,MATCH(462,样本到样信息汇总统计!$X$2:$X$500,0)),"")</f>
        <v/>
      </c>
    </row>
    <row r="464" ht="14.5" spans="1:23">
      <c r="A464" s="4" t="str">
        <f>IFERROR(INDEX(样本到样信息汇总统计!A$2:A$500,MATCH(463,样本到样信息汇总统计!$X$2:$X$500,0)),"")</f>
        <v/>
      </c>
      <c r="B464" s="4" t="str">
        <f>IFERROR(INDEX(样本到样信息汇总统计!B$2:B$500,MATCH(463,样本到样信息汇总统计!$X$2:$X$500,0)),"")</f>
        <v/>
      </c>
      <c r="C464" s="4" t="str">
        <f>IFERROR(INDEX(样本到样信息汇总统计!C$2:C$500,MATCH(463,样本到样信息汇总统计!$X$2:$X$500,0)),"")</f>
        <v/>
      </c>
      <c r="D464" s="4" t="str">
        <f>IFERROR(INDEX(样本到样信息汇总统计!D$2:D$500,MATCH(463,样本到样信息汇总统计!$X$2:$X$500,0)),"")</f>
        <v/>
      </c>
      <c r="E464" s="4" t="str">
        <f>IFERROR(INDEX(样本到样信息汇总统计!E$2:E$500,MATCH(463,样本到样信息汇总统计!$X$2:$X$500,0)),"")</f>
        <v/>
      </c>
      <c r="F464" s="4" t="str">
        <f>IFERROR(INDEX(样本到样信息汇总统计!F$2:F$500,MATCH(463,样本到样信息汇总统计!$X$2:$X$500,0)),"")</f>
        <v/>
      </c>
      <c r="G464" s="4" t="str">
        <f>IFERROR(INDEX(样本到样信息汇总统计!G$2:G$500,MATCH(463,样本到样信息汇总统计!$X$2:$X$500,0)),"")</f>
        <v/>
      </c>
      <c r="H464" s="4" t="str">
        <f>IFERROR(INDEX(样本到样信息汇总统计!H$2:H$500,MATCH(463,样本到样信息汇总统计!$X$2:$X$500,0)),"")</f>
        <v/>
      </c>
      <c r="I464" s="4" t="str">
        <f>IFERROR(INDEX(样本到样信息汇总统计!I$2:I$500,MATCH(463,样本到样信息汇总统计!$X$2:$X$500,0)),"")</f>
        <v/>
      </c>
      <c r="J464" s="4" t="str">
        <f>IFERROR(INDEX(样本到样信息汇总统计!J$2:J$500,MATCH(463,样本到样信息汇总统计!$X$2:$X$500,0)),"")</f>
        <v/>
      </c>
      <c r="K464" s="14" t="str">
        <f>IFERROR(INDEX(样本到样信息汇总统计!K$2:K$500,MATCH(463,样本到样信息汇总统计!$X$2:$X$500,0)),"")</f>
        <v/>
      </c>
      <c r="L464" s="4" t="str">
        <f>IFERROR(INDEX(样本到样信息汇总统计!L$2:L$500,MATCH(463,样本到样信息汇总统计!$X$2:$X$500,0)),"")</f>
        <v/>
      </c>
      <c r="M464" s="4" t="str">
        <f>IFERROR(INDEX(样本到样信息汇总统计!M$2:M$500,MATCH(463,样本到样信息汇总统计!$X$2:$X$500,0)),"")</f>
        <v/>
      </c>
      <c r="N464" s="4" t="str">
        <f>IFERROR(INDEX(样本到样信息汇总统计!N$2:N$500,MATCH(463,样本到样信息汇总统计!$X$2:$X$500,0)),"")</f>
        <v/>
      </c>
      <c r="O464" s="4" t="str">
        <f>IFERROR(INDEX(样本到样信息汇总统计!O$2:O$500,MATCH(463,样本到样信息汇总统计!$X$2:$X$500,0)),"")</f>
        <v/>
      </c>
      <c r="P464" s="4" t="str">
        <f>IFERROR(INDEX(样本到样信息汇总统计!P$2:P$500,MATCH(463,样本到样信息汇总统计!$X$2:$X$500,0)),"")</f>
        <v/>
      </c>
      <c r="Q464" s="4" t="str">
        <f>IFERROR(INDEX(样本到样信息汇总统计!Q$2:Q$500,MATCH(463,样本到样信息汇总统计!$X$2:$X$500,0)),"")</f>
        <v/>
      </c>
      <c r="R464" s="4" t="str">
        <f>IFERROR(INDEX(样本到样信息汇总统计!R$2:R$500,MATCH(463,样本到样信息汇总统计!$X$2:$X$500,0)),"")</f>
        <v/>
      </c>
      <c r="S464" s="4" t="str">
        <f>IFERROR(INDEX(样本到样信息汇总统计!S$2:S$500,MATCH(463,样本到样信息汇总统计!$X$2:$X$500,0)),"")</f>
        <v/>
      </c>
      <c r="T464" s="4" t="str">
        <f>IFERROR(INDEX(样本到样信息汇总统计!T$2:T$500,MATCH(463,样本到样信息汇总统计!$X$2:$X$500,0)),"")</f>
        <v/>
      </c>
      <c r="U464" s="4" t="str">
        <f>IFERROR(INDEX(样本到样信息汇总统计!U$2:U$500,MATCH(463,样本到样信息汇总统计!$X$2:$X$500,0)),"")</f>
        <v/>
      </c>
      <c r="V464" s="4" t="str">
        <f>IFERROR(INDEX(样本到样信息汇总统计!V$2:V$500,MATCH(463,样本到样信息汇总统计!$X$2:$X$500,0)),"")</f>
        <v/>
      </c>
      <c r="W464" s="4" t="str">
        <f>IFERROR(INDEX(样本到样信息汇总统计!W$2:W$500,MATCH(463,样本到样信息汇总统计!$X$2:$X$500,0)),"")</f>
        <v/>
      </c>
    </row>
    <row r="465" ht="14.5" spans="1:23">
      <c r="A465" s="8" t="str">
        <f>IFERROR(INDEX(样本到样信息汇总统计!A$2:A$500,MATCH(464,样本到样信息汇总统计!$X$2:$X$500,0)),"")</f>
        <v/>
      </c>
      <c r="B465" s="8" t="str">
        <f>IFERROR(INDEX(样本到样信息汇总统计!B$2:B$500,MATCH(464,样本到样信息汇总统计!$X$2:$X$500,0)),"")</f>
        <v/>
      </c>
      <c r="C465" s="8" t="str">
        <f>IFERROR(INDEX(样本到样信息汇总统计!C$2:C$500,MATCH(464,样本到样信息汇总统计!$X$2:$X$500,0)),"")</f>
        <v/>
      </c>
      <c r="D465" s="8" t="str">
        <f>IFERROR(INDEX(样本到样信息汇总统计!D$2:D$500,MATCH(464,样本到样信息汇总统计!$X$2:$X$500,0)),"")</f>
        <v/>
      </c>
      <c r="E465" s="8" t="str">
        <f>IFERROR(INDEX(样本到样信息汇总统计!E$2:E$500,MATCH(464,样本到样信息汇总统计!$X$2:$X$500,0)),"")</f>
        <v/>
      </c>
      <c r="F465" s="8" t="str">
        <f>IFERROR(INDEX(样本到样信息汇总统计!F$2:F$500,MATCH(464,样本到样信息汇总统计!$X$2:$X$500,0)),"")</f>
        <v/>
      </c>
      <c r="G465" s="8" t="str">
        <f>IFERROR(INDEX(样本到样信息汇总统计!G$2:G$500,MATCH(464,样本到样信息汇总统计!$X$2:$X$500,0)),"")</f>
        <v/>
      </c>
      <c r="H465" s="8" t="str">
        <f>IFERROR(INDEX(样本到样信息汇总统计!H$2:H$500,MATCH(464,样本到样信息汇总统计!$X$2:$X$500,0)),"")</f>
        <v/>
      </c>
      <c r="I465" s="8" t="str">
        <f>IFERROR(INDEX(样本到样信息汇总统计!I$2:I$500,MATCH(464,样本到样信息汇总统计!$X$2:$X$500,0)),"")</f>
        <v/>
      </c>
      <c r="J465" s="8" t="str">
        <f>IFERROR(INDEX(样本到样信息汇总统计!J$2:J$500,MATCH(464,样本到样信息汇总统计!$X$2:$X$500,0)),"")</f>
        <v/>
      </c>
      <c r="K465" s="15" t="str">
        <f>IFERROR(INDEX(样本到样信息汇总统计!K$2:K$500,MATCH(464,样本到样信息汇总统计!$X$2:$X$500,0)),"")</f>
        <v/>
      </c>
      <c r="L465" s="8" t="str">
        <f>IFERROR(INDEX(样本到样信息汇总统计!L$2:L$500,MATCH(464,样本到样信息汇总统计!$X$2:$X$500,0)),"")</f>
        <v/>
      </c>
      <c r="M465" s="8" t="str">
        <f>IFERROR(INDEX(样本到样信息汇总统计!M$2:M$500,MATCH(464,样本到样信息汇总统计!$X$2:$X$500,0)),"")</f>
        <v/>
      </c>
      <c r="N465" s="8" t="str">
        <f>IFERROR(INDEX(样本到样信息汇总统计!N$2:N$500,MATCH(464,样本到样信息汇总统计!$X$2:$X$500,0)),"")</f>
        <v/>
      </c>
      <c r="O465" s="8" t="str">
        <f>IFERROR(INDEX(样本到样信息汇总统计!O$2:O$500,MATCH(464,样本到样信息汇总统计!$X$2:$X$500,0)),"")</f>
        <v/>
      </c>
      <c r="P465" s="8" t="str">
        <f>IFERROR(INDEX(样本到样信息汇总统计!P$2:P$500,MATCH(464,样本到样信息汇总统计!$X$2:$X$500,0)),"")</f>
        <v/>
      </c>
      <c r="Q465" s="8" t="str">
        <f>IFERROR(INDEX(样本到样信息汇总统计!Q$2:Q$500,MATCH(464,样本到样信息汇总统计!$X$2:$X$500,0)),"")</f>
        <v/>
      </c>
      <c r="R465" s="8" t="str">
        <f>IFERROR(INDEX(样本到样信息汇总统计!R$2:R$500,MATCH(464,样本到样信息汇总统计!$X$2:$X$500,0)),"")</f>
        <v/>
      </c>
      <c r="S465" s="8" t="str">
        <f>IFERROR(INDEX(样本到样信息汇总统计!S$2:S$500,MATCH(464,样本到样信息汇总统计!$X$2:$X$500,0)),"")</f>
        <v/>
      </c>
      <c r="T465" s="8" t="str">
        <f>IFERROR(INDEX(样本到样信息汇总统计!T$2:T$500,MATCH(464,样本到样信息汇总统计!$X$2:$X$500,0)),"")</f>
        <v/>
      </c>
      <c r="U465" s="8" t="str">
        <f>IFERROR(INDEX(样本到样信息汇总统计!U$2:U$500,MATCH(464,样本到样信息汇总统计!$X$2:$X$500,0)),"")</f>
        <v/>
      </c>
      <c r="V465" s="8" t="str">
        <f>IFERROR(INDEX(样本到样信息汇总统计!V$2:V$500,MATCH(464,样本到样信息汇总统计!$X$2:$X$500,0)),"")</f>
        <v/>
      </c>
      <c r="W465" s="8" t="str">
        <f>IFERROR(INDEX(样本到样信息汇总统计!W$2:W$500,MATCH(464,样本到样信息汇总统计!$X$2:$X$500,0)),"")</f>
        <v/>
      </c>
    </row>
    <row r="466" ht="14.5" spans="1:23">
      <c r="A466" s="4" t="str">
        <f>IFERROR(INDEX(样本到样信息汇总统计!A$2:A$500,MATCH(465,样本到样信息汇总统计!$X$2:$X$500,0)),"")</f>
        <v/>
      </c>
      <c r="B466" s="4" t="str">
        <f>IFERROR(INDEX(样本到样信息汇总统计!B$2:B$500,MATCH(465,样本到样信息汇总统计!$X$2:$X$500,0)),"")</f>
        <v/>
      </c>
      <c r="C466" s="4" t="str">
        <f>IFERROR(INDEX(样本到样信息汇总统计!C$2:C$500,MATCH(465,样本到样信息汇总统计!$X$2:$X$500,0)),"")</f>
        <v/>
      </c>
      <c r="D466" s="4" t="str">
        <f>IFERROR(INDEX(样本到样信息汇总统计!D$2:D$500,MATCH(465,样本到样信息汇总统计!$X$2:$X$500,0)),"")</f>
        <v/>
      </c>
      <c r="E466" s="4" t="str">
        <f>IFERROR(INDEX(样本到样信息汇总统计!E$2:E$500,MATCH(465,样本到样信息汇总统计!$X$2:$X$500,0)),"")</f>
        <v/>
      </c>
      <c r="F466" s="4" t="str">
        <f>IFERROR(INDEX(样本到样信息汇总统计!F$2:F$500,MATCH(465,样本到样信息汇总统计!$X$2:$X$500,0)),"")</f>
        <v/>
      </c>
      <c r="G466" s="4" t="str">
        <f>IFERROR(INDEX(样本到样信息汇总统计!G$2:G$500,MATCH(465,样本到样信息汇总统计!$X$2:$X$500,0)),"")</f>
        <v/>
      </c>
      <c r="H466" s="4" t="str">
        <f>IFERROR(INDEX(样本到样信息汇总统计!H$2:H$500,MATCH(465,样本到样信息汇总统计!$X$2:$X$500,0)),"")</f>
        <v/>
      </c>
      <c r="I466" s="4" t="str">
        <f>IFERROR(INDEX(样本到样信息汇总统计!I$2:I$500,MATCH(465,样本到样信息汇总统计!$X$2:$X$500,0)),"")</f>
        <v/>
      </c>
      <c r="J466" s="4" t="str">
        <f>IFERROR(INDEX(样本到样信息汇总统计!J$2:J$500,MATCH(465,样本到样信息汇总统计!$X$2:$X$500,0)),"")</f>
        <v/>
      </c>
      <c r="K466" s="14" t="str">
        <f>IFERROR(INDEX(样本到样信息汇总统计!K$2:K$500,MATCH(465,样本到样信息汇总统计!$X$2:$X$500,0)),"")</f>
        <v/>
      </c>
      <c r="L466" s="4" t="str">
        <f>IFERROR(INDEX(样本到样信息汇总统计!L$2:L$500,MATCH(465,样本到样信息汇总统计!$X$2:$X$500,0)),"")</f>
        <v/>
      </c>
      <c r="M466" s="4" t="str">
        <f>IFERROR(INDEX(样本到样信息汇总统计!M$2:M$500,MATCH(465,样本到样信息汇总统计!$X$2:$X$500,0)),"")</f>
        <v/>
      </c>
      <c r="N466" s="4" t="str">
        <f>IFERROR(INDEX(样本到样信息汇总统计!N$2:N$500,MATCH(465,样本到样信息汇总统计!$X$2:$X$500,0)),"")</f>
        <v/>
      </c>
      <c r="O466" s="4" t="str">
        <f>IFERROR(INDEX(样本到样信息汇总统计!O$2:O$500,MATCH(465,样本到样信息汇总统计!$X$2:$X$500,0)),"")</f>
        <v/>
      </c>
      <c r="P466" s="4" t="str">
        <f>IFERROR(INDEX(样本到样信息汇总统计!P$2:P$500,MATCH(465,样本到样信息汇总统计!$X$2:$X$500,0)),"")</f>
        <v/>
      </c>
      <c r="Q466" s="4" t="str">
        <f>IFERROR(INDEX(样本到样信息汇总统计!Q$2:Q$500,MATCH(465,样本到样信息汇总统计!$X$2:$X$500,0)),"")</f>
        <v/>
      </c>
      <c r="R466" s="4" t="str">
        <f>IFERROR(INDEX(样本到样信息汇总统计!R$2:R$500,MATCH(465,样本到样信息汇总统计!$X$2:$X$500,0)),"")</f>
        <v/>
      </c>
      <c r="S466" s="4" t="str">
        <f>IFERROR(INDEX(样本到样信息汇总统计!S$2:S$500,MATCH(465,样本到样信息汇总统计!$X$2:$X$500,0)),"")</f>
        <v/>
      </c>
      <c r="T466" s="4" t="str">
        <f>IFERROR(INDEX(样本到样信息汇总统计!T$2:T$500,MATCH(465,样本到样信息汇总统计!$X$2:$X$500,0)),"")</f>
        <v/>
      </c>
      <c r="U466" s="4" t="str">
        <f>IFERROR(INDEX(样本到样信息汇总统计!U$2:U$500,MATCH(465,样本到样信息汇总统计!$X$2:$X$500,0)),"")</f>
        <v/>
      </c>
      <c r="V466" s="4" t="str">
        <f>IFERROR(INDEX(样本到样信息汇总统计!V$2:V$500,MATCH(465,样本到样信息汇总统计!$X$2:$X$500,0)),"")</f>
        <v/>
      </c>
      <c r="W466" s="4" t="str">
        <f>IFERROR(INDEX(样本到样信息汇总统计!W$2:W$500,MATCH(465,样本到样信息汇总统计!$X$2:$X$500,0)),"")</f>
        <v/>
      </c>
    </row>
    <row r="467" ht="14.5" spans="1:23">
      <c r="A467" s="8" t="str">
        <f>IFERROR(INDEX(样本到样信息汇总统计!A$2:A$500,MATCH(466,样本到样信息汇总统计!$X$2:$X$500,0)),"")</f>
        <v/>
      </c>
      <c r="B467" s="8" t="str">
        <f>IFERROR(INDEX(样本到样信息汇总统计!B$2:B$500,MATCH(466,样本到样信息汇总统计!$X$2:$X$500,0)),"")</f>
        <v/>
      </c>
      <c r="C467" s="8" t="str">
        <f>IFERROR(INDEX(样本到样信息汇总统计!C$2:C$500,MATCH(466,样本到样信息汇总统计!$X$2:$X$500,0)),"")</f>
        <v/>
      </c>
      <c r="D467" s="8" t="str">
        <f>IFERROR(INDEX(样本到样信息汇总统计!D$2:D$500,MATCH(466,样本到样信息汇总统计!$X$2:$X$500,0)),"")</f>
        <v/>
      </c>
      <c r="E467" s="8" t="str">
        <f>IFERROR(INDEX(样本到样信息汇总统计!E$2:E$500,MATCH(466,样本到样信息汇总统计!$X$2:$X$500,0)),"")</f>
        <v/>
      </c>
      <c r="F467" s="8" t="str">
        <f>IFERROR(INDEX(样本到样信息汇总统计!F$2:F$500,MATCH(466,样本到样信息汇总统计!$X$2:$X$500,0)),"")</f>
        <v/>
      </c>
      <c r="G467" s="8" t="str">
        <f>IFERROR(INDEX(样本到样信息汇总统计!G$2:G$500,MATCH(466,样本到样信息汇总统计!$X$2:$X$500,0)),"")</f>
        <v/>
      </c>
      <c r="H467" s="8" t="str">
        <f>IFERROR(INDEX(样本到样信息汇总统计!H$2:H$500,MATCH(466,样本到样信息汇总统计!$X$2:$X$500,0)),"")</f>
        <v/>
      </c>
      <c r="I467" s="8" t="str">
        <f>IFERROR(INDEX(样本到样信息汇总统计!I$2:I$500,MATCH(466,样本到样信息汇总统计!$X$2:$X$500,0)),"")</f>
        <v/>
      </c>
      <c r="J467" s="8" t="str">
        <f>IFERROR(INDEX(样本到样信息汇总统计!J$2:J$500,MATCH(466,样本到样信息汇总统计!$X$2:$X$500,0)),"")</f>
        <v/>
      </c>
      <c r="K467" s="15" t="str">
        <f>IFERROR(INDEX(样本到样信息汇总统计!K$2:K$500,MATCH(466,样本到样信息汇总统计!$X$2:$X$500,0)),"")</f>
        <v/>
      </c>
      <c r="L467" s="8" t="str">
        <f>IFERROR(INDEX(样本到样信息汇总统计!L$2:L$500,MATCH(466,样本到样信息汇总统计!$X$2:$X$500,0)),"")</f>
        <v/>
      </c>
      <c r="M467" s="8" t="str">
        <f>IFERROR(INDEX(样本到样信息汇总统计!M$2:M$500,MATCH(466,样本到样信息汇总统计!$X$2:$X$500,0)),"")</f>
        <v/>
      </c>
      <c r="N467" s="8" t="str">
        <f>IFERROR(INDEX(样本到样信息汇总统计!N$2:N$500,MATCH(466,样本到样信息汇总统计!$X$2:$X$500,0)),"")</f>
        <v/>
      </c>
      <c r="O467" s="8" t="str">
        <f>IFERROR(INDEX(样本到样信息汇总统计!O$2:O$500,MATCH(466,样本到样信息汇总统计!$X$2:$X$500,0)),"")</f>
        <v/>
      </c>
      <c r="P467" s="8" t="str">
        <f>IFERROR(INDEX(样本到样信息汇总统计!P$2:P$500,MATCH(466,样本到样信息汇总统计!$X$2:$X$500,0)),"")</f>
        <v/>
      </c>
      <c r="Q467" s="8" t="str">
        <f>IFERROR(INDEX(样本到样信息汇总统计!Q$2:Q$500,MATCH(466,样本到样信息汇总统计!$X$2:$X$500,0)),"")</f>
        <v/>
      </c>
      <c r="R467" s="8" t="str">
        <f>IFERROR(INDEX(样本到样信息汇总统计!R$2:R$500,MATCH(466,样本到样信息汇总统计!$X$2:$X$500,0)),"")</f>
        <v/>
      </c>
      <c r="S467" s="8" t="str">
        <f>IFERROR(INDEX(样本到样信息汇总统计!S$2:S$500,MATCH(466,样本到样信息汇总统计!$X$2:$X$500,0)),"")</f>
        <v/>
      </c>
      <c r="T467" s="8" t="str">
        <f>IFERROR(INDEX(样本到样信息汇总统计!T$2:T$500,MATCH(466,样本到样信息汇总统计!$X$2:$X$500,0)),"")</f>
        <v/>
      </c>
      <c r="U467" s="8" t="str">
        <f>IFERROR(INDEX(样本到样信息汇总统计!U$2:U$500,MATCH(466,样本到样信息汇总统计!$X$2:$X$500,0)),"")</f>
        <v/>
      </c>
      <c r="V467" s="8" t="str">
        <f>IFERROR(INDEX(样本到样信息汇总统计!V$2:V$500,MATCH(466,样本到样信息汇总统计!$X$2:$X$500,0)),"")</f>
        <v/>
      </c>
      <c r="W467" s="8" t="str">
        <f>IFERROR(INDEX(样本到样信息汇总统计!W$2:W$500,MATCH(466,样本到样信息汇总统计!$X$2:$X$500,0)),"")</f>
        <v/>
      </c>
    </row>
    <row r="468" ht="14.5" spans="1:23">
      <c r="A468" s="4" t="str">
        <f>IFERROR(INDEX(样本到样信息汇总统计!A$2:A$500,MATCH(467,样本到样信息汇总统计!$X$2:$X$500,0)),"")</f>
        <v/>
      </c>
      <c r="B468" s="4" t="str">
        <f>IFERROR(INDEX(样本到样信息汇总统计!B$2:B$500,MATCH(467,样本到样信息汇总统计!$X$2:$X$500,0)),"")</f>
        <v/>
      </c>
      <c r="C468" s="4" t="str">
        <f>IFERROR(INDEX(样本到样信息汇总统计!C$2:C$500,MATCH(467,样本到样信息汇总统计!$X$2:$X$500,0)),"")</f>
        <v/>
      </c>
      <c r="D468" s="4" t="str">
        <f>IFERROR(INDEX(样本到样信息汇总统计!D$2:D$500,MATCH(467,样本到样信息汇总统计!$X$2:$X$500,0)),"")</f>
        <v/>
      </c>
      <c r="E468" s="4" t="str">
        <f>IFERROR(INDEX(样本到样信息汇总统计!E$2:E$500,MATCH(467,样本到样信息汇总统计!$X$2:$X$500,0)),"")</f>
        <v/>
      </c>
      <c r="F468" s="4" t="str">
        <f>IFERROR(INDEX(样本到样信息汇总统计!F$2:F$500,MATCH(467,样本到样信息汇总统计!$X$2:$X$500,0)),"")</f>
        <v/>
      </c>
      <c r="G468" s="4" t="str">
        <f>IFERROR(INDEX(样本到样信息汇总统计!G$2:G$500,MATCH(467,样本到样信息汇总统计!$X$2:$X$500,0)),"")</f>
        <v/>
      </c>
      <c r="H468" s="4" t="str">
        <f>IFERROR(INDEX(样本到样信息汇总统计!H$2:H$500,MATCH(467,样本到样信息汇总统计!$X$2:$X$500,0)),"")</f>
        <v/>
      </c>
      <c r="I468" s="4" t="str">
        <f>IFERROR(INDEX(样本到样信息汇总统计!I$2:I$500,MATCH(467,样本到样信息汇总统计!$X$2:$X$500,0)),"")</f>
        <v/>
      </c>
      <c r="J468" s="4" t="str">
        <f>IFERROR(INDEX(样本到样信息汇总统计!J$2:J$500,MATCH(467,样本到样信息汇总统计!$X$2:$X$500,0)),"")</f>
        <v/>
      </c>
      <c r="K468" s="14" t="str">
        <f>IFERROR(INDEX(样本到样信息汇总统计!K$2:K$500,MATCH(467,样本到样信息汇总统计!$X$2:$X$500,0)),"")</f>
        <v/>
      </c>
      <c r="L468" s="4" t="str">
        <f>IFERROR(INDEX(样本到样信息汇总统计!L$2:L$500,MATCH(467,样本到样信息汇总统计!$X$2:$X$500,0)),"")</f>
        <v/>
      </c>
      <c r="M468" s="4" t="str">
        <f>IFERROR(INDEX(样本到样信息汇总统计!M$2:M$500,MATCH(467,样本到样信息汇总统计!$X$2:$X$500,0)),"")</f>
        <v/>
      </c>
      <c r="N468" s="4" t="str">
        <f>IFERROR(INDEX(样本到样信息汇总统计!N$2:N$500,MATCH(467,样本到样信息汇总统计!$X$2:$X$500,0)),"")</f>
        <v/>
      </c>
      <c r="O468" s="4" t="str">
        <f>IFERROR(INDEX(样本到样信息汇总统计!O$2:O$500,MATCH(467,样本到样信息汇总统计!$X$2:$X$500,0)),"")</f>
        <v/>
      </c>
      <c r="P468" s="4" t="str">
        <f>IFERROR(INDEX(样本到样信息汇总统计!P$2:P$500,MATCH(467,样本到样信息汇总统计!$X$2:$X$500,0)),"")</f>
        <v/>
      </c>
      <c r="Q468" s="4" t="str">
        <f>IFERROR(INDEX(样本到样信息汇总统计!Q$2:Q$500,MATCH(467,样本到样信息汇总统计!$X$2:$X$500,0)),"")</f>
        <v/>
      </c>
      <c r="R468" s="4" t="str">
        <f>IFERROR(INDEX(样本到样信息汇总统计!R$2:R$500,MATCH(467,样本到样信息汇总统计!$X$2:$X$500,0)),"")</f>
        <v/>
      </c>
      <c r="S468" s="4" t="str">
        <f>IFERROR(INDEX(样本到样信息汇总统计!S$2:S$500,MATCH(467,样本到样信息汇总统计!$X$2:$X$500,0)),"")</f>
        <v/>
      </c>
      <c r="T468" s="4" t="str">
        <f>IFERROR(INDEX(样本到样信息汇总统计!T$2:T$500,MATCH(467,样本到样信息汇总统计!$X$2:$X$500,0)),"")</f>
        <v/>
      </c>
      <c r="U468" s="4" t="str">
        <f>IFERROR(INDEX(样本到样信息汇总统计!U$2:U$500,MATCH(467,样本到样信息汇总统计!$X$2:$X$500,0)),"")</f>
        <v/>
      </c>
      <c r="V468" s="4" t="str">
        <f>IFERROR(INDEX(样本到样信息汇总统计!V$2:V$500,MATCH(467,样本到样信息汇总统计!$X$2:$X$500,0)),"")</f>
        <v/>
      </c>
      <c r="W468" s="4" t="str">
        <f>IFERROR(INDEX(样本到样信息汇总统计!W$2:W$500,MATCH(467,样本到样信息汇总统计!$X$2:$X$500,0)),"")</f>
        <v/>
      </c>
    </row>
    <row r="469" ht="14.5" spans="1:23">
      <c r="A469" s="8" t="str">
        <f>IFERROR(INDEX(样本到样信息汇总统计!A$2:A$500,MATCH(468,样本到样信息汇总统计!$X$2:$X$500,0)),"")</f>
        <v/>
      </c>
      <c r="B469" s="8" t="str">
        <f>IFERROR(INDEX(样本到样信息汇总统计!B$2:B$500,MATCH(468,样本到样信息汇总统计!$X$2:$X$500,0)),"")</f>
        <v/>
      </c>
      <c r="C469" s="8" t="str">
        <f>IFERROR(INDEX(样本到样信息汇总统计!C$2:C$500,MATCH(468,样本到样信息汇总统计!$X$2:$X$500,0)),"")</f>
        <v/>
      </c>
      <c r="D469" s="8" t="str">
        <f>IFERROR(INDEX(样本到样信息汇总统计!D$2:D$500,MATCH(468,样本到样信息汇总统计!$X$2:$X$500,0)),"")</f>
        <v/>
      </c>
      <c r="E469" s="8" t="str">
        <f>IFERROR(INDEX(样本到样信息汇总统计!E$2:E$500,MATCH(468,样本到样信息汇总统计!$X$2:$X$500,0)),"")</f>
        <v/>
      </c>
      <c r="F469" s="8" t="str">
        <f>IFERROR(INDEX(样本到样信息汇总统计!F$2:F$500,MATCH(468,样本到样信息汇总统计!$X$2:$X$500,0)),"")</f>
        <v/>
      </c>
      <c r="G469" s="8" t="str">
        <f>IFERROR(INDEX(样本到样信息汇总统计!G$2:G$500,MATCH(468,样本到样信息汇总统计!$X$2:$X$500,0)),"")</f>
        <v/>
      </c>
      <c r="H469" s="8" t="str">
        <f>IFERROR(INDEX(样本到样信息汇总统计!H$2:H$500,MATCH(468,样本到样信息汇总统计!$X$2:$X$500,0)),"")</f>
        <v/>
      </c>
      <c r="I469" s="8" t="str">
        <f>IFERROR(INDEX(样本到样信息汇总统计!I$2:I$500,MATCH(468,样本到样信息汇总统计!$X$2:$X$500,0)),"")</f>
        <v/>
      </c>
      <c r="J469" s="8" t="str">
        <f>IFERROR(INDEX(样本到样信息汇总统计!J$2:J$500,MATCH(468,样本到样信息汇总统计!$X$2:$X$500,0)),"")</f>
        <v/>
      </c>
      <c r="K469" s="15" t="str">
        <f>IFERROR(INDEX(样本到样信息汇总统计!K$2:K$500,MATCH(468,样本到样信息汇总统计!$X$2:$X$500,0)),"")</f>
        <v/>
      </c>
      <c r="L469" s="8" t="str">
        <f>IFERROR(INDEX(样本到样信息汇总统计!L$2:L$500,MATCH(468,样本到样信息汇总统计!$X$2:$X$500,0)),"")</f>
        <v/>
      </c>
      <c r="M469" s="8" t="str">
        <f>IFERROR(INDEX(样本到样信息汇总统计!M$2:M$500,MATCH(468,样本到样信息汇总统计!$X$2:$X$500,0)),"")</f>
        <v/>
      </c>
      <c r="N469" s="8" t="str">
        <f>IFERROR(INDEX(样本到样信息汇总统计!N$2:N$500,MATCH(468,样本到样信息汇总统计!$X$2:$X$500,0)),"")</f>
        <v/>
      </c>
      <c r="O469" s="8" t="str">
        <f>IFERROR(INDEX(样本到样信息汇总统计!O$2:O$500,MATCH(468,样本到样信息汇总统计!$X$2:$X$500,0)),"")</f>
        <v/>
      </c>
      <c r="P469" s="8" t="str">
        <f>IFERROR(INDEX(样本到样信息汇总统计!P$2:P$500,MATCH(468,样本到样信息汇总统计!$X$2:$X$500,0)),"")</f>
        <v/>
      </c>
      <c r="Q469" s="8" t="str">
        <f>IFERROR(INDEX(样本到样信息汇总统计!Q$2:Q$500,MATCH(468,样本到样信息汇总统计!$X$2:$X$500,0)),"")</f>
        <v/>
      </c>
      <c r="R469" s="8" t="str">
        <f>IFERROR(INDEX(样本到样信息汇总统计!R$2:R$500,MATCH(468,样本到样信息汇总统计!$X$2:$X$500,0)),"")</f>
        <v/>
      </c>
      <c r="S469" s="8" t="str">
        <f>IFERROR(INDEX(样本到样信息汇总统计!S$2:S$500,MATCH(468,样本到样信息汇总统计!$X$2:$X$500,0)),"")</f>
        <v/>
      </c>
      <c r="T469" s="8" t="str">
        <f>IFERROR(INDEX(样本到样信息汇总统计!T$2:T$500,MATCH(468,样本到样信息汇总统计!$X$2:$X$500,0)),"")</f>
        <v/>
      </c>
      <c r="U469" s="8" t="str">
        <f>IFERROR(INDEX(样本到样信息汇总统计!U$2:U$500,MATCH(468,样本到样信息汇总统计!$X$2:$X$500,0)),"")</f>
        <v/>
      </c>
      <c r="V469" s="8" t="str">
        <f>IFERROR(INDEX(样本到样信息汇总统计!V$2:V$500,MATCH(468,样本到样信息汇总统计!$X$2:$X$500,0)),"")</f>
        <v/>
      </c>
      <c r="W469" s="8" t="str">
        <f>IFERROR(INDEX(样本到样信息汇总统计!W$2:W$500,MATCH(468,样本到样信息汇总统计!$X$2:$X$500,0)),"")</f>
        <v/>
      </c>
    </row>
    <row r="470" ht="14.5" spans="1:23">
      <c r="A470" s="4" t="str">
        <f>IFERROR(INDEX(样本到样信息汇总统计!A$2:A$500,MATCH(469,样本到样信息汇总统计!$X$2:$X$500,0)),"")</f>
        <v/>
      </c>
      <c r="B470" s="4" t="str">
        <f>IFERROR(INDEX(样本到样信息汇总统计!B$2:B$500,MATCH(469,样本到样信息汇总统计!$X$2:$X$500,0)),"")</f>
        <v/>
      </c>
      <c r="C470" s="4" t="str">
        <f>IFERROR(INDEX(样本到样信息汇总统计!C$2:C$500,MATCH(469,样本到样信息汇总统计!$X$2:$X$500,0)),"")</f>
        <v/>
      </c>
      <c r="D470" s="4" t="str">
        <f>IFERROR(INDEX(样本到样信息汇总统计!D$2:D$500,MATCH(469,样本到样信息汇总统计!$X$2:$X$500,0)),"")</f>
        <v/>
      </c>
      <c r="E470" s="4" t="str">
        <f>IFERROR(INDEX(样本到样信息汇总统计!E$2:E$500,MATCH(469,样本到样信息汇总统计!$X$2:$X$500,0)),"")</f>
        <v/>
      </c>
      <c r="F470" s="4" t="str">
        <f>IFERROR(INDEX(样本到样信息汇总统计!F$2:F$500,MATCH(469,样本到样信息汇总统计!$X$2:$X$500,0)),"")</f>
        <v/>
      </c>
      <c r="G470" s="4" t="str">
        <f>IFERROR(INDEX(样本到样信息汇总统计!G$2:G$500,MATCH(469,样本到样信息汇总统计!$X$2:$X$500,0)),"")</f>
        <v/>
      </c>
      <c r="H470" s="4" t="str">
        <f>IFERROR(INDEX(样本到样信息汇总统计!H$2:H$500,MATCH(469,样本到样信息汇总统计!$X$2:$X$500,0)),"")</f>
        <v/>
      </c>
      <c r="I470" s="4" t="str">
        <f>IFERROR(INDEX(样本到样信息汇总统计!I$2:I$500,MATCH(469,样本到样信息汇总统计!$X$2:$X$500,0)),"")</f>
        <v/>
      </c>
      <c r="J470" s="4" t="str">
        <f>IFERROR(INDEX(样本到样信息汇总统计!J$2:J$500,MATCH(469,样本到样信息汇总统计!$X$2:$X$500,0)),"")</f>
        <v/>
      </c>
      <c r="K470" s="14" t="str">
        <f>IFERROR(INDEX(样本到样信息汇总统计!K$2:K$500,MATCH(469,样本到样信息汇总统计!$X$2:$X$500,0)),"")</f>
        <v/>
      </c>
      <c r="L470" s="4" t="str">
        <f>IFERROR(INDEX(样本到样信息汇总统计!L$2:L$500,MATCH(469,样本到样信息汇总统计!$X$2:$X$500,0)),"")</f>
        <v/>
      </c>
      <c r="M470" s="4" t="str">
        <f>IFERROR(INDEX(样本到样信息汇总统计!M$2:M$500,MATCH(469,样本到样信息汇总统计!$X$2:$X$500,0)),"")</f>
        <v/>
      </c>
      <c r="N470" s="4" t="str">
        <f>IFERROR(INDEX(样本到样信息汇总统计!N$2:N$500,MATCH(469,样本到样信息汇总统计!$X$2:$X$500,0)),"")</f>
        <v/>
      </c>
      <c r="O470" s="4" t="str">
        <f>IFERROR(INDEX(样本到样信息汇总统计!O$2:O$500,MATCH(469,样本到样信息汇总统计!$X$2:$X$500,0)),"")</f>
        <v/>
      </c>
      <c r="P470" s="4" t="str">
        <f>IFERROR(INDEX(样本到样信息汇总统计!P$2:P$500,MATCH(469,样本到样信息汇总统计!$X$2:$X$500,0)),"")</f>
        <v/>
      </c>
      <c r="Q470" s="4" t="str">
        <f>IFERROR(INDEX(样本到样信息汇总统计!Q$2:Q$500,MATCH(469,样本到样信息汇总统计!$X$2:$X$500,0)),"")</f>
        <v/>
      </c>
      <c r="R470" s="4" t="str">
        <f>IFERROR(INDEX(样本到样信息汇总统计!R$2:R$500,MATCH(469,样本到样信息汇总统计!$X$2:$X$500,0)),"")</f>
        <v/>
      </c>
      <c r="S470" s="4" t="str">
        <f>IFERROR(INDEX(样本到样信息汇总统计!S$2:S$500,MATCH(469,样本到样信息汇总统计!$X$2:$X$500,0)),"")</f>
        <v/>
      </c>
      <c r="T470" s="4" t="str">
        <f>IFERROR(INDEX(样本到样信息汇总统计!T$2:T$500,MATCH(469,样本到样信息汇总统计!$X$2:$X$500,0)),"")</f>
        <v/>
      </c>
      <c r="U470" s="4" t="str">
        <f>IFERROR(INDEX(样本到样信息汇总统计!U$2:U$500,MATCH(469,样本到样信息汇总统计!$X$2:$X$500,0)),"")</f>
        <v/>
      </c>
      <c r="V470" s="4" t="str">
        <f>IFERROR(INDEX(样本到样信息汇总统计!V$2:V$500,MATCH(469,样本到样信息汇总统计!$X$2:$X$500,0)),"")</f>
        <v/>
      </c>
      <c r="W470" s="4" t="str">
        <f>IFERROR(INDEX(样本到样信息汇总统计!W$2:W$500,MATCH(469,样本到样信息汇总统计!$X$2:$X$500,0)),"")</f>
        <v/>
      </c>
    </row>
    <row r="471" ht="14.5" spans="1:23">
      <c r="A471" s="8" t="str">
        <f>IFERROR(INDEX(样本到样信息汇总统计!A$2:A$500,MATCH(470,样本到样信息汇总统计!$X$2:$X$500,0)),"")</f>
        <v/>
      </c>
      <c r="B471" s="8" t="str">
        <f>IFERROR(INDEX(样本到样信息汇总统计!B$2:B$500,MATCH(470,样本到样信息汇总统计!$X$2:$X$500,0)),"")</f>
        <v/>
      </c>
      <c r="C471" s="8" t="str">
        <f>IFERROR(INDEX(样本到样信息汇总统计!C$2:C$500,MATCH(470,样本到样信息汇总统计!$X$2:$X$500,0)),"")</f>
        <v/>
      </c>
      <c r="D471" s="8" t="str">
        <f>IFERROR(INDEX(样本到样信息汇总统计!D$2:D$500,MATCH(470,样本到样信息汇总统计!$X$2:$X$500,0)),"")</f>
        <v/>
      </c>
      <c r="E471" s="8" t="str">
        <f>IFERROR(INDEX(样本到样信息汇总统计!E$2:E$500,MATCH(470,样本到样信息汇总统计!$X$2:$X$500,0)),"")</f>
        <v/>
      </c>
      <c r="F471" s="8" t="str">
        <f>IFERROR(INDEX(样本到样信息汇总统计!F$2:F$500,MATCH(470,样本到样信息汇总统计!$X$2:$X$500,0)),"")</f>
        <v/>
      </c>
      <c r="G471" s="8" t="str">
        <f>IFERROR(INDEX(样本到样信息汇总统计!G$2:G$500,MATCH(470,样本到样信息汇总统计!$X$2:$X$500,0)),"")</f>
        <v/>
      </c>
      <c r="H471" s="8" t="str">
        <f>IFERROR(INDEX(样本到样信息汇总统计!H$2:H$500,MATCH(470,样本到样信息汇总统计!$X$2:$X$500,0)),"")</f>
        <v/>
      </c>
      <c r="I471" s="8" t="str">
        <f>IFERROR(INDEX(样本到样信息汇总统计!I$2:I$500,MATCH(470,样本到样信息汇总统计!$X$2:$X$500,0)),"")</f>
        <v/>
      </c>
      <c r="J471" s="8" t="str">
        <f>IFERROR(INDEX(样本到样信息汇总统计!J$2:J$500,MATCH(470,样本到样信息汇总统计!$X$2:$X$500,0)),"")</f>
        <v/>
      </c>
      <c r="K471" s="15" t="str">
        <f>IFERROR(INDEX(样本到样信息汇总统计!K$2:K$500,MATCH(470,样本到样信息汇总统计!$X$2:$X$500,0)),"")</f>
        <v/>
      </c>
      <c r="L471" s="8" t="str">
        <f>IFERROR(INDEX(样本到样信息汇总统计!L$2:L$500,MATCH(470,样本到样信息汇总统计!$X$2:$X$500,0)),"")</f>
        <v/>
      </c>
      <c r="M471" s="8" t="str">
        <f>IFERROR(INDEX(样本到样信息汇总统计!M$2:M$500,MATCH(470,样本到样信息汇总统计!$X$2:$X$500,0)),"")</f>
        <v/>
      </c>
      <c r="N471" s="8" t="str">
        <f>IFERROR(INDEX(样本到样信息汇总统计!N$2:N$500,MATCH(470,样本到样信息汇总统计!$X$2:$X$500,0)),"")</f>
        <v/>
      </c>
      <c r="O471" s="8" t="str">
        <f>IFERROR(INDEX(样本到样信息汇总统计!O$2:O$500,MATCH(470,样本到样信息汇总统计!$X$2:$X$500,0)),"")</f>
        <v/>
      </c>
      <c r="P471" s="8" t="str">
        <f>IFERROR(INDEX(样本到样信息汇总统计!P$2:P$500,MATCH(470,样本到样信息汇总统计!$X$2:$X$500,0)),"")</f>
        <v/>
      </c>
      <c r="Q471" s="8" t="str">
        <f>IFERROR(INDEX(样本到样信息汇总统计!Q$2:Q$500,MATCH(470,样本到样信息汇总统计!$X$2:$X$500,0)),"")</f>
        <v/>
      </c>
      <c r="R471" s="8" t="str">
        <f>IFERROR(INDEX(样本到样信息汇总统计!R$2:R$500,MATCH(470,样本到样信息汇总统计!$X$2:$X$500,0)),"")</f>
        <v/>
      </c>
      <c r="S471" s="8" t="str">
        <f>IFERROR(INDEX(样本到样信息汇总统计!S$2:S$500,MATCH(470,样本到样信息汇总统计!$X$2:$X$500,0)),"")</f>
        <v/>
      </c>
      <c r="T471" s="8" t="str">
        <f>IFERROR(INDEX(样本到样信息汇总统计!T$2:T$500,MATCH(470,样本到样信息汇总统计!$X$2:$X$500,0)),"")</f>
        <v/>
      </c>
      <c r="U471" s="8" t="str">
        <f>IFERROR(INDEX(样本到样信息汇总统计!U$2:U$500,MATCH(470,样本到样信息汇总统计!$X$2:$X$500,0)),"")</f>
        <v/>
      </c>
      <c r="V471" s="8" t="str">
        <f>IFERROR(INDEX(样本到样信息汇总统计!V$2:V$500,MATCH(470,样本到样信息汇总统计!$X$2:$X$500,0)),"")</f>
        <v/>
      </c>
      <c r="W471" s="8" t="str">
        <f>IFERROR(INDEX(样本到样信息汇总统计!W$2:W$500,MATCH(470,样本到样信息汇总统计!$X$2:$X$500,0)),"")</f>
        <v/>
      </c>
    </row>
    <row r="472" ht="14.5" spans="1:23">
      <c r="A472" s="4" t="str">
        <f>IFERROR(INDEX(样本到样信息汇总统计!A$2:A$500,MATCH(471,样本到样信息汇总统计!$X$2:$X$500,0)),"")</f>
        <v/>
      </c>
      <c r="B472" s="4" t="str">
        <f>IFERROR(INDEX(样本到样信息汇总统计!B$2:B$500,MATCH(471,样本到样信息汇总统计!$X$2:$X$500,0)),"")</f>
        <v/>
      </c>
      <c r="C472" s="4" t="str">
        <f>IFERROR(INDEX(样本到样信息汇总统计!C$2:C$500,MATCH(471,样本到样信息汇总统计!$X$2:$X$500,0)),"")</f>
        <v/>
      </c>
      <c r="D472" s="4" t="str">
        <f>IFERROR(INDEX(样本到样信息汇总统计!D$2:D$500,MATCH(471,样本到样信息汇总统计!$X$2:$X$500,0)),"")</f>
        <v/>
      </c>
      <c r="E472" s="4" t="str">
        <f>IFERROR(INDEX(样本到样信息汇总统计!E$2:E$500,MATCH(471,样本到样信息汇总统计!$X$2:$X$500,0)),"")</f>
        <v/>
      </c>
      <c r="F472" s="4" t="str">
        <f>IFERROR(INDEX(样本到样信息汇总统计!F$2:F$500,MATCH(471,样本到样信息汇总统计!$X$2:$X$500,0)),"")</f>
        <v/>
      </c>
      <c r="G472" s="4" t="str">
        <f>IFERROR(INDEX(样本到样信息汇总统计!G$2:G$500,MATCH(471,样本到样信息汇总统计!$X$2:$X$500,0)),"")</f>
        <v/>
      </c>
      <c r="H472" s="4" t="str">
        <f>IFERROR(INDEX(样本到样信息汇总统计!H$2:H$500,MATCH(471,样本到样信息汇总统计!$X$2:$X$500,0)),"")</f>
        <v/>
      </c>
      <c r="I472" s="4" t="str">
        <f>IFERROR(INDEX(样本到样信息汇总统计!I$2:I$500,MATCH(471,样本到样信息汇总统计!$X$2:$X$500,0)),"")</f>
        <v/>
      </c>
      <c r="J472" s="4" t="str">
        <f>IFERROR(INDEX(样本到样信息汇总统计!J$2:J$500,MATCH(471,样本到样信息汇总统计!$X$2:$X$500,0)),"")</f>
        <v/>
      </c>
      <c r="K472" s="14" t="str">
        <f>IFERROR(INDEX(样本到样信息汇总统计!K$2:K$500,MATCH(471,样本到样信息汇总统计!$X$2:$X$500,0)),"")</f>
        <v/>
      </c>
      <c r="L472" s="4" t="str">
        <f>IFERROR(INDEX(样本到样信息汇总统计!L$2:L$500,MATCH(471,样本到样信息汇总统计!$X$2:$X$500,0)),"")</f>
        <v/>
      </c>
      <c r="M472" s="4" t="str">
        <f>IFERROR(INDEX(样本到样信息汇总统计!M$2:M$500,MATCH(471,样本到样信息汇总统计!$X$2:$X$500,0)),"")</f>
        <v/>
      </c>
      <c r="N472" s="4" t="str">
        <f>IFERROR(INDEX(样本到样信息汇总统计!N$2:N$500,MATCH(471,样本到样信息汇总统计!$X$2:$X$500,0)),"")</f>
        <v/>
      </c>
      <c r="O472" s="4" t="str">
        <f>IFERROR(INDEX(样本到样信息汇总统计!O$2:O$500,MATCH(471,样本到样信息汇总统计!$X$2:$X$500,0)),"")</f>
        <v/>
      </c>
      <c r="P472" s="4" t="str">
        <f>IFERROR(INDEX(样本到样信息汇总统计!P$2:P$500,MATCH(471,样本到样信息汇总统计!$X$2:$X$500,0)),"")</f>
        <v/>
      </c>
      <c r="Q472" s="4" t="str">
        <f>IFERROR(INDEX(样本到样信息汇总统计!Q$2:Q$500,MATCH(471,样本到样信息汇总统计!$X$2:$X$500,0)),"")</f>
        <v/>
      </c>
      <c r="R472" s="4" t="str">
        <f>IFERROR(INDEX(样本到样信息汇总统计!R$2:R$500,MATCH(471,样本到样信息汇总统计!$X$2:$X$500,0)),"")</f>
        <v/>
      </c>
      <c r="S472" s="4" t="str">
        <f>IFERROR(INDEX(样本到样信息汇总统计!S$2:S$500,MATCH(471,样本到样信息汇总统计!$X$2:$X$500,0)),"")</f>
        <v/>
      </c>
      <c r="T472" s="4" t="str">
        <f>IFERROR(INDEX(样本到样信息汇总统计!T$2:T$500,MATCH(471,样本到样信息汇总统计!$X$2:$X$500,0)),"")</f>
        <v/>
      </c>
      <c r="U472" s="4" t="str">
        <f>IFERROR(INDEX(样本到样信息汇总统计!U$2:U$500,MATCH(471,样本到样信息汇总统计!$X$2:$X$500,0)),"")</f>
        <v/>
      </c>
      <c r="V472" s="4" t="str">
        <f>IFERROR(INDEX(样本到样信息汇总统计!V$2:V$500,MATCH(471,样本到样信息汇总统计!$X$2:$X$500,0)),"")</f>
        <v/>
      </c>
      <c r="W472" s="4" t="str">
        <f>IFERROR(INDEX(样本到样信息汇总统计!W$2:W$500,MATCH(471,样本到样信息汇总统计!$X$2:$X$500,0)),"")</f>
        <v/>
      </c>
    </row>
    <row r="473" ht="14.5" spans="1:23">
      <c r="A473" s="8" t="str">
        <f>IFERROR(INDEX(样本到样信息汇总统计!A$2:A$500,MATCH(472,样本到样信息汇总统计!$X$2:$X$500,0)),"")</f>
        <v/>
      </c>
      <c r="B473" s="8" t="str">
        <f>IFERROR(INDEX(样本到样信息汇总统计!B$2:B$500,MATCH(472,样本到样信息汇总统计!$X$2:$X$500,0)),"")</f>
        <v/>
      </c>
      <c r="C473" s="8" t="str">
        <f>IFERROR(INDEX(样本到样信息汇总统计!C$2:C$500,MATCH(472,样本到样信息汇总统计!$X$2:$X$500,0)),"")</f>
        <v/>
      </c>
      <c r="D473" s="8" t="str">
        <f>IFERROR(INDEX(样本到样信息汇总统计!D$2:D$500,MATCH(472,样本到样信息汇总统计!$X$2:$X$500,0)),"")</f>
        <v/>
      </c>
      <c r="E473" s="8" t="str">
        <f>IFERROR(INDEX(样本到样信息汇总统计!E$2:E$500,MATCH(472,样本到样信息汇总统计!$X$2:$X$500,0)),"")</f>
        <v/>
      </c>
      <c r="F473" s="8" t="str">
        <f>IFERROR(INDEX(样本到样信息汇总统计!F$2:F$500,MATCH(472,样本到样信息汇总统计!$X$2:$X$500,0)),"")</f>
        <v/>
      </c>
      <c r="G473" s="8" t="str">
        <f>IFERROR(INDEX(样本到样信息汇总统计!G$2:G$500,MATCH(472,样本到样信息汇总统计!$X$2:$X$500,0)),"")</f>
        <v/>
      </c>
      <c r="H473" s="8" t="str">
        <f>IFERROR(INDEX(样本到样信息汇总统计!H$2:H$500,MATCH(472,样本到样信息汇总统计!$X$2:$X$500,0)),"")</f>
        <v/>
      </c>
      <c r="I473" s="8" t="str">
        <f>IFERROR(INDEX(样本到样信息汇总统计!I$2:I$500,MATCH(472,样本到样信息汇总统计!$X$2:$X$500,0)),"")</f>
        <v/>
      </c>
      <c r="J473" s="8" t="str">
        <f>IFERROR(INDEX(样本到样信息汇总统计!J$2:J$500,MATCH(472,样本到样信息汇总统计!$X$2:$X$500,0)),"")</f>
        <v/>
      </c>
      <c r="K473" s="15" t="str">
        <f>IFERROR(INDEX(样本到样信息汇总统计!K$2:K$500,MATCH(472,样本到样信息汇总统计!$X$2:$X$500,0)),"")</f>
        <v/>
      </c>
      <c r="L473" s="8" t="str">
        <f>IFERROR(INDEX(样本到样信息汇总统计!L$2:L$500,MATCH(472,样本到样信息汇总统计!$X$2:$X$500,0)),"")</f>
        <v/>
      </c>
      <c r="M473" s="8" t="str">
        <f>IFERROR(INDEX(样本到样信息汇总统计!M$2:M$500,MATCH(472,样本到样信息汇总统计!$X$2:$X$500,0)),"")</f>
        <v/>
      </c>
      <c r="N473" s="8" t="str">
        <f>IFERROR(INDEX(样本到样信息汇总统计!N$2:N$500,MATCH(472,样本到样信息汇总统计!$X$2:$X$500,0)),"")</f>
        <v/>
      </c>
      <c r="O473" s="8" t="str">
        <f>IFERROR(INDEX(样本到样信息汇总统计!O$2:O$500,MATCH(472,样本到样信息汇总统计!$X$2:$X$500,0)),"")</f>
        <v/>
      </c>
      <c r="P473" s="8" t="str">
        <f>IFERROR(INDEX(样本到样信息汇总统计!P$2:P$500,MATCH(472,样本到样信息汇总统计!$X$2:$X$500,0)),"")</f>
        <v/>
      </c>
      <c r="Q473" s="8" t="str">
        <f>IFERROR(INDEX(样本到样信息汇总统计!Q$2:Q$500,MATCH(472,样本到样信息汇总统计!$X$2:$X$500,0)),"")</f>
        <v/>
      </c>
      <c r="R473" s="8" t="str">
        <f>IFERROR(INDEX(样本到样信息汇总统计!R$2:R$500,MATCH(472,样本到样信息汇总统计!$X$2:$X$500,0)),"")</f>
        <v/>
      </c>
      <c r="S473" s="8" t="str">
        <f>IFERROR(INDEX(样本到样信息汇总统计!S$2:S$500,MATCH(472,样本到样信息汇总统计!$X$2:$X$500,0)),"")</f>
        <v/>
      </c>
      <c r="T473" s="8" t="str">
        <f>IFERROR(INDEX(样本到样信息汇总统计!T$2:T$500,MATCH(472,样本到样信息汇总统计!$X$2:$X$500,0)),"")</f>
        <v/>
      </c>
      <c r="U473" s="8" t="str">
        <f>IFERROR(INDEX(样本到样信息汇总统计!U$2:U$500,MATCH(472,样本到样信息汇总统计!$X$2:$X$500,0)),"")</f>
        <v/>
      </c>
      <c r="V473" s="8" t="str">
        <f>IFERROR(INDEX(样本到样信息汇总统计!V$2:V$500,MATCH(472,样本到样信息汇总统计!$X$2:$X$500,0)),"")</f>
        <v/>
      </c>
      <c r="W473" s="8" t="str">
        <f>IFERROR(INDEX(样本到样信息汇总统计!W$2:W$500,MATCH(472,样本到样信息汇总统计!$X$2:$X$500,0)),"")</f>
        <v/>
      </c>
    </row>
    <row r="474" ht="14.5" spans="1:23">
      <c r="A474" s="4" t="str">
        <f>IFERROR(INDEX(样本到样信息汇总统计!A$2:A$500,MATCH(473,样本到样信息汇总统计!$X$2:$X$500,0)),"")</f>
        <v/>
      </c>
      <c r="B474" s="4" t="str">
        <f>IFERROR(INDEX(样本到样信息汇总统计!B$2:B$500,MATCH(473,样本到样信息汇总统计!$X$2:$X$500,0)),"")</f>
        <v/>
      </c>
      <c r="C474" s="4" t="str">
        <f>IFERROR(INDEX(样本到样信息汇总统计!C$2:C$500,MATCH(473,样本到样信息汇总统计!$X$2:$X$500,0)),"")</f>
        <v/>
      </c>
      <c r="D474" s="4" t="str">
        <f>IFERROR(INDEX(样本到样信息汇总统计!D$2:D$500,MATCH(473,样本到样信息汇总统计!$X$2:$X$500,0)),"")</f>
        <v/>
      </c>
      <c r="E474" s="4" t="str">
        <f>IFERROR(INDEX(样本到样信息汇总统计!E$2:E$500,MATCH(473,样本到样信息汇总统计!$X$2:$X$500,0)),"")</f>
        <v/>
      </c>
      <c r="F474" s="4" t="str">
        <f>IFERROR(INDEX(样本到样信息汇总统计!F$2:F$500,MATCH(473,样本到样信息汇总统计!$X$2:$X$500,0)),"")</f>
        <v/>
      </c>
      <c r="G474" s="4" t="str">
        <f>IFERROR(INDEX(样本到样信息汇总统计!G$2:G$500,MATCH(473,样本到样信息汇总统计!$X$2:$X$500,0)),"")</f>
        <v/>
      </c>
      <c r="H474" s="4" t="str">
        <f>IFERROR(INDEX(样本到样信息汇总统计!H$2:H$500,MATCH(473,样本到样信息汇总统计!$X$2:$X$500,0)),"")</f>
        <v/>
      </c>
      <c r="I474" s="4" t="str">
        <f>IFERROR(INDEX(样本到样信息汇总统计!I$2:I$500,MATCH(473,样本到样信息汇总统计!$X$2:$X$500,0)),"")</f>
        <v/>
      </c>
      <c r="J474" s="4" t="str">
        <f>IFERROR(INDEX(样本到样信息汇总统计!J$2:J$500,MATCH(473,样本到样信息汇总统计!$X$2:$X$500,0)),"")</f>
        <v/>
      </c>
      <c r="K474" s="14" t="str">
        <f>IFERROR(INDEX(样本到样信息汇总统计!K$2:K$500,MATCH(473,样本到样信息汇总统计!$X$2:$X$500,0)),"")</f>
        <v/>
      </c>
      <c r="L474" s="4" t="str">
        <f>IFERROR(INDEX(样本到样信息汇总统计!L$2:L$500,MATCH(473,样本到样信息汇总统计!$X$2:$X$500,0)),"")</f>
        <v/>
      </c>
      <c r="M474" s="4" t="str">
        <f>IFERROR(INDEX(样本到样信息汇总统计!M$2:M$500,MATCH(473,样本到样信息汇总统计!$X$2:$X$500,0)),"")</f>
        <v/>
      </c>
      <c r="N474" s="4" t="str">
        <f>IFERROR(INDEX(样本到样信息汇总统计!N$2:N$500,MATCH(473,样本到样信息汇总统计!$X$2:$X$500,0)),"")</f>
        <v/>
      </c>
      <c r="O474" s="4" t="str">
        <f>IFERROR(INDEX(样本到样信息汇总统计!O$2:O$500,MATCH(473,样本到样信息汇总统计!$X$2:$X$500,0)),"")</f>
        <v/>
      </c>
      <c r="P474" s="4" t="str">
        <f>IFERROR(INDEX(样本到样信息汇总统计!P$2:P$500,MATCH(473,样本到样信息汇总统计!$X$2:$X$500,0)),"")</f>
        <v/>
      </c>
      <c r="Q474" s="4" t="str">
        <f>IFERROR(INDEX(样本到样信息汇总统计!Q$2:Q$500,MATCH(473,样本到样信息汇总统计!$X$2:$X$500,0)),"")</f>
        <v/>
      </c>
      <c r="R474" s="4" t="str">
        <f>IFERROR(INDEX(样本到样信息汇总统计!R$2:R$500,MATCH(473,样本到样信息汇总统计!$X$2:$X$500,0)),"")</f>
        <v/>
      </c>
      <c r="S474" s="4" t="str">
        <f>IFERROR(INDEX(样本到样信息汇总统计!S$2:S$500,MATCH(473,样本到样信息汇总统计!$X$2:$X$500,0)),"")</f>
        <v/>
      </c>
      <c r="T474" s="4" t="str">
        <f>IFERROR(INDEX(样本到样信息汇总统计!T$2:T$500,MATCH(473,样本到样信息汇总统计!$X$2:$X$500,0)),"")</f>
        <v/>
      </c>
      <c r="U474" s="4" t="str">
        <f>IFERROR(INDEX(样本到样信息汇总统计!U$2:U$500,MATCH(473,样本到样信息汇总统计!$X$2:$X$500,0)),"")</f>
        <v/>
      </c>
      <c r="V474" s="4" t="str">
        <f>IFERROR(INDEX(样本到样信息汇总统计!V$2:V$500,MATCH(473,样本到样信息汇总统计!$X$2:$X$500,0)),"")</f>
        <v/>
      </c>
      <c r="W474" s="4" t="str">
        <f>IFERROR(INDEX(样本到样信息汇总统计!W$2:W$500,MATCH(473,样本到样信息汇总统计!$X$2:$X$500,0)),"")</f>
        <v/>
      </c>
    </row>
    <row r="475" ht="14.5" spans="1:23">
      <c r="A475" s="8" t="str">
        <f>IFERROR(INDEX(样本到样信息汇总统计!A$2:A$500,MATCH(474,样本到样信息汇总统计!$X$2:$X$500,0)),"")</f>
        <v/>
      </c>
      <c r="B475" s="8" t="str">
        <f>IFERROR(INDEX(样本到样信息汇总统计!B$2:B$500,MATCH(474,样本到样信息汇总统计!$X$2:$X$500,0)),"")</f>
        <v/>
      </c>
      <c r="C475" s="8" t="str">
        <f>IFERROR(INDEX(样本到样信息汇总统计!C$2:C$500,MATCH(474,样本到样信息汇总统计!$X$2:$X$500,0)),"")</f>
        <v/>
      </c>
      <c r="D475" s="8" t="str">
        <f>IFERROR(INDEX(样本到样信息汇总统计!D$2:D$500,MATCH(474,样本到样信息汇总统计!$X$2:$X$500,0)),"")</f>
        <v/>
      </c>
      <c r="E475" s="8" t="str">
        <f>IFERROR(INDEX(样本到样信息汇总统计!E$2:E$500,MATCH(474,样本到样信息汇总统计!$X$2:$X$500,0)),"")</f>
        <v/>
      </c>
      <c r="F475" s="8" t="str">
        <f>IFERROR(INDEX(样本到样信息汇总统计!F$2:F$500,MATCH(474,样本到样信息汇总统计!$X$2:$X$500,0)),"")</f>
        <v/>
      </c>
      <c r="G475" s="8" t="str">
        <f>IFERROR(INDEX(样本到样信息汇总统计!G$2:G$500,MATCH(474,样本到样信息汇总统计!$X$2:$X$500,0)),"")</f>
        <v/>
      </c>
      <c r="H475" s="8" t="str">
        <f>IFERROR(INDEX(样本到样信息汇总统计!H$2:H$500,MATCH(474,样本到样信息汇总统计!$X$2:$X$500,0)),"")</f>
        <v/>
      </c>
      <c r="I475" s="8" t="str">
        <f>IFERROR(INDEX(样本到样信息汇总统计!I$2:I$500,MATCH(474,样本到样信息汇总统计!$X$2:$X$500,0)),"")</f>
        <v/>
      </c>
      <c r="J475" s="8" t="str">
        <f>IFERROR(INDEX(样本到样信息汇总统计!J$2:J$500,MATCH(474,样本到样信息汇总统计!$X$2:$X$500,0)),"")</f>
        <v/>
      </c>
      <c r="K475" s="15" t="str">
        <f>IFERROR(INDEX(样本到样信息汇总统计!K$2:K$500,MATCH(474,样本到样信息汇总统计!$X$2:$X$500,0)),"")</f>
        <v/>
      </c>
      <c r="L475" s="8" t="str">
        <f>IFERROR(INDEX(样本到样信息汇总统计!L$2:L$500,MATCH(474,样本到样信息汇总统计!$X$2:$X$500,0)),"")</f>
        <v/>
      </c>
      <c r="M475" s="8" t="str">
        <f>IFERROR(INDEX(样本到样信息汇总统计!M$2:M$500,MATCH(474,样本到样信息汇总统计!$X$2:$X$500,0)),"")</f>
        <v/>
      </c>
      <c r="N475" s="8" t="str">
        <f>IFERROR(INDEX(样本到样信息汇总统计!N$2:N$500,MATCH(474,样本到样信息汇总统计!$X$2:$X$500,0)),"")</f>
        <v/>
      </c>
      <c r="O475" s="8" t="str">
        <f>IFERROR(INDEX(样本到样信息汇总统计!O$2:O$500,MATCH(474,样本到样信息汇总统计!$X$2:$X$500,0)),"")</f>
        <v/>
      </c>
      <c r="P475" s="8" t="str">
        <f>IFERROR(INDEX(样本到样信息汇总统计!P$2:P$500,MATCH(474,样本到样信息汇总统计!$X$2:$X$500,0)),"")</f>
        <v/>
      </c>
      <c r="Q475" s="8" t="str">
        <f>IFERROR(INDEX(样本到样信息汇总统计!Q$2:Q$500,MATCH(474,样本到样信息汇总统计!$X$2:$X$500,0)),"")</f>
        <v/>
      </c>
      <c r="R475" s="8" t="str">
        <f>IFERROR(INDEX(样本到样信息汇总统计!R$2:R$500,MATCH(474,样本到样信息汇总统计!$X$2:$X$500,0)),"")</f>
        <v/>
      </c>
      <c r="S475" s="8" t="str">
        <f>IFERROR(INDEX(样本到样信息汇总统计!S$2:S$500,MATCH(474,样本到样信息汇总统计!$X$2:$X$500,0)),"")</f>
        <v/>
      </c>
      <c r="T475" s="8" t="str">
        <f>IFERROR(INDEX(样本到样信息汇总统计!T$2:T$500,MATCH(474,样本到样信息汇总统计!$X$2:$X$500,0)),"")</f>
        <v/>
      </c>
      <c r="U475" s="8" t="str">
        <f>IFERROR(INDEX(样本到样信息汇总统计!U$2:U$500,MATCH(474,样本到样信息汇总统计!$X$2:$X$500,0)),"")</f>
        <v/>
      </c>
      <c r="V475" s="8" t="str">
        <f>IFERROR(INDEX(样本到样信息汇总统计!V$2:V$500,MATCH(474,样本到样信息汇总统计!$X$2:$X$500,0)),"")</f>
        <v/>
      </c>
      <c r="W475" s="8" t="str">
        <f>IFERROR(INDEX(样本到样信息汇总统计!W$2:W$500,MATCH(474,样本到样信息汇总统计!$X$2:$X$500,0)),"")</f>
        <v/>
      </c>
    </row>
    <row r="476" ht="14.5" spans="1:23">
      <c r="A476" s="4" t="str">
        <f>IFERROR(INDEX(样本到样信息汇总统计!A$2:A$500,MATCH(475,样本到样信息汇总统计!$X$2:$X$500,0)),"")</f>
        <v/>
      </c>
      <c r="B476" s="4" t="str">
        <f>IFERROR(INDEX(样本到样信息汇总统计!B$2:B$500,MATCH(475,样本到样信息汇总统计!$X$2:$X$500,0)),"")</f>
        <v/>
      </c>
      <c r="C476" s="4" t="str">
        <f>IFERROR(INDEX(样本到样信息汇总统计!C$2:C$500,MATCH(475,样本到样信息汇总统计!$X$2:$X$500,0)),"")</f>
        <v/>
      </c>
      <c r="D476" s="4" t="str">
        <f>IFERROR(INDEX(样本到样信息汇总统计!D$2:D$500,MATCH(475,样本到样信息汇总统计!$X$2:$X$500,0)),"")</f>
        <v/>
      </c>
      <c r="E476" s="4" t="str">
        <f>IFERROR(INDEX(样本到样信息汇总统计!E$2:E$500,MATCH(475,样本到样信息汇总统计!$X$2:$X$500,0)),"")</f>
        <v/>
      </c>
      <c r="F476" s="4" t="str">
        <f>IFERROR(INDEX(样本到样信息汇总统计!F$2:F$500,MATCH(475,样本到样信息汇总统计!$X$2:$X$500,0)),"")</f>
        <v/>
      </c>
      <c r="G476" s="4" t="str">
        <f>IFERROR(INDEX(样本到样信息汇总统计!G$2:G$500,MATCH(475,样本到样信息汇总统计!$X$2:$X$500,0)),"")</f>
        <v/>
      </c>
      <c r="H476" s="4" t="str">
        <f>IFERROR(INDEX(样本到样信息汇总统计!H$2:H$500,MATCH(475,样本到样信息汇总统计!$X$2:$X$500,0)),"")</f>
        <v/>
      </c>
      <c r="I476" s="4" t="str">
        <f>IFERROR(INDEX(样本到样信息汇总统计!I$2:I$500,MATCH(475,样本到样信息汇总统计!$X$2:$X$500,0)),"")</f>
        <v/>
      </c>
      <c r="J476" s="4" t="str">
        <f>IFERROR(INDEX(样本到样信息汇总统计!J$2:J$500,MATCH(475,样本到样信息汇总统计!$X$2:$X$500,0)),"")</f>
        <v/>
      </c>
      <c r="K476" s="14" t="str">
        <f>IFERROR(INDEX(样本到样信息汇总统计!K$2:K$500,MATCH(475,样本到样信息汇总统计!$X$2:$X$500,0)),"")</f>
        <v/>
      </c>
      <c r="L476" s="4" t="str">
        <f>IFERROR(INDEX(样本到样信息汇总统计!L$2:L$500,MATCH(475,样本到样信息汇总统计!$X$2:$X$500,0)),"")</f>
        <v/>
      </c>
      <c r="M476" s="4" t="str">
        <f>IFERROR(INDEX(样本到样信息汇总统计!M$2:M$500,MATCH(475,样本到样信息汇总统计!$X$2:$X$500,0)),"")</f>
        <v/>
      </c>
      <c r="N476" s="4" t="str">
        <f>IFERROR(INDEX(样本到样信息汇总统计!N$2:N$500,MATCH(475,样本到样信息汇总统计!$X$2:$X$500,0)),"")</f>
        <v/>
      </c>
      <c r="O476" s="4" t="str">
        <f>IFERROR(INDEX(样本到样信息汇总统计!O$2:O$500,MATCH(475,样本到样信息汇总统计!$X$2:$X$500,0)),"")</f>
        <v/>
      </c>
      <c r="P476" s="4" t="str">
        <f>IFERROR(INDEX(样本到样信息汇总统计!P$2:P$500,MATCH(475,样本到样信息汇总统计!$X$2:$X$500,0)),"")</f>
        <v/>
      </c>
      <c r="Q476" s="4" t="str">
        <f>IFERROR(INDEX(样本到样信息汇总统计!Q$2:Q$500,MATCH(475,样本到样信息汇总统计!$X$2:$X$500,0)),"")</f>
        <v/>
      </c>
      <c r="R476" s="4" t="str">
        <f>IFERROR(INDEX(样本到样信息汇总统计!R$2:R$500,MATCH(475,样本到样信息汇总统计!$X$2:$X$500,0)),"")</f>
        <v/>
      </c>
      <c r="S476" s="4" t="str">
        <f>IFERROR(INDEX(样本到样信息汇总统计!S$2:S$500,MATCH(475,样本到样信息汇总统计!$X$2:$X$500,0)),"")</f>
        <v/>
      </c>
      <c r="T476" s="4" t="str">
        <f>IFERROR(INDEX(样本到样信息汇总统计!T$2:T$500,MATCH(475,样本到样信息汇总统计!$X$2:$X$500,0)),"")</f>
        <v/>
      </c>
      <c r="U476" s="4" t="str">
        <f>IFERROR(INDEX(样本到样信息汇总统计!U$2:U$500,MATCH(475,样本到样信息汇总统计!$X$2:$X$500,0)),"")</f>
        <v/>
      </c>
      <c r="V476" s="4" t="str">
        <f>IFERROR(INDEX(样本到样信息汇总统计!V$2:V$500,MATCH(475,样本到样信息汇总统计!$X$2:$X$500,0)),"")</f>
        <v/>
      </c>
      <c r="W476" s="4" t="str">
        <f>IFERROR(INDEX(样本到样信息汇总统计!W$2:W$500,MATCH(475,样本到样信息汇总统计!$X$2:$X$500,0)),"")</f>
        <v/>
      </c>
    </row>
    <row r="477" ht="14.5" spans="1:23">
      <c r="A477" s="8" t="str">
        <f>IFERROR(INDEX(样本到样信息汇总统计!A$2:A$500,MATCH(476,样本到样信息汇总统计!$X$2:$X$500,0)),"")</f>
        <v/>
      </c>
      <c r="B477" s="8" t="str">
        <f>IFERROR(INDEX(样本到样信息汇总统计!B$2:B$500,MATCH(476,样本到样信息汇总统计!$X$2:$X$500,0)),"")</f>
        <v/>
      </c>
      <c r="C477" s="8" t="str">
        <f>IFERROR(INDEX(样本到样信息汇总统计!C$2:C$500,MATCH(476,样本到样信息汇总统计!$X$2:$X$500,0)),"")</f>
        <v/>
      </c>
      <c r="D477" s="8" t="str">
        <f>IFERROR(INDEX(样本到样信息汇总统计!D$2:D$500,MATCH(476,样本到样信息汇总统计!$X$2:$X$500,0)),"")</f>
        <v/>
      </c>
      <c r="E477" s="8" t="str">
        <f>IFERROR(INDEX(样本到样信息汇总统计!E$2:E$500,MATCH(476,样本到样信息汇总统计!$X$2:$X$500,0)),"")</f>
        <v/>
      </c>
      <c r="F477" s="8" t="str">
        <f>IFERROR(INDEX(样本到样信息汇总统计!F$2:F$500,MATCH(476,样本到样信息汇总统计!$X$2:$X$500,0)),"")</f>
        <v/>
      </c>
      <c r="G477" s="8" t="str">
        <f>IFERROR(INDEX(样本到样信息汇总统计!G$2:G$500,MATCH(476,样本到样信息汇总统计!$X$2:$X$500,0)),"")</f>
        <v/>
      </c>
      <c r="H477" s="8" t="str">
        <f>IFERROR(INDEX(样本到样信息汇总统计!H$2:H$500,MATCH(476,样本到样信息汇总统计!$X$2:$X$500,0)),"")</f>
        <v/>
      </c>
      <c r="I477" s="8" t="str">
        <f>IFERROR(INDEX(样本到样信息汇总统计!I$2:I$500,MATCH(476,样本到样信息汇总统计!$X$2:$X$500,0)),"")</f>
        <v/>
      </c>
      <c r="J477" s="8" t="str">
        <f>IFERROR(INDEX(样本到样信息汇总统计!J$2:J$500,MATCH(476,样本到样信息汇总统计!$X$2:$X$500,0)),"")</f>
        <v/>
      </c>
      <c r="K477" s="15" t="str">
        <f>IFERROR(INDEX(样本到样信息汇总统计!K$2:K$500,MATCH(476,样本到样信息汇总统计!$X$2:$X$500,0)),"")</f>
        <v/>
      </c>
      <c r="L477" s="8" t="str">
        <f>IFERROR(INDEX(样本到样信息汇总统计!L$2:L$500,MATCH(476,样本到样信息汇总统计!$X$2:$X$500,0)),"")</f>
        <v/>
      </c>
      <c r="M477" s="8" t="str">
        <f>IFERROR(INDEX(样本到样信息汇总统计!M$2:M$500,MATCH(476,样本到样信息汇总统计!$X$2:$X$500,0)),"")</f>
        <v/>
      </c>
      <c r="N477" s="8" t="str">
        <f>IFERROR(INDEX(样本到样信息汇总统计!N$2:N$500,MATCH(476,样本到样信息汇总统计!$X$2:$X$500,0)),"")</f>
        <v/>
      </c>
      <c r="O477" s="8" t="str">
        <f>IFERROR(INDEX(样本到样信息汇总统计!O$2:O$500,MATCH(476,样本到样信息汇总统计!$X$2:$X$500,0)),"")</f>
        <v/>
      </c>
      <c r="P477" s="8" t="str">
        <f>IFERROR(INDEX(样本到样信息汇总统计!P$2:P$500,MATCH(476,样本到样信息汇总统计!$X$2:$X$500,0)),"")</f>
        <v/>
      </c>
      <c r="Q477" s="8" t="str">
        <f>IFERROR(INDEX(样本到样信息汇总统计!Q$2:Q$500,MATCH(476,样本到样信息汇总统计!$X$2:$X$500,0)),"")</f>
        <v/>
      </c>
      <c r="R477" s="8" t="str">
        <f>IFERROR(INDEX(样本到样信息汇总统计!R$2:R$500,MATCH(476,样本到样信息汇总统计!$X$2:$X$500,0)),"")</f>
        <v/>
      </c>
      <c r="S477" s="8" t="str">
        <f>IFERROR(INDEX(样本到样信息汇总统计!S$2:S$500,MATCH(476,样本到样信息汇总统计!$X$2:$X$500,0)),"")</f>
        <v/>
      </c>
      <c r="T477" s="8" t="str">
        <f>IFERROR(INDEX(样本到样信息汇总统计!T$2:T$500,MATCH(476,样本到样信息汇总统计!$X$2:$X$500,0)),"")</f>
        <v/>
      </c>
      <c r="U477" s="8" t="str">
        <f>IFERROR(INDEX(样本到样信息汇总统计!U$2:U$500,MATCH(476,样本到样信息汇总统计!$X$2:$X$500,0)),"")</f>
        <v/>
      </c>
      <c r="V477" s="8" t="str">
        <f>IFERROR(INDEX(样本到样信息汇总统计!V$2:V$500,MATCH(476,样本到样信息汇总统计!$X$2:$X$500,0)),"")</f>
        <v/>
      </c>
      <c r="W477" s="8" t="str">
        <f>IFERROR(INDEX(样本到样信息汇总统计!W$2:W$500,MATCH(476,样本到样信息汇总统计!$X$2:$X$500,0)),"")</f>
        <v/>
      </c>
    </row>
    <row r="478" ht="14.5" spans="1:23">
      <c r="A478" s="4" t="str">
        <f>IFERROR(INDEX(样本到样信息汇总统计!A$2:A$500,MATCH(477,样本到样信息汇总统计!$X$2:$X$500,0)),"")</f>
        <v/>
      </c>
      <c r="B478" s="4" t="str">
        <f>IFERROR(INDEX(样本到样信息汇总统计!B$2:B$500,MATCH(477,样本到样信息汇总统计!$X$2:$X$500,0)),"")</f>
        <v/>
      </c>
      <c r="C478" s="4" t="str">
        <f>IFERROR(INDEX(样本到样信息汇总统计!C$2:C$500,MATCH(477,样本到样信息汇总统计!$X$2:$X$500,0)),"")</f>
        <v/>
      </c>
      <c r="D478" s="4" t="str">
        <f>IFERROR(INDEX(样本到样信息汇总统计!D$2:D$500,MATCH(477,样本到样信息汇总统计!$X$2:$X$500,0)),"")</f>
        <v/>
      </c>
      <c r="E478" s="4" t="str">
        <f>IFERROR(INDEX(样本到样信息汇总统计!E$2:E$500,MATCH(477,样本到样信息汇总统计!$X$2:$X$500,0)),"")</f>
        <v/>
      </c>
      <c r="F478" s="4" t="str">
        <f>IFERROR(INDEX(样本到样信息汇总统计!F$2:F$500,MATCH(477,样本到样信息汇总统计!$X$2:$X$500,0)),"")</f>
        <v/>
      </c>
      <c r="G478" s="4" t="str">
        <f>IFERROR(INDEX(样本到样信息汇总统计!G$2:G$500,MATCH(477,样本到样信息汇总统计!$X$2:$X$500,0)),"")</f>
        <v/>
      </c>
      <c r="H478" s="4" t="str">
        <f>IFERROR(INDEX(样本到样信息汇总统计!H$2:H$500,MATCH(477,样本到样信息汇总统计!$X$2:$X$500,0)),"")</f>
        <v/>
      </c>
      <c r="I478" s="4" t="str">
        <f>IFERROR(INDEX(样本到样信息汇总统计!I$2:I$500,MATCH(477,样本到样信息汇总统计!$X$2:$X$500,0)),"")</f>
        <v/>
      </c>
      <c r="J478" s="4" t="str">
        <f>IFERROR(INDEX(样本到样信息汇总统计!J$2:J$500,MATCH(477,样本到样信息汇总统计!$X$2:$X$500,0)),"")</f>
        <v/>
      </c>
      <c r="K478" s="14" t="str">
        <f>IFERROR(INDEX(样本到样信息汇总统计!K$2:K$500,MATCH(477,样本到样信息汇总统计!$X$2:$X$500,0)),"")</f>
        <v/>
      </c>
      <c r="L478" s="4" t="str">
        <f>IFERROR(INDEX(样本到样信息汇总统计!L$2:L$500,MATCH(477,样本到样信息汇总统计!$X$2:$X$500,0)),"")</f>
        <v/>
      </c>
      <c r="M478" s="4" t="str">
        <f>IFERROR(INDEX(样本到样信息汇总统计!M$2:M$500,MATCH(477,样本到样信息汇总统计!$X$2:$X$500,0)),"")</f>
        <v/>
      </c>
      <c r="N478" s="4" t="str">
        <f>IFERROR(INDEX(样本到样信息汇总统计!N$2:N$500,MATCH(477,样本到样信息汇总统计!$X$2:$X$500,0)),"")</f>
        <v/>
      </c>
      <c r="O478" s="4" t="str">
        <f>IFERROR(INDEX(样本到样信息汇总统计!O$2:O$500,MATCH(477,样本到样信息汇总统计!$X$2:$X$500,0)),"")</f>
        <v/>
      </c>
      <c r="P478" s="4" t="str">
        <f>IFERROR(INDEX(样本到样信息汇总统计!P$2:P$500,MATCH(477,样本到样信息汇总统计!$X$2:$X$500,0)),"")</f>
        <v/>
      </c>
      <c r="Q478" s="4" t="str">
        <f>IFERROR(INDEX(样本到样信息汇总统计!Q$2:Q$500,MATCH(477,样本到样信息汇总统计!$X$2:$X$500,0)),"")</f>
        <v/>
      </c>
      <c r="R478" s="4" t="str">
        <f>IFERROR(INDEX(样本到样信息汇总统计!R$2:R$500,MATCH(477,样本到样信息汇总统计!$X$2:$X$500,0)),"")</f>
        <v/>
      </c>
      <c r="S478" s="4" t="str">
        <f>IFERROR(INDEX(样本到样信息汇总统计!S$2:S$500,MATCH(477,样本到样信息汇总统计!$X$2:$X$500,0)),"")</f>
        <v/>
      </c>
      <c r="T478" s="4" t="str">
        <f>IFERROR(INDEX(样本到样信息汇总统计!T$2:T$500,MATCH(477,样本到样信息汇总统计!$X$2:$X$500,0)),"")</f>
        <v/>
      </c>
      <c r="U478" s="4" t="str">
        <f>IFERROR(INDEX(样本到样信息汇总统计!U$2:U$500,MATCH(477,样本到样信息汇总统计!$X$2:$X$500,0)),"")</f>
        <v/>
      </c>
      <c r="V478" s="4" t="str">
        <f>IFERROR(INDEX(样本到样信息汇总统计!V$2:V$500,MATCH(477,样本到样信息汇总统计!$X$2:$X$500,0)),"")</f>
        <v/>
      </c>
      <c r="W478" s="4" t="str">
        <f>IFERROR(INDEX(样本到样信息汇总统计!W$2:W$500,MATCH(477,样本到样信息汇总统计!$X$2:$X$500,0)),"")</f>
        <v/>
      </c>
    </row>
    <row r="479" ht="14.5" spans="1:23">
      <c r="A479" s="8" t="str">
        <f>IFERROR(INDEX(样本到样信息汇总统计!A$2:A$500,MATCH(478,样本到样信息汇总统计!$X$2:$X$500,0)),"")</f>
        <v/>
      </c>
      <c r="B479" s="8" t="str">
        <f>IFERROR(INDEX(样本到样信息汇总统计!B$2:B$500,MATCH(478,样本到样信息汇总统计!$X$2:$X$500,0)),"")</f>
        <v/>
      </c>
      <c r="C479" s="8" t="str">
        <f>IFERROR(INDEX(样本到样信息汇总统计!C$2:C$500,MATCH(478,样本到样信息汇总统计!$X$2:$X$500,0)),"")</f>
        <v/>
      </c>
      <c r="D479" s="8" t="str">
        <f>IFERROR(INDEX(样本到样信息汇总统计!D$2:D$500,MATCH(478,样本到样信息汇总统计!$X$2:$X$500,0)),"")</f>
        <v/>
      </c>
      <c r="E479" s="8" t="str">
        <f>IFERROR(INDEX(样本到样信息汇总统计!E$2:E$500,MATCH(478,样本到样信息汇总统计!$X$2:$X$500,0)),"")</f>
        <v/>
      </c>
      <c r="F479" s="8" t="str">
        <f>IFERROR(INDEX(样本到样信息汇总统计!F$2:F$500,MATCH(478,样本到样信息汇总统计!$X$2:$X$500,0)),"")</f>
        <v/>
      </c>
      <c r="G479" s="8" t="str">
        <f>IFERROR(INDEX(样本到样信息汇总统计!G$2:G$500,MATCH(478,样本到样信息汇总统计!$X$2:$X$500,0)),"")</f>
        <v/>
      </c>
      <c r="H479" s="8" t="str">
        <f>IFERROR(INDEX(样本到样信息汇总统计!H$2:H$500,MATCH(478,样本到样信息汇总统计!$X$2:$X$500,0)),"")</f>
        <v/>
      </c>
      <c r="I479" s="8" t="str">
        <f>IFERROR(INDEX(样本到样信息汇总统计!I$2:I$500,MATCH(478,样本到样信息汇总统计!$X$2:$X$500,0)),"")</f>
        <v/>
      </c>
      <c r="J479" s="8" t="str">
        <f>IFERROR(INDEX(样本到样信息汇总统计!J$2:J$500,MATCH(478,样本到样信息汇总统计!$X$2:$X$500,0)),"")</f>
        <v/>
      </c>
      <c r="K479" s="15" t="str">
        <f>IFERROR(INDEX(样本到样信息汇总统计!K$2:K$500,MATCH(478,样本到样信息汇总统计!$X$2:$X$500,0)),"")</f>
        <v/>
      </c>
      <c r="L479" s="8" t="str">
        <f>IFERROR(INDEX(样本到样信息汇总统计!L$2:L$500,MATCH(478,样本到样信息汇总统计!$X$2:$X$500,0)),"")</f>
        <v/>
      </c>
      <c r="M479" s="8" t="str">
        <f>IFERROR(INDEX(样本到样信息汇总统计!M$2:M$500,MATCH(478,样本到样信息汇总统计!$X$2:$X$500,0)),"")</f>
        <v/>
      </c>
      <c r="N479" s="8" t="str">
        <f>IFERROR(INDEX(样本到样信息汇总统计!N$2:N$500,MATCH(478,样本到样信息汇总统计!$X$2:$X$500,0)),"")</f>
        <v/>
      </c>
      <c r="O479" s="8" t="str">
        <f>IFERROR(INDEX(样本到样信息汇总统计!O$2:O$500,MATCH(478,样本到样信息汇总统计!$X$2:$X$500,0)),"")</f>
        <v/>
      </c>
      <c r="P479" s="8" t="str">
        <f>IFERROR(INDEX(样本到样信息汇总统计!P$2:P$500,MATCH(478,样本到样信息汇总统计!$X$2:$X$500,0)),"")</f>
        <v/>
      </c>
      <c r="Q479" s="8" t="str">
        <f>IFERROR(INDEX(样本到样信息汇总统计!Q$2:Q$500,MATCH(478,样本到样信息汇总统计!$X$2:$X$500,0)),"")</f>
        <v/>
      </c>
      <c r="R479" s="8" t="str">
        <f>IFERROR(INDEX(样本到样信息汇总统计!R$2:R$500,MATCH(478,样本到样信息汇总统计!$X$2:$X$500,0)),"")</f>
        <v/>
      </c>
      <c r="S479" s="8" t="str">
        <f>IFERROR(INDEX(样本到样信息汇总统计!S$2:S$500,MATCH(478,样本到样信息汇总统计!$X$2:$X$500,0)),"")</f>
        <v/>
      </c>
      <c r="T479" s="8" t="str">
        <f>IFERROR(INDEX(样本到样信息汇总统计!T$2:T$500,MATCH(478,样本到样信息汇总统计!$X$2:$X$500,0)),"")</f>
        <v/>
      </c>
      <c r="U479" s="8" t="str">
        <f>IFERROR(INDEX(样本到样信息汇总统计!U$2:U$500,MATCH(478,样本到样信息汇总统计!$X$2:$X$500,0)),"")</f>
        <v/>
      </c>
      <c r="V479" s="8" t="str">
        <f>IFERROR(INDEX(样本到样信息汇总统计!V$2:V$500,MATCH(478,样本到样信息汇总统计!$X$2:$X$500,0)),"")</f>
        <v/>
      </c>
      <c r="W479" s="8" t="str">
        <f>IFERROR(INDEX(样本到样信息汇总统计!W$2:W$500,MATCH(478,样本到样信息汇总统计!$X$2:$X$500,0)),"")</f>
        <v/>
      </c>
    </row>
    <row r="480" ht="14.5" spans="1:23">
      <c r="A480" s="4" t="str">
        <f>IFERROR(INDEX(样本到样信息汇总统计!A$2:A$500,MATCH(479,样本到样信息汇总统计!$X$2:$X$500,0)),"")</f>
        <v/>
      </c>
      <c r="B480" s="4" t="str">
        <f>IFERROR(INDEX(样本到样信息汇总统计!B$2:B$500,MATCH(479,样本到样信息汇总统计!$X$2:$X$500,0)),"")</f>
        <v/>
      </c>
      <c r="C480" s="4" t="str">
        <f>IFERROR(INDEX(样本到样信息汇总统计!C$2:C$500,MATCH(479,样本到样信息汇总统计!$X$2:$X$500,0)),"")</f>
        <v/>
      </c>
      <c r="D480" s="4" t="str">
        <f>IFERROR(INDEX(样本到样信息汇总统计!D$2:D$500,MATCH(479,样本到样信息汇总统计!$X$2:$X$500,0)),"")</f>
        <v/>
      </c>
      <c r="E480" s="4" t="str">
        <f>IFERROR(INDEX(样本到样信息汇总统计!E$2:E$500,MATCH(479,样本到样信息汇总统计!$X$2:$X$500,0)),"")</f>
        <v/>
      </c>
      <c r="F480" s="4" t="str">
        <f>IFERROR(INDEX(样本到样信息汇总统计!F$2:F$500,MATCH(479,样本到样信息汇总统计!$X$2:$X$500,0)),"")</f>
        <v/>
      </c>
      <c r="G480" s="4" t="str">
        <f>IFERROR(INDEX(样本到样信息汇总统计!G$2:G$500,MATCH(479,样本到样信息汇总统计!$X$2:$X$500,0)),"")</f>
        <v/>
      </c>
      <c r="H480" s="4" t="str">
        <f>IFERROR(INDEX(样本到样信息汇总统计!H$2:H$500,MATCH(479,样本到样信息汇总统计!$X$2:$X$500,0)),"")</f>
        <v/>
      </c>
      <c r="I480" s="4" t="str">
        <f>IFERROR(INDEX(样本到样信息汇总统计!I$2:I$500,MATCH(479,样本到样信息汇总统计!$X$2:$X$500,0)),"")</f>
        <v/>
      </c>
      <c r="J480" s="4" t="str">
        <f>IFERROR(INDEX(样本到样信息汇总统计!J$2:J$500,MATCH(479,样本到样信息汇总统计!$X$2:$X$500,0)),"")</f>
        <v/>
      </c>
      <c r="K480" s="14" t="str">
        <f>IFERROR(INDEX(样本到样信息汇总统计!K$2:K$500,MATCH(479,样本到样信息汇总统计!$X$2:$X$500,0)),"")</f>
        <v/>
      </c>
      <c r="L480" s="4" t="str">
        <f>IFERROR(INDEX(样本到样信息汇总统计!L$2:L$500,MATCH(479,样本到样信息汇总统计!$X$2:$X$500,0)),"")</f>
        <v/>
      </c>
      <c r="M480" s="4" t="str">
        <f>IFERROR(INDEX(样本到样信息汇总统计!M$2:M$500,MATCH(479,样本到样信息汇总统计!$X$2:$X$500,0)),"")</f>
        <v/>
      </c>
      <c r="N480" s="4" t="str">
        <f>IFERROR(INDEX(样本到样信息汇总统计!N$2:N$500,MATCH(479,样本到样信息汇总统计!$X$2:$X$500,0)),"")</f>
        <v/>
      </c>
      <c r="O480" s="4" t="str">
        <f>IFERROR(INDEX(样本到样信息汇总统计!O$2:O$500,MATCH(479,样本到样信息汇总统计!$X$2:$X$500,0)),"")</f>
        <v/>
      </c>
      <c r="P480" s="4" t="str">
        <f>IFERROR(INDEX(样本到样信息汇总统计!P$2:P$500,MATCH(479,样本到样信息汇总统计!$X$2:$X$500,0)),"")</f>
        <v/>
      </c>
      <c r="Q480" s="4" t="str">
        <f>IFERROR(INDEX(样本到样信息汇总统计!Q$2:Q$500,MATCH(479,样本到样信息汇总统计!$X$2:$X$500,0)),"")</f>
        <v/>
      </c>
      <c r="R480" s="4" t="str">
        <f>IFERROR(INDEX(样本到样信息汇总统计!R$2:R$500,MATCH(479,样本到样信息汇总统计!$X$2:$X$500,0)),"")</f>
        <v/>
      </c>
      <c r="S480" s="4" t="str">
        <f>IFERROR(INDEX(样本到样信息汇总统计!S$2:S$500,MATCH(479,样本到样信息汇总统计!$X$2:$X$500,0)),"")</f>
        <v/>
      </c>
      <c r="T480" s="4" t="str">
        <f>IFERROR(INDEX(样本到样信息汇总统计!T$2:T$500,MATCH(479,样本到样信息汇总统计!$X$2:$X$500,0)),"")</f>
        <v/>
      </c>
      <c r="U480" s="4" t="str">
        <f>IFERROR(INDEX(样本到样信息汇总统计!U$2:U$500,MATCH(479,样本到样信息汇总统计!$X$2:$X$500,0)),"")</f>
        <v/>
      </c>
      <c r="V480" s="4" t="str">
        <f>IFERROR(INDEX(样本到样信息汇总统计!V$2:V$500,MATCH(479,样本到样信息汇总统计!$X$2:$X$500,0)),"")</f>
        <v/>
      </c>
      <c r="W480" s="4" t="str">
        <f>IFERROR(INDEX(样本到样信息汇总统计!W$2:W$500,MATCH(479,样本到样信息汇总统计!$X$2:$X$500,0)),"")</f>
        <v/>
      </c>
    </row>
    <row r="481" ht="14.5" spans="1:23">
      <c r="A481" s="8" t="str">
        <f>IFERROR(INDEX(样本到样信息汇总统计!A$2:A$500,MATCH(480,样本到样信息汇总统计!$X$2:$X$500,0)),"")</f>
        <v/>
      </c>
      <c r="B481" s="8" t="str">
        <f>IFERROR(INDEX(样本到样信息汇总统计!B$2:B$500,MATCH(480,样本到样信息汇总统计!$X$2:$X$500,0)),"")</f>
        <v/>
      </c>
      <c r="C481" s="8" t="str">
        <f>IFERROR(INDEX(样本到样信息汇总统计!C$2:C$500,MATCH(480,样本到样信息汇总统计!$X$2:$X$500,0)),"")</f>
        <v/>
      </c>
      <c r="D481" s="8" t="str">
        <f>IFERROR(INDEX(样本到样信息汇总统计!D$2:D$500,MATCH(480,样本到样信息汇总统计!$X$2:$X$500,0)),"")</f>
        <v/>
      </c>
      <c r="E481" s="8" t="str">
        <f>IFERROR(INDEX(样本到样信息汇总统计!E$2:E$500,MATCH(480,样本到样信息汇总统计!$X$2:$X$500,0)),"")</f>
        <v/>
      </c>
      <c r="F481" s="8" t="str">
        <f>IFERROR(INDEX(样本到样信息汇总统计!F$2:F$500,MATCH(480,样本到样信息汇总统计!$X$2:$X$500,0)),"")</f>
        <v/>
      </c>
      <c r="G481" s="8" t="str">
        <f>IFERROR(INDEX(样本到样信息汇总统计!G$2:G$500,MATCH(480,样本到样信息汇总统计!$X$2:$X$500,0)),"")</f>
        <v/>
      </c>
      <c r="H481" s="8" t="str">
        <f>IFERROR(INDEX(样本到样信息汇总统计!H$2:H$500,MATCH(480,样本到样信息汇总统计!$X$2:$X$500,0)),"")</f>
        <v/>
      </c>
      <c r="I481" s="8" t="str">
        <f>IFERROR(INDEX(样本到样信息汇总统计!I$2:I$500,MATCH(480,样本到样信息汇总统计!$X$2:$X$500,0)),"")</f>
        <v/>
      </c>
      <c r="J481" s="8" t="str">
        <f>IFERROR(INDEX(样本到样信息汇总统计!J$2:J$500,MATCH(480,样本到样信息汇总统计!$X$2:$X$500,0)),"")</f>
        <v/>
      </c>
      <c r="K481" s="15" t="str">
        <f>IFERROR(INDEX(样本到样信息汇总统计!K$2:K$500,MATCH(480,样本到样信息汇总统计!$X$2:$X$500,0)),"")</f>
        <v/>
      </c>
      <c r="L481" s="8" t="str">
        <f>IFERROR(INDEX(样本到样信息汇总统计!L$2:L$500,MATCH(480,样本到样信息汇总统计!$X$2:$X$500,0)),"")</f>
        <v/>
      </c>
      <c r="M481" s="8" t="str">
        <f>IFERROR(INDEX(样本到样信息汇总统计!M$2:M$500,MATCH(480,样本到样信息汇总统计!$X$2:$X$500,0)),"")</f>
        <v/>
      </c>
      <c r="N481" s="8" t="str">
        <f>IFERROR(INDEX(样本到样信息汇总统计!N$2:N$500,MATCH(480,样本到样信息汇总统计!$X$2:$X$500,0)),"")</f>
        <v/>
      </c>
      <c r="O481" s="8" t="str">
        <f>IFERROR(INDEX(样本到样信息汇总统计!O$2:O$500,MATCH(480,样本到样信息汇总统计!$X$2:$X$500,0)),"")</f>
        <v/>
      </c>
      <c r="P481" s="8" t="str">
        <f>IFERROR(INDEX(样本到样信息汇总统计!P$2:P$500,MATCH(480,样本到样信息汇总统计!$X$2:$X$500,0)),"")</f>
        <v/>
      </c>
      <c r="Q481" s="8" t="str">
        <f>IFERROR(INDEX(样本到样信息汇总统计!Q$2:Q$500,MATCH(480,样本到样信息汇总统计!$X$2:$X$500,0)),"")</f>
        <v/>
      </c>
      <c r="R481" s="8" t="str">
        <f>IFERROR(INDEX(样本到样信息汇总统计!R$2:R$500,MATCH(480,样本到样信息汇总统计!$X$2:$X$500,0)),"")</f>
        <v/>
      </c>
      <c r="S481" s="8" t="str">
        <f>IFERROR(INDEX(样本到样信息汇总统计!S$2:S$500,MATCH(480,样本到样信息汇总统计!$X$2:$X$500,0)),"")</f>
        <v/>
      </c>
      <c r="T481" s="8" t="str">
        <f>IFERROR(INDEX(样本到样信息汇总统计!T$2:T$500,MATCH(480,样本到样信息汇总统计!$X$2:$X$500,0)),"")</f>
        <v/>
      </c>
      <c r="U481" s="8" t="str">
        <f>IFERROR(INDEX(样本到样信息汇总统计!U$2:U$500,MATCH(480,样本到样信息汇总统计!$X$2:$X$500,0)),"")</f>
        <v/>
      </c>
      <c r="V481" s="8" t="str">
        <f>IFERROR(INDEX(样本到样信息汇总统计!V$2:V$500,MATCH(480,样本到样信息汇总统计!$X$2:$X$500,0)),"")</f>
        <v/>
      </c>
      <c r="W481" s="8" t="str">
        <f>IFERROR(INDEX(样本到样信息汇总统计!W$2:W$500,MATCH(480,样本到样信息汇总统计!$X$2:$X$500,0)),"")</f>
        <v/>
      </c>
    </row>
    <row r="482" ht="14.5" spans="1:23">
      <c r="A482" s="4" t="str">
        <f>IFERROR(INDEX(样本到样信息汇总统计!A$2:A$500,MATCH(481,样本到样信息汇总统计!$X$2:$X$500,0)),"")</f>
        <v/>
      </c>
      <c r="B482" s="4" t="str">
        <f>IFERROR(INDEX(样本到样信息汇总统计!B$2:B$500,MATCH(481,样本到样信息汇总统计!$X$2:$X$500,0)),"")</f>
        <v/>
      </c>
      <c r="C482" s="4" t="str">
        <f>IFERROR(INDEX(样本到样信息汇总统计!C$2:C$500,MATCH(481,样本到样信息汇总统计!$X$2:$X$500,0)),"")</f>
        <v/>
      </c>
      <c r="D482" s="4" t="str">
        <f>IFERROR(INDEX(样本到样信息汇总统计!D$2:D$500,MATCH(481,样本到样信息汇总统计!$X$2:$X$500,0)),"")</f>
        <v/>
      </c>
      <c r="E482" s="4" t="str">
        <f>IFERROR(INDEX(样本到样信息汇总统计!E$2:E$500,MATCH(481,样本到样信息汇总统计!$X$2:$X$500,0)),"")</f>
        <v/>
      </c>
      <c r="F482" s="4" t="str">
        <f>IFERROR(INDEX(样本到样信息汇总统计!F$2:F$500,MATCH(481,样本到样信息汇总统计!$X$2:$X$500,0)),"")</f>
        <v/>
      </c>
      <c r="G482" s="4" t="str">
        <f>IFERROR(INDEX(样本到样信息汇总统计!G$2:G$500,MATCH(481,样本到样信息汇总统计!$X$2:$X$500,0)),"")</f>
        <v/>
      </c>
      <c r="H482" s="4" t="str">
        <f>IFERROR(INDEX(样本到样信息汇总统计!H$2:H$500,MATCH(481,样本到样信息汇总统计!$X$2:$X$500,0)),"")</f>
        <v/>
      </c>
      <c r="I482" s="4" t="str">
        <f>IFERROR(INDEX(样本到样信息汇总统计!I$2:I$500,MATCH(481,样本到样信息汇总统计!$X$2:$X$500,0)),"")</f>
        <v/>
      </c>
      <c r="J482" s="4" t="str">
        <f>IFERROR(INDEX(样本到样信息汇总统计!J$2:J$500,MATCH(481,样本到样信息汇总统计!$X$2:$X$500,0)),"")</f>
        <v/>
      </c>
      <c r="K482" s="14" t="str">
        <f>IFERROR(INDEX(样本到样信息汇总统计!K$2:K$500,MATCH(481,样本到样信息汇总统计!$X$2:$X$500,0)),"")</f>
        <v/>
      </c>
      <c r="L482" s="4" t="str">
        <f>IFERROR(INDEX(样本到样信息汇总统计!L$2:L$500,MATCH(481,样本到样信息汇总统计!$X$2:$X$500,0)),"")</f>
        <v/>
      </c>
      <c r="M482" s="4" t="str">
        <f>IFERROR(INDEX(样本到样信息汇总统计!M$2:M$500,MATCH(481,样本到样信息汇总统计!$X$2:$X$500,0)),"")</f>
        <v/>
      </c>
      <c r="N482" s="4" t="str">
        <f>IFERROR(INDEX(样本到样信息汇总统计!N$2:N$500,MATCH(481,样本到样信息汇总统计!$X$2:$X$500,0)),"")</f>
        <v/>
      </c>
      <c r="O482" s="4" t="str">
        <f>IFERROR(INDEX(样本到样信息汇总统计!O$2:O$500,MATCH(481,样本到样信息汇总统计!$X$2:$X$500,0)),"")</f>
        <v/>
      </c>
      <c r="P482" s="4" t="str">
        <f>IFERROR(INDEX(样本到样信息汇总统计!P$2:P$500,MATCH(481,样本到样信息汇总统计!$X$2:$X$500,0)),"")</f>
        <v/>
      </c>
      <c r="Q482" s="4" t="str">
        <f>IFERROR(INDEX(样本到样信息汇总统计!Q$2:Q$500,MATCH(481,样本到样信息汇总统计!$X$2:$X$500,0)),"")</f>
        <v/>
      </c>
      <c r="R482" s="4" t="str">
        <f>IFERROR(INDEX(样本到样信息汇总统计!R$2:R$500,MATCH(481,样本到样信息汇总统计!$X$2:$X$500,0)),"")</f>
        <v/>
      </c>
      <c r="S482" s="4" t="str">
        <f>IFERROR(INDEX(样本到样信息汇总统计!S$2:S$500,MATCH(481,样本到样信息汇总统计!$X$2:$X$500,0)),"")</f>
        <v/>
      </c>
      <c r="T482" s="4" t="str">
        <f>IFERROR(INDEX(样本到样信息汇总统计!T$2:T$500,MATCH(481,样本到样信息汇总统计!$X$2:$X$500,0)),"")</f>
        <v/>
      </c>
      <c r="U482" s="4" t="str">
        <f>IFERROR(INDEX(样本到样信息汇总统计!U$2:U$500,MATCH(481,样本到样信息汇总统计!$X$2:$X$500,0)),"")</f>
        <v/>
      </c>
      <c r="V482" s="4" t="str">
        <f>IFERROR(INDEX(样本到样信息汇总统计!V$2:V$500,MATCH(481,样本到样信息汇总统计!$X$2:$X$500,0)),"")</f>
        <v/>
      </c>
      <c r="W482" s="4" t="str">
        <f>IFERROR(INDEX(样本到样信息汇总统计!W$2:W$500,MATCH(481,样本到样信息汇总统计!$X$2:$X$500,0)),"")</f>
        <v/>
      </c>
    </row>
    <row r="483" ht="14.5" spans="1:23">
      <c r="A483" s="8" t="str">
        <f>IFERROR(INDEX(样本到样信息汇总统计!A$2:A$500,MATCH(482,样本到样信息汇总统计!$X$2:$X$500,0)),"")</f>
        <v/>
      </c>
      <c r="B483" s="8" t="str">
        <f>IFERROR(INDEX(样本到样信息汇总统计!B$2:B$500,MATCH(482,样本到样信息汇总统计!$X$2:$X$500,0)),"")</f>
        <v/>
      </c>
      <c r="C483" s="8" t="str">
        <f>IFERROR(INDEX(样本到样信息汇总统计!C$2:C$500,MATCH(482,样本到样信息汇总统计!$X$2:$X$500,0)),"")</f>
        <v/>
      </c>
      <c r="D483" s="8" t="str">
        <f>IFERROR(INDEX(样本到样信息汇总统计!D$2:D$500,MATCH(482,样本到样信息汇总统计!$X$2:$X$500,0)),"")</f>
        <v/>
      </c>
      <c r="E483" s="8" t="str">
        <f>IFERROR(INDEX(样本到样信息汇总统计!E$2:E$500,MATCH(482,样本到样信息汇总统计!$X$2:$X$500,0)),"")</f>
        <v/>
      </c>
      <c r="F483" s="8" t="str">
        <f>IFERROR(INDEX(样本到样信息汇总统计!F$2:F$500,MATCH(482,样本到样信息汇总统计!$X$2:$X$500,0)),"")</f>
        <v/>
      </c>
      <c r="G483" s="8" t="str">
        <f>IFERROR(INDEX(样本到样信息汇总统计!G$2:G$500,MATCH(482,样本到样信息汇总统计!$X$2:$X$500,0)),"")</f>
        <v/>
      </c>
      <c r="H483" s="8" t="str">
        <f>IFERROR(INDEX(样本到样信息汇总统计!H$2:H$500,MATCH(482,样本到样信息汇总统计!$X$2:$X$500,0)),"")</f>
        <v/>
      </c>
      <c r="I483" s="8" t="str">
        <f>IFERROR(INDEX(样本到样信息汇总统计!I$2:I$500,MATCH(482,样本到样信息汇总统计!$X$2:$X$500,0)),"")</f>
        <v/>
      </c>
      <c r="J483" s="8" t="str">
        <f>IFERROR(INDEX(样本到样信息汇总统计!J$2:J$500,MATCH(482,样本到样信息汇总统计!$X$2:$X$500,0)),"")</f>
        <v/>
      </c>
      <c r="K483" s="15" t="str">
        <f>IFERROR(INDEX(样本到样信息汇总统计!K$2:K$500,MATCH(482,样本到样信息汇总统计!$X$2:$X$500,0)),"")</f>
        <v/>
      </c>
      <c r="L483" s="8" t="str">
        <f>IFERROR(INDEX(样本到样信息汇总统计!L$2:L$500,MATCH(482,样本到样信息汇总统计!$X$2:$X$500,0)),"")</f>
        <v/>
      </c>
      <c r="M483" s="8" t="str">
        <f>IFERROR(INDEX(样本到样信息汇总统计!M$2:M$500,MATCH(482,样本到样信息汇总统计!$X$2:$X$500,0)),"")</f>
        <v/>
      </c>
      <c r="N483" s="8" t="str">
        <f>IFERROR(INDEX(样本到样信息汇总统计!N$2:N$500,MATCH(482,样本到样信息汇总统计!$X$2:$X$500,0)),"")</f>
        <v/>
      </c>
      <c r="O483" s="8" t="str">
        <f>IFERROR(INDEX(样本到样信息汇总统计!O$2:O$500,MATCH(482,样本到样信息汇总统计!$X$2:$X$500,0)),"")</f>
        <v/>
      </c>
      <c r="P483" s="8" t="str">
        <f>IFERROR(INDEX(样本到样信息汇总统计!P$2:P$500,MATCH(482,样本到样信息汇总统计!$X$2:$X$500,0)),"")</f>
        <v/>
      </c>
      <c r="Q483" s="8" t="str">
        <f>IFERROR(INDEX(样本到样信息汇总统计!Q$2:Q$500,MATCH(482,样本到样信息汇总统计!$X$2:$X$500,0)),"")</f>
        <v/>
      </c>
      <c r="R483" s="8" t="str">
        <f>IFERROR(INDEX(样本到样信息汇总统计!R$2:R$500,MATCH(482,样本到样信息汇总统计!$X$2:$X$500,0)),"")</f>
        <v/>
      </c>
      <c r="S483" s="8" t="str">
        <f>IFERROR(INDEX(样本到样信息汇总统计!S$2:S$500,MATCH(482,样本到样信息汇总统计!$X$2:$X$500,0)),"")</f>
        <v/>
      </c>
      <c r="T483" s="8" t="str">
        <f>IFERROR(INDEX(样本到样信息汇总统计!T$2:T$500,MATCH(482,样本到样信息汇总统计!$X$2:$X$500,0)),"")</f>
        <v/>
      </c>
      <c r="U483" s="8" t="str">
        <f>IFERROR(INDEX(样本到样信息汇总统计!U$2:U$500,MATCH(482,样本到样信息汇总统计!$X$2:$X$500,0)),"")</f>
        <v/>
      </c>
      <c r="V483" s="8" t="str">
        <f>IFERROR(INDEX(样本到样信息汇总统计!V$2:V$500,MATCH(482,样本到样信息汇总统计!$X$2:$X$500,0)),"")</f>
        <v/>
      </c>
      <c r="W483" s="8" t="str">
        <f>IFERROR(INDEX(样本到样信息汇总统计!W$2:W$500,MATCH(482,样本到样信息汇总统计!$X$2:$X$500,0)),"")</f>
        <v/>
      </c>
    </row>
    <row r="484" ht="14.5" spans="1:23">
      <c r="A484" s="4" t="str">
        <f>IFERROR(INDEX(样本到样信息汇总统计!A$2:A$500,MATCH(483,样本到样信息汇总统计!$X$2:$X$500,0)),"")</f>
        <v/>
      </c>
      <c r="B484" s="4" t="str">
        <f>IFERROR(INDEX(样本到样信息汇总统计!B$2:B$500,MATCH(483,样本到样信息汇总统计!$X$2:$X$500,0)),"")</f>
        <v/>
      </c>
      <c r="C484" s="4" t="str">
        <f>IFERROR(INDEX(样本到样信息汇总统计!C$2:C$500,MATCH(483,样本到样信息汇总统计!$X$2:$X$500,0)),"")</f>
        <v/>
      </c>
      <c r="D484" s="4" t="str">
        <f>IFERROR(INDEX(样本到样信息汇总统计!D$2:D$500,MATCH(483,样本到样信息汇总统计!$X$2:$X$500,0)),"")</f>
        <v/>
      </c>
      <c r="E484" s="4" t="str">
        <f>IFERROR(INDEX(样本到样信息汇总统计!E$2:E$500,MATCH(483,样本到样信息汇总统计!$X$2:$X$500,0)),"")</f>
        <v/>
      </c>
      <c r="F484" s="4" t="str">
        <f>IFERROR(INDEX(样本到样信息汇总统计!F$2:F$500,MATCH(483,样本到样信息汇总统计!$X$2:$X$500,0)),"")</f>
        <v/>
      </c>
      <c r="G484" s="4" t="str">
        <f>IFERROR(INDEX(样本到样信息汇总统计!G$2:G$500,MATCH(483,样本到样信息汇总统计!$X$2:$X$500,0)),"")</f>
        <v/>
      </c>
      <c r="H484" s="4" t="str">
        <f>IFERROR(INDEX(样本到样信息汇总统计!H$2:H$500,MATCH(483,样本到样信息汇总统计!$X$2:$X$500,0)),"")</f>
        <v/>
      </c>
      <c r="I484" s="4" t="str">
        <f>IFERROR(INDEX(样本到样信息汇总统计!I$2:I$500,MATCH(483,样本到样信息汇总统计!$X$2:$X$500,0)),"")</f>
        <v/>
      </c>
      <c r="J484" s="4" t="str">
        <f>IFERROR(INDEX(样本到样信息汇总统计!J$2:J$500,MATCH(483,样本到样信息汇总统计!$X$2:$X$500,0)),"")</f>
        <v/>
      </c>
      <c r="K484" s="14" t="str">
        <f>IFERROR(INDEX(样本到样信息汇总统计!K$2:K$500,MATCH(483,样本到样信息汇总统计!$X$2:$X$500,0)),"")</f>
        <v/>
      </c>
      <c r="L484" s="4" t="str">
        <f>IFERROR(INDEX(样本到样信息汇总统计!L$2:L$500,MATCH(483,样本到样信息汇总统计!$X$2:$X$500,0)),"")</f>
        <v/>
      </c>
      <c r="M484" s="4" t="str">
        <f>IFERROR(INDEX(样本到样信息汇总统计!M$2:M$500,MATCH(483,样本到样信息汇总统计!$X$2:$X$500,0)),"")</f>
        <v/>
      </c>
      <c r="N484" s="4" t="str">
        <f>IFERROR(INDEX(样本到样信息汇总统计!N$2:N$500,MATCH(483,样本到样信息汇总统计!$X$2:$X$500,0)),"")</f>
        <v/>
      </c>
      <c r="O484" s="4" t="str">
        <f>IFERROR(INDEX(样本到样信息汇总统计!O$2:O$500,MATCH(483,样本到样信息汇总统计!$X$2:$X$500,0)),"")</f>
        <v/>
      </c>
      <c r="P484" s="4" t="str">
        <f>IFERROR(INDEX(样本到样信息汇总统计!P$2:P$500,MATCH(483,样本到样信息汇总统计!$X$2:$X$500,0)),"")</f>
        <v/>
      </c>
      <c r="Q484" s="4" t="str">
        <f>IFERROR(INDEX(样本到样信息汇总统计!Q$2:Q$500,MATCH(483,样本到样信息汇总统计!$X$2:$X$500,0)),"")</f>
        <v/>
      </c>
      <c r="R484" s="4" t="str">
        <f>IFERROR(INDEX(样本到样信息汇总统计!R$2:R$500,MATCH(483,样本到样信息汇总统计!$X$2:$X$500,0)),"")</f>
        <v/>
      </c>
      <c r="S484" s="4" t="str">
        <f>IFERROR(INDEX(样本到样信息汇总统计!S$2:S$500,MATCH(483,样本到样信息汇总统计!$X$2:$X$500,0)),"")</f>
        <v/>
      </c>
      <c r="T484" s="4" t="str">
        <f>IFERROR(INDEX(样本到样信息汇总统计!T$2:T$500,MATCH(483,样本到样信息汇总统计!$X$2:$X$500,0)),"")</f>
        <v/>
      </c>
      <c r="U484" s="4" t="str">
        <f>IFERROR(INDEX(样本到样信息汇总统计!U$2:U$500,MATCH(483,样本到样信息汇总统计!$X$2:$X$500,0)),"")</f>
        <v/>
      </c>
      <c r="V484" s="4" t="str">
        <f>IFERROR(INDEX(样本到样信息汇总统计!V$2:V$500,MATCH(483,样本到样信息汇总统计!$X$2:$X$500,0)),"")</f>
        <v/>
      </c>
      <c r="W484" s="4" t="str">
        <f>IFERROR(INDEX(样本到样信息汇总统计!W$2:W$500,MATCH(483,样本到样信息汇总统计!$X$2:$X$500,0)),"")</f>
        <v/>
      </c>
    </row>
    <row r="485" ht="14.5" spans="1:23">
      <c r="A485" s="8" t="str">
        <f>IFERROR(INDEX(样本到样信息汇总统计!A$2:A$500,MATCH(484,样本到样信息汇总统计!$X$2:$X$500,0)),"")</f>
        <v/>
      </c>
      <c r="B485" s="8" t="str">
        <f>IFERROR(INDEX(样本到样信息汇总统计!B$2:B$500,MATCH(484,样本到样信息汇总统计!$X$2:$X$500,0)),"")</f>
        <v/>
      </c>
      <c r="C485" s="8" t="str">
        <f>IFERROR(INDEX(样本到样信息汇总统计!C$2:C$500,MATCH(484,样本到样信息汇总统计!$X$2:$X$500,0)),"")</f>
        <v/>
      </c>
      <c r="D485" s="8" t="str">
        <f>IFERROR(INDEX(样本到样信息汇总统计!D$2:D$500,MATCH(484,样本到样信息汇总统计!$X$2:$X$500,0)),"")</f>
        <v/>
      </c>
      <c r="E485" s="8" t="str">
        <f>IFERROR(INDEX(样本到样信息汇总统计!E$2:E$500,MATCH(484,样本到样信息汇总统计!$X$2:$X$500,0)),"")</f>
        <v/>
      </c>
      <c r="F485" s="8" t="str">
        <f>IFERROR(INDEX(样本到样信息汇总统计!F$2:F$500,MATCH(484,样本到样信息汇总统计!$X$2:$X$500,0)),"")</f>
        <v/>
      </c>
      <c r="G485" s="8" t="str">
        <f>IFERROR(INDEX(样本到样信息汇总统计!G$2:G$500,MATCH(484,样本到样信息汇总统计!$X$2:$X$500,0)),"")</f>
        <v/>
      </c>
      <c r="H485" s="8" t="str">
        <f>IFERROR(INDEX(样本到样信息汇总统计!H$2:H$500,MATCH(484,样本到样信息汇总统计!$X$2:$X$500,0)),"")</f>
        <v/>
      </c>
      <c r="I485" s="8" t="str">
        <f>IFERROR(INDEX(样本到样信息汇总统计!I$2:I$500,MATCH(484,样本到样信息汇总统计!$X$2:$X$500,0)),"")</f>
        <v/>
      </c>
      <c r="J485" s="8" t="str">
        <f>IFERROR(INDEX(样本到样信息汇总统计!J$2:J$500,MATCH(484,样本到样信息汇总统计!$X$2:$X$500,0)),"")</f>
        <v/>
      </c>
      <c r="K485" s="15" t="str">
        <f>IFERROR(INDEX(样本到样信息汇总统计!K$2:K$500,MATCH(484,样本到样信息汇总统计!$X$2:$X$500,0)),"")</f>
        <v/>
      </c>
      <c r="L485" s="8" t="str">
        <f>IFERROR(INDEX(样本到样信息汇总统计!L$2:L$500,MATCH(484,样本到样信息汇总统计!$X$2:$X$500,0)),"")</f>
        <v/>
      </c>
      <c r="M485" s="8" t="str">
        <f>IFERROR(INDEX(样本到样信息汇总统计!M$2:M$500,MATCH(484,样本到样信息汇总统计!$X$2:$X$500,0)),"")</f>
        <v/>
      </c>
      <c r="N485" s="8" t="str">
        <f>IFERROR(INDEX(样本到样信息汇总统计!N$2:N$500,MATCH(484,样本到样信息汇总统计!$X$2:$X$500,0)),"")</f>
        <v/>
      </c>
      <c r="O485" s="8" t="str">
        <f>IFERROR(INDEX(样本到样信息汇总统计!O$2:O$500,MATCH(484,样本到样信息汇总统计!$X$2:$X$500,0)),"")</f>
        <v/>
      </c>
      <c r="P485" s="8" t="str">
        <f>IFERROR(INDEX(样本到样信息汇总统计!P$2:P$500,MATCH(484,样本到样信息汇总统计!$X$2:$X$500,0)),"")</f>
        <v/>
      </c>
      <c r="Q485" s="8" t="str">
        <f>IFERROR(INDEX(样本到样信息汇总统计!Q$2:Q$500,MATCH(484,样本到样信息汇总统计!$X$2:$X$500,0)),"")</f>
        <v/>
      </c>
      <c r="R485" s="8" t="str">
        <f>IFERROR(INDEX(样本到样信息汇总统计!R$2:R$500,MATCH(484,样本到样信息汇总统计!$X$2:$X$500,0)),"")</f>
        <v/>
      </c>
      <c r="S485" s="8" t="str">
        <f>IFERROR(INDEX(样本到样信息汇总统计!S$2:S$500,MATCH(484,样本到样信息汇总统计!$X$2:$X$500,0)),"")</f>
        <v/>
      </c>
      <c r="T485" s="8" t="str">
        <f>IFERROR(INDEX(样本到样信息汇总统计!T$2:T$500,MATCH(484,样本到样信息汇总统计!$X$2:$X$500,0)),"")</f>
        <v/>
      </c>
      <c r="U485" s="8" t="str">
        <f>IFERROR(INDEX(样本到样信息汇总统计!U$2:U$500,MATCH(484,样本到样信息汇总统计!$X$2:$X$500,0)),"")</f>
        <v/>
      </c>
      <c r="V485" s="8" t="str">
        <f>IFERROR(INDEX(样本到样信息汇总统计!V$2:V$500,MATCH(484,样本到样信息汇总统计!$X$2:$X$500,0)),"")</f>
        <v/>
      </c>
      <c r="W485" s="8" t="str">
        <f>IFERROR(INDEX(样本到样信息汇总统计!W$2:W$500,MATCH(484,样本到样信息汇总统计!$X$2:$X$500,0)),"")</f>
        <v/>
      </c>
    </row>
    <row r="486" ht="14.5" spans="1:23">
      <c r="A486" s="4" t="str">
        <f>IFERROR(INDEX(样本到样信息汇总统计!A$2:A$500,MATCH(485,样本到样信息汇总统计!$X$2:$X$500,0)),"")</f>
        <v/>
      </c>
      <c r="B486" s="4" t="str">
        <f>IFERROR(INDEX(样本到样信息汇总统计!B$2:B$500,MATCH(485,样本到样信息汇总统计!$X$2:$X$500,0)),"")</f>
        <v/>
      </c>
      <c r="C486" s="4" t="str">
        <f>IFERROR(INDEX(样本到样信息汇总统计!C$2:C$500,MATCH(485,样本到样信息汇总统计!$X$2:$X$500,0)),"")</f>
        <v/>
      </c>
      <c r="D486" s="4" t="str">
        <f>IFERROR(INDEX(样本到样信息汇总统计!D$2:D$500,MATCH(485,样本到样信息汇总统计!$X$2:$X$500,0)),"")</f>
        <v/>
      </c>
      <c r="E486" s="4" t="str">
        <f>IFERROR(INDEX(样本到样信息汇总统计!E$2:E$500,MATCH(485,样本到样信息汇总统计!$X$2:$X$500,0)),"")</f>
        <v/>
      </c>
      <c r="F486" s="4" t="str">
        <f>IFERROR(INDEX(样本到样信息汇总统计!F$2:F$500,MATCH(485,样本到样信息汇总统计!$X$2:$X$500,0)),"")</f>
        <v/>
      </c>
      <c r="G486" s="4" t="str">
        <f>IFERROR(INDEX(样本到样信息汇总统计!G$2:G$500,MATCH(485,样本到样信息汇总统计!$X$2:$X$500,0)),"")</f>
        <v/>
      </c>
      <c r="H486" s="4" t="str">
        <f>IFERROR(INDEX(样本到样信息汇总统计!H$2:H$500,MATCH(485,样本到样信息汇总统计!$X$2:$X$500,0)),"")</f>
        <v/>
      </c>
      <c r="I486" s="4" t="str">
        <f>IFERROR(INDEX(样本到样信息汇总统计!I$2:I$500,MATCH(485,样本到样信息汇总统计!$X$2:$X$500,0)),"")</f>
        <v/>
      </c>
      <c r="J486" s="4" t="str">
        <f>IFERROR(INDEX(样本到样信息汇总统计!J$2:J$500,MATCH(485,样本到样信息汇总统计!$X$2:$X$500,0)),"")</f>
        <v/>
      </c>
      <c r="K486" s="14" t="str">
        <f>IFERROR(INDEX(样本到样信息汇总统计!K$2:K$500,MATCH(485,样本到样信息汇总统计!$X$2:$X$500,0)),"")</f>
        <v/>
      </c>
      <c r="L486" s="4" t="str">
        <f>IFERROR(INDEX(样本到样信息汇总统计!L$2:L$500,MATCH(485,样本到样信息汇总统计!$X$2:$X$500,0)),"")</f>
        <v/>
      </c>
      <c r="M486" s="4" t="str">
        <f>IFERROR(INDEX(样本到样信息汇总统计!M$2:M$500,MATCH(485,样本到样信息汇总统计!$X$2:$X$500,0)),"")</f>
        <v/>
      </c>
      <c r="N486" s="4" t="str">
        <f>IFERROR(INDEX(样本到样信息汇总统计!N$2:N$500,MATCH(485,样本到样信息汇总统计!$X$2:$X$500,0)),"")</f>
        <v/>
      </c>
      <c r="O486" s="4" t="str">
        <f>IFERROR(INDEX(样本到样信息汇总统计!O$2:O$500,MATCH(485,样本到样信息汇总统计!$X$2:$X$500,0)),"")</f>
        <v/>
      </c>
      <c r="P486" s="4" t="str">
        <f>IFERROR(INDEX(样本到样信息汇总统计!P$2:P$500,MATCH(485,样本到样信息汇总统计!$X$2:$X$500,0)),"")</f>
        <v/>
      </c>
      <c r="Q486" s="4" t="str">
        <f>IFERROR(INDEX(样本到样信息汇总统计!Q$2:Q$500,MATCH(485,样本到样信息汇总统计!$X$2:$X$500,0)),"")</f>
        <v/>
      </c>
      <c r="R486" s="4" t="str">
        <f>IFERROR(INDEX(样本到样信息汇总统计!R$2:R$500,MATCH(485,样本到样信息汇总统计!$X$2:$X$500,0)),"")</f>
        <v/>
      </c>
      <c r="S486" s="4" t="str">
        <f>IFERROR(INDEX(样本到样信息汇总统计!S$2:S$500,MATCH(485,样本到样信息汇总统计!$X$2:$X$500,0)),"")</f>
        <v/>
      </c>
      <c r="T486" s="4" t="str">
        <f>IFERROR(INDEX(样本到样信息汇总统计!T$2:T$500,MATCH(485,样本到样信息汇总统计!$X$2:$X$500,0)),"")</f>
        <v/>
      </c>
      <c r="U486" s="4" t="str">
        <f>IFERROR(INDEX(样本到样信息汇总统计!U$2:U$500,MATCH(485,样本到样信息汇总统计!$X$2:$X$500,0)),"")</f>
        <v/>
      </c>
      <c r="V486" s="4" t="str">
        <f>IFERROR(INDEX(样本到样信息汇总统计!V$2:V$500,MATCH(485,样本到样信息汇总统计!$X$2:$X$500,0)),"")</f>
        <v/>
      </c>
      <c r="W486" s="4" t="str">
        <f>IFERROR(INDEX(样本到样信息汇总统计!W$2:W$500,MATCH(485,样本到样信息汇总统计!$X$2:$X$500,0)),"")</f>
        <v/>
      </c>
    </row>
    <row r="487" ht="14.5" spans="1:23">
      <c r="A487" s="8" t="str">
        <f>IFERROR(INDEX(样本到样信息汇总统计!A$2:A$500,MATCH(486,样本到样信息汇总统计!$X$2:$X$500,0)),"")</f>
        <v/>
      </c>
      <c r="B487" s="8" t="str">
        <f>IFERROR(INDEX(样本到样信息汇总统计!B$2:B$500,MATCH(486,样本到样信息汇总统计!$X$2:$X$500,0)),"")</f>
        <v/>
      </c>
      <c r="C487" s="8" t="str">
        <f>IFERROR(INDEX(样本到样信息汇总统计!C$2:C$500,MATCH(486,样本到样信息汇总统计!$X$2:$X$500,0)),"")</f>
        <v/>
      </c>
      <c r="D487" s="8" t="str">
        <f>IFERROR(INDEX(样本到样信息汇总统计!D$2:D$500,MATCH(486,样本到样信息汇总统计!$X$2:$X$500,0)),"")</f>
        <v/>
      </c>
      <c r="E487" s="8" t="str">
        <f>IFERROR(INDEX(样本到样信息汇总统计!E$2:E$500,MATCH(486,样本到样信息汇总统计!$X$2:$X$500,0)),"")</f>
        <v/>
      </c>
      <c r="F487" s="8" t="str">
        <f>IFERROR(INDEX(样本到样信息汇总统计!F$2:F$500,MATCH(486,样本到样信息汇总统计!$X$2:$X$500,0)),"")</f>
        <v/>
      </c>
      <c r="G487" s="8" t="str">
        <f>IFERROR(INDEX(样本到样信息汇总统计!G$2:G$500,MATCH(486,样本到样信息汇总统计!$X$2:$X$500,0)),"")</f>
        <v/>
      </c>
      <c r="H487" s="8" t="str">
        <f>IFERROR(INDEX(样本到样信息汇总统计!H$2:H$500,MATCH(486,样本到样信息汇总统计!$X$2:$X$500,0)),"")</f>
        <v/>
      </c>
      <c r="I487" s="8" t="str">
        <f>IFERROR(INDEX(样本到样信息汇总统计!I$2:I$500,MATCH(486,样本到样信息汇总统计!$X$2:$X$500,0)),"")</f>
        <v/>
      </c>
      <c r="J487" s="8" t="str">
        <f>IFERROR(INDEX(样本到样信息汇总统计!J$2:J$500,MATCH(486,样本到样信息汇总统计!$X$2:$X$500,0)),"")</f>
        <v/>
      </c>
      <c r="K487" s="15" t="str">
        <f>IFERROR(INDEX(样本到样信息汇总统计!K$2:K$500,MATCH(486,样本到样信息汇总统计!$X$2:$X$500,0)),"")</f>
        <v/>
      </c>
      <c r="L487" s="8" t="str">
        <f>IFERROR(INDEX(样本到样信息汇总统计!L$2:L$500,MATCH(486,样本到样信息汇总统计!$X$2:$X$500,0)),"")</f>
        <v/>
      </c>
      <c r="M487" s="8" t="str">
        <f>IFERROR(INDEX(样本到样信息汇总统计!M$2:M$500,MATCH(486,样本到样信息汇总统计!$X$2:$X$500,0)),"")</f>
        <v/>
      </c>
      <c r="N487" s="8" t="str">
        <f>IFERROR(INDEX(样本到样信息汇总统计!N$2:N$500,MATCH(486,样本到样信息汇总统计!$X$2:$X$500,0)),"")</f>
        <v/>
      </c>
      <c r="O487" s="8" t="str">
        <f>IFERROR(INDEX(样本到样信息汇总统计!O$2:O$500,MATCH(486,样本到样信息汇总统计!$X$2:$X$500,0)),"")</f>
        <v/>
      </c>
      <c r="P487" s="8" t="str">
        <f>IFERROR(INDEX(样本到样信息汇总统计!P$2:P$500,MATCH(486,样本到样信息汇总统计!$X$2:$X$500,0)),"")</f>
        <v/>
      </c>
      <c r="Q487" s="8" t="str">
        <f>IFERROR(INDEX(样本到样信息汇总统计!Q$2:Q$500,MATCH(486,样本到样信息汇总统计!$X$2:$X$500,0)),"")</f>
        <v/>
      </c>
      <c r="R487" s="8" t="str">
        <f>IFERROR(INDEX(样本到样信息汇总统计!R$2:R$500,MATCH(486,样本到样信息汇总统计!$X$2:$X$500,0)),"")</f>
        <v/>
      </c>
      <c r="S487" s="8" t="str">
        <f>IFERROR(INDEX(样本到样信息汇总统计!S$2:S$500,MATCH(486,样本到样信息汇总统计!$X$2:$X$500,0)),"")</f>
        <v/>
      </c>
      <c r="T487" s="8" t="str">
        <f>IFERROR(INDEX(样本到样信息汇总统计!T$2:T$500,MATCH(486,样本到样信息汇总统计!$X$2:$X$500,0)),"")</f>
        <v/>
      </c>
      <c r="U487" s="8" t="str">
        <f>IFERROR(INDEX(样本到样信息汇总统计!U$2:U$500,MATCH(486,样本到样信息汇总统计!$X$2:$X$500,0)),"")</f>
        <v/>
      </c>
      <c r="V487" s="8" t="str">
        <f>IFERROR(INDEX(样本到样信息汇总统计!V$2:V$500,MATCH(486,样本到样信息汇总统计!$X$2:$X$500,0)),"")</f>
        <v/>
      </c>
      <c r="W487" s="8" t="str">
        <f>IFERROR(INDEX(样本到样信息汇总统计!W$2:W$500,MATCH(486,样本到样信息汇总统计!$X$2:$X$500,0)),"")</f>
        <v/>
      </c>
    </row>
    <row r="488" ht="14.5" spans="1:23">
      <c r="A488" s="4" t="str">
        <f>IFERROR(INDEX(样本到样信息汇总统计!A$2:A$500,MATCH(487,样本到样信息汇总统计!$X$2:$X$500,0)),"")</f>
        <v/>
      </c>
      <c r="B488" s="4" t="str">
        <f>IFERROR(INDEX(样本到样信息汇总统计!B$2:B$500,MATCH(487,样本到样信息汇总统计!$X$2:$X$500,0)),"")</f>
        <v/>
      </c>
      <c r="C488" s="4" t="str">
        <f>IFERROR(INDEX(样本到样信息汇总统计!C$2:C$500,MATCH(487,样本到样信息汇总统计!$X$2:$X$500,0)),"")</f>
        <v/>
      </c>
      <c r="D488" s="4" t="str">
        <f>IFERROR(INDEX(样本到样信息汇总统计!D$2:D$500,MATCH(487,样本到样信息汇总统计!$X$2:$X$500,0)),"")</f>
        <v/>
      </c>
      <c r="E488" s="4" t="str">
        <f>IFERROR(INDEX(样本到样信息汇总统计!E$2:E$500,MATCH(487,样本到样信息汇总统计!$X$2:$X$500,0)),"")</f>
        <v/>
      </c>
      <c r="F488" s="4" t="str">
        <f>IFERROR(INDEX(样本到样信息汇总统计!F$2:F$500,MATCH(487,样本到样信息汇总统计!$X$2:$X$500,0)),"")</f>
        <v/>
      </c>
      <c r="G488" s="4" t="str">
        <f>IFERROR(INDEX(样本到样信息汇总统计!G$2:G$500,MATCH(487,样本到样信息汇总统计!$X$2:$X$500,0)),"")</f>
        <v/>
      </c>
      <c r="H488" s="4" t="str">
        <f>IFERROR(INDEX(样本到样信息汇总统计!H$2:H$500,MATCH(487,样本到样信息汇总统计!$X$2:$X$500,0)),"")</f>
        <v/>
      </c>
      <c r="I488" s="4" t="str">
        <f>IFERROR(INDEX(样本到样信息汇总统计!I$2:I$500,MATCH(487,样本到样信息汇总统计!$X$2:$X$500,0)),"")</f>
        <v/>
      </c>
      <c r="J488" s="4" t="str">
        <f>IFERROR(INDEX(样本到样信息汇总统计!J$2:J$500,MATCH(487,样本到样信息汇总统计!$X$2:$X$500,0)),"")</f>
        <v/>
      </c>
      <c r="K488" s="14" t="str">
        <f>IFERROR(INDEX(样本到样信息汇总统计!K$2:K$500,MATCH(487,样本到样信息汇总统计!$X$2:$X$500,0)),"")</f>
        <v/>
      </c>
      <c r="L488" s="4" t="str">
        <f>IFERROR(INDEX(样本到样信息汇总统计!L$2:L$500,MATCH(487,样本到样信息汇总统计!$X$2:$X$500,0)),"")</f>
        <v/>
      </c>
      <c r="M488" s="4" t="str">
        <f>IFERROR(INDEX(样本到样信息汇总统计!M$2:M$500,MATCH(487,样本到样信息汇总统计!$X$2:$X$500,0)),"")</f>
        <v/>
      </c>
      <c r="N488" s="4" t="str">
        <f>IFERROR(INDEX(样本到样信息汇总统计!N$2:N$500,MATCH(487,样本到样信息汇总统计!$X$2:$X$500,0)),"")</f>
        <v/>
      </c>
      <c r="O488" s="4" t="str">
        <f>IFERROR(INDEX(样本到样信息汇总统计!O$2:O$500,MATCH(487,样本到样信息汇总统计!$X$2:$X$500,0)),"")</f>
        <v/>
      </c>
      <c r="P488" s="4" t="str">
        <f>IFERROR(INDEX(样本到样信息汇总统计!P$2:P$500,MATCH(487,样本到样信息汇总统计!$X$2:$X$500,0)),"")</f>
        <v/>
      </c>
      <c r="Q488" s="4" t="str">
        <f>IFERROR(INDEX(样本到样信息汇总统计!Q$2:Q$500,MATCH(487,样本到样信息汇总统计!$X$2:$X$500,0)),"")</f>
        <v/>
      </c>
      <c r="R488" s="4" t="str">
        <f>IFERROR(INDEX(样本到样信息汇总统计!R$2:R$500,MATCH(487,样本到样信息汇总统计!$X$2:$X$500,0)),"")</f>
        <v/>
      </c>
      <c r="S488" s="4" t="str">
        <f>IFERROR(INDEX(样本到样信息汇总统计!S$2:S$500,MATCH(487,样本到样信息汇总统计!$X$2:$X$500,0)),"")</f>
        <v/>
      </c>
      <c r="T488" s="4" t="str">
        <f>IFERROR(INDEX(样本到样信息汇总统计!T$2:T$500,MATCH(487,样本到样信息汇总统计!$X$2:$X$500,0)),"")</f>
        <v/>
      </c>
      <c r="U488" s="4" t="str">
        <f>IFERROR(INDEX(样本到样信息汇总统计!U$2:U$500,MATCH(487,样本到样信息汇总统计!$X$2:$X$500,0)),"")</f>
        <v/>
      </c>
      <c r="V488" s="4" t="str">
        <f>IFERROR(INDEX(样本到样信息汇总统计!V$2:V$500,MATCH(487,样本到样信息汇总统计!$X$2:$X$500,0)),"")</f>
        <v/>
      </c>
      <c r="W488" s="4" t="str">
        <f>IFERROR(INDEX(样本到样信息汇总统计!W$2:W$500,MATCH(487,样本到样信息汇总统计!$X$2:$X$500,0)),"")</f>
        <v/>
      </c>
    </row>
    <row r="489" ht="14.5" spans="1:23">
      <c r="A489" s="8" t="str">
        <f>IFERROR(INDEX(样本到样信息汇总统计!A$2:A$500,MATCH(488,样本到样信息汇总统计!$X$2:$X$500,0)),"")</f>
        <v/>
      </c>
      <c r="B489" s="8" t="str">
        <f>IFERROR(INDEX(样本到样信息汇总统计!B$2:B$500,MATCH(488,样本到样信息汇总统计!$X$2:$X$500,0)),"")</f>
        <v/>
      </c>
      <c r="C489" s="8" t="str">
        <f>IFERROR(INDEX(样本到样信息汇总统计!C$2:C$500,MATCH(488,样本到样信息汇总统计!$X$2:$X$500,0)),"")</f>
        <v/>
      </c>
      <c r="D489" s="8" t="str">
        <f>IFERROR(INDEX(样本到样信息汇总统计!D$2:D$500,MATCH(488,样本到样信息汇总统计!$X$2:$X$500,0)),"")</f>
        <v/>
      </c>
      <c r="E489" s="8" t="str">
        <f>IFERROR(INDEX(样本到样信息汇总统计!E$2:E$500,MATCH(488,样本到样信息汇总统计!$X$2:$X$500,0)),"")</f>
        <v/>
      </c>
      <c r="F489" s="8" t="str">
        <f>IFERROR(INDEX(样本到样信息汇总统计!F$2:F$500,MATCH(488,样本到样信息汇总统计!$X$2:$X$500,0)),"")</f>
        <v/>
      </c>
      <c r="G489" s="8" t="str">
        <f>IFERROR(INDEX(样本到样信息汇总统计!G$2:G$500,MATCH(488,样本到样信息汇总统计!$X$2:$X$500,0)),"")</f>
        <v/>
      </c>
      <c r="H489" s="8" t="str">
        <f>IFERROR(INDEX(样本到样信息汇总统计!H$2:H$500,MATCH(488,样本到样信息汇总统计!$X$2:$X$500,0)),"")</f>
        <v/>
      </c>
      <c r="I489" s="8" t="str">
        <f>IFERROR(INDEX(样本到样信息汇总统计!I$2:I$500,MATCH(488,样本到样信息汇总统计!$X$2:$X$500,0)),"")</f>
        <v/>
      </c>
      <c r="J489" s="8" t="str">
        <f>IFERROR(INDEX(样本到样信息汇总统计!J$2:J$500,MATCH(488,样本到样信息汇总统计!$X$2:$X$500,0)),"")</f>
        <v/>
      </c>
      <c r="K489" s="15" t="str">
        <f>IFERROR(INDEX(样本到样信息汇总统计!K$2:K$500,MATCH(488,样本到样信息汇总统计!$X$2:$X$500,0)),"")</f>
        <v/>
      </c>
      <c r="L489" s="8" t="str">
        <f>IFERROR(INDEX(样本到样信息汇总统计!L$2:L$500,MATCH(488,样本到样信息汇总统计!$X$2:$X$500,0)),"")</f>
        <v/>
      </c>
      <c r="M489" s="8" t="str">
        <f>IFERROR(INDEX(样本到样信息汇总统计!M$2:M$500,MATCH(488,样本到样信息汇总统计!$X$2:$X$500,0)),"")</f>
        <v/>
      </c>
      <c r="N489" s="8" t="str">
        <f>IFERROR(INDEX(样本到样信息汇总统计!N$2:N$500,MATCH(488,样本到样信息汇总统计!$X$2:$X$500,0)),"")</f>
        <v/>
      </c>
      <c r="O489" s="8" t="str">
        <f>IFERROR(INDEX(样本到样信息汇总统计!O$2:O$500,MATCH(488,样本到样信息汇总统计!$X$2:$X$500,0)),"")</f>
        <v/>
      </c>
      <c r="P489" s="8" t="str">
        <f>IFERROR(INDEX(样本到样信息汇总统计!P$2:P$500,MATCH(488,样本到样信息汇总统计!$X$2:$X$500,0)),"")</f>
        <v/>
      </c>
      <c r="Q489" s="8" t="str">
        <f>IFERROR(INDEX(样本到样信息汇总统计!Q$2:Q$500,MATCH(488,样本到样信息汇总统计!$X$2:$X$500,0)),"")</f>
        <v/>
      </c>
      <c r="R489" s="8" t="str">
        <f>IFERROR(INDEX(样本到样信息汇总统计!R$2:R$500,MATCH(488,样本到样信息汇总统计!$X$2:$X$500,0)),"")</f>
        <v/>
      </c>
      <c r="S489" s="8" t="str">
        <f>IFERROR(INDEX(样本到样信息汇总统计!S$2:S$500,MATCH(488,样本到样信息汇总统计!$X$2:$X$500,0)),"")</f>
        <v/>
      </c>
      <c r="T489" s="8" t="str">
        <f>IFERROR(INDEX(样本到样信息汇总统计!T$2:T$500,MATCH(488,样本到样信息汇总统计!$X$2:$X$500,0)),"")</f>
        <v/>
      </c>
      <c r="U489" s="8" t="str">
        <f>IFERROR(INDEX(样本到样信息汇总统计!U$2:U$500,MATCH(488,样本到样信息汇总统计!$X$2:$X$500,0)),"")</f>
        <v/>
      </c>
      <c r="V489" s="8" t="str">
        <f>IFERROR(INDEX(样本到样信息汇总统计!V$2:V$500,MATCH(488,样本到样信息汇总统计!$X$2:$X$500,0)),"")</f>
        <v/>
      </c>
      <c r="W489" s="8" t="str">
        <f>IFERROR(INDEX(样本到样信息汇总统计!W$2:W$500,MATCH(488,样本到样信息汇总统计!$X$2:$X$500,0)),"")</f>
        <v/>
      </c>
    </row>
    <row r="490" ht="14.5" spans="1:23">
      <c r="A490" s="4" t="str">
        <f>IFERROR(INDEX(样本到样信息汇总统计!A$2:A$500,MATCH(489,样本到样信息汇总统计!$X$2:$X$500,0)),"")</f>
        <v/>
      </c>
      <c r="B490" s="4" t="str">
        <f>IFERROR(INDEX(样本到样信息汇总统计!B$2:B$500,MATCH(489,样本到样信息汇总统计!$X$2:$X$500,0)),"")</f>
        <v/>
      </c>
      <c r="C490" s="4" t="str">
        <f>IFERROR(INDEX(样本到样信息汇总统计!C$2:C$500,MATCH(489,样本到样信息汇总统计!$X$2:$X$500,0)),"")</f>
        <v/>
      </c>
      <c r="D490" s="4" t="str">
        <f>IFERROR(INDEX(样本到样信息汇总统计!D$2:D$500,MATCH(489,样本到样信息汇总统计!$X$2:$X$500,0)),"")</f>
        <v/>
      </c>
      <c r="E490" s="4" t="str">
        <f>IFERROR(INDEX(样本到样信息汇总统计!E$2:E$500,MATCH(489,样本到样信息汇总统计!$X$2:$X$500,0)),"")</f>
        <v/>
      </c>
      <c r="F490" s="4" t="str">
        <f>IFERROR(INDEX(样本到样信息汇总统计!F$2:F$500,MATCH(489,样本到样信息汇总统计!$X$2:$X$500,0)),"")</f>
        <v/>
      </c>
      <c r="G490" s="4" t="str">
        <f>IFERROR(INDEX(样本到样信息汇总统计!G$2:G$500,MATCH(489,样本到样信息汇总统计!$X$2:$X$500,0)),"")</f>
        <v/>
      </c>
      <c r="H490" s="4" t="str">
        <f>IFERROR(INDEX(样本到样信息汇总统计!H$2:H$500,MATCH(489,样本到样信息汇总统计!$X$2:$X$500,0)),"")</f>
        <v/>
      </c>
      <c r="I490" s="4" t="str">
        <f>IFERROR(INDEX(样本到样信息汇总统计!I$2:I$500,MATCH(489,样本到样信息汇总统计!$X$2:$X$500,0)),"")</f>
        <v/>
      </c>
      <c r="J490" s="4" t="str">
        <f>IFERROR(INDEX(样本到样信息汇总统计!J$2:J$500,MATCH(489,样本到样信息汇总统计!$X$2:$X$500,0)),"")</f>
        <v/>
      </c>
      <c r="K490" s="14" t="str">
        <f>IFERROR(INDEX(样本到样信息汇总统计!K$2:K$500,MATCH(489,样本到样信息汇总统计!$X$2:$X$500,0)),"")</f>
        <v/>
      </c>
      <c r="L490" s="4" t="str">
        <f>IFERROR(INDEX(样本到样信息汇总统计!L$2:L$500,MATCH(489,样本到样信息汇总统计!$X$2:$X$500,0)),"")</f>
        <v/>
      </c>
      <c r="M490" s="4" t="str">
        <f>IFERROR(INDEX(样本到样信息汇总统计!M$2:M$500,MATCH(489,样本到样信息汇总统计!$X$2:$X$500,0)),"")</f>
        <v/>
      </c>
      <c r="N490" s="4" t="str">
        <f>IFERROR(INDEX(样本到样信息汇总统计!N$2:N$500,MATCH(489,样本到样信息汇总统计!$X$2:$X$500,0)),"")</f>
        <v/>
      </c>
      <c r="O490" s="4" t="str">
        <f>IFERROR(INDEX(样本到样信息汇总统计!O$2:O$500,MATCH(489,样本到样信息汇总统计!$X$2:$X$500,0)),"")</f>
        <v/>
      </c>
      <c r="P490" s="4" t="str">
        <f>IFERROR(INDEX(样本到样信息汇总统计!P$2:P$500,MATCH(489,样本到样信息汇总统计!$X$2:$X$500,0)),"")</f>
        <v/>
      </c>
      <c r="Q490" s="4" t="str">
        <f>IFERROR(INDEX(样本到样信息汇总统计!Q$2:Q$500,MATCH(489,样本到样信息汇总统计!$X$2:$X$500,0)),"")</f>
        <v/>
      </c>
      <c r="R490" s="4" t="str">
        <f>IFERROR(INDEX(样本到样信息汇总统计!R$2:R$500,MATCH(489,样本到样信息汇总统计!$X$2:$X$500,0)),"")</f>
        <v/>
      </c>
      <c r="S490" s="4" t="str">
        <f>IFERROR(INDEX(样本到样信息汇总统计!S$2:S$500,MATCH(489,样本到样信息汇总统计!$X$2:$X$500,0)),"")</f>
        <v/>
      </c>
      <c r="T490" s="4" t="str">
        <f>IFERROR(INDEX(样本到样信息汇总统计!T$2:T$500,MATCH(489,样本到样信息汇总统计!$X$2:$X$500,0)),"")</f>
        <v/>
      </c>
      <c r="U490" s="4" t="str">
        <f>IFERROR(INDEX(样本到样信息汇总统计!U$2:U$500,MATCH(489,样本到样信息汇总统计!$X$2:$X$500,0)),"")</f>
        <v/>
      </c>
      <c r="V490" s="4" t="str">
        <f>IFERROR(INDEX(样本到样信息汇总统计!V$2:V$500,MATCH(489,样本到样信息汇总统计!$X$2:$X$500,0)),"")</f>
        <v/>
      </c>
      <c r="W490" s="4" t="str">
        <f>IFERROR(INDEX(样本到样信息汇总统计!W$2:W$500,MATCH(489,样本到样信息汇总统计!$X$2:$X$500,0)),"")</f>
        <v/>
      </c>
    </row>
    <row r="491" ht="14.5" spans="1:23">
      <c r="A491" s="8" t="str">
        <f>IFERROR(INDEX(样本到样信息汇总统计!A$2:A$500,MATCH(490,样本到样信息汇总统计!$X$2:$X$500,0)),"")</f>
        <v/>
      </c>
      <c r="B491" s="8" t="str">
        <f>IFERROR(INDEX(样本到样信息汇总统计!B$2:B$500,MATCH(490,样本到样信息汇总统计!$X$2:$X$500,0)),"")</f>
        <v/>
      </c>
      <c r="C491" s="8" t="str">
        <f>IFERROR(INDEX(样本到样信息汇总统计!C$2:C$500,MATCH(490,样本到样信息汇总统计!$X$2:$X$500,0)),"")</f>
        <v/>
      </c>
      <c r="D491" s="8" t="str">
        <f>IFERROR(INDEX(样本到样信息汇总统计!D$2:D$500,MATCH(490,样本到样信息汇总统计!$X$2:$X$500,0)),"")</f>
        <v/>
      </c>
      <c r="E491" s="8" t="str">
        <f>IFERROR(INDEX(样本到样信息汇总统计!E$2:E$500,MATCH(490,样本到样信息汇总统计!$X$2:$X$500,0)),"")</f>
        <v/>
      </c>
      <c r="F491" s="8" t="str">
        <f>IFERROR(INDEX(样本到样信息汇总统计!F$2:F$500,MATCH(490,样本到样信息汇总统计!$X$2:$X$500,0)),"")</f>
        <v/>
      </c>
      <c r="G491" s="8" t="str">
        <f>IFERROR(INDEX(样本到样信息汇总统计!G$2:G$500,MATCH(490,样本到样信息汇总统计!$X$2:$X$500,0)),"")</f>
        <v/>
      </c>
      <c r="H491" s="8" t="str">
        <f>IFERROR(INDEX(样本到样信息汇总统计!H$2:H$500,MATCH(490,样本到样信息汇总统计!$X$2:$X$500,0)),"")</f>
        <v/>
      </c>
      <c r="I491" s="8" t="str">
        <f>IFERROR(INDEX(样本到样信息汇总统计!I$2:I$500,MATCH(490,样本到样信息汇总统计!$X$2:$X$500,0)),"")</f>
        <v/>
      </c>
      <c r="J491" s="8" t="str">
        <f>IFERROR(INDEX(样本到样信息汇总统计!J$2:J$500,MATCH(490,样本到样信息汇总统计!$X$2:$X$500,0)),"")</f>
        <v/>
      </c>
      <c r="K491" s="15" t="str">
        <f>IFERROR(INDEX(样本到样信息汇总统计!K$2:K$500,MATCH(490,样本到样信息汇总统计!$X$2:$X$500,0)),"")</f>
        <v/>
      </c>
      <c r="L491" s="8" t="str">
        <f>IFERROR(INDEX(样本到样信息汇总统计!L$2:L$500,MATCH(490,样本到样信息汇总统计!$X$2:$X$500,0)),"")</f>
        <v/>
      </c>
      <c r="M491" s="8" t="str">
        <f>IFERROR(INDEX(样本到样信息汇总统计!M$2:M$500,MATCH(490,样本到样信息汇总统计!$X$2:$X$500,0)),"")</f>
        <v/>
      </c>
      <c r="N491" s="8" t="str">
        <f>IFERROR(INDEX(样本到样信息汇总统计!N$2:N$500,MATCH(490,样本到样信息汇总统计!$X$2:$X$500,0)),"")</f>
        <v/>
      </c>
      <c r="O491" s="8" t="str">
        <f>IFERROR(INDEX(样本到样信息汇总统计!O$2:O$500,MATCH(490,样本到样信息汇总统计!$X$2:$X$500,0)),"")</f>
        <v/>
      </c>
      <c r="P491" s="8" t="str">
        <f>IFERROR(INDEX(样本到样信息汇总统计!P$2:P$500,MATCH(490,样本到样信息汇总统计!$X$2:$X$500,0)),"")</f>
        <v/>
      </c>
      <c r="Q491" s="8" t="str">
        <f>IFERROR(INDEX(样本到样信息汇总统计!Q$2:Q$500,MATCH(490,样本到样信息汇总统计!$X$2:$X$500,0)),"")</f>
        <v/>
      </c>
      <c r="R491" s="8" t="str">
        <f>IFERROR(INDEX(样本到样信息汇总统计!R$2:R$500,MATCH(490,样本到样信息汇总统计!$X$2:$X$500,0)),"")</f>
        <v/>
      </c>
      <c r="S491" s="8" t="str">
        <f>IFERROR(INDEX(样本到样信息汇总统计!S$2:S$500,MATCH(490,样本到样信息汇总统计!$X$2:$X$500,0)),"")</f>
        <v/>
      </c>
      <c r="T491" s="8" t="str">
        <f>IFERROR(INDEX(样本到样信息汇总统计!T$2:T$500,MATCH(490,样本到样信息汇总统计!$X$2:$X$500,0)),"")</f>
        <v/>
      </c>
      <c r="U491" s="8" t="str">
        <f>IFERROR(INDEX(样本到样信息汇总统计!U$2:U$500,MATCH(490,样本到样信息汇总统计!$X$2:$X$500,0)),"")</f>
        <v/>
      </c>
      <c r="V491" s="8" t="str">
        <f>IFERROR(INDEX(样本到样信息汇总统计!V$2:V$500,MATCH(490,样本到样信息汇总统计!$X$2:$X$500,0)),"")</f>
        <v/>
      </c>
      <c r="W491" s="8" t="str">
        <f>IFERROR(INDEX(样本到样信息汇总统计!W$2:W$500,MATCH(490,样本到样信息汇总统计!$X$2:$X$500,0)),"")</f>
        <v/>
      </c>
    </row>
    <row r="492" ht="14.5" spans="1:23">
      <c r="A492" s="4" t="str">
        <f>IFERROR(INDEX(样本到样信息汇总统计!A$2:A$500,MATCH(491,样本到样信息汇总统计!$X$2:$X$500,0)),"")</f>
        <v/>
      </c>
      <c r="B492" s="4" t="str">
        <f>IFERROR(INDEX(样本到样信息汇总统计!B$2:B$500,MATCH(491,样本到样信息汇总统计!$X$2:$X$500,0)),"")</f>
        <v/>
      </c>
      <c r="C492" s="4" t="str">
        <f>IFERROR(INDEX(样本到样信息汇总统计!C$2:C$500,MATCH(491,样本到样信息汇总统计!$X$2:$X$500,0)),"")</f>
        <v/>
      </c>
      <c r="D492" s="4" t="str">
        <f>IFERROR(INDEX(样本到样信息汇总统计!D$2:D$500,MATCH(491,样本到样信息汇总统计!$X$2:$X$500,0)),"")</f>
        <v/>
      </c>
      <c r="E492" s="4" t="str">
        <f>IFERROR(INDEX(样本到样信息汇总统计!E$2:E$500,MATCH(491,样本到样信息汇总统计!$X$2:$X$500,0)),"")</f>
        <v/>
      </c>
      <c r="F492" s="4" t="str">
        <f>IFERROR(INDEX(样本到样信息汇总统计!F$2:F$500,MATCH(491,样本到样信息汇总统计!$X$2:$X$500,0)),"")</f>
        <v/>
      </c>
      <c r="G492" s="4" t="str">
        <f>IFERROR(INDEX(样本到样信息汇总统计!G$2:G$500,MATCH(491,样本到样信息汇总统计!$X$2:$X$500,0)),"")</f>
        <v/>
      </c>
      <c r="H492" s="4" t="str">
        <f>IFERROR(INDEX(样本到样信息汇总统计!H$2:H$500,MATCH(491,样本到样信息汇总统计!$X$2:$X$500,0)),"")</f>
        <v/>
      </c>
      <c r="I492" s="4" t="str">
        <f>IFERROR(INDEX(样本到样信息汇总统计!I$2:I$500,MATCH(491,样本到样信息汇总统计!$X$2:$X$500,0)),"")</f>
        <v/>
      </c>
      <c r="J492" s="4" t="str">
        <f>IFERROR(INDEX(样本到样信息汇总统计!J$2:J$500,MATCH(491,样本到样信息汇总统计!$X$2:$X$500,0)),"")</f>
        <v/>
      </c>
      <c r="K492" s="14" t="str">
        <f>IFERROR(INDEX(样本到样信息汇总统计!K$2:K$500,MATCH(491,样本到样信息汇总统计!$X$2:$X$500,0)),"")</f>
        <v/>
      </c>
      <c r="L492" s="4" t="str">
        <f>IFERROR(INDEX(样本到样信息汇总统计!L$2:L$500,MATCH(491,样本到样信息汇总统计!$X$2:$X$500,0)),"")</f>
        <v/>
      </c>
      <c r="M492" s="4" t="str">
        <f>IFERROR(INDEX(样本到样信息汇总统计!M$2:M$500,MATCH(491,样本到样信息汇总统计!$X$2:$X$500,0)),"")</f>
        <v/>
      </c>
      <c r="N492" s="4" t="str">
        <f>IFERROR(INDEX(样本到样信息汇总统计!N$2:N$500,MATCH(491,样本到样信息汇总统计!$X$2:$X$500,0)),"")</f>
        <v/>
      </c>
      <c r="O492" s="4" t="str">
        <f>IFERROR(INDEX(样本到样信息汇总统计!O$2:O$500,MATCH(491,样本到样信息汇总统计!$X$2:$X$500,0)),"")</f>
        <v/>
      </c>
      <c r="P492" s="4" t="str">
        <f>IFERROR(INDEX(样本到样信息汇总统计!P$2:P$500,MATCH(491,样本到样信息汇总统计!$X$2:$X$500,0)),"")</f>
        <v/>
      </c>
      <c r="Q492" s="4" t="str">
        <f>IFERROR(INDEX(样本到样信息汇总统计!Q$2:Q$500,MATCH(491,样本到样信息汇总统计!$X$2:$X$500,0)),"")</f>
        <v/>
      </c>
      <c r="R492" s="4" t="str">
        <f>IFERROR(INDEX(样本到样信息汇总统计!R$2:R$500,MATCH(491,样本到样信息汇总统计!$X$2:$X$500,0)),"")</f>
        <v/>
      </c>
      <c r="S492" s="4" t="str">
        <f>IFERROR(INDEX(样本到样信息汇总统计!S$2:S$500,MATCH(491,样本到样信息汇总统计!$X$2:$X$500,0)),"")</f>
        <v/>
      </c>
      <c r="T492" s="4" t="str">
        <f>IFERROR(INDEX(样本到样信息汇总统计!T$2:T$500,MATCH(491,样本到样信息汇总统计!$X$2:$X$500,0)),"")</f>
        <v/>
      </c>
      <c r="U492" s="4" t="str">
        <f>IFERROR(INDEX(样本到样信息汇总统计!U$2:U$500,MATCH(491,样本到样信息汇总统计!$X$2:$X$500,0)),"")</f>
        <v/>
      </c>
      <c r="V492" s="4" t="str">
        <f>IFERROR(INDEX(样本到样信息汇总统计!V$2:V$500,MATCH(491,样本到样信息汇总统计!$X$2:$X$500,0)),"")</f>
        <v/>
      </c>
      <c r="W492" s="4" t="str">
        <f>IFERROR(INDEX(样本到样信息汇总统计!W$2:W$500,MATCH(491,样本到样信息汇总统计!$X$2:$X$500,0)),"")</f>
        <v/>
      </c>
    </row>
    <row r="493" ht="14.5" spans="1:23">
      <c r="A493" s="8" t="str">
        <f>IFERROR(INDEX(样本到样信息汇总统计!A$2:A$500,MATCH(492,样本到样信息汇总统计!$X$2:$X$500,0)),"")</f>
        <v/>
      </c>
      <c r="B493" s="8" t="str">
        <f>IFERROR(INDEX(样本到样信息汇总统计!B$2:B$500,MATCH(492,样本到样信息汇总统计!$X$2:$X$500,0)),"")</f>
        <v/>
      </c>
      <c r="C493" s="8" t="str">
        <f>IFERROR(INDEX(样本到样信息汇总统计!C$2:C$500,MATCH(492,样本到样信息汇总统计!$X$2:$X$500,0)),"")</f>
        <v/>
      </c>
      <c r="D493" s="8" t="str">
        <f>IFERROR(INDEX(样本到样信息汇总统计!D$2:D$500,MATCH(492,样本到样信息汇总统计!$X$2:$X$500,0)),"")</f>
        <v/>
      </c>
      <c r="E493" s="8" t="str">
        <f>IFERROR(INDEX(样本到样信息汇总统计!E$2:E$500,MATCH(492,样本到样信息汇总统计!$X$2:$X$500,0)),"")</f>
        <v/>
      </c>
      <c r="F493" s="8" t="str">
        <f>IFERROR(INDEX(样本到样信息汇总统计!F$2:F$500,MATCH(492,样本到样信息汇总统计!$X$2:$X$500,0)),"")</f>
        <v/>
      </c>
      <c r="G493" s="8" t="str">
        <f>IFERROR(INDEX(样本到样信息汇总统计!G$2:G$500,MATCH(492,样本到样信息汇总统计!$X$2:$X$500,0)),"")</f>
        <v/>
      </c>
      <c r="H493" s="8" t="str">
        <f>IFERROR(INDEX(样本到样信息汇总统计!H$2:H$500,MATCH(492,样本到样信息汇总统计!$X$2:$X$500,0)),"")</f>
        <v/>
      </c>
      <c r="I493" s="8" t="str">
        <f>IFERROR(INDEX(样本到样信息汇总统计!I$2:I$500,MATCH(492,样本到样信息汇总统计!$X$2:$X$500,0)),"")</f>
        <v/>
      </c>
      <c r="J493" s="8" t="str">
        <f>IFERROR(INDEX(样本到样信息汇总统计!J$2:J$500,MATCH(492,样本到样信息汇总统计!$X$2:$X$500,0)),"")</f>
        <v/>
      </c>
      <c r="K493" s="15" t="str">
        <f>IFERROR(INDEX(样本到样信息汇总统计!K$2:K$500,MATCH(492,样本到样信息汇总统计!$X$2:$X$500,0)),"")</f>
        <v/>
      </c>
      <c r="L493" s="8" t="str">
        <f>IFERROR(INDEX(样本到样信息汇总统计!L$2:L$500,MATCH(492,样本到样信息汇总统计!$X$2:$X$500,0)),"")</f>
        <v/>
      </c>
      <c r="M493" s="8" t="str">
        <f>IFERROR(INDEX(样本到样信息汇总统计!M$2:M$500,MATCH(492,样本到样信息汇总统计!$X$2:$X$500,0)),"")</f>
        <v/>
      </c>
      <c r="N493" s="8" t="str">
        <f>IFERROR(INDEX(样本到样信息汇总统计!N$2:N$500,MATCH(492,样本到样信息汇总统计!$X$2:$X$500,0)),"")</f>
        <v/>
      </c>
      <c r="O493" s="8" t="str">
        <f>IFERROR(INDEX(样本到样信息汇总统计!O$2:O$500,MATCH(492,样本到样信息汇总统计!$X$2:$X$500,0)),"")</f>
        <v/>
      </c>
      <c r="P493" s="8" t="str">
        <f>IFERROR(INDEX(样本到样信息汇总统计!P$2:P$500,MATCH(492,样本到样信息汇总统计!$X$2:$X$500,0)),"")</f>
        <v/>
      </c>
      <c r="Q493" s="8" t="str">
        <f>IFERROR(INDEX(样本到样信息汇总统计!Q$2:Q$500,MATCH(492,样本到样信息汇总统计!$X$2:$X$500,0)),"")</f>
        <v/>
      </c>
      <c r="R493" s="8" t="str">
        <f>IFERROR(INDEX(样本到样信息汇总统计!R$2:R$500,MATCH(492,样本到样信息汇总统计!$X$2:$X$500,0)),"")</f>
        <v/>
      </c>
      <c r="S493" s="8" t="str">
        <f>IFERROR(INDEX(样本到样信息汇总统计!S$2:S$500,MATCH(492,样本到样信息汇总统计!$X$2:$X$500,0)),"")</f>
        <v/>
      </c>
      <c r="T493" s="8" t="str">
        <f>IFERROR(INDEX(样本到样信息汇总统计!T$2:T$500,MATCH(492,样本到样信息汇总统计!$X$2:$X$500,0)),"")</f>
        <v/>
      </c>
      <c r="U493" s="8" t="str">
        <f>IFERROR(INDEX(样本到样信息汇总统计!U$2:U$500,MATCH(492,样本到样信息汇总统计!$X$2:$X$500,0)),"")</f>
        <v/>
      </c>
      <c r="V493" s="8" t="str">
        <f>IFERROR(INDEX(样本到样信息汇总统计!V$2:V$500,MATCH(492,样本到样信息汇总统计!$X$2:$X$500,0)),"")</f>
        <v/>
      </c>
      <c r="W493" s="8" t="str">
        <f>IFERROR(INDEX(样本到样信息汇总统计!W$2:W$500,MATCH(492,样本到样信息汇总统计!$X$2:$X$500,0)),"")</f>
        <v/>
      </c>
    </row>
    <row r="494" ht="14.5" spans="1:23">
      <c r="A494" s="4" t="str">
        <f>IFERROR(INDEX(样本到样信息汇总统计!A$2:A$500,MATCH(493,样本到样信息汇总统计!$X$2:$X$500,0)),"")</f>
        <v/>
      </c>
      <c r="B494" s="4" t="str">
        <f>IFERROR(INDEX(样本到样信息汇总统计!B$2:B$500,MATCH(493,样本到样信息汇总统计!$X$2:$X$500,0)),"")</f>
        <v/>
      </c>
      <c r="C494" s="4" t="str">
        <f>IFERROR(INDEX(样本到样信息汇总统计!C$2:C$500,MATCH(493,样本到样信息汇总统计!$X$2:$X$500,0)),"")</f>
        <v/>
      </c>
      <c r="D494" s="4" t="str">
        <f>IFERROR(INDEX(样本到样信息汇总统计!D$2:D$500,MATCH(493,样本到样信息汇总统计!$X$2:$X$500,0)),"")</f>
        <v/>
      </c>
      <c r="E494" s="4" t="str">
        <f>IFERROR(INDEX(样本到样信息汇总统计!E$2:E$500,MATCH(493,样本到样信息汇总统计!$X$2:$X$500,0)),"")</f>
        <v/>
      </c>
      <c r="F494" s="4" t="str">
        <f>IFERROR(INDEX(样本到样信息汇总统计!F$2:F$500,MATCH(493,样本到样信息汇总统计!$X$2:$X$500,0)),"")</f>
        <v/>
      </c>
      <c r="G494" s="4" t="str">
        <f>IFERROR(INDEX(样本到样信息汇总统计!G$2:G$500,MATCH(493,样本到样信息汇总统计!$X$2:$X$500,0)),"")</f>
        <v/>
      </c>
      <c r="H494" s="4" t="str">
        <f>IFERROR(INDEX(样本到样信息汇总统计!H$2:H$500,MATCH(493,样本到样信息汇总统计!$X$2:$X$500,0)),"")</f>
        <v/>
      </c>
      <c r="I494" s="4" t="str">
        <f>IFERROR(INDEX(样本到样信息汇总统计!I$2:I$500,MATCH(493,样本到样信息汇总统计!$X$2:$X$500,0)),"")</f>
        <v/>
      </c>
      <c r="J494" s="4" t="str">
        <f>IFERROR(INDEX(样本到样信息汇总统计!J$2:J$500,MATCH(493,样本到样信息汇总统计!$X$2:$X$500,0)),"")</f>
        <v/>
      </c>
      <c r="K494" s="14" t="str">
        <f>IFERROR(INDEX(样本到样信息汇总统计!K$2:K$500,MATCH(493,样本到样信息汇总统计!$X$2:$X$500,0)),"")</f>
        <v/>
      </c>
      <c r="L494" s="4" t="str">
        <f>IFERROR(INDEX(样本到样信息汇总统计!L$2:L$500,MATCH(493,样本到样信息汇总统计!$X$2:$X$500,0)),"")</f>
        <v/>
      </c>
      <c r="M494" s="4" t="str">
        <f>IFERROR(INDEX(样本到样信息汇总统计!M$2:M$500,MATCH(493,样本到样信息汇总统计!$X$2:$X$500,0)),"")</f>
        <v/>
      </c>
      <c r="N494" s="4" t="str">
        <f>IFERROR(INDEX(样本到样信息汇总统计!N$2:N$500,MATCH(493,样本到样信息汇总统计!$X$2:$X$500,0)),"")</f>
        <v/>
      </c>
      <c r="O494" s="4" t="str">
        <f>IFERROR(INDEX(样本到样信息汇总统计!O$2:O$500,MATCH(493,样本到样信息汇总统计!$X$2:$X$500,0)),"")</f>
        <v/>
      </c>
      <c r="P494" s="4" t="str">
        <f>IFERROR(INDEX(样本到样信息汇总统计!P$2:P$500,MATCH(493,样本到样信息汇总统计!$X$2:$X$500,0)),"")</f>
        <v/>
      </c>
      <c r="Q494" s="4" t="str">
        <f>IFERROR(INDEX(样本到样信息汇总统计!Q$2:Q$500,MATCH(493,样本到样信息汇总统计!$X$2:$X$500,0)),"")</f>
        <v/>
      </c>
      <c r="R494" s="4" t="str">
        <f>IFERROR(INDEX(样本到样信息汇总统计!R$2:R$500,MATCH(493,样本到样信息汇总统计!$X$2:$X$500,0)),"")</f>
        <v/>
      </c>
      <c r="S494" s="4" t="str">
        <f>IFERROR(INDEX(样本到样信息汇总统计!S$2:S$500,MATCH(493,样本到样信息汇总统计!$X$2:$X$500,0)),"")</f>
        <v/>
      </c>
      <c r="T494" s="4" t="str">
        <f>IFERROR(INDEX(样本到样信息汇总统计!T$2:T$500,MATCH(493,样本到样信息汇总统计!$X$2:$X$500,0)),"")</f>
        <v/>
      </c>
      <c r="U494" s="4" t="str">
        <f>IFERROR(INDEX(样本到样信息汇总统计!U$2:U$500,MATCH(493,样本到样信息汇总统计!$X$2:$X$500,0)),"")</f>
        <v/>
      </c>
      <c r="V494" s="4" t="str">
        <f>IFERROR(INDEX(样本到样信息汇总统计!V$2:V$500,MATCH(493,样本到样信息汇总统计!$X$2:$X$500,0)),"")</f>
        <v/>
      </c>
      <c r="W494" s="4" t="str">
        <f>IFERROR(INDEX(样本到样信息汇总统计!W$2:W$500,MATCH(493,样本到样信息汇总统计!$X$2:$X$500,0)),"")</f>
        <v/>
      </c>
    </row>
    <row r="495" ht="14.5" spans="1:23">
      <c r="A495" s="8" t="str">
        <f>IFERROR(INDEX(样本到样信息汇总统计!A$2:A$500,MATCH(494,样本到样信息汇总统计!$X$2:$X$500,0)),"")</f>
        <v/>
      </c>
      <c r="B495" s="8" t="str">
        <f>IFERROR(INDEX(样本到样信息汇总统计!B$2:B$500,MATCH(494,样本到样信息汇总统计!$X$2:$X$500,0)),"")</f>
        <v/>
      </c>
      <c r="C495" s="8" t="str">
        <f>IFERROR(INDEX(样本到样信息汇总统计!C$2:C$500,MATCH(494,样本到样信息汇总统计!$X$2:$X$500,0)),"")</f>
        <v/>
      </c>
      <c r="D495" s="8" t="str">
        <f>IFERROR(INDEX(样本到样信息汇总统计!D$2:D$500,MATCH(494,样本到样信息汇总统计!$X$2:$X$500,0)),"")</f>
        <v/>
      </c>
      <c r="E495" s="8" t="str">
        <f>IFERROR(INDEX(样本到样信息汇总统计!E$2:E$500,MATCH(494,样本到样信息汇总统计!$X$2:$X$500,0)),"")</f>
        <v/>
      </c>
      <c r="F495" s="8" t="str">
        <f>IFERROR(INDEX(样本到样信息汇总统计!F$2:F$500,MATCH(494,样本到样信息汇总统计!$X$2:$X$500,0)),"")</f>
        <v/>
      </c>
      <c r="G495" s="8" t="str">
        <f>IFERROR(INDEX(样本到样信息汇总统计!G$2:G$500,MATCH(494,样本到样信息汇总统计!$X$2:$X$500,0)),"")</f>
        <v/>
      </c>
      <c r="H495" s="8" t="str">
        <f>IFERROR(INDEX(样本到样信息汇总统计!H$2:H$500,MATCH(494,样本到样信息汇总统计!$X$2:$X$500,0)),"")</f>
        <v/>
      </c>
      <c r="I495" s="8" t="str">
        <f>IFERROR(INDEX(样本到样信息汇总统计!I$2:I$500,MATCH(494,样本到样信息汇总统计!$X$2:$X$500,0)),"")</f>
        <v/>
      </c>
      <c r="J495" s="8" t="str">
        <f>IFERROR(INDEX(样本到样信息汇总统计!J$2:J$500,MATCH(494,样本到样信息汇总统计!$X$2:$X$500,0)),"")</f>
        <v/>
      </c>
      <c r="K495" s="15" t="str">
        <f>IFERROR(INDEX(样本到样信息汇总统计!K$2:K$500,MATCH(494,样本到样信息汇总统计!$X$2:$X$500,0)),"")</f>
        <v/>
      </c>
      <c r="L495" s="8" t="str">
        <f>IFERROR(INDEX(样本到样信息汇总统计!L$2:L$500,MATCH(494,样本到样信息汇总统计!$X$2:$X$500,0)),"")</f>
        <v/>
      </c>
      <c r="M495" s="8" t="str">
        <f>IFERROR(INDEX(样本到样信息汇总统计!M$2:M$500,MATCH(494,样本到样信息汇总统计!$X$2:$X$500,0)),"")</f>
        <v/>
      </c>
      <c r="N495" s="8" t="str">
        <f>IFERROR(INDEX(样本到样信息汇总统计!N$2:N$500,MATCH(494,样本到样信息汇总统计!$X$2:$X$500,0)),"")</f>
        <v/>
      </c>
      <c r="O495" s="8" t="str">
        <f>IFERROR(INDEX(样本到样信息汇总统计!O$2:O$500,MATCH(494,样本到样信息汇总统计!$X$2:$X$500,0)),"")</f>
        <v/>
      </c>
      <c r="P495" s="8" t="str">
        <f>IFERROR(INDEX(样本到样信息汇总统计!P$2:P$500,MATCH(494,样本到样信息汇总统计!$X$2:$X$500,0)),"")</f>
        <v/>
      </c>
      <c r="Q495" s="8" t="str">
        <f>IFERROR(INDEX(样本到样信息汇总统计!Q$2:Q$500,MATCH(494,样本到样信息汇总统计!$X$2:$X$500,0)),"")</f>
        <v/>
      </c>
      <c r="R495" s="8" t="str">
        <f>IFERROR(INDEX(样本到样信息汇总统计!R$2:R$500,MATCH(494,样本到样信息汇总统计!$X$2:$X$500,0)),"")</f>
        <v/>
      </c>
      <c r="S495" s="8" t="str">
        <f>IFERROR(INDEX(样本到样信息汇总统计!S$2:S$500,MATCH(494,样本到样信息汇总统计!$X$2:$X$500,0)),"")</f>
        <v/>
      </c>
      <c r="T495" s="8" t="str">
        <f>IFERROR(INDEX(样本到样信息汇总统计!T$2:T$500,MATCH(494,样本到样信息汇总统计!$X$2:$X$500,0)),"")</f>
        <v/>
      </c>
      <c r="U495" s="8" t="str">
        <f>IFERROR(INDEX(样本到样信息汇总统计!U$2:U$500,MATCH(494,样本到样信息汇总统计!$X$2:$X$500,0)),"")</f>
        <v/>
      </c>
      <c r="V495" s="8" t="str">
        <f>IFERROR(INDEX(样本到样信息汇总统计!V$2:V$500,MATCH(494,样本到样信息汇总统计!$X$2:$X$500,0)),"")</f>
        <v/>
      </c>
      <c r="W495" s="8" t="str">
        <f>IFERROR(INDEX(样本到样信息汇总统计!W$2:W$500,MATCH(494,样本到样信息汇总统计!$X$2:$X$500,0)),"")</f>
        <v/>
      </c>
    </row>
    <row r="496" ht="14.5" spans="1:23">
      <c r="A496" s="4" t="str">
        <f>IFERROR(INDEX(样本到样信息汇总统计!A$2:A$500,MATCH(495,样本到样信息汇总统计!$X$2:$X$500,0)),"")</f>
        <v/>
      </c>
      <c r="B496" s="4" t="str">
        <f>IFERROR(INDEX(样本到样信息汇总统计!B$2:B$500,MATCH(495,样本到样信息汇总统计!$X$2:$X$500,0)),"")</f>
        <v/>
      </c>
      <c r="C496" s="4" t="str">
        <f>IFERROR(INDEX(样本到样信息汇总统计!C$2:C$500,MATCH(495,样本到样信息汇总统计!$X$2:$X$500,0)),"")</f>
        <v/>
      </c>
      <c r="D496" s="4" t="str">
        <f>IFERROR(INDEX(样本到样信息汇总统计!D$2:D$500,MATCH(495,样本到样信息汇总统计!$X$2:$X$500,0)),"")</f>
        <v/>
      </c>
      <c r="E496" s="4" t="str">
        <f>IFERROR(INDEX(样本到样信息汇总统计!E$2:E$500,MATCH(495,样本到样信息汇总统计!$X$2:$X$500,0)),"")</f>
        <v/>
      </c>
      <c r="F496" s="4" t="str">
        <f>IFERROR(INDEX(样本到样信息汇总统计!F$2:F$500,MATCH(495,样本到样信息汇总统计!$X$2:$X$500,0)),"")</f>
        <v/>
      </c>
      <c r="G496" s="4" t="str">
        <f>IFERROR(INDEX(样本到样信息汇总统计!G$2:G$500,MATCH(495,样本到样信息汇总统计!$X$2:$X$500,0)),"")</f>
        <v/>
      </c>
      <c r="H496" s="4" t="str">
        <f>IFERROR(INDEX(样本到样信息汇总统计!H$2:H$500,MATCH(495,样本到样信息汇总统计!$X$2:$X$500,0)),"")</f>
        <v/>
      </c>
      <c r="I496" s="4" t="str">
        <f>IFERROR(INDEX(样本到样信息汇总统计!I$2:I$500,MATCH(495,样本到样信息汇总统计!$X$2:$X$500,0)),"")</f>
        <v/>
      </c>
      <c r="J496" s="4" t="str">
        <f>IFERROR(INDEX(样本到样信息汇总统计!J$2:J$500,MATCH(495,样本到样信息汇总统计!$X$2:$X$500,0)),"")</f>
        <v/>
      </c>
      <c r="K496" s="14" t="str">
        <f>IFERROR(INDEX(样本到样信息汇总统计!K$2:K$500,MATCH(495,样本到样信息汇总统计!$X$2:$X$500,0)),"")</f>
        <v/>
      </c>
      <c r="L496" s="4" t="str">
        <f>IFERROR(INDEX(样本到样信息汇总统计!L$2:L$500,MATCH(495,样本到样信息汇总统计!$X$2:$X$500,0)),"")</f>
        <v/>
      </c>
      <c r="M496" s="4" t="str">
        <f>IFERROR(INDEX(样本到样信息汇总统计!M$2:M$500,MATCH(495,样本到样信息汇总统计!$X$2:$X$500,0)),"")</f>
        <v/>
      </c>
      <c r="N496" s="4" t="str">
        <f>IFERROR(INDEX(样本到样信息汇总统计!N$2:N$500,MATCH(495,样本到样信息汇总统计!$X$2:$X$500,0)),"")</f>
        <v/>
      </c>
      <c r="O496" s="4" t="str">
        <f>IFERROR(INDEX(样本到样信息汇总统计!O$2:O$500,MATCH(495,样本到样信息汇总统计!$X$2:$X$500,0)),"")</f>
        <v/>
      </c>
      <c r="P496" s="4" t="str">
        <f>IFERROR(INDEX(样本到样信息汇总统计!P$2:P$500,MATCH(495,样本到样信息汇总统计!$X$2:$X$500,0)),"")</f>
        <v/>
      </c>
      <c r="Q496" s="4" t="str">
        <f>IFERROR(INDEX(样本到样信息汇总统计!Q$2:Q$500,MATCH(495,样本到样信息汇总统计!$X$2:$X$500,0)),"")</f>
        <v/>
      </c>
      <c r="R496" s="4" t="str">
        <f>IFERROR(INDEX(样本到样信息汇总统计!R$2:R$500,MATCH(495,样本到样信息汇总统计!$X$2:$X$500,0)),"")</f>
        <v/>
      </c>
      <c r="S496" s="4" t="str">
        <f>IFERROR(INDEX(样本到样信息汇总统计!S$2:S$500,MATCH(495,样本到样信息汇总统计!$X$2:$X$500,0)),"")</f>
        <v/>
      </c>
      <c r="T496" s="4" t="str">
        <f>IFERROR(INDEX(样本到样信息汇总统计!T$2:T$500,MATCH(495,样本到样信息汇总统计!$X$2:$X$500,0)),"")</f>
        <v/>
      </c>
      <c r="U496" s="4" t="str">
        <f>IFERROR(INDEX(样本到样信息汇总统计!U$2:U$500,MATCH(495,样本到样信息汇总统计!$X$2:$X$500,0)),"")</f>
        <v/>
      </c>
      <c r="V496" s="4" t="str">
        <f>IFERROR(INDEX(样本到样信息汇总统计!V$2:V$500,MATCH(495,样本到样信息汇总统计!$X$2:$X$500,0)),"")</f>
        <v/>
      </c>
      <c r="W496" s="4" t="str">
        <f>IFERROR(INDEX(样本到样信息汇总统计!W$2:W$500,MATCH(495,样本到样信息汇总统计!$X$2:$X$500,0)),"")</f>
        <v/>
      </c>
    </row>
    <row r="497" ht="14.5" spans="1:23">
      <c r="A497" s="8" t="str">
        <f>IFERROR(INDEX(样本到样信息汇总统计!A$2:A$500,MATCH(496,样本到样信息汇总统计!$X$2:$X$500,0)),"")</f>
        <v/>
      </c>
      <c r="B497" s="8" t="str">
        <f>IFERROR(INDEX(样本到样信息汇总统计!B$2:B$500,MATCH(496,样本到样信息汇总统计!$X$2:$X$500,0)),"")</f>
        <v/>
      </c>
      <c r="C497" s="8" t="str">
        <f>IFERROR(INDEX(样本到样信息汇总统计!C$2:C$500,MATCH(496,样本到样信息汇总统计!$X$2:$X$500,0)),"")</f>
        <v/>
      </c>
      <c r="D497" s="8" t="str">
        <f>IFERROR(INDEX(样本到样信息汇总统计!D$2:D$500,MATCH(496,样本到样信息汇总统计!$X$2:$X$500,0)),"")</f>
        <v/>
      </c>
      <c r="E497" s="8" t="str">
        <f>IFERROR(INDEX(样本到样信息汇总统计!E$2:E$500,MATCH(496,样本到样信息汇总统计!$X$2:$X$500,0)),"")</f>
        <v/>
      </c>
      <c r="F497" s="8" t="str">
        <f>IFERROR(INDEX(样本到样信息汇总统计!F$2:F$500,MATCH(496,样本到样信息汇总统计!$X$2:$X$500,0)),"")</f>
        <v/>
      </c>
      <c r="G497" s="8" t="str">
        <f>IFERROR(INDEX(样本到样信息汇总统计!G$2:G$500,MATCH(496,样本到样信息汇总统计!$X$2:$X$500,0)),"")</f>
        <v/>
      </c>
      <c r="H497" s="8" t="str">
        <f>IFERROR(INDEX(样本到样信息汇总统计!H$2:H$500,MATCH(496,样本到样信息汇总统计!$X$2:$X$500,0)),"")</f>
        <v/>
      </c>
      <c r="I497" s="8" t="str">
        <f>IFERROR(INDEX(样本到样信息汇总统计!I$2:I$500,MATCH(496,样本到样信息汇总统计!$X$2:$X$500,0)),"")</f>
        <v/>
      </c>
      <c r="J497" s="8" t="str">
        <f>IFERROR(INDEX(样本到样信息汇总统计!J$2:J$500,MATCH(496,样本到样信息汇总统计!$X$2:$X$500,0)),"")</f>
        <v/>
      </c>
      <c r="K497" s="15" t="str">
        <f>IFERROR(INDEX(样本到样信息汇总统计!K$2:K$500,MATCH(496,样本到样信息汇总统计!$X$2:$X$500,0)),"")</f>
        <v/>
      </c>
      <c r="L497" s="8" t="str">
        <f>IFERROR(INDEX(样本到样信息汇总统计!L$2:L$500,MATCH(496,样本到样信息汇总统计!$X$2:$X$500,0)),"")</f>
        <v/>
      </c>
      <c r="M497" s="8" t="str">
        <f>IFERROR(INDEX(样本到样信息汇总统计!M$2:M$500,MATCH(496,样本到样信息汇总统计!$X$2:$X$500,0)),"")</f>
        <v/>
      </c>
      <c r="N497" s="8" t="str">
        <f>IFERROR(INDEX(样本到样信息汇总统计!N$2:N$500,MATCH(496,样本到样信息汇总统计!$X$2:$X$500,0)),"")</f>
        <v/>
      </c>
      <c r="O497" s="8" t="str">
        <f>IFERROR(INDEX(样本到样信息汇总统计!O$2:O$500,MATCH(496,样本到样信息汇总统计!$X$2:$X$500,0)),"")</f>
        <v/>
      </c>
      <c r="P497" s="8" t="str">
        <f>IFERROR(INDEX(样本到样信息汇总统计!P$2:P$500,MATCH(496,样本到样信息汇总统计!$X$2:$X$500,0)),"")</f>
        <v/>
      </c>
      <c r="Q497" s="8" t="str">
        <f>IFERROR(INDEX(样本到样信息汇总统计!Q$2:Q$500,MATCH(496,样本到样信息汇总统计!$X$2:$X$500,0)),"")</f>
        <v/>
      </c>
      <c r="R497" s="8" t="str">
        <f>IFERROR(INDEX(样本到样信息汇总统计!R$2:R$500,MATCH(496,样本到样信息汇总统计!$X$2:$X$500,0)),"")</f>
        <v/>
      </c>
      <c r="S497" s="8" t="str">
        <f>IFERROR(INDEX(样本到样信息汇总统计!S$2:S$500,MATCH(496,样本到样信息汇总统计!$X$2:$X$500,0)),"")</f>
        <v/>
      </c>
      <c r="T497" s="8" t="str">
        <f>IFERROR(INDEX(样本到样信息汇总统计!T$2:T$500,MATCH(496,样本到样信息汇总统计!$X$2:$X$500,0)),"")</f>
        <v/>
      </c>
      <c r="U497" s="8" t="str">
        <f>IFERROR(INDEX(样本到样信息汇总统计!U$2:U$500,MATCH(496,样本到样信息汇总统计!$X$2:$X$500,0)),"")</f>
        <v/>
      </c>
      <c r="V497" s="8" t="str">
        <f>IFERROR(INDEX(样本到样信息汇总统计!V$2:V$500,MATCH(496,样本到样信息汇总统计!$X$2:$X$500,0)),"")</f>
        <v/>
      </c>
      <c r="W497" s="8" t="str">
        <f>IFERROR(INDEX(样本到样信息汇总统计!W$2:W$500,MATCH(496,样本到样信息汇总统计!$X$2:$X$500,0)),"")</f>
        <v/>
      </c>
    </row>
    <row r="498" ht="14.5" spans="1:23">
      <c r="A498" s="4" t="str">
        <f>IFERROR(INDEX(样本到样信息汇总统计!A$2:A$500,MATCH(497,样本到样信息汇总统计!$X$2:$X$500,0)),"")</f>
        <v/>
      </c>
      <c r="B498" s="4" t="str">
        <f>IFERROR(INDEX(样本到样信息汇总统计!B$2:B$500,MATCH(497,样本到样信息汇总统计!$X$2:$X$500,0)),"")</f>
        <v/>
      </c>
      <c r="C498" s="4" t="str">
        <f>IFERROR(INDEX(样本到样信息汇总统计!C$2:C$500,MATCH(497,样本到样信息汇总统计!$X$2:$X$500,0)),"")</f>
        <v/>
      </c>
      <c r="D498" s="4" t="str">
        <f>IFERROR(INDEX(样本到样信息汇总统计!D$2:D$500,MATCH(497,样本到样信息汇总统计!$X$2:$X$500,0)),"")</f>
        <v/>
      </c>
      <c r="E498" s="4" t="str">
        <f>IFERROR(INDEX(样本到样信息汇总统计!E$2:E$500,MATCH(497,样本到样信息汇总统计!$X$2:$X$500,0)),"")</f>
        <v/>
      </c>
      <c r="F498" s="4" t="str">
        <f>IFERROR(INDEX(样本到样信息汇总统计!F$2:F$500,MATCH(497,样本到样信息汇总统计!$X$2:$X$500,0)),"")</f>
        <v/>
      </c>
      <c r="G498" s="4" t="str">
        <f>IFERROR(INDEX(样本到样信息汇总统计!G$2:G$500,MATCH(497,样本到样信息汇总统计!$X$2:$X$500,0)),"")</f>
        <v/>
      </c>
      <c r="H498" s="4" t="str">
        <f>IFERROR(INDEX(样本到样信息汇总统计!H$2:H$500,MATCH(497,样本到样信息汇总统计!$X$2:$X$500,0)),"")</f>
        <v/>
      </c>
      <c r="I498" s="4" t="str">
        <f>IFERROR(INDEX(样本到样信息汇总统计!I$2:I$500,MATCH(497,样本到样信息汇总统计!$X$2:$X$500,0)),"")</f>
        <v/>
      </c>
      <c r="J498" s="4" t="str">
        <f>IFERROR(INDEX(样本到样信息汇总统计!J$2:J$500,MATCH(497,样本到样信息汇总统计!$X$2:$X$500,0)),"")</f>
        <v/>
      </c>
      <c r="K498" s="14" t="str">
        <f>IFERROR(INDEX(样本到样信息汇总统计!K$2:K$500,MATCH(497,样本到样信息汇总统计!$X$2:$X$500,0)),"")</f>
        <v/>
      </c>
      <c r="L498" s="4" t="str">
        <f>IFERROR(INDEX(样本到样信息汇总统计!L$2:L$500,MATCH(497,样本到样信息汇总统计!$X$2:$X$500,0)),"")</f>
        <v/>
      </c>
      <c r="M498" s="4" t="str">
        <f>IFERROR(INDEX(样本到样信息汇总统计!M$2:M$500,MATCH(497,样本到样信息汇总统计!$X$2:$X$500,0)),"")</f>
        <v/>
      </c>
      <c r="N498" s="4" t="str">
        <f>IFERROR(INDEX(样本到样信息汇总统计!N$2:N$500,MATCH(497,样本到样信息汇总统计!$X$2:$X$500,0)),"")</f>
        <v/>
      </c>
      <c r="O498" s="4" t="str">
        <f>IFERROR(INDEX(样本到样信息汇总统计!O$2:O$500,MATCH(497,样本到样信息汇总统计!$X$2:$X$500,0)),"")</f>
        <v/>
      </c>
      <c r="P498" s="4" t="str">
        <f>IFERROR(INDEX(样本到样信息汇总统计!P$2:P$500,MATCH(497,样本到样信息汇总统计!$X$2:$X$500,0)),"")</f>
        <v/>
      </c>
      <c r="Q498" s="4" t="str">
        <f>IFERROR(INDEX(样本到样信息汇总统计!Q$2:Q$500,MATCH(497,样本到样信息汇总统计!$X$2:$X$500,0)),"")</f>
        <v/>
      </c>
      <c r="R498" s="4" t="str">
        <f>IFERROR(INDEX(样本到样信息汇总统计!R$2:R$500,MATCH(497,样本到样信息汇总统计!$X$2:$X$500,0)),"")</f>
        <v/>
      </c>
      <c r="S498" s="4" t="str">
        <f>IFERROR(INDEX(样本到样信息汇总统计!S$2:S$500,MATCH(497,样本到样信息汇总统计!$X$2:$X$500,0)),"")</f>
        <v/>
      </c>
      <c r="T498" s="4" t="str">
        <f>IFERROR(INDEX(样本到样信息汇总统计!T$2:T$500,MATCH(497,样本到样信息汇总统计!$X$2:$X$500,0)),"")</f>
        <v/>
      </c>
      <c r="U498" s="4" t="str">
        <f>IFERROR(INDEX(样本到样信息汇总统计!U$2:U$500,MATCH(497,样本到样信息汇总统计!$X$2:$X$500,0)),"")</f>
        <v/>
      </c>
      <c r="V498" s="4" t="str">
        <f>IFERROR(INDEX(样本到样信息汇总统计!V$2:V$500,MATCH(497,样本到样信息汇总统计!$X$2:$X$500,0)),"")</f>
        <v/>
      </c>
      <c r="W498" s="4" t="str">
        <f>IFERROR(INDEX(样本到样信息汇总统计!W$2:W$500,MATCH(497,样本到样信息汇总统计!$X$2:$X$500,0)),"")</f>
        <v/>
      </c>
    </row>
    <row r="499" ht="14.5" spans="1:23">
      <c r="A499" s="8" t="str">
        <f>IFERROR(INDEX(样本到样信息汇总统计!A$2:A$500,MATCH(498,样本到样信息汇总统计!$X$2:$X$500,0)),"")</f>
        <v/>
      </c>
      <c r="B499" s="8" t="str">
        <f>IFERROR(INDEX(样本到样信息汇总统计!B$2:B$500,MATCH(498,样本到样信息汇总统计!$X$2:$X$500,0)),"")</f>
        <v/>
      </c>
      <c r="C499" s="8" t="str">
        <f>IFERROR(INDEX(样本到样信息汇总统计!C$2:C$500,MATCH(498,样本到样信息汇总统计!$X$2:$X$500,0)),"")</f>
        <v/>
      </c>
      <c r="D499" s="8" t="str">
        <f>IFERROR(INDEX(样本到样信息汇总统计!D$2:D$500,MATCH(498,样本到样信息汇总统计!$X$2:$X$500,0)),"")</f>
        <v/>
      </c>
      <c r="E499" s="8" t="str">
        <f>IFERROR(INDEX(样本到样信息汇总统计!E$2:E$500,MATCH(498,样本到样信息汇总统计!$X$2:$X$500,0)),"")</f>
        <v/>
      </c>
      <c r="F499" s="8" t="str">
        <f>IFERROR(INDEX(样本到样信息汇总统计!F$2:F$500,MATCH(498,样本到样信息汇总统计!$X$2:$X$500,0)),"")</f>
        <v/>
      </c>
      <c r="G499" s="8" t="str">
        <f>IFERROR(INDEX(样本到样信息汇总统计!G$2:G$500,MATCH(498,样本到样信息汇总统计!$X$2:$X$500,0)),"")</f>
        <v/>
      </c>
      <c r="H499" s="8" t="str">
        <f>IFERROR(INDEX(样本到样信息汇总统计!H$2:H$500,MATCH(498,样本到样信息汇总统计!$X$2:$X$500,0)),"")</f>
        <v/>
      </c>
      <c r="I499" s="8" t="str">
        <f>IFERROR(INDEX(样本到样信息汇总统计!I$2:I$500,MATCH(498,样本到样信息汇总统计!$X$2:$X$500,0)),"")</f>
        <v/>
      </c>
      <c r="J499" s="8" t="str">
        <f>IFERROR(INDEX(样本到样信息汇总统计!J$2:J$500,MATCH(498,样本到样信息汇总统计!$X$2:$X$500,0)),"")</f>
        <v/>
      </c>
      <c r="K499" s="15" t="str">
        <f>IFERROR(INDEX(样本到样信息汇总统计!K$2:K$500,MATCH(498,样本到样信息汇总统计!$X$2:$X$500,0)),"")</f>
        <v/>
      </c>
      <c r="L499" s="8" t="str">
        <f>IFERROR(INDEX(样本到样信息汇总统计!L$2:L$500,MATCH(498,样本到样信息汇总统计!$X$2:$X$500,0)),"")</f>
        <v/>
      </c>
      <c r="M499" s="8" t="str">
        <f>IFERROR(INDEX(样本到样信息汇总统计!M$2:M$500,MATCH(498,样本到样信息汇总统计!$X$2:$X$500,0)),"")</f>
        <v/>
      </c>
      <c r="N499" s="8" t="str">
        <f>IFERROR(INDEX(样本到样信息汇总统计!N$2:N$500,MATCH(498,样本到样信息汇总统计!$X$2:$X$500,0)),"")</f>
        <v/>
      </c>
      <c r="O499" s="8" t="str">
        <f>IFERROR(INDEX(样本到样信息汇总统计!O$2:O$500,MATCH(498,样本到样信息汇总统计!$X$2:$X$500,0)),"")</f>
        <v/>
      </c>
      <c r="P499" s="8" t="str">
        <f>IFERROR(INDEX(样本到样信息汇总统计!P$2:P$500,MATCH(498,样本到样信息汇总统计!$X$2:$X$500,0)),"")</f>
        <v/>
      </c>
      <c r="Q499" s="8" t="str">
        <f>IFERROR(INDEX(样本到样信息汇总统计!Q$2:Q$500,MATCH(498,样本到样信息汇总统计!$X$2:$X$500,0)),"")</f>
        <v/>
      </c>
      <c r="R499" s="8" t="str">
        <f>IFERROR(INDEX(样本到样信息汇总统计!R$2:R$500,MATCH(498,样本到样信息汇总统计!$X$2:$X$500,0)),"")</f>
        <v/>
      </c>
      <c r="S499" s="8" t="str">
        <f>IFERROR(INDEX(样本到样信息汇总统计!S$2:S$500,MATCH(498,样本到样信息汇总统计!$X$2:$X$500,0)),"")</f>
        <v/>
      </c>
      <c r="T499" s="8" t="str">
        <f>IFERROR(INDEX(样本到样信息汇总统计!T$2:T$500,MATCH(498,样本到样信息汇总统计!$X$2:$X$500,0)),"")</f>
        <v/>
      </c>
      <c r="U499" s="8" t="str">
        <f>IFERROR(INDEX(样本到样信息汇总统计!U$2:U$500,MATCH(498,样本到样信息汇总统计!$X$2:$X$500,0)),"")</f>
        <v/>
      </c>
      <c r="V499" s="8" t="str">
        <f>IFERROR(INDEX(样本到样信息汇总统计!V$2:V$500,MATCH(498,样本到样信息汇总统计!$X$2:$X$500,0)),"")</f>
        <v/>
      </c>
      <c r="W499" s="8" t="str">
        <f>IFERROR(INDEX(样本到样信息汇总统计!W$2:W$500,MATCH(498,样本到样信息汇总统计!$X$2:$X$500,0)),"")</f>
        <v/>
      </c>
    </row>
    <row r="500" ht="14.5" spans="1:23">
      <c r="A500" s="4" t="str">
        <f>IFERROR(INDEX(样本到样信息汇总统计!A$2:A$500,MATCH(499,样本到样信息汇总统计!$X$2:$X$500,0)),"")</f>
        <v/>
      </c>
      <c r="B500" s="4" t="str">
        <f>IFERROR(INDEX(样本到样信息汇总统计!B$2:B$500,MATCH(499,样本到样信息汇总统计!$X$2:$X$500,0)),"")</f>
        <v/>
      </c>
      <c r="C500" s="4" t="str">
        <f>IFERROR(INDEX(样本到样信息汇总统计!C$2:C$500,MATCH(499,样本到样信息汇总统计!$X$2:$X$500,0)),"")</f>
        <v/>
      </c>
      <c r="D500" s="4" t="str">
        <f>IFERROR(INDEX(样本到样信息汇总统计!D$2:D$500,MATCH(499,样本到样信息汇总统计!$X$2:$X$500,0)),"")</f>
        <v/>
      </c>
      <c r="E500" s="4" t="str">
        <f>IFERROR(INDEX(样本到样信息汇总统计!E$2:E$500,MATCH(499,样本到样信息汇总统计!$X$2:$X$500,0)),"")</f>
        <v/>
      </c>
      <c r="F500" s="4" t="str">
        <f>IFERROR(INDEX(样本到样信息汇总统计!F$2:F$500,MATCH(499,样本到样信息汇总统计!$X$2:$X$500,0)),"")</f>
        <v/>
      </c>
      <c r="G500" s="4" t="str">
        <f>IFERROR(INDEX(样本到样信息汇总统计!G$2:G$500,MATCH(499,样本到样信息汇总统计!$X$2:$X$500,0)),"")</f>
        <v/>
      </c>
      <c r="H500" s="4" t="str">
        <f>IFERROR(INDEX(样本到样信息汇总统计!H$2:H$500,MATCH(499,样本到样信息汇总统计!$X$2:$X$500,0)),"")</f>
        <v/>
      </c>
      <c r="I500" s="4" t="str">
        <f>IFERROR(INDEX(样本到样信息汇总统计!I$2:I$500,MATCH(499,样本到样信息汇总统计!$X$2:$X$500,0)),"")</f>
        <v/>
      </c>
      <c r="J500" s="4" t="str">
        <f>IFERROR(INDEX(样本到样信息汇总统计!J$2:J$500,MATCH(499,样本到样信息汇总统计!$X$2:$X$500,0)),"")</f>
        <v/>
      </c>
      <c r="K500" s="14" t="str">
        <f>IFERROR(INDEX(样本到样信息汇总统计!K$2:K$500,MATCH(499,样本到样信息汇总统计!$X$2:$X$500,0)),"")</f>
        <v/>
      </c>
      <c r="L500" s="4" t="str">
        <f>IFERROR(INDEX(样本到样信息汇总统计!L$2:L$500,MATCH(499,样本到样信息汇总统计!$X$2:$X$500,0)),"")</f>
        <v/>
      </c>
      <c r="M500" s="4" t="str">
        <f>IFERROR(INDEX(样本到样信息汇总统计!M$2:M$500,MATCH(499,样本到样信息汇总统计!$X$2:$X$500,0)),"")</f>
        <v/>
      </c>
      <c r="N500" s="4" t="str">
        <f>IFERROR(INDEX(样本到样信息汇总统计!N$2:N$500,MATCH(499,样本到样信息汇总统计!$X$2:$X$500,0)),"")</f>
        <v/>
      </c>
      <c r="O500" s="4" t="str">
        <f>IFERROR(INDEX(样本到样信息汇总统计!O$2:O$500,MATCH(499,样本到样信息汇总统计!$X$2:$X$500,0)),"")</f>
        <v/>
      </c>
      <c r="P500" s="4" t="str">
        <f>IFERROR(INDEX(样本到样信息汇总统计!P$2:P$500,MATCH(499,样本到样信息汇总统计!$X$2:$X$500,0)),"")</f>
        <v/>
      </c>
      <c r="Q500" s="4" t="str">
        <f>IFERROR(INDEX(样本到样信息汇总统计!Q$2:Q$500,MATCH(499,样本到样信息汇总统计!$X$2:$X$500,0)),"")</f>
        <v/>
      </c>
      <c r="R500" s="4" t="str">
        <f>IFERROR(INDEX(样本到样信息汇总统计!R$2:R$500,MATCH(499,样本到样信息汇总统计!$X$2:$X$500,0)),"")</f>
        <v/>
      </c>
      <c r="S500" s="4" t="str">
        <f>IFERROR(INDEX(样本到样信息汇总统计!S$2:S$500,MATCH(499,样本到样信息汇总统计!$X$2:$X$500,0)),"")</f>
        <v/>
      </c>
      <c r="T500" s="4" t="str">
        <f>IFERROR(INDEX(样本到样信息汇总统计!T$2:T$500,MATCH(499,样本到样信息汇总统计!$X$2:$X$500,0)),"")</f>
        <v/>
      </c>
      <c r="U500" s="4" t="str">
        <f>IFERROR(INDEX(样本到样信息汇总统计!U$2:U$500,MATCH(499,样本到样信息汇总统计!$X$2:$X$500,0)),"")</f>
        <v/>
      </c>
      <c r="V500" s="4" t="str">
        <f>IFERROR(INDEX(样本到样信息汇总统计!V$2:V$500,MATCH(499,样本到样信息汇总统计!$X$2:$X$500,0)),"")</f>
        <v/>
      </c>
      <c r="W500" s="4" t="str">
        <f>IFERROR(INDEX(样本到样信息汇总统计!W$2:W$500,MATCH(499,样本到样信息汇总统计!$X$2:$X$500,0)),"")</f>
        <v/>
      </c>
    </row>
  </sheetData>
  <conditionalFormatting sqref="K2:K1000">
    <cfRule type="cellIs" dxfId="0" priority="2" operator="equal">
      <formula>"紧急"</formula>
    </cfRule>
    <cfRule type="cellIs" dxfId="1" priority="3" operator="equal">
      <formula>"重要"</formula>
    </cfRule>
    <cfRule type="cellIs" dxfId="2" priority="4" operator="equal">
      <formula>"常规"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00"/>
  <sheetViews>
    <sheetView showGridLines="0" workbookViewId="0">
      <pane ySplit="1" topLeftCell="A2" activePane="bottomLeft" state="frozen"/>
      <selection/>
      <selection pane="bottomLeft" activeCell="A17" sqref="A17"/>
    </sheetView>
  </sheetViews>
  <sheetFormatPr defaultColWidth="9" defaultRowHeight="14"/>
  <cols>
    <col min="1" max="1" width="14" customWidth="1"/>
    <col min="2" max="2" width="12" customWidth="1"/>
    <col min="3" max="3" width="10" customWidth="1"/>
    <col min="4" max="5" width="14" customWidth="1"/>
    <col min="6" max="7" width="10" customWidth="1"/>
    <col min="8" max="8" width="12" customWidth="1"/>
    <col min="9" max="9" width="14" customWidth="1"/>
    <col min="10" max="11" width="12" customWidth="1"/>
    <col min="12" max="12" width="24" customWidth="1"/>
    <col min="13" max="13" width="16" customWidth="1"/>
    <col min="14" max="14" width="10" customWidth="1"/>
    <col min="15" max="15" width="12" customWidth="1"/>
    <col min="16" max="18" width="14" customWidth="1"/>
    <col min="19" max="19" width="10" customWidth="1"/>
    <col min="20" max="20" width="14" customWidth="1"/>
    <col min="21" max="21" width="20" customWidth="1"/>
    <col min="22" max="22" width="10" customWidth="1"/>
    <col min="23" max="23" width="14" customWidth="1"/>
  </cols>
  <sheetData>
    <row r="1" ht="24.75" customHeight="1" spans="1:23">
      <c r="A1" s="12" t="s">
        <v>0</v>
      </c>
      <c r="B1" s="12" t="s">
        <v>1</v>
      </c>
      <c r="C1" s="12" t="s">
        <v>2</v>
      </c>
      <c r="D1" s="13" t="s">
        <v>124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</row>
    <row r="2" ht="21.75" customHeight="1" spans="1:23">
      <c r="A2" s="4" t="str">
        <f>IFERROR(INDEX(样本到样信息汇总统计!A$2:A$500,MATCH(1,样本到样信息汇总统计!$Y$2:$Y$500,0)),"")</f>
        <v>XX省人民医院</v>
      </c>
      <c r="B2" s="4" t="str">
        <f>IFERROR(INDEX(样本到样信息汇总统计!B$2:B$500,MATCH(1,样本到样信息汇总统计!$Y$2:$Y$500,0)),"")</f>
        <v>张主任课题组</v>
      </c>
      <c r="C2" s="4" t="str">
        <f>IFERROR(INDEX(样本到样信息汇总统计!C$2:C$500,MATCH(1,样本到样信息汇总统计!$Y$2:$Y$500,0)),"")</f>
        <v>陈经理</v>
      </c>
      <c r="D2" s="4" t="str">
        <f>IFERROR(INDEX(样本到样信息汇总统计!D$2:D$500,MATCH(1,样本到样信息汇总统计!$Y$2:$Y$500,0)),"")</f>
        <v>PJ2026-001</v>
      </c>
      <c r="E2" s="4" t="str">
        <f>IFERROR(INDEX(样本到样信息汇总统计!E$2:E$500,MATCH(1,样本到样信息汇总统计!$Y$2:$Y$500,0)),"")</f>
        <v>ORD-2026-0001</v>
      </c>
      <c r="F2" s="4" t="str">
        <f>IFERROR(INDEX(样本到样信息汇总统计!F$2:F$500,MATCH(1,样本到样信息汇总统计!$Y$2:$Y$500,0)),"")</f>
        <v>肿瘤组织</v>
      </c>
      <c r="G2" s="4" t="str">
        <f>IFERROR(INDEX(样本到样信息汇总统计!G$2:G$500,MATCH(1,样本到样信息汇总统计!$Y$2:$Y$500,0)),"")</f>
        <v>核酸</v>
      </c>
      <c r="H2" s="4">
        <f>IFERROR(INDEX(样本到样信息汇总统计!H$2:H$500,MATCH(1,样本到样信息汇总统计!$Y$2:$Y$500,0)),"")</f>
        <v>50</v>
      </c>
      <c r="I2" s="4">
        <f>IFERROR(INDEX(样本到样信息汇总统计!I$2:I$500,MATCH(1,样本到样信息汇总统计!$Y$2:$Y$500,0)),"")</f>
        <v>48</v>
      </c>
      <c r="J2" s="4" t="str">
        <f>IFERROR(INDEX(样本到样信息汇总统计!J$2:J$500,MATCH(1,样本到样信息汇总统计!$Y$2:$Y$500,0)),"")</f>
        <v>2026-05-20</v>
      </c>
      <c r="K2" s="4" t="str">
        <f>IFERROR(INDEX(样本到样信息汇总统计!K$2:K$500,MATCH(1,样本到样信息汇总统计!$Y$2:$Y$500,0)),"")</f>
        <v>紧急</v>
      </c>
      <c r="L2" s="4" t="str">
        <f>IFERROR(INDEX(样本到样信息汇总统计!L$2:L$500,MATCH(1,样本到样信息汇总统计!$Y$2:$Y$500,0)),"")</f>
        <v>DNA提取→文库构建→上机测序</v>
      </c>
      <c r="M2" s="4" t="str">
        <f>IFERROR(INDEX(样本到样信息汇总统计!M$2:M$500,MATCH(1,样本到样信息汇总统计!$Y$2:$Y$500,0)),"")</f>
        <v>需关注降解情况</v>
      </c>
      <c r="N2" s="4" t="str">
        <f>IFERROR(INDEX(样本到样信息汇总统计!N$2:N$500,MATCH(1,样本到样信息汇总统计!$Y$2:$Y$500,0)),"")</f>
        <v>外送华大</v>
      </c>
      <c r="O2" s="4" t="str">
        <f>IFERROR(INDEX(样本到样信息汇总统计!O$2:O$500,MATCH(1,样本到样信息汇总统计!$Y$2:$Y$500,0)),"")</f>
        <v>G99</v>
      </c>
      <c r="P2" s="4" t="str">
        <f>IFERROR(INDEX(样本到样信息汇总统计!P$2:P$500,MATCH(1,样本到样信息汇总统计!$Y$2:$Y$500,0)),"")</f>
        <v>RUN-2026-001</v>
      </c>
      <c r="Q2" s="4" t="str">
        <f>IFERROR(INDEX(样本到样信息汇总统计!Q$2:Q$500,MATCH(1,样本到样信息汇总统计!$Y$2:$Y$500,0)),"")</f>
        <v>BPOOL-001</v>
      </c>
      <c r="R2" s="4" t="str">
        <f>IFERROR(INDEX(样本到样信息汇总统计!R$2:R$500,MATCH(1,样本到样信息汇总统计!$Y$2:$Y$500,0)),"")</f>
        <v>SPOOL-001</v>
      </c>
      <c r="S2" s="4" t="str">
        <f>IFERROR(INDEX(样本到样信息汇总统计!S$2:S$500,MATCH(1,样本到样信息汇总统计!$Y$2:$Y$500,0)),"")</f>
        <v>PE150</v>
      </c>
      <c r="T2" s="4" t="str">
        <f>IFERROR(INDEX(样本到样信息汇总统计!T$2:T$500,MATCH(1,样本到样信息汇总统计!$Y$2:$Y$500,0)),"")</f>
        <v>6G</v>
      </c>
      <c r="U2" s="4" t="str">
        <f>IFERROR(INDEX(样本到样信息汇总统计!U$2:U$500,MATCH(1,样本到样信息汇总统计!$Y$2:$Y$500,0)),"")</f>
        <v>/data/project_001</v>
      </c>
      <c r="V2" s="4" t="str">
        <f>IFERROR(INDEX(样本到样信息汇总统计!V$2:V$500,MATCH(1,样本到样信息汇总统计!$Y$2:$Y$500,0)),"")</f>
        <v>未提取</v>
      </c>
      <c r="W2" s="4" t="str">
        <f>IFERROR(INDEX(样本到样信息汇总统计!W$2:W$500,MATCH(1,样本到样信息汇总统计!$Y$2:$Y$500,0)),"")</f>
        <v>2026-05-22</v>
      </c>
    </row>
    <row r="3" ht="21.75" customHeight="1" spans="1:23">
      <c r="A3" s="8" t="str">
        <f>IFERROR(INDEX(样本到样信息汇总统计!A$2:A$500,MATCH(2,样本到样信息汇总统计!$Y$2:$Y$500,0)),"")</f>
        <v/>
      </c>
      <c r="B3" s="8" t="str">
        <f>IFERROR(INDEX(样本到样信息汇总统计!B$2:B$500,MATCH(2,样本到样信息汇总统计!$Y$2:$Y$500,0)),"")</f>
        <v/>
      </c>
      <c r="C3" s="8" t="str">
        <f>IFERROR(INDEX(样本到样信息汇总统计!C$2:C$500,MATCH(2,样本到样信息汇总统计!$Y$2:$Y$500,0)),"")</f>
        <v/>
      </c>
      <c r="D3" s="8" t="str">
        <f>IFERROR(INDEX(样本到样信息汇总统计!D$2:D$500,MATCH(2,样本到样信息汇总统计!$Y$2:$Y$500,0)),"")</f>
        <v/>
      </c>
      <c r="E3" s="8" t="str">
        <f>IFERROR(INDEX(样本到样信息汇总统计!E$2:E$500,MATCH(2,样本到样信息汇总统计!$Y$2:$Y$500,0)),"")</f>
        <v/>
      </c>
      <c r="F3" s="8" t="str">
        <f>IFERROR(INDEX(样本到样信息汇总统计!F$2:F$500,MATCH(2,样本到样信息汇总统计!$Y$2:$Y$500,0)),"")</f>
        <v/>
      </c>
      <c r="G3" s="8" t="str">
        <f>IFERROR(INDEX(样本到样信息汇总统计!G$2:G$500,MATCH(2,样本到样信息汇总统计!$Y$2:$Y$500,0)),"")</f>
        <v/>
      </c>
      <c r="H3" s="8" t="str">
        <f>IFERROR(INDEX(样本到样信息汇总统计!H$2:H$500,MATCH(2,样本到样信息汇总统计!$Y$2:$Y$500,0)),"")</f>
        <v/>
      </c>
      <c r="I3" s="8" t="str">
        <f>IFERROR(INDEX(样本到样信息汇总统计!I$2:I$500,MATCH(2,样本到样信息汇总统计!$Y$2:$Y$500,0)),"")</f>
        <v/>
      </c>
      <c r="J3" s="8" t="str">
        <f>IFERROR(INDEX(样本到样信息汇总统计!J$2:J$500,MATCH(2,样本到样信息汇总统计!$Y$2:$Y$500,0)),"")</f>
        <v/>
      </c>
      <c r="K3" s="8" t="str">
        <f>IFERROR(INDEX(样本到样信息汇总统计!K$2:K$500,MATCH(2,样本到样信息汇总统计!$Y$2:$Y$500,0)),"")</f>
        <v/>
      </c>
      <c r="L3" s="8" t="str">
        <f>IFERROR(INDEX(样本到样信息汇总统计!L$2:L$500,MATCH(2,样本到样信息汇总统计!$Y$2:$Y$500,0)),"")</f>
        <v/>
      </c>
      <c r="M3" s="8" t="str">
        <f>IFERROR(INDEX(样本到样信息汇总统计!M$2:M$500,MATCH(2,样本到样信息汇总统计!$Y$2:$Y$500,0)),"")</f>
        <v/>
      </c>
      <c r="N3" s="8" t="str">
        <f>IFERROR(INDEX(样本到样信息汇总统计!N$2:N$500,MATCH(2,样本到样信息汇总统计!$Y$2:$Y$500,0)),"")</f>
        <v/>
      </c>
      <c r="O3" s="8" t="str">
        <f>IFERROR(INDEX(样本到样信息汇总统计!O$2:O$500,MATCH(2,样本到样信息汇总统计!$Y$2:$Y$500,0)),"")</f>
        <v/>
      </c>
      <c r="P3" s="8" t="str">
        <f>IFERROR(INDEX(样本到样信息汇总统计!P$2:P$500,MATCH(2,样本到样信息汇总统计!$Y$2:$Y$500,0)),"")</f>
        <v/>
      </c>
      <c r="Q3" s="8" t="str">
        <f>IFERROR(INDEX(样本到样信息汇总统计!Q$2:Q$500,MATCH(2,样本到样信息汇总统计!$Y$2:$Y$500,0)),"")</f>
        <v/>
      </c>
      <c r="R3" s="8" t="str">
        <f>IFERROR(INDEX(样本到样信息汇总统计!R$2:R$500,MATCH(2,样本到样信息汇总统计!$Y$2:$Y$500,0)),"")</f>
        <v/>
      </c>
      <c r="S3" s="8" t="str">
        <f>IFERROR(INDEX(样本到样信息汇总统计!S$2:S$500,MATCH(2,样本到样信息汇总统计!$Y$2:$Y$500,0)),"")</f>
        <v/>
      </c>
      <c r="T3" s="8" t="str">
        <f>IFERROR(INDEX(样本到样信息汇总统计!T$2:T$500,MATCH(2,样本到样信息汇总统计!$Y$2:$Y$500,0)),"")</f>
        <v/>
      </c>
      <c r="U3" s="8" t="str">
        <f>IFERROR(INDEX(样本到样信息汇总统计!U$2:U$500,MATCH(2,样本到样信息汇总统计!$Y$2:$Y$500,0)),"")</f>
        <v/>
      </c>
      <c r="V3" s="8" t="str">
        <f>IFERROR(INDEX(样本到样信息汇总统计!V$2:V$500,MATCH(2,样本到样信息汇总统计!$Y$2:$Y$500,0)),"")</f>
        <v/>
      </c>
      <c r="W3" s="8" t="str">
        <f>IFERROR(INDEX(样本到样信息汇总统计!W$2:W$500,MATCH(2,样本到样信息汇总统计!$Y$2:$Y$500,0)),"")</f>
        <v/>
      </c>
    </row>
    <row r="4" ht="21.75" customHeight="1" spans="1:23">
      <c r="A4" s="4" t="str">
        <f>IFERROR(INDEX(样本到样信息汇总统计!A$2:A$500,MATCH(3,样本到样信息汇总统计!$Y$2:$Y$500,0)),"")</f>
        <v/>
      </c>
      <c r="B4" s="4" t="str">
        <f>IFERROR(INDEX(样本到样信息汇总统计!B$2:B$500,MATCH(3,样本到样信息汇总统计!$Y$2:$Y$500,0)),"")</f>
        <v/>
      </c>
      <c r="C4" s="4" t="str">
        <f>IFERROR(INDEX(样本到样信息汇总统计!C$2:C$500,MATCH(3,样本到样信息汇总统计!$Y$2:$Y$500,0)),"")</f>
        <v/>
      </c>
      <c r="D4" s="4" t="str">
        <f>IFERROR(INDEX(样本到样信息汇总统计!D$2:D$500,MATCH(3,样本到样信息汇总统计!$Y$2:$Y$500,0)),"")</f>
        <v/>
      </c>
      <c r="E4" s="4" t="str">
        <f>IFERROR(INDEX(样本到样信息汇总统计!E$2:E$500,MATCH(3,样本到样信息汇总统计!$Y$2:$Y$500,0)),"")</f>
        <v/>
      </c>
      <c r="F4" s="4" t="str">
        <f>IFERROR(INDEX(样本到样信息汇总统计!F$2:F$500,MATCH(3,样本到样信息汇总统计!$Y$2:$Y$500,0)),"")</f>
        <v/>
      </c>
      <c r="G4" s="4" t="str">
        <f>IFERROR(INDEX(样本到样信息汇总统计!G$2:G$500,MATCH(3,样本到样信息汇总统计!$Y$2:$Y$500,0)),"")</f>
        <v/>
      </c>
      <c r="H4" s="4" t="str">
        <f>IFERROR(INDEX(样本到样信息汇总统计!H$2:H$500,MATCH(3,样本到样信息汇总统计!$Y$2:$Y$500,0)),"")</f>
        <v/>
      </c>
      <c r="I4" s="4" t="str">
        <f>IFERROR(INDEX(样本到样信息汇总统计!I$2:I$500,MATCH(3,样本到样信息汇总统计!$Y$2:$Y$500,0)),"")</f>
        <v/>
      </c>
      <c r="J4" s="4" t="str">
        <f>IFERROR(INDEX(样本到样信息汇总统计!J$2:J$500,MATCH(3,样本到样信息汇总统计!$Y$2:$Y$500,0)),"")</f>
        <v/>
      </c>
      <c r="K4" s="4" t="str">
        <f>IFERROR(INDEX(样本到样信息汇总统计!K$2:K$500,MATCH(3,样本到样信息汇总统计!$Y$2:$Y$500,0)),"")</f>
        <v/>
      </c>
      <c r="L4" s="4" t="str">
        <f>IFERROR(INDEX(样本到样信息汇总统计!L$2:L$500,MATCH(3,样本到样信息汇总统计!$Y$2:$Y$500,0)),"")</f>
        <v/>
      </c>
      <c r="M4" s="4" t="str">
        <f>IFERROR(INDEX(样本到样信息汇总统计!M$2:M$500,MATCH(3,样本到样信息汇总统计!$Y$2:$Y$500,0)),"")</f>
        <v/>
      </c>
      <c r="N4" s="4" t="str">
        <f>IFERROR(INDEX(样本到样信息汇总统计!N$2:N$500,MATCH(3,样本到样信息汇总统计!$Y$2:$Y$500,0)),"")</f>
        <v/>
      </c>
      <c r="O4" s="4" t="str">
        <f>IFERROR(INDEX(样本到样信息汇总统计!O$2:O$500,MATCH(3,样本到样信息汇总统计!$Y$2:$Y$500,0)),"")</f>
        <v/>
      </c>
      <c r="P4" s="4" t="str">
        <f>IFERROR(INDEX(样本到样信息汇总统计!P$2:P$500,MATCH(3,样本到样信息汇总统计!$Y$2:$Y$500,0)),"")</f>
        <v/>
      </c>
      <c r="Q4" s="4" t="str">
        <f>IFERROR(INDEX(样本到样信息汇总统计!Q$2:Q$500,MATCH(3,样本到样信息汇总统计!$Y$2:$Y$500,0)),"")</f>
        <v/>
      </c>
      <c r="R4" s="4" t="str">
        <f>IFERROR(INDEX(样本到样信息汇总统计!R$2:R$500,MATCH(3,样本到样信息汇总统计!$Y$2:$Y$500,0)),"")</f>
        <v/>
      </c>
      <c r="S4" s="4" t="str">
        <f>IFERROR(INDEX(样本到样信息汇总统计!S$2:S$500,MATCH(3,样本到样信息汇总统计!$Y$2:$Y$500,0)),"")</f>
        <v/>
      </c>
      <c r="T4" s="4" t="str">
        <f>IFERROR(INDEX(样本到样信息汇总统计!T$2:T$500,MATCH(3,样本到样信息汇总统计!$Y$2:$Y$500,0)),"")</f>
        <v/>
      </c>
      <c r="U4" s="4" t="str">
        <f>IFERROR(INDEX(样本到样信息汇总统计!U$2:U$500,MATCH(3,样本到样信息汇总统计!$Y$2:$Y$500,0)),"")</f>
        <v/>
      </c>
      <c r="V4" s="4" t="str">
        <f>IFERROR(INDEX(样本到样信息汇总统计!V$2:V$500,MATCH(3,样本到样信息汇总统计!$Y$2:$Y$500,0)),"")</f>
        <v/>
      </c>
      <c r="W4" s="4" t="str">
        <f>IFERROR(INDEX(样本到样信息汇总统计!W$2:W$500,MATCH(3,样本到样信息汇总统计!$Y$2:$Y$500,0)),"")</f>
        <v/>
      </c>
    </row>
    <row r="5" ht="21.75" customHeight="1" spans="1:23">
      <c r="A5" s="8" t="str">
        <f>IFERROR(INDEX(样本到样信息汇总统计!A$2:A$500,MATCH(4,样本到样信息汇总统计!$Y$2:$Y$500,0)),"")</f>
        <v/>
      </c>
      <c r="B5" s="8" t="str">
        <f>IFERROR(INDEX(样本到样信息汇总统计!B$2:B$500,MATCH(4,样本到样信息汇总统计!$Y$2:$Y$500,0)),"")</f>
        <v/>
      </c>
      <c r="C5" s="8" t="str">
        <f>IFERROR(INDEX(样本到样信息汇总统计!C$2:C$500,MATCH(4,样本到样信息汇总统计!$Y$2:$Y$500,0)),"")</f>
        <v/>
      </c>
      <c r="D5" s="8" t="str">
        <f>IFERROR(INDEX(样本到样信息汇总统计!D$2:D$500,MATCH(4,样本到样信息汇总统计!$Y$2:$Y$500,0)),"")</f>
        <v/>
      </c>
      <c r="E5" s="8" t="str">
        <f>IFERROR(INDEX(样本到样信息汇总统计!E$2:E$500,MATCH(4,样本到样信息汇总统计!$Y$2:$Y$500,0)),"")</f>
        <v/>
      </c>
      <c r="F5" s="8" t="str">
        <f>IFERROR(INDEX(样本到样信息汇总统计!F$2:F$500,MATCH(4,样本到样信息汇总统计!$Y$2:$Y$500,0)),"")</f>
        <v/>
      </c>
      <c r="G5" s="8" t="str">
        <f>IFERROR(INDEX(样本到样信息汇总统计!G$2:G$500,MATCH(4,样本到样信息汇总统计!$Y$2:$Y$500,0)),"")</f>
        <v/>
      </c>
      <c r="H5" s="8" t="str">
        <f>IFERROR(INDEX(样本到样信息汇总统计!H$2:H$500,MATCH(4,样本到样信息汇总统计!$Y$2:$Y$500,0)),"")</f>
        <v/>
      </c>
      <c r="I5" s="8" t="str">
        <f>IFERROR(INDEX(样本到样信息汇总统计!I$2:I$500,MATCH(4,样本到样信息汇总统计!$Y$2:$Y$500,0)),"")</f>
        <v/>
      </c>
      <c r="J5" s="8" t="str">
        <f>IFERROR(INDEX(样本到样信息汇总统计!J$2:J$500,MATCH(4,样本到样信息汇总统计!$Y$2:$Y$500,0)),"")</f>
        <v/>
      </c>
      <c r="K5" s="8" t="str">
        <f>IFERROR(INDEX(样本到样信息汇总统计!K$2:K$500,MATCH(4,样本到样信息汇总统计!$Y$2:$Y$500,0)),"")</f>
        <v/>
      </c>
      <c r="L5" s="8" t="str">
        <f>IFERROR(INDEX(样本到样信息汇总统计!L$2:L$500,MATCH(4,样本到样信息汇总统计!$Y$2:$Y$500,0)),"")</f>
        <v/>
      </c>
      <c r="M5" s="8" t="str">
        <f>IFERROR(INDEX(样本到样信息汇总统计!M$2:M$500,MATCH(4,样本到样信息汇总统计!$Y$2:$Y$500,0)),"")</f>
        <v/>
      </c>
      <c r="N5" s="8" t="str">
        <f>IFERROR(INDEX(样本到样信息汇总统计!N$2:N$500,MATCH(4,样本到样信息汇总统计!$Y$2:$Y$500,0)),"")</f>
        <v/>
      </c>
      <c r="O5" s="8" t="str">
        <f>IFERROR(INDEX(样本到样信息汇总统计!O$2:O$500,MATCH(4,样本到样信息汇总统计!$Y$2:$Y$500,0)),"")</f>
        <v/>
      </c>
      <c r="P5" s="8" t="str">
        <f>IFERROR(INDEX(样本到样信息汇总统计!P$2:P$500,MATCH(4,样本到样信息汇总统计!$Y$2:$Y$500,0)),"")</f>
        <v/>
      </c>
      <c r="Q5" s="8" t="str">
        <f>IFERROR(INDEX(样本到样信息汇总统计!Q$2:Q$500,MATCH(4,样本到样信息汇总统计!$Y$2:$Y$500,0)),"")</f>
        <v/>
      </c>
      <c r="R5" s="8" t="str">
        <f>IFERROR(INDEX(样本到样信息汇总统计!R$2:R$500,MATCH(4,样本到样信息汇总统计!$Y$2:$Y$500,0)),"")</f>
        <v/>
      </c>
      <c r="S5" s="8" t="str">
        <f>IFERROR(INDEX(样本到样信息汇总统计!S$2:S$500,MATCH(4,样本到样信息汇总统计!$Y$2:$Y$500,0)),"")</f>
        <v/>
      </c>
      <c r="T5" s="8" t="str">
        <f>IFERROR(INDEX(样本到样信息汇总统计!T$2:T$500,MATCH(4,样本到样信息汇总统计!$Y$2:$Y$500,0)),"")</f>
        <v/>
      </c>
      <c r="U5" s="8" t="str">
        <f>IFERROR(INDEX(样本到样信息汇总统计!U$2:U$500,MATCH(4,样本到样信息汇总统计!$Y$2:$Y$500,0)),"")</f>
        <v/>
      </c>
      <c r="V5" s="8" t="str">
        <f>IFERROR(INDEX(样本到样信息汇总统计!V$2:V$500,MATCH(4,样本到样信息汇总统计!$Y$2:$Y$500,0)),"")</f>
        <v/>
      </c>
      <c r="W5" s="8" t="str">
        <f>IFERROR(INDEX(样本到样信息汇总统计!W$2:W$500,MATCH(4,样本到样信息汇总统计!$Y$2:$Y$500,0)),"")</f>
        <v/>
      </c>
    </row>
    <row r="6" ht="21.75" customHeight="1" spans="1:23">
      <c r="A6" s="4" t="str">
        <f>IFERROR(INDEX(样本到样信息汇总统计!A$2:A$500,MATCH(5,样本到样信息汇总统计!$Y$2:$Y$500,0)),"")</f>
        <v/>
      </c>
      <c r="B6" s="4" t="str">
        <f>IFERROR(INDEX(样本到样信息汇总统计!B$2:B$500,MATCH(5,样本到样信息汇总统计!$Y$2:$Y$500,0)),"")</f>
        <v/>
      </c>
      <c r="C6" s="4" t="str">
        <f>IFERROR(INDEX(样本到样信息汇总统计!C$2:C$500,MATCH(5,样本到样信息汇总统计!$Y$2:$Y$500,0)),"")</f>
        <v/>
      </c>
      <c r="D6" s="4" t="str">
        <f>IFERROR(INDEX(样本到样信息汇总统计!D$2:D$500,MATCH(5,样本到样信息汇总统计!$Y$2:$Y$500,0)),"")</f>
        <v/>
      </c>
      <c r="E6" s="4" t="str">
        <f>IFERROR(INDEX(样本到样信息汇总统计!E$2:E$500,MATCH(5,样本到样信息汇总统计!$Y$2:$Y$500,0)),"")</f>
        <v/>
      </c>
      <c r="F6" s="4" t="str">
        <f>IFERROR(INDEX(样本到样信息汇总统计!F$2:F$500,MATCH(5,样本到样信息汇总统计!$Y$2:$Y$500,0)),"")</f>
        <v/>
      </c>
      <c r="G6" s="4" t="str">
        <f>IFERROR(INDEX(样本到样信息汇总统计!G$2:G$500,MATCH(5,样本到样信息汇总统计!$Y$2:$Y$500,0)),"")</f>
        <v/>
      </c>
      <c r="H6" s="4" t="str">
        <f>IFERROR(INDEX(样本到样信息汇总统计!H$2:H$500,MATCH(5,样本到样信息汇总统计!$Y$2:$Y$500,0)),"")</f>
        <v/>
      </c>
      <c r="I6" s="4" t="str">
        <f>IFERROR(INDEX(样本到样信息汇总统计!I$2:I$500,MATCH(5,样本到样信息汇总统计!$Y$2:$Y$500,0)),"")</f>
        <v/>
      </c>
      <c r="J6" s="4" t="str">
        <f>IFERROR(INDEX(样本到样信息汇总统计!J$2:J$500,MATCH(5,样本到样信息汇总统计!$Y$2:$Y$500,0)),"")</f>
        <v/>
      </c>
      <c r="K6" s="4" t="str">
        <f>IFERROR(INDEX(样本到样信息汇总统计!K$2:K$500,MATCH(5,样本到样信息汇总统计!$Y$2:$Y$500,0)),"")</f>
        <v/>
      </c>
      <c r="L6" s="4" t="str">
        <f>IFERROR(INDEX(样本到样信息汇总统计!L$2:L$500,MATCH(5,样本到样信息汇总统计!$Y$2:$Y$500,0)),"")</f>
        <v/>
      </c>
      <c r="M6" s="4" t="str">
        <f>IFERROR(INDEX(样本到样信息汇总统计!M$2:M$500,MATCH(5,样本到样信息汇总统计!$Y$2:$Y$500,0)),"")</f>
        <v/>
      </c>
      <c r="N6" s="4" t="str">
        <f>IFERROR(INDEX(样本到样信息汇总统计!N$2:N$500,MATCH(5,样本到样信息汇总统计!$Y$2:$Y$500,0)),"")</f>
        <v/>
      </c>
      <c r="O6" s="4" t="str">
        <f>IFERROR(INDEX(样本到样信息汇总统计!O$2:O$500,MATCH(5,样本到样信息汇总统计!$Y$2:$Y$500,0)),"")</f>
        <v/>
      </c>
      <c r="P6" s="4" t="str">
        <f>IFERROR(INDEX(样本到样信息汇总统计!P$2:P$500,MATCH(5,样本到样信息汇总统计!$Y$2:$Y$500,0)),"")</f>
        <v/>
      </c>
      <c r="Q6" s="4" t="str">
        <f>IFERROR(INDEX(样本到样信息汇总统计!Q$2:Q$500,MATCH(5,样本到样信息汇总统计!$Y$2:$Y$500,0)),"")</f>
        <v/>
      </c>
      <c r="R6" s="4" t="str">
        <f>IFERROR(INDEX(样本到样信息汇总统计!R$2:R$500,MATCH(5,样本到样信息汇总统计!$Y$2:$Y$500,0)),"")</f>
        <v/>
      </c>
      <c r="S6" s="4" t="str">
        <f>IFERROR(INDEX(样本到样信息汇总统计!S$2:S$500,MATCH(5,样本到样信息汇总统计!$Y$2:$Y$500,0)),"")</f>
        <v/>
      </c>
      <c r="T6" s="4" t="str">
        <f>IFERROR(INDEX(样本到样信息汇总统计!T$2:T$500,MATCH(5,样本到样信息汇总统计!$Y$2:$Y$500,0)),"")</f>
        <v/>
      </c>
      <c r="U6" s="4" t="str">
        <f>IFERROR(INDEX(样本到样信息汇总统计!U$2:U$500,MATCH(5,样本到样信息汇总统计!$Y$2:$Y$500,0)),"")</f>
        <v/>
      </c>
      <c r="V6" s="4" t="str">
        <f>IFERROR(INDEX(样本到样信息汇总统计!V$2:V$500,MATCH(5,样本到样信息汇总统计!$Y$2:$Y$500,0)),"")</f>
        <v/>
      </c>
      <c r="W6" s="4" t="str">
        <f>IFERROR(INDEX(样本到样信息汇总统计!W$2:W$500,MATCH(5,样本到样信息汇总统计!$Y$2:$Y$500,0)),"")</f>
        <v/>
      </c>
    </row>
    <row r="7" ht="21.75" customHeight="1" spans="1:23">
      <c r="A7" s="8" t="str">
        <f>IFERROR(INDEX(样本到样信息汇总统计!A$2:A$500,MATCH(6,样本到样信息汇总统计!$Y$2:$Y$500,0)),"")</f>
        <v/>
      </c>
      <c r="B7" s="8" t="str">
        <f>IFERROR(INDEX(样本到样信息汇总统计!B$2:B$500,MATCH(6,样本到样信息汇总统计!$Y$2:$Y$500,0)),"")</f>
        <v/>
      </c>
      <c r="C7" s="8" t="str">
        <f>IFERROR(INDEX(样本到样信息汇总统计!C$2:C$500,MATCH(6,样本到样信息汇总统计!$Y$2:$Y$500,0)),"")</f>
        <v/>
      </c>
      <c r="D7" s="8" t="str">
        <f>IFERROR(INDEX(样本到样信息汇总统计!D$2:D$500,MATCH(6,样本到样信息汇总统计!$Y$2:$Y$500,0)),"")</f>
        <v/>
      </c>
      <c r="E7" s="8" t="str">
        <f>IFERROR(INDEX(样本到样信息汇总统计!E$2:E$500,MATCH(6,样本到样信息汇总统计!$Y$2:$Y$500,0)),"")</f>
        <v/>
      </c>
      <c r="F7" s="8" t="str">
        <f>IFERROR(INDEX(样本到样信息汇总统计!F$2:F$500,MATCH(6,样本到样信息汇总统计!$Y$2:$Y$500,0)),"")</f>
        <v/>
      </c>
      <c r="G7" s="8" t="str">
        <f>IFERROR(INDEX(样本到样信息汇总统计!G$2:G$500,MATCH(6,样本到样信息汇总统计!$Y$2:$Y$500,0)),"")</f>
        <v/>
      </c>
      <c r="H7" s="8" t="str">
        <f>IFERROR(INDEX(样本到样信息汇总统计!H$2:H$500,MATCH(6,样本到样信息汇总统计!$Y$2:$Y$500,0)),"")</f>
        <v/>
      </c>
      <c r="I7" s="8" t="str">
        <f>IFERROR(INDEX(样本到样信息汇总统计!I$2:I$500,MATCH(6,样本到样信息汇总统计!$Y$2:$Y$500,0)),"")</f>
        <v/>
      </c>
      <c r="J7" s="8" t="str">
        <f>IFERROR(INDEX(样本到样信息汇总统计!J$2:J$500,MATCH(6,样本到样信息汇总统计!$Y$2:$Y$500,0)),"")</f>
        <v/>
      </c>
      <c r="K7" s="8" t="str">
        <f>IFERROR(INDEX(样本到样信息汇总统计!K$2:K$500,MATCH(6,样本到样信息汇总统计!$Y$2:$Y$500,0)),"")</f>
        <v/>
      </c>
      <c r="L7" s="8" t="str">
        <f>IFERROR(INDEX(样本到样信息汇总统计!L$2:L$500,MATCH(6,样本到样信息汇总统计!$Y$2:$Y$500,0)),"")</f>
        <v/>
      </c>
      <c r="M7" s="8" t="str">
        <f>IFERROR(INDEX(样本到样信息汇总统计!M$2:M$500,MATCH(6,样本到样信息汇总统计!$Y$2:$Y$500,0)),"")</f>
        <v/>
      </c>
      <c r="N7" s="8" t="str">
        <f>IFERROR(INDEX(样本到样信息汇总统计!N$2:N$500,MATCH(6,样本到样信息汇总统计!$Y$2:$Y$500,0)),"")</f>
        <v/>
      </c>
      <c r="O7" s="8" t="str">
        <f>IFERROR(INDEX(样本到样信息汇总统计!O$2:O$500,MATCH(6,样本到样信息汇总统计!$Y$2:$Y$500,0)),"")</f>
        <v/>
      </c>
      <c r="P7" s="8" t="str">
        <f>IFERROR(INDEX(样本到样信息汇总统计!P$2:P$500,MATCH(6,样本到样信息汇总统计!$Y$2:$Y$500,0)),"")</f>
        <v/>
      </c>
      <c r="Q7" s="8" t="str">
        <f>IFERROR(INDEX(样本到样信息汇总统计!Q$2:Q$500,MATCH(6,样本到样信息汇总统计!$Y$2:$Y$500,0)),"")</f>
        <v/>
      </c>
      <c r="R7" s="8" t="str">
        <f>IFERROR(INDEX(样本到样信息汇总统计!R$2:R$500,MATCH(6,样本到样信息汇总统计!$Y$2:$Y$500,0)),"")</f>
        <v/>
      </c>
      <c r="S7" s="8" t="str">
        <f>IFERROR(INDEX(样本到样信息汇总统计!S$2:S$500,MATCH(6,样本到样信息汇总统计!$Y$2:$Y$500,0)),"")</f>
        <v/>
      </c>
      <c r="T7" s="8" t="str">
        <f>IFERROR(INDEX(样本到样信息汇总统计!T$2:T$500,MATCH(6,样本到样信息汇总统计!$Y$2:$Y$500,0)),"")</f>
        <v/>
      </c>
      <c r="U7" s="8" t="str">
        <f>IFERROR(INDEX(样本到样信息汇总统计!U$2:U$500,MATCH(6,样本到样信息汇总统计!$Y$2:$Y$500,0)),"")</f>
        <v/>
      </c>
      <c r="V7" s="8" t="str">
        <f>IFERROR(INDEX(样本到样信息汇总统计!V$2:V$500,MATCH(6,样本到样信息汇总统计!$Y$2:$Y$500,0)),"")</f>
        <v/>
      </c>
      <c r="W7" s="8" t="str">
        <f>IFERROR(INDEX(样本到样信息汇总统计!W$2:W$500,MATCH(6,样本到样信息汇总统计!$Y$2:$Y$500,0)),"")</f>
        <v/>
      </c>
    </row>
    <row r="8" ht="21.75" customHeight="1" spans="1:23">
      <c r="A8" s="4" t="str">
        <f>IFERROR(INDEX(样本到样信息汇总统计!A$2:A$500,MATCH(7,样本到样信息汇总统计!$Y$2:$Y$500,0)),"")</f>
        <v/>
      </c>
      <c r="B8" s="4" t="str">
        <f>IFERROR(INDEX(样本到样信息汇总统计!B$2:B$500,MATCH(7,样本到样信息汇总统计!$Y$2:$Y$500,0)),"")</f>
        <v/>
      </c>
      <c r="C8" s="4" t="str">
        <f>IFERROR(INDEX(样本到样信息汇总统计!C$2:C$500,MATCH(7,样本到样信息汇总统计!$Y$2:$Y$500,0)),"")</f>
        <v/>
      </c>
      <c r="D8" s="4" t="str">
        <f>IFERROR(INDEX(样本到样信息汇总统计!D$2:D$500,MATCH(7,样本到样信息汇总统计!$Y$2:$Y$500,0)),"")</f>
        <v/>
      </c>
      <c r="E8" s="4" t="str">
        <f>IFERROR(INDEX(样本到样信息汇总统计!E$2:E$500,MATCH(7,样本到样信息汇总统计!$Y$2:$Y$500,0)),"")</f>
        <v/>
      </c>
      <c r="F8" s="4" t="str">
        <f>IFERROR(INDEX(样本到样信息汇总统计!F$2:F$500,MATCH(7,样本到样信息汇总统计!$Y$2:$Y$500,0)),"")</f>
        <v/>
      </c>
      <c r="G8" s="4" t="str">
        <f>IFERROR(INDEX(样本到样信息汇总统计!G$2:G$500,MATCH(7,样本到样信息汇总统计!$Y$2:$Y$500,0)),"")</f>
        <v/>
      </c>
      <c r="H8" s="4" t="str">
        <f>IFERROR(INDEX(样本到样信息汇总统计!H$2:H$500,MATCH(7,样本到样信息汇总统计!$Y$2:$Y$500,0)),"")</f>
        <v/>
      </c>
      <c r="I8" s="4" t="str">
        <f>IFERROR(INDEX(样本到样信息汇总统计!I$2:I$500,MATCH(7,样本到样信息汇总统计!$Y$2:$Y$500,0)),"")</f>
        <v/>
      </c>
      <c r="J8" s="4" t="str">
        <f>IFERROR(INDEX(样本到样信息汇总统计!J$2:J$500,MATCH(7,样本到样信息汇总统计!$Y$2:$Y$500,0)),"")</f>
        <v/>
      </c>
      <c r="K8" s="4" t="str">
        <f>IFERROR(INDEX(样本到样信息汇总统计!K$2:K$500,MATCH(7,样本到样信息汇总统计!$Y$2:$Y$500,0)),"")</f>
        <v/>
      </c>
      <c r="L8" s="4" t="str">
        <f>IFERROR(INDEX(样本到样信息汇总统计!L$2:L$500,MATCH(7,样本到样信息汇总统计!$Y$2:$Y$500,0)),"")</f>
        <v/>
      </c>
      <c r="M8" s="4" t="str">
        <f>IFERROR(INDEX(样本到样信息汇总统计!M$2:M$500,MATCH(7,样本到样信息汇总统计!$Y$2:$Y$500,0)),"")</f>
        <v/>
      </c>
      <c r="N8" s="4" t="str">
        <f>IFERROR(INDEX(样本到样信息汇总统计!N$2:N$500,MATCH(7,样本到样信息汇总统计!$Y$2:$Y$500,0)),"")</f>
        <v/>
      </c>
      <c r="O8" s="4" t="str">
        <f>IFERROR(INDEX(样本到样信息汇总统计!O$2:O$500,MATCH(7,样本到样信息汇总统计!$Y$2:$Y$500,0)),"")</f>
        <v/>
      </c>
      <c r="P8" s="4" t="str">
        <f>IFERROR(INDEX(样本到样信息汇总统计!P$2:P$500,MATCH(7,样本到样信息汇总统计!$Y$2:$Y$500,0)),"")</f>
        <v/>
      </c>
      <c r="Q8" s="4" t="str">
        <f>IFERROR(INDEX(样本到样信息汇总统计!Q$2:Q$500,MATCH(7,样本到样信息汇总统计!$Y$2:$Y$500,0)),"")</f>
        <v/>
      </c>
      <c r="R8" s="4" t="str">
        <f>IFERROR(INDEX(样本到样信息汇总统计!R$2:R$500,MATCH(7,样本到样信息汇总统计!$Y$2:$Y$500,0)),"")</f>
        <v/>
      </c>
      <c r="S8" s="4" t="str">
        <f>IFERROR(INDEX(样本到样信息汇总统计!S$2:S$500,MATCH(7,样本到样信息汇总统计!$Y$2:$Y$500,0)),"")</f>
        <v/>
      </c>
      <c r="T8" s="4" t="str">
        <f>IFERROR(INDEX(样本到样信息汇总统计!T$2:T$500,MATCH(7,样本到样信息汇总统计!$Y$2:$Y$500,0)),"")</f>
        <v/>
      </c>
      <c r="U8" s="4" t="str">
        <f>IFERROR(INDEX(样本到样信息汇总统计!U$2:U$500,MATCH(7,样本到样信息汇总统计!$Y$2:$Y$500,0)),"")</f>
        <v/>
      </c>
      <c r="V8" s="4" t="str">
        <f>IFERROR(INDEX(样本到样信息汇总统计!V$2:V$500,MATCH(7,样本到样信息汇总统计!$Y$2:$Y$500,0)),"")</f>
        <v/>
      </c>
      <c r="W8" s="4" t="str">
        <f>IFERROR(INDEX(样本到样信息汇总统计!W$2:W$500,MATCH(7,样本到样信息汇总统计!$Y$2:$Y$500,0)),"")</f>
        <v/>
      </c>
    </row>
    <row r="9" ht="21.75" customHeight="1" spans="1:23">
      <c r="A9" s="8" t="str">
        <f>IFERROR(INDEX(样本到样信息汇总统计!A$2:A$500,MATCH(8,样本到样信息汇总统计!$Y$2:$Y$500,0)),"")</f>
        <v/>
      </c>
      <c r="B9" s="8" t="str">
        <f>IFERROR(INDEX(样本到样信息汇总统计!B$2:B$500,MATCH(8,样本到样信息汇总统计!$Y$2:$Y$500,0)),"")</f>
        <v/>
      </c>
      <c r="C9" s="8" t="str">
        <f>IFERROR(INDEX(样本到样信息汇总统计!C$2:C$500,MATCH(8,样本到样信息汇总统计!$Y$2:$Y$500,0)),"")</f>
        <v/>
      </c>
      <c r="D9" s="8" t="str">
        <f>IFERROR(INDEX(样本到样信息汇总统计!D$2:D$500,MATCH(8,样本到样信息汇总统计!$Y$2:$Y$500,0)),"")</f>
        <v/>
      </c>
      <c r="E9" s="8" t="str">
        <f>IFERROR(INDEX(样本到样信息汇总统计!E$2:E$500,MATCH(8,样本到样信息汇总统计!$Y$2:$Y$500,0)),"")</f>
        <v/>
      </c>
      <c r="F9" s="8" t="str">
        <f>IFERROR(INDEX(样本到样信息汇总统计!F$2:F$500,MATCH(8,样本到样信息汇总统计!$Y$2:$Y$500,0)),"")</f>
        <v/>
      </c>
      <c r="G9" s="8" t="str">
        <f>IFERROR(INDEX(样本到样信息汇总统计!G$2:G$500,MATCH(8,样本到样信息汇总统计!$Y$2:$Y$500,0)),"")</f>
        <v/>
      </c>
      <c r="H9" s="8" t="str">
        <f>IFERROR(INDEX(样本到样信息汇总统计!H$2:H$500,MATCH(8,样本到样信息汇总统计!$Y$2:$Y$500,0)),"")</f>
        <v/>
      </c>
      <c r="I9" s="8" t="str">
        <f>IFERROR(INDEX(样本到样信息汇总统计!I$2:I$500,MATCH(8,样本到样信息汇总统计!$Y$2:$Y$500,0)),"")</f>
        <v/>
      </c>
      <c r="J9" s="8" t="str">
        <f>IFERROR(INDEX(样本到样信息汇总统计!J$2:J$500,MATCH(8,样本到样信息汇总统计!$Y$2:$Y$500,0)),"")</f>
        <v/>
      </c>
      <c r="K9" s="8" t="str">
        <f>IFERROR(INDEX(样本到样信息汇总统计!K$2:K$500,MATCH(8,样本到样信息汇总统计!$Y$2:$Y$500,0)),"")</f>
        <v/>
      </c>
      <c r="L9" s="8" t="str">
        <f>IFERROR(INDEX(样本到样信息汇总统计!L$2:L$500,MATCH(8,样本到样信息汇总统计!$Y$2:$Y$500,0)),"")</f>
        <v/>
      </c>
      <c r="M9" s="8" t="str">
        <f>IFERROR(INDEX(样本到样信息汇总统计!M$2:M$500,MATCH(8,样本到样信息汇总统计!$Y$2:$Y$500,0)),"")</f>
        <v/>
      </c>
      <c r="N9" s="8" t="str">
        <f>IFERROR(INDEX(样本到样信息汇总统计!N$2:N$500,MATCH(8,样本到样信息汇总统计!$Y$2:$Y$500,0)),"")</f>
        <v/>
      </c>
      <c r="O9" s="8" t="str">
        <f>IFERROR(INDEX(样本到样信息汇总统计!O$2:O$500,MATCH(8,样本到样信息汇总统计!$Y$2:$Y$500,0)),"")</f>
        <v/>
      </c>
      <c r="P9" s="8" t="str">
        <f>IFERROR(INDEX(样本到样信息汇总统计!P$2:P$500,MATCH(8,样本到样信息汇总统计!$Y$2:$Y$500,0)),"")</f>
        <v/>
      </c>
      <c r="Q9" s="8" t="str">
        <f>IFERROR(INDEX(样本到样信息汇总统计!Q$2:Q$500,MATCH(8,样本到样信息汇总统计!$Y$2:$Y$500,0)),"")</f>
        <v/>
      </c>
      <c r="R9" s="8" t="str">
        <f>IFERROR(INDEX(样本到样信息汇总统计!R$2:R$500,MATCH(8,样本到样信息汇总统计!$Y$2:$Y$500,0)),"")</f>
        <v/>
      </c>
      <c r="S9" s="8" t="str">
        <f>IFERROR(INDEX(样本到样信息汇总统计!S$2:S$500,MATCH(8,样本到样信息汇总统计!$Y$2:$Y$500,0)),"")</f>
        <v/>
      </c>
      <c r="T9" s="8" t="str">
        <f>IFERROR(INDEX(样本到样信息汇总统计!T$2:T$500,MATCH(8,样本到样信息汇总统计!$Y$2:$Y$500,0)),"")</f>
        <v/>
      </c>
      <c r="U9" s="8" t="str">
        <f>IFERROR(INDEX(样本到样信息汇总统计!U$2:U$500,MATCH(8,样本到样信息汇总统计!$Y$2:$Y$500,0)),"")</f>
        <v/>
      </c>
      <c r="V9" s="8" t="str">
        <f>IFERROR(INDEX(样本到样信息汇总统计!V$2:V$500,MATCH(8,样本到样信息汇总统计!$Y$2:$Y$500,0)),"")</f>
        <v/>
      </c>
      <c r="W9" s="8" t="str">
        <f>IFERROR(INDEX(样本到样信息汇总统计!W$2:W$500,MATCH(8,样本到样信息汇总统计!$Y$2:$Y$500,0)),"")</f>
        <v/>
      </c>
    </row>
    <row r="10" ht="21.75" customHeight="1" spans="1:23">
      <c r="A10" s="4" t="str">
        <f>IFERROR(INDEX(样本到样信息汇总统计!A$2:A$500,MATCH(9,样本到样信息汇总统计!$Y$2:$Y$500,0)),"")</f>
        <v/>
      </c>
      <c r="B10" s="4" t="str">
        <f>IFERROR(INDEX(样本到样信息汇总统计!B$2:B$500,MATCH(9,样本到样信息汇总统计!$Y$2:$Y$500,0)),"")</f>
        <v/>
      </c>
      <c r="C10" s="4" t="str">
        <f>IFERROR(INDEX(样本到样信息汇总统计!C$2:C$500,MATCH(9,样本到样信息汇总统计!$Y$2:$Y$500,0)),"")</f>
        <v/>
      </c>
      <c r="D10" s="4" t="str">
        <f>IFERROR(INDEX(样本到样信息汇总统计!D$2:D$500,MATCH(9,样本到样信息汇总统计!$Y$2:$Y$500,0)),"")</f>
        <v/>
      </c>
      <c r="E10" s="4" t="str">
        <f>IFERROR(INDEX(样本到样信息汇总统计!E$2:E$500,MATCH(9,样本到样信息汇总统计!$Y$2:$Y$500,0)),"")</f>
        <v/>
      </c>
      <c r="F10" s="4" t="str">
        <f>IFERROR(INDEX(样本到样信息汇总统计!F$2:F$500,MATCH(9,样本到样信息汇总统计!$Y$2:$Y$500,0)),"")</f>
        <v/>
      </c>
      <c r="G10" s="4" t="str">
        <f>IFERROR(INDEX(样本到样信息汇总统计!G$2:G$500,MATCH(9,样本到样信息汇总统计!$Y$2:$Y$500,0)),"")</f>
        <v/>
      </c>
      <c r="H10" s="4" t="str">
        <f>IFERROR(INDEX(样本到样信息汇总统计!H$2:H$500,MATCH(9,样本到样信息汇总统计!$Y$2:$Y$500,0)),"")</f>
        <v/>
      </c>
      <c r="I10" s="4" t="str">
        <f>IFERROR(INDEX(样本到样信息汇总统计!I$2:I$500,MATCH(9,样本到样信息汇总统计!$Y$2:$Y$500,0)),"")</f>
        <v/>
      </c>
      <c r="J10" s="4" t="str">
        <f>IFERROR(INDEX(样本到样信息汇总统计!J$2:J$500,MATCH(9,样本到样信息汇总统计!$Y$2:$Y$500,0)),"")</f>
        <v/>
      </c>
      <c r="K10" s="4" t="str">
        <f>IFERROR(INDEX(样本到样信息汇总统计!K$2:K$500,MATCH(9,样本到样信息汇总统计!$Y$2:$Y$500,0)),"")</f>
        <v/>
      </c>
      <c r="L10" s="4" t="str">
        <f>IFERROR(INDEX(样本到样信息汇总统计!L$2:L$500,MATCH(9,样本到样信息汇总统计!$Y$2:$Y$500,0)),"")</f>
        <v/>
      </c>
      <c r="M10" s="4" t="str">
        <f>IFERROR(INDEX(样本到样信息汇总统计!M$2:M$500,MATCH(9,样本到样信息汇总统计!$Y$2:$Y$500,0)),"")</f>
        <v/>
      </c>
      <c r="N10" s="4" t="str">
        <f>IFERROR(INDEX(样本到样信息汇总统计!N$2:N$500,MATCH(9,样本到样信息汇总统计!$Y$2:$Y$500,0)),"")</f>
        <v/>
      </c>
      <c r="O10" s="4" t="str">
        <f>IFERROR(INDEX(样本到样信息汇总统计!O$2:O$500,MATCH(9,样本到样信息汇总统计!$Y$2:$Y$500,0)),"")</f>
        <v/>
      </c>
      <c r="P10" s="4" t="str">
        <f>IFERROR(INDEX(样本到样信息汇总统计!P$2:P$500,MATCH(9,样本到样信息汇总统计!$Y$2:$Y$500,0)),"")</f>
        <v/>
      </c>
      <c r="Q10" s="4" t="str">
        <f>IFERROR(INDEX(样本到样信息汇总统计!Q$2:Q$500,MATCH(9,样本到样信息汇总统计!$Y$2:$Y$500,0)),"")</f>
        <v/>
      </c>
      <c r="R10" s="4" t="str">
        <f>IFERROR(INDEX(样本到样信息汇总统计!R$2:R$500,MATCH(9,样本到样信息汇总统计!$Y$2:$Y$500,0)),"")</f>
        <v/>
      </c>
      <c r="S10" s="4" t="str">
        <f>IFERROR(INDEX(样本到样信息汇总统计!S$2:S$500,MATCH(9,样本到样信息汇总统计!$Y$2:$Y$500,0)),"")</f>
        <v/>
      </c>
      <c r="T10" s="4" t="str">
        <f>IFERROR(INDEX(样本到样信息汇总统计!T$2:T$500,MATCH(9,样本到样信息汇总统计!$Y$2:$Y$500,0)),"")</f>
        <v/>
      </c>
      <c r="U10" s="4" t="str">
        <f>IFERROR(INDEX(样本到样信息汇总统计!U$2:U$500,MATCH(9,样本到样信息汇总统计!$Y$2:$Y$500,0)),"")</f>
        <v/>
      </c>
      <c r="V10" s="4" t="str">
        <f>IFERROR(INDEX(样本到样信息汇总统计!V$2:V$500,MATCH(9,样本到样信息汇总统计!$Y$2:$Y$500,0)),"")</f>
        <v/>
      </c>
      <c r="W10" s="4" t="str">
        <f>IFERROR(INDEX(样本到样信息汇总统计!W$2:W$500,MATCH(9,样本到样信息汇总统计!$Y$2:$Y$500,0)),"")</f>
        <v/>
      </c>
    </row>
    <row r="11" ht="21.75" customHeight="1" spans="1:23">
      <c r="A11" s="8" t="str">
        <f>IFERROR(INDEX(样本到样信息汇总统计!A$2:A$500,MATCH(10,样本到样信息汇总统计!$Y$2:$Y$500,0)),"")</f>
        <v/>
      </c>
      <c r="B11" s="8" t="str">
        <f>IFERROR(INDEX(样本到样信息汇总统计!B$2:B$500,MATCH(10,样本到样信息汇总统计!$Y$2:$Y$500,0)),"")</f>
        <v/>
      </c>
      <c r="C11" s="8" t="str">
        <f>IFERROR(INDEX(样本到样信息汇总统计!C$2:C$500,MATCH(10,样本到样信息汇总统计!$Y$2:$Y$500,0)),"")</f>
        <v/>
      </c>
      <c r="D11" s="8" t="str">
        <f>IFERROR(INDEX(样本到样信息汇总统计!D$2:D$500,MATCH(10,样本到样信息汇总统计!$Y$2:$Y$500,0)),"")</f>
        <v/>
      </c>
      <c r="E11" s="8" t="str">
        <f>IFERROR(INDEX(样本到样信息汇总统计!E$2:E$500,MATCH(10,样本到样信息汇总统计!$Y$2:$Y$500,0)),"")</f>
        <v/>
      </c>
      <c r="F11" s="8" t="str">
        <f>IFERROR(INDEX(样本到样信息汇总统计!F$2:F$500,MATCH(10,样本到样信息汇总统计!$Y$2:$Y$500,0)),"")</f>
        <v/>
      </c>
      <c r="G11" s="8" t="str">
        <f>IFERROR(INDEX(样本到样信息汇总统计!G$2:G$500,MATCH(10,样本到样信息汇总统计!$Y$2:$Y$500,0)),"")</f>
        <v/>
      </c>
      <c r="H11" s="8" t="str">
        <f>IFERROR(INDEX(样本到样信息汇总统计!H$2:H$500,MATCH(10,样本到样信息汇总统计!$Y$2:$Y$500,0)),"")</f>
        <v/>
      </c>
      <c r="I11" s="8" t="str">
        <f>IFERROR(INDEX(样本到样信息汇总统计!I$2:I$500,MATCH(10,样本到样信息汇总统计!$Y$2:$Y$500,0)),"")</f>
        <v/>
      </c>
      <c r="J11" s="8" t="str">
        <f>IFERROR(INDEX(样本到样信息汇总统计!J$2:J$500,MATCH(10,样本到样信息汇总统计!$Y$2:$Y$500,0)),"")</f>
        <v/>
      </c>
      <c r="K11" s="8" t="str">
        <f>IFERROR(INDEX(样本到样信息汇总统计!K$2:K$500,MATCH(10,样本到样信息汇总统计!$Y$2:$Y$500,0)),"")</f>
        <v/>
      </c>
      <c r="L11" s="8" t="str">
        <f>IFERROR(INDEX(样本到样信息汇总统计!L$2:L$500,MATCH(10,样本到样信息汇总统计!$Y$2:$Y$500,0)),"")</f>
        <v/>
      </c>
      <c r="M11" s="8" t="str">
        <f>IFERROR(INDEX(样本到样信息汇总统计!M$2:M$500,MATCH(10,样本到样信息汇总统计!$Y$2:$Y$500,0)),"")</f>
        <v/>
      </c>
      <c r="N11" s="8" t="str">
        <f>IFERROR(INDEX(样本到样信息汇总统计!N$2:N$500,MATCH(10,样本到样信息汇总统计!$Y$2:$Y$500,0)),"")</f>
        <v/>
      </c>
      <c r="O11" s="8" t="str">
        <f>IFERROR(INDEX(样本到样信息汇总统计!O$2:O$500,MATCH(10,样本到样信息汇总统计!$Y$2:$Y$500,0)),"")</f>
        <v/>
      </c>
      <c r="P11" s="8" t="str">
        <f>IFERROR(INDEX(样本到样信息汇总统计!P$2:P$500,MATCH(10,样本到样信息汇总统计!$Y$2:$Y$500,0)),"")</f>
        <v/>
      </c>
      <c r="Q11" s="8" t="str">
        <f>IFERROR(INDEX(样本到样信息汇总统计!Q$2:Q$500,MATCH(10,样本到样信息汇总统计!$Y$2:$Y$500,0)),"")</f>
        <v/>
      </c>
      <c r="R11" s="8" t="str">
        <f>IFERROR(INDEX(样本到样信息汇总统计!R$2:R$500,MATCH(10,样本到样信息汇总统计!$Y$2:$Y$500,0)),"")</f>
        <v/>
      </c>
      <c r="S11" s="8" t="str">
        <f>IFERROR(INDEX(样本到样信息汇总统计!S$2:S$500,MATCH(10,样本到样信息汇总统计!$Y$2:$Y$500,0)),"")</f>
        <v/>
      </c>
      <c r="T11" s="8" t="str">
        <f>IFERROR(INDEX(样本到样信息汇总统计!T$2:T$500,MATCH(10,样本到样信息汇总统计!$Y$2:$Y$500,0)),"")</f>
        <v/>
      </c>
      <c r="U11" s="8" t="str">
        <f>IFERROR(INDEX(样本到样信息汇总统计!U$2:U$500,MATCH(10,样本到样信息汇总统计!$Y$2:$Y$500,0)),"")</f>
        <v/>
      </c>
      <c r="V11" s="8" t="str">
        <f>IFERROR(INDEX(样本到样信息汇总统计!V$2:V$500,MATCH(10,样本到样信息汇总统计!$Y$2:$Y$500,0)),"")</f>
        <v/>
      </c>
      <c r="W11" s="8" t="str">
        <f>IFERROR(INDEX(样本到样信息汇总统计!W$2:W$500,MATCH(10,样本到样信息汇总统计!$Y$2:$Y$500,0)),"")</f>
        <v/>
      </c>
    </row>
    <row r="12" ht="21.75" customHeight="1" spans="1:23">
      <c r="A12" s="4" t="str">
        <f>IFERROR(INDEX(样本到样信息汇总统计!A$2:A$500,MATCH(11,样本到样信息汇总统计!$Y$2:$Y$500,0)),"")</f>
        <v/>
      </c>
      <c r="B12" s="4" t="str">
        <f>IFERROR(INDEX(样本到样信息汇总统计!B$2:B$500,MATCH(11,样本到样信息汇总统计!$Y$2:$Y$500,0)),"")</f>
        <v/>
      </c>
      <c r="C12" s="4" t="str">
        <f>IFERROR(INDEX(样本到样信息汇总统计!C$2:C$500,MATCH(11,样本到样信息汇总统计!$Y$2:$Y$500,0)),"")</f>
        <v/>
      </c>
      <c r="D12" s="4" t="str">
        <f>IFERROR(INDEX(样本到样信息汇总统计!D$2:D$500,MATCH(11,样本到样信息汇总统计!$Y$2:$Y$500,0)),"")</f>
        <v/>
      </c>
      <c r="E12" s="4" t="str">
        <f>IFERROR(INDEX(样本到样信息汇总统计!E$2:E$500,MATCH(11,样本到样信息汇总统计!$Y$2:$Y$500,0)),"")</f>
        <v/>
      </c>
      <c r="F12" s="4" t="str">
        <f>IFERROR(INDEX(样本到样信息汇总统计!F$2:F$500,MATCH(11,样本到样信息汇总统计!$Y$2:$Y$500,0)),"")</f>
        <v/>
      </c>
      <c r="G12" s="4" t="str">
        <f>IFERROR(INDEX(样本到样信息汇总统计!G$2:G$500,MATCH(11,样本到样信息汇总统计!$Y$2:$Y$500,0)),"")</f>
        <v/>
      </c>
      <c r="H12" s="4" t="str">
        <f>IFERROR(INDEX(样本到样信息汇总统计!H$2:H$500,MATCH(11,样本到样信息汇总统计!$Y$2:$Y$500,0)),"")</f>
        <v/>
      </c>
      <c r="I12" s="4" t="str">
        <f>IFERROR(INDEX(样本到样信息汇总统计!I$2:I$500,MATCH(11,样本到样信息汇总统计!$Y$2:$Y$500,0)),"")</f>
        <v/>
      </c>
      <c r="J12" s="4" t="str">
        <f>IFERROR(INDEX(样本到样信息汇总统计!J$2:J$500,MATCH(11,样本到样信息汇总统计!$Y$2:$Y$500,0)),"")</f>
        <v/>
      </c>
      <c r="K12" s="4" t="str">
        <f>IFERROR(INDEX(样本到样信息汇总统计!K$2:K$500,MATCH(11,样本到样信息汇总统计!$Y$2:$Y$500,0)),"")</f>
        <v/>
      </c>
      <c r="L12" s="4" t="str">
        <f>IFERROR(INDEX(样本到样信息汇总统计!L$2:L$500,MATCH(11,样本到样信息汇总统计!$Y$2:$Y$500,0)),"")</f>
        <v/>
      </c>
      <c r="M12" s="4" t="str">
        <f>IFERROR(INDEX(样本到样信息汇总统计!M$2:M$500,MATCH(11,样本到样信息汇总统计!$Y$2:$Y$500,0)),"")</f>
        <v/>
      </c>
      <c r="N12" s="4" t="str">
        <f>IFERROR(INDEX(样本到样信息汇总统计!N$2:N$500,MATCH(11,样本到样信息汇总统计!$Y$2:$Y$500,0)),"")</f>
        <v/>
      </c>
      <c r="O12" s="4" t="str">
        <f>IFERROR(INDEX(样本到样信息汇总统计!O$2:O$500,MATCH(11,样本到样信息汇总统计!$Y$2:$Y$500,0)),"")</f>
        <v/>
      </c>
      <c r="P12" s="4" t="str">
        <f>IFERROR(INDEX(样本到样信息汇总统计!P$2:P$500,MATCH(11,样本到样信息汇总统计!$Y$2:$Y$500,0)),"")</f>
        <v/>
      </c>
      <c r="Q12" s="4" t="str">
        <f>IFERROR(INDEX(样本到样信息汇总统计!Q$2:Q$500,MATCH(11,样本到样信息汇总统计!$Y$2:$Y$500,0)),"")</f>
        <v/>
      </c>
      <c r="R12" s="4" t="str">
        <f>IFERROR(INDEX(样本到样信息汇总统计!R$2:R$500,MATCH(11,样本到样信息汇总统计!$Y$2:$Y$500,0)),"")</f>
        <v/>
      </c>
      <c r="S12" s="4" t="str">
        <f>IFERROR(INDEX(样本到样信息汇总统计!S$2:S$500,MATCH(11,样本到样信息汇总统计!$Y$2:$Y$500,0)),"")</f>
        <v/>
      </c>
      <c r="T12" s="4" t="str">
        <f>IFERROR(INDEX(样本到样信息汇总统计!T$2:T$500,MATCH(11,样本到样信息汇总统计!$Y$2:$Y$500,0)),"")</f>
        <v/>
      </c>
      <c r="U12" s="4" t="str">
        <f>IFERROR(INDEX(样本到样信息汇总统计!U$2:U$500,MATCH(11,样本到样信息汇总统计!$Y$2:$Y$500,0)),"")</f>
        <v/>
      </c>
      <c r="V12" s="4" t="str">
        <f>IFERROR(INDEX(样本到样信息汇总统计!V$2:V$500,MATCH(11,样本到样信息汇总统计!$Y$2:$Y$500,0)),"")</f>
        <v/>
      </c>
      <c r="W12" s="4" t="str">
        <f>IFERROR(INDEX(样本到样信息汇总统计!W$2:W$500,MATCH(11,样本到样信息汇总统计!$Y$2:$Y$500,0)),"")</f>
        <v/>
      </c>
    </row>
    <row r="13" ht="21.75" customHeight="1" spans="1:23">
      <c r="A13" s="8" t="str">
        <f>IFERROR(INDEX(样本到样信息汇总统计!A$2:A$500,MATCH(12,样本到样信息汇总统计!$Y$2:$Y$500,0)),"")</f>
        <v/>
      </c>
      <c r="B13" s="8" t="str">
        <f>IFERROR(INDEX(样本到样信息汇总统计!B$2:B$500,MATCH(12,样本到样信息汇总统计!$Y$2:$Y$500,0)),"")</f>
        <v/>
      </c>
      <c r="C13" s="8" t="str">
        <f>IFERROR(INDEX(样本到样信息汇总统计!C$2:C$500,MATCH(12,样本到样信息汇总统计!$Y$2:$Y$500,0)),"")</f>
        <v/>
      </c>
      <c r="D13" s="8" t="str">
        <f>IFERROR(INDEX(样本到样信息汇总统计!D$2:D$500,MATCH(12,样本到样信息汇总统计!$Y$2:$Y$500,0)),"")</f>
        <v/>
      </c>
      <c r="E13" s="8" t="str">
        <f>IFERROR(INDEX(样本到样信息汇总统计!E$2:E$500,MATCH(12,样本到样信息汇总统计!$Y$2:$Y$500,0)),"")</f>
        <v/>
      </c>
      <c r="F13" s="8" t="str">
        <f>IFERROR(INDEX(样本到样信息汇总统计!F$2:F$500,MATCH(12,样本到样信息汇总统计!$Y$2:$Y$500,0)),"")</f>
        <v/>
      </c>
      <c r="G13" s="8" t="str">
        <f>IFERROR(INDEX(样本到样信息汇总统计!G$2:G$500,MATCH(12,样本到样信息汇总统计!$Y$2:$Y$500,0)),"")</f>
        <v/>
      </c>
      <c r="H13" s="8" t="str">
        <f>IFERROR(INDEX(样本到样信息汇总统计!H$2:H$500,MATCH(12,样本到样信息汇总统计!$Y$2:$Y$500,0)),"")</f>
        <v/>
      </c>
      <c r="I13" s="8" t="str">
        <f>IFERROR(INDEX(样本到样信息汇总统计!I$2:I$500,MATCH(12,样本到样信息汇总统计!$Y$2:$Y$500,0)),"")</f>
        <v/>
      </c>
      <c r="J13" s="8" t="str">
        <f>IFERROR(INDEX(样本到样信息汇总统计!J$2:J$500,MATCH(12,样本到样信息汇总统计!$Y$2:$Y$500,0)),"")</f>
        <v/>
      </c>
      <c r="K13" s="8" t="str">
        <f>IFERROR(INDEX(样本到样信息汇总统计!K$2:K$500,MATCH(12,样本到样信息汇总统计!$Y$2:$Y$500,0)),"")</f>
        <v/>
      </c>
      <c r="L13" s="8" t="str">
        <f>IFERROR(INDEX(样本到样信息汇总统计!L$2:L$500,MATCH(12,样本到样信息汇总统计!$Y$2:$Y$500,0)),"")</f>
        <v/>
      </c>
      <c r="M13" s="8" t="str">
        <f>IFERROR(INDEX(样本到样信息汇总统计!M$2:M$500,MATCH(12,样本到样信息汇总统计!$Y$2:$Y$500,0)),"")</f>
        <v/>
      </c>
      <c r="N13" s="8" t="str">
        <f>IFERROR(INDEX(样本到样信息汇总统计!N$2:N$500,MATCH(12,样本到样信息汇总统计!$Y$2:$Y$500,0)),"")</f>
        <v/>
      </c>
      <c r="O13" s="8" t="str">
        <f>IFERROR(INDEX(样本到样信息汇总统计!O$2:O$500,MATCH(12,样本到样信息汇总统计!$Y$2:$Y$500,0)),"")</f>
        <v/>
      </c>
      <c r="P13" s="8" t="str">
        <f>IFERROR(INDEX(样本到样信息汇总统计!P$2:P$500,MATCH(12,样本到样信息汇总统计!$Y$2:$Y$500,0)),"")</f>
        <v/>
      </c>
      <c r="Q13" s="8" t="str">
        <f>IFERROR(INDEX(样本到样信息汇总统计!Q$2:Q$500,MATCH(12,样本到样信息汇总统计!$Y$2:$Y$500,0)),"")</f>
        <v/>
      </c>
      <c r="R13" s="8" t="str">
        <f>IFERROR(INDEX(样本到样信息汇总统计!R$2:R$500,MATCH(12,样本到样信息汇总统计!$Y$2:$Y$500,0)),"")</f>
        <v/>
      </c>
      <c r="S13" s="8" t="str">
        <f>IFERROR(INDEX(样本到样信息汇总统计!S$2:S$500,MATCH(12,样本到样信息汇总统计!$Y$2:$Y$500,0)),"")</f>
        <v/>
      </c>
      <c r="T13" s="8" t="str">
        <f>IFERROR(INDEX(样本到样信息汇总统计!T$2:T$500,MATCH(12,样本到样信息汇总统计!$Y$2:$Y$500,0)),"")</f>
        <v/>
      </c>
      <c r="U13" s="8" t="str">
        <f>IFERROR(INDEX(样本到样信息汇总统计!U$2:U$500,MATCH(12,样本到样信息汇总统计!$Y$2:$Y$500,0)),"")</f>
        <v/>
      </c>
      <c r="V13" s="8" t="str">
        <f>IFERROR(INDEX(样本到样信息汇总统计!V$2:V$500,MATCH(12,样本到样信息汇总统计!$Y$2:$Y$500,0)),"")</f>
        <v/>
      </c>
      <c r="W13" s="8" t="str">
        <f>IFERROR(INDEX(样本到样信息汇总统计!W$2:W$500,MATCH(12,样本到样信息汇总统计!$Y$2:$Y$500,0)),"")</f>
        <v/>
      </c>
    </row>
    <row r="14" ht="21.75" customHeight="1" spans="1:23">
      <c r="A14" s="4" t="str">
        <f>IFERROR(INDEX(样本到样信息汇总统计!A$2:A$500,MATCH(13,样本到样信息汇总统计!$Y$2:$Y$500,0)),"")</f>
        <v/>
      </c>
      <c r="B14" s="4" t="str">
        <f>IFERROR(INDEX(样本到样信息汇总统计!B$2:B$500,MATCH(13,样本到样信息汇总统计!$Y$2:$Y$500,0)),"")</f>
        <v/>
      </c>
      <c r="C14" s="4" t="str">
        <f>IFERROR(INDEX(样本到样信息汇总统计!C$2:C$500,MATCH(13,样本到样信息汇总统计!$Y$2:$Y$500,0)),"")</f>
        <v/>
      </c>
      <c r="D14" s="4" t="str">
        <f>IFERROR(INDEX(样本到样信息汇总统计!D$2:D$500,MATCH(13,样本到样信息汇总统计!$Y$2:$Y$500,0)),"")</f>
        <v/>
      </c>
      <c r="E14" s="4" t="str">
        <f>IFERROR(INDEX(样本到样信息汇总统计!E$2:E$500,MATCH(13,样本到样信息汇总统计!$Y$2:$Y$500,0)),"")</f>
        <v/>
      </c>
      <c r="F14" s="4" t="str">
        <f>IFERROR(INDEX(样本到样信息汇总统计!F$2:F$500,MATCH(13,样本到样信息汇总统计!$Y$2:$Y$500,0)),"")</f>
        <v/>
      </c>
      <c r="G14" s="4" t="str">
        <f>IFERROR(INDEX(样本到样信息汇总统计!G$2:G$500,MATCH(13,样本到样信息汇总统计!$Y$2:$Y$500,0)),"")</f>
        <v/>
      </c>
      <c r="H14" s="4" t="str">
        <f>IFERROR(INDEX(样本到样信息汇总统计!H$2:H$500,MATCH(13,样本到样信息汇总统计!$Y$2:$Y$500,0)),"")</f>
        <v/>
      </c>
      <c r="I14" s="4" t="str">
        <f>IFERROR(INDEX(样本到样信息汇总统计!I$2:I$500,MATCH(13,样本到样信息汇总统计!$Y$2:$Y$500,0)),"")</f>
        <v/>
      </c>
      <c r="J14" s="4" t="str">
        <f>IFERROR(INDEX(样本到样信息汇总统计!J$2:J$500,MATCH(13,样本到样信息汇总统计!$Y$2:$Y$500,0)),"")</f>
        <v/>
      </c>
      <c r="K14" s="4" t="str">
        <f>IFERROR(INDEX(样本到样信息汇总统计!K$2:K$500,MATCH(13,样本到样信息汇总统计!$Y$2:$Y$500,0)),"")</f>
        <v/>
      </c>
      <c r="L14" s="4" t="str">
        <f>IFERROR(INDEX(样本到样信息汇总统计!L$2:L$500,MATCH(13,样本到样信息汇总统计!$Y$2:$Y$500,0)),"")</f>
        <v/>
      </c>
      <c r="M14" s="4" t="str">
        <f>IFERROR(INDEX(样本到样信息汇总统计!M$2:M$500,MATCH(13,样本到样信息汇总统计!$Y$2:$Y$500,0)),"")</f>
        <v/>
      </c>
      <c r="N14" s="4" t="str">
        <f>IFERROR(INDEX(样本到样信息汇总统计!N$2:N$500,MATCH(13,样本到样信息汇总统计!$Y$2:$Y$500,0)),"")</f>
        <v/>
      </c>
      <c r="O14" s="4" t="str">
        <f>IFERROR(INDEX(样本到样信息汇总统计!O$2:O$500,MATCH(13,样本到样信息汇总统计!$Y$2:$Y$500,0)),"")</f>
        <v/>
      </c>
      <c r="P14" s="4" t="str">
        <f>IFERROR(INDEX(样本到样信息汇总统计!P$2:P$500,MATCH(13,样本到样信息汇总统计!$Y$2:$Y$500,0)),"")</f>
        <v/>
      </c>
      <c r="Q14" s="4" t="str">
        <f>IFERROR(INDEX(样本到样信息汇总统计!Q$2:Q$500,MATCH(13,样本到样信息汇总统计!$Y$2:$Y$500,0)),"")</f>
        <v/>
      </c>
      <c r="R14" s="4" t="str">
        <f>IFERROR(INDEX(样本到样信息汇总统计!R$2:R$500,MATCH(13,样本到样信息汇总统计!$Y$2:$Y$500,0)),"")</f>
        <v/>
      </c>
      <c r="S14" s="4" t="str">
        <f>IFERROR(INDEX(样本到样信息汇总统计!S$2:S$500,MATCH(13,样本到样信息汇总统计!$Y$2:$Y$500,0)),"")</f>
        <v/>
      </c>
      <c r="T14" s="4" t="str">
        <f>IFERROR(INDEX(样本到样信息汇总统计!T$2:T$500,MATCH(13,样本到样信息汇总统计!$Y$2:$Y$500,0)),"")</f>
        <v/>
      </c>
      <c r="U14" s="4" t="str">
        <f>IFERROR(INDEX(样本到样信息汇总统计!U$2:U$500,MATCH(13,样本到样信息汇总统计!$Y$2:$Y$500,0)),"")</f>
        <v/>
      </c>
      <c r="V14" s="4" t="str">
        <f>IFERROR(INDEX(样本到样信息汇总统计!V$2:V$500,MATCH(13,样本到样信息汇总统计!$Y$2:$Y$500,0)),"")</f>
        <v/>
      </c>
      <c r="W14" s="4" t="str">
        <f>IFERROR(INDEX(样本到样信息汇总统计!W$2:W$500,MATCH(13,样本到样信息汇总统计!$Y$2:$Y$500,0)),"")</f>
        <v/>
      </c>
    </row>
    <row r="15" ht="21.75" customHeight="1" spans="1:23">
      <c r="A15" s="8" t="str">
        <f>IFERROR(INDEX(样本到样信息汇总统计!A$2:A$500,MATCH(14,样本到样信息汇总统计!$Y$2:$Y$500,0)),"")</f>
        <v/>
      </c>
      <c r="B15" s="8" t="str">
        <f>IFERROR(INDEX(样本到样信息汇总统计!B$2:B$500,MATCH(14,样本到样信息汇总统计!$Y$2:$Y$500,0)),"")</f>
        <v/>
      </c>
      <c r="C15" s="8" t="str">
        <f>IFERROR(INDEX(样本到样信息汇总统计!C$2:C$500,MATCH(14,样本到样信息汇总统计!$Y$2:$Y$500,0)),"")</f>
        <v/>
      </c>
      <c r="D15" s="8" t="str">
        <f>IFERROR(INDEX(样本到样信息汇总统计!D$2:D$500,MATCH(14,样本到样信息汇总统计!$Y$2:$Y$500,0)),"")</f>
        <v/>
      </c>
      <c r="E15" s="8" t="str">
        <f>IFERROR(INDEX(样本到样信息汇总统计!E$2:E$500,MATCH(14,样本到样信息汇总统计!$Y$2:$Y$500,0)),"")</f>
        <v/>
      </c>
      <c r="F15" s="8" t="str">
        <f>IFERROR(INDEX(样本到样信息汇总统计!F$2:F$500,MATCH(14,样本到样信息汇总统计!$Y$2:$Y$500,0)),"")</f>
        <v/>
      </c>
      <c r="G15" s="8" t="str">
        <f>IFERROR(INDEX(样本到样信息汇总统计!G$2:G$500,MATCH(14,样本到样信息汇总统计!$Y$2:$Y$500,0)),"")</f>
        <v/>
      </c>
      <c r="H15" s="8" t="str">
        <f>IFERROR(INDEX(样本到样信息汇总统计!H$2:H$500,MATCH(14,样本到样信息汇总统计!$Y$2:$Y$500,0)),"")</f>
        <v/>
      </c>
      <c r="I15" s="8" t="str">
        <f>IFERROR(INDEX(样本到样信息汇总统计!I$2:I$500,MATCH(14,样本到样信息汇总统计!$Y$2:$Y$500,0)),"")</f>
        <v/>
      </c>
      <c r="J15" s="8" t="str">
        <f>IFERROR(INDEX(样本到样信息汇总统计!J$2:J$500,MATCH(14,样本到样信息汇总统计!$Y$2:$Y$500,0)),"")</f>
        <v/>
      </c>
      <c r="K15" s="8" t="str">
        <f>IFERROR(INDEX(样本到样信息汇总统计!K$2:K$500,MATCH(14,样本到样信息汇总统计!$Y$2:$Y$500,0)),"")</f>
        <v/>
      </c>
      <c r="L15" s="8" t="str">
        <f>IFERROR(INDEX(样本到样信息汇总统计!L$2:L$500,MATCH(14,样本到样信息汇总统计!$Y$2:$Y$500,0)),"")</f>
        <v/>
      </c>
      <c r="M15" s="8" t="str">
        <f>IFERROR(INDEX(样本到样信息汇总统计!M$2:M$500,MATCH(14,样本到样信息汇总统计!$Y$2:$Y$500,0)),"")</f>
        <v/>
      </c>
      <c r="N15" s="8" t="str">
        <f>IFERROR(INDEX(样本到样信息汇总统计!N$2:N$500,MATCH(14,样本到样信息汇总统计!$Y$2:$Y$500,0)),"")</f>
        <v/>
      </c>
      <c r="O15" s="8" t="str">
        <f>IFERROR(INDEX(样本到样信息汇总统计!O$2:O$500,MATCH(14,样本到样信息汇总统计!$Y$2:$Y$500,0)),"")</f>
        <v/>
      </c>
      <c r="P15" s="8" t="str">
        <f>IFERROR(INDEX(样本到样信息汇总统计!P$2:P$500,MATCH(14,样本到样信息汇总统计!$Y$2:$Y$500,0)),"")</f>
        <v/>
      </c>
      <c r="Q15" s="8" t="str">
        <f>IFERROR(INDEX(样本到样信息汇总统计!Q$2:Q$500,MATCH(14,样本到样信息汇总统计!$Y$2:$Y$500,0)),"")</f>
        <v/>
      </c>
      <c r="R15" s="8" t="str">
        <f>IFERROR(INDEX(样本到样信息汇总统计!R$2:R$500,MATCH(14,样本到样信息汇总统计!$Y$2:$Y$500,0)),"")</f>
        <v/>
      </c>
      <c r="S15" s="8" t="str">
        <f>IFERROR(INDEX(样本到样信息汇总统计!S$2:S$500,MATCH(14,样本到样信息汇总统计!$Y$2:$Y$500,0)),"")</f>
        <v/>
      </c>
      <c r="T15" s="8" t="str">
        <f>IFERROR(INDEX(样本到样信息汇总统计!T$2:T$500,MATCH(14,样本到样信息汇总统计!$Y$2:$Y$500,0)),"")</f>
        <v/>
      </c>
      <c r="U15" s="8" t="str">
        <f>IFERROR(INDEX(样本到样信息汇总统计!U$2:U$500,MATCH(14,样本到样信息汇总统计!$Y$2:$Y$500,0)),"")</f>
        <v/>
      </c>
      <c r="V15" s="8" t="str">
        <f>IFERROR(INDEX(样本到样信息汇总统计!V$2:V$500,MATCH(14,样本到样信息汇总统计!$Y$2:$Y$500,0)),"")</f>
        <v/>
      </c>
      <c r="W15" s="8" t="str">
        <f>IFERROR(INDEX(样本到样信息汇总统计!W$2:W$500,MATCH(14,样本到样信息汇总统计!$Y$2:$Y$500,0)),"")</f>
        <v/>
      </c>
    </row>
    <row r="16" ht="21.75" customHeight="1" spans="1:23">
      <c r="A16" s="4" t="str">
        <f>IFERROR(INDEX(样本到样信息汇总统计!A$2:A$500,MATCH(15,样本到样信息汇总统计!$Y$2:$Y$500,0)),"")</f>
        <v/>
      </c>
      <c r="B16" s="4" t="str">
        <f>IFERROR(INDEX(样本到样信息汇总统计!B$2:B$500,MATCH(15,样本到样信息汇总统计!$Y$2:$Y$500,0)),"")</f>
        <v/>
      </c>
      <c r="C16" s="4" t="str">
        <f>IFERROR(INDEX(样本到样信息汇总统计!C$2:C$500,MATCH(15,样本到样信息汇总统计!$Y$2:$Y$500,0)),"")</f>
        <v/>
      </c>
      <c r="D16" s="4" t="str">
        <f>IFERROR(INDEX(样本到样信息汇总统计!D$2:D$500,MATCH(15,样本到样信息汇总统计!$Y$2:$Y$500,0)),"")</f>
        <v/>
      </c>
      <c r="E16" s="4" t="str">
        <f>IFERROR(INDEX(样本到样信息汇总统计!E$2:E$500,MATCH(15,样本到样信息汇总统计!$Y$2:$Y$500,0)),"")</f>
        <v/>
      </c>
      <c r="F16" s="4" t="str">
        <f>IFERROR(INDEX(样本到样信息汇总统计!F$2:F$500,MATCH(15,样本到样信息汇总统计!$Y$2:$Y$500,0)),"")</f>
        <v/>
      </c>
      <c r="G16" s="4" t="str">
        <f>IFERROR(INDEX(样本到样信息汇总统计!G$2:G$500,MATCH(15,样本到样信息汇总统计!$Y$2:$Y$500,0)),"")</f>
        <v/>
      </c>
      <c r="H16" s="4" t="str">
        <f>IFERROR(INDEX(样本到样信息汇总统计!H$2:H$500,MATCH(15,样本到样信息汇总统计!$Y$2:$Y$500,0)),"")</f>
        <v/>
      </c>
      <c r="I16" s="4" t="str">
        <f>IFERROR(INDEX(样本到样信息汇总统计!I$2:I$500,MATCH(15,样本到样信息汇总统计!$Y$2:$Y$500,0)),"")</f>
        <v/>
      </c>
      <c r="J16" s="4" t="str">
        <f>IFERROR(INDEX(样本到样信息汇总统计!J$2:J$500,MATCH(15,样本到样信息汇总统计!$Y$2:$Y$500,0)),"")</f>
        <v/>
      </c>
      <c r="K16" s="4" t="str">
        <f>IFERROR(INDEX(样本到样信息汇总统计!K$2:K$500,MATCH(15,样本到样信息汇总统计!$Y$2:$Y$500,0)),"")</f>
        <v/>
      </c>
      <c r="L16" s="4" t="str">
        <f>IFERROR(INDEX(样本到样信息汇总统计!L$2:L$500,MATCH(15,样本到样信息汇总统计!$Y$2:$Y$500,0)),"")</f>
        <v/>
      </c>
      <c r="M16" s="4" t="str">
        <f>IFERROR(INDEX(样本到样信息汇总统计!M$2:M$500,MATCH(15,样本到样信息汇总统计!$Y$2:$Y$500,0)),"")</f>
        <v/>
      </c>
      <c r="N16" s="4" t="str">
        <f>IFERROR(INDEX(样本到样信息汇总统计!N$2:N$500,MATCH(15,样本到样信息汇总统计!$Y$2:$Y$500,0)),"")</f>
        <v/>
      </c>
      <c r="O16" s="4" t="str">
        <f>IFERROR(INDEX(样本到样信息汇总统计!O$2:O$500,MATCH(15,样本到样信息汇总统计!$Y$2:$Y$500,0)),"")</f>
        <v/>
      </c>
      <c r="P16" s="4" t="str">
        <f>IFERROR(INDEX(样本到样信息汇总统计!P$2:P$500,MATCH(15,样本到样信息汇总统计!$Y$2:$Y$500,0)),"")</f>
        <v/>
      </c>
      <c r="Q16" s="4" t="str">
        <f>IFERROR(INDEX(样本到样信息汇总统计!Q$2:Q$500,MATCH(15,样本到样信息汇总统计!$Y$2:$Y$500,0)),"")</f>
        <v/>
      </c>
      <c r="R16" s="4" t="str">
        <f>IFERROR(INDEX(样本到样信息汇总统计!R$2:R$500,MATCH(15,样本到样信息汇总统计!$Y$2:$Y$500,0)),"")</f>
        <v/>
      </c>
      <c r="S16" s="4" t="str">
        <f>IFERROR(INDEX(样本到样信息汇总统计!S$2:S$500,MATCH(15,样本到样信息汇总统计!$Y$2:$Y$500,0)),"")</f>
        <v/>
      </c>
      <c r="T16" s="4" t="str">
        <f>IFERROR(INDEX(样本到样信息汇总统计!T$2:T$500,MATCH(15,样本到样信息汇总统计!$Y$2:$Y$500,0)),"")</f>
        <v/>
      </c>
      <c r="U16" s="4" t="str">
        <f>IFERROR(INDEX(样本到样信息汇总统计!U$2:U$500,MATCH(15,样本到样信息汇总统计!$Y$2:$Y$500,0)),"")</f>
        <v/>
      </c>
      <c r="V16" s="4" t="str">
        <f>IFERROR(INDEX(样本到样信息汇总统计!V$2:V$500,MATCH(15,样本到样信息汇总统计!$Y$2:$Y$500,0)),"")</f>
        <v/>
      </c>
      <c r="W16" s="4" t="str">
        <f>IFERROR(INDEX(样本到样信息汇总统计!W$2:W$500,MATCH(15,样本到样信息汇总统计!$Y$2:$Y$500,0)),"")</f>
        <v/>
      </c>
    </row>
    <row r="17" ht="21.75" customHeight="1" spans="1:23">
      <c r="A17" s="8" t="str">
        <f>IFERROR(INDEX(样本到样信息汇总统计!A$2:A$500,MATCH(16,样本到样信息汇总统计!$Y$2:$Y$500,0)),"")</f>
        <v/>
      </c>
      <c r="B17" s="8" t="str">
        <f>IFERROR(INDEX(样本到样信息汇总统计!B$2:B$500,MATCH(16,样本到样信息汇总统计!$Y$2:$Y$500,0)),"")</f>
        <v/>
      </c>
      <c r="C17" s="8" t="str">
        <f>IFERROR(INDEX(样本到样信息汇总统计!C$2:C$500,MATCH(16,样本到样信息汇总统计!$Y$2:$Y$500,0)),"")</f>
        <v/>
      </c>
      <c r="D17" s="8" t="str">
        <f>IFERROR(INDEX(样本到样信息汇总统计!D$2:D$500,MATCH(16,样本到样信息汇总统计!$Y$2:$Y$500,0)),"")</f>
        <v/>
      </c>
      <c r="E17" s="8" t="str">
        <f>IFERROR(INDEX(样本到样信息汇总统计!E$2:E$500,MATCH(16,样本到样信息汇总统计!$Y$2:$Y$500,0)),"")</f>
        <v/>
      </c>
      <c r="F17" s="8" t="str">
        <f>IFERROR(INDEX(样本到样信息汇总统计!F$2:F$500,MATCH(16,样本到样信息汇总统计!$Y$2:$Y$500,0)),"")</f>
        <v/>
      </c>
      <c r="G17" s="8" t="str">
        <f>IFERROR(INDEX(样本到样信息汇总统计!G$2:G$500,MATCH(16,样本到样信息汇总统计!$Y$2:$Y$500,0)),"")</f>
        <v/>
      </c>
      <c r="H17" s="8" t="str">
        <f>IFERROR(INDEX(样本到样信息汇总统计!H$2:H$500,MATCH(16,样本到样信息汇总统计!$Y$2:$Y$500,0)),"")</f>
        <v/>
      </c>
      <c r="I17" s="8" t="str">
        <f>IFERROR(INDEX(样本到样信息汇总统计!I$2:I$500,MATCH(16,样本到样信息汇总统计!$Y$2:$Y$500,0)),"")</f>
        <v/>
      </c>
      <c r="J17" s="8" t="str">
        <f>IFERROR(INDEX(样本到样信息汇总统计!J$2:J$500,MATCH(16,样本到样信息汇总统计!$Y$2:$Y$500,0)),"")</f>
        <v/>
      </c>
      <c r="K17" s="8" t="str">
        <f>IFERROR(INDEX(样本到样信息汇总统计!K$2:K$500,MATCH(16,样本到样信息汇总统计!$Y$2:$Y$500,0)),"")</f>
        <v/>
      </c>
      <c r="L17" s="8" t="str">
        <f>IFERROR(INDEX(样本到样信息汇总统计!L$2:L$500,MATCH(16,样本到样信息汇总统计!$Y$2:$Y$500,0)),"")</f>
        <v/>
      </c>
      <c r="M17" s="8" t="str">
        <f>IFERROR(INDEX(样本到样信息汇总统计!M$2:M$500,MATCH(16,样本到样信息汇总统计!$Y$2:$Y$500,0)),"")</f>
        <v/>
      </c>
      <c r="N17" s="8" t="str">
        <f>IFERROR(INDEX(样本到样信息汇总统计!N$2:N$500,MATCH(16,样本到样信息汇总统计!$Y$2:$Y$500,0)),"")</f>
        <v/>
      </c>
      <c r="O17" s="8" t="str">
        <f>IFERROR(INDEX(样本到样信息汇总统计!O$2:O$500,MATCH(16,样本到样信息汇总统计!$Y$2:$Y$500,0)),"")</f>
        <v/>
      </c>
      <c r="P17" s="8" t="str">
        <f>IFERROR(INDEX(样本到样信息汇总统计!P$2:P$500,MATCH(16,样本到样信息汇总统计!$Y$2:$Y$500,0)),"")</f>
        <v/>
      </c>
      <c r="Q17" s="8" t="str">
        <f>IFERROR(INDEX(样本到样信息汇总统计!Q$2:Q$500,MATCH(16,样本到样信息汇总统计!$Y$2:$Y$500,0)),"")</f>
        <v/>
      </c>
      <c r="R17" s="8" t="str">
        <f>IFERROR(INDEX(样本到样信息汇总统计!R$2:R$500,MATCH(16,样本到样信息汇总统计!$Y$2:$Y$500,0)),"")</f>
        <v/>
      </c>
      <c r="S17" s="8" t="str">
        <f>IFERROR(INDEX(样本到样信息汇总统计!S$2:S$500,MATCH(16,样本到样信息汇总统计!$Y$2:$Y$500,0)),"")</f>
        <v/>
      </c>
      <c r="T17" s="8" t="str">
        <f>IFERROR(INDEX(样本到样信息汇总统计!T$2:T$500,MATCH(16,样本到样信息汇总统计!$Y$2:$Y$500,0)),"")</f>
        <v/>
      </c>
      <c r="U17" s="8" t="str">
        <f>IFERROR(INDEX(样本到样信息汇总统计!U$2:U$500,MATCH(16,样本到样信息汇总统计!$Y$2:$Y$500,0)),"")</f>
        <v/>
      </c>
      <c r="V17" s="8" t="str">
        <f>IFERROR(INDEX(样本到样信息汇总统计!V$2:V$500,MATCH(16,样本到样信息汇总统计!$Y$2:$Y$500,0)),"")</f>
        <v/>
      </c>
      <c r="W17" s="8" t="str">
        <f>IFERROR(INDEX(样本到样信息汇总统计!W$2:W$500,MATCH(16,样本到样信息汇总统计!$Y$2:$Y$500,0)),"")</f>
        <v/>
      </c>
    </row>
    <row r="18" ht="21.75" customHeight="1" spans="1:23">
      <c r="A18" s="4" t="str">
        <f>IFERROR(INDEX(样本到样信息汇总统计!A$2:A$500,MATCH(17,样本到样信息汇总统计!$Y$2:$Y$500,0)),"")</f>
        <v/>
      </c>
      <c r="B18" s="4" t="str">
        <f>IFERROR(INDEX(样本到样信息汇总统计!B$2:B$500,MATCH(17,样本到样信息汇总统计!$Y$2:$Y$500,0)),"")</f>
        <v/>
      </c>
      <c r="C18" s="4" t="str">
        <f>IFERROR(INDEX(样本到样信息汇总统计!C$2:C$500,MATCH(17,样本到样信息汇总统计!$Y$2:$Y$500,0)),"")</f>
        <v/>
      </c>
      <c r="D18" s="4" t="str">
        <f>IFERROR(INDEX(样本到样信息汇总统计!D$2:D$500,MATCH(17,样本到样信息汇总统计!$Y$2:$Y$500,0)),"")</f>
        <v/>
      </c>
      <c r="E18" s="4" t="str">
        <f>IFERROR(INDEX(样本到样信息汇总统计!E$2:E$500,MATCH(17,样本到样信息汇总统计!$Y$2:$Y$500,0)),"")</f>
        <v/>
      </c>
      <c r="F18" s="4" t="str">
        <f>IFERROR(INDEX(样本到样信息汇总统计!F$2:F$500,MATCH(17,样本到样信息汇总统计!$Y$2:$Y$500,0)),"")</f>
        <v/>
      </c>
      <c r="G18" s="4" t="str">
        <f>IFERROR(INDEX(样本到样信息汇总统计!G$2:G$500,MATCH(17,样本到样信息汇总统计!$Y$2:$Y$500,0)),"")</f>
        <v/>
      </c>
      <c r="H18" s="4" t="str">
        <f>IFERROR(INDEX(样本到样信息汇总统计!H$2:H$500,MATCH(17,样本到样信息汇总统计!$Y$2:$Y$500,0)),"")</f>
        <v/>
      </c>
      <c r="I18" s="4" t="str">
        <f>IFERROR(INDEX(样本到样信息汇总统计!I$2:I$500,MATCH(17,样本到样信息汇总统计!$Y$2:$Y$500,0)),"")</f>
        <v/>
      </c>
      <c r="J18" s="4" t="str">
        <f>IFERROR(INDEX(样本到样信息汇总统计!J$2:J$500,MATCH(17,样本到样信息汇总统计!$Y$2:$Y$500,0)),"")</f>
        <v/>
      </c>
      <c r="K18" s="4" t="str">
        <f>IFERROR(INDEX(样本到样信息汇总统计!K$2:K$500,MATCH(17,样本到样信息汇总统计!$Y$2:$Y$500,0)),"")</f>
        <v/>
      </c>
      <c r="L18" s="4" t="str">
        <f>IFERROR(INDEX(样本到样信息汇总统计!L$2:L$500,MATCH(17,样本到样信息汇总统计!$Y$2:$Y$500,0)),"")</f>
        <v/>
      </c>
      <c r="M18" s="4" t="str">
        <f>IFERROR(INDEX(样本到样信息汇总统计!M$2:M$500,MATCH(17,样本到样信息汇总统计!$Y$2:$Y$500,0)),"")</f>
        <v/>
      </c>
      <c r="N18" s="4" t="str">
        <f>IFERROR(INDEX(样本到样信息汇总统计!N$2:N$500,MATCH(17,样本到样信息汇总统计!$Y$2:$Y$500,0)),"")</f>
        <v/>
      </c>
      <c r="O18" s="4" t="str">
        <f>IFERROR(INDEX(样本到样信息汇总统计!O$2:O$500,MATCH(17,样本到样信息汇总统计!$Y$2:$Y$500,0)),"")</f>
        <v/>
      </c>
      <c r="P18" s="4" t="str">
        <f>IFERROR(INDEX(样本到样信息汇总统计!P$2:P$500,MATCH(17,样本到样信息汇总统计!$Y$2:$Y$500,0)),"")</f>
        <v/>
      </c>
      <c r="Q18" s="4" t="str">
        <f>IFERROR(INDEX(样本到样信息汇总统计!Q$2:Q$500,MATCH(17,样本到样信息汇总统计!$Y$2:$Y$500,0)),"")</f>
        <v/>
      </c>
      <c r="R18" s="4" t="str">
        <f>IFERROR(INDEX(样本到样信息汇总统计!R$2:R$500,MATCH(17,样本到样信息汇总统计!$Y$2:$Y$500,0)),"")</f>
        <v/>
      </c>
      <c r="S18" s="4" t="str">
        <f>IFERROR(INDEX(样本到样信息汇总统计!S$2:S$500,MATCH(17,样本到样信息汇总统计!$Y$2:$Y$500,0)),"")</f>
        <v/>
      </c>
      <c r="T18" s="4" t="str">
        <f>IFERROR(INDEX(样本到样信息汇总统计!T$2:T$500,MATCH(17,样本到样信息汇总统计!$Y$2:$Y$500,0)),"")</f>
        <v/>
      </c>
      <c r="U18" s="4" t="str">
        <f>IFERROR(INDEX(样本到样信息汇总统计!U$2:U$500,MATCH(17,样本到样信息汇总统计!$Y$2:$Y$500,0)),"")</f>
        <v/>
      </c>
      <c r="V18" s="4" t="str">
        <f>IFERROR(INDEX(样本到样信息汇总统计!V$2:V$500,MATCH(17,样本到样信息汇总统计!$Y$2:$Y$500,0)),"")</f>
        <v/>
      </c>
      <c r="W18" s="4" t="str">
        <f>IFERROR(INDEX(样本到样信息汇总统计!W$2:W$500,MATCH(17,样本到样信息汇总统计!$Y$2:$Y$500,0)),"")</f>
        <v/>
      </c>
    </row>
    <row r="19" ht="21.75" customHeight="1" spans="1:23">
      <c r="A19" s="8" t="str">
        <f>IFERROR(INDEX(样本到样信息汇总统计!A$2:A$500,MATCH(18,样本到样信息汇总统计!$Y$2:$Y$500,0)),"")</f>
        <v/>
      </c>
      <c r="B19" s="8" t="str">
        <f>IFERROR(INDEX(样本到样信息汇总统计!B$2:B$500,MATCH(18,样本到样信息汇总统计!$Y$2:$Y$500,0)),"")</f>
        <v/>
      </c>
      <c r="C19" s="8" t="str">
        <f>IFERROR(INDEX(样本到样信息汇总统计!C$2:C$500,MATCH(18,样本到样信息汇总统计!$Y$2:$Y$500,0)),"")</f>
        <v/>
      </c>
      <c r="D19" s="8" t="str">
        <f>IFERROR(INDEX(样本到样信息汇总统计!D$2:D$500,MATCH(18,样本到样信息汇总统计!$Y$2:$Y$500,0)),"")</f>
        <v/>
      </c>
      <c r="E19" s="8" t="str">
        <f>IFERROR(INDEX(样本到样信息汇总统计!E$2:E$500,MATCH(18,样本到样信息汇总统计!$Y$2:$Y$500,0)),"")</f>
        <v/>
      </c>
      <c r="F19" s="8" t="str">
        <f>IFERROR(INDEX(样本到样信息汇总统计!F$2:F$500,MATCH(18,样本到样信息汇总统计!$Y$2:$Y$500,0)),"")</f>
        <v/>
      </c>
      <c r="G19" s="8" t="str">
        <f>IFERROR(INDEX(样本到样信息汇总统计!G$2:G$500,MATCH(18,样本到样信息汇总统计!$Y$2:$Y$500,0)),"")</f>
        <v/>
      </c>
      <c r="H19" s="8" t="str">
        <f>IFERROR(INDEX(样本到样信息汇总统计!H$2:H$500,MATCH(18,样本到样信息汇总统计!$Y$2:$Y$500,0)),"")</f>
        <v/>
      </c>
      <c r="I19" s="8" t="str">
        <f>IFERROR(INDEX(样本到样信息汇总统计!I$2:I$500,MATCH(18,样本到样信息汇总统计!$Y$2:$Y$500,0)),"")</f>
        <v/>
      </c>
      <c r="J19" s="8" t="str">
        <f>IFERROR(INDEX(样本到样信息汇总统计!J$2:J$500,MATCH(18,样本到样信息汇总统计!$Y$2:$Y$500,0)),"")</f>
        <v/>
      </c>
      <c r="K19" s="8" t="str">
        <f>IFERROR(INDEX(样本到样信息汇总统计!K$2:K$500,MATCH(18,样本到样信息汇总统计!$Y$2:$Y$500,0)),"")</f>
        <v/>
      </c>
      <c r="L19" s="8" t="str">
        <f>IFERROR(INDEX(样本到样信息汇总统计!L$2:L$500,MATCH(18,样本到样信息汇总统计!$Y$2:$Y$500,0)),"")</f>
        <v/>
      </c>
      <c r="M19" s="8" t="str">
        <f>IFERROR(INDEX(样本到样信息汇总统计!M$2:M$500,MATCH(18,样本到样信息汇总统计!$Y$2:$Y$500,0)),"")</f>
        <v/>
      </c>
      <c r="N19" s="8" t="str">
        <f>IFERROR(INDEX(样本到样信息汇总统计!N$2:N$500,MATCH(18,样本到样信息汇总统计!$Y$2:$Y$500,0)),"")</f>
        <v/>
      </c>
      <c r="O19" s="8" t="str">
        <f>IFERROR(INDEX(样本到样信息汇总统计!O$2:O$500,MATCH(18,样本到样信息汇总统计!$Y$2:$Y$500,0)),"")</f>
        <v/>
      </c>
      <c r="P19" s="8" t="str">
        <f>IFERROR(INDEX(样本到样信息汇总统计!P$2:P$500,MATCH(18,样本到样信息汇总统计!$Y$2:$Y$500,0)),"")</f>
        <v/>
      </c>
      <c r="Q19" s="8" t="str">
        <f>IFERROR(INDEX(样本到样信息汇总统计!Q$2:Q$500,MATCH(18,样本到样信息汇总统计!$Y$2:$Y$500,0)),"")</f>
        <v/>
      </c>
      <c r="R19" s="8" t="str">
        <f>IFERROR(INDEX(样本到样信息汇总统计!R$2:R$500,MATCH(18,样本到样信息汇总统计!$Y$2:$Y$500,0)),"")</f>
        <v/>
      </c>
      <c r="S19" s="8" t="str">
        <f>IFERROR(INDEX(样本到样信息汇总统计!S$2:S$500,MATCH(18,样本到样信息汇总统计!$Y$2:$Y$500,0)),"")</f>
        <v/>
      </c>
      <c r="T19" s="8" t="str">
        <f>IFERROR(INDEX(样本到样信息汇总统计!T$2:T$500,MATCH(18,样本到样信息汇总统计!$Y$2:$Y$500,0)),"")</f>
        <v/>
      </c>
      <c r="U19" s="8" t="str">
        <f>IFERROR(INDEX(样本到样信息汇总统计!U$2:U$500,MATCH(18,样本到样信息汇总统计!$Y$2:$Y$500,0)),"")</f>
        <v/>
      </c>
      <c r="V19" s="8" t="str">
        <f>IFERROR(INDEX(样本到样信息汇总统计!V$2:V$500,MATCH(18,样本到样信息汇总统计!$Y$2:$Y$500,0)),"")</f>
        <v/>
      </c>
      <c r="W19" s="8" t="str">
        <f>IFERROR(INDEX(样本到样信息汇总统计!W$2:W$500,MATCH(18,样本到样信息汇总统计!$Y$2:$Y$500,0)),"")</f>
        <v/>
      </c>
    </row>
    <row r="20" ht="21.75" customHeight="1" spans="1:23">
      <c r="A20" s="4" t="str">
        <f>IFERROR(INDEX(样本到样信息汇总统计!A$2:A$500,MATCH(19,样本到样信息汇总统计!$Y$2:$Y$500,0)),"")</f>
        <v/>
      </c>
      <c r="B20" s="4" t="str">
        <f>IFERROR(INDEX(样本到样信息汇总统计!B$2:B$500,MATCH(19,样本到样信息汇总统计!$Y$2:$Y$500,0)),"")</f>
        <v/>
      </c>
      <c r="C20" s="4" t="str">
        <f>IFERROR(INDEX(样本到样信息汇总统计!C$2:C$500,MATCH(19,样本到样信息汇总统计!$Y$2:$Y$500,0)),"")</f>
        <v/>
      </c>
      <c r="D20" s="4" t="str">
        <f>IFERROR(INDEX(样本到样信息汇总统计!D$2:D$500,MATCH(19,样本到样信息汇总统计!$Y$2:$Y$500,0)),"")</f>
        <v/>
      </c>
      <c r="E20" s="4" t="str">
        <f>IFERROR(INDEX(样本到样信息汇总统计!E$2:E$500,MATCH(19,样本到样信息汇总统计!$Y$2:$Y$500,0)),"")</f>
        <v/>
      </c>
      <c r="F20" s="4" t="str">
        <f>IFERROR(INDEX(样本到样信息汇总统计!F$2:F$500,MATCH(19,样本到样信息汇总统计!$Y$2:$Y$500,0)),"")</f>
        <v/>
      </c>
      <c r="G20" s="4" t="str">
        <f>IFERROR(INDEX(样本到样信息汇总统计!G$2:G$500,MATCH(19,样本到样信息汇总统计!$Y$2:$Y$500,0)),"")</f>
        <v/>
      </c>
      <c r="H20" s="4" t="str">
        <f>IFERROR(INDEX(样本到样信息汇总统计!H$2:H$500,MATCH(19,样本到样信息汇总统计!$Y$2:$Y$500,0)),"")</f>
        <v/>
      </c>
      <c r="I20" s="4" t="str">
        <f>IFERROR(INDEX(样本到样信息汇总统计!I$2:I$500,MATCH(19,样本到样信息汇总统计!$Y$2:$Y$500,0)),"")</f>
        <v/>
      </c>
      <c r="J20" s="4" t="str">
        <f>IFERROR(INDEX(样本到样信息汇总统计!J$2:J$500,MATCH(19,样本到样信息汇总统计!$Y$2:$Y$500,0)),"")</f>
        <v/>
      </c>
      <c r="K20" s="4" t="str">
        <f>IFERROR(INDEX(样本到样信息汇总统计!K$2:K$500,MATCH(19,样本到样信息汇总统计!$Y$2:$Y$500,0)),"")</f>
        <v/>
      </c>
      <c r="L20" s="4" t="str">
        <f>IFERROR(INDEX(样本到样信息汇总统计!L$2:L$500,MATCH(19,样本到样信息汇总统计!$Y$2:$Y$500,0)),"")</f>
        <v/>
      </c>
      <c r="M20" s="4" t="str">
        <f>IFERROR(INDEX(样本到样信息汇总统计!M$2:M$500,MATCH(19,样本到样信息汇总统计!$Y$2:$Y$500,0)),"")</f>
        <v/>
      </c>
      <c r="N20" s="4" t="str">
        <f>IFERROR(INDEX(样本到样信息汇总统计!N$2:N$500,MATCH(19,样本到样信息汇总统计!$Y$2:$Y$500,0)),"")</f>
        <v/>
      </c>
      <c r="O20" s="4" t="str">
        <f>IFERROR(INDEX(样本到样信息汇总统计!O$2:O$500,MATCH(19,样本到样信息汇总统计!$Y$2:$Y$500,0)),"")</f>
        <v/>
      </c>
      <c r="P20" s="4" t="str">
        <f>IFERROR(INDEX(样本到样信息汇总统计!P$2:P$500,MATCH(19,样本到样信息汇总统计!$Y$2:$Y$500,0)),"")</f>
        <v/>
      </c>
      <c r="Q20" s="4" t="str">
        <f>IFERROR(INDEX(样本到样信息汇总统计!Q$2:Q$500,MATCH(19,样本到样信息汇总统计!$Y$2:$Y$500,0)),"")</f>
        <v/>
      </c>
      <c r="R20" s="4" t="str">
        <f>IFERROR(INDEX(样本到样信息汇总统计!R$2:R$500,MATCH(19,样本到样信息汇总统计!$Y$2:$Y$500,0)),"")</f>
        <v/>
      </c>
      <c r="S20" s="4" t="str">
        <f>IFERROR(INDEX(样本到样信息汇总统计!S$2:S$500,MATCH(19,样本到样信息汇总统计!$Y$2:$Y$500,0)),"")</f>
        <v/>
      </c>
      <c r="T20" s="4" t="str">
        <f>IFERROR(INDEX(样本到样信息汇总统计!T$2:T$500,MATCH(19,样本到样信息汇总统计!$Y$2:$Y$500,0)),"")</f>
        <v/>
      </c>
      <c r="U20" s="4" t="str">
        <f>IFERROR(INDEX(样本到样信息汇总统计!U$2:U$500,MATCH(19,样本到样信息汇总统计!$Y$2:$Y$500,0)),"")</f>
        <v/>
      </c>
      <c r="V20" s="4" t="str">
        <f>IFERROR(INDEX(样本到样信息汇总统计!V$2:V$500,MATCH(19,样本到样信息汇总统计!$Y$2:$Y$500,0)),"")</f>
        <v/>
      </c>
      <c r="W20" s="4" t="str">
        <f>IFERROR(INDEX(样本到样信息汇总统计!W$2:W$500,MATCH(19,样本到样信息汇总统计!$Y$2:$Y$500,0)),"")</f>
        <v/>
      </c>
    </row>
    <row r="21" ht="14.5" spans="1:23">
      <c r="A21" s="8" t="str">
        <f>IFERROR(INDEX(样本到样信息汇总统计!A$2:A$500,MATCH(20,样本到样信息汇总统计!$Y$2:$Y$500,0)),"")</f>
        <v/>
      </c>
      <c r="B21" s="8" t="str">
        <f>IFERROR(INDEX(样本到样信息汇总统计!B$2:B$500,MATCH(20,样本到样信息汇总统计!$Y$2:$Y$500,0)),"")</f>
        <v/>
      </c>
      <c r="C21" s="8" t="str">
        <f>IFERROR(INDEX(样本到样信息汇总统计!C$2:C$500,MATCH(20,样本到样信息汇总统计!$Y$2:$Y$500,0)),"")</f>
        <v/>
      </c>
      <c r="D21" s="8" t="str">
        <f>IFERROR(INDEX(样本到样信息汇总统计!D$2:D$500,MATCH(20,样本到样信息汇总统计!$Y$2:$Y$500,0)),"")</f>
        <v/>
      </c>
      <c r="E21" s="8" t="str">
        <f>IFERROR(INDEX(样本到样信息汇总统计!E$2:E$500,MATCH(20,样本到样信息汇总统计!$Y$2:$Y$500,0)),"")</f>
        <v/>
      </c>
      <c r="F21" s="8" t="str">
        <f>IFERROR(INDEX(样本到样信息汇总统计!F$2:F$500,MATCH(20,样本到样信息汇总统计!$Y$2:$Y$500,0)),"")</f>
        <v/>
      </c>
      <c r="G21" s="8" t="str">
        <f>IFERROR(INDEX(样本到样信息汇总统计!G$2:G$500,MATCH(20,样本到样信息汇总统计!$Y$2:$Y$500,0)),"")</f>
        <v/>
      </c>
      <c r="H21" s="8" t="str">
        <f>IFERROR(INDEX(样本到样信息汇总统计!H$2:H$500,MATCH(20,样本到样信息汇总统计!$Y$2:$Y$500,0)),"")</f>
        <v/>
      </c>
      <c r="I21" s="8" t="str">
        <f>IFERROR(INDEX(样本到样信息汇总统计!I$2:I$500,MATCH(20,样本到样信息汇总统计!$Y$2:$Y$500,0)),"")</f>
        <v/>
      </c>
      <c r="J21" s="8" t="str">
        <f>IFERROR(INDEX(样本到样信息汇总统计!J$2:J$500,MATCH(20,样本到样信息汇总统计!$Y$2:$Y$500,0)),"")</f>
        <v/>
      </c>
      <c r="K21" s="8" t="str">
        <f>IFERROR(INDEX(样本到样信息汇总统计!K$2:K$500,MATCH(20,样本到样信息汇总统计!$Y$2:$Y$500,0)),"")</f>
        <v/>
      </c>
      <c r="L21" s="8" t="str">
        <f>IFERROR(INDEX(样本到样信息汇总统计!L$2:L$500,MATCH(20,样本到样信息汇总统计!$Y$2:$Y$500,0)),"")</f>
        <v/>
      </c>
      <c r="M21" s="8" t="str">
        <f>IFERROR(INDEX(样本到样信息汇总统计!M$2:M$500,MATCH(20,样本到样信息汇总统计!$Y$2:$Y$500,0)),"")</f>
        <v/>
      </c>
      <c r="N21" s="8" t="str">
        <f>IFERROR(INDEX(样本到样信息汇总统计!N$2:N$500,MATCH(20,样本到样信息汇总统计!$Y$2:$Y$500,0)),"")</f>
        <v/>
      </c>
      <c r="O21" s="8" t="str">
        <f>IFERROR(INDEX(样本到样信息汇总统计!O$2:O$500,MATCH(20,样本到样信息汇总统计!$Y$2:$Y$500,0)),"")</f>
        <v/>
      </c>
      <c r="P21" s="8" t="str">
        <f>IFERROR(INDEX(样本到样信息汇总统计!P$2:P$500,MATCH(20,样本到样信息汇总统计!$Y$2:$Y$500,0)),"")</f>
        <v/>
      </c>
      <c r="Q21" s="8" t="str">
        <f>IFERROR(INDEX(样本到样信息汇总统计!Q$2:Q$500,MATCH(20,样本到样信息汇总统计!$Y$2:$Y$500,0)),"")</f>
        <v/>
      </c>
      <c r="R21" s="8" t="str">
        <f>IFERROR(INDEX(样本到样信息汇总统计!R$2:R$500,MATCH(20,样本到样信息汇总统计!$Y$2:$Y$500,0)),"")</f>
        <v/>
      </c>
      <c r="S21" s="8" t="str">
        <f>IFERROR(INDEX(样本到样信息汇总统计!S$2:S$500,MATCH(20,样本到样信息汇总统计!$Y$2:$Y$500,0)),"")</f>
        <v/>
      </c>
      <c r="T21" s="8" t="str">
        <f>IFERROR(INDEX(样本到样信息汇总统计!T$2:T$500,MATCH(20,样本到样信息汇总统计!$Y$2:$Y$500,0)),"")</f>
        <v/>
      </c>
      <c r="U21" s="8" t="str">
        <f>IFERROR(INDEX(样本到样信息汇总统计!U$2:U$500,MATCH(20,样本到样信息汇总统计!$Y$2:$Y$500,0)),"")</f>
        <v/>
      </c>
      <c r="V21" s="8" t="str">
        <f>IFERROR(INDEX(样本到样信息汇总统计!V$2:V$500,MATCH(20,样本到样信息汇总统计!$Y$2:$Y$500,0)),"")</f>
        <v/>
      </c>
      <c r="W21" s="8" t="str">
        <f>IFERROR(INDEX(样本到样信息汇总统计!W$2:W$500,MATCH(20,样本到样信息汇总统计!$Y$2:$Y$500,0)),"")</f>
        <v/>
      </c>
    </row>
    <row r="22" ht="14.5" spans="1:23">
      <c r="A22" s="4" t="str">
        <f>IFERROR(INDEX(样本到样信息汇总统计!A$2:A$500,MATCH(21,样本到样信息汇总统计!$Y$2:$Y$500,0)),"")</f>
        <v/>
      </c>
      <c r="B22" s="4" t="str">
        <f>IFERROR(INDEX(样本到样信息汇总统计!B$2:B$500,MATCH(21,样本到样信息汇总统计!$Y$2:$Y$500,0)),"")</f>
        <v/>
      </c>
      <c r="C22" s="4" t="str">
        <f>IFERROR(INDEX(样本到样信息汇总统计!C$2:C$500,MATCH(21,样本到样信息汇总统计!$Y$2:$Y$500,0)),"")</f>
        <v/>
      </c>
      <c r="D22" s="4" t="str">
        <f>IFERROR(INDEX(样本到样信息汇总统计!D$2:D$500,MATCH(21,样本到样信息汇总统计!$Y$2:$Y$500,0)),"")</f>
        <v/>
      </c>
      <c r="E22" s="4" t="str">
        <f>IFERROR(INDEX(样本到样信息汇总统计!E$2:E$500,MATCH(21,样本到样信息汇总统计!$Y$2:$Y$500,0)),"")</f>
        <v/>
      </c>
      <c r="F22" s="4" t="str">
        <f>IFERROR(INDEX(样本到样信息汇总统计!F$2:F$500,MATCH(21,样本到样信息汇总统计!$Y$2:$Y$500,0)),"")</f>
        <v/>
      </c>
      <c r="G22" s="4" t="str">
        <f>IFERROR(INDEX(样本到样信息汇总统计!G$2:G$500,MATCH(21,样本到样信息汇总统计!$Y$2:$Y$500,0)),"")</f>
        <v/>
      </c>
      <c r="H22" s="4" t="str">
        <f>IFERROR(INDEX(样本到样信息汇总统计!H$2:H$500,MATCH(21,样本到样信息汇总统计!$Y$2:$Y$500,0)),"")</f>
        <v/>
      </c>
      <c r="I22" s="4" t="str">
        <f>IFERROR(INDEX(样本到样信息汇总统计!I$2:I$500,MATCH(21,样本到样信息汇总统计!$Y$2:$Y$500,0)),"")</f>
        <v/>
      </c>
      <c r="J22" s="4" t="str">
        <f>IFERROR(INDEX(样本到样信息汇总统计!J$2:J$500,MATCH(21,样本到样信息汇总统计!$Y$2:$Y$500,0)),"")</f>
        <v/>
      </c>
      <c r="K22" s="4" t="str">
        <f>IFERROR(INDEX(样本到样信息汇总统计!K$2:K$500,MATCH(21,样本到样信息汇总统计!$Y$2:$Y$500,0)),"")</f>
        <v/>
      </c>
      <c r="L22" s="4" t="str">
        <f>IFERROR(INDEX(样本到样信息汇总统计!L$2:L$500,MATCH(21,样本到样信息汇总统计!$Y$2:$Y$500,0)),"")</f>
        <v/>
      </c>
      <c r="M22" s="4" t="str">
        <f>IFERROR(INDEX(样本到样信息汇总统计!M$2:M$500,MATCH(21,样本到样信息汇总统计!$Y$2:$Y$500,0)),"")</f>
        <v/>
      </c>
      <c r="N22" s="4" t="str">
        <f>IFERROR(INDEX(样本到样信息汇总统计!N$2:N$500,MATCH(21,样本到样信息汇总统计!$Y$2:$Y$500,0)),"")</f>
        <v/>
      </c>
      <c r="O22" s="4" t="str">
        <f>IFERROR(INDEX(样本到样信息汇总统计!O$2:O$500,MATCH(21,样本到样信息汇总统计!$Y$2:$Y$500,0)),"")</f>
        <v/>
      </c>
      <c r="P22" s="4" t="str">
        <f>IFERROR(INDEX(样本到样信息汇总统计!P$2:P$500,MATCH(21,样本到样信息汇总统计!$Y$2:$Y$500,0)),"")</f>
        <v/>
      </c>
      <c r="Q22" s="4" t="str">
        <f>IFERROR(INDEX(样本到样信息汇总统计!Q$2:Q$500,MATCH(21,样本到样信息汇总统计!$Y$2:$Y$500,0)),"")</f>
        <v/>
      </c>
      <c r="R22" s="4" t="str">
        <f>IFERROR(INDEX(样本到样信息汇总统计!R$2:R$500,MATCH(21,样本到样信息汇总统计!$Y$2:$Y$500,0)),"")</f>
        <v/>
      </c>
      <c r="S22" s="4" t="str">
        <f>IFERROR(INDEX(样本到样信息汇总统计!S$2:S$500,MATCH(21,样本到样信息汇总统计!$Y$2:$Y$500,0)),"")</f>
        <v/>
      </c>
      <c r="T22" s="4" t="str">
        <f>IFERROR(INDEX(样本到样信息汇总统计!T$2:T$500,MATCH(21,样本到样信息汇总统计!$Y$2:$Y$500,0)),"")</f>
        <v/>
      </c>
      <c r="U22" s="4" t="str">
        <f>IFERROR(INDEX(样本到样信息汇总统计!U$2:U$500,MATCH(21,样本到样信息汇总统计!$Y$2:$Y$500,0)),"")</f>
        <v/>
      </c>
      <c r="V22" s="4" t="str">
        <f>IFERROR(INDEX(样本到样信息汇总统计!V$2:V$500,MATCH(21,样本到样信息汇总统计!$Y$2:$Y$500,0)),"")</f>
        <v/>
      </c>
      <c r="W22" s="4" t="str">
        <f>IFERROR(INDEX(样本到样信息汇总统计!W$2:W$500,MATCH(21,样本到样信息汇总统计!$Y$2:$Y$500,0)),"")</f>
        <v/>
      </c>
    </row>
    <row r="23" ht="14.5" spans="1:23">
      <c r="A23" s="8" t="str">
        <f>IFERROR(INDEX(样本到样信息汇总统计!A$2:A$500,MATCH(22,样本到样信息汇总统计!$Y$2:$Y$500,0)),"")</f>
        <v/>
      </c>
      <c r="B23" s="8" t="str">
        <f>IFERROR(INDEX(样本到样信息汇总统计!B$2:B$500,MATCH(22,样本到样信息汇总统计!$Y$2:$Y$500,0)),"")</f>
        <v/>
      </c>
      <c r="C23" s="8" t="str">
        <f>IFERROR(INDEX(样本到样信息汇总统计!C$2:C$500,MATCH(22,样本到样信息汇总统计!$Y$2:$Y$500,0)),"")</f>
        <v/>
      </c>
      <c r="D23" s="8" t="str">
        <f>IFERROR(INDEX(样本到样信息汇总统计!D$2:D$500,MATCH(22,样本到样信息汇总统计!$Y$2:$Y$500,0)),"")</f>
        <v/>
      </c>
      <c r="E23" s="8" t="str">
        <f>IFERROR(INDEX(样本到样信息汇总统计!E$2:E$500,MATCH(22,样本到样信息汇总统计!$Y$2:$Y$500,0)),"")</f>
        <v/>
      </c>
      <c r="F23" s="8" t="str">
        <f>IFERROR(INDEX(样本到样信息汇总统计!F$2:F$500,MATCH(22,样本到样信息汇总统计!$Y$2:$Y$500,0)),"")</f>
        <v/>
      </c>
      <c r="G23" s="8" t="str">
        <f>IFERROR(INDEX(样本到样信息汇总统计!G$2:G$500,MATCH(22,样本到样信息汇总统计!$Y$2:$Y$500,0)),"")</f>
        <v/>
      </c>
      <c r="H23" s="8" t="str">
        <f>IFERROR(INDEX(样本到样信息汇总统计!H$2:H$500,MATCH(22,样本到样信息汇总统计!$Y$2:$Y$500,0)),"")</f>
        <v/>
      </c>
      <c r="I23" s="8" t="str">
        <f>IFERROR(INDEX(样本到样信息汇总统计!I$2:I$500,MATCH(22,样本到样信息汇总统计!$Y$2:$Y$500,0)),"")</f>
        <v/>
      </c>
      <c r="J23" s="8" t="str">
        <f>IFERROR(INDEX(样本到样信息汇总统计!J$2:J$500,MATCH(22,样本到样信息汇总统计!$Y$2:$Y$500,0)),"")</f>
        <v/>
      </c>
      <c r="K23" s="8" t="str">
        <f>IFERROR(INDEX(样本到样信息汇总统计!K$2:K$500,MATCH(22,样本到样信息汇总统计!$Y$2:$Y$500,0)),"")</f>
        <v/>
      </c>
      <c r="L23" s="8" t="str">
        <f>IFERROR(INDEX(样本到样信息汇总统计!L$2:L$500,MATCH(22,样本到样信息汇总统计!$Y$2:$Y$500,0)),"")</f>
        <v/>
      </c>
      <c r="M23" s="8" t="str">
        <f>IFERROR(INDEX(样本到样信息汇总统计!M$2:M$500,MATCH(22,样本到样信息汇总统计!$Y$2:$Y$500,0)),"")</f>
        <v/>
      </c>
      <c r="N23" s="8" t="str">
        <f>IFERROR(INDEX(样本到样信息汇总统计!N$2:N$500,MATCH(22,样本到样信息汇总统计!$Y$2:$Y$500,0)),"")</f>
        <v/>
      </c>
      <c r="O23" s="8" t="str">
        <f>IFERROR(INDEX(样本到样信息汇总统计!O$2:O$500,MATCH(22,样本到样信息汇总统计!$Y$2:$Y$500,0)),"")</f>
        <v/>
      </c>
      <c r="P23" s="8" t="str">
        <f>IFERROR(INDEX(样本到样信息汇总统计!P$2:P$500,MATCH(22,样本到样信息汇总统计!$Y$2:$Y$500,0)),"")</f>
        <v/>
      </c>
      <c r="Q23" s="8" t="str">
        <f>IFERROR(INDEX(样本到样信息汇总统计!Q$2:Q$500,MATCH(22,样本到样信息汇总统计!$Y$2:$Y$500,0)),"")</f>
        <v/>
      </c>
      <c r="R23" s="8" t="str">
        <f>IFERROR(INDEX(样本到样信息汇总统计!R$2:R$500,MATCH(22,样本到样信息汇总统计!$Y$2:$Y$500,0)),"")</f>
        <v/>
      </c>
      <c r="S23" s="8" t="str">
        <f>IFERROR(INDEX(样本到样信息汇总统计!S$2:S$500,MATCH(22,样本到样信息汇总统计!$Y$2:$Y$500,0)),"")</f>
        <v/>
      </c>
      <c r="T23" s="8" t="str">
        <f>IFERROR(INDEX(样本到样信息汇总统计!T$2:T$500,MATCH(22,样本到样信息汇总统计!$Y$2:$Y$500,0)),"")</f>
        <v/>
      </c>
      <c r="U23" s="8" t="str">
        <f>IFERROR(INDEX(样本到样信息汇总统计!U$2:U$500,MATCH(22,样本到样信息汇总统计!$Y$2:$Y$500,0)),"")</f>
        <v/>
      </c>
      <c r="V23" s="8" t="str">
        <f>IFERROR(INDEX(样本到样信息汇总统计!V$2:V$500,MATCH(22,样本到样信息汇总统计!$Y$2:$Y$500,0)),"")</f>
        <v/>
      </c>
      <c r="W23" s="8" t="str">
        <f>IFERROR(INDEX(样本到样信息汇总统计!W$2:W$500,MATCH(22,样本到样信息汇总统计!$Y$2:$Y$500,0)),"")</f>
        <v/>
      </c>
    </row>
    <row r="24" ht="14.5" spans="1:23">
      <c r="A24" s="4" t="str">
        <f>IFERROR(INDEX(样本到样信息汇总统计!A$2:A$500,MATCH(23,样本到样信息汇总统计!$Y$2:$Y$500,0)),"")</f>
        <v/>
      </c>
      <c r="B24" s="4" t="str">
        <f>IFERROR(INDEX(样本到样信息汇总统计!B$2:B$500,MATCH(23,样本到样信息汇总统计!$Y$2:$Y$500,0)),"")</f>
        <v/>
      </c>
      <c r="C24" s="4" t="str">
        <f>IFERROR(INDEX(样本到样信息汇总统计!C$2:C$500,MATCH(23,样本到样信息汇总统计!$Y$2:$Y$500,0)),"")</f>
        <v/>
      </c>
      <c r="D24" s="4" t="str">
        <f>IFERROR(INDEX(样本到样信息汇总统计!D$2:D$500,MATCH(23,样本到样信息汇总统计!$Y$2:$Y$500,0)),"")</f>
        <v/>
      </c>
      <c r="E24" s="4" t="str">
        <f>IFERROR(INDEX(样本到样信息汇总统计!E$2:E$500,MATCH(23,样本到样信息汇总统计!$Y$2:$Y$500,0)),"")</f>
        <v/>
      </c>
      <c r="F24" s="4" t="str">
        <f>IFERROR(INDEX(样本到样信息汇总统计!F$2:F$500,MATCH(23,样本到样信息汇总统计!$Y$2:$Y$500,0)),"")</f>
        <v/>
      </c>
      <c r="G24" s="4" t="str">
        <f>IFERROR(INDEX(样本到样信息汇总统计!G$2:G$500,MATCH(23,样本到样信息汇总统计!$Y$2:$Y$500,0)),"")</f>
        <v/>
      </c>
      <c r="H24" s="4" t="str">
        <f>IFERROR(INDEX(样本到样信息汇总统计!H$2:H$500,MATCH(23,样本到样信息汇总统计!$Y$2:$Y$500,0)),"")</f>
        <v/>
      </c>
      <c r="I24" s="4" t="str">
        <f>IFERROR(INDEX(样本到样信息汇总统计!I$2:I$500,MATCH(23,样本到样信息汇总统计!$Y$2:$Y$500,0)),"")</f>
        <v/>
      </c>
      <c r="J24" s="4" t="str">
        <f>IFERROR(INDEX(样本到样信息汇总统计!J$2:J$500,MATCH(23,样本到样信息汇总统计!$Y$2:$Y$500,0)),"")</f>
        <v/>
      </c>
      <c r="K24" s="4" t="str">
        <f>IFERROR(INDEX(样本到样信息汇总统计!K$2:K$500,MATCH(23,样本到样信息汇总统计!$Y$2:$Y$500,0)),"")</f>
        <v/>
      </c>
      <c r="L24" s="4" t="str">
        <f>IFERROR(INDEX(样本到样信息汇总统计!L$2:L$500,MATCH(23,样本到样信息汇总统计!$Y$2:$Y$500,0)),"")</f>
        <v/>
      </c>
      <c r="M24" s="4" t="str">
        <f>IFERROR(INDEX(样本到样信息汇总统计!M$2:M$500,MATCH(23,样本到样信息汇总统计!$Y$2:$Y$500,0)),"")</f>
        <v/>
      </c>
      <c r="N24" s="4" t="str">
        <f>IFERROR(INDEX(样本到样信息汇总统计!N$2:N$500,MATCH(23,样本到样信息汇总统计!$Y$2:$Y$500,0)),"")</f>
        <v/>
      </c>
      <c r="O24" s="4" t="str">
        <f>IFERROR(INDEX(样本到样信息汇总统计!O$2:O$500,MATCH(23,样本到样信息汇总统计!$Y$2:$Y$500,0)),"")</f>
        <v/>
      </c>
      <c r="P24" s="4" t="str">
        <f>IFERROR(INDEX(样本到样信息汇总统计!P$2:P$500,MATCH(23,样本到样信息汇总统计!$Y$2:$Y$500,0)),"")</f>
        <v/>
      </c>
      <c r="Q24" s="4" t="str">
        <f>IFERROR(INDEX(样本到样信息汇总统计!Q$2:Q$500,MATCH(23,样本到样信息汇总统计!$Y$2:$Y$500,0)),"")</f>
        <v/>
      </c>
      <c r="R24" s="4" t="str">
        <f>IFERROR(INDEX(样本到样信息汇总统计!R$2:R$500,MATCH(23,样本到样信息汇总统计!$Y$2:$Y$500,0)),"")</f>
        <v/>
      </c>
      <c r="S24" s="4" t="str">
        <f>IFERROR(INDEX(样本到样信息汇总统计!S$2:S$500,MATCH(23,样本到样信息汇总统计!$Y$2:$Y$500,0)),"")</f>
        <v/>
      </c>
      <c r="T24" s="4" t="str">
        <f>IFERROR(INDEX(样本到样信息汇总统计!T$2:T$500,MATCH(23,样本到样信息汇总统计!$Y$2:$Y$500,0)),"")</f>
        <v/>
      </c>
      <c r="U24" s="4" t="str">
        <f>IFERROR(INDEX(样本到样信息汇总统计!U$2:U$500,MATCH(23,样本到样信息汇总统计!$Y$2:$Y$500,0)),"")</f>
        <v/>
      </c>
      <c r="V24" s="4" t="str">
        <f>IFERROR(INDEX(样本到样信息汇总统计!V$2:V$500,MATCH(23,样本到样信息汇总统计!$Y$2:$Y$500,0)),"")</f>
        <v/>
      </c>
      <c r="W24" s="4" t="str">
        <f>IFERROR(INDEX(样本到样信息汇总统计!W$2:W$500,MATCH(23,样本到样信息汇总统计!$Y$2:$Y$500,0)),"")</f>
        <v/>
      </c>
    </row>
    <row r="25" ht="14.5" spans="1:23">
      <c r="A25" s="8" t="str">
        <f>IFERROR(INDEX(样本到样信息汇总统计!A$2:A$500,MATCH(24,样本到样信息汇总统计!$Y$2:$Y$500,0)),"")</f>
        <v/>
      </c>
      <c r="B25" s="8" t="str">
        <f>IFERROR(INDEX(样本到样信息汇总统计!B$2:B$500,MATCH(24,样本到样信息汇总统计!$Y$2:$Y$500,0)),"")</f>
        <v/>
      </c>
      <c r="C25" s="8" t="str">
        <f>IFERROR(INDEX(样本到样信息汇总统计!C$2:C$500,MATCH(24,样本到样信息汇总统计!$Y$2:$Y$500,0)),"")</f>
        <v/>
      </c>
      <c r="D25" s="8" t="str">
        <f>IFERROR(INDEX(样本到样信息汇总统计!D$2:D$500,MATCH(24,样本到样信息汇总统计!$Y$2:$Y$500,0)),"")</f>
        <v/>
      </c>
      <c r="E25" s="8" t="str">
        <f>IFERROR(INDEX(样本到样信息汇总统计!E$2:E$500,MATCH(24,样本到样信息汇总统计!$Y$2:$Y$500,0)),"")</f>
        <v/>
      </c>
      <c r="F25" s="8" t="str">
        <f>IFERROR(INDEX(样本到样信息汇总统计!F$2:F$500,MATCH(24,样本到样信息汇总统计!$Y$2:$Y$500,0)),"")</f>
        <v/>
      </c>
      <c r="G25" s="8" t="str">
        <f>IFERROR(INDEX(样本到样信息汇总统计!G$2:G$500,MATCH(24,样本到样信息汇总统计!$Y$2:$Y$500,0)),"")</f>
        <v/>
      </c>
      <c r="H25" s="8" t="str">
        <f>IFERROR(INDEX(样本到样信息汇总统计!H$2:H$500,MATCH(24,样本到样信息汇总统计!$Y$2:$Y$500,0)),"")</f>
        <v/>
      </c>
      <c r="I25" s="8" t="str">
        <f>IFERROR(INDEX(样本到样信息汇总统计!I$2:I$500,MATCH(24,样本到样信息汇总统计!$Y$2:$Y$500,0)),"")</f>
        <v/>
      </c>
      <c r="J25" s="8" t="str">
        <f>IFERROR(INDEX(样本到样信息汇总统计!J$2:J$500,MATCH(24,样本到样信息汇总统计!$Y$2:$Y$500,0)),"")</f>
        <v/>
      </c>
      <c r="K25" s="8" t="str">
        <f>IFERROR(INDEX(样本到样信息汇总统计!K$2:K$500,MATCH(24,样本到样信息汇总统计!$Y$2:$Y$500,0)),"")</f>
        <v/>
      </c>
      <c r="L25" s="8" t="str">
        <f>IFERROR(INDEX(样本到样信息汇总统计!L$2:L$500,MATCH(24,样本到样信息汇总统计!$Y$2:$Y$500,0)),"")</f>
        <v/>
      </c>
      <c r="M25" s="8" t="str">
        <f>IFERROR(INDEX(样本到样信息汇总统计!M$2:M$500,MATCH(24,样本到样信息汇总统计!$Y$2:$Y$500,0)),"")</f>
        <v/>
      </c>
      <c r="N25" s="8" t="str">
        <f>IFERROR(INDEX(样本到样信息汇总统计!N$2:N$500,MATCH(24,样本到样信息汇总统计!$Y$2:$Y$500,0)),"")</f>
        <v/>
      </c>
      <c r="O25" s="8" t="str">
        <f>IFERROR(INDEX(样本到样信息汇总统计!O$2:O$500,MATCH(24,样本到样信息汇总统计!$Y$2:$Y$500,0)),"")</f>
        <v/>
      </c>
      <c r="P25" s="8" t="str">
        <f>IFERROR(INDEX(样本到样信息汇总统计!P$2:P$500,MATCH(24,样本到样信息汇总统计!$Y$2:$Y$500,0)),"")</f>
        <v/>
      </c>
      <c r="Q25" s="8" t="str">
        <f>IFERROR(INDEX(样本到样信息汇总统计!Q$2:Q$500,MATCH(24,样本到样信息汇总统计!$Y$2:$Y$500,0)),"")</f>
        <v/>
      </c>
      <c r="R25" s="8" t="str">
        <f>IFERROR(INDEX(样本到样信息汇总统计!R$2:R$500,MATCH(24,样本到样信息汇总统计!$Y$2:$Y$500,0)),"")</f>
        <v/>
      </c>
      <c r="S25" s="8" t="str">
        <f>IFERROR(INDEX(样本到样信息汇总统计!S$2:S$500,MATCH(24,样本到样信息汇总统计!$Y$2:$Y$500,0)),"")</f>
        <v/>
      </c>
      <c r="T25" s="8" t="str">
        <f>IFERROR(INDEX(样本到样信息汇总统计!T$2:T$500,MATCH(24,样本到样信息汇总统计!$Y$2:$Y$500,0)),"")</f>
        <v/>
      </c>
      <c r="U25" s="8" t="str">
        <f>IFERROR(INDEX(样本到样信息汇总统计!U$2:U$500,MATCH(24,样本到样信息汇总统计!$Y$2:$Y$500,0)),"")</f>
        <v/>
      </c>
      <c r="V25" s="8" t="str">
        <f>IFERROR(INDEX(样本到样信息汇总统计!V$2:V$500,MATCH(24,样本到样信息汇总统计!$Y$2:$Y$500,0)),"")</f>
        <v/>
      </c>
      <c r="W25" s="8" t="str">
        <f>IFERROR(INDEX(样本到样信息汇总统计!W$2:W$500,MATCH(24,样本到样信息汇总统计!$Y$2:$Y$500,0)),"")</f>
        <v/>
      </c>
    </row>
    <row r="26" ht="14.5" spans="1:23">
      <c r="A26" s="4" t="str">
        <f>IFERROR(INDEX(样本到样信息汇总统计!A$2:A$500,MATCH(25,样本到样信息汇总统计!$Y$2:$Y$500,0)),"")</f>
        <v/>
      </c>
      <c r="B26" s="4" t="str">
        <f>IFERROR(INDEX(样本到样信息汇总统计!B$2:B$500,MATCH(25,样本到样信息汇总统计!$Y$2:$Y$500,0)),"")</f>
        <v/>
      </c>
      <c r="C26" s="4" t="str">
        <f>IFERROR(INDEX(样本到样信息汇总统计!C$2:C$500,MATCH(25,样本到样信息汇总统计!$Y$2:$Y$500,0)),"")</f>
        <v/>
      </c>
      <c r="D26" s="4" t="str">
        <f>IFERROR(INDEX(样本到样信息汇总统计!D$2:D$500,MATCH(25,样本到样信息汇总统计!$Y$2:$Y$500,0)),"")</f>
        <v/>
      </c>
      <c r="E26" s="4" t="str">
        <f>IFERROR(INDEX(样本到样信息汇总统计!E$2:E$500,MATCH(25,样本到样信息汇总统计!$Y$2:$Y$500,0)),"")</f>
        <v/>
      </c>
      <c r="F26" s="4" t="str">
        <f>IFERROR(INDEX(样本到样信息汇总统计!F$2:F$500,MATCH(25,样本到样信息汇总统计!$Y$2:$Y$500,0)),"")</f>
        <v/>
      </c>
      <c r="G26" s="4" t="str">
        <f>IFERROR(INDEX(样本到样信息汇总统计!G$2:G$500,MATCH(25,样本到样信息汇总统计!$Y$2:$Y$500,0)),"")</f>
        <v/>
      </c>
      <c r="H26" s="4" t="str">
        <f>IFERROR(INDEX(样本到样信息汇总统计!H$2:H$500,MATCH(25,样本到样信息汇总统计!$Y$2:$Y$500,0)),"")</f>
        <v/>
      </c>
      <c r="I26" s="4" t="str">
        <f>IFERROR(INDEX(样本到样信息汇总统计!I$2:I$500,MATCH(25,样本到样信息汇总统计!$Y$2:$Y$500,0)),"")</f>
        <v/>
      </c>
      <c r="J26" s="4" t="str">
        <f>IFERROR(INDEX(样本到样信息汇总统计!J$2:J$500,MATCH(25,样本到样信息汇总统计!$Y$2:$Y$500,0)),"")</f>
        <v/>
      </c>
      <c r="K26" s="4" t="str">
        <f>IFERROR(INDEX(样本到样信息汇总统计!K$2:K$500,MATCH(25,样本到样信息汇总统计!$Y$2:$Y$500,0)),"")</f>
        <v/>
      </c>
      <c r="L26" s="4" t="str">
        <f>IFERROR(INDEX(样本到样信息汇总统计!L$2:L$500,MATCH(25,样本到样信息汇总统计!$Y$2:$Y$500,0)),"")</f>
        <v/>
      </c>
      <c r="M26" s="4" t="str">
        <f>IFERROR(INDEX(样本到样信息汇总统计!M$2:M$500,MATCH(25,样本到样信息汇总统计!$Y$2:$Y$500,0)),"")</f>
        <v/>
      </c>
      <c r="N26" s="4" t="str">
        <f>IFERROR(INDEX(样本到样信息汇总统计!N$2:N$500,MATCH(25,样本到样信息汇总统计!$Y$2:$Y$500,0)),"")</f>
        <v/>
      </c>
      <c r="O26" s="4" t="str">
        <f>IFERROR(INDEX(样本到样信息汇总统计!O$2:O$500,MATCH(25,样本到样信息汇总统计!$Y$2:$Y$500,0)),"")</f>
        <v/>
      </c>
      <c r="P26" s="4" t="str">
        <f>IFERROR(INDEX(样本到样信息汇总统计!P$2:P$500,MATCH(25,样本到样信息汇总统计!$Y$2:$Y$500,0)),"")</f>
        <v/>
      </c>
      <c r="Q26" s="4" t="str">
        <f>IFERROR(INDEX(样本到样信息汇总统计!Q$2:Q$500,MATCH(25,样本到样信息汇总统计!$Y$2:$Y$500,0)),"")</f>
        <v/>
      </c>
      <c r="R26" s="4" t="str">
        <f>IFERROR(INDEX(样本到样信息汇总统计!R$2:R$500,MATCH(25,样本到样信息汇总统计!$Y$2:$Y$500,0)),"")</f>
        <v/>
      </c>
      <c r="S26" s="4" t="str">
        <f>IFERROR(INDEX(样本到样信息汇总统计!S$2:S$500,MATCH(25,样本到样信息汇总统计!$Y$2:$Y$500,0)),"")</f>
        <v/>
      </c>
      <c r="T26" s="4" t="str">
        <f>IFERROR(INDEX(样本到样信息汇总统计!T$2:T$500,MATCH(25,样本到样信息汇总统计!$Y$2:$Y$500,0)),"")</f>
        <v/>
      </c>
      <c r="U26" s="4" t="str">
        <f>IFERROR(INDEX(样本到样信息汇总统计!U$2:U$500,MATCH(25,样本到样信息汇总统计!$Y$2:$Y$500,0)),"")</f>
        <v/>
      </c>
      <c r="V26" s="4" t="str">
        <f>IFERROR(INDEX(样本到样信息汇总统计!V$2:V$500,MATCH(25,样本到样信息汇总统计!$Y$2:$Y$500,0)),"")</f>
        <v/>
      </c>
      <c r="W26" s="4" t="str">
        <f>IFERROR(INDEX(样本到样信息汇总统计!W$2:W$500,MATCH(25,样本到样信息汇总统计!$Y$2:$Y$500,0)),"")</f>
        <v/>
      </c>
    </row>
    <row r="27" ht="14.5" spans="1:23">
      <c r="A27" s="8" t="str">
        <f>IFERROR(INDEX(样本到样信息汇总统计!A$2:A$500,MATCH(26,样本到样信息汇总统计!$Y$2:$Y$500,0)),"")</f>
        <v/>
      </c>
      <c r="B27" s="8" t="str">
        <f>IFERROR(INDEX(样本到样信息汇总统计!B$2:B$500,MATCH(26,样本到样信息汇总统计!$Y$2:$Y$500,0)),"")</f>
        <v/>
      </c>
      <c r="C27" s="8" t="str">
        <f>IFERROR(INDEX(样本到样信息汇总统计!C$2:C$500,MATCH(26,样本到样信息汇总统计!$Y$2:$Y$500,0)),"")</f>
        <v/>
      </c>
      <c r="D27" s="8" t="str">
        <f>IFERROR(INDEX(样本到样信息汇总统计!D$2:D$500,MATCH(26,样本到样信息汇总统计!$Y$2:$Y$500,0)),"")</f>
        <v/>
      </c>
      <c r="E27" s="8" t="str">
        <f>IFERROR(INDEX(样本到样信息汇总统计!E$2:E$500,MATCH(26,样本到样信息汇总统计!$Y$2:$Y$500,0)),"")</f>
        <v/>
      </c>
      <c r="F27" s="8" t="str">
        <f>IFERROR(INDEX(样本到样信息汇总统计!F$2:F$500,MATCH(26,样本到样信息汇总统计!$Y$2:$Y$500,0)),"")</f>
        <v/>
      </c>
      <c r="G27" s="8" t="str">
        <f>IFERROR(INDEX(样本到样信息汇总统计!G$2:G$500,MATCH(26,样本到样信息汇总统计!$Y$2:$Y$500,0)),"")</f>
        <v/>
      </c>
      <c r="H27" s="8" t="str">
        <f>IFERROR(INDEX(样本到样信息汇总统计!H$2:H$500,MATCH(26,样本到样信息汇总统计!$Y$2:$Y$500,0)),"")</f>
        <v/>
      </c>
      <c r="I27" s="8" t="str">
        <f>IFERROR(INDEX(样本到样信息汇总统计!I$2:I$500,MATCH(26,样本到样信息汇总统计!$Y$2:$Y$500,0)),"")</f>
        <v/>
      </c>
      <c r="J27" s="8" t="str">
        <f>IFERROR(INDEX(样本到样信息汇总统计!J$2:J$500,MATCH(26,样本到样信息汇总统计!$Y$2:$Y$500,0)),"")</f>
        <v/>
      </c>
      <c r="K27" s="8" t="str">
        <f>IFERROR(INDEX(样本到样信息汇总统计!K$2:K$500,MATCH(26,样本到样信息汇总统计!$Y$2:$Y$500,0)),"")</f>
        <v/>
      </c>
      <c r="L27" s="8" t="str">
        <f>IFERROR(INDEX(样本到样信息汇总统计!L$2:L$500,MATCH(26,样本到样信息汇总统计!$Y$2:$Y$500,0)),"")</f>
        <v/>
      </c>
      <c r="M27" s="8" t="str">
        <f>IFERROR(INDEX(样本到样信息汇总统计!M$2:M$500,MATCH(26,样本到样信息汇总统计!$Y$2:$Y$500,0)),"")</f>
        <v/>
      </c>
      <c r="N27" s="8" t="str">
        <f>IFERROR(INDEX(样本到样信息汇总统计!N$2:N$500,MATCH(26,样本到样信息汇总统计!$Y$2:$Y$500,0)),"")</f>
        <v/>
      </c>
      <c r="O27" s="8" t="str">
        <f>IFERROR(INDEX(样本到样信息汇总统计!O$2:O$500,MATCH(26,样本到样信息汇总统计!$Y$2:$Y$500,0)),"")</f>
        <v/>
      </c>
      <c r="P27" s="8" t="str">
        <f>IFERROR(INDEX(样本到样信息汇总统计!P$2:P$500,MATCH(26,样本到样信息汇总统计!$Y$2:$Y$500,0)),"")</f>
        <v/>
      </c>
      <c r="Q27" s="8" t="str">
        <f>IFERROR(INDEX(样本到样信息汇总统计!Q$2:Q$500,MATCH(26,样本到样信息汇总统计!$Y$2:$Y$500,0)),"")</f>
        <v/>
      </c>
      <c r="R27" s="8" t="str">
        <f>IFERROR(INDEX(样本到样信息汇总统计!R$2:R$500,MATCH(26,样本到样信息汇总统计!$Y$2:$Y$500,0)),"")</f>
        <v/>
      </c>
      <c r="S27" s="8" t="str">
        <f>IFERROR(INDEX(样本到样信息汇总统计!S$2:S$500,MATCH(26,样本到样信息汇总统计!$Y$2:$Y$500,0)),"")</f>
        <v/>
      </c>
      <c r="T27" s="8" t="str">
        <f>IFERROR(INDEX(样本到样信息汇总统计!T$2:T$500,MATCH(26,样本到样信息汇总统计!$Y$2:$Y$500,0)),"")</f>
        <v/>
      </c>
      <c r="U27" s="8" t="str">
        <f>IFERROR(INDEX(样本到样信息汇总统计!U$2:U$500,MATCH(26,样本到样信息汇总统计!$Y$2:$Y$500,0)),"")</f>
        <v/>
      </c>
      <c r="V27" s="8" t="str">
        <f>IFERROR(INDEX(样本到样信息汇总统计!V$2:V$500,MATCH(26,样本到样信息汇总统计!$Y$2:$Y$500,0)),"")</f>
        <v/>
      </c>
      <c r="W27" s="8" t="str">
        <f>IFERROR(INDEX(样本到样信息汇总统计!W$2:W$500,MATCH(26,样本到样信息汇总统计!$Y$2:$Y$500,0)),"")</f>
        <v/>
      </c>
    </row>
    <row r="28" ht="14.5" spans="1:23">
      <c r="A28" s="4" t="str">
        <f>IFERROR(INDEX(样本到样信息汇总统计!A$2:A$500,MATCH(27,样本到样信息汇总统计!$Y$2:$Y$500,0)),"")</f>
        <v/>
      </c>
      <c r="B28" s="4" t="str">
        <f>IFERROR(INDEX(样本到样信息汇总统计!B$2:B$500,MATCH(27,样本到样信息汇总统计!$Y$2:$Y$500,0)),"")</f>
        <v/>
      </c>
      <c r="C28" s="4" t="str">
        <f>IFERROR(INDEX(样本到样信息汇总统计!C$2:C$500,MATCH(27,样本到样信息汇总统计!$Y$2:$Y$500,0)),"")</f>
        <v/>
      </c>
      <c r="D28" s="4" t="str">
        <f>IFERROR(INDEX(样本到样信息汇总统计!D$2:D$500,MATCH(27,样本到样信息汇总统计!$Y$2:$Y$500,0)),"")</f>
        <v/>
      </c>
      <c r="E28" s="4" t="str">
        <f>IFERROR(INDEX(样本到样信息汇总统计!E$2:E$500,MATCH(27,样本到样信息汇总统计!$Y$2:$Y$500,0)),"")</f>
        <v/>
      </c>
      <c r="F28" s="4" t="str">
        <f>IFERROR(INDEX(样本到样信息汇总统计!F$2:F$500,MATCH(27,样本到样信息汇总统计!$Y$2:$Y$500,0)),"")</f>
        <v/>
      </c>
      <c r="G28" s="4" t="str">
        <f>IFERROR(INDEX(样本到样信息汇总统计!G$2:G$500,MATCH(27,样本到样信息汇总统计!$Y$2:$Y$500,0)),"")</f>
        <v/>
      </c>
      <c r="H28" s="4" t="str">
        <f>IFERROR(INDEX(样本到样信息汇总统计!H$2:H$500,MATCH(27,样本到样信息汇总统计!$Y$2:$Y$500,0)),"")</f>
        <v/>
      </c>
      <c r="I28" s="4" t="str">
        <f>IFERROR(INDEX(样本到样信息汇总统计!I$2:I$500,MATCH(27,样本到样信息汇总统计!$Y$2:$Y$500,0)),"")</f>
        <v/>
      </c>
      <c r="J28" s="4" t="str">
        <f>IFERROR(INDEX(样本到样信息汇总统计!J$2:J$500,MATCH(27,样本到样信息汇总统计!$Y$2:$Y$500,0)),"")</f>
        <v/>
      </c>
      <c r="K28" s="4" t="str">
        <f>IFERROR(INDEX(样本到样信息汇总统计!K$2:K$500,MATCH(27,样本到样信息汇总统计!$Y$2:$Y$500,0)),"")</f>
        <v/>
      </c>
      <c r="L28" s="4" t="str">
        <f>IFERROR(INDEX(样本到样信息汇总统计!L$2:L$500,MATCH(27,样本到样信息汇总统计!$Y$2:$Y$500,0)),"")</f>
        <v/>
      </c>
      <c r="M28" s="4" t="str">
        <f>IFERROR(INDEX(样本到样信息汇总统计!M$2:M$500,MATCH(27,样本到样信息汇总统计!$Y$2:$Y$500,0)),"")</f>
        <v/>
      </c>
      <c r="N28" s="4" t="str">
        <f>IFERROR(INDEX(样本到样信息汇总统计!N$2:N$500,MATCH(27,样本到样信息汇总统计!$Y$2:$Y$500,0)),"")</f>
        <v/>
      </c>
      <c r="O28" s="4" t="str">
        <f>IFERROR(INDEX(样本到样信息汇总统计!O$2:O$500,MATCH(27,样本到样信息汇总统计!$Y$2:$Y$500,0)),"")</f>
        <v/>
      </c>
      <c r="P28" s="4" t="str">
        <f>IFERROR(INDEX(样本到样信息汇总统计!P$2:P$500,MATCH(27,样本到样信息汇总统计!$Y$2:$Y$500,0)),"")</f>
        <v/>
      </c>
      <c r="Q28" s="4" t="str">
        <f>IFERROR(INDEX(样本到样信息汇总统计!Q$2:Q$500,MATCH(27,样本到样信息汇总统计!$Y$2:$Y$500,0)),"")</f>
        <v/>
      </c>
      <c r="R28" s="4" t="str">
        <f>IFERROR(INDEX(样本到样信息汇总统计!R$2:R$500,MATCH(27,样本到样信息汇总统计!$Y$2:$Y$500,0)),"")</f>
        <v/>
      </c>
      <c r="S28" s="4" t="str">
        <f>IFERROR(INDEX(样本到样信息汇总统计!S$2:S$500,MATCH(27,样本到样信息汇总统计!$Y$2:$Y$500,0)),"")</f>
        <v/>
      </c>
      <c r="T28" s="4" t="str">
        <f>IFERROR(INDEX(样本到样信息汇总统计!T$2:T$500,MATCH(27,样本到样信息汇总统计!$Y$2:$Y$500,0)),"")</f>
        <v/>
      </c>
      <c r="U28" s="4" t="str">
        <f>IFERROR(INDEX(样本到样信息汇总统计!U$2:U$500,MATCH(27,样本到样信息汇总统计!$Y$2:$Y$500,0)),"")</f>
        <v/>
      </c>
      <c r="V28" s="4" t="str">
        <f>IFERROR(INDEX(样本到样信息汇总统计!V$2:V$500,MATCH(27,样本到样信息汇总统计!$Y$2:$Y$500,0)),"")</f>
        <v/>
      </c>
      <c r="W28" s="4" t="str">
        <f>IFERROR(INDEX(样本到样信息汇总统计!W$2:W$500,MATCH(27,样本到样信息汇总统计!$Y$2:$Y$500,0)),"")</f>
        <v/>
      </c>
    </row>
    <row r="29" ht="14.5" spans="1:23">
      <c r="A29" s="8" t="str">
        <f>IFERROR(INDEX(样本到样信息汇总统计!A$2:A$500,MATCH(28,样本到样信息汇总统计!$Y$2:$Y$500,0)),"")</f>
        <v/>
      </c>
      <c r="B29" s="8" t="str">
        <f>IFERROR(INDEX(样本到样信息汇总统计!B$2:B$500,MATCH(28,样本到样信息汇总统计!$Y$2:$Y$500,0)),"")</f>
        <v/>
      </c>
      <c r="C29" s="8" t="str">
        <f>IFERROR(INDEX(样本到样信息汇总统计!C$2:C$500,MATCH(28,样本到样信息汇总统计!$Y$2:$Y$500,0)),"")</f>
        <v/>
      </c>
      <c r="D29" s="8" t="str">
        <f>IFERROR(INDEX(样本到样信息汇总统计!D$2:D$500,MATCH(28,样本到样信息汇总统计!$Y$2:$Y$500,0)),"")</f>
        <v/>
      </c>
      <c r="E29" s="8" t="str">
        <f>IFERROR(INDEX(样本到样信息汇总统计!E$2:E$500,MATCH(28,样本到样信息汇总统计!$Y$2:$Y$500,0)),"")</f>
        <v/>
      </c>
      <c r="F29" s="8" t="str">
        <f>IFERROR(INDEX(样本到样信息汇总统计!F$2:F$500,MATCH(28,样本到样信息汇总统计!$Y$2:$Y$500,0)),"")</f>
        <v/>
      </c>
      <c r="G29" s="8" t="str">
        <f>IFERROR(INDEX(样本到样信息汇总统计!G$2:G$500,MATCH(28,样本到样信息汇总统计!$Y$2:$Y$500,0)),"")</f>
        <v/>
      </c>
      <c r="H29" s="8" t="str">
        <f>IFERROR(INDEX(样本到样信息汇总统计!H$2:H$500,MATCH(28,样本到样信息汇总统计!$Y$2:$Y$500,0)),"")</f>
        <v/>
      </c>
      <c r="I29" s="8" t="str">
        <f>IFERROR(INDEX(样本到样信息汇总统计!I$2:I$500,MATCH(28,样本到样信息汇总统计!$Y$2:$Y$500,0)),"")</f>
        <v/>
      </c>
      <c r="J29" s="8" t="str">
        <f>IFERROR(INDEX(样本到样信息汇总统计!J$2:J$500,MATCH(28,样本到样信息汇总统计!$Y$2:$Y$500,0)),"")</f>
        <v/>
      </c>
      <c r="K29" s="8" t="str">
        <f>IFERROR(INDEX(样本到样信息汇总统计!K$2:K$500,MATCH(28,样本到样信息汇总统计!$Y$2:$Y$500,0)),"")</f>
        <v/>
      </c>
      <c r="L29" s="8" t="str">
        <f>IFERROR(INDEX(样本到样信息汇总统计!L$2:L$500,MATCH(28,样本到样信息汇总统计!$Y$2:$Y$500,0)),"")</f>
        <v/>
      </c>
      <c r="M29" s="8" t="str">
        <f>IFERROR(INDEX(样本到样信息汇总统计!M$2:M$500,MATCH(28,样本到样信息汇总统计!$Y$2:$Y$500,0)),"")</f>
        <v/>
      </c>
      <c r="N29" s="8" t="str">
        <f>IFERROR(INDEX(样本到样信息汇总统计!N$2:N$500,MATCH(28,样本到样信息汇总统计!$Y$2:$Y$500,0)),"")</f>
        <v/>
      </c>
      <c r="O29" s="8" t="str">
        <f>IFERROR(INDEX(样本到样信息汇总统计!O$2:O$500,MATCH(28,样本到样信息汇总统计!$Y$2:$Y$500,0)),"")</f>
        <v/>
      </c>
      <c r="P29" s="8" t="str">
        <f>IFERROR(INDEX(样本到样信息汇总统计!P$2:P$500,MATCH(28,样本到样信息汇总统计!$Y$2:$Y$500,0)),"")</f>
        <v/>
      </c>
      <c r="Q29" s="8" t="str">
        <f>IFERROR(INDEX(样本到样信息汇总统计!Q$2:Q$500,MATCH(28,样本到样信息汇总统计!$Y$2:$Y$500,0)),"")</f>
        <v/>
      </c>
      <c r="R29" s="8" t="str">
        <f>IFERROR(INDEX(样本到样信息汇总统计!R$2:R$500,MATCH(28,样本到样信息汇总统计!$Y$2:$Y$500,0)),"")</f>
        <v/>
      </c>
      <c r="S29" s="8" t="str">
        <f>IFERROR(INDEX(样本到样信息汇总统计!S$2:S$500,MATCH(28,样本到样信息汇总统计!$Y$2:$Y$500,0)),"")</f>
        <v/>
      </c>
      <c r="T29" s="8" t="str">
        <f>IFERROR(INDEX(样本到样信息汇总统计!T$2:T$500,MATCH(28,样本到样信息汇总统计!$Y$2:$Y$500,0)),"")</f>
        <v/>
      </c>
      <c r="U29" s="8" t="str">
        <f>IFERROR(INDEX(样本到样信息汇总统计!U$2:U$500,MATCH(28,样本到样信息汇总统计!$Y$2:$Y$500,0)),"")</f>
        <v/>
      </c>
      <c r="V29" s="8" t="str">
        <f>IFERROR(INDEX(样本到样信息汇总统计!V$2:V$500,MATCH(28,样本到样信息汇总统计!$Y$2:$Y$500,0)),"")</f>
        <v/>
      </c>
      <c r="W29" s="8" t="str">
        <f>IFERROR(INDEX(样本到样信息汇总统计!W$2:W$500,MATCH(28,样本到样信息汇总统计!$Y$2:$Y$500,0)),"")</f>
        <v/>
      </c>
    </row>
    <row r="30" ht="14.5" spans="1:23">
      <c r="A30" s="4" t="str">
        <f>IFERROR(INDEX(样本到样信息汇总统计!A$2:A$500,MATCH(29,样本到样信息汇总统计!$Y$2:$Y$500,0)),"")</f>
        <v/>
      </c>
      <c r="B30" s="4" t="str">
        <f>IFERROR(INDEX(样本到样信息汇总统计!B$2:B$500,MATCH(29,样本到样信息汇总统计!$Y$2:$Y$500,0)),"")</f>
        <v/>
      </c>
      <c r="C30" s="4" t="str">
        <f>IFERROR(INDEX(样本到样信息汇总统计!C$2:C$500,MATCH(29,样本到样信息汇总统计!$Y$2:$Y$500,0)),"")</f>
        <v/>
      </c>
      <c r="D30" s="4" t="str">
        <f>IFERROR(INDEX(样本到样信息汇总统计!D$2:D$500,MATCH(29,样本到样信息汇总统计!$Y$2:$Y$500,0)),"")</f>
        <v/>
      </c>
      <c r="E30" s="4" t="str">
        <f>IFERROR(INDEX(样本到样信息汇总统计!E$2:E$500,MATCH(29,样本到样信息汇总统计!$Y$2:$Y$500,0)),"")</f>
        <v/>
      </c>
      <c r="F30" s="4" t="str">
        <f>IFERROR(INDEX(样本到样信息汇总统计!F$2:F$500,MATCH(29,样本到样信息汇总统计!$Y$2:$Y$500,0)),"")</f>
        <v/>
      </c>
      <c r="G30" s="4" t="str">
        <f>IFERROR(INDEX(样本到样信息汇总统计!G$2:G$500,MATCH(29,样本到样信息汇总统计!$Y$2:$Y$500,0)),"")</f>
        <v/>
      </c>
      <c r="H30" s="4" t="str">
        <f>IFERROR(INDEX(样本到样信息汇总统计!H$2:H$500,MATCH(29,样本到样信息汇总统计!$Y$2:$Y$500,0)),"")</f>
        <v/>
      </c>
      <c r="I30" s="4" t="str">
        <f>IFERROR(INDEX(样本到样信息汇总统计!I$2:I$500,MATCH(29,样本到样信息汇总统计!$Y$2:$Y$500,0)),"")</f>
        <v/>
      </c>
      <c r="J30" s="4" t="str">
        <f>IFERROR(INDEX(样本到样信息汇总统计!J$2:J$500,MATCH(29,样本到样信息汇总统计!$Y$2:$Y$500,0)),"")</f>
        <v/>
      </c>
      <c r="K30" s="4" t="str">
        <f>IFERROR(INDEX(样本到样信息汇总统计!K$2:K$500,MATCH(29,样本到样信息汇总统计!$Y$2:$Y$500,0)),"")</f>
        <v/>
      </c>
      <c r="L30" s="4" t="str">
        <f>IFERROR(INDEX(样本到样信息汇总统计!L$2:L$500,MATCH(29,样本到样信息汇总统计!$Y$2:$Y$500,0)),"")</f>
        <v/>
      </c>
      <c r="M30" s="4" t="str">
        <f>IFERROR(INDEX(样本到样信息汇总统计!M$2:M$500,MATCH(29,样本到样信息汇总统计!$Y$2:$Y$500,0)),"")</f>
        <v/>
      </c>
      <c r="N30" s="4" t="str">
        <f>IFERROR(INDEX(样本到样信息汇总统计!N$2:N$500,MATCH(29,样本到样信息汇总统计!$Y$2:$Y$500,0)),"")</f>
        <v/>
      </c>
      <c r="O30" s="4" t="str">
        <f>IFERROR(INDEX(样本到样信息汇总统计!O$2:O$500,MATCH(29,样本到样信息汇总统计!$Y$2:$Y$500,0)),"")</f>
        <v/>
      </c>
      <c r="P30" s="4" t="str">
        <f>IFERROR(INDEX(样本到样信息汇总统计!P$2:P$500,MATCH(29,样本到样信息汇总统计!$Y$2:$Y$500,0)),"")</f>
        <v/>
      </c>
      <c r="Q30" s="4" t="str">
        <f>IFERROR(INDEX(样本到样信息汇总统计!Q$2:Q$500,MATCH(29,样本到样信息汇总统计!$Y$2:$Y$500,0)),"")</f>
        <v/>
      </c>
      <c r="R30" s="4" t="str">
        <f>IFERROR(INDEX(样本到样信息汇总统计!R$2:R$500,MATCH(29,样本到样信息汇总统计!$Y$2:$Y$500,0)),"")</f>
        <v/>
      </c>
      <c r="S30" s="4" t="str">
        <f>IFERROR(INDEX(样本到样信息汇总统计!S$2:S$500,MATCH(29,样本到样信息汇总统计!$Y$2:$Y$500,0)),"")</f>
        <v/>
      </c>
      <c r="T30" s="4" t="str">
        <f>IFERROR(INDEX(样本到样信息汇总统计!T$2:T$500,MATCH(29,样本到样信息汇总统计!$Y$2:$Y$500,0)),"")</f>
        <v/>
      </c>
      <c r="U30" s="4" t="str">
        <f>IFERROR(INDEX(样本到样信息汇总统计!U$2:U$500,MATCH(29,样本到样信息汇总统计!$Y$2:$Y$500,0)),"")</f>
        <v/>
      </c>
      <c r="V30" s="4" t="str">
        <f>IFERROR(INDEX(样本到样信息汇总统计!V$2:V$500,MATCH(29,样本到样信息汇总统计!$Y$2:$Y$500,0)),"")</f>
        <v/>
      </c>
      <c r="W30" s="4" t="str">
        <f>IFERROR(INDEX(样本到样信息汇总统计!W$2:W$500,MATCH(29,样本到样信息汇总统计!$Y$2:$Y$500,0)),"")</f>
        <v/>
      </c>
    </row>
    <row r="31" ht="14.5" spans="1:23">
      <c r="A31" s="8" t="str">
        <f>IFERROR(INDEX(样本到样信息汇总统计!A$2:A$500,MATCH(30,样本到样信息汇总统计!$Y$2:$Y$500,0)),"")</f>
        <v/>
      </c>
      <c r="B31" s="8" t="str">
        <f>IFERROR(INDEX(样本到样信息汇总统计!B$2:B$500,MATCH(30,样本到样信息汇总统计!$Y$2:$Y$500,0)),"")</f>
        <v/>
      </c>
      <c r="C31" s="8" t="str">
        <f>IFERROR(INDEX(样本到样信息汇总统计!C$2:C$500,MATCH(30,样本到样信息汇总统计!$Y$2:$Y$500,0)),"")</f>
        <v/>
      </c>
      <c r="D31" s="8" t="str">
        <f>IFERROR(INDEX(样本到样信息汇总统计!D$2:D$500,MATCH(30,样本到样信息汇总统计!$Y$2:$Y$500,0)),"")</f>
        <v/>
      </c>
      <c r="E31" s="8" t="str">
        <f>IFERROR(INDEX(样本到样信息汇总统计!E$2:E$500,MATCH(30,样本到样信息汇总统计!$Y$2:$Y$500,0)),"")</f>
        <v/>
      </c>
      <c r="F31" s="8" t="str">
        <f>IFERROR(INDEX(样本到样信息汇总统计!F$2:F$500,MATCH(30,样本到样信息汇总统计!$Y$2:$Y$500,0)),"")</f>
        <v/>
      </c>
      <c r="G31" s="8" t="str">
        <f>IFERROR(INDEX(样本到样信息汇总统计!G$2:G$500,MATCH(30,样本到样信息汇总统计!$Y$2:$Y$500,0)),"")</f>
        <v/>
      </c>
      <c r="H31" s="8" t="str">
        <f>IFERROR(INDEX(样本到样信息汇总统计!H$2:H$500,MATCH(30,样本到样信息汇总统计!$Y$2:$Y$500,0)),"")</f>
        <v/>
      </c>
      <c r="I31" s="8" t="str">
        <f>IFERROR(INDEX(样本到样信息汇总统计!I$2:I$500,MATCH(30,样本到样信息汇总统计!$Y$2:$Y$500,0)),"")</f>
        <v/>
      </c>
      <c r="J31" s="8" t="str">
        <f>IFERROR(INDEX(样本到样信息汇总统计!J$2:J$500,MATCH(30,样本到样信息汇总统计!$Y$2:$Y$500,0)),"")</f>
        <v/>
      </c>
      <c r="K31" s="8" t="str">
        <f>IFERROR(INDEX(样本到样信息汇总统计!K$2:K$500,MATCH(30,样本到样信息汇总统计!$Y$2:$Y$500,0)),"")</f>
        <v/>
      </c>
      <c r="L31" s="8" t="str">
        <f>IFERROR(INDEX(样本到样信息汇总统计!L$2:L$500,MATCH(30,样本到样信息汇总统计!$Y$2:$Y$500,0)),"")</f>
        <v/>
      </c>
      <c r="M31" s="8" t="str">
        <f>IFERROR(INDEX(样本到样信息汇总统计!M$2:M$500,MATCH(30,样本到样信息汇总统计!$Y$2:$Y$500,0)),"")</f>
        <v/>
      </c>
      <c r="N31" s="8" t="str">
        <f>IFERROR(INDEX(样本到样信息汇总统计!N$2:N$500,MATCH(30,样本到样信息汇总统计!$Y$2:$Y$500,0)),"")</f>
        <v/>
      </c>
      <c r="O31" s="8" t="str">
        <f>IFERROR(INDEX(样本到样信息汇总统计!O$2:O$500,MATCH(30,样本到样信息汇总统计!$Y$2:$Y$500,0)),"")</f>
        <v/>
      </c>
      <c r="P31" s="8" t="str">
        <f>IFERROR(INDEX(样本到样信息汇总统计!P$2:P$500,MATCH(30,样本到样信息汇总统计!$Y$2:$Y$500,0)),"")</f>
        <v/>
      </c>
      <c r="Q31" s="8" t="str">
        <f>IFERROR(INDEX(样本到样信息汇总统计!Q$2:Q$500,MATCH(30,样本到样信息汇总统计!$Y$2:$Y$500,0)),"")</f>
        <v/>
      </c>
      <c r="R31" s="8" t="str">
        <f>IFERROR(INDEX(样本到样信息汇总统计!R$2:R$500,MATCH(30,样本到样信息汇总统计!$Y$2:$Y$500,0)),"")</f>
        <v/>
      </c>
      <c r="S31" s="8" t="str">
        <f>IFERROR(INDEX(样本到样信息汇总统计!S$2:S$500,MATCH(30,样本到样信息汇总统计!$Y$2:$Y$500,0)),"")</f>
        <v/>
      </c>
      <c r="T31" s="8" t="str">
        <f>IFERROR(INDEX(样本到样信息汇总统计!T$2:T$500,MATCH(30,样本到样信息汇总统计!$Y$2:$Y$500,0)),"")</f>
        <v/>
      </c>
      <c r="U31" s="8" t="str">
        <f>IFERROR(INDEX(样本到样信息汇总统计!U$2:U$500,MATCH(30,样本到样信息汇总统计!$Y$2:$Y$500,0)),"")</f>
        <v/>
      </c>
      <c r="V31" s="8" t="str">
        <f>IFERROR(INDEX(样本到样信息汇总统计!V$2:V$500,MATCH(30,样本到样信息汇总统计!$Y$2:$Y$500,0)),"")</f>
        <v/>
      </c>
      <c r="W31" s="8" t="str">
        <f>IFERROR(INDEX(样本到样信息汇总统计!W$2:W$500,MATCH(30,样本到样信息汇总统计!$Y$2:$Y$500,0)),"")</f>
        <v/>
      </c>
    </row>
    <row r="32" ht="14.5" spans="1:23">
      <c r="A32" s="4" t="str">
        <f>IFERROR(INDEX(样本到样信息汇总统计!A$2:A$500,MATCH(31,样本到样信息汇总统计!$Y$2:$Y$500,0)),"")</f>
        <v/>
      </c>
      <c r="B32" s="4" t="str">
        <f>IFERROR(INDEX(样本到样信息汇总统计!B$2:B$500,MATCH(31,样本到样信息汇总统计!$Y$2:$Y$500,0)),"")</f>
        <v/>
      </c>
      <c r="C32" s="4" t="str">
        <f>IFERROR(INDEX(样本到样信息汇总统计!C$2:C$500,MATCH(31,样本到样信息汇总统计!$Y$2:$Y$500,0)),"")</f>
        <v/>
      </c>
      <c r="D32" s="4" t="str">
        <f>IFERROR(INDEX(样本到样信息汇总统计!D$2:D$500,MATCH(31,样本到样信息汇总统计!$Y$2:$Y$500,0)),"")</f>
        <v/>
      </c>
      <c r="E32" s="4" t="str">
        <f>IFERROR(INDEX(样本到样信息汇总统计!E$2:E$500,MATCH(31,样本到样信息汇总统计!$Y$2:$Y$500,0)),"")</f>
        <v/>
      </c>
      <c r="F32" s="4" t="str">
        <f>IFERROR(INDEX(样本到样信息汇总统计!F$2:F$500,MATCH(31,样本到样信息汇总统计!$Y$2:$Y$500,0)),"")</f>
        <v/>
      </c>
      <c r="G32" s="4" t="str">
        <f>IFERROR(INDEX(样本到样信息汇总统计!G$2:G$500,MATCH(31,样本到样信息汇总统计!$Y$2:$Y$500,0)),"")</f>
        <v/>
      </c>
      <c r="H32" s="4" t="str">
        <f>IFERROR(INDEX(样本到样信息汇总统计!H$2:H$500,MATCH(31,样本到样信息汇总统计!$Y$2:$Y$500,0)),"")</f>
        <v/>
      </c>
      <c r="I32" s="4" t="str">
        <f>IFERROR(INDEX(样本到样信息汇总统计!I$2:I$500,MATCH(31,样本到样信息汇总统计!$Y$2:$Y$500,0)),"")</f>
        <v/>
      </c>
      <c r="J32" s="4" t="str">
        <f>IFERROR(INDEX(样本到样信息汇总统计!J$2:J$500,MATCH(31,样本到样信息汇总统计!$Y$2:$Y$500,0)),"")</f>
        <v/>
      </c>
      <c r="K32" s="4" t="str">
        <f>IFERROR(INDEX(样本到样信息汇总统计!K$2:K$500,MATCH(31,样本到样信息汇总统计!$Y$2:$Y$500,0)),"")</f>
        <v/>
      </c>
      <c r="L32" s="4" t="str">
        <f>IFERROR(INDEX(样本到样信息汇总统计!L$2:L$500,MATCH(31,样本到样信息汇总统计!$Y$2:$Y$500,0)),"")</f>
        <v/>
      </c>
      <c r="M32" s="4" t="str">
        <f>IFERROR(INDEX(样本到样信息汇总统计!M$2:M$500,MATCH(31,样本到样信息汇总统计!$Y$2:$Y$500,0)),"")</f>
        <v/>
      </c>
      <c r="N32" s="4" t="str">
        <f>IFERROR(INDEX(样本到样信息汇总统计!N$2:N$500,MATCH(31,样本到样信息汇总统计!$Y$2:$Y$500,0)),"")</f>
        <v/>
      </c>
      <c r="O32" s="4" t="str">
        <f>IFERROR(INDEX(样本到样信息汇总统计!O$2:O$500,MATCH(31,样本到样信息汇总统计!$Y$2:$Y$500,0)),"")</f>
        <v/>
      </c>
      <c r="P32" s="4" t="str">
        <f>IFERROR(INDEX(样本到样信息汇总统计!P$2:P$500,MATCH(31,样本到样信息汇总统计!$Y$2:$Y$500,0)),"")</f>
        <v/>
      </c>
      <c r="Q32" s="4" t="str">
        <f>IFERROR(INDEX(样本到样信息汇总统计!Q$2:Q$500,MATCH(31,样本到样信息汇总统计!$Y$2:$Y$500,0)),"")</f>
        <v/>
      </c>
      <c r="R32" s="4" t="str">
        <f>IFERROR(INDEX(样本到样信息汇总统计!R$2:R$500,MATCH(31,样本到样信息汇总统计!$Y$2:$Y$500,0)),"")</f>
        <v/>
      </c>
      <c r="S32" s="4" t="str">
        <f>IFERROR(INDEX(样本到样信息汇总统计!S$2:S$500,MATCH(31,样本到样信息汇总统计!$Y$2:$Y$500,0)),"")</f>
        <v/>
      </c>
      <c r="T32" s="4" t="str">
        <f>IFERROR(INDEX(样本到样信息汇总统计!T$2:T$500,MATCH(31,样本到样信息汇总统计!$Y$2:$Y$500,0)),"")</f>
        <v/>
      </c>
      <c r="U32" s="4" t="str">
        <f>IFERROR(INDEX(样本到样信息汇总统计!U$2:U$500,MATCH(31,样本到样信息汇总统计!$Y$2:$Y$500,0)),"")</f>
        <v/>
      </c>
      <c r="V32" s="4" t="str">
        <f>IFERROR(INDEX(样本到样信息汇总统计!V$2:V$500,MATCH(31,样本到样信息汇总统计!$Y$2:$Y$500,0)),"")</f>
        <v/>
      </c>
      <c r="W32" s="4" t="str">
        <f>IFERROR(INDEX(样本到样信息汇总统计!W$2:W$500,MATCH(31,样本到样信息汇总统计!$Y$2:$Y$500,0)),"")</f>
        <v/>
      </c>
    </row>
    <row r="33" ht="14.5" spans="1:23">
      <c r="A33" s="8" t="str">
        <f>IFERROR(INDEX(样本到样信息汇总统计!A$2:A$500,MATCH(32,样本到样信息汇总统计!$Y$2:$Y$500,0)),"")</f>
        <v/>
      </c>
      <c r="B33" s="8" t="str">
        <f>IFERROR(INDEX(样本到样信息汇总统计!B$2:B$500,MATCH(32,样本到样信息汇总统计!$Y$2:$Y$500,0)),"")</f>
        <v/>
      </c>
      <c r="C33" s="8" t="str">
        <f>IFERROR(INDEX(样本到样信息汇总统计!C$2:C$500,MATCH(32,样本到样信息汇总统计!$Y$2:$Y$500,0)),"")</f>
        <v/>
      </c>
      <c r="D33" s="8" t="str">
        <f>IFERROR(INDEX(样本到样信息汇总统计!D$2:D$500,MATCH(32,样本到样信息汇总统计!$Y$2:$Y$500,0)),"")</f>
        <v/>
      </c>
      <c r="E33" s="8" t="str">
        <f>IFERROR(INDEX(样本到样信息汇总统计!E$2:E$500,MATCH(32,样本到样信息汇总统计!$Y$2:$Y$500,0)),"")</f>
        <v/>
      </c>
      <c r="F33" s="8" t="str">
        <f>IFERROR(INDEX(样本到样信息汇总统计!F$2:F$500,MATCH(32,样本到样信息汇总统计!$Y$2:$Y$500,0)),"")</f>
        <v/>
      </c>
      <c r="G33" s="8" t="str">
        <f>IFERROR(INDEX(样本到样信息汇总统计!G$2:G$500,MATCH(32,样本到样信息汇总统计!$Y$2:$Y$500,0)),"")</f>
        <v/>
      </c>
      <c r="H33" s="8" t="str">
        <f>IFERROR(INDEX(样本到样信息汇总统计!H$2:H$500,MATCH(32,样本到样信息汇总统计!$Y$2:$Y$500,0)),"")</f>
        <v/>
      </c>
      <c r="I33" s="8" t="str">
        <f>IFERROR(INDEX(样本到样信息汇总统计!I$2:I$500,MATCH(32,样本到样信息汇总统计!$Y$2:$Y$500,0)),"")</f>
        <v/>
      </c>
      <c r="J33" s="8" t="str">
        <f>IFERROR(INDEX(样本到样信息汇总统计!J$2:J$500,MATCH(32,样本到样信息汇总统计!$Y$2:$Y$500,0)),"")</f>
        <v/>
      </c>
      <c r="K33" s="8" t="str">
        <f>IFERROR(INDEX(样本到样信息汇总统计!K$2:K$500,MATCH(32,样本到样信息汇总统计!$Y$2:$Y$500,0)),"")</f>
        <v/>
      </c>
      <c r="L33" s="8" t="str">
        <f>IFERROR(INDEX(样本到样信息汇总统计!L$2:L$500,MATCH(32,样本到样信息汇总统计!$Y$2:$Y$500,0)),"")</f>
        <v/>
      </c>
      <c r="M33" s="8" t="str">
        <f>IFERROR(INDEX(样本到样信息汇总统计!M$2:M$500,MATCH(32,样本到样信息汇总统计!$Y$2:$Y$500,0)),"")</f>
        <v/>
      </c>
      <c r="N33" s="8" t="str">
        <f>IFERROR(INDEX(样本到样信息汇总统计!N$2:N$500,MATCH(32,样本到样信息汇总统计!$Y$2:$Y$500,0)),"")</f>
        <v/>
      </c>
      <c r="O33" s="8" t="str">
        <f>IFERROR(INDEX(样本到样信息汇总统计!O$2:O$500,MATCH(32,样本到样信息汇总统计!$Y$2:$Y$500,0)),"")</f>
        <v/>
      </c>
      <c r="P33" s="8" t="str">
        <f>IFERROR(INDEX(样本到样信息汇总统计!P$2:P$500,MATCH(32,样本到样信息汇总统计!$Y$2:$Y$500,0)),"")</f>
        <v/>
      </c>
      <c r="Q33" s="8" t="str">
        <f>IFERROR(INDEX(样本到样信息汇总统计!Q$2:Q$500,MATCH(32,样本到样信息汇总统计!$Y$2:$Y$500,0)),"")</f>
        <v/>
      </c>
      <c r="R33" s="8" t="str">
        <f>IFERROR(INDEX(样本到样信息汇总统计!R$2:R$500,MATCH(32,样本到样信息汇总统计!$Y$2:$Y$500,0)),"")</f>
        <v/>
      </c>
      <c r="S33" s="8" t="str">
        <f>IFERROR(INDEX(样本到样信息汇总统计!S$2:S$500,MATCH(32,样本到样信息汇总统计!$Y$2:$Y$500,0)),"")</f>
        <v/>
      </c>
      <c r="T33" s="8" t="str">
        <f>IFERROR(INDEX(样本到样信息汇总统计!T$2:T$500,MATCH(32,样本到样信息汇总统计!$Y$2:$Y$500,0)),"")</f>
        <v/>
      </c>
      <c r="U33" s="8" t="str">
        <f>IFERROR(INDEX(样本到样信息汇总统计!U$2:U$500,MATCH(32,样本到样信息汇总统计!$Y$2:$Y$500,0)),"")</f>
        <v/>
      </c>
      <c r="V33" s="8" t="str">
        <f>IFERROR(INDEX(样本到样信息汇总统计!V$2:V$500,MATCH(32,样本到样信息汇总统计!$Y$2:$Y$500,0)),"")</f>
        <v/>
      </c>
      <c r="W33" s="8" t="str">
        <f>IFERROR(INDEX(样本到样信息汇总统计!W$2:W$500,MATCH(32,样本到样信息汇总统计!$Y$2:$Y$500,0)),"")</f>
        <v/>
      </c>
    </row>
    <row r="34" ht="14.5" spans="1:23">
      <c r="A34" s="4" t="str">
        <f>IFERROR(INDEX(样本到样信息汇总统计!A$2:A$500,MATCH(33,样本到样信息汇总统计!$Y$2:$Y$500,0)),"")</f>
        <v/>
      </c>
      <c r="B34" s="4" t="str">
        <f>IFERROR(INDEX(样本到样信息汇总统计!B$2:B$500,MATCH(33,样本到样信息汇总统计!$Y$2:$Y$500,0)),"")</f>
        <v/>
      </c>
      <c r="C34" s="4" t="str">
        <f>IFERROR(INDEX(样本到样信息汇总统计!C$2:C$500,MATCH(33,样本到样信息汇总统计!$Y$2:$Y$500,0)),"")</f>
        <v/>
      </c>
      <c r="D34" s="4" t="str">
        <f>IFERROR(INDEX(样本到样信息汇总统计!D$2:D$500,MATCH(33,样本到样信息汇总统计!$Y$2:$Y$500,0)),"")</f>
        <v/>
      </c>
      <c r="E34" s="4" t="str">
        <f>IFERROR(INDEX(样本到样信息汇总统计!E$2:E$500,MATCH(33,样本到样信息汇总统计!$Y$2:$Y$500,0)),"")</f>
        <v/>
      </c>
      <c r="F34" s="4" t="str">
        <f>IFERROR(INDEX(样本到样信息汇总统计!F$2:F$500,MATCH(33,样本到样信息汇总统计!$Y$2:$Y$500,0)),"")</f>
        <v/>
      </c>
      <c r="G34" s="4" t="str">
        <f>IFERROR(INDEX(样本到样信息汇总统计!G$2:G$500,MATCH(33,样本到样信息汇总统计!$Y$2:$Y$500,0)),"")</f>
        <v/>
      </c>
      <c r="H34" s="4" t="str">
        <f>IFERROR(INDEX(样本到样信息汇总统计!H$2:H$500,MATCH(33,样本到样信息汇总统计!$Y$2:$Y$500,0)),"")</f>
        <v/>
      </c>
      <c r="I34" s="4" t="str">
        <f>IFERROR(INDEX(样本到样信息汇总统计!I$2:I$500,MATCH(33,样本到样信息汇总统计!$Y$2:$Y$500,0)),"")</f>
        <v/>
      </c>
      <c r="J34" s="4" t="str">
        <f>IFERROR(INDEX(样本到样信息汇总统计!J$2:J$500,MATCH(33,样本到样信息汇总统计!$Y$2:$Y$500,0)),"")</f>
        <v/>
      </c>
      <c r="K34" s="4" t="str">
        <f>IFERROR(INDEX(样本到样信息汇总统计!K$2:K$500,MATCH(33,样本到样信息汇总统计!$Y$2:$Y$500,0)),"")</f>
        <v/>
      </c>
      <c r="L34" s="4" t="str">
        <f>IFERROR(INDEX(样本到样信息汇总统计!L$2:L$500,MATCH(33,样本到样信息汇总统计!$Y$2:$Y$500,0)),"")</f>
        <v/>
      </c>
      <c r="M34" s="4" t="str">
        <f>IFERROR(INDEX(样本到样信息汇总统计!M$2:M$500,MATCH(33,样本到样信息汇总统计!$Y$2:$Y$500,0)),"")</f>
        <v/>
      </c>
      <c r="N34" s="4" t="str">
        <f>IFERROR(INDEX(样本到样信息汇总统计!N$2:N$500,MATCH(33,样本到样信息汇总统计!$Y$2:$Y$500,0)),"")</f>
        <v/>
      </c>
      <c r="O34" s="4" t="str">
        <f>IFERROR(INDEX(样本到样信息汇总统计!O$2:O$500,MATCH(33,样本到样信息汇总统计!$Y$2:$Y$500,0)),"")</f>
        <v/>
      </c>
      <c r="P34" s="4" t="str">
        <f>IFERROR(INDEX(样本到样信息汇总统计!P$2:P$500,MATCH(33,样本到样信息汇总统计!$Y$2:$Y$500,0)),"")</f>
        <v/>
      </c>
      <c r="Q34" s="4" t="str">
        <f>IFERROR(INDEX(样本到样信息汇总统计!Q$2:Q$500,MATCH(33,样本到样信息汇总统计!$Y$2:$Y$500,0)),"")</f>
        <v/>
      </c>
      <c r="R34" s="4" t="str">
        <f>IFERROR(INDEX(样本到样信息汇总统计!R$2:R$500,MATCH(33,样本到样信息汇总统计!$Y$2:$Y$500,0)),"")</f>
        <v/>
      </c>
      <c r="S34" s="4" t="str">
        <f>IFERROR(INDEX(样本到样信息汇总统计!S$2:S$500,MATCH(33,样本到样信息汇总统计!$Y$2:$Y$500,0)),"")</f>
        <v/>
      </c>
      <c r="T34" s="4" t="str">
        <f>IFERROR(INDEX(样本到样信息汇总统计!T$2:T$500,MATCH(33,样本到样信息汇总统计!$Y$2:$Y$500,0)),"")</f>
        <v/>
      </c>
      <c r="U34" s="4" t="str">
        <f>IFERROR(INDEX(样本到样信息汇总统计!U$2:U$500,MATCH(33,样本到样信息汇总统计!$Y$2:$Y$500,0)),"")</f>
        <v/>
      </c>
      <c r="V34" s="4" t="str">
        <f>IFERROR(INDEX(样本到样信息汇总统计!V$2:V$500,MATCH(33,样本到样信息汇总统计!$Y$2:$Y$500,0)),"")</f>
        <v/>
      </c>
      <c r="W34" s="4" t="str">
        <f>IFERROR(INDEX(样本到样信息汇总统计!W$2:W$500,MATCH(33,样本到样信息汇总统计!$Y$2:$Y$500,0)),"")</f>
        <v/>
      </c>
    </row>
    <row r="35" ht="14.5" spans="1:23">
      <c r="A35" s="8" t="str">
        <f>IFERROR(INDEX(样本到样信息汇总统计!A$2:A$500,MATCH(34,样本到样信息汇总统计!$Y$2:$Y$500,0)),"")</f>
        <v/>
      </c>
      <c r="B35" s="8" t="str">
        <f>IFERROR(INDEX(样本到样信息汇总统计!B$2:B$500,MATCH(34,样本到样信息汇总统计!$Y$2:$Y$500,0)),"")</f>
        <v/>
      </c>
      <c r="C35" s="8" t="str">
        <f>IFERROR(INDEX(样本到样信息汇总统计!C$2:C$500,MATCH(34,样本到样信息汇总统计!$Y$2:$Y$500,0)),"")</f>
        <v/>
      </c>
      <c r="D35" s="8" t="str">
        <f>IFERROR(INDEX(样本到样信息汇总统计!D$2:D$500,MATCH(34,样本到样信息汇总统计!$Y$2:$Y$500,0)),"")</f>
        <v/>
      </c>
      <c r="E35" s="8" t="str">
        <f>IFERROR(INDEX(样本到样信息汇总统计!E$2:E$500,MATCH(34,样本到样信息汇总统计!$Y$2:$Y$500,0)),"")</f>
        <v/>
      </c>
      <c r="F35" s="8" t="str">
        <f>IFERROR(INDEX(样本到样信息汇总统计!F$2:F$500,MATCH(34,样本到样信息汇总统计!$Y$2:$Y$500,0)),"")</f>
        <v/>
      </c>
      <c r="G35" s="8" t="str">
        <f>IFERROR(INDEX(样本到样信息汇总统计!G$2:G$500,MATCH(34,样本到样信息汇总统计!$Y$2:$Y$500,0)),"")</f>
        <v/>
      </c>
      <c r="H35" s="8" t="str">
        <f>IFERROR(INDEX(样本到样信息汇总统计!H$2:H$500,MATCH(34,样本到样信息汇总统计!$Y$2:$Y$500,0)),"")</f>
        <v/>
      </c>
      <c r="I35" s="8" t="str">
        <f>IFERROR(INDEX(样本到样信息汇总统计!I$2:I$500,MATCH(34,样本到样信息汇总统计!$Y$2:$Y$500,0)),"")</f>
        <v/>
      </c>
      <c r="J35" s="8" t="str">
        <f>IFERROR(INDEX(样本到样信息汇总统计!J$2:J$500,MATCH(34,样本到样信息汇总统计!$Y$2:$Y$500,0)),"")</f>
        <v/>
      </c>
      <c r="K35" s="8" t="str">
        <f>IFERROR(INDEX(样本到样信息汇总统计!K$2:K$500,MATCH(34,样本到样信息汇总统计!$Y$2:$Y$500,0)),"")</f>
        <v/>
      </c>
      <c r="L35" s="8" t="str">
        <f>IFERROR(INDEX(样本到样信息汇总统计!L$2:L$500,MATCH(34,样本到样信息汇总统计!$Y$2:$Y$500,0)),"")</f>
        <v/>
      </c>
      <c r="M35" s="8" t="str">
        <f>IFERROR(INDEX(样本到样信息汇总统计!M$2:M$500,MATCH(34,样本到样信息汇总统计!$Y$2:$Y$500,0)),"")</f>
        <v/>
      </c>
      <c r="N35" s="8" t="str">
        <f>IFERROR(INDEX(样本到样信息汇总统计!N$2:N$500,MATCH(34,样本到样信息汇总统计!$Y$2:$Y$500,0)),"")</f>
        <v/>
      </c>
      <c r="O35" s="8" t="str">
        <f>IFERROR(INDEX(样本到样信息汇总统计!O$2:O$500,MATCH(34,样本到样信息汇总统计!$Y$2:$Y$500,0)),"")</f>
        <v/>
      </c>
      <c r="P35" s="8" t="str">
        <f>IFERROR(INDEX(样本到样信息汇总统计!P$2:P$500,MATCH(34,样本到样信息汇总统计!$Y$2:$Y$500,0)),"")</f>
        <v/>
      </c>
      <c r="Q35" s="8" t="str">
        <f>IFERROR(INDEX(样本到样信息汇总统计!Q$2:Q$500,MATCH(34,样本到样信息汇总统计!$Y$2:$Y$500,0)),"")</f>
        <v/>
      </c>
      <c r="R35" s="8" t="str">
        <f>IFERROR(INDEX(样本到样信息汇总统计!R$2:R$500,MATCH(34,样本到样信息汇总统计!$Y$2:$Y$500,0)),"")</f>
        <v/>
      </c>
      <c r="S35" s="8" t="str">
        <f>IFERROR(INDEX(样本到样信息汇总统计!S$2:S$500,MATCH(34,样本到样信息汇总统计!$Y$2:$Y$500,0)),"")</f>
        <v/>
      </c>
      <c r="T35" s="8" t="str">
        <f>IFERROR(INDEX(样本到样信息汇总统计!T$2:T$500,MATCH(34,样本到样信息汇总统计!$Y$2:$Y$500,0)),"")</f>
        <v/>
      </c>
      <c r="U35" s="8" t="str">
        <f>IFERROR(INDEX(样本到样信息汇总统计!U$2:U$500,MATCH(34,样本到样信息汇总统计!$Y$2:$Y$500,0)),"")</f>
        <v/>
      </c>
      <c r="V35" s="8" t="str">
        <f>IFERROR(INDEX(样本到样信息汇总统计!V$2:V$500,MATCH(34,样本到样信息汇总统计!$Y$2:$Y$500,0)),"")</f>
        <v/>
      </c>
      <c r="W35" s="8" t="str">
        <f>IFERROR(INDEX(样本到样信息汇总统计!W$2:W$500,MATCH(34,样本到样信息汇总统计!$Y$2:$Y$500,0)),"")</f>
        <v/>
      </c>
    </row>
    <row r="36" ht="14.5" spans="1:23">
      <c r="A36" s="4" t="str">
        <f>IFERROR(INDEX(样本到样信息汇总统计!A$2:A$500,MATCH(35,样本到样信息汇总统计!$Y$2:$Y$500,0)),"")</f>
        <v/>
      </c>
      <c r="B36" s="4" t="str">
        <f>IFERROR(INDEX(样本到样信息汇总统计!B$2:B$500,MATCH(35,样本到样信息汇总统计!$Y$2:$Y$500,0)),"")</f>
        <v/>
      </c>
      <c r="C36" s="4" t="str">
        <f>IFERROR(INDEX(样本到样信息汇总统计!C$2:C$500,MATCH(35,样本到样信息汇总统计!$Y$2:$Y$500,0)),"")</f>
        <v/>
      </c>
      <c r="D36" s="4" t="str">
        <f>IFERROR(INDEX(样本到样信息汇总统计!D$2:D$500,MATCH(35,样本到样信息汇总统计!$Y$2:$Y$500,0)),"")</f>
        <v/>
      </c>
      <c r="E36" s="4" t="str">
        <f>IFERROR(INDEX(样本到样信息汇总统计!E$2:E$500,MATCH(35,样本到样信息汇总统计!$Y$2:$Y$500,0)),"")</f>
        <v/>
      </c>
      <c r="F36" s="4" t="str">
        <f>IFERROR(INDEX(样本到样信息汇总统计!F$2:F$500,MATCH(35,样本到样信息汇总统计!$Y$2:$Y$500,0)),"")</f>
        <v/>
      </c>
      <c r="G36" s="4" t="str">
        <f>IFERROR(INDEX(样本到样信息汇总统计!G$2:G$500,MATCH(35,样本到样信息汇总统计!$Y$2:$Y$500,0)),"")</f>
        <v/>
      </c>
      <c r="H36" s="4" t="str">
        <f>IFERROR(INDEX(样本到样信息汇总统计!H$2:H$500,MATCH(35,样本到样信息汇总统计!$Y$2:$Y$500,0)),"")</f>
        <v/>
      </c>
      <c r="I36" s="4" t="str">
        <f>IFERROR(INDEX(样本到样信息汇总统计!I$2:I$500,MATCH(35,样本到样信息汇总统计!$Y$2:$Y$500,0)),"")</f>
        <v/>
      </c>
      <c r="J36" s="4" t="str">
        <f>IFERROR(INDEX(样本到样信息汇总统计!J$2:J$500,MATCH(35,样本到样信息汇总统计!$Y$2:$Y$500,0)),"")</f>
        <v/>
      </c>
      <c r="K36" s="4" t="str">
        <f>IFERROR(INDEX(样本到样信息汇总统计!K$2:K$500,MATCH(35,样本到样信息汇总统计!$Y$2:$Y$500,0)),"")</f>
        <v/>
      </c>
      <c r="L36" s="4" t="str">
        <f>IFERROR(INDEX(样本到样信息汇总统计!L$2:L$500,MATCH(35,样本到样信息汇总统计!$Y$2:$Y$500,0)),"")</f>
        <v/>
      </c>
      <c r="M36" s="4" t="str">
        <f>IFERROR(INDEX(样本到样信息汇总统计!M$2:M$500,MATCH(35,样本到样信息汇总统计!$Y$2:$Y$500,0)),"")</f>
        <v/>
      </c>
      <c r="N36" s="4" t="str">
        <f>IFERROR(INDEX(样本到样信息汇总统计!N$2:N$500,MATCH(35,样本到样信息汇总统计!$Y$2:$Y$500,0)),"")</f>
        <v/>
      </c>
      <c r="O36" s="4" t="str">
        <f>IFERROR(INDEX(样本到样信息汇总统计!O$2:O$500,MATCH(35,样本到样信息汇总统计!$Y$2:$Y$500,0)),"")</f>
        <v/>
      </c>
      <c r="P36" s="4" t="str">
        <f>IFERROR(INDEX(样本到样信息汇总统计!P$2:P$500,MATCH(35,样本到样信息汇总统计!$Y$2:$Y$500,0)),"")</f>
        <v/>
      </c>
      <c r="Q36" s="4" t="str">
        <f>IFERROR(INDEX(样本到样信息汇总统计!Q$2:Q$500,MATCH(35,样本到样信息汇总统计!$Y$2:$Y$500,0)),"")</f>
        <v/>
      </c>
      <c r="R36" s="4" t="str">
        <f>IFERROR(INDEX(样本到样信息汇总统计!R$2:R$500,MATCH(35,样本到样信息汇总统计!$Y$2:$Y$500,0)),"")</f>
        <v/>
      </c>
      <c r="S36" s="4" t="str">
        <f>IFERROR(INDEX(样本到样信息汇总统计!S$2:S$500,MATCH(35,样本到样信息汇总统计!$Y$2:$Y$500,0)),"")</f>
        <v/>
      </c>
      <c r="T36" s="4" t="str">
        <f>IFERROR(INDEX(样本到样信息汇总统计!T$2:T$500,MATCH(35,样本到样信息汇总统计!$Y$2:$Y$500,0)),"")</f>
        <v/>
      </c>
      <c r="U36" s="4" t="str">
        <f>IFERROR(INDEX(样本到样信息汇总统计!U$2:U$500,MATCH(35,样本到样信息汇总统计!$Y$2:$Y$500,0)),"")</f>
        <v/>
      </c>
      <c r="V36" s="4" t="str">
        <f>IFERROR(INDEX(样本到样信息汇总统计!V$2:V$500,MATCH(35,样本到样信息汇总统计!$Y$2:$Y$500,0)),"")</f>
        <v/>
      </c>
      <c r="W36" s="4" t="str">
        <f>IFERROR(INDEX(样本到样信息汇总统计!W$2:W$500,MATCH(35,样本到样信息汇总统计!$Y$2:$Y$500,0)),"")</f>
        <v/>
      </c>
    </row>
    <row r="37" ht="14.5" spans="1:23">
      <c r="A37" s="8" t="str">
        <f>IFERROR(INDEX(样本到样信息汇总统计!A$2:A$500,MATCH(36,样本到样信息汇总统计!$Y$2:$Y$500,0)),"")</f>
        <v/>
      </c>
      <c r="B37" s="8" t="str">
        <f>IFERROR(INDEX(样本到样信息汇总统计!B$2:B$500,MATCH(36,样本到样信息汇总统计!$Y$2:$Y$500,0)),"")</f>
        <v/>
      </c>
      <c r="C37" s="8" t="str">
        <f>IFERROR(INDEX(样本到样信息汇总统计!C$2:C$500,MATCH(36,样本到样信息汇总统计!$Y$2:$Y$500,0)),"")</f>
        <v/>
      </c>
      <c r="D37" s="8" t="str">
        <f>IFERROR(INDEX(样本到样信息汇总统计!D$2:D$500,MATCH(36,样本到样信息汇总统计!$Y$2:$Y$500,0)),"")</f>
        <v/>
      </c>
      <c r="E37" s="8" t="str">
        <f>IFERROR(INDEX(样本到样信息汇总统计!E$2:E$500,MATCH(36,样本到样信息汇总统计!$Y$2:$Y$500,0)),"")</f>
        <v/>
      </c>
      <c r="F37" s="8" t="str">
        <f>IFERROR(INDEX(样本到样信息汇总统计!F$2:F$500,MATCH(36,样本到样信息汇总统计!$Y$2:$Y$500,0)),"")</f>
        <v/>
      </c>
      <c r="G37" s="8" t="str">
        <f>IFERROR(INDEX(样本到样信息汇总统计!G$2:G$500,MATCH(36,样本到样信息汇总统计!$Y$2:$Y$500,0)),"")</f>
        <v/>
      </c>
      <c r="H37" s="8" t="str">
        <f>IFERROR(INDEX(样本到样信息汇总统计!H$2:H$500,MATCH(36,样本到样信息汇总统计!$Y$2:$Y$500,0)),"")</f>
        <v/>
      </c>
      <c r="I37" s="8" t="str">
        <f>IFERROR(INDEX(样本到样信息汇总统计!I$2:I$500,MATCH(36,样本到样信息汇总统计!$Y$2:$Y$500,0)),"")</f>
        <v/>
      </c>
      <c r="J37" s="8" t="str">
        <f>IFERROR(INDEX(样本到样信息汇总统计!J$2:J$500,MATCH(36,样本到样信息汇总统计!$Y$2:$Y$500,0)),"")</f>
        <v/>
      </c>
      <c r="K37" s="8" t="str">
        <f>IFERROR(INDEX(样本到样信息汇总统计!K$2:K$500,MATCH(36,样本到样信息汇总统计!$Y$2:$Y$500,0)),"")</f>
        <v/>
      </c>
      <c r="L37" s="8" t="str">
        <f>IFERROR(INDEX(样本到样信息汇总统计!L$2:L$500,MATCH(36,样本到样信息汇总统计!$Y$2:$Y$500,0)),"")</f>
        <v/>
      </c>
      <c r="M37" s="8" t="str">
        <f>IFERROR(INDEX(样本到样信息汇总统计!M$2:M$500,MATCH(36,样本到样信息汇总统计!$Y$2:$Y$500,0)),"")</f>
        <v/>
      </c>
      <c r="N37" s="8" t="str">
        <f>IFERROR(INDEX(样本到样信息汇总统计!N$2:N$500,MATCH(36,样本到样信息汇总统计!$Y$2:$Y$500,0)),"")</f>
        <v/>
      </c>
      <c r="O37" s="8" t="str">
        <f>IFERROR(INDEX(样本到样信息汇总统计!O$2:O$500,MATCH(36,样本到样信息汇总统计!$Y$2:$Y$500,0)),"")</f>
        <v/>
      </c>
      <c r="P37" s="8" t="str">
        <f>IFERROR(INDEX(样本到样信息汇总统计!P$2:P$500,MATCH(36,样本到样信息汇总统计!$Y$2:$Y$500,0)),"")</f>
        <v/>
      </c>
      <c r="Q37" s="8" t="str">
        <f>IFERROR(INDEX(样本到样信息汇总统计!Q$2:Q$500,MATCH(36,样本到样信息汇总统计!$Y$2:$Y$500,0)),"")</f>
        <v/>
      </c>
      <c r="R37" s="8" t="str">
        <f>IFERROR(INDEX(样本到样信息汇总统计!R$2:R$500,MATCH(36,样本到样信息汇总统计!$Y$2:$Y$500,0)),"")</f>
        <v/>
      </c>
      <c r="S37" s="8" t="str">
        <f>IFERROR(INDEX(样本到样信息汇总统计!S$2:S$500,MATCH(36,样本到样信息汇总统计!$Y$2:$Y$500,0)),"")</f>
        <v/>
      </c>
      <c r="T37" s="8" t="str">
        <f>IFERROR(INDEX(样本到样信息汇总统计!T$2:T$500,MATCH(36,样本到样信息汇总统计!$Y$2:$Y$500,0)),"")</f>
        <v/>
      </c>
      <c r="U37" s="8" t="str">
        <f>IFERROR(INDEX(样本到样信息汇总统计!U$2:U$500,MATCH(36,样本到样信息汇总统计!$Y$2:$Y$500,0)),"")</f>
        <v/>
      </c>
      <c r="V37" s="8" t="str">
        <f>IFERROR(INDEX(样本到样信息汇总统计!V$2:V$500,MATCH(36,样本到样信息汇总统计!$Y$2:$Y$500,0)),"")</f>
        <v/>
      </c>
      <c r="W37" s="8" t="str">
        <f>IFERROR(INDEX(样本到样信息汇总统计!W$2:W$500,MATCH(36,样本到样信息汇总统计!$Y$2:$Y$500,0)),"")</f>
        <v/>
      </c>
    </row>
    <row r="38" ht="14.5" spans="1:23">
      <c r="A38" s="4" t="str">
        <f>IFERROR(INDEX(样本到样信息汇总统计!A$2:A$500,MATCH(37,样本到样信息汇总统计!$Y$2:$Y$500,0)),"")</f>
        <v/>
      </c>
      <c r="B38" s="4" t="str">
        <f>IFERROR(INDEX(样本到样信息汇总统计!B$2:B$500,MATCH(37,样本到样信息汇总统计!$Y$2:$Y$500,0)),"")</f>
        <v/>
      </c>
      <c r="C38" s="4" t="str">
        <f>IFERROR(INDEX(样本到样信息汇总统计!C$2:C$500,MATCH(37,样本到样信息汇总统计!$Y$2:$Y$500,0)),"")</f>
        <v/>
      </c>
      <c r="D38" s="4" t="str">
        <f>IFERROR(INDEX(样本到样信息汇总统计!D$2:D$500,MATCH(37,样本到样信息汇总统计!$Y$2:$Y$500,0)),"")</f>
        <v/>
      </c>
      <c r="E38" s="4" t="str">
        <f>IFERROR(INDEX(样本到样信息汇总统计!E$2:E$500,MATCH(37,样本到样信息汇总统计!$Y$2:$Y$500,0)),"")</f>
        <v/>
      </c>
      <c r="F38" s="4" t="str">
        <f>IFERROR(INDEX(样本到样信息汇总统计!F$2:F$500,MATCH(37,样本到样信息汇总统计!$Y$2:$Y$500,0)),"")</f>
        <v/>
      </c>
      <c r="G38" s="4" t="str">
        <f>IFERROR(INDEX(样本到样信息汇总统计!G$2:G$500,MATCH(37,样本到样信息汇总统计!$Y$2:$Y$500,0)),"")</f>
        <v/>
      </c>
      <c r="H38" s="4" t="str">
        <f>IFERROR(INDEX(样本到样信息汇总统计!H$2:H$500,MATCH(37,样本到样信息汇总统计!$Y$2:$Y$500,0)),"")</f>
        <v/>
      </c>
      <c r="I38" s="4" t="str">
        <f>IFERROR(INDEX(样本到样信息汇总统计!I$2:I$500,MATCH(37,样本到样信息汇总统计!$Y$2:$Y$500,0)),"")</f>
        <v/>
      </c>
      <c r="J38" s="4" t="str">
        <f>IFERROR(INDEX(样本到样信息汇总统计!J$2:J$500,MATCH(37,样本到样信息汇总统计!$Y$2:$Y$500,0)),"")</f>
        <v/>
      </c>
      <c r="K38" s="4" t="str">
        <f>IFERROR(INDEX(样本到样信息汇总统计!K$2:K$500,MATCH(37,样本到样信息汇总统计!$Y$2:$Y$500,0)),"")</f>
        <v/>
      </c>
      <c r="L38" s="4" t="str">
        <f>IFERROR(INDEX(样本到样信息汇总统计!L$2:L$500,MATCH(37,样本到样信息汇总统计!$Y$2:$Y$500,0)),"")</f>
        <v/>
      </c>
      <c r="M38" s="4" t="str">
        <f>IFERROR(INDEX(样本到样信息汇总统计!M$2:M$500,MATCH(37,样本到样信息汇总统计!$Y$2:$Y$500,0)),"")</f>
        <v/>
      </c>
      <c r="N38" s="4" t="str">
        <f>IFERROR(INDEX(样本到样信息汇总统计!N$2:N$500,MATCH(37,样本到样信息汇总统计!$Y$2:$Y$500,0)),"")</f>
        <v/>
      </c>
      <c r="O38" s="4" t="str">
        <f>IFERROR(INDEX(样本到样信息汇总统计!O$2:O$500,MATCH(37,样本到样信息汇总统计!$Y$2:$Y$500,0)),"")</f>
        <v/>
      </c>
      <c r="P38" s="4" t="str">
        <f>IFERROR(INDEX(样本到样信息汇总统计!P$2:P$500,MATCH(37,样本到样信息汇总统计!$Y$2:$Y$500,0)),"")</f>
        <v/>
      </c>
      <c r="Q38" s="4" t="str">
        <f>IFERROR(INDEX(样本到样信息汇总统计!Q$2:Q$500,MATCH(37,样本到样信息汇总统计!$Y$2:$Y$500,0)),"")</f>
        <v/>
      </c>
      <c r="R38" s="4" t="str">
        <f>IFERROR(INDEX(样本到样信息汇总统计!R$2:R$500,MATCH(37,样本到样信息汇总统计!$Y$2:$Y$500,0)),"")</f>
        <v/>
      </c>
      <c r="S38" s="4" t="str">
        <f>IFERROR(INDEX(样本到样信息汇总统计!S$2:S$500,MATCH(37,样本到样信息汇总统计!$Y$2:$Y$500,0)),"")</f>
        <v/>
      </c>
      <c r="T38" s="4" t="str">
        <f>IFERROR(INDEX(样本到样信息汇总统计!T$2:T$500,MATCH(37,样本到样信息汇总统计!$Y$2:$Y$500,0)),"")</f>
        <v/>
      </c>
      <c r="U38" s="4" t="str">
        <f>IFERROR(INDEX(样本到样信息汇总统计!U$2:U$500,MATCH(37,样本到样信息汇总统计!$Y$2:$Y$500,0)),"")</f>
        <v/>
      </c>
      <c r="V38" s="4" t="str">
        <f>IFERROR(INDEX(样本到样信息汇总统计!V$2:V$500,MATCH(37,样本到样信息汇总统计!$Y$2:$Y$500,0)),"")</f>
        <v/>
      </c>
      <c r="W38" s="4" t="str">
        <f>IFERROR(INDEX(样本到样信息汇总统计!W$2:W$500,MATCH(37,样本到样信息汇总统计!$Y$2:$Y$500,0)),"")</f>
        <v/>
      </c>
    </row>
    <row r="39" ht="14.5" spans="1:23">
      <c r="A39" s="8" t="str">
        <f>IFERROR(INDEX(样本到样信息汇总统计!A$2:A$500,MATCH(38,样本到样信息汇总统计!$Y$2:$Y$500,0)),"")</f>
        <v/>
      </c>
      <c r="B39" s="8" t="str">
        <f>IFERROR(INDEX(样本到样信息汇总统计!B$2:B$500,MATCH(38,样本到样信息汇总统计!$Y$2:$Y$500,0)),"")</f>
        <v/>
      </c>
      <c r="C39" s="8" t="str">
        <f>IFERROR(INDEX(样本到样信息汇总统计!C$2:C$500,MATCH(38,样本到样信息汇总统计!$Y$2:$Y$500,0)),"")</f>
        <v/>
      </c>
      <c r="D39" s="8" t="str">
        <f>IFERROR(INDEX(样本到样信息汇总统计!D$2:D$500,MATCH(38,样本到样信息汇总统计!$Y$2:$Y$500,0)),"")</f>
        <v/>
      </c>
      <c r="E39" s="8" t="str">
        <f>IFERROR(INDEX(样本到样信息汇总统计!E$2:E$500,MATCH(38,样本到样信息汇总统计!$Y$2:$Y$500,0)),"")</f>
        <v/>
      </c>
      <c r="F39" s="8" t="str">
        <f>IFERROR(INDEX(样本到样信息汇总统计!F$2:F$500,MATCH(38,样本到样信息汇总统计!$Y$2:$Y$500,0)),"")</f>
        <v/>
      </c>
      <c r="G39" s="8" t="str">
        <f>IFERROR(INDEX(样本到样信息汇总统计!G$2:G$500,MATCH(38,样本到样信息汇总统计!$Y$2:$Y$500,0)),"")</f>
        <v/>
      </c>
      <c r="H39" s="8" t="str">
        <f>IFERROR(INDEX(样本到样信息汇总统计!H$2:H$500,MATCH(38,样本到样信息汇总统计!$Y$2:$Y$500,0)),"")</f>
        <v/>
      </c>
      <c r="I39" s="8" t="str">
        <f>IFERROR(INDEX(样本到样信息汇总统计!I$2:I$500,MATCH(38,样本到样信息汇总统计!$Y$2:$Y$500,0)),"")</f>
        <v/>
      </c>
      <c r="J39" s="8" t="str">
        <f>IFERROR(INDEX(样本到样信息汇总统计!J$2:J$500,MATCH(38,样本到样信息汇总统计!$Y$2:$Y$500,0)),"")</f>
        <v/>
      </c>
      <c r="K39" s="8" t="str">
        <f>IFERROR(INDEX(样本到样信息汇总统计!K$2:K$500,MATCH(38,样本到样信息汇总统计!$Y$2:$Y$500,0)),"")</f>
        <v/>
      </c>
      <c r="L39" s="8" t="str">
        <f>IFERROR(INDEX(样本到样信息汇总统计!L$2:L$500,MATCH(38,样本到样信息汇总统计!$Y$2:$Y$500,0)),"")</f>
        <v/>
      </c>
      <c r="M39" s="8" t="str">
        <f>IFERROR(INDEX(样本到样信息汇总统计!M$2:M$500,MATCH(38,样本到样信息汇总统计!$Y$2:$Y$500,0)),"")</f>
        <v/>
      </c>
      <c r="N39" s="8" t="str">
        <f>IFERROR(INDEX(样本到样信息汇总统计!N$2:N$500,MATCH(38,样本到样信息汇总统计!$Y$2:$Y$500,0)),"")</f>
        <v/>
      </c>
      <c r="O39" s="8" t="str">
        <f>IFERROR(INDEX(样本到样信息汇总统计!O$2:O$500,MATCH(38,样本到样信息汇总统计!$Y$2:$Y$500,0)),"")</f>
        <v/>
      </c>
      <c r="P39" s="8" t="str">
        <f>IFERROR(INDEX(样本到样信息汇总统计!P$2:P$500,MATCH(38,样本到样信息汇总统计!$Y$2:$Y$500,0)),"")</f>
        <v/>
      </c>
      <c r="Q39" s="8" t="str">
        <f>IFERROR(INDEX(样本到样信息汇总统计!Q$2:Q$500,MATCH(38,样本到样信息汇总统计!$Y$2:$Y$500,0)),"")</f>
        <v/>
      </c>
      <c r="R39" s="8" t="str">
        <f>IFERROR(INDEX(样本到样信息汇总统计!R$2:R$500,MATCH(38,样本到样信息汇总统计!$Y$2:$Y$500,0)),"")</f>
        <v/>
      </c>
      <c r="S39" s="8" t="str">
        <f>IFERROR(INDEX(样本到样信息汇总统计!S$2:S$500,MATCH(38,样本到样信息汇总统计!$Y$2:$Y$500,0)),"")</f>
        <v/>
      </c>
      <c r="T39" s="8" t="str">
        <f>IFERROR(INDEX(样本到样信息汇总统计!T$2:T$500,MATCH(38,样本到样信息汇总统计!$Y$2:$Y$500,0)),"")</f>
        <v/>
      </c>
      <c r="U39" s="8" t="str">
        <f>IFERROR(INDEX(样本到样信息汇总统计!U$2:U$500,MATCH(38,样本到样信息汇总统计!$Y$2:$Y$500,0)),"")</f>
        <v/>
      </c>
      <c r="V39" s="8" t="str">
        <f>IFERROR(INDEX(样本到样信息汇总统计!V$2:V$500,MATCH(38,样本到样信息汇总统计!$Y$2:$Y$500,0)),"")</f>
        <v/>
      </c>
      <c r="W39" s="8" t="str">
        <f>IFERROR(INDEX(样本到样信息汇总统计!W$2:W$500,MATCH(38,样本到样信息汇总统计!$Y$2:$Y$500,0)),"")</f>
        <v/>
      </c>
    </row>
    <row r="40" ht="14.5" spans="1:23">
      <c r="A40" s="4" t="str">
        <f>IFERROR(INDEX(样本到样信息汇总统计!A$2:A$500,MATCH(39,样本到样信息汇总统计!$Y$2:$Y$500,0)),"")</f>
        <v/>
      </c>
      <c r="B40" s="4" t="str">
        <f>IFERROR(INDEX(样本到样信息汇总统计!B$2:B$500,MATCH(39,样本到样信息汇总统计!$Y$2:$Y$500,0)),"")</f>
        <v/>
      </c>
      <c r="C40" s="4" t="str">
        <f>IFERROR(INDEX(样本到样信息汇总统计!C$2:C$500,MATCH(39,样本到样信息汇总统计!$Y$2:$Y$500,0)),"")</f>
        <v/>
      </c>
      <c r="D40" s="4" t="str">
        <f>IFERROR(INDEX(样本到样信息汇总统计!D$2:D$500,MATCH(39,样本到样信息汇总统计!$Y$2:$Y$500,0)),"")</f>
        <v/>
      </c>
      <c r="E40" s="4" t="str">
        <f>IFERROR(INDEX(样本到样信息汇总统计!E$2:E$500,MATCH(39,样本到样信息汇总统计!$Y$2:$Y$500,0)),"")</f>
        <v/>
      </c>
      <c r="F40" s="4" t="str">
        <f>IFERROR(INDEX(样本到样信息汇总统计!F$2:F$500,MATCH(39,样本到样信息汇总统计!$Y$2:$Y$500,0)),"")</f>
        <v/>
      </c>
      <c r="G40" s="4" t="str">
        <f>IFERROR(INDEX(样本到样信息汇总统计!G$2:G$500,MATCH(39,样本到样信息汇总统计!$Y$2:$Y$500,0)),"")</f>
        <v/>
      </c>
      <c r="H40" s="4" t="str">
        <f>IFERROR(INDEX(样本到样信息汇总统计!H$2:H$500,MATCH(39,样本到样信息汇总统计!$Y$2:$Y$500,0)),"")</f>
        <v/>
      </c>
      <c r="I40" s="4" t="str">
        <f>IFERROR(INDEX(样本到样信息汇总统计!I$2:I$500,MATCH(39,样本到样信息汇总统计!$Y$2:$Y$500,0)),"")</f>
        <v/>
      </c>
      <c r="J40" s="4" t="str">
        <f>IFERROR(INDEX(样本到样信息汇总统计!J$2:J$500,MATCH(39,样本到样信息汇总统计!$Y$2:$Y$500,0)),"")</f>
        <v/>
      </c>
      <c r="K40" s="4" t="str">
        <f>IFERROR(INDEX(样本到样信息汇总统计!K$2:K$500,MATCH(39,样本到样信息汇总统计!$Y$2:$Y$500,0)),"")</f>
        <v/>
      </c>
      <c r="L40" s="4" t="str">
        <f>IFERROR(INDEX(样本到样信息汇总统计!L$2:L$500,MATCH(39,样本到样信息汇总统计!$Y$2:$Y$500,0)),"")</f>
        <v/>
      </c>
      <c r="M40" s="4" t="str">
        <f>IFERROR(INDEX(样本到样信息汇总统计!M$2:M$500,MATCH(39,样本到样信息汇总统计!$Y$2:$Y$500,0)),"")</f>
        <v/>
      </c>
      <c r="N40" s="4" t="str">
        <f>IFERROR(INDEX(样本到样信息汇总统计!N$2:N$500,MATCH(39,样本到样信息汇总统计!$Y$2:$Y$500,0)),"")</f>
        <v/>
      </c>
      <c r="O40" s="4" t="str">
        <f>IFERROR(INDEX(样本到样信息汇总统计!O$2:O$500,MATCH(39,样本到样信息汇总统计!$Y$2:$Y$500,0)),"")</f>
        <v/>
      </c>
      <c r="P40" s="4" t="str">
        <f>IFERROR(INDEX(样本到样信息汇总统计!P$2:P$500,MATCH(39,样本到样信息汇总统计!$Y$2:$Y$500,0)),"")</f>
        <v/>
      </c>
      <c r="Q40" s="4" t="str">
        <f>IFERROR(INDEX(样本到样信息汇总统计!Q$2:Q$500,MATCH(39,样本到样信息汇总统计!$Y$2:$Y$500,0)),"")</f>
        <v/>
      </c>
      <c r="R40" s="4" t="str">
        <f>IFERROR(INDEX(样本到样信息汇总统计!R$2:R$500,MATCH(39,样本到样信息汇总统计!$Y$2:$Y$500,0)),"")</f>
        <v/>
      </c>
      <c r="S40" s="4" t="str">
        <f>IFERROR(INDEX(样本到样信息汇总统计!S$2:S$500,MATCH(39,样本到样信息汇总统计!$Y$2:$Y$500,0)),"")</f>
        <v/>
      </c>
      <c r="T40" s="4" t="str">
        <f>IFERROR(INDEX(样本到样信息汇总统计!T$2:T$500,MATCH(39,样本到样信息汇总统计!$Y$2:$Y$500,0)),"")</f>
        <v/>
      </c>
      <c r="U40" s="4" t="str">
        <f>IFERROR(INDEX(样本到样信息汇总统计!U$2:U$500,MATCH(39,样本到样信息汇总统计!$Y$2:$Y$500,0)),"")</f>
        <v/>
      </c>
      <c r="V40" s="4" t="str">
        <f>IFERROR(INDEX(样本到样信息汇总统计!V$2:V$500,MATCH(39,样本到样信息汇总统计!$Y$2:$Y$500,0)),"")</f>
        <v/>
      </c>
      <c r="W40" s="4" t="str">
        <f>IFERROR(INDEX(样本到样信息汇总统计!W$2:W$500,MATCH(39,样本到样信息汇总统计!$Y$2:$Y$500,0)),"")</f>
        <v/>
      </c>
    </row>
    <row r="41" ht="14.5" spans="1:23">
      <c r="A41" s="8" t="str">
        <f>IFERROR(INDEX(样本到样信息汇总统计!A$2:A$500,MATCH(40,样本到样信息汇总统计!$Y$2:$Y$500,0)),"")</f>
        <v/>
      </c>
      <c r="B41" s="8" t="str">
        <f>IFERROR(INDEX(样本到样信息汇总统计!B$2:B$500,MATCH(40,样本到样信息汇总统计!$Y$2:$Y$500,0)),"")</f>
        <v/>
      </c>
      <c r="C41" s="8" t="str">
        <f>IFERROR(INDEX(样本到样信息汇总统计!C$2:C$500,MATCH(40,样本到样信息汇总统计!$Y$2:$Y$500,0)),"")</f>
        <v/>
      </c>
      <c r="D41" s="8" t="str">
        <f>IFERROR(INDEX(样本到样信息汇总统计!D$2:D$500,MATCH(40,样本到样信息汇总统计!$Y$2:$Y$500,0)),"")</f>
        <v/>
      </c>
      <c r="E41" s="8" t="str">
        <f>IFERROR(INDEX(样本到样信息汇总统计!E$2:E$500,MATCH(40,样本到样信息汇总统计!$Y$2:$Y$500,0)),"")</f>
        <v/>
      </c>
      <c r="F41" s="8" t="str">
        <f>IFERROR(INDEX(样本到样信息汇总统计!F$2:F$500,MATCH(40,样本到样信息汇总统计!$Y$2:$Y$500,0)),"")</f>
        <v/>
      </c>
      <c r="G41" s="8" t="str">
        <f>IFERROR(INDEX(样本到样信息汇总统计!G$2:G$500,MATCH(40,样本到样信息汇总统计!$Y$2:$Y$500,0)),"")</f>
        <v/>
      </c>
      <c r="H41" s="8" t="str">
        <f>IFERROR(INDEX(样本到样信息汇总统计!H$2:H$500,MATCH(40,样本到样信息汇总统计!$Y$2:$Y$500,0)),"")</f>
        <v/>
      </c>
      <c r="I41" s="8" t="str">
        <f>IFERROR(INDEX(样本到样信息汇总统计!I$2:I$500,MATCH(40,样本到样信息汇总统计!$Y$2:$Y$500,0)),"")</f>
        <v/>
      </c>
      <c r="J41" s="8" t="str">
        <f>IFERROR(INDEX(样本到样信息汇总统计!J$2:J$500,MATCH(40,样本到样信息汇总统计!$Y$2:$Y$500,0)),"")</f>
        <v/>
      </c>
      <c r="K41" s="8" t="str">
        <f>IFERROR(INDEX(样本到样信息汇总统计!K$2:K$500,MATCH(40,样本到样信息汇总统计!$Y$2:$Y$500,0)),"")</f>
        <v/>
      </c>
      <c r="L41" s="8" t="str">
        <f>IFERROR(INDEX(样本到样信息汇总统计!L$2:L$500,MATCH(40,样本到样信息汇总统计!$Y$2:$Y$500,0)),"")</f>
        <v/>
      </c>
      <c r="M41" s="8" t="str">
        <f>IFERROR(INDEX(样本到样信息汇总统计!M$2:M$500,MATCH(40,样本到样信息汇总统计!$Y$2:$Y$500,0)),"")</f>
        <v/>
      </c>
      <c r="N41" s="8" t="str">
        <f>IFERROR(INDEX(样本到样信息汇总统计!N$2:N$500,MATCH(40,样本到样信息汇总统计!$Y$2:$Y$500,0)),"")</f>
        <v/>
      </c>
      <c r="O41" s="8" t="str">
        <f>IFERROR(INDEX(样本到样信息汇总统计!O$2:O$500,MATCH(40,样本到样信息汇总统计!$Y$2:$Y$500,0)),"")</f>
        <v/>
      </c>
      <c r="P41" s="8" t="str">
        <f>IFERROR(INDEX(样本到样信息汇总统计!P$2:P$500,MATCH(40,样本到样信息汇总统计!$Y$2:$Y$500,0)),"")</f>
        <v/>
      </c>
      <c r="Q41" s="8" t="str">
        <f>IFERROR(INDEX(样本到样信息汇总统计!Q$2:Q$500,MATCH(40,样本到样信息汇总统计!$Y$2:$Y$500,0)),"")</f>
        <v/>
      </c>
      <c r="R41" s="8" t="str">
        <f>IFERROR(INDEX(样本到样信息汇总统计!R$2:R$500,MATCH(40,样本到样信息汇总统计!$Y$2:$Y$500,0)),"")</f>
        <v/>
      </c>
      <c r="S41" s="8" t="str">
        <f>IFERROR(INDEX(样本到样信息汇总统计!S$2:S$500,MATCH(40,样本到样信息汇总统计!$Y$2:$Y$500,0)),"")</f>
        <v/>
      </c>
      <c r="T41" s="8" t="str">
        <f>IFERROR(INDEX(样本到样信息汇总统计!T$2:T$500,MATCH(40,样本到样信息汇总统计!$Y$2:$Y$500,0)),"")</f>
        <v/>
      </c>
      <c r="U41" s="8" t="str">
        <f>IFERROR(INDEX(样本到样信息汇总统计!U$2:U$500,MATCH(40,样本到样信息汇总统计!$Y$2:$Y$500,0)),"")</f>
        <v/>
      </c>
      <c r="V41" s="8" t="str">
        <f>IFERROR(INDEX(样本到样信息汇总统计!V$2:V$500,MATCH(40,样本到样信息汇总统计!$Y$2:$Y$500,0)),"")</f>
        <v/>
      </c>
      <c r="W41" s="8" t="str">
        <f>IFERROR(INDEX(样本到样信息汇总统计!W$2:W$500,MATCH(40,样本到样信息汇总统计!$Y$2:$Y$500,0)),"")</f>
        <v/>
      </c>
    </row>
    <row r="42" ht="14.5" spans="1:23">
      <c r="A42" s="4" t="str">
        <f>IFERROR(INDEX(样本到样信息汇总统计!A$2:A$500,MATCH(41,样本到样信息汇总统计!$Y$2:$Y$500,0)),"")</f>
        <v/>
      </c>
      <c r="B42" s="4" t="str">
        <f>IFERROR(INDEX(样本到样信息汇总统计!B$2:B$500,MATCH(41,样本到样信息汇总统计!$Y$2:$Y$500,0)),"")</f>
        <v/>
      </c>
      <c r="C42" s="4" t="str">
        <f>IFERROR(INDEX(样本到样信息汇总统计!C$2:C$500,MATCH(41,样本到样信息汇总统计!$Y$2:$Y$500,0)),"")</f>
        <v/>
      </c>
      <c r="D42" s="4" t="str">
        <f>IFERROR(INDEX(样本到样信息汇总统计!D$2:D$500,MATCH(41,样本到样信息汇总统计!$Y$2:$Y$500,0)),"")</f>
        <v/>
      </c>
      <c r="E42" s="4" t="str">
        <f>IFERROR(INDEX(样本到样信息汇总统计!E$2:E$500,MATCH(41,样本到样信息汇总统计!$Y$2:$Y$500,0)),"")</f>
        <v/>
      </c>
      <c r="F42" s="4" t="str">
        <f>IFERROR(INDEX(样本到样信息汇总统计!F$2:F$500,MATCH(41,样本到样信息汇总统计!$Y$2:$Y$500,0)),"")</f>
        <v/>
      </c>
      <c r="G42" s="4" t="str">
        <f>IFERROR(INDEX(样本到样信息汇总统计!G$2:G$500,MATCH(41,样本到样信息汇总统计!$Y$2:$Y$500,0)),"")</f>
        <v/>
      </c>
      <c r="H42" s="4" t="str">
        <f>IFERROR(INDEX(样本到样信息汇总统计!H$2:H$500,MATCH(41,样本到样信息汇总统计!$Y$2:$Y$500,0)),"")</f>
        <v/>
      </c>
      <c r="I42" s="4" t="str">
        <f>IFERROR(INDEX(样本到样信息汇总统计!I$2:I$500,MATCH(41,样本到样信息汇总统计!$Y$2:$Y$500,0)),"")</f>
        <v/>
      </c>
      <c r="J42" s="4" t="str">
        <f>IFERROR(INDEX(样本到样信息汇总统计!J$2:J$500,MATCH(41,样本到样信息汇总统计!$Y$2:$Y$500,0)),"")</f>
        <v/>
      </c>
      <c r="K42" s="4" t="str">
        <f>IFERROR(INDEX(样本到样信息汇总统计!K$2:K$500,MATCH(41,样本到样信息汇总统计!$Y$2:$Y$500,0)),"")</f>
        <v/>
      </c>
      <c r="L42" s="4" t="str">
        <f>IFERROR(INDEX(样本到样信息汇总统计!L$2:L$500,MATCH(41,样本到样信息汇总统计!$Y$2:$Y$500,0)),"")</f>
        <v/>
      </c>
      <c r="M42" s="4" t="str">
        <f>IFERROR(INDEX(样本到样信息汇总统计!M$2:M$500,MATCH(41,样本到样信息汇总统计!$Y$2:$Y$500,0)),"")</f>
        <v/>
      </c>
      <c r="N42" s="4" t="str">
        <f>IFERROR(INDEX(样本到样信息汇总统计!N$2:N$500,MATCH(41,样本到样信息汇总统计!$Y$2:$Y$500,0)),"")</f>
        <v/>
      </c>
      <c r="O42" s="4" t="str">
        <f>IFERROR(INDEX(样本到样信息汇总统计!O$2:O$500,MATCH(41,样本到样信息汇总统计!$Y$2:$Y$500,0)),"")</f>
        <v/>
      </c>
      <c r="P42" s="4" t="str">
        <f>IFERROR(INDEX(样本到样信息汇总统计!P$2:P$500,MATCH(41,样本到样信息汇总统计!$Y$2:$Y$500,0)),"")</f>
        <v/>
      </c>
      <c r="Q42" s="4" t="str">
        <f>IFERROR(INDEX(样本到样信息汇总统计!Q$2:Q$500,MATCH(41,样本到样信息汇总统计!$Y$2:$Y$500,0)),"")</f>
        <v/>
      </c>
      <c r="R42" s="4" t="str">
        <f>IFERROR(INDEX(样本到样信息汇总统计!R$2:R$500,MATCH(41,样本到样信息汇总统计!$Y$2:$Y$500,0)),"")</f>
        <v/>
      </c>
      <c r="S42" s="4" t="str">
        <f>IFERROR(INDEX(样本到样信息汇总统计!S$2:S$500,MATCH(41,样本到样信息汇总统计!$Y$2:$Y$500,0)),"")</f>
        <v/>
      </c>
      <c r="T42" s="4" t="str">
        <f>IFERROR(INDEX(样本到样信息汇总统计!T$2:T$500,MATCH(41,样本到样信息汇总统计!$Y$2:$Y$500,0)),"")</f>
        <v/>
      </c>
      <c r="U42" s="4" t="str">
        <f>IFERROR(INDEX(样本到样信息汇总统计!U$2:U$500,MATCH(41,样本到样信息汇总统计!$Y$2:$Y$500,0)),"")</f>
        <v/>
      </c>
      <c r="V42" s="4" t="str">
        <f>IFERROR(INDEX(样本到样信息汇总统计!V$2:V$500,MATCH(41,样本到样信息汇总统计!$Y$2:$Y$500,0)),"")</f>
        <v/>
      </c>
      <c r="W42" s="4" t="str">
        <f>IFERROR(INDEX(样本到样信息汇总统计!W$2:W$500,MATCH(41,样本到样信息汇总统计!$Y$2:$Y$500,0)),"")</f>
        <v/>
      </c>
    </row>
    <row r="43" ht="14.5" spans="1:23">
      <c r="A43" s="8" t="str">
        <f>IFERROR(INDEX(样本到样信息汇总统计!A$2:A$500,MATCH(42,样本到样信息汇总统计!$Y$2:$Y$500,0)),"")</f>
        <v/>
      </c>
      <c r="B43" s="8" t="str">
        <f>IFERROR(INDEX(样本到样信息汇总统计!B$2:B$500,MATCH(42,样本到样信息汇总统计!$Y$2:$Y$500,0)),"")</f>
        <v/>
      </c>
      <c r="C43" s="8" t="str">
        <f>IFERROR(INDEX(样本到样信息汇总统计!C$2:C$500,MATCH(42,样本到样信息汇总统计!$Y$2:$Y$500,0)),"")</f>
        <v/>
      </c>
      <c r="D43" s="8" t="str">
        <f>IFERROR(INDEX(样本到样信息汇总统计!D$2:D$500,MATCH(42,样本到样信息汇总统计!$Y$2:$Y$500,0)),"")</f>
        <v/>
      </c>
      <c r="E43" s="8" t="str">
        <f>IFERROR(INDEX(样本到样信息汇总统计!E$2:E$500,MATCH(42,样本到样信息汇总统计!$Y$2:$Y$500,0)),"")</f>
        <v/>
      </c>
      <c r="F43" s="8" t="str">
        <f>IFERROR(INDEX(样本到样信息汇总统计!F$2:F$500,MATCH(42,样本到样信息汇总统计!$Y$2:$Y$500,0)),"")</f>
        <v/>
      </c>
      <c r="G43" s="8" t="str">
        <f>IFERROR(INDEX(样本到样信息汇总统计!G$2:G$500,MATCH(42,样本到样信息汇总统计!$Y$2:$Y$500,0)),"")</f>
        <v/>
      </c>
      <c r="H43" s="8" t="str">
        <f>IFERROR(INDEX(样本到样信息汇总统计!H$2:H$500,MATCH(42,样本到样信息汇总统计!$Y$2:$Y$500,0)),"")</f>
        <v/>
      </c>
      <c r="I43" s="8" t="str">
        <f>IFERROR(INDEX(样本到样信息汇总统计!I$2:I$500,MATCH(42,样本到样信息汇总统计!$Y$2:$Y$500,0)),"")</f>
        <v/>
      </c>
      <c r="J43" s="8" t="str">
        <f>IFERROR(INDEX(样本到样信息汇总统计!J$2:J$500,MATCH(42,样本到样信息汇总统计!$Y$2:$Y$500,0)),"")</f>
        <v/>
      </c>
      <c r="K43" s="8" t="str">
        <f>IFERROR(INDEX(样本到样信息汇总统计!K$2:K$500,MATCH(42,样本到样信息汇总统计!$Y$2:$Y$500,0)),"")</f>
        <v/>
      </c>
      <c r="L43" s="8" t="str">
        <f>IFERROR(INDEX(样本到样信息汇总统计!L$2:L$500,MATCH(42,样本到样信息汇总统计!$Y$2:$Y$500,0)),"")</f>
        <v/>
      </c>
      <c r="M43" s="8" t="str">
        <f>IFERROR(INDEX(样本到样信息汇总统计!M$2:M$500,MATCH(42,样本到样信息汇总统计!$Y$2:$Y$500,0)),"")</f>
        <v/>
      </c>
      <c r="N43" s="8" t="str">
        <f>IFERROR(INDEX(样本到样信息汇总统计!N$2:N$500,MATCH(42,样本到样信息汇总统计!$Y$2:$Y$500,0)),"")</f>
        <v/>
      </c>
      <c r="O43" s="8" t="str">
        <f>IFERROR(INDEX(样本到样信息汇总统计!O$2:O$500,MATCH(42,样本到样信息汇总统计!$Y$2:$Y$500,0)),"")</f>
        <v/>
      </c>
      <c r="P43" s="8" t="str">
        <f>IFERROR(INDEX(样本到样信息汇总统计!P$2:P$500,MATCH(42,样本到样信息汇总统计!$Y$2:$Y$500,0)),"")</f>
        <v/>
      </c>
      <c r="Q43" s="8" t="str">
        <f>IFERROR(INDEX(样本到样信息汇总统计!Q$2:Q$500,MATCH(42,样本到样信息汇总统计!$Y$2:$Y$500,0)),"")</f>
        <v/>
      </c>
      <c r="R43" s="8" t="str">
        <f>IFERROR(INDEX(样本到样信息汇总统计!R$2:R$500,MATCH(42,样本到样信息汇总统计!$Y$2:$Y$500,0)),"")</f>
        <v/>
      </c>
      <c r="S43" s="8" t="str">
        <f>IFERROR(INDEX(样本到样信息汇总统计!S$2:S$500,MATCH(42,样本到样信息汇总统计!$Y$2:$Y$500,0)),"")</f>
        <v/>
      </c>
      <c r="T43" s="8" t="str">
        <f>IFERROR(INDEX(样本到样信息汇总统计!T$2:T$500,MATCH(42,样本到样信息汇总统计!$Y$2:$Y$500,0)),"")</f>
        <v/>
      </c>
      <c r="U43" s="8" t="str">
        <f>IFERROR(INDEX(样本到样信息汇总统计!U$2:U$500,MATCH(42,样本到样信息汇总统计!$Y$2:$Y$500,0)),"")</f>
        <v/>
      </c>
      <c r="V43" s="8" t="str">
        <f>IFERROR(INDEX(样本到样信息汇总统计!V$2:V$500,MATCH(42,样本到样信息汇总统计!$Y$2:$Y$500,0)),"")</f>
        <v/>
      </c>
      <c r="W43" s="8" t="str">
        <f>IFERROR(INDEX(样本到样信息汇总统计!W$2:W$500,MATCH(42,样本到样信息汇总统计!$Y$2:$Y$500,0)),"")</f>
        <v/>
      </c>
    </row>
    <row r="44" ht="14.5" spans="1:23">
      <c r="A44" s="4" t="str">
        <f>IFERROR(INDEX(样本到样信息汇总统计!A$2:A$500,MATCH(43,样本到样信息汇总统计!$Y$2:$Y$500,0)),"")</f>
        <v/>
      </c>
      <c r="B44" s="4" t="str">
        <f>IFERROR(INDEX(样本到样信息汇总统计!B$2:B$500,MATCH(43,样本到样信息汇总统计!$Y$2:$Y$500,0)),"")</f>
        <v/>
      </c>
      <c r="C44" s="4" t="str">
        <f>IFERROR(INDEX(样本到样信息汇总统计!C$2:C$500,MATCH(43,样本到样信息汇总统计!$Y$2:$Y$500,0)),"")</f>
        <v/>
      </c>
      <c r="D44" s="4" t="str">
        <f>IFERROR(INDEX(样本到样信息汇总统计!D$2:D$500,MATCH(43,样本到样信息汇总统计!$Y$2:$Y$500,0)),"")</f>
        <v/>
      </c>
      <c r="E44" s="4" t="str">
        <f>IFERROR(INDEX(样本到样信息汇总统计!E$2:E$500,MATCH(43,样本到样信息汇总统计!$Y$2:$Y$500,0)),"")</f>
        <v/>
      </c>
      <c r="F44" s="4" t="str">
        <f>IFERROR(INDEX(样本到样信息汇总统计!F$2:F$500,MATCH(43,样本到样信息汇总统计!$Y$2:$Y$500,0)),"")</f>
        <v/>
      </c>
      <c r="G44" s="4" t="str">
        <f>IFERROR(INDEX(样本到样信息汇总统计!G$2:G$500,MATCH(43,样本到样信息汇总统计!$Y$2:$Y$500,0)),"")</f>
        <v/>
      </c>
      <c r="H44" s="4" t="str">
        <f>IFERROR(INDEX(样本到样信息汇总统计!H$2:H$500,MATCH(43,样本到样信息汇总统计!$Y$2:$Y$500,0)),"")</f>
        <v/>
      </c>
      <c r="I44" s="4" t="str">
        <f>IFERROR(INDEX(样本到样信息汇总统计!I$2:I$500,MATCH(43,样本到样信息汇总统计!$Y$2:$Y$500,0)),"")</f>
        <v/>
      </c>
      <c r="J44" s="4" t="str">
        <f>IFERROR(INDEX(样本到样信息汇总统计!J$2:J$500,MATCH(43,样本到样信息汇总统计!$Y$2:$Y$500,0)),"")</f>
        <v/>
      </c>
      <c r="K44" s="4" t="str">
        <f>IFERROR(INDEX(样本到样信息汇总统计!K$2:K$500,MATCH(43,样本到样信息汇总统计!$Y$2:$Y$500,0)),"")</f>
        <v/>
      </c>
      <c r="L44" s="4" t="str">
        <f>IFERROR(INDEX(样本到样信息汇总统计!L$2:L$500,MATCH(43,样本到样信息汇总统计!$Y$2:$Y$500,0)),"")</f>
        <v/>
      </c>
      <c r="M44" s="4" t="str">
        <f>IFERROR(INDEX(样本到样信息汇总统计!M$2:M$500,MATCH(43,样本到样信息汇总统计!$Y$2:$Y$500,0)),"")</f>
        <v/>
      </c>
      <c r="N44" s="4" t="str">
        <f>IFERROR(INDEX(样本到样信息汇总统计!N$2:N$500,MATCH(43,样本到样信息汇总统计!$Y$2:$Y$500,0)),"")</f>
        <v/>
      </c>
      <c r="O44" s="4" t="str">
        <f>IFERROR(INDEX(样本到样信息汇总统计!O$2:O$500,MATCH(43,样本到样信息汇总统计!$Y$2:$Y$500,0)),"")</f>
        <v/>
      </c>
      <c r="P44" s="4" t="str">
        <f>IFERROR(INDEX(样本到样信息汇总统计!P$2:P$500,MATCH(43,样本到样信息汇总统计!$Y$2:$Y$500,0)),"")</f>
        <v/>
      </c>
      <c r="Q44" s="4" t="str">
        <f>IFERROR(INDEX(样本到样信息汇总统计!Q$2:Q$500,MATCH(43,样本到样信息汇总统计!$Y$2:$Y$500,0)),"")</f>
        <v/>
      </c>
      <c r="R44" s="4" t="str">
        <f>IFERROR(INDEX(样本到样信息汇总统计!R$2:R$500,MATCH(43,样本到样信息汇总统计!$Y$2:$Y$500,0)),"")</f>
        <v/>
      </c>
      <c r="S44" s="4" t="str">
        <f>IFERROR(INDEX(样本到样信息汇总统计!S$2:S$500,MATCH(43,样本到样信息汇总统计!$Y$2:$Y$500,0)),"")</f>
        <v/>
      </c>
      <c r="T44" s="4" t="str">
        <f>IFERROR(INDEX(样本到样信息汇总统计!T$2:T$500,MATCH(43,样本到样信息汇总统计!$Y$2:$Y$500,0)),"")</f>
        <v/>
      </c>
      <c r="U44" s="4" t="str">
        <f>IFERROR(INDEX(样本到样信息汇总统计!U$2:U$500,MATCH(43,样本到样信息汇总统计!$Y$2:$Y$500,0)),"")</f>
        <v/>
      </c>
      <c r="V44" s="4" t="str">
        <f>IFERROR(INDEX(样本到样信息汇总统计!V$2:V$500,MATCH(43,样本到样信息汇总统计!$Y$2:$Y$500,0)),"")</f>
        <v/>
      </c>
      <c r="W44" s="4" t="str">
        <f>IFERROR(INDEX(样本到样信息汇总统计!W$2:W$500,MATCH(43,样本到样信息汇总统计!$Y$2:$Y$500,0)),"")</f>
        <v/>
      </c>
    </row>
    <row r="45" ht="14.5" spans="1:23">
      <c r="A45" s="8" t="str">
        <f>IFERROR(INDEX(样本到样信息汇总统计!A$2:A$500,MATCH(44,样本到样信息汇总统计!$Y$2:$Y$500,0)),"")</f>
        <v/>
      </c>
      <c r="B45" s="8" t="str">
        <f>IFERROR(INDEX(样本到样信息汇总统计!B$2:B$500,MATCH(44,样本到样信息汇总统计!$Y$2:$Y$500,0)),"")</f>
        <v/>
      </c>
      <c r="C45" s="8" t="str">
        <f>IFERROR(INDEX(样本到样信息汇总统计!C$2:C$500,MATCH(44,样本到样信息汇总统计!$Y$2:$Y$500,0)),"")</f>
        <v/>
      </c>
      <c r="D45" s="8" t="str">
        <f>IFERROR(INDEX(样本到样信息汇总统计!D$2:D$500,MATCH(44,样本到样信息汇总统计!$Y$2:$Y$500,0)),"")</f>
        <v/>
      </c>
      <c r="E45" s="8" t="str">
        <f>IFERROR(INDEX(样本到样信息汇总统计!E$2:E$500,MATCH(44,样本到样信息汇总统计!$Y$2:$Y$500,0)),"")</f>
        <v/>
      </c>
      <c r="F45" s="8" t="str">
        <f>IFERROR(INDEX(样本到样信息汇总统计!F$2:F$500,MATCH(44,样本到样信息汇总统计!$Y$2:$Y$500,0)),"")</f>
        <v/>
      </c>
      <c r="G45" s="8" t="str">
        <f>IFERROR(INDEX(样本到样信息汇总统计!G$2:G$500,MATCH(44,样本到样信息汇总统计!$Y$2:$Y$500,0)),"")</f>
        <v/>
      </c>
      <c r="H45" s="8" t="str">
        <f>IFERROR(INDEX(样本到样信息汇总统计!H$2:H$500,MATCH(44,样本到样信息汇总统计!$Y$2:$Y$500,0)),"")</f>
        <v/>
      </c>
      <c r="I45" s="8" t="str">
        <f>IFERROR(INDEX(样本到样信息汇总统计!I$2:I$500,MATCH(44,样本到样信息汇总统计!$Y$2:$Y$500,0)),"")</f>
        <v/>
      </c>
      <c r="J45" s="8" t="str">
        <f>IFERROR(INDEX(样本到样信息汇总统计!J$2:J$500,MATCH(44,样本到样信息汇总统计!$Y$2:$Y$500,0)),"")</f>
        <v/>
      </c>
      <c r="K45" s="8" t="str">
        <f>IFERROR(INDEX(样本到样信息汇总统计!K$2:K$500,MATCH(44,样本到样信息汇总统计!$Y$2:$Y$500,0)),"")</f>
        <v/>
      </c>
      <c r="L45" s="8" t="str">
        <f>IFERROR(INDEX(样本到样信息汇总统计!L$2:L$500,MATCH(44,样本到样信息汇总统计!$Y$2:$Y$500,0)),"")</f>
        <v/>
      </c>
      <c r="M45" s="8" t="str">
        <f>IFERROR(INDEX(样本到样信息汇总统计!M$2:M$500,MATCH(44,样本到样信息汇总统计!$Y$2:$Y$500,0)),"")</f>
        <v/>
      </c>
      <c r="N45" s="8" t="str">
        <f>IFERROR(INDEX(样本到样信息汇总统计!N$2:N$500,MATCH(44,样本到样信息汇总统计!$Y$2:$Y$500,0)),"")</f>
        <v/>
      </c>
      <c r="O45" s="8" t="str">
        <f>IFERROR(INDEX(样本到样信息汇总统计!O$2:O$500,MATCH(44,样本到样信息汇总统计!$Y$2:$Y$500,0)),"")</f>
        <v/>
      </c>
      <c r="P45" s="8" t="str">
        <f>IFERROR(INDEX(样本到样信息汇总统计!P$2:P$500,MATCH(44,样本到样信息汇总统计!$Y$2:$Y$500,0)),"")</f>
        <v/>
      </c>
      <c r="Q45" s="8" t="str">
        <f>IFERROR(INDEX(样本到样信息汇总统计!Q$2:Q$500,MATCH(44,样本到样信息汇总统计!$Y$2:$Y$500,0)),"")</f>
        <v/>
      </c>
      <c r="R45" s="8" t="str">
        <f>IFERROR(INDEX(样本到样信息汇总统计!R$2:R$500,MATCH(44,样本到样信息汇总统计!$Y$2:$Y$500,0)),"")</f>
        <v/>
      </c>
      <c r="S45" s="8" t="str">
        <f>IFERROR(INDEX(样本到样信息汇总统计!S$2:S$500,MATCH(44,样本到样信息汇总统计!$Y$2:$Y$500,0)),"")</f>
        <v/>
      </c>
      <c r="T45" s="8" t="str">
        <f>IFERROR(INDEX(样本到样信息汇总统计!T$2:T$500,MATCH(44,样本到样信息汇总统计!$Y$2:$Y$500,0)),"")</f>
        <v/>
      </c>
      <c r="U45" s="8" t="str">
        <f>IFERROR(INDEX(样本到样信息汇总统计!U$2:U$500,MATCH(44,样本到样信息汇总统计!$Y$2:$Y$500,0)),"")</f>
        <v/>
      </c>
      <c r="V45" s="8" t="str">
        <f>IFERROR(INDEX(样本到样信息汇总统计!V$2:V$500,MATCH(44,样本到样信息汇总统计!$Y$2:$Y$500,0)),"")</f>
        <v/>
      </c>
      <c r="W45" s="8" t="str">
        <f>IFERROR(INDEX(样本到样信息汇总统计!W$2:W$500,MATCH(44,样本到样信息汇总统计!$Y$2:$Y$500,0)),"")</f>
        <v/>
      </c>
    </row>
    <row r="46" ht="14.5" spans="1:23">
      <c r="A46" s="4" t="str">
        <f>IFERROR(INDEX(样本到样信息汇总统计!A$2:A$500,MATCH(45,样本到样信息汇总统计!$Y$2:$Y$500,0)),"")</f>
        <v/>
      </c>
      <c r="B46" s="4" t="str">
        <f>IFERROR(INDEX(样本到样信息汇总统计!B$2:B$500,MATCH(45,样本到样信息汇总统计!$Y$2:$Y$500,0)),"")</f>
        <v/>
      </c>
      <c r="C46" s="4" t="str">
        <f>IFERROR(INDEX(样本到样信息汇总统计!C$2:C$500,MATCH(45,样本到样信息汇总统计!$Y$2:$Y$500,0)),"")</f>
        <v/>
      </c>
      <c r="D46" s="4" t="str">
        <f>IFERROR(INDEX(样本到样信息汇总统计!D$2:D$500,MATCH(45,样本到样信息汇总统计!$Y$2:$Y$500,0)),"")</f>
        <v/>
      </c>
      <c r="E46" s="4" t="str">
        <f>IFERROR(INDEX(样本到样信息汇总统计!E$2:E$500,MATCH(45,样本到样信息汇总统计!$Y$2:$Y$500,0)),"")</f>
        <v/>
      </c>
      <c r="F46" s="4" t="str">
        <f>IFERROR(INDEX(样本到样信息汇总统计!F$2:F$500,MATCH(45,样本到样信息汇总统计!$Y$2:$Y$500,0)),"")</f>
        <v/>
      </c>
      <c r="G46" s="4" t="str">
        <f>IFERROR(INDEX(样本到样信息汇总统计!G$2:G$500,MATCH(45,样本到样信息汇总统计!$Y$2:$Y$500,0)),"")</f>
        <v/>
      </c>
      <c r="H46" s="4" t="str">
        <f>IFERROR(INDEX(样本到样信息汇总统计!H$2:H$500,MATCH(45,样本到样信息汇总统计!$Y$2:$Y$500,0)),"")</f>
        <v/>
      </c>
      <c r="I46" s="4" t="str">
        <f>IFERROR(INDEX(样本到样信息汇总统计!I$2:I$500,MATCH(45,样本到样信息汇总统计!$Y$2:$Y$500,0)),"")</f>
        <v/>
      </c>
      <c r="J46" s="4" t="str">
        <f>IFERROR(INDEX(样本到样信息汇总统计!J$2:J$500,MATCH(45,样本到样信息汇总统计!$Y$2:$Y$500,0)),"")</f>
        <v/>
      </c>
      <c r="K46" s="4" t="str">
        <f>IFERROR(INDEX(样本到样信息汇总统计!K$2:K$500,MATCH(45,样本到样信息汇总统计!$Y$2:$Y$500,0)),"")</f>
        <v/>
      </c>
      <c r="L46" s="4" t="str">
        <f>IFERROR(INDEX(样本到样信息汇总统计!L$2:L$500,MATCH(45,样本到样信息汇总统计!$Y$2:$Y$500,0)),"")</f>
        <v/>
      </c>
      <c r="M46" s="4" t="str">
        <f>IFERROR(INDEX(样本到样信息汇总统计!M$2:M$500,MATCH(45,样本到样信息汇总统计!$Y$2:$Y$500,0)),"")</f>
        <v/>
      </c>
      <c r="N46" s="4" t="str">
        <f>IFERROR(INDEX(样本到样信息汇总统计!N$2:N$500,MATCH(45,样本到样信息汇总统计!$Y$2:$Y$500,0)),"")</f>
        <v/>
      </c>
      <c r="O46" s="4" t="str">
        <f>IFERROR(INDEX(样本到样信息汇总统计!O$2:O$500,MATCH(45,样本到样信息汇总统计!$Y$2:$Y$500,0)),"")</f>
        <v/>
      </c>
      <c r="P46" s="4" t="str">
        <f>IFERROR(INDEX(样本到样信息汇总统计!P$2:P$500,MATCH(45,样本到样信息汇总统计!$Y$2:$Y$500,0)),"")</f>
        <v/>
      </c>
      <c r="Q46" s="4" t="str">
        <f>IFERROR(INDEX(样本到样信息汇总统计!Q$2:Q$500,MATCH(45,样本到样信息汇总统计!$Y$2:$Y$500,0)),"")</f>
        <v/>
      </c>
      <c r="R46" s="4" t="str">
        <f>IFERROR(INDEX(样本到样信息汇总统计!R$2:R$500,MATCH(45,样本到样信息汇总统计!$Y$2:$Y$500,0)),"")</f>
        <v/>
      </c>
      <c r="S46" s="4" t="str">
        <f>IFERROR(INDEX(样本到样信息汇总统计!S$2:S$500,MATCH(45,样本到样信息汇总统计!$Y$2:$Y$500,0)),"")</f>
        <v/>
      </c>
      <c r="T46" s="4" t="str">
        <f>IFERROR(INDEX(样本到样信息汇总统计!T$2:T$500,MATCH(45,样本到样信息汇总统计!$Y$2:$Y$500,0)),"")</f>
        <v/>
      </c>
      <c r="U46" s="4" t="str">
        <f>IFERROR(INDEX(样本到样信息汇总统计!U$2:U$500,MATCH(45,样本到样信息汇总统计!$Y$2:$Y$500,0)),"")</f>
        <v/>
      </c>
      <c r="V46" s="4" t="str">
        <f>IFERROR(INDEX(样本到样信息汇总统计!V$2:V$500,MATCH(45,样本到样信息汇总统计!$Y$2:$Y$500,0)),"")</f>
        <v/>
      </c>
      <c r="W46" s="4" t="str">
        <f>IFERROR(INDEX(样本到样信息汇总统计!W$2:W$500,MATCH(45,样本到样信息汇总统计!$Y$2:$Y$500,0)),"")</f>
        <v/>
      </c>
    </row>
    <row r="47" ht="14.5" spans="1:23">
      <c r="A47" s="8" t="str">
        <f>IFERROR(INDEX(样本到样信息汇总统计!A$2:A$500,MATCH(46,样本到样信息汇总统计!$Y$2:$Y$500,0)),"")</f>
        <v/>
      </c>
      <c r="B47" s="8" t="str">
        <f>IFERROR(INDEX(样本到样信息汇总统计!B$2:B$500,MATCH(46,样本到样信息汇总统计!$Y$2:$Y$500,0)),"")</f>
        <v/>
      </c>
      <c r="C47" s="8" t="str">
        <f>IFERROR(INDEX(样本到样信息汇总统计!C$2:C$500,MATCH(46,样本到样信息汇总统计!$Y$2:$Y$500,0)),"")</f>
        <v/>
      </c>
      <c r="D47" s="8" t="str">
        <f>IFERROR(INDEX(样本到样信息汇总统计!D$2:D$500,MATCH(46,样本到样信息汇总统计!$Y$2:$Y$500,0)),"")</f>
        <v/>
      </c>
      <c r="E47" s="8" t="str">
        <f>IFERROR(INDEX(样本到样信息汇总统计!E$2:E$500,MATCH(46,样本到样信息汇总统计!$Y$2:$Y$500,0)),"")</f>
        <v/>
      </c>
      <c r="F47" s="8" t="str">
        <f>IFERROR(INDEX(样本到样信息汇总统计!F$2:F$500,MATCH(46,样本到样信息汇总统计!$Y$2:$Y$500,0)),"")</f>
        <v/>
      </c>
      <c r="G47" s="8" t="str">
        <f>IFERROR(INDEX(样本到样信息汇总统计!G$2:G$500,MATCH(46,样本到样信息汇总统计!$Y$2:$Y$500,0)),"")</f>
        <v/>
      </c>
      <c r="H47" s="8" t="str">
        <f>IFERROR(INDEX(样本到样信息汇总统计!H$2:H$500,MATCH(46,样本到样信息汇总统计!$Y$2:$Y$500,0)),"")</f>
        <v/>
      </c>
      <c r="I47" s="8" t="str">
        <f>IFERROR(INDEX(样本到样信息汇总统计!I$2:I$500,MATCH(46,样本到样信息汇总统计!$Y$2:$Y$500,0)),"")</f>
        <v/>
      </c>
      <c r="J47" s="8" t="str">
        <f>IFERROR(INDEX(样本到样信息汇总统计!J$2:J$500,MATCH(46,样本到样信息汇总统计!$Y$2:$Y$500,0)),"")</f>
        <v/>
      </c>
      <c r="K47" s="8" t="str">
        <f>IFERROR(INDEX(样本到样信息汇总统计!K$2:K$500,MATCH(46,样本到样信息汇总统计!$Y$2:$Y$500,0)),"")</f>
        <v/>
      </c>
      <c r="L47" s="8" t="str">
        <f>IFERROR(INDEX(样本到样信息汇总统计!L$2:L$500,MATCH(46,样本到样信息汇总统计!$Y$2:$Y$500,0)),"")</f>
        <v/>
      </c>
      <c r="M47" s="8" t="str">
        <f>IFERROR(INDEX(样本到样信息汇总统计!M$2:M$500,MATCH(46,样本到样信息汇总统计!$Y$2:$Y$500,0)),"")</f>
        <v/>
      </c>
      <c r="N47" s="8" t="str">
        <f>IFERROR(INDEX(样本到样信息汇总统计!N$2:N$500,MATCH(46,样本到样信息汇总统计!$Y$2:$Y$500,0)),"")</f>
        <v/>
      </c>
      <c r="O47" s="8" t="str">
        <f>IFERROR(INDEX(样本到样信息汇总统计!O$2:O$500,MATCH(46,样本到样信息汇总统计!$Y$2:$Y$500,0)),"")</f>
        <v/>
      </c>
      <c r="P47" s="8" t="str">
        <f>IFERROR(INDEX(样本到样信息汇总统计!P$2:P$500,MATCH(46,样本到样信息汇总统计!$Y$2:$Y$500,0)),"")</f>
        <v/>
      </c>
      <c r="Q47" s="8" t="str">
        <f>IFERROR(INDEX(样本到样信息汇总统计!Q$2:Q$500,MATCH(46,样本到样信息汇总统计!$Y$2:$Y$500,0)),"")</f>
        <v/>
      </c>
      <c r="R47" s="8" t="str">
        <f>IFERROR(INDEX(样本到样信息汇总统计!R$2:R$500,MATCH(46,样本到样信息汇总统计!$Y$2:$Y$500,0)),"")</f>
        <v/>
      </c>
      <c r="S47" s="8" t="str">
        <f>IFERROR(INDEX(样本到样信息汇总统计!S$2:S$500,MATCH(46,样本到样信息汇总统计!$Y$2:$Y$500,0)),"")</f>
        <v/>
      </c>
      <c r="T47" s="8" t="str">
        <f>IFERROR(INDEX(样本到样信息汇总统计!T$2:T$500,MATCH(46,样本到样信息汇总统计!$Y$2:$Y$500,0)),"")</f>
        <v/>
      </c>
      <c r="U47" s="8" t="str">
        <f>IFERROR(INDEX(样本到样信息汇总统计!U$2:U$500,MATCH(46,样本到样信息汇总统计!$Y$2:$Y$500,0)),"")</f>
        <v/>
      </c>
      <c r="V47" s="8" t="str">
        <f>IFERROR(INDEX(样本到样信息汇总统计!V$2:V$500,MATCH(46,样本到样信息汇总统计!$Y$2:$Y$500,0)),"")</f>
        <v/>
      </c>
      <c r="W47" s="8" t="str">
        <f>IFERROR(INDEX(样本到样信息汇总统计!W$2:W$500,MATCH(46,样本到样信息汇总统计!$Y$2:$Y$500,0)),"")</f>
        <v/>
      </c>
    </row>
    <row r="48" ht="14.5" spans="1:23">
      <c r="A48" s="4" t="str">
        <f>IFERROR(INDEX(样本到样信息汇总统计!A$2:A$500,MATCH(47,样本到样信息汇总统计!$Y$2:$Y$500,0)),"")</f>
        <v/>
      </c>
      <c r="B48" s="4" t="str">
        <f>IFERROR(INDEX(样本到样信息汇总统计!B$2:B$500,MATCH(47,样本到样信息汇总统计!$Y$2:$Y$500,0)),"")</f>
        <v/>
      </c>
      <c r="C48" s="4" t="str">
        <f>IFERROR(INDEX(样本到样信息汇总统计!C$2:C$500,MATCH(47,样本到样信息汇总统计!$Y$2:$Y$500,0)),"")</f>
        <v/>
      </c>
      <c r="D48" s="4" t="str">
        <f>IFERROR(INDEX(样本到样信息汇总统计!D$2:D$500,MATCH(47,样本到样信息汇总统计!$Y$2:$Y$500,0)),"")</f>
        <v/>
      </c>
      <c r="E48" s="4" t="str">
        <f>IFERROR(INDEX(样本到样信息汇总统计!E$2:E$500,MATCH(47,样本到样信息汇总统计!$Y$2:$Y$500,0)),"")</f>
        <v/>
      </c>
      <c r="F48" s="4" t="str">
        <f>IFERROR(INDEX(样本到样信息汇总统计!F$2:F$500,MATCH(47,样本到样信息汇总统计!$Y$2:$Y$500,0)),"")</f>
        <v/>
      </c>
      <c r="G48" s="4" t="str">
        <f>IFERROR(INDEX(样本到样信息汇总统计!G$2:G$500,MATCH(47,样本到样信息汇总统计!$Y$2:$Y$500,0)),"")</f>
        <v/>
      </c>
      <c r="H48" s="4" t="str">
        <f>IFERROR(INDEX(样本到样信息汇总统计!H$2:H$500,MATCH(47,样本到样信息汇总统计!$Y$2:$Y$500,0)),"")</f>
        <v/>
      </c>
      <c r="I48" s="4" t="str">
        <f>IFERROR(INDEX(样本到样信息汇总统计!I$2:I$500,MATCH(47,样本到样信息汇总统计!$Y$2:$Y$500,0)),"")</f>
        <v/>
      </c>
      <c r="J48" s="4" t="str">
        <f>IFERROR(INDEX(样本到样信息汇总统计!J$2:J$500,MATCH(47,样本到样信息汇总统计!$Y$2:$Y$500,0)),"")</f>
        <v/>
      </c>
      <c r="K48" s="4" t="str">
        <f>IFERROR(INDEX(样本到样信息汇总统计!K$2:K$500,MATCH(47,样本到样信息汇总统计!$Y$2:$Y$500,0)),"")</f>
        <v/>
      </c>
      <c r="L48" s="4" t="str">
        <f>IFERROR(INDEX(样本到样信息汇总统计!L$2:L$500,MATCH(47,样本到样信息汇总统计!$Y$2:$Y$500,0)),"")</f>
        <v/>
      </c>
      <c r="M48" s="4" t="str">
        <f>IFERROR(INDEX(样本到样信息汇总统计!M$2:M$500,MATCH(47,样本到样信息汇总统计!$Y$2:$Y$500,0)),"")</f>
        <v/>
      </c>
      <c r="N48" s="4" t="str">
        <f>IFERROR(INDEX(样本到样信息汇总统计!N$2:N$500,MATCH(47,样本到样信息汇总统计!$Y$2:$Y$500,0)),"")</f>
        <v/>
      </c>
      <c r="O48" s="4" t="str">
        <f>IFERROR(INDEX(样本到样信息汇总统计!O$2:O$500,MATCH(47,样本到样信息汇总统计!$Y$2:$Y$500,0)),"")</f>
        <v/>
      </c>
      <c r="P48" s="4" t="str">
        <f>IFERROR(INDEX(样本到样信息汇总统计!P$2:P$500,MATCH(47,样本到样信息汇总统计!$Y$2:$Y$500,0)),"")</f>
        <v/>
      </c>
      <c r="Q48" s="4" t="str">
        <f>IFERROR(INDEX(样本到样信息汇总统计!Q$2:Q$500,MATCH(47,样本到样信息汇总统计!$Y$2:$Y$500,0)),"")</f>
        <v/>
      </c>
      <c r="R48" s="4" t="str">
        <f>IFERROR(INDEX(样本到样信息汇总统计!R$2:R$500,MATCH(47,样本到样信息汇总统计!$Y$2:$Y$500,0)),"")</f>
        <v/>
      </c>
      <c r="S48" s="4" t="str">
        <f>IFERROR(INDEX(样本到样信息汇总统计!S$2:S$500,MATCH(47,样本到样信息汇总统计!$Y$2:$Y$500,0)),"")</f>
        <v/>
      </c>
      <c r="T48" s="4" t="str">
        <f>IFERROR(INDEX(样本到样信息汇总统计!T$2:T$500,MATCH(47,样本到样信息汇总统计!$Y$2:$Y$500,0)),"")</f>
        <v/>
      </c>
      <c r="U48" s="4" t="str">
        <f>IFERROR(INDEX(样本到样信息汇总统计!U$2:U$500,MATCH(47,样本到样信息汇总统计!$Y$2:$Y$500,0)),"")</f>
        <v/>
      </c>
      <c r="V48" s="4" t="str">
        <f>IFERROR(INDEX(样本到样信息汇总统计!V$2:V$500,MATCH(47,样本到样信息汇总统计!$Y$2:$Y$500,0)),"")</f>
        <v/>
      </c>
      <c r="W48" s="4" t="str">
        <f>IFERROR(INDEX(样本到样信息汇总统计!W$2:W$500,MATCH(47,样本到样信息汇总统计!$Y$2:$Y$500,0)),"")</f>
        <v/>
      </c>
    </row>
    <row r="49" ht="14.5" spans="1:23">
      <c r="A49" s="8" t="str">
        <f>IFERROR(INDEX(样本到样信息汇总统计!A$2:A$500,MATCH(48,样本到样信息汇总统计!$Y$2:$Y$500,0)),"")</f>
        <v/>
      </c>
      <c r="B49" s="8" t="str">
        <f>IFERROR(INDEX(样本到样信息汇总统计!B$2:B$500,MATCH(48,样本到样信息汇总统计!$Y$2:$Y$500,0)),"")</f>
        <v/>
      </c>
      <c r="C49" s="8" t="str">
        <f>IFERROR(INDEX(样本到样信息汇总统计!C$2:C$500,MATCH(48,样本到样信息汇总统计!$Y$2:$Y$500,0)),"")</f>
        <v/>
      </c>
      <c r="D49" s="8" t="str">
        <f>IFERROR(INDEX(样本到样信息汇总统计!D$2:D$500,MATCH(48,样本到样信息汇总统计!$Y$2:$Y$500,0)),"")</f>
        <v/>
      </c>
      <c r="E49" s="8" t="str">
        <f>IFERROR(INDEX(样本到样信息汇总统计!E$2:E$500,MATCH(48,样本到样信息汇总统计!$Y$2:$Y$500,0)),"")</f>
        <v/>
      </c>
      <c r="F49" s="8" t="str">
        <f>IFERROR(INDEX(样本到样信息汇总统计!F$2:F$500,MATCH(48,样本到样信息汇总统计!$Y$2:$Y$500,0)),"")</f>
        <v/>
      </c>
      <c r="G49" s="8" t="str">
        <f>IFERROR(INDEX(样本到样信息汇总统计!G$2:G$500,MATCH(48,样本到样信息汇总统计!$Y$2:$Y$500,0)),"")</f>
        <v/>
      </c>
      <c r="H49" s="8" t="str">
        <f>IFERROR(INDEX(样本到样信息汇总统计!H$2:H$500,MATCH(48,样本到样信息汇总统计!$Y$2:$Y$500,0)),"")</f>
        <v/>
      </c>
      <c r="I49" s="8" t="str">
        <f>IFERROR(INDEX(样本到样信息汇总统计!I$2:I$500,MATCH(48,样本到样信息汇总统计!$Y$2:$Y$500,0)),"")</f>
        <v/>
      </c>
      <c r="J49" s="8" t="str">
        <f>IFERROR(INDEX(样本到样信息汇总统计!J$2:J$500,MATCH(48,样本到样信息汇总统计!$Y$2:$Y$500,0)),"")</f>
        <v/>
      </c>
      <c r="K49" s="8" t="str">
        <f>IFERROR(INDEX(样本到样信息汇总统计!K$2:K$500,MATCH(48,样本到样信息汇总统计!$Y$2:$Y$500,0)),"")</f>
        <v/>
      </c>
      <c r="L49" s="8" t="str">
        <f>IFERROR(INDEX(样本到样信息汇总统计!L$2:L$500,MATCH(48,样本到样信息汇总统计!$Y$2:$Y$500,0)),"")</f>
        <v/>
      </c>
      <c r="M49" s="8" t="str">
        <f>IFERROR(INDEX(样本到样信息汇总统计!M$2:M$500,MATCH(48,样本到样信息汇总统计!$Y$2:$Y$500,0)),"")</f>
        <v/>
      </c>
      <c r="N49" s="8" t="str">
        <f>IFERROR(INDEX(样本到样信息汇总统计!N$2:N$500,MATCH(48,样本到样信息汇总统计!$Y$2:$Y$500,0)),"")</f>
        <v/>
      </c>
      <c r="O49" s="8" t="str">
        <f>IFERROR(INDEX(样本到样信息汇总统计!O$2:O$500,MATCH(48,样本到样信息汇总统计!$Y$2:$Y$500,0)),"")</f>
        <v/>
      </c>
      <c r="P49" s="8" t="str">
        <f>IFERROR(INDEX(样本到样信息汇总统计!P$2:P$500,MATCH(48,样本到样信息汇总统计!$Y$2:$Y$500,0)),"")</f>
        <v/>
      </c>
      <c r="Q49" s="8" t="str">
        <f>IFERROR(INDEX(样本到样信息汇总统计!Q$2:Q$500,MATCH(48,样本到样信息汇总统计!$Y$2:$Y$500,0)),"")</f>
        <v/>
      </c>
      <c r="R49" s="8" t="str">
        <f>IFERROR(INDEX(样本到样信息汇总统计!R$2:R$500,MATCH(48,样本到样信息汇总统计!$Y$2:$Y$500,0)),"")</f>
        <v/>
      </c>
      <c r="S49" s="8" t="str">
        <f>IFERROR(INDEX(样本到样信息汇总统计!S$2:S$500,MATCH(48,样本到样信息汇总统计!$Y$2:$Y$500,0)),"")</f>
        <v/>
      </c>
      <c r="T49" s="8" t="str">
        <f>IFERROR(INDEX(样本到样信息汇总统计!T$2:T$500,MATCH(48,样本到样信息汇总统计!$Y$2:$Y$500,0)),"")</f>
        <v/>
      </c>
      <c r="U49" s="8" t="str">
        <f>IFERROR(INDEX(样本到样信息汇总统计!U$2:U$500,MATCH(48,样本到样信息汇总统计!$Y$2:$Y$500,0)),"")</f>
        <v/>
      </c>
      <c r="V49" s="8" t="str">
        <f>IFERROR(INDEX(样本到样信息汇总统计!V$2:V$500,MATCH(48,样本到样信息汇总统计!$Y$2:$Y$500,0)),"")</f>
        <v/>
      </c>
      <c r="W49" s="8" t="str">
        <f>IFERROR(INDEX(样本到样信息汇总统计!W$2:W$500,MATCH(48,样本到样信息汇总统计!$Y$2:$Y$500,0)),"")</f>
        <v/>
      </c>
    </row>
    <row r="50" ht="14.5" spans="1:23">
      <c r="A50" s="4" t="str">
        <f>IFERROR(INDEX(样本到样信息汇总统计!A$2:A$500,MATCH(49,样本到样信息汇总统计!$Y$2:$Y$500,0)),"")</f>
        <v/>
      </c>
      <c r="B50" s="4" t="str">
        <f>IFERROR(INDEX(样本到样信息汇总统计!B$2:B$500,MATCH(49,样本到样信息汇总统计!$Y$2:$Y$500,0)),"")</f>
        <v/>
      </c>
      <c r="C50" s="4" t="str">
        <f>IFERROR(INDEX(样本到样信息汇总统计!C$2:C$500,MATCH(49,样本到样信息汇总统计!$Y$2:$Y$500,0)),"")</f>
        <v/>
      </c>
      <c r="D50" s="4" t="str">
        <f>IFERROR(INDEX(样本到样信息汇总统计!D$2:D$500,MATCH(49,样本到样信息汇总统计!$Y$2:$Y$500,0)),"")</f>
        <v/>
      </c>
      <c r="E50" s="4" t="str">
        <f>IFERROR(INDEX(样本到样信息汇总统计!E$2:E$500,MATCH(49,样本到样信息汇总统计!$Y$2:$Y$500,0)),"")</f>
        <v/>
      </c>
      <c r="F50" s="4" t="str">
        <f>IFERROR(INDEX(样本到样信息汇总统计!F$2:F$500,MATCH(49,样本到样信息汇总统计!$Y$2:$Y$500,0)),"")</f>
        <v/>
      </c>
      <c r="G50" s="4" t="str">
        <f>IFERROR(INDEX(样本到样信息汇总统计!G$2:G$500,MATCH(49,样本到样信息汇总统计!$Y$2:$Y$500,0)),"")</f>
        <v/>
      </c>
      <c r="H50" s="4" t="str">
        <f>IFERROR(INDEX(样本到样信息汇总统计!H$2:H$500,MATCH(49,样本到样信息汇总统计!$Y$2:$Y$500,0)),"")</f>
        <v/>
      </c>
      <c r="I50" s="4" t="str">
        <f>IFERROR(INDEX(样本到样信息汇总统计!I$2:I$500,MATCH(49,样本到样信息汇总统计!$Y$2:$Y$500,0)),"")</f>
        <v/>
      </c>
      <c r="J50" s="4" t="str">
        <f>IFERROR(INDEX(样本到样信息汇总统计!J$2:J$500,MATCH(49,样本到样信息汇总统计!$Y$2:$Y$500,0)),"")</f>
        <v/>
      </c>
      <c r="K50" s="4" t="str">
        <f>IFERROR(INDEX(样本到样信息汇总统计!K$2:K$500,MATCH(49,样本到样信息汇总统计!$Y$2:$Y$500,0)),"")</f>
        <v/>
      </c>
      <c r="L50" s="4" t="str">
        <f>IFERROR(INDEX(样本到样信息汇总统计!L$2:L$500,MATCH(49,样本到样信息汇总统计!$Y$2:$Y$500,0)),"")</f>
        <v/>
      </c>
      <c r="M50" s="4" t="str">
        <f>IFERROR(INDEX(样本到样信息汇总统计!M$2:M$500,MATCH(49,样本到样信息汇总统计!$Y$2:$Y$500,0)),"")</f>
        <v/>
      </c>
      <c r="N50" s="4" t="str">
        <f>IFERROR(INDEX(样本到样信息汇总统计!N$2:N$500,MATCH(49,样本到样信息汇总统计!$Y$2:$Y$500,0)),"")</f>
        <v/>
      </c>
      <c r="O50" s="4" t="str">
        <f>IFERROR(INDEX(样本到样信息汇总统计!O$2:O$500,MATCH(49,样本到样信息汇总统计!$Y$2:$Y$500,0)),"")</f>
        <v/>
      </c>
      <c r="P50" s="4" t="str">
        <f>IFERROR(INDEX(样本到样信息汇总统计!P$2:P$500,MATCH(49,样本到样信息汇总统计!$Y$2:$Y$500,0)),"")</f>
        <v/>
      </c>
      <c r="Q50" s="4" t="str">
        <f>IFERROR(INDEX(样本到样信息汇总统计!Q$2:Q$500,MATCH(49,样本到样信息汇总统计!$Y$2:$Y$500,0)),"")</f>
        <v/>
      </c>
      <c r="R50" s="4" t="str">
        <f>IFERROR(INDEX(样本到样信息汇总统计!R$2:R$500,MATCH(49,样本到样信息汇总统计!$Y$2:$Y$500,0)),"")</f>
        <v/>
      </c>
      <c r="S50" s="4" t="str">
        <f>IFERROR(INDEX(样本到样信息汇总统计!S$2:S$500,MATCH(49,样本到样信息汇总统计!$Y$2:$Y$500,0)),"")</f>
        <v/>
      </c>
      <c r="T50" s="4" t="str">
        <f>IFERROR(INDEX(样本到样信息汇总统计!T$2:T$500,MATCH(49,样本到样信息汇总统计!$Y$2:$Y$500,0)),"")</f>
        <v/>
      </c>
      <c r="U50" s="4" t="str">
        <f>IFERROR(INDEX(样本到样信息汇总统计!U$2:U$500,MATCH(49,样本到样信息汇总统计!$Y$2:$Y$500,0)),"")</f>
        <v/>
      </c>
      <c r="V50" s="4" t="str">
        <f>IFERROR(INDEX(样本到样信息汇总统计!V$2:V$500,MATCH(49,样本到样信息汇总统计!$Y$2:$Y$500,0)),"")</f>
        <v/>
      </c>
      <c r="W50" s="4" t="str">
        <f>IFERROR(INDEX(样本到样信息汇总统计!W$2:W$500,MATCH(49,样本到样信息汇总统计!$Y$2:$Y$500,0)),"")</f>
        <v/>
      </c>
    </row>
    <row r="51" ht="14.5" spans="1:23">
      <c r="A51" s="8" t="str">
        <f>IFERROR(INDEX(样本到样信息汇总统计!A$2:A$500,MATCH(50,样本到样信息汇总统计!$Y$2:$Y$500,0)),"")</f>
        <v/>
      </c>
      <c r="B51" s="8" t="str">
        <f>IFERROR(INDEX(样本到样信息汇总统计!B$2:B$500,MATCH(50,样本到样信息汇总统计!$Y$2:$Y$500,0)),"")</f>
        <v/>
      </c>
      <c r="C51" s="8" t="str">
        <f>IFERROR(INDEX(样本到样信息汇总统计!C$2:C$500,MATCH(50,样本到样信息汇总统计!$Y$2:$Y$500,0)),"")</f>
        <v/>
      </c>
      <c r="D51" s="8" t="str">
        <f>IFERROR(INDEX(样本到样信息汇总统计!D$2:D$500,MATCH(50,样本到样信息汇总统计!$Y$2:$Y$500,0)),"")</f>
        <v/>
      </c>
      <c r="E51" s="8" t="str">
        <f>IFERROR(INDEX(样本到样信息汇总统计!E$2:E$500,MATCH(50,样本到样信息汇总统计!$Y$2:$Y$500,0)),"")</f>
        <v/>
      </c>
      <c r="F51" s="8" t="str">
        <f>IFERROR(INDEX(样本到样信息汇总统计!F$2:F$500,MATCH(50,样本到样信息汇总统计!$Y$2:$Y$500,0)),"")</f>
        <v/>
      </c>
      <c r="G51" s="8" t="str">
        <f>IFERROR(INDEX(样本到样信息汇总统计!G$2:G$500,MATCH(50,样本到样信息汇总统计!$Y$2:$Y$500,0)),"")</f>
        <v/>
      </c>
      <c r="H51" s="8" t="str">
        <f>IFERROR(INDEX(样本到样信息汇总统计!H$2:H$500,MATCH(50,样本到样信息汇总统计!$Y$2:$Y$500,0)),"")</f>
        <v/>
      </c>
      <c r="I51" s="8" t="str">
        <f>IFERROR(INDEX(样本到样信息汇总统计!I$2:I$500,MATCH(50,样本到样信息汇总统计!$Y$2:$Y$500,0)),"")</f>
        <v/>
      </c>
      <c r="J51" s="8" t="str">
        <f>IFERROR(INDEX(样本到样信息汇总统计!J$2:J$500,MATCH(50,样本到样信息汇总统计!$Y$2:$Y$500,0)),"")</f>
        <v/>
      </c>
      <c r="K51" s="8" t="str">
        <f>IFERROR(INDEX(样本到样信息汇总统计!K$2:K$500,MATCH(50,样本到样信息汇总统计!$Y$2:$Y$500,0)),"")</f>
        <v/>
      </c>
      <c r="L51" s="8" t="str">
        <f>IFERROR(INDEX(样本到样信息汇总统计!L$2:L$500,MATCH(50,样本到样信息汇总统计!$Y$2:$Y$500,0)),"")</f>
        <v/>
      </c>
      <c r="M51" s="8" t="str">
        <f>IFERROR(INDEX(样本到样信息汇总统计!M$2:M$500,MATCH(50,样本到样信息汇总统计!$Y$2:$Y$500,0)),"")</f>
        <v/>
      </c>
      <c r="N51" s="8" t="str">
        <f>IFERROR(INDEX(样本到样信息汇总统计!N$2:N$500,MATCH(50,样本到样信息汇总统计!$Y$2:$Y$500,0)),"")</f>
        <v/>
      </c>
      <c r="O51" s="8" t="str">
        <f>IFERROR(INDEX(样本到样信息汇总统计!O$2:O$500,MATCH(50,样本到样信息汇总统计!$Y$2:$Y$500,0)),"")</f>
        <v/>
      </c>
      <c r="P51" s="8" t="str">
        <f>IFERROR(INDEX(样本到样信息汇总统计!P$2:P$500,MATCH(50,样本到样信息汇总统计!$Y$2:$Y$500,0)),"")</f>
        <v/>
      </c>
      <c r="Q51" s="8" t="str">
        <f>IFERROR(INDEX(样本到样信息汇总统计!Q$2:Q$500,MATCH(50,样本到样信息汇总统计!$Y$2:$Y$500,0)),"")</f>
        <v/>
      </c>
      <c r="R51" s="8" t="str">
        <f>IFERROR(INDEX(样本到样信息汇总统计!R$2:R$500,MATCH(50,样本到样信息汇总统计!$Y$2:$Y$500,0)),"")</f>
        <v/>
      </c>
      <c r="S51" s="8" t="str">
        <f>IFERROR(INDEX(样本到样信息汇总统计!S$2:S$500,MATCH(50,样本到样信息汇总统计!$Y$2:$Y$500,0)),"")</f>
        <v/>
      </c>
      <c r="T51" s="8" t="str">
        <f>IFERROR(INDEX(样本到样信息汇总统计!T$2:T$500,MATCH(50,样本到样信息汇总统计!$Y$2:$Y$500,0)),"")</f>
        <v/>
      </c>
      <c r="U51" s="8" t="str">
        <f>IFERROR(INDEX(样本到样信息汇总统计!U$2:U$500,MATCH(50,样本到样信息汇总统计!$Y$2:$Y$500,0)),"")</f>
        <v/>
      </c>
      <c r="V51" s="8" t="str">
        <f>IFERROR(INDEX(样本到样信息汇总统计!V$2:V$500,MATCH(50,样本到样信息汇总统计!$Y$2:$Y$500,0)),"")</f>
        <v/>
      </c>
      <c r="W51" s="8" t="str">
        <f>IFERROR(INDEX(样本到样信息汇总统计!W$2:W$500,MATCH(50,样本到样信息汇总统计!$Y$2:$Y$500,0)),"")</f>
        <v/>
      </c>
    </row>
    <row r="52" ht="14.5" spans="1:23">
      <c r="A52" s="4" t="str">
        <f>IFERROR(INDEX(样本到样信息汇总统计!A$2:A$500,MATCH(51,样本到样信息汇总统计!$Y$2:$Y$500,0)),"")</f>
        <v/>
      </c>
      <c r="B52" s="4" t="str">
        <f>IFERROR(INDEX(样本到样信息汇总统计!B$2:B$500,MATCH(51,样本到样信息汇总统计!$Y$2:$Y$500,0)),"")</f>
        <v/>
      </c>
      <c r="C52" s="4" t="str">
        <f>IFERROR(INDEX(样本到样信息汇总统计!C$2:C$500,MATCH(51,样本到样信息汇总统计!$Y$2:$Y$500,0)),"")</f>
        <v/>
      </c>
      <c r="D52" s="4" t="str">
        <f>IFERROR(INDEX(样本到样信息汇总统计!D$2:D$500,MATCH(51,样本到样信息汇总统计!$Y$2:$Y$500,0)),"")</f>
        <v/>
      </c>
      <c r="E52" s="4" t="str">
        <f>IFERROR(INDEX(样本到样信息汇总统计!E$2:E$500,MATCH(51,样本到样信息汇总统计!$Y$2:$Y$500,0)),"")</f>
        <v/>
      </c>
      <c r="F52" s="4" t="str">
        <f>IFERROR(INDEX(样本到样信息汇总统计!F$2:F$500,MATCH(51,样本到样信息汇总统计!$Y$2:$Y$500,0)),"")</f>
        <v/>
      </c>
      <c r="G52" s="4" t="str">
        <f>IFERROR(INDEX(样本到样信息汇总统计!G$2:G$500,MATCH(51,样本到样信息汇总统计!$Y$2:$Y$500,0)),"")</f>
        <v/>
      </c>
      <c r="H52" s="4" t="str">
        <f>IFERROR(INDEX(样本到样信息汇总统计!H$2:H$500,MATCH(51,样本到样信息汇总统计!$Y$2:$Y$500,0)),"")</f>
        <v/>
      </c>
      <c r="I52" s="4" t="str">
        <f>IFERROR(INDEX(样本到样信息汇总统计!I$2:I$500,MATCH(51,样本到样信息汇总统计!$Y$2:$Y$500,0)),"")</f>
        <v/>
      </c>
      <c r="J52" s="4" t="str">
        <f>IFERROR(INDEX(样本到样信息汇总统计!J$2:J$500,MATCH(51,样本到样信息汇总统计!$Y$2:$Y$500,0)),"")</f>
        <v/>
      </c>
      <c r="K52" s="4" t="str">
        <f>IFERROR(INDEX(样本到样信息汇总统计!K$2:K$500,MATCH(51,样本到样信息汇总统计!$Y$2:$Y$500,0)),"")</f>
        <v/>
      </c>
      <c r="L52" s="4" t="str">
        <f>IFERROR(INDEX(样本到样信息汇总统计!L$2:L$500,MATCH(51,样本到样信息汇总统计!$Y$2:$Y$500,0)),"")</f>
        <v/>
      </c>
      <c r="M52" s="4" t="str">
        <f>IFERROR(INDEX(样本到样信息汇总统计!M$2:M$500,MATCH(51,样本到样信息汇总统计!$Y$2:$Y$500,0)),"")</f>
        <v/>
      </c>
      <c r="N52" s="4" t="str">
        <f>IFERROR(INDEX(样本到样信息汇总统计!N$2:N$500,MATCH(51,样本到样信息汇总统计!$Y$2:$Y$500,0)),"")</f>
        <v/>
      </c>
      <c r="O52" s="4" t="str">
        <f>IFERROR(INDEX(样本到样信息汇总统计!O$2:O$500,MATCH(51,样本到样信息汇总统计!$Y$2:$Y$500,0)),"")</f>
        <v/>
      </c>
      <c r="P52" s="4" t="str">
        <f>IFERROR(INDEX(样本到样信息汇总统计!P$2:P$500,MATCH(51,样本到样信息汇总统计!$Y$2:$Y$500,0)),"")</f>
        <v/>
      </c>
      <c r="Q52" s="4" t="str">
        <f>IFERROR(INDEX(样本到样信息汇总统计!Q$2:Q$500,MATCH(51,样本到样信息汇总统计!$Y$2:$Y$500,0)),"")</f>
        <v/>
      </c>
      <c r="R52" s="4" t="str">
        <f>IFERROR(INDEX(样本到样信息汇总统计!R$2:R$500,MATCH(51,样本到样信息汇总统计!$Y$2:$Y$500,0)),"")</f>
        <v/>
      </c>
      <c r="S52" s="4" t="str">
        <f>IFERROR(INDEX(样本到样信息汇总统计!S$2:S$500,MATCH(51,样本到样信息汇总统计!$Y$2:$Y$500,0)),"")</f>
        <v/>
      </c>
      <c r="T52" s="4" t="str">
        <f>IFERROR(INDEX(样本到样信息汇总统计!T$2:T$500,MATCH(51,样本到样信息汇总统计!$Y$2:$Y$500,0)),"")</f>
        <v/>
      </c>
      <c r="U52" s="4" t="str">
        <f>IFERROR(INDEX(样本到样信息汇总统计!U$2:U$500,MATCH(51,样本到样信息汇总统计!$Y$2:$Y$500,0)),"")</f>
        <v/>
      </c>
      <c r="V52" s="4" t="str">
        <f>IFERROR(INDEX(样本到样信息汇总统计!V$2:V$500,MATCH(51,样本到样信息汇总统计!$Y$2:$Y$500,0)),"")</f>
        <v/>
      </c>
      <c r="W52" s="4" t="str">
        <f>IFERROR(INDEX(样本到样信息汇总统计!W$2:W$500,MATCH(51,样本到样信息汇总统计!$Y$2:$Y$500,0)),"")</f>
        <v/>
      </c>
    </row>
    <row r="53" ht="14.5" spans="1:23">
      <c r="A53" s="8" t="str">
        <f>IFERROR(INDEX(样本到样信息汇总统计!A$2:A$500,MATCH(52,样本到样信息汇总统计!$Y$2:$Y$500,0)),"")</f>
        <v/>
      </c>
      <c r="B53" s="8" t="str">
        <f>IFERROR(INDEX(样本到样信息汇总统计!B$2:B$500,MATCH(52,样本到样信息汇总统计!$Y$2:$Y$500,0)),"")</f>
        <v/>
      </c>
      <c r="C53" s="8" t="str">
        <f>IFERROR(INDEX(样本到样信息汇总统计!C$2:C$500,MATCH(52,样本到样信息汇总统计!$Y$2:$Y$500,0)),"")</f>
        <v/>
      </c>
      <c r="D53" s="8" t="str">
        <f>IFERROR(INDEX(样本到样信息汇总统计!D$2:D$500,MATCH(52,样本到样信息汇总统计!$Y$2:$Y$500,0)),"")</f>
        <v/>
      </c>
      <c r="E53" s="8" t="str">
        <f>IFERROR(INDEX(样本到样信息汇总统计!E$2:E$500,MATCH(52,样本到样信息汇总统计!$Y$2:$Y$500,0)),"")</f>
        <v/>
      </c>
      <c r="F53" s="8" t="str">
        <f>IFERROR(INDEX(样本到样信息汇总统计!F$2:F$500,MATCH(52,样本到样信息汇总统计!$Y$2:$Y$500,0)),"")</f>
        <v/>
      </c>
      <c r="G53" s="8" t="str">
        <f>IFERROR(INDEX(样本到样信息汇总统计!G$2:G$500,MATCH(52,样本到样信息汇总统计!$Y$2:$Y$500,0)),"")</f>
        <v/>
      </c>
      <c r="H53" s="8" t="str">
        <f>IFERROR(INDEX(样本到样信息汇总统计!H$2:H$500,MATCH(52,样本到样信息汇总统计!$Y$2:$Y$500,0)),"")</f>
        <v/>
      </c>
      <c r="I53" s="8" t="str">
        <f>IFERROR(INDEX(样本到样信息汇总统计!I$2:I$500,MATCH(52,样本到样信息汇总统计!$Y$2:$Y$500,0)),"")</f>
        <v/>
      </c>
      <c r="J53" s="8" t="str">
        <f>IFERROR(INDEX(样本到样信息汇总统计!J$2:J$500,MATCH(52,样本到样信息汇总统计!$Y$2:$Y$500,0)),"")</f>
        <v/>
      </c>
      <c r="K53" s="8" t="str">
        <f>IFERROR(INDEX(样本到样信息汇总统计!K$2:K$500,MATCH(52,样本到样信息汇总统计!$Y$2:$Y$500,0)),"")</f>
        <v/>
      </c>
      <c r="L53" s="8" t="str">
        <f>IFERROR(INDEX(样本到样信息汇总统计!L$2:L$500,MATCH(52,样本到样信息汇总统计!$Y$2:$Y$500,0)),"")</f>
        <v/>
      </c>
      <c r="M53" s="8" t="str">
        <f>IFERROR(INDEX(样本到样信息汇总统计!M$2:M$500,MATCH(52,样本到样信息汇总统计!$Y$2:$Y$500,0)),"")</f>
        <v/>
      </c>
      <c r="N53" s="8" t="str">
        <f>IFERROR(INDEX(样本到样信息汇总统计!N$2:N$500,MATCH(52,样本到样信息汇总统计!$Y$2:$Y$500,0)),"")</f>
        <v/>
      </c>
      <c r="O53" s="8" t="str">
        <f>IFERROR(INDEX(样本到样信息汇总统计!O$2:O$500,MATCH(52,样本到样信息汇总统计!$Y$2:$Y$500,0)),"")</f>
        <v/>
      </c>
      <c r="P53" s="8" t="str">
        <f>IFERROR(INDEX(样本到样信息汇总统计!P$2:P$500,MATCH(52,样本到样信息汇总统计!$Y$2:$Y$500,0)),"")</f>
        <v/>
      </c>
      <c r="Q53" s="8" t="str">
        <f>IFERROR(INDEX(样本到样信息汇总统计!Q$2:Q$500,MATCH(52,样本到样信息汇总统计!$Y$2:$Y$500,0)),"")</f>
        <v/>
      </c>
      <c r="R53" s="8" t="str">
        <f>IFERROR(INDEX(样本到样信息汇总统计!R$2:R$500,MATCH(52,样本到样信息汇总统计!$Y$2:$Y$500,0)),"")</f>
        <v/>
      </c>
      <c r="S53" s="8" t="str">
        <f>IFERROR(INDEX(样本到样信息汇总统计!S$2:S$500,MATCH(52,样本到样信息汇总统计!$Y$2:$Y$500,0)),"")</f>
        <v/>
      </c>
      <c r="T53" s="8" t="str">
        <f>IFERROR(INDEX(样本到样信息汇总统计!T$2:T$500,MATCH(52,样本到样信息汇总统计!$Y$2:$Y$500,0)),"")</f>
        <v/>
      </c>
      <c r="U53" s="8" t="str">
        <f>IFERROR(INDEX(样本到样信息汇总统计!U$2:U$500,MATCH(52,样本到样信息汇总统计!$Y$2:$Y$500,0)),"")</f>
        <v/>
      </c>
      <c r="V53" s="8" t="str">
        <f>IFERROR(INDEX(样本到样信息汇总统计!V$2:V$500,MATCH(52,样本到样信息汇总统计!$Y$2:$Y$500,0)),"")</f>
        <v/>
      </c>
      <c r="W53" s="8" t="str">
        <f>IFERROR(INDEX(样本到样信息汇总统计!W$2:W$500,MATCH(52,样本到样信息汇总统计!$Y$2:$Y$500,0)),"")</f>
        <v/>
      </c>
    </row>
    <row r="54" ht="14.5" spans="1:23">
      <c r="A54" s="4" t="str">
        <f>IFERROR(INDEX(样本到样信息汇总统计!A$2:A$500,MATCH(53,样本到样信息汇总统计!$Y$2:$Y$500,0)),"")</f>
        <v/>
      </c>
      <c r="B54" s="4" t="str">
        <f>IFERROR(INDEX(样本到样信息汇总统计!B$2:B$500,MATCH(53,样本到样信息汇总统计!$Y$2:$Y$500,0)),"")</f>
        <v/>
      </c>
      <c r="C54" s="4" t="str">
        <f>IFERROR(INDEX(样本到样信息汇总统计!C$2:C$500,MATCH(53,样本到样信息汇总统计!$Y$2:$Y$500,0)),"")</f>
        <v/>
      </c>
      <c r="D54" s="4" t="str">
        <f>IFERROR(INDEX(样本到样信息汇总统计!D$2:D$500,MATCH(53,样本到样信息汇总统计!$Y$2:$Y$500,0)),"")</f>
        <v/>
      </c>
      <c r="E54" s="4" t="str">
        <f>IFERROR(INDEX(样本到样信息汇总统计!E$2:E$500,MATCH(53,样本到样信息汇总统计!$Y$2:$Y$500,0)),"")</f>
        <v/>
      </c>
      <c r="F54" s="4" t="str">
        <f>IFERROR(INDEX(样本到样信息汇总统计!F$2:F$500,MATCH(53,样本到样信息汇总统计!$Y$2:$Y$500,0)),"")</f>
        <v/>
      </c>
      <c r="G54" s="4" t="str">
        <f>IFERROR(INDEX(样本到样信息汇总统计!G$2:G$500,MATCH(53,样本到样信息汇总统计!$Y$2:$Y$500,0)),"")</f>
        <v/>
      </c>
      <c r="H54" s="4" t="str">
        <f>IFERROR(INDEX(样本到样信息汇总统计!H$2:H$500,MATCH(53,样本到样信息汇总统计!$Y$2:$Y$500,0)),"")</f>
        <v/>
      </c>
      <c r="I54" s="4" t="str">
        <f>IFERROR(INDEX(样本到样信息汇总统计!I$2:I$500,MATCH(53,样本到样信息汇总统计!$Y$2:$Y$500,0)),"")</f>
        <v/>
      </c>
      <c r="J54" s="4" t="str">
        <f>IFERROR(INDEX(样本到样信息汇总统计!J$2:J$500,MATCH(53,样本到样信息汇总统计!$Y$2:$Y$500,0)),"")</f>
        <v/>
      </c>
      <c r="K54" s="4" t="str">
        <f>IFERROR(INDEX(样本到样信息汇总统计!K$2:K$500,MATCH(53,样本到样信息汇总统计!$Y$2:$Y$500,0)),"")</f>
        <v/>
      </c>
      <c r="L54" s="4" t="str">
        <f>IFERROR(INDEX(样本到样信息汇总统计!L$2:L$500,MATCH(53,样本到样信息汇总统计!$Y$2:$Y$500,0)),"")</f>
        <v/>
      </c>
      <c r="M54" s="4" t="str">
        <f>IFERROR(INDEX(样本到样信息汇总统计!M$2:M$500,MATCH(53,样本到样信息汇总统计!$Y$2:$Y$500,0)),"")</f>
        <v/>
      </c>
      <c r="N54" s="4" t="str">
        <f>IFERROR(INDEX(样本到样信息汇总统计!N$2:N$500,MATCH(53,样本到样信息汇总统计!$Y$2:$Y$500,0)),"")</f>
        <v/>
      </c>
      <c r="O54" s="4" t="str">
        <f>IFERROR(INDEX(样本到样信息汇总统计!O$2:O$500,MATCH(53,样本到样信息汇总统计!$Y$2:$Y$500,0)),"")</f>
        <v/>
      </c>
      <c r="P54" s="4" t="str">
        <f>IFERROR(INDEX(样本到样信息汇总统计!P$2:P$500,MATCH(53,样本到样信息汇总统计!$Y$2:$Y$500,0)),"")</f>
        <v/>
      </c>
      <c r="Q54" s="4" t="str">
        <f>IFERROR(INDEX(样本到样信息汇总统计!Q$2:Q$500,MATCH(53,样本到样信息汇总统计!$Y$2:$Y$500,0)),"")</f>
        <v/>
      </c>
      <c r="R54" s="4" t="str">
        <f>IFERROR(INDEX(样本到样信息汇总统计!R$2:R$500,MATCH(53,样本到样信息汇总统计!$Y$2:$Y$500,0)),"")</f>
        <v/>
      </c>
      <c r="S54" s="4" t="str">
        <f>IFERROR(INDEX(样本到样信息汇总统计!S$2:S$500,MATCH(53,样本到样信息汇总统计!$Y$2:$Y$500,0)),"")</f>
        <v/>
      </c>
      <c r="T54" s="4" t="str">
        <f>IFERROR(INDEX(样本到样信息汇总统计!T$2:T$500,MATCH(53,样本到样信息汇总统计!$Y$2:$Y$500,0)),"")</f>
        <v/>
      </c>
      <c r="U54" s="4" t="str">
        <f>IFERROR(INDEX(样本到样信息汇总统计!U$2:U$500,MATCH(53,样本到样信息汇总统计!$Y$2:$Y$500,0)),"")</f>
        <v/>
      </c>
      <c r="V54" s="4" t="str">
        <f>IFERROR(INDEX(样本到样信息汇总统计!V$2:V$500,MATCH(53,样本到样信息汇总统计!$Y$2:$Y$500,0)),"")</f>
        <v/>
      </c>
      <c r="W54" s="4" t="str">
        <f>IFERROR(INDEX(样本到样信息汇总统计!W$2:W$500,MATCH(53,样本到样信息汇总统计!$Y$2:$Y$500,0)),"")</f>
        <v/>
      </c>
    </row>
    <row r="55" ht="14.5" spans="1:23">
      <c r="A55" s="8" t="str">
        <f>IFERROR(INDEX(样本到样信息汇总统计!A$2:A$500,MATCH(54,样本到样信息汇总统计!$Y$2:$Y$500,0)),"")</f>
        <v/>
      </c>
      <c r="B55" s="8" t="str">
        <f>IFERROR(INDEX(样本到样信息汇总统计!B$2:B$500,MATCH(54,样本到样信息汇总统计!$Y$2:$Y$500,0)),"")</f>
        <v/>
      </c>
      <c r="C55" s="8" t="str">
        <f>IFERROR(INDEX(样本到样信息汇总统计!C$2:C$500,MATCH(54,样本到样信息汇总统计!$Y$2:$Y$500,0)),"")</f>
        <v/>
      </c>
      <c r="D55" s="8" t="str">
        <f>IFERROR(INDEX(样本到样信息汇总统计!D$2:D$500,MATCH(54,样本到样信息汇总统计!$Y$2:$Y$500,0)),"")</f>
        <v/>
      </c>
      <c r="E55" s="8" t="str">
        <f>IFERROR(INDEX(样本到样信息汇总统计!E$2:E$500,MATCH(54,样本到样信息汇总统计!$Y$2:$Y$500,0)),"")</f>
        <v/>
      </c>
      <c r="F55" s="8" t="str">
        <f>IFERROR(INDEX(样本到样信息汇总统计!F$2:F$500,MATCH(54,样本到样信息汇总统计!$Y$2:$Y$500,0)),"")</f>
        <v/>
      </c>
      <c r="G55" s="8" t="str">
        <f>IFERROR(INDEX(样本到样信息汇总统计!G$2:G$500,MATCH(54,样本到样信息汇总统计!$Y$2:$Y$500,0)),"")</f>
        <v/>
      </c>
      <c r="H55" s="8" t="str">
        <f>IFERROR(INDEX(样本到样信息汇总统计!H$2:H$500,MATCH(54,样本到样信息汇总统计!$Y$2:$Y$500,0)),"")</f>
        <v/>
      </c>
      <c r="I55" s="8" t="str">
        <f>IFERROR(INDEX(样本到样信息汇总统计!I$2:I$500,MATCH(54,样本到样信息汇总统计!$Y$2:$Y$500,0)),"")</f>
        <v/>
      </c>
      <c r="J55" s="8" t="str">
        <f>IFERROR(INDEX(样本到样信息汇总统计!J$2:J$500,MATCH(54,样本到样信息汇总统计!$Y$2:$Y$500,0)),"")</f>
        <v/>
      </c>
      <c r="K55" s="8" t="str">
        <f>IFERROR(INDEX(样本到样信息汇总统计!K$2:K$500,MATCH(54,样本到样信息汇总统计!$Y$2:$Y$500,0)),"")</f>
        <v/>
      </c>
      <c r="L55" s="8" t="str">
        <f>IFERROR(INDEX(样本到样信息汇总统计!L$2:L$500,MATCH(54,样本到样信息汇总统计!$Y$2:$Y$500,0)),"")</f>
        <v/>
      </c>
      <c r="M55" s="8" t="str">
        <f>IFERROR(INDEX(样本到样信息汇总统计!M$2:M$500,MATCH(54,样本到样信息汇总统计!$Y$2:$Y$500,0)),"")</f>
        <v/>
      </c>
      <c r="N55" s="8" t="str">
        <f>IFERROR(INDEX(样本到样信息汇总统计!N$2:N$500,MATCH(54,样本到样信息汇总统计!$Y$2:$Y$500,0)),"")</f>
        <v/>
      </c>
      <c r="O55" s="8" t="str">
        <f>IFERROR(INDEX(样本到样信息汇总统计!O$2:O$500,MATCH(54,样本到样信息汇总统计!$Y$2:$Y$500,0)),"")</f>
        <v/>
      </c>
      <c r="P55" s="8" t="str">
        <f>IFERROR(INDEX(样本到样信息汇总统计!P$2:P$500,MATCH(54,样本到样信息汇总统计!$Y$2:$Y$500,0)),"")</f>
        <v/>
      </c>
      <c r="Q55" s="8" t="str">
        <f>IFERROR(INDEX(样本到样信息汇总统计!Q$2:Q$500,MATCH(54,样本到样信息汇总统计!$Y$2:$Y$500,0)),"")</f>
        <v/>
      </c>
      <c r="R55" s="8" t="str">
        <f>IFERROR(INDEX(样本到样信息汇总统计!R$2:R$500,MATCH(54,样本到样信息汇总统计!$Y$2:$Y$500,0)),"")</f>
        <v/>
      </c>
      <c r="S55" s="8" t="str">
        <f>IFERROR(INDEX(样本到样信息汇总统计!S$2:S$500,MATCH(54,样本到样信息汇总统计!$Y$2:$Y$500,0)),"")</f>
        <v/>
      </c>
      <c r="T55" s="8" t="str">
        <f>IFERROR(INDEX(样本到样信息汇总统计!T$2:T$500,MATCH(54,样本到样信息汇总统计!$Y$2:$Y$500,0)),"")</f>
        <v/>
      </c>
      <c r="U55" s="8" t="str">
        <f>IFERROR(INDEX(样本到样信息汇总统计!U$2:U$500,MATCH(54,样本到样信息汇总统计!$Y$2:$Y$500,0)),"")</f>
        <v/>
      </c>
      <c r="V55" s="8" t="str">
        <f>IFERROR(INDEX(样本到样信息汇总统计!V$2:V$500,MATCH(54,样本到样信息汇总统计!$Y$2:$Y$500,0)),"")</f>
        <v/>
      </c>
      <c r="W55" s="8" t="str">
        <f>IFERROR(INDEX(样本到样信息汇总统计!W$2:W$500,MATCH(54,样本到样信息汇总统计!$Y$2:$Y$500,0)),"")</f>
        <v/>
      </c>
    </row>
    <row r="56" ht="14.5" spans="1:23">
      <c r="A56" s="4" t="str">
        <f>IFERROR(INDEX(样本到样信息汇总统计!A$2:A$500,MATCH(55,样本到样信息汇总统计!$Y$2:$Y$500,0)),"")</f>
        <v/>
      </c>
      <c r="B56" s="4" t="str">
        <f>IFERROR(INDEX(样本到样信息汇总统计!B$2:B$500,MATCH(55,样本到样信息汇总统计!$Y$2:$Y$500,0)),"")</f>
        <v/>
      </c>
      <c r="C56" s="4" t="str">
        <f>IFERROR(INDEX(样本到样信息汇总统计!C$2:C$500,MATCH(55,样本到样信息汇总统计!$Y$2:$Y$500,0)),"")</f>
        <v/>
      </c>
      <c r="D56" s="4" t="str">
        <f>IFERROR(INDEX(样本到样信息汇总统计!D$2:D$500,MATCH(55,样本到样信息汇总统计!$Y$2:$Y$500,0)),"")</f>
        <v/>
      </c>
      <c r="E56" s="4" t="str">
        <f>IFERROR(INDEX(样本到样信息汇总统计!E$2:E$500,MATCH(55,样本到样信息汇总统计!$Y$2:$Y$500,0)),"")</f>
        <v/>
      </c>
      <c r="F56" s="4" t="str">
        <f>IFERROR(INDEX(样本到样信息汇总统计!F$2:F$500,MATCH(55,样本到样信息汇总统计!$Y$2:$Y$500,0)),"")</f>
        <v/>
      </c>
      <c r="G56" s="4" t="str">
        <f>IFERROR(INDEX(样本到样信息汇总统计!G$2:G$500,MATCH(55,样本到样信息汇总统计!$Y$2:$Y$500,0)),"")</f>
        <v/>
      </c>
      <c r="H56" s="4" t="str">
        <f>IFERROR(INDEX(样本到样信息汇总统计!H$2:H$500,MATCH(55,样本到样信息汇总统计!$Y$2:$Y$500,0)),"")</f>
        <v/>
      </c>
      <c r="I56" s="4" t="str">
        <f>IFERROR(INDEX(样本到样信息汇总统计!I$2:I$500,MATCH(55,样本到样信息汇总统计!$Y$2:$Y$500,0)),"")</f>
        <v/>
      </c>
      <c r="J56" s="4" t="str">
        <f>IFERROR(INDEX(样本到样信息汇总统计!J$2:J$500,MATCH(55,样本到样信息汇总统计!$Y$2:$Y$500,0)),"")</f>
        <v/>
      </c>
      <c r="K56" s="4" t="str">
        <f>IFERROR(INDEX(样本到样信息汇总统计!K$2:K$500,MATCH(55,样本到样信息汇总统计!$Y$2:$Y$500,0)),"")</f>
        <v/>
      </c>
      <c r="L56" s="4" t="str">
        <f>IFERROR(INDEX(样本到样信息汇总统计!L$2:L$500,MATCH(55,样本到样信息汇总统计!$Y$2:$Y$500,0)),"")</f>
        <v/>
      </c>
      <c r="M56" s="4" t="str">
        <f>IFERROR(INDEX(样本到样信息汇总统计!M$2:M$500,MATCH(55,样本到样信息汇总统计!$Y$2:$Y$500,0)),"")</f>
        <v/>
      </c>
      <c r="N56" s="4" t="str">
        <f>IFERROR(INDEX(样本到样信息汇总统计!N$2:N$500,MATCH(55,样本到样信息汇总统计!$Y$2:$Y$500,0)),"")</f>
        <v/>
      </c>
      <c r="O56" s="4" t="str">
        <f>IFERROR(INDEX(样本到样信息汇总统计!O$2:O$500,MATCH(55,样本到样信息汇总统计!$Y$2:$Y$500,0)),"")</f>
        <v/>
      </c>
      <c r="P56" s="4" t="str">
        <f>IFERROR(INDEX(样本到样信息汇总统计!P$2:P$500,MATCH(55,样本到样信息汇总统计!$Y$2:$Y$500,0)),"")</f>
        <v/>
      </c>
      <c r="Q56" s="4" t="str">
        <f>IFERROR(INDEX(样本到样信息汇总统计!Q$2:Q$500,MATCH(55,样本到样信息汇总统计!$Y$2:$Y$500,0)),"")</f>
        <v/>
      </c>
      <c r="R56" s="4" t="str">
        <f>IFERROR(INDEX(样本到样信息汇总统计!R$2:R$500,MATCH(55,样本到样信息汇总统计!$Y$2:$Y$500,0)),"")</f>
        <v/>
      </c>
      <c r="S56" s="4" t="str">
        <f>IFERROR(INDEX(样本到样信息汇总统计!S$2:S$500,MATCH(55,样本到样信息汇总统计!$Y$2:$Y$500,0)),"")</f>
        <v/>
      </c>
      <c r="T56" s="4" t="str">
        <f>IFERROR(INDEX(样本到样信息汇总统计!T$2:T$500,MATCH(55,样本到样信息汇总统计!$Y$2:$Y$500,0)),"")</f>
        <v/>
      </c>
      <c r="U56" s="4" t="str">
        <f>IFERROR(INDEX(样本到样信息汇总统计!U$2:U$500,MATCH(55,样本到样信息汇总统计!$Y$2:$Y$500,0)),"")</f>
        <v/>
      </c>
      <c r="V56" s="4" t="str">
        <f>IFERROR(INDEX(样本到样信息汇总统计!V$2:V$500,MATCH(55,样本到样信息汇总统计!$Y$2:$Y$500,0)),"")</f>
        <v/>
      </c>
      <c r="W56" s="4" t="str">
        <f>IFERROR(INDEX(样本到样信息汇总统计!W$2:W$500,MATCH(55,样本到样信息汇总统计!$Y$2:$Y$500,0)),"")</f>
        <v/>
      </c>
    </row>
    <row r="57" ht="14.5" spans="1:23">
      <c r="A57" s="8" t="str">
        <f>IFERROR(INDEX(样本到样信息汇总统计!A$2:A$500,MATCH(56,样本到样信息汇总统计!$Y$2:$Y$500,0)),"")</f>
        <v/>
      </c>
      <c r="B57" s="8" t="str">
        <f>IFERROR(INDEX(样本到样信息汇总统计!B$2:B$500,MATCH(56,样本到样信息汇总统计!$Y$2:$Y$500,0)),"")</f>
        <v/>
      </c>
      <c r="C57" s="8" t="str">
        <f>IFERROR(INDEX(样本到样信息汇总统计!C$2:C$500,MATCH(56,样本到样信息汇总统计!$Y$2:$Y$500,0)),"")</f>
        <v/>
      </c>
      <c r="D57" s="8" t="str">
        <f>IFERROR(INDEX(样本到样信息汇总统计!D$2:D$500,MATCH(56,样本到样信息汇总统计!$Y$2:$Y$500,0)),"")</f>
        <v/>
      </c>
      <c r="E57" s="8" t="str">
        <f>IFERROR(INDEX(样本到样信息汇总统计!E$2:E$500,MATCH(56,样本到样信息汇总统计!$Y$2:$Y$500,0)),"")</f>
        <v/>
      </c>
      <c r="F57" s="8" t="str">
        <f>IFERROR(INDEX(样本到样信息汇总统计!F$2:F$500,MATCH(56,样本到样信息汇总统计!$Y$2:$Y$500,0)),"")</f>
        <v/>
      </c>
      <c r="G57" s="8" t="str">
        <f>IFERROR(INDEX(样本到样信息汇总统计!G$2:G$500,MATCH(56,样本到样信息汇总统计!$Y$2:$Y$500,0)),"")</f>
        <v/>
      </c>
      <c r="H57" s="8" t="str">
        <f>IFERROR(INDEX(样本到样信息汇总统计!H$2:H$500,MATCH(56,样本到样信息汇总统计!$Y$2:$Y$500,0)),"")</f>
        <v/>
      </c>
      <c r="I57" s="8" t="str">
        <f>IFERROR(INDEX(样本到样信息汇总统计!I$2:I$500,MATCH(56,样本到样信息汇总统计!$Y$2:$Y$500,0)),"")</f>
        <v/>
      </c>
      <c r="J57" s="8" t="str">
        <f>IFERROR(INDEX(样本到样信息汇总统计!J$2:J$500,MATCH(56,样本到样信息汇总统计!$Y$2:$Y$500,0)),"")</f>
        <v/>
      </c>
      <c r="K57" s="8" t="str">
        <f>IFERROR(INDEX(样本到样信息汇总统计!K$2:K$500,MATCH(56,样本到样信息汇总统计!$Y$2:$Y$500,0)),"")</f>
        <v/>
      </c>
      <c r="L57" s="8" t="str">
        <f>IFERROR(INDEX(样本到样信息汇总统计!L$2:L$500,MATCH(56,样本到样信息汇总统计!$Y$2:$Y$500,0)),"")</f>
        <v/>
      </c>
      <c r="M57" s="8" t="str">
        <f>IFERROR(INDEX(样本到样信息汇总统计!M$2:M$500,MATCH(56,样本到样信息汇总统计!$Y$2:$Y$500,0)),"")</f>
        <v/>
      </c>
      <c r="N57" s="8" t="str">
        <f>IFERROR(INDEX(样本到样信息汇总统计!N$2:N$500,MATCH(56,样本到样信息汇总统计!$Y$2:$Y$500,0)),"")</f>
        <v/>
      </c>
      <c r="O57" s="8" t="str">
        <f>IFERROR(INDEX(样本到样信息汇总统计!O$2:O$500,MATCH(56,样本到样信息汇总统计!$Y$2:$Y$500,0)),"")</f>
        <v/>
      </c>
      <c r="P57" s="8" t="str">
        <f>IFERROR(INDEX(样本到样信息汇总统计!P$2:P$500,MATCH(56,样本到样信息汇总统计!$Y$2:$Y$500,0)),"")</f>
        <v/>
      </c>
      <c r="Q57" s="8" t="str">
        <f>IFERROR(INDEX(样本到样信息汇总统计!Q$2:Q$500,MATCH(56,样本到样信息汇总统计!$Y$2:$Y$500,0)),"")</f>
        <v/>
      </c>
      <c r="R57" s="8" t="str">
        <f>IFERROR(INDEX(样本到样信息汇总统计!R$2:R$500,MATCH(56,样本到样信息汇总统计!$Y$2:$Y$500,0)),"")</f>
        <v/>
      </c>
      <c r="S57" s="8" t="str">
        <f>IFERROR(INDEX(样本到样信息汇总统计!S$2:S$500,MATCH(56,样本到样信息汇总统计!$Y$2:$Y$500,0)),"")</f>
        <v/>
      </c>
      <c r="T57" s="8" t="str">
        <f>IFERROR(INDEX(样本到样信息汇总统计!T$2:T$500,MATCH(56,样本到样信息汇总统计!$Y$2:$Y$500,0)),"")</f>
        <v/>
      </c>
      <c r="U57" s="8" t="str">
        <f>IFERROR(INDEX(样本到样信息汇总统计!U$2:U$500,MATCH(56,样本到样信息汇总统计!$Y$2:$Y$500,0)),"")</f>
        <v/>
      </c>
      <c r="V57" s="8" t="str">
        <f>IFERROR(INDEX(样本到样信息汇总统计!V$2:V$500,MATCH(56,样本到样信息汇总统计!$Y$2:$Y$500,0)),"")</f>
        <v/>
      </c>
      <c r="W57" s="8" t="str">
        <f>IFERROR(INDEX(样本到样信息汇总统计!W$2:W$500,MATCH(56,样本到样信息汇总统计!$Y$2:$Y$500,0)),"")</f>
        <v/>
      </c>
    </row>
    <row r="58" ht="14.5" spans="1:23">
      <c r="A58" s="4" t="str">
        <f>IFERROR(INDEX(样本到样信息汇总统计!A$2:A$500,MATCH(57,样本到样信息汇总统计!$Y$2:$Y$500,0)),"")</f>
        <v/>
      </c>
      <c r="B58" s="4" t="str">
        <f>IFERROR(INDEX(样本到样信息汇总统计!B$2:B$500,MATCH(57,样本到样信息汇总统计!$Y$2:$Y$500,0)),"")</f>
        <v/>
      </c>
      <c r="C58" s="4" t="str">
        <f>IFERROR(INDEX(样本到样信息汇总统计!C$2:C$500,MATCH(57,样本到样信息汇总统计!$Y$2:$Y$500,0)),"")</f>
        <v/>
      </c>
      <c r="D58" s="4" t="str">
        <f>IFERROR(INDEX(样本到样信息汇总统计!D$2:D$500,MATCH(57,样本到样信息汇总统计!$Y$2:$Y$500,0)),"")</f>
        <v/>
      </c>
      <c r="E58" s="4" t="str">
        <f>IFERROR(INDEX(样本到样信息汇总统计!E$2:E$500,MATCH(57,样本到样信息汇总统计!$Y$2:$Y$500,0)),"")</f>
        <v/>
      </c>
      <c r="F58" s="4" t="str">
        <f>IFERROR(INDEX(样本到样信息汇总统计!F$2:F$500,MATCH(57,样本到样信息汇总统计!$Y$2:$Y$500,0)),"")</f>
        <v/>
      </c>
      <c r="G58" s="4" t="str">
        <f>IFERROR(INDEX(样本到样信息汇总统计!G$2:G$500,MATCH(57,样本到样信息汇总统计!$Y$2:$Y$500,0)),"")</f>
        <v/>
      </c>
      <c r="H58" s="4" t="str">
        <f>IFERROR(INDEX(样本到样信息汇总统计!H$2:H$500,MATCH(57,样本到样信息汇总统计!$Y$2:$Y$500,0)),"")</f>
        <v/>
      </c>
      <c r="I58" s="4" t="str">
        <f>IFERROR(INDEX(样本到样信息汇总统计!I$2:I$500,MATCH(57,样本到样信息汇总统计!$Y$2:$Y$500,0)),"")</f>
        <v/>
      </c>
      <c r="J58" s="4" t="str">
        <f>IFERROR(INDEX(样本到样信息汇总统计!J$2:J$500,MATCH(57,样本到样信息汇总统计!$Y$2:$Y$500,0)),"")</f>
        <v/>
      </c>
      <c r="K58" s="4" t="str">
        <f>IFERROR(INDEX(样本到样信息汇总统计!K$2:K$500,MATCH(57,样本到样信息汇总统计!$Y$2:$Y$500,0)),"")</f>
        <v/>
      </c>
      <c r="L58" s="4" t="str">
        <f>IFERROR(INDEX(样本到样信息汇总统计!L$2:L$500,MATCH(57,样本到样信息汇总统计!$Y$2:$Y$500,0)),"")</f>
        <v/>
      </c>
      <c r="M58" s="4" t="str">
        <f>IFERROR(INDEX(样本到样信息汇总统计!M$2:M$500,MATCH(57,样本到样信息汇总统计!$Y$2:$Y$500,0)),"")</f>
        <v/>
      </c>
      <c r="N58" s="4" t="str">
        <f>IFERROR(INDEX(样本到样信息汇总统计!N$2:N$500,MATCH(57,样本到样信息汇总统计!$Y$2:$Y$500,0)),"")</f>
        <v/>
      </c>
      <c r="O58" s="4" t="str">
        <f>IFERROR(INDEX(样本到样信息汇总统计!O$2:O$500,MATCH(57,样本到样信息汇总统计!$Y$2:$Y$500,0)),"")</f>
        <v/>
      </c>
      <c r="P58" s="4" t="str">
        <f>IFERROR(INDEX(样本到样信息汇总统计!P$2:P$500,MATCH(57,样本到样信息汇总统计!$Y$2:$Y$500,0)),"")</f>
        <v/>
      </c>
      <c r="Q58" s="4" t="str">
        <f>IFERROR(INDEX(样本到样信息汇总统计!Q$2:Q$500,MATCH(57,样本到样信息汇总统计!$Y$2:$Y$500,0)),"")</f>
        <v/>
      </c>
      <c r="R58" s="4" t="str">
        <f>IFERROR(INDEX(样本到样信息汇总统计!R$2:R$500,MATCH(57,样本到样信息汇总统计!$Y$2:$Y$500,0)),"")</f>
        <v/>
      </c>
      <c r="S58" s="4" t="str">
        <f>IFERROR(INDEX(样本到样信息汇总统计!S$2:S$500,MATCH(57,样本到样信息汇总统计!$Y$2:$Y$500,0)),"")</f>
        <v/>
      </c>
      <c r="T58" s="4" t="str">
        <f>IFERROR(INDEX(样本到样信息汇总统计!T$2:T$500,MATCH(57,样本到样信息汇总统计!$Y$2:$Y$500,0)),"")</f>
        <v/>
      </c>
      <c r="U58" s="4" t="str">
        <f>IFERROR(INDEX(样本到样信息汇总统计!U$2:U$500,MATCH(57,样本到样信息汇总统计!$Y$2:$Y$500,0)),"")</f>
        <v/>
      </c>
      <c r="V58" s="4" t="str">
        <f>IFERROR(INDEX(样本到样信息汇总统计!V$2:V$500,MATCH(57,样本到样信息汇总统计!$Y$2:$Y$500,0)),"")</f>
        <v/>
      </c>
      <c r="W58" s="4" t="str">
        <f>IFERROR(INDEX(样本到样信息汇总统计!W$2:W$500,MATCH(57,样本到样信息汇总统计!$Y$2:$Y$500,0)),"")</f>
        <v/>
      </c>
    </row>
    <row r="59" ht="14.5" spans="1:23">
      <c r="A59" s="8" t="str">
        <f>IFERROR(INDEX(样本到样信息汇总统计!A$2:A$500,MATCH(58,样本到样信息汇总统计!$Y$2:$Y$500,0)),"")</f>
        <v/>
      </c>
      <c r="B59" s="8" t="str">
        <f>IFERROR(INDEX(样本到样信息汇总统计!B$2:B$500,MATCH(58,样本到样信息汇总统计!$Y$2:$Y$500,0)),"")</f>
        <v/>
      </c>
      <c r="C59" s="8" t="str">
        <f>IFERROR(INDEX(样本到样信息汇总统计!C$2:C$500,MATCH(58,样本到样信息汇总统计!$Y$2:$Y$500,0)),"")</f>
        <v/>
      </c>
      <c r="D59" s="8" t="str">
        <f>IFERROR(INDEX(样本到样信息汇总统计!D$2:D$500,MATCH(58,样本到样信息汇总统计!$Y$2:$Y$500,0)),"")</f>
        <v/>
      </c>
      <c r="E59" s="8" t="str">
        <f>IFERROR(INDEX(样本到样信息汇总统计!E$2:E$500,MATCH(58,样本到样信息汇总统计!$Y$2:$Y$500,0)),"")</f>
        <v/>
      </c>
      <c r="F59" s="8" t="str">
        <f>IFERROR(INDEX(样本到样信息汇总统计!F$2:F$500,MATCH(58,样本到样信息汇总统计!$Y$2:$Y$500,0)),"")</f>
        <v/>
      </c>
      <c r="G59" s="8" t="str">
        <f>IFERROR(INDEX(样本到样信息汇总统计!G$2:G$500,MATCH(58,样本到样信息汇总统计!$Y$2:$Y$500,0)),"")</f>
        <v/>
      </c>
      <c r="H59" s="8" t="str">
        <f>IFERROR(INDEX(样本到样信息汇总统计!H$2:H$500,MATCH(58,样本到样信息汇总统计!$Y$2:$Y$500,0)),"")</f>
        <v/>
      </c>
      <c r="I59" s="8" t="str">
        <f>IFERROR(INDEX(样本到样信息汇总统计!I$2:I$500,MATCH(58,样本到样信息汇总统计!$Y$2:$Y$500,0)),"")</f>
        <v/>
      </c>
      <c r="J59" s="8" t="str">
        <f>IFERROR(INDEX(样本到样信息汇总统计!J$2:J$500,MATCH(58,样本到样信息汇总统计!$Y$2:$Y$500,0)),"")</f>
        <v/>
      </c>
      <c r="K59" s="8" t="str">
        <f>IFERROR(INDEX(样本到样信息汇总统计!K$2:K$500,MATCH(58,样本到样信息汇总统计!$Y$2:$Y$500,0)),"")</f>
        <v/>
      </c>
      <c r="L59" s="8" t="str">
        <f>IFERROR(INDEX(样本到样信息汇总统计!L$2:L$500,MATCH(58,样本到样信息汇总统计!$Y$2:$Y$500,0)),"")</f>
        <v/>
      </c>
      <c r="M59" s="8" t="str">
        <f>IFERROR(INDEX(样本到样信息汇总统计!M$2:M$500,MATCH(58,样本到样信息汇总统计!$Y$2:$Y$500,0)),"")</f>
        <v/>
      </c>
      <c r="N59" s="8" t="str">
        <f>IFERROR(INDEX(样本到样信息汇总统计!N$2:N$500,MATCH(58,样本到样信息汇总统计!$Y$2:$Y$500,0)),"")</f>
        <v/>
      </c>
      <c r="O59" s="8" t="str">
        <f>IFERROR(INDEX(样本到样信息汇总统计!O$2:O$500,MATCH(58,样本到样信息汇总统计!$Y$2:$Y$500,0)),"")</f>
        <v/>
      </c>
      <c r="P59" s="8" t="str">
        <f>IFERROR(INDEX(样本到样信息汇总统计!P$2:P$500,MATCH(58,样本到样信息汇总统计!$Y$2:$Y$500,0)),"")</f>
        <v/>
      </c>
      <c r="Q59" s="8" t="str">
        <f>IFERROR(INDEX(样本到样信息汇总统计!Q$2:Q$500,MATCH(58,样本到样信息汇总统计!$Y$2:$Y$500,0)),"")</f>
        <v/>
      </c>
      <c r="R59" s="8" t="str">
        <f>IFERROR(INDEX(样本到样信息汇总统计!R$2:R$500,MATCH(58,样本到样信息汇总统计!$Y$2:$Y$500,0)),"")</f>
        <v/>
      </c>
      <c r="S59" s="8" t="str">
        <f>IFERROR(INDEX(样本到样信息汇总统计!S$2:S$500,MATCH(58,样本到样信息汇总统计!$Y$2:$Y$500,0)),"")</f>
        <v/>
      </c>
      <c r="T59" s="8" t="str">
        <f>IFERROR(INDEX(样本到样信息汇总统计!T$2:T$500,MATCH(58,样本到样信息汇总统计!$Y$2:$Y$500,0)),"")</f>
        <v/>
      </c>
      <c r="U59" s="8" t="str">
        <f>IFERROR(INDEX(样本到样信息汇总统计!U$2:U$500,MATCH(58,样本到样信息汇总统计!$Y$2:$Y$500,0)),"")</f>
        <v/>
      </c>
      <c r="V59" s="8" t="str">
        <f>IFERROR(INDEX(样本到样信息汇总统计!V$2:V$500,MATCH(58,样本到样信息汇总统计!$Y$2:$Y$500,0)),"")</f>
        <v/>
      </c>
      <c r="W59" s="8" t="str">
        <f>IFERROR(INDEX(样本到样信息汇总统计!W$2:W$500,MATCH(58,样本到样信息汇总统计!$Y$2:$Y$500,0)),"")</f>
        <v/>
      </c>
    </row>
    <row r="60" ht="14.5" spans="1:23">
      <c r="A60" s="4" t="str">
        <f>IFERROR(INDEX(样本到样信息汇总统计!A$2:A$500,MATCH(59,样本到样信息汇总统计!$Y$2:$Y$500,0)),"")</f>
        <v/>
      </c>
      <c r="B60" s="4" t="str">
        <f>IFERROR(INDEX(样本到样信息汇总统计!B$2:B$500,MATCH(59,样本到样信息汇总统计!$Y$2:$Y$500,0)),"")</f>
        <v/>
      </c>
      <c r="C60" s="4" t="str">
        <f>IFERROR(INDEX(样本到样信息汇总统计!C$2:C$500,MATCH(59,样本到样信息汇总统计!$Y$2:$Y$500,0)),"")</f>
        <v/>
      </c>
      <c r="D60" s="4" t="str">
        <f>IFERROR(INDEX(样本到样信息汇总统计!D$2:D$500,MATCH(59,样本到样信息汇总统计!$Y$2:$Y$500,0)),"")</f>
        <v/>
      </c>
      <c r="E60" s="4" t="str">
        <f>IFERROR(INDEX(样本到样信息汇总统计!E$2:E$500,MATCH(59,样本到样信息汇总统计!$Y$2:$Y$500,0)),"")</f>
        <v/>
      </c>
      <c r="F60" s="4" t="str">
        <f>IFERROR(INDEX(样本到样信息汇总统计!F$2:F$500,MATCH(59,样本到样信息汇总统计!$Y$2:$Y$500,0)),"")</f>
        <v/>
      </c>
      <c r="G60" s="4" t="str">
        <f>IFERROR(INDEX(样本到样信息汇总统计!G$2:G$500,MATCH(59,样本到样信息汇总统计!$Y$2:$Y$500,0)),"")</f>
        <v/>
      </c>
      <c r="H60" s="4" t="str">
        <f>IFERROR(INDEX(样本到样信息汇总统计!H$2:H$500,MATCH(59,样本到样信息汇总统计!$Y$2:$Y$500,0)),"")</f>
        <v/>
      </c>
      <c r="I60" s="4" t="str">
        <f>IFERROR(INDEX(样本到样信息汇总统计!I$2:I$500,MATCH(59,样本到样信息汇总统计!$Y$2:$Y$500,0)),"")</f>
        <v/>
      </c>
      <c r="J60" s="4" t="str">
        <f>IFERROR(INDEX(样本到样信息汇总统计!J$2:J$500,MATCH(59,样本到样信息汇总统计!$Y$2:$Y$500,0)),"")</f>
        <v/>
      </c>
      <c r="K60" s="4" t="str">
        <f>IFERROR(INDEX(样本到样信息汇总统计!K$2:K$500,MATCH(59,样本到样信息汇总统计!$Y$2:$Y$500,0)),"")</f>
        <v/>
      </c>
      <c r="L60" s="4" t="str">
        <f>IFERROR(INDEX(样本到样信息汇总统计!L$2:L$500,MATCH(59,样本到样信息汇总统计!$Y$2:$Y$500,0)),"")</f>
        <v/>
      </c>
      <c r="M60" s="4" t="str">
        <f>IFERROR(INDEX(样本到样信息汇总统计!M$2:M$500,MATCH(59,样本到样信息汇总统计!$Y$2:$Y$500,0)),"")</f>
        <v/>
      </c>
      <c r="N60" s="4" t="str">
        <f>IFERROR(INDEX(样本到样信息汇总统计!N$2:N$500,MATCH(59,样本到样信息汇总统计!$Y$2:$Y$500,0)),"")</f>
        <v/>
      </c>
      <c r="O60" s="4" t="str">
        <f>IFERROR(INDEX(样本到样信息汇总统计!O$2:O$500,MATCH(59,样本到样信息汇总统计!$Y$2:$Y$500,0)),"")</f>
        <v/>
      </c>
      <c r="P60" s="4" t="str">
        <f>IFERROR(INDEX(样本到样信息汇总统计!P$2:P$500,MATCH(59,样本到样信息汇总统计!$Y$2:$Y$500,0)),"")</f>
        <v/>
      </c>
      <c r="Q60" s="4" t="str">
        <f>IFERROR(INDEX(样本到样信息汇总统计!Q$2:Q$500,MATCH(59,样本到样信息汇总统计!$Y$2:$Y$500,0)),"")</f>
        <v/>
      </c>
      <c r="R60" s="4" t="str">
        <f>IFERROR(INDEX(样本到样信息汇总统计!R$2:R$500,MATCH(59,样本到样信息汇总统计!$Y$2:$Y$500,0)),"")</f>
        <v/>
      </c>
      <c r="S60" s="4" t="str">
        <f>IFERROR(INDEX(样本到样信息汇总统计!S$2:S$500,MATCH(59,样本到样信息汇总统计!$Y$2:$Y$500,0)),"")</f>
        <v/>
      </c>
      <c r="T60" s="4" t="str">
        <f>IFERROR(INDEX(样本到样信息汇总统计!T$2:T$500,MATCH(59,样本到样信息汇总统计!$Y$2:$Y$500,0)),"")</f>
        <v/>
      </c>
      <c r="U60" s="4" t="str">
        <f>IFERROR(INDEX(样本到样信息汇总统计!U$2:U$500,MATCH(59,样本到样信息汇总统计!$Y$2:$Y$500,0)),"")</f>
        <v/>
      </c>
      <c r="V60" s="4" t="str">
        <f>IFERROR(INDEX(样本到样信息汇总统计!V$2:V$500,MATCH(59,样本到样信息汇总统计!$Y$2:$Y$500,0)),"")</f>
        <v/>
      </c>
      <c r="W60" s="4" t="str">
        <f>IFERROR(INDEX(样本到样信息汇总统计!W$2:W$500,MATCH(59,样本到样信息汇总统计!$Y$2:$Y$500,0)),"")</f>
        <v/>
      </c>
    </row>
    <row r="61" ht="14.5" spans="1:23">
      <c r="A61" s="8" t="str">
        <f>IFERROR(INDEX(样本到样信息汇总统计!A$2:A$500,MATCH(60,样本到样信息汇总统计!$Y$2:$Y$500,0)),"")</f>
        <v/>
      </c>
      <c r="B61" s="8" t="str">
        <f>IFERROR(INDEX(样本到样信息汇总统计!B$2:B$500,MATCH(60,样本到样信息汇总统计!$Y$2:$Y$500,0)),"")</f>
        <v/>
      </c>
      <c r="C61" s="8" t="str">
        <f>IFERROR(INDEX(样本到样信息汇总统计!C$2:C$500,MATCH(60,样本到样信息汇总统计!$Y$2:$Y$500,0)),"")</f>
        <v/>
      </c>
      <c r="D61" s="8" t="str">
        <f>IFERROR(INDEX(样本到样信息汇总统计!D$2:D$500,MATCH(60,样本到样信息汇总统计!$Y$2:$Y$500,0)),"")</f>
        <v/>
      </c>
      <c r="E61" s="8" t="str">
        <f>IFERROR(INDEX(样本到样信息汇总统计!E$2:E$500,MATCH(60,样本到样信息汇总统计!$Y$2:$Y$500,0)),"")</f>
        <v/>
      </c>
      <c r="F61" s="8" t="str">
        <f>IFERROR(INDEX(样本到样信息汇总统计!F$2:F$500,MATCH(60,样本到样信息汇总统计!$Y$2:$Y$500,0)),"")</f>
        <v/>
      </c>
      <c r="G61" s="8" t="str">
        <f>IFERROR(INDEX(样本到样信息汇总统计!G$2:G$500,MATCH(60,样本到样信息汇总统计!$Y$2:$Y$500,0)),"")</f>
        <v/>
      </c>
      <c r="H61" s="8" t="str">
        <f>IFERROR(INDEX(样本到样信息汇总统计!H$2:H$500,MATCH(60,样本到样信息汇总统计!$Y$2:$Y$500,0)),"")</f>
        <v/>
      </c>
      <c r="I61" s="8" t="str">
        <f>IFERROR(INDEX(样本到样信息汇总统计!I$2:I$500,MATCH(60,样本到样信息汇总统计!$Y$2:$Y$500,0)),"")</f>
        <v/>
      </c>
      <c r="J61" s="8" t="str">
        <f>IFERROR(INDEX(样本到样信息汇总统计!J$2:J$500,MATCH(60,样本到样信息汇总统计!$Y$2:$Y$500,0)),"")</f>
        <v/>
      </c>
      <c r="K61" s="8" t="str">
        <f>IFERROR(INDEX(样本到样信息汇总统计!K$2:K$500,MATCH(60,样本到样信息汇总统计!$Y$2:$Y$500,0)),"")</f>
        <v/>
      </c>
      <c r="L61" s="8" t="str">
        <f>IFERROR(INDEX(样本到样信息汇总统计!L$2:L$500,MATCH(60,样本到样信息汇总统计!$Y$2:$Y$500,0)),"")</f>
        <v/>
      </c>
      <c r="M61" s="8" t="str">
        <f>IFERROR(INDEX(样本到样信息汇总统计!M$2:M$500,MATCH(60,样本到样信息汇总统计!$Y$2:$Y$500,0)),"")</f>
        <v/>
      </c>
      <c r="N61" s="8" t="str">
        <f>IFERROR(INDEX(样本到样信息汇总统计!N$2:N$500,MATCH(60,样本到样信息汇总统计!$Y$2:$Y$500,0)),"")</f>
        <v/>
      </c>
      <c r="O61" s="8" t="str">
        <f>IFERROR(INDEX(样本到样信息汇总统计!O$2:O$500,MATCH(60,样本到样信息汇总统计!$Y$2:$Y$500,0)),"")</f>
        <v/>
      </c>
      <c r="P61" s="8" t="str">
        <f>IFERROR(INDEX(样本到样信息汇总统计!P$2:P$500,MATCH(60,样本到样信息汇总统计!$Y$2:$Y$500,0)),"")</f>
        <v/>
      </c>
      <c r="Q61" s="8" t="str">
        <f>IFERROR(INDEX(样本到样信息汇总统计!Q$2:Q$500,MATCH(60,样本到样信息汇总统计!$Y$2:$Y$500,0)),"")</f>
        <v/>
      </c>
      <c r="R61" s="8" t="str">
        <f>IFERROR(INDEX(样本到样信息汇总统计!R$2:R$500,MATCH(60,样本到样信息汇总统计!$Y$2:$Y$500,0)),"")</f>
        <v/>
      </c>
      <c r="S61" s="8" t="str">
        <f>IFERROR(INDEX(样本到样信息汇总统计!S$2:S$500,MATCH(60,样本到样信息汇总统计!$Y$2:$Y$500,0)),"")</f>
        <v/>
      </c>
      <c r="T61" s="8" t="str">
        <f>IFERROR(INDEX(样本到样信息汇总统计!T$2:T$500,MATCH(60,样本到样信息汇总统计!$Y$2:$Y$500,0)),"")</f>
        <v/>
      </c>
      <c r="U61" s="8" t="str">
        <f>IFERROR(INDEX(样本到样信息汇总统计!U$2:U$500,MATCH(60,样本到样信息汇总统计!$Y$2:$Y$500,0)),"")</f>
        <v/>
      </c>
      <c r="V61" s="8" t="str">
        <f>IFERROR(INDEX(样本到样信息汇总统计!V$2:V$500,MATCH(60,样本到样信息汇总统计!$Y$2:$Y$500,0)),"")</f>
        <v/>
      </c>
      <c r="W61" s="8" t="str">
        <f>IFERROR(INDEX(样本到样信息汇总统计!W$2:W$500,MATCH(60,样本到样信息汇总统计!$Y$2:$Y$500,0)),"")</f>
        <v/>
      </c>
    </row>
    <row r="62" ht="14.5" spans="1:23">
      <c r="A62" s="4" t="str">
        <f>IFERROR(INDEX(样本到样信息汇总统计!A$2:A$500,MATCH(61,样本到样信息汇总统计!$Y$2:$Y$500,0)),"")</f>
        <v/>
      </c>
      <c r="B62" s="4" t="str">
        <f>IFERROR(INDEX(样本到样信息汇总统计!B$2:B$500,MATCH(61,样本到样信息汇总统计!$Y$2:$Y$500,0)),"")</f>
        <v/>
      </c>
      <c r="C62" s="4" t="str">
        <f>IFERROR(INDEX(样本到样信息汇总统计!C$2:C$500,MATCH(61,样本到样信息汇总统计!$Y$2:$Y$500,0)),"")</f>
        <v/>
      </c>
      <c r="D62" s="4" t="str">
        <f>IFERROR(INDEX(样本到样信息汇总统计!D$2:D$500,MATCH(61,样本到样信息汇总统计!$Y$2:$Y$500,0)),"")</f>
        <v/>
      </c>
      <c r="E62" s="4" t="str">
        <f>IFERROR(INDEX(样本到样信息汇总统计!E$2:E$500,MATCH(61,样本到样信息汇总统计!$Y$2:$Y$500,0)),"")</f>
        <v/>
      </c>
      <c r="F62" s="4" t="str">
        <f>IFERROR(INDEX(样本到样信息汇总统计!F$2:F$500,MATCH(61,样本到样信息汇总统计!$Y$2:$Y$500,0)),"")</f>
        <v/>
      </c>
      <c r="G62" s="4" t="str">
        <f>IFERROR(INDEX(样本到样信息汇总统计!G$2:G$500,MATCH(61,样本到样信息汇总统计!$Y$2:$Y$500,0)),"")</f>
        <v/>
      </c>
      <c r="H62" s="4" t="str">
        <f>IFERROR(INDEX(样本到样信息汇总统计!H$2:H$500,MATCH(61,样本到样信息汇总统计!$Y$2:$Y$500,0)),"")</f>
        <v/>
      </c>
      <c r="I62" s="4" t="str">
        <f>IFERROR(INDEX(样本到样信息汇总统计!I$2:I$500,MATCH(61,样本到样信息汇总统计!$Y$2:$Y$500,0)),"")</f>
        <v/>
      </c>
      <c r="J62" s="4" t="str">
        <f>IFERROR(INDEX(样本到样信息汇总统计!J$2:J$500,MATCH(61,样本到样信息汇总统计!$Y$2:$Y$500,0)),"")</f>
        <v/>
      </c>
      <c r="K62" s="4" t="str">
        <f>IFERROR(INDEX(样本到样信息汇总统计!K$2:K$500,MATCH(61,样本到样信息汇总统计!$Y$2:$Y$500,0)),"")</f>
        <v/>
      </c>
      <c r="L62" s="4" t="str">
        <f>IFERROR(INDEX(样本到样信息汇总统计!L$2:L$500,MATCH(61,样本到样信息汇总统计!$Y$2:$Y$500,0)),"")</f>
        <v/>
      </c>
      <c r="M62" s="4" t="str">
        <f>IFERROR(INDEX(样本到样信息汇总统计!M$2:M$500,MATCH(61,样本到样信息汇总统计!$Y$2:$Y$500,0)),"")</f>
        <v/>
      </c>
      <c r="N62" s="4" t="str">
        <f>IFERROR(INDEX(样本到样信息汇总统计!N$2:N$500,MATCH(61,样本到样信息汇总统计!$Y$2:$Y$500,0)),"")</f>
        <v/>
      </c>
      <c r="O62" s="4" t="str">
        <f>IFERROR(INDEX(样本到样信息汇总统计!O$2:O$500,MATCH(61,样本到样信息汇总统计!$Y$2:$Y$500,0)),"")</f>
        <v/>
      </c>
      <c r="P62" s="4" t="str">
        <f>IFERROR(INDEX(样本到样信息汇总统计!P$2:P$500,MATCH(61,样本到样信息汇总统计!$Y$2:$Y$500,0)),"")</f>
        <v/>
      </c>
      <c r="Q62" s="4" t="str">
        <f>IFERROR(INDEX(样本到样信息汇总统计!Q$2:Q$500,MATCH(61,样本到样信息汇总统计!$Y$2:$Y$500,0)),"")</f>
        <v/>
      </c>
      <c r="R62" s="4" t="str">
        <f>IFERROR(INDEX(样本到样信息汇总统计!R$2:R$500,MATCH(61,样本到样信息汇总统计!$Y$2:$Y$500,0)),"")</f>
        <v/>
      </c>
      <c r="S62" s="4" t="str">
        <f>IFERROR(INDEX(样本到样信息汇总统计!S$2:S$500,MATCH(61,样本到样信息汇总统计!$Y$2:$Y$500,0)),"")</f>
        <v/>
      </c>
      <c r="T62" s="4" t="str">
        <f>IFERROR(INDEX(样本到样信息汇总统计!T$2:T$500,MATCH(61,样本到样信息汇总统计!$Y$2:$Y$500,0)),"")</f>
        <v/>
      </c>
      <c r="U62" s="4" t="str">
        <f>IFERROR(INDEX(样本到样信息汇总统计!U$2:U$500,MATCH(61,样本到样信息汇总统计!$Y$2:$Y$500,0)),"")</f>
        <v/>
      </c>
      <c r="V62" s="4" t="str">
        <f>IFERROR(INDEX(样本到样信息汇总统计!V$2:V$500,MATCH(61,样本到样信息汇总统计!$Y$2:$Y$500,0)),"")</f>
        <v/>
      </c>
      <c r="W62" s="4" t="str">
        <f>IFERROR(INDEX(样本到样信息汇总统计!W$2:W$500,MATCH(61,样本到样信息汇总统计!$Y$2:$Y$500,0)),"")</f>
        <v/>
      </c>
    </row>
    <row r="63" ht="14.5" spans="1:23">
      <c r="A63" s="8" t="str">
        <f>IFERROR(INDEX(样本到样信息汇总统计!A$2:A$500,MATCH(62,样本到样信息汇总统计!$Y$2:$Y$500,0)),"")</f>
        <v/>
      </c>
      <c r="B63" s="8" t="str">
        <f>IFERROR(INDEX(样本到样信息汇总统计!B$2:B$500,MATCH(62,样本到样信息汇总统计!$Y$2:$Y$500,0)),"")</f>
        <v/>
      </c>
      <c r="C63" s="8" t="str">
        <f>IFERROR(INDEX(样本到样信息汇总统计!C$2:C$500,MATCH(62,样本到样信息汇总统计!$Y$2:$Y$500,0)),"")</f>
        <v/>
      </c>
      <c r="D63" s="8" t="str">
        <f>IFERROR(INDEX(样本到样信息汇总统计!D$2:D$500,MATCH(62,样本到样信息汇总统计!$Y$2:$Y$500,0)),"")</f>
        <v/>
      </c>
      <c r="E63" s="8" t="str">
        <f>IFERROR(INDEX(样本到样信息汇总统计!E$2:E$500,MATCH(62,样本到样信息汇总统计!$Y$2:$Y$500,0)),"")</f>
        <v/>
      </c>
      <c r="F63" s="8" t="str">
        <f>IFERROR(INDEX(样本到样信息汇总统计!F$2:F$500,MATCH(62,样本到样信息汇总统计!$Y$2:$Y$500,0)),"")</f>
        <v/>
      </c>
      <c r="G63" s="8" t="str">
        <f>IFERROR(INDEX(样本到样信息汇总统计!G$2:G$500,MATCH(62,样本到样信息汇总统计!$Y$2:$Y$500,0)),"")</f>
        <v/>
      </c>
      <c r="H63" s="8" t="str">
        <f>IFERROR(INDEX(样本到样信息汇总统计!H$2:H$500,MATCH(62,样本到样信息汇总统计!$Y$2:$Y$500,0)),"")</f>
        <v/>
      </c>
      <c r="I63" s="8" t="str">
        <f>IFERROR(INDEX(样本到样信息汇总统计!I$2:I$500,MATCH(62,样本到样信息汇总统计!$Y$2:$Y$500,0)),"")</f>
        <v/>
      </c>
      <c r="J63" s="8" t="str">
        <f>IFERROR(INDEX(样本到样信息汇总统计!J$2:J$500,MATCH(62,样本到样信息汇总统计!$Y$2:$Y$500,0)),"")</f>
        <v/>
      </c>
      <c r="K63" s="8" t="str">
        <f>IFERROR(INDEX(样本到样信息汇总统计!K$2:K$500,MATCH(62,样本到样信息汇总统计!$Y$2:$Y$500,0)),"")</f>
        <v/>
      </c>
      <c r="L63" s="8" t="str">
        <f>IFERROR(INDEX(样本到样信息汇总统计!L$2:L$500,MATCH(62,样本到样信息汇总统计!$Y$2:$Y$500,0)),"")</f>
        <v/>
      </c>
      <c r="M63" s="8" t="str">
        <f>IFERROR(INDEX(样本到样信息汇总统计!M$2:M$500,MATCH(62,样本到样信息汇总统计!$Y$2:$Y$500,0)),"")</f>
        <v/>
      </c>
      <c r="N63" s="8" t="str">
        <f>IFERROR(INDEX(样本到样信息汇总统计!N$2:N$500,MATCH(62,样本到样信息汇总统计!$Y$2:$Y$500,0)),"")</f>
        <v/>
      </c>
      <c r="O63" s="8" t="str">
        <f>IFERROR(INDEX(样本到样信息汇总统计!O$2:O$500,MATCH(62,样本到样信息汇总统计!$Y$2:$Y$500,0)),"")</f>
        <v/>
      </c>
      <c r="P63" s="8" t="str">
        <f>IFERROR(INDEX(样本到样信息汇总统计!P$2:P$500,MATCH(62,样本到样信息汇总统计!$Y$2:$Y$500,0)),"")</f>
        <v/>
      </c>
      <c r="Q63" s="8" t="str">
        <f>IFERROR(INDEX(样本到样信息汇总统计!Q$2:Q$500,MATCH(62,样本到样信息汇总统计!$Y$2:$Y$500,0)),"")</f>
        <v/>
      </c>
      <c r="R63" s="8" t="str">
        <f>IFERROR(INDEX(样本到样信息汇总统计!R$2:R$500,MATCH(62,样本到样信息汇总统计!$Y$2:$Y$500,0)),"")</f>
        <v/>
      </c>
      <c r="S63" s="8" t="str">
        <f>IFERROR(INDEX(样本到样信息汇总统计!S$2:S$500,MATCH(62,样本到样信息汇总统计!$Y$2:$Y$500,0)),"")</f>
        <v/>
      </c>
      <c r="T63" s="8" t="str">
        <f>IFERROR(INDEX(样本到样信息汇总统计!T$2:T$500,MATCH(62,样本到样信息汇总统计!$Y$2:$Y$500,0)),"")</f>
        <v/>
      </c>
      <c r="U63" s="8" t="str">
        <f>IFERROR(INDEX(样本到样信息汇总统计!U$2:U$500,MATCH(62,样本到样信息汇总统计!$Y$2:$Y$500,0)),"")</f>
        <v/>
      </c>
      <c r="V63" s="8" t="str">
        <f>IFERROR(INDEX(样本到样信息汇总统计!V$2:V$500,MATCH(62,样本到样信息汇总统计!$Y$2:$Y$500,0)),"")</f>
        <v/>
      </c>
      <c r="W63" s="8" t="str">
        <f>IFERROR(INDEX(样本到样信息汇总统计!W$2:W$500,MATCH(62,样本到样信息汇总统计!$Y$2:$Y$500,0)),"")</f>
        <v/>
      </c>
    </row>
    <row r="64" ht="14.5" spans="1:23">
      <c r="A64" s="4" t="str">
        <f>IFERROR(INDEX(样本到样信息汇总统计!A$2:A$500,MATCH(63,样本到样信息汇总统计!$Y$2:$Y$500,0)),"")</f>
        <v/>
      </c>
      <c r="B64" s="4" t="str">
        <f>IFERROR(INDEX(样本到样信息汇总统计!B$2:B$500,MATCH(63,样本到样信息汇总统计!$Y$2:$Y$500,0)),"")</f>
        <v/>
      </c>
      <c r="C64" s="4" t="str">
        <f>IFERROR(INDEX(样本到样信息汇总统计!C$2:C$500,MATCH(63,样本到样信息汇总统计!$Y$2:$Y$500,0)),"")</f>
        <v/>
      </c>
      <c r="D64" s="4" t="str">
        <f>IFERROR(INDEX(样本到样信息汇总统计!D$2:D$500,MATCH(63,样本到样信息汇总统计!$Y$2:$Y$500,0)),"")</f>
        <v/>
      </c>
      <c r="E64" s="4" t="str">
        <f>IFERROR(INDEX(样本到样信息汇总统计!E$2:E$500,MATCH(63,样本到样信息汇总统计!$Y$2:$Y$500,0)),"")</f>
        <v/>
      </c>
      <c r="F64" s="4" t="str">
        <f>IFERROR(INDEX(样本到样信息汇总统计!F$2:F$500,MATCH(63,样本到样信息汇总统计!$Y$2:$Y$500,0)),"")</f>
        <v/>
      </c>
      <c r="G64" s="4" t="str">
        <f>IFERROR(INDEX(样本到样信息汇总统计!G$2:G$500,MATCH(63,样本到样信息汇总统计!$Y$2:$Y$500,0)),"")</f>
        <v/>
      </c>
      <c r="H64" s="4" t="str">
        <f>IFERROR(INDEX(样本到样信息汇总统计!H$2:H$500,MATCH(63,样本到样信息汇总统计!$Y$2:$Y$500,0)),"")</f>
        <v/>
      </c>
      <c r="I64" s="4" t="str">
        <f>IFERROR(INDEX(样本到样信息汇总统计!I$2:I$500,MATCH(63,样本到样信息汇总统计!$Y$2:$Y$500,0)),"")</f>
        <v/>
      </c>
      <c r="J64" s="4" t="str">
        <f>IFERROR(INDEX(样本到样信息汇总统计!J$2:J$500,MATCH(63,样本到样信息汇总统计!$Y$2:$Y$500,0)),"")</f>
        <v/>
      </c>
      <c r="K64" s="4" t="str">
        <f>IFERROR(INDEX(样本到样信息汇总统计!K$2:K$500,MATCH(63,样本到样信息汇总统计!$Y$2:$Y$500,0)),"")</f>
        <v/>
      </c>
      <c r="L64" s="4" t="str">
        <f>IFERROR(INDEX(样本到样信息汇总统计!L$2:L$500,MATCH(63,样本到样信息汇总统计!$Y$2:$Y$500,0)),"")</f>
        <v/>
      </c>
      <c r="M64" s="4" t="str">
        <f>IFERROR(INDEX(样本到样信息汇总统计!M$2:M$500,MATCH(63,样本到样信息汇总统计!$Y$2:$Y$500,0)),"")</f>
        <v/>
      </c>
      <c r="N64" s="4" t="str">
        <f>IFERROR(INDEX(样本到样信息汇总统计!N$2:N$500,MATCH(63,样本到样信息汇总统计!$Y$2:$Y$500,0)),"")</f>
        <v/>
      </c>
      <c r="O64" s="4" t="str">
        <f>IFERROR(INDEX(样本到样信息汇总统计!O$2:O$500,MATCH(63,样本到样信息汇总统计!$Y$2:$Y$500,0)),"")</f>
        <v/>
      </c>
      <c r="P64" s="4" t="str">
        <f>IFERROR(INDEX(样本到样信息汇总统计!P$2:P$500,MATCH(63,样本到样信息汇总统计!$Y$2:$Y$500,0)),"")</f>
        <v/>
      </c>
      <c r="Q64" s="4" t="str">
        <f>IFERROR(INDEX(样本到样信息汇总统计!Q$2:Q$500,MATCH(63,样本到样信息汇总统计!$Y$2:$Y$500,0)),"")</f>
        <v/>
      </c>
      <c r="R64" s="4" t="str">
        <f>IFERROR(INDEX(样本到样信息汇总统计!R$2:R$500,MATCH(63,样本到样信息汇总统计!$Y$2:$Y$500,0)),"")</f>
        <v/>
      </c>
      <c r="S64" s="4" t="str">
        <f>IFERROR(INDEX(样本到样信息汇总统计!S$2:S$500,MATCH(63,样本到样信息汇总统计!$Y$2:$Y$500,0)),"")</f>
        <v/>
      </c>
      <c r="T64" s="4" t="str">
        <f>IFERROR(INDEX(样本到样信息汇总统计!T$2:T$500,MATCH(63,样本到样信息汇总统计!$Y$2:$Y$500,0)),"")</f>
        <v/>
      </c>
      <c r="U64" s="4" t="str">
        <f>IFERROR(INDEX(样本到样信息汇总统计!U$2:U$500,MATCH(63,样本到样信息汇总统计!$Y$2:$Y$500,0)),"")</f>
        <v/>
      </c>
      <c r="V64" s="4" t="str">
        <f>IFERROR(INDEX(样本到样信息汇总统计!V$2:V$500,MATCH(63,样本到样信息汇总统计!$Y$2:$Y$500,0)),"")</f>
        <v/>
      </c>
      <c r="W64" s="4" t="str">
        <f>IFERROR(INDEX(样本到样信息汇总统计!W$2:W$500,MATCH(63,样本到样信息汇总统计!$Y$2:$Y$500,0)),"")</f>
        <v/>
      </c>
    </row>
    <row r="65" ht="14.5" spans="1:23">
      <c r="A65" s="8" t="str">
        <f>IFERROR(INDEX(样本到样信息汇总统计!A$2:A$500,MATCH(64,样本到样信息汇总统计!$Y$2:$Y$500,0)),"")</f>
        <v/>
      </c>
      <c r="B65" s="8" t="str">
        <f>IFERROR(INDEX(样本到样信息汇总统计!B$2:B$500,MATCH(64,样本到样信息汇总统计!$Y$2:$Y$500,0)),"")</f>
        <v/>
      </c>
      <c r="C65" s="8" t="str">
        <f>IFERROR(INDEX(样本到样信息汇总统计!C$2:C$500,MATCH(64,样本到样信息汇总统计!$Y$2:$Y$500,0)),"")</f>
        <v/>
      </c>
      <c r="D65" s="8" t="str">
        <f>IFERROR(INDEX(样本到样信息汇总统计!D$2:D$500,MATCH(64,样本到样信息汇总统计!$Y$2:$Y$500,0)),"")</f>
        <v/>
      </c>
      <c r="E65" s="8" t="str">
        <f>IFERROR(INDEX(样本到样信息汇总统计!E$2:E$500,MATCH(64,样本到样信息汇总统计!$Y$2:$Y$500,0)),"")</f>
        <v/>
      </c>
      <c r="F65" s="8" t="str">
        <f>IFERROR(INDEX(样本到样信息汇总统计!F$2:F$500,MATCH(64,样本到样信息汇总统计!$Y$2:$Y$500,0)),"")</f>
        <v/>
      </c>
      <c r="G65" s="8" t="str">
        <f>IFERROR(INDEX(样本到样信息汇总统计!G$2:G$500,MATCH(64,样本到样信息汇总统计!$Y$2:$Y$500,0)),"")</f>
        <v/>
      </c>
      <c r="H65" s="8" t="str">
        <f>IFERROR(INDEX(样本到样信息汇总统计!H$2:H$500,MATCH(64,样本到样信息汇总统计!$Y$2:$Y$500,0)),"")</f>
        <v/>
      </c>
      <c r="I65" s="8" t="str">
        <f>IFERROR(INDEX(样本到样信息汇总统计!I$2:I$500,MATCH(64,样本到样信息汇总统计!$Y$2:$Y$500,0)),"")</f>
        <v/>
      </c>
      <c r="J65" s="8" t="str">
        <f>IFERROR(INDEX(样本到样信息汇总统计!J$2:J$500,MATCH(64,样本到样信息汇总统计!$Y$2:$Y$500,0)),"")</f>
        <v/>
      </c>
      <c r="K65" s="8" t="str">
        <f>IFERROR(INDEX(样本到样信息汇总统计!K$2:K$500,MATCH(64,样本到样信息汇总统计!$Y$2:$Y$500,0)),"")</f>
        <v/>
      </c>
      <c r="L65" s="8" t="str">
        <f>IFERROR(INDEX(样本到样信息汇总统计!L$2:L$500,MATCH(64,样本到样信息汇总统计!$Y$2:$Y$500,0)),"")</f>
        <v/>
      </c>
      <c r="M65" s="8" t="str">
        <f>IFERROR(INDEX(样本到样信息汇总统计!M$2:M$500,MATCH(64,样本到样信息汇总统计!$Y$2:$Y$500,0)),"")</f>
        <v/>
      </c>
      <c r="N65" s="8" t="str">
        <f>IFERROR(INDEX(样本到样信息汇总统计!N$2:N$500,MATCH(64,样本到样信息汇总统计!$Y$2:$Y$500,0)),"")</f>
        <v/>
      </c>
      <c r="O65" s="8" t="str">
        <f>IFERROR(INDEX(样本到样信息汇总统计!O$2:O$500,MATCH(64,样本到样信息汇总统计!$Y$2:$Y$500,0)),"")</f>
        <v/>
      </c>
      <c r="P65" s="8" t="str">
        <f>IFERROR(INDEX(样本到样信息汇总统计!P$2:P$500,MATCH(64,样本到样信息汇总统计!$Y$2:$Y$500,0)),"")</f>
        <v/>
      </c>
      <c r="Q65" s="8" t="str">
        <f>IFERROR(INDEX(样本到样信息汇总统计!Q$2:Q$500,MATCH(64,样本到样信息汇总统计!$Y$2:$Y$500,0)),"")</f>
        <v/>
      </c>
      <c r="R65" s="8" t="str">
        <f>IFERROR(INDEX(样本到样信息汇总统计!R$2:R$500,MATCH(64,样本到样信息汇总统计!$Y$2:$Y$500,0)),"")</f>
        <v/>
      </c>
      <c r="S65" s="8" t="str">
        <f>IFERROR(INDEX(样本到样信息汇总统计!S$2:S$500,MATCH(64,样本到样信息汇总统计!$Y$2:$Y$500,0)),"")</f>
        <v/>
      </c>
      <c r="T65" s="8" t="str">
        <f>IFERROR(INDEX(样本到样信息汇总统计!T$2:T$500,MATCH(64,样本到样信息汇总统计!$Y$2:$Y$500,0)),"")</f>
        <v/>
      </c>
      <c r="U65" s="8" t="str">
        <f>IFERROR(INDEX(样本到样信息汇总统计!U$2:U$500,MATCH(64,样本到样信息汇总统计!$Y$2:$Y$500,0)),"")</f>
        <v/>
      </c>
      <c r="V65" s="8" t="str">
        <f>IFERROR(INDEX(样本到样信息汇总统计!V$2:V$500,MATCH(64,样本到样信息汇总统计!$Y$2:$Y$500,0)),"")</f>
        <v/>
      </c>
      <c r="W65" s="8" t="str">
        <f>IFERROR(INDEX(样本到样信息汇总统计!W$2:W$500,MATCH(64,样本到样信息汇总统计!$Y$2:$Y$500,0)),"")</f>
        <v/>
      </c>
    </row>
    <row r="66" ht="14.5" spans="1:23">
      <c r="A66" s="4" t="str">
        <f>IFERROR(INDEX(样本到样信息汇总统计!A$2:A$500,MATCH(65,样本到样信息汇总统计!$Y$2:$Y$500,0)),"")</f>
        <v/>
      </c>
      <c r="B66" s="4" t="str">
        <f>IFERROR(INDEX(样本到样信息汇总统计!B$2:B$500,MATCH(65,样本到样信息汇总统计!$Y$2:$Y$500,0)),"")</f>
        <v/>
      </c>
      <c r="C66" s="4" t="str">
        <f>IFERROR(INDEX(样本到样信息汇总统计!C$2:C$500,MATCH(65,样本到样信息汇总统计!$Y$2:$Y$500,0)),"")</f>
        <v/>
      </c>
      <c r="D66" s="4" t="str">
        <f>IFERROR(INDEX(样本到样信息汇总统计!D$2:D$500,MATCH(65,样本到样信息汇总统计!$Y$2:$Y$500,0)),"")</f>
        <v/>
      </c>
      <c r="E66" s="4" t="str">
        <f>IFERROR(INDEX(样本到样信息汇总统计!E$2:E$500,MATCH(65,样本到样信息汇总统计!$Y$2:$Y$500,0)),"")</f>
        <v/>
      </c>
      <c r="F66" s="4" t="str">
        <f>IFERROR(INDEX(样本到样信息汇总统计!F$2:F$500,MATCH(65,样本到样信息汇总统计!$Y$2:$Y$500,0)),"")</f>
        <v/>
      </c>
      <c r="G66" s="4" t="str">
        <f>IFERROR(INDEX(样本到样信息汇总统计!G$2:G$500,MATCH(65,样本到样信息汇总统计!$Y$2:$Y$500,0)),"")</f>
        <v/>
      </c>
      <c r="H66" s="4" t="str">
        <f>IFERROR(INDEX(样本到样信息汇总统计!H$2:H$500,MATCH(65,样本到样信息汇总统计!$Y$2:$Y$500,0)),"")</f>
        <v/>
      </c>
      <c r="I66" s="4" t="str">
        <f>IFERROR(INDEX(样本到样信息汇总统计!I$2:I$500,MATCH(65,样本到样信息汇总统计!$Y$2:$Y$500,0)),"")</f>
        <v/>
      </c>
      <c r="J66" s="4" t="str">
        <f>IFERROR(INDEX(样本到样信息汇总统计!J$2:J$500,MATCH(65,样本到样信息汇总统计!$Y$2:$Y$500,0)),"")</f>
        <v/>
      </c>
      <c r="K66" s="4" t="str">
        <f>IFERROR(INDEX(样本到样信息汇总统计!K$2:K$500,MATCH(65,样本到样信息汇总统计!$Y$2:$Y$500,0)),"")</f>
        <v/>
      </c>
      <c r="L66" s="4" t="str">
        <f>IFERROR(INDEX(样本到样信息汇总统计!L$2:L$500,MATCH(65,样本到样信息汇总统计!$Y$2:$Y$500,0)),"")</f>
        <v/>
      </c>
      <c r="M66" s="4" t="str">
        <f>IFERROR(INDEX(样本到样信息汇总统计!M$2:M$500,MATCH(65,样本到样信息汇总统计!$Y$2:$Y$500,0)),"")</f>
        <v/>
      </c>
      <c r="N66" s="4" t="str">
        <f>IFERROR(INDEX(样本到样信息汇总统计!N$2:N$500,MATCH(65,样本到样信息汇总统计!$Y$2:$Y$500,0)),"")</f>
        <v/>
      </c>
      <c r="O66" s="4" t="str">
        <f>IFERROR(INDEX(样本到样信息汇总统计!O$2:O$500,MATCH(65,样本到样信息汇总统计!$Y$2:$Y$500,0)),"")</f>
        <v/>
      </c>
      <c r="P66" s="4" t="str">
        <f>IFERROR(INDEX(样本到样信息汇总统计!P$2:P$500,MATCH(65,样本到样信息汇总统计!$Y$2:$Y$500,0)),"")</f>
        <v/>
      </c>
      <c r="Q66" s="4" t="str">
        <f>IFERROR(INDEX(样本到样信息汇总统计!Q$2:Q$500,MATCH(65,样本到样信息汇总统计!$Y$2:$Y$500,0)),"")</f>
        <v/>
      </c>
      <c r="R66" s="4" t="str">
        <f>IFERROR(INDEX(样本到样信息汇总统计!R$2:R$500,MATCH(65,样本到样信息汇总统计!$Y$2:$Y$500,0)),"")</f>
        <v/>
      </c>
      <c r="S66" s="4" t="str">
        <f>IFERROR(INDEX(样本到样信息汇总统计!S$2:S$500,MATCH(65,样本到样信息汇总统计!$Y$2:$Y$500,0)),"")</f>
        <v/>
      </c>
      <c r="T66" s="4" t="str">
        <f>IFERROR(INDEX(样本到样信息汇总统计!T$2:T$500,MATCH(65,样本到样信息汇总统计!$Y$2:$Y$500,0)),"")</f>
        <v/>
      </c>
      <c r="U66" s="4" t="str">
        <f>IFERROR(INDEX(样本到样信息汇总统计!U$2:U$500,MATCH(65,样本到样信息汇总统计!$Y$2:$Y$500,0)),"")</f>
        <v/>
      </c>
      <c r="V66" s="4" t="str">
        <f>IFERROR(INDEX(样本到样信息汇总统计!V$2:V$500,MATCH(65,样本到样信息汇总统计!$Y$2:$Y$500,0)),"")</f>
        <v/>
      </c>
      <c r="W66" s="4" t="str">
        <f>IFERROR(INDEX(样本到样信息汇总统计!W$2:W$500,MATCH(65,样本到样信息汇总统计!$Y$2:$Y$500,0)),"")</f>
        <v/>
      </c>
    </row>
    <row r="67" ht="14.5" spans="1:23">
      <c r="A67" s="8" t="str">
        <f>IFERROR(INDEX(样本到样信息汇总统计!A$2:A$500,MATCH(66,样本到样信息汇总统计!$Y$2:$Y$500,0)),"")</f>
        <v/>
      </c>
      <c r="B67" s="8" t="str">
        <f>IFERROR(INDEX(样本到样信息汇总统计!B$2:B$500,MATCH(66,样本到样信息汇总统计!$Y$2:$Y$500,0)),"")</f>
        <v/>
      </c>
      <c r="C67" s="8" t="str">
        <f>IFERROR(INDEX(样本到样信息汇总统计!C$2:C$500,MATCH(66,样本到样信息汇总统计!$Y$2:$Y$500,0)),"")</f>
        <v/>
      </c>
      <c r="D67" s="8" t="str">
        <f>IFERROR(INDEX(样本到样信息汇总统计!D$2:D$500,MATCH(66,样本到样信息汇总统计!$Y$2:$Y$500,0)),"")</f>
        <v/>
      </c>
      <c r="E67" s="8" t="str">
        <f>IFERROR(INDEX(样本到样信息汇总统计!E$2:E$500,MATCH(66,样本到样信息汇总统计!$Y$2:$Y$500,0)),"")</f>
        <v/>
      </c>
      <c r="F67" s="8" t="str">
        <f>IFERROR(INDEX(样本到样信息汇总统计!F$2:F$500,MATCH(66,样本到样信息汇总统计!$Y$2:$Y$500,0)),"")</f>
        <v/>
      </c>
      <c r="G67" s="8" t="str">
        <f>IFERROR(INDEX(样本到样信息汇总统计!G$2:G$500,MATCH(66,样本到样信息汇总统计!$Y$2:$Y$500,0)),"")</f>
        <v/>
      </c>
      <c r="H67" s="8" t="str">
        <f>IFERROR(INDEX(样本到样信息汇总统计!H$2:H$500,MATCH(66,样本到样信息汇总统计!$Y$2:$Y$500,0)),"")</f>
        <v/>
      </c>
      <c r="I67" s="8" t="str">
        <f>IFERROR(INDEX(样本到样信息汇总统计!I$2:I$500,MATCH(66,样本到样信息汇总统计!$Y$2:$Y$500,0)),"")</f>
        <v/>
      </c>
      <c r="J67" s="8" t="str">
        <f>IFERROR(INDEX(样本到样信息汇总统计!J$2:J$500,MATCH(66,样本到样信息汇总统计!$Y$2:$Y$500,0)),"")</f>
        <v/>
      </c>
      <c r="K67" s="8" t="str">
        <f>IFERROR(INDEX(样本到样信息汇总统计!K$2:K$500,MATCH(66,样本到样信息汇总统计!$Y$2:$Y$500,0)),"")</f>
        <v/>
      </c>
      <c r="L67" s="8" t="str">
        <f>IFERROR(INDEX(样本到样信息汇总统计!L$2:L$500,MATCH(66,样本到样信息汇总统计!$Y$2:$Y$500,0)),"")</f>
        <v/>
      </c>
      <c r="M67" s="8" t="str">
        <f>IFERROR(INDEX(样本到样信息汇总统计!M$2:M$500,MATCH(66,样本到样信息汇总统计!$Y$2:$Y$500,0)),"")</f>
        <v/>
      </c>
      <c r="N67" s="8" t="str">
        <f>IFERROR(INDEX(样本到样信息汇总统计!N$2:N$500,MATCH(66,样本到样信息汇总统计!$Y$2:$Y$500,0)),"")</f>
        <v/>
      </c>
      <c r="O67" s="8" t="str">
        <f>IFERROR(INDEX(样本到样信息汇总统计!O$2:O$500,MATCH(66,样本到样信息汇总统计!$Y$2:$Y$500,0)),"")</f>
        <v/>
      </c>
      <c r="P67" s="8" t="str">
        <f>IFERROR(INDEX(样本到样信息汇总统计!P$2:P$500,MATCH(66,样本到样信息汇总统计!$Y$2:$Y$500,0)),"")</f>
        <v/>
      </c>
      <c r="Q67" s="8" t="str">
        <f>IFERROR(INDEX(样本到样信息汇总统计!Q$2:Q$500,MATCH(66,样本到样信息汇总统计!$Y$2:$Y$500,0)),"")</f>
        <v/>
      </c>
      <c r="R67" s="8" t="str">
        <f>IFERROR(INDEX(样本到样信息汇总统计!R$2:R$500,MATCH(66,样本到样信息汇总统计!$Y$2:$Y$500,0)),"")</f>
        <v/>
      </c>
      <c r="S67" s="8" t="str">
        <f>IFERROR(INDEX(样本到样信息汇总统计!S$2:S$500,MATCH(66,样本到样信息汇总统计!$Y$2:$Y$500,0)),"")</f>
        <v/>
      </c>
      <c r="T67" s="8" t="str">
        <f>IFERROR(INDEX(样本到样信息汇总统计!T$2:T$500,MATCH(66,样本到样信息汇总统计!$Y$2:$Y$500,0)),"")</f>
        <v/>
      </c>
      <c r="U67" s="8" t="str">
        <f>IFERROR(INDEX(样本到样信息汇总统计!U$2:U$500,MATCH(66,样本到样信息汇总统计!$Y$2:$Y$500,0)),"")</f>
        <v/>
      </c>
      <c r="V67" s="8" t="str">
        <f>IFERROR(INDEX(样本到样信息汇总统计!V$2:V$500,MATCH(66,样本到样信息汇总统计!$Y$2:$Y$500,0)),"")</f>
        <v/>
      </c>
      <c r="W67" s="8" t="str">
        <f>IFERROR(INDEX(样本到样信息汇总统计!W$2:W$500,MATCH(66,样本到样信息汇总统计!$Y$2:$Y$500,0)),"")</f>
        <v/>
      </c>
    </row>
    <row r="68" ht="14.5" spans="1:23">
      <c r="A68" s="4" t="str">
        <f>IFERROR(INDEX(样本到样信息汇总统计!A$2:A$500,MATCH(67,样本到样信息汇总统计!$Y$2:$Y$500,0)),"")</f>
        <v/>
      </c>
      <c r="B68" s="4" t="str">
        <f>IFERROR(INDEX(样本到样信息汇总统计!B$2:B$500,MATCH(67,样本到样信息汇总统计!$Y$2:$Y$500,0)),"")</f>
        <v/>
      </c>
      <c r="C68" s="4" t="str">
        <f>IFERROR(INDEX(样本到样信息汇总统计!C$2:C$500,MATCH(67,样本到样信息汇总统计!$Y$2:$Y$500,0)),"")</f>
        <v/>
      </c>
      <c r="D68" s="4" t="str">
        <f>IFERROR(INDEX(样本到样信息汇总统计!D$2:D$500,MATCH(67,样本到样信息汇总统计!$Y$2:$Y$500,0)),"")</f>
        <v/>
      </c>
      <c r="E68" s="4" t="str">
        <f>IFERROR(INDEX(样本到样信息汇总统计!E$2:E$500,MATCH(67,样本到样信息汇总统计!$Y$2:$Y$500,0)),"")</f>
        <v/>
      </c>
      <c r="F68" s="4" t="str">
        <f>IFERROR(INDEX(样本到样信息汇总统计!F$2:F$500,MATCH(67,样本到样信息汇总统计!$Y$2:$Y$500,0)),"")</f>
        <v/>
      </c>
      <c r="G68" s="4" t="str">
        <f>IFERROR(INDEX(样本到样信息汇总统计!G$2:G$500,MATCH(67,样本到样信息汇总统计!$Y$2:$Y$500,0)),"")</f>
        <v/>
      </c>
      <c r="H68" s="4" t="str">
        <f>IFERROR(INDEX(样本到样信息汇总统计!H$2:H$500,MATCH(67,样本到样信息汇总统计!$Y$2:$Y$500,0)),"")</f>
        <v/>
      </c>
      <c r="I68" s="4" t="str">
        <f>IFERROR(INDEX(样本到样信息汇总统计!I$2:I$500,MATCH(67,样本到样信息汇总统计!$Y$2:$Y$500,0)),"")</f>
        <v/>
      </c>
      <c r="J68" s="4" t="str">
        <f>IFERROR(INDEX(样本到样信息汇总统计!J$2:J$500,MATCH(67,样本到样信息汇总统计!$Y$2:$Y$500,0)),"")</f>
        <v/>
      </c>
      <c r="K68" s="4" t="str">
        <f>IFERROR(INDEX(样本到样信息汇总统计!K$2:K$500,MATCH(67,样本到样信息汇总统计!$Y$2:$Y$500,0)),"")</f>
        <v/>
      </c>
      <c r="L68" s="4" t="str">
        <f>IFERROR(INDEX(样本到样信息汇总统计!L$2:L$500,MATCH(67,样本到样信息汇总统计!$Y$2:$Y$500,0)),"")</f>
        <v/>
      </c>
      <c r="M68" s="4" t="str">
        <f>IFERROR(INDEX(样本到样信息汇总统计!M$2:M$500,MATCH(67,样本到样信息汇总统计!$Y$2:$Y$500,0)),"")</f>
        <v/>
      </c>
      <c r="N68" s="4" t="str">
        <f>IFERROR(INDEX(样本到样信息汇总统计!N$2:N$500,MATCH(67,样本到样信息汇总统计!$Y$2:$Y$500,0)),"")</f>
        <v/>
      </c>
      <c r="O68" s="4" t="str">
        <f>IFERROR(INDEX(样本到样信息汇总统计!O$2:O$500,MATCH(67,样本到样信息汇总统计!$Y$2:$Y$500,0)),"")</f>
        <v/>
      </c>
      <c r="P68" s="4" t="str">
        <f>IFERROR(INDEX(样本到样信息汇总统计!P$2:P$500,MATCH(67,样本到样信息汇总统计!$Y$2:$Y$500,0)),"")</f>
        <v/>
      </c>
      <c r="Q68" s="4" t="str">
        <f>IFERROR(INDEX(样本到样信息汇总统计!Q$2:Q$500,MATCH(67,样本到样信息汇总统计!$Y$2:$Y$500,0)),"")</f>
        <v/>
      </c>
      <c r="R68" s="4" t="str">
        <f>IFERROR(INDEX(样本到样信息汇总统计!R$2:R$500,MATCH(67,样本到样信息汇总统计!$Y$2:$Y$500,0)),"")</f>
        <v/>
      </c>
      <c r="S68" s="4" t="str">
        <f>IFERROR(INDEX(样本到样信息汇总统计!S$2:S$500,MATCH(67,样本到样信息汇总统计!$Y$2:$Y$500,0)),"")</f>
        <v/>
      </c>
      <c r="T68" s="4" t="str">
        <f>IFERROR(INDEX(样本到样信息汇总统计!T$2:T$500,MATCH(67,样本到样信息汇总统计!$Y$2:$Y$500,0)),"")</f>
        <v/>
      </c>
      <c r="U68" s="4" t="str">
        <f>IFERROR(INDEX(样本到样信息汇总统计!U$2:U$500,MATCH(67,样本到样信息汇总统计!$Y$2:$Y$500,0)),"")</f>
        <v/>
      </c>
      <c r="V68" s="4" t="str">
        <f>IFERROR(INDEX(样本到样信息汇总统计!V$2:V$500,MATCH(67,样本到样信息汇总统计!$Y$2:$Y$500,0)),"")</f>
        <v/>
      </c>
      <c r="W68" s="4" t="str">
        <f>IFERROR(INDEX(样本到样信息汇总统计!W$2:W$500,MATCH(67,样本到样信息汇总统计!$Y$2:$Y$500,0)),"")</f>
        <v/>
      </c>
    </row>
    <row r="69" ht="14.5" spans="1:23">
      <c r="A69" s="8" t="str">
        <f>IFERROR(INDEX(样本到样信息汇总统计!A$2:A$500,MATCH(68,样本到样信息汇总统计!$Y$2:$Y$500,0)),"")</f>
        <v/>
      </c>
      <c r="B69" s="8" t="str">
        <f>IFERROR(INDEX(样本到样信息汇总统计!B$2:B$500,MATCH(68,样本到样信息汇总统计!$Y$2:$Y$500,0)),"")</f>
        <v/>
      </c>
      <c r="C69" s="8" t="str">
        <f>IFERROR(INDEX(样本到样信息汇总统计!C$2:C$500,MATCH(68,样本到样信息汇总统计!$Y$2:$Y$500,0)),"")</f>
        <v/>
      </c>
      <c r="D69" s="8" t="str">
        <f>IFERROR(INDEX(样本到样信息汇总统计!D$2:D$500,MATCH(68,样本到样信息汇总统计!$Y$2:$Y$500,0)),"")</f>
        <v/>
      </c>
      <c r="E69" s="8" t="str">
        <f>IFERROR(INDEX(样本到样信息汇总统计!E$2:E$500,MATCH(68,样本到样信息汇总统计!$Y$2:$Y$500,0)),"")</f>
        <v/>
      </c>
      <c r="F69" s="8" t="str">
        <f>IFERROR(INDEX(样本到样信息汇总统计!F$2:F$500,MATCH(68,样本到样信息汇总统计!$Y$2:$Y$500,0)),"")</f>
        <v/>
      </c>
      <c r="G69" s="8" t="str">
        <f>IFERROR(INDEX(样本到样信息汇总统计!G$2:G$500,MATCH(68,样本到样信息汇总统计!$Y$2:$Y$500,0)),"")</f>
        <v/>
      </c>
      <c r="H69" s="8" t="str">
        <f>IFERROR(INDEX(样本到样信息汇总统计!H$2:H$500,MATCH(68,样本到样信息汇总统计!$Y$2:$Y$500,0)),"")</f>
        <v/>
      </c>
      <c r="I69" s="8" t="str">
        <f>IFERROR(INDEX(样本到样信息汇总统计!I$2:I$500,MATCH(68,样本到样信息汇总统计!$Y$2:$Y$500,0)),"")</f>
        <v/>
      </c>
      <c r="J69" s="8" t="str">
        <f>IFERROR(INDEX(样本到样信息汇总统计!J$2:J$500,MATCH(68,样本到样信息汇总统计!$Y$2:$Y$500,0)),"")</f>
        <v/>
      </c>
      <c r="K69" s="8" t="str">
        <f>IFERROR(INDEX(样本到样信息汇总统计!K$2:K$500,MATCH(68,样本到样信息汇总统计!$Y$2:$Y$500,0)),"")</f>
        <v/>
      </c>
      <c r="L69" s="8" t="str">
        <f>IFERROR(INDEX(样本到样信息汇总统计!L$2:L$500,MATCH(68,样本到样信息汇总统计!$Y$2:$Y$500,0)),"")</f>
        <v/>
      </c>
      <c r="M69" s="8" t="str">
        <f>IFERROR(INDEX(样本到样信息汇总统计!M$2:M$500,MATCH(68,样本到样信息汇总统计!$Y$2:$Y$500,0)),"")</f>
        <v/>
      </c>
      <c r="N69" s="8" t="str">
        <f>IFERROR(INDEX(样本到样信息汇总统计!N$2:N$500,MATCH(68,样本到样信息汇总统计!$Y$2:$Y$500,0)),"")</f>
        <v/>
      </c>
      <c r="O69" s="8" t="str">
        <f>IFERROR(INDEX(样本到样信息汇总统计!O$2:O$500,MATCH(68,样本到样信息汇总统计!$Y$2:$Y$500,0)),"")</f>
        <v/>
      </c>
      <c r="P69" s="8" t="str">
        <f>IFERROR(INDEX(样本到样信息汇总统计!P$2:P$500,MATCH(68,样本到样信息汇总统计!$Y$2:$Y$500,0)),"")</f>
        <v/>
      </c>
      <c r="Q69" s="8" t="str">
        <f>IFERROR(INDEX(样本到样信息汇总统计!Q$2:Q$500,MATCH(68,样本到样信息汇总统计!$Y$2:$Y$500,0)),"")</f>
        <v/>
      </c>
      <c r="R69" s="8" t="str">
        <f>IFERROR(INDEX(样本到样信息汇总统计!R$2:R$500,MATCH(68,样本到样信息汇总统计!$Y$2:$Y$500,0)),"")</f>
        <v/>
      </c>
      <c r="S69" s="8" t="str">
        <f>IFERROR(INDEX(样本到样信息汇总统计!S$2:S$500,MATCH(68,样本到样信息汇总统计!$Y$2:$Y$500,0)),"")</f>
        <v/>
      </c>
      <c r="T69" s="8" t="str">
        <f>IFERROR(INDEX(样本到样信息汇总统计!T$2:T$500,MATCH(68,样本到样信息汇总统计!$Y$2:$Y$500,0)),"")</f>
        <v/>
      </c>
      <c r="U69" s="8" t="str">
        <f>IFERROR(INDEX(样本到样信息汇总统计!U$2:U$500,MATCH(68,样本到样信息汇总统计!$Y$2:$Y$500,0)),"")</f>
        <v/>
      </c>
      <c r="V69" s="8" t="str">
        <f>IFERROR(INDEX(样本到样信息汇总统计!V$2:V$500,MATCH(68,样本到样信息汇总统计!$Y$2:$Y$500,0)),"")</f>
        <v/>
      </c>
      <c r="W69" s="8" t="str">
        <f>IFERROR(INDEX(样本到样信息汇总统计!W$2:W$500,MATCH(68,样本到样信息汇总统计!$Y$2:$Y$500,0)),"")</f>
        <v/>
      </c>
    </row>
    <row r="70" ht="14.5" spans="1:23">
      <c r="A70" s="4" t="str">
        <f>IFERROR(INDEX(样本到样信息汇总统计!A$2:A$500,MATCH(69,样本到样信息汇总统计!$Y$2:$Y$500,0)),"")</f>
        <v/>
      </c>
      <c r="B70" s="4" t="str">
        <f>IFERROR(INDEX(样本到样信息汇总统计!B$2:B$500,MATCH(69,样本到样信息汇总统计!$Y$2:$Y$500,0)),"")</f>
        <v/>
      </c>
      <c r="C70" s="4" t="str">
        <f>IFERROR(INDEX(样本到样信息汇总统计!C$2:C$500,MATCH(69,样本到样信息汇总统计!$Y$2:$Y$500,0)),"")</f>
        <v/>
      </c>
      <c r="D70" s="4" t="str">
        <f>IFERROR(INDEX(样本到样信息汇总统计!D$2:D$500,MATCH(69,样本到样信息汇总统计!$Y$2:$Y$500,0)),"")</f>
        <v/>
      </c>
      <c r="E70" s="4" t="str">
        <f>IFERROR(INDEX(样本到样信息汇总统计!E$2:E$500,MATCH(69,样本到样信息汇总统计!$Y$2:$Y$500,0)),"")</f>
        <v/>
      </c>
      <c r="F70" s="4" t="str">
        <f>IFERROR(INDEX(样本到样信息汇总统计!F$2:F$500,MATCH(69,样本到样信息汇总统计!$Y$2:$Y$500,0)),"")</f>
        <v/>
      </c>
      <c r="G70" s="4" t="str">
        <f>IFERROR(INDEX(样本到样信息汇总统计!G$2:G$500,MATCH(69,样本到样信息汇总统计!$Y$2:$Y$500,0)),"")</f>
        <v/>
      </c>
      <c r="H70" s="4" t="str">
        <f>IFERROR(INDEX(样本到样信息汇总统计!H$2:H$500,MATCH(69,样本到样信息汇总统计!$Y$2:$Y$500,0)),"")</f>
        <v/>
      </c>
      <c r="I70" s="4" t="str">
        <f>IFERROR(INDEX(样本到样信息汇总统计!I$2:I$500,MATCH(69,样本到样信息汇总统计!$Y$2:$Y$500,0)),"")</f>
        <v/>
      </c>
      <c r="J70" s="4" t="str">
        <f>IFERROR(INDEX(样本到样信息汇总统计!J$2:J$500,MATCH(69,样本到样信息汇总统计!$Y$2:$Y$500,0)),"")</f>
        <v/>
      </c>
      <c r="K70" s="4" t="str">
        <f>IFERROR(INDEX(样本到样信息汇总统计!K$2:K$500,MATCH(69,样本到样信息汇总统计!$Y$2:$Y$500,0)),"")</f>
        <v/>
      </c>
      <c r="L70" s="4" t="str">
        <f>IFERROR(INDEX(样本到样信息汇总统计!L$2:L$500,MATCH(69,样本到样信息汇总统计!$Y$2:$Y$500,0)),"")</f>
        <v/>
      </c>
      <c r="M70" s="4" t="str">
        <f>IFERROR(INDEX(样本到样信息汇总统计!M$2:M$500,MATCH(69,样本到样信息汇总统计!$Y$2:$Y$500,0)),"")</f>
        <v/>
      </c>
      <c r="N70" s="4" t="str">
        <f>IFERROR(INDEX(样本到样信息汇总统计!N$2:N$500,MATCH(69,样本到样信息汇总统计!$Y$2:$Y$500,0)),"")</f>
        <v/>
      </c>
      <c r="O70" s="4" t="str">
        <f>IFERROR(INDEX(样本到样信息汇总统计!O$2:O$500,MATCH(69,样本到样信息汇总统计!$Y$2:$Y$500,0)),"")</f>
        <v/>
      </c>
      <c r="P70" s="4" t="str">
        <f>IFERROR(INDEX(样本到样信息汇总统计!P$2:P$500,MATCH(69,样本到样信息汇总统计!$Y$2:$Y$500,0)),"")</f>
        <v/>
      </c>
      <c r="Q70" s="4" t="str">
        <f>IFERROR(INDEX(样本到样信息汇总统计!Q$2:Q$500,MATCH(69,样本到样信息汇总统计!$Y$2:$Y$500,0)),"")</f>
        <v/>
      </c>
      <c r="R70" s="4" t="str">
        <f>IFERROR(INDEX(样本到样信息汇总统计!R$2:R$500,MATCH(69,样本到样信息汇总统计!$Y$2:$Y$500,0)),"")</f>
        <v/>
      </c>
      <c r="S70" s="4" t="str">
        <f>IFERROR(INDEX(样本到样信息汇总统计!S$2:S$500,MATCH(69,样本到样信息汇总统计!$Y$2:$Y$500,0)),"")</f>
        <v/>
      </c>
      <c r="T70" s="4" t="str">
        <f>IFERROR(INDEX(样本到样信息汇总统计!T$2:T$500,MATCH(69,样本到样信息汇总统计!$Y$2:$Y$500,0)),"")</f>
        <v/>
      </c>
      <c r="U70" s="4" t="str">
        <f>IFERROR(INDEX(样本到样信息汇总统计!U$2:U$500,MATCH(69,样本到样信息汇总统计!$Y$2:$Y$500,0)),"")</f>
        <v/>
      </c>
      <c r="V70" s="4" t="str">
        <f>IFERROR(INDEX(样本到样信息汇总统计!V$2:V$500,MATCH(69,样本到样信息汇总统计!$Y$2:$Y$500,0)),"")</f>
        <v/>
      </c>
      <c r="W70" s="4" t="str">
        <f>IFERROR(INDEX(样本到样信息汇总统计!W$2:W$500,MATCH(69,样本到样信息汇总统计!$Y$2:$Y$500,0)),"")</f>
        <v/>
      </c>
    </row>
    <row r="71" ht="14.5" spans="1:23">
      <c r="A71" s="8" t="str">
        <f>IFERROR(INDEX(样本到样信息汇总统计!A$2:A$500,MATCH(70,样本到样信息汇总统计!$Y$2:$Y$500,0)),"")</f>
        <v/>
      </c>
      <c r="B71" s="8" t="str">
        <f>IFERROR(INDEX(样本到样信息汇总统计!B$2:B$500,MATCH(70,样本到样信息汇总统计!$Y$2:$Y$500,0)),"")</f>
        <v/>
      </c>
      <c r="C71" s="8" t="str">
        <f>IFERROR(INDEX(样本到样信息汇总统计!C$2:C$500,MATCH(70,样本到样信息汇总统计!$Y$2:$Y$500,0)),"")</f>
        <v/>
      </c>
      <c r="D71" s="8" t="str">
        <f>IFERROR(INDEX(样本到样信息汇总统计!D$2:D$500,MATCH(70,样本到样信息汇总统计!$Y$2:$Y$500,0)),"")</f>
        <v/>
      </c>
      <c r="E71" s="8" t="str">
        <f>IFERROR(INDEX(样本到样信息汇总统计!E$2:E$500,MATCH(70,样本到样信息汇总统计!$Y$2:$Y$500,0)),"")</f>
        <v/>
      </c>
      <c r="F71" s="8" t="str">
        <f>IFERROR(INDEX(样本到样信息汇总统计!F$2:F$500,MATCH(70,样本到样信息汇总统计!$Y$2:$Y$500,0)),"")</f>
        <v/>
      </c>
      <c r="G71" s="8" t="str">
        <f>IFERROR(INDEX(样本到样信息汇总统计!G$2:G$500,MATCH(70,样本到样信息汇总统计!$Y$2:$Y$500,0)),"")</f>
        <v/>
      </c>
      <c r="H71" s="8" t="str">
        <f>IFERROR(INDEX(样本到样信息汇总统计!H$2:H$500,MATCH(70,样本到样信息汇总统计!$Y$2:$Y$500,0)),"")</f>
        <v/>
      </c>
      <c r="I71" s="8" t="str">
        <f>IFERROR(INDEX(样本到样信息汇总统计!I$2:I$500,MATCH(70,样本到样信息汇总统计!$Y$2:$Y$500,0)),"")</f>
        <v/>
      </c>
      <c r="J71" s="8" t="str">
        <f>IFERROR(INDEX(样本到样信息汇总统计!J$2:J$500,MATCH(70,样本到样信息汇总统计!$Y$2:$Y$500,0)),"")</f>
        <v/>
      </c>
      <c r="K71" s="8" t="str">
        <f>IFERROR(INDEX(样本到样信息汇总统计!K$2:K$500,MATCH(70,样本到样信息汇总统计!$Y$2:$Y$500,0)),"")</f>
        <v/>
      </c>
      <c r="L71" s="8" t="str">
        <f>IFERROR(INDEX(样本到样信息汇总统计!L$2:L$500,MATCH(70,样本到样信息汇总统计!$Y$2:$Y$500,0)),"")</f>
        <v/>
      </c>
      <c r="M71" s="8" t="str">
        <f>IFERROR(INDEX(样本到样信息汇总统计!M$2:M$500,MATCH(70,样本到样信息汇总统计!$Y$2:$Y$500,0)),"")</f>
        <v/>
      </c>
      <c r="N71" s="8" t="str">
        <f>IFERROR(INDEX(样本到样信息汇总统计!N$2:N$500,MATCH(70,样本到样信息汇总统计!$Y$2:$Y$500,0)),"")</f>
        <v/>
      </c>
      <c r="O71" s="8" t="str">
        <f>IFERROR(INDEX(样本到样信息汇总统计!O$2:O$500,MATCH(70,样本到样信息汇总统计!$Y$2:$Y$500,0)),"")</f>
        <v/>
      </c>
      <c r="P71" s="8" t="str">
        <f>IFERROR(INDEX(样本到样信息汇总统计!P$2:P$500,MATCH(70,样本到样信息汇总统计!$Y$2:$Y$500,0)),"")</f>
        <v/>
      </c>
      <c r="Q71" s="8" t="str">
        <f>IFERROR(INDEX(样本到样信息汇总统计!Q$2:Q$500,MATCH(70,样本到样信息汇总统计!$Y$2:$Y$500,0)),"")</f>
        <v/>
      </c>
      <c r="R71" s="8" t="str">
        <f>IFERROR(INDEX(样本到样信息汇总统计!R$2:R$500,MATCH(70,样本到样信息汇总统计!$Y$2:$Y$500,0)),"")</f>
        <v/>
      </c>
      <c r="S71" s="8" t="str">
        <f>IFERROR(INDEX(样本到样信息汇总统计!S$2:S$500,MATCH(70,样本到样信息汇总统计!$Y$2:$Y$500,0)),"")</f>
        <v/>
      </c>
      <c r="T71" s="8" t="str">
        <f>IFERROR(INDEX(样本到样信息汇总统计!T$2:T$500,MATCH(70,样本到样信息汇总统计!$Y$2:$Y$500,0)),"")</f>
        <v/>
      </c>
      <c r="U71" s="8" t="str">
        <f>IFERROR(INDEX(样本到样信息汇总统计!U$2:U$500,MATCH(70,样本到样信息汇总统计!$Y$2:$Y$500,0)),"")</f>
        <v/>
      </c>
      <c r="V71" s="8" t="str">
        <f>IFERROR(INDEX(样本到样信息汇总统计!V$2:V$500,MATCH(70,样本到样信息汇总统计!$Y$2:$Y$500,0)),"")</f>
        <v/>
      </c>
      <c r="W71" s="8" t="str">
        <f>IFERROR(INDEX(样本到样信息汇总统计!W$2:W$500,MATCH(70,样本到样信息汇总统计!$Y$2:$Y$500,0)),"")</f>
        <v/>
      </c>
    </row>
    <row r="72" ht="14.5" spans="1:23">
      <c r="A72" s="4" t="str">
        <f>IFERROR(INDEX(样本到样信息汇总统计!A$2:A$500,MATCH(71,样本到样信息汇总统计!$Y$2:$Y$500,0)),"")</f>
        <v/>
      </c>
      <c r="B72" s="4" t="str">
        <f>IFERROR(INDEX(样本到样信息汇总统计!B$2:B$500,MATCH(71,样本到样信息汇总统计!$Y$2:$Y$500,0)),"")</f>
        <v/>
      </c>
      <c r="C72" s="4" t="str">
        <f>IFERROR(INDEX(样本到样信息汇总统计!C$2:C$500,MATCH(71,样本到样信息汇总统计!$Y$2:$Y$500,0)),"")</f>
        <v/>
      </c>
      <c r="D72" s="4" t="str">
        <f>IFERROR(INDEX(样本到样信息汇总统计!D$2:D$500,MATCH(71,样本到样信息汇总统计!$Y$2:$Y$500,0)),"")</f>
        <v/>
      </c>
      <c r="E72" s="4" t="str">
        <f>IFERROR(INDEX(样本到样信息汇总统计!E$2:E$500,MATCH(71,样本到样信息汇总统计!$Y$2:$Y$500,0)),"")</f>
        <v/>
      </c>
      <c r="F72" s="4" t="str">
        <f>IFERROR(INDEX(样本到样信息汇总统计!F$2:F$500,MATCH(71,样本到样信息汇总统计!$Y$2:$Y$500,0)),"")</f>
        <v/>
      </c>
      <c r="G72" s="4" t="str">
        <f>IFERROR(INDEX(样本到样信息汇总统计!G$2:G$500,MATCH(71,样本到样信息汇总统计!$Y$2:$Y$500,0)),"")</f>
        <v/>
      </c>
      <c r="H72" s="4" t="str">
        <f>IFERROR(INDEX(样本到样信息汇总统计!H$2:H$500,MATCH(71,样本到样信息汇总统计!$Y$2:$Y$500,0)),"")</f>
        <v/>
      </c>
      <c r="I72" s="4" t="str">
        <f>IFERROR(INDEX(样本到样信息汇总统计!I$2:I$500,MATCH(71,样本到样信息汇总统计!$Y$2:$Y$500,0)),"")</f>
        <v/>
      </c>
      <c r="J72" s="4" t="str">
        <f>IFERROR(INDEX(样本到样信息汇总统计!J$2:J$500,MATCH(71,样本到样信息汇总统计!$Y$2:$Y$500,0)),"")</f>
        <v/>
      </c>
      <c r="K72" s="4" t="str">
        <f>IFERROR(INDEX(样本到样信息汇总统计!K$2:K$500,MATCH(71,样本到样信息汇总统计!$Y$2:$Y$500,0)),"")</f>
        <v/>
      </c>
      <c r="L72" s="4" t="str">
        <f>IFERROR(INDEX(样本到样信息汇总统计!L$2:L$500,MATCH(71,样本到样信息汇总统计!$Y$2:$Y$500,0)),"")</f>
        <v/>
      </c>
      <c r="M72" s="4" t="str">
        <f>IFERROR(INDEX(样本到样信息汇总统计!M$2:M$500,MATCH(71,样本到样信息汇总统计!$Y$2:$Y$500,0)),"")</f>
        <v/>
      </c>
      <c r="N72" s="4" t="str">
        <f>IFERROR(INDEX(样本到样信息汇总统计!N$2:N$500,MATCH(71,样本到样信息汇总统计!$Y$2:$Y$500,0)),"")</f>
        <v/>
      </c>
      <c r="O72" s="4" t="str">
        <f>IFERROR(INDEX(样本到样信息汇总统计!O$2:O$500,MATCH(71,样本到样信息汇总统计!$Y$2:$Y$500,0)),"")</f>
        <v/>
      </c>
      <c r="P72" s="4" t="str">
        <f>IFERROR(INDEX(样本到样信息汇总统计!P$2:P$500,MATCH(71,样本到样信息汇总统计!$Y$2:$Y$500,0)),"")</f>
        <v/>
      </c>
      <c r="Q72" s="4" t="str">
        <f>IFERROR(INDEX(样本到样信息汇总统计!Q$2:Q$500,MATCH(71,样本到样信息汇总统计!$Y$2:$Y$500,0)),"")</f>
        <v/>
      </c>
      <c r="R72" s="4" t="str">
        <f>IFERROR(INDEX(样本到样信息汇总统计!R$2:R$500,MATCH(71,样本到样信息汇总统计!$Y$2:$Y$500,0)),"")</f>
        <v/>
      </c>
      <c r="S72" s="4" t="str">
        <f>IFERROR(INDEX(样本到样信息汇总统计!S$2:S$500,MATCH(71,样本到样信息汇总统计!$Y$2:$Y$500,0)),"")</f>
        <v/>
      </c>
      <c r="T72" s="4" t="str">
        <f>IFERROR(INDEX(样本到样信息汇总统计!T$2:T$500,MATCH(71,样本到样信息汇总统计!$Y$2:$Y$500,0)),"")</f>
        <v/>
      </c>
      <c r="U72" s="4" t="str">
        <f>IFERROR(INDEX(样本到样信息汇总统计!U$2:U$500,MATCH(71,样本到样信息汇总统计!$Y$2:$Y$500,0)),"")</f>
        <v/>
      </c>
      <c r="V72" s="4" t="str">
        <f>IFERROR(INDEX(样本到样信息汇总统计!V$2:V$500,MATCH(71,样本到样信息汇总统计!$Y$2:$Y$500,0)),"")</f>
        <v/>
      </c>
      <c r="W72" s="4" t="str">
        <f>IFERROR(INDEX(样本到样信息汇总统计!W$2:W$500,MATCH(71,样本到样信息汇总统计!$Y$2:$Y$500,0)),"")</f>
        <v/>
      </c>
    </row>
    <row r="73" ht="14.5" spans="1:23">
      <c r="A73" s="8" t="str">
        <f>IFERROR(INDEX(样本到样信息汇总统计!A$2:A$500,MATCH(72,样本到样信息汇总统计!$Y$2:$Y$500,0)),"")</f>
        <v/>
      </c>
      <c r="B73" s="8" t="str">
        <f>IFERROR(INDEX(样本到样信息汇总统计!B$2:B$500,MATCH(72,样本到样信息汇总统计!$Y$2:$Y$500,0)),"")</f>
        <v/>
      </c>
      <c r="C73" s="8" t="str">
        <f>IFERROR(INDEX(样本到样信息汇总统计!C$2:C$500,MATCH(72,样本到样信息汇总统计!$Y$2:$Y$500,0)),"")</f>
        <v/>
      </c>
      <c r="D73" s="8" t="str">
        <f>IFERROR(INDEX(样本到样信息汇总统计!D$2:D$500,MATCH(72,样本到样信息汇总统计!$Y$2:$Y$500,0)),"")</f>
        <v/>
      </c>
      <c r="E73" s="8" t="str">
        <f>IFERROR(INDEX(样本到样信息汇总统计!E$2:E$500,MATCH(72,样本到样信息汇总统计!$Y$2:$Y$500,0)),"")</f>
        <v/>
      </c>
      <c r="F73" s="8" t="str">
        <f>IFERROR(INDEX(样本到样信息汇总统计!F$2:F$500,MATCH(72,样本到样信息汇总统计!$Y$2:$Y$500,0)),"")</f>
        <v/>
      </c>
      <c r="G73" s="8" t="str">
        <f>IFERROR(INDEX(样本到样信息汇总统计!G$2:G$500,MATCH(72,样本到样信息汇总统计!$Y$2:$Y$500,0)),"")</f>
        <v/>
      </c>
      <c r="H73" s="8" t="str">
        <f>IFERROR(INDEX(样本到样信息汇总统计!H$2:H$500,MATCH(72,样本到样信息汇总统计!$Y$2:$Y$500,0)),"")</f>
        <v/>
      </c>
      <c r="I73" s="8" t="str">
        <f>IFERROR(INDEX(样本到样信息汇总统计!I$2:I$500,MATCH(72,样本到样信息汇总统计!$Y$2:$Y$500,0)),"")</f>
        <v/>
      </c>
      <c r="J73" s="8" t="str">
        <f>IFERROR(INDEX(样本到样信息汇总统计!J$2:J$500,MATCH(72,样本到样信息汇总统计!$Y$2:$Y$500,0)),"")</f>
        <v/>
      </c>
      <c r="K73" s="8" t="str">
        <f>IFERROR(INDEX(样本到样信息汇总统计!K$2:K$500,MATCH(72,样本到样信息汇总统计!$Y$2:$Y$500,0)),"")</f>
        <v/>
      </c>
      <c r="L73" s="8" t="str">
        <f>IFERROR(INDEX(样本到样信息汇总统计!L$2:L$500,MATCH(72,样本到样信息汇总统计!$Y$2:$Y$500,0)),"")</f>
        <v/>
      </c>
      <c r="M73" s="8" t="str">
        <f>IFERROR(INDEX(样本到样信息汇总统计!M$2:M$500,MATCH(72,样本到样信息汇总统计!$Y$2:$Y$500,0)),"")</f>
        <v/>
      </c>
      <c r="N73" s="8" t="str">
        <f>IFERROR(INDEX(样本到样信息汇总统计!N$2:N$500,MATCH(72,样本到样信息汇总统计!$Y$2:$Y$500,0)),"")</f>
        <v/>
      </c>
      <c r="O73" s="8" t="str">
        <f>IFERROR(INDEX(样本到样信息汇总统计!O$2:O$500,MATCH(72,样本到样信息汇总统计!$Y$2:$Y$500,0)),"")</f>
        <v/>
      </c>
      <c r="P73" s="8" t="str">
        <f>IFERROR(INDEX(样本到样信息汇总统计!P$2:P$500,MATCH(72,样本到样信息汇总统计!$Y$2:$Y$500,0)),"")</f>
        <v/>
      </c>
      <c r="Q73" s="8" t="str">
        <f>IFERROR(INDEX(样本到样信息汇总统计!Q$2:Q$500,MATCH(72,样本到样信息汇总统计!$Y$2:$Y$500,0)),"")</f>
        <v/>
      </c>
      <c r="R73" s="8" t="str">
        <f>IFERROR(INDEX(样本到样信息汇总统计!R$2:R$500,MATCH(72,样本到样信息汇总统计!$Y$2:$Y$500,0)),"")</f>
        <v/>
      </c>
      <c r="S73" s="8" t="str">
        <f>IFERROR(INDEX(样本到样信息汇总统计!S$2:S$500,MATCH(72,样本到样信息汇总统计!$Y$2:$Y$500,0)),"")</f>
        <v/>
      </c>
      <c r="T73" s="8" t="str">
        <f>IFERROR(INDEX(样本到样信息汇总统计!T$2:T$500,MATCH(72,样本到样信息汇总统计!$Y$2:$Y$500,0)),"")</f>
        <v/>
      </c>
      <c r="U73" s="8" t="str">
        <f>IFERROR(INDEX(样本到样信息汇总统计!U$2:U$500,MATCH(72,样本到样信息汇总统计!$Y$2:$Y$500,0)),"")</f>
        <v/>
      </c>
      <c r="V73" s="8" t="str">
        <f>IFERROR(INDEX(样本到样信息汇总统计!V$2:V$500,MATCH(72,样本到样信息汇总统计!$Y$2:$Y$500,0)),"")</f>
        <v/>
      </c>
      <c r="W73" s="8" t="str">
        <f>IFERROR(INDEX(样本到样信息汇总统计!W$2:W$500,MATCH(72,样本到样信息汇总统计!$Y$2:$Y$500,0)),"")</f>
        <v/>
      </c>
    </row>
    <row r="74" ht="14.5" spans="1:23">
      <c r="A74" s="4" t="str">
        <f>IFERROR(INDEX(样本到样信息汇总统计!A$2:A$500,MATCH(73,样本到样信息汇总统计!$Y$2:$Y$500,0)),"")</f>
        <v/>
      </c>
      <c r="B74" s="4" t="str">
        <f>IFERROR(INDEX(样本到样信息汇总统计!B$2:B$500,MATCH(73,样本到样信息汇总统计!$Y$2:$Y$500,0)),"")</f>
        <v/>
      </c>
      <c r="C74" s="4" t="str">
        <f>IFERROR(INDEX(样本到样信息汇总统计!C$2:C$500,MATCH(73,样本到样信息汇总统计!$Y$2:$Y$500,0)),"")</f>
        <v/>
      </c>
      <c r="D74" s="4" t="str">
        <f>IFERROR(INDEX(样本到样信息汇总统计!D$2:D$500,MATCH(73,样本到样信息汇总统计!$Y$2:$Y$500,0)),"")</f>
        <v/>
      </c>
      <c r="E74" s="4" t="str">
        <f>IFERROR(INDEX(样本到样信息汇总统计!E$2:E$500,MATCH(73,样本到样信息汇总统计!$Y$2:$Y$500,0)),"")</f>
        <v/>
      </c>
      <c r="F74" s="4" t="str">
        <f>IFERROR(INDEX(样本到样信息汇总统计!F$2:F$500,MATCH(73,样本到样信息汇总统计!$Y$2:$Y$500,0)),"")</f>
        <v/>
      </c>
      <c r="G74" s="4" t="str">
        <f>IFERROR(INDEX(样本到样信息汇总统计!G$2:G$500,MATCH(73,样本到样信息汇总统计!$Y$2:$Y$500,0)),"")</f>
        <v/>
      </c>
      <c r="H74" s="4" t="str">
        <f>IFERROR(INDEX(样本到样信息汇总统计!H$2:H$500,MATCH(73,样本到样信息汇总统计!$Y$2:$Y$500,0)),"")</f>
        <v/>
      </c>
      <c r="I74" s="4" t="str">
        <f>IFERROR(INDEX(样本到样信息汇总统计!I$2:I$500,MATCH(73,样本到样信息汇总统计!$Y$2:$Y$500,0)),"")</f>
        <v/>
      </c>
      <c r="J74" s="4" t="str">
        <f>IFERROR(INDEX(样本到样信息汇总统计!J$2:J$500,MATCH(73,样本到样信息汇总统计!$Y$2:$Y$500,0)),"")</f>
        <v/>
      </c>
      <c r="K74" s="4" t="str">
        <f>IFERROR(INDEX(样本到样信息汇总统计!K$2:K$500,MATCH(73,样本到样信息汇总统计!$Y$2:$Y$500,0)),"")</f>
        <v/>
      </c>
      <c r="L74" s="4" t="str">
        <f>IFERROR(INDEX(样本到样信息汇总统计!L$2:L$500,MATCH(73,样本到样信息汇总统计!$Y$2:$Y$500,0)),"")</f>
        <v/>
      </c>
      <c r="M74" s="4" t="str">
        <f>IFERROR(INDEX(样本到样信息汇总统计!M$2:M$500,MATCH(73,样本到样信息汇总统计!$Y$2:$Y$500,0)),"")</f>
        <v/>
      </c>
      <c r="N74" s="4" t="str">
        <f>IFERROR(INDEX(样本到样信息汇总统计!N$2:N$500,MATCH(73,样本到样信息汇总统计!$Y$2:$Y$500,0)),"")</f>
        <v/>
      </c>
      <c r="O74" s="4" t="str">
        <f>IFERROR(INDEX(样本到样信息汇总统计!O$2:O$500,MATCH(73,样本到样信息汇总统计!$Y$2:$Y$500,0)),"")</f>
        <v/>
      </c>
      <c r="P74" s="4" t="str">
        <f>IFERROR(INDEX(样本到样信息汇总统计!P$2:P$500,MATCH(73,样本到样信息汇总统计!$Y$2:$Y$500,0)),"")</f>
        <v/>
      </c>
      <c r="Q74" s="4" t="str">
        <f>IFERROR(INDEX(样本到样信息汇总统计!Q$2:Q$500,MATCH(73,样本到样信息汇总统计!$Y$2:$Y$500,0)),"")</f>
        <v/>
      </c>
      <c r="R74" s="4" t="str">
        <f>IFERROR(INDEX(样本到样信息汇总统计!R$2:R$500,MATCH(73,样本到样信息汇总统计!$Y$2:$Y$500,0)),"")</f>
        <v/>
      </c>
      <c r="S74" s="4" t="str">
        <f>IFERROR(INDEX(样本到样信息汇总统计!S$2:S$500,MATCH(73,样本到样信息汇总统计!$Y$2:$Y$500,0)),"")</f>
        <v/>
      </c>
      <c r="T74" s="4" t="str">
        <f>IFERROR(INDEX(样本到样信息汇总统计!T$2:T$500,MATCH(73,样本到样信息汇总统计!$Y$2:$Y$500,0)),"")</f>
        <v/>
      </c>
      <c r="U74" s="4" t="str">
        <f>IFERROR(INDEX(样本到样信息汇总统计!U$2:U$500,MATCH(73,样本到样信息汇总统计!$Y$2:$Y$500,0)),"")</f>
        <v/>
      </c>
      <c r="V74" s="4" t="str">
        <f>IFERROR(INDEX(样本到样信息汇总统计!V$2:V$500,MATCH(73,样本到样信息汇总统计!$Y$2:$Y$500,0)),"")</f>
        <v/>
      </c>
      <c r="W74" s="4" t="str">
        <f>IFERROR(INDEX(样本到样信息汇总统计!W$2:W$500,MATCH(73,样本到样信息汇总统计!$Y$2:$Y$500,0)),"")</f>
        <v/>
      </c>
    </row>
    <row r="75" ht="14.5" spans="1:23">
      <c r="A75" s="8" t="str">
        <f>IFERROR(INDEX(样本到样信息汇总统计!A$2:A$500,MATCH(74,样本到样信息汇总统计!$Y$2:$Y$500,0)),"")</f>
        <v/>
      </c>
      <c r="B75" s="8" t="str">
        <f>IFERROR(INDEX(样本到样信息汇总统计!B$2:B$500,MATCH(74,样本到样信息汇总统计!$Y$2:$Y$500,0)),"")</f>
        <v/>
      </c>
      <c r="C75" s="8" t="str">
        <f>IFERROR(INDEX(样本到样信息汇总统计!C$2:C$500,MATCH(74,样本到样信息汇总统计!$Y$2:$Y$500,0)),"")</f>
        <v/>
      </c>
      <c r="D75" s="8" t="str">
        <f>IFERROR(INDEX(样本到样信息汇总统计!D$2:D$500,MATCH(74,样本到样信息汇总统计!$Y$2:$Y$500,0)),"")</f>
        <v/>
      </c>
      <c r="E75" s="8" t="str">
        <f>IFERROR(INDEX(样本到样信息汇总统计!E$2:E$500,MATCH(74,样本到样信息汇总统计!$Y$2:$Y$500,0)),"")</f>
        <v/>
      </c>
      <c r="F75" s="8" t="str">
        <f>IFERROR(INDEX(样本到样信息汇总统计!F$2:F$500,MATCH(74,样本到样信息汇总统计!$Y$2:$Y$500,0)),"")</f>
        <v/>
      </c>
      <c r="G75" s="8" t="str">
        <f>IFERROR(INDEX(样本到样信息汇总统计!G$2:G$500,MATCH(74,样本到样信息汇总统计!$Y$2:$Y$500,0)),"")</f>
        <v/>
      </c>
      <c r="H75" s="8" t="str">
        <f>IFERROR(INDEX(样本到样信息汇总统计!H$2:H$500,MATCH(74,样本到样信息汇总统计!$Y$2:$Y$500,0)),"")</f>
        <v/>
      </c>
      <c r="I75" s="8" t="str">
        <f>IFERROR(INDEX(样本到样信息汇总统计!I$2:I$500,MATCH(74,样本到样信息汇总统计!$Y$2:$Y$500,0)),"")</f>
        <v/>
      </c>
      <c r="J75" s="8" t="str">
        <f>IFERROR(INDEX(样本到样信息汇总统计!J$2:J$500,MATCH(74,样本到样信息汇总统计!$Y$2:$Y$500,0)),"")</f>
        <v/>
      </c>
      <c r="K75" s="8" t="str">
        <f>IFERROR(INDEX(样本到样信息汇总统计!K$2:K$500,MATCH(74,样本到样信息汇总统计!$Y$2:$Y$500,0)),"")</f>
        <v/>
      </c>
      <c r="L75" s="8" t="str">
        <f>IFERROR(INDEX(样本到样信息汇总统计!L$2:L$500,MATCH(74,样本到样信息汇总统计!$Y$2:$Y$500,0)),"")</f>
        <v/>
      </c>
      <c r="M75" s="8" t="str">
        <f>IFERROR(INDEX(样本到样信息汇总统计!M$2:M$500,MATCH(74,样本到样信息汇总统计!$Y$2:$Y$500,0)),"")</f>
        <v/>
      </c>
      <c r="N75" s="8" t="str">
        <f>IFERROR(INDEX(样本到样信息汇总统计!N$2:N$500,MATCH(74,样本到样信息汇总统计!$Y$2:$Y$500,0)),"")</f>
        <v/>
      </c>
      <c r="O75" s="8" t="str">
        <f>IFERROR(INDEX(样本到样信息汇总统计!O$2:O$500,MATCH(74,样本到样信息汇总统计!$Y$2:$Y$500,0)),"")</f>
        <v/>
      </c>
      <c r="P75" s="8" t="str">
        <f>IFERROR(INDEX(样本到样信息汇总统计!P$2:P$500,MATCH(74,样本到样信息汇总统计!$Y$2:$Y$500,0)),"")</f>
        <v/>
      </c>
      <c r="Q75" s="8" t="str">
        <f>IFERROR(INDEX(样本到样信息汇总统计!Q$2:Q$500,MATCH(74,样本到样信息汇总统计!$Y$2:$Y$500,0)),"")</f>
        <v/>
      </c>
      <c r="R75" s="8" t="str">
        <f>IFERROR(INDEX(样本到样信息汇总统计!R$2:R$500,MATCH(74,样本到样信息汇总统计!$Y$2:$Y$500,0)),"")</f>
        <v/>
      </c>
      <c r="S75" s="8" t="str">
        <f>IFERROR(INDEX(样本到样信息汇总统计!S$2:S$500,MATCH(74,样本到样信息汇总统计!$Y$2:$Y$500,0)),"")</f>
        <v/>
      </c>
      <c r="T75" s="8" t="str">
        <f>IFERROR(INDEX(样本到样信息汇总统计!T$2:T$500,MATCH(74,样本到样信息汇总统计!$Y$2:$Y$500,0)),"")</f>
        <v/>
      </c>
      <c r="U75" s="8" t="str">
        <f>IFERROR(INDEX(样本到样信息汇总统计!U$2:U$500,MATCH(74,样本到样信息汇总统计!$Y$2:$Y$500,0)),"")</f>
        <v/>
      </c>
      <c r="V75" s="8" t="str">
        <f>IFERROR(INDEX(样本到样信息汇总统计!V$2:V$500,MATCH(74,样本到样信息汇总统计!$Y$2:$Y$500,0)),"")</f>
        <v/>
      </c>
      <c r="W75" s="8" t="str">
        <f>IFERROR(INDEX(样本到样信息汇总统计!W$2:W$500,MATCH(74,样本到样信息汇总统计!$Y$2:$Y$500,0)),"")</f>
        <v/>
      </c>
    </row>
    <row r="76" ht="14.5" spans="1:23">
      <c r="A76" s="4" t="str">
        <f>IFERROR(INDEX(样本到样信息汇总统计!A$2:A$500,MATCH(75,样本到样信息汇总统计!$Y$2:$Y$500,0)),"")</f>
        <v/>
      </c>
      <c r="B76" s="4" t="str">
        <f>IFERROR(INDEX(样本到样信息汇总统计!B$2:B$500,MATCH(75,样本到样信息汇总统计!$Y$2:$Y$500,0)),"")</f>
        <v/>
      </c>
      <c r="C76" s="4" t="str">
        <f>IFERROR(INDEX(样本到样信息汇总统计!C$2:C$500,MATCH(75,样本到样信息汇总统计!$Y$2:$Y$500,0)),"")</f>
        <v/>
      </c>
      <c r="D76" s="4" t="str">
        <f>IFERROR(INDEX(样本到样信息汇总统计!D$2:D$500,MATCH(75,样本到样信息汇总统计!$Y$2:$Y$500,0)),"")</f>
        <v/>
      </c>
      <c r="E76" s="4" t="str">
        <f>IFERROR(INDEX(样本到样信息汇总统计!E$2:E$500,MATCH(75,样本到样信息汇总统计!$Y$2:$Y$500,0)),"")</f>
        <v/>
      </c>
      <c r="F76" s="4" t="str">
        <f>IFERROR(INDEX(样本到样信息汇总统计!F$2:F$500,MATCH(75,样本到样信息汇总统计!$Y$2:$Y$500,0)),"")</f>
        <v/>
      </c>
      <c r="G76" s="4" t="str">
        <f>IFERROR(INDEX(样本到样信息汇总统计!G$2:G$500,MATCH(75,样本到样信息汇总统计!$Y$2:$Y$500,0)),"")</f>
        <v/>
      </c>
      <c r="H76" s="4" t="str">
        <f>IFERROR(INDEX(样本到样信息汇总统计!H$2:H$500,MATCH(75,样本到样信息汇总统计!$Y$2:$Y$500,0)),"")</f>
        <v/>
      </c>
      <c r="I76" s="4" t="str">
        <f>IFERROR(INDEX(样本到样信息汇总统计!I$2:I$500,MATCH(75,样本到样信息汇总统计!$Y$2:$Y$500,0)),"")</f>
        <v/>
      </c>
      <c r="J76" s="4" t="str">
        <f>IFERROR(INDEX(样本到样信息汇总统计!J$2:J$500,MATCH(75,样本到样信息汇总统计!$Y$2:$Y$500,0)),"")</f>
        <v/>
      </c>
      <c r="K76" s="4" t="str">
        <f>IFERROR(INDEX(样本到样信息汇总统计!K$2:K$500,MATCH(75,样本到样信息汇总统计!$Y$2:$Y$500,0)),"")</f>
        <v/>
      </c>
      <c r="L76" s="4" t="str">
        <f>IFERROR(INDEX(样本到样信息汇总统计!L$2:L$500,MATCH(75,样本到样信息汇总统计!$Y$2:$Y$500,0)),"")</f>
        <v/>
      </c>
      <c r="M76" s="4" t="str">
        <f>IFERROR(INDEX(样本到样信息汇总统计!M$2:M$500,MATCH(75,样本到样信息汇总统计!$Y$2:$Y$500,0)),"")</f>
        <v/>
      </c>
      <c r="N76" s="4" t="str">
        <f>IFERROR(INDEX(样本到样信息汇总统计!N$2:N$500,MATCH(75,样本到样信息汇总统计!$Y$2:$Y$500,0)),"")</f>
        <v/>
      </c>
      <c r="O76" s="4" t="str">
        <f>IFERROR(INDEX(样本到样信息汇总统计!O$2:O$500,MATCH(75,样本到样信息汇总统计!$Y$2:$Y$500,0)),"")</f>
        <v/>
      </c>
      <c r="P76" s="4" t="str">
        <f>IFERROR(INDEX(样本到样信息汇总统计!P$2:P$500,MATCH(75,样本到样信息汇总统计!$Y$2:$Y$500,0)),"")</f>
        <v/>
      </c>
      <c r="Q76" s="4" t="str">
        <f>IFERROR(INDEX(样本到样信息汇总统计!Q$2:Q$500,MATCH(75,样本到样信息汇总统计!$Y$2:$Y$500,0)),"")</f>
        <v/>
      </c>
      <c r="R76" s="4" t="str">
        <f>IFERROR(INDEX(样本到样信息汇总统计!R$2:R$500,MATCH(75,样本到样信息汇总统计!$Y$2:$Y$500,0)),"")</f>
        <v/>
      </c>
      <c r="S76" s="4" t="str">
        <f>IFERROR(INDEX(样本到样信息汇总统计!S$2:S$500,MATCH(75,样本到样信息汇总统计!$Y$2:$Y$500,0)),"")</f>
        <v/>
      </c>
      <c r="T76" s="4" t="str">
        <f>IFERROR(INDEX(样本到样信息汇总统计!T$2:T$500,MATCH(75,样本到样信息汇总统计!$Y$2:$Y$500,0)),"")</f>
        <v/>
      </c>
      <c r="U76" s="4" t="str">
        <f>IFERROR(INDEX(样本到样信息汇总统计!U$2:U$500,MATCH(75,样本到样信息汇总统计!$Y$2:$Y$500,0)),"")</f>
        <v/>
      </c>
      <c r="V76" s="4" t="str">
        <f>IFERROR(INDEX(样本到样信息汇总统计!V$2:V$500,MATCH(75,样本到样信息汇总统计!$Y$2:$Y$500,0)),"")</f>
        <v/>
      </c>
      <c r="W76" s="4" t="str">
        <f>IFERROR(INDEX(样本到样信息汇总统计!W$2:W$500,MATCH(75,样本到样信息汇总统计!$Y$2:$Y$500,0)),"")</f>
        <v/>
      </c>
    </row>
    <row r="77" ht="14.5" spans="1:23">
      <c r="A77" s="8" t="str">
        <f>IFERROR(INDEX(样本到样信息汇总统计!A$2:A$500,MATCH(76,样本到样信息汇总统计!$Y$2:$Y$500,0)),"")</f>
        <v/>
      </c>
      <c r="B77" s="8" t="str">
        <f>IFERROR(INDEX(样本到样信息汇总统计!B$2:B$500,MATCH(76,样本到样信息汇总统计!$Y$2:$Y$500,0)),"")</f>
        <v/>
      </c>
      <c r="C77" s="8" t="str">
        <f>IFERROR(INDEX(样本到样信息汇总统计!C$2:C$500,MATCH(76,样本到样信息汇总统计!$Y$2:$Y$500,0)),"")</f>
        <v/>
      </c>
      <c r="D77" s="8" t="str">
        <f>IFERROR(INDEX(样本到样信息汇总统计!D$2:D$500,MATCH(76,样本到样信息汇总统计!$Y$2:$Y$500,0)),"")</f>
        <v/>
      </c>
      <c r="E77" s="8" t="str">
        <f>IFERROR(INDEX(样本到样信息汇总统计!E$2:E$500,MATCH(76,样本到样信息汇总统计!$Y$2:$Y$500,0)),"")</f>
        <v/>
      </c>
      <c r="F77" s="8" t="str">
        <f>IFERROR(INDEX(样本到样信息汇总统计!F$2:F$500,MATCH(76,样本到样信息汇总统计!$Y$2:$Y$500,0)),"")</f>
        <v/>
      </c>
      <c r="G77" s="8" t="str">
        <f>IFERROR(INDEX(样本到样信息汇总统计!G$2:G$500,MATCH(76,样本到样信息汇总统计!$Y$2:$Y$500,0)),"")</f>
        <v/>
      </c>
      <c r="H77" s="8" t="str">
        <f>IFERROR(INDEX(样本到样信息汇总统计!H$2:H$500,MATCH(76,样本到样信息汇总统计!$Y$2:$Y$500,0)),"")</f>
        <v/>
      </c>
      <c r="I77" s="8" t="str">
        <f>IFERROR(INDEX(样本到样信息汇总统计!I$2:I$500,MATCH(76,样本到样信息汇总统计!$Y$2:$Y$500,0)),"")</f>
        <v/>
      </c>
      <c r="J77" s="8" t="str">
        <f>IFERROR(INDEX(样本到样信息汇总统计!J$2:J$500,MATCH(76,样本到样信息汇总统计!$Y$2:$Y$500,0)),"")</f>
        <v/>
      </c>
      <c r="K77" s="8" t="str">
        <f>IFERROR(INDEX(样本到样信息汇总统计!K$2:K$500,MATCH(76,样本到样信息汇总统计!$Y$2:$Y$500,0)),"")</f>
        <v/>
      </c>
      <c r="L77" s="8" t="str">
        <f>IFERROR(INDEX(样本到样信息汇总统计!L$2:L$500,MATCH(76,样本到样信息汇总统计!$Y$2:$Y$500,0)),"")</f>
        <v/>
      </c>
      <c r="M77" s="8" t="str">
        <f>IFERROR(INDEX(样本到样信息汇总统计!M$2:M$500,MATCH(76,样本到样信息汇总统计!$Y$2:$Y$500,0)),"")</f>
        <v/>
      </c>
      <c r="N77" s="8" t="str">
        <f>IFERROR(INDEX(样本到样信息汇总统计!N$2:N$500,MATCH(76,样本到样信息汇总统计!$Y$2:$Y$500,0)),"")</f>
        <v/>
      </c>
      <c r="O77" s="8" t="str">
        <f>IFERROR(INDEX(样本到样信息汇总统计!O$2:O$500,MATCH(76,样本到样信息汇总统计!$Y$2:$Y$500,0)),"")</f>
        <v/>
      </c>
      <c r="P77" s="8" t="str">
        <f>IFERROR(INDEX(样本到样信息汇总统计!P$2:P$500,MATCH(76,样本到样信息汇总统计!$Y$2:$Y$500,0)),"")</f>
        <v/>
      </c>
      <c r="Q77" s="8" t="str">
        <f>IFERROR(INDEX(样本到样信息汇总统计!Q$2:Q$500,MATCH(76,样本到样信息汇总统计!$Y$2:$Y$500,0)),"")</f>
        <v/>
      </c>
      <c r="R77" s="8" t="str">
        <f>IFERROR(INDEX(样本到样信息汇总统计!R$2:R$500,MATCH(76,样本到样信息汇总统计!$Y$2:$Y$500,0)),"")</f>
        <v/>
      </c>
      <c r="S77" s="8" t="str">
        <f>IFERROR(INDEX(样本到样信息汇总统计!S$2:S$500,MATCH(76,样本到样信息汇总统计!$Y$2:$Y$500,0)),"")</f>
        <v/>
      </c>
      <c r="T77" s="8" t="str">
        <f>IFERROR(INDEX(样本到样信息汇总统计!T$2:T$500,MATCH(76,样本到样信息汇总统计!$Y$2:$Y$500,0)),"")</f>
        <v/>
      </c>
      <c r="U77" s="8" t="str">
        <f>IFERROR(INDEX(样本到样信息汇总统计!U$2:U$500,MATCH(76,样本到样信息汇总统计!$Y$2:$Y$500,0)),"")</f>
        <v/>
      </c>
      <c r="V77" s="8" t="str">
        <f>IFERROR(INDEX(样本到样信息汇总统计!V$2:V$500,MATCH(76,样本到样信息汇总统计!$Y$2:$Y$500,0)),"")</f>
        <v/>
      </c>
      <c r="W77" s="8" t="str">
        <f>IFERROR(INDEX(样本到样信息汇总统计!W$2:W$500,MATCH(76,样本到样信息汇总统计!$Y$2:$Y$500,0)),"")</f>
        <v/>
      </c>
    </row>
    <row r="78" ht="14.5" spans="1:23">
      <c r="A78" s="4" t="str">
        <f>IFERROR(INDEX(样本到样信息汇总统计!A$2:A$500,MATCH(77,样本到样信息汇总统计!$Y$2:$Y$500,0)),"")</f>
        <v/>
      </c>
      <c r="B78" s="4" t="str">
        <f>IFERROR(INDEX(样本到样信息汇总统计!B$2:B$500,MATCH(77,样本到样信息汇总统计!$Y$2:$Y$500,0)),"")</f>
        <v/>
      </c>
      <c r="C78" s="4" t="str">
        <f>IFERROR(INDEX(样本到样信息汇总统计!C$2:C$500,MATCH(77,样本到样信息汇总统计!$Y$2:$Y$500,0)),"")</f>
        <v/>
      </c>
      <c r="D78" s="4" t="str">
        <f>IFERROR(INDEX(样本到样信息汇总统计!D$2:D$500,MATCH(77,样本到样信息汇总统计!$Y$2:$Y$500,0)),"")</f>
        <v/>
      </c>
      <c r="E78" s="4" t="str">
        <f>IFERROR(INDEX(样本到样信息汇总统计!E$2:E$500,MATCH(77,样本到样信息汇总统计!$Y$2:$Y$500,0)),"")</f>
        <v/>
      </c>
      <c r="F78" s="4" t="str">
        <f>IFERROR(INDEX(样本到样信息汇总统计!F$2:F$500,MATCH(77,样本到样信息汇总统计!$Y$2:$Y$500,0)),"")</f>
        <v/>
      </c>
      <c r="G78" s="4" t="str">
        <f>IFERROR(INDEX(样本到样信息汇总统计!G$2:G$500,MATCH(77,样本到样信息汇总统计!$Y$2:$Y$500,0)),"")</f>
        <v/>
      </c>
      <c r="H78" s="4" t="str">
        <f>IFERROR(INDEX(样本到样信息汇总统计!H$2:H$500,MATCH(77,样本到样信息汇总统计!$Y$2:$Y$500,0)),"")</f>
        <v/>
      </c>
      <c r="I78" s="4" t="str">
        <f>IFERROR(INDEX(样本到样信息汇总统计!I$2:I$500,MATCH(77,样本到样信息汇总统计!$Y$2:$Y$500,0)),"")</f>
        <v/>
      </c>
      <c r="J78" s="4" t="str">
        <f>IFERROR(INDEX(样本到样信息汇总统计!J$2:J$500,MATCH(77,样本到样信息汇总统计!$Y$2:$Y$500,0)),"")</f>
        <v/>
      </c>
      <c r="K78" s="4" t="str">
        <f>IFERROR(INDEX(样本到样信息汇总统计!K$2:K$500,MATCH(77,样本到样信息汇总统计!$Y$2:$Y$500,0)),"")</f>
        <v/>
      </c>
      <c r="L78" s="4" t="str">
        <f>IFERROR(INDEX(样本到样信息汇总统计!L$2:L$500,MATCH(77,样本到样信息汇总统计!$Y$2:$Y$500,0)),"")</f>
        <v/>
      </c>
      <c r="M78" s="4" t="str">
        <f>IFERROR(INDEX(样本到样信息汇总统计!M$2:M$500,MATCH(77,样本到样信息汇总统计!$Y$2:$Y$500,0)),"")</f>
        <v/>
      </c>
      <c r="N78" s="4" t="str">
        <f>IFERROR(INDEX(样本到样信息汇总统计!N$2:N$500,MATCH(77,样本到样信息汇总统计!$Y$2:$Y$500,0)),"")</f>
        <v/>
      </c>
      <c r="O78" s="4" t="str">
        <f>IFERROR(INDEX(样本到样信息汇总统计!O$2:O$500,MATCH(77,样本到样信息汇总统计!$Y$2:$Y$500,0)),"")</f>
        <v/>
      </c>
      <c r="P78" s="4" t="str">
        <f>IFERROR(INDEX(样本到样信息汇总统计!P$2:P$500,MATCH(77,样本到样信息汇总统计!$Y$2:$Y$500,0)),"")</f>
        <v/>
      </c>
      <c r="Q78" s="4" t="str">
        <f>IFERROR(INDEX(样本到样信息汇总统计!Q$2:Q$500,MATCH(77,样本到样信息汇总统计!$Y$2:$Y$500,0)),"")</f>
        <v/>
      </c>
      <c r="R78" s="4" t="str">
        <f>IFERROR(INDEX(样本到样信息汇总统计!R$2:R$500,MATCH(77,样本到样信息汇总统计!$Y$2:$Y$500,0)),"")</f>
        <v/>
      </c>
      <c r="S78" s="4" t="str">
        <f>IFERROR(INDEX(样本到样信息汇总统计!S$2:S$500,MATCH(77,样本到样信息汇总统计!$Y$2:$Y$500,0)),"")</f>
        <v/>
      </c>
      <c r="T78" s="4" t="str">
        <f>IFERROR(INDEX(样本到样信息汇总统计!T$2:T$500,MATCH(77,样本到样信息汇总统计!$Y$2:$Y$500,0)),"")</f>
        <v/>
      </c>
      <c r="U78" s="4" t="str">
        <f>IFERROR(INDEX(样本到样信息汇总统计!U$2:U$500,MATCH(77,样本到样信息汇总统计!$Y$2:$Y$500,0)),"")</f>
        <v/>
      </c>
      <c r="V78" s="4" t="str">
        <f>IFERROR(INDEX(样本到样信息汇总统计!V$2:V$500,MATCH(77,样本到样信息汇总统计!$Y$2:$Y$500,0)),"")</f>
        <v/>
      </c>
      <c r="W78" s="4" t="str">
        <f>IFERROR(INDEX(样本到样信息汇总统计!W$2:W$500,MATCH(77,样本到样信息汇总统计!$Y$2:$Y$500,0)),"")</f>
        <v/>
      </c>
    </row>
    <row r="79" ht="14.5" spans="1:23">
      <c r="A79" s="8" t="str">
        <f>IFERROR(INDEX(样本到样信息汇总统计!A$2:A$500,MATCH(78,样本到样信息汇总统计!$Y$2:$Y$500,0)),"")</f>
        <v/>
      </c>
      <c r="B79" s="8" t="str">
        <f>IFERROR(INDEX(样本到样信息汇总统计!B$2:B$500,MATCH(78,样本到样信息汇总统计!$Y$2:$Y$500,0)),"")</f>
        <v/>
      </c>
      <c r="C79" s="8" t="str">
        <f>IFERROR(INDEX(样本到样信息汇总统计!C$2:C$500,MATCH(78,样本到样信息汇总统计!$Y$2:$Y$500,0)),"")</f>
        <v/>
      </c>
      <c r="D79" s="8" t="str">
        <f>IFERROR(INDEX(样本到样信息汇总统计!D$2:D$500,MATCH(78,样本到样信息汇总统计!$Y$2:$Y$500,0)),"")</f>
        <v/>
      </c>
      <c r="E79" s="8" t="str">
        <f>IFERROR(INDEX(样本到样信息汇总统计!E$2:E$500,MATCH(78,样本到样信息汇总统计!$Y$2:$Y$500,0)),"")</f>
        <v/>
      </c>
      <c r="F79" s="8" t="str">
        <f>IFERROR(INDEX(样本到样信息汇总统计!F$2:F$500,MATCH(78,样本到样信息汇总统计!$Y$2:$Y$500,0)),"")</f>
        <v/>
      </c>
      <c r="G79" s="8" t="str">
        <f>IFERROR(INDEX(样本到样信息汇总统计!G$2:G$500,MATCH(78,样本到样信息汇总统计!$Y$2:$Y$500,0)),"")</f>
        <v/>
      </c>
      <c r="H79" s="8" t="str">
        <f>IFERROR(INDEX(样本到样信息汇总统计!H$2:H$500,MATCH(78,样本到样信息汇总统计!$Y$2:$Y$500,0)),"")</f>
        <v/>
      </c>
      <c r="I79" s="8" t="str">
        <f>IFERROR(INDEX(样本到样信息汇总统计!I$2:I$500,MATCH(78,样本到样信息汇总统计!$Y$2:$Y$500,0)),"")</f>
        <v/>
      </c>
      <c r="J79" s="8" t="str">
        <f>IFERROR(INDEX(样本到样信息汇总统计!J$2:J$500,MATCH(78,样本到样信息汇总统计!$Y$2:$Y$500,0)),"")</f>
        <v/>
      </c>
      <c r="K79" s="8" t="str">
        <f>IFERROR(INDEX(样本到样信息汇总统计!K$2:K$500,MATCH(78,样本到样信息汇总统计!$Y$2:$Y$500,0)),"")</f>
        <v/>
      </c>
      <c r="L79" s="8" t="str">
        <f>IFERROR(INDEX(样本到样信息汇总统计!L$2:L$500,MATCH(78,样本到样信息汇总统计!$Y$2:$Y$500,0)),"")</f>
        <v/>
      </c>
      <c r="M79" s="8" t="str">
        <f>IFERROR(INDEX(样本到样信息汇总统计!M$2:M$500,MATCH(78,样本到样信息汇总统计!$Y$2:$Y$500,0)),"")</f>
        <v/>
      </c>
      <c r="N79" s="8" t="str">
        <f>IFERROR(INDEX(样本到样信息汇总统计!N$2:N$500,MATCH(78,样本到样信息汇总统计!$Y$2:$Y$500,0)),"")</f>
        <v/>
      </c>
      <c r="O79" s="8" t="str">
        <f>IFERROR(INDEX(样本到样信息汇总统计!O$2:O$500,MATCH(78,样本到样信息汇总统计!$Y$2:$Y$500,0)),"")</f>
        <v/>
      </c>
      <c r="P79" s="8" t="str">
        <f>IFERROR(INDEX(样本到样信息汇总统计!P$2:P$500,MATCH(78,样本到样信息汇总统计!$Y$2:$Y$500,0)),"")</f>
        <v/>
      </c>
      <c r="Q79" s="8" t="str">
        <f>IFERROR(INDEX(样本到样信息汇总统计!Q$2:Q$500,MATCH(78,样本到样信息汇总统计!$Y$2:$Y$500,0)),"")</f>
        <v/>
      </c>
      <c r="R79" s="8" t="str">
        <f>IFERROR(INDEX(样本到样信息汇总统计!R$2:R$500,MATCH(78,样本到样信息汇总统计!$Y$2:$Y$500,0)),"")</f>
        <v/>
      </c>
      <c r="S79" s="8" t="str">
        <f>IFERROR(INDEX(样本到样信息汇总统计!S$2:S$500,MATCH(78,样本到样信息汇总统计!$Y$2:$Y$500,0)),"")</f>
        <v/>
      </c>
      <c r="T79" s="8" t="str">
        <f>IFERROR(INDEX(样本到样信息汇总统计!T$2:T$500,MATCH(78,样本到样信息汇总统计!$Y$2:$Y$500,0)),"")</f>
        <v/>
      </c>
      <c r="U79" s="8" t="str">
        <f>IFERROR(INDEX(样本到样信息汇总统计!U$2:U$500,MATCH(78,样本到样信息汇总统计!$Y$2:$Y$500,0)),"")</f>
        <v/>
      </c>
      <c r="V79" s="8" t="str">
        <f>IFERROR(INDEX(样本到样信息汇总统计!V$2:V$500,MATCH(78,样本到样信息汇总统计!$Y$2:$Y$500,0)),"")</f>
        <v/>
      </c>
      <c r="W79" s="8" t="str">
        <f>IFERROR(INDEX(样本到样信息汇总统计!W$2:W$500,MATCH(78,样本到样信息汇总统计!$Y$2:$Y$500,0)),"")</f>
        <v/>
      </c>
    </row>
    <row r="80" ht="14.5" spans="1:23">
      <c r="A80" s="4" t="str">
        <f>IFERROR(INDEX(样本到样信息汇总统计!A$2:A$500,MATCH(79,样本到样信息汇总统计!$Y$2:$Y$500,0)),"")</f>
        <v/>
      </c>
      <c r="B80" s="4" t="str">
        <f>IFERROR(INDEX(样本到样信息汇总统计!B$2:B$500,MATCH(79,样本到样信息汇总统计!$Y$2:$Y$500,0)),"")</f>
        <v/>
      </c>
      <c r="C80" s="4" t="str">
        <f>IFERROR(INDEX(样本到样信息汇总统计!C$2:C$500,MATCH(79,样本到样信息汇总统计!$Y$2:$Y$500,0)),"")</f>
        <v/>
      </c>
      <c r="D80" s="4" t="str">
        <f>IFERROR(INDEX(样本到样信息汇总统计!D$2:D$500,MATCH(79,样本到样信息汇总统计!$Y$2:$Y$500,0)),"")</f>
        <v/>
      </c>
      <c r="E80" s="4" t="str">
        <f>IFERROR(INDEX(样本到样信息汇总统计!E$2:E$500,MATCH(79,样本到样信息汇总统计!$Y$2:$Y$500,0)),"")</f>
        <v/>
      </c>
      <c r="F80" s="4" t="str">
        <f>IFERROR(INDEX(样本到样信息汇总统计!F$2:F$500,MATCH(79,样本到样信息汇总统计!$Y$2:$Y$500,0)),"")</f>
        <v/>
      </c>
      <c r="G80" s="4" t="str">
        <f>IFERROR(INDEX(样本到样信息汇总统计!G$2:G$500,MATCH(79,样本到样信息汇总统计!$Y$2:$Y$500,0)),"")</f>
        <v/>
      </c>
      <c r="H80" s="4" t="str">
        <f>IFERROR(INDEX(样本到样信息汇总统计!H$2:H$500,MATCH(79,样本到样信息汇总统计!$Y$2:$Y$500,0)),"")</f>
        <v/>
      </c>
      <c r="I80" s="4" t="str">
        <f>IFERROR(INDEX(样本到样信息汇总统计!I$2:I$500,MATCH(79,样本到样信息汇总统计!$Y$2:$Y$500,0)),"")</f>
        <v/>
      </c>
      <c r="J80" s="4" t="str">
        <f>IFERROR(INDEX(样本到样信息汇总统计!J$2:J$500,MATCH(79,样本到样信息汇总统计!$Y$2:$Y$500,0)),"")</f>
        <v/>
      </c>
      <c r="K80" s="4" t="str">
        <f>IFERROR(INDEX(样本到样信息汇总统计!K$2:K$500,MATCH(79,样本到样信息汇总统计!$Y$2:$Y$500,0)),"")</f>
        <v/>
      </c>
      <c r="L80" s="4" t="str">
        <f>IFERROR(INDEX(样本到样信息汇总统计!L$2:L$500,MATCH(79,样本到样信息汇总统计!$Y$2:$Y$500,0)),"")</f>
        <v/>
      </c>
      <c r="M80" s="4" t="str">
        <f>IFERROR(INDEX(样本到样信息汇总统计!M$2:M$500,MATCH(79,样本到样信息汇总统计!$Y$2:$Y$500,0)),"")</f>
        <v/>
      </c>
      <c r="N80" s="4" t="str">
        <f>IFERROR(INDEX(样本到样信息汇总统计!N$2:N$500,MATCH(79,样本到样信息汇总统计!$Y$2:$Y$500,0)),"")</f>
        <v/>
      </c>
      <c r="O80" s="4" t="str">
        <f>IFERROR(INDEX(样本到样信息汇总统计!O$2:O$500,MATCH(79,样本到样信息汇总统计!$Y$2:$Y$500,0)),"")</f>
        <v/>
      </c>
      <c r="P80" s="4" t="str">
        <f>IFERROR(INDEX(样本到样信息汇总统计!P$2:P$500,MATCH(79,样本到样信息汇总统计!$Y$2:$Y$500,0)),"")</f>
        <v/>
      </c>
      <c r="Q80" s="4" t="str">
        <f>IFERROR(INDEX(样本到样信息汇总统计!Q$2:Q$500,MATCH(79,样本到样信息汇总统计!$Y$2:$Y$500,0)),"")</f>
        <v/>
      </c>
      <c r="R80" s="4" t="str">
        <f>IFERROR(INDEX(样本到样信息汇总统计!R$2:R$500,MATCH(79,样本到样信息汇总统计!$Y$2:$Y$500,0)),"")</f>
        <v/>
      </c>
      <c r="S80" s="4" t="str">
        <f>IFERROR(INDEX(样本到样信息汇总统计!S$2:S$500,MATCH(79,样本到样信息汇总统计!$Y$2:$Y$500,0)),"")</f>
        <v/>
      </c>
      <c r="T80" s="4" t="str">
        <f>IFERROR(INDEX(样本到样信息汇总统计!T$2:T$500,MATCH(79,样本到样信息汇总统计!$Y$2:$Y$500,0)),"")</f>
        <v/>
      </c>
      <c r="U80" s="4" t="str">
        <f>IFERROR(INDEX(样本到样信息汇总统计!U$2:U$500,MATCH(79,样本到样信息汇总统计!$Y$2:$Y$500,0)),"")</f>
        <v/>
      </c>
      <c r="V80" s="4" t="str">
        <f>IFERROR(INDEX(样本到样信息汇总统计!V$2:V$500,MATCH(79,样本到样信息汇总统计!$Y$2:$Y$500,0)),"")</f>
        <v/>
      </c>
      <c r="W80" s="4" t="str">
        <f>IFERROR(INDEX(样本到样信息汇总统计!W$2:W$500,MATCH(79,样本到样信息汇总统计!$Y$2:$Y$500,0)),"")</f>
        <v/>
      </c>
    </row>
    <row r="81" ht="14.5" spans="1:23">
      <c r="A81" s="8" t="str">
        <f>IFERROR(INDEX(样本到样信息汇总统计!A$2:A$500,MATCH(80,样本到样信息汇总统计!$Y$2:$Y$500,0)),"")</f>
        <v/>
      </c>
      <c r="B81" s="8" t="str">
        <f>IFERROR(INDEX(样本到样信息汇总统计!B$2:B$500,MATCH(80,样本到样信息汇总统计!$Y$2:$Y$500,0)),"")</f>
        <v/>
      </c>
      <c r="C81" s="8" t="str">
        <f>IFERROR(INDEX(样本到样信息汇总统计!C$2:C$500,MATCH(80,样本到样信息汇总统计!$Y$2:$Y$500,0)),"")</f>
        <v/>
      </c>
      <c r="D81" s="8" t="str">
        <f>IFERROR(INDEX(样本到样信息汇总统计!D$2:D$500,MATCH(80,样本到样信息汇总统计!$Y$2:$Y$500,0)),"")</f>
        <v/>
      </c>
      <c r="E81" s="8" t="str">
        <f>IFERROR(INDEX(样本到样信息汇总统计!E$2:E$500,MATCH(80,样本到样信息汇总统计!$Y$2:$Y$500,0)),"")</f>
        <v/>
      </c>
      <c r="F81" s="8" t="str">
        <f>IFERROR(INDEX(样本到样信息汇总统计!F$2:F$500,MATCH(80,样本到样信息汇总统计!$Y$2:$Y$500,0)),"")</f>
        <v/>
      </c>
      <c r="G81" s="8" t="str">
        <f>IFERROR(INDEX(样本到样信息汇总统计!G$2:G$500,MATCH(80,样本到样信息汇总统计!$Y$2:$Y$500,0)),"")</f>
        <v/>
      </c>
      <c r="H81" s="8" t="str">
        <f>IFERROR(INDEX(样本到样信息汇总统计!H$2:H$500,MATCH(80,样本到样信息汇总统计!$Y$2:$Y$500,0)),"")</f>
        <v/>
      </c>
      <c r="I81" s="8" t="str">
        <f>IFERROR(INDEX(样本到样信息汇总统计!I$2:I$500,MATCH(80,样本到样信息汇总统计!$Y$2:$Y$500,0)),"")</f>
        <v/>
      </c>
      <c r="J81" s="8" t="str">
        <f>IFERROR(INDEX(样本到样信息汇总统计!J$2:J$500,MATCH(80,样本到样信息汇总统计!$Y$2:$Y$500,0)),"")</f>
        <v/>
      </c>
      <c r="K81" s="8" t="str">
        <f>IFERROR(INDEX(样本到样信息汇总统计!K$2:K$500,MATCH(80,样本到样信息汇总统计!$Y$2:$Y$500,0)),"")</f>
        <v/>
      </c>
      <c r="L81" s="8" t="str">
        <f>IFERROR(INDEX(样本到样信息汇总统计!L$2:L$500,MATCH(80,样本到样信息汇总统计!$Y$2:$Y$500,0)),"")</f>
        <v/>
      </c>
      <c r="M81" s="8" t="str">
        <f>IFERROR(INDEX(样本到样信息汇总统计!M$2:M$500,MATCH(80,样本到样信息汇总统计!$Y$2:$Y$500,0)),"")</f>
        <v/>
      </c>
      <c r="N81" s="8" t="str">
        <f>IFERROR(INDEX(样本到样信息汇总统计!N$2:N$500,MATCH(80,样本到样信息汇总统计!$Y$2:$Y$500,0)),"")</f>
        <v/>
      </c>
      <c r="O81" s="8" t="str">
        <f>IFERROR(INDEX(样本到样信息汇总统计!O$2:O$500,MATCH(80,样本到样信息汇总统计!$Y$2:$Y$500,0)),"")</f>
        <v/>
      </c>
      <c r="P81" s="8" t="str">
        <f>IFERROR(INDEX(样本到样信息汇总统计!P$2:P$500,MATCH(80,样本到样信息汇总统计!$Y$2:$Y$500,0)),"")</f>
        <v/>
      </c>
      <c r="Q81" s="8" t="str">
        <f>IFERROR(INDEX(样本到样信息汇总统计!Q$2:Q$500,MATCH(80,样本到样信息汇总统计!$Y$2:$Y$500,0)),"")</f>
        <v/>
      </c>
      <c r="R81" s="8" t="str">
        <f>IFERROR(INDEX(样本到样信息汇总统计!R$2:R$500,MATCH(80,样本到样信息汇总统计!$Y$2:$Y$500,0)),"")</f>
        <v/>
      </c>
      <c r="S81" s="8" t="str">
        <f>IFERROR(INDEX(样本到样信息汇总统计!S$2:S$500,MATCH(80,样本到样信息汇总统计!$Y$2:$Y$500,0)),"")</f>
        <v/>
      </c>
      <c r="T81" s="8" t="str">
        <f>IFERROR(INDEX(样本到样信息汇总统计!T$2:T$500,MATCH(80,样本到样信息汇总统计!$Y$2:$Y$500,0)),"")</f>
        <v/>
      </c>
      <c r="U81" s="8" t="str">
        <f>IFERROR(INDEX(样本到样信息汇总统计!U$2:U$500,MATCH(80,样本到样信息汇总统计!$Y$2:$Y$500,0)),"")</f>
        <v/>
      </c>
      <c r="V81" s="8" t="str">
        <f>IFERROR(INDEX(样本到样信息汇总统计!V$2:V$500,MATCH(80,样本到样信息汇总统计!$Y$2:$Y$500,0)),"")</f>
        <v/>
      </c>
      <c r="W81" s="8" t="str">
        <f>IFERROR(INDEX(样本到样信息汇总统计!W$2:W$500,MATCH(80,样本到样信息汇总统计!$Y$2:$Y$500,0)),"")</f>
        <v/>
      </c>
    </row>
    <row r="82" ht="14.5" spans="1:23">
      <c r="A82" s="4" t="str">
        <f>IFERROR(INDEX(样本到样信息汇总统计!A$2:A$500,MATCH(81,样本到样信息汇总统计!$Y$2:$Y$500,0)),"")</f>
        <v/>
      </c>
      <c r="B82" s="4" t="str">
        <f>IFERROR(INDEX(样本到样信息汇总统计!B$2:B$500,MATCH(81,样本到样信息汇总统计!$Y$2:$Y$500,0)),"")</f>
        <v/>
      </c>
      <c r="C82" s="4" t="str">
        <f>IFERROR(INDEX(样本到样信息汇总统计!C$2:C$500,MATCH(81,样本到样信息汇总统计!$Y$2:$Y$500,0)),"")</f>
        <v/>
      </c>
      <c r="D82" s="4" t="str">
        <f>IFERROR(INDEX(样本到样信息汇总统计!D$2:D$500,MATCH(81,样本到样信息汇总统计!$Y$2:$Y$500,0)),"")</f>
        <v/>
      </c>
      <c r="E82" s="4" t="str">
        <f>IFERROR(INDEX(样本到样信息汇总统计!E$2:E$500,MATCH(81,样本到样信息汇总统计!$Y$2:$Y$500,0)),"")</f>
        <v/>
      </c>
      <c r="F82" s="4" t="str">
        <f>IFERROR(INDEX(样本到样信息汇总统计!F$2:F$500,MATCH(81,样本到样信息汇总统计!$Y$2:$Y$500,0)),"")</f>
        <v/>
      </c>
      <c r="G82" s="4" t="str">
        <f>IFERROR(INDEX(样本到样信息汇总统计!G$2:G$500,MATCH(81,样本到样信息汇总统计!$Y$2:$Y$500,0)),"")</f>
        <v/>
      </c>
      <c r="H82" s="4" t="str">
        <f>IFERROR(INDEX(样本到样信息汇总统计!H$2:H$500,MATCH(81,样本到样信息汇总统计!$Y$2:$Y$500,0)),"")</f>
        <v/>
      </c>
      <c r="I82" s="4" t="str">
        <f>IFERROR(INDEX(样本到样信息汇总统计!I$2:I$500,MATCH(81,样本到样信息汇总统计!$Y$2:$Y$500,0)),"")</f>
        <v/>
      </c>
      <c r="J82" s="4" t="str">
        <f>IFERROR(INDEX(样本到样信息汇总统计!J$2:J$500,MATCH(81,样本到样信息汇总统计!$Y$2:$Y$500,0)),"")</f>
        <v/>
      </c>
      <c r="K82" s="4" t="str">
        <f>IFERROR(INDEX(样本到样信息汇总统计!K$2:K$500,MATCH(81,样本到样信息汇总统计!$Y$2:$Y$500,0)),"")</f>
        <v/>
      </c>
      <c r="L82" s="4" t="str">
        <f>IFERROR(INDEX(样本到样信息汇总统计!L$2:L$500,MATCH(81,样本到样信息汇总统计!$Y$2:$Y$500,0)),"")</f>
        <v/>
      </c>
      <c r="M82" s="4" t="str">
        <f>IFERROR(INDEX(样本到样信息汇总统计!M$2:M$500,MATCH(81,样本到样信息汇总统计!$Y$2:$Y$500,0)),"")</f>
        <v/>
      </c>
      <c r="N82" s="4" t="str">
        <f>IFERROR(INDEX(样本到样信息汇总统计!N$2:N$500,MATCH(81,样本到样信息汇总统计!$Y$2:$Y$500,0)),"")</f>
        <v/>
      </c>
      <c r="O82" s="4" t="str">
        <f>IFERROR(INDEX(样本到样信息汇总统计!O$2:O$500,MATCH(81,样本到样信息汇总统计!$Y$2:$Y$500,0)),"")</f>
        <v/>
      </c>
      <c r="P82" s="4" t="str">
        <f>IFERROR(INDEX(样本到样信息汇总统计!P$2:P$500,MATCH(81,样本到样信息汇总统计!$Y$2:$Y$500,0)),"")</f>
        <v/>
      </c>
      <c r="Q82" s="4" t="str">
        <f>IFERROR(INDEX(样本到样信息汇总统计!Q$2:Q$500,MATCH(81,样本到样信息汇总统计!$Y$2:$Y$500,0)),"")</f>
        <v/>
      </c>
      <c r="R82" s="4" t="str">
        <f>IFERROR(INDEX(样本到样信息汇总统计!R$2:R$500,MATCH(81,样本到样信息汇总统计!$Y$2:$Y$500,0)),"")</f>
        <v/>
      </c>
      <c r="S82" s="4" t="str">
        <f>IFERROR(INDEX(样本到样信息汇总统计!S$2:S$500,MATCH(81,样本到样信息汇总统计!$Y$2:$Y$500,0)),"")</f>
        <v/>
      </c>
      <c r="T82" s="4" t="str">
        <f>IFERROR(INDEX(样本到样信息汇总统计!T$2:T$500,MATCH(81,样本到样信息汇总统计!$Y$2:$Y$500,0)),"")</f>
        <v/>
      </c>
      <c r="U82" s="4" t="str">
        <f>IFERROR(INDEX(样本到样信息汇总统计!U$2:U$500,MATCH(81,样本到样信息汇总统计!$Y$2:$Y$500,0)),"")</f>
        <v/>
      </c>
      <c r="V82" s="4" t="str">
        <f>IFERROR(INDEX(样本到样信息汇总统计!V$2:V$500,MATCH(81,样本到样信息汇总统计!$Y$2:$Y$500,0)),"")</f>
        <v/>
      </c>
      <c r="W82" s="4" t="str">
        <f>IFERROR(INDEX(样本到样信息汇总统计!W$2:W$500,MATCH(81,样本到样信息汇总统计!$Y$2:$Y$500,0)),"")</f>
        <v/>
      </c>
    </row>
    <row r="83" ht="14.5" spans="1:23">
      <c r="A83" s="8" t="str">
        <f>IFERROR(INDEX(样本到样信息汇总统计!A$2:A$500,MATCH(82,样本到样信息汇总统计!$Y$2:$Y$500,0)),"")</f>
        <v/>
      </c>
      <c r="B83" s="8" t="str">
        <f>IFERROR(INDEX(样本到样信息汇总统计!B$2:B$500,MATCH(82,样本到样信息汇总统计!$Y$2:$Y$500,0)),"")</f>
        <v/>
      </c>
      <c r="C83" s="8" t="str">
        <f>IFERROR(INDEX(样本到样信息汇总统计!C$2:C$500,MATCH(82,样本到样信息汇总统计!$Y$2:$Y$500,0)),"")</f>
        <v/>
      </c>
      <c r="D83" s="8" t="str">
        <f>IFERROR(INDEX(样本到样信息汇总统计!D$2:D$500,MATCH(82,样本到样信息汇总统计!$Y$2:$Y$500,0)),"")</f>
        <v/>
      </c>
      <c r="E83" s="8" t="str">
        <f>IFERROR(INDEX(样本到样信息汇总统计!E$2:E$500,MATCH(82,样本到样信息汇总统计!$Y$2:$Y$500,0)),"")</f>
        <v/>
      </c>
      <c r="F83" s="8" t="str">
        <f>IFERROR(INDEX(样本到样信息汇总统计!F$2:F$500,MATCH(82,样本到样信息汇总统计!$Y$2:$Y$500,0)),"")</f>
        <v/>
      </c>
      <c r="G83" s="8" t="str">
        <f>IFERROR(INDEX(样本到样信息汇总统计!G$2:G$500,MATCH(82,样本到样信息汇总统计!$Y$2:$Y$500,0)),"")</f>
        <v/>
      </c>
      <c r="H83" s="8" t="str">
        <f>IFERROR(INDEX(样本到样信息汇总统计!H$2:H$500,MATCH(82,样本到样信息汇总统计!$Y$2:$Y$500,0)),"")</f>
        <v/>
      </c>
      <c r="I83" s="8" t="str">
        <f>IFERROR(INDEX(样本到样信息汇总统计!I$2:I$500,MATCH(82,样本到样信息汇总统计!$Y$2:$Y$500,0)),"")</f>
        <v/>
      </c>
      <c r="J83" s="8" t="str">
        <f>IFERROR(INDEX(样本到样信息汇总统计!J$2:J$500,MATCH(82,样本到样信息汇总统计!$Y$2:$Y$500,0)),"")</f>
        <v/>
      </c>
      <c r="K83" s="8" t="str">
        <f>IFERROR(INDEX(样本到样信息汇总统计!K$2:K$500,MATCH(82,样本到样信息汇总统计!$Y$2:$Y$500,0)),"")</f>
        <v/>
      </c>
      <c r="L83" s="8" t="str">
        <f>IFERROR(INDEX(样本到样信息汇总统计!L$2:L$500,MATCH(82,样本到样信息汇总统计!$Y$2:$Y$500,0)),"")</f>
        <v/>
      </c>
      <c r="M83" s="8" t="str">
        <f>IFERROR(INDEX(样本到样信息汇总统计!M$2:M$500,MATCH(82,样本到样信息汇总统计!$Y$2:$Y$500,0)),"")</f>
        <v/>
      </c>
      <c r="N83" s="8" t="str">
        <f>IFERROR(INDEX(样本到样信息汇总统计!N$2:N$500,MATCH(82,样本到样信息汇总统计!$Y$2:$Y$500,0)),"")</f>
        <v/>
      </c>
      <c r="O83" s="8" t="str">
        <f>IFERROR(INDEX(样本到样信息汇总统计!O$2:O$500,MATCH(82,样本到样信息汇总统计!$Y$2:$Y$500,0)),"")</f>
        <v/>
      </c>
      <c r="P83" s="8" t="str">
        <f>IFERROR(INDEX(样本到样信息汇总统计!P$2:P$500,MATCH(82,样本到样信息汇总统计!$Y$2:$Y$500,0)),"")</f>
        <v/>
      </c>
      <c r="Q83" s="8" t="str">
        <f>IFERROR(INDEX(样本到样信息汇总统计!Q$2:Q$500,MATCH(82,样本到样信息汇总统计!$Y$2:$Y$500,0)),"")</f>
        <v/>
      </c>
      <c r="R83" s="8" t="str">
        <f>IFERROR(INDEX(样本到样信息汇总统计!R$2:R$500,MATCH(82,样本到样信息汇总统计!$Y$2:$Y$500,0)),"")</f>
        <v/>
      </c>
      <c r="S83" s="8" t="str">
        <f>IFERROR(INDEX(样本到样信息汇总统计!S$2:S$500,MATCH(82,样本到样信息汇总统计!$Y$2:$Y$500,0)),"")</f>
        <v/>
      </c>
      <c r="T83" s="8" t="str">
        <f>IFERROR(INDEX(样本到样信息汇总统计!T$2:T$500,MATCH(82,样本到样信息汇总统计!$Y$2:$Y$500,0)),"")</f>
        <v/>
      </c>
      <c r="U83" s="8" t="str">
        <f>IFERROR(INDEX(样本到样信息汇总统计!U$2:U$500,MATCH(82,样本到样信息汇总统计!$Y$2:$Y$500,0)),"")</f>
        <v/>
      </c>
      <c r="V83" s="8" t="str">
        <f>IFERROR(INDEX(样本到样信息汇总统计!V$2:V$500,MATCH(82,样本到样信息汇总统计!$Y$2:$Y$500,0)),"")</f>
        <v/>
      </c>
      <c r="W83" s="8" t="str">
        <f>IFERROR(INDEX(样本到样信息汇总统计!W$2:W$500,MATCH(82,样本到样信息汇总统计!$Y$2:$Y$500,0)),"")</f>
        <v/>
      </c>
    </row>
    <row r="84" ht="14.5" spans="1:23">
      <c r="A84" s="4" t="str">
        <f>IFERROR(INDEX(样本到样信息汇总统计!A$2:A$500,MATCH(83,样本到样信息汇总统计!$Y$2:$Y$500,0)),"")</f>
        <v/>
      </c>
      <c r="B84" s="4" t="str">
        <f>IFERROR(INDEX(样本到样信息汇总统计!B$2:B$500,MATCH(83,样本到样信息汇总统计!$Y$2:$Y$500,0)),"")</f>
        <v/>
      </c>
      <c r="C84" s="4" t="str">
        <f>IFERROR(INDEX(样本到样信息汇总统计!C$2:C$500,MATCH(83,样本到样信息汇总统计!$Y$2:$Y$500,0)),"")</f>
        <v/>
      </c>
      <c r="D84" s="4" t="str">
        <f>IFERROR(INDEX(样本到样信息汇总统计!D$2:D$500,MATCH(83,样本到样信息汇总统计!$Y$2:$Y$500,0)),"")</f>
        <v/>
      </c>
      <c r="E84" s="4" t="str">
        <f>IFERROR(INDEX(样本到样信息汇总统计!E$2:E$500,MATCH(83,样本到样信息汇总统计!$Y$2:$Y$500,0)),"")</f>
        <v/>
      </c>
      <c r="F84" s="4" t="str">
        <f>IFERROR(INDEX(样本到样信息汇总统计!F$2:F$500,MATCH(83,样本到样信息汇总统计!$Y$2:$Y$500,0)),"")</f>
        <v/>
      </c>
      <c r="G84" s="4" t="str">
        <f>IFERROR(INDEX(样本到样信息汇总统计!G$2:G$500,MATCH(83,样本到样信息汇总统计!$Y$2:$Y$500,0)),"")</f>
        <v/>
      </c>
      <c r="H84" s="4" t="str">
        <f>IFERROR(INDEX(样本到样信息汇总统计!H$2:H$500,MATCH(83,样本到样信息汇总统计!$Y$2:$Y$500,0)),"")</f>
        <v/>
      </c>
      <c r="I84" s="4" t="str">
        <f>IFERROR(INDEX(样本到样信息汇总统计!I$2:I$500,MATCH(83,样本到样信息汇总统计!$Y$2:$Y$500,0)),"")</f>
        <v/>
      </c>
      <c r="J84" s="4" t="str">
        <f>IFERROR(INDEX(样本到样信息汇总统计!J$2:J$500,MATCH(83,样本到样信息汇总统计!$Y$2:$Y$500,0)),"")</f>
        <v/>
      </c>
      <c r="K84" s="4" t="str">
        <f>IFERROR(INDEX(样本到样信息汇总统计!K$2:K$500,MATCH(83,样本到样信息汇总统计!$Y$2:$Y$500,0)),"")</f>
        <v/>
      </c>
      <c r="L84" s="4" t="str">
        <f>IFERROR(INDEX(样本到样信息汇总统计!L$2:L$500,MATCH(83,样本到样信息汇总统计!$Y$2:$Y$500,0)),"")</f>
        <v/>
      </c>
      <c r="M84" s="4" t="str">
        <f>IFERROR(INDEX(样本到样信息汇总统计!M$2:M$500,MATCH(83,样本到样信息汇总统计!$Y$2:$Y$500,0)),"")</f>
        <v/>
      </c>
      <c r="N84" s="4" t="str">
        <f>IFERROR(INDEX(样本到样信息汇总统计!N$2:N$500,MATCH(83,样本到样信息汇总统计!$Y$2:$Y$500,0)),"")</f>
        <v/>
      </c>
      <c r="O84" s="4" t="str">
        <f>IFERROR(INDEX(样本到样信息汇总统计!O$2:O$500,MATCH(83,样本到样信息汇总统计!$Y$2:$Y$500,0)),"")</f>
        <v/>
      </c>
      <c r="P84" s="4" t="str">
        <f>IFERROR(INDEX(样本到样信息汇总统计!P$2:P$500,MATCH(83,样本到样信息汇总统计!$Y$2:$Y$500,0)),"")</f>
        <v/>
      </c>
      <c r="Q84" s="4" t="str">
        <f>IFERROR(INDEX(样本到样信息汇总统计!Q$2:Q$500,MATCH(83,样本到样信息汇总统计!$Y$2:$Y$500,0)),"")</f>
        <v/>
      </c>
      <c r="R84" s="4" t="str">
        <f>IFERROR(INDEX(样本到样信息汇总统计!R$2:R$500,MATCH(83,样本到样信息汇总统计!$Y$2:$Y$500,0)),"")</f>
        <v/>
      </c>
      <c r="S84" s="4" t="str">
        <f>IFERROR(INDEX(样本到样信息汇总统计!S$2:S$500,MATCH(83,样本到样信息汇总统计!$Y$2:$Y$500,0)),"")</f>
        <v/>
      </c>
      <c r="T84" s="4" t="str">
        <f>IFERROR(INDEX(样本到样信息汇总统计!T$2:T$500,MATCH(83,样本到样信息汇总统计!$Y$2:$Y$500,0)),"")</f>
        <v/>
      </c>
      <c r="U84" s="4" t="str">
        <f>IFERROR(INDEX(样本到样信息汇总统计!U$2:U$500,MATCH(83,样本到样信息汇总统计!$Y$2:$Y$500,0)),"")</f>
        <v/>
      </c>
      <c r="V84" s="4" t="str">
        <f>IFERROR(INDEX(样本到样信息汇总统计!V$2:V$500,MATCH(83,样本到样信息汇总统计!$Y$2:$Y$500,0)),"")</f>
        <v/>
      </c>
      <c r="W84" s="4" t="str">
        <f>IFERROR(INDEX(样本到样信息汇总统计!W$2:W$500,MATCH(83,样本到样信息汇总统计!$Y$2:$Y$500,0)),"")</f>
        <v/>
      </c>
    </row>
    <row r="85" ht="14.5" spans="1:23">
      <c r="A85" s="8" t="str">
        <f>IFERROR(INDEX(样本到样信息汇总统计!A$2:A$500,MATCH(84,样本到样信息汇总统计!$Y$2:$Y$500,0)),"")</f>
        <v/>
      </c>
      <c r="B85" s="8" t="str">
        <f>IFERROR(INDEX(样本到样信息汇总统计!B$2:B$500,MATCH(84,样本到样信息汇总统计!$Y$2:$Y$500,0)),"")</f>
        <v/>
      </c>
      <c r="C85" s="8" t="str">
        <f>IFERROR(INDEX(样本到样信息汇总统计!C$2:C$500,MATCH(84,样本到样信息汇总统计!$Y$2:$Y$500,0)),"")</f>
        <v/>
      </c>
      <c r="D85" s="8" t="str">
        <f>IFERROR(INDEX(样本到样信息汇总统计!D$2:D$500,MATCH(84,样本到样信息汇总统计!$Y$2:$Y$500,0)),"")</f>
        <v/>
      </c>
      <c r="E85" s="8" t="str">
        <f>IFERROR(INDEX(样本到样信息汇总统计!E$2:E$500,MATCH(84,样本到样信息汇总统计!$Y$2:$Y$500,0)),"")</f>
        <v/>
      </c>
      <c r="F85" s="8" t="str">
        <f>IFERROR(INDEX(样本到样信息汇总统计!F$2:F$500,MATCH(84,样本到样信息汇总统计!$Y$2:$Y$500,0)),"")</f>
        <v/>
      </c>
      <c r="G85" s="8" t="str">
        <f>IFERROR(INDEX(样本到样信息汇总统计!G$2:G$500,MATCH(84,样本到样信息汇总统计!$Y$2:$Y$500,0)),"")</f>
        <v/>
      </c>
      <c r="H85" s="8" t="str">
        <f>IFERROR(INDEX(样本到样信息汇总统计!H$2:H$500,MATCH(84,样本到样信息汇总统计!$Y$2:$Y$500,0)),"")</f>
        <v/>
      </c>
      <c r="I85" s="8" t="str">
        <f>IFERROR(INDEX(样本到样信息汇总统计!I$2:I$500,MATCH(84,样本到样信息汇总统计!$Y$2:$Y$500,0)),"")</f>
        <v/>
      </c>
      <c r="J85" s="8" t="str">
        <f>IFERROR(INDEX(样本到样信息汇总统计!J$2:J$500,MATCH(84,样本到样信息汇总统计!$Y$2:$Y$500,0)),"")</f>
        <v/>
      </c>
      <c r="K85" s="8" t="str">
        <f>IFERROR(INDEX(样本到样信息汇总统计!K$2:K$500,MATCH(84,样本到样信息汇总统计!$Y$2:$Y$500,0)),"")</f>
        <v/>
      </c>
      <c r="L85" s="8" t="str">
        <f>IFERROR(INDEX(样本到样信息汇总统计!L$2:L$500,MATCH(84,样本到样信息汇总统计!$Y$2:$Y$500,0)),"")</f>
        <v/>
      </c>
      <c r="M85" s="8" t="str">
        <f>IFERROR(INDEX(样本到样信息汇总统计!M$2:M$500,MATCH(84,样本到样信息汇总统计!$Y$2:$Y$500,0)),"")</f>
        <v/>
      </c>
      <c r="N85" s="8" t="str">
        <f>IFERROR(INDEX(样本到样信息汇总统计!N$2:N$500,MATCH(84,样本到样信息汇总统计!$Y$2:$Y$500,0)),"")</f>
        <v/>
      </c>
      <c r="O85" s="8" t="str">
        <f>IFERROR(INDEX(样本到样信息汇总统计!O$2:O$500,MATCH(84,样本到样信息汇总统计!$Y$2:$Y$500,0)),"")</f>
        <v/>
      </c>
      <c r="P85" s="8" t="str">
        <f>IFERROR(INDEX(样本到样信息汇总统计!P$2:P$500,MATCH(84,样本到样信息汇总统计!$Y$2:$Y$500,0)),"")</f>
        <v/>
      </c>
      <c r="Q85" s="8" t="str">
        <f>IFERROR(INDEX(样本到样信息汇总统计!Q$2:Q$500,MATCH(84,样本到样信息汇总统计!$Y$2:$Y$500,0)),"")</f>
        <v/>
      </c>
      <c r="R85" s="8" t="str">
        <f>IFERROR(INDEX(样本到样信息汇总统计!R$2:R$500,MATCH(84,样本到样信息汇总统计!$Y$2:$Y$500,0)),"")</f>
        <v/>
      </c>
      <c r="S85" s="8" t="str">
        <f>IFERROR(INDEX(样本到样信息汇总统计!S$2:S$500,MATCH(84,样本到样信息汇总统计!$Y$2:$Y$500,0)),"")</f>
        <v/>
      </c>
      <c r="T85" s="8" t="str">
        <f>IFERROR(INDEX(样本到样信息汇总统计!T$2:T$500,MATCH(84,样本到样信息汇总统计!$Y$2:$Y$500,0)),"")</f>
        <v/>
      </c>
      <c r="U85" s="8" t="str">
        <f>IFERROR(INDEX(样本到样信息汇总统计!U$2:U$500,MATCH(84,样本到样信息汇总统计!$Y$2:$Y$500,0)),"")</f>
        <v/>
      </c>
      <c r="V85" s="8" t="str">
        <f>IFERROR(INDEX(样本到样信息汇总统计!V$2:V$500,MATCH(84,样本到样信息汇总统计!$Y$2:$Y$500,0)),"")</f>
        <v/>
      </c>
      <c r="W85" s="8" t="str">
        <f>IFERROR(INDEX(样本到样信息汇总统计!W$2:W$500,MATCH(84,样本到样信息汇总统计!$Y$2:$Y$500,0)),"")</f>
        <v/>
      </c>
    </row>
    <row r="86" ht="14.5" spans="1:23">
      <c r="A86" s="4" t="str">
        <f>IFERROR(INDEX(样本到样信息汇总统计!A$2:A$500,MATCH(85,样本到样信息汇总统计!$Y$2:$Y$500,0)),"")</f>
        <v/>
      </c>
      <c r="B86" s="4" t="str">
        <f>IFERROR(INDEX(样本到样信息汇总统计!B$2:B$500,MATCH(85,样本到样信息汇总统计!$Y$2:$Y$500,0)),"")</f>
        <v/>
      </c>
      <c r="C86" s="4" t="str">
        <f>IFERROR(INDEX(样本到样信息汇总统计!C$2:C$500,MATCH(85,样本到样信息汇总统计!$Y$2:$Y$500,0)),"")</f>
        <v/>
      </c>
      <c r="D86" s="4" t="str">
        <f>IFERROR(INDEX(样本到样信息汇总统计!D$2:D$500,MATCH(85,样本到样信息汇总统计!$Y$2:$Y$500,0)),"")</f>
        <v/>
      </c>
      <c r="E86" s="4" t="str">
        <f>IFERROR(INDEX(样本到样信息汇总统计!E$2:E$500,MATCH(85,样本到样信息汇总统计!$Y$2:$Y$500,0)),"")</f>
        <v/>
      </c>
      <c r="F86" s="4" t="str">
        <f>IFERROR(INDEX(样本到样信息汇总统计!F$2:F$500,MATCH(85,样本到样信息汇总统计!$Y$2:$Y$500,0)),"")</f>
        <v/>
      </c>
      <c r="G86" s="4" t="str">
        <f>IFERROR(INDEX(样本到样信息汇总统计!G$2:G$500,MATCH(85,样本到样信息汇总统计!$Y$2:$Y$500,0)),"")</f>
        <v/>
      </c>
      <c r="H86" s="4" t="str">
        <f>IFERROR(INDEX(样本到样信息汇总统计!H$2:H$500,MATCH(85,样本到样信息汇总统计!$Y$2:$Y$500,0)),"")</f>
        <v/>
      </c>
      <c r="I86" s="4" t="str">
        <f>IFERROR(INDEX(样本到样信息汇总统计!I$2:I$500,MATCH(85,样本到样信息汇总统计!$Y$2:$Y$500,0)),"")</f>
        <v/>
      </c>
      <c r="J86" s="4" t="str">
        <f>IFERROR(INDEX(样本到样信息汇总统计!J$2:J$500,MATCH(85,样本到样信息汇总统计!$Y$2:$Y$500,0)),"")</f>
        <v/>
      </c>
      <c r="K86" s="4" t="str">
        <f>IFERROR(INDEX(样本到样信息汇总统计!K$2:K$500,MATCH(85,样本到样信息汇总统计!$Y$2:$Y$500,0)),"")</f>
        <v/>
      </c>
      <c r="L86" s="4" t="str">
        <f>IFERROR(INDEX(样本到样信息汇总统计!L$2:L$500,MATCH(85,样本到样信息汇总统计!$Y$2:$Y$500,0)),"")</f>
        <v/>
      </c>
      <c r="M86" s="4" t="str">
        <f>IFERROR(INDEX(样本到样信息汇总统计!M$2:M$500,MATCH(85,样本到样信息汇总统计!$Y$2:$Y$500,0)),"")</f>
        <v/>
      </c>
      <c r="N86" s="4" t="str">
        <f>IFERROR(INDEX(样本到样信息汇总统计!N$2:N$500,MATCH(85,样本到样信息汇总统计!$Y$2:$Y$500,0)),"")</f>
        <v/>
      </c>
      <c r="O86" s="4" t="str">
        <f>IFERROR(INDEX(样本到样信息汇总统计!O$2:O$500,MATCH(85,样本到样信息汇总统计!$Y$2:$Y$500,0)),"")</f>
        <v/>
      </c>
      <c r="P86" s="4" t="str">
        <f>IFERROR(INDEX(样本到样信息汇总统计!P$2:P$500,MATCH(85,样本到样信息汇总统计!$Y$2:$Y$500,0)),"")</f>
        <v/>
      </c>
      <c r="Q86" s="4" t="str">
        <f>IFERROR(INDEX(样本到样信息汇总统计!Q$2:Q$500,MATCH(85,样本到样信息汇总统计!$Y$2:$Y$500,0)),"")</f>
        <v/>
      </c>
      <c r="R86" s="4" t="str">
        <f>IFERROR(INDEX(样本到样信息汇总统计!R$2:R$500,MATCH(85,样本到样信息汇总统计!$Y$2:$Y$500,0)),"")</f>
        <v/>
      </c>
      <c r="S86" s="4" t="str">
        <f>IFERROR(INDEX(样本到样信息汇总统计!S$2:S$500,MATCH(85,样本到样信息汇总统计!$Y$2:$Y$500,0)),"")</f>
        <v/>
      </c>
      <c r="T86" s="4" t="str">
        <f>IFERROR(INDEX(样本到样信息汇总统计!T$2:T$500,MATCH(85,样本到样信息汇总统计!$Y$2:$Y$500,0)),"")</f>
        <v/>
      </c>
      <c r="U86" s="4" t="str">
        <f>IFERROR(INDEX(样本到样信息汇总统计!U$2:U$500,MATCH(85,样本到样信息汇总统计!$Y$2:$Y$500,0)),"")</f>
        <v/>
      </c>
      <c r="V86" s="4" t="str">
        <f>IFERROR(INDEX(样本到样信息汇总统计!V$2:V$500,MATCH(85,样本到样信息汇总统计!$Y$2:$Y$500,0)),"")</f>
        <v/>
      </c>
      <c r="W86" s="4" t="str">
        <f>IFERROR(INDEX(样本到样信息汇总统计!W$2:W$500,MATCH(85,样本到样信息汇总统计!$Y$2:$Y$500,0)),"")</f>
        <v/>
      </c>
    </row>
    <row r="87" ht="14.5" spans="1:23">
      <c r="A87" s="8" t="str">
        <f>IFERROR(INDEX(样本到样信息汇总统计!A$2:A$500,MATCH(86,样本到样信息汇总统计!$Y$2:$Y$500,0)),"")</f>
        <v/>
      </c>
      <c r="B87" s="8" t="str">
        <f>IFERROR(INDEX(样本到样信息汇总统计!B$2:B$500,MATCH(86,样本到样信息汇总统计!$Y$2:$Y$500,0)),"")</f>
        <v/>
      </c>
      <c r="C87" s="8" t="str">
        <f>IFERROR(INDEX(样本到样信息汇总统计!C$2:C$500,MATCH(86,样本到样信息汇总统计!$Y$2:$Y$500,0)),"")</f>
        <v/>
      </c>
      <c r="D87" s="8" t="str">
        <f>IFERROR(INDEX(样本到样信息汇总统计!D$2:D$500,MATCH(86,样本到样信息汇总统计!$Y$2:$Y$500,0)),"")</f>
        <v/>
      </c>
      <c r="E87" s="8" t="str">
        <f>IFERROR(INDEX(样本到样信息汇总统计!E$2:E$500,MATCH(86,样本到样信息汇总统计!$Y$2:$Y$500,0)),"")</f>
        <v/>
      </c>
      <c r="F87" s="8" t="str">
        <f>IFERROR(INDEX(样本到样信息汇总统计!F$2:F$500,MATCH(86,样本到样信息汇总统计!$Y$2:$Y$500,0)),"")</f>
        <v/>
      </c>
      <c r="G87" s="8" t="str">
        <f>IFERROR(INDEX(样本到样信息汇总统计!G$2:G$500,MATCH(86,样本到样信息汇总统计!$Y$2:$Y$500,0)),"")</f>
        <v/>
      </c>
      <c r="H87" s="8" t="str">
        <f>IFERROR(INDEX(样本到样信息汇总统计!H$2:H$500,MATCH(86,样本到样信息汇总统计!$Y$2:$Y$500,0)),"")</f>
        <v/>
      </c>
      <c r="I87" s="8" t="str">
        <f>IFERROR(INDEX(样本到样信息汇总统计!I$2:I$500,MATCH(86,样本到样信息汇总统计!$Y$2:$Y$500,0)),"")</f>
        <v/>
      </c>
      <c r="J87" s="8" t="str">
        <f>IFERROR(INDEX(样本到样信息汇总统计!J$2:J$500,MATCH(86,样本到样信息汇总统计!$Y$2:$Y$500,0)),"")</f>
        <v/>
      </c>
      <c r="K87" s="8" t="str">
        <f>IFERROR(INDEX(样本到样信息汇总统计!K$2:K$500,MATCH(86,样本到样信息汇总统计!$Y$2:$Y$500,0)),"")</f>
        <v/>
      </c>
      <c r="L87" s="8" t="str">
        <f>IFERROR(INDEX(样本到样信息汇总统计!L$2:L$500,MATCH(86,样本到样信息汇总统计!$Y$2:$Y$500,0)),"")</f>
        <v/>
      </c>
      <c r="M87" s="8" t="str">
        <f>IFERROR(INDEX(样本到样信息汇总统计!M$2:M$500,MATCH(86,样本到样信息汇总统计!$Y$2:$Y$500,0)),"")</f>
        <v/>
      </c>
      <c r="N87" s="8" t="str">
        <f>IFERROR(INDEX(样本到样信息汇总统计!N$2:N$500,MATCH(86,样本到样信息汇总统计!$Y$2:$Y$500,0)),"")</f>
        <v/>
      </c>
      <c r="O87" s="8" t="str">
        <f>IFERROR(INDEX(样本到样信息汇总统计!O$2:O$500,MATCH(86,样本到样信息汇总统计!$Y$2:$Y$500,0)),"")</f>
        <v/>
      </c>
      <c r="P87" s="8" t="str">
        <f>IFERROR(INDEX(样本到样信息汇总统计!P$2:P$500,MATCH(86,样本到样信息汇总统计!$Y$2:$Y$500,0)),"")</f>
        <v/>
      </c>
      <c r="Q87" s="8" t="str">
        <f>IFERROR(INDEX(样本到样信息汇总统计!Q$2:Q$500,MATCH(86,样本到样信息汇总统计!$Y$2:$Y$500,0)),"")</f>
        <v/>
      </c>
      <c r="R87" s="8" t="str">
        <f>IFERROR(INDEX(样本到样信息汇总统计!R$2:R$500,MATCH(86,样本到样信息汇总统计!$Y$2:$Y$500,0)),"")</f>
        <v/>
      </c>
      <c r="S87" s="8" t="str">
        <f>IFERROR(INDEX(样本到样信息汇总统计!S$2:S$500,MATCH(86,样本到样信息汇总统计!$Y$2:$Y$500,0)),"")</f>
        <v/>
      </c>
      <c r="T87" s="8" t="str">
        <f>IFERROR(INDEX(样本到样信息汇总统计!T$2:T$500,MATCH(86,样本到样信息汇总统计!$Y$2:$Y$500,0)),"")</f>
        <v/>
      </c>
      <c r="U87" s="8" t="str">
        <f>IFERROR(INDEX(样本到样信息汇总统计!U$2:U$500,MATCH(86,样本到样信息汇总统计!$Y$2:$Y$500,0)),"")</f>
        <v/>
      </c>
      <c r="V87" s="8" t="str">
        <f>IFERROR(INDEX(样本到样信息汇总统计!V$2:V$500,MATCH(86,样本到样信息汇总统计!$Y$2:$Y$500,0)),"")</f>
        <v/>
      </c>
      <c r="W87" s="8" t="str">
        <f>IFERROR(INDEX(样本到样信息汇总统计!W$2:W$500,MATCH(86,样本到样信息汇总统计!$Y$2:$Y$500,0)),"")</f>
        <v/>
      </c>
    </row>
    <row r="88" ht="14.5" spans="1:23">
      <c r="A88" s="4" t="str">
        <f>IFERROR(INDEX(样本到样信息汇总统计!A$2:A$500,MATCH(87,样本到样信息汇总统计!$Y$2:$Y$500,0)),"")</f>
        <v/>
      </c>
      <c r="B88" s="4" t="str">
        <f>IFERROR(INDEX(样本到样信息汇总统计!B$2:B$500,MATCH(87,样本到样信息汇总统计!$Y$2:$Y$500,0)),"")</f>
        <v/>
      </c>
      <c r="C88" s="4" t="str">
        <f>IFERROR(INDEX(样本到样信息汇总统计!C$2:C$500,MATCH(87,样本到样信息汇总统计!$Y$2:$Y$500,0)),"")</f>
        <v/>
      </c>
      <c r="D88" s="4" t="str">
        <f>IFERROR(INDEX(样本到样信息汇总统计!D$2:D$500,MATCH(87,样本到样信息汇总统计!$Y$2:$Y$500,0)),"")</f>
        <v/>
      </c>
      <c r="E88" s="4" t="str">
        <f>IFERROR(INDEX(样本到样信息汇总统计!E$2:E$500,MATCH(87,样本到样信息汇总统计!$Y$2:$Y$500,0)),"")</f>
        <v/>
      </c>
      <c r="F88" s="4" t="str">
        <f>IFERROR(INDEX(样本到样信息汇总统计!F$2:F$500,MATCH(87,样本到样信息汇总统计!$Y$2:$Y$500,0)),"")</f>
        <v/>
      </c>
      <c r="G88" s="4" t="str">
        <f>IFERROR(INDEX(样本到样信息汇总统计!G$2:G$500,MATCH(87,样本到样信息汇总统计!$Y$2:$Y$500,0)),"")</f>
        <v/>
      </c>
      <c r="H88" s="4" t="str">
        <f>IFERROR(INDEX(样本到样信息汇总统计!H$2:H$500,MATCH(87,样本到样信息汇总统计!$Y$2:$Y$500,0)),"")</f>
        <v/>
      </c>
      <c r="I88" s="4" t="str">
        <f>IFERROR(INDEX(样本到样信息汇总统计!I$2:I$500,MATCH(87,样本到样信息汇总统计!$Y$2:$Y$500,0)),"")</f>
        <v/>
      </c>
      <c r="J88" s="4" t="str">
        <f>IFERROR(INDEX(样本到样信息汇总统计!J$2:J$500,MATCH(87,样本到样信息汇总统计!$Y$2:$Y$500,0)),"")</f>
        <v/>
      </c>
      <c r="K88" s="4" t="str">
        <f>IFERROR(INDEX(样本到样信息汇总统计!K$2:K$500,MATCH(87,样本到样信息汇总统计!$Y$2:$Y$500,0)),"")</f>
        <v/>
      </c>
      <c r="L88" s="4" t="str">
        <f>IFERROR(INDEX(样本到样信息汇总统计!L$2:L$500,MATCH(87,样本到样信息汇总统计!$Y$2:$Y$500,0)),"")</f>
        <v/>
      </c>
      <c r="M88" s="4" t="str">
        <f>IFERROR(INDEX(样本到样信息汇总统计!M$2:M$500,MATCH(87,样本到样信息汇总统计!$Y$2:$Y$500,0)),"")</f>
        <v/>
      </c>
      <c r="N88" s="4" t="str">
        <f>IFERROR(INDEX(样本到样信息汇总统计!N$2:N$500,MATCH(87,样本到样信息汇总统计!$Y$2:$Y$500,0)),"")</f>
        <v/>
      </c>
      <c r="O88" s="4" t="str">
        <f>IFERROR(INDEX(样本到样信息汇总统计!O$2:O$500,MATCH(87,样本到样信息汇总统计!$Y$2:$Y$500,0)),"")</f>
        <v/>
      </c>
      <c r="P88" s="4" t="str">
        <f>IFERROR(INDEX(样本到样信息汇总统计!P$2:P$500,MATCH(87,样本到样信息汇总统计!$Y$2:$Y$500,0)),"")</f>
        <v/>
      </c>
      <c r="Q88" s="4" t="str">
        <f>IFERROR(INDEX(样本到样信息汇总统计!Q$2:Q$500,MATCH(87,样本到样信息汇总统计!$Y$2:$Y$500,0)),"")</f>
        <v/>
      </c>
      <c r="R88" s="4" t="str">
        <f>IFERROR(INDEX(样本到样信息汇总统计!R$2:R$500,MATCH(87,样本到样信息汇总统计!$Y$2:$Y$500,0)),"")</f>
        <v/>
      </c>
      <c r="S88" s="4" t="str">
        <f>IFERROR(INDEX(样本到样信息汇总统计!S$2:S$500,MATCH(87,样本到样信息汇总统计!$Y$2:$Y$500,0)),"")</f>
        <v/>
      </c>
      <c r="T88" s="4" t="str">
        <f>IFERROR(INDEX(样本到样信息汇总统计!T$2:T$500,MATCH(87,样本到样信息汇总统计!$Y$2:$Y$500,0)),"")</f>
        <v/>
      </c>
      <c r="U88" s="4" t="str">
        <f>IFERROR(INDEX(样本到样信息汇总统计!U$2:U$500,MATCH(87,样本到样信息汇总统计!$Y$2:$Y$500,0)),"")</f>
        <v/>
      </c>
      <c r="V88" s="4" t="str">
        <f>IFERROR(INDEX(样本到样信息汇总统计!V$2:V$500,MATCH(87,样本到样信息汇总统计!$Y$2:$Y$500,0)),"")</f>
        <v/>
      </c>
      <c r="W88" s="4" t="str">
        <f>IFERROR(INDEX(样本到样信息汇总统计!W$2:W$500,MATCH(87,样本到样信息汇总统计!$Y$2:$Y$500,0)),"")</f>
        <v/>
      </c>
    </row>
    <row r="89" ht="14.5" spans="1:23">
      <c r="A89" s="8" t="str">
        <f>IFERROR(INDEX(样本到样信息汇总统计!A$2:A$500,MATCH(88,样本到样信息汇总统计!$Y$2:$Y$500,0)),"")</f>
        <v/>
      </c>
      <c r="B89" s="8" t="str">
        <f>IFERROR(INDEX(样本到样信息汇总统计!B$2:B$500,MATCH(88,样本到样信息汇总统计!$Y$2:$Y$500,0)),"")</f>
        <v/>
      </c>
      <c r="C89" s="8" t="str">
        <f>IFERROR(INDEX(样本到样信息汇总统计!C$2:C$500,MATCH(88,样本到样信息汇总统计!$Y$2:$Y$500,0)),"")</f>
        <v/>
      </c>
      <c r="D89" s="8" t="str">
        <f>IFERROR(INDEX(样本到样信息汇总统计!D$2:D$500,MATCH(88,样本到样信息汇总统计!$Y$2:$Y$500,0)),"")</f>
        <v/>
      </c>
      <c r="E89" s="8" t="str">
        <f>IFERROR(INDEX(样本到样信息汇总统计!E$2:E$500,MATCH(88,样本到样信息汇总统计!$Y$2:$Y$500,0)),"")</f>
        <v/>
      </c>
      <c r="F89" s="8" t="str">
        <f>IFERROR(INDEX(样本到样信息汇总统计!F$2:F$500,MATCH(88,样本到样信息汇总统计!$Y$2:$Y$500,0)),"")</f>
        <v/>
      </c>
      <c r="G89" s="8" t="str">
        <f>IFERROR(INDEX(样本到样信息汇总统计!G$2:G$500,MATCH(88,样本到样信息汇总统计!$Y$2:$Y$500,0)),"")</f>
        <v/>
      </c>
      <c r="H89" s="8" t="str">
        <f>IFERROR(INDEX(样本到样信息汇总统计!H$2:H$500,MATCH(88,样本到样信息汇总统计!$Y$2:$Y$500,0)),"")</f>
        <v/>
      </c>
      <c r="I89" s="8" t="str">
        <f>IFERROR(INDEX(样本到样信息汇总统计!I$2:I$500,MATCH(88,样本到样信息汇总统计!$Y$2:$Y$500,0)),"")</f>
        <v/>
      </c>
      <c r="J89" s="8" t="str">
        <f>IFERROR(INDEX(样本到样信息汇总统计!J$2:J$500,MATCH(88,样本到样信息汇总统计!$Y$2:$Y$500,0)),"")</f>
        <v/>
      </c>
      <c r="K89" s="8" t="str">
        <f>IFERROR(INDEX(样本到样信息汇总统计!K$2:K$500,MATCH(88,样本到样信息汇总统计!$Y$2:$Y$500,0)),"")</f>
        <v/>
      </c>
      <c r="L89" s="8" t="str">
        <f>IFERROR(INDEX(样本到样信息汇总统计!L$2:L$500,MATCH(88,样本到样信息汇总统计!$Y$2:$Y$500,0)),"")</f>
        <v/>
      </c>
      <c r="M89" s="8" t="str">
        <f>IFERROR(INDEX(样本到样信息汇总统计!M$2:M$500,MATCH(88,样本到样信息汇总统计!$Y$2:$Y$500,0)),"")</f>
        <v/>
      </c>
      <c r="N89" s="8" t="str">
        <f>IFERROR(INDEX(样本到样信息汇总统计!N$2:N$500,MATCH(88,样本到样信息汇总统计!$Y$2:$Y$500,0)),"")</f>
        <v/>
      </c>
      <c r="O89" s="8" t="str">
        <f>IFERROR(INDEX(样本到样信息汇总统计!O$2:O$500,MATCH(88,样本到样信息汇总统计!$Y$2:$Y$500,0)),"")</f>
        <v/>
      </c>
      <c r="P89" s="8" t="str">
        <f>IFERROR(INDEX(样本到样信息汇总统计!P$2:P$500,MATCH(88,样本到样信息汇总统计!$Y$2:$Y$500,0)),"")</f>
        <v/>
      </c>
      <c r="Q89" s="8" t="str">
        <f>IFERROR(INDEX(样本到样信息汇总统计!Q$2:Q$500,MATCH(88,样本到样信息汇总统计!$Y$2:$Y$500,0)),"")</f>
        <v/>
      </c>
      <c r="R89" s="8" t="str">
        <f>IFERROR(INDEX(样本到样信息汇总统计!R$2:R$500,MATCH(88,样本到样信息汇总统计!$Y$2:$Y$500,0)),"")</f>
        <v/>
      </c>
      <c r="S89" s="8" t="str">
        <f>IFERROR(INDEX(样本到样信息汇总统计!S$2:S$500,MATCH(88,样本到样信息汇总统计!$Y$2:$Y$500,0)),"")</f>
        <v/>
      </c>
      <c r="T89" s="8" t="str">
        <f>IFERROR(INDEX(样本到样信息汇总统计!T$2:T$500,MATCH(88,样本到样信息汇总统计!$Y$2:$Y$500,0)),"")</f>
        <v/>
      </c>
      <c r="U89" s="8" t="str">
        <f>IFERROR(INDEX(样本到样信息汇总统计!U$2:U$500,MATCH(88,样本到样信息汇总统计!$Y$2:$Y$500,0)),"")</f>
        <v/>
      </c>
      <c r="V89" s="8" t="str">
        <f>IFERROR(INDEX(样本到样信息汇总统计!V$2:V$500,MATCH(88,样本到样信息汇总统计!$Y$2:$Y$500,0)),"")</f>
        <v/>
      </c>
      <c r="W89" s="8" t="str">
        <f>IFERROR(INDEX(样本到样信息汇总统计!W$2:W$500,MATCH(88,样本到样信息汇总统计!$Y$2:$Y$500,0)),"")</f>
        <v/>
      </c>
    </row>
    <row r="90" ht="14.5" spans="1:23">
      <c r="A90" s="4" t="str">
        <f>IFERROR(INDEX(样本到样信息汇总统计!A$2:A$500,MATCH(89,样本到样信息汇总统计!$Y$2:$Y$500,0)),"")</f>
        <v/>
      </c>
      <c r="B90" s="4" t="str">
        <f>IFERROR(INDEX(样本到样信息汇总统计!B$2:B$500,MATCH(89,样本到样信息汇总统计!$Y$2:$Y$500,0)),"")</f>
        <v/>
      </c>
      <c r="C90" s="4" t="str">
        <f>IFERROR(INDEX(样本到样信息汇总统计!C$2:C$500,MATCH(89,样本到样信息汇总统计!$Y$2:$Y$500,0)),"")</f>
        <v/>
      </c>
      <c r="D90" s="4" t="str">
        <f>IFERROR(INDEX(样本到样信息汇总统计!D$2:D$500,MATCH(89,样本到样信息汇总统计!$Y$2:$Y$500,0)),"")</f>
        <v/>
      </c>
      <c r="E90" s="4" t="str">
        <f>IFERROR(INDEX(样本到样信息汇总统计!E$2:E$500,MATCH(89,样本到样信息汇总统计!$Y$2:$Y$500,0)),"")</f>
        <v/>
      </c>
      <c r="F90" s="4" t="str">
        <f>IFERROR(INDEX(样本到样信息汇总统计!F$2:F$500,MATCH(89,样本到样信息汇总统计!$Y$2:$Y$500,0)),"")</f>
        <v/>
      </c>
      <c r="G90" s="4" t="str">
        <f>IFERROR(INDEX(样本到样信息汇总统计!G$2:G$500,MATCH(89,样本到样信息汇总统计!$Y$2:$Y$500,0)),"")</f>
        <v/>
      </c>
      <c r="H90" s="4" t="str">
        <f>IFERROR(INDEX(样本到样信息汇总统计!H$2:H$500,MATCH(89,样本到样信息汇总统计!$Y$2:$Y$500,0)),"")</f>
        <v/>
      </c>
      <c r="I90" s="4" t="str">
        <f>IFERROR(INDEX(样本到样信息汇总统计!I$2:I$500,MATCH(89,样本到样信息汇总统计!$Y$2:$Y$500,0)),"")</f>
        <v/>
      </c>
      <c r="J90" s="4" t="str">
        <f>IFERROR(INDEX(样本到样信息汇总统计!J$2:J$500,MATCH(89,样本到样信息汇总统计!$Y$2:$Y$500,0)),"")</f>
        <v/>
      </c>
      <c r="K90" s="4" t="str">
        <f>IFERROR(INDEX(样本到样信息汇总统计!K$2:K$500,MATCH(89,样本到样信息汇总统计!$Y$2:$Y$500,0)),"")</f>
        <v/>
      </c>
      <c r="L90" s="4" t="str">
        <f>IFERROR(INDEX(样本到样信息汇总统计!L$2:L$500,MATCH(89,样本到样信息汇总统计!$Y$2:$Y$500,0)),"")</f>
        <v/>
      </c>
      <c r="M90" s="4" t="str">
        <f>IFERROR(INDEX(样本到样信息汇总统计!M$2:M$500,MATCH(89,样本到样信息汇总统计!$Y$2:$Y$500,0)),"")</f>
        <v/>
      </c>
      <c r="N90" s="4" t="str">
        <f>IFERROR(INDEX(样本到样信息汇总统计!N$2:N$500,MATCH(89,样本到样信息汇总统计!$Y$2:$Y$500,0)),"")</f>
        <v/>
      </c>
      <c r="O90" s="4" t="str">
        <f>IFERROR(INDEX(样本到样信息汇总统计!O$2:O$500,MATCH(89,样本到样信息汇总统计!$Y$2:$Y$500,0)),"")</f>
        <v/>
      </c>
      <c r="P90" s="4" t="str">
        <f>IFERROR(INDEX(样本到样信息汇总统计!P$2:P$500,MATCH(89,样本到样信息汇总统计!$Y$2:$Y$500,0)),"")</f>
        <v/>
      </c>
      <c r="Q90" s="4" t="str">
        <f>IFERROR(INDEX(样本到样信息汇总统计!Q$2:Q$500,MATCH(89,样本到样信息汇总统计!$Y$2:$Y$500,0)),"")</f>
        <v/>
      </c>
      <c r="R90" s="4" t="str">
        <f>IFERROR(INDEX(样本到样信息汇总统计!R$2:R$500,MATCH(89,样本到样信息汇总统计!$Y$2:$Y$500,0)),"")</f>
        <v/>
      </c>
      <c r="S90" s="4" t="str">
        <f>IFERROR(INDEX(样本到样信息汇总统计!S$2:S$500,MATCH(89,样本到样信息汇总统计!$Y$2:$Y$500,0)),"")</f>
        <v/>
      </c>
      <c r="T90" s="4" t="str">
        <f>IFERROR(INDEX(样本到样信息汇总统计!T$2:T$500,MATCH(89,样本到样信息汇总统计!$Y$2:$Y$500,0)),"")</f>
        <v/>
      </c>
      <c r="U90" s="4" t="str">
        <f>IFERROR(INDEX(样本到样信息汇总统计!U$2:U$500,MATCH(89,样本到样信息汇总统计!$Y$2:$Y$500,0)),"")</f>
        <v/>
      </c>
      <c r="V90" s="4" t="str">
        <f>IFERROR(INDEX(样本到样信息汇总统计!V$2:V$500,MATCH(89,样本到样信息汇总统计!$Y$2:$Y$500,0)),"")</f>
        <v/>
      </c>
      <c r="W90" s="4" t="str">
        <f>IFERROR(INDEX(样本到样信息汇总统计!W$2:W$500,MATCH(89,样本到样信息汇总统计!$Y$2:$Y$500,0)),"")</f>
        <v/>
      </c>
    </row>
    <row r="91" ht="14.5" spans="1:23">
      <c r="A91" s="8" t="str">
        <f>IFERROR(INDEX(样本到样信息汇总统计!A$2:A$500,MATCH(90,样本到样信息汇总统计!$Y$2:$Y$500,0)),"")</f>
        <v/>
      </c>
      <c r="B91" s="8" t="str">
        <f>IFERROR(INDEX(样本到样信息汇总统计!B$2:B$500,MATCH(90,样本到样信息汇总统计!$Y$2:$Y$500,0)),"")</f>
        <v/>
      </c>
      <c r="C91" s="8" t="str">
        <f>IFERROR(INDEX(样本到样信息汇总统计!C$2:C$500,MATCH(90,样本到样信息汇总统计!$Y$2:$Y$500,0)),"")</f>
        <v/>
      </c>
      <c r="D91" s="8" t="str">
        <f>IFERROR(INDEX(样本到样信息汇总统计!D$2:D$500,MATCH(90,样本到样信息汇总统计!$Y$2:$Y$500,0)),"")</f>
        <v/>
      </c>
      <c r="E91" s="8" t="str">
        <f>IFERROR(INDEX(样本到样信息汇总统计!E$2:E$500,MATCH(90,样本到样信息汇总统计!$Y$2:$Y$500,0)),"")</f>
        <v/>
      </c>
      <c r="F91" s="8" t="str">
        <f>IFERROR(INDEX(样本到样信息汇总统计!F$2:F$500,MATCH(90,样本到样信息汇总统计!$Y$2:$Y$500,0)),"")</f>
        <v/>
      </c>
      <c r="G91" s="8" t="str">
        <f>IFERROR(INDEX(样本到样信息汇总统计!G$2:G$500,MATCH(90,样本到样信息汇总统计!$Y$2:$Y$500,0)),"")</f>
        <v/>
      </c>
      <c r="H91" s="8" t="str">
        <f>IFERROR(INDEX(样本到样信息汇总统计!H$2:H$500,MATCH(90,样本到样信息汇总统计!$Y$2:$Y$500,0)),"")</f>
        <v/>
      </c>
      <c r="I91" s="8" t="str">
        <f>IFERROR(INDEX(样本到样信息汇总统计!I$2:I$500,MATCH(90,样本到样信息汇总统计!$Y$2:$Y$500,0)),"")</f>
        <v/>
      </c>
      <c r="J91" s="8" t="str">
        <f>IFERROR(INDEX(样本到样信息汇总统计!J$2:J$500,MATCH(90,样本到样信息汇总统计!$Y$2:$Y$500,0)),"")</f>
        <v/>
      </c>
      <c r="K91" s="8" t="str">
        <f>IFERROR(INDEX(样本到样信息汇总统计!K$2:K$500,MATCH(90,样本到样信息汇总统计!$Y$2:$Y$500,0)),"")</f>
        <v/>
      </c>
      <c r="L91" s="8" t="str">
        <f>IFERROR(INDEX(样本到样信息汇总统计!L$2:L$500,MATCH(90,样本到样信息汇总统计!$Y$2:$Y$500,0)),"")</f>
        <v/>
      </c>
      <c r="M91" s="8" t="str">
        <f>IFERROR(INDEX(样本到样信息汇总统计!M$2:M$500,MATCH(90,样本到样信息汇总统计!$Y$2:$Y$500,0)),"")</f>
        <v/>
      </c>
      <c r="N91" s="8" t="str">
        <f>IFERROR(INDEX(样本到样信息汇总统计!N$2:N$500,MATCH(90,样本到样信息汇总统计!$Y$2:$Y$500,0)),"")</f>
        <v/>
      </c>
      <c r="O91" s="8" t="str">
        <f>IFERROR(INDEX(样本到样信息汇总统计!O$2:O$500,MATCH(90,样本到样信息汇总统计!$Y$2:$Y$500,0)),"")</f>
        <v/>
      </c>
      <c r="P91" s="8" t="str">
        <f>IFERROR(INDEX(样本到样信息汇总统计!P$2:P$500,MATCH(90,样本到样信息汇总统计!$Y$2:$Y$500,0)),"")</f>
        <v/>
      </c>
      <c r="Q91" s="8" t="str">
        <f>IFERROR(INDEX(样本到样信息汇总统计!Q$2:Q$500,MATCH(90,样本到样信息汇总统计!$Y$2:$Y$500,0)),"")</f>
        <v/>
      </c>
      <c r="R91" s="8" t="str">
        <f>IFERROR(INDEX(样本到样信息汇总统计!R$2:R$500,MATCH(90,样本到样信息汇总统计!$Y$2:$Y$500,0)),"")</f>
        <v/>
      </c>
      <c r="S91" s="8" t="str">
        <f>IFERROR(INDEX(样本到样信息汇总统计!S$2:S$500,MATCH(90,样本到样信息汇总统计!$Y$2:$Y$500,0)),"")</f>
        <v/>
      </c>
      <c r="T91" s="8" t="str">
        <f>IFERROR(INDEX(样本到样信息汇总统计!T$2:T$500,MATCH(90,样本到样信息汇总统计!$Y$2:$Y$500,0)),"")</f>
        <v/>
      </c>
      <c r="U91" s="8" t="str">
        <f>IFERROR(INDEX(样本到样信息汇总统计!U$2:U$500,MATCH(90,样本到样信息汇总统计!$Y$2:$Y$500,0)),"")</f>
        <v/>
      </c>
      <c r="V91" s="8" t="str">
        <f>IFERROR(INDEX(样本到样信息汇总统计!V$2:V$500,MATCH(90,样本到样信息汇总统计!$Y$2:$Y$500,0)),"")</f>
        <v/>
      </c>
      <c r="W91" s="8" t="str">
        <f>IFERROR(INDEX(样本到样信息汇总统计!W$2:W$500,MATCH(90,样本到样信息汇总统计!$Y$2:$Y$500,0)),"")</f>
        <v/>
      </c>
    </row>
    <row r="92" ht="14.5" spans="1:23">
      <c r="A92" s="4" t="str">
        <f>IFERROR(INDEX(样本到样信息汇总统计!A$2:A$500,MATCH(91,样本到样信息汇总统计!$Y$2:$Y$500,0)),"")</f>
        <v/>
      </c>
      <c r="B92" s="4" t="str">
        <f>IFERROR(INDEX(样本到样信息汇总统计!B$2:B$500,MATCH(91,样本到样信息汇总统计!$Y$2:$Y$500,0)),"")</f>
        <v/>
      </c>
      <c r="C92" s="4" t="str">
        <f>IFERROR(INDEX(样本到样信息汇总统计!C$2:C$500,MATCH(91,样本到样信息汇总统计!$Y$2:$Y$500,0)),"")</f>
        <v/>
      </c>
      <c r="D92" s="4" t="str">
        <f>IFERROR(INDEX(样本到样信息汇总统计!D$2:D$500,MATCH(91,样本到样信息汇总统计!$Y$2:$Y$500,0)),"")</f>
        <v/>
      </c>
      <c r="E92" s="4" t="str">
        <f>IFERROR(INDEX(样本到样信息汇总统计!E$2:E$500,MATCH(91,样本到样信息汇总统计!$Y$2:$Y$500,0)),"")</f>
        <v/>
      </c>
      <c r="F92" s="4" t="str">
        <f>IFERROR(INDEX(样本到样信息汇总统计!F$2:F$500,MATCH(91,样本到样信息汇总统计!$Y$2:$Y$500,0)),"")</f>
        <v/>
      </c>
      <c r="G92" s="4" t="str">
        <f>IFERROR(INDEX(样本到样信息汇总统计!G$2:G$500,MATCH(91,样本到样信息汇总统计!$Y$2:$Y$500,0)),"")</f>
        <v/>
      </c>
      <c r="H92" s="4" t="str">
        <f>IFERROR(INDEX(样本到样信息汇总统计!H$2:H$500,MATCH(91,样本到样信息汇总统计!$Y$2:$Y$500,0)),"")</f>
        <v/>
      </c>
      <c r="I92" s="4" t="str">
        <f>IFERROR(INDEX(样本到样信息汇总统计!I$2:I$500,MATCH(91,样本到样信息汇总统计!$Y$2:$Y$500,0)),"")</f>
        <v/>
      </c>
      <c r="J92" s="4" t="str">
        <f>IFERROR(INDEX(样本到样信息汇总统计!J$2:J$500,MATCH(91,样本到样信息汇总统计!$Y$2:$Y$500,0)),"")</f>
        <v/>
      </c>
      <c r="K92" s="4" t="str">
        <f>IFERROR(INDEX(样本到样信息汇总统计!K$2:K$500,MATCH(91,样本到样信息汇总统计!$Y$2:$Y$500,0)),"")</f>
        <v/>
      </c>
      <c r="L92" s="4" t="str">
        <f>IFERROR(INDEX(样本到样信息汇总统计!L$2:L$500,MATCH(91,样本到样信息汇总统计!$Y$2:$Y$500,0)),"")</f>
        <v/>
      </c>
      <c r="M92" s="4" t="str">
        <f>IFERROR(INDEX(样本到样信息汇总统计!M$2:M$500,MATCH(91,样本到样信息汇总统计!$Y$2:$Y$500,0)),"")</f>
        <v/>
      </c>
      <c r="N92" s="4" t="str">
        <f>IFERROR(INDEX(样本到样信息汇总统计!N$2:N$500,MATCH(91,样本到样信息汇总统计!$Y$2:$Y$500,0)),"")</f>
        <v/>
      </c>
      <c r="O92" s="4" t="str">
        <f>IFERROR(INDEX(样本到样信息汇总统计!O$2:O$500,MATCH(91,样本到样信息汇总统计!$Y$2:$Y$500,0)),"")</f>
        <v/>
      </c>
      <c r="P92" s="4" t="str">
        <f>IFERROR(INDEX(样本到样信息汇总统计!P$2:P$500,MATCH(91,样本到样信息汇总统计!$Y$2:$Y$500,0)),"")</f>
        <v/>
      </c>
      <c r="Q92" s="4" t="str">
        <f>IFERROR(INDEX(样本到样信息汇总统计!Q$2:Q$500,MATCH(91,样本到样信息汇总统计!$Y$2:$Y$500,0)),"")</f>
        <v/>
      </c>
      <c r="R92" s="4" t="str">
        <f>IFERROR(INDEX(样本到样信息汇总统计!R$2:R$500,MATCH(91,样本到样信息汇总统计!$Y$2:$Y$500,0)),"")</f>
        <v/>
      </c>
      <c r="S92" s="4" t="str">
        <f>IFERROR(INDEX(样本到样信息汇总统计!S$2:S$500,MATCH(91,样本到样信息汇总统计!$Y$2:$Y$500,0)),"")</f>
        <v/>
      </c>
      <c r="T92" s="4" t="str">
        <f>IFERROR(INDEX(样本到样信息汇总统计!T$2:T$500,MATCH(91,样本到样信息汇总统计!$Y$2:$Y$500,0)),"")</f>
        <v/>
      </c>
      <c r="U92" s="4" t="str">
        <f>IFERROR(INDEX(样本到样信息汇总统计!U$2:U$500,MATCH(91,样本到样信息汇总统计!$Y$2:$Y$500,0)),"")</f>
        <v/>
      </c>
      <c r="V92" s="4" t="str">
        <f>IFERROR(INDEX(样本到样信息汇总统计!V$2:V$500,MATCH(91,样本到样信息汇总统计!$Y$2:$Y$500,0)),"")</f>
        <v/>
      </c>
      <c r="W92" s="4" t="str">
        <f>IFERROR(INDEX(样本到样信息汇总统计!W$2:W$500,MATCH(91,样本到样信息汇总统计!$Y$2:$Y$500,0)),"")</f>
        <v/>
      </c>
    </row>
    <row r="93" ht="14.5" spans="1:23">
      <c r="A93" s="8" t="str">
        <f>IFERROR(INDEX(样本到样信息汇总统计!A$2:A$500,MATCH(92,样本到样信息汇总统计!$Y$2:$Y$500,0)),"")</f>
        <v/>
      </c>
      <c r="B93" s="8" t="str">
        <f>IFERROR(INDEX(样本到样信息汇总统计!B$2:B$500,MATCH(92,样本到样信息汇总统计!$Y$2:$Y$500,0)),"")</f>
        <v/>
      </c>
      <c r="C93" s="8" t="str">
        <f>IFERROR(INDEX(样本到样信息汇总统计!C$2:C$500,MATCH(92,样本到样信息汇总统计!$Y$2:$Y$500,0)),"")</f>
        <v/>
      </c>
      <c r="D93" s="8" t="str">
        <f>IFERROR(INDEX(样本到样信息汇总统计!D$2:D$500,MATCH(92,样本到样信息汇总统计!$Y$2:$Y$500,0)),"")</f>
        <v/>
      </c>
      <c r="E93" s="8" t="str">
        <f>IFERROR(INDEX(样本到样信息汇总统计!E$2:E$500,MATCH(92,样本到样信息汇总统计!$Y$2:$Y$500,0)),"")</f>
        <v/>
      </c>
      <c r="F93" s="8" t="str">
        <f>IFERROR(INDEX(样本到样信息汇总统计!F$2:F$500,MATCH(92,样本到样信息汇总统计!$Y$2:$Y$500,0)),"")</f>
        <v/>
      </c>
      <c r="G93" s="8" t="str">
        <f>IFERROR(INDEX(样本到样信息汇总统计!G$2:G$500,MATCH(92,样本到样信息汇总统计!$Y$2:$Y$500,0)),"")</f>
        <v/>
      </c>
      <c r="H93" s="8" t="str">
        <f>IFERROR(INDEX(样本到样信息汇总统计!H$2:H$500,MATCH(92,样本到样信息汇总统计!$Y$2:$Y$500,0)),"")</f>
        <v/>
      </c>
      <c r="I93" s="8" t="str">
        <f>IFERROR(INDEX(样本到样信息汇总统计!I$2:I$500,MATCH(92,样本到样信息汇总统计!$Y$2:$Y$500,0)),"")</f>
        <v/>
      </c>
      <c r="J93" s="8" t="str">
        <f>IFERROR(INDEX(样本到样信息汇总统计!J$2:J$500,MATCH(92,样本到样信息汇总统计!$Y$2:$Y$500,0)),"")</f>
        <v/>
      </c>
      <c r="K93" s="8" t="str">
        <f>IFERROR(INDEX(样本到样信息汇总统计!K$2:K$500,MATCH(92,样本到样信息汇总统计!$Y$2:$Y$500,0)),"")</f>
        <v/>
      </c>
      <c r="L93" s="8" t="str">
        <f>IFERROR(INDEX(样本到样信息汇总统计!L$2:L$500,MATCH(92,样本到样信息汇总统计!$Y$2:$Y$500,0)),"")</f>
        <v/>
      </c>
      <c r="M93" s="8" t="str">
        <f>IFERROR(INDEX(样本到样信息汇总统计!M$2:M$500,MATCH(92,样本到样信息汇总统计!$Y$2:$Y$500,0)),"")</f>
        <v/>
      </c>
      <c r="N93" s="8" t="str">
        <f>IFERROR(INDEX(样本到样信息汇总统计!N$2:N$500,MATCH(92,样本到样信息汇总统计!$Y$2:$Y$500,0)),"")</f>
        <v/>
      </c>
      <c r="O93" s="8" t="str">
        <f>IFERROR(INDEX(样本到样信息汇总统计!O$2:O$500,MATCH(92,样本到样信息汇总统计!$Y$2:$Y$500,0)),"")</f>
        <v/>
      </c>
      <c r="P93" s="8" t="str">
        <f>IFERROR(INDEX(样本到样信息汇总统计!P$2:P$500,MATCH(92,样本到样信息汇总统计!$Y$2:$Y$500,0)),"")</f>
        <v/>
      </c>
      <c r="Q93" s="8" t="str">
        <f>IFERROR(INDEX(样本到样信息汇总统计!Q$2:Q$500,MATCH(92,样本到样信息汇总统计!$Y$2:$Y$500,0)),"")</f>
        <v/>
      </c>
      <c r="R93" s="8" t="str">
        <f>IFERROR(INDEX(样本到样信息汇总统计!R$2:R$500,MATCH(92,样本到样信息汇总统计!$Y$2:$Y$500,0)),"")</f>
        <v/>
      </c>
      <c r="S93" s="8" t="str">
        <f>IFERROR(INDEX(样本到样信息汇总统计!S$2:S$500,MATCH(92,样本到样信息汇总统计!$Y$2:$Y$500,0)),"")</f>
        <v/>
      </c>
      <c r="T93" s="8" t="str">
        <f>IFERROR(INDEX(样本到样信息汇总统计!T$2:T$500,MATCH(92,样本到样信息汇总统计!$Y$2:$Y$500,0)),"")</f>
        <v/>
      </c>
      <c r="U93" s="8" t="str">
        <f>IFERROR(INDEX(样本到样信息汇总统计!U$2:U$500,MATCH(92,样本到样信息汇总统计!$Y$2:$Y$500,0)),"")</f>
        <v/>
      </c>
      <c r="V93" s="8" t="str">
        <f>IFERROR(INDEX(样本到样信息汇总统计!V$2:V$500,MATCH(92,样本到样信息汇总统计!$Y$2:$Y$500,0)),"")</f>
        <v/>
      </c>
      <c r="W93" s="8" t="str">
        <f>IFERROR(INDEX(样本到样信息汇总统计!W$2:W$500,MATCH(92,样本到样信息汇总统计!$Y$2:$Y$500,0)),"")</f>
        <v/>
      </c>
    </row>
    <row r="94" ht="14.5" spans="1:23">
      <c r="A94" s="4" t="str">
        <f>IFERROR(INDEX(样本到样信息汇总统计!A$2:A$500,MATCH(93,样本到样信息汇总统计!$Y$2:$Y$500,0)),"")</f>
        <v/>
      </c>
      <c r="B94" s="4" t="str">
        <f>IFERROR(INDEX(样本到样信息汇总统计!B$2:B$500,MATCH(93,样本到样信息汇总统计!$Y$2:$Y$500,0)),"")</f>
        <v/>
      </c>
      <c r="C94" s="4" t="str">
        <f>IFERROR(INDEX(样本到样信息汇总统计!C$2:C$500,MATCH(93,样本到样信息汇总统计!$Y$2:$Y$500,0)),"")</f>
        <v/>
      </c>
      <c r="D94" s="4" t="str">
        <f>IFERROR(INDEX(样本到样信息汇总统计!D$2:D$500,MATCH(93,样本到样信息汇总统计!$Y$2:$Y$500,0)),"")</f>
        <v/>
      </c>
      <c r="E94" s="4" t="str">
        <f>IFERROR(INDEX(样本到样信息汇总统计!E$2:E$500,MATCH(93,样本到样信息汇总统计!$Y$2:$Y$500,0)),"")</f>
        <v/>
      </c>
      <c r="F94" s="4" t="str">
        <f>IFERROR(INDEX(样本到样信息汇总统计!F$2:F$500,MATCH(93,样本到样信息汇总统计!$Y$2:$Y$500,0)),"")</f>
        <v/>
      </c>
      <c r="G94" s="4" t="str">
        <f>IFERROR(INDEX(样本到样信息汇总统计!G$2:G$500,MATCH(93,样本到样信息汇总统计!$Y$2:$Y$500,0)),"")</f>
        <v/>
      </c>
      <c r="H94" s="4" t="str">
        <f>IFERROR(INDEX(样本到样信息汇总统计!H$2:H$500,MATCH(93,样本到样信息汇总统计!$Y$2:$Y$500,0)),"")</f>
        <v/>
      </c>
      <c r="I94" s="4" t="str">
        <f>IFERROR(INDEX(样本到样信息汇总统计!I$2:I$500,MATCH(93,样本到样信息汇总统计!$Y$2:$Y$500,0)),"")</f>
        <v/>
      </c>
      <c r="J94" s="4" t="str">
        <f>IFERROR(INDEX(样本到样信息汇总统计!J$2:J$500,MATCH(93,样本到样信息汇总统计!$Y$2:$Y$500,0)),"")</f>
        <v/>
      </c>
      <c r="K94" s="4" t="str">
        <f>IFERROR(INDEX(样本到样信息汇总统计!K$2:K$500,MATCH(93,样本到样信息汇总统计!$Y$2:$Y$500,0)),"")</f>
        <v/>
      </c>
      <c r="L94" s="4" t="str">
        <f>IFERROR(INDEX(样本到样信息汇总统计!L$2:L$500,MATCH(93,样本到样信息汇总统计!$Y$2:$Y$500,0)),"")</f>
        <v/>
      </c>
      <c r="M94" s="4" t="str">
        <f>IFERROR(INDEX(样本到样信息汇总统计!M$2:M$500,MATCH(93,样本到样信息汇总统计!$Y$2:$Y$500,0)),"")</f>
        <v/>
      </c>
      <c r="N94" s="4" t="str">
        <f>IFERROR(INDEX(样本到样信息汇总统计!N$2:N$500,MATCH(93,样本到样信息汇总统计!$Y$2:$Y$500,0)),"")</f>
        <v/>
      </c>
      <c r="O94" s="4" t="str">
        <f>IFERROR(INDEX(样本到样信息汇总统计!O$2:O$500,MATCH(93,样本到样信息汇总统计!$Y$2:$Y$500,0)),"")</f>
        <v/>
      </c>
      <c r="P94" s="4" t="str">
        <f>IFERROR(INDEX(样本到样信息汇总统计!P$2:P$500,MATCH(93,样本到样信息汇总统计!$Y$2:$Y$500,0)),"")</f>
        <v/>
      </c>
      <c r="Q94" s="4" t="str">
        <f>IFERROR(INDEX(样本到样信息汇总统计!Q$2:Q$500,MATCH(93,样本到样信息汇总统计!$Y$2:$Y$500,0)),"")</f>
        <v/>
      </c>
      <c r="R94" s="4" t="str">
        <f>IFERROR(INDEX(样本到样信息汇总统计!R$2:R$500,MATCH(93,样本到样信息汇总统计!$Y$2:$Y$500,0)),"")</f>
        <v/>
      </c>
      <c r="S94" s="4" t="str">
        <f>IFERROR(INDEX(样本到样信息汇总统计!S$2:S$500,MATCH(93,样本到样信息汇总统计!$Y$2:$Y$500,0)),"")</f>
        <v/>
      </c>
      <c r="T94" s="4" t="str">
        <f>IFERROR(INDEX(样本到样信息汇总统计!T$2:T$500,MATCH(93,样本到样信息汇总统计!$Y$2:$Y$500,0)),"")</f>
        <v/>
      </c>
      <c r="U94" s="4" t="str">
        <f>IFERROR(INDEX(样本到样信息汇总统计!U$2:U$500,MATCH(93,样本到样信息汇总统计!$Y$2:$Y$500,0)),"")</f>
        <v/>
      </c>
      <c r="V94" s="4" t="str">
        <f>IFERROR(INDEX(样本到样信息汇总统计!V$2:V$500,MATCH(93,样本到样信息汇总统计!$Y$2:$Y$500,0)),"")</f>
        <v/>
      </c>
      <c r="W94" s="4" t="str">
        <f>IFERROR(INDEX(样本到样信息汇总统计!W$2:W$500,MATCH(93,样本到样信息汇总统计!$Y$2:$Y$500,0)),"")</f>
        <v/>
      </c>
    </row>
    <row r="95" ht="14.5" spans="1:23">
      <c r="A95" s="8" t="str">
        <f>IFERROR(INDEX(样本到样信息汇总统计!A$2:A$500,MATCH(94,样本到样信息汇总统计!$Y$2:$Y$500,0)),"")</f>
        <v/>
      </c>
      <c r="B95" s="8" t="str">
        <f>IFERROR(INDEX(样本到样信息汇总统计!B$2:B$500,MATCH(94,样本到样信息汇总统计!$Y$2:$Y$500,0)),"")</f>
        <v/>
      </c>
      <c r="C95" s="8" t="str">
        <f>IFERROR(INDEX(样本到样信息汇总统计!C$2:C$500,MATCH(94,样本到样信息汇总统计!$Y$2:$Y$500,0)),"")</f>
        <v/>
      </c>
      <c r="D95" s="8" t="str">
        <f>IFERROR(INDEX(样本到样信息汇总统计!D$2:D$500,MATCH(94,样本到样信息汇总统计!$Y$2:$Y$500,0)),"")</f>
        <v/>
      </c>
      <c r="E95" s="8" t="str">
        <f>IFERROR(INDEX(样本到样信息汇总统计!E$2:E$500,MATCH(94,样本到样信息汇总统计!$Y$2:$Y$500,0)),"")</f>
        <v/>
      </c>
      <c r="F95" s="8" t="str">
        <f>IFERROR(INDEX(样本到样信息汇总统计!F$2:F$500,MATCH(94,样本到样信息汇总统计!$Y$2:$Y$500,0)),"")</f>
        <v/>
      </c>
      <c r="G95" s="8" t="str">
        <f>IFERROR(INDEX(样本到样信息汇总统计!G$2:G$500,MATCH(94,样本到样信息汇总统计!$Y$2:$Y$500,0)),"")</f>
        <v/>
      </c>
      <c r="H95" s="8" t="str">
        <f>IFERROR(INDEX(样本到样信息汇总统计!H$2:H$500,MATCH(94,样本到样信息汇总统计!$Y$2:$Y$500,0)),"")</f>
        <v/>
      </c>
      <c r="I95" s="8" t="str">
        <f>IFERROR(INDEX(样本到样信息汇总统计!I$2:I$500,MATCH(94,样本到样信息汇总统计!$Y$2:$Y$500,0)),"")</f>
        <v/>
      </c>
      <c r="J95" s="8" t="str">
        <f>IFERROR(INDEX(样本到样信息汇总统计!J$2:J$500,MATCH(94,样本到样信息汇总统计!$Y$2:$Y$500,0)),"")</f>
        <v/>
      </c>
      <c r="K95" s="8" t="str">
        <f>IFERROR(INDEX(样本到样信息汇总统计!K$2:K$500,MATCH(94,样本到样信息汇总统计!$Y$2:$Y$500,0)),"")</f>
        <v/>
      </c>
      <c r="L95" s="8" t="str">
        <f>IFERROR(INDEX(样本到样信息汇总统计!L$2:L$500,MATCH(94,样本到样信息汇总统计!$Y$2:$Y$500,0)),"")</f>
        <v/>
      </c>
      <c r="M95" s="8" t="str">
        <f>IFERROR(INDEX(样本到样信息汇总统计!M$2:M$500,MATCH(94,样本到样信息汇总统计!$Y$2:$Y$500,0)),"")</f>
        <v/>
      </c>
      <c r="N95" s="8" t="str">
        <f>IFERROR(INDEX(样本到样信息汇总统计!N$2:N$500,MATCH(94,样本到样信息汇总统计!$Y$2:$Y$500,0)),"")</f>
        <v/>
      </c>
      <c r="O95" s="8" t="str">
        <f>IFERROR(INDEX(样本到样信息汇总统计!O$2:O$500,MATCH(94,样本到样信息汇总统计!$Y$2:$Y$500,0)),"")</f>
        <v/>
      </c>
      <c r="P95" s="8" t="str">
        <f>IFERROR(INDEX(样本到样信息汇总统计!P$2:P$500,MATCH(94,样本到样信息汇总统计!$Y$2:$Y$500,0)),"")</f>
        <v/>
      </c>
      <c r="Q95" s="8" t="str">
        <f>IFERROR(INDEX(样本到样信息汇总统计!Q$2:Q$500,MATCH(94,样本到样信息汇总统计!$Y$2:$Y$500,0)),"")</f>
        <v/>
      </c>
      <c r="R95" s="8" t="str">
        <f>IFERROR(INDEX(样本到样信息汇总统计!R$2:R$500,MATCH(94,样本到样信息汇总统计!$Y$2:$Y$500,0)),"")</f>
        <v/>
      </c>
      <c r="S95" s="8" t="str">
        <f>IFERROR(INDEX(样本到样信息汇总统计!S$2:S$500,MATCH(94,样本到样信息汇总统计!$Y$2:$Y$500,0)),"")</f>
        <v/>
      </c>
      <c r="T95" s="8" t="str">
        <f>IFERROR(INDEX(样本到样信息汇总统计!T$2:T$500,MATCH(94,样本到样信息汇总统计!$Y$2:$Y$500,0)),"")</f>
        <v/>
      </c>
      <c r="U95" s="8" t="str">
        <f>IFERROR(INDEX(样本到样信息汇总统计!U$2:U$500,MATCH(94,样本到样信息汇总统计!$Y$2:$Y$500,0)),"")</f>
        <v/>
      </c>
      <c r="V95" s="8" t="str">
        <f>IFERROR(INDEX(样本到样信息汇总统计!V$2:V$500,MATCH(94,样本到样信息汇总统计!$Y$2:$Y$500,0)),"")</f>
        <v/>
      </c>
      <c r="W95" s="8" t="str">
        <f>IFERROR(INDEX(样本到样信息汇总统计!W$2:W$500,MATCH(94,样本到样信息汇总统计!$Y$2:$Y$500,0)),"")</f>
        <v/>
      </c>
    </row>
    <row r="96" ht="14.5" spans="1:23">
      <c r="A96" s="4" t="str">
        <f>IFERROR(INDEX(样本到样信息汇总统计!A$2:A$500,MATCH(95,样本到样信息汇总统计!$Y$2:$Y$500,0)),"")</f>
        <v/>
      </c>
      <c r="B96" s="4" t="str">
        <f>IFERROR(INDEX(样本到样信息汇总统计!B$2:B$500,MATCH(95,样本到样信息汇总统计!$Y$2:$Y$500,0)),"")</f>
        <v/>
      </c>
      <c r="C96" s="4" t="str">
        <f>IFERROR(INDEX(样本到样信息汇总统计!C$2:C$500,MATCH(95,样本到样信息汇总统计!$Y$2:$Y$500,0)),"")</f>
        <v/>
      </c>
      <c r="D96" s="4" t="str">
        <f>IFERROR(INDEX(样本到样信息汇总统计!D$2:D$500,MATCH(95,样本到样信息汇总统计!$Y$2:$Y$500,0)),"")</f>
        <v/>
      </c>
      <c r="E96" s="4" t="str">
        <f>IFERROR(INDEX(样本到样信息汇总统计!E$2:E$500,MATCH(95,样本到样信息汇总统计!$Y$2:$Y$500,0)),"")</f>
        <v/>
      </c>
      <c r="F96" s="4" t="str">
        <f>IFERROR(INDEX(样本到样信息汇总统计!F$2:F$500,MATCH(95,样本到样信息汇总统计!$Y$2:$Y$500,0)),"")</f>
        <v/>
      </c>
      <c r="G96" s="4" t="str">
        <f>IFERROR(INDEX(样本到样信息汇总统计!G$2:G$500,MATCH(95,样本到样信息汇总统计!$Y$2:$Y$500,0)),"")</f>
        <v/>
      </c>
      <c r="H96" s="4" t="str">
        <f>IFERROR(INDEX(样本到样信息汇总统计!H$2:H$500,MATCH(95,样本到样信息汇总统计!$Y$2:$Y$500,0)),"")</f>
        <v/>
      </c>
      <c r="I96" s="4" t="str">
        <f>IFERROR(INDEX(样本到样信息汇总统计!I$2:I$500,MATCH(95,样本到样信息汇总统计!$Y$2:$Y$500,0)),"")</f>
        <v/>
      </c>
      <c r="J96" s="4" t="str">
        <f>IFERROR(INDEX(样本到样信息汇总统计!J$2:J$500,MATCH(95,样本到样信息汇总统计!$Y$2:$Y$500,0)),"")</f>
        <v/>
      </c>
      <c r="K96" s="4" t="str">
        <f>IFERROR(INDEX(样本到样信息汇总统计!K$2:K$500,MATCH(95,样本到样信息汇总统计!$Y$2:$Y$500,0)),"")</f>
        <v/>
      </c>
      <c r="L96" s="4" t="str">
        <f>IFERROR(INDEX(样本到样信息汇总统计!L$2:L$500,MATCH(95,样本到样信息汇总统计!$Y$2:$Y$500,0)),"")</f>
        <v/>
      </c>
      <c r="M96" s="4" t="str">
        <f>IFERROR(INDEX(样本到样信息汇总统计!M$2:M$500,MATCH(95,样本到样信息汇总统计!$Y$2:$Y$500,0)),"")</f>
        <v/>
      </c>
      <c r="N96" s="4" t="str">
        <f>IFERROR(INDEX(样本到样信息汇总统计!N$2:N$500,MATCH(95,样本到样信息汇总统计!$Y$2:$Y$500,0)),"")</f>
        <v/>
      </c>
      <c r="O96" s="4" t="str">
        <f>IFERROR(INDEX(样本到样信息汇总统计!O$2:O$500,MATCH(95,样本到样信息汇总统计!$Y$2:$Y$500,0)),"")</f>
        <v/>
      </c>
      <c r="P96" s="4" t="str">
        <f>IFERROR(INDEX(样本到样信息汇总统计!P$2:P$500,MATCH(95,样本到样信息汇总统计!$Y$2:$Y$500,0)),"")</f>
        <v/>
      </c>
      <c r="Q96" s="4" t="str">
        <f>IFERROR(INDEX(样本到样信息汇总统计!Q$2:Q$500,MATCH(95,样本到样信息汇总统计!$Y$2:$Y$500,0)),"")</f>
        <v/>
      </c>
      <c r="R96" s="4" t="str">
        <f>IFERROR(INDEX(样本到样信息汇总统计!R$2:R$500,MATCH(95,样本到样信息汇总统计!$Y$2:$Y$500,0)),"")</f>
        <v/>
      </c>
      <c r="S96" s="4" t="str">
        <f>IFERROR(INDEX(样本到样信息汇总统计!S$2:S$500,MATCH(95,样本到样信息汇总统计!$Y$2:$Y$500,0)),"")</f>
        <v/>
      </c>
      <c r="T96" s="4" t="str">
        <f>IFERROR(INDEX(样本到样信息汇总统计!T$2:T$500,MATCH(95,样本到样信息汇总统计!$Y$2:$Y$500,0)),"")</f>
        <v/>
      </c>
      <c r="U96" s="4" t="str">
        <f>IFERROR(INDEX(样本到样信息汇总统计!U$2:U$500,MATCH(95,样本到样信息汇总统计!$Y$2:$Y$500,0)),"")</f>
        <v/>
      </c>
      <c r="V96" s="4" t="str">
        <f>IFERROR(INDEX(样本到样信息汇总统计!V$2:V$500,MATCH(95,样本到样信息汇总统计!$Y$2:$Y$500,0)),"")</f>
        <v/>
      </c>
      <c r="W96" s="4" t="str">
        <f>IFERROR(INDEX(样本到样信息汇总统计!W$2:W$500,MATCH(95,样本到样信息汇总统计!$Y$2:$Y$500,0)),"")</f>
        <v/>
      </c>
    </row>
    <row r="97" ht="14.5" spans="1:23">
      <c r="A97" s="8" t="str">
        <f>IFERROR(INDEX(样本到样信息汇总统计!A$2:A$500,MATCH(96,样本到样信息汇总统计!$Y$2:$Y$500,0)),"")</f>
        <v/>
      </c>
      <c r="B97" s="8" t="str">
        <f>IFERROR(INDEX(样本到样信息汇总统计!B$2:B$500,MATCH(96,样本到样信息汇总统计!$Y$2:$Y$500,0)),"")</f>
        <v/>
      </c>
      <c r="C97" s="8" t="str">
        <f>IFERROR(INDEX(样本到样信息汇总统计!C$2:C$500,MATCH(96,样本到样信息汇总统计!$Y$2:$Y$500,0)),"")</f>
        <v/>
      </c>
      <c r="D97" s="8" t="str">
        <f>IFERROR(INDEX(样本到样信息汇总统计!D$2:D$500,MATCH(96,样本到样信息汇总统计!$Y$2:$Y$500,0)),"")</f>
        <v/>
      </c>
      <c r="E97" s="8" t="str">
        <f>IFERROR(INDEX(样本到样信息汇总统计!E$2:E$500,MATCH(96,样本到样信息汇总统计!$Y$2:$Y$500,0)),"")</f>
        <v/>
      </c>
      <c r="F97" s="8" t="str">
        <f>IFERROR(INDEX(样本到样信息汇总统计!F$2:F$500,MATCH(96,样本到样信息汇总统计!$Y$2:$Y$500,0)),"")</f>
        <v/>
      </c>
      <c r="G97" s="8" t="str">
        <f>IFERROR(INDEX(样本到样信息汇总统计!G$2:G$500,MATCH(96,样本到样信息汇总统计!$Y$2:$Y$500,0)),"")</f>
        <v/>
      </c>
      <c r="H97" s="8" t="str">
        <f>IFERROR(INDEX(样本到样信息汇总统计!H$2:H$500,MATCH(96,样本到样信息汇总统计!$Y$2:$Y$500,0)),"")</f>
        <v/>
      </c>
      <c r="I97" s="8" t="str">
        <f>IFERROR(INDEX(样本到样信息汇总统计!I$2:I$500,MATCH(96,样本到样信息汇总统计!$Y$2:$Y$500,0)),"")</f>
        <v/>
      </c>
      <c r="J97" s="8" t="str">
        <f>IFERROR(INDEX(样本到样信息汇总统计!J$2:J$500,MATCH(96,样本到样信息汇总统计!$Y$2:$Y$500,0)),"")</f>
        <v/>
      </c>
      <c r="K97" s="8" t="str">
        <f>IFERROR(INDEX(样本到样信息汇总统计!K$2:K$500,MATCH(96,样本到样信息汇总统计!$Y$2:$Y$500,0)),"")</f>
        <v/>
      </c>
      <c r="L97" s="8" t="str">
        <f>IFERROR(INDEX(样本到样信息汇总统计!L$2:L$500,MATCH(96,样本到样信息汇总统计!$Y$2:$Y$500,0)),"")</f>
        <v/>
      </c>
      <c r="M97" s="8" t="str">
        <f>IFERROR(INDEX(样本到样信息汇总统计!M$2:M$500,MATCH(96,样本到样信息汇总统计!$Y$2:$Y$500,0)),"")</f>
        <v/>
      </c>
      <c r="N97" s="8" t="str">
        <f>IFERROR(INDEX(样本到样信息汇总统计!N$2:N$500,MATCH(96,样本到样信息汇总统计!$Y$2:$Y$500,0)),"")</f>
        <v/>
      </c>
      <c r="O97" s="8" t="str">
        <f>IFERROR(INDEX(样本到样信息汇总统计!O$2:O$500,MATCH(96,样本到样信息汇总统计!$Y$2:$Y$500,0)),"")</f>
        <v/>
      </c>
      <c r="P97" s="8" t="str">
        <f>IFERROR(INDEX(样本到样信息汇总统计!P$2:P$500,MATCH(96,样本到样信息汇总统计!$Y$2:$Y$500,0)),"")</f>
        <v/>
      </c>
      <c r="Q97" s="8" t="str">
        <f>IFERROR(INDEX(样本到样信息汇总统计!Q$2:Q$500,MATCH(96,样本到样信息汇总统计!$Y$2:$Y$500,0)),"")</f>
        <v/>
      </c>
      <c r="R97" s="8" t="str">
        <f>IFERROR(INDEX(样本到样信息汇总统计!R$2:R$500,MATCH(96,样本到样信息汇总统计!$Y$2:$Y$500,0)),"")</f>
        <v/>
      </c>
      <c r="S97" s="8" t="str">
        <f>IFERROR(INDEX(样本到样信息汇总统计!S$2:S$500,MATCH(96,样本到样信息汇总统计!$Y$2:$Y$500,0)),"")</f>
        <v/>
      </c>
      <c r="T97" s="8" t="str">
        <f>IFERROR(INDEX(样本到样信息汇总统计!T$2:T$500,MATCH(96,样本到样信息汇总统计!$Y$2:$Y$500,0)),"")</f>
        <v/>
      </c>
      <c r="U97" s="8" t="str">
        <f>IFERROR(INDEX(样本到样信息汇总统计!U$2:U$500,MATCH(96,样本到样信息汇总统计!$Y$2:$Y$500,0)),"")</f>
        <v/>
      </c>
      <c r="V97" s="8" t="str">
        <f>IFERROR(INDEX(样本到样信息汇总统计!V$2:V$500,MATCH(96,样本到样信息汇总统计!$Y$2:$Y$500,0)),"")</f>
        <v/>
      </c>
      <c r="W97" s="8" t="str">
        <f>IFERROR(INDEX(样本到样信息汇总统计!W$2:W$500,MATCH(96,样本到样信息汇总统计!$Y$2:$Y$500,0)),"")</f>
        <v/>
      </c>
    </row>
    <row r="98" ht="14.5" spans="1:23">
      <c r="A98" s="4" t="str">
        <f>IFERROR(INDEX(样本到样信息汇总统计!A$2:A$500,MATCH(97,样本到样信息汇总统计!$Y$2:$Y$500,0)),"")</f>
        <v/>
      </c>
      <c r="B98" s="4" t="str">
        <f>IFERROR(INDEX(样本到样信息汇总统计!B$2:B$500,MATCH(97,样本到样信息汇总统计!$Y$2:$Y$500,0)),"")</f>
        <v/>
      </c>
      <c r="C98" s="4" t="str">
        <f>IFERROR(INDEX(样本到样信息汇总统计!C$2:C$500,MATCH(97,样本到样信息汇总统计!$Y$2:$Y$500,0)),"")</f>
        <v/>
      </c>
      <c r="D98" s="4" t="str">
        <f>IFERROR(INDEX(样本到样信息汇总统计!D$2:D$500,MATCH(97,样本到样信息汇总统计!$Y$2:$Y$500,0)),"")</f>
        <v/>
      </c>
      <c r="E98" s="4" t="str">
        <f>IFERROR(INDEX(样本到样信息汇总统计!E$2:E$500,MATCH(97,样本到样信息汇总统计!$Y$2:$Y$500,0)),"")</f>
        <v/>
      </c>
      <c r="F98" s="4" t="str">
        <f>IFERROR(INDEX(样本到样信息汇总统计!F$2:F$500,MATCH(97,样本到样信息汇总统计!$Y$2:$Y$500,0)),"")</f>
        <v/>
      </c>
      <c r="G98" s="4" t="str">
        <f>IFERROR(INDEX(样本到样信息汇总统计!G$2:G$500,MATCH(97,样本到样信息汇总统计!$Y$2:$Y$500,0)),"")</f>
        <v/>
      </c>
      <c r="H98" s="4" t="str">
        <f>IFERROR(INDEX(样本到样信息汇总统计!H$2:H$500,MATCH(97,样本到样信息汇总统计!$Y$2:$Y$500,0)),"")</f>
        <v/>
      </c>
      <c r="I98" s="4" t="str">
        <f>IFERROR(INDEX(样本到样信息汇总统计!I$2:I$500,MATCH(97,样本到样信息汇总统计!$Y$2:$Y$500,0)),"")</f>
        <v/>
      </c>
      <c r="J98" s="4" t="str">
        <f>IFERROR(INDEX(样本到样信息汇总统计!J$2:J$500,MATCH(97,样本到样信息汇总统计!$Y$2:$Y$500,0)),"")</f>
        <v/>
      </c>
      <c r="K98" s="4" t="str">
        <f>IFERROR(INDEX(样本到样信息汇总统计!K$2:K$500,MATCH(97,样本到样信息汇总统计!$Y$2:$Y$500,0)),"")</f>
        <v/>
      </c>
      <c r="L98" s="4" t="str">
        <f>IFERROR(INDEX(样本到样信息汇总统计!L$2:L$500,MATCH(97,样本到样信息汇总统计!$Y$2:$Y$500,0)),"")</f>
        <v/>
      </c>
      <c r="M98" s="4" t="str">
        <f>IFERROR(INDEX(样本到样信息汇总统计!M$2:M$500,MATCH(97,样本到样信息汇总统计!$Y$2:$Y$500,0)),"")</f>
        <v/>
      </c>
      <c r="N98" s="4" t="str">
        <f>IFERROR(INDEX(样本到样信息汇总统计!N$2:N$500,MATCH(97,样本到样信息汇总统计!$Y$2:$Y$500,0)),"")</f>
        <v/>
      </c>
      <c r="O98" s="4" t="str">
        <f>IFERROR(INDEX(样本到样信息汇总统计!O$2:O$500,MATCH(97,样本到样信息汇总统计!$Y$2:$Y$500,0)),"")</f>
        <v/>
      </c>
      <c r="P98" s="4" t="str">
        <f>IFERROR(INDEX(样本到样信息汇总统计!P$2:P$500,MATCH(97,样本到样信息汇总统计!$Y$2:$Y$500,0)),"")</f>
        <v/>
      </c>
      <c r="Q98" s="4" t="str">
        <f>IFERROR(INDEX(样本到样信息汇总统计!Q$2:Q$500,MATCH(97,样本到样信息汇总统计!$Y$2:$Y$500,0)),"")</f>
        <v/>
      </c>
      <c r="R98" s="4" t="str">
        <f>IFERROR(INDEX(样本到样信息汇总统计!R$2:R$500,MATCH(97,样本到样信息汇总统计!$Y$2:$Y$500,0)),"")</f>
        <v/>
      </c>
      <c r="S98" s="4" t="str">
        <f>IFERROR(INDEX(样本到样信息汇总统计!S$2:S$500,MATCH(97,样本到样信息汇总统计!$Y$2:$Y$500,0)),"")</f>
        <v/>
      </c>
      <c r="T98" s="4" t="str">
        <f>IFERROR(INDEX(样本到样信息汇总统计!T$2:T$500,MATCH(97,样本到样信息汇总统计!$Y$2:$Y$500,0)),"")</f>
        <v/>
      </c>
      <c r="U98" s="4" t="str">
        <f>IFERROR(INDEX(样本到样信息汇总统计!U$2:U$500,MATCH(97,样本到样信息汇总统计!$Y$2:$Y$500,0)),"")</f>
        <v/>
      </c>
      <c r="V98" s="4" t="str">
        <f>IFERROR(INDEX(样本到样信息汇总统计!V$2:V$500,MATCH(97,样本到样信息汇总统计!$Y$2:$Y$500,0)),"")</f>
        <v/>
      </c>
      <c r="W98" s="4" t="str">
        <f>IFERROR(INDEX(样本到样信息汇总统计!W$2:W$500,MATCH(97,样本到样信息汇总统计!$Y$2:$Y$500,0)),"")</f>
        <v/>
      </c>
    </row>
    <row r="99" ht="14.5" spans="1:23">
      <c r="A99" s="8" t="str">
        <f>IFERROR(INDEX(样本到样信息汇总统计!A$2:A$500,MATCH(98,样本到样信息汇总统计!$Y$2:$Y$500,0)),"")</f>
        <v/>
      </c>
      <c r="B99" s="8" t="str">
        <f>IFERROR(INDEX(样本到样信息汇总统计!B$2:B$500,MATCH(98,样本到样信息汇总统计!$Y$2:$Y$500,0)),"")</f>
        <v/>
      </c>
      <c r="C99" s="8" t="str">
        <f>IFERROR(INDEX(样本到样信息汇总统计!C$2:C$500,MATCH(98,样本到样信息汇总统计!$Y$2:$Y$500,0)),"")</f>
        <v/>
      </c>
      <c r="D99" s="8" t="str">
        <f>IFERROR(INDEX(样本到样信息汇总统计!D$2:D$500,MATCH(98,样本到样信息汇总统计!$Y$2:$Y$500,0)),"")</f>
        <v/>
      </c>
      <c r="E99" s="8" t="str">
        <f>IFERROR(INDEX(样本到样信息汇总统计!E$2:E$500,MATCH(98,样本到样信息汇总统计!$Y$2:$Y$500,0)),"")</f>
        <v/>
      </c>
      <c r="F99" s="8" t="str">
        <f>IFERROR(INDEX(样本到样信息汇总统计!F$2:F$500,MATCH(98,样本到样信息汇总统计!$Y$2:$Y$500,0)),"")</f>
        <v/>
      </c>
      <c r="G99" s="8" t="str">
        <f>IFERROR(INDEX(样本到样信息汇总统计!G$2:G$500,MATCH(98,样本到样信息汇总统计!$Y$2:$Y$500,0)),"")</f>
        <v/>
      </c>
      <c r="H99" s="8" t="str">
        <f>IFERROR(INDEX(样本到样信息汇总统计!H$2:H$500,MATCH(98,样本到样信息汇总统计!$Y$2:$Y$500,0)),"")</f>
        <v/>
      </c>
      <c r="I99" s="8" t="str">
        <f>IFERROR(INDEX(样本到样信息汇总统计!I$2:I$500,MATCH(98,样本到样信息汇总统计!$Y$2:$Y$500,0)),"")</f>
        <v/>
      </c>
      <c r="J99" s="8" t="str">
        <f>IFERROR(INDEX(样本到样信息汇总统计!J$2:J$500,MATCH(98,样本到样信息汇总统计!$Y$2:$Y$500,0)),"")</f>
        <v/>
      </c>
      <c r="K99" s="8" t="str">
        <f>IFERROR(INDEX(样本到样信息汇总统计!K$2:K$500,MATCH(98,样本到样信息汇总统计!$Y$2:$Y$500,0)),"")</f>
        <v/>
      </c>
      <c r="L99" s="8" t="str">
        <f>IFERROR(INDEX(样本到样信息汇总统计!L$2:L$500,MATCH(98,样本到样信息汇总统计!$Y$2:$Y$500,0)),"")</f>
        <v/>
      </c>
      <c r="M99" s="8" t="str">
        <f>IFERROR(INDEX(样本到样信息汇总统计!M$2:M$500,MATCH(98,样本到样信息汇总统计!$Y$2:$Y$500,0)),"")</f>
        <v/>
      </c>
      <c r="N99" s="8" t="str">
        <f>IFERROR(INDEX(样本到样信息汇总统计!N$2:N$500,MATCH(98,样本到样信息汇总统计!$Y$2:$Y$500,0)),"")</f>
        <v/>
      </c>
      <c r="O99" s="8" t="str">
        <f>IFERROR(INDEX(样本到样信息汇总统计!O$2:O$500,MATCH(98,样本到样信息汇总统计!$Y$2:$Y$500,0)),"")</f>
        <v/>
      </c>
      <c r="P99" s="8" t="str">
        <f>IFERROR(INDEX(样本到样信息汇总统计!P$2:P$500,MATCH(98,样本到样信息汇总统计!$Y$2:$Y$500,0)),"")</f>
        <v/>
      </c>
      <c r="Q99" s="8" t="str">
        <f>IFERROR(INDEX(样本到样信息汇总统计!Q$2:Q$500,MATCH(98,样本到样信息汇总统计!$Y$2:$Y$500,0)),"")</f>
        <v/>
      </c>
      <c r="R99" s="8" t="str">
        <f>IFERROR(INDEX(样本到样信息汇总统计!R$2:R$500,MATCH(98,样本到样信息汇总统计!$Y$2:$Y$500,0)),"")</f>
        <v/>
      </c>
      <c r="S99" s="8" t="str">
        <f>IFERROR(INDEX(样本到样信息汇总统计!S$2:S$500,MATCH(98,样本到样信息汇总统计!$Y$2:$Y$500,0)),"")</f>
        <v/>
      </c>
      <c r="T99" s="8" t="str">
        <f>IFERROR(INDEX(样本到样信息汇总统计!T$2:T$500,MATCH(98,样本到样信息汇总统计!$Y$2:$Y$500,0)),"")</f>
        <v/>
      </c>
      <c r="U99" s="8" t="str">
        <f>IFERROR(INDEX(样本到样信息汇总统计!U$2:U$500,MATCH(98,样本到样信息汇总统计!$Y$2:$Y$500,0)),"")</f>
        <v/>
      </c>
      <c r="V99" s="8" t="str">
        <f>IFERROR(INDEX(样本到样信息汇总统计!V$2:V$500,MATCH(98,样本到样信息汇总统计!$Y$2:$Y$500,0)),"")</f>
        <v/>
      </c>
      <c r="W99" s="8" t="str">
        <f>IFERROR(INDEX(样本到样信息汇总统计!W$2:W$500,MATCH(98,样本到样信息汇总统计!$Y$2:$Y$500,0)),"")</f>
        <v/>
      </c>
    </row>
    <row r="100" ht="14.5" spans="1:23">
      <c r="A100" s="4" t="str">
        <f>IFERROR(INDEX(样本到样信息汇总统计!A$2:A$500,MATCH(99,样本到样信息汇总统计!$Y$2:$Y$500,0)),"")</f>
        <v/>
      </c>
      <c r="B100" s="4" t="str">
        <f>IFERROR(INDEX(样本到样信息汇总统计!B$2:B$500,MATCH(99,样本到样信息汇总统计!$Y$2:$Y$500,0)),"")</f>
        <v/>
      </c>
      <c r="C100" s="4" t="str">
        <f>IFERROR(INDEX(样本到样信息汇总统计!C$2:C$500,MATCH(99,样本到样信息汇总统计!$Y$2:$Y$500,0)),"")</f>
        <v/>
      </c>
      <c r="D100" s="4" t="str">
        <f>IFERROR(INDEX(样本到样信息汇总统计!D$2:D$500,MATCH(99,样本到样信息汇总统计!$Y$2:$Y$500,0)),"")</f>
        <v/>
      </c>
      <c r="E100" s="4" t="str">
        <f>IFERROR(INDEX(样本到样信息汇总统计!E$2:E$500,MATCH(99,样本到样信息汇总统计!$Y$2:$Y$500,0)),"")</f>
        <v/>
      </c>
      <c r="F100" s="4" t="str">
        <f>IFERROR(INDEX(样本到样信息汇总统计!F$2:F$500,MATCH(99,样本到样信息汇总统计!$Y$2:$Y$500,0)),"")</f>
        <v/>
      </c>
      <c r="G100" s="4" t="str">
        <f>IFERROR(INDEX(样本到样信息汇总统计!G$2:G$500,MATCH(99,样本到样信息汇总统计!$Y$2:$Y$500,0)),"")</f>
        <v/>
      </c>
      <c r="H100" s="4" t="str">
        <f>IFERROR(INDEX(样本到样信息汇总统计!H$2:H$500,MATCH(99,样本到样信息汇总统计!$Y$2:$Y$500,0)),"")</f>
        <v/>
      </c>
      <c r="I100" s="4" t="str">
        <f>IFERROR(INDEX(样本到样信息汇总统计!I$2:I$500,MATCH(99,样本到样信息汇总统计!$Y$2:$Y$500,0)),"")</f>
        <v/>
      </c>
      <c r="J100" s="4" t="str">
        <f>IFERROR(INDEX(样本到样信息汇总统计!J$2:J$500,MATCH(99,样本到样信息汇总统计!$Y$2:$Y$500,0)),"")</f>
        <v/>
      </c>
      <c r="K100" s="4" t="str">
        <f>IFERROR(INDEX(样本到样信息汇总统计!K$2:K$500,MATCH(99,样本到样信息汇总统计!$Y$2:$Y$500,0)),"")</f>
        <v/>
      </c>
      <c r="L100" s="4" t="str">
        <f>IFERROR(INDEX(样本到样信息汇总统计!L$2:L$500,MATCH(99,样本到样信息汇总统计!$Y$2:$Y$500,0)),"")</f>
        <v/>
      </c>
      <c r="M100" s="4" t="str">
        <f>IFERROR(INDEX(样本到样信息汇总统计!M$2:M$500,MATCH(99,样本到样信息汇总统计!$Y$2:$Y$500,0)),"")</f>
        <v/>
      </c>
      <c r="N100" s="4" t="str">
        <f>IFERROR(INDEX(样本到样信息汇总统计!N$2:N$500,MATCH(99,样本到样信息汇总统计!$Y$2:$Y$500,0)),"")</f>
        <v/>
      </c>
      <c r="O100" s="4" t="str">
        <f>IFERROR(INDEX(样本到样信息汇总统计!O$2:O$500,MATCH(99,样本到样信息汇总统计!$Y$2:$Y$500,0)),"")</f>
        <v/>
      </c>
      <c r="P100" s="4" t="str">
        <f>IFERROR(INDEX(样本到样信息汇总统计!P$2:P$500,MATCH(99,样本到样信息汇总统计!$Y$2:$Y$500,0)),"")</f>
        <v/>
      </c>
      <c r="Q100" s="4" t="str">
        <f>IFERROR(INDEX(样本到样信息汇总统计!Q$2:Q$500,MATCH(99,样本到样信息汇总统计!$Y$2:$Y$500,0)),"")</f>
        <v/>
      </c>
      <c r="R100" s="4" t="str">
        <f>IFERROR(INDEX(样本到样信息汇总统计!R$2:R$500,MATCH(99,样本到样信息汇总统计!$Y$2:$Y$500,0)),"")</f>
        <v/>
      </c>
      <c r="S100" s="4" t="str">
        <f>IFERROR(INDEX(样本到样信息汇总统计!S$2:S$500,MATCH(99,样本到样信息汇总统计!$Y$2:$Y$500,0)),"")</f>
        <v/>
      </c>
      <c r="T100" s="4" t="str">
        <f>IFERROR(INDEX(样本到样信息汇总统计!T$2:T$500,MATCH(99,样本到样信息汇总统计!$Y$2:$Y$500,0)),"")</f>
        <v/>
      </c>
      <c r="U100" s="4" t="str">
        <f>IFERROR(INDEX(样本到样信息汇总统计!U$2:U$500,MATCH(99,样本到样信息汇总统计!$Y$2:$Y$500,0)),"")</f>
        <v/>
      </c>
      <c r="V100" s="4" t="str">
        <f>IFERROR(INDEX(样本到样信息汇总统计!V$2:V$500,MATCH(99,样本到样信息汇总统计!$Y$2:$Y$500,0)),"")</f>
        <v/>
      </c>
      <c r="W100" s="4" t="str">
        <f>IFERROR(INDEX(样本到样信息汇总统计!W$2:W$500,MATCH(99,样本到样信息汇总统计!$Y$2:$Y$500,0)),"")</f>
        <v/>
      </c>
    </row>
    <row r="101" ht="14.5" spans="1:23">
      <c r="A101" s="8" t="str">
        <f>IFERROR(INDEX(样本到样信息汇总统计!A$2:A$500,MATCH(100,样本到样信息汇总统计!$Y$2:$Y$500,0)),"")</f>
        <v/>
      </c>
      <c r="B101" s="8" t="str">
        <f>IFERROR(INDEX(样本到样信息汇总统计!B$2:B$500,MATCH(100,样本到样信息汇总统计!$Y$2:$Y$500,0)),"")</f>
        <v/>
      </c>
      <c r="C101" s="8" t="str">
        <f>IFERROR(INDEX(样本到样信息汇总统计!C$2:C$500,MATCH(100,样本到样信息汇总统计!$Y$2:$Y$500,0)),"")</f>
        <v/>
      </c>
      <c r="D101" s="8" t="str">
        <f>IFERROR(INDEX(样本到样信息汇总统计!D$2:D$500,MATCH(100,样本到样信息汇总统计!$Y$2:$Y$500,0)),"")</f>
        <v/>
      </c>
      <c r="E101" s="8" t="str">
        <f>IFERROR(INDEX(样本到样信息汇总统计!E$2:E$500,MATCH(100,样本到样信息汇总统计!$Y$2:$Y$500,0)),"")</f>
        <v/>
      </c>
      <c r="F101" s="8" t="str">
        <f>IFERROR(INDEX(样本到样信息汇总统计!F$2:F$500,MATCH(100,样本到样信息汇总统计!$Y$2:$Y$500,0)),"")</f>
        <v/>
      </c>
      <c r="G101" s="8" t="str">
        <f>IFERROR(INDEX(样本到样信息汇总统计!G$2:G$500,MATCH(100,样本到样信息汇总统计!$Y$2:$Y$500,0)),"")</f>
        <v/>
      </c>
      <c r="H101" s="8" t="str">
        <f>IFERROR(INDEX(样本到样信息汇总统计!H$2:H$500,MATCH(100,样本到样信息汇总统计!$Y$2:$Y$500,0)),"")</f>
        <v/>
      </c>
      <c r="I101" s="8" t="str">
        <f>IFERROR(INDEX(样本到样信息汇总统计!I$2:I$500,MATCH(100,样本到样信息汇总统计!$Y$2:$Y$500,0)),"")</f>
        <v/>
      </c>
      <c r="J101" s="8" t="str">
        <f>IFERROR(INDEX(样本到样信息汇总统计!J$2:J$500,MATCH(100,样本到样信息汇总统计!$Y$2:$Y$500,0)),"")</f>
        <v/>
      </c>
      <c r="K101" s="8" t="str">
        <f>IFERROR(INDEX(样本到样信息汇总统计!K$2:K$500,MATCH(100,样本到样信息汇总统计!$Y$2:$Y$500,0)),"")</f>
        <v/>
      </c>
      <c r="L101" s="8" t="str">
        <f>IFERROR(INDEX(样本到样信息汇总统计!L$2:L$500,MATCH(100,样本到样信息汇总统计!$Y$2:$Y$500,0)),"")</f>
        <v/>
      </c>
      <c r="M101" s="8" t="str">
        <f>IFERROR(INDEX(样本到样信息汇总统计!M$2:M$500,MATCH(100,样本到样信息汇总统计!$Y$2:$Y$500,0)),"")</f>
        <v/>
      </c>
      <c r="N101" s="8" t="str">
        <f>IFERROR(INDEX(样本到样信息汇总统计!N$2:N$500,MATCH(100,样本到样信息汇总统计!$Y$2:$Y$500,0)),"")</f>
        <v/>
      </c>
      <c r="O101" s="8" t="str">
        <f>IFERROR(INDEX(样本到样信息汇总统计!O$2:O$500,MATCH(100,样本到样信息汇总统计!$Y$2:$Y$500,0)),"")</f>
        <v/>
      </c>
      <c r="P101" s="8" t="str">
        <f>IFERROR(INDEX(样本到样信息汇总统计!P$2:P$500,MATCH(100,样本到样信息汇总统计!$Y$2:$Y$500,0)),"")</f>
        <v/>
      </c>
      <c r="Q101" s="8" t="str">
        <f>IFERROR(INDEX(样本到样信息汇总统计!Q$2:Q$500,MATCH(100,样本到样信息汇总统计!$Y$2:$Y$500,0)),"")</f>
        <v/>
      </c>
      <c r="R101" s="8" t="str">
        <f>IFERROR(INDEX(样本到样信息汇总统计!R$2:R$500,MATCH(100,样本到样信息汇总统计!$Y$2:$Y$500,0)),"")</f>
        <v/>
      </c>
      <c r="S101" s="8" t="str">
        <f>IFERROR(INDEX(样本到样信息汇总统计!S$2:S$500,MATCH(100,样本到样信息汇总统计!$Y$2:$Y$500,0)),"")</f>
        <v/>
      </c>
      <c r="T101" s="8" t="str">
        <f>IFERROR(INDEX(样本到样信息汇总统计!T$2:T$500,MATCH(100,样本到样信息汇总统计!$Y$2:$Y$500,0)),"")</f>
        <v/>
      </c>
      <c r="U101" s="8" t="str">
        <f>IFERROR(INDEX(样本到样信息汇总统计!U$2:U$500,MATCH(100,样本到样信息汇总统计!$Y$2:$Y$500,0)),"")</f>
        <v/>
      </c>
      <c r="V101" s="8" t="str">
        <f>IFERROR(INDEX(样本到样信息汇总统计!V$2:V$500,MATCH(100,样本到样信息汇总统计!$Y$2:$Y$500,0)),"")</f>
        <v/>
      </c>
      <c r="W101" s="8" t="str">
        <f>IFERROR(INDEX(样本到样信息汇总统计!W$2:W$500,MATCH(100,样本到样信息汇总统计!$Y$2:$Y$500,0)),"")</f>
        <v/>
      </c>
    </row>
    <row r="102" ht="14.5" spans="1:23">
      <c r="A102" s="4" t="str">
        <f>IFERROR(INDEX(样本到样信息汇总统计!A$2:A$500,MATCH(101,样本到样信息汇总统计!$Y$2:$Y$500,0)),"")</f>
        <v/>
      </c>
      <c r="B102" s="4" t="str">
        <f>IFERROR(INDEX(样本到样信息汇总统计!B$2:B$500,MATCH(101,样本到样信息汇总统计!$Y$2:$Y$500,0)),"")</f>
        <v/>
      </c>
      <c r="C102" s="4" t="str">
        <f>IFERROR(INDEX(样本到样信息汇总统计!C$2:C$500,MATCH(101,样本到样信息汇总统计!$Y$2:$Y$500,0)),"")</f>
        <v/>
      </c>
      <c r="D102" s="4" t="str">
        <f>IFERROR(INDEX(样本到样信息汇总统计!D$2:D$500,MATCH(101,样本到样信息汇总统计!$Y$2:$Y$500,0)),"")</f>
        <v/>
      </c>
      <c r="E102" s="4" t="str">
        <f>IFERROR(INDEX(样本到样信息汇总统计!E$2:E$500,MATCH(101,样本到样信息汇总统计!$Y$2:$Y$500,0)),"")</f>
        <v/>
      </c>
      <c r="F102" s="4" t="str">
        <f>IFERROR(INDEX(样本到样信息汇总统计!F$2:F$500,MATCH(101,样本到样信息汇总统计!$Y$2:$Y$500,0)),"")</f>
        <v/>
      </c>
      <c r="G102" s="4" t="str">
        <f>IFERROR(INDEX(样本到样信息汇总统计!G$2:G$500,MATCH(101,样本到样信息汇总统计!$Y$2:$Y$500,0)),"")</f>
        <v/>
      </c>
      <c r="H102" s="4" t="str">
        <f>IFERROR(INDEX(样本到样信息汇总统计!H$2:H$500,MATCH(101,样本到样信息汇总统计!$Y$2:$Y$500,0)),"")</f>
        <v/>
      </c>
      <c r="I102" s="4" t="str">
        <f>IFERROR(INDEX(样本到样信息汇总统计!I$2:I$500,MATCH(101,样本到样信息汇总统计!$Y$2:$Y$500,0)),"")</f>
        <v/>
      </c>
      <c r="J102" s="4" t="str">
        <f>IFERROR(INDEX(样本到样信息汇总统计!J$2:J$500,MATCH(101,样本到样信息汇总统计!$Y$2:$Y$500,0)),"")</f>
        <v/>
      </c>
      <c r="K102" s="4" t="str">
        <f>IFERROR(INDEX(样本到样信息汇总统计!K$2:K$500,MATCH(101,样本到样信息汇总统计!$Y$2:$Y$500,0)),"")</f>
        <v/>
      </c>
      <c r="L102" s="4" t="str">
        <f>IFERROR(INDEX(样本到样信息汇总统计!L$2:L$500,MATCH(101,样本到样信息汇总统计!$Y$2:$Y$500,0)),"")</f>
        <v/>
      </c>
      <c r="M102" s="4" t="str">
        <f>IFERROR(INDEX(样本到样信息汇总统计!M$2:M$500,MATCH(101,样本到样信息汇总统计!$Y$2:$Y$500,0)),"")</f>
        <v/>
      </c>
      <c r="N102" s="4" t="str">
        <f>IFERROR(INDEX(样本到样信息汇总统计!N$2:N$500,MATCH(101,样本到样信息汇总统计!$Y$2:$Y$500,0)),"")</f>
        <v/>
      </c>
      <c r="O102" s="4" t="str">
        <f>IFERROR(INDEX(样本到样信息汇总统计!O$2:O$500,MATCH(101,样本到样信息汇总统计!$Y$2:$Y$500,0)),"")</f>
        <v/>
      </c>
      <c r="P102" s="4" t="str">
        <f>IFERROR(INDEX(样本到样信息汇总统计!P$2:P$500,MATCH(101,样本到样信息汇总统计!$Y$2:$Y$500,0)),"")</f>
        <v/>
      </c>
      <c r="Q102" s="4" t="str">
        <f>IFERROR(INDEX(样本到样信息汇总统计!Q$2:Q$500,MATCH(101,样本到样信息汇总统计!$Y$2:$Y$500,0)),"")</f>
        <v/>
      </c>
      <c r="R102" s="4" t="str">
        <f>IFERROR(INDEX(样本到样信息汇总统计!R$2:R$500,MATCH(101,样本到样信息汇总统计!$Y$2:$Y$500,0)),"")</f>
        <v/>
      </c>
      <c r="S102" s="4" t="str">
        <f>IFERROR(INDEX(样本到样信息汇总统计!S$2:S$500,MATCH(101,样本到样信息汇总统计!$Y$2:$Y$500,0)),"")</f>
        <v/>
      </c>
      <c r="T102" s="4" t="str">
        <f>IFERROR(INDEX(样本到样信息汇总统计!T$2:T$500,MATCH(101,样本到样信息汇总统计!$Y$2:$Y$500,0)),"")</f>
        <v/>
      </c>
      <c r="U102" s="4" t="str">
        <f>IFERROR(INDEX(样本到样信息汇总统计!U$2:U$500,MATCH(101,样本到样信息汇总统计!$Y$2:$Y$500,0)),"")</f>
        <v/>
      </c>
      <c r="V102" s="4" t="str">
        <f>IFERROR(INDEX(样本到样信息汇总统计!V$2:V$500,MATCH(101,样本到样信息汇总统计!$Y$2:$Y$500,0)),"")</f>
        <v/>
      </c>
      <c r="W102" s="4" t="str">
        <f>IFERROR(INDEX(样本到样信息汇总统计!W$2:W$500,MATCH(101,样本到样信息汇总统计!$Y$2:$Y$500,0)),"")</f>
        <v/>
      </c>
    </row>
    <row r="103" ht="14.5" spans="1:23">
      <c r="A103" s="8" t="str">
        <f>IFERROR(INDEX(样本到样信息汇总统计!A$2:A$500,MATCH(102,样本到样信息汇总统计!$Y$2:$Y$500,0)),"")</f>
        <v/>
      </c>
      <c r="B103" s="8" t="str">
        <f>IFERROR(INDEX(样本到样信息汇总统计!B$2:B$500,MATCH(102,样本到样信息汇总统计!$Y$2:$Y$500,0)),"")</f>
        <v/>
      </c>
      <c r="C103" s="8" t="str">
        <f>IFERROR(INDEX(样本到样信息汇总统计!C$2:C$500,MATCH(102,样本到样信息汇总统计!$Y$2:$Y$500,0)),"")</f>
        <v/>
      </c>
      <c r="D103" s="8" t="str">
        <f>IFERROR(INDEX(样本到样信息汇总统计!D$2:D$500,MATCH(102,样本到样信息汇总统计!$Y$2:$Y$500,0)),"")</f>
        <v/>
      </c>
      <c r="E103" s="8" t="str">
        <f>IFERROR(INDEX(样本到样信息汇总统计!E$2:E$500,MATCH(102,样本到样信息汇总统计!$Y$2:$Y$500,0)),"")</f>
        <v/>
      </c>
      <c r="F103" s="8" t="str">
        <f>IFERROR(INDEX(样本到样信息汇总统计!F$2:F$500,MATCH(102,样本到样信息汇总统计!$Y$2:$Y$500,0)),"")</f>
        <v/>
      </c>
      <c r="G103" s="8" t="str">
        <f>IFERROR(INDEX(样本到样信息汇总统计!G$2:G$500,MATCH(102,样本到样信息汇总统计!$Y$2:$Y$500,0)),"")</f>
        <v/>
      </c>
      <c r="H103" s="8" t="str">
        <f>IFERROR(INDEX(样本到样信息汇总统计!H$2:H$500,MATCH(102,样本到样信息汇总统计!$Y$2:$Y$500,0)),"")</f>
        <v/>
      </c>
      <c r="I103" s="8" t="str">
        <f>IFERROR(INDEX(样本到样信息汇总统计!I$2:I$500,MATCH(102,样本到样信息汇总统计!$Y$2:$Y$500,0)),"")</f>
        <v/>
      </c>
      <c r="J103" s="8" t="str">
        <f>IFERROR(INDEX(样本到样信息汇总统计!J$2:J$500,MATCH(102,样本到样信息汇总统计!$Y$2:$Y$500,0)),"")</f>
        <v/>
      </c>
      <c r="K103" s="8" t="str">
        <f>IFERROR(INDEX(样本到样信息汇总统计!K$2:K$500,MATCH(102,样本到样信息汇总统计!$Y$2:$Y$500,0)),"")</f>
        <v/>
      </c>
      <c r="L103" s="8" t="str">
        <f>IFERROR(INDEX(样本到样信息汇总统计!L$2:L$500,MATCH(102,样本到样信息汇总统计!$Y$2:$Y$500,0)),"")</f>
        <v/>
      </c>
      <c r="M103" s="8" t="str">
        <f>IFERROR(INDEX(样本到样信息汇总统计!M$2:M$500,MATCH(102,样本到样信息汇总统计!$Y$2:$Y$500,0)),"")</f>
        <v/>
      </c>
      <c r="N103" s="8" t="str">
        <f>IFERROR(INDEX(样本到样信息汇总统计!N$2:N$500,MATCH(102,样本到样信息汇总统计!$Y$2:$Y$500,0)),"")</f>
        <v/>
      </c>
      <c r="O103" s="8" t="str">
        <f>IFERROR(INDEX(样本到样信息汇总统计!O$2:O$500,MATCH(102,样本到样信息汇总统计!$Y$2:$Y$500,0)),"")</f>
        <v/>
      </c>
      <c r="P103" s="8" t="str">
        <f>IFERROR(INDEX(样本到样信息汇总统计!P$2:P$500,MATCH(102,样本到样信息汇总统计!$Y$2:$Y$500,0)),"")</f>
        <v/>
      </c>
      <c r="Q103" s="8" t="str">
        <f>IFERROR(INDEX(样本到样信息汇总统计!Q$2:Q$500,MATCH(102,样本到样信息汇总统计!$Y$2:$Y$500,0)),"")</f>
        <v/>
      </c>
      <c r="R103" s="8" t="str">
        <f>IFERROR(INDEX(样本到样信息汇总统计!R$2:R$500,MATCH(102,样本到样信息汇总统计!$Y$2:$Y$500,0)),"")</f>
        <v/>
      </c>
      <c r="S103" s="8" t="str">
        <f>IFERROR(INDEX(样本到样信息汇总统计!S$2:S$500,MATCH(102,样本到样信息汇总统计!$Y$2:$Y$500,0)),"")</f>
        <v/>
      </c>
      <c r="T103" s="8" t="str">
        <f>IFERROR(INDEX(样本到样信息汇总统计!T$2:T$500,MATCH(102,样本到样信息汇总统计!$Y$2:$Y$500,0)),"")</f>
        <v/>
      </c>
      <c r="U103" s="8" t="str">
        <f>IFERROR(INDEX(样本到样信息汇总统计!U$2:U$500,MATCH(102,样本到样信息汇总统计!$Y$2:$Y$500,0)),"")</f>
        <v/>
      </c>
      <c r="V103" s="8" t="str">
        <f>IFERROR(INDEX(样本到样信息汇总统计!V$2:V$500,MATCH(102,样本到样信息汇总统计!$Y$2:$Y$500,0)),"")</f>
        <v/>
      </c>
      <c r="W103" s="8" t="str">
        <f>IFERROR(INDEX(样本到样信息汇总统计!W$2:W$500,MATCH(102,样本到样信息汇总统计!$Y$2:$Y$500,0)),"")</f>
        <v/>
      </c>
    </row>
    <row r="104" ht="14.5" spans="1:23">
      <c r="A104" s="4" t="str">
        <f>IFERROR(INDEX(样本到样信息汇总统计!A$2:A$500,MATCH(103,样本到样信息汇总统计!$Y$2:$Y$500,0)),"")</f>
        <v/>
      </c>
      <c r="B104" s="4" t="str">
        <f>IFERROR(INDEX(样本到样信息汇总统计!B$2:B$500,MATCH(103,样本到样信息汇总统计!$Y$2:$Y$500,0)),"")</f>
        <v/>
      </c>
      <c r="C104" s="4" t="str">
        <f>IFERROR(INDEX(样本到样信息汇总统计!C$2:C$500,MATCH(103,样本到样信息汇总统计!$Y$2:$Y$500,0)),"")</f>
        <v/>
      </c>
      <c r="D104" s="4" t="str">
        <f>IFERROR(INDEX(样本到样信息汇总统计!D$2:D$500,MATCH(103,样本到样信息汇总统计!$Y$2:$Y$500,0)),"")</f>
        <v/>
      </c>
      <c r="E104" s="4" t="str">
        <f>IFERROR(INDEX(样本到样信息汇总统计!E$2:E$500,MATCH(103,样本到样信息汇总统计!$Y$2:$Y$500,0)),"")</f>
        <v/>
      </c>
      <c r="F104" s="4" t="str">
        <f>IFERROR(INDEX(样本到样信息汇总统计!F$2:F$500,MATCH(103,样本到样信息汇总统计!$Y$2:$Y$500,0)),"")</f>
        <v/>
      </c>
      <c r="G104" s="4" t="str">
        <f>IFERROR(INDEX(样本到样信息汇总统计!G$2:G$500,MATCH(103,样本到样信息汇总统计!$Y$2:$Y$500,0)),"")</f>
        <v/>
      </c>
      <c r="H104" s="4" t="str">
        <f>IFERROR(INDEX(样本到样信息汇总统计!H$2:H$500,MATCH(103,样本到样信息汇总统计!$Y$2:$Y$500,0)),"")</f>
        <v/>
      </c>
      <c r="I104" s="4" t="str">
        <f>IFERROR(INDEX(样本到样信息汇总统计!I$2:I$500,MATCH(103,样本到样信息汇总统计!$Y$2:$Y$500,0)),"")</f>
        <v/>
      </c>
      <c r="J104" s="4" t="str">
        <f>IFERROR(INDEX(样本到样信息汇总统计!J$2:J$500,MATCH(103,样本到样信息汇总统计!$Y$2:$Y$500,0)),"")</f>
        <v/>
      </c>
      <c r="K104" s="4" t="str">
        <f>IFERROR(INDEX(样本到样信息汇总统计!K$2:K$500,MATCH(103,样本到样信息汇总统计!$Y$2:$Y$500,0)),"")</f>
        <v/>
      </c>
      <c r="L104" s="4" t="str">
        <f>IFERROR(INDEX(样本到样信息汇总统计!L$2:L$500,MATCH(103,样本到样信息汇总统计!$Y$2:$Y$500,0)),"")</f>
        <v/>
      </c>
      <c r="M104" s="4" t="str">
        <f>IFERROR(INDEX(样本到样信息汇总统计!M$2:M$500,MATCH(103,样本到样信息汇总统计!$Y$2:$Y$500,0)),"")</f>
        <v/>
      </c>
      <c r="N104" s="4" t="str">
        <f>IFERROR(INDEX(样本到样信息汇总统计!N$2:N$500,MATCH(103,样本到样信息汇总统计!$Y$2:$Y$500,0)),"")</f>
        <v/>
      </c>
      <c r="O104" s="4" t="str">
        <f>IFERROR(INDEX(样本到样信息汇总统计!O$2:O$500,MATCH(103,样本到样信息汇总统计!$Y$2:$Y$500,0)),"")</f>
        <v/>
      </c>
      <c r="P104" s="4" t="str">
        <f>IFERROR(INDEX(样本到样信息汇总统计!P$2:P$500,MATCH(103,样本到样信息汇总统计!$Y$2:$Y$500,0)),"")</f>
        <v/>
      </c>
      <c r="Q104" s="4" t="str">
        <f>IFERROR(INDEX(样本到样信息汇总统计!Q$2:Q$500,MATCH(103,样本到样信息汇总统计!$Y$2:$Y$500,0)),"")</f>
        <v/>
      </c>
      <c r="R104" s="4" t="str">
        <f>IFERROR(INDEX(样本到样信息汇总统计!R$2:R$500,MATCH(103,样本到样信息汇总统计!$Y$2:$Y$500,0)),"")</f>
        <v/>
      </c>
      <c r="S104" s="4" t="str">
        <f>IFERROR(INDEX(样本到样信息汇总统计!S$2:S$500,MATCH(103,样本到样信息汇总统计!$Y$2:$Y$500,0)),"")</f>
        <v/>
      </c>
      <c r="T104" s="4" t="str">
        <f>IFERROR(INDEX(样本到样信息汇总统计!T$2:T$500,MATCH(103,样本到样信息汇总统计!$Y$2:$Y$500,0)),"")</f>
        <v/>
      </c>
      <c r="U104" s="4" t="str">
        <f>IFERROR(INDEX(样本到样信息汇总统计!U$2:U$500,MATCH(103,样本到样信息汇总统计!$Y$2:$Y$500,0)),"")</f>
        <v/>
      </c>
      <c r="V104" s="4" t="str">
        <f>IFERROR(INDEX(样本到样信息汇总统计!V$2:V$500,MATCH(103,样本到样信息汇总统计!$Y$2:$Y$500,0)),"")</f>
        <v/>
      </c>
      <c r="W104" s="4" t="str">
        <f>IFERROR(INDEX(样本到样信息汇总统计!W$2:W$500,MATCH(103,样本到样信息汇总统计!$Y$2:$Y$500,0)),"")</f>
        <v/>
      </c>
    </row>
    <row r="105" ht="14.5" spans="1:23">
      <c r="A105" s="8" t="str">
        <f>IFERROR(INDEX(样本到样信息汇总统计!A$2:A$500,MATCH(104,样本到样信息汇总统计!$Y$2:$Y$500,0)),"")</f>
        <v/>
      </c>
      <c r="B105" s="8" t="str">
        <f>IFERROR(INDEX(样本到样信息汇总统计!B$2:B$500,MATCH(104,样本到样信息汇总统计!$Y$2:$Y$500,0)),"")</f>
        <v/>
      </c>
      <c r="C105" s="8" t="str">
        <f>IFERROR(INDEX(样本到样信息汇总统计!C$2:C$500,MATCH(104,样本到样信息汇总统计!$Y$2:$Y$500,0)),"")</f>
        <v/>
      </c>
      <c r="D105" s="8" t="str">
        <f>IFERROR(INDEX(样本到样信息汇总统计!D$2:D$500,MATCH(104,样本到样信息汇总统计!$Y$2:$Y$500,0)),"")</f>
        <v/>
      </c>
      <c r="E105" s="8" t="str">
        <f>IFERROR(INDEX(样本到样信息汇总统计!E$2:E$500,MATCH(104,样本到样信息汇总统计!$Y$2:$Y$500,0)),"")</f>
        <v/>
      </c>
      <c r="F105" s="8" t="str">
        <f>IFERROR(INDEX(样本到样信息汇总统计!F$2:F$500,MATCH(104,样本到样信息汇总统计!$Y$2:$Y$500,0)),"")</f>
        <v/>
      </c>
      <c r="G105" s="8" t="str">
        <f>IFERROR(INDEX(样本到样信息汇总统计!G$2:G$500,MATCH(104,样本到样信息汇总统计!$Y$2:$Y$500,0)),"")</f>
        <v/>
      </c>
      <c r="H105" s="8" t="str">
        <f>IFERROR(INDEX(样本到样信息汇总统计!H$2:H$500,MATCH(104,样本到样信息汇总统计!$Y$2:$Y$500,0)),"")</f>
        <v/>
      </c>
      <c r="I105" s="8" t="str">
        <f>IFERROR(INDEX(样本到样信息汇总统计!I$2:I$500,MATCH(104,样本到样信息汇总统计!$Y$2:$Y$500,0)),"")</f>
        <v/>
      </c>
      <c r="J105" s="8" t="str">
        <f>IFERROR(INDEX(样本到样信息汇总统计!J$2:J$500,MATCH(104,样本到样信息汇总统计!$Y$2:$Y$500,0)),"")</f>
        <v/>
      </c>
      <c r="K105" s="8" t="str">
        <f>IFERROR(INDEX(样本到样信息汇总统计!K$2:K$500,MATCH(104,样本到样信息汇总统计!$Y$2:$Y$500,0)),"")</f>
        <v/>
      </c>
      <c r="L105" s="8" t="str">
        <f>IFERROR(INDEX(样本到样信息汇总统计!L$2:L$500,MATCH(104,样本到样信息汇总统计!$Y$2:$Y$500,0)),"")</f>
        <v/>
      </c>
      <c r="M105" s="8" t="str">
        <f>IFERROR(INDEX(样本到样信息汇总统计!M$2:M$500,MATCH(104,样本到样信息汇总统计!$Y$2:$Y$500,0)),"")</f>
        <v/>
      </c>
      <c r="N105" s="8" t="str">
        <f>IFERROR(INDEX(样本到样信息汇总统计!N$2:N$500,MATCH(104,样本到样信息汇总统计!$Y$2:$Y$500,0)),"")</f>
        <v/>
      </c>
      <c r="O105" s="8" t="str">
        <f>IFERROR(INDEX(样本到样信息汇总统计!O$2:O$500,MATCH(104,样本到样信息汇总统计!$Y$2:$Y$500,0)),"")</f>
        <v/>
      </c>
      <c r="P105" s="8" t="str">
        <f>IFERROR(INDEX(样本到样信息汇总统计!P$2:P$500,MATCH(104,样本到样信息汇总统计!$Y$2:$Y$500,0)),"")</f>
        <v/>
      </c>
      <c r="Q105" s="8" t="str">
        <f>IFERROR(INDEX(样本到样信息汇总统计!Q$2:Q$500,MATCH(104,样本到样信息汇总统计!$Y$2:$Y$500,0)),"")</f>
        <v/>
      </c>
      <c r="R105" s="8" t="str">
        <f>IFERROR(INDEX(样本到样信息汇总统计!R$2:R$500,MATCH(104,样本到样信息汇总统计!$Y$2:$Y$500,0)),"")</f>
        <v/>
      </c>
      <c r="S105" s="8" t="str">
        <f>IFERROR(INDEX(样本到样信息汇总统计!S$2:S$500,MATCH(104,样本到样信息汇总统计!$Y$2:$Y$500,0)),"")</f>
        <v/>
      </c>
      <c r="T105" s="8" t="str">
        <f>IFERROR(INDEX(样本到样信息汇总统计!T$2:T$500,MATCH(104,样本到样信息汇总统计!$Y$2:$Y$500,0)),"")</f>
        <v/>
      </c>
      <c r="U105" s="8" t="str">
        <f>IFERROR(INDEX(样本到样信息汇总统计!U$2:U$500,MATCH(104,样本到样信息汇总统计!$Y$2:$Y$500,0)),"")</f>
        <v/>
      </c>
      <c r="V105" s="8" t="str">
        <f>IFERROR(INDEX(样本到样信息汇总统计!V$2:V$500,MATCH(104,样本到样信息汇总统计!$Y$2:$Y$500,0)),"")</f>
        <v/>
      </c>
      <c r="W105" s="8" t="str">
        <f>IFERROR(INDEX(样本到样信息汇总统计!W$2:W$500,MATCH(104,样本到样信息汇总统计!$Y$2:$Y$500,0)),"")</f>
        <v/>
      </c>
    </row>
    <row r="106" ht="14.5" spans="1:23">
      <c r="A106" s="4" t="str">
        <f>IFERROR(INDEX(样本到样信息汇总统计!A$2:A$500,MATCH(105,样本到样信息汇总统计!$Y$2:$Y$500,0)),"")</f>
        <v/>
      </c>
      <c r="B106" s="4" t="str">
        <f>IFERROR(INDEX(样本到样信息汇总统计!B$2:B$500,MATCH(105,样本到样信息汇总统计!$Y$2:$Y$500,0)),"")</f>
        <v/>
      </c>
      <c r="C106" s="4" t="str">
        <f>IFERROR(INDEX(样本到样信息汇总统计!C$2:C$500,MATCH(105,样本到样信息汇总统计!$Y$2:$Y$500,0)),"")</f>
        <v/>
      </c>
      <c r="D106" s="4" t="str">
        <f>IFERROR(INDEX(样本到样信息汇总统计!D$2:D$500,MATCH(105,样本到样信息汇总统计!$Y$2:$Y$500,0)),"")</f>
        <v/>
      </c>
      <c r="E106" s="4" t="str">
        <f>IFERROR(INDEX(样本到样信息汇总统计!E$2:E$500,MATCH(105,样本到样信息汇总统计!$Y$2:$Y$500,0)),"")</f>
        <v/>
      </c>
      <c r="F106" s="4" t="str">
        <f>IFERROR(INDEX(样本到样信息汇总统计!F$2:F$500,MATCH(105,样本到样信息汇总统计!$Y$2:$Y$500,0)),"")</f>
        <v/>
      </c>
      <c r="G106" s="4" t="str">
        <f>IFERROR(INDEX(样本到样信息汇总统计!G$2:G$500,MATCH(105,样本到样信息汇总统计!$Y$2:$Y$500,0)),"")</f>
        <v/>
      </c>
      <c r="H106" s="4" t="str">
        <f>IFERROR(INDEX(样本到样信息汇总统计!H$2:H$500,MATCH(105,样本到样信息汇总统计!$Y$2:$Y$500,0)),"")</f>
        <v/>
      </c>
      <c r="I106" s="4" t="str">
        <f>IFERROR(INDEX(样本到样信息汇总统计!I$2:I$500,MATCH(105,样本到样信息汇总统计!$Y$2:$Y$500,0)),"")</f>
        <v/>
      </c>
      <c r="J106" s="4" t="str">
        <f>IFERROR(INDEX(样本到样信息汇总统计!J$2:J$500,MATCH(105,样本到样信息汇总统计!$Y$2:$Y$500,0)),"")</f>
        <v/>
      </c>
      <c r="K106" s="4" t="str">
        <f>IFERROR(INDEX(样本到样信息汇总统计!K$2:K$500,MATCH(105,样本到样信息汇总统计!$Y$2:$Y$500,0)),"")</f>
        <v/>
      </c>
      <c r="L106" s="4" t="str">
        <f>IFERROR(INDEX(样本到样信息汇总统计!L$2:L$500,MATCH(105,样本到样信息汇总统计!$Y$2:$Y$500,0)),"")</f>
        <v/>
      </c>
      <c r="M106" s="4" t="str">
        <f>IFERROR(INDEX(样本到样信息汇总统计!M$2:M$500,MATCH(105,样本到样信息汇总统计!$Y$2:$Y$500,0)),"")</f>
        <v/>
      </c>
      <c r="N106" s="4" t="str">
        <f>IFERROR(INDEX(样本到样信息汇总统计!N$2:N$500,MATCH(105,样本到样信息汇总统计!$Y$2:$Y$500,0)),"")</f>
        <v/>
      </c>
      <c r="O106" s="4" t="str">
        <f>IFERROR(INDEX(样本到样信息汇总统计!O$2:O$500,MATCH(105,样本到样信息汇总统计!$Y$2:$Y$500,0)),"")</f>
        <v/>
      </c>
      <c r="P106" s="4" t="str">
        <f>IFERROR(INDEX(样本到样信息汇总统计!P$2:P$500,MATCH(105,样本到样信息汇总统计!$Y$2:$Y$500,0)),"")</f>
        <v/>
      </c>
      <c r="Q106" s="4" t="str">
        <f>IFERROR(INDEX(样本到样信息汇总统计!Q$2:Q$500,MATCH(105,样本到样信息汇总统计!$Y$2:$Y$500,0)),"")</f>
        <v/>
      </c>
      <c r="R106" s="4" t="str">
        <f>IFERROR(INDEX(样本到样信息汇总统计!R$2:R$500,MATCH(105,样本到样信息汇总统计!$Y$2:$Y$500,0)),"")</f>
        <v/>
      </c>
      <c r="S106" s="4" t="str">
        <f>IFERROR(INDEX(样本到样信息汇总统计!S$2:S$500,MATCH(105,样本到样信息汇总统计!$Y$2:$Y$500,0)),"")</f>
        <v/>
      </c>
      <c r="T106" s="4" t="str">
        <f>IFERROR(INDEX(样本到样信息汇总统计!T$2:T$500,MATCH(105,样本到样信息汇总统计!$Y$2:$Y$500,0)),"")</f>
        <v/>
      </c>
      <c r="U106" s="4" t="str">
        <f>IFERROR(INDEX(样本到样信息汇总统计!U$2:U$500,MATCH(105,样本到样信息汇总统计!$Y$2:$Y$500,0)),"")</f>
        <v/>
      </c>
      <c r="V106" s="4" t="str">
        <f>IFERROR(INDEX(样本到样信息汇总统计!V$2:V$500,MATCH(105,样本到样信息汇总统计!$Y$2:$Y$500,0)),"")</f>
        <v/>
      </c>
      <c r="W106" s="4" t="str">
        <f>IFERROR(INDEX(样本到样信息汇总统计!W$2:W$500,MATCH(105,样本到样信息汇总统计!$Y$2:$Y$500,0)),"")</f>
        <v/>
      </c>
    </row>
    <row r="107" ht="14.5" spans="1:23">
      <c r="A107" s="8" t="str">
        <f>IFERROR(INDEX(样本到样信息汇总统计!A$2:A$500,MATCH(106,样本到样信息汇总统计!$Y$2:$Y$500,0)),"")</f>
        <v/>
      </c>
      <c r="B107" s="8" t="str">
        <f>IFERROR(INDEX(样本到样信息汇总统计!B$2:B$500,MATCH(106,样本到样信息汇总统计!$Y$2:$Y$500,0)),"")</f>
        <v/>
      </c>
      <c r="C107" s="8" t="str">
        <f>IFERROR(INDEX(样本到样信息汇总统计!C$2:C$500,MATCH(106,样本到样信息汇总统计!$Y$2:$Y$500,0)),"")</f>
        <v/>
      </c>
      <c r="D107" s="8" t="str">
        <f>IFERROR(INDEX(样本到样信息汇总统计!D$2:D$500,MATCH(106,样本到样信息汇总统计!$Y$2:$Y$500,0)),"")</f>
        <v/>
      </c>
      <c r="E107" s="8" t="str">
        <f>IFERROR(INDEX(样本到样信息汇总统计!E$2:E$500,MATCH(106,样本到样信息汇总统计!$Y$2:$Y$500,0)),"")</f>
        <v/>
      </c>
      <c r="F107" s="8" t="str">
        <f>IFERROR(INDEX(样本到样信息汇总统计!F$2:F$500,MATCH(106,样本到样信息汇总统计!$Y$2:$Y$500,0)),"")</f>
        <v/>
      </c>
      <c r="G107" s="8" t="str">
        <f>IFERROR(INDEX(样本到样信息汇总统计!G$2:G$500,MATCH(106,样本到样信息汇总统计!$Y$2:$Y$500,0)),"")</f>
        <v/>
      </c>
      <c r="H107" s="8" t="str">
        <f>IFERROR(INDEX(样本到样信息汇总统计!H$2:H$500,MATCH(106,样本到样信息汇总统计!$Y$2:$Y$500,0)),"")</f>
        <v/>
      </c>
      <c r="I107" s="8" t="str">
        <f>IFERROR(INDEX(样本到样信息汇总统计!I$2:I$500,MATCH(106,样本到样信息汇总统计!$Y$2:$Y$500,0)),"")</f>
        <v/>
      </c>
      <c r="J107" s="8" t="str">
        <f>IFERROR(INDEX(样本到样信息汇总统计!J$2:J$500,MATCH(106,样本到样信息汇总统计!$Y$2:$Y$500,0)),"")</f>
        <v/>
      </c>
      <c r="K107" s="8" t="str">
        <f>IFERROR(INDEX(样本到样信息汇总统计!K$2:K$500,MATCH(106,样本到样信息汇总统计!$Y$2:$Y$500,0)),"")</f>
        <v/>
      </c>
      <c r="L107" s="8" t="str">
        <f>IFERROR(INDEX(样本到样信息汇总统计!L$2:L$500,MATCH(106,样本到样信息汇总统计!$Y$2:$Y$500,0)),"")</f>
        <v/>
      </c>
      <c r="M107" s="8" t="str">
        <f>IFERROR(INDEX(样本到样信息汇总统计!M$2:M$500,MATCH(106,样本到样信息汇总统计!$Y$2:$Y$500,0)),"")</f>
        <v/>
      </c>
      <c r="N107" s="8" t="str">
        <f>IFERROR(INDEX(样本到样信息汇总统计!N$2:N$500,MATCH(106,样本到样信息汇总统计!$Y$2:$Y$500,0)),"")</f>
        <v/>
      </c>
      <c r="O107" s="8" t="str">
        <f>IFERROR(INDEX(样本到样信息汇总统计!O$2:O$500,MATCH(106,样本到样信息汇总统计!$Y$2:$Y$500,0)),"")</f>
        <v/>
      </c>
      <c r="P107" s="8" t="str">
        <f>IFERROR(INDEX(样本到样信息汇总统计!P$2:P$500,MATCH(106,样本到样信息汇总统计!$Y$2:$Y$500,0)),"")</f>
        <v/>
      </c>
      <c r="Q107" s="8" t="str">
        <f>IFERROR(INDEX(样本到样信息汇总统计!Q$2:Q$500,MATCH(106,样本到样信息汇总统计!$Y$2:$Y$500,0)),"")</f>
        <v/>
      </c>
      <c r="R107" s="8" t="str">
        <f>IFERROR(INDEX(样本到样信息汇总统计!R$2:R$500,MATCH(106,样本到样信息汇总统计!$Y$2:$Y$500,0)),"")</f>
        <v/>
      </c>
      <c r="S107" s="8" t="str">
        <f>IFERROR(INDEX(样本到样信息汇总统计!S$2:S$500,MATCH(106,样本到样信息汇总统计!$Y$2:$Y$500,0)),"")</f>
        <v/>
      </c>
      <c r="T107" s="8" t="str">
        <f>IFERROR(INDEX(样本到样信息汇总统计!T$2:T$500,MATCH(106,样本到样信息汇总统计!$Y$2:$Y$500,0)),"")</f>
        <v/>
      </c>
      <c r="U107" s="8" t="str">
        <f>IFERROR(INDEX(样本到样信息汇总统计!U$2:U$500,MATCH(106,样本到样信息汇总统计!$Y$2:$Y$500,0)),"")</f>
        <v/>
      </c>
      <c r="V107" s="8" t="str">
        <f>IFERROR(INDEX(样本到样信息汇总统计!V$2:V$500,MATCH(106,样本到样信息汇总统计!$Y$2:$Y$500,0)),"")</f>
        <v/>
      </c>
      <c r="W107" s="8" t="str">
        <f>IFERROR(INDEX(样本到样信息汇总统计!W$2:W$500,MATCH(106,样本到样信息汇总统计!$Y$2:$Y$500,0)),"")</f>
        <v/>
      </c>
    </row>
    <row r="108" ht="14.5" spans="1:23">
      <c r="A108" s="4" t="str">
        <f>IFERROR(INDEX(样本到样信息汇总统计!A$2:A$500,MATCH(107,样本到样信息汇总统计!$Y$2:$Y$500,0)),"")</f>
        <v/>
      </c>
      <c r="B108" s="4" t="str">
        <f>IFERROR(INDEX(样本到样信息汇总统计!B$2:B$500,MATCH(107,样本到样信息汇总统计!$Y$2:$Y$500,0)),"")</f>
        <v/>
      </c>
      <c r="C108" s="4" t="str">
        <f>IFERROR(INDEX(样本到样信息汇总统计!C$2:C$500,MATCH(107,样本到样信息汇总统计!$Y$2:$Y$500,0)),"")</f>
        <v/>
      </c>
      <c r="D108" s="4" t="str">
        <f>IFERROR(INDEX(样本到样信息汇总统计!D$2:D$500,MATCH(107,样本到样信息汇总统计!$Y$2:$Y$500,0)),"")</f>
        <v/>
      </c>
      <c r="E108" s="4" t="str">
        <f>IFERROR(INDEX(样本到样信息汇总统计!E$2:E$500,MATCH(107,样本到样信息汇总统计!$Y$2:$Y$500,0)),"")</f>
        <v/>
      </c>
      <c r="F108" s="4" t="str">
        <f>IFERROR(INDEX(样本到样信息汇总统计!F$2:F$500,MATCH(107,样本到样信息汇总统计!$Y$2:$Y$500,0)),"")</f>
        <v/>
      </c>
      <c r="G108" s="4" t="str">
        <f>IFERROR(INDEX(样本到样信息汇总统计!G$2:G$500,MATCH(107,样本到样信息汇总统计!$Y$2:$Y$500,0)),"")</f>
        <v/>
      </c>
      <c r="H108" s="4" t="str">
        <f>IFERROR(INDEX(样本到样信息汇总统计!H$2:H$500,MATCH(107,样本到样信息汇总统计!$Y$2:$Y$500,0)),"")</f>
        <v/>
      </c>
      <c r="I108" s="4" t="str">
        <f>IFERROR(INDEX(样本到样信息汇总统计!I$2:I$500,MATCH(107,样本到样信息汇总统计!$Y$2:$Y$500,0)),"")</f>
        <v/>
      </c>
      <c r="J108" s="4" t="str">
        <f>IFERROR(INDEX(样本到样信息汇总统计!J$2:J$500,MATCH(107,样本到样信息汇总统计!$Y$2:$Y$500,0)),"")</f>
        <v/>
      </c>
      <c r="K108" s="4" t="str">
        <f>IFERROR(INDEX(样本到样信息汇总统计!K$2:K$500,MATCH(107,样本到样信息汇总统计!$Y$2:$Y$500,0)),"")</f>
        <v/>
      </c>
      <c r="L108" s="4" t="str">
        <f>IFERROR(INDEX(样本到样信息汇总统计!L$2:L$500,MATCH(107,样本到样信息汇总统计!$Y$2:$Y$500,0)),"")</f>
        <v/>
      </c>
      <c r="M108" s="4" t="str">
        <f>IFERROR(INDEX(样本到样信息汇总统计!M$2:M$500,MATCH(107,样本到样信息汇总统计!$Y$2:$Y$500,0)),"")</f>
        <v/>
      </c>
      <c r="N108" s="4" t="str">
        <f>IFERROR(INDEX(样本到样信息汇总统计!N$2:N$500,MATCH(107,样本到样信息汇总统计!$Y$2:$Y$500,0)),"")</f>
        <v/>
      </c>
      <c r="O108" s="4" t="str">
        <f>IFERROR(INDEX(样本到样信息汇总统计!O$2:O$500,MATCH(107,样本到样信息汇总统计!$Y$2:$Y$500,0)),"")</f>
        <v/>
      </c>
      <c r="P108" s="4" t="str">
        <f>IFERROR(INDEX(样本到样信息汇总统计!P$2:P$500,MATCH(107,样本到样信息汇总统计!$Y$2:$Y$500,0)),"")</f>
        <v/>
      </c>
      <c r="Q108" s="4" t="str">
        <f>IFERROR(INDEX(样本到样信息汇总统计!Q$2:Q$500,MATCH(107,样本到样信息汇总统计!$Y$2:$Y$500,0)),"")</f>
        <v/>
      </c>
      <c r="R108" s="4" t="str">
        <f>IFERROR(INDEX(样本到样信息汇总统计!R$2:R$500,MATCH(107,样本到样信息汇总统计!$Y$2:$Y$500,0)),"")</f>
        <v/>
      </c>
      <c r="S108" s="4" t="str">
        <f>IFERROR(INDEX(样本到样信息汇总统计!S$2:S$500,MATCH(107,样本到样信息汇总统计!$Y$2:$Y$500,0)),"")</f>
        <v/>
      </c>
      <c r="T108" s="4" t="str">
        <f>IFERROR(INDEX(样本到样信息汇总统计!T$2:T$500,MATCH(107,样本到样信息汇总统计!$Y$2:$Y$500,0)),"")</f>
        <v/>
      </c>
      <c r="U108" s="4" t="str">
        <f>IFERROR(INDEX(样本到样信息汇总统计!U$2:U$500,MATCH(107,样本到样信息汇总统计!$Y$2:$Y$500,0)),"")</f>
        <v/>
      </c>
      <c r="V108" s="4" t="str">
        <f>IFERROR(INDEX(样本到样信息汇总统计!V$2:V$500,MATCH(107,样本到样信息汇总统计!$Y$2:$Y$500,0)),"")</f>
        <v/>
      </c>
      <c r="W108" s="4" t="str">
        <f>IFERROR(INDEX(样本到样信息汇总统计!W$2:W$500,MATCH(107,样本到样信息汇总统计!$Y$2:$Y$500,0)),"")</f>
        <v/>
      </c>
    </row>
    <row r="109" ht="14.5" spans="1:23">
      <c r="A109" s="8" t="str">
        <f>IFERROR(INDEX(样本到样信息汇总统计!A$2:A$500,MATCH(108,样本到样信息汇总统计!$Y$2:$Y$500,0)),"")</f>
        <v/>
      </c>
      <c r="B109" s="8" t="str">
        <f>IFERROR(INDEX(样本到样信息汇总统计!B$2:B$500,MATCH(108,样本到样信息汇总统计!$Y$2:$Y$500,0)),"")</f>
        <v/>
      </c>
      <c r="C109" s="8" t="str">
        <f>IFERROR(INDEX(样本到样信息汇总统计!C$2:C$500,MATCH(108,样本到样信息汇总统计!$Y$2:$Y$500,0)),"")</f>
        <v/>
      </c>
      <c r="D109" s="8" t="str">
        <f>IFERROR(INDEX(样本到样信息汇总统计!D$2:D$500,MATCH(108,样本到样信息汇总统计!$Y$2:$Y$500,0)),"")</f>
        <v/>
      </c>
      <c r="E109" s="8" t="str">
        <f>IFERROR(INDEX(样本到样信息汇总统计!E$2:E$500,MATCH(108,样本到样信息汇总统计!$Y$2:$Y$500,0)),"")</f>
        <v/>
      </c>
      <c r="F109" s="8" t="str">
        <f>IFERROR(INDEX(样本到样信息汇总统计!F$2:F$500,MATCH(108,样本到样信息汇总统计!$Y$2:$Y$500,0)),"")</f>
        <v/>
      </c>
      <c r="G109" s="8" t="str">
        <f>IFERROR(INDEX(样本到样信息汇总统计!G$2:G$500,MATCH(108,样本到样信息汇总统计!$Y$2:$Y$500,0)),"")</f>
        <v/>
      </c>
      <c r="H109" s="8" t="str">
        <f>IFERROR(INDEX(样本到样信息汇总统计!H$2:H$500,MATCH(108,样本到样信息汇总统计!$Y$2:$Y$500,0)),"")</f>
        <v/>
      </c>
      <c r="I109" s="8" t="str">
        <f>IFERROR(INDEX(样本到样信息汇总统计!I$2:I$500,MATCH(108,样本到样信息汇总统计!$Y$2:$Y$500,0)),"")</f>
        <v/>
      </c>
      <c r="J109" s="8" t="str">
        <f>IFERROR(INDEX(样本到样信息汇总统计!J$2:J$500,MATCH(108,样本到样信息汇总统计!$Y$2:$Y$500,0)),"")</f>
        <v/>
      </c>
      <c r="K109" s="8" t="str">
        <f>IFERROR(INDEX(样本到样信息汇总统计!K$2:K$500,MATCH(108,样本到样信息汇总统计!$Y$2:$Y$500,0)),"")</f>
        <v/>
      </c>
      <c r="L109" s="8" t="str">
        <f>IFERROR(INDEX(样本到样信息汇总统计!L$2:L$500,MATCH(108,样本到样信息汇总统计!$Y$2:$Y$500,0)),"")</f>
        <v/>
      </c>
      <c r="M109" s="8" t="str">
        <f>IFERROR(INDEX(样本到样信息汇总统计!M$2:M$500,MATCH(108,样本到样信息汇总统计!$Y$2:$Y$500,0)),"")</f>
        <v/>
      </c>
      <c r="N109" s="8" t="str">
        <f>IFERROR(INDEX(样本到样信息汇总统计!N$2:N$500,MATCH(108,样本到样信息汇总统计!$Y$2:$Y$500,0)),"")</f>
        <v/>
      </c>
      <c r="O109" s="8" t="str">
        <f>IFERROR(INDEX(样本到样信息汇总统计!O$2:O$500,MATCH(108,样本到样信息汇总统计!$Y$2:$Y$500,0)),"")</f>
        <v/>
      </c>
      <c r="P109" s="8" t="str">
        <f>IFERROR(INDEX(样本到样信息汇总统计!P$2:P$500,MATCH(108,样本到样信息汇总统计!$Y$2:$Y$500,0)),"")</f>
        <v/>
      </c>
      <c r="Q109" s="8" t="str">
        <f>IFERROR(INDEX(样本到样信息汇总统计!Q$2:Q$500,MATCH(108,样本到样信息汇总统计!$Y$2:$Y$500,0)),"")</f>
        <v/>
      </c>
      <c r="R109" s="8" t="str">
        <f>IFERROR(INDEX(样本到样信息汇总统计!R$2:R$500,MATCH(108,样本到样信息汇总统计!$Y$2:$Y$500,0)),"")</f>
        <v/>
      </c>
      <c r="S109" s="8" t="str">
        <f>IFERROR(INDEX(样本到样信息汇总统计!S$2:S$500,MATCH(108,样本到样信息汇总统计!$Y$2:$Y$500,0)),"")</f>
        <v/>
      </c>
      <c r="T109" s="8" t="str">
        <f>IFERROR(INDEX(样本到样信息汇总统计!T$2:T$500,MATCH(108,样本到样信息汇总统计!$Y$2:$Y$500,0)),"")</f>
        <v/>
      </c>
      <c r="U109" s="8" t="str">
        <f>IFERROR(INDEX(样本到样信息汇总统计!U$2:U$500,MATCH(108,样本到样信息汇总统计!$Y$2:$Y$500,0)),"")</f>
        <v/>
      </c>
      <c r="V109" s="8" t="str">
        <f>IFERROR(INDEX(样本到样信息汇总统计!V$2:V$500,MATCH(108,样本到样信息汇总统计!$Y$2:$Y$500,0)),"")</f>
        <v/>
      </c>
      <c r="W109" s="8" t="str">
        <f>IFERROR(INDEX(样本到样信息汇总统计!W$2:W$500,MATCH(108,样本到样信息汇总统计!$Y$2:$Y$500,0)),"")</f>
        <v/>
      </c>
    </row>
    <row r="110" ht="14.5" spans="1:23">
      <c r="A110" s="4" t="str">
        <f>IFERROR(INDEX(样本到样信息汇总统计!A$2:A$500,MATCH(109,样本到样信息汇总统计!$Y$2:$Y$500,0)),"")</f>
        <v/>
      </c>
      <c r="B110" s="4" t="str">
        <f>IFERROR(INDEX(样本到样信息汇总统计!B$2:B$500,MATCH(109,样本到样信息汇总统计!$Y$2:$Y$500,0)),"")</f>
        <v/>
      </c>
      <c r="C110" s="4" t="str">
        <f>IFERROR(INDEX(样本到样信息汇总统计!C$2:C$500,MATCH(109,样本到样信息汇总统计!$Y$2:$Y$500,0)),"")</f>
        <v/>
      </c>
      <c r="D110" s="4" t="str">
        <f>IFERROR(INDEX(样本到样信息汇总统计!D$2:D$500,MATCH(109,样本到样信息汇总统计!$Y$2:$Y$500,0)),"")</f>
        <v/>
      </c>
      <c r="E110" s="4" t="str">
        <f>IFERROR(INDEX(样本到样信息汇总统计!E$2:E$500,MATCH(109,样本到样信息汇总统计!$Y$2:$Y$500,0)),"")</f>
        <v/>
      </c>
      <c r="F110" s="4" t="str">
        <f>IFERROR(INDEX(样本到样信息汇总统计!F$2:F$500,MATCH(109,样本到样信息汇总统计!$Y$2:$Y$500,0)),"")</f>
        <v/>
      </c>
      <c r="G110" s="4" t="str">
        <f>IFERROR(INDEX(样本到样信息汇总统计!G$2:G$500,MATCH(109,样本到样信息汇总统计!$Y$2:$Y$500,0)),"")</f>
        <v/>
      </c>
      <c r="H110" s="4" t="str">
        <f>IFERROR(INDEX(样本到样信息汇总统计!H$2:H$500,MATCH(109,样本到样信息汇总统计!$Y$2:$Y$500,0)),"")</f>
        <v/>
      </c>
      <c r="I110" s="4" t="str">
        <f>IFERROR(INDEX(样本到样信息汇总统计!I$2:I$500,MATCH(109,样本到样信息汇总统计!$Y$2:$Y$500,0)),"")</f>
        <v/>
      </c>
      <c r="J110" s="4" t="str">
        <f>IFERROR(INDEX(样本到样信息汇总统计!J$2:J$500,MATCH(109,样本到样信息汇总统计!$Y$2:$Y$500,0)),"")</f>
        <v/>
      </c>
      <c r="K110" s="4" t="str">
        <f>IFERROR(INDEX(样本到样信息汇总统计!K$2:K$500,MATCH(109,样本到样信息汇总统计!$Y$2:$Y$500,0)),"")</f>
        <v/>
      </c>
      <c r="L110" s="4" t="str">
        <f>IFERROR(INDEX(样本到样信息汇总统计!L$2:L$500,MATCH(109,样本到样信息汇总统计!$Y$2:$Y$500,0)),"")</f>
        <v/>
      </c>
      <c r="M110" s="4" t="str">
        <f>IFERROR(INDEX(样本到样信息汇总统计!M$2:M$500,MATCH(109,样本到样信息汇总统计!$Y$2:$Y$500,0)),"")</f>
        <v/>
      </c>
      <c r="N110" s="4" t="str">
        <f>IFERROR(INDEX(样本到样信息汇总统计!N$2:N$500,MATCH(109,样本到样信息汇总统计!$Y$2:$Y$500,0)),"")</f>
        <v/>
      </c>
      <c r="O110" s="4" t="str">
        <f>IFERROR(INDEX(样本到样信息汇总统计!O$2:O$500,MATCH(109,样本到样信息汇总统计!$Y$2:$Y$500,0)),"")</f>
        <v/>
      </c>
      <c r="P110" s="4" t="str">
        <f>IFERROR(INDEX(样本到样信息汇总统计!P$2:P$500,MATCH(109,样本到样信息汇总统计!$Y$2:$Y$500,0)),"")</f>
        <v/>
      </c>
      <c r="Q110" s="4" t="str">
        <f>IFERROR(INDEX(样本到样信息汇总统计!Q$2:Q$500,MATCH(109,样本到样信息汇总统计!$Y$2:$Y$500,0)),"")</f>
        <v/>
      </c>
      <c r="R110" s="4" t="str">
        <f>IFERROR(INDEX(样本到样信息汇总统计!R$2:R$500,MATCH(109,样本到样信息汇总统计!$Y$2:$Y$500,0)),"")</f>
        <v/>
      </c>
      <c r="S110" s="4" t="str">
        <f>IFERROR(INDEX(样本到样信息汇总统计!S$2:S$500,MATCH(109,样本到样信息汇总统计!$Y$2:$Y$500,0)),"")</f>
        <v/>
      </c>
      <c r="T110" s="4" t="str">
        <f>IFERROR(INDEX(样本到样信息汇总统计!T$2:T$500,MATCH(109,样本到样信息汇总统计!$Y$2:$Y$500,0)),"")</f>
        <v/>
      </c>
      <c r="U110" s="4" t="str">
        <f>IFERROR(INDEX(样本到样信息汇总统计!U$2:U$500,MATCH(109,样本到样信息汇总统计!$Y$2:$Y$500,0)),"")</f>
        <v/>
      </c>
      <c r="V110" s="4" t="str">
        <f>IFERROR(INDEX(样本到样信息汇总统计!V$2:V$500,MATCH(109,样本到样信息汇总统计!$Y$2:$Y$500,0)),"")</f>
        <v/>
      </c>
      <c r="W110" s="4" t="str">
        <f>IFERROR(INDEX(样本到样信息汇总统计!W$2:W$500,MATCH(109,样本到样信息汇总统计!$Y$2:$Y$500,0)),"")</f>
        <v/>
      </c>
    </row>
    <row r="111" ht="14.5" spans="1:23">
      <c r="A111" s="8" t="str">
        <f>IFERROR(INDEX(样本到样信息汇总统计!A$2:A$500,MATCH(110,样本到样信息汇总统计!$Y$2:$Y$500,0)),"")</f>
        <v/>
      </c>
      <c r="B111" s="8" t="str">
        <f>IFERROR(INDEX(样本到样信息汇总统计!B$2:B$500,MATCH(110,样本到样信息汇总统计!$Y$2:$Y$500,0)),"")</f>
        <v/>
      </c>
      <c r="C111" s="8" t="str">
        <f>IFERROR(INDEX(样本到样信息汇总统计!C$2:C$500,MATCH(110,样本到样信息汇总统计!$Y$2:$Y$500,0)),"")</f>
        <v/>
      </c>
      <c r="D111" s="8" t="str">
        <f>IFERROR(INDEX(样本到样信息汇总统计!D$2:D$500,MATCH(110,样本到样信息汇总统计!$Y$2:$Y$500,0)),"")</f>
        <v/>
      </c>
      <c r="E111" s="8" t="str">
        <f>IFERROR(INDEX(样本到样信息汇总统计!E$2:E$500,MATCH(110,样本到样信息汇总统计!$Y$2:$Y$500,0)),"")</f>
        <v/>
      </c>
      <c r="F111" s="8" t="str">
        <f>IFERROR(INDEX(样本到样信息汇总统计!F$2:F$500,MATCH(110,样本到样信息汇总统计!$Y$2:$Y$500,0)),"")</f>
        <v/>
      </c>
      <c r="G111" s="8" t="str">
        <f>IFERROR(INDEX(样本到样信息汇总统计!G$2:G$500,MATCH(110,样本到样信息汇总统计!$Y$2:$Y$500,0)),"")</f>
        <v/>
      </c>
      <c r="H111" s="8" t="str">
        <f>IFERROR(INDEX(样本到样信息汇总统计!H$2:H$500,MATCH(110,样本到样信息汇总统计!$Y$2:$Y$500,0)),"")</f>
        <v/>
      </c>
      <c r="I111" s="8" t="str">
        <f>IFERROR(INDEX(样本到样信息汇总统计!I$2:I$500,MATCH(110,样本到样信息汇总统计!$Y$2:$Y$500,0)),"")</f>
        <v/>
      </c>
      <c r="J111" s="8" t="str">
        <f>IFERROR(INDEX(样本到样信息汇总统计!J$2:J$500,MATCH(110,样本到样信息汇总统计!$Y$2:$Y$500,0)),"")</f>
        <v/>
      </c>
      <c r="K111" s="8" t="str">
        <f>IFERROR(INDEX(样本到样信息汇总统计!K$2:K$500,MATCH(110,样本到样信息汇总统计!$Y$2:$Y$500,0)),"")</f>
        <v/>
      </c>
      <c r="L111" s="8" t="str">
        <f>IFERROR(INDEX(样本到样信息汇总统计!L$2:L$500,MATCH(110,样本到样信息汇总统计!$Y$2:$Y$500,0)),"")</f>
        <v/>
      </c>
      <c r="M111" s="8" t="str">
        <f>IFERROR(INDEX(样本到样信息汇总统计!M$2:M$500,MATCH(110,样本到样信息汇总统计!$Y$2:$Y$500,0)),"")</f>
        <v/>
      </c>
      <c r="N111" s="8" t="str">
        <f>IFERROR(INDEX(样本到样信息汇总统计!N$2:N$500,MATCH(110,样本到样信息汇总统计!$Y$2:$Y$500,0)),"")</f>
        <v/>
      </c>
      <c r="O111" s="8" t="str">
        <f>IFERROR(INDEX(样本到样信息汇总统计!O$2:O$500,MATCH(110,样本到样信息汇总统计!$Y$2:$Y$500,0)),"")</f>
        <v/>
      </c>
      <c r="P111" s="8" t="str">
        <f>IFERROR(INDEX(样本到样信息汇总统计!P$2:P$500,MATCH(110,样本到样信息汇总统计!$Y$2:$Y$500,0)),"")</f>
        <v/>
      </c>
      <c r="Q111" s="8" t="str">
        <f>IFERROR(INDEX(样本到样信息汇总统计!Q$2:Q$500,MATCH(110,样本到样信息汇总统计!$Y$2:$Y$500,0)),"")</f>
        <v/>
      </c>
      <c r="R111" s="8" t="str">
        <f>IFERROR(INDEX(样本到样信息汇总统计!R$2:R$500,MATCH(110,样本到样信息汇总统计!$Y$2:$Y$500,0)),"")</f>
        <v/>
      </c>
      <c r="S111" s="8" t="str">
        <f>IFERROR(INDEX(样本到样信息汇总统计!S$2:S$500,MATCH(110,样本到样信息汇总统计!$Y$2:$Y$500,0)),"")</f>
        <v/>
      </c>
      <c r="T111" s="8" t="str">
        <f>IFERROR(INDEX(样本到样信息汇总统计!T$2:T$500,MATCH(110,样本到样信息汇总统计!$Y$2:$Y$500,0)),"")</f>
        <v/>
      </c>
      <c r="U111" s="8" t="str">
        <f>IFERROR(INDEX(样本到样信息汇总统计!U$2:U$500,MATCH(110,样本到样信息汇总统计!$Y$2:$Y$500,0)),"")</f>
        <v/>
      </c>
      <c r="V111" s="8" t="str">
        <f>IFERROR(INDEX(样本到样信息汇总统计!V$2:V$500,MATCH(110,样本到样信息汇总统计!$Y$2:$Y$500,0)),"")</f>
        <v/>
      </c>
      <c r="W111" s="8" t="str">
        <f>IFERROR(INDEX(样本到样信息汇总统计!W$2:W$500,MATCH(110,样本到样信息汇总统计!$Y$2:$Y$500,0)),"")</f>
        <v/>
      </c>
    </row>
    <row r="112" ht="14.5" spans="1:23">
      <c r="A112" s="4" t="str">
        <f>IFERROR(INDEX(样本到样信息汇总统计!A$2:A$500,MATCH(111,样本到样信息汇总统计!$Y$2:$Y$500,0)),"")</f>
        <v/>
      </c>
      <c r="B112" s="4" t="str">
        <f>IFERROR(INDEX(样本到样信息汇总统计!B$2:B$500,MATCH(111,样本到样信息汇总统计!$Y$2:$Y$500,0)),"")</f>
        <v/>
      </c>
      <c r="C112" s="4" t="str">
        <f>IFERROR(INDEX(样本到样信息汇总统计!C$2:C$500,MATCH(111,样本到样信息汇总统计!$Y$2:$Y$500,0)),"")</f>
        <v/>
      </c>
      <c r="D112" s="4" t="str">
        <f>IFERROR(INDEX(样本到样信息汇总统计!D$2:D$500,MATCH(111,样本到样信息汇总统计!$Y$2:$Y$500,0)),"")</f>
        <v/>
      </c>
      <c r="E112" s="4" t="str">
        <f>IFERROR(INDEX(样本到样信息汇总统计!E$2:E$500,MATCH(111,样本到样信息汇总统计!$Y$2:$Y$500,0)),"")</f>
        <v/>
      </c>
      <c r="F112" s="4" t="str">
        <f>IFERROR(INDEX(样本到样信息汇总统计!F$2:F$500,MATCH(111,样本到样信息汇总统计!$Y$2:$Y$500,0)),"")</f>
        <v/>
      </c>
      <c r="G112" s="4" t="str">
        <f>IFERROR(INDEX(样本到样信息汇总统计!G$2:G$500,MATCH(111,样本到样信息汇总统计!$Y$2:$Y$500,0)),"")</f>
        <v/>
      </c>
      <c r="H112" s="4" t="str">
        <f>IFERROR(INDEX(样本到样信息汇总统计!H$2:H$500,MATCH(111,样本到样信息汇总统计!$Y$2:$Y$500,0)),"")</f>
        <v/>
      </c>
      <c r="I112" s="4" t="str">
        <f>IFERROR(INDEX(样本到样信息汇总统计!I$2:I$500,MATCH(111,样本到样信息汇总统计!$Y$2:$Y$500,0)),"")</f>
        <v/>
      </c>
      <c r="J112" s="4" t="str">
        <f>IFERROR(INDEX(样本到样信息汇总统计!J$2:J$500,MATCH(111,样本到样信息汇总统计!$Y$2:$Y$500,0)),"")</f>
        <v/>
      </c>
      <c r="K112" s="4" t="str">
        <f>IFERROR(INDEX(样本到样信息汇总统计!K$2:K$500,MATCH(111,样本到样信息汇总统计!$Y$2:$Y$500,0)),"")</f>
        <v/>
      </c>
      <c r="L112" s="4" t="str">
        <f>IFERROR(INDEX(样本到样信息汇总统计!L$2:L$500,MATCH(111,样本到样信息汇总统计!$Y$2:$Y$500,0)),"")</f>
        <v/>
      </c>
      <c r="M112" s="4" t="str">
        <f>IFERROR(INDEX(样本到样信息汇总统计!M$2:M$500,MATCH(111,样本到样信息汇总统计!$Y$2:$Y$500,0)),"")</f>
        <v/>
      </c>
      <c r="N112" s="4" t="str">
        <f>IFERROR(INDEX(样本到样信息汇总统计!N$2:N$500,MATCH(111,样本到样信息汇总统计!$Y$2:$Y$500,0)),"")</f>
        <v/>
      </c>
      <c r="O112" s="4" t="str">
        <f>IFERROR(INDEX(样本到样信息汇总统计!O$2:O$500,MATCH(111,样本到样信息汇总统计!$Y$2:$Y$500,0)),"")</f>
        <v/>
      </c>
      <c r="P112" s="4" t="str">
        <f>IFERROR(INDEX(样本到样信息汇总统计!P$2:P$500,MATCH(111,样本到样信息汇总统计!$Y$2:$Y$500,0)),"")</f>
        <v/>
      </c>
      <c r="Q112" s="4" t="str">
        <f>IFERROR(INDEX(样本到样信息汇总统计!Q$2:Q$500,MATCH(111,样本到样信息汇总统计!$Y$2:$Y$500,0)),"")</f>
        <v/>
      </c>
      <c r="R112" s="4" t="str">
        <f>IFERROR(INDEX(样本到样信息汇总统计!R$2:R$500,MATCH(111,样本到样信息汇总统计!$Y$2:$Y$500,0)),"")</f>
        <v/>
      </c>
      <c r="S112" s="4" t="str">
        <f>IFERROR(INDEX(样本到样信息汇总统计!S$2:S$500,MATCH(111,样本到样信息汇总统计!$Y$2:$Y$500,0)),"")</f>
        <v/>
      </c>
      <c r="T112" s="4" t="str">
        <f>IFERROR(INDEX(样本到样信息汇总统计!T$2:T$500,MATCH(111,样本到样信息汇总统计!$Y$2:$Y$500,0)),"")</f>
        <v/>
      </c>
      <c r="U112" s="4" t="str">
        <f>IFERROR(INDEX(样本到样信息汇总统计!U$2:U$500,MATCH(111,样本到样信息汇总统计!$Y$2:$Y$500,0)),"")</f>
        <v/>
      </c>
      <c r="V112" s="4" t="str">
        <f>IFERROR(INDEX(样本到样信息汇总统计!V$2:V$500,MATCH(111,样本到样信息汇总统计!$Y$2:$Y$500,0)),"")</f>
        <v/>
      </c>
      <c r="W112" s="4" t="str">
        <f>IFERROR(INDEX(样本到样信息汇总统计!W$2:W$500,MATCH(111,样本到样信息汇总统计!$Y$2:$Y$500,0)),"")</f>
        <v/>
      </c>
    </row>
    <row r="113" ht="14.5" spans="1:23">
      <c r="A113" s="8" t="str">
        <f>IFERROR(INDEX(样本到样信息汇总统计!A$2:A$500,MATCH(112,样本到样信息汇总统计!$Y$2:$Y$500,0)),"")</f>
        <v/>
      </c>
      <c r="B113" s="8" t="str">
        <f>IFERROR(INDEX(样本到样信息汇总统计!B$2:B$500,MATCH(112,样本到样信息汇总统计!$Y$2:$Y$500,0)),"")</f>
        <v/>
      </c>
      <c r="C113" s="8" t="str">
        <f>IFERROR(INDEX(样本到样信息汇总统计!C$2:C$500,MATCH(112,样本到样信息汇总统计!$Y$2:$Y$500,0)),"")</f>
        <v/>
      </c>
      <c r="D113" s="8" t="str">
        <f>IFERROR(INDEX(样本到样信息汇总统计!D$2:D$500,MATCH(112,样本到样信息汇总统计!$Y$2:$Y$500,0)),"")</f>
        <v/>
      </c>
      <c r="E113" s="8" t="str">
        <f>IFERROR(INDEX(样本到样信息汇总统计!E$2:E$500,MATCH(112,样本到样信息汇总统计!$Y$2:$Y$500,0)),"")</f>
        <v/>
      </c>
      <c r="F113" s="8" t="str">
        <f>IFERROR(INDEX(样本到样信息汇总统计!F$2:F$500,MATCH(112,样本到样信息汇总统计!$Y$2:$Y$500,0)),"")</f>
        <v/>
      </c>
      <c r="G113" s="8" t="str">
        <f>IFERROR(INDEX(样本到样信息汇总统计!G$2:G$500,MATCH(112,样本到样信息汇总统计!$Y$2:$Y$500,0)),"")</f>
        <v/>
      </c>
      <c r="H113" s="8" t="str">
        <f>IFERROR(INDEX(样本到样信息汇总统计!H$2:H$500,MATCH(112,样本到样信息汇总统计!$Y$2:$Y$500,0)),"")</f>
        <v/>
      </c>
      <c r="I113" s="8" t="str">
        <f>IFERROR(INDEX(样本到样信息汇总统计!I$2:I$500,MATCH(112,样本到样信息汇总统计!$Y$2:$Y$500,0)),"")</f>
        <v/>
      </c>
      <c r="J113" s="8" t="str">
        <f>IFERROR(INDEX(样本到样信息汇总统计!J$2:J$500,MATCH(112,样本到样信息汇总统计!$Y$2:$Y$500,0)),"")</f>
        <v/>
      </c>
      <c r="K113" s="8" t="str">
        <f>IFERROR(INDEX(样本到样信息汇总统计!K$2:K$500,MATCH(112,样本到样信息汇总统计!$Y$2:$Y$500,0)),"")</f>
        <v/>
      </c>
      <c r="L113" s="8" t="str">
        <f>IFERROR(INDEX(样本到样信息汇总统计!L$2:L$500,MATCH(112,样本到样信息汇总统计!$Y$2:$Y$500,0)),"")</f>
        <v/>
      </c>
      <c r="M113" s="8" t="str">
        <f>IFERROR(INDEX(样本到样信息汇总统计!M$2:M$500,MATCH(112,样本到样信息汇总统计!$Y$2:$Y$500,0)),"")</f>
        <v/>
      </c>
      <c r="N113" s="8" t="str">
        <f>IFERROR(INDEX(样本到样信息汇总统计!N$2:N$500,MATCH(112,样本到样信息汇总统计!$Y$2:$Y$500,0)),"")</f>
        <v/>
      </c>
      <c r="O113" s="8" t="str">
        <f>IFERROR(INDEX(样本到样信息汇总统计!O$2:O$500,MATCH(112,样本到样信息汇总统计!$Y$2:$Y$500,0)),"")</f>
        <v/>
      </c>
      <c r="P113" s="8" t="str">
        <f>IFERROR(INDEX(样本到样信息汇总统计!P$2:P$500,MATCH(112,样本到样信息汇总统计!$Y$2:$Y$500,0)),"")</f>
        <v/>
      </c>
      <c r="Q113" s="8" t="str">
        <f>IFERROR(INDEX(样本到样信息汇总统计!Q$2:Q$500,MATCH(112,样本到样信息汇总统计!$Y$2:$Y$500,0)),"")</f>
        <v/>
      </c>
      <c r="R113" s="8" t="str">
        <f>IFERROR(INDEX(样本到样信息汇总统计!R$2:R$500,MATCH(112,样本到样信息汇总统计!$Y$2:$Y$500,0)),"")</f>
        <v/>
      </c>
      <c r="S113" s="8" t="str">
        <f>IFERROR(INDEX(样本到样信息汇总统计!S$2:S$500,MATCH(112,样本到样信息汇总统计!$Y$2:$Y$500,0)),"")</f>
        <v/>
      </c>
      <c r="T113" s="8" t="str">
        <f>IFERROR(INDEX(样本到样信息汇总统计!T$2:T$500,MATCH(112,样本到样信息汇总统计!$Y$2:$Y$500,0)),"")</f>
        <v/>
      </c>
      <c r="U113" s="8" t="str">
        <f>IFERROR(INDEX(样本到样信息汇总统计!U$2:U$500,MATCH(112,样本到样信息汇总统计!$Y$2:$Y$500,0)),"")</f>
        <v/>
      </c>
      <c r="V113" s="8" t="str">
        <f>IFERROR(INDEX(样本到样信息汇总统计!V$2:V$500,MATCH(112,样本到样信息汇总统计!$Y$2:$Y$500,0)),"")</f>
        <v/>
      </c>
      <c r="W113" s="8" t="str">
        <f>IFERROR(INDEX(样本到样信息汇总统计!W$2:W$500,MATCH(112,样本到样信息汇总统计!$Y$2:$Y$500,0)),"")</f>
        <v/>
      </c>
    </row>
    <row r="114" ht="14.5" spans="1:23">
      <c r="A114" s="4" t="str">
        <f>IFERROR(INDEX(样本到样信息汇总统计!A$2:A$500,MATCH(113,样本到样信息汇总统计!$Y$2:$Y$500,0)),"")</f>
        <v/>
      </c>
      <c r="B114" s="4" t="str">
        <f>IFERROR(INDEX(样本到样信息汇总统计!B$2:B$500,MATCH(113,样本到样信息汇总统计!$Y$2:$Y$500,0)),"")</f>
        <v/>
      </c>
      <c r="C114" s="4" t="str">
        <f>IFERROR(INDEX(样本到样信息汇总统计!C$2:C$500,MATCH(113,样本到样信息汇总统计!$Y$2:$Y$500,0)),"")</f>
        <v/>
      </c>
      <c r="D114" s="4" t="str">
        <f>IFERROR(INDEX(样本到样信息汇总统计!D$2:D$500,MATCH(113,样本到样信息汇总统计!$Y$2:$Y$500,0)),"")</f>
        <v/>
      </c>
      <c r="E114" s="4" t="str">
        <f>IFERROR(INDEX(样本到样信息汇总统计!E$2:E$500,MATCH(113,样本到样信息汇总统计!$Y$2:$Y$500,0)),"")</f>
        <v/>
      </c>
      <c r="F114" s="4" t="str">
        <f>IFERROR(INDEX(样本到样信息汇总统计!F$2:F$500,MATCH(113,样本到样信息汇总统计!$Y$2:$Y$500,0)),"")</f>
        <v/>
      </c>
      <c r="G114" s="4" t="str">
        <f>IFERROR(INDEX(样本到样信息汇总统计!G$2:G$500,MATCH(113,样本到样信息汇总统计!$Y$2:$Y$500,0)),"")</f>
        <v/>
      </c>
      <c r="H114" s="4" t="str">
        <f>IFERROR(INDEX(样本到样信息汇总统计!H$2:H$500,MATCH(113,样本到样信息汇总统计!$Y$2:$Y$500,0)),"")</f>
        <v/>
      </c>
      <c r="I114" s="4" t="str">
        <f>IFERROR(INDEX(样本到样信息汇总统计!I$2:I$500,MATCH(113,样本到样信息汇总统计!$Y$2:$Y$500,0)),"")</f>
        <v/>
      </c>
      <c r="J114" s="4" t="str">
        <f>IFERROR(INDEX(样本到样信息汇总统计!J$2:J$500,MATCH(113,样本到样信息汇总统计!$Y$2:$Y$500,0)),"")</f>
        <v/>
      </c>
      <c r="K114" s="4" t="str">
        <f>IFERROR(INDEX(样本到样信息汇总统计!K$2:K$500,MATCH(113,样本到样信息汇总统计!$Y$2:$Y$500,0)),"")</f>
        <v/>
      </c>
      <c r="L114" s="4" t="str">
        <f>IFERROR(INDEX(样本到样信息汇总统计!L$2:L$500,MATCH(113,样本到样信息汇总统计!$Y$2:$Y$500,0)),"")</f>
        <v/>
      </c>
      <c r="M114" s="4" t="str">
        <f>IFERROR(INDEX(样本到样信息汇总统计!M$2:M$500,MATCH(113,样本到样信息汇总统计!$Y$2:$Y$500,0)),"")</f>
        <v/>
      </c>
      <c r="N114" s="4" t="str">
        <f>IFERROR(INDEX(样本到样信息汇总统计!N$2:N$500,MATCH(113,样本到样信息汇总统计!$Y$2:$Y$500,0)),"")</f>
        <v/>
      </c>
      <c r="O114" s="4" t="str">
        <f>IFERROR(INDEX(样本到样信息汇总统计!O$2:O$500,MATCH(113,样本到样信息汇总统计!$Y$2:$Y$500,0)),"")</f>
        <v/>
      </c>
      <c r="P114" s="4" t="str">
        <f>IFERROR(INDEX(样本到样信息汇总统计!P$2:P$500,MATCH(113,样本到样信息汇总统计!$Y$2:$Y$500,0)),"")</f>
        <v/>
      </c>
      <c r="Q114" s="4" t="str">
        <f>IFERROR(INDEX(样本到样信息汇总统计!Q$2:Q$500,MATCH(113,样本到样信息汇总统计!$Y$2:$Y$500,0)),"")</f>
        <v/>
      </c>
      <c r="R114" s="4" t="str">
        <f>IFERROR(INDEX(样本到样信息汇总统计!R$2:R$500,MATCH(113,样本到样信息汇总统计!$Y$2:$Y$500,0)),"")</f>
        <v/>
      </c>
      <c r="S114" s="4" t="str">
        <f>IFERROR(INDEX(样本到样信息汇总统计!S$2:S$500,MATCH(113,样本到样信息汇总统计!$Y$2:$Y$500,0)),"")</f>
        <v/>
      </c>
      <c r="T114" s="4" t="str">
        <f>IFERROR(INDEX(样本到样信息汇总统计!T$2:T$500,MATCH(113,样本到样信息汇总统计!$Y$2:$Y$500,0)),"")</f>
        <v/>
      </c>
      <c r="U114" s="4" t="str">
        <f>IFERROR(INDEX(样本到样信息汇总统计!U$2:U$500,MATCH(113,样本到样信息汇总统计!$Y$2:$Y$500,0)),"")</f>
        <v/>
      </c>
      <c r="V114" s="4" t="str">
        <f>IFERROR(INDEX(样本到样信息汇总统计!V$2:V$500,MATCH(113,样本到样信息汇总统计!$Y$2:$Y$500,0)),"")</f>
        <v/>
      </c>
      <c r="W114" s="4" t="str">
        <f>IFERROR(INDEX(样本到样信息汇总统计!W$2:W$500,MATCH(113,样本到样信息汇总统计!$Y$2:$Y$500,0)),"")</f>
        <v/>
      </c>
    </row>
    <row r="115" ht="14.5" spans="1:23">
      <c r="A115" s="8" t="str">
        <f>IFERROR(INDEX(样本到样信息汇总统计!A$2:A$500,MATCH(114,样本到样信息汇总统计!$Y$2:$Y$500,0)),"")</f>
        <v/>
      </c>
      <c r="B115" s="8" t="str">
        <f>IFERROR(INDEX(样本到样信息汇总统计!B$2:B$500,MATCH(114,样本到样信息汇总统计!$Y$2:$Y$500,0)),"")</f>
        <v/>
      </c>
      <c r="C115" s="8" t="str">
        <f>IFERROR(INDEX(样本到样信息汇总统计!C$2:C$500,MATCH(114,样本到样信息汇总统计!$Y$2:$Y$500,0)),"")</f>
        <v/>
      </c>
      <c r="D115" s="8" t="str">
        <f>IFERROR(INDEX(样本到样信息汇总统计!D$2:D$500,MATCH(114,样本到样信息汇总统计!$Y$2:$Y$500,0)),"")</f>
        <v/>
      </c>
      <c r="E115" s="8" t="str">
        <f>IFERROR(INDEX(样本到样信息汇总统计!E$2:E$500,MATCH(114,样本到样信息汇总统计!$Y$2:$Y$500,0)),"")</f>
        <v/>
      </c>
      <c r="F115" s="8" t="str">
        <f>IFERROR(INDEX(样本到样信息汇总统计!F$2:F$500,MATCH(114,样本到样信息汇总统计!$Y$2:$Y$500,0)),"")</f>
        <v/>
      </c>
      <c r="G115" s="8" t="str">
        <f>IFERROR(INDEX(样本到样信息汇总统计!G$2:G$500,MATCH(114,样本到样信息汇总统计!$Y$2:$Y$500,0)),"")</f>
        <v/>
      </c>
      <c r="H115" s="8" t="str">
        <f>IFERROR(INDEX(样本到样信息汇总统计!H$2:H$500,MATCH(114,样本到样信息汇总统计!$Y$2:$Y$500,0)),"")</f>
        <v/>
      </c>
      <c r="I115" s="8" t="str">
        <f>IFERROR(INDEX(样本到样信息汇总统计!I$2:I$500,MATCH(114,样本到样信息汇总统计!$Y$2:$Y$500,0)),"")</f>
        <v/>
      </c>
      <c r="J115" s="8" t="str">
        <f>IFERROR(INDEX(样本到样信息汇总统计!J$2:J$500,MATCH(114,样本到样信息汇总统计!$Y$2:$Y$500,0)),"")</f>
        <v/>
      </c>
      <c r="K115" s="8" t="str">
        <f>IFERROR(INDEX(样本到样信息汇总统计!K$2:K$500,MATCH(114,样本到样信息汇总统计!$Y$2:$Y$500,0)),"")</f>
        <v/>
      </c>
      <c r="L115" s="8" t="str">
        <f>IFERROR(INDEX(样本到样信息汇总统计!L$2:L$500,MATCH(114,样本到样信息汇总统计!$Y$2:$Y$500,0)),"")</f>
        <v/>
      </c>
      <c r="M115" s="8" t="str">
        <f>IFERROR(INDEX(样本到样信息汇总统计!M$2:M$500,MATCH(114,样本到样信息汇总统计!$Y$2:$Y$500,0)),"")</f>
        <v/>
      </c>
      <c r="N115" s="8" t="str">
        <f>IFERROR(INDEX(样本到样信息汇总统计!N$2:N$500,MATCH(114,样本到样信息汇总统计!$Y$2:$Y$500,0)),"")</f>
        <v/>
      </c>
      <c r="O115" s="8" t="str">
        <f>IFERROR(INDEX(样本到样信息汇总统计!O$2:O$500,MATCH(114,样本到样信息汇总统计!$Y$2:$Y$500,0)),"")</f>
        <v/>
      </c>
      <c r="P115" s="8" t="str">
        <f>IFERROR(INDEX(样本到样信息汇总统计!P$2:P$500,MATCH(114,样本到样信息汇总统计!$Y$2:$Y$500,0)),"")</f>
        <v/>
      </c>
      <c r="Q115" s="8" t="str">
        <f>IFERROR(INDEX(样本到样信息汇总统计!Q$2:Q$500,MATCH(114,样本到样信息汇总统计!$Y$2:$Y$500,0)),"")</f>
        <v/>
      </c>
      <c r="R115" s="8" t="str">
        <f>IFERROR(INDEX(样本到样信息汇总统计!R$2:R$500,MATCH(114,样本到样信息汇总统计!$Y$2:$Y$500,0)),"")</f>
        <v/>
      </c>
      <c r="S115" s="8" t="str">
        <f>IFERROR(INDEX(样本到样信息汇总统计!S$2:S$500,MATCH(114,样本到样信息汇总统计!$Y$2:$Y$500,0)),"")</f>
        <v/>
      </c>
      <c r="T115" s="8" t="str">
        <f>IFERROR(INDEX(样本到样信息汇总统计!T$2:T$500,MATCH(114,样本到样信息汇总统计!$Y$2:$Y$500,0)),"")</f>
        <v/>
      </c>
      <c r="U115" s="8" t="str">
        <f>IFERROR(INDEX(样本到样信息汇总统计!U$2:U$500,MATCH(114,样本到样信息汇总统计!$Y$2:$Y$500,0)),"")</f>
        <v/>
      </c>
      <c r="V115" s="8" t="str">
        <f>IFERROR(INDEX(样本到样信息汇总统计!V$2:V$500,MATCH(114,样本到样信息汇总统计!$Y$2:$Y$500,0)),"")</f>
        <v/>
      </c>
      <c r="W115" s="8" t="str">
        <f>IFERROR(INDEX(样本到样信息汇总统计!W$2:W$500,MATCH(114,样本到样信息汇总统计!$Y$2:$Y$500,0)),"")</f>
        <v/>
      </c>
    </row>
    <row r="116" ht="14.5" spans="1:23">
      <c r="A116" s="4" t="str">
        <f>IFERROR(INDEX(样本到样信息汇总统计!A$2:A$500,MATCH(115,样本到样信息汇总统计!$Y$2:$Y$500,0)),"")</f>
        <v/>
      </c>
      <c r="B116" s="4" t="str">
        <f>IFERROR(INDEX(样本到样信息汇总统计!B$2:B$500,MATCH(115,样本到样信息汇总统计!$Y$2:$Y$500,0)),"")</f>
        <v/>
      </c>
      <c r="C116" s="4" t="str">
        <f>IFERROR(INDEX(样本到样信息汇总统计!C$2:C$500,MATCH(115,样本到样信息汇总统计!$Y$2:$Y$500,0)),"")</f>
        <v/>
      </c>
      <c r="D116" s="4" t="str">
        <f>IFERROR(INDEX(样本到样信息汇总统计!D$2:D$500,MATCH(115,样本到样信息汇总统计!$Y$2:$Y$500,0)),"")</f>
        <v/>
      </c>
      <c r="E116" s="4" t="str">
        <f>IFERROR(INDEX(样本到样信息汇总统计!E$2:E$500,MATCH(115,样本到样信息汇总统计!$Y$2:$Y$500,0)),"")</f>
        <v/>
      </c>
      <c r="F116" s="4" t="str">
        <f>IFERROR(INDEX(样本到样信息汇总统计!F$2:F$500,MATCH(115,样本到样信息汇总统计!$Y$2:$Y$500,0)),"")</f>
        <v/>
      </c>
      <c r="G116" s="4" t="str">
        <f>IFERROR(INDEX(样本到样信息汇总统计!G$2:G$500,MATCH(115,样本到样信息汇总统计!$Y$2:$Y$500,0)),"")</f>
        <v/>
      </c>
      <c r="H116" s="4" t="str">
        <f>IFERROR(INDEX(样本到样信息汇总统计!H$2:H$500,MATCH(115,样本到样信息汇总统计!$Y$2:$Y$500,0)),"")</f>
        <v/>
      </c>
      <c r="I116" s="4" t="str">
        <f>IFERROR(INDEX(样本到样信息汇总统计!I$2:I$500,MATCH(115,样本到样信息汇总统计!$Y$2:$Y$500,0)),"")</f>
        <v/>
      </c>
      <c r="J116" s="4" t="str">
        <f>IFERROR(INDEX(样本到样信息汇总统计!J$2:J$500,MATCH(115,样本到样信息汇总统计!$Y$2:$Y$500,0)),"")</f>
        <v/>
      </c>
      <c r="K116" s="4" t="str">
        <f>IFERROR(INDEX(样本到样信息汇总统计!K$2:K$500,MATCH(115,样本到样信息汇总统计!$Y$2:$Y$500,0)),"")</f>
        <v/>
      </c>
      <c r="L116" s="4" t="str">
        <f>IFERROR(INDEX(样本到样信息汇总统计!L$2:L$500,MATCH(115,样本到样信息汇总统计!$Y$2:$Y$500,0)),"")</f>
        <v/>
      </c>
      <c r="M116" s="4" t="str">
        <f>IFERROR(INDEX(样本到样信息汇总统计!M$2:M$500,MATCH(115,样本到样信息汇总统计!$Y$2:$Y$500,0)),"")</f>
        <v/>
      </c>
      <c r="N116" s="4" t="str">
        <f>IFERROR(INDEX(样本到样信息汇总统计!N$2:N$500,MATCH(115,样本到样信息汇总统计!$Y$2:$Y$500,0)),"")</f>
        <v/>
      </c>
      <c r="O116" s="4" t="str">
        <f>IFERROR(INDEX(样本到样信息汇总统计!O$2:O$500,MATCH(115,样本到样信息汇总统计!$Y$2:$Y$500,0)),"")</f>
        <v/>
      </c>
      <c r="P116" s="4" t="str">
        <f>IFERROR(INDEX(样本到样信息汇总统计!P$2:P$500,MATCH(115,样本到样信息汇总统计!$Y$2:$Y$500,0)),"")</f>
        <v/>
      </c>
      <c r="Q116" s="4" t="str">
        <f>IFERROR(INDEX(样本到样信息汇总统计!Q$2:Q$500,MATCH(115,样本到样信息汇总统计!$Y$2:$Y$500,0)),"")</f>
        <v/>
      </c>
      <c r="R116" s="4" t="str">
        <f>IFERROR(INDEX(样本到样信息汇总统计!R$2:R$500,MATCH(115,样本到样信息汇总统计!$Y$2:$Y$500,0)),"")</f>
        <v/>
      </c>
      <c r="S116" s="4" t="str">
        <f>IFERROR(INDEX(样本到样信息汇总统计!S$2:S$500,MATCH(115,样本到样信息汇总统计!$Y$2:$Y$500,0)),"")</f>
        <v/>
      </c>
      <c r="T116" s="4" t="str">
        <f>IFERROR(INDEX(样本到样信息汇总统计!T$2:T$500,MATCH(115,样本到样信息汇总统计!$Y$2:$Y$500,0)),"")</f>
        <v/>
      </c>
      <c r="U116" s="4" t="str">
        <f>IFERROR(INDEX(样本到样信息汇总统计!U$2:U$500,MATCH(115,样本到样信息汇总统计!$Y$2:$Y$500,0)),"")</f>
        <v/>
      </c>
      <c r="V116" s="4" t="str">
        <f>IFERROR(INDEX(样本到样信息汇总统计!V$2:V$500,MATCH(115,样本到样信息汇总统计!$Y$2:$Y$500,0)),"")</f>
        <v/>
      </c>
      <c r="W116" s="4" t="str">
        <f>IFERROR(INDEX(样本到样信息汇总统计!W$2:W$500,MATCH(115,样本到样信息汇总统计!$Y$2:$Y$500,0)),"")</f>
        <v/>
      </c>
    </row>
    <row r="117" ht="14.5" spans="1:23">
      <c r="A117" s="8" t="str">
        <f>IFERROR(INDEX(样本到样信息汇总统计!A$2:A$500,MATCH(116,样本到样信息汇总统计!$Y$2:$Y$500,0)),"")</f>
        <v/>
      </c>
      <c r="B117" s="8" t="str">
        <f>IFERROR(INDEX(样本到样信息汇总统计!B$2:B$500,MATCH(116,样本到样信息汇总统计!$Y$2:$Y$500,0)),"")</f>
        <v/>
      </c>
      <c r="C117" s="8" t="str">
        <f>IFERROR(INDEX(样本到样信息汇总统计!C$2:C$500,MATCH(116,样本到样信息汇总统计!$Y$2:$Y$500,0)),"")</f>
        <v/>
      </c>
      <c r="D117" s="8" t="str">
        <f>IFERROR(INDEX(样本到样信息汇总统计!D$2:D$500,MATCH(116,样本到样信息汇总统计!$Y$2:$Y$500,0)),"")</f>
        <v/>
      </c>
      <c r="E117" s="8" t="str">
        <f>IFERROR(INDEX(样本到样信息汇总统计!E$2:E$500,MATCH(116,样本到样信息汇总统计!$Y$2:$Y$500,0)),"")</f>
        <v/>
      </c>
      <c r="F117" s="8" t="str">
        <f>IFERROR(INDEX(样本到样信息汇总统计!F$2:F$500,MATCH(116,样本到样信息汇总统计!$Y$2:$Y$500,0)),"")</f>
        <v/>
      </c>
      <c r="G117" s="8" t="str">
        <f>IFERROR(INDEX(样本到样信息汇总统计!G$2:G$500,MATCH(116,样本到样信息汇总统计!$Y$2:$Y$500,0)),"")</f>
        <v/>
      </c>
      <c r="H117" s="8" t="str">
        <f>IFERROR(INDEX(样本到样信息汇总统计!H$2:H$500,MATCH(116,样本到样信息汇总统计!$Y$2:$Y$500,0)),"")</f>
        <v/>
      </c>
      <c r="I117" s="8" t="str">
        <f>IFERROR(INDEX(样本到样信息汇总统计!I$2:I$500,MATCH(116,样本到样信息汇总统计!$Y$2:$Y$500,0)),"")</f>
        <v/>
      </c>
      <c r="J117" s="8" t="str">
        <f>IFERROR(INDEX(样本到样信息汇总统计!J$2:J$500,MATCH(116,样本到样信息汇总统计!$Y$2:$Y$500,0)),"")</f>
        <v/>
      </c>
      <c r="K117" s="8" t="str">
        <f>IFERROR(INDEX(样本到样信息汇总统计!K$2:K$500,MATCH(116,样本到样信息汇总统计!$Y$2:$Y$500,0)),"")</f>
        <v/>
      </c>
      <c r="L117" s="8" t="str">
        <f>IFERROR(INDEX(样本到样信息汇总统计!L$2:L$500,MATCH(116,样本到样信息汇总统计!$Y$2:$Y$500,0)),"")</f>
        <v/>
      </c>
      <c r="M117" s="8" t="str">
        <f>IFERROR(INDEX(样本到样信息汇总统计!M$2:M$500,MATCH(116,样本到样信息汇总统计!$Y$2:$Y$500,0)),"")</f>
        <v/>
      </c>
      <c r="N117" s="8" t="str">
        <f>IFERROR(INDEX(样本到样信息汇总统计!N$2:N$500,MATCH(116,样本到样信息汇总统计!$Y$2:$Y$500,0)),"")</f>
        <v/>
      </c>
      <c r="O117" s="8" t="str">
        <f>IFERROR(INDEX(样本到样信息汇总统计!O$2:O$500,MATCH(116,样本到样信息汇总统计!$Y$2:$Y$500,0)),"")</f>
        <v/>
      </c>
      <c r="P117" s="8" t="str">
        <f>IFERROR(INDEX(样本到样信息汇总统计!P$2:P$500,MATCH(116,样本到样信息汇总统计!$Y$2:$Y$500,0)),"")</f>
        <v/>
      </c>
      <c r="Q117" s="8" t="str">
        <f>IFERROR(INDEX(样本到样信息汇总统计!Q$2:Q$500,MATCH(116,样本到样信息汇总统计!$Y$2:$Y$500,0)),"")</f>
        <v/>
      </c>
      <c r="R117" s="8" t="str">
        <f>IFERROR(INDEX(样本到样信息汇总统计!R$2:R$500,MATCH(116,样本到样信息汇总统计!$Y$2:$Y$500,0)),"")</f>
        <v/>
      </c>
      <c r="S117" s="8" t="str">
        <f>IFERROR(INDEX(样本到样信息汇总统计!S$2:S$500,MATCH(116,样本到样信息汇总统计!$Y$2:$Y$500,0)),"")</f>
        <v/>
      </c>
      <c r="T117" s="8" t="str">
        <f>IFERROR(INDEX(样本到样信息汇总统计!T$2:T$500,MATCH(116,样本到样信息汇总统计!$Y$2:$Y$500,0)),"")</f>
        <v/>
      </c>
      <c r="U117" s="8" t="str">
        <f>IFERROR(INDEX(样本到样信息汇总统计!U$2:U$500,MATCH(116,样本到样信息汇总统计!$Y$2:$Y$500,0)),"")</f>
        <v/>
      </c>
      <c r="V117" s="8" t="str">
        <f>IFERROR(INDEX(样本到样信息汇总统计!V$2:V$500,MATCH(116,样本到样信息汇总统计!$Y$2:$Y$500,0)),"")</f>
        <v/>
      </c>
      <c r="W117" s="8" t="str">
        <f>IFERROR(INDEX(样本到样信息汇总统计!W$2:W$500,MATCH(116,样本到样信息汇总统计!$Y$2:$Y$500,0)),"")</f>
        <v/>
      </c>
    </row>
    <row r="118" ht="14.5" spans="1:23">
      <c r="A118" s="4" t="str">
        <f>IFERROR(INDEX(样本到样信息汇总统计!A$2:A$500,MATCH(117,样本到样信息汇总统计!$Y$2:$Y$500,0)),"")</f>
        <v/>
      </c>
      <c r="B118" s="4" t="str">
        <f>IFERROR(INDEX(样本到样信息汇总统计!B$2:B$500,MATCH(117,样本到样信息汇总统计!$Y$2:$Y$500,0)),"")</f>
        <v/>
      </c>
      <c r="C118" s="4" t="str">
        <f>IFERROR(INDEX(样本到样信息汇总统计!C$2:C$500,MATCH(117,样本到样信息汇总统计!$Y$2:$Y$500,0)),"")</f>
        <v/>
      </c>
      <c r="D118" s="4" t="str">
        <f>IFERROR(INDEX(样本到样信息汇总统计!D$2:D$500,MATCH(117,样本到样信息汇总统计!$Y$2:$Y$500,0)),"")</f>
        <v/>
      </c>
      <c r="E118" s="4" t="str">
        <f>IFERROR(INDEX(样本到样信息汇总统计!E$2:E$500,MATCH(117,样本到样信息汇总统计!$Y$2:$Y$500,0)),"")</f>
        <v/>
      </c>
      <c r="F118" s="4" t="str">
        <f>IFERROR(INDEX(样本到样信息汇总统计!F$2:F$500,MATCH(117,样本到样信息汇总统计!$Y$2:$Y$500,0)),"")</f>
        <v/>
      </c>
      <c r="G118" s="4" t="str">
        <f>IFERROR(INDEX(样本到样信息汇总统计!G$2:G$500,MATCH(117,样本到样信息汇总统计!$Y$2:$Y$500,0)),"")</f>
        <v/>
      </c>
      <c r="H118" s="4" t="str">
        <f>IFERROR(INDEX(样本到样信息汇总统计!H$2:H$500,MATCH(117,样本到样信息汇总统计!$Y$2:$Y$500,0)),"")</f>
        <v/>
      </c>
      <c r="I118" s="4" t="str">
        <f>IFERROR(INDEX(样本到样信息汇总统计!I$2:I$500,MATCH(117,样本到样信息汇总统计!$Y$2:$Y$500,0)),"")</f>
        <v/>
      </c>
      <c r="J118" s="4" t="str">
        <f>IFERROR(INDEX(样本到样信息汇总统计!J$2:J$500,MATCH(117,样本到样信息汇总统计!$Y$2:$Y$500,0)),"")</f>
        <v/>
      </c>
      <c r="K118" s="4" t="str">
        <f>IFERROR(INDEX(样本到样信息汇总统计!K$2:K$500,MATCH(117,样本到样信息汇总统计!$Y$2:$Y$500,0)),"")</f>
        <v/>
      </c>
      <c r="L118" s="4" t="str">
        <f>IFERROR(INDEX(样本到样信息汇总统计!L$2:L$500,MATCH(117,样本到样信息汇总统计!$Y$2:$Y$500,0)),"")</f>
        <v/>
      </c>
      <c r="M118" s="4" t="str">
        <f>IFERROR(INDEX(样本到样信息汇总统计!M$2:M$500,MATCH(117,样本到样信息汇总统计!$Y$2:$Y$500,0)),"")</f>
        <v/>
      </c>
      <c r="N118" s="4" t="str">
        <f>IFERROR(INDEX(样本到样信息汇总统计!N$2:N$500,MATCH(117,样本到样信息汇总统计!$Y$2:$Y$500,0)),"")</f>
        <v/>
      </c>
      <c r="O118" s="4" t="str">
        <f>IFERROR(INDEX(样本到样信息汇总统计!O$2:O$500,MATCH(117,样本到样信息汇总统计!$Y$2:$Y$500,0)),"")</f>
        <v/>
      </c>
      <c r="P118" s="4" t="str">
        <f>IFERROR(INDEX(样本到样信息汇总统计!P$2:P$500,MATCH(117,样本到样信息汇总统计!$Y$2:$Y$500,0)),"")</f>
        <v/>
      </c>
      <c r="Q118" s="4" t="str">
        <f>IFERROR(INDEX(样本到样信息汇总统计!Q$2:Q$500,MATCH(117,样本到样信息汇总统计!$Y$2:$Y$500,0)),"")</f>
        <v/>
      </c>
      <c r="R118" s="4" t="str">
        <f>IFERROR(INDEX(样本到样信息汇总统计!R$2:R$500,MATCH(117,样本到样信息汇总统计!$Y$2:$Y$500,0)),"")</f>
        <v/>
      </c>
      <c r="S118" s="4" t="str">
        <f>IFERROR(INDEX(样本到样信息汇总统计!S$2:S$500,MATCH(117,样本到样信息汇总统计!$Y$2:$Y$500,0)),"")</f>
        <v/>
      </c>
      <c r="T118" s="4" t="str">
        <f>IFERROR(INDEX(样本到样信息汇总统计!T$2:T$500,MATCH(117,样本到样信息汇总统计!$Y$2:$Y$500,0)),"")</f>
        <v/>
      </c>
      <c r="U118" s="4" t="str">
        <f>IFERROR(INDEX(样本到样信息汇总统计!U$2:U$500,MATCH(117,样本到样信息汇总统计!$Y$2:$Y$500,0)),"")</f>
        <v/>
      </c>
      <c r="V118" s="4" t="str">
        <f>IFERROR(INDEX(样本到样信息汇总统计!V$2:V$500,MATCH(117,样本到样信息汇总统计!$Y$2:$Y$500,0)),"")</f>
        <v/>
      </c>
      <c r="W118" s="4" t="str">
        <f>IFERROR(INDEX(样本到样信息汇总统计!W$2:W$500,MATCH(117,样本到样信息汇总统计!$Y$2:$Y$500,0)),"")</f>
        <v/>
      </c>
    </row>
    <row r="119" ht="14.5" spans="1:23">
      <c r="A119" s="8" t="str">
        <f>IFERROR(INDEX(样本到样信息汇总统计!A$2:A$500,MATCH(118,样本到样信息汇总统计!$Y$2:$Y$500,0)),"")</f>
        <v/>
      </c>
      <c r="B119" s="8" t="str">
        <f>IFERROR(INDEX(样本到样信息汇总统计!B$2:B$500,MATCH(118,样本到样信息汇总统计!$Y$2:$Y$500,0)),"")</f>
        <v/>
      </c>
      <c r="C119" s="8" t="str">
        <f>IFERROR(INDEX(样本到样信息汇总统计!C$2:C$500,MATCH(118,样本到样信息汇总统计!$Y$2:$Y$500,0)),"")</f>
        <v/>
      </c>
      <c r="D119" s="8" t="str">
        <f>IFERROR(INDEX(样本到样信息汇总统计!D$2:D$500,MATCH(118,样本到样信息汇总统计!$Y$2:$Y$500,0)),"")</f>
        <v/>
      </c>
      <c r="E119" s="8" t="str">
        <f>IFERROR(INDEX(样本到样信息汇总统计!E$2:E$500,MATCH(118,样本到样信息汇总统计!$Y$2:$Y$500,0)),"")</f>
        <v/>
      </c>
      <c r="F119" s="8" t="str">
        <f>IFERROR(INDEX(样本到样信息汇总统计!F$2:F$500,MATCH(118,样本到样信息汇总统计!$Y$2:$Y$500,0)),"")</f>
        <v/>
      </c>
      <c r="G119" s="8" t="str">
        <f>IFERROR(INDEX(样本到样信息汇总统计!G$2:G$500,MATCH(118,样本到样信息汇总统计!$Y$2:$Y$500,0)),"")</f>
        <v/>
      </c>
      <c r="H119" s="8" t="str">
        <f>IFERROR(INDEX(样本到样信息汇总统计!H$2:H$500,MATCH(118,样本到样信息汇总统计!$Y$2:$Y$500,0)),"")</f>
        <v/>
      </c>
      <c r="I119" s="8" t="str">
        <f>IFERROR(INDEX(样本到样信息汇总统计!I$2:I$500,MATCH(118,样本到样信息汇总统计!$Y$2:$Y$500,0)),"")</f>
        <v/>
      </c>
      <c r="J119" s="8" t="str">
        <f>IFERROR(INDEX(样本到样信息汇总统计!J$2:J$500,MATCH(118,样本到样信息汇总统计!$Y$2:$Y$500,0)),"")</f>
        <v/>
      </c>
      <c r="K119" s="8" t="str">
        <f>IFERROR(INDEX(样本到样信息汇总统计!K$2:K$500,MATCH(118,样本到样信息汇总统计!$Y$2:$Y$500,0)),"")</f>
        <v/>
      </c>
      <c r="L119" s="8" t="str">
        <f>IFERROR(INDEX(样本到样信息汇总统计!L$2:L$500,MATCH(118,样本到样信息汇总统计!$Y$2:$Y$500,0)),"")</f>
        <v/>
      </c>
      <c r="M119" s="8" t="str">
        <f>IFERROR(INDEX(样本到样信息汇总统计!M$2:M$500,MATCH(118,样本到样信息汇总统计!$Y$2:$Y$500,0)),"")</f>
        <v/>
      </c>
      <c r="N119" s="8" t="str">
        <f>IFERROR(INDEX(样本到样信息汇总统计!N$2:N$500,MATCH(118,样本到样信息汇总统计!$Y$2:$Y$500,0)),"")</f>
        <v/>
      </c>
      <c r="O119" s="8" t="str">
        <f>IFERROR(INDEX(样本到样信息汇总统计!O$2:O$500,MATCH(118,样本到样信息汇总统计!$Y$2:$Y$500,0)),"")</f>
        <v/>
      </c>
      <c r="P119" s="8" t="str">
        <f>IFERROR(INDEX(样本到样信息汇总统计!P$2:P$500,MATCH(118,样本到样信息汇总统计!$Y$2:$Y$500,0)),"")</f>
        <v/>
      </c>
      <c r="Q119" s="8" t="str">
        <f>IFERROR(INDEX(样本到样信息汇总统计!Q$2:Q$500,MATCH(118,样本到样信息汇总统计!$Y$2:$Y$500,0)),"")</f>
        <v/>
      </c>
      <c r="R119" s="8" t="str">
        <f>IFERROR(INDEX(样本到样信息汇总统计!R$2:R$500,MATCH(118,样本到样信息汇总统计!$Y$2:$Y$500,0)),"")</f>
        <v/>
      </c>
      <c r="S119" s="8" t="str">
        <f>IFERROR(INDEX(样本到样信息汇总统计!S$2:S$500,MATCH(118,样本到样信息汇总统计!$Y$2:$Y$500,0)),"")</f>
        <v/>
      </c>
      <c r="T119" s="8" t="str">
        <f>IFERROR(INDEX(样本到样信息汇总统计!T$2:T$500,MATCH(118,样本到样信息汇总统计!$Y$2:$Y$500,0)),"")</f>
        <v/>
      </c>
      <c r="U119" s="8" t="str">
        <f>IFERROR(INDEX(样本到样信息汇总统计!U$2:U$500,MATCH(118,样本到样信息汇总统计!$Y$2:$Y$500,0)),"")</f>
        <v/>
      </c>
      <c r="V119" s="8" t="str">
        <f>IFERROR(INDEX(样本到样信息汇总统计!V$2:V$500,MATCH(118,样本到样信息汇总统计!$Y$2:$Y$500,0)),"")</f>
        <v/>
      </c>
      <c r="W119" s="8" t="str">
        <f>IFERROR(INDEX(样本到样信息汇总统计!W$2:W$500,MATCH(118,样本到样信息汇总统计!$Y$2:$Y$500,0)),"")</f>
        <v/>
      </c>
    </row>
    <row r="120" ht="14.5" spans="1:23">
      <c r="A120" s="4" t="str">
        <f>IFERROR(INDEX(样本到样信息汇总统计!A$2:A$500,MATCH(119,样本到样信息汇总统计!$Y$2:$Y$500,0)),"")</f>
        <v/>
      </c>
      <c r="B120" s="4" t="str">
        <f>IFERROR(INDEX(样本到样信息汇总统计!B$2:B$500,MATCH(119,样本到样信息汇总统计!$Y$2:$Y$500,0)),"")</f>
        <v/>
      </c>
      <c r="C120" s="4" t="str">
        <f>IFERROR(INDEX(样本到样信息汇总统计!C$2:C$500,MATCH(119,样本到样信息汇总统计!$Y$2:$Y$500,0)),"")</f>
        <v/>
      </c>
      <c r="D120" s="4" t="str">
        <f>IFERROR(INDEX(样本到样信息汇总统计!D$2:D$500,MATCH(119,样本到样信息汇总统计!$Y$2:$Y$500,0)),"")</f>
        <v/>
      </c>
      <c r="E120" s="4" t="str">
        <f>IFERROR(INDEX(样本到样信息汇总统计!E$2:E$500,MATCH(119,样本到样信息汇总统计!$Y$2:$Y$500,0)),"")</f>
        <v/>
      </c>
      <c r="F120" s="4" t="str">
        <f>IFERROR(INDEX(样本到样信息汇总统计!F$2:F$500,MATCH(119,样本到样信息汇总统计!$Y$2:$Y$500,0)),"")</f>
        <v/>
      </c>
      <c r="G120" s="4" t="str">
        <f>IFERROR(INDEX(样本到样信息汇总统计!G$2:G$500,MATCH(119,样本到样信息汇总统计!$Y$2:$Y$500,0)),"")</f>
        <v/>
      </c>
      <c r="H120" s="4" t="str">
        <f>IFERROR(INDEX(样本到样信息汇总统计!H$2:H$500,MATCH(119,样本到样信息汇总统计!$Y$2:$Y$500,0)),"")</f>
        <v/>
      </c>
      <c r="I120" s="4" t="str">
        <f>IFERROR(INDEX(样本到样信息汇总统计!I$2:I$500,MATCH(119,样本到样信息汇总统计!$Y$2:$Y$500,0)),"")</f>
        <v/>
      </c>
      <c r="J120" s="4" t="str">
        <f>IFERROR(INDEX(样本到样信息汇总统计!J$2:J$500,MATCH(119,样本到样信息汇总统计!$Y$2:$Y$500,0)),"")</f>
        <v/>
      </c>
      <c r="K120" s="4" t="str">
        <f>IFERROR(INDEX(样本到样信息汇总统计!K$2:K$500,MATCH(119,样本到样信息汇总统计!$Y$2:$Y$500,0)),"")</f>
        <v/>
      </c>
      <c r="L120" s="4" t="str">
        <f>IFERROR(INDEX(样本到样信息汇总统计!L$2:L$500,MATCH(119,样本到样信息汇总统计!$Y$2:$Y$500,0)),"")</f>
        <v/>
      </c>
      <c r="M120" s="4" t="str">
        <f>IFERROR(INDEX(样本到样信息汇总统计!M$2:M$500,MATCH(119,样本到样信息汇总统计!$Y$2:$Y$500,0)),"")</f>
        <v/>
      </c>
      <c r="N120" s="4" t="str">
        <f>IFERROR(INDEX(样本到样信息汇总统计!N$2:N$500,MATCH(119,样本到样信息汇总统计!$Y$2:$Y$500,0)),"")</f>
        <v/>
      </c>
      <c r="O120" s="4" t="str">
        <f>IFERROR(INDEX(样本到样信息汇总统计!O$2:O$500,MATCH(119,样本到样信息汇总统计!$Y$2:$Y$500,0)),"")</f>
        <v/>
      </c>
      <c r="P120" s="4" t="str">
        <f>IFERROR(INDEX(样本到样信息汇总统计!P$2:P$500,MATCH(119,样本到样信息汇总统计!$Y$2:$Y$500,0)),"")</f>
        <v/>
      </c>
      <c r="Q120" s="4" t="str">
        <f>IFERROR(INDEX(样本到样信息汇总统计!Q$2:Q$500,MATCH(119,样本到样信息汇总统计!$Y$2:$Y$500,0)),"")</f>
        <v/>
      </c>
      <c r="R120" s="4" t="str">
        <f>IFERROR(INDEX(样本到样信息汇总统计!R$2:R$500,MATCH(119,样本到样信息汇总统计!$Y$2:$Y$500,0)),"")</f>
        <v/>
      </c>
      <c r="S120" s="4" t="str">
        <f>IFERROR(INDEX(样本到样信息汇总统计!S$2:S$500,MATCH(119,样本到样信息汇总统计!$Y$2:$Y$500,0)),"")</f>
        <v/>
      </c>
      <c r="T120" s="4" t="str">
        <f>IFERROR(INDEX(样本到样信息汇总统计!T$2:T$500,MATCH(119,样本到样信息汇总统计!$Y$2:$Y$500,0)),"")</f>
        <v/>
      </c>
      <c r="U120" s="4" t="str">
        <f>IFERROR(INDEX(样本到样信息汇总统计!U$2:U$500,MATCH(119,样本到样信息汇总统计!$Y$2:$Y$500,0)),"")</f>
        <v/>
      </c>
      <c r="V120" s="4" t="str">
        <f>IFERROR(INDEX(样本到样信息汇总统计!V$2:V$500,MATCH(119,样本到样信息汇总统计!$Y$2:$Y$500,0)),"")</f>
        <v/>
      </c>
      <c r="W120" s="4" t="str">
        <f>IFERROR(INDEX(样本到样信息汇总统计!W$2:W$500,MATCH(119,样本到样信息汇总统计!$Y$2:$Y$500,0)),"")</f>
        <v/>
      </c>
    </row>
    <row r="121" ht="14.5" spans="1:23">
      <c r="A121" s="8" t="str">
        <f>IFERROR(INDEX(样本到样信息汇总统计!A$2:A$500,MATCH(120,样本到样信息汇总统计!$Y$2:$Y$500,0)),"")</f>
        <v/>
      </c>
      <c r="B121" s="8" t="str">
        <f>IFERROR(INDEX(样本到样信息汇总统计!B$2:B$500,MATCH(120,样本到样信息汇总统计!$Y$2:$Y$500,0)),"")</f>
        <v/>
      </c>
      <c r="C121" s="8" t="str">
        <f>IFERROR(INDEX(样本到样信息汇总统计!C$2:C$500,MATCH(120,样本到样信息汇总统计!$Y$2:$Y$500,0)),"")</f>
        <v/>
      </c>
      <c r="D121" s="8" t="str">
        <f>IFERROR(INDEX(样本到样信息汇总统计!D$2:D$500,MATCH(120,样本到样信息汇总统计!$Y$2:$Y$500,0)),"")</f>
        <v/>
      </c>
      <c r="E121" s="8" t="str">
        <f>IFERROR(INDEX(样本到样信息汇总统计!E$2:E$500,MATCH(120,样本到样信息汇总统计!$Y$2:$Y$500,0)),"")</f>
        <v/>
      </c>
      <c r="F121" s="8" t="str">
        <f>IFERROR(INDEX(样本到样信息汇总统计!F$2:F$500,MATCH(120,样本到样信息汇总统计!$Y$2:$Y$500,0)),"")</f>
        <v/>
      </c>
      <c r="G121" s="8" t="str">
        <f>IFERROR(INDEX(样本到样信息汇总统计!G$2:G$500,MATCH(120,样本到样信息汇总统计!$Y$2:$Y$500,0)),"")</f>
        <v/>
      </c>
      <c r="H121" s="8" t="str">
        <f>IFERROR(INDEX(样本到样信息汇总统计!H$2:H$500,MATCH(120,样本到样信息汇总统计!$Y$2:$Y$500,0)),"")</f>
        <v/>
      </c>
      <c r="I121" s="8" t="str">
        <f>IFERROR(INDEX(样本到样信息汇总统计!I$2:I$500,MATCH(120,样本到样信息汇总统计!$Y$2:$Y$500,0)),"")</f>
        <v/>
      </c>
      <c r="J121" s="8" t="str">
        <f>IFERROR(INDEX(样本到样信息汇总统计!J$2:J$500,MATCH(120,样本到样信息汇总统计!$Y$2:$Y$500,0)),"")</f>
        <v/>
      </c>
      <c r="K121" s="8" t="str">
        <f>IFERROR(INDEX(样本到样信息汇总统计!K$2:K$500,MATCH(120,样本到样信息汇总统计!$Y$2:$Y$500,0)),"")</f>
        <v/>
      </c>
      <c r="L121" s="8" t="str">
        <f>IFERROR(INDEX(样本到样信息汇总统计!L$2:L$500,MATCH(120,样本到样信息汇总统计!$Y$2:$Y$500,0)),"")</f>
        <v/>
      </c>
      <c r="M121" s="8" t="str">
        <f>IFERROR(INDEX(样本到样信息汇总统计!M$2:M$500,MATCH(120,样本到样信息汇总统计!$Y$2:$Y$500,0)),"")</f>
        <v/>
      </c>
      <c r="N121" s="8" t="str">
        <f>IFERROR(INDEX(样本到样信息汇总统计!N$2:N$500,MATCH(120,样本到样信息汇总统计!$Y$2:$Y$500,0)),"")</f>
        <v/>
      </c>
      <c r="O121" s="8" t="str">
        <f>IFERROR(INDEX(样本到样信息汇总统计!O$2:O$500,MATCH(120,样本到样信息汇总统计!$Y$2:$Y$500,0)),"")</f>
        <v/>
      </c>
      <c r="P121" s="8" t="str">
        <f>IFERROR(INDEX(样本到样信息汇总统计!P$2:P$500,MATCH(120,样本到样信息汇总统计!$Y$2:$Y$500,0)),"")</f>
        <v/>
      </c>
      <c r="Q121" s="8" t="str">
        <f>IFERROR(INDEX(样本到样信息汇总统计!Q$2:Q$500,MATCH(120,样本到样信息汇总统计!$Y$2:$Y$500,0)),"")</f>
        <v/>
      </c>
      <c r="R121" s="8" t="str">
        <f>IFERROR(INDEX(样本到样信息汇总统计!R$2:R$500,MATCH(120,样本到样信息汇总统计!$Y$2:$Y$500,0)),"")</f>
        <v/>
      </c>
      <c r="S121" s="8" t="str">
        <f>IFERROR(INDEX(样本到样信息汇总统计!S$2:S$500,MATCH(120,样本到样信息汇总统计!$Y$2:$Y$500,0)),"")</f>
        <v/>
      </c>
      <c r="T121" s="8" t="str">
        <f>IFERROR(INDEX(样本到样信息汇总统计!T$2:T$500,MATCH(120,样本到样信息汇总统计!$Y$2:$Y$500,0)),"")</f>
        <v/>
      </c>
      <c r="U121" s="8" t="str">
        <f>IFERROR(INDEX(样本到样信息汇总统计!U$2:U$500,MATCH(120,样本到样信息汇总统计!$Y$2:$Y$500,0)),"")</f>
        <v/>
      </c>
      <c r="V121" s="8" t="str">
        <f>IFERROR(INDEX(样本到样信息汇总统计!V$2:V$500,MATCH(120,样本到样信息汇总统计!$Y$2:$Y$500,0)),"")</f>
        <v/>
      </c>
      <c r="W121" s="8" t="str">
        <f>IFERROR(INDEX(样本到样信息汇总统计!W$2:W$500,MATCH(120,样本到样信息汇总统计!$Y$2:$Y$500,0)),"")</f>
        <v/>
      </c>
    </row>
    <row r="122" ht="14.5" spans="1:23">
      <c r="A122" s="4" t="str">
        <f>IFERROR(INDEX(样本到样信息汇总统计!A$2:A$500,MATCH(121,样本到样信息汇总统计!$Y$2:$Y$500,0)),"")</f>
        <v/>
      </c>
      <c r="B122" s="4" t="str">
        <f>IFERROR(INDEX(样本到样信息汇总统计!B$2:B$500,MATCH(121,样本到样信息汇总统计!$Y$2:$Y$500,0)),"")</f>
        <v/>
      </c>
      <c r="C122" s="4" t="str">
        <f>IFERROR(INDEX(样本到样信息汇总统计!C$2:C$500,MATCH(121,样本到样信息汇总统计!$Y$2:$Y$500,0)),"")</f>
        <v/>
      </c>
      <c r="D122" s="4" t="str">
        <f>IFERROR(INDEX(样本到样信息汇总统计!D$2:D$500,MATCH(121,样本到样信息汇总统计!$Y$2:$Y$500,0)),"")</f>
        <v/>
      </c>
      <c r="E122" s="4" t="str">
        <f>IFERROR(INDEX(样本到样信息汇总统计!E$2:E$500,MATCH(121,样本到样信息汇总统计!$Y$2:$Y$500,0)),"")</f>
        <v/>
      </c>
      <c r="F122" s="4" t="str">
        <f>IFERROR(INDEX(样本到样信息汇总统计!F$2:F$500,MATCH(121,样本到样信息汇总统计!$Y$2:$Y$500,0)),"")</f>
        <v/>
      </c>
      <c r="G122" s="4" t="str">
        <f>IFERROR(INDEX(样本到样信息汇总统计!G$2:G$500,MATCH(121,样本到样信息汇总统计!$Y$2:$Y$500,0)),"")</f>
        <v/>
      </c>
      <c r="H122" s="4" t="str">
        <f>IFERROR(INDEX(样本到样信息汇总统计!H$2:H$500,MATCH(121,样本到样信息汇总统计!$Y$2:$Y$500,0)),"")</f>
        <v/>
      </c>
      <c r="I122" s="4" t="str">
        <f>IFERROR(INDEX(样本到样信息汇总统计!I$2:I$500,MATCH(121,样本到样信息汇总统计!$Y$2:$Y$500,0)),"")</f>
        <v/>
      </c>
      <c r="J122" s="4" t="str">
        <f>IFERROR(INDEX(样本到样信息汇总统计!J$2:J$500,MATCH(121,样本到样信息汇总统计!$Y$2:$Y$500,0)),"")</f>
        <v/>
      </c>
      <c r="K122" s="4" t="str">
        <f>IFERROR(INDEX(样本到样信息汇总统计!K$2:K$500,MATCH(121,样本到样信息汇总统计!$Y$2:$Y$500,0)),"")</f>
        <v/>
      </c>
      <c r="L122" s="4" t="str">
        <f>IFERROR(INDEX(样本到样信息汇总统计!L$2:L$500,MATCH(121,样本到样信息汇总统计!$Y$2:$Y$500,0)),"")</f>
        <v/>
      </c>
      <c r="M122" s="4" t="str">
        <f>IFERROR(INDEX(样本到样信息汇总统计!M$2:M$500,MATCH(121,样本到样信息汇总统计!$Y$2:$Y$500,0)),"")</f>
        <v/>
      </c>
      <c r="N122" s="4" t="str">
        <f>IFERROR(INDEX(样本到样信息汇总统计!N$2:N$500,MATCH(121,样本到样信息汇总统计!$Y$2:$Y$500,0)),"")</f>
        <v/>
      </c>
      <c r="O122" s="4" t="str">
        <f>IFERROR(INDEX(样本到样信息汇总统计!O$2:O$500,MATCH(121,样本到样信息汇总统计!$Y$2:$Y$500,0)),"")</f>
        <v/>
      </c>
      <c r="P122" s="4" t="str">
        <f>IFERROR(INDEX(样本到样信息汇总统计!P$2:P$500,MATCH(121,样本到样信息汇总统计!$Y$2:$Y$500,0)),"")</f>
        <v/>
      </c>
      <c r="Q122" s="4" t="str">
        <f>IFERROR(INDEX(样本到样信息汇总统计!Q$2:Q$500,MATCH(121,样本到样信息汇总统计!$Y$2:$Y$500,0)),"")</f>
        <v/>
      </c>
      <c r="R122" s="4" t="str">
        <f>IFERROR(INDEX(样本到样信息汇总统计!R$2:R$500,MATCH(121,样本到样信息汇总统计!$Y$2:$Y$500,0)),"")</f>
        <v/>
      </c>
      <c r="S122" s="4" t="str">
        <f>IFERROR(INDEX(样本到样信息汇总统计!S$2:S$500,MATCH(121,样本到样信息汇总统计!$Y$2:$Y$500,0)),"")</f>
        <v/>
      </c>
      <c r="T122" s="4" t="str">
        <f>IFERROR(INDEX(样本到样信息汇总统计!T$2:T$500,MATCH(121,样本到样信息汇总统计!$Y$2:$Y$500,0)),"")</f>
        <v/>
      </c>
      <c r="U122" s="4" t="str">
        <f>IFERROR(INDEX(样本到样信息汇总统计!U$2:U$500,MATCH(121,样本到样信息汇总统计!$Y$2:$Y$500,0)),"")</f>
        <v/>
      </c>
      <c r="V122" s="4" t="str">
        <f>IFERROR(INDEX(样本到样信息汇总统计!V$2:V$500,MATCH(121,样本到样信息汇总统计!$Y$2:$Y$500,0)),"")</f>
        <v/>
      </c>
      <c r="W122" s="4" t="str">
        <f>IFERROR(INDEX(样本到样信息汇总统计!W$2:W$500,MATCH(121,样本到样信息汇总统计!$Y$2:$Y$500,0)),"")</f>
        <v/>
      </c>
    </row>
    <row r="123" ht="14.5" spans="1:23">
      <c r="A123" s="8" t="str">
        <f>IFERROR(INDEX(样本到样信息汇总统计!A$2:A$500,MATCH(122,样本到样信息汇总统计!$Y$2:$Y$500,0)),"")</f>
        <v/>
      </c>
      <c r="B123" s="8" t="str">
        <f>IFERROR(INDEX(样本到样信息汇总统计!B$2:B$500,MATCH(122,样本到样信息汇总统计!$Y$2:$Y$500,0)),"")</f>
        <v/>
      </c>
      <c r="C123" s="8" t="str">
        <f>IFERROR(INDEX(样本到样信息汇总统计!C$2:C$500,MATCH(122,样本到样信息汇总统计!$Y$2:$Y$500,0)),"")</f>
        <v/>
      </c>
      <c r="D123" s="8" t="str">
        <f>IFERROR(INDEX(样本到样信息汇总统计!D$2:D$500,MATCH(122,样本到样信息汇总统计!$Y$2:$Y$500,0)),"")</f>
        <v/>
      </c>
      <c r="E123" s="8" t="str">
        <f>IFERROR(INDEX(样本到样信息汇总统计!E$2:E$500,MATCH(122,样本到样信息汇总统计!$Y$2:$Y$500,0)),"")</f>
        <v/>
      </c>
      <c r="F123" s="8" t="str">
        <f>IFERROR(INDEX(样本到样信息汇总统计!F$2:F$500,MATCH(122,样本到样信息汇总统计!$Y$2:$Y$500,0)),"")</f>
        <v/>
      </c>
      <c r="G123" s="8" t="str">
        <f>IFERROR(INDEX(样本到样信息汇总统计!G$2:G$500,MATCH(122,样本到样信息汇总统计!$Y$2:$Y$500,0)),"")</f>
        <v/>
      </c>
      <c r="H123" s="8" t="str">
        <f>IFERROR(INDEX(样本到样信息汇总统计!H$2:H$500,MATCH(122,样本到样信息汇总统计!$Y$2:$Y$500,0)),"")</f>
        <v/>
      </c>
      <c r="I123" s="8" t="str">
        <f>IFERROR(INDEX(样本到样信息汇总统计!I$2:I$500,MATCH(122,样本到样信息汇总统计!$Y$2:$Y$500,0)),"")</f>
        <v/>
      </c>
      <c r="J123" s="8" t="str">
        <f>IFERROR(INDEX(样本到样信息汇总统计!J$2:J$500,MATCH(122,样本到样信息汇总统计!$Y$2:$Y$500,0)),"")</f>
        <v/>
      </c>
      <c r="K123" s="8" t="str">
        <f>IFERROR(INDEX(样本到样信息汇总统计!K$2:K$500,MATCH(122,样本到样信息汇总统计!$Y$2:$Y$500,0)),"")</f>
        <v/>
      </c>
      <c r="L123" s="8" t="str">
        <f>IFERROR(INDEX(样本到样信息汇总统计!L$2:L$500,MATCH(122,样本到样信息汇总统计!$Y$2:$Y$500,0)),"")</f>
        <v/>
      </c>
      <c r="M123" s="8" t="str">
        <f>IFERROR(INDEX(样本到样信息汇总统计!M$2:M$500,MATCH(122,样本到样信息汇总统计!$Y$2:$Y$500,0)),"")</f>
        <v/>
      </c>
      <c r="N123" s="8" t="str">
        <f>IFERROR(INDEX(样本到样信息汇总统计!N$2:N$500,MATCH(122,样本到样信息汇总统计!$Y$2:$Y$500,0)),"")</f>
        <v/>
      </c>
      <c r="O123" s="8" t="str">
        <f>IFERROR(INDEX(样本到样信息汇总统计!O$2:O$500,MATCH(122,样本到样信息汇总统计!$Y$2:$Y$500,0)),"")</f>
        <v/>
      </c>
      <c r="P123" s="8" t="str">
        <f>IFERROR(INDEX(样本到样信息汇总统计!P$2:P$500,MATCH(122,样本到样信息汇总统计!$Y$2:$Y$500,0)),"")</f>
        <v/>
      </c>
      <c r="Q123" s="8" t="str">
        <f>IFERROR(INDEX(样本到样信息汇总统计!Q$2:Q$500,MATCH(122,样本到样信息汇总统计!$Y$2:$Y$500,0)),"")</f>
        <v/>
      </c>
      <c r="R123" s="8" t="str">
        <f>IFERROR(INDEX(样本到样信息汇总统计!R$2:R$500,MATCH(122,样本到样信息汇总统计!$Y$2:$Y$500,0)),"")</f>
        <v/>
      </c>
      <c r="S123" s="8" t="str">
        <f>IFERROR(INDEX(样本到样信息汇总统计!S$2:S$500,MATCH(122,样本到样信息汇总统计!$Y$2:$Y$500,0)),"")</f>
        <v/>
      </c>
      <c r="T123" s="8" t="str">
        <f>IFERROR(INDEX(样本到样信息汇总统计!T$2:T$500,MATCH(122,样本到样信息汇总统计!$Y$2:$Y$500,0)),"")</f>
        <v/>
      </c>
      <c r="U123" s="8" t="str">
        <f>IFERROR(INDEX(样本到样信息汇总统计!U$2:U$500,MATCH(122,样本到样信息汇总统计!$Y$2:$Y$500,0)),"")</f>
        <v/>
      </c>
      <c r="V123" s="8" t="str">
        <f>IFERROR(INDEX(样本到样信息汇总统计!V$2:V$500,MATCH(122,样本到样信息汇总统计!$Y$2:$Y$500,0)),"")</f>
        <v/>
      </c>
      <c r="W123" s="8" t="str">
        <f>IFERROR(INDEX(样本到样信息汇总统计!W$2:W$500,MATCH(122,样本到样信息汇总统计!$Y$2:$Y$500,0)),"")</f>
        <v/>
      </c>
    </row>
    <row r="124" ht="14.5" spans="1:23">
      <c r="A124" s="4" t="str">
        <f>IFERROR(INDEX(样本到样信息汇总统计!A$2:A$500,MATCH(123,样本到样信息汇总统计!$Y$2:$Y$500,0)),"")</f>
        <v/>
      </c>
      <c r="B124" s="4" t="str">
        <f>IFERROR(INDEX(样本到样信息汇总统计!B$2:B$500,MATCH(123,样本到样信息汇总统计!$Y$2:$Y$500,0)),"")</f>
        <v/>
      </c>
      <c r="C124" s="4" t="str">
        <f>IFERROR(INDEX(样本到样信息汇总统计!C$2:C$500,MATCH(123,样本到样信息汇总统计!$Y$2:$Y$500,0)),"")</f>
        <v/>
      </c>
      <c r="D124" s="4" t="str">
        <f>IFERROR(INDEX(样本到样信息汇总统计!D$2:D$500,MATCH(123,样本到样信息汇总统计!$Y$2:$Y$500,0)),"")</f>
        <v/>
      </c>
      <c r="E124" s="4" t="str">
        <f>IFERROR(INDEX(样本到样信息汇总统计!E$2:E$500,MATCH(123,样本到样信息汇总统计!$Y$2:$Y$500,0)),"")</f>
        <v/>
      </c>
      <c r="F124" s="4" t="str">
        <f>IFERROR(INDEX(样本到样信息汇总统计!F$2:F$500,MATCH(123,样本到样信息汇总统计!$Y$2:$Y$500,0)),"")</f>
        <v/>
      </c>
      <c r="G124" s="4" t="str">
        <f>IFERROR(INDEX(样本到样信息汇总统计!G$2:G$500,MATCH(123,样本到样信息汇总统计!$Y$2:$Y$500,0)),"")</f>
        <v/>
      </c>
      <c r="H124" s="4" t="str">
        <f>IFERROR(INDEX(样本到样信息汇总统计!H$2:H$500,MATCH(123,样本到样信息汇总统计!$Y$2:$Y$500,0)),"")</f>
        <v/>
      </c>
      <c r="I124" s="4" t="str">
        <f>IFERROR(INDEX(样本到样信息汇总统计!I$2:I$500,MATCH(123,样本到样信息汇总统计!$Y$2:$Y$500,0)),"")</f>
        <v/>
      </c>
      <c r="J124" s="4" t="str">
        <f>IFERROR(INDEX(样本到样信息汇总统计!J$2:J$500,MATCH(123,样本到样信息汇总统计!$Y$2:$Y$500,0)),"")</f>
        <v/>
      </c>
      <c r="K124" s="4" t="str">
        <f>IFERROR(INDEX(样本到样信息汇总统计!K$2:K$500,MATCH(123,样本到样信息汇总统计!$Y$2:$Y$500,0)),"")</f>
        <v/>
      </c>
      <c r="L124" s="4" t="str">
        <f>IFERROR(INDEX(样本到样信息汇总统计!L$2:L$500,MATCH(123,样本到样信息汇总统计!$Y$2:$Y$500,0)),"")</f>
        <v/>
      </c>
      <c r="M124" s="4" t="str">
        <f>IFERROR(INDEX(样本到样信息汇总统计!M$2:M$500,MATCH(123,样本到样信息汇总统计!$Y$2:$Y$500,0)),"")</f>
        <v/>
      </c>
      <c r="N124" s="4" t="str">
        <f>IFERROR(INDEX(样本到样信息汇总统计!N$2:N$500,MATCH(123,样本到样信息汇总统计!$Y$2:$Y$500,0)),"")</f>
        <v/>
      </c>
      <c r="O124" s="4" t="str">
        <f>IFERROR(INDEX(样本到样信息汇总统计!O$2:O$500,MATCH(123,样本到样信息汇总统计!$Y$2:$Y$500,0)),"")</f>
        <v/>
      </c>
      <c r="P124" s="4" t="str">
        <f>IFERROR(INDEX(样本到样信息汇总统计!P$2:P$500,MATCH(123,样本到样信息汇总统计!$Y$2:$Y$500,0)),"")</f>
        <v/>
      </c>
      <c r="Q124" s="4" t="str">
        <f>IFERROR(INDEX(样本到样信息汇总统计!Q$2:Q$500,MATCH(123,样本到样信息汇总统计!$Y$2:$Y$500,0)),"")</f>
        <v/>
      </c>
      <c r="R124" s="4" t="str">
        <f>IFERROR(INDEX(样本到样信息汇总统计!R$2:R$500,MATCH(123,样本到样信息汇总统计!$Y$2:$Y$500,0)),"")</f>
        <v/>
      </c>
      <c r="S124" s="4" t="str">
        <f>IFERROR(INDEX(样本到样信息汇总统计!S$2:S$500,MATCH(123,样本到样信息汇总统计!$Y$2:$Y$500,0)),"")</f>
        <v/>
      </c>
      <c r="T124" s="4" t="str">
        <f>IFERROR(INDEX(样本到样信息汇总统计!T$2:T$500,MATCH(123,样本到样信息汇总统计!$Y$2:$Y$500,0)),"")</f>
        <v/>
      </c>
      <c r="U124" s="4" t="str">
        <f>IFERROR(INDEX(样本到样信息汇总统计!U$2:U$500,MATCH(123,样本到样信息汇总统计!$Y$2:$Y$500,0)),"")</f>
        <v/>
      </c>
      <c r="V124" s="4" t="str">
        <f>IFERROR(INDEX(样本到样信息汇总统计!V$2:V$500,MATCH(123,样本到样信息汇总统计!$Y$2:$Y$500,0)),"")</f>
        <v/>
      </c>
      <c r="W124" s="4" t="str">
        <f>IFERROR(INDEX(样本到样信息汇总统计!W$2:W$500,MATCH(123,样本到样信息汇总统计!$Y$2:$Y$500,0)),"")</f>
        <v/>
      </c>
    </row>
    <row r="125" ht="14.5" spans="1:23">
      <c r="A125" s="8" t="str">
        <f>IFERROR(INDEX(样本到样信息汇总统计!A$2:A$500,MATCH(124,样本到样信息汇总统计!$Y$2:$Y$500,0)),"")</f>
        <v/>
      </c>
      <c r="B125" s="8" t="str">
        <f>IFERROR(INDEX(样本到样信息汇总统计!B$2:B$500,MATCH(124,样本到样信息汇总统计!$Y$2:$Y$500,0)),"")</f>
        <v/>
      </c>
      <c r="C125" s="8" t="str">
        <f>IFERROR(INDEX(样本到样信息汇总统计!C$2:C$500,MATCH(124,样本到样信息汇总统计!$Y$2:$Y$500,0)),"")</f>
        <v/>
      </c>
      <c r="D125" s="8" t="str">
        <f>IFERROR(INDEX(样本到样信息汇总统计!D$2:D$500,MATCH(124,样本到样信息汇总统计!$Y$2:$Y$500,0)),"")</f>
        <v/>
      </c>
      <c r="E125" s="8" t="str">
        <f>IFERROR(INDEX(样本到样信息汇总统计!E$2:E$500,MATCH(124,样本到样信息汇总统计!$Y$2:$Y$500,0)),"")</f>
        <v/>
      </c>
      <c r="F125" s="8" t="str">
        <f>IFERROR(INDEX(样本到样信息汇总统计!F$2:F$500,MATCH(124,样本到样信息汇总统计!$Y$2:$Y$500,0)),"")</f>
        <v/>
      </c>
      <c r="G125" s="8" t="str">
        <f>IFERROR(INDEX(样本到样信息汇总统计!G$2:G$500,MATCH(124,样本到样信息汇总统计!$Y$2:$Y$500,0)),"")</f>
        <v/>
      </c>
      <c r="H125" s="8" t="str">
        <f>IFERROR(INDEX(样本到样信息汇总统计!H$2:H$500,MATCH(124,样本到样信息汇总统计!$Y$2:$Y$500,0)),"")</f>
        <v/>
      </c>
      <c r="I125" s="8" t="str">
        <f>IFERROR(INDEX(样本到样信息汇总统计!I$2:I$500,MATCH(124,样本到样信息汇总统计!$Y$2:$Y$500,0)),"")</f>
        <v/>
      </c>
      <c r="J125" s="8" t="str">
        <f>IFERROR(INDEX(样本到样信息汇总统计!J$2:J$500,MATCH(124,样本到样信息汇总统计!$Y$2:$Y$500,0)),"")</f>
        <v/>
      </c>
      <c r="K125" s="8" t="str">
        <f>IFERROR(INDEX(样本到样信息汇总统计!K$2:K$500,MATCH(124,样本到样信息汇总统计!$Y$2:$Y$500,0)),"")</f>
        <v/>
      </c>
      <c r="L125" s="8" t="str">
        <f>IFERROR(INDEX(样本到样信息汇总统计!L$2:L$500,MATCH(124,样本到样信息汇总统计!$Y$2:$Y$500,0)),"")</f>
        <v/>
      </c>
      <c r="M125" s="8" t="str">
        <f>IFERROR(INDEX(样本到样信息汇总统计!M$2:M$500,MATCH(124,样本到样信息汇总统计!$Y$2:$Y$500,0)),"")</f>
        <v/>
      </c>
      <c r="N125" s="8" t="str">
        <f>IFERROR(INDEX(样本到样信息汇总统计!N$2:N$500,MATCH(124,样本到样信息汇总统计!$Y$2:$Y$500,0)),"")</f>
        <v/>
      </c>
      <c r="O125" s="8" t="str">
        <f>IFERROR(INDEX(样本到样信息汇总统计!O$2:O$500,MATCH(124,样本到样信息汇总统计!$Y$2:$Y$500,0)),"")</f>
        <v/>
      </c>
      <c r="P125" s="8" t="str">
        <f>IFERROR(INDEX(样本到样信息汇总统计!P$2:P$500,MATCH(124,样本到样信息汇总统计!$Y$2:$Y$500,0)),"")</f>
        <v/>
      </c>
      <c r="Q125" s="8" t="str">
        <f>IFERROR(INDEX(样本到样信息汇总统计!Q$2:Q$500,MATCH(124,样本到样信息汇总统计!$Y$2:$Y$500,0)),"")</f>
        <v/>
      </c>
      <c r="R125" s="8" t="str">
        <f>IFERROR(INDEX(样本到样信息汇总统计!R$2:R$500,MATCH(124,样本到样信息汇总统计!$Y$2:$Y$500,0)),"")</f>
        <v/>
      </c>
      <c r="S125" s="8" t="str">
        <f>IFERROR(INDEX(样本到样信息汇总统计!S$2:S$500,MATCH(124,样本到样信息汇总统计!$Y$2:$Y$500,0)),"")</f>
        <v/>
      </c>
      <c r="T125" s="8" t="str">
        <f>IFERROR(INDEX(样本到样信息汇总统计!T$2:T$500,MATCH(124,样本到样信息汇总统计!$Y$2:$Y$500,0)),"")</f>
        <v/>
      </c>
      <c r="U125" s="8" t="str">
        <f>IFERROR(INDEX(样本到样信息汇总统计!U$2:U$500,MATCH(124,样本到样信息汇总统计!$Y$2:$Y$500,0)),"")</f>
        <v/>
      </c>
      <c r="V125" s="8" t="str">
        <f>IFERROR(INDEX(样本到样信息汇总统计!V$2:V$500,MATCH(124,样本到样信息汇总统计!$Y$2:$Y$500,0)),"")</f>
        <v/>
      </c>
      <c r="W125" s="8" t="str">
        <f>IFERROR(INDEX(样本到样信息汇总统计!W$2:W$500,MATCH(124,样本到样信息汇总统计!$Y$2:$Y$500,0)),"")</f>
        <v/>
      </c>
    </row>
    <row r="126" ht="14.5" spans="1:23">
      <c r="A126" s="4" t="str">
        <f>IFERROR(INDEX(样本到样信息汇总统计!A$2:A$500,MATCH(125,样本到样信息汇总统计!$Y$2:$Y$500,0)),"")</f>
        <v/>
      </c>
      <c r="B126" s="4" t="str">
        <f>IFERROR(INDEX(样本到样信息汇总统计!B$2:B$500,MATCH(125,样本到样信息汇总统计!$Y$2:$Y$500,0)),"")</f>
        <v/>
      </c>
      <c r="C126" s="4" t="str">
        <f>IFERROR(INDEX(样本到样信息汇总统计!C$2:C$500,MATCH(125,样本到样信息汇总统计!$Y$2:$Y$500,0)),"")</f>
        <v/>
      </c>
      <c r="D126" s="4" t="str">
        <f>IFERROR(INDEX(样本到样信息汇总统计!D$2:D$500,MATCH(125,样本到样信息汇总统计!$Y$2:$Y$500,0)),"")</f>
        <v/>
      </c>
      <c r="E126" s="4" t="str">
        <f>IFERROR(INDEX(样本到样信息汇总统计!E$2:E$500,MATCH(125,样本到样信息汇总统计!$Y$2:$Y$500,0)),"")</f>
        <v/>
      </c>
      <c r="F126" s="4" t="str">
        <f>IFERROR(INDEX(样本到样信息汇总统计!F$2:F$500,MATCH(125,样本到样信息汇总统计!$Y$2:$Y$500,0)),"")</f>
        <v/>
      </c>
      <c r="G126" s="4" t="str">
        <f>IFERROR(INDEX(样本到样信息汇总统计!G$2:G$500,MATCH(125,样本到样信息汇总统计!$Y$2:$Y$500,0)),"")</f>
        <v/>
      </c>
      <c r="H126" s="4" t="str">
        <f>IFERROR(INDEX(样本到样信息汇总统计!H$2:H$500,MATCH(125,样本到样信息汇总统计!$Y$2:$Y$500,0)),"")</f>
        <v/>
      </c>
      <c r="I126" s="4" t="str">
        <f>IFERROR(INDEX(样本到样信息汇总统计!I$2:I$500,MATCH(125,样本到样信息汇总统计!$Y$2:$Y$500,0)),"")</f>
        <v/>
      </c>
      <c r="J126" s="4" t="str">
        <f>IFERROR(INDEX(样本到样信息汇总统计!J$2:J$500,MATCH(125,样本到样信息汇总统计!$Y$2:$Y$500,0)),"")</f>
        <v/>
      </c>
      <c r="K126" s="4" t="str">
        <f>IFERROR(INDEX(样本到样信息汇总统计!K$2:K$500,MATCH(125,样本到样信息汇总统计!$Y$2:$Y$500,0)),"")</f>
        <v/>
      </c>
      <c r="L126" s="4" t="str">
        <f>IFERROR(INDEX(样本到样信息汇总统计!L$2:L$500,MATCH(125,样本到样信息汇总统计!$Y$2:$Y$500,0)),"")</f>
        <v/>
      </c>
      <c r="M126" s="4" t="str">
        <f>IFERROR(INDEX(样本到样信息汇总统计!M$2:M$500,MATCH(125,样本到样信息汇总统计!$Y$2:$Y$500,0)),"")</f>
        <v/>
      </c>
      <c r="N126" s="4" t="str">
        <f>IFERROR(INDEX(样本到样信息汇总统计!N$2:N$500,MATCH(125,样本到样信息汇总统计!$Y$2:$Y$500,0)),"")</f>
        <v/>
      </c>
      <c r="O126" s="4" t="str">
        <f>IFERROR(INDEX(样本到样信息汇总统计!O$2:O$500,MATCH(125,样本到样信息汇总统计!$Y$2:$Y$500,0)),"")</f>
        <v/>
      </c>
      <c r="P126" s="4" t="str">
        <f>IFERROR(INDEX(样本到样信息汇总统计!P$2:P$500,MATCH(125,样本到样信息汇总统计!$Y$2:$Y$500,0)),"")</f>
        <v/>
      </c>
      <c r="Q126" s="4" t="str">
        <f>IFERROR(INDEX(样本到样信息汇总统计!Q$2:Q$500,MATCH(125,样本到样信息汇总统计!$Y$2:$Y$500,0)),"")</f>
        <v/>
      </c>
      <c r="R126" s="4" t="str">
        <f>IFERROR(INDEX(样本到样信息汇总统计!R$2:R$500,MATCH(125,样本到样信息汇总统计!$Y$2:$Y$500,0)),"")</f>
        <v/>
      </c>
      <c r="S126" s="4" t="str">
        <f>IFERROR(INDEX(样本到样信息汇总统计!S$2:S$500,MATCH(125,样本到样信息汇总统计!$Y$2:$Y$500,0)),"")</f>
        <v/>
      </c>
      <c r="T126" s="4" t="str">
        <f>IFERROR(INDEX(样本到样信息汇总统计!T$2:T$500,MATCH(125,样本到样信息汇总统计!$Y$2:$Y$500,0)),"")</f>
        <v/>
      </c>
      <c r="U126" s="4" t="str">
        <f>IFERROR(INDEX(样本到样信息汇总统计!U$2:U$500,MATCH(125,样本到样信息汇总统计!$Y$2:$Y$500,0)),"")</f>
        <v/>
      </c>
      <c r="V126" s="4" t="str">
        <f>IFERROR(INDEX(样本到样信息汇总统计!V$2:V$500,MATCH(125,样本到样信息汇总统计!$Y$2:$Y$500,0)),"")</f>
        <v/>
      </c>
      <c r="W126" s="4" t="str">
        <f>IFERROR(INDEX(样本到样信息汇总统计!W$2:W$500,MATCH(125,样本到样信息汇总统计!$Y$2:$Y$500,0)),"")</f>
        <v/>
      </c>
    </row>
    <row r="127" ht="14.5" spans="1:23">
      <c r="A127" s="8" t="str">
        <f>IFERROR(INDEX(样本到样信息汇总统计!A$2:A$500,MATCH(126,样本到样信息汇总统计!$Y$2:$Y$500,0)),"")</f>
        <v/>
      </c>
      <c r="B127" s="8" t="str">
        <f>IFERROR(INDEX(样本到样信息汇总统计!B$2:B$500,MATCH(126,样本到样信息汇总统计!$Y$2:$Y$500,0)),"")</f>
        <v/>
      </c>
      <c r="C127" s="8" t="str">
        <f>IFERROR(INDEX(样本到样信息汇总统计!C$2:C$500,MATCH(126,样本到样信息汇总统计!$Y$2:$Y$500,0)),"")</f>
        <v/>
      </c>
      <c r="D127" s="8" t="str">
        <f>IFERROR(INDEX(样本到样信息汇总统计!D$2:D$500,MATCH(126,样本到样信息汇总统计!$Y$2:$Y$500,0)),"")</f>
        <v/>
      </c>
      <c r="E127" s="8" t="str">
        <f>IFERROR(INDEX(样本到样信息汇总统计!E$2:E$500,MATCH(126,样本到样信息汇总统计!$Y$2:$Y$500,0)),"")</f>
        <v/>
      </c>
      <c r="F127" s="8" t="str">
        <f>IFERROR(INDEX(样本到样信息汇总统计!F$2:F$500,MATCH(126,样本到样信息汇总统计!$Y$2:$Y$500,0)),"")</f>
        <v/>
      </c>
      <c r="G127" s="8" t="str">
        <f>IFERROR(INDEX(样本到样信息汇总统计!G$2:G$500,MATCH(126,样本到样信息汇总统计!$Y$2:$Y$500,0)),"")</f>
        <v/>
      </c>
      <c r="H127" s="8" t="str">
        <f>IFERROR(INDEX(样本到样信息汇总统计!H$2:H$500,MATCH(126,样本到样信息汇总统计!$Y$2:$Y$500,0)),"")</f>
        <v/>
      </c>
      <c r="I127" s="8" t="str">
        <f>IFERROR(INDEX(样本到样信息汇总统计!I$2:I$500,MATCH(126,样本到样信息汇总统计!$Y$2:$Y$500,0)),"")</f>
        <v/>
      </c>
      <c r="J127" s="8" t="str">
        <f>IFERROR(INDEX(样本到样信息汇总统计!J$2:J$500,MATCH(126,样本到样信息汇总统计!$Y$2:$Y$500,0)),"")</f>
        <v/>
      </c>
      <c r="K127" s="8" t="str">
        <f>IFERROR(INDEX(样本到样信息汇总统计!K$2:K$500,MATCH(126,样本到样信息汇总统计!$Y$2:$Y$500,0)),"")</f>
        <v/>
      </c>
      <c r="L127" s="8" t="str">
        <f>IFERROR(INDEX(样本到样信息汇总统计!L$2:L$500,MATCH(126,样本到样信息汇总统计!$Y$2:$Y$500,0)),"")</f>
        <v/>
      </c>
      <c r="M127" s="8" t="str">
        <f>IFERROR(INDEX(样本到样信息汇总统计!M$2:M$500,MATCH(126,样本到样信息汇总统计!$Y$2:$Y$500,0)),"")</f>
        <v/>
      </c>
      <c r="N127" s="8" t="str">
        <f>IFERROR(INDEX(样本到样信息汇总统计!N$2:N$500,MATCH(126,样本到样信息汇总统计!$Y$2:$Y$500,0)),"")</f>
        <v/>
      </c>
      <c r="O127" s="8" t="str">
        <f>IFERROR(INDEX(样本到样信息汇总统计!O$2:O$500,MATCH(126,样本到样信息汇总统计!$Y$2:$Y$500,0)),"")</f>
        <v/>
      </c>
      <c r="P127" s="8" t="str">
        <f>IFERROR(INDEX(样本到样信息汇总统计!P$2:P$500,MATCH(126,样本到样信息汇总统计!$Y$2:$Y$500,0)),"")</f>
        <v/>
      </c>
      <c r="Q127" s="8" t="str">
        <f>IFERROR(INDEX(样本到样信息汇总统计!Q$2:Q$500,MATCH(126,样本到样信息汇总统计!$Y$2:$Y$500,0)),"")</f>
        <v/>
      </c>
      <c r="R127" s="8" t="str">
        <f>IFERROR(INDEX(样本到样信息汇总统计!R$2:R$500,MATCH(126,样本到样信息汇总统计!$Y$2:$Y$500,0)),"")</f>
        <v/>
      </c>
      <c r="S127" s="8" t="str">
        <f>IFERROR(INDEX(样本到样信息汇总统计!S$2:S$500,MATCH(126,样本到样信息汇总统计!$Y$2:$Y$500,0)),"")</f>
        <v/>
      </c>
      <c r="T127" s="8" t="str">
        <f>IFERROR(INDEX(样本到样信息汇总统计!T$2:T$500,MATCH(126,样本到样信息汇总统计!$Y$2:$Y$500,0)),"")</f>
        <v/>
      </c>
      <c r="U127" s="8" t="str">
        <f>IFERROR(INDEX(样本到样信息汇总统计!U$2:U$500,MATCH(126,样本到样信息汇总统计!$Y$2:$Y$500,0)),"")</f>
        <v/>
      </c>
      <c r="V127" s="8" t="str">
        <f>IFERROR(INDEX(样本到样信息汇总统计!V$2:V$500,MATCH(126,样本到样信息汇总统计!$Y$2:$Y$500,0)),"")</f>
        <v/>
      </c>
      <c r="W127" s="8" t="str">
        <f>IFERROR(INDEX(样本到样信息汇总统计!W$2:W$500,MATCH(126,样本到样信息汇总统计!$Y$2:$Y$500,0)),"")</f>
        <v/>
      </c>
    </row>
    <row r="128" ht="14.5" spans="1:23">
      <c r="A128" s="4" t="str">
        <f>IFERROR(INDEX(样本到样信息汇总统计!A$2:A$500,MATCH(127,样本到样信息汇总统计!$Y$2:$Y$500,0)),"")</f>
        <v/>
      </c>
      <c r="B128" s="4" t="str">
        <f>IFERROR(INDEX(样本到样信息汇总统计!B$2:B$500,MATCH(127,样本到样信息汇总统计!$Y$2:$Y$500,0)),"")</f>
        <v/>
      </c>
      <c r="C128" s="4" t="str">
        <f>IFERROR(INDEX(样本到样信息汇总统计!C$2:C$500,MATCH(127,样本到样信息汇总统计!$Y$2:$Y$500,0)),"")</f>
        <v/>
      </c>
      <c r="D128" s="4" t="str">
        <f>IFERROR(INDEX(样本到样信息汇总统计!D$2:D$500,MATCH(127,样本到样信息汇总统计!$Y$2:$Y$500,0)),"")</f>
        <v/>
      </c>
      <c r="E128" s="4" t="str">
        <f>IFERROR(INDEX(样本到样信息汇总统计!E$2:E$500,MATCH(127,样本到样信息汇总统计!$Y$2:$Y$500,0)),"")</f>
        <v/>
      </c>
      <c r="F128" s="4" t="str">
        <f>IFERROR(INDEX(样本到样信息汇总统计!F$2:F$500,MATCH(127,样本到样信息汇总统计!$Y$2:$Y$500,0)),"")</f>
        <v/>
      </c>
      <c r="G128" s="4" t="str">
        <f>IFERROR(INDEX(样本到样信息汇总统计!G$2:G$500,MATCH(127,样本到样信息汇总统计!$Y$2:$Y$500,0)),"")</f>
        <v/>
      </c>
      <c r="H128" s="4" t="str">
        <f>IFERROR(INDEX(样本到样信息汇总统计!H$2:H$500,MATCH(127,样本到样信息汇总统计!$Y$2:$Y$500,0)),"")</f>
        <v/>
      </c>
      <c r="I128" s="4" t="str">
        <f>IFERROR(INDEX(样本到样信息汇总统计!I$2:I$500,MATCH(127,样本到样信息汇总统计!$Y$2:$Y$500,0)),"")</f>
        <v/>
      </c>
      <c r="J128" s="4" t="str">
        <f>IFERROR(INDEX(样本到样信息汇总统计!J$2:J$500,MATCH(127,样本到样信息汇总统计!$Y$2:$Y$500,0)),"")</f>
        <v/>
      </c>
      <c r="K128" s="4" t="str">
        <f>IFERROR(INDEX(样本到样信息汇总统计!K$2:K$500,MATCH(127,样本到样信息汇总统计!$Y$2:$Y$500,0)),"")</f>
        <v/>
      </c>
      <c r="L128" s="4" t="str">
        <f>IFERROR(INDEX(样本到样信息汇总统计!L$2:L$500,MATCH(127,样本到样信息汇总统计!$Y$2:$Y$500,0)),"")</f>
        <v/>
      </c>
      <c r="M128" s="4" t="str">
        <f>IFERROR(INDEX(样本到样信息汇总统计!M$2:M$500,MATCH(127,样本到样信息汇总统计!$Y$2:$Y$500,0)),"")</f>
        <v/>
      </c>
      <c r="N128" s="4" t="str">
        <f>IFERROR(INDEX(样本到样信息汇总统计!N$2:N$500,MATCH(127,样本到样信息汇总统计!$Y$2:$Y$500,0)),"")</f>
        <v/>
      </c>
      <c r="O128" s="4" t="str">
        <f>IFERROR(INDEX(样本到样信息汇总统计!O$2:O$500,MATCH(127,样本到样信息汇总统计!$Y$2:$Y$500,0)),"")</f>
        <v/>
      </c>
      <c r="P128" s="4" t="str">
        <f>IFERROR(INDEX(样本到样信息汇总统计!P$2:P$500,MATCH(127,样本到样信息汇总统计!$Y$2:$Y$500,0)),"")</f>
        <v/>
      </c>
      <c r="Q128" s="4" t="str">
        <f>IFERROR(INDEX(样本到样信息汇总统计!Q$2:Q$500,MATCH(127,样本到样信息汇总统计!$Y$2:$Y$500,0)),"")</f>
        <v/>
      </c>
      <c r="R128" s="4" t="str">
        <f>IFERROR(INDEX(样本到样信息汇总统计!R$2:R$500,MATCH(127,样本到样信息汇总统计!$Y$2:$Y$500,0)),"")</f>
        <v/>
      </c>
      <c r="S128" s="4" t="str">
        <f>IFERROR(INDEX(样本到样信息汇总统计!S$2:S$500,MATCH(127,样本到样信息汇总统计!$Y$2:$Y$500,0)),"")</f>
        <v/>
      </c>
      <c r="T128" s="4" t="str">
        <f>IFERROR(INDEX(样本到样信息汇总统计!T$2:T$500,MATCH(127,样本到样信息汇总统计!$Y$2:$Y$500,0)),"")</f>
        <v/>
      </c>
      <c r="U128" s="4" t="str">
        <f>IFERROR(INDEX(样本到样信息汇总统计!U$2:U$500,MATCH(127,样本到样信息汇总统计!$Y$2:$Y$500,0)),"")</f>
        <v/>
      </c>
      <c r="V128" s="4" t="str">
        <f>IFERROR(INDEX(样本到样信息汇总统计!V$2:V$500,MATCH(127,样本到样信息汇总统计!$Y$2:$Y$500,0)),"")</f>
        <v/>
      </c>
      <c r="W128" s="4" t="str">
        <f>IFERROR(INDEX(样本到样信息汇总统计!W$2:W$500,MATCH(127,样本到样信息汇总统计!$Y$2:$Y$500,0)),"")</f>
        <v/>
      </c>
    </row>
    <row r="129" ht="14.5" spans="1:23">
      <c r="A129" s="8" t="str">
        <f>IFERROR(INDEX(样本到样信息汇总统计!A$2:A$500,MATCH(128,样本到样信息汇总统计!$Y$2:$Y$500,0)),"")</f>
        <v/>
      </c>
      <c r="B129" s="8" t="str">
        <f>IFERROR(INDEX(样本到样信息汇总统计!B$2:B$500,MATCH(128,样本到样信息汇总统计!$Y$2:$Y$500,0)),"")</f>
        <v/>
      </c>
      <c r="C129" s="8" t="str">
        <f>IFERROR(INDEX(样本到样信息汇总统计!C$2:C$500,MATCH(128,样本到样信息汇总统计!$Y$2:$Y$500,0)),"")</f>
        <v/>
      </c>
      <c r="D129" s="8" t="str">
        <f>IFERROR(INDEX(样本到样信息汇总统计!D$2:D$500,MATCH(128,样本到样信息汇总统计!$Y$2:$Y$500,0)),"")</f>
        <v/>
      </c>
      <c r="E129" s="8" t="str">
        <f>IFERROR(INDEX(样本到样信息汇总统计!E$2:E$500,MATCH(128,样本到样信息汇总统计!$Y$2:$Y$500,0)),"")</f>
        <v/>
      </c>
      <c r="F129" s="8" t="str">
        <f>IFERROR(INDEX(样本到样信息汇总统计!F$2:F$500,MATCH(128,样本到样信息汇总统计!$Y$2:$Y$500,0)),"")</f>
        <v/>
      </c>
      <c r="G129" s="8" t="str">
        <f>IFERROR(INDEX(样本到样信息汇总统计!G$2:G$500,MATCH(128,样本到样信息汇总统计!$Y$2:$Y$500,0)),"")</f>
        <v/>
      </c>
      <c r="H129" s="8" t="str">
        <f>IFERROR(INDEX(样本到样信息汇总统计!H$2:H$500,MATCH(128,样本到样信息汇总统计!$Y$2:$Y$500,0)),"")</f>
        <v/>
      </c>
      <c r="I129" s="8" t="str">
        <f>IFERROR(INDEX(样本到样信息汇总统计!I$2:I$500,MATCH(128,样本到样信息汇总统计!$Y$2:$Y$500,0)),"")</f>
        <v/>
      </c>
      <c r="J129" s="8" t="str">
        <f>IFERROR(INDEX(样本到样信息汇总统计!J$2:J$500,MATCH(128,样本到样信息汇总统计!$Y$2:$Y$500,0)),"")</f>
        <v/>
      </c>
      <c r="K129" s="8" t="str">
        <f>IFERROR(INDEX(样本到样信息汇总统计!K$2:K$500,MATCH(128,样本到样信息汇总统计!$Y$2:$Y$500,0)),"")</f>
        <v/>
      </c>
      <c r="L129" s="8" t="str">
        <f>IFERROR(INDEX(样本到样信息汇总统计!L$2:L$500,MATCH(128,样本到样信息汇总统计!$Y$2:$Y$500,0)),"")</f>
        <v/>
      </c>
      <c r="M129" s="8" t="str">
        <f>IFERROR(INDEX(样本到样信息汇总统计!M$2:M$500,MATCH(128,样本到样信息汇总统计!$Y$2:$Y$500,0)),"")</f>
        <v/>
      </c>
      <c r="N129" s="8" t="str">
        <f>IFERROR(INDEX(样本到样信息汇总统计!N$2:N$500,MATCH(128,样本到样信息汇总统计!$Y$2:$Y$500,0)),"")</f>
        <v/>
      </c>
      <c r="O129" s="8" t="str">
        <f>IFERROR(INDEX(样本到样信息汇总统计!O$2:O$500,MATCH(128,样本到样信息汇总统计!$Y$2:$Y$500,0)),"")</f>
        <v/>
      </c>
      <c r="P129" s="8" t="str">
        <f>IFERROR(INDEX(样本到样信息汇总统计!P$2:P$500,MATCH(128,样本到样信息汇总统计!$Y$2:$Y$500,0)),"")</f>
        <v/>
      </c>
      <c r="Q129" s="8" t="str">
        <f>IFERROR(INDEX(样本到样信息汇总统计!Q$2:Q$500,MATCH(128,样本到样信息汇总统计!$Y$2:$Y$500,0)),"")</f>
        <v/>
      </c>
      <c r="R129" s="8" t="str">
        <f>IFERROR(INDEX(样本到样信息汇总统计!R$2:R$500,MATCH(128,样本到样信息汇总统计!$Y$2:$Y$500,0)),"")</f>
        <v/>
      </c>
      <c r="S129" s="8" t="str">
        <f>IFERROR(INDEX(样本到样信息汇总统计!S$2:S$500,MATCH(128,样本到样信息汇总统计!$Y$2:$Y$500,0)),"")</f>
        <v/>
      </c>
      <c r="T129" s="8" t="str">
        <f>IFERROR(INDEX(样本到样信息汇总统计!T$2:T$500,MATCH(128,样本到样信息汇总统计!$Y$2:$Y$500,0)),"")</f>
        <v/>
      </c>
      <c r="U129" s="8" t="str">
        <f>IFERROR(INDEX(样本到样信息汇总统计!U$2:U$500,MATCH(128,样本到样信息汇总统计!$Y$2:$Y$500,0)),"")</f>
        <v/>
      </c>
      <c r="V129" s="8" t="str">
        <f>IFERROR(INDEX(样本到样信息汇总统计!V$2:V$500,MATCH(128,样本到样信息汇总统计!$Y$2:$Y$500,0)),"")</f>
        <v/>
      </c>
      <c r="W129" s="8" t="str">
        <f>IFERROR(INDEX(样本到样信息汇总统计!W$2:W$500,MATCH(128,样本到样信息汇总统计!$Y$2:$Y$500,0)),"")</f>
        <v/>
      </c>
    </row>
    <row r="130" ht="14.5" spans="1:23">
      <c r="A130" s="4" t="str">
        <f>IFERROR(INDEX(样本到样信息汇总统计!A$2:A$500,MATCH(129,样本到样信息汇总统计!$Y$2:$Y$500,0)),"")</f>
        <v/>
      </c>
      <c r="B130" s="4" t="str">
        <f>IFERROR(INDEX(样本到样信息汇总统计!B$2:B$500,MATCH(129,样本到样信息汇总统计!$Y$2:$Y$500,0)),"")</f>
        <v/>
      </c>
      <c r="C130" s="4" t="str">
        <f>IFERROR(INDEX(样本到样信息汇总统计!C$2:C$500,MATCH(129,样本到样信息汇总统计!$Y$2:$Y$500,0)),"")</f>
        <v/>
      </c>
      <c r="D130" s="4" t="str">
        <f>IFERROR(INDEX(样本到样信息汇总统计!D$2:D$500,MATCH(129,样本到样信息汇总统计!$Y$2:$Y$500,0)),"")</f>
        <v/>
      </c>
      <c r="E130" s="4" t="str">
        <f>IFERROR(INDEX(样本到样信息汇总统计!E$2:E$500,MATCH(129,样本到样信息汇总统计!$Y$2:$Y$500,0)),"")</f>
        <v/>
      </c>
      <c r="F130" s="4" t="str">
        <f>IFERROR(INDEX(样本到样信息汇总统计!F$2:F$500,MATCH(129,样本到样信息汇总统计!$Y$2:$Y$500,0)),"")</f>
        <v/>
      </c>
      <c r="G130" s="4" t="str">
        <f>IFERROR(INDEX(样本到样信息汇总统计!G$2:G$500,MATCH(129,样本到样信息汇总统计!$Y$2:$Y$500,0)),"")</f>
        <v/>
      </c>
      <c r="H130" s="4" t="str">
        <f>IFERROR(INDEX(样本到样信息汇总统计!H$2:H$500,MATCH(129,样本到样信息汇总统计!$Y$2:$Y$500,0)),"")</f>
        <v/>
      </c>
      <c r="I130" s="4" t="str">
        <f>IFERROR(INDEX(样本到样信息汇总统计!I$2:I$500,MATCH(129,样本到样信息汇总统计!$Y$2:$Y$500,0)),"")</f>
        <v/>
      </c>
      <c r="J130" s="4" t="str">
        <f>IFERROR(INDEX(样本到样信息汇总统计!J$2:J$500,MATCH(129,样本到样信息汇总统计!$Y$2:$Y$500,0)),"")</f>
        <v/>
      </c>
      <c r="K130" s="4" t="str">
        <f>IFERROR(INDEX(样本到样信息汇总统计!K$2:K$500,MATCH(129,样本到样信息汇总统计!$Y$2:$Y$500,0)),"")</f>
        <v/>
      </c>
      <c r="L130" s="4" t="str">
        <f>IFERROR(INDEX(样本到样信息汇总统计!L$2:L$500,MATCH(129,样本到样信息汇总统计!$Y$2:$Y$500,0)),"")</f>
        <v/>
      </c>
      <c r="M130" s="4" t="str">
        <f>IFERROR(INDEX(样本到样信息汇总统计!M$2:M$500,MATCH(129,样本到样信息汇总统计!$Y$2:$Y$500,0)),"")</f>
        <v/>
      </c>
      <c r="N130" s="4" t="str">
        <f>IFERROR(INDEX(样本到样信息汇总统计!N$2:N$500,MATCH(129,样本到样信息汇总统计!$Y$2:$Y$500,0)),"")</f>
        <v/>
      </c>
      <c r="O130" s="4" t="str">
        <f>IFERROR(INDEX(样本到样信息汇总统计!O$2:O$500,MATCH(129,样本到样信息汇总统计!$Y$2:$Y$500,0)),"")</f>
        <v/>
      </c>
      <c r="P130" s="4" t="str">
        <f>IFERROR(INDEX(样本到样信息汇总统计!P$2:P$500,MATCH(129,样本到样信息汇总统计!$Y$2:$Y$500,0)),"")</f>
        <v/>
      </c>
      <c r="Q130" s="4" t="str">
        <f>IFERROR(INDEX(样本到样信息汇总统计!Q$2:Q$500,MATCH(129,样本到样信息汇总统计!$Y$2:$Y$500,0)),"")</f>
        <v/>
      </c>
      <c r="R130" s="4" t="str">
        <f>IFERROR(INDEX(样本到样信息汇总统计!R$2:R$500,MATCH(129,样本到样信息汇总统计!$Y$2:$Y$500,0)),"")</f>
        <v/>
      </c>
      <c r="S130" s="4" t="str">
        <f>IFERROR(INDEX(样本到样信息汇总统计!S$2:S$500,MATCH(129,样本到样信息汇总统计!$Y$2:$Y$500,0)),"")</f>
        <v/>
      </c>
      <c r="T130" s="4" t="str">
        <f>IFERROR(INDEX(样本到样信息汇总统计!T$2:T$500,MATCH(129,样本到样信息汇总统计!$Y$2:$Y$500,0)),"")</f>
        <v/>
      </c>
      <c r="U130" s="4" t="str">
        <f>IFERROR(INDEX(样本到样信息汇总统计!U$2:U$500,MATCH(129,样本到样信息汇总统计!$Y$2:$Y$500,0)),"")</f>
        <v/>
      </c>
      <c r="V130" s="4" t="str">
        <f>IFERROR(INDEX(样本到样信息汇总统计!V$2:V$500,MATCH(129,样本到样信息汇总统计!$Y$2:$Y$500,0)),"")</f>
        <v/>
      </c>
      <c r="W130" s="4" t="str">
        <f>IFERROR(INDEX(样本到样信息汇总统计!W$2:W$500,MATCH(129,样本到样信息汇总统计!$Y$2:$Y$500,0)),"")</f>
        <v/>
      </c>
    </row>
    <row r="131" ht="14.5" spans="1:23">
      <c r="A131" s="8" t="str">
        <f>IFERROR(INDEX(样本到样信息汇总统计!A$2:A$500,MATCH(130,样本到样信息汇总统计!$Y$2:$Y$500,0)),"")</f>
        <v/>
      </c>
      <c r="B131" s="8" t="str">
        <f>IFERROR(INDEX(样本到样信息汇总统计!B$2:B$500,MATCH(130,样本到样信息汇总统计!$Y$2:$Y$500,0)),"")</f>
        <v/>
      </c>
      <c r="C131" s="8" t="str">
        <f>IFERROR(INDEX(样本到样信息汇总统计!C$2:C$500,MATCH(130,样本到样信息汇总统计!$Y$2:$Y$500,0)),"")</f>
        <v/>
      </c>
      <c r="D131" s="8" t="str">
        <f>IFERROR(INDEX(样本到样信息汇总统计!D$2:D$500,MATCH(130,样本到样信息汇总统计!$Y$2:$Y$500,0)),"")</f>
        <v/>
      </c>
      <c r="E131" s="8" t="str">
        <f>IFERROR(INDEX(样本到样信息汇总统计!E$2:E$500,MATCH(130,样本到样信息汇总统计!$Y$2:$Y$500,0)),"")</f>
        <v/>
      </c>
      <c r="F131" s="8" t="str">
        <f>IFERROR(INDEX(样本到样信息汇总统计!F$2:F$500,MATCH(130,样本到样信息汇总统计!$Y$2:$Y$500,0)),"")</f>
        <v/>
      </c>
      <c r="G131" s="8" t="str">
        <f>IFERROR(INDEX(样本到样信息汇总统计!G$2:G$500,MATCH(130,样本到样信息汇总统计!$Y$2:$Y$500,0)),"")</f>
        <v/>
      </c>
      <c r="H131" s="8" t="str">
        <f>IFERROR(INDEX(样本到样信息汇总统计!H$2:H$500,MATCH(130,样本到样信息汇总统计!$Y$2:$Y$500,0)),"")</f>
        <v/>
      </c>
      <c r="I131" s="8" t="str">
        <f>IFERROR(INDEX(样本到样信息汇总统计!I$2:I$500,MATCH(130,样本到样信息汇总统计!$Y$2:$Y$500,0)),"")</f>
        <v/>
      </c>
      <c r="J131" s="8" t="str">
        <f>IFERROR(INDEX(样本到样信息汇总统计!J$2:J$500,MATCH(130,样本到样信息汇总统计!$Y$2:$Y$500,0)),"")</f>
        <v/>
      </c>
      <c r="K131" s="8" t="str">
        <f>IFERROR(INDEX(样本到样信息汇总统计!K$2:K$500,MATCH(130,样本到样信息汇总统计!$Y$2:$Y$500,0)),"")</f>
        <v/>
      </c>
      <c r="L131" s="8" t="str">
        <f>IFERROR(INDEX(样本到样信息汇总统计!L$2:L$500,MATCH(130,样本到样信息汇总统计!$Y$2:$Y$500,0)),"")</f>
        <v/>
      </c>
      <c r="M131" s="8" t="str">
        <f>IFERROR(INDEX(样本到样信息汇总统计!M$2:M$500,MATCH(130,样本到样信息汇总统计!$Y$2:$Y$500,0)),"")</f>
        <v/>
      </c>
      <c r="N131" s="8" t="str">
        <f>IFERROR(INDEX(样本到样信息汇总统计!N$2:N$500,MATCH(130,样本到样信息汇总统计!$Y$2:$Y$500,0)),"")</f>
        <v/>
      </c>
      <c r="O131" s="8" t="str">
        <f>IFERROR(INDEX(样本到样信息汇总统计!O$2:O$500,MATCH(130,样本到样信息汇总统计!$Y$2:$Y$500,0)),"")</f>
        <v/>
      </c>
      <c r="P131" s="8" t="str">
        <f>IFERROR(INDEX(样本到样信息汇总统计!P$2:P$500,MATCH(130,样本到样信息汇总统计!$Y$2:$Y$500,0)),"")</f>
        <v/>
      </c>
      <c r="Q131" s="8" t="str">
        <f>IFERROR(INDEX(样本到样信息汇总统计!Q$2:Q$500,MATCH(130,样本到样信息汇总统计!$Y$2:$Y$500,0)),"")</f>
        <v/>
      </c>
      <c r="R131" s="8" t="str">
        <f>IFERROR(INDEX(样本到样信息汇总统计!R$2:R$500,MATCH(130,样本到样信息汇总统计!$Y$2:$Y$500,0)),"")</f>
        <v/>
      </c>
      <c r="S131" s="8" t="str">
        <f>IFERROR(INDEX(样本到样信息汇总统计!S$2:S$500,MATCH(130,样本到样信息汇总统计!$Y$2:$Y$500,0)),"")</f>
        <v/>
      </c>
      <c r="T131" s="8" t="str">
        <f>IFERROR(INDEX(样本到样信息汇总统计!T$2:T$500,MATCH(130,样本到样信息汇总统计!$Y$2:$Y$500,0)),"")</f>
        <v/>
      </c>
      <c r="U131" s="8" t="str">
        <f>IFERROR(INDEX(样本到样信息汇总统计!U$2:U$500,MATCH(130,样本到样信息汇总统计!$Y$2:$Y$500,0)),"")</f>
        <v/>
      </c>
      <c r="V131" s="8" t="str">
        <f>IFERROR(INDEX(样本到样信息汇总统计!V$2:V$500,MATCH(130,样本到样信息汇总统计!$Y$2:$Y$500,0)),"")</f>
        <v/>
      </c>
      <c r="W131" s="8" t="str">
        <f>IFERROR(INDEX(样本到样信息汇总统计!W$2:W$500,MATCH(130,样本到样信息汇总统计!$Y$2:$Y$500,0)),"")</f>
        <v/>
      </c>
    </row>
    <row r="132" ht="14.5" spans="1:23">
      <c r="A132" s="4" t="str">
        <f>IFERROR(INDEX(样本到样信息汇总统计!A$2:A$500,MATCH(131,样本到样信息汇总统计!$Y$2:$Y$500,0)),"")</f>
        <v/>
      </c>
      <c r="B132" s="4" t="str">
        <f>IFERROR(INDEX(样本到样信息汇总统计!B$2:B$500,MATCH(131,样本到样信息汇总统计!$Y$2:$Y$500,0)),"")</f>
        <v/>
      </c>
      <c r="C132" s="4" t="str">
        <f>IFERROR(INDEX(样本到样信息汇总统计!C$2:C$500,MATCH(131,样本到样信息汇总统计!$Y$2:$Y$500,0)),"")</f>
        <v/>
      </c>
      <c r="D132" s="4" t="str">
        <f>IFERROR(INDEX(样本到样信息汇总统计!D$2:D$500,MATCH(131,样本到样信息汇总统计!$Y$2:$Y$500,0)),"")</f>
        <v/>
      </c>
      <c r="E132" s="4" t="str">
        <f>IFERROR(INDEX(样本到样信息汇总统计!E$2:E$500,MATCH(131,样本到样信息汇总统计!$Y$2:$Y$500,0)),"")</f>
        <v/>
      </c>
      <c r="F132" s="4" t="str">
        <f>IFERROR(INDEX(样本到样信息汇总统计!F$2:F$500,MATCH(131,样本到样信息汇总统计!$Y$2:$Y$500,0)),"")</f>
        <v/>
      </c>
      <c r="G132" s="4" t="str">
        <f>IFERROR(INDEX(样本到样信息汇总统计!G$2:G$500,MATCH(131,样本到样信息汇总统计!$Y$2:$Y$500,0)),"")</f>
        <v/>
      </c>
      <c r="H132" s="4" t="str">
        <f>IFERROR(INDEX(样本到样信息汇总统计!H$2:H$500,MATCH(131,样本到样信息汇总统计!$Y$2:$Y$500,0)),"")</f>
        <v/>
      </c>
      <c r="I132" s="4" t="str">
        <f>IFERROR(INDEX(样本到样信息汇总统计!I$2:I$500,MATCH(131,样本到样信息汇总统计!$Y$2:$Y$500,0)),"")</f>
        <v/>
      </c>
      <c r="J132" s="4" t="str">
        <f>IFERROR(INDEX(样本到样信息汇总统计!J$2:J$500,MATCH(131,样本到样信息汇总统计!$Y$2:$Y$500,0)),"")</f>
        <v/>
      </c>
      <c r="K132" s="4" t="str">
        <f>IFERROR(INDEX(样本到样信息汇总统计!K$2:K$500,MATCH(131,样本到样信息汇总统计!$Y$2:$Y$500,0)),"")</f>
        <v/>
      </c>
      <c r="L132" s="4" t="str">
        <f>IFERROR(INDEX(样本到样信息汇总统计!L$2:L$500,MATCH(131,样本到样信息汇总统计!$Y$2:$Y$500,0)),"")</f>
        <v/>
      </c>
      <c r="M132" s="4" t="str">
        <f>IFERROR(INDEX(样本到样信息汇总统计!M$2:M$500,MATCH(131,样本到样信息汇总统计!$Y$2:$Y$500,0)),"")</f>
        <v/>
      </c>
      <c r="N132" s="4" t="str">
        <f>IFERROR(INDEX(样本到样信息汇总统计!N$2:N$500,MATCH(131,样本到样信息汇总统计!$Y$2:$Y$500,0)),"")</f>
        <v/>
      </c>
      <c r="O132" s="4" t="str">
        <f>IFERROR(INDEX(样本到样信息汇总统计!O$2:O$500,MATCH(131,样本到样信息汇总统计!$Y$2:$Y$500,0)),"")</f>
        <v/>
      </c>
      <c r="P132" s="4" t="str">
        <f>IFERROR(INDEX(样本到样信息汇总统计!P$2:P$500,MATCH(131,样本到样信息汇总统计!$Y$2:$Y$500,0)),"")</f>
        <v/>
      </c>
      <c r="Q132" s="4" t="str">
        <f>IFERROR(INDEX(样本到样信息汇总统计!Q$2:Q$500,MATCH(131,样本到样信息汇总统计!$Y$2:$Y$500,0)),"")</f>
        <v/>
      </c>
      <c r="R132" s="4" t="str">
        <f>IFERROR(INDEX(样本到样信息汇总统计!R$2:R$500,MATCH(131,样本到样信息汇总统计!$Y$2:$Y$500,0)),"")</f>
        <v/>
      </c>
      <c r="S132" s="4" t="str">
        <f>IFERROR(INDEX(样本到样信息汇总统计!S$2:S$500,MATCH(131,样本到样信息汇总统计!$Y$2:$Y$500,0)),"")</f>
        <v/>
      </c>
      <c r="T132" s="4" t="str">
        <f>IFERROR(INDEX(样本到样信息汇总统计!T$2:T$500,MATCH(131,样本到样信息汇总统计!$Y$2:$Y$500,0)),"")</f>
        <v/>
      </c>
      <c r="U132" s="4" t="str">
        <f>IFERROR(INDEX(样本到样信息汇总统计!U$2:U$500,MATCH(131,样本到样信息汇总统计!$Y$2:$Y$500,0)),"")</f>
        <v/>
      </c>
      <c r="V132" s="4" t="str">
        <f>IFERROR(INDEX(样本到样信息汇总统计!V$2:V$500,MATCH(131,样本到样信息汇总统计!$Y$2:$Y$500,0)),"")</f>
        <v/>
      </c>
      <c r="W132" s="4" t="str">
        <f>IFERROR(INDEX(样本到样信息汇总统计!W$2:W$500,MATCH(131,样本到样信息汇总统计!$Y$2:$Y$500,0)),"")</f>
        <v/>
      </c>
    </row>
    <row r="133" ht="14.5" spans="1:23">
      <c r="A133" s="8" t="str">
        <f>IFERROR(INDEX(样本到样信息汇总统计!A$2:A$500,MATCH(132,样本到样信息汇总统计!$Y$2:$Y$500,0)),"")</f>
        <v/>
      </c>
      <c r="B133" s="8" t="str">
        <f>IFERROR(INDEX(样本到样信息汇总统计!B$2:B$500,MATCH(132,样本到样信息汇总统计!$Y$2:$Y$500,0)),"")</f>
        <v/>
      </c>
      <c r="C133" s="8" t="str">
        <f>IFERROR(INDEX(样本到样信息汇总统计!C$2:C$500,MATCH(132,样本到样信息汇总统计!$Y$2:$Y$500,0)),"")</f>
        <v/>
      </c>
      <c r="D133" s="8" t="str">
        <f>IFERROR(INDEX(样本到样信息汇总统计!D$2:D$500,MATCH(132,样本到样信息汇总统计!$Y$2:$Y$500,0)),"")</f>
        <v/>
      </c>
      <c r="E133" s="8" t="str">
        <f>IFERROR(INDEX(样本到样信息汇总统计!E$2:E$500,MATCH(132,样本到样信息汇总统计!$Y$2:$Y$500,0)),"")</f>
        <v/>
      </c>
      <c r="F133" s="8" t="str">
        <f>IFERROR(INDEX(样本到样信息汇总统计!F$2:F$500,MATCH(132,样本到样信息汇总统计!$Y$2:$Y$500,0)),"")</f>
        <v/>
      </c>
      <c r="G133" s="8" t="str">
        <f>IFERROR(INDEX(样本到样信息汇总统计!G$2:G$500,MATCH(132,样本到样信息汇总统计!$Y$2:$Y$500,0)),"")</f>
        <v/>
      </c>
      <c r="H133" s="8" t="str">
        <f>IFERROR(INDEX(样本到样信息汇总统计!H$2:H$500,MATCH(132,样本到样信息汇总统计!$Y$2:$Y$500,0)),"")</f>
        <v/>
      </c>
      <c r="I133" s="8" t="str">
        <f>IFERROR(INDEX(样本到样信息汇总统计!I$2:I$500,MATCH(132,样本到样信息汇总统计!$Y$2:$Y$500,0)),"")</f>
        <v/>
      </c>
      <c r="J133" s="8" t="str">
        <f>IFERROR(INDEX(样本到样信息汇总统计!J$2:J$500,MATCH(132,样本到样信息汇总统计!$Y$2:$Y$500,0)),"")</f>
        <v/>
      </c>
      <c r="K133" s="8" t="str">
        <f>IFERROR(INDEX(样本到样信息汇总统计!K$2:K$500,MATCH(132,样本到样信息汇总统计!$Y$2:$Y$500,0)),"")</f>
        <v/>
      </c>
      <c r="L133" s="8" t="str">
        <f>IFERROR(INDEX(样本到样信息汇总统计!L$2:L$500,MATCH(132,样本到样信息汇总统计!$Y$2:$Y$500,0)),"")</f>
        <v/>
      </c>
      <c r="M133" s="8" t="str">
        <f>IFERROR(INDEX(样本到样信息汇总统计!M$2:M$500,MATCH(132,样本到样信息汇总统计!$Y$2:$Y$500,0)),"")</f>
        <v/>
      </c>
      <c r="N133" s="8" t="str">
        <f>IFERROR(INDEX(样本到样信息汇总统计!N$2:N$500,MATCH(132,样本到样信息汇总统计!$Y$2:$Y$500,0)),"")</f>
        <v/>
      </c>
      <c r="O133" s="8" t="str">
        <f>IFERROR(INDEX(样本到样信息汇总统计!O$2:O$500,MATCH(132,样本到样信息汇总统计!$Y$2:$Y$500,0)),"")</f>
        <v/>
      </c>
      <c r="P133" s="8" t="str">
        <f>IFERROR(INDEX(样本到样信息汇总统计!P$2:P$500,MATCH(132,样本到样信息汇总统计!$Y$2:$Y$500,0)),"")</f>
        <v/>
      </c>
      <c r="Q133" s="8" t="str">
        <f>IFERROR(INDEX(样本到样信息汇总统计!Q$2:Q$500,MATCH(132,样本到样信息汇总统计!$Y$2:$Y$500,0)),"")</f>
        <v/>
      </c>
      <c r="R133" s="8" t="str">
        <f>IFERROR(INDEX(样本到样信息汇总统计!R$2:R$500,MATCH(132,样本到样信息汇总统计!$Y$2:$Y$500,0)),"")</f>
        <v/>
      </c>
      <c r="S133" s="8" t="str">
        <f>IFERROR(INDEX(样本到样信息汇总统计!S$2:S$500,MATCH(132,样本到样信息汇总统计!$Y$2:$Y$500,0)),"")</f>
        <v/>
      </c>
      <c r="T133" s="8" t="str">
        <f>IFERROR(INDEX(样本到样信息汇总统计!T$2:T$500,MATCH(132,样本到样信息汇总统计!$Y$2:$Y$500,0)),"")</f>
        <v/>
      </c>
      <c r="U133" s="8" t="str">
        <f>IFERROR(INDEX(样本到样信息汇总统计!U$2:U$500,MATCH(132,样本到样信息汇总统计!$Y$2:$Y$500,0)),"")</f>
        <v/>
      </c>
      <c r="V133" s="8" t="str">
        <f>IFERROR(INDEX(样本到样信息汇总统计!V$2:V$500,MATCH(132,样本到样信息汇总统计!$Y$2:$Y$500,0)),"")</f>
        <v/>
      </c>
      <c r="W133" s="8" t="str">
        <f>IFERROR(INDEX(样本到样信息汇总统计!W$2:W$500,MATCH(132,样本到样信息汇总统计!$Y$2:$Y$500,0)),"")</f>
        <v/>
      </c>
    </row>
    <row r="134" ht="14.5" spans="1:23">
      <c r="A134" s="4" t="str">
        <f>IFERROR(INDEX(样本到样信息汇总统计!A$2:A$500,MATCH(133,样本到样信息汇总统计!$Y$2:$Y$500,0)),"")</f>
        <v/>
      </c>
      <c r="B134" s="4" t="str">
        <f>IFERROR(INDEX(样本到样信息汇总统计!B$2:B$500,MATCH(133,样本到样信息汇总统计!$Y$2:$Y$500,0)),"")</f>
        <v/>
      </c>
      <c r="C134" s="4" t="str">
        <f>IFERROR(INDEX(样本到样信息汇总统计!C$2:C$500,MATCH(133,样本到样信息汇总统计!$Y$2:$Y$500,0)),"")</f>
        <v/>
      </c>
      <c r="D134" s="4" t="str">
        <f>IFERROR(INDEX(样本到样信息汇总统计!D$2:D$500,MATCH(133,样本到样信息汇总统计!$Y$2:$Y$500,0)),"")</f>
        <v/>
      </c>
      <c r="E134" s="4" t="str">
        <f>IFERROR(INDEX(样本到样信息汇总统计!E$2:E$500,MATCH(133,样本到样信息汇总统计!$Y$2:$Y$500,0)),"")</f>
        <v/>
      </c>
      <c r="F134" s="4" t="str">
        <f>IFERROR(INDEX(样本到样信息汇总统计!F$2:F$500,MATCH(133,样本到样信息汇总统计!$Y$2:$Y$500,0)),"")</f>
        <v/>
      </c>
      <c r="G134" s="4" t="str">
        <f>IFERROR(INDEX(样本到样信息汇总统计!G$2:G$500,MATCH(133,样本到样信息汇总统计!$Y$2:$Y$500,0)),"")</f>
        <v/>
      </c>
      <c r="H134" s="4" t="str">
        <f>IFERROR(INDEX(样本到样信息汇总统计!H$2:H$500,MATCH(133,样本到样信息汇总统计!$Y$2:$Y$500,0)),"")</f>
        <v/>
      </c>
      <c r="I134" s="4" t="str">
        <f>IFERROR(INDEX(样本到样信息汇总统计!I$2:I$500,MATCH(133,样本到样信息汇总统计!$Y$2:$Y$500,0)),"")</f>
        <v/>
      </c>
      <c r="J134" s="4" t="str">
        <f>IFERROR(INDEX(样本到样信息汇总统计!J$2:J$500,MATCH(133,样本到样信息汇总统计!$Y$2:$Y$500,0)),"")</f>
        <v/>
      </c>
      <c r="K134" s="4" t="str">
        <f>IFERROR(INDEX(样本到样信息汇总统计!K$2:K$500,MATCH(133,样本到样信息汇总统计!$Y$2:$Y$500,0)),"")</f>
        <v/>
      </c>
      <c r="L134" s="4" t="str">
        <f>IFERROR(INDEX(样本到样信息汇总统计!L$2:L$500,MATCH(133,样本到样信息汇总统计!$Y$2:$Y$500,0)),"")</f>
        <v/>
      </c>
      <c r="M134" s="4" t="str">
        <f>IFERROR(INDEX(样本到样信息汇总统计!M$2:M$500,MATCH(133,样本到样信息汇总统计!$Y$2:$Y$500,0)),"")</f>
        <v/>
      </c>
      <c r="N134" s="4" t="str">
        <f>IFERROR(INDEX(样本到样信息汇总统计!N$2:N$500,MATCH(133,样本到样信息汇总统计!$Y$2:$Y$500,0)),"")</f>
        <v/>
      </c>
      <c r="O134" s="4" t="str">
        <f>IFERROR(INDEX(样本到样信息汇总统计!O$2:O$500,MATCH(133,样本到样信息汇总统计!$Y$2:$Y$500,0)),"")</f>
        <v/>
      </c>
      <c r="P134" s="4" t="str">
        <f>IFERROR(INDEX(样本到样信息汇总统计!P$2:P$500,MATCH(133,样本到样信息汇总统计!$Y$2:$Y$500,0)),"")</f>
        <v/>
      </c>
      <c r="Q134" s="4" t="str">
        <f>IFERROR(INDEX(样本到样信息汇总统计!Q$2:Q$500,MATCH(133,样本到样信息汇总统计!$Y$2:$Y$500,0)),"")</f>
        <v/>
      </c>
      <c r="R134" s="4" t="str">
        <f>IFERROR(INDEX(样本到样信息汇总统计!R$2:R$500,MATCH(133,样本到样信息汇总统计!$Y$2:$Y$500,0)),"")</f>
        <v/>
      </c>
      <c r="S134" s="4" t="str">
        <f>IFERROR(INDEX(样本到样信息汇总统计!S$2:S$500,MATCH(133,样本到样信息汇总统计!$Y$2:$Y$500,0)),"")</f>
        <v/>
      </c>
      <c r="T134" s="4" t="str">
        <f>IFERROR(INDEX(样本到样信息汇总统计!T$2:T$500,MATCH(133,样本到样信息汇总统计!$Y$2:$Y$500,0)),"")</f>
        <v/>
      </c>
      <c r="U134" s="4" t="str">
        <f>IFERROR(INDEX(样本到样信息汇总统计!U$2:U$500,MATCH(133,样本到样信息汇总统计!$Y$2:$Y$500,0)),"")</f>
        <v/>
      </c>
      <c r="V134" s="4" t="str">
        <f>IFERROR(INDEX(样本到样信息汇总统计!V$2:V$500,MATCH(133,样本到样信息汇总统计!$Y$2:$Y$500,0)),"")</f>
        <v/>
      </c>
      <c r="W134" s="4" t="str">
        <f>IFERROR(INDEX(样本到样信息汇总统计!W$2:W$500,MATCH(133,样本到样信息汇总统计!$Y$2:$Y$500,0)),"")</f>
        <v/>
      </c>
    </row>
    <row r="135" ht="14.5" spans="1:23">
      <c r="A135" s="8" t="str">
        <f>IFERROR(INDEX(样本到样信息汇总统计!A$2:A$500,MATCH(134,样本到样信息汇总统计!$Y$2:$Y$500,0)),"")</f>
        <v/>
      </c>
      <c r="B135" s="8" t="str">
        <f>IFERROR(INDEX(样本到样信息汇总统计!B$2:B$500,MATCH(134,样本到样信息汇总统计!$Y$2:$Y$500,0)),"")</f>
        <v/>
      </c>
      <c r="C135" s="8" t="str">
        <f>IFERROR(INDEX(样本到样信息汇总统计!C$2:C$500,MATCH(134,样本到样信息汇总统计!$Y$2:$Y$500,0)),"")</f>
        <v/>
      </c>
      <c r="D135" s="8" t="str">
        <f>IFERROR(INDEX(样本到样信息汇总统计!D$2:D$500,MATCH(134,样本到样信息汇总统计!$Y$2:$Y$500,0)),"")</f>
        <v/>
      </c>
      <c r="E135" s="8" t="str">
        <f>IFERROR(INDEX(样本到样信息汇总统计!E$2:E$500,MATCH(134,样本到样信息汇总统计!$Y$2:$Y$500,0)),"")</f>
        <v/>
      </c>
      <c r="F135" s="8" t="str">
        <f>IFERROR(INDEX(样本到样信息汇总统计!F$2:F$500,MATCH(134,样本到样信息汇总统计!$Y$2:$Y$500,0)),"")</f>
        <v/>
      </c>
      <c r="G135" s="8" t="str">
        <f>IFERROR(INDEX(样本到样信息汇总统计!G$2:G$500,MATCH(134,样本到样信息汇总统计!$Y$2:$Y$500,0)),"")</f>
        <v/>
      </c>
      <c r="H135" s="8" t="str">
        <f>IFERROR(INDEX(样本到样信息汇总统计!H$2:H$500,MATCH(134,样本到样信息汇总统计!$Y$2:$Y$500,0)),"")</f>
        <v/>
      </c>
      <c r="I135" s="8" t="str">
        <f>IFERROR(INDEX(样本到样信息汇总统计!I$2:I$500,MATCH(134,样本到样信息汇总统计!$Y$2:$Y$500,0)),"")</f>
        <v/>
      </c>
      <c r="J135" s="8" t="str">
        <f>IFERROR(INDEX(样本到样信息汇总统计!J$2:J$500,MATCH(134,样本到样信息汇总统计!$Y$2:$Y$500,0)),"")</f>
        <v/>
      </c>
      <c r="K135" s="8" t="str">
        <f>IFERROR(INDEX(样本到样信息汇总统计!K$2:K$500,MATCH(134,样本到样信息汇总统计!$Y$2:$Y$500,0)),"")</f>
        <v/>
      </c>
      <c r="L135" s="8" t="str">
        <f>IFERROR(INDEX(样本到样信息汇总统计!L$2:L$500,MATCH(134,样本到样信息汇总统计!$Y$2:$Y$500,0)),"")</f>
        <v/>
      </c>
      <c r="M135" s="8" t="str">
        <f>IFERROR(INDEX(样本到样信息汇总统计!M$2:M$500,MATCH(134,样本到样信息汇总统计!$Y$2:$Y$500,0)),"")</f>
        <v/>
      </c>
      <c r="N135" s="8" t="str">
        <f>IFERROR(INDEX(样本到样信息汇总统计!N$2:N$500,MATCH(134,样本到样信息汇总统计!$Y$2:$Y$500,0)),"")</f>
        <v/>
      </c>
      <c r="O135" s="8" t="str">
        <f>IFERROR(INDEX(样本到样信息汇总统计!O$2:O$500,MATCH(134,样本到样信息汇总统计!$Y$2:$Y$500,0)),"")</f>
        <v/>
      </c>
      <c r="P135" s="8" t="str">
        <f>IFERROR(INDEX(样本到样信息汇总统计!P$2:P$500,MATCH(134,样本到样信息汇总统计!$Y$2:$Y$500,0)),"")</f>
        <v/>
      </c>
      <c r="Q135" s="8" t="str">
        <f>IFERROR(INDEX(样本到样信息汇总统计!Q$2:Q$500,MATCH(134,样本到样信息汇总统计!$Y$2:$Y$500,0)),"")</f>
        <v/>
      </c>
      <c r="R135" s="8" t="str">
        <f>IFERROR(INDEX(样本到样信息汇总统计!R$2:R$500,MATCH(134,样本到样信息汇总统计!$Y$2:$Y$500,0)),"")</f>
        <v/>
      </c>
      <c r="S135" s="8" t="str">
        <f>IFERROR(INDEX(样本到样信息汇总统计!S$2:S$500,MATCH(134,样本到样信息汇总统计!$Y$2:$Y$500,0)),"")</f>
        <v/>
      </c>
      <c r="T135" s="8" t="str">
        <f>IFERROR(INDEX(样本到样信息汇总统计!T$2:T$500,MATCH(134,样本到样信息汇总统计!$Y$2:$Y$500,0)),"")</f>
        <v/>
      </c>
      <c r="U135" s="8" t="str">
        <f>IFERROR(INDEX(样本到样信息汇总统计!U$2:U$500,MATCH(134,样本到样信息汇总统计!$Y$2:$Y$500,0)),"")</f>
        <v/>
      </c>
      <c r="V135" s="8" t="str">
        <f>IFERROR(INDEX(样本到样信息汇总统计!V$2:V$500,MATCH(134,样本到样信息汇总统计!$Y$2:$Y$500,0)),"")</f>
        <v/>
      </c>
      <c r="W135" s="8" t="str">
        <f>IFERROR(INDEX(样本到样信息汇总统计!W$2:W$500,MATCH(134,样本到样信息汇总统计!$Y$2:$Y$500,0)),"")</f>
        <v/>
      </c>
    </row>
    <row r="136" ht="14.5" spans="1:23">
      <c r="A136" s="4" t="str">
        <f>IFERROR(INDEX(样本到样信息汇总统计!A$2:A$500,MATCH(135,样本到样信息汇总统计!$Y$2:$Y$500,0)),"")</f>
        <v/>
      </c>
      <c r="B136" s="4" t="str">
        <f>IFERROR(INDEX(样本到样信息汇总统计!B$2:B$500,MATCH(135,样本到样信息汇总统计!$Y$2:$Y$500,0)),"")</f>
        <v/>
      </c>
      <c r="C136" s="4" t="str">
        <f>IFERROR(INDEX(样本到样信息汇总统计!C$2:C$500,MATCH(135,样本到样信息汇总统计!$Y$2:$Y$500,0)),"")</f>
        <v/>
      </c>
      <c r="D136" s="4" t="str">
        <f>IFERROR(INDEX(样本到样信息汇总统计!D$2:D$500,MATCH(135,样本到样信息汇总统计!$Y$2:$Y$500,0)),"")</f>
        <v/>
      </c>
      <c r="E136" s="4" t="str">
        <f>IFERROR(INDEX(样本到样信息汇总统计!E$2:E$500,MATCH(135,样本到样信息汇总统计!$Y$2:$Y$500,0)),"")</f>
        <v/>
      </c>
      <c r="F136" s="4" t="str">
        <f>IFERROR(INDEX(样本到样信息汇总统计!F$2:F$500,MATCH(135,样本到样信息汇总统计!$Y$2:$Y$500,0)),"")</f>
        <v/>
      </c>
      <c r="G136" s="4" t="str">
        <f>IFERROR(INDEX(样本到样信息汇总统计!G$2:G$500,MATCH(135,样本到样信息汇总统计!$Y$2:$Y$500,0)),"")</f>
        <v/>
      </c>
      <c r="H136" s="4" t="str">
        <f>IFERROR(INDEX(样本到样信息汇总统计!H$2:H$500,MATCH(135,样本到样信息汇总统计!$Y$2:$Y$500,0)),"")</f>
        <v/>
      </c>
      <c r="I136" s="4" t="str">
        <f>IFERROR(INDEX(样本到样信息汇总统计!I$2:I$500,MATCH(135,样本到样信息汇总统计!$Y$2:$Y$500,0)),"")</f>
        <v/>
      </c>
      <c r="J136" s="4" t="str">
        <f>IFERROR(INDEX(样本到样信息汇总统计!J$2:J$500,MATCH(135,样本到样信息汇总统计!$Y$2:$Y$500,0)),"")</f>
        <v/>
      </c>
      <c r="K136" s="4" t="str">
        <f>IFERROR(INDEX(样本到样信息汇总统计!K$2:K$500,MATCH(135,样本到样信息汇总统计!$Y$2:$Y$500,0)),"")</f>
        <v/>
      </c>
      <c r="L136" s="4" t="str">
        <f>IFERROR(INDEX(样本到样信息汇总统计!L$2:L$500,MATCH(135,样本到样信息汇总统计!$Y$2:$Y$500,0)),"")</f>
        <v/>
      </c>
      <c r="M136" s="4" t="str">
        <f>IFERROR(INDEX(样本到样信息汇总统计!M$2:M$500,MATCH(135,样本到样信息汇总统计!$Y$2:$Y$500,0)),"")</f>
        <v/>
      </c>
      <c r="N136" s="4" t="str">
        <f>IFERROR(INDEX(样本到样信息汇总统计!N$2:N$500,MATCH(135,样本到样信息汇总统计!$Y$2:$Y$500,0)),"")</f>
        <v/>
      </c>
      <c r="O136" s="4" t="str">
        <f>IFERROR(INDEX(样本到样信息汇总统计!O$2:O$500,MATCH(135,样本到样信息汇总统计!$Y$2:$Y$500,0)),"")</f>
        <v/>
      </c>
      <c r="P136" s="4" t="str">
        <f>IFERROR(INDEX(样本到样信息汇总统计!P$2:P$500,MATCH(135,样本到样信息汇总统计!$Y$2:$Y$500,0)),"")</f>
        <v/>
      </c>
      <c r="Q136" s="4" t="str">
        <f>IFERROR(INDEX(样本到样信息汇总统计!Q$2:Q$500,MATCH(135,样本到样信息汇总统计!$Y$2:$Y$500,0)),"")</f>
        <v/>
      </c>
      <c r="R136" s="4" t="str">
        <f>IFERROR(INDEX(样本到样信息汇总统计!R$2:R$500,MATCH(135,样本到样信息汇总统计!$Y$2:$Y$500,0)),"")</f>
        <v/>
      </c>
      <c r="S136" s="4" t="str">
        <f>IFERROR(INDEX(样本到样信息汇总统计!S$2:S$500,MATCH(135,样本到样信息汇总统计!$Y$2:$Y$500,0)),"")</f>
        <v/>
      </c>
      <c r="T136" s="4" t="str">
        <f>IFERROR(INDEX(样本到样信息汇总统计!T$2:T$500,MATCH(135,样本到样信息汇总统计!$Y$2:$Y$500,0)),"")</f>
        <v/>
      </c>
      <c r="U136" s="4" t="str">
        <f>IFERROR(INDEX(样本到样信息汇总统计!U$2:U$500,MATCH(135,样本到样信息汇总统计!$Y$2:$Y$500,0)),"")</f>
        <v/>
      </c>
      <c r="V136" s="4" t="str">
        <f>IFERROR(INDEX(样本到样信息汇总统计!V$2:V$500,MATCH(135,样本到样信息汇总统计!$Y$2:$Y$500,0)),"")</f>
        <v/>
      </c>
      <c r="W136" s="4" t="str">
        <f>IFERROR(INDEX(样本到样信息汇总统计!W$2:W$500,MATCH(135,样本到样信息汇总统计!$Y$2:$Y$500,0)),"")</f>
        <v/>
      </c>
    </row>
    <row r="137" ht="14.5" spans="1:23">
      <c r="A137" s="8" t="str">
        <f>IFERROR(INDEX(样本到样信息汇总统计!A$2:A$500,MATCH(136,样本到样信息汇总统计!$Y$2:$Y$500,0)),"")</f>
        <v/>
      </c>
      <c r="B137" s="8" t="str">
        <f>IFERROR(INDEX(样本到样信息汇总统计!B$2:B$500,MATCH(136,样本到样信息汇总统计!$Y$2:$Y$500,0)),"")</f>
        <v/>
      </c>
      <c r="C137" s="8" t="str">
        <f>IFERROR(INDEX(样本到样信息汇总统计!C$2:C$500,MATCH(136,样本到样信息汇总统计!$Y$2:$Y$500,0)),"")</f>
        <v/>
      </c>
      <c r="D137" s="8" t="str">
        <f>IFERROR(INDEX(样本到样信息汇总统计!D$2:D$500,MATCH(136,样本到样信息汇总统计!$Y$2:$Y$500,0)),"")</f>
        <v/>
      </c>
      <c r="E137" s="8" t="str">
        <f>IFERROR(INDEX(样本到样信息汇总统计!E$2:E$500,MATCH(136,样本到样信息汇总统计!$Y$2:$Y$500,0)),"")</f>
        <v/>
      </c>
      <c r="F137" s="8" t="str">
        <f>IFERROR(INDEX(样本到样信息汇总统计!F$2:F$500,MATCH(136,样本到样信息汇总统计!$Y$2:$Y$500,0)),"")</f>
        <v/>
      </c>
      <c r="G137" s="8" t="str">
        <f>IFERROR(INDEX(样本到样信息汇总统计!G$2:G$500,MATCH(136,样本到样信息汇总统计!$Y$2:$Y$500,0)),"")</f>
        <v/>
      </c>
      <c r="H137" s="8" t="str">
        <f>IFERROR(INDEX(样本到样信息汇总统计!H$2:H$500,MATCH(136,样本到样信息汇总统计!$Y$2:$Y$500,0)),"")</f>
        <v/>
      </c>
      <c r="I137" s="8" t="str">
        <f>IFERROR(INDEX(样本到样信息汇总统计!I$2:I$500,MATCH(136,样本到样信息汇总统计!$Y$2:$Y$500,0)),"")</f>
        <v/>
      </c>
      <c r="J137" s="8" t="str">
        <f>IFERROR(INDEX(样本到样信息汇总统计!J$2:J$500,MATCH(136,样本到样信息汇总统计!$Y$2:$Y$500,0)),"")</f>
        <v/>
      </c>
      <c r="K137" s="8" t="str">
        <f>IFERROR(INDEX(样本到样信息汇总统计!K$2:K$500,MATCH(136,样本到样信息汇总统计!$Y$2:$Y$500,0)),"")</f>
        <v/>
      </c>
      <c r="L137" s="8" t="str">
        <f>IFERROR(INDEX(样本到样信息汇总统计!L$2:L$500,MATCH(136,样本到样信息汇总统计!$Y$2:$Y$500,0)),"")</f>
        <v/>
      </c>
      <c r="M137" s="8" t="str">
        <f>IFERROR(INDEX(样本到样信息汇总统计!M$2:M$500,MATCH(136,样本到样信息汇总统计!$Y$2:$Y$500,0)),"")</f>
        <v/>
      </c>
      <c r="N137" s="8" t="str">
        <f>IFERROR(INDEX(样本到样信息汇总统计!N$2:N$500,MATCH(136,样本到样信息汇总统计!$Y$2:$Y$500,0)),"")</f>
        <v/>
      </c>
      <c r="O137" s="8" t="str">
        <f>IFERROR(INDEX(样本到样信息汇总统计!O$2:O$500,MATCH(136,样本到样信息汇总统计!$Y$2:$Y$500,0)),"")</f>
        <v/>
      </c>
      <c r="P137" s="8" t="str">
        <f>IFERROR(INDEX(样本到样信息汇总统计!P$2:P$500,MATCH(136,样本到样信息汇总统计!$Y$2:$Y$500,0)),"")</f>
        <v/>
      </c>
      <c r="Q137" s="8" t="str">
        <f>IFERROR(INDEX(样本到样信息汇总统计!Q$2:Q$500,MATCH(136,样本到样信息汇总统计!$Y$2:$Y$500,0)),"")</f>
        <v/>
      </c>
      <c r="R137" s="8" t="str">
        <f>IFERROR(INDEX(样本到样信息汇总统计!R$2:R$500,MATCH(136,样本到样信息汇总统计!$Y$2:$Y$500,0)),"")</f>
        <v/>
      </c>
      <c r="S137" s="8" t="str">
        <f>IFERROR(INDEX(样本到样信息汇总统计!S$2:S$500,MATCH(136,样本到样信息汇总统计!$Y$2:$Y$500,0)),"")</f>
        <v/>
      </c>
      <c r="T137" s="8" t="str">
        <f>IFERROR(INDEX(样本到样信息汇总统计!T$2:T$500,MATCH(136,样本到样信息汇总统计!$Y$2:$Y$500,0)),"")</f>
        <v/>
      </c>
      <c r="U137" s="8" t="str">
        <f>IFERROR(INDEX(样本到样信息汇总统计!U$2:U$500,MATCH(136,样本到样信息汇总统计!$Y$2:$Y$500,0)),"")</f>
        <v/>
      </c>
      <c r="V137" s="8" t="str">
        <f>IFERROR(INDEX(样本到样信息汇总统计!V$2:V$500,MATCH(136,样本到样信息汇总统计!$Y$2:$Y$500,0)),"")</f>
        <v/>
      </c>
      <c r="W137" s="8" t="str">
        <f>IFERROR(INDEX(样本到样信息汇总统计!W$2:W$500,MATCH(136,样本到样信息汇总统计!$Y$2:$Y$500,0)),"")</f>
        <v/>
      </c>
    </row>
    <row r="138" ht="14.5" spans="1:23">
      <c r="A138" s="4" t="str">
        <f>IFERROR(INDEX(样本到样信息汇总统计!A$2:A$500,MATCH(137,样本到样信息汇总统计!$Y$2:$Y$500,0)),"")</f>
        <v/>
      </c>
      <c r="B138" s="4" t="str">
        <f>IFERROR(INDEX(样本到样信息汇总统计!B$2:B$500,MATCH(137,样本到样信息汇总统计!$Y$2:$Y$500,0)),"")</f>
        <v/>
      </c>
      <c r="C138" s="4" t="str">
        <f>IFERROR(INDEX(样本到样信息汇总统计!C$2:C$500,MATCH(137,样本到样信息汇总统计!$Y$2:$Y$500,0)),"")</f>
        <v/>
      </c>
      <c r="D138" s="4" t="str">
        <f>IFERROR(INDEX(样本到样信息汇总统计!D$2:D$500,MATCH(137,样本到样信息汇总统计!$Y$2:$Y$500,0)),"")</f>
        <v/>
      </c>
      <c r="E138" s="4" t="str">
        <f>IFERROR(INDEX(样本到样信息汇总统计!E$2:E$500,MATCH(137,样本到样信息汇总统计!$Y$2:$Y$500,0)),"")</f>
        <v/>
      </c>
      <c r="F138" s="4" t="str">
        <f>IFERROR(INDEX(样本到样信息汇总统计!F$2:F$500,MATCH(137,样本到样信息汇总统计!$Y$2:$Y$500,0)),"")</f>
        <v/>
      </c>
      <c r="G138" s="4" t="str">
        <f>IFERROR(INDEX(样本到样信息汇总统计!G$2:G$500,MATCH(137,样本到样信息汇总统计!$Y$2:$Y$500,0)),"")</f>
        <v/>
      </c>
      <c r="H138" s="4" t="str">
        <f>IFERROR(INDEX(样本到样信息汇总统计!H$2:H$500,MATCH(137,样本到样信息汇总统计!$Y$2:$Y$500,0)),"")</f>
        <v/>
      </c>
      <c r="I138" s="4" t="str">
        <f>IFERROR(INDEX(样本到样信息汇总统计!I$2:I$500,MATCH(137,样本到样信息汇总统计!$Y$2:$Y$500,0)),"")</f>
        <v/>
      </c>
      <c r="J138" s="4" t="str">
        <f>IFERROR(INDEX(样本到样信息汇总统计!J$2:J$500,MATCH(137,样本到样信息汇总统计!$Y$2:$Y$500,0)),"")</f>
        <v/>
      </c>
      <c r="K138" s="4" t="str">
        <f>IFERROR(INDEX(样本到样信息汇总统计!K$2:K$500,MATCH(137,样本到样信息汇总统计!$Y$2:$Y$500,0)),"")</f>
        <v/>
      </c>
      <c r="L138" s="4" t="str">
        <f>IFERROR(INDEX(样本到样信息汇总统计!L$2:L$500,MATCH(137,样本到样信息汇总统计!$Y$2:$Y$500,0)),"")</f>
        <v/>
      </c>
      <c r="M138" s="4" t="str">
        <f>IFERROR(INDEX(样本到样信息汇总统计!M$2:M$500,MATCH(137,样本到样信息汇总统计!$Y$2:$Y$500,0)),"")</f>
        <v/>
      </c>
      <c r="N138" s="4" t="str">
        <f>IFERROR(INDEX(样本到样信息汇总统计!N$2:N$500,MATCH(137,样本到样信息汇总统计!$Y$2:$Y$500,0)),"")</f>
        <v/>
      </c>
      <c r="O138" s="4" t="str">
        <f>IFERROR(INDEX(样本到样信息汇总统计!O$2:O$500,MATCH(137,样本到样信息汇总统计!$Y$2:$Y$500,0)),"")</f>
        <v/>
      </c>
      <c r="P138" s="4" t="str">
        <f>IFERROR(INDEX(样本到样信息汇总统计!P$2:P$500,MATCH(137,样本到样信息汇总统计!$Y$2:$Y$500,0)),"")</f>
        <v/>
      </c>
      <c r="Q138" s="4" t="str">
        <f>IFERROR(INDEX(样本到样信息汇总统计!Q$2:Q$500,MATCH(137,样本到样信息汇总统计!$Y$2:$Y$500,0)),"")</f>
        <v/>
      </c>
      <c r="R138" s="4" t="str">
        <f>IFERROR(INDEX(样本到样信息汇总统计!R$2:R$500,MATCH(137,样本到样信息汇总统计!$Y$2:$Y$500,0)),"")</f>
        <v/>
      </c>
      <c r="S138" s="4" t="str">
        <f>IFERROR(INDEX(样本到样信息汇总统计!S$2:S$500,MATCH(137,样本到样信息汇总统计!$Y$2:$Y$500,0)),"")</f>
        <v/>
      </c>
      <c r="T138" s="4" t="str">
        <f>IFERROR(INDEX(样本到样信息汇总统计!T$2:T$500,MATCH(137,样本到样信息汇总统计!$Y$2:$Y$500,0)),"")</f>
        <v/>
      </c>
      <c r="U138" s="4" t="str">
        <f>IFERROR(INDEX(样本到样信息汇总统计!U$2:U$500,MATCH(137,样本到样信息汇总统计!$Y$2:$Y$500,0)),"")</f>
        <v/>
      </c>
      <c r="V138" s="4" t="str">
        <f>IFERROR(INDEX(样本到样信息汇总统计!V$2:V$500,MATCH(137,样本到样信息汇总统计!$Y$2:$Y$500,0)),"")</f>
        <v/>
      </c>
      <c r="W138" s="4" t="str">
        <f>IFERROR(INDEX(样本到样信息汇总统计!W$2:W$500,MATCH(137,样本到样信息汇总统计!$Y$2:$Y$500,0)),"")</f>
        <v/>
      </c>
    </row>
    <row r="139" ht="14.5" spans="1:23">
      <c r="A139" s="8" t="str">
        <f>IFERROR(INDEX(样本到样信息汇总统计!A$2:A$500,MATCH(138,样本到样信息汇总统计!$Y$2:$Y$500,0)),"")</f>
        <v/>
      </c>
      <c r="B139" s="8" t="str">
        <f>IFERROR(INDEX(样本到样信息汇总统计!B$2:B$500,MATCH(138,样本到样信息汇总统计!$Y$2:$Y$500,0)),"")</f>
        <v/>
      </c>
      <c r="C139" s="8" t="str">
        <f>IFERROR(INDEX(样本到样信息汇总统计!C$2:C$500,MATCH(138,样本到样信息汇总统计!$Y$2:$Y$500,0)),"")</f>
        <v/>
      </c>
      <c r="D139" s="8" t="str">
        <f>IFERROR(INDEX(样本到样信息汇总统计!D$2:D$500,MATCH(138,样本到样信息汇总统计!$Y$2:$Y$500,0)),"")</f>
        <v/>
      </c>
      <c r="E139" s="8" t="str">
        <f>IFERROR(INDEX(样本到样信息汇总统计!E$2:E$500,MATCH(138,样本到样信息汇总统计!$Y$2:$Y$500,0)),"")</f>
        <v/>
      </c>
      <c r="F139" s="8" t="str">
        <f>IFERROR(INDEX(样本到样信息汇总统计!F$2:F$500,MATCH(138,样本到样信息汇总统计!$Y$2:$Y$500,0)),"")</f>
        <v/>
      </c>
      <c r="G139" s="8" t="str">
        <f>IFERROR(INDEX(样本到样信息汇总统计!G$2:G$500,MATCH(138,样本到样信息汇总统计!$Y$2:$Y$500,0)),"")</f>
        <v/>
      </c>
      <c r="H139" s="8" t="str">
        <f>IFERROR(INDEX(样本到样信息汇总统计!H$2:H$500,MATCH(138,样本到样信息汇总统计!$Y$2:$Y$500,0)),"")</f>
        <v/>
      </c>
      <c r="I139" s="8" t="str">
        <f>IFERROR(INDEX(样本到样信息汇总统计!I$2:I$500,MATCH(138,样本到样信息汇总统计!$Y$2:$Y$500,0)),"")</f>
        <v/>
      </c>
      <c r="J139" s="8" t="str">
        <f>IFERROR(INDEX(样本到样信息汇总统计!J$2:J$500,MATCH(138,样本到样信息汇总统计!$Y$2:$Y$500,0)),"")</f>
        <v/>
      </c>
      <c r="K139" s="8" t="str">
        <f>IFERROR(INDEX(样本到样信息汇总统计!K$2:K$500,MATCH(138,样本到样信息汇总统计!$Y$2:$Y$500,0)),"")</f>
        <v/>
      </c>
      <c r="L139" s="8" t="str">
        <f>IFERROR(INDEX(样本到样信息汇总统计!L$2:L$500,MATCH(138,样本到样信息汇总统计!$Y$2:$Y$500,0)),"")</f>
        <v/>
      </c>
      <c r="M139" s="8" t="str">
        <f>IFERROR(INDEX(样本到样信息汇总统计!M$2:M$500,MATCH(138,样本到样信息汇总统计!$Y$2:$Y$500,0)),"")</f>
        <v/>
      </c>
      <c r="N139" s="8" t="str">
        <f>IFERROR(INDEX(样本到样信息汇总统计!N$2:N$500,MATCH(138,样本到样信息汇总统计!$Y$2:$Y$500,0)),"")</f>
        <v/>
      </c>
      <c r="O139" s="8" t="str">
        <f>IFERROR(INDEX(样本到样信息汇总统计!O$2:O$500,MATCH(138,样本到样信息汇总统计!$Y$2:$Y$500,0)),"")</f>
        <v/>
      </c>
      <c r="P139" s="8" t="str">
        <f>IFERROR(INDEX(样本到样信息汇总统计!P$2:P$500,MATCH(138,样本到样信息汇总统计!$Y$2:$Y$500,0)),"")</f>
        <v/>
      </c>
      <c r="Q139" s="8" t="str">
        <f>IFERROR(INDEX(样本到样信息汇总统计!Q$2:Q$500,MATCH(138,样本到样信息汇总统计!$Y$2:$Y$500,0)),"")</f>
        <v/>
      </c>
      <c r="R139" s="8" t="str">
        <f>IFERROR(INDEX(样本到样信息汇总统计!R$2:R$500,MATCH(138,样本到样信息汇总统计!$Y$2:$Y$500,0)),"")</f>
        <v/>
      </c>
      <c r="S139" s="8" t="str">
        <f>IFERROR(INDEX(样本到样信息汇总统计!S$2:S$500,MATCH(138,样本到样信息汇总统计!$Y$2:$Y$500,0)),"")</f>
        <v/>
      </c>
      <c r="T139" s="8" t="str">
        <f>IFERROR(INDEX(样本到样信息汇总统计!T$2:T$500,MATCH(138,样本到样信息汇总统计!$Y$2:$Y$500,0)),"")</f>
        <v/>
      </c>
      <c r="U139" s="8" t="str">
        <f>IFERROR(INDEX(样本到样信息汇总统计!U$2:U$500,MATCH(138,样本到样信息汇总统计!$Y$2:$Y$500,0)),"")</f>
        <v/>
      </c>
      <c r="V139" s="8" t="str">
        <f>IFERROR(INDEX(样本到样信息汇总统计!V$2:V$500,MATCH(138,样本到样信息汇总统计!$Y$2:$Y$500,0)),"")</f>
        <v/>
      </c>
      <c r="W139" s="8" t="str">
        <f>IFERROR(INDEX(样本到样信息汇总统计!W$2:W$500,MATCH(138,样本到样信息汇总统计!$Y$2:$Y$500,0)),"")</f>
        <v/>
      </c>
    </row>
    <row r="140" ht="14.5" spans="1:23">
      <c r="A140" s="4" t="str">
        <f>IFERROR(INDEX(样本到样信息汇总统计!A$2:A$500,MATCH(139,样本到样信息汇总统计!$Y$2:$Y$500,0)),"")</f>
        <v/>
      </c>
      <c r="B140" s="4" t="str">
        <f>IFERROR(INDEX(样本到样信息汇总统计!B$2:B$500,MATCH(139,样本到样信息汇总统计!$Y$2:$Y$500,0)),"")</f>
        <v/>
      </c>
      <c r="C140" s="4" t="str">
        <f>IFERROR(INDEX(样本到样信息汇总统计!C$2:C$500,MATCH(139,样本到样信息汇总统计!$Y$2:$Y$500,0)),"")</f>
        <v/>
      </c>
      <c r="D140" s="4" t="str">
        <f>IFERROR(INDEX(样本到样信息汇总统计!D$2:D$500,MATCH(139,样本到样信息汇总统计!$Y$2:$Y$500,0)),"")</f>
        <v/>
      </c>
      <c r="E140" s="4" t="str">
        <f>IFERROR(INDEX(样本到样信息汇总统计!E$2:E$500,MATCH(139,样本到样信息汇总统计!$Y$2:$Y$500,0)),"")</f>
        <v/>
      </c>
      <c r="F140" s="4" t="str">
        <f>IFERROR(INDEX(样本到样信息汇总统计!F$2:F$500,MATCH(139,样本到样信息汇总统计!$Y$2:$Y$500,0)),"")</f>
        <v/>
      </c>
      <c r="G140" s="4" t="str">
        <f>IFERROR(INDEX(样本到样信息汇总统计!G$2:G$500,MATCH(139,样本到样信息汇总统计!$Y$2:$Y$500,0)),"")</f>
        <v/>
      </c>
      <c r="H140" s="4" t="str">
        <f>IFERROR(INDEX(样本到样信息汇总统计!H$2:H$500,MATCH(139,样本到样信息汇总统计!$Y$2:$Y$500,0)),"")</f>
        <v/>
      </c>
      <c r="I140" s="4" t="str">
        <f>IFERROR(INDEX(样本到样信息汇总统计!I$2:I$500,MATCH(139,样本到样信息汇总统计!$Y$2:$Y$500,0)),"")</f>
        <v/>
      </c>
      <c r="J140" s="4" t="str">
        <f>IFERROR(INDEX(样本到样信息汇总统计!J$2:J$500,MATCH(139,样本到样信息汇总统计!$Y$2:$Y$500,0)),"")</f>
        <v/>
      </c>
      <c r="K140" s="4" t="str">
        <f>IFERROR(INDEX(样本到样信息汇总统计!K$2:K$500,MATCH(139,样本到样信息汇总统计!$Y$2:$Y$500,0)),"")</f>
        <v/>
      </c>
      <c r="L140" s="4" t="str">
        <f>IFERROR(INDEX(样本到样信息汇总统计!L$2:L$500,MATCH(139,样本到样信息汇总统计!$Y$2:$Y$500,0)),"")</f>
        <v/>
      </c>
      <c r="M140" s="4" t="str">
        <f>IFERROR(INDEX(样本到样信息汇总统计!M$2:M$500,MATCH(139,样本到样信息汇总统计!$Y$2:$Y$500,0)),"")</f>
        <v/>
      </c>
      <c r="N140" s="4" t="str">
        <f>IFERROR(INDEX(样本到样信息汇总统计!N$2:N$500,MATCH(139,样本到样信息汇总统计!$Y$2:$Y$500,0)),"")</f>
        <v/>
      </c>
      <c r="O140" s="4" t="str">
        <f>IFERROR(INDEX(样本到样信息汇总统计!O$2:O$500,MATCH(139,样本到样信息汇总统计!$Y$2:$Y$500,0)),"")</f>
        <v/>
      </c>
      <c r="P140" s="4" t="str">
        <f>IFERROR(INDEX(样本到样信息汇总统计!P$2:P$500,MATCH(139,样本到样信息汇总统计!$Y$2:$Y$500,0)),"")</f>
        <v/>
      </c>
      <c r="Q140" s="4" t="str">
        <f>IFERROR(INDEX(样本到样信息汇总统计!Q$2:Q$500,MATCH(139,样本到样信息汇总统计!$Y$2:$Y$500,0)),"")</f>
        <v/>
      </c>
      <c r="R140" s="4" t="str">
        <f>IFERROR(INDEX(样本到样信息汇总统计!R$2:R$500,MATCH(139,样本到样信息汇总统计!$Y$2:$Y$500,0)),"")</f>
        <v/>
      </c>
      <c r="S140" s="4" t="str">
        <f>IFERROR(INDEX(样本到样信息汇总统计!S$2:S$500,MATCH(139,样本到样信息汇总统计!$Y$2:$Y$500,0)),"")</f>
        <v/>
      </c>
      <c r="T140" s="4" t="str">
        <f>IFERROR(INDEX(样本到样信息汇总统计!T$2:T$500,MATCH(139,样本到样信息汇总统计!$Y$2:$Y$500,0)),"")</f>
        <v/>
      </c>
      <c r="U140" s="4" t="str">
        <f>IFERROR(INDEX(样本到样信息汇总统计!U$2:U$500,MATCH(139,样本到样信息汇总统计!$Y$2:$Y$500,0)),"")</f>
        <v/>
      </c>
      <c r="V140" s="4" t="str">
        <f>IFERROR(INDEX(样本到样信息汇总统计!V$2:V$500,MATCH(139,样本到样信息汇总统计!$Y$2:$Y$500,0)),"")</f>
        <v/>
      </c>
      <c r="W140" s="4" t="str">
        <f>IFERROR(INDEX(样本到样信息汇总统计!W$2:W$500,MATCH(139,样本到样信息汇总统计!$Y$2:$Y$500,0)),"")</f>
        <v/>
      </c>
    </row>
    <row r="141" ht="14.5" spans="1:23">
      <c r="A141" s="8" t="str">
        <f>IFERROR(INDEX(样本到样信息汇总统计!A$2:A$500,MATCH(140,样本到样信息汇总统计!$Y$2:$Y$500,0)),"")</f>
        <v/>
      </c>
      <c r="B141" s="8" t="str">
        <f>IFERROR(INDEX(样本到样信息汇总统计!B$2:B$500,MATCH(140,样本到样信息汇总统计!$Y$2:$Y$500,0)),"")</f>
        <v/>
      </c>
      <c r="C141" s="8" t="str">
        <f>IFERROR(INDEX(样本到样信息汇总统计!C$2:C$500,MATCH(140,样本到样信息汇总统计!$Y$2:$Y$500,0)),"")</f>
        <v/>
      </c>
      <c r="D141" s="8" t="str">
        <f>IFERROR(INDEX(样本到样信息汇总统计!D$2:D$500,MATCH(140,样本到样信息汇总统计!$Y$2:$Y$500,0)),"")</f>
        <v/>
      </c>
      <c r="E141" s="8" t="str">
        <f>IFERROR(INDEX(样本到样信息汇总统计!E$2:E$500,MATCH(140,样本到样信息汇总统计!$Y$2:$Y$500,0)),"")</f>
        <v/>
      </c>
      <c r="F141" s="8" t="str">
        <f>IFERROR(INDEX(样本到样信息汇总统计!F$2:F$500,MATCH(140,样本到样信息汇总统计!$Y$2:$Y$500,0)),"")</f>
        <v/>
      </c>
      <c r="G141" s="8" t="str">
        <f>IFERROR(INDEX(样本到样信息汇总统计!G$2:G$500,MATCH(140,样本到样信息汇总统计!$Y$2:$Y$500,0)),"")</f>
        <v/>
      </c>
      <c r="H141" s="8" t="str">
        <f>IFERROR(INDEX(样本到样信息汇总统计!H$2:H$500,MATCH(140,样本到样信息汇总统计!$Y$2:$Y$500,0)),"")</f>
        <v/>
      </c>
      <c r="I141" s="8" t="str">
        <f>IFERROR(INDEX(样本到样信息汇总统计!I$2:I$500,MATCH(140,样本到样信息汇总统计!$Y$2:$Y$500,0)),"")</f>
        <v/>
      </c>
      <c r="J141" s="8" t="str">
        <f>IFERROR(INDEX(样本到样信息汇总统计!J$2:J$500,MATCH(140,样本到样信息汇总统计!$Y$2:$Y$500,0)),"")</f>
        <v/>
      </c>
      <c r="K141" s="8" t="str">
        <f>IFERROR(INDEX(样本到样信息汇总统计!K$2:K$500,MATCH(140,样本到样信息汇总统计!$Y$2:$Y$500,0)),"")</f>
        <v/>
      </c>
      <c r="L141" s="8" t="str">
        <f>IFERROR(INDEX(样本到样信息汇总统计!L$2:L$500,MATCH(140,样本到样信息汇总统计!$Y$2:$Y$500,0)),"")</f>
        <v/>
      </c>
      <c r="M141" s="8" t="str">
        <f>IFERROR(INDEX(样本到样信息汇总统计!M$2:M$500,MATCH(140,样本到样信息汇总统计!$Y$2:$Y$500,0)),"")</f>
        <v/>
      </c>
      <c r="N141" s="8" t="str">
        <f>IFERROR(INDEX(样本到样信息汇总统计!N$2:N$500,MATCH(140,样本到样信息汇总统计!$Y$2:$Y$500,0)),"")</f>
        <v/>
      </c>
      <c r="O141" s="8" t="str">
        <f>IFERROR(INDEX(样本到样信息汇总统计!O$2:O$500,MATCH(140,样本到样信息汇总统计!$Y$2:$Y$500,0)),"")</f>
        <v/>
      </c>
      <c r="P141" s="8" t="str">
        <f>IFERROR(INDEX(样本到样信息汇总统计!P$2:P$500,MATCH(140,样本到样信息汇总统计!$Y$2:$Y$500,0)),"")</f>
        <v/>
      </c>
      <c r="Q141" s="8" t="str">
        <f>IFERROR(INDEX(样本到样信息汇总统计!Q$2:Q$500,MATCH(140,样本到样信息汇总统计!$Y$2:$Y$500,0)),"")</f>
        <v/>
      </c>
      <c r="R141" s="8" t="str">
        <f>IFERROR(INDEX(样本到样信息汇总统计!R$2:R$500,MATCH(140,样本到样信息汇总统计!$Y$2:$Y$500,0)),"")</f>
        <v/>
      </c>
      <c r="S141" s="8" t="str">
        <f>IFERROR(INDEX(样本到样信息汇总统计!S$2:S$500,MATCH(140,样本到样信息汇总统计!$Y$2:$Y$500,0)),"")</f>
        <v/>
      </c>
      <c r="T141" s="8" t="str">
        <f>IFERROR(INDEX(样本到样信息汇总统计!T$2:T$500,MATCH(140,样本到样信息汇总统计!$Y$2:$Y$500,0)),"")</f>
        <v/>
      </c>
      <c r="U141" s="8" t="str">
        <f>IFERROR(INDEX(样本到样信息汇总统计!U$2:U$500,MATCH(140,样本到样信息汇总统计!$Y$2:$Y$500,0)),"")</f>
        <v/>
      </c>
      <c r="V141" s="8" t="str">
        <f>IFERROR(INDEX(样本到样信息汇总统计!V$2:V$500,MATCH(140,样本到样信息汇总统计!$Y$2:$Y$500,0)),"")</f>
        <v/>
      </c>
      <c r="W141" s="8" t="str">
        <f>IFERROR(INDEX(样本到样信息汇总统计!W$2:W$500,MATCH(140,样本到样信息汇总统计!$Y$2:$Y$500,0)),"")</f>
        <v/>
      </c>
    </row>
    <row r="142" ht="14.5" spans="1:23">
      <c r="A142" s="4" t="str">
        <f>IFERROR(INDEX(样本到样信息汇总统计!A$2:A$500,MATCH(141,样本到样信息汇总统计!$Y$2:$Y$500,0)),"")</f>
        <v/>
      </c>
      <c r="B142" s="4" t="str">
        <f>IFERROR(INDEX(样本到样信息汇总统计!B$2:B$500,MATCH(141,样本到样信息汇总统计!$Y$2:$Y$500,0)),"")</f>
        <v/>
      </c>
      <c r="C142" s="4" t="str">
        <f>IFERROR(INDEX(样本到样信息汇总统计!C$2:C$500,MATCH(141,样本到样信息汇总统计!$Y$2:$Y$500,0)),"")</f>
        <v/>
      </c>
      <c r="D142" s="4" t="str">
        <f>IFERROR(INDEX(样本到样信息汇总统计!D$2:D$500,MATCH(141,样本到样信息汇总统计!$Y$2:$Y$500,0)),"")</f>
        <v/>
      </c>
      <c r="E142" s="4" t="str">
        <f>IFERROR(INDEX(样本到样信息汇总统计!E$2:E$500,MATCH(141,样本到样信息汇总统计!$Y$2:$Y$500,0)),"")</f>
        <v/>
      </c>
      <c r="F142" s="4" t="str">
        <f>IFERROR(INDEX(样本到样信息汇总统计!F$2:F$500,MATCH(141,样本到样信息汇总统计!$Y$2:$Y$500,0)),"")</f>
        <v/>
      </c>
      <c r="G142" s="4" t="str">
        <f>IFERROR(INDEX(样本到样信息汇总统计!G$2:G$500,MATCH(141,样本到样信息汇总统计!$Y$2:$Y$500,0)),"")</f>
        <v/>
      </c>
      <c r="H142" s="4" t="str">
        <f>IFERROR(INDEX(样本到样信息汇总统计!H$2:H$500,MATCH(141,样本到样信息汇总统计!$Y$2:$Y$500,0)),"")</f>
        <v/>
      </c>
      <c r="I142" s="4" t="str">
        <f>IFERROR(INDEX(样本到样信息汇总统计!I$2:I$500,MATCH(141,样本到样信息汇总统计!$Y$2:$Y$500,0)),"")</f>
        <v/>
      </c>
      <c r="J142" s="4" t="str">
        <f>IFERROR(INDEX(样本到样信息汇总统计!J$2:J$500,MATCH(141,样本到样信息汇总统计!$Y$2:$Y$500,0)),"")</f>
        <v/>
      </c>
      <c r="K142" s="4" t="str">
        <f>IFERROR(INDEX(样本到样信息汇总统计!K$2:K$500,MATCH(141,样本到样信息汇总统计!$Y$2:$Y$500,0)),"")</f>
        <v/>
      </c>
      <c r="L142" s="4" t="str">
        <f>IFERROR(INDEX(样本到样信息汇总统计!L$2:L$500,MATCH(141,样本到样信息汇总统计!$Y$2:$Y$500,0)),"")</f>
        <v/>
      </c>
      <c r="M142" s="4" t="str">
        <f>IFERROR(INDEX(样本到样信息汇总统计!M$2:M$500,MATCH(141,样本到样信息汇总统计!$Y$2:$Y$500,0)),"")</f>
        <v/>
      </c>
      <c r="N142" s="4" t="str">
        <f>IFERROR(INDEX(样本到样信息汇总统计!N$2:N$500,MATCH(141,样本到样信息汇总统计!$Y$2:$Y$500,0)),"")</f>
        <v/>
      </c>
      <c r="O142" s="4" t="str">
        <f>IFERROR(INDEX(样本到样信息汇总统计!O$2:O$500,MATCH(141,样本到样信息汇总统计!$Y$2:$Y$500,0)),"")</f>
        <v/>
      </c>
      <c r="P142" s="4" t="str">
        <f>IFERROR(INDEX(样本到样信息汇总统计!P$2:P$500,MATCH(141,样本到样信息汇总统计!$Y$2:$Y$500,0)),"")</f>
        <v/>
      </c>
      <c r="Q142" s="4" t="str">
        <f>IFERROR(INDEX(样本到样信息汇总统计!Q$2:Q$500,MATCH(141,样本到样信息汇总统计!$Y$2:$Y$500,0)),"")</f>
        <v/>
      </c>
      <c r="R142" s="4" t="str">
        <f>IFERROR(INDEX(样本到样信息汇总统计!R$2:R$500,MATCH(141,样本到样信息汇总统计!$Y$2:$Y$500,0)),"")</f>
        <v/>
      </c>
      <c r="S142" s="4" t="str">
        <f>IFERROR(INDEX(样本到样信息汇总统计!S$2:S$500,MATCH(141,样本到样信息汇总统计!$Y$2:$Y$500,0)),"")</f>
        <v/>
      </c>
      <c r="T142" s="4" t="str">
        <f>IFERROR(INDEX(样本到样信息汇总统计!T$2:T$500,MATCH(141,样本到样信息汇总统计!$Y$2:$Y$500,0)),"")</f>
        <v/>
      </c>
      <c r="U142" s="4" t="str">
        <f>IFERROR(INDEX(样本到样信息汇总统计!U$2:U$500,MATCH(141,样本到样信息汇总统计!$Y$2:$Y$500,0)),"")</f>
        <v/>
      </c>
      <c r="V142" s="4" t="str">
        <f>IFERROR(INDEX(样本到样信息汇总统计!V$2:V$500,MATCH(141,样本到样信息汇总统计!$Y$2:$Y$500,0)),"")</f>
        <v/>
      </c>
      <c r="W142" s="4" t="str">
        <f>IFERROR(INDEX(样本到样信息汇总统计!W$2:W$500,MATCH(141,样本到样信息汇总统计!$Y$2:$Y$500,0)),"")</f>
        <v/>
      </c>
    </row>
    <row r="143" ht="14.5" spans="1:23">
      <c r="A143" s="8" t="str">
        <f>IFERROR(INDEX(样本到样信息汇总统计!A$2:A$500,MATCH(142,样本到样信息汇总统计!$Y$2:$Y$500,0)),"")</f>
        <v/>
      </c>
      <c r="B143" s="8" t="str">
        <f>IFERROR(INDEX(样本到样信息汇总统计!B$2:B$500,MATCH(142,样本到样信息汇总统计!$Y$2:$Y$500,0)),"")</f>
        <v/>
      </c>
      <c r="C143" s="8" t="str">
        <f>IFERROR(INDEX(样本到样信息汇总统计!C$2:C$500,MATCH(142,样本到样信息汇总统计!$Y$2:$Y$500,0)),"")</f>
        <v/>
      </c>
      <c r="D143" s="8" t="str">
        <f>IFERROR(INDEX(样本到样信息汇总统计!D$2:D$500,MATCH(142,样本到样信息汇总统计!$Y$2:$Y$500,0)),"")</f>
        <v/>
      </c>
      <c r="E143" s="8" t="str">
        <f>IFERROR(INDEX(样本到样信息汇总统计!E$2:E$500,MATCH(142,样本到样信息汇总统计!$Y$2:$Y$500,0)),"")</f>
        <v/>
      </c>
      <c r="F143" s="8" t="str">
        <f>IFERROR(INDEX(样本到样信息汇总统计!F$2:F$500,MATCH(142,样本到样信息汇总统计!$Y$2:$Y$500,0)),"")</f>
        <v/>
      </c>
      <c r="G143" s="8" t="str">
        <f>IFERROR(INDEX(样本到样信息汇总统计!G$2:G$500,MATCH(142,样本到样信息汇总统计!$Y$2:$Y$500,0)),"")</f>
        <v/>
      </c>
      <c r="H143" s="8" t="str">
        <f>IFERROR(INDEX(样本到样信息汇总统计!H$2:H$500,MATCH(142,样本到样信息汇总统计!$Y$2:$Y$500,0)),"")</f>
        <v/>
      </c>
      <c r="I143" s="8" t="str">
        <f>IFERROR(INDEX(样本到样信息汇总统计!I$2:I$500,MATCH(142,样本到样信息汇总统计!$Y$2:$Y$500,0)),"")</f>
        <v/>
      </c>
      <c r="J143" s="8" t="str">
        <f>IFERROR(INDEX(样本到样信息汇总统计!J$2:J$500,MATCH(142,样本到样信息汇总统计!$Y$2:$Y$500,0)),"")</f>
        <v/>
      </c>
      <c r="K143" s="8" t="str">
        <f>IFERROR(INDEX(样本到样信息汇总统计!K$2:K$500,MATCH(142,样本到样信息汇总统计!$Y$2:$Y$500,0)),"")</f>
        <v/>
      </c>
      <c r="L143" s="8" t="str">
        <f>IFERROR(INDEX(样本到样信息汇总统计!L$2:L$500,MATCH(142,样本到样信息汇总统计!$Y$2:$Y$500,0)),"")</f>
        <v/>
      </c>
      <c r="M143" s="8" t="str">
        <f>IFERROR(INDEX(样本到样信息汇总统计!M$2:M$500,MATCH(142,样本到样信息汇总统计!$Y$2:$Y$500,0)),"")</f>
        <v/>
      </c>
      <c r="N143" s="8" t="str">
        <f>IFERROR(INDEX(样本到样信息汇总统计!N$2:N$500,MATCH(142,样本到样信息汇总统计!$Y$2:$Y$500,0)),"")</f>
        <v/>
      </c>
      <c r="O143" s="8" t="str">
        <f>IFERROR(INDEX(样本到样信息汇总统计!O$2:O$500,MATCH(142,样本到样信息汇总统计!$Y$2:$Y$500,0)),"")</f>
        <v/>
      </c>
      <c r="P143" s="8" t="str">
        <f>IFERROR(INDEX(样本到样信息汇总统计!P$2:P$500,MATCH(142,样本到样信息汇总统计!$Y$2:$Y$500,0)),"")</f>
        <v/>
      </c>
      <c r="Q143" s="8" t="str">
        <f>IFERROR(INDEX(样本到样信息汇总统计!Q$2:Q$500,MATCH(142,样本到样信息汇总统计!$Y$2:$Y$500,0)),"")</f>
        <v/>
      </c>
      <c r="R143" s="8" t="str">
        <f>IFERROR(INDEX(样本到样信息汇总统计!R$2:R$500,MATCH(142,样本到样信息汇总统计!$Y$2:$Y$500,0)),"")</f>
        <v/>
      </c>
      <c r="S143" s="8" t="str">
        <f>IFERROR(INDEX(样本到样信息汇总统计!S$2:S$500,MATCH(142,样本到样信息汇总统计!$Y$2:$Y$500,0)),"")</f>
        <v/>
      </c>
      <c r="T143" s="8" t="str">
        <f>IFERROR(INDEX(样本到样信息汇总统计!T$2:T$500,MATCH(142,样本到样信息汇总统计!$Y$2:$Y$500,0)),"")</f>
        <v/>
      </c>
      <c r="U143" s="8" t="str">
        <f>IFERROR(INDEX(样本到样信息汇总统计!U$2:U$500,MATCH(142,样本到样信息汇总统计!$Y$2:$Y$500,0)),"")</f>
        <v/>
      </c>
      <c r="V143" s="8" t="str">
        <f>IFERROR(INDEX(样本到样信息汇总统计!V$2:V$500,MATCH(142,样本到样信息汇总统计!$Y$2:$Y$500,0)),"")</f>
        <v/>
      </c>
      <c r="W143" s="8" t="str">
        <f>IFERROR(INDEX(样本到样信息汇总统计!W$2:W$500,MATCH(142,样本到样信息汇总统计!$Y$2:$Y$500,0)),"")</f>
        <v/>
      </c>
    </row>
    <row r="144" ht="14.5" spans="1:23">
      <c r="A144" s="4" t="str">
        <f>IFERROR(INDEX(样本到样信息汇总统计!A$2:A$500,MATCH(143,样本到样信息汇总统计!$Y$2:$Y$500,0)),"")</f>
        <v/>
      </c>
      <c r="B144" s="4" t="str">
        <f>IFERROR(INDEX(样本到样信息汇总统计!B$2:B$500,MATCH(143,样本到样信息汇总统计!$Y$2:$Y$500,0)),"")</f>
        <v/>
      </c>
      <c r="C144" s="4" t="str">
        <f>IFERROR(INDEX(样本到样信息汇总统计!C$2:C$500,MATCH(143,样本到样信息汇总统计!$Y$2:$Y$500,0)),"")</f>
        <v/>
      </c>
      <c r="D144" s="4" t="str">
        <f>IFERROR(INDEX(样本到样信息汇总统计!D$2:D$500,MATCH(143,样本到样信息汇总统计!$Y$2:$Y$500,0)),"")</f>
        <v/>
      </c>
      <c r="E144" s="4" t="str">
        <f>IFERROR(INDEX(样本到样信息汇总统计!E$2:E$500,MATCH(143,样本到样信息汇总统计!$Y$2:$Y$500,0)),"")</f>
        <v/>
      </c>
      <c r="F144" s="4" t="str">
        <f>IFERROR(INDEX(样本到样信息汇总统计!F$2:F$500,MATCH(143,样本到样信息汇总统计!$Y$2:$Y$500,0)),"")</f>
        <v/>
      </c>
      <c r="G144" s="4" t="str">
        <f>IFERROR(INDEX(样本到样信息汇总统计!G$2:G$500,MATCH(143,样本到样信息汇总统计!$Y$2:$Y$500,0)),"")</f>
        <v/>
      </c>
      <c r="H144" s="4" t="str">
        <f>IFERROR(INDEX(样本到样信息汇总统计!H$2:H$500,MATCH(143,样本到样信息汇总统计!$Y$2:$Y$500,0)),"")</f>
        <v/>
      </c>
      <c r="I144" s="4" t="str">
        <f>IFERROR(INDEX(样本到样信息汇总统计!I$2:I$500,MATCH(143,样本到样信息汇总统计!$Y$2:$Y$500,0)),"")</f>
        <v/>
      </c>
      <c r="J144" s="4" t="str">
        <f>IFERROR(INDEX(样本到样信息汇总统计!J$2:J$500,MATCH(143,样本到样信息汇总统计!$Y$2:$Y$500,0)),"")</f>
        <v/>
      </c>
      <c r="K144" s="4" t="str">
        <f>IFERROR(INDEX(样本到样信息汇总统计!K$2:K$500,MATCH(143,样本到样信息汇总统计!$Y$2:$Y$500,0)),"")</f>
        <v/>
      </c>
      <c r="L144" s="4" t="str">
        <f>IFERROR(INDEX(样本到样信息汇总统计!L$2:L$500,MATCH(143,样本到样信息汇总统计!$Y$2:$Y$500,0)),"")</f>
        <v/>
      </c>
      <c r="M144" s="4" t="str">
        <f>IFERROR(INDEX(样本到样信息汇总统计!M$2:M$500,MATCH(143,样本到样信息汇总统计!$Y$2:$Y$500,0)),"")</f>
        <v/>
      </c>
      <c r="N144" s="4" t="str">
        <f>IFERROR(INDEX(样本到样信息汇总统计!N$2:N$500,MATCH(143,样本到样信息汇总统计!$Y$2:$Y$500,0)),"")</f>
        <v/>
      </c>
      <c r="O144" s="4" t="str">
        <f>IFERROR(INDEX(样本到样信息汇总统计!O$2:O$500,MATCH(143,样本到样信息汇总统计!$Y$2:$Y$500,0)),"")</f>
        <v/>
      </c>
      <c r="P144" s="4" t="str">
        <f>IFERROR(INDEX(样本到样信息汇总统计!P$2:P$500,MATCH(143,样本到样信息汇总统计!$Y$2:$Y$500,0)),"")</f>
        <v/>
      </c>
      <c r="Q144" s="4" t="str">
        <f>IFERROR(INDEX(样本到样信息汇总统计!Q$2:Q$500,MATCH(143,样本到样信息汇总统计!$Y$2:$Y$500,0)),"")</f>
        <v/>
      </c>
      <c r="R144" s="4" t="str">
        <f>IFERROR(INDEX(样本到样信息汇总统计!R$2:R$500,MATCH(143,样本到样信息汇总统计!$Y$2:$Y$500,0)),"")</f>
        <v/>
      </c>
      <c r="S144" s="4" t="str">
        <f>IFERROR(INDEX(样本到样信息汇总统计!S$2:S$500,MATCH(143,样本到样信息汇总统计!$Y$2:$Y$500,0)),"")</f>
        <v/>
      </c>
      <c r="T144" s="4" t="str">
        <f>IFERROR(INDEX(样本到样信息汇总统计!T$2:T$500,MATCH(143,样本到样信息汇总统计!$Y$2:$Y$500,0)),"")</f>
        <v/>
      </c>
      <c r="U144" s="4" t="str">
        <f>IFERROR(INDEX(样本到样信息汇总统计!U$2:U$500,MATCH(143,样本到样信息汇总统计!$Y$2:$Y$500,0)),"")</f>
        <v/>
      </c>
      <c r="V144" s="4" t="str">
        <f>IFERROR(INDEX(样本到样信息汇总统计!V$2:V$500,MATCH(143,样本到样信息汇总统计!$Y$2:$Y$500,0)),"")</f>
        <v/>
      </c>
      <c r="W144" s="4" t="str">
        <f>IFERROR(INDEX(样本到样信息汇总统计!W$2:W$500,MATCH(143,样本到样信息汇总统计!$Y$2:$Y$500,0)),"")</f>
        <v/>
      </c>
    </row>
    <row r="145" ht="14.5" spans="1:23">
      <c r="A145" s="8" t="str">
        <f>IFERROR(INDEX(样本到样信息汇总统计!A$2:A$500,MATCH(144,样本到样信息汇总统计!$Y$2:$Y$500,0)),"")</f>
        <v/>
      </c>
      <c r="B145" s="8" t="str">
        <f>IFERROR(INDEX(样本到样信息汇总统计!B$2:B$500,MATCH(144,样本到样信息汇总统计!$Y$2:$Y$500,0)),"")</f>
        <v/>
      </c>
      <c r="C145" s="8" t="str">
        <f>IFERROR(INDEX(样本到样信息汇总统计!C$2:C$500,MATCH(144,样本到样信息汇总统计!$Y$2:$Y$500,0)),"")</f>
        <v/>
      </c>
      <c r="D145" s="8" t="str">
        <f>IFERROR(INDEX(样本到样信息汇总统计!D$2:D$500,MATCH(144,样本到样信息汇总统计!$Y$2:$Y$500,0)),"")</f>
        <v/>
      </c>
      <c r="E145" s="8" t="str">
        <f>IFERROR(INDEX(样本到样信息汇总统计!E$2:E$500,MATCH(144,样本到样信息汇总统计!$Y$2:$Y$500,0)),"")</f>
        <v/>
      </c>
      <c r="F145" s="8" t="str">
        <f>IFERROR(INDEX(样本到样信息汇总统计!F$2:F$500,MATCH(144,样本到样信息汇总统计!$Y$2:$Y$500,0)),"")</f>
        <v/>
      </c>
      <c r="G145" s="8" t="str">
        <f>IFERROR(INDEX(样本到样信息汇总统计!G$2:G$500,MATCH(144,样本到样信息汇总统计!$Y$2:$Y$500,0)),"")</f>
        <v/>
      </c>
      <c r="H145" s="8" t="str">
        <f>IFERROR(INDEX(样本到样信息汇总统计!H$2:H$500,MATCH(144,样本到样信息汇总统计!$Y$2:$Y$500,0)),"")</f>
        <v/>
      </c>
      <c r="I145" s="8" t="str">
        <f>IFERROR(INDEX(样本到样信息汇总统计!I$2:I$500,MATCH(144,样本到样信息汇总统计!$Y$2:$Y$500,0)),"")</f>
        <v/>
      </c>
      <c r="J145" s="8" t="str">
        <f>IFERROR(INDEX(样本到样信息汇总统计!J$2:J$500,MATCH(144,样本到样信息汇总统计!$Y$2:$Y$500,0)),"")</f>
        <v/>
      </c>
      <c r="K145" s="8" t="str">
        <f>IFERROR(INDEX(样本到样信息汇总统计!K$2:K$500,MATCH(144,样本到样信息汇总统计!$Y$2:$Y$500,0)),"")</f>
        <v/>
      </c>
      <c r="L145" s="8" t="str">
        <f>IFERROR(INDEX(样本到样信息汇总统计!L$2:L$500,MATCH(144,样本到样信息汇总统计!$Y$2:$Y$500,0)),"")</f>
        <v/>
      </c>
      <c r="M145" s="8" t="str">
        <f>IFERROR(INDEX(样本到样信息汇总统计!M$2:M$500,MATCH(144,样本到样信息汇总统计!$Y$2:$Y$500,0)),"")</f>
        <v/>
      </c>
      <c r="N145" s="8" t="str">
        <f>IFERROR(INDEX(样本到样信息汇总统计!N$2:N$500,MATCH(144,样本到样信息汇总统计!$Y$2:$Y$500,0)),"")</f>
        <v/>
      </c>
      <c r="O145" s="8" t="str">
        <f>IFERROR(INDEX(样本到样信息汇总统计!O$2:O$500,MATCH(144,样本到样信息汇总统计!$Y$2:$Y$500,0)),"")</f>
        <v/>
      </c>
      <c r="P145" s="8" t="str">
        <f>IFERROR(INDEX(样本到样信息汇总统计!P$2:P$500,MATCH(144,样本到样信息汇总统计!$Y$2:$Y$500,0)),"")</f>
        <v/>
      </c>
      <c r="Q145" s="8" t="str">
        <f>IFERROR(INDEX(样本到样信息汇总统计!Q$2:Q$500,MATCH(144,样本到样信息汇总统计!$Y$2:$Y$500,0)),"")</f>
        <v/>
      </c>
      <c r="R145" s="8" t="str">
        <f>IFERROR(INDEX(样本到样信息汇总统计!R$2:R$500,MATCH(144,样本到样信息汇总统计!$Y$2:$Y$500,0)),"")</f>
        <v/>
      </c>
      <c r="S145" s="8" t="str">
        <f>IFERROR(INDEX(样本到样信息汇总统计!S$2:S$500,MATCH(144,样本到样信息汇总统计!$Y$2:$Y$500,0)),"")</f>
        <v/>
      </c>
      <c r="T145" s="8" t="str">
        <f>IFERROR(INDEX(样本到样信息汇总统计!T$2:T$500,MATCH(144,样本到样信息汇总统计!$Y$2:$Y$500,0)),"")</f>
        <v/>
      </c>
      <c r="U145" s="8" t="str">
        <f>IFERROR(INDEX(样本到样信息汇总统计!U$2:U$500,MATCH(144,样本到样信息汇总统计!$Y$2:$Y$500,0)),"")</f>
        <v/>
      </c>
      <c r="V145" s="8" t="str">
        <f>IFERROR(INDEX(样本到样信息汇总统计!V$2:V$500,MATCH(144,样本到样信息汇总统计!$Y$2:$Y$500,0)),"")</f>
        <v/>
      </c>
      <c r="W145" s="8" t="str">
        <f>IFERROR(INDEX(样本到样信息汇总统计!W$2:W$500,MATCH(144,样本到样信息汇总统计!$Y$2:$Y$500,0)),"")</f>
        <v/>
      </c>
    </row>
    <row r="146" ht="14.5" spans="1:23">
      <c r="A146" s="4" t="str">
        <f>IFERROR(INDEX(样本到样信息汇总统计!A$2:A$500,MATCH(145,样本到样信息汇总统计!$Y$2:$Y$500,0)),"")</f>
        <v/>
      </c>
      <c r="B146" s="4" t="str">
        <f>IFERROR(INDEX(样本到样信息汇总统计!B$2:B$500,MATCH(145,样本到样信息汇总统计!$Y$2:$Y$500,0)),"")</f>
        <v/>
      </c>
      <c r="C146" s="4" t="str">
        <f>IFERROR(INDEX(样本到样信息汇总统计!C$2:C$500,MATCH(145,样本到样信息汇总统计!$Y$2:$Y$500,0)),"")</f>
        <v/>
      </c>
      <c r="D146" s="4" t="str">
        <f>IFERROR(INDEX(样本到样信息汇总统计!D$2:D$500,MATCH(145,样本到样信息汇总统计!$Y$2:$Y$500,0)),"")</f>
        <v/>
      </c>
      <c r="E146" s="4" t="str">
        <f>IFERROR(INDEX(样本到样信息汇总统计!E$2:E$500,MATCH(145,样本到样信息汇总统计!$Y$2:$Y$500,0)),"")</f>
        <v/>
      </c>
      <c r="F146" s="4" t="str">
        <f>IFERROR(INDEX(样本到样信息汇总统计!F$2:F$500,MATCH(145,样本到样信息汇总统计!$Y$2:$Y$500,0)),"")</f>
        <v/>
      </c>
      <c r="G146" s="4" t="str">
        <f>IFERROR(INDEX(样本到样信息汇总统计!G$2:G$500,MATCH(145,样本到样信息汇总统计!$Y$2:$Y$500,0)),"")</f>
        <v/>
      </c>
      <c r="H146" s="4" t="str">
        <f>IFERROR(INDEX(样本到样信息汇总统计!H$2:H$500,MATCH(145,样本到样信息汇总统计!$Y$2:$Y$500,0)),"")</f>
        <v/>
      </c>
      <c r="I146" s="4" t="str">
        <f>IFERROR(INDEX(样本到样信息汇总统计!I$2:I$500,MATCH(145,样本到样信息汇总统计!$Y$2:$Y$500,0)),"")</f>
        <v/>
      </c>
      <c r="J146" s="4" t="str">
        <f>IFERROR(INDEX(样本到样信息汇总统计!J$2:J$500,MATCH(145,样本到样信息汇总统计!$Y$2:$Y$500,0)),"")</f>
        <v/>
      </c>
      <c r="K146" s="4" t="str">
        <f>IFERROR(INDEX(样本到样信息汇总统计!K$2:K$500,MATCH(145,样本到样信息汇总统计!$Y$2:$Y$500,0)),"")</f>
        <v/>
      </c>
      <c r="L146" s="4" t="str">
        <f>IFERROR(INDEX(样本到样信息汇总统计!L$2:L$500,MATCH(145,样本到样信息汇总统计!$Y$2:$Y$500,0)),"")</f>
        <v/>
      </c>
      <c r="M146" s="4" t="str">
        <f>IFERROR(INDEX(样本到样信息汇总统计!M$2:M$500,MATCH(145,样本到样信息汇总统计!$Y$2:$Y$500,0)),"")</f>
        <v/>
      </c>
      <c r="N146" s="4" t="str">
        <f>IFERROR(INDEX(样本到样信息汇总统计!N$2:N$500,MATCH(145,样本到样信息汇总统计!$Y$2:$Y$500,0)),"")</f>
        <v/>
      </c>
      <c r="O146" s="4" t="str">
        <f>IFERROR(INDEX(样本到样信息汇总统计!O$2:O$500,MATCH(145,样本到样信息汇总统计!$Y$2:$Y$500,0)),"")</f>
        <v/>
      </c>
      <c r="P146" s="4" t="str">
        <f>IFERROR(INDEX(样本到样信息汇总统计!P$2:P$500,MATCH(145,样本到样信息汇总统计!$Y$2:$Y$500,0)),"")</f>
        <v/>
      </c>
      <c r="Q146" s="4" t="str">
        <f>IFERROR(INDEX(样本到样信息汇总统计!Q$2:Q$500,MATCH(145,样本到样信息汇总统计!$Y$2:$Y$500,0)),"")</f>
        <v/>
      </c>
      <c r="R146" s="4" t="str">
        <f>IFERROR(INDEX(样本到样信息汇总统计!R$2:R$500,MATCH(145,样本到样信息汇总统计!$Y$2:$Y$500,0)),"")</f>
        <v/>
      </c>
      <c r="S146" s="4" t="str">
        <f>IFERROR(INDEX(样本到样信息汇总统计!S$2:S$500,MATCH(145,样本到样信息汇总统计!$Y$2:$Y$500,0)),"")</f>
        <v/>
      </c>
      <c r="T146" s="4" t="str">
        <f>IFERROR(INDEX(样本到样信息汇总统计!T$2:T$500,MATCH(145,样本到样信息汇总统计!$Y$2:$Y$500,0)),"")</f>
        <v/>
      </c>
      <c r="U146" s="4" t="str">
        <f>IFERROR(INDEX(样本到样信息汇总统计!U$2:U$500,MATCH(145,样本到样信息汇总统计!$Y$2:$Y$500,0)),"")</f>
        <v/>
      </c>
      <c r="V146" s="4" t="str">
        <f>IFERROR(INDEX(样本到样信息汇总统计!V$2:V$500,MATCH(145,样本到样信息汇总统计!$Y$2:$Y$500,0)),"")</f>
        <v/>
      </c>
      <c r="W146" s="4" t="str">
        <f>IFERROR(INDEX(样本到样信息汇总统计!W$2:W$500,MATCH(145,样本到样信息汇总统计!$Y$2:$Y$500,0)),"")</f>
        <v/>
      </c>
    </row>
    <row r="147" ht="14.5" spans="1:23">
      <c r="A147" s="8" t="str">
        <f>IFERROR(INDEX(样本到样信息汇总统计!A$2:A$500,MATCH(146,样本到样信息汇总统计!$Y$2:$Y$500,0)),"")</f>
        <v/>
      </c>
      <c r="B147" s="8" t="str">
        <f>IFERROR(INDEX(样本到样信息汇总统计!B$2:B$500,MATCH(146,样本到样信息汇总统计!$Y$2:$Y$500,0)),"")</f>
        <v/>
      </c>
      <c r="C147" s="8" t="str">
        <f>IFERROR(INDEX(样本到样信息汇总统计!C$2:C$500,MATCH(146,样本到样信息汇总统计!$Y$2:$Y$500,0)),"")</f>
        <v/>
      </c>
      <c r="D147" s="8" t="str">
        <f>IFERROR(INDEX(样本到样信息汇总统计!D$2:D$500,MATCH(146,样本到样信息汇总统计!$Y$2:$Y$500,0)),"")</f>
        <v/>
      </c>
      <c r="E147" s="8" t="str">
        <f>IFERROR(INDEX(样本到样信息汇总统计!E$2:E$500,MATCH(146,样本到样信息汇总统计!$Y$2:$Y$500,0)),"")</f>
        <v/>
      </c>
      <c r="F147" s="8" t="str">
        <f>IFERROR(INDEX(样本到样信息汇总统计!F$2:F$500,MATCH(146,样本到样信息汇总统计!$Y$2:$Y$500,0)),"")</f>
        <v/>
      </c>
      <c r="G147" s="8" t="str">
        <f>IFERROR(INDEX(样本到样信息汇总统计!G$2:G$500,MATCH(146,样本到样信息汇总统计!$Y$2:$Y$500,0)),"")</f>
        <v/>
      </c>
      <c r="H147" s="8" t="str">
        <f>IFERROR(INDEX(样本到样信息汇总统计!H$2:H$500,MATCH(146,样本到样信息汇总统计!$Y$2:$Y$500,0)),"")</f>
        <v/>
      </c>
      <c r="I147" s="8" t="str">
        <f>IFERROR(INDEX(样本到样信息汇总统计!I$2:I$500,MATCH(146,样本到样信息汇总统计!$Y$2:$Y$500,0)),"")</f>
        <v/>
      </c>
      <c r="J147" s="8" t="str">
        <f>IFERROR(INDEX(样本到样信息汇总统计!J$2:J$500,MATCH(146,样本到样信息汇总统计!$Y$2:$Y$500,0)),"")</f>
        <v/>
      </c>
      <c r="K147" s="8" t="str">
        <f>IFERROR(INDEX(样本到样信息汇总统计!K$2:K$500,MATCH(146,样本到样信息汇总统计!$Y$2:$Y$500,0)),"")</f>
        <v/>
      </c>
      <c r="L147" s="8" t="str">
        <f>IFERROR(INDEX(样本到样信息汇总统计!L$2:L$500,MATCH(146,样本到样信息汇总统计!$Y$2:$Y$500,0)),"")</f>
        <v/>
      </c>
      <c r="M147" s="8" t="str">
        <f>IFERROR(INDEX(样本到样信息汇总统计!M$2:M$500,MATCH(146,样本到样信息汇总统计!$Y$2:$Y$500,0)),"")</f>
        <v/>
      </c>
      <c r="N147" s="8" t="str">
        <f>IFERROR(INDEX(样本到样信息汇总统计!N$2:N$500,MATCH(146,样本到样信息汇总统计!$Y$2:$Y$500,0)),"")</f>
        <v/>
      </c>
      <c r="O147" s="8" t="str">
        <f>IFERROR(INDEX(样本到样信息汇总统计!O$2:O$500,MATCH(146,样本到样信息汇总统计!$Y$2:$Y$500,0)),"")</f>
        <v/>
      </c>
      <c r="P147" s="8" t="str">
        <f>IFERROR(INDEX(样本到样信息汇总统计!P$2:P$500,MATCH(146,样本到样信息汇总统计!$Y$2:$Y$500,0)),"")</f>
        <v/>
      </c>
      <c r="Q147" s="8" t="str">
        <f>IFERROR(INDEX(样本到样信息汇总统计!Q$2:Q$500,MATCH(146,样本到样信息汇总统计!$Y$2:$Y$500,0)),"")</f>
        <v/>
      </c>
      <c r="R147" s="8" t="str">
        <f>IFERROR(INDEX(样本到样信息汇总统计!R$2:R$500,MATCH(146,样本到样信息汇总统计!$Y$2:$Y$500,0)),"")</f>
        <v/>
      </c>
      <c r="S147" s="8" t="str">
        <f>IFERROR(INDEX(样本到样信息汇总统计!S$2:S$500,MATCH(146,样本到样信息汇总统计!$Y$2:$Y$500,0)),"")</f>
        <v/>
      </c>
      <c r="T147" s="8" t="str">
        <f>IFERROR(INDEX(样本到样信息汇总统计!T$2:T$500,MATCH(146,样本到样信息汇总统计!$Y$2:$Y$500,0)),"")</f>
        <v/>
      </c>
      <c r="U147" s="8" t="str">
        <f>IFERROR(INDEX(样本到样信息汇总统计!U$2:U$500,MATCH(146,样本到样信息汇总统计!$Y$2:$Y$500,0)),"")</f>
        <v/>
      </c>
      <c r="V147" s="8" t="str">
        <f>IFERROR(INDEX(样本到样信息汇总统计!V$2:V$500,MATCH(146,样本到样信息汇总统计!$Y$2:$Y$500,0)),"")</f>
        <v/>
      </c>
      <c r="W147" s="8" t="str">
        <f>IFERROR(INDEX(样本到样信息汇总统计!W$2:W$500,MATCH(146,样本到样信息汇总统计!$Y$2:$Y$500,0)),"")</f>
        <v/>
      </c>
    </row>
    <row r="148" ht="14.5" spans="1:23">
      <c r="A148" s="4" t="str">
        <f>IFERROR(INDEX(样本到样信息汇总统计!A$2:A$500,MATCH(147,样本到样信息汇总统计!$Y$2:$Y$500,0)),"")</f>
        <v/>
      </c>
      <c r="B148" s="4" t="str">
        <f>IFERROR(INDEX(样本到样信息汇总统计!B$2:B$500,MATCH(147,样本到样信息汇总统计!$Y$2:$Y$500,0)),"")</f>
        <v/>
      </c>
      <c r="C148" s="4" t="str">
        <f>IFERROR(INDEX(样本到样信息汇总统计!C$2:C$500,MATCH(147,样本到样信息汇总统计!$Y$2:$Y$500,0)),"")</f>
        <v/>
      </c>
      <c r="D148" s="4" t="str">
        <f>IFERROR(INDEX(样本到样信息汇总统计!D$2:D$500,MATCH(147,样本到样信息汇总统计!$Y$2:$Y$500,0)),"")</f>
        <v/>
      </c>
      <c r="E148" s="4" t="str">
        <f>IFERROR(INDEX(样本到样信息汇总统计!E$2:E$500,MATCH(147,样本到样信息汇总统计!$Y$2:$Y$500,0)),"")</f>
        <v/>
      </c>
      <c r="F148" s="4" t="str">
        <f>IFERROR(INDEX(样本到样信息汇总统计!F$2:F$500,MATCH(147,样本到样信息汇总统计!$Y$2:$Y$500,0)),"")</f>
        <v/>
      </c>
      <c r="G148" s="4" t="str">
        <f>IFERROR(INDEX(样本到样信息汇总统计!G$2:G$500,MATCH(147,样本到样信息汇总统计!$Y$2:$Y$500,0)),"")</f>
        <v/>
      </c>
      <c r="H148" s="4" t="str">
        <f>IFERROR(INDEX(样本到样信息汇总统计!H$2:H$500,MATCH(147,样本到样信息汇总统计!$Y$2:$Y$500,0)),"")</f>
        <v/>
      </c>
      <c r="I148" s="4" t="str">
        <f>IFERROR(INDEX(样本到样信息汇总统计!I$2:I$500,MATCH(147,样本到样信息汇总统计!$Y$2:$Y$500,0)),"")</f>
        <v/>
      </c>
      <c r="J148" s="4" t="str">
        <f>IFERROR(INDEX(样本到样信息汇总统计!J$2:J$500,MATCH(147,样本到样信息汇总统计!$Y$2:$Y$500,0)),"")</f>
        <v/>
      </c>
      <c r="K148" s="4" t="str">
        <f>IFERROR(INDEX(样本到样信息汇总统计!K$2:K$500,MATCH(147,样本到样信息汇总统计!$Y$2:$Y$500,0)),"")</f>
        <v/>
      </c>
      <c r="L148" s="4" t="str">
        <f>IFERROR(INDEX(样本到样信息汇总统计!L$2:L$500,MATCH(147,样本到样信息汇总统计!$Y$2:$Y$500,0)),"")</f>
        <v/>
      </c>
      <c r="M148" s="4" t="str">
        <f>IFERROR(INDEX(样本到样信息汇总统计!M$2:M$500,MATCH(147,样本到样信息汇总统计!$Y$2:$Y$500,0)),"")</f>
        <v/>
      </c>
      <c r="N148" s="4" t="str">
        <f>IFERROR(INDEX(样本到样信息汇总统计!N$2:N$500,MATCH(147,样本到样信息汇总统计!$Y$2:$Y$500,0)),"")</f>
        <v/>
      </c>
      <c r="O148" s="4" t="str">
        <f>IFERROR(INDEX(样本到样信息汇总统计!O$2:O$500,MATCH(147,样本到样信息汇总统计!$Y$2:$Y$500,0)),"")</f>
        <v/>
      </c>
      <c r="P148" s="4" t="str">
        <f>IFERROR(INDEX(样本到样信息汇总统计!P$2:P$500,MATCH(147,样本到样信息汇总统计!$Y$2:$Y$500,0)),"")</f>
        <v/>
      </c>
      <c r="Q148" s="4" t="str">
        <f>IFERROR(INDEX(样本到样信息汇总统计!Q$2:Q$500,MATCH(147,样本到样信息汇总统计!$Y$2:$Y$500,0)),"")</f>
        <v/>
      </c>
      <c r="R148" s="4" t="str">
        <f>IFERROR(INDEX(样本到样信息汇总统计!R$2:R$500,MATCH(147,样本到样信息汇总统计!$Y$2:$Y$500,0)),"")</f>
        <v/>
      </c>
      <c r="S148" s="4" t="str">
        <f>IFERROR(INDEX(样本到样信息汇总统计!S$2:S$500,MATCH(147,样本到样信息汇总统计!$Y$2:$Y$500,0)),"")</f>
        <v/>
      </c>
      <c r="T148" s="4" t="str">
        <f>IFERROR(INDEX(样本到样信息汇总统计!T$2:T$500,MATCH(147,样本到样信息汇总统计!$Y$2:$Y$500,0)),"")</f>
        <v/>
      </c>
      <c r="U148" s="4" t="str">
        <f>IFERROR(INDEX(样本到样信息汇总统计!U$2:U$500,MATCH(147,样本到样信息汇总统计!$Y$2:$Y$500,0)),"")</f>
        <v/>
      </c>
      <c r="V148" s="4" t="str">
        <f>IFERROR(INDEX(样本到样信息汇总统计!V$2:V$500,MATCH(147,样本到样信息汇总统计!$Y$2:$Y$500,0)),"")</f>
        <v/>
      </c>
      <c r="W148" s="4" t="str">
        <f>IFERROR(INDEX(样本到样信息汇总统计!W$2:W$500,MATCH(147,样本到样信息汇总统计!$Y$2:$Y$500,0)),"")</f>
        <v/>
      </c>
    </row>
    <row r="149" ht="14.5" spans="1:23">
      <c r="A149" s="8" t="str">
        <f>IFERROR(INDEX(样本到样信息汇总统计!A$2:A$500,MATCH(148,样本到样信息汇总统计!$Y$2:$Y$500,0)),"")</f>
        <v/>
      </c>
      <c r="B149" s="8" t="str">
        <f>IFERROR(INDEX(样本到样信息汇总统计!B$2:B$500,MATCH(148,样本到样信息汇总统计!$Y$2:$Y$500,0)),"")</f>
        <v/>
      </c>
      <c r="C149" s="8" t="str">
        <f>IFERROR(INDEX(样本到样信息汇总统计!C$2:C$500,MATCH(148,样本到样信息汇总统计!$Y$2:$Y$500,0)),"")</f>
        <v/>
      </c>
      <c r="D149" s="8" t="str">
        <f>IFERROR(INDEX(样本到样信息汇总统计!D$2:D$500,MATCH(148,样本到样信息汇总统计!$Y$2:$Y$500,0)),"")</f>
        <v/>
      </c>
      <c r="E149" s="8" t="str">
        <f>IFERROR(INDEX(样本到样信息汇总统计!E$2:E$500,MATCH(148,样本到样信息汇总统计!$Y$2:$Y$500,0)),"")</f>
        <v/>
      </c>
      <c r="F149" s="8" t="str">
        <f>IFERROR(INDEX(样本到样信息汇总统计!F$2:F$500,MATCH(148,样本到样信息汇总统计!$Y$2:$Y$500,0)),"")</f>
        <v/>
      </c>
      <c r="G149" s="8" t="str">
        <f>IFERROR(INDEX(样本到样信息汇总统计!G$2:G$500,MATCH(148,样本到样信息汇总统计!$Y$2:$Y$500,0)),"")</f>
        <v/>
      </c>
      <c r="H149" s="8" t="str">
        <f>IFERROR(INDEX(样本到样信息汇总统计!H$2:H$500,MATCH(148,样本到样信息汇总统计!$Y$2:$Y$500,0)),"")</f>
        <v/>
      </c>
      <c r="I149" s="8" t="str">
        <f>IFERROR(INDEX(样本到样信息汇总统计!I$2:I$500,MATCH(148,样本到样信息汇总统计!$Y$2:$Y$500,0)),"")</f>
        <v/>
      </c>
      <c r="J149" s="8" t="str">
        <f>IFERROR(INDEX(样本到样信息汇总统计!J$2:J$500,MATCH(148,样本到样信息汇总统计!$Y$2:$Y$500,0)),"")</f>
        <v/>
      </c>
      <c r="K149" s="8" t="str">
        <f>IFERROR(INDEX(样本到样信息汇总统计!K$2:K$500,MATCH(148,样本到样信息汇总统计!$Y$2:$Y$500,0)),"")</f>
        <v/>
      </c>
      <c r="L149" s="8" t="str">
        <f>IFERROR(INDEX(样本到样信息汇总统计!L$2:L$500,MATCH(148,样本到样信息汇总统计!$Y$2:$Y$500,0)),"")</f>
        <v/>
      </c>
      <c r="M149" s="8" t="str">
        <f>IFERROR(INDEX(样本到样信息汇总统计!M$2:M$500,MATCH(148,样本到样信息汇总统计!$Y$2:$Y$500,0)),"")</f>
        <v/>
      </c>
      <c r="N149" s="8" t="str">
        <f>IFERROR(INDEX(样本到样信息汇总统计!N$2:N$500,MATCH(148,样本到样信息汇总统计!$Y$2:$Y$500,0)),"")</f>
        <v/>
      </c>
      <c r="O149" s="8" t="str">
        <f>IFERROR(INDEX(样本到样信息汇总统计!O$2:O$500,MATCH(148,样本到样信息汇总统计!$Y$2:$Y$500,0)),"")</f>
        <v/>
      </c>
      <c r="P149" s="8" t="str">
        <f>IFERROR(INDEX(样本到样信息汇总统计!P$2:P$500,MATCH(148,样本到样信息汇总统计!$Y$2:$Y$500,0)),"")</f>
        <v/>
      </c>
      <c r="Q149" s="8" t="str">
        <f>IFERROR(INDEX(样本到样信息汇总统计!Q$2:Q$500,MATCH(148,样本到样信息汇总统计!$Y$2:$Y$500,0)),"")</f>
        <v/>
      </c>
      <c r="R149" s="8" t="str">
        <f>IFERROR(INDEX(样本到样信息汇总统计!R$2:R$500,MATCH(148,样本到样信息汇总统计!$Y$2:$Y$500,0)),"")</f>
        <v/>
      </c>
      <c r="S149" s="8" t="str">
        <f>IFERROR(INDEX(样本到样信息汇总统计!S$2:S$500,MATCH(148,样本到样信息汇总统计!$Y$2:$Y$500,0)),"")</f>
        <v/>
      </c>
      <c r="T149" s="8" t="str">
        <f>IFERROR(INDEX(样本到样信息汇总统计!T$2:T$500,MATCH(148,样本到样信息汇总统计!$Y$2:$Y$500,0)),"")</f>
        <v/>
      </c>
      <c r="U149" s="8" t="str">
        <f>IFERROR(INDEX(样本到样信息汇总统计!U$2:U$500,MATCH(148,样本到样信息汇总统计!$Y$2:$Y$500,0)),"")</f>
        <v/>
      </c>
      <c r="V149" s="8" t="str">
        <f>IFERROR(INDEX(样本到样信息汇总统计!V$2:V$500,MATCH(148,样本到样信息汇总统计!$Y$2:$Y$500,0)),"")</f>
        <v/>
      </c>
      <c r="W149" s="8" t="str">
        <f>IFERROR(INDEX(样本到样信息汇总统计!W$2:W$500,MATCH(148,样本到样信息汇总统计!$Y$2:$Y$500,0)),"")</f>
        <v/>
      </c>
    </row>
    <row r="150" ht="14.5" spans="1:23">
      <c r="A150" s="4" t="str">
        <f>IFERROR(INDEX(样本到样信息汇总统计!A$2:A$500,MATCH(149,样本到样信息汇总统计!$Y$2:$Y$500,0)),"")</f>
        <v/>
      </c>
      <c r="B150" s="4" t="str">
        <f>IFERROR(INDEX(样本到样信息汇总统计!B$2:B$500,MATCH(149,样本到样信息汇总统计!$Y$2:$Y$500,0)),"")</f>
        <v/>
      </c>
      <c r="C150" s="4" t="str">
        <f>IFERROR(INDEX(样本到样信息汇总统计!C$2:C$500,MATCH(149,样本到样信息汇总统计!$Y$2:$Y$500,0)),"")</f>
        <v/>
      </c>
      <c r="D150" s="4" t="str">
        <f>IFERROR(INDEX(样本到样信息汇总统计!D$2:D$500,MATCH(149,样本到样信息汇总统计!$Y$2:$Y$500,0)),"")</f>
        <v/>
      </c>
      <c r="E150" s="4" t="str">
        <f>IFERROR(INDEX(样本到样信息汇总统计!E$2:E$500,MATCH(149,样本到样信息汇总统计!$Y$2:$Y$500,0)),"")</f>
        <v/>
      </c>
      <c r="F150" s="4" t="str">
        <f>IFERROR(INDEX(样本到样信息汇总统计!F$2:F$500,MATCH(149,样本到样信息汇总统计!$Y$2:$Y$500,0)),"")</f>
        <v/>
      </c>
      <c r="G150" s="4" t="str">
        <f>IFERROR(INDEX(样本到样信息汇总统计!G$2:G$500,MATCH(149,样本到样信息汇总统计!$Y$2:$Y$500,0)),"")</f>
        <v/>
      </c>
      <c r="H150" s="4" t="str">
        <f>IFERROR(INDEX(样本到样信息汇总统计!H$2:H$500,MATCH(149,样本到样信息汇总统计!$Y$2:$Y$500,0)),"")</f>
        <v/>
      </c>
      <c r="I150" s="4" t="str">
        <f>IFERROR(INDEX(样本到样信息汇总统计!I$2:I$500,MATCH(149,样本到样信息汇总统计!$Y$2:$Y$500,0)),"")</f>
        <v/>
      </c>
      <c r="J150" s="4" t="str">
        <f>IFERROR(INDEX(样本到样信息汇总统计!J$2:J$500,MATCH(149,样本到样信息汇总统计!$Y$2:$Y$500,0)),"")</f>
        <v/>
      </c>
      <c r="K150" s="4" t="str">
        <f>IFERROR(INDEX(样本到样信息汇总统计!K$2:K$500,MATCH(149,样本到样信息汇总统计!$Y$2:$Y$500,0)),"")</f>
        <v/>
      </c>
      <c r="L150" s="4" t="str">
        <f>IFERROR(INDEX(样本到样信息汇总统计!L$2:L$500,MATCH(149,样本到样信息汇总统计!$Y$2:$Y$500,0)),"")</f>
        <v/>
      </c>
      <c r="M150" s="4" t="str">
        <f>IFERROR(INDEX(样本到样信息汇总统计!M$2:M$500,MATCH(149,样本到样信息汇总统计!$Y$2:$Y$500,0)),"")</f>
        <v/>
      </c>
      <c r="N150" s="4" t="str">
        <f>IFERROR(INDEX(样本到样信息汇总统计!N$2:N$500,MATCH(149,样本到样信息汇总统计!$Y$2:$Y$500,0)),"")</f>
        <v/>
      </c>
      <c r="O150" s="4" t="str">
        <f>IFERROR(INDEX(样本到样信息汇总统计!O$2:O$500,MATCH(149,样本到样信息汇总统计!$Y$2:$Y$500,0)),"")</f>
        <v/>
      </c>
      <c r="P150" s="4" t="str">
        <f>IFERROR(INDEX(样本到样信息汇总统计!P$2:P$500,MATCH(149,样本到样信息汇总统计!$Y$2:$Y$500,0)),"")</f>
        <v/>
      </c>
      <c r="Q150" s="4" t="str">
        <f>IFERROR(INDEX(样本到样信息汇总统计!Q$2:Q$500,MATCH(149,样本到样信息汇总统计!$Y$2:$Y$500,0)),"")</f>
        <v/>
      </c>
      <c r="R150" s="4" t="str">
        <f>IFERROR(INDEX(样本到样信息汇总统计!R$2:R$500,MATCH(149,样本到样信息汇总统计!$Y$2:$Y$500,0)),"")</f>
        <v/>
      </c>
      <c r="S150" s="4" t="str">
        <f>IFERROR(INDEX(样本到样信息汇总统计!S$2:S$500,MATCH(149,样本到样信息汇总统计!$Y$2:$Y$500,0)),"")</f>
        <v/>
      </c>
      <c r="T150" s="4" t="str">
        <f>IFERROR(INDEX(样本到样信息汇总统计!T$2:T$500,MATCH(149,样本到样信息汇总统计!$Y$2:$Y$500,0)),"")</f>
        <v/>
      </c>
      <c r="U150" s="4" t="str">
        <f>IFERROR(INDEX(样本到样信息汇总统计!U$2:U$500,MATCH(149,样本到样信息汇总统计!$Y$2:$Y$500,0)),"")</f>
        <v/>
      </c>
      <c r="V150" s="4" t="str">
        <f>IFERROR(INDEX(样本到样信息汇总统计!V$2:V$500,MATCH(149,样本到样信息汇总统计!$Y$2:$Y$500,0)),"")</f>
        <v/>
      </c>
      <c r="W150" s="4" t="str">
        <f>IFERROR(INDEX(样本到样信息汇总统计!W$2:W$500,MATCH(149,样本到样信息汇总统计!$Y$2:$Y$500,0)),"")</f>
        <v/>
      </c>
    </row>
    <row r="151" ht="14.5" spans="1:23">
      <c r="A151" s="8" t="str">
        <f>IFERROR(INDEX(样本到样信息汇总统计!A$2:A$500,MATCH(150,样本到样信息汇总统计!$Y$2:$Y$500,0)),"")</f>
        <v/>
      </c>
      <c r="B151" s="8" t="str">
        <f>IFERROR(INDEX(样本到样信息汇总统计!B$2:B$500,MATCH(150,样本到样信息汇总统计!$Y$2:$Y$500,0)),"")</f>
        <v/>
      </c>
      <c r="C151" s="8" t="str">
        <f>IFERROR(INDEX(样本到样信息汇总统计!C$2:C$500,MATCH(150,样本到样信息汇总统计!$Y$2:$Y$500,0)),"")</f>
        <v/>
      </c>
      <c r="D151" s="8" t="str">
        <f>IFERROR(INDEX(样本到样信息汇总统计!D$2:D$500,MATCH(150,样本到样信息汇总统计!$Y$2:$Y$500,0)),"")</f>
        <v/>
      </c>
      <c r="E151" s="8" t="str">
        <f>IFERROR(INDEX(样本到样信息汇总统计!E$2:E$500,MATCH(150,样本到样信息汇总统计!$Y$2:$Y$500,0)),"")</f>
        <v/>
      </c>
      <c r="F151" s="8" t="str">
        <f>IFERROR(INDEX(样本到样信息汇总统计!F$2:F$500,MATCH(150,样本到样信息汇总统计!$Y$2:$Y$500,0)),"")</f>
        <v/>
      </c>
      <c r="G151" s="8" t="str">
        <f>IFERROR(INDEX(样本到样信息汇总统计!G$2:G$500,MATCH(150,样本到样信息汇总统计!$Y$2:$Y$500,0)),"")</f>
        <v/>
      </c>
      <c r="H151" s="8" t="str">
        <f>IFERROR(INDEX(样本到样信息汇总统计!H$2:H$500,MATCH(150,样本到样信息汇总统计!$Y$2:$Y$500,0)),"")</f>
        <v/>
      </c>
      <c r="I151" s="8" t="str">
        <f>IFERROR(INDEX(样本到样信息汇总统计!I$2:I$500,MATCH(150,样本到样信息汇总统计!$Y$2:$Y$500,0)),"")</f>
        <v/>
      </c>
      <c r="J151" s="8" t="str">
        <f>IFERROR(INDEX(样本到样信息汇总统计!J$2:J$500,MATCH(150,样本到样信息汇总统计!$Y$2:$Y$500,0)),"")</f>
        <v/>
      </c>
      <c r="K151" s="8" t="str">
        <f>IFERROR(INDEX(样本到样信息汇总统计!K$2:K$500,MATCH(150,样本到样信息汇总统计!$Y$2:$Y$500,0)),"")</f>
        <v/>
      </c>
      <c r="L151" s="8" t="str">
        <f>IFERROR(INDEX(样本到样信息汇总统计!L$2:L$500,MATCH(150,样本到样信息汇总统计!$Y$2:$Y$500,0)),"")</f>
        <v/>
      </c>
      <c r="M151" s="8" t="str">
        <f>IFERROR(INDEX(样本到样信息汇总统计!M$2:M$500,MATCH(150,样本到样信息汇总统计!$Y$2:$Y$500,0)),"")</f>
        <v/>
      </c>
      <c r="N151" s="8" t="str">
        <f>IFERROR(INDEX(样本到样信息汇总统计!N$2:N$500,MATCH(150,样本到样信息汇总统计!$Y$2:$Y$500,0)),"")</f>
        <v/>
      </c>
      <c r="O151" s="8" t="str">
        <f>IFERROR(INDEX(样本到样信息汇总统计!O$2:O$500,MATCH(150,样本到样信息汇总统计!$Y$2:$Y$500,0)),"")</f>
        <v/>
      </c>
      <c r="P151" s="8" t="str">
        <f>IFERROR(INDEX(样本到样信息汇总统计!P$2:P$500,MATCH(150,样本到样信息汇总统计!$Y$2:$Y$500,0)),"")</f>
        <v/>
      </c>
      <c r="Q151" s="8" t="str">
        <f>IFERROR(INDEX(样本到样信息汇总统计!Q$2:Q$500,MATCH(150,样本到样信息汇总统计!$Y$2:$Y$500,0)),"")</f>
        <v/>
      </c>
      <c r="R151" s="8" t="str">
        <f>IFERROR(INDEX(样本到样信息汇总统计!R$2:R$500,MATCH(150,样本到样信息汇总统计!$Y$2:$Y$500,0)),"")</f>
        <v/>
      </c>
      <c r="S151" s="8" t="str">
        <f>IFERROR(INDEX(样本到样信息汇总统计!S$2:S$500,MATCH(150,样本到样信息汇总统计!$Y$2:$Y$500,0)),"")</f>
        <v/>
      </c>
      <c r="T151" s="8" t="str">
        <f>IFERROR(INDEX(样本到样信息汇总统计!T$2:T$500,MATCH(150,样本到样信息汇总统计!$Y$2:$Y$500,0)),"")</f>
        <v/>
      </c>
      <c r="U151" s="8" t="str">
        <f>IFERROR(INDEX(样本到样信息汇总统计!U$2:U$500,MATCH(150,样本到样信息汇总统计!$Y$2:$Y$500,0)),"")</f>
        <v/>
      </c>
      <c r="V151" s="8" t="str">
        <f>IFERROR(INDEX(样本到样信息汇总统计!V$2:V$500,MATCH(150,样本到样信息汇总统计!$Y$2:$Y$500,0)),"")</f>
        <v/>
      </c>
      <c r="W151" s="8" t="str">
        <f>IFERROR(INDEX(样本到样信息汇总统计!W$2:W$500,MATCH(150,样本到样信息汇总统计!$Y$2:$Y$500,0)),"")</f>
        <v/>
      </c>
    </row>
    <row r="152" ht="14.5" spans="1:23">
      <c r="A152" s="4" t="str">
        <f>IFERROR(INDEX(样本到样信息汇总统计!A$2:A$500,MATCH(151,样本到样信息汇总统计!$Y$2:$Y$500,0)),"")</f>
        <v/>
      </c>
      <c r="B152" s="4" t="str">
        <f>IFERROR(INDEX(样本到样信息汇总统计!B$2:B$500,MATCH(151,样本到样信息汇总统计!$Y$2:$Y$500,0)),"")</f>
        <v/>
      </c>
      <c r="C152" s="4" t="str">
        <f>IFERROR(INDEX(样本到样信息汇总统计!C$2:C$500,MATCH(151,样本到样信息汇总统计!$Y$2:$Y$500,0)),"")</f>
        <v/>
      </c>
      <c r="D152" s="4" t="str">
        <f>IFERROR(INDEX(样本到样信息汇总统计!D$2:D$500,MATCH(151,样本到样信息汇总统计!$Y$2:$Y$500,0)),"")</f>
        <v/>
      </c>
      <c r="E152" s="4" t="str">
        <f>IFERROR(INDEX(样本到样信息汇总统计!E$2:E$500,MATCH(151,样本到样信息汇总统计!$Y$2:$Y$500,0)),"")</f>
        <v/>
      </c>
      <c r="F152" s="4" t="str">
        <f>IFERROR(INDEX(样本到样信息汇总统计!F$2:F$500,MATCH(151,样本到样信息汇总统计!$Y$2:$Y$500,0)),"")</f>
        <v/>
      </c>
      <c r="G152" s="4" t="str">
        <f>IFERROR(INDEX(样本到样信息汇总统计!G$2:G$500,MATCH(151,样本到样信息汇总统计!$Y$2:$Y$500,0)),"")</f>
        <v/>
      </c>
      <c r="H152" s="4" t="str">
        <f>IFERROR(INDEX(样本到样信息汇总统计!H$2:H$500,MATCH(151,样本到样信息汇总统计!$Y$2:$Y$500,0)),"")</f>
        <v/>
      </c>
      <c r="I152" s="4" t="str">
        <f>IFERROR(INDEX(样本到样信息汇总统计!I$2:I$500,MATCH(151,样本到样信息汇总统计!$Y$2:$Y$500,0)),"")</f>
        <v/>
      </c>
      <c r="J152" s="4" t="str">
        <f>IFERROR(INDEX(样本到样信息汇总统计!J$2:J$500,MATCH(151,样本到样信息汇总统计!$Y$2:$Y$500,0)),"")</f>
        <v/>
      </c>
      <c r="K152" s="4" t="str">
        <f>IFERROR(INDEX(样本到样信息汇总统计!K$2:K$500,MATCH(151,样本到样信息汇总统计!$Y$2:$Y$500,0)),"")</f>
        <v/>
      </c>
      <c r="L152" s="4" t="str">
        <f>IFERROR(INDEX(样本到样信息汇总统计!L$2:L$500,MATCH(151,样本到样信息汇总统计!$Y$2:$Y$500,0)),"")</f>
        <v/>
      </c>
      <c r="M152" s="4" t="str">
        <f>IFERROR(INDEX(样本到样信息汇总统计!M$2:M$500,MATCH(151,样本到样信息汇总统计!$Y$2:$Y$500,0)),"")</f>
        <v/>
      </c>
      <c r="N152" s="4" t="str">
        <f>IFERROR(INDEX(样本到样信息汇总统计!N$2:N$500,MATCH(151,样本到样信息汇总统计!$Y$2:$Y$500,0)),"")</f>
        <v/>
      </c>
      <c r="O152" s="4" t="str">
        <f>IFERROR(INDEX(样本到样信息汇总统计!O$2:O$500,MATCH(151,样本到样信息汇总统计!$Y$2:$Y$500,0)),"")</f>
        <v/>
      </c>
      <c r="P152" s="4" t="str">
        <f>IFERROR(INDEX(样本到样信息汇总统计!P$2:P$500,MATCH(151,样本到样信息汇总统计!$Y$2:$Y$500,0)),"")</f>
        <v/>
      </c>
      <c r="Q152" s="4" t="str">
        <f>IFERROR(INDEX(样本到样信息汇总统计!Q$2:Q$500,MATCH(151,样本到样信息汇总统计!$Y$2:$Y$500,0)),"")</f>
        <v/>
      </c>
      <c r="R152" s="4" t="str">
        <f>IFERROR(INDEX(样本到样信息汇总统计!R$2:R$500,MATCH(151,样本到样信息汇总统计!$Y$2:$Y$500,0)),"")</f>
        <v/>
      </c>
      <c r="S152" s="4" t="str">
        <f>IFERROR(INDEX(样本到样信息汇总统计!S$2:S$500,MATCH(151,样本到样信息汇总统计!$Y$2:$Y$500,0)),"")</f>
        <v/>
      </c>
      <c r="T152" s="4" t="str">
        <f>IFERROR(INDEX(样本到样信息汇总统计!T$2:T$500,MATCH(151,样本到样信息汇总统计!$Y$2:$Y$500,0)),"")</f>
        <v/>
      </c>
      <c r="U152" s="4" t="str">
        <f>IFERROR(INDEX(样本到样信息汇总统计!U$2:U$500,MATCH(151,样本到样信息汇总统计!$Y$2:$Y$500,0)),"")</f>
        <v/>
      </c>
      <c r="V152" s="4" t="str">
        <f>IFERROR(INDEX(样本到样信息汇总统计!V$2:V$500,MATCH(151,样本到样信息汇总统计!$Y$2:$Y$500,0)),"")</f>
        <v/>
      </c>
      <c r="W152" s="4" t="str">
        <f>IFERROR(INDEX(样本到样信息汇总统计!W$2:W$500,MATCH(151,样本到样信息汇总统计!$Y$2:$Y$500,0)),"")</f>
        <v/>
      </c>
    </row>
    <row r="153" ht="14.5" spans="1:23">
      <c r="A153" s="8" t="str">
        <f>IFERROR(INDEX(样本到样信息汇总统计!A$2:A$500,MATCH(152,样本到样信息汇总统计!$Y$2:$Y$500,0)),"")</f>
        <v/>
      </c>
      <c r="B153" s="8" t="str">
        <f>IFERROR(INDEX(样本到样信息汇总统计!B$2:B$500,MATCH(152,样本到样信息汇总统计!$Y$2:$Y$500,0)),"")</f>
        <v/>
      </c>
      <c r="C153" s="8" t="str">
        <f>IFERROR(INDEX(样本到样信息汇总统计!C$2:C$500,MATCH(152,样本到样信息汇总统计!$Y$2:$Y$500,0)),"")</f>
        <v/>
      </c>
      <c r="D153" s="8" t="str">
        <f>IFERROR(INDEX(样本到样信息汇总统计!D$2:D$500,MATCH(152,样本到样信息汇总统计!$Y$2:$Y$500,0)),"")</f>
        <v/>
      </c>
      <c r="E153" s="8" t="str">
        <f>IFERROR(INDEX(样本到样信息汇总统计!E$2:E$500,MATCH(152,样本到样信息汇总统计!$Y$2:$Y$500,0)),"")</f>
        <v/>
      </c>
      <c r="F153" s="8" t="str">
        <f>IFERROR(INDEX(样本到样信息汇总统计!F$2:F$500,MATCH(152,样本到样信息汇总统计!$Y$2:$Y$500,0)),"")</f>
        <v/>
      </c>
      <c r="G153" s="8" t="str">
        <f>IFERROR(INDEX(样本到样信息汇总统计!G$2:G$500,MATCH(152,样本到样信息汇总统计!$Y$2:$Y$500,0)),"")</f>
        <v/>
      </c>
      <c r="H153" s="8" t="str">
        <f>IFERROR(INDEX(样本到样信息汇总统计!H$2:H$500,MATCH(152,样本到样信息汇总统计!$Y$2:$Y$500,0)),"")</f>
        <v/>
      </c>
      <c r="I153" s="8" t="str">
        <f>IFERROR(INDEX(样本到样信息汇总统计!I$2:I$500,MATCH(152,样本到样信息汇总统计!$Y$2:$Y$500,0)),"")</f>
        <v/>
      </c>
      <c r="J153" s="8" t="str">
        <f>IFERROR(INDEX(样本到样信息汇总统计!J$2:J$500,MATCH(152,样本到样信息汇总统计!$Y$2:$Y$500,0)),"")</f>
        <v/>
      </c>
      <c r="K153" s="8" t="str">
        <f>IFERROR(INDEX(样本到样信息汇总统计!K$2:K$500,MATCH(152,样本到样信息汇总统计!$Y$2:$Y$500,0)),"")</f>
        <v/>
      </c>
      <c r="L153" s="8" t="str">
        <f>IFERROR(INDEX(样本到样信息汇总统计!L$2:L$500,MATCH(152,样本到样信息汇总统计!$Y$2:$Y$500,0)),"")</f>
        <v/>
      </c>
      <c r="M153" s="8" t="str">
        <f>IFERROR(INDEX(样本到样信息汇总统计!M$2:M$500,MATCH(152,样本到样信息汇总统计!$Y$2:$Y$500,0)),"")</f>
        <v/>
      </c>
      <c r="N153" s="8" t="str">
        <f>IFERROR(INDEX(样本到样信息汇总统计!N$2:N$500,MATCH(152,样本到样信息汇总统计!$Y$2:$Y$500,0)),"")</f>
        <v/>
      </c>
      <c r="O153" s="8" t="str">
        <f>IFERROR(INDEX(样本到样信息汇总统计!O$2:O$500,MATCH(152,样本到样信息汇总统计!$Y$2:$Y$500,0)),"")</f>
        <v/>
      </c>
      <c r="P153" s="8" t="str">
        <f>IFERROR(INDEX(样本到样信息汇总统计!P$2:P$500,MATCH(152,样本到样信息汇总统计!$Y$2:$Y$500,0)),"")</f>
        <v/>
      </c>
      <c r="Q153" s="8" t="str">
        <f>IFERROR(INDEX(样本到样信息汇总统计!Q$2:Q$500,MATCH(152,样本到样信息汇总统计!$Y$2:$Y$500,0)),"")</f>
        <v/>
      </c>
      <c r="R153" s="8" t="str">
        <f>IFERROR(INDEX(样本到样信息汇总统计!R$2:R$500,MATCH(152,样本到样信息汇总统计!$Y$2:$Y$500,0)),"")</f>
        <v/>
      </c>
      <c r="S153" s="8" t="str">
        <f>IFERROR(INDEX(样本到样信息汇总统计!S$2:S$500,MATCH(152,样本到样信息汇总统计!$Y$2:$Y$500,0)),"")</f>
        <v/>
      </c>
      <c r="T153" s="8" t="str">
        <f>IFERROR(INDEX(样本到样信息汇总统计!T$2:T$500,MATCH(152,样本到样信息汇总统计!$Y$2:$Y$500,0)),"")</f>
        <v/>
      </c>
      <c r="U153" s="8" t="str">
        <f>IFERROR(INDEX(样本到样信息汇总统计!U$2:U$500,MATCH(152,样本到样信息汇总统计!$Y$2:$Y$500,0)),"")</f>
        <v/>
      </c>
      <c r="V153" s="8" t="str">
        <f>IFERROR(INDEX(样本到样信息汇总统计!V$2:V$500,MATCH(152,样本到样信息汇总统计!$Y$2:$Y$500,0)),"")</f>
        <v/>
      </c>
      <c r="W153" s="8" t="str">
        <f>IFERROR(INDEX(样本到样信息汇总统计!W$2:W$500,MATCH(152,样本到样信息汇总统计!$Y$2:$Y$500,0)),"")</f>
        <v/>
      </c>
    </row>
    <row r="154" ht="14.5" spans="1:23">
      <c r="A154" s="4" t="str">
        <f>IFERROR(INDEX(样本到样信息汇总统计!A$2:A$500,MATCH(153,样本到样信息汇总统计!$Y$2:$Y$500,0)),"")</f>
        <v/>
      </c>
      <c r="B154" s="4" t="str">
        <f>IFERROR(INDEX(样本到样信息汇总统计!B$2:B$500,MATCH(153,样本到样信息汇总统计!$Y$2:$Y$500,0)),"")</f>
        <v/>
      </c>
      <c r="C154" s="4" t="str">
        <f>IFERROR(INDEX(样本到样信息汇总统计!C$2:C$500,MATCH(153,样本到样信息汇总统计!$Y$2:$Y$500,0)),"")</f>
        <v/>
      </c>
      <c r="D154" s="4" t="str">
        <f>IFERROR(INDEX(样本到样信息汇总统计!D$2:D$500,MATCH(153,样本到样信息汇总统计!$Y$2:$Y$500,0)),"")</f>
        <v/>
      </c>
      <c r="E154" s="4" t="str">
        <f>IFERROR(INDEX(样本到样信息汇总统计!E$2:E$500,MATCH(153,样本到样信息汇总统计!$Y$2:$Y$500,0)),"")</f>
        <v/>
      </c>
      <c r="F154" s="4" t="str">
        <f>IFERROR(INDEX(样本到样信息汇总统计!F$2:F$500,MATCH(153,样本到样信息汇总统计!$Y$2:$Y$500,0)),"")</f>
        <v/>
      </c>
      <c r="G154" s="4" t="str">
        <f>IFERROR(INDEX(样本到样信息汇总统计!G$2:G$500,MATCH(153,样本到样信息汇总统计!$Y$2:$Y$500,0)),"")</f>
        <v/>
      </c>
      <c r="H154" s="4" t="str">
        <f>IFERROR(INDEX(样本到样信息汇总统计!H$2:H$500,MATCH(153,样本到样信息汇总统计!$Y$2:$Y$500,0)),"")</f>
        <v/>
      </c>
      <c r="I154" s="4" t="str">
        <f>IFERROR(INDEX(样本到样信息汇总统计!I$2:I$500,MATCH(153,样本到样信息汇总统计!$Y$2:$Y$500,0)),"")</f>
        <v/>
      </c>
      <c r="J154" s="4" t="str">
        <f>IFERROR(INDEX(样本到样信息汇总统计!J$2:J$500,MATCH(153,样本到样信息汇总统计!$Y$2:$Y$500,0)),"")</f>
        <v/>
      </c>
      <c r="K154" s="4" t="str">
        <f>IFERROR(INDEX(样本到样信息汇总统计!K$2:K$500,MATCH(153,样本到样信息汇总统计!$Y$2:$Y$500,0)),"")</f>
        <v/>
      </c>
      <c r="L154" s="4" t="str">
        <f>IFERROR(INDEX(样本到样信息汇总统计!L$2:L$500,MATCH(153,样本到样信息汇总统计!$Y$2:$Y$500,0)),"")</f>
        <v/>
      </c>
      <c r="M154" s="4" t="str">
        <f>IFERROR(INDEX(样本到样信息汇总统计!M$2:M$500,MATCH(153,样本到样信息汇总统计!$Y$2:$Y$500,0)),"")</f>
        <v/>
      </c>
      <c r="N154" s="4" t="str">
        <f>IFERROR(INDEX(样本到样信息汇总统计!N$2:N$500,MATCH(153,样本到样信息汇总统计!$Y$2:$Y$500,0)),"")</f>
        <v/>
      </c>
      <c r="O154" s="4" t="str">
        <f>IFERROR(INDEX(样本到样信息汇总统计!O$2:O$500,MATCH(153,样本到样信息汇总统计!$Y$2:$Y$500,0)),"")</f>
        <v/>
      </c>
      <c r="P154" s="4" t="str">
        <f>IFERROR(INDEX(样本到样信息汇总统计!P$2:P$500,MATCH(153,样本到样信息汇总统计!$Y$2:$Y$500,0)),"")</f>
        <v/>
      </c>
      <c r="Q154" s="4" t="str">
        <f>IFERROR(INDEX(样本到样信息汇总统计!Q$2:Q$500,MATCH(153,样本到样信息汇总统计!$Y$2:$Y$500,0)),"")</f>
        <v/>
      </c>
      <c r="R154" s="4" t="str">
        <f>IFERROR(INDEX(样本到样信息汇总统计!R$2:R$500,MATCH(153,样本到样信息汇总统计!$Y$2:$Y$500,0)),"")</f>
        <v/>
      </c>
      <c r="S154" s="4" t="str">
        <f>IFERROR(INDEX(样本到样信息汇总统计!S$2:S$500,MATCH(153,样本到样信息汇总统计!$Y$2:$Y$500,0)),"")</f>
        <v/>
      </c>
      <c r="T154" s="4" t="str">
        <f>IFERROR(INDEX(样本到样信息汇总统计!T$2:T$500,MATCH(153,样本到样信息汇总统计!$Y$2:$Y$500,0)),"")</f>
        <v/>
      </c>
      <c r="U154" s="4" t="str">
        <f>IFERROR(INDEX(样本到样信息汇总统计!U$2:U$500,MATCH(153,样本到样信息汇总统计!$Y$2:$Y$500,0)),"")</f>
        <v/>
      </c>
      <c r="V154" s="4" t="str">
        <f>IFERROR(INDEX(样本到样信息汇总统计!V$2:V$500,MATCH(153,样本到样信息汇总统计!$Y$2:$Y$500,0)),"")</f>
        <v/>
      </c>
      <c r="W154" s="4" t="str">
        <f>IFERROR(INDEX(样本到样信息汇总统计!W$2:W$500,MATCH(153,样本到样信息汇总统计!$Y$2:$Y$500,0)),"")</f>
        <v/>
      </c>
    </row>
    <row r="155" ht="14.5" spans="1:23">
      <c r="A155" s="8" t="str">
        <f>IFERROR(INDEX(样本到样信息汇总统计!A$2:A$500,MATCH(154,样本到样信息汇总统计!$Y$2:$Y$500,0)),"")</f>
        <v/>
      </c>
      <c r="B155" s="8" t="str">
        <f>IFERROR(INDEX(样本到样信息汇总统计!B$2:B$500,MATCH(154,样本到样信息汇总统计!$Y$2:$Y$500,0)),"")</f>
        <v/>
      </c>
      <c r="C155" s="8" t="str">
        <f>IFERROR(INDEX(样本到样信息汇总统计!C$2:C$500,MATCH(154,样本到样信息汇总统计!$Y$2:$Y$500,0)),"")</f>
        <v/>
      </c>
      <c r="D155" s="8" t="str">
        <f>IFERROR(INDEX(样本到样信息汇总统计!D$2:D$500,MATCH(154,样本到样信息汇总统计!$Y$2:$Y$500,0)),"")</f>
        <v/>
      </c>
      <c r="E155" s="8" t="str">
        <f>IFERROR(INDEX(样本到样信息汇总统计!E$2:E$500,MATCH(154,样本到样信息汇总统计!$Y$2:$Y$500,0)),"")</f>
        <v/>
      </c>
      <c r="F155" s="8" t="str">
        <f>IFERROR(INDEX(样本到样信息汇总统计!F$2:F$500,MATCH(154,样本到样信息汇总统计!$Y$2:$Y$500,0)),"")</f>
        <v/>
      </c>
      <c r="G155" s="8" t="str">
        <f>IFERROR(INDEX(样本到样信息汇总统计!G$2:G$500,MATCH(154,样本到样信息汇总统计!$Y$2:$Y$500,0)),"")</f>
        <v/>
      </c>
      <c r="H155" s="8" t="str">
        <f>IFERROR(INDEX(样本到样信息汇总统计!H$2:H$500,MATCH(154,样本到样信息汇总统计!$Y$2:$Y$500,0)),"")</f>
        <v/>
      </c>
      <c r="I155" s="8" t="str">
        <f>IFERROR(INDEX(样本到样信息汇总统计!I$2:I$500,MATCH(154,样本到样信息汇总统计!$Y$2:$Y$500,0)),"")</f>
        <v/>
      </c>
      <c r="J155" s="8" t="str">
        <f>IFERROR(INDEX(样本到样信息汇总统计!J$2:J$500,MATCH(154,样本到样信息汇总统计!$Y$2:$Y$500,0)),"")</f>
        <v/>
      </c>
      <c r="K155" s="8" t="str">
        <f>IFERROR(INDEX(样本到样信息汇总统计!K$2:K$500,MATCH(154,样本到样信息汇总统计!$Y$2:$Y$500,0)),"")</f>
        <v/>
      </c>
      <c r="L155" s="8" t="str">
        <f>IFERROR(INDEX(样本到样信息汇总统计!L$2:L$500,MATCH(154,样本到样信息汇总统计!$Y$2:$Y$500,0)),"")</f>
        <v/>
      </c>
      <c r="M155" s="8" t="str">
        <f>IFERROR(INDEX(样本到样信息汇总统计!M$2:M$500,MATCH(154,样本到样信息汇总统计!$Y$2:$Y$500,0)),"")</f>
        <v/>
      </c>
      <c r="N155" s="8" t="str">
        <f>IFERROR(INDEX(样本到样信息汇总统计!N$2:N$500,MATCH(154,样本到样信息汇总统计!$Y$2:$Y$500,0)),"")</f>
        <v/>
      </c>
      <c r="O155" s="8" t="str">
        <f>IFERROR(INDEX(样本到样信息汇总统计!O$2:O$500,MATCH(154,样本到样信息汇总统计!$Y$2:$Y$500,0)),"")</f>
        <v/>
      </c>
      <c r="P155" s="8" t="str">
        <f>IFERROR(INDEX(样本到样信息汇总统计!P$2:P$500,MATCH(154,样本到样信息汇总统计!$Y$2:$Y$500,0)),"")</f>
        <v/>
      </c>
      <c r="Q155" s="8" t="str">
        <f>IFERROR(INDEX(样本到样信息汇总统计!Q$2:Q$500,MATCH(154,样本到样信息汇总统计!$Y$2:$Y$500,0)),"")</f>
        <v/>
      </c>
      <c r="R155" s="8" t="str">
        <f>IFERROR(INDEX(样本到样信息汇总统计!R$2:R$500,MATCH(154,样本到样信息汇总统计!$Y$2:$Y$500,0)),"")</f>
        <v/>
      </c>
      <c r="S155" s="8" t="str">
        <f>IFERROR(INDEX(样本到样信息汇总统计!S$2:S$500,MATCH(154,样本到样信息汇总统计!$Y$2:$Y$500,0)),"")</f>
        <v/>
      </c>
      <c r="T155" s="8" t="str">
        <f>IFERROR(INDEX(样本到样信息汇总统计!T$2:T$500,MATCH(154,样本到样信息汇总统计!$Y$2:$Y$500,0)),"")</f>
        <v/>
      </c>
      <c r="U155" s="8" t="str">
        <f>IFERROR(INDEX(样本到样信息汇总统计!U$2:U$500,MATCH(154,样本到样信息汇总统计!$Y$2:$Y$500,0)),"")</f>
        <v/>
      </c>
      <c r="V155" s="8" t="str">
        <f>IFERROR(INDEX(样本到样信息汇总统计!V$2:V$500,MATCH(154,样本到样信息汇总统计!$Y$2:$Y$500,0)),"")</f>
        <v/>
      </c>
      <c r="W155" s="8" t="str">
        <f>IFERROR(INDEX(样本到样信息汇总统计!W$2:W$500,MATCH(154,样本到样信息汇总统计!$Y$2:$Y$500,0)),"")</f>
        <v/>
      </c>
    </row>
    <row r="156" ht="14.5" spans="1:23">
      <c r="A156" s="4" t="str">
        <f>IFERROR(INDEX(样本到样信息汇总统计!A$2:A$500,MATCH(155,样本到样信息汇总统计!$Y$2:$Y$500,0)),"")</f>
        <v/>
      </c>
      <c r="B156" s="4" t="str">
        <f>IFERROR(INDEX(样本到样信息汇总统计!B$2:B$500,MATCH(155,样本到样信息汇总统计!$Y$2:$Y$500,0)),"")</f>
        <v/>
      </c>
      <c r="C156" s="4" t="str">
        <f>IFERROR(INDEX(样本到样信息汇总统计!C$2:C$500,MATCH(155,样本到样信息汇总统计!$Y$2:$Y$500,0)),"")</f>
        <v/>
      </c>
      <c r="D156" s="4" t="str">
        <f>IFERROR(INDEX(样本到样信息汇总统计!D$2:D$500,MATCH(155,样本到样信息汇总统计!$Y$2:$Y$500,0)),"")</f>
        <v/>
      </c>
      <c r="E156" s="4" t="str">
        <f>IFERROR(INDEX(样本到样信息汇总统计!E$2:E$500,MATCH(155,样本到样信息汇总统计!$Y$2:$Y$500,0)),"")</f>
        <v/>
      </c>
      <c r="F156" s="4" t="str">
        <f>IFERROR(INDEX(样本到样信息汇总统计!F$2:F$500,MATCH(155,样本到样信息汇总统计!$Y$2:$Y$500,0)),"")</f>
        <v/>
      </c>
      <c r="G156" s="4" t="str">
        <f>IFERROR(INDEX(样本到样信息汇总统计!G$2:G$500,MATCH(155,样本到样信息汇总统计!$Y$2:$Y$500,0)),"")</f>
        <v/>
      </c>
      <c r="H156" s="4" t="str">
        <f>IFERROR(INDEX(样本到样信息汇总统计!H$2:H$500,MATCH(155,样本到样信息汇总统计!$Y$2:$Y$500,0)),"")</f>
        <v/>
      </c>
      <c r="I156" s="4" t="str">
        <f>IFERROR(INDEX(样本到样信息汇总统计!I$2:I$500,MATCH(155,样本到样信息汇总统计!$Y$2:$Y$500,0)),"")</f>
        <v/>
      </c>
      <c r="J156" s="4" t="str">
        <f>IFERROR(INDEX(样本到样信息汇总统计!J$2:J$500,MATCH(155,样本到样信息汇总统计!$Y$2:$Y$500,0)),"")</f>
        <v/>
      </c>
      <c r="K156" s="4" t="str">
        <f>IFERROR(INDEX(样本到样信息汇总统计!K$2:K$500,MATCH(155,样本到样信息汇总统计!$Y$2:$Y$500,0)),"")</f>
        <v/>
      </c>
      <c r="L156" s="4" t="str">
        <f>IFERROR(INDEX(样本到样信息汇总统计!L$2:L$500,MATCH(155,样本到样信息汇总统计!$Y$2:$Y$500,0)),"")</f>
        <v/>
      </c>
      <c r="M156" s="4" t="str">
        <f>IFERROR(INDEX(样本到样信息汇总统计!M$2:M$500,MATCH(155,样本到样信息汇总统计!$Y$2:$Y$500,0)),"")</f>
        <v/>
      </c>
      <c r="N156" s="4" t="str">
        <f>IFERROR(INDEX(样本到样信息汇总统计!N$2:N$500,MATCH(155,样本到样信息汇总统计!$Y$2:$Y$500,0)),"")</f>
        <v/>
      </c>
      <c r="O156" s="4" t="str">
        <f>IFERROR(INDEX(样本到样信息汇总统计!O$2:O$500,MATCH(155,样本到样信息汇总统计!$Y$2:$Y$500,0)),"")</f>
        <v/>
      </c>
      <c r="P156" s="4" t="str">
        <f>IFERROR(INDEX(样本到样信息汇总统计!P$2:P$500,MATCH(155,样本到样信息汇总统计!$Y$2:$Y$500,0)),"")</f>
        <v/>
      </c>
      <c r="Q156" s="4" t="str">
        <f>IFERROR(INDEX(样本到样信息汇总统计!Q$2:Q$500,MATCH(155,样本到样信息汇总统计!$Y$2:$Y$500,0)),"")</f>
        <v/>
      </c>
      <c r="R156" s="4" t="str">
        <f>IFERROR(INDEX(样本到样信息汇总统计!R$2:R$500,MATCH(155,样本到样信息汇总统计!$Y$2:$Y$500,0)),"")</f>
        <v/>
      </c>
      <c r="S156" s="4" t="str">
        <f>IFERROR(INDEX(样本到样信息汇总统计!S$2:S$500,MATCH(155,样本到样信息汇总统计!$Y$2:$Y$500,0)),"")</f>
        <v/>
      </c>
      <c r="T156" s="4" t="str">
        <f>IFERROR(INDEX(样本到样信息汇总统计!T$2:T$500,MATCH(155,样本到样信息汇总统计!$Y$2:$Y$500,0)),"")</f>
        <v/>
      </c>
      <c r="U156" s="4" t="str">
        <f>IFERROR(INDEX(样本到样信息汇总统计!U$2:U$500,MATCH(155,样本到样信息汇总统计!$Y$2:$Y$500,0)),"")</f>
        <v/>
      </c>
      <c r="V156" s="4" t="str">
        <f>IFERROR(INDEX(样本到样信息汇总统计!V$2:V$500,MATCH(155,样本到样信息汇总统计!$Y$2:$Y$500,0)),"")</f>
        <v/>
      </c>
      <c r="W156" s="4" t="str">
        <f>IFERROR(INDEX(样本到样信息汇总统计!W$2:W$500,MATCH(155,样本到样信息汇总统计!$Y$2:$Y$500,0)),"")</f>
        <v/>
      </c>
    </row>
    <row r="157" ht="14.5" spans="1:23">
      <c r="A157" s="8" t="str">
        <f>IFERROR(INDEX(样本到样信息汇总统计!A$2:A$500,MATCH(156,样本到样信息汇总统计!$Y$2:$Y$500,0)),"")</f>
        <v/>
      </c>
      <c r="B157" s="8" t="str">
        <f>IFERROR(INDEX(样本到样信息汇总统计!B$2:B$500,MATCH(156,样本到样信息汇总统计!$Y$2:$Y$500,0)),"")</f>
        <v/>
      </c>
      <c r="C157" s="8" t="str">
        <f>IFERROR(INDEX(样本到样信息汇总统计!C$2:C$500,MATCH(156,样本到样信息汇总统计!$Y$2:$Y$500,0)),"")</f>
        <v/>
      </c>
      <c r="D157" s="8" t="str">
        <f>IFERROR(INDEX(样本到样信息汇总统计!D$2:D$500,MATCH(156,样本到样信息汇总统计!$Y$2:$Y$500,0)),"")</f>
        <v/>
      </c>
      <c r="E157" s="8" t="str">
        <f>IFERROR(INDEX(样本到样信息汇总统计!E$2:E$500,MATCH(156,样本到样信息汇总统计!$Y$2:$Y$500,0)),"")</f>
        <v/>
      </c>
      <c r="F157" s="8" t="str">
        <f>IFERROR(INDEX(样本到样信息汇总统计!F$2:F$500,MATCH(156,样本到样信息汇总统计!$Y$2:$Y$500,0)),"")</f>
        <v/>
      </c>
      <c r="G157" s="8" t="str">
        <f>IFERROR(INDEX(样本到样信息汇总统计!G$2:G$500,MATCH(156,样本到样信息汇总统计!$Y$2:$Y$500,0)),"")</f>
        <v/>
      </c>
      <c r="H157" s="8" t="str">
        <f>IFERROR(INDEX(样本到样信息汇总统计!H$2:H$500,MATCH(156,样本到样信息汇总统计!$Y$2:$Y$500,0)),"")</f>
        <v/>
      </c>
      <c r="I157" s="8" t="str">
        <f>IFERROR(INDEX(样本到样信息汇总统计!I$2:I$500,MATCH(156,样本到样信息汇总统计!$Y$2:$Y$500,0)),"")</f>
        <v/>
      </c>
      <c r="J157" s="8" t="str">
        <f>IFERROR(INDEX(样本到样信息汇总统计!J$2:J$500,MATCH(156,样本到样信息汇总统计!$Y$2:$Y$500,0)),"")</f>
        <v/>
      </c>
      <c r="K157" s="8" t="str">
        <f>IFERROR(INDEX(样本到样信息汇总统计!K$2:K$500,MATCH(156,样本到样信息汇总统计!$Y$2:$Y$500,0)),"")</f>
        <v/>
      </c>
      <c r="L157" s="8" t="str">
        <f>IFERROR(INDEX(样本到样信息汇总统计!L$2:L$500,MATCH(156,样本到样信息汇总统计!$Y$2:$Y$500,0)),"")</f>
        <v/>
      </c>
      <c r="M157" s="8" t="str">
        <f>IFERROR(INDEX(样本到样信息汇总统计!M$2:M$500,MATCH(156,样本到样信息汇总统计!$Y$2:$Y$500,0)),"")</f>
        <v/>
      </c>
      <c r="N157" s="8" t="str">
        <f>IFERROR(INDEX(样本到样信息汇总统计!N$2:N$500,MATCH(156,样本到样信息汇总统计!$Y$2:$Y$500,0)),"")</f>
        <v/>
      </c>
      <c r="O157" s="8" t="str">
        <f>IFERROR(INDEX(样本到样信息汇总统计!O$2:O$500,MATCH(156,样本到样信息汇总统计!$Y$2:$Y$500,0)),"")</f>
        <v/>
      </c>
      <c r="P157" s="8" t="str">
        <f>IFERROR(INDEX(样本到样信息汇总统计!P$2:P$500,MATCH(156,样本到样信息汇总统计!$Y$2:$Y$500,0)),"")</f>
        <v/>
      </c>
      <c r="Q157" s="8" t="str">
        <f>IFERROR(INDEX(样本到样信息汇总统计!Q$2:Q$500,MATCH(156,样本到样信息汇总统计!$Y$2:$Y$500,0)),"")</f>
        <v/>
      </c>
      <c r="R157" s="8" t="str">
        <f>IFERROR(INDEX(样本到样信息汇总统计!R$2:R$500,MATCH(156,样本到样信息汇总统计!$Y$2:$Y$500,0)),"")</f>
        <v/>
      </c>
      <c r="S157" s="8" t="str">
        <f>IFERROR(INDEX(样本到样信息汇总统计!S$2:S$500,MATCH(156,样本到样信息汇总统计!$Y$2:$Y$500,0)),"")</f>
        <v/>
      </c>
      <c r="T157" s="8" t="str">
        <f>IFERROR(INDEX(样本到样信息汇总统计!T$2:T$500,MATCH(156,样本到样信息汇总统计!$Y$2:$Y$500,0)),"")</f>
        <v/>
      </c>
      <c r="U157" s="8" t="str">
        <f>IFERROR(INDEX(样本到样信息汇总统计!U$2:U$500,MATCH(156,样本到样信息汇总统计!$Y$2:$Y$500,0)),"")</f>
        <v/>
      </c>
      <c r="V157" s="8" t="str">
        <f>IFERROR(INDEX(样本到样信息汇总统计!V$2:V$500,MATCH(156,样本到样信息汇总统计!$Y$2:$Y$500,0)),"")</f>
        <v/>
      </c>
      <c r="W157" s="8" t="str">
        <f>IFERROR(INDEX(样本到样信息汇总统计!W$2:W$500,MATCH(156,样本到样信息汇总统计!$Y$2:$Y$500,0)),"")</f>
        <v/>
      </c>
    </row>
    <row r="158" ht="14.5" spans="1:23">
      <c r="A158" s="4" t="str">
        <f>IFERROR(INDEX(样本到样信息汇总统计!A$2:A$500,MATCH(157,样本到样信息汇总统计!$Y$2:$Y$500,0)),"")</f>
        <v/>
      </c>
      <c r="B158" s="4" t="str">
        <f>IFERROR(INDEX(样本到样信息汇总统计!B$2:B$500,MATCH(157,样本到样信息汇总统计!$Y$2:$Y$500,0)),"")</f>
        <v/>
      </c>
      <c r="C158" s="4" t="str">
        <f>IFERROR(INDEX(样本到样信息汇总统计!C$2:C$500,MATCH(157,样本到样信息汇总统计!$Y$2:$Y$500,0)),"")</f>
        <v/>
      </c>
      <c r="D158" s="4" t="str">
        <f>IFERROR(INDEX(样本到样信息汇总统计!D$2:D$500,MATCH(157,样本到样信息汇总统计!$Y$2:$Y$500,0)),"")</f>
        <v/>
      </c>
      <c r="E158" s="4" t="str">
        <f>IFERROR(INDEX(样本到样信息汇总统计!E$2:E$500,MATCH(157,样本到样信息汇总统计!$Y$2:$Y$500,0)),"")</f>
        <v/>
      </c>
      <c r="F158" s="4" t="str">
        <f>IFERROR(INDEX(样本到样信息汇总统计!F$2:F$500,MATCH(157,样本到样信息汇总统计!$Y$2:$Y$500,0)),"")</f>
        <v/>
      </c>
      <c r="G158" s="4" t="str">
        <f>IFERROR(INDEX(样本到样信息汇总统计!G$2:G$500,MATCH(157,样本到样信息汇总统计!$Y$2:$Y$500,0)),"")</f>
        <v/>
      </c>
      <c r="H158" s="4" t="str">
        <f>IFERROR(INDEX(样本到样信息汇总统计!H$2:H$500,MATCH(157,样本到样信息汇总统计!$Y$2:$Y$500,0)),"")</f>
        <v/>
      </c>
      <c r="I158" s="4" t="str">
        <f>IFERROR(INDEX(样本到样信息汇总统计!I$2:I$500,MATCH(157,样本到样信息汇总统计!$Y$2:$Y$500,0)),"")</f>
        <v/>
      </c>
      <c r="J158" s="4" t="str">
        <f>IFERROR(INDEX(样本到样信息汇总统计!J$2:J$500,MATCH(157,样本到样信息汇总统计!$Y$2:$Y$500,0)),"")</f>
        <v/>
      </c>
      <c r="K158" s="4" t="str">
        <f>IFERROR(INDEX(样本到样信息汇总统计!K$2:K$500,MATCH(157,样本到样信息汇总统计!$Y$2:$Y$500,0)),"")</f>
        <v/>
      </c>
      <c r="L158" s="4" t="str">
        <f>IFERROR(INDEX(样本到样信息汇总统计!L$2:L$500,MATCH(157,样本到样信息汇总统计!$Y$2:$Y$500,0)),"")</f>
        <v/>
      </c>
      <c r="M158" s="4" t="str">
        <f>IFERROR(INDEX(样本到样信息汇总统计!M$2:M$500,MATCH(157,样本到样信息汇总统计!$Y$2:$Y$500,0)),"")</f>
        <v/>
      </c>
      <c r="N158" s="4" t="str">
        <f>IFERROR(INDEX(样本到样信息汇总统计!N$2:N$500,MATCH(157,样本到样信息汇总统计!$Y$2:$Y$500,0)),"")</f>
        <v/>
      </c>
      <c r="O158" s="4" t="str">
        <f>IFERROR(INDEX(样本到样信息汇总统计!O$2:O$500,MATCH(157,样本到样信息汇总统计!$Y$2:$Y$500,0)),"")</f>
        <v/>
      </c>
      <c r="P158" s="4" t="str">
        <f>IFERROR(INDEX(样本到样信息汇总统计!P$2:P$500,MATCH(157,样本到样信息汇总统计!$Y$2:$Y$500,0)),"")</f>
        <v/>
      </c>
      <c r="Q158" s="4" t="str">
        <f>IFERROR(INDEX(样本到样信息汇总统计!Q$2:Q$500,MATCH(157,样本到样信息汇总统计!$Y$2:$Y$500,0)),"")</f>
        <v/>
      </c>
      <c r="R158" s="4" t="str">
        <f>IFERROR(INDEX(样本到样信息汇总统计!R$2:R$500,MATCH(157,样本到样信息汇总统计!$Y$2:$Y$500,0)),"")</f>
        <v/>
      </c>
      <c r="S158" s="4" t="str">
        <f>IFERROR(INDEX(样本到样信息汇总统计!S$2:S$500,MATCH(157,样本到样信息汇总统计!$Y$2:$Y$500,0)),"")</f>
        <v/>
      </c>
      <c r="T158" s="4" t="str">
        <f>IFERROR(INDEX(样本到样信息汇总统计!T$2:T$500,MATCH(157,样本到样信息汇总统计!$Y$2:$Y$500,0)),"")</f>
        <v/>
      </c>
      <c r="U158" s="4" t="str">
        <f>IFERROR(INDEX(样本到样信息汇总统计!U$2:U$500,MATCH(157,样本到样信息汇总统计!$Y$2:$Y$500,0)),"")</f>
        <v/>
      </c>
      <c r="V158" s="4" t="str">
        <f>IFERROR(INDEX(样本到样信息汇总统计!V$2:V$500,MATCH(157,样本到样信息汇总统计!$Y$2:$Y$500,0)),"")</f>
        <v/>
      </c>
      <c r="W158" s="4" t="str">
        <f>IFERROR(INDEX(样本到样信息汇总统计!W$2:W$500,MATCH(157,样本到样信息汇总统计!$Y$2:$Y$500,0)),"")</f>
        <v/>
      </c>
    </row>
    <row r="159" ht="14.5" spans="1:23">
      <c r="A159" s="8" t="str">
        <f>IFERROR(INDEX(样本到样信息汇总统计!A$2:A$500,MATCH(158,样本到样信息汇总统计!$Y$2:$Y$500,0)),"")</f>
        <v/>
      </c>
      <c r="B159" s="8" t="str">
        <f>IFERROR(INDEX(样本到样信息汇总统计!B$2:B$500,MATCH(158,样本到样信息汇总统计!$Y$2:$Y$500,0)),"")</f>
        <v/>
      </c>
      <c r="C159" s="8" t="str">
        <f>IFERROR(INDEX(样本到样信息汇总统计!C$2:C$500,MATCH(158,样本到样信息汇总统计!$Y$2:$Y$500,0)),"")</f>
        <v/>
      </c>
      <c r="D159" s="8" t="str">
        <f>IFERROR(INDEX(样本到样信息汇总统计!D$2:D$500,MATCH(158,样本到样信息汇总统计!$Y$2:$Y$500,0)),"")</f>
        <v/>
      </c>
      <c r="E159" s="8" t="str">
        <f>IFERROR(INDEX(样本到样信息汇总统计!E$2:E$500,MATCH(158,样本到样信息汇总统计!$Y$2:$Y$500,0)),"")</f>
        <v/>
      </c>
      <c r="F159" s="8" t="str">
        <f>IFERROR(INDEX(样本到样信息汇总统计!F$2:F$500,MATCH(158,样本到样信息汇总统计!$Y$2:$Y$500,0)),"")</f>
        <v/>
      </c>
      <c r="G159" s="8" t="str">
        <f>IFERROR(INDEX(样本到样信息汇总统计!G$2:G$500,MATCH(158,样本到样信息汇总统计!$Y$2:$Y$500,0)),"")</f>
        <v/>
      </c>
      <c r="H159" s="8" t="str">
        <f>IFERROR(INDEX(样本到样信息汇总统计!H$2:H$500,MATCH(158,样本到样信息汇总统计!$Y$2:$Y$500,0)),"")</f>
        <v/>
      </c>
      <c r="I159" s="8" t="str">
        <f>IFERROR(INDEX(样本到样信息汇总统计!I$2:I$500,MATCH(158,样本到样信息汇总统计!$Y$2:$Y$500,0)),"")</f>
        <v/>
      </c>
      <c r="J159" s="8" t="str">
        <f>IFERROR(INDEX(样本到样信息汇总统计!J$2:J$500,MATCH(158,样本到样信息汇总统计!$Y$2:$Y$500,0)),"")</f>
        <v/>
      </c>
      <c r="K159" s="8" t="str">
        <f>IFERROR(INDEX(样本到样信息汇总统计!K$2:K$500,MATCH(158,样本到样信息汇总统计!$Y$2:$Y$500,0)),"")</f>
        <v/>
      </c>
      <c r="L159" s="8" t="str">
        <f>IFERROR(INDEX(样本到样信息汇总统计!L$2:L$500,MATCH(158,样本到样信息汇总统计!$Y$2:$Y$500,0)),"")</f>
        <v/>
      </c>
      <c r="M159" s="8" t="str">
        <f>IFERROR(INDEX(样本到样信息汇总统计!M$2:M$500,MATCH(158,样本到样信息汇总统计!$Y$2:$Y$500,0)),"")</f>
        <v/>
      </c>
      <c r="N159" s="8" t="str">
        <f>IFERROR(INDEX(样本到样信息汇总统计!N$2:N$500,MATCH(158,样本到样信息汇总统计!$Y$2:$Y$500,0)),"")</f>
        <v/>
      </c>
      <c r="O159" s="8" t="str">
        <f>IFERROR(INDEX(样本到样信息汇总统计!O$2:O$500,MATCH(158,样本到样信息汇总统计!$Y$2:$Y$500,0)),"")</f>
        <v/>
      </c>
      <c r="P159" s="8" t="str">
        <f>IFERROR(INDEX(样本到样信息汇总统计!P$2:P$500,MATCH(158,样本到样信息汇总统计!$Y$2:$Y$500,0)),"")</f>
        <v/>
      </c>
      <c r="Q159" s="8" t="str">
        <f>IFERROR(INDEX(样本到样信息汇总统计!Q$2:Q$500,MATCH(158,样本到样信息汇总统计!$Y$2:$Y$500,0)),"")</f>
        <v/>
      </c>
      <c r="R159" s="8" t="str">
        <f>IFERROR(INDEX(样本到样信息汇总统计!R$2:R$500,MATCH(158,样本到样信息汇总统计!$Y$2:$Y$500,0)),"")</f>
        <v/>
      </c>
      <c r="S159" s="8" t="str">
        <f>IFERROR(INDEX(样本到样信息汇总统计!S$2:S$500,MATCH(158,样本到样信息汇总统计!$Y$2:$Y$500,0)),"")</f>
        <v/>
      </c>
      <c r="T159" s="8" t="str">
        <f>IFERROR(INDEX(样本到样信息汇总统计!T$2:T$500,MATCH(158,样本到样信息汇总统计!$Y$2:$Y$500,0)),"")</f>
        <v/>
      </c>
      <c r="U159" s="8" t="str">
        <f>IFERROR(INDEX(样本到样信息汇总统计!U$2:U$500,MATCH(158,样本到样信息汇总统计!$Y$2:$Y$500,0)),"")</f>
        <v/>
      </c>
      <c r="V159" s="8" t="str">
        <f>IFERROR(INDEX(样本到样信息汇总统计!V$2:V$500,MATCH(158,样本到样信息汇总统计!$Y$2:$Y$500,0)),"")</f>
        <v/>
      </c>
      <c r="W159" s="8" t="str">
        <f>IFERROR(INDEX(样本到样信息汇总统计!W$2:W$500,MATCH(158,样本到样信息汇总统计!$Y$2:$Y$500,0)),"")</f>
        <v/>
      </c>
    </row>
    <row r="160" ht="14.5" spans="1:23">
      <c r="A160" s="4" t="str">
        <f>IFERROR(INDEX(样本到样信息汇总统计!A$2:A$500,MATCH(159,样本到样信息汇总统计!$Y$2:$Y$500,0)),"")</f>
        <v/>
      </c>
      <c r="B160" s="4" t="str">
        <f>IFERROR(INDEX(样本到样信息汇总统计!B$2:B$500,MATCH(159,样本到样信息汇总统计!$Y$2:$Y$500,0)),"")</f>
        <v/>
      </c>
      <c r="C160" s="4" t="str">
        <f>IFERROR(INDEX(样本到样信息汇总统计!C$2:C$500,MATCH(159,样本到样信息汇总统计!$Y$2:$Y$500,0)),"")</f>
        <v/>
      </c>
      <c r="D160" s="4" t="str">
        <f>IFERROR(INDEX(样本到样信息汇总统计!D$2:D$500,MATCH(159,样本到样信息汇总统计!$Y$2:$Y$500,0)),"")</f>
        <v/>
      </c>
      <c r="E160" s="4" t="str">
        <f>IFERROR(INDEX(样本到样信息汇总统计!E$2:E$500,MATCH(159,样本到样信息汇总统计!$Y$2:$Y$500,0)),"")</f>
        <v/>
      </c>
      <c r="F160" s="4" t="str">
        <f>IFERROR(INDEX(样本到样信息汇总统计!F$2:F$500,MATCH(159,样本到样信息汇总统计!$Y$2:$Y$500,0)),"")</f>
        <v/>
      </c>
      <c r="G160" s="4" t="str">
        <f>IFERROR(INDEX(样本到样信息汇总统计!G$2:G$500,MATCH(159,样本到样信息汇总统计!$Y$2:$Y$500,0)),"")</f>
        <v/>
      </c>
      <c r="H160" s="4" t="str">
        <f>IFERROR(INDEX(样本到样信息汇总统计!H$2:H$500,MATCH(159,样本到样信息汇总统计!$Y$2:$Y$500,0)),"")</f>
        <v/>
      </c>
      <c r="I160" s="4" t="str">
        <f>IFERROR(INDEX(样本到样信息汇总统计!I$2:I$500,MATCH(159,样本到样信息汇总统计!$Y$2:$Y$500,0)),"")</f>
        <v/>
      </c>
      <c r="J160" s="4" t="str">
        <f>IFERROR(INDEX(样本到样信息汇总统计!J$2:J$500,MATCH(159,样本到样信息汇总统计!$Y$2:$Y$500,0)),"")</f>
        <v/>
      </c>
      <c r="K160" s="4" t="str">
        <f>IFERROR(INDEX(样本到样信息汇总统计!K$2:K$500,MATCH(159,样本到样信息汇总统计!$Y$2:$Y$500,0)),"")</f>
        <v/>
      </c>
      <c r="L160" s="4" t="str">
        <f>IFERROR(INDEX(样本到样信息汇总统计!L$2:L$500,MATCH(159,样本到样信息汇总统计!$Y$2:$Y$500,0)),"")</f>
        <v/>
      </c>
      <c r="M160" s="4" t="str">
        <f>IFERROR(INDEX(样本到样信息汇总统计!M$2:M$500,MATCH(159,样本到样信息汇总统计!$Y$2:$Y$500,0)),"")</f>
        <v/>
      </c>
      <c r="N160" s="4" t="str">
        <f>IFERROR(INDEX(样本到样信息汇总统计!N$2:N$500,MATCH(159,样本到样信息汇总统计!$Y$2:$Y$500,0)),"")</f>
        <v/>
      </c>
      <c r="O160" s="4" t="str">
        <f>IFERROR(INDEX(样本到样信息汇总统计!O$2:O$500,MATCH(159,样本到样信息汇总统计!$Y$2:$Y$500,0)),"")</f>
        <v/>
      </c>
      <c r="P160" s="4" t="str">
        <f>IFERROR(INDEX(样本到样信息汇总统计!P$2:P$500,MATCH(159,样本到样信息汇总统计!$Y$2:$Y$500,0)),"")</f>
        <v/>
      </c>
      <c r="Q160" s="4" t="str">
        <f>IFERROR(INDEX(样本到样信息汇总统计!Q$2:Q$500,MATCH(159,样本到样信息汇总统计!$Y$2:$Y$500,0)),"")</f>
        <v/>
      </c>
      <c r="R160" s="4" t="str">
        <f>IFERROR(INDEX(样本到样信息汇总统计!R$2:R$500,MATCH(159,样本到样信息汇总统计!$Y$2:$Y$500,0)),"")</f>
        <v/>
      </c>
      <c r="S160" s="4" t="str">
        <f>IFERROR(INDEX(样本到样信息汇总统计!S$2:S$500,MATCH(159,样本到样信息汇总统计!$Y$2:$Y$500,0)),"")</f>
        <v/>
      </c>
      <c r="T160" s="4" t="str">
        <f>IFERROR(INDEX(样本到样信息汇总统计!T$2:T$500,MATCH(159,样本到样信息汇总统计!$Y$2:$Y$500,0)),"")</f>
        <v/>
      </c>
      <c r="U160" s="4" t="str">
        <f>IFERROR(INDEX(样本到样信息汇总统计!U$2:U$500,MATCH(159,样本到样信息汇总统计!$Y$2:$Y$500,0)),"")</f>
        <v/>
      </c>
      <c r="V160" s="4" t="str">
        <f>IFERROR(INDEX(样本到样信息汇总统计!V$2:V$500,MATCH(159,样本到样信息汇总统计!$Y$2:$Y$500,0)),"")</f>
        <v/>
      </c>
      <c r="W160" s="4" t="str">
        <f>IFERROR(INDEX(样本到样信息汇总统计!W$2:W$500,MATCH(159,样本到样信息汇总统计!$Y$2:$Y$500,0)),"")</f>
        <v/>
      </c>
    </row>
    <row r="161" ht="14.5" spans="1:23">
      <c r="A161" s="8" t="str">
        <f>IFERROR(INDEX(样本到样信息汇总统计!A$2:A$500,MATCH(160,样本到样信息汇总统计!$Y$2:$Y$500,0)),"")</f>
        <v/>
      </c>
      <c r="B161" s="8" t="str">
        <f>IFERROR(INDEX(样本到样信息汇总统计!B$2:B$500,MATCH(160,样本到样信息汇总统计!$Y$2:$Y$500,0)),"")</f>
        <v/>
      </c>
      <c r="C161" s="8" t="str">
        <f>IFERROR(INDEX(样本到样信息汇总统计!C$2:C$500,MATCH(160,样本到样信息汇总统计!$Y$2:$Y$500,0)),"")</f>
        <v/>
      </c>
      <c r="D161" s="8" t="str">
        <f>IFERROR(INDEX(样本到样信息汇总统计!D$2:D$500,MATCH(160,样本到样信息汇总统计!$Y$2:$Y$500,0)),"")</f>
        <v/>
      </c>
      <c r="E161" s="8" t="str">
        <f>IFERROR(INDEX(样本到样信息汇总统计!E$2:E$500,MATCH(160,样本到样信息汇总统计!$Y$2:$Y$500,0)),"")</f>
        <v/>
      </c>
      <c r="F161" s="8" t="str">
        <f>IFERROR(INDEX(样本到样信息汇总统计!F$2:F$500,MATCH(160,样本到样信息汇总统计!$Y$2:$Y$500,0)),"")</f>
        <v/>
      </c>
      <c r="G161" s="8" t="str">
        <f>IFERROR(INDEX(样本到样信息汇总统计!G$2:G$500,MATCH(160,样本到样信息汇总统计!$Y$2:$Y$500,0)),"")</f>
        <v/>
      </c>
      <c r="H161" s="8" t="str">
        <f>IFERROR(INDEX(样本到样信息汇总统计!H$2:H$500,MATCH(160,样本到样信息汇总统计!$Y$2:$Y$500,0)),"")</f>
        <v/>
      </c>
      <c r="I161" s="8" t="str">
        <f>IFERROR(INDEX(样本到样信息汇总统计!I$2:I$500,MATCH(160,样本到样信息汇总统计!$Y$2:$Y$500,0)),"")</f>
        <v/>
      </c>
      <c r="J161" s="8" t="str">
        <f>IFERROR(INDEX(样本到样信息汇总统计!J$2:J$500,MATCH(160,样本到样信息汇总统计!$Y$2:$Y$500,0)),"")</f>
        <v/>
      </c>
      <c r="K161" s="8" t="str">
        <f>IFERROR(INDEX(样本到样信息汇总统计!K$2:K$500,MATCH(160,样本到样信息汇总统计!$Y$2:$Y$500,0)),"")</f>
        <v/>
      </c>
      <c r="L161" s="8" t="str">
        <f>IFERROR(INDEX(样本到样信息汇总统计!L$2:L$500,MATCH(160,样本到样信息汇总统计!$Y$2:$Y$500,0)),"")</f>
        <v/>
      </c>
      <c r="M161" s="8" t="str">
        <f>IFERROR(INDEX(样本到样信息汇总统计!M$2:M$500,MATCH(160,样本到样信息汇总统计!$Y$2:$Y$500,0)),"")</f>
        <v/>
      </c>
      <c r="N161" s="8" t="str">
        <f>IFERROR(INDEX(样本到样信息汇总统计!N$2:N$500,MATCH(160,样本到样信息汇总统计!$Y$2:$Y$500,0)),"")</f>
        <v/>
      </c>
      <c r="O161" s="8" t="str">
        <f>IFERROR(INDEX(样本到样信息汇总统计!O$2:O$500,MATCH(160,样本到样信息汇总统计!$Y$2:$Y$500,0)),"")</f>
        <v/>
      </c>
      <c r="P161" s="8" t="str">
        <f>IFERROR(INDEX(样本到样信息汇总统计!P$2:P$500,MATCH(160,样本到样信息汇总统计!$Y$2:$Y$500,0)),"")</f>
        <v/>
      </c>
      <c r="Q161" s="8" t="str">
        <f>IFERROR(INDEX(样本到样信息汇总统计!Q$2:Q$500,MATCH(160,样本到样信息汇总统计!$Y$2:$Y$500,0)),"")</f>
        <v/>
      </c>
      <c r="R161" s="8" t="str">
        <f>IFERROR(INDEX(样本到样信息汇总统计!R$2:R$500,MATCH(160,样本到样信息汇总统计!$Y$2:$Y$500,0)),"")</f>
        <v/>
      </c>
      <c r="S161" s="8" t="str">
        <f>IFERROR(INDEX(样本到样信息汇总统计!S$2:S$500,MATCH(160,样本到样信息汇总统计!$Y$2:$Y$500,0)),"")</f>
        <v/>
      </c>
      <c r="T161" s="8" t="str">
        <f>IFERROR(INDEX(样本到样信息汇总统计!T$2:T$500,MATCH(160,样本到样信息汇总统计!$Y$2:$Y$500,0)),"")</f>
        <v/>
      </c>
      <c r="U161" s="8" t="str">
        <f>IFERROR(INDEX(样本到样信息汇总统计!U$2:U$500,MATCH(160,样本到样信息汇总统计!$Y$2:$Y$500,0)),"")</f>
        <v/>
      </c>
      <c r="V161" s="8" t="str">
        <f>IFERROR(INDEX(样本到样信息汇总统计!V$2:V$500,MATCH(160,样本到样信息汇总统计!$Y$2:$Y$500,0)),"")</f>
        <v/>
      </c>
      <c r="W161" s="8" t="str">
        <f>IFERROR(INDEX(样本到样信息汇总统计!W$2:W$500,MATCH(160,样本到样信息汇总统计!$Y$2:$Y$500,0)),"")</f>
        <v/>
      </c>
    </row>
    <row r="162" ht="14.5" spans="1:23">
      <c r="A162" s="4" t="str">
        <f>IFERROR(INDEX(样本到样信息汇总统计!A$2:A$500,MATCH(161,样本到样信息汇总统计!$Y$2:$Y$500,0)),"")</f>
        <v/>
      </c>
      <c r="B162" s="4" t="str">
        <f>IFERROR(INDEX(样本到样信息汇总统计!B$2:B$500,MATCH(161,样本到样信息汇总统计!$Y$2:$Y$500,0)),"")</f>
        <v/>
      </c>
      <c r="C162" s="4" t="str">
        <f>IFERROR(INDEX(样本到样信息汇总统计!C$2:C$500,MATCH(161,样本到样信息汇总统计!$Y$2:$Y$500,0)),"")</f>
        <v/>
      </c>
      <c r="D162" s="4" t="str">
        <f>IFERROR(INDEX(样本到样信息汇总统计!D$2:D$500,MATCH(161,样本到样信息汇总统计!$Y$2:$Y$500,0)),"")</f>
        <v/>
      </c>
      <c r="E162" s="4" t="str">
        <f>IFERROR(INDEX(样本到样信息汇总统计!E$2:E$500,MATCH(161,样本到样信息汇总统计!$Y$2:$Y$500,0)),"")</f>
        <v/>
      </c>
      <c r="F162" s="4" t="str">
        <f>IFERROR(INDEX(样本到样信息汇总统计!F$2:F$500,MATCH(161,样本到样信息汇总统计!$Y$2:$Y$500,0)),"")</f>
        <v/>
      </c>
      <c r="G162" s="4" t="str">
        <f>IFERROR(INDEX(样本到样信息汇总统计!G$2:G$500,MATCH(161,样本到样信息汇总统计!$Y$2:$Y$500,0)),"")</f>
        <v/>
      </c>
      <c r="H162" s="4" t="str">
        <f>IFERROR(INDEX(样本到样信息汇总统计!H$2:H$500,MATCH(161,样本到样信息汇总统计!$Y$2:$Y$500,0)),"")</f>
        <v/>
      </c>
      <c r="I162" s="4" t="str">
        <f>IFERROR(INDEX(样本到样信息汇总统计!I$2:I$500,MATCH(161,样本到样信息汇总统计!$Y$2:$Y$500,0)),"")</f>
        <v/>
      </c>
      <c r="J162" s="4" t="str">
        <f>IFERROR(INDEX(样本到样信息汇总统计!J$2:J$500,MATCH(161,样本到样信息汇总统计!$Y$2:$Y$500,0)),"")</f>
        <v/>
      </c>
      <c r="K162" s="4" t="str">
        <f>IFERROR(INDEX(样本到样信息汇总统计!K$2:K$500,MATCH(161,样本到样信息汇总统计!$Y$2:$Y$500,0)),"")</f>
        <v/>
      </c>
      <c r="L162" s="4" t="str">
        <f>IFERROR(INDEX(样本到样信息汇总统计!L$2:L$500,MATCH(161,样本到样信息汇总统计!$Y$2:$Y$500,0)),"")</f>
        <v/>
      </c>
      <c r="M162" s="4" t="str">
        <f>IFERROR(INDEX(样本到样信息汇总统计!M$2:M$500,MATCH(161,样本到样信息汇总统计!$Y$2:$Y$500,0)),"")</f>
        <v/>
      </c>
      <c r="N162" s="4" t="str">
        <f>IFERROR(INDEX(样本到样信息汇总统计!N$2:N$500,MATCH(161,样本到样信息汇总统计!$Y$2:$Y$500,0)),"")</f>
        <v/>
      </c>
      <c r="O162" s="4" t="str">
        <f>IFERROR(INDEX(样本到样信息汇总统计!O$2:O$500,MATCH(161,样本到样信息汇总统计!$Y$2:$Y$500,0)),"")</f>
        <v/>
      </c>
      <c r="P162" s="4" t="str">
        <f>IFERROR(INDEX(样本到样信息汇总统计!P$2:P$500,MATCH(161,样本到样信息汇总统计!$Y$2:$Y$500,0)),"")</f>
        <v/>
      </c>
      <c r="Q162" s="4" t="str">
        <f>IFERROR(INDEX(样本到样信息汇总统计!Q$2:Q$500,MATCH(161,样本到样信息汇总统计!$Y$2:$Y$500,0)),"")</f>
        <v/>
      </c>
      <c r="R162" s="4" t="str">
        <f>IFERROR(INDEX(样本到样信息汇总统计!R$2:R$500,MATCH(161,样本到样信息汇总统计!$Y$2:$Y$500,0)),"")</f>
        <v/>
      </c>
      <c r="S162" s="4" t="str">
        <f>IFERROR(INDEX(样本到样信息汇总统计!S$2:S$500,MATCH(161,样本到样信息汇总统计!$Y$2:$Y$500,0)),"")</f>
        <v/>
      </c>
      <c r="T162" s="4" t="str">
        <f>IFERROR(INDEX(样本到样信息汇总统计!T$2:T$500,MATCH(161,样本到样信息汇总统计!$Y$2:$Y$500,0)),"")</f>
        <v/>
      </c>
      <c r="U162" s="4" t="str">
        <f>IFERROR(INDEX(样本到样信息汇总统计!U$2:U$500,MATCH(161,样本到样信息汇总统计!$Y$2:$Y$500,0)),"")</f>
        <v/>
      </c>
      <c r="V162" s="4" t="str">
        <f>IFERROR(INDEX(样本到样信息汇总统计!V$2:V$500,MATCH(161,样本到样信息汇总统计!$Y$2:$Y$500,0)),"")</f>
        <v/>
      </c>
      <c r="W162" s="4" t="str">
        <f>IFERROR(INDEX(样本到样信息汇总统计!W$2:W$500,MATCH(161,样本到样信息汇总统计!$Y$2:$Y$500,0)),"")</f>
        <v/>
      </c>
    </row>
    <row r="163" ht="14.5" spans="1:23">
      <c r="A163" s="8" t="str">
        <f>IFERROR(INDEX(样本到样信息汇总统计!A$2:A$500,MATCH(162,样本到样信息汇总统计!$Y$2:$Y$500,0)),"")</f>
        <v/>
      </c>
      <c r="B163" s="8" t="str">
        <f>IFERROR(INDEX(样本到样信息汇总统计!B$2:B$500,MATCH(162,样本到样信息汇总统计!$Y$2:$Y$500,0)),"")</f>
        <v/>
      </c>
      <c r="C163" s="8" t="str">
        <f>IFERROR(INDEX(样本到样信息汇总统计!C$2:C$500,MATCH(162,样本到样信息汇总统计!$Y$2:$Y$500,0)),"")</f>
        <v/>
      </c>
      <c r="D163" s="8" t="str">
        <f>IFERROR(INDEX(样本到样信息汇总统计!D$2:D$500,MATCH(162,样本到样信息汇总统计!$Y$2:$Y$500,0)),"")</f>
        <v/>
      </c>
      <c r="E163" s="8" t="str">
        <f>IFERROR(INDEX(样本到样信息汇总统计!E$2:E$500,MATCH(162,样本到样信息汇总统计!$Y$2:$Y$500,0)),"")</f>
        <v/>
      </c>
      <c r="F163" s="8" t="str">
        <f>IFERROR(INDEX(样本到样信息汇总统计!F$2:F$500,MATCH(162,样本到样信息汇总统计!$Y$2:$Y$500,0)),"")</f>
        <v/>
      </c>
      <c r="G163" s="8" t="str">
        <f>IFERROR(INDEX(样本到样信息汇总统计!G$2:G$500,MATCH(162,样本到样信息汇总统计!$Y$2:$Y$500,0)),"")</f>
        <v/>
      </c>
      <c r="H163" s="8" t="str">
        <f>IFERROR(INDEX(样本到样信息汇总统计!H$2:H$500,MATCH(162,样本到样信息汇总统计!$Y$2:$Y$500,0)),"")</f>
        <v/>
      </c>
      <c r="I163" s="8" t="str">
        <f>IFERROR(INDEX(样本到样信息汇总统计!I$2:I$500,MATCH(162,样本到样信息汇总统计!$Y$2:$Y$500,0)),"")</f>
        <v/>
      </c>
      <c r="J163" s="8" t="str">
        <f>IFERROR(INDEX(样本到样信息汇总统计!J$2:J$500,MATCH(162,样本到样信息汇总统计!$Y$2:$Y$500,0)),"")</f>
        <v/>
      </c>
      <c r="K163" s="8" t="str">
        <f>IFERROR(INDEX(样本到样信息汇总统计!K$2:K$500,MATCH(162,样本到样信息汇总统计!$Y$2:$Y$500,0)),"")</f>
        <v/>
      </c>
      <c r="L163" s="8" t="str">
        <f>IFERROR(INDEX(样本到样信息汇总统计!L$2:L$500,MATCH(162,样本到样信息汇总统计!$Y$2:$Y$500,0)),"")</f>
        <v/>
      </c>
      <c r="M163" s="8" t="str">
        <f>IFERROR(INDEX(样本到样信息汇总统计!M$2:M$500,MATCH(162,样本到样信息汇总统计!$Y$2:$Y$500,0)),"")</f>
        <v/>
      </c>
      <c r="N163" s="8" t="str">
        <f>IFERROR(INDEX(样本到样信息汇总统计!N$2:N$500,MATCH(162,样本到样信息汇总统计!$Y$2:$Y$500,0)),"")</f>
        <v/>
      </c>
      <c r="O163" s="8" t="str">
        <f>IFERROR(INDEX(样本到样信息汇总统计!O$2:O$500,MATCH(162,样本到样信息汇总统计!$Y$2:$Y$500,0)),"")</f>
        <v/>
      </c>
      <c r="P163" s="8" t="str">
        <f>IFERROR(INDEX(样本到样信息汇总统计!P$2:P$500,MATCH(162,样本到样信息汇总统计!$Y$2:$Y$500,0)),"")</f>
        <v/>
      </c>
      <c r="Q163" s="8" t="str">
        <f>IFERROR(INDEX(样本到样信息汇总统计!Q$2:Q$500,MATCH(162,样本到样信息汇总统计!$Y$2:$Y$500,0)),"")</f>
        <v/>
      </c>
      <c r="R163" s="8" t="str">
        <f>IFERROR(INDEX(样本到样信息汇总统计!R$2:R$500,MATCH(162,样本到样信息汇总统计!$Y$2:$Y$500,0)),"")</f>
        <v/>
      </c>
      <c r="S163" s="8" t="str">
        <f>IFERROR(INDEX(样本到样信息汇总统计!S$2:S$500,MATCH(162,样本到样信息汇总统计!$Y$2:$Y$500,0)),"")</f>
        <v/>
      </c>
      <c r="T163" s="8" t="str">
        <f>IFERROR(INDEX(样本到样信息汇总统计!T$2:T$500,MATCH(162,样本到样信息汇总统计!$Y$2:$Y$500,0)),"")</f>
        <v/>
      </c>
      <c r="U163" s="8" t="str">
        <f>IFERROR(INDEX(样本到样信息汇总统计!U$2:U$500,MATCH(162,样本到样信息汇总统计!$Y$2:$Y$500,0)),"")</f>
        <v/>
      </c>
      <c r="V163" s="8" t="str">
        <f>IFERROR(INDEX(样本到样信息汇总统计!V$2:V$500,MATCH(162,样本到样信息汇总统计!$Y$2:$Y$500,0)),"")</f>
        <v/>
      </c>
      <c r="W163" s="8" t="str">
        <f>IFERROR(INDEX(样本到样信息汇总统计!W$2:W$500,MATCH(162,样本到样信息汇总统计!$Y$2:$Y$500,0)),"")</f>
        <v/>
      </c>
    </row>
    <row r="164" ht="14.5" spans="1:23">
      <c r="A164" s="4" t="str">
        <f>IFERROR(INDEX(样本到样信息汇总统计!A$2:A$500,MATCH(163,样本到样信息汇总统计!$Y$2:$Y$500,0)),"")</f>
        <v/>
      </c>
      <c r="B164" s="4" t="str">
        <f>IFERROR(INDEX(样本到样信息汇总统计!B$2:B$500,MATCH(163,样本到样信息汇总统计!$Y$2:$Y$500,0)),"")</f>
        <v/>
      </c>
      <c r="C164" s="4" t="str">
        <f>IFERROR(INDEX(样本到样信息汇总统计!C$2:C$500,MATCH(163,样本到样信息汇总统计!$Y$2:$Y$500,0)),"")</f>
        <v/>
      </c>
      <c r="D164" s="4" t="str">
        <f>IFERROR(INDEX(样本到样信息汇总统计!D$2:D$500,MATCH(163,样本到样信息汇总统计!$Y$2:$Y$500,0)),"")</f>
        <v/>
      </c>
      <c r="E164" s="4" t="str">
        <f>IFERROR(INDEX(样本到样信息汇总统计!E$2:E$500,MATCH(163,样本到样信息汇总统计!$Y$2:$Y$500,0)),"")</f>
        <v/>
      </c>
      <c r="F164" s="4" t="str">
        <f>IFERROR(INDEX(样本到样信息汇总统计!F$2:F$500,MATCH(163,样本到样信息汇总统计!$Y$2:$Y$500,0)),"")</f>
        <v/>
      </c>
      <c r="G164" s="4" t="str">
        <f>IFERROR(INDEX(样本到样信息汇总统计!G$2:G$500,MATCH(163,样本到样信息汇总统计!$Y$2:$Y$500,0)),"")</f>
        <v/>
      </c>
      <c r="H164" s="4" t="str">
        <f>IFERROR(INDEX(样本到样信息汇总统计!H$2:H$500,MATCH(163,样本到样信息汇总统计!$Y$2:$Y$500,0)),"")</f>
        <v/>
      </c>
      <c r="I164" s="4" t="str">
        <f>IFERROR(INDEX(样本到样信息汇总统计!I$2:I$500,MATCH(163,样本到样信息汇总统计!$Y$2:$Y$500,0)),"")</f>
        <v/>
      </c>
      <c r="J164" s="4" t="str">
        <f>IFERROR(INDEX(样本到样信息汇总统计!J$2:J$500,MATCH(163,样本到样信息汇总统计!$Y$2:$Y$500,0)),"")</f>
        <v/>
      </c>
      <c r="K164" s="4" t="str">
        <f>IFERROR(INDEX(样本到样信息汇总统计!K$2:K$500,MATCH(163,样本到样信息汇总统计!$Y$2:$Y$500,0)),"")</f>
        <v/>
      </c>
      <c r="L164" s="4" t="str">
        <f>IFERROR(INDEX(样本到样信息汇总统计!L$2:L$500,MATCH(163,样本到样信息汇总统计!$Y$2:$Y$500,0)),"")</f>
        <v/>
      </c>
      <c r="M164" s="4" t="str">
        <f>IFERROR(INDEX(样本到样信息汇总统计!M$2:M$500,MATCH(163,样本到样信息汇总统计!$Y$2:$Y$500,0)),"")</f>
        <v/>
      </c>
      <c r="N164" s="4" t="str">
        <f>IFERROR(INDEX(样本到样信息汇总统计!N$2:N$500,MATCH(163,样本到样信息汇总统计!$Y$2:$Y$500,0)),"")</f>
        <v/>
      </c>
      <c r="O164" s="4" t="str">
        <f>IFERROR(INDEX(样本到样信息汇总统计!O$2:O$500,MATCH(163,样本到样信息汇总统计!$Y$2:$Y$500,0)),"")</f>
        <v/>
      </c>
      <c r="P164" s="4" t="str">
        <f>IFERROR(INDEX(样本到样信息汇总统计!P$2:P$500,MATCH(163,样本到样信息汇总统计!$Y$2:$Y$500,0)),"")</f>
        <v/>
      </c>
      <c r="Q164" s="4" t="str">
        <f>IFERROR(INDEX(样本到样信息汇总统计!Q$2:Q$500,MATCH(163,样本到样信息汇总统计!$Y$2:$Y$500,0)),"")</f>
        <v/>
      </c>
      <c r="R164" s="4" t="str">
        <f>IFERROR(INDEX(样本到样信息汇总统计!R$2:R$500,MATCH(163,样本到样信息汇总统计!$Y$2:$Y$500,0)),"")</f>
        <v/>
      </c>
      <c r="S164" s="4" t="str">
        <f>IFERROR(INDEX(样本到样信息汇总统计!S$2:S$500,MATCH(163,样本到样信息汇总统计!$Y$2:$Y$500,0)),"")</f>
        <v/>
      </c>
      <c r="T164" s="4" t="str">
        <f>IFERROR(INDEX(样本到样信息汇总统计!T$2:T$500,MATCH(163,样本到样信息汇总统计!$Y$2:$Y$500,0)),"")</f>
        <v/>
      </c>
      <c r="U164" s="4" t="str">
        <f>IFERROR(INDEX(样本到样信息汇总统计!U$2:U$500,MATCH(163,样本到样信息汇总统计!$Y$2:$Y$500,0)),"")</f>
        <v/>
      </c>
      <c r="V164" s="4" t="str">
        <f>IFERROR(INDEX(样本到样信息汇总统计!V$2:V$500,MATCH(163,样本到样信息汇总统计!$Y$2:$Y$500,0)),"")</f>
        <v/>
      </c>
      <c r="W164" s="4" t="str">
        <f>IFERROR(INDEX(样本到样信息汇总统计!W$2:W$500,MATCH(163,样本到样信息汇总统计!$Y$2:$Y$500,0)),"")</f>
        <v/>
      </c>
    </row>
    <row r="165" ht="14.5" spans="1:23">
      <c r="A165" s="8" t="str">
        <f>IFERROR(INDEX(样本到样信息汇总统计!A$2:A$500,MATCH(164,样本到样信息汇总统计!$Y$2:$Y$500,0)),"")</f>
        <v/>
      </c>
      <c r="B165" s="8" t="str">
        <f>IFERROR(INDEX(样本到样信息汇总统计!B$2:B$500,MATCH(164,样本到样信息汇总统计!$Y$2:$Y$500,0)),"")</f>
        <v/>
      </c>
      <c r="C165" s="8" t="str">
        <f>IFERROR(INDEX(样本到样信息汇总统计!C$2:C$500,MATCH(164,样本到样信息汇总统计!$Y$2:$Y$500,0)),"")</f>
        <v/>
      </c>
      <c r="D165" s="8" t="str">
        <f>IFERROR(INDEX(样本到样信息汇总统计!D$2:D$500,MATCH(164,样本到样信息汇总统计!$Y$2:$Y$500,0)),"")</f>
        <v/>
      </c>
      <c r="E165" s="8" t="str">
        <f>IFERROR(INDEX(样本到样信息汇总统计!E$2:E$500,MATCH(164,样本到样信息汇总统计!$Y$2:$Y$500,0)),"")</f>
        <v/>
      </c>
      <c r="F165" s="8" t="str">
        <f>IFERROR(INDEX(样本到样信息汇总统计!F$2:F$500,MATCH(164,样本到样信息汇总统计!$Y$2:$Y$500,0)),"")</f>
        <v/>
      </c>
      <c r="G165" s="8" t="str">
        <f>IFERROR(INDEX(样本到样信息汇总统计!G$2:G$500,MATCH(164,样本到样信息汇总统计!$Y$2:$Y$500,0)),"")</f>
        <v/>
      </c>
      <c r="H165" s="8" t="str">
        <f>IFERROR(INDEX(样本到样信息汇总统计!H$2:H$500,MATCH(164,样本到样信息汇总统计!$Y$2:$Y$500,0)),"")</f>
        <v/>
      </c>
      <c r="I165" s="8" t="str">
        <f>IFERROR(INDEX(样本到样信息汇总统计!I$2:I$500,MATCH(164,样本到样信息汇总统计!$Y$2:$Y$500,0)),"")</f>
        <v/>
      </c>
      <c r="J165" s="8" t="str">
        <f>IFERROR(INDEX(样本到样信息汇总统计!J$2:J$500,MATCH(164,样本到样信息汇总统计!$Y$2:$Y$500,0)),"")</f>
        <v/>
      </c>
      <c r="K165" s="8" t="str">
        <f>IFERROR(INDEX(样本到样信息汇总统计!K$2:K$500,MATCH(164,样本到样信息汇总统计!$Y$2:$Y$500,0)),"")</f>
        <v/>
      </c>
      <c r="L165" s="8" t="str">
        <f>IFERROR(INDEX(样本到样信息汇总统计!L$2:L$500,MATCH(164,样本到样信息汇总统计!$Y$2:$Y$500,0)),"")</f>
        <v/>
      </c>
      <c r="M165" s="8" t="str">
        <f>IFERROR(INDEX(样本到样信息汇总统计!M$2:M$500,MATCH(164,样本到样信息汇总统计!$Y$2:$Y$500,0)),"")</f>
        <v/>
      </c>
      <c r="N165" s="8" t="str">
        <f>IFERROR(INDEX(样本到样信息汇总统计!N$2:N$500,MATCH(164,样本到样信息汇总统计!$Y$2:$Y$500,0)),"")</f>
        <v/>
      </c>
      <c r="O165" s="8" t="str">
        <f>IFERROR(INDEX(样本到样信息汇总统计!O$2:O$500,MATCH(164,样本到样信息汇总统计!$Y$2:$Y$500,0)),"")</f>
        <v/>
      </c>
      <c r="P165" s="8" t="str">
        <f>IFERROR(INDEX(样本到样信息汇总统计!P$2:P$500,MATCH(164,样本到样信息汇总统计!$Y$2:$Y$500,0)),"")</f>
        <v/>
      </c>
      <c r="Q165" s="8" t="str">
        <f>IFERROR(INDEX(样本到样信息汇总统计!Q$2:Q$500,MATCH(164,样本到样信息汇总统计!$Y$2:$Y$500,0)),"")</f>
        <v/>
      </c>
      <c r="R165" s="8" t="str">
        <f>IFERROR(INDEX(样本到样信息汇总统计!R$2:R$500,MATCH(164,样本到样信息汇总统计!$Y$2:$Y$500,0)),"")</f>
        <v/>
      </c>
      <c r="S165" s="8" t="str">
        <f>IFERROR(INDEX(样本到样信息汇总统计!S$2:S$500,MATCH(164,样本到样信息汇总统计!$Y$2:$Y$500,0)),"")</f>
        <v/>
      </c>
      <c r="T165" s="8" t="str">
        <f>IFERROR(INDEX(样本到样信息汇总统计!T$2:T$500,MATCH(164,样本到样信息汇总统计!$Y$2:$Y$500,0)),"")</f>
        <v/>
      </c>
      <c r="U165" s="8" t="str">
        <f>IFERROR(INDEX(样本到样信息汇总统计!U$2:U$500,MATCH(164,样本到样信息汇总统计!$Y$2:$Y$500,0)),"")</f>
        <v/>
      </c>
      <c r="V165" s="8" t="str">
        <f>IFERROR(INDEX(样本到样信息汇总统计!V$2:V$500,MATCH(164,样本到样信息汇总统计!$Y$2:$Y$500,0)),"")</f>
        <v/>
      </c>
      <c r="W165" s="8" t="str">
        <f>IFERROR(INDEX(样本到样信息汇总统计!W$2:W$500,MATCH(164,样本到样信息汇总统计!$Y$2:$Y$500,0)),"")</f>
        <v/>
      </c>
    </row>
    <row r="166" ht="14.5" spans="1:23">
      <c r="A166" s="4" t="str">
        <f>IFERROR(INDEX(样本到样信息汇总统计!A$2:A$500,MATCH(165,样本到样信息汇总统计!$Y$2:$Y$500,0)),"")</f>
        <v/>
      </c>
      <c r="B166" s="4" t="str">
        <f>IFERROR(INDEX(样本到样信息汇总统计!B$2:B$500,MATCH(165,样本到样信息汇总统计!$Y$2:$Y$500,0)),"")</f>
        <v/>
      </c>
      <c r="C166" s="4" t="str">
        <f>IFERROR(INDEX(样本到样信息汇总统计!C$2:C$500,MATCH(165,样本到样信息汇总统计!$Y$2:$Y$500,0)),"")</f>
        <v/>
      </c>
      <c r="D166" s="4" t="str">
        <f>IFERROR(INDEX(样本到样信息汇总统计!D$2:D$500,MATCH(165,样本到样信息汇总统计!$Y$2:$Y$500,0)),"")</f>
        <v/>
      </c>
      <c r="E166" s="4" t="str">
        <f>IFERROR(INDEX(样本到样信息汇总统计!E$2:E$500,MATCH(165,样本到样信息汇总统计!$Y$2:$Y$500,0)),"")</f>
        <v/>
      </c>
      <c r="F166" s="4" t="str">
        <f>IFERROR(INDEX(样本到样信息汇总统计!F$2:F$500,MATCH(165,样本到样信息汇总统计!$Y$2:$Y$500,0)),"")</f>
        <v/>
      </c>
      <c r="G166" s="4" t="str">
        <f>IFERROR(INDEX(样本到样信息汇总统计!G$2:G$500,MATCH(165,样本到样信息汇总统计!$Y$2:$Y$500,0)),"")</f>
        <v/>
      </c>
      <c r="H166" s="4" t="str">
        <f>IFERROR(INDEX(样本到样信息汇总统计!H$2:H$500,MATCH(165,样本到样信息汇总统计!$Y$2:$Y$500,0)),"")</f>
        <v/>
      </c>
      <c r="I166" s="4" t="str">
        <f>IFERROR(INDEX(样本到样信息汇总统计!I$2:I$500,MATCH(165,样本到样信息汇总统计!$Y$2:$Y$500,0)),"")</f>
        <v/>
      </c>
      <c r="J166" s="4" t="str">
        <f>IFERROR(INDEX(样本到样信息汇总统计!J$2:J$500,MATCH(165,样本到样信息汇总统计!$Y$2:$Y$500,0)),"")</f>
        <v/>
      </c>
      <c r="K166" s="4" t="str">
        <f>IFERROR(INDEX(样本到样信息汇总统计!K$2:K$500,MATCH(165,样本到样信息汇总统计!$Y$2:$Y$500,0)),"")</f>
        <v/>
      </c>
      <c r="L166" s="4" t="str">
        <f>IFERROR(INDEX(样本到样信息汇总统计!L$2:L$500,MATCH(165,样本到样信息汇总统计!$Y$2:$Y$500,0)),"")</f>
        <v/>
      </c>
      <c r="M166" s="4" t="str">
        <f>IFERROR(INDEX(样本到样信息汇总统计!M$2:M$500,MATCH(165,样本到样信息汇总统计!$Y$2:$Y$500,0)),"")</f>
        <v/>
      </c>
      <c r="N166" s="4" t="str">
        <f>IFERROR(INDEX(样本到样信息汇总统计!N$2:N$500,MATCH(165,样本到样信息汇总统计!$Y$2:$Y$500,0)),"")</f>
        <v/>
      </c>
      <c r="O166" s="4" t="str">
        <f>IFERROR(INDEX(样本到样信息汇总统计!O$2:O$500,MATCH(165,样本到样信息汇总统计!$Y$2:$Y$500,0)),"")</f>
        <v/>
      </c>
      <c r="P166" s="4" t="str">
        <f>IFERROR(INDEX(样本到样信息汇总统计!P$2:P$500,MATCH(165,样本到样信息汇总统计!$Y$2:$Y$500,0)),"")</f>
        <v/>
      </c>
      <c r="Q166" s="4" t="str">
        <f>IFERROR(INDEX(样本到样信息汇总统计!Q$2:Q$500,MATCH(165,样本到样信息汇总统计!$Y$2:$Y$500,0)),"")</f>
        <v/>
      </c>
      <c r="R166" s="4" t="str">
        <f>IFERROR(INDEX(样本到样信息汇总统计!R$2:R$500,MATCH(165,样本到样信息汇总统计!$Y$2:$Y$500,0)),"")</f>
        <v/>
      </c>
      <c r="S166" s="4" t="str">
        <f>IFERROR(INDEX(样本到样信息汇总统计!S$2:S$500,MATCH(165,样本到样信息汇总统计!$Y$2:$Y$500,0)),"")</f>
        <v/>
      </c>
      <c r="T166" s="4" t="str">
        <f>IFERROR(INDEX(样本到样信息汇总统计!T$2:T$500,MATCH(165,样本到样信息汇总统计!$Y$2:$Y$500,0)),"")</f>
        <v/>
      </c>
      <c r="U166" s="4" t="str">
        <f>IFERROR(INDEX(样本到样信息汇总统计!U$2:U$500,MATCH(165,样本到样信息汇总统计!$Y$2:$Y$500,0)),"")</f>
        <v/>
      </c>
      <c r="V166" s="4" t="str">
        <f>IFERROR(INDEX(样本到样信息汇总统计!V$2:V$500,MATCH(165,样本到样信息汇总统计!$Y$2:$Y$500,0)),"")</f>
        <v/>
      </c>
      <c r="W166" s="4" t="str">
        <f>IFERROR(INDEX(样本到样信息汇总统计!W$2:W$500,MATCH(165,样本到样信息汇总统计!$Y$2:$Y$500,0)),"")</f>
        <v/>
      </c>
    </row>
    <row r="167" ht="14.5" spans="1:23">
      <c r="A167" s="8" t="str">
        <f>IFERROR(INDEX(样本到样信息汇总统计!A$2:A$500,MATCH(166,样本到样信息汇总统计!$Y$2:$Y$500,0)),"")</f>
        <v/>
      </c>
      <c r="B167" s="8" t="str">
        <f>IFERROR(INDEX(样本到样信息汇总统计!B$2:B$500,MATCH(166,样本到样信息汇总统计!$Y$2:$Y$500,0)),"")</f>
        <v/>
      </c>
      <c r="C167" s="8" t="str">
        <f>IFERROR(INDEX(样本到样信息汇总统计!C$2:C$500,MATCH(166,样本到样信息汇总统计!$Y$2:$Y$500,0)),"")</f>
        <v/>
      </c>
      <c r="D167" s="8" t="str">
        <f>IFERROR(INDEX(样本到样信息汇总统计!D$2:D$500,MATCH(166,样本到样信息汇总统计!$Y$2:$Y$500,0)),"")</f>
        <v/>
      </c>
      <c r="E167" s="8" t="str">
        <f>IFERROR(INDEX(样本到样信息汇总统计!E$2:E$500,MATCH(166,样本到样信息汇总统计!$Y$2:$Y$500,0)),"")</f>
        <v/>
      </c>
      <c r="F167" s="8" t="str">
        <f>IFERROR(INDEX(样本到样信息汇总统计!F$2:F$500,MATCH(166,样本到样信息汇总统计!$Y$2:$Y$500,0)),"")</f>
        <v/>
      </c>
      <c r="G167" s="8" t="str">
        <f>IFERROR(INDEX(样本到样信息汇总统计!G$2:G$500,MATCH(166,样本到样信息汇总统计!$Y$2:$Y$500,0)),"")</f>
        <v/>
      </c>
      <c r="H167" s="8" t="str">
        <f>IFERROR(INDEX(样本到样信息汇总统计!H$2:H$500,MATCH(166,样本到样信息汇总统计!$Y$2:$Y$500,0)),"")</f>
        <v/>
      </c>
      <c r="I167" s="8" t="str">
        <f>IFERROR(INDEX(样本到样信息汇总统计!I$2:I$500,MATCH(166,样本到样信息汇总统计!$Y$2:$Y$500,0)),"")</f>
        <v/>
      </c>
      <c r="J167" s="8" t="str">
        <f>IFERROR(INDEX(样本到样信息汇总统计!J$2:J$500,MATCH(166,样本到样信息汇总统计!$Y$2:$Y$500,0)),"")</f>
        <v/>
      </c>
      <c r="K167" s="8" t="str">
        <f>IFERROR(INDEX(样本到样信息汇总统计!K$2:K$500,MATCH(166,样本到样信息汇总统计!$Y$2:$Y$500,0)),"")</f>
        <v/>
      </c>
      <c r="L167" s="8" t="str">
        <f>IFERROR(INDEX(样本到样信息汇总统计!L$2:L$500,MATCH(166,样本到样信息汇总统计!$Y$2:$Y$500,0)),"")</f>
        <v/>
      </c>
      <c r="M167" s="8" t="str">
        <f>IFERROR(INDEX(样本到样信息汇总统计!M$2:M$500,MATCH(166,样本到样信息汇总统计!$Y$2:$Y$500,0)),"")</f>
        <v/>
      </c>
      <c r="N167" s="8" t="str">
        <f>IFERROR(INDEX(样本到样信息汇总统计!N$2:N$500,MATCH(166,样本到样信息汇总统计!$Y$2:$Y$500,0)),"")</f>
        <v/>
      </c>
      <c r="O167" s="8" t="str">
        <f>IFERROR(INDEX(样本到样信息汇总统计!O$2:O$500,MATCH(166,样本到样信息汇总统计!$Y$2:$Y$500,0)),"")</f>
        <v/>
      </c>
      <c r="P167" s="8" t="str">
        <f>IFERROR(INDEX(样本到样信息汇总统计!P$2:P$500,MATCH(166,样本到样信息汇总统计!$Y$2:$Y$500,0)),"")</f>
        <v/>
      </c>
      <c r="Q167" s="8" t="str">
        <f>IFERROR(INDEX(样本到样信息汇总统计!Q$2:Q$500,MATCH(166,样本到样信息汇总统计!$Y$2:$Y$500,0)),"")</f>
        <v/>
      </c>
      <c r="R167" s="8" t="str">
        <f>IFERROR(INDEX(样本到样信息汇总统计!R$2:R$500,MATCH(166,样本到样信息汇总统计!$Y$2:$Y$500,0)),"")</f>
        <v/>
      </c>
      <c r="S167" s="8" t="str">
        <f>IFERROR(INDEX(样本到样信息汇总统计!S$2:S$500,MATCH(166,样本到样信息汇总统计!$Y$2:$Y$500,0)),"")</f>
        <v/>
      </c>
      <c r="T167" s="8" t="str">
        <f>IFERROR(INDEX(样本到样信息汇总统计!T$2:T$500,MATCH(166,样本到样信息汇总统计!$Y$2:$Y$500,0)),"")</f>
        <v/>
      </c>
      <c r="U167" s="8" t="str">
        <f>IFERROR(INDEX(样本到样信息汇总统计!U$2:U$500,MATCH(166,样本到样信息汇总统计!$Y$2:$Y$500,0)),"")</f>
        <v/>
      </c>
      <c r="V167" s="8" t="str">
        <f>IFERROR(INDEX(样本到样信息汇总统计!V$2:V$500,MATCH(166,样本到样信息汇总统计!$Y$2:$Y$500,0)),"")</f>
        <v/>
      </c>
      <c r="W167" s="8" t="str">
        <f>IFERROR(INDEX(样本到样信息汇总统计!W$2:W$500,MATCH(166,样本到样信息汇总统计!$Y$2:$Y$500,0)),"")</f>
        <v/>
      </c>
    </row>
    <row r="168" ht="14.5" spans="1:23">
      <c r="A168" s="4" t="str">
        <f>IFERROR(INDEX(样本到样信息汇总统计!A$2:A$500,MATCH(167,样本到样信息汇总统计!$Y$2:$Y$500,0)),"")</f>
        <v/>
      </c>
      <c r="B168" s="4" t="str">
        <f>IFERROR(INDEX(样本到样信息汇总统计!B$2:B$500,MATCH(167,样本到样信息汇总统计!$Y$2:$Y$500,0)),"")</f>
        <v/>
      </c>
      <c r="C168" s="4" t="str">
        <f>IFERROR(INDEX(样本到样信息汇总统计!C$2:C$500,MATCH(167,样本到样信息汇总统计!$Y$2:$Y$500,0)),"")</f>
        <v/>
      </c>
      <c r="D168" s="4" t="str">
        <f>IFERROR(INDEX(样本到样信息汇总统计!D$2:D$500,MATCH(167,样本到样信息汇总统计!$Y$2:$Y$500,0)),"")</f>
        <v/>
      </c>
      <c r="E168" s="4" t="str">
        <f>IFERROR(INDEX(样本到样信息汇总统计!E$2:E$500,MATCH(167,样本到样信息汇总统计!$Y$2:$Y$500,0)),"")</f>
        <v/>
      </c>
      <c r="F168" s="4" t="str">
        <f>IFERROR(INDEX(样本到样信息汇总统计!F$2:F$500,MATCH(167,样本到样信息汇总统计!$Y$2:$Y$500,0)),"")</f>
        <v/>
      </c>
      <c r="G168" s="4" t="str">
        <f>IFERROR(INDEX(样本到样信息汇总统计!G$2:G$500,MATCH(167,样本到样信息汇总统计!$Y$2:$Y$500,0)),"")</f>
        <v/>
      </c>
      <c r="H168" s="4" t="str">
        <f>IFERROR(INDEX(样本到样信息汇总统计!H$2:H$500,MATCH(167,样本到样信息汇总统计!$Y$2:$Y$500,0)),"")</f>
        <v/>
      </c>
      <c r="I168" s="4" t="str">
        <f>IFERROR(INDEX(样本到样信息汇总统计!I$2:I$500,MATCH(167,样本到样信息汇总统计!$Y$2:$Y$500,0)),"")</f>
        <v/>
      </c>
      <c r="J168" s="4" t="str">
        <f>IFERROR(INDEX(样本到样信息汇总统计!J$2:J$500,MATCH(167,样本到样信息汇总统计!$Y$2:$Y$500,0)),"")</f>
        <v/>
      </c>
      <c r="K168" s="4" t="str">
        <f>IFERROR(INDEX(样本到样信息汇总统计!K$2:K$500,MATCH(167,样本到样信息汇总统计!$Y$2:$Y$500,0)),"")</f>
        <v/>
      </c>
      <c r="L168" s="4" t="str">
        <f>IFERROR(INDEX(样本到样信息汇总统计!L$2:L$500,MATCH(167,样本到样信息汇总统计!$Y$2:$Y$500,0)),"")</f>
        <v/>
      </c>
      <c r="M168" s="4" t="str">
        <f>IFERROR(INDEX(样本到样信息汇总统计!M$2:M$500,MATCH(167,样本到样信息汇总统计!$Y$2:$Y$500,0)),"")</f>
        <v/>
      </c>
      <c r="N168" s="4" t="str">
        <f>IFERROR(INDEX(样本到样信息汇总统计!N$2:N$500,MATCH(167,样本到样信息汇总统计!$Y$2:$Y$500,0)),"")</f>
        <v/>
      </c>
      <c r="O168" s="4" t="str">
        <f>IFERROR(INDEX(样本到样信息汇总统计!O$2:O$500,MATCH(167,样本到样信息汇总统计!$Y$2:$Y$500,0)),"")</f>
        <v/>
      </c>
      <c r="P168" s="4" t="str">
        <f>IFERROR(INDEX(样本到样信息汇总统计!P$2:P$500,MATCH(167,样本到样信息汇总统计!$Y$2:$Y$500,0)),"")</f>
        <v/>
      </c>
      <c r="Q168" s="4" t="str">
        <f>IFERROR(INDEX(样本到样信息汇总统计!Q$2:Q$500,MATCH(167,样本到样信息汇总统计!$Y$2:$Y$500,0)),"")</f>
        <v/>
      </c>
      <c r="R168" s="4" t="str">
        <f>IFERROR(INDEX(样本到样信息汇总统计!R$2:R$500,MATCH(167,样本到样信息汇总统计!$Y$2:$Y$500,0)),"")</f>
        <v/>
      </c>
      <c r="S168" s="4" t="str">
        <f>IFERROR(INDEX(样本到样信息汇总统计!S$2:S$500,MATCH(167,样本到样信息汇总统计!$Y$2:$Y$500,0)),"")</f>
        <v/>
      </c>
      <c r="T168" s="4" t="str">
        <f>IFERROR(INDEX(样本到样信息汇总统计!T$2:T$500,MATCH(167,样本到样信息汇总统计!$Y$2:$Y$500,0)),"")</f>
        <v/>
      </c>
      <c r="U168" s="4" t="str">
        <f>IFERROR(INDEX(样本到样信息汇总统计!U$2:U$500,MATCH(167,样本到样信息汇总统计!$Y$2:$Y$500,0)),"")</f>
        <v/>
      </c>
      <c r="V168" s="4" t="str">
        <f>IFERROR(INDEX(样本到样信息汇总统计!V$2:V$500,MATCH(167,样本到样信息汇总统计!$Y$2:$Y$500,0)),"")</f>
        <v/>
      </c>
      <c r="W168" s="4" t="str">
        <f>IFERROR(INDEX(样本到样信息汇总统计!W$2:W$500,MATCH(167,样本到样信息汇总统计!$Y$2:$Y$500,0)),"")</f>
        <v/>
      </c>
    </row>
    <row r="169" ht="14.5" spans="1:23">
      <c r="A169" s="8" t="str">
        <f>IFERROR(INDEX(样本到样信息汇总统计!A$2:A$500,MATCH(168,样本到样信息汇总统计!$Y$2:$Y$500,0)),"")</f>
        <v/>
      </c>
      <c r="B169" s="8" t="str">
        <f>IFERROR(INDEX(样本到样信息汇总统计!B$2:B$500,MATCH(168,样本到样信息汇总统计!$Y$2:$Y$500,0)),"")</f>
        <v/>
      </c>
      <c r="C169" s="8" t="str">
        <f>IFERROR(INDEX(样本到样信息汇总统计!C$2:C$500,MATCH(168,样本到样信息汇总统计!$Y$2:$Y$500,0)),"")</f>
        <v/>
      </c>
      <c r="D169" s="8" t="str">
        <f>IFERROR(INDEX(样本到样信息汇总统计!D$2:D$500,MATCH(168,样本到样信息汇总统计!$Y$2:$Y$500,0)),"")</f>
        <v/>
      </c>
      <c r="E169" s="8" t="str">
        <f>IFERROR(INDEX(样本到样信息汇总统计!E$2:E$500,MATCH(168,样本到样信息汇总统计!$Y$2:$Y$500,0)),"")</f>
        <v/>
      </c>
      <c r="F169" s="8" t="str">
        <f>IFERROR(INDEX(样本到样信息汇总统计!F$2:F$500,MATCH(168,样本到样信息汇总统计!$Y$2:$Y$500,0)),"")</f>
        <v/>
      </c>
      <c r="G169" s="8" t="str">
        <f>IFERROR(INDEX(样本到样信息汇总统计!G$2:G$500,MATCH(168,样本到样信息汇总统计!$Y$2:$Y$500,0)),"")</f>
        <v/>
      </c>
      <c r="H169" s="8" t="str">
        <f>IFERROR(INDEX(样本到样信息汇总统计!H$2:H$500,MATCH(168,样本到样信息汇总统计!$Y$2:$Y$500,0)),"")</f>
        <v/>
      </c>
      <c r="I169" s="8" t="str">
        <f>IFERROR(INDEX(样本到样信息汇总统计!I$2:I$500,MATCH(168,样本到样信息汇总统计!$Y$2:$Y$500,0)),"")</f>
        <v/>
      </c>
      <c r="J169" s="8" t="str">
        <f>IFERROR(INDEX(样本到样信息汇总统计!J$2:J$500,MATCH(168,样本到样信息汇总统计!$Y$2:$Y$500,0)),"")</f>
        <v/>
      </c>
      <c r="K169" s="8" t="str">
        <f>IFERROR(INDEX(样本到样信息汇总统计!K$2:K$500,MATCH(168,样本到样信息汇总统计!$Y$2:$Y$500,0)),"")</f>
        <v/>
      </c>
      <c r="L169" s="8" t="str">
        <f>IFERROR(INDEX(样本到样信息汇总统计!L$2:L$500,MATCH(168,样本到样信息汇总统计!$Y$2:$Y$500,0)),"")</f>
        <v/>
      </c>
      <c r="M169" s="8" t="str">
        <f>IFERROR(INDEX(样本到样信息汇总统计!M$2:M$500,MATCH(168,样本到样信息汇总统计!$Y$2:$Y$500,0)),"")</f>
        <v/>
      </c>
      <c r="N169" s="8" t="str">
        <f>IFERROR(INDEX(样本到样信息汇总统计!N$2:N$500,MATCH(168,样本到样信息汇总统计!$Y$2:$Y$500,0)),"")</f>
        <v/>
      </c>
      <c r="O169" s="8" t="str">
        <f>IFERROR(INDEX(样本到样信息汇总统计!O$2:O$500,MATCH(168,样本到样信息汇总统计!$Y$2:$Y$500,0)),"")</f>
        <v/>
      </c>
      <c r="P169" s="8" t="str">
        <f>IFERROR(INDEX(样本到样信息汇总统计!P$2:P$500,MATCH(168,样本到样信息汇总统计!$Y$2:$Y$500,0)),"")</f>
        <v/>
      </c>
      <c r="Q169" s="8" t="str">
        <f>IFERROR(INDEX(样本到样信息汇总统计!Q$2:Q$500,MATCH(168,样本到样信息汇总统计!$Y$2:$Y$500,0)),"")</f>
        <v/>
      </c>
      <c r="R169" s="8" t="str">
        <f>IFERROR(INDEX(样本到样信息汇总统计!R$2:R$500,MATCH(168,样本到样信息汇总统计!$Y$2:$Y$500,0)),"")</f>
        <v/>
      </c>
      <c r="S169" s="8" t="str">
        <f>IFERROR(INDEX(样本到样信息汇总统计!S$2:S$500,MATCH(168,样本到样信息汇总统计!$Y$2:$Y$500,0)),"")</f>
        <v/>
      </c>
      <c r="T169" s="8" t="str">
        <f>IFERROR(INDEX(样本到样信息汇总统计!T$2:T$500,MATCH(168,样本到样信息汇总统计!$Y$2:$Y$500,0)),"")</f>
        <v/>
      </c>
      <c r="U169" s="8" t="str">
        <f>IFERROR(INDEX(样本到样信息汇总统计!U$2:U$500,MATCH(168,样本到样信息汇总统计!$Y$2:$Y$500,0)),"")</f>
        <v/>
      </c>
      <c r="V169" s="8" t="str">
        <f>IFERROR(INDEX(样本到样信息汇总统计!V$2:V$500,MATCH(168,样本到样信息汇总统计!$Y$2:$Y$500,0)),"")</f>
        <v/>
      </c>
      <c r="W169" s="8" t="str">
        <f>IFERROR(INDEX(样本到样信息汇总统计!W$2:W$500,MATCH(168,样本到样信息汇总统计!$Y$2:$Y$500,0)),"")</f>
        <v/>
      </c>
    </row>
    <row r="170" ht="14.5" spans="1:23">
      <c r="A170" s="4" t="str">
        <f>IFERROR(INDEX(样本到样信息汇总统计!A$2:A$500,MATCH(169,样本到样信息汇总统计!$Y$2:$Y$500,0)),"")</f>
        <v/>
      </c>
      <c r="B170" s="4" t="str">
        <f>IFERROR(INDEX(样本到样信息汇总统计!B$2:B$500,MATCH(169,样本到样信息汇总统计!$Y$2:$Y$500,0)),"")</f>
        <v/>
      </c>
      <c r="C170" s="4" t="str">
        <f>IFERROR(INDEX(样本到样信息汇总统计!C$2:C$500,MATCH(169,样本到样信息汇总统计!$Y$2:$Y$500,0)),"")</f>
        <v/>
      </c>
      <c r="D170" s="4" t="str">
        <f>IFERROR(INDEX(样本到样信息汇总统计!D$2:D$500,MATCH(169,样本到样信息汇总统计!$Y$2:$Y$500,0)),"")</f>
        <v/>
      </c>
      <c r="E170" s="4" t="str">
        <f>IFERROR(INDEX(样本到样信息汇总统计!E$2:E$500,MATCH(169,样本到样信息汇总统计!$Y$2:$Y$500,0)),"")</f>
        <v/>
      </c>
      <c r="F170" s="4" t="str">
        <f>IFERROR(INDEX(样本到样信息汇总统计!F$2:F$500,MATCH(169,样本到样信息汇总统计!$Y$2:$Y$500,0)),"")</f>
        <v/>
      </c>
      <c r="G170" s="4" t="str">
        <f>IFERROR(INDEX(样本到样信息汇总统计!G$2:G$500,MATCH(169,样本到样信息汇总统计!$Y$2:$Y$500,0)),"")</f>
        <v/>
      </c>
      <c r="H170" s="4" t="str">
        <f>IFERROR(INDEX(样本到样信息汇总统计!H$2:H$500,MATCH(169,样本到样信息汇总统计!$Y$2:$Y$500,0)),"")</f>
        <v/>
      </c>
      <c r="I170" s="4" t="str">
        <f>IFERROR(INDEX(样本到样信息汇总统计!I$2:I$500,MATCH(169,样本到样信息汇总统计!$Y$2:$Y$500,0)),"")</f>
        <v/>
      </c>
      <c r="J170" s="4" t="str">
        <f>IFERROR(INDEX(样本到样信息汇总统计!J$2:J$500,MATCH(169,样本到样信息汇总统计!$Y$2:$Y$500,0)),"")</f>
        <v/>
      </c>
      <c r="K170" s="4" t="str">
        <f>IFERROR(INDEX(样本到样信息汇总统计!K$2:K$500,MATCH(169,样本到样信息汇总统计!$Y$2:$Y$500,0)),"")</f>
        <v/>
      </c>
      <c r="L170" s="4" t="str">
        <f>IFERROR(INDEX(样本到样信息汇总统计!L$2:L$500,MATCH(169,样本到样信息汇总统计!$Y$2:$Y$500,0)),"")</f>
        <v/>
      </c>
      <c r="M170" s="4" t="str">
        <f>IFERROR(INDEX(样本到样信息汇总统计!M$2:M$500,MATCH(169,样本到样信息汇总统计!$Y$2:$Y$500,0)),"")</f>
        <v/>
      </c>
      <c r="N170" s="4" t="str">
        <f>IFERROR(INDEX(样本到样信息汇总统计!N$2:N$500,MATCH(169,样本到样信息汇总统计!$Y$2:$Y$500,0)),"")</f>
        <v/>
      </c>
      <c r="O170" s="4" t="str">
        <f>IFERROR(INDEX(样本到样信息汇总统计!O$2:O$500,MATCH(169,样本到样信息汇总统计!$Y$2:$Y$500,0)),"")</f>
        <v/>
      </c>
      <c r="P170" s="4" t="str">
        <f>IFERROR(INDEX(样本到样信息汇总统计!P$2:P$500,MATCH(169,样本到样信息汇总统计!$Y$2:$Y$500,0)),"")</f>
        <v/>
      </c>
      <c r="Q170" s="4" t="str">
        <f>IFERROR(INDEX(样本到样信息汇总统计!Q$2:Q$500,MATCH(169,样本到样信息汇总统计!$Y$2:$Y$500,0)),"")</f>
        <v/>
      </c>
      <c r="R170" s="4" t="str">
        <f>IFERROR(INDEX(样本到样信息汇总统计!R$2:R$500,MATCH(169,样本到样信息汇总统计!$Y$2:$Y$500,0)),"")</f>
        <v/>
      </c>
      <c r="S170" s="4" t="str">
        <f>IFERROR(INDEX(样本到样信息汇总统计!S$2:S$500,MATCH(169,样本到样信息汇总统计!$Y$2:$Y$500,0)),"")</f>
        <v/>
      </c>
      <c r="T170" s="4" t="str">
        <f>IFERROR(INDEX(样本到样信息汇总统计!T$2:T$500,MATCH(169,样本到样信息汇总统计!$Y$2:$Y$500,0)),"")</f>
        <v/>
      </c>
      <c r="U170" s="4" t="str">
        <f>IFERROR(INDEX(样本到样信息汇总统计!U$2:U$500,MATCH(169,样本到样信息汇总统计!$Y$2:$Y$500,0)),"")</f>
        <v/>
      </c>
      <c r="V170" s="4" t="str">
        <f>IFERROR(INDEX(样本到样信息汇总统计!V$2:V$500,MATCH(169,样本到样信息汇总统计!$Y$2:$Y$500,0)),"")</f>
        <v/>
      </c>
      <c r="W170" s="4" t="str">
        <f>IFERROR(INDEX(样本到样信息汇总统计!W$2:W$500,MATCH(169,样本到样信息汇总统计!$Y$2:$Y$500,0)),"")</f>
        <v/>
      </c>
    </row>
    <row r="171" ht="14.5" spans="1:23">
      <c r="A171" s="8" t="str">
        <f>IFERROR(INDEX(样本到样信息汇总统计!A$2:A$500,MATCH(170,样本到样信息汇总统计!$Y$2:$Y$500,0)),"")</f>
        <v/>
      </c>
      <c r="B171" s="8" t="str">
        <f>IFERROR(INDEX(样本到样信息汇总统计!B$2:B$500,MATCH(170,样本到样信息汇总统计!$Y$2:$Y$500,0)),"")</f>
        <v/>
      </c>
      <c r="C171" s="8" t="str">
        <f>IFERROR(INDEX(样本到样信息汇总统计!C$2:C$500,MATCH(170,样本到样信息汇总统计!$Y$2:$Y$500,0)),"")</f>
        <v/>
      </c>
      <c r="D171" s="8" t="str">
        <f>IFERROR(INDEX(样本到样信息汇总统计!D$2:D$500,MATCH(170,样本到样信息汇总统计!$Y$2:$Y$500,0)),"")</f>
        <v/>
      </c>
      <c r="E171" s="8" t="str">
        <f>IFERROR(INDEX(样本到样信息汇总统计!E$2:E$500,MATCH(170,样本到样信息汇总统计!$Y$2:$Y$500,0)),"")</f>
        <v/>
      </c>
      <c r="F171" s="8" t="str">
        <f>IFERROR(INDEX(样本到样信息汇总统计!F$2:F$500,MATCH(170,样本到样信息汇总统计!$Y$2:$Y$500,0)),"")</f>
        <v/>
      </c>
      <c r="G171" s="8" t="str">
        <f>IFERROR(INDEX(样本到样信息汇总统计!G$2:G$500,MATCH(170,样本到样信息汇总统计!$Y$2:$Y$500,0)),"")</f>
        <v/>
      </c>
      <c r="H171" s="8" t="str">
        <f>IFERROR(INDEX(样本到样信息汇总统计!H$2:H$500,MATCH(170,样本到样信息汇总统计!$Y$2:$Y$500,0)),"")</f>
        <v/>
      </c>
      <c r="I171" s="8" t="str">
        <f>IFERROR(INDEX(样本到样信息汇总统计!I$2:I$500,MATCH(170,样本到样信息汇总统计!$Y$2:$Y$500,0)),"")</f>
        <v/>
      </c>
      <c r="J171" s="8" t="str">
        <f>IFERROR(INDEX(样本到样信息汇总统计!J$2:J$500,MATCH(170,样本到样信息汇总统计!$Y$2:$Y$500,0)),"")</f>
        <v/>
      </c>
      <c r="K171" s="8" t="str">
        <f>IFERROR(INDEX(样本到样信息汇总统计!K$2:K$500,MATCH(170,样本到样信息汇总统计!$Y$2:$Y$500,0)),"")</f>
        <v/>
      </c>
      <c r="L171" s="8" t="str">
        <f>IFERROR(INDEX(样本到样信息汇总统计!L$2:L$500,MATCH(170,样本到样信息汇总统计!$Y$2:$Y$500,0)),"")</f>
        <v/>
      </c>
      <c r="M171" s="8" t="str">
        <f>IFERROR(INDEX(样本到样信息汇总统计!M$2:M$500,MATCH(170,样本到样信息汇总统计!$Y$2:$Y$500,0)),"")</f>
        <v/>
      </c>
      <c r="N171" s="8" t="str">
        <f>IFERROR(INDEX(样本到样信息汇总统计!N$2:N$500,MATCH(170,样本到样信息汇总统计!$Y$2:$Y$500,0)),"")</f>
        <v/>
      </c>
      <c r="O171" s="8" t="str">
        <f>IFERROR(INDEX(样本到样信息汇总统计!O$2:O$500,MATCH(170,样本到样信息汇总统计!$Y$2:$Y$500,0)),"")</f>
        <v/>
      </c>
      <c r="P171" s="8" t="str">
        <f>IFERROR(INDEX(样本到样信息汇总统计!P$2:P$500,MATCH(170,样本到样信息汇总统计!$Y$2:$Y$500,0)),"")</f>
        <v/>
      </c>
      <c r="Q171" s="8" t="str">
        <f>IFERROR(INDEX(样本到样信息汇总统计!Q$2:Q$500,MATCH(170,样本到样信息汇总统计!$Y$2:$Y$500,0)),"")</f>
        <v/>
      </c>
      <c r="R171" s="8" t="str">
        <f>IFERROR(INDEX(样本到样信息汇总统计!R$2:R$500,MATCH(170,样本到样信息汇总统计!$Y$2:$Y$500,0)),"")</f>
        <v/>
      </c>
      <c r="S171" s="8" t="str">
        <f>IFERROR(INDEX(样本到样信息汇总统计!S$2:S$500,MATCH(170,样本到样信息汇总统计!$Y$2:$Y$500,0)),"")</f>
        <v/>
      </c>
      <c r="T171" s="8" t="str">
        <f>IFERROR(INDEX(样本到样信息汇总统计!T$2:T$500,MATCH(170,样本到样信息汇总统计!$Y$2:$Y$500,0)),"")</f>
        <v/>
      </c>
      <c r="U171" s="8" t="str">
        <f>IFERROR(INDEX(样本到样信息汇总统计!U$2:U$500,MATCH(170,样本到样信息汇总统计!$Y$2:$Y$500,0)),"")</f>
        <v/>
      </c>
      <c r="V171" s="8" t="str">
        <f>IFERROR(INDEX(样本到样信息汇总统计!V$2:V$500,MATCH(170,样本到样信息汇总统计!$Y$2:$Y$500,0)),"")</f>
        <v/>
      </c>
      <c r="W171" s="8" t="str">
        <f>IFERROR(INDEX(样本到样信息汇总统计!W$2:W$500,MATCH(170,样本到样信息汇总统计!$Y$2:$Y$500,0)),"")</f>
        <v/>
      </c>
    </row>
    <row r="172" ht="14.5" spans="1:23">
      <c r="A172" s="4" t="str">
        <f>IFERROR(INDEX(样本到样信息汇总统计!A$2:A$500,MATCH(171,样本到样信息汇总统计!$Y$2:$Y$500,0)),"")</f>
        <v/>
      </c>
      <c r="B172" s="4" t="str">
        <f>IFERROR(INDEX(样本到样信息汇总统计!B$2:B$500,MATCH(171,样本到样信息汇总统计!$Y$2:$Y$500,0)),"")</f>
        <v/>
      </c>
      <c r="C172" s="4" t="str">
        <f>IFERROR(INDEX(样本到样信息汇总统计!C$2:C$500,MATCH(171,样本到样信息汇总统计!$Y$2:$Y$500,0)),"")</f>
        <v/>
      </c>
      <c r="D172" s="4" t="str">
        <f>IFERROR(INDEX(样本到样信息汇总统计!D$2:D$500,MATCH(171,样本到样信息汇总统计!$Y$2:$Y$500,0)),"")</f>
        <v/>
      </c>
      <c r="E172" s="4" t="str">
        <f>IFERROR(INDEX(样本到样信息汇总统计!E$2:E$500,MATCH(171,样本到样信息汇总统计!$Y$2:$Y$500,0)),"")</f>
        <v/>
      </c>
      <c r="F172" s="4" t="str">
        <f>IFERROR(INDEX(样本到样信息汇总统计!F$2:F$500,MATCH(171,样本到样信息汇总统计!$Y$2:$Y$500,0)),"")</f>
        <v/>
      </c>
      <c r="G172" s="4" t="str">
        <f>IFERROR(INDEX(样本到样信息汇总统计!G$2:G$500,MATCH(171,样本到样信息汇总统计!$Y$2:$Y$500,0)),"")</f>
        <v/>
      </c>
      <c r="H172" s="4" t="str">
        <f>IFERROR(INDEX(样本到样信息汇总统计!H$2:H$500,MATCH(171,样本到样信息汇总统计!$Y$2:$Y$500,0)),"")</f>
        <v/>
      </c>
      <c r="I172" s="4" t="str">
        <f>IFERROR(INDEX(样本到样信息汇总统计!I$2:I$500,MATCH(171,样本到样信息汇总统计!$Y$2:$Y$500,0)),"")</f>
        <v/>
      </c>
      <c r="J172" s="4" t="str">
        <f>IFERROR(INDEX(样本到样信息汇总统计!J$2:J$500,MATCH(171,样本到样信息汇总统计!$Y$2:$Y$500,0)),"")</f>
        <v/>
      </c>
      <c r="K172" s="4" t="str">
        <f>IFERROR(INDEX(样本到样信息汇总统计!K$2:K$500,MATCH(171,样本到样信息汇总统计!$Y$2:$Y$500,0)),"")</f>
        <v/>
      </c>
      <c r="L172" s="4" t="str">
        <f>IFERROR(INDEX(样本到样信息汇总统计!L$2:L$500,MATCH(171,样本到样信息汇总统计!$Y$2:$Y$500,0)),"")</f>
        <v/>
      </c>
      <c r="M172" s="4" t="str">
        <f>IFERROR(INDEX(样本到样信息汇总统计!M$2:M$500,MATCH(171,样本到样信息汇总统计!$Y$2:$Y$500,0)),"")</f>
        <v/>
      </c>
      <c r="N172" s="4" t="str">
        <f>IFERROR(INDEX(样本到样信息汇总统计!N$2:N$500,MATCH(171,样本到样信息汇总统计!$Y$2:$Y$500,0)),"")</f>
        <v/>
      </c>
      <c r="O172" s="4" t="str">
        <f>IFERROR(INDEX(样本到样信息汇总统计!O$2:O$500,MATCH(171,样本到样信息汇总统计!$Y$2:$Y$500,0)),"")</f>
        <v/>
      </c>
      <c r="P172" s="4" t="str">
        <f>IFERROR(INDEX(样本到样信息汇总统计!P$2:P$500,MATCH(171,样本到样信息汇总统计!$Y$2:$Y$500,0)),"")</f>
        <v/>
      </c>
      <c r="Q172" s="4" t="str">
        <f>IFERROR(INDEX(样本到样信息汇总统计!Q$2:Q$500,MATCH(171,样本到样信息汇总统计!$Y$2:$Y$500,0)),"")</f>
        <v/>
      </c>
      <c r="R172" s="4" t="str">
        <f>IFERROR(INDEX(样本到样信息汇总统计!R$2:R$500,MATCH(171,样本到样信息汇总统计!$Y$2:$Y$500,0)),"")</f>
        <v/>
      </c>
      <c r="S172" s="4" t="str">
        <f>IFERROR(INDEX(样本到样信息汇总统计!S$2:S$500,MATCH(171,样本到样信息汇总统计!$Y$2:$Y$500,0)),"")</f>
        <v/>
      </c>
      <c r="T172" s="4" t="str">
        <f>IFERROR(INDEX(样本到样信息汇总统计!T$2:T$500,MATCH(171,样本到样信息汇总统计!$Y$2:$Y$500,0)),"")</f>
        <v/>
      </c>
      <c r="U172" s="4" t="str">
        <f>IFERROR(INDEX(样本到样信息汇总统计!U$2:U$500,MATCH(171,样本到样信息汇总统计!$Y$2:$Y$500,0)),"")</f>
        <v/>
      </c>
      <c r="V172" s="4" t="str">
        <f>IFERROR(INDEX(样本到样信息汇总统计!V$2:V$500,MATCH(171,样本到样信息汇总统计!$Y$2:$Y$500,0)),"")</f>
        <v/>
      </c>
      <c r="W172" s="4" t="str">
        <f>IFERROR(INDEX(样本到样信息汇总统计!W$2:W$500,MATCH(171,样本到样信息汇总统计!$Y$2:$Y$500,0)),"")</f>
        <v/>
      </c>
    </row>
    <row r="173" ht="14.5" spans="1:23">
      <c r="A173" s="8" t="str">
        <f>IFERROR(INDEX(样本到样信息汇总统计!A$2:A$500,MATCH(172,样本到样信息汇总统计!$Y$2:$Y$500,0)),"")</f>
        <v/>
      </c>
      <c r="B173" s="8" t="str">
        <f>IFERROR(INDEX(样本到样信息汇总统计!B$2:B$500,MATCH(172,样本到样信息汇总统计!$Y$2:$Y$500,0)),"")</f>
        <v/>
      </c>
      <c r="C173" s="8" t="str">
        <f>IFERROR(INDEX(样本到样信息汇总统计!C$2:C$500,MATCH(172,样本到样信息汇总统计!$Y$2:$Y$500,0)),"")</f>
        <v/>
      </c>
      <c r="D173" s="8" t="str">
        <f>IFERROR(INDEX(样本到样信息汇总统计!D$2:D$500,MATCH(172,样本到样信息汇总统计!$Y$2:$Y$500,0)),"")</f>
        <v/>
      </c>
      <c r="E173" s="8" t="str">
        <f>IFERROR(INDEX(样本到样信息汇总统计!E$2:E$500,MATCH(172,样本到样信息汇总统计!$Y$2:$Y$500,0)),"")</f>
        <v/>
      </c>
      <c r="F173" s="8" t="str">
        <f>IFERROR(INDEX(样本到样信息汇总统计!F$2:F$500,MATCH(172,样本到样信息汇总统计!$Y$2:$Y$500,0)),"")</f>
        <v/>
      </c>
      <c r="G173" s="8" t="str">
        <f>IFERROR(INDEX(样本到样信息汇总统计!G$2:G$500,MATCH(172,样本到样信息汇总统计!$Y$2:$Y$500,0)),"")</f>
        <v/>
      </c>
      <c r="H173" s="8" t="str">
        <f>IFERROR(INDEX(样本到样信息汇总统计!H$2:H$500,MATCH(172,样本到样信息汇总统计!$Y$2:$Y$500,0)),"")</f>
        <v/>
      </c>
      <c r="I173" s="8" t="str">
        <f>IFERROR(INDEX(样本到样信息汇总统计!I$2:I$500,MATCH(172,样本到样信息汇总统计!$Y$2:$Y$500,0)),"")</f>
        <v/>
      </c>
      <c r="J173" s="8" t="str">
        <f>IFERROR(INDEX(样本到样信息汇总统计!J$2:J$500,MATCH(172,样本到样信息汇总统计!$Y$2:$Y$500,0)),"")</f>
        <v/>
      </c>
      <c r="K173" s="8" t="str">
        <f>IFERROR(INDEX(样本到样信息汇总统计!K$2:K$500,MATCH(172,样本到样信息汇总统计!$Y$2:$Y$500,0)),"")</f>
        <v/>
      </c>
      <c r="L173" s="8" t="str">
        <f>IFERROR(INDEX(样本到样信息汇总统计!L$2:L$500,MATCH(172,样本到样信息汇总统计!$Y$2:$Y$500,0)),"")</f>
        <v/>
      </c>
      <c r="M173" s="8" t="str">
        <f>IFERROR(INDEX(样本到样信息汇总统计!M$2:M$500,MATCH(172,样本到样信息汇总统计!$Y$2:$Y$500,0)),"")</f>
        <v/>
      </c>
      <c r="N173" s="8" t="str">
        <f>IFERROR(INDEX(样本到样信息汇总统计!N$2:N$500,MATCH(172,样本到样信息汇总统计!$Y$2:$Y$500,0)),"")</f>
        <v/>
      </c>
      <c r="O173" s="8" t="str">
        <f>IFERROR(INDEX(样本到样信息汇总统计!O$2:O$500,MATCH(172,样本到样信息汇总统计!$Y$2:$Y$500,0)),"")</f>
        <v/>
      </c>
      <c r="P173" s="8" t="str">
        <f>IFERROR(INDEX(样本到样信息汇总统计!P$2:P$500,MATCH(172,样本到样信息汇总统计!$Y$2:$Y$500,0)),"")</f>
        <v/>
      </c>
      <c r="Q173" s="8" t="str">
        <f>IFERROR(INDEX(样本到样信息汇总统计!Q$2:Q$500,MATCH(172,样本到样信息汇总统计!$Y$2:$Y$500,0)),"")</f>
        <v/>
      </c>
      <c r="R173" s="8" t="str">
        <f>IFERROR(INDEX(样本到样信息汇总统计!R$2:R$500,MATCH(172,样本到样信息汇总统计!$Y$2:$Y$500,0)),"")</f>
        <v/>
      </c>
      <c r="S173" s="8" t="str">
        <f>IFERROR(INDEX(样本到样信息汇总统计!S$2:S$500,MATCH(172,样本到样信息汇总统计!$Y$2:$Y$500,0)),"")</f>
        <v/>
      </c>
      <c r="T173" s="8" t="str">
        <f>IFERROR(INDEX(样本到样信息汇总统计!T$2:T$500,MATCH(172,样本到样信息汇总统计!$Y$2:$Y$500,0)),"")</f>
        <v/>
      </c>
      <c r="U173" s="8" t="str">
        <f>IFERROR(INDEX(样本到样信息汇总统计!U$2:U$500,MATCH(172,样本到样信息汇总统计!$Y$2:$Y$500,0)),"")</f>
        <v/>
      </c>
      <c r="V173" s="8" t="str">
        <f>IFERROR(INDEX(样本到样信息汇总统计!V$2:V$500,MATCH(172,样本到样信息汇总统计!$Y$2:$Y$500,0)),"")</f>
        <v/>
      </c>
      <c r="W173" s="8" t="str">
        <f>IFERROR(INDEX(样本到样信息汇总统计!W$2:W$500,MATCH(172,样本到样信息汇总统计!$Y$2:$Y$500,0)),"")</f>
        <v/>
      </c>
    </row>
    <row r="174" ht="14.5" spans="1:23">
      <c r="A174" s="4" t="str">
        <f>IFERROR(INDEX(样本到样信息汇总统计!A$2:A$500,MATCH(173,样本到样信息汇总统计!$Y$2:$Y$500,0)),"")</f>
        <v/>
      </c>
      <c r="B174" s="4" t="str">
        <f>IFERROR(INDEX(样本到样信息汇总统计!B$2:B$500,MATCH(173,样本到样信息汇总统计!$Y$2:$Y$500,0)),"")</f>
        <v/>
      </c>
      <c r="C174" s="4" t="str">
        <f>IFERROR(INDEX(样本到样信息汇总统计!C$2:C$500,MATCH(173,样本到样信息汇总统计!$Y$2:$Y$500,0)),"")</f>
        <v/>
      </c>
      <c r="D174" s="4" t="str">
        <f>IFERROR(INDEX(样本到样信息汇总统计!D$2:D$500,MATCH(173,样本到样信息汇总统计!$Y$2:$Y$500,0)),"")</f>
        <v/>
      </c>
      <c r="E174" s="4" t="str">
        <f>IFERROR(INDEX(样本到样信息汇总统计!E$2:E$500,MATCH(173,样本到样信息汇总统计!$Y$2:$Y$500,0)),"")</f>
        <v/>
      </c>
      <c r="F174" s="4" t="str">
        <f>IFERROR(INDEX(样本到样信息汇总统计!F$2:F$500,MATCH(173,样本到样信息汇总统计!$Y$2:$Y$500,0)),"")</f>
        <v/>
      </c>
      <c r="G174" s="4" t="str">
        <f>IFERROR(INDEX(样本到样信息汇总统计!G$2:G$500,MATCH(173,样本到样信息汇总统计!$Y$2:$Y$500,0)),"")</f>
        <v/>
      </c>
      <c r="H174" s="4" t="str">
        <f>IFERROR(INDEX(样本到样信息汇总统计!H$2:H$500,MATCH(173,样本到样信息汇总统计!$Y$2:$Y$500,0)),"")</f>
        <v/>
      </c>
      <c r="I174" s="4" t="str">
        <f>IFERROR(INDEX(样本到样信息汇总统计!I$2:I$500,MATCH(173,样本到样信息汇总统计!$Y$2:$Y$500,0)),"")</f>
        <v/>
      </c>
      <c r="J174" s="4" t="str">
        <f>IFERROR(INDEX(样本到样信息汇总统计!J$2:J$500,MATCH(173,样本到样信息汇总统计!$Y$2:$Y$500,0)),"")</f>
        <v/>
      </c>
      <c r="K174" s="4" t="str">
        <f>IFERROR(INDEX(样本到样信息汇总统计!K$2:K$500,MATCH(173,样本到样信息汇总统计!$Y$2:$Y$500,0)),"")</f>
        <v/>
      </c>
      <c r="L174" s="4" t="str">
        <f>IFERROR(INDEX(样本到样信息汇总统计!L$2:L$500,MATCH(173,样本到样信息汇总统计!$Y$2:$Y$500,0)),"")</f>
        <v/>
      </c>
      <c r="M174" s="4" t="str">
        <f>IFERROR(INDEX(样本到样信息汇总统计!M$2:M$500,MATCH(173,样本到样信息汇总统计!$Y$2:$Y$500,0)),"")</f>
        <v/>
      </c>
      <c r="N174" s="4" t="str">
        <f>IFERROR(INDEX(样本到样信息汇总统计!N$2:N$500,MATCH(173,样本到样信息汇总统计!$Y$2:$Y$500,0)),"")</f>
        <v/>
      </c>
      <c r="O174" s="4" t="str">
        <f>IFERROR(INDEX(样本到样信息汇总统计!O$2:O$500,MATCH(173,样本到样信息汇总统计!$Y$2:$Y$500,0)),"")</f>
        <v/>
      </c>
      <c r="P174" s="4" t="str">
        <f>IFERROR(INDEX(样本到样信息汇总统计!P$2:P$500,MATCH(173,样本到样信息汇总统计!$Y$2:$Y$500,0)),"")</f>
        <v/>
      </c>
      <c r="Q174" s="4" t="str">
        <f>IFERROR(INDEX(样本到样信息汇总统计!Q$2:Q$500,MATCH(173,样本到样信息汇总统计!$Y$2:$Y$500,0)),"")</f>
        <v/>
      </c>
      <c r="R174" s="4" t="str">
        <f>IFERROR(INDEX(样本到样信息汇总统计!R$2:R$500,MATCH(173,样本到样信息汇总统计!$Y$2:$Y$500,0)),"")</f>
        <v/>
      </c>
      <c r="S174" s="4" t="str">
        <f>IFERROR(INDEX(样本到样信息汇总统计!S$2:S$500,MATCH(173,样本到样信息汇总统计!$Y$2:$Y$500,0)),"")</f>
        <v/>
      </c>
      <c r="T174" s="4" t="str">
        <f>IFERROR(INDEX(样本到样信息汇总统计!T$2:T$500,MATCH(173,样本到样信息汇总统计!$Y$2:$Y$500,0)),"")</f>
        <v/>
      </c>
      <c r="U174" s="4" t="str">
        <f>IFERROR(INDEX(样本到样信息汇总统计!U$2:U$500,MATCH(173,样本到样信息汇总统计!$Y$2:$Y$500,0)),"")</f>
        <v/>
      </c>
      <c r="V174" s="4" t="str">
        <f>IFERROR(INDEX(样本到样信息汇总统计!V$2:V$500,MATCH(173,样本到样信息汇总统计!$Y$2:$Y$500,0)),"")</f>
        <v/>
      </c>
      <c r="W174" s="4" t="str">
        <f>IFERROR(INDEX(样本到样信息汇总统计!W$2:W$500,MATCH(173,样本到样信息汇总统计!$Y$2:$Y$500,0)),"")</f>
        <v/>
      </c>
    </row>
    <row r="175" ht="14.5" spans="1:23">
      <c r="A175" s="8" t="str">
        <f>IFERROR(INDEX(样本到样信息汇总统计!A$2:A$500,MATCH(174,样本到样信息汇总统计!$Y$2:$Y$500,0)),"")</f>
        <v/>
      </c>
      <c r="B175" s="8" t="str">
        <f>IFERROR(INDEX(样本到样信息汇总统计!B$2:B$500,MATCH(174,样本到样信息汇总统计!$Y$2:$Y$500,0)),"")</f>
        <v/>
      </c>
      <c r="C175" s="8" t="str">
        <f>IFERROR(INDEX(样本到样信息汇总统计!C$2:C$500,MATCH(174,样本到样信息汇总统计!$Y$2:$Y$500,0)),"")</f>
        <v/>
      </c>
      <c r="D175" s="8" t="str">
        <f>IFERROR(INDEX(样本到样信息汇总统计!D$2:D$500,MATCH(174,样本到样信息汇总统计!$Y$2:$Y$500,0)),"")</f>
        <v/>
      </c>
      <c r="E175" s="8" t="str">
        <f>IFERROR(INDEX(样本到样信息汇总统计!E$2:E$500,MATCH(174,样本到样信息汇总统计!$Y$2:$Y$500,0)),"")</f>
        <v/>
      </c>
      <c r="F175" s="8" t="str">
        <f>IFERROR(INDEX(样本到样信息汇总统计!F$2:F$500,MATCH(174,样本到样信息汇总统计!$Y$2:$Y$500,0)),"")</f>
        <v/>
      </c>
      <c r="G175" s="8" t="str">
        <f>IFERROR(INDEX(样本到样信息汇总统计!G$2:G$500,MATCH(174,样本到样信息汇总统计!$Y$2:$Y$500,0)),"")</f>
        <v/>
      </c>
      <c r="H175" s="8" t="str">
        <f>IFERROR(INDEX(样本到样信息汇总统计!H$2:H$500,MATCH(174,样本到样信息汇总统计!$Y$2:$Y$500,0)),"")</f>
        <v/>
      </c>
      <c r="I175" s="8" t="str">
        <f>IFERROR(INDEX(样本到样信息汇总统计!I$2:I$500,MATCH(174,样本到样信息汇总统计!$Y$2:$Y$500,0)),"")</f>
        <v/>
      </c>
      <c r="J175" s="8" t="str">
        <f>IFERROR(INDEX(样本到样信息汇总统计!J$2:J$500,MATCH(174,样本到样信息汇总统计!$Y$2:$Y$500,0)),"")</f>
        <v/>
      </c>
      <c r="K175" s="8" t="str">
        <f>IFERROR(INDEX(样本到样信息汇总统计!K$2:K$500,MATCH(174,样本到样信息汇总统计!$Y$2:$Y$500,0)),"")</f>
        <v/>
      </c>
      <c r="L175" s="8" t="str">
        <f>IFERROR(INDEX(样本到样信息汇总统计!L$2:L$500,MATCH(174,样本到样信息汇总统计!$Y$2:$Y$500,0)),"")</f>
        <v/>
      </c>
      <c r="M175" s="8" t="str">
        <f>IFERROR(INDEX(样本到样信息汇总统计!M$2:M$500,MATCH(174,样本到样信息汇总统计!$Y$2:$Y$500,0)),"")</f>
        <v/>
      </c>
      <c r="N175" s="8" t="str">
        <f>IFERROR(INDEX(样本到样信息汇总统计!N$2:N$500,MATCH(174,样本到样信息汇总统计!$Y$2:$Y$500,0)),"")</f>
        <v/>
      </c>
      <c r="O175" s="8" t="str">
        <f>IFERROR(INDEX(样本到样信息汇总统计!O$2:O$500,MATCH(174,样本到样信息汇总统计!$Y$2:$Y$500,0)),"")</f>
        <v/>
      </c>
      <c r="P175" s="8" t="str">
        <f>IFERROR(INDEX(样本到样信息汇总统计!P$2:P$500,MATCH(174,样本到样信息汇总统计!$Y$2:$Y$500,0)),"")</f>
        <v/>
      </c>
      <c r="Q175" s="8" t="str">
        <f>IFERROR(INDEX(样本到样信息汇总统计!Q$2:Q$500,MATCH(174,样本到样信息汇总统计!$Y$2:$Y$500,0)),"")</f>
        <v/>
      </c>
      <c r="R175" s="8" t="str">
        <f>IFERROR(INDEX(样本到样信息汇总统计!R$2:R$500,MATCH(174,样本到样信息汇总统计!$Y$2:$Y$500,0)),"")</f>
        <v/>
      </c>
      <c r="S175" s="8" t="str">
        <f>IFERROR(INDEX(样本到样信息汇总统计!S$2:S$500,MATCH(174,样本到样信息汇总统计!$Y$2:$Y$500,0)),"")</f>
        <v/>
      </c>
      <c r="T175" s="8" t="str">
        <f>IFERROR(INDEX(样本到样信息汇总统计!T$2:T$500,MATCH(174,样本到样信息汇总统计!$Y$2:$Y$500,0)),"")</f>
        <v/>
      </c>
      <c r="U175" s="8" t="str">
        <f>IFERROR(INDEX(样本到样信息汇总统计!U$2:U$500,MATCH(174,样本到样信息汇总统计!$Y$2:$Y$500,0)),"")</f>
        <v/>
      </c>
      <c r="V175" s="8" t="str">
        <f>IFERROR(INDEX(样本到样信息汇总统计!V$2:V$500,MATCH(174,样本到样信息汇总统计!$Y$2:$Y$500,0)),"")</f>
        <v/>
      </c>
      <c r="W175" s="8" t="str">
        <f>IFERROR(INDEX(样本到样信息汇总统计!W$2:W$500,MATCH(174,样本到样信息汇总统计!$Y$2:$Y$500,0)),"")</f>
        <v/>
      </c>
    </row>
    <row r="176" ht="14.5" spans="1:23">
      <c r="A176" s="4" t="str">
        <f>IFERROR(INDEX(样本到样信息汇总统计!A$2:A$500,MATCH(175,样本到样信息汇总统计!$Y$2:$Y$500,0)),"")</f>
        <v/>
      </c>
      <c r="B176" s="4" t="str">
        <f>IFERROR(INDEX(样本到样信息汇总统计!B$2:B$500,MATCH(175,样本到样信息汇总统计!$Y$2:$Y$500,0)),"")</f>
        <v/>
      </c>
      <c r="C176" s="4" t="str">
        <f>IFERROR(INDEX(样本到样信息汇总统计!C$2:C$500,MATCH(175,样本到样信息汇总统计!$Y$2:$Y$500,0)),"")</f>
        <v/>
      </c>
      <c r="D176" s="4" t="str">
        <f>IFERROR(INDEX(样本到样信息汇总统计!D$2:D$500,MATCH(175,样本到样信息汇总统计!$Y$2:$Y$500,0)),"")</f>
        <v/>
      </c>
      <c r="E176" s="4" t="str">
        <f>IFERROR(INDEX(样本到样信息汇总统计!E$2:E$500,MATCH(175,样本到样信息汇总统计!$Y$2:$Y$500,0)),"")</f>
        <v/>
      </c>
      <c r="F176" s="4" t="str">
        <f>IFERROR(INDEX(样本到样信息汇总统计!F$2:F$500,MATCH(175,样本到样信息汇总统计!$Y$2:$Y$500,0)),"")</f>
        <v/>
      </c>
      <c r="G176" s="4" t="str">
        <f>IFERROR(INDEX(样本到样信息汇总统计!G$2:G$500,MATCH(175,样本到样信息汇总统计!$Y$2:$Y$500,0)),"")</f>
        <v/>
      </c>
      <c r="H176" s="4" t="str">
        <f>IFERROR(INDEX(样本到样信息汇总统计!H$2:H$500,MATCH(175,样本到样信息汇总统计!$Y$2:$Y$500,0)),"")</f>
        <v/>
      </c>
      <c r="I176" s="4" t="str">
        <f>IFERROR(INDEX(样本到样信息汇总统计!I$2:I$500,MATCH(175,样本到样信息汇总统计!$Y$2:$Y$500,0)),"")</f>
        <v/>
      </c>
      <c r="J176" s="4" t="str">
        <f>IFERROR(INDEX(样本到样信息汇总统计!J$2:J$500,MATCH(175,样本到样信息汇总统计!$Y$2:$Y$500,0)),"")</f>
        <v/>
      </c>
      <c r="K176" s="4" t="str">
        <f>IFERROR(INDEX(样本到样信息汇总统计!K$2:K$500,MATCH(175,样本到样信息汇总统计!$Y$2:$Y$500,0)),"")</f>
        <v/>
      </c>
      <c r="L176" s="4" t="str">
        <f>IFERROR(INDEX(样本到样信息汇总统计!L$2:L$500,MATCH(175,样本到样信息汇总统计!$Y$2:$Y$500,0)),"")</f>
        <v/>
      </c>
      <c r="M176" s="4" t="str">
        <f>IFERROR(INDEX(样本到样信息汇总统计!M$2:M$500,MATCH(175,样本到样信息汇总统计!$Y$2:$Y$500,0)),"")</f>
        <v/>
      </c>
      <c r="N176" s="4" t="str">
        <f>IFERROR(INDEX(样本到样信息汇总统计!N$2:N$500,MATCH(175,样本到样信息汇总统计!$Y$2:$Y$500,0)),"")</f>
        <v/>
      </c>
      <c r="O176" s="4" t="str">
        <f>IFERROR(INDEX(样本到样信息汇总统计!O$2:O$500,MATCH(175,样本到样信息汇总统计!$Y$2:$Y$500,0)),"")</f>
        <v/>
      </c>
      <c r="P176" s="4" t="str">
        <f>IFERROR(INDEX(样本到样信息汇总统计!P$2:P$500,MATCH(175,样本到样信息汇总统计!$Y$2:$Y$500,0)),"")</f>
        <v/>
      </c>
      <c r="Q176" s="4" t="str">
        <f>IFERROR(INDEX(样本到样信息汇总统计!Q$2:Q$500,MATCH(175,样本到样信息汇总统计!$Y$2:$Y$500,0)),"")</f>
        <v/>
      </c>
      <c r="R176" s="4" t="str">
        <f>IFERROR(INDEX(样本到样信息汇总统计!R$2:R$500,MATCH(175,样本到样信息汇总统计!$Y$2:$Y$500,0)),"")</f>
        <v/>
      </c>
      <c r="S176" s="4" t="str">
        <f>IFERROR(INDEX(样本到样信息汇总统计!S$2:S$500,MATCH(175,样本到样信息汇总统计!$Y$2:$Y$500,0)),"")</f>
        <v/>
      </c>
      <c r="T176" s="4" t="str">
        <f>IFERROR(INDEX(样本到样信息汇总统计!T$2:T$500,MATCH(175,样本到样信息汇总统计!$Y$2:$Y$500,0)),"")</f>
        <v/>
      </c>
      <c r="U176" s="4" t="str">
        <f>IFERROR(INDEX(样本到样信息汇总统计!U$2:U$500,MATCH(175,样本到样信息汇总统计!$Y$2:$Y$500,0)),"")</f>
        <v/>
      </c>
      <c r="V176" s="4" t="str">
        <f>IFERROR(INDEX(样本到样信息汇总统计!V$2:V$500,MATCH(175,样本到样信息汇总统计!$Y$2:$Y$500,0)),"")</f>
        <v/>
      </c>
      <c r="W176" s="4" t="str">
        <f>IFERROR(INDEX(样本到样信息汇总统计!W$2:W$500,MATCH(175,样本到样信息汇总统计!$Y$2:$Y$500,0)),"")</f>
        <v/>
      </c>
    </row>
    <row r="177" ht="14.5" spans="1:23">
      <c r="A177" s="8" t="str">
        <f>IFERROR(INDEX(样本到样信息汇总统计!A$2:A$500,MATCH(176,样本到样信息汇总统计!$Y$2:$Y$500,0)),"")</f>
        <v/>
      </c>
      <c r="B177" s="8" t="str">
        <f>IFERROR(INDEX(样本到样信息汇总统计!B$2:B$500,MATCH(176,样本到样信息汇总统计!$Y$2:$Y$500,0)),"")</f>
        <v/>
      </c>
      <c r="C177" s="8" t="str">
        <f>IFERROR(INDEX(样本到样信息汇总统计!C$2:C$500,MATCH(176,样本到样信息汇总统计!$Y$2:$Y$500,0)),"")</f>
        <v/>
      </c>
      <c r="D177" s="8" t="str">
        <f>IFERROR(INDEX(样本到样信息汇总统计!D$2:D$500,MATCH(176,样本到样信息汇总统计!$Y$2:$Y$500,0)),"")</f>
        <v/>
      </c>
      <c r="E177" s="8" t="str">
        <f>IFERROR(INDEX(样本到样信息汇总统计!E$2:E$500,MATCH(176,样本到样信息汇总统计!$Y$2:$Y$500,0)),"")</f>
        <v/>
      </c>
      <c r="F177" s="8" t="str">
        <f>IFERROR(INDEX(样本到样信息汇总统计!F$2:F$500,MATCH(176,样本到样信息汇总统计!$Y$2:$Y$500,0)),"")</f>
        <v/>
      </c>
      <c r="G177" s="8" t="str">
        <f>IFERROR(INDEX(样本到样信息汇总统计!G$2:G$500,MATCH(176,样本到样信息汇总统计!$Y$2:$Y$500,0)),"")</f>
        <v/>
      </c>
      <c r="H177" s="8" t="str">
        <f>IFERROR(INDEX(样本到样信息汇总统计!H$2:H$500,MATCH(176,样本到样信息汇总统计!$Y$2:$Y$500,0)),"")</f>
        <v/>
      </c>
      <c r="I177" s="8" t="str">
        <f>IFERROR(INDEX(样本到样信息汇总统计!I$2:I$500,MATCH(176,样本到样信息汇总统计!$Y$2:$Y$500,0)),"")</f>
        <v/>
      </c>
      <c r="J177" s="8" t="str">
        <f>IFERROR(INDEX(样本到样信息汇总统计!J$2:J$500,MATCH(176,样本到样信息汇总统计!$Y$2:$Y$500,0)),"")</f>
        <v/>
      </c>
      <c r="K177" s="8" t="str">
        <f>IFERROR(INDEX(样本到样信息汇总统计!K$2:K$500,MATCH(176,样本到样信息汇总统计!$Y$2:$Y$500,0)),"")</f>
        <v/>
      </c>
      <c r="L177" s="8" t="str">
        <f>IFERROR(INDEX(样本到样信息汇总统计!L$2:L$500,MATCH(176,样本到样信息汇总统计!$Y$2:$Y$500,0)),"")</f>
        <v/>
      </c>
      <c r="M177" s="8" t="str">
        <f>IFERROR(INDEX(样本到样信息汇总统计!M$2:M$500,MATCH(176,样本到样信息汇总统计!$Y$2:$Y$500,0)),"")</f>
        <v/>
      </c>
      <c r="N177" s="8" t="str">
        <f>IFERROR(INDEX(样本到样信息汇总统计!N$2:N$500,MATCH(176,样本到样信息汇总统计!$Y$2:$Y$500,0)),"")</f>
        <v/>
      </c>
      <c r="O177" s="8" t="str">
        <f>IFERROR(INDEX(样本到样信息汇总统计!O$2:O$500,MATCH(176,样本到样信息汇总统计!$Y$2:$Y$500,0)),"")</f>
        <v/>
      </c>
      <c r="P177" s="8" t="str">
        <f>IFERROR(INDEX(样本到样信息汇总统计!P$2:P$500,MATCH(176,样本到样信息汇总统计!$Y$2:$Y$500,0)),"")</f>
        <v/>
      </c>
      <c r="Q177" s="8" t="str">
        <f>IFERROR(INDEX(样本到样信息汇总统计!Q$2:Q$500,MATCH(176,样本到样信息汇总统计!$Y$2:$Y$500,0)),"")</f>
        <v/>
      </c>
      <c r="R177" s="8" t="str">
        <f>IFERROR(INDEX(样本到样信息汇总统计!R$2:R$500,MATCH(176,样本到样信息汇总统计!$Y$2:$Y$500,0)),"")</f>
        <v/>
      </c>
      <c r="S177" s="8" t="str">
        <f>IFERROR(INDEX(样本到样信息汇总统计!S$2:S$500,MATCH(176,样本到样信息汇总统计!$Y$2:$Y$500,0)),"")</f>
        <v/>
      </c>
      <c r="T177" s="8" t="str">
        <f>IFERROR(INDEX(样本到样信息汇总统计!T$2:T$500,MATCH(176,样本到样信息汇总统计!$Y$2:$Y$500,0)),"")</f>
        <v/>
      </c>
      <c r="U177" s="8" t="str">
        <f>IFERROR(INDEX(样本到样信息汇总统计!U$2:U$500,MATCH(176,样本到样信息汇总统计!$Y$2:$Y$500,0)),"")</f>
        <v/>
      </c>
      <c r="V177" s="8" t="str">
        <f>IFERROR(INDEX(样本到样信息汇总统计!V$2:V$500,MATCH(176,样本到样信息汇总统计!$Y$2:$Y$500,0)),"")</f>
        <v/>
      </c>
      <c r="W177" s="8" t="str">
        <f>IFERROR(INDEX(样本到样信息汇总统计!W$2:W$500,MATCH(176,样本到样信息汇总统计!$Y$2:$Y$500,0)),"")</f>
        <v/>
      </c>
    </row>
    <row r="178" ht="14.5" spans="1:23">
      <c r="A178" s="4" t="str">
        <f>IFERROR(INDEX(样本到样信息汇总统计!A$2:A$500,MATCH(177,样本到样信息汇总统计!$Y$2:$Y$500,0)),"")</f>
        <v/>
      </c>
      <c r="B178" s="4" t="str">
        <f>IFERROR(INDEX(样本到样信息汇总统计!B$2:B$500,MATCH(177,样本到样信息汇总统计!$Y$2:$Y$500,0)),"")</f>
        <v/>
      </c>
      <c r="C178" s="4" t="str">
        <f>IFERROR(INDEX(样本到样信息汇总统计!C$2:C$500,MATCH(177,样本到样信息汇总统计!$Y$2:$Y$500,0)),"")</f>
        <v/>
      </c>
      <c r="D178" s="4" t="str">
        <f>IFERROR(INDEX(样本到样信息汇总统计!D$2:D$500,MATCH(177,样本到样信息汇总统计!$Y$2:$Y$500,0)),"")</f>
        <v/>
      </c>
      <c r="E178" s="4" t="str">
        <f>IFERROR(INDEX(样本到样信息汇总统计!E$2:E$500,MATCH(177,样本到样信息汇总统计!$Y$2:$Y$500,0)),"")</f>
        <v/>
      </c>
      <c r="F178" s="4" t="str">
        <f>IFERROR(INDEX(样本到样信息汇总统计!F$2:F$500,MATCH(177,样本到样信息汇总统计!$Y$2:$Y$500,0)),"")</f>
        <v/>
      </c>
      <c r="G178" s="4" t="str">
        <f>IFERROR(INDEX(样本到样信息汇总统计!G$2:G$500,MATCH(177,样本到样信息汇总统计!$Y$2:$Y$500,0)),"")</f>
        <v/>
      </c>
      <c r="H178" s="4" t="str">
        <f>IFERROR(INDEX(样本到样信息汇总统计!H$2:H$500,MATCH(177,样本到样信息汇总统计!$Y$2:$Y$500,0)),"")</f>
        <v/>
      </c>
      <c r="I178" s="4" t="str">
        <f>IFERROR(INDEX(样本到样信息汇总统计!I$2:I$500,MATCH(177,样本到样信息汇总统计!$Y$2:$Y$500,0)),"")</f>
        <v/>
      </c>
      <c r="J178" s="4" t="str">
        <f>IFERROR(INDEX(样本到样信息汇总统计!J$2:J$500,MATCH(177,样本到样信息汇总统计!$Y$2:$Y$500,0)),"")</f>
        <v/>
      </c>
      <c r="K178" s="4" t="str">
        <f>IFERROR(INDEX(样本到样信息汇总统计!K$2:K$500,MATCH(177,样本到样信息汇总统计!$Y$2:$Y$500,0)),"")</f>
        <v/>
      </c>
      <c r="L178" s="4" t="str">
        <f>IFERROR(INDEX(样本到样信息汇总统计!L$2:L$500,MATCH(177,样本到样信息汇总统计!$Y$2:$Y$500,0)),"")</f>
        <v/>
      </c>
      <c r="M178" s="4" t="str">
        <f>IFERROR(INDEX(样本到样信息汇总统计!M$2:M$500,MATCH(177,样本到样信息汇总统计!$Y$2:$Y$500,0)),"")</f>
        <v/>
      </c>
      <c r="N178" s="4" t="str">
        <f>IFERROR(INDEX(样本到样信息汇总统计!N$2:N$500,MATCH(177,样本到样信息汇总统计!$Y$2:$Y$500,0)),"")</f>
        <v/>
      </c>
      <c r="O178" s="4" t="str">
        <f>IFERROR(INDEX(样本到样信息汇总统计!O$2:O$500,MATCH(177,样本到样信息汇总统计!$Y$2:$Y$500,0)),"")</f>
        <v/>
      </c>
      <c r="P178" s="4" t="str">
        <f>IFERROR(INDEX(样本到样信息汇总统计!P$2:P$500,MATCH(177,样本到样信息汇总统计!$Y$2:$Y$500,0)),"")</f>
        <v/>
      </c>
      <c r="Q178" s="4" t="str">
        <f>IFERROR(INDEX(样本到样信息汇总统计!Q$2:Q$500,MATCH(177,样本到样信息汇总统计!$Y$2:$Y$500,0)),"")</f>
        <v/>
      </c>
      <c r="R178" s="4" t="str">
        <f>IFERROR(INDEX(样本到样信息汇总统计!R$2:R$500,MATCH(177,样本到样信息汇总统计!$Y$2:$Y$500,0)),"")</f>
        <v/>
      </c>
      <c r="S178" s="4" t="str">
        <f>IFERROR(INDEX(样本到样信息汇总统计!S$2:S$500,MATCH(177,样本到样信息汇总统计!$Y$2:$Y$500,0)),"")</f>
        <v/>
      </c>
      <c r="T178" s="4" t="str">
        <f>IFERROR(INDEX(样本到样信息汇总统计!T$2:T$500,MATCH(177,样本到样信息汇总统计!$Y$2:$Y$500,0)),"")</f>
        <v/>
      </c>
      <c r="U178" s="4" t="str">
        <f>IFERROR(INDEX(样本到样信息汇总统计!U$2:U$500,MATCH(177,样本到样信息汇总统计!$Y$2:$Y$500,0)),"")</f>
        <v/>
      </c>
      <c r="V178" s="4" t="str">
        <f>IFERROR(INDEX(样本到样信息汇总统计!V$2:V$500,MATCH(177,样本到样信息汇总统计!$Y$2:$Y$500,0)),"")</f>
        <v/>
      </c>
      <c r="W178" s="4" t="str">
        <f>IFERROR(INDEX(样本到样信息汇总统计!W$2:W$500,MATCH(177,样本到样信息汇总统计!$Y$2:$Y$500,0)),"")</f>
        <v/>
      </c>
    </row>
    <row r="179" ht="14.5" spans="1:23">
      <c r="A179" s="8" t="str">
        <f>IFERROR(INDEX(样本到样信息汇总统计!A$2:A$500,MATCH(178,样本到样信息汇总统计!$Y$2:$Y$500,0)),"")</f>
        <v/>
      </c>
      <c r="B179" s="8" t="str">
        <f>IFERROR(INDEX(样本到样信息汇总统计!B$2:B$500,MATCH(178,样本到样信息汇总统计!$Y$2:$Y$500,0)),"")</f>
        <v/>
      </c>
      <c r="C179" s="8" t="str">
        <f>IFERROR(INDEX(样本到样信息汇总统计!C$2:C$500,MATCH(178,样本到样信息汇总统计!$Y$2:$Y$500,0)),"")</f>
        <v/>
      </c>
      <c r="D179" s="8" t="str">
        <f>IFERROR(INDEX(样本到样信息汇总统计!D$2:D$500,MATCH(178,样本到样信息汇总统计!$Y$2:$Y$500,0)),"")</f>
        <v/>
      </c>
      <c r="E179" s="8" t="str">
        <f>IFERROR(INDEX(样本到样信息汇总统计!E$2:E$500,MATCH(178,样本到样信息汇总统计!$Y$2:$Y$500,0)),"")</f>
        <v/>
      </c>
      <c r="F179" s="8" t="str">
        <f>IFERROR(INDEX(样本到样信息汇总统计!F$2:F$500,MATCH(178,样本到样信息汇总统计!$Y$2:$Y$500,0)),"")</f>
        <v/>
      </c>
      <c r="G179" s="8" t="str">
        <f>IFERROR(INDEX(样本到样信息汇总统计!G$2:G$500,MATCH(178,样本到样信息汇总统计!$Y$2:$Y$500,0)),"")</f>
        <v/>
      </c>
      <c r="H179" s="8" t="str">
        <f>IFERROR(INDEX(样本到样信息汇总统计!H$2:H$500,MATCH(178,样本到样信息汇总统计!$Y$2:$Y$500,0)),"")</f>
        <v/>
      </c>
      <c r="I179" s="8" t="str">
        <f>IFERROR(INDEX(样本到样信息汇总统计!I$2:I$500,MATCH(178,样本到样信息汇总统计!$Y$2:$Y$500,0)),"")</f>
        <v/>
      </c>
      <c r="J179" s="8" t="str">
        <f>IFERROR(INDEX(样本到样信息汇总统计!J$2:J$500,MATCH(178,样本到样信息汇总统计!$Y$2:$Y$500,0)),"")</f>
        <v/>
      </c>
      <c r="K179" s="8" t="str">
        <f>IFERROR(INDEX(样本到样信息汇总统计!K$2:K$500,MATCH(178,样本到样信息汇总统计!$Y$2:$Y$500,0)),"")</f>
        <v/>
      </c>
      <c r="L179" s="8" t="str">
        <f>IFERROR(INDEX(样本到样信息汇总统计!L$2:L$500,MATCH(178,样本到样信息汇总统计!$Y$2:$Y$500,0)),"")</f>
        <v/>
      </c>
      <c r="M179" s="8" t="str">
        <f>IFERROR(INDEX(样本到样信息汇总统计!M$2:M$500,MATCH(178,样本到样信息汇总统计!$Y$2:$Y$500,0)),"")</f>
        <v/>
      </c>
      <c r="N179" s="8" t="str">
        <f>IFERROR(INDEX(样本到样信息汇总统计!N$2:N$500,MATCH(178,样本到样信息汇总统计!$Y$2:$Y$500,0)),"")</f>
        <v/>
      </c>
      <c r="O179" s="8" t="str">
        <f>IFERROR(INDEX(样本到样信息汇总统计!O$2:O$500,MATCH(178,样本到样信息汇总统计!$Y$2:$Y$500,0)),"")</f>
        <v/>
      </c>
      <c r="P179" s="8" t="str">
        <f>IFERROR(INDEX(样本到样信息汇总统计!P$2:P$500,MATCH(178,样本到样信息汇总统计!$Y$2:$Y$500,0)),"")</f>
        <v/>
      </c>
      <c r="Q179" s="8" t="str">
        <f>IFERROR(INDEX(样本到样信息汇总统计!Q$2:Q$500,MATCH(178,样本到样信息汇总统计!$Y$2:$Y$500,0)),"")</f>
        <v/>
      </c>
      <c r="R179" s="8" t="str">
        <f>IFERROR(INDEX(样本到样信息汇总统计!R$2:R$500,MATCH(178,样本到样信息汇总统计!$Y$2:$Y$500,0)),"")</f>
        <v/>
      </c>
      <c r="S179" s="8" t="str">
        <f>IFERROR(INDEX(样本到样信息汇总统计!S$2:S$500,MATCH(178,样本到样信息汇总统计!$Y$2:$Y$500,0)),"")</f>
        <v/>
      </c>
      <c r="T179" s="8" t="str">
        <f>IFERROR(INDEX(样本到样信息汇总统计!T$2:T$500,MATCH(178,样本到样信息汇总统计!$Y$2:$Y$500,0)),"")</f>
        <v/>
      </c>
      <c r="U179" s="8" t="str">
        <f>IFERROR(INDEX(样本到样信息汇总统计!U$2:U$500,MATCH(178,样本到样信息汇总统计!$Y$2:$Y$500,0)),"")</f>
        <v/>
      </c>
      <c r="V179" s="8" t="str">
        <f>IFERROR(INDEX(样本到样信息汇总统计!V$2:V$500,MATCH(178,样本到样信息汇总统计!$Y$2:$Y$500,0)),"")</f>
        <v/>
      </c>
      <c r="W179" s="8" t="str">
        <f>IFERROR(INDEX(样本到样信息汇总统计!W$2:W$500,MATCH(178,样本到样信息汇总统计!$Y$2:$Y$500,0)),"")</f>
        <v/>
      </c>
    </row>
    <row r="180" ht="14.5" spans="1:23">
      <c r="A180" s="4" t="str">
        <f>IFERROR(INDEX(样本到样信息汇总统计!A$2:A$500,MATCH(179,样本到样信息汇总统计!$Y$2:$Y$500,0)),"")</f>
        <v/>
      </c>
      <c r="B180" s="4" t="str">
        <f>IFERROR(INDEX(样本到样信息汇总统计!B$2:B$500,MATCH(179,样本到样信息汇总统计!$Y$2:$Y$500,0)),"")</f>
        <v/>
      </c>
      <c r="C180" s="4" t="str">
        <f>IFERROR(INDEX(样本到样信息汇总统计!C$2:C$500,MATCH(179,样本到样信息汇总统计!$Y$2:$Y$500,0)),"")</f>
        <v/>
      </c>
      <c r="D180" s="4" t="str">
        <f>IFERROR(INDEX(样本到样信息汇总统计!D$2:D$500,MATCH(179,样本到样信息汇总统计!$Y$2:$Y$500,0)),"")</f>
        <v/>
      </c>
      <c r="E180" s="4" t="str">
        <f>IFERROR(INDEX(样本到样信息汇总统计!E$2:E$500,MATCH(179,样本到样信息汇总统计!$Y$2:$Y$500,0)),"")</f>
        <v/>
      </c>
      <c r="F180" s="4" t="str">
        <f>IFERROR(INDEX(样本到样信息汇总统计!F$2:F$500,MATCH(179,样本到样信息汇总统计!$Y$2:$Y$500,0)),"")</f>
        <v/>
      </c>
      <c r="G180" s="4" t="str">
        <f>IFERROR(INDEX(样本到样信息汇总统计!G$2:G$500,MATCH(179,样本到样信息汇总统计!$Y$2:$Y$500,0)),"")</f>
        <v/>
      </c>
      <c r="H180" s="4" t="str">
        <f>IFERROR(INDEX(样本到样信息汇总统计!H$2:H$500,MATCH(179,样本到样信息汇总统计!$Y$2:$Y$500,0)),"")</f>
        <v/>
      </c>
      <c r="I180" s="4" t="str">
        <f>IFERROR(INDEX(样本到样信息汇总统计!I$2:I$500,MATCH(179,样本到样信息汇总统计!$Y$2:$Y$500,0)),"")</f>
        <v/>
      </c>
      <c r="J180" s="4" t="str">
        <f>IFERROR(INDEX(样本到样信息汇总统计!J$2:J$500,MATCH(179,样本到样信息汇总统计!$Y$2:$Y$500,0)),"")</f>
        <v/>
      </c>
      <c r="K180" s="4" t="str">
        <f>IFERROR(INDEX(样本到样信息汇总统计!K$2:K$500,MATCH(179,样本到样信息汇总统计!$Y$2:$Y$500,0)),"")</f>
        <v/>
      </c>
      <c r="L180" s="4" t="str">
        <f>IFERROR(INDEX(样本到样信息汇总统计!L$2:L$500,MATCH(179,样本到样信息汇总统计!$Y$2:$Y$500,0)),"")</f>
        <v/>
      </c>
      <c r="M180" s="4" t="str">
        <f>IFERROR(INDEX(样本到样信息汇总统计!M$2:M$500,MATCH(179,样本到样信息汇总统计!$Y$2:$Y$500,0)),"")</f>
        <v/>
      </c>
      <c r="N180" s="4" t="str">
        <f>IFERROR(INDEX(样本到样信息汇总统计!N$2:N$500,MATCH(179,样本到样信息汇总统计!$Y$2:$Y$500,0)),"")</f>
        <v/>
      </c>
      <c r="O180" s="4" t="str">
        <f>IFERROR(INDEX(样本到样信息汇总统计!O$2:O$500,MATCH(179,样本到样信息汇总统计!$Y$2:$Y$500,0)),"")</f>
        <v/>
      </c>
      <c r="P180" s="4" t="str">
        <f>IFERROR(INDEX(样本到样信息汇总统计!P$2:P$500,MATCH(179,样本到样信息汇总统计!$Y$2:$Y$500,0)),"")</f>
        <v/>
      </c>
      <c r="Q180" s="4" t="str">
        <f>IFERROR(INDEX(样本到样信息汇总统计!Q$2:Q$500,MATCH(179,样本到样信息汇总统计!$Y$2:$Y$500,0)),"")</f>
        <v/>
      </c>
      <c r="R180" s="4" t="str">
        <f>IFERROR(INDEX(样本到样信息汇总统计!R$2:R$500,MATCH(179,样本到样信息汇总统计!$Y$2:$Y$500,0)),"")</f>
        <v/>
      </c>
      <c r="S180" s="4" t="str">
        <f>IFERROR(INDEX(样本到样信息汇总统计!S$2:S$500,MATCH(179,样本到样信息汇总统计!$Y$2:$Y$500,0)),"")</f>
        <v/>
      </c>
      <c r="T180" s="4" t="str">
        <f>IFERROR(INDEX(样本到样信息汇总统计!T$2:T$500,MATCH(179,样本到样信息汇总统计!$Y$2:$Y$500,0)),"")</f>
        <v/>
      </c>
      <c r="U180" s="4" t="str">
        <f>IFERROR(INDEX(样本到样信息汇总统计!U$2:U$500,MATCH(179,样本到样信息汇总统计!$Y$2:$Y$500,0)),"")</f>
        <v/>
      </c>
      <c r="V180" s="4" t="str">
        <f>IFERROR(INDEX(样本到样信息汇总统计!V$2:V$500,MATCH(179,样本到样信息汇总统计!$Y$2:$Y$500,0)),"")</f>
        <v/>
      </c>
      <c r="W180" s="4" t="str">
        <f>IFERROR(INDEX(样本到样信息汇总统计!W$2:W$500,MATCH(179,样本到样信息汇总统计!$Y$2:$Y$500,0)),"")</f>
        <v/>
      </c>
    </row>
    <row r="181" ht="14.5" spans="1:23">
      <c r="A181" s="8" t="str">
        <f>IFERROR(INDEX(样本到样信息汇总统计!A$2:A$500,MATCH(180,样本到样信息汇总统计!$Y$2:$Y$500,0)),"")</f>
        <v/>
      </c>
      <c r="B181" s="8" t="str">
        <f>IFERROR(INDEX(样本到样信息汇总统计!B$2:B$500,MATCH(180,样本到样信息汇总统计!$Y$2:$Y$500,0)),"")</f>
        <v/>
      </c>
      <c r="C181" s="8" t="str">
        <f>IFERROR(INDEX(样本到样信息汇总统计!C$2:C$500,MATCH(180,样本到样信息汇总统计!$Y$2:$Y$500,0)),"")</f>
        <v/>
      </c>
      <c r="D181" s="8" t="str">
        <f>IFERROR(INDEX(样本到样信息汇总统计!D$2:D$500,MATCH(180,样本到样信息汇总统计!$Y$2:$Y$500,0)),"")</f>
        <v/>
      </c>
      <c r="E181" s="8" t="str">
        <f>IFERROR(INDEX(样本到样信息汇总统计!E$2:E$500,MATCH(180,样本到样信息汇总统计!$Y$2:$Y$500,0)),"")</f>
        <v/>
      </c>
      <c r="F181" s="8" t="str">
        <f>IFERROR(INDEX(样本到样信息汇总统计!F$2:F$500,MATCH(180,样本到样信息汇总统计!$Y$2:$Y$500,0)),"")</f>
        <v/>
      </c>
      <c r="G181" s="8" t="str">
        <f>IFERROR(INDEX(样本到样信息汇总统计!G$2:G$500,MATCH(180,样本到样信息汇总统计!$Y$2:$Y$500,0)),"")</f>
        <v/>
      </c>
      <c r="H181" s="8" t="str">
        <f>IFERROR(INDEX(样本到样信息汇总统计!H$2:H$500,MATCH(180,样本到样信息汇总统计!$Y$2:$Y$500,0)),"")</f>
        <v/>
      </c>
      <c r="I181" s="8" t="str">
        <f>IFERROR(INDEX(样本到样信息汇总统计!I$2:I$500,MATCH(180,样本到样信息汇总统计!$Y$2:$Y$500,0)),"")</f>
        <v/>
      </c>
      <c r="J181" s="8" t="str">
        <f>IFERROR(INDEX(样本到样信息汇总统计!J$2:J$500,MATCH(180,样本到样信息汇总统计!$Y$2:$Y$500,0)),"")</f>
        <v/>
      </c>
      <c r="K181" s="8" t="str">
        <f>IFERROR(INDEX(样本到样信息汇总统计!K$2:K$500,MATCH(180,样本到样信息汇总统计!$Y$2:$Y$500,0)),"")</f>
        <v/>
      </c>
      <c r="L181" s="8" t="str">
        <f>IFERROR(INDEX(样本到样信息汇总统计!L$2:L$500,MATCH(180,样本到样信息汇总统计!$Y$2:$Y$500,0)),"")</f>
        <v/>
      </c>
      <c r="M181" s="8" t="str">
        <f>IFERROR(INDEX(样本到样信息汇总统计!M$2:M$500,MATCH(180,样本到样信息汇总统计!$Y$2:$Y$500,0)),"")</f>
        <v/>
      </c>
      <c r="N181" s="8" t="str">
        <f>IFERROR(INDEX(样本到样信息汇总统计!N$2:N$500,MATCH(180,样本到样信息汇总统计!$Y$2:$Y$500,0)),"")</f>
        <v/>
      </c>
      <c r="O181" s="8" t="str">
        <f>IFERROR(INDEX(样本到样信息汇总统计!O$2:O$500,MATCH(180,样本到样信息汇总统计!$Y$2:$Y$500,0)),"")</f>
        <v/>
      </c>
      <c r="P181" s="8" t="str">
        <f>IFERROR(INDEX(样本到样信息汇总统计!P$2:P$500,MATCH(180,样本到样信息汇总统计!$Y$2:$Y$500,0)),"")</f>
        <v/>
      </c>
      <c r="Q181" s="8" t="str">
        <f>IFERROR(INDEX(样本到样信息汇总统计!Q$2:Q$500,MATCH(180,样本到样信息汇总统计!$Y$2:$Y$500,0)),"")</f>
        <v/>
      </c>
      <c r="R181" s="8" t="str">
        <f>IFERROR(INDEX(样本到样信息汇总统计!R$2:R$500,MATCH(180,样本到样信息汇总统计!$Y$2:$Y$500,0)),"")</f>
        <v/>
      </c>
      <c r="S181" s="8" t="str">
        <f>IFERROR(INDEX(样本到样信息汇总统计!S$2:S$500,MATCH(180,样本到样信息汇总统计!$Y$2:$Y$500,0)),"")</f>
        <v/>
      </c>
      <c r="T181" s="8" t="str">
        <f>IFERROR(INDEX(样本到样信息汇总统计!T$2:T$500,MATCH(180,样本到样信息汇总统计!$Y$2:$Y$500,0)),"")</f>
        <v/>
      </c>
      <c r="U181" s="8" t="str">
        <f>IFERROR(INDEX(样本到样信息汇总统计!U$2:U$500,MATCH(180,样本到样信息汇总统计!$Y$2:$Y$500,0)),"")</f>
        <v/>
      </c>
      <c r="V181" s="8" t="str">
        <f>IFERROR(INDEX(样本到样信息汇总统计!V$2:V$500,MATCH(180,样本到样信息汇总统计!$Y$2:$Y$500,0)),"")</f>
        <v/>
      </c>
      <c r="W181" s="8" t="str">
        <f>IFERROR(INDEX(样本到样信息汇总统计!W$2:W$500,MATCH(180,样本到样信息汇总统计!$Y$2:$Y$500,0)),"")</f>
        <v/>
      </c>
    </row>
    <row r="182" ht="14.5" spans="1:23">
      <c r="A182" s="4" t="str">
        <f>IFERROR(INDEX(样本到样信息汇总统计!A$2:A$500,MATCH(181,样本到样信息汇总统计!$Y$2:$Y$500,0)),"")</f>
        <v/>
      </c>
      <c r="B182" s="4" t="str">
        <f>IFERROR(INDEX(样本到样信息汇总统计!B$2:B$500,MATCH(181,样本到样信息汇总统计!$Y$2:$Y$500,0)),"")</f>
        <v/>
      </c>
      <c r="C182" s="4" t="str">
        <f>IFERROR(INDEX(样本到样信息汇总统计!C$2:C$500,MATCH(181,样本到样信息汇总统计!$Y$2:$Y$500,0)),"")</f>
        <v/>
      </c>
      <c r="D182" s="4" t="str">
        <f>IFERROR(INDEX(样本到样信息汇总统计!D$2:D$500,MATCH(181,样本到样信息汇总统计!$Y$2:$Y$500,0)),"")</f>
        <v/>
      </c>
      <c r="E182" s="4" t="str">
        <f>IFERROR(INDEX(样本到样信息汇总统计!E$2:E$500,MATCH(181,样本到样信息汇总统计!$Y$2:$Y$500,0)),"")</f>
        <v/>
      </c>
      <c r="F182" s="4" t="str">
        <f>IFERROR(INDEX(样本到样信息汇总统计!F$2:F$500,MATCH(181,样本到样信息汇总统计!$Y$2:$Y$500,0)),"")</f>
        <v/>
      </c>
      <c r="G182" s="4" t="str">
        <f>IFERROR(INDEX(样本到样信息汇总统计!G$2:G$500,MATCH(181,样本到样信息汇总统计!$Y$2:$Y$500,0)),"")</f>
        <v/>
      </c>
      <c r="H182" s="4" t="str">
        <f>IFERROR(INDEX(样本到样信息汇总统计!H$2:H$500,MATCH(181,样本到样信息汇总统计!$Y$2:$Y$500,0)),"")</f>
        <v/>
      </c>
      <c r="I182" s="4" t="str">
        <f>IFERROR(INDEX(样本到样信息汇总统计!I$2:I$500,MATCH(181,样本到样信息汇总统计!$Y$2:$Y$500,0)),"")</f>
        <v/>
      </c>
      <c r="J182" s="4" t="str">
        <f>IFERROR(INDEX(样本到样信息汇总统计!J$2:J$500,MATCH(181,样本到样信息汇总统计!$Y$2:$Y$500,0)),"")</f>
        <v/>
      </c>
      <c r="K182" s="4" t="str">
        <f>IFERROR(INDEX(样本到样信息汇总统计!K$2:K$500,MATCH(181,样本到样信息汇总统计!$Y$2:$Y$500,0)),"")</f>
        <v/>
      </c>
      <c r="L182" s="4" t="str">
        <f>IFERROR(INDEX(样本到样信息汇总统计!L$2:L$500,MATCH(181,样本到样信息汇总统计!$Y$2:$Y$500,0)),"")</f>
        <v/>
      </c>
      <c r="M182" s="4" t="str">
        <f>IFERROR(INDEX(样本到样信息汇总统计!M$2:M$500,MATCH(181,样本到样信息汇总统计!$Y$2:$Y$500,0)),"")</f>
        <v/>
      </c>
      <c r="N182" s="4" t="str">
        <f>IFERROR(INDEX(样本到样信息汇总统计!N$2:N$500,MATCH(181,样本到样信息汇总统计!$Y$2:$Y$500,0)),"")</f>
        <v/>
      </c>
      <c r="O182" s="4" t="str">
        <f>IFERROR(INDEX(样本到样信息汇总统计!O$2:O$500,MATCH(181,样本到样信息汇总统计!$Y$2:$Y$500,0)),"")</f>
        <v/>
      </c>
      <c r="P182" s="4" t="str">
        <f>IFERROR(INDEX(样本到样信息汇总统计!P$2:P$500,MATCH(181,样本到样信息汇总统计!$Y$2:$Y$500,0)),"")</f>
        <v/>
      </c>
      <c r="Q182" s="4" t="str">
        <f>IFERROR(INDEX(样本到样信息汇总统计!Q$2:Q$500,MATCH(181,样本到样信息汇总统计!$Y$2:$Y$500,0)),"")</f>
        <v/>
      </c>
      <c r="R182" s="4" t="str">
        <f>IFERROR(INDEX(样本到样信息汇总统计!R$2:R$500,MATCH(181,样本到样信息汇总统计!$Y$2:$Y$500,0)),"")</f>
        <v/>
      </c>
      <c r="S182" s="4" t="str">
        <f>IFERROR(INDEX(样本到样信息汇总统计!S$2:S$500,MATCH(181,样本到样信息汇总统计!$Y$2:$Y$500,0)),"")</f>
        <v/>
      </c>
      <c r="T182" s="4" t="str">
        <f>IFERROR(INDEX(样本到样信息汇总统计!T$2:T$500,MATCH(181,样本到样信息汇总统计!$Y$2:$Y$500,0)),"")</f>
        <v/>
      </c>
      <c r="U182" s="4" t="str">
        <f>IFERROR(INDEX(样本到样信息汇总统计!U$2:U$500,MATCH(181,样本到样信息汇总统计!$Y$2:$Y$500,0)),"")</f>
        <v/>
      </c>
      <c r="V182" s="4" t="str">
        <f>IFERROR(INDEX(样本到样信息汇总统计!V$2:V$500,MATCH(181,样本到样信息汇总统计!$Y$2:$Y$500,0)),"")</f>
        <v/>
      </c>
      <c r="W182" s="4" t="str">
        <f>IFERROR(INDEX(样本到样信息汇总统计!W$2:W$500,MATCH(181,样本到样信息汇总统计!$Y$2:$Y$500,0)),"")</f>
        <v/>
      </c>
    </row>
    <row r="183" ht="14.5" spans="1:23">
      <c r="A183" s="8" t="str">
        <f>IFERROR(INDEX(样本到样信息汇总统计!A$2:A$500,MATCH(182,样本到样信息汇总统计!$Y$2:$Y$500,0)),"")</f>
        <v/>
      </c>
      <c r="B183" s="8" t="str">
        <f>IFERROR(INDEX(样本到样信息汇总统计!B$2:B$500,MATCH(182,样本到样信息汇总统计!$Y$2:$Y$500,0)),"")</f>
        <v/>
      </c>
      <c r="C183" s="8" t="str">
        <f>IFERROR(INDEX(样本到样信息汇总统计!C$2:C$500,MATCH(182,样本到样信息汇总统计!$Y$2:$Y$500,0)),"")</f>
        <v/>
      </c>
      <c r="D183" s="8" t="str">
        <f>IFERROR(INDEX(样本到样信息汇总统计!D$2:D$500,MATCH(182,样本到样信息汇总统计!$Y$2:$Y$500,0)),"")</f>
        <v/>
      </c>
      <c r="E183" s="8" t="str">
        <f>IFERROR(INDEX(样本到样信息汇总统计!E$2:E$500,MATCH(182,样本到样信息汇总统计!$Y$2:$Y$500,0)),"")</f>
        <v/>
      </c>
      <c r="F183" s="8" t="str">
        <f>IFERROR(INDEX(样本到样信息汇总统计!F$2:F$500,MATCH(182,样本到样信息汇总统计!$Y$2:$Y$500,0)),"")</f>
        <v/>
      </c>
      <c r="G183" s="8" t="str">
        <f>IFERROR(INDEX(样本到样信息汇总统计!G$2:G$500,MATCH(182,样本到样信息汇总统计!$Y$2:$Y$500,0)),"")</f>
        <v/>
      </c>
      <c r="H183" s="8" t="str">
        <f>IFERROR(INDEX(样本到样信息汇总统计!H$2:H$500,MATCH(182,样本到样信息汇总统计!$Y$2:$Y$500,0)),"")</f>
        <v/>
      </c>
      <c r="I183" s="8" t="str">
        <f>IFERROR(INDEX(样本到样信息汇总统计!I$2:I$500,MATCH(182,样本到样信息汇总统计!$Y$2:$Y$500,0)),"")</f>
        <v/>
      </c>
      <c r="J183" s="8" t="str">
        <f>IFERROR(INDEX(样本到样信息汇总统计!J$2:J$500,MATCH(182,样本到样信息汇总统计!$Y$2:$Y$500,0)),"")</f>
        <v/>
      </c>
      <c r="K183" s="8" t="str">
        <f>IFERROR(INDEX(样本到样信息汇总统计!K$2:K$500,MATCH(182,样本到样信息汇总统计!$Y$2:$Y$500,0)),"")</f>
        <v/>
      </c>
      <c r="L183" s="8" t="str">
        <f>IFERROR(INDEX(样本到样信息汇总统计!L$2:L$500,MATCH(182,样本到样信息汇总统计!$Y$2:$Y$500,0)),"")</f>
        <v/>
      </c>
      <c r="M183" s="8" t="str">
        <f>IFERROR(INDEX(样本到样信息汇总统计!M$2:M$500,MATCH(182,样本到样信息汇总统计!$Y$2:$Y$500,0)),"")</f>
        <v/>
      </c>
      <c r="N183" s="8" t="str">
        <f>IFERROR(INDEX(样本到样信息汇总统计!N$2:N$500,MATCH(182,样本到样信息汇总统计!$Y$2:$Y$500,0)),"")</f>
        <v/>
      </c>
      <c r="O183" s="8" t="str">
        <f>IFERROR(INDEX(样本到样信息汇总统计!O$2:O$500,MATCH(182,样本到样信息汇总统计!$Y$2:$Y$500,0)),"")</f>
        <v/>
      </c>
      <c r="P183" s="8" t="str">
        <f>IFERROR(INDEX(样本到样信息汇总统计!P$2:P$500,MATCH(182,样本到样信息汇总统计!$Y$2:$Y$500,0)),"")</f>
        <v/>
      </c>
      <c r="Q183" s="8" t="str">
        <f>IFERROR(INDEX(样本到样信息汇总统计!Q$2:Q$500,MATCH(182,样本到样信息汇总统计!$Y$2:$Y$500,0)),"")</f>
        <v/>
      </c>
      <c r="R183" s="8" t="str">
        <f>IFERROR(INDEX(样本到样信息汇总统计!R$2:R$500,MATCH(182,样本到样信息汇总统计!$Y$2:$Y$500,0)),"")</f>
        <v/>
      </c>
      <c r="S183" s="8" t="str">
        <f>IFERROR(INDEX(样本到样信息汇总统计!S$2:S$500,MATCH(182,样本到样信息汇总统计!$Y$2:$Y$500,0)),"")</f>
        <v/>
      </c>
      <c r="T183" s="8" t="str">
        <f>IFERROR(INDEX(样本到样信息汇总统计!T$2:T$500,MATCH(182,样本到样信息汇总统计!$Y$2:$Y$500,0)),"")</f>
        <v/>
      </c>
      <c r="U183" s="8" t="str">
        <f>IFERROR(INDEX(样本到样信息汇总统计!U$2:U$500,MATCH(182,样本到样信息汇总统计!$Y$2:$Y$500,0)),"")</f>
        <v/>
      </c>
      <c r="V183" s="8" t="str">
        <f>IFERROR(INDEX(样本到样信息汇总统计!V$2:V$500,MATCH(182,样本到样信息汇总统计!$Y$2:$Y$500,0)),"")</f>
        <v/>
      </c>
      <c r="W183" s="8" t="str">
        <f>IFERROR(INDEX(样本到样信息汇总统计!W$2:W$500,MATCH(182,样本到样信息汇总统计!$Y$2:$Y$500,0)),"")</f>
        <v/>
      </c>
    </row>
    <row r="184" ht="14.5" spans="1:23">
      <c r="A184" s="4" t="str">
        <f>IFERROR(INDEX(样本到样信息汇总统计!A$2:A$500,MATCH(183,样本到样信息汇总统计!$Y$2:$Y$500,0)),"")</f>
        <v/>
      </c>
      <c r="B184" s="4" t="str">
        <f>IFERROR(INDEX(样本到样信息汇总统计!B$2:B$500,MATCH(183,样本到样信息汇总统计!$Y$2:$Y$500,0)),"")</f>
        <v/>
      </c>
      <c r="C184" s="4" t="str">
        <f>IFERROR(INDEX(样本到样信息汇总统计!C$2:C$500,MATCH(183,样本到样信息汇总统计!$Y$2:$Y$500,0)),"")</f>
        <v/>
      </c>
      <c r="D184" s="4" t="str">
        <f>IFERROR(INDEX(样本到样信息汇总统计!D$2:D$500,MATCH(183,样本到样信息汇总统计!$Y$2:$Y$500,0)),"")</f>
        <v/>
      </c>
      <c r="E184" s="4" t="str">
        <f>IFERROR(INDEX(样本到样信息汇总统计!E$2:E$500,MATCH(183,样本到样信息汇总统计!$Y$2:$Y$500,0)),"")</f>
        <v/>
      </c>
      <c r="F184" s="4" t="str">
        <f>IFERROR(INDEX(样本到样信息汇总统计!F$2:F$500,MATCH(183,样本到样信息汇总统计!$Y$2:$Y$500,0)),"")</f>
        <v/>
      </c>
      <c r="G184" s="4" t="str">
        <f>IFERROR(INDEX(样本到样信息汇总统计!G$2:G$500,MATCH(183,样本到样信息汇总统计!$Y$2:$Y$500,0)),"")</f>
        <v/>
      </c>
      <c r="H184" s="4" t="str">
        <f>IFERROR(INDEX(样本到样信息汇总统计!H$2:H$500,MATCH(183,样本到样信息汇总统计!$Y$2:$Y$500,0)),"")</f>
        <v/>
      </c>
      <c r="I184" s="4" t="str">
        <f>IFERROR(INDEX(样本到样信息汇总统计!I$2:I$500,MATCH(183,样本到样信息汇总统计!$Y$2:$Y$500,0)),"")</f>
        <v/>
      </c>
      <c r="J184" s="4" t="str">
        <f>IFERROR(INDEX(样本到样信息汇总统计!J$2:J$500,MATCH(183,样本到样信息汇总统计!$Y$2:$Y$500,0)),"")</f>
        <v/>
      </c>
      <c r="K184" s="4" t="str">
        <f>IFERROR(INDEX(样本到样信息汇总统计!K$2:K$500,MATCH(183,样本到样信息汇总统计!$Y$2:$Y$500,0)),"")</f>
        <v/>
      </c>
      <c r="L184" s="4" t="str">
        <f>IFERROR(INDEX(样本到样信息汇总统计!L$2:L$500,MATCH(183,样本到样信息汇总统计!$Y$2:$Y$500,0)),"")</f>
        <v/>
      </c>
      <c r="M184" s="4" t="str">
        <f>IFERROR(INDEX(样本到样信息汇总统计!M$2:M$500,MATCH(183,样本到样信息汇总统计!$Y$2:$Y$500,0)),"")</f>
        <v/>
      </c>
      <c r="N184" s="4" t="str">
        <f>IFERROR(INDEX(样本到样信息汇总统计!N$2:N$500,MATCH(183,样本到样信息汇总统计!$Y$2:$Y$500,0)),"")</f>
        <v/>
      </c>
      <c r="O184" s="4" t="str">
        <f>IFERROR(INDEX(样本到样信息汇总统计!O$2:O$500,MATCH(183,样本到样信息汇总统计!$Y$2:$Y$500,0)),"")</f>
        <v/>
      </c>
      <c r="P184" s="4" t="str">
        <f>IFERROR(INDEX(样本到样信息汇总统计!P$2:P$500,MATCH(183,样本到样信息汇总统计!$Y$2:$Y$500,0)),"")</f>
        <v/>
      </c>
      <c r="Q184" s="4" t="str">
        <f>IFERROR(INDEX(样本到样信息汇总统计!Q$2:Q$500,MATCH(183,样本到样信息汇总统计!$Y$2:$Y$500,0)),"")</f>
        <v/>
      </c>
      <c r="R184" s="4" t="str">
        <f>IFERROR(INDEX(样本到样信息汇总统计!R$2:R$500,MATCH(183,样本到样信息汇总统计!$Y$2:$Y$500,0)),"")</f>
        <v/>
      </c>
      <c r="S184" s="4" t="str">
        <f>IFERROR(INDEX(样本到样信息汇总统计!S$2:S$500,MATCH(183,样本到样信息汇总统计!$Y$2:$Y$500,0)),"")</f>
        <v/>
      </c>
      <c r="T184" s="4" t="str">
        <f>IFERROR(INDEX(样本到样信息汇总统计!T$2:T$500,MATCH(183,样本到样信息汇总统计!$Y$2:$Y$500,0)),"")</f>
        <v/>
      </c>
      <c r="U184" s="4" t="str">
        <f>IFERROR(INDEX(样本到样信息汇总统计!U$2:U$500,MATCH(183,样本到样信息汇总统计!$Y$2:$Y$500,0)),"")</f>
        <v/>
      </c>
      <c r="V184" s="4" t="str">
        <f>IFERROR(INDEX(样本到样信息汇总统计!V$2:V$500,MATCH(183,样本到样信息汇总统计!$Y$2:$Y$500,0)),"")</f>
        <v/>
      </c>
      <c r="W184" s="4" t="str">
        <f>IFERROR(INDEX(样本到样信息汇总统计!W$2:W$500,MATCH(183,样本到样信息汇总统计!$Y$2:$Y$500,0)),"")</f>
        <v/>
      </c>
    </row>
    <row r="185" ht="14.5" spans="1:23">
      <c r="A185" s="8" t="str">
        <f>IFERROR(INDEX(样本到样信息汇总统计!A$2:A$500,MATCH(184,样本到样信息汇总统计!$Y$2:$Y$500,0)),"")</f>
        <v/>
      </c>
      <c r="B185" s="8" t="str">
        <f>IFERROR(INDEX(样本到样信息汇总统计!B$2:B$500,MATCH(184,样本到样信息汇总统计!$Y$2:$Y$500,0)),"")</f>
        <v/>
      </c>
      <c r="C185" s="8" t="str">
        <f>IFERROR(INDEX(样本到样信息汇总统计!C$2:C$500,MATCH(184,样本到样信息汇总统计!$Y$2:$Y$500,0)),"")</f>
        <v/>
      </c>
      <c r="D185" s="8" t="str">
        <f>IFERROR(INDEX(样本到样信息汇总统计!D$2:D$500,MATCH(184,样本到样信息汇总统计!$Y$2:$Y$500,0)),"")</f>
        <v/>
      </c>
      <c r="E185" s="8" t="str">
        <f>IFERROR(INDEX(样本到样信息汇总统计!E$2:E$500,MATCH(184,样本到样信息汇总统计!$Y$2:$Y$500,0)),"")</f>
        <v/>
      </c>
      <c r="F185" s="8" t="str">
        <f>IFERROR(INDEX(样本到样信息汇总统计!F$2:F$500,MATCH(184,样本到样信息汇总统计!$Y$2:$Y$500,0)),"")</f>
        <v/>
      </c>
      <c r="G185" s="8" t="str">
        <f>IFERROR(INDEX(样本到样信息汇总统计!G$2:G$500,MATCH(184,样本到样信息汇总统计!$Y$2:$Y$500,0)),"")</f>
        <v/>
      </c>
      <c r="H185" s="8" t="str">
        <f>IFERROR(INDEX(样本到样信息汇总统计!H$2:H$500,MATCH(184,样本到样信息汇总统计!$Y$2:$Y$500,0)),"")</f>
        <v/>
      </c>
      <c r="I185" s="8" t="str">
        <f>IFERROR(INDEX(样本到样信息汇总统计!I$2:I$500,MATCH(184,样本到样信息汇总统计!$Y$2:$Y$500,0)),"")</f>
        <v/>
      </c>
      <c r="J185" s="8" t="str">
        <f>IFERROR(INDEX(样本到样信息汇总统计!J$2:J$500,MATCH(184,样本到样信息汇总统计!$Y$2:$Y$500,0)),"")</f>
        <v/>
      </c>
      <c r="K185" s="8" t="str">
        <f>IFERROR(INDEX(样本到样信息汇总统计!K$2:K$500,MATCH(184,样本到样信息汇总统计!$Y$2:$Y$500,0)),"")</f>
        <v/>
      </c>
      <c r="L185" s="8" t="str">
        <f>IFERROR(INDEX(样本到样信息汇总统计!L$2:L$500,MATCH(184,样本到样信息汇总统计!$Y$2:$Y$500,0)),"")</f>
        <v/>
      </c>
      <c r="M185" s="8" t="str">
        <f>IFERROR(INDEX(样本到样信息汇总统计!M$2:M$500,MATCH(184,样本到样信息汇总统计!$Y$2:$Y$500,0)),"")</f>
        <v/>
      </c>
      <c r="N185" s="8" t="str">
        <f>IFERROR(INDEX(样本到样信息汇总统计!N$2:N$500,MATCH(184,样本到样信息汇总统计!$Y$2:$Y$500,0)),"")</f>
        <v/>
      </c>
      <c r="O185" s="8" t="str">
        <f>IFERROR(INDEX(样本到样信息汇总统计!O$2:O$500,MATCH(184,样本到样信息汇总统计!$Y$2:$Y$500,0)),"")</f>
        <v/>
      </c>
      <c r="P185" s="8" t="str">
        <f>IFERROR(INDEX(样本到样信息汇总统计!P$2:P$500,MATCH(184,样本到样信息汇总统计!$Y$2:$Y$500,0)),"")</f>
        <v/>
      </c>
      <c r="Q185" s="8" t="str">
        <f>IFERROR(INDEX(样本到样信息汇总统计!Q$2:Q$500,MATCH(184,样本到样信息汇总统计!$Y$2:$Y$500,0)),"")</f>
        <v/>
      </c>
      <c r="R185" s="8" t="str">
        <f>IFERROR(INDEX(样本到样信息汇总统计!R$2:R$500,MATCH(184,样本到样信息汇总统计!$Y$2:$Y$500,0)),"")</f>
        <v/>
      </c>
      <c r="S185" s="8" t="str">
        <f>IFERROR(INDEX(样本到样信息汇总统计!S$2:S$500,MATCH(184,样本到样信息汇总统计!$Y$2:$Y$500,0)),"")</f>
        <v/>
      </c>
      <c r="T185" s="8" t="str">
        <f>IFERROR(INDEX(样本到样信息汇总统计!T$2:T$500,MATCH(184,样本到样信息汇总统计!$Y$2:$Y$500,0)),"")</f>
        <v/>
      </c>
      <c r="U185" s="8" t="str">
        <f>IFERROR(INDEX(样本到样信息汇总统计!U$2:U$500,MATCH(184,样本到样信息汇总统计!$Y$2:$Y$500,0)),"")</f>
        <v/>
      </c>
      <c r="V185" s="8" t="str">
        <f>IFERROR(INDEX(样本到样信息汇总统计!V$2:V$500,MATCH(184,样本到样信息汇总统计!$Y$2:$Y$500,0)),"")</f>
        <v/>
      </c>
      <c r="W185" s="8" t="str">
        <f>IFERROR(INDEX(样本到样信息汇总统计!W$2:W$500,MATCH(184,样本到样信息汇总统计!$Y$2:$Y$500,0)),"")</f>
        <v/>
      </c>
    </row>
    <row r="186" ht="14.5" spans="1:23">
      <c r="A186" s="4" t="str">
        <f>IFERROR(INDEX(样本到样信息汇总统计!A$2:A$500,MATCH(185,样本到样信息汇总统计!$Y$2:$Y$500,0)),"")</f>
        <v/>
      </c>
      <c r="B186" s="4" t="str">
        <f>IFERROR(INDEX(样本到样信息汇总统计!B$2:B$500,MATCH(185,样本到样信息汇总统计!$Y$2:$Y$500,0)),"")</f>
        <v/>
      </c>
      <c r="C186" s="4" t="str">
        <f>IFERROR(INDEX(样本到样信息汇总统计!C$2:C$500,MATCH(185,样本到样信息汇总统计!$Y$2:$Y$500,0)),"")</f>
        <v/>
      </c>
      <c r="D186" s="4" t="str">
        <f>IFERROR(INDEX(样本到样信息汇总统计!D$2:D$500,MATCH(185,样本到样信息汇总统计!$Y$2:$Y$500,0)),"")</f>
        <v/>
      </c>
      <c r="E186" s="4" t="str">
        <f>IFERROR(INDEX(样本到样信息汇总统计!E$2:E$500,MATCH(185,样本到样信息汇总统计!$Y$2:$Y$500,0)),"")</f>
        <v/>
      </c>
      <c r="F186" s="4" t="str">
        <f>IFERROR(INDEX(样本到样信息汇总统计!F$2:F$500,MATCH(185,样本到样信息汇总统计!$Y$2:$Y$500,0)),"")</f>
        <v/>
      </c>
      <c r="G186" s="4" t="str">
        <f>IFERROR(INDEX(样本到样信息汇总统计!G$2:G$500,MATCH(185,样本到样信息汇总统计!$Y$2:$Y$500,0)),"")</f>
        <v/>
      </c>
      <c r="H186" s="4" t="str">
        <f>IFERROR(INDEX(样本到样信息汇总统计!H$2:H$500,MATCH(185,样本到样信息汇总统计!$Y$2:$Y$500,0)),"")</f>
        <v/>
      </c>
      <c r="I186" s="4" t="str">
        <f>IFERROR(INDEX(样本到样信息汇总统计!I$2:I$500,MATCH(185,样本到样信息汇总统计!$Y$2:$Y$500,0)),"")</f>
        <v/>
      </c>
      <c r="J186" s="4" t="str">
        <f>IFERROR(INDEX(样本到样信息汇总统计!J$2:J$500,MATCH(185,样本到样信息汇总统计!$Y$2:$Y$500,0)),"")</f>
        <v/>
      </c>
      <c r="K186" s="4" t="str">
        <f>IFERROR(INDEX(样本到样信息汇总统计!K$2:K$500,MATCH(185,样本到样信息汇总统计!$Y$2:$Y$500,0)),"")</f>
        <v/>
      </c>
      <c r="L186" s="4" t="str">
        <f>IFERROR(INDEX(样本到样信息汇总统计!L$2:L$500,MATCH(185,样本到样信息汇总统计!$Y$2:$Y$500,0)),"")</f>
        <v/>
      </c>
      <c r="M186" s="4" t="str">
        <f>IFERROR(INDEX(样本到样信息汇总统计!M$2:M$500,MATCH(185,样本到样信息汇总统计!$Y$2:$Y$500,0)),"")</f>
        <v/>
      </c>
      <c r="N186" s="4" t="str">
        <f>IFERROR(INDEX(样本到样信息汇总统计!N$2:N$500,MATCH(185,样本到样信息汇总统计!$Y$2:$Y$500,0)),"")</f>
        <v/>
      </c>
      <c r="O186" s="4" t="str">
        <f>IFERROR(INDEX(样本到样信息汇总统计!O$2:O$500,MATCH(185,样本到样信息汇总统计!$Y$2:$Y$500,0)),"")</f>
        <v/>
      </c>
      <c r="P186" s="4" t="str">
        <f>IFERROR(INDEX(样本到样信息汇总统计!P$2:P$500,MATCH(185,样本到样信息汇总统计!$Y$2:$Y$500,0)),"")</f>
        <v/>
      </c>
      <c r="Q186" s="4" t="str">
        <f>IFERROR(INDEX(样本到样信息汇总统计!Q$2:Q$500,MATCH(185,样本到样信息汇总统计!$Y$2:$Y$500,0)),"")</f>
        <v/>
      </c>
      <c r="R186" s="4" t="str">
        <f>IFERROR(INDEX(样本到样信息汇总统计!R$2:R$500,MATCH(185,样本到样信息汇总统计!$Y$2:$Y$500,0)),"")</f>
        <v/>
      </c>
      <c r="S186" s="4" t="str">
        <f>IFERROR(INDEX(样本到样信息汇总统计!S$2:S$500,MATCH(185,样本到样信息汇总统计!$Y$2:$Y$500,0)),"")</f>
        <v/>
      </c>
      <c r="T186" s="4" t="str">
        <f>IFERROR(INDEX(样本到样信息汇总统计!T$2:T$500,MATCH(185,样本到样信息汇总统计!$Y$2:$Y$500,0)),"")</f>
        <v/>
      </c>
      <c r="U186" s="4" t="str">
        <f>IFERROR(INDEX(样本到样信息汇总统计!U$2:U$500,MATCH(185,样本到样信息汇总统计!$Y$2:$Y$500,0)),"")</f>
        <v/>
      </c>
      <c r="V186" s="4" t="str">
        <f>IFERROR(INDEX(样本到样信息汇总统计!V$2:V$500,MATCH(185,样本到样信息汇总统计!$Y$2:$Y$500,0)),"")</f>
        <v/>
      </c>
      <c r="W186" s="4" t="str">
        <f>IFERROR(INDEX(样本到样信息汇总统计!W$2:W$500,MATCH(185,样本到样信息汇总统计!$Y$2:$Y$500,0)),"")</f>
        <v/>
      </c>
    </row>
    <row r="187" ht="14.5" spans="1:23">
      <c r="A187" s="8" t="str">
        <f>IFERROR(INDEX(样本到样信息汇总统计!A$2:A$500,MATCH(186,样本到样信息汇总统计!$Y$2:$Y$500,0)),"")</f>
        <v/>
      </c>
      <c r="B187" s="8" t="str">
        <f>IFERROR(INDEX(样本到样信息汇总统计!B$2:B$500,MATCH(186,样本到样信息汇总统计!$Y$2:$Y$500,0)),"")</f>
        <v/>
      </c>
      <c r="C187" s="8" t="str">
        <f>IFERROR(INDEX(样本到样信息汇总统计!C$2:C$500,MATCH(186,样本到样信息汇总统计!$Y$2:$Y$500,0)),"")</f>
        <v/>
      </c>
      <c r="D187" s="8" t="str">
        <f>IFERROR(INDEX(样本到样信息汇总统计!D$2:D$500,MATCH(186,样本到样信息汇总统计!$Y$2:$Y$500,0)),"")</f>
        <v/>
      </c>
      <c r="E187" s="8" t="str">
        <f>IFERROR(INDEX(样本到样信息汇总统计!E$2:E$500,MATCH(186,样本到样信息汇总统计!$Y$2:$Y$500,0)),"")</f>
        <v/>
      </c>
      <c r="F187" s="8" t="str">
        <f>IFERROR(INDEX(样本到样信息汇总统计!F$2:F$500,MATCH(186,样本到样信息汇总统计!$Y$2:$Y$500,0)),"")</f>
        <v/>
      </c>
      <c r="G187" s="8" t="str">
        <f>IFERROR(INDEX(样本到样信息汇总统计!G$2:G$500,MATCH(186,样本到样信息汇总统计!$Y$2:$Y$500,0)),"")</f>
        <v/>
      </c>
      <c r="H187" s="8" t="str">
        <f>IFERROR(INDEX(样本到样信息汇总统计!H$2:H$500,MATCH(186,样本到样信息汇总统计!$Y$2:$Y$500,0)),"")</f>
        <v/>
      </c>
      <c r="I187" s="8" t="str">
        <f>IFERROR(INDEX(样本到样信息汇总统计!I$2:I$500,MATCH(186,样本到样信息汇总统计!$Y$2:$Y$500,0)),"")</f>
        <v/>
      </c>
      <c r="J187" s="8" t="str">
        <f>IFERROR(INDEX(样本到样信息汇总统计!J$2:J$500,MATCH(186,样本到样信息汇总统计!$Y$2:$Y$500,0)),"")</f>
        <v/>
      </c>
      <c r="K187" s="8" t="str">
        <f>IFERROR(INDEX(样本到样信息汇总统计!K$2:K$500,MATCH(186,样本到样信息汇总统计!$Y$2:$Y$500,0)),"")</f>
        <v/>
      </c>
      <c r="L187" s="8" t="str">
        <f>IFERROR(INDEX(样本到样信息汇总统计!L$2:L$500,MATCH(186,样本到样信息汇总统计!$Y$2:$Y$500,0)),"")</f>
        <v/>
      </c>
      <c r="M187" s="8" t="str">
        <f>IFERROR(INDEX(样本到样信息汇总统计!M$2:M$500,MATCH(186,样本到样信息汇总统计!$Y$2:$Y$500,0)),"")</f>
        <v/>
      </c>
      <c r="N187" s="8" t="str">
        <f>IFERROR(INDEX(样本到样信息汇总统计!N$2:N$500,MATCH(186,样本到样信息汇总统计!$Y$2:$Y$500,0)),"")</f>
        <v/>
      </c>
      <c r="O187" s="8" t="str">
        <f>IFERROR(INDEX(样本到样信息汇总统计!O$2:O$500,MATCH(186,样本到样信息汇总统计!$Y$2:$Y$500,0)),"")</f>
        <v/>
      </c>
      <c r="P187" s="8" t="str">
        <f>IFERROR(INDEX(样本到样信息汇总统计!P$2:P$500,MATCH(186,样本到样信息汇总统计!$Y$2:$Y$500,0)),"")</f>
        <v/>
      </c>
      <c r="Q187" s="8" t="str">
        <f>IFERROR(INDEX(样本到样信息汇总统计!Q$2:Q$500,MATCH(186,样本到样信息汇总统计!$Y$2:$Y$500,0)),"")</f>
        <v/>
      </c>
      <c r="R187" s="8" t="str">
        <f>IFERROR(INDEX(样本到样信息汇总统计!R$2:R$500,MATCH(186,样本到样信息汇总统计!$Y$2:$Y$500,0)),"")</f>
        <v/>
      </c>
      <c r="S187" s="8" t="str">
        <f>IFERROR(INDEX(样本到样信息汇总统计!S$2:S$500,MATCH(186,样本到样信息汇总统计!$Y$2:$Y$500,0)),"")</f>
        <v/>
      </c>
      <c r="T187" s="8" t="str">
        <f>IFERROR(INDEX(样本到样信息汇总统计!T$2:T$500,MATCH(186,样本到样信息汇总统计!$Y$2:$Y$500,0)),"")</f>
        <v/>
      </c>
      <c r="U187" s="8" t="str">
        <f>IFERROR(INDEX(样本到样信息汇总统计!U$2:U$500,MATCH(186,样本到样信息汇总统计!$Y$2:$Y$500,0)),"")</f>
        <v/>
      </c>
      <c r="V187" s="8" t="str">
        <f>IFERROR(INDEX(样本到样信息汇总统计!V$2:V$500,MATCH(186,样本到样信息汇总统计!$Y$2:$Y$500,0)),"")</f>
        <v/>
      </c>
      <c r="W187" s="8" t="str">
        <f>IFERROR(INDEX(样本到样信息汇总统计!W$2:W$500,MATCH(186,样本到样信息汇总统计!$Y$2:$Y$500,0)),"")</f>
        <v/>
      </c>
    </row>
    <row r="188" ht="14.5" spans="1:23">
      <c r="A188" s="4" t="str">
        <f>IFERROR(INDEX(样本到样信息汇总统计!A$2:A$500,MATCH(187,样本到样信息汇总统计!$Y$2:$Y$500,0)),"")</f>
        <v/>
      </c>
      <c r="B188" s="4" t="str">
        <f>IFERROR(INDEX(样本到样信息汇总统计!B$2:B$500,MATCH(187,样本到样信息汇总统计!$Y$2:$Y$500,0)),"")</f>
        <v/>
      </c>
      <c r="C188" s="4" t="str">
        <f>IFERROR(INDEX(样本到样信息汇总统计!C$2:C$500,MATCH(187,样本到样信息汇总统计!$Y$2:$Y$500,0)),"")</f>
        <v/>
      </c>
      <c r="D188" s="4" t="str">
        <f>IFERROR(INDEX(样本到样信息汇总统计!D$2:D$500,MATCH(187,样本到样信息汇总统计!$Y$2:$Y$500,0)),"")</f>
        <v/>
      </c>
      <c r="E188" s="4" t="str">
        <f>IFERROR(INDEX(样本到样信息汇总统计!E$2:E$500,MATCH(187,样本到样信息汇总统计!$Y$2:$Y$500,0)),"")</f>
        <v/>
      </c>
      <c r="F188" s="4" t="str">
        <f>IFERROR(INDEX(样本到样信息汇总统计!F$2:F$500,MATCH(187,样本到样信息汇总统计!$Y$2:$Y$500,0)),"")</f>
        <v/>
      </c>
      <c r="G188" s="4" t="str">
        <f>IFERROR(INDEX(样本到样信息汇总统计!G$2:G$500,MATCH(187,样本到样信息汇总统计!$Y$2:$Y$500,0)),"")</f>
        <v/>
      </c>
      <c r="H188" s="4" t="str">
        <f>IFERROR(INDEX(样本到样信息汇总统计!H$2:H$500,MATCH(187,样本到样信息汇总统计!$Y$2:$Y$500,0)),"")</f>
        <v/>
      </c>
      <c r="I188" s="4" t="str">
        <f>IFERROR(INDEX(样本到样信息汇总统计!I$2:I$500,MATCH(187,样本到样信息汇总统计!$Y$2:$Y$500,0)),"")</f>
        <v/>
      </c>
      <c r="J188" s="4" t="str">
        <f>IFERROR(INDEX(样本到样信息汇总统计!J$2:J$500,MATCH(187,样本到样信息汇总统计!$Y$2:$Y$500,0)),"")</f>
        <v/>
      </c>
      <c r="K188" s="4" t="str">
        <f>IFERROR(INDEX(样本到样信息汇总统计!K$2:K$500,MATCH(187,样本到样信息汇总统计!$Y$2:$Y$500,0)),"")</f>
        <v/>
      </c>
      <c r="L188" s="4" t="str">
        <f>IFERROR(INDEX(样本到样信息汇总统计!L$2:L$500,MATCH(187,样本到样信息汇总统计!$Y$2:$Y$500,0)),"")</f>
        <v/>
      </c>
      <c r="M188" s="4" t="str">
        <f>IFERROR(INDEX(样本到样信息汇总统计!M$2:M$500,MATCH(187,样本到样信息汇总统计!$Y$2:$Y$500,0)),"")</f>
        <v/>
      </c>
      <c r="N188" s="4" t="str">
        <f>IFERROR(INDEX(样本到样信息汇总统计!N$2:N$500,MATCH(187,样本到样信息汇总统计!$Y$2:$Y$500,0)),"")</f>
        <v/>
      </c>
      <c r="O188" s="4" t="str">
        <f>IFERROR(INDEX(样本到样信息汇总统计!O$2:O$500,MATCH(187,样本到样信息汇总统计!$Y$2:$Y$500,0)),"")</f>
        <v/>
      </c>
      <c r="P188" s="4" t="str">
        <f>IFERROR(INDEX(样本到样信息汇总统计!P$2:P$500,MATCH(187,样本到样信息汇总统计!$Y$2:$Y$500,0)),"")</f>
        <v/>
      </c>
      <c r="Q188" s="4" t="str">
        <f>IFERROR(INDEX(样本到样信息汇总统计!Q$2:Q$500,MATCH(187,样本到样信息汇总统计!$Y$2:$Y$500,0)),"")</f>
        <v/>
      </c>
      <c r="R188" s="4" t="str">
        <f>IFERROR(INDEX(样本到样信息汇总统计!R$2:R$500,MATCH(187,样本到样信息汇总统计!$Y$2:$Y$500,0)),"")</f>
        <v/>
      </c>
      <c r="S188" s="4" t="str">
        <f>IFERROR(INDEX(样本到样信息汇总统计!S$2:S$500,MATCH(187,样本到样信息汇总统计!$Y$2:$Y$500,0)),"")</f>
        <v/>
      </c>
      <c r="T188" s="4" t="str">
        <f>IFERROR(INDEX(样本到样信息汇总统计!T$2:T$500,MATCH(187,样本到样信息汇总统计!$Y$2:$Y$500,0)),"")</f>
        <v/>
      </c>
      <c r="U188" s="4" t="str">
        <f>IFERROR(INDEX(样本到样信息汇总统计!U$2:U$500,MATCH(187,样本到样信息汇总统计!$Y$2:$Y$500,0)),"")</f>
        <v/>
      </c>
      <c r="V188" s="4" t="str">
        <f>IFERROR(INDEX(样本到样信息汇总统计!V$2:V$500,MATCH(187,样本到样信息汇总统计!$Y$2:$Y$500,0)),"")</f>
        <v/>
      </c>
      <c r="W188" s="4" t="str">
        <f>IFERROR(INDEX(样本到样信息汇总统计!W$2:W$500,MATCH(187,样本到样信息汇总统计!$Y$2:$Y$500,0)),"")</f>
        <v/>
      </c>
    </row>
    <row r="189" ht="14.5" spans="1:23">
      <c r="A189" s="8" t="str">
        <f>IFERROR(INDEX(样本到样信息汇总统计!A$2:A$500,MATCH(188,样本到样信息汇总统计!$Y$2:$Y$500,0)),"")</f>
        <v/>
      </c>
      <c r="B189" s="8" t="str">
        <f>IFERROR(INDEX(样本到样信息汇总统计!B$2:B$500,MATCH(188,样本到样信息汇总统计!$Y$2:$Y$500,0)),"")</f>
        <v/>
      </c>
      <c r="C189" s="8" t="str">
        <f>IFERROR(INDEX(样本到样信息汇总统计!C$2:C$500,MATCH(188,样本到样信息汇总统计!$Y$2:$Y$500,0)),"")</f>
        <v/>
      </c>
      <c r="D189" s="8" t="str">
        <f>IFERROR(INDEX(样本到样信息汇总统计!D$2:D$500,MATCH(188,样本到样信息汇总统计!$Y$2:$Y$500,0)),"")</f>
        <v/>
      </c>
      <c r="E189" s="8" t="str">
        <f>IFERROR(INDEX(样本到样信息汇总统计!E$2:E$500,MATCH(188,样本到样信息汇总统计!$Y$2:$Y$500,0)),"")</f>
        <v/>
      </c>
      <c r="F189" s="8" t="str">
        <f>IFERROR(INDEX(样本到样信息汇总统计!F$2:F$500,MATCH(188,样本到样信息汇总统计!$Y$2:$Y$500,0)),"")</f>
        <v/>
      </c>
      <c r="G189" s="8" t="str">
        <f>IFERROR(INDEX(样本到样信息汇总统计!G$2:G$500,MATCH(188,样本到样信息汇总统计!$Y$2:$Y$500,0)),"")</f>
        <v/>
      </c>
      <c r="H189" s="8" t="str">
        <f>IFERROR(INDEX(样本到样信息汇总统计!H$2:H$500,MATCH(188,样本到样信息汇总统计!$Y$2:$Y$500,0)),"")</f>
        <v/>
      </c>
      <c r="I189" s="8" t="str">
        <f>IFERROR(INDEX(样本到样信息汇总统计!I$2:I$500,MATCH(188,样本到样信息汇总统计!$Y$2:$Y$500,0)),"")</f>
        <v/>
      </c>
      <c r="J189" s="8" t="str">
        <f>IFERROR(INDEX(样本到样信息汇总统计!J$2:J$500,MATCH(188,样本到样信息汇总统计!$Y$2:$Y$500,0)),"")</f>
        <v/>
      </c>
      <c r="K189" s="8" t="str">
        <f>IFERROR(INDEX(样本到样信息汇总统计!K$2:K$500,MATCH(188,样本到样信息汇总统计!$Y$2:$Y$500,0)),"")</f>
        <v/>
      </c>
      <c r="L189" s="8" t="str">
        <f>IFERROR(INDEX(样本到样信息汇总统计!L$2:L$500,MATCH(188,样本到样信息汇总统计!$Y$2:$Y$500,0)),"")</f>
        <v/>
      </c>
      <c r="M189" s="8" t="str">
        <f>IFERROR(INDEX(样本到样信息汇总统计!M$2:M$500,MATCH(188,样本到样信息汇总统计!$Y$2:$Y$500,0)),"")</f>
        <v/>
      </c>
      <c r="N189" s="8" t="str">
        <f>IFERROR(INDEX(样本到样信息汇总统计!N$2:N$500,MATCH(188,样本到样信息汇总统计!$Y$2:$Y$500,0)),"")</f>
        <v/>
      </c>
      <c r="O189" s="8" t="str">
        <f>IFERROR(INDEX(样本到样信息汇总统计!O$2:O$500,MATCH(188,样本到样信息汇总统计!$Y$2:$Y$500,0)),"")</f>
        <v/>
      </c>
      <c r="P189" s="8" t="str">
        <f>IFERROR(INDEX(样本到样信息汇总统计!P$2:P$500,MATCH(188,样本到样信息汇总统计!$Y$2:$Y$500,0)),"")</f>
        <v/>
      </c>
      <c r="Q189" s="8" t="str">
        <f>IFERROR(INDEX(样本到样信息汇总统计!Q$2:Q$500,MATCH(188,样本到样信息汇总统计!$Y$2:$Y$500,0)),"")</f>
        <v/>
      </c>
      <c r="R189" s="8" t="str">
        <f>IFERROR(INDEX(样本到样信息汇总统计!R$2:R$500,MATCH(188,样本到样信息汇总统计!$Y$2:$Y$500,0)),"")</f>
        <v/>
      </c>
      <c r="S189" s="8" t="str">
        <f>IFERROR(INDEX(样本到样信息汇总统计!S$2:S$500,MATCH(188,样本到样信息汇总统计!$Y$2:$Y$500,0)),"")</f>
        <v/>
      </c>
      <c r="T189" s="8" t="str">
        <f>IFERROR(INDEX(样本到样信息汇总统计!T$2:T$500,MATCH(188,样本到样信息汇总统计!$Y$2:$Y$500,0)),"")</f>
        <v/>
      </c>
      <c r="U189" s="8" t="str">
        <f>IFERROR(INDEX(样本到样信息汇总统计!U$2:U$500,MATCH(188,样本到样信息汇总统计!$Y$2:$Y$500,0)),"")</f>
        <v/>
      </c>
      <c r="V189" s="8" t="str">
        <f>IFERROR(INDEX(样本到样信息汇总统计!V$2:V$500,MATCH(188,样本到样信息汇总统计!$Y$2:$Y$500,0)),"")</f>
        <v/>
      </c>
      <c r="W189" s="8" t="str">
        <f>IFERROR(INDEX(样本到样信息汇总统计!W$2:W$500,MATCH(188,样本到样信息汇总统计!$Y$2:$Y$500,0)),"")</f>
        <v/>
      </c>
    </row>
    <row r="190" ht="14.5" spans="1:23">
      <c r="A190" s="4" t="str">
        <f>IFERROR(INDEX(样本到样信息汇总统计!A$2:A$500,MATCH(189,样本到样信息汇总统计!$Y$2:$Y$500,0)),"")</f>
        <v/>
      </c>
      <c r="B190" s="4" t="str">
        <f>IFERROR(INDEX(样本到样信息汇总统计!B$2:B$500,MATCH(189,样本到样信息汇总统计!$Y$2:$Y$500,0)),"")</f>
        <v/>
      </c>
      <c r="C190" s="4" t="str">
        <f>IFERROR(INDEX(样本到样信息汇总统计!C$2:C$500,MATCH(189,样本到样信息汇总统计!$Y$2:$Y$500,0)),"")</f>
        <v/>
      </c>
      <c r="D190" s="4" t="str">
        <f>IFERROR(INDEX(样本到样信息汇总统计!D$2:D$500,MATCH(189,样本到样信息汇总统计!$Y$2:$Y$500,0)),"")</f>
        <v/>
      </c>
      <c r="E190" s="4" t="str">
        <f>IFERROR(INDEX(样本到样信息汇总统计!E$2:E$500,MATCH(189,样本到样信息汇总统计!$Y$2:$Y$500,0)),"")</f>
        <v/>
      </c>
      <c r="F190" s="4" t="str">
        <f>IFERROR(INDEX(样本到样信息汇总统计!F$2:F$500,MATCH(189,样本到样信息汇总统计!$Y$2:$Y$500,0)),"")</f>
        <v/>
      </c>
      <c r="G190" s="4" t="str">
        <f>IFERROR(INDEX(样本到样信息汇总统计!G$2:G$500,MATCH(189,样本到样信息汇总统计!$Y$2:$Y$500,0)),"")</f>
        <v/>
      </c>
      <c r="H190" s="4" t="str">
        <f>IFERROR(INDEX(样本到样信息汇总统计!H$2:H$500,MATCH(189,样本到样信息汇总统计!$Y$2:$Y$500,0)),"")</f>
        <v/>
      </c>
      <c r="I190" s="4" t="str">
        <f>IFERROR(INDEX(样本到样信息汇总统计!I$2:I$500,MATCH(189,样本到样信息汇总统计!$Y$2:$Y$500,0)),"")</f>
        <v/>
      </c>
      <c r="J190" s="4" t="str">
        <f>IFERROR(INDEX(样本到样信息汇总统计!J$2:J$500,MATCH(189,样本到样信息汇总统计!$Y$2:$Y$500,0)),"")</f>
        <v/>
      </c>
      <c r="K190" s="4" t="str">
        <f>IFERROR(INDEX(样本到样信息汇总统计!K$2:K$500,MATCH(189,样本到样信息汇总统计!$Y$2:$Y$500,0)),"")</f>
        <v/>
      </c>
      <c r="L190" s="4" t="str">
        <f>IFERROR(INDEX(样本到样信息汇总统计!L$2:L$500,MATCH(189,样本到样信息汇总统计!$Y$2:$Y$500,0)),"")</f>
        <v/>
      </c>
      <c r="M190" s="4" t="str">
        <f>IFERROR(INDEX(样本到样信息汇总统计!M$2:M$500,MATCH(189,样本到样信息汇总统计!$Y$2:$Y$500,0)),"")</f>
        <v/>
      </c>
      <c r="N190" s="4" t="str">
        <f>IFERROR(INDEX(样本到样信息汇总统计!N$2:N$500,MATCH(189,样本到样信息汇总统计!$Y$2:$Y$500,0)),"")</f>
        <v/>
      </c>
      <c r="O190" s="4" t="str">
        <f>IFERROR(INDEX(样本到样信息汇总统计!O$2:O$500,MATCH(189,样本到样信息汇总统计!$Y$2:$Y$500,0)),"")</f>
        <v/>
      </c>
      <c r="P190" s="4" t="str">
        <f>IFERROR(INDEX(样本到样信息汇总统计!P$2:P$500,MATCH(189,样本到样信息汇总统计!$Y$2:$Y$500,0)),"")</f>
        <v/>
      </c>
      <c r="Q190" s="4" t="str">
        <f>IFERROR(INDEX(样本到样信息汇总统计!Q$2:Q$500,MATCH(189,样本到样信息汇总统计!$Y$2:$Y$500,0)),"")</f>
        <v/>
      </c>
      <c r="R190" s="4" t="str">
        <f>IFERROR(INDEX(样本到样信息汇总统计!R$2:R$500,MATCH(189,样本到样信息汇总统计!$Y$2:$Y$500,0)),"")</f>
        <v/>
      </c>
      <c r="S190" s="4" t="str">
        <f>IFERROR(INDEX(样本到样信息汇总统计!S$2:S$500,MATCH(189,样本到样信息汇总统计!$Y$2:$Y$500,0)),"")</f>
        <v/>
      </c>
      <c r="T190" s="4" t="str">
        <f>IFERROR(INDEX(样本到样信息汇总统计!T$2:T$500,MATCH(189,样本到样信息汇总统计!$Y$2:$Y$500,0)),"")</f>
        <v/>
      </c>
      <c r="U190" s="4" t="str">
        <f>IFERROR(INDEX(样本到样信息汇总统计!U$2:U$500,MATCH(189,样本到样信息汇总统计!$Y$2:$Y$500,0)),"")</f>
        <v/>
      </c>
      <c r="V190" s="4" t="str">
        <f>IFERROR(INDEX(样本到样信息汇总统计!V$2:V$500,MATCH(189,样本到样信息汇总统计!$Y$2:$Y$500,0)),"")</f>
        <v/>
      </c>
      <c r="W190" s="4" t="str">
        <f>IFERROR(INDEX(样本到样信息汇总统计!W$2:W$500,MATCH(189,样本到样信息汇总统计!$Y$2:$Y$500,0)),"")</f>
        <v/>
      </c>
    </row>
    <row r="191" ht="14.5" spans="1:23">
      <c r="A191" s="8" t="str">
        <f>IFERROR(INDEX(样本到样信息汇总统计!A$2:A$500,MATCH(190,样本到样信息汇总统计!$Y$2:$Y$500,0)),"")</f>
        <v/>
      </c>
      <c r="B191" s="8" t="str">
        <f>IFERROR(INDEX(样本到样信息汇总统计!B$2:B$500,MATCH(190,样本到样信息汇总统计!$Y$2:$Y$500,0)),"")</f>
        <v/>
      </c>
      <c r="C191" s="8" t="str">
        <f>IFERROR(INDEX(样本到样信息汇总统计!C$2:C$500,MATCH(190,样本到样信息汇总统计!$Y$2:$Y$500,0)),"")</f>
        <v/>
      </c>
      <c r="D191" s="8" t="str">
        <f>IFERROR(INDEX(样本到样信息汇总统计!D$2:D$500,MATCH(190,样本到样信息汇总统计!$Y$2:$Y$500,0)),"")</f>
        <v/>
      </c>
      <c r="E191" s="8" t="str">
        <f>IFERROR(INDEX(样本到样信息汇总统计!E$2:E$500,MATCH(190,样本到样信息汇总统计!$Y$2:$Y$500,0)),"")</f>
        <v/>
      </c>
      <c r="F191" s="8" t="str">
        <f>IFERROR(INDEX(样本到样信息汇总统计!F$2:F$500,MATCH(190,样本到样信息汇总统计!$Y$2:$Y$500,0)),"")</f>
        <v/>
      </c>
      <c r="G191" s="8" t="str">
        <f>IFERROR(INDEX(样本到样信息汇总统计!G$2:G$500,MATCH(190,样本到样信息汇总统计!$Y$2:$Y$500,0)),"")</f>
        <v/>
      </c>
      <c r="H191" s="8" t="str">
        <f>IFERROR(INDEX(样本到样信息汇总统计!H$2:H$500,MATCH(190,样本到样信息汇总统计!$Y$2:$Y$500,0)),"")</f>
        <v/>
      </c>
      <c r="I191" s="8" t="str">
        <f>IFERROR(INDEX(样本到样信息汇总统计!I$2:I$500,MATCH(190,样本到样信息汇总统计!$Y$2:$Y$500,0)),"")</f>
        <v/>
      </c>
      <c r="J191" s="8" t="str">
        <f>IFERROR(INDEX(样本到样信息汇总统计!J$2:J$500,MATCH(190,样本到样信息汇总统计!$Y$2:$Y$500,0)),"")</f>
        <v/>
      </c>
      <c r="K191" s="8" t="str">
        <f>IFERROR(INDEX(样本到样信息汇总统计!K$2:K$500,MATCH(190,样本到样信息汇总统计!$Y$2:$Y$500,0)),"")</f>
        <v/>
      </c>
      <c r="L191" s="8" t="str">
        <f>IFERROR(INDEX(样本到样信息汇总统计!L$2:L$500,MATCH(190,样本到样信息汇总统计!$Y$2:$Y$500,0)),"")</f>
        <v/>
      </c>
      <c r="M191" s="8" t="str">
        <f>IFERROR(INDEX(样本到样信息汇总统计!M$2:M$500,MATCH(190,样本到样信息汇总统计!$Y$2:$Y$500,0)),"")</f>
        <v/>
      </c>
      <c r="N191" s="8" t="str">
        <f>IFERROR(INDEX(样本到样信息汇总统计!N$2:N$500,MATCH(190,样本到样信息汇总统计!$Y$2:$Y$500,0)),"")</f>
        <v/>
      </c>
      <c r="O191" s="8" t="str">
        <f>IFERROR(INDEX(样本到样信息汇总统计!O$2:O$500,MATCH(190,样本到样信息汇总统计!$Y$2:$Y$500,0)),"")</f>
        <v/>
      </c>
      <c r="P191" s="8" t="str">
        <f>IFERROR(INDEX(样本到样信息汇总统计!P$2:P$500,MATCH(190,样本到样信息汇总统计!$Y$2:$Y$500,0)),"")</f>
        <v/>
      </c>
      <c r="Q191" s="8" t="str">
        <f>IFERROR(INDEX(样本到样信息汇总统计!Q$2:Q$500,MATCH(190,样本到样信息汇总统计!$Y$2:$Y$500,0)),"")</f>
        <v/>
      </c>
      <c r="R191" s="8" t="str">
        <f>IFERROR(INDEX(样本到样信息汇总统计!R$2:R$500,MATCH(190,样本到样信息汇总统计!$Y$2:$Y$500,0)),"")</f>
        <v/>
      </c>
      <c r="S191" s="8" t="str">
        <f>IFERROR(INDEX(样本到样信息汇总统计!S$2:S$500,MATCH(190,样本到样信息汇总统计!$Y$2:$Y$500,0)),"")</f>
        <v/>
      </c>
      <c r="T191" s="8" t="str">
        <f>IFERROR(INDEX(样本到样信息汇总统计!T$2:T$500,MATCH(190,样本到样信息汇总统计!$Y$2:$Y$500,0)),"")</f>
        <v/>
      </c>
      <c r="U191" s="8" t="str">
        <f>IFERROR(INDEX(样本到样信息汇总统计!U$2:U$500,MATCH(190,样本到样信息汇总统计!$Y$2:$Y$500,0)),"")</f>
        <v/>
      </c>
      <c r="V191" s="8" t="str">
        <f>IFERROR(INDEX(样本到样信息汇总统计!V$2:V$500,MATCH(190,样本到样信息汇总统计!$Y$2:$Y$500,0)),"")</f>
        <v/>
      </c>
      <c r="W191" s="8" t="str">
        <f>IFERROR(INDEX(样本到样信息汇总统计!W$2:W$500,MATCH(190,样本到样信息汇总统计!$Y$2:$Y$500,0)),"")</f>
        <v/>
      </c>
    </row>
    <row r="192" ht="14.5" spans="1:23">
      <c r="A192" s="4" t="str">
        <f>IFERROR(INDEX(样本到样信息汇总统计!A$2:A$500,MATCH(191,样本到样信息汇总统计!$Y$2:$Y$500,0)),"")</f>
        <v/>
      </c>
      <c r="B192" s="4" t="str">
        <f>IFERROR(INDEX(样本到样信息汇总统计!B$2:B$500,MATCH(191,样本到样信息汇总统计!$Y$2:$Y$500,0)),"")</f>
        <v/>
      </c>
      <c r="C192" s="4" t="str">
        <f>IFERROR(INDEX(样本到样信息汇总统计!C$2:C$500,MATCH(191,样本到样信息汇总统计!$Y$2:$Y$500,0)),"")</f>
        <v/>
      </c>
      <c r="D192" s="4" t="str">
        <f>IFERROR(INDEX(样本到样信息汇总统计!D$2:D$500,MATCH(191,样本到样信息汇总统计!$Y$2:$Y$500,0)),"")</f>
        <v/>
      </c>
      <c r="E192" s="4" t="str">
        <f>IFERROR(INDEX(样本到样信息汇总统计!E$2:E$500,MATCH(191,样本到样信息汇总统计!$Y$2:$Y$500,0)),"")</f>
        <v/>
      </c>
      <c r="F192" s="4" t="str">
        <f>IFERROR(INDEX(样本到样信息汇总统计!F$2:F$500,MATCH(191,样本到样信息汇总统计!$Y$2:$Y$500,0)),"")</f>
        <v/>
      </c>
      <c r="G192" s="4" t="str">
        <f>IFERROR(INDEX(样本到样信息汇总统计!G$2:G$500,MATCH(191,样本到样信息汇总统计!$Y$2:$Y$500,0)),"")</f>
        <v/>
      </c>
      <c r="H192" s="4" t="str">
        <f>IFERROR(INDEX(样本到样信息汇总统计!H$2:H$500,MATCH(191,样本到样信息汇总统计!$Y$2:$Y$500,0)),"")</f>
        <v/>
      </c>
      <c r="I192" s="4" t="str">
        <f>IFERROR(INDEX(样本到样信息汇总统计!I$2:I$500,MATCH(191,样本到样信息汇总统计!$Y$2:$Y$500,0)),"")</f>
        <v/>
      </c>
      <c r="J192" s="4" t="str">
        <f>IFERROR(INDEX(样本到样信息汇总统计!J$2:J$500,MATCH(191,样本到样信息汇总统计!$Y$2:$Y$500,0)),"")</f>
        <v/>
      </c>
      <c r="K192" s="4" t="str">
        <f>IFERROR(INDEX(样本到样信息汇总统计!K$2:K$500,MATCH(191,样本到样信息汇总统计!$Y$2:$Y$500,0)),"")</f>
        <v/>
      </c>
      <c r="L192" s="4" t="str">
        <f>IFERROR(INDEX(样本到样信息汇总统计!L$2:L$500,MATCH(191,样本到样信息汇总统计!$Y$2:$Y$500,0)),"")</f>
        <v/>
      </c>
      <c r="M192" s="4" t="str">
        <f>IFERROR(INDEX(样本到样信息汇总统计!M$2:M$500,MATCH(191,样本到样信息汇总统计!$Y$2:$Y$500,0)),"")</f>
        <v/>
      </c>
      <c r="N192" s="4" t="str">
        <f>IFERROR(INDEX(样本到样信息汇总统计!N$2:N$500,MATCH(191,样本到样信息汇总统计!$Y$2:$Y$500,0)),"")</f>
        <v/>
      </c>
      <c r="O192" s="4" t="str">
        <f>IFERROR(INDEX(样本到样信息汇总统计!O$2:O$500,MATCH(191,样本到样信息汇总统计!$Y$2:$Y$500,0)),"")</f>
        <v/>
      </c>
      <c r="P192" s="4" t="str">
        <f>IFERROR(INDEX(样本到样信息汇总统计!P$2:P$500,MATCH(191,样本到样信息汇总统计!$Y$2:$Y$500,0)),"")</f>
        <v/>
      </c>
      <c r="Q192" s="4" t="str">
        <f>IFERROR(INDEX(样本到样信息汇总统计!Q$2:Q$500,MATCH(191,样本到样信息汇总统计!$Y$2:$Y$500,0)),"")</f>
        <v/>
      </c>
      <c r="R192" s="4" t="str">
        <f>IFERROR(INDEX(样本到样信息汇总统计!R$2:R$500,MATCH(191,样本到样信息汇总统计!$Y$2:$Y$500,0)),"")</f>
        <v/>
      </c>
      <c r="S192" s="4" t="str">
        <f>IFERROR(INDEX(样本到样信息汇总统计!S$2:S$500,MATCH(191,样本到样信息汇总统计!$Y$2:$Y$500,0)),"")</f>
        <v/>
      </c>
      <c r="T192" s="4" t="str">
        <f>IFERROR(INDEX(样本到样信息汇总统计!T$2:T$500,MATCH(191,样本到样信息汇总统计!$Y$2:$Y$500,0)),"")</f>
        <v/>
      </c>
      <c r="U192" s="4" t="str">
        <f>IFERROR(INDEX(样本到样信息汇总统计!U$2:U$500,MATCH(191,样本到样信息汇总统计!$Y$2:$Y$500,0)),"")</f>
        <v/>
      </c>
      <c r="V192" s="4" t="str">
        <f>IFERROR(INDEX(样本到样信息汇总统计!V$2:V$500,MATCH(191,样本到样信息汇总统计!$Y$2:$Y$500,0)),"")</f>
        <v/>
      </c>
      <c r="W192" s="4" t="str">
        <f>IFERROR(INDEX(样本到样信息汇总统计!W$2:W$500,MATCH(191,样本到样信息汇总统计!$Y$2:$Y$500,0)),"")</f>
        <v/>
      </c>
    </row>
    <row r="193" ht="14.5" spans="1:23">
      <c r="A193" s="8" t="str">
        <f>IFERROR(INDEX(样本到样信息汇总统计!A$2:A$500,MATCH(192,样本到样信息汇总统计!$Y$2:$Y$500,0)),"")</f>
        <v/>
      </c>
      <c r="B193" s="8" t="str">
        <f>IFERROR(INDEX(样本到样信息汇总统计!B$2:B$500,MATCH(192,样本到样信息汇总统计!$Y$2:$Y$500,0)),"")</f>
        <v/>
      </c>
      <c r="C193" s="8" t="str">
        <f>IFERROR(INDEX(样本到样信息汇总统计!C$2:C$500,MATCH(192,样本到样信息汇总统计!$Y$2:$Y$500,0)),"")</f>
        <v/>
      </c>
      <c r="D193" s="8" t="str">
        <f>IFERROR(INDEX(样本到样信息汇总统计!D$2:D$500,MATCH(192,样本到样信息汇总统计!$Y$2:$Y$500,0)),"")</f>
        <v/>
      </c>
      <c r="E193" s="8" t="str">
        <f>IFERROR(INDEX(样本到样信息汇总统计!E$2:E$500,MATCH(192,样本到样信息汇总统计!$Y$2:$Y$500,0)),"")</f>
        <v/>
      </c>
      <c r="F193" s="8" t="str">
        <f>IFERROR(INDEX(样本到样信息汇总统计!F$2:F$500,MATCH(192,样本到样信息汇总统计!$Y$2:$Y$500,0)),"")</f>
        <v/>
      </c>
      <c r="G193" s="8" t="str">
        <f>IFERROR(INDEX(样本到样信息汇总统计!G$2:G$500,MATCH(192,样本到样信息汇总统计!$Y$2:$Y$500,0)),"")</f>
        <v/>
      </c>
      <c r="H193" s="8" t="str">
        <f>IFERROR(INDEX(样本到样信息汇总统计!H$2:H$500,MATCH(192,样本到样信息汇总统计!$Y$2:$Y$500,0)),"")</f>
        <v/>
      </c>
      <c r="I193" s="8" t="str">
        <f>IFERROR(INDEX(样本到样信息汇总统计!I$2:I$500,MATCH(192,样本到样信息汇总统计!$Y$2:$Y$500,0)),"")</f>
        <v/>
      </c>
      <c r="J193" s="8" t="str">
        <f>IFERROR(INDEX(样本到样信息汇总统计!J$2:J$500,MATCH(192,样本到样信息汇总统计!$Y$2:$Y$500,0)),"")</f>
        <v/>
      </c>
      <c r="K193" s="8" t="str">
        <f>IFERROR(INDEX(样本到样信息汇总统计!K$2:K$500,MATCH(192,样本到样信息汇总统计!$Y$2:$Y$500,0)),"")</f>
        <v/>
      </c>
      <c r="L193" s="8" t="str">
        <f>IFERROR(INDEX(样本到样信息汇总统计!L$2:L$500,MATCH(192,样本到样信息汇总统计!$Y$2:$Y$500,0)),"")</f>
        <v/>
      </c>
      <c r="M193" s="8" t="str">
        <f>IFERROR(INDEX(样本到样信息汇总统计!M$2:M$500,MATCH(192,样本到样信息汇总统计!$Y$2:$Y$500,0)),"")</f>
        <v/>
      </c>
      <c r="N193" s="8" t="str">
        <f>IFERROR(INDEX(样本到样信息汇总统计!N$2:N$500,MATCH(192,样本到样信息汇总统计!$Y$2:$Y$500,0)),"")</f>
        <v/>
      </c>
      <c r="O193" s="8" t="str">
        <f>IFERROR(INDEX(样本到样信息汇总统计!O$2:O$500,MATCH(192,样本到样信息汇总统计!$Y$2:$Y$500,0)),"")</f>
        <v/>
      </c>
      <c r="P193" s="8" t="str">
        <f>IFERROR(INDEX(样本到样信息汇总统计!P$2:P$500,MATCH(192,样本到样信息汇总统计!$Y$2:$Y$500,0)),"")</f>
        <v/>
      </c>
      <c r="Q193" s="8" t="str">
        <f>IFERROR(INDEX(样本到样信息汇总统计!Q$2:Q$500,MATCH(192,样本到样信息汇总统计!$Y$2:$Y$500,0)),"")</f>
        <v/>
      </c>
      <c r="R193" s="8" t="str">
        <f>IFERROR(INDEX(样本到样信息汇总统计!R$2:R$500,MATCH(192,样本到样信息汇总统计!$Y$2:$Y$500,0)),"")</f>
        <v/>
      </c>
      <c r="S193" s="8" t="str">
        <f>IFERROR(INDEX(样本到样信息汇总统计!S$2:S$500,MATCH(192,样本到样信息汇总统计!$Y$2:$Y$500,0)),"")</f>
        <v/>
      </c>
      <c r="T193" s="8" t="str">
        <f>IFERROR(INDEX(样本到样信息汇总统计!T$2:T$500,MATCH(192,样本到样信息汇总统计!$Y$2:$Y$500,0)),"")</f>
        <v/>
      </c>
      <c r="U193" s="8" t="str">
        <f>IFERROR(INDEX(样本到样信息汇总统计!U$2:U$500,MATCH(192,样本到样信息汇总统计!$Y$2:$Y$500,0)),"")</f>
        <v/>
      </c>
      <c r="V193" s="8" t="str">
        <f>IFERROR(INDEX(样本到样信息汇总统计!V$2:V$500,MATCH(192,样本到样信息汇总统计!$Y$2:$Y$500,0)),"")</f>
        <v/>
      </c>
      <c r="W193" s="8" t="str">
        <f>IFERROR(INDEX(样本到样信息汇总统计!W$2:W$500,MATCH(192,样本到样信息汇总统计!$Y$2:$Y$500,0)),"")</f>
        <v/>
      </c>
    </row>
    <row r="194" ht="14.5" spans="1:23">
      <c r="A194" s="4" t="str">
        <f>IFERROR(INDEX(样本到样信息汇总统计!A$2:A$500,MATCH(193,样本到样信息汇总统计!$Y$2:$Y$500,0)),"")</f>
        <v/>
      </c>
      <c r="B194" s="4" t="str">
        <f>IFERROR(INDEX(样本到样信息汇总统计!B$2:B$500,MATCH(193,样本到样信息汇总统计!$Y$2:$Y$500,0)),"")</f>
        <v/>
      </c>
      <c r="C194" s="4" t="str">
        <f>IFERROR(INDEX(样本到样信息汇总统计!C$2:C$500,MATCH(193,样本到样信息汇总统计!$Y$2:$Y$500,0)),"")</f>
        <v/>
      </c>
      <c r="D194" s="4" t="str">
        <f>IFERROR(INDEX(样本到样信息汇总统计!D$2:D$500,MATCH(193,样本到样信息汇总统计!$Y$2:$Y$500,0)),"")</f>
        <v/>
      </c>
      <c r="E194" s="4" t="str">
        <f>IFERROR(INDEX(样本到样信息汇总统计!E$2:E$500,MATCH(193,样本到样信息汇总统计!$Y$2:$Y$500,0)),"")</f>
        <v/>
      </c>
      <c r="F194" s="4" t="str">
        <f>IFERROR(INDEX(样本到样信息汇总统计!F$2:F$500,MATCH(193,样本到样信息汇总统计!$Y$2:$Y$500,0)),"")</f>
        <v/>
      </c>
      <c r="G194" s="4" t="str">
        <f>IFERROR(INDEX(样本到样信息汇总统计!G$2:G$500,MATCH(193,样本到样信息汇总统计!$Y$2:$Y$500,0)),"")</f>
        <v/>
      </c>
      <c r="H194" s="4" t="str">
        <f>IFERROR(INDEX(样本到样信息汇总统计!H$2:H$500,MATCH(193,样本到样信息汇总统计!$Y$2:$Y$500,0)),"")</f>
        <v/>
      </c>
      <c r="I194" s="4" t="str">
        <f>IFERROR(INDEX(样本到样信息汇总统计!I$2:I$500,MATCH(193,样本到样信息汇总统计!$Y$2:$Y$500,0)),"")</f>
        <v/>
      </c>
      <c r="J194" s="4" t="str">
        <f>IFERROR(INDEX(样本到样信息汇总统计!J$2:J$500,MATCH(193,样本到样信息汇总统计!$Y$2:$Y$500,0)),"")</f>
        <v/>
      </c>
      <c r="K194" s="4" t="str">
        <f>IFERROR(INDEX(样本到样信息汇总统计!K$2:K$500,MATCH(193,样本到样信息汇总统计!$Y$2:$Y$500,0)),"")</f>
        <v/>
      </c>
      <c r="L194" s="4" t="str">
        <f>IFERROR(INDEX(样本到样信息汇总统计!L$2:L$500,MATCH(193,样本到样信息汇总统计!$Y$2:$Y$500,0)),"")</f>
        <v/>
      </c>
      <c r="M194" s="4" t="str">
        <f>IFERROR(INDEX(样本到样信息汇总统计!M$2:M$500,MATCH(193,样本到样信息汇总统计!$Y$2:$Y$500,0)),"")</f>
        <v/>
      </c>
      <c r="N194" s="4" t="str">
        <f>IFERROR(INDEX(样本到样信息汇总统计!N$2:N$500,MATCH(193,样本到样信息汇总统计!$Y$2:$Y$500,0)),"")</f>
        <v/>
      </c>
      <c r="O194" s="4" t="str">
        <f>IFERROR(INDEX(样本到样信息汇总统计!O$2:O$500,MATCH(193,样本到样信息汇总统计!$Y$2:$Y$500,0)),"")</f>
        <v/>
      </c>
      <c r="P194" s="4" t="str">
        <f>IFERROR(INDEX(样本到样信息汇总统计!P$2:P$500,MATCH(193,样本到样信息汇总统计!$Y$2:$Y$500,0)),"")</f>
        <v/>
      </c>
      <c r="Q194" s="4" t="str">
        <f>IFERROR(INDEX(样本到样信息汇总统计!Q$2:Q$500,MATCH(193,样本到样信息汇总统计!$Y$2:$Y$500,0)),"")</f>
        <v/>
      </c>
      <c r="R194" s="4" t="str">
        <f>IFERROR(INDEX(样本到样信息汇总统计!R$2:R$500,MATCH(193,样本到样信息汇总统计!$Y$2:$Y$500,0)),"")</f>
        <v/>
      </c>
      <c r="S194" s="4" t="str">
        <f>IFERROR(INDEX(样本到样信息汇总统计!S$2:S$500,MATCH(193,样本到样信息汇总统计!$Y$2:$Y$500,0)),"")</f>
        <v/>
      </c>
      <c r="T194" s="4" t="str">
        <f>IFERROR(INDEX(样本到样信息汇总统计!T$2:T$500,MATCH(193,样本到样信息汇总统计!$Y$2:$Y$500,0)),"")</f>
        <v/>
      </c>
      <c r="U194" s="4" t="str">
        <f>IFERROR(INDEX(样本到样信息汇总统计!U$2:U$500,MATCH(193,样本到样信息汇总统计!$Y$2:$Y$500,0)),"")</f>
        <v/>
      </c>
      <c r="V194" s="4" t="str">
        <f>IFERROR(INDEX(样本到样信息汇总统计!V$2:V$500,MATCH(193,样本到样信息汇总统计!$Y$2:$Y$500,0)),"")</f>
        <v/>
      </c>
      <c r="W194" s="4" t="str">
        <f>IFERROR(INDEX(样本到样信息汇总统计!W$2:W$500,MATCH(193,样本到样信息汇总统计!$Y$2:$Y$500,0)),"")</f>
        <v/>
      </c>
    </row>
    <row r="195" ht="14.5" spans="1:23">
      <c r="A195" s="8" t="str">
        <f>IFERROR(INDEX(样本到样信息汇总统计!A$2:A$500,MATCH(194,样本到样信息汇总统计!$Y$2:$Y$500,0)),"")</f>
        <v/>
      </c>
      <c r="B195" s="8" t="str">
        <f>IFERROR(INDEX(样本到样信息汇总统计!B$2:B$500,MATCH(194,样本到样信息汇总统计!$Y$2:$Y$500,0)),"")</f>
        <v/>
      </c>
      <c r="C195" s="8" t="str">
        <f>IFERROR(INDEX(样本到样信息汇总统计!C$2:C$500,MATCH(194,样本到样信息汇总统计!$Y$2:$Y$500,0)),"")</f>
        <v/>
      </c>
      <c r="D195" s="8" t="str">
        <f>IFERROR(INDEX(样本到样信息汇总统计!D$2:D$500,MATCH(194,样本到样信息汇总统计!$Y$2:$Y$500,0)),"")</f>
        <v/>
      </c>
      <c r="E195" s="8" t="str">
        <f>IFERROR(INDEX(样本到样信息汇总统计!E$2:E$500,MATCH(194,样本到样信息汇总统计!$Y$2:$Y$500,0)),"")</f>
        <v/>
      </c>
      <c r="F195" s="8" t="str">
        <f>IFERROR(INDEX(样本到样信息汇总统计!F$2:F$500,MATCH(194,样本到样信息汇总统计!$Y$2:$Y$500,0)),"")</f>
        <v/>
      </c>
      <c r="G195" s="8" t="str">
        <f>IFERROR(INDEX(样本到样信息汇总统计!G$2:G$500,MATCH(194,样本到样信息汇总统计!$Y$2:$Y$500,0)),"")</f>
        <v/>
      </c>
      <c r="H195" s="8" t="str">
        <f>IFERROR(INDEX(样本到样信息汇总统计!H$2:H$500,MATCH(194,样本到样信息汇总统计!$Y$2:$Y$500,0)),"")</f>
        <v/>
      </c>
      <c r="I195" s="8" t="str">
        <f>IFERROR(INDEX(样本到样信息汇总统计!I$2:I$500,MATCH(194,样本到样信息汇总统计!$Y$2:$Y$500,0)),"")</f>
        <v/>
      </c>
      <c r="J195" s="8" t="str">
        <f>IFERROR(INDEX(样本到样信息汇总统计!J$2:J$500,MATCH(194,样本到样信息汇总统计!$Y$2:$Y$500,0)),"")</f>
        <v/>
      </c>
      <c r="K195" s="8" t="str">
        <f>IFERROR(INDEX(样本到样信息汇总统计!K$2:K$500,MATCH(194,样本到样信息汇总统计!$Y$2:$Y$500,0)),"")</f>
        <v/>
      </c>
      <c r="L195" s="8" t="str">
        <f>IFERROR(INDEX(样本到样信息汇总统计!L$2:L$500,MATCH(194,样本到样信息汇总统计!$Y$2:$Y$500,0)),"")</f>
        <v/>
      </c>
      <c r="M195" s="8" t="str">
        <f>IFERROR(INDEX(样本到样信息汇总统计!M$2:M$500,MATCH(194,样本到样信息汇总统计!$Y$2:$Y$500,0)),"")</f>
        <v/>
      </c>
      <c r="N195" s="8" t="str">
        <f>IFERROR(INDEX(样本到样信息汇总统计!N$2:N$500,MATCH(194,样本到样信息汇总统计!$Y$2:$Y$500,0)),"")</f>
        <v/>
      </c>
      <c r="O195" s="8" t="str">
        <f>IFERROR(INDEX(样本到样信息汇总统计!O$2:O$500,MATCH(194,样本到样信息汇总统计!$Y$2:$Y$500,0)),"")</f>
        <v/>
      </c>
      <c r="P195" s="8" t="str">
        <f>IFERROR(INDEX(样本到样信息汇总统计!P$2:P$500,MATCH(194,样本到样信息汇总统计!$Y$2:$Y$500,0)),"")</f>
        <v/>
      </c>
      <c r="Q195" s="8" t="str">
        <f>IFERROR(INDEX(样本到样信息汇总统计!Q$2:Q$500,MATCH(194,样本到样信息汇总统计!$Y$2:$Y$500,0)),"")</f>
        <v/>
      </c>
      <c r="R195" s="8" t="str">
        <f>IFERROR(INDEX(样本到样信息汇总统计!R$2:R$500,MATCH(194,样本到样信息汇总统计!$Y$2:$Y$500,0)),"")</f>
        <v/>
      </c>
      <c r="S195" s="8" t="str">
        <f>IFERROR(INDEX(样本到样信息汇总统计!S$2:S$500,MATCH(194,样本到样信息汇总统计!$Y$2:$Y$500,0)),"")</f>
        <v/>
      </c>
      <c r="T195" s="8" t="str">
        <f>IFERROR(INDEX(样本到样信息汇总统计!T$2:T$500,MATCH(194,样本到样信息汇总统计!$Y$2:$Y$500,0)),"")</f>
        <v/>
      </c>
      <c r="U195" s="8" t="str">
        <f>IFERROR(INDEX(样本到样信息汇总统计!U$2:U$500,MATCH(194,样本到样信息汇总统计!$Y$2:$Y$500,0)),"")</f>
        <v/>
      </c>
      <c r="V195" s="8" t="str">
        <f>IFERROR(INDEX(样本到样信息汇总统计!V$2:V$500,MATCH(194,样本到样信息汇总统计!$Y$2:$Y$500,0)),"")</f>
        <v/>
      </c>
      <c r="W195" s="8" t="str">
        <f>IFERROR(INDEX(样本到样信息汇总统计!W$2:W$500,MATCH(194,样本到样信息汇总统计!$Y$2:$Y$500,0)),"")</f>
        <v/>
      </c>
    </row>
    <row r="196" ht="14.5" spans="1:23">
      <c r="A196" s="4" t="str">
        <f>IFERROR(INDEX(样本到样信息汇总统计!A$2:A$500,MATCH(195,样本到样信息汇总统计!$Y$2:$Y$500,0)),"")</f>
        <v/>
      </c>
      <c r="B196" s="4" t="str">
        <f>IFERROR(INDEX(样本到样信息汇总统计!B$2:B$500,MATCH(195,样本到样信息汇总统计!$Y$2:$Y$500,0)),"")</f>
        <v/>
      </c>
      <c r="C196" s="4" t="str">
        <f>IFERROR(INDEX(样本到样信息汇总统计!C$2:C$500,MATCH(195,样本到样信息汇总统计!$Y$2:$Y$500,0)),"")</f>
        <v/>
      </c>
      <c r="D196" s="4" t="str">
        <f>IFERROR(INDEX(样本到样信息汇总统计!D$2:D$500,MATCH(195,样本到样信息汇总统计!$Y$2:$Y$500,0)),"")</f>
        <v/>
      </c>
      <c r="E196" s="4" t="str">
        <f>IFERROR(INDEX(样本到样信息汇总统计!E$2:E$500,MATCH(195,样本到样信息汇总统计!$Y$2:$Y$500,0)),"")</f>
        <v/>
      </c>
      <c r="F196" s="4" t="str">
        <f>IFERROR(INDEX(样本到样信息汇总统计!F$2:F$500,MATCH(195,样本到样信息汇总统计!$Y$2:$Y$500,0)),"")</f>
        <v/>
      </c>
      <c r="G196" s="4" t="str">
        <f>IFERROR(INDEX(样本到样信息汇总统计!G$2:G$500,MATCH(195,样本到样信息汇总统计!$Y$2:$Y$500,0)),"")</f>
        <v/>
      </c>
      <c r="H196" s="4" t="str">
        <f>IFERROR(INDEX(样本到样信息汇总统计!H$2:H$500,MATCH(195,样本到样信息汇总统计!$Y$2:$Y$500,0)),"")</f>
        <v/>
      </c>
      <c r="I196" s="4" t="str">
        <f>IFERROR(INDEX(样本到样信息汇总统计!I$2:I$500,MATCH(195,样本到样信息汇总统计!$Y$2:$Y$500,0)),"")</f>
        <v/>
      </c>
      <c r="J196" s="4" t="str">
        <f>IFERROR(INDEX(样本到样信息汇总统计!J$2:J$500,MATCH(195,样本到样信息汇总统计!$Y$2:$Y$500,0)),"")</f>
        <v/>
      </c>
      <c r="K196" s="4" t="str">
        <f>IFERROR(INDEX(样本到样信息汇总统计!K$2:K$500,MATCH(195,样本到样信息汇总统计!$Y$2:$Y$500,0)),"")</f>
        <v/>
      </c>
      <c r="L196" s="4" t="str">
        <f>IFERROR(INDEX(样本到样信息汇总统计!L$2:L$500,MATCH(195,样本到样信息汇总统计!$Y$2:$Y$500,0)),"")</f>
        <v/>
      </c>
      <c r="M196" s="4" t="str">
        <f>IFERROR(INDEX(样本到样信息汇总统计!M$2:M$500,MATCH(195,样本到样信息汇总统计!$Y$2:$Y$500,0)),"")</f>
        <v/>
      </c>
      <c r="N196" s="4" t="str">
        <f>IFERROR(INDEX(样本到样信息汇总统计!N$2:N$500,MATCH(195,样本到样信息汇总统计!$Y$2:$Y$500,0)),"")</f>
        <v/>
      </c>
      <c r="O196" s="4" t="str">
        <f>IFERROR(INDEX(样本到样信息汇总统计!O$2:O$500,MATCH(195,样本到样信息汇总统计!$Y$2:$Y$500,0)),"")</f>
        <v/>
      </c>
      <c r="P196" s="4" t="str">
        <f>IFERROR(INDEX(样本到样信息汇总统计!P$2:P$500,MATCH(195,样本到样信息汇总统计!$Y$2:$Y$500,0)),"")</f>
        <v/>
      </c>
      <c r="Q196" s="4" t="str">
        <f>IFERROR(INDEX(样本到样信息汇总统计!Q$2:Q$500,MATCH(195,样本到样信息汇总统计!$Y$2:$Y$500,0)),"")</f>
        <v/>
      </c>
      <c r="R196" s="4" t="str">
        <f>IFERROR(INDEX(样本到样信息汇总统计!R$2:R$500,MATCH(195,样本到样信息汇总统计!$Y$2:$Y$500,0)),"")</f>
        <v/>
      </c>
      <c r="S196" s="4" t="str">
        <f>IFERROR(INDEX(样本到样信息汇总统计!S$2:S$500,MATCH(195,样本到样信息汇总统计!$Y$2:$Y$500,0)),"")</f>
        <v/>
      </c>
      <c r="T196" s="4" t="str">
        <f>IFERROR(INDEX(样本到样信息汇总统计!T$2:T$500,MATCH(195,样本到样信息汇总统计!$Y$2:$Y$500,0)),"")</f>
        <v/>
      </c>
      <c r="U196" s="4" t="str">
        <f>IFERROR(INDEX(样本到样信息汇总统计!U$2:U$500,MATCH(195,样本到样信息汇总统计!$Y$2:$Y$500,0)),"")</f>
        <v/>
      </c>
      <c r="V196" s="4" t="str">
        <f>IFERROR(INDEX(样本到样信息汇总统计!V$2:V$500,MATCH(195,样本到样信息汇总统计!$Y$2:$Y$500,0)),"")</f>
        <v/>
      </c>
      <c r="W196" s="4" t="str">
        <f>IFERROR(INDEX(样本到样信息汇总统计!W$2:W$500,MATCH(195,样本到样信息汇总统计!$Y$2:$Y$500,0)),"")</f>
        <v/>
      </c>
    </row>
    <row r="197" ht="14.5" spans="1:23">
      <c r="A197" s="8" t="str">
        <f>IFERROR(INDEX(样本到样信息汇总统计!A$2:A$500,MATCH(196,样本到样信息汇总统计!$Y$2:$Y$500,0)),"")</f>
        <v/>
      </c>
      <c r="B197" s="8" t="str">
        <f>IFERROR(INDEX(样本到样信息汇总统计!B$2:B$500,MATCH(196,样本到样信息汇总统计!$Y$2:$Y$500,0)),"")</f>
        <v/>
      </c>
      <c r="C197" s="8" t="str">
        <f>IFERROR(INDEX(样本到样信息汇总统计!C$2:C$500,MATCH(196,样本到样信息汇总统计!$Y$2:$Y$500,0)),"")</f>
        <v/>
      </c>
      <c r="D197" s="8" t="str">
        <f>IFERROR(INDEX(样本到样信息汇总统计!D$2:D$500,MATCH(196,样本到样信息汇总统计!$Y$2:$Y$500,0)),"")</f>
        <v/>
      </c>
      <c r="E197" s="8" t="str">
        <f>IFERROR(INDEX(样本到样信息汇总统计!E$2:E$500,MATCH(196,样本到样信息汇总统计!$Y$2:$Y$500,0)),"")</f>
        <v/>
      </c>
      <c r="F197" s="8" t="str">
        <f>IFERROR(INDEX(样本到样信息汇总统计!F$2:F$500,MATCH(196,样本到样信息汇总统计!$Y$2:$Y$500,0)),"")</f>
        <v/>
      </c>
      <c r="G197" s="8" t="str">
        <f>IFERROR(INDEX(样本到样信息汇总统计!G$2:G$500,MATCH(196,样本到样信息汇总统计!$Y$2:$Y$500,0)),"")</f>
        <v/>
      </c>
      <c r="H197" s="8" t="str">
        <f>IFERROR(INDEX(样本到样信息汇总统计!H$2:H$500,MATCH(196,样本到样信息汇总统计!$Y$2:$Y$500,0)),"")</f>
        <v/>
      </c>
      <c r="I197" s="8" t="str">
        <f>IFERROR(INDEX(样本到样信息汇总统计!I$2:I$500,MATCH(196,样本到样信息汇总统计!$Y$2:$Y$500,0)),"")</f>
        <v/>
      </c>
      <c r="J197" s="8" t="str">
        <f>IFERROR(INDEX(样本到样信息汇总统计!J$2:J$500,MATCH(196,样本到样信息汇总统计!$Y$2:$Y$500,0)),"")</f>
        <v/>
      </c>
      <c r="K197" s="8" t="str">
        <f>IFERROR(INDEX(样本到样信息汇总统计!K$2:K$500,MATCH(196,样本到样信息汇总统计!$Y$2:$Y$500,0)),"")</f>
        <v/>
      </c>
      <c r="L197" s="8" t="str">
        <f>IFERROR(INDEX(样本到样信息汇总统计!L$2:L$500,MATCH(196,样本到样信息汇总统计!$Y$2:$Y$500,0)),"")</f>
        <v/>
      </c>
      <c r="M197" s="8" t="str">
        <f>IFERROR(INDEX(样本到样信息汇总统计!M$2:M$500,MATCH(196,样本到样信息汇总统计!$Y$2:$Y$500,0)),"")</f>
        <v/>
      </c>
      <c r="N197" s="8" t="str">
        <f>IFERROR(INDEX(样本到样信息汇总统计!N$2:N$500,MATCH(196,样本到样信息汇总统计!$Y$2:$Y$500,0)),"")</f>
        <v/>
      </c>
      <c r="O197" s="8" t="str">
        <f>IFERROR(INDEX(样本到样信息汇总统计!O$2:O$500,MATCH(196,样本到样信息汇总统计!$Y$2:$Y$500,0)),"")</f>
        <v/>
      </c>
      <c r="P197" s="8" t="str">
        <f>IFERROR(INDEX(样本到样信息汇总统计!P$2:P$500,MATCH(196,样本到样信息汇总统计!$Y$2:$Y$500,0)),"")</f>
        <v/>
      </c>
      <c r="Q197" s="8" t="str">
        <f>IFERROR(INDEX(样本到样信息汇总统计!Q$2:Q$500,MATCH(196,样本到样信息汇总统计!$Y$2:$Y$500,0)),"")</f>
        <v/>
      </c>
      <c r="R197" s="8" t="str">
        <f>IFERROR(INDEX(样本到样信息汇总统计!R$2:R$500,MATCH(196,样本到样信息汇总统计!$Y$2:$Y$500,0)),"")</f>
        <v/>
      </c>
      <c r="S197" s="8" t="str">
        <f>IFERROR(INDEX(样本到样信息汇总统计!S$2:S$500,MATCH(196,样本到样信息汇总统计!$Y$2:$Y$500,0)),"")</f>
        <v/>
      </c>
      <c r="T197" s="8" t="str">
        <f>IFERROR(INDEX(样本到样信息汇总统计!T$2:T$500,MATCH(196,样本到样信息汇总统计!$Y$2:$Y$500,0)),"")</f>
        <v/>
      </c>
      <c r="U197" s="8" t="str">
        <f>IFERROR(INDEX(样本到样信息汇总统计!U$2:U$500,MATCH(196,样本到样信息汇总统计!$Y$2:$Y$500,0)),"")</f>
        <v/>
      </c>
      <c r="V197" s="8" t="str">
        <f>IFERROR(INDEX(样本到样信息汇总统计!V$2:V$500,MATCH(196,样本到样信息汇总统计!$Y$2:$Y$500,0)),"")</f>
        <v/>
      </c>
      <c r="W197" s="8" t="str">
        <f>IFERROR(INDEX(样本到样信息汇总统计!W$2:W$500,MATCH(196,样本到样信息汇总统计!$Y$2:$Y$500,0)),"")</f>
        <v/>
      </c>
    </row>
    <row r="198" ht="14.5" spans="1:23">
      <c r="A198" s="4" t="str">
        <f>IFERROR(INDEX(样本到样信息汇总统计!A$2:A$500,MATCH(197,样本到样信息汇总统计!$Y$2:$Y$500,0)),"")</f>
        <v/>
      </c>
      <c r="B198" s="4" t="str">
        <f>IFERROR(INDEX(样本到样信息汇总统计!B$2:B$500,MATCH(197,样本到样信息汇总统计!$Y$2:$Y$500,0)),"")</f>
        <v/>
      </c>
      <c r="C198" s="4" t="str">
        <f>IFERROR(INDEX(样本到样信息汇总统计!C$2:C$500,MATCH(197,样本到样信息汇总统计!$Y$2:$Y$500,0)),"")</f>
        <v/>
      </c>
      <c r="D198" s="4" t="str">
        <f>IFERROR(INDEX(样本到样信息汇总统计!D$2:D$500,MATCH(197,样本到样信息汇总统计!$Y$2:$Y$500,0)),"")</f>
        <v/>
      </c>
      <c r="E198" s="4" t="str">
        <f>IFERROR(INDEX(样本到样信息汇总统计!E$2:E$500,MATCH(197,样本到样信息汇总统计!$Y$2:$Y$500,0)),"")</f>
        <v/>
      </c>
      <c r="F198" s="4" t="str">
        <f>IFERROR(INDEX(样本到样信息汇总统计!F$2:F$500,MATCH(197,样本到样信息汇总统计!$Y$2:$Y$500,0)),"")</f>
        <v/>
      </c>
      <c r="G198" s="4" t="str">
        <f>IFERROR(INDEX(样本到样信息汇总统计!G$2:G$500,MATCH(197,样本到样信息汇总统计!$Y$2:$Y$500,0)),"")</f>
        <v/>
      </c>
      <c r="H198" s="4" t="str">
        <f>IFERROR(INDEX(样本到样信息汇总统计!H$2:H$500,MATCH(197,样本到样信息汇总统计!$Y$2:$Y$500,0)),"")</f>
        <v/>
      </c>
      <c r="I198" s="4" t="str">
        <f>IFERROR(INDEX(样本到样信息汇总统计!I$2:I$500,MATCH(197,样本到样信息汇总统计!$Y$2:$Y$500,0)),"")</f>
        <v/>
      </c>
      <c r="J198" s="4" t="str">
        <f>IFERROR(INDEX(样本到样信息汇总统计!J$2:J$500,MATCH(197,样本到样信息汇总统计!$Y$2:$Y$500,0)),"")</f>
        <v/>
      </c>
      <c r="K198" s="4" t="str">
        <f>IFERROR(INDEX(样本到样信息汇总统计!K$2:K$500,MATCH(197,样本到样信息汇总统计!$Y$2:$Y$500,0)),"")</f>
        <v/>
      </c>
      <c r="L198" s="4" t="str">
        <f>IFERROR(INDEX(样本到样信息汇总统计!L$2:L$500,MATCH(197,样本到样信息汇总统计!$Y$2:$Y$500,0)),"")</f>
        <v/>
      </c>
      <c r="M198" s="4" t="str">
        <f>IFERROR(INDEX(样本到样信息汇总统计!M$2:M$500,MATCH(197,样本到样信息汇总统计!$Y$2:$Y$500,0)),"")</f>
        <v/>
      </c>
      <c r="N198" s="4" t="str">
        <f>IFERROR(INDEX(样本到样信息汇总统计!N$2:N$500,MATCH(197,样本到样信息汇总统计!$Y$2:$Y$500,0)),"")</f>
        <v/>
      </c>
      <c r="O198" s="4" t="str">
        <f>IFERROR(INDEX(样本到样信息汇总统计!O$2:O$500,MATCH(197,样本到样信息汇总统计!$Y$2:$Y$500,0)),"")</f>
        <v/>
      </c>
      <c r="P198" s="4" t="str">
        <f>IFERROR(INDEX(样本到样信息汇总统计!P$2:P$500,MATCH(197,样本到样信息汇总统计!$Y$2:$Y$500,0)),"")</f>
        <v/>
      </c>
      <c r="Q198" s="4" t="str">
        <f>IFERROR(INDEX(样本到样信息汇总统计!Q$2:Q$500,MATCH(197,样本到样信息汇总统计!$Y$2:$Y$500,0)),"")</f>
        <v/>
      </c>
      <c r="R198" s="4" t="str">
        <f>IFERROR(INDEX(样本到样信息汇总统计!R$2:R$500,MATCH(197,样本到样信息汇总统计!$Y$2:$Y$500,0)),"")</f>
        <v/>
      </c>
      <c r="S198" s="4" t="str">
        <f>IFERROR(INDEX(样本到样信息汇总统计!S$2:S$500,MATCH(197,样本到样信息汇总统计!$Y$2:$Y$500,0)),"")</f>
        <v/>
      </c>
      <c r="T198" s="4" t="str">
        <f>IFERROR(INDEX(样本到样信息汇总统计!T$2:T$500,MATCH(197,样本到样信息汇总统计!$Y$2:$Y$500,0)),"")</f>
        <v/>
      </c>
      <c r="U198" s="4" t="str">
        <f>IFERROR(INDEX(样本到样信息汇总统计!U$2:U$500,MATCH(197,样本到样信息汇总统计!$Y$2:$Y$500,0)),"")</f>
        <v/>
      </c>
      <c r="V198" s="4" t="str">
        <f>IFERROR(INDEX(样本到样信息汇总统计!V$2:V$500,MATCH(197,样本到样信息汇总统计!$Y$2:$Y$500,0)),"")</f>
        <v/>
      </c>
      <c r="W198" s="4" t="str">
        <f>IFERROR(INDEX(样本到样信息汇总统计!W$2:W$500,MATCH(197,样本到样信息汇总统计!$Y$2:$Y$500,0)),"")</f>
        <v/>
      </c>
    </row>
    <row r="199" ht="14.5" spans="1:23">
      <c r="A199" s="8" t="str">
        <f>IFERROR(INDEX(样本到样信息汇总统计!A$2:A$500,MATCH(198,样本到样信息汇总统计!$Y$2:$Y$500,0)),"")</f>
        <v/>
      </c>
      <c r="B199" s="8" t="str">
        <f>IFERROR(INDEX(样本到样信息汇总统计!B$2:B$500,MATCH(198,样本到样信息汇总统计!$Y$2:$Y$500,0)),"")</f>
        <v/>
      </c>
      <c r="C199" s="8" t="str">
        <f>IFERROR(INDEX(样本到样信息汇总统计!C$2:C$500,MATCH(198,样本到样信息汇总统计!$Y$2:$Y$500,0)),"")</f>
        <v/>
      </c>
      <c r="D199" s="8" t="str">
        <f>IFERROR(INDEX(样本到样信息汇总统计!D$2:D$500,MATCH(198,样本到样信息汇总统计!$Y$2:$Y$500,0)),"")</f>
        <v/>
      </c>
      <c r="E199" s="8" t="str">
        <f>IFERROR(INDEX(样本到样信息汇总统计!E$2:E$500,MATCH(198,样本到样信息汇总统计!$Y$2:$Y$500,0)),"")</f>
        <v/>
      </c>
      <c r="F199" s="8" t="str">
        <f>IFERROR(INDEX(样本到样信息汇总统计!F$2:F$500,MATCH(198,样本到样信息汇总统计!$Y$2:$Y$500,0)),"")</f>
        <v/>
      </c>
      <c r="G199" s="8" t="str">
        <f>IFERROR(INDEX(样本到样信息汇总统计!G$2:G$500,MATCH(198,样本到样信息汇总统计!$Y$2:$Y$500,0)),"")</f>
        <v/>
      </c>
      <c r="H199" s="8" t="str">
        <f>IFERROR(INDEX(样本到样信息汇总统计!H$2:H$500,MATCH(198,样本到样信息汇总统计!$Y$2:$Y$500,0)),"")</f>
        <v/>
      </c>
      <c r="I199" s="8" t="str">
        <f>IFERROR(INDEX(样本到样信息汇总统计!I$2:I$500,MATCH(198,样本到样信息汇总统计!$Y$2:$Y$500,0)),"")</f>
        <v/>
      </c>
      <c r="J199" s="8" t="str">
        <f>IFERROR(INDEX(样本到样信息汇总统计!J$2:J$500,MATCH(198,样本到样信息汇总统计!$Y$2:$Y$500,0)),"")</f>
        <v/>
      </c>
      <c r="K199" s="8" t="str">
        <f>IFERROR(INDEX(样本到样信息汇总统计!K$2:K$500,MATCH(198,样本到样信息汇总统计!$Y$2:$Y$500,0)),"")</f>
        <v/>
      </c>
      <c r="L199" s="8" t="str">
        <f>IFERROR(INDEX(样本到样信息汇总统计!L$2:L$500,MATCH(198,样本到样信息汇总统计!$Y$2:$Y$500,0)),"")</f>
        <v/>
      </c>
      <c r="M199" s="8" t="str">
        <f>IFERROR(INDEX(样本到样信息汇总统计!M$2:M$500,MATCH(198,样本到样信息汇总统计!$Y$2:$Y$500,0)),"")</f>
        <v/>
      </c>
      <c r="N199" s="8" t="str">
        <f>IFERROR(INDEX(样本到样信息汇总统计!N$2:N$500,MATCH(198,样本到样信息汇总统计!$Y$2:$Y$500,0)),"")</f>
        <v/>
      </c>
      <c r="O199" s="8" t="str">
        <f>IFERROR(INDEX(样本到样信息汇总统计!O$2:O$500,MATCH(198,样本到样信息汇总统计!$Y$2:$Y$500,0)),"")</f>
        <v/>
      </c>
      <c r="P199" s="8" t="str">
        <f>IFERROR(INDEX(样本到样信息汇总统计!P$2:P$500,MATCH(198,样本到样信息汇总统计!$Y$2:$Y$500,0)),"")</f>
        <v/>
      </c>
      <c r="Q199" s="8" t="str">
        <f>IFERROR(INDEX(样本到样信息汇总统计!Q$2:Q$500,MATCH(198,样本到样信息汇总统计!$Y$2:$Y$500,0)),"")</f>
        <v/>
      </c>
      <c r="R199" s="8" t="str">
        <f>IFERROR(INDEX(样本到样信息汇总统计!R$2:R$500,MATCH(198,样本到样信息汇总统计!$Y$2:$Y$500,0)),"")</f>
        <v/>
      </c>
      <c r="S199" s="8" t="str">
        <f>IFERROR(INDEX(样本到样信息汇总统计!S$2:S$500,MATCH(198,样本到样信息汇总统计!$Y$2:$Y$500,0)),"")</f>
        <v/>
      </c>
      <c r="T199" s="8" t="str">
        <f>IFERROR(INDEX(样本到样信息汇总统计!T$2:T$500,MATCH(198,样本到样信息汇总统计!$Y$2:$Y$500,0)),"")</f>
        <v/>
      </c>
      <c r="U199" s="8" t="str">
        <f>IFERROR(INDEX(样本到样信息汇总统计!U$2:U$500,MATCH(198,样本到样信息汇总统计!$Y$2:$Y$500,0)),"")</f>
        <v/>
      </c>
      <c r="V199" s="8" t="str">
        <f>IFERROR(INDEX(样本到样信息汇总统计!V$2:V$500,MATCH(198,样本到样信息汇总统计!$Y$2:$Y$500,0)),"")</f>
        <v/>
      </c>
      <c r="W199" s="8" t="str">
        <f>IFERROR(INDEX(样本到样信息汇总统计!W$2:W$500,MATCH(198,样本到样信息汇总统计!$Y$2:$Y$500,0)),"")</f>
        <v/>
      </c>
    </row>
    <row r="200" ht="14.5" spans="1:23">
      <c r="A200" s="4" t="str">
        <f>IFERROR(INDEX(样本到样信息汇总统计!A$2:A$500,MATCH(199,样本到样信息汇总统计!$Y$2:$Y$500,0)),"")</f>
        <v/>
      </c>
      <c r="B200" s="4" t="str">
        <f>IFERROR(INDEX(样本到样信息汇总统计!B$2:B$500,MATCH(199,样本到样信息汇总统计!$Y$2:$Y$500,0)),"")</f>
        <v/>
      </c>
      <c r="C200" s="4" t="str">
        <f>IFERROR(INDEX(样本到样信息汇总统计!C$2:C$500,MATCH(199,样本到样信息汇总统计!$Y$2:$Y$500,0)),"")</f>
        <v/>
      </c>
      <c r="D200" s="4" t="str">
        <f>IFERROR(INDEX(样本到样信息汇总统计!D$2:D$500,MATCH(199,样本到样信息汇总统计!$Y$2:$Y$500,0)),"")</f>
        <v/>
      </c>
      <c r="E200" s="4" t="str">
        <f>IFERROR(INDEX(样本到样信息汇总统计!E$2:E$500,MATCH(199,样本到样信息汇总统计!$Y$2:$Y$500,0)),"")</f>
        <v/>
      </c>
      <c r="F200" s="4" t="str">
        <f>IFERROR(INDEX(样本到样信息汇总统计!F$2:F$500,MATCH(199,样本到样信息汇总统计!$Y$2:$Y$500,0)),"")</f>
        <v/>
      </c>
      <c r="G200" s="4" t="str">
        <f>IFERROR(INDEX(样本到样信息汇总统计!G$2:G$500,MATCH(199,样本到样信息汇总统计!$Y$2:$Y$500,0)),"")</f>
        <v/>
      </c>
      <c r="H200" s="4" t="str">
        <f>IFERROR(INDEX(样本到样信息汇总统计!H$2:H$500,MATCH(199,样本到样信息汇总统计!$Y$2:$Y$500,0)),"")</f>
        <v/>
      </c>
      <c r="I200" s="4" t="str">
        <f>IFERROR(INDEX(样本到样信息汇总统计!I$2:I$500,MATCH(199,样本到样信息汇总统计!$Y$2:$Y$500,0)),"")</f>
        <v/>
      </c>
      <c r="J200" s="4" t="str">
        <f>IFERROR(INDEX(样本到样信息汇总统计!J$2:J$500,MATCH(199,样本到样信息汇总统计!$Y$2:$Y$500,0)),"")</f>
        <v/>
      </c>
      <c r="K200" s="4" t="str">
        <f>IFERROR(INDEX(样本到样信息汇总统计!K$2:K$500,MATCH(199,样本到样信息汇总统计!$Y$2:$Y$500,0)),"")</f>
        <v/>
      </c>
      <c r="L200" s="4" t="str">
        <f>IFERROR(INDEX(样本到样信息汇总统计!L$2:L$500,MATCH(199,样本到样信息汇总统计!$Y$2:$Y$500,0)),"")</f>
        <v/>
      </c>
      <c r="M200" s="4" t="str">
        <f>IFERROR(INDEX(样本到样信息汇总统计!M$2:M$500,MATCH(199,样本到样信息汇总统计!$Y$2:$Y$500,0)),"")</f>
        <v/>
      </c>
      <c r="N200" s="4" t="str">
        <f>IFERROR(INDEX(样本到样信息汇总统计!N$2:N$500,MATCH(199,样本到样信息汇总统计!$Y$2:$Y$500,0)),"")</f>
        <v/>
      </c>
      <c r="O200" s="4" t="str">
        <f>IFERROR(INDEX(样本到样信息汇总统计!O$2:O$500,MATCH(199,样本到样信息汇总统计!$Y$2:$Y$500,0)),"")</f>
        <v/>
      </c>
      <c r="P200" s="4" t="str">
        <f>IFERROR(INDEX(样本到样信息汇总统计!P$2:P$500,MATCH(199,样本到样信息汇总统计!$Y$2:$Y$500,0)),"")</f>
        <v/>
      </c>
      <c r="Q200" s="4" t="str">
        <f>IFERROR(INDEX(样本到样信息汇总统计!Q$2:Q$500,MATCH(199,样本到样信息汇总统计!$Y$2:$Y$500,0)),"")</f>
        <v/>
      </c>
      <c r="R200" s="4" t="str">
        <f>IFERROR(INDEX(样本到样信息汇总统计!R$2:R$500,MATCH(199,样本到样信息汇总统计!$Y$2:$Y$500,0)),"")</f>
        <v/>
      </c>
      <c r="S200" s="4" t="str">
        <f>IFERROR(INDEX(样本到样信息汇总统计!S$2:S$500,MATCH(199,样本到样信息汇总统计!$Y$2:$Y$500,0)),"")</f>
        <v/>
      </c>
      <c r="T200" s="4" t="str">
        <f>IFERROR(INDEX(样本到样信息汇总统计!T$2:T$500,MATCH(199,样本到样信息汇总统计!$Y$2:$Y$500,0)),"")</f>
        <v/>
      </c>
      <c r="U200" s="4" t="str">
        <f>IFERROR(INDEX(样本到样信息汇总统计!U$2:U$500,MATCH(199,样本到样信息汇总统计!$Y$2:$Y$500,0)),"")</f>
        <v/>
      </c>
      <c r="V200" s="4" t="str">
        <f>IFERROR(INDEX(样本到样信息汇总统计!V$2:V$500,MATCH(199,样本到样信息汇总统计!$Y$2:$Y$500,0)),"")</f>
        <v/>
      </c>
      <c r="W200" s="4" t="str">
        <f>IFERROR(INDEX(样本到样信息汇总统计!W$2:W$500,MATCH(199,样本到样信息汇总统计!$Y$2:$Y$500,0)),"")</f>
        <v/>
      </c>
    </row>
    <row r="201" ht="14.5" spans="1:23">
      <c r="A201" s="8" t="str">
        <f>IFERROR(INDEX(样本到样信息汇总统计!A$2:A$500,MATCH(200,样本到样信息汇总统计!$Y$2:$Y$500,0)),"")</f>
        <v/>
      </c>
      <c r="B201" s="8" t="str">
        <f>IFERROR(INDEX(样本到样信息汇总统计!B$2:B$500,MATCH(200,样本到样信息汇总统计!$Y$2:$Y$500,0)),"")</f>
        <v/>
      </c>
      <c r="C201" s="8" t="str">
        <f>IFERROR(INDEX(样本到样信息汇总统计!C$2:C$500,MATCH(200,样本到样信息汇总统计!$Y$2:$Y$500,0)),"")</f>
        <v/>
      </c>
      <c r="D201" s="8" t="str">
        <f>IFERROR(INDEX(样本到样信息汇总统计!D$2:D$500,MATCH(200,样本到样信息汇总统计!$Y$2:$Y$500,0)),"")</f>
        <v/>
      </c>
      <c r="E201" s="8" t="str">
        <f>IFERROR(INDEX(样本到样信息汇总统计!E$2:E$500,MATCH(200,样本到样信息汇总统计!$Y$2:$Y$500,0)),"")</f>
        <v/>
      </c>
      <c r="F201" s="8" t="str">
        <f>IFERROR(INDEX(样本到样信息汇总统计!F$2:F$500,MATCH(200,样本到样信息汇总统计!$Y$2:$Y$500,0)),"")</f>
        <v/>
      </c>
      <c r="G201" s="8" t="str">
        <f>IFERROR(INDEX(样本到样信息汇总统计!G$2:G$500,MATCH(200,样本到样信息汇总统计!$Y$2:$Y$500,0)),"")</f>
        <v/>
      </c>
      <c r="H201" s="8" t="str">
        <f>IFERROR(INDEX(样本到样信息汇总统计!H$2:H$500,MATCH(200,样本到样信息汇总统计!$Y$2:$Y$500,0)),"")</f>
        <v/>
      </c>
      <c r="I201" s="8" t="str">
        <f>IFERROR(INDEX(样本到样信息汇总统计!I$2:I$500,MATCH(200,样本到样信息汇总统计!$Y$2:$Y$500,0)),"")</f>
        <v/>
      </c>
      <c r="J201" s="8" t="str">
        <f>IFERROR(INDEX(样本到样信息汇总统计!J$2:J$500,MATCH(200,样本到样信息汇总统计!$Y$2:$Y$500,0)),"")</f>
        <v/>
      </c>
      <c r="K201" s="8" t="str">
        <f>IFERROR(INDEX(样本到样信息汇总统计!K$2:K$500,MATCH(200,样本到样信息汇总统计!$Y$2:$Y$500,0)),"")</f>
        <v/>
      </c>
      <c r="L201" s="8" t="str">
        <f>IFERROR(INDEX(样本到样信息汇总统计!L$2:L$500,MATCH(200,样本到样信息汇总统计!$Y$2:$Y$500,0)),"")</f>
        <v/>
      </c>
      <c r="M201" s="8" t="str">
        <f>IFERROR(INDEX(样本到样信息汇总统计!M$2:M$500,MATCH(200,样本到样信息汇总统计!$Y$2:$Y$500,0)),"")</f>
        <v/>
      </c>
      <c r="N201" s="8" t="str">
        <f>IFERROR(INDEX(样本到样信息汇总统计!N$2:N$500,MATCH(200,样本到样信息汇总统计!$Y$2:$Y$500,0)),"")</f>
        <v/>
      </c>
      <c r="O201" s="8" t="str">
        <f>IFERROR(INDEX(样本到样信息汇总统计!O$2:O$500,MATCH(200,样本到样信息汇总统计!$Y$2:$Y$500,0)),"")</f>
        <v/>
      </c>
      <c r="P201" s="8" t="str">
        <f>IFERROR(INDEX(样本到样信息汇总统计!P$2:P$500,MATCH(200,样本到样信息汇总统计!$Y$2:$Y$500,0)),"")</f>
        <v/>
      </c>
      <c r="Q201" s="8" t="str">
        <f>IFERROR(INDEX(样本到样信息汇总统计!Q$2:Q$500,MATCH(200,样本到样信息汇总统计!$Y$2:$Y$500,0)),"")</f>
        <v/>
      </c>
      <c r="R201" s="8" t="str">
        <f>IFERROR(INDEX(样本到样信息汇总统计!R$2:R$500,MATCH(200,样本到样信息汇总统计!$Y$2:$Y$500,0)),"")</f>
        <v/>
      </c>
      <c r="S201" s="8" t="str">
        <f>IFERROR(INDEX(样本到样信息汇总统计!S$2:S$500,MATCH(200,样本到样信息汇总统计!$Y$2:$Y$500,0)),"")</f>
        <v/>
      </c>
      <c r="T201" s="8" t="str">
        <f>IFERROR(INDEX(样本到样信息汇总统计!T$2:T$500,MATCH(200,样本到样信息汇总统计!$Y$2:$Y$500,0)),"")</f>
        <v/>
      </c>
      <c r="U201" s="8" t="str">
        <f>IFERROR(INDEX(样本到样信息汇总统计!U$2:U$500,MATCH(200,样本到样信息汇总统计!$Y$2:$Y$500,0)),"")</f>
        <v/>
      </c>
      <c r="V201" s="8" t="str">
        <f>IFERROR(INDEX(样本到样信息汇总统计!V$2:V$500,MATCH(200,样本到样信息汇总统计!$Y$2:$Y$500,0)),"")</f>
        <v/>
      </c>
      <c r="W201" s="8" t="str">
        <f>IFERROR(INDEX(样本到样信息汇总统计!W$2:W$500,MATCH(200,样本到样信息汇总统计!$Y$2:$Y$500,0)),"")</f>
        <v/>
      </c>
    </row>
    <row r="202" ht="14.5" spans="1:23">
      <c r="A202" s="4" t="str">
        <f>IFERROR(INDEX(样本到样信息汇总统计!A$2:A$500,MATCH(201,样本到样信息汇总统计!$Y$2:$Y$500,0)),"")</f>
        <v/>
      </c>
      <c r="B202" s="4" t="str">
        <f>IFERROR(INDEX(样本到样信息汇总统计!B$2:B$500,MATCH(201,样本到样信息汇总统计!$Y$2:$Y$500,0)),"")</f>
        <v/>
      </c>
      <c r="C202" s="4" t="str">
        <f>IFERROR(INDEX(样本到样信息汇总统计!C$2:C$500,MATCH(201,样本到样信息汇总统计!$Y$2:$Y$500,0)),"")</f>
        <v/>
      </c>
      <c r="D202" s="4" t="str">
        <f>IFERROR(INDEX(样本到样信息汇总统计!D$2:D$500,MATCH(201,样本到样信息汇总统计!$Y$2:$Y$500,0)),"")</f>
        <v/>
      </c>
      <c r="E202" s="4" t="str">
        <f>IFERROR(INDEX(样本到样信息汇总统计!E$2:E$500,MATCH(201,样本到样信息汇总统计!$Y$2:$Y$500,0)),"")</f>
        <v/>
      </c>
      <c r="F202" s="4" t="str">
        <f>IFERROR(INDEX(样本到样信息汇总统计!F$2:F$500,MATCH(201,样本到样信息汇总统计!$Y$2:$Y$500,0)),"")</f>
        <v/>
      </c>
      <c r="G202" s="4" t="str">
        <f>IFERROR(INDEX(样本到样信息汇总统计!G$2:G$500,MATCH(201,样本到样信息汇总统计!$Y$2:$Y$500,0)),"")</f>
        <v/>
      </c>
      <c r="H202" s="4" t="str">
        <f>IFERROR(INDEX(样本到样信息汇总统计!H$2:H$500,MATCH(201,样本到样信息汇总统计!$Y$2:$Y$500,0)),"")</f>
        <v/>
      </c>
      <c r="I202" s="4" t="str">
        <f>IFERROR(INDEX(样本到样信息汇总统计!I$2:I$500,MATCH(201,样本到样信息汇总统计!$Y$2:$Y$500,0)),"")</f>
        <v/>
      </c>
      <c r="J202" s="4" t="str">
        <f>IFERROR(INDEX(样本到样信息汇总统计!J$2:J$500,MATCH(201,样本到样信息汇总统计!$Y$2:$Y$500,0)),"")</f>
        <v/>
      </c>
      <c r="K202" s="4" t="str">
        <f>IFERROR(INDEX(样本到样信息汇总统计!K$2:K$500,MATCH(201,样本到样信息汇总统计!$Y$2:$Y$500,0)),"")</f>
        <v/>
      </c>
      <c r="L202" s="4" t="str">
        <f>IFERROR(INDEX(样本到样信息汇总统计!L$2:L$500,MATCH(201,样本到样信息汇总统计!$Y$2:$Y$500,0)),"")</f>
        <v/>
      </c>
      <c r="M202" s="4" t="str">
        <f>IFERROR(INDEX(样本到样信息汇总统计!M$2:M$500,MATCH(201,样本到样信息汇总统计!$Y$2:$Y$500,0)),"")</f>
        <v/>
      </c>
      <c r="N202" s="4" t="str">
        <f>IFERROR(INDEX(样本到样信息汇总统计!N$2:N$500,MATCH(201,样本到样信息汇总统计!$Y$2:$Y$500,0)),"")</f>
        <v/>
      </c>
      <c r="O202" s="4" t="str">
        <f>IFERROR(INDEX(样本到样信息汇总统计!O$2:O$500,MATCH(201,样本到样信息汇总统计!$Y$2:$Y$500,0)),"")</f>
        <v/>
      </c>
      <c r="P202" s="4" t="str">
        <f>IFERROR(INDEX(样本到样信息汇总统计!P$2:P$500,MATCH(201,样本到样信息汇总统计!$Y$2:$Y$500,0)),"")</f>
        <v/>
      </c>
      <c r="Q202" s="4" t="str">
        <f>IFERROR(INDEX(样本到样信息汇总统计!Q$2:Q$500,MATCH(201,样本到样信息汇总统计!$Y$2:$Y$500,0)),"")</f>
        <v/>
      </c>
      <c r="R202" s="4" t="str">
        <f>IFERROR(INDEX(样本到样信息汇总统计!R$2:R$500,MATCH(201,样本到样信息汇总统计!$Y$2:$Y$500,0)),"")</f>
        <v/>
      </c>
      <c r="S202" s="4" t="str">
        <f>IFERROR(INDEX(样本到样信息汇总统计!S$2:S$500,MATCH(201,样本到样信息汇总统计!$Y$2:$Y$500,0)),"")</f>
        <v/>
      </c>
      <c r="T202" s="4" t="str">
        <f>IFERROR(INDEX(样本到样信息汇总统计!T$2:T$500,MATCH(201,样本到样信息汇总统计!$Y$2:$Y$500,0)),"")</f>
        <v/>
      </c>
      <c r="U202" s="4" t="str">
        <f>IFERROR(INDEX(样本到样信息汇总统计!U$2:U$500,MATCH(201,样本到样信息汇总统计!$Y$2:$Y$500,0)),"")</f>
        <v/>
      </c>
      <c r="V202" s="4" t="str">
        <f>IFERROR(INDEX(样本到样信息汇总统计!V$2:V$500,MATCH(201,样本到样信息汇总统计!$Y$2:$Y$500,0)),"")</f>
        <v/>
      </c>
      <c r="W202" s="4" t="str">
        <f>IFERROR(INDEX(样本到样信息汇总统计!W$2:W$500,MATCH(201,样本到样信息汇总统计!$Y$2:$Y$500,0)),"")</f>
        <v/>
      </c>
    </row>
    <row r="203" ht="14.5" spans="1:23">
      <c r="A203" s="8" t="str">
        <f>IFERROR(INDEX(样本到样信息汇总统计!A$2:A$500,MATCH(202,样本到样信息汇总统计!$Y$2:$Y$500,0)),"")</f>
        <v/>
      </c>
      <c r="B203" s="8" t="str">
        <f>IFERROR(INDEX(样本到样信息汇总统计!B$2:B$500,MATCH(202,样本到样信息汇总统计!$Y$2:$Y$500,0)),"")</f>
        <v/>
      </c>
      <c r="C203" s="8" t="str">
        <f>IFERROR(INDEX(样本到样信息汇总统计!C$2:C$500,MATCH(202,样本到样信息汇总统计!$Y$2:$Y$500,0)),"")</f>
        <v/>
      </c>
      <c r="D203" s="8" t="str">
        <f>IFERROR(INDEX(样本到样信息汇总统计!D$2:D$500,MATCH(202,样本到样信息汇总统计!$Y$2:$Y$500,0)),"")</f>
        <v/>
      </c>
      <c r="E203" s="8" t="str">
        <f>IFERROR(INDEX(样本到样信息汇总统计!E$2:E$500,MATCH(202,样本到样信息汇总统计!$Y$2:$Y$500,0)),"")</f>
        <v/>
      </c>
      <c r="F203" s="8" t="str">
        <f>IFERROR(INDEX(样本到样信息汇总统计!F$2:F$500,MATCH(202,样本到样信息汇总统计!$Y$2:$Y$500,0)),"")</f>
        <v/>
      </c>
      <c r="G203" s="8" t="str">
        <f>IFERROR(INDEX(样本到样信息汇总统计!G$2:G$500,MATCH(202,样本到样信息汇总统计!$Y$2:$Y$500,0)),"")</f>
        <v/>
      </c>
      <c r="H203" s="8" t="str">
        <f>IFERROR(INDEX(样本到样信息汇总统计!H$2:H$500,MATCH(202,样本到样信息汇总统计!$Y$2:$Y$500,0)),"")</f>
        <v/>
      </c>
      <c r="I203" s="8" t="str">
        <f>IFERROR(INDEX(样本到样信息汇总统计!I$2:I$500,MATCH(202,样本到样信息汇总统计!$Y$2:$Y$500,0)),"")</f>
        <v/>
      </c>
      <c r="J203" s="8" t="str">
        <f>IFERROR(INDEX(样本到样信息汇总统计!J$2:J$500,MATCH(202,样本到样信息汇总统计!$Y$2:$Y$500,0)),"")</f>
        <v/>
      </c>
      <c r="K203" s="8" t="str">
        <f>IFERROR(INDEX(样本到样信息汇总统计!K$2:K$500,MATCH(202,样本到样信息汇总统计!$Y$2:$Y$500,0)),"")</f>
        <v/>
      </c>
      <c r="L203" s="8" t="str">
        <f>IFERROR(INDEX(样本到样信息汇总统计!L$2:L$500,MATCH(202,样本到样信息汇总统计!$Y$2:$Y$500,0)),"")</f>
        <v/>
      </c>
      <c r="M203" s="8" t="str">
        <f>IFERROR(INDEX(样本到样信息汇总统计!M$2:M$500,MATCH(202,样本到样信息汇总统计!$Y$2:$Y$500,0)),"")</f>
        <v/>
      </c>
      <c r="N203" s="8" t="str">
        <f>IFERROR(INDEX(样本到样信息汇总统计!N$2:N$500,MATCH(202,样本到样信息汇总统计!$Y$2:$Y$500,0)),"")</f>
        <v/>
      </c>
      <c r="O203" s="8" t="str">
        <f>IFERROR(INDEX(样本到样信息汇总统计!O$2:O$500,MATCH(202,样本到样信息汇总统计!$Y$2:$Y$500,0)),"")</f>
        <v/>
      </c>
      <c r="P203" s="8" t="str">
        <f>IFERROR(INDEX(样本到样信息汇总统计!P$2:P$500,MATCH(202,样本到样信息汇总统计!$Y$2:$Y$500,0)),"")</f>
        <v/>
      </c>
      <c r="Q203" s="8" t="str">
        <f>IFERROR(INDEX(样本到样信息汇总统计!Q$2:Q$500,MATCH(202,样本到样信息汇总统计!$Y$2:$Y$500,0)),"")</f>
        <v/>
      </c>
      <c r="R203" s="8" t="str">
        <f>IFERROR(INDEX(样本到样信息汇总统计!R$2:R$500,MATCH(202,样本到样信息汇总统计!$Y$2:$Y$500,0)),"")</f>
        <v/>
      </c>
      <c r="S203" s="8" t="str">
        <f>IFERROR(INDEX(样本到样信息汇总统计!S$2:S$500,MATCH(202,样本到样信息汇总统计!$Y$2:$Y$500,0)),"")</f>
        <v/>
      </c>
      <c r="T203" s="8" t="str">
        <f>IFERROR(INDEX(样本到样信息汇总统计!T$2:T$500,MATCH(202,样本到样信息汇总统计!$Y$2:$Y$500,0)),"")</f>
        <v/>
      </c>
      <c r="U203" s="8" t="str">
        <f>IFERROR(INDEX(样本到样信息汇总统计!U$2:U$500,MATCH(202,样本到样信息汇总统计!$Y$2:$Y$500,0)),"")</f>
        <v/>
      </c>
      <c r="V203" s="8" t="str">
        <f>IFERROR(INDEX(样本到样信息汇总统计!V$2:V$500,MATCH(202,样本到样信息汇总统计!$Y$2:$Y$500,0)),"")</f>
        <v/>
      </c>
      <c r="W203" s="8" t="str">
        <f>IFERROR(INDEX(样本到样信息汇总统计!W$2:W$500,MATCH(202,样本到样信息汇总统计!$Y$2:$Y$500,0)),"")</f>
        <v/>
      </c>
    </row>
    <row r="204" ht="14.5" spans="1:23">
      <c r="A204" s="4" t="str">
        <f>IFERROR(INDEX(样本到样信息汇总统计!A$2:A$500,MATCH(203,样本到样信息汇总统计!$Y$2:$Y$500,0)),"")</f>
        <v/>
      </c>
      <c r="B204" s="4" t="str">
        <f>IFERROR(INDEX(样本到样信息汇总统计!B$2:B$500,MATCH(203,样本到样信息汇总统计!$Y$2:$Y$500,0)),"")</f>
        <v/>
      </c>
      <c r="C204" s="4" t="str">
        <f>IFERROR(INDEX(样本到样信息汇总统计!C$2:C$500,MATCH(203,样本到样信息汇总统计!$Y$2:$Y$500,0)),"")</f>
        <v/>
      </c>
      <c r="D204" s="4" t="str">
        <f>IFERROR(INDEX(样本到样信息汇总统计!D$2:D$500,MATCH(203,样本到样信息汇总统计!$Y$2:$Y$500,0)),"")</f>
        <v/>
      </c>
      <c r="E204" s="4" t="str">
        <f>IFERROR(INDEX(样本到样信息汇总统计!E$2:E$500,MATCH(203,样本到样信息汇总统计!$Y$2:$Y$500,0)),"")</f>
        <v/>
      </c>
      <c r="F204" s="4" t="str">
        <f>IFERROR(INDEX(样本到样信息汇总统计!F$2:F$500,MATCH(203,样本到样信息汇总统计!$Y$2:$Y$500,0)),"")</f>
        <v/>
      </c>
      <c r="G204" s="4" t="str">
        <f>IFERROR(INDEX(样本到样信息汇总统计!G$2:G$500,MATCH(203,样本到样信息汇总统计!$Y$2:$Y$500,0)),"")</f>
        <v/>
      </c>
      <c r="H204" s="4" t="str">
        <f>IFERROR(INDEX(样本到样信息汇总统计!H$2:H$500,MATCH(203,样本到样信息汇总统计!$Y$2:$Y$500,0)),"")</f>
        <v/>
      </c>
      <c r="I204" s="4" t="str">
        <f>IFERROR(INDEX(样本到样信息汇总统计!I$2:I$500,MATCH(203,样本到样信息汇总统计!$Y$2:$Y$500,0)),"")</f>
        <v/>
      </c>
      <c r="J204" s="4" t="str">
        <f>IFERROR(INDEX(样本到样信息汇总统计!J$2:J$500,MATCH(203,样本到样信息汇总统计!$Y$2:$Y$500,0)),"")</f>
        <v/>
      </c>
      <c r="K204" s="4" t="str">
        <f>IFERROR(INDEX(样本到样信息汇总统计!K$2:K$500,MATCH(203,样本到样信息汇总统计!$Y$2:$Y$500,0)),"")</f>
        <v/>
      </c>
      <c r="L204" s="4" t="str">
        <f>IFERROR(INDEX(样本到样信息汇总统计!L$2:L$500,MATCH(203,样本到样信息汇总统计!$Y$2:$Y$500,0)),"")</f>
        <v/>
      </c>
      <c r="M204" s="4" t="str">
        <f>IFERROR(INDEX(样本到样信息汇总统计!M$2:M$500,MATCH(203,样本到样信息汇总统计!$Y$2:$Y$500,0)),"")</f>
        <v/>
      </c>
      <c r="N204" s="4" t="str">
        <f>IFERROR(INDEX(样本到样信息汇总统计!N$2:N$500,MATCH(203,样本到样信息汇总统计!$Y$2:$Y$500,0)),"")</f>
        <v/>
      </c>
      <c r="O204" s="4" t="str">
        <f>IFERROR(INDEX(样本到样信息汇总统计!O$2:O$500,MATCH(203,样本到样信息汇总统计!$Y$2:$Y$500,0)),"")</f>
        <v/>
      </c>
      <c r="P204" s="4" t="str">
        <f>IFERROR(INDEX(样本到样信息汇总统计!P$2:P$500,MATCH(203,样本到样信息汇总统计!$Y$2:$Y$500,0)),"")</f>
        <v/>
      </c>
      <c r="Q204" s="4" t="str">
        <f>IFERROR(INDEX(样本到样信息汇总统计!Q$2:Q$500,MATCH(203,样本到样信息汇总统计!$Y$2:$Y$500,0)),"")</f>
        <v/>
      </c>
      <c r="R204" s="4" t="str">
        <f>IFERROR(INDEX(样本到样信息汇总统计!R$2:R$500,MATCH(203,样本到样信息汇总统计!$Y$2:$Y$500,0)),"")</f>
        <v/>
      </c>
      <c r="S204" s="4" t="str">
        <f>IFERROR(INDEX(样本到样信息汇总统计!S$2:S$500,MATCH(203,样本到样信息汇总统计!$Y$2:$Y$500,0)),"")</f>
        <v/>
      </c>
      <c r="T204" s="4" t="str">
        <f>IFERROR(INDEX(样本到样信息汇总统计!T$2:T$500,MATCH(203,样本到样信息汇总统计!$Y$2:$Y$500,0)),"")</f>
        <v/>
      </c>
      <c r="U204" s="4" t="str">
        <f>IFERROR(INDEX(样本到样信息汇总统计!U$2:U$500,MATCH(203,样本到样信息汇总统计!$Y$2:$Y$500,0)),"")</f>
        <v/>
      </c>
      <c r="V204" s="4" t="str">
        <f>IFERROR(INDEX(样本到样信息汇总统计!V$2:V$500,MATCH(203,样本到样信息汇总统计!$Y$2:$Y$500,0)),"")</f>
        <v/>
      </c>
      <c r="W204" s="4" t="str">
        <f>IFERROR(INDEX(样本到样信息汇总统计!W$2:W$500,MATCH(203,样本到样信息汇总统计!$Y$2:$Y$500,0)),"")</f>
        <v/>
      </c>
    </row>
    <row r="205" ht="14.5" spans="1:23">
      <c r="A205" s="8" t="str">
        <f>IFERROR(INDEX(样本到样信息汇总统计!A$2:A$500,MATCH(204,样本到样信息汇总统计!$Y$2:$Y$500,0)),"")</f>
        <v/>
      </c>
      <c r="B205" s="8" t="str">
        <f>IFERROR(INDEX(样本到样信息汇总统计!B$2:B$500,MATCH(204,样本到样信息汇总统计!$Y$2:$Y$500,0)),"")</f>
        <v/>
      </c>
      <c r="C205" s="8" t="str">
        <f>IFERROR(INDEX(样本到样信息汇总统计!C$2:C$500,MATCH(204,样本到样信息汇总统计!$Y$2:$Y$500,0)),"")</f>
        <v/>
      </c>
      <c r="D205" s="8" t="str">
        <f>IFERROR(INDEX(样本到样信息汇总统计!D$2:D$500,MATCH(204,样本到样信息汇总统计!$Y$2:$Y$500,0)),"")</f>
        <v/>
      </c>
      <c r="E205" s="8" t="str">
        <f>IFERROR(INDEX(样本到样信息汇总统计!E$2:E$500,MATCH(204,样本到样信息汇总统计!$Y$2:$Y$500,0)),"")</f>
        <v/>
      </c>
      <c r="F205" s="8" t="str">
        <f>IFERROR(INDEX(样本到样信息汇总统计!F$2:F$500,MATCH(204,样本到样信息汇总统计!$Y$2:$Y$500,0)),"")</f>
        <v/>
      </c>
      <c r="G205" s="8" t="str">
        <f>IFERROR(INDEX(样本到样信息汇总统计!G$2:G$500,MATCH(204,样本到样信息汇总统计!$Y$2:$Y$500,0)),"")</f>
        <v/>
      </c>
      <c r="H205" s="8" t="str">
        <f>IFERROR(INDEX(样本到样信息汇总统计!H$2:H$500,MATCH(204,样本到样信息汇总统计!$Y$2:$Y$500,0)),"")</f>
        <v/>
      </c>
      <c r="I205" s="8" t="str">
        <f>IFERROR(INDEX(样本到样信息汇总统计!I$2:I$500,MATCH(204,样本到样信息汇总统计!$Y$2:$Y$500,0)),"")</f>
        <v/>
      </c>
      <c r="J205" s="8" t="str">
        <f>IFERROR(INDEX(样本到样信息汇总统计!J$2:J$500,MATCH(204,样本到样信息汇总统计!$Y$2:$Y$500,0)),"")</f>
        <v/>
      </c>
      <c r="K205" s="8" t="str">
        <f>IFERROR(INDEX(样本到样信息汇总统计!K$2:K$500,MATCH(204,样本到样信息汇总统计!$Y$2:$Y$500,0)),"")</f>
        <v/>
      </c>
      <c r="L205" s="8" t="str">
        <f>IFERROR(INDEX(样本到样信息汇总统计!L$2:L$500,MATCH(204,样本到样信息汇总统计!$Y$2:$Y$500,0)),"")</f>
        <v/>
      </c>
      <c r="M205" s="8" t="str">
        <f>IFERROR(INDEX(样本到样信息汇总统计!M$2:M$500,MATCH(204,样本到样信息汇总统计!$Y$2:$Y$500,0)),"")</f>
        <v/>
      </c>
      <c r="N205" s="8" t="str">
        <f>IFERROR(INDEX(样本到样信息汇总统计!N$2:N$500,MATCH(204,样本到样信息汇总统计!$Y$2:$Y$500,0)),"")</f>
        <v/>
      </c>
      <c r="O205" s="8" t="str">
        <f>IFERROR(INDEX(样本到样信息汇总统计!O$2:O$500,MATCH(204,样本到样信息汇总统计!$Y$2:$Y$500,0)),"")</f>
        <v/>
      </c>
      <c r="P205" s="8" t="str">
        <f>IFERROR(INDEX(样本到样信息汇总统计!P$2:P$500,MATCH(204,样本到样信息汇总统计!$Y$2:$Y$500,0)),"")</f>
        <v/>
      </c>
      <c r="Q205" s="8" t="str">
        <f>IFERROR(INDEX(样本到样信息汇总统计!Q$2:Q$500,MATCH(204,样本到样信息汇总统计!$Y$2:$Y$500,0)),"")</f>
        <v/>
      </c>
      <c r="R205" s="8" t="str">
        <f>IFERROR(INDEX(样本到样信息汇总统计!R$2:R$500,MATCH(204,样本到样信息汇总统计!$Y$2:$Y$500,0)),"")</f>
        <v/>
      </c>
      <c r="S205" s="8" t="str">
        <f>IFERROR(INDEX(样本到样信息汇总统计!S$2:S$500,MATCH(204,样本到样信息汇总统计!$Y$2:$Y$500,0)),"")</f>
        <v/>
      </c>
      <c r="T205" s="8" t="str">
        <f>IFERROR(INDEX(样本到样信息汇总统计!T$2:T$500,MATCH(204,样本到样信息汇总统计!$Y$2:$Y$500,0)),"")</f>
        <v/>
      </c>
      <c r="U205" s="8" t="str">
        <f>IFERROR(INDEX(样本到样信息汇总统计!U$2:U$500,MATCH(204,样本到样信息汇总统计!$Y$2:$Y$500,0)),"")</f>
        <v/>
      </c>
      <c r="V205" s="8" t="str">
        <f>IFERROR(INDEX(样本到样信息汇总统计!V$2:V$500,MATCH(204,样本到样信息汇总统计!$Y$2:$Y$500,0)),"")</f>
        <v/>
      </c>
      <c r="W205" s="8" t="str">
        <f>IFERROR(INDEX(样本到样信息汇总统计!W$2:W$500,MATCH(204,样本到样信息汇总统计!$Y$2:$Y$500,0)),"")</f>
        <v/>
      </c>
    </row>
    <row r="206" ht="14.5" spans="1:23">
      <c r="A206" s="4" t="str">
        <f>IFERROR(INDEX(样本到样信息汇总统计!A$2:A$500,MATCH(205,样本到样信息汇总统计!$Y$2:$Y$500,0)),"")</f>
        <v/>
      </c>
      <c r="B206" s="4" t="str">
        <f>IFERROR(INDEX(样本到样信息汇总统计!B$2:B$500,MATCH(205,样本到样信息汇总统计!$Y$2:$Y$500,0)),"")</f>
        <v/>
      </c>
      <c r="C206" s="4" t="str">
        <f>IFERROR(INDEX(样本到样信息汇总统计!C$2:C$500,MATCH(205,样本到样信息汇总统计!$Y$2:$Y$500,0)),"")</f>
        <v/>
      </c>
      <c r="D206" s="4" t="str">
        <f>IFERROR(INDEX(样本到样信息汇总统计!D$2:D$500,MATCH(205,样本到样信息汇总统计!$Y$2:$Y$500,0)),"")</f>
        <v/>
      </c>
      <c r="E206" s="4" t="str">
        <f>IFERROR(INDEX(样本到样信息汇总统计!E$2:E$500,MATCH(205,样本到样信息汇总统计!$Y$2:$Y$500,0)),"")</f>
        <v/>
      </c>
      <c r="F206" s="4" t="str">
        <f>IFERROR(INDEX(样本到样信息汇总统计!F$2:F$500,MATCH(205,样本到样信息汇总统计!$Y$2:$Y$500,0)),"")</f>
        <v/>
      </c>
      <c r="G206" s="4" t="str">
        <f>IFERROR(INDEX(样本到样信息汇总统计!G$2:G$500,MATCH(205,样本到样信息汇总统计!$Y$2:$Y$500,0)),"")</f>
        <v/>
      </c>
      <c r="H206" s="4" t="str">
        <f>IFERROR(INDEX(样本到样信息汇总统计!H$2:H$500,MATCH(205,样本到样信息汇总统计!$Y$2:$Y$500,0)),"")</f>
        <v/>
      </c>
      <c r="I206" s="4" t="str">
        <f>IFERROR(INDEX(样本到样信息汇总统计!I$2:I$500,MATCH(205,样本到样信息汇总统计!$Y$2:$Y$500,0)),"")</f>
        <v/>
      </c>
      <c r="J206" s="4" t="str">
        <f>IFERROR(INDEX(样本到样信息汇总统计!J$2:J$500,MATCH(205,样本到样信息汇总统计!$Y$2:$Y$500,0)),"")</f>
        <v/>
      </c>
      <c r="K206" s="4" t="str">
        <f>IFERROR(INDEX(样本到样信息汇总统计!K$2:K$500,MATCH(205,样本到样信息汇总统计!$Y$2:$Y$500,0)),"")</f>
        <v/>
      </c>
      <c r="L206" s="4" t="str">
        <f>IFERROR(INDEX(样本到样信息汇总统计!L$2:L$500,MATCH(205,样本到样信息汇总统计!$Y$2:$Y$500,0)),"")</f>
        <v/>
      </c>
      <c r="M206" s="4" t="str">
        <f>IFERROR(INDEX(样本到样信息汇总统计!M$2:M$500,MATCH(205,样本到样信息汇总统计!$Y$2:$Y$500,0)),"")</f>
        <v/>
      </c>
      <c r="N206" s="4" t="str">
        <f>IFERROR(INDEX(样本到样信息汇总统计!N$2:N$500,MATCH(205,样本到样信息汇总统计!$Y$2:$Y$500,0)),"")</f>
        <v/>
      </c>
      <c r="O206" s="4" t="str">
        <f>IFERROR(INDEX(样本到样信息汇总统计!O$2:O$500,MATCH(205,样本到样信息汇总统计!$Y$2:$Y$500,0)),"")</f>
        <v/>
      </c>
      <c r="P206" s="4" t="str">
        <f>IFERROR(INDEX(样本到样信息汇总统计!P$2:P$500,MATCH(205,样本到样信息汇总统计!$Y$2:$Y$500,0)),"")</f>
        <v/>
      </c>
      <c r="Q206" s="4" t="str">
        <f>IFERROR(INDEX(样本到样信息汇总统计!Q$2:Q$500,MATCH(205,样本到样信息汇总统计!$Y$2:$Y$500,0)),"")</f>
        <v/>
      </c>
      <c r="R206" s="4" t="str">
        <f>IFERROR(INDEX(样本到样信息汇总统计!R$2:R$500,MATCH(205,样本到样信息汇总统计!$Y$2:$Y$500,0)),"")</f>
        <v/>
      </c>
      <c r="S206" s="4" t="str">
        <f>IFERROR(INDEX(样本到样信息汇总统计!S$2:S$500,MATCH(205,样本到样信息汇总统计!$Y$2:$Y$500,0)),"")</f>
        <v/>
      </c>
      <c r="T206" s="4" t="str">
        <f>IFERROR(INDEX(样本到样信息汇总统计!T$2:T$500,MATCH(205,样本到样信息汇总统计!$Y$2:$Y$500,0)),"")</f>
        <v/>
      </c>
      <c r="U206" s="4" t="str">
        <f>IFERROR(INDEX(样本到样信息汇总统计!U$2:U$500,MATCH(205,样本到样信息汇总统计!$Y$2:$Y$500,0)),"")</f>
        <v/>
      </c>
      <c r="V206" s="4" t="str">
        <f>IFERROR(INDEX(样本到样信息汇总统计!V$2:V$500,MATCH(205,样本到样信息汇总统计!$Y$2:$Y$500,0)),"")</f>
        <v/>
      </c>
      <c r="W206" s="4" t="str">
        <f>IFERROR(INDEX(样本到样信息汇总统计!W$2:W$500,MATCH(205,样本到样信息汇总统计!$Y$2:$Y$500,0)),"")</f>
        <v/>
      </c>
    </row>
    <row r="207" ht="14.5" spans="1:23">
      <c r="A207" s="8" t="str">
        <f>IFERROR(INDEX(样本到样信息汇总统计!A$2:A$500,MATCH(206,样本到样信息汇总统计!$Y$2:$Y$500,0)),"")</f>
        <v/>
      </c>
      <c r="B207" s="8" t="str">
        <f>IFERROR(INDEX(样本到样信息汇总统计!B$2:B$500,MATCH(206,样本到样信息汇总统计!$Y$2:$Y$500,0)),"")</f>
        <v/>
      </c>
      <c r="C207" s="8" t="str">
        <f>IFERROR(INDEX(样本到样信息汇总统计!C$2:C$500,MATCH(206,样本到样信息汇总统计!$Y$2:$Y$500,0)),"")</f>
        <v/>
      </c>
      <c r="D207" s="8" t="str">
        <f>IFERROR(INDEX(样本到样信息汇总统计!D$2:D$500,MATCH(206,样本到样信息汇总统计!$Y$2:$Y$500,0)),"")</f>
        <v/>
      </c>
      <c r="E207" s="8" t="str">
        <f>IFERROR(INDEX(样本到样信息汇总统计!E$2:E$500,MATCH(206,样本到样信息汇总统计!$Y$2:$Y$500,0)),"")</f>
        <v/>
      </c>
      <c r="F207" s="8" t="str">
        <f>IFERROR(INDEX(样本到样信息汇总统计!F$2:F$500,MATCH(206,样本到样信息汇总统计!$Y$2:$Y$500,0)),"")</f>
        <v/>
      </c>
      <c r="G207" s="8" t="str">
        <f>IFERROR(INDEX(样本到样信息汇总统计!G$2:G$500,MATCH(206,样本到样信息汇总统计!$Y$2:$Y$500,0)),"")</f>
        <v/>
      </c>
      <c r="H207" s="8" t="str">
        <f>IFERROR(INDEX(样本到样信息汇总统计!H$2:H$500,MATCH(206,样本到样信息汇总统计!$Y$2:$Y$500,0)),"")</f>
        <v/>
      </c>
      <c r="I207" s="8" t="str">
        <f>IFERROR(INDEX(样本到样信息汇总统计!I$2:I$500,MATCH(206,样本到样信息汇总统计!$Y$2:$Y$500,0)),"")</f>
        <v/>
      </c>
      <c r="J207" s="8" t="str">
        <f>IFERROR(INDEX(样本到样信息汇总统计!J$2:J$500,MATCH(206,样本到样信息汇总统计!$Y$2:$Y$500,0)),"")</f>
        <v/>
      </c>
      <c r="K207" s="8" t="str">
        <f>IFERROR(INDEX(样本到样信息汇总统计!K$2:K$500,MATCH(206,样本到样信息汇总统计!$Y$2:$Y$500,0)),"")</f>
        <v/>
      </c>
      <c r="L207" s="8" t="str">
        <f>IFERROR(INDEX(样本到样信息汇总统计!L$2:L$500,MATCH(206,样本到样信息汇总统计!$Y$2:$Y$500,0)),"")</f>
        <v/>
      </c>
      <c r="M207" s="8" t="str">
        <f>IFERROR(INDEX(样本到样信息汇总统计!M$2:M$500,MATCH(206,样本到样信息汇总统计!$Y$2:$Y$500,0)),"")</f>
        <v/>
      </c>
      <c r="N207" s="8" t="str">
        <f>IFERROR(INDEX(样本到样信息汇总统计!N$2:N$500,MATCH(206,样本到样信息汇总统计!$Y$2:$Y$500,0)),"")</f>
        <v/>
      </c>
      <c r="O207" s="8" t="str">
        <f>IFERROR(INDEX(样本到样信息汇总统计!O$2:O$500,MATCH(206,样本到样信息汇总统计!$Y$2:$Y$500,0)),"")</f>
        <v/>
      </c>
      <c r="P207" s="8" t="str">
        <f>IFERROR(INDEX(样本到样信息汇总统计!P$2:P$500,MATCH(206,样本到样信息汇总统计!$Y$2:$Y$500,0)),"")</f>
        <v/>
      </c>
      <c r="Q207" s="8" t="str">
        <f>IFERROR(INDEX(样本到样信息汇总统计!Q$2:Q$500,MATCH(206,样本到样信息汇总统计!$Y$2:$Y$500,0)),"")</f>
        <v/>
      </c>
      <c r="R207" s="8" t="str">
        <f>IFERROR(INDEX(样本到样信息汇总统计!R$2:R$500,MATCH(206,样本到样信息汇总统计!$Y$2:$Y$500,0)),"")</f>
        <v/>
      </c>
      <c r="S207" s="8" t="str">
        <f>IFERROR(INDEX(样本到样信息汇总统计!S$2:S$500,MATCH(206,样本到样信息汇总统计!$Y$2:$Y$500,0)),"")</f>
        <v/>
      </c>
      <c r="T207" s="8" t="str">
        <f>IFERROR(INDEX(样本到样信息汇总统计!T$2:T$500,MATCH(206,样本到样信息汇总统计!$Y$2:$Y$500,0)),"")</f>
        <v/>
      </c>
      <c r="U207" s="8" t="str">
        <f>IFERROR(INDEX(样本到样信息汇总统计!U$2:U$500,MATCH(206,样本到样信息汇总统计!$Y$2:$Y$500,0)),"")</f>
        <v/>
      </c>
      <c r="V207" s="8" t="str">
        <f>IFERROR(INDEX(样本到样信息汇总统计!V$2:V$500,MATCH(206,样本到样信息汇总统计!$Y$2:$Y$500,0)),"")</f>
        <v/>
      </c>
      <c r="W207" s="8" t="str">
        <f>IFERROR(INDEX(样本到样信息汇总统计!W$2:W$500,MATCH(206,样本到样信息汇总统计!$Y$2:$Y$500,0)),"")</f>
        <v/>
      </c>
    </row>
    <row r="208" ht="14.5" spans="1:23">
      <c r="A208" s="4" t="str">
        <f>IFERROR(INDEX(样本到样信息汇总统计!A$2:A$500,MATCH(207,样本到样信息汇总统计!$Y$2:$Y$500,0)),"")</f>
        <v/>
      </c>
      <c r="B208" s="4" t="str">
        <f>IFERROR(INDEX(样本到样信息汇总统计!B$2:B$500,MATCH(207,样本到样信息汇总统计!$Y$2:$Y$500,0)),"")</f>
        <v/>
      </c>
      <c r="C208" s="4" t="str">
        <f>IFERROR(INDEX(样本到样信息汇总统计!C$2:C$500,MATCH(207,样本到样信息汇总统计!$Y$2:$Y$500,0)),"")</f>
        <v/>
      </c>
      <c r="D208" s="4" t="str">
        <f>IFERROR(INDEX(样本到样信息汇总统计!D$2:D$500,MATCH(207,样本到样信息汇总统计!$Y$2:$Y$500,0)),"")</f>
        <v/>
      </c>
      <c r="E208" s="4" t="str">
        <f>IFERROR(INDEX(样本到样信息汇总统计!E$2:E$500,MATCH(207,样本到样信息汇总统计!$Y$2:$Y$500,0)),"")</f>
        <v/>
      </c>
      <c r="F208" s="4" t="str">
        <f>IFERROR(INDEX(样本到样信息汇总统计!F$2:F$500,MATCH(207,样本到样信息汇总统计!$Y$2:$Y$500,0)),"")</f>
        <v/>
      </c>
      <c r="G208" s="4" t="str">
        <f>IFERROR(INDEX(样本到样信息汇总统计!G$2:G$500,MATCH(207,样本到样信息汇总统计!$Y$2:$Y$500,0)),"")</f>
        <v/>
      </c>
      <c r="H208" s="4" t="str">
        <f>IFERROR(INDEX(样本到样信息汇总统计!H$2:H$500,MATCH(207,样本到样信息汇总统计!$Y$2:$Y$500,0)),"")</f>
        <v/>
      </c>
      <c r="I208" s="4" t="str">
        <f>IFERROR(INDEX(样本到样信息汇总统计!I$2:I$500,MATCH(207,样本到样信息汇总统计!$Y$2:$Y$500,0)),"")</f>
        <v/>
      </c>
      <c r="J208" s="4" t="str">
        <f>IFERROR(INDEX(样本到样信息汇总统计!J$2:J$500,MATCH(207,样本到样信息汇总统计!$Y$2:$Y$500,0)),"")</f>
        <v/>
      </c>
      <c r="K208" s="4" t="str">
        <f>IFERROR(INDEX(样本到样信息汇总统计!K$2:K$500,MATCH(207,样本到样信息汇总统计!$Y$2:$Y$500,0)),"")</f>
        <v/>
      </c>
      <c r="L208" s="4" t="str">
        <f>IFERROR(INDEX(样本到样信息汇总统计!L$2:L$500,MATCH(207,样本到样信息汇总统计!$Y$2:$Y$500,0)),"")</f>
        <v/>
      </c>
      <c r="M208" s="4" t="str">
        <f>IFERROR(INDEX(样本到样信息汇总统计!M$2:M$500,MATCH(207,样本到样信息汇总统计!$Y$2:$Y$500,0)),"")</f>
        <v/>
      </c>
      <c r="N208" s="4" t="str">
        <f>IFERROR(INDEX(样本到样信息汇总统计!N$2:N$500,MATCH(207,样本到样信息汇总统计!$Y$2:$Y$500,0)),"")</f>
        <v/>
      </c>
      <c r="O208" s="4" t="str">
        <f>IFERROR(INDEX(样本到样信息汇总统计!O$2:O$500,MATCH(207,样本到样信息汇总统计!$Y$2:$Y$500,0)),"")</f>
        <v/>
      </c>
      <c r="P208" s="4" t="str">
        <f>IFERROR(INDEX(样本到样信息汇总统计!P$2:P$500,MATCH(207,样本到样信息汇总统计!$Y$2:$Y$500,0)),"")</f>
        <v/>
      </c>
      <c r="Q208" s="4" t="str">
        <f>IFERROR(INDEX(样本到样信息汇总统计!Q$2:Q$500,MATCH(207,样本到样信息汇总统计!$Y$2:$Y$500,0)),"")</f>
        <v/>
      </c>
      <c r="R208" s="4" t="str">
        <f>IFERROR(INDEX(样本到样信息汇总统计!R$2:R$500,MATCH(207,样本到样信息汇总统计!$Y$2:$Y$500,0)),"")</f>
        <v/>
      </c>
      <c r="S208" s="4" t="str">
        <f>IFERROR(INDEX(样本到样信息汇总统计!S$2:S$500,MATCH(207,样本到样信息汇总统计!$Y$2:$Y$500,0)),"")</f>
        <v/>
      </c>
      <c r="T208" s="4" t="str">
        <f>IFERROR(INDEX(样本到样信息汇总统计!T$2:T$500,MATCH(207,样本到样信息汇总统计!$Y$2:$Y$500,0)),"")</f>
        <v/>
      </c>
      <c r="U208" s="4" t="str">
        <f>IFERROR(INDEX(样本到样信息汇总统计!U$2:U$500,MATCH(207,样本到样信息汇总统计!$Y$2:$Y$500,0)),"")</f>
        <v/>
      </c>
      <c r="V208" s="4" t="str">
        <f>IFERROR(INDEX(样本到样信息汇总统计!V$2:V$500,MATCH(207,样本到样信息汇总统计!$Y$2:$Y$500,0)),"")</f>
        <v/>
      </c>
      <c r="W208" s="4" t="str">
        <f>IFERROR(INDEX(样本到样信息汇总统计!W$2:W$500,MATCH(207,样本到样信息汇总统计!$Y$2:$Y$500,0)),"")</f>
        <v/>
      </c>
    </row>
    <row r="209" ht="14.5" spans="1:23">
      <c r="A209" s="8" t="str">
        <f>IFERROR(INDEX(样本到样信息汇总统计!A$2:A$500,MATCH(208,样本到样信息汇总统计!$Y$2:$Y$500,0)),"")</f>
        <v/>
      </c>
      <c r="B209" s="8" t="str">
        <f>IFERROR(INDEX(样本到样信息汇总统计!B$2:B$500,MATCH(208,样本到样信息汇总统计!$Y$2:$Y$500,0)),"")</f>
        <v/>
      </c>
      <c r="C209" s="8" t="str">
        <f>IFERROR(INDEX(样本到样信息汇总统计!C$2:C$500,MATCH(208,样本到样信息汇总统计!$Y$2:$Y$500,0)),"")</f>
        <v/>
      </c>
      <c r="D209" s="8" t="str">
        <f>IFERROR(INDEX(样本到样信息汇总统计!D$2:D$500,MATCH(208,样本到样信息汇总统计!$Y$2:$Y$500,0)),"")</f>
        <v/>
      </c>
      <c r="E209" s="8" t="str">
        <f>IFERROR(INDEX(样本到样信息汇总统计!E$2:E$500,MATCH(208,样本到样信息汇总统计!$Y$2:$Y$500,0)),"")</f>
        <v/>
      </c>
      <c r="F209" s="8" t="str">
        <f>IFERROR(INDEX(样本到样信息汇总统计!F$2:F$500,MATCH(208,样本到样信息汇总统计!$Y$2:$Y$500,0)),"")</f>
        <v/>
      </c>
      <c r="G209" s="8" t="str">
        <f>IFERROR(INDEX(样本到样信息汇总统计!G$2:G$500,MATCH(208,样本到样信息汇总统计!$Y$2:$Y$500,0)),"")</f>
        <v/>
      </c>
      <c r="H209" s="8" t="str">
        <f>IFERROR(INDEX(样本到样信息汇总统计!H$2:H$500,MATCH(208,样本到样信息汇总统计!$Y$2:$Y$500,0)),"")</f>
        <v/>
      </c>
      <c r="I209" s="8" t="str">
        <f>IFERROR(INDEX(样本到样信息汇总统计!I$2:I$500,MATCH(208,样本到样信息汇总统计!$Y$2:$Y$500,0)),"")</f>
        <v/>
      </c>
      <c r="J209" s="8" t="str">
        <f>IFERROR(INDEX(样本到样信息汇总统计!J$2:J$500,MATCH(208,样本到样信息汇总统计!$Y$2:$Y$500,0)),"")</f>
        <v/>
      </c>
      <c r="K209" s="8" t="str">
        <f>IFERROR(INDEX(样本到样信息汇总统计!K$2:K$500,MATCH(208,样本到样信息汇总统计!$Y$2:$Y$500,0)),"")</f>
        <v/>
      </c>
      <c r="L209" s="8" t="str">
        <f>IFERROR(INDEX(样本到样信息汇总统计!L$2:L$500,MATCH(208,样本到样信息汇总统计!$Y$2:$Y$500,0)),"")</f>
        <v/>
      </c>
      <c r="M209" s="8" t="str">
        <f>IFERROR(INDEX(样本到样信息汇总统计!M$2:M$500,MATCH(208,样本到样信息汇总统计!$Y$2:$Y$500,0)),"")</f>
        <v/>
      </c>
      <c r="N209" s="8" t="str">
        <f>IFERROR(INDEX(样本到样信息汇总统计!N$2:N$500,MATCH(208,样本到样信息汇总统计!$Y$2:$Y$500,0)),"")</f>
        <v/>
      </c>
      <c r="O209" s="8" t="str">
        <f>IFERROR(INDEX(样本到样信息汇总统计!O$2:O$500,MATCH(208,样本到样信息汇总统计!$Y$2:$Y$500,0)),"")</f>
        <v/>
      </c>
      <c r="P209" s="8" t="str">
        <f>IFERROR(INDEX(样本到样信息汇总统计!P$2:P$500,MATCH(208,样本到样信息汇总统计!$Y$2:$Y$500,0)),"")</f>
        <v/>
      </c>
      <c r="Q209" s="8" t="str">
        <f>IFERROR(INDEX(样本到样信息汇总统计!Q$2:Q$500,MATCH(208,样本到样信息汇总统计!$Y$2:$Y$500,0)),"")</f>
        <v/>
      </c>
      <c r="R209" s="8" t="str">
        <f>IFERROR(INDEX(样本到样信息汇总统计!R$2:R$500,MATCH(208,样本到样信息汇总统计!$Y$2:$Y$500,0)),"")</f>
        <v/>
      </c>
      <c r="S209" s="8" t="str">
        <f>IFERROR(INDEX(样本到样信息汇总统计!S$2:S$500,MATCH(208,样本到样信息汇总统计!$Y$2:$Y$500,0)),"")</f>
        <v/>
      </c>
      <c r="T209" s="8" t="str">
        <f>IFERROR(INDEX(样本到样信息汇总统计!T$2:T$500,MATCH(208,样本到样信息汇总统计!$Y$2:$Y$500,0)),"")</f>
        <v/>
      </c>
      <c r="U209" s="8" t="str">
        <f>IFERROR(INDEX(样本到样信息汇总统计!U$2:U$500,MATCH(208,样本到样信息汇总统计!$Y$2:$Y$500,0)),"")</f>
        <v/>
      </c>
      <c r="V209" s="8" t="str">
        <f>IFERROR(INDEX(样本到样信息汇总统计!V$2:V$500,MATCH(208,样本到样信息汇总统计!$Y$2:$Y$500,0)),"")</f>
        <v/>
      </c>
      <c r="W209" s="8" t="str">
        <f>IFERROR(INDEX(样本到样信息汇总统计!W$2:W$500,MATCH(208,样本到样信息汇总统计!$Y$2:$Y$500,0)),"")</f>
        <v/>
      </c>
    </row>
    <row r="210" ht="14.5" spans="1:23">
      <c r="A210" s="4" t="str">
        <f>IFERROR(INDEX(样本到样信息汇总统计!A$2:A$500,MATCH(209,样本到样信息汇总统计!$Y$2:$Y$500,0)),"")</f>
        <v/>
      </c>
      <c r="B210" s="4" t="str">
        <f>IFERROR(INDEX(样本到样信息汇总统计!B$2:B$500,MATCH(209,样本到样信息汇总统计!$Y$2:$Y$500,0)),"")</f>
        <v/>
      </c>
      <c r="C210" s="4" t="str">
        <f>IFERROR(INDEX(样本到样信息汇总统计!C$2:C$500,MATCH(209,样本到样信息汇总统计!$Y$2:$Y$500,0)),"")</f>
        <v/>
      </c>
      <c r="D210" s="4" t="str">
        <f>IFERROR(INDEX(样本到样信息汇总统计!D$2:D$500,MATCH(209,样本到样信息汇总统计!$Y$2:$Y$500,0)),"")</f>
        <v/>
      </c>
      <c r="E210" s="4" t="str">
        <f>IFERROR(INDEX(样本到样信息汇总统计!E$2:E$500,MATCH(209,样本到样信息汇总统计!$Y$2:$Y$500,0)),"")</f>
        <v/>
      </c>
      <c r="F210" s="4" t="str">
        <f>IFERROR(INDEX(样本到样信息汇总统计!F$2:F$500,MATCH(209,样本到样信息汇总统计!$Y$2:$Y$500,0)),"")</f>
        <v/>
      </c>
      <c r="G210" s="4" t="str">
        <f>IFERROR(INDEX(样本到样信息汇总统计!G$2:G$500,MATCH(209,样本到样信息汇总统计!$Y$2:$Y$500,0)),"")</f>
        <v/>
      </c>
      <c r="H210" s="4" t="str">
        <f>IFERROR(INDEX(样本到样信息汇总统计!H$2:H$500,MATCH(209,样本到样信息汇总统计!$Y$2:$Y$500,0)),"")</f>
        <v/>
      </c>
      <c r="I210" s="4" t="str">
        <f>IFERROR(INDEX(样本到样信息汇总统计!I$2:I$500,MATCH(209,样本到样信息汇总统计!$Y$2:$Y$500,0)),"")</f>
        <v/>
      </c>
      <c r="J210" s="4" t="str">
        <f>IFERROR(INDEX(样本到样信息汇总统计!J$2:J$500,MATCH(209,样本到样信息汇总统计!$Y$2:$Y$500,0)),"")</f>
        <v/>
      </c>
      <c r="K210" s="4" t="str">
        <f>IFERROR(INDEX(样本到样信息汇总统计!K$2:K$500,MATCH(209,样本到样信息汇总统计!$Y$2:$Y$500,0)),"")</f>
        <v/>
      </c>
      <c r="L210" s="4" t="str">
        <f>IFERROR(INDEX(样本到样信息汇总统计!L$2:L$500,MATCH(209,样本到样信息汇总统计!$Y$2:$Y$500,0)),"")</f>
        <v/>
      </c>
      <c r="M210" s="4" t="str">
        <f>IFERROR(INDEX(样本到样信息汇总统计!M$2:M$500,MATCH(209,样本到样信息汇总统计!$Y$2:$Y$500,0)),"")</f>
        <v/>
      </c>
      <c r="N210" s="4" t="str">
        <f>IFERROR(INDEX(样本到样信息汇总统计!N$2:N$500,MATCH(209,样本到样信息汇总统计!$Y$2:$Y$500,0)),"")</f>
        <v/>
      </c>
      <c r="O210" s="4" t="str">
        <f>IFERROR(INDEX(样本到样信息汇总统计!O$2:O$500,MATCH(209,样本到样信息汇总统计!$Y$2:$Y$500,0)),"")</f>
        <v/>
      </c>
      <c r="P210" s="4" t="str">
        <f>IFERROR(INDEX(样本到样信息汇总统计!P$2:P$500,MATCH(209,样本到样信息汇总统计!$Y$2:$Y$500,0)),"")</f>
        <v/>
      </c>
      <c r="Q210" s="4" t="str">
        <f>IFERROR(INDEX(样本到样信息汇总统计!Q$2:Q$500,MATCH(209,样本到样信息汇总统计!$Y$2:$Y$500,0)),"")</f>
        <v/>
      </c>
      <c r="R210" s="4" t="str">
        <f>IFERROR(INDEX(样本到样信息汇总统计!R$2:R$500,MATCH(209,样本到样信息汇总统计!$Y$2:$Y$500,0)),"")</f>
        <v/>
      </c>
      <c r="S210" s="4" t="str">
        <f>IFERROR(INDEX(样本到样信息汇总统计!S$2:S$500,MATCH(209,样本到样信息汇总统计!$Y$2:$Y$500,0)),"")</f>
        <v/>
      </c>
      <c r="T210" s="4" t="str">
        <f>IFERROR(INDEX(样本到样信息汇总统计!T$2:T$500,MATCH(209,样本到样信息汇总统计!$Y$2:$Y$500,0)),"")</f>
        <v/>
      </c>
      <c r="U210" s="4" t="str">
        <f>IFERROR(INDEX(样本到样信息汇总统计!U$2:U$500,MATCH(209,样本到样信息汇总统计!$Y$2:$Y$500,0)),"")</f>
        <v/>
      </c>
      <c r="V210" s="4" t="str">
        <f>IFERROR(INDEX(样本到样信息汇总统计!V$2:V$500,MATCH(209,样本到样信息汇总统计!$Y$2:$Y$500,0)),"")</f>
        <v/>
      </c>
      <c r="W210" s="4" t="str">
        <f>IFERROR(INDEX(样本到样信息汇总统计!W$2:W$500,MATCH(209,样本到样信息汇总统计!$Y$2:$Y$500,0)),"")</f>
        <v/>
      </c>
    </row>
    <row r="211" ht="14.5" spans="1:23">
      <c r="A211" s="8" t="str">
        <f>IFERROR(INDEX(样本到样信息汇总统计!A$2:A$500,MATCH(210,样本到样信息汇总统计!$Y$2:$Y$500,0)),"")</f>
        <v/>
      </c>
      <c r="B211" s="8" t="str">
        <f>IFERROR(INDEX(样本到样信息汇总统计!B$2:B$500,MATCH(210,样本到样信息汇总统计!$Y$2:$Y$500,0)),"")</f>
        <v/>
      </c>
      <c r="C211" s="8" t="str">
        <f>IFERROR(INDEX(样本到样信息汇总统计!C$2:C$500,MATCH(210,样本到样信息汇总统计!$Y$2:$Y$500,0)),"")</f>
        <v/>
      </c>
      <c r="D211" s="8" t="str">
        <f>IFERROR(INDEX(样本到样信息汇总统计!D$2:D$500,MATCH(210,样本到样信息汇总统计!$Y$2:$Y$500,0)),"")</f>
        <v/>
      </c>
      <c r="E211" s="8" t="str">
        <f>IFERROR(INDEX(样本到样信息汇总统计!E$2:E$500,MATCH(210,样本到样信息汇总统计!$Y$2:$Y$500,0)),"")</f>
        <v/>
      </c>
      <c r="F211" s="8" t="str">
        <f>IFERROR(INDEX(样本到样信息汇总统计!F$2:F$500,MATCH(210,样本到样信息汇总统计!$Y$2:$Y$500,0)),"")</f>
        <v/>
      </c>
      <c r="G211" s="8" t="str">
        <f>IFERROR(INDEX(样本到样信息汇总统计!G$2:G$500,MATCH(210,样本到样信息汇总统计!$Y$2:$Y$500,0)),"")</f>
        <v/>
      </c>
      <c r="H211" s="8" t="str">
        <f>IFERROR(INDEX(样本到样信息汇总统计!H$2:H$500,MATCH(210,样本到样信息汇总统计!$Y$2:$Y$500,0)),"")</f>
        <v/>
      </c>
      <c r="I211" s="8" t="str">
        <f>IFERROR(INDEX(样本到样信息汇总统计!I$2:I$500,MATCH(210,样本到样信息汇总统计!$Y$2:$Y$500,0)),"")</f>
        <v/>
      </c>
      <c r="J211" s="8" t="str">
        <f>IFERROR(INDEX(样本到样信息汇总统计!J$2:J$500,MATCH(210,样本到样信息汇总统计!$Y$2:$Y$500,0)),"")</f>
        <v/>
      </c>
      <c r="K211" s="8" t="str">
        <f>IFERROR(INDEX(样本到样信息汇总统计!K$2:K$500,MATCH(210,样本到样信息汇总统计!$Y$2:$Y$500,0)),"")</f>
        <v/>
      </c>
      <c r="L211" s="8" t="str">
        <f>IFERROR(INDEX(样本到样信息汇总统计!L$2:L$500,MATCH(210,样本到样信息汇总统计!$Y$2:$Y$500,0)),"")</f>
        <v/>
      </c>
      <c r="M211" s="8" t="str">
        <f>IFERROR(INDEX(样本到样信息汇总统计!M$2:M$500,MATCH(210,样本到样信息汇总统计!$Y$2:$Y$500,0)),"")</f>
        <v/>
      </c>
      <c r="N211" s="8" t="str">
        <f>IFERROR(INDEX(样本到样信息汇总统计!N$2:N$500,MATCH(210,样本到样信息汇总统计!$Y$2:$Y$500,0)),"")</f>
        <v/>
      </c>
      <c r="O211" s="8" t="str">
        <f>IFERROR(INDEX(样本到样信息汇总统计!O$2:O$500,MATCH(210,样本到样信息汇总统计!$Y$2:$Y$500,0)),"")</f>
        <v/>
      </c>
      <c r="P211" s="8" t="str">
        <f>IFERROR(INDEX(样本到样信息汇总统计!P$2:P$500,MATCH(210,样本到样信息汇总统计!$Y$2:$Y$500,0)),"")</f>
        <v/>
      </c>
      <c r="Q211" s="8" t="str">
        <f>IFERROR(INDEX(样本到样信息汇总统计!Q$2:Q$500,MATCH(210,样本到样信息汇总统计!$Y$2:$Y$500,0)),"")</f>
        <v/>
      </c>
      <c r="R211" s="8" t="str">
        <f>IFERROR(INDEX(样本到样信息汇总统计!R$2:R$500,MATCH(210,样本到样信息汇总统计!$Y$2:$Y$500,0)),"")</f>
        <v/>
      </c>
      <c r="S211" s="8" t="str">
        <f>IFERROR(INDEX(样本到样信息汇总统计!S$2:S$500,MATCH(210,样本到样信息汇总统计!$Y$2:$Y$500,0)),"")</f>
        <v/>
      </c>
      <c r="T211" s="8" t="str">
        <f>IFERROR(INDEX(样本到样信息汇总统计!T$2:T$500,MATCH(210,样本到样信息汇总统计!$Y$2:$Y$500,0)),"")</f>
        <v/>
      </c>
      <c r="U211" s="8" t="str">
        <f>IFERROR(INDEX(样本到样信息汇总统计!U$2:U$500,MATCH(210,样本到样信息汇总统计!$Y$2:$Y$500,0)),"")</f>
        <v/>
      </c>
      <c r="V211" s="8" t="str">
        <f>IFERROR(INDEX(样本到样信息汇总统计!V$2:V$500,MATCH(210,样本到样信息汇总统计!$Y$2:$Y$500,0)),"")</f>
        <v/>
      </c>
      <c r="W211" s="8" t="str">
        <f>IFERROR(INDEX(样本到样信息汇总统计!W$2:W$500,MATCH(210,样本到样信息汇总统计!$Y$2:$Y$500,0)),"")</f>
        <v/>
      </c>
    </row>
    <row r="212" ht="14.5" spans="1:23">
      <c r="A212" s="4" t="str">
        <f>IFERROR(INDEX(样本到样信息汇总统计!A$2:A$500,MATCH(211,样本到样信息汇总统计!$Y$2:$Y$500,0)),"")</f>
        <v/>
      </c>
      <c r="B212" s="4" t="str">
        <f>IFERROR(INDEX(样本到样信息汇总统计!B$2:B$500,MATCH(211,样本到样信息汇总统计!$Y$2:$Y$500,0)),"")</f>
        <v/>
      </c>
      <c r="C212" s="4" t="str">
        <f>IFERROR(INDEX(样本到样信息汇总统计!C$2:C$500,MATCH(211,样本到样信息汇总统计!$Y$2:$Y$500,0)),"")</f>
        <v/>
      </c>
      <c r="D212" s="4" t="str">
        <f>IFERROR(INDEX(样本到样信息汇总统计!D$2:D$500,MATCH(211,样本到样信息汇总统计!$Y$2:$Y$500,0)),"")</f>
        <v/>
      </c>
      <c r="E212" s="4" t="str">
        <f>IFERROR(INDEX(样本到样信息汇总统计!E$2:E$500,MATCH(211,样本到样信息汇总统计!$Y$2:$Y$500,0)),"")</f>
        <v/>
      </c>
      <c r="F212" s="4" t="str">
        <f>IFERROR(INDEX(样本到样信息汇总统计!F$2:F$500,MATCH(211,样本到样信息汇总统计!$Y$2:$Y$500,0)),"")</f>
        <v/>
      </c>
      <c r="G212" s="4" t="str">
        <f>IFERROR(INDEX(样本到样信息汇总统计!G$2:G$500,MATCH(211,样本到样信息汇总统计!$Y$2:$Y$500,0)),"")</f>
        <v/>
      </c>
      <c r="H212" s="4" t="str">
        <f>IFERROR(INDEX(样本到样信息汇总统计!H$2:H$500,MATCH(211,样本到样信息汇总统计!$Y$2:$Y$500,0)),"")</f>
        <v/>
      </c>
      <c r="I212" s="4" t="str">
        <f>IFERROR(INDEX(样本到样信息汇总统计!I$2:I$500,MATCH(211,样本到样信息汇总统计!$Y$2:$Y$500,0)),"")</f>
        <v/>
      </c>
      <c r="J212" s="4" t="str">
        <f>IFERROR(INDEX(样本到样信息汇总统计!J$2:J$500,MATCH(211,样本到样信息汇总统计!$Y$2:$Y$500,0)),"")</f>
        <v/>
      </c>
      <c r="K212" s="4" t="str">
        <f>IFERROR(INDEX(样本到样信息汇总统计!K$2:K$500,MATCH(211,样本到样信息汇总统计!$Y$2:$Y$500,0)),"")</f>
        <v/>
      </c>
      <c r="L212" s="4" t="str">
        <f>IFERROR(INDEX(样本到样信息汇总统计!L$2:L$500,MATCH(211,样本到样信息汇总统计!$Y$2:$Y$500,0)),"")</f>
        <v/>
      </c>
      <c r="M212" s="4" t="str">
        <f>IFERROR(INDEX(样本到样信息汇总统计!M$2:M$500,MATCH(211,样本到样信息汇总统计!$Y$2:$Y$500,0)),"")</f>
        <v/>
      </c>
      <c r="N212" s="4" t="str">
        <f>IFERROR(INDEX(样本到样信息汇总统计!N$2:N$500,MATCH(211,样本到样信息汇总统计!$Y$2:$Y$500,0)),"")</f>
        <v/>
      </c>
      <c r="O212" s="4" t="str">
        <f>IFERROR(INDEX(样本到样信息汇总统计!O$2:O$500,MATCH(211,样本到样信息汇总统计!$Y$2:$Y$500,0)),"")</f>
        <v/>
      </c>
      <c r="P212" s="4" t="str">
        <f>IFERROR(INDEX(样本到样信息汇总统计!P$2:P$500,MATCH(211,样本到样信息汇总统计!$Y$2:$Y$500,0)),"")</f>
        <v/>
      </c>
      <c r="Q212" s="4" t="str">
        <f>IFERROR(INDEX(样本到样信息汇总统计!Q$2:Q$500,MATCH(211,样本到样信息汇总统计!$Y$2:$Y$500,0)),"")</f>
        <v/>
      </c>
      <c r="R212" s="4" t="str">
        <f>IFERROR(INDEX(样本到样信息汇总统计!R$2:R$500,MATCH(211,样本到样信息汇总统计!$Y$2:$Y$500,0)),"")</f>
        <v/>
      </c>
      <c r="S212" s="4" t="str">
        <f>IFERROR(INDEX(样本到样信息汇总统计!S$2:S$500,MATCH(211,样本到样信息汇总统计!$Y$2:$Y$500,0)),"")</f>
        <v/>
      </c>
      <c r="T212" s="4" t="str">
        <f>IFERROR(INDEX(样本到样信息汇总统计!T$2:T$500,MATCH(211,样本到样信息汇总统计!$Y$2:$Y$500,0)),"")</f>
        <v/>
      </c>
      <c r="U212" s="4" t="str">
        <f>IFERROR(INDEX(样本到样信息汇总统计!U$2:U$500,MATCH(211,样本到样信息汇总统计!$Y$2:$Y$500,0)),"")</f>
        <v/>
      </c>
      <c r="V212" s="4" t="str">
        <f>IFERROR(INDEX(样本到样信息汇总统计!V$2:V$500,MATCH(211,样本到样信息汇总统计!$Y$2:$Y$500,0)),"")</f>
        <v/>
      </c>
      <c r="W212" s="4" t="str">
        <f>IFERROR(INDEX(样本到样信息汇总统计!W$2:W$500,MATCH(211,样本到样信息汇总统计!$Y$2:$Y$500,0)),"")</f>
        <v/>
      </c>
    </row>
    <row r="213" ht="14.5" spans="1:23">
      <c r="A213" s="8" t="str">
        <f>IFERROR(INDEX(样本到样信息汇总统计!A$2:A$500,MATCH(212,样本到样信息汇总统计!$Y$2:$Y$500,0)),"")</f>
        <v/>
      </c>
      <c r="B213" s="8" t="str">
        <f>IFERROR(INDEX(样本到样信息汇总统计!B$2:B$500,MATCH(212,样本到样信息汇总统计!$Y$2:$Y$500,0)),"")</f>
        <v/>
      </c>
      <c r="C213" s="8" t="str">
        <f>IFERROR(INDEX(样本到样信息汇总统计!C$2:C$500,MATCH(212,样本到样信息汇总统计!$Y$2:$Y$500,0)),"")</f>
        <v/>
      </c>
      <c r="D213" s="8" t="str">
        <f>IFERROR(INDEX(样本到样信息汇总统计!D$2:D$500,MATCH(212,样本到样信息汇总统计!$Y$2:$Y$500,0)),"")</f>
        <v/>
      </c>
      <c r="E213" s="8" t="str">
        <f>IFERROR(INDEX(样本到样信息汇总统计!E$2:E$500,MATCH(212,样本到样信息汇总统计!$Y$2:$Y$500,0)),"")</f>
        <v/>
      </c>
      <c r="F213" s="8" t="str">
        <f>IFERROR(INDEX(样本到样信息汇总统计!F$2:F$500,MATCH(212,样本到样信息汇总统计!$Y$2:$Y$500,0)),"")</f>
        <v/>
      </c>
      <c r="G213" s="8" t="str">
        <f>IFERROR(INDEX(样本到样信息汇总统计!G$2:G$500,MATCH(212,样本到样信息汇总统计!$Y$2:$Y$500,0)),"")</f>
        <v/>
      </c>
      <c r="H213" s="8" t="str">
        <f>IFERROR(INDEX(样本到样信息汇总统计!H$2:H$500,MATCH(212,样本到样信息汇总统计!$Y$2:$Y$500,0)),"")</f>
        <v/>
      </c>
      <c r="I213" s="8" t="str">
        <f>IFERROR(INDEX(样本到样信息汇总统计!I$2:I$500,MATCH(212,样本到样信息汇总统计!$Y$2:$Y$500,0)),"")</f>
        <v/>
      </c>
      <c r="J213" s="8" t="str">
        <f>IFERROR(INDEX(样本到样信息汇总统计!J$2:J$500,MATCH(212,样本到样信息汇总统计!$Y$2:$Y$500,0)),"")</f>
        <v/>
      </c>
      <c r="K213" s="8" t="str">
        <f>IFERROR(INDEX(样本到样信息汇总统计!K$2:K$500,MATCH(212,样本到样信息汇总统计!$Y$2:$Y$500,0)),"")</f>
        <v/>
      </c>
      <c r="L213" s="8" t="str">
        <f>IFERROR(INDEX(样本到样信息汇总统计!L$2:L$500,MATCH(212,样本到样信息汇总统计!$Y$2:$Y$500,0)),"")</f>
        <v/>
      </c>
      <c r="M213" s="8" t="str">
        <f>IFERROR(INDEX(样本到样信息汇总统计!M$2:M$500,MATCH(212,样本到样信息汇总统计!$Y$2:$Y$500,0)),"")</f>
        <v/>
      </c>
      <c r="N213" s="8" t="str">
        <f>IFERROR(INDEX(样本到样信息汇总统计!N$2:N$500,MATCH(212,样本到样信息汇总统计!$Y$2:$Y$500,0)),"")</f>
        <v/>
      </c>
      <c r="O213" s="8" t="str">
        <f>IFERROR(INDEX(样本到样信息汇总统计!O$2:O$500,MATCH(212,样本到样信息汇总统计!$Y$2:$Y$500,0)),"")</f>
        <v/>
      </c>
      <c r="P213" s="8" t="str">
        <f>IFERROR(INDEX(样本到样信息汇总统计!P$2:P$500,MATCH(212,样本到样信息汇总统计!$Y$2:$Y$500,0)),"")</f>
        <v/>
      </c>
      <c r="Q213" s="8" t="str">
        <f>IFERROR(INDEX(样本到样信息汇总统计!Q$2:Q$500,MATCH(212,样本到样信息汇总统计!$Y$2:$Y$500,0)),"")</f>
        <v/>
      </c>
      <c r="R213" s="8" t="str">
        <f>IFERROR(INDEX(样本到样信息汇总统计!R$2:R$500,MATCH(212,样本到样信息汇总统计!$Y$2:$Y$500,0)),"")</f>
        <v/>
      </c>
      <c r="S213" s="8" t="str">
        <f>IFERROR(INDEX(样本到样信息汇总统计!S$2:S$500,MATCH(212,样本到样信息汇总统计!$Y$2:$Y$500,0)),"")</f>
        <v/>
      </c>
      <c r="T213" s="8" t="str">
        <f>IFERROR(INDEX(样本到样信息汇总统计!T$2:T$500,MATCH(212,样本到样信息汇总统计!$Y$2:$Y$500,0)),"")</f>
        <v/>
      </c>
      <c r="U213" s="8" t="str">
        <f>IFERROR(INDEX(样本到样信息汇总统计!U$2:U$500,MATCH(212,样本到样信息汇总统计!$Y$2:$Y$500,0)),"")</f>
        <v/>
      </c>
      <c r="V213" s="8" t="str">
        <f>IFERROR(INDEX(样本到样信息汇总统计!V$2:V$500,MATCH(212,样本到样信息汇总统计!$Y$2:$Y$500,0)),"")</f>
        <v/>
      </c>
      <c r="W213" s="8" t="str">
        <f>IFERROR(INDEX(样本到样信息汇总统计!W$2:W$500,MATCH(212,样本到样信息汇总统计!$Y$2:$Y$500,0)),"")</f>
        <v/>
      </c>
    </row>
    <row r="214" ht="14.5" spans="1:23">
      <c r="A214" s="4" t="str">
        <f>IFERROR(INDEX(样本到样信息汇总统计!A$2:A$500,MATCH(213,样本到样信息汇总统计!$Y$2:$Y$500,0)),"")</f>
        <v/>
      </c>
      <c r="B214" s="4" t="str">
        <f>IFERROR(INDEX(样本到样信息汇总统计!B$2:B$500,MATCH(213,样本到样信息汇总统计!$Y$2:$Y$500,0)),"")</f>
        <v/>
      </c>
      <c r="C214" s="4" t="str">
        <f>IFERROR(INDEX(样本到样信息汇总统计!C$2:C$500,MATCH(213,样本到样信息汇总统计!$Y$2:$Y$500,0)),"")</f>
        <v/>
      </c>
      <c r="D214" s="4" t="str">
        <f>IFERROR(INDEX(样本到样信息汇总统计!D$2:D$500,MATCH(213,样本到样信息汇总统计!$Y$2:$Y$500,0)),"")</f>
        <v/>
      </c>
      <c r="E214" s="4" t="str">
        <f>IFERROR(INDEX(样本到样信息汇总统计!E$2:E$500,MATCH(213,样本到样信息汇总统计!$Y$2:$Y$500,0)),"")</f>
        <v/>
      </c>
      <c r="F214" s="4" t="str">
        <f>IFERROR(INDEX(样本到样信息汇总统计!F$2:F$500,MATCH(213,样本到样信息汇总统计!$Y$2:$Y$500,0)),"")</f>
        <v/>
      </c>
      <c r="G214" s="4" t="str">
        <f>IFERROR(INDEX(样本到样信息汇总统计!G$2:G$500,MATCH(213,样本到样信息汇总统计!$Y$2:$Y$500,0)),"")</f>
        <v/>
      </c>
      <c r="H214" s="4" t="str">
        <f>IFERROR(INDEX(样本到样信息汇总统计!H$2:H$500,MATCH(213,样本到样信息汇总统计!$Y$2:$Y$500,0)),"")</f>
        <v/>
      </c>
      <c r="I214" s="4" t="str">
        <f>IFERROR(INDEX(样本到样信息汇总统计!I$2:I$500,MATCH(213,样本到样信息汇总统计!$Y$2:$Y$500,0)),"")</f>
        <v/>
      </c>
      <c r="J214" s="4" t="str">
        <f>IFERROR(INDEX(样本到样信息汇总统计!J$2:J$500,MATCH(213,样本到样信息汇总统计!$Y$2:$Y$500,0)),"")</f>
        <v/>
      </c>
      <c r="K214" s="4" t="str">
        <f>IFERROR(INDEX(样本到样信息汇总统计!K$2:K$500,MATCH(213,样本到样信息汇总统计!$Y$2:$Y$500,0)),"")</f>
        <v/>
      </c>
      <c r="L214" s="4" t="str">
        <f>IFERROR(INDEX(样本到样信息汇总统计!L$2:L$500,MATCH(213,样本到样信息汇总统计!$Y$2:$Y$500,0)),"")</f>
        <v/>
      </c>
      <c r="M214" s="4" t="str">
        <f>IFERROR(INDEX(样本到样信息汇总统计!M$2:M$500,MATCH(213,样本到样信息汇总统计!$Y$2:$Y$500,0)),"")</f>
        <v/>
      </c>
      <c r="N214" s="4" t="str">
        <f>IFERROR(INDEX(样本到样信息汇总统计!N$2:N$500,MATCH(213,样本到样信息汇总统计!$Y$2:$Y$500,0)),"")</f>
        <v/>
      </c>
      <c r="O214" s="4" t="str">
        <f>IFERROR(INDEX(样本到样信息汇总统计!O$2:O$500,MATCH(213,样本到样信息汇总统计!$Y$2:$Y$500,0)),"")</f>
        <v/>
      </c>
      <c r="P214" s="4" t="str">
        <f>IFERROR(INDEX(样本到样信息汇总统计!P$2:P$500,MATCH(213,样本到样信息汇总统计!$Y$2:$Y$500,0)),"")</f>
        <v/>
      </c>
      <c r="Q214" s="4" t="str">
        <f>IFERROR(INDEX(样本到样信息汇总统计!Q$2:Q$500,MATCH(213,样本到样信息汇总统计!$Y$2:$Y$500,0)),"")</f>
        <v/>
      </c>
      <c r="R214" s="4" t="str">
        <f>IFERROR(INDEX(样本到样信息汇总统计!R$2:R$500,MATCH(213,样本到样信息汇总统计!$Y$2:$Y$500,0)),"")</f>
        <v/>
      </c>
      <c r="S214" s="4" t="str">
        <f>IFERROR(INDEX(样本到样信息汇总统计!S$2:S$500,MATCH(213,样本到样信息汇总统计!$Y$2:$Y$500,0)),"")</f>
        <v/>
      </c>
      <c r="T214" s="4" t="str">
        <f>IFERROR(INDEX(样本到样信息汇总统计!T$2:T$500,MATCH(213,样本到样信息汇总统计!$Y$2:$Y$500,0)),"")</f>
        <v/>
      </c>
      <c r="U214" s="4" t="str">
        <f>IFERROR(INDEX(样本到样信息汇总统计!U$2:U$500,MATCH(213,样本到样信息汇总统计!$Y$2:$Y$500,0)),"")</f>
        <v/>
      </c>
      <c r="V214" s="4" t="str">
        <f>IFERROR(INDEX(样本到样信息汇总统计!V$2:V$500,MATCH(213,样本到样信息汇总统计!$Y$2:$Y$500,0)),"")</f>
        <v/>
      </c>
      <c r="W214" s="4" t="str">
        <f>IFERROR(INDEX(样本到样信息汇总统计!W$2:W$500,MATCH(213,样本到样信息汇总统计!$Y$2:$Y$500,0)),"")</f>
        <v/>
      </c>
    </row>
    <row r="215" ht="14.5" spans="1:23">
      <c r="A215" s="8" t="str">
        <f>IFERROR(INDEX(样本到样信息汇总统计!A$2:A$500,MATCH(214,样本到样信息汇总统计!$Y$2:$Y$500,0)),"")</f>
        <v/>
      </c>
      <c r="B215" s="8" t="str">
        <f>IFERROR(INDEX(样本到样信息汇总统计!B$2:B$500,MATCH(214,样本到样信息汇总统计!$Y$2:$Y$500,0)),"")</f>
        <v/>
      </c>
      <c r="C215" s="8" t="str">
        <f>IFERROR(INDEX(样本到样信息汇总统计!C$2:C$500,MATCH(214,样本到样信息汇总统计!$Y$2:$Y$500,0)),"")</f>
        <v/>
      </c>
      <c r="D215" s="8" t="str">
        <f>IFERROR(INDEX(样本到样信息汇总统计!D$2:D$500,MATCH(214,样本到样信息汇总统计!$Y$2:$Y$500,0)),"")</f>
        <v/>
      </c>
      <c r="E215" s="8" t="str">
        <f>IFERROR(INDEX(样本到样信息汇总统计!E$2:E$500,MATCH(214,样本到样信息汇总统计!$Y$2:$Y$500,0)),"")</f>
        <v/>
      </c>
      <c r="F215" s="8" t="str">
        <f>IFERROR(INDEX(样本到样信息汇总统计!F$2:F$500,MATCH(214,样本到样信息汇总统计!$Y$2:$Y$500,0)),"")</f>
        <v/>
      </c>
      <c r="G215" s="8" t="str">
        <f>IFERROR(INDEX(样本到样信息汇总统计!G$2:G$500,MATCH(214,样本到样信息汇总统计!$Y$2:$Y$500,0)),"")</f>
        <v/>
      </c>
      <c r="H215" s="8" t="str">
        <f>IFERROR(INDEX(样本到样信息汇总统计!H$2:H$500,MATCH(214,样本到样信息汇总统计!$Y$2:$Y$500,0)),"")</f>
        <v/>
      </c>
      <c r="I215" s="8" t="str">
        <f>IFERROR(INDEX(样本到样信息汇总统计!I$2:I$500,MATCH(214,样本到样信息汇总统计!$Y$2:$Y$500,0)),"")</f>
        <v/>
      </c>
      <c r="J215" s="8" t="str">
        <f>IFERROR(INDEX(样本到样信息汇总统计!J$2:J$500,MATCH(214,样本到样信息汇总统计!$Y$2:$Y$500,0)),"")</f>
        <v/>
      </c>
      <c r="K215" s="8" t="str">
        <f>IFERROR(INDEX(样本到样信息汇总统计!K$2:K$500,MATCH(214,样本到样信息汇总统计!$Y$2:$Y$500,0)),"")</f>
        <v/>
      </c>
      <c r="L215" s="8" t="str">
        <f>IFERROR(INDEX(样本到样信息汇总统计!L$2:L$500,MATCH(214,样本到样信息汇总统计!$Y$2:$Y$500,0)),"")</f>
        <v/>
      </c>
      <c r="M215" s="8" t="str">
        <f>IFERROR(INDEX(样本到样信息汇总统计!M$2:M$500,MATCH(214,样本到样信息汇总统计!$Y$2:$Y$500,0)),"")</f>
        <v/>
      </c>
      <c r="N215" s="8" t="str">
        <f>IFERROR(INDEX(样本到样信息汇总统计!N$2:N$500,MATCH(214,样本到样信息汇总统计!$Y$2:$Y$500,0)),"")</f>
        <v/>
      </c>
      <c r="O215" s="8" t="str">
        <f>IFERROR(INDEX(样本到样信息汇总统计!O$2:O$500,MATCH(214,样本到样信息汇总统计!$Y$2:$Y$500,0)),"")</f>
        <v/>
      </c>
      <c r="P215" s="8" t="str">
        <f>IFERROR(INDEX(样本到样信息汇总统计!P$2:P$500,MATCH(214,样本到样信息汇总统计!$Y$2:$Y$500,0)),"")</f>
        <v/>
      </c>
      <c r="Q215" s="8" t="str">
        <f>IFERROR(INDEX(样本到样信息汇总统计!Q$2:Q$500,MATCH(214,样本到样信息汇总统计!$Y$2:$Y$500,0)),"")</f>
        <v/>
      </c>
      <c r="R215" s="8" t="str">
        <f>IFERROR(INDEX(样本到样信息汇总统计!R$2:R$500,MATCH(214,样本到样信息汇总统计!$Y$2:$Y$500,0)),"")</f>
        <v/>
      </c>
      <c r="S215" s="8" t="str">
        <f>IFERROR(INDEX(样本到样信息汇总统计!S$2:S$500,MATCH(214,样本到样信息汇总统计!$Y$2:$Y$500,0)),"")</f>
        <v/>
      </c>
      <c r="T215" s="8" t="str">
        <f>IFERROR(INDEX(样本到样信息汇总统计!T$2:T$500,MATCH(214,样本到样信息汇总统计!$Y$2:$Y$500,0)),"")</f>
        <v/>
      </c>
      <c r="U215" s="8" t="str">
        <f>IFERROR(INDEX(样本到样信息汇总统计!U$2:U$500,MATCH(214,样本到样信息汇总统计!$Y$2:$Y$500,0)),"")</f>
        <v/>
      </c>
      <c r="V215" s="8" t="str">
        <f>IFERROR(INDEX(样本到样信息汇总统计!V$2:V$500,MATCH(214,样本到样信息汇总统计!$Y$2:$Y$500,0)),"")</f>
        <v/>
      </c>
      <c r="W215" s="8" t="str">
        <f>IFERROR(INDEX(样本到样信息汇总统计!W$2:W$500,MATCH(214,样本到样信息汇总统计!$Y$2:$Y$500,0)),"")</f>
        <v/>
      </c>
    </row>
    <row r="216" ht="14.5" spans="1:23">
      <c r="A216" s="4" t="str">
        <f>IFERROR(INDEX(样本到样信息汇总统计!A$2:A$500,MATCH(215,样本到样信息汇总统计!$Y$2:$Y$500,0)),"")</f>
        <v/>
      </c>
      <c r="B216" s="4" t="str">
        <f>IFERROR(INDEX(样本到样信息汇总统计!B$2:B$500,MATCH(215,样本到样信息汇总统计!$Y$2:$Y$500,0)),"")</f>
        <v/>
      </c>
      <c r="C216" s="4" t="str">
        <f>IFERROR(INDEX(样本到样信息汇总统计!C$2:C$500,MATCH(215,样本到样信息汇总统计!$Y$2:$Y$500,0)),"")</f>
        <v/>
      </c>
      <c r="D216" s="4" t="str">
        <f>IFERROR(INDEX(样本到样信息汇总统计!D$2:D$500,MATCH(215,样本到样信息汇总统计!$Y$2:$Y$500,0)),"")</f>
        <v/>
      </c>
      <c r="E216" s="4" t="str">
        <f>IFERROR(INDEX(样本到样信息汇总统计!E$2:E$500,MATCH(215,样本到样信息汇总统计!$Y$2:$Y$500,0)),"")</f>
        <v/>
      </c>
      <c r="F216" s="4" t="str">
        <f>IFERROR(INDEX(样本到样信息汇总统计!F$2:F$500,MATCH(215,样本到样信息汇总统计!$Y$2:$Y$500,0)),"")</f>
        <v/>
      </c>
      <c r="G216" s="4" t="str">
        <f>IFERROR(INDEX(样本到样信息汇总统计!G$2:G$500,MATCH(215,样本到样信息汇总统计!$Y$2:$Y$500,0)),"")</f>
        <v/>
      </c>
      <c r="H216" s="4" t="str">
        <f>IFERROR(INDEX(样本到样信息汇总统计!H$2:H$500,MATCH(215,样本到样信息汇总统计!$Y$2:$Y$500,0)),"")</f>
        <v/>
      </c>
      <c r="I216" s="4" t="str">
        <f>IFERROR(INDEX(样本到样信息汇总统计!I$2:I$500,MATCH(215,样本到样信息汇总统计!$Y$2:$Y$500,0)),"")</f>
        <v/>
      </c>
      <c r="J216" s="4" t="str">
        <f>IFERROR(INDEX(样本到样信息汇总统计!J$2:J$500,MATCH(215,样本到样信息汇总统计!$Y$2:$Y$500,0)),"")</f>
        <v/>
      </c>
      <c r="K216" s="4" t="str">
        <f>IFERROR(INDEX(样本到样信息汇总统计!K$2:K$500,MATCH(215,样本到样信息汇总统计!$Y$2:$Y$500,0)),"")</f>
        <v/>
      </c>
      <c r="L216" s="4" t="str">
        <f>IFERROR(INDEX(样本到样信息汇总统计!L$2:L$500,MATCH(215,样本到样信息汇总统计!$Y$2:$Y$500,0)),"")</f>
        <v/>
      </c>
      <c r="M216" s="4" t="str">
        <f>IFERROR(INDEX(样本到样信息汇总统计!M$2:M$500,MATCH(215,样本到样信息汇总统计!$Y$2:$Y$500,0)),"")</f>
        <v/>
      </c>
      <c r="N216" s="4" t="str">
        <f>IFERROR(INDEX(样本到样信息汇总统计!N$2:N$500,MATCH(215,样本到样信息汇总统计!$Y$2:$Y$500,0)),"")</f>
        <v/>
      </c>
      <c r="O216" s="4" t="str">
        <f>IFERROR(INDEX(样本到样信息汇总统计!O$2:O$500,MATCH(215,样本到样信息汇总统计!$Y$2:$Y$500,0)),"")</f>
        <v/>
      </c>
      <c r="P216" s="4" t="str">
        <f>IFERROR(INDEX(样本到样信息汇总统计!P$2:P$500,MATCH(215,样本到样信息汇总统计!$Y$2:$Y$500,0)),"")</f>
        <v/>
      </c>
      <c r="Q216" s="4" t="str">
        <f>IFERROR(INDEX(样本到样信息汇总统计!Q$2:Q$500,MATCH(215,样本到样信息汇总统计!$Y$2:$Y$500,0)),"")</f>
        <v/>
      </c>
      <c r="R216" s="4" t="str">
        <f>IFERROR(INDEX(样本到样信息汇总统计!R$2:R$500,MATCH(215,样本到样信息汇总统计!$Y$2:$Y$500,0)),"")</f>
        <v/>
      </c>
      <c r="S216" s="4" t="str">
        <f>IFERROR(INDEX(样本到样信息汇总统计!S$2:S$500,MATCH(215,样本到样信息汇总统计!$Y$2:$Y$500,0)),"")</f>
        <v/>
      </c>
      <c r="T216" s="4" t="str">
        <f>IFERROR(INDEX(样本到样信息汇总统计!T$2:T$500,MATCH(215,样本到样信息汇总统计!$Y$2:$Y$500,0)),"")</f>
        <v/>
      </c>
      <c r="U216" s="4" t="str">
        <f>IFERROR(INDEX(样本到样信息汇总统计!U$2:U$500,MATCH(215,样本到样信息汇总统计!$Y$2:$Y$500,0)),"")</f>
        <v/>
      </c>
      <c r="V216" s="4" t="str">
        <f>IFERROR(INDEX(样本到样信息汇总统计!V$2:V$500,MATCH(215,样本到样信息汇总统计!$Y$2:$Y$500,0)),"")</f>
        <v/>
      </c>
      <c r="W216" s="4" t="str">
        <f>IFERROR(INDEX(样本到样信息汇总统计!W$2:W$500,MATCH(215,样本到样信息汇总统计!$Y$2:$Y$500,0)),"")</f>
        <v/>
      </c>
    </row>
    <row r="217" ht="14.5" spans="1:23">
      <c r="A217" s="8" t="str">
        <f>IFERROR(INDEX(样本到样信息汇总统计!A$2:A$500,MATCH(216,样本到样信息汇总统计!$Y$2:$Y$500,0)),"")</f>
        <v/>
      </c>
      <c r="B217" s="8" t="str">
        <f>IFERROR(INDEX(样本到样信息汇总统计!B$2:B$500,MATCH(216,样本到样信息汇总统计!$Y$2:$Y$500,0)),"")</f>
        <v/>
      </c>
      <c r="C217" s="8" t="str">
        <f>IFERROR(INDEX(样本到样信息汇总统计!C$2:C$500,MATCH(216,样本到样信息汇总统计!$Y$2:$Y$500,0)),"")</f>
        <v/>
      </c>
      <c r="D217" s="8" t="str">
        <f>IFERROR(INDEX(样本到样信息汇总统计!D$2:D$500,MATCH(216,样本到样信息汇总统计!$Y$2:$Y$500,0)),"")</f>
        <v/>
      </c>
      <c r="E217" s="8" t="str">
        <f>IFERROR(INDEX(样本到样信息汇总统计!E$2:E$500,MATCH(216,样本到样信息汇总统计!$Y$2:$Y$500,0)),"")</f>
        <v/>
      </c>
      <c r="F217" s="8" t="str">
        <f>IFERROR(INDEX(样本到样信息汇总统计!F$2:F$500,MATCH(216,样本到样信息汇总统计!$Y$2:$Y$500,0)),"")</f>
        <v/>
      </c>
      <c r="G217" s="8" t="str">
        <f>IFERROR(INDEX(样本到样信息汇总统计!G$2:G$500,MATCH(216,样本到样信息汇总统计!$Y$2:$Y$500,0)),"")</f>
        <v/>
      </c>
      <c r="H217" s="8" t="str">
        <f>IFERROR(INDEX(样本到样信息汇总统计!H$2:H$500,MATCH(216,样本到样信息汇总统计!$Y$2:$Y$500,0)),"")</f>
        <v/>
      </c>
      <c r="I217" s="8" t="str">
        <f>IFERROR(INDEX(样本到样信息汇总统计!I$2:I$500,MATCH(216,样本到样信息汇总统计!$Y$2:$Y$500,0)),"")</f>
        <v/>
      </c>
      <c r="J217" s="8" t="str">
        <f>IFERROR(INDEX(样本到样信息汇总统计!J$2:J$500,MATCH(216,样本到样信息汇总统计!$Y$2:$Y$500,0)),"")</f>
        <v/>
      </c>
      <c r="K217" s="8" t="str">
        <f>IFERROR(INDEX(样本到样信息汇总统计!K$2:K$500,MATCH(216,样本到样信息汇总统计!$Y$2:$Y$500,0)),"")</f>
        <v/>
      </c>
      <c r="L217" s="8" t="str">
        <f>IFERROR(INDEX(样本到样信息汇总统计!L$2:L$500,MATCH(216,样本到样信息汇总统计!$Y$2:$Y$500,0)),"")</f>
        <v/>
      </c>
      <c r="M217" s="8" t="str">
        <f>IFERROR(INDEX(样本到样信息汇总统计!M$2:M$500,MATCH(216,样本到样信息汇总统计!$Y$2:$Y$500,0)),"")</f>
        <v/>
      </c>
      <c r="N217" s="8" t="str">
        <f>IFERROR(INDEX(样本到样信息汇总统计!N$2:N$500,MATCH(216,样本到样信息汇总统计!$Y$2:$Y$500,0)),"")</f>
        <v/>
      </c>
      <c r="O217" s="8" t="str">
        <f>IFERROR(INDEX(样本到样信息汇总统计!O$2:O$500,MATCH(216,样本到样信息汇总统计!$Y$2:$Y$500,0)),"")</f>
        <v/>
      </c>
      <c r="P217" s="8" t="str">
        <f>IFERROR(INDEX(样本到样信息汇总统计!P$2:P$500,MATCH(216,样本到样信息汇总统计!$Y$2:$Y$500,0)),"")</f>
        <v/>
      </c>
      <c r="Q217" s="8" t="str">
        <f>IFERROR(INDEX(样本到样信息汇总统计!Q$2:Q$500,MATCH(216,样本到样信息汇总统计!$Y$2:$Y$500,0)),"")</f>
        <v/>
      </c>
      <c r="R217" s="8" t="str">
        <f>IFERROR(INDEX(样本到样信息汇总统计!R$2:R$500,MATCH(216,样本到样信息汇总统计!$Y$2:$Y$500,0)),"")</f>
        <v/>
      </c>
      <c r="S217" s="8" t="str">
        <f>IFERROR(INDEX(样本到样信息汇总统计!S$2:S$500,MATCH(216,样本到样信息汇总统计!$Y$2:$Y$500,0)),"")</f>
        <v/>
      </c>
      <c r="T217" s="8" t="str">
        <f>IFERROR(INDEX(样本到样信息汇总统计!T$2:T$500,MATCH(216,样本到样信息汇总统计!$Y$2:$Y$500,0)),"")</f>
        <v/>
      </c>
      <c r="U217" s="8" t="str">
        <f>IFERROR(INDEX(样本到样信息汇总统计!U$2:U$500,MATCH(216,样本到样信息汇总统计!$Y$2:$Y$500,0)),"")</f>
        <v/>
      </c>
      <c r="V217" s="8" t="str">
        <f>IFERROR(INDEX(样本到样信息汇总统计!V$2:V$500,MATCH(216,样本到样信息汇总统计!$Y$2:$Y$500,0)),"")</f>
        <v/>
      </c>
      <c r="W217" s="8" t="str">
        <f>IFERROR(INDEX(样本到样信息汇总统计!W$2:W$500,MATCH(216,样本到样信息汇总统计!$Y$2:$Y$500,0)),"")</f>
        <v/>
      </c>
    </row>
    <row r="218" ht="14.5" spans="1:23">
      <c r="A218" s="4" t="str">
        <f>IFERROR(INDEX(样本到样信息汇总统计!A$2:A$500,MATCH(217,样本到样信息汇总统计!$Y$2:$Y$500,0)),"")</f>
        <v/>
      </c>
      <c r="B218" s="4" t="str">
        <f>IFERROR(INDEX(样本到样信息汇总统计!B$2:B$500,MATCH(217,样本到样信息汇总统计!$Y$2:$Y$500,0)),"")</f>
        <v/>
      </c>
      <c r="C218" s="4" t="str">
        <f>IFERROR(INDEX(样本到样信息汇总统计!C$2:C$500,MATCH(217,样本到样信息汇总统计!$Y$2:$Y$500,0)),"")</f>
        <v/>
      </c>
      <c r="D218" s="4" t="str">
        <f>IFERROR(INDEX(样本到样信息汇总统计!D$2:D$500,MATCH(217,样本到样信息汇总统计!$Y$2:$Y$500,0)),"")</f>
        <v/>
      </c>
      <c r="E218" s="4" t="str">
        <f>IFERROR(INDEX(样本到样信息汇总统计!E$2:E$500,MATCH(217,样本到样信息汇总统计!$Y$2:$Y$500,0)),"")</f>
        <v/>
      </c>
      <c r="F218" s="4" t="str">
        <f>IFERROR(INDEX(样本到样信息汇总统计!F$2:F$500,MATCH(217,样本到样信息汇总统计!$Y$2:$Y$500,0)),"")</f>
        <v/>
      </c>
      <c r="G218" s="4" t="str">
        <f>IFERROR(INDEX(样本到样信息汇总统计!G$2:G$500,MATCH(217,样本到样信息汇总统计!$Y$2:$Y$500,0)),"")</f>
        <v/>
      </c>
      <c r="H218" s="4" t="str">
        <f>IFERROR(INDEX(样本到样信息汇总统计!H$2:H$500,MATCH(217,样本到样信息汇总统计!$Y$2:$Y$500,0)),"")</f>
        <v/>
      </c>
      <c r="I218" s="4" t="str">
        <f>IFERROR(INDEX(样本到样信息汇总统计!I$2:I$500,MATCH(217,样本到样信息汇总统计!$Y$2:$Y$500,0)),"")</f>
        <v/>
      </c>
      <c r="J218" s="4" t="str">
        <f>IFERROR(INDEX(样本到样信息汇总统计!J$2:J$500,MATCH(217,样本到样信息汇总统计!$Y$2:$Y$500,0)),"")</f>
        <v/>
      </c>
      <c r="K218" s="4" t="str">
        <f>IFERROR(INDEX(样本到样信息汇总统计!K$2:K$500,MATCH(217,样本到样信息汇总统计!$Y$2:$Y$500,0)),"")</f>
        <v/>
      </c>
      <c r="L218" s="4" t="str">
        <f>IFERROR(INDEX(样本到样信息汇总统计!L$2:L$500,MATCH(217,样本到样信息汇总统计!$Y$2:$Y$500,0)),"")</f>
        <v/>
      </c>
      <c r="M218" s="4" t="str">
        <f>IFERROR(INDEX(样本到样信息汇总统计!M$2:M$500,MATCH(217,样本到样信息汇总统计!$Y$2:$Y$500,0)),"")</f>
        <v/>
      </c>
      <c r="N218" s="4" t="str">
        <f>IFERROR(INDEX(样本到样信息汇总统计!N$2:N$500,MATCH(217,样本到样信息汇总统计!$Y$2:$Y$500,0)),"")</f>
        <v/>
      </c>
      <c r="O218" s="4" t="str">
        <f>IFERROR(INDEX(样本到样信息汇总统计!O$2:O$500,MATCH(217,样本到样信息汇总统计!$Y$2:$Y$500,0)),"")</f>
        <v/>
      </c>
      <c r="P218" s="4" t="str">
        <f>IFERROR(INDEX(样本到样信息汇总统计!P$2:P$500,MATCH(217,样本到样信息汇总统计!$Y$2:$Y$500,0)),"")</f>
        <v/>
      </c>
      <c r="Q218" s="4" t="str">
        <f>IFERROR(INDEX(样本到样信息汇总统计!Q$2:Q$500,MATCH(217,样本到样信息汇总统计!$Y$2:$Y$500,0)),"")</f>
        <v/>
      </c>
      <c r="R218" s="4" t="str">
        <f>IFERROR(INDEX(样本到样信息汇总统计!R$2:R$500,MATCH(217,样本到样信息汇总统计!$Y$2:$Y$500,0)),"")</f>
        <v/>
      </c>
      <c r="S218" s="4" t="str">
        <f>IFERROR(INDEX(样本到样信息汇总统计!S$2:S$500,MATCH(217,样本到样信息汇总统计!$Y$2:$Y$500,0)),"")</f>
        <v/>
      </c>
      <c r="T218" s="4" t="str">
        <f>IFERROR(INDEX(样本到样信息汇总统计!T$2:T$500,MATCH(217,样本到样信息汇总统计!$Y$2:$Y$500,0)),"")</f>
        <v/>
      </c>
      <c r="U218" s="4" t="str">
        <f>IFERROR(INDEX(样本到样信息汇总统计!U$2:U$500,MATCH(217,样本到样信息汇总统计!$Y$2:$Y$500,0)),"")</f>
        <v/>
      </c>
      <c r="V218" s="4" t="str">
        <f>IFERROR(INDEX(样本到样信息汇总统计!V$2:V$500,MATCH(217,样本到样信息汇总统计!$Y$2:$Y$500,0)),"")</f>
        <v/>
      </c>
      <c r="W218" s="4" t="str">
        <f>IFERROR(INDEX(样本到样信息汇总统计!W$2:W$500,MATCH(217,样本到样信息汇总统计!$Y$2:$Y$500,0)),"")</f>
        <v/>
      </c>
    </row>
    <row r="219" ht="14.5" spans="1:23">
      <c r="A219" s="8" t="str">
        <f>IFERROR(INDEX(样本到样信息汇总统计!A$2:A$500,MATCH(218,样本到样信息汇总统计!$Y$2:$Y$500,0)),"")</f>
        <v/>
      </c>
      <c r="B219" s="8" t="str">
        <f>IFERROR(INDEX(样本到样信息汇总统计!B$2:B$500,MATCH(218,样本到样信息汇总统计!$Y$2:$Y$500,0)),"")</f>
        <v/>
      </c>
      <c r="C219" s="8" t="str">
        <f>IFERROR(INDEX(样本到样信息汇总统计!C$2:C$500,MATCH(218,样本到样信息汇总统计!$Y$2:$Y$500,0)),"")</f>
        <v/>
      </c>
      <c r="D219" s="8" t="str">
        <f>IFERROR(INDEX(样本到样信息汇总统计!D$2:D$500,MATCH(218,样本到样信息汇总统计!$Y$2:$Y$500,0)),"")</f>
        <v/>
      </c>
      <c r="E219" s="8" t="str">
        <f>IFERROR(INDEX(样本到样信息汇总统计!E$2:E$500,MATCH(218,样本到样信息汇总统计!$Y$2:$Y$500,0)),"")</f>
        <v/>
      </c>
      <c r="F219" s="8" t="str">
        <f>IFERROR(INDEX(样本到样信息汇总统计!F$2:F$500,MATCH(218,样本到样信息汇总统计!$Y$2:$Y$500,0)),"")</f>
        <v/>
      </c>
      <c r="G219" s="8" t="str">
        <f>IFERROR(INDEX(样本到样信息汇总统计!G$2:G$500,MATCH(218,样本到样信息汇总统计!$Y$2:$Y$500,0)),"")</f>
        <v/>
      </c>
      <c r="H219" s="8" t="str">
        <f>IFERROR(INDEX(样本到样信息汇总统计!H$2:H$500,MATCH(218,样本到样信息汇总统计!$Y$2:$Y$500,0)),"")</f>
        <v/>
      </c>
      <c r="I219" s="8" t="str">
        <f>IFERROR(INDEX(样本到样信息汇总统计!I$2:I$500,MATCH(218,样本到样信息汇总统计!$Y$2:$Y$500,0)),"")</f>
        <v/>
      </c>
      <c r="J219" s="8" t="str">
        <f>IFERROR(INDEX(样本到样信息汇总统计!J$2:J$500,MATCH(218,样本到样信息汇总统计!$Y$2:$Y$500,0)),"")</f>
        <v/>
      </c>
      <c r="K219" s="8" t="str">
        <f>IFERROR(INDEX(样本到样信息汇总统计!K$2:K$500,MATCH(218,样本到样信息汇总统计!$Y$2:$Y$500,0)),"")</f>
        <v/>
      </c>
      <c r="L219" s="8" t="str">
        <f>IFERROR(INDEX(样本到样信息汇总统计!L$2:L$500,MATCH(218,样本到样信息汇总统计!$Y$2:$Y$500,0)),"")</f>
        <v/>
      </c>
      <c r="M219" s="8" t="str">
        <f>IFERROR(INDEX(样本到样信息汇总统计!M$2:M$500,MATCH(218,样本到样信息汇总统计!$Y$2:$Y$500,0)),"")</f>
        <v/>
      </c>
      <c r="N219" s="8" t="str">
        <f>IFERROR(INDEX(样本到样信息汇总统计!N$2:N$500,MATCH(218,样本到样信息汇总统计!$Y$2:$Y$500,0)),"")</f>
        <v/>
      </c>
      <c r="O219" s="8" t="str">
        <f>IFERROR(INDEX(样本到样信息汇总统计!O$2:O$500,MATCH(218,样本到样信息汇总统计!$Y$2:$Y$500,0)),"")</f>
        <v/>
      </c>
      <c r="P219" s="8" t="str">
        <f>IFERROR(INDEX(样本到样信息汇总统计!P$2:P$500,MATCH(218,样本到样信息汇总统计!$Y$2:$Y$500,0)),"")</f>
        <v/>
      </c>
      <c r="Q219" s="8" t="str">
        <f>IFERROR(INDEX(样本到样信息汇总统计!Q$2:Q$500,MATCH(218,样本到样信息汇总统计!$Y$2:$Y$500,0)),"")</f>
        <v/>
      </c>
      <c r="R219" s="8" t="str">
        <f>IFERROR(INDEX(样本到样信息汇总统计!R$2:R$500,MATCH(218,样本到样信息汇总统计!$Y$2:$Y$500,0)),"")</f>
        <v/>
      </c>
      <c r="S219" s="8" t="str">
        <f>IFERROR(INDEX(样本到样信息汇总统计!S$2:S$500,MATCH(218,样本到样信息汇总统计!$Y$2:$Y$500,0)),"")</f>
        <v/>
      </c>
      <c r="T219" s="8" t="str">
        <f>IFERROR(INDEX(样本到样信息汇总统计!T$2:T$500,MATCH(218,样本到样信息汇总统计!$Y$2:$Y$500,0)),"")</f>
        <v/>
      </c>
      <c r="U219" s="8" t="str">
        <f>IFERROR(INDEX(样本到样信息汇总统计!U$2:U$500,MATCH(218,样本到样信息汇总统计!$Y$2:$Y$500,0)),"")</f>
        <v/>
      </c>
      <c r="V219" s="8" t="str">
        <f>IFERROR(INDEX(样本到样信息汇总统计!V$2:V$500,MATCH(218,样本到样信息汇总统计!$Y$2:$Y$500,0)),"")</f>
        <v/>
      </c>
      <c r="W219" s="8" t="str">
        <f>IFERROR(INDEX(样本到样信息汇总统计!W$2:W$500,MATCH(218,样本到样信息汇总统计!$Y$2:$Y$500,0)),"")</f>
        <v/>
      </c>
    </row>
    <row r="220" ht="14.5" spans="1:23">
      <c r="A220" s="4" t="str">
        <f>IFERROR(INDEX(样本到样信息汇总统计!A$2:A$500,MATCH(219,样本到样信息汇总统计!$Y$2:$Y$500,0)),"")</f>
        <v/>
      </c>
      <c r="B220" s="4" t="str">
        <f>IFERROR(INDEX(样本到样信息汇总统计!B$2:B$500,MATCH(219,样本到样信息汇总统计!$Y$2:$Y$500,0)),"")</f>
        <v/>
      </c>
      <c r="C220" s="4" t="str">
        <f>IFERROR(INDEX(样本到样信息汇总统计!C$2:C$500,MATCH(219,样本到样信息汇总统计!$Y$2:$Y$500,0)),"")</f>
        <v/>
      </c>
      <c r="D220" s="4" t="str">
        <f>IFERROR(INDEX(样本到样信息汇总统计!D$2:D$500,MATCH(219,样本到样信息汇总统计!$Y$2:$Y$500,0)),"")</f>
        <v/>
      </c>
      <c r="E220" s="4" t="str">
        <f>IFERROR(INDEX(样本到样信息汇总统计!E$2:E$500,MATCH(219,样本到样信息汇总统计!$Y$2:$Y$500,0)),"")</f>
        <v/>
      </c>
      <c r="F220" s="4" t="str">
        <f>IFERROR(INDEX(样本到样信息汇总统计!F$2:F$500,MATCH(219,样本到样信息汇总统计!$Y$2:$Y$500,0)),"")</f>
        <v/>
      </c>
      <c r="G220" s="4" t="str">
        <f>IFERROR(INDEX(样本到样信息汇总统计!G$2:G$500,MATCH(219,样本到样信息汇总统计!$Y$2:$Y$500,0)),"")</f>
        <v/>
      </c>
      <c r="H220" s="4" t="str">
        <f>IFERROR(INDEX(样本到样信息汇总统计!H$2:H$500,MATCH(219,样本到样信息汇总统计!$Y$2:$Y$500,0)),"")</f>
        <v/>
      </c>
      <c r="I220" s="4" t="str">
        <f>IFERROR(INDEX(样本到样信息汇总统计!I$2:I$500,MATCH(219,样本到样信息汇总统计!$Y$2:$Y$500,0)),"")</f>
        <v/>
      </c>
      <c r="J220" s="4" t="str">
        <f>IFERROR(INDEX(样本到样信息汇总统计!J$2:J$500,MATCH(219,样本到样信息汇总统计!$Y$2:$Y$500,0)),"")</f>
        <v/>
      </c>
      <c r="K220" s="4" t="str">
        <f>IFERROR(INDEX(样本到样信息汇总统计!K$2:K$500,MATCH(219,样本到样信息汇总统计!$Y$2:$Y$500,0)),"")</f>
        <v/>
      </c>
      <c r="L220" s="4" t="str">
        <f>IFERROR(INDEX(样本到样信息汇总统计!L$2:L$500,MATCH(219,样本到样信息汇总统计!$Y$2:$Y$500,0)),"")</f>
        <v/>
      </c>
      <c r="M220" s="4" t="str">
        <f>IFERROR(INDEX(样本到样信息汇总统计!M$2:M$500,MATCH(219,样本到样信息汇总统计!$Y$2:$Y$500,0)),"")</f>
        <v/>
      </c>
      <c r="N220" s="4" t="str">
        <f>IFERROR(INDEX(样本到样信息汇总统计!N$2:N$500,MATCH(219,样本到样信息汇总统计!$Y$2:$Y$500,0)),"")</f>
        <v/>
      </c>
      <c r="O220" s="4" t="str">
        <f>IFERROR(INDEX(样本到样信息汇总统计!O$2:O$500,MATCH(219,样本到样信息汇总统计!$Y$2:$Y$500,0)),"")</f>
        <v/>
      </c>
      <c r="P220" s="4" t="str">
        <f>IFERROR(INDEX(样本到样信息汇总统计!P$2:P$500,MATCH(219,样本到样信息汇总统计!$Y$2:$Y$500,0)),"")</f>
        <v/>
      </c>
      <c r="Q220" s="4" t="str">
        <f>IFERROR(INDEX(样本到样信息汇总统计!Q$2:Q$500,MATCH(219,样本到样信息汇总统计!$Y$2:$Y$500,0)),"")</f>
        <v/>
      </c>
      <c r="R220" s="4" t="str">
        <f>IFERROR(INDEX(样本到样信息汇总统计!R$2:R$500,MATCH(219,样本到样信息汇总统计!$Y$2:$Y$500,0)),"")</f>
        <v/>
      </c>
      <c r="S220" s="4" t="str">
        <f>IFERROR(INDEX(样本到样信息汇总统计!S$2:S$500,MATCH(219,样本到样信息汇总统计!$Y$2:$Y$500,0)),"")</f>
        <v/>
      </c>
      <c r="T220" s="4" t="str">
        <f>IFERROR(INDEX(样本到样信息汇总统计!T$2:T$500,MATCH(219,样本到样信息汇总统计!$Y$2:$Y$500,0)),"")</f>
        <v/>
      </c>
      <c r="U220" s="4" t="str">
        <f>IFERROR(INDEX(样本到样信息汇总统计!U$2:U$500,MATCH(219,样本到样信息汇总统计!$Y$2:$Y$500,0)),"")</f>
        <v/>
      </c>
      <c r="V220" s="4" t="str">
        <f>IFERROR(INDEX(样本到样信息汇总统计!V$2:V$500,MATCH(219,样本到样信息汇总统计!$Y$2:$Y$500,0)),"")</f>
        <v/>
      </c>
      <c r="W220" s="4" t="str">
        <f>IFERROR(INDEX(样本到样信息汇总统计!W$2:W$500,MATCH(219,样本到样信息汇总统计!$Y$2:$Y$500,0)),"")</f>
        <v/>
      </c>
    </row>
    <row r="221" ht="14.5" spans="1:23">
      <c r="A221" s="8" t="str">
        <f>IFERROR(INDEX(样本到样信息汇总统计!A$2:A$500,MATCH(220,样本到样信息汇总统计!$Y$2:$Y$500,0)),"")</f>
        <v/>
      </c>
      <c r="B221" s="8" t="str">
        <f>IFERROR(INDEX(样本到样信息汇总统计!B$2:B$500,MATCH(220,样本到样信息汇总统计!$Y$2:$Y$500,0)),"")</f>
        <v/>
      </c>
      <c r="C221" s="8" t="str">
        <f>IFERROR(INDEX(样本到样信息汇总统计!C$2:C$500,MATCH(220,样本到样信息汇总统计!$Y$2:$Y$500,0)),"")</f>
        <v/>
      </c>
      <c r="D221" s="8" t="str">
        <f>IFERROR(INDEX(样本到样信息汇总统计!D$2:D$500,MATCH(220,样本到样信息汇总统计!$Y$2:$Y$500,0)),"")</f>
        <v/>
      </c>
      <c r="E221" s="8" t="str">
        <f>IFERROR(INDEX(样本到样信息汇总统计!E$2:E$500,MATCH(220,样本到样信息汇总统计!$Y$2:$Y$500,0)),"")</f>
        <v/>
      </c>
      <c r="F221" s="8" t="str">
        <f>IFERROR(INDEX(样本到样信息汇总统计!F$2:F$500,MATCH(220,样本到样信息汇总统计!$Y$2:$Y$500,0)),"")</f>
        <v/>
      </c>
      <c r="G221" s="8" t="str">
        <f>IFERROR(INDEX(样本到样信息汇总统计!G$2:G$500,MATCH(220,样本到样信息汇总统计!$Y$2:$Y$500,0)),"")</f>
        <v/>
      </c>
      <c r="H221" s="8" t="str">
        <f>IFERROR(INDEX(样本到样信息汇总统计!H$2:H$500,MATCH(220,样本到样信息汇总统计!$Y$2:$Y$500,0)),"")</f>
        <v/>
      </c>
      <c r="I221" s="8" t="str">
        <f>IFERROR(INDEX(样本到样信息汇总统计!I$2:I$500,MATCH(220,样本到样信息汇总统计!$Y$2:$Y$500,0)),"")</f>
        <v/>
      </c>
      <c r="J221" s="8" t="str">
        <f>IFERROR(INDEX(样本到样信息汇总统计!J$2:J$500,MATCH(220,样本到样信息汇总统计!$Y$2:$Y$500,0)),"")</f>
        <v/>
      </c>
      <c r="K221" s="8" t="str">
        <f>IFERROR(INDEX(样本到样信息汇总统计!K$2:K$500,MATCH(220,样本到样信息汇总统计!$Y$2:$Y$500,0)),"")</f>
        <v/>
      </c>
      <c r="L221" s="8" t="str">
        <f>IFERROR(INDEX(样本到样信息汇总统计!L$2:L$500,MATCH(220,样本到样信息汇总统计!$Y$2:$Y$500,0)),"")</f>
        <v/>
      </c>
      <c r="M221" s="8" t="str">
        <f>IFERROR(INDEX(样本到样信息汇总统计!M$2:M$500,MATCH(220,样本到样信息汇总统计!$Y$2:$Y$500,0)),"")</f>
        <v/>
      </c>
      <c r="N221" s="8" t="str">
        <f>IFERROR(INDEX(样本到样信息汇总统计!N$2:N$500,MATCH(220,样本到样信息汇总统计!$Y$2:$Y$500,0)),"")</f>
        <v/>
      </c>
      <c r="O221" s="8" t="str">
        <f>IFERROR(INDEX(样本到样信息汇总统计!O$2:O$500,MATCH(220,样本到样信息汇总统计!$Y$2:$Y$500,0)),"")</f>
        <v/>
      </c>
      <c r="P221" s="8" t="str">
        <f>IFERROR(INDEX(样本到样信息汇总统计!P$2:P$500,MATCH(220,样本到样信息汇总统计!$Y$2:$Y$500,0)),"")</f>
        <v/>
      </c>
      <c r="Q221" s="8" t="str">
        <f>IFERROR(INDEX(样本到样信息汇总统计!Q$2:Q$500,MATCH(220,样本到样信息汇总统计!$Y$2:$Y$500,0)),"")</f>
        <v/>
      </c>
      <c r="R221" s="8" t="str">
        <f>IFERROR(INDEX(样本到样信息汇总统计!R$2:R$500,MATCH(220,样本到样信息汇总统计!$Y$2:$Y$500,0)),"")</f>
        <v/>
      </c>
      <c r="S221" s="8" t="str">
        <f>IFERROR(INDEX(样本到样信息汇总统计!S$2:S$500,MATCH(220,样本到样信息汇总统计!$Y$2:$Y$500,0)),"")</f>
        <v/>
      </c>
      <c r="T221" s="8" t="str">
        <f>IFERROR(INDEX(样本到样信息汇总统计!T$2:T$500,MATCH(220,样本到样信息汇总统计!$Y$2:$Y$500,0)),"")</f>
        <v/>
      </c>
      <c r="U221" s="8" t="str">
        <f>IFERROR(INDEX(样本到样信息汇总统计!U$2:U$500,MATCH(220,样本到样信息汇总统计!$Y$2:$Y$500,0)),"")</f>
        <v/>
      </c>
      <c r="V221" s="8" t="str">
        <f>IFERROR(INDEX(样本到样信息汇总统计!V$2:V$500,MATCH(220,样本到样信息汇总统计!$Y$2:$Y$500,0)),"")</f>
        <v/>
      </c>
      <c r="W221" s="8" t="str">
        <f>IFERROR(INDEX(样本到样信息汇总统计!W$2:W$500,MATCH(220,样本到样信息汇总统计!$Y$2:$Y$500,0)),"")</f>
        <v/>
      </c>
    </row>
    <row r="222" ht="14.5" spans="1:23">
      <c r="A222" s="4" t="str">
        <f>IFERROR(INDEX(样本到样信息汇总统计!A$2:A$500,MATCH(221,样本到样信息汇总统计!$Y$2:$Y$500,0)),"")</f>
        <v/>
      </c>
      <c r="B222" s="4" t="str">
        <f>IFERROR(INDEX(样本到样信息汇总统计!B$2:B$500,MATCH(221,样本到样信息汇总统计!$Y$2:$Y$500,0)),"")</f>
        <v/>
      </c>
      <c r="C222" s="4" t="str">
        <f>IFERROR(INDEX(样本到样信息汇总统计!C$2:C$500,MATCH(221,样本到样信息汇总统计!$Y$2:$Y$500,0)),"")</f>
        <v/>
      </c>
      <c r="D222" s="4" t="str">
        <f>IFERROR(INDEX(样本到样信息汇总统计!D$2:D$500,MATCH(221,样本到样信息汇总统计!$Y$2:$Y$500,0)),"")</f>
        <v/>
      </c>
      <c r="E222" s="4" t="str">
        <f>IFERROR(INDEX(样本到样信息汇总统计!E$2:E$500,MATCH(221,样本到样信息汇总统计!$Y$2:$Y$500,0)),"")</f>
        <v/>
      </c>
      <c r="F222" s="4" t="str">
        <f>IFERROR(INDEX(样本到样信息汇总统计!F$2:F$500,MATCH(221,样本到样信息汇总统计!$Y$2:$Y$500,0)),"")</f>
        <v/>
      </c>
      <c r="G222" s="4" t="str">
        <f>IFERROR(INDEX(样本到样信息汇总统计!G$2:G$500,MATCH(221,样本到样信息汇总统计!$Y$2:$Y$500,0)),"")</f>
        <v/>
      </c>
      <c r="H222" s="4" t="str">
        <f>IFERROR(INDEX(样本到样信息汇总统计!H$2:H$500,MATCH(221,样本到样信息汇总统计!$Y$2:$Y$500,0)),"")</f>
        <v/>
      </c>
      <c r="I222" s="4" t="str">
        <f>IFERROR(INDEX(样本到样信息汇总统计!I$2:I$500,MATCH(221,样本到样信息汇总统计!$Y$2:$Y$500,0)),"")</f>
        <v/>
      </c>
      <c r="J222" s="4" t="str">
        <f>IFERROR(INDEX(样本到样信息汇总统计!J$2:J$500,MATCH(221,样本到样信息汇总统计!$Y$2:$Y$500,0)),"")</f>
        <v/>
      </c>
      <c r="K222" s="4" t="str">
        <f>IFERROR(INDEX(样本到样信息汇总统计!K$2:K$500,MATCH(221,样本到样信息汇总统计!$Y$2:$Y$500,0)),"")</f>
        <v/>
      </c>
      <c r="L222" s="4" t="str">
        <f>IFERROR(INDEX(样本到样信息汇总统计!L$2:L$500,MATCH(221,样本到样信息汇总统计!$Y$2:$Y$500,0)),"")</f>
        <v/>
      </c>
      <c r="M222" s="4" t="str">
        <f>IFERROR(INDEX(样本到样信息汇总统计!M$2:M$500,MATCH(221,样本到样信息汇总统计!$Y$2:$Y$500,0)),"")</f>
        <v/>
      </c>
      <c r="N222" s="4" t="str">
        <f>IFERROR(INDEX(样本到样信息汇总统计!N$2:N$500,MATCH(221,样本到样信息汇总统计!$Y$2:$Y$500,0)),"")</f>
        <v/>
      </c>
      <c r="O222" s="4" t="str">
        <f>IFERROR(INDEX(样本到样信息汇总统计!O$2:O$500,MATCH(221,样本到样信息汇总统计!$Y$2:$Y$500,0)),"")</f>
        <v/>
      </c>
      <c r="P222" s="4" t="str">
        <f>IFERROR(INDEX(样本到样信息汇总统计!P$2:P$500,MATCH(221,样本到样信息汇总统计!$Y$2:$Y$500,0)),"")</f>
        <v/>
      </c>
      <c r="Q222" s="4" t="str">
        <f>IFERROR(INDEX(样本到样信息汇总统计!Q$2:Q$500,MATCH(221,样本到样信息汇总统计!$Y$2:$Y$500,0)),"")</f>
        <v/>
      </c>
      <c r="R222" s="4" t="str">
        <f>IFERROR(INDEX(样本到样信息汇总统计!R$2:R$500,MATCH(221,样本到样信息汇总统计!$Y$2:$Y$500,0)),"")</f>
        <v/>
      </c>
      <c r="S222" s="4" t="str">
        <f>IFERROR(INDEX(样本到样信息汇总统计!S$2:S$500,MATCH(221,样本到样信息汇总统计!$Y$2:$Y$500,0)),"")</f>
        <v/>
      </c>
      <c r="T222" s="4" t="str">
        <f>IFERROR(INDEX(样本到样信息汇总统计!T$2:T$500,MATCH(221,样本到样信息汇总统计!$Y$2:$Y$500,0)),"")</f>
        <v/>
      </c>
      <c r="U222" s="4" t="str">
        <f>IFERROR(INDEX(样本到样信息汇总统计!U$2:U$500,MATCH(221,样本到样信息汇总统计!$Y$2:$Y$500,0)),"")</f>
        <v/>
      </c>
      <c r="V222" s="4" t="str">
        <f>IFERROR(INDEX(样本到样信息汇总统计!V$2:V$500,MATCH(221,样本到样信息汇总统计!$Y$2:$Y$500,0)),"")</f>
        <v/>
      </c>
      <c r="W222" s="4" t="str">
        <f>IFERROR(INDEX(样本到样信息汇总统计!W$2:W$500,MATCH(221,样本到样信息汇总统计!$Y$2:$Y$500,0)),"")</f>
        <v/>
      </c>
    </row>
    <row r="223" ht="14.5" spans="1:23">
      <c r="A223" s="8" t="str">
        <f>IFERROR(INDEX(样本到样信息汇总统计!A$2:A$500,MATCH(222,样本到样信息汇总统计!$Y$2:$Y$500,0)),"")</f>
        <v/>
      </c>
      <c r="B223" s="8" t="str">
        <f>IFERROR(INDEX(样本到样信息汇总统计!B$2:B$500,MATCH(222,样本到样信息汇总统计!$Y$2:$Y$500,0)),"")</f>
        <v/>
      </c>
      <c r="C223" s="8" t="str">
        <f>IFERROR(INDEX(样本到样信息汇总统计!C$2:C$500,MATCH(222,样本到样信息汇总统计!$Y$2:$Y$500,0)),"")</f>
        <v/>
      </c>
      <c r="D223" s="8" t="str">
        <f>IFERROR(INDEX(样本到样信息汇总统计!D$2:D$500,MATCH(222,样本到样信息汇总统计!$Y$2:$Y$500,0)),"")</f>
        <v/>
      </c>
      <c r="E223" s="8" t="str">
        <f>IFERROR(INDEX(样本到样信息汇总统计!E$2:E$500,MATCH(222,样本到样信息汇总统计!$Y$2:$Y$500,0)),"")</f>
        <v/>
      </c>
      <c r="F223" s="8" t="str">
        <f>IFERROR(INDEX(样本到样信息汇总统计!F$2:F$500,MATCH(222,样本到样信息汇总统计!$Y$2:$Y$500,0)),"")</f>
        <v/>
      </c>
      <c r="G223" s="8" t="str">
        <f>IFERROR(INDEX(样本到样信息汇总统计!G$2:G$500,MATCH(222,样本到样信息汇总统计!$Y$2:$Y$500,0)),"")</f>
        <v/>
      </c>
      <c r="H223" s="8" t="str">
        <f>IFERROR(INDEX(样本到样信息汇总统计!H$2:H$500,MATCH(222,样本到样信息汇总统计!$Y$2:$Y$500,0)),"")</f>
        <v/>
      </c>
      <c r="I223" s="8" t="str">
        <f>IFERROR(INDEX(样本到样信息汇总统计!I$2:I$500,MATCH(222,样本到样信息汇总统计!$Y$2:$Y$500,0)),"")</f>
        <v/>
      </c>
      <c r="J223" s="8" t="str">
        <f>IFERROR(INDEX(样本到样信息汇总统计!J$2:J$500,MATCH(222,样本到样信息汇总统计!$Y$2:$Y$500,0)),"")</f>
        <v/>
      </c>
      <c r="K223" s="8" t="str">
        <f>IFERROR(INDEX(样本到样信息汇总统计!K$2:K$500,MATCH(222,样本到样信息汇总统计!$Y$2:$Y$500,0)),"")</f>
        <v/>
      </c>
      <c r="L223" s="8" t="str">
        <f>IFERROR(INDEX(样本到样信息汇总统计!L$2:L$500,MATCH(222,样本到样信息汇总统计!$Y$2:$Y$500,0)),"")</f>
        <v/>
      </c>
      <c r="M223" s="8" t="str">
        <f>IFERROR(INDEX(样本到样信息汇总统计!M$2:M$500,MATCH(222,样本到样信息汇总统计!$Y$2:$Y$500,0)),"")</f>
        <v/>
      </c>
      <c r="N223" s="8" t="str">
        <f>IFERROR(INDEX(样本到样信息汇总统计!N$2:N$500,MATCH(222,样本到样信息汇总统计!$Y$2:$Y$500,0)),"")</f>
        <v/>
      </c>
      <c r="O223" s="8" t="str">
        <f>IFERROR(INDEX(样本到样信息汇总统计!O$2:O$500,MATCH(222,样本到样信息汇总统计!$Y$2:$Y$500,0)),"")</f>
        <v/>
      </c>
      <c r="P223" s="8" t="str">
        <f>IFERROR(INDEX(样本到样信息汇总统计!P$2:P$500,MATCH(222,样本到样信息汇总统计!$Y$2:$Y$500,0)),"")</f>
        <v/>
      </c>
      <c r="Q223" s="8" t="str">
        <f>IFERROR(INDEX(样本到样信息汇总统计!Q$2:Q$500,MATCH(222,样本到样信息汇总统计!$Y$2:$Y$500,0)),"")</f>
        <v/>
      </c>
      <c r="R223" s="8" t="str">
        <f>IFERROR(INDEX(样本到样信息汇总统计!R$2:R$500,MATCH(222,样本到样信息汇总统计!$Y$2:$Y$500,0)),"")</f>
        <v/>
      </c>
      <c r="S223" s="8" t="str">
        <f>IFERROR(INDEX(样本到样信息汇总统计!S$2:S$500,MATCH(222,样本到样信息汇总统计!$Y$2:$Y$500,0)),"")</f>
        <v/>
      </c>
      <c r="T223" s="8" t="str">
        <f>IFERROR(INDEX(样本到样信息汇总统计!T$2:T$500,MATCH(222,样本到样信息汇总统计!$Y$2:$Y$500,0)),"")</f>
        <v/>
      </c>
      <c r="U223" s="8" t="str">
        <f>IFERROR(INDEX(样本到样信息汇总统计!U$2:U$500,MATCH(222,样本到样信息汇总统计!$Y$2:$Y$500,0)),"")</f>
        <v/>
      </c>
      <c r="V223" s="8" t="str">
        <f>IFERROR(INDEX(样本到样信息汇总统计!V$2:V$500,MATCH(222,样本到样信息汇总统计!$Y$2:$Y$500,0)),"")</f>
        <v/>
      </c>
      <c r="W223" s="8" t="str">
        <f>IFERROR(INDEX(样本到样信息汇总统计!W$2:W$500,MATCH(222,样本到样信息汇总统计!$Y$2:$Y$500,0)),"")</f>
        <v/>
      </c>
    </row>
    <row r="224" ht="14.5" spans="1:23">
      <c r="A224" s="4" t="str">
        <f>IFERROR(INDEX(样本到样信息汇总统计!A$2:A$500,MATCH(223,样本到样信息汇总统计!$Y$2:$Y$500,0)),"")</f>
        <v/>
      </c>
      <c r="B224" s="4" t="str">
        <f>IFERROR(INDEX(样本到样信息汇总统计!B$2:B$500,MATCH(223,样本到样信息汇总统计!$Y$2:$Y$500,0)),"")</f>
        <v/>
      </c>
      <c r="C224" s="4" t="str">
        <f>IFERROR(INDEX(样本到样信息汇总统计!C$2:C$500,MATCH(223,样本到样信息汇总统计!$Y$2:$Y$500,0)),"")</f>
        <v/>
      </c>
      <c r="D224" s="4" t="str">
        <f>IFERROR(INDEX(样本到样信息汇总统计!D$2:D$500,MATCH(223,样本到样信息汇总统计!$Y$2:$Y$500,0)),"")</f>
        <v/>
      </c>
      <c r="E224" s="4" t="str">
        <f>IFERROR(INDEX(样本到样信息汇总统计!E$2:E$500,MATCH(223,样本到样信息汇总统计!$Y$2:$Y$500,0)),"")</f>
        <v/>
      </c>
      <c r="F224" s="4" t="str">
        <f>IFERROR(INDEX(样本到样信息汇总统计!F$2:F$500,MATCH(223,样本到样信息汇总统计!$Y$2:$Y$500,0)),"")</f>
        <v/>
      </c>
      <c r="G224" s="4" t="str">
        <f>IFERROR(INDEX(样本到样信息汇总统计!G$2:G$500,MATCH(223,样本到样信息汇总统计!$Y$2:$Y$500,0)),"")</f>
        <v/>
      </c>
      <c r="H224" s="4" t="str">
        <f>IFERROR(INDEX(样本到样信息汇总统计!H$2:H$500,MATCH(223,样本到样信息汇总统计!$Y$2:$Y$500,0)),"")</f>
        <v/>
      </c>
      <c r="I224" s="4" t="str">
        <f>IFERROR(INDEX(样本到样信息汇总统计!I$2:I$500,MATCH(223,样本到样信息汇总统计!$Y$2:$Y$500,0)),"")</f>
        <v/>
      </c>
      <c r="J224" s="4" t="str">
        <f>IFERROR(INDEX(样本到样信息汇总统计!J$2:J$500,MATCH(223,样本到样信息汇总统计!$Y$2:$Y$500,0)),"")</f>
        <v/>
      </c>
      <c r="K224" s="4" t="str">
        <f>IFERROR(INDEX(样本到样信息汇总统计!K$2:K$500,MATCH(223,样本到样信息汇总统计!$Y$2:$Y$500,0)),"")</f>
        <v/>
      </c>
      <c r="L224" s="4" t="str">
        <f>IFERROR(INDEX(样本到样信息汇总统计!L$2:L$500,MATCH(223,样本到样信息汇总统计!$Y$2:$Y$500,0)),"")</f>
        <v/>
      </c>
      <c r="M224" s="4" t="str">
        <f>IFERROR(INDEX(样本到样信息汇总统计!M$2:M$500,MATCH(223,样本到样信息汇总统计!$Y$2:$Y$500,0)),"")</f>
        <v/>
      </c>
      <c r="N224" s="4" t="str">
        <f>IFERROR(INDEX(样本到样信息汇总统计!N$2:N$500,MATCH(223,样本到样信息汇总统计!$Y$2:$Y$500,0)),"")</f>
        <v/>
      </c>
      <c r="O224" s="4" t="str">
        <f>IFERROR(INDEX(样本到样信息汇总统计!O$2:O$500,MATCH(223,样本到样信息汇总统计!$Y$2:$Y$500,0)),"")</f>
        <v/>
      </c>
      <c r="P224" s="4" t="str">
        <f>IFERROR(INDEX(样本到样信息汇总统计!P$2:P$500,MATCH(223,样本到样信息汇总统计!$Y$2:$Y$500,0)),"")</f>
        <v/>
      </c>
      <c r="Q224" s="4" t="str">
        <f>IFERROR(INDEX(样本到样信息汇总统计!Q$2:Q$500,MATCH(223,样本到样信息汇总统计!$Y$2:$Y$500,0)),"")</f>
        <v/>
      </c>
      <c r="R224" s="4" t="str">
        <f>IFERROR(INDEX(样本到样信息汇总统计!R$2:R$500,MATCH(223,样本到样信息汇总统计!$Y$2:$Y$500,0)),"")</f>
        <v/>
      </c>
      <c r="S224" s="4" t="str">
        <f>IFERROR(INDEX(样本到样信息汇总统计!S$2:S$500,MATCH(223,样本到样信息汇总统计!$Y$2:$Y$500,0)),"")</f>
        <v/>
      </c>
      <c r="T224" s="4" t="str">
        <f>IFERROR(INDEX(样本到样信息汇总统计!T$2:T$500,MATCH(223,样本到样信息汇总统计!$Y$2:$Y$500,0)),"")</f>
        <v/>
      </c>
      <c r="U224" s="4" t="str">
        <f>IFERROR(INDEX(样本到样信息汇总统计!U$2:U$500,MATCH(223,样本到样信息汇总统计!$Y$2:$Y$500,0)),"")</f>
        <v/>
      </c>
      <c r="V224" s="4" t="str">
        <f>IFERROR(INDEX(样本到样信息汇总统计!V$2:V$500,MATCH(223,样本到样信息汇总统计!$Y$2:$Y$500,0)),"")</f>
        <v/>
      </c>
      <c r="W224" s="4" t="str">
        <f>IFERROR(INDEX(样本到样信息汇总统计!W$2:W$500,MATCH(223,样本到样信息汇总统计!$Y$2:$Y$500,0)),"")</f>
        <v/>
      </c>
    </row>
    <row r="225" ht="14.5" spans="1:23">
      <c r="A225" s="8" t="str">
        <f>IFERROR(INDEX(样本到样信息汇总统计!A$2:A$500,MATCH(224,样本到样信息汇总统计!$Y$2:$Y$500,0)),"")</f>
        <v/>
      </c>
      <c r="B225" s="8" t="str">
        <f>IFERROR(INDEX(样本到样信息汇总统计!B$2:B$500,MATCH(224,样本到样信息汇总统计!$Y$2:$Y$500,0)),"")</f>
        <v/>
      </c>
      <c r="C225" s="8" t="str">
        <f>IFERROR(INDEX(样本到样信息汇总统计!C$2:C$500,MATCH(224,样本到样信息汇总统计!$Y$2:$Y$500,0)),"")</f>
        <v/>
      </c>
      <c r="D225" s="8" t="str">
        <f>IFERROR(INDEX(样本到样信息汇总统计!D$2:D$500,MATCH(224,样本到样信息汇总统计!$Y$2:$Y$500,0)),"")</f>
        <v/>
      </c>
      <c r="E225" s="8" t="str">
        <f>IFERROR(INDEX(样本到样信息汇总统计!E$2:E$500,MATCH(224,样本到样信息汇总统计!$Y$2:$Y$500,0)),"")</f>
        <v/>
      </c>
      <c r="F225" s="8" t="str">
        <f>IFERROR(INDEX(样本到样信息汇总统计!F$2:F$500,MATCH(224,样本到样信息汇总统计!$Y$2:$Y$500,0)),"")</f>
        <v/>
      </c>
      <c r="G225" s="8" t="str">
        <f>IFERROR(INDEX(样本到样信息汇总统计!G$2:G$500,MATCH(224,样本到样信息汇总统计!$Y$2:$Y$500,0)),"")</f>
        <v/>
      </c>
      <c r="H225" s="8" t="str">
        <f>IFERROR(INDEX(样本到样信息汇总统计!H$2:H$500,MATCH(224,样本到样信息汇总统计!$Y$2:$Y$500,0)),"")</f>
        <v/>
      </c>
      <c r="I225" s="8" t="str">
        <f>IFERROR(INDEX(样本到样信息汇总统计!I$2:I$500,MATCH(224,样本到样信息汇总统计!$Y$2:$Y$500,0)),"")</f>
        <v/>
      </c>
      <c r="J225" s="8" t="str">
        <f>IFERROR(INDEX(样本到样信息汇总统计!J$2:J$500,MATCH(224,样本到样信息汇总统计!$Y$2:$Y$500,0)),"")</f>
        <v/>
      </c>
      <c r="K225" s="8" t="str">
        <f>IFERROR(INDEX(样本到样信息汇总统计!K$2:K$500,MATCH(224,样本到样信息汇总统计!$Y$2:$Y$500,0)),"")</f>
        <v/>
      </c>
      <c r="L225" s="8" t="str">
        <f>IFERROR(INDEX(样本到样信息汇总统计!L$2:L$500,MATCH(224,样本到样信息汇总统计!$Y$2:$Y$500,0)),"")</f>
        <v/>
      </c>
      <c r="M225" s="8" t="str">
        <f>IFERROR(INDEX(样本到样信息汇总统计!M$2:M$500,MATCH(224,样本到样信息汇总统计!$Y$2:$Y$500,0)),"")</f>
        <v/>
      </c>
      <c r="N225" s="8" t="str">
        <f>IFERROR(INDEX(样本到样信息汇总统计!N$2:N$500,MATCH(224,样本到样信息汇总统计!$Y$2:$Y$500,0)),"")</f>
        <v/>
      </c>
      <c r="O225" s="8" t="str">
        <f>IFERROR(INDEX(样本到样信息汇总统计!O$2:O$500,MATCH(224,样本到样信息汇总统计!$Y$2:$Y$500,0)),"")</f>
        <v/>
      </c>
      <c r="P225" s="8" t="str">
        <f>IFERROR(INDEX(样本到样信息汇总统计!P$2:P$500,MATCH(224,样本到样信息汇总统计!$Y$2:$Y$500,0)),"")</f>
        <v/>
      </c>
      <c r="Q225" s="8" t="str">
        <f>IFERROR(INDEX(样本到样信息汇总统计!Q$2:Q$500,MATCH(224,样本到样信息汇总统计!$Y$2:$Y$500,0)),"")</f>
        <v/>
      </c>
      <c r="R225" s="8" t="str">
        <f>IFERROR(INDEX(样本到样信息汇总统计!R$2:R$500,MATCH(224,样本到样信息汇总统计!$Y$2:$Y$500,0)),"")</f>
        <v/>
      </c>
      <c r="S225" s="8" t="str">
        <f>IFERROR(INDEX(样本到样信息汇总统计!S$2:S$500,MATCH(224,样本到样信息汇总统计!$Y$2:$Y$500,0)),"")</f>
        <v/>
      </c>
      <c r="T225" s="8" t="str">
        <f>IFERROR(INDEX(样本到样信息汇总统计!T$2:T$500,MATCH(224,样本到样信息汇总统计!$Y$2:$Y$500,0)),"")</f>
        <v/>
      </c>
      <c r="U225" s="8" t="str">
        <f>IFERROR(INDEX(样本到样信息汇总统计!U$2:U$500,MATCH(224,样本到样信息汇总统计!$Y$2:$Y$500,0)),"")</f>
        <v/>
      </c>
      <c r="V225" s="8" t="str">
        <f>IFERROR(INDEX(样本到样信息汇总统计!V$2:V$500,MATCH(224,样本到样信息汇总统计!$Y$2:$Y$500,0)),"")</f>
        <v/>
      </c>
      <c r="W225" s="8" t="str">
        <f>IFERROR(INDEX(样本到样信息汇总统计!W$2:W$500,MATCH(224,样本到样信息汇总统计!$Y$2:$Y$500,0)),"")</f>
        <v/>
      </c>
    </row>
    <row r="226" ht="14.5" spans="1:23">
      <c r="A226" s="4" t="str">
        <f>IFERROR(INDEX(样本到样信息汇总统计!A$2:A$500,MATCH(225,样本到样信息汇总统计!$Y$2:$Y$500,0)),"")</f>
        <v/>
      </c>
      <c r="B226" s="4" t="str">
        <f>IFERROR(INDEX(样本到样信息汇总统计!B$2:B$500,MATCH(225,样本到样信息汇总统计!$Y$2:$Y$500,0)),"")</f>
        <v/>
      </c>
      <c r="C226" s="4" t="str">
        <f>IFERROR(INDEX(样本到样信息汇总统计!C$2:C$500,MATCH(225,样本到样信息汇总统计!$Y$2:$Y$500,0)),"")</f>
        <v/>
      </c>
      <c r="D226" s="4" t="str">
        <f>IFERROR(INDEX(样本到样信息汇总统计!D$2:D$500,MATCH(225,样本到样信息汇总统计!$Y$2:$Y$500,0)),"")</f>
        <v/>
      </c>
      <c r="E226" s="4" t="str">
        <f>IFERROR(INDEX(样本到样信息汇总统计!E$2:E$500,MATCH(225,样本到样信息汇总统计!$Y$2:$Y$500,0)),"")</f>
        <v/>
      </c>
      <c r="F226" s="4" t="str">
        <f>IFERROR(INDEX(样本到样信息汇总统计!F$2:F$500,MATCH(225,样本到样信息汇总统计!$Y$2:$Y$500,0)),"")</f>
        <v/>
      </c>
      <c r="G226" s="4" t="str">
        <f>IFERROR(INDEX(样本到样信息汇总统计!G$2:G$500,MATCH(225,样本到样信息汇总统计!$Y$2:$Y$500,0)),"")</f>
        <v/>
      </c>
      <c r="H226" s="4" t="str">
        <f>IFERROR(INDEX(样本到样信息汇总统计!H$2:H$500,MATCH(225,样本到样信息汇总统计!$Y$2:$Y$500,0)),"")</f>
        <v/>
      </c>
      <c r="I226" s="4" t="str">
        <f>IFERROR(INDEX(样本到样信息汇总统计!I$2:I$500,MATCH(225,样本到样信息汇总统计!$Y$2:$Y$500,0)),"")</f>
        <v/>
      </c>
      <c r="J226" s="4" t="str">
        <f>IFERROR(INDEX(样本到样信息汇总统计!J$2:J$500,MATCH(225,样本到样信息汇总统计!$Y$2:$Y$500,0)),"")</f>
        <v/>
      </c>
      <c r="K226" s="4" t="str">
        <f>IFERROR(INDEX(样本到样信息汇总统计!K$2:K$500,MATCH(225,样本到样信息汇总统计!$Y$2:$Y$500,0)),"")</f>
        <v/>
      </c>
      <c r="L226" s="4" t="str">
        <f>IFERROR(INDEX(样本到样信息汇总统计!L$2:L$500,MATCH(225,样本到样信息汇总统计!$Y$2:$Y$500,0)),"")</f>
        <v/>
      </c>
      <c r="M226" s="4" t="str">
        <f>IFERROR(INDEX(样本到样信息汇总统计!M$2:M$500,MATCH(225,样本到样信息汇总统计!$Y$2:$Y$500,0)),"")</f>
        <v/>
      </c>
      <c r="N226" s="4" t="str">
        <f>IFERROR(INDEX(样本到样信息汇总统计!N$2:N$500,MATCH(225,样本到样信息汇总统计!$Y$2:$Y$500,0)),"")</f>
        <v/>
      </c>
      <c r="O226" s="4" t="str">
        <f>IFERROR(INDEX(样本到样信息汇总统计!O$2:O$500,MATCH(225,样本到样信息汇总统计!$Y$2:$Y$500,0)),"")</f>
        <v/>
      </c>
      <c r="P226" s="4" t="str">
        <f>IFERROR(INDEX(样本到样信息汇总统计!P$2:P$500,MATCH(225,样本到样信息汇总统计!$Y$2:$Y$500,0)),"")</f>
        <v/>
      </c>
      <c r="Q226" s="4" t="str">
        <f>IFERROR(INDEX(样本到样信息汇总统计!Q$2:Q$500,MATCH(225,样本到样信息汇总统计!$Y$2:$Y$500,0)),"")</f>
        <v/>
      </c>
      <c r="R226" s="4" t="str">
        <f>IFERROR(INDEX(样本到样信息汇总统计!R$2:R$500,MATCH(225,样本到样信息汇总统计!$Y$2:$Y$500,0)),"")</f>
        <v/>
      </c>
      <c r="S226" s="4" t="str">
        <f>IFERROR(INDEX(样本到样信息汇总统计!S$2:S$500,MATCH(225,样本到样信息汇总统计!$Y$2:$Y$500,0)),"")</f>
        <v/>
      </c>
      <c r="T226" s="4" t="str">
        <f>IFERROR(INDEX(样本到样信息汇总统计!T$2:T$500,MATCH(225,样本到样信息汇总统计!$Y$2:$Y$500,0)),"")</f>
        <v/>
      </c>
      <c r="U226" s="4" t="str">
        <f>IFERROR(INDEX(样本到样信息汇总统计!U$2:U$500,MATCH(225,样本到样信息汇总统计!$Y$2:$Y$500,0)),"")</f>
        <v/>
      </c>
      <c r="V226" s="4" t="str">
        <f>IFERROR(INDEX(样本到样信息汇总统计!V$2:V$500,MATCH(225,样本到样信息汇总统计!$Y$2:$Y$500,0)),"")</f>
        <v/>
      </c>
      <c r="W226" s="4" t="str">
        <f>IFERROR(INDEX(样本到样信息汇总统计!W$2:W$500,MATCH(225,样本到样信息汇总统计!$Y$2:$Y$500,0)),"")</f>
        <v/>
      </c>
    </row>
    <row r="227" ht="14.5" spans="1:23">
      <c r="A227" s="8" t="str">
        <f>IFERROR(INDEX(样本到样信息汇总统计!A$2:A$500,MATCH(226,样本到样信息汇总统计!$Y$2:$Y$500,0)),"")</f>
        <v/>
      </c>
      <c r="B227" s="8" t="str">
        <f>IFERROR(INDEX(样本到样信息汇总统计!B$2:B$500,MATCH(226,样本到样信息汇总统计!$Y$2:$Y$500,0)),"")</f>
        <v/>
      </c>
      <c r="C227" s="8" t="str">
        <f>IFERROR(INDEX(样本到样信息汇总统计!C$2:C$500,MATCH(226,样本到样信息汇总统计!$Y$2:$Y$500,0)),"")</f>
        <v/>
      </c>
      <c r="D227" s="8" t="str">
        <f>IFERROR(INDEX(样本到样信息汇总统计!D$2:D$500,MATCH(226,样本到样信息汇总统计!$Y$2:$Y$500,0)),"")</f>
        <v/>
      </c>
      <c r="E227" s="8" t="str">
        <f>IFERROR(INDEX(样本到样信息汇总统计!E$2:E$500,MATCH(226,样本到样信息汇总统计!$Y$2:$Y$500,0)),"")</f>
        <v/>
      </c>
      <c r="F227" s="8" t="str">
        <f>IFERROR(INDEX(样本到样信息汇总统计!F$2:F$500,MATCH(226,样本到样信息汇总统计!$Y$2:$Y$500,0)),"")</f>
        <v/>
      </c>
      <c r="G227" s="8" t="str">
        <f>IFERROR(INDEX(样本到样信息汇总统计!G$2:G$500,MATCH(226,样本到样信息汇总统计!$Y$2:$Y$500,0)),"")</f>
        <v/>
      </c>
      <c r="H227" s="8" t="str">
        <f>IFERROR(INDEX(样本到样信息汇总统计!H$2:H$500,MATCH(226,样本到样信息汇总统计!$Y$2:$Y$500,0)),"")</f>
        <v/>
      </c>
      <c r="I227" s="8" t="str">
        <f>IFERROR(INDEX(样本到样信息汇总统计!I$2:I$500,MATCH(226,样本到样信息汇总统计!$Y$2:$Y$500,0)),"")</f>
        <v/>
      </c>
      <c r="J227" s="8" t="str">
        <f>IFERROR(INDEX(样本到样信息汇总统计!J$2:J$500,MATCH(226,样本到样信息汇总统计!$Y$2:$Y$500,0)),"")</f>
        <v/>
      </c>
      <c r="K227" s="8" t="str">
        <f>IFERROR(INDEX(样本到样信息汇总统计!K$2:K$500,MATCH(226,样本到样信息汇总统计!$Y$2:$Y$500,0)),"")</f>
        <v/>
      </c>
      <c r="L227" s="8" t="str">
        <f>IFERROR(INDEX(样本到样信息汇总统计!L$2:L$500,MATCH(226,样本到样信息汇总统计!$Y$2:$Y$500,0)),"")</f>
        <v/>
      </c>
      <c r="M227" s="8" t="str">
        <f>IFERROR(INDEX(样本到样信息汇总统计!M$2:M$500,MATCH(226,样本到样信息汇总统计!$Y$2:$Y$500,0)),"")</f>
        <v/>
      </c>
      <c r="N227" s="8" t="str">
        <f>IFERROR(INDEX(样本到样信息汇总统计!N$2:N$500,MATCH(226,样本到样信息汇总统计!$Y$2:$Y$500,0)),"")</f>
        <v/>
      </c>
      <c r="O227" s="8" t="str">
        <f>IFERROR(INDEX(样本到样信息汇总统计!O$2:O$500,MATCH(226,样本到样信息汇总统计!$Y$2:$Y$500,0)),"")</f>
        <v/>
      </c>
      <c r="P227" s="8" t="str">
        <f>IFERROR(INDEX(样本到样信息汇总统计!P$2:P$500,MATCH(226,样本到样信息汇总统计!$Y$2:$Y$500,0)),"")</f>
        <v/>
      </c>
      <c r="Q227" s="8" t="str">
        <f>IFERROR(INDEX(样本到样信息汇总统计!Q$2:Q$500,MATCH(226,样本到样信息汇总统计!$Y$2:$Y$500,0)),"")</f>
        <v/>
      </c>
      <c r="R227" s="8" t="str">
        <f>IFERROR(INDEX(样本到样信息汇总统计!R$2:R$500,MATCH(226,样本到样信息汇总统计!$Y$2:$Y$500,0)),"")</f>
        <v/>
      </c>
      <c r="S227" s="8" t="str">
        <f>IFERROR(INDEX(样本到样信息汇总统计!S$2:S$500,MATCH(226,样本到样信息汇总统计!$Y$2:$Y$500,0)),"")</f>
        <v/>
      </c>
      <c r="T227" s="8" t="str">
        <f>IFERROR(INDEX(样本到样信息汇总统计!T$2:T$500,MATCH(226,样本到样信息汇总统计!$Y$2:$Y$500,0)),"")</f>
        <v/>
      </c>
      <c r="U227" s="8" t="str">
        <f>IFERROR(INDEX(样本到样信息汇总统计!U$2:U$500,MATCH(226,样本到样信息汇总统计!$Y$2:$Y$500,0)),"")</f>
        <v/>
      </c>
      <c r="V227" s="8" t="str">
        <f>IFERROR(INDEX(样本到样信息汇总统计!V$2:V$500,MATCH(226,样本到样信息汇总统计!$Y$2:$Y$500,0)),"")</f>
        <v/>
      </c>
      <c r="W227" s="8" t="str">
        <f>IFERROR(INDEX(样本到样信息汇总统计!W$2:W$500,MATCH(226,样本到样信息汇总统计!$Y$2:$Y$500,0)),"")</f>
        <v/>
      </c>
    </row>
    <row r="228" ht="14.5" spans="1:23">
      <c r="A228" s="4" t="str">
        <f>IFERROR(INDEX(样本到样信息汇总统计!A$2:A$500,MATCH(227,样本到样信息汇总统计!$Y$2:$Y$500,0)),"")</f>
        <v/>
      </c>
      <c r="B228" s="4" t="str">
        <f>IFERROR(INDEX(样本到样信息汇总统计!B$2:B$500,MATCH(227,样本到样信息汇总统计!$Y$2:$Y$500,0)),"")</f>
        <v/>
      </c>
      <c r="C228" s="4" t="str">
        <f>IFERROR(INDEX(样本到样信息汇总统计!C$2:C$500,MATCH(227,样本到样信息汇总统计!$Y$2:$Y$500,0)),"")</f>
        <v/>
      </c>
      <c r="D228" s="4" t="str">
        <f>IFERROR(INDEX(样本到样信息汇总统计!D$2:D$500,MATCH(227,样本到样信息汇总统计!$Y$2:$Y$500,0)),"")</f>
        <v/>
      </c>
      <c r="E228" s="4" t="str">
        <f>IFERROR(INDEX(样本到样信息汇总统计!E$2:E$500,MATCH(227,样本到样信息汇总统计!$Y$2:$Y$500,0)),"")</f>
        <v/>
      </c>
      <c r="F228" s="4" t="str">
        <f>IFERROR(INDEX(样本到样信息汇总统计!F$2:F$500,MATCH(227,样本到样信息汇总统计!$Y$2:$Y$500,0)),"")</f>
        <v/>
      </c>
      <c r="G228" s="4" t="str">
        <f>IFERROR(INDEX(样本到样信息汇总统计!G$2:G$500,MATCH(227,样本到样信息汇总统计!$Y$2:$Y$500,0)),"")</f>
        <v/>
      </c>
      <c r="H228" s="4" t="str">
        <f>IFERROR(INDEX(样本到样信息汇总统计!H$2:H$500,MATCH(227,样本到样信息汇总统计!$Y$2:$Y$500,0)),"")</f>
        <v/>
      </c>
      <c r="I228" s="4" t="str">
        <f>IFERROR(INDEX(样本到样信息汇总统计!I$2:I$500,MATCH(227,样本到样信息汇总统计!$Y$2:$Y$500,0)),"")</f>
        <v/>
      </c>
      <c r="J228" s="4" t="str">
        <f>IFERROR(INDEX(样本到样信息汇总统计!J$2:J$500,MATCH(227,样本到样信息汇总统计!$Y$2:$Y$500,0)),"")</f>
        <v/>
      </c>
      <c r="K228" s="4" t="str">
        <f>IFERROR(INDEX(样本到样信息汇总统计!K$2:K$500,MATCH(227,样本到样信息汇总统计!$Y$2:$Y$500,0)),"")</f>
        <v/>
      </c>
      <c r="L228" s="4" t="str">
        <f>IFERROR(INDEX(样本到样信息汇总统计!L$2:L$500,MATCH(227,样本到样信息汇总统计!$Y$2:$Y$500,0)),"")</f>
        <v/>
      </c>
      <c r="M228" s="4" t="str">
        <f>IFERROR(INDEX(样本到样信息汇总统计!M$2:M$500,MATCH(227,样本到样信息汇总统计!$Y$2:$Y$500,0)),"")</f>
        <v/>
      </c>
      <c r="N228" s="4" t="str">
        <f>IFERROR(INDEX(样本到样信息汇总统计!N$2:N$500,MATCH(227,样本到样信息汇总统计!$Y$2:$Y$500,0)),"")</f>
        <v/>
      </c>
      <c r="O228" s="4" t="str">
        <f>IFERROR(INDEX(样本到样信息汇总统计!O$2:O$500,MATCH(227,样本到样信息汇总统计!$Y$2:$Y$500,0)),"")</f>
        <v/>
      </c>
      <c r="P228" s="4" t="str">
        <f>IFERROR(INDEX(样本到样信息汇总统计!P$2:P$500,MATCH(227,样本到样信息汇总统计!$Y$2:$Y$500,0)),"")</f>
        <v/>
      </c>
      <c r="Q228" s="4" t="str">
        <f>IFERROR(INDEX(样本到样信息汇总统计!Q$2:Q$500,MATCH(227,样本到样信息汇总统计!$Y$2:$Y$500,0)),"")</f>
        <v/>
      </c>
      <c r="R228" s="4" t="str">
        <f>IFERROR(INDEX(样本到样信息汇总统计!R$2:R$500,MATCH(227,样本到样信息汇总统计!$Y$2:$Y$500,0)),"")</f>
        <v/>
      </c>
      <c r="S228" s="4" t="str">
        <f>IFERROR(INDEX(样本到样信息汇总统计!S$2:S$500,MATCH(227,样本到样信息汇总统计!$Y$2:$Y$500,0)),"")</f>
        <v/>
      </c>
      <c r="T228" s="4" t="str">
        <f>IFERROR(INDEX(样本到样信息汇总统计!T$2:T$500,MATCH(227,样本到样信息汇总统计!$Y$2:$Y$500,0)),"")</f>
        <v/>
      </c>
      <c r="U228" s="4" t="str">
        <f>IFERROR(INDEX(样本到样信息汇总统计!U$2:U$500,MATCH(227,样本到样信息汇总统计!$Y$2:$Y$500,0)),"")</f>
        <v/>
      </c>
      <c r="V228" s="4" t="str">
        <f>IFERROR(INDEX(样本到样信息汇总统计!V$2:V$500,MATCH(227,样本到样信息汇总统计!$Y$2:$Y$500,0)),"")</f>
        <v/>
      </c>
      <c r="W228" s="4" t="str">
        <f>IFERROR(INDEX(样本到样信息汇总统计!W$2:W$500,MATCH(227,样本到样信息汇总统计!$Y$2:$Y$500,0)),"")</f>
        <v/>
      </c>
    </row>
    <row r="229" ht="14.5" spans="1:23">
      <c r="A229" s="8" t="str">
        <f>IFERROR(INDEX(样本到样信息汇总统计!A$2:A$500,MATCH(228,样本到样信息汇总统计!$Y$2:$Y$500,0)),"")</f>
        <v/>
      </c>
      <c r="B229" s="8" t="str">
        <f>IFERROR(INDEX(样本到样信息汇总统计!B$2:B$500,MATCH(228,样本到样信息汇总统计!$Y$2:$Y$500,0)),"")</f>
        <v/>
      </c>
      <c r="C229" s="8" t="str">
        <f>IFERROR(INDEX(样本到样信息汇总统计!C$2:C$500,MATCH(228,样本到样信息汇总统计!$Y$2:$Y$500,0)),"")</f>
        <v/>
      </c>
      <c r="D229" s="8" t="str">
        <f>IFERROR(INDEX(样本到样信息汇总统计!D$2:D$500,MATCH(228,样本到样信息汇总统计!$Y$2:$Y$500,0)),"")</f>
        <v/>
      </c>
      <c r="E229" s="8" t="str">
        <f>IFERROR(INDEX(样本到样信息汇总统计!E$2:E$500,MATCH(228,样本到样信息汇总统计!$Y$2:$Y$500,0)),"")</f>
        <v/>
      </c>
      <c r="F229" s="8" t="str">
        <f>IFERROR(INDEX(样本到样信息汇总统计!F$2:F$500,MATCH(228,样本到样信息汇总统计!$Y$2:$Y$500,0)),"")</f>
        <v/>
      </c>
      <c r="G229" s="8" t="str">
        <f>IFERROR(INDEX(样本到样信息汇总统计!G$2:G$500,MATCH(228,样本到样信息汇总统计!$Y$2:$Y$500,0)),"")</f>
        <v/>
      </c>
      <c r="H229" s="8" t="str">
        <f>IFERROR(INDEX(样本到样信息汇总统计!H$2:H$500,MATCH(228,样本到样信息汇总统计!$Y$2:$Y$500,0)),"")</f>
        <v/>
      </c>
      <c r="I229" s="8" t="str">
        <f>IFERROR(INDEX(样本到样信息汇总统计!I$2:I$500,MATCH(228,样本到样信息汇总统计!$Y$2:$Y$500,0)),"")</f>
        <v/>
      </c>
      <c r="J229" s="8" t="str">
        <f>IFERROR(INDEX(样本到样信息汇总统计!J$2:J$500,MATCH(228,样本到样信息汇总统计!$Y$2:$Y$500,0)),"")</f>
        <v/>
      </c>
      <c r="K229" s="8" t="str">
        <f>IFERROR(INDEX(样本到样信息汇总统计!K$2:K$500,MATCH(228,样本到样信息汇总统计!$Y$2:$Y$500,0)),"")</f>
        <v/>
      </c>
      <c r="L229" s="8" t="str">
        <f>IFERROR(INDEX(样本到样信息汇总统计!L$2:L$500,MATCH(228,样本到样信息汇总统计!$Y$2:$Y$500,0)),"")</f>
        <v/>
      </c>
      <c r="M229" s="8" t="str">
        <f>IFERROR(INDEX(样本到样信息汇总统计!M$2:M$500,MATCH(228,样本到样信息汇总统计!$Y$2:$Y$500,0)),"")</f>
        <v/>
      </c>
      <c r="N229" s="8" t="str">
        <f>IFERROR(INDEX(样本到样信息汇总统计!N$2:N$500,MATCH(228,样本到样信息汇总统计!$Y$2:$Y$500,0)),"")</f>
        <v/>
      </c>
      <c r="O229" s="8" t="str">
        <f>IFERROR(INDEX(样本到样信息汇总统计!O$2:O$500,MATCH(228,样本到样信息汇总统计!$Y$2:$Y$500,0)),"")</f>
        <v/>
      </c>
      <c r="P229" s="8" t="str">
        <f>IFERROR(INDEX(样本到样信息汇总统计!P$2:P$500,MATCH(228,样本到样信息汇总统计!$Y$2:$Y$500,0)),"")</f>
        <v/>
      </c>
      <c r="Q229" s="8" t="str">
        <f>IFERROR(INDEX(样本到样信息汇总统计!Q$2:Q$500,MATCH(228,样本到样信息汇总统计!$Y$2:$Y$500,0)),"")</f>
        <v/>
      </c>
      <c r="R229" s="8" t="str">
        <f>IFERROR(INDEX(样本到样信息汇总统计!R$2:R$500,MATCH(228,样本到样信息汇总统计!$Y$2:$Y$500,0)),"")</f>
        <v/>
      </c>
      <c r="S229" s="8" t="str">
        <f>IFERROR(INDEX(样本到样信息汇总统计!S$2:S$500,MATCH(228,样本到样信息汇总统计!$Y$2:$Y$500,0)),"")</f>
        <v/>
      </c>
      <c r="T229" s="8" t="str">
        <f>IFERROR(INDEX(样本到样信息汇总统计!T$2:T$500,MATCH(228,样本到样信息汇总统计!$Y$2:$Y$500,0)),"")</f>
        <v/>
      </c>
      <c r="U229" s="8" t="str">
        <f>IFERROR(INDEX(样本到样信息汇总统计!U$2:U$500,MATCH(228,样本到样信息汇总统计!$Y$2:$Y$500,0)),"")</f>
        <v/>
      </c>
      <c r="V229" s="8" t="str">
        <f>IFERROR(INDEX(样本到样信息汇总统计!V$2:V$500,MATCH(228,样本到样信息汇总统计!$Y$2:$Y$500,0)),"")</f>
        <v/>
      </c>
      <c r="W229" s="8" t="str">
        <f>IFERROR(INDEX(样本到样信息汇总统计!W$2:W$500,MATCH(228,样本到样信息汇总统计!$Y$2:$Y$500,0)),"")</f>
        <v/>
      </c>
    </row>
    <row r="230" ht="14.5" spans="1:23">
      <c r="A230" s="4" t="str">
        <f>IFERROR(INDEX(样本到样信息汇总统计!A$2:A$500,MATCH(229,样本到样信息汇总统计!$Y$2:$Y$500,0)),"")</f>
        <v/>
      </c>
      <c r="B230" s="4" t="str">
        <f>IFERROR(INDEX(样本到样信息汇总统计!B$2:B$500,MATCH(229,样本到样信息汇总统计!$Y$2:$Y$500,0)),"")</f>
        <v/>
      </c>
      <c r="C230" s="4" t="str">
        <f>IFERROR(INDEX(样本到样信息汇总统计!C$2:C$500,MATCH(229,样本到样信息汇总统计!$Y$2:$Y$500,0)),"")</f>
        <v/>
      </c>
      <c r="D230" s="4" t="str">
        <f>IFERROR(INDEX(样本到样信息汇总统计!D$2:D$500,MATCH(229,样本到样信息汇总统计!$Y$2:$Y$500,0)),"")</f>
        <v/>
      </c>
      <c r="E230" s="4" t="str">
        <f>IFERROR(INDEX(样本到样信息汇总统计!E$2:E$500,MATCH(229,样本到样信息汇总统计!$Y$2:$Y$500,0)),"")</f>
        <v/>
      </c>
      <c r="F230" s="4" t="str">
        <f>IFERROR(INDEX(样本到样信息汇总统计!F$2:F$500,MATCH(229,样本到样信息汇总统计!$Y$2:$Y$500,0)),"")</f>
        <v/>
      </c>
      <c r="G230" s="4" t="str">
        <f>IFERROR(INDEX(样本到样信息汇总统计!G$2:G$500,MATCH(229,样本到样信息汇总统计!$Y$2:$Y$500,0)),"")</f>
        <v/>
      </c>
      <c r="H230" s="4" t="str">
        <f>IFERROR(INDEX(样本到样信息汇总统计!H$2:H$500,MATCH(229,样本到样信息汇总统计!$Y$2:$Y$500,0)),"")</f>
        <v/>
      </c>
      <c r="I230" s="4" t="str">
        <f>IFERROR(INDEX(样本到样信息汇总统计!I$2:I$500,MATCH(229,样本到样信息汇总统计!$Y$2:$Y$500,0)),"")</f>
        <v/>
      </c>
      <c r="J230" s="4" t="str">
        <f>IFERROR(INDEX(样本到样信息汇总统计!J$2:J$500,MATCH(229,样本到样信息汇总统计!$Y$2:$Y$500,0)),"")</f>
        <v/>
      </c>
      <c r="K230" s="4" t="str">
        <f>IFERROR(INDEX(样本到样信息汇总统计!K$2:K$500,MATCH(229,样本到样信息汇总统计!$Y$2:$Y$500,0)),"")</f>
        <v/>
      </c>
      <c r="L230" s="4" t="str">
        <f>IFERROR(INDEX(样本到样信息汇总统计!L$2:L$500,MATCH(229,样本到样信息汇总统计!$Y$2:$Y$500,0)),"")</f>
        <v/>
      </c>
      <c r="M230" s="4" t="str">
        <f>IFERROR(INDEX(样本到样信息汇总统计!M$2:M$500,MATCH(229,样本到样信息汇总统计!$Y$2:$Y$500,0)),"")</f>
        <v/>
      </c>
      <c r="N230" s="4" t="str">
        <f>IFERROR(INDEX(样本到样信息汇总统计!N$2:N$500,MATCH(229,样本到样信息汇总统计!$Y$2:$Y$500,0)),"")</f>
        <v/>
      </c>
      <c r="O230" s="4" t="str">
        <f>IFERROR(INDEX(样本到样信息汇总统计!O$2:O$500,MATCH(229,样本到样信息汇总统计!$Y$2:$Y$500,0)),"")</f>
        <v/>
      </c>
      <c r="P230" s="4" t="str">
        <f>IFERROR(INDEX(样本到样信息汇总统计!P$2:P$500,MATCH(229,样本到样信息汇总统计!$Y$2:$Y$500,0)),"")</f>
        <v/>
      </c>
      <c r="Q230" s="4" t="str">
        <f>IFERROR(INDEX(样本到样信息汇总统计!Q$2:Q$500,MATCH(229,样本到样信息汇总统计!$Y$2:$Y$500,0)),"")</f>
        <v/>
      </c>
      <c r="R230" s="4" t="str">
        <f>IFERROR(INDEX(样本到样信息汇总统计!R$2:R$500,MATCH(229,样本到样信息汇总统计!$Y$2:$Y$500,0)),"")</f>
        <v/>
      </c>
      <c r="S230" s="4" t="str">
        <f>IFERROR(INDEX(样本到样信息汇总统计!S$2:S$500,MATCH(229,样本到样信息汇总统计!$Y$2:$Y$500,0)),"")</f>
        <v/>
      </c>
      <c r="T230" s="4" t="str">
        <f>IFERROR(INDEX(样本到样信息汇总统计!T$2:T$500,MATCH(229,样本到样信息汇总统计!$Y$2:$Y$500,0)),"")</f>
        <v/>
      </c>
      <c r="U230" s="4" t="str">
        <f>IFERROR(INDEX(样本到样信息汇总统计!U$2:U$500,MATCH(229,样本到样信息汇总统计!$Y$2:$Y$500,0)),"")</f>
        <v/>
      </c>
      <c r="V230" s="4" t="str">
        <f>IFERROR(INDEX(样本到样信息汇总统计!V$2:V$500,MATCH(229,样本到样信息汇总统计!$Y$2:$Y$500,0)),"")</f>
        <v/>
      </c>
      <c r="W230" s="4" t="str">
        <f>IFERROR(INDEX(样本到样信息汇总统计!W$2:W$500,MATCH(229,样本到样信息汇总统计!$Y$2:$Y$500,0)),"")</f>
        <v/>
      </c>
    </row>
    <row r="231" ht="14.5" spans="1:23">
      <c r="A231" s="8" t="str">
        <f>IFERROR(INDEX(样本到样信息汇总统计!A$2:A$500,MATCH(230,样本到样信息汇总统计!$Y$2:$Y$500,0)),"")</f>
        <v/>
      </c>
      <c r="B231" s="8" t="str">
        <f>IFERROR(INDEX(样本到样信息汇总统计!B$2:B$500,MATCH(230,样本到样信息汇总统计!$Y$2:$Y$500,0)),"")</f>
        <v/>
      </c>
      <c r="C231" s="8" t="str">
        <f>IFERROR(INDEX(样本到样信息汇总统计!C$2:C$500,MATCH(230,样本到样信息汇总统计!$Y$2:$Y$500,0)),"")</f>
        <v/>
      </c>
      <c r="D231" s="8" t="str">
        <f>IFERROR(INDEX(样本到样信息汇总统计!D$2:D$500,MATCH(230,样本到样信息汇总统计!$Y$2:$Y$500,0)),"")</f>
        <v/>
      </c>
      <c r="E231" s="8" t="str">
        <f>IFERROR(INDEX(样本到样信息汇总统计!E$2:E$500,MATCH(230,样本到样信息汇总统计!$Y$2:$Y$500,0)),"")</f>
        <v/>
      </c>
      <c r="F231" s="8" t="str">
        <f>IFERROR(INDEX(样本到样信息汇总统计!F$2:F$500,MATCH(230,样本到样信息汇总统计!$Y$2:$Y$500,0)),"")</f>
        <v/>
      </c>
      <c r="G231" s="8" t="str">
        <f>IFERROR(INDEX(样本到样信息汇总统计!G$2:G$500,MATCH(230,样本到样信息汇总统计!$Y$2:$Y$500,0)),"")</f>
        <v/>
      </c>
      <c r="H231" s="8" t="str">
        <f>IFERROR(INDEX(样本到样信息汇总统计!H$2:H$500,MATCH(230,样本到样信息汇总统计!$Y$2:$Y$500,0)),"")</f>
        <v/>
      </c>
      <c r="I231" s="8" t="str">
        <f>IFERROR(INDEX(样本到样信息汇总统计!I$2:I$500,MATCH(230,样本到样信息汇总统计!$Y$2:$Y$500,0)),"")</f>
        <v/>
      </c>
      <c r="J231" s="8" t="str">
        <f>IFERROR(INDEX(样本到样信息汇总统计!J$2:J$500,MATCH(230,样本到样信息汇总统计!$Y$2:$Y$500,0)),"")</f>
        <v/>
      </c>
      <c r="K231" s="8" t="str">
        <f>IFERROR(INDEX(样本到样信息汇总统计!K$2:K$500,MATCH(230,样本到样信息汇总统计!$Y$2:$Y$500,0)),"")</f>
        <v/>
      </c>
      <c r="L231" s="8" t="str">
        <f>IFERROR(INDEX(样本到样信息汇总统计!L$2:L$500,MATCH(230,样本到样信息汇总统计!$Y$2:$Y$500,0)),"")</f>
        <v/>
      </c>
      <c r="M231" s="8" t="str">
        <f>IFERROR(INDEX(样本到样信息汇总统计!M$2:M$500,MATCH(230,样本到样信息汇总统计!$Y$2:$Y$500,0)),"")</f>
        <v/>
      </c>
      <c r="N231" s="8" t="str">
        <f>IFERROR(INDEX(样本到样信息汇总统计!N$2:N$500,MATCH(230,样本到样信息汇总统计!$Y$2:$Y$500,0)),"")</f>
        <v/>
      </c>
      <c r="O231" s="8" t="str">
        <f>IFERROR(INDEX(样本到样信息汇总统计!O$2:O$500,MATCH(230,样本到样信息汇总统计!$Y$2:$Y$500,0)),"")</f>
        <v/>
      </c>
      <c r="P231" s="8" t="str">
        <f>IFERROR(INDEX(样本到样信息汇总统计!P$2:P$500,MATCH(230,样本到样信息汇总统计!$Y$2:$Y$500,0)),"")</f>
        <v/>
      </c>
      <c r="Q231" s="8" t="str">
        <f>IFERROR(INDEX(样本到样信息汇总统计!Q$2:Q$500,MATCH(230,样本到样信息汇总统计!$Y$2:$Y$500,0)),"")</f>
        <v/>
      </c>
      <c r="R231" s="8" t="str">
        <f>IFERROR(INDEX(样本到样信息汇总统计!R$2:R$500,MATCH(230,样本到样信息汇总统计!$Y$2:$Y$500,0)),"")</f>
        <v/>
      </c>
      <c r="S231" s="8" t="str">
        <f>IFERROR(INDEX(样本到样信息汇总统计!S$2:S$500,MATCH(230,样本到样信息汇总统计!$Y$2:$Y$500,0)),"")</f>
        <v/>
      </c>
      <c r="T231" s="8" t="str">
        <f>IFERROR(INDEX(样本到样信息汇总统计!T$2:T$500,MATCH(230,样本到样信息汇总统计!$Y$2:$Y$500,0)),"")</f>
        <v/>
      </c>
      <c r="U231" s="8" t="str">
        <f>IFERROR(INDEX(样本到样信息汇总统计!U$2:U$500,MATCH(230,样本到样信息汇总统计!$Y$2:$Y$500,0)),"")</f>
        <v/>
      </c>
      <c r="V231" s="8" t="str">
        <f>IFERROR(INDEX(样本到样信息汇总统计!V$2:V$500,MATCH(230,样本到样信息汇总统计!$Y$2:$Y$500,0)),"")</f>
        <v/>
      </c>
      <c r="W231" s="8" t="str">
        <f>IFERROR(INDEX(样本到样信息汇总统计!W$2:W$500,MATCH(230,样本到样信息汇总统计!$Y$2:$Y$500,0)),"")</f>
        <v/>
      </c>
    </row>
    <row r="232" ht="14.5" spans="1:23">
      <c r="A232" s="4" t="str">
        <f>IFERROR(INDEX(样本到样信息汇总统计!A$2:A$500,MATCH(231,样本到样信息汇总统计!$Y$2:$Y$500,0)),"")</f>
        <v/>
      </c>
      <c r="B232" s="4" t="str">
        <f>IFERROR(INDEX(样本到样信息汇总统计!B$2:B$500,MATCH(231,样本到样信息汇总统计!$Y$2:$Y$500,0)),"")</f>
        <v/>
      </c>
      <c r="C232" s="4" t="str">
        <f>IFERROR(INDEX(样本到样信息汇总统计!C$2:C$500,MATCH(231,样本到样信息汇总统计!$Y$2:$Y$500,0)),"")</f>
        <v/>
      </c>
      <c r="D232" s="4" t="str">
        <f>IFERROR(INDEX(样本到样信息汇总统计!D$2:D$500,MATCH(231,样本到样信息汇总统计!$Y$2:$Y$500,0)),"")</f>
        <v/>
      </c>
      <c r="E232" s="4" t="str">
        <f>IFERROR(INDEX(样本到样信息汇总统计!E$2:E$500,MATCH(231,样本到样信息汇总统计!$Y$2:$Y$500,0)),"")</f>
        <v/>
      </c>
      <c r="F232" s="4" t="str">
        <f>IFERROR(INDEX(样本到样信息汇总统计!F$2:F$500,MATCH(231,样本到样信息汇总统计!$Y$2:$Y$500,0)),"")</f>
        <v/>
      </c>
      <c r="G232" s="4" t="str">
        <f>IFERROR(INDEX(样本到样信息汇总统计!G$2:G$500,MATCH(231,样本到样信息汇总统计!$Y$2:$Y$500,0)),"")</f>
        <v/>
      </c>
      <c r="H232" s="4" t="str">
        <f>IFERROR(INDEX(样本到样信息汇总统计!H$2:H$500,MATCH(231,样本到样信息汇总统计!$Y$2:$Y$500,0)),"")</f>
        <v/>
      </c>
      <c r="I232" s="4" t="str">
        <f>IFERROR(INDEX(样本到样信息汇总统计!I$2:I$500,MATCH(231,样本到样信息汇总统计!$Y$2:$Y$500,0)),"")</f>
        <v/>
      </c>
      <c r="J232" s="4" t="str">
        <f>IFERROR(INDEX(样本到样信息汇总统计!J$2:J$500,MATCH(231,样本到样信息汇总统计!$Y$2:$Y$500,0)),"")</f>
        <v/>
      </c>
      <c r="K232" s="4" t="str">
        <f>IFERROR(INDEX(样本到样信息汇总统计!K$2:K$500,MATCH(231,样本到样信息汇总统计!$Y$2:$Y$500,0)),"")</f>
        <v/>
      </c>
      <c r="L232" s="4" t="str">
        <f>IFERROR(INDEX(样本到样信息汇总统计!L$2:L$500,MATCH(231,样本到样信息汇总统计!$Y$2:$Y$500,0)),"")</f>
        <v/>
      </c>
      <c r="M232" s="4" t="str">
        <f>IFERROR(INDEX(样本到样信息汇总统计!M$2:M$500,MATCH(231,样本到样信息汇总统计!$Y$2:$Y$500,0)),"")</f>
        <v/>
      </c>
      <c r="N232" s="4" t="str">
        <f>IFERROR(INDEX(样本到样信息汇总统计!N$2:N$500,MATCH(231,样本到样信息汇总统计!$Y$2:$Y$500,0)),"")</f>
        <v/>
      </c>
      <c r="O232" s="4" t="str">
        <f>IFERROR(INDEX(样本到样信息汇总统计!O$2:O$500,MATCH(231,样本到样信息汇总统计!$Y$2:$Y$500,0)),"")</f>
        <v/>
      </c>
      <c r="P232" s="4" t="str">
        <f>IFERROR(INDEX(样本到样信息汇总统计!P$2:P$500,MATCH(231,样本到样信息汇总统计!$Y$2:$Y$500,0)),"")</f>
        <v/>
      </c>
      <c r="Q232" s="4" t="str">
        <f>IFERROR(INDEX(样本到样信息汇总统计!Q$2:Q$500,MATCH(231,样本到样信息汇总统计!$Y$2:$Y$500,0)),"")</f>
        <v/>
      </c>
      <c r="R232" s="4" t="str">
        <f>IFERROR(INDEX(样本到样信息汇总统计!R$2:R$500,MATCH(231,样本到样信息汇总统计!$Y$2:$Y$500,0)),"")</f>
        <v/>
      </c>
      <c r="S232" s="4" t="str">
        <f>IFERROR(INDEX(样本到样信息汇总统计!S$2:S$500,MATCH(231,样本到样信息汇总统计!$Y$2:$Y$500,0)),"")</f>
        <v/>
      </c>
      <c r="T232" s="4" t="str">
        <f>IFERROR(INDEX(样本到样信息汇总统计!T$2:T$500,MATCH(231,样本到样信息汇总统计!$Y$2:$Y$500,0)),"")</f>
        <v/>
      </c>
      <c r="U232" s="4" t="str">
        <f>IFERROR(INDEX(样本到样信息汇总统计!U$2:U$500,MATCH(231,样本到样信息汇总统计!$Y$2:$Y$500,0)),"")</f>
        <v/>
      </c>
      <c r="V232" s="4" t="str">
        <f>IFERROR(INDEX(样本到样信息汇总统计!V$2:V$500,MATCH(231,样本到样信息汇总统计!$Y$2:$Y$500,0)),"")</f>
        <v/>
      </c>
      <c r="W232" s="4" t="str">
        <f>IFERROR(INDEX(样本到样信息汇总统计!W$2:W$500,MATCH(231,样本到样信息汇总统计!$Y$2:$Y$500,0)),"")</f>
        <v/>
      </c>
    </row>
    <row r="233" ht="14.5" spans="1:23">
      <c r="A233" s="8" t="str">
        <f>IFERROR(INDEX(样本到样信息汇总统计!A$2:A$500,MATCH(232,样本到样信息汇总统计!$Y$2:$Y$500,0)),"")</f>
        <v/>
      </c>
      <c r="B233" s="8" t="str">
        <f>IFERROR(INDEX(样本到样信息汇总统计!B$2:B$500,MATCH(232,样本到样信息汇总统计!$Y$2:$Y$500,0)),"")</f>
        <v/>
      </c>
      <c r="C233" s="8" t="str">
        <f>IFERROR(INDEX(样本到样信息汇总统计!C$2:C$500,MATCH(232,样本到样信息汇总统计!$Y$2:$Y$500,0)),"")</f>
        <v/>
      </c>
      <c r="D233" s="8" t="str">
        <f>IFERROR(INDEX(样本到样信息汇总统计!D$2:D$500,MATCH(232,样本到样信息汇总统计!$Y$2:$Y$500,0)),"")</f>
        <v/>
      </c>
      <c r="E233" s="8" t="str">
        <f>IFERROR(INDEX(样本到样信息汇总统计!E$2:E$500,MATCH(232,样本到样信息汇总统计!$Y$2:$Y$500,0)),"")</f>
        <v/>
      </c>
      <c r="F233" s="8" t="str">
        <f>IFERROR(INDEX(样本到样信息汇总统计!F$2:F$500,MATCH(232,样本到样信息汇总统计!$Y$2:$Y$500,0)),"")</f>
        <v/>
      </c>
      <c r="G233" s="8" t="str">
        <f>IFERROR(INDEX(样本到样信息汇总统计!G$2:G$500,MATCH(232,样本到样信息汇总统计!$Y$2:$Y$500,0)),"")</f>
        <v/>
      </c>
      <c r="H233" s="8" t="str">
        <f>IFERROR(INDEX(样本到样信息汇总统计!H$2:H$500,MATCH(232,样本到样信息汇总统计!$Y$2:$Y$500,0)),"")</f>
        <v/>
      </c>
      <c r="I233" s="8" t="str">
        <f>IFERROR(INDEX(样本到样信息汇总统计!I$2:I$500,MATCH(232,样本到样信息汇总统计!$Y$2:$Y$500,0)),"")</f>
        <v/>
      </c>
      <c r="J233" s="8" t="str">
        <f>IFERROR(INDEX(样本到样信息汇总统计!J$2:J$500,MATCH(232,样本到样信息汇总统计!$Y$2:$Y$500,0)),"")</f>
        <v/>
      </c>
      <c r="K233" s="8" t="str">
        <f>IFERROR(INDEX(样本到样信息汇总统计!K$2:K$500,MATCH(232,样本到样信息汇总统计!$Y$2:$Y$500,0)),"")</f>
        <v/>
      </c>
      <c r="L233" s="8" t="str">
        <f>IFERROR(INDEX(样本到样信息汇总统计!L$2:L$500,MATCH(232,样本到样信息汇总统计!$Y$2:$Y$500,0)),"")</f>
        <v/>
      </c>
      <c r="M233" s="8" t="str">
        <f>IFERROR(INDEX(样本到样信息汇总统计!M$2:M$500,MATCH(232,样本到样信息汇总统计!$Y$2:$Y$500,0)),"")</f>
        <v/>
      </c>
      <c r="N233" s="8" t="str">
        <f>IFERROR(INDEX(样本到样信息汇总统计!N$2:N$500,MATCH(232,样本到样信息汇总统计!$Y$2:$Y$500,0)),"")</f>
        <v/>
      </c>
      <c r="O233" s="8" t="str">
        <f>IFERROR(INDEX(样本到样信息汇总统计!O$2:O$500,MATCH(232,样本到样信息汇总统计!$Y$2:$Y$500,0)),"")</f>
        <v/>
      </c>
      <c r="P233" s="8" t="str">
        <f>IFERROR(INDEX(样本到样信息汇总统计!P$2:P$500,MATCH(232,样本到样信息汇总统计!$Y$2:$Y$500,0)),"")</f>
        <v/>
      </c>
      <c r="Q233" s="8" t="str">
        <f>IFERROR(INDEX(样本到样信息汇总统计!Q$2:Q$500,MATCH(232,样本到样信息汇总统计!$Y$2:$Y$500,0)),"")</f>
        <v/>
      </c>
      <c r="R233" s="8" t="str">
        <f>IFERROR(INDEX(样本到样信息汇总统计!R$2:R$500,MATCH(232,样本到样信息汇总统计!$Y$2:$Y$500,0)),"")</f>
        <v/>
      </c>
      <c r="S233" s="8" t="str">
        <f>IFERROR(INDEX(样本到样信息汇总统计!S$2:S$500,MATCH(232,样本到样信息汇总统计!$Y$2:$Y$500,0)),"")</f>
        <v/>
      </c>
      <c r="T233" s="8" t="str">
        <f>IFERROR(INDEX(样本到样信息汇总统计!T$2:T$500,MATCH(232,样本到样信息汇总统计!$Y$2:$Y$500,0)),"")</f>
        <v/>
      </c>
      <c r="U233" s="8" t="str">
        <f>IFERROR(INDEX(样本到样信息汇总统计!U$2:U$500,MATCH(232,样本到样信息汇总统计!$Y$2:$Y$500,0)),"")</f>
        <v/>
      </c>
      <c r="V233" s="8" t="str">
        <f>IFERROR(INDEX(样本到样信息汇总统计!V$2:V$500,MATCH(232,样本到样信息汇总统计!$Y$2:$Y$500,0)),"")</f>
        <v/>
      </c>
      <c r="W233" s="8" t="str">
        <f>IFERROR(INDEX(样本到样信息汇总统计!W$2:W$500,MATCH(232,样本到样信息汇总统计!$Y$2:$Y$500,0)),"")</f>
        <v/>
      </c>
    </row>
    <row r="234" ht="14.5" spans="1:23">
      <c r="A234" s="4" t="str">
        <f>IFERROR(INDEX(样本到样信息汇总统计!A$2:A$500,MATCH(233,样本到样信息汇总统计!$Y$2:$Y$500,0)),"")</f>
        <v/>
      </c>
      <c r="B234" s="4" t="str">
        <f>IFERROR(INDEX(样本到样信息汇总统计!B$2:B$500,MATCH(233,样本到样信息汇总统计!$Y$2:$Y$500,0)),"")</f>
        <v/>
      </c>
      <c r="C234" s="4" t="str">
        <f>IFERROR(INDEX(样本到样信息汇总统计!C$2:C$500,MATCH(233,样本到样信息汇总统计!$Y$2:$Y$500,0)),"")</f>
        <v/>
      </c>
      <c r="D234" s="4" t="str">
        <f>IFERROR(INDEX(样本到样信息汇总统计!D$2:D$500,MATCH(233,样本到样信息汇总统计!$Y$2:$Y$500,0)),"")</f>
        <v/>
      </c>
      <c r="E234" s="4" t="str">
        <f>IFERROR(INDEX(样本到样信息汇总统计!E$2:E$500,MATCH(233,样本到样信息汇总统计!$Y$2:$Y$500,0)),"")</f>
        <v/>
      </c>
      <c r="F234" s="4" t="str">
        <f>IFERROR(INDEX(样本到样信息汇总统计!F$2:F$500,MATCH(233,样本到样信息汇总统计!$Y$2:$Y$500,0)),"")</f>
        <v/>
      </c>
      <c r="G234" s="4" t="str">
        <f>IFERROR(INDEX(样本到样信息汇总统计!G$2:G$500,MATCH(233,样本到样信息汇总统计!$Y$2:$Y$500,0)),"")</f>
        <v/>
      </c>
      <c r="H234" s="4" t="str">
        <f>IFERROR(INDEX(样本到样信息汇总统计!H$2:H$500,MATCH(233,样本到样信息汇总统计!$Y$2:$Y$500,0)),"")</f>
        <v/>
      </c>
      <c r="I234" s="4" t="str">
        <f>IFERROR(INDEX(样本到样信息汇总统计!I$2:I$500,MATCH(233,样本到样信息汇总统计!$Y$2:$Y$500,0)),"")</f>
        <v/>
      </c>
      <c r="J234" s="4" t="str">
        <f>IFERROR(INDEX(样本到样信息汇总统计!J$2:J$500,MATCH(233,样本到样信息汇总统计!$Y$2:$Y$500,0)),"")</f>
        <v/>
      </c>
      <c r="K234" s="4" t="str">
        <f>IFERROR(INDEX(样本到样信息汇总统计!K$2:K$500,MATCH(233,样本到样信息汇总统计!$Y$2:$Y$500,0)),"")</f>
        <v/>
      </c>
      <c r="L234" s="4" t="str">
        <f>IFERROR(INDEX(样本到样信息汇总统计!L$2:L$500,MATCH(233,样本到样信息汇总统计!$Y$2:$Y$500,0)),"")</f>
        <v/>
      </c>
      <c r="M234" s="4" t="str">
        <f>IFERROR(INDEX(样本到样信息汇总统计!M$2:M$500,MATCH(233,样本到样信息汇总统计!$Y$2:$Y$500,0)),"")</f>
        <v/>
      </c>
      <c r="N234" s="4" t="str">
        <f>IFERROR(INDEX(样本到样信息汇总统计!N$2:N$500,MATCH(233,样本到样信息汇总统计!$Y$2:$Y$500,0)),"")</f>
        <v/>
      </c>
      <c r="O234" s="4" t="str">
        <f>IFERROR(INDEX(样本到样信息汇总统计!O$2:O$500,MATCH(233,样本到样信息汇总统计!$Y$2:$Y$500,0)),"")</f>
        <v/>
      </c>
      <c r="P234" s="4" t="str">
        <f>IFERROR(INDEX(样本到样信息汇总统计!P$2:P$500,MATCH(233,样本到样信息汇总统计!$Y$2:$Y$500,0)),"")</f>
        <v/>
      </c>
      <c r="Q234" s="4" t="str">
        <f>IFERROR(INDEX(样本到样信息汇总统计!Q$2:Q$500,MATCH(233,样本到样信息汇总统计!$Y$2:$Y$500,0)),"")</f>
        <v/>
      </c>
      <c r="R234" s="4" t="str">
        <f>IFERROR(INDEX(样本到样信息汇总统计!R$2:R$500,MATCH(233,样本到样信息汇总统计!$Y$2:$Y$500,0)),"")</f>
        <v/>
      </c>
      <c r="S234" s="4" t="str">
        <f>IFERROR(INDEX(样本到样信息汇总统计!S$2:S$500,MATCH(233,样本到样信息汇总统计!$Y$2:$Y$500,0)),"")</f>
        <v/>
      </c>
      <c r="T234" s="4" t="str">
        <f>IFERROR(INDEX(样本到样信息汇总统计!T$2:T$500,MATCH(233,样本到样信息汇总统计!$Y$2:$Y$500,0)),"")</f>
        <v/>
      </c>
      <c r="U234" s="4" t="str">
        <f>IFERROR(INDEX(样本到样信息汇总统计!U$2:U$500,MATCH(233,样本到样信息汇总统计!$Y$2:$Y$500,0)),"")</f>
        <v/>
      </c>
      <c r="V234" s="4" t="str">
        <f>IFERROR(INDEX(样本到样信息汇总统计!V$2:V$500,MATCH(233,样本到样信息汇总统计!$Y$2:$Y$500,0)),"")</f>
        <v/>
      </c>
      <c r="W234" s="4" t="str">
        <f>IFERROR(INDEX(样本到样信息汇总统计!W$2:W$500,MATCH(233,样本到样信息汇总统计!$Y$2:$Y$500,0)),"")</f>
        <v/>
      </c>
    </row>
    <row r="235" ht="14.5" spans="1:23">
      <c r="A235" s="8" t="str">
        <f>IFERROR(INDEX(样本到样信息汇总统计!A$2:A$500,MATCH(234,样本到样信息汇总统计!$Y$2:$Y$500,0)),"")</f>
        <v/>
      </c>
      <c r="B235" s="8" t="str">
        <f>IFERROR(INDEX(样本到样信息汇总统计!B$2:B$500,MATCH(234,样本到样信息汇总统计!$Y$2:$Y$500,0)),"")</f>
        <v/>
      </c>
      <c r="C235" s="8" t="str">
        <f>IFERROR(INDEX(样本到样信息汇总统计!C$2:C$500,MATCH(234,样本到样信息汇总统计!$Y$2:$Y$500,0)),"")</f>
        <v/>
      </c>
      <c r="D235" s="8" t="str">
        <f>IFERROR(INDEX(样本到样信息汇总统计!D$2:D$500,MATCH(234,样本到样信息汇总统计!$Y$2:$Y$500,0)),"")</f>
        <v/>
      </c>
      <c r="E235" s="8" t="str">
        <f>IFERROR(INDEX(样本到样信息汇总统计!E$2:E$500,MATCH(234,样本到样信息汇总统计!$Y$2:$Y$500,0)),"")</f>
        <v/>
      </c>
      <c r="F235" s="8" t="str">
        <f>IFERROR(INDEX(样本到样信息汇总统计!F$2:F$500,MATCH(234,样本到样信息汇总统计!$Y$2:$Y$500,0)),"")</f>
        <v/>
      </c>
      <c r="G235" s="8" t="str">
        <f>IFERROR(INDEX(样本到样信息汇总统计!G$2:G$500,MATCH(234,样本到样信息汇总统计!$Y$2:$Y$500,0)),"")</f>
        <v/>
      </c>
      <c r="H235" s="8" t="str">
        <f>IFERROR(INDEX(样本到样信息汇总统计!H$2:H$500,MATCH(234,样本到样信息汇总统计!$Y$2:$Y$500,0)),"")</f>
        <v/>
      </c>
      <c r="I235" s="8" t="str">
        <f>IFERROR(INDEX(样本到样信息汇总统计!I$2:I$500,MATCH(234,样本到样信息汇总统计!$Y$2:$Y$500,0)),"")</f>
        <v/>
      </c>
      <c r="J235" s="8" t="str">
        <f>IFERROR(INDEX(样本到样信息汇总统计!J$2:J$500,MATCH(234,样本到样信息汇总统计!$Y$2:$Y$500,0)),"")</f>
        <v/>
      </c>
      <c r="K235" s="8" t="str">
        <f>IFERROR(INDEX(样本到样信息汇总统计!K$2:K$500,MATCH(234,样本到样信息汇总统计!$Y$2:$Y$500,0)),"")</f>
        <v/>
      </c>
      <c r="L235" s="8" t="str">
        <f>IFERROR(INDEX(样本到样信息汇总统计!L$2:L$500,MATCH(234,样本到样信息汇总统计!$Y$2:$Y$500,0)),"")</f>
        <v/>
      </c>
      <c r="M235" s="8" t="str">
        <f>IFERROR(INDEX(样本到样信息汇总统计!M$2:M$500,MATCH(234,样本到样信息汇总统计!$Y$2:$Y$500,0)),"")</f>
        <v/>
      </c>
      <c r="N235" s="8" t="str">
        <f>IFERROR(INDEX(样本到样信息汇总统计!N$2:N$500,MATCH(234,样本到样信息汇总统计!$Y$2:$Y$500,0)),"")</f>
        <v/>
      </c>
      <c r="O235" s="8" t="str">
        <f>IFERROR(INDEX(样本到样信息汇总统计!O$2:O$500,MATCH(234,样本到样信息汇总统计!$Y$2:$Y$500,0)),"")</f>
        <v/>
      </c>
      <c r="P235" s="8" t="str">
        <f>IFERROR(INDEX(样本到样信息汇总统计!P$2:P$500,MATCH(234,样本到样信息汇总统计!$Y$2:$Y$500,0)),"")</f>
        <v/>
      </c>
      <c r="Q235" s="8" t="str">
        <f>IFERROR(INDEX(样本到样信息汇总统计!Q$2:Q$500,MATCH(234,样本到样信息汇总统计!$Y$2:$Y$500,0)),"")</f>
        <v/>
      </c>
      <c r="R235" s="8" t="str">
        <f>IFERROR(INDEX(样本到样信息汇总统计!R$2:R$500,MATCH(234,样本到样信息汇总统计!$Y$2:$Y$500,0)),"")</f>
        <v/>
      </c>
      <c r="S235" s="8" t="str">
        <f>IFERROR(INDEX(样本到样信息汇总统计!S$2:S$500,MATCH(234,样本到样信息汇总统计!$Y$2:$Y$500,0)),"")</f>
        <v/>
      </c>
      <c r="T235" s="8" t="str">
        <f>IFERROR(INDEX(样本到样信息汇总统计!T$2:T$500,MATCH(234,样本到样信息汇总统计!$Y$2:$Y$500,0)),"")</f>
        <v/>
      </c>
      <c r="U235" s="8" t="str">
        <f>IFERROR(INDEX(样本到样信息汇总统计!U$2:U$500,MATCH(234,样本到样信息汇总统计!$Y$2:$Y$500,0)),"")</f>
        <v/>
      </c>
      <c r="V235" s="8" t="str">
        <f>IFERROR(INDEX(样本到样信息汇总统计!V$2:V$500,MATCH(234,样本到样信息汇总统计!$Y$2:$Y$500,0)),"")</f>
        <v/>
      </c>
      <c r="W235" s="8" t="str">
        <f>IFERROR(INDEX(样本到样信息汇总统计!W$2:W$500,MATCH(234,样本到样信息汇总统计!$Y$2:$Y$500,0)),"")</f>
        <v/>
      </c>
    </row>
    <row r="236" ht="14.5" spans="1:23">
      <c r="A236" s="4" t="str">
        <f>IFERROR(INDEX(样本到样信息汇总统计!A$2:A$500,MATCH(235,样本到样信息汇总统计!$Y$2:$Y$500,0)),"")</f>
        <v/>
      </c>
      <c r="B236" s="4" t="str">
        <f>IFERROR(INDEX(样本到样信息汇总统计!B$2:B$500,MATCH(235,样本到样信息汇总统计!$Y$2:$Y$500,0)),"")</f>
        <v/>
      </c>
      <c r="C236" s="4" t="str">
        <f>IFERROR(INDEX(样本到样信息汇总统计!C$2:C$500,MATCH(235,样本到样信息汇总统计!$Y$2:$Y$500,0)),"")</f>
        <v/>
      </c>
      <c r="D236" s="4" t="str">
        <f>IFERROR(INDEX(样本到样信息汇总统计!D$2:D$500,MATCH(235,样本到样信息汇总统计!$Y$2:$Y$500,0)),"")</f>
        <v/>
      </c>
      <c r="E236" s="4" t="str">
        <f>IFERROR(INDEX(样本到样信息汇总统计!E$2:E$500,MATCH(235,样本到样信息汇总统计!$Y$2:$Y$500,0)),"")</f>
        <v/>
      </c>
      <c r="F236" s="4" t="str">
        <f>IFERROR(INDEX(样本到样信息汇总统计!F$2:F$500,MATCH(235,样本到样信息汇总统计!$Y$2:$Y$500,0)),"")</f>
        <v/>
      </c>
      <c r="G236" s="4" t="str">
        <f>IFERROR(INDEX(样本到样信息汇总统计!G$2:G$500,MATCH(235,样本到样信息汇总统计!$Y$2:$Y$500,0)),"")</f>
        <v/>
      </c>
      <c r="H236" s="4" t="str">
        <f>IFERROR(INDEX(样本到样信息汇总统计!H$2:H$500,MATCH(235,样本到样信息汇总统计!$Y$2:$Y$500,0)),"")</f>
        <v/>
      </c>
      <c r="I236" s="4" t="str">
        <f>IFERROR(INDEX(样本到样信息汇总统计!I$2:I$500,MATCH(235,样本到样信息汇总统计!$Y$2:$Y$500,0)),"")</f>
        <v/>
      </c>
      <c r="J236" s="4" t="str">
        <f>IFERROR(INDEX(样本到样信息汇总统计!J$2:J$500,MATCH(235,样本到样信息汇总统计!$Y$2:$Y$500,0)),"")</f>
        <v/>
      </c>
      <c r="K236" s="4" t="str">
        <f>IFERROR(INDEX(样本到样信息汇总统计!K$2:K$500,MATCH(235,样本到样信息汇总统计!$Y$2:$Y$500,0)),"")</f>
        <v/>
      </c>
      <c r="L236" s="4" t="str">
        <f>IFERROR(INDEX(样本到样信息汇总统计!L$2:L$500,MATCH(235,样本到样信息汇总统计!$Y$2:$Y$500,0)),"")</f>
        <v/>
      </c>
      <c r="M236" s="4" t="str">
        <f>IFERROR(INDEX(样本到样信息汇总统计!M$2:M$500,MATCH(235,样本到样信息汇总统计!$Y$2:$Y$500,0)),"")</f>
        <v/>
      </c>
      <c r="N236" s="4" t="str">
        <f>IFERROR(INDEX(样本到样信息汇总统计!N$2:N$500,MATCH(235,样本到样信息汇总统计!$Y$2:$Y$500,0)),"")</f>
        <v/>
      </c>
      <c r="O236" s="4" t="str">
        <f>IFERROR(INDEX(样本到样信息汇总统计!O$2:O$500,MATCH(235,样本到样信息汇总统计!$Y$2:$Y$500,0)),"")</f>
        <v/>
      </c>
      <c r="P236" s="4" t="str">
        <f>IFERROR(INDEX(样本到样信息汇总统计!P$2:P$500,MATCH(235,样本到样信息汇总统计!$Y$2:$Y$500,0)),"")</f>
        <v/>
      </c>
      <c r="Q236" s="4" t="str">
        <f>IFERROR(INDEX(样本到样信息汇总统计!Q$2:Q$500,MATCH(235,样本到样信息汇总统计!$Y$2:$Y$500,0)),"")</f>
        <v/>
      </c>
      <c r="R236" s="4" t="str">
        <f>IFERROR(INDEX(样本到样信息汇总统计!R$2:R$500,MATCH(235,样本到样信息汇总统计!$Y$2:$Y$500,0)),"")</f>
        <v/>
      </c>
      <c r="S236" s="4" t="str">
        <f>IFERROR(INDEX(样本到样信息汇总统计!S$2:S$500,MATCH(235,样本到样信息汇总统计!$Y$2:$Y$500,0)),"")</f>
        <v/>
      </c>
      <c r="T236" s="4" t="str">
        <f>IFERROR(INDEX(样本到样信息汇总统计!T$2:T$500,MATCH(235,样本到样信息汇总统计!$Y$2:$Y$500,0)),"")</f>
        <v/>
      </c>
      <c r="U236" s="4" t="str">
        <f>IFERROR(INDEX(样本到样信息汇总统计!U$2:U$500,MATCH(235,样本到样信息汇总统计!$Y$2:$Y$500,0)),"")</f>
        <v/>
      </c>
      <c r="V236" s="4" t="str">
        <f>IFERROR(INDEX(样本到样信息汇总统计!V$2:V$500,MATCH(235,样本到样信息汇总统计!$Y$2:$Y$500,0)),"")</f>
        <v/>
      </c>
      <c r="W236" s="4" t="str">
        <f>IFERROR(INDEX(样本到样信息汇总统计!W$2:W$500,MATCH(235,样本到样信息汇总统计!$Y$2:$Y$500,0)),"")</f>
        <v/>
      </c>
    </row>
    <row r="237" ht="14.5" spans="1:23">
      <c r="A237" s="8" t="str">
        <f>IFERROR(INDEX(样本到样信息汇总统计!A$2:A$500,MATCH(236,样本到样信息汇总统计!$Y$2:$Y$500,0)),"")</f>
        <v/>
      </c>
      <c r="B237" s="8" t="str">
        <f>IFERROR(INDEX(样本到样信息汇总统计!B$2:B$500,MATCH(236,样本到样信息汇总统计!$Y$2:$Y$500,0)),"")</f>
        <v/>
      </c>
      <c r="C237" s="8" t="str">
        <f>IFERROR(INDEX(样本到样信息汇总统计!C$2:C$500,MATCH(236,样本到样信息汇总统计!$Y$2:$Y$500,0)),"")</f>
        <v/>
      </c>
      <c r="D237" s="8" t="str">
        <f>IFERROR(INDEX(样本到样信息汇总统计!D$2:D$500,MATCH(236,样本到样信息汇总统计!$Y$2:$Y$500,0)),"")</f>
        <v/>
      </c>
      <c r="E237" s="8" t="str">
        <f>IFERROR(INDEX(样本到样信息汇总统计!E$2:E$500,MATCH(236,样本到样信息汇总统计!$Y$2:$Y$500,0)),"")</f>
        <v/>
      </c>
      <c r="F237" s="8" t="str">
        <f>IFERROR(INDEX(样本到样信息汇总统计!F$2:F$500,MATCH(236,样本到样信息汇总统计!$Y$2:$Y$500,0)),"")</f>
        <v/>
      </c>
      <c r="G237" s="8" t="str">
        <f>IFERROR(INDEX(样本到样信息汇总统计!G$2:G$500,MATCH(236,样本到样信息汇总统计!$Y$2:$Y$500,0)),"")</f>
        <v/>
      </c>
      <c r="H237" s="8" t="str">
        <f>IFERROR(INDEX(样本到样信息汇总统计!H$2:H$500,MATCH(236,样本到样信息汇总统计!$Y$2:$Y$500,0)),"")</f>
        <v/>
      </c>
      <c r="I237" s="8" t="str">
        <f>IFERROR(INDEX(样本到样信息汇总统计!I$2:I$500,MATCH(236,样本到样信息汇总统计!$Y$2:$Y$500,0)),"")</f>
        <v/>
      </c>
      <c r="J237" s="8" t="str">
        <f>IFERROR(INDEX(样本到样信息汇总统计!J$2:J$500,MATCH(236,样本到样信息汇总统计!$Y$2:$Y$500,0)),"")</f>
        <v/>
      </c>
      <c r="K237" s="8" t="str">
        <f>IFERROR(INDEX(样本到样信息汇总统计!K$2:K$500,MATCH(236,样本到样信息汇总统计!$Y$2:$Y$500,0)),"")</f>
        <v/>
      </c>
      <c r="L237" s="8" t="str">
        <f>IFERROR(INDEX(样本到样信息汇总统计!L$2:L$500,MATCH(236,样本到样信息汇总统计!$Y$2:$Y$500,0)),"")</f>
        <v/>
      </c>
      <c r="M237" s="8" t="str">
        <f>IFERROR(INDEX(样本到样信息汇总统计!M$2:M$500,MATCH(236,样本到样信息汇总统计!$Y$2:$Y$500,0)),"")</f>
        <v/>
      </c>
      <c r="N237" s="8" t="str">
        <f>IFERROR(INDEX(样本到样信息汇总统计!N$2:N$500,MATCH(236,样本到样信息汇总统计!$Y$2:$Y$500,0)),"")</f>
        <v/>
      </c>
      <c r="O237" s="8" t="str">
        <f>IFERROR(INDEX(样本到样信息汇总统计!O$2:O$500,MATCH(236,样本到样信息汇总统计!$Y$2:$Y$500,0)),"")</f>
        <v/>
      </c>
      <c r="P237" s="8" t="str">
        <f>IFERROR(INDEX(样本到样信息汇总统计!P$2:P$500,MATCH(236,样本到样信息汇总统计!$Y$2:$Y$500,0)),"")</f>
        <v/>
      </c>
      <c r="Q237" s="8" t="str">
        <f>IFERROR(INDEX(样本到样信息汇总统计!Q$2:Q$500,MATCH(236,样本到样信息汇总统计!$Y$2:$Y$500,0)),"")</f>
        <v/>
      </c>
      <c r="R237" s="8" t="str">
        <f>IFERROR(INDEX(样本到样信息汇总统计!R$2:R$500,MATCH(236,样本到样信息汇总统计!$Y$2:$Y$500,0)),"")</f>
        <v/>
      </c>
      <c r="S237" s="8" t="str">
        <f>IFERROR(INDEX(样本到样信息汇总统计!S$2:S$500,MATCH(236,样本到样信息汇总统计!$Y$2:$Y$500,0)),"")</f>
        <v/>
      </c>
      <c r="T237" s="8" t="str">
        <f>IFERROR(INDEX(样本到样信息汇总统计!T$2:T$500,MATCH(236,样本到样信息汇总统计!$Y$2:$Y$500,0)),"")</f>
        <v/>
      </c>
      <c r="U237" s="8" t="str">
        <f>IFERROR(INDEX(样本到样信息汇总统计!U$2:U$500,MATCH(236,样本到样信息汇总统计!$Y$2:$Y$500,0)),"")</f>
        <v/>
      </c>
      <c r="V237" s="8" t="str">
        <f>IFERROR(INDEX(样本到样信息汇总统计!V$2:V$500,MATCH(236,样本到样信息汇总统计!$Y$2:$Y$500,0)),"")</f>
        <v/>
      </c>
      <c r="W237" s="8" t="str">
        <f>IFERROR(INDEX(样本到样信息汇总统计!W$2:W$500,MATCH(236,样本到样信息汇总统计!$Y$2:$Y$500,0)),"")</f>
        <v/>
      </c>
    </row>
    <row r="238" ht="14.5" spans="1:23">
      <c r="A238" s="4" t="str">
        <f>IFERROR(INDEX(样本到样信息汇总统计!A$2:A$500,MATCH(237,样本到样信息汇总统计!$Y$2:$Y$500,0)),"")</f>
        <v/>
      </c>
      <c r="B238" s="4" t="str">
        <f>IFERROR(INDEX(样本到样信息汇总统计!B$2:B$500,MATCH(237,样本到样信息汇总统计!$Y$2:$Y$500,0)),"")</f>
        <v/>
      </c>
      <c r="C238" s="4" t="str">
        <f>IFERROR(INDEX(样本到样信息汇总统计!C$2:C$500,MATCH(237,样本到样信息汇总统计!$Y$2:$Y$500,0)),"")</f>
        <v/>
      </c>
      <c r="D238" s="4" t="str">
        <f>IFERROR(INDEX(样本到样信息汇总统计!D$2:D$500,MATCH(237,样本到样信息汇总统计!$Y$2:$Y$500,0)),"")</f>
        <v/>
      </c>
      <c r="E238" s="4" t="str">
        <f>IFERROR(INDEX(样本到样信息汇总统计!E$2:E$500,MATCH(237,样本到样信息汇总统计!$Y$2:$Y$500,0)),"")</f>
        <v/>
      </c>
      <c r="F238" s="4" t="str">
        <f>IFERROR(INDEX(样本到样信息汇总统计!F$2:F$500,MATCH(237,样本到样信息汇总统计!$Y$2:$Y$500,0)),"")</f>
        <v/>
      </c>
      <c r="G238" s="4" t="str">
        <f>IFERROR(INDEX(样本到样信息汇总统计!G$2:G$500,MATCH(237,样本到样信息汇总统计!$Y$2:$Y$500,0)),"")</f>
        <v/>
      </c>
      <c r="H238" s="4" t="str">
        <f>IFERROR(INDEX(样本到样信息汇总统计!H$2:H$500,MATCH(237,样本到样信息汇总统计!$Y$2:$Y$500,0)),"")</f>
        <v/>
      </c>
      <c r="I238" s="4" t="str">
        <f>IFERROR(INDEX(样本到样信息汇总统计!I$2:I$500,MATCH(237,样本到样信息汇总统计!$Y$2:$Y$500,0)),"")</f>
        <v/>
      </c>
      <c r="J238" s="4" t="str">
        <f>IFERROR(INDEX(样本到样信息汇总统计!J$2:J$500,MATCH(237,样本到样信息汇总统计!$Y$2:$Y$500,0)),"")</f>
        <v/>
      </c>
      <c r="K238" s="4" t="str">
        <f>IFERROR(INDEX(样本到样信息汇总统计!K$2:K$500,MATCH(237,样本到样信息汇总统计!$Y$2:$Y$500,0)),"")</f>
        <v/>
      </c>
      <c r="L238" s="4" t="str">
        <f>IFERROR(INDEX(样本到样信息汇总统计!L$2:L$500,MATCH(237,样本到样信息汇总统计!$Y$2:$Y$500,0)),"")</f>
        <v/>
      </c>
      <c r="M238" s="4" t="str">
        <f>IFERROR(INDEX(样本到样信息汇总统计!M$2:M$500,MATCH(237,样本到样信息汇总统计!$Y$2:$Y$500,0)),"")</f>
        <v/>
      </c>
      <c r="N238" s="4" t="str">
        <f>IFERROR(INDEX(样本到样信息汇总统计!N$2:N$500,MATCH(237,样本到样信息汇总统计!$Y$2:$Y$500,0)),"")</f>
        <v/>
      </c>
      <c r="O238" s="4" t="str">
        <f>IFERROR(INDEX(样本到样信息汇总统计!O$2:O$500,MATCH(237,样本到样信息汇总统计!$Y$2:$Y$500,0)),"")</f>
        <v/>
      </c>
      <c r="P238" s="4" t="str">
        <f>IFERROR(INDEX(样本到样信息汇总统计!P$2:P$500,MATCH(237,样本到样信息汇总统计!$Y$2:$Y$500,0)),"")</f>
        <v/>
      </c>
      <c r="Q238" s="4" t="str">
        <f>IFERROR(INDEX(样本到样信息汇总统计!Q$2:Q$500,MATCH(237,样本到样信息汇总统计!$Y$2:$Y$500,0)),"")</f>
        <v/>
      </c>
      <c r="R238" s="4" t="str">
        <f>IFERROR(INDEX(样本到样信息汇总统计!R$2:R$500,MATCH(237,样本到样信息汇总统计!$Y$2:$Y$500,0)),"")</f>
        <v/>
      </c>
      <c r="S238" s="4" t="str">
        <f>IFERROR(INDEX(样本到样信息汇总统计!S$2:S$500,MATCH(237,样本到样信息汇总统计!$Y$2:$Y$500,0)),"")</f>
        <v/>
      </c>
      <c r="T238" s="4" t="str">
        <f>IFERROR(INDEX(样本到样信息汇总统计!T$2:T$500,MATCH(237,样本到样信息汇总统计!$Y$2:$Y$500,0)),"")</f>
        <v/>
      </c>
      <c r="U238" s="4" t="str">
        <f>IFERROR(INDEX(样本到样信息汇总统计!U$2:U$500,MATCH(237,样本到样信息汇总统计!$Y$2:$Y$500,0)),"")</f>
        <v/>
      </c>
      <c r="V238" s="4" t="str">
        <f>IFERROR(INDEX(样本到样信息汇总统计!V$2:V$500,MATCH(237,样本到样信息汇总统计!$Y$2:$Y$500,0)),"")</f>
        <v/>
      </c>
      <c r="W238" s="4" t="str">
        <f>IFERROR(INDEX(样本到样信息汇总统计!W$2:W$500,MATCH(237,样本到样信息汇总统计!$Y$2:$Y$500,0)),"")</f>
        <v/>
      </c>
    </row>
    <row r="239" ht="14.5" spans="1:23">
      <c r="A239" s="8" t="str">
        <f>IFERROR(INDEX(样本到样信息汇总统计!A$2:A$500,MATCH(238,样本到样信息汇总统计!$Y$2:$Y$500,0)),"")</f>
        <v/>
      </c>
      <c r="B239" s="8" t="str">
        <f>IFERROR(INDEX(样本到样信息汇总统计!B$2:B$500,MATCH(238,样本到样信息汇总统计!$Y$2:$Y$500,0)),"")</f>
        <v/>
      </c>
      <c r="C239" s="8" t="str">
        <f>IFERROR(INDEX(样本到样信息汇总统计!C$2:C$500,MATCH(238,样本到样信息汇总统计!$Y$2:$Y$500,0)),"")</f>
        <v/>
      </c>
      <c r="D239" s="8" t="str">
        <f>IFERROR(INDEX(样本到样信息汇总统计!D$2:D$500,MATCH(238,样本到样信息汇总统计!$Y$2:$Y$500,0)),"")</f>
        <v/>
      </c>
      <c r="E239" s="8" t="str">
        <f>IFERROR(INDEX(样本到样信息汇总统计!E$2:E$500,MATCH(238,样本到样信息汇总统计!$Y$2:$Y$500,0)),"")</f>
        <v/>
      </c>
      <c r="F239" s="8" t="str">
        <f>IFERROR(INDEX(样本到样信息汇总统计!F$2:F$500,MATCH(238,样本到样信息汇总统计!$Y$2:$Y$500,0)),"")</f>
        <v/>
      </c>
      <c r="G239" s="8" t="str">
        <f>IFERROR(INDEX(样本到样信息汇总统计!G$2:G$500,MATCH(238,样本到样信息汇总统计!$Y$2:$Y$500,0)),"")</f>
        <v/>
      </c>
      <c r="H239" s="8" t="str">
        <f>IFERROR(INDEX(样本到样信息汇总统计!H$2:H$500,MATCH(238,样本到样信息汇总统计!$Y$2:$Y$500,0)),"")</f>
        <v/>
      </c>
      <c r="I239" s="8" t="str">
        <f>IFERROR(INDEX(样本到样信息汇总统计!I$2:I$500,MATCH(238,样本到样信息汇总统计!$Y$2:$Y$500,0)),"")</f>
        <v/>
      </c>
      <c r="J239" s="8" t="str">
        <f>IFERROR(INDEX(样本到样信息汇总统计!J$2:J$500,MATCH(238,样本到样信息汇总统计!$Y$2:$Y$500,0)),"")</f>
        <v/>
      </c>
      <c r="K239" s="8" t="str">
        <f>IFERROR(INDEX(样本到样信息汇总统计!K$2:K$500,MATCH(238,样本到样信息汇总统计!$Y$2:$Y$500,0)),"")</f>
        <v/>
      </c>
      <c r="L239" s="8" t="str">
        <f>IFERROR(INDEX(样本到样信息汇总统计!L$2:L$500,MATCH(238,样本到样信息汇总统计!$Y$2:$Y$500,0)),"")</f>
        <v/>
      </c>
      <c r="M239" s="8" t="str">
        <f>IFERROR(INDEX(样本到样信息汇总统计!M$2:M$500,MATCH(238,样本到样信息汇总统计!$Y$2:$Y$500,0)),"")</f>
        <v/>
      </c>
      <c r="N239" s="8" t="str">
        <f>IFERROR(INDEX(样本到样信息汇总统计!N$2:N$500,MATCH(238,样本到样信息汇总统计!$Y$2:$Y$500,0)),"")</f>
        <v/>
      </c>
      <c r="O239" s="8" t="str">
        <f>IFERROR(INDEX(样本到样信息汇总统计!O$2:O$500,MATCH(238,样本到样信息汇总统计!$Y$2:$Y$500,0)),"")</f>
        <v/>
      </c>
      <c r="P239" s="8" t="str">
        <f>IFERROR(INDEX(样本到样信息汇总统计!P$2:P$500,MATCH(238,样本到样信息汇总统计!$Y$2:$Y$500,0)),"")</f>
        <v/>
      </c>
      <c r="Q239" s="8" t="str">
        <f>IFERROR(INDEX(样本到样信息汇总统计!Q$2:Q$500,MATCH(238,样本到样信息汇总统计!$Y$2:$Y$500,0)),"")</f>
        <v/>
      </c>
      <c r="R239" s="8" t="str">
        <f>IFERROR(INDEX(样本到样信息汇总统计!R$2:R$500,MATCH(238,样本到样信息汇总统计!$Y$2:$Y$500,0)),"")</f>
        <v/>
      </c>
      <c r="S239" s="8" t="str">
        <f>IFERROR(INDEX(样本到样信息汇总统计!S$2:S$500,MATCH(238,样本到样信息汇总统计!$Y$2:$Y$500,0)),"")</f>
        <v/>
      </c>
      <c r="T239" s="8" t="str">
        <f>IFERROR(INDEX(样本到样信息汇总统计!T$2:T$500,MATCH(238,样本到样信息汇总统计!$Y$2:$Y$500,0)),"")</f>
        <v/>
      </c>
      <c r="U239" s="8" t="str">
        <f>IFERROR(INDEX(样本到样信息汇总统计!U$2:U$500,MATCH(238,样本到样信息汇总统计!$Y$2:$Y$500,0)),"")</f>
        <v/>
      </c>
      <c r="V239" s="8" t="str">
        <f>IFERROR(INDEX(样本到样信息汇总统计!V$2:V$500,MATCH(238,样本到样信息汇总统计!$Y$2:$Y$500,0)),"")</f>
        <v/>
      </c>
      <c r="W239" s="8" t="str">
        <f>IFERROR(INDEX(样本到样信息汇总统计!W$2:W$500,MATCH(238,样本到样信息汇总统计!$Y$2:$Y$500,0)),"")</f>
        <v/>
      </c>
    </row>
    <row r="240" ht="14.5" spans="1:23">
      <c r="A240" s="4" t="str">
        <f>IFERROR(INDEX(样本到样信息汇总统计!A$2:A$500,MATCH(239,样本到样信息汇总统计!$Y$2:$Y$500,0)),"")</f>
        <v/>
      </c>
      <c r="B240" s="4" t="str">
        <f>IFERROR(INDEX(样本到样信息汇总统计!B$2:B$500,MATCH(239,样本到样信息汇总统计!$Y$2:$Y$500,0)),"")</f>
        <v/>
      </c>
      <c r="C240" s="4" t="str">
        <f>IFERROR(INDEX(样本到样信息汇总统计!C$2:C$500,MATCH(239,样本到样信息汇总统计!$Y$2:$Y$500,0)),"")</f>
        <v/>
      </c>
      <c r="D240" s="4" t="str">
        <f>IFERROR(INDEX(样本到样信息汇总统计!D$2:D$500,MATCH(239,样本到样信息汇总统计!$Y$2:$Y$500,0)),"")</f>
        <v/>
      </c>
      <c r="E240" s="4" t="str">
        <f>IFERROR(INDEX(样本到样信息汇总统计!E$2:E$500,MATCH(239,样本到样信息汇总统计!$Y$2:$Y$500,0)),"")</f>
        <v/>
      </c>
      <c r="F240" s="4" t="str">
        <f>IFERROR(INDEX(样本到样信息汇总统计!F$2:F$500,MATCH(239,样本到样信息汇总统计!$Y$2:$Y$500,0)),"")</f>
        <v/>
      </c>
      <c r="G240" s="4" t="str">
        <f>IFERROR(INDEX(样本到样信息汇总统计!G$2:G$500,MATCH(239,样本到样信息汇总统计!$Y$2:$Y$500,0)),"")</f>
        <v/>
      </c>
      <c r="H240" s="4" t="str">
        <f>IFERROR(INDEX(样本到样信息汇总统计!H$2:H$500,MATCH(239,样本到样信息汇总统计!$Y$2:$Y$500,0)),"")</f>
        <v/>
      </c>
      <c r="I240" s="4" t="str">
        <f>IFERROR(INDEX(样本到样信息汇总统计!I$2:I$500,MATCH(239,样本到样信息汇总统计!$Y$2:$Y$500,0)),"")</f>
        <v/>
      </c>
      <c r="J240" s="4" t="str">
        <f>IFERROR(INDEX(样本到样信息汇总统计!J$2:J$500,MATCH(239,样本到样信息汇总统计!$Y$2:$Y$500,0)),"")</f>
        <v/>
      </c>
      <c r="K240" s="4" t="str">
        <f>IFERROR(INDEX(样本到样信息汇总统计!K$2:K$500,MATCH(239,样本到样信息汇总统计!$Y$2:$Y$500,0)),"")</f>
        <v/>
      </c>
      <c r="L240" s="4" t="str">
        <f>IFERROR(INDEX(样本到样信息汇总统计!L$2:L$500,MATCH(239,样本到样信息汇总统计!$Y$2:$Y$500,0)),"")</f>
        <v/>
      </c>
      <c r="M240" s="4" t="str">
        <f>IFERROR(INDEX(样本到样信息汇总统计!M$2:M$500,MATCH(239,样本到样信息汇总统计!$Y$2:$Y$500,0)),"")</f>
        <v/>
      </c>
      <c r="N240" s="4" t="str">
        <f>IFERROR(INDEX(样本到样信息汇总统计!N$2:N$500,MATCH(239,样本到样信息汇总统计!$Y$2:$Y$500,0)),"")</f>
        <v/>
      </c>
      <c r="O240" s="4" t="str">
        <f>IFERROR(INDEX(样本到样信息汇总统计!O$2:O$500,MATCH(239,样本到样信息汇总统计!$Y$2:$Y$500,0)),"")</f>
        <v/>
      </c>
      <c r="P240" s="4" t="str">
        <f>IFERROR(INDEX(样本到样信息汇总统计!P$2:P$500,MATCH(239,样本到样信息汇总统计!$Y$2:$Y$500,0)),"")</f>
        <v/>
      </c>
      <c r="Q240" s="4" t="str">
        <f>IFERROR(INDEX(样本到样信息汇总统计!Q$2:Q$500,MATCH(239,样本到样信息汇总统计!$Y$2:$Y$500,0)),"")</f>
        <v/>
      </c>
      <c r="R240" s="4" t="str">
        <f>IFERROR(INDEX(样本到样信息汇总统计!R$2:R$500,MATCH(239,样本到样信息汇总统计!$Y$2:$Y$500,0)),"")</f>
        <v/>
      </c>
      <c r="S240" s="4" t="str">
        <f>IFERROR(INDEX(样本到样信息汇总统计!S$2:S$500,MATCH(239,样本到样信息汇总统计!$Y$2:$Y$500,0)),"")</f>
        <v/>
      </c>
      <c r="T240" s="4" t="str">
        <f>IFERROR(INDEX(样本到样信息汇总统计!T$2:T$500,MATCH(239,样本到样信息汇总统计!$Y$2:$Y$500,0)),"")</f>
        <v/>
      </c>
      <c r="U240" s="4" t="str">
        <f>IFERROR(INDEX(样本到样信息汇总统计!U$2:U$500,MATCH(239,样本到样信息汇总统计!$Y$2:$Y$500,0)),"")</f>
        <v/>
      </c>
      <c r="V240" s="4" t="str">
        <f>IFERROR(INDEX(样本到样信息汇总统计!V$2:V$500,MATCH(239,样本到样信息汇总统计!$Y$2:$Y$500,0)),"")</f>
        <v/>
      </c>
      <c r="W240" s="4" t="str">
        <f>IFERROR(INDEX(样本到样信息汇总统计!W$2:W$500,MATCH(239,样本到样信息汇总统计!$Y$2:$Y$500,0)),"")</f>
        <v/>
      </c>
    </row>
    <row r="241" ht="14.5" spans="1:23">
      <c r="A241" s="8" t="str">
        <f>IFERROR(INDEX(样本到样信息汇总统计!A$2:A$500,MATCH(240,样本到样信息汇总统计!$Y$2:$Y$500,0)),"")</f>
        <v/>
      </c>
      <c r="B241" s="8" t="str">
        <f>IFERROR(INDEX(样本到样信息汇总统计!B$2:B$500,MATCH(240,样本到样信息汇总统计!$Y$2:$Y$500,0)),"")</f>
        <v/>
      </c>
      <c r="C241" s="8" t="str">
        <f>IFERROR(INDEX(样本到样信息汇总统计!C$2:C$500,MATCH(240,样本到样信息汇总统计!$Y$2:$Y$500,0)),"")</f>
        <v/>
      </c>
      <c r="D241" s="8" t="str">
        <f>IFERROR(INDEX(样本到样信息汇总统计!D$2:D$500,MATCH(240,样本到样信息汇总统计!$Y$2:$Y$500,0)),"")</f>
        <v/>
      </c>
      <c r="E241" s="8" t="str">
        <f>IFERROR(INDEX(样本到样信息汇总统计!E$2:E$500,MATCH(240,样本到样信息汇总统计!$Y$2:$Y$500,0)),"")</f>
        <v/>
      </c>
      <c r="F241" s="8" t="str">
        <f>IFERROR(INDEX(样本到样信息汇总统计!F$2:F$500,MATCH(240,样本到样信息汇总统计!$Y$2:$Y$500,0)),"")</f>
        <v/>
      </c>
      <c r="G241" s="8" t="str">
        <f>IFERROR(INDEX(样本到样信息汇总统计!G$2:G$500,MATCH(240,样本到样信息汇总统计!$Y$2:$Y$500,0)),"")</f>
        <v/>
      </c>
      <c r="H241" s="8" t="str">
        <f>IFERROR(INDEX(样本到样信息汇总统计!H$2:H$500,MATCH(240,样本到样信息汇总统计!$Y$2:$Y$500,0)),"")</f>
        <v/>
      </c>
      <c r="I241" s="8" t="str">
        <f>IFERROR(INDEX(样本到样信息汇总统计!I$2:I$500,MATCH(240,样本到样信息汇总统计!$Y$2:$Y$500,0)),"")</f>
        <v/>
      </c>
      <c r="J241" s="8" t="str">
        <f>IFERROR(INDEX(样本到样信息汇总统计!J$2:J$500,MATCH(240,样本到样信息汇总统计!$Y$2:$Y$500,0)),"")</f>
        <v/>
      </c>
      <c r="K241" s="8" t="str">
        <f>IFERROR(INDEX(样本到样信息汇总统计!K$2:K$500,MATCH(240,样本到样信息汇总统计!$Y$2:$Y$500,0)),"")</f>
        <v/>
      </c>
      <c r="L241" s="8" t="str">
        <f>IFERROR(INDEX(样本到样信息汇总统计!L$2:L$500,MATCH(240,样本到样信息汇总统计!$Y$2:$Y$500,0)),"")</f>
        <v/>
      </c>
      <c r="M241" s="8" t="str">
        <f>IFERROR(INDEX(样本到样信息汇总统计!M$2:M$500,MATCH(240,样本到样信息汇总统计!$Y$2:$Y$500,0)),"")</f>
        <v/>
      </c>
      <c r="N241" s="8" t="str">
        <f>IFERROR(INDEX(样本到样信息汇总统计!N$2:N$500,MATCH(240,样本到样信息汇总统计!$Y$2:$Y$500,0)),"")</f>
        <v/>
      </c>
      <c r="O241" s="8" t="str">
        <f>IFERROR(INDEX(样本到样信息汇总统计!O$2:O$500,MATCH(240,样本到样信息汇总统计!$Y$2:$Y$500,0)),"")</f>
        <v/>
      </c>
      <c r="P241" s="8" t="str">
        <f>IFERROR(INDEX(样本到样信息汇总统计!P$2:P$500,MATCH(240,样本到样信息汇总统计!$Y$2:$Y$500,0)),"")</f>
        <v/>
      </c>
      <c r="Q241" s="8" t="str">
        <f>IFERROR(INDEX(样本到样信息汇总统计!Q$2:Q$500,MATCH(240,样本到样信息汇总统计!$Y$2:$Y$500,0)),"")</f>
        <v/>
      </c>
      <c r="R241" s="8" t="str">
        <f>IFERROR(INDEX(样本到样信息汇总统计!R$2:R$500,MATCH(240,样本到样信息汇总统计!$Y$2:$Y$500,0)),"")</f>
        <v/>
      </c>
      <c r="S241" s="8" t="str">
        <f>IFERROR(INDEX(样本到样信息汇总统计!S$2:S$500,MATCH(240,样本到样信息汇总统计!$Y$2:$Y$500,0)),"")</f>
        <v/>
      </c>
      <c r="T241" s="8" t="str">
        <f>IFERROR(INDEX(样本到样信息汇总统计!T$2:T$500,MATCH(240,样本到样信息汇总统计!$Y$2:$Y$500,0)),"")</f>
        <v/>
      </c>
      <c r="U241" s="8" t="str">
        <f>IFERROR(INDEX(样本到样信息汇总统计!U$2:U$500,MATCH(240,样本到样信息汇总统计!$Y$2:$Y$500,0)),"")</f>
        <v/>
      </c>
      <c r="V241" s="8" t="str">
        <f>IFERROR(INDEX(样本到样信息汇总统计!V$2:V$500,MATCH(240,样本到样信息汇总统计!$Y$2:$Y$500,0)),"")</f>
        <v/>
      </c>
      <c r="W241" s="8" t="str">
        <f>IFERROR(INDEX(样本到样信息汇总统计!W$2:W$500,MATCH(240,样本到样信息汇总统计!$Y$2:$Y$500,0)),"")</f>
        <v/>
      </c>
    </row>
    <row r="242" ht="14.5" spans="1:23">
      <c r="A242" s="4" t="str">
        <f>IFERROR(INDEX(样本到样信息汇总统计!A$2:A$500,MATCH(241,样本到样信息汇总统计!$Y$2:$Y$500,0)),"")</f>
        <v/>
      </c>
      <c r="B242" s="4" t="str">
        <f>IFERROR(INDEX(样本到样信息汇总统计!B$2:B$500,MATCH(241,样本到样信息汇总统计!$Y$2:$Y$500,0)),"")</f>
        <v/>
      </c>
      <c r="C242" s="4" t="str">
        <f>IFERROR(INDEX(样本到样信息汇总统计!C$2:C$500,MATCH(241,样本到样信息汇总统计!$Y$2:$Y$500,0)),"")</f>
        <v/>
      </c>
      <c r="D242" s="4" t="str">
        <f>IFERROR(INDEX(样本到样信息汇总统计!D$2:D$500,MATCH(241,样本到样信息汇总统计!$Y$2:$Y$500,0)),"")</f>
        <v/>
      </c>
      <c r="E242" s="4" t="str">
        <f>IFERROR(INDEX(样本到样信息汇总统计!E$2:E$500,MATCH(241,样本到样信息汇总统计!$Y$2:$Y$500,0)),"")</f>
        <v/>
      </c>
      <c r="F242" s="4" t="str">
        <f>IFERROR(INDEX(样本到样信息汇总统计!F$2:F$500,MATCH(241,样本到样信息汇总统计!$Y$2:$Y$500,0)),"")</f>
        <v/>
      </c>
      <c r="G242" s="4" t="str">
        <f>IFERROR(INDEX(样本到样信息汇总统计!G$2:G$500,MATCH(241,样本到样信息汇总统计!$Y$2:$Y$500,0)),"")</f>
        <v/>
      </c>
      <c r="H242" s="4" t="str">
        <f>IFERROR(INDEX(样本到样信息汇总统计!H$2:H$500,MATCH(241,样本到样信息汇总统计!$Y$2:$Y$500,0)),"")</f>
        <v/>
      </c>
      <c r="I242" s="4" t="str">
        <f>IFERROR(INDEX(样本到样信息汇总统计!I$2:I$500,MATCH(241,样本到样信息汇总统计!$Y$2:$Y$500,0)),"")</f>
        <v/>
      </c>
      <c r="J242" s="4" t="str">
        <f>IFERROR(INDEX(样本到样信息汇总统计!J$2:J$500,MATCH(241,样本到样信息汇总统计!$Y$2:$Y$500,0)),"")</f>
        <v/>
      </c>
      <c r="K242" s="4" t="str">
        <f>IFERROR(INDEX(样本到样信息汇总统计!K$2:K$500,MATCH(241,样本到样信息汇总统计!$Y$2:$Y$500,0)),"")</f>
        <v/>
      </c>
      <c r="L242" s="4" t="str">
        <f>IFERROR(INDEX(样本到样信息汇总统计!L$2:L$500,MATCH(241,样本到样信息汇总统计!$Y$2:$Y$500,0)),"")</f>
        <v/>
      </c>
      <c r="M242" s="4" t="str">
        <f>IFERROR(INDEX(样本到样信息汇总统计!M$2:M$500,MATCH(241,样本到样信息汇总统计!$Y$2:$Y$500,0)),"")</f>
        <v/>
      </c>
      <c r="N242" s="4" t="str">
        <f>IFERROR(INDEX(样本到样信息汇总统计!N$2:N$500,MATCH(241,样本到样信息汇总统计!$Y$2:$Y$500,0)),"")</f>
        <v/>
      </c>
      <c r="O242" s="4" t="str">
        <f>IFERROR(INDEX(样本到样信息汇总统计!O$2:O$500,MATCH(241,样本到样信息汇总统计!$Y$2:$Y$500,0)),"")</f>
        <v/>
      </c>
      <c r="P242" s="4" t="str">
        <f>IFERROR(INDEX(样本到样信息汇总统计!P$2:P$500,MATCH(241,样本到样信息汇总统计!$Y$2:$Y$500,0)),"")</f>
        <v/>
      </c>
      <c r="Q242" s="4" t="str">
        <f>IFERROR(INDEX(样本到样信息汇总统计!Q$2:Q$500,MATCH(241,样本到样信息汇总统计!$Y$2:$Y$500,0)),"")</f>
        <v/>
      </c>
      <c r="R242" s="4" t="str">
        <f>IFERROR(INDEX(样本到样信息汇总统计!R$2:R$500,MATCH(241,样本到样信息汇总统计!$Y$2:$Y$500,0)),"")</f>
        <v/>
      </c>
      <c r="S242" s="4" t="str">
        <f>IFERROR(INDEX(样本到样信息汇总统计!S$2:S$500,MATCH(241,样本到样信息汇总统计!$Y$2:$Y$500,0)),"")</f>
        <v/>
      </c>
      <c r="T242" s="4" t="str">
        <f>IFERROR(INDEX(样本到样信息汇总统计!T$2:T$500,MATCH(241,样本到样信息汇总统计!$Y$2:$Y$500,0)),"")</f>
        <v/>
      </c>
      <c r="U242" s="4" t="str">
        <f>IFERROR(INDEX(样本到样信息汇总统计!U$2:U$500,MATCH(241,样本到样信息汇总统计!$Y$2:$Y$500,0)),"")</f>
        <v/>
      </c>
      <c r="V242" s="4" t="str">
        <f>IFERROR(INDEX(样本到样信息汇总统计!V$2:V$500,MATCH(241,样本到样信息汇总统计!$Y$2:$Y$500,0)),"")</f>
        <v/>
      </c>
      <c r="W242" s="4" t="str">
        <f>IFERROR(INDEX(样本到样信息汇总统计!W$2:W$500,MATCH(241,样本到样信息汇总统计!$Y$2:$Y$500,0)),"")</f>
        <v/>
      </c>
    </row>
    <row r="243" ht="14.5" spans="1:23">
      <c r="A243" s="8" t="str">
        <f>IFERROR(INDEX(样本到样信息汇总统计!A$2:A$500,MATCH(242,样本到样信息汇总统计!$Y$2:$Y$500,0)),"")</f>
        <v/>
      </c>
      <c r="B243" s="8" t="str">
        <f>IFERROR(INDEX(样本到样信息汇总统计!B$2:B$500,MATCH(242,样本到样信息汇总统计!$Y$2:$Y$500,0)),"")</f>
        <v/>
      </c>
      <c r="C243" s="8" t="str">
        <f>IFERROR(INDEX(样本到样信息汇总统计!C$2:C$500,MATCH(242,样本到样信息汇总统计!$Y$2:$Y$500,0)),"")</f>
        <v/>
      </c>
      <c r="D243" s="8" t="str">
        <f>IFERROR(INDEX(样本到样信息汇总统计!D$2:D$500,MATCH(242,样本到样信息汇总统计!$Y$2:$Y$500,0)),"")</f>
        <v/>
      </c>
      <c r="E243" s="8" t="str">
        <f>IFERROR(INDEX(样本到样信息汇总统计!E$2:E$500,MATCH(242,样本到样信息汇总统计!$Y$2:$Y$500,0)),"")</f>
        <v/>
      </c>
      <c r="F243" s="8" t="str">
        <f>IFERROR(INDEX(样本到样信息汇总统计!F$2:F$500,MATCH(242,样本到样信息汇总统计!$Y$2:$Y$500,0)),"")</f>
        <v/>
      </c>
      <c r="G243" s="8" t="str">
        <f>IFERROR(INDEX(样本到样信息汇总统计!G$2:G$500,MATCH(242,样本到样信息汇总统计!$Y$2:$Y$500,0)),"")</f>
        <v/>
      </c>
      <c r="H243" s="8" t="str">
        <f>IFERROR(INDEX(样本到样信息汇总统计!H$2:H$500,MATCH(242,样本到样信息汇总统计!$Y$2:$Y$500,0)),"")</f>
        <v/>
      </c>
      <c r="I243" s="8" t="str">
        <f>IFERROR(INDEX(样本到样信息汇总统计!I$2:I$500,MATCH(242,样本到样信息汇总统计!$Y$2:$Y$500,0)),"")</f>
        <v/>
      </c>
      <c r="J243" s="8" t="str">
        <f>IFERROR(INDEX(样本到样信息汇总统计!J$2:J$500,MATCH(242,样本到样信息汇总统计!$Y$2:$Y$500,0)),"")</f>
        <v/>
      </c>
      <c r="K243" s="8" t="str">
        <f>IFERROR(INDEX(样本到样信息汇总统计!K$2:K$500,MATCH(242,样本到样信息汇总统计!$Y$2:$Y$500,0)),"")</f>
        <v/>
      </c>
      <c r="L243" s="8" t="str">
        <f>IFERROR(INDEX(样本到样信息汇总统计!L$2:L$500,MATCH(242,样本到样信息汇总统计!$Y$2:$Y$500,0)),"")</f>
        <v/>
      </c>
      <c r="M243" s="8" t="str">
        <f>IFERROR(INDEX(样本到样信息汇总统计!M$2:M$500,MATCH(242,样本到样信息汇总统计!$Y$2:$Y$500,0)),"")</f>
        <v/>
      </c>
      <c r="N243" s="8" t="str">
        <f>IFERROR(INDEX(样本到样信息汇总统计!N$2:N$500,MATCH(242,样本到样信息汇总统计!$Y$2:$Y$500,0)),"")</f>
        <v/>
      </c>
      <c r="O243" s="8" t="str">
        <f>IFERROR(INDEX(样本到样信息汇总统计!O$2:O$500,MATCH(242,样本到样信息汇总统计!$Y$2:$Y$500,0)),"")</f>
        <v/>
      </c>
      <c r="P243" s="8" t="str">
        <f>IFERROR(INDEX(样本到样信息汇总统计!P$2:P$500,MATCH(242,样本到样信息汇总统计!$Y$2:$Y$500,0)),"")</f>
        <v/>
      </c>
      <c r="Q243" s="8" t="str">
        <f>IFERROR(INDEX(样本到样信息汇总统计!Q$2:Q$500,MATCH(242,样本到样信息汇总统计!$Y$2:$Y$500,0)),"")</f>
        <v/>
      </c>
      <c r="R243" s="8" t="str">
        <f>IFERROR(INDEX(样本到样信息汇总统计!R$2:R$500,MATCH(242,样本到样信息汇总统计!$Y$2:$Y$500,0)),"")</f>
        <v/>
      </c>
      <c r="S243" s="8" t="str">
        <f>IFERROR(INDEX(样本到样信息汇总统计!S$2:S$500,MATCH(242,样本到样信息汇总统计!$Y$2:$Y$500,0)),"")</f>
        <v/>
      </c>
      <c r="T243" s="8" t="str">
        <f>IFERROR(INDEX(样本到样信息汇总统计!T$2:T$500,MATCH(242,样本到样信息汇总统计!$Y$2:$Y$500,0)),"")</f>
        <v/>
      </c>
      <c r="U243" s="8" t="str">
        <f>IFERROR(INDEX(样本到样信息汇总统计!U$2:U$500,MATCH(242,样本到样信息汇总统计!$Y$2:$Y$500,0)),"")</f>
        <v/>
      </c>
      <c r="V243" s="8" t="str">
        <f>IFERROR(INDEX(样本到样信息汇总统计!V$2:V$500,MATCH(242,样本到样信息汇总统计!$Y$2:$Y$500,0)),"")</f>
        <v/>
      </c>
      <c r="W243" s="8" t="str">
        <f>IFERROR(INDEX(样本到样信息汇总统计!W$2:W$500,MATCH(242,样本到样信息汇总统计!$Y$2:$Y$500,0)),"")</f>
        <v/>
      </c>
    </row>
    <row r="244" ht="14.5" spans="1:23">
      <c r="A244" s="4" t="str">
        <f>IFERROR(INDEX(样本到样信息汇总统计!A$2:A$500,MATCH(243,样本到样信息汇总统计!$Y$2:$Y$500,0)),"")</f>
        <v/>
      </c>
      <c r="B244" s="4" t="str">
        <f>IFERROR(INDEX(样本到样信息汇总统计!B$2:B$500,MATCH(243,样本到样信息汇总统计!$Y$2:$Y$500,0)),"")</f>
        <v/>
      </c>
      <c r="C244" s="4" t="str">
        <f>IFERROR(INDEX(样本到样信息汇总统计!C$2:C$500,MATCH(243,样本到样信息汇总统计!$Y$2:$Y$500,0)),"")</f>
        <v/>
      </c>
      <c r="D244" s="4" t="str">
        <f>IFERROR(INDEX(样本到样信息汇总统计!D$2:D$500,MATCH(243,样本到样信息汇总统计!$Y$2:$Y$500,0)),"")</f>
        <v/>
      </c>
      <c r="E244" s="4" t="str">
        <f>IFERROR(INDEX(样本到样信息汇总统计!E$2:E$500,MATCH(243,样本到样信息汇总统计!$Y$2:$Y$500,0)),"")</f>
        <v/>
      </c>
      <c r="F244" s="4" t="str">
        <f>IFERROR(INDEX(样本到样信息汇总统计!F$2:F$500,MATCH(243,样本到样信息汇总统计!$Y$2:$Y$500,0)),"")</f>
        <v/>
      </c>
      <c r="G244" s="4" t="str">
        <f>IFERROR(INDEX(样本到样信息汇总统计!G$2:G$500,MATCH(243,样本到样信息汇总统计!$Y$2:$Y$500,0)),"")</f>
        <v/>
      </c>
      <c r="H244" s="4" t="str">
        <f>IFERROR(INDEX(样本到样信息汇总统计!H$2:H$500,MATCH(243,样本到样信息汇总统计!$Y$2:$Y$500,0)),"")</f>
        <v/>
      </c>
      <c r="I244" s="4" t="str">
        <f>IFERROR(INDEX(样本到样信息汇总统计!I$2:I$500,MATCH(243,样本到样信息汇总统计!$Y$2:$Y$500,0)),"")</f>
        <v/>
      </c>
      <c r="J244" s="4" t="str">
        <f>IFERROR(INDEX(样本到样信息汇总统计!J$2:J$500,MATCH(243,样本到样信息汇总统计!$Y$2:$Y$500,0)),"")</f>
        <v/>
      </c>
      <c r="K244" s="4" t="str">
        <f>IFERROR(INDEX(样本到样信息汇总统计!K$2:K$500,MATCH(243,样本到样信息汇总统计!$Y$2:$Y$500,0)),"")</f>
        <v/>
      </c>
      <c r="L244" s="4" t="str">
        <f>IFERROR(INDEX(样本到样信息汇总统计!L$2:L$500,MATCH(243,样本到样信息汇总统计!$Y$2:$Y$500,0)),"")</f>
        <v/>
      </c>
      <c r="M244" s="4" t="str">
        <f>IFERROR(INDEX(样本到样信息汇总统计!M$2:M$500,MATCH(243,样本到样信息汇总统计!$Y$2:$Y$500,0)),"")</f>
        <v/>
      </c>
      <c r="N244" s="4" t="str">
        <f>IFERROR(INDEX(样本到样信息汇总统计!N$2:N$500,MATCH(243,样本到样信息汇总统计!$Y$2:$Y$500,0)),"")</f>
        <v/>
      </c>
      <c r="O244" s="4" t="str">
        <f>IFERROR(INDEX(样本到样信息汇总统计!O$2:O$500,MATCH(243,样本到样信息汇总统计!$Y$2:$Y$500,0)),"")</f>
        <v/>
      </c>
      <c r="P244" s="4" t="str">
        <f>IFERROR(INDEX(样本到样信息汇总统计!P$2:P$500,MATCH(243,样本到样信息汇总统计!$Y$2:$Y$500,0)),"")</f>
        <v/>
      </c>
      <c r="Q244" s="4" t="str">
        <f>IFERROR(INDEX(样本到样信息汇总统计!Q$2:Q$500,MATCH(243,样本到样信息汇总统计!$Y$2:$Y$500,0)),"")</f>
        <v/>
      </c>
      <c r="R244" s="4" t="str">
        <f>IFERROR(INDEX(样本到样信息汇总统计!R$2:R$500,MATCH(243,样本到样信息汇总统计!$Y$2:$Y$500,0)),"")</f>
        <v/>
      </c>
      <c r="S244" s="4" t="str">
        <f>IFERROR(INDEX(样本到样信息汇总统计!S$2:S$500,MATCH(243,样本到样信息汇总统计!$Y$2:$Y$500,0)),"")</f>
        <v/>
      </c>
      <c r="T244" s="4" t="str">
        <f>IFERROR(INDEX(样本到样信息汇总统计!T$2:T$500,MATCH(243,样本到样信息汇总统计!$Y$2:$Y$500,0)),"")</f>
        <v/>
      </c>
      <c r="U244" s="4" t="str">
        <f>IFERROR(INDEX(样本到样信息汇总统计!U$2:U$500,MATCH(243,样本到样信息汇总统计!$Y$2:$Y$500,0)),"")</f>
        <v/>
      </c>
      <c r="V244" s="4" t="str">
        <f>IFERROR(INDEX(样本到样信息汇总统计!V$2:V$500,MATCH(243,样本到样信息汇总统计!$Y$2:$Y$500,0)),"")</f>
        <v/>
      </c>
      <c r="W244" s="4" t="str">
        <f>IFERROR(INDEX(样本到样信息汇总统计!W$2:W$500,MATCH(243,样本到样信息汇总统计!$Y$2:$Y$500,0)),"")</f>
        <v/>
      </c>
    </row>
    <row r="245" ht="14.5" spans="1:23">
      <c r="A245" s="8" t="str">
        <f>IFERROR(INDEX(样本到样信息汇总统计!A$2:A$500,MATCH(244,样本到样信息汇总统计!$Y$2:$Y$500,0)),"")</f>
        <v/>
      </c>
      <c r="B245" s="8" t="str">
        <f>IFERROR(INDEX(样本到样信息汇总统计!B$2:B$500,MATCH(244,样本到样信息汇总统计!$Y$2:$Y$500,0)),"")</f>
        <v/>
      </c>
      <c r="C245" s="8" t="str">
        <f>IFERROR(INDEX(样本到样信息汇总统计!C$2:C$500,MATCH(244,样本到样信息汇总统计!$Y$2:$Y$500,0)),"")</f>
        <v/>
      </c>
      <c r="D245" s="8" t="str">
        <f>IFERROR(INDEX(样本到样信息汇总统计!D$2:D$500,MATCH(244,样本到样信息汇总统计!$Y$2:$Y$500,0)),"")</f>
        <v/>
      </c>
      <c r="E245" s="8" t="str">
        <f>IFERROR(INDEX(样本到样信息汇总统计!E$2:E$500,MATCH(244,样本到样信息汇总统计!$Y$2:$Y$500,0)),"")</f>
        <v/>
      </c>
      <c r="F245" s="8" t="str">
        <f>IFERROR(INDEX(样本到样信息汇总统计!F$2:F$500,MATCH(244,样本到样信息汇总统计!$Y$2:$Y$500,0)),"")</f>
        <v/>
      </c>
      <c r="G245" s="8" t="str">
        <f>IFERROR(INDEX(样本到样信息汇总统计!G$2:G$500,MATCH(244,样本到样信息汇总统计!$Y$2:$Y$500,0)),"")</f>
        <v/>
      </c>
      <c r="H245" s="8" t="str">
        <f>IFERROR(INDEX(样本到样信息汇总统计!H$2:H$500,MATCH(244,样本到样信息汇总统计!$Y$2:$Y$500,0)),"")</f>
        <v/>
      </c>
      <c r="I245" s="8" t="str">
        <f>IFERROR(INDEX(样本到样信息汇总统计!I$2:I$500,MATCH(244,样本到样信息汇总统计!$Y$2:$Y$500,0)),"")</f>
        <v/>
      </c>
      <c r="J245" s="8" t="str">
        <f>IFERROR(INDEX(样本到样信息汇总统计!J$2:J$500,MATCH(244,样本到样信息汇总统计!$Y$2:$Y$500,0)),"")</f>
        <v/>
      </c>
      <c r="K245" s="8" t="str">
        <f>IFERROR(INDEX(样本到样信息汇总统计!K$2:K$500,MATCH(244,样本到样信息汇总统计!$Y$2:$Y$500,0)),"")</f>
        <v/>
      </c>
      <c r="L245" s="8" t="str">
        <f>IFERROR(INDEX(样本到样信息汇总统计!L$2:L$500,MATCH(244,样本到样信息汇总统计!$Y$2:$Y$500,0)),"")</f>
        <v/>
      </c>
      <c r="M245" s="8" t="str">
        <f>IFERROR(INDEX(样本到样信息汇总统计!M$2:M$500,MATCH(244,样本到样信息汇总统计!$Y$2:$Y$500,0)),"")</f>
        <v/>
      </c>
      <c r="N245" s="8" t="str">
        <f>IFERROR(INDEX(样本到样信息汇总统计!N$2:N$500,MATCH(244,样本到样信息汇总统计!$Y$2:$Y$500,0)),"")</f>
        <v/>
      </c>
      <c r="O245" s="8" t="str">
        <f>IFERROR(INDEX(样本到样信息汇总统计!O$2:O$500,MATCH(244,样本到样信息汇总统计!$Y$2:$Y$500,0)),"")</f>
        <v/>
      </c>
      <c r="P245" s="8" t="str">
        <f>IFERROR(INDEX(样本到样信息汇总统计!P$2:P$500,MATCH(244,样本到样信息汇总统计!$Y$2:$Y$500,0)),"")</f>
        <v/>
      </c>
      <c r="Q245" s="8" t="str">
        <f>IFERROR(INDEX(样本到样信息汇总统计!Q$2:Q$500,MATCH(244,样本到样信息汇总统计!$Y$2:$Y$500,0)),"")</f>
        <v/>
      </c>
      <c r="R245" s="8" t="str">
        <f>IFERROR(INDEX(样本到样信息汇总统计!R$2:R$500,MATCH(244,样本到样信息汇总统计!$Y$2:$Y$500,0)),"")</f>
        <v/>
      </c>
      <c r="S245" s="8" t="str">
        <f>IFERROR(INDEX(样本到样信息汇总统计!S$2:S$500,MATCH(244,样本到样信息汇总统计!$Y$2:$Y$500,0)),"")</f>
        <v/>
      </c>
      <c r="T245" s="8" t="str">
        <f>IFERROR(INDEX(样本到样信息汇总统计!T$2:T$500,MATCH(244,样本到样信息汇总统计!$Y$2:$Y$500,0)),"")</f>
        <v/>
      </c>
      <c r="U245" s="8" t="str">
        <f>IFERROR(INDEX(样本到样信息汇总统计!U$2:U$500,MATCH(244,样本到样信息汇总统计!$Y$2:$Y$500,0)),"")</f>
        <v/>
      </c>
      <c r="V245" s="8" t="str">
        <f>IFERROR(INDEX(样本到样信息汇总统计!V$2:V$500,MATCH(244,样本到样信息汇总统计!$Y$2:$Y$500,0)),"")</f>
        <v/>
      </c>
      <c r="W245" s="8" t="str">
        <f>IFERROR(INDEX(样本到样信息汇总统计!W$2:W$500,MATCH(244,样本到样信息汇总统计!$Y$2:$Y$500,0)),"")</f>
        <v/>
      </c>
    </row>
    <row r="246" ht="14.5" spans="1:23">
      <c r="A246" s="4" t="str">
        <f>IFERROR(INDEX(样本到样信息汇总统计!A$2:A$500,MATCH(245,样本到样信息汇总统计!$Y$2:$Y$500,0)),"")</f>
        <v/>
      </c>
      <c r="B246" s="4" t="str">
        <f>IFERROR(INDEX(样本到样信息汇总统计!B$2:B$500,MATCH(245,样本到样信息汇总统计!$Y$2:$Y$500,0)),"")</f>
        <v/>
      </c>
      <c r="C246" s="4" t="str">
        <f>IFERROR(INDEX(样本到样信息汇总统计!C$2:C$500,MATCH(245,样本到样信息汇总统计!$Y$2:$Y$500,0)),"")</f>
        <v/>
      </c>
      <c r="D246" s="4" t="str">
        <f>IFERROR(INDEX(样本到样信息汇总统计!D$2:D$500,MATCH(245,样本到样信息汇总统计!$Y$2:$Y$500,0)),"")</f>
        <v/>
      </c>
      <c r="E246" s="4" t="str">
        <f>IFERROR(INDEX(样本到样信息汇总统计!E$2:E$500,MATCH(245,样本到样信息汇总统计!$Y$2:$Y$500,0)),"")</f>
        <v/>
      </c>
      <c r="F246" s="4" t="str">
        <f>IFERROR(INDEX(样本到样信息汇总统计!F$2:F$500,MATCH(245,样本到样信息汇总统计!$Y$2:$Y$500,0)),"")</f>
        <v/>
      </c>
      <c r="G246" s="4" t="str">
        <f>IFERROR(INDEX(样本到样信息汇总统计!G$2:G$500,MATCH(245,样本到样信息汇总统计!$Y$2:$Y$500,0)),"")</f>
        <v/>
      </c>
      <c r="H246" s="4" t="str">
        <f>IFERROR(INDEX(样本到样信息汇总统计!H$2:H$500,MATCH(245,样本到样信息汇总统计!$Y$2:$Y$500,0)),"")</f>
        <v/>
      </c>
      <c r="I246" s="4" t="str">
        <f>IFERROR(INDEX(样本到样信息汇总统计!I$2:I$500,MATCH(245,样本到样信息汇总统计!$Y$2:$Y$500,0)),"")</f>
        <v/>
      </c>
      <c r="J246" s="4" t="str">
        <f>IFERROR(INDEX(样本到样信息汇总统计!J$2:J$500,MATCH(245,样本到样信息汇总统计!$Y$2:$Y$500,0)),"")</f>
        <v/>
      </c>
      <c r="K246" s="4" t="str">
        <f>IFERROR(INDEX(样本到样信息汇总统计!K$2:K$500,MATCH(245,样本到样信息汇总统计!$Y$2:$Y$500,0)),"")</f>
        <v/>
      </c>
      <c r="L246" s="4" t="str">
        <f>IFERROR(INDEX(样本到样信息汇总统计!L$2:L$500,MATCH(245,样本到样信息汇总统计!$Y$2:$Y$500,0)),"")</f>
        <v/>
      </c>
      <c r="M246" s="4" t="str">
        <f>IFERROR(INDEX(样本到样信息汇总统计!M$2:M$500,MATCH(245,样本到样信息汇总统计!$Y$2:$Y$500,0)),"")</f>
        <v/>
      </c>
      <c r="N246" s="4" t="str">
        <f>IFERROR(INDEX(样本到样信息汇总统计!N$2:N$500,MATCH(245,样本到样信息汇总统计!$Y$2:$Y$500,0)),"")</f>
        <v/>
      </c>
      <c r="O246" s="4" t="str">
        <f>IFERROR(INDEX(样本到样信息汇总统计!O$2:O$500,MATCH(245,样本到样信息汇总统计!$Y$2:$Y$500,0)),"")</f>
        <v/>
      </c>
      <c r="P246" s="4" t="str">
        <f>IFERROR(INDEX(样本到样信息汇总统计!P$2:P$500,MATCH(245,样本到样信息汇总统计!$Y$2:$Y$500,0)),"")</f>
        <v/>
      </c>
      <c r="Q246" s="4" t="str">
        <f>IFERROR(INDEX(样本到样信息汇总统计!Q$2:Q$500,MATCH(245,样本到样信息汇总统计!$Y$2:$Y$500,0)),"")</f>
        <v/>
      </c>
      <c r="R246" s="4" t="str">
        <f>IFERROR(INDEX(样本到样信息汇总统计!R$2:R$500,MATCH(245,样本到样信息汇总统计!$Y$2:$Y$500,0)),"")</f>
        <v/>
      </c>
      <c r="S246" s="4" t="str">
        <f>IFERROR(INDEX(样本到样信息汇总统计!S$2:S$500,MATCH(245,样本到样信息汇总统计!$Y$2:$Y$500,0)),"")</f>
        <v/>
      </c>
      <c r="T246" s="4" t="str">
        <f>IFERROR(INDEX(样本到样信息汇总统计!T$2:T$500,MATCH(245,样本到样信息汇总统计!$Y$2:$Y$500,0)),"")</f>
        <v/>
      </c>
      <c r="U246" s="4" t="str">
        <f>IFERROR(INDEX(样本到样信息汇总统计!U$2:U$500,MATCH(245,样本到样信息汇总统计!$Y$2:$Y$500,0)),"")</f>
        <v/>
      </c>
      <c r="V246" s="4" t="str">
        <f>IFERROR(INDEX(样本到样信息汇总统计!V$2:V$500,MATCH(245,样本到样信息汇总统计!$Y$2:$Y$500,0)),"")</f>
        <v/>
      </c>
      <c r="W246" s="4" t="str">
        <f>IFERROR(INDEX(样本到样信息汇总统计!W$2:W$500,MATCH(245,样本到样信息汇总统计!$Y$2:$Y$500,0)),"")</f>
        <v/>
      </c>
    </row>
    <row r="247" ht="14.5" spans="1:23">
      <c r="A247" s="8" t="str">
        <f>IFERROR(INDEX(样本到样信息汇总统计!A$2:A$500,MATCH(246,样本到样信息汇总统计!$Y$2:$Y$500,0)),"")</f>
        <v/>
      </c>
      <c r="B247" s="8" t="str">
        <f>IFERROR(INDEX(样本到样信息汇总统计!B$2:B$500,MATCH(246,样本到样信息汇总统计!$Y$2:$Y$500,0)),"")</f>
        <v/>
      </c>
      <c r="C247" s="8" t="str">
        <f>IFERROR(INDEX(样本到样信息汇总统计!C$2:C$500,MATCH(246,样本到样信息汇总统计!$Y$2:$Y$500,0)),"")</f>
        <v/>
      </c>
      <c r="D247" s="8" t="str">
        <f>IFERROR(INDEX(样本到样信息汇总统计!D$2:D$500,MATCH(246,样本到样信息汇总统计!$Y$2:$Y$500,0)),"")</f>
        <v/>
      </c>
      <c r="E247" s="8" t="str">
        <f>IFERROR(INDEX(样本到样信息汇总统计!E$2:E$500,MATCH(246,样本到样信息汇总统计!$Y$2:$Y$500,0)),"")</f>
        <v/>
      </c>
      <c r="F247" s="8" t="str">
        <f>IFERROR(INDEX(样本到样信息汇总统计!F$2:F$500,MATCH(246,样本到样信息汇总统计!$Y$2:$Y$500,0)),"")</f>
        <v/>
      </c>
      <c r="G247" s="8" t="str">
        <f>IFERROR(INDEX(样本到样信息汇总统计!G$2:G$500,MATCH(246,样本到样信息汇总统计!$Y$2:$Y$500,0)),"")</f>
        <v/>
      </c>
      <c r="H247" s="8" t="str">
        <f>IFERROR(INDEX(样本到样信息汇总统计!H$2:H$500,MATCH(246,样本到样信息汇总统计!$Y$2:$Y$500,0)),"")</f>
        <v/>
      </c>
      <c r="I247" s="8" t="str">
        <f>IFERROR(INDEX(样本到样信息汇总统计!I$2:I$500,MATCH(246,样本到样信息汇总统计!$Y$2:$Y$500,0)),"")</f>
        <v/>
      </c>
      <c r="J247" s="8" t="str">
        <f>IFERROR(INDEX(样本到样信息汇总统计!J$2:J$500,MATCH(246,样本到样信息汇总统计!$Y$2:$Y$500,0)),"")</f>
        <v/>
      </c>
      <c r="K247" s="8" t="str">
        <f>IFERROR(INDEX(样本到样信息汇总统计!K$2:K$500,MATCH(246,样本到样信息汇总统计!$Y$2:$Y$500,0)),"")</f>
        <v/>
      </c>
      <c r="L247" s="8" t="str">
        <f>IFERROR(INDEX(样本到样信息汇总统计!L$2:L$500,MATCH(246,样本到样信息汇总统计!$Y$2:$Y$500,0)),"")</f>
        <v/>
      </c>
      <c r="M247" s="8" t="str">
        <f>IFERROR(INDEX(样本到样信息汇总统计!M$2:M$500,MATCH(246,样本到样信息汇总统计!$Y$2:$Y$500,0)),"")</f>
        <v/>
      </c>
      <c r="N247" s="8" t="str">
        <f>IFERROR(INDEX(样本到样信息汇总统计!N$2:N$500,MATCH(246,样本到样信息汇总统计!$Y$2:$Y$500,0)),"")</f>
        <v/>
      </c>
      <c r="O247" s="8" t="str">
        <f>IFERROR(INDEX(样本到样信息汇总统计!O$2:O$500,MATCH(246,样本到样信息汇总统计!$Y$2:$Y$500,0)),"")</f>
        <v/>
      </c>
      <c r="P247" s="8" t="str">
        <f>IFERROR(INDEX(样本到样信息汇总统计!P$2:P$500,MATCH(246,样本到样信息汇总统计!$Y$2:$Y$500,0)),"")</f>
        <v/>
      </c>
      <c r="Q247" s="8" t="str">
        <f>IFERROR(INDEX(样本到样信息汇总统计!Q$2:Q$500,MATCH(246,样本到样信息汇总统计!$Y$2:$Y$500,0)),"")</f>
        <v/>
      </c>
      <c r="R247" s="8" t="str">
        <f>IFERROR(INDEX(样本到样信息汇总统计!R$2:R$500,MATCH(246,样本到样信息汇总统计!$Y$2:$Y$500,0)),"")</f>
        <v/>
      </c>
      <c r="S247" s="8" t="str">
        <f>IFERROR(INDEX(样本到样信息汇总统计!S$2:S$500,MATCH(246,样本到样信息汇总统计!$Y$2:$Y$500,0)),"")</f>
        <v/>
      </c>
      <c r="T247" s="8" t="str">
        <f>IFERROR(INDEX(样本到样信息汇总统计!T$2:T$500,MATCH(246,样本到样信息汇总统计!$Y$2:$Y$500,0)),"")</f>
        <v/>
      </c>
      <c r="U247" s="8" t="str">
        <f>IFERROR(INDEX(样本到样信息汇总统计!U$2:U$500,MATCH(246,样本到样信息汇总统计!$Y$2:$Y$500,0)),"")</f>
        <v/>
      </c>
      <c r="V247" s="8" t="str">
        <f>IFERROR(INDEX(样本到样信息汇总统计!V$2:V$500,MATCH(246,样本到样信息汇总统计!$Y$2:$Y$500,0)),"")</f>
        <v/>
      </c>
      <c r="W247" s="8" t="str">
        <f>IFERROR(INDEX(样本到样信息汇总统计!W$2:W$500,MATCH(246,样本到样信息汇总统计!$Y$2:$Y$500,0)),"")</f>
        <v/>
      </c>
    </row>
    <row r="248" ht="14.5" spans="1:23">
      <c r="A248" s="4" t="str">
        <f>IFERROR(INDEX(样本到样信息汇总统计!A$2:A$500,MATCH(247,样本到样信息汇总统计!$Y$2:$Y$500,0)),"")</f>
        <v/>
      </c>
      <c r="B248" s="4" t="str">
        <f>IFERROR(INDEX(样本到样信息汇总统计!B$2:B$500,MATCH(247,样本到样信息汇总统计!$Y$2:$Y$500,0)),"")</f>
        <v/>
      </c>
      <c r="C248" s="4" t="str">
        <f>IFERROR(INDEX(样本到样信息汇总统计!C$2:C$500,MATCH(247,样本到样信息汇总统计!$Y$2:$Y$500,0)),"")</f>
        <v/>
      </c>
      <c r="D248" s="4" t="str">
        <f>IFERROR(INDEX(样本到样信息汇总统计!D$2:D$500,MATCH(247,样本到样信息汇总统计!$Y$2:$Y$500,0)),"")</f>
        <v/>
      </c>
      <c r="E248" s="4" t="str">
        <f>IFERROR(INDEX(样本到样信息汇总统计!E$2:E$500,MATCH(247,样本到样信息汇总统计!$Y$2:$Y$500,0)),"")</f>
        <v/>
      </c>
      <c r="F248" s="4" t="str">
        <f>IFERROR(INDEX(样本到样信息汇总统计!F$2:F$500,MATCH(247,样本到样信息汇总统计!$Y$2:$Y$500,0)),"")</f>
        <v/>
      </c>
      <c r="G248" s="4" t="str">
        <f>IFERROR(INDEX(样本到样信息汇总统计!G$2:G$500,MATCH(247,样本到样信息汇总统计!$Y$2:$Y$500,0)),"")</f>
        <v/>
      </c>
      <c r="H248" s="4" t="str">
        <f>IFERROR(INDEX(样本到样信息汇总统计!H$2:H$500,MATCH(247,样本到样信息汇总统计!$Y$2:$Y$500,0)),"")</f>
        <v/>
      </c>
      <c r="I248" s="4" t="str">
        <f>IFERROR(INDEX(样本到样信息汇总统计!I$2:I$500,MATCH(247,样本到样信息汇总统计!$Y$2:$Y$500,0)),"")</f>
        <v/>
      </c>
      <c r="J248" s="4" t="str">
        <f>IFERROR(INDEX(样本到样信息汇总统计!J$2:J$500,MATCH(247,样本到样信息汇总统计!$Y$2:$Y$500,0)),"")</f>
        <v/>
      </c>
      <c r="K248" s="4" t="str">
        <f>IFERROR(INDEX(样本到样信息汇总统计!K$2:K$500,MATCH(247,样本到样信息汇总统计!$Y$2:$Y$500,0)),"")</f>
        <v/>
      </c>
      <c r="L248" s="4" t="str">
        <f>IFERROR(INDEX(样本到样信息汇总统计!L$2:L$500,MATCH(247,样本到样信息汇总统计!$Y$2:$Y$500,0)),"")</f>
        <v/>
      </c>
      <c r="M248" s="4" t="str">
        <f>IFERROR(INDEX(样本到样信息汇总统计!M$2:M$500,MATCH(247,样本到样信息汇总统计!$Y$2:$Y$500,0)),"")</f>
        <v/>
      </c>
      <c r="N248" s="4" t="str">
        <f>IFERROR(INDEX(样本到样信息汇总统计!N$2:N$500,MATCH(247,样本到样信息汇总统计!$Y$2:$Y$500,0)),"")</f>
        <v/>
      </c>
      <c r="O248" s="4" t="str">
        <f>IFERROR(INDEX(样本到样信息汇总统计!O$2:O$500,MATCH(247,样本到样信息汇总统计!$Y$2:$Y$500,0)),"")</f>
        <v/>
      </c>
      <c r="P248" s="4" t="str">
        <f>IFERROR(INDEX(样本到样信息汇总统计!P$2:P$500,MATCH(247,样本到样信息汇总统计!$Y$2:$Y$500,0)),"")</f>
        <v/>
      </c>
      <c r="Q248" s="4" t="str">
        <f>IFERROR(INDEX(样本到样信息汇总统计!Q$2:Q$500,MATCH(247,样本到样信息汇总统计!$Y$2:$Y$500,0)),"")</f>
        <v/>
      </c>
      <c r="R248" s="4" t="str">
        <f>IFERROR(INDEX(样本到样信息汇总统计!R$2:R$500,MATCH(247,样本到样信息汇总统计!$Y$2:$Y$500,0)),"")</f>
        <v/>
      </c>
      <c r="S248" s="4" t="str">
        <f>IFERROR(INDEX(样本到样信息汇总统计!S$2:S$500,MATCH(247,样本到样信息汇总统计!$Y$2:$Y$500,0)),"")</f>
        <v/>
      </c>
      <c r="T248" s="4" t="str">
        <f>IFERROR(INDEX(样本到样信息汇总统计!T$2:T$500,MATCH(247,样本到样信息汇总统计!$Y$2:$Y$500,0)),"")</f>
        <v/>
      </c>
      <c r="U248" s="4" t="str">
        <f>IFERROR(INDEX(样本到样信息汇总统计!U$2:U$500,MATCH(247,样本到样信息汇总统计!$Y$2:$Y$500,0)),"")</f>
        <v/>
      </c>
      <c r="V248" s="4" t="str">
        <f>IFERROR(INDEX(样本到样信息汇总统计!V$2:V$500,MATCH(247,样本到样信息汇总统计!$Y$2:$Y$500,0)),"")</f>
        <v/>
      </c>
      <c r="W248" s="4" t="str">
        <f>IFERROR(INDEX(样本到样信息汇总统计!W$2:W$500,MATCH(247,样本到样信息汇总统计!$Y$2:$Y$500,0)),"")</f>
        <v/>
      </c>
    </row>
    <row r="249" ht="14.5" spans="1:23">
      <c r="A249" s="8" t="str">
        <f>IFERROR(INDEX(样本到样信息汇总统计!A$2:A$500,MATCH(248,样本到样信息汇总统计!$Y$2:$Y$500,0)),"")</f>
        <v/>
      </c>
      <c r="B249" s="8" t="str">
        <f>IFERROR(INDEX(样本到样信息汇总统计!B$2:B$500,MATCH(248,样本到样信息汇总统计!$Y$2:$Y$500,0)),"")</f>
        <v/>
      </c>
      <c r="C249" s="8" t="str">
        <f>IFERROR(INDEX(样本到样信息汇总统计!C$2:C$500,MATCH(248,样本到样信息汇总统计!$Y$2:$Y$500,0)),"")</f>
        <v/>
      </c>
      <c r="D249" s="8" t="str">
        <f>IFERROR(INDEX(样本到样信息汇总统计!D$2:D$500,MATCH(248,样本到样信息汇总统计!$Y$2:$Y$500,0)),"")</f>
        <v/>
      </c>
      <c r="E249" s="8" t="str">
        <f>IFERROR(INDEX(样本到样信息汇总统计!E$2:E$500,MATCH(248,样本到样信息汇总统计!$Y$2:$Y$500,0)),"")</f>
        <v/>
      </c>
      <c r="F249" s="8" t="str">
        <f>IFERROR(INDEX(样本到样信息汇总统计!F$2:F$500,MATCH(248,样本到样信息汇总统计!$Y$2:$Y$500,0)),"")</f>
        <v/>
      </c>
      <c r="G249" s="8" t="str">
        <f>IFERROR(INDEX(样本到样信息汇总统计!G$2:G$500,MATCH(248,样本到样信息汇总统计!$Y$2:$Y$500,0)),"")</f>
        <v/>
      </c>
      <c r="H249" s="8" t="str">
        <f>IFERROR(INDEX(样本到样信息汇总统计!H$2:H$500,MATCH(248,样本到样信息汇总统计!$Y$2:$Y$500,0)),"")</f>
        <v/>
      </c>
      <c r="I249" s="8" t="str">
        <f>IFERROR(INDEX(样本到样信息汇总统计!I$2:I$500,MATCH(248,样本到样信息汇总统计!$Y$2:$Y$500,0)),"")</f>
        <v/>
      </c>
      <c r="J249" s="8" t="str">
        <f>IFERROR(INDEX(样本到样信息汇总统计!J$2:J$500,MATCH(248,样本到样信息汇总统计!$Y$2:$Y$500,0)),"")</f>
        <v/>
      </c>
      <c r="K249" s="8" t="str">
        <f>IFERROR(INDEX(样本到样信息汇总统计!K$2:K$500,MATCH(248,样本到样信息汇总统计!$Y$2:$Y$500,0)),"")</f>
        <v/>
      </c>
      <c r="L249" s="8" t="str">
        <f>IFERROR(INDEX(样本到样信息汇总统计!L$2:L$500,MATCH(248,样本到样信息汇总统计!$Y$2:$Y$500,0)),"")</f>
        <v/>
      </c>
      <c r="M249" s="8" t="str">
        <f>IFERROR(INDEX(样本到样信息汇总统计!M$2:M$500,MATCH(248,样本到样信息汇总统计!$Y$2:$Y$500,0)),"")</f>
        <v/>
      </c>
      <c r="N249" s="8" t="str">
        <f>IFERROR(INDEX(样本到样信息汇总统计!N$2:N$500,MATCH(248,样本到样信息汇总统计!$Y$2:$Y$500,0)),"")</f>
        <v/>
      </c>
      <c r="O249" s="8" t="str">
        <f>IFERROR(INDEX(样本到样信息汇总统计!O$2:O$500,MATCH(248,样本到样信息汇总统计!$Y$2:$Y$500,0)),"")</f>
        <v/>
      </c>
      <c r="P249" s="8" t="str">
        <f>IFERROR(INDEX(样本到样信息汇总统计!P$2:P$500,MATCH(248,样本到样信息汇总统计!$Y$2:$Y$500,0)),"")</f>
        <v/>
      </c>
      <c r="Q249" s="8" t="str">
        <f>IFERROR(INDEX(样本到样信息汇总统计!Q$2:Q$500,MATCH(248,样本到样信息汇总统计!$Y$2:$Y$500,0)),"")</f>
        <v/>
      </c>
      <c r="R249" s="8" t="str">
        <f>IFERROR(INDEX(样本到样信息汇总统计!R$2:R$500,MATCH(248,样本到样信息汇总统计!$Y$2:$Y$500,0)),"")</f>
        <v/>
      </c>
      <c r="S249" s="8" t="str">
        <f>IFERROR(INDEX(样本到样信息汇总统计!S$2:S$500,MATCH(248,样本到样信息汇总统计!$Y$2:$Y$500,0)),"")</f>
        <v/>
      </c>
      <c r="T249" s="8" t="str">
        <f>IFERROR(INDEX(样本到样信息汇总统计!T$2:T$500,MATCH(248,样本到样信息汇总统计!$Y$2:$Y$500,0)),"")</f>
        <v/>
      </c>
      <c r="U249" s="8" t="str">
        <f>IFERROR(INDEX(样本到样信息汇总统计!U$2:U$500,MATCH(248,样本到样信息汇总统计!$Y$2:$Y$500,0)),"")</f>
        <v/>
      </c>
      <c r="V249" s="8" t="str">
        <f>IFERROR(INDEX(样本到样信息汇总统计!V$2:V$500,MATCH(248,样本到样信息汇总统计!$Y$2:$Y$500,0)),"")</f>
        <v/>
      </c>
      <c r="W249" s="8" t="str">
        <f>IFERROR(INDEX(样本到样信息汇总统计!W$2:W$500,MATCH(248,样本到样信息汇总统计!$Y$2:$Y$500,0)),"")</f>
        <v/>
      </c>
    </row>
    <row r="250" ht="14.5" spans="1:23">
      <c r="A250" s="4" t="str">
        <f>IFERROR(INDEX(样本到样信息汇总统计!A$2:A$500,MATCH(249,样本到样信息汇总统计!$Y$2:$Y$500,0)),"")</f>
        <v/>
      </c>
      <c r="B250" s="4" t="str">
        <f>IFERROR(INDEX(样本到样信息汇总统计!B$2:B$500,MATCH(249,样本到样信息汇总统计!$Y$2:$Y$500,0)),"")</f>
        <v/>
      </c>
      <c r="C250" s="4" t="str">
        <f>IFERROR(INDEX(样本到样信息汇总统计!C$2:C$500,MATCH(249,样本到样信息汇总统计!$Y$2:$Y$500,0)),"")</f>
        <v/>
      </c>
      <c r="D250" s="4" t="str">
        <f>IFERROR(INDEX(样本到样信息汇总统计!D$2:D$500,MATCH(249,样本到样信息汇总统计!$Y$2:$Y$500,0)),"")</f>
        <v/>
      </c>
      <c r="E250" s="4" t="str">
        <f>IFERROR(INDEX(样本到样信息汇总统计!E$2:E$500,MATCH(249,样本到样信息汇总统计!$Y$2:$Y$500,0)),"")</f>
        <v/>
      </c>
      <c r="F250" s="4" t="str">
        <f>IFERROR(INDEX(样本到样信息汇总统计!F$2:F$500,MATCH(249,样本到样信息汇总统计!$Y$2:$Y$500,0)),"")</f>
        <v/>
      </c>
      <c r="G250" s="4" t="str">
        <f>IFERROR(INDEX(样本到样信息汇总统计!G$2:G$500,MATCH(249,样本到样信息汇总统计!$Y$2:$Y$500,0)),"")</f>
        <v/>
      </c>
      <c r="H250" s="4" t="str">
        <f>IFERROR(INDEX(样本到样信息汇总统计!H$2:H$500,MATCH(249,样本到样信息汇总统计!$Y$2:$Y$500,0)),"")</f>
        <v/>
      </c>
      <c r="I250" s="4" t="str">
        <f>IFERROR(INDEX(样本到样信息汇总统计!I$2:I$500,MATCH(249,样本到样信息汇总统计!$Y$2:$Y$500,0)),"")</f>
        <v/>
      </c>
      <c r="J250" s="4" t="str">
        <f>IFERROR(INDEX(样本到样信息汇总统计!J$2:J$500,MATCH(249,样本到样信息汇总统计!$Y$2:$Y$500,0)),"")</f>
        <v/>
      </c>
      <c r="K250" s="4" t="str">
        <f>IFERROR(INDEX(样本到样信息汇总统计!K$2:K$500,MATCH(249,样本到样信息汇总统计!$Y$2:$Y$500,0)),"")</f>
        <v/>
      </c>
      <c r="L250" s="4" t="str">
        <f>IFERROR(INDEX(样本到样信息汇总统计!L$2:L$500,MATCH(249,样本到样信息汇总统计!$Y$2:$Y$500,0)),"")</f>
        <v/>
      </c>
      <c r="M250" s="4" t="str">
        <f>IFERROR(INDEX(样本到样信息汇总统计!M$2:M$500,MATCH(249,样本到样信息汇总统计!$Y$2:$Y$500,0)),"")</f>
        <v/>
      </c>
      <c r="N250" s="4" t="str">
        <f>IFERROR(INDEX(样本到样信息汇总统计!N$2:N$500,MATCH(249,样本到样信息汇总统计!$Y$2:$Y$500,0)),"")</f>
        <v/>
      </c>
      <c r="O250" s="4" t="str">
        <f>IFERROR(INDEX(样本到样信息汇总统计!O$2:O$500,MATCH(249,样本到样信息汇总统计!$Y$2:$Y$500,0)),"")</f>
        <v/>
      </c>
      <c r="P250" s="4" t="str">
        <f>IFERROR(INDEX(样本到样信息汇总统计!P$2:P$500,MATCH(249,样本到样信息汇总统计!$Y$2:$Y$500,0)),"")</f>
        <v/>
      </c>
      <c r="Q250" s="4" t="str">
        <f>IFERROR(INDEX(样本到样信息汇总统计!Q$2:Q$500,MATCH(249,样本到样信息汇总统计!$Y$2:$Y$500,0)),"")</f>
        <v/>
      </c>
      <c r="R250" s="4" t="str">
        <f>IFERROR(INDEX(样本到样信息汇总统计!R$2:R$500,MATCH(249,样本到样信息汇总统计!$Y$2:$Y$500,0)),"")</f>
        <v/>
      </c>
      <c r="S250" s="4" t="str">
        <f>IFERROR(INDEX(样本到样信息汇总统计!S$2:S$500,MATCH(249,样本到样信息汇总统计!$Y$2:$Y$500,0)),"")</f>
        <v/>
      </c>
      <c r="T250" s="4" t="str">
        <f>IFERROR(INDEX(样本到样信息汇总统计!T$2:T$500,MATCH(249,样本到样信息汇总统计!$Y$2:$Y$500,0)),"")</f>
        <v/>
      </c>
      <c r="U250" s="4" t="str">
        <f>IFERROR(INDEX(样本到样信息汇总统计!U$2:U$500,MATCH(249,样本到样信息汇总统计!$Y$2:$Y$500,0)),"")</f>
        <v/>
      </c>
      <c r="V250" s="4" t="str">
        <f>IFERROR(INDEX(样本到样信息汇总统计!V$2:V$500,MATCH(249,样本到样信息汇总统计!$Y$2:$Y$500,0)),"")</f>
        <v/>
      </c>
      <c r="W250" s="4" t="str">
        <f>IFERROR(INDEX(样本到样信息汇总统计!W$2:W$500,MATCH(249,样本到样信息汇总统计!$Y$2:$Y$500,0)),"")</f>
        <v/>
      </c>
    </row>
    <row r="251" ht="14.5" spans="1:23">
      <c r="A251" s="8" t="str">
        <f>IFERROR(INDEX(样本到样信息汇总统计!A$2:A$500,MATCH(250,样本到样信息汇总统计!$Y$2:$Y$500,0)),"")</f>
        <v/>
      </c>
      <c r="B251" s="8" t="str">
        <f>IFERROR(INDEX(样本到样信息汇总统计!B$2:B$500,MATCH(250,样本到样信息汇总统计!$Y$2:$Y$500,0)),"")</f>
        <v/>
      </c>
      <c r="C251" s="8" t="str">
        <f>IFERROR(INDEX(样本到样信息汇总统计!C$2:C$500,MATCH(250,样本到样信息汇总统计!$Y$2:$Y$500,0)),"")</f>
        <v/>
      </c>
      <c r="D251" s="8" t="str">
        <f>IFERROR(INDEX(样本到样信息汇总统计!D$2:D$500,MATCH(250,样本到样信息汇总统计!$Y$2:$Y$500,0)),"")</f>
        <v/>
      </c>
      <c r="E251" s="8" t="str">
        <f>IFERROR(INDEX(样本到样信息汇总统计!E$2:E$500,MATCH(250,样本到样信息汇总统计!$Y$2:$Y$500,0)),"")</f>
        <v/>
      </c>
      <c r="F251" s="8" t="str">
        <f>IFERROR(INDEX(样本到样信息汇总统计!F$2:F$500,MATCH(250,样本到样信息汇总统计!$Y$2:$Y$500,0)),"")</f>
        <v/>
      </c>
      <c r="G251" s="8" t="str">
        <f>IFERROR(INDEX(样本到样信息汇总统计!G$2:G$500,MATCH(250,样本到样信息汇总统计!$Y$2:$Y$500,0)),"")</f>
        <v/>
      </c>
      <c r="H251" s="8" t="str">
        <f>IFERROR(INDEX(样本到样信息汇总统计!H$2:H$500,MATCH(250,样本到样信息汇总统计!$Y$2:$Y$500,0)),"")</f>
        <v/>
      </c>
      <c r="I251" s="8" t="str">
        <f>IFERROR(INDEX(样本到样信息汇总统计!I$2:I$500,MATCH(250,样本到样信息汇总统计!$Y$2:$Y$500,0)),"")</f>
        <v/>
      </c>
      <c r="J251" s="8" t="str">
        <f>IFERROR(INDEX(样本到样信息汇总统计!J$2:J$500,MATCH(250,样本到样信息汇总统计!$Y$2:$Y$500,0)),"")</f>
        <v/>
      </c>
      <c r="K251" s="8" t="str">
        <f>IFERROR(INDEX(样本到样信息汇总统计!K$2:K$500,MATCH(250,样本到样信息汇总统计!$Y$2:$Y$500,0)),"")</f>
        <v/>
      </c>
      <c r="L251" s="8" t="str">
        <f>IFERROR(INDEX(样本到样信息汇总统计!L$2:L$500,MATCH(250,样本到样信息汇总统计!$Y$2:$Y$500,0)),"")</f>
        <v/>
      </c>
      <c r="M251" s="8" t="str">
        <f>IFERROR(INDEX(样本到样信息汇总统计!M$2:M$500,MATCH(250,样本到样信息汇总统计!$Y$2:$Y$500,0)),"")</f>
        <v/>
      </c>
      <c r="N251" s="8" t="str">
        <f>IFERROR(INDEX(样本到样信息汇总统计!N$2:N$500,MATCH(250,样本到样信息汇总统计!$Y$2:$Y$500,0)),"")</f>
        <v/>
      </c>
      <c r="O251" s="8" t="str">
        <f>IFERROR(INDEX(样本到样信息汇总统计!O$2:O$500,MATCH(250,样本到样信息汇总统计!$Y$2:$Y$500,0)),"")</f>
        <v/>
      </c>
      <c r="P251" s="8" t="str">
        <f>IFERROR(INDEX(样本到样信息汇总统计!P$2:P$500,MATCH(250,样本到样信息汇总统计!$Y$2:$Y$500,0)),"")</f>
        <v/>
      </c>
      <c r="Q251" s="8" t="str">
        <f>IFERROR(INDEX(样本到样信息汇总统计!Q$2:Q$500,MATCH(250,样本到样信息汇总统计!$Y$2:$Y$500,0)),"")</f>
        <v/>
      </c>
      <c r="R251" s="8" t="str">
        <f>IFERROR(INDEX(样本到样信息汇总统计!R$2:R$500,MATCH(250,样本到样信息汇总统计!$Y$2:$Y$500,0)),"")</f>
        <v/>
      </c>
      <c r="S251" s="8" t="str">
        <f>IFERROR(INDEX(样本到样信息汇总统计!S$2:S$500,MATCH(250,样本到样信息汇总统计!$Y$2:$Y$500,0)),"")</f>
        <v/>
      </c>
      <c r="T251" s="8" t="str">
        <f>IFERROR(INDEX(样本到样信息汇总统计!T$2:T$500,MATCH(250,样本到样信息汇总统计!$Y$2:$Y$500,0)),"")</f>
        <v/>
      </c>
      <c r="U251" s="8" t="str">
        <f>IFERROR(INDEX(样本到样信息汇总统计!U$2:U$500,MATCH(250,样本到样信息汇总统计!$Y$2:$Y$500,0)),"")</f>
        <v/>
      </c>
      <c r="V251" s="8" t="str">
        <f>IFERROR(INDEX(样本到样信息汇总统计!V$2:V$500,MATCH(250,样本到样信息汇总统计!$Y$2:$Y$500,0)),"")</f>
        <v/>
      </c>
      <c r="W251" s="8" t="str">
        <f>IFERROR(INDEX(样本到样信息汇总统计!W$2:W$500,MATCH(250,样本到样信息汇总统计!$Y$2:$Y$500,0)),"")</f>
        <v/>
      </c>
    </row>
    <row r="252" ht="14.5" spans="1:23">
      <c r="A252" s="4" t="str">
        <f>IFERROR(INDEX(样本到样信息汇总统计!A$2:A$500,MATCH(251,样本到样信息汇总统计!$Y$2:$Y$500,0)),"")</f>
        <v/>
      </c>
      <c r="B252" s="4" t="str">
        <f>IFERROR(INDEX(样本到样信息汇总统计!B$2:B$500,MATCH(251,样本到样信息汇总统计!$Y$2:$Y$500,0)),"")</f>
        <v/>
      </c>
      <c r="C252" s="4" t="str">
        <f>IFERROR(INDEX(样本到样信息汇总统计!C$2:C$500,MATCH(251,样本到样信息汇总统计!$Y$2:$Y$500,0)),"")</f>
        <v/>
      </c>
      <c r="D252" s="4" t="str">
        <f>IFERROR(INDEX(样本到样信息汇总统计!D$2:D$500,MATCH(251,样本到样信息汇总统计!$Y$2:$Y$500,0)),"")</f>
        <v/>
      </c>
      <c r="E252" s="4" t="str">
        <f>IFERROR(INDEX(样本到样信息汇总统计!E$2:E$500,MATCH(251,样本到样信息汇总统计!$Y$2:$Y$500,0)),"")</f>
        <v/>
      </c>
      <c r="F252" s="4" t="str">
        <f>IFERROR(INDEX(样本到样信息汇总统计!F$2:F$500,MATCH(251,样本到样信息汇总统计!$Y$2:$Y$500,0)),"")</f>
        <v/>
      </c>
      <c r="G252" s="4" t="str">
        <f>IFERROR(INDEX(样本到样信息汇总统计!G$2:G$500,MATCH(251,样本到样信息汇总统计!$Y$2:$Y$500,0)),"")</f>
        <v/>
      </c>
      <c r="H252" s="4" t="str">
        <f>IFERROR(INDEX(样本到样信息汇总统计!H$2:H$500,MATCH(251,样本到样信息汇总统计!$Y$2:$Y$500,0)),"")</f>
        <v/>
      </c>
      <c r="I252" s="4" t="str">
        <f>IFERROR(INDEX(样本到样信息汇总统计!I$2:I$500,MATCH(251,样本到样信息汇总统计!$Y$2:$Y$500,0)),"")</f>
        <v/>
      </c>
      <c r="J252" s="4" t="str">
        <f>IFERROR(INDEX(样本到样信息汇总统计!J$2:J$500,MATCH(251,样本到样信息汇总统计!$Y$2:$Y$500,0)),"")</f>
        <v/>
      </c>
      <c r="K252" s="4" t="str">
        <f>IFERROR(INDEX(样本到样信息汇总统计!K$2:K$500,MATCH(251,样本到样信息汇总统计!$Y$2:$Y$500,0)),"")</f>
        <v/>
      </c>
      <c r="L252" s="4" t="str">
        <f>IFERROR(INDEX(样本到样信息汇总统计!L$2:L$500,MATCH(251,样本到样信息汇总统计!$Y$2:$Y$500,0)),"")</f>
        <v/>
      </c>
      <c r="M252" s="4" t="str">
        <f>IFERROR(INDEX(样本到样信息汇总统计!M$2:M$500,MATCH(251,样本到样信息汇总统计!$Y$2:$Y$500,0)),"")</f>
        <v/>
      </c>
      <c r="N252" s="4" t="str">
        <f>IFERROR(INDEX(样本到样信息汇总统计!N$2:N$500,MATCH(251,样本到样信息汇总统计!$Y$2:$Y$500,0)),"")</f>
        <v/>
      </c>
      <c r="O252" s="4" t="str">
        <f>IFERROR(INDEX(样本到样信息汇总统计!O$2:O$500,MATCH(251,样本到样信息汇总统计!$Y$2:$Y$500,0)),"")</f>
        <v/>
      </c>
      <c r="P252" s="4" t="str">
        <f>IFERROR(INDEX(样本到样信息汇总统计!P$2:P$500,MATCH(251,样本到样信息汇总统计!$Y$2:$Y$500,0)),"")</f>
        <v/>
      </c>
      <c r="Q252" s="4" t="str">
        <f>IFERROR(INDEX(样本到样信息汇总统计!Q$2:Q$500,MATCH(251,样本到样信息汇总统计!$Y$2:$Y$500,0)),"")</f>
        <v/>
      </c>
      <c r="R252" s="4" t="str">
        <f>IFERROR(INDEX(样本到样信息汇总统计!R$2:R$500,MATCH(251,样本到样信息汇总统计!$Y$2:$Y$500,0)),"")</f>
        <v/>
      </c>
      <c r="S252" s="4" t="str">
        <f>IFERROR(INDEX(样本到样信息汇总统计!S$2:S$500,MATCH(251,样本到样信息汇总统计!$Y$2:$Y$500,0)),"")</f>
        <v/>
      </c>
      <c r="T252" s="4" t="str">
        <f>IFERROR(INDEX(样本到样信息汇总统计!T$2:T$500,MATCH(251,样本到样信息汇总统计!$Y$2:$Y$500,0)),"")</f>
        <v/>
      </c>
      <c r="U252" s="4" t="str">
        <f>IFERROR(INDEX(样本到样信息汇总统计!U$2:U$500,MATCH(251,样本到样信息汇总统计!$Y$2:$Y$500,0)),"")</f>
        <v/>
      </c>
      <c r="V252" s="4" t="str">
        <f>IFERROR(INDEX(样本到样信息汇总统计!V$2:V$500,MATCH(251,样本到样信息汇总统计!$Y$2:$Y$500,0)),"")</f>
        <v/>
      </c>
      <c r="W252" s="4" t="str">
        <f>IFERROR(INDEX(样本到样信息汇总统计!W$2:W$500,MATCH(251,样本到样信息汇总统计!$Y$2:$Y$500,0)),"")</f>
        <v/>
      </c>
    </row>
    <row r="253" ht="14.5" spans="1:23">
      <c r="A253" s="8" t="str">
        <f>IFERROR(INDEX(样本到样信息汇总统计!A$2:A$500,MATCH(252,样本到样信息汇总统计!$Y$2:$Y$500,0)),"")</f>
        <v/>
      </c>
      <c r="B253" s="8" t="str">
        <f>IFERROR(INDEX(样本到样信息汇总统计!B$2:B$500,MATCH(252,样本到样信息汇总统计!$Y$2:$Y$500,0)),"")</f>
        <v/>
      </c>
      <c r="C253" s="8" t="str">
        <f>IFERROR(INDEX(样本到样信息汇总统计!C$2:C$500,MATCH(252,样本到样信息汇总统计!$Y$2:$Y$500,0)),"")</f>
        <v/>
      </c>
      <c r="D253" s="8" t="str">
        <f>IFERROR(INDEX(样本到样信息汇总统计!D$2:D$500,MATCH(252,样本到样信息汇总统计!$Y$2:$Y$500,0)),"")</f>
        <v/>
      </c>
      <c r="E253" s="8" t="str">
        <f>IFERROR(INDEX(样本到样信息汇总统计!E$2:E$500,MATCH(252,样本到样信息汇总统计!$Y$2:$Y$500,0)),"")</f>
        <v/>
      </c>
      <c r="F253" s="8" t="str">
        <f>IFERROR(INDEX(样本到样信息汇总统计!F$2:F$500,MATCH(252,样本到样信息汇总统计!$Y$2:$Y$500,0)),"")</f>
        <v/>
      </c>
      <c r="G253" s="8" t="str">
        <f>IFERROR(INDEX(样本到样信息汇总统计!G$2:G$500,MATCH(252,样本到样信息汇总统计!$Y$2:$Y$500,0)),"")</f>
        <v/>
      </c>
      <c r="H253" s="8" t="str">
        <f>IFERROR(INDEX(样本到样信息汇总统计!H$2:H$500,MATCH(252,样本到样信息汇总统计!$Y$2:$Y$500,0)),"")</f>
        <v/>
      </c>
      <c r="I253" s="8" t="str">
        <f>IFERROR(INDEX(样本到样信息汇总统计!I$2:I$500,MATCH(252,样本到样信息汇总统计!$Y$2:$Y$500,0)),"")</f>
        <v/>
      </c>
      <c r="J253" s="8" t="str">
        <f>IFERROR(INDEX(样本到样信息汇总统计!J$2:J$500,MATCH(252,样本到样信息汇总统计!$Y$2:$Y$500,0)),"")</f>
        <v/>
      </c>
      <c r="K253" s="8" t="str">
        <f>IFERROR(INDEX(样本到样信息汇总统计!K$2:K$500,MATCH(252,样本到样信息汇总统计!$Y$2:$Y$500,0)),"")</f>
        <v/>
      </c>
      <c r="L253" s="8" t="str">
        <f>IFERROR(INDEX(样本到样信息汇总统计!L$2:L$500,MATCH(252,样本到样信息汇总统计!$Y$2:$Y$500,0)),"")</f>
        <v/>
      </c>
      <c r="M253" s="8" t="str">
        <f>IFERROR(INDEX(样本到样信息汇总统计!M$2:M$500,MATCH(252,样本到样信息汇总统计!$Y$2:$Y$500,0)),"")</f>
        <v/>
      </c>
      <c r="N253" s="8" t="str">
        <f>IFERROR(INDEX(样本到样信息汇总统计!N$2:N$500,MATCH(252,样本到样信息汇总统计!$Y$2:$Y$500,0)),"")</f>
        <v/>
      </c>
      <c r="O253" s="8" t="str">
        <f>IFERROR(INDEX(样本到样信息汇总统计!O$2:O$500,MATCH(252,样本到样信息汇总统计!$Y$2:$Y$500,0)),"")</f>
        <v/>
      </c>
      <c r="P253" s="8" t="str">
        <f>IFERROR(INDEX(样本到样信息汇总统计!P$2:P$500,MATCH(252,样本到样信息汇总统计!$Y$2:$Y$500,0)),"")</f>
        <v/>
      </c>
      <c r="Q253" s="8" t="str">
        <f>IFERROR(INDEX(样本到样信息汇总统计!Q$2:Q$500,MATCH(252,样本到样信息汇总统计!$Y$2:$Y$500,0)),"")</f>
        <v/>
      </c>
      <c r="R253" s="8" t="str">
        <f>IFERROR(INDEX(样本到样信息汇总统计!R$2:R$500,MATCH(252,样本到样信息汇总统计!$Y$2:$Y$500,0)),"")</f>
        <v/>
      </c>
      <c r="S253" s="8" t="str">
        <f>IFERROR(INDEX(样本到样信息汇总统计!S$2:S$500,MATCH(252,样本到样信息汇总统计!$Y$2:$Y$500,0)),"")</f>
        <v/>
      </c>
      <c r="T253" s="8" t="str">
        <f>IFERROR(INDEX(样本到样信息汇总统计!T$2:T$500,MATCH(252,样本到样信息汇总统计!$Y$2:$Y$500,0)),"")</f>
        <v/>
      </c>
      <c r="U253" s="8" t="str">
        <f>IFERROR(INDEX(样本到样信息汇总统计!U$2:U$500,MATCH(252,样本到样信息汇总统计!$Y$2:$Y$500,0)),"")</f>
        <v/>
      </c>
      <c r="V253" s="8" t="str">
        <f>IFERROR(INDEX(样本到样信息汇总统计!V$2:V$500,MATCH(252,样本到样信息汇总统计!$Y$2:$Y$500,0)),"")</f>
        <v/>
      </c>
      <c r="W253" s="8" t="str">
        <f>IFERROR(INDEX(样本到样信息汇总统计!W$2:W$500,MATCH(252,样本到样信息汇总统计!$Y$2:$Y$500,0)),"")</f>
        <v/>
      </c>
    </row>
    <row r="254" ht="14.5" spans="1:23">
      <c r="A254" s="4" t="str">
        <f>IFERROR(INDEX(样本到样信息汇总统计!A$2:A$500,MATCH(253,样本到样信息汇总统计!$Y$2:$Y$500,0)),"")</f>
        <v/>
      </c>
      <c r="B254" s="4" t="str">
        <f>IFERROR(INDEX(样本到样信息汇总统计!B$2:B$500,MATCH(253,样本到样信息汇总统计!$Y$2:$Y$500,0)),"")</f>
        <v/>
      </c>
      <c r="C254" s="4" t="str">
        <f>IFERROR(INDEX(样本到样信息汇总统计!C$2:C$500,MATCH(253,样本到样信息汇总统计!$Y$2:$Y$500,0)),"")</f>
        <v/>
      </c>
      <c r="D254" s="4" t="str">
        <f>IFERROR(INDEX(样本到样信息汇总统计!D$2:D$500,MATCH(253,样本到样信息汇总统计!$Y$2:$Y$500,0)),"")</f>
        <v/>
      </c>
      <c r="E254" s="4" t="str">
        <f>IFERROR(INDEX(样本到样信息汇总统计!E$2:E$500,MATCH(253,样本到样信息汇总统计!$Y$2:$Y$500,0)),"")</f>
        <v/>
      </c>
      <c r="F254" s="4" t="str">
        <f>IFERROR(INDEX(样本到样信息汇总统计!F$2:F$500,MATCH(253,样本到样信息汇总统计!$Y$2:$Y$500,0)),"")</f>
        <v/>
      </c>
      <c r="G254" s="4" t="str">
        <f>IFERROR(INDEX(样本到样信息汇总统计!G$2:G$500,MATCH(253,样本到样信息汇总统计!$Y$2:$Y$500,0)),"")</f>
        <v/>
      </c>
      <c r="H254" s="4" t="str">
        <f>IFERROR(INDEX(样本到样信息汇总统计!H$2:H$500,MATCH(253,样本到样信息汇总统计!$Y$2:$Y$500,0)),"")</f>
        <v/>
      </c>
      <c r="I254" s="4" t="str">
        <f>IFERROR(INDEX(样本到样信息汇总统计!I$2:I$500,MATCH(253,样本到样信息汇总统计!$Y$2:$Y$500,0)),"")</f>
        <v/>
      </c>
      <c r="J254" s="4" t="str">
        <f>IFERROR(INDEX(样本到样信息汇总统计!J$2:J$500,MATCH(253,样本到样信息汇总统计!$Y$2:$Y$500,0)),"")</f>
        <v/>
      </c>
      <c r="K254" s="4" t="str">
        <f>IFERROR(INDEX(样本到样信息汇总统计!K$2:K$500,MATCH(253,样本到样信息汇总统计!$Y$2:$Y$500,0)),"")</f>
        <v/>
      </c>
      <c r="L254" s="4" t="str">
        <f>IFERROR(INDEX(样本到样信息汇总统计!L$2:L$500,MATCH(253,样本到样信息汇总统计!$Y$2:$Y$500,0)),"")</f>
        <v/>
      </c>
      <c r="M254" s="4" t="str">
        <f>IFERROR(INDEX(样本到样信息汇总统计!M$2:M$500,MATCH(253,样本到样信息汇总统计!$Y$2:$Y$500,0)),"")</f>
        <v/>
      </c>
      <c r="N254" s="4" t="str">
        <f>IFERROR(INDEX(样本到样信息汇总统计!N$2:N$500,MATCH(253,样本到样信息汇总统计!$Y$2:$Y$500,0)),"")</f>
        <v/>
      </c>
      <c r="O254" s="4" t="str">
        <f>IFERROR(INDEX(样本到样信息汇总统计!O$2:O$500,MATCH(253,样本到样信息汇总统计!$Y$2:$Y$500,0)),"")</f>
        <v/>
      </c>
      <c r="P254" s="4" t="str">
        <f>IFERROR(INDEX(样本到样信息汇总统计!P$2:P$500,MATCH(253,样本到样信息汇总统计!$Y$2:$Y$500,0)),"")</f>
        <v/>
      </c>
      <c r="Q254" s="4" t="str">
        <f>IFERROR(INDEX(样本到样信息汇总统计!Q$2:Q$500,MATCH(253,样本到样信息汇总统计!$Y$2:$Y$500,0)),"")</f>
        <v/>
      </c>
      <c r="R254" s="4" t="str">
        <f>IFERROR(INDEX(样本到样信息汇总统计!R$2:R$500,MATCH(253,样本到样信息汇总统计!$Y$2:$Y$500,0)),"")</f>
        <v/>
      </c>
      <c r="S254" s="4" t="str">
        <f>IFERROR(INDEX(样本到样信息汇总统计!S$2:S$500,MATCH(253,样本到样信息汇总统计!$Y$2:$Y$500,0)),"")</f>
        <v/>
      </c>
      <c r="T254" s="4" t="str">
        <f>IFERROR(INDEX(样本到样信息汇总统计!T$2:T$500,MATCH(253,样本到样信息汇总统计!$Y$2:$Y$500,0)),"")</f>
        <v/>
      </c>
      <c r="U254" s="4" t="str">
        <f>IFERROR(INDEX(样本到样信息汇总统计!U$2:U$500,MATCH(253,样本到样信息汇总统计!$Y$2:$Y$500,0)),"")</f>
        <v/>
      </c>
      <c r="V254" s="4" t="str">
        <f>IFERROR(INDEX(样本到样信息汇总统计!V$2:V$500,MATCH(253,样本到样信息汇总统计!$Y$2:$Y$500,0)),"")</f>
        <v/>
      </c>
      <c r="W254" s="4" t="str">
        <f>IFERROR(INDEX(样本到样信息汇总统计!W$2:W$500,MATCH(253,样本到样信息汇总统计!$Y$2:$Y$500,0)),"")</f>
        <v/>
      </c>
    </row>
    <row r="255" ht="14.5" spans="1:23">
      <c r="A255" s="8" t="str">
        <f>IFERROR(INDEX(样本到样信息汇总统计!A$2:A$500,MATCH(254,样本到样信息汇总统计!$Y$2:$Y$500,0)),"")</f>
        <v/>
      </c>
      <c r="B255" s="8" t="str">
        <f>IFERROR(INDEX(样本到样信息汇总统计!B$2:B$500,MATCH(254,样本到样信息汇总统计!$Y$2:$Y$500,0)),"")</f>
        <v/>
      </c>
      <c r="C255" s="8" t="str">
        <f>IFERROR(INDEX(样本到样信息汇总统计!C$2:C$500,MATCH(254,样本到样信息汇总统计!$Y$2:$Y$500,0)),"")</f>
        <v/>
      </c>
      <c r="D255" s="8" t="str">
        <f>IFERROR(INDEX(样本到样信息汇总统计!D$2:D$500,MATCH(254,样本到样信息汇总统计!$Y$2:$Y$500,0)),"")</f>
        <v/>
      </c>
      <c r="E255" s="8" t="str">
        <f>IFERROR(INDEX(样本到样信息汇总统计!E$2:E$500,MATCH(254,样本到样信息汇总统计!$Y$2:$Y$500,0)),"")</f>
        <v/>
      </c>
      <c r="F255" s="8" t="str">
        <f>IFERROR(INDEX(样本到样信息汇总统计!F$2:F$500,MATCH(254,样本到样信息汇总统计!$Y$2:$Y$500,0)),"")</f>
        <v/>
      </c>
      <c r="G255" s="8" t="str">
        <f>IFERROR(INDEX(样本到样信息汇总统计!G$2:G$500,MATCH(254,样本到样信息汇总统计!$Y$2:$Y$500,0)),"")</f>
        <v/>
      </c>
      <c r="H255" s="8" t="str">
        <f>IFERROR(INDEX(样本到样信息汇总统计!H$2:H$500,MATCH(254,样本到样信息汇总统计!$Y$2:$Y$500,0)),"")</f>
        <v/>
      </c>
      <c r="I255" s="8" t="str">
        <f>IFERROR(INDEX(样本到样信息汇总统计!I$2:I$500,MATCH(254,样本到样信息汇总统计!$Y$2:$Y$500,0)),"")</f>
        <v/>
      </c>
      <c r="J255" s="8" t="str">
        <f>IFERROR(INDEX(样本到样信息汇总统计!J$2:J$500,MATCH(254,样本到样信息汇总统计!$Y$2:$Y$500,0)),"")</f>
        <v/>
      </c>
      <c r="K255" s="8" t="str">
        <f>IFERROR(INDEX(样本到样信息汇总统计!K$2:K$500,MATCH(254,样本到样信息汇总统计!$Y$2:$Y$500,0)),"")</f>
        <v/>
      </c>
      <c r="L255" s="8" t="str">
        <f>IFERROR(INDEX(样本到样信息汇总统计!L$2:L$500,MATCH(254,样本到样信息汇总统计!$Y$2:$Y$500,0)),"")</f>
        <v/>
      </c>
      <c r="M255" s="8" t="str">
        <f>IFERROR(INDEX(样本到样信息汇总统计!M$2:M$500,MATCH(254,样本到样信息汇总统计!$Y$2:$Y$500,0)),"")</f>
        <v/>
      </c>
      <c r="N255" s="8" t="str">
        <f>IFERROR(INDEX(样本到样信息汇总统计!N$2:N$500,MATCH(254,样本到样信息汇总统计!$Y$2:$Y$500,0)),"")</f>
        <v/>
      </c>
      <c r="O255" s="8" t="str">
        <f>IFERROR(INDEX(样本到样信息汇总统计!O$2:O$500,MATCH(254,样本到样信息汇总统计!$Y$2:$Y$500,0)),"")</f>
        <v/>
      </c>
      <c r="P255" s="8" t="str">
        <f>IFERROR(INDEX(样本到样信息汇总统计!P$2:P$500,MATCH(254,样本到样信息汇总统计!$Y$2:$Y$500,0)),"")</f>
        <v/>
      </c>
      <c r="Q255" s="8" t="str">
        <f>IFERROR(INDEX(样本到样信息汇总统计!Q$2:Q$500,MATCH(254,样本到样信息汇总统计!$Y$2:$Y$500,0)),"")</f>
        <v/>
      </c>
      <c r="R255" s="8" t="str">
        <f>IFERROR(INDEX(样本到样信息汇总统计!R$2:R$500,MATCH(254,样本到样信息汇总统计!$Y$2:$Y$500,0)),"")</f>
        <v/>
      </c>
      <c r="S255" s="8" t="str">
        <f>IFERROR(INDEX(样本到样信息汇总统计!S$2:S$500,MATCH(254,样本到样信息汇总统计!$Y$2:$Y$500,0)),"")</f>
        <v/>
      </c>
      <c r="T255" s="8" t="str">
        <f>IFERROR(INDEX(样本到样信息汇总统计!T$2:T$500,MATCH(254,样本到样信息汇总统计!$Y$2:$Y$500,0)),"")</f>
        <v/>
      </c>
      <c r="U255" s="8" t="str">
        <f>IFERROR(INDEX(样本到样信息汇总统计!U$2:U$500,MATCH(254,样本到样信息汇总统计!$Y$2:$Y$500,0)),"")</f>
        <v/>
      </c>
      <c r="V255" s="8" t="str">
        <f>IFERROR(INDEX(样本到样信息汇总统计!V$2:V$500,MATCH(254,样本到样信息汇总统计!$Y$2:$Y$500,0)),"")</f>
        <v/>
      </c>
      <c r="W255" s="8" t="str">
        <f>IFERROR(INDEX(样本到样信息汇总统计!W$2:W$500,MATCH(254,样本到样信息汇总统计!$Y$2:$Y$500,0)),"")</f>
        <v/>
      </c>
    </row>
    <row r="256" ht="14.5" spans="1:23">
      <c r="A256" s="4" t="str">
        <f>IFERROR(INDEX(样本到样信息汇总统计!A$2:A$500,MATCH(255,样本到样信息汇总统计!$Y$2:$Y$500,0)),"")</f>
        <v/>
      </c>
      <c r="B256" s="4" t="str">
        <f>IFERROR(INDEX(样本到样信息汇总统计!B$2:B$500,MATCH(255,样本到样信息汇总统计!$Y$2:$Y$500,0)),"")</f>
        <v/>
      </c>
      <c r="C256" s="4" t="str">
        <f>IFERROR(INDEX(样本到样信息汇总统计!C$2:C$500,MATCH(255,样本到样信息汇总统计!$Y$2:$Y$500,0)),"")</f>
        <v/>
      </c>
      <c r="D256" s="4" t="str">
        <f>IFERROR(INDEX(样本到样信息汇总统计!D$2:D$500,MATCH(255,样本到样信息汇总统计!$Y$2:$Y$500,0)),"")</f>
        <v/>
      </c>
      <c r="E256" s="4" t="str">
        <f>IFERROR(INDEX(样本到样信息汇总统计!E$2:E$500,MATCH(255,样本到样信息汇总统计!$Y$2:$Y$500,0)),"")</f>
        <v/>
      </c>
      <c r="F256" s="4" t="str">
        <f>IFERROR(INDEX(样本到样信息汇总统计!F$2:F$500,MATCH(255,样本到样信息汇总统计!$Y$2:$Y$500,0)),"")</f>
        <v/>
      </c>
      <c r="G256" s="4" t="str">
        <f>IFERROR(INDEX(样本到样信息汇总统计!G$2:G$500,MATCH(255,样本到样信息汇总统计!$Y$2:$Y$500,0)),"")</f>
        <v/>
      </c>
      <c r="H256" s="4" t="str">
        <f>IFERROR(INDEX(样本到样信息汇总统计!H$2:H$500,MATCH(255,样本到样信息汇总统计!$Y$2:$Y$500,0)),"")</f>
        <v/>
      </c>
      <c r="I256" s="4" t="str">
        <f>IFERROR(INDEX(样本到样信息汇总统计!I$2:I$500,MATCH(255,样本到样信息汇总统计!$Y$2:$Y$500,0)),"")</f>
        <v/>
      </c>
      <c r="J256" s="4" t="str">
        <f>IFERROR(INDEX(样本到样信息汇总统计!J$2:J$500,MATCH(255,样本到样信息汇总统计!$Y$2:$Y$500,0)),"")</f>
        <v/>
      </c>
      <c r="K256" s="4" t="str">
        <f>IFERROR(INDEX(样本到样信息汇总统计!K$2:K$500,MATCH(255,样本到样信息汇总统计!$Y$2:$Y$500,0)),"")</f>
        <v/>
      </c>
      <c r="L256" s="4" t="str">
        <f>IFERROR(INDEX(样本到样信息汇总统计!L$2:L$500,MATCH(255,样本到样信息汇总统计!$Y$2:$Y$500,0)),"")</f>
        <v/>
      </c>
      <c r="M256" s="4" t="str">
        <f>IFERROR(INDEX(样本到样信息汇总统计!M$2:M$500,MATCH(255,样本到样信息汇总统计!$Y$2:$Y$500,0)),"")</f>
        <v/>
      </c>
      <c r="N256" s="4" t="str">
        <f>IFERROR(INDEX(样本到样信息汇总统计!N$2:N$500,MATCH(255,样本到样信息汇总统计!$Y$2:$Y$500,0)),"")</f>
        <v/>
      </c>
      <c r="O256" s="4" t="str">
        <f>IFERROR(INDEX(样本到样信息汇总统计!O$2:O$500,MATCH(255,样本到样信息汇总统计!$Y$2:$Y$500,0)),"")</f>
        <v/>
      </c>
      <c r="P256" s="4" t="str">
        <f>IFERROR(INDEX(样本到样信息汇总统计!P$2:P$500,MATCH(255,样本到样信息汇总统计!$Y$2:$Y$500,0)),"")</f>
        <v/>
      </c>
      <c r="Q256" s="4" t="str">
        <f>IFERROR(INDEX(样本到样信息汇总统计!Q$2:Q$500,MATCH(255,样本到样信息汇总统计!$Y$2:$Y$500,0)),"")</f>
        <v/>
      </c>
      <c r="R256" s="4" t="str">
        <f>IFERROR(INDEX(样本到样信息汇总统计!R$2:R$500,MATCH(255,样本到样信息汇总统计!$Y$2:$Y$500,0)),"")</f>
        <v/>
      </c>
      <c r="S256" s="4" t="str">
        <f>IFERROR(INDEX(样本到样信息汇总统计!S$2:S$500,MATCH(255,样本到样信息汇总统计!$Y$2:$Y$500,0)),"")</f>
        <v/>
      </c>
      <c r="T256" s="4" t="str">
        <f>IFERROR(INDEX(样本到样信息汇总统计!T$2:T$500,MATCH(255,样本到样信息汇总统计!$Y$2:$Y$500,0)),"")</f>
        <v/>
      </c>
      <c r="U256" s="4" t="str">
        <f>IFERROR(INDEX(样本到样信息汇总统计!U$2:U$500,MATCH(255,样本到样信息汇总统计!$Y$2:$Y$500,0)),"")</f>
        <v/>
      </c>
      <c r="V256" s="4" t="str">
        <f>IFERROR(INDEX(样本到样信息汇总统计!V$2:V$500,MATCH(255,样本到样信息汇总统计!$Y$2:$Y$500,0)),"")</f>
        <v/>
      </c>
      <c r="W256" s="4" t="str">
        <f>IFERROR(INDEX(样本到样信息汇总统计!W$2:W$500,MATCH(255,样本到样信息汇总统计!$Y$2:$Y$500,0)),"")</f>
        <v/>
      </c>
    </row>
    <row r="257" ht="14.5" spans="1:23">
      <c r="A257" s="8" t="str">
        <f>IFERROR(INDEX(样本到样信息汇总统计!A$2:A$500,MATCH(256,样本到样信息汇总统计!$Y$2:$Y$500,0)),"")</f>
        <v/>
      </c>
      <c r="B257" s="8" t="str">
        <f>IFERROR(INDEX(样本到样信息汇总统计!B$2:B$500,MATCH(256,样本到样信息汇总统计!$Y$2:$Y$500,0)),"")</f>
        <v/>
      </c>
      <c r="C257" s="8" t="str">
        <f>IFERROR(INDEX(样本到样信息汇总统计!C$2:C$500,MATCH(256,样本到样信息汇总统计!$Y$2:$Y$500,0)),"")</f>
        <v/>
      </c>
      <c r="D257" s="8" t="str">
        <f>IFERROR(INDEX(样本到样信息汇总统计!D$2:D$500,MATCH(256,样本到样信息汇总统计!$Y$2:$Y$500,0)),"")</f>
        <v/>
      </c>
      <c r="E257" s="8" t="str">
        <f>IFERROR(INDEX(样本到样信息汇总统计!E$2:E$500,MATCH(256,样本到样信息汇总统计!$Y$2:$Y$500,0)),"")</f>
        <v/>
      </c>
      <c r="F257" s="8" t="str">
        <f>IFERROR(INDEX(样本到样信息汇总统计!F$2:F$500,MATCH(256,样本到样信息汇总统计!$Y$2:$Y$500,0)),"")</f>
        <v/>
      </c>
      <c r="G257" s="8" t="str">
        <f>IFERROR(INDEX(样本到样信息汇总统计!G$2:G$500,MATCH(256,样本到样信息汇总统计!$Y$2:$Y$500,0)),"")</f>
        <v/>
      </c>
      <c r="H257" s="8" t="str">
        <f>IFERROR(INDEX(样本到样信息汇总统计!H$2:H$500,MATCH(256,样本到样信息汇总统计!$Y$2:$Y$500,0)),"")</f>
        <v/>
      </c>
      <c r="I257" s="8" t="str">
        <f>IFERROR(INDEX(样本到样信息汇总统计!I$2:I$500,MATCH(256,样本到样信息汇总统计!$Y$2:$Y$500,0)),"")</f>
        <v/>
      </c>
      <c r="J257" s="8" t="str">
        <f>IFERROR(INDEX(样本到样信息汇总统计!J$2:J$500,MATCH(256,样本到样信息汇总统计!$Y$2:$Y$500,0)),"")</f>
        <v/>
      </c>
      <c r="K257" s="8" t="str">
        <f>IFERROR(INDEX(样本到样信息汇总统计!K$2:K$500,MATCH(256,样本到样信息汇总统计!$Y$2:$Y$500,0)),"")</f>
        <v/>
      </c>
      <c r="L257" s="8" t="str">
        <f>IFERROR(INDEX(样本到样信息汇总统计!L$2:L$500,MATCH(256,样本到样信息汇总统计!$Y$2:$Y$500,0)),"")</f>
        <v/>
      </c>
      <c r="M257" s="8" t="str">
        <f>IFERROR(INDEX(样本到样信息汇总统计!M$2:M$500,MATCH(256,样本到样信息汇总统计!$Y$2:$Y$500,0)),"")</f>
        <v/>
      </c>
      <c r="N257" s="8" t="str">
        <f>IFERROR(INDEX(样本到样信息汇总统计!N$2:N$500,MATCH(256,样本到样信息汇总统计!$Y$2:$Y$500,0)),"")</f>
        <v/>
      </c>
      <c r="O257" s="8" t="str">
        <f>IFERROR(INDEX(样本到样信息汇总统计!O$2:O$500,MATCH(256,样本到样信息汇总统计!$Y$2:$Y$500,0)),"")</f>
        <v/>
      </c>
      <c r="P257" s="8" t="str">
        <f>IFERROR(INDEX(样本到样信息汇总统计!P$2:P$500,MATCH(256,样本到样信息汇总统计!$Y$2:$Y$500,0)),"")</f>
        <v/>
      </c>
      <c r="Q257" s="8" t="str">
        <f>IFERROR(INDEX(样本到样信息汇总统计!Q$2:Q$500,MATCH(256,样本到样信息汇总统计!$Y$2:$Y$500,0)),"")</f>
        <v/>
      </c>
      <c r="R257" s="8" t="str">
        <f>IFERROR(INDEX(样本到样信息汇总统计!R$2:R$500,MATCH(256,样本到样信息汇总统计!$Y$2:$Y$500,0)),"")</f>
        <v/>
      </c>
      <c r="S257" s="8" t="str">
        <f>IFERROR(INDEX(样本到样信息汇总统计!S$2:S$500,MATCH(256,样本到样信息汇总统计!$Y$2:$Y$500,0)),"")</f>
        <v/>
      </c>
      <c r="T257" s="8" t="str">
        <f>IFERROR(INDEX(样本到样信息汇总统计!T$2:T$500,MATCH(256,样本到样信息汇总统计!$Y$2:$Y$500,0)),"")</f>
        <v/>
      </c>
      <c r="U257" s="8" t="str">
        <f>IFERROR(INDEX(样本到样信息汇总统计!U$2:U$500,MATCH(256,样本到样信息汇总统计!$Y$2:$Y$500,0)),"")</f>
        <v/>
      </c>
      <c r="V257" s="8" t="str">
        <f>IFERROR(INDEX(样本到样信息汇总统计!V$2:V$500,MATCH(256,样本到样信息汇总统计!$Y$2:$Y$500,0)),"")</f>
        <v/>
      </c>
      <c r="W257" s="8" t="str">
        <f>IFERROR(INDEX(样本到样信息汇总统计!W$2:W$500,MATCH(256,样本到样信息汇总统计!$Y$2:$Y$500,0)),"")</f>
        <v/>
      </c>
    </row>
    <row r="258" ht="14.5" spans="1:23">
      <c r="A258" s="4" t="str">
        <f>IFERROR(INDEX(样本到样信息汇总统计!A$2:A$500,MATCH(257,样本到样信息汇总统计!$Y$2:$Y$500,0)),"")</f>
        <v/>
      </c>
      <c r="B258" s="4" t="str">
        <f>IFERROR(INDEX(样本到样信息汇总统计!B$2:B$500,MATCH(257,样本到样信息汇总统计!$Y$2:$Y$500,0)),"")</f>
        <v/>
      </c>
      <c r="C258" s="4" t="str">
        <f>IFERROR(INDEX(样本到样信息汇总统计!C$2:C$500,MATCH(257,样本到样信息汇总统计!$Y$2:$Y$500,0)),"")</f>
        <v/>
      </c>
      <c r="D258" s="4" t="str">
        <f>IFERROR(INDEX(样本到样信息汇总统计!D$2:D$500,MATCH(257,样本到样信息汇总统计!$Y$2:$Y$500,0)),"")</f>
        <v/>
      </c>
      <c r="E258" s="4" t="str">
        <f>IFERROR(INDEX(样本到样信息汇总统计!E$2:E$500,MATCH(257,样本到样信息汇总统计!$Y$2:$Y$500,0)),"")</f>
        <v/>
      </c>
      <c r="F258" s="4" t="str">
        <f>IFERROR(INDEX(样本到样信息汇总统计!F$2:F$500,MATCH(257,样本到样信息汇总统计!$Y$2:$Y$500,0)),"")</f>
        <v/>
      </c>
      <c r="G258" s="4" t="str">
        <f>IFERROR(INDEX(样本到样信息汇总统计!G$2:G$500,MATCH(257,样本到样信息汇总统计!$Y$2:$Y$500,0)),"")</f>
        <v/>
      </c>
      <c r="H258" s="4" t="str">
        <f>IFERROR(INDEX(样本到样信息汇总统计!H$2:H$500,MATCH(257,样本到样信息汇总统计!$Y$2:$Y$500,0)),"")</f>
        <v/>
      </c>
      <c r="I258" s="4" t="str">
        <f>IFERROR(INDEX(样本到样信息汇总统计!I$2:I$500,MATCH(257,样本到样信息汇总统计!$Y$2:$Y$500,0)),"")</f>
        <v/>
      </c>
      <c r="J258" s="4" t="str">
        <f>IFERROR(INDEX(样本到样信息汇总统计!J$2:J$500,MATCH(257,样本到样信息汇总统计!$Y$2:$Y$500,0)),"")</f>
        <v/>
      </c>
      <c r="K258" s="4" t="str">
        <f>IFERROR(INDEX(样本到样信息汇总统计!K$2:K$500,MATCH(257,样本到样信息汇总统计!$Y$2:$Y$500,0)),"")</f>
        <v/>
      </c>
      <c r="L258" s="4" t="str">
        <f>IFERROR(INDEX(样本到样信息汇总统计!L$2:L$500,MATCH(257,样本到样信息汇总统计!$Y$2:$Y$500,0)),"")</f>
        <v/>
      </c>
      <c r="M258" s="4" t="str">
        <f>IFERROR(INDEX(样本到样信息汇总统计!M$2:M$500,MATCH(257,样本到样信息汇总统计!$Y$2:$Y$500,0)),"")</f>
        <v/>
      </c>
      <c r="N258" s="4" t="str">
        <f>IFERROR(INDEX(样本到样信息汇总统计!N$2:N$500,MATCH(257,样本到样信息汇总统计!$Y$2:$Y$500,0)),"")</f>
        <v/>
      </c>
      <c r="O258" s="4" t="str">
        <f>IFERROR(INDEX(样本到样信息汇总统计!O$2:O$500,MATCH(257,样本到样信息汇总统计!$Y$2:$Y$500,0)),"")</f>
        <v/>
      </c>
      <c r="P258" s="4" t="str">
        <f>IFERROR(INDEX(样本到样信息汇总统计!P$2:P$500,MATCH(257,样本到样信息汇总统计!$Y$2:$Y$500,0)),"")</f>
        <v/>
      </c>
      <c r="Q258" s="4" t="str">
        <f>IFERROR(INDEX(样本到样信息汇总统计!Q$2:Q$500,MATCH(257,样本到样信息汇总统计!$Y$2:$Y$500,0)),"")</f>
        <v/>
      </c>
      <c r="R258" s="4" t="str">
        <f>IFERROR(INDEX(样本到样信息汇总统计!R$2:R$500,MATCH(257,样本到样信息汇总统计!$Y$2:$Y$500,0)),"")</f>
        <v/>
      </c>
      <c r="S258" s="4" t="str">
        <f>IFERROR(INDEX(样本到样信息汇总统计!S$2:S$500,MATCH(257,样本到样信息汇总统计!$Y$2:$Y$500,0)),"")</f>
        <v/>
      </c>
      <c r="T258" s="4" t="str">
        <f>IFERROR(INDEX(样本到样信息汇总统计!T$2:T$500,MATCH(257,样本到样信息汇总统计!$Y$2:$Y$500,0)),"")</f>
        <v/>
      </c>
      <c r="U258" s="4" t="str">
        <f>IFERROR(INDEX(样本到样信息汇总统计!U$2:U$500,MATCH(257,样本到样信息汇总统计!$Y$2:$Y$500,0)),"")</f>
        <v/>
      </c>
      <c r="V258" s="4" t="str">
        <f>IFERROR(INDEX(样本到样信息汇总统计!V$2:V$500,MATCH(257,样本到样信息汇总统计!$Y$2:$Y$500,0)),"")</f>
        <v/>
      </c>
      <c r="W258" s="4" t="str">
        <f>IFERROR(INDEX(样本到样信息汇总统计!W$2:W$500,MATCH(257,样本到样信息汇总统计!$Y$2:$Y$500,0)),"")</f>
        <v/>
      </c>
    </row>
    <row r="259" ht="14.5" spans="1:23">
      <c r="A259" s="8" t="str">
        <f>IFERROR(INDEX(样本到样信息汇总统计!A$2:A$500,MATCH(258,样本到样信息汇总统计!$Y$2:$Y$500,0)),"")</f>
        <v/>
      </c>
      <c r="B259" s="8" t="str">
        <f>IFERROR(INDEX(样本到样信息汇总统计!B$2:B$500,MATCH(258,样本到样信息汇总统计!$Y$2:$Y$500,0)),"")</f>
        <v/>
      </c>
      <c r="C259" s="8" t="str">
        <f>IFERROR(INDEX(样本到样信息汇总统计!C$2:C$500,MATCH(258,样本到样信息汇总统计!$Y$2:$Y$500,0)),"")</f>
        <v/>
      </c>
      <c r="D259" s="8" t="str">
        <f>IFERROR(INDEX(样本到样信息汇总统计!D$2:D$500,MATCH(258,样本到样信息汇总统计!$Y$2:$Y$500,0)),"")</f>
        <v/>
      </c>
      <c r="E259" s="8" t="str">
        <f>IFERROR(INDEX(样本到样信息汇总统计!E$2:E$500,MATCH(258,样本到样信息汇总统计!$Y$2:$Y$500,0)),"")</f>
        <v/>
      </c>
      <c r="F259" s="8" t="str">
        <f>IFERROR(INDEX(样本到样信息汇总统计!F$2:F$500,MATCH(258,样本到样信息汇总统计!$Y$2:$Y$500,0)),"")</f>
        <v/>
      </c>
      <c r="G259" s="8" t="str">
        <f>IFERROR(INDEX(样本到样信息汇总统计!G$2:G$500,MATCH(258,样本到样信息汇总统计!$Y$2:$Y$500,0)),"")</f>
        <v/>
      </c>
      <c r="H259" s="8" t="str">
        <f>IFERROR(INDEX(样本到样信息汇总统计!H$2:H$500,MATCH(258,样本到样信息汇总统计!$Y$2:$Y$500,0)),"")</f>
        <v/>
      </c>
      <c r="I259" s="8" t="str">
        <f>IFERROR(INDEX(样本到样信息汇总统计!I$2:I$500,MATCH(258,样本到样信息汇总统计!$Y$2:$Y$500,0)),"")</f>
        <v/>
      </c>
      <c r="J259" s="8" t="str">
        <f>IFERROR(INDEX(样本到样信息汇总统计!J$2:J$500,MATCH(258,样本到样信息汇总统计!$Y$2:$Y$500,0)),"")</f>
        <v/>
      </c>
      <c r="K259" s="8" t="str">
        <f>IFERROR(INDEX(样本到样信息汇总统计!K$2:K$500,MATCH(258,样本到样信息汇总统计!$Y$2:$Y$500,0)),"")</f>
        <v/>
      </c>
      <c r="L259" s="8" t="str">
        <f>IFERROR(INDEX(样本到样信息汇总统计!L$2:L$500,MATCH(258,样本到样信息汇总统计!$Y$2:$Y$500,0)),"")</f>
        <v/>
      </c>
      <c r="M259" s="8" t="str">
        <f>IFERROR(INDEX(样本到样信息汇总统计!M$2:M$500,MATCH(258,样本到样信息汇总统计!$Y$2:$Y$500,0)),"")</f>
        <v/>
      </c>
      <c r="N259" s="8" t="str">
        <f>IFERROR(INDEX(样本到样信息汇总统计!N$2:N$500,MATCH(258,样本到样信息汇总统计!$Y$2:$Y$500,0)),"")</f>
        <v/>
      </c>
      <c r="O259" s="8" t="str">
        <f>IFERROR(INDEX(样本到样信息汇总统计!O$2:O$500,MATCH(258,样本到样信息汇总统计!$Y$2:$Y$500,0)),"")</f>
        <v/>
      </c>
      <c r="P259" s="8" t="str">
        <f>IFERROR(INDEX(样本到样信息汇总统计!P$2:P$500,MATCH(258,样本到样信息汇总统计!$Y$2:$Y$500,0)),"")</f>
        <v/>
      </c>
      <c r="Q259" s="8" t="str">
        <f>IFERROR(INDEX(样本到样信息汇总统计!Q$2:Q$500,MATCH(258,样本到样信息汇总统计!$Y$2:$Y$500,0)),"")</f>
        <v/>
      </c>
      <c r="R259" s="8" t="str">
        <f>IFERROR(INDEX(样本到样信息汇总统计!R$2:R$500,MATCH(258,样本到样信息汇总统计!$Y$2:$Y$500,0)),"")</f>
        <v/>
      </c>
      <c r="S259" s="8" t="str">
        <f>IFERROR(INDEX(样本到样信息汇总统计!S$2:S$500,MATCH(258,样本到样信息汇总统计!$Y$2:$Y$500,0)),"")</f>
        <v/>
      </c>
      <c r="T259" s="8" t="str">
        <f>IFERROR(INDEX(样本到样信息汇总统计!T$2:T$500,MATCH(258,样本到样信息汇总统计!$Y$2:$Y$500,0)),"")</f>
        <v/>
      </c>
      <c r="U259" s="8" t="str">
        <f>IFERROR(INDEX(样本到样信息汇总统计!U$2:U$500,MATCH(258,样本到样信息汇总统计!$Y$2:$Y$500,0)),"")</f>
        <v/>
      </c>
      <c r="V259" s="8" t="str">
        <f>IFERROR(INDEX(样本到样信息汇总统计!V$2:V$500,MATCH(258,样本到样信息汇总统计!$Y$2:$Y$500,0)),"")</f>
        <v/>
      </c>
      <c r="W259" s="8" t="str">
        <f>IFERROR(INDEX(样本到样信息汇总统计!W$2:W$500,MATCH(258,样本到样信息汇总统计!$Y$2:$Y$500,0)),"")</f>
        <v/>
      </c>
    </row>
    <row r="260" ht="14.5" spans="1:23">
      <c r="A260" s="4" t="str">
        <f>IFERROR(INDEX(样本到样信息汇总统计!A$2:A$500,MATCH(259,样本到样信息汇总统计!$Y$2:$Y$500,0)),"")</f>
        <v/>
      </c>
      <c r="B260" s="4" t="str">
        <f>IFERROR(INDEX(样本到样信息汇总统计!B$2:B$500,MATCH(259,样本到样信息汇总统计!$Y$2:$Y$500,0)),"")</f>
        <v/>
      </c>
      <c r="C260" s="4" t="str">
        <f>IFERROR(INDEX(样本到样信息汇总统计!C$2:C$500,MATCH(259,样本到样信息汇总统计!$Y$2:$Y$500,0)),"")</f>
        <v/>
      </c>
      <c r="D260" s="4" t="str">
        <f>IFERROR(INDEX(样本到样信息汇总统计!D$2:D$500,MATCH(259,样本到样信息汇总统计!$Y$2:$Y$500,0)),"")</f>
        <v/>
      </c>
      <c r="E260" s="4" t="str">
        <f>IFERROR(INDEX(样本到样信息汇总统计!E$2:E$500,MATCH(259,样本到样信息汇总统计!$Y$2:$Y$500,0)),"")</f>
        <v/>
      </c>
      <c r="F260" s="4" t="str">
        <f>IFERROR(INDEX(样本到样信息汇总统计!F$2:F$500,MATCH(259,样本到样信息汇总统计!$Y$2:$Y$500,0)),"")</f>
        <v/>
      </c>
      <c r="G260" s="4" t="str">
        <f>IFERROR(INDEX(样本到样信息汇总统计!G$2:G$500,MATCH(259,样本到样信息汇总统计!$Y$2:$Y$500,0)),"")</f>
        <v/>
      </c>
      <c r="H260" s="4" t="str">
        <f>IFERROR(INDEX(样本到样信息汇总统计!H$2:H$500,MATCH(259,样本到样信息汇总统计!$Y$2:$Y$500,0)),"")</f>
        <v/>
      </c>
      <c r="I260" s="4" t="str">
        <f>IFERROR(INDEX(样本到样信息汇总统计!I$2:I$500,MATCH(259,样本到样信息汇总统计!$Y$2:$Y$500,0)),"")</f>
        <v/>
      </c>
      <c r="J260" s="4" t="str">
        <f>IFERROR(INDEX(样本到样信息汇总统计!J$2:J$500,MATCH(259,样本到样信息汇总统计!$Y$2:$Y$500,0)),"")</f>
        <v/>
      </c>
      <c r="K260" s="4" t="str">
        <f>IFERROR(INDEX(样本到样信息汇总统计!K$2:K$500,MATCH(259,样本到样信息汇总统计!$Y$2:$Y$500,0)),"")</f>
        <v/>
      </c>
      <c r="L260" s="4" t="str">
        <f>IFERROR(INDEX(样本到样信息汇总统计!L$2:L$500,MATCH(259,样本到样信息汇总统计!$Y$2:$Y$500,0)),"")</f>
        <v/>
      </c>
      <c r="M260" s="4" t="str">
        <f>IFERROR(INDEX(样本到样信息汇总统计!M$2:M$500,MATCH(259,样本到样信息汇总统计!$Y$2:$Y$500,0)),"")</f>
        <v/>
      </c>
      <c r="N260" s="4" t="str">
        <f>IFERROR(INDEX(样本到样信息汇总统计!N$2:N$500,MATCH(259,样本到样信息汇总统计!$Y$2:$Y$500,0)),"")</f>
        <v/>
      </c>
      <c r="O260" s="4" t="str">
        <f>IFERROR(INDEX(样本到样信息汇总统计!O$2:O$500,MATCH(259,样本到样信息汇总统计!$Y$2:$Y$500,0)),"")</f>
        <v/>
      </c>
      <c r="P260" s="4" t="str">
        <f>IFERROR(INDEX(样本到样信息汇总统计!P$2:P$500,MATCH(259,样本到样信息汇总统计!$Y$2:$Y$500,0)),"")</f>
        <v/>
      </c>
      <c r="Q260" s="4" t="str">
        <f>IFERROR(INDEX(样本到样信息汇总统计!Q$2:Q$500,MATCH(259,样本到样信息汇总统计!$Y$2:$Y$500,0)),"")</f>
        <v/>
      </c>
      <c r="R260" s="4" t="str">
        <f>IFERROR(INDEX(样本到样信息汇总统计!R$2:R$500,MATCH(259,样本到样信息汇总统计!$Y$2:$Y$500,0)),"")</f>
        <v/>
      </c>
      <c r="S260" s="4" t="str">
        <f>IFERROR(INDEX(样本到样信息汇总统计!S$2:S$500,MATCH(259,样本到样信息汇总统计!$Y$2:$Y$500,0)),"")</f>
        <v/>
      </c>
      <c r="T260" s="4" t="str">
        <f>IFERROR(INDEX(样本到样信息汇总统计!T$2:T$500,MATCH(259,样本到样信息汇总统计!$Y$2:$Y$500,0)),"")</f>
        <v/>
      </c>
      <c r="U260" s="4" t="str">
        <f>IFERROR(INDEX(样本到样信息汇总统计!U$2:U$500,MATCH(259,样本到样信息汇总统计!$Y$2:$Y$500,0)),"")</f>
        <v/>
      </c>
      <c r="V260" s="4" t="str">
        <f>IFERROR(INDEX(样本到样信息汇总统计!V$2:V$500,MATCH(259,样本到样信息汇总统计!$Y$2:$Y$500,0)),"")</f>
        <v/>
      </c>
      <c r="W260" s="4" t="str">
        <f>IFERROR(INDEX(样本到样信息汇总统计!W$2:W$500,MATCH(259,样本到样信息汇总统计!$Y$2:$Y$500,0)),"")</f>
        <v/>
      </c>
    </row>
    <row r="261" ht="14.5" spans="1:23">
      <c r="A261" s="8" t="str">
        <f>IFERROR(INDEX(样本到样信息汇总统计!A$2:A$500,MATCH(260,样本到样信息汇总统计!$Y$2:$Y$500,0)),"")</f>
        <v/>
      </c>
      <c r="B261" s="8" t="str">
        <f>IFERROR(INDEX(样本到样信息汇总统计!B$2:B$500,MATCH(260,样本到样信息汇总统计!$Y$2:$Y$500,0)),"")</f>
        <v/>
      </c>
      <c r="C261" s="8" t="str">
        <f>IFERROR(INDEX(样本到样信息汇总统计!C$2:C$500,MATCH(260,样本到样信息汇总统计!$Y$2:$Y$500,0)),"")</f>
        <v/>
      </c>
      <c r="D261" s="8" t="str">
        <f>IFERROR(INDEX(样本到样信息汇总统计!D$2:D$500,MATCH(260,样本到样信息汇总统计!$Y$2:$Y$500,0)),"")</f>
        <v/>
      </c>
      <c r="E261" s="8" t="str">
        <f>IFERROR(INDEX(样本到样信息汇总统计!E$2:E$500,MATCH(260,样本到样信息汇总统计!$Y$2:$Y$500,0)),"")</f>
        <v/>
      </c>
      <c r="F261" s="8" t="str">
        <f>IFERROR(INDEX(样本到样信息汇总统计!F$2:F$500,MATCH(260,样本到样信息汇总统计!$Y$2:$Y$500,0)),"")</f>
        <v/>
      </c>
      <c r="G261" s="8" t="str">
        <f>IFERROR(INDEX(样本到样信息汇总统计!G$2:G$500,MATCH(260,样本到样信息汇总统计!$Y$2:$Y$500,0)),"")</f>
        <v/>
      </c>
      <c r="H261" s="8" t="str">
        <f>IFERROR(INDEX(样本到样信息汇总统计!H$2:H$500,MATCH(260,样本到样信息汇总统计!$Y$2:$Y$500,0)),"")</f>
        <v/>
      </c>
      <c r="I261" s="8" t="str">
        <f>IFERROR(INDEX(样本到样信息汇总统计!I$2:I$500,MATCH(260,样本到样信息汇总统计!$Y$2:$Y$500,0)),"")</f>
        <v/>
      </c>
      <c r="J261" s="8" t="str">
        <f>IFERROR(INDEX(样本到样信息汇总统计!J$2:J$500,MATCH(260,样本到样信息汇总统计!$Y$2:$Y$500,0)),"")</f>
        <v/>
      </c>
      <c r="K261" s="8" t="str">
        <f>IFERROR(INDEX(样本到样信息汇总统计!K$2:K$500,MATCH(260,样本到样信息汇总统计!$Y$2:$Y$500,0)),"")</f>
        <v/>
      </c>
      <c r="L261" s="8" t="str">
        <f>IFERROR(INDEX(样本到样信息汇总统计!L$2:L$500,MATCH(260,样本到样信息汇总统计!$Y$2:$Y$500,0)),"")</f>
        <v/>
      </c>
      <c r="M261" s="8" t="str">
        <f>IFERROR(INDEX(样本到样信息汇总统计!M$2:M$500,MATCH(260,样本到样信息汇总统计!$Y$2:$Y$500,0)),"")</f>
        <v/>
      </c>
      <c r="N261" s="8" t="str">
        <f>IFERROR(INDEX(样本到样信息汇总统计!N$2:N$500,MATCH(260,样本到样信息汇总统计!$Y$2:$Y$500,0)),"")</f>
        <v/>
      </c>
      <c r="O261" s="8" t="str">
        <f>IFERROR(INDEX(样本到样信息汇总统计!O$2:O$500,MATCH(260,样本到样信息汇总统计!$Y$2:$Y$500,0)),"")</f>
        <v/>
      </c>
      <c r="P261" s="8" t="str">
        <f>IFERROR(INDEX(样本到样信息汇总统计!P$2:P$500,MATCH(260,样本到样信息汇总统计!$Y$2:$Y$500,0)),"")</f>
        <v/>
      </c>
      <c r="Q261" s="8" t="str">
        <f>IFERROR(INDEX(样本到样信息汇总统计!Q$2:Q$500,MATCH(260,样本到样信息汇总统计!$Y$2:$Y$500,0)),"")</f>
        <v/>
      </c>
      <c r="R261" s="8" t="str">
        <f>IFERROR(INDEX(样本到样信息汇总统计!R$2:R$500,MATCH(260,样本到样信息汇总统计!$Y$2:$Y$500,0)),"")</f>
        <v/>
      </c>
      <c r="S261" s="8" t="str">
        <f>IFERROR(INDEX(样本到样信息汇总统计!S$2:S$500,MATCH(260,样本到样信息汇总统计!$Y$2:$Y$500,0)),"")</f>
        <v/>
      </c>
      <c r="T261" s="8" t="str">
        <f>IFERROR(INDEX(样本到样信息汇总统计!T$2:T$500,MATCH(260,样本到样信息汇总统计!$Y$2:$Y$500,0)),"")</f>
        <v/>
      </c>
      <c r="U261" s="8" t="str">
        <f>IFERROR(INDEX(样本到样信息汇总统计!U$2:U$500,MATCH(260,样本到样信息汇总统计!$Y$2:$Y$500,0)),"")</f>
        <v/>
      </c>
      <c r="V261" s="8" t="str">
        <f>IFERROR(INDEX(样本到样信息汇总统计!V$2:V$500,MATCH(260,样本到样信息汇总统计!$Y$2:$Y$500,0)),"")</f>
        <v/>
      </c>
      <c r="W261" s="8" t="str">
        <f>IFERROR(INDEX(样本到样信息汇总统计!W$2:W$500,MATCH(260,样本到样信息汇总统计!$Y$2:$Y$500,0)),"")</f>
        <v/>
      </c>
    </row>
    <row r="262" ht="14.5" spans="1:23">
      <c r="A262" s="4" t="str">
        <f>IFERROR(INDEX(样本到样信息汇总统计!A$2:A$500,MATCH(261,样本到样信息汇总统计!$Y$2:$Y$500,0)),"")</f>
        <v/>
      </c>
      <c r="B262" s="4" t="str">
        <f>IFERROR(INDEX(样本到样信息汇总统计!B$2:B$500,MATCH(261,样本到样信息汇总统计!$Y$2:$Y$500,0)),"")</f>
        <v/>
      </c>
      <c r="C262" s="4" t="str">
        <f>IFERROR(INDEX(样本到样信息汇总统计!C$2:C$500,MATCH(261,样本到样信息汇总统计!$Y$2:$Y$500,0)),"")</f>
        <v/>
      </c>
      <c r="D262" s="4" t="str">
        <f>IFERROR(INDEX(样本到样信息汇总统计!D$2:D$500,MATCH(261,样本到样信息汇总统计!$Y$2:$Y$500,0)),"")</f>
        <v/>
      </c>
      <c r="E262" s="4" t="str">
        <f>IFERROR(INDEX(样本到样信息汇总统计!E$2:E$500,MATCH(261,样本到样信息汇总统计!$Y$2:$Y$500,0)),"")</f>
        <v/>
      </c>
      <c r="F262" s="4" t="str">
        <f>IFERROR(INDEX(样本到样信息汇总统计!F$2:F$500,MATCH(261,样本到样信息汇总统计!$Y$2:$Y$500,0)),"")</f>
        <v/>
      </c>
      <c r="G262" s="4" t="str">
        <f>IFERROR(INDEX(样本到样信息汇总统计!G$2:G$500,MATCH(261,样本到样信息汇总统计!$Y$2:$Y$500,0)),"")</f>
        <v/>
      </c>
      <c r="H262" s="4" t="str">
        <f>IFERROR(INDEX(样本到样信息汇总统计!H$2:H$500,MATCH(261,样本到样信息汇总统计!$Y$2:$Y$500,0)),"")</f>
        <v/>
      </c>
      <c r="I262" s="4" t="str">
        <f>IFERROR(INDEX(样本到样信息汇总统计!I$2:I$500,MATCH(261,样本到样信息汇总统计!$Y$2:$Y$500,0)),"")</f>
        <v/>
      </c>
      <c r="J262" s="4" t="str">
        <f>IFERROR(INDEX(样本到样信息汇总统计!J$2:J$500,MATCH(261,样本到样信息汇总统计!$Y$2:$Y$500,0)),"")</f>
        <v/>
      </c>
      <c r="K262" s="4" t="str">
        <f>IFERROR(INDEX(样本到样信息汇总统计!K$2:K$500,MATCH(261,样本到样信息汇总统计!$Y$2:$Y$500,0)),"")</f>
        <v/>
      </c>
      <c r="L262" s="4" t="str">
        <f>IFERROR(INDEX(样本到样信息汇总统计!L$2:L$500,MATCH(261,样本到样信息汇总统计!$Y$2:$Y$500,0)),"")</f>
        <v/>
      </c>
      <c r="M262" s="4" t="str">
        <f>IFERROR(INDEX(样本到样信息汇总统计!M$2:M$500,MATCH(261,样本到样信息汇总统计!$Y$2:$Y$500,0)),"")</f>
        <v/>
      </c>
      <c r="N262" s="4" t="str">
        <f>IFERROR(INDEX(样本到样信息汇总统计!N$2:N$500,MATCH(261,样本到样信息汇总统计!$Y$2:$Y$500,0)),"")</f>
        <v/>
      </c>
      <c r="O262" s="4" t="str">
        <f>IFERROR(INDEX(样本到样信息汇总统计!O$2:O$500,MATCH(261,样本到样信息汇总统计!$Y$2:$Y$500,0)),"")</f>
        <v/>
      </c>
      <c r="P262" s="4" t="str">
        <f>IFERROR(INDEX(样本到样信息汇总统计!P$2:P$500,MATCH(261,样本到样信息汇总统计!$Y$2:$Y$500,0)),"")</f>
        <v/>
      </c>
      <c r="Q262" s="4" t="str">
        <f>IFERROR(INDEX(样本到样信息汇总统计!Q$2:Q$500,MATCH(261,样本到样信息汇总统计!$Y$2:$Y$500,0)),"")</f>
        <v/>
      </c>
      <c r="R262" s="4" t="str">
        <f>IFERROR(INDEX(样本到样信息汇总统计!R$2:R$500,MATCH(261,样本到样信息汇总统计!$Y$2:$Y$500,0)),"")</f>
        <v/>
      </c>
      <c r="S262" s="4" t="str">
        <f>IFERROR(INDEX(样本到样信息汇总统计!S$2:S$500,MATCH(261,样本到样信息汇总统计!$Y$2:$Y$500,0)),"")</f>
        <v/>
      </c>
      <c r="T262" s="4" t="str">
        <f>IFERROR(INDEX(样本到样信息汇总统计!T$2:T$500,MATCH(261,样本到样信息汇总统计!$Y$2:$Y$500,0)),"")</f>
        <v/>
      </c>
      <c r="U262" s="4" t="str">
        <f>IFERROR(INDEX(样本到样信息汇总统计!U$2:U$500,MATCH(261,样本到样信息汇总统计!$Y$2:$Y$500,0)),"")</f>
        <v/>
      </c>
      <c r="V262" s="4" t="str">
        <f>IFERROR(INDEX(样本到样信息汇总统计!V$2:V$500,MATCH(261,样本到样信息汇总统计!$Y$2:$Y$500,0)),"")</f>
        <v/>
      </c>
      <c r="W262" s="4" t="str">
        <f>IFERROR(INDEX(样本到样信息汇总统计!W$2:W$500,MATCH(261,样本到样信息汇总统计!$Y$2:$Y$500,0)),"")</f>
        <v/>
      </c>
    </row>
    <row r="263" ht="14.5" spans="1:23">
      <c r="A263" s="8" t="str">
        <f>IFERROR(INDEX(样本到样信息汇总统计!A$2:A$500,MATCH(262,样本到样信息汇总统计!$Y$2:$Y$500,0)),"")</f>
        <v/>
      </c>
      <c r="B263" s="8" t="str">
        <f>IFERROR(INDEX(样本到样信息汇总统计!B$2:B$500,MATCH(262,样本到样信息汇总统计!$Y$2:$Y$500,0)),"")</f>
        <v/>
      </c>
      <c r="C263" s="8" t="str">
        <f>IFERROR(INDEX(样本到样信息汇总统计!C$2:C$500,MATCH(262,样本到样信息汇总统计!$Y$2:$Y$500,0)),"")</f>
        <v/>
      </c>
      <c r="D263" s="8" t="str">
        <f>IFERROR(INDEX(样本到样信息汇总统计!D$2:D$500,MATCH(262,样本到样信息汇总统计!$Y$2:$Y$500,0)),"")</f>
        <v/>
      </c>
      <c r="E263" s="8" t="str">
        <f>IFERROR(INDEX(样本到样信息汇总统计!E$2:E$500,MATCH(262,样本到样信息汇总统计!$Y$2:$Y$500,0)),"")</f>
        <v/>
      </c>
      <c r="F263" s="8" t="str">
        <f>IFERROR(INDEX(样本到样信息汇总统计!F$2:F$500,MATCH(262,样本到样信息汇总统计!$Y$2:$Y$500,0)),"")</f>
        <v/>
      </c>
      <c r="G263" s="8" t="str">
        <f>IFERROR(INDEX(样本到样信息汇总统计!G$2:G$500,MATCH(262,样本到样信息汇总统计!$Y$2:$Y$500,0)),"")</f>
        <v/>
      </c>
      <c r="H263" s="8" t="str">
        <f>IFERROR(INDEX(样本到样信息汇总统计!H$2:H$500,MATCH(262,样本到样信息汇总统计!$Y$2:$Y$500,0)),"")</f>
        <v/>
      </c>
      <c r="I263" s="8" t="str">
        <f>IFERROR(INDEX(样本到样信息汇总统计!I$2:I$500,MATCH(262,样本到样信息汇总统计!$Y$2:$Y$500,0)),"")</f>
        <v/>
      </c>
      <c r="J263" s="8" t="str">
        <f>IFERROR(INDEX(样本到样信息汇总统计!J$2:J$500,MATCH(262,样本到样信息汇总统计!$Y$2:$Y$500,0)),"")</f>
        <v/>
      </c>
      <c r="K263" s="8" t="str">
        <f>IFERROR(INDEX(样本到样信息汇总统计!K$2:K$500,MATCH(262,样本到样信息汇总统计!$Y$2:$Y$500,0)),"")</f>
        <v/>
      </c>
      <c r="L263" s="8" t="str">
        <f>IFERROR(INDEX(样本到样信息汇总统计!L$2:L$500,MATCH(262,样本到样信息汇总统计!$Y$2:$Y$500,0)),"")</f>
        <v/>
      </c>
      <c r="M263" s="8" t="str">
        <f>IFERROR(INDEX(样本到样信息汇总统计!M$2:M$500,MATCH(262,样本到样信息汇总统计!$Y$2:$Y$500,0)),"")</f>
        <v/>
      </c>
      <c r="N263" s="8" t="str">
        <f>IFERROR(INDEX(样本到样信息汇总统计!N$2:N$500,MATCH(262,样本到样信息汇总统计!$Y$2:$Y$500,0)),"")</f>
        <v/>
      </c>
      <c r="O263" s="8" t="str">
        <f>IFERROR(INDEX(样本到样信息汇总统计!O$2:O$500,MATCH(262,样本到样信息汇总统计!$Y$2:$Y$500,0)),"")</f>
        <v/>
      </c>
      <c r="P263" s="8" t="str">
        <f>IFERROR(INDEX(样本到样信息汇总统计!P$2:P$500,MATCH(262,样本到样信息汇总统计!$Y$2:$Y$500,0)),"")</f>
        <v/>
      </c>
      <c r="Q263" s="8" t="str">
        <f>IFERROR(INDEX(样本到样信息汇总统计!Q$2:Q$500,MATCH(262,样本到样信息汇总统计!$Y$2:$Y$500,0)),"")</f>
        <v/>
      </c>
      <c r="R263" s="8" t="str">
        <f>IFERROR(INDEX(样本到样信息汇总统计!R$2:R$500,MATCH(262,样本到样信息汇总统计!$Y$2:$Y$500,0)),"")</f>
        <v/>
      </c>
      <c r="S263" s="8" t="str">
        <f>IFERROR(INDEX(样本到样信息汇总统计!S$2:S$500,MATCH(262,样本到样信息汇总统计!$Y$2:$Y$500,0)),"")</f>
        <v/>
      </c>
      <c r="T263" s="8" t="str">
        <f>IFERROR(INDEX(样本到样信息汇总统计!T$2:T$500,MATCH(262,样本到样信息汇总统计!$Y$2:$Y$500,0)),"")</f>
        <v/>
      </c>
      <c r="U263" s="8" t="str">
        <f>IFERROR(INDEX(样本到样信息汇总统计!U$2:U$500,MATCH(262,样本到样信息汇总统计!$Y$2:$Y$500,0)),"")</f>
        <v/>
      </c>
      <c r="V263" s="8" t="str">
        <f>IFERROR(INDEX(样本到样信息汇总统计!V$2:V$500,MATCH(262,样本到样信息汇总统计!$Y$2:$Y$500,0)),"")</f>
        <v/>
      </c>
      <c r="W263" s="8" t="str">
        <f>IFERROR(INDEX(样本到样信息汇总统计!W$2:W$500,MATCH(262,样本到样信息汇总统计!$Y$2:$Y$500,0)),"")</f>
        <v/>
      </c>
    </row>
    <row r="264" ht="14.5" spans="1:23">
      <c r="A264" s="4" t="str">
        <f>IFERROR(INDEX(样本到样信息汇总统计!A$2:A$500,MATCH(263,样本到样信息汇总统计!$Y$2:$Y$500,0)),"")</f>
        <v/>
      </c>
      <c r="B264" s="4" t="str">
        <f>IFERROR(INDEX(样本到样信息汇总统计!B$2:B$500,MATCH(263,样本到样信息汇总统计!$Y$2:$Y$500,0)),"")</f>
        <v/>
      </c>
      <c r="C264" s="4" t="str">
        <f>IFERROR(INDEX(样本到样信息汇总统计!C$2:C$500,MATCH(263,样本到样信息汇总统计!$Y$2:$Y$500,0)),"")</f>
        <v/>
      </c>
      <c r="D264" s="4" t="str">
        <f>IFERROR(INDEX(样本到样信息汇总统计!D$2:D$500,MATCH(263,样本到样信息汇总统计!$Y$2:$Y$500,0)),"")</f>
        <v/>
      </c>
      <c r="E264" s="4" t="str">
        <f>IFERROR(INDEX(样本到样信息汇总统计!E$2:E$500,MATCH(263,样本到样信息汇总统计!$Y$2:$Y$500,0)),"")</f>
        <v/>
      </c>
      <c r="F264" s="4" t="str">
        <f>IFERROR(INDEX(样本到样信息汇总统计!F$2:F$500,MATCH(263,样本到样信息汇总统计!$Y$2:$Y$500,0)),"")</f>
        <v/>
      </c>
      <c r="G264" s="4" t="str">
        <f>IFERROR(INDEX(样本到样信息汇总统计!G$2:G$500,MATCH(263,样本到样信息汇总统计!$Y$2:$Y$500,0)),"")</f>
        <v/>
      </c>
      <c r="H264" s="4" t="str">
        <f>IFERROR(INDEX(样本到样信息汇总统计!H$2:H$500,MATCH(263,样本到样信息汇总统计!$Y$2:$Y$500,0)),"")</f>
        <v/>
      </c>
      <c r="I264" s="4" t="str">
        <f>IFERROR(INDEX(样本到样信息汇总统计!I$2:I$500,MATCH(263,样本到样信息汇总统计!$Y$2:$Y$500,0)),"")</f>
        <v/>
      </c>
      <c r="J264" s="4" t="str">
        <f>IFERROR(INDEX(样本到样信息汇总统计!J$2:J$500,MATCH(263,样本到样信息汇总统计!$Y$2:$Y$500,0)),"")</f>
        <v/>
      </c>
      <c r="K264" s="4" t="str">
        <f>IFERROR(INDEX(样本到样信息汇总统计!K$2:K$500,MATCH(263,样本到样信息汇总统计!$Y$2:$Y$500,0)),"")</f>
        <v/>
      </c>
      <c r="L264" s="4" t="str">
        <f>IFERROR(INDEX(样本到样信息汇总统计!L$2:L$500,MATCH(263,样本到样信息汇总统计!$Y$2:$Y$500,0)),"")</f>
        <v/>
      </c>
      <c r="M264" s="4" t="str">
        <f>IFERROR(INDEX(样本到样信息汇总统计!M$2:M$500,MATCH(263,样本到样信息汇总统计!$Y$2:$Y$500,0)),"")</f>
        <v/>
      </c>
      <c r="N264" s="4" t="str">
        <f>IFERROR(INDEX(样本到样信息汇总统计!N$2:N$500,MATCH(263,样本到样信息汇总统计!$Y$2:$Y$500,0)),"")</f>
        <v/>
      </c>
      <c r="O264" s="4" t="str">
        <f>IFERROR(INDEX(样本到样信息汇总统计!O$2:O$500,MATCH(263,样本到样信息汇总统计!$Y$2:$Y$500,0)),"")</f>
        <v/>
      </c>
      <c r="P264" s="4" t="str">
        <f>IFERROR(INDEX(样本到样信息汇总统计!P$2:P$500,MATCH(263,样本到样信息汇总统计!$Y$2:$Y$500,0)),"")</f>
        <v/>
      </c>
      <c r="Q264" s="4" t="str">
        <f>IFERROR(INDEX(样本到样信息汇总统计!Q$2:Q$500,MATCH(263,样本到样信息汇总统计!$Y$2:$Y$500,0)),"")</f>
        <v/>
      </c>
      <c r="R264" s="4" t="str">
        <f>IFERROR(INDEX(样本到样信息汇总统计!R$2:R$500,MATCH(263,样本到样信息汇总统计!$Y$2:$Y$500,0)),"")</f>
        <v/>
      </c>
      <c r="S264" s="4" t="str">
        <f>IFERROR(INDEX(样本到样信息汇总统计!S$2:S$500,MATCH(263,样本到样信息汇总统计!$Y$2:$Y$500,0)),"")</f>
        <v/>
      </c>
      <c r="T264" s="4" t="str">
        <f>IFERROR(INDEX(样本到样信息汇总统计!T$2:T$500,MATCH(263,样本到样信息汇总统计!$Y$2:$Y$500,0)),"")</f>
        <v/>
      </c>
      <c r="U264" s="4" t="str">
        <f>IFERROR(INDEX(样本到样信息汇总统计!U$2:U$500,MATCH(263,样本到样信息汇总统计!$Y$2:$Y$500,0)),"")</f>
        <v/>
      </c>
      <c r="V264" s="4" t="str">
        <f>IFERROR(INDEX(样本到样信息汇总统计!V$2:V$500,MATCH(263,样本到样信息汇总统计!$Y$2:$Y$500,0)),"")</f>
        <v/>
      </c>
      <c r="W264" s="4" t="str">
        <f>IFERROR(INDEX(样本到样信息汇总统计!W$2:W$500,MATCH(263,样本到样信息汇总统计!$Y$2:$Y$500,0)),"")</f>
        <v/>
      </c>
    </row>
    <row r="265" ht="14.5" spans="1:23">
      <c r="A265" s="8" t="str">
        <f>IFERROR(INDEX(样本到样信息汇总统计!A$2:A$500,MATCH(264,样本到样信息汇总统计!$Y$2:$Y$500,0)),"")</f>
        <v/>
      </c>
      <c r="B265" s="8" t="str">
        <f>IFERROR(INDEX(样本到样信息汇总统计!B$2:B$500,MATCH(264,样本到样信息汇总统计!$Y$2:$Y$500,0)),"")</f>
        <v/>
      </c>
      <c r="C265" s="8" t="str">
        <f>IFERROR(INDEX(样本到样信息汇总统计!C$2:C$500,MATCH(264,样本到样信息汇总统计!$Y$2:$Y$500,0)),"")</f>
        <v/>
      </c>
      <c r="D265" s="8" t="str">
        <f>IFERROR(INDEX(样本到样信息汇总统计!D$2:D$500,MATCH(264,样本到样信息汇总统计!$Y$2:$Y$500,0)),"")</f>
        <v/>
      </c>
      <c r="E265" s="8" t="str">
        <f>IFERROR(INDEX(样本到样信息汇总统计!E$2:E$500,MATCH(264,样本到样信息汇总统计!$Y$2:$Y$500,0)),"")</f>
        <v/>
      </c>
      <c r="F265" s="8" t="str">
        <f>IFERROR(INDEX(样本到样信息汇总统计!F$2:F$500,MATCH(264,样本到样信息汇总统计!$Y$2:$Y$500,0)),"")</f>
        <v/>
      </c>
      <c r="G265" s="8" t="str">
        <f>IFERROR(INDEX(样本到样信息汇总统计!G$2:G$500,MATCH(264,样本到样信息汇总统计!$Y$2:$Y$500,0)),"")</f>
        <v/>
      </c>
      <c r="H265" s="8" t="str">
        <f>IFERROR(INDEX(样本到样信息汇总统计!H$2:H$500,MATCH(264,样本到样信息汇总统计!$Y$2:$Y$500,0)),"")</f>
        <v/>
      </c>
      <c r="I265" s="8" t="str">
        <f>IFERROR(INDEX(样本到样信息汇总统计!I$2:I$500,MATCH(264,样本到样信息汇总统计!$Y$2:$Y$500,0)),"")</f>
        <v/>
      </c>
      <c r="J265" s="8" t="str">
        <f>IFERROR(INDEX(样本到样信息汇总统计!J$2:J$500,MATCH(264,样本到样信息汇总统计!$Y$2:$Y$500,0)),"")</f>
        <v/>
      </c>
      <c r="K265" s="8" t="str">
        <f>IFERROR(INDEX(样本到样信息汇总统计!K$2:K$500,MATCH(264,样本到样信息汇总统计!$Y$2:$Y$500,0)),"")</f>
        <v/>
      </c>
      <c r="L265" s="8" t="str">
        <f>IFERROR(INDEX(样本到样信息汇总统计!L$2:L$500,MATCH(264,样本到样信息汇总统计!$Y$2:$Y$500,0)),"")</f>
        <v/>
      </c>
      <c r="M265" s="8" t="str">
        <f>IFERROR(INDEX(样本到样信息汇总统计!M$2:M$500,MATCH(264,样本到样信息汇总统计!$Y$2:$Y$500,0)),"")</f>
        <v/>
      </c>
      <c r="N265" s="8" t="str">
        <f>IFERROR(INDEX(样本到样信息汇总统计!N$2:N$500,MATCH(264,样本到样信息汇总统计!$Y$2:$Y$500,0)),"")</f>
        <v/>
      </c>
      <c r="O265" s="8" t="str">
        <f>IFERROR(INDEX(样本到样信息汇总统计!O$2:O$500,MATCH(264,样本到样信息汇总统计!$Y$2:$Y$500,0)),"")</f>
        <v/>
      </c>
      <c r="P265" s="8" t="str">
        <f>IFERROR(INDEX(样本到样信息汇总统计!P$2:P$500,MATCH(264,样本到样信息汇总统计!$Y$2:$Y$500,0)),"")</f>
        <v/>
      </c>
      <c r="Q265" s="8" t="str">
        <f>IFERROR(INDEX(样本到样信息汇总统计!Q$2:Q$500,MATCH(264,样本到样信息汇总统计!$Y$2:$Y$500,0)),"")</f>
        <v/>
      </c>
      <c r="R265" s="8" t="str">
        <f>IFERROR(INDEX(样本到样信息汇总统计!R$2:R$500,MATCH(264,样本到样信息汇总统计!$Y$2:$Y$500,0)),"")</f>
        <v/>
      </c>
      <c r="S265" s="8" t="str">
        <f>IFERROR(INDEX(样本到样信息汇总统计!S$2:S$500,MATCH(264,样本到样信息汇总统计!$Y$2:$Y$500,0)),"")</f>
        <v/>
      </c>
      <c r="T265" s="8" t="str">
        <f>IFERROR(INDEX(样本到样信息汇总统计!T$2:T$500,MATCH(264,样本到样信息汇总统计!$Y$2:$Y$500,0)),"")</f>
        <v/>
      </c>
      <c r="U265" s="8" t="str">
        <f>IFERROR(INDEX(样本到样信息汇总统计!U$2:U$500,MATCH(264,样本到样信息汇总统计!$Y$2:$Y$500,0)),"")</f>
        <v/>
      </c>
      <c r="V265" s="8" t="str">
        <f>IFERROR(INDEX(样本到样信息汇总统计!V$2:V$500,MATCH(264,样本到样信息汇总统计!$Y$2:$Y$500,0)),"")</f>
        <v/>
      </c>
      <c r="W265" s="8" t="str">
        <f>IFERROR(INDEX(样本到样信息汇总统计!W$2:W$500,MATCH(264,样本到样信息汇总统计!$Y$2:$Y$500,0)),"")</f>
        <v/>
      </c>
    </row>
    <row r="266" ht="14.5" spans="1:23">
      <c r="A266" s="4" t="str">
        <f>IFERROR(INDEX(样本到样信息汇总统计!A$2:A$500,MATCH(265,样本到样信息汇总统计!$Y$2:$Y$500,0)),"")</f>
        <v/>
      </c>
      <c r="B266" s="4" t="str">
        <f>IFERROR(INDEX(样本到样信息汇总统计!B$2:B$500,MATCH(265,样本到样信息汇总统计!$Y$2:$Y$500,0)),"")</f>
        <v/>
      </c>
      <c r="C266" s="4" t="str">
        <f>IFERROR(INDEX(样本到样信息汇总统计!C$2:C$500,MATCH(265,样本到样信息汇总统计!$Y$2:$Y$500,0)),"")</f>
        <v/>
      </c>
      <c r="D266" s="4" t="str">
        <f>IFERROR(INDEX(样本到样信息汇总统计!D$2:D$500,MATCH(265,样本到样信息汇总统计!$Y$2:$Y$500,0)),"")</f>
        <v/>
      </c>
      <c r="E266" s="4" t="str">
        <f>IFERROR(INDEX(样本到样信息汇总统计!E$2:E$500,MATCH(265,样本到样信息汇总统计!$Y$2:$Y$500,0)),"")</f>
        <v/>
      </c>
      <c r="F266" s="4" t="str">
        <f>IFERROR(INDEX(样本到样信息汇总统计!F$2:F$500,MATCH(265,样本到样信息汇总统计!$Y$2:$Y$500,0)),"")</f>
        <v/>
      </c>
      <c r="G266" s="4" t="str">
        <f>IFERROR(INDEX(样本到样信息汇总统计!G$2:G$500,MATCH(265,样本到样信息汇总统计!$Y$2:$Y$500,0)),"")</f>
        <v/>
      </c>
      <c r="H266" s="4" t="str">
        <f>IFERROR(INDEX(样本到样信息汇总统计!H$2:H$500,MATCH(265,样本到样信息汇总统计!$Y$2:$Y$500,0)),"")</f>
        <v/>
      </c>
      <c r="I266" s="4" t="str">
        <f>IFERROR(INDEX(样本到样信息汇总统计!I$2:I$500,MATCH(265,样本到样信息汇总统计!$Y$2:$Y$500,0)),"")</f>
        <v/>
      </c>
      <c r="J266" s="4" t="str">
        <f>IFERROR(INDEX(样本到样信息汇总统计!J$2:J$500,MATCH(265,样本到样信息汇总统计!$Y$2:$Y$500,0)),"")</f>
        <v/>
      </c>
      <c r="K266" s="4" t="str">
        <f>IFERROR(INDEX(样本到样信息汇总统计!K$2:K$500,MATCH(265,样本到样信息汇总统计!$Y$2:$Y$500,0)),"")</f>
        <v/>
      </c>
      <c r="L266" s="4" t="str">
        <f>IFERROR(INDEX(样本到样信息汇总统计!L$2:L$500,MATCH(265,样本到样信息汇总统计!$Y$2:$Y$500,0)),"")</f>
        <v/>
      </c>
      <c r="M266" s="4" t="str">
        <f>IFERROR(INDEX(样本到样信息汇总统计!M$2:M$500,MATCH(265,样本到样信息汇总统计!$Y$2:$Y$500,0)),"")</f>
        <v/>
      </c>
      <c r="N266" s="4" t="str">
        <f>IFERROR(INDEX(样本到样信息汇总统计!N$2:N$500,MATCH(265,样本到样信息汇总统计!$Y$2:$Y$500,0)),"")</f>
        <v/>
      </c>
      <c r="O266" s="4" t="str">
        <f>IFERROR(INDEX(样本到样信息汇总统计!O$2:O$500,MATCH(265,样本到样信息汇总统计!$Y$2:$Y$500,0)),"")</f>
        <v/>
      </c>
      <c r="P266" s="4" t="str">
        <f>IFERROR(INDEX(样本到样信息汇总统计!P$2:P$500,MATCH(265,样本到样信息汇总统计!$Y$2:$Y$500,0)),"")</f>
        <v/>
      </c>
      <c r="Q266" s="4" t="str">
        <f>IFERROR(INDEX(样本到样信息汇总统计!Q$2:Q$500,MATCH(265,样本到样信息汇总统计!$Y$2:$Y$500,0)),"")</f>
        <v/>
      </c>
      <c r="R266" s="4" t="str">
        <f>IFERROR(INDEX(样本到样信息汇总统计!R$2:R$500,MATCH(265,样本到样信息汇总统计!$Y$2:$Y$500,0)),"")</f>
        <v/>
      </c>
      <c r="S266" s="4" t="str">
        <f>IFERROR(INDEX(样本到样信息汇总统计!S$2:S$500,MATCH(265,样本到样信息汇总统计!$Y$2:$Y$500,0)),"")</f>
        <v/>
      </c>
      <c r="T266" s="4" t="str">
        <f>IFERROR(INDEX(样本到样信息汇总统计!T$2:T$500,MATCH(265,样本到样信息汇总统计!$Y$2:$Y$500,0)),"")</f>
        <v/>
      </c>
      <c r="U266" s="4" t="str">
        <f>IFERROR(INDEX(样本到样信息汇总统计!U$2:U$500,MATCH(265,样本到样信息汇总统计!$Y$2:$Y$500,0)),"")</f>
        <v/>
      </c>
      <c r="V266" s="4" t="str">
        <f>IFERROR(INDEX(样本到样信息汇总统计!V$2:V$500,MATCH(265,样本到样信息汇总统计!$Y$2:$Y$500,0)),"")</f>
        <v/>
      </c>
      <c r="W266" s="4" t="str">
        <f>IFERROR(INDEX(样本到样信息汇总统计!W$2:W$500,MATCH(265,样本到样信息汇总统计!$Y$2:$Y$500,0)),"")</f>
        <v/>
      </c>
    </row>
    <row r="267" ht="14.5" spans="1:23">
      <c r="A267" s="8" t="str">
        <f>IFERROR(INDEX(样本到样信息汇总统计!A$2:A$500,MATCH(266,样本到样信息汇总统计!$Y$2:$Y$500,0)),"")</f>
        <v/>
      </c>
      <c r="B267" s="8" t="str">
        <f>IFERROR(INDEX(样本到样信息汇总统计!B$2:B$500,MATCH(266,样本到样信息汇总统计!$Y$2:$Y$500,0)),"")</f>
        <v/>
      </c>
      <c r="C267" s="8" t="str">
        <f>IFERROR(INDEX(样本到样信息汇总统计!C$2:C$500,MATCH(266,样本到样信息汇总统计!$Y$2:$Y$500,0)),"")</f>
        <v/>
      </c>
      <c r="D267" s="8" t="str">
        <f>IFERROR(INDEX(样本到样信息汇总统计!D$2:D$500,MATCH(266,样本到样信息汇总统计!$Y$2:$Y$500,0)),"")</f>
        <v/>
      </c>
      <c r="E267" s="8" t="str">
        <f>IFERROR(INDEX(样本到样信息汇总统计!E$2:E$500,MATCH(266,样本到样信息汇总统计!$Y$2:$Y$500,0)),"")</f>
        <v/>
      </c>
      <c r="F267" s="8" t="str">
        <f>IFERROR(INDEX(样本到样信息汇总统计!F$2:F$500,MATCH(266,样本到样信息汇总统计!$Y$2:$Y$500,0)),"")</f>
        <v/>
      </c>
      <c r="G267" s="8" t="str">
        <f>IFERROR(INDEX(样本到样信息汇总统计!G$2:G$500,MATCH(266,样本到样信息汇总统计!$Y$2:$Y$500,0)),"")</f>
        <v/>
      </c>
      <c r="H267" s="8" t="str">
        <f>IFERROR(INDEX(样本到样信息汇总统计!H$2:H$500,MATCH(266,样本到样信息汇总统计!$Y$2:$Y$500,0)),"")</f>
        <v/>
      </c>
      <c r="I267" s="8" t="str">
        <f>IFERROR(INDEX(样本到样信息汇总统计!I$2:I$500,MATCH(266,样本到样信息汇总统计!$Y$2:$Y$500,0)),"")</f>
        <v/>
      </c>
      <c r="J267" s="8" t="str">
        <f>IFERROR(INDEX(样本到样信息汇总统计!J$2:J$500,MATCH(266,样本到样信息汇总统计!$Y$2:$Y$500,0)),"")</f>
        <v/>
      </c>
      <c r="K267" s="8" t="str">
        <f>IFERROR(INDEX(样本到样信息汇总统计!K$2:K$500,MATCH(266,样本到样信息汇总统计!$Y$2:$Y$500,0)),"")</f>
        <v/>
      </c>
      <c r="L267" s="8" t="str">
        <f>IFERROR(INDEX(样本到样信息汇总统计!L$2:L$500,MATCH(266,样本到样信息汇总统计!$Y$2:$Y$500,0)),"")</f>
        <v/>
      </c>
      <c r="M267" s="8" t="str">
        <f>IFERROR(INDEX(样本到样信息汇总统计!M$2:M$500,MATCH(266,样本到样信息汇总统计!$Y$2:$Y$500,0)),"")</f>
        <v/>
      </c>
      <c r="N267" s="8" t="str">
        <f>IFERROR(INDEX(样本到样信息汇总统计!N$2:N$500,MATCH(266,样本到样信息汇总统计!$Y$2:$Y$500,0)),"")</f>
        <v/>
      </c>
      <c r="O267" s="8" t="str">
        <f>IFERROR(INDEX(样本到样信息汇总统计!O$2:O$500,MATCH(266,样本到样信息汇总统计!$Y$2:$Y$500,0)),"")</f>
        <v/>
      </c>
      <c r="P267" s="8" t="str">
        <f>IFERROR(INDEX(样本到样信息汇总统计!P$2:P$500,MATCH(266,样本到样信息汇总统计!$Y$2:$Y$500,0)),"")</f>
        <v/>
      </c>
      <c r="Q267" s="8" t="str">
        <f>IFERROR(INDEX(样本到样信息汇总统计!Q$2:Q$500,MATCH(266,样本到样信息汇总统计!$Y$2:$Y$500,0)),"")</f>
        <v/>
      </c>
      <c r="R267" s="8" t="str">
        <f>IFERROR(INDEX(样本到样信息汇总统计!R$2:R$500,MATCH(266,样本到样信息汇总统计!$Y$2:$Y$500,0)),"")</f>
        <v/>
      </c>
      <c r="S267" s="8" t="str">
        <f>IFERROR(INDEX(样本到样信息汇总统计!S$2:S$500,MATCH(266,样本到样信息汇总统计!$Y$2:$Y$500,0)),"")</f>
        <v/>
      </c>
      <c r="T267" s="8" t="str">
        <f>IFERROR(INDEX(样本到样信息汇总统计!T$2:T$500,MATCH(266,样本到样信息汇总统计!$Y$2:$Y$500,0)),"")</f>
        <v/>
      </c>
      <c r="U267" s="8" t="str">
        <f>IFERROR(INDEX(样本到样信息汇总统计!U$2:U$500,MATCH(266,样本到样信息汇总统计!$Y$2:$Y$500,0)),"")</f>
        <v/>
      </c>
      <c r="V267" s="8" t="str">
        <f>IFERROR(INDEX(样本到样信息汇总统计!V$2:V$500,MATCH(266,样本到样信息汇总统计!$Y$2:$Y$500,0)),"")</f>
        <v/>
      </c>
      <c r="W267" s="8" t="str">
        <f>IFERROR(INDEX(样本到样信息汇总统计!W$2:W$500,MATCH(266,样本到样信息汇总统计!$Y$2:$Y$500,0)),"")</f>
        <v/>
      </c>
    </row>
    <row r="268" ht="14.5" spans="1:23">
      <c r="A268" s="4" t="str">
        <f>IFERROR(INDEX(样本到样信息汇总统计!A$2:A$500,MATCH(267,样本到样信息汇总统计!$Y$2:$Y$500,0)),"")</f>
        <v/>
      </c>
      <c r="B268" s="4" t="str">
        <f>IFERROR(INDEX(样本到样信息汇总统计!B$2:B$500,MATCH(267,样本到样信息汇总统计!$Y$2:$Y$500,0)),"")</f>
        <v/>
      </c>
      <c r="C268" s="4" t="str">
        <f>IFERROR(INDEX(样本到样信息汇总统计!C$2:C$500,MATCH(267,样本到样信息汇总统计!$Y$2:$Y$500,0)),"")</f>
        <v/>
      </c>
      <c r="D268" s="4" t="str">
        <f>IFERROR(INDEX(样本到样信息汇总统计!D$2:D$500,MATCH(267,样本到样信息汇总统计!$Y$2:$Y$500,0)),"")</f>
        <v/>
      </c>
      <c r="E268" s="4" t="str">
        <f>IFERROR(INDEX(样本到样信息汇总统计!E$2:E$500,MATCH(267,样本到样信息汇总统计!$Y$2:$Y$500,0)),"")</f>
        <v/>
      </c>
      <c r="F268" s="4" t="str">
        <f>IFERROR(INDEX(样本到样信息汇总统计!F$2:F$500,MATCH(267,样本到样信息汇总统计!$Y$2:$Y$500,0)),"")</f>
        <v/>
      </c>
      <c r="G268" s="4" t="str">
        <f>IFERROR(INDEX(样本到样信息汇总统计!G$2:G$500,MATCH(267,样本到样信息汇总统计!$Y$2:$Y$500,0)),"")</f>
        <v/>
      </c>
      <c r="H268" s="4" t="str">
        <f>IFERROR(INDEX(样本到样信息汇总统计!H$2:H$500,MATCH(267,样本到样信息汇总统计!$Y$2:$Y$500,0)),"")</f>
        <v/>
      </c>
      <c r="I268" s="4" t="str">
        <f>IFERROR(INDEX(样本到样信息汇总统计!I$2:I$500,MATCH(267,样本到样信息汇总统计!$Y$2:$Y$500,0)),"")</f>
        <v/>
      </c>
      <c r="J268" s="4" t="str">
        <f>IFERROR(INDEX(样本到样信息汇总统计!J$2:J$500,MATCH(267,样本到样信息汇总统计!$Y$2:$Y$500,0)),"")</f>
        <v/>
      </c>
      <c r="K268" s="4" t="str">
        <f>IFERROR(INDEX(样本到样信息汇总统计!K$2:K$500,MATCH(267,样本到样信息汇总统计!$Y$2:$Y$500,0)),"")</f>
        <v/>
      </c>
      <c r="L268" s="4" t="str">
        <f>IFERROR(INDEX(样本到样信息汇总统计!L$2:L$500,MATCH(267,样本到样信息汇总统计!$Y$2:$Y$500,0)),"")</f>
        <v/>
      </c>
      <c r="M268" s="4" t="str">
        <f>IFERROR(INDEX(样本到样信息汇总统计!M$2:M$500,MATCH(267,样本到样信息汇总统计!$Y$2:$Y$500,0)),"")</f>
        <v/>
      </c>
      <c r="N268" s="4" t="str">
        <f>IFERROR(INDEX(样本到样信息汇总统计!N$2:N$500,MATCH(267,样本到样信息汇总统计!$Y$2:$Y$500,0)),"")</f>
        <v/>
      </c>
      <c r="O268" s="4" t="str">
        <f>IFERROR(INDEX(样本到样信息汇总统计!O$2:O$500,MATCH(267,样本到样信息汇总统计!$Y$2:$Y$500,0)),"")</f>
        <v/>
      </c>
      <c r="P268" s="4" t="str">
        <f>IFERROR(INDEX(样本到样信息汇总统计!P$2:P$500,MATCH(267,样本到样信息汇总统计!$Y$2:$Y$500,0)),"")</f>
        <v/>
      </c>
      <c r="Q268" s="4" t="str">
        <f>IFERROR(INDEX(样本到样信息汇总统计!Q$2:Q$500,MATCH(267,样本到样信息汇总统计!$Y$2:$Y$500,0)),"")</f>
        <v/>
      </c>
      <c r="R268" s="4" t="str">
        <f>IFERROR(INDEX(样本到样信息汇总统计!R$2:R$500,MATCH(267,样本到样信息汇总统计!$Y$2:$Y$500,0)),"")</f>
        <v/>
      </c>
      <c r="S268" s="4" t="str">
        <f>IFERROR(INDEX(样本到样信息汇总统计!S$2:S$500,MATCH(267,样本到样信息汇总统计!$Y$2:$Y$500,0)),"")</f>
        <v/>
      </c>
      <c r="T268" s="4" t="str">
        <f>IFERROR(INDEX(样本到样信息汇总统计!T$2:T$500,MATCH(267,样本到样信息汇总统计!$Y$2:$Y$500,0)),"")</f>
        <v/>
      </c>
      <c r="U268" s="4" t="str">
        <f>IFERROR(INDEX(样本到样信息汇总统计!U$2:U$500,MATCH(267,样本到样信息汇总统计!$Y$2:$Y$500,0)),"")</f>
        <v/>
      </c>
      <c r="V268" s="4" t="str">
        <f>IFERROR(INDEX(样本到样信息汇总统计!V$2:V$500,MATCH(267,样本到样信息汇总统计!$Y$2:$Y$500,0)),"")</f>
        <v/>
      </c>
      <c r="W268" s="4" t="str">
        <f>IFERROR(INDEX(样本到样信息汇总统计!W$2:W$500,MATCH(267,样本到样信息汇总统计!$Y$2:$Y$500,0)),"")</f>
        <v/>
      </c>
    </row>
    <row r="269" ht="14.5" spans="1:23">
      <c r="A269" s="8" t="str">
        <f>IFERROR(INDEX(样本到样信息汇总统计!A$2:A$500,MATCH(268,样本到样信息汇总统计!$Y$2:$Y$500,0)),"")</f>
        <v/>
      </c>
      <c r="B269" s="8" t="str">
        <f>IFERROR(INDEX(样本到样信息汇总统计!B$2:B$500,MATCH(268,样本到样信息汇总统计!$Y$2:$Y$500,0)),"")</f>
        <v/>
      </c>
      <c r="C269" s="8" t="str">
        <f>IFERROR(INDEX(样本到样信息汇总统计!C$2:C$500,MATCH(268,样本到样信息汇总统计!$Y$2:$Y$500,0)),"")</f>
        <v/>
      </c>
      <c r="D269" s="8" t="str">
        <f>IFERROR(INDEX(样本到样信息汇总统计!D$2:D$500,MATCH(268,样本到样信息汇总统计!$Y$2:$Y$500,0)),"")</f>
        <v/>
      </c>
      <c r="E269" s="8" t="str">
        <f>IFERROR(INDEX(样本到样信息汇总统计!E$2:E$500,MATCH(268,样本到样信息汇总统计!$Y$2:$Y$500,0)),"")</f>
        <v/>
      </c>
      <c r="F269" s="8" t="str">
        <f>IFERROR(INDEX(样本到样信息汇总统计!F$2:F$500,MATCH(268,样本到样信息汇总统计!$Y$2:$Y$500,0)),"")</f>
        <v/>
      </c>
      <c r="G269" s="8" t="str">
        <f>IFERROR(INDEX(样本到样信息汇总统计!G$2:G$500,MATCH(268,样本到样信息汇总统计!$Y$2:$Y$500,0)),"")</f>
        <v/>
      </c>
      <c r="H269" s="8" t="str">
        <f>IFERROR(INDEX(样本到样信息汇总统计!H$2:H$500,MATCH(268,样本到样信息汇总统计!$Y$2:$Y$500,0)),"")</f>
        <v/>
      </c>
      <c r="I269" s="8" t="str">
        <f>IFERROR(INDEX(样本到样信息汇总统计!I$2:I$500,MATCH(268,样本到样信息汇总统计!$Y$2:$Y$500,0)),"")</f>
        <v/>
      </c>
      <c r="J269" s="8" t="str">
        <f>IFERROR(INDEX(样本到样信息汇总统计!J$2:J$500,MATCH(268,样本到样信息汇总统计!$Y$2:$Y$500,0)),"")</f>
        <v/>
      </c>
      <c r="K269" s="8" t="str">
        <f>IFERROR(INDEX(样本到样信息汇总统计!K$2:K$500,MATCH(268,样本到样信息汇总统计!$Y$2:$Y$500,0)),"")</f>
        <v/>
      </c>
      <c r="L269" s="8" t="str">
        <f>IFERROR(INDEX(样本到样信息汇总统计!L$2:L$500,MATCH(268,样本到样信息汇总统计!$Y$2:$Y$500,0)),"")</f>
        <v/>
      </c>
      <c r="M269" s="8" t="str">
        <f>IFERROR(INDEX(样本到样信息汇总统计!M$2:M$500,MATCH(268,样本到样信息汇总统计!$Y$2:$Y$500,0)),"")</f>
        <v/>
      </c>
      <c r="N269" s="8" t="str">
        <f>IFERROR(INDEX(样本到样信息汇总统计!N$2:N$500,MATCH(268,样本到样信息汇总统计!$Y$2:$Y$500,0)),"")</f>
        <v/>
      </c>
      <c r="O269" s="8" t="str">
        <f>IFERROR(INDEX(样本到样信息汇总统计!O$2:O$500,MATCH(268,样本到样信息汇总统计!$Y$2:$Y$500,0)),"")</f>
        <v/>
      </c>
      <c r="P269" s="8" t="str">
        <f>IFERROR(INDEX(样本到样信息汇总统计!P$2:P$500,MATCH(268,样本到样信息汇总统计!$Y$2:$Y$500,0)),"")</f>
        <v/>
      </c>
      <c r="Q269" s="8" t="str">
        <f>IFERROR(INDEX(样本到样信息汇总统计!Q$2:Q$500,MATCH(268,样本到样信息汇总统计!$Y$2:$Y$500,0)),"")</f>
        <v/>
      </c>
      <c r="R269" s="8" t="str">
        <f>IFERROR(INDEX(样本到样信息汇总统计!R$2:R$500,MATCH(268,样本到样信息汇总统计!$Y$2:$Y$500,0)),"")</f>
        <v/>
      </c>
      <c r="S269" s="8" t="str">
        <f>IFERROR(INDEX(样本到样信息汇总统计!S$2:S$500,MATCH(268,样本到样信息汇总统计!$Y$2:$Y$500,0)),"")</f>
        <v/>
      </c>
      <c r="T269" s="8" t="str">
        <f>IFERROR(INDEX(样本到样信息汇总统计!T$2:T$500,MATCH(268,样本到样信息汇总统计!$Y$2:$Y$500,0)),"")</f>
        <v/>
      </c>
      <c r="U269" s="8" t="str">
        <f>IFERROR(INDEX(样本到样信息汇总统计!U$2:U$500,MATCH(268,样本到样信息汇总统计!$Y$2:$Y$500,0)),"")</f>
        <v/>
      </c>
      <c r="V269" s="8" t="str">
        <f>IFERROR(INDEX(样本到样信息汇总统计!V$2:V$500,MATCH(268,样本到样信息汇总统计!$Y$2:$Y$500,0)),"")</f>
        <v/>
      </c>
      <c r="W269" s="8" t="str">
        <f>IFERROR(INDEX(样本到样信息汇总统计!W$2:W$500,MATCH(268,样本到样信息汇总统计!$Y$2:$Y$500,0)),"")</f>
        <v/>
      </c>
    </row>
    <row r="270" ht="14.5" spans="1:23">
      <c r="A270" s="4" t="str">
        <f>IFERROR(INDEX(样本到样信息汇总统计!A$2:A$500,MATCH(269,样本到样信息汇总统计!$Y$2:$Y$500,0)),"")</f>
        <v/>
      </c>
      <c r="B270" s="4" t="str">
        <f>IFERROR(INDEX(样本到样信息汇总统计!B$2:B$500,MATCH(269,样本到样信息汇总统计!$Y$2:$Y$500,0)),"")</f>
        <v/>
      </c>
      <c r="C270" s="4" t="str">
        <f>IFERROR(INDEX(样本到样信息汇总统计!C$2:C$500,MATCH(269,样本到样信息汇总统计!$Y$2:$Y$500,0)),"")</f>
        <v/>
      </c>
      <c r="D270" s="4" t="str">
        <f>IFERROR(INDEX(样本到样信息汇总统计!D$2:D$500,MATCH(269,样本到样信息汇总统计!$Y$2:$Y$500,0)),"")</f>
        <v/>
      </c>
      <c r="E270" s="4" t="str">
        <f>IFERROR(INDEX(样本到样信息汇总统计!E$2:E$500,MATCH(269,样本到样信息汇总统计!$Y$2:$Y$500,0)),"")</f>
        <v/>
      </c>
      <c r="F270" s="4" t="str">
        <f>IFERROR(INDEX(样本到样信息汇总统计!F$2:F$500,MATCH(269,样本到样信息汇总统计!$Y$2:$Y$500,0)),"")</f>
        <v/>
      </c>
      <c r="G270" s="4" t="str">
        <f>IFERROR(INDEX(样本到样信息汇总统计!G$2:G$500,MATCH(269,样本到样信息汇总统计!$Y$2:$Y$500,0)),"")</f>
        <v/>
      </c>
      <c r="H270" s="4" t="str">
        <f>IFERROR(INDEX(样本到样信息汇总统计!H$2:H$500,MATCH(269,样本到样信息汇总统计!$Y$2:$Y$500,0)),"")</f>
        <v/>
      </c>
      <c r="I270" s="4" t="str">
        <f>IFERROR(INDEX(样本到样信息汇总统计!I$2:I$500,MATCH(269,样本到样信息汇总统计!$Y$2:$Y$500,0)),"")</f>
        <v/>
      </c>
      <c r="J270" s="4" t="str">
        <f>IFERROR(INDEX(样本到样信息汇总统计!J$2:J$500,MATCH(269,样本到样信息汇总统计!$Y$2:$Y$500,0)),"")</f>
        <v/>
      </c>
      <c r="K270" s="4" t="str">
        <f>IFERROR(INDEX(样本到样信息汇总统计!K$2:K$500,MATCH(269,样本到样信息汇总统计!$Y$2:$Y$500,0)),"")</f>
        <v/>
      </c>
      <c r="L270" s="4" t="str">
        <f>IFERROR(INDEX(样本到样信息汇总统计!L$2:L$500,MATCH(269,样本到样信息汇总统计!$Y$2:$Y$500,0)),"")</f>
        <v/>
      </c>
      <c r="M270" s="4" t="str">
        <f>IFERROR(INDEX(样本到样信息汇总统计!M$2:M$500,MATCH(269,样本到样信息汇总统计!$Y$2:$Y$500,0)),"")</f>
        <v/>
      </c>
      <c r="N270" s="4" t="str">
        <f>IFERROR(INDEX(样本到样信息汇总统计!N$2:N$500,MATCH(269,样本到样信息汇总统计!$Y$2:$Y$500,0)),"")</f>
        <v/>
      </c>
      <c r="O270" s="4" t="str">
        <f>IFERROR(INDEX(样本到样信息汇总统计!O$2:O$500,MATCH(269,样本到样信息汇总统计!$Y$2:$Y$500,0)),"")</f>
        <v/>
      </c>
      <c r="P270" s="4" t="str">
        <f>IFERROR(INDEX(样本到样信息汇总统计!P$2:P$500,MATCH(269,样本到样信息汇总统计!$Y$2:$Y$500,0)),"")</f>
        <v/>
      </c>
      <c r="Q270" s="4" t="str">
        <f>IFERROR(INDEX(样本到样信息汇总统计!Q$2:Q$500,MATCH(269,样本到样信息汇总统计!$Y$2:$Y$500,0)),"")</f>
        <v/>
      </c>
      <c r="R270" s="4" t="str">
        <f>IFERROR(INDEX(样本到样信息汇总统计!R$2:R$500,MATCH(269,样本到样信息汇总统计!$Y$2:$Y$500,0)),"")</f>
        <v/>
      </c>
      <c r="S270" s="4" t="str">
        <f>IFERROR(INDEX(样本到样信息汇总统计!S$2:S$500,MATCH(269,样本到样信息汇总统计!$Y$2:$Y$500,0)),"")</f>
        <v/>
      </c>
      <c r="T270" s="4" t="str">
        <f>IFERROR(INDEX(样本到样信息汇总统计!T$2:T$500,MATCH(269,样本到样信息汇总统计!$Y$2:$Y$500,0)),"")</f>
        <v/>
      </c>
      <c r="U270" s="4" t="str">
        <f>IFERROR(INDEX(样本到样信息汇总统计!U$2:U$500,MATCH(269,样本到样信息汇总统计!$Y$2:$Y$500,0)),"")</f>
        <v/>
      </c>
      <c r="V270" s="4" t="str">
        <f>IFERROR(INDEX(样本到样信息汇总统计!V$2:V$500,MATCH(269,样本到样信息汇总统计!$Y$2:$Y$500,0)),"")</f>
        <v/>
      </c>
      <c r="W270" s="4" t="str">
        <f>IFERROR(INDEX(样本到样信息汇总统计!W$2:W$500,MATCH(269,样本到样信息汇总统计!$Y$2:$Y$500,0)),"")</f>
        <v/>
      </c>
    </row>
    <row r="271" ht="14.5" spans="1:23">
      <c r="A271" s="8" t="str">
        <f>IFERROR(INDEX(样本到样信息汇总统计!A$2:A$500,MATCH(270,样本到样信息汇总统计!$Y$2:$Y$500,0)),"")</f>
        <v/>
      </c>
      <c r="B271" s="8" t="str">
        <f>IFERROR(INDEX(样本到样信息汇总统计!B$2:B$500,MATCH(270,样本到样信息汇总统计!$Y$2:$Y$500,0)),"")</f>
        <v/>
      </c>
      <c r="C271" s="8" t="str">
        <f>IFERROR(INDEX(样本到样信息汇总统计!C$2:C$500,MATCH(270,样本到样信息汇总统计!$Y$2:$Y$500,0)),"")</f>
        <v/>
      </c>
      <c r="D271" s="8" t="str">
        <f>IFERROR(INDEX(样本到样信息汇总统计!D$2:D$500,MATCH(270,样本到样信息汇总统计!$Y$2:$Y$500,0)),"")</f>
        <v/>
      </c>
      <c r="E271" s="8" t="str">
        <f>IFERROR(INDEX(样本到样信息汇总统计!E$2:E$500,MATCH(270,样本到样信息汇总统计!$Y$2:$Y$500,0)),"")</f>
        <v/>
      </c>
      <c r="F271" s="8" t="str">
        <f>IFERROR(INDEX(样本到样信息汇总统计!F$2:F$500,MATCH(270,样本到样信息汇总统计!$Y$2:$Y$500,0)),"")</f>
        <v/>
      </c>
      <c r="G271" s="8" t="str">
        <f>IFERROR(INDEX(样本到样信息汇总统计!G$2:G$500,MATCH(270,样本到样信息汇总统计!$Y$2:$Y$500,0)),"")</f>
        <v/>
      </c>
      <c r="H271" s="8" t="str">
        <f>IFERROR(INDEX(样本到样信息汇总统计!H$2:H$500,MATCH(270,样本到样信息汇总统计!$Y$2:$Y$500,0)),"")</f>
        <v/>
      </c>
      <c r="I271" s="8" t="str">
        <f>IFERROR(INDEX(样本到样信息汇总统计!I$2:I$500,MATCH(270,样本到样信息汇总统计!$Y$2:$Y$500,0)),"")</f>
        <v/>
      </c>
      <c r="J271" s="8" t="str">
        <f>IFERROR(INDEX(样本到样信息汇总统计!J$2:J$500,MATCH(270,样本到样信息汇总统计!$Y$2:$Y$500,0)),"")</f>
        <v/>
      </c>
      <c r="K271" s="8" t="str">
        <f>IFERROR(INDEX(样本到样信息汇总统计!K$2:K$500,MATCH(270,样本到样信息汇总统计!$Y$2:$Y$500,0)),"")</f>
        <v/>
      </c>
      <c r="L271" s="8" t="str">
        <f>IFERROR(INDEX(样本到样信息汇总统计!L$2:L$500,MATCH(270,样本到样信息汇总统计!$Y$2:$Y$500,0)),"")</f>
        <v/>
      </c>
      <c r="M271" s="8" t="str">
        <f>IFERROR(INDEX(样本到样信息汇总统计!M$2:M$500,MATCH(270,样本到样信息汇总统计!$Y$2:$Y$500,0)),"")</f>
        <v/>
      </c>
      <c r="N271" s="8" t="str">
        <f>IFERROR(INDEX(样本到样信息汇总统计!N$2:N$500,MATCH(270,样本到样信息汇总统计!$Y$2:$Y$500,0)),"")</f>
        <v/>
      </c>
      <c r="O271" s="8" t="str">
        <f>IFERROR(INDEX(样本到样信息汇总统计!O$2:O$500,MATCH(270,样本到样信息汇总统计!$Y$2:$Y$500,0)),"")</f>
        <v/>
      </c>
      <c r="P271" s="8" t="str">
        <f>IFERROR(INDEX(样本到样信息汇总统计!P$2:P$500,MATCH(270,样本到样信息汇总统计!$Y$2:$Y$500,0)),"")</f>
        <v/>
      </c>
      <c r="Q271" s="8" t="str">
        <f>IFERROR(INDEX(样本到样信息汇总统计!Q$2:Q$500,MATCH(270,样本到样信息汇总统计!$Y$2:$Y$500,0)),"")</f>
        <v/>
      </c>
      <c r="R271" s="8" t="str">
        <f>IFERROR(INDEX(样本到样信息汇总统计!R$2:R$500,MATCH(270,样本到样信息汇总统计!$Y$2:$Y$500,0)),"")</f>
        <v/>
      </c>
      <c r="S271" s="8" t="str">
        <f>IFERROR(INDEX(样本到样信息汇总统计!S$2:S$500,MATCH(270,样本到样信息汇总统计!$Y$2:$Y$500,0)),"")</f>
        <v/>
      </c>
      <c r="T271" s="8" t="str">
        <f>IFERROR(INDEX(样本到样信息汇总统计!T$2:T$500,MATCH(270,样本到样信息汇总统计!$Y$2:$Y$500,0)),"")</f>
        <v/>
      </c>
      <c r="U271" s="8" t="str">
        <f>IFERROR(INDEX(样本到样信息汇总统计!U$2:U$500,MATCH(270,样本到样信息汇总统计!$Y$2:$Y$500,0)),"")</f>
        <v/>
      </c>
      <c r="V271" s="8" t="str">
        <f>IFERROR(INDEX(样本到样信息汇总统计!V$2:V$500,MATCH(270,样本到样信息汇总统计!$Y$2:$Y$500,0)),"")</f>
        <v/>
      </c>
      <c r="W271" s="8" t="str">
        <f>IFERROR(INDEX(样本到样信息汇总统计!W$2:W$500,MATCH(270,样本到样信息汇总统计!$Y$2:$Y$500,0)),"")</f>
        <v/>
      </c>
    </row>
    <row r="272" ht="14.5" spans="1:23">
      <c r="A272" s="4" t="str">
        <f>IFERROR(INDEX(样本到样信息汇总统计!A$2:A$500,MATCH(271,样本到样信息汇总统计!$Y$2:$Y$500,0)),"")</f>
        <v/>
      </c>
      <c r="B272" s="4" t="str">
        <f>IFERROR(INDEX(样本到样信息汇总统计!B$2:B$500,MATCH(271,样本到样信息汇总统计!$Y$2:$Y$500,0)),"")</f>
        <v/>
      </c>
      <c r="C272" s="4" t="str">
        <f>IFERROR(INDEX(样本到样信息汇总统计!C$2:C$500,MATCH(271,样本到样信息汇总统计!$Y$2:$Y$500,0)),"")</f>
        <v/>
      </c>
      <c r="D272" s="4" t="str">
        <f>IFERROR(INDEX(样本到样信息汇总统计!D$2:D$500,MATCH(271,样本到样信息汇总统计!$Y$2:$Y$500,0)),"")</f>
        <v/>
      </c>
      <c r="E272" s="4" t="str">
        <f>IFERROR(INDEX(样本到样信息汇总统计!E$2:E$500,MATCH(271,样本到样信息汇总统计!$Y$2:$Y$500,0)),"")</f>
        <v/>
      </c>
      <c r="F272" s="4" t="str">
        <f>IFERROR(INDEX(样本到样信息汇总统计!F$2:F$500,MATCH(271,样本到样信息汇总统计!$Y$2:$Y$500,0)),"")</f>
        <v/>
      </c>
      <c r="G272" s="4" t="str">
        <f>IFERROR(INDEX(样本到样信息汇总统计!G$2:G$500,MATCH(271,样本到样信息汇总统计!$Y$2:$Y$500,0)),"")</f>
        <v/>
      </c>
      <c r="H272" s="4" t="str">
        <f>IFERROR(INDEX(样本到样信息汇总统计!H$2:H$500,MATCH(271,样本到样信息汇总统计!$Y$2:$Y$500,0)),"")</f>
        <v/>
      </c>
      <c r="I272" s="4" t="str">
        <f>IFERROR(INDEX(样本到样信息汇总统计!I$2:I$500,MATCH(271,样本到样信息汇总统计!$Y$2:$Y$500,0)),"")</f>
        <v/>
      </c>
      <c r="J272" s="4" t="str">
        <f>IFERROR(INDEX(样本到样信息汇总统计!J$2:J$500,MATCH(271,样本到样信息汇总统计!$Y$2:$Y$500,0)),"")</f>
        <v/>
      </c>
      <c r="K272" s="4" t="str">
        <f>IFERROR(INDEX(样本到样信息汇总统计!K$2:K$500,MATCH(271,样本到样信息汇总统计!$Y$2:$Y$500,0)),"")</f>
        <v/>
      </c>
      <c r="L272" s="4" t="str">
        <f>IFERROR(INDEX(样本到样信息汇总统计!L$2:L$500,MATCH(271,样本到样信息汇总统计!$Y$2:$Y$500,0)),"")</f>
        <v/>
      </c>
      <c r="M272" s="4" t="str">
        <f>IFERROR(INDEX(样本到样信息汇总统计!M$2:M$500,MATCH(271,样本到样信息汇总统计!$Y$2:$Y$500,0)),"")</f>
        <v/>
      </c>
      <c r="N272" s="4" t="str">
        <f>IFERROR(INDEX(样本到样信息汇总统计!N$2:N$500,MATCH(271,样本到样信息汇总统计!$Y$2:$Y$500,0)),"")</f>
        <v/>
      </c>
      <c r="O272" s="4" t="str">
        <f>IFERROR(INDEX(样本到样信息汇总统计!O$2:O$500,MATCH(271,样本到样信息汇总统计!$Y$2:$Y$500,0)),"")</f>
        <v/>
      </c>
      <c r="P272" s="4" t="str">
        <f>IFERROR(INDEX(样本到样信息汇总统计!P$2:P$500,MATCH(271,样本到样信息汇总统计!$Y$2:$Y$500,0)),"")</f>
        <v/>
      </c>
      <c r="Q272" s="4" t="str">
        <f>IFERROR(INDEX(样本到样信息汇总统计!Q$2:Q$500,MATCH(271,样本到样信息汇总统计!$Y$2:$Y$500,0)),"")</f>
        <v/>
      </c>
      <c r="R272" s="4" t="str">
        <f>IFERROR(INDEX(样本到样信息汇总统计!R$2:R$500,MATCH(271,样本到样信息汇总统计!$Y$2:$Y$500,0)),"")</f>
        <v/>
      </c>
      <c r="S272" s="4" t="str">
        <f>IFERROR(INDEX(样本到样信息汇总统计!S$2:S$500,MATCH(271,样本到样信息汇总统计!$Y$2:$Y$500,0)),"")</f>
        <v/>
      </c>
      <c r="T272" s="4" t="str">
        <f>IFERROR(INDEX(样本到样信息汇总统计!T$2:T$500,MATCH(271,样本到样信息汇总统计!$Y$2:$Y$500,0)),"")</f>
        <v/>
      </c>
      <c r="U272" s="4" t="str">
        <f>IFERROR(INDEX(样本到样信息汇总统计!U$2:U$500,MATCH(271,样本到样信息汇总统计!$Y$2:$Y$500,0)),"")</f>
        <v/>
      </c>
      <c r="V272" s="4" t="str">
        <f>IFERROR(INDEX(样本到样信息汇总统计!V$2:V$500,MATCH(271,样本到样信息汇总统计!$Y$2:$Y$500,0)),"")</f>
        <v/>
      </c>
      <c r="W272" s="4" t="str">
        <f>IFERROR(INDEX(样本到样信息汇总统计!W$2:W$500,MATCH(271,样本到样信息汇总统计!$Y$2:$Y$500,0)),"")</f>
        <v/>
      </c>
    </row>
    <row r="273" ht="14.5" spans="1:23">
      <c r="A273" s="8" t="str">
        <f>IFERROR(INDEX(样本到样信息汇总统计!A$2:A$500,MATCH(272,样本到样信息汇总统计!$Y$2:$Y$500,0)),"")</f>
        <v/>
      </c>
      <c r="B273" s="8" t="str">
        <f>IFERROR(INDEX(样本到样信息汇总统计!B$2:B$500,MATCH(272,样本到样信息汇总统计!$Y$2:$Y$500,0)),"")</f>
        <v/>
      </c>
      <c r="C273" s="8" t="str">
        <f>IFERROR(INDEX(样本到样信息汇总统计!C$2:C$500,MATCH(272,样本到样信息汇总统计!$Y$2:$Y$500,0)),"")</f>
        <v/>
      </c>
      <c r="D273" s="8" t="str">
        <f>IFERROR(INDEX(样本到样信息汇总统计!D$2:D$500,MATCH(272,样本到样信息汇总统计!$Y$2:$Y$500,0)),"")</f>
        <v/>
      </c>
      <c r="E273" s="8" t="str">
        <f>IFERROR(INDEX(样本到样信息汇总统计!E$2:E$500,MATCH(272,样本到样信息汇总统计!$Y$2:$Y$500,0)),"")</f>
        <v/>
      </c>
      <c r="F273" s="8" t="str">
        <f>IFERROR(INDEX(样本到样信息汇总统计!F$2:F$500,MATCH(272,样本到样信息汇总统计!$Y$2:$Y$500,0)),"")</f>
        <v/>
      </c>
      <c r="G273" s="8" t="str">
        <f>IFERROR(INDEX(样本到样信息汇总统计!G$2:G$500,MATCH(272,样本到样信息汇总统计!$Y$2:$Y$500,0)),"")</f>
        <v/>
      </c>
      <c r="H273" s="8" t="str">
        <f>IFERROR(INDEX(样本到样信息汇总统计!H$2:H$500,MATCH(272,样本到样信息汇总统计!$Y$2:$Y$500,0)),"")</f>
        <v/>
      </c>
      <c r="I273" s="8" t="str">
        <f>IFERROR(INDEX(样本到样信息汇总统计!I$2:I$500,MATCH(272,样本到样信息汇总统计!$Y$2:$Y$500,0)),"")</f>
        <v/>
      </c>
      <c r="J273" s="8" t="str">
        <f>IFERROR(INDEX(样本到样信息汇总统计!J$2:J$500,MATCH(272,样本到样信息汇总统计!$Y$2:$Y$500,0)),"")</f>
        <v/>
      </c>
      <c r="K273" s="8" t="str">
        <f>IFERROR(INDEX(样本到样信息汇总统计!K$2:K$500,MATCH(272,样本到样信息汇总统计!$Y$2:$Y$500,0)),"")</f>
        <v/>
      </c>
      <c r="L273" s="8" t="str">
        <f>IFERROR(INDEX(样本到样信息汇总统计!L$2:L$500,MATCH(272,样本到样信息汇总统计!$Y$2:$Y$500,0)),"")</f>
        <v/>
      </c>
      <c r="M273" s="8" t="str">
        <f>IFERROR(INDEX(样本到样信息汇总统计!M$2:M$500,MATCH(272,样本到样信息汇总统计!$Y$2:$Y$500,0)),"")</f>
        <v/>
      </c>
      <c r="N273" s="8" t="str">
        <f>IFERROR(INDEX(样本到样信息汇总统计!N$2:N$500,MATCH(272,样本到样信息汇总统计!$Y$2:$Y$500,0)),"")</f>
        <v/>
      </c>
      <c r="O273" s="8" t="str">
        <f>IFERROR(INDEX(样本到样信息汇总统计!O$2:O$500,MATCH(272,样本到样信息汇总统计!$Y$2:$Y$500,0)),"")</f>
        <v/>
      </c>
      <c r="P273" s="8" t="str">
        <f>IFERROR(INDEX(样本到样信息汇总统计!P$2:P$500,MATCH(272,样本到样信息汇总统计!$Y$2:$Y$500,0)),"")</f>
        <v/>
      </c>
      <c r="Q273" s="8" t="str">
        <f>IFERROR(INDEX(样本到样信息汇总统计!Q$2:Q$500,MATCH(272,样本到样信息汇总统计!$Y$2:$Y$500,0)),"")</f>
        <v/>
      </c>
      <c r="R273" s="8" t="str">
        <f>IFERROR(INDEX(样本到样信息汇总统计!R$2:R$500,MATCH(272,样本到样信息汇总统计!$Y$2:$Y$500,0)),"")</f>
        <v/>
      </c>
      <c r="S273" s="8" t="str">
        <f>IFERROR(INDEX(样本到样信息汇总统计!S$2:S$500,MATCH(272,样本到样信息汇总统计!$Y$2:$Y$500,0)),"")</f>
        <v/>
      </c>
      <c r="T273" s="8" t="str">
        <f>IFERROR(INDEX(样本到样信息汇总统计!T$2:T$500,MATCH(272,样本到样信息汇总统计!$Y$2:$Y$500,0)),"")</f>
        <v/>
      </c>
      <c r="U273" s="8" t="str">
        <f>IFERROR(INDEX(样本到样信息汇总统计!U$2:U$500,MATCH(272,样本到样信息汇总统计!$Y$2:$Y$500,0)),"")</f>
        <v/>
      </c>
      <c r="V273" s="8" t="str">
        <f>IFERROR(INDEX(样本到样信息汇总统计!V$2:V$500,MATCH(272,样本到样信息汇总统计!$Y$2:$Y$500,0)),"")</f>
        <v/>
      </c>
      <c r="W273" s="8" t="str">
        <f>IFERROR(INDEX(样本到样信息汇总统计!W$2:W$500,MATCH(272,样本到样信息汇总统计!$Y$2:$Y$500,0)),"")</f>
        <v/>
      </c>
    </row>
    <row r="274" ht="14.5" spans="1:23">
      <c r="A274" s="4" t="str">
        <f>IFERROR(INDEX(样本到样信息汇总统计!A$2:A$500,MATCH(273,样本到样信息汇总统计!$Y$2:$Y$500,0)),"")</f>
        <v/>
      </c>
      <c r="B274" s="4" t="str">
        <f>IFERROR(INDEX(样本到样信息汇总统计!B$2:B$500,MATCH(273,样本到样信息汇总统计!$Y$2:$Y$500,0)),"")</f>
        <v/>
      </c>
      <c r="C274" s="4" t="str">
        <f>IFERROR(INDEX(样本到样信息汇总统计!C$2:C$500,MATCH(273,样本到样信息汇总统计!$Y$2:$Y$500,0)),"")</f>
        <v/>
      </c>
      <c r="D274" s="4" t="str">
        <f>IFERROR(INDEX(样本到样信息汇总统计!D$2:D$500,MATCH(273,样本到样信息汇总统计!$Y$2:$Y$500,0)),"")</f>
        <v/>
      </c>
      <c r="E274" s="4" t="str">
        <f>IFERROR(INDEX(样本到样信息汇总统计!E$2:E$500,MATCH(273,样本到样信息汇总统计!$Y$2:$Y$500,0)),"")</f>
        <v/>
      </c>
      <c r="F274" s="4" t="str">
        <f>IFERROR(INDEX(样本到样信息汇总统计!F$2:F$500,MATCH(273,样本到样信息汇总统计!$Y$2:$Y$500,0)),"")</f>
        <v/>
      </c>
      <c r="G274" s="4" t="str">
        <f>IFERROR(INDEX(样本到样信息汇总统计!G$2:G$500,MATCH(273,样本到样信息汇总统计!$Y$2:$Y$500,0)),"")</f>
        <v/>
      </c>
      <c r="H274" s="4" t="str">
        <f>IFERROR(INDEX(样本到样信息汇总统计!H$2:H$500,MATCH(273,样本到样信息汇总统计!$Y$2:$Y$500,0)),"")</f>
        <v/>
      </c>
      <c r="I274" s="4" t="str">
        <f>IFERROR(INDEX(样本到样信息汇总统计!I$2:I$500,MATCH(273,样本到样信息汇总统计!$Y$2:$Y$500,0)),"")</f>
        <v/>
      </c>
      <c r="J274" s="4" t="str">
        <f>IFERROR(INDEX(样本到样信息汇总统计!J$2:J$500,MATCH(273,样本到样信息汇总统计!$Y$2:$Y$500,0)),"")</f>
        <v/>
      </c>
      <c r="K274" s="4" t="str">
        <f>IFERROR(INDEX(样本到样信息汇总统计!K$2:K$500,MATCH(273,样本到样信息汇总统计!$Y$2:$Y$500,0)),"")</f>
        <v/>
      </c>
      <c r="L274" s="4" t="str">
        <f>IFERROR(INDEX(样本到样信息汇总统计!L$2:L$500,MATCH(273,样本到样信息汇总统计!$Y$2:$Y$500,0)),"")</f>
        <v/>
      </c>
      <c r="M274" s="4" t="str">
        <f>IFERROR(INDEX(样本到样信息汇总统计!M$2:M$500,MATCH(273,样本到样信息汇总统计!$Y$2:$Y$500,0)),"")</f>
        <v/>
      </c>
      <c r="N274" s="4" t="str">
        <f>IFERROR(INDEX(样本到样信息汇总统计!N$2:N$500,MATCH(273,样本到样信息汇总统计!$Y$2:$Y$500,0)),"")</f>
        <v/>
      </c>
      <c r="O274" s="4" t="str">
        <f>IFERROR(INDEX(样本到样信息汇总统计!O$2:O$500,MATCH(273,样本到样信息汇总统计!$Y$2:$Y$500,0)),"")</f>
        <v/>
      </c>
      <c r="P274" s="4" t="str">
        <f>IFERROR(INDEX(样本到样信息汇总统计!P$2:P$500,MATCH(273,样本到样信息汇总统计!$Y$2:$Y$500,0)),"")</f>
        <v/>
      </c>
      <c r="Q274" s="4" t="str">
        <f>IFERROR(INDEX(样本到样信息汇总统计!Q$2:Q$500,MATCH(273,样本到样信息汇总统计!$Y$2:$Y$500,0)),"")</f>
        <v/>
      </c>
      <c r="R274" s="4" t="str">
        <f>IFERROR(INDEX(样本到样信息汇总统计!R$2:R$500,MATCH(273,样本到样信息汇总统计!$Y$2:$Y$500,0)),"")</f>
        <v/>
      </c>
      <c r="S274" s="4" t="str">
        <f>IFERROR(INDEX(样本到样信息汇总统计!S$2:S$500,MATCH(273,样本到样信息汇总统计!$Y$2:$Y$500,0)),"")</f>
        <v/>
      </c>
      <c r="T274" s="4" t="str">
        <f>IFERROR(INDEX(样本到样信息汇总统计!T$2:T$500,MATCH(273,样本到样信息汇总统计!$Y$2:$Y$500,0)),"")</f>
        <v/>
      </c>
      <c r="U274" s="4" t="str">
        <f>IFERROR(INDEX(样本到样信息汇总统计!U$2:U$500,MATCH(273,样本到样信息汇总统计!$Y$2:$Y$500,0)),"")</f>
        <v/>
      </c>
      <c r="V274" s="4" t="str">
        <f>IFERROR(INDEX(样本到样信息汇总统计!V$2:V$500,MATCH(273,样本到样信息汇总统计!$Y$2:$Y$500,0)),"")</f>
        <v/>
      </c>
      <c r="W274" s="4" t="str">
        <f>IFERROR(INDEX(样本到样信息汇总统计!W$2:W$500,MATCH(273,样本到样信息汇总统计!$Y$2:$Y$500,0)),"")</f>
        <v/>
      </c>
    </row>
    <row r="275" ht="14.5" spans="1:23">
      <c r="A275" s="8" t="str">
        <f>IFERROR(INDEX(样本到样信息汇总统计!A$2:A$500,MATCH(274,样本到样信息汇总统计!$Y$2:$Y$500,0)),"")</f>
        <v/>
      </c>
      <c r="B275" s="8" t="str">
        <f>IFERROR(INDEX(样本到样信息汇总统计!B$2:B$500,MATCH(274,样本到样信息汇总统计!$Y$2:$Y$500,0)),"")</f>
        <v/>
      </c>
      <c r="C275" s="8" t="str">
        <f>IFERROR(INDEX(样本到样信息汇总统计!C$2:C$500,MATCH(274,样本到样信息汇总统计!$Y$2:$Y$500,0)),"")</f>
        <v/>
      </c>
      <c r="D275" s="8" t="str">
        <f>IFERROR(INDEX(样本到样信息汇总统计!D$2:D$500,MATCH(274,样本到样信息汇总统计!$Y$2:$Y$500,0)),"")</f>
        <v/>
      </c>
      <c r="E275" s="8" t="str">
        <f>IFERROR(INDEX(样本到样信息汇总统计!E$2:E$500,MATCH(274,样本到样信息汇总统计!$Y$2:$Y$500,0)),"")</f>
        <v/>
      </c>
      <c r="F275" s="8" t="str">
        <f>IFERROR(INDEX(样本到样信息汇总统计!F$2:F$500,MATCH(274,样本到样信息汇总统计!$Y$2:$Y$500,0)),"")</f>
        <v/>
      </c>
      <c r="G275" s="8" t="str">
        <f>IFERROR(INDEX(样本到样信息汇总统计!G$2:G$500,MATCH(274,样本到样信息汇总统计!$Y$2:$Y$500,0)),"")</f>
        <v/>
      </c>
      <c r="H275" s="8" t="str">
        <f>IFERROR(INDEX(样本到样信息汇总统计!H$2:H$500,MATCH(274,样本到样信息汇总统计!$Y$2:$Y$500,0)),"")</f>
        <v/>
      </c>
      <c r="I275" s="8" t="str">
        <f>IFERROR(INDEX(样本到样信息汇总统计!I$2:I$500,MATCH(274,样本到样信息汇总统计!$Y$2:$Y$500,0)),"")</f>
        <v/>
      </c>
      <c r="J275" s="8" t="str">
        <f>IFERROR(INDEX(样本到样信息汇总统计!J$2:J$500,MATCH(274,样本到样信息汇总统计!$Y$2:$Y$500,0)),"")</f>
        <v/>
      </c>
      <c r="K275" s="8" t="str">
        <f>IFERROR(INDEX(样本到样信息汇总统计!K$2:K$500,MATCH(274,样本到样信息汇总统计!$Y$2:$Y$500,0)),"")</f>
        <v/>
      </c>
      <c r="L275" s="8" t="str">
        <f>IFERROR(INDEX(样本到样信息汇总统计!L$2:L$500,MATCH(274,样本到样信息汇总统计!$Y$2:$Y$500,0)),"")</f>
        <v/>
      </c>
      <c r="M275" s="8" t="str">
        <f>IFERROR(INDEX(样本到样信息汇总统计!M$2:M$500,MATCH(274,样本到样信息汇总统计!$Y$2:$Y$500,0)),"")</f>
        <v/>
      </c>
      <c r="N275" s="8" t="str">
        <f>IFERROR(INDEX(样本到样信息汇总统计!N$2:N$500,MATCH(274,样本到样信息汇总统计!$Y$2:$Y$500,0)),"")</f>
        <v/>
      </c>
      <c r="O275" s="8" t="str">
        <f>IFERROR(INDEX(样本到样信息汇总统计!O$2:O$500,MATCH(274,样本到样信息汇总统计!$Y$2:$Y$500,0)),"")</f>
        <v/>
      </c>
      <c r="P275" s="8" t="str">
        <f>IFERROR(INDEX(样本到样信息汇总统计!P$2:P$500,MATCH(274,样本到样信息汇总统计!$Y$2:$Y$500,0)),"")</f>
        <v/>
      </c>
      <c r="Q275" s="8" t="str">
        <f>IFERROR(INDEX(样本到样信息汇总统计!Q$2:Q$500,MATCH(274,样本到样信息汇总统计!$Y$2:$Y$500,0)),"")</f>
        <v/>
      </c>
      <c r="R275" s="8" t="str">
        <f>IFERROR(INDEX(样本到样信息汇总统计!R$2:R$500,MATCH(274,样本到样信息汇总统计!$Y$2:$Y$500,0)),"")</f>
        <v/>
      </c>
      <c r="S275" s="8" t="str">
        <f>IFERROR(INDEX(样本到样信息汇总统计!S$2:S$500,MATCH(274,样本到样信息汇总统计!$Y$2:$Y$500,0)),"")</f>
        <v/>
      </c>
      <c r="T275" s="8" t="str">
        <f>IFERROR(INDEX(样本到样信息汇总统计!T$2:T$500,MATCH(274,样本到样信息汇总统计!$Y$2:$Y$500,0)),"")</f>
        <v/>
      </c>
      <c r="U275" s="8" t="str">
        <f>IFERROR(INDEX(样本到样信息汇总统计!U$2:U$500,MATCH(274,样本到样信息汇总统计!$Y$2:$Y$500,0)),"")</f>
        <v/>
      </c>
      <c r="V275" s="8" t="str">
        <f>IFERROR(INDEX(样本到样信息汇总统计!V$2:V$500,MATCH(274,样本到样信息汇总统计!$Y$2:$Y$500,0)),"")</f>
        <v/>
      </c>
      <c r="W275" s="8" t="str">
        <f>IFERROR(INDEX(样本到样信息汇总统计!W$2:W$500,MATCH(274,样本到样信息汇总统计!$Y$2:$Y$500,0)),"")</f>
        <v/>
      </c>
    </row>
    <row r="276" ht="14.5" spans="1:23">
      <c r="A276" s="4" t="str">
        <f>IFERROR(INDEX(样本到样信息汇总统计!A$2:A$500,MATCH(275,样本到样信息汇总统计!$Y$2:$Y$500,0)),"")</f>
        <v/>
      </c>
      <c r="B276" s="4" t="str">
        <f>IFERROR(INDEX(样本到样信息汇总统计!B$2:B$500,MATCH(275,样本到样信息汇总统计!$Y$2:$Y$500,0)),"")</f>
        <v/>
      </c>
      <c r="C276" s="4" t="str">
        <f>IFERROR(INDEX(样本到样信息汇总统计!C$2:C$500,MATCH(275,样本到样信息汇总统计!$Y$2:$Y$500,0)),"")</f>
        <v/>
      </c>
      <c r="D276" s="4" t="str">
        <f>IFERROR(INDEX(样本到样信息汇总统计!D$2:D$500,MATCH(275,样本到样信息汇总统计!$Y$2:$Y$500,0)),"")</f>
        <v/>
      </c>
      <c r="E276" s="4" t="str">
        <f>IFERROR(INDEX(样本到样信息汇总统计!E$2:E$500,MATCH(275,样本到样信息汇总统计!$Y$2:$Y$500,0)),"")</f>
        <v/>
      </c>
      <c r="F276" s="4" t="str">
        <f>IFERROR(INDEX(样本到样信息汇总统计!F$2:F$500,MATCH(275,样本到样信息汇总统计!$Y$2:$Y$500,0)),"")</f>
        <v/>
      </c>
      <c r="G276" s="4" t="str">
        <f>IFERROR(INDEX(样本到样信息汇总统计!G$2:G$500,MATCH(275,样本到样信息汇总统计!$Y$2:$Y$500,0)),"")</f>
        <v/>
      </c>
      <c r="H276" s="4" t="str">
        <f>IFERROR(INDEX(样本到样信息汇总统计!H$2:H$500,MATCH(275,样本到样信息汇总统计!$Y$2:$Y$500,0)),"")</f>
        <v/>
      </c>
      <c r="I276" s="4" t="str">
        <f>IFERROR(INDEX(样本到样信息汇总统计!I$2:I$500,MATCH(275,样本到样信息汇总统计!$Y$2:$Y$500,0)),"")</f>
        <v/>
      </c>
      <c r="J276" s="4" t="str">
        <f>IFERROR(INDEX(样本到样信息汇总统计!J$2:J$500,MATCH(275,样本到样信息汇总统计!$Y$2:$Y$500,0)),"")</f>
        <v/>
      </c>
      <c r="K276" s="4" t="str">
        <f>IFERROR(INDEX(样本到样信息汇总统计!K$2:K$500,MATCH(275,样本到样信息汇总统计!$Y$2:$Y$500,0)),"")</f>
        <v/>
      </c>
      <c r="L276" s="4" t="str">
        <f>IFERROR(INDEX(样本到样信息汇总统计!L$2:L$500,MATCH(275,样本到样信息汇总统计!$Y$2:$Y$500,0)),"")</f>
        <v/>
      </c>
      <c r="M276" s="4" t="str">
        <f>IFERROR(INDEX(样本到样信息汇总统计!M$2:M$500,MATCH(275,样本到样信息汇总统计!$Y$2:$Y$500,0)),"")</f>
        <v/>
      </c>
      <c r="N276" s="4" t="str">
        <f>IFERROR(INDEX(样本到样信息汇总统计!N$2:N$500,MATCH(275,样本到样信息汇总统计!$Y$2:$Y$500,0)),"")</f>
        <v/>
      </c>
      <c r="O276" s="4" t="str">
        <f>IFERROR(INDEX(样本到样信息汇总统计!O$2:O$500,MATCH(275,样本到样信息汇总统计!$Y$2:$Y$500,0)),"")</f>
        <v/>
      </c>
      <c r="P276" s="4" t="str">
        <f>IFERROR(INDEX(样本到样信息汇总统计!P$2:P$500,MATCH(275,样本到样信息汇总统计!$Y$2:$Y$500,0)),"")</f>
        <v/>
      </c>
      <c r="Q276" s="4" t="str">
        <f>IFERROR(INDEX(样本到样信息汇总统计!Q$2:Q$500,MATCH(275,样本到样信息汇总统计!$Y$2:$Y$500,0)),"")</f>
        <v/>
      </c>
      <c r="R276" s="4" t="str">
        <f>IFERROR(INDEX(样本到样信息汇总统计!R$2:R$500,MATCH(275,样本到样信息汇总统计!$Y$2:$Y$500,0)),"")</f>
        <v/>
      </c>
      <c r="S276" s="4" t="str">
        <f>IFERROR(INDEX(样本到样信息汇总统计!S$2:S$500,MATCH(275,样本到样信息汇总统计!$Y$2:$Y$500,0)),"")</f>
        <v/>
      </c>
      <c r="T276" s="4" t="str">
        <f>IFERROR(INDEX(样本到样信息汇总统计!T$2:T$500,MATCH(275,样本到样信息汇总统计!$Y$2:$Y$500,0)),"")</f>
        <v/>
      </c>
      <c r="U276" s="4" t="str">
        <f>IFERROR(INDEX(样本到样信息汇总统计!U$2:U$500,MATCH(275,样本到样信息汇总统计!$Y$2:$Y$500,0)),"")</f>
        <v/>
      </c>
      <c r="V276" s="4" t="str">
        <f>IFERROR(INDEX(样本到样信息汇总统计!V$2:V$500,MATCH(275,样本到样信息汇总统计!$Y$2:$Y$500,0)),"")</f>
        <v/>
      </c>
      <c r="W276" s="4" t="str">
        <f>IFERROR(INDEX(样本到样信息汇总统计!W$2:W$500,MATCH(275,样本到样信息汇总统计!$Y$2:$Y$500,0)),"")</f>
        <v/>
      </c>
    </row>
    <row r="277" ht="14.5" spans="1:23">
      <c r="A277" s="8" t="str">
        <f>IFERROR(INDEX(样本到样信息汇总统计!A$2:A$500,MATCH(276,样本到样信息汇总统计!$Y$2:$Y$500,0)),"")</f>
        <v/>
      </c>
      <c r="B277" s="8" t="str">
        <f>IFERROR(INDEX(样本到样信息汇总统计!B$2:B$500,MATCH(276,样本到样信息汇总统计!$Y$2:$Y$500,0)),"")</f>
        <v/>
      </c>
      <c r="C277" s="8" t="str">
        <f>IFERROR(INDEX(样本到样信息汇总统计!C$2:C$500,MATCH(276,样本到样信息汇总统计!$Y$2:$Y$500,0)),"")</f>
        <v/>
      </c>
      <c r="D277" s="8" t="str">
        <f>IFERROR(INDEX(样本到样信息汇总统计!D$2:D$500,MATCH(276,样本到样信息汇总统计!$Y$2:$Y$500,0)),"")</f>
        <v/>
      </c>
      <c r="E277" s="8" t="str">
        <f>IFERROR(INDEX(样本到样信息汇总统计!E$2:E$500,MATCH(276,样本到样信息汇总统计!$Y$2:$Y$500,0)),"")</f>
        <v/>
      </c>
      <c r="F277" s="8" t="str">
        <f>IFERROR(INDEX(样本到样信息汇总统计!F$2:F$500,MATCH(276,样本到样信息汇总统计!$Y$2:$Y$500,0)),"")</f>
        <v/>
      </c>
      <c r="G277" s="8" t="str">
        <f>IFERROR(INDEX(样本到样信息汇总统计!G$2:G$500,MATCH(276,样本到样信息汇总统计!$Y$2:$Y$500,0)),"")</f>
        <v/>
      </c>
      <c r="H277" s="8" t="str">
        <f>IFERROR(INDEX(样本到样信息汇总统计!H$2:H$500,MATCH(276,样本到样信息汇总统计!$Y$2:$Y$500,0)),"")</f>
        <v/>
      </c>
      <c r="I277" s="8" t="str">
        <f>IFERROR(INDEX(样本到样信息汇总统计!I$2:I$500,MATCH(276,样本到样信息汇总统计!$Y$2:$Y$500,0)),"")</f>
        <v/>
      </c>
      <c r="J277" s="8" t="str">
        <f>IFERROR(INDEX(样本到样信息汇总统计!J$2:J$500,MATCH(276,样本到样信息汇总统计!$Y$2:$Y$500,0)),"")</f>
        <v/>
      </c>
      <c r="K277" s="8" t="str">
        <f>IFERROR(INDEX(样本到样信息汇总统计!K$2:K$500,MATCH(276,样本到样信息汇总统计!$Y$2:$Y$500,0)),"")</f>
        <v/>
      </c>
      <c r="L277" s="8" t="str">
        <f>IFERROR(INDEX(样本到样信息汇总统计!L$2:L$500,MATCH(276,样本到样信息汇总统计!$Y$2:$Y$500,0)),"")</f>
        <v/>
      </c>
      <c r="M277" s="8" t="str">
        <f>IFERROR(INDEX(样本到样信息汇总统计!M$2:M$500,MATCH(276,样本到样信息汇总统计!$Y$2:$Y$500,0)),"")</f>
        <v/>
      </c>
      <c r="N277" s="8" t="str">
        <f>IFERROR(INDEX(样本到样信息汇总统计!N$2:N$500,MATCH(276,样本到样信息汇总统计!$Y$2:$Y$500,0)),"")</f>
        <v/>
      </c>
      <c r="O277" s="8" t="str">
        <f>IFERROR(INDEX(样本到样信息汇总统计!O$2:O$500,MATCH(276,样本到样信息汇总统计!$Y$2:$Y$500,0)),"")</f>
        <v/>
      </c>
      <c r="P277" s="8" t="str">
        <f>IFERROR(INDEX(样本到样信息汇总统计!P$2:P$500,MATCH(276,样本到样信息汇总统计!$Y$2:$Y$500,0)),"")</f>
        <v/>
      </c>
      <c r="Q277" s="8" t="str">
        <f>IFERROR(INDEX(样本到样信息汇总统计!Q$2:Q$500,MATCH(276,样本到样信息汇总统计!$Y$2:$Y$500,0)),"")</f>
        <v/>
      </c>
      <c r="R277" s="8" t="str">
        <f>IFERROR(INDEX(样本到样信息汇总统计!R$2:R$500,MATCH(276,样本到样信息汇总统计!$Y$2:$Y$500,0)),"")</f>
        <v/>
      </c>
      <c r="S277" s="8" t="str">
        <f>IFERROR(INDEX(样本到样信息汇总统计!S$2:S$500,MATCH(276,样本到样信息汇总统计!$Y$2:$Y$500,0)),"")</f>
        <v/>
      </c>
      <c r="T277" s="8" t="str">
        <f>IFERROR(INDEX(样本到样信息汇总统计!T$2:T$500,MATCH(276,样本到样信息汇总统计!$Y$2:$Y$500,0)),"")</f>
        <v/>
      </c>
      <c r="U277" s="8" t="str">
        <f>IFERROR(INDEX(样本到样信息汇总统计!U$2:U$500,MATCH(276,样本到样信息汇总统计!$Y$2:$Y$500,0)),"")</f>
        <v/>
      </c>
      <c r="V277" s="8" t="str">
        <f>IFERROR(INDEX(样本到样信息汇总统计!V$2:V$500,MATCH(276,样本到样信息汇总统计!$Y$2:$Y$500,0)),"")</f>
        <v/>
      </c>
      <c r="W277" s="8" t="str">
        <f>IFERROR(INDEX(样本到样信息汇总统计!W$2:W$500,MATCH(276,样本到样信息汇总统计!$Y$2:$Y$500,0)),"")</f>
        <v/>
      </c>
    </row>
    <row r="278" ht="14.5" spans="1:23">
      <c r="A278" s="4" t="str">
        <f>IFERROR(INDEX(样本到样信息汇总统计!A$2:A$500,MATCH(277,样本到样信息汇总统计!$Y$2:$Y$500,0)),"")</f>
        <v/>
      </c>
      <c r="B278" s="4" t="str">
        <f>IFERROR(INDEX(样本到样信息汇总统计!B$2:B$500,MATCH(277,样本到样信息汇总统计!$Y$2:$Y$500,0)),"")</f>
        <v/>
      </c>
      <c r="C278" s="4" t="str">
        <f>IFERROR(INDEX(样本到样信息汇总统计!C$2:C$500,MATCH(277,样本到样信息汇总统计!$Y$2:$Y$500,0)),"")</f>
        <v/>
      </c>
      <c r="D278" s="4" t="str">
        <f>IFERROR(INDEX(样本到样信息汇总统计!D$2:D$500,MATCH(277,样本到样信息汇总统计!$Y$2:$Y$500,0)),"")</f>
        <v/>
      </c>
      <c r="E278" s="4" t="str">
        <f>IFERROR(INDEX(样本到样信息汇总统计!E$2:E$500,MATCH(277,样本到样信息汇总统计!$Y$2:$Y$500,0)),"")</f>
        <v/>
      </c>
      <c r="F278" s="4" t="str">
        <f>IFERROR(INDEX(样本到样信息汇总统计!F$2:F$500,MATCH(277,样本到样信息汇总统计!$Y$2:$Y$500,0)),"")</f>
        <v/>
      </c>
      <c r="G278" s="4" t="str">
        <f>IFERROR(INDEX(样本到样信息汇总统计!G$2:G$500,MATCH(277,样本到样信息汇总统计!$Y$2:$Y$500,0)),"")</f>
        <v/>
      </c>
      <c r="H278" s="4" t="str">
        <f>IFERROR(INDEX(样本到样信息汇总统计!H$2:H$500,MATCH(277,样本到样信息汇总统计!$Y$2:$Y$500,0)),"")</f>
        <v/>
      </c>
      <c r="I278" s="4" t="str">
        <f>IFERROR(INDEX(样本到样信息汇总统计!I$2:I$500,MATCH(277,样本到样信息汇总统计!$Y$2:$Y$500,0)),"")</f>
        <v/>
      </c>
      <c r="J278" s="4" t="str">
        <f>IFERROR(INDEX(样本到样信息汇总统计!J$2:J$500,MATCH(277,样本到样信息汇总统计!$Y$2:$Y$500,0)),"")</f>
        <v/>
      </c>
      <c r="K278" s="4" t="str">
        <f>IFERROR(INDEX(样本到样信息汇总统计!K$2:K$500,MATCH(277,样本到样信息汇总统计!$Y$2:$Y$500,0)),"")</f>
        <v/>
      </c>
      <c r="L278" s="4" t="str">
        <f>IFERROR(INDEX(样本到样信息汇总统计!L$2:L$500,MATCH(277,样本到样信息汇总统计!$Y$2:$Y$500,0)),"")</f>
        <v/>
      </c>
      <c r="M278" s="4" t="str">
        <f>IFERROR(INDEX(样本到样信息汇总统计!M$2:M$500,MATCH(277,样本到样信息汇总统计!$Y$2:$Y$500,0)),"")</f>
        <v/>
      </c>
      <c r="N278" s="4" t="str">
        <f>IFERROR(INDEX(样本到样信息汇总统计!N$2:N$500,MATCH(277,样本到样信息汇总统计!$Y$2:$Y$500,0)),"")</f>
        <v/>
      </c>
      <c r="O278" s="4" t="str">
        <f>IFERROR(INDEX(样本到样信息汇总统计!O$2:O$500,MATCH(277,样本到样信息汇总统计!$Y$2:$Y$500,0)),"")</f>
        <v/>
      </c>
      <c r="P278" s="4" t="str">
        <f>IFERROR(INDEX(样本到样信息汇总统计!P$2:P$500,MATCH(277,样本到样信息汇总统计!$Y$2:$Y$500,0)),"")</f>
        <v/>
      </c>
      <c r="Q278" s="4" t="str">
        <f>IFERROR(INDEX(样本到样信息汇总统计!Q$2:Q$500,MATCH(277,样本到样信息汇总统计!$Y$2:$Y$500,0)),"")</f>
        <v/>
      </c>
      <c r="R278" s="4" t="str">
        <f>IFERROR(INDEX(样本到样信息汇总统计!R$2:R$500,MATCH(277,样本到样信息汇总统计!$Y$2:$Y$500,0)),"")</f>
        <v/>
      </c>
      <c r="S278" s="4" t="str">
        <f>IFERROR(INDEX(样本到样信息汇总统计!S$2:S$500,MATCH(277,样本到样信息汇总统计!$Y$2:$Y$500,0)),"")</f>
        <v/>
      </c>
      <c r="T278" s="4" t="str">
        <f>IFERROR(INDEX(样本到样信息汇总统计!T$2:T$500,MATCH(277,样本到样信息汇总统计!$Y$2:$Y$500,0)),"")</f>
        <v/>
      </c>
      <c r="U278" s="4" t="str">
        <f>IFERROR(INDEX(样本到样信息汇总统计!U$2:U$500,MATCH(277,样本到样信息汇总统计!$Y$2:$Y$500,0)),"")</f>
        <v/>
      </c>
      <c r="V278" s="4" t="str">
        <f>IFERROR(INDEX(样本到样信息汇总统计!V$2:V$500,MATCH(277,样本到样信息汇总统计!$Y$2:$Y$500,0)),"")</f>
        <v/>
      </c>
      <c r="W278" s="4" t="str">
        <f>IFERROR(INDEX(样本到样信息汇总统计!W$2:W$500,MATCH(277,样本到样信息汇总统计!$Y$2:$Y$500,0)),"")</f>
        <v/>
      </c>
    </row>
    <row r="279" ht="14.5" spans="1:23">
      <c r="A279" s="8" t="str">
        <f>IFERROR(INDEX(样本到样信息汇总统计!A$2:A$500,MATCH(278,样本到样信息汇总统计!$Y$2:$Y$500,0)),"")</f>
        <v/>
      </c>
      <c r="B279" s="8" t="str">
        <f>IFERROR(INDEX(样本到样信息汇总统计!B$2:B$500,MATCH(278,样本到样信息汇总统计!$Y$2:$Y$500,0)),"")</f>
        <v/>
      </c>
      <c r="C279" s="8" t="str">
        <f>IFERROR(INDEX(样本到样信息汇总统计!C$2:C$500,MATCH(278,样本到样信息汇总统计!$Y$2:$Y$500,0)),"")</f>
        <v/>
      </c>
      <c r="D279" s="8" t="str">
        <f>IFERROR(INDEX(样本到样信息汇总统计!D$2:D$500,MATCH(278,样本到样信息汇总统计!$Y$2:$Y$500,0)),"")</f>
        <v/>
      </c>
      <c r="E279" s="8" t="str">
        <f>IFERROR(INDEX(样本到样信息汇总统计!E$2:E$500,MATCH(278,样本到样信息汇总统计!$Y$2:$Y$500,0)),"")</f>
        <v/>
      </c>
      <c r="F279" s="8" t="str">
        <f>IFERROR(INDEX(样本到样信息汇总统计!F$2:F$500,MATCH(278,样本到样信息汇总统计!$Y$2:$Y$500,0)),"")</f>
        <v/>
      </c>
      <c r="G279" s="8" t="str">
        <f>IFERROR(INDEX(样本到样信息汇总统计!G$2:G$500,MATCH(278,样本到样信息汇总统计!$Y$2:$Y$500,0)),"")</f>
        <v/>
      </c>
      <c r="H279" s="8" t="str">
        <f>IFERROR(INDEX(样本到样信息汇总统计!H$2:H$500,MATCH(278,样本到样信息汇总统计!$Y$2:$Y$500,0)),"")</f>
        <v/>
      </c>
      <c r="I279" s="8" t="str">
        <f>IFERROR(INDEX(样本到样信息汇总统计!I$2:I$500,MATCH(278,样本到样信息汇总统计!$Y$2:$Y$500,0)),"")</f>
        <v/>
      </c>
      <c r="J279" s="8" t="str">
        <f>IFERROR(INDEX(样本到样信息汇总统计!J$2:J$500,MATCH(278,样本到样信息汇总统计!$Y$2:$Y$500,0)),"")</f>
        <v/>
      </c>
      <c r="K279" s="8" t="str">
        <f>IFERROR(INDEX(样本到样信息汇总统计!K$2:K$500,MATCH(278,样本到样信息汇总统计!$Y$2:$Y$500,0)),"")</f>
        <v/>
      </c>
      <c r="L279" s="8" t="str">
        <f>IFERROR(INDEX(样本到样信息汇总统计!L$2:L$500,MATCH(278,样本到样信息汇总统计!$Y$2:$Y$500,0)),"")</f>
        <v/>
      </c>
      <c r="M279" s="8" t="str">
        <f>IFERROR(INDEX(样本到样信息汇总统计!M$2:M$500,MATCH(278,样本到样信息汇总统计!$Y$2:$Y$500,0)),"")</f>
        <v/>
      </c>
      <c r="N279" s="8" t="str">
        <f>IFERROR(INDEX(样本到样信息汇总统计!N$2:N$500,MATCH(278,样本到样信息汇总统计!$Y$2:$Y$500,0)),"")</f>
        <v/>
      </c>
      <c r="O279" s="8" t="str">
        <f>IFERROR(INDEX(样本到样信息汇总统计!O$2:O$500,MATCH(278,样本到样信息汇总统计!$Y$2:$Y$500,0)),"")</f>
        <v/>
      </c>
      <c r="P279" s="8" t="str">
        <f>IFERROR(INDEX(样本到样信息汇总统计!P$2:P$500,MATCH(278,样本到样信息汇总统计!$Y$2:$Y$500,0)),"")</f>
        <v/>
      </c>
      <c r="Q279" s="8" t="str">
        <f>IFERROR(INDEX(样本到样信息汇总统计!Q$2:Q$500,MATCH(278,样本到样信息汇总统计!$Y$2:$Y$500,0)),"")</f>
        <v/>
      </c>
      <c r="R279" s="8" t="str">
        <f>IFERROR(INDEX(样本到样信息汇总统计!R$2:R$500,MATCH(278,样本到样信息汇总统计!$Y$2:$Y$500,0)),"")</f>
        <v/>
      </c>
      <c r="S279" s="8" t="str">
        <f>IFERROR(INDEX(样本到样信息汇总统计!S$2:S$500,MATCH(278,样本到样信息汇总统计!$Y$2:$Y$500,0)),"")</f>
        <v/>
      </c>
      <c r="T279" s="8" t="str">
        <f>IFERROR(INDEX(样本到样信息汇总统计!T$2:T$500,MATCH(278,样本到样信息汇总统计!$Y$2:$Y$500,0)),"")</f>
        <v/>
      </c>
      <c r="U279" s="8" t="str">
        <f>IFERROR(INDEX(样本到样信息汇总统计!U$2:U$500,MATCH(278,样本到样信息汇总统计!$Y$2:$Y$500,0)),"")</f>
        <v/>
      </c>
      <c r="V279" s="8" t="str">
        <f>IFERROR(INDEX(样本到样信息汇总统计!V$2:V$500,MATCH(278,样本到样信息汇总统计!$Y$2:$Y$500,0)),"")</f>
        <v/>
      </c>
      <c r="W279" s="8" t="str">
        <f>IFERROR(INDEX(样本到样信息汇总统计!W$2:W$500,MATCH(278,样本到样信息汇总统计!$Y$2:$Y$500,0)),"")</f>
        <v/>
      </c>
    </row>
    <row r="280" ht="14.5" spans="1:23">
      <c r="A280" s="4" t="str">
        <f>IFERROR(INDEX(样本到样信息汇总统计!A$2:A$500,MATCH(279,样本到样信息汇总统计!$Y$2:$Y$500,0)),"")</f>
        <v/>
      </c>
      <c r="B280" s="4" t="str">
        <f>IFERROR(INDEX(样本到样信息汇总统计!B$2:B$500,MATCH(279,样本到样信息汇总统计!$Y$2:$Y$500,0)),"")</f>
        <v/>
      </c>
      <c r="C280" s="4" t="str">
        <f>IFERROR(INDEX(样本到样信息汇总统计!C$2:C$500,MATCH(279,样本到样信息汇总统计!$Y$2:$Y$500,0)),"")</f>
        <v/>
      </c>
      <c r="D280" s="4" t="str">
        <f>IFERROR(INDEX(样本到样信息汇总统计!D$2:D$500,MATCH(279,样本到样信息汇总统计!$Y$2:$Y$500,0)),"")</f>
        <v/>
      </c>
      <c r="E280" s="4" t="str">
        <f>IFERROR(INDEX(样本到样信息汇总统计!E$2:E$500,MATCH(279,样本到样信息汇总统计!$Y$2:$Y$500,0)),"")</f>
        <v/>
      </c>
      <c r="F280" s="4" t="str">
        <f>IFERROR(INDEX(样本到样信息汇总统计!F$2:F$500,MATCH(279,样本到样信息汇总统计!$Y$2:$Y$500,0)),"")</f>
        <v/>
      </c>
      <c r="G280" s="4" t="str">
        <f>IFERROR(INDEX(样本到样信息汇总统计!G$2:G$500,MATCH(279,样本到样信息汇总统计!$Y$2:$Y$500,0)),"")</f>
        <v/>
      </c>
      <c r="H280" s="4" t="str">
        <f>IFERROR(INDEX(样本到样信息汇总统计!H$2:H$500,MATCH(279,样本到样信息汇总统计!$Y$2:$Y$500,0)),"")</f>
        <v/>
      </c>
      <c r="I280" s="4" t="str">
        <f>IFERROR(INDEX(样本到样信息汇总统计!I$2:I$500,MATCH(279,样本到样信息汇总统计!$Y$2:$Y$500,0)),"")</f>
        <v/>
      </c>
      <c r="J280" s="4" t="str">
        <f>IFERROR(INDEX(样本到样信息汇总统计!J$2:J$500,MATCH(279,样本到样信息汇总统计!$Y$2:$Y$500,0)),"")</f>
        <v/>
      </c>
      <c r="K280" s="4" t="str">
        <f>IFERROR(INDEX(样本到样信息汇总统计!K$2:K$500,MATCH(279,样本到样信息汇总统计!$Y$2:$Y$500,0)),"")</f>
        <v/>
      </c>
      <c r="L280" s="4" t="str">
        <f>IFERROR(INDEX(样本到样信息汇总统计!L$2:L$500,MATCH(279,样本到样信息汇总统计!$Y$2:$Y$500,0)),"")</f>
        <v/>
      </c>
      <c r="M280" s="4" t="str">
        <f>IFERROR(INDEX(样本到样信息汇总统计!M$2:M$500,MATCH(279,样本到样信息汇总统计!$Y$2:$Y$500,0)),"")</f>
        <v/>
      </c>
      <c r="N280" s="4" t="str">
        <f>IFERROR(INDEX(样本到样信息汇总统计!N$2:N$500,MATCH(279,样本到样信息汇总统计!$Y$2:$Y$500,0)),"")</f>
        <v/>
      </c>
      <c r="O280" s="4" t="str">
        <f>IFERROR(INDEX(样本到样信息汇总统计!O$2:O$500,MATCH(279,样本到样信息汇总统计!$Y$2:$Y$500,0)),"")</f>
        <v/>
      </c>
      <c r="P280" s="4" t="str">
        <f>IFERROR(INDEX(样本到样信息汇总统计!P$2:P$500,MATCH(279,样本到样信息汇总统计!$Y$2:$Y$500,0)),"")</f>
        <v/>
      </c>
      <c r="Q280" s="4" t="str">
        <f>IFERROR(INDEX(样本到样信息汇总统计!Q$2:Q$500,MATCH(279,样本到样信息汇总统计!$Y$2:$Y$500,0)),"")</f>
        <v/>
      </c>
      <c r="R280" s="4" t="str">
        <f>IFERROR(INDEX(样本到样信息汇总统计!R$2:R$500,MATCH(279,样本到样信息汇总统计!$Y$2:$Y$500,0)),"")</f>
        <v/>
      </c>
      <c r="S280" s="4" t="str">
        <f>IFERROR(INDEX(样本到样信息汇总统计!S$2:S$500,MATCH(279,样本到样信息汇总统计!$Y$2:$Y$500,0)),"")</f>
        <v/>
      </c>
      <c r="T280" s="4" t="str">
        <f>IFERROR(INDEX(样本到样信息汇总统计!T$2:T$500,MATCH(279,样本到样信息汇总统计!$Y$2:$Y$500,0)),"")</f>
        <v/>
      </c>
      <c r="U280" s="4" t="str">
        <f>IFERROR(INDEX(样本到样信息汇总统计!U$2:U$500,MATCH(279,样本到样信息汇总统计!$Y$2:$Y$500,0)),"")</f>
        <v/>
      </c>
      <c r="V280" s="4" t="str">
        <f>IFERROR(INDEX(样本到样信息汇总统计!V$2:V$500,MATCH(279,样本到样信息汇总统计!$Y$2:$Y$500,0)),"")</f>
        <v/>
      </c>
      <c r="W280" s="4" t="str">
        <f>IFERROR(INDEX(样本到样信息汇总统计!W$2:W$500,MATCH(279,样本到样信息汇总统计!$Y$2:$Y$500,0)),"")</f>
        <v/>
      </c>
    </row>
    <row r="281" ht="14.5" spans="1:23">
      <c r="A281" s="8" t="str">
        <f>IFERROR(INDEX(样本到样信息汇总统计!A$2:A$500,MATCH(280,样本到样信息汇总统计!$Y$2:$Y$500,0)),"")</f>
        <v/>
      </c>
      <c r="B281" s="8" t="str">
        <f>IFERROR(INDEX(样本到样信息汇总统计!B$2:B$500,MATCH(280,样本到样信息汇总统计!$Y$2:$Y$500,0)),"")</f>
        <v/>
      </c>
      <c r="C281" s="8" t="str">
        <f>IFERROR(INDEX(样本到样信息汇总统计!C$2:C$500,MATCH(280,样本到样信息汇总统计!$Y$2:$Y$500,0)),"")</f>
        <v/>
      </c>
      <c r="D281" s="8" t="str">
        <f>IFERROR(INDEX(样本到样信息汇总统计!D$2:D$500,MATCH(280,样本到样信息汇总统计!$Y$2:$Y$500,0)),"")</f>
        <v/>
      </c>
      <c r="E281" s="8" t="str">
        <f>IFERROR(INDEX(样本到样信息汇总统计!E$2:E$500,MATCH(280,样本到样信息汇总统计!$Y$2:$Y$500,0)),"")</f>
        <v/>
      </c>
      <c r="F281" s="8" t="str">
        <f>IFERROR(INDEX(样本到样信息汇总统计!F$2:F$500,MATCH(280,样本到样信息汇总统计!$Y$2:$Y$500,0)),"")</f>
        <v/>
      </c>
      <c r="G281" s="8" t="str">
        <f>IFERROR(INDEX(样本到样信息汇总统计!G$2:G$500,MATCH(280,样本到样信息汇总统计!$Y$2:$Y$500,0)),"")</f>
        <v/>
      </c>
      <c r="H281" s="8" t="str">
        <f>IFERROR(INDEX(样本到样信息汇总统计!H$2:H$500,MATCH(280,样本到样信息汇总统计!$Y$2:$Y$500,0)),"")</f>
        <v/>
      </c>
      <c r="I281" s="8" t="str">
        <f>IFERROR(INDEX(样本到样信息汇总统计!I$2:I$500,MATCH(280,样本到样信息汇总统计!$Y$2:$Y$500,0)),"")</f>
        <v/>
      </c>
      <c r="J281" s="8" t="str">
        <f>IFERROR(INDEX(样本到样信息汇总统计!J$2:J$500,MATCH(280,样本到样信息汇总统计!$Y$2:$Y$500,0)),"")</f>
        <v/>
      </c>
      <c r="K281" s="8" t="str">
        <f>IFERROR(INDEX(样本到样信息汇总统计!K$2:K$500,MATCH(280,样本到样信息汇总统计!$Y$2:$Y$500,0)),"")</f>
        <v/>
      </c>
      <c r="L281" s="8" t="str">
        <f>IFERROR(INDEX(样本到样信息汇总统计!L$2:L$500,MATCH(280,样本到样信息汇总统计!$Y$2:$Y$500,0)),"")</f>
        <v/>
      </c>
      <c r="M281" s="8" t="str">
        <f>IFERROR(INDEX(样本到样信息汇总统计!M$2:M$500,MATCH(280,样本到样信息汇总统计!$Y$2:$Y$500,0)),"")</f>
        <v/>
      </c>
      <c r="N281" s="8" t="str">
        <f>IFERROR(INDEX(样本到样信息汇总统计!N$2:N$500,MATCH(280,样本到样信息汇总统计!$Y$2:$Y$500,0)),"")</f>
        <v/>
      </c>
      <c r="O281" s="8" t="str">
        <f>IFERROR(INDEX(样本到样信息汇总统计!O$2:O$500,MATCH(280,样本到样信息汇总统计!$Y$2:$Y$500,0)),"")</f>
        <v/>
      </c>
      <c r="P281" s="8" t="str">
        <f>IFERROR(INDEX(样本到样信息汇总统计!P$2:P$500,MATCH(280,样本到样信息汇总统计!$Y$2:$Y$500,0)),"")</f>
        <v/>
      </c>
      <c r="Q281" s="8" t="str">
        <f>IFERROR(INDEX(样本到样信息汇总统计!Q$2:Q$500,MATCH(280,样本到样信息汇总统计!$Y$2:$Y$500,0)),"")</f>
        <v/>
      </c>
      <c r="R281" s="8" t="str">
        <f>IFERROR(INDEX(样本到样信息汇总统计!R$2:R$500,MATCH(280,样本到样信息汇总统计!$Y$2:$Y$500,0)),"")</f>
        <v/>
      </c>
      <c r="S281" s="8" t="str">
        <f>IFERROR(INDEX(样本到样信息汇总统计!S$2:S$500,MATCH(280,样本到样信息汇总统计!$Y$2:$Y$500,0)),"")</f>
        <v/>
      </c>
      <c r="T281" s="8" t="str">
        <f>IFERROR(INDEX(样本到样信息汇总统计!T$2:T$500,MATCH(280,样本到样信息汇总统计!$Y$2:$Y$500,0)),"")</f>
        <v/>
      </c>
      <c r="U281" s="8" t="str">
        <f>IFERROR(INDEX(样本到样信息汇总统计!U$2:U$500,MATCH(280,样本到样信息汇总统计!$Y$2:$Y$500,0)),"")</f>
        <v/>
      </c>
      <c r="V281" s="8" t="str">
        <f>IFERROR(INDEX(样本到样信息汇总统计!V$2:V$500,MATCH(280,样本到样信息汇总统计!$Y$2:$Y$500,0)),"")</f>
        <v/>
      </c>
      <c r="W281" s="8" t="str">
        <f>IFERROR(INDEX(样本到样信息汇总统计!W$2:W$500,MATCH(280,样本到样信息汇总统计!$Y$2:$Y$500,0)),"")</f>
        <v/>
      </c>
    </row>
    <row r="282" ht="14.5" spans="1:23">
      <c r="A282" s="4" t="str">
        <f>IFERROR(INDEX(样本到样信息汇总统计!A$2:A$500,MATCH(281,样本到样信息汇总统计!$Y$2:$Y$500,0)),"")</f>
        <v/>
      </c>
      <c r="B282" s="4" t="str">
        <f>IFERROR(INDEX(样本到样信息汇总统计!B$2:B$500,MATCH(281,样本到样信息汇总统计!$Y$2:$Y$500,0)),"")</f>
        <v/>
      </c>
      <c r="C282" s="4" t="str">
        <f>IFERROR(INDEX(样本到样信息汇总统计!C$2:C$500,MATCH(281,样本到样信息汇总统计!$Y$2:$Y$500,0)),"")</f>
        <v/>
      </c>
      <c r="D282" s="4" t="str">
        <f>IFERROR(INDEX(样本到样信息汇总统计!D$2:D$500,MATCH(281,样本到样信息汇总统计!$Y$2:$Y$500,0)),"")</f>
        <v/>
      </c>
      <c r="E282" s="4" t="str">
        <f>IFERROR(INDEX(样本到样信息汇总统计!E$2:E$500,MATCH(281,样本到样信息汇总统计!$Y$2:$Y$500,0)),"")</f>
        <v/>
      </c>
      <c r="F282" s="4" t="str">
        <f>IFERROR(INDEX(样本到样信息汇总统计!F$2:F$500,MATCH(281,样本到样信息汇总统计!$Y$2:$Y$500,0)),"")</f>
        <v/>
      </c>
      <c r="G282" s="4" t="str">
        <f>IFERROR(INDEX(样本到样信息汇总统计!G$2:G$500,MATCH(281,样本到样信息汇总统计!$Y$2:$Y$500,0)),"")</f>
        <v/>
      </c>
      <c r="H282" s="4" t="str">
        <f>IFERROR(INDEX(样本到样信息汇总统计!H$2:H$500,MATCH(281,样本到样信息汇总统计!$Y$2:$Y$500,0)),"")</f>
        <v/>
      </c>
      <c r="I282" s="4" t="str">
        <f>IFERROR(INDEX(样本到样信息汇总统计!I$2:I$500,MATCH(281,样本到样信息汇总统计!$Y$2:$Y$500,0)),"")</f>
        <v/>
      </c>
      <c r="J282" s="4" t="str">
        <f>IFERROR(INDEX(样本到样信息汇总统计!J$2:J$500,MATCH(281,样本到样信息汇总统计!$Y$2:$Y$500,0)),"")</f>
        <v/>
      </c>
      <c r="K282" s="4" t="str">
        <f>IFERROR(INDEX(样本到样信息汇总统计!K$2:K$500,MATCH(281,样本到样信息汇总统计!$Y$2:$Y$500,0)),"")</f>
        <v/>
      </c>
      <c r="L282" s="4" t="str">
        <f>IFERROR(INDEX(样本到样信息汇总统计!L$2:L$500,MATCH(281,样本到样信息汇总统计!$Y$2:$Y$500,0)),"")</f>
        <v/>
      </c>
      <c r="M282" s="4" t="str">
        <f>IFERROR(INDEX(样本到样信息汇总统计!M$2:M$500,MATCH(281,样本到样信息汇总统计!$Y$2:$Y$500,0)),"")</f>
        <v/>
      </c>
      <c r="N282" s="4" t="str">
        <f>IFERROR(INDEX(样本到样信息汇总统计!N$2:N$500,MATCH(281,样本到样信息汇总统计!$Y$2:$Y$500,0)),"")</f>
        <v/>
      </c>
      <c r="O282" s="4" t="str">
        <f>IFERROR(INDEX(样本到样信息汇总统计!O$2:O$500,MATCH(281,样本到样信息汇总统计!$Y$2:$Y$500,0)),"")</f>
        <v/>
      </c>
      <c r="P282" s="4" t="str">
        <f>IFERROR(INDEX(样本到样信息汇总统计!P$2:P$500,MATCH(281,样本到样信息汇总统计!$Y$2:$Y$500,0)),"")</f>
        <v/>
      </c>
      <c r="Q282" s="4" t="str">
        <f>IFERROR(INDEX(样本到样信息汇总统计!Q$2:Q$500,MATCH(281,样本到样信息汇总统计!$Y$2:$Y$500,0)),"")</f>
        <v/>
      </c>
      <c r="R282" s="4" t="str">
        <f>IFERROR(INDEX(样本到样信息汇总统计!R$2:R$500,MATCH(281,样本到样信息汇总统计!$Y$2:$Y$500,0)),"")</f>
        <v/>
      </c>
      <c r="S282" s="4" t="str">
        <f>IFERROR(INDEX(样本到样信息汇总统计!S$2:S$500,MATCH(281,样本到样信息汇总统计!$Y$2:$Y$500,0)),"")</f>
        <v/>
      </c>
      <c r="T282" s="4" t="str">
        <f>IFERROR(INDEX(样本到样信息汇总统计!T$2:T$500,MATCH(281,样本到样信息汇总统计!$Y$2:$Y$500,0)),"")</f>
        <v/>
      </c>
      <c r="U282" s="4" t="str">
        <f>IFERROR(INDEX(样本到样信息汇总统计!U$2:U$500,MATCH(281,样本到样信息汇总统计!$Y$2:$Y$500,0)),"")</f>
        <v/>
      </c>
      <c r="V282" s="4" t="str">
        <f>IFERROR(INDEX(样本到样信息汇总统计!V$2:V$500,MATCH(281,样本到样信息汇总统计!$Y$2:$Y$500,0)),"")</f>
        <v/>
      </c>
      <c r="W282" s="4" t="str">
        <f>IFERROR(INDEX(样本到样信息汇总统计!W$2:W$500,MATCH(281,样本到样信息汇总统计!$Y$2:$Y$500,0)),"")</f>
        <v/>
      </c>
    </row>
    <row r="283" ht="14.5" spans="1:23">
      <c r="A283" s="8" t="str">
        <f>IFERROR(INDEX(样本到样信息汇总统计!A$2:A$500,MATCH(282,样本到样信息汇总统计!$Y$2:$Y$500,0)),"")</f>
        <v/>
      </c>
      <c r="B283" s="8" t="str">
        <f>IFERROR(INDEX(样本到样信息汇总统计!B$2:B$500,MATCH(282,样本到样信息汇总统计!$Y$2:$Y$500,0)),"")</f>
        <v/>
      </c>
      <c r="C283" s="8" t="str">
        <f>IFERROR(INDEX(样本到样信息汇总统计!C$2:C$500,MATCH(282,样本到样信息汇总统计!$Y$2:$Y$500,0)),"")</f>
        <v/>
      </c>
      <c r="D283" s="8" t="str">
        <f>IFERROR(INDEX(样本到样信息汇总统计!D$2:D$500,MATCH(282,样本到样信息汇总统计!$Y$2:$Y$500,0)),"")</f>
        <v/>
      </c>
      <c r="E283" s="8" t="str">
        <f>IFERROR(INDEX(样本到样信息汇总统计!E$2:E$500,MATCH(282,样本到样信息汇总统计!$Y$2:$Y$500,0)),"")</f>
        <v/>
      </c>
      <c r="F283" s="8" t="str">
        <f>IFERROR(INDEX(样本到样信息汇总统计!F$2:F$500,MATCH(282,样本到样信息汇总统计!$Y$2:$Y$500,0)),"")</f>
        <v/>
      </c>
      <c r="G283" s="8" t="str">
        <f>IFERROR(INDEX(样本到样信息汇总统计!G$2:G$500,MATCH(282,样本到样信息汇总统计!$Y$2:$Y$500,0)),"")</f>
        <v/>
      </c>
      <c r="H283" s="8" t="str">
        <f>IFERROR(INDEX(样本到样信息汇总统计!H$2:H$500,MATCH(282,样本到样信息汇总统计!$Y$2:$Y$500,0)),"")</f>
        <v/>
      </c>
      <c r="I283" s="8" t="str">
        <f>IFERROR(INDEX(样本到样信息汇总统计!I$2:I$500,MATCH(282,样本到样信息汇总统计!$Y$2:$Y$500,0)),"")</f>
        <v/>
      </c>
      <c r="J283" s="8" t="str">
        <f>IFERROR(INDEX(样本到样信息汇总统计!J$2:J$500,MATCH(282,样本到样信息汇总统计!$Y$2:$Y$500,0)),"")</f>
        <v/>
      </c>
      <c r="K283" s="8" t="str">
        <f>IFERROR(INDEX(样本到样信息汇总统计!K$2:K$500,MATCH(282,样本到样信息汇总统计!$Y$2:$Y$500,0)),"")</f>
        <v/>
      </c>
      <c r="L283" s="8" t="str">
        <f>IFERROR(INDEX(样本到样信息汇总统计!L$2:L$500,MATCH(282,样本到样信息汇总统计!$Y$2:$Y$500,0)),"")</f>
        <v/>
      </c>
      <c r="M283" s="8" t="str">
        <f>IFERROR(INDEX(样本到样信息汇总统计!M$2:M$500,MATCH(282,样本到样信息汇总统计!$Y$2:$Y$500,0)),"")</f>
        <v/>
      </c>
      <c r="N283" s="8" t="str">
        <f>IFERROR(INDEX(样本到样信息汇总统计!N$2:N$500,MATCH(282,样本到样信息汇总统计!$Y$2:$Y$500,0)),"")</f>
        <v/>
      </c>
      <c r="O283" s="8" t="str">
        <f>IFERROR(INDEX(样本到样信息汇总统计!O$2:O$500,MATCH(282,样本到样信息汇总统计!$Y$2:$Y$500,0)),"")</f>
        <v/>
      </c>
      <c r="P283" s="8" t="str">
        <f>IFERROR(INDEX(样本到样信息汇总统计!P$2:P$500,MATCH(282,样本到样信息汇总统计!$Y$2:$Y$500,0)),"")</f>
        <v/>
      </c>
      <c r="Q283" s="8" t="str">
        <f>IFERROR(INDEX(样本到样信息汇总统计!Q$2:Q$500,MATCH(282,样本到样信息汇总统计!$Y$2:$Y$500,0)),"")</f>
        <v/>
      </c>
      <c r="R283" s="8" t="str">
        <f>IFERROR(INDEX(样本到样信息汇总统计!R$2:R$500,MATCH(282,样本到样信息汇总统计!$Y$2:$Y$500,0)),"")</f>
        <v/>
      </c>
      <c r="S283" s="8" t="str">
        <f>IFERROR(INDEX(样本到样信息汇总统计!S$2:S$500,MATCH(282,样本到样信息汇总统计!$Y$2:$Y$500,0)),"")</f>
        <v/>
      </c>
      <c r="T283" s="8" t="str">
        <f>IFERROR(INDEX(样本到样信息汇总统计!T$2:T$500,MATCH(282,样本到样信息汇总统计!$Y$2:$Y$500,0)),"")</f>
        <v/>
      </c>
      <c r="U283" s="8" t="str">
        <f>IFERROR(INDEX(样本到样信息汇总统计!U$2:U$500,MATCH(282,样本到样信息汇总统计!$Y$2:$Y$500,0)),"")</f>
        <v/>
      </c>
      <c r="V283" s="8" t="str">
        <f>IFERROR(INDEX(样本到样信息汇总统计!V$2:V$500,MATCH(282,样本到样信息汇总统计!$Y$2:$Y$500,0)),"")</f>
        <v/>
      </c>
      <c r="W283" s="8" t="str">
        <f>IFERROR(INDEX(样本到样信息汇总统计!W$2:W$500,MATCH(282,样本到样信息汇总统计!$Y$2:$Y$500,0)),"")</f>
        <v/>
      </c>
    </row>
    <row r="284" ht="14.5" spans="1:23">
      <c r="A284" s="4" t="str">
        <f>IFERROR(INDEX(样本到样信息汇总统计!A$2:A$500,MATCH(283,样本到样信息汇总统计!$Y$2:$Y$500,0)),"")</f>
        <v/>
      </c>
      <c r="B284" s="4" t="str">
        <f>IFERROR(INDEX(样本到样信息汇总统计!B$2:B$500,MATCH(283,样本到样信息汇总统计!$Y$2:$Y$500,0)),"")</f>
        <v/>
      </c>
      <c r="C284" s="4" t="str">
        <f>IFERROR(INDEX(样本到样信息汇总统计!C$2:C$500,MATCH(283,样本到样信息汇总统计!$Y$2:$Y$500,0)),"")</f>
        <v/>
      </c>
      <c r="D284" s="4" t="str">
        <f>IFERROR(INDEX(样本到样信息汇总统计!D$2:D$500,MATCH(283,样本到样信息汇总统计!$Y$2:$Y$500,0)),"")</f>
        <v/>
      </c>
      <c r="E284" s="4" t="str">
        <f>IFERROR(INDEX(样本到样信息汇总统计!E$2:E$500,MATCH(283,样本到样信息汇总统计!$Y$2:$Y$500,0)),"")</f>
        <v/>
      </c>
      <c r="F284" s="4" t="str">
        <f>IFERROR(INDEX(样本到样信息汇总统计!F$2:F$500,MATCH(283,样本到样信息汇总统计!$Y$2:$Y$500,0)),"")</f>
        <v/>
      </c>
      <c r="G284" s="4" t="str">
        <f>IFERROR(INDEX(样本到样信息汇总统计!G$2:G$500,MATCH(283,样本到样信息汇总统计!$Y$2:$Y$500,0)),"")</f>
        <v/>
      </c>
      <c r="H284" s="4" t="str">
        <f>IFERROR(INDEX(样本到样信息汇总统计!H$2:H$500,MATCH(283,样本到样信息汇总统计!$Y$2:$Y$500,0)),"")</f>
        <v/>
      </c>
      <c r="I284" s="4" t="str">
        <f>IFERROR(INDEX(样本到样信息汇总统计!I$2:I$500,MATCH(283,样本到样信息汇总统计!$Y$2:$Y$500,0)),"")</f>
        <v/>
      </c>
      <c r="J284" s="4" t="str">
        <f>IFERROR(INDEX(样本到样信息汇总统计!J$2:J$500,MATCH(283,样本到样信息汇总统计!$Y$2:$Y$500,0)),"")</f>
        <v/>
      </c>
      <c r="K284" s="4" t="str">
        <f>IFERROR(INDEX(样本到样信息汇总统计!K$2:K$500,MATCH(283,样本到样信息汇总统计!$Y$2:$Y$500,0)),"")</f>
        <v/>
      </c>
      <c r="L284" s="4" t="str">
        <f>IFERROR(INDEX(样本到样信息汇总统计!L$2:L$500,MATCH(283,样本到样信息汇总统计!$Y$2:$Y$500,0)),"")</f>
        <v/>
      </c>
      <c r="M284" s="4" t="str">
        <f>IFERROR(INDEX(样本到样信息汇总统计!M$2:M$500,MATCH(283,样本到样信息汇总统计!$Y$2:$Y$500,0)),"")</f>
        <v/>
      </c>
      <c r="N284" s="4" t="str">
        <f>IFERROR(INDEX(样本到样信息汇总统计!N$2:N$500,MATCH(283,样本到样信息汇总统计!$Y$2:$Y$500,0)),"")</f>
        <v/>
      </c>
      <c r="O284" s="4" t="str">
        <f>IFERROR(INDEX(样本到样信息汇总统计!O$2:O$500,MATCH(283,样本到样信息汇总统计!$Y$2:$Y$500,0)),"")</f>
        <v/>
      </c>
      <c r="P284" s="4" t="str">
        <f>IFERROR(INDEX(样本到样信息汇总统计!P$2:P$500,MATCH(283,样本到样信息汇总统计!$Y$2:$Y$500,0)),"")</f>
        <v/>
      </c>
      <c r="Q284" s="4" t="str">
        <f>IFERROR(INDEX(样本到样信息汇总统计!Q$2:Q$500,MATCH(283,样本到样信息汇总统计!$Y$2:$Y$500,0)),"")</f>
        <v/>
      </c>
      <c r="R284" s="4" t="str">
        <f>IFERROR(INDEX(样本到样信息汇总统计!R$2:R$500,MATCH(283,样本到样信息汇总统计!$Y$2:$Y$500,0)),"")</f>
        <v/>
      </c>
      <c r="S284" s="4" t="str">
        <f>IFERROR(INDEX(样本到样信息汇总统计!S$2:S$500,MATCH(283,样本到样信息汇总统计!$Y$2:$Y$500,0)),"")</f>
        <v/>
      </c>
      <c r="T284" s="4" t="str">
        <f>IFERROR(INDEX(样本到样信息汇总统计!T$2:T$500,MATCH(283,样本到样信息汇总统计!$Y$2:$Y$500,0)),"")</f>
        <v/>
      </c>
      <c r="U284" s="4" t="str">
        <f>IFERROR(INDEX(样本到样信息汇总统计!U$2:U$500,MATCH(283,样本到样信息汇总统计!$Y$2:$Y$500,0)),"")</f>
        <v/>
      </c>
      <c r="V284" s="4" t="str">
        <f>IFERROR(INDEX(样本到样信息汇总统计!V$2:V$500,MATCH(283,样本到样信息汇总统计!$Y$2:$Y$500,0)),"")</f>
        <v/>
      </c>
      <c r="W284" s="4" t="str">
        <f>IFERROR(INDEX(样本到样信息汇总统计!W$2:W$500,MATCH(283,样本到样信息汇总统计!$Y$2:$Y$500,0)),"")</f>
        <v/>
      </c>
    </row>
    <row r="285" ht="14.5" spans="1:23">
      <c r="A285" s="8" t="str">
        <f>IFERROR(INDEX(样本到样信息汇总统计!A$2:A$500,MATCH(284,样本到样信息汇总统计!$Y$2:$Y$500,0)),"")</f>
        <v/>
      </c>
      <c r="B285" s="8" t="str">
        <f>IFERROR(INDEX(样本到样信息汇总统计!B$2:B$500,MATCH(284,样本到样信息汇总统计!$Y$2:$Y$500,0)),"")</f>
        <v/>
      </c>
      <c r="C285" s="8" t="str">
        <f>IFERROR(INDEX(样本到样信息汇总统计!C$2:C$500,MATCH(284,样本到样信息汇总统计!$Y$2:$Y$500,0)),"")</f>
        <v/>
      </c>
      <c r="D285" s="8" t="str">
        <f>IFERROR(INDEX(样本到样信息汇总统计!D$2:D$500,MATCH(284,样本到样信息汇总统计!$Y$2:$Y$500,0)),"")</f>
        <v/>
      </c>
      <c r="E285" s="8" t="str">
        <f>IFERROR(INDEX(样本到样信息汇总统计!E$2:E$500,MATCH(284,样本到样信息汇总统计!$Y$2:$Y$500,0)),"")</f>
        <v/>
      </c>
      <c r="F285" s="8" t="str">
        <f>IFERROR(INDEX(样本到样信息汇总统计!F$2:F$500,MATCH(284,样本到样信息汇总统计!$Y$2:$Y$500,0)),"")</f>
        <v/>
      </c>
      <c r="G285" s="8" t="str">
        <f>IFERROR(INDEX(样本到样信息汇总统计!G$2:G$500,MATCH(284,样本到样信息汇总统计!$Y$2:$Y$500,0)),"")</f>
        <v/>
      </c>
      <c r="H285" s="8" t="str">
        <f>IFERROR(INDEX(样本到样信息汇总统计!H$2:H$500,MATCH(284,样本到样信息汇总统计!$Y$2:$Y$500,0)),"")</f>
        <v/>
      </c>
      <c r="I285" s="8" t="str">
        <f>IFERROR(INDEX(样本到样信息汇总统计!I$2:I$500,MATCH(284,样本到样信息汇总统计!$Y$2:$Y$500,0)),"")</f>
        <v/>
      </c>
      <c r="J285" s="8" t="str">
        <f>IFERROR(INDEX(样本到样信息汇总统计!J$2:J$500,MATCH(284,样本到样信息汇总统计!$Y$2:$Y$500,0)),"")</f>
        <v/>
      </c>
      <c r="K285" s="8" t="str">
        <f>IFERROR(INDEX(样本到样信息汇总统计!K$2:K$500,MATCH(284,样本到样信息汇总统计!$Y$2:$Y$500,0)),"")</f>
        <v/>
      </c>
      <c r="L285" s="8" t="str">
        <f>IFERROR(INDEX(样本到样信息汇总统计!L$2:L$500,MATCH(284,样本到样信息汇总统计!$Y$2:$Y$500,0)),"")</f>
        <v/>
      </c>
      <c r="M285" s="8" t="str">
        <f>IFERROR(INDEX(样本到样信息汇总统计!M$2:M$500,MATCH(284,样本到样信息汇总统计!$Y$2:$Y$500,0)),"")</f>
        <v/>
      </c>
      <c r="N285" s="8" t="str">
        <f>IFERROR(INDEX(样本到样信息汇总统计!N$2:N$500,MATCH(284,样本到样信息汇总统计!$Y$2:$Y$500,0)),"")</f>
        <v/>
      </c>
      <c r="O285" s="8" t="str">
        <f>IFERROR(INDEX(样本到样信息汇总统计!O$2:O$500,MATCH(284,样本到样信息汇总统计!$Y$2:$Y$500,0)),"")</f>
        <v/>
      </c>
      <c r="P285" s="8" t="str">
        <f>IFERROR(INDEX(样本到样信息汇总统计!P$2:P$500,MATCH(284,样本到样信息汇总统计!$Y$2:$Y$500,0)),"")</f>
        <v/>
      </c>
      <c r="Q285" s="8" t="str">
        <f>IFERROR(INDEX(样本到样信息汇总统计!Q$2:Q$500,MATCH(284,样本到样信息汇总统计!$Y$2:$Y$500,0)),"")</f>
        <v/>
      </c>
      <c r="R285" s="8" t="str">
        <f>IFERROR(INDEX(样本到样信息汇总统计!R$2:R$500,MATCH(284,样本到样信息汇总统计!$Y$2:$Y$500,0)),"")</f>
        <v/>
      </c>
      <c r="S285" s="8" t="str">
        <f>IFERROR(INDEX(样本到样信息汇总统计!S$2:S$500,MATCH(284,样本到样信息汇总统计!$Y$2:$Y$500,0)),"")</f>
        <v/>
      </c>
      <c r="T285" s="8" t="str">
        <f>IFERROR(INDEX(样本到样信息汇总统计!T$2:T$500,MATCH(284,样本到样信息汇总统计!$Y$2:$Y$500,0)),"")</f>
        <v/>
      </c>
      <c r="U285" s="8" t="str">
        <f>IFERROR(INDEX(样本到样信息汇总统计!U$2:U$500,MATCH(284,样本到样信息汇总统计!$Y$2:$Y$500,0)),"")</f>
        <v/>
      </c>
      <c r="V285" s="8" t="str">
        <f>IFERROR(INDEX(样本到样信息汇总统计!V$2:V$500,MATCH(284,样本到样信息汇总统计!$Y$2:$Y$500,0)),"")</f>
        <v/>
      </c>
      <c r="W285" s="8" t="str">
        <f>IFERROR(INDEX(样本到样信息汇总统计!W$2:W$500,MATCH(284,样本到样信息汇总统计!$Y$2:$Y$500,0)),"")</f>
        <v/>
      </c>
    </row>
    <row r="286" ht="14.5" spans="1:23">
      <c r="A286" s="4" t="str">
        <f>IFERROR(INDEX(样本到样信息汇总统计!A$2:A$500,MATCH(285,样本到样信息汇总统计!$Y$2:$Y$500,0)),"")</f>
        <v/>
      </c>
      <c r="B286" s="4" t="str">
        <f>IFERROR(INDEX(样本到样信息汇总统计!B$2:B$500,MATCH(285,样本到样信息汇总统计!$Y$2:$Y$500,0)),"")</f>
        <v/>
      </c>
      <c r="C286" s="4" t="str">
        <f>IFERROR(INDEX(样本到样信息汇总统计!C$2:C$500,MATCH(285,样本到样信息汇总统计!$Y$2:$Y$500,0)),"")</f>
        <v/>
      </c>
      <c r="D286" s="4" t="str">
        <f>IFERROR(INDEX(样本到样信息汇总统计!D$2:D$500,MATCH(285,样本到样信息汇总统计!$Y$2:$Y$500,0)),"")</f>
        <v/>
      </c>
      <c r="E286" s="4" t="str">
        <f>IFERROR(INDEX(样本到样信息汇总统计!E$2:E$500,MATCH(285,样本到样信息汇总统计!$Y$2:$Y$500,0)),"")</f>
        <v/>
      </c>
      <c r="F286" s="4" t="str">
        <f>IFERROR(INDEX(样本到样信息汇总统计!F$2:F$500,MATCH(285,样本到样信息汇总统计!$Y$2:$Y$500,0)),"")</f>
        <v/>
      </c>
      <c r="G286" s="4" t="str">
        <f>IFERROR(INDEX(样本到样信息汇总统计!G$2:G$500,MATCH(285,样本到样信息汇总统计!$Y$2:$Y$500,0)),"")</f>
        <v/>
      </c>
      <c r="H286" s="4" t="str">
        <f>IFERROR(INDEX(样本到样信息汇总统计!H$2:H$500,MATCH(285,样本到样信息汇总统计!$Y$2:$Y$500,0)),"")</f>
        <v/>
      </c>
      <c r="I286" s="4" t="str">
        <f>IFERROR(INDEX(样本到样信息汇总统计!I$2:I$500,MATCH(285,样本到样信息汇总统计!$Y$2:$Y$500,0)),"")</f>
        <v/>
      </c>
      <c r="J286" s="4" t="str">
        <f>IFERROR(INDEX(样本到样信息汇总统计!J$2:J$500,MATCH(285,样本到样信息汇总统计!$Y$2:$Y$500,0)),"")</f>
        <v/>
      </c>
      <c r="K286" s="4" t="str">
        <f>IFERROR(INDEX(样本到样信息汇总统计!K$2:K$500,MATCH(285,样本到样信息汇总统计!$Y$2:$Y$500,0)),"")</f>
        <v/>
      </c>
      <c r="L286" s="4" t="str">
        <f>IFERROR(INDEX(样本到样信息汇总统计!L$2:L$500,MATCH(285,样本到样信息汇总统计!$Y$2:$Y$500,0)),"")</f>
        <v/>
      </c>
      <c r="M286" s="4" t="str">
        <f>IFERROR(INDEX(样本到样信息汇总统计!M$2:M$500,MATCH(285,样本到样信息汇总统计!$Y$2:$Y$500,0)),"")</f>
        <v/>
      </c>
      <c r="N286" s="4" t="str">
        <f>IFERROR(INDEX(样本到样信息汇总统计!N$2:N$500,MATCH(285,样本到样信息汇总统计!$Y$2:$Y$500,0)),"")</f>
        <v/>
      </c>
      <c r="O286" s="4" t="str">
        <f>IFERROR(INDEX(样本到样信息汇总统计!O$2:O$500,MATCH(285,样本到样信息汇总统计!$Y$2:$Y$500,0)),"")</f>
        <v/>
      </c>
      <c r="P286" s="4" t="str">
        <f>IFERROR(INDEX(样本到样信息汇总统计!P$2:P$500,MATCH(285,样本到样信息汇总统计!$Y$2:$Y$500,0)),"")</f>
        <v/>
      </c>
      <c r="Q286" s="4" t="str">
        <f>IFERROR(INDEX(样本到样信息汇总统计!Q$2:Q$500,MATCH(285,样本到样信息汇总统计!$Y$2:$Y$500,0)),"")</f>
        <v/>
      </c>
      <c r="R286" s="4" t="str">
        <f>IFERROR(INDEX(样本到样信息汇总统计!R$2:R$500,MATCH(285,样本到样信息汇总统计!$Y$2:$Y$500,0)),"")</f>
        <v/>
      </c>
      <c r="S286" s="4" t="str">
        <f>IFERROR(INDEX(样本到样信息汇总统计!S$2:S$500,MATCH(285,样本到样信息汇总统计!$Y$2:$Y$500,0)),"")</f>
        <v/>
      </c>
      <c r="T286" s="4" t="str">
        <f>IFERROR(INDEX(样本到样信息汇总统计!T$2:T$500,MATCH(285,样本到样信息汇总统计!$Y$2:$Y$500,0)),"")</f>
        <v/>
      </c>
      <c r="U286" s="4" t="str">
        <f>IFERROR(INDEX(样本到样信息汇总统计!U$2:U$500,MATCH(285,样本到样信息汇总统计!$Y$2:$Y$500,0)),"")</f>
        <v/>
      </c>
      <c r="V286" s="4" t="str">
        <f>IFERROR(INDEX(样本到样信息汇总统计!V$2:V$500,MATCH(285,样本到样信息汇总统计!$Y$2:$Y$500,0)),"")</f>
        <v/>
      </c>
      <c r="W286" s="4" t="str">
        <f>IFERROR(INDEX(样本到样信息汇总统计!W$2:W$500,MATCH(285,样本到样信息汇总统计!$Y$2:$Y$500,0)),"")</f>
        <v/>
      </c>
    </row>
    <row r="287" ht="14.5" spans="1:23">
      <c r="A287" s="8" t="str">
        <f>IFERROR(INDEX(样本到样信息汇总统计!A$2:A$500,MATCH(286,样本到样信息汇总统计!$Y$2:$Y$500,0)),"")</f>
        <v/>
      </c>
      <c r="B287" s="8" t="str">
        <f>IFERROR(INDEX(样本到样信息汇总统计!B$2:B$500,MATCH(286,样本到样信息汇总统计!$Y$2:$Y$500,0)),"")</f>
        <v/>
      </c>
      <c r="C287" s="8" t="str">
        <f>IFERROR(INDEX(样本到样信息汇总统计!C$2:C$500,MATCH(286,样本到样信息汇总统计!$Y$2:$Y$500,0)),"")</f>
        <v/>
      </c>
      <c r="D287" s="8" t="str">
        <f>IFERROR(INDEX(样本到样信息汇总统计!D$2:D$500,MATCH(286,样本到样信息汇总统计!$Y$2:$Y$500,0)),"")</f>
        <v/>
      </c>
      <c r="E287" s="8" t="str">
        <f>IFERROR(INDEX(样本到样信息汇总统计!E$2:E$500,MATCH(286,样本到样信息汇总统计!$Y$2:$Y$500,0)),"")</f>
        <v/>
      </c>
      <c r="F287" s="8" t="str">
        <f>IFERROR(INDEX(样本到样信息汇总统计!F$2:F$500,MATCH(286,样本到样信息汇总统计!$Y$2:$Y$500,0)),"")</f>
        <v/>
      </c>
      <c r="G287" s="8" t="str">
        <f>IFERROR(INDEX(样本到样信息汇总统计!G$2:G$500,MATCH(286,样本到样信息汇总统计!$Y$2:$Y$500,0)),"")</f>
        <v/>
      </c>
      <c r="H287" s="8" t="str">
        <f>IFERROR(INDEX(样本到样信息汇总统计!H$2:H$500,MATCH(286,样本到样信息汇总统计!$Y$2:$Y$500,0)),"")</f>
        <v/>
      </c>
      <c r="I287" s="8" t="str">
        <f>IFERROR(INDEX(样本到样信息汇总统计!I$2:I$500,MATCH(286,样本到样信息汇总统计!$Y$2:$Y$500,0)),"")</f>
        <v/>
      </c>
      <c r="J287" s="8" t="str">
        <f>IFERROR(INDEX(样本到样信息汇总统计!J$2:J$500,MATCH(286,样本到样信息汇总统计!$Y$2:$Y$500,0)),"")</f>
        <v/>
      </c>
      <c r="K287" s="8" t="str">
        <f>IFERROR(INDEX(样本到样信息汇总统计!K$2:K$500,MATCH(286,样本到样信息汇总统计!$Y$2:$Y$500,0)),"")</f>
        <v/>
      </c>
      <c r="L287" s="8" t="str">
        <f>IFERROR(INDEX(样本到样信息汇总统计!L$2:L$500,MATCH(286,样本到样信息汇总统计!$Y$2:$Y$500,0)),"")</f>
        <v/>
      </c>
      <c r="M287" s="8" t="str">
        <f>IFERROR(INDEX(样本到样信息汇总统计!M$2:M$500,MATCH(286,样本到样信息汇总统计!$Y$2:$Y$500,0)),"")</f>
        <v/>
      </c>
      <c r="N287" s="8" t="str">
        <f>IFERROR(INDEX(样本到样信息汇总统计!N$2:N$500,MATCH(286,样本到样信息汇总统计!$Y$2:$Y$500,0)),"")</f>
        <v/>
      </c>
      <c r="O287" s="8" t="str">
        <f>IFERROR(INDEX(样本到样信息汇总统计!O$2:O$500,MATCH(286,样本到样信息汇总统计!$Y$2:$Y$500,0)),"")</f>
        <v/>
      </c>
      <c r="P287" s="8" t="str">
        <f>IFERROR(INDEX(样本到样信息汇总统计!P$2:P$500,MATCH(286,样本到样信息汇总统计!$Y$2:$Y$500,0)),"")</f>
        <v/>
      </c>
      <c r="Q287" s="8" t="str">
        <f>IFERROR(INDEX(样本到样信息汇总统计!Q$2:Q$500,MATCH(286,样本到样信息汇总统计!$Y$2:$Y$500,0)),"")</f>
        <v/>
      </c>
      <c r="R287" s="8" t="str">
        <f>IFERROR(INDEX(样本到样信息汇总统计!R$2:R$500,MATCH(286,样本到样信息汇总统计!$Y$2:$Y$500,0)),"")</f>
        <v/>
      </c>
      <c r="S287" s="8" t="str">
        <f>IFERROR(INDEX(样本到样信息汇总统计!S$2:S$500,MATCH(286,样本到样信息汇总统计!$Y$2:$Y$500,0)),"")</f>
        <v/>
      </c>
      <c r="T287" s="8" t="str">
        <f>IFERROR(INDEX(样本到样信息汇总统计!T$2:T$500,MATCH(286,样本到样信息汇总统计!$Y$2:$Y$500,0)),"")</f>
        <v/>
      </c>
      <c r="U287" s="8" t="str">
        <f>IFERROR(INDEX(样本到样信息汇总统计!U$2:U$500,MATCH(286,样本到样信息汇总统计!$Y$2:$Y$500,0)),"")</f>
        <v/>
      </c>
      <c r="V287" s="8" t="str">
        <f>IFERROR(INDEX(样本到样信息汇总统计!V$2:V$500,MATCH(286,样本到样信息汇总统计!$Y$2:$Y$500,0)),"")</f>
        <v/>
      </c>
      <c r="W287" s="8" t="str">
        <f>IFERROR(INDEX(样本到样信息汇总统计!W$2:W$500,MATCH(286,样本到样信息汇总统计!$Y$2:$Y$500,0)),"")</f>
        <v/>
      </c>
    </row>
    <row r="288" ht="14.5" spans="1:23">
      <c r="A288" s="4" t="str">
        <f>IFERROR(INDEX(样本到样信息汇总统计!A$2:A$500,MATCH(287,样本到样信息汇总统计!$Y$2:$Y$500,0)),"")</f>
        <v/>
      </c>
      <c r="B288" s="4" t="str">
        <f>IFERROR(INDEX(样本到样信息汇总统计!B$2:B$500,MATCH(287,样本到样信息汇总统计!$Y$2:$Y$500,0)),"")</f>
        <v/>
      </c>
      <c r="C288" s="4" t="str">
        <f>IFERROR(INDEX(样本到样信息汇总统计!C$2:C$500,MATCH(287,样本到样信息汇总统计!$Y$2:$Y$500,0)),"")</f>
        <v/>
      </c>
      <c r="D288" s="4" t="str">
        <f>IFERROR(INDEX(样本到样信息汇总统计!D$2:D$500,MATCH(287,样本到样信息汇总统计!$Y$2:$Y$500,0)),"")</f>
        <v/>
      </c>
      <c r="E288" s="4" t="str">
        <f>IFERROR(INDEX(样本到样信息汇总统计!E$2:E$500,MATCH(287,样本到样信息汇总统计!$Y$2:$Y$500,0)),"")</f>
        <v/>
      </c>
      <c r="F288" s="4" t="str">
        <f>IFERROR(INDEX(样本到样信息汇总统计!F$2:F$500,MATCH(287,样本到样信息汇总统计!$Y$2:$Y$500,0)),"")</f>
        <v/>
      </c>
      <c r="G288" s="4" t="str">
        <f>IFERROR(INDEX(样本到样信息汇总统计!G$2:G$500,MATCH(287,样本到样信息汇总统计!$Y$2:$Y$500,0)),"")</f>
        <v/>
      </c>
      <c r="H288" s="4" t="str">
        <f>IFERROR(INDEX(样本到样信息汇总统计!H$2:H$500,MATCH(287,样本到样信息汇总统计!$Y$2:$Y$500,0)),"")</f>
        <v/>
      </c>
      <c r="I288" s="4" t="str">
        <f>IFERROR(INDEX(样本到样信息汇总统计!I$2:I$500,MATCH(287,样本到样信息汇总统计!$Y$2:$Y$500,0)),"")</f>
        <v/>
      </c>
      <c r="J288" s="4" t="str">
        <f>IFERROR(INDEX(样本到样信息汇总统计!J$2:J$500,MATCH(287,样本到样信息汇总统计!$Y$2:$Y$500,0)),"")</f>
        <v/>
      </c>
      <c r="K288" s="4" t="str">
        <f>IFERROR(INDEX(样本到样信息汇总统计!K$2:K$500,MATCH(287,样本到样信息汇总统计!$Y$2:$Y$500,0)),"")</f>
        <v/>
      </c>
      <c r="L288" s="4" t="str">
        <f>IFERROR(INDEX(样本到样信息汇总统计!L$2:L$500,MATCH(287,样本到样信息汇总统计!$Y$2:$Y$500,0)),"")</f>
        <v/>
      </c>
      <c r="M288" s="4" t="str">
        <f>IFERROR(INDEX(样本到样信息汇总统计!M$2:M$500,MATCH(287,样本到样信息汇总统计!$Y$2:$Y$500,0)),"")</f>
        <v/>
      </c>
      <c r="N288" s="4" t="str">
        <f>IFERROR(INDEX(样本到样信息汇总统计!N$2:N$500,MATCH(287,样本到样信息汇总统计!$Y$2:$Y$500,0)),"")</f>
        <v/>
      </c>
      <c r="O288" s="4" t="str">
        <f>IFERROR(INDEX(样本到样信息汇总统计!O$2:O$500,MATCH(287,样本到样信息汇总统计!$Y$2:$Y$500,0)),"")</f>
        <v/>
      </c>
      <c r="P288" s="4" t="str">
        <f>IFERROR(INDEX(样本到样信息汇总统计!P$2:P$500,MATCH(287,样本到样信息汇总统计!$Y$2:$Y$500,0)),"")</f>
        <v/>
      </c>
      <c r="Q288" s="4" t="str">
        <f>IFERROR(INDEX(样本到样信息汇总统计!Q$2:Q$500,MATCH(287,样本到样信息汇总统计!$Y$2:$Y$500,0)),"")</f>
        <v/>
      </c>
      <c r="R288" s="4" t="str">
        <f>IFERROR(INDEX(样本到样信息汇总统计!R$2:R$500,MATCH(287,样本到样信息汇总统计!$Y$2:$Y$500,0)),"")</f>
        <v/>
      </c>
      <c r="S288" s="4" t="str">
        <f>IFERROR(INDEX(样本到样信息汇总统计!S$2:S$500,MATCH(287,样本到样信息汇总统计!$Y$2:$Y$500,0)),"")</f>
        <v/>
      </c>
      <c r="T288" s="4" t="str">
        <f>IFERROR(INDEX(样本到样信息汇总统计!T$2:T$500,MATCH(287,样本到样信息汇总统计!$Y$2:$Y$500,0)),"")</f>
        <v/>
      </c>
      <c r="U288" s="4" t="str">
        <f>IFERROR(INDEX(样本到样信息汇总统计!U$2:U$500,MATCH(287,样本到样信息汇总统计!$Y$2:$Y$500,0)),"")</f>
        <v/>
      </c>
      <c r="V288" s="4" t="str">
        <f>IFERROR(INDEX(样本到样信息汇总统计!V$2:V$500,MATCH(287,样本到样信息汇总统计!$Y$2:$Y$500,0)),"")</f>
        <v/>
      </c>
      <c r="W288" s="4" t="str">
        <f>IFERROR(INDEX(样本到样信息汇总统计!W$2:W$500,MATCH(287,样本到样信息汇总统计!$Y$2:$Y$500,0)),"")</f>
        <v/>
      </c>
    </row>
    <row r="289" ht="14.5" spans="1:23">
      <c r="A289" s="8" t="str">
        <f>IFERROR(INDEX(样本到样信息汇总统计!A$2:A$500,MATCH(288,样本到样信息汇总统计!$Y$2:$Y$500,0)),"")</f>
        <v/>
      </c>
      <c r="B289" s="8" t="str">
        <f>IFERROR(INDEX(样本到样信息汇总统计!B$2:B$500,MATCH(288,样本到样信息汇总统计!$Y$2:$Y$500,0)),"")</f>
        <v/>
      </c>
      <c r="C289" s="8" t="str">
        <f>IFERROR(INDEX(样本到样信息汇总统计!C$2:C$500,MATCH(288,样本到样信息汇总统计!$Y$2:$Y$500,0)),"")</f>
        <v/>
      </c>
      <c r="D289" s="8" t="str">
        <f>IFERROR(INDEX(样本到样信息汇总统计!D$2:D$500,MATCH(288,样本到样信息汇总统计!$Y$2:$Y$500,0)),"")</f>
        <v/>
      </c>
      <c r="E289" s="8" t="str">
        <f>IFERROR(INDEX(样本到样信息汇总统计!E$2:E$500,MATCH(288,样本到样信息汇总统计!$Y$2:$Y$500,0)),"")</f>
        <v/>
      </c>
      <c r="F289" s="8" t="str">
        <f>IFERROR(INDEX(样本到样信息汇总统计!F$2:F$500,MATCH(288,样本到样信息汇总统计!$Y$2:$Y$500,0)),"")</f>
        <v/>
      </c>
      <c r="G289" s="8" t="str">
        <f>IFERROR(INDEX(样本到样信息汇总统计!G$2:G$500,MATCH(288,样本到样信息汇总统计!$Y$2:$Y$500,0)),"")</f>
        <v/>
      </c>
      <c r="H289" s="8" t="str">
        <f>IFERROR(INDEX(样本到样信息汇总统计!H$2:H$500,MATCH(288,样本到样信息汇总统计!$Y$2:$Y$500,0)),"")</f>
        <v/>
      </c>
      <c r="I289" s="8" t="str">
        <f>IFERROR(INDEX(样本到样信息汇总统计!I$2:I$500,MATCH(288,样本到样信息汇总统计!$Y$2:$Y$500,0)),"")</f>
        <v/>
      </c>
      <c r="J289" s="8" t="str">
        <f>IFERROR(INDEX(样本到样信息汇总统计!J$2:J$500,MATCH(288,样本到样信息汇总统计!$Y$2:$Y$500,0)),"")</f>
        <v/>
      </c>
      <c r="K289" s="8" t="str">
        <f>IFERROR(INDEX(样本到样信息汇总统计!K$2:K$500,MATCH(288,样本到样信息汇总统计!$Y$2:$Y$500,0)),"")</f>
        <v/>
      </c>
      <c r="L289" s="8" t="str">
        <f>IFERROR(INDEX(样本到样信息汇总统计!L$2:L$500,MATCH(288,样本到样信息汇总统计!$Y$2:$Y$500,0)),"")</f>
        <v/>
      </c>
      <c r="M289" s="8" t="str">
        <f>IFERROR(INDEX(样本到样信息汇总统计!M$2:M$500,MATCH(288,样本到样信息汇总统计!$Y$2:$Y$500,0)),"")</f>
        <v/>
      </c>
      <c r="N289" s="8" t="str">
        <f>IFERROR(INDEX(样本到样信息汇总统计!N$2:N$500,MATCH(288,样本到样信息汇总统计!$Y$2:$Y$500,0)),"")</f>
        <v/>
      </c>
      <c r="O289" s="8" t="str">
        <f>IFERROR(INDEX(样本到样信息汇总统计!O$2:O$500,MATCH(288,样本到样信息汇总统计!$Y$2:$Y$500,0)),"")</f>
        <v/>
      </c>
      <c r="P289" s="8" t="str">
        <f>IFERROR(INDEX(样本到样信息汇总统计!P$2:P$500,MATCH(288,样本到样信息汇总统计!$Y$2:$Y$500,0)),"")</f>
        <v/>
      </c>
      <c r="Q289" s="8" t="str">
        <f>IFERROR(INDEX(样本到样信息汇总统计!Q$2:Q$500,MATCH(288,样本到样信息汇总统计!$Y$2:$Y$500,0)),"")</f>
        <v/>
      </c>
      <c r="R289" s="8" t="str">
        <f>IFERROR(INDEX(样本到样信息汇总统计!R$2:R$500,MATCH(288,样本到样信息汇总统计!$Y$2:$Y$500,0)),"")</f>
        <v/>
      </c>
      <c r="S289" s="8" t="str">
        <f>IFERROR(INDEX(样本到样信息汇总统计!S$2:S$500,MATCH(288,样本到样信息汇总统计!$Y$2:$Y$500,0)),"")</f>
        <v/>
      </c>
      <c r="T289" s="8" t="str">
        <f>IFERROR(INDEX(样本到样信息汇总统计!T$2:T$500,MATCH(288,样本到样信息汇总统计!$Y$2:$Y$500,0)),"")</f>
        <v/>
      </c>
      <c r="U289" s="8" t="str">
        <f>IFERROR(INDEX(样本到样信息汇总统计!U$2:U$500,MATCH(288,样本到样信息汇总统计!$Y$2:$Y$500,0)),"")</f>
        <v/>
      </c>
      <c r="V289" s="8" t="str">
        <f>IFERROR(INDEX(样本到样信息汇总统计!V$2:V$500,MATCH(288,样本到样信息汇总统计!$Y$2:$Y$500,0)),"")</f>
        <v/>
      </c>
      <c r="W289" s="8" t="str">
        <f>IFERROR(INDEX(样本到样信息汇总统计!W$2:W$500,MATCH(288,样本到样信息汇总统计!$Y$2:$Y$500,0)),"")</f>
        <v/>
      </c>
    </row>
    <row r="290" ht="14.5" spans="1:23">
      <c r="A290" s="4" t="str">
        <f>IFERROR(INDEX(样本到样信息汇总统计!A$2:A$500,MATCH(289,样本到样信息汇总统计!$Y$2:$Y$500,0)),"")</f>
        <v/>
      </c>
      <c r="B290" s="4" t="str">
        <f>IFERROR(INDEX(样本到样信息汇总统计!B$2:B$500,MATCH(289,样本到样信息汇总统计!$Y$2:$Y$500,0)),"")</f>
        <v/>
      </c>
      <c r="C290" s="4" t="str">
        <f>IFERROR(INDEX(样本到样信息汇总统计!C$2:C$500,MATCH(289,样本到样信息汇总统计!$Y$2:$Y$500,0)),"")</f>
        <v/>
      </c>
      <c r="D290" s="4" t="str">
        <f>IFERROR(INDEX(样本到样信息汇总统计!D$2:D$500,MATCH(289,样本到样信息汇总统计!$Y$2:$Y$500,0)),"")</f>
        <v/>
      </c>
      <c r="E290" s="4" t="str">
        <f>IFERROR(INDEX(样本到样信息汇总统计!E$2:E$500,MATCH(289,样本到样信息汇总统计!$Y$2:$Y$500,0)),"")</f>
        <v/>
      </c>
      <c r="F290" s="4" t="str">
        <f>IFERROR(INDEX(样本到样信息汇总统计!F$2:F$500,MATCH(289,样本到样信息汇总统计!$Y$2:$Y$500,0)),"")</f>
        <v/>
      </c>
      <c r="G290" s="4" t="str">
        <f>IFERROR(INDEX(样本到样信息汇总统计!G$2:G$500,MATCH(289,样本到样信息汇总统计!$Y$2:$Y$500,0)),"")</f>
        <v/>
      </c>
      <c r="H290" s="4" t="str">
        <f>IFERROR(INDEX(样本到样信息汇总统计!H$2:H$500,MATCH(289,样本到样信息汇总统计!$Y$2:$Y$500,0)),"")</f>
        <v/>
      </c>
      <c r="I290" s="4" t="str">
        <f>IFERROR(INDEX(样本到样信息汇总统计!I$2:I$500,MATCH(289,样本到样信息汇总统计!$Y$2:$Y$500,0)),"")</f>
        <v/>
      </c>
      <c r="J290" s="4" t="str">
        <f>IFERROR(INDEX(样本到样信息汇总统计!J$2:J$500,MATCH(289,样本到样信息汇总统计!$Y$2:$Y$500,0)),"")</f>
        <v/>
      </c>
      <c r="K290" s="4" t="str">
        <f>IFERROR(INDEX(样本到样信息汇总统计!K$2:K$500,MATCH(289,样本到样信息汇总统计!$Y$2:$Y$500,0)),"")</f>
        <v/>
      </c>
      <c r="L290" s="4" t="str">
        <f>IFERROR(INDEX(样本到样信息汇总统计!L$2:L$500,MATCH(289,样本到样信息汇总统计!$Y$2:$Y$500,0)),"")</f>
        <v/>
      </c>
      <c r="M290" s="4" t="str">
        <f>IFERROR(INDEX(样本到样信息汇总统计!M$2:M$500,MATCH(289,样本到样信息汇总统计!$Y$2:$Y$500,0)),"")</f>
        <v/>
      </c>
      <c r="N290" s="4" t="str">
        <f>IFERROR(INDEX(样本到样信息汇总统计!N$2:N$500,MATCH(289,样本到样信息汇总统计!$Y$2:$Y$500,0)),"")</f>
        <v/>
      </c>
      <c r="O290" s="4" t="str">
        <f>IFERROR(INDEX(样本到样信息汇总统计!O$2:O$500,MATCH(289,样本到样信息汇总统计!$Y$2:$Y$500,0)),"")</f>
        <v/>
      </c>
      <c r="P290" s="4" t="str">
        <f>IFERROR(INDEX(样本到样信息汇总统计!P$2:P$500,MATCH(289,样本到样信息汇总统计!$Y$2:$Y$500,0)),"")</f>
        <v/>
      </c>
      <c r="Q290" s="4" t="str">
        <f>IFERROR(INDEX(样本到样信息汇总统计!Q$2:Q$500,MATCH(289,样本到样信息汇总统计!$Y$2:$Y$500,0)),"")</f>
        <v/>
      </c>
      <c r="R290" s="4" t="str">
        <f>IFERROR(INDEX(样本到样信息汇总统计!R$2:R$500,MATCH(289,样本到样信息汇总统计!$Y$2:$Y$500,0)),"")</f>
        <v/>
      </c>
      <c r="S290" s="4" t="str">
        <f>IFERROR(INDEX(样本到样信息汇总统计!S$2:S$500,MATCH(289,样本到样信息汇总统计!$Y$2:$Y$500,0)),"")</f>
        <v/>
      </c>
      <c r="T290" s="4" t="str">
        <f>IFERROR(INDEX(样本到样信息汇总统计!T$2:T$500,MATCH(289,样本到样信息汇总统计!$Y$2:$Y$500,0)),"")</f>
        <v/>
      </c>
      <c r="U290" s="4" t="str">
        <f>IFERROR(INDEX(样本到样信息汇总统计!U$2:U$500,MATCH(289,样本到样信息汇总统计!$Y$2:$Y$500,0)),"")</f>
        <v/>
      </c>
      <c r="V290" s="4" t="str">
        <f>IFERROR(INDEX(样本到样信息汇总统计!V$2:V$500,MATCH(289,样本到样信息汇总统计!$Y$2:$Y$500,0)),"")</f>
        <v/>
      </c>
      <c r="W290" s="4" t="str">
        <f>IFERROR(INDEX(样本到样信息汇总统计!W$2:W$500,MATCH(289,样本到样信息汇总统计!$Y$2:$Y$500,0)),"")</f>
        <v/>
      </c>
    </row>
    <row r="291" ht="14.5" spans="1:23">
      <c r="A291" s="8" t="str">
        <f>IFERROR(INDEX(样本到样信息汇总统计!A$2:A$500,MATCH(290,样本到样信息汇总统计!$Y$2:$Y$500,0)),"")</f>
        <v/>
      </c>
      <c r="B291" s="8" t="str">
        <f>IFERROR(INDEX(样本到样信息汇总统计!B$2:B$500,MATCH(290,样本到样信息汇总统计!$Y$2:$Y$500,0)),"")</f>
        <v/>
      </c>
      <c r="C291" s="8" t="str">
        <f>IFERROR(INDEX(样本到样信息汇总统计!C$2:C$500,MATCH(290,样本到样信息汇总统计!$Y$2:$Y$500,0)),"")</f>
        <v/>
      </c>
      <c r="D291" s="8" t="str">
        <f>IFERROR(INDEX(样本到样信息汇总统计!D$2:D$500,MATCH(290,样本到样信息汇总统计!$Y$2:$Y$500,0)),"")</f>
        <v/>
      </c>
      <c r="E291" s="8" t="str">
        <f>IFERROR(INDEX(样本到样信息汇总统计!E$2:E$500,MATCH(290,样本到样信息汇总统计!$Y$2:$Y$500,0)),"")</f>
        <v/>
      </c>
      <c r="F291" s="8" t="str">
        <f>IFERROR(INDEX(样本到样信息汇总统计!F$2:F$500,MATCH(290,样本到样信息汇总统计!$Y$2:$Y$500,0)),"")</f>
        <v/>
      </c>
      <c r="G291" s="8" t="str">
        <f>IFERROR(INDEX(样本到样信息汇总统计!G$2:G$500,MATCH(290,样本到样信息汇总统计!$Y$2:$Y$500,0)),"")</f>
        <v/>
      </c>
      <c r="H291" s="8" t="str">
        <f>IFERROR(INDEX(样本到样信息汇总统计!H$2:H$500,MATCH(290,样本到样信息汇总统计!$Y$2:$Y$500,0)),"")</f>
        <v/>
      </c>
      <c r="I291" s="8" t="str">
        <f>IFERROR(INDEX(样本到样信息汇总统计!I$2:I$500,MATCH(290,样本到样信息汇总统计!$Y$2:$Y$500,0)),"")</f>
        <v/>
      </c>
      <c r="J291" s="8" t="str">
        <f>IFERROR(INDEX(样本到样信息汇总统计!J$2:J$500,MATCH(290,样本到样信息汇总统计!$Y$2:$Y$500,0)),"")</f>
        <v/>
      </c>
      <c r="K291" s="8" t="str">
        <f>IFERROR(INDEX(样本到样信息汇总统计!K$2:K$500,MATCH(290,样本到样信息汇总统计!$Y$2:$Y$500,0)),"")</f>
        <v/>
      </c>
      <c r="L291" s="8" t="str">
        <f>IFERROR(INDEX(样本到样信息汇总统计!L$2:L$500,MATCH(290,样本到样信息汇总统计!$Y$2:$Y$500,0)),"")</f>
        <v/>
      </c>
      <c r="M291" s="8" t="str">
        <f>IFERROR(INDEX(样本到样信息汇总统计!M$2:M$500,MATCH(290,样本到样信息汇总统计!$Y$2:$Y$500,0)),"")</f>
        <v/>
      </c>
      <c r="N291" s="8" t="str">
        <f>IFERROR(INDEX(样本到样信息汇总统计!N$2:N$500,MATCH(290,样本到样信息汇总统计!$Y$2:$Y$500,0)),"")</f>
        <v/>
      </c>
      <c r="O291" s="8" t="str">
        <f>IFERROR(INDEX(样本到样信息汇总统计!O$2:O$500,MATCH(290,样本到样信息汇总统计!$Y$2:$Y$500,0)),"")</f>
        <v/>
      </c>
      <c r="P291" s="8" t="str">
        <f>IFERROR(INDEX(样本到样信息汇总统计!P$2:P$500,MATCH(290,样本到样信息汇总统计!$Y$2:$Y$500,0)),"")</f>
        <v/>
      </c>
      <c r="Q291" s="8" t="str">
        <f>IFERROR(INDEX(样本到样信息汇总统计!Q$2:Q$500,MATCH(290,样本到样信息汇总统计!$Y$2:$Y$500,0)),"")</f>
        <v/>
      </c>
      <c r="R291" s="8" t="str">
        <f>IFERROR(INDEX(样本到样信息汇总统计!R$2:R$500,MATCH(290,样本到样信息汇总统计!$Y$2:$Y$500,0)),"")</f>
        <v/>
      </c>
      <c r="S291" s="8" t="str">
        <f>IFERROR(INDEX(样本到样信息汇总统计!S$2:S$500,MATCH(290,样本到样信息汇总统计!$Y$2:$Y$500,0)),"")</f>
        <v/>
      </c>
      <c r="T291" s="8" t="str">
        <f>IFERROR(INDEX(样本到样信息汇总统计!T$2:T$500,MATCH(290,样本到样信息汇总统计!$Y$2:$Y$500,0)),"")</f>
        <v/>
      </c>
      <c r="U291" s="8" t="str">
        <f>IFERROR(INDEX(样本到样信息汇总统计!U$2:U$500,MATCH(290,样本到样信息汇总统计!$Y$2:$Y$500,0)),"")</f>
        <v/>
      </c>
      <c r="V291" s="8" t="str">
        <f>IFERROR(INDEX(样本到样信息汇总统计!V$2:V$500,MATCH(290,样本到样信息汇总统计!$Y$2:$Y$500,0)),"")</f>
        <v/>
      </c>
      <c r="W291" s="8" t="str">
        <f>IFERROR(INDEX(样本到样信息汇总统计!W$2:W$500,MATCH(290,样本到样信息汇总统计!$Y$2:$Y$500,0)),"")</f>
        <v/>
      </c>
    </row>
    <row r="292" ht="14.5" spans="1:23">
      <c r="A292" s="4" t="str">
        <f>IFERROR(INDEX(样本到样信息汇总统计!A$2:A$500,MATCH(291,样本到样信息汇总统计!$Y$2:$Y$500,0)),"")</f>
        <v/>
      </c>
      <c r="B292" s="4" t="str">
        <f>IFERROR(INDEX(样本到样信息汇总统计!B$2:B$500,MATCH(291,样本到样信息汇总统计!$Y$2:$Y$500,0)),"")</f>
        <v/>
      </c>
      <c r="C292" s="4" t="str">
        <f>IFERROR(INDEX(样本到样信息汇总统计!C$2:C$500,MATCH(291,样本到样信息汇总统计!$Y$2:$Y$500,0)),"")</f>
        <v/>
      </c>
      <c r="D292" s="4" t="str">
        <f>IFERROR(INDEX(样本到样信息汇总统计!D$2:D$500,MATCH(291,样本到样信息汇总统计!$Y$2:$Y$500,0)),"")</f>
        <v/>
      </c>
      <c r="E292" s="4" t="str">
        <f>IFERROR(INDEX(样本到样信息汇总统计!E$2:E$500,MATCH(291,样本到样信息汇总统计!$Y$2:$Y$500,0)),"")</f>
        <v/>
      </c>
      <c r="F292" s="4" t="str">
        <f>IFERROR(INDEX(样本到样信息汇总统计!F$2:F$500,MATCH(291,样本到样信息汇总统计!$Y$2:$Y$500,0)),"")</f>
        <v/>
      </c>
      <c r="G292" s="4" t="str">
        <f>IFERROR(INDEX(样本到样信息汇总统计!G$2:G$500,MATCH(291,样本到样信息汇总统计!$Y$2:$Y$500,0)),"")</f>
        <v/>
      </c>
      <c r="H292" s="4" t="str">
        <f>IFERROR(INDEX(样本到样信息汇总统计!H$2:H$500,MATCH(291,样本到样信息汇总统计!$Y$2:$Y$500,0)),"")</f>
        <v/>
      </c>
      <c r="I292" s="4" t="str">
        <f>IFERROR(INDEX(样本到样信息汇总统计!I$2:I$500,MATCH(291,样本到样信息汇总统计!$Y$2:$Y$500,0)),"")</f>
        <v/>
      </c>
      <c r="J292" s="4" t="str">
        <f>IFERROR(INDEX(样本到样信息汇总统计!J$2:J$500,MATCH(291,样本到样信息汇总统计!$Y$2:$Y$500,0)),"")</f>
        <v/>
      </c>
      <c r="K292" s="4" t="str">
        <f>IFERROR(INDEX(样本到样信息汇总统计!K$2:K$500,MATCH(291,样本到样信息汇总统计!$Y$2:$Y$500,0)),"")</f>
        <v/>
      </c>
      <c r="L292" s="4" t="str">
        <f>IFERROR(INDEX(样本到样信息汇总统计!L$2:L$500,MATCH(291,样本到样信息汇总统计!$Y$2:$Y$500,0)),"")</f>
        <v/>
      </c>
      <c r="M292" s="4" t="str">
        <f>IFERROR(INDEX(样本到样信息汇总统计!M$2:M$500,MATCH(291,样本到样信息汇总统计!$Y$2:$Y$500,0)),"")</f>
        <v/>
      </c>
      <c r="N292" s="4" t="str">
        <f>IFERROR(INDEX(样本到样信息汇总统计!N$2:N$500,MATCH(291,样本到样信息汇总统计!$Y$2:$Y$500,0)),"")</f>
        <v/>
      </c>
      <c r="O292" s="4" t="str">
        <f>IFERROR(INDEX(样本到样信息汇总统计!O$2:O$500,MATCH(291,样本到样信息汇总统计!$Y$2:$Y$500,0)),"")</f>
        <v/>
      </c>
      <c r="P292" s="4" t="str">
        <f>IFERROR(INDEX(样本到样信息汇总统计!P$2:P$500,MATCH(291,样本到样信息汇总统计!$Y$2:$Y$500,0)),"")</f>
        <v/>
      </c>
      <c r="Q292" s="4" t="str">
        <f>IFERROR(INDEX(样本到样信息汇总统计!Q$2:Q$500,MATCH(291,样本到样信息汇总统计!$Y$2:$Y$500,0)),"")</f>
        <v/>
      </c>
      <c r="R292" s="4" t="str">
        <f>IFERROR(INDEX(样本到样信息汇总统计!R$2:R$500,MATCH(291,样本到样信息汇总统计!$Y$2:$Y$500,0)),"")</f>
        <v/>
      </c>
      <c r="S292" s="4" t="str">
        <f>IFERROR(INDEX(样本到样信息汇总统计!S$2:S$500,MATCH(291,样本到样信息汇总统计!$Y$2:$Y$500,0)),"")</f>
        <v/>
      </c>
      <c r="T292" s="4" t="str">
        <f>IFERROR(INDEX(样本到样信息汇总统计!T$2:T$500,MATCH(291,样本到样信息汇总统计!$Y$2:$Y$500,0)),"")</f>
        <v/>
      </c>
      <c r="U292" s="4" t="str">
        <f>IFERROR(INDEX(样本到样信息汇总统计!U$2:U$500,MATCH(291,样本到样信息汇总统计!$Y$2:$Y$500,0)),"")</f>
        <v/>
      </c>
      <c r="V292" s="4" t="str">
        <f>IFERROR(INDEX(样本到样信息汇总统计!V$2:V$500,MATCH(291,样本到样信息汇总统计!$Y$2:$Y$500,0)),"")</f>
        <v/>
      </c>
      <c r="W292" s="4" t="str">
        <f>IFERROR(INDEX(样本到样信息汇总统计!W$2:W$500,MATCH(291,样本到样信息汇总统计!$Y$2:$Y$500,0)),"")</f>
        <v/>
      </c>
    </row>
    <row r="293" ht="14.5" spans="1:23">
      <c r="A293" s="8" t="str">
        <f>IFERROR(INDEX(样本到样信息汇总统计!A$2:A$500,MATCH(292,样本到样信息汇总统计!$Y$2:$Y$500,0)),"")</f>
        <v/>
      </c>
      <c r="B293" s="8" t="str">
        <f>IFERROR(INDEX(样本到样信息汇总统计!B$2:B$500,MATCH(292,样本到样信息汇总统计!$Y$2:$Y$500,0)),"")</f>
        <v/>
      </c>
      <c r="C293" s="8" t="str">
        <f>IFERROR(INDEX(样本到样信息汇总统计!C$2:C$500,MATCH(292,样本到样信息汇总统计!$Y$2:$Y$500,0)),"")</f>
        <v/>
      </c>
      <c r="D293" s="8" t="str">
        <f>IFERROR(INDEX(样本到样信息汇总统计!D$2:D$500,MATCH(292,样本到样信息汇总统计!$Y$2:$Y$500,0)),"")</f>
        <v/>
      </c>
      <c r="E293" s="8" t="str">
        <f>IFERROR(INDEX(样本到样信息汇总统计!E$2:E$500,MATCH(292,样本到样信息汇总统计!$Y$2:$Y$500,0)),"")</f>
        <v/>
      </c>
      <c r="F293" s="8" t="str">
        <f>IFERROR(INDEX(样本到样信息汇总统计!F$2:F$500,MATCH(292,样本到样信息汇总统计!$Y$2:$Y$500,0)),"")</f>
        <v/>
      </c>
      <c r="G293" s="8" t="str">
        <f>IFERROR(INDEX(样本到样信息汇总统计!G$2:G$500,MATCH(292,样本到样信息汇总统计!$Y$2:$Y$500,0)),"")</f>
        <v/>
      </c>
      <c r="H293" s="8" t="str">
        <f>IFERROR(INDEX(样本到样信息汇总统计!H$2:H$500,MATCH(292,样本到样信息汇总统计!$Y$2:$Y$500,0)),"")</f>
        <v/>
      </c>
      <c r="I293" s="8" t="str">
        <f>IFERROR(INDEX(样本到样信息汇总统计!I$2:I$500,MATCH(292,样本到样信息汇总统计!$Y$2:$Y$500,0)),"")</f>
        <v/>
      </c>
      <c r="J293" s="8" t="str">
        <f>IFERROR(INDEX(样本到样信息汇总统计!J$2:J$500,MATCH(292,样本到样信息汇总统计!$Y$2:$Y$500,0)),"")</f>
        <v/>
      </c>
      <c r="K293" s="8" t="str">
        <f>IFERROR(INDEX(样本到样信息汇总统计!K$2:K$500,MATCH(292,样本到样信息汇总统计!$Y$2:$Y$500,0)),"")</f>
        <v/>
      </c>
      <c r="L293" s="8" t="str">
        <f>IFERROR(INDEX(样本到样信息汇总统计!L$2:L$500,MATCH(292,样本到样信息汇总统计!$Y$2:$Y$500,0)),"")</f>
        <v/>
      </c>
      <c r="M293" s="8" t="str">
        <f>IFERROR(INDEX(样本到样信息汇总统计!M$2:M$500,MATCH(292,样本到样信息汇总统计!$Y$2:$Y$500,0)),"")</f>
        <v/>
      </c>
      <c r="N293" s="8" t="str">
        <f>IFERROR(INDEX(样本到样信息汇总统计!N$2:N$500,MATCH(292,样本到样信息汇总统计!$Y$2:$Y$500,0)),"")</f>
        <v/>
      </c>
      <c r="O293" s="8" t="str">
        <f>IFERROR(INDEX(样本到样信息汇总统计!O$2:O$500,MATCH(292,样本到样信息汇总统计!$Y$2:$Y$500,0)),"")</f>
        <v/>
      </c>
      <c r="P293" s="8" t="str">
        <f>IFERROR(INDEX(样本到样信息汇总统计!P$2:P$500,MATCH(292,样本到样信息汇总统计!$Y$2:$Y$500,0)),"")</f>
        <v/>
      </c>
      <c r="Q293" s="8" t="str">
        <f>IFERROR(INDEX(样本到样信息汇总统计!Q$2:Q$500,MATCH(292,样本到样信息汇总统计!$Y$2:$Y$500,0)),"")</f>
        <v/>
      </c>
      <c r="R293" s="8" t="str">
        <f>IFERROR(INDEX(样本到样信息汇总统计!R$2:R$500,MATCH(292,样本到样信息汇总统计!$Y$2:$Y$500,0)),"")</f>
        <v/>
      </c>
      <c r="S293" s="8" t="str">
        <f>IFERROR(INDEX(样本到样信息汇总统计!S$2:S$500,MATCH(292,样本到样信息汇总统计!$Y$2:$Y$500,0)),"")</f>
        <v/>
      </c>
      <c r="T293" s="8" t="str">
        <f>IFERROR(INDEX(样本到样信息汇总统计!T$2:T$500,MATCH(292,样本到样信息汇总统计!$Y$2:$Y$500,0)),"")</f>
        <v/>
      </c>
      <c r="U293" s="8" t="str">
        <f>IFERROR(INDEX(样本到样信息汇总统计!U$2:U$500,MATCH(292,样本到样信息汇总统计!$Y$2:$Y$500,0)),"")</f>
        <v/>
      </c>
      <c r="V293" s="8" t="str">
        <f>IFERROR(INDEX(样本到样信息汇总统计!V$2:V$500,MATCH(292,样本到样信息汇总统计!$Y$2:$Y$500,0)),"")</f>
        <v/>
      </c>
      <c r="W293" s="8" t="str">
        <f>IFERROR(INDEX(样本到样信息汇总统计!W$2:W$500,MATCH(292,样本到样信息汇总统计!$Y$2:$Y$500,0)),"")</f>
        <v/>
      </c>
    </row>
    <row r="294" ht="14.5" spans="1:23">
      <c r="A294" s="4" t="str">
        <f>IFERROR(INDEX(样本到样信息汇总统计!A$2:A$500,MATCH(293,样本到样信息汇总统计!$Y$2:$Y$500,0)),"")</f>
        <v/>
      </c>
      <c r="B294" s="4" t="str">
        <f>IFERROR(INDEX(样本到样信息汇总统计!B$2:B$500,MATCH(293,样本到样信息汇总统计!$Y$2:$Y$500,0)),"")</f>
        <v/>
      </c>
      <c r="C294" s="4" t="str">
        <f>IFERROR(INDEX(样本到样信息汇总统计!C$2:C$500,MATCH(293,样本到样信息汇总统计!$Y$2:$Y$500,0)),"")</f>
        <v/>
      </c>
      <c r="D294" s="4" t="str">
        <f>IFERROR(INDEX(样本到样信息汇总统计!D$2:D$500,MATCH(293,样本到样信息汇总统计!$Y$2:$Y$500,0)),"")</f>
        <v/>
      </c>
      <c r="E294" s="4" t="str">
        <f>IFERROR(INDEX(样本到样信息汇总统计!E$2:E$500,MATCH(293,样本到样信息汇总统计!$Y$2:$Y$500,0)),"")</f>
        <v/>
      </c>
      <c r="F294" s="4" t="str">
        <f>IFERROR(INDEX(样本到样信息汇总统计!F$2:F$500,MATCH(293,样本到样信息汇总统计!$Y$2:$Y$500,0)),"")</f>
        <v/>
      </c>
      <c r="G294" s="4" t="str">
        <f>IFERROR(INDEX(样本到样信息汇总统计!G$2:G$500,MATCH(293,样本到样信息汇总统计!$Y$2:$Y$500,0)),"")</f>
        <v/>
      </c>
      <c r="H294" s="4" t="str">
        <f>IFERROR(INDEX(样本到样信息汇总统计!H$2:H$500,MATCH(293,样本到样信息汇总统计!$Y$2:$Y$500,0)),"")</f>
        <v/>
      </c>
      <c r="I294" s="4" t="str">
        <f>IFERROR(INDEX(样本到样信息汇总统计!I$2:I$500,MATCH(293,样本到样信息汇总统计!$Y$2:$Y$500,0)),"")</f>
        <v/>
      </c>
      <c r="J294" s="4" t="str">
        <f>IFERROR(INDEX(样本到样信息汇总统计!J$2:J$500,MATCH(293,样本到样信息汇总统计!$Y$2:$Y$500,0)),"")</f>
        <v/>
      </c>
      <c r="K294" s="4" t="str">
        <f>IFERROR(INDEX(样本到样信息汇总统计!K$2:K$500,MATCH(293,样本到样信息汇总统计!$Y$2:$Y$500,0)),"")</f>
        <v/>
      </c>
      <c r="L294" s="4" t="str">
        <f>IFERROR(INDEX(样本到样信息汇总统计!L$2:L$500,MATCH(293,样本到样信息汇总统计!$Y$2:$Y$500,0)),"")</f>
        <v/>
      </c>
      <c r="M294" s="4" t="str">
        <f>IFERROR(INDEX(样本到样信息汇总统计!M$2:M$500,MATCH(293,样本到样信息汇总统计!$Y$2:$Y$500,0)),"")</f>
        <v/>
      </c>
      <c r="N294" s="4" t="str">
        <f>IFERROR(INDEX(样本到样信息汇总统计!N$2:N$500,MATCH(293,样本到样信息汇总统计!$Y$2:$Y$500,0)),"")</f>
        <v/>
      </c>
      <c r="O294" s="4" t="str">
        <f>IFERROR(INDEX(样本到样信息汇总统计!O$2:O$500,MATCH(293,样本到样信息汇总统计!$Y$2:$Y$500,0)),"")</f>
        <v/>
      </c>
      <c r="P294" s="4" t="str">
        <f>IFERROR(INDEX(样本到样信息汇总统计!P$2:P$500,MATCH(293,样本到样信息汇总统计!$Y$2:$Y$500,0)),"")</f>
        <v/>
      </c>
      <c r="Q294" s="4" t="str">
        <f>IFERROR(INDEX(样本到样信息汇总统计!Q$2:Q$500,MATCH(293,样本到样信息汇总统计!$Y$2:$Y$500,0)),"")</f>
        <v/>
      </c>
      <c r="R294" s="4" t="str">
        <f>IFERROR(INDEX(样本到样信息汇总统计!R$2:R$500,MATCH(293,样本到样信息汇总统计!$Y$2:$Y$500,0)),"")</f>
        <v/>
      </c>
      <c r="S294" s="4" t="str">
        <f>IFERROR(INDEX(样本到样信息汇总统计!S$2:S$500,MATCH(293,样本到样信息汇总统计!$Y$2:$Y$500,0)),"")</f>
        <v/>
      </c>
      <c r="T294" s="4" t="str">
        <f>IFERROR(INDEX(样本到样信息汇总统计!T$2:T$500,MATCH(293,样本到样信息汇总统计!$Y$2:$Y$500,0)),"")</f>
        <v/>
      </c>
      <c r="U294" s="4" t="str">
        <f>IFERROR(INDEX(样本到样信息汇总统计!U$2:U$500,MATCH(293,样本到样信息汇总统计!$Y$2:$Y$500,0)),"")</f>
        <v/>
      </c>
      <c r="V294" s="4" t="str">
        <f>IFERROR(INDEX(样本到样信息汇总统计!V$2:V$500,MATCH(293,样本到样信息汇总统计!$Y$2:$Y$500,0)),"")</f>
        <v/>
      </c>
      <c r="W294" s="4" t="str">
        <f>IFERROR(INDEX(样本到样信息汇总统计!W$2:W$500,MATCH(293,样本到样信息汇总统计!$Y$2:$Y$500,0)),"")</f>
        <v/>
      </c>
    </row>
    <row r="295" ht="14.5" spans="1:23">
      <c r="A295" s="8" t="str">
        <f>IFERROR(INDEX(样本到样信息汇总统计!A$2:A$500,MATCH(294,样本到样信息汇总统计!$Y$2:$Y$500,0)),"")</f>
        <v/>
      </c>
      <c r="B295" s="8" t="str">
        <f>IFERROR(INDEX(样本到样信息汇总统计!B$2:B$500,MATCH(294,样本到样信息汇总统计!$Y$2:$Y$500,0)),"")</f>
        <v/>
      </c>
      <c r="C295" s="8" t="str">
        <f>IFERROR(INDEX(样本到样信息汇总统计!C$2:C$500,MATCH(294,样本到样信息汇总统计!$Y$2:$Y$500,0)),"")</f>
        <v/>
      </c>
      <c r="D295" s="8" t="str">
        <f>IFERROR(INDEX(样本到样信息汇总统计!D$2:D$500,MATCH(294,样本到样信息汇总统计!$Y$2:$Y$500,0)),"")</f>
        <v/>
      </c>
      <c r="E295" s="8" t="str">
        <f>IFERROR(INDEX(样本到样信息汇总统计!E$2:E$500,MATCH(294,样本到样信息汇总统计!$Y$2:$Y$500,0)),"")</f>
        <v/>
      </c>
      <c r="F295" s="8" t="str">
        <f>IFERROR(INDEX(样本到样信息汇总统计!F$2:F$500,MATCH(294,样本到样信息汇总统计!$Y$2:$Y$500,0)),"")</f>
        <v/>
      </c>
      <c r="G295" s="8" t="str">
        <f>IFERROR(INDEX(样本到样信息汇总统计!G$2:G$500,MATCH(294,样本到样信息汇总统计!$Y$2:$Y$500,0)),"")</f>
        <v/>
      </c>
      <c r="H295" s="8" t="str">
        <f>IFERROR(INDEX(样本到样信息汇总统计!H$2:H$500,MATCH(294,样本到样信息汇总统计!$Y$2:$Y$500,0)),"")</f>
        <v/>
      </c>
      <c r="I295" s="8" t="str">
        <f>IFERROR(INDEX(样本到样信息汇总统计!I$2:I$500,MATCH(294,样本到样信息汇总统计!$Y$2:$Y$500,0)),"")</f>
        <v/>
      </c>
      <c r="J295" s="8" t="str">
        <f>IFERROR(INDEX(样本到样信息汇总统计!J$2:J$500,MATCH(294,样本到样信息汇总统计!$Y$2:$Y$500,0)),"")</f>
        <v/>
      </c>
      <c r="K295" s="8" t="str">
        <f>IFERROR(INDEX(样本到样信息汇总统计!K$2:K$500,MATCH(294,样本到样信息汇总统计!$Y$2:$Y$500,0)),"")</f>
        <v/>
      </c>
      <c r="L295" s="8" t="str">
        <f>IFERROR(INDEX(样本到样信息汇总统计!L$2:L$500,MATCH(294,样本到样信息汇总统计!$Y$2:$Y$500,0)),"")</f>
        <v/>
      </c>
      <c r="M295" s="8" t="str">
        <f>IFERROR(INDEX(样本到样信息汇总统计!M$2:M$500,MATCH(294,样本到样信息汇总统计!$Y$2:$Y$500,0)),"")</f>
        <v/>
      </c>
      <c r="N295" s="8" t="str">
        <f>IFERROR(INDEX(样本到样信息汇总统计!N$2:N$500,MATCH(294,样本到样信息汇总统计!$Y$2:$Y$500,0)),"")</f>
        <v/>
      </c>
      <c r="O295" s="8" t="str">
        <f>IFERROR(INDEX(样本到样信息汇总统计!O$2:O$500,MATCH(294,样本到样信息汇总统计!$Y$2:$Y$500,0)),"")</f>
        <v/>
      </c>
      <c r="P295" s="8" t="str">
        <f>IFERROR(INDEX(样本到样信息汇总统计!P$2:P$500,MATCH(294,样本到样信息汇总统计!$Y$2:$Y$500,0)),"")</f>
        <v/>
      </c>
      <c r="Q295" s="8" t="str">
        <f>IFERROR(INDEX(样本到样信息汇总统计!Q$2:Q$500,MATCH(294,样本到样信息汇总统计!$Y$2:$Y$500,0)),"")</f>
        <v/>
      </c>
      <c r="R295" s="8" t="str">
        <f>IFERROR(INDEX(样本到样信息汇总统计!R$2:R$500,MATCH(294,样本到样信息汇总统计!$Y$2:$Y$500,0)),"")</f>
        <v/>
      </c>
      <c r="S295" s="8" t="str">
        <f>IFERROR(INDEX(样本到样信息汇总统计!S$2:S$500,MATCH(294,样本到样信息汇总统计!$Y$2:$Y$500,0)),"")</f>
        <v/>
      </c>
      <c r="T295" s="8" t="str">
        <f>IFERROR(INDEX(样本到样信息汇总统计!T$2:T$500,MATCH(294,样本到样信息汇总统计!$Y$2:$Y$500,0)),"")</f>
        <v/>
      </c>
      <c r="U295" s="8" t="str">
        <f>IFERROR(INDEX(样本到样信息汇总统计!U$2:U$500,MATCH(294,样本到样信息汇总统计!$Y$2:$Y$500,0)),"")</f>
        <v/>
      </c>
      <c r="V295" s="8" t="str">
        <f>IFERROR(INDEX(样本到样信息汇总统计!V$2:V$500,MATCH(294,样本到样信息汇总统计!$Y$2:$Y$500,0)),"")</f>
        <v/>
      </c>
      <c r="W295" s="8" t="str">
        <f>IFERROR(INDEX(样本到样信息汇总统计!W$2:W$500,MATCH(294,样本到样信息汇总统计!$Y$2:$Y$500,0)),"")</f>
        <v/>
      </c>
    </row>
    <row r="296" ht="14.5" spans="1:23">
      <c r="A296" s="4" t="str">
        <f>IFERROR(INDEX(样本到样信息汇总统计!A$2:A$500,MATCH(295,样本到样信息汇总统计!$Y$2:$Y$500,0)),"")</f>
        <v/>
      </c>
      <c r="B296" s="4" t="str">
        <f>IFERROR(INDEX(样本到样信息汇总统计!B$2:B$500,MATCH(295,样本到样信息汇总统计!$Y$2:$Y$500,0)),"")</f>
        <v/>
      </c>
      <c r="C296" s="4" t="str">
        <f>IFERROR(INDEX(样本到样信息汇总统计!C$2:C$500,MATCH(295,样本到样信息汇总统计!$Y$2:$Y$500,0)),"")</f>
        <v/>
      </c>
      <c r="D296" s="4" t="str">
        <f>IFERROR(INDEX(样本到样信息汇总统计!D$2:D$500,MATCH(295,样本到样信息汇总统计!$Y$2:$Y$500,0)),"")</f>
        <v/>
      </c>
      <c r="E296" s="4" t="str">
        <f>IFERROR(INDEX(样本到样信息汇总统计!E$2:E$500,MATCH(295,样本到样信息汇总统计!$Y$2:$Y$500,0)),"")</f>
        <v/>
      </c>
      <c r="F296" s="4" t="str">
        <f>IFERROR(INDEX(样本到样信息汇总统计!F$2:F$500,MATCH(295,样本到样信息汇总统计!$Y$2:$Y$500,0)),"")</f>
        <v/>
      </c>
      <c r="G296" s="4" t="str">
        <f>IFERROR(INDEX(样本到样信息汇总统计!G$2:G$500,MATCH(295,样本到样信息汇总统计!$Y$2:$Y$500,0)),"")</f>
        <v/>
      </c>
      <c r="H296" s="4" t="str">
        <f>IFERROR(INDEX(样本到样信息汇总统计!H$2:H$500,MATCH(295,样本到样信息汇总统计!$Y$2:$Y$500,0)),"")</f>
        <v/>
      </c>
      <c r="I296" s="4" t="str">
        <f>IFERROR(INDEX(样本到样信息汇总统计!I$2:I$500,MATCH(295,样本到样信息汇总统计!$Y$2:$Y$500,0)),"")</f>
        <v/>
      </c>
      <c r="J296" s="4" t="str">
        <f>IFERROR(INDEX(样本到样信息汇总统计!J$2:J$500,MATCH(295,样本到样信息汇总统计!$Y$2:$Y$500,0)),"")</f>
        <v/>
      </c>
      <c r="K296" s="4" t="str">
        <f>IFERROR(INDEX(样本到样信息汇总统计!K$2:K$500,MATCH(295,样本到样信息汇总统计!$Y$2:$Y$500,0)),"")</f>
        <v/>
      </c>
      <c r="L296" s="4" t="str">
        <f>IFERROR(INDEX(样本到样信息汇总统计!L$2:L$500,MATCH(295,样本到样信息汇总统计!$Y$2:$Y$500,0)),"")</f>
        <v/>
      </c>
      <c r="M296" s="4" t="str">
        <f>IFERROR(INDEX(样本到样信息汇总统计!M$2:M$500,MATCH(295,样本到样信息汇总统计!$Y$2:$Y$500,0)),"")</f>
        <v/>
      </c>
      <c r="N296" s="4" t="str">
        <f>IFERROR(INDEX(样本到样信息汇总统计!N$2:N$500,MATCH(295,样本到样信息汇总统计!$Y$2:$Y$500,0)),"")</f>
        <v/>
      </c>
      <c r="O296" s="4" t="str">
        <f>IFERROR(INDEX(样本到样信息汇总统计!O$2:O$500,MATCH(295,样本到样信息汇总统计!$Y$2:$Y$500,0)),"")</f>
        <v/>
      </c>
      <c r="P296" s="4" t="str">
        <f>IFERROR(INDEX(样本到样信息汇总统计!P$2:P$500,MATCH(295,样本到样信息汇总统计!$Y$2:$Y$500,0)),"")</f>
        <v/>
      </c>
      <c r="Q296" s="4" t="str">
        <f>IFERROR(INDEX(样本到样信息汇总统计!Q$2:Q$500,MATCH(295,样本到样信息汇总统计!$Y$2:$Y$500,0)),"")</f>
        <v/>
      </c>
      <c r="R296" s="4" t="str">
        <f>IFERROR(INDEX(样本到样信息汇总统计!R$2:R$500,MATCH(295,样本到样信息汇总统计!$Y$2:$Y$500,0)),"")</f>
        <v/>
      </c>
      <c r="S296" s="4" t="str">
        <f>IFERROR(INDEX(样本到样信息汇总统计!S$2:S$500,MATCH(295,样本到样信息汇总统计!$Y$2:$Y$500,0)),"")</f>
        <v/>
      </c>
      <c r="T296" s="4" t="str">
        <f>IFERROR(INDEX(样本到样信息汇总统计!T$2:T$500,MATCH(295,样本到样信息汇总统计!$Y$2:$Y$500,0)),"")</f>
        <v/>
      </c>
      <c r="U296" s="4" t="str">
        <f>IFERROR(INDEX(样本到样信息汇总统计!U$2:U$500,MATCH(295,样本到样信息汇总统计!$Y$2:$Y$500,0)),"")</f>
        <v/>
      </c>
      <c r="V296" s="4" t="str">
        <f>IFERROR(INDEX(样本到样信息汇总统计!V$2:V$500,MATCH(295,样本到样信息汇总统计!$Y$2:$Y$500,0)),"")</f>
        <v/>
      </c>
      <c r="W296" s="4" t="str">
        <f>IFERROR(INDEX(样本到样信息汇总统计!W$2:W$500,MATCH(295,样本到样信息汇总统计!$Y$2:$Y$500,0)),"")</f>
        <v/>
      </c>
    </row>
    <row r="297" ht="14.5" spans="1:23">
      <c r="A297" s="8" t="str">
        <f>IFERROR(INDEX(样本到样信息汇总统计!A$2:A$500,MATCH(296,样本到样信息汇总统计!$Y$2:$Y$500,0)),"")</f>
        <v/>
      </c>
      <c r="B297" s="8" t="str">
        <f>IFERROR(INDEX(样本到样信息汇总统计!B$2:B$500,MATCH(296,样本到样信息汇总统计!$Y$2:$Y$500,0)),"")</f>
        <v/>
      </c>
      <c r="C297" s="8" t="str">
        <f>IFERROR(INDEX(样本到样信息汇总统计!C$2:C$500,MATCH(296,样本到样信息汇总统计!$Y$2:$Y$500,0)),"")</f>
        <v/>
      </c>
      <c r="D297" s="8" t="str">
        <f>IFERROR(INDEX(样本到样信息汇总统计!D$2:D$500,MATCH(296,样本到样信息汇总统计!$Y$2:$Y$500,0)),"")</f>
        <v/>
      </c>
      <c r="E297" s="8" t="str">
        <f>IFERROR(INDEX(样本到样信息汇总统计!E$2:E$500,MATCH(296,样本到样信息汇总统计!$Y$2:$Y$500,0)),"")</f>
        <v/>
      </c>
      <c r="F297" s="8" t="str">
        <f>IFERROR(INDEX(样本到样信息汇总统计!F$2:F$500,MATCH(296,样本到样信息汇总统计!$Y$2:$Y$500,0)),"")</f>
        <v/>
      </c>
      <c r="G297" s="8" t="str">
        <f>IFERROR(INDEX(样本到样信息汇总统计!G$2:G$500,MATCH(296,样本到样信息汇总统计!$Y$2:$Y$500,0)),"")</f>
        <v/>
      </c>
      <c r="H297" s="8" t="str">
        <f>IFERROR(INDEX(样本到样信息汇总统计!H$2:H$500,MATCH(296,样本到样信息汇总统计!$Y$2:$Y$500,0)),"")</f>
        <v/>
      </c>
      <c r="I297" s="8" t="str">
        <f>IFERROR(INDEX(样本到样信息汇总统计!I$2:I$500,MATCH(296,样本到样信息汇总统计!$Y$2:$Y$500,0)),"")</f>
        <v/>
      </c>
      <c r="J297" s="8" t="str">
        <f>IFERROR(INDEX(样本到样信息汇总统计!J$2:J$500,MATCH(296,样本到样信息汇总统计!$Y$2:$Y$500,0)),"")</f>
        <v/>
      </c>
      <c r="K297" s="8" t="str">
        <f>IFERROR(INDEX(样本到样信息汇总统计!K$2:K$500,MATCH(296,样本到样信息汇总统计!$Y$2:$Y$500,0)),"")</f>
        <v/>
      </c>
      <c r="L297" s="8" t="str">
        <f>IFERROR(INDEX(样本到样信息汇总统计!L$2:L$500,MATCH(296,样本到样信息汇总统计!$Y$2:$Y$500,0)),"")</f>
        <v/>
      </c>
      <c r="M297" s="8" t="str">
        <f>IFERROR(INDEX(样本到样信息汇总统计!M$2:M$500,MATCH(296,样本到样信息汇总统计!$Y$2:$Y$500,0)),"")</f>
        <v/>
      </c>
      <c r="N297" s="8" t="str">
        <f>IFERROR(INDEX(样本到样信息汇总统计!N$2:N$500,MATCH(296,样本到样信息汇总统计!$Y$2:$Y$500,0)),"")</f>
        <v/>
      </c>
      <c r="O297" s="8" t="str">
        <f>IFERROR(INDEX(样本到样信息汇总统计!O$2:O$500,MATCH(296,样本到样信息汇总统计!$Y$2:$Y$500,0)),"")</f>
        <v/>
      </c>
      <c r="P297" s="8" t="str">
        <f>IFERROR(INDEX(样本到样信息汇总统计!P$2:P$500,MATCH(296,样本到样信息汇总统计!$Y$2:$Y$500,0)),"")</f>
        <v/>
      </c>
      <c r="Q297" s="8" t="str">
        <f>IFERROR(INDEX(样本到样信息汇总统计!Q$2:Q$500,MATCH(296,样本到样信息汇总统计!$Y$2:$Y$500,0)),"")</f>
        <v/>
      </c>
      <c r="R297" s="8" t="str">
        <f>IFERROR(INDEX(样本到样信息汇总统计!R$2:R$500,MATCH(296,样本到样信息汇总统计!$Y$2:$Y$500,0)),"")</f>
        <v/>
      </c>
      <c r="S297" s="8" t="str">
        <f>IFERROR(INDEX(样本到样信息汇总统计!S$2:S$500,MATCH(296,样本到样信息汇总统计!$Y$2:$Y$500,0)),"")</f>
        <v/>
      </c>
      <c r="T297" s="8" t="str">
        <f>IFERROR(INDEX(样本到样信息汇总统计!T$2:T$500,MATCH(296,样本到样信息汇总统计!$Y$2:$Y$500,0)),"")</f>
        <v/>
      </c>
      <c r="U297" s="8" t="str">
        <f>IFERROR(INDEX(样本到样信息汇总统计!U$2:U$500,MATCH(296,样本到样信息汇总统计!$Y$2:$Y$500,0)),"")</f>
        <v/>
      </c>
      <c r="V297" s="8" t="str">
        <f>IFERROR(INDEX(样本到样信息汇总统计!V$2:V$500,MATCH(296,样本到样信息汇总统计!$Y$2:$Y$500,0)),"")</f>
        <v/>
      </c>
      <c r="W297" s="8" t="str">
        <f>IFERROR(INDEX(样本到样信息汇总统计!W$2:W$500,MATCH(296,样本到样信息汇总统计!$Y$2:$Y$500,0)),"")</f>
        <v/>
      </c>
    </row>
    <row r="298" ht="14.5" spans="1:23">
      <c r="A298" s="4" t="str">
        <f>IFERROR(INDEX(样本到样信息汇总统计!A$2:A$500,MATCH(297,样本到样信息汇总统计!$Y$2:$Y$500,0)),"")</f>
        <v/>
      </c>
      <c r="B298" s="4" t="str">
        <f>IFERROR(INDEX(样本到样信息汇总统计!B$2:B$500,MATCH(297,样本到样信息汇总统计!$Y$2:$Y$500,0)),"")</f>
        <v/>
      </c>
      <c r="C298" s="4" t="str">
        <f>IFERROR(INDEX(样本到样信息汇总统计!C$2:C$500,MATCH(297,样本到样信息汇总统计!$Y$2:$Y$500,0)),"")</f>
        <v/>
      </c>
      <c r="D298" s="4" t="str">
        <f>IFERROR(INDEX(样本到样信息汇总统计!D$2:D$500,MATCH(297,样本到样信息汇总统计!$Y$2:$Y$500,0)),"")</f>
        <v/>
      </c>
      <c r="E298" s="4" t="str">
        <f>IFERROR(INDEX(样本到样信息汇总统计!E$2:E$500,MATCH(297,样本到样信息汇总统计!$Y$2:$Y$500,0)),"")</f>
        <v/>
      </c>
      <c r="F298" s="4" t="str">
        <f>IFERROR(INDEX(样本到样信息汇总统计!F$2:F$500,MATCH(297,样本到样信息汇总统计!$Y$2:$Y$500,0)),"")</f>
        <v/>
      </c>
      <c r="G298" s="4" t="str">
        <f>IFERROR(INDEX(样本到样信息汇总统计!G$2:G$500,MATCH(297,样本到样信息汇总统计!$Y$2:$Y$500,0)),"")</f>
        <v/>
      </c>
      <c r="H298" s="4" t="str">
        <f>IFERROR(INDEX(样本到样信息汇总统计!H$2:H$500,MATCH(297,样本到样信息汇总统计!$Y$2:$Y$500,0)),"")</f>
        <v/>
      </c>
      <c r="I298" s="4" t="str">
        <f>IFERROR(INDEX(样本到样信息汇总统计!I$2:I$500,MATCH(297,样本到样信息汇总统计!$Y$2:$Y$500,0)),"")</f>
        <v/>
      </c>
      <c r="J298" s="4" t="str">
        <f>IFERROR(INDEX(样本到样信息汇总统计!J$2:J$500,MATCH(297,样本到样信息汇总统计!$Y$2:$Y$500,0)),"")</f>
        <v/>
      </c>
      <c r="K298" s="4" t="str">
        <f>IFERROR(INDEX(样本到样信息汇总统计!K$2:K$500,MATCH(297,样本到样信息汇总统计!$Y$2:$Y$500,0)),"")</f>
        <v/>
      </c>
      <c r="L298" s="4" t="str">
        <f>IFERROR(INDEX(样本到样信息汇总统计!L$2:L$500,MATCH(297,样本到样信息汇总统计!$Y$2:$Y$500,0)),"")</f>
        <v/>
      </c>
      <c r="M298" s="4" t="str">
        <f>IFERROR(INDEX(样本到样信息汇总统计!M$2:M$500,MATCH(297,样本到样信息汇总统计!$Y$2:$Y$500,0)),"")</f>
        <v/>
      </c>
      <c r="N298" s="4" t="str">
        <f>IFERROR(INDEX(样本到样信息汇总统计!N$2:N$500,MATCH(297,样本到样信息汇总统计!$Y$2:$Y$500,0)),"")</f>
        <v/>
      </c>
      <c r="O298" s="4" t="str">
        <f>IFERROR(INDEX(样本到样信息汇总统计!O$2:O$500,MATCH(297,样本到样信息汇总统计!$Y$2:$Y$500,0)),"")</f>
        <v/>
      </c>
      <c r="P298" s="4" t="str">
        <f>IFERROR(INDEX(样本到样信息汇总统计!P$2:P$500,MATCH(297,样本到样信息汇总统计!$Y$2:$Y$500,0)),"")</f>
        <v/>
      </c>
      <c r="Q298" s="4" t="str">
        <f>IFERROR(INDEX(样本到样信息汇总统计!Q$2:Q$500,MATCH(297,样本到样信息汇总统计!$Y$2:$Y$500,0)),"")</f>
        <v/>
      </c>
      <c r="R298" s="4" t="str">
        <f>IFERROR(INDEX(样本到样信息汇总统计!R$2:R$500,MATCH(297,样本到样信息汇总统计!$Y$2:$Y$500,0)),"")</f>
        <v/>
      </c>
      <c r="S298" s="4" t="str">
        <f>IFERROR(INDEX(样本到样信息汇总统计!S$2:S$500,MATCH(297,样本到样信息汇总统计!$Y$2:$Y$500,0)),"")</f>
        <v/>
      </c>
      <c r="T298" s="4" t="str">
        <f>IFERROR(INDEX(样本到样信息汇总统计!T$2:T$500,MATCH(297,样本到样信息汇总统计!$Y$2:$Y$500,0)),"")</f>
        <v/>
      </c>
      <c r="U298" s="4" t="str">
        <f>IFERROR(INDEX(样本到样信息汇总统计!U$2:U$500,MATCH(297,样本到样信息汇总统计!$Y$2:$Y$500,0)),"")</f>
        <v/>
      </c>
      <c r="V298" s="4" t="str">
        <f>IFERROR(INDEX(样本到样信息汇总统计!V$2:V$500,MATCH(297,样本到样信息汇总统计!$Y$2:$Y$500,0)),"")</f>
        <v/>
      </c>
      <c r="W298" s="4" t="str">
        <f>IFERROR(INDEX(样本到样信息汇总统计!W$2:W$500,MATCH(297,样本到样信息汇总统计!$Y$2:$Y$500,0)),"")</f>
        <v/>
      </c>
    </row>
    <row r="299" ht="14.5" spans="1:23">
      <c r="A299" s="8" t="str">
        <f>IFERROR(INDEX(样本到样信息汇总统计!A$2:A$500,MATCH(298,样本到样信息汇总统计!$Y$2:$Y$500,0)),"")</f>
        <v/>
      </c>
      <c r="B299" s="8" t="str">
        <f>IFERROR(INDEX(样本到样信息汇总统计!B$2:B$500,MATCH(298,样本到样信息汇总统计!$Y$2:$Y$500,0)),"")</f>
        <v/>
      </c>
      <c r="C299" s="8" t="str">
        <f>IFERROR(INDEX(样本到样信息汇总统计!C$2:C$500,MATCH(298,样本到样信息汇总统计!$Y$2:$Y$500,0)),"")</f>
        <v/>
      </c>
      <c r="D299" s="8" t="str">
        <f>IFERROR(INDEX(样本到样信息汇总统计!D$2:D$500,MATCH(298,样本到样信息汇总统计!$Y$2:$Y$500,0)),"")</f>
        <v/>
      </c>
      <c r="E299" s="8" t="str">
        <f>IFERROR(INDEX(样本到样信息汇总统计!E$2:E$500,MATCH(298,样本到样信息汇总统计!$Y$2:$Y$500,0)),"")</f>
        <v/>
      </c>
      <c r="F299" s="8" t="str">
        <f>IFERROR(INDEX(样本到样信息汇总统计!F$2:F$500,MATCH(298,样本到样信息汇总统计!$Y$2:$Y$500,0)),"")</f>
        <v/>
      </c>
      <c r="G299" s="8" t="str">
        <f>IFERROR(INDEX(样本到样信息汇总统计!G$2:G$500,MATCH(298,样本到样信息汇总统计!$Y$2:$Y$500,0)),"")</f>
        <v/>
      </c>
      <c r="H299" s="8" t="str">
        <f>IFERROR(INDEX(样本到样信息汇总统计!H$2:H$500,MATCH(298,样本到样信息汇总统计!$Y$2:$Y$500,0)),"")</f>
        <v/>
      </c>
      <c r="I299" s="8" t="str">
        <f>IFERROR(INDEX(样本到样信息汇总统计!I$2:I$500,MATCH(298,样本到样信息汇总统计!$Y$2:$Y$500,0)),"")</f>
        <v/>
      </c>
      <c r="J299" s="8" t="str">
        <f>IFERROR(INDEX(样本到样信息汇总统计!J$2:J$500,MATCH(298,样本到样信息汇总统计!$Y$2:$Y$500,0)),"")</f>
        <v/>
      </c>
      <c r="K299" s="8" t="str">
        <f>IFERROR(INDEX(样本到样信息汇总统计!K$2:K$500,MATCH(298,样本到样信息汇总统计!$Y$2:$Y$500,0)),"")</f>
        <v/>
      </c>
      <c r="L299" s="8" t="str">
        <f>IFERROR(INDEX(样本到样信息汇总统计!L$2:L$500,MATCH(298,样本到样信息汇总统计!$Y$2:$Y$500,0)),"")</f>
        <v/>
      </c>
      <c r="M299" s="8" t="str">
        <f>IFERROR(INDEX(样本到样信息汇总统计!M$2:M$500,MATCH(298,样本到样信息汇总统计!$Y$2:$Y$500,0)),"")</f>
        <v/>
      </c>
      <c r="N299" s="8" t="str">
        <f>IFERROR(INDEX(样本到样信息汇总统计!N$2:N$500,MATCH(298,样本到样信息汇总统计!$Y$2:$Y$500,0)),"")</f>
        <v/>
      </c>
      <c r="O299" s="8" t="str">
        <f>IFERROR(INDEX(样本到样信息汇总统计!O$2:O$500,MATCH(298,样本到样信息汇总统计!$Y$2:$Y$500,0)),"")</f>
        <v/>
      </c>
      <c r="P299" s="8" t="str">
        <f>IFERROR(INDEX(样本到样信息汇总统计!P$2:P$500,MATCH(298,样本到样信息汇总统计!$Y$2:$Y$500,0)),"")</f>
        <v/>
      </c>
      <c r="Q299" s="8" t="str">
        <f>IFERROR(INDEX(样本到样信息汇总统计!Q$2:Q$500,MATCH(298,样本到样信息汇总统计!$Y$2:$Y$500,0)),"")</f>
        <v/>
      </c>
      <c r="R299" s="8" t="str">
        <f>IFERROR(INDEX(样本到样信息汇总统计!R$2:R$500,MATCH(298,样本到样信息汇总统计!$Y$2:$Y$500,0)),"")</f>
        <v/>
      </c>
      <c r="S299" s="8" t="str">
        <f>IFERROR(INDEX(样本到样信息汇总统计!S$2:S$500,MATCH(298,样本到样信息汇总统计!$Y$2:$Y$500,0)),"")</f>
        <v/>
      </c>
      <c r="T299" s="8" t="str">
        <f>IFERROR(INDEX(样本到样信息汇总统计!T$2:T$500,MATCH(298,样本到样信息汇总统计!$Y$2:$Y$500,0)),"")</f>
        <v/>
      </c>
      <c r="U299" s="8" t="str">
        <f>IFERROR(INDEX(样本到样信息汇总统计!U$2:U$500,MATCH(298,样本到样信息汇总统计!$Y$2:$Y$500,0)),"")</f>
        <v/>
      </c>
      <c r="V299" s="8" t="str">
        <f>IFERROR(INDEX(样本到样信息汇总统计!V$2:V$500,MATCH(298,样本到样信息汇总统计!$Y$2:$Y$500,0)),"")</f>
        <v/>
      </c>
      <c r="W299" s="8" t="str">
        <f>IFERROR(INDEX(样本到样信息汇总统计!W$2:W$500,MATCH(298,样本到样信息汇总统计!$Y$2:$Y$500,0)),"")</f>
        <v/>
      </c>
    </row>
    <row r="300" ht="14.5" spans="1:23">
      <c r="A300" s="4" t="str">
        <f>IFERROR(INDEX(样本到样信息汇总统计!A$2:A$500,MATCH(299,样本到样信息汇总统计!$Y$2:$Y$500,0)),"")</f>
        <v/>
      </c>
      <c r="B300" s="4" t="str">
        <f>IFERROR(INDEX(样本到样信息汇总统计!B$2:B$500,MATCH(299,样本到样信息汇总统计!$Y$2:$Y$500,0)),"")</f>
        <v/>
      </c>
      <c r="C300" s="4" t="str">
        <f>IFERROR(INDEX(样本到样信息汇总统计!C$2:C$500,MATCH(299,样本到样信息汇总统计!$Y$2:$Y$500,0)),"")</f>
        <v/>
      </c>
      <c r="D300" s="4" t="str">
        <f>IFERROR(INDEX(样本到样信息汇总统计!D$2:D$500,MATCH(299,样本到样信息汇总统计!$Y$2:$Y$500,0)),"")</f>
        <v/>
      </c>
      <c r="E300" s="4" t="str">
        <f>IFERROR(INDEX(样本到样信息汇总统计!E$2:E$500,MATCH(299,样本到样信息汇总统计!$Y$2:$Y$500,0)),"")</f>
        <v/>
      </c>
      <c r="F300" s="4" t="str">
        <f>IFERROR(INDEX(样本到样信息汇总统计!F$2:F$500,MATCH(299,样本到样信息汇总统计!$Y$2:$Y$500,0)),"")</f>
        <v/>
      </c>
      <c r="G300" s="4" t="str">
        <f>IFERROR(INDEX(样本到样信息汇总统计!G$2:G$500,MATCH(299,样本到样信息汇总统计!$Y$2:$Y$500,0)),"")</f>
        <v/>
      </c>
      <c r="H300" s="4" t="str">
        <f>IFERROR(INDEX(样本到样信息汇总统计!H$2:H$500,MATCH(299,样本到样信息汇总统计!$Y$2:$Y$500,0)),"")</f>
        <v/>
      </c>
      <c r="I300" s="4" t="str">
        <f>IFERROR(INDEX(样本到样信息汇总统计!I$2:I$500,MATCH(299,样本到样信息汇总统计!$Y$2:$Y$500,0)),"")</f>
        <v/>
      </c>
      <c r="J300" s="4" t="str">
        <f>IFERROR(INDEX(样本到样信息汇总统计!J$2:J$500,MATCH(299,样本到样信息汇总统计!$Y$2:$Y$500,0)),"")</f>
        <v/>
      </c>
      <c r="K300" s="4" t="str">
        <f>IFERROR(INDEX(样本到样信息汇总统计!K$2:K$500,MATCH(299,样本到样信息汇总统计!$Y$2:$Y$500,0)),"")</f>
        <v/>
      </c>
      <c r="L300" s="4" t="str">
        <f>IFERROR(INDEX(样本到样信息汇总统计!L$2:L$500,MATCH(299,样本到样信息汇总统计!$Y$2:$Y$500,0)),"")</f>
        <v/>
      </c>
      <c r="M300" s="4" t="str">
        <f>IFERROR(INDEX(样本到样信息汇总统计!M$2:M$500,MATCH(299,样本到样信息汇总统计!$Y$2:$Y$500,0)),"")</f>
        <v/>
      </c>
      <c r="N300" s="4" t="str">
        <f>IFERROR(INDEX(样本到样信息汇总统计!N$2:N$500,MATCH(299,样本到样信息汇总统计!$Y$2:$Y$500,0)),"")</f>
        <v/>
      </c>
      <c r="O300" s="4" t="str">
        <f>IFERROR(INDEX(样本到样信息汇总统计!O$2:O$500,MATCH(299,样本到样信息汇总统计!$Y$2:$Y$500,0)),"")</f>
        <v/>
      </c>
      <c r="P300" s="4" t="str">
        <f>IFERROR(INDEX(样本到样信息汇总统计!P$2:P$500,MATCH(299,样本到样信息汇总统计!$Y$2:$Y$500,0)),"")</f>
        <v/>
      </c>
      <c r="Q300" s="4" t="str">
        <f>IFERROR(INDEX(样本到样信息汇总统计!Q$2:Q$500,MATCH(299,样本到样信息汇总统计!$Y$2:$Y$500,0)),"")</f>
        <v/>
      </c>
      <c r="R300" s="4" t="str">
        <f>IFERROR(INDEX(样本到样信息汇总统计!R$2:R$500,MATCH(299,样本到样信息汇总统计!$Y$2:$Y$500,0)),"")</f>
        <v/>
      </c>
      <c r="S300" s="4" t="str">
        <f>IFERROR(INDEX(样本到样信息汇总统计!S$2:S$500,MATCH(299,样本到样信息汇总统计!$Y$2:$Y$500,0)),"")</f>
        <v/>
      </c>
      <c r="T300" s="4" t="str">
        <f>IFERROR(INDEX(样本到样信息汇总统计!T$2:T$500,MATCH(299,样本到样信息汇总统计!$Y$2:$Y$500,0)),"")</f>
        <v/>
      </c>
      <c r="U300" s="4" t="str">
        <f>IFERROR(INDEX(样本到样信息汇总统计!U$2:U$500,MATCH(299,样本到样信息汇总统计!$Y$2:$Y$500,0)),"")</f>
        <v/>
      </c>
      <c r="V300" s="4" t="str">
        <f>IFERROR(INDEX(样本到样信息汇总统计!V$2:V$500,MATCH(299,样本到样信息汇总统计!$Y$2:$Y$500,0)),"")</f>
        <v/>
      </c>
      <c r="W300" s="4" t="str">
        <f>IFERROR(INDEX(样本到样信息汇总统计!W$2:W$500,MATCH(299,样本到样信息汇总统计!$Y$2:$Y$500,0)),"")</f>
        <v/>
      </c>
    </row>
    <row r="301" ht="14.5" spans="1:23">
      <c r="A301" s="8" t="str">
        <f>IFERROR(INDEX(样本到样信息汇总统计!A$2:A$500,MATCH(300,样本到样信息汇总统计!$Y$2:$Y$500,0)),"")</f>
        <v/>
      </c>
      <c r="B301" s="8" t="str">
        <f>IFERROR(INDEX(样本到样信息汇总统计!B$2:B$500,MATCH(300,样本到样信息汇总统计!$Y$2:$Y$500,0)),"")</f>
        <v/>
      </c>
      <c r="C301" s="8" t="str">
        <f>IFERROR(INDEX(样本到样信息汇总统计!C$2:C$500,MATCH(300,样本到样信息汇总统计!$Y$2:$Y$500,0)),"")</f>
        <v/>
      </c>
      <c r="D301" s="8" t="str">
        <f>IFERROR(INDEX(样本到样信息汇总统计!D$2:D$500,MATCH(300,样本到样信息汇总统计!$Y$2:$Y$500,0)),"")</f>
        <v/>
      </c>
      <c r="E301" s="8" t="str">
        <f>IFERROR(INDEX(样本到样信息汇总统计!E$2:E$500,MATCH(300,样本到样信息汇总统计!$Y$2:$Y$500,0)),"")</f>
        <v/>
      </c>
      <c r="F301" s="8" t="str">
        <f>IFERROR(INDEX(样本到样信息汇总统计!F$2:F$500,MATCH(300,样本到样信息汇总统计!$Y$2:$Y$500,0)),"")</f>
        <v/>
      </c>
      <c r="G301" s="8" t="str">
        <f>IFERROR(INDEX(样本到样信息汇总统计!G$2:G$500,MATCH(300,样本到样信息汇总统计!$Y$2:$Y$500,0)),"")</f>
        <v/>
      </c>
      <c r="H301" s="8" t="str">
        <f>IFERROR(INDEX(样本到样信息汇总统计!H$2:H$500,MATCH(300,样本到样信息汇总统计!$Y$2:$Y$500,0)),"")</f>
        <v/>
      </c>
      <c r="I301" s="8" t="str">
        <f>IFERROR(INDEX(样本到样信息汇总统计!I$2:I$500,MATCH(300,样本到样信息汇总统计!$Y$2:$Y$500,0)),"")</f>
        <v/>
      </c>
      <c r="J301" s="8" t="str">
        <f>IFERROR(INDEX(样本到样信息汇总统计!J$2:J$500,MATCH(300,样本到样信息汇总统计!$Y$2:$Y$500,0)),"")</f>
        <v/>
      </c>
      <c r="K301" s="8" t="str">
        <f>IFERROR(INDEX(样本到样信息汇总统计!K$2:K$500,MATCH(300,样本到样信息汇总统计!$Y$2:$Y$500,0)),"")</f>
        <v/>
      </c>
      <c r="L301" s="8" t="str">
        <f>IFERROR(INDEX(样本到样信息汇总统计!L$2:L$500,MATCH(300,样本到样信息汇总统计!$Y$2:$Y$500,0)),"")</f>
        <v/>
      </c>
      <c r="M301" s="8" t="str">
        <f>IFERROR(INDEX(样本到样信息汇总统计!M$2:M$500,MATCH(300,样本到样信息汇总统计!$Y$2:$Y$500,0)),"")</f>
        <v/>
      </c>
      <c r="N301" s="8" t="str">
        <f>IFERROR(INDEX(样本到样信息汇总统计!N$2:N$500,MATCH(300,样本到样信息汇总统计!$Y$2:$Y$500,0)),"")</f>
        <v/>
      </c>
      <c r="O301" s="8" t="str">
        <f>IFERROR(INDEX(样本到样信息汇总统计!O$2:O$500,MATCH(300,样本到样信息汇总统计!$Y$2:$Y$500,0)),"")</f>
        <v/>
      </c>
      <c r="P301" s="8" t="str">
        <f>IFERROR(INDEX(样本到样信息汇总统计!P$2:P$500,MATCH(300,样本到样信息汇总统计!$Y$2:$Y$500,0)),"")</f>
        <v/>
      </c>
      <c r="Q301" s="8" t="str">
        <f>IFERROR(INDEX(样本到样信息汇总统计!Q$2:Q$500,MATCH(300,样本到样信息汇总统计!$Y$2:$Y$500,0)),"")</f>
        <v/>
      </c>
      <c r="R301" s="8" t="str">
        <f>IFERROR(INDEX(样本到样信息汇总统计!R$2:R$500,MATCH(300,样本到样信息汇总统计!$Y$2:$Y$500,0)),"")</f>
        <v/>
      </c>
      <c r="S301" s="8" t="str">
        <f>IFERROR(INDEX(样本到样信息汇总统计!S$2:S$500,MATCH(300,样本到样信息汇总统计!$Y$2:$Y$500,0)),"")</f>
        <v/>
      </c>
      <c r="T301" s="8" t="str">
        <f>IFERROR(INDEX(样本到样信息汇总统计!T$2:T$500,MATCH(300,样本到样信息汇总统计!$Y$2:$Y$500,0)),"")</f>
        <v/>
      </c>
      <c r="U301" s="8" t="str">
        <f>IFERROR(INDEX(样本到样信息汇总统计!U$2:U$500,MATCH(300,样本到样信息汇总统计!$Y$2:$Y$500,0)),"")</f>
        <v/>
      </c>
      <c r="V301" s="8" t="str">
        <f>IFERROR(INDEX(样本到样信息汇总统计!V$2:V$500,MATCH(300,样本到样信息汇总统计!$Y$2:$Y$500,0)),"")</f>
        <v/>
      </c>
      <c r="W301" s="8" t="str">
        <f>IFERROR(INDEX(样本到样信息汇总统计!W$2:W$500,MATCH(300,样本到样信息汇总统计!$Y$2:$Y$500,0)),"")</f>
        <v/>
      </c>
    </row>
    <row r="302" ht="14.5" spans="1:23">
      <c r="A302" s="4" t="str">
        <f>IFERROR(INDEX(样本到样信息汇总统计!A$2:A$500,MATCH(301,样本到样信息汇总统计!$Y$2:$Y$500,0)),"")</f>
        <v/>
      </c>
      <c r="B302" s="4" t="str">
        <f>IFERROR(INDEX(样本到样信息汇总统计!B$2:B$500,MATCH(301,样本到样信息汇总统计!$Y$2:$Y$500,0)),"")</f>
        <v/>
      </c>
      <c r="C302" s="4" t="str">
        <f>IFERROR(INDEX(样本到样信息汇总统计!C$2:C$500,MATCH(301,样本到样信息汇总统计!$Y$2:$Y$500,0)),"")</f>
        <v/>
      </c>
      <c r="D302" s="4" t="str">
        <f>IFERROR(INDEX(样本到样信息汇总统计!D$2:D$500,MATCH(301,样本到样信息汇总统计!$Y$2:$Y$500,0)),"")</f>
        <v/>
      </c>
      <c r="E302" s="4" t="str">
        <f>IFERROR(INDEX(样本到样信息汇总统计!E$2:E$500,MATCH(301,样本到样信息汇总统计!$Y$2:$Y$500,0)),"")</f>
        <v/>
      </c>
      <c r="F302" s="4" t="str">
        <f>IFERROR(INDEX(样本到样信息汇总统计!F$2:F$500,MATCH(301,样本到样信息汇总统计!$Y$2:$Y$500,0)),"")</f>
        <v/>
      </c>
      <c r="G302" s="4" t="str">
        <f>IFERROR(INDEX(样本到样信息汇总统计!G$2:G$500,MATCH(301,样本到样信息汇总统计!$Y$2:$Y$500,0)),"")</f>
        <v/>
      </c>
      <c r="H302" s="4" t="str">
        <f>IFERROR(INDEX(样本到样信息汇总统计!H$2:H$500,MATCH(301,样本到样信息汇总统计!$Y$2:$Y$500,0)),"")</f>
        <v/>
      </c>
      <c r="I302" s="4" t="str">
        <f>IFERROR(INDEX(样本到样信息汇总统计!I$2:I$500,MATCH(301,样本到样信息汇总统计!$Y$2:$Y$500,0)),"")</f>
        <v/>
      </c>
      <c r="J302" s="4" t="str">
        <f>IFERROR(INDEX(样本到样信息汇总统计!J$2:J$500,MATCH(301,样本到样信息汇总统计!$Y$2:$Y$500,0)),"")</f>
        <v/>
      </c>
      <c r="K302" s="4" t="str">
        <f>IFERROR(INDEX(样本到样信息汇总统计!K$2:K$500,MATCH(301,样本到样信息汇总统计!$Y$2:$Y$500,0)),"")</f>
        <v/>
      </c>
      <c r="L302" s="4" t="str">
        <f>IFERROR(INDEX(样本到样信息汇总统计!L$2:L$500,MATCH(301,样本到样信息汇总统计!$Y$2:$Y$500,0)),"")</f>
        <v/>
      </c>
      <c r="M302" s="4" t="str">
        <f>IFERROR(INDEX(样本到样信息汇总统计!M$2:M$500,MATCH(301,样本到样信息汇总统计!$Y$2:$Y$500,0)),"")</f>
        <v/>
      </c>
      <c r="N302" s="4" t="str">
        <f>IFERROR(INDEX(样本到样信息汇总统计!N$2:N$500,MATCH(301,样本到样信息汇总统计!$Y$2:$Y$500,0)),"")</f>
        <v/>
      </c>
      <c r="O302" s="4" t="str">
        <f>IFERROR(INDEX(样本到样信息汇总统计!O$2:O$500,MATCH(301,样本到样信息汇总统计!$Y$2:$Y$500,0)),"")</f>
        <v/>
      </c>
      <c r="P302" s="4" t="str">
        <f>IFERROR(INDEX(样本到样信息汇总统计!P$2:P$500,MATCH(301,样本到样信息汇总统计!$Y$2:$Y$500,0)),"")</f>
        <v/>
      </c>
      <c r="Q302" s="4" t="str">
        <f>IFERROR(INDEX(样本到样信息汇总统计!Q$2:Q$500,MATCH(301,样本到样信息汇总统计!$Y$2:$Y$500,0)),"")</f>
        <v/>
      </c>
      <c r="R302" s="4" t="str">
        <f>IFERROR(INDEX(样本到样信息汇总统计!R$2:R$500,MATCH(301,样本到样信息汇总统计!$Y$2:$Y$500,0)),"")</f>
        <v/>
      </c>
      <c r="S302" s="4" t="str">
        <f>IFERROR(INDEX(样本到样信息汇总统计!S$2:S$500,MATCH(301,样本到样信息汇总统计!$Y$2:$Y$500,0)),"")</f>
        <v/>
      </c>
      <c r="T302" s="4" t="str">
        <f>IFERROR(INDEX(样本到样信息汇总统计!T$2:T$500,MATCH(301,样本到样信息汇总统计!$Y$2:$Y$500,0)),"")</f>
        <v/>
      </c>
      <c r="U302" s="4" t="str">
        <f>IFERROR(INDEX(样本到样信息汇总统计!U$2:U$500,MATCH(301,样本到样信息汇总统计!$Y$2:$Y$500,0)),"")</f>
        <v/>
      </c>
      <c r="V302" s="4" t="str">
        <f>IFERROR(INDEX(样本到样信息汇总统计!V$2:V$500,MATCH(301,样本到样信息汇总统计!$Y$2:$Y$500,0)),"")</f>
        <v/>
      </c>
      <c r="W302" s="4" t="str">
        <f>IFERROR(INDEX(样本到样信息汇总统计!W$2:W$500,MATCH(301,样本到样信息汇总统计!$Y$2:$Y$500,0)),"")</f>
        <v/>
      </c>
    </row>
    <row r="303" ht="14.5" spans="1:23">
      <c r="A303" s="8" t="str">
        <f>IFERROR(INDEX(样本到样信息汇总统计!A$2:A$500,MATCH(302,样本到样信息汇总统计!$Y$2:$Y$500,0)),"")</f>
        <v/>
      </c>
      <c r="B303" s="8" t="str">
        <f>IFERROR(INDEX(样本到样信息汇总统计!B$2:B$500,MATCH(302,样本到样信息汇总统计!$Y$2:$Y$500,0)),"")</f>
        <v/>
      </c>
      <c r="C303" s="8" t="str">
        <f>IFERROR(INDEX(样本到样信息汇总统计!C$2:C$500,MATCH(302,样本到样信息汇总统计!$Y$2:$Y$500,0)),"")</f>
        <v/>
      </c>
      <c r="D303" s="8" t="str">
        <f>IFERROR(INDEX(样本到样信息汇总统计!D$2:D$500,MATCH(302,样本到样信息汇总统计!$Y$2:$Y$500,0)),"")</f>
        <v/>
      </c>
      <c r="E303" s="8" t="str">
        <f>IFERROR(INDEX(样本到样信息汇总统计!E$2:E$500,MATCH(302,样本到样信息汇总统计!$Y$2:$Y$500,0)),"")</f>
        <v/>
      </c>
      <c r="F303" s="8" t="str">
        <f>IFERROR(INDEX(样本到样信息汇总统计!F$2:F$500,MATCH(302,样本到样信息汇总统计!$Y$2:$Y$500,0)),"")</f>
        <v/>
      </c>
      <c r="G303" s="8" t="str">
        <f>IFERROR(INDEX(样本到样信息汇总统计!G$2:G$500,MATCH(302,样本到样信息汇总统计!$Y$2:$Y$500,0)),"")</f>
        <v/>
      </c>
      <c r="H303" s="8" t="str">
        <f>IFERROR(INDEX(样本到样信息汇总统计!H$2:H$500,MATCH(302,样本到样信息汇总统计!$Y$2:$Y$500,0)),"")</f>
        <v/>
      </c>
      <c r="I303" s="8" t="str">
        <f>IFERROR(INDEX(样本到样信息汇总统计!I$2:I$500,MATCH(302,样本到样信息汇总统计!$Y$2:$Y$500,0)),"")</f>
        <v/>
      </c>
      <c r="J303" s="8" t="str">
        <f>IFERROR(INDEX(样本到样信息汇总统计!J$2:J$500,MATCH(302,样本到样信息汇总统计!$Y$2:$Y$500,0)),"")</f>
        <v/>
      </c>
      <c r="K303" s="8" t="str">
        <f>IFERROR(INDEX(样本到样信息汇总统计!K$2:K$500,MATCH(302,样本到样信息汇总统计!$Y$2:$Y$500,0)),"")</f>
        <v/>
      </c>
      <c r="L303" s="8" t="str">
        <f>IFERROR(INDEX(样本到样信息汇总统计!L$2:L$500,MATCH(302,样本到样信息汇总统计!$Y$2:$Y$500,0)),"")</f>
        <v/>
      </c>
      <c r="M303" s="8" t="str">
        <f>IFERROR(INDEX(样本到样信息汇总统计!M$2:M$500,MATCH(302,样本到样信息汇总统计!$Y$2:$Y$500,0)),"")</f>
        <v/>
      </c>
      <c r="N303" s="8" t="str">
        <f>IFERROR(INDEX(样本到样信息汇总统计!N$2:N$500,MATCH(302,样本到样信息汇总统计!$Y$2:$Y$500,0)),"")</f>
        <v/>
      </c>
      <c r="O303" s="8" t="str">
        <f>IFERROR(INDEX(样本到样信息汇总统计!O$2:O$500,MATCH(302,样本到样信息汇总统计!$Y$2:$Y$500,0)),"")</f>
        <v/>
      </c>
      <c r="P303" s="8" t="str">
        <f>IFERROR(INDEX(样本到样信息汇总统计!P$2:P$500,MATCH(302,样本到样信息汇总统计!$Y$2:$Y$500,0)),"")</f>
        <v/>
      </c>
      <c r="Q303" s="8" t="str">
        <f>IFERROR(INDEX(样本到样信息汇总统计!Q$2:Q$500,MATCH(302,样本到样信息汇总统计!$Y$2:$Y$500,0)),"")</f>
        <v/>
      </c>
      <c r="R303" s="8" t="str">
        <f>IFERROR(INDEX(样本到样信息汇总统计!R$2:R$500,MATCH(302,样本到样信息汇总统计!$Y$2:$Y$500,0)),"")</f>
        <v/>
      </c>
      <c r="S303" s="8" t="str">
        <f>IFERROR(INDEX(样本到样信息汇总统计!S$2:S$500,MATCH(302,样本到样信息汇总统计!$Y$2:$Y$500,0)),"")</f>
        <v/>
      </c>
      <c r="T303" s="8" t="str">
        <f>IFERROR(INDEX(样本到样信息汇总统计!T$2:T$500,MATCH(302,样本到样信息汇总统计!$Y$2:$Y$500,0)),"")</f>
        <v/>
      </c>
      <c r="U303" s="8" t="str">
        <f>IFERROR(INDEX(样本到样信息汇总统计!U$2:U$500,MATCH(302,样本到样信息汇总统计!$Y$2:$Y$500,0)),"")</f>
        <v/>
      </c>
      <c r="V303" s="8" t="str">
        <f>IFERROR(INDEX(样本到样信息汇总统计!V$2:V$500,MATCH(302,样本到样信息汇总统计!$Y$2:$Y$500,0)),"")</f>
        <v/>
      </c>
      <c r="W303" s="8" t="str">
        <f>IFERROR(INDEX(样本到样信息汇总统计!W$2:W$500,MATCH(302,样本到样信息汇总统计!$Y$2:$Y$500,0)),"")</f>
        <v/>
      </c>
    </row>
    <row r="304" ht="14.5" spans="1:23">
      <c r="A304" s="4" t="str">
        <f>IFERROR(INDEX(样本到样信息汇总统计!A$2:A$500,MATCH(303,样本到样信息汇总统计!$Y$2:$Y$500,0)),"")</f>
        <v/>
      </c>
      <c r="B304" s="4" t="str">
        <f>IFERROR(INDEX(样本到样信息汇总统计!B$2:B$500,MATCH(303,样本到样信息汇总统计!$Y$2:$Y$500,0)),"")</f>
        <v/>
      </c>
      <c r="C304" s="4" t="str">
        <f>IFERROR(INDEX(样本到样信息汇总统计!C$2:C$500,MATCH(303,样本到样信息汇总统计!$Y$2:$Y$500,0)),"")</f>
        <v/>
      </c>
      <c r="D304" s="4" t="str">
        <f>IFERROR(INDEX(样本到样信息汇总统计!D$2:D$500,MATCH(303,样本到样信息汇总统计!$Y$2:$Y$500,0)),"")</f>
        <v/>
      </c>
      <c r="E304" s="4" t="str">
        <f>IFERROR(INDEX(样本到样信息汇总统计!E$2:E$500,MATCH(303,样本到样信息汇总统计!$Y$2:$Y$500,0)),"")</f>
        <v/>
      </c>
      <c r="F304" s="4" t="str">
        <f>IFERROR(INDEX(样本到样信息汇总统计!F$2:F$500,MATCH(303,样本到样信息汇总统计!$Y$2:$Y$500,0)),"")</f>
        <v/>
      </c>
      <c r="G304" s="4" t="str">
        <f>IFERROR(INDEX(样本到样信息汇总统计!G$2:G$500,MATCH(303,样本到样信息汇总统计!$Y$2:$Y$500,0)),"")</f>
        <v/>
      </c>
      <c r="H304" s="4" t="str">
        <f>IFERROR(INDEX(样本到样信息汇总统计!H$2:H$500,MATCH(303,样本到样信息汇总统计!$Y$2:$Y$500,0)),"")</f>
        <v/>
      </c>
      <c r="I304" s="4" t="str">
        <f>IFERROR(INDEX(样本到样信息汇总统计!I$2:I$500,MATCH(303,样本到样信息汇总统计!$Y$2:$Y$500,0)),"")</f>
        <v/>
      </c>
      <c r="J304" s="4" t="str">
        <f>IFERROR(INDEX(样本到样信息汇总统计!J$2:J$500,MATCH(303,样本到样信息汇总统计!$Y$2:$Y$500,0)),"")</f>
        <v/>
      </c>
      <c r="K304" s="4" t="str">
        <f>IFERROR(INDEX(样本到样信息汇总统计!K$2:K$500,MATCH(303,样本到样信息汇总统计!$Y$2:$Y$500,0)),"")</f>
        <v/>
      </c>
      <c r="L304" s="4" t="str">
        <f>IFERROR(INDEX(样本到样信息汇总统计!L$2:L$500,MATCH(303,样本到样信息汇总统计!$Y$2:$Y$500,0)),"")</f>
        <v/>
      </c>
      <c r="M304" s="4" t="str">
        <f>IFERROR(INDEX(样本到样信息汇总统计!M$2:M$500,MATCH(303,样本到样信息汇总统计!$Y$2:$Y$500,0)),"")</f>
        <v/>
      </c>
      <c r="N304" s="4" t="str">
        <f>IFERROR(INDEX(样本到样信息汇总统计!N$2:N$500,MATCH(303,样本到样信息汇总统计!$Y$2:$Y$500,0)),"")</f>
        <v/>
      </c>
      <c r="O304" s="4" t="str">
        <f>IFERROR(INDEX(样本到样信息汇总统计!O$2:O$500,MATCH(303,样本到样信息汇总统计!$Y$2:$Y$500,0)),"")</f>
        <v/>
      </c>
      <c r="P304" s="4" t="str">
        <f>IFERROR(INDEX(样本到样信息汇总统计!P$2:P$500,MATCH(303,样本到样信息汇总统计!$Y$2:$Y$500,0)),"")</f>
        <v/>
      </c>
      <c r="Q304" s="4" t="str">
        <f>IFERROR(INDEX(样本到样信息汇总统计!Q$2:Q$500,MATCH(303,样本到样信息汇总统计!$Y$2:$Y$500,0)),"")</f>
        <v/>
      </c>
      <c r="R304" s="4" t="str">
        <f>IFERROR(INDEX(样本到样信息汇总统计!R$2:R$500,MATCH(303,样本到样信息汇总统计!$Y$2:$Y$500,0)),"")</f>
        <v/>
      </c>
      <c r="S304" s="4" t="str">
        <f>IFERROR(INDEX(样本到样信息汇总统计!S$2:S$500,MATCH(303,样本到样信息汇总统计!$Y$2:$Y$500,0)),"")</f>
        <v/>
      </c>
      <c r="T304" s="4" t="str">
        <f>IFERROR(INDEX(样本到样信息汇总统计!T$2:T$500,MATCH(303,样本到样信息汇总统计!$Y$2:$Y$500,0)),"")</f>
        <v/>
      </c>
      <c r="U304" s="4" t="str">
        <f>IFERROR(INDEX(样本到样信息汇总统计!U$2:U$500,MATCH(303,样本到样信息汇总统计!$Y$2:$Y$500,0)),"")</f>
        <v/>
      </c>
      <c r="V304" s="4" t="str">
        <f>IFERROR(INDEX(样本到样信息汇总统计!V$2:V$500,MATCH(303,样本到样信息汇总统计!$Y$2:$Y$500,0)),"")</f>
        <v/>
      </c>
      <c r="W304" s="4" t="str">
        <f>IFERROR(INDEX(样本到样信息汇总统计!W$2:W$500,MATCH(303,样本到样信息汇总统计!$Y$2:$Y$500,0)),"")</f>
        <v/>
      </c>
    </row>
    <row r="305" ht="14.5" spans="1:23">
      <c r="A305" s="8" t="str">
        <f>IFERROR(INDEX(样本到样信息汇总统计!A$2:A$500,MATCH(304,样本到样信息汇总统计!$Y$2:$Y$500,0)),"")</f>
        <v/>
      </c>
      <c r="B305" s="8" t="str">
        <f>IFERROR(INDEX(样本到样信息汇总统计!B$2:B$500,MATCH(304,样本到样信息汇总统计!$Y$2:$Y$500,0)),"")</f>
        <v/>
      </c>
      <c r="C305" s="8" t="str">
        <f>IFERROR(INDEX(样本到样信息汇总统计!C$2:C$500,MATCH(304,样本到样信息汇总统计!$Y$2:$Y$500,0)),"")</f>
        <v/>
      </c>
      <c r="D305" s="8" t="str">
        <f>IFERROR(INDEX(样本到样信息汇总统计!D$2:D$500,MATCH(304,样本到样信息汇总统计!$Y$2:$Y$500,0)),"")</f>
        <v/>
      </c>
      <c r="E305" s="8" t="str">
        <f>IFERROR(INDEX(样本到样信息汇总统计!E$2:E$500,MATCH(304,样本到样信息汇总统计!$Y$2:$Y$500,0)),"")</f>
        <v/>
      </c>
      <c r="F305" s="8" t="str">
        <f>IFERROR(INDEX(样本到样信息汇总统计!F$2:F$500,MATCH(304,样本到样信息汇总统计!$Y$2:$Y$500,0)),"")</f>
        <v/>
      </c>
      <c r="G305" s="8" t="str">
        <f>IFERROR(INDEX(样本到样信息汇总统计!G$2:G$500,MATCH(304,样本到样信息汇总统计!$Y$2:$Y$500,0)),"")</f>
        <v/>
      </c>
      <c r="H305" s="8" t="str">
        <f>IFERROR(INDEX(样本到样信息汇总统计!H$2:H$500,MATCH(304,样本到样信息汇总统计!$Y$2:$Y$500,0)),"")</f>
        <v/>
      </c>
      <c r="I305" s="8" t="str">
        <f>IFERROR(INDEX(样本到样信息汇总统计!I$2:I$500,MATCH(304,样本到样信息汇总统计!$Y$2:$Y$500,0)),"")</f>
        <v/>
      </c>
      <c r="J305" s="8" t="str">
        <f>IFERROR(INDEX(样本到样信息汇总统计!J$2:J$500,MATCH(304,样本到样信息汇总统计!$Y$2:$Y$500,0)),"")</f>
        <v/>
      </c>
      <c r="K305" s="8" t="str">
        <f>IFERROR(INDEX(样本到样信息汇总统计!K$2:K$500,MATCH(304,样本到样信息汇总统计!$Y$2:$Y$500,0)),"")</f>
        <v/>
      </c>
      <c r="L305" s="8" t="str">
        <f>IFERROR(INDEX(样本到样信息汇总统计!L$2:L$500,MATCH(304,样本到样信息汇总统计!$Y$2:$Y$500,0)),"")</f>
        <v/>
      </c>
      <c r="M305" s="8" t="str">
        <f>IFERROR(INDEX(样本到样信息汇总统计!M$2:M$500,MATCH(304,样本到样信息汇总统计!$Y$2:$Y$500,0)),"")</f>
        <v/>
      </c>
      <c r="N305" s="8" t="str">
        <f>IFERROR(INDEX(样本到样信息汇总统计!N$2:N$500,MATCH(304,样本到样信息汇总统计!$Y$2:$Y$500,0)),"")</f>
        <v/>
      </c>
      <c r="O305" s="8" t="str">
        <f>IFERROR(INDEX(样本到样信息汇总统计!O$2:O$500,MATCH(304,样本到样信息汇总统计!$Y$2:$Y$500,0)),"")</f>
        <v/>
      </c>
      <c r="P305" s="8" t="str">
        <f>IFERROR(INDEX(样本到样信息汇总统计!P$2:P$500,MATCH(304,样本到样信息汇总统计!$Y$2:$Y$500,0)),"")</f>
        <v/>
      </c>
      <c r="Q305" s="8" t="str">
        <f>IFERROR(INDEX(样本到样信息汇总统计!Q$2:Q$500,MATCH(304,样本到样信息汇总统计!$Y$2:$Y$500,0)),"")</f>
        <v/>
      </c>
      <c r="R305" s="8" t="str">
        <f>IFERROR(INDEX(样本到样信息汇总统计!R$2:R$500,MATCH(304,样本到样信息汇总统计!$Y$2:$Y$500,0)),"")</f>
        <v/>
      </c>
      <c r="S305" s="8" t="str">
        <f>IFERROR(INDEX(样本到样信息汇总统计!S$2:S$500,MATCH(304,样本到样信息汇总统计!$Y$2:$Y$500,0)),"")</f>
        <v/>
      </c>
      <c r="T305" s="8" t="str">
        <f>IFERROR(INDEX(样本到样信息汇总统计!T$2:T$500,MATCH(304,样本到样信息汇总统计!$Y$2:$Y$500,0)),"")</f>
        <v/>
      </c>
      <c r="U305" s="8" t="str">
        <f>IFERROR(INDEX(样本到样信息汇总统计!U$2:U$500,MATCH(304,样本到样信息汇总统计!$Y$2:$Y$500,0)),"")</f>
        <v/>
      </c>
      <c r="V305" s="8" t="str">
        <f>IFERROR(INDEX(样本到样信息汇总统计!V$2:V$500,MATCH(304,样本到样信息汇总统计!$Y$2:$Y$500,0)),"")</f>
        <v/>
      </c>
      <c r="W305" s="8" t="str">
        <f>IFERROR(INDEX(样本到样信息汇总统计!W$2:W$500,MATCH(304,样本到样信息汇总统计!$Y$2:$Y$500,0)),"")</f>
        <v/>
      </c>
    </row>
    <row r="306" ht="14.5" spans="1:23">
      <c r="A306" s="4" t="str">
        <f>IFERROR(INDEX(样本到样信息汇总统计!A$2:A$500,MATCH(305,样本到样信息汇总统计!$Y$2:$Y$500,0)),"")</f>
        <v/>
      </c>
      <c r="B306" s="4" t="str">
        <f>IFERROR(INDEX(样本到样信息汇总统计!B$2:B$500,MATCH(305,样本到样信息汇总统计!$Y$2:$Y$500,0)),"")</f>
        <v/>
      </c>
      <c r="C306" s="4" t="str">
        <f>IFERROR(INDEX(样本到样信息汇总统计!C$2:C$500,MATCH(305,样本到样信息汇总统计!$Y$2:$Y$500,0)),"")</f>
        <v/>
      </c>
      <c r="D306" s="4" t="str">
        <f>IFERROR(INDEX(样本到样信息汇总统计!D$2:D$500,MATCH(305,样本到样信息汇总统计!$Y$2:$Y$500,0)),"")</f>
        <v/>
      </c>
      <c r="E306" s="4" t="str">
        <f>IFERROR(INDEX(样本到样信息汇总统计!E$2:E$500,MATCH(305,样本到样信息汇总统计!$Y$2:$Y$500,0)),"")</f>
        <v/>
      </c>
      <c r="F306" s="4" t="str">
        <f>IFERROR(INDEX(样本到样信息汇总统计!F$2:F$500,MATCH(305,样本到样信息汇总统计!$Y$2:$Y$500,0)),"")</f>
        <v/>
      </c>
      <c r="G306" s="4" t="str">
        <f>IFERROR(INDEX(样本到样信息汇总统计!G$2:G$500,MATCH(305,样本到样信息汇总统计!$Y$2:$Y$500,0)),"")</f>
        <v/>
      </c>
      <c r="H306" s="4" t="str">
        <f>IFERROR(INDEX(样本到样信息汇总统计!H$2:H$500,MATCH(305,样本到样信息汇总统计!$Y$2:$Y$500,0)),"")</f>
        <v/>
      </c>
      <c r="I306" s="4" t="str">
        <f>IFERROR(INDEX(样本到样信息汇总统计!I$2:I$500,MATCH(305,样本到样信息汇总统计!$Y$2:$Y$500,0)),"")</f>
        <v/>
      </c>
      <c r="J306" s="4" t="str">
        <f>IFERROR(INDEX(样本到样信息汇总统计!J$2:J$500,MATCH(305,样本到样信息汇总统计!$Y$2:$Y$500,0)),"")</f>
        <v/>
      </c>
      <c r="K306" s="4" t="str">
        <f>IFERROR(INDEX(样本到样信息汇总统计!K$2:K$500,MATCH(305,样本到样信息汇总统计!$Y$2:$Y$500,0)),"")</f>
        <v/>
      </c>
      <c r="L306" s="4" t="str">
        <f>IFERROR(INDEX(样本到样信息汇总统计!L$2:L$500,MATCH(305,样本到样信息汇总统计!$Y$2:$Y$500,0)),"")</f>
        <v/>
      </c>
      <c r="M306" s="4" t="str">
        <f>IFERROR(INDEX(样本到样信息汇总统计!M$2:M$500,MATCH(305,样本到样信息汇总统计!$Y$2:$Y$500,0)),"")</f>
        <v/>
      </c>
      <c r="N306" s="4" t="str">
        <f>IFERROR(INDEX(样本到样信息汇总统计!N$2:N$500,MATCH(305,样本到样信息汇总统计!$Y$2:$Y$500,0)),"")</f>
        <v/>
      </c>
      <c r="O306" s="4" t="str">
        <f>IFERROR(INDEX(样本到样信息汇总统计!O$2:O$500,MATCH(305,样本到样信息汇总统计!$Y$2:$Y$500,0)),"")</f>
        <v/>
      </c>
      <c r="P306" s="4" t="str">
        <f>IFERROR(INDEX(样本到样信息汇总统计!P$2:P$500,MATCH(305,样本到样信息汇总统计!$Y$2:$Y$500,0)),"")</f>
        <v/>
      </c>
      <c r="Q306" s="4" t="str">
        <f>IFERROR(INDEX(样本到样信息汇总统计!Q$2:Q$500,MATCH(305,样本到样信息汇总统计!$Y$2:$Y$500,0)),"")</f>
        <v/>
      </c>
      <c r="R306" s="4" t="str">
        <f>IFERROR(INDEX(样本到样信息汇总统计!R$2:R$500,MATCH(305,样本到样信息汇总统计!$Y$2:$Y$500,0)),"")</f>
        <v/>
      </c>
      <c r="S306" s="4" t="str">
        <f>IFERROR(INDEX(样本到样信息汇总统计!S$2:S$500,MATCH(305,样本到样信息汇总统计!$Y$2:$Y$500,0)),"")</f>
        <v/>
      </c>
      <c r="T306" s="4" t="str">
        <f>IFERROR(INDEX(样本到样信息汇总统计!T$2:T$500,MATCH(305,样本到样信息汇总统计!$Y$2:$Y$500,0)),"")</f>
        <v/>
      </c>
      <c r="U306" s="4" t="str">
        <f>IFERROR(INDEX(样本到样信息汇总统计!U$2:U$500,MATCH(305,样本到样信息汇总统计!$Y$2:$Y$500,0)),"")</f>
        <v/>
      </c>
      <c r="V306" s="4" t="str">
        <f>IFERROR(INDEX(样本到样信息汇总统计!V$2:V$500,MATCH(305,样本到样信息汇总统计!$Y$2:$Y$500,0)),"")</f>
        <v/>
      </c>
      <c r="W306" s="4" t="str">
        <f>IFERROR(INDEX(样本到样信息汇总统计!W$2:W$500,MATCH(305,样本到样信息汇总统计!$Y$2:$Y$500,0)),"")</f>
        <v/>
      </c>
    </row>
    <row r="307" ht="14.5" spans="1:23">
      <c r="A307" s="8" t="str">
        <f>IFERROR(INDEX(样本到样信息汇总统计!A$2:A$500,MATCH(306,样本到样信息汇总统计!$Y$2:$Y$500,0)),"")</f>
        <v/>
      </c>
      <c r="B307" s="8" t="str">
        <f>IFERROR(INDEX(样本到样信息汇总统计!B$2:B$500,MATCH(306,样本到样信息汇总统计!$Y$2:$Y$500,0)),"")</f>
        <v/>
      </c>
      <c r="C307" s="8" t="str">
        <f>IFERROR(INDEX(样本到样信息汇总统计!C$2:C$500,MATCH(306,样本到样信息汇总统计!$Y$2:$Y$500,0)),"")</f>
        <v/>
      </c>
      <c r="D307" s="8" t="str">
        <f>IFERROR(INDEX(样本到样信息汇总统计!D$2:D$500,MATCH(306,样本到样信息汇总统计!$Y$2:$Y$500,0)),"")</f>
        <v/>
      </c>
      <c r="E307" s="8" t="str">
        <f>IFERROR(INDEX(样本到样信息汇总统计!E$2:E$500,MATCH(306,样本到样信息汇总统计!$Y$2:$Y$500,0)),"")</f>
        <v/>
      </c>
      <c r="F307" s="8" t="str">
        <f>IFERROR(INDEX(样本到样信息汇总统计!F$2:F$500,MATCH(306,样本到样信息汇总统计!$Y$2:$Y$500,0)),"")</f>
        <v/>
      </c>
      <c r="G307" s="8" t="str">
        <f>IFERROR(INDEX(样本到样信息汇总统计!G$2:G$500,MATCH(306,样本到样信息汇总统计!$Y$2:$Y$500,0)),"")</f>
        <v/>
      </c>
      <c r="H307" s="8" t="str">
        <f>IFERROR(INDEX(样本到样信息汇总统计!H$2:H$500,MATCH(306,样本到样信息汇总统计!$Y$2:$Y$500,0)),"")</f>
        <v/>
      </c>
      <c r="I307" s="8" t="str">
        <f>IFERROR(INDEX(样本到样信息汇总统计!I$2:I$500,MATCH(306,样本到样信息汇总统计!$Y$2:$Y$500,0)),"")</f>
        <v/>
      </c>
      <c r="J307" s="8" t="str">
        <f>IFERROR(INDEX(样本到样信息汇总统计!J$2:J$500,MATCH(306,样本到样信息汇总统计!$Y$2:$Y$500,0)),"")</f>
        <v/>
      </c>
      <c r="K307" s="8" t="str">
        <f>IFERROR(INDEX(样本到样信息汇总统计!K$2:K$500,MATCH(306,样本到样信息汇总统计!$Y$2:$Y$500,0)),"")</f>
        <v/>
      </c>
      <c r="L307" s="8" t="str">
        <f>IFERROR(INDEX(样本到样信息汇总统计!L$2:L$500,MATCH(306,样本到样信息汇总统计!$Y$2:$Y$500,0)),"")</f>
        <v/>
      </c>
      <c r="M307" s="8" t="str">
        <f>IFERROR(INDEX(样本到样信息汇总统计!M$2:M$500,MATCH(306,样本到样信息汇总统计!$Y$2:$Y$500,0)),"")</f>
        <v/>
      </c>
      <c r="N307" s="8" t="str">
        <f>IFERROR(INDEX(样本到样信息汇总统计!N$2:N$500,MATCH(306,样本到样信息汇总统计!$Y$2:$Y$500,0)),"")</f>
        <v/>
      </c>
      <c r="O307" s="8" t="str">
        <f>IFERROR(INDEX(样本到样信息汇总统计!O$2:O$500,MATCH(306,样本到样信息汇总统计!$Y$2:$Y$500,0)),"")</f>
        <v/>
      </c>
      <c r="P307" s="8" t="str">
        <f>IFERROR(INDEX(样本到样信息汇总统计!P$2:P$500,MATCH(306,样本到样信息汇总统计!$Y$2:$Y$500,0)),"")</f>
        <v/>
      </c>
      <c r="Q307" s="8" t="str">
        <f>IFERROR(INDEX(样本到样信息汇总统计!Q$2:Q$500,MATCH(306,样本到样信息汇总统计!$Y$2:$Y$500,0)),"")</f>
        <v/>
      </c>
      <c r="R307" s="8" t="str">
        <f>IFERROR(INDEX(样本到样信息汇总统计!R$2:R$500,MATCH(306,样本到样信息汇总统计!$Y$2:$Y$500,0)),"")</f>
        <v/>
      </c>
      <c r="S307" s="8" t="str">
        <f>IFERROR(INDEX(样本到样信息汇总统计!S$2:S$500,MATCH(306,样本到样信息汇总统计!$Y$2:$Y$500,0)),"")</f>
        <v/>
      </c>
      <c r="T307" s="8" t="str">
        <f>IFERROR(INDEX(样本到样信息汇总统计!T$2:T$500,MATCH(306,样本到样信息汇总统计!$Y$2:$Y$500,0)),"")</f>
        <v/>
      </c>
      <c r="U307" s="8" t="str">
        <f>IFERROR(INDEX(样本到样信息汇总统计!U$2:U$500,MATCH(306,样本到样信息汇总统计!$Y$2:$Y$500,0)),"")</f>
        <v/>
      </c>
      <c r="V307" s="8" t="str">
        <f>IFERROR(INDEX(样本到样信息汇总统计!V$2:V$500,MATCH(306,样本到样信息汇总统计!$Y$2:$Y$500,0)),"")</f>
        <v/>
      </c>
      <c r="W307" s="8" t="str">
        <f>IFERROR(INDEX(样本到样信息汇总统计!W$2:W$500,MATCH(306,样本到样信息汇总统计!$Y$2:$Y$500,0)),"")</f>
        <v/>
      </c>
    </row>
    <row r="308" ht="14.5" spans="1:23">
      <c r="A308" s="4" t="str">
        <f>IFERROR(INDEX(样本到样信息汇总统计!A$2:A$500,MATCH(307,样本到样信息汇总统计!$Y$2:$Y$500,0)),"")</f>
        <v/>
      </c>
      <c r="B308" s="4" t="str">
        <f>IFERROR(INDEX(样本到样信息汇总统计!B$2:B$500,MATCH(307,样本到样信息汇总统计!$Y$2:$Y$500,0)),"")</f>
        <v/>
      </c>
      <c r="C308" s="4" t="str">
        <f>IFERROR(INDEX(样本到样信息汇总统计!C$2:C$500,MATCH(307,样本到样信息汇总统计!$Y$2:$Y$500,0)),"")</f>
        <v/>
      </c>
      <c r="D308" s="4" t="str">
        <f>IFERROR(INDEX(样本到样信息汇总统计!D$2:D$500,MATCH(307,样本到样信息汇总统计!$Y$2:$Y$500,0)),"")</f>
        <v/>
      </c>
      <c r="E308" s="4" t="str">
        <f>IFERROR(INDEX(样本到样信息汇总统计!E$2:E$500,MATCH(307,样本到样信息汇总统计!$Y$2:$Y$500,0)),"")</f>
        <v/>
      </c>
      <c r="F308" s="4" t="str">
        <f>IFERROR(INDEX(样本到样信息汇总统计!F$2:F$500,MATCH(307,样本到样信息汇总统计!$Y$2:$Y$500,0)),"")</f>
        <v/>
      </c>
      <c r="G308" s="4" t="str">
        <f>IFERROR(INDEX(样本到样信息汇总统计!G$2:G$500,MATCH(307,样本到样信息汇总统计!$Y$2:$Y$500,0)),"")</f>
        <v/>
      </c>
      <c r="H308" s="4" t="str">
        <f>IFERROR(INDEX(样本到样信息汇总统计!H$2:H$500,MATCH(307,样本到样信息汇总统计!$Y$2:$Y$500,0)),"")</f>
        <v/>
      </c>
      <c r="I308" s="4" t="str">
        <f>IFERROR(INDEX(样本到样信息汇总统计!I$2:I$500,MATCH(307,样本到样信息汇总统计!$Y$2:$Y$500,0)),"")</f>
        <v/>
      </c>
      <c r="J308" s="4" t="str">
        <f>IFERROR(INDEX(样本到样信息汇总统计!J$2:J$500,MATCH(307,样本到样信息汇总统计!$Y$2:$Y$500,0)),"")</f>
        <v/>
      </c>
      <c r="K308" s="4" t="str">
        <f>IFERROR(INDEX(样本到样信息汇总统计!K$2:K$500,MATCH(307,样本到样信息汇总统计!$Y$2:$Y$500,0)),"")</f>
        <v/>
      </c>
      <c r="L308" s="4" t="str">
        <f>IFERROR(INDEX(样本到样信息汇总统计!L$2:L$500,MATCH(307,样本到样信息汇总统计!$Y$2:$Y$500,0)),"")</f>
        <v/>
      </c>
      <c r="M308" s="4" t="str">
        <f>IFERROR(INDEX(样本到样信息汇总统计!M$2:M$500,MATCH(307,样本到样信息汇总统计!$Y$2:$Y$500,0)),"")</f>
        <v/>
      </c>
      <c r="N308" s="4" t="str">
        <f>IFERROR(INDEX(样本到样信息汇总统计!N$2:N$500,MATCH(307,样本到样信息汇总统计!$Y$2:$Y$500,0)),"")</f>
        <v/>
      </c>
      <c r="O308" s="4" t="str">
        <f>IFERROR(INDEX(样本到样信息汇总统计!O$2:O$500,MATCH(307,样本到样信息汇总统计!$Y$2:$Y$500,0)),"")</f>
        <v/>
      </c>
      <c r="P308" s="4" t="str">
        <f>IFERROR(INDEX(样本到样信息汇总统计!P$2:P$500,MATCH(307,样本到样信息汇总统计!$Y$2:$Y$500,0)),"")</f>
        <v/>
      </c>
      <c r="Q308" s="4" t="str">
        <f>IFERROR(INDEX(样本到样信息汇总统计!Q$2:Q$500,MATCH(307,样本到样信息汇总统计!$Y$2:$Y$500,0)),"")</f>
        <v/>
      </c>
      <c r="R308" s="4" t="str">
        <f>IFERROR(INDEX(样本到样信息汇总统计!R$2:R$500,MATCH(307,样本到样信息汇总统计!$Y$2:$Y$500,0)),"")</f>
        <v/>
      </c>
      <c r="S308" s="4" t="str">
        <f>IFERROR(INDEX(样本到样信息汇总统计!S$2:S$500,MATCH(307,样本到样信息汇总统计!$Y$2:$Y$500,0)),"")</f>
        <v/>
      </c>
      <c r="T308" s="4" t="str">
        <f>IFERROR(INDEX(样本到样信息汇总统计!T$2:T$500,MATCH(307,样本到样信息汇总统计!$Y$2:$Y$500,0)),"")</f>
        <v/>
      </c>
      <c r="U308" s="4" t="str">
        <f>IFERROR(INDEX(样本到样信息汇总统计!U$2:U$500,MATCH(307,样本到样信息汇总统计!$Y$2:$Y$500,0)),"")</f>
        <v/>
      </c>
      <c r="V308" s="4" t="str">
        <f>IFERROR(INDEX(样本到样信息汇总统计!V$2:V$500,MATCH(307,样本到样信息汇总统计!$Y$2:$Y$500,0)),"")</f>
        <v/>
      </c>
      <c r="W308" s="4" t="str">
        <f>IFERROR(INDEX(样本到样信息汇总统计!W$2:W$500,MATCH(307,样本到样信息汇总统计!$Y$2:$Y$500,0)),"")</f>
        <v/>
      </c>
    </row>
    <row r="309" ht="14.5" spans="1:23">
      <c r="A309" s="8" t="str">
        <f>IFERROR(INDEX(样本到样信息汇总统计!A$2:A$500,MATCH(308,样本到样信息汇总统计!$Y$2:$Y$500,0)),"")</f>
        <v/>
      </c>
      <c r="B309" s="8" t="str">
        <f>IFERROR(INDEX(样本到样信息汇总统计!B$2:B$500,MATCH(308,样本到样信息汇总统计!$Y$2:$Y$500,0)),"")</f>
        <v/>
      </c>
      <c r="C309" s="8" t="str">
        <f>IFERROR(INDEX(样本到样信息汇总统计!C$2:C$500,MATCH(308,样本到样信息汇总统计!$Y$2:$Y$500,0)),"")</f>
        <v/>
      </c>
      <c r="D309" s="8" t="str">
        <f>IFERROR(INDEX(样本到样信息汇总统计!D$2:D$500,MATCH(308,样本到样信息汇总统计!$Y$2:$Y$500,0)),"")</f>
        <v/>
      </c>
      <c r="E309" s="8" t="str">
        <f>IFERROR(INDEX(样本到样信息汇总统计!E$2:E$500,MATCH(308,样本到样信息汇总统计!$Y$2:$Y$500,0)),"")</f>
        <v/>
      </c>
      <c r="F309" s="8" t="str">
        <f>IFERROR(INDEX(样本到样信息汇总统计!F$2:F$500,MATCH(308,样本到样信息汇总统计!$Y$2:$Y$500,0)),"")</f>
        <v/>
      </c>
      <c r="G309" s="8" t="str">
        <f>IFERROR(INDEX(样本到样信息汇总统计!G$2:G$500,MATCH(308,样本到样信息汇总统计!$Y$2:$Y$500,0)),"")</f>
        <v/>
      </c>
      <c r="H309" s="8" t="str">
        <f>IFERROR(INDEX(样本到样信息汇总统计!H$2:H$500,MATCH(308,样本到样信息汇总统计!$Y$2:$Y$500,0)),"")</f>
        <v/>
      </c>
      <c r="I309" s="8" t="str">
        <f>IFERROR(INDEX(样本到样信息汇总统计!I$2:I$500,MATCH(308,样本到样信息汇总统计!$Y$2:$Y$500,0)),"")</f>
        <v/>
      </c>
      <c r="J309" s="8" t="str">
        <f>IFERROR(INDEX(样本到样信息汇总统计!J$2:J$500,MATCH(308,样本到样信息汇总统计!$Y$2:$Y$500,0)),"")</f>
        <v/>
      </c>
      <c r="K309" s="8" t="str">
        <f>IFERROR(INDEX(样本到样信息汇总统计!K$2:K$500,MATCH(308,样本到样信息汇总统计!$Y$2:$Y$500,0)),"")</f>
        <v/>
      </c>
      <c r="L309" s="8" t="str">
        <f>IFERROR(INDEX(样本到样信息汇总统计!L$2:L$500,MATCH(308,样本到样信息汇总统计!$Y$2:$Y$500,0)),"")</f>
        <v/>
      </c>
      <c r="M309" s="8" t="str">
        <f>IFERROR(INDEX(样本到样信息汇总统计!M$2:M$500,MATCH(308,样本到样信息汇总统计!$Y$2:$Y$500,0)),"")</f>
        <v/>
      </c>
      <c r="N309" s="8" t="str">
        <f>IFERROR(INDEX(样本到样信息汇总统计!N$2:N$500,MATCH(308,样本到样信息汇总统计!$Y$2:$Y$500,0)),"")</f>
        <v/>
      </c>
      <c r="O309" s="8" t="str">
        <f>IFERROR(INDEX(样本到样信息汇总统计!O$2:O$500,MATCH(308,样本到样信息汇总统计!$Y$2:$Y$500,0)),"")</f>
        <v/>
      </c>
      <c r="P309" s="8" t="str">
        <f>IFERROR(INDEX(样本到样信息汇总统计!P$2:P$500,MATCH(308,样本到样信息汇总统计!$Y$2:$Y$500,0)),"")</f>
        <v/>
      </c>
      <c r="Q309" s="8" t="str">
        <f>IFERROR(INDEX(样本到样信息汇总统计!Q$2:Q$500,MATCH(308,样本到样信息汇总统计!$Y$2:$Y$500,0)),"")</f>
        <v/>
      </c>
      <c r="R309" s="8" t="str">
        <f>IFERROR(INDEX(样本到样信息汇总统计!R$2:R$500,MATCH(308,样本到样信息汇总统计!$Y$2:$Y$500,0)),"")</f>
        <v/>
      </c>
      <c r="S309" s="8" t="str">
        <f>IFERROR(INDEX(样本到样信息汇总统计!S$2:S$500,MATCH(308,样本到样信息汇总统计!$Y$2:$Y$500,0)),"")</f>
        <v/>
      </c>
      <c r="T309" s="8" t="str">
        <f>IFERROR(INDEX(样本到样信息汇总统计!T$2:T$500,MATCH(308,样本到样信息汇总统计!$Y$2:$Y$500,0)),"")</f>
        <v/>
      </c>
      <c r="U309" s="8" t="str">
        <f>IFERROR(INDEX(样本到样信息汇总统计!U$2:U$500,MATCH(308,样本到样信息汇总统计!$Y$2:$Y$500,0)),"")</f>
        <v/>
      </c>
      <c r="V309" s="8" t="str">
        <f>IFERROR(INDEX(样本到样信息汇总统计!V$2:V$500,MATCH(308,样本到样信息汇总统计!$Y$2:$Y$500,0)),"")</f>
        <v/>
      </c>
      <c r="W309" s="8" t="str">
        <f>IFERROR(INDEX(样本到样信息汇总统计!W$2:W$500,MATCH(308,样本到样信息汇总统计!$Y$2:$Y$500,0)),"")</f>
        <v/>
      </c>
    </row>
    <row r="310" ht="14.5" spans="1:23">
      <c r="A310" s="4" t="str">
        <f>IFERROR(INDEX(样本到样信息汇总统计!A$2:A$500,MATCH(309,样本到样信息汇总统计!$Y$2:$Y$500,0)),"")</f>
        <v/>
      </c>
      <c r="B310" s="4" t="str">
        <f>IFERROR(INDEX(样本到样信息汇总统计!B$2:B$500,MATCH(309,样本到样信息汇总统计!$Y$2:$Y$500,0)),"")</f>
        <v/>
      </c>
      <c r="C310" s="4" t="str">
        <f>IFERROR(INDEX(样本到样信息汇总统计!C$2:C$500,MATCH(309,样本到样信息汇总统计!$Y$2:$Y$500,0)),"")</f>
        <v/>
      </c>
      <c r="D310" s="4" t="str">
        <f>IFERROR(INDEX(样本到样信息汇总统计!D$2:D$500,MATCH(309,样本到样信息汇总统计!$Y$2:$Y$500,0)),"")</f>
        <v/>
      </c>
      <c r="E310" s="4" t="str">
        <f>IFERROR(INDEX(样本到样信息汇总统计!E$2:E$500,MATCH(309,样本到样信息汇总统计!$Y$2:$Y$500,0)),"")</f>
        <v/>
      </c>
      <c r="F310" s="4" t="str">
        <f>IFERROR(INDEX(样本到样信息汇总统计!F$2:F$500,MATCH(309,样本到样信息汇总统计!$Y$2:$Y$500,0)),"")</f>
        <v/>
      </c>
      <c r="G310" s="4" t="str">
        <f>IFERROR(INDEX(样本到样信息汇总统计!G$2:G$500,MATCH(309,样本到样信息汇总统计!$Y$2:$Y$500,0)),"")</f>
        <v/>
      </c>
      <c r="H310" s="4" t="str">
        <f>IFERROR(INDEX(样本到样信息汇总统计!H$2:H$500,MATCH(309,样本到样信息汇总统计!$Y$2:$Y$500,0)),"")</f>
        <v/>
      </c>
      <c r="I310" s="4" t="str">
        <f>IFERROR(INDEX(样本到样信息汇总统计!I$2:I$500,MATCH(309,样本到样信息汇总统计!$Y$2:$Y$500,0)),"")</f>
        <v/>
      </c>
      <c r="J310" s="4" t="str">
        <f>IFERROR(INDEX(样本到样信息汇总统计!J$2:J$500,MATCH(309,样本到样信息汇总统计!$Y$2:$Y$500,0)),"")</f>
        <v/>
      </c>
      <c r="K310" s="4" t="str">
        <f>IFERROR(INDEX(样本到样信息汇总统计!K$2:K$500,MATCH(309,样本到样信息汇总统计!$Y$2:$Y$500,0)),"")</f>
        <v/>
      </c>
      <c r="L310" s="4" t="str">
        <f>IFERROR(INDEX(样本到样信息汇总统计!L$2:L$500,MATCH(309,样本到样信息汇总统计!$Y$2:$Y$500,0)),"")</f>
        <v/>
      </c>
      <c r="M310" s="4" t="str">
        <f>IFERROR(INDEX(样本到样信息汇总统计!M$2:M$500,MATCH(309,样本到样信息汇总统计!$Y$2:$Y$500,0)),"")</f>
        <v/>
      </c>
      <c r="N310" s="4" t="str">
        <f>IFERROR(INDEX(样本到样信息汇总统计!N$2:N$500,MATCH(309,样本到样信息汇总统计!$Y$2:$Y$500,0)),"")</f>
        <v/>
      </c>
      <c r="O310" s="4" t="str">
        <f>IFERROR(INDEX(样本到样信息汇总统计!O$2:O$500,MATCH(309,样本到样信息汇总统计!$Y$2:$Y$500,0)),"")</f>
        <v/>
      </c>
      <c r="P310" s="4" t="str">
        <f>IFERROR(INDEX(样本到样信息汇总统计!P$2:P$500,MATCH(309,样本到样信息汇总统计!$Y$2:$Y$500,0)),"")</f>
        <v/>
      </c>
      <c r="Q310" s="4" t="str">
        <f>IFERROR(INDEX(样本到样信息汇总统计!Q$2:Q$500,MATCH(309,样本到样信息汇总统计!$Y$2:$Y$500,0)),"")</f>
        <v/>
      </c>
      <c r="R310" s="4" t="str">
        <f>IFERROR(INDEX(样本到样信息汇总统计!R$2:R$500,MATCH(309,样本到样信息汇总统计!$Y$2:$Y$500,0)),"")</f>
        <v/>
      </c>
      <c r="S310" s="4" t="str">
        <f>IFERROR(INDEX(样本到样信息汇总统计!S$2:S$500,MATCH(309,样本到样信息汇总统计!$Y$2:$Y$500,0)),"")</f>
        <v/>
      </c>
      <c r="T310" s="4" t="str">
        <f>IFERROR(INDEX(样本到样信息汇总统计!T$2:T$500,MATCH(309,样本到样信息汇总统计!$Y$2:$Y$500,0)),"")</f>
        <v/>
      </c>
      <c r="U310" s="4" t="str">
        <f>IFERROR(INDEX(样本到样信息汇总统计!U$2:U$500,MATCH(309,样本到样信息汇总统计!$Y$2:$Y$500,0)),"")</f>
        <v/>
      </c>
      <c r="V310" s="4" t="str">
        <f>IFERROR(INDEX(样本到样信息汇总统计!V$2:V$500,MATCH(309,样本到样信息汇总统计!$Y$2:$Y$500,0)),"")</f>
        <v/>
      </c>
      <c r="W310" s="4" t="str">
        <f>IFERROR(INDEX(样本到样信息汇总统计!W$2:W$500,MATCH(309,样本到样信息汇总统计!$Y$2:$Y$500,0)),"")</f>
        <v/>
      </c>
    </row>
    <row r="311" ht="14.5" spans="1:23">
      <c r="A311" s="8" t="str">
        <f>IFERROR(INDEX(样本到样信息汇总统计!A$2:A$500,MATCH(310,样本到样信息汇总统计!$Y$2:$Y$500,0)),"")</f>
        <v/>
      </c>
      <c r="B311" s="8" t="str">
        <f>IFERROR(INDEX(样本到样信息汇总统计!B$2:B$500,MATCH(310,样本到样信息汇总统计!$Y$2:$Y$500,0)),"")</f>
        <v/>
      </c>
      <c r="C311" s="8" t="str">
        <f>IFERROR(INDEX(样本到样信息汇总统计!C$2:C$500,MATCH(310,样本到样信息汇总统计!$Y$2:$Y$500,0)),"")</f>
        <v/>
      </c>
      <c r="D311" s="8" t="str">
        <f>IFERROR(INDEX(样本到样信息汇总统计!D$2:D$500,MATCH(310,样本到样信息汇总统计!$Y$2:$Y$500,0)),"")</f>
        <v/>
      </c>
      <c r="E311" s="8" t="str">
        <f>IFERROR(INDEX(样本到样信息汇总统计!E$2:E$500,MATCH(310,样本到样信息汇总统计!$Y$2:$Y$500,0)),"")</f>
        <v/>
      </c>
      <c r="F311" s="8" t="str">
        <f>IFERROR(INDEX(样本到样信息汇总统计!F$2:F$500,MATCH(310,样本到样信息汇总统计!$Y$2:$Y$500,0)),"")</f>
        <v/>
      </c>
      <c r="G311" s="8" t="str">
        <f>IFERROR(INDEX(样本到样信息汇总统计!G$2:G$500,MATCH(310,样本到样信息汇总统计!$Y$2:$Y$500,0)),"")</f>
        <v/>
      </c>
      <c r="H311" s="8" t="str">
        <f>IFERROR(INDEX(样本到样信息汇总统计!H$2:H$500,MATCH(310,样本到样信息汇总统计!$Y$2:$Y$500,0)),"")</f>
        <v/>
      </c>
      <c r="I311" s="8" t="str">
        <f>IFERROR(INDEX(样本到样信息汇总统计!I$2:I$500,MATCH(310,样本到样信息汇总统计!$Y$2:$Y$500,0)),"")</f>
        <v/>
      </c>
      <c r="J311" s="8" t="str">
        <f>IFERROR(INDEX(样本到样信息汇总统计!J$2:J$500,MATCH(310,样本到样信息汇总统计!$Y$2:$Y$500,0)),"")</f>
        <v/>
      </c>
      <c r="K311" s="8" t="str">
        <f>IFERROR(INDEX(样本到样信息汇总统计!K$2:K$500,MATCH(310,样本到样信息汇总统计!$Y$2:$Y$500,0)),"")</f>
        <v/>
      </c>
      <c r="L311" s="8" t="str">
        <f>IFERROR(INDEX(样本到样信息汇总统计!L$2:L$500,MATCH(310,样本到样信息汇总统计!$Y$2:$Y$500,0)),"")</f>
        <v/>
      </c>
      <c r="M311" s="8" t="str">
        <f>IFERROR(INDEX(样本到样信息汇总统计!M$2:M$500,MATCH(310,样本到样信息汇总统计!$Y$2:$Y$500,0)),"")</f>
        <v/>
      </c>
      <c r="N311" s="8" t="str">
        <f>IFERROR(INDEX(样本到样信息汇总统计!N$2:N$500,MATCH(310,样本到样信息汇总统计!$Y$2:$Y$500,0)),"")</f>
        <v/>
      </c>
      <c r="O311" s="8" t="str">
        <f>IFERROR(INDEX(样本到样信息汇总统计!O$2:O$500,MATCH(310,样本到样信息汇总统计!$Y$2:$Y$500,0)),"")</f>
        <v/>
      </c>
      <c r="P311" s="8" t="str">
        <f>IFERROR(INDEX(样本到样信息汇总统计!P$2:P$500,MATCH(310,样本到样信息汇总统计!$Y$2:$Y$500,0)),"")</f>
        <v/>
      </c>
      <c r="Q311" s="8" t="str">
        <f>IFERROR(INDEX(样本到样信息汇总统计!Q$2:Q$500,MATCH(310,样本到样信息汇总统计!$Y$2:$Y$500,0)),"")</f>
        <v/>
      </c>
      <c r="R311" s="8" t="str">
        <f>IFERROR(INDEX(样本到样信息汇总统计!R$2:R$500,MATCH(310,样本到样信息汇总统计!$Y$2:$Y$500,0)),"")</f>
        <v/>
      </c>
      <c r="S311" s="8" t="str">
        <f>IFERROR(INDEX(样本到样信息汇总统计!S$2:S$500,MATCH(310,样本到样信息汇总统计!$Y$2:$Y$500,0)),"")</f>
        <v/>
      </c>
      <c r="T311" s="8" t="str">
        <f>IFERROR(INDEX(样本到样信息汇总统计!T$2:T$500,MATCH(310,样本到样信息汇总统计!$Y$2:$Y$500,0)),"")</f>
        <v/>
      </c>
      <c r="U311" s="8" t="str">
        <f>IFERROR(INDEX(样本到样信息汇总统计!U$2:U$500,MATCH(310,样本到样信息汇总统计!$Y$2:$Y$500,0)),"")</f>
        <v/>
      </c>
      <c r="V311" s="8" t="str">
        <f>IFERROR(INDEX(样本到样信息汇总统计!V$2:V$500,MATCH(310,样本到样信息汇总统计!$Y$2:$Y$500,0)),"")</f>
        <v/>
      </c>
      <c r="W311" s="8" t="str">
        <f>IFERROR(INDEX(样本到样信息汇总统计!W$2:W$500,MATCH(310,样本到样信息汇总统计!$Y$2:$Y$500,0)),"")</f>
        <v/>
      </c>
    </row>
    <row r="312" ht="14.5" spans="1:23">
      <c r="A312" s="4" t="str">
        <f>IFERROR(INDEX(样本到样信息汇总统计!A$2:A$500,MATCH(311,样本到样信息汇总统计!$Y$2:$Y$500,0)),"")</f>
        <v/>
      </c>
      <c r="B312" s="4" t="str">
        <f>IFERROR(INDEX(样本到样信息汇总统计!B$2:B$500,MATCH(311,样本到样信息汇总统计!$Y$2:$Y$500,0)),"")</f>
        <v/>
      </c>
      <c r="C312" s="4" t="str">
        <f>IFERROR(INDEX(样本到样信息汇总统计!C$2:C$500,MATCH(311,样本到样信息汇总统计!$Y$2:$Y$500,0)),"")</f>
        <v/>
      </c>
      <c r="D312" s="4" t="str">
        <f>IFERROR(INDEX(样本到样信息汇总统计!D$2:D$500,MATCH(311,样本到样信息汇总统计!$Y$2:$Y$500,0)),"")</f>
        <v/>
      </c>
      <c r="E312" s="4" t="str">
        <f>IFERROR(INDEX(样本到样信息汇总统计!E$2:E$500,MATCH(311,样本到样信息汇总统计!$Y$2:$Y$500,0)),"")</f>
        <v/>
      </c>
      <c r="F312" s="4" t="str">
        <f>IFERROR(INDEX(样本到样信息汇总统计!F$2:F$500,MATCH(311,样本到样信息汇总统计!$Y$2:$Y$500,0)),"")</f>
        <v/>
      </c>
      <c r="G312" s="4" t="str">
        <f>IFERROR(INDEX(样本到样信息汇总统计!G$2:G$500,MATCH(311,样本到样信息汇总统计!$Y$2:$Y$500,0)),"")</f>
        <v/>
      </c>
      <c r="H312" s="4" t="str">
        <f>IFERROR(INDEX(样本到样信息汇总统计!H$2:H$500,MATCH(311,样本到样信息汇总统计!$Y$2:$Y$500,0)),"")</f>
        <v/>
      </c>
      <c r="I312" s="4" t="str">
        <f>IFERROR(INDEX(样本到样信息汇总统计!I$2:I$500,MATCH(311,样本到样信息汇总统计!$Y$2:$Y$500,0)),"")</f>
        <v/>
      </c>
      <c r="J312" s="4" t="str">
        <f>IFERROR(INDEX(样本到样信息汇总统计!J$2:J$500,MATCH(311,样本到样信息汇总统计!$Y$2:$Y$500,0)),"")</f>
        <v/>
      </c>
      <c r="K312" s="4" t="str">
        <f>IFERROR(INDEX(样本到样信息汇总统计!K$2:K$500,MATCH(311,样本到样信息汇总统计!$Y$2:$Y$500,0)),"")</f>
        <v/>
      </c>
      <c r="L312" s="4" t="str">
        <f>IFERROR(INDEX(样本到样信息汇总统计!L$2:L$500,MATCH(311,样本到样信息汇总统计!$Y$2:$Y$500,0)),"")</f>
        <v/>
      </c>
      <c r="M312" s="4" t="str">
        <f>IFERROR(INDEX(样本到样信息汇总统计!M$2:M$500,MATCH(311,样本到样信息汇总统计!$Y$2:$Y$500,0)),"")</f>
        <v/>
      </c>
      <c r="N312" s="4" t="str">
        <f>IFERROR(INDEX(样本到样信息汇总统计!N$2:N$500,MATCH(311,样本到样信息汇总统计!$Y$2:$Y$500,0)),"")</f>
        <v/>
      </c>
      <c r="O312" s="4" t="str">
        <f>IFERROR(INDEX(样本到样信息汇总统计!O$2:O$500,MATCH(311,样本到样信息汇总统计!$Y$2:$Y$500,0)),"")</f>
        <v/>
      </c>
      <c r="P312" s="4" t="str">
        <f>IFERROR(INDEX(样本到样信息汇总统计!P$2:P$500,MATCH(311,样本到样信息汇总统计!$Y$2:$Y$500,0)),"")</f>
        <v/>
      </c>
      <c r="Q312" s="4" t="str">
        <f>IFERROR(INDEX(样本到样信息汇总统计!Q$2:Q$500,MATCH(311,样本到样信息汇总统计!$Y$2:$Y$500,0)),"")</f>
        <v/>
      </c>
      <c r="R312" s="4" t="str">
        <f>IFERROR(INDEX(样本到样信息汇总统计!R$2:R$500,MATCH(311,样本到样信息汇总统计!$Y$2:$Y$500,0)),"")</f>
        <v/>
      </c>
      <c r="S312" s="4" t="str">
        <f>IFERROR(INDEX(样本到样信息汇总统计!S$2:S$500,MATCH(311,样本到样信息汇总统计!$Y$2:$Y$500,0)),"")</f>
        <v/>
      </c>
      <c r="T312" s="4" t="str">
        <f>IFERROR(INDEX(样本到样信息汇总统计!T$2:T$500,MATCH(311,样本到样信息汇总统计!$Y$2:$Y$500,0)),"")</f>
        <v/>
      </c>
      <c r="U312" s="4" t="str">
        <f>IFERROR(INDEX(样本到样信息汇总统计!U$2:U$500,MATCH(311,样本到样信息汇总统计!$Y$2:$Y$500,0)),"")</f>
        <v/>
      </c>
      <c r="V312" s="4" t="str">
        <f>IFERROR(INDEX(样本到样信息汇总统计!V$2:V$500,MATCH(311,样本到样信息汇总统计!$Y$2:$Y$500,0)),"")</f>
        <v/>
      </c>
      <c r="W312" s="4" t="str">
        <f>IFERROR(INDEX(样本到样信息汇总统计!W$2:W$500,MATCH(311,样本到样信息汇总统计!$Y$2:$Y$500,0)),"")</f>
        <v/>
      </c>
    </row>
    <row r="313" ht="14.5" spans="1:23">
      <c r="A313" s="8" t="str">
        <f>IFERROR(INDEX(样本到样信息汇总统计!A$2:A$500,MATCH(312,样本到样信息汇总统计!$Y$2:$Y$500,0)),"")</f>
        <v/>
      </c>
      <c r="B313" s="8" t="str">
        <f>IFERROR(INDEX(样本到样信息汇总统计!B$2:B$500,MATCH(312,样本到样信息汇总统计!$Y$2:$Y$500,0)),"")</f>
        <v/>
      </c>
      <c r="C313" s="8" t="str">
        <f>IFERROR(INDEX(样本到样信息汇总统计!C$2:C$500,MATCH(312,样本到样信息汇总统计!$Y$2:$Y$500,0)),"")</f>
        <v/>
      </c>
      <c r="D313" s="8" t="str">
        <f>IFERROR(INDEX(样本到样信息汇总统计!D$2:D$500,MATCH(312,样本到样信息汇总统计!$Y$2:$Y$500,0)),"")</f>
        <v/>
      </c>
      <c r="E313" s="8" t="str">
        <f>IFERROR(INDEX(样本到样信息汇总统计!E$2:E$500,MATCH(312,样本到样信息汇总统计!$Y$2:$Y$500,0)),"")</f>
        <v/>
      </c>
      <c r="F313" s="8" t="str">
        <f>IFERROR(INDEX(样本到样信息汇总统计!F$2:F$500,MATCH(312,样本到样信息汇总统计!$Y$2:$Y$500,0)),"")</f>
        <v/>
      </c>
      <c r="G313" s="8" t="str">
        <f>IFERROR(INDEX(样本到样信息汇总统计!G$2:G$500,MATCH(312,样本到样信息汇总统计!$Y$2:$Y$500,0)),"")</f>
        <v/>
      </c>
      <c r="H313" s="8" t="str">
        <f>IFERROR(INDEX(样本到样信息汇总统计!H$2:H$500,MATCH(312,样本到样信息汇总统计!$Y$2:$Y$500,0)),"")</f>
        <v/>
      </c>
      <c r="I313" s="8" t="str">
        <f>IFERROR(INDEX(样本到样信息汇总统计!I$2:I$500,MATCH(312,样本到样信息汇总统计!$Y$2:$Y$500,0)),"")</f>
        <v/>
      </c>
      <c r="J313" s="8" t="str">
        <f>IFERROR(INDEX(样本到样信息汇总统计!J$2:J$500,MATCH(312,样本到样信息汇总统计!$Y$2:$Y$500,0)),"")</f>
        <v/>
      </c>
      <c r="K313" s="8" t="str">
        <f>IFERROR(INDEX(样本到样信息汇总统计!K$2:K$500,MATCH(312,样本到样信息汇总统计!$Y$2:$Y$500,0)),"")</f>
        <v/>
      </c>
      <c r="L313" s="8" t="str">
        <f>IFERROR(INDEX(样本到样信息汇总统计!L$2:L$500,MATCH(312,样本到样信息汇总统计!$Y$2:$Y$500,0)),"")</f>
        <v/>
      </c>
      <c r="M313" s="8" t="str">
        <f>IFERROR(INDEX(样本到样信息汇总统计!M$2:M$500,MATCH(312,样本到样信息汇总统计!$Y$2:$Y$500,0)),"")</f>
        <v/>
      </c>
      <c r="N313" s="8" t="str">
        <f>IFERROR(INDEX(样本到样信息汇总统计!N$2:N$500,MATCH(312,样本到样信息汇总统计!$Y$2:$Y$500,0)),"")</f>
        <v/>
      </c>
      <c r="O313" s="8" t="str">
        <f>IFERROR(INDEX(样本到样信息汇总统计!O$2:O$500,MATCH(312,样本到样信息汇总统计!$Y$2:$Y$500,0)),"")</f>
        <v/>
      </c>
      <c r="P313" s="8" t="str">
        <f>IFERROR(INDEX(样本到样信息汇总统计!P$2:P$500,MATCH(312,样本到样信息汇总统计!$Y$2:$Y$500,0)),"")</f>
        <v/>
      </c>
      <c r="Q313" s="8" t="str">
        <f>IFERROR(INDEX(样本到样信息汇总统计!Q$2:Q$500,MATCH(312,样本到样信息汇总统计!$Y$2:$Y$500,0)),"")</f>
        <v/>
      </c>
      <c r="R313" s="8" t="str">
        <f>IFERROR(INDEX(样本到样信息汇总统计!R$2:R$500,MATCH(312,样本到样信息汇总统计!$Y$2:$Y$500,0)),"")</f>
        <v/>
      </c>
      <c r="S313" s="8" t="str">
        <f>IFERROR(INDEX(样本到样信息汇总统计!S$2:S$500,MATCH(312,样本到样信息汇总统计!$Y$2:$Y$500,0)),"")</f>
        <v/>
      </c>
      <c r="T313" s="8" t="str">
        <f>IFERROR(INDEX(样本到样信息汇总统计!T$2:T$500,MATCH(312,样本到样信息汇总统计!$Y$2:$Y$500,0)),"")</f>
        <v/>
      </c>
      <c r="U313" s="8" t="str">
        <f>IFERROR(INDEX(样本到样信息汇总统计!U$2:U$500,MATCH(312,样本到样信息汇总统计!$Y$2:$Y$500,0)),"")</f>
        <v/>
      </c>
      <c r="V313" s="8" t="str">
        <f>IFERROR(INDEX(样本到样信息汇总统计!V$2:V$500,MATCH(312,样本到样信息汇总统计!$Y$2:$Y$500,0)),"")</f>
        <v/>
      </c>
      <c r="W313" s="8" t="str">
        <f>IFERROR(INDEX(样本到样信息汇总统计!W$2:W$500,MATCH(312,样本到样信息汇总统计!$Y$2:$Y$500,0)),"")</f>
        <v/>
      </c>
    </row>
    <row r="314" ht="14.5" spans="1:23">
      <c r="A314" s="4" t="str">
        <f>IFERROR(INDEX(样本到样信息汇总统计!A$2:A$500,MATCH(313,样本到样信息汇总统计!$Y$2:$Y$500,0)),"")</f>
        <v/>
      </c>
      <c r="B314" s="4" t="str">
        <f>IFERROR(INDEX(样本到样信息汇总统计!B$2:B$500,MATCH(313,样本到样信息汇总统计!$Y$2:$Y$500,0)),"")</f>
        <v/>
      </c>
      <c r="C314" s="4" t="str">
        <f>IFERROR(INDEX(样本到样信息汇总统计!C$2:C$500,MATCH(313,样本到样信息汇总统计!$Y$2:$Y$500,0)),"")</f>
        <v/>
      </c>
      <c r="D314" s="4" t="str">
        <f>IFERROR(INDEX(样本到样信息汇总统计!D$2:D$500,MATCH(313,样本到样信息汇总统计!$Y$2:$Y$500,0)),"")</f>
        <v/>
      </c>
      <c r="E314" s="4" t="str">
        <f>IFERROR(INDEX(样本到样信息汇总统计!E$2:E$500,MATCH(313,样本到样信息汇总统计!$Y$2:$Y$500,0)),"")</f>
        <v/>
      </c>
      <c r="F314" s="4" t="str">
        <f>IFERROR(INDEX(样本到样信息汇总统计!F$2:F$500,MATCH(313,样本到样信息汇总统计!$Y$2:$Y$500,0)),"")</f>
        <v/>
      </c>
      <c r="G314" s="4" t="str">
        <f>IFERROR(INDEX(样本到样信息汇总统计!G$2:G$500,MATCH(313,样本到样信息汇总统计!$Y$2:$Y$500,0)),"")</f>
        <v/>
      </c>
      <c r="H314" s="4" t="str">
        <f>IFERROR(INDEX(样本到样信息汇总统计!H$2:H$500,MATCH(313,样本到样信息汇总统计!$Y$2:$Y$500,0)),"")</f>
        <v/>
      </c>
      <c r="I314" s="4" t="str">
        <f>IFERROR(INDEX(样本到样信息汇总统计!I$2:I$500,MATCH(313,样本到样信息汇总统计!$Y$2:$Y$500,0)),"")</f>
        <v/>
      </c>
      <c r="J314" s="4" t="str">
        <f>IFERROR(INDEX(样本到样信息汇总统计!J$2:J$500,MATCH(313,样本到样信息汇总统计!$Y$2:$Y$500,0)),"")</f>
        <v/>
      </c>
      <c r="K314" s="4" t="str">
        <f>IFERROR(INDEX(样本到样信息汇总统计!K$2:K$500,MATCH(313,样本到样信息汇总统计!$Y$2:$Y$500,0)),"")</f>
        <v/>
      </c>
      <c r="L314" s="4" t="str">
        <f>IFERROR(INDEX(样本到样信息汇总统计!L$2:L$500,MATCH(313,样本到样信息汇总统计!$Y$2:$Y$500,0)),"")</f>
        <v/>
      </c>
      <c r="M314" s="4" t="str">
        <f>IFERROR(INDEX(样本到样信息汇总统计!M$2:M$500,MATCH(313,样本到样信息汇总统计!$Y$2:$Y$500,0)),"")</f>
        <v/>
      </c>
      <c r="N314" s="4" t="str">
        <f>IFERROR(INDEX(样本到样信息汇总统计!N$2:N$500,MATCH(313,样本到样信息汇总统计!$Y$2:$Y$500,0)),"")</f>
        <v/>
      </c>
      <c r="O314" s="4" t="str">
        <f>IFERROR(INDEX(样本到样信息汇总统计!O$2:O$500,MATCH(313,样本到样信息汇总统计!$Y$2:$Y$500,0)),"")</f>
        <v/>
      </c>
      <c r="P314" s="4" t="str">
        <f>IFERROR(INDEX(样本到样信息汇总统计!P$2:P$500,MATCH(313,样本到样信息汇总统计!$Y$2:$Y$500,0)),"")</f>
        <v/>
      </c>
      <c r="Q314" s="4" t="str">
        <f>IFERROR(INDEX(样本到样信息汇总统计!Q$2:Q$500,MATCH(313,样本到样信息汇总统计!$Y$2:$Y$500,0)),"")</f>
        <v/>
      </c>
      <c r="R314" s="4" t="str">
        <f>IFERROR(INDEX(样本到样信息汇总统计!R$2:R$500,MATCH(313,样本到样信息汇总统计!$Y$2:$Y$500,0)),"")</f>
        <v/>
      </c>
      <c r="S314" s="4" t="str">
        <f>IFERROR(INDEX(样本到样信息汇总统计!S$2:S$500,MATCH(313,样本到样信息汇总统计!$Y$2:$Y$500,0)),"")</f>
        <v/>
      </c>
      <c r="T314" s="4" t="str">
        <f>IFERROR(INDEX(样本到样信息汇总统计!T$2:T$500,MATCH(313,样本到样信息汇总统计!$Y$2:$Y$500,0)),"")</f>
        <v/>
      </c>
      <c r="U314" s="4" t="str">
        <f>IFERROR(INDEX(样本到样信息汇总统计!U$2:U$500,MATCH(313,样本到样信息汇总统计!$Y$2:$Y$500,0)),"")</f>
        <v/>
      </c>
      <c r="V314" s="4" t="str">
        <f>IFERROR(INDEX(样本到样信息汇总统计!V$2:V$500,MATCH(313,样本到样信息汇总统计!$Y$2:$Y$500,0)),"")</f>
        <v/>
      </c>
      <c r="W314" s="4" t="str">
        <f>IFERROR(INDEX(样本到样信息汇总统计!W$2:W$500,MATCH(313,样本到样信息汇总统计!$Y$2:$Y$500,0)),"")</f>
        <v/>
      </c>
    </row>
    <row r="315" ht="14.5" spans="1:23">
      <c r="A315" s="8" t="str">
        <f>IFERROR(INDEX(样本到样信息汇总统计!A$2:A$500,MATCH(314,样本到样信息汇总统计!$Y$2:$Y$500,0)),"")</f>
        <v/>
      </c>
      <c r="B315" s="8" t="str">
        <f>IFERROR(INDEX(样本到样信息汇总统计!B$2:B$500,MATCH(314,样本到样信息汇总统计!$Y$2:$Y$500,0)),"")</f>
        <v/>
      </c>
      <c r="C315" s="8" t="str">
        <f>IFERROR(INDEX(样本到样信息汇总统计!C$2:C$500,MATCH(314,样本到样信息汇总统计!$Y$2:$Y$500,0)),"")</f>
        <v/>
      </c>
      <c r="D315" s="8" t="str">
        <f>IFERROR(INDEX(样本到样信息汇总统计!D$2:D$500,MATCH(314,样本到样信息汇总统计!$Y$2:$Y$500,0)),"")</f>
        <v/>
      </c>
      <c r="E315" s="8" t="str">
        <f>IFERROR(INDEX(样本到样信息汇总统计!E$2:E$500,MATCH(314,样本到样信息汇总统计!$Y$2:$Y$500,0)),"")</f>
        <v/>
      </c>
      <c r="F315" s="8" t="str">
        <f>IFERROR(INDEX(样本到样信息汇总统计!F$2:F$500,MATCH(314,样本到样信息汇总统计!$Y$2:$Y$500,0)),"")</f>
        <v/>
      </c>
      <c r="G315" s="8" t="str">
        <f>IFERROR(INDEX(样本到样信息汇总统计!G$2:G$500,MATCH(314,样本到样信息汇总统计!$Y$2:$Y$500,0)),"")</f>
        <v/>
      </c>
      <c r="H315" s="8" t="str">
        <f>IFERROR(INDEX(样本到样信息汇总统计!H$2:H$500,MATCH(314,样本到样信息汇总统计!$Y$2:$Y$500,0)),"")</f>
        <v/>
      </c>
      <c r="I315" s="8" t="str">
        <f>IFERROR(INDEX(样本到样信息汇总统计!I$2:I$500,MATCH(314,样本到样信息汇总统计!$Y$2:$Y$500,0)),"")</f>
        <v/>
      </c>
      <c r="J315" s="8" t="str">
        <f>IFERROR(INDEX(样本到样信息汇总统计!J$2:J$500,MATCH(314,样本到样信息汇总统计!$Y$2:$Y$500,0)),"")</f>
        <v/>
      </c>
      <c r="K315" s="8" t="str">
        <f>IFERROR(INDEX(样本到样信息汇总统计!K$2:K$500,MATCH(314,样本到样信息汇总统计!$Y$2:$Y$500,0)),"")</f>
        <v/>
      </c>
      <c r="L315" s="8" t="str">
        <f>IFERROR(INDEX(样本到样信息汇总统计!L$2:L$500,MATCH(314,样本到样信息汇总统计!$Y$2:$Y$500,0)),"")</f>
        <v/>
      </c>
      <c r="M315" s="8" t="str">
        <f>IFERROR(INDEX(样本到样信息汇总统计!M$2:M$500,MATCH(314,样本到样信息汇总统计!$Y$2:$Y$500,0)),"")</f>
        <v/>
      </c>
      <c r="N315" s="8" t="str">
        <f>IFERROR(INDEX(样本到样信息汇总统计!N$2:N$500,MATCH(314,样本到样信息汇总统计!$Y$2:$Y$500,0)),"")</f>
        <v/>
      </c>
      <c r="O315" s="8" t="str">
        <f>IFERROR(INDEX(样本到样信息汇总统计!O$2:O$500,MATCH(314,样本到样信息汇总统计!$Y$2:$Y$500,0)),"")</f>
        <v/>
      </c>
      <c r="P315" s="8" t="str">
        <f>IFERROR(INDEX(样本到样信息汇总统计!P$2:P$500,MATCH(314,样本到样信息汇总统计!$Y$2:$Y$500,0)),"")</f>
        <v/>
      </c>
      <c r="Q315" s="8" t="str">
        <f>IFERROR(INDEX(样本到样信息汇总统计!Q$2:Q$500,MATCH(314,样本到样信息汇总统计!$Y$2:$Y$500,0)),"")</f>
        <v/>
      </c>
      <c r="R315" s="8" t="str">
        <f>IFERROR(INDEX(样本到样信息汇总统计!R$2:R$500,MATCH(314,样本到样信息汇总统计!$Y$2:$Y$500,0)),"")</f>
        <v/>
      </c>
      <c r="S315" s="8" t="str">
        <f>IFERROR(INDEX(样本到样信息汇总统计!S$2:S$500,MATCH(314,样本到样信息汇总统计!$Y$2:$Y$500,0)),"")</f>
        <v/>
      </c>
      <c r="T315" s="8" t="str">
        <f>IFERROR(INDEX(样本到样信息汇总统计!T$2:T$500,MATCH(314,样本到样信息汇总统计!$Y$2:$Y$500,0)),"")</f>
        <v/>
      </c>
      <c r="U315" s="8" t="str">
        <f>IFERROR(INDEX(样本到样信息汇总统计!U$2:U$500,MATCH(314,样本到样信息汇总统计!$Y$2:$Y$500,0)),"")</f>
        <v/>
      </c>
      <c r="V315" s="8" t="str">
        <f>IFERROR(INDEX(样本到样信息汇总统计!V$2:V$500,MATCH(314,样本到样信息汇总统计!$Y$2:$Y$500,0)),"")</f>
        <v/>
      </c>
      <c r="W315" s="8" t="str">
        <f>IFERROR(INDEX(样本到样信息汇总统计!W$2:W$500,MATCH(314,样本到样信息汇总统计!$Y$2:$Y$500,0)),"")</f>
        <v/>
      </c>
    </row>
    <row r="316" ht="14.5" spans="1:23">
      <c r="A316" s="4" t="str">
        <f>IFERROR(INDEX(样本到样信息汇总统计!A$2:A$500,MATCH(315,样本到样信息汇总统计!$Y$2:$Y$500,0)),"")</f>
        <v/>
      </c>
      <c r="B316" s="4" t="str">
        <f>IFERROR(INDEX(样本到样信息汇总统计!B$2:B$500,MATCH(315,样本到样信息汇总统计!$Y$2:$Y$500,0)),"")</f>
        <v/>
      </c>
      <c r="C316" s="4" t="str">
        <f>IFERROR(INDEX(样本到样信息汇总统计!C$2:C$500,MATCH(315,样本到样信息汇总统计!$Y$2:$Y$500,0)),"")</f>
        <v/>
      </c>
      <c r="D316" s="4" t="str">
        <f>IFERROR(INDEX(样本到样信息汇总统计!D$2:D$500,MATCH(315,样本到样信息汇总统计!$Y$2:$Y$500,0)),"")</f>
        <v/>
      </c>
      <c r="E316" s="4" t="str">
        <f>IFERROR(INDEX(样本到样信息汇总统计!E$2:E$500,MATCH(315,样本到样信息汇总统计!$Y$2:$Y$500,0)),"")</f>
        <v/>
      </c>
      <c r="F316" s="4" t="str">
        <f>IFERROR(INDEX(样本到样信息汇总统计!F$2:F$500,MATCH(315,样本到样信息汇总统计!$Y$2:$Y$500,0)),"")</f>
        <v/>
      </c>
      <c r="G316" s="4" t="str">
        <f>IFERROR(INDEX(样本到样信息汇总统计!G$2:G$500,MATCH(315,样本到样信息汇总统计!$Y$2:$Y$500,0)),"")</f>
        <v/>
      </c>
      <c r="H316" s="4" t="str">
        <f>IFERROR(INDEX(样本到样信息汇总统计!H$2:H$500,MATCH(315,样本到样信息汇总统计!$Y$2:$Y$500,0)),"")</f>
        <v/>
      </c>
      <c r="I316" s="4" t="str">
        <f>IFERROR(INDEX(样本到样信息汇总统计!I$2:I$500,MATCH(315,样本到样信息汇总统计!$Y$2:$Y$500,0)),"")</f>
        <v/>
      </c>
      <c r="J316" s="4" t="str">
        <f>IFERROR(INDEX(样本到样信息汇总统计!J$2:J$500,MATCH(315,样本到样信息汇总统计!$Y$2:$Y$500,0)),"")</f>
        <v/>
      </c>
      <c r="K316" s="4" t="str">
        <f>IFERROR(INDEX(样本到样信息汇总统计!K$2:K$500,MATCH(315,样本到样信息汇总统计!$Y$2:$Y$500,0)),"")</f>
        <v/>
      </c>
      <c r="L316" s="4" t="str">
        <f>IFERROR(INDEX(样本到样信息汇总统计!L$2:L$500,MATCH(315,样本到样信息汇总统计!$Y$2:$Y$500,0)),"")</f>
        <v/>
      </c>
      <c r="M316" s="4" t="str">
        <f>IFERROR(INDEX(样本到样信息汇总统计!M$2:M$500,MATCH(315,样本到样信息汇总统计!$Y$2:$Y$500,0)),"")</f>
        <v/>
      </c>
      <c r="N316" s="4" t="str">
        <f>IFERROR(INDEX(样本到样信息汇总统计!N$2:N$500,MATCH(315,样本到样信息汇总统计!$Y$2:$Y$500,0)),"")</f>
        <v/>
      </c>
      <c r="O316" s="4" t="str">
        <f>IFERROR(INDEX(样本到样信息汇总统计!O$2:O$500,MATCH(315,样本到样信息汇总统计!$Y$2:$Y$500,0)),"")</f>
        <v/>
      </c>
      <c r="P316" s="4" t="str">
        <f>IFERROR(INDEX(样本到样信息汇总统计!P$2:P$500,MATCH(315,样本到样信息汇总统计!$Y$2:$Y$500,0)),"")</f>
        <v/>
      </c>
      <c r="Q316" s="4" t="str">
        <f>IFERROR(INDEX(样本到样信息汇总统计!Q$2:Q$500,MATCH(315,样本到样信息汇总统计!$Y$2:$Y$500,0)),"")</f>
        <v/>
      </c>
      <c r="R316" s="4" t="str">
        <f>IFERROR(INDEX(样本到样信息汇总统计!R$2:R$500,MATCH(315,样本到样信息汇总统计!$Y$2:$Y$500,0)),"")</f>
        <v/>
      </c>
      <c r="S316" s="4" t="str">
        <f>IFERROR(INDEX(样本到样信息汇总统计!S$2:S$500,MATCH(315,样本到样信息汇总统计!$Y$2:$Y$500,0)),"")</f>
        <v/>
      </c>
      <c r="T316" s="4" t="str">
        <f>IFERROR(INDEX(样本到样信息汇总统计!T$2:T$500,MATCH(315,样本到样信息汇总统计!$Y$2:$Y$500,0)),"")</f>
        <v/>
      </c>
      <c r="U316" s="4" t="str">
        <f>IFERROR(INDEX(样本到样信息汇总统计!U$2:U$500,MATCH(315,样本到样信息汇总统计!$Y$2:$Y$500,0)),"")</f>
        <v/>
      </c>
      <c r="V316" s="4" t="str">
        <f>IFERROR(INDEX(样本到样信息汇总统计!V$2:V$500,MATCH(315,样本到样信息汇总统计!$Y$2:$Y$500,0)),"")</f>
        <v/>
      </c>
      <c r="W316" s="4" t="str">
        <f>IFERROR(INDEX(样本到样信息汇总统计!W$2:W$500,MATCH(315,样本到样信息汇总统计!$Y$2:$Y$500,0)),"")</f>
        <v/>
      </c>
    </row>
    <row r="317" ht="14.5" spans="1:23">
      <c r="A317" s="8" t="str">
        <f>IFERROR(INDEX(样本到样信息汇总统计!A$2:A$500,MATCH(316,样本到样信息汇总统计!$Y$2:$Y$500,0)),"")</f>
        <v/>
      </c>
      <c r="B317" s="8" t="str">
        <f>IFERROR(INDEX(样本到样信息汇总统计!B$2:B$500,MATCH(316,样本到样信息汇总统计!$Y$2:$Y$500,0)),"")</f>
        <v/>
      </c>
      <c r="C317" s="8" t="str">
        <f>IFERROR(INDEX(样本到样信息汇总统计!C$2:C$500,MATCH(316,样本到样信息汇总统计!$Y$2:$Y$500,0)),"")</f>
        <v/>
      </c>
      <c r="D317" s="8" t="str">
        <f>IFERROR(INDEX(样本到样信息汇总统计!D$2:D$500,MATCH(316,样本到样信息汇总统计!$Y$2:$Y$500,0)),"")</f>
        <v/>
      </c>
      <c r="E317" s="8" t="str">
        <f>IFERROR(INDEX(样本到样信息汇总统计!E$2:E$500,MATCH(316,样本到样信息汇总统计!$Y$2:$Y$500,0)),"")</f>
        <v/>
      </c>
      <c r="F317" s="8" t="str">
        <f>IFERROR(INDEX(样本到样信息汇总统计!F$2:F$500,MATCH(316,样本到样信息汇总统计!$Y$2:$Y$500,0)),"")</f>
        <v/>
      </c>
      <c r="G317" s="8" t="str">
        <f>IFERROR(INDEX(样本到样信息汇总统计!G$2:G$500,MATCH(316,样本到样信息汇总统计!$Y$2:$Y$500,0)),"")</f>
        <v/>
      </c>
      <c r="H317" s="8" t="str">
        <f>IFERROR(INDEX(样本到样信息汇总统计!H$2:H$500,MATCH(316,样本到样信息汇总统计!$Y$2:$Y$500,0)),"")</f>
        <v/>
      </c>
      <c r="I317" s="8" t="str">
        <f>IFERROR(INDEX(样本到样信息汇总统计!I$2:I$500,MATCH(316,样本到样信息汇总统计!$Y$2:$Y$500,0)),"")</f>
        <v/>
      </c>
      <c r="J317" s="8" t="str">
        <f>IFERROR(INDEX(样本到样信息汇总统计!J$2:J$500,MATCH(316,样本到样信息汇总统计!$Y$2:$Y$500,0)),"")</f>
        <v/>
      </c>
      <c r="K317" s="8" t="str">
        <f>IFERROR(INDEX(样本到样信息汇总统计!K$2:K$500,MATCH(316,样本到样信息汇总统计!$Y$2:$Y$500,0)),"")</f>
        <v/>
      </c>
      <c r="L317" s="8" t="str">
        <f>IFERROR(INDEX(样本到样信息汇总统计!L$2:L$500,MATCH(316,样本到样信息汇总统计!$Y$2:$Y$500,0)),"")</f>
        <v/>
      </c>
      <c r="M317" s="8" t="str">
        <f>IFERROR(INDEX(样本到样信息汇总统计!M$2:M$500,MATCH(316,样本到样信息汇总统计!$Y$2:$Y$500,0)),"")</f>
        <v/>
      </c>
      <c r="N317" s="8" t="str">
        <f>IFERROR(INDEX(样本到样信息汇总统计!N$2:N$500,MATCH(316,样本到样信息汇总统计!$Y$2:$Y$500,0)),"")</f>
        <v/>
      </c>
      <c r="O317" s="8" t="str">
        <f>IFERROR(INDEX(样本到样信息汇总统计!O$2:O$500,MATCH(316,样本到样信息汇总统计!$Y$2:$Y$500,0)),"")</f>
        <v/>
      </c>
      <c r="P317" s="8" t="str">
        <f>IFERROR(INDEX(样本到样信息汇总统计!P$2:P$500,MATCH(316,样本到样信息汇总统计!$Y$2:$Y$500,0)),"")</f>
        <v/>
      </c>
      <c r="Q317" s="8" t="str">
        <f>IFERROR(INDEX(样本到样信息汇总统计!Q$2:Q$500,MATCH(316,样本到样信息汇总统计!$Y$2:$Y$500,0)),"")</f>
        <v/>
      </c>
      <c r="R317" s="8" t="str">
        <f>IFERROR(INDEX(样本到样信息汇总统计!R$2:R$500,MATCH(316,样本到样信息汇总统计!$Y$2:$Y$500,0)),"")</f>
        <v/>
      </c>
      <c r="S317" s="8" t="str">
        <f>IFERROR(INDEX(样本到样信息汇总统计!S$2:S$500,MATCH(316,样本到样信息汇总统计!$Y$2:$Y$500,0)),"")</f>
        <v/>
      </c>
      <c r="T317" s="8" t="str">
        <f>IFERROR(INDEX(样本到样信息汇总统计!T$2:T$500,MATCH(316,样本到样信息汇总统计!$Y$2:$Y$500,0)),"")</f>
        <v/>
      </c>
      <c r="U317" s="8" t="str">
        <f>IFERROR(INDEX(样本到样信息汇总统计!U$2:U$500,MATCH(316,样本到样信息汇总统计!$Y$2:$Y$500,0)),"")</f>
        <v/>
      </c>
      <c r="V317" s="8" t="str">
        <f>IFERROR(INDEX(样本到样信息汇总统计!V$2:V$500,MATCH(316,样本到样信息汇总统计!$Y$2:$Y$500,0)),"")</f>
        <v/>
      </c>
      <c r="W317" s="8" t="str">
        <f>IFERROR(INDEX(样本到样信息汇总统计!W$2:W$500,MATCH(316,样本到样信息汇总统计!$Y$2:$Y$500,0)),"")</f>
        <v/>
      </c>
    </row>
    <row r="318" ht="14.5" spans="1:23">
      <c r="A318" s="4" t="str">
        <f>IFERROR(INDEX(样本到样信息汇总统计!A$2:A$500,MATCH(317,样本到样信息汇总统计!$Y$2:$Y$500,0)),"")</f>
        <v/>
      </c>
      <c r="B318" s="4" t="str">
        <f>IFERROR(INDEX(样本到样信息汇总统计!B$2:B$500,MATCH(317,样本到样信息汇总统计!$Y$2:$Y$500,0)),"")</f>
        <v/>
      </c>
      <c r="C318" s="4" t="str">
        <f>IFERROR(INDEX(样本到样信息汇总统计!C$2:C$500,MATCH(317,样本到样信息汇总统计!$Y$2:$Y$500,0)),"")</f>
        <v/>
      </c>
      <c r="D318" s="4" t="str">
        <f>IFERROR(INDEX(样本到样信息汇总统计!D$2:D$500,MATCH(317,样本到样信息汇总统计!$Y$2:$Y$500,0)),"")</f>
        <v/>
      </c>
      <c r="E318" s="4" t="str">
        <f>IFERROR(INDEX(样本到样信息汇总统计!E$2:E$500,MATCH(317,样本到样信息汇总统计!$Y$2:$Y$500,0)),"")</f>
        <v/>
      </c>
      <c r="F318" s="4" t="str">
        <f>IFERROR(INDEX(样本到样信息汇总统计!F$2:F$500,MATCH(317,样本到样信息汇总统计!$Y$2:$Y$500,0)),"")</f>
        <v/>
      </c>
      <c r="G318" s="4" t="str">
        <f>IFERROR(INDEX(样本到样信息汇总统计!G$2:G$500,MATCH(317,样本到样信息汇总统计!$Y$2:$Y$500,0)),"")</f>
        <v/>
      </c>
      <c r="H318" s="4" t="str">
        <f>IFERROR(INDEX(样本到样信息汇总统计!H$2:H$500,MATCH(317,样本到样信息汇总统计!$Y$2:$Y$500,0)),"")</f>
        <v/>
      </c>
      <c r="I318" s="4" t="str">
        <f>IFERROR(INDEX(样本到样信息汇总统计!I$2:I$500,MATCH(317,样本到样信息汇总统计!$Y$2:$Y$500,0)),"")</f>
        <v/>
      </c>
      <c r="J318" s="4" t="str">
        <f>IFERROR(INDEX(样本到样信息汇总统计!J$2:J$500,MATCH(317,样本到样信息汇总统计!$Y$2:$Y$500,0)),"")</f>
        <v/>
      </c>
      <c r="K318" s="4" t="str">
        <f>IFERROR(INDEX(样本到样信息汇总统计!K$2:K$500,MATCH(317,样本到样信息汇总统计!$Y$2:$Y$500,0)),"")</f>
        <v/>
      </c>
      <c r="L318" s="4" t="str">
        <f>IFERROR(INDEX(样本到样信息汇总统计!L$2:L$500,MATCH(317,样本到样信息汇总统计!$Y$2:$Y$500,0)),"")</f>
        <v/>
      </c>
      <c r="M318" s="4" t="str">
        <f>IFERROR(INDEX(样本到样信息汇总统计!M$2:M$500,MATCH(317,样本到样信息汇总统计!$Y$2:$Y$500,0)),"")</f>
        <v/>
      </c>
      <c r="N318" s="4" t="str">
        <f>IFERROR(INDEX(样本到样信息汇总统计!N$2:N$500,MATCH(317,样本到样信息汇总统计!$Y$2:$Y$500,0)),"")</f>
        <v/>
      </c>
      <c r="O318" s="4" t="str">
        <f>IFERROR(INDEX(样本到样信息汇总统计!O$2:O$500,MATCH(317,样本到样信息汇总统计!$Y$2:$Y$500,0)),"")</f>
        <v/>
      </c>
      <c r="P318" s="4" t="str">
        <f>IFERROR(INDEX(样本到样信息汇总统计!P$2:P$500,MATCH(317,样本到样信息汇总统计!$Y$2:$Y$500,0)),"")</f>
        <v/>
      </c>
      <c r="Q318" s="4" t="str">
        <f>IFERROR(INDEX(样本到样信息汇总统计!Q$2:Q$500,MATCH(317,样本到样信息汇总统计!$Y$2:$Y$500,0)),"")</f>
        <v/>
      </c>
      <c r="R318" s="4" t="str">
        <f>IFERROR(INDEX(样本到样信息汇总统计!R$2:R$500,MATCH(317,样本到样信息汇总统计!$Y$2:$Y$500,0)),"")</f>
        <v/>
      </c>
      <c r="S318" s="4" t="str">
        <f>IFERROR(INDEX(样本到样信息汇总统计!S$2:S$500,MATCH(317,样本到样信息汇总统计!$Y$2:$Y$500,0)),"")</f>
        <v/>
      </c>
      <c r="T318" s="4" t="str">
        <f>IFERROR(INDEX(样本到样信息汇总统计!T$2:T$500,MATCH(317,样本到样信息汇总统计!$Y$2:$Y$500,0)),"")</f>
        <v/>
      </c>
      <c r="U318" s="4" t="str">
        <f>IFERROR(INDEX(样本到样信息汇总统计!U$2:U$500,MATCH(317,样本到样信息汇总统计!$Y$2:$Y$500,0)),"")</f>
        <v/>
      </c>
      <c r="V318" s="4" t="str">
        <f>IFERROR(INDEX(样本到样信息汇总统计!V$2:V$500,MATCH(317,样本到样信息汇总统计!$Y$2:$Y$500,0)),"")</f>
        <v/>
      </c>
      <c r="W318" s="4" t="str">
        <f>IFERROR(INDEX(样本到样信息汇总统计!W$2:W$500,MATCH(317,样本到样信息汇总统计!$Y$2:$Y$500,0)),"")</f>
        <v/>
      </c>
    </row>
    <row r="319" ht="14.5" spans="1:23">
      <c r="A319" s="8" t="str">
        <f>IFERROR(INDEX(样本到样信息汇总统计!A$2:A$500,MATCH(318,样本到样信息汇总统计!$Y$2:$Y$500,0)),"")</f>
        <v/>
      </c>
      <c r="B319" s="8" t="str">
        <f>IFERROR(INDEX(样本到样信息汇总统计!B$2:B$500,MATCH(318,样本到样信息汇总统计!$Y$2:$Y$500,0)),"")</f>
        <v/>
      </c>
      <c r="C319" s="8" t="str">
        <f>IFERROR(INDEX(样本到样信息汇总统计!C$2:C$500,MATCH(318,样本到样信息汇总统计!$Y$2:$Y$500,0)),"")</f>
        <v/>
      </c>
      <c r="D319" s="8" t="str">
        <f>IFERROR(INDEX(样本到样信息汇总统计!D$2:D$500,MATCH(318,样本到样信息汇总统计!$Y$2:$Y$500,0)),"")</f>
        <v/>
      </c>
      <c r="E319" s="8" t="str">
        <f>IFERROR(INDEX(样本到样信息汇总统计!E$2:E$500,MATCH(318,样本到样信息汇总统计!$Y$2:$Y$500,0)),"")</f>
        <v/>
      </c>
      <c r="F319" s="8" t="str">
        <f>IFERROR(INDEX(样本到样信息汇总统计!F$2:F$500,MATCH(318,样本到样信息汇总统计!$Y$2:$Y$500,0)),"")</f>
        <v/>
      </c>
      <c r="G319" s="8" t="str">
        <f>IFERROR(INDEX(样本到样信息汇总统计!G$2:G$500,MATCH(318,样本到样信息汇总统计!$Y$2:$Y$500,0)),"")</f>
        <v/>
      </c>
      <c r="H319" s="8" t="str">
        <f>IFERROR(INDEX(样本到样信息汇总统计!H$2:H$500,MATCH(318,样本到样信息汇总统计!$Y$2:$Y$500,0)),"")</f>
        <v/>
      </c>
      <c r="I319" s="8" t="str">
        <f>IFERROR(INDEX(样本到样信息汇总统计!I$2:I$500,MATCH(318,样本到样信息汇总统计!$Y$2:$Y$500,0)),"")</f>
        <v/>
      </c>
      <c r="J319" s="8" t="str">
        <f>IFERROR(INDEX(样本到样信息汇总统计!J$2:J$500,MATCH(318,样本到样信息汇总统计!$Y$2:$Y$500,0)),"")</f>
        <v/>
      </c>
      <c r="K319" s="8" t="str">
        <f>IFERROR(INDEX(样本到样信息汇总统计!K$2:K$500,MATCH(318,样本到样信息汇总统计!$Y$2:$Y$500,0)),"")</f>
        <v/>
      </c>
      <c r="L319" s="8" t="str">
        <f>IFERROR(INDEX(样本到样信息汇总统计!L$2:L$500,MATCH(318,样本到样信息汇总统计!$Y$2:$Y$500,0)),"")</f>
        <v/>
      </c>
      <c r="M319" s="8" t="str">
        <f>IFERROR(INDEX(样本到样信息汇总统计!M$2:M$500,MATCH(318,样本到样信息汇总统计!$Y$2:$Y$500,0)),"")</f>
        <v/>
      </c>
      <c r="N319" s="8" t="str">
        <f>IFERROR(INDEX(样本到样信息汇总统计!N$2:N$500,MATCH(318,样本到样信息汇总统计!$Y$2:$Y$500,0)),"")</f>
        <v/>
      </c>
      <c r="O319" s="8" t="str">
        <f>IFERROR(INDEX(样本到样信息汇总统计!O$2:O$500,MATCH(318,样本到样信息汇总统计!$Y$2:$Y$500,0)),"")</f>
        <v/>
      </c>
      <c r="P319" s="8" t="str">
        <f>IFERROR(INDEX(样本到样信息汇总统计!P$2:P$500,MATCH(318,样本到样信息汇总统计!$Y$2:$Y$500,0)),"")</f>
        <v/>
      </c>
      <c r="Q319" s="8" t="str">
        <f>IFERROR(INDEX(样本到样信息汇总统计!Q$2:Q$500,MATCH(318,样本到样信息汇总统计!$Y$2:$Y$500,0)),"")</f>
        <v/>
      </c>
      <c r="R319" s="8" t="str">
        <f>IFERROR(INDEX(样本到样信息汇总统计!R$2:R$500,MATCH(318,样本到样信息汇总统计!$Y$2:$Y$500,0)),"")</f>
        <v/>
      </c>
      <c r="S319" s="8" t="str">
        <f>IFERROR(INDEX(样本到样信息汇总统计!S$2:S$500,MATCH(318,样本到样信息汇总统计!$Y$2:$Y$500,0)),"")</f>
        <v/>
      </c>
      <c r="T319" s="8" t="str">
        <f>IFERROR(INDEX(样本到样信息汇总统计!T$2:T$500,MATCH(318,样本到样信息汇总统计!$Y$2:$Y$500,0)),"")</f>
        <v/>
      </c>
      <c r="U319" s="8" t="str">
        <f>IFERROR(INDEX(样本到样信息汇总统计!U$2:U$500,MATCH(318,样本到样信息汇总统计!$Y$2:$Y$500,0)),"")</f>
        <v/>
      </c>
      <c r="V319" s="8" t="str">
        <f>IFERROR(INDEX(样本到样信息汇总统计!V$2:V$500,MATCH(318,样本到样信息汇总统计!$Y$2:$Y$500,0)),"")</f>
        <v/>
      </c>
      <c r="W319" s="8" t="str">
        <f>IFERROR(INDEX(样本到样信息汇总统计!W$2:W$500,MATCH(318,样本到样信息汇总统计!$Y$2:$Y$500,0)),"")</f>
        <v/>
      </c>
    </row>
    <row r="320" ht="14.5" spans="1:23">
      <c r="A320" s="4" t="str">
        <f>IFERROR(INDEX(样本到样信息汇总统计!A$2:A$500,MATCH(319,样本到样信息汇总统计!$Y$2:$Y$500,0)),"")</f>
        <v/>
      </c>
      <c r="B320" s="4" t="str">
        <f>IFERROR(INDEX(样本到样信息汇总统计!B$2:B$500,MATCH(319,样本到样信息汇总统计!$Y$2:$Y$500,0)),"")</f>
        <v/>
      </c>
      <c r="C320" s="4" t="str">
        <f>IFERROR(INDEX(样本到样信息汇总统计!C$2:C$500,MATCH(319,样本到样信息汇总统计!$Y$2:$Y$500,0)),"")</f>
        <v/>
      </c>
      <c r="D320" s="4" t="str">
        <f>IFERROR(INDEX(样本到样信息汇总统计!D$2:D$500,MATCH(319,样本到样信息汇总统计!$Y$2:$Y$500,0)),"")</f>
        <v/>
      </c>
      <c r="E320" s="4" t="str">
        <f>IFERROR(INDEX(样本到样信息汇总统计!E$2:E$500,MATCH(319,样本到样信息汇总统计!$Y$2:$Y$500,0)),"")</f>
        <v/>
      </c>
      <c r="F320" s="4" t="str">
        <f>IFERROR(INDEX(样本到样信息汇总统计!F$2:F$500,MATCH(319,样本到样信息汇总统计!$Y$2:$Y$500,0)),"")</f>
        <v/>
      </c>
      <c r="G320" s="4" t="str">
        <f>IFERROR(INDEX(样本到样信息汇总统计!G$2:G$500,MATCH(319,样本到样信息汇总统计!$Y$2:$Y$500,0)),"")</f>
        <v/>
      </c>
      <c r="H320" s="4" t="str">
        <f>IFERROR(INDEX(样本到样信息汇总统计!H$2:H$500,MATCH(319,样本到样信息汇总统计!$Y$2:$Y$500,0)),"")</f>
        <v/>
      </c>
      <c r="I320" s="4" t="str">
        <f>IFERROR(INDEX(样本到样信息汇总统计!I$2:I$500,MATCH(319,样本到样信息汇总统计!$Y$2:$Y$500,0)),"")</f>
        <v/>
      </c>
      <c r="J320" s="4" t="str">
        <f>IFERROR(INDEX(样本到样信息汇总统计!J$2:J$500,MATCH(319,样本到样信息汇总统计!$Y$2:$Y$500,0)),"")</f>
        <v/>
      </c>
      <c r="K320" s="4" t="str">
        <f>IFERROR(INDEX(样本到样信息汇总统计!K$2:K$500,MATCH(319,样本到样信息汇总统计!$Y$2:$Y$500,0)),"")</f>
        <v/>
      </c>
      <c r="L320" s="4" t="str">
        <f>IFERROR(INDEX(样本到样信息汇总统计!L$2:L$500,MATCH(319,样本到样信息汇总统计!$Y$2:$Y$500,0)),"")</f>
        <v/>
      </c>
      <c r="M320" s="4" t="str">
        <f>IFERROR(INDEX(样本到样信息汇总统计!M$2:M$500,MATCH(319,样本到样信息汇总统计!$Y$2:$Y$500,0)),"")</f>
        <v/>
      </c>
      <c r="N320" s="4" t="str">
        <f>IFERROR(INDEX(样本到样信息汇总统计!N$2:N$500,MATCH(319,样本到样信息汇总统计!$Y$2:$Y$500,0)),"")</f>
        <v/>
      </c>
      <c r="O320" s="4" t="str">
        <f>IFERROR(INDEX(样本到样信息汇总统计!O$2:O$500,MATCH(319,样本到样信息汇总统计!$Y$2:$Y$500,0)),"")</f>
        <v/>
      </c>
      <c r="P320" s="4" t="str">
        <f>IFERROR(INDEX(样本到样信息汇总统计!P$2:P$500,MATCH(319,样本到样信息汇总统计!$Y$2:$Y$500,0)),"")</f>
        <v/>
      </c>
      <c r="Q320" s="4" t="str">
        <f>IFERROR(INDEX(样本到样信息汇总统计!Q$2:Q$500,MATCH(319,样本到样信息汇总统计!$Y$2:$Y$500,0)),"")</f>
        <v/>
      </c>
      <c r="R320" s="4" t="str">
        <f>IFERROR(INDEX(样本到样信息汇总统计!R$2:R$500,MATCH(319,样本到样信息汇总统计!$Y$2:$Y$500,0)),"")</f>
        <v/>
      </c>
      <c r="S320" s="4" t="str">
        <f>IFERROR(INDEX(样本到样信息汇总统计!S$2:S$500,MATCH(319,样本到样信息汇总统计!$Y$2:$Y$500,0)),"")</f>
        <v/>
      </c>
      <c r="T320" s="4" t="str">
        <f>IFERROR(INDEX(样本到样信息汇总统计!T$2:T$500,MATCH(319,样本到样信息汇总统计!$Y$2:$Y$500,0)),"")</f>
        <v/>
      </c>
      <c r="U320" s="4" t="str">
        <f>IFERROR(INDEX(样本到样信息汇总统计!U$2:U$500,MATCH(319,样本到样信息汇总统计!$Y$2:$Y$500,0)),"")</f>
        <v/>
      </c>
      <c r="V320" s="4" t="str">
        <f>IFERROR(INDEX(样本到样信息汇总统计!V$2:V$500,MATCH(319,样本到样信息汇总统计!$Y$2:$Y$500,0)),"")</f>
        <v/>
      </c>
      <c r="W320" s="4" t="str">
        <f>IFERROR(INDEX(样本到样信息汇总统计!W$2:W$500,MATCH(319,样本到样信息汇总统计!$Y$2:$Y$500,0)),"")</f>
        <v/>
      </c>
    </row>
    <row r="321" ht="14.5" spans="1:23">
      <c r="A321" s="8" t="str">
        <f>IFERROR(INDEX(样本到样信息汇总统计!A$2:A$500,MATCH(320,样本到样信息汇总统计!$Y$2:$Y$500,0)),"")</f>
        <v/>
      </c>
      <c r="B321" s="8" t="str">
        <f>IFERROR(INDEX(样本到样信息汇总统计!B$2:B$500,MATCH(320,样本到样信息汇总统计!$Y$2:$Y$500,0)),"")</f>
        <v/>
      </c>
      <c r="C321" s="8" t="str">
        <f>IFERROR(INDEX(样本到样信息汇总统计!C$2:C$500,MATCH(320,样本到样信息汇总统计!$Y$2:$Y$500,0)),"")</f>
        <v/>
      </c>
      <c r="D321" s="8" t="str">
        <f>IFERROR(INDEX(样本到样信息汇总统计!D$2:D$500,MATCH(320,样本到样信息汇总统计!$Y$2:$Y$500,0)),"")</f>
        <v/>
      </c>
      <c r="E321" s="8" t="str">
        <f>IFERROR(INDEX(样本到样信息汇总统计!E$2:E$500,MATCH(320,样本到样信息汇总统计!$Y$2:$Y$500,0)),"")</f>
        <v/>
      </c>
      <c r="F321" s="8" t="str">
        <f>IFERROR(INDEX(样本到样信息汇总统计!F$2:F$500,MATCH(320,样本到样信息汇总统计!$Y$2:$Y$500,0)),"")</f>
        <v/>
      </c>
      <c r="G321" s="8" t="str">
        <f>IFERROR(INDEX(样本到样信息汇总统计!G$2:G$500,MATCH(320,样本到样信息汇总统计!$Y$2:$Y$500,0)),"")</f>
        <v/>
      </c>
      <c r="H321" s="8" t="str">
        <f>IFERROR(INDEX(样本到样信息汇总统计!H$2:H$500,MATCH(320,样本到样信息汇总统计!$Y$2:$Y$500,0)),"")</f>
        <v/>
      </c>
      <c r="I321" s="8" t="str">
        <f>IFERROR(INDEX(样本到样信息汇总统计!I$2:I$500,MATCH(320,样本到样信息汇总统计!$Y$2:$Y$500,0)),"")</f>
        <v/>
      </c>
      <c r="J321" s="8" t="str">
        <f>IFERROR(INDEX(样本到样信息汇总统计!J$2:J$500,MATCH(320,样本到样信息汇总统计!$Y$2:$Y$500,0)),"")</f>
        <v/>
      </c>
      <c r="K321" s="8" t="str">
        <f>IFERROR(INDEX(样本到样信息汇总统计!K$2:K$500,MATCH(320,样本到样信息汇总统计!$Y$2:$Y$500,0)),"")</f>
        <v/>
      </c>
      <c r="L321" s="8" t="str">
        <f>IFERROR(INDEX(样本到样信息汇总统计!L$2:L$500,MATCH(320,样本到样信息汇总统计!$Y$2:$Y$500,0)),"")</f>
        <v/>
      </c>
      <c r="M321" s="8" t="str">
        <f>IFERROR(INDEX(样本到样信息汇总统计!M$2:M$500,MATCH(320,样本到样信息汇总统计!$Y$2:$Y$500,0)),"")</f>
        <v/>
      </c>
      <c r="N321" s="8" t="str">
        <f>IFERROR(INDEX(样本到样信息汇总统计!N$2:N$500,MATCH(320,样本到样信息汇总统计!$Y$2:$Y$500,0)),"")</f>
        <v/>
      </c>
      <c r="O321" s="8" t="str">
        <f>IFERROR(INDEX(样本到样信息汇总统计!O$2:O$500,MATCH(320,样本到样信息汇总统计!$Y$2:$Y$500,0)),"")</f>
        <v/>
      </c>
      <c r="P321" s="8" t="str">
        <f>IFERROR(INDEX(样本到样信息汇总统计!P$2:P$500,MATCH(320,样本到样信息汇总统计!$Y$2:$Y$500,0)),"")</f>
        <v/>
      </c>
      <c r="Q321" s="8" t="str">
        <f>IFERROR(INDEX(样本到样信息汇总统计!Q$2:Q$500,MATCH(320,样本到样信息汇总统计!$Y$2:$Y$500,0)),"")</f>
        <v/>
      </c>
      <c r="R321" s="8" t="str">
        <f>IFERROR(INDEX(样本到样信息汇总统计!R$2:R$500,MATCH(320,样本到样信息汇总统计!$Y$2:$Y$500,0)),"")</f>
        <v/>
      </c>
      <c r="S321" s="8" t="str">
        <f>IFERROR(INDEX(样本到样信息汇总统计!S$2:S$500,MATCH(320,样本到样信息汇总统计!$Y$2:$Y$500,0)),"")</f>
        <v/>
      </c>
      <c r="T321" s="8" t="str">
        <f>IFERROR(INDEX(样本到样信息汇总统计!T$2:T$500,MATCH(320,样本到样信息汇总统计!$Y$2:$Y$500,0)),"")</f>
        <v/>
      </c>
      <c r="U321" s="8" t="str">
        <f>IFERROR(INDEX(样本到样信息汇总统计!U$2:U$500,MATCH(320,样本到样信息汇总统计!$Y$2:$Y$500,0)),"")</f>
        <v/>
      </c>
      <c r="V321" s="8" t="str">
        <f>IFERROR(INDEX(样本到样信息汇总统计!V$2:V$500,MATCH(320,样本到样信息汇总统计!$Y$2:$Y$500,0)),"")</f>
        <v/>
      </c>
      <c r="W321" s="8" t="str">
        <f>IFERROR(INDEX(样本到样信息汇总统计!W$2:W$500,MATCH(320,样本到样信息汇总统计!$Y$2:$Y$500,0)),"")</f>
        <v/>
      </c>
    </row>
    <row r="322" ht="14.5" spans="1:23">
      <c r="A322" s="4" t="str">
        <f>IFERROR(INDEX(样本到样信息汇总统计!A$2:A$500,MATCH(321,样本到样信息汇总统计!$Y$2:$Y$500,0)),"")</f>
        <v/>
      </c>
      <c r="B322" s="4" t="str">
        <f>IFERROR(INDEX(样本到样信息汇总统计!B$2:B$500,MATCH(321,样本到样信息汇总统计!$Y$2:$Y$500,0)),"")</f>
        <v/>
      </c>
      <c r="C322" s="4" t="str">
        <f>IFERROR(INDEX(样本到样信息汇总统计!C$2:C$500,MATCH(321,样本到样信息汇总统计!$Y$2:$Y$500,0)),"")</f>
        <v/>
      </c>
      <c r="D322" s="4" t="str">
        <f>IFERROR(INDEX(样本到样信息汇总统计!D$2:D$500,MATCH(321,样本到样信息汇总统计!$Y$2:$Y$500,0)),"")</f>
        <v/>
      </c>
      <c r="E322" s="4" t="str">
        <f>IFERROR(INDEX(样本到样信息汇总统计!E$2:E$500,MATCH(321,样本到样信息汇总统计!$Y$2:$Y$500,0)),"")</f>
        <v/>
      </c>
      <c r="F322" s="4" t="str">
        <f>IFERROR(INDEX(样本到样信息汇总统计!F$2:F$500,MATCH(321,样本到样信息汇总统计!$Y$2:$Y$500,0)),"")</f>
        <v/>
      </c>
      <c r="G322" s="4" t="str">
        <f>IFERROR(INDEX(样本到样信息汇总统计!G$2:G$500,MATCH(321,样本到样信息汇总统计!$Y$2:$Y$500,0)),"")</f>
        <v/>
      </c>
      <c r="H322" s="4" t="str">
        <f>IFERROR(INDEX(样本到样信息汇总统计!H$2:H$500,MATCH(321,样本到样信息汇总统计!$Y$2:$Y$500,0)),"")</f>
        <v/>
      </c>
      <c r="I322" s="4" t="str">
        <f>IFERROR(INDEX(样本到样信息汇总统计!I$2:I$500,MATCH(321,样本到样信息汇总统计!$Y$2:$Y$500,0)),"")</f>
        <v/>
      </c>
      <c r="J322" s="4" t="str">
        <f>IFERROR(INDEX(样本到样信息汇总统计!J$2:J$500,MATCH(321,样本到样信息汇总统计!$Y$2:$Y$500,0)),"")</f>
        <v/>
      </c>
      <c r="K322" s="4" t="str">
        <f>IFERROR(INDEX(样本到样信息汇总统计!K$2:K$500,MATCH(321,样本到样信息汇总统计!$Y$2:$Y$500,0)),"")</f>
        <v/>
      </c>
      <c r="L322" s="4" t="str">
        <f>IFERROR(INDEX(样本到样信息汇总统计!L$2:L$500,MATCH(321,样本到样信息汇总统计!$Y$2:$Y$500,0)),"")</f>
        <v/>
      </c>
      <c r="M322" s="4" t="str">
        <f>IFERROR(INDEX(样本到样信息汇总统计!M$2:M$500,MATCH(321,样本到样信息汇总统计!$Y$2:$Y$500,0)),"")</f>
        <v/>
      </c>
      <c r="N322" s="4" t="str">
        <f>IFERROR(INDEX(样本到样信息汇总统计!N$2:N$500,MATCH(321,样本到样信息汇总统计!$Y$2:$Y$500,0)),"")</f>
        <v/>
      </c>
      <c r="O322" s="4" t="str">
        <f>IFERROR(INDEX(样本到样信息汇总统计!O$2:O$500,MATCH(321,样本到样信息汇总统计!$Y$2:$Y$500,0)),"")</f>
        <v/>
      </c>
      <c r="P322" s="4" t="str">
        <f>IFERROR(INDEX(样本到样信息汇总统计!P$2:P$500,MATCH(321,样本到样信息汇总统计!$Y$2:$Y$500,0)),"")</f>
        <v/>
      </c>
      <c r="Q322" s="4" t="str">
        <f>IFERROR(INDEX(样本到样信息汇总统计!Q$2:Q$500,MATCH(321,样本到样信息汇总统计!$Y$2:$Y$500,0)),"")</f>
        <v/>
      </c>
      <c r="R322" s="4" t="str">
        <f>IFERROR(INDEX(样本到样信息汇总统计!R$2:R$500,MATCH(321,样本到样信息汇总统计!$Y$2:$Y$500,0)),"")</f>
        <v/>
      </c>
      <c r="S322" s="4" t="str">
        <f>IFERROR(INDEX(样本到样信息汇总统计!S$2:S$500,MATCH(321,样本到样信息汇总统计!$Y$2:$Y$500,0)),"")</f>
        <v/>
      </c>
      <c r="T322" s="4" t="str">
        <f>IFERROR(INDEX(样本到样信息汇总统计!T$2:T$500,MATCH(321,样本到样信息汇总统计!$Y$2:$Y$500,0)),"")</f>
        <v/>
      </c>
      <c r="U322" s="4" t="str">
        <f>IFERROR(INDEX(样本到样信息汇总统计!U$2:U$500,MATCH(321,样本到样信息汇总统计!$Y$2:$Y$500,0)),"")</f>
        <v/>
      </c>
      <c r="V322" s="4" t="str">
        <f>IFERROR(INDEX(样本到样信息汇总统计!V$2:V$500,MATCH(321,样本到样信息汇总统计!$Y$2:$Y$500,0)),"")</f>
        <v/>
      </c>
      <c r="W322" s="4" t="str">
        <f>IFERROR(INDEX(样本到样信息汇总统计!W$2:W$500,MATCH(321,样本到样信息汇总统计!$Y$2:$Y$500,0)),"")</f>
        <v/>
      </c>
    </row>
    <row r="323" ht="14.5" spans="1:23">
      <c r="A323" s="8" t="str">
        <f>IFERROR(INDEX(样本到样信息汇总统计!A$2:A$500,MATCH(322,样本到样信息汇总统计!$Y$2:$Y$500,0)),"")</f>
        <v/>
      </c>
      <c r="B323" s="8" t="str">
        <f>IFERROR(INDEX(样本到样信息汇总统计!B$2:B$500,MATCH(322,样本到样信息汇总统计!$Y$2:$Y$500,0)),"")</f>
        <v/>
      </c>
      <c r="C323" s="8" t="str">
        <f>IFERROR(INDEX(样本到样信息汇总统计!C$2:C$500,MATCH(322,样本到样信息汇总统计!$Y$2:$Y$500,0)),"")</f>
        <v/>
      </c>
      <c r="D323" s="8" t="str">
        <f>IFERROR(INDEX(样本到样信息汇总统计!D$2:D$500,MATCH(322,样本到样信息汇总统计!$Y$2:$Y$500,0)),"")</f>
        <v/>
      </c>
      <c r="E323" s="8" t="str">
        <f>IFERROR(INDEX(样本到样信息汇总统计!E$2:E$500,MATCH(322,样本到样信息汇总统计!$Y$2:$Y$500,0)),"")</f>
        <v/>
      </c>
      <c r="F323" s="8" t="str">
        <f>IFERROR(INDEX(样本到样信息汇总统计!F$2:F$500,MATCH(322,样本到样信息汇总统计!$Y$2:$Y$500,0)),"")</f>
        <v/>
      </c>
      <c r="G323" s="8" t="str">
        <f>IFERROR(INDEX(样本到样信息汇总统计!G$2:G$500,MATCH(322,样本到样信息汇总统计!$Y$2:$Y$500,0)),"")</f>
        <v/>
      </c>
      <c r="H323" s="8" t="str">
        <f>IFERROR(INDEX(样本到样信息汇总统计!H$2:H$500,MATCH(322,样本到样信息汇总统计!$Y$2:$Y$500,0)),"")</f>
        <v/>
      </c>
      <c r="I323" s="8" t="str">
        <f>IFERROR(INDEX(样本到样信息汇总统计!I$2:I$500,MATCH(322,样本到样信息汇总统计!$Y$2:$Y$500,0)),"")</f>
        <v/>
      </c>
      <c r="J323" s="8" t="str">
        <f>IFERROR(INDEX(样本到样信息汇总统计!J$2:J$500,MATCH(322,样本到样信息汇总统计!$Y$2:$Y$500,0)),"")</f>
        <v/>
      </c>
      <c r="K323" s="8" t="str">
        <f>IFERROR(INDEX(样本到样信息汇总统计!K$2:K$500,MATCH(322,样本到样信息汇总统计!$Y$2:$Y$500,0)),"")</f>
        <v/>
      </c>
      <c r="L323" s="8" t="str">
        <f>IFERROR(INDEX(样本到样信息汇总统计!L$2:L$500,MATCH(322,样本到样信息汇总统计!$Y$2:$Y$500,0)),"")</f>
        <v/>
      </c>
      <c r="M323" s="8" t="str">
        <f>IFERROR(INDEX(样本到样信息汇总统计!M$2:M$500,MATCH(322,样本到样信息汇总统计!$Y$2:$Y$500,0)),"")</f>
        <v/>
      </c>
      <c r="N323" s="8" t="str">
        <f>IFERROR(INDEX(样本到样信息汇总统计!N$2:N$500,MATCH(322,样本到样信息汇总统计!$Y$2:$Y$500,0)),"")</f>
        <v/>
      </c>
      <c r="O323" s="8" t="str">
        <f>IFERROR(INDEX(样本到样信息汇总统计!O$2:O$500,MATCH(322,样本到样信息汇总统计!$Y$2:$Y$500,0)),"")</f>
        <v/>
      </c>
      <c r="P323" s="8" t="str">
        <f>IFERROR(INDEX(样本到样信息汇总统计!P$2:P$500,MATCH(322,样本到样信息汇总统计!$Y$2:$Y$500,0)),"")</f>
        <v/>
      </c>
      <c r="Q323" s="8" t="str">
        <f>IFERROR(INDEX(样本到样信息汇总统计!Q$2:Q$500,MATCH(322,样本到样信息汇总统计!$Y$2:$Y$500,0)),"")</f>
        <v/>
      </c>
      <c r="R323" s="8" t="str">
        <f>IFERROR(INDEX(样本到样信息汇总统计!R$2:R$500,MATCH(322,样本到样信息汇总统计!$Y$2:$Y$500,0)),"")</f>
        <v/>
      </c>
      <c r="S323" s="8" t="str">
        <f>IFERROR(INDEX(样本到样信息汇总统计!S$2:S$500,MATCH(322,样本到样信息汇总统计!$Y$2:$Y$500,0)),"")</f>
        <v/>
      </c>
      <c r="T323" s="8" t="str">
        <f>IFERROR(INDEX(样本到样信息汇总统计!T$2:T$500,MATCH(322,样本到样信息汇总统计!$Y$2:$Y$500,0)),"")</f>
        <v/>
      </c>
      <c r="U323" s="8" t="str">
        <f>IFERROR(INDEX(样本到样信息汇总统计!U$2:U$500,MATCH(322,样本到样信息汇总统计!$Y$2:$Y$500,0)),"")</f>
        <v/>
      </c>
      <c r="V323" s="8" t="str">
        <f>IFERROR(INDEX(样本到样信息汇总统计!V$2:V$500,MATCH(322,样本到样信息汇总统计!$Y$2:$Y$500,0)),"")</f>
        <v/>
      </c>
      <c r="W323" s="8" t="str">
        <f>IFERROR(INDEX(样本到样信息汇总统计!W$2:W$500,MATCH(322,样本到样信息汇总统计!$Y$2:$Y$500,0)),"")</f>
        <v/>
      </c>
    </row>
    <row r="324" ht="14.5" spans="1:23">
      <c r="A324" s="4" t="str">
        <f>IFERROR(INDEX(样本到样信息汇总统计!A$2:A$500,MATCH(323,样本到样信息汇总统计!$Y$2:$Y$500,0)),"")</f>
        <v/>
      </c>
      <c r="B324" s="4" t="str">
        <f>IFERROR(INDEX(样本到样信息汇总统计!B$2:B$500,MATCH(323,样本到样信息汇总统计!$Y$2:$Y$500,0)),"")</f>
        <v/>
      </c>
      <c r="C324" s="4" t="str">
        <f>IFERROR(INDEX(样本到样信息汇总统计!C$2:C$500,MATCH(323,样本到样信息汇总统计!$Y$2:$Y$500,0)),"")</f>
        <v/>
      </c>
      <c r="D324" s="4" t="str">
        <f>IFERROR(INDEX(样本到样信息汇总统计!D$2:D$500,MATCH(323,样本到样信息汇总统计!$Y$2:$Y$500,0)),"")</f>
        <v/>
      </c>
      <c r="E324" s="4" t="str">
        <f>IFERROR(INDEX(样本到样信息汇总统计!E$2:E$500,MATCH(323,样本到样信息汇总统计!$Y$2:$Y$500,0)),"")</f>
        <v/>
      </c>
      <c r="F324" s="4" t="str">
        <f>IFERROR(INDEX(样本到样信息汇总统计!F$2:F$500,MATCH(323,样本到样信息汇总统计!$Y$2:$Y$500,0)),"")</f>
        <v/>
      </c>
      <c r="G324" s="4" t="str">
        <f>IFERROR(INDEX(样本到样信息汇总统计!G$2:G$500,MATCH(323,样本到样信息汇总统计!$Y$2:$Y$500,0)),"")</f>
        <v/>
      </c>
      <c r="H324" s="4" t="str">
        <f>IFERROR(INDEX(样本到样信息汇总统计!H$2:H$500,MATCH(323,样本到样信息汇总统计!$Y$2:$Y$500,0)),"")</f>
        <v/>
      </c>
      <c r="I324" s="4" t="str">
        <f>IFERROR(INDEX(样本到样信息汇总统计!I$2:I$500,MATCH(323,样本到样信息汇总统计!$Y$2:$Y$500,0)),"")</f>
        <v/>
      </c>
      <c r="J324" s="4" t="str">
        <f>IFERROR(INDEX(样本到样信息汇总统计!J$2:J$500,MATCH(323,样本到样信息汇总统计!$Y$2:$Y$500,0)),"")</f>
        <v/>
      </c>
      <c r="K324" s="4" t="str">
        <f>IFERROR(INDEX(样本到样信息汇总统计!K$2:K$500,MATCH(323,样本到样信息汇总统计!$Y$2:$Y$500,0)),"")</f>
        <v/>
      </c>
      <c r="L324" s="4" t="str">
        <f>IFERROR(INDEX(样本到样信息汇总统计!L$2:L$500,MATCH(323,样本到样信息汇总统计!$Y$2:$Y$500,0)),"")</f>
        <v/>
      </c>
      <c r="M324" s="4" t="str">
        <f>IFERROR(INDEX(样本到样信息汇总统计!M$2:M$500,MATCH(323,样本到样信息汇总统计!$Y$2:$Y$500,0)),"")</f>
        <v/>
      </c>
      <c r="N324" s="4" t="str">
        <f>IFERROR(INDEX(样本到样信息汇总统计!N$2:N$500,MATCH(323,样本到样信息汇总统计!$Y$2:$Y$500,0)),"")</f>
        <v/>
      </c>
      <c r="O324" s="4" t="str">
        <f>IFERROR(INDEX(样本到样信息汇总统计!O$2:O$500,MATCH(323,样本到样信息汇总统计!$Y$2:$Y$500,0)),"")</f>
        <v/>
      </c>
      <c r="P324" s="4" t="str">
        <f>IFERROR(INDEX(样本到样信息汇总统计!P$2:P$500,MATCH(323,样本到样信息汇总统计!$Y$2:$Y$500,0)),"")</f>
        <v/>
      </c>
      <c r="Q324" s="4" t="str">
        <f>IFERROR(INDEX(样本到样信息汇总统计!Q$2:Q$500,MATCH(323,样本到样信息汇总统计!$Y$2:$Y$500,0)),"")</f>
        <v/>
      </c>
      <c r="R324" s="4" t="str">
        <f>IFERROR(INDEX(样本到样信息汇总统计!R$2:R$500,MATCH(323,样本到样信息汇总统计!$Y$2:$Y$500,0)),"")</f>
        <v/>
      </c>
      <c r="S324" s="4" t="str">
        <f>IFERROR(INDEX(样本到样信息汇总统计!S$2:S$500,MATCH(323,样本到样信息汇总统计!$Y$2:$Y$500,0)),"")</f>
        <v/>
      </c>
      <c r="T324" s="4" t="str">
        <f>IFERROR(INDEX(样本到样信息汇总统计!T$2:T$500,MATCH(323,样本到样信息汇总统计!$Y$2:$Y$500,0)),"")</f>
        <v/>
      </c>
      <c r="U324" s="4" t="str">
        <f>IFERROR(INDEX(样本到样信息汇总统计!U$2:U$500,MATCH(323,样本到样信息汇总统计!$Y$2:$Y$500,0)),"")</f>
        <v/>
      </c>
      <c r="V324" s="4" t="str">
        <f>IFERROR(INDEX(样本到样信息汇总统计!V$2:V$500,MATCH(323,样本到样信息汇总统计!$Y$2:$Y$500,0)),"")</f>
        <v/>
      </c>
      <c r="W324" s="4" t="str">
        <f>IFERROR(INDEX(样本到样信息汇总统计!W$2:W$500,MATCH(323,样本到样信息汇总统计!$Y$2:$Y$500,0)),"")</f>
        <v/>
      </c>
    </row>
    <row r="325" ht="14.5" spans="1:23">
      <c r="A325" s="8" t="str">
        <f>IFERROR(INDEX(样本到样信息汇总统计!A$2:A$500,MATCH(324,样本到样信息汇总统计!$Y$2:$Y$500,0)),"")</f>
        <v/>
      </c>
      <c r="B325" s="8" t="str">
        <f>IFERROR(INDEX(样本到样信息汇总统计!B$2:B$500,MATCH(324,样本到样信息汇总统计!$Y$2:$Y$500,0)),"")</f>
        <v/>
      </c>
      <c r="C325" s="8" t="str">
        <f>IFERROR(INDEX(样本到样信息汇总统计!C$2:C$500,MATCH(324,样本到样信息汇总统计!$Y$2:$Y$500,0)),"")</f>
        <v/>
      </c>
      <c r="D325" s="8" t="str">
        <f>IFERROR(INDEX(样本到样信息汇总统计!D$2:D$500,MATCH(324,样本到样信息汇总统计!$Y$2:$Y$500,0)),"")</f>
        <v/>
      </c>
      <c r="E325" s="8" t="str">
        <f>IFERROR(INDEX(样本到样信息汇总统计!E$2:E$500,MATCH(324,样本到样信息汇总统计!$Y$2:$Y$500,0)),"")</f>
        <v/>
      </c>
      <c r="F325" s="8" t="str">
        <f>IFERROR(INDEX(样本到样信息汇总统计!F$2:F$500,MATCH(324,样本到样信息汇总统计!$Y$2:$Y$500,0)),"")</f>
        <v/>
      </c>
      <c r="G325" s="8" t="str">
        <f>IFERROR(INDEX(样本到样信息汇总统计!G$2:G$500,MATCH(324,样本到样信息汇总统计!$Y$2:$Y$500,0)),"")</f>
        <v/>
      </c>
      <c r="H325" s="8" t="str">
        <f>IFERROR(INDEX(样本到样信息汇总统计!H$2:H$500,MATCH(324,样本到样信息汇总统计!$Y$2:$Y$500,0)),"")</f>
        <v/>
      </c>
      <c r="I325" s="8" t="str">
        <f>IFERROR(INDEX(样本到样信息汇总统计!I$2:I$500,MATCH(324,样本到样信息汇总统计!$Y$2:$Y$500,0)),"")</f>
        <v/>
      </c>
      <c r="J325" s="8" t="str">
        <f>IFERROR(INDEX(样本到样信息汇总统计!J$2:J$500,MATCH(324,样本到样信息汇总统计!$Y$2:$Y$500,0)),"")</f>
        <v/>
      </c>
      <c r="K325" s="8" t="str">
        <f>IFERROR(INDEX(样本到样信息汇总统计!K$2:K$500,MATCH(324,样本到样信息汇总统计!$Y$2:$Y$500,0)),"")</f>
        <v/>
      </c>
      <c r="L325" s="8" t="str">
        <f>IFERROR(INDEX(样本到样信息汇总统计!L$2:L$500,MATCH(324,样本到样信息汇总统计!$Y$2:$Y$500,0)),"")</f>
        <v/>
      </c>
      <c r="M325" s="8" t="str">
        <f>IFERROR(INDEX(样本到样信息汇总统计!M$2:M$500,MATCH(324,样本到样信息汇总统计!$Y$2:$Y$500,0)),"")</f>
        <v/>
      </c>
      <c r="N325" s="8" t="str">
        <f>IFERROR(INDEX(样本到样信息汇总统计!N$2:N$500,MATCH(324,样本到样信息汇总统计!$Y$2:$Y$500,0)),"")</f>
        <v/>
      </c>
      <c r="O325" s="8" t="str">
        <f>IFERROR(INDEX(样本到样信息汇总统计!O$2:O$500,MATCH(324,样本到样信息汇总统计!$Y$2:$Y$500,0)),"")</f>
        <v/>
      </c>
      <c r="P325" s="8" t="str">
        <f>IFERROR(INDEX(样本到样信息汇总统计!P$2:P$500,MATCH(324,样本到样信息汇总统计!$Y$2:$Y$500,0)),"")</f>
        <v/>
      </c>
      <c r="Q325" s="8" t="str">
        <f>IFERROR(INDEX(样本到样信息汇总统计!Q$2:Q$500,MATCH(324,样本到样信息汇总统计!$Y$2:$Y$500,0)),"")</f>
        <v/>
      </c>
      <c r="R325" s="8" t="str">
        <f>IFERROR(INDEX(样本到样信息汇总统计!R$2:R$500,MATCH(324,样本到样信息汇总统计!$Y$2:$Y$500,0)),"")</f>
        <v/>
      </c>
      <c r="S325" s="8" t="str">
        <f>IFERROR(INDEX(样本到样信息汇总统计!S$2:S$500,MATCH(324,样本到样信息汇总统计!$Y$2:$Y$500,0)),"")</f>
        <v/>
      </c>
      <c r="T325" s="8" t="str">
        <f>IFERROR(INDEX(样本到样信息汇总统计!T$2:T$500,MATCH(324,样本到样信息汇总统计!$Y$2:$Y$500,0)),"")</f>
        <v/>
      </c>
      <c r="U325" s="8" t="str">
        <f>IFERROR(INDEX(样本到样信息汇总统计!U$2:U$500,MATCH(324,样本到样信息汇总统计!$Y$2:$Y$500,0)),"")</f>
        <v/>
      </c>
      <c r="V325" s="8" t="str">
        <f>IFERROR(INDEX(样本到样信息汇总统计!V$2:V$500,MATCH(324,样本到样信息汇总统计!$Y$2:$Y$500,0)),"")</f>
        <v/>
      </c>
      <c r="W325" s="8" t="str">
        <f>IFERROR(INDEX(样本到样信息汇总统计!W$2:W$500,MATCH(324,样本到样信息汇总统计!$Y$2:$Y$500,0)),"")</f>
        <v/>
      </c>
    </row>
    <row r="326" ht="14.5" spans="1:23">
      <c r="A326" s="4" t="str">
        <f>IFERROR(INDEX(样本到样信息汇总统计!A$2:A$500,MATCH(325,样本到样信息汇总统计!$Y$2:$Y$500,0)),"")</f>
        <v/>
      </c>
      <c r="B326" s="4" t="str">
        <f>IFERROR(INDEX(样本到样信息汇总统计!B$2:B$500,MATCH(325,样本到样信息汇总统计!$Y$2:$Y$500,0)),"")</f>
        <v/>
      </c>
      <c r="C326" s="4" t="str">
        <f>IFERROR(INDEX(样本到样信息汇总统计!C$2:C$500,MATCH(325,样本到样信息汇总统计!$Y$2:$Y$500,0)),"")</f>
        <v/>
      </c>
      <c r="D326" s="4" t="str">
        <f>IFERROR(INDEX(样本到样信息汇总统计!D$2:D$500,MATCH(325,样本到样信息汇总统计!$Y$2:$Y$500,0)),"")</f>
        <v/>
      </c>
      <c r="E326" s="4" t="str">
        <f>IFERROR(INDEX(样本到样信息汇总统计!E$2:E$500,MATCH(325,样本到样信息汇总统计!$Y$2:$Y$500,0)),"")</f>
        <v/>
      </c>
      <c r="F326" s="4" t="str">
        <f>IFERROR(INDEX(样本到样信息汇总统计!F$2:F$500,MATCH(325,样本到样信息汇总统计!$Y$2:$Y$500,0)),"")</f>
        <v/>
      </c>
      <c r="G326" s="4" t="str">
        <f>IFERROR(INDEX(样本到样信息汇总统计!G$2:G$500,MATCH(325,样本到样信息汇总统计!$Y$2:$Y$500,0)),"")</f>
        <v/>
      </c>
      <c r="H326" s="4" t="str">
        <f>IFERROR(INDEX(样本到样信息汇总统计!H$2:H$500,MATCH(325,样本到样信息汇总统计!$Y$2:$Y$500,0)),"")</f>
        <v/>
      </c>
      <c r="I326" s="4" t="str">
        <f>IFERROR(INDEX(样本到样信息汇总统计!I$2:I$500,MATCH(325,样本到样信息汇总统计!$Y$2:$Y$500,0)),"")</f>
        <v/>
      </c>
      <c r="J326" s="4" t="str">
        <f>IFERROR(INDEX(样本到样信息汇总统计!J$2:J$500,MATCH(325,样本到样信息汇总统计!$Y$2:$Y$500,0)),"")</f>
        <v/>
      </c>
      <c r="K326" s="4" t="str">
        <f>IFERROR(INDEX(样本到样信息汇总统计!K$2:K$500,MATCH(325,样本到样信息汇总统计!$Y$2:$Y$500,0)),"")</f>
        <v/>
      </c>
      <c r="L326" s="4" t="str">
        <f>IFERROR(INDEX(样本到样信息汇总统计!L$2:L$500,MATCH(325,样本到样信息汇总统计!$Y$2:$Y$500,0)),"")</f>
        <v/>
      </c>
      <c r="M326" s="4" t="str">
        <f>IFERROR(INDEX(样本到样信息汇总统计!M$2:M$500,MATCH(325,样本到样信息汇总统计!$Y$2:$Y$500,0)),"")</f>
        <v/>
      </c>
      <c r="N326" s="4" t="str">
        <f>IFERROR(INDEX(样本到样信息汇总统计!N$2:N$500,MATCH(325,样本到样信息汇总统计!$Y$2:$Y$500,0)),"")</f>
        <v/>
      </c>
      <c r="O326" s="4" t="str">
        <f>IFERROR(INDEX(样本到样信息汇总统计!O$2:O$500,MATCH(325,样本到样信息汇总统计!$Y$2:$Y$500,0)),"")</f>
        <v/>
      </c>
      <c r="P326" s="4" t="str">
        <f>IFERROR(INDEX(样本到样信息汇总统计!P$2:P$500,MATCH(325,样本到样信息汇总统计!$Y$2:$Y$500,0)),"")</f>
        <v/>
      </c>
      <c r="Q326" s="4" t="str">
        <f>IFERROR(INDEX(样本到样信息汇总统计!Q$2:Q$500,MATCH(325,样本到样信息汇总统计!$Y$2:$Y$500,0)),"")</f>
        <v/>
      </c>
      <c r="R326" s="4" t="str">
        <f>IFERROR(INDEX(样本到样信息汇总统计!R$2:R$500,MATCH(325,样本到样信息汇总统计!$Y$2:$Y$500,0)),"")</f>
        <v/>
      </c>
      <c r="S326" s="4" t="str">
        <f>IFERROR(INDEX(样本到样信息汇总统计!S$2:S$500,MATCH(325,样本到样信息汇总统计!$Y$2:$Y$500,0)),"")</f>
        <v/>
      </c>
      <c r="T326" s="4" t="str">
        <f>IFERROR(INDEX(样本到样信息汇总统计!T$2:T$500,MATCH(325,样本到样信息汇总统计!$Y$2:$Y$500,0)),"")</f>
        <v/>
      </c>
      <c r="U326" s="4" t="str">
        <f>IFERROR(INDEX(样本到样信息汇总统计!U$2:U$500,MATCH(325,样本到样信息汇总统计!$Y$2:$Y$500,0)),"")</f>
        <v/>
      </c>
      <c r="V326" s="4" t="str">
        <f>IFERROR(INDEX(样本到样信息汇总统计!V$2:V$500,MATCH(325,样本到样信息汇总统计!$Y$2:$Y$500,0)),"")</f>
        <v/>
      </c>
      <c r="W326" s="4" t="str">
        <f>IFERROR(INDEX(样本到样信息汇总统计!W$2:W$500,MATCH(325,样本到样信息汇总统计!$Y$2:$Y$500,0)),"")</f>
        <v/>
      </c>
    </row>
    <row r="327" ht="14.5" spans="1:23">
      <c r="A327" s="8" t="str">
        <f>IFERROR(INDEX(样本到样信息汇总统计!A$2:A$500,MATCH(326,样本到样信息汇总统计!$Y$2:$Y$500,0)),"")</f>
        <v/>
      </c>
      <c r="B327" s="8" t="str">
        <f>IFERROR(INDEX(样本到样信息汇总统计!B$2:B$500,MATCH(326,样本到样信息汇总统计!$Y$2:$Y$500,0)),"")</f>
        <v/>
      </c>
      <c r="C327" s="8" t="str">
        <f>IFERROR(INDEX(样本到样信息汇总统计!C$2:C$500,MATCH(326,样本到样信息汇总统计!$Y$2:$Y$500,0)),"")</f>
        <v/>
      </c>
      <c r="D327" s="8" t="str">
        <f>IFERROR(INDEX(样本到样信息汇总统计!D$2:D$500,MATCH(326,样本到样信息汇总统计!$Y$2:$Y$500,0)),"")</f>
        <v/>
      </c>
      <c r="E327" s="8" t="str">
        <f>IFERROR(INDEX(样本到样信息汇总统计!E$2:E$500,MATCH(326,样本到样信息汇总统计!$Y$2:$Y$500,0)),"")</f>
        <v/>
      </c>
      <c r="F327" s="8" t="str">
        <f>IFERROR(INDEX(样本到样信息汇总统计!F$2:F$500,MATCH(326,样本到样信息汇总统计!$Y$2:$Y$500,0)),"")</f>
        <v/>
      </c>
      <c r="G327" s="8" t="str">
        <f>IFERROR(INDEX(样本到样信息汇总统计!G$2:G$500,MATCH(326,样本到样信息汇总统计!$Y$2:$Y$500,0)),"")</f>
        <v/>
      </c>
      <c r="H327" s="8" t="str">
        <f>IFERROR(INDEX(样本到样信息汇总统计!H$2:H$500,MATCH(326,样本到样信息汇总统计!$Y$2:$Y$500,0)),"")</f>
        <v/>
      </c>
      <c r="I327" s="8" t="str">
        <f>IFERROR(INDEX(样本到样信息汇总统计!I$2:I$500,MATCH(326,样本到样信息汇总统计!$Y$2:$Y$500,0)),"")</f>
        <v/>
      </c>
      <c r="J327" s="8" t="str">
        <f>IFERROR(INDEX(样本到样信息汇总统计!J$2:J$500,MATCH(326,样本到样信息汇总统计!$Y$2:$Y$500,0)),"")</f>
        <v/>
      </c>
      <c r="K327" s="8" t="str">
        <f>IFERROR(INDEX(样本到样信息汇总统计!K$2:K$500,MATCH(326,样本到样信息汇总统计!$Y$2:$Y$500,0)),"")</f>
        <v/>
      </c>
      <c r="L327" s="8" t="str">
        <f>IFERROR(INDEX(样本到样信息汇总统计!L$2:L$500,MATCH(326,样本到样信息汇总统计!$Y$2:$Y$500,0)),"")</f>
        <v/>
      </c>
      <c r="M327" s="8" t="str">
        <f>IFERROR(INDEX(样本到样信息汇总统计!M$2:M$500,MATCH(326,样本到样信息汇总统计!$Y$2:$Y$500,0)),"")</f>
        <v/>
      </c>
      <c r="N327" s="8" t="str">
        <f>IFERROR(INDEX(样本到样信息汇总统计!N$2:N$500,MATCH(326,样本到样信息汇总统计!$Y$2:$Y$500,0)),"")</f>
        <v/>
      </c>
      <c r="O327" s="8" t="str">
        <f>IFERROR(INDEX(样本到样信息汇总统计!O$2:O$500,MATCH(326,样本到样信息汇总统计!$Y$2:$Y$500,0)),"")</f>
        <v/>
      </c>
      <c r="P327" s="8" t="str">
        <f>IFERROR(INDEX(样本到样信息汇总统计!P$2:P$500,MATCH(326,样本到样信息汇总统计!$Y$2:$Y$500,0)),"")</f>
        <v/>
      </c>
      <c r="Q327" s="8" t="str">
        <f>IFERROR(INDEX(样本到样信息汇总统计!Q$2:Q$500,MATCH(326,样本到样信息汇总统计!$Y$2:$Y$500,0)),"")</f>
        <v/>
      </c>
      <c r="R327" s="8" t="str">
        <f>IFERROR(INDEX(样本到样信息汇总统计!R$2:R$500,MATCH(326,样本到样信息汇总统计!$Y$2:$Y$500,0)),"")</f>
        <v/>
      </c>
      <c r="S327" s="8" t="str">
        <f>IFERROR(INDEX(样本到样信息汇总统计!S$2:S$500,MATCH(326,样本到样信息汇总统计!$Y$2:$Y$500,0)),"")</f>
        <v/>
      </c>
      <c r="T327" s="8" t="str">
        <f>IFERROR(INDEX(样本到样信息汇总统计!T$2:T$500,MATCH(326,样本到样信息汇总统计!$Y$2:$Y$500,0)),"")</f>
        <v/>
      </c>
      <c r="U327" s="8" t="str">
        <f>IFERROR(INDEX(样本到样信息汇总统计!U$2:U$500,MATCH(326,样本到样信息汇总统计!$Y$2:$Y$500,0)),"")</f>
        <v/>
      </c>
      <c r="V327" s="8" t="str">
        <f>IFERROR(INDEX(样本到样信息汇总统计!V$2:V$500,MATCH(326,样本到样信息汇总统计!$Y$2:$Y$500,0)),"")</f>
        <v/>
      </c>
      <c r="W327" s="8" t="str">
        <f>IFERROR(INDEX(样本到样信息汇总统计!W$2:W$500,MATCH(326,样本到样信息汇总统计!$Y$2:$Y$500,0)),"")</f>
        <v/>
      </c>
    </row>
    <row r="328" ht="14.5" spans="1:23">
      <c r="A328" s="4" t="str">
        <f>IFERROR(INDEX(样本到样信息汇总统计!A$2:A$500,MATCH(327,样本到样信息汇总统计!$Y$2:$Y$500,0)),"")</f>
        <v/>
      </c>
      <c r="B328" s="4" t="str">
        <f>IFERROR(INDEX(样本到样信息汇总统计!B$2:B$500,MATCH(327,样本到样信息汇总统计!$Y$2:$Y$500,0)),"")</f>
        <v/>
      </c>
      <c r="C328" s="4" t="str">
        <f>IFERROR(INDEX(样本到样信息汇总统计!C$2:C$500,MATCH(327,样本到样信息汇总统计!$Y$2:$Y$500,0)),"")</f>
        <v/>
      </c>
      <c r="D328" s="4" t="str">
        <f>IFERROR(INDEX(样本到样信息汇总统计!D$2:D$500,MATCH(327,样本到样信息汇总统计!$Y$2:$Y$500,0)),"")</f>
        <v/>
      </c>
      <c r="E328" s="4" t="str">
        <f>IFERROR(INDEX(样本到样信息汇总统计!E$2:E$500,MATCH(327,样本到样信息汇总统计!$Y$2:$Y$500,0)),"")</f>
        <v/>
      </c>
      <c r="F328" s="4" t="str">
        <f>IFERROR(INDEX(样本到样信息汇总统计!F$2:F$500,MATCH(327,样本到样信息汇总统计!$Y$2:$Y$500,0)),"")</f>
        <v/>
      </c>
      <c r="G328" s="4" t="str">
        <f>IFERROR(INDEX(样本到样信息汇总统计!G$2:G$500,MATCH(327,样本到样信息汇总统计!$Y$2:$Y$500,0)),"")</f>
        <v/>
      </c>
      <c r="H328" s="4" t="str">
        <f>IFERROR(INDEX(样本到样信息汇总统计!H$2:H$500,MATCH(327,样本到样信息汇总统计!$Y$2:$Y$500,0)),"")</f>
        <v/>
      </c>
      <c r="I328" s="4" t="str">
        <f>IFERROR(INDEX(样本到样信息汇总统计!I$2:I$500,MATCH(327,样本到样信息汇总统计!$Y$2:$Y$500,0)),"")</f>
        <v/>
      </c>
      <c r="J328" s="4" t="str">
        <f>IFERROR(INDEX(样本到样信息汇总统计!J$2:J$500,MATCH(327,样本到样信息汇总统计!$Y$2:$Y$500,0)),"")</f>
        <v/>
      </c>
      <c r="K328" s="4" t="str">
        <f>IFERROR(INDEX(样本到样信息汇总统计!K$2:K$500,MATCH(327,样本到样信息汇总统计!$Y$2:$Y$500,0)),"")</f>
        <v/>
      </c>
      <c r="L328" s="4" t="str">
        <f>IFERROR(INDEX(样本到样信息汇总统计!L$2:L$500,MATCH(327,样本到样信息汇总统计!$Y$2:$Y$500,0)),"")</f>
        <v/>
      </c>
      <c r="M328" s="4" t="str">
        <f>IFERROR(INDEX(样本到样信息汇总统计!M$2:M$500,MATCH(327,样本到样信息汇总统计!$Y$2:$Y$500,0)),"")</f>
        <v/>
      </c>
      <c r="N328" s="4" t="str">
        <f>IFERROR(INDEX(样本到样信息汇总统计!N$2:N$500,MATCH(327,样本到样信息汇总统计!$Y$2:$Y$500,0)),"")</f>
        <v/>
      </c>
      <c r="O328" s="4" t="str">
        <f>IFERROR(INDEX(样本到样信息汇总统计!O$2:O$500,MATCH(327,样本到样信息汇总统计!$Y$2:$Y$500,0)),"")</f>
        <v/>
      </c>
      <c r="P328" s="4" t="str">
        <f>IFERROR(INDEX(样本到样信息汇总统计!P$2:P$500,MATCH(327,样本到样信息汇总统计!$Y$2:$Y$500,0)),"")</f>
        <v/>
      </c>
      <c r="Q328" s="4" t="str">
        <f>IFERROR(INDEX(样本到样信息汇总统计!Q$2:Q$500,MATCH(327,样本到样信息汇总统计!$Y$2:$Y$500,0)),"")</f>
        <v/>
      </c>
      <c r="R328" s="4" t="str">
        <f>IFERROR(INDEX(样本到样信息汇总统计!R$2:R$500,MATCH(327,样本到样信息汇总统计!$Y$2:$Y$500,0)),"")</f>
        <v/>
      </c>
      <c r="S328" s="4" t="str">
        <f>IFERROR(INDEX(样本到样信息汇总统计!S$2:S$500,MATCH(327,样本到样信息汇总统计!$Y$2:$Y$500,0)),"")</f>
        <v/>
      </c>
      <c r="T328" s="4" t="str">
        <f>IFERROR(INDEX(样本到样信息汇总统计!T$2:T$500,MATCH(327,样本到样信息汇总统计!$Y$2:$Y$500,0)),"")</f>
        <v/>
      </c>
      <c r="U328" s="4" t="str">
        <f>IFERROR(INDEX(样本到样信息汇总统计!U$2:U$500,MATCH(327,样本到样信息汇总统计!$Y$2:$Y$500,0)),"")</f>
        <v/>
      </c>
      <c r="V328" s="4" t="str">
        <f>IFERROR(INDEX(样本到样信息汇总统计!V$2:V$500,MATCH(327,样本到样信息汇总统计!$Y$2:$Y$500,0)),"")</f>
        <v/>
      </c>
      <c r="W328" s="4" t="str">
        <f>IFERROR(INDEX(样本到样信息汇总统计!W$2:W$500,MATCH(327,样本到样信息汇总统计!$Y$2:$Y$500,0)),"")</f>
        <v/>
      </c>
    </row>
    <row r="329" ht="14.5" spans="1:23">
      <c r="A329" s="8" t="str">
        <f>IFERROR(INDEX(样本到样信息汇总统计!A$2:A$500,MATCH(328,样本到样信息汇总统计!$Y$2:$Y$500,0)),"")</f>
        <v/>
      </c>
      <c r="B329" s="8" t="str">
        <f>IFERROR(INDEX(样本到样信息汇总统计!B$2:B$500,MATCH(328,样本到样信息汇总统计!$Y$2:$Y$500,0)),"")</f>
        <v/>
      </c>
      <c r="C329" s="8" t="str">
        <f>IFERROR(INDEX(样本到样信息汇总统计!C$2:C$500,MATCH(328,样本到样信息汇总统计!$Y$2:$Y$500,0)),"")</f>
        <v/>
      </c>
      <c r="D329" s="8" t="str">
        <f>IFERROR(INDEX(样本到样信息汇总统计!D$2:D$500,MATCH(328,样本到样信息汇总统计!$Y$2:$Y$500,0)),"")</f>
        <v/>
      </c>
      <c r="E329" s="8" t="str">
        <f>IFERROR(INDEX(样本到样信息汇总统计!E$2:E$500,MATCH(328,样本到样信息汇总统计!$Y$2:$Y$500,0)),"")</f>
        <v/>
      </c>
      <c r="F329" s="8" t="str">
        <f>IFERROR(INDEX(样本到样信息汇总统计!F$2:F$500,MATCH(328,样本到样信息汇总统计!$Y$2:$Y$500,0)),"")</f>
        <v/>
      </c>
      <c r="G329" s="8" t="str">
        <f>IFERROR(INDEX(样本到样信息汇总统计!G$2:G$500,MATCH(328,样本到样信息汇总统计!$Y$2:$Y$500,0)),"")</f>
        <v/>
      </c>
      <c r="H329" s="8" t="str">
        <f>IFERROR(INDEX(样本到样信息汇总统计!H$2:H$500,MATCH(328,样本到样信息汇总统计!$Y$2:$Y$500,0)),"")</f>
        <v/>
      </c>
      <c r="I329" s="8" t="str">
        <f>IFERROR(INDEX(样本到样信息汇总统计!I$2:I$500,MATCH(328,样本到样信息汇总统计!$Y$2:$Y$500,0)),"")</f>
        <v/>
      </c>
      <c r="J329" s="8" t="str">
        <f>IFERROR(INDEX(样本到样信息汇总统计!J$2:J$500,MATCH(328,样本到样信息汇总统计!$Y$2:$Y$500,0)),"")</f>
        <v/>
      </c>
      <c r="K329" s="8" t="str">
        <f>IFERROR(INDEX(样本到样信息汇总统计!K$2:K$500,MATCH(328,样本到样信息汇总统计!$Y$2:$Y$500,0)),"")</f>
        <v/>
      </c>
      <c r="L329" s="8" t="str">
        <f>IFERROR(INDEX(样本到样信息汇总统计!L$2:L$500,MATCH(328,样本到样信息汇总统计!$Y$2:$Y$500,0)),"")</f>
        <v/>
      </c>
      <c r="M329" s="8" t="str">
        <f>IFERROR(INDEX(样本到样信息汇总统计!M$2:M$500,MATCH(328,样本到样信息汇总统计!$Y$2:$Y$500,0)),"")</f>
        <v/>
      </c>
      <c r="N329" s="8" t="str">
        <f>IFERROR(INDEX(样本到样信息汇总统计!N$2:N$500,MATCH(328,样本到样信息汇总统计!$Y$2:$Y$500,0)),"")</f>
        <v/>
      </c>
      <c r="O329" s="8" t="str">
        <f>IFERROR(INDEX(样本到样信息汇总统计!O$2:O$500,MATCH(328,样本到样信息汇总统计!$Y$2:$Y$500,0)),"")</f>
        <v/>
      </c>
      <c r="P329" s="8" t="str">
        <f>IFERROR(INDEX(样本到样信息汇总统计!P$2:P$500,MATCH(328,样本到样信息汇总统计!$Y$2:$Y$500,0)),"")</f>
        <v/>
      </c>
      <c r="Q329" s="8" t="str">
        <f>IFERROR(INDEX(样本到样信息汇总统计!Q$2:Q$500,MATCH(328,样本到样信息汇总统计!$Y$2:$Y$500,0)),"")</f>
        <v/>
      </c>
      <c r="R329" s="8" t="str">
        <f>IFERROR(INDEX(样本到样信息汇总统计!R$2:R$500,MATCH(328,样本到样信息汇总统计!$Y$2:$Y$500,0)),"")</f>
        <v/>
      </c>
      <c r="S329" s="8" t="str">
        <f>IFERROR(INDEX(样本到样信息汇总统计!S$2:S$500,MATCH(328,样本到样信息汇总统计!$Y$2:$Y$500,0)),"")</f>
        <v/>
      </c>
      <c r="T329" s="8" t="str">
        <f>IFERROR(INDEX(样本到样信息汇总统计!T$2:T$500,MATCH(328,样本到样信息汇总统计!$Y$2:$Y$500,0)),"")</f>
        <v/>
      </c>
      <c r="U329" s="8" t="str">
        <f>IFERROR(INDEX(样本到样信息汇总统计!U$2:U$500,MATCH(328,样本到样信息汇总统计!$Y$2:$Y$500,0)),"")</f>
        <v/>
      </c>
      <c r="V329" s="8" t="str">
        <f>IFERROR(INDEX(样本到样信息汇总统计!V$2:V$500,MATCH(328,样本到样信息汇总统计!$Y$2:$Y$500,0)),"")</f>
        <v/>
      </c>
      <c r="W329" s="8" t="str">
        <f>IFERROR(INDEX(样本到样信息汇总统计!W$2:W$500,MATCH(328,样本到样信息汇总统计!$Y$2:$Y$500,0)),"")</f>
        <v/>
      </c>
    </row>
    <row r="330" ht="14.5" spans="1:23">
      <c r="A330" s="4" t="str">
        <f>IFERROR(INDEX(样本到样信息汇总统计!A$2:A$500,MATCH(329,样本到样信息汇总统计!$Y$2:$Y$500,0)),"")</f>
        <v/>
      </c>
      <c r="B330" s="4" t="str">
        <f>IFERROR(INDEX(样本到样信息汇总统计!B$2:B$500,MATCH(329,样本到样信息汇总统计!$Y$2:$Y$500,0)),"")</f>
        <v/>
      </c>
      <c r="C330" s="4" t="str">
        <f>IFERROR(INDEX(样本到样信息汇总统计!C$2:C$500,MATCH(329,样本到样信息汇总统计!$Y$2:$Y$500,0)),"")</f>
        <v/>
      </c>
      <c r="D330" s="4" t="str">
        <f>IFERROR(INDEX(样本到样信息汇总统计!D$2:D$500,MATCH(329,样本到样信息汇总统计!$Y$2:$Y$500,0)),"")</f>
        <v/>
      </c>
      <c r="E330" s="4" t="str">
        <f>IFERROR(INDEX(样本到样信息汇总统计!E$2:E$500,MATCH(329,样本到样信息汇总统计!$Y$2:$Y$500,0)),"")</f>
        <v/>
      </c>
      <c r="F330" s="4" t="str">
        <f>IFERROR(INDEX(样本到样信息汇总统计!F$2:F$500,MATCH(329,样本到样信息汇总统计!$Y$2:$Y$500,0)),"")</f>
        <v/>
      </c>
      <c r="G330" s="4" t="str">
        <f>IFERROR(INDEX(样本到样信息汇总统计!G$2:G$500,MATCH(329,样本到样信息汇总统计!$Y$2:$Y$500,0)),"")</f>
        <v/>
      </c>
      <c r="H330" s="4" t="str">
        <f>IFERROR(INDEX(样本到样信息汇总统计!H$2:H$500,MATCH(329,样本到样信息汇总统计!$Y$2:$Y$500,0)),"")</f>
        <v/>
      </c>
      <c r="I330" s="4" t="str">
        <f>IFERROR(INDEX(样本到样信息汇总统计!I$2:I$500,MATCH(329,样本到样信息汇总统计!$Y$2:$Y$500,0)),"")</f>
        <v/>
      </c>
      <c r="J330" s="4" t="str">
        <f>IFERROR(INDEX(样本到样信息汇总统计!J$2:J$500,MATCH(329,样本到样信息汇总统计!$Y$2:$Y$500,0)),"")</f>
        <v/>
      </c>
      <c r="K330" s="4" t="str">
        <f>IFERROR(INDEX(样本到样信息汇总统计!K$2:K$500,MATCH(329,样本到样信息汇总统计!$Y$2:$Y$500,0)),"")</f>
        <v/>
      </c>
      <c r="L330" s="4" t="str">
        <f>IFERROR(INDEX(样本到样信息汇总统计!L$2:L$500,MATCH(329,样本到样信息汇总统计!$Y$2:$Y$500,0)),"")</f>
        <v/>
      </c>
      <c r="M330" s="4" t="str">
        <f>IFERROR(INDEX(样本到样信息汇总统计!M$2:M$500,MATCH(329,样本到样信息汇总统计!$Y$2:$Y$500,0)),"")</f>
        <v/>
      </c>
      <c r="N330" s="4" t="str">
        <f>IFERROR(INDEX(样本到样信息汇总统计!N$2:N$500,MATCH(329,样本到样信息汇总统计!$Y$2:$Y$500,0)),"")</f>
        <v/>
      </c>
      <c r="O330" s="4" t="str">
        <f>IFERROR(INDEX(样本到样信息汇总统计!O$2:O$500,MATCH(329,样本到样信息汇总统计!$Y$2:$Y$500,0)),"")</f>
        <v/>
      </c>
      <c r="P330" s="4" t="str">
        <f>IFERROR(INDEX(样本到样信息汇总统计!P$2:P$500,MATCH(329,样本到样信息汇总统计!$Y$2:$Y$500,0)),"")</f>
        <v/>
      </c>
      <c r="Q330" s="4" t="str">
        <f>IFERROR(INDEX(样本到样信息汇总统计!Q$2:Q$500,MATCH(329,样本到样信息汇总统计!$Y$2:$Y$500,0)),"")</f>
        <v/>
      </c>
      <c r="R330" s="4" t="str">
        <f>IFERROR(INDEX(样本到样信息汇总统计!R$2:R$500,MATCH(329,样本到样信息汇总统计!$Y$2:$Y$500,0)),"")</f>
        <v/>
      </c>
      <c r="S330" s="4" t="str">
        <f>IFERROR(INDEX(样本到样信息汇总统计!S$2:S$500,MATCH(329,样本到样信息汇总统计!$Y$2:$Y$500,0)),"")</f>
        <v/>
      </c>
      <c r="T330" s="4" t="str">
        <f>IFERROR(INDEX(样本到样信息汇总统计!T$2:T$500,MATCH(329,样本到样信息汇总统计!$Y$2:$Y$500,0)),"")</f>
        <v/>
      </c>
      <c r="U330" s="4" t="str">
        <f>IFERROR(INDEX(样本到样信息汇总统计!U$2:U$500,MATCH(329,样本到样信息汇总统计!$Y$2:$Y$500,0)),"")</f>
        <v/>
      </c>
      <c r="V330" s="4" t="str">
        <f>IFERROR(INDEX(样本到样信息汇总统计!V$2:V$500,MATCH(329,样本到样信息汇总统计!$Y$2:$Y$500,0)),"")</f>
        <v/>
      </c>
      <c r="W330" s="4" t="str">
        <f>IFERROR(INDEX(样本到样信息汇总统计!W$2:W$500,MATCH(329,样本到样信息汇总统计!$Y$2:$Y$500,0)),"")</f>
        <v/>
      </c>
    </row>
    <row r="331" ht="14.5" spans="1:23">
      <c r="A331" s="8" t="str">
        <f>IFERROR(INDEX(样本到样信息汇总统计!A$2:A$500,MATCH(330,样本到样信息汇总统计!$Y$2:$Y$500,0)),"")</f>
        <v/>
      </c>
      <c r="B331" s="8" t="str">
        <f>IFERROR(INDEX(样本到样信息汇总统计!B$2:B$500,MATCH(330,样本到样信息汇总统计!$Y$2:$Y$500,0)),"")</f>
        <v/>
      </c>
      <c r="C331" s="8" t="str">
        <f>IFERROR(INDEX(样本到样信息汇总统计!C$2:C$500,MATCH(330,样本到样信息汇总统计!$Y$2:$Y$500,0)),"")</f>
        <v/>
      </c>
      <c r="D331" s="8" t="str">
        <f>IFERROR(INDEX(样本到样信息汇总统计!D$2:D$500,MATCH(330,样本到样信息汇总统计!$Y$2:$Y$500,0)),"")</f>
        <v/>
      </c>
      <c r="E331" s="8" t="str">
        <f>IFERROR(INDEX(样本到样信息汇总统计!E$2:E$500,MATCH(330,样本到样信息汇总统计!$Y$2:$Y$500,0)),"")</f>
        <v/>
      </c>
      <c r="F331" s="8" t="str">
        <f>IFERROR(INDEX(样本到样信息汇总统计!F$2:F$500,MATCH(330,样本到样信息汇总统计!$Y$2:$Y$500,0)),"")</f>
        <v/>
      </c>
      <c r="G331" s="8" t="str">
        <f>IFERROR(INDEX(样本到样信息汇总统计!G$2:G$500,MATCH(330,样本到样信息汇总统计!$Y$2:$Y$500,0)),"")</f>
        <v/>
      </c>
      <c r="H331" s="8" t="str">
        <f>IFERROR(INDEX(样本到样信息汇总统计!H$2:H$500,MATCH(330,样本到样信息汇总统计!$Y$2:$Y$500,0)),"")</f>
        <v/>
      </c>
      <c r="I331" s="8" t="str">
        <f>IFERROR(INDEX(样本到样信息汇总统计!I$2:I$500,MATCH(330,样本到样信息汇总统计!$Y$2:$Y$500,0)),"")</f>
        <v/>
      </c>
      <c r="J331" s="8" t="str">
        <f>IFERROR(INDEX(样本到样信息汇总统计!J$2:J$500,MATCH(330,样本到样信息汇总统计!$Y$2:$Y$500,0)),"")</f>
        <v/>
      </c>
      <c r="K331" s="8" t="str">
        <f>IFERROR(INDEX(样本到样信息汇总统计!K$2:K$500,MATCH(330,样本到样信息汇总统计!$Y$2:$Y$500,0)),"")</f>
        <v/>
      </c>
      <c r="L331" s="8" t="str">
        <f>IFERROR(INDEX(样本到样信息汇总统计!L$2:L$500,MATCH(330,样本到样信息汇总统计!$Y$2:$Y$500,0)),"")</f>
        <v/>
      </c>
      <c r="M331" s="8" t="str">
        <f>IFERROR(INDEX(样本到样信息汇总统计!M$2:M$500,MATCH(330,样本到样信息汇总统计!$Y$2:$Y$500,0)),"")</f>
        <v/>
      </c>
      <c r="N331" s="8" t="str">
        <f>IFERROR(INDEX(样本到样信息汇总统计!N$2:N$500,MATCH(330,样本到样信息汇总统计!$Y$2:$Y$500,0)),"")</f>
        <v/>
      </c>
      <c r="O331" s="8" t="str">
        <f>IFERROR(INDEX(样本到样信息汇总统计!O$2:O$500,MATCH(330,样本到样信息汇总统计!$Y$2:$Y$500,0)),"")</f>
        <v/>
      </c>
      <c r="P331" s="8" t="str">
        <f>IFERROR(INDEX(样本到样信息汇总统计!P$2:P$500,MATCH(330,样本到样信息汇总统计!$Y$2:$Y$500,0)),"")</f>
        <v/>
      </c>
      <c r="Q331" s="8" t="str">
        <f>IFERROR(INDEX(样本到样信息汇总统计!Q$2:Q$500,MATCH(330,样本到样信息汇总统计!$Y$2:$Y$500,0)),"")</f>
        <v/>
      </c>
      <c r="R331" s="8" t="str">
        <f>IFERROR(INDEX(样本到样信息汇总统计!R$2:R$500,MATCH(330,样本到样信息汇总统计!$Y$2:$Y$500,0)),"")</f>
        <v/>
      </c>
      <c r="S331" s="8" t="str">
        <f>IFERROR(INDEX(样本到样信息汇总统计!S$2:S$500,MATCH(330,样本到样信息汇总统计!$Y$2:$Y$500,0)),"")</f>
        <v/>
      </c>
      <c r="T331" s="8" t="str">
        <f>IFERROR(INDEX(样本到样信息汇总统计!T$2:T$500,MATCH(330,样本到样信息汇总统计!$Y$2:$Y$500,0)),"")</f>
        <v/>
      </c>
      <c r="U331" s="8" t="str">
        <f>IFERROR(INDEX(样本到样信息汇总统计!U$2:U$500,MATCH(330,样本到样信息汇总统计!$Y$2:$Y$500,0)),"")</f>
        <v/>
      </c>
      <c r="V331" s="8" t="str">
        <f>IFERROR(INDEX(样本到样信息汇总统计!V$2:V$500,MATCH(330,样本到样信息汇总统计!$Y$2:$Y$500,0)),"")</f>
        <v/>
      </c>
      <c r="W331" s="8" t="str">
        <f>IFERROR(INDEX(样本到样信息汇总统计!W$2:W$500,MATCH(330,样本到样信息汇总统计!$Y$2:$Y$500,0)),"")</f>
        <v/>
      </c>
    </row>
    <row r="332" ht="14.5" spans="1:23">
      <c r="A332" s="4" t="str">
        <f>IFERROR(INDEX(样本到样信息汇总统计!A$2:A$500,MATCH(331,样本到样信息汇总统计!$Y$2:$Y$500,0)),"")</f>
        <v/>
      </c>
      <c r="B332" s="4" t="str">
        <f>IFERROR(INDEX(样本到样信息汇总统计!B$2:B$500,MATCH(331,样本到样信息汇总统计!$Y$2:$Y$500,0)),"")</f>
        <v/>
      </c>
      <c r="C332" s="4" t="str">
        <f>IFERROR(INDEX(样本到样信息汇总统计!C$2:C$500,MATCH(331,样本到样信息汇总统计!$Y$2:$Y$500,0)),"")</f>
        <v/>
      </c>
      <c r="D332" s="4" t="str">
        <f>IFERROR(INDEX(样本到样信息汇总统计!D$2:D$500,MATCH(331,样本到样信息汇总统计!$Y$2:$Y$500,0)),"")</f>
        <v/>
      </c>
      <c r="E332" s="4" t="str">
        <f>IFERROR(INDEX(样本到样信息汇总统计!E$2:E$500,MATCH(331,样本到样信息汇总统计!$Y$2:$Y$500,0)),"")</f>
        <v/>
      </c>
      <c r="F332" s="4" t="str">
        <f>IFERROR(INDEX(样本到样信息汇总统计!F$2:F$500,MATCH(331,样本到样信息汇总统计!$Y$2:$Y$500,0)),"")</f>
        <v/>
      </c>
      <c r="G332" s="4" t="str">
        <f>IFERROR(INDEX(样本到样信息汇总统计!G$2:G$500,MATCH(331,样本到样信息汇总统计!$Y$2:$Y$500,0)),"")</f>
        <v/>
      </c>
      <c r="H332" s="4" t="str">
        <f>IFERROR(INDEX(样本到样信息汇总统计!H$2:H$500,MATCH(331,样本到样信息汇总统计!$Y$2:$Y$500,0)),"")</f>
        <v/>
      </c>
      <c r="I332" s="4" t="str">
        <f>IFERROR(INDEX(样本到样信息汇总统计!I$2:I$500,MATCH(331,样本到样信息汇总统计!$Y$2:$Y$500,0)),"")</f>
        <v/>
      </c>
      <c r="J332" s="4" t="str">
        <f>IFERROR(INDEX(样本到样信息汇总统计!J$2:J$500,MATCH(331,样本到样信息汇总统计!$Y$2:$Y$500,0)),"")</f>
        <v/>
      </c>
      <c r="K332" s="4" t="str">
        <f>IFERROR(INDEX(样本到样信息汇总统计!K$2:K$500,MATCH(331,样本到样信息汇总统计!$Y$2:$Y$500,0)),"")</f>
        <v/>
      </c>
      <c r="L332" s="4" t="str">
        <f>IFERROR(INDEX(样本到样信息汇总统计!L$2:L$500,MATCH(331,样本到样信息汇总统计!$Y$2:$Y$500,0)),"")</f>
        <v/>
      </c>
      <c r="M332" s="4" t="str">
        <f>IFERROR(INDEX(样本到样信息汇总统计!M$2:M$500,MATCH(331,样本到样信息汇总统计!$Y$2:$Y$500,0)),"")</f>
        <v/>
      </c>
      <c r="N332" s="4" t="str">
        <f>IFERROR(INDEX(样本到样信息汇总统计!N$2:N$500,MATCH(331,样本到样信息汇总统计!$Y$2:$Y$500,0)),"")</f>
        <v/>
      </c>
      <c r="O332" s="4" t="str">
        <f>IFERROR(INDEX(样本到样信息汇总统计!O$2:O$500,MATCH(331,样本到样信息汇总统计!$Y$2:$Y$500,0)),"")</f>
        <v/>
      </c>
      <c r="P332" s="4" t="str">
        <f>IFERROR(INDEX(样本到样信息汇总统计!P$2:P$500,MATCH(331,样本到样信息汇总统计!$Y$2:$Y$500,0)),"")</f>
        <v/>
      </c>
      <c r="Q332" s="4" t="str">
        <f>IFERROR(INDEX(样本到样信息汇总统计!Q$2:Q$500,MATCH(331,样本到样信息汇总统计!$Y$2:$Y$500,0)),"")</f>
        <v/>
      </c>
      <c r="R332" s="4" t="str">
        <f>IFERROR(INDEX(样本到样信息汇总统计!R$2:R$500,MATCH(331,样本到样信息汇总统计!$Y$2:$Y$500,0)),"")</f>
        <v/>
      </c>
      <c r="S332" s="4" t="str">
        <f>IFERROR(INDEX(样本到样信息汇总统计!S$2:S$500,MATCH(331,样本到样信息汇总统计!$Y$2:$Y$500,0)),"")</f>
        <v/>
      </c>
      <c r="T332" s="4" t="str">
        <f>IFERROR(INDEX(样本到样信息汇总统计!T$2:T$500,MATCH(331,样本到样信息汇总统计!$Y$2:$Y$500,0)),"")</f>
        <v/>
      </c>
      <c r="U332" s="4" t="str">
        <f>IFERROR(INDEX(样本到样信息汇总统计!U$2:U$500,MATCH(331,样本到样信息汇总统计!$Y$2:$Y$500,0)),"")</f>
        <v/>
      </c>
      <c r="V332" s="4" t="str">
        <f>IFERROR(INDEX(样本到样信息汇总统计!V$2:V$500,MATCH(331,样本到样信息汇总统计!$Y$2:$Y$500,0)),"")</f>
        <v/>
      </c>
      <c r="W332" s="4" t="str">
        <f>IFERROR(INDEX(样本到样信息汇总统计!W$2:W$500,MATCH(331,样本到样信息汇总统计!$Y$2:$Y$500,0)),"")</f>
        <v/>
      </c>
    </row>
    <row r="333" ht="14.5" spans="1:23">
      <c r="A333" s="8" t="str">
        <f>IFERROR(INDEX(样本到样信息汇总统计!A$2:A$500,MATCH(332,样本到样信息汇总统计!$Y$2:$Y$500,0)),"")</f>
        <v/>
      </c>
      <c r="B333" s="8" t="str">
        <f>IFERROR(INDEX(样本到样信息汇总统计!B$2:B$500,MATCH(332,样本到样信息汇总统计!$Y$2:$Y$500,0)),"")</f>
        <v/>
      </c>
      <c r="C333" s="8" t="str">
        <f>IFERROR(INDEX(样本到样信息汇总统计!C$2:C$500,MATCH(332,样本到样信息汇总统计!$Y$2:$Y$500,0)),"")</f>
        <v/>
      </c>
      <c r="D333" s="8" t="str">
        <f>IFERROR(INDEX(样本到样信息汇总统计!D$2:D$500,MATCH(332,样本到样信息汇总统计!$Y$2:$Y$500,0)),"")</f>
        <v/>
      </c>
      <c r="E333" s="8" t="str">
        <f>IFERROR(INDEX(样本到样信息汇总统计!E$2:E$500,MATCH(332,样本到样信息汇总统计!$Y$2:$Y$500,0)),"")</f>
        <v/>
      </c>
      <c r="F333" s="8" t="str">
        <f>IFERROR(INDEX(样本到样信息汇总统计!F$2:F$500,MATCH(332,样本到样信息汇总统计!$Y$2:$Y$500,0)),"")</f>
        <v/>
      </c>
      <c r="G333" s="8" t="str">
        <f>IFERROR(INDEX(样本到样信息汇总统计!G$2:G$500,MATCH(332,样本到样信息汇总统计!$Y$2:$Y$500,0)),"")</f>
        <v/>
      </c>
      <c r="H333" s="8" t="str">
        <f>IFERROR(INDEX(样本到样信息汇总统计!H$2:H$500,MATCH(332,样本到样信息汇总统计!$Y$2:$Y$500,0)),"")</f>
        <v/>
      </c>
      <c r="I333" s="8" t="str">
        <f>IFERROR(INDEX(样本到样信息汇总统计!I$2:I$500,MATCH(332,样本到样信息汇总统计!$Y$2:$Y$500,0)),"")</f>
        <v/>
      </c>
      <c r="J333" s="8" t="str">
        <f>IFERROR(INDEX(样本到样信息汇总统计!J$2:J$500,MATCH(332,样本到样信息汇总统计!$Y$2:$Y$500,0)),"")</f>
        <v/>
      </c>
      <c r="K333" s="8" t="str">
        <f>IFERROR(INDEX(样本到样信息汇总统计!K$2:K$500,MATCH(332,样本到样信息汇总统计!$Y$2:$Y$500,0)),"")</f>
        <v/>
      </c>
      <c r="L333" s="8" t="str">
        <f>IFERROR(INDEX(样本到样信息汇总统计!L$2:L$500,MATCH(332,样本到样信息汇总统计!$Y$2:$Y$500,0)),"")</f>
        <v/>
      </c>
      <c r="M333" s="8" t="str">
        <f>IFERROR(INDEX(样本到样信息汇总统计!M$2:M$500,MATCH(332,样本到样信息汇总统计!$Y$2:$Y$500,0)),"")</f>
        <v/>
      </c>
      <c r="N333" s="8" t="str">
        <f>IFERROR(INDEX(样本到样信息汇总统计!N$2:N$500,MATCH(332,样本到样信息汇总统计!$Y$2:$Y$500,0)),"")</f>
        <v/>
      </c>
      <c r="O333" s="8" t="str">
        <f>IFERROR(INDEX(样本到样信息汇总统计!O$2:O$500,MATCH(332,样本到样信息汇总统计!$Y$2:$Y$500,0)),"")</f>
        <v/>
      </c>
      <c r="P333" s="8" t="str">
        <f>IFERROR(INDEX(样本到样信息汇总统计!P$2:P$500,MATCH(332,样本到样信息汇总统计!$Y$2:$Y$500,0)),"")</f>
        <v/>
      </c>
      <c r="Q333" s="8" t="str">
        <f>IFERROR(INDEX(样本到样信息汇总统计!Q$2:Q$500,MATCH(332,样本到样信息汇总统计!$Y$2:$Y$500,0)),"")</f>
        <v/>
      </c>
      <c r="R333" s="8" t="str">
        <f>IFERROR(INDEX(样本到样信息汇总统计!R$2:R$500,MATCH(332,样本到样信息汇总统计!$Y$2:$Y$500,0)),"")</f>
        <v/>
      </c>
      <c r="S333" s="8" t="str">
        <f>IFERROR(INDEX(样本到样信息汇总统计!S$2:S$500,MATCH(332,样本到样信息汇总统计!$Y$2:$Y$500,0)),"")</f>
        <v/>
      </c>
      <c r="T333" s="8" t="str">
        <f>IFERROR(INDEX(样本到样信息汇总统计!T$2:T$500,MATCH(332,样本到样信息汇总统计!$Y$2:$Y$500,0)),"")</f>
        <v/>
      </c>
      <c r="U333" s="8" t="str">
        <f>IFERROR(INDEX(样本到样信息汇总统计!U$2:U$500,MATCH(332,样本到样信息汇总统计!$Y$2:$Y$500,0)),"")</f>
        <v/>
      </c>
      <c r="V333" s="8" t="str">
        <f>IFERROR(INDEX(样本到样信息汇总统计!V$2:V$500,MATCH(332,样本到样信息汇总统计!$Y$2:$Y$500,0)),"")</f>
        <v/>
      </c>
      <c r="W333" s="8" t="str">
        <f>IFERROR(INDEX(样本到样信息汇总统计!W$2:W$500,MATCH(332,样本到样信息汇总统计!$Y$2:$Y$500,0)),"")</f>
        <v/>
      </c>
    </row>
    <row r="334" ht="14.5" spans="1:23">
      <c r="A334" s="4" t="str">
        <f>IFERROR(INDEX(样本到样信息汇总统计!A$2:A$500,MATCH(333,样本到样信息汇总统计!$Y$2:$Y$500,0)),"")</f>
        <v/>
      </c>
      <c r="B334" s="4" t="str">
        <f>IFERROR(INDEX(样本到样信息汇总统计!B$2:B$500,MATCH(333,样本到样信息汇总统计!$Y$2:$Y$500,0)),"")</f>
        <v/>
      </c>
      <c r="C334" s="4" t="str">
        <f>IFERROR(INDEX(样本到样信息汇总统计!C$2:C$500,MATCH(333,样本到样信息汇总统计!$Y$2:$Y$500,0)),"")</f>
        <v/>
      </c>
      <c r="D334" s="4" t="str">
        <f>IFERROR(INDEX(样本到样信息汇总统计!D$2:D$500,MATCH(333,样本到样信息汇总统计!$Y$2:$Y$500,0)),"")</f>
        <v/>
      </c>
      <c r="E334" s="4" t="str">
        <f>IFERROR(INDEX(样本到样信息汇总统计!E$2:E$500,MATCH(333,样本到样信息汇总统计!$Y$2:$Y$500,0)),"")</f>
        <v/>
      </c>
      <c r="F334" s="4" t="str">
        <f>IFERROR(INDEX(样本到样信息汇总统计!F$2:F$500,MATCH(333,样本到样信息汇总统计!$Y$2:$Y$500,0)),"")</f>
        <v/>
      </c>
      <c r="G334" s="4" t="str">
        <f>IFERROR(INDEX(样本到样信息汇总统计!G$2:G$500,MATCH(333,样本到样信息汇总统计!$Y$2:$Y$500,0)),"")</f>
        <v/>
      </c>
      <c r="H334" s="4" t="str">
        <f>IFERROR(INDEX(样本到样信息汇总统计!H$2:H$500,MATCH(333,样本到样信息汇总统计!$Y$2:$Y$500,0)),"")</f>
        <v/>
      </c>
      <c r="I334" s="4" t="str">
        <f>IFERROR(INDEX(样本到样信息汇总统计!I$2:I$500,MATCH(333,样本到样信息汇总统计!$Y$2:$Y$500,0)),"")</f>
        <v/>
      </c>
      <c r="J334" s="4" t="str">
        <f>IFERROR(INDEX(样本到样信息汇总统计!J$2:J$500,MATCH(333,样本到样信息汇总统计!$Y$2:$Y$500,0)),"")</f>
        <v/>
      </c>
      <c r="K334" s="4" t="str">
        <f>IFERROR(INDEX(样本到样信息汇总统计!K$2:K$500,MATCH(333,样本到样信息汇总统计!$Y$2:$Y$500,0)),"")</f>
        <v/>
      </c>
      <c r="L334" s="4" t="str">
        <f>IFERROR(INDEX(样本到样信息汇总统计!L$2:L$500,MATCH(333,样本到样信息汇总统计!$Y$2:$Y$500,0)),"")</f>
        <v/>
      </c>
      <c r="M334" s="4" t="str">
        <f>IFERROR(INDEX(样本到样信息汇总统计!M$2:M$500,MATCH(333,样本到样信息汇总统计!$Y$2:$Y$500,0)),"")</f>
        <v/>
      </c>
      <c r="N334" s="4" t="str">
        <f>IFERROR(INDEX(样本到样信息汇总统计!N$2:N$500,MATCH(333,样本到样信息汇总统计!$Y$2:$Y$500,0)),"")</f>
        <v/>
      </c>
      <c r="O334" s="4" t="str">
        <f>IFERROR(INDEX(样本到样信息汇总统计!O$2:O$500,MATCH(333,样本到样信息汇总统计!$Y$2:$Y$500,0)),"")</f>
        <v/>
      </c>
      <c r="P334" s="4" t="str">
        <f>IFERROR(INDEX(样本到样信息汇总统计!P$2:P$500,MATCH(333,样本到样信息汇总统计!$Y$2:$Y$500,0)),"")</f>
        <v/>
      </c>
      <c r="Q334" s="4" t="str">
        <f>IFERROR(INDEX(样本到样信息汇总统计!Q$2:Q$500,MATCH(333,样本到样信息汇总统计!$Y$2:$Y$500,0)),"")</f>
        <v/>
      </c>
      <c r="R334" s="4" t="str">
        <f>IFERROR(INDEX(样本到样信息汇总统计!R$2:R$500,MATCH(333,样本到样信息汇总统计!$Y$2:$Y$500,0)),"")</f>
        <v/>
      </c>
      <c r="S334" s="4" t="str">
        <f>IFERROR(INDEX(样本到样信息汇总统计!S$2:S$500,MATCH(333,样本到样信息汇总统计!$Y$2:$Y$500,0)),"")</f>
        <v/>
      </c>
      <c r="T334" s="4" t="str">
        <f>IFERROR(INDEX(样本到样信息汇总统计!T$2:T$500,MATCH(333,样本到样信息汇总统计!$Y$2:$Y$500,0)),"")</f>
        <v/>
      </c>
      <c r="U334" s="4" t="str">
        <f>IFERROR(INDEX(样本到样信息汇总统计!U$2:U$500,MATCH(333,样本到样信息汇总统计!$Y$2:$Y$500,0)),"")</f>
        <v/>
      </c>
      <c r="V334" s="4" t="str">
        <f>IFERROR(INDEX(样本到样信息汇总统计!V$2:V$500,MATCH(333,样本到样信息汇总统计!$Y$2:$Y$500,0)),"")</f>
        <v/>
      </c>
      <c r="W334" s="4" t="str">
        <f>IFERROR(INDEX(样本到样信息汇总统计!W$2:W$500,MATCH(333,样本到样信息汇总统计!$Y$2:$Y$500,0)),"")</f>
        <v/>
      </c>
    </row>
    <row r="335" ht="14.5" spans="1:23">
      <c r="A335" s="8" t="str">
        <f>IFERROR(INDEX(样本到样信息汇总统计!A$2:A$500,MATCH(334,样本到样信息汇总统计!$Y$2:$Y$500,0)),"")</f>
        <v/>
      </c>
      <c r="B335" s="8" t="str">
        <f>IFERROR(INDEX(样本到样信息汇总统计!B$2:B$500,MATCH(334,样本到样信息汇总统计!$Y$2:$Y$500,0)),"")</f>
        <v/>
      </c>
      <c r="C335" s="8" t="str">
        <f>IFERROR(INDEX(样本到样信息汇总统计!C$2:C$500,MATCH(334,样本到样信息汇总统计!$Y$2:$Y$500,0)),"")</f>
        <v/>
      </c>
      <c r="D335" s="8" t="str">
        <f>IFERROR(INDEX(样本到样信息汇总统计!D$2:D$500,MATCH(334,样本到样信息汇总统计!$Y$2:$Y$500,0)),"")</f>
        <v/>
      </c>
      <c r="E335" s="8" t="str">
        <f>IFERROR(INDEX(样本到样信息汇总统计!E$2:E$500,MATCH(334,样本到样信息汇总统计!$Y$2:$Y$500,0)),"")</f>
        <v/>
      </c>
      <c r="F335" s="8" t="str">
        <f>IFERROR(INDEX(样本到样信息汇总统计!F$2:F$500,MATCH(334,样本到样信息汇总统计!$Y$2:$Y$500,0)),"")</f>
        <v/>
      </c>
      <c r="G335" s="8" t="str">
        <f>IFERROR(INDEX(样本到样信息汇总统计!G$2:G$500,MATCH(334,样本到样信息汇总统计!$Y$2:$Y$500,0)),"")</f>
        <v/>
      </c>
      <c r="H335" s="8" t="str">
        <f>IFERROR(INDEX(样本到样信息汇总统计!H$2:H$500,MATCH(334,样本到样信息汇总统计!$Y$2:$Y$500,0)),"")</f>
        <v/>
      </c>
      <c r="I335" s="8" t="str">
        <f>IFERROR(INDEX(样本到样信息汇总统计!I$2:I$500,MATCH(334,样本到样信息汇总统计!$Y$2:$Y$500,0)),"")</f>
        <v/>
      </c>
      <c r="J335" s="8" t="str">
        <f>IFERROR(INDEX(样本到样信息汇总统计!J$2:J$500,MATCH(334,样本到样信息汇总统计!$Y$2:$Y$500,0)),"")</f>
        <v/>
      </c>
      <c r="K335" s="8" t="str">
        <f>IFERROR(INDEX(样本到样信息汇总统计!K$2:K$500,MATCH(334,样本到样信息汇总统计!$Y$2:$Y$500,0)),"")</f>
        <v/>
      </c>
      <c r="L335" s="8" t="str">
        <f>IFERROR(INDEX(样本到样信息汇总统计!L$2:L$500,MATCH(334,样本到样信息汇总统计!$Y$2:$Y$500,0)),"")</f>
        <v/>
      </c>
      <c r="M335" s="8" t="str">
        <f>IFERROR(INDEX(样本到样信息汇总统计!M$2:M$500,MATCH(334,样本到样信息汇总统计!$Y$2:$Y$500,0)),"")</f>
        <v/>
      </c>
      <c r="N335" s="8" t="str">
        <f>IFERROR(INDEX(样本到样信息汇总统计!N$2:N$500,MATCH(334,样本到样信息汇总统计!$Y$2:$Y$500,0)),"")</f>
        <v/>
      </c>
      <c r="O335" s="8" t="str">
        <f>IFERROR(INDEX(样本到样信息汇总统计!O$2:O$500,MATCH(334,样本到样信息汇总统计!$Y$2:$Y$500,0)),"")</f>
        <v/>
      </c>
      <c r="P335" s="8" t="str">
        <f>IFERROR(INDEX(样本到样信息汇总统计!P$2:P$500,MATCH(334,样本到样信息汇总统计!$Y$2:$Y$500,0)),"")</f>
        <v/>
      </c>
      <c r="Q335" s="8" t="str">
        <f>IFERROR(INDEX(样本到样信息汇总统计!Q$2:Q$500,MATCH(334,样本到样信息汇总统计!$Y$2:$Y$500,0)),"")</f>
        <v/>
      </c>
      <c r="R335" s="8" t="str">
        <f>IFERROR(INDEX(样本到样信息汇总统计!R$2:R$500,MATCH(334,样本到样信息汇总统计!$Y$2:$Y$500,0)),"")</f>
        <v/>
      </c>
      <c r="S335" s="8" t="str">
        <f>IFERROR(INDEX(样本到样信息汇总统计!S$2:S$500,MATCH(334,样本到样信息汇总统计!$Y$2:$Y$500,0)),"")</f>
        <v/>
      </c>
      <c r="T335" s="8" t="str">
        <f>IFERROR(INDEX(样本到样信息汇总统计!T$2:T$500,MATCH(334,样本到样信息汇总统计!$Y$2:$Y$500,0)),"")</f>
        <v/>
      </c>
      <c r="U335" s="8" t="str">
        <f>IFERROR(INDEX(样本到样信息汇总统计!U$2:U$500,MATCH(334,样本到样信息汇总统计!$Y$2:$Y$500,0)),"")</f>
        <v/>
      </c>
      <c r="V335" s="8" t="str">
        <f>IFERROR(INDEX(样本到样信息汇总统计!V$2:V$500,MATCH(334,样本到样信息汇总统计!$Y$2:$Y$500,0)),"")</f>
        <v/>
      </c>
      <c r="W335" s="8" t="str">
        <f>IFERROR(INDEX(样本到样信息汇总统计!W$2:W$500,MATCH(334,样本到样信息汇总统计!$Y$2:$Y$500,0)),"")</f>
        <v/>
      </c>
    </row>
    <row r="336" ht="14.5" spans="1:23">
      <c r="A336" s="4" t="str">
        <f>IFERROR(INDEX(样本到样信息汇总统计!A$2:A$500,MATCH(335,样本到样信息汇总统计!$Y$2:$Y$500,0)),"")</f>
        <v/>
      </c>
      <c r="B336" s="4" t="str">
        <f>IFERROR(INDEX(样本到样信息汇总统计!B$2:B$500,MATCH(335,样本到样信息汇总统计!$Y$2:$Y$500,0)),"")</f>
        <v/>
      </c>
      <c r="C336" s="4" t="str">
        <f>IFERROR(INDEX(样本到样信息汇总统计!C$2:C$500,MATCH(335,样本到样信息汇总统计!$Y$2:$Y$500,0)),"")</f>
        <v/>
      </c>
      <c r="D336" s="4" t="str">
        <f>IFERROR(INDEX(样本到样信息汇总统计!D$2:D$500,MATCH(335,样本到样信息汇总统计!$Y$2:$Y$500,0)),"")</f>
        <v/>
      </c>
      <c r="E336" s="4" t="str">
        <f>IFERROR(INDEX(样本到样信息汇总统计!E$2:E$500,MATCH(335,样本到样信息汇总统计!$Y$2:$Y$500,0)),"")</f>
        <v/>
      </c>
      <c r="F336" s="4" t="str">
        <f>IFERROR(INDEX(样本到样信息汇总统计!F$2:F$500,MATCH(335,样本到样信息汇总统计!$Y$2:$Y$500,0)),"")</f>
        <v/>
      </c>
      <c r="G336" s="4" t="str">
        <f>IFERROR(INDEX(样本到样信息汇总统计!G$2:G$500,MATCH(335,样本到样信息汇总统计!$Y$2:$Y$500,0)),"")</f>
        <v/>
      </c>
      <c r="H336" s="4" t="str">
        <f>IFERROR(INDEX(样本到样信息汇总统计!H$2:H$500,MATCH(335,样本到样信息汇总统计!$Y$2:$Y$500,0)),"")</f>
        <v/>
      </c>
      <c r="I336" s="4" t="str">
        <f>IFERROR(INDEX(样本到样信息汇总统计!I$2:I$500,MATCH(335,样本到样信息汇总统计!$Y$2:$Y$500,0)),"")</f>
        <v/>
      </c>
      <c r="J336" s="4" t="str">
        <f>IFERROR(INDEX(样本到样信息汇总统计!J$2:J$500,MATCH(335,样本到样信息汇总统计!$Y$2:$Y$500,0)),"")</f>
        <v/>
      </c>
      <c r="K336" s="4" t="str">
        <f>IFERROR(INDEX(样本到样信息汇总统计!K$2:K$500,MATCH(335,样本到样信息汇总统计!$Y$2:$Y$500,0)),"")</f>
        <v/>
      </c>
      <c r="L336" s="4" t="str">
        <f>IFERROR(INDEX(样本到样信息汇总统计!L$2:L$500,MATCH(335,样本到样信息汇总统计!$Y$2:$Y$500,0)),"")</f>
        <v/>
      </c>
      <c r="M336" s="4" t="str">
        <f>IFERROR(INDEX(样本到样信息汇总统计!M$2:M$500,MATCH(335,样本到样信息汇总统计!$Y$2:$Y$500,0)),"")</f>
        <v/>
      </c>
      <c r="N336" s="4" t="str">
        <f>IFERROR(INDEX(样本到样信息汇总统计!N$2:N$500,MATCH(335,样本到样信息汇总统计!$Y$2:$Y$500,0)),"")</f>
        <v/>
      </c>
      <c r="O336" s="4" t="str">
        <f>IFERROR(INDEX(样本到样信息汇总统计!O$2:O$500,MATCH(335,样本到样信息汇总统计!$Y$2:$Y$500,0)),"")</f>
        <v/>
      </c>
      <c r="P336" s="4" t="str">
        <f>IFERROR(INDEX(样本到样信息汇总统计!P$2:P$500,MATCH(335,样本到样信息汇总统计!$Y$2:$Y$500,0)),"")</f>
        <v/>
      </c>
      <c r="Q336" s="4" t="str">
        <f>IFERROR(INDEX(样本到样信息汇总统计!Q$2:Q$500,MATCH(335,样本到样信息汇总统计!$Y$2:$Y$500,0)),"")</f>
        <v/>
      </c>
      <c r="R336" s="4" t="str">
        <f>IFERROR(INDEX(样本到样信息汇总统计!R$2:R$500,MATCH(335,样本到样信息汇总统计!$Y$2:$Y$500,0)),"")</f>
        <v/>
      </c>
      <c r="S336" s="4" t="str">
        <f>IFERROR(INDEX(样本到样信息汇总统计!S$2:S$500,MATCH(335,样本到样信息汇总统计!$Y$2:$Y$500,0)),"")</f>
        <v/>
      </c>
      <c r="T336" s="4" t="str">
        <f>IFERROR(INDEX(样本到样信息汇总统计!T$2:T$500,MATCH(335,样本到样信息汇总统计!$Y$2:$Y$500,0)),"")</f>
        <v/>
      </c>
      <c r="U336" s="4" t="str">
        <f>IFERROR(INDEX(样本到样信息汇总统计!U$2:U$500,MATCH(335,样本到样信息汇总统计!$Y$2:$Y$500,0)),"")</f>
        <v/>
      </c>
      <c r="V336" s="4" t="str">
        <f>IFERROR(INDEX(样本到样信息汇总统计!V$2:V$500,MATCH(335,样本到样信息汇总统计!$Y$2:$Y$500,0)),"")</f>
        <v/>
      </c>
      <c r="W336" s="4" t="str">
        <f>IFERROR(INDEX(样本到样信息汇总统计!W$2:W$500,MATCH(335,样本到样信息汇总统计!$Y$2:$Y$500,0)),"")</f>
        <v/>
      </c>
    </row>
    <row r="337" ht="14.5" spans="1:23">
      <c r="A337" s="8" t="str">
        <f>IFERROR(INDEX(样本到样信息汇总统计!A$2:A$500,MATCH(336,样本到样信息汇总统计!$Y$2:$Y$500,0)),"")</f>
        <v/>
      </c>
      <c r="B337" s="8" t="str">
        <f>IFERROR(INDEX(样本到样信息汇总统计!B$2:B$500,MATCH(336,样本到样信息汇总统计!$Y$2:$Y$500,0)),"")</f>
        <v/>
      </c>
      <c r="C337" s="8" t="str">
        <f>IFERROR(INDEX(样本到样信息汇总统计!C$2:C$500,MATCH(336,样本到样信息汇总统计!$Y$2:$Y$500,0)),"")</f>
        <v/>
      </c>
      <c r="D337" s="8" t="str">
        <f>IFERROR(INDEX(样本到样信息汇总统计!D$2:D$500,MATCH(336,样本到样信息汇总统计!$Y$2:$Y$500,0)),"")</f>
        <v/>
      </c>
      <c r="E337" s="8" t="str">
        <f>IFERROR(INDEX(样本到样信息汇总统计!E$2:E$500,MATCH(336,样本到样信息汇总统计!$Y$2:$Y$500,0)),"")</f>
        <v/>
      </c>
      <c r="F337" s="8" t="str">
        <f>IFERROR(INDEX(样本到样信息汇总统计!F$2:F$500,MATCH(336,样本到样信息汇总统计!$Y$2:$Y$500,0)),"")</f>
        <v/>
      </c>
      <c r="G337" s="8" t="str">
        <f>IFERROR(INDEX(样本到样信息汇总统计!G$2:G$500,MATCH(336,样本到样信息汇总统计!$Y$2:$Y$500,0)),"")</f>
        <v/>
      </c>
      <c r="H337" s="8" t="str">
        <f>IFERROR(INDEX(样本到样信息汇总统计!H$2:H$500,MATCH(336,样本到样信息汇总统计!$Y$2:$Y$500,0)),"")</f>
        <v/>
      </c>
      <c r="I337" s="8" t="str">
        <f>IFERROR(INDEX(样本到样信息汇总统计!I$2:I$500,MATCH(336,样本到样信息汇总统计!$Y$2:$Y$500,0)),"")</f>
        <v/>
      </c>
      <c r="J337" s="8" t="str">
        <f>IFERROR(INDEX(样本到样信息汇总统计!J$2:J$500,MATCH(336,样本到样信息汇总统计!$Y$2:$Y$500,0)),"")</f>
        <v/>
      </c>
      <c r="K337" s="8" t="str">
        <f>IFERROR(INDEX(样本到样信息汇总统计!K$2:K$500,MATCH(336,样本到样信息汇总统计!$Y$2:$Y$500,0)),"")</f>
        <v/>
      </c>
      <c r="L337" s="8" t="str">
        <f>IFERROR(INDEX(样本到样信息汇总统计!L$2:L$500,MATCH(336,样本到样信息汇总统计!$Y$2:$Y$500,0)),"")</f>
        <v/>
      </c>
      <c r="M337" s="8" t="str">
        <f>IFERROR(INDEX(样本到样信息汇总统计!M$2:M$500,MATCH(336,样本到样信息汇总统计!$Y$2:$Y$500,0)),"")</f>
        <v/>
      </c>
      <c r="N337" s="8" t="str">
        <f>IFERROR(INDEX(样本到样信息汇总统计!N$2:N$500,MATCH(336,样本到样信息汇总统计!$Y$2:$Y$500,0)),"")</f>
        <v/>
      </c>
      <c r="O337" s="8" t="str">
        <f>IFERROR(INDEX(样本到样信息汇总统计!O$2:O$500,MATCH(336,样本到样信息汇总统计!$Y$2:$Y$500,0)),"")</f>
        <v/>
      </c>
      <c r="P337" s="8" t="str">
        <f>IFERROR(INDEX(样本到样信息汇总统计!P$2:P$500,MATCH(336,样本到样信息汇总统计!$Y$2:$Y$500,0)),"")</f>
        <v/>
      </c>
      <c r="Q337" s="8" t="str">
        <f>IFERROR(INDEX(样本到样信息汇总统计!Q$2:Q$500,MATCH(336,样本到样信息汇总统计!$Y$2:$Y$500,0)),"")</f>
        <v/>
      </c>
      <c r="R337" s="8" t="str">
        <f>IFERROR(INDEX(样本到样信息汇总统计!R$2:R$500,MATCH(336,样本到样信息汇总统计!$Y$2:$Y$500,0)),"")</f>
        <v/>
      </c>
      <c r="S337" s="8" t="str">
        <f>IFERROR(INDEX(样本到样信息汇总统计!S$2:S$500,MATCH(336,样本到样信息汇总统计!$Y$2:$Y$500,0)),"")</f>
        <v/>
      </c>
      <c r="T337" s="8" t="str">
        <f>IFERROR(INDEX(样本到样信息汇总统计!T$2:T$500,MATCH(336,样本到样信息汇总统计!$Y$2:$Y$500,0)),"")</f>
        <v/>
      </c>
      <c r="U337" s="8" t="str">
        <f>IFERROR(INDEX(样本到样信息汇总统计!U$2:U$500,MATCH(336,样本到样信息汇总统计!$Y$2:$Y$500,0)),"")</f>
        <v/>
      </c>
      <c r="V337" s="8" t="str">
        <f>IFERROR(INDEX(样本到样信息汇总统计!V$2:V$500,MATCH(336,样本到样信息汇总统计!$Y$2:$Y$500,0)),"")</f>
        <v/>
      </c>
      <c r="W337" s="8" t="str">
        <f>IFERROR(INDEX(样本到样信息汇总统计!W$2:W$500,MATCH(336,样本到样信息汇总统计!$Y$2:$Y$500,0)),"")</f>
        <v/>
      </c>
    </row>
    <row r="338" ht="14.5" spans="1:23">
      <c r="A338" s="4" t="str">
        <f>IFERROR(INDEX(样本到样信息汇总统计!A$2:A$500,MATCH(337,样本到样信息汇总统计!$Y$2:$Y$500,0)),"")</f>
        <v/>
      </c>
      <c r="B338" s="4" t="str">
        <f>IFERROR(INDEX(样本到样信息汇总统计!B$2:B$500,MATCH(337,样本到样信息汇总统计!$Y$2:$Y$500,0)),"")</f>
        <v/>
      </c>
      <c r="C338" s="4" t="str">
        <f>IFERROR(INDEX(样本到样信息汇总统计!C$2:C$500,MATCH(337,样本到样信息汇总统计!$Y$2:$Y$500,0)),"")</f>
        <v/>
      </c>
      <c r="D338" s="4" t="str">
        <f>IFERROR(INDEX(样本到样信息汇总统计!D$2:D$500,MATCH(337,样本到样信息汇总统计!$Y$2:$Y$500,0)),"")</f>
        <v/>
      </c>
      <c r="E338" s="4" t="str">
        <f>IFERROR(INDEX(样本到样信息汇总统计!E$2:E$500,MATCH(337,样本到样信息汇总统计!$Y$2:$Y$500,0)),"")</f>
        <v/>
      </c>
      <c r="F338" s="4" t="str">
        <f>IFERROR(INDEX(样本到样信息汇总统计!F$2:F$500,MATCH(337,样本到样信息汇总统计!$Y$2:$Y$500,0)),"")</f>
        <v/>
      </c>
      <c r="G338" s="4" t="str">
        <f>IFERROR(INDEX(样本到样信息汇总统计!G$2:G$500,MATCH(337,样本到样信息汇总统计!$Y$2:$Y$500,0)),"")</f>
        <v/>
      </c>
      <c r="H338" s="4" t="str">
        <f>IFERROR(INDEX(样本到样信息汇总统计!H$2:H$500,MATCH(337,样本到样信息汇总统计!$Y$2:$Y$500,0)),"")</f>
        <v/>
      </c>
      <c r="I338" s="4" t="str">
        <f>IFERROR(INDEX(样本到样信息汇总统计!I$2:I$500,MATCH(337,样本到样信息汇总统计!$Y$2:$Y$500,0)),"")</f>
        <v/>
      </c>
      <c r="J338" s="4" t="str">
        <f>IFERROR(INDEX(样本到样信息汇总统计!J$2:J$500,MATCH(337,样本到样信息汇总统计!$Y$2:$Y$500,0)),"")</f>
        <v/>
      </c>
      <c r="K338" s="4" t="str">
        <f>IFERROR(INDEX(样本到样信息汇总统计!K$2:K$500,MATCH(337,样本到样信息汇总统计!$Y$2:$Y$500,0)),"")</f>
        <v/>
      </c>
      <c r="L338" s="4" t="str">
        <f>IFERROR(INDEX(样本到样信息汇总统计!L$2:L$500,MATCH(337,样本到样信息汇总统计!$Y$2:$Y$500,0)),"")</f>
        <v/>
      </c>
      <c r="M338" s="4" t="str">
        <f>IFERROR(INDEX(样本到样信息汇总统计!M$2:M$500,MATCH(337,样本到样信息汇总统计!$Y$2:$Y$500,0)),"")</f>
        <v/>
      </c>
      <c r="N338" s="4" t="str">
        <f>IFERROR(INDEX(样本到样信息汇总统计!N$2:N$500,MATCH(337,样本到样信息汇总统计!$Y$2:$Y$500,0)),"")</f>
        <v/>
      </c>
      <c r="O338" s="4" t="str">
        <f>IFERROR(INDEX(样本到样信息汇总统计!O$2:O$500,MATCH(337,样本到样信息汇总统计!$Y$2:$Y$500,0)),"")</f>
        <v/>
      </c>
      <c r="P338" s="4" t="str">
        <f>IFERROR(INDEX(样本到样信息汇总统计!P$2:P$500,MATCH(337,样本到样信息汇总统计!$Y$2:$Y$500,0)),"")</f>
        <v/>
      </c>
      <c r="Q338" s="4" t="str">
        <f>IFERROR(INDEX(样本到样信息汇总统计!Q$2:Q$500,MATCH(337,样本到样信息汇总统计!$Y$2:$Y$500,0)),"")</f>
        <v/>
      </c>
      <c r="R338" s="4" t="str">
        <f>IFERROR(INDEX(样本到样信息汇总统计!R$2:R$500,MATCH(337,样本到样信息汇总统计!$Y$2:$Y$500,0)),"")</f>
        <v/>
      </c>
      <c r="S338" s="4" t="str">
        <f>IFERROR(INDEX(样本到样信息汇总统计!S$2:S$500,MATCH(337,样本到样信息汇总统计!$Y$2:$Y$500,0)),"")</f>
        <v/>
      </c>
      <c r="T338" s="4" t="str">
        <f>IFERROR(INDEX(样本到样信息汇总统计!T$2:T$500,MATCH(337,样本到样信息汇总统计!$Y$2:$Y$500,0)),"")</f>
        <v/>
      </c>
      <c r="U338" s="4" t="str">
        <f>IFERROR(INDEX(样本到样信息汇总统计!U$2:U$500,MATCH(337,样本到样信息汇总统计!$Y$2:$Y$500,0)),"")</f>
        <v/>
      </c>
      <c r="V338" s="4" t="str">
        <f>IFERROR(INDEX(样本到样信息汇总统计!V$2:V$500,MATCH(337,样本到样信息汇总统计!$Y$2:$Y$500,0)),"")</f>
        <v/>
      </c>
      <c r="W338" s="4" t="str">
        <f>IFERROR(INDEX(样本到样信息汇总统计!W$2:W$500,MATCH(337,样本到样信息汇总统计!$Y$2:$Y$500,0)),"")</f>
        <v/>
      </c>
    </row>
    <row r="339" ht="14.5" spans="1:23">
      <c r="A339" s="8" t="str">
        <f>IFERROR(INDEX(样本到样信息汇总统计!A$2:A$500,MATCH(338,样本到样信息汇总统计!$Y$2:$Y$500,0)),"")</f>
        <v/>
      </c>
      <c r="B339" s="8" t="str">
        <f>IFERROR(INDEX(样本到样信息汇总统计!B$2:B$500,MATCH(338,样本到样信息汇总统计!$Y$2:$Y$500,0)),"")</f>
        <v/>
      </c>
      <c r="C339" s="8" t="str">
        <f>IFERROR(INDEX(样本到样信息汇总统计!C$2:C$500,MATCH(338,样本到样信息汇总统计!$Y$2:$Y$500,0)),"")</f>
        <v/>
      </c>
      <c r="D339" s="8" t="str">
        <f>IFERROR(INDEX(样本到样信息汇总统计!D$2:D$500,MATCH(338,样本到样信息汇总统计!$Y$2:$Y$500,0)),"")</f>
        <v/>
      </c>
      <c r="E339" s="8" t="str">
        <f>IFERROR(INDEX(样本到样信息汇总统计!E$2:E$500,MATCH(338,样本到样信息汇总统计!$Y$2:$Y$500,0)),"")</f>
        <v/>
      </c>
      <c r="F339" s="8" t="str">
        <f>IFERROR(INDEX(样本到样信息汇总统计!F$2:F$500,MATCH(338,样本到样信息汇总统计!$Y$2:$Y$500,0)),"")</f>
        <v/>
      </c>
      <c r="G339" s="8" t="str">
        <f>IFERROR(INDEX(样本到样信息汇总统计!G$2:G$500,MATCH(338,样本到样信息汇总统计!$Y$2:$Y$500,0)),"")</f>
        <v/>
      </c>
      <c r="H339" s="8" t="str">
        <f>IFERROR(INDEX(样本到样信息汇总统计!H$2:H$500,MATCH(338,样本到样信息汇总统计!$Y$2:$Y$500,0)),"")</f>
        <v/>
      </c>
      <c r="I339" s="8" t="str">
        <f>IFERROR(INDEX(样本到样信息汇总统计!I$2:I$500,MATCH(338,样本到样信息汇总统计!$Y$2:$Y$500,0)),"")</f>
        <v/>
      </c>
      <c r="J339" s="8" t="str">
        <f>IFERROR(INDEX(样本到样信息汇总统计!J$2:J$500,MATCH(338,样本到样信息汇总统计!$Y$2:$Y$500,0)),"")</f>
        <v/>
      </c>
      <c r="K339" s="8" t="str">
        <f>IFERROR(INDEX(样本到样信息汇总统计!K$2:K$500,MATCH(338,样本到样信息汇总统计!$Y$2:$Y$500,0)),"")</f>
        <v/>
      </c>
      <c r="L339" s="8" t="str">
        <f>IFERROR(INDEX(样本到样信息汇总统计!L$2:L$500,MATCH(338,样本到样信息汇总统计!$Y$2:$Y$500,0)),"")</f>
        <v/>
      </c>
      <c r="M339" s="8" t="str">
        <f>IFERROR(INDEX(样本到样信息汇总统计!M$2:M$500,MATCH(338,样本到样信息汇总统计!$Y$2:$Y$500,0)),"")</f>
        <v/>
      </c>
      <c r="N339" s="8" t="str">
        <f>IFERROR(INDEX(样本到样信息汇总统计!N$2:N$500,MATCH(338,样本到样信息汇总统计!$Y$2:$Y$500,0)),"")</f>
        <v/>
      </c>
      <c r="O339" s="8" t="str">
        <f>IFERROR(INDEX(样本到样信息汇总统计!O$2:O$500,MATCH(338,样本到样信息汇总统计!$Y$2:$Y$500,0)),"")</f>
        <v/>
      </c>
      <c r="P339" s="8" t="str">
        <f>IFERROR(INDEX(样本到样信息汇总统计!P$2:P$500,MATCH(338,样本到样信息汇总统计!$Y$2:$Y$500,0)),"")</f>
        <v/>
      </c>
      <c r="Q339" s="8" t="str">
        <f>IFERROR(INDEX(样本到样信息汇总统计!Q$2:Q$500,MATCH(338,样本到样信息汇总统计!$Y$2:$Y$500,0)),"")</f>
        <v/>
      </c>
      <c r="R339" s="8" t="str">
        <f>IFERROR(INDEX(样本到样信息汇总统计!R$2:R$500,MATCH(338,样本到样信息汇总统计!$Y$2:$Y$500,0)),"")</f>
        <v/>
      </c>
      <c r="S339" s="8" t="str">
        <f>IFERROR(INDEX(样本到样信息汇总统计!S$2:S$500,MATCH(338,样本到样信息汇总统计!$Y$2:$Y$500,0)),"")</f>
        <v/>
      </c>
      <c r="T339" s="8" t="str">
        <f>IFERROR(INDEX(样本到样信息汇总统计!T$2:T$500,MATCH(338,样本到样信息汇总统计!$Y$2:$Y$500,0)),"")</f>
        <v/>
      </c>
      <c r="U339" s="8" t="str">
        <f>IFERROR(INDEX(样本到样信息汇总统计!U$2:U$500,MATCH(338,样本到样信息汇总统计!$Y$2:$Y$500,0)),"")</f>
        <v/>
      </c>
      <c r="V339" s="8" t="str">
        <f>IFERROR(INDEX(样本到样信息汇总统计!V$2:V$500,MATCH(338,样本到样信息汇总统计!$Y$2:$Y$500,0)),"")</f>
        <v/>
      </c>
      <c r="W339" s="8" t="str">
        <f>IFERROR(INDEX(样本到样信息汇总统计!W$2:W$500,MATCH(338,样本到样信息汇总统计!$Y$2:$Y$500,0)),"")</f>
        <v/>
      </c>
    </row>
    <row r="340" ht="14.5" spans="1:23">
      <c r="A340" s="4" t="str">
        <f>IFERROR(INDEX(样本到样信息汇总统计!A$2:A$500,MATCH(339,样本到样信息汇总统计!$Y$2:$Y$500,0)),"")</f>
        <v/>
      </c>
      <c r="B340" s="4" t="str">
        <f>IFERROR(INDEX(样本到样信息汇总统计!B$2:B$500,MATCH(339,样本到样信息汇总统计!$Y$2:$Y$500,0)),"")</f>
        <v/>
      </c>
      <c r="C340" s="4" t="str">
        <f>IFERROR(INDEX(样本到样信息汇总统计!C$2:C$500,MATCH(339,样本到样信息汇总统计!$Y$2:$Y$500,0)),"")</f>
        <v/>
      </c>
      <c r="D340" s="4" t="str">
        <f>IFERROR(INDEX(样本到样信息汇总统计!D$2:D$500,MATCH(339,样本到样信息汇总统计!$Y$2:$Y$500,0)),"")</f>
        <v/>
      </c>
      <c r="E340" s="4" t="str">
        <f>IFERROR(INDEX(样本到样信息汇总统计!E$2:E$500,MATCH(339,样本到样信息汇总统计!$Y$2:$Y$500,0)),"")</f>
        <v/>
      </c>
      <c r="F340" s="4" t="str">
        <f>IFERROR(INDEX(样本到样信息汇总统计!F$2:F$500,MATCH(339,样本到样信息汇总统计!$Y$2:$Y$500,0)),"")</f>
        <v/>
      </c>
      <c r="G340" s="4" t="str">
        <f>IFERROR(INDEX(样本到样信息汇总统计!G$2:G$500,MATCH(339,样本到样信息汇总统计!$Y$2:$Y$500,0)),"")</f>
        <v/>
      </c>
      <c r="H340" s="4" t="str">
        <f>IFERROR(INDEX(样本到样信息汇总统计!H$2:H$500,MATCH(339,样本到样信息汇总统计!$Y$2:$Y$500,0)),"")</f>
        <v/>
      </c>
      <c r="I340" s="4" t="str">
        <f>IFERROR(INDEX(样本到样信息汇总统计!I$2:I$500,MATCH(339,样本到样信息汇总统计!$Y$2:$Y$500,0)),"")</f>
        <v/>
      </c>
      <c r="J340" s="4" t="str">
        <f>IFERROR(INDEX(样本到样信息汇总统计!J$2:J$500,MATCH(339,样本到样信息汇总统计!$Y$2:$Y$500,0)),"")</f>
        <v/>
      </c>
      <c r="K340" s="4" t="str">
        <f>IFERROR(INDEX(样本到样信息汇总统计!K$2:K$500,MATCH(339,样本到样信息汇总统计!$Y$2:$Y$500,0)),"")</f>
        <v/>
      </c>
      <c r="L340" s="4" t="str">
        <f>IFERROR(INDEX(样本到样信息汇总统计!L$2:L$500,MATCH(339,样本到样信息汇总统计!$Y$2:$Y$500,0)),"")</f>
        <v/>
      </c>
      <c r="M340" s="4" t="str">
        <f>IFERROR(INDEX(样本到样信息汇总统计!M$2:M$500,MATCH(339,样本到样信息汇总统计!$Y$2:$Y$500,0)),"")</f>
        <v/>
      </c>
      <c r="N340" s="4" t="str">
        <f>IFERROR(INDEX(样本到样信息汇总统计!N$2:N$500,MATCH(339,样本到样信息汇总统计!$Y$2:$Y$500,0)),"")</f>
        <v/>
      </c>
      <c r="O340" s="4" t="str">
        <f>IFERROR(INDEX(样本到样信息汇总统计!O$2:O$500,MATCH(339,样本到样信息汇总统计!$Y$2:$Y$500,0)),"")</f>
        <v/>
      </c>
      <c r="P340" s="4" t="str">
        <f>IFERROR(INDEX(样本到样信息汇总统计!P$2:P$500,MATCH(339,样本到样信息汇总统计!$Y$2:$Y$500,0)),"")</f>
        <v/>
      </c>
      <c r="Q340" s="4" t="str">
        <f>IFERROR(INDEX(样本到样信息汇总统计!Q$2:Q$500,MATCH(339,样本到样信息汇总统计!$Y$2:$Y$500,0)),"")</f>
        <v/>
      </c>
      <c r="R340" s="4" t="str">
        <f>IFERROR(INDEX(样本到样信息汇总统计!R$2:R$500,MATCH(339,样本到样信息汇总统计!$Y$2:$Y$500,0)),"")</f>
        <v/>
      </c>
      <c r="S340" s="4" t="str">
        <f>IFERROR(INDEX(样本到样信息汇总统计!S$2:S$500,MATCH(339,样本到样信息汇总统计!$Y$2:$Y$500,0)),"")</f>
        <v/>
      </c>
      <c r="T340" s="4" t="str">
        <f>IFERROR(INDEX(样本到样信息汇总统计!T$2:T$500,MATCH(339,样本到样信息汇总统计!$Y$2:$Y$500,0)),"")</f>
        <v/>
      </c>
      <c r="U340" s="4" t="str">
        <f>IFERROR(INDEX(样本到样信息汇总统计!U$2:U$500,MATCH(339,样本到样信息汇总统计!$Y$2:$Y$500,0)),"")</f>
        <v/>
      </c>
      <c r="V340" s="4" t="str">
        <f>IFERROR(INDEX(样本到样信息汇总统计!V$2:V$500,MATCH(339,样本到样信息汇总统计!$Y$2:$Y$500,0)),"")</f>
        <v/>
      </c>
      <c r="W340" s="4" t="str">
        <f>IFERROR(INDEX(样本到样信息汇总统计!W$2:W$500,MATCH(339,样本到样信息汇总统计!$Y$2:$Y$500,0)),"")</f>
        <v/>
      </c>
    </row>
    <row r="341" ht="14.5" spans="1:23">
      <c r="A341" s="8" t="str">
        <f>IFERROR(INDEX(样本到样信息汇总统计!A$2:A$500,MATCH(340,样本到样信息汇总统计!$Y$2:$Y$500,0)),"")</f>
        <v/>
      </c>
      <c r="B341" s="8" t="str">
        <f>IFERROR(INDEX(样本到样信息汇总统计!B$2:B$500,MATCH(340,样本到样信息汇总统计!$Y$2:$Y$500,0)),"")</f>
        <v/>
      </c>
      <c r="C341" s="8" t="str">
        <f>IFERROR(INDEX(样本到样信息汇总统计!C$2:C$500,MATCH(340,样本到样信息汇总统计!$Y$2:$Y$500,0)),"")</f>
        <v/>
      </c>
      <c r="D341" s="8" t="str">
        <f>IFERROR(INDEX(样本到样信息汇总统计!D$2:D$500,MATCH(340,样本到样信息汇总统计!$Y$2:$Y$500,0)),"")</f>
        <v/>
      </c>
      <c r="E341" s="8" t="str">
        <f>IFERROR(INDEX(样本到样信息汇总统计!E$2:E$500,MATCH(340,样本到样信息汇总统计!$Y$2:$Y$500,0)),"")</f>
        <v/>
      </c>
      <c r="F341" s="8" t="str">
        <f>IFERROR(INDEX(样本到样信息汇总统计!F$2:F$500,MATCH(340,样本到样信息汇总统计!$Y$2:$Y$500,0)),"")</f>
        <v/>
      </c>
      <c r="G341" s="8" t="str">
        <f>IFERROR(INDEX(样本到样信息汇总统计!G$2:G$500,MATCH(340,样本到样信息汇总统计!$Y$2:$Y$500,0)),"")</f>
        <v/>
      </c>
      <c r="H341" s="8" t="str">
        <f>IFERROR(INDEX(样本到样信息汇总统计!H$2:H$500,MATCH(340,样本到样信息汇总统计!$Y$2:$Y$500,0)),"")</f>
        <v/>
      </c>
      <c r="I341" s="8" t="str">
        <f>IFERROR(INDEX(样本到样信息汇总统计!I$2:I$500,MATCH(340,样本到样信息汇总统计!$Y$2:$Y$500,0)),"")</f>
        <v/>
      </c>
      <c r="J341" s="8" t="str">
        <f>IFERROR(INDEX(样本到样信息汇总统计!J$2:J$500,MATCH(340,样本到样信息汇总统计!$Y$2:$Y$500,0)),"")</f>
        <v/>
      </c>
      <c r="K341" s="8" t="str">
        <f>IFERROR(INDEX(样本到样信息汇总统计!K$2:K$500,MATCH(340,样本到样信息汇总统计!$Y$2:$Y$500,0)),"")</f>
        <v/>
      </c>
      <c r="L341" s="8" t="str">
        <f>IFERROR(INDEX(样本到样信息汇总统计!L$2:L$500,MATCH(340,样本到样信息汇总统计!$Y$2:$Y$500,0)),"")</f>
        <v/>
      </c>
      <c r="M341" s="8" t="str">
        <f>IFERROR(INDEX(样本到样信息汇总统计!M$2:M$500,MATCH(340,样本到样信息汇总统计!$Y$2:$Y$500,0)),"")</f>
        <v/>
      </c>
      <c r="N341" s="8" t="str">
        <f>IFERROR(INDEX(样本到样信息汇总统计!N$2:N$500,MATCH(340,样本到样信息汇总统计!$Y$2:$Y$500,0)),"")</f>
        <v/>
      </c>
      <c r="O341" s="8" t="str">
        <f>IFERROR(INDEX(样本到样信息汇总统计!O$2:O$500,MATCH(340,样本到样信息汇总统计!$Y$2:$Y$500,0)),"")</f>
        <v/>
      </c>
      <c r="P341" s="8" t="str">
        <f>IFERROR(INDEX(样本到样信息汇总统计!P$2:P$500,MATCH(340,样本到样信息汇总统计!$Y$2:$Y$500,0)),"")</f>
        <v/>
      </c>
      <c r="Q341" s="8" t="str">
        <f>IFERROR(INDEX(样本到样信息汇总统计!Q$2:Q$500,MATCH(340,样本到样信息汇总统计!$Y$2:$Y$500,0)),"")</f>
        <v/>
      </c>
      <c r="R341" s="8" t="str">
        <f>IFERROR(INDEX(样本到样信息汇总统计!R$2:R$500,MATCH(340,样本到样信息汇总统计!$Y$2:$Y$500,0)),"")</f>
        <v/>
      </c>
      <c r="S341" s="8" t="str">
        <f>IFERROR(INDEX(样本到样信息汇总统计!S$2:S$500,MATCH(340,样本到样信息汇总统计!$Y$2:$Y$500,0)),"")</f>
        <v/>
      </c>
      <c r="T341" s="8" t="str">
        <f>IFERROR(INDEX(样本到样信息汇总统计!T$2:T$500,MATCH(340,样本到样信息汇总统计!$Y$2:$Y$500,0)),"")</f>
        <v/>
      </c>
      <c r="U341" s="8" t="str">
        <f>IFERROR(INDEX(样本到样信息汇总统计!U$2:U$500,MATCH(340,样本到样信息汇总统计!$Y$2:$Y$500,0)),"")</f>
        <v/>
      </c>
      <c r="V341" s="8" t="str">
        <f>IFERROR(INDEX(样本到样信息汇总统计!V$2:V$500,MATCH(340,样本到样信息汇总统计!$Y$2:$Y$500,0)),"")</f>
        <v/>
      </c>
      <c r="W341" s="8" t="str">
        <f>IFERROR(INDEX(样本到样信息汇总统计!W$2:W$500,MATCH(340,样本到样信息汇总统计!$Y$2:$Y$500,0)),"")</f>
        <v/>
      </c>
    </row>
    <row r="342" ht="14.5" spans="1:23">
      <c r="A342" s="4" t="str">
        <f>IFERROR(INDEX(样本到样信息汇总统计!A$2:A$500,MATCH(341,样本到样信息汇总统计!$Y$2:$Y$500,0)),"")</f>
        <v/>
      </c>
      <c r="B342" s="4" t="str">
        <f>IFERROR(INDEX(样本到样信息汇总统计!B$2:B$500,MATCH(341,样本到样信息汇总统计!$Y$2:$Y$500,0)),"")</f>
        <v/>
      </c>
      <c r="C342" s="4" t="str">
        <f>IFERROR(INDEX(样本到样信息汇总统计!C$2:C$500,MATCH(341,样本到样信息汇总统计!$Y$2:$Y$500,0)),"")</f>
        <v/>
      </c>
      <c r="D342" s="4" t="str">
        <f>IFERROR(INDEX(样本到样信息汇总统计!D$2:D$500,MATCH(341,样本到样信息汇总统计!$Y$2:$Y$500,0)),"")</f>
        <v/>
      </c>
      <c r="E342" s="4" t="str">
        <f>IFERROR(INDEX(样本到样信息汇总统计!E$2:E$500,MATCH(341,样本到样信息汇总统计!$Y$2:$Y$500,0)),"")</f>
        <v/>
      </c>
      <c r="F342" s="4" t="str">
        <f>IFERROR(INDEX(样本到样信息汇总统计!F$2:F$500,MATCH(341,样本到样信息汇总统计!$Y$2:$Y$500,0)),"")</f>
        <v/>
      </c>
      <c r="G342" s="4" t="str">
        <f>IFERROR(INDEX(样本到样信息汇总统计!G$2:G$500,MATCH(341,样本到样信息汇总统计!$Y$2:$Y$500,0)),"")</f>
        <v/>
      </c>
      <c r="H342" s="4" t="str">
        <f>IFERROR(INDEX(样本到样信息汇总统计!H$2:H$500,MATCH(341,样本到样信息汇总统计!$Y$2:$Y$500,0)),"")</f>
        <v/>
      </c>
      <c r="I342" s="4" t="str">
        <f>IFERROR(INDEX(样本到样信息汇总统计!I$2:I$500,MATCH(341,样本到样信息汇总统计!$Y$2:$Y$500,0)),"")</f>
        <v/>
      </c>
      <c r="J342" s="4" t="str">
        <f>IFERROR(INDEX(样本到样信息汇总统计!J$2:J$500,MATCH(341,样本到样信息汇总统计!$Y$2:$Y$500,0)),"")</f>
        <v/>
      </c>
      <c r="K342" s="4" t="str">
        <f>IFERROR(INDEX(样本到样信息汇总统计!K$2:K$500,MATCH(341,样本到样信息汇总统计!$Y$2:$Y$500,0)),"")</f>
        <v/>
      </c>
      <c r="L342" s="4" t="str">
        <f>IFERROR(INDEX(样本到样信息汇总统计!L$2:L$500,MATCH(341,样本到样信息汇总统计!$Y$2:$Y$500,0)),"")</f>
        <v/>
      </c>
      <c r="M342" s="4" t="str">
        <f>IFERROR(INDEX(样本到样信息汇总统计!M$2:M$500,MATCH(341,样本到样信息汇总统计!$Y$2:$Y$500,0)),"")</f>
        <v/>
      </c>
      <c r="N342" s="4" t="str">
        <f>IFERROR(INDEX(样本到样信息汇总统计!N$2:N$500,MATCH(341,样本到样信息汇总统计!$Y$2:$Y$500,0)),"")</f>
        <v/>
      </c>
      <c r="O342" s="4" t="str">
        <f>IFERROR(INDEX(样本到样信息汇总统计!O$2:O$500,MATCH(341,样本到样信息汇总统计!$Y$2:$Y$500,0)),"")</f>
        <v/>
      </c>
      <c r="P342" s="4" t="str">
        <f>IFERROR(INDEX(样本到样信息汇总统计!P$2:P$500,MATCH(341,样本到样信息汇总统计!$Y$2:$Y$500,0)),"")</f>
        <v/>
      </c>
      <c r="Q342" s="4" t="str">
        <f>IFERROR(INDEX(样本到样信息汇总统计!Q$2:Q$500,MATCH(341,样本到样信息汇总统计!$Y$2:$Y$500,0)),"")</f>
        <v/>
      </c>
      <c r="R342" s="4" t="str">
        <f>IFERROR(INDEX(样本到样信息汇总统计!R$2:R$500,MATCH(341,样本到样信息汇总统计!$Y$2:$Y$500,0)),"")</f>
        <v/>
      </c>
      <c r="S342" s="4" t="str">
        <f>IFERROR(INDEX(样本到样信息汇总统计!S$2:S$500,MATCH(341,样本到样信息汇总统计!$Y$2:$Y$500,0)),"")</f>
        <v/>
      </c>
      <c r="T342" s="4" t="str">
        <f>IFERROR(INDEX(样本到样信息汇总统计!T$2:T$500,MATCH(341,样本到样信息汇总统计!$Y$2:$Y$500,0)),"")</f>
        <v/>
      </c>
      <c r="U342" s="4" t="str">
        <f>IFERROR(INDEX(样本到样信息汇总统计!U$2:U$500,MATCH(341,样本到样信息汇总统计!$Y$2:$Y$500,0)),"")</f>
        <v/>
      </c>
      <c r="V342" s="4" t="str">
        <f>IFERROR(INDEX(样本到样信息汇总统计!V$2:V$500,MATCH(341,样本到样信息汇总统计!$Y$2:$Y$500,0)),"")</f>
        <v/>
      </c>
      <c r="W342" s="4" t="str">
        <f>IFERROR(INDEX(样本到样信息汇总统计!W$2:W$500,MATCH(341,样本到样信息汇总统计!$Y$2:$Y$500,0)),"")</f>
        <v/>
      </c>
    </row>
    <row r="343" ht="14.5" spans="1:23">
      <c r="A343" s="8" t="str">
        <f>IFERROR(INDEX(样本到样信息汇总统计!A$2:A$500,MATCH(342,样本到样信息汇总统计!$Y$2:$Y$500,0)),"")</f>
        <v/>
      </c>
      <c r="B343" s="8" t="str">
        <f>IFERROR(INDEX(样本到样信息汇总统计!B$2:B$500,MATCH(342,样本到样信息汇总统计!$Y$2:$Y$500,0)),"")</f>
        <v/>
      </c>
      <c r="C343" s="8" t="str">
        <f>IFERROR(INDEX(样本到样信息汇总统计!C$2:C$500,MATCH(342,样本到样信息汇总统计!$Y$2:$Y$500,0)),"")</f>
        <v/>
      </c>
      <c r="D343" s="8" t="str">
        <f>IFERROR(INDEX(样本到样信息汇总统计!D$2:D$500,MATCH(342,样本到样信息汇总统计!$Y$2:$Y$500,0)),"")</f>
        <v/>
      </c>
      <c r="E343" s="8" t="str">
        <f>IFERROR(INDEX(样本到样信息汇总统计!E$2:E$500,MATCH(342,样本到样信息汇总统计!$Y$2:$Y$500,0)),"")</f>
        <v/>
      </c>
      <c r="F343" s="8" t="str">
        <f>IFERROR(INDEX(样本到样信息汇总统计!F$2:F$500,MATCH(342,样本到样信息汇总统计!$Y$2:$Y$500,0)),"")</f>
        <v/>
      </c>
      <c r="G343" s="8" t="str">
        <f>IFERROR(INDEX(样本到样信息汇总统计!G$2:G$500,MATCH(342,样本到样信息汇总统计!$Y$2:$Y$500,0)),"")</f>
        <v/>
      </c>
      <c r="H343" s="8" t="str">
        <f>IFERROR(INDEX(样本到样信息汇总统计!H$2:H$500,MATCH(342,样本到样信息汇总统计!$Y$2:$Y$500,0)),"")</f>
        <v/>
      </c>
      <c r="I343" s="8" t="str">
        <f>IFERROR(INDEX(样本到样信息汇总统计!I$2:I$500,MATCH(342,样本到样信息汇总统计!$Y$2:$Y$500,0)),"")</f>
        <v/>
      </c>
      <c r="J343" s="8" t="str">
        <f>IFERROR(INDEX(样本到样信息汇总统计!J$2:J$500,MATCH(342,样本到样信息汇总统计!$Y$2:$Y$500,0)),"")</f>
        <v/>
      </c>
      <c r="K343" s="8" t="str">
        <f>IFERROR(INDEX(样本到样信息汇总统计!K$2:K$500,MATCH(342,样本到样信息汇总统计!$Y$2:$Y$500,0)),"")</f>
        <v/>
      </c>
      <c r="L343" s="8" t="str">
        <f>IFERROR(INDEX(样本到样信息汇总统计!L$2:L$500,MATCH(342,样本到样信息汇总统计!$Y$2:$Y$500,0)),"")</f>
        <v/>
      </c>
      <c r="M343" s="8" t="str">
        <f>IFERROR(INDEX(样本到样信息汇总统计!M$2:M$500,MATCH(342,样本到样信息汇总统计!$Y$2:$Y$500,0)),"")</f>
        <v/>
      </c>
      <c r="N343" s="8" t="str">
        <f>IFERROR(INDEX(样本到样信息汇总统计!N$2:N$500,MATCH(342,样本到样信息汇总统计!$Y$2:$Y$500,0)),"")</f>
        <v/>
      </c>
      <c r="O343" s="8" t="str">
        <f>IFERROR(INDEX(样本到样信息汇总统计!O$2:O$500,MATCH(342,样本到样信息汇总统计!$Y$2:$Y$500,0)),"")</f>
        <v/>
      </c>
      <c r="P343" s="8" t="str">
        <f>IFERROR(INDEX(样本到样信息汇总统计!P$2:P$500,MATCH(342,样本到样信息汇总统计!$Y$2:$Y$500,0)),"")</f>
        <v/>
      </c>
      <c r="Q343" s="8" t="str">
        <f>IFERROR(INDEX(样本到样信息汇总统计!Q$2:Q$500,MATCH(342,样本到样信息汇总统计!$Y$2:$Y$500,0)),"")</f>
        <v/>
      </c>
      <c r="R343" s="8" t="str">
        <f>IFERROR(INDEX(样本到样信息汇总统计!R$2:R$500,MATCH(342,样本到样信息汇总统计!$Y$2:$Y$500,0)),"")</f>
        <v/>
      </c>
      <c r="S343" s="8" t="str">
        <f>IFERROR(INDEX(样本到样信息汇总统计!S$2:S$500,MATCH(342,样本到样信息汇总统计!$Y$2:$Y$500,0)),"")</f>
        <v/>
      </c>
      <c r="T343" s="8" t="str">
        <f>IFERROR(INDEX(样本到样信息汇总统计!T$2:T$500,MATCH(342,样本到样信息汇总统计!$Y$2:$Y$500,0)),"")</f>
        <v/>
      </c>
      <c r="U343" s="8" t="str">
        <f>IFERROR(INDEX(样本到样信息汇总统计!U$2:U$500,MATCH(342,样本到样信息汇总统计!$Y$2:$Y$500,0)),"")</f>
        <v/>
      </c>
      <c r="V343" s="8" t="str">
        <f>IFERROR(INDEX(样本到样信息汇总统计!V$2:V$500,MATCH(342,样本到样信息汇总统计!$Y$2:$Y$500,0)),"")</f>
        <v/>
      </c>
      <c r="W343" s="8" t="str">
        <f>IFERROR(INDEX(样本到样信息汇总统计!W$2:W$500,MATCH(342,样本到样信息汇总统计!$Y$2:$Y$500,0)),"")</f>
        <v/>
      </c>
    </row>
    <row r="344" ht="14.5" spans="1:23">
      <c r="A344" s="4" t="str">
        <f>IFERROR(INDEX(样本到样信息汇总统计!A$2:A$500,MATCH(343,样本到样信息汇总统计!$Y$2:$Y$500,0)),"")</f>
        <v/>
      </c>
      <c r="B344" s="4" t="str">
        <f>IFERROR(INDEX(样本到样信息汇总统计!B$2:B$500,MATCH(343,样本到样信息汇总统计!$Y$2:$Y$500,0)),"")</f>
        <v/>
      </c>
      <c r="C344" s="4" t="str">
        <f>IFERROR(INDEX(样本到样信息汇总统计!C$2:C$500,MATCH(343,样本到样信息汇总统计!$Y$2:$Y$500,0)),"")</f>
        <v/>
      </c>
      <c r="D344" s="4" t="str">
        <f>IFERROR(INDEX(样本到样信息汇总统计!D$2:D$500,MATCH(343,样本到样信息汇总统计!$Y$2:$Y$500,0)),"")</f>
        <v/>
      </c>
      <c r="E344" s="4" t="str">
        <f>IFERROR(INDEX(样本到样信息汇总统计!E$2:E$500,MATCH(343,样本到样信息汇总统计!$Y$2:$Y$500,0)),"")</f>
        <v/>
      </c>
      <c r="F344" s="4" t="str">
        <f>IFERROR(INDEX(样本到样信息汇总统计!F$2:F$500,MATCH(343,样本到样信息汇总统计!$Y$2:$Y$500,0)),"")</f>
        <v/>
      </c>
      <c r="G344" s="4" t="str">
        <f>IFERROR(INDEX(样本到样信息汇总统计!G$2:G$500,MATCH(343,样本到样信息汇总统计!$Y$2:$Y$500,0)),"")</f>
        <v/>
      </c>
      <c r="H344" s="4" t="str">
        <f>IFERROR(INDEX(样本到样信息汇总统计!H$2:H$500,MATCH(343,样本到样信息汇总统计!$Y$2:$Y$500,0)),"")</f>
        <v/>
      </c>
      <c r="I344" s="4" t="str">
        <f>IFERROR(INDEX(样本到样信息汇总统计!I$2:I$500,MATCH(343,样本到样信息汇总统计!$Y$2:$Y$500,0)),"")</f>
        <v/>
      </c>
      <c r="J344" s="4" t="str">
        <f>IFERROR(INDEX(样本到样信息汇总统计!J$2:J$500,MATCH(343,样本到样信息汇总统计!$Y$2:$Y$500,0)),"")</f>
        <v/>
      </c>
      <c r="K344" s="4" t="str">
        <f>IFERROR(INDEX(样本到样信息汇总统计!K$2:K$500,MATCH(343,样本到样信息汇总统计!$Y$2:$Y$500,0)),"")</f>
        <v/>
      </c>
      <c r="L344" s="4" t="str">
        <f>IFERROR(INDEX(样本到样信息汇总统计!L$2:L$500,MATCH(343,样本到样信息汇总统计!$Y$2:$Y$500,0)),"")</f>
        <v/>
      </c>
      <c r="M344" s="4" t="str">
        <f>IFERROR(INDEX(样本到样信息汇总统计!M$2:M$500,MATCH(343,样本到样信息汇总统计!$Y$2:$Y$500,0)),"")</f>
        <v/>
      </c>
      <c r="N344" s="4" t="str">
        <f>IFERROR(INDEX(样本到样信息汇总统计!N$2:N$500,MATCH(343,样本到样信息汇总统计!$Y$2:$Y$500,0)),"")</f>
        <v/>
      </c>
      <c r="O344" s="4" t="str">
        <f>IFERROR(INDEX(样本到样信息汇总统计!O$2:O$500,MATCH(343,样本到样信息汇总统计!$Y$2:$Y$500,0)),"")</f>
        <v/>
      </c>
      <c r="P344" s="4" t="str">
        <f>IFERROR(INDEX(样本到样信息汇总统计!P$2:P$500,MATCH(343,样本到样信息汇总统计!$Y$2:$Y$500,0)),"")</f>
        <v/>
      </c>
      <c r="Q344" s="4" t="str">
        <f>IFERROR(INDEX(样本到样信息汇总统计!Q$2:Q$500,MATCH(343,样本到样信息汇总统计!$Y$2:$Y$500,0)),"")</f>
        <v/>
      </c>
      <c r="R344" s="4" t="str">
        <f>IFERROR(INDEX(样本到样信息汇总统计!R$2:R$500,MATCH(343,样本到样信息汇总统计!$Y$2:$Y$500,0)),"")</f>
        <v/>
      </c>
      <c r="S344" s="4" t="str">
        <f>IFERROR(INDEX(样本到样信息汇总统计!S$2:S$500,MATCH(343,样本到样信息汇总统计!$Y$2:$Y$500,0)),"")</f>
        <v/>
      </c>
      <c r="T344" s="4" t="str">
        <f>IFERROR(INDEX(样本到样信息汇总统计!T$2:T$500,MATCH(343,样本到样信息汇总统计!$Y$2:$Y$500,0)),"")</f>
        <v/>
      </c>
      <c r="U344" s="4" t="str">
        <f>IFERROR(INDEX(样本到样信息汇总统计!U$2:U$500,MATCH(343,样本到样信息汇总统计!$Y$2:$Y$500,0)),"")</f>
        <v/>
      </c>
      <c r="V344" s="4" t="str">
        <f>IFERROR(INDEX(样本到样信息汇总统计!V$2:V$500,MATCH(343,样本到样信息汇总统计!$Y$2:$Y$500,0)),"")</f>
        <v/>
      </c>
      <c r="W344" s="4" t="str">
        <f>IFERROR(INDEX(样本到样信息汇总统计!W$2:W$500,MATCH(343,样本到样信息汇总统计!$Y$2:$Y$500,0)),"")</f>
        <v/>
      </c>
    </row>
    <row r="345" ht="14.5" spans="1:23">
      <c r="A345" s="8" t="str">
        <f>IFERROR(INDEX(样本到样信息汇总统计!A$2:A$500,MATCH(344,样本到样信息汇总统计!$Y$2:$Y$500,0)),"")</f>
        <v/>
      </c>
      <c r="B345" s="8" t="str">
        <f>IFERROR(INDEX(样本到样信息汇总统计!B$2:B$500,MATCH(344,样本到样信息汇总统计!$Y$2:$Y$500,0)),"")</f>
        <v/>
      </c>
      <c r="C345" s="8" t="str">
        <f>IFERROR(INDEX(样本到样信息汇总统计!C$2:C$500,MATCH(344,样本到样信息汇总统计!$Y$2:$Y$500,0)),"")</f>
        <v/>
      </c>
      <c r="D345" s="8" t="str">
        <f>IFERROR(INDEX(样本到样信息汇总统计!D$2:D$500,MATCH(344,样本到样信息汇总统计!$Y$2:$Y$500,0)),"")</f>
        <v/>
      </c>
      <c r="E345" s="8" t="str">
        <f>IFERROR(INDEX(样本到样信息汇总统计!E$2:E$500,MATCH(344,样本到样信息汇总统计!$Y$2:$Y$500,0)),"")</f>
        <v/>
      </c>
      <c r="F345" s="8" t="str">
        <f>IFERROR(INDEX(样本到样信息汇总统计!F$2:F$500,MATCH(344,样本到样信息汇总统计!$Y$2:$Y$500,0)),"")</f>
        <v/>
      </c>
      <c r="G345" s="8" t="str">
        <f>IFERROR(INDEX(样本到样信息汇总统计!G$2:G$500,MATCH(344,样本到样信息汇总统计!$Y$2:$Y$500,0)),"")</f>
        <v/>
      </c>
      <c r="H345" s="8" t="str">
        <f>IFERROR(INDEX(样本到样信息汇总统计!H$2:H$500,MATCH(344,样本到样信息汇总统计!$Y$2:$Y$500,0)),"")</f>
        <v/>
      </c>
      <c r="I345" s="8" t="str">
        <f>IFERROR(INDEX(样本到样信息汇总统计!I$2:I$500,MATCH(344,样本到样信息汇总统计!$Y$2:$Y$500,0)),"")</f>
        <v/>
      </c>
      <c r="J345" s="8" t="str">
        <f>IFERROR(INDEX(样本到样信息汇总统计!J$2:J$500,MATCH(344,样本到样信息汇总统计!$Y$2:$Y$500,0)),"")</f>
        <v/>
      </c>
      <c r="K345" s="8" t="str">
        <f>IFERROR(INDEX(样本到样信息汇总统计!K$2:K$500,MATCH(344,样本到样信息汇总统计!$Y$2:$Y$500,0)),"")</f>
        <v/>
      </c>
      <c r="L345" s="8" t="str">
        <f>IFERROR(INDEX(样本到样信息汇总统计!L$2:L$500,MATCH(344,样本到样信息汇总统计!$Y$2:$Y$500,0)),"")</f>
        <v/>
      </c>
      <c r="M345" s="8" t="str">
        <f>IFERROR(INDEX(样本到样信息汇总统计!M$2:M$500,MATCH(344,样本到样信息汇总统计!$Y$2:$Y$500,0)),"")</f>
        <v/>
      </c>
      <c r="N345" s="8" t="str">
        <f>IFERROR(INDEX(样本到样信息汇总统计!N$2:N$500,MATCH(344,样本到样信息汇总统计!$Y$2:$Y$500,0)),"")</f>
        <v/>
      </c>
      <c r="O345" s="8" t="str">
        <f>IFERROR(INDEX(样本到样信息汇总统计!O$2:O$500,MATCH(344,样本到样信息汇总统计!$Y$2:$Y$500,0)),"")</f>
        <v/>
      </c>
      <c r="P345" s="8" t="str">
        <f>IFERROR(INDEX(样本到样信息汇总统计!P$2:P$500,MATCH(344,样本到样信息汇总统计!$Y$2:$Y$500,0)),"")</f>
        <v/>
      </c>
      <c r="Q345" s="8" t="str">
        <f>IFERROR(INDEX(样本到样信息汇总统计!Q$2:Q$500,MATCH(344,样本到样信息汇总统计!$Y$2:$Y$500,0)),"")</f>
        <v/>
      </c>
      <c r="R345" s="8" t="str">
        <f>IFERROR(INDEX(样本到样信息汇总统计!R$2:R$500,MATCH(344,样本到样信息汇总统计!$Y$2:$Y$500,0)),"")</f>
        <v/>
      </c>
      <c r="S345" s="8" t="str">
        <f>IFERROR(INDEX(样本到样信息汇总统计!S$2:S$500,MATCH(344,样本到样信息汇总统计!$Y$2:$Y$500,0)),"")</f>
        <v/>
      </c>
      <c r="T345" s="8" t="str">
        <f>IFERROR(INDEX(样本到样信息汇总统计!T$2:T$500,MATCH(344,样本到样信息汇总统计!$Y$2:$Y$500,0)),"")</f>
        <v/>
      </c>
      <c r="U345" s="8" t="str">
        <f>IFERROR(INDEX(样本到样信息汇总统计!U$2:U$500,MATCH(344,样本到样信息汇总统计!$Y$2:$Y$500,0)),"")</f>
        <v/>
      </c>
      <c r="V345" s="8" t="str">
        <f>IFERROR(INDEX(样本到样信息汇总统计!V$2:V$500,MATCH(344,样本到样信息汇总统计!$Y$2:$Y$500,0)),"")</f>
        <v/>
      </c>
      <c r="W345" s="8" t="str">
        <f>IFERROR(INDEX(样本到样信息汇总统计!W$2:W$500,MATCH(344,样本到样信息汇总统计!$Y$2:$Y$500,0)),"")</f>
        <v/>
      </c>
    </row>
    <row r="346" ht="14.5" spans="1:23">
      <c r="A346" s="4" t="str">
        <f>IFERROR(INDEX(样本到样信息汇总统计!A$2:A$500,MATCH(345,样本到样信息汇总统计!$Y$2:$Y$500,0)),"")</f>
        <v/>
      </c>
      <c r="B346" s="4" t="str">
        <f>IFERROR(INDEX(样本到样信息汇总统计!B$2:B$500,MATCH(345,样本到样信息汇总统计!$Y$2:$Y$500,0)),"")</f>
        <v/>
      </c>
      <c r="C346" s="4" t="str">
        <f>IFERROR(INDEX(样本到样信息汇总统计!C$2:C$500,MATCH(345,样本到样信息汇总统计!$Y$2:$Y$500,0)),"")</f>
        <v/>
      </c>
      <c r="D346" s="4" t="str">
        <f>IFERROR(INDEX(样本到样信息汇总统计!D$2:D$500,MATCH(345,样本到样信息汇总统计!$Y$2:$Y$500,0)),"")</f>
        <v/>
      </c>
      <c r="E346" s="4" t="str">
        <f>IFERROR(INDEX(样本到样信息汇总统计!E$2:E$500,MATCH(345,样本到样信息汇总统计!$Y$2:$Y$500,0)),"")</f>
        <v/>
      </c>
      <c r="F346" s="4" t="str">
        <f>IFERROR(INDEX(样本到样信息汇总统计!F$2:F$500,MATCH(345,样本到样信息汇总统计!$Y$2:$Y$500,0)),"")</f>
        <v/>
      </c>
      <c r="G346" s="4" t="str">
        <f>IFERROR(INDEX(样本到样信息汇总统计!G$2:G$500,MATCH(345,样本到样信息汇总统计!$Y$2:$Y$500,0)),"")</f>
        <v/>
      </c>
      <c r="H346" s="4" t="str">
        <f>IFERROR(INDEX(样本到样信息汇总统计!H$2:H$500,MATCH(345,样本到样信息汇总统计!$Y$2:$Y$500,0)),"")</f>
        <v/>
      </c>
      <c r="I346" s="4" t="str">
        <f>IFERROR(INDEX(样本到样信息汇总统计!I$2:I$500,MATCH(345,样本到样信息汇总统计!$Y$2:$Y$500,0)),"")</f>
        <v/>
      </c>
      <c r="J346" s="4" t="str">
        <f>IFERROR(INDEX(样本到样信息汇总统计!J$2:J$500,MATCH(345,样本到样信息汇总统计!$Y$2:$Y$500,0)),"")</f>
        <v/>
      </c>
      <c r="K346" s="4" t="str">
        <f>IFERROR(INDEX(样本到样信息汇总统计!K$2:K$500,MATCH(345,样本到样信息汇总统计!$Y$2:$Y$500,0)),"")</f>
        <v/>
      </c>
      <c r="L346" s="4" t="str">
        <f>IFERROR(INDEX(样本到样信息汇总统计!L$2:L$500,MATCH(345,样本到样信息汇总统计!$Y$2:$Y$500,0)),"")</f>
        <v/>
      </c>
      <c r="M346" s="4" t="str">
        <f>IFERROR(INDEX(样本到样信息汇总统计!M$2:M$500,MATCH(345,样本到样信息汇总统计!$Y$2:$Y$500,0)),"")</f>
        <v/>
      </c>
      <c r="N346" s="4" t="str">
        <f>IFERROR(INDEX(样本到样信息汇总统计!N$2:N$500,MATCH(345,样本到样信息汇总统计!$Y$2:$Y$500,0)),"")</f>
        <v/>
      </c>
      <c r="O346" s="4" t="str">
        <f>IFERROR(INDEX(样本到样信息汇总统计!O$2:O$500,MATCH(345,样本到样信息汇总统计!$Y$2:$Y$500,0)),"")</f>
        <v/>
      </c>
      <c r="P346" s="4" t="str">
        <f>IFERROR(INDEX(样本到样信息汇总统计!P$2:P$500,MATCH(345,样本到样信息汇总统计!$Y$2:$Y$500,0)),"")</f>
        <v/>
      </c>
      <c r="Q346" s="4" t="str">
        <f>IFERROR(INDEX(样本到样信息汇总统计!Q$2:Q$500,MATCH(345,样本到样信息汇总统计!$Y$2:$Y$500,0)),"")</f>
        <v/>
      </c>
      <c r="R346" s="4" t="str">
        <f>IFERROR(INDEX(样本到样信息汇总统计!R$2:R$500,MATCH(345,样本到样信息汇总统计!$Y$2:$Y$500,0)),"")</f>
        <v/>
      </c>
      <c r="S346" s="4" t="str">
        <f>IFERROR(INDEX(样本到样信息汇总统计!S$2:S$500,MATCH(345,样本到样信息汇总统计!$Y$2:$Y$500,0)),"")</f>
        <v/>
      </c>
      <c r="T346" s="4" t="str">
        <f>IFERROR(INDEX(样本到样信息汇总统计!T$2:T$500,MATCH(345,样本到样信息汇总统计!$Y$2:$Y$500,0)),"")</f>
        <v/>
      </c>
      <c r="U346" s="4" t="str">
        <f>IFERROR(INDEX(样本到样信息汇总统计!U$2:U$500,MATCH(345,样本到样信息汇总统计!$Y$2:$Y$500,0)),"")</f>
        <v/>
      </c>
      <c r="V346" s="4" t="str">
        <f>IFERROR(INDEX(样本到样信息汇总统计!V$2:V$500,MATCH(345,样本到样信息汇总统计!$Y$2:$Y$500,0)),"")</f>
        <v/>
      </c>
      <c r="W346" s="4" t="str">
        <f>IFERROR(INDEX(样本到样信息汇总统计!W$2:W$500,MATCH(345,样本到样信息汇总统计!$Y$2:$Y$500,0)),"")</f>
        <v/>
      </c>
    </row>
    <row r="347" ht="14.5" spans="1:23">
      <c r="A347" s="8" t="str">
        <f>IFERROR(INDEX(样本到样信息汇总统计!A$2:A$500,MATCH(346,样本到样信息汇总统计!$Y$2:$Y$500,0)),"")</f>
        <v/>
      </c>
      <c r="B347" s="8" t="str">
        <f>IFERROR(INDEX(样本到样信息汇总统计!B$2:B$500,MATCH(346,样本到样信息汇总统计!$Y$2:$Y$500,0)),"")</f>
        <v/>
      </c>
      <c r="C347" s="8" t="str">
        <f>IFERROR(INDEX(样本到样信息汇总统计!C$2:C$500,MATCH(346,样本到样信息汇总统计!$Y$2:$Y$500,0)),"")</f>
        <v/>
      </c>
      <c r="D347" s="8" t="str">
        <f>IFERROR(INDEX(样本到样信息汇总统计!D$2:D$500,MATCH(346,样本到样信息汇总统计!$Y$2:$Y$500,0)),"")</f>
        <v/>
      </c>
      <c r="E347" s="8" t="str">
        <f>IFERROR(INDEX(样本到样信息汇总统计!E$2:E$500,MATCH(346,样本到样信息汇总统计!$Y$2:$Y$500,0)),"")</f>
        <v/>
      </c>
      <c r="F347" s="8" t="str">
        <f>IFERROR(INDEX(样本到样信息汇总统计!F$2:F$500,MATCH(346,样本到样信息汇总统计!$Y$2:$Y$500,0)),"")</f>
        <v/>
      </c>
      <c r="G347" s="8" t="str">
        <f>IFERROR(INDEX(样本到样信息汇总统计!G$2:G$500,MATCH(346,样本到样信息汇总统计!$Y$2:$Y$500,0)),"")</f>
        <v/>
      </c>
      <c r="H347" s="8" t="str">
        <f>IFERROR(INDEX(样本到样信息汇总统计!H$2:H$500,MATCH(346,样本到样信息汇总统计!$Y$2:$Y$500,0)),"")</f>
        <v/>
      </c>
      <c r="I347" s="8" t="str">
        <f>IFERROR(INDEX(样本到样信息汇总统计!I$2:I$500,MATCH(346,样本到样信息汇总统计!$Y$2:$Y$500,0)),"")</f>
        <v/>
      </c>
      <c r="J347" s="8" t="str">
        <f>IFERROR(INDEX(样本到样信息汇总统计!J$2:J$500,MATCH(346,样本到样信息汇总统计!$Y$2:$Y$500,0)),"")</f>
        <v/>
      </c>
      <c r="K347" s="8" t="str">
        <f>IFERROR(INDEX(样本到样信息汇总统计!K$2:K$500,MATCH(346,样本到样信息汇总统计!$Y$2:$Y$500,0)),"")</f>
        <v/>
      </c>
      <c r="L347" s="8" t="str">
        <f>IFERROR(INDEX(样本到样信息汇总统计!L$2:L$500,MATCH(346,样本到样信息汇总统计!$Y$2:$Y$500,0)),"")</f>
        <v/>
      </c>
      <c r="M347" s="8" t="str">
        <f>IFERROR(INDEX(样本到样信息汇总统计!M$2:M$500,MATCH(346,样本到样信息汇总统计!$Y$2:$Y$500,0)),"")</f>
        <v/>
      </c>
      <c r="N347" s="8" t="str">
        <f>IFERROR(INDEX(样本到样信息汇总统计!N$2:N$500,MATCH(346,样本到样信息汇总统计!$Y$2:$Y$500,0)),"")</f>
        <v/>
      </c>
      <c r="O347" s="8" t="str">
        <f>IFERROR(INDEX(样本到样信息汇总统计!O$2:O$500,MATCH(346,样本到样信息汇总统计!$Y$2:$Y$500,0)),"")</f>
        <v/>
      </c>
      <c r="P347" s="8" t="str">
        <f>IFERROR(INDEX(样本到样信息汇总统计!P$2:P$500,MATCH(346,样本到样信息汇总统计!$Y$2:$Y$500,0)),"")</f>
        <v/>
      </c>
      <c r="Q347" s="8" t="str">
        <f>IFERROR(INDEX(样本到样信息汇总统计!Q$2:Q$500,MATCH(346,样本到样信息汇总统计!$Y$2:$Y$500,0)),"")</f>
        <v/>
      </c>
      <c r="R347" s="8" t="str">
        <f>IFERROR(INDEX(样本到样信息汇总统计!R$2:R$500,MATCH(346,样本到样信息汇总统计!$Y$2:$Y$500,0)),"")</f>
        <v/>
      </c>
      <c r="S347" s="8" t="str">
        <f>IFERROR(INDEX(样本到样信息汇总统计!S$2:S$500,MATCH(346,样本到样信息汇总统计!$Y$2:$Y$500,0)),"")</f>
        <v/>
      </c>
      <c r="T347" s="8" t="str">
        <f>IFERROR(INDEX(样本到样信息汇总统计!T$2:T$500,MATCH(346,样本到样信息汇总统计!$Y$2:$Y$500,0)),"")</f>
        <v/>
      </c>
      <c r="U347" s="8" t="str">
        <f>IFERROR(INDEX(样本到样信息汇总统计!U$2:U$500,MATCH(346,样本到样信息汇总统计!$Y$2:$Y$500,0)),"")</f>
        <v/>
      </c>
      <c r="V347" s="8" t="str">
        <f>IFERROR(INDEX(样本到样信息汇总统计!V$2:V$500,MATCH(346,样本到样信息汇总统计!$Y$2:$Y$500,0)),"")</f>
        <v/>
      </c>
      <c r="W347" s="8" t="str">
        <f>IFERROR(INDEX(样本到样信息汇总统计!W$2:W$500,MATCH(346,样本到样信息汇总统计!$Y$2:$Y$500,0)),"")</f>
        <v/>
      </c>
    </row>
    <row r="348" ht="14.5" spans="1:23">
      <c r="A348" s="4" t="str">
        <f>IFERROR(INDEX(样本到样信息汇总统计!A$2:A$500,MATCH(347,样本到样信息汇总统计!$Y$2:$Y$500,0)),"")</f>
        <v/>
      </c>
      <c r="B348" s="4" t="str">
        <f>IFERROR(INDEX(样本到样信息汇总统计!B$2:B$500,MATCH(347,样本到样信息汇总统计!$Y$2:$Y$500,0)),"")</f>
        <v/>
      </c>
      <c r="C348" s="4" t="str">
        <f>IFERROR(INDEX(样本到样信息汇总统计!C$2:C$500,MATCH(347,样本到样信息汇总统计!$Y$2:$Y$500,0)),"")</f>
        <v/>
      </c>
      <c r="D348" s="4" t="str">
        <f>IFERROR(INDEX(样本到样信息汇总统计!D$2:D$500,MATCH(347,样本到样信息汇总统计!$Y$2:$Y$500,0)),"")</f>
        <v/>
      </c>
      <c r="E348" s="4" t="str">
        <f>IFERROR(INDEX(样本到样信息汇总统计!E$2:E$500,MATCH(347,样本到样信息汇总统计!$Y$2:$Y$500,0)),"")</f>
        <v/>
      </c>
      <c r="F348" s="4" t="str">
        <f>IFERROR(INDEX(样本到样信息汇总统计!F$2:F$500,MATCH(347,样本到样信息汇总统计!$Y$2:$Y$500,0)),"")</f>
        <v/>
      </c>
      <c r="G348" s="4" t="str">
        <f>IFERROR(INDEX(样本到样信息汇总统计!G$2:G$500,MATCH(347,样本到样信息汇总统计!$Y$2:$Y$500,0)),"")</f>
        <v/>
      </c>
      <c r="H348" s="4" t="str">
        <f>IFERROR(INDEX(样本到样信息汇总统计!H$2:H$500,MATCH(347,样本到样信息汇总统计!$Y$2:$Y$500,0)),"")</f>
        <v/>
      </c>
      <c r="I348" s="4" t="str">
        <f>IFERROR(INDEX(样本到样信息汇总统计!I$2:I$500,MATCH(347,样本到样信息汇总统计!$Y$2:$Y$500,0)),"")</f>
        <v/>
      </c>
      <c r="J348" s="4" t="str">
        <f>IFERROR(INDEX(样本到样信息汇总统计!J$2:J$500,MATCH(347,样本到样信息汇总统计!$Y$2:$Y$500,0)),"")</f>
        <v/>
      </c>
      <c r="K348" s="4" t="str">
        <f>IFERROR(INDEX(样本到样信息汇总统计!K$2:K$500,MATCH(347,样本到样信息汇总统计!$Y$2:$Y$500,0)),"")</f>
        <v/>
      </c>
      <c r="L348" s="4" t="str">
        <f>IFERROR(INDEX(样本到样信息汇总统计!L$2:L$500,MATCH(347,样本到样信息汇总统计!$Y$2:$Y$500,0)),"")</f>
        <v/>
      </c>
      <c r="M348" s="4" t="str">
        <f>IFERROR(INDEX(样本到样信息汇总统计!M$2:M$500,MATCH(347,样本到样信息汇总统计!$Y$2:$Y$500,0)),"")</f>
        <v/>
      </c>
      <c r="N348" s="4" t="str">
        <f>IFERROR(INDEX(样本到样信息汇总统计!N$2:N$500,MATCH(347,样本到样信息汇总统计!$Y$2:$Y$500,0)),"")</f>
        <v/>
      </c>
      <c r="O348" s="4" t="str">
        <f>IFERROR(INDEX(样本到样信息汇总统计!O$2:O$500,MATCH(347,样本到样信息汇总统计!$Y$2:$Y$500,0)),"")</f>
        <v/>
      </c>
      <c r="P348" s="4" t="str">
        <f>IFERROR(INDEX(样本到样信息汇总统计!P$2:P$500,MATCH(347,样本到样信息汇总统计!$Y$2:$Y$500,0)),"")</f>
        <v/>
      </c>
      <c r="Q348" s="4" t="str">
        <f>IFERROR(INDEX(样本到样信息汇总统计!Q$2:Q$500,MATCH(347,样本到样信息汇总统计!$Y$2:$Y$500,0)),"")</f>
        <v/>
      </c>
      <c r="R348" s="4" t="str">
        <f>IFERROR(INDEX(样本到样信息汇总统计!R$2:R$500,MATCH(347,样本到样信息汇总统计!$Y$2:$Y$500,0)),"")</f>
        <v/>
      </c>
      <c r="S348" s="4" t="str">
        <f>IFERROR(INDEX(样本到样信息汇总统计!S$2:S$500,MATCH(347,样本到样信息汇总统计!$Y$2:$Y$500,0)),"")</f>
        <v/>
      </c>
      <c r="T348" s="4" t="str">
        <f>IFERROR(INDEX(样本到样信息汇总统计!T$2:T$500,MATCH(347,样本到样信息汇总统计!$Y$2:$Y$500,0)),"")</f>
        <v/>
      </c>
      <c r="U348" s="4" t="str">
        <f>IFERROR(INDEX(样本到样信息汇总统计!U$2:U$500,MATCH(347,样本到样信息汇总统计!$Y$2:$Y$500,0)),"")</f>
        <v/>
      </c>
      <c r="V348" s="4" t="str">
        <f>IFERROR(INDEX(样本到样信息汇总统计!V$2:V$500,MATCH(347,样本到样信息汇总统计!$Y$2:$Y$500,0)),"")</f>
        <v/>
      </c>
      <c r="W348" s="4" t="str">
        <f>IFERROR(INDEX(样本到样信息汇总统计!W$2:W$500,MATCH(347,样本到样信息汇总统计!$Y$2:$Y$500,0)),"")</f>
        <v/>
      </c>
    </row>
    <row r="349" ht="14.5" spans="1:23">
      <c r="A349" s="8" t="str">
        <f>IFERROR(INDEX(样本到样信息汇总统计!A$2:A$500,MATCH(348,样本到样信息汇总统计!$Y$2:$Y$500,0)),"")</f>
        <v/>
      </c>
      <c r="B349" s="8" t="str">
        <f>IFERROR(INDEX(样本到样信息汇总统计!B$2:B$500,MATCH(348,样本到样信息汇总统计!$Y$2:$Y$500,0)),"")</f>
        <v/>
      </c>
      <c r="C349" s="8" t="str">
        <f>IFERROR(INDEX(样本到样信息汇总统计!C$2:C$500,MATCH(348,样本到样信息汇总统计!$Y$2:$Y$500,0)),"")</f>
        <v/>
      </c>
      <c r="D349" s="8" t="str">
        <f>IFERROR(INDEX(样本到样信息汇总统计!D$2:D$500,MATCH(348,样本到样信息汇总统计!$Y$2:$Y$500,0)),"")</f>
        <v/>
      </c>
      <c r="E349" s="8" t="str">
        <f>IFERROR(INDEX(样本到样信息汇总统计!E$2:E$500,MATCH(348,样本到样信息汇总统计!$Y$2:$Y$500,0)),"")</f>
        <v/>
      </c>
      <c r="F349" s="8" t="str">
        <f>IFERROR(INDEX(样本到样信息汇总统计!F$2:F$500,MATCH(348,样本到样信息汇总统计!$Y$2:$Y$500,0)),"")</f>
        <v/>
      </c>
      <c r="G349" s="8" t="str">
        <f>IFERROR(INDEX(样本到样信息汇总统计!G$2:G$500,MATCH(348,样本到样信息汇总统计!$Y$2:$Y$500,0)),"")</f>
        <v/>
      </c>
      <c r="H349" s="8" t="str">
        <f>IFERROR(INDEX(样本到样信息汇总统计!H$2:H$500,MATCH(348,样本到样信息汇总统计!$Y$2:$Y$500,0)),"")</f>
        <v/>
      </c>
      <c r="I349" s="8" t="str">
        <f>IFERROR(INDEX(样本到样信息汇总统计!I$2:I$500,MATCH(348,样本到样信息汇总统计!$Y$2:$Y$500,0)),"")</f>
        <v/>
      </c>
      <c r="J349" s="8" t="str">
        <f>IFERROR(INDEX(样本到样信息汇总统计!J$2:J$500,MATCH(348,样本到样信息汇总统计!$Y$2:$Y$500,0)),"")</f>
        <v/>
      </c>
      <c r="K349" s="8" t="str">
        <f>IFERROR(INDEX(样本到样信息汇总统计!K$2:K$500,MATCH(348,样本到样信息汇总统计!$Y$2:$Y$500,0)),"")</f>
        <v/>
      </c>
      <c r="L349" s="8" t="str">
        <f>IFERROR(INDEX(样本到样信息汇总统计!L$2:L$500,MATCH(348,样本到样信息汇总统计!$Y$2:$Y$500,0)),"")</f>
        <v/>
      </c>
      <c r="M349" s="8" t="str">
        <f>IFERROR(INDEX(样本到样信息汇总统计!M$2:M$500,MATCH(348,样本到样信息汇总统计!$Y$2:$Y$500,0)),"")</f>
        <v/>
      </c>
      <c r="N349" s="8" t="str">
        <f>IFERROR(INDEX(样本到样信息汇总统计!N$2:N$500,MATCH(348,样本到样信息汇总统计!$Y$2:$Y$500,0)),"")</f>
        <v/>
      </c>
      <c r="O349" s="8" t="str">
        <f>IFERROR(INDEX(样本到样信息汇总统计!O$2:O$500,MATCH(348,样本到样信息汇总统计!$Y$2:$Y$500,0)),"")</f>
        <v/>
      </c>
      <c r="P349" s="8" t="str">
        <f>IFERROR(INDEX(样本到样信息汇总统计!P$2:P$500,MATCH(348,样本到样信息汇总统计!$Y$2:$Y$500,0)),"")</f>
        <v/>
      </c>
      <c r="Q349" s="8" t="str">
        <f>IFERROR(INDEX(样本到样信息汇总统计!Q$2:Q$500,MATCH(348,样本到样信息汇总统计!$Y$2:$Y$500,0)),"")</f>
        <v/>
      </c>
      <c r="R349" s="8" t="str">
        <f>IFERROR(INDEX(样本到样信息汇总统计!R$2:R$500,MATCH(348,样本到样信息汇总统计!$Y$2:$Y$500,0)),"")</f>
        <v/>
      </c>
      <c r="S349" s="8" t="str">
        <f>IFERROR(INDEX(样本到样信息汇总统计!S$2:S$500,MATCH(348,样本到样信息汇总统计!$Y$2:$Y$500,0)),"")</f>
        <v/>
      </c>
      <c r="T349" s="8" t="str">
        <f>IFERROR(INDEX(样本到样信息汇总统计!T$2:T$500,MATCH(348,样本到样信息汇总统计!$Y$2:$Y$500,0)),"")</f>
        <v/>
      </c>
      <c r="U349" s="8" t="str">
        <f>IFERROR(INDEX(样本到样信息汇总统计!U$2:U$500,MATCH(348,样本到样信息汇总统计!$Y$2:$Y$500,0)),"")</f>
        <v/>
      </c>
      <c r="V349" s="8" t="str">
        <f>IFERROR(INDEX(样本到样信息汇总统计!V$2:V$500,MATCH(348,样本到样信息汇总统计!$Y$2:$Y$500,0)),"")</f>
        <v/>
      </c>
      <c r="W349" s="8" t="str">
        <f>IFERROR(INDEX(样本到样信息汇总统计!W$2:W$500,MATCH(348,样本到样信息汇总统计!$Y$2:$Y$500,0)),"")</f>
        <v/>
      </c>
    </row>
    <row r="350" ht="14.5" spans="1:23">
      <c r="A350" s="4" t="str">
        <f>IFERROR(INDEX(样本到样信息汇总统计!A$2:A$500,MATCH(349,样本到样信息汇总统计!$Y$2:$Y$500,0)),"")</f>
        <v/>
      </c>
      <c r="B350" s="4" t="str">
        <f>IFERROR(INDEX(样本到样信息汇总统计!B$2:B$500,MATCH(349,样本到样信息汇总统计!$Y$2:$Y$500,0)),"")</f>
        <v/>
      </c>
      <c r="C350" s="4" t="str">
        <f>IFERROR(INDEX(样本到样信息汇总统计!C$2:C$500,MATCH(349,样本到样信息汇总统计!$Y$2:$Y$500,0)),"")</f>
        <v/>
      </c>
      <c r="D350" s="4" t="str">
        <f>IFERROR(INDEX(样本到样信息汇总统计!D$2:D$500,MATCH(349,样本到样信息汇总统计!$Y$2:$Y$500,0)),"")</f>
        <v/>
      </c>
      <c r="E350" s="4" t="str">
        <f>IFERROR(INDEX(样本到样信息汇总统计!E$2:E$500,MATCH(349,样本到样信息汇总统计!$Y$2:$Y$500,0)),"")</f>
        <v/>
      </c>
      <c r="F350" s="4" t="str">
        <f>IFERROR(INDEX(样本到样信息汇总统计!F$2:F$500,MATCH(349,样本到样信息汇总统计!$Y$2:$Y$500,0)),"")</f>
        <v/>
      </c>
      <c r="G350" s="4" t="str">
        <f>IFERROR(INDEX(样本到样信息汇总统计!G$2:G$500,MATCH(349,样本到样信息汇总统计!$Y$2:$Y$500,0)),"")</f>
        <v/>
      </c>
      <c r="H350" s="4" t="str">
        <f>IFERROR(INDEX(样本到样信息汇总统计!H$2:H$500,MATCH(349,样本到样信息汇总统计!$Y$2:$Y$500,0)),"")</f>
        <v/>
      </c>
      <c r="I350" s="4" t="str">
        <f>IFERROR(INDEX(样本到样信息汇总统计!I$2:I$500,MATCH(349,样本到样信息汇总统计!$Y$2:$Y$500,0)),"")</f>
        <v/>
      </c>
      <c r="J350" s="4" t="str">
        <f>IFERROR(INDEX(样本到样信息汇总统计!J$2:J$500,MATCH(349,样本到样信息汇总统计!$Y$2:$Y$500,0)),"")</f>
        <v/>
      </c>
      <c r="K350" s="4" t="str">
        <f>IFERROR(INDEX(样本到样信息汇总统计!K$2:K$500,MATCH(349,样本到样信息汇总统计!$Y$2:$Y$500,0)),"")</f>
        <v/>
      </c>
      <c r="L350" s="4" t="str">
        <f>IFERROR(INDEX(样本到样信息汇总统计!L$2:L$500,MATCH(349,样本到样信息汇总统计!$Y$2:$Y$500,0)),"")</f>
        <v/>
      </c>
      <c r="M350" s="4" t="str">
        <f>IFERROR(INDEX(样本到样信息汇总统计!M$2:M$500,MATCH(349,样本到样信息汇总统计!$Y$2:$Y$500,0)),"")</f>
        <v/>
      </c>
      <c r="N350" s="4" t="str">
        <f>IFERROR(INDEX(样本到样信息汇总统计!N$2:N$500,MATCH(349,样本到样信息汇总统计!$Y$2:$Y$500,0)),"")</f>
        <v/>
      </c>
      <c r="O350" s="4" t="str">
        <f>IFERROR(INDEX(样本到样信息汇总统计!O$2:O$500,MATCH(349,样本到样信息汇总统计!$Y$2:$Y$500,0)),"")</f>
        <v/>
      </c>
      <c r="P350" s="4" t="str">
        <f>IFERROR(INDEX(样本到样信息汇总统计!P$2:P$500,MATCH(349,样本到样信息汇总统计!$Y$2:$Y$500,0)),"")</f>
        <v/>
      </c>
      <c r="Q350" s="4" t="str">
        <f>IFERROR(INDEX(样本到样信息汇总统计!Q$2:Q$500,MATCH(349,样本到样信息汇总统计!$Y$2:$Y$500,0)),"")</f>
        <v/>
      </c>
      <c r="R350" s="4" t="str">
        <f>IFERROR(INDEX(样本到样信息汇总统计!R$2:R$500,MATCH(349,样本到样信息汇总统计!$Y$2:$Y$500,0)),"")</f>
        <v/>
      </c>
      <c r="S350" s="4" t="str">
        <f>IFERROR(INDEX(样本到样信息汇总统计!S$2:S$500,MATCH(349,样本到样信息汇总统计!$Y$2:$Y$500,0)),"")</f>
        <v/>
      </c>
      <c r="T350" s="4" t="str">
        <f>IFERROR(INDEX(样本到样信息汇总统计!T$2:T$500,MATCH(349,样本到样信息汇总统计!$Y$2:$Y$500,0)),"")</f>
        <v/>
      </c>
      <c r="U350" s="4" t="str">
        <f>IFERROR(INDEX(样本到样信息汇总统计!U$2:U$500,MATCH(349,样本到样信息汇总统计!$Y$2:$Y$500,0)),"")</f>
        <v/>
      </c>
      <c r="V350" s="4" t="str">
        <f>IFERROR(INDEX(样本到样信息汇总统计!V$2:V$500,MATCH(349,样本到样信息汇总统计!$Y$2:$Y$500,0)),"")</f>
        <v/>
      </c>
      <c r="W350" s="4" t="str">
        <f>IFERROR(INDEX(样本到样信息汇总统计!W$2:W$500,MATCH(349,样本到样信息汇总统计!$Y$2:$Y$500,0)),"")</f>
        <v/>
      </c>
    </row>
    <row r="351" ht="14.5" spans="1:23">
      <c r="A351" s="8" t="str">
        <f>IFERROR(INDEX(样本到样信息汇总统计!A$2:A$500,MATCH(350,样本到样信息汇总统计!$Y$2:$Y$500,0)),"")</f>
        <v/>
      </c>
      <c r="B351" s="8" t="str">
        <f>IFERROR(INDEX(样本到样信息汇总统计!B$2:B$500,MATCH(350,样本到样信息汇总统计!$Y$2:$Y$500,0)),"")</f>
        <v/>
      </c>
      <c r="C351" s="8" t="str">
        <f>IFERROR(INDEX(样本到样信息汇总统计!C$2:C$500,MATCH(350,样本到样信息汇总统计!$Y$2:$Y$500,0)),"")</f>
        <v/>
      </c>
      <c r="D351" s="8" t="str">
        <f>IFERROR(INDEX(样本到样信息汇总统计!D$2:D$500,MATCH(350,样本到样信息汇总统计!$Y$2:$Y$500,0)),"")</f>
        <v/>
      </c>
      <c r="E351" s="8" t="str">
        <f>IFERROR(INDEX(样本到样信息汇总统计!E$2:E$500,MATCH(350,样本到样信息汇总统计!$Y$2:$Y$500,0)),"")</f>
        <v/>
      </c>
      <c r="F351" s="8" t="str">
        <f>IFERROR(INDEX(样本到样信息汇总统计!F$2:F$500,MATCH(350,样本到样信息汇总统计!$Y$2:$Y$500,0)),"")</f>
        <v/>
      </c>
      <c r="G351" s="8" t="str">
        <f>IFERROR(INDEX(样本到样信息汇总统计!G$2:G$500,MATCH(350,样本到样信息汇总统计!$Y$2:$Y$500,0)),"")</f>
        <v/>
      </c>
      <c r="H351" s="8" t="str">
        <f>IFERROR(INDEX(样本到样信息汇总统计!H$2:H$500,MATCH(350,样本到样信息汇总统计!$Y$2:$Y$500,0)),"")</f>
        <v/>
      </c>
      <c r="I351" s="8" t="str">
        <f>IFERROR(INDEX(样本到样信息汇总统计!I$2:I$500,MATCH(350,样本到样信息汇总统计!$Y$2:$Y$500,0)),"")</f>
        <v/>
      </c>
      <c r="J351" s="8" t="str">
        <f>IFERROR(INDEX(样本到样信息汇总统计!J$2:J$500,MATCH(350,样本到样信息汇总统计!$Y$2:$Y$500,0)),"")</f>
        <v/>
      </c>
      <c r="K351" s="8" t="str">
        <f>IFERROR(INDEX(样本到样信息汇总统计!K$2:K$500,MATCH(350,样本到样信息汇总统计!$Y$2:$Y$500,0)),"")</f>
        <v/>
      </c>
      <c r="L351" s="8" t="str">
        <f>IFERROR(INDEX(样本到样信息汇总统计!L$2:L$500,MATCH(350,样本到样信息汇总统计!$Y$2:$Y$500,0)),"")</f>
        <v/>
      </c>
      <c r="M351" s="8" t="str">
        <f>IFERROR(INDEX(样本到样信息汇总统计!M$2:M$500,MATCH(350,样本到样信息汇总统计!$Y$2:$Y$500,0)),"")</f>
        <v/>
      </c>
      <c r="N351" s="8" t="str">
        <f>IFERROR(INDEX(样本到样信息汇总统计!N$2:N$500,MATCH(350,样本到样信息汇总统计!$Y$2:$Y$500,0)),"")</f>
        <v/>
      </c>
      <c r="O351" s="8" t="str">
        <f>IFERROR(INDEX(样本到样信息汇总统计!O$2:O$500,MATCH(350,样本到样信息汇总统计!$Y$2:$Y$500,0)),"")</f>
        <v/>
      </c>
      <c r="P351" s="8" t="str">
        <f>IFERROR(INDEX(样本到样信息汇总统计!P$2:P$500,MATCH(350,样本到样信息汇总统计!$Y$2:$Y$500,0)),"")</f>
        <v/>
      </c>
      <c r="Q351" s="8" t="str">
        <f>IFERROR(INDEX(样本到样信息汇总统计!Q$2:Q$500,MATCH(350,样本到样信息汇总统计!$Y$2:$Y$500,0)),"")</f>
        <v/>
      </c>
      <c r="R351" s="8" t="str">
        <f>IFERROR(INDEX(样本到样信息汇总统计!R$2:R$500,MATCH(350,样本到样信息汇总统计!$Y$2:$Y$500,0)),"")</f>
        <v/>
      </c>
      <c r="S351" s="8" t="str">
        <f>IFERROR(INDEX(样本到样信息汇总统计!S$2:S$500,MATCH(350,样本到样信息汇总统计!$Y$2:$Y$500,0)),"")</f>
        <v/>
      </c>
      <c r="T351" s="8" t="str">
        <f>IFERROR(INDEX(样本到样信息汇总统计!T$2:T$500,MATCH(350,样本到样信息汇总统计!$Y$2:$Y$500,0)),"")</f>
        <v/>
      </c>
      <c r="U351" s="8" t="str">
        <f>IFERROR(INDEX(样本到样信息汇总统计!U$2:U$500,MATCH(350,样本到样信息汇总统计!$Y$2:$Y$500,0)),"")</f>
        <v/>
      </c>
      <c r="V351" s="8" t="str">
        <f>IFERROR(INDEX(样本到样信息汇总统计!V$2:V$500,MATCH(350,样本到样信息汇总统计!$Y$2:$Y$500,0)),"")</f>
        <v/>
      </c>
      <c r="W351" s="8" t="str">
        <f>IFERROR(INDEX(样本到样信息汇总统计!W$2:W$500,MATCH(350,样本到样信息汇总统计!$Y$2:$Y$500,0)),"")</f>
        <v/>
      </c>
    </row>
    <row r="352" ht="14.5" spans="1:23">
      <c r="A352" s="4" t="str">
        <f>IFERROR(INDEX(样本到样信息汇总统计!A$2:A$500,MATCH(351,样本到样信息汇总统计!$Y$2:$Y$500,0)),"")</f>
        <v/>
      </c>
      <c r="B352" s="4" t="str">
        <f>IFERROR(INDEX(样本到样信息汇总统计!B$2:B$500,MATCH(351,样本到样信息汇总统计!$Y$2:$Y$500,0)),"")</f>
        <v/>
      </c>
      <c r="C352" s="4" t="str">
        <f>IFERROR(INDEX(样本到样信息汇总统计!C$2:C$500,MATCH(351,样本到样信息汇总统计!$Y$2:$Y$500,0)),"")</f>
        <v/>
      </c>
      <c r="D352" s="4" t="str">
        <f>IFERROR(INDEX(样本到样信息汇总统计!D$2:D$500,MATCH(351,样本到样信息汇总统计!$Y$2:$Y$500,0)),"")</f>
        <v/>
      </c>
      <c r="E352" s="4" t="str">
        <f>IFERROR(INDEX(样本到样信息汇总统计!E$2:E$500,MATCH(351,样本到样信息汇总统计!$Y$2:$Y$500,0)),"")</f>
        <v/>
      </c>
      <c r="F352" s="4" t="str">
        <f>IFERROR(INDEX(样本到样信息汇总统计!F$2:F$500,MATCH(351,样本到样信息汇总统计!$Y$2:$Y$500,0)),"")</f>
        <v/>
      </c>
      <c r="G352" s="4" t="str">
        <f>IFERROR(INDEX(样本到样信息汇总统计!G$2:G$500,MATCH(351,样本到样信息汇总统计!$Y$2:$Y$500,0)),"")</f>
        <v/>
      </c>
      <c r="H352" s="4" t="str">
        <f>IFERROR(INDEX(样本到样信息汇总统计!H$2:H$500,MATCH(351,样本到样信息汇总统计!$Y$2:$Y$500,0)),"")</f>
        <v/>
      </c>
      <c r="I352" s="4" t="str">
        <f>IFERROR(INDEX(样本到样信息汇总统计!I$2:I$500,MATCH(351,样本到样信息汇总统计!$Y$2:$Y$500,0)),"")</f>
        <v/>
      </c>
      <c r="J352" s="4" t="str">
        <f>IFERROR(INDEX(样本到样信息汇总统计!J$2:J$500,MATCH(351,样本到样信息汇总统计!$Y$2:$Y$500,0)),"")</f>
        <v/>
      </c>
      <c r="K352" s="4" t="str">
        <f>IFERROR(INDEX(样本到样信息汇总统计!K$2:K$500,MATCH(351,样本到样信息汇总统计!$Y$2:$Y$500,0)),"")</f>
        <v/>
      </c>
      <c r="L352" s="4" t="str">
        <f>IFERROR(INDEX(样本到样信息汇总统计!L$2:L$500,MATCH(351,样本到样信息汇总统计!$Y$2:$Y$500,0)),"")</f>
        <v/>
      </c>
      <c r="M352" s="4" t="str">
        <f>IFERROR(INDEX(样本到样信息汇总统计!M$2:M$500,MATCH(351,样本到样信息汇总统计!$Y$2:$Y$500,0)),"")</f>
        <v/>
      </c>
      <c r="N352" s="4" t="str">
        <f>IFERROR(INDEX(样本到样信息汇总统计!N$2:N$500,MATCH(351,样本到样信息汇总统计!$Y$2:$Y$500,0)),"")</f>
        <v/>
      </c>
      <c r="O352" s="4" t="str">
        <f>IFERROR(INDEX(样本到样信息汇总统计!O$2:O$500,MATCH(351,样本到样信息汇总统计!$Y$2:$Y$500,0)),"")</f>
        <v/>
      </c>
      <c r="P352" s="4" t="str">
        <f>IFERROR(INDEX(样本到样信息汇总统计!P$2:P$500,MATCH(351,样本到样信息汇总统计!$Y$2:$Y$500,0)),"")</f>
        <v/>
      </c>
      <c r="Q352" s="4" t="str">
        <f>IFERROR(INDEX(样本到样信息汇总统计!Q$2:Q$500,MATCH(351,样本到样信息汇总统计!$Y$2:$Y$500,0)),"")</f>
        <v/>
      </c>
      <c r="R352" s="4" t="str">
        <f>IFERROR(INDEX(样本到样信息汇总统计!R$2:R$500,MATCH(351,样本到样信息汇总统计!$Y$2:$Y$500,0)),"")</f>
        <v/>
      </c>
      <c r="S352" s="4" t="str">
        <f>IFERROR(INDEX(样本到样信息汇总统计!S$2:S$500,MATCH(351,样本到样信息汇总统计!$Y$2:$Y$500,0)),"")</f>
        <v/>
      </c>
      <c r="T352" s="4" t="str">
        <f>IFERROR(INDEX(样本到样信息汇总统计!T$2:T$500,MATCH(351,样本到样信息汇总统计!$Y$2:$Y$500,0)),"")</f>
        <v/>
      </c>
      <c r="U352" s="4" t="str">
        <f>IFERROR(INDEX(样本到样信息汇总统计!U$2:U$500,MATCH(351,样本到样信息汇总统计!$Y$2:$Y$500,0)),"")</f>
        <v/>
      </c>
      <c r="V352" s="4" t="str">
        <f>IFERROR(INDEX(样本到样信息汇总统计!V$2:V$500,MATCH(351,样本到样信息汇总统计!$Y$2:$Y$500,0)),"")</f>
        <v/>
      </c>
      <c r="W352" s="4" t="str">
        <f>IFERROR(INDEX(样本到样信息汇总统计!W$2:W$500,MATCH(351,样本到样信息汇总统计!$Y$2:$Y$500,0)),"")</f>
        <v/>
      </c>
    </row>
    <row r="353" ht="14.5" spans="1:23">
      <c r="A353" s="8" t="str">
        <f>IFERROR(INDEX(样本到样信息汇总统计!A$2:A$500,MATCH(352,样本到样信息汇总统计!$Y$2:$Y$500,0)),"")</f>
        <v/>
      </c>
      <c r="B353" s="8" t="str">
        <f>IFERROR(INDEX(样本到样信息汇总统计!B$2:B$500,MATCH(352,样本到样信息汇总统计!$Y$2:$Y$500,0)),"")</f>
        <v/>
      </c>
      <c r="C353" s="8" t="str">
        <f>IFERROR(INDEX(样本到样信息汇总统计!C$2:C$500,MATCH(352,样本到样信息汇总统计!$Y$2:$Y$500,0)),"")</f>
        <v/>
      </c>
      <c r="D353" s="8" t="str">
        <f>IFERROR(INDEX(样本到样信息汇总统计!D$2:D$500,MATCH(352,样本到样信息汇总统计!$Y$2:$Y$500,0)),"")</f>
        <v/>
      </c>
      <c r="E353" s="8" t="str">
        <f>IFERROR(INDEX(样本到样信息汇总统计!E$2:E$500,MATCH(352,样本到样信息汇总统计!$Y$2:$Y$500,0)),"")</f>
        <v/>
      </c>
      <c r="F353" s="8" t="str">
        <f>IFERROR(INDEX(样本到样信息汇总统计!F$2:F$500,MATCH(352,样本到样信息汇总统计!$Y$2:$Y$500,0)),"")</f>
        <v/>
      </c>
      <c r="G353" s="8" t="str">
        <f>IFERROR(INDEX(样本到样信息汇总统计!G$2:G$500,MATCH(352,样本到样信息汇总统计!$Y$2:$Y$500,0)),"")</f>
        <v/>
      </c>
      <c r="H353" s="8" t="str">
        <f>IFERROR(INDEX(样本到样信息汇总统计!H$2:H$500,MATCH(352,样本到样信息汇总统计!$Y$2:$Y$500,0)),"")</f>
        <v/>
      </c>
      <c r="I353" s="8" t="str">
        <f>IFERROR(INDEX(样本到样信息汇总统计!I$2:I$500,MATCH(352,样本到样信息汇总统计!$Y$2:$Y$500,0)),"")</f>
        <v/>
      </c>
      <c r="J353" s="8" t="str">
        <f>IFERROR(INDEX(样本到样信息汇总统计!J$2:J$500,MATCH(352,样本到样信息汇总统计!$Y$2:$Y$500,0)),"")</f>
        <v/>
      </c>
      <c r="K353" s="8" t="str">
        <f>IFERROR(INDEX(样本到样信息汇总统计!K$2:K$500,MATCH(352,样本到样信息汇总统计!$Y$2:$Y$500,0)),"")</f>
        <v/>
      </c>
      <c r="L353" s="8" t="str">
        <f>IFERROR(INDEX(样本到样信息汇总统计!L$2:L$500,MATCH(352,样本到样信息汇总统计!$Y$2:$Y$500,0)),"")</f>
        <v/>
      </c>
      <c r="M353" s="8" t="str">
        <f>IFERROR(INDEX(样本到样信息汇总统计!M$2:M$500,MATCH(352,样本到样信息汇总统计!$Y$2:$Y$500,0)),"")</f>
        <v/>
      </c>
      <c r="N353" s="8" t="str">
        <f>IFERROR(INDEX(样本到样信息汇总统计!N$2:N$500,MATCH(352,样本到样信息汇总统计!$Y$2:$Y$500,0)),"")</f>
        <v/>
      </c>
      <c r="O353" s="8" t="str">
        <f>IFERROR(INDEX(样本到样信息汇总统计!O$2:O$500,MATCH(352,样本到样信息汇总统计!$Y$2:$Y$500,0)),"")</f>
        <v/>
      </c>
      <c r="P353" s="8" t="str">
        <f>IFERROR(INDEX(样本到样信息汇总统计!P$2:P$500,MATCH(352,样本到样信息汇总统计!$Y$2:$Y$500,0)),"")</f>
        <v/>
      </c>
      <c r="Q353" s="8" t="str">
        <f>IFERROR(INDEX(样本到样信息汇总统计!Q$2:Q$500,MATCH(352,样本到样信息汇总统计!$Y$2:$Y$500,0)),"")</f>
        <v/>
      </c>
      <c r="R353" s="8" t="str">
        <f>IFERROR(INDEX(样本到样信息汇总统计!R$2:R$500,MATCH(352,样本到样信息汇总统计!$Y$2:$Y$500,0)),"")</f>
        <v/>
      </c>
      <c r="S353" s="8" t="str">
        <f>IFERROR(INDEX(样本到样信息汇总统计!S$2:S$500,MATCH(352,样本到样信息汇总统计!$Y$2:$Y$500,0)),"")</f>
        <v/>
      </c>
      <c r="T353" s="8" t="str">
        <f>IFERROR(INDEX(样本到样信息汇总统计!T$2:T$500,MATCH(352,样本到样信息汇总统计!$Y$2:$Y$500,0)),"")</f>
        <v/>
      </c>
      <c r="U353" s="8" t="str">
        <f>IFERROR(INDEX(样本到样信息汇总统计!U$2:U$500,MATCH(352,样本到样信息汇总统计!$Y$2:$Y$500,0)),"")</f>
        <v/>
      </c>
      <c r="V353" s="8" t="str">
        <f>IFERROR(INDEX(样本到样信息汇总统计!V$2:V$500,MATCH(352,样本到样信息汇总统计!$Y$2:$Y$500,0)),"")</f>
        <v/>
      </c>
      <c r="W353" s="8" t="str">
        <f>IFERROR(INDEX(样本到样信息汇总统计!W$2:W$500,MATCH(352,样本到样信息汇总统计!$Y$2:$Y$500,0)),"")</f>
        <v/>
      </c>
    </row>
    <row r="354" ht="14.5" spans="1:23">
      <c r="A354" s="4" t="str">
        <f>IFERROR(INDEX(样本到样信息汇总统计!A$2:A$500,MATCH(353,样本到样信息汇总统计!$Y$2:$Y$500,0)),"")</f>
        <v/>
      </c>
      <c r="B354" s="4" t="str">
        <f>IFERROR(INDEX(样本到样信息汇总统计!B$2:B$500,MATCH(353,样本到样信息汇总统计!$Y$2:$Y$500,0)),"")</f>
        <v/>
      </c>
      <c r="C354" s="4" t="str">
        <f>IFERROR(INDEX(样本到样信息汇总统计!C$2:C$500,MATCH(353,样本到样信息汇总统计!$Y$2:$Y$500,0)),"")</f>
        <v/>
      </c>
      <c r="D354" s="4" t="str">
        <f>IFERROR(INDEX(样本到样信息汇总统计!D$2:D$500,MATCH(353,样本到样信息汇总统计!$Y$2:$Y$500,0)),"")</f>
        <v/>
      </c>
      <c r="E354" s="4" t="str">
        <f>IFERROR(INDEX(样本到样信息汇总统计!E$2:E$500,MATCH(353,样本到样信息汇总统计!$Y$2:$Y$500,0)),"")</f>
        <v/>
      </c>
      <c r="F354" s="4" t="str">
        <f>IFERROR(INDEX(样本到样信息汇总统计!F$2:F$500,MATCH(353,样本到样信息汇总统计!$Y$2:$Y$500,0)),"")</f>
        <v/>
      </c>
      <c r="G354" s="4" t="str">
        <f>IFERROR(INDEX(样本到样信息汇总统计!G$2:G$500,MATCH(353,样本到样信息汇总统计!$Y$2:$Y$500,0)),"")</f>
        <v/>
      </c>
      <c r="H354" s="4" t="str">
        <f>IFERROR(INDEX(样本到样信息汇总统计!H$2:H$500,MATCH(353,样本到样信息汇总统计!$Y$2:$Y$500,0)),"")</f>
        <v/>
      </c>
      <c r="I354" s="4" t="str">
        <f>IFERROR(INDEX(样本到样信息汇总统计!I$2:I$500,MATCH(353,样本到样信息汇总统计!$Y$2:$Y$500,0)),"")</f>
        <v/>
      </c>
      <c r="J354" s="4" t="str">
        <f>IFERROR(INDEX(样本到样信息汇总统计!J$2:J$500,MATCH(353,样本到样信息汇总统计!$Y$2:$Y$500,0)),"")</f>
        <v/>
      </c>
      <c r="K354" s="4" t="str">
        <f>IFERROR(INDEX(样本到样信息汇总统计!K$2:K$500,MATCH(353,样本到样信息汇总统计!$Y$2:$Y$500,0)),"")</f>
        <v/>
      </c>
      <c r="L354" s="4" t="str">
        <f>IFERROR(INDEX(样本到样信息汇总统计!L$2:L$500,MATCH(353,样本到样信息汇总统计!$Y$2:$Y$500,0)),"")</f>
        <v/>
      </c>
      <c r="M354" s="4" t="str">
        <f>IFERROR(INDEX(样本到样信息汇总统计!M$2:M$500,MATCH(353,样本到样信息汇总统计!$Y$2:$Y$500,0)),"")</f>
        <v/>
      </c>
      <c r="N354" s="4" t="str">
        <f>IFERROR(INDEX(样本到样信息汇总统计!N$2:N$500,MATCH(353,样本到样信息汇总统计!$Y$2:$Y$500,0)),"")</f>
        <v/>
      </c>
      <c r="O354" s="4" t="str">
        <f>IFERROR(INDEX(样本到样信息汇总统计!O$2:O$500,MATCH(353,样本到样信息汇总统计!$Y$2:$Y$500,0)),"")</f>
        <v/>
      </c>
      <c r="P354" s="4" t="str">
        <f>IFERROR(INDEX(样本到样信息汇总统计!P$2:P$500,MATCH(353,样本到样信息汇总统计!$Y$2:$Y$500,0)),"")</f>
        <v/>
      </c>
      <c r="Q354" s="4" t="str">
        <f>IFERROR(INDEX(样本到样信息汇总统计!Q$2:Q$500,MATCH(353,样本到样信息汇总统计!$Y$2:$Y$500,0)),"")</f>
        <v/>
      </c>
      <c r="R354" s="4" t="str">
        <f>IFERROR(INDEX(样本到样信息汇总统计!R$2:R$500,MATCH(353,样本到样信息汇总统计!$Y$2:$Y$500,0)),"")</f>
        <v/>
      </c>
      <c r="S354" s="4" t="str">
        <f>IFERROR(INDEX(样本到样信息汇总统计!S$2:S$500,MATCH(353,样本到样信息汇总统计!$Y$2:$Y$500,0)),"")</f>
        <v/>
      </c>
      <c r="T354" s="4" t="str">
        <f>IFERROR(INDEX(样本到样信息汇总统计!T$2:T$500,MATCH(353,样本到样信息汇总统计!$Y$2:$Y$500,0)),"")</f>
        <v/>
      </c>
      <c r="U354" s="4" t="str">
        <f>IFERROR(INDEX(样本到样信息汇总统计!U$2:U$500,MATCH(353,样本到样信息汇总统计!$Y$2:$Y$500,0)),"")</f>
        <v/>
      </c>
      <c r="V354" s="4" t="str">
        <f>IFERROR(INDEX(样本到样信息汇总统计!V$2:V$500,MATCH(353,样本到样信息汇总统计!$Y$2:$Y$500,0)),"")</f>
        <v/>
      </c>
      <c r="W354" s="4" t="str">
        <f>IFERROR(INDEX(样本到样信息汇总统计!W$2:W$500,MATCH(353,样本到样信息汇总统计!$Y$2:$Y$500,0)),"")</f>
        <v/>
      </c>
    </row>
    <row r="355" ht="14.5" spans="1:23">
      <c r="A355" s="8" t="str">
        <f>IFERROR(INDEX(样本到样信息汇总统计!A$2:A$500,MATCH(354,样本到样信息汇总统计!$Y$2:$Y$500,0)),"")</f>
        <v/>
      </c>
      <c r="B355" s="8" t="str">
        <f>IFERROR(INDEX(样本到样信息汇总统计!B$2:B$500,MATCH(354,样本到样信息汇总统计!$Y$2:$Y$500,0)),"")</f>
        <v/>
      </c>
      <c r="C355" s="8" t="str">
        <f>IFERROR(INDEX(样本到样信息汇总统计!C$2:C$500,MATCH(354,样本到样信息汇总统计!$Y$2:$Y$500,0)),"")</f>
        <v/>
      </c>
      <c r="D355" s="8" t="str">
        <f>IFERROR(INDEX(样本到样信息汇总统计!D$2:D$500,MATCH(354,样本到样信息汇总统计!$Y$2:$Y$500,0)),"")</f>
        <v/>
      </c>
      <c r="E355" s="8" t="str">
        <f>IFERROR(INDEX(样本到样信息汇总统计!E$2:E$500,MATCH(354,样本到样信息汇总统计!$Y$2:$Y$500,0)),"")</f>
        <v/>
      </c>
      <c r="F355" s="8" t="str">
        <f>IFERROR(INDEX(样本到样信息汇总统计!F$2:F$500,MATCH(354,样本到样信息汇总统计!$Y$2:$Y$500,0)),"")</f>
        <v/>
      </c>
      <c r="G355" s="8" t="str">
        <f>IFERROR(INDEX(样本到样信息汇总统计!G$2:G$500,MATCH(354,样本到样信息汇总统计!$Y$2:$Y$500,0)),"")</f>
        <v/>
      </c>
      <c r="H355" s="8" t="str">
        <f>IFERROR(INDEX(样本到样信息汇总统计!H$2:H$500,MATCH(354,样本到样信息汇总统计!$Y$2:$Y$500,0)),"")</f>
        <v/>
      </c>
      <c r="I355" s="8" t="str">
        <f>IFERROR(INDEX(样本到样信息汇总统计!I$2:I$500,MATCH(354,样本到样信息汇总统计!$Y$2:$Y$500,0)),"")</f>
        <v/>
      </c>
      <c r="J355" s="8" t="str">
        <f>IFERROR(INDEX(样本到样信息汇总统计!J$2:J$500,MATCH(354,样本到样信息汇总统计!$Y$2:$Y$500,0)),"")</f>
        <v/>
      </c>
      <c r="K355" s="8" t="str">
        <f>IFERROR(INDEX(样本到样信息汇总统计!K$2:K$500,MATCH(354,样本到样信息汇总统计!$Y$2:$Y$500,0)),"")</f>
        <v/>
      </c>
      <c r="L355" s="8" t="str">
        <f>IFERROR(INDEX(样本到样信息汇总统计!L$2:L$500,MATCH(354,样本到样信息汇总统计!$Y$2:$Y$500,0)),"")</f>
        <v/>
      </c>
      <c r="M355" s="8" t="str">
        <f>IFERROR(INDEX(样本到样信息汇总统计!M$2:M$500,MATCH(354,样本到样信息汇总统计!$Y$2:$Y$500,0)),"")</f>
        <v/>
      </c>
      <c r="N355" s="8" t="str">
        <f>IFERROR(INDEX(样本到样信息汇总统计!N$2:N$500,MATCH(354,样本到样信息汇总统计!$Y$2:$Y$500,0)),"")</f>
        <v/>
      </c>
      <c r="O355" s="8" t="str">
        <f>IFERROR(INDEX(样本到样信息汇总统计!O$2:O$500,MATCH(354,样本到样信息汇总统计!$Y$2:$Y$500,0)),"")</f>
        <v/>
      </c>
      <c r="P355" s="8" t="str">
        <f>IFERROR(INDEX(样本到样信息汇总统计!P$2:P$500,MATCH(354,样本到样信息汇总统计!$Y$2:$Y$500,0)),"")</f>
        <v/>
      </c>
      <c r="Q355" s="8" t="str">
        <f>IFERROR(INDEX(样本到样信息汇总统计!Q$2:Q$500,MATCH(354,样本到样信息汇总统计!$Y$2:$Y$500,0)),"")</f>
        <v/>
      </c>
      <c r="R355" s="8" t="str">
        <f>IFERROR(INDEX(样本到样信息汇总统计!R$2:R$500,MATCH(354,样本到样信息汇总统计!$Y$2:$Y$500,0)),"")</f>
        <v/>
      </c>
      <c r="S355" s="8" t="str">
        <f>IFERROR(INDEX(样本到样信息汇总统计!S$2:S$500,MATCH(354,样本到样信息汇总统计!$Y$2:$Y$500,0)),"")</f>
        <v/>
      </c>
      <c r="T355" s="8" t="str">
        <f>IFERROR(INDEX(样本到样信息汇总统计!T$2:T$500,MATCH(354,样本到样信息汇总统计!$Y$2:$Y$500,0)),"")</f>
        <v/>
      </c>
      <c r="U355" s="8" t="str">
        <f>IFERROR(INDEX(样本到样信息汇总统计!U$2:U$500,MATCH(354,样本到样信息汇总统计!$Y$2:$Y$500,0)),"")</f>
        <v/>
      </c>
      <c r="V355" s="8" t="str">
        <f>IFERROR(INDEX(样本到样信息汇总统计!V$2:V$500,MATCH(354,样本到样信息汇总统计!$Y$2:$Y$500,0)),"")</f>
        <v/>
      </c>
      <c r="W355" s="8" t="str">
        <f>IFERROR(INDEX(样本到样信息汇总统计!W$2:W$500,MATCH(354,样本到样信息汇总统计!$Y$2:$Y$500,0)),"")</f>
        <v/>
      </c>
    </row>
    <row r="356" ht="14.5" spans="1:23">
      <c r="A356" s="4" t="str">
        <f>IFERROR(INDEX(样本到样信息汇总统计!A$2:A$500,MATCH(355,样本到样信息汇总统计!$Y$2:$Y$500,0)),"")</f>
        <v/>
      </c>
      <c r="B356" s="4" t="str">
        <f>IFERROR(INDEX(样本到样信息汇总统计!B$2:B$500,MATCH(355,样本到样信息汇总统计!$Y$2:$Y$500,0)),"")</f>
        <v/>
      </c>
      <c r="C356" s="4" t="str">
        <f>IFERROR(INDEX(样本到样信息汇总统计!C$2:C$500,MATCH(355,样本到样信息汇总统计!$Y$2:$Y$500,0)),"")</f>
        <v/>
      </c>
      <c r="D356" s="4" t="str">
        <f>IFERROR(INDEX(样本到样信息汇总统计!D$2:D$500,MATCH(355,样本到样信息汇总统计!$Y$2:$Y$500,0)),"")</f>
        <v/>
      </c>
      <c r="E356" s="4" t="str">
        <f>IFERROR(INDEX(样本到样信息汇总统计!E$2:E$500,MATCH(355,样本到样信息汇总统计!$Y$2:$Y$500,0)),"")</f>
        <v/>
      </c>
      <c r="F356" s="4" t="str">
        <f>IFERROR(INDEX(样本到样信息汇总统计!F$2:F$500,MATCH(355,样本到样信息汇总统计!$Y$2:$Y$500,0)),"")</f>
        <v/>
      </c>
      <c r="G356" s="4" t="str">
        <f>IFERROR(INDEX(样本到样信息汇总统计!G$2:G$500,MATCH(355,样本到样信息汇总统计!$Y$2:$Y$500,0)),"")</f>
        <v/>
      </c>
      <c r="H356" s="4" t="str">
        <f>IFERROR(INDEX(样本到样信息汇总统计!H$2:H$500,MATCH(355,样本到样信息汇总统计!$Y$2:$Y$500,0)),"")</f>
        <v/>
      </c>
      <c r="I356" s="4" t="str">
        <f>IFERROR(INDEX(样本到样信息汇总统计!I$2:I$500,MATCH(355,样本到样信息汇总统计!$Y$2:$Y$500,0)),"")</f>
        <v/>
      </c>
      <c r="J356" s="4" t="str">
        <f>IFERROR(INDEX(样本到样信息汇总统计!J$2:J$500,MATCH(355,样本到样信息汇总统计!$Y$2:$Y$500,0)),"")</f>
        <v/>
      </c>
      <c r="K356" s="4" t="str">
        <f>IFERROR(INDEX(样本到样信息汇总统计!K$2:K$500,MATCH(355,样本到样信息汇总统计!$Y$2:$Y$500,0)),"")</f>
        <v/>
      </c>
      <c r="L356" s="4" t="str">
        <f>IFERROR(INDEX(样本到样信息汇总统计!L$2:L$500,MATCH(355,样本到样信息汇总统计!$Y$2:$Y$500,0)),"")</f>
        <v/>
      </c>
      <c r="M356" s="4" t="str">
        <f>IFERROR(INDEX(样本到样信息汇总统计!M$2:M$500,MATCH(355,样本到样信息汇总统计!$Y$2:$Y$500,0)),"")</f>
        <v/>
      </c>
      <c r="N356" s="4" t="str">
        <f>IFERROR(INDEX(样本到样信息汇总统计!N$2:N$500,MATCH(355,样本到样信息汇总统计!$Y$2:$Y$500,0)),"")</f>
        <v/>
      </c>
      <c r="O356" s="4" t="str">
        <f>IFERROR(INDEX(样本到样信息汇总统计!O$2:O$500,MATCH(355,样本到样信息汇总统计!$Y$2:$Y$500,0)),"")</f>
        <v/>
      </c>
      <c r="P356" s="4" t="str">
        <f>IFERROR(INDEX(样本到样信息汇总统计!P$2:P$500,MATCH(355,样本到样信息汇总统计!$Y$2:$Y$500,0)),"")</f>
        <v/>
      </c>
      <c r="Q356" s="4" t="str">
        <f>IFERROR(INDEX(样本到样信息汇总统计!Q$2:Q$500,MATCH(355,样本到样信息汇总统计!$Y$2:$Y$500,0)),"")</f>
        <v/>
      </c>
      <c r="R356" s="4" t="str">
        <f>IFERROR(INDEX(样本到样信息汇总统计!R$2:R$500,MATCH(355,样本到样信息汇总统计!$Y$2:$Y$500,0)),"")</f>
        <v/>
      </c>
      <c r="S356" s="4" t="str">
        <f>IFERROR(INDEX(样本到样信息汇总统计!S$2:S$500,MATCH(355,样本到样信息汇总统计!$Y$2:$Y$500,0)),"")</f>
        <v/>
      </c>
      <c r="T356" s="4" t="str">
        <f>IFERROR(INDEX(样本到样信息汇总统计!T$2:T$500,MATCH(355,样本到样信息汇总统计!$Y$2:$Y$500,0)),"")</f>
        <v/>
      </c>
      <c r="U356" s="4" t="str">
        <f>IFERROR(INDEX(样本到样信息汇总统计!U$2:U$500,MATCH(355,样本到样信息汇总统计!$Y$2:$Y$500,0)),"")</f>
        <v/>
      </c>
      <c r="V356" s="4" t="str">
        <f>IFERROR(INDEX(样本到样信息汇总统计!V$2:V$500,MATCH(355,样本到样信息汇总统计!$Y$2:$Y$500,0)),"")</f>
        <v/>
      </c>
      <c r="W356" s="4" t="str">
        <f>IFERROR(INDEX(样本到样信息汇总统计!W$2:W$500,MATCH(355,样本到样信息汇总统计!$Y$2:$Y$500,0)),"")</f>
        <v/>
      </c>
    </row>
    <row r="357" ht="14.5" spans="1:23">
      <c r="A357" s="8" t="str">
        <f>IFERROR(INDEX(样本到样信息汇总统计!A$2:A$500,MATCH(356,样本到样信息汇总统计!$Y$2:$Y$500,0)),"")</f>
        <v/>
      </c>
      <c r="B357" s="8" t="str">
        <f>IFERROR(INDEX(样本到样信息汇总统计!B$2:B$500,MATCH(356,样本到样信息汇总统计!$Y$2:$Y$500,0)),"")</f>
        <v/>
      </c>
      <c r="C357" s="8" t="str">
        <f>IFERROR(INDEX(样本到样信息汇总统计!C$2:C$500,MATCH(356,样本到样信息汇总统计!$Y$2:$Y$500,0)),"")</f>
        <v/>
      </c>
      <c r="D357" s="8" t="str">
        <f>IFERROR(INDEX(样本到样信息汇总统计!D$2:D$500,MATCH(356,样本到样信息汇总统计!$Y$2:$Y$500,0)),"")</f>
        <v/>
      </c>
      <c r="E357" s="8" t="str">
        <f>IFERROR(INDEX(样本到样信息汇总统计!E$2:E$500,MATCH(356,样本到样信息汇总统计!$Y$2:$Y$500,0)),"")</f>
        <v/>
      </c>
      <c r="F357" s="8" t="str">
        <f>IFERROR(INDEX(样本到样信息汇总统计!F$2:F$500,MATCH(356,样本到样信息汇总统计!$Y$2:$Y$500,0)),"")</f>
        <v/>
      </c>
      <c r="G357" s="8" t="str">
        <f>IFERROR(INDEX(样本到样信息汇总统计!G$2:G$500,MATCH(356,样本到样信息汇总统计!$Y$2:$Y$500,0)),"")</f>
        <v/>
      </c>
      <c r="H357" s="8" t="str">
        <f>IFERROR(INDEX(样本到样信息汇总统计!H$2:H$500,MATCH(356,样本到样信息汇总统计!$Y$2:$Y$500,0)),"")</f>
        <v/>
      </c>
      <c r="I357" s="8" t="str">
        <f>IFERROR(INDEX(样本到样信息汇总统计!I$2:I$500,MATCH(356,样本到样信息汇总统计!$Y$2:$Y$500,0)),"")</f>
        <v/>
      </c>
      <c r="J357" s="8" t="str">
        <f>IFERROR(INDEX(样本到样信息汇总统计!J$2:J$500,MATCH(356,样本到样信息汇总统计!$Y$2:$Y$500,0)),"")</f>
        <v/>
      </c>
      <c r="K357" s="8" t="str">
        <f>IFERROR(INDEX(样本到样信息汇总统计!K$2:K$500,MATCH(356,样本到样信息汇总统计!$Y$2:$Y$500,0)),"")</f>
        <v/>
      </c>
      <c r="L357" s="8" t="str">
        <f>IFERROR(INDEX(样本到样信息汇总统计!L$2:L$500,MATCH(356,样本到样信息汇总统计!$Y$2:$Y$500,0)),"")</f>
        <v/>
      </c>
      <c r="M357" s="8" t="str">
        <f>IFERROR(INDEX(样本到样信息汇总统计!M$2:M$500,MATCH(356,样本到样信息汇总统计!$Y$2:$Y$500,0)),"")</f>
        <v/>
      </c>
      <c r="N357" s="8" t="str">
        <f>IFERROR(INDEX(样本到样信息汇总统计!N$2:N$500,MATCH(356,样本到样信息汇总统计!$Y$2:$Y$500,0)),"")</f>
        <v/>
      </c>
      <c r="O357" s="8" t="str">
        <f>IFERROR(INDEX(样本到样信息汇总统计!O$2:O$500,MATCH(356,样本到样信息汇总统计!$Y$2:$Y$500,0)),"")</f>
        <v/>
      </c>
      <c r="P357" s="8" t="str">
        <f>IFERROR(INDEX(样本到样信息汇总统计!P$2:P$500,MATCH(356,样本到样信息汇总统计!$Y$2:$Y$500,0)),"")</f>
        <v/>
      </c>
      <c r="Q357" s="8" t="str">
        <f>IFERROR(INDEX(样本到样信息汇总统计!Q$2:Q$500,MATCH(356,样本到样信息汇总统计!$Y$2:$Y$500,0)),"")</f>
        <v/>
      </c>
      <c r="R357" s="8" t="str">
        <f>IFERROR(INDEX(样本到样信息汇总统计!R$2:R$500,MATCH(356,样本到样信息汇总统计!$Y$2:$Y$500,0)),"")</f>
        <v/>
      </c>
      <c r="S357" s="8" t="str">
        <f>IFERROR(INDEX(样本到样信息汇总统计!S$2:S$500,MATCH(356,样本到样信息汇总统计!$Y$2:$Y$500,0)),"")</f>
        <v/>
      </c>
      <c r="T357" s="8" t="str">
        <f>IFERROR(INDEX(样本到样信息汇总统计!T$2:T$500,MATCH(356,样本到样信息汇总统计!$Y$2:$Y$500,0)),"")</f>
        <v/>
      </c>
      <c r="U357" s="8" t="str">
        <f>IFERROR(INDEX(样本到样信息汇总统计!U$2:U$500,MATCH(356,样本到样信息汇总统计!$Y$2:$Y$500,0)),"")</f>
        <v/>
      </c>
      <c r="V357" s="8" t="str">
        <f>IFERROR(INDEX(样本到样信息汇总统计!V$2:V$500,MATCH(356,样本到样信息汇总统计!$Y$2:$Y$500,0)),"")</f>
        <v/>
      </c>
      <c r="W357" s="8" t="str">
        <f>IFERROR(INDEX(样本到样信息汇总统计!W$2:W$500,MATCH(356,样本到样信息汇总统计!$Y$2:$Y$500,0)),"")</f>
        <v/>
      </c>
    </row>
    <row r="358" ht="14.5" spans="1:23">
      <c r="A358" s="4" t="str">
        <f>IFERROR(INDEX(样本到样信息汇总统计!A$2:A$500,MATCH(357,样本到样信息汇总统计!$Y$2:$Y$500,0)),"")</f>
        <v/>
      </c>
      <c r="B358" s="4" t="str">
        <f>IFERROR(INDEX(样本到样信息汇总统计!B$2:B$500,MATCH(357,样本到样信息汇总统计!$Y$2:$Y$500,0)),"")</f>
        <v/>
      </c>
      <c r="C358" s="4" t="str">
        <f>IFERROR(INDEX(样本到样信息汇总统计!C$2:C$500,MATCH(357,样本到样信息汇总统计!$Y$2:$Y$500,0)),"")</f>
        <v/>
      </c>
      <c r="D358" s="4" t="str">
        <f>IFERROR(INDEX(样本到样信息汇总统计!D$2:D$500,MATCH(357,样本到样信息汇总统计!$Y$2:$Y$500,0)),"")</f>
        <v/>
      </c>
      <c r="E358" s="4" t="str">
        <f>IFERROR(INDEX(样本到样信息汇总统计!E$2:E$500,MATCH(357,样本到样信息汇总统计!$Y$2:$Y$500,0)),"")</f>
        <v/>
      </c>
      <c r="F358" s="4" t="str">
        <f>IFERROR(INDEX(样本到样信息汇总统计!F$2:F$500,MATCH(357,样本到样信息汇总统计!$Y$2:$Y$500,0)),"")</f>
        <v/>
      </c>
      <c r="G358" s="4" t="str">
        <f>IFERROR(INDEX(样本到样信息汇总统计!G$2:G$500,MATCH(357,样本到样信息汇总统计!$Y$2:$Y$500,0)),"")</f>
        <v/>
      </c>
      <c r="H358" s="4" t="str">
        <f>IFERROR(INDEX(样本到样信息汇总统计!H$2:H$500,MATCH(357,样本到样信息汇总统计!$Y$2:$Y$500,0)),"")</f>
        <v/>
      </c>
      <c r="I358" s="4" t="str">
        <f>IFERROR(INDEX(样本到样信息汇总统计!I$2:I$500,MATCH(357,样本到样信息汇总统计!$Y$2:$Y$500,0)),"")</f>
        <v/>
      </c>
      <c r="J358" s="4" t="str">
        <f>IFERROR(INDEX(样本到样信息汇总统计!J$2:J$500,MATCH(357,样本到样信息汇总统计!$Y$2:$Y$500,0)),"")</f>
        <v/>
      </c>
      <c r="K358" s="4" t="str">
        <f>IFERROR(INDEX(样本到样信息汇总统计!K$2:K$500,MATCH(357,样本到样信息汇总统计!$Y$2:$Y$500,0)),"")</f>
        <v/>
      </c>
      <c r="L358" s="4" t="str">
        <f>IFERROR(INDEX(样本到样信息汇总统计!L$2:L$500,MATCH(357,样本到样信息汇总统计!$Y$2:$Y$500,0)),"")</f>
        <v/>
      </c>
      <c r="M358" s="4" t="str">
        <f>IFERROR(INDEX(样本到样信息汇总统计!M$2:M$500,MATCH(357,样本到样信息汇总统计!$Y$2:$Y$500,0)),"")</f>
        <v/>
      </c>
      <c r="N358" s="4" t="str">
        <f>IFERROR(INDEX(样本到样信息汇总统计!N$2:N$500,MATCH(357,样本到样信息汇总统计!$Y$2:$Y$500,0)),"")</f>
        <v/>
      </c>
      <c r="O358" s="4" t="str">
        <f>IFERROR(INDEX(样本到样信息汇总统计!O$2:O$500,MATCH(357,样本到样信息汇总统计!$Y$2:$Y$500,0)),"")</f>
        <v/>
      </c>
      <c r="P358" s="4" t="str">
        <f>IFERROR(INDEX(样本到样信息汇总统计!P$2:P$500,MATCH(357,样本到样信息汇总统计!$Y$2:$Y$500,0)),"")</f>
        <v/>
      </c>
      <c r="Q358" s="4" t="str">
        <f>IFERROR(INDEX(样本到样信息汇总统计!Q$2:Q$500,MATCH(357,样本到样信息汇总统计!$Y$2:$Y$500,0)),"")</f>
        <v/>
      </c>
      <c r="R358" s="4" t="str">
        <f>IFERROR(INDEX(样本到样信息汇总统计!R$2:R$500,MATCH(357,样本到样信息汇总统计!$Y$2:$Y$500,0)),"")</f>
        <v/>
      </c>
      <c r="S358" s="4" t="str">
        <f>IFERROR(INDEX(样本到样信息汇总统计!S$2:S$500,MATCH(357,样本到样信息汇总统计!$Y$2:$Y$500,0)),"")</f>
        <v/>
      </c>
      <c r="T358" s="4" t="str">
        <f>IFERROR(INDEX(样本到样信息汇总统计!T$2:T$500,MATCH(357,样本到样信息汇总统计!$Y$2:$Y$500,0)),"")</f>
        <v/>
      </c>
      <c r="U358" s="4" t="str">
        <f>IFERROR(INDEX(样本到样信息汇总统计!U$2:U$500,MATCH(357,样本到样信息汇总统计!$Y$2:$Y$500,0)),"")</f>
        <v/>
      </c>
      <c r="V358" s="4" t="str">
        <f>IFERROR(INDEX(样本到样信息汇总统计!V$2:V$500,MATCH(357,样本到样信息汇总统计!$Y$2:$Y$500,0)),"")</f>
        <v/>
      </c>
      <c r="W358" s="4" t="str">
        <f>IFERROR(INDEX(样本到样信息汇总统计!W$2:W$500,MATCH(357,样本到样信息汇总统计!$Y$2:$Y$500,0)),"")</f>
        <v/>
      </c>
    </row>
    <row r="359" ht="14.5" spans="1:23">
      <c r="A359" s="8" t="str">
        <f>IFERROR(INDEX(样本到样信息汇总统计!A$2:A$500,MATCH(358,样本到样信息汇总统计!$Y$2:$Y$500,0)),"")</f>
        <v/>
      </c>
      <c r="B359" s="8" t="str">
        <f>IFERROR(INDEX(样本到样信息汇总统计!B$2:B$500,MATCH(358,样本到样信息汇总统计!$Y$2:$Y$500,0)),"")</f>
        <v/>
      </c>
      <c r="C359" s="8" t="str">
        <f>IFERROR(INDEX(样本到样信息汇总统计!C$2:C$500,MATCH(358,样本到样信息汇总统计!$Y$2:$Y$500,0)),"")</f>
        <v/>
      </c>
      <c r="D359" s="8" t="str">
        <f>IFERROR(INDEX(样本到样信息汇总统计!D$2:D$500,MATCH(358,样本到样信息汇总统计!$Y$2:$Y$500,0)),"")</f>
        <v/>
      </c>
      <c r="E359" s="8" t="str">
        <f>IFERROR(INDEX(样本到样信息汇总统计!E$2:E$500,MATCH(358,样本到样信息汇总统计!$Y$2:$Y$500,0)),"")</f>
        <v/>
      </c>
      <c r="F359" s="8" t="str">
        <f>IFERROR(INDEX(样本到样信息汇总统计!F$2:F$500,MATCH(358,样本到样信息汇总统计!$Y$2:$Y$500,0)),"")</f>
        <v/>
      </c>
      <c r="G359" s="8" t="str">
        <f>IFERROR(INDEX(样本到样信息汇总统计!G$2:G$500,MATCH(358,样本到样信息汇总统计!$Y$2:$Y$500,0)),"")</f>
        <v/>
      </c>
      <c r="H359" s="8" t="str">
        <f>IFERROR(INDEX(样本到样信息汇总统计!H$2:H$500,MATCH(358,样本到样信息汇总统计!$Y$2:$Y$500,0)),"")</f>
        <v/>
      </c>
      <c r="I359" s="8" t="str">
        <f>IFERROR(INDEX(样本到样信息汇总统计!I$2:I$500,MATCH(358,样本到样信息汇总统计!$Y$2:$Y$500,0)),"")</f>
        <v/>
      </c>
      <c r="J359" s="8" t="str">
        <f>IFERROR(INDEX(样本到样信息汇总统计!J$2:J$500,MATCH(358,样本到样信息汇总统计!$Y$2:$Y$500,0)),"")</f>
        <v/>
      </c>
      <c r="K359" s="8" t="str">
        <f>IFERROR(INDEX(样本到样信息汇总统计!K$2:K$500,MATCH(358,样本到样信息汇总统计!$Y$2:$Y$500,0)),"")</f>
        <v/>
      </c>
      <c r="L359" s="8" t="str">
        <f>IFERROR(INDEX(样本到样信息汇总统计!L$2:L$500,MATCH(358,样本到样信息汇总统计!$Y$2:$Y$500,0)),"")</f>
        <v/>
      </c>
      <c r="M359" s="8" t="str">
        <f>IFERROR(INDEX(样本到样信息汇总统计!M$2:M$500,MATCH(358,样本到样信息汇总统计!$Y$2:$Y$500,0)),"")</f>
        <v/>
      </c>
      <c r="N359" s="8" t="str">
        <f>IFERROR(INDEX(样本到样信息汇总统计!N$2:N$500,MATCH(358,样本到样信息汇总统计!$Y$2:$Y$500,0)),"")</f>
        <v/>
      </c>
      <c r="O359" s="8" t="str">
        <f>IFERROR(INDEX(样本到样信息汇总统计!O$2:O$500,MATCH(358,样本到样信息汇总统计!$Y$2:$Y$500,0)),"")</f>
        <v/>
      </c>
      <c r="P359" s="8" t="str">
        <f>IFERROR(INDEX(样本到样信息汇总统计!P$2:P$500,MATCH(358,样本到样信息汇总统计!$Y$2:$Y$500,0)),"")</f>
        <v/>
      </c>
      <c r="Q359" s="8" t="str">
        <f>IFERROR(INDEX(样本到样信息汇总统计!Q$2:Q$500,MATCH(358,样本到样信息汇总统计!$Y$2:$Y$500,0)),"")</f>
        <v/>
      </c>
      <c r="R359" s="8" t="str">
        <f>IFERROR(INDEX(样本到样信息汇总统计!R$2:R$500,MATCH(358,样本到样信息汇总统计!$Y$2:$Y$500,0)),"")</f>
        <v/>
      </c>
      <c r="S359" s="8" t="str">
        <f>IFERROR(INDEX(样本到样信息汇总统计!S$2:S$500,MATCH(358,样本到样信息汇总统计!$Y$2:$Y$500,0)),"")</f>
        <v/>
      </c>
      <c r="T359" s="8" t="str">
        <f>IFERROR(INDEX(样本到样信息汇总统计!T$2:T$500,MATCH(358,样本到样信息汇总统计!$Y$2:$Y$500,0)),"")</f>
        <v/>
      </c>
      <c r="U359" s="8" t="str">
        <f>IFERROR(INDEX(样本到样信息汇总统计!U$2:U$500,MATCH(358,样本到样信息汇总统计!$Y$2:$Y$500,0)),"")</f>
        <v/>
      </c>
      <c r="V359" s="8" t="str">
        <f>IFERROR(INDEX(样本到样信息汇总统计!V$2:V$500,MATCH(358,样本到样信息汇总统计!$Y$2:$Y$500,0)),"")</f>
        <v/>
      </c>
      <c r="W359" s="8" t="str">
        <f>IFERROR(INDEX(样本到样信息汇总统计!W$2:W$500,MATCH(358,样本到样信息汇总统计!$Y$2:$Y$500,0)),"")</f>
        <v/>
      </c>
    </row>
    <row r="360" ht="14.5" spans="1:23">
      <c r="A360" s="4" t="str">
        <f>IFERROR(INDEX(样本到样信息汇总统计!A$2:A$500,MATCH(359,样本到样信息汇总统计!$Y$2:$Y$500,0)),"")</f>
        <v/>
      </c>
      <c r="B360" s="4" t="str">
        <f>IFERROR(INDEX(样本到样信息汇总统计!B$2:B$500,MATCH(359,样本到样信息汇总统计!$Y$2:$Y$500,0)),"")</f>
        <v/>
      </c>
      <c r="C360" s="4" t="str">
        <f>IFERROR(INDEX(样本到样信息汇总统计!C$2:C$500,MATCH(359,样本到样信息汇总统计!$Y$2:$Y$500,0)),"")</f>
        <v/>
      </c>
      <c r="D360" s="4" t="str">
        <f>IFERROR(INDEX(样本到样信息汇总统计!D$2:D$500,MATCH(359,样本到样信息汇总统计!$Y$2:$Y$500,0)),"")</f>
        <v/>
      </c>
      <c r="E360" s="4" t="str">
        <f>IFERROR(INDEX(样本到样信息汇总统计!E$2:E$500,MATCH(359,样本到样信息汇总统计!$Y$2:$Y$500,0)),"")</f>
        <v/>
      </c>
      <c r="F360" s="4" t="str">
        <f>IFERROR(INDEX(样本到样信息汇总统计!F$2:F$500,MATCH(359,样本到样信息汇总统计!$Y$2:$Y$500,0)),"")</f>
        <v/>
      </c>
      <c r="G360" s="4" t="str">
        <f>IFERROR(INDEX(样本到样信息汇总统计!G$2:G$500,MATCH(359,样本到样信息汇总统计!$Y$2:$Y$500,0)),"")</f>
        <v/>
      </c>
      <c r="H360" s="4" t="str">
        <f>IFERROR(INDEX(样本到样信息汇总统计!H$2:H$500,MATCH(359,样本到样信息汇总统计!$Y$2:$Y$500,0)),"")</f>
        <v/>
      </c>
      <c r="I360" s="4" t="str">
        <f>IFERROR(INDEX(样本到样信息汇总统计!I$2:I$500,MATCH(359,样本到样信息汇总统计!$Y$2:$Y$500,0)),"")</f>
        <v/>
      </c>
      <c r="J360" s="4" t="str">
        <f>IFERROR(INDEX(样本到样信息汇总统计!J$2:J$500,MATCH(359,样本到样信息汇总统计!$Y$2:$Y$500,0)),"")</f>
        <v/>
      </c>
      <c r="K360" s="4" t="str">
        <f>IFERROR(INDEX(样本到样信息汇总统计!K$2:K$500,MATCH(359,样本到样信息汇总统计!$Y$2:$Y$500,0)),"")</f>
        <v/>
      </c>
      <c r="L360" s="4" t="str">
        <f>IFERROR(INDEX(样本到样信息汇总统计!L$2:L$500,MATCH(359,样本到样信息汇总统计!$Y$2:$Y$500,0)),"")</f>
        <v/>
      </c>
      <c r="M360" s="4" t="str">
        <f>IFERROR(INDEX(样本到样信息汇总统计!M$2:M$500,MATCH(359,样本到样信息汇总统计!$Y$2:$Y$500,0)),"")</f>
        <v/>
      </c>
      <c r="N360" s="4" t="str">
        <f>IFERROR(INDEX(样本到样信息汇总统计!N$2:N$500,MATCH(359,样本到样信息汇总统计!$Y$2:$Y$500,0)),"")</f>
        <v/>
      </c>
      <c r="O360" s="4" t="str">
        <f>IFERROR(INDEX(样本到样信息汇总统计!O$2:O$500,MATCH(359,样本到样信息汇总统计!$Y$2:$Y$500,0)),"")</f>
        <v/>
      </c>
      <c r="P360" s="4" t="str">
        <f>IFERROR(INDEX(样本到样信息汇总统计!P$2:P$500,MATCH(359,样本到样信息汇总统计!$Y$2:$Y$500,0)),"")</f>
        <v/>
      </c>
      <c r="Q360" s="4" t="str">
        <f>IFERROR(INDEX(样本到样信息汇总统计!Q$2:Q$500,MATCH(359,样本到样信息汇总统计!$Y$2:$Y$500,0)),"")</f>
        <v/>
      </c>
      <c r="R360" s="4" t="str">
        <f>IFERROR(INDEX(样本到样信息汇总统计!R$2:R$500,MATCH(359,样本到样信息汇总统计!$Y$2:$Y$500,0)),"")</f>
        <v/>
      </c>
      <c r="S360" s="4" t="str">
        <f>IFERROR(INDEX(样本到样信息汇总统计!S$2:S$500,MATCH(359,样本到样信息汇总统计!$Y$2:$Y$500,0)),"")</f>
        <v/>
      </c>
      <c r="T360" s="4" t="str">
        <f>IFERROR(INDEX(样本到样信息汇总统计!T$2:T$500,MATCH(359,样本到样信息汇总统计!$Y$2:$Y$500,0)),"")</f>
        <v/>
      </c>
      <c r="U360" s="4" t="str">
        <f>IFERROR(INDEX(样本到样信息汇总统计!U$2:U$500,MATCH(359,样本到样信息汇总统计!$Y$2:$Y$500,0)),"")</f>
        <v/>
      </c>
      <c r="V360" s="4" t="str">
        <f>IFERROR(INDEX(样本到样信息汇总统计!V$2:V$500,MATCH(359,样本到样信息汇总统计!$Y$2:$Y$500,0)),"")</f>
        <v/>
      </c>
      <c r="W360" s="4" t="str">
        <f>IFERROR(INDEX(样本到样信息汇总统计!W$2:W$500,MATCH(359,样本到样信息汇总统计!$Y$2:$Y$500,0)),"")</f>
        <v/>
      </c>
    </row>
    <row r="361" ht="14.5" spans="1:23">
      <c r="A361" s="8" t="str">
        <f>IFERROR(INDEX(样本到样信息汇总统计!A$2:A$500,MATCH(360,样本到样信息汇总统计!$Y$2:$Y$500,0)),"")</f>
        <v/>
      </c>
      <c r="B361" s="8" t="str">
        <f>IFERROR(INDEX(样本到样信息汇总统计!B$2:B$500,MATCH(360,样本到样信息汇总统计!$Y$2:$Y$500,0)),"")</f>
        <v/>
      </c>
      <c r="C361" s="8" t="str">
        <f>IFERROR(INDEX(样本到样信息汇总统计!C$2:C$500,MATCH(360,样本到样信息汇总统计!$Y$2:$Y$500,0)),"")</f>
        <v/>
      </c>
      <c r="D361" s="8" t="str">
        <f>IFERROR(INDEX(样本到样信息汇总统计!D$2:D$500,MATCH(360,样本到样信息汇总统计!$Y$2:$Y$500,0)),"")</f>
        <v/>
      </c>
      <c r="E361" s="8" t="str">
        <f>IFERROR(INDEX(样本到样信息汇总统计!E$2:E$500,MATCH(360,样本到样信息汇总统计!$Y$2:$Y$500,0)),"")</f>
        <v/>
      </c>
      <c r="F361" s="8" t="str">
        <f>IFERROR(INDEX(样本到样信息汇总统计!F$2:F$500,MATCH(360,样本到样信息汇总统计!$Y$2:$Y$500,0)),"")</f>
        <v/>
      </c>
      <c r="G361" s="8" t="str">
        <f>IFERROR(INDEX(样本到样信息汇总统计!G$2:G$500,MATCH(360,样本到样信息汇总统计!$Y$2:$Y$500,0)),"")</f>
        <v/>
      </c>
      <c r="H361" s="8" t="str">
        <f>IFERROR(INDEX(样本到样信息汇总统计!H$2:H$500,MATCH(360,样本到样信息汇总统计!$Y$2:$Y$500,0)),"")</f>
        <v/>
      </c>
      <c r="I361" s="8" t="str">
        <f>IFERROR(INDEX(样本到样信息汇总统计!I$2:I$500,MATCH(360,样本到样信息汇总统计!$Y$2:$Y$500,0)),"")</f>
        <v/>
      </c>
      <c r="J361" s="8" t="str">
        <f>IFERROR(INDEX(样本到样信息汇总统计!J$2:J$500,MATCH(360,样本到样信息汇总统计!$Y$2:$Y$500,0)),"")</f>
        <v/>
      </c>
      <c r="K361" s="8" t="str">
        <f>IFERROR(INDEX(样本到样信息汇总统计!K$2:K$500,MATCH(360,样本到样信息汇总统计!$Y$2:$Y$500,0)),"")</f>
        <v/>
      </c>
      <c r="L361" s="8" t="str">
        <f>IFERROR(INDEX(样本到样信息汇总统计!L$2:L$500,MATCH(360,样本到样信息汇总统计!$Y$2:$Y$500,0)),"")</f>
        <v/>
      </c>
      <c r="M361" s="8" t="str">
        <f>IFERROR(INDEX(样本到样信息汇总统计!M$2:M$500,MATCH(360,样本到样信息汇总统计!$Y$2:$Y$500,0)),"")</f>
        <v/>
      </c>
      <c r="N361" s="8" t="str">
        <f>IFERROR(INDEX(样本到样信息汇总统计!N$2:N$500,MATCH(360,样本到样信息汇总统计!$Y$2:$Y$500,0)),"")</f>
        <v/>
      </c>
      <c r="O361" s="8" t="str">
        <f>IFERROR(INDEX(样本到样信息汇总统计!O$2:O$500,MATCH(360,样本到样信息汇总统计!$Y$2:$Y$500,0)),"")</f>
        <v/>
      </c>
      <c r="P361" s="8" t="str">
        <f>IFERROR(INDEX(样本到样信息汇总统计!P$2:P$500,MATCH(360,样本到样信息汇总统计!$Y$2:$Y$500,0)),"")</f>
        <v/>
      </c>
      <c r="Q361" s="8" t="str">
        <f>IFERROR(INDEX(样本到样信息汇总统计!Q$2:Q$500,MATCH(360,样本到样信息汇总统计!$Y$2:$Y$500,0)),"")</f>
        <v/>
      </c>
      <c r="R361" s="8" t="str">
        <f>IFERROR(INDEX(样本到样信息汇总统计!R$2:R$500,MATCH(360,样本到样信息汇总统计!$Y$2:$Y$500,0)),"")</f>
        <v/>
      </c>
      <c r="S361" s="8" t="str">
        <f>IFERROR(INDEX(样本到样信息汇总统计!S$2:S$500,MATCH(360,样本到样信息汇总统计!$Y$2:$Y$500,0)),"")</f>
        <v/>
      </c>
      <c r="T361" s="8" t="str">
        <f>IFERROR(INDEX(样本到样信息汇总统计!T$2:T$500,MATCH(360,样本到样信息汇总统计!$Y$2:$Y$500,0)),"")</f>
        <v/>
      </c>
      <c r="U361" s="8" t="str">
        <f>IFERROR(INDEX(样本到样信息汇总统计!U$2:U$500,MATCH(360,样本到样信息汇总统计!$Y$2:$Y$500,0)),"")</f>
        <v/>
      </c>
      <c r="V361" s="8" t="str">
        <f>IFERROR(INDEX(样本到样信息汇总统计!V$2:V$500,MATCH(360,样本到样信息汇总统计!$Y$2:$Y$500,0)),"")</f>
        <v/>
      </c>
      <c r="W361" s="8" t="str">
        <f>IFERROR(INDEX(样本到样信息汇总统计!W$2:W$500,MATCH(360,样本到样信息汇总统计!$Y$2:$Y$500,0)),"")</f>
        <v/>
      </c>
    </row>
    <row r="362" ht="14.5" spans="1:23">
      <c r="A362" s="4" t="str">
        <f>IFERROR(INDEX(样本到样信息汇总统计!A$2:A$500,MATCH(361,样本到样信息汇总统计!$Y$2:$Y$500,0)),"")</f>
        <v/>
      </c>
      <c r="B362" s="4" t="str">
        <f>IFERROR(INDEX(样本到样信息汇总统计!B$2:B$500,MATCH(361,样本到样信息汇总统计!$Y$2:$Y$500,0)),"")</f>
        <v/>
      </c>
      <c r="C362" s="4" t="str">
        <f>IFERROR(INDEX(样本到样信息汇总统计!C$2:C$500,MATCH(361,样本到样信息汇总统计!$Y$2:$Y$500,0)),"")</f>
        <v/>
      </c>
      <c r="D362" s="4" t="str">
        <f>IFERROR(INDEX(样本到样信息汇总统计!D$2:D$500,MATCH(361,样本到样信息汇总统计!$Y$2:$Y$500,0)),"")</f>
        <v/>
      </c>
      <c r="E362" s="4" t="str">
        <f>IFERROR(INDEX(样本到样信息汇总统计!E$2:E$500,MATCH(361,样本到样信息汇总统计!$Y$2:$Y$500,0)),"")</f>
        <v/>
      </c>
      <c r="F362" s="4" t="str">
        <f>IFERROR(INDEX(样本到样信息汇总统计!F$2:F$500,MATCH(361,样本到样信息汇总统计!$Y$2:$Y$500,0)),"")</f>
        <v/>
      </c>
      <c r="G362" s="4" t="str">
        <f>IFERROR(INDEX(样本到样信息汇总统计!G$2:G$500,MATCH(361,样本到样信息汇总统计!$Y$2:$Y$500,0)),"")</f>
        <v/>
      </c>
      <c r="H362" s="4" t="str">
        <f>IFERROR(INDEX(样本到样信息汇总统计!H$2:H$500,MATCH(361,样本到样信息汇总统计!$Y$2:$Y$500,0)),"")</f>
        <v/>
      </c>
      <c r="I362" s="4" t="str">
        <f>IFERROR(INDEX(样本到样信息汇总统计!I$2:I$500,MATCH(361,样本到样信息汇总统计!$Y$2:$Y$500,0)),"")</f>
        <v/>
      </c>
      <c r="J362" s="4" t="str">
        <f>IFERROR(INDEX(样本到样信息汇总统计!J$2:J$500,MATCH(361,样本到样信息汇总统计!$Y$2:$Y$500,0)),"")</f>
        <v/>
      </c>
      <c r="K362" s="4" t="str">
        <f>IFERROR(INDEX(样本到样信息汇总统计!K$2:K$500,MATCH(361,样本到样信息汇总统计!$Y$2:$Y$500,0)),"")</f>
        <v/>
      </c>
      <c r="L362" s="4" t="str">
        <f>IFERROR(INDEX(样本到样信息汇总统计!L$2:L$500,MATCH(361,样本到样信息汇总统计!$Y$2:$Y$500,0)),"")</f>
        <v/>
      </c>
      <c r="M362" s="4" t="str">
        <f>IFERROR(INDEX(样本到样信息汇总统计!M$2:M$500,MATCH(361,样本到样信息汇总统计!$Y$2:$Y$500,0)),"")</f>
        <v/>
      </c>
      <c r="N362" s="4" t="str">
        <f>IFERROR(INDEX(样本到样信息汇总统计!N$2:N$500,MATCH(361,样本到样信息汇总统计!$Y$2:$Y$500,0)),"")</f>
        <v/>
      </c>
      <c r="O362" s="4" t="str">
        <f>IFERROR(INDEX(样本到样信息汇总统计!O$2:O$500,MATCH(361,样本到样信息汇总统计!$Y$2:$Y$500,0)),"")</f>
        <v/>
      </c>
      <c r="P362" s="4" t="str">
        <f>IFERROR(INDEX(样本到样信息汇总统计!P$2:P$500,MATCH(361,样本到样信息汇总统计!$Y$2:$Y$500,0)),"")</f>
        <v/>
      </c>
      <c r="Q362" s="4" t="str">
        <f>IFERROR(INDEX(样本到样信息汇总统计!Q$2:Q$500,MATCH(361,样本到样信息汇总统计!$Y$2:$Y$500,0)),"")</f>
        <v/>
      </c>
      <c r="R362" s="4" t="str">
        <f>IFERROR(INDEX(样本到样信息汇总统计!R$2:R$500,MATCH(361,样本到样信息汇总统计!$Y$2:$Y$500,0)),"")</f>
        <v/>
      </c>
      <c r="S362" s="4" t="str">
        <f>IFERROR(INDEX(样本到样信息汇总统计!S$2:S$500,MATCH(361,样本到样信息汇总统计!$Y$2:$Y$500,0)),"")</f>
        <v/>
      </c>
      <c r="T362" s="4" t="str">
        <f>IFERROR(INDEX(样本到样信息汇总统计!T$2:T$500,MATCH(361,样本到样信息汇总统计!$Y$2:$Y$500,0)),"")</f>
        <v/>
      </c>
      <c r="U362" s="4" t="str">
        <f>IFERROR(INDEX(样本到样信息汇总统计!U$2:U$500,MATCH(361,样本到样信息汇总统计!$Y$2:$Y$500,0)),"")</f>
        <v/>
      </c>
      <c r="V362" s="4" t="str">
        <f>IFERROR(INDEX(样本到样信息汇总统计!V$2:V$500,MATCH(361,样本到样信息汇总统计!$Y$2:$Y$500,0)),"")</f>
        <v/>
      </c>
      <c r="W362" s="4" t="str">
        <f>IFERROR(INDEX(样本到样信息汇总统计!W$2:W$500,MATCH(361,样本到样信息汇总统计!$Y$2:$Y$500,0)),"")</f>
        <v/>
      </c>
    </row>
    <row r="363" ht="14.5" spans="1:23">
      <c r="A363" s="8" t="str">
        <f>IFERROR(INDEX(样本到样信息汇总统计!A$2:A$500,MATCH(362,样本到样信息汇总统计!$Y$2:$Y$500,0)),"")</f>
        <v/>
      </c>
      <c r="B363" s="8" t="str">
        <f>IFERROR(INDEX(样本到样信息汇总统计!B$2:B$500,MATCH(362,样本到样信息汇总统计!$Y$2:$Y$500,0)),"")</f>
        <v/>
      </c>
      <c r="C363" s="8" t="str">
        <f>IFERROR(INDEX(样本到样信息汇总统计!C$2:C$500,MATCH(362,样本到样信息汇总统计!$Y$2:$Y$500,0)),"")</f>
        <v/>
      </c>
      <c r="D363" s="8" t="str">
        <f>IFERROR(INDEX(样本到样信息汇总统计!D$2:D$500,MATCH(362,样本到样信息汇总统计!$Y$2:$Y$500,0)),"")</f>
        <v/>
      </c>
      <c r="E363" s="8" t="str">
        <f>IFERROR(INDEX(样本到样信息汇总统计!E$2:E$500,MATCH(362,样本到样信息汇总统计!$Y$2:$Y$500,0)),"")</f>
        <v/>
      </c>
      <c r="F363" s="8" t="str">
        <f>IFERROR(INDEX(样本到样信息汇总统计!F$2:F$500,MATCH(362,样本到样信息汇总统计!$Y$2:$Y$500,0)),"")</f>
        <v/>
      </c>
      <c r="G363" s="8" t="str">
        <f>IFERROR(INDEX(样本到样信息汇总统计!G$2:G$500,MATCH(362,样本到样信息汇总统计!$Y$2:$Y$500,0)),"")</f>
        <v/>
      </c>
      <c r="H363" s="8" t="str">
        <f>IFERROR(INDEX(样本到样信息汇总统计!H$2:H$500,MATCH(362,样本到样信息汇总统计!$Y$2:$Y$500,0)),"")</f>
        <v/>
      </c>
      <c r="I363" s="8" t="str">
        <f>IFERROR(INDEX(样本到样信息汇总统计!I$2:I$500,MATCH(362,样本到样信息汇总统计!$Y$2:$Y$500,0)),"")</f>
        <v/>
      </c>
      <c r="J363" s="8" t="str">
        <f>IFERROR(INDEX(样本到样信息汇总统计!J$2:J$500,MATCH(362,样本到样信息汇总统计!$Y$2:$Y$500,0)),"")</f>
        <v/>
      </c>
      <c r="K363" s="8" t="str">
        <f>IFERROR(INDEX(样本到样信息汇总统计!K$2:K$500,MATCH(362,样本到样信息汇总统计!$Y$2:$Y$500,0)),"")</f>
        <v/>
      </c>
      <c r="L363" s="8" t="str">
        <f>IFERROR(INDEX(样本到样信息汇总统计!L$2:L$500,MATCH(362,样本到样信息汇总统计!$Y$2:$Y$500,0)),"")</f>
        <v/>
      </c>
      <c r="M363" s="8" t="str">
        <f>IFERROR(INDEX(样本到样信息汇总统计!M$2:M$500,MATCH(362,样本到样信息汇总统计!$Y$2:$Y$500,0)),"")</f>
        <v/>
      </c>
      <c r="N363" s="8" t="str">
        <f>IFERROR(INDEX(样本到样信息汇总统计!N$2:N$500,MATCH(362,样本到样信息汇总统计!$Y$2:$Y$500,0)),"")</f>
        <v/>
      </c>
      <c r="O363" s="8" t="str">
        <f>IFERROR(INDEX(样本到样信息汇总统计!O$2:O$500,MATCH(362,样本到样信息汇总统计!$Y$2:$Y$500,0)),"")</f>
        <v/>
      </c>
      <c r="P363" s="8" t="str">
        <f>IFERROR(INDEX(样本到样信息汇总统计!P$2:P$500,MATCH(362,样本到样信息汇总统计!$Y$2:$Y$500,0)),"")</f>
        <v/>
      </c>
      <c r="Q363" s="8" t="str">
        <f>IFERROR(INDEX(样本到样信息汇总统计!Q$2:Q$500,MATCH(362,样本到样信息汇总统计!$Y$2:$Y$500,0)),"")</f>
        <v/>
      </c>
      <c r="R363" s="8" t="str">
        <f>IFERROR(INDEX(样本到样信息汇总统计!R$2:R$500,MATCH(362,样本到样信息汇总统计!$Y$2:$Y$500,0)),"")</f>
        <v/>
      </c>
      <c r="S363" s="8" t="str">
        <f>IFERROR(INDEX(样本到样信息汇总统计!S$2:S$500,MATCH(362,样本到样信息汇总统计!$Y$2:$Y$500,0)),"")</f>
        <v/>
      </c>
      <c r="T363" s="8" t="str">
        <f>IFERROR(INDEX(样本到样信息汇总统计!T$2:T$500,MATCH(362,样本到样信息汇总统计!$Y$2:$Y$500,0)),"")</f>
        <v/>
      </c>
      <c r="U363" s="8" t="str">
        <f>IFERROR(INDEX(样本到样信息汇总统计!U$2:U$500,MATCH(362,样本到样信息汇总统计!$Y$2:$Y$500,0)),"")</f>
        <v/>
      </c>
      <c r="V363" s="8" t="str">
        <f>IFERROR(INDEX(样本到样信息汇总统计!V$2:V$500,MATCH(362,样本到样信息汇总统计!$Y$2:$Y$500,0)),"")</f>
        <v/>
      </c>
      <c r="W363" s="8" t="str">
        <f>IFERROR(INDEX(样本到样信息汇总统计!W$2:W$500,MATCH(362,样本到样信息汇总统计!$Y$2:$Y$500,0)),"")</f>
        <v/>
      </c>
    </row>
    <row r="364" ht="14.5" spans="1:23">
      <c r="A364" s="4" t="str">
        <f>IFERROR(INDEX(样本到样信息汇总统计!A$2:A$500,MATCH(363,样本到样信息汇总统计!$Y$2:$Y$500,0)),"")</f>
        <v/>
      </c>
      <c r="B364" s="4" t="str">
        <f>IFERROR(INDEX(样本到样信息汇总统计!B$2:B$500,MATCH(363,样本到样信息汇总统计!$Y$2:$Y$500,0)),"")</f>
        <v/>
      </c>
      <c r="C364" s="4" t="str">
        <f>IFERROR(INDEX(样本到样信息汇总统计!C$2:C$500,MATCH(363,样本到样信息汇总统计!$Y$2:$Y$500,0)),"")</f>
        <v/>
      </c>
      <c r="D364" s="4" t="str">
        <f>IFERROR(INDEX(样本到样信息汇总统计!D$2:D$500,MATCH(363,样本到样信息汇总统计!$Y$2:$Y$500,0)),"")</f>
        <v/>
      </c>
      <c r="E364" s="4" t="str">
        <f>IFERROR(INDEX(样本到样信息汇总统计!E$2:E$500,MATCH(363,样本到样信息汇总统计!$Y$2:$Y$500,0)),"")</f>
        <v/>
      </c>
      <c r="F364" s="4" t="str">
        <f>IFERROR(INDEX(样本到样信息汇总统计!F$2:F$500,MATCH(363,样本到样信息汇总统计!$Y$2:$Y$500,0)),"")</f>
        <v/>
      </c>
      <c r="G364" s="4" t="str">
        <f>IFERROR(INDEX(样本到样信息汇总统计!G$2:G$500,MATCH(363,样本到样信息汇总统计!$Y$2:$Y$500,0)),"")</f>
        <v/>
      </c>
      <c r="H364" s="4" t="str">
        <f>IFERROR(INDEX(样本到样信息汇总统计!H$2:H$500,MATCH(363,样本到样信息汇总统计!$Y$2:$Y$500,0)),"")</f>
        <v/>
      </c>
      <c r="I364" s="4" t="str">
        <f>IFERROR(INDEX(样本到样信息汇总统计!I$2:I$500,MATCH(363,样本到样信息汇总统计!$Y$2:$Y$500,0)),"")</f>
        <v/>
      </c>
      <c r="J364" s="4" t="str">
        <f>IFERROR(INDEX(样本到样信息汇总统计!J$2:J$500,MATCH(363,样本到样信息汇总统计!$Y$2:$Y$500,0)),"")</f>
        <v/>
      </c>
      <c r="K364" s="4" t="str">
        <f>IFERROR(INDEX(样本到样信息汇总统计!K$2:K$500,MATCH(363,样本到样信息汇总统计!$Y$2:$Y$500,0)),"")</f>
        <v/>
      </c>
      <c r="L364" s="4" t="str">
        <f>IFERROR(INDEX(样本到样信息汇总统计!L$2:L$500,MATCH(363,样本到样信息汇总统计!$Y$2:$Y$500,0)),"")</f>
        <v/>
      </c>
      <c r="M364" s="4" t="str">
        <f>IFERROR(INDEX(样本到样信息汇总统计!M$2:M$500,MATCH(363,样本到样信息汇总统计!$Y$2:$Y$500,0)),"")</f>
        <v/>
      </c>
      <c r="N364" s="4" t="str">
        <f>IFERROR(INDEX(样本到样信息汇总统计!N$2:N$500,MATCH(363,样本到样信息汇总统计!$Y$2:$Y$500,0)),"")</f>
        <v/>
      </c>
      <c r="O364" s="4" t="str">
        <f>IFERROR(INDEX(样本到样信息汇总统计!O$2:O$500,MATCH(363,样本到样信息汇总统计!$Y$2:$Y$500,0)),"")</f>
        <v/>
      </c>
      <c r="P364" s="4" t="str">
        <f>IFERROR(INDEX(样本到样信息汇总统计!P$2:P$500,MATCH(363,样本到样信息汇总统计!$Y$2:$Y$500,0)),"")</f>
        <v/>
      </c>
      <c r="Q364" s="4" t="str">
        <f>IFERROR(INDEX(样本到样信息汇总统计!Q$2:Q$500,MATCH(363,样本到样信息汇总统计!$Y$2:$Y$500,0)),"")</f>
        <v/>
      </c>
      <c r="R364" s="4" t="str">
        <f>IFERROR(INDEX(样本到样信息汇总统计!R$2:R$500,MATCH(363,样本到样信息汇总统计!$Y$2:$Y$500,0)),"")</f>
        <v/>
      </c>
      <c r="S364" s="4" t="str">
        <f>IFERROR(INDEX(样本到样信息汇总统计!S$2:S$500,MATCH(363,样本到样信息汇总统计!$Y$2:$Y$500,0)),"")</f>
        <v/>
      </c>
      <c r="T364" s="4" t="str">
        <f>IFERROR(INDEX(样本到样信息汇总统计!T$2:T$500,MATCH(363,样本到样信息汇总统计!$Y$2:$Y$500,0)),"")</f>
        <v/>
      </c>
      <c r="U364" s="4" t="str">
        <f>IFERROR(INDEX(样本到样信息汇总统计!U$2:U$500,MATCH(363,样本到样信息汇总统计!$Y$2:$Y$500,0)),"")</f>
        <v/>
      </c>
      <c r="V364" s="4" t="str">
        <f>IFERROR(INDEX(样本到样信息汇总统计!V$2:V$500,MATCH(363,样本到样信息汇总统计!$Y$2:$Y$500,0)),"")</f>
        <v/>
      </c>
      <c r="W364" s="4" t="str">
        <f>IFERROR(INDEX(样本到样信息汇总统计!W$2:W$500,MATCH(363,样本到样信息汇总统计!$Y$2:$Y$500,0)),"")</f>
        <v/>
      </c>
    </row>
    <row r="365" ht="14.5" spans="1:23">
      <c r="A365" s="8" t="str">
        <f>IFERROR(INDEX(样本到样信息汇总统计!A$2:A$500,MATCH(364,样本到样信息汇总统计!$Y$2:$Y$500,0)),"")</f>
        <v/>
      </c>
      <c r="B365" s="8" t="str">
        <f>IFERROR(INDEX(样本到样信息汇总统计!B$2:B$500,MATCH(364,样本到样信息汇总统计!$Y$2:$Y$500,0)),"")</f>
        <v/>
      </c>
      <c r="C365" s="8" t="str">
        <f>IFERROR(INDEX(样本到样信息汇总统计!C$2:C$500,MATCH(364,样本到样信息汇总统计!$Y$2:$Y$500,0)),"")</f>
        <v/>
      </c>
      <c r="D365" s="8" t="str">
        <f>IFERROR(INDEX(样本到样信息汇总统计!D$2:D$500,MATCH(364,样本到样信息汇总统计!$Y$2:$Y$500,0)),"")</f>
        <v/>
      </c>
      <c r="E365" s="8" t="str">
        <f>IFERROR(INDEX(样本到样信息汇总统计!E$2:E$500,MATCH(364,样本到样信息汇总统计!$Y$2:$Y$500,0)),"")</f>
        <v/>
      </c>
      <c r="F365" s="8" t="str">
        <f>IFERROR(INDEX(样本到样信息汇总统计!F$2:F$500,MATCH(364,样本到样信息汇总统计!$Y$2:$Y$500,0)),"")</f>
        <v/>
      </c>
      <c r="G365" s="8" t="str">
        <f>IFERROR(INDEX(样本到样信息汇总统计!G$2:G$500,MATCH(364,样本到样信息汇总统计!$Y$2:$Y$500,0)),"")</f>
        <v/>
      </c>
      <c r="H365" s="8" t="str">
        <f>IFERROR(INDEX(样本到样信息汇总统计!H$2:H$500,MATCH(364,样本到样信息汇总统计!$Y$2:$Y$500,0)),"")</f>
        <v/>
      </c>
      <c r="I365" s="8" t="str">
        <f>IFERROR(INDEX(样本到样信息汇总统计!I$2:I$500,MATCH(364,样本到样信息汇总统计!$Y$2:$Y$500,0)),"")</f>
        <v/>
      </c>
      <c r="J365" s="8" t="str">
        <f>IFERROR(INDEX(样本到样信息汇总统计!J$2:J$500,MATCH(364,样本到样信息汇总统计!$Y$2:$Y$500,0)),"")</f>
        <v/>
      </c>
      <c r="K365" s="8" t="str">
        <f>IFERROR(INDEX(样本到样信息汇总统计!K$2:K$500,MATCH(364,样本到样信息汇总统计!$Y$2:$Y$500,0)),"")</f>
        <v/>
      </c>
      <c r="L365" s="8" t="str">
        <f>IFERROR(INDEX(样本到样信息汇总统计!L$2:L$500,MATCH(364,样本到样信息汇总统计!$Y$2:$Y$500,0)),"")</f>
        <v/>
      </c>
      <c r="M365" s="8" t="str">
        <f>IFERROR(INDEX(样本到样信息汇总统计!M$2:M$500,MATCH(364,样本到样信息汇总统计!$Y$2:$Y$500,0)),"")</f>
        <v/>
      </c>
      <c r="N365" s="8" t="str">
        <f>IFERROR(INDEX(样本到样信息汇总统计!N$2:N$500,MATCH(364,样本到样信息汇总统计!$Y$2:$Y$500,0)),"")</f>
        <v/>
      </c>
      <c r="O365" s="8" t="str">
        <f>IFERROR(INDEX(样本到样信息汇总统计!O$2:O$500,MATCH(364,样本到样信息汇总统计!$Y$2:$Y$500,0)),"")</f>
        <v/>
      </c>
      <c r="P365" s="8" t="str">
        <f>IFERROR(INDEX(样本到样信息汇总统计!P$2:P$500,MATCH(364,样本到样信息汇总统计!$Y$2:$Y$500,0)),"")</f>
        <v/>
      </c>
      <c r="Q365" s="8" t="str">
        <f>IFERROR(INDEX(样本到样信息汇总统计!Q$2:Q$500,MATCH(364,样本到样信息汇总统计!$Y$2:$Y$500,0)),"")</f>
        <v/>
      </c>
      <c r="R365" s="8" t="str">
        <f>IFERROR(INDEX(样本到样信息汇总统计!R$2:R$500,MATCH(364,样本到样信息汇总统计!$Y$2:$Y$500,0)),"")</f>
        <v/>
      </c>
      <c r="S365" s="8" t="str">
        <f>IFERROR(INDEX(样本到样信息汇总统计!S$2:S$500,MATCH(364,样本到样信息汇总统计!$Y$2:$Y$500,0)),"")</f>
        <v/>
      </c>
      <c r="T365" s="8" t="str">
        <f>IFERROR(INDEX(样本到样信息汇总统计!T$2:T$500,MATCH(364,样本到样信息汇总统计!$Y$2:$Y$500,0)),"")</f>
        <v/>
      </c>
      <c r="U365" s="8" t="str">
        <f>IFERROR(INDEX(样本到样信息汇总统计!U$2:U$500,MATCH(364,样本到样信息汇总统计!$Y$2:$Y$500,0)),"")</f>
        <v/>
      </c>
      <c r="V365" s="8" t="str">
        <f>IFERROR(INDEX(样本到样信息汇总统计!V$2:V$500,MATCH(364,样本到样信息汇总统计!$Y$2:$Y$500,0)),"")</f>
        <v/>
      </c>
      <c r="W365" s="8" t="str">
        <f>IFERROR(INDEX(样本到样信息汇总统计!W$2:W$500,MATCH(364,样本到样信息汇总统计!$Y$2:$Y$500,0)),"")</f>
        <v/>
      </c>
    </row>
    <row r="366" ht="14.5" spans="1:23">
      <c r="A366" s="4" t="str">
        <f>IFERROR(INDEX(样本到样信息汇总统计!A$2:A$500,MATCH(365,样本到样信息汇总统计!$Y$2:$Y$500,0)),"")</f>
        <v/>
      </c>
      <c r="B366" s="4" t="str">
        <f>IFERROR(INDEX(样本到样信息汇总统计!B$2:B$500,MATCH(365,样本到样信息汇总统计!$Y$2:$Y$500,0)),"")</f>
        <v/>
      </c>
      <c r="C366" s="4" t="str">
        <f>IFERROR(INDEX(样本到样信息汇总统计!C$2:C$500,MATCH(365,样本到样信息汇总统计!$Y$2:$Y$500,0)),"")</f>
        <v/>
      </c>
      <c r="D366" s="4" t="str">
        <f>IFERROR(INDEX(样本到样信息汇总统计!D$2:D$500,MATCH(365,样本到样信息汇总统计!$Y$2:$Y$500,0)),"")</f>
        <v/>
      </c>
      <c r="E366" s="4" t="str">
        <f>IFERROR(INDEX(样本到样信息汇总统计!E$2:E$500,MATCH(365,样本到样信息汇总统计!$Y$2:$Y$500,0)),"")</f>
        <v/>
      </c>
      <c r="F366" s="4" t="str">
        <f>IFERROR(INDEX(样本到样信息汇总统计!F$2:F$500,MATCH(365,样本到样信息汇总统计!$Y$2:$Y$500,0)),"")</f>
        <v/>
      </c>
      <c r="G366" s="4" t="str">
        <f>IFERROR(INDEX(样本到样信息汇总统计!G$2:G$500,MATCH(365,样本到样信息汇总统计!$Y$2:$Y$500,0)),"")</f>
        <v/>
      </c>
      <c r="H366" s="4" t="str">
        <f>IFERROR(INDEX(样本到样信息汇总统计!H$2:H$500,MATCH(365,样本到样信息汇总统计!$Y$2:$Y$500,0)),"")</f>
        <v/>
      </c>
      <c r="I366" s="4" t="str">
        <f>IFERROR(INDEX(样本到样信息汇总统计!I$2:I$500,MATCH(365,样本到样信息汇总统计!$Y$2:$Y$500,0)),"")</f>
        <v/>
      </c>
      <c r="J366" s="4" t="str">
        <f>IFERROR(INDEX(样本到样信息汇总统计!J$2:J$500,MATCH(365,样本到样信息汇总统计!$Y$2:$Y$500,0)),"")</f>
        <v/>
      </c>
      <c r="K366" s="4" t="str">
        <f>IFERROR(INDEX(样本到样信息汇总统计!K$2:K$500,MATCH(365,样本到样信息汇总统计!$Y$2:$Y$500,0)),"")</f>
        <v/>
      </c>
      <c r="L366" s="4" t="str">
        <f>IFERROR(INDEX(样本到样信息汇总统计!L$2:L$500,MATCH(365,样本到样信息汇总统计!$Y$2:$Y$500,0)),"")</f>
        <v/>
      </c>
      <c r="M366" s="4" t="str">
        <f>IFERROR(INDEX(样本到样信息汇总统计!M$2:M$500,MATCH(365,样本到样信息汇总统计!$Y$2:$Y$500,0)),"")</f>
        <v/>
      </c>
      <c r="N366" s="4" t="str">
        <f>IFERROR(INDEX(样本到样信息汇总统计!N$2:N$500,MATCH(365,样本到样信息汇总统计!$Y$2:$Y$500,0)),"")</f>
        <v/>
      </c>
      <c r="O366" s="4" t="str">
        <f>IFERROR(INDEX(样本到样信息汇总统计!O$2:O$500,MATCH(365,样本到样信息汇总统计!$Y$2:$Y$500,0)),"")</f>
        <v/>
      </c>
      <c r="P366" s="4" t="str">
        <f>IFERROR(INDEX(样本到样信息汇总统计!P$2:P$500,MATCH(365,样本到样信息汇总统计!$Y$2:$Y$500,0)),"")</f>
        <v/>
      </c>
      <c r="Q366" s="4" t="str">
        <f>IFERROR(INDEX(样本到样信息汇总统计!Q$2:Q$500,MATCH(365,样本到样信息汇总统计!$Y$2:$Y$500,0)),"")</f>
        <v/>
      </c>
      <c r="R366" s="4" t="str">
        <f>IFERROR(INDEX(样本到样信息汇总统计!R$2:R$500,MATCH(365,样本到样信息汇总统计!$Y$2:$Y$500,0)),"")</f>
        <v/>
      </c>
      <c r="S366" s="4" t="str">
        <f>IFERROR(INDEX(样本到样信息汇总统计!S$2:S$500,MATCH(365,样本到样信息汇总统计!$Y$2:$Y$500,0)),"")</f>
        <v/>
      </c>
      <c r="T366" s="4" t="str">
        <f>IFERROR(INDEX(样本到样信息汇总统计!T$2:T$500,MATCH(365,样本到样信息汇总统计!$Y$2:$Y$500,0)),"")</f>
        <v/>
      </c>
      <c r="U366" s="4" t="str">
        <f>IFERROR(INDEX(样本到样信息汇总统计!U$2:U$500,MATCH(365,样本到样信息汇总统计!$Y$2:$Y$500,0)),"")</f>
        <v/>
      </c>
      <c r="V366" s="4" t="str">
        <f>IFERROR(INDEX(样本到样信息汇总统计!V$2:V$500,MATCH(365,样本到样信息汇总统计!$Y$2:$Y$500,0)),"")</f>
        <v/>
      </c>
      <c r="W366" s="4" t="str">
        <f>IFERROR(INDEX(样本到样信息汇总统计!W$2:W$500,MATCH(365,样本到样信息汇总统计!$Y$2:$Y$500,0)),"")</f>
        <v/>
      </c>
    </row>
    <row r="367" ht="14.5" spans="1:23">
      <c r="A367" s="8" t="str">
        <f>IFERROR(INDEX(样本到样信息汇总统计!A$2:A$500,MATCH(366,样本到样信息汇总统计!$Y$2:$Y$500,0)),"")</f>
        <v/>
      </c>
      <c r="B367" s="8" t="str">
        <f>IFERROR(INDEX(样本到样信息汇总统计!B$2:B$500,MATCH(366,样本到样信息汇总统计!$Y$2:$Y$500,0)),"")</f>
        <v/>
      </c>
      <c r="C367" s="8" t="str">
        <f>IFERROR(INDEX(样本到样信息汇总统计!C$2:C$500,MATCH(366,样本到样信息汇总统计!$Y$2:$Y$500,0)),"")</f>
        <v/>
      </c>
      <c r="D367" s="8" t="str">
        <f>IFERROR(INDEX(样本到样信息汇总统计!D$2:D$500,MATCH(366,样本到样信息汇总统计!$Y$2:$Y$500,0)),"")</f>
        <v/>
      </c>
      <c r="E367" s="8" t="str">
        <f>IFERROR(INDEX(样本到样信息汇总统计!E$2:E$500,MATCH(366,样本到样信息汇总统计!$Y$2:$Y$500,0)),"")</f>
        <v/>
      </c>
      <c r="F367" s="8" t="str">
        <f>IFERROR(INDEX(样本到样信息汇总统计!F$2:F$500,MATCH(366,样本到样信息汇总统计!$Y$2:$Y$500,0)),"")</f>
        <v/>
      </c>
      <c r="G367" s="8" t="str">
        <f>IFERROR(INDEX(样本到样信息汇总统计!G$2:G$500,MATCH(366,样本到样信息汇总统计!$Y$2:$Y$500,0)),"")</f>
        <v/>
      </c>
      <c r="H367" s="8" t="str">
        <f>IFERROR(INDEX(样本到样信息汇总统计!H$2:H$500,MATCH(366,样本到样信息汇总统计!$Y$2:$Y$500,0)),"")</f>
        <v/>
      </c>
      <c r="I367" s="8" t="str">
        <f>IFERROR(INDEX(样本到样信息汇总统计!I$2:I$500,MATCH(366,样本到样信息汇总统计!$Y$2:$Y$500,0)),"")</f>
        <v/>
      </c>
      <c r="J367" s="8" t="str">
        <f>IFERROR(INDEX(样本到样信息汇总统计!J$2:J$500,MATCH(366,样本到样信息汇总统计!$Y$2:$Y$500,0)),"")</f>
        <v/>
      </c>
      <c r="K367" s="8" t="str">
        <f>IFERROR(INDEX(样本到样信息汇总统计!K$2:K$500,MATCH(366,样本到样信息汇总统计!$Y$2:$Y$500,0)),"")</f>
        <v/>
      </c>
      <c r="L367" s="8" t="str">
        <f>IFERROR(INDEX(样本到样信息汇总统计!L$2:L$500,MATCH(366,样本到样信息汇总统计!$Y$2:$Y$500,0)),"")</f>
        <v/>
      </c>
      <c r="M367" s="8" t="str">
        <f>IFERROR(INDEX(样本到样信息汇总统计!M$2:M$500,MATCH(366,样本到样信息汇总统计!$Y$2:$Y$500,0)),"")</f>
        <v/>
      </c>
      <c r="N367" s="8" t="str">
        <f>IFERROR(INDEX(样本到样信息汇总统计!N$2:N$500,MATCH(366,样本到样信息汇总统计!$Y$2:$Y$500,0)),"")</f>
        <v/>
      </c>
      <c r="O367" s="8" t="str">
        <f>IFERROR(INDEX(样本到样信息汇总统计!O$2:O$500,MATCH(366,样本到样信息汇总统计!$Y$2:$Y$500,0)),"")</f>
        <v/>
      </c>
      <c r="P367" s="8" t="str">
        <f>IFERROR(INDEX(样本到样信息汇总统计!P$2:P$500,MATCH(366,样本到样信息汇总统计!$Y$2:$Y$500,0)),"")</f>
        <v/>
      </c>
      <c r="Q367" s="8" t="str">
        <f>IFERROR(INDEX(样本到样信息汇总统计!Q$2:Q$500,MATCH(366,样本到样信息汇总统计!$Y$2:$Y$500,0)),"")</f>
        <v/>
      </c>
      <c r="R367" s="8" t="str">
        <f>IFERROR(INDEX(样本到样信息汇总统计!R$2:R$500,MATCH(366,样本到样信息汇总统计!$Y$2:$Y$500,0)),"")</f>
        <v/>
      </c>
      <c r="S367" s="8" t="str">
        <f>IFERROR(INDEX(样本到样信息汇总统计!S$2:S$500,MATCH(366,样本到样信息汇总统计!$Y$2:$Y$500,0)),"")</f>
        <v/>
      </c>
      <c r="T367" s="8" t="str">
        <f>IFERROR(INDEX(样本到样信息汇总统计!T$2:T$500,MATCH(366,样本到样信息汇总统计!$Y$2:$Y$500,0)),"")</f>
        <v/>
      </c>
      <c r="U367" s="8" t="str">
        <f>IFERROR(INDEX(样本到样信息汇总统计!U$2:U$500,MATCH(366,样本到样信息汇总统计!$Y$2:$Y$500,0)),"")</f>
        <v/>
      </c>
      <c r="V367" s="8" t="str">
        <f>IFERROR(INDEX(样本到样信息汇总统计!V$2:V$500,MATCH(366,样本到样信息汇总统计!$Y$2:$Y$500,0)),"")</f>
        <v/>
      </c>
      <c r="W367" s="8" t="str">
        <f>IFERROR(INDEX(样本到样信息汇总统计!W$2:W$500,MATCH(366,样本到样信息汇总统计!$Y$2:$Y$500,0)),"")</f>
        <v/>
      </c>
    </row>
    <row r="368" ht="14.5" spans="1:23">
      <c r="A368" s="4" t="str">
        <f>IFERROR(INDEX(样本到样信息汇总统计!A$2:A$500,MATCH(367,样本到样信息汇总统计!$Y$2:$Y$500,0)),"")</f>
        <v/>
      </c>
      <c r="B368" s="4" t="str">
        <f>IFERROR(INDEX(样本到样信息汇总统计!B$2:B$500,MATCH(367,样本到样信息汇总统计!$Y$2:$Y$500,0)),"")</f>
        <v/>
      </c>
      <c r="C368" s="4" t="str">
        <f>IFERROR(INDEX(样本到样信息汇总统计!C$2:C$500,MATCH(367,样本到样信息汇总统计!$Y$2:$Y$500,0)),"")</f>
        <v/>
      </c>
      <c r="D368" s="4" t="str">
        <f>IFERROR(INDEX(样本到样信息汇总统计!D$2:D$500,MATCH(367,样本到样信息汇总统计!$Y$2:$Y$500,0)),"")</f>
        <v/>
      </c>
      <c r="E368" s="4" t="str">
        <f>IFERROR(INDEX(样本到样信息汇总统计!E$2:E$500,MATCH(367,样本到样信息汇总统计!$Y$2:$Y$500,0)),"")</f>
        <v/>
      </c>
      <c r="F368" s="4" t="str">
        <f>IFERROR(INDEX(样本到样信息汇总统计!F$2:F$500,MATCH(367,样本到样信息汇总统计!$Y$2:$Y$500,0)),"")</f>
        <v/>
      </c>
      <c r="G368" s="4" t="str">
        <f>IFERROR(INDEX(样本到样信息汇总统计!G$2:G$500,MATCH(367,样本到样信息汇总统计!$Y$2:$Y$500,0)),"")</f>
        <v/>
      </c>
      <c r="H368" s="4" t="str">
        <f>IFERROR(INDEX(样本到样信息汇总统计!H$2:H$500,MATCH(367,样本到样信息汇总统计!$Y$2:$Y$500,0)),"")</f>
        <v/>
      </c>
      <c r="I368" s="4" t="str">
        <f>IFERROR(INDEX(样本到样信息汇总统计!I$2:I$500,MATCH(367,样本到样信息汇总统计!$Y$2:$Y$500,0)),"")</f>
        <v/>
      </c>
      <c r="J368" s="4" t="str">
        <f>IFERROR(INDEX(样本到样信息汇总统计!J$2:J$500,MATCH(367,样本到样信息汇总统计!$Y$2:$Y$500,0)),"")</f>
        <v/>
      </c>
      <c r="K368" s="4" t="str">
        <f>IFERROR(INDEX(样本到样信息汇总统计!K$2:K$500,MATCH(367,样本到样信息汇总统计!$Y$2:$Y$500,0)),"")</f>
        <v/>
      </c>
      <c r="L368" s="4" t="str">
        <f>IFERROR(INDEX(样本到样信息汇总统计!L$2:L$500,MATCH(367,样本到样信息汇总统计!$Y$2:$Y$500,0)),"")</f>
        <v/>
      </c>
      <c r="M368" s="4" t="str">
        <f>IFERROR(INDEX(样本到样信息汇总统计!M$2:M$500,MATCH(367,样本到样信息汇总统计!$Y$2:$Y$500,0)),"")</f>
        <v/>
      </c>
      <c r="N368" s="4" t="str">
        <f>IFERROR(INDEX(样本到样信息汇总统计!N$2:N$500,MATCH(367,样本到样信息汇总统计!$Y$2:$Y$500,0)),"")</f>
        <v/>
      </c>
      <c r="O368" s="4" t="str">
        <f>IFERROR(INDEX(样本到样信息汇总统计!O$2:O$500,MATCH(367,样本到样信息汇总统计!$Y$2:$Y$500,0)),"")</f>
        <v/>
      </c>
      <c r="P368" s="4" t="str">
        <f>IFERROR(INDEX(样本到样信息汇总统计!P$2:P$500,MATCH(367,样本到样信息汇总统计!$Y$2:$Y$500,0)),"")</f>
        <v/>
      </c>
      <c r="Q368" s="4" t="str">
        <f>IFERROR(INDEX(样本到样信息汇总统计!Q$2:Q$500,MATCH(367,样本到样信息汇总统计!$Y$2:$Y$500,0)),"")</f>
        <v/>
      </c>
      <c r="R368" s="4" t="str">
        <f>IFERROR(INDEX(样本到样信息汇总统计!R$2:R$500,MATCH(367,样本到样信息汇总统计!$Y$2:$Y$500,0)),"")</f>
        <v/>
      </c>
      <c r="S368" s="4" t="str">
        <f>IFERROR(INDEX(样本到样信息汇总统计!S$2:S$500,MATCH(367,样本到样信息汇总统计!$Y$2:$Y$500,0)),"")</f>
        <v/>
      </c>
      <c r="T368" s="4" t="str">
        <f>IFERROR(INDEX(样本到样信息汇总统计!T$2:T$500,MATCH(367,样本到样信息汇总统计!$Y$2:$Y$500,0)),"")</f>
        <v/>
      </c>
      <c r="U368" s="4" t="str">
        <f>IFERROR(INDEX(样本到样信息汇总统计!U$2:U$500,MATCH(367,样本到样信息汇总统计!$Y$2:$Y$500,0)),"")</f>
        <v/>
      </c>
      <c r="V368" s="4" t="str">
        <f>IFERROR(INDEX(样本到样信息汇总统计!V$2:V$500,MATCH(367,样本到样信息汇总统计!$Y$2:$Y$500,0)),"")</f>
        <v/>
      </c>
      <c r="W368" s="4" t="str">
        <f>IFERROR(INDEX(样本到样信息汇总统计!W$2:W$500,MATCH(367,样本到样信息汇总统计!$Y$2:$Y$500,0)),"")</f>
        <v/>
      </c>
    </row>
    <row r="369" ht="14.5" spans="1:23">
      <c r="A369" s="8" t="str">
        <f>IFERROR(INDEX(样本到样信息汇总统计!A$2:A$500,MATCH(368,样本到样信息汇总统计!$Y$2:$Y$500,0)),"")</f>
        <v/>
      </c>
      <c r="B369" s="8" t="str">
        <f>IFERROR(INDEX(样本到样信息汇总统计!B$2:B$500,MATCH(368,样本到样信息汇总统计!$Y$2:$Y$500,0)),"")</f>
        <v/>
      </c>
      <c r="C369" s="8" t="str">
        <f>IFERROR(INDEX(样本到样信息汇总统计!C$2:C$500,MATCH(368,样本到样信息汇总统计!$Y$2:$Y$500,0)),"")</f>
        <v/>
      </c>
      <c r="D369" s="8" t="str">
        <f>IFERROR(INDEX(样本到样信息汇总统计!D$2:D$500,MATCH(368,样本到样信息汇总统计!$Y$2:$Y$500,0)),"")</f>
        <v/>
      </c>
      <c r="E369" s="8" t="str">
        <f>IFERROR(INDEX(样本到样信息汇总统计!E$2:E$500,MATCH(368,样本到样信息汇总统计!$Y$2:$Y$500,0)),"")</f>
        <v/>
      </c>
      <c r="F369" s="8" t="str">
        <f>IFERROR(INDEX(样本到样信息汇总统计!F$2:F$500,MATCH(368,样本到样信息汇总统计!$Y$2:$Y$500,0)),"")</f>
        <v/>
      </c>
      <c r="G369" s="8" t="str">
        <f>IFERROR(INDEX(样本到样信息汇总统计!G$2:G$500,MATCH(368,样本到样信息汇总统计!$Y$2:$Y$500,0)),"")</f>
        <v/>
      </c>
      <c r="H369" s="8" t="str">
        <f>IFERROR(INDEX(样本到样信息汇总统计!H$2:H$500,MATCH(368,样本到样信息汇总统计!$Y$2:$Y$500,0)),"")</f>
        <v/>
      </c>
      <c r="I369" s="8" t="str">
        <f>IFERROR(INDEX(样本到样信息汇总统计!I$2:I$500,MATCH(368,样本到样信息汇总统计!$Y$2:$Y$500,0)),"")</f>
        <v/>
      </c>
      <c r="J369" s="8" t="str">
        <f>IFERROR(INDEX(样本到样信息汇总统计!J$2:J$500,MATCH(368,样本到样信息汇总统计!$Y$2:$Y$500,0)),"")</f>
        <v/>
      </c>
      <c r="K369" s="8" t="str">
        <f>IFERROR(INDEX(样本到样信息汇总统计!K$2:K$500,MATCH(368,样本到样信息汇总统计!$Y$2:$Y$500,0)),"")</f>
        <v/>
      </c>
      <c r="L369" s="8" t="str">
        <f>IFERROR(INDEX(样本到样信息汇总统计!L$2:L$500,MATCH(368,样本到样信息汇总统计!$Y$2:$Y$500,0)),"")</f>
        <v/>
      </c>
      <c r="M369" s="8" t="str">
        <f>IFERROR(INDEX(样本到样信息汇总统计!M$2:M$500,MATCH(368,样本到样信息汇总统计!$Y$2:$Y$500,0)),"")</f>
        <v/>
      </c>
      <c r="N369" s="8" t="str">
        <f>IFERROR(INDEX(样本到样信息汇总统计!N$2:N$500,MATCH(368,样本到样信息汇总统计!$Y$2:$Y$500,0)),"")</f>
        <v/>
      </c>
      <c r="O369" s="8" t="str">
        <f>IFERROR(INDEX(样本到样信息汇总统计!O$2:O$500,MATCH(368,样本到样信息汇总统计!$Y$2:$Y$500,0)),"")</f>
        <v/>
      </c>
      <c r="P369" s="8" t="str">
        <f>IFERROR(INDEX(样本到样信息汇总统计!P$2:P$500,MATCH(368,样本到样信息汇总统计!$Y$2:$Y$500,0)),"")</f>
        <v/>
      </c>
      <c r="Q369" s="8" t="str">
        <f>IFERROR(INDEX(样本到样信息汇总统计!Q$2:Q$500,MATCH(368,样本到样信息汇总统计!$Y$2:$Y$500,0)),"")</f>
        <v/>
      </c>
      <c r="R369" s="8" t="str">
        <f>IFERROR(INDEX(样本到样信息汇总统计!R$2:R$500,MATCH(368,样本到样信息汇总统计!$Y$2:$Y$500,0)),"")</f>
        <v/>
      </c>
      <c r="S369" s="8" t="str">
        <f>IFERROR(INDEX(样本到样信息汇总统计!S$2:S$500,MATCH(368,样本到样信息汇总统计!$Y$2:$Y$500,0)),"")</f>
        <v/>
      </c>
      <c r="T369" s="8" t="str">
        <f>IFERROR(INDEX(样本到样信息汇总统计!T$2:T$500,MATCH(368,样本到样信息汇总统计!$Y$2:$Y$500,0)),"")</f>
        <v/>
      </c>
      <c r="U369" s="8" t="str">
        <f>IFERROR(INDEX(样本到样信息汇总统计!U$2:U$500,MATCH(368,样本到样信息汇总统计!$Y$2:$Y$500,0)),"")</f>
        <v/>
      </c>
      <c r="V369" s="8" t="str">
        <f>IFERROR(INDEX(样本到样信息汇总统计!V$2:V$500,MATCH(368,样本到样信息汇总统计!$Y$2:$Y$500,0)),"")</f>
        <v/>
      </c>
      <c r="W369" s="8" t="str">
        <f>IFERROR(INDEX(样本到样信息汇总统计!W$2:W$500,MATCH(368,样本到样信息汇总统计!$Y$2:$Y$500,0)),"")</f>
        <v/>
      </c>
    </row>
    <row r="370" ht="14.5" spans="1:23">
      <c r="A370" s="4" t="str">
        <f>IFERROR(INDEX(样本到样信息汇总统计!A$2:A$500,MATCH(369,样本到样信息汇总统计!$Y$2:$Y$500,0)),"")</f>
        <v/>
      </c>
      <c r="B370" s="4" t="str">
        <f>IFERROR(INDEX(样本到样信息汇总统计!B$2:B$500,MATCH(369,样本到样信息汇总统计!$Y$2:$Y$500,0)),"")</f>
        <v/>
      </c>
      <c r="C370" s="4" t="str">
        <f>IFERROR(INDEX(样本到样信息汇总统计!C$2:C$500,MATCH(369,样本到样信息汇总统计!$Y$2:$Y$500,0)),"")</f>
        <v/>
      </c>
      <c r="D370" s="4" t="str">
        <f>IFERROR(INDEX(样本到样信息汇总统计!D$2:D$500,MATCH(369,样本到样信息汇总统计!$Y$2:$Y$500,0)),"")</f>
        <v/>
      </c>
      <c r="E370" s="4" t="str">
        <f>IFERROR(INDEX(样本到样信息汇总统计!E$2:E$500,MATCH(369,样本到样信息汇总统计!$Y$2:$Y$500,0)),"")</f>
        <v/>
      </c>
      <c r="F370" s="4" t="str">
        <f>IFERROR(INDEX(样本到样信息汇总统计!F$2:F$500,MATCH(369,样本到样信息汇总统计!$Y$2:$Y$500,0)),"")</f>
        <v/>
      </c>
      <c r="G370" s="4" t="str">
        <f>IFERROR(INDEX(样本到样信息汇总统计!G$2:G$500,MATCH(369,样本到样信息汇总统计!$Y$2:$Y$500,0)),"")</f>
        <v/>
      </c>
      <c r="H370" s="4" t="str">
        <f>IFERROR(INDEX(样本到样信息汇总统计!H$2:H$500,MATCH(369,样本到样信息汇总统计!$Y$2:$Y$500,0)),"")</f>
        <v/>
      </c>
      <c r="I370" s="4" t="str">
        <f>IFERROR(INDEX(样本到样信息汇总统计!I$2:I$500,MATCH(369,样本到样信息汇总统计!$Y$2:$Y$500,0)),"")</f>
        <v/>
      </c>
      <c r="J370" s="4" t="str">
        <f>IFERROR(INDEX(样本到样信息汇总统计!J$2:J$500,MATCH(369,样本到样信息汇总统计!$Y$2:$Y$500,0)),"")</f>
        <v/>
      </c>
      <c r="K370" s="4" t="str">
        <f>IFERROR(INDEX(样本到样信息汇总统计!K$2:K$500,MATCH(369,样本到样信息汇总统计!$Y$2:$Y$500,0)),"")</f>
        <v/>
      </c>
      <c r="L370" s="4" t="str">
        <f>IFERROR(INDEX(样本到样信息汇总统计!L$2:L$500,MATCH(369,样本到样信息汇总统计!$Y$2:$Y$500,0)),"")</f>
        <v/>
      </c>
      <c r="M370" s="4" t="str">
        <f>IFERROR(INDEX(样本到样信息汇总统计!M$2:M$500,MATCH(369,样本到样信息汇总统计!$Y$2:$Y$500,0)),"")</f>
        <v/>
      </c>
      <c r="N370" s="4" t="str">
        <f>IFERROR(INDEX(样本到样信息汇总统计!N$2:N$500,MATCH(369,样本到样信息汇总统计!$Y$2:$Y$500,0)),"")</f>
        <v/>
      </c>
      <c r="O370" s="4" t="str">
        <f>IFERROR(INDEX(样本到样信息汇总统计!O$2:O$500,MATCH(369,样本到样信息汇总统计!$Y$2:$Y$500,0)),"")</f>
        <v/>
      </c>
      <c r="P370" s="4" t="str">
        <f>IFERROR(INDEX(样本到样信息汇总统计!P$2:P$500,MATCH(369,样本到样信息汇总统计!$Y$2:$Y$500,0)),"")</f>
        <v/>
      </c>
      <c r="Q370" s="4" t="str">
        <f>IFERROR(INDEX(样本到样信息汇总统计!Q$2:Q$500,MATCH(369,样本到样信息汇总统计!$Y$2:$Y$500,0)),"")</f>
        <v/>
      </c>
      <c r="R370" s="4" t="str">
        <f>IFERROR(INDEX(样本到样信息汇总统计!R$2:R$500,MATCH(369,样本到样信息汇总统计!$Y$2:$Y$500,0)),"")</f>
        <v/>
      </c>
      <c r="S370" s="4" t="str">
        <f>IFERROR(INDEX(样本到样信息汇总统计!S$2:S$500,MATCH(369,样本到样信息汇总统计!$Y$2:$Y$500,0)),"")</f>
        <v/>
      </c>
      <c r="T370" s="4" t="str">
        <f>IFERROR(INDEX(样本到样信息汇总统计!T$2:T$500,MATCH(369,样本到样信息汇总统计!$Y$2:$Y$500,0)),"")</f>
        <v/>
      </c>
      <c r="U370" s="4" t="str">
        <f>IFERROR(INDEX(样本到样信息汇总统计!U$2:U$500,MATCH(369,样本到样信息汇总统计!$Y$2:$Y$500,0)),"")</f>
        <v/>
      </c>
      <c r="V370" s="4" t="str">
        <f>IFERROR(INDEX(样本到样信息汇总统计!V$2:V$500,MATCH(369,样本到样信息汇总统计!$Y$2:$Y$500,0)),"")</f>
        <v/>
      </c>
      <c r="W370" s="4" t="str">
        <f>IFERROR(INDEX(样本到样信息汇总统计!W$2:W$500,MATCH(369,样本到样信息汇总统计!$Y$2:$Y$500,0)),"")</f>
        <v/>
      </c>
    </row>
    <row r="371" ht="14.5" spans="1:23">
      <c r="A371" s="8" t="str">
        <f>IFERROR(INDEX(样本到样信息汇总统计!A$2:A$500,MATCH(370,样本到样信息汇总统计!$Y$2:$Y$500,0)),"")</f>
        <v/>
      </c>
      <c r="B371" s="8" t="str">
        <f>IFERROR(INDEX(样本到样信息汇总统计!B$2:B$500,MATCH(370,样本到样信息汇总统计!$Y$2:$Y$500,0)),"")</f>
        <v/>
      </c>
      <c r="C371" s="8" t="str">
        <f>IFERROR(INDEX(样本到样信息汇总统计!C$2:C$500,MATCH(370,样本到样信息汇总统计!$Y$2:$Y$500,0)),"")</f>
        <v/>
      </c>
      <c r="D371" s="8" t="str">
        <f>IFERROR(INDEX(样本到样信息汇总统计!D$2:D$500,MATCH(370,样本到样信息汇总统计!$Y$2:$Y$500,0)),"")</f>
        <v/>
      </c>
      <c r="E371" s="8" t="str">
        <f>IFERROR(INDEX(样本到样信息汇总统计!E$2:E$500,MATCH(370,样本到样信息汇总统计!$Y$2:$Y$500,0)),"")</f>
        <v/>
      </c>
      <c r="F371" s="8" t="str">
        <f>IFERROR(INDEX(样本到样信息汇总统计!F$2:F$500,MATCH(370,样本到样信息汇总统计!$Y$2:$Y$500,0)),"")</f>
        <v/>
      </c>
      <c r="G371" s="8" t="str">
        <f>IFERROR(INDEX(样本到样信息汇总统计!G$2:G$500,MATCH(370,样本到样信息汇总统计!$Y$2:$Y$500,0)),"")</f>
        <v/>
      </c>
      <c r="H371" s="8" t="str">
        <f>IFERROR(INDEX(样本到样信息汇总统计!H$2:H$500,MATCH(370,样本到样信息汇总统计!$Y$2:$Y$500,0)),"")</f>
        <v/>
      </c>
      <c r="I371" s="8" t="str">
        <f>IFERROR(INDEX(样本到样信息汇总统计!I$2:I$500,MATCH(370,样本到样信息汇总统计!$Y$2:$Y$500,0)),"")</f>
        <v/>
      </c>
      <c r="J371" s="8" t="str">
        <f>IFERROR(INDEX(样本到样信息汇总统计!J$2:J$500,MATCH(370,样本到样信息汇总统计!$Y$2:$Y$500,0)),"")</f>
        <v/>
      </c>
      <c r="K371" s="8" t="str">
        <f>IFERROR(INDEX(样本到样信息汇总统计!K$2:K$500,MATCH(370,样本到样信息汇总统计!$Y$2:$Y$500,0)),"")</f>
        <v/>
      </c>
      <c r="L371" s="8" t="str">
        <f>IFERROR(INDEX(样本到样信息汇总统计!L$2:L$500,MATCH(370,样本到样信息汇总统计!$Y$2:$Y$500,0)),"")</f>
        <v/>
      </c>
      <c r="M371" s="8" t="str">
        <f>IFERROR(INDEX(样本到样信息汇总统计!M$2:M$500,MATCH(370,样本到样信息汇总统计!$Y$2:$Y$500,0)),"")</f>
        <v/>
      </c>
      <c r="N371" s="8" t="str">
        <f>IFERROR(INDEX(样本到样信息汇总统计!N$2:N$500,MATCH(370,样本到样信息汇总统计!$Y$2:$Y$500,0)),"")</f>
        <v/>
      </c>
      <c r="O371" s="8" t="str">
        <f>IFERROR(INDEX(样本到样信息汇总统计!O$2:O$500,MATCH(370,样本到样信息汇总统计!$Y$2:$Y$500,0)),"")</f>
        <v/>
      </c>
      <c r="P371" s="8" t="str">
        <f>IFERROR(INDEX(样本到样信息汇总统计!P$2:P$500,MATCH(370,样本到样信息汇总统计!$Y$2:$Y$500,0)),"")</f>
        <v/>
      </c>
      <c r="Q371" s="8" t="str">
        <f>IFERROR(INDEX(样本到样信息汇总统计!Q$2:Q$500,MATCH(370,样本到样信息汇总统计!$Y$2:$Y$500,0)),"")</f>
        <v/>
      </c>
      <c r="R371" s="8" t="str">
        <f>IFERROR(INDEX(样本到样信息汇总统计!R$2:R$500,MATCH(370,样本到样信息汇总统计!$Y$2:$Y$500,0)),"")</f>
        <v/>
      </c>
      <c r="S371" s="8" t="str">
        <f>IFERROR(INDEX(样本到样信息汇总统计!S$2:S$500,MATCH(370,样本到样信息汇总统计!$Y$2:$Y$500,0)),"")</f>
        <v/>
      </c>
      <c r="T371" s="8" t="str">
        <f>IFERROR(INDEX(样本到样信息汇总统计!T$2:T$500,MATCH(370,样本到样信息汇总统计!$Y$2:$Y$500,0)),"")</f>
        <v/>
      </c>
      <c r="U371" s="8" t="str">
        <f>IFERROR(INDEX(样本到样信息汇总统计!U$2:U$500,MATCH(370,样本到样信息汇总统计!$Y$2:$Y$500,0)),"")</f>
        <v/>
      </c>
      <c r="V371" s="8" t="str">
        <f>IFERROR(INDEX(样本到样信息汇总统计!V$2:V$500,MATCH(370,样本到样信息汇总统计!$Y$2:$Y$500,0)),"")</f>
        <v/>
      </c>
      <c r="W371" s="8" t="str">
        <f>IFERROR(INDEX(样本到样信息汇总统计!W$2:W$500,MATCH(370,样本到样信息汇总统计!$Y$2:$Y$500,0)),"")</f>
        <v/>
      </c>
    </row>
    <row r="372" ht="14.5" spans="1:23">
      <c r="A372" s="4" t="str">
        <f>IFERROR(INDEX(样本到样信息汇总统计!A$2:A$500,MATCH(371,样本到样信息汇总统计!$Y$2:$Y$500,0)),"")</f>
        <v/>
      </c>
      <c r="B372" s="4" t="str">
        <f>IFERROR(INDEX(样本到样信息汇总统计!B$2:B$500,MATCH(371,样本到样信息汇总统计!$Y$2:$Y$500,0)),"")</f>
        <v/>
      </c>
      <c r="C372" s="4" t="str">
        <f>IFERROR(INDEX(样本到样信息汇总统计!C$2:C$500,MATCH(371,样本到样信息汇总统计!$Y$2:$Y$500,0)),"")</f>
        <v/>
      </c>
      <c r="D372" s="4" t="str">
        <f>IFERROR(INDEX(样本到样信息汇总统计!D$2:D$500,MATCH(371,样本到样信息汇总统计!$Y$2:$Y$500,0)),"")</f>
        <v/>
      </c>
      <c r="E372" s="4" t="str">
        <f>IFERROR(INDEX(样本到样信息汇总统计!E$2:E$500,MATCH(371,样本到样信息汇总统计!$Y$2:$Y$500,0)),"")</f>
        <v/>
      </c>
      <c r="F372" s="4" t="str">
        <f>IFERROR(INDEX(样本到样信息汇总统计!F$2:F$500,MATCH(371,样本到样信息汇总统计!$Y$2:$Y$500,0)),"")</f>
        <v/>
      </c>
      <c r="G372" s="4" t="str">
        <f>IFERROR(INDEX(样本到样信息汇总统计!G$2:G$500,MATCH(371,样本到样信息汇总统计!$Y$2:$Y$500,0)),"")</f>
        <v/>
      </c>
      <c r="H372" s="4" t="str">
        <f>IFERROR(INDEX(样本到样信息汇总统计!H$2:H$500,MATCH(371,样本到样信息汇总统计!$Y$2:$Y$500,0)),"")</f>
        <v/>
      </c>
      <c r="I372" s="4" t="str">
        <f>IFERROR(INDEX(样本到样信息汇总统计!I$2:I$500,MATCH(371,样本到样信息汇总统计!$Y$2:$Y$500,0)),"")</f>
        <v/>
      </c>
      <c r="J372" s="4" t="str">
        <f>IFERROR(INDEX(样本到样信息汇总统计!J$2:J$500,MATCH(371,样本到样信息汇总统计!$Y$2:$Y$500,0)),"")</f>
        <v/>
      </c>
      <c r="K372" s="4" t="str">
        <f>IFERROR(INDEX(样本到样信息汇总统计!K$2:K$500,MATCH(371,样本到样信息汇总统计!$Y$2:$Y$500,0)),"")</f>
        <v/>
      </c>
      <c r="L372" s="4" t="str">
        <f>IFERROR(INDEX(样本到样信息汇总统计!L$2:L$500,MATCH(371,样本到样信息汇总统计!$Y$2:$Y$500,0)),"")</f>
        <v/>
      </c>
      <c r="M372" s="4" t="str">
        <f>IFERROR(INDEX(样本到样信息汇总统计!M$2:M$500,MATCH(371,样本到样信息汇总统计!$Y$2:$Y$500,0)),"")</f>
        <v/>
      </c>
      <c r="N372" s="4" t="str">
        <f>IFERROR(INDEX(样本到样信息汇总统计!N$2:N$500,MATCH(371,样本到样信息汇总统计!$Y$2:$Y$500,0)),"")</f>
        <v/>
      </c>
      <c r="O372" s="4" t="str">
        <f>IFERROR(INDEX(样本到样信息汇总统计!O$2:O$500,MATCH(371,样本到样信息汇总统计!$Y$2:$Y$500,0)),"")</f>
        <v/>
      </c>
      <c r="P372" s="4" t="str">
        <f>IFERROR(INDEX(样本到样信息汇总统计!P$2:P$500,MATCH(371,样本到样信息汇总统计!$Y$2:$Y$500,0)),"")</f>
        <v/>
      </c>
      <c r="Q372" s="4" t="str">
        <f>IFERROR(INDEX(样本到样信息汇总统计!Q$2:Q$500,MATCH(371,样本到样信息汇总统计!$Y$2:$Y$500,0)),"")</f>
        <v/>
      </c>
      <c r="R372" s="4" t="str">
        <f>IFERROR(INDEX(样本到样信息汇总统计!R$2:R$500,MATCH(371,样本到样信息汇总统计!$Y$2:$Y$500,0)),"")</f>
        <v/>
      </c>
      <c r="S372" s="4" t="str">
        <f>IFERROR(INDEX(样本到样信息汇总统计!S$2:S$500,MATCH(371,样本到样信息汇总统计!$Y$2:$Y$500,0)),"")</f>
        <v/>
      </c>
      <c r="T372" s="4" t="str">
        <f>IFERROR(INDEX(样本到样信息汇总统计!T$2:T$500,MATCH(371,样本到样信息汇总统计!$Y$2:$Y$500,0)),"")</f>
        <v/>
      </c>
      <c r="U372" s="4" t="str">
        <f>IFERROR(INDEX(样本到样信息汇总统计!U$2:U$500,MATCH(371,样本到样信息汇总统计!$Y$2:$Y$500,0)),"")</f>
        <v/>
      </c>
      <c r="V372" s="4" t="str">
        <f>IFERROR(INDEX(样本到样信息汇总统计!V$2:V$500,MATCH(371,样本到样信息汇总统计!$Y$2:$Y$500,0)),"")</f>
        <v/>
      </c>
      <c r="W372" s="4" t="str">
        <f>IFERROR(INDEX(样本到样信息汇总统计!W$2:W$500,MATCH(371,样本到样信息汇总统计!$Y$2:$Y$500,0)),"")</f>
        <v/>
      </c>
    </row>
    <row r="373" ht="14.5" spans="1:23">
      <c r="A373" s="8" t="str">
        <f>IFERROR(INDEX(样本到样信息汇总统计!A$2:A$500,MATCH(372,样本到样信息汇总统计!$Y$2:$Y$500,0)),"")</f>
        <v/>
      </c>
      <c r="B373" s="8" t="str">
        <f>IFERROR(INDEX(样本到样信息汇总统计!B$2:B$500,MATCH(372,样本到样信息汇总统计!$Y$2:$Y$500,0)),"")</f>
        <v/>
      </c>
      <c r="C373" s="8" t="str">
        <f>IFERROR(INDEX(样本到样信息汇总统计!C$2:C$500,MATCH(372,样本到样信息汇总统计!$Y$2:$Y$500,0)),"")</f>
        <v/>
      </c>
      <c r="D373" s="8" t="str">
        <f>IFERROR(INDEX(样本到样信息汇总统计!D$2:D$500,MATCH(372,样本到样信息汇总统计!$Y$2:$Y$500,0)),"")</f>
        <v/>
      </c>
      <c r="E373" s="8" t="str">
        <f>IFERROR(INDEX(样本到样信息汇总统计!E$2:E$500,MATCH(372,样本到样信息汇总统计!$Y$2:$Y$500,0)),"")</f>
        <v/>
      </c>
      <c r="F373" s="8" t="str">
        <f>IFERROR(INDEX(样本到样信息汇总统计!F$2:F$500,MATCH(372,样本到样信息汇总统计!$Y$2:$Y$500,0)),"")</f>
        <v/>
      </c>
      <c r="G373" s="8" t="str">
        <f>IFERROR(INDEX(样本到样信息汇总统计!G$2:G$500,MATCH(372,样本到样信息汇总统计!$Y$2:$Y$500,0)),"")</f>
        <v/>
      </c>
      <c r="H373" s="8" t="str">
        <f>IFERROR(INDEX(样本到样信息汇总统计!H$2:H$500,MATCH(372,样本到样信息汇总统计!$Y$2:$Y$500,0)),"")</f>
        <v/>
      </c>
      <c r="I373" s="8" t="str">
        <f>IFERROR(INDEX(样本到样信息汇总统计!I$2:I$500,MATCH(372,样本到样信息汇总统计!$Y$2:$Y$500,0)),"")</f>
        <v/>
      </c>
      <c r="J373" s="8" t="str">
        <f>IFERROR(INDEX(样本到样信息汇总统计!J$2:J$500,MATCH(372,样本到样信息汇总统计!$Y$2:$Y$500,0)),"")</f>
        <v/>
      </c>
      <c r="K373" s="8" t="str">
        <f>IFERROR(INDEX(样本到样信息汇总统计!K$2:K$500,MATCH(372,样本到样信息汇总统计!$Y$2:$Y$500,0)),"")</f>
        <v/>
      </c>
      <c r="L373" s="8" t="str">
        <f>IFERROR(INDEX(样本到样信息汇总统计!L$2:L$500,MATCH(372,样本到样信息汇总统计!$Y$2:$Y$500,0)),"")</f>
        <v/>
      </c>
      <c r="M373" s="8" t="str">
        <f>IFERROR(INDEX(样本到样信息汇总统计!M$2:M$500,MATCH(372,样本到样信息汇总统计!$Y$2:$Y$500,0)),"")</f>
        <v/>
      </c>
      <c r="N373" s="8" t="str">
        <f>IFERROR(INDEX(样本到样信息汇总统计!N$2:N$500,MATCH(372,样本到样信息汇总统计!$Y$2:$Y$500,0)),"")</f>
        <v/>
      </c>
      <c r="O373" s="8" t="str">
        <f>IFERROR(INDEX(样本到样信息汇总统计!O$2:O$500,MATCH(372,样本到样信息汇总统计!$Y$2:$Y$500,0)),"")</f>
        <v/>
      </c>
      <c r="P373" s="8" t="str">
        <f>IFERROR(INDEX(样本到样信息汇总统计!P$2:P$500,MATCH(372,样本到样信息汇总统计!$Y$2:$Y$500,0)),"")</f>
        <v/>
      </c>
      <c r="Q373" s="8" t="str">
        <f>IFERROR(INDEX(样本到样信息汇总统计!Q$2:Q$500,MATCH(372,样本到样信息汇总统计!$Y$2:$Y$500,0)),"")</f>
        <v/>
      </c>
      <c r="R373" s="8" t="str">
        <f>IFERROR(INDEX(样本到样信息汇总统计!R$2:R$500,MATCH(372,样本到样信息汇总统计!$Y$2:$Y$500,0)),"")</f>
        <v/>
      </c>
      <c r="S373" s="8" t="str">
        <f>IFERROR(INDEX(样本到样信息汇总统计!S$2:S$500,MATCH(372,样本到样信息汇总统计!$Y$2:$Y$500,0)),"")</f>
        <v/>
      </c>
      <c r="T373" s="8" t="str">
        <f>IFERROR(INDEX(样本到样信息汇总统计!T$2:T$500,MATCH(372,样本到样信息汇总统计!$Y$2:$Y$500,0)),"")</f>
        <v/>
      </c>
      <c r="U373" s="8" t="str">
        <f>IFERROR(INDEX(样本到样信息汇总统计!U$2:U$500,MATCH(372,样本到样信息汇总统计!$Y$2:$Y$500,0)),"")</f>
        <v/>
      </c>
      <c r="V373" s="8" t="str">
        <f>IFERROR(INDEX(样本到样信息汇总统计!V$2:V$500,MATCH(372,样本到样信息汇总统计!$Y$2:$Y$500,0)),"")</f>
        <v/>
      </c>
      <c r="W373" s="8" t="str">
        <f>IFERROR(INDEX(样本到样信息汇总统计!W$2:W$500,MATCH(372,样本到样信息汇总统计!$Y$2:$Y$500,0)),"")</f>
        <v/>
      </c>
    </row>
    <row r="374" ht="14.5" spans="1:23">
      <c r="A374" s="4" t="str">
        <f>IFERROR(INDEX(样本到样信息汇总统计!A$2:A$500,MATCH(373,样本到样信息汇总统计!$Y$2:$Y$500,0)),"")</f>
        <v/>
      </c>
      <c r="B374" s="4" t="str">
        <f>IFERROR(INDEX(样本到样信息汇总统计!B$2:B$500,MATCH(373,样本到样信息汇总统计!$Y$2:$Y$500,0)),"")</f>
        <v/>
      </c>
      <c r="C374" s="4" t="str">
        <f>IFERROR(INDEX(样本到样信息汇总统计!C$2:C$500,MATCH(373,样本到样信息汇总统计!$Y$2:$Y$500,0)),"")</f>
        <v/>
      </c>
      <c r="D374" s="4" t="str">
        <f>IFERROR(INDEX(样本到样信息汇总统计!D$2:D$500,MATCH(373,样本到样信息汇总统计!$Y$2:$Y$500,0)),"")</f>
        <v/>
      </c>
      <c r="E374" s="4" t="str">
        <f>IFERROR(INDEX(样本到样信息汇总统计!E$2:E$500,MATCH(373,样本到样信息汇总统计!$Y$2:$Y$500,0)),"")</f>
        <v/>
      </c>
      <c r="F374" s="4" t="str">
        <f>IFERROR(INDEX(样本到样信息汇总统计!F$2:F$500,MATCH(373,样本到样信息汇总统计!$Y$2:$Y$500,0)),"")</f>
        <v/>
      </c>
      <c r="G374" s="4" t="str">
        <f>IFERROR(INDEX(样本到样信息汇总统计!G$2:G$500,MATCH(373,样本到样信息汇总统计!$Y$2:$Y$500,0)),"")</f>
        <v/>
      </c>
      <c r="H374" s="4" t="str">
        <f>IFERROR(INDEX(样本到样信息汇总统计!H$2:H$500,MATCH(373,样本到样信息汇总统计!$Y$2:$Y$500,0)),"")</f>
        <v/>
      </c>
      <c r="I374" s="4" t="str">
        <f>IFERROR(INDEX(样本到样信息汇总统计!I$2:I$500,MATCH(373,样本到样信息汇总统计!$Y$2:$Y$500,0)),"")</f>
        <v/>
      </c>
      <c r="J374" s="4" t="str">
        <f>IFERROR(INDEX(样本到样信息汇总统计!J$2:J$500,MATCH(373,样本到样信息汇总统计!$Y$2:$Y$500,0)),"")</f>
        <v/>
      </c>
      <c r="K374" s="4" t="str">
        <f>IFERROR(INDEX(样本到样信息汇总统计!K$2:K$500,MATCH(373,样本到样信息汇总统计!$Y$2:$Y$500,0)),"")</f>
        <v/>
      </c>
      <c r="L374" s="4" t="str">
        <f>IFERROR(INDEX(样本到样信息汇总统计!L$2:L$500,MATCH(373,样本到样信息汇总统计!$Y$2:$Y$500,0)),"")</f>
        <v/>
      </c>
      <c r="M374" s="4" t="str">
        <f>IFERROR(INDEX(样本到样信息汇总统计!M$2:M$500,MATCH(373,样本到样信息汇总统计!$Y$2:$Y$500,0)),"")</f>
        <v/>
      </c>
      <c r="N374" s="4" t="str">
        <f>IFERROR(INDEX(样本到样信息汇总统计!N$2:N$500,MATCH(373,样本到样信息汇总统计!$Y$2:$Y$500,0)),"")</f>
        <v/>
      </c>
      <c r="O374" s="4" t="str">
        <f>IFERROR(INDEX(样本到样信息汇总统计!O$2:O$500,MATCH(373,样本到样信息汇总统计!$Y$2:$Y$500,0)),"")</f>
        <v/>
      </c>
      <c r="P374" s="4" t="str">
        <f>IFERROR(INDEX(样本到样信息汇总统计!P$2:P$500,MATCH(373,样本到样信息汇总统计!$Y$2:$Y$500,0)),"")</f>
        <v/>
      </c>
      <c r="Q374" s="4" t="str">
        <f>IFERROR(INDEX(样本到样信息汇总统计!Q$2:Q$500,MATCH(373,样本到样信息汇总统计!$Y$2:$Y$500,0)),"")</f>
        <v/>
      </c>
      <c r="R374" s="4" t="str">
        <f>IFERROR(INDEX(样本到样信息汇总统计!R$2:R$500,MATCH(373,样本到样信息汇总统计!$Y$2:$Y$500,0)),"")</f>
        <v/>
      </c>
      <c r="S374" s="4" t="str">
        <f>IFERROR(INDEX(样本到样信息汇总统计!S$2:S$500,MATCH(373,样本到样信息汇总统计!$Y$2:$Y$500,0)),"")</f>
        <v/>
      </c>
      <c r="T374" s="4" t="str">
        <f>IFERROR(INDEX(样本到样信息汇总统计!T$2:T$500,MATCH(373,样本到样信息汇总统计!$Y$2:$Y$500,0)),"")</f>
        <v/>
      </c>
      <c r="U374" s="4" t="str">
        <f>IFERROR(INDEX(样本到样信息汇总统计!U$2:U$500,MATCH(373,样本到样信息汇总统计!$Y$2:$Y$500,0)),"")</f>
        <v/>
      </c>
      <c r="V374" s="4" t="str">
        <f>IFERROR(INDEX(样本到样信息汇总统计!V$2:V$500,MATCH(373,样本到样信息汇总统计!$Y$2:$Y$500,0)),"")</f>
        <v/>
      </c>
      <c r="W374" s="4" t="str">
        <f>IFERROR(INDEX(样本到样信息汇总统计!W$2:W$500,MATCH(373,样本到样信息汇总统计!$Y$2:$Y$500,0)),"")</f>
        <v/>
      </c>
    </row>
    <row r="375" ht="14.5" spans="1:23">
      <c r="A375" s="8" t="str">
        <f>IFERROR(INDEX(样本到样信息汇总统计!A$2:A$500,MATCH(374,样本到样信息汇总统计!$Y$2:$Y$500,0)),"")</f>
        <v/>
      </c>
      <c r="B375" s="8" t="str">
        <f>IFERROR(INDEX(样本到样信息汇总统计!B$2:B$500,MATCH(374,样本到样信息汇总统计!$Y$2:$Y$500,0)),"")</f>
        <v/>
      </c>
      <c r="C375" s="8" t="str">
        <f>IFERROR(INDEX(样本到样信息汇总统计!C$2:C$500,MATCH(374,样本到样信息汇总统计!$Y$2:$Y$500,0)),"")</f>
        <v/>
      </c>
      <c r="D375" s="8" t="str">
        <f>IFERROR(INDEX(样本到样信息汇总统计!D$2:D$500,MATCH(374,样本到样信息汇总统计!$Y$2:$Y$500,0)),"")</f>
        <v/>
      </c>
      <c r="E375" s="8" t="str">
        <f>IFERROR(INDEX(样本到样信息汇总统计!E$2:E$500,MATCH(374,样本到样信息汇总统计!$Y$2:$Y$500,0)),"")</f>
        <v/>
      </c>
      <c r="F375" s="8" t="str">
        <f>IFERROR(INDEX(样本到样信息汇总统计!F$2:F$500,MATCH(374,样本到样信息汇总统计!$Y$2:$Y$500,0)),"")</f>
        <v/>
      </c>
      <c r="G375" s="8" t="str">
        <f>IFERROR(INDEX(样本到样信息汇总统计!G$2:G$500,MATCH(374,样本到样信息汇总统计!$Y$2:$Y$500,0)),"")</f>
        <v/>
      </c>
      <c r="H375" s="8" t="str">
        <f>IFERROR(INDEX(样本到样信息汇总统计!H$2:H$500,MATCH(374,样本到样信息汇总统计!$Y$2:$Y$500,0)),"")</f>
        <v/>
      </c>
      <c r="I375" s="8" t="str">
        <f>IFERROR(INDEX(样本到样信息汇总统计!I$2:I$500,MATCH(374,样本到样信息汇总统计!$Y$2:$Y$500,0)),"")</f>
        <v/>
      </c>
      <c r="J375" s="8" t="str">
        <f>IFERROR(INDEX(样本到样信息汇总统计!J$2:J$500,MATCH(374,样本到样信息汇总统计!$Y$2:$Y$500,0)),"")</f>
        <v/>
      </c>
      <c r="K375" s="8" t="str">
        <f>IFERROR(INDEX(样本到样信息汇总统计!K$2:K$500,MATCH(374,样本到样信息汇总统计!$Y$2:$Y$500,0)),"")</f>
        <v/>
      </c>
      <c r="L375" s="8" t="str">
        <f>IFERROR(INDEX(样本到样信息汇总统计!L$2:L$500,MATCH(374,样本到样信息汇总统计!$Y$2:$Y$500,0)),"")</f>
        <v/>
      </c>
      <c r="M375" s="8" t="str">
        <f>IFERROR(INDEX(样本到样信息汇总统计!M$2:M$500,MATCH(374,样本到样信息汇总统计!$Y$2:$Y$500,0)),"")</f>
        <v/>
      </c>
      <c r="N375" s="8" t="str">
        <f>IFERROR(INDEX(样本到样信息汇总统计!N$2:N$500,MATCH(374,样本到样信息汇总统计!$Y$2:$Y$500,0)),"")</f>
        <v/>
      </c>
      <c r="O375" s="8" t="str">
        <f>IFERROR(INDEX(样本到样信息汇总统计!O$2:O$500,MATCH(374,样本到样信息汇总统计!$Y$2:$Y$500,0)),"")</f>
        <v/>
      </c>
      <c r="P375" s="8" t="str">
        <f>IFERROR(INDEX(样本到样信息汇总统计!P$2:P$500,MATCH(374,样本到样信息汇总统计!$Y$2:$Y$500,0)),"")</f>
        <v/>
      </c>
      <c r="Q375" s="8" t="str">
        <f>IFERROR(INDEX(样本到样信息汇总统计!Q$2:Q$500,MATCH(374,样本到样信息汇总统计!$Y$2:$Y$500,0)),"")</f>
        <v/>
      </c>
      <c r="R375" s="8" t="str">
        <f>IFERROR(INDEX(样本到样信息汇总统计!R$2:R$500,MATCH(374,样本到样信息汇总统计!$Y$2:$Y$500,0)),"")</f>
        <v/>
      </c>
      <c r="S375" s="8" t="str">
        <f>IFERROR(INDEX(样本到样信息汇总统计!S$2:S$500,MATCH(374,样本到样信息汇总统计!$Y$2:$Y$500,0)),"")</f>
        <v/>
      </c>
      <c r="T375" s="8" t="str">
        <f>IFERROR(INDEX(样本到样信息汇总统计!T$2:T$500,MATCH(374,样本到样信息汇总统计!$Y$2:$Y$500,0)),"")</f>
        <v/>
      </c>
      <c r="U375" s="8" t="str">
        <f>IFERROR(INDEX(样本到样信息汇总统计!U$2:U$500,MATCH(374,样本到样信息汇总统计!$Y$2:$Y$500,0)),"")</f>
        <v/>
      </c>
      <c r="V375" s="8" t="str">
        <f>IFERROR(INDEX(样本到样信息汇总统计!V$2:V$500,MATCH(374,样本到样信息汇总统计!$Y$2:$Y$500,0)),"")</f>
        <v/>
      </c>
      <c r="W375" s="8" t="str">
        <f>IFERROR(INDEX(样本到样信息汇总统计!W$2:W$500,MATCH(374,样本到样信息汇总统计!$Y$2:$Y$500,0)),"")</f>
        <v/>
      </c>
    </row>
    <row r="376" ht="14.5" spans="1:23">
      <c r="A376" s="4" t="str">
        <f>IFERROR(INDEX(样本到样信息汇总统计!A$2:A$500,MATCH(375,样本到样信息汇总统计!$Y$2:$Y$500,0)),"")</f>
        <v/>
      </c>
      <c r="B376" s="4" t="str">
        <f>IFERROR(INDEX(样本到样信息汇总统计!B$2:B$500,MATCH(375,样本到样信息汇总统计!$Y$2:$Y$500,0)),"")</f>
        <v/>
      </c>
      <c r="C376" s="4" t="str">
        <f>IFERROR(INDEX(样本到样信息汇总统计!C$2:C$500,MATCH(375,样本到样信息汇总统计!$Y$2:$Y$500,0)),"")</f>
        <v/>
      </c>
      <c r="D376" s="4" t="str">
        <f>IFERROR(INDEX(样本到样信息汇总统计!D$2:D$500,MATCH(375,样本到样信息汇总统计!$Y$2:$Y$500,0)),"")</f>
        <v/>
      </c>
      <c r="E376" s="4" t="str">
        <f>IFERROR(INDEX(样本到样信息汇总统计!E$2:E$500,MATCH(375,样本到样信息汇总统计!$Y$2:$Y$500,0)),"")</f>
        <v/>
      </c>
      <c r="F376" s="4" t="str">
        <f>IFERROR(INDEX(样本到样信息汇总统计!F$2:F$500,MATCH(375,样本到样信息汇总统计!$Y$2:$Y$500,0)),"")</f>
        <v/>
      </c>
      <c r="G376" s="4" t="str">
        <f>IFERROR(INDEX(样本到样信息汇总统计!G$2:G$500,MATCH(375,样本到样信息汇总统计!$Y$2:$Y$500,0)),"")</f>
        <v/>
      </c>
      <c r="H376" s="4" t="str">
        <f>IFERROR(INDEX(样本到样信息汇总统计!H$2:H$500,MATCH(375,样本到样信息汇总统计!$Y$2:$Y$500,0)),"")</f>
        <v/>
      </c>
      <c r="I376" s="4" t="str">
        <f>IFERROR(INDEX(样本到样信息汇总统计!I$2:I$500,MATCH(375,样本到样信息汇总统计!$Y$2:$Y$500,0)),"")</f>
        <v/>
      </c>
      <c r="J376" s="4" t="str">
        <f>IFERROR(INDEX(样本到样信息汇总统计!J$2:J$500,MATCH(375,样本到样信息汇总统计!$Y$2:$Y$500,0)),"")</f>
        <v/>
      </c>
      <c r="K376" s="4" t="str">
        <f>IFERROR(INDEX(样本到样信息汇总统计!K$2:K$500,MATCH(375,样本到样信息汇总统计!$Y$2:$Y$500,0)),"")</f>
        <v/>
      </c>
      <c r="L376" s="4" t="str">
        <f>IFERROR(INDEX(样本到样信息汇总统计!L$2:L$500,MATCH(375,样本到样信息汇总统计!$Y$2:$Y$500,0)),"")</f>
        <v/>
      </c>
      <c r="M376" s="4" t="str">
        <f>IFERROR(INDEX(样本到样信息汇总统计!M$2:M$500,MATCH(375,样本到样信息汇总统计!$Y$2:$Y$500,0)),"")</f>
        <v/>
      </c>
      <c r="N376" s="4" t="str">
        <f>IFERROR(INDEX(样本到样信息汇总统计!N$2:N$500,MATCH(375,样本到样信息汇总统计!$Y$2:$Y$500,0)),"")</f>
        <v/>
      </c>
      <c r="O376" s="4" t="str">
        <f>IFERROR(INDEX(样本到样信息汇总统计!O$2:O$500,MATCH(375,样本到样信息汇总统计!$Y$2:$Y$500,0)),"")</f>
        <v/>
      </c>
      <c r="P376" s="4" t="str">
        <f>IFERROR(INDEX(样本到样信息汇总统计!P$2:P$500,MATCH(375,样本到样信息汇总统计!$Y$2:$Y$500,0)),"")</f>
        <v/>
      </c>
      <c r="Q376" s="4" t="str">
        <f>IFERROR(INDEX(样本到样信息汇总统计!Q$2:Q$500,MATCH(375,样本到样信息汇总统计!$Y$2:$Y$500,0)),"")</f>
        <v/>
      </c>
      <c r="R376" s="4" t="str">
        <f>IFERROR(INDEX(样本到样信息汇总统计!R$2:R$500,MATCH(375,样本到样信息汇总统计!$Y$2:$Y$500,0)),"")</f>
        <v/>
      </c>
      <c r="S376" s="4" t="str">
        <f>IFERROR(INDEX(样本到样信息汇总统计!S$2:S$500,MATCH(375,样本到样信息汇总统计!$Y$2:$Y$500,0)),"")</f>
        <v/>
      </c>
      <c r="T376" s="4" t="str">
        <f>IFERROR(INDEX(样本到样信息汇总统计!T$2:T$500,MATCH(375,样本到样信息汇总统计!$Y$2:$Y$500,0)),"")</f>
        <v/>
      </c>
      <c r="U376" s="4" t="str">
        <f>IFERROR(INDEX(样本到样信息汇总统计!U$2:U$500,MATCH(375,样本到样信息汇总统计!$Y$2:$Y$500,0)),"")</f>
        <v/>
      </c>
      <c r="V376" s="4" t="str">
        <f>IFERROR(INDEX(样本到样信息汇总统计!V$2:V$500,MATCH(375,样本到样信息汇总统计!$Y$2:$Y$500,0)),"")</f>
        <v/>
      </c>
      <c r="W376" s="4" t="str">
        <f>IFERROR(INDEX(样本到样信息汇总统计!W$2:W$500,MATCH(375,样本到样信息汇总统计!$Y$2:$Y$500,0)),"")</f>
        <v/>
      </c>
    </row>
    <row r="377" ht="14.5" spans="1:23">
      <c r="A377" s="8" t="str">
        <f>IFERROR(INDEX(样本到样信息汇总统计!A$2:A$500,MATCH(376,样本到样信息汇总统计!$Y$2:$Y$500,0)),"")</f>
        <v/>
      </c>
      <c r="B377" s="8" t="str">
        <f>IFERROR(INDEX(样本到样信息汇总统计!B$2:B$500,MATCH(376,样本到样信息汇总统计!$Y$2:$Y$500,0)),"")</f>
        <v/>
      </c>
      <c r="C377" s="8" t="str">
        <f>IFERROR(INDEX(样本到样信息汇总统计!C$2:C$500,MATCH(376,样本到样信息汇总统计!$Y$2:$Y$500,0)),"")</f>
        <v/>
      </c>
      <c r="D377" s="8" t="str">
        <f>IFERROR(INDEX(样本到样信息汇总统计!D$2:D$500,MATCH(376,样本到样信息汇总统计!$Y$2:$Y$500,0)),"")</f>
        <v/>
      </c>
      <c r="E377" s="8" t="str">
        <f>IFERROR(INDEX(样本到样信息汇总统计!E$2:E$500,MATCH(376,样本到样信息汇总统计!$Y$2:$Y$500,0)),"")</f>
        <v/>
      </c>
      <c r="F377" s="8" t="str">
        <f>IFERROR(INDEX(样本到样信息汇总统计!F$2:F$500,MATCH(376,样本到样信息汇总统计!$Y$2:$Y$500,0)),"")</f>
        <v/>
      </c>
      <c r="G377" s="8" t="str">
        <f>IFERROR(INDEX(样本到样信息汇总统计!G$2:G$500,MATCH(376,样本到样信息汇总统计!$Y$2:$Y$500,0)),"")</f>
        <v/>
      </c>
      <c r="H377" s="8" t="str">
        <f>IFERROR(INDEX(样本到样信息汇总统计!H$2:H$500,MATCH(376,样本到样信息汇总统计!$Y$2:$Y$500,0)),"")</f>
        <v/>
      </c>
      <c r="I377" s="8" t="str">
        <f>IFERROR(INDEX(样本到样信息汇总统计!I$2:I$500,MATCH(376,样本到样信息汇总统计!$Y$2:$Y$500,0)),"")</f>
        <v/>
      </c>
      <c r="J377" s="8" t="str">
        <f>IFERROR(INDEX(样本到样信息汇总统计!J$2:J$500,MATCH(376,样本到样信息汇总统计!$Y$2:$Y$500,0)),"")</f>
        <v/>
      </c>
      <c r="K377" s="8" t="str">
        <f>IFERROR(INDEX(样本到样信息汇总统计!K$2:K$500,MATCH(376,样本到样信息汇总统计!$Y$2:$Y$500,0)),"")</f>
        <v/>
      </c>
      <c r="L377" s="8" t="str">
        <f>IFERROR(INDEX(样本到样信息汇总统计!L$2:L$500,MATCH(376,样本到样信息汇总统计!$Y$2:$Y$500,0)),"")</f>
        <v/>
      </c>
      <c r="M377" s="8" t="str">
        <f>IFERROR(INDEX(样本到样信息汇总统计!M$2:M$500,MATCH(376,样本到样信息汇总统计!$Y$2:$Y$500,0)),"")</f>
        <v/>
      </c>
      <c r="N377" s="8" t="str">
        <f>IFERROR(INDEX(样本到样信息汇总统计!N$2:N$500,MATCH(376,样本到样信息汇总统计!$Y$2:$Y$500,0)),"")</f>
        <v/>
      </c>
      <c r="O377" s="8" t="str">
        <f>IFERROR(INDEX(样本到样信息汇总统计!O$2:O$500,MATCH(376,样本到样信息汇总统计!$Y$2:$Y$500,0)),"")</f>
        <v/>
      </c>
      <c r="P377" s="8" t="str">
        <f>IFERROR(INDEX(样本到样信息汇总统计!P$2:P$500,MATCH(376,样本到样信息汇总统计!$Y$2:$Y$500,0)),"")</f>
        <v/>
      </c>
      <c r="Q377" s="8" t="str">
        <f>IFERROR(INDEX(样本到样信息汇总统计!Q$2:Q$500,MATCH(376,样本到样信息汇总统计!$Y$2:$Y$500,0)),"")</f>
        <v/>
      </c>
      <c r="R377" s="8" t="str">
        <f>IFERROR(INDEX(样本到样信息汇总统计!R$2:R$500,MATCH(376,样本到样信息汇总统计!$Y$2:$Y$500,0)),"")</f>
        <v/>
      </c>
      <c r="S377" s="8" t="str">
        <f>IFERROR(INDEX(样本到样信息汇总统计!S$2:S$500,MATCH(376,样本到样信息汇总统计!$Y$2:$Y$500,0)),"")</f>
        <v/>
      </c>
      <c r="T377" s="8" t="str">
        <f>IFERROR(INDEX(样本到样信息汇总统计!T$2:T$500,MATCH(376,样本到样信息汇总统计!$Y$2:$Y$500,0)),"")</f>
        <v/>
      </c>
      <c r="U377" s="8" t="str">
        <f>IFERROR(INDEX(样本到样信息汇总统计!U$2:U$500,MATCH(376,样本到样信息汇总统计!$Y$2:$Y$500,0)),"")</f>
        <v/>
      </c>
      <c r="V377" s="8" t="str">
        <f>IFERROR(INDEX(样本到样信息汇总统计!V$2:V$500,MATCH(376,样本到样信息汇总统计!$Y$2:$Y$500,0)),"")</f>
        <v/>
      </c>
      <c r="W377" s="8" t="str">
        <f>IFERROR(INDEX(样本到样信息汇总统计!W$2:W$500,MATCH(376,样本到样信息汇总统计!$Y$2:$Y$500,0)),"")</f>
        <v/>
      </c>
    </row>
    <row r="378" ht="14.5" spans="1:23">
      <c r="A378" s="4" t="str">
        <f>IFERROR(INDEX(样本到样信息汇总统计!A$2:A$500,MATCH(377,样本到样信息汇总统计!$Y$2:$Y$500,0)),"")</f>
        <v/>
      </c>
      <c r="B378" s="4" t="str">
        <f>IFERROR(INDEX(样本到样信息汇总统计!B$2:B$500,MATCH(377,样本到样信息汇总统计!$Y$2:$Y$500,0)),"")</f>
        <v/>
      </c>
      <c r="C378" s="4" t="str">
        <f>IFERROR(INDEX(样本到样信息汇总统计!C$2:C$500,MATCH(377,样本到样信息汇总统计!$Y$2:$Y$500,0)),"")</f>
        <v/>
      </c>
      <c r="D378" s="4" t="str">
        <f>IFERROR(INDEX(样本到样信息汇总统计!D$2:D$500,MATCH(377,样本到样信息汇总统计!$Y$2:$Y$500,0)),"")</f>
        <v/>
      </c>
      <c r="E378" s="4" t="str">
        <f>IFERROR(INDEX(样本到样信息汇总统计!E$2:E$500,MATCH(377,样本到样信息汇总统计!$Y$2:$Y$500,0)),"")</f>
        <v/>
      </c>
      <c r="F378" s="4" t="str">
        <f>IFERROR(INDEX(样本到样信息汇总统计!F$2:F$500,MATCH(377,样本到样信息汇总统计!$Y$2:$Y$500,0)),"")</f>
        <v/>
      </c>
      <c r="G378" s="4" t="str">
        <f>IFERROR(INDEX(样本到样信息汇总统计!G$2:G$500,MATCH(377,样本到样信息汇总统计!$Y$2:$Y$500,0)),"")</f>
        <v/>
      </c>
      <c r="H378" s="4" t="str">
        <f>IFERROR(INDEX(样本到样信息汇总统计!H$2:H$500,MATCH(377,样本到样信息汇总统计!$Y$2:$Y$500,0)),"")</f>
        <v/>
      </c>
      <c r="I378" s="4" t="str">
        <f>IFERROR(INDEX(样本到样信息汇总统计!I$2:I$500,MATCH(377,样本到样信息汇总统计!$Y$2:$Y$500,0)),"")</f>
        <v/>
      </c>
      <c r="J378" s="4" t="str">
        <f>IFERROR(INDEX(样本到样信息汇总统计!J$2:J$500,MATCH(377,样本到样信息汇总统计!$Y$2:$Y$500,0)),"")</f>
        <v/>
      </c>
      <c r="K378" s="4" t="str">
        <f>IFERROR(INDEX(样本到样信息汇总统计!K$2:K$500,MATCH(377,样本到样信息汇总统计!$Y$2:$Y$500,0)),"")</f>
        <v/>
      </c>
      <c r="L378" s="4" t="str">
        <f>IFERROR(INDEX(样本到样信息汇总统计!L$2:L$500,MATCH(377,样本到样信息汇总统计!$Y$2:$Y$500,0)),"")</f>
        <v/>
      </c>
      <c r="M378" s="4" t="str">
        <f>IFERROR(INDEX(样本到样信息汇总统计!M$2:M$500,MATCH(377,样本到样信息汇总统计!$Y$2:$Y$500,0)),"")</f>
        <v/>
      </c>
      <c r="N378" s="4" t="str">
        <f>IFERROR(INDEX(样本到样信息汇总统计!N$2:N$500,MATCH(377,样本到样信息汇总统计!$Y$2:$Y$500,0)),"")</f>
        <v/>
      </c>
      <c r="O378" s="4" t="str">
        <f>IFERROR(INDEX(样本到样信息汇总统计!O$2:O$500,MATCH(377,样本到样信息汇总统计!$Y$2:$Y$500,0)),"")</f>
        <v/>
      </c>
      <c r="P378" s="4" t="str">
        <f>IFERROR(INDEX(样本到样信息汇总统计!P$2:P$500,MATCH(377,样本到样信息汇总统计!$Y$2:$Y$500,0)),"")</f>
        <v/>
      </c>
      <c r="Q378" s="4" t="str">
        <f>IFERROR(INDEX(样本到样信息汇总统计!Q$2:Q$500,MATCH(377,样本到样信息汇总统计!$Y$2:$Y$500,0)),"")</f>
        <v/>
      </c>
      <c r="R378" s="4" t="str">
        <f>IFERROR(INDEX(样本到样信息汇总统计!R$2:R$500,MATCH(377,样本到样信息汇总统计!$Y$2:$Y$500,0)),"")</f>
        <v/>
      </c>
      <c r="S378" s="4" t="str">
        <f>IFERROR(INDEX(样本到样信息汇总统计!S$2:S$500,MATCH(377,样本到样信息汇总统计!$Y$2:$Y$500,0)),"")</f>
        <v/>
      </c>
      <c r="T378" s="4" t="str">
        <f>IFERROR(INDEX(样本到样信息汇总统计!T$2:T$500,MATCH(377,样本到样信息汇总统计!$Y$2:$Y$500,0)),"")</f>
        <v/>
      </c>
      <c r="U378" s="4" t="str">
        <f>IFERROR(INDEX(样本到样信息汇总统计!U$2:U$500,MATCH(377,样本到样信息汇总统计!$Y$2:$Y$500,0)),"")</f>
        <v/>
      </c>
      <c r="V378" s="4" t="str">
        <f>IFERROR(INDEX(样本到样信息汇总统计!V$2:V$500,MATCH(377,样本到样信息汇总统计!$Y$2:$Y$500,0)),"")</f>
        <v/>
      </c>
      <c r="W378" s="4" t="str">
        <f>IFERROR(INDEX(样本到样信息汇总统计!W$2:W$500,MATCH(377,样本到样信息汇总统计!$Y$2:$Y$500,0)),"")</f>
        <v/>
      </c>
    </row>
    <row r="379" ht="14.5" spans="1:23">
      <c r="A379" s="8" t="str">
        <f>IFERROR(INDEX(样本到样信息汇总统计!A$2:A$500,MATCH(378,样本到样信息汇总统计!$Y$2:$Y$500,0)),"")</f>
        <v/>
      </c>
      <c r="B379" s="8" t="str">
        <f>IFERROR(INDEX(样本到样信息汇总统计!B$2:B$500,MATCH(378,样本到样信息汇总统计!$Y$2:$Y$500,0)),"")</f>
        <v/>
      </c>
      <c r="C379" s="8" t="str">
        <f>IFERROR(INDEX(样本到样信息汇总统计!C$2:C$500,MATCH(378,样本到样信息汇总统计!$Y$2:$Y$500,0)),"")</f>
        <v/>
      </c>
      <c r="D379" s="8" t="str">
        <f>IFERROR(INDEX(样本到样信息汇总统计!D$2:D$500,MATCH(378,样本到样信息汇总统计!$Y$2:$Y$500,0)),"")</f>
        <v/>
      </c>
      <c r="E379" s="8" t="str">
        <f>IFERROR(INDEX(样本到样信息汇总统计!E$2:E$500,MATCH(378,样本到样信息汇总统计!$Y$2:$Y$500,0)),"")</f>
        <v/>
      </c>
      <c r="F379" s="8" t="str">
        <f>IFERROR(INDEX(样本到样信息汇总统计!F$2:F$500,MATCH(378,样本到样信息汇总统计!$Y$2:$Y$500,0)),"")</f>
        <v/>
      </c>
      <c r="G379" s="8" t="str">
        <f>IFERROR(INDEX(样本到样信息汇总统计!G$2:G$500,MATCH(378,样本到样信息汇总统计!$Y$2:$Y$500,0)),"")</f>
        <v/>
      </c>
      <c r="H379" s="8" t="str">
        <f>IFERROR(INDEX(样本到样信息汇总统计!H$2:H$500,MATCH(378,样本到样信息汇总统计!$Y$2:$Y$500,0)),"")</f>
        <v/>
      </c>
      <c r="I379" s="8" t="str">
        <f>IFERROR(INDEX(样本到样信息汇总统计!I$2:I$500,MATCH(378,样本到样信息汇总统计!$Y$2:$Y$500,0)),"")</f>
        <v/>
      </c>
      <c r="J379" s="8" t="str">
        <f>IFERROR(INDEX(样本到样信息汇总统计!J$2:J$500,MATCH(378,样本到样信息汇总统计!$Y$2:$Y$500,0)),"")</f>
        <v/>
      </c>
      <c r="K379" s="8" t="str">
        <f>IFERROR(INDEX(样本到样信息汇总统计!K$2:K$500,MATCH(378,样本到样信息汇总统计!$Y$2:$Y$500,0)),"")</f>
        <v/>
      </c>
      <c r="L379" s="8" t="str">
        <f>IFERROR(INDEX(样本到样信息汇总统计!L$2:L$500,MATCH(378,样本到样信息汇总统计!$Y$2:$Y$500,0)),"")</f>
        <v/>
      </c>
      <c r="M379" s="8" t="str">
        <f>IFERROR(INDEX(样本到样信息汇总统计!M$2:M$500,MATCH(378,样本到样信息汇总统计!$Y$2:$Y$500,0)),"")</f>
        <v/>
      </c>
      <c r="N379" s="8" t="str">
        <f>IFERROR(INDEX(样本到样信息汇总统计!N$2:N$500,MATCH(378,样本到样信息汇总统计!$Y$2:$Y$500,0)),"")</f>
        <v/>
      </c>
      <c r="O379" s="8" t="str">
        <f>IFERROR(INDEX(样本到样信息汇总统计!O$2:O$500,MATCH(378,样本到样信息汇总统计!$Y$2:$Y$500,0)),"")</f>
        <v/>
      </c>
      <c r="P379" s="8" t="str">
        <f>IFERROR(INDEX(样本到样信息汇总统计!P$2:P$500,MATCH(378,样本到样信息汇总统计!$Y$2:$Y$500,0)),"")</f>
        <v/>
      </c>
      <c r="Q379" s="8" t="str">
        <f>IFERROR(INDEX(样本到样信息汇总统计!Q$2:Q$500,MATCH(378,样本到样信息汇总统计!$Y$2:$Y$500,0)),"")</f>
        <v/>
      </c>
      <c r="R379" s="8" t="str">
        <f>IFERROR(INDEX(样本到样信息汇总统计!R$2:R$500,MATCH(378,样本到样信息汇总统计!$Y$2:$Y$500,0)),"")</f>
        <v/>
      </c>
      <c r="S379" s="8" t="str">
        <f>IFERROR(INDEX(样本到样信息汇总统计!S$2:S$500,MATCH(378,样本到样信息汇总统计!$Y$2:$Y$500,0)),"")</f>
        <v/>
      </c>
      <c r="T379" s="8" t="str">
        <f>IFERROR(INDEX(样本到样信息汇总统计!T$2:T$500,MATCH(378,样本到样信息汇总统计!$Y$2:$Y$500,0)),"")</f>
        <v/>
      </c>
      <c r="U379" s="8" t="str">
        <f>IFERROR(INDEX(样本到样信息汇总统计!U$2:U$500,MATCH(378,样本到样信息汇总统计!$Y$2:$Y$500,0)),"")</f>
        <v/>
      </c>
      <c r="V379" s="8" t="str">
        <f>IFERROR(INDEX(样本到样信息汇总统计!V$2:V$500,MATCH(378,样本到样信息汇总统计!$Y$2:$Y$500,0)),"")</f>
        <v/>
      </c>
      <c r="W379" s="8" t="str">
        <f>IFERROR(INDEX(样本到样信息汇总统计!W$2:W$500,MATCH(378,样本到样信息汇总统计!$Y$2:$Y$500,0)),"")</f>
        <v/>
      </c>
    </row>
    <row r="380" ht="14.5" spans="1:23">
      <c r="A380" s="4" t="str">
        <f>IFERROR(INDEX(样本到样信息汇总统计!A$2:A$500,MATCH(379,样本到样信息汇总统计!$Y$2:$Y$500,0)),"")</f>
        <v/>
      </c>
      <c r="B380" s="4" t="str">
        <f>IFERROR(INDEX(样本到样信息汇总统计!B$2:B$500,MATCH(379,样本到样信息汇总统计!$Y$2:$Y$500,0)),"")</f>
        <v/>
      </c>
      <c r="C380" s="4" t="str">
        <f>IFERROR(INDEX(样本到样信息汇总统计!C$2:C$500,MATCH(379,样本到样信息汇总统计!$Y$2:$Y$500,0)),"")</f>
        <v/>
      </c>
      <c r="D380" s="4" t="str">
        <f>IFERROR(INDEX(样本到样信息汇总统计!D$2:D$500,MATCH(379,样本到样信息汇总统计!$Y$2:$Y$500,0)),"")</f>
        <v/>
      </c>
      <c r="E380" s="4" t="str">
        <f>IFERROR(INDEX(样本到样信息汇总统计!E$2:E$500,MATCH(379,样本到样信息汇总统计!$Y$2:$Y$500,0)),"")</f>
        <v/>
      </c>
      <c r="F380" s="4" t="str">
        <f>IFERROR(INDEX(样本到样信息汇总统计!F$2:F$500,MATCH(379,样本到样信息汇总统计!$Y$2:$Y$500,0)),"")</f>
        <v/>
      </c>
      <c r="G380" s="4" t="str">
        <f>IFERROR(INDEX(样本到样信息汇总统计!G$2:G$500,MATCH(379,样本到样信息汇总统计!$Y$2:$Y$500,0)),"")</f>
        <v/>
      </c>
      <c r="H380" s="4" t="str">
        <f>IFERROR(INDEX(样本到样信息汇总统计!H$2:H$500,MATCH(379,样本到样信息汇总统计!$Y$2:$Y$500,0)),"")</f>
        <v/>
      </c>
      <c r="I380" s="4" t="str">
        <f>IFERROR(INDEX(样本到样信息汇总统计!I$2:I$500,MATCH(379,样本到样信息汇总统计!$Y$2:$Y$500,0)),"")</f>
        <v/>
      </c>
      <c r="J380" s="4" t="str">
        <f>IFERROR(INDEX(样本到样信息汇总统计!J$2:J$500,MATCH(379,样本到样信息汇总统计!$Y$2:$Y$500,0)),"")</f>
        <v/>
      </c>
      <c r="K380" s="4" t="str">
        <f>IFERROR(INDEX(样本到样信息汇总统计!K$2:K$500,MATCH(379,样本到样信息汇总统计!$Y$2:$Y$500,0)),"")</f>
        <v/>
      </c>
      <c r="L380" s="4" t="str">
        <f>IFERROR(INDEX(样本到样信息汇总统计!L$2:L$500,MATCH(379,样本到样信息汇总统计!$Y$2:$Y$500,0)),"")</f>
        <v/>
      </c>
      <c r="M380" s="4" t="str">
        <f>IFERROR(INDEX(样本到样信息汇总统计!M$2:M$500,MATCH(379,样本到样信息汇总统计!$Y$2:$Y$500,0)),"")</f>
        <v/>
      </c>
      <c r="N380" s="4" t="str">
        <f>IFERROR(INDEX(样本到样信息汇总统计!N$2:N$500,MATCH(379,样本到样信息汇总统计!$Y$2:$Y$500,0)),"")</f>
        <v/>
      </c>
      <c r="O380" s="4" t="str">
        <f>IFERROR(INDEX(样本到样信息汇总统计!O$2:O$500,MATCH(379,样本到样信息汇总统计!$Y$2:$Y$500,0)),"")</f>
        <v/>
      </c>
      <c r="P380" s="4" t="str">
        <f>IFERROR(INDEX(样本到样信息汇总统计!P$2:P$500,MATCH(379,样本到样信息汇总统计!$Y$2:$Y$500,0)),"")</f>
        <v/>
      </c>
      <c r="Q380" s="4" t="str">
        <f>IFERROR(INDEX(样本到样信息汇总统计!Q$2:Q$500,MATCH(379,样本到样信息汇总统计!$Y$2:$Y$500,0)),"")</f>
        <v/>
      </c>
      <c r="R380" s="4" t="str">
        <f>IFERROR(INDEX(样本到样信息汇总统计!R$2:R$500,MATCH(379,样本到样信息汇总统计!$Y$2:$Y$500,0)),"")</f>
        <v/>
      </c>
      <c r="S380" s="4" t="str">
        <f>IFERROR(INDEX(样本到样信息汇总统计!S$2:S$500,MATCH(379,样本到样信息汇总统计!$Y$2:$Y$500,0)),"")</f>
        <v/>
      </c>
      <c r="T380" s="4" t="str">
        <f>IFERROR(INDEX(样本到样信息汇总统计!T$2:T$500,MATCH(379,样本到样信息汇总统计!$Y$2:$Y$500,0)),"")</f>
        <v/>
      </c>
      <c r="U380" s="4" t="str">
        <f>IFERROR(INDEX(样本到样信息汇总统计!U$2:U$500,MATCH(379,样本到样信息汇总统计!$Y$2:$Y$500,0)),"")</f>
        <v/>
      </c>
      <c r="V380" s="4" t="str">
        <f>IFERROR(INDEX(样本到样信息汇总统计!V$2:V$500,MATCH(379,样本到样信息汇总统计!$Y$2:$Y$500,0)),"")</f>
        <v/>
      </c>
      <c r="W380" s="4" t="str">
        <f>IFERROR(INDEX(样本到样信息汇总统计!W$2:W$500,MATCH(379,样本到样信息汇总统计!$Y$2:$Y$500,0)),"")</f>
        <v/>
      </c>
    </row>
    <row r="381" ht="14.5" spans="1:23">
      <c r="A381" s="8" t="str">
        <f>IFERROR(INDEX(样本到样信息汇总统计!A$2:A$500,MATCH(380,样本到样信息汇总统计!$Y$2:$Y$500,0)),"")</f>
        <v/>
      </c>
      <c r="B381" s="8" t="str">
        <f>IFERROR(INDEX(样本到样信息汇总统计!B$2:B$500,MATCH(380,样本到样信息汇总统计!$Y$2:$Y$500,0)),"")</f>
        <v/>
      </c>
      <c r="C381" s="8" t="str">
        <f>IFERROR(INDEX(样本到样信息汇总统计!C$2:C$500,MATCH(380,样本到样信息汇总统计!$Y$2:$Y$500,0)),"")</f>
        <v/>
      </c>
      <c r="D381" s="8" t="str">
        <f>IFERROR(INDEX(样本到样信息汇总统计!D$2:D$500,MATCH(380,样本到样信息汇总统计!$Y$2:$Y$500,0)),"")</f>
        <v/>
      </c>
      <c r="E381" s="8" t="str">
        <f>IFERROR(INDEX(样本到样信息汇总统计!E$2:E$500,MATCH(380,样本到样信息汇总统计!$Y$2:$Y$500,0)),"")</f>
        <v/>
      </c>
      <c r="F381" s="8" t="str">
        <f>IFERROR(INDEX(样本到样信息汇总统计!F$2:F$500,MATCH(380,样本到样信息汇总统计!$Y$2:$Y$500,0)),"")</f>
        <v/>
      </c>
      <c r="G381" s="8" t="str">
        <f>IFERROR(INDEX(样本到样信息汇总统计!G$2:G$500,MATCH(380,样本到样信息汇总统计!$Y$2:$Y$500,0)),"")</f>
        <v/>
      </c>
      <c r="H381" s="8" t="str">
        <f>IFERROR(INDEX(样本到样信息汇总统计!H$2:H$500,MATCH(380,样本到样信息汇总统计!$Y$2:$Y$500,0)),"")</f>
        <v/>
      </c>
      <c r="I381" s="8" t="str">
        <f>IFERROR(INDEX(样本到样信息汇总统计!I$2:I$500,MATCH(380,样本到样信息汇总统计!$Y$2:$Y$500,0)),"")</f>
        <v/>
      </c>
      <c r="J381" s="8" t="str">
        <f>IFERROR(INDEX(样本到样信息汇总统计!J$2:J$500,MATCH(380,样本到样信息汇总统计!$Y$2:$Y$500,0)),"")</f>
        <v/>
      </c>
      <c r="K381" s="8" t="str">
        <f>IFERROR(INDEX(样本到样信息汇总统计!K$2:K$500,MATCH(380,样本到样信息汇总统计!$Y$2:$Y$500,0)),"")</f>
        <v/>
      </c>
      <c r="L381" s="8" t="str">
        <f>IFERROR(INDEX(样本到样信息汇总统计!L$2:L$500,MATCH(380,样本到样信息汇总统计!$Y$2:$Y$500,0)),"")</f>
        <v/>
      </c>
      <c r="M381" s="8" t="str">
        <f>IFERROR(INDEX(样本到样信息汇总统计!M$2:M$500,MATCH(380,样本到样信息汇总统计!$Y$2:$Y$500,0)),"")</f>
        <v/>
      </c>
      <c r="N381" s="8" t="str">
        <f>IFERROR(INDEX(样本到样信息汇总统计!N$2:N$500,MATCH(380,样本到样信息汇总统计!$Y$2:$Y$500,0)),"")</f>
        <v/>
      </c>
      <c r="O381" s="8" t="str">
        <f>IFERROR(INDEX(样本到样信息汇总统计!O$2:O$500,MATCH(380,样本到样信息汇总统计!$Y$2:$Y$500,0)),"")</f>
        <v/>
      </c>
      <c r="P381" s="8" t="str">
        <f>IFERROR(INDEX(样本到样信息汇总统计!P$2:P$500,MATCH(380,样本到样信息汇总统计!$Y$2:$Y$500,0)),"")</f>
        <v/>
      </c>
      <c r="Q381" s="8" t="str">
        <f>IFERROR(INDEX(样本到样信息汇总统计!Q$2:Q$500,MATCH(380,样本到样信息汇总统计!$Y$2:$Y$500,0)),"")</f>
        <v/>
      </c>
      <c r="R381" s="8" t="str">
        <f>IFERROR(INDEX(样本到样信息汇总统计!R$2:R$500,MATCH(380,样本到样信息汇总统计!$Y$2:$Y$500,0)),"")</f>
        <v/>
      </c>
      <c r="S381" s="8" t="str">
        <f>IFERROR(INDEX(样本到样信息汇总统计!S$2:S$500,MATCH(380,样本到样信息汇总统计!$Y$2:$Y$500,0)),"")</f>
        <v/>
      </c>
      <c r="T381" s="8" t="str">
        <f>IFERROR(INDEX(样本到样信息汇总统计!T$2:T$500,MATCH(380,样本到样信息汇总统计!$Y$2:$Y$500,0)),"")</f>
        <v/>
      </c>
      <c r="U381" s="8" t="str">
        <f>IFERROR(INDEX(样本到样信息汇总统计!U$2:U$500,MATCH(380,样本到样信息汇总统计!$Y$2:$Y$500,0)),"")</f>
        <v/>
      </c>
      <c r="V381" s="8" t="str">
        <f>IFERROR(INDEX(样本到样信息汇总统计!V$2:V$500,MATCH(380,样本到样信息汇总统计!$Y$2:$Y$500,0)),"")</f>
        <v/>
      </c>
      <c r="W381" s="8" t="str">
        <f>IFERROR(INDEX(样本到样信息汇总统计!W$2:W$500,MATCH(380,样本到样信息汇总统计!$Y$2:$Y$500,0)),"")</f>
        <v/>
      </c>
    </row>
    <row r="382" ht="14.5" spans="1:23">
      <c r="A382" s="4" t="str">
        <f>IFERROR(INDEX(样本到样信息汇总统计!A$2:A$500,MATCH(381,样本到样信息汇总统计!$Y$2:$Y$500,0)),"")</f>
        <v/>
      </c>
      <c r="B382" s="4" t="str">
        <f>IFERROR(INDEX(样本到样信息汇总统计!B$2:B$500,MATCH(381,样本到样信息汇总统计!$Y$2:$Y$500,0)),"")</f>
        <v/>
      </c>
      <c r="C382" s="4" t="str">
        <f>IFERROR(INDEX(样本到样信息汇总统计!C$2:C$500,MATCH(381,样本到样信息汇总统计!$Y$2:$Y$500,0)),"")</f>
        <v/>
      </c>
      <c r="D382" s="4" t="str">
        <f>IFERROR(INDEX(样本到样信息汇总统计!D$2:D$500,MATCH(381,样本到样信息汇总统计!$Y$2:$Y$500,0)),"")</f>
        <v/>
      </c>
      <c r="E382" s="4" t="str">
        <f>IFERROR(INDEX(样本到样信息汇总统计!E$2:E$500,MATCH(381,样本到样信息汇总统计!$Y$2:$Y$500,0)),"")</f>
        <v/>
      </c>
      <c r="F382" s="4" t="str">
        <f>IFERROR(INDEX(样本到样信息汇总统计!F$2:F$500,MATCH(381,样本到样信息汇总统计!$Y$2:$Y$500,0)),"")</f>
        <v/>
      </c>
      <c r="G382" s="4" t="str">
        <f>IFERROR(INDEX(样本到样信息汇总统计!G$2:G$500,MATCH(381,样本到样信息汇总统计!$Y$2:$Y$500,0)),"")</f>
        <v/>
      </c>
      <c r="H382" s="4" t="str">
        <f>IFERROR(INDEX(样本到样信息汇总统计!H$2:H$500,MATCH(381,样本到样信息汇总统计!$Y$2:$Y$500,0)),"")</f>
        <v/>
      </c>
      <c r="I382" s="4" t="str">
        <f>IFERROR(INDEX(样本到样信息汇总统计!I$2:I$500,MATCH(381,样本到样信息汇总统计!$Y$2:$Y$500,0)),"")</f>
        <v/>
      </c>
      <c r="J382" s="4" t="str">
        <f>IFERROR(INDEX(样本到样信息汇总统计!J$2:J$500,MATCH(381,样本到样信息汇总统计!$Y$2:$Y$500,0)),"")</f>
        <v/>
      </c>
      <c r="K382" s="4" t="str">
        <f>IFERROR(INDEX(样本到样信息汇总统计!K$2:K$500,MATCH(381,样本到样信息汇总统计!$Y$2:$Y$500,0)),"")</f>
        <v/>
      </c>
      <c r="L382" s="4" t="str">
        <f>IFERROR(INDEX(样本到样信息汇总统计!L$2:L$500,MATCH(381,样本到样信息汇总统计!$Y$2:$Y$500,0)),"")</f>
        <v/>
      </c>
      <c r="M382" s="4" t="str">
        <f>IFERROR(INDEX(样本到样信息汇总统计!M$2:M$500,MATCH(381,样本到样信息汇总统计!$Y$2:$Y$500,0)),"")</f>
        <v/>
      </c>
      <c r="N382" s="4" t="str">
        <f>IFERROR(INDEX(样本到样信息汇总统计!N$2:N$500,MATCH(381,样本到样信息汇总统计!$Y$2:$Y$500,0)),"")</f>
        <v/>
      </c>
      <c r="O382" s="4" t="str">
        <f>IFERROR(INDEX(样本到样信息汇总统计!O$2:O$500,MATCH(381,样本到样信息汇总统计!$Y$2:$Y$500,0)),"")</f>
        <v/>
      </c>
      <c r="P382" s="4" t="str">
        <f>IFERROR(INDEX(样本到样信息汇总统计!P$2:P$500,MATCH(381,样本到样信息汇总统计!$Y$2:$Y$500,0)),"")</f>
        <v/>
      </c>
      <c r="Q382" s="4" t="str">
        <f>IFERROR(INDEX(样本到样信息汇总统计!Q$2:Q$500,MATCH(381,样本到样信息汇总统计!$Y$2:$Y$500,0)),"")</f>
        <v/>
      </c>
      <c r="R382" s="4" t="str">
        <f>IFERROR(INDEX(样本到样信息汇总统计!R$2:R$500,MATCH(381,样本到样信息汇总统计!$Y$2:$Y$500,0)),"")</f>
        <v/>
      </c>
      <c r="S382" s="4" t="str">
        <f>IFERROR(INDEX(样本到样信息汇总统计!S$2:S$500,MATCH(381,样本到样信息汇总统计!$Y$2:$Y$500,0)),"")</f>
        <v/>
      </c>
      <c r="T382" s="4" t="str">
        <f>IFERROR(INDEX(样本到样信息汇总统计!T$2:T$500,MATCH(381,样本到样信息汇总统计!$Y$2:$Y$500,0)),"")</f>
        <v/>
      </c>
      <c r="U382" s="4" t="str">
        <f>IFERROR(INDEX(样本到样信息汇总统计!U$2:U$500,MATCH(381,样本到样信息汇总统计!$Y$2:$Y$500,0)),"")</f>
        <v/>
      </c>
      <c r="V382" s="4" t="str">
        <f>IFERROR(INDEX(样本到样信息汇总统计!V$2:V$500,MATCH(381,样本到样信息汇总统计!$Y$2:$Y$500,0)),"")</f>
        <v/>
      </c>
      <c r="W382" s="4" t="str">
        <f>IFERROR(INDEX(样本到样信息汇总统计!W$2:W$500,MATCH(381,样本到样信息汇总统计!$Y$2:$Y$500,0)),"")</f>
        <v/>
      </c>
    </row>
    <row r="383" ht="14.5" spans="1:23">
      <c r="A383" s="8" t="str">
        <f>IFERROR(INDEX(样本到样信息汇总统计!A$2:A$500,MATCH(382,样本到样信息汇总统计!$Y$2:$Y$500,0)),"")</f>
        <v/>
      </c>
      <c r="B383" s="8" t="str">
        <f>IFERROR(INDEX(样本到样信息汇总统计!B$2:B$500,MATCH(382,样本到样信息汇总统计!$Y$2:$Y$500,0)),"")</f>
        <v/>
      </c>
      <c r="C383" s="8" t="str">
        <f>IFERROR(INDEX(样本到样信息汇总统计!C$2:C$500,MATCH(382,样本到样信息汇总统计!$Y$2:$Y$500,0)),"")</f>
        <v/>
      </c>
      <c r="D383" s="8" t="str">
        <f>IFERROR(INDEX(样本到样信息汇总统计!D$2:D$500,MATCH(382,样本到样信息汇总统计!$Y$2:$Y$500,0)),"")</f>
        <v/>
      </c>
      <c r="E383" s="8" t="str">
        <f>IFERROR(INDEX(样本到样信息汇总统计!E$2:E$500,MATCH(382,样本到样信息汇总统计!$Y$2:$Y$500,0)),"")</f>
        <v/>
      </c>
      <c r="F383" s="8" t="str">
        <f>IFERROR(INDEX(样本到样信息汇总统计!F$2:F$500,MATCH(382,样本到样信息汇总统计!$Y$2:$Y$500,0)),"")</f>
        <v/>
      </c>
      <c r="G383" s="8" t="str">
        <f>IFERROR(INDEX(样本到样信息汇总统计!G$2:G$500,MATCH(382,样本到样信息汇总统计!$Y$2:$Y$500,0)),"")</f>
        <v/>
      </c>
      <c r="H383" s="8" t="str">
        <f>IFERROR(INDEX(样本到样信息汇总统计!H$2:H$500,MATCH(382,样本到样信息汇总统计!$Y$2:$Y$500,0)),"")</f>
        <v/>
      </c>
      <c r="I383" s="8" t="str">
        <f>IFERROR(INDEX(样本到样信息汇总统计!I$2:I$500,MATCH(382,样本到样信息汇总统计!$Y$2:$Y$500,0)),"")</f>
        <v/>
      </c>
      <c r="J383" s="8" t="str">
        <f>IFERROR(INDEX(样本到样信息汇总统计!J$2:J$500,MATCH(382,样本到样信息汇总统计!$Y$2:$Y$500,0)),"")</f>
        <v/>
      </c>
      <c r="K383" s="8" t="str">
        <f>IFERROR(INDEX(样本到样信息汇总统计!K$2:K$500,MATCH(382,样本到样信息汇总统计!$Y$2:$Y$500,0)),"")</f>
        <v/>
      </c>
      <c r="L383" s="8" t="str">
        <f>IFERROR(INDEX(样本到样信息汇总统计!L$2:L$500,MATCH(382,样本到样信息汇总统计!$Y$2:$Y$500,0)),"")</f>
        <v/>
      </c>
      <c r="M383" s="8" t="str">
        <f>IFERROR(INDEX(样本到样信息汇总统计!M$2:M$500,MATCH(382,样本到样信息汇总统计!$Y$2:$Y$500,0)),"")</f>
        <v/>
      </c>
      <c r="N383" s="8" t="str">
        <f>IFERROR(INDEX(样本到样信息汇总统计!N$2:N$500,MATCH(382,样本到样信息汇总统计!$Y$2:$Y$500,0)),"")</f>
        <v/>
      </c>
      <c r="O383" s="8" t="str">
        <f>IFERROR(INDEX(样本到样信息汇总统计!O$2:O$500,MATCH(382,样本到样信息汇总统计!$Y$2:$Y$500,0)),"")</f>
        <v/>
      </c>
      <c r="P383" s="8" t="str">
        <f>IFERROR(INDEX(样本到样信息汇总统计!P$2:P$500,MATCH(382,样本到样信息汇总统计!$Y$2:$Y$500,0)),"")</f>
        <v/>
      </c>
      <c r="Q383" s="8" t="str">
        <f>IFERROR(INDEX(样本到样信息汇总统计!Q$2:Q$500,MATCH(382,样本到样信息汇总统计!$Y$2:$Y$500,0)),"")</f>
        <v/>
      </c>
      <c r="R383" s="8" t="str">
        <f>IFERROR(INDEX(样本到样信息汇总统计!R$2:R$500,MATCH(382,样本到样信息汇总统计!$Y$2:$Y$500,0)),"")</f>
        <v/>
      </c>
      <c r="S383" s="8" t="str">
        <f>IFERROR(INDEX(样本到样信息汇总统计!S$2:S$500,MATCH(382,样本到样信息汇总统计!$Y$2:$Y$500,0)),"")</f>
        <v/>
      </c>
      <c r="T383" s="8" t="str">
        <f>IFERROR(INDEX(样本到样信息汇总统计!T$2:T$500,MATCH(382,样本到样信息汇总统计!$Y$2:$Y$500,0)),"")</f>
        <v/>
      </c>
      <c r="U383" s="8" t="str">
        <f>IFERROR(INDEX(样本到样信息汇总统计!U$2:U$500,MATCH(382,样本到样信息汇总统计!$Y$2:$Y$500,0)),"")</f>
        <v/>
      </c>
      <c r="V383" s="8" t="str">
        <f>IFERROR(INDEX(样本到样信息汇总统计!V$2:V$500,MATCH(382,样本到样信息汇总统计!$Y$2:$Y$500,0)),"")</f>
        <v/>
      </c>
      <c r="W383" s="8" t="str">
        <f>IFERROR(INDEX(样本到样信息汇总统计!W$2:W$500,MATCH(382,样本到样信息汇总统计!$Y$2:$Y$500,0)),"")</f>
        <v/>
      </c>
    </row>
    <row r="384" ht="14.5" spans="1:23">
      <c r="A384" s="4" t="str">
        <f>IFERROR(INDEX(样本到样信息汇总统计!A$2:A$500,MATCH(383,样本到样信息汇总统计!$Y$2:$Y$500,0)),"")</f>
        <v/>
      </c>
      <c r="B384" s="4" t="str">
        <f>IFERROR(INDEX(样本到样信息汇总统计!B$2:B$500,MATCH(383,样本到样信息汇总统计!$Y$2:$Y$500,0)),"")</f>
        <v/>
      </c>
      <c r="C384" s="4" t="str">
        <f>IFERROR(INDEX(样本到样信息汇总统计!C$2:C$500,MATCH(383,样本到样信息汇总统计!$Y$2:$Y$500,0)),"")</f>
        <v/>
      </c>
      <c r="D384" s="4" t="str">
        <f>IFERROR(INDEX(样本到样信息汇总统计!D$2:D$500,MATCH(383,样本到样信息汇总统计!$Y$2:$Y$500,0)),"")</f>
        <v/>
      </c>
      <c r="E384" s="4" t="str">
        <f>IFERROR(INDEX(样本到样信息汇总统计!E$2:E$500,MATCH(383,样本到样信息汇总统计!$Y$2:$Y$500,0)),"")</f>
        <v/>
      </c>
      <c r="F384" s="4" t="str">
        <f>IFERROR(INDEX(样本到样信息汇总统计!F$2:F$500,MATCH(383,样本到样信息汇总统计!$Y$2:$Y$500,0)),"")</f>
        <v/>
      </c>
      <c r="G384" s="4" t="str">
        <f>IFERROR(INDEX(样本到样信息汇总统计!G$2:G$500,MATCH(383,样本到样信息汇总统计!$Y$2:$Y$500,0)),"")</f>
        <v/>
      </c>
      <c r="H384" s="4" t="str">
        <f>IFERROR(INDEX(样本到样信息汇总统计!H$2:H$500,MATCH(383,样本到样信息汇总统计!$Y$2:$Y$500,0)),"")</f>
        <v/>
      </c>
      <c r="I384" s="4" t="str">
        <f>IFERROR(INDEX(样本到样信息汇总统计!I$2:I$500,MATCH(383,样本到样信息汇总统计!$Y$2:$Y$500,0)),"")</f>
        <v/>
      </c>
      <c r="J384" s="4" t="str">
        <f>IFERROR(INDEX(样本到样信息汇总统计!J$2:J$500,MATCH(383,样本到样信息汇总统计!$Y$2:$Y$500,0)),"")</f>
        <v/>
      </c>
      <c r="K384" s="4" t="str">
        <f>IFERROR(INDEX(样本到样信息汇总统计!K$2:K$500,MATCH(383,样本到样信息汇总统计!$Y$2:$Y$500,0)),"")</f>
        <v/>
      </c>
      <c r="L384" s="4" t="str">
        <f>IFERROR(INDEX(样本到样信息汇总统计!L$2:L$500,MATCH(383,样本到样信息汇总统计!$Y$2:$Y$500,0)),"")</f>
        <v/>
      </c>
      <c r="M384" s="4" t="str">
        <f>IFERROR(INDEX(样本到样信息汇总统计!M$2:M$500,MATCH(383,样本到样信息汇总统计!$Y$2:$Y$500,0)),"")</f>
        <v/>
      </c>
      <c r="N384" s="4" t="str">
        <f>IFERROR(INDEX(样本到样信息汇总统计!N$2:N$500,MATCH(383,样本到样信息汇总统计!$Y$2:$Y$500,0)),"")</f>
        <v/>
      </c>
      <c r="O384" s="4" t="str">
        <f>IFERROR(INDEX(样本到样信息汇总统计!O$2:O$500,MATCH(383,样本到样信息汇总统计!$Y$2:$Y$500,0)),"")</f>
        <v/>
      </c>
      <c r="P384" s="4" t="str">
        <f>IFERROR(INDEX(样本到样信息汇总统计!P$2:P$500,MATCH(383,样本到样信息汇总统计!$Y$2:$Y$500,0)),"")</f>
        <v/>
      </c>
      <c r="Q384" s="4" t="str">
        <f>IFERROR(INDEX(样本到样信息汇总统计!Q$2:Q$500,MATCH(383,样本到样信息汇总统计!$Y$2:$Y$500,0)),"")</f>
        <v/>
      </c>
      <c r="R384" s="4" t="str">
        <f>IFERROR(INDEX(样本到样信息汇总统计!R$2:R$500,MATCH(383,样本到样信息汇总统计!$Y$2:$Y$500,0)),"")</f>
        <v/>
      </c>
      <c r="S384" s="4" t="str">
        <f>IFERROR(INDEX(样本到样信息汇总统计!S$2:S$500,MATCH(383,样本到样信息汇总统计!$Y$2:$Y$500,0)),"")</f>
        <v/>
      </c>
      <c r="T384" s="4" t="str">
        <f>IFERROR(INDEX(样本到样信息汇总统计!T$2:T$500,MATCH(383,样本到样信息汇总统计!$Y$2:$Y$500,0)),"")</f>
        <v/>
      </c>
      <c r="U384" s="4" t="str">
        <f>IFERROR(INDEX(样本到样信息汇总统计!U$2:U$500,MATCH(383,样本到样信息汇总统计!$Y$2:$Y$500,0)),"")</f>
        <v/>
      </c>
      <c r="V384" s="4" t="str">
        <f>IFERROR(INDEX(样本到样信息汇总统计!V$2:V$500,MATCH(383,样本到样信息汇总统计!$Y$2:$Y$500,0)),"")</f>
        <v/>
      </c>
      <c r="W384" s="4" t="str">
        <f>IFERROR(INDEX(样本到样信息汇总统计!W$2:W$500,MATCH(383,样本到样信息汇总统计!$Y$2:$Y$500,0)),"")</f>
        <v/>
      </c>
    </row>
    <row r="385" ht="14.5" spans="1:23">
      <c r="A385" s="8" t="str">
        <f>IFERROR(INDEX(样本到样信息汇总统计!A$2:A$500,MATCH(384,样本到样信息汇总统计!$Y$2:$Y$500,0)),"")</f>
        <v/>
      </c>
      <c r="B385" s="8" t="str">
        <f>IFERROR(INDEX(样本到样信息汇总统计!B$2:B$500,MATCH(384,样本到样信息汇总统计!$Y$2:$Y$500,0)),"")</f>
        <v/>
      </c>
      <c r="C385" s="8" t="str">
        <f>IFERROR(INDEX(样本到样信息汇总统计!C$2:C$500,MATCH(384,样本到样信息汇总统计!$Y$2:$Y$500,0)),"")</f>
        <v/>
      </c>
      <c r="D385" s="8" t="str">
        <f>IFERROR(INDEX(样本到样信息汇总统计!D$2:D$500,MATCH(384,样本到样信息汇总统计!$Y$2:$Y$500,0)),"")</f>
        <v/>
      </c>
      <c r="E385" s="8" t="str">
        <f>IFERROR(INDEX(样本到样信息汇总统计!E$2:E$500,MATCH(384,样本到样信息汇总统计!$Y$2:$Y$500,0)),"")</f>
        <v/>
      </c>
      <c r="F385" s="8" t="str">
        <f>IFERROR(INDEX(样本到样信息汇总统计!F$2:F$500,MATCH(384,样本到样信息汇总统计!$Y$2:$Y$500,0)),"")</f>
        <v/>
      </c>
      <c r="G385" s="8" t="str">
        <f>IFERROR(INDEX(样本到样信息汇总统计!G$2:G$500,MATCH(384,样本到样信息汇总统计!$Y$2:$Y$500,0)),"")</f>
        <v/>
      </c>
      <c r="H385" s="8" t="str">
        <f>IFERROR(INDEX(样本到样信息汇总统计!H$2:H$500,MATCH(384,样本到样信息汇总统计!$Y$2:$Y$500,0)),"")</f>
        <v/>
      </c>
      <c r="I385" s="8" t="str">
        <f>IFERROR(INDEX(样本到样信息汇总统计!I$2:I$500,MATCH(384,样本到样信息汇总统计!$Y$2:$Y$500,0)),"")</f>
        <v/>
      </c>
      <c r="J385" s="8" t="str">
        <f>IFERROR(INDEX(样本到样信息汇总统计!J$2:J$500,MATCH(384,样本到样信息汇总统计!$Y$2:$Y$500,0)),"")</f>
        <v/>
      </c>
      <c r="K385" s="8" t="str">
        <f>IFERROR(INDEX(样本到样信息汇总统计!K$2:K$500,MATCH(384,样本到样信息汇总统计!$Y$2:$Y$500,0)),"")</f>
        <v/>
      </c>
      <c r="L385" s="8" t="str">
        <f>IFERROR(INDEX(样本到样信息汇总统计!L$2:L$500,MATCH(384,样本到样信息汇总统计!$Y$2:$Y$500,0)),"")</f>
        <v/>
      </c>
      <c r="M385" s="8" t="str">
        <f>IFERROR(INDEX(样本到样信息汇总统计!M$2:M$500,MATCH(384,样本到样信息汇总统计!$Y$2:$Y$500,0)),"")</f>
        <v/>
      </c>
      <c r="N385" s="8" t="str">
        <f>IFERROR(INDEX(样本到样信息汇总统计!N$2:N$500,MATCH(384,样本到样信息汇总统计!$Y$2:$Y$500,0)),"")</f>
        <v/>
      </c>
      <c r="O385" s="8" t="str">
        <f>IFERROR(INDEX(样本到样信息汇总统计!O$2:O$500,MATCH(384,样本到样信息汇总统计!$Y$2:$Y$500,0)),"")</f>
        <v/>
      </c>
      <c r="P385" s="8" t="str">
        <f>IFERROR(INDEX(样本到样信息汇总统计!P$2:P$500,MATCH(384,样本到样信息汇总统计!$Y$2:$Y$500,0)),"")</f>
        <v/>
      </c>
      <c r="Q385" s="8" t="str">
        <f>IFERROR(INDEX(样本到样信息汇总统计!Q$2:Q$500,MATCH(384,样本到样信息汇总统计!$Y$2:$Y$500,0)),"")</f>
        <v/>
      </c>
      <c r="R385" s="8" t="str">
        <f>IFERROR(INDEX(样本到样信息汇总统计!R$2:R$500,MATCH(384,样本到样信息汇总统计!$Y$2:$Y$500,0)),"")</f>
        <v/>
      </c>
      <c r="S385" s="8" t="str">
        <f>IFERROR(INDEX(样本到样信息汇总统计!S$2:S$500,MATCH(384,样本到样信息汇总统计!$Y$2:$Y$500,0)),"")</f>
        <v/>
      </c>
      <c r="T385" s="8" t="str">
        <f>IFERROR(INDEX(样本到样信息汇总统计!T$2:T$500,MATCH(384,样本到样信息汇总统计!$Y$2:$Y$500,0)),"")</f>
        <v/>
      </c>
      <c r="U385" s="8" t="str">
        <f>IFERROR(INDEX(样本到样信息汇总统计!U$2:U$500,MATCH(384,样本到样信息汇总统计!$Y$2:$Y$500,0)),"")</f>
        <v/>
      </c>
      <c r="V385" s="8" t="str">
        <f>IFERROR(INDEX(样本到样信息汇总统计!V$2:V$500,MATCH(384,样本到样信息汇总统计!$Y$2:$Y$500,0)),"")</f>
        <v/>
      </c>
      <c r="W385" s="8" t="str">
        <f>IFERROR(INDEX(样本到样信息汇总统计!W$2:W$500,MATCH(384,样本到样信息汇总统计!$Y$2:$Y$500,0)),"")</f>
        <v/>
      </c>
    </row>
    <row r="386" ht="14.5" spans="1:23">
      <c r="A386" s="4" t="str">
        <f>IFERROR(INDEX(样本到样信息汇总统计!A$2:A$500,MATCH(385,样本到样信息汇总统计!$Y$2:$Y$500,0)),"")</f>
        <v/>
      </c>
      <c r="B386" s="4" t="str">
        <f>IFERROR(INDEX(样本到样信息汇总统计!B$2:B$500,MATCH(385,样本到样信息汇总统计!$Y$2:$Y$500,0)),"")</f>
        <v/>
      </c>
      <c r="C386" s="4" t="str">
        <f>IFERROR(INDEX(样本到样信息汇总统计!C$2:C$500,MATCH(385,样本到样信息汇总统计!$Y$2:$Y$500,0)),"")</f>
        <v/>
      </c>
      <c r="D386" s="4" t="str">
        <f>IFERROR(INDEX(样本到样信息汇总统计!D$2:D$500,MATCH(385,样本到样信息汇总统计!$Y$2:$Y$500,0)),"")</f>
        <v/>
      </c>
      <c r="E386" s="4" t="str">
        <f>IFERROR(INDEX(样本到样信息汇总统计!E$2:E$500,MATCH(385,样本到样信息汇总统计!$Y$2:$Y$500,0)),"")</f>
        <v/>
      </c>
      <c r="F386" s="4" t="str">
        <f>IFERROR(INDEX(样本到样信息汇总统计!F$2:F$500,MATCH(385,样本到样信息汇总统计!$Y$2:$Y$500,0)),"")</f>
        <v/>
      </c>
      <c r="G386" s="4" t="str">
        <f>IFERROR(INDEX(样本到样信息汇总统计!G$2:G$500,MATCH(385,样本到样信息汇总统计!$Y$2:$Y$500,0)),"")</f>
        <v/>
      </c>
      <c r="H386" s="4" t="str">
        <f>IFERROR(INDEX(样本到样信息汇总统计!H$2:H$500,MATCH(385,样本到样信息汇总统计!$Y$2:$Y$500,0)),"")</f>
        <v/>
      </c>
      <c r="I386" s="4" t="str">
        <f>IFERROR(INDEX(样本到样信息汇总统计!I$2:I$500,MATCH(385,样本到样信息汇总统计!$Y$2:$Y$500,0)),"")</f>
        <v/>
      </c>
      <c r="J386" s="4" t="str">
        <f>IFERROR(INDEX(样本到样信息汇总统计!J$2:J$500,MATCH(385,样本到样信息汇总统计!$Y$2:$Y$500,0)),"")</f>
        <v/>
      </c>
      <c r="K386" s="4" t="str">
        <f>IFERROR(INDEX(样本到样信息汇总统计!K$2:K$500,MATCH(385,样本到样信息汇总统计!$Y$2:$Y$500,0)),"")</f>
        <v/>
      </c>
      <c r="L386" s="4" t="str">
        <f>IFERROR(INDEX(样本到样信息汇总统计!L$2:L$500,MATCH(385,样本到样信息汇总统计!$Y$2:$Y$500,0)),"")</f>
        <v/>
      </c>
      <c r="M386" s="4" t="str">
        <f>IFERROR(INDEX(样本到样信息汇总统计!M$2:M$500,MATCH(385,样本到样信息汇总统计!$Y$2:$Y$500,0)),"")</f>
        <v/>
      </c>
      <c r="N386" s="4" t="str">
        <f>IFERROR(INDEX(样本到样信息汇总统计!N$2:N$500,MATCH(385,样本到样信息汇总统计!$Y$2:$Y$500,0)),"")</f>
        <v/>
      </c>
      <c r="O386" s="4" t="str">
        <f>IFERROR(INDEX(样本到样信息汇总统计!O$2:O$500,MATCH(385,样本到样信息汇总统计!$Y$2:$Y$500,0)),"")</f>
        <v/>
      </c>
      <c r="P386" s="4" t="str">
        <f>IFERROR(INDEX(样本到样信息汇总统计!P$2:P$500,MATCH(385,样本到样信息汇总统计!$Y$2:$Y$500,0)),"")</f>
        <v/>
      </c>
      <c r="Q386" s="4" t="str">
        <f>IFERROR(INDEX(样本到样信息汇总统计!Q$2:Q$500,MATCH(385,样本到样信息汇总统计!$Y$2:$Y$500,0)),"")</f>
        <v/>
      </c>
      <c r="R386" s="4" t="str">
        <f>IFERROR(INDEX(样本到样信息汇总统计!R$2:R$500,MATCH(385,样本到样信息汇总统计!$Y$2:$Y$500,0)),"")</f>
        <v/>
      </c>
      <c r="S386" s="4" t="str">
        <f>IFERROR(INDEX(样本到样信息汇总统计!S$2:S$500,MATCH(385,样本到样信息汇总统计!$Y$2:$Y$500,0)),"")</f>
        <v/>
      </c>
      <c r="T386" s="4" t="str">
        <f>IFERROR(INDEX(样本到样信息汇总统计!T$2:T$500,MATCH(385,样本到样信息汇总统计!$Y$2:$Y$500,0)),"")</f>
        <v/>
      </c>
      <c r="U386" s="4" t="str">
        <f>IFERROR(INDEX(样本到样信息汇总统计!U$2:U$500,MATCH(385,样本到样信息汇总统计!$Y$2:$Y$500,0)),"")</f>
        <v/>
      </c>
      <c r="V386" s="4" t="str">
        <f>IFERROR(INDEX(样本到样信息汇总统计!V$2:V$500,MATCH(385,样本到样信息汇总统计!$Y$2:$Y$500,0)),"")</f>
        <v/>
      </c>
      <c r="W386" s="4" t="str">
        <f>IFERROR(INDEX(样本到样信息汇总统计!W$2:W$500,MATCH(385,样本到样信息汇总统计!$Y$2:$Y$500,0)),"")</f>
        <v/>
      </c>
    </row>
    <row r="387" ht="14.5" spans="1:23">
      <c r="A387" s="8" t="str">
        <f>IFERROR(INDEX(样本到样信息汇总统计!A$2:A$500,MATCH(386,样本到样信息汇总统计!$Y$2:$Y$500,0)),"")</f>
        <v/>
      </c>
      <c r="B387" s="8" t="str">
        <f>IFERROR(INDEX(样本到样信息汇总统计!B$2:B$500,MATCH(386,样本到样信息汇总统计!$Y$2:$Y$500,0)),"")</f>
        <v/>
      </c>
      <c r="C387" s="8" t="str">
        <f>IFERROR(INDEX(样本到样信息汇总统计!C$2:C$500,MATCH(386,样本到样信息汇总统计!$Y$2:$Y$500,0)),"")</f>
        <v/>
      </c>
      <c r="D387" s="8" t="str">
        <f>IFERROR(INDEX(样本到样信息汇总统计!D$2:D$500,MATCH(386,样本到样信息汇总统计!$Y$2:$Y$500,0)),"")</f>
        <v/>
      </c>
      <c r="E387" s="8" t="str">
        <f>IFERROR(INDEX(样本到样信息汇总统计!E$2:E$500,MATCH(386,样本到样信息汇总统计!$Y$2:$Y$500,0)),"")</f>
        <v/>
      </c>
      <c r="F387" s="8" t="str">
        <f>IFERROR(INDEX(样本到样信息汇总统计!F$2:F$500,MATCH(386,样本到样信息汇总统计!$Y$2:$Y$500,0)),"")</f>
        <v/>
      </c>
      <c r="G387" s="8" t="str">
        <f>IFERROR(INDEX(样本到样信息汇总统计!G$2:G$500,MATCH(386,样本到样信息汇总统计!$Y$2:$Y$500,0)),"")</f>
        <v/>
      </c>
      <c r="H387" s="8" t="str">
        <f>IFERROR(INDEX(样本到样信息汇总统计!H$2:H$500,MATCH(386,样本到样信息汇总统计!$Y$2:$Y$500,0)),"")</f>
        <v/>
      </c>
      <c r="I387" s="8" t="str">
        <f>IFERROR(INDEX(样本到样信息汇总统计!I$2:I$500,MATCH(386,样本到样信息汇总统计!$Y$2:$Y$500,0)),"")</f>
        <v/>
      </c>
      <c r="J387" s="8" t="str">
        <f>IFERROR(INDEX(样本到样信息汇总统计!J$2:J$500,MATCH(386,样本到样信息汇总统计!$Y$2:$Y$500,0)),"")</f>
        <v/>
      </c>
      <c r="K387" s="8" t="str">
        <f>IFERROR(INDEX(样本到样信息汇总统计!K$2:K$500,MATCH(386,样本到样信息汇总统计!$Y$2:$Y$500,0)),"")</f>
        <v/>
      </c>
      <c r="L387" s="8" t="str">
        <f>IFERROR(INDEX(样本到样信息汇总统计!L$2:L$500,MATCH(386,样本到样信息汇总统计!$Y$2:$Y$500,0)),"")</f>
        <v/>
      </c>
      <c r="M387" s="8" t="str">
        <f>IFERROR(INDEX(样本到样信息汇总统计!M$2:M$500,MATCH(386,样本到样信息汇总统计!$Y$2:$Y$500,0)),"")</f>
        <v/>
      </c>
      <c r="N387" s="8" t="str">
        <f>IFERROR(INDEX(样本到样信息汇总统计!N$2:N$500,MATCH(386,样本到样信息汇总统计!$Y$2:$Y$500,0)),"")</f>
        <v/>
      </c>
      <c r="O387" s="8" t="str">
        <f>IFERROR(INDEX(样本到样信息汇总统计!O$2:O$500,MATCH(386,样本到样信息汇总统计!$Y$2:$Y$500,0)),"")</f>
        <v/>
      </c>
      <c r="P387" s="8" t="str">
        <f>IFERROR(INDEX(样本到样信息汇总统计!P$2:P$500,MATCH(386,样本到样信息汇总统计!$Y$2:$Y$500,0)),"")</f>
        <v/>
      </c>
      <c r="Q387" s="8" t="str">
        <f>IFERROR(INDEX(样本到样信息汇总统计!Q$2:Q$500,MATCH(386,样本到样信息汇总统计!$Y$2:$Y$500,0)),"")</f>
        <v/>
      </c>
      <c r="R387" s="8" t="str">
        <f>IFERROR(INDEX(样本到样信息汇总统计!R$2:R$500,MATCH(386,样本到样信息汇总统计!$Y$2:$Y$500,0)),"")</f>
        <v/>
      </c>
      <c r="S387" s="8" t="str">
        <f>IFERROR(INDEX(样本到样信息汇总统计!S$2:S$500,MATCH(386,样本到样信息汇总统计!$Y$2:$Y$500,0)),"")</f>
        <v/>
      </c>
      <c r="T387" s="8" t="str">
        <f>IFERROR(INDEX(样本到样信息汇总统计!T$2:T$500,MATCH(386,样本到样信息汇总统计!$Y$2:$Y$500,0)),"")</f>
        <v/>
      </c>
      <c r="U387" s="8" t="str">
        <f>IFERROR(INDEX(样本到样信息汇总统计!U$2:U$500,MATCH(386,样本到样信息汇总统计!$Y$2:$Y$500,0)),"")</f>
        <v/>
      </c>
      <c r="V387" s="8" t="str">
        <f>IFERROR(INDEX(样本到样信息汇总统计!V$2:V$500,MATCH(386,样本到样信息汇总统计!$Y$2:$Y$500,0)),"")</f>
        <v/>
      </c>
      <c r="W387" s="8" t="str">
        <f>IFERROR(INDEX(样本到样信息汇总统计!W$2:W$500,MATCH(386,样本到样信息汇总统计!$Y$2:$Y$500,0)),"")</f>
        <v/>
      </c>
    </row>
    <row r="388" ht="14.5" spans="1:23">
      <c r="A388" s="4" t="str">
        <f>IFERROR(INDEX(样本到样信息汇总统计!A$2:A$500,MATCH(387,样本到样信息汇总统计!$Y$2:$Y$500,0)),"")</f>
        <v/>
      </c>
      <c r="B388" s="4" t="str">
        <f>IFERROR(INDEX(样本到样信息汇总统计!B$2:B$500,MATCH(387,样本到样信息汇总统计!$Y$2:$Y$500,0)),"")</f>
        <v/>
      </c>
      <c r="C388" s="4" t="str">
        <f>IFERROR(INDEX(样本到样信息汇总统计!C$2:C$500,MATCH(387,样本到样信息汇总统计!$Y$2:$Y$500,0)),"")</f>
        <v/>
      </c>
      <c r="D388" s="4" t="str">
        <f>IFERROR(INDEX(样本到样信息汇总统计!D$2:D$500,MATCH(387,样本到样信息汇总统计!$Y$2:$Y$500,0)),"")</f>
        <v/>
      </c>
      <c r="E388" s="4" t="str">
        <f>IFERROR(INDEX(样本到样信息汇总统计!E$2:E$500,MATCH(387,样本到样信息汇总统计!$Y$2:$Y$500,0)),"")</f>
        <v/>
      </c>
      <c r="F388" s="4" t="str">
        <f>IFERROR(INDEX(样本到样信息汇总统计!F$2:F$500,MATCH(387,样本到样信息汇总统计!$Y$2:$Y$500,0)),"")</f>
        <v/>
      </c>
      <c r="G388" s="4" t="str">
        <f>IFERROR(INDEX(样本到样信息汇总统计!G$2:G$500,MATCH(387,样本到样信息汇总统计!$Y$2:$Y$500,0)),"")</f>
        <v/>
      </c>
      <c r="H388" s="4" t="str">
        <f>IFERROR(INDEX(样本到样信息汇总统计!H$2:H$500,MATCH(387,样本到样信息汇总统计!$Y$2:$Y$500,0)),"")</f>
        <v/>
      </c>
      <c r="I388" s="4" t="str">
        <f>IFERROR(INDEX(样本到样信息汇总统计!I$2:I$500,MATCH(387,样本到样信息汇总统计!$Y$2:$Y$500,0)),"")</f>
        <v/>
      </c>
      <c r="J388" s="4" t="str">
        <f>IFERROR(INDEX(样本到样信息汇总统计!J$2:J$500,MATCH(387,样本到样信息汇总统计!$Y$2:$Y$500,0)),"")</f>
        <v/>
      </c>
      <c r="K388" s="4" t="str">
        <f>IFERROR(INDEX(样本到样信息汇总统计!K$2:K$500,MATCH(387,样本到样信息汇总统计!$Y$2:$Y$500,0)),"")</f>
        <v/>
      </c>
      <c r="L388" s="4" t="str">
        <f>IFERROR(INDEX(样本到样信息汇总统计!L$2:L$500,MATCH(387,样本到样信息汇总统计!$Y$2:$Y$500,0)),"")</f>
        <v/>
      </c>
      <c r="M388" s="4" t="str">
        <f>IFERROR(INDEX(样本到样信息汇总统计!M$2:M$500,MATCH(387,样本到样信息汇总统计!$Y$2:$Y$500,0)),"")</f>
        <v/>
      </c>
      <c r="N388" s="4" t="str">
        <f>IFERROR(INDEX(样本到样信息汇总统计!N$2:N$500,MATCH(387,样本到样信息汇总统计!$Y$2:$Y$500,0)),"")</f>
        <v/>
      </c>
      <c r="O388" s="4" t="str">
        <f>IFERROR(INDEX(样本到样信息汇总统计!O$2:O$500,MATCH(387,样本到样信息汇总统计!$Y$2:$Y$500,0)),"")</f>
        <v/>
      </c>
      <c r="P388" s="4" t="str">
        <f>IFERROR(INDEX(样本到样信息汇总统计!P$2:P$500,MATCH(387,样本到样信息汇总统计!$Y$2:$Y$500,0)),"")</f>
        <v/>
      </c>
      <c r="Q388" s="4" t="str">
        <f>IFERROR(INDEX(样本到样信息汇总统计!Q$2:Q$500,MATCH(387,样本到样信息汇总统计!$Y$2:$Y$500,0)),"")</f>
        <v/>
      </c>
      <c r="R388" s="4" t="str">
        <f>IFERROR(INDEX(样本到样信息汇总统计!R$2:R$500,MATCH(387,样本到样信息汇总统计!$Y$2:$Y$500,0)),"")</f>
        <v/>
      </c>
      <c r="S388" s="4" t="str">
        <f>IFERROR(INDEX(样本到样信息汇总统计!S$2:S$500,MATCH(387,样本到样信息汇总统计!$Y$2:$Y$500,0)),"")</f>
        <v/>
      </c>
      <c r="T388" s="4" t="str">
        <f>IFERROR(INDEX(样本到样信息汇总统计!T$2:T$500,MATCH(387,样本到样信息汇总统计!$Y$2:$Y$500,0)),"")</f>
        <v/>
      </c>
      <c r="U388" s="4" t="str">
        <f>IFERROR(INDEX(样本到样信息汇总统计!U$2:U$500,MATCH(387,样本到样信息汇总统计!$Y$2:$Y$500,0)),"")</f>
        <v/>
      </c>
      <c r="V388" s="4" t="str">
        <f>IFERROR(INDEX(样本到样信息汇总统计!V$2:V$500,MATCH(387,样本到样信息汇总统计!$Y$2:$Y$500,0)),"")</f>
        <v/>
      </c>
      <c r="W388" s="4" t="str">
        <f>IFERROR(INDEX(样本到样信息汇总统计!W$2:W$500,MATCH(387,样本到样信息汇总统计!$Y$2:$Y$500,0)),"")</f>
        <v/>
      </c>
    </row>
    <row r="389" ht="14.5" spans="1:23">
      <c r="A389" s="8" t="str">
        <f>IFERROR(INDEX(样本到样信息汇总统计!A$2:A$500,MATCH(388,样本到样信息汇总统计!$Y$2:$Y$500,0)),"")</f>
        <v/>
      </c>
      <c r="B389" s="8" t="str">
        <f>IFERROR(INDEX(样本到样信息汇总统计!B$2:B$500,MATCH(388,样本到样信息汇总统计!$Y$2:$Y$500,0)),"")</f>
        <v/>
      </c>
      <c r="C389" s="8" t="str">
        <f>IFERROR(INDEX(样本到样信息汇总统计!C$2:C$500,MATCH(388,样本到样信息汇总统计!$Y$2:$Y$500,0)),"")</f>
        <v/>
      </c>
      <c r="D389" s="8" t="str">
        <f>IFERROR(INDEX(样本到样信息汇总统计!D$2:D$500,MATCH(388,样本到样信息汇总统计!$Y$2:$Y$500,0)),"")</f>
        <v/>
      </c>
      <c r="E389" s="8" t="str">
        <f>IFERROR(INDEX(样本到样信息汇总统计!E$2:E$500,MATCH(388,样本到样信息汇总统计!$Y$2:$Y$500,0)),"")</f>
        <v/>
      </c>
      <c r="F389" s="8" t="str">
        <f>IFERROR(INDEX(样本到样信息汇总统计!F$2:F$500,MATCH(388,样本到样信息汇总统计!$Y$2:$Y$500,0)),"")</f>
        <v/>
      </c>
      <c r="G389" s="8" t="str">
        <f>IFERROR(INDEX(样本到样信息汇总统计!G$2:G$500,MATCH(388,样本到样信息汇总统计!$Y$2:$Y$500,0)),"")</f>
        <v/>
      </c>
      <c r="H389" s="8" t="str">
        <f>IFERROR(INDEX(样本到样信息汇总统计!H$2:H$500,MATCH(388,样本到样信息汇总统计!$Y$2:$Y$500,0)),"")</f>
        <v/>
      </c>
      <c r="I389" s="8" t="str">
        <f>IFERROR(INDEX(样本到样信息汇总统计!I$2:I$500,MATCH(388,样本到样信息汇总统计!$Y$2:$Y$500,0)),"")</f>
        <v/>
      </c>
      <c r="J389" s="8" t="str">
        <f>IFERROR(INDEX(样本到样信息汇总统计!J$2:J$500,MATCH(388,样本到样信息汇总统计!$Y$2:$Y$500,0)),"")</f>
        <v/>
      </c>
      <c r="K389" s="8" t="str">
        <f>IFERROR(INDEX(样本到样信息汇总统计!K$2:K$500,MATCH(388,样本到样信息汇总统计!$Y$2:$Y$500,0)),"")</f>
        <v/>
      </c>
      <c r="L389" s="8" t="str">
        <f>IFERROR(INDEX(样本到样信息汇总统计!L$2:L$500,MATCH(388,样本到样信息汇总统计!$Y$2:$Y$500,0)),"")</f>
        <v/>
      </c>
      <c r="M389" s="8" t="str">
        <f>IFERROR(INDEX(样本到样信息汇总统计!M$2:M$500,MATCH(388,样本到样信息汇总统计!$Y$2:$Y$500,0)),"")</f>
        <v/>
      </c>
      <c r="N389" s="8" t="str">
        <f>IFERROR(INDEX(样本到样信息汇总统计!N$2:N$500,MATCH(388,样本到样信息汇总统计!$Y$2:$Y$500,0)),"")</f>
        <v/>
      </c>
      <c r="O389" s="8" t="str">
        <f>IFERROR(INDEX(样本到样信息汇总统计!O$2:O$500,MATCH(388,样本到样信息汇总统计!$Y$2:$Y$500,0)),"")</f>
        <v/>
      </c>
      <c r="P389" s="8" t="str">
        <f>IFERROR(INDEX(样本到样信息汇总统计!P$2:P$500,MATCH(388,样本到样信息汇总统计!$Y$2:$Y$500,0)),"")</f>
        <v/>
      </c>
      <c r="Q389" s="8" t="str">
        <f>IFERROR(INDEX(样本到样信息汇总统计!Q$2:Q$500,MATCH(388,样本到样信息汇总统计!$Y$2:$Y$500,0)),"")</f>
        <v/>
      </c>
      <c r="R389" s="8" t="str">
        <f>IFERROR(INDEX(样本到样信息汇总统计!R$2:R$500,MATCH(388,样本到样信息汇总统计!$Y$2:$Y$500,0)),"")</f>
        <v/>
      </c>
      <c r="S389" s="8" t="str">
        <f>IFERROR(INDEX(样本到样信息汇总统计!S$2:S$500,MATCH(388,样本到样信息汇总统计!$Y$2:$Y$500,0)),"")</f>
        <v/>
      </c>
      <c r="T389" s="8" t="str">
        <f>IFERROR(INDEX(样本到样信息汇总统计!T$2:T$500,MATCH(388,样本到样信息汇总统计!$Y$2:$Y$500,0)),"")</f>
        <v/>
      </c>
      <c r="U389" s="8" t="str">
        <f>IFERROR(INDEX(样本到样信息汇总统计!U$2:U$500,MATCH(388,样本到样信息汇总统计!$Y$2:$Y$500,0)),"")</f>
        <v/>
      </c>
      <c r="V389" s="8" t="str">
        <f>IFERROR(INDEX(样本到样信息汇总统计!V$2:V$500,MATCH(388,样本到样信息汇总统计!$Y$2:$Y$500,0)),"")</f>
        <v/>
      </c>
      <c r="W389" s="8" t="str">
        <f>IFERROR(INDEX(样本到样信息汇总统计!W$2:W$500,MATCH(388,样本到样信息汇总统计!$Y$2:$Y$500,0)),"")</f>
        <v/>
      </c>
    </row>
    <row r="390" ht="14.5" spans="1:23">
      <c r="A390" s="4" t="str">
        <f>IFERROR(INDEX(样本到样信息汇总统计!A$2:A$500,MATCH(389,样本到样信息汇总统计!$Y$2:$Y$500,0)),"")</f>
        <v/>
      </c>
      <c r="B390" s="4" t="str">
        <f>IFERROR(INDEX(样本到样信息汇总统计!B$2:B$500,MATCH(389,样本到样信息汇总统计!$Y$2:$Y$500,0)),"")</f>
        <v/>
      </c>
      <c r="C390" s="4" t="str">
        <f>IFERROR(INDEX(样本到样信息汇总统计!C$2:C$500,MATCH(389,样本到样信息汇总统计!$Y$2:$Y$500,0)),"")</f>
        <v/>
      </c>
      <c r="D390" s="4" t="str">
        <f>IFERROR(INDEX(样本到样信息汇总统计!D$2:D$500,MATCH(389,样本到样信息汇总统计!$Y$2:$Y$500,0)),"")</f>
        <v/>
      </c>
      <c r="E390" s="4" t="str">
        <f>IFERROR(INDEX(样本到样信息汇总统计!E$2:E$500,MATCH(389,样本到样信息汇总统计!$Y$2:$Y$500,0)),"")</f>
        <v/>
      </c>
      <c r="F390" s="4" t="str">
        <f>IFERROR(INDEX(样本到样信息汇总统计!F$2:F$500,MATCH(389,样本到样信息汇总统计!$Y$2:$Y$500,0)),"")</f>
        <v/>
      </c>
      <c r="G390" s="4" t="str">
        <f>IFERROR(INDEX(样本到样信息汇总统计!G$2:G$500,MATCH(389,样本到样信息汇总统计!$Y$2:$Y$500,0)),"")</f>
        <v/>
      </c>
      <c r="H390" s="4" t="str">
        <f>IFERROR(INDEX(样本到样信息汇总统计!H$2:H$500,MATCH(389,样本到样信息汇总统计!$Y$2:$Y$500,0)),"")</f>
        <v/>
      </c>
      <c r="I390" s="4" t="str">
        <f>IFERROR(INDEX(样本到样信息汇总统计!I$2:I$500,MATCH(389,样本到样信息汇总统计!$Y$2:$Y$500,0)),"")</f>
        <v/>
      </c>
      <c r="J390" s="4" t="str">
        <f>IFERROR(INDEX(样本到样信息汇总统计!J$2:J$500,MATCH(389,样本到样信息汇总统计!$Y$2:$Y$500,0)),"")</f>
        <v/>
      </c>
      <c r="K390" s="4" t="str">
        <f>IFERROR(INDEX(样本到样信息汇总统计!K$2:K$500,MATCH(389,样本到样信息汇总统计!$Y$2:$Y$500,0)),"")</f>
        <v/>
      </c>
      <c r="L390" s="4" t="str">
        <f>IFERROR(INDEX(样本到样信息汇总统计!L$2:L$500,MATCH(389,样本到样信息汇总统计!$Y$2:$Y$500,0)),"")</f>
        <v/>
      </c>
      <c r="M390" s="4" t="str">
        <f>IFERROR(INDEX(样本到样信息汇总统计!M$2:M$500,MATCH(389,样本到样信息汇总统计!$Y$2:$Y$500,0)),"")</f>
        <v/>
      </c>
      <c r="N390" s="4" t="str">
        <f>IFERROR(INDEX(样本到样信息汇总统计!N$2:N$500,MATCH(389,样本到样信息汇总统计!$Y$2:$Y$500,0)),"")</f>
        <v/>
      </c>
      <c r="O390" s="4" t="str">
        <f>IFERROR(INDEX(样本到样信息汇总统计!O$2:O$500,MATCH(389,样本到样信息汇总统计!$Y$2:$Y$500,0)),"")</f>
        <v/>
      </c>
      <c r="P390" s="4" t="str">
        <f>IFERROR(INDEX(样本到样信息汇总统计!P$2:P$500,MATCH(389,样本到样信息汇总统计!$Y$2:$Y$500,0)),"")</f>
        <v/>
      </c>
      <c r="Q390" s="4" t="str">
        <f>IFERROR(INDEX(样本到样信息汇总统计!Q$2:Q$500,MATCH(389,样本到样信息汇总统计!$Y$2:$Y$500,0)),"")</f>
        <v/>
      </c>
      <c r="R390" s="4" t="str">
        <f>IFERROR(INDEX(样本到样信息汇总统计!R$2:R$500,MATCH(389,样本到样信息汇总统计!$Y$2:$Y$500,0)),"")</f>
        <v/>
      </c>
      <c r="S390" s="4" t="str">
        <f>IFERROR(INDEX(样本到样信息汇总统计!S$2:S$500,MATCH(389,样本到样信息汇总统计!$Y$2:$Y$500,0)),"")</f>
        <v/>
      </c>
      <c r="T390" s="4" t="str">
        <f>IFERROR(INDEX(样本到样信息汇总统计!T$2:T$500,MATCH(389,样本到样信息汇总统计!$Y$2:$Y$500,0)),"")</f>
        <v/>
      </c>
      <c r="U390" s="4" t="str">
        <f>IFERROR(INDEX(样本到样信息汇总统计!U$2:U$500,MATCH(389,样本到样信息汇总统计!$Y$2:$Y$500,0)),"")</f>
        <v/>
      </c>
      <c r="V390" s="4" t="str">
        <f>IFERROR(INDEX(样本到样信息汇总统计!V$2:V$500,MATCH(389,样本到样信息汇总统计!$Y$2:$Y$500,0)),"")</f>
        <v/>
      </c>
      <c r="W390" s="4" t="str">
        <f>IFERROR(INDEX(样本到样信息汇总统计!W$2:W$500,MATCH(389,样本到样信息汇总统计!$Y$2:$Y$500,0)),"")</f>
        <v/>
      </c>
    </row>
    <row r="391" ht="14.5" spans="1:23">
      <c r="A391" s="8" t="str">
        <f>IFERROR(INDEX(样本到样信息汇总统计!A$2:A$500,MATCH(390,样本到样信息汇总统计!$Y$2:$Y$500,0)),"")</f>
        <v/>
      </c>
      <c r="B391" s="8" t="str">
        <f>IFERROR(INDEX(样本到样信息汇总统计!B$2:B$500,MATCH(390,样本到样信息汇总统计!$Y$2:$Y$500,0)),"")</f>
        <v/>
      </c>
      <c r="C391" s="8" t="str">
        <f>IFERROR(INDEX(样本到样信息汇总统计!C$2:C$500,MATCH(390,样本到样信息汇总统计!$Y$2:$Y$500,0)),"")</f>
        <v/>
      </c>
      <c r="D391" s="8" t="str">
        <f>IFERROR(INDEX(样本到样信息汇总统计!D$2:D$500,MATCH(390,样本到样信息汇总统计!$Y$2:$Y$500,0)),"")</f>
        <v/>
      </c>
      <c r="E391" s="8" t="str">
        <f>IFERROR(INDEX(样本到样信息汇总统计!E$2:E$500,MATCH(390,样本到样信息汇总统计!$Y$2:$Y$500,0)),"")</f>
        <v/>
      </c>
      <c r="F391" s="8" t="str">
        <f>IFERROR(INDEX(样本到样信息汇总统计!F$2:F$500,MATCH(390,样本到样信息汇总统计!$Y$2:$Y$500,0)),"")</f>
        <v/>
      </c>
      <c r="G391" s="8" t="str">
        <f>IFERROR(INDEX(样本到样信息汇总统计!G$2:G$500,MATCH(390,样本到样信息汇总统计!$Y$2:$Y$500,0)),"")</f>
        <v/>
      </c>
      <c r="H391" s="8" t="str">
        <f>IFERROR(INDEX(样本到样信息汇总统计!H$2:H$500,MATCH(390,样本到样信息汇总统计!$Y$2:$Y$500,0)),"")</f>
        <v/>
      </c>
      <c r="I391" s="8" t="str">
        <f>IFERROR(INDEX(样本到样信息汇总统计!I$2:I$500,MATCH(390,样本到样信息汇总统计!$Y$2:$Y$500,0)),"")</f>
        <v/>
      </c>
      <c r="J391" s="8" t="str">
        <f>IFERROR(INDEX(样本到样信息汇总统计!J$2:J$500,MATCH(390,样本到样信息汇总统计!$Y$2:$Y$500,0)),"")</f>
        <v/>
      </c>
      <c r="K391" s="8" t="str">
        <f>IFERROR(INDEX(样本到样信息汇总统计!K$2:K$500,MATCH(390,样本到样信息汇总统计!$Y$2:$Y$500,0)),"")</f>
        <v/>
      </c>
      <c r="L391" s="8" t="str">
        <f>IFERROR(INDEX(样本到样信息汇总统计!L$2:L$500,MATCH(390,样本到样信息汇总统计!$Y$2:$Y$500,0)),"")</f>
        <v/>
      </c>
      <c r="M391" s="8" t="str">
        <f>IFERROR(INDEX(样本到样信息汇总统计!M$2:M$500,MATCH(390,样本到样信息汇总统计!$Y$2:$Y$500,0)),"")</f>
        <v/>
      </c>
      <c r="N391" s="8" t="str">
        <f>IFERROR(INDEX(样本到样信息汇总统计!N$2:N$500,MATCH(390,样本到样信息汇总统计!$Y$2:$Y$500,0)),"")</f>
        <v/>
      </c>
      <c r="O391" s="8" t="str">
        <f>IFERROR(INDEX(样本到样信息汇总统计!O$2:O$500,MATCH(390,样本到样信息汇总统计!$Y$2:$Y$500,0)),"")</f>
        <v/>
      </c>
      <c r="P391" s="8" t="str">
        <f>IFERROR(INDEX(样本到样信息汇总统计!P$2:P$500,MATCH(390,样本到样信息汇总统计!$Y$2:$Y$500,0)),"")</f>
        <v/>
      </c>
      <c r="Q391" s="8" t="str">
        <f>IFERROR(INDEX(样本到样信息汇总统计!Q$2:Q$500,MATCH(390,样本到样信息汇总统计!$Y$2:$Y$500,0)),"")</f>
        <v/>
      </c>
      <c r="R391" s="8" t="str">
        <f>IFERROR(INDEX(样本到样信息汇总统计!R$2:R$500,MATCH(390,样本到样信息汇总统计!$Y$2:$Y$500,0)),"")</f>
        <v/>
      </c>
      <c r="S391" s="8" t="str">
        <f>IFERROR(INDEX(样本到样信息汇总统计!S$2:S$500,MATCH(390,样本到样信息汇总统计!$Y$2:$Y$500,0)),"")</f>
        <v/>
      </c>
      <c r="T391" s="8" t="str">
        <f>IFERROR(INDEX(样本到样信息汇总统计!T$2:T$500,MATCH(390,样本到样信息汇总统计!$Y$2:$Y$500,0)),"")</f>
        <v/>
      </c>
      <c r="U391" s="8" t="str">
        <f>IFERROR(INDEX(样本到样信息汇总统计!U$2:U$500,MATCH(390,样本到样信息汇总统计!$Y$2:$Y$500,0)),"")</f>
        <v/>
      </c>
      <c r="V391" s="8" t="str">
        <f>IFERROR(INDEX(样本到样信息汇总统计!V$2:V$500,MATCH(390,样本到样信息汇总统计!$Y$2:$Y$500,0)),"")</f>
        <v/>
      </c>
      <c r="W391" s="8" t="str">
        <f>IFERROR(INDEX(样本到样信息汇总统计!W$2:W$500,MATCH(390,样本到样信息汇总统计!$Y$2:$Y$500,0)),"")</f>
        <v/>
      </c>
    </row>
    <row r="392" ht="14.5" spans="1:23">
      <c r="A392" s="4" t="str">
        <f>IFERROR(INDEX(样本到样信息汇总统计!A$2:A$500,MATCH(391,样本到样信息汇总统计!$Y$2:$Y$500,0)),"")</f>
        <v/>
      </c>
      <c r="B392" s="4" t="str">
        <f>IFERROR(INDEX(样本到样信息汇总统计!B$2:B$500,MATCH(391,样本到样信息汇总统计!$Y$2:$Y$500,0)),"")</f>
        <v/>
      </c>
      <c r="C392" s="4" t="str">
        <f>IFERROR(INDEX(样本到样信息汇总统计!C$2:C$500,MATCH(391,样本到样信息汇总统计!$Y$2:$Y$500,0)),"")</f>
        <v/>
      </c>
      <c r="D392" s="4" t="str">
        <f>IFERROR(INDEX(样本到样信息汇总统计!D$2:D$500,MATCH(391,样本到样信息汇总统计!$Y$2:$Y$500,0)),"")</f>
        <v/>
      </c>
      <c r="E392" s="4" t="str">
        <f>IFERROR(INDEX(样本到样信息汇总统计!E$2:E$500,MATCH(391,样本到样信息汇总统计!$Y$2:$Y$500,0)),"")</f>
        <v/>
      </c>
      <c r="F392" s="4" t="str">
        <f>IFERROR(INDEX(样本到样信息汇总统计!F$2:F$500,MATCH(391,样本到样信息汇总统计!$Y$2:$Y$500,0)),"")</f>
        <v/>
      </c>
      <c r="G392" s="4" t="str">
        <f>IFERROR(INDEX(样本到样信息汇总统计!G$2:G$500,MATCH(391,样本到样信息汇总统计!$Y$2:$Y$500,0)),"")</f>
        <v/>
      </c>
      <c r="H392" s="4" t="str">
        <f>IFERROR(INDEX(样本到样信息汇总统计!H$2:H$500,MATCH(391,样本到样信息汇总统计!$Y$2:$Y$500,0)),"")</f>
        <v/>
      </c>
      <c r="I392" s="4" t="str">
        <f>IFERROR(INDEX(样本到样信息汇总统计!I$2:I$500,MATCH(391,样本到样信息汇总统计!$Y$2:$Y$500,0)),"")</f>
        <v/>
      </c>
      <c r="J392" s="4" t="str">
        <f>IFERROR(INDEX(样本到样信息汇总统计!J$2:J$500,MATCH(391,样本到样信息汇总统计!$Y$2:$Y$500,0)),"")</f>
        <v/>
      </c>
      <c r="K392" s="4" t="str">
        <f>IFERROR(INDEX(样本到样信息汇总统计!K$2:K$500,MATCH(391,样本到样信息汇总统计!$Y$2:$Y$500,0)),"")</f>
        <v/>
      </c>
      <c r="L392" s="4" t="str">
        <f>IFERROR(INDEX(样本到样信息汇总统计!L$2:L$500,MATCH(391,样本到样信息汇总统计!$Y$2:$Y$500,0)),"")</f>
        <v/>
      </c>
      <c r="M392" s="4" t="str">
        <f>IFERROR(INDEX(样本到样信息汇总统计!M$2:M$500,MATCH(391,样本到样信息汇总统计!$Y$2:$Y$500,0)),"")</f>
        <v/>
      </c>
      <c r="N392" s="4" t="str">
        <f>IFERROR(INDEX(样本到样信息汇总统计!N$2:N$500,MATCH(391,样本到样信息汇总统计!$Y$2:$Y$500,0)),"")</f>
        <v/>
      </c>
      <c r="O392" s="4" t="str">
        <f>IFERROR(INDEX(样本到样信息汇总统计!O$2:O$500,MATCH(391,样本到样信息汇总统计!$Y$2:$Y$500,0)),"")</f>
        <v/>
      </c>
      <c r="P392" s="4" t="str">
        <f>IFERROR(INDEX(样本到样信息汇总统计!P$2:P$500,MATCH(391,样本到样信息汇总统计!$Y$2:$Y$500,0)),"")</f>
        <v/>
      </c>
      <c r="Q392" s="4" t="str">
        <f>IFERROR(INDEX(样本到样信息汇总统计!Q$2:Q$500,MATCH(391,样本到样信息汇总统计!$Y$2:$Y$500,0)),"")</f>
        <v/>
      </c>
      <c r="R392" s="4" t="str">
        <f>IFERROR(INDEX(样本到样信息汇总统计!R$2:R$500,MATCH(391,样本到样信息汇总统计!$Y$2:$Y$500,0)),"")</f>
        <v/>
      </c>
      <c r="S392" s="4" t="str">
        <f>IFERROR(INDEX(样本到样信息汇总统计!S$2:S$500,MATCH(391,样本到样信息汇总统计!$Y$2:$Y$500,0)),"")</f>
        <v/>
      </c>
      <c r="T392" s="4" t="str">
        <f>IFERROR(INDEX(样本到样信息汇总统计!T$2:T$500,MATCH(391,样本到样信息汇总统计!$Y$2:$Y$500,0)),"")</f>
        <v/>
      </c>
      <c r="U392" s="4" t="str">
        <f>IFERROR(INDEX(样本到样信息汇总统计!U$2:U$500,MATCH(391,样本到样信息汇总统计!$Y$2:$Y$500,0)),"")</f>
        <v/>
      </c>
      <c r="V392" s="4" t="str">
        <f>IFERROR(INDEX(样本到样信息汇总统计!V$2:V$500,MATCH(391,样本到样信息汇总统计!$Y$2:$Y$500,0)),"")</f>
        <v/>
      </c>
      <c r="W392" s="4" t="str">
        <f>IFERROR(INDEX(样本到样信息汇总统计!W$2:W$500,MATCH(391,样本到样信息汇总统计!$Y$2:$Y$500,0)),"")</f>
        <v/>
      </c>
    </row>
    <row r="393" ht="14.5" spans="1:23">
      <c r="A393" s="8" t="str">
        <f>IFERROR(INDEX(样本到样信息汇总统计!A$2:A$500,MATCH(392,样本到样信息汇总统计!$Y$2:$Y$500,0)),"")</f>
        <v/>
      </c>
      <c r="B393" s="8" t="str">
        <f>IFERROR(INDEX(样本到样信息汇总统计!B$2:B$500,MATCH(392,样本到样信息汇总统计!$Y$2:$Y$500,0)),"")</f>
        <v/>
      </c>
      <c r="C393" s="8" t="str">
        <f>IFERROR(INDEX(样本到样信息汇总统计!C$2:C$500,MATCH(392,样本到样信息汇总统计!$Y$2:$Y$500,0)),"")</f>
        <v/>
      </c>
      <c r="D393" s="8" t="str">
        <f>IFERROR(INDEX(样本到样信息汇总统计!D$2:D$500,MATCH(392,样本到样信息汇总统计!$Y$2:$Y$500,0)),"")</f>
        <v/>
      </c>
      <c r="E393" s="8" t="str">
        <f>IFERROR(INDEX(样本到样信息汇总统计!E$2:E$500,MATCH(392,样本到样信息汇总统计!$Y$2:$Y$500,0)),"")</f>
        <v/>
      </c>
      <c r="F393" s="8" t="str">
        <f>IFERROR(INDEX(样本到样信息汇总统计!F$2:F$500,MATCH(392,样本到样信息汇总统计!$Y$2:$Y$500,0)),"")</f>
        <v/>
      </c>
      <c r="G393" s="8" t="str">
        <f>IFERROR(INDEX(样本到样信息汇总统计!G$2:G$500,MATCH(392,样本到样信息汇总统计!$Y$2:$Y$500,0)),"")</f>
        <v/>
      </c>
      <c r="H393" s="8" t="str">
        <f>IFERROR(INDEX(样本到样信息汇总统计!H$2:H$500,MATCH(392,样本到样信息汇总统计!$Y$2:$Y$500,0)),"")</f>
        <v/>
      </c>
      <c r="I393" s="8" t="str">
        <f>IFERROR(INDEX(样本到样信息汇总统计!I$2:I$500,MATCH(392,样本到样信息汇总统计!$Y$2:$Y$500,0)),"")</f>
        <v/>
      </c>
      <c r="J393" s="8" t="str">
        <f>IFERROR(INDEX(样本到样信息汇总统计!J$2:J$500,MATCH(392,样本到样信息汇总统计!$Y$2:$Y$500,0)),"")</f>
        <v/>
      </c>
      <c r="K393" s="8" t="str">
        <f>IFERROR(INDEX(样本到样信息汇总统计!K$2:K$500,MATCH(392,样本到样信息汇总统计!$Y$2:$Y$500,0)),"")</f>
        <v/>
      </c>
      <c r="L393" s="8" t="str">
        <f>IFERROR(INDEX(样本到样信息汇总统计!L$2:L$500,MATCH(392,样本到样信息汇总统计!$Y$2:$Y$500,0)),"")</f>
        <v/>
      </c>
      <c r="M393" s="8" t="str">
        <f>IFERROR(INDEX(样本到样信息汇总统计!M$2:M$500,MATCH(392,样本到样信息汇总统计!$Y$2:$Y$500,0)),"")</f>
        <v/>
      </c>
      <c r="N393" s="8" t="str">
        <f>IFERROR(INDEX(样本到样信息汇总统计!N$2:N$500,MATCH(392,样本到样信息汇总统计!$Y$2:$Y$500,0)),"")</f>
        <v/>
      </c>
      <c r="O393" s="8" t="str">
        <f>IFERROR(INDEX(样本到样信息汇总统计!O$2:O$500,MATCH(392,样本到样信息汇总统计!$Y$2:$Y$500,0)),"")</f>
        <v/>
      </c>
      <c r="P393" s="8" t="str">
        <f>IFERROR(INDEX(样本到样信息汇总统计!P$2:P$500,MATCH(392,样本到样信息汇总统计!$Y$2:$Y$500,0)),"")</f>
        <v/>
      </c>
      <c r="Q393" s="8" t="str">
        <f>IFERROR(INDEX(样本到样信息汇总统计!Q$2:Q$500,MATCH(392,样本到样信息汇总统计!$Y$2:$Y$500,0)),"")</f>
        <v/>
      </c>
      <c r="R393" s="8" t="str">
        <f>IFERROR(INDEX(样本到样信息汇总统计!R$2:R$500,MATCH(392,样本到样信息汇总统计!$Y$2:$Y$500,0)),"")</f>
        <v/>
      </c>
      <c r="S393" s="8" t="str">
        <f>IFERROR(INDEX(样本到样信息汇总统计!S$2:S$500,MATCH(392,样本到样信息汇总统计!$Y$2:$Y$500,0)),"")</f>
        <v/>
      </c>
      <c r="T393" s="8" t="str">
        <f>IFERROR(INDEX(样本到样信息汇总统计!T$2:T$500,MATCH(392,样本到样信息汇总统计!$Y$2:$Y$500,0)),"")</f>
        <v/>
      </c>
      <c r="U393" s="8" t="str">
        <f>IFERROR(INDEX(样本到样信息汇总统计!U$2:U$500,MATCH(392,样本到样信息汇总统计!$Y$2:$Y$500,0)),"")</f>
        <v/>
      </c>
      <c r="V393" s="8" t="str">
        <f>IFERROR(INDEX(样本到样信息汇总统计!V$2:V$500,MATCH(392,样本到样信息汇总统计!$Y$2:$Y$500,0)),"")</f>
        <v/>
      </c>
      <c r="W393" s="8" t="str">
        <f>IFERROR(INDEX(样本到样信息汇总统计!W$2:W$500,MATCH(392,样本到样信息汇总统计!$Y$2:$Y$500,0)),"")</f>
        <v/>
      </c>
    </row>
    <row r="394" ht="14.5" spans="1:23">
      <c r="A394" s="4" t="str">
        <f>IFERROR(INDEX(样本到样信息汇总统计!A$2:A$500,MATCH(393,样本到样信息汇总统计!$Y$2:$Y$500,0)),"")</f>
        <v/>
      </c>
      <c r="B394" s="4" t="str">
        <f>IFERROR(INDEX(样本到样信息汇总统计!B$2:B$500,MATCH(393,样本到样信息汇总统计!$Y$2:$Y$500,0)),"")</f>
        <v/>
      </c>
      <c r="C394" s="4" t="str">
        <f>IFERROR(INDEX(样本到样信息汇总统计!C$2:C$500,MATCH(393,样本到样信息汇总统计!$Y$2:$Y$500,0)),"")</f>
        <v/>
      </c>
      <c r="D394" s="4" t="str">
        <f>IFERROR(INDEX(样本到样信息汇总统计!D$2:D$500,MATCH(393,样本到样信息汇总统计!$Y$2:$Y$500,0)),"")</f>
        <v/>
      </c>
      <c r="E394" s="4" t="str">
        <f>IFERROR(INDEX(样本到样信息汇总统计!E$2:E$500,MATCH(393,样本到样信息汇总统计!$Y$2:$Y$500,0)),"")</f>
        <v/>
      </c>
      <c r="F394" s="4" t="str">
        <f>IFERROR(INDEX(样本到样信息汇总统计!F$2:F$500,MATCH(393,样本到样信息汇总统计!$Y$2:$Y$500,0)),"")</f>
        <v/>
      </c>
      <c r="G394" s="4" t="str">
        <f>IFERROR(INDEX(样本到样信息汇总统计!G$2:G$500,MATCH(393,样本到样信息汇总统计!$Y$2:$Y$500,0)),"")</f>
        <v/>
      </c>
      <c r="H394" s="4" t="str">
        <f>IFERROR(INDEX(样本到样信息汇总统计!H$2:H$500,MATCH(393,样本到样信息汇总统计!$Y$2:$Y$500,0)),"")</f>
        <v/>
      </c>
      <c r="I394" s="4" t="str">
        <f>IFERROR(INDEX(样本到样信息汇总统计!I$2:I$500,MATCH(393,样本到样信息汇总统计!$Y$2:$Y$500,0)),"")</f>
        <v/>
      </c>
      <c r="J394" s="4" t="str">
        <f>IFERROR(INDEX(样本到样信息汇总统计!J$2:J$500,MATCH(393,样本到样信息汇总统计!$Y$2:$Y$500,0)),"")</f>
        <v/>
      </c>
      <c r="K394" s="4" t="str">
        <f>IFERROR(INDEX(样本到样信息汇总统计!K$2:K$500,MATCH(393,样本到样信息汇总统计!$Y$2:$Y$500,0)),"")</f>
        <v/>
      </c>
      <c r="L394" s="4" t="str">
        <f>IFERROR(INDEX(样本到样信息汇总统计!L$2:L$500,MATCH(393,样本到样信息汇总统计!$Y$2:$Y$500,0)),"")</f>
        <v/>
      </c>
      <c r="M394" s="4" t="str">
        <f>IFERROR(INDEX(样本到样信息汇总统计!M$2:M$500,MATCH(393,样本到样信息汇总统计!$Y$2:$Y$500,0)),"")</f>
        <v/>
      </c>
      <c r="N394" s="4" t="str">
        <f>IFERROR(INDEX(样本到样信息汇总统计!N$2:N$500,MATCH(393,样本到样信息汇总统计!$Y$2:$Y$500,0)),"")</f>
        <v/>
      </c>
      <c r="O394" s="4" t="str">
        <f>IFERROR(INDEX(样本到样信息汇总统计!O$2:O$500,MATCH(393,样本到样信息汇总统计!$Y$2:$Y$500,0)),"")</f>
        <v/>
      </c>
      <c r="P394" s="4" t="str">
        <f>IFERROR(INDEX(样本到样信息汇总统计!P$2:P$500,MATCH(393,样本到样信息汇总统计!$Y$2:$Y$500,0)),"")</f>
        <v/>
      </c>
      <c r="Q394" s="4" t="str">
        <f>IFERROR(INDEX(样本到样信息汇总统计!Q$2:Q$500,MATCH(393,样本到样信息汇总统计!$Y$2:$Y$500,0)),"")</f>
        <v/>
      </c>
      <c r="R394" s="4" t="str">
        <f>IFERROR(INDEX(样本到样信息汇总统计!R$2:R$500,MATCH(393,样本到样信息汇总统计!$Y$2:$Y$500,0)),"")</f>
        <v/>
      </c>
      <c r="S394" s="4" t="str">
        <f>IFERROR(INDEX(样本到样信息汇总统计!S$2:S$500,MATCH(393,样本到样信息汇总统计!$Y$2:$Y$500,0)),"")</f>
        <v/>
      </c>
      <c r="T394" s="4" t="str">
        <f>IFERROR(INDEX(样本到样信息汇总统计!T$2:T$500,MATCH(393,样本到样信息汇总统计!$Y$2:$Y$500,0)),"")</f>
        <v/>
      </c>
      <c r="U394" s="4" t="str">
        <f>IFERROR(INDEX(样本到样信息汇总统计!U$2:U$500,MATCH(393,样本到样信息汇总统计!$Y$2:$Y$500,0)),"")</f>
        <v/>
      </c>
      <c r="V394" s="4" t="str">
        <f>IFERROR(INDEX(样本到样信息汇总统计!V$2:V$500,MATCH(393,样本到样信息汇总统计!$Y$2:$Y$500,0)),"")</f>
        <v/>
      </c>
      <c r="W394" s="4" t="str">
        <f>IFERROR(INDEX(样本到样信息汇总统计!W$2:W$500,MATCH(393,样本到样信息汇总统计!$Y$2:$Y$500,0)),"")</f>
        <v/>
      </c>
    </row>
    <row r="395" ht="14.5" spans="1:23">
      <c r="A395" s="8" t="str">
        <f>IFERROR(INDEX(样本到样信息汇总统计!A$2:A$500,MATCH(394,样本到样信息汇总统计!$Y$2:$Y$500,0)),"")</f>
        <v/>
      </c>
      <c r="B395" s="8" t="str">
        <f>IFERROR(INDEX(样本到样信息汇总统计!B$2:B$500,MATCH(394,样本到样信息汇总统计!$Y$2:$Y$500,0)),"")</f>
        <v/>
      </c>
      <c r="C395" s="8" t="str">
        <f>IFERROR(INDEX(样本到样信息汇总统计!C$2:C$500,MATCH(394,样本到样信息汇总统计!$Y$2:$Y$500,0)),"")</f>
        <v/>
      </c>
      <c r="D395" s="8" t="str">
        <f>IFERROR(INDEX(样本到样信息汇总统计!D$2:D$500,MATCH(394,样本到样信息汇总统计!$Y$2:$Y$500,0)),"")</f>
        <v/>
      </c>
      <c r="E395" s="8" t="str">
        <f>IFERROR(INDEX(样本到样信息汇总统计!E$2:E$500,MATCH(394,样本到样信息汇总统计!$Y$2:$Y$500,0)),"")</f>
        <v/>
      </c>
      <c r="F395" s="8" t="str">
        <f>IFERROR(INDEX(样本到样信息汇总统计!F$2:F$500,MATCH(394,样本到样信息汇总统计!$Y$2:$Y$500,0)),"")</f>
        <v/>
      </c>
      <c r="G395" s="8" t="str">
        <f>IFERROR(INDEX(样本到样信息汇总统计!G$2:G$500,MATCH(394,样本到样信息汇总统计!$Y$2:$Y$500,0)),"")</f>
        <v/>
      </c>
      <c r="H395" s="8" t="str">
        <f>IFERROR(INDEX(样本到样信息汇总统计!H$2:H$500,MATCH(394,样本到样信息汇总统计!$Y$2:$Y$500,0)),"")</f>
        <v/>
      </c>
      <c r="I395" s="8" t="str">
        <f>IFERROR(INDEX(样本到样信息汇总统计!I$2:I$500,MATCH(394,样本到样信息汇总统计!$Y$2:$Y$500,0)),"")</f>
        <v/>
      </c>
      <c r="J395" s="8" t="str">
        <f>IFERROR(INDEX(样本到样信息汇总统计!J$2:J$500,MATCH(394,样本到样信息汇总统计!$Y$2:$Y$500,0)),"")</f>
        <v/>
      </c>
      <c r="K395" s="8" t="str">
        <f>IFERROR(INDEX(样本到样信息汇总统计!K$2:K$500,MATCH(394,样本到样信息汇总统计!$Y$2:$Y$500,0)),"")</f>
        <v/>
      </c>
      <c r="L395" s="8" t="str">
        <f>IFERROR(INDEX(样本到样信息汇总统计!L$2:L$500,MATCH(394,样本到样信息汇总统计!$Y$2:$Y$500,0)),"")</f>
        <v/>
      </c>
      <c r="M395" s="8" t="str">
        <f>IFERROR(INDEX(样本到样信息汇总统计!M$2:M$500,MATCH(394,样本到样信息汇总统计!$Y$2:$Y$500,0)),"")</f>
        <v/>
      </c>
      <c r="N395" s="8" t="str">
        <f>IFERROR(INDEX(样本到样信息汇总统计!N$2:N$500,MATCH(394,样本到样信息汇总统计!$Y$2:$Y$500,0)),"")</f>
        <v/>
      </c>
      <c r="O395" s="8" t="str">
        <f>IFERROR(INDEX(样本到样信息汇总统计!O$2:O$500,MATCH(394,样本到样信息汇总统计!$Y$2:$Y$500,0)),"")</f>
        <v/>
      </c>
      <c r="P395" s="8" t="str">
        <f>IFERROR(INDEX(样本到样信息汇总统计!P$2:P$500,MATCH(394,样本到样信息汇总统计!$Y$2:$Y$500,0)),"")</f>
        <v/>
      </c>
      <c r="Q395" s="8" t="str">
        <f>IFERROR(INDEX(样本到样信息汇总统计!Q$2:Q$500,MATCH(394,样本到样信息汇总统计!$Y$2:$Y$500,0)),"")</f>
        <v/>
      </c>
      <c r="R395" s="8" t="str">
        <f>IFERROR(INDEX(样本到样信息汇总统计!R$2:R$500,MATCH(394,样本到样信息汇总统计!$Y$2:$Y$500,0)),"")</f>
        <v/>
      </c>
      <c r="S395" s="8" t="str">
        <f>IFERROR(INDEX(样本到样信息汇总统计!S$2:S$500,MATCH(394,样本到样信息汇总统计!$Y$2:$Y$500,0)),"")</f>
        <v/>
      </c>
      <c r="T395" s="8" t="str">
        <f>IFERROR(INDEX(样本到样信息汇总统计!T$2:T$500,MATCH(394,样本到样信息汇总统计!$Y$2:$Y$500,0)),"")</f>
        <v/>
      </c>
      <c r="U395" s="8" t="str">
        <f>IFERROR(INDEX(样本到样信息汇总统计!U$2:U$500,MATCH(394,样本到样信息汇总统计!$Y$2:$Y$500,0)),"")</f>
        <v/>
      </c>
      <c r="V395" s="8" t="str">
        <f>IFERROR(INDEX(样本到样信息汇总统计!V$2:V$500,MATCH(394,样本到样信息汇总统计!$Y$2:$Y$500,0)),"")</f>
        <v/>
      </c>
      <c r="W395" s="8" t="str">
        <f>IFERROR(INDEX(样本到样信息汇总统计!W$2:W$500,MATCH(394,样本到样信息汇总统计!$Y$2:$Y$500,0)),"")</f>
        <v/>
      </c>
    </row>
    <row r="396" ht="14.5" spans="1:23">
      <c r="A396" s="4" t="str">
        <f>IFERROR(INDEX(样本到样信息汇总统计!A$2:A$500,MATCH(395,样本到样信息汇总统计!$Y$2:$Y$500,0)),"")</f>
        <v/>
      </c>
      <c r="B396" s="4" t="str">
        <f>IFERROR(INDEX(样本到样信息汇总统计!B$2:B$500,MATCH(395,样本到样信息汇总统计!$Y$2:$Y$500,0)),"")</f>
        <v/>
      </c>
      <c r="C396" s="4" t="str">
        <f>IFERROR(INDEX(样本到样信息汇总统计!C$2:C$500,MATCH(395,样本到样信息汇总统计!$Y$2:$Y$500,0)),"")</f>
        <v/>
      </c>
      <c r="D396" s="4" t="str">
        <f>IFERROR(INDEX(样本到样信息汇总统计!D$2:D$500,MATCH(395,样本到样信息汇总统计!$Y$2:$Y$500,0)),"")</f>
        <v/>
      </c>
      <c r="E396" s="4" t="str">
        <f>IFERROR(INDEX(样本到样信息汇总统计!E$2:E$500,MATCH(395,样本到样信息汇总统计!$Y$2:$Y$500,0)),"")</f>
        <v/>
      </c>
      <c r="F396" s="4" t="str">
        <f>IFERROR(INDEX(样本到样信息汇总统计!F$2:F$500,MATCH(395,样本到样信息汇总统计!$Y$2:$Y$500,0)),"")</f>
        <v/>
      </c>
      <c r="G396" s="4" t="str">
        <f>IFERROR(INDEX(样本到样信息汇总统计!G$2:G$500,MATCH(395,样本到样信息汇总统计!$Y$2:$Y$500,0)),"")</f>
        <v/>
      </c>
      <c r="H396" s="4" t="str">
        <f>IFERROR(INDEX(样本到样信息汇总统计!H$2:H$500,MATCH(395,样本到样信息汇总统计!$Y$2:$Y$500,0)),"")</f>
        <v/>
      </c>
      <c r="I396" s="4" t="str">
        <f>IFERROR(INDEX(样本到样信息汇总统计!I$2:I$500,MATCH(395,样本到样信息汇总统计!$Y$2:$Y$500,0)),"")</f>
        <v/>
      </c>
      <c r="J396" s="4" t="str">
        <f>IFERROR(INDEX(样本到样信息汇总统计!J$2:J$500,MATCH(395,样本到样信息汇总统计!$Y$2:$Y$500,0)),"")</f>
        <v/>
      </c>
      <c r="K396" s="4" t="str">
        <f>IFERROR(INDEX(样本到样信息汇总统计!K$2:K$500,MATCH(395,样本到样信息汇总统计!$Y$2:$Y$500,0)),"")</f>
        <v/>
      </c>
      <c r="L396" s="4" t="str">
        <f>IFERROR(INDEX(样本到样信息汇总统计!L$2:L$500,MATCH(395,样本到样信息汇总统计!$Y$2:$Y$500,0)),"")</f>
        <v/>
      </c>
      <c r="M396" s="4" t="str">
        <f>IFERROR(INDEX(样本到样信息汇总统计!M$2:M$500,MATCH(395,样本到样信息汇总统计!$Y$2:$Y$500,0)),"")</f>
        <v/>
      </c>
      <c r="N396" s="4" t="str">
        <f>IFERROR(INDEX(样本到样信息汇总统计!N$2:N$500,MATCH(395,样本到样信息汇总统计!$Y$2:$Y$500,0)),"")</f>
        <v/>
      </c>
      <c r="O396" s="4" t="str">
        <f>IFERROR(INDEX(样本到样信息汇总统计!O$2:O$500,MATCH(395,样本到样信息汇总统计!$Y$2:$Y$500,0)),"")</f>
        <v/>
      </c>
      <c r="P396" s="4" t="str">
        <f>IFERROR(INDEX(样本到样信息汇总统计!P$2:P$500,MATCH(395,样本到样信息汇总统计!$Y$2:$Y$500,0)),"")</f>
        <v/>
      </c>
      <c r="Q396" s="4" t="str">
        <f>IFERROR(INDEX(样本到样信息汇总统计!Q$2:Q$500,MATCH(395,样本到样信息汇总统计!$Y$2:$Y$500,0)),"")</f>
        <v/>
      </c>
      <c r="R396" s="4" t="str">
        <f>IFERROR(INDEX(样本到样信息汇总统计!R$2:R$500,MATCH(395,样本到样信息汇总统计!$Y$2:$Y$500,0)),"")</f>
        <v/>
      </c>
      <c r="S396" s="4" t="str">
        <f>IFERROR(INDEX(样本到样信息汇总统计!S$2:S$500,MATCH(395,样本到样信息汇总统计!$Y$2:$Y$500,0)),"")</f>
        <v/>
      </c>
      <c r="T396" s="4" t="str">
        <f>IFERROR(INDEX(样本到样信息汇总统计!T$2:T$500,MATCH(395,样本到样信息汇总统计!$Y$2:$Y$500,0)),"")</f>
        <v/>
      </c>
      <c r="U396" s="4" t="str">
        <f>IFERROR(INDEX(样本到样信息汇总统计!U$2:U$500,MATCH(395,样本到样信息汇总统计!$Y$2:$Y$500,0)),"")</f>
        <v/>
      </c>
      <c r="V396" s="4" t="str">
        <f>IFERROR(INDEX(样本到样信息汇总统计!V$2:V$500,MATCH(395,样本到样信息汇总统计!$Y$2:$Y$500,0)),"")</f>
        <v/>
      </c>
      <c r="W396" s="4" t="str">
        <f>IFERROR(INDEX(样本到样信息汇总统计!W$2:W$500,MATCH(395,样本到样信息汇总统计!$Y$2:$Y$500,0)),"")</f>
        <v/>
      </c>
    </row>
    <row r="397" ht="14.5" spans="1:23">
      <c r="A397" s="8" t="str">
        <f>IFERROR(INDEX(样本到样信息汇总统计!A$2:A$500,MATCH(396,样本到样信息汇总统计!$Y$2:$Y$500,0)),"")</f>
        <v/>
      </c>
      <c r="B397" s="8" t="str">
        <f>IFERROR(INDEX(样本到样信息汇总统计!B$2:B$500,MATCH(396,样本到样信息汇总统计!$Y$2:$Y$500,0)),"")</f>
        <v/>
      </c>
      <c r="C397" s="8" t="str">
        <f>IFERROR(INDEX(样本到样信息汇总统计!C$2:C$500,MATCH(396,样本到样信息汇总统计!$Y$2:$Y$500,0)),"")</f>
        <v/>
      </c>
      <c r="D397" s="8" t="str">
        <f>IFERROR(INDEX(样本到样信息汇总统计!D$2:D$500,MATCH(396,样本到样信息汇总统计!$Y$2:$Y$500,0)),"")</f>
        <v/>
      </c>
      <c r="E397" s="8" t="str">
        <f>IFERROR(INDEX(样本到样信息汇总统计!E$2:E$500,MATCH(396,样本到样信息汇总统计!$Y$2:$Y$500,0)),"")</f>
        <v/>
      </c>
      <c r="F397" s="8" t="str">
        <f>IFERROR(INDEX(样本到样信息汇总统计!F$2:F$500,MATCH(396,样本到样信息汇总统计!$Y$2:$Y$500,0)),"")</f>
        <v/>
      </c>
      <c r="G397" s="8" t="str">
        <f>IFERROR(INDEX(样本到样信息汇总统计!G$2:G$500,MATCH(396,样本到样信息汇总统计!$Y$2:$Y$500,0)),"")</f>
        <v/>
      </c>
      <c r="H397" s="8" t="str">
        <f>IFERROR(INDEX(样本到样信息汇总统计!H$2:H$500,MATCH(396,样本到样信息汇总统计!$Y$2:$Y$500,0)),"")</f>
        <v/>
      </c>
      <c r="I397" s="8" t="str">
        <f>IFERROR(INDEX(样本到样信息汇总统计!I$2:I$500,MATCH(396,样本到样信息汇总统计!$Y$2:$Y$500,0)),"")</f>
        <v/>
      </c>
      <c r="J397" s="8" t="str">
        <f>IFERROR(INDEX(样本到样信息汇总统计!J$2:J$500,MATCH(396,样本到样信息汇总统计!$Y$2:$Y$500,0)),"")</f>
        <v/>
      </c>
      <c r="K397" s="8" t="str">
        <f>IFERROR(INDEX(样本到样信息汇总统计!K$2:K$500,MATCH(396,样本到样信息汇总统计!$Y$2:$Y$500,0)),"")</f>
        <v/>
      </c>
      <c r="L397" s="8" t="str">
        <f>IFERROR(INDEX(样本到样信息汇总统计!L$2:L$500,MATCH(396,样本到样信息汇总统计!$Y$2:$Y$500,0)),"")</f>
        <v/>
      </c>
      <c r="M397" s="8" t="str">
        <f>IFERROR(INDEX(样本到样信息汇总统计!M$2:M$500,MATCH(396,样本到样信息汇总统计!$Y$2:$Y$500,0)),"")</f>
        <v/>
      </c>
      <c r="N397" s="8" t="str">
        <f>IFERROR(INDEX(样本到样信息汇总统计!N$2:N$500,MATCH(396,样本到样信息汇总统计!$Y$2:$Y$500,0)),"")</f>
        <v/>
      </c>
      <c r="O397" s="8" t="str">
        <f>IFERROR(INDEX(样本到样信息汇总统计!O$2:O$500,MATCH(396,样本到样信息汇总统计!$Y$2:$Y$500,0)),"")</f>
        <v/>
      </c>
      <c r="P397" s="8" t="str">
        <f>IFERROR(INDEX(样本到样信息汇总统计!P$2:P$500,MATCH(396,样本到样信息汇总统计!$Y$2:$Y$500,0)),"")</f>
        <v/>
      </c>
      <c r="Q397" s="8" t="str">
        <f>IFERROR(INDEX(样本到样信息汇总统计!Q$2:Q$500,MATCH(396,样本到样信息汇总统计!$Y$2:$Y$500,0)),"")</f>
        <v/>
      </c>
      <c r="R397" s="8" t="str">
        <f>IFERROR(INDEX(样本到样信息汇总统计!R$2:R$500,MATCH(396,样本到样信息汇总统计!$Y$2:$Y$500,0)),"")</f>
        <v/>
      </c>
      <c r="S397" s="8" t="str">
        <f>IFERROR(INDEX(样本到样信息汇总统计!S$2:S$500,MATCH(396,样本到样信息汇总统计!$Y$2:$Y$500,0)),"")</f>
        <v/>
      </c>
      <c r="T397" s="8" t="str">
        <f>IFERROR(INDEX(样本到样信息汇总统计!T$2:T$500,MATCH(396,样本到样信息汇总统计!$Y$2:$Y$500,0)),"")</f>
        <v/>
      </c>
      <c r="U397" s="8" t="str">
        <f>IFERROR(INDEX(样本到样信息汇总统计!U$2:U$500,MATCH(396,样本到样信息汇总统计!$Y$2:$Y$500,0)),"")</f>
        <v/>
      </c>
      <c r="V397" s="8" t="str">
        <f>IFERROR(INDEX(样本到样信息汇总统计!V$2:V$500,MATCH(396,样本到样信息汇总统计!$Y$2:$Y$500,0)),"")</f>
        <v/>
      </c>
      <c r="W397" s="8" t="str">
        <f>IFERROR(INDEX(样本到样信息汇总统计!W$2:W$500,MATCH(396,样本到样信息汇总统计!$Y$2:$Y$500,0)),"")</f>
        <v/>
      </c>
    </row>
    <row r="398" ht="14.5" spans="1:23">
      <c r="A398" s="4" t="str">
        <f>IFERROR(INDEX(样本到样信息汇总统计!A$2:A$500,MATCH(397,样本到样信息汇总统计!$Y$2:$Y$500,0)),"")</f>
        <v/>
      </c>
      <c r="B398" s="4" t="str">
        <f>IFERROR(INDEX(样本到样信息汇总统计!B$2:B$500,MATCH(397,样本到样信息汇总统计!$Y$2:$Y$500,0)),"")</f>
        <v/>
      </c>
      <c r="C398" s="4" t="str">
        <f>IFERROR(INDEX(样本到样信息汇总统计!C$2:C$500,MATCH(397,样本到样信息汇总统计!$Y$2:$Y$500,0)),"")</f>
        <v/>
      </c>
      <c r="D398" s="4" t="str">
        <f>IFERROR(INDEX(样本到样信息汇总统计!D$2:D$500,MATCH(397,样本到样信息汇总统计!$Y$2:$Y$500,0)),"")</f>
        <v/>
      </c>
      <c r="E398" s="4" t="str">
        <f>IFERROR(INDEX(样本到样信息汇总统计!E$2:E$500,MATCH(397,样本到样信息汇总统计!$Y$2:$Y$500,0)),"")</f>
        <v/>
      </c>
      <c r="F398" s="4" t="str">
        <f>IFERROR(INDEX(样本到样信息汇总统计!F$2:F$500,MATCH(397,样本到样信息汇总统计!$Y$2:$Y$500,0)),"")</f>
        <v/>
      </c>
      <c r="G398" s="4" t="str">
        <f>IFERROR(INDEX(样本到样信息汇总统计!G$2:G$500,MATCH(397,样本到样信息汇总统计!$Y$2:$Y$500,0)),"")</f>
        <v/>
      </c>
      <c r="H398" s="4" t="str">
        <f>IFERROR(INDEX(样本到样信息汇总统计!H$2:H$500,MATCH(397,样本到样信息汇总统计!$Y$2:$Y$500,0)),"")</f>
        <v/>
      </c>
      <c r="I398" s="4" t="str">
        <f>IFERROR(INDEX(样本到样信息汇总统计!I$2:I$500,MATCH(397,样本到样信息汇总统计!$Y$2:$Y$500,0)),"")</f>
        <v/>
      </c>
      <c r="J398" s="4" t="str">
        <f>IFERROR(INDEX(样本到样信息汇总统计!J$2:J$500,MATCH(397,样本到样信息汇总统计!$Y$2:$Y$500,0)),"")</f>
        <v/>
      </c>
      <c r="K398" s="4" t="str">
        <f>IFERROR(INDEX(样本到样信息汇总统计!K$2:K$500,MATCH(397,样本到样信息汇总统计!$Y$2:$Y$500,0)),"")</f>
        <v/>
      </c>
      <c r="L398" s="4" t="str">
        <f>IFERROR(INDEX(样本到样信息汇总统计!L$2:L$500,MATCH(397,样本到样信息汇总统计!$Y$2:$Y$500,0)),"")</f>
        <v/>
      </c>
      <c r="M398" s="4" t="str">
        <f>IFERROR(INDEX(样本到样信息汇总统计!M$2:M$500,MATCH(397,样本到样信息汇总统计!$Y$2:$Y$500,0)),"")</f>
        <v/>
      </c>
      <c r="N398" s="4" t="str">
        <f>IFERROR(INDEX(样本到样信息汇总统计!N$2:N$500,MATCH(397,样本到样信息汇总统计!$Y$2:$Y$500,0)),"")</f>
        <v/>
      </c>
      <c r="O398" s="4" t="str">
        <f>IFERROR(INDEX(样本到样信息汇总统计!O$2:O$500,MATCH(397,样本到样信息汇总统计!$Y$2:$Y$500,0)),"")</f>
        <v/>
      </c>
      <c r="P398" s="4" t="str">
        <f>IFERROR(INDEX(样本到样信息汇总统计!P$2:P$500,MATCH(397,样本到样信息汇总统计!$Y$2:$Y$500,0)),"")</f>
        <v/>
      </c>
      <c r="Q398" s="4" t="str">
        <f>IFERROR(INDEX(样本到样信息汇总统计!Q$2:Q$500,MATCH(397,样本到样信息汇总统计!$Y$2:$Y$500,0)),"")</f>
        <v/>
      </c>
      <c r="R398" s="4" t="str">
        <f>IFERROR(INDEX(样本到样信息汇总统计!R$2:R$500,MATCH(397,样本到样信息汇总统计!$Y$2:$Y$500,0)),"")</f>
        <v/>
      </c>
      <c r="S398" s="4" t="str">
        <f>IFERROR(INDEX(样本到样信息汇总统计!S$2:S$500,MATCH(397,样本到样信息汇总统计!$Y$2:$Y$500,0)),"")</f>
        <v/>
      </c>
      <c r="T398" s="4" t="str">
        <f>IFERROR(INDEX(样本到样信息汇总统计!T$2:T$500,MATCH(397,样本到样信息汇总统计!$Y$2:$Y$500,0)),"")</f>
        <v/>
      </c>
      <c r="U398" s="4" t="str">
        <f>IFERROR(INDEX(样本到样信息汇总统计!U$2:U$500,MATCH(397,样本到样信息汇总统计!$Y$2:$Y$500,0)),"")</f>
        <v/>
      </c>
      <c r="V398" s="4" t="str">
        <f>IFERROR(INDEX(样本到样信息汇总统计!V$2:V$500,MATCH(397,样本到样信息汇总统计!$Y$2:$Y$500,0)),"")</f>
        <v/>
      </c>
      <c r="W398" s="4" t="str">
        <f>IFERROR(INDEX(样本到样信息汇总统计!W$2:W$500,MATCH(397,样本到样信息汇总统计!$Y$2:$Y$500,0)),"")</f>
        <v/>
      </c>
    </row>
    <row r="399" ht="14.5" spans="1:23">
      <c r="A399" s="8" t="str">
        <f>IFERROR(INDEX(样本到样信息汇总统计!A$2:A$500,MATCH(398,样本到样信息汇总统计!$Y$2:$Y$500,0)),"")</f>
        <v/>
      </c>
      <c r="B399" s="8" t="str">
        <f>IFERROR(INDEX(样本到样信息汇总统计!B$2:B$500,MATCH(398,样本到样信息汇总统计!$Y$2:$Y$500,0)),"")</f>
        <v/>
      </c>
      <c r="C399" s="8" t="str">
        <f>IFERROR(INDEX(样本到样信息汇总统计!C$2:C$500,MATCH(398,样本到样信息汇总统计!$Y$2:$Y$500,0)),"")</f>
        <v/>
      </c>
      <c r="D399" s="8" t="str">
        <f>IFERROR(INDEX(样本到样信息汇总统计!D$2:D$500,MATCH(398,样本到样信息汇总统计!$Y$2:$Y$500,0)),"")</f>
        <v/>
      </c>
      <c r="E399" s="8" t="str">
        <f>IFERROR(INDEX(样本到样信息汇总统计!E$2:E$500,MATCH(398,样本到样信息汇总统计!$Y$2:$Y$500,0)),"")</f>
        <v/>
      </c>
      <c r="F399" s="8" t="str">
        <f>IFERROR(INDEX(样本到样信息汇总统计!F$2:F$500,MATCH(398,样本到样信息汇总统计!$Y$2:$Y$500,0)),"")</f>
        <v/>
      </c>
      <c r="G399" s="8" t="str">
        <f>IFERROR(INDEX(样本到样信息汇总统计!G$2:G$500,MATCH(398,样本到样信息汇总统计!$Y$2:$Y$500,0)),"")</f>
        <v/>
      </c>
      <c r="H399" s="8" t="str">
        <f>IFERROR(INDEX(样本到样信息汇总统计!H$2:H$500,MATCH(398,样本到样信息汇总统计!$Y$2:$Y$500,0)),"")</f>
        <v/>
      </c>
      <c r="I399" s="8" t="str">
        <f>IFERROR(INDEX(样本到样信息汇总统计!I$2:I$500,MATCH(398,样本到样信息汇总统计!$Y$2:$Y$500,0)),"")</f>
        <v/>
      </c>
      <c r="J399" s="8" t="str">
        <f>IFERROR(INDEX(样本到样信息汇总统计!J$2:J$500,MATCH(398,样本到样信息汇总统计!$Y$2:$Y$500,0)),"")</f>
        <v/>
      </c>
      <c r="K399" s="8" t="str">
        <f>IFERROR(INDEX(样本到样信息汇总统计!K$2:K$500,MATCH(398,样本到样信息汇总统计!$Y$2:$Y$500,0)),"")</f>
        <v/>
      </c>
      <c r="L399" s="8" t="str">
        <f>IFERROR(INDEX(样本到样信息汇总统计!L$2:L$500,MATCH(398,样本到样信息汇总统计!$Y$2:$Y$500,0)),"")</f>
        <v/>
      </c>
      <c r="M399" s="8" t="str">
        <f>IFERROR(INDEX(样本到样信息汇总统计!M$2:M$500,MATCH(398,样本到样信息汇总统计!$Y$2:$Y$500,0)),"")</f>
        <v/>
      </c>
      <c r="N399" s="8" t="str">
        <f>IFERROR(INDEX(样本到样信息汇总统计!N$2:N$500,MATCH(398,样本到样信息汇总统计!$Y$2:$Y$500,0)),"")</f>
        <v/>
      </c>
      <c r="O399" s="8" t="str">
        <f>IFERROR(INDEX(样本到样信息汇总统计!O$2:O$500,MATCH(398,样本到样信息汇总统计!$Y$2:$Y$500,0)),"")</f>
        <v/>
      </c>
      <c r="P399" s="8" t="str">
        <f>IFERROR(INDEX(样本到样信息汇总统计!P$2:P$500,MATCH(398,样本到样信息汇总统计!$Y$2:$Y$500,0)),"")</f>
        <v/>
      </c>
      <c r="Q399" s="8" t="str">
        <f>IFERROR(INDEX(样本到样信息汇总统计!Q$2:Q$500,MATCH(398,样本到样信息汇总统计!$Y$2:$Y$500,0)),"")</f>
        <v/>
      </c>
      <c r="R399" s="8" t="str">
        <f>IFERROR(INDEX(样本到样信息汇总统计!R$2:R$500,MATCH(398,样本到样信息汇总统计!$Y$2:$Y$500,0)),"")</f>
        <v/>
      </c>
      <c r="S399" s="8" t="str">
        <f>IFERROR(INDEX(样本到样信息汇总统计!S$2:S$500,MATCH(398,样本到样信息汇总统计!$Y$2:$Y$500,0)),"")</f>
        <v/>
      </c>
      <c r="T399" s="8" t="str">
        <f>IFERROR(INDEX(样本到样信息汇总统计!T$2:T$500,MATCH(398,样本到样信息汇总统计!$Y$2:$Y$500,0)),"")</f>
        <v/>
      </c>
      <c r="U399" s="8" t="str">
        <f>IFERROR(INDEX(样本到样信息汇总统计!U$2:U$500,MATCH(398,样本到样信息汇总统计!$Y$2:$Y$500,0)),"")</f>
        <v/>
      </c>
      <c r="V399" s="8" t="str">
        <f>IFERROR(INDEX(样本到样信息汇总统计!V$2:V$500,MATCH(398,样本到样信息汇总统计!$Y$2:$Y$500,0)),"")</f>
        <v/>
      </c>
      <c r="W399" s="8" t="str">
        <f>IFERROR(INDEX(样本到样信息汇总统计!W$2:W$500,MATCH(398,样本到样信息汇总统计!$Y$2:$Y$500,0)),"")</f>
        <v/>
      </c>
    </row>
    <row r="400" ht="14.5" spans="1:23">
      <c r="A400" s="4" t="str">
        <f>IFERROR(INDEX(样本到样信息汇总统计!A$2:A$500,MATCH(399,样本到样信息汇总统计!$Y$2:$Y$500,0)),"")</f>
        <v/>
      </c>
      <c r="B400" s="4" t="str">
        <f>IFERROR(INDEX(样本到样信息汇总统计!B$2:B$500,MATCH(399,样本到样信息汇总统计!$Y$2:$Y$500,0)),"")</f>
        <v/>
      </c>
      <c r="C400" s="4" t="str">
        <f>IFERROR(INDEX(样本到样信息汇总统计!C$2:C$500,MATCH(399,样本到样信息汇总统计!$Y$2:$Y$500,0)),"")</f>
        <v/>
      </c>
      <c r="D400" s="4" t="str">
        <f>IFERROR(INDEX(样本到样信息汇总统计!D$2:D$500,MATCH(399,样本到样信息汇总统计!$Y$2:$Y$500,0)),"")</f>
        <v/>
      </c>
      <c r="E400" s="4" t="str">
        <f>IFERROR(INDEX(样本到样信息汇总统计!E$2:E$500,MATCH(399,样本到样信息汇总统计!$Y$2:$Y$500,0)),"")</f>
        <v/>
      </c>
      <c r="F400" s="4" t="str">
        <f>IFERROR(INDEX(样本到样信息汇总统计!F$2:F$500,MATCH(399,样本到样信息汇总统计!$Y$2:$Y$500,0)),"")</f>
        <v/>
      </c>
      <c r="G400" s="4" t="str">
        <f>IFERROR(INDEX(样本到样信息汇总统计!G$2:G$500,MATCH(399,样本到样信息汇总统计!$Y$2:$Y$500,0)),"")</f>
        <v/>
      </c>
      <c r="H400" s="4" t="str">
        <f>IFERROR(INDEX(样本到样信息汇总统计!H$2:H$500,MATCH(399,样本到样信息汇总统计!$Y$2:$Y$500,0)),"")</f>
        <v/>
      </c>
      <c r="I400" s="4" t="str">
        <f>IFERROR(INDEX(样本到样信息汇总统计!I$2:I$500,MATCH(399,样本到样信息汇总统计!$Y$2:$Y$500,0)),"")</f>
        <v/>
      </c>
      <c r="J400" s="4" t="str">
        <f>IFERROR(INDEX(样本到样信息汇总统计!J$2:J$500,MATCH(399,样本到样信息汇总统计!$Y$2:$Y$500,0)),"")</f>
        <v/>
      </c>
      <c r="K400" s="4" t="str">
        <f>IFERROR(INDEX(样本到样信息汇总统计!K$2:K$500,MATCH(399,样本到样信息汇总统计!$Y$2:$Y$500,0)),"")</f>
        <v/>
      </c>
      <c r="L400" s="4" t="str">
        <f>IFERROR(INDEX(样本到样信息汇总统计!L$2:L$500,MATCH(399,样本到样信息汇总统计!$Y$2:$Y$500,0)),"")</f>
        <v/>
      </c>
      <c r="M400" s="4" t="str">
        <f>IFERROR(INDEX(样本到样信息汇总统计!M$2:M$500,MATCH(399,样本到样信息汇总统计!$Y$2:$Y$500,0)),"")</f>
        <v/>
      </c>
      <c r="N400" s="4" t="str">
        <f>IFERROR(INDEX(样本到样信息汇总统计!N$2:N$500,MATCH(399,样本到样信息汇总统计!$Y$2:$Y$500,0)),"")</f>
        <v/>
      </c>
      <c r="O400" s="4" t="str">
        <f>IFERROR(INDEX(样本到样信息汇总统计!O$2:O$500,MATCH(399,样本到样信息汇总统计!$Y$2:$Y$500,0)),"")</f>
        <v/>
      </c>
      <c r="P400" s="4" t="str">
        <f>IFERROR(INDEX(样本到样信息汇总统计!P$2:P$500,MATCH(399,样本到样信息汇总统计!$Y$2:$Y$500,0)),"")</f>
        <v/>
      </c>
      <c r="Q400" s="4" t="str">
        <f>IFERROR(INDEX(样本到样信息汇总统计!Q$2:Q$500,MATCH(399,样本到样信息汇总统计!$Y$2:$Y$500,0)),"")</f>
        <v/>
      </c>
      <c r="R400" s="4" t="str">
        <f>IFERROR(INDEX(样本到样信息汇总统计!R$2:R$500,MATCH(399,样本到样信息汇总统计!$Y$2:$Y$500,0)),"")</f>
        <v/>
      </c>
      <c r="S400" s="4" t="str">
        <f>IFERROR(INDEX(样本到样信息汇总统计!S$2:S$500,MATCH(399,样本到样信息汇总统计!$Y$2:$Y$500,0)),"")</f>
        <v/>
      </c>
      <c r="T400" s="4" t="str">
        <f>IFERROR(INDEX(样本到样信息汇总统计!T$2:T$500,MATCH(399,样本到样信息汇总统计!$Y$2:$Y$500,0)),"")</f>
        <v/>
      </c>
      <c r="U400" s="4" t="str">
        <f>IFERROR(INDEX(样本到样信息汇总统计!U$2:U$500,MATCH(399,样本到样信息汇总统计!$Y$2:$Y$500,0)),"")</f>
        <v/>
      </c>
      <c r="V400" s="4" t="str">
        <f>IFERROR(INDEX(样本到样信息汇总统计!V$2:V$500,MATCH(399,样本到样信息汇总统计!$Y$2:$Y$500,0)),"")</f>
        <v/>
      </c>
      <c r="W400" s="4" t="str">
        <f>IFERROR(INDEX(样本到样信息汇总统计!W$2:W$500,MATCH(399,样本到样信息汇总统计!$Y$2:$Y$500,0)),"")</f>
        <v/>
      </c>
    </row>
    <row r="401" ht="14.5" spans="1:23">
      <c r="A401" s="8" t="str">
        <f>IFERROR(INDEX(样本到样信息汇总统计!A$2:A$500,MATCH(400,样本到样信息汇总统计!$Y$2:$Y$500,0)),"")</f>
        <v/>
      </c>
      <c r="B401" s="8" t="str">
        <f>IFERROR(INDEX(样本到样信息汇总统计!B$2:B$500,MATCH(400,样本到样信息汇总统计!$Y$2:$Y$500,0)),"")</f>
        <v/>
      </c>
      <c r="C401" s="8" t="str">
        <f>IFERROR(INDEX(样本到样信息汇总统计!C$2:C$500,MATCH(400,样本到样信息汇总统计!$Y$2:$Y$500,0)),"")</f>
        <v/>
      </c>
      <c r="D401" s="8" t="str">
        <f>IFERROR(INDEX(样本到样信息汇总统计!D$2:D$500,MATCH(400,样本到样信息汇总统计!$Y$2:$Y$500,0)),"")</f>
        <v/>
      </c>
      <c r="E401" s="8" t="str">
        <f>IFERROR(INDEX(样本到样信息汇总统计!E$2:E$500,MATCH(400,样本到样信息汇总统计!$Y$2:$Y$500,0)),"")</f>
        <v/>
      </c>
      <c r="F401" s="8" t="str">
        <f>IFERROR(INDEX(样本到样信息汇总统计!F$2:F$500,MATCH(400,样本到样信息汇总统计!$Y$2:$Y$500,0)),"")</f>
        <v/>
      </c>
      <c r="G401" s="8" t="str">
        <f>IFERROR(INDEX(样本到样信息汇总统计!G$2:G$500,MATCH(400,样本到样信息汇总统计!$Y$2:$Y$500,0)),"")</f>
        <v/>
      </c>
      <c r="H401" s="8" t="str">
        <f>IFERROR(INDEX(样本到样信息汇总统计!H$2:H$500,MATCH(400,样本到样信息汇总统计!$Y$2:$Y$500,0)),"")</f>
        <v/>
      </c>
      <c r="I401" s="8" t="str">
        <f>IFERROR(INDEX(样本到样信息汇总统计!I$2:I$500,MATCH(400,样本到样信息汇总统计!$Y$2:$Y$500,0)),"")</f>
        <v/>
      </c>
      <c r="J401" s="8" t="str">
        <f>IFERROR(INDEX(样本到样信息汇总统计!J$2:J$500,MATCH(400,样本到样信息汇总统计!$Y$2:$Y$500,0)),"")</f>
        <v/>
      </c>
      <c r="K401" s="8" t="str">
        <f>IFERROR(INDEX(样本到样信息汇总统计!K$2:K$500,MATCH(400,样本到样信息汇总统计!$Y$2:$Y$500,0)),"")</f>
        <v/>
      </c>
      <c r="L401" s="8" t="str">
        <f>IFERROR(INDEX(样本到样信息汇总统计!L$2:L$500,MATCH(400,样本到样信息汇总统计!$Y$2:$Y$500,0)),"")</f>
        <v/>
      </c>
      <c r="M401" s="8" t="str">
        <f>IFERROR(INDEX(样本到样信息汇总统计!M$2:M$500,MATCH(400,样本到样信息汇总统计!$Y$2:$Y$500,0)),"")</f>
        <v/>
      </c>
      <c r="N401" s="8" t="str">
        <f>IFERROR(INDEX(样本到样信息汇总统计!N$2:N$500,MATCH(400,样本到样信息汇总统计!$Y$2:$Y$500,0)),"")</f>
        <v/>
      </c>
      <c r="O401" s="8" t="str">
        <f>IFERROR(INDEX(样本到样信息汇总统计!O$2:O$500,MATCH(400,样本到样信息汇总统计!$Y$2:$Y$500,0)),"")</f>
        <v/>
      </c>
      <c r="P401" s="8" t="str">
        <f>IFERROR(INDEX(样本到样信息汇总统计!P$2:P$500,MATCH(400,样本到样信息汇总统计!$Y$2:$Y$500,0)),"")</f>
        <v/>
      </c>
      <c r="Q401" s="8" t="str">
        <f>IFERROR(INDEX(样本到样信息汇总统计!Q$2:Q$500,MATCH(400,样本到样信息汇总统计!$Y$2:$Y$500,0)),"")</f>
        <v/>
      </c>
      <c r="R401" s="8" t="str">
        <f>IFERROR(INDEX(样本到样信息汇总统计!R$2:R$500,MATCH(400,样本到样信息汇总统计!$Y$2:$Y$500,0)),"")</f>
        <v/>
      </c>
      <c r="S401" s="8" t="str">
        <f>IFERROR(INDEX(样本到样信息汇总统计!S$2:S$500,MATCH(400,样本到样信息汇总统计!$Y$2:$Y$500,0)),"")</f>
        <v/>
      </c>
      <c r="T401" s="8" t="str">
        <f>IFERROR(INDEX(样本到样信息汇总统计!T$2:T$500,MATCH(400,样本到样信息汇总统计!$Y$2:$Y$500,0)),"")</f>
        <v/>
      </c>
      <c r="U401" s="8" t="str">
        <f>IFERROR(INDEX(样本到样信息汇总统计!U$2:U$500,MATCH(400,样本到样信息汇总统计!$Y$2:$Y$500,0)),"")</f>
        <v/>
      </c>
      <c r="V401" s="8" t="str">
        <f>IFERROR(INDEX(样本到样信息汇总统计!V$2:V$500,MATCH(400,样本到样信息汇总统计!$Y$2:$Y$500,0)),"")</f>
        <v/>
      </c>
      <c r="W401" s="8" t="str">
        <f>IFERROR(INDEX(样本到样信息汇总统计!W$2:W$500,MATCH(400,样本到样信息汇总统计!$Y$2:$Y$500,0)),"")</f>
        <v/>
      </c>
    </row>
    <row r="402" ht="14.5" spans="1:23">
      <c r="A402" s="4" t="str">
        <f>IFERROR(INDEX(样本到样信息汇总统计!A$2:A$500,MATCH(401,样本到样信息汇总统计!$Y$2:$Y$500,0)),"")</f>
        <v/>
      </c>
      <c r="B402" s="4" t="str">
        <f>IFERROR(INDEX(样本到样信息汇总统计!B$2:B$500,MATCH(401,样本到样信息汇总统计!$Y$2:$Y$500,0)),"")</f>
        <v/>
      </c>
      <c r="C402" s="4" t="str">
        <f>IFERROR(INDEX(样本到样信息汇总统计!C$2:C$500,MATCH(401,样本到样信息汇总统计!$Y$2:$Y$500,0)),"")</f>
        <v/>
      </c>
      <c r="D402" s="4" t="str">
        <f>IFERROR(INDEX(样本到样信息汇总统计!D$2:D$500,MATCH(401,样本到样信息汇总统计!$Y$2:$Y$500,0)),"")</f>
        <v/>
      </c>
      <c r="E402" s="4" t="str">
        <f>IFERROR(INDEX(样本到样信息汇总统计!E$2:E$500,MATCH(401,样本到样信息汇总统计!$Y$2:$Y$500,0)),"")</f>
        <v/>
      </c>
      <c r="F402" s="4" t="str">
        <f>IFERROR(INDEX(样本到样信息汇总统计!F$2:F$500,MATCH(401,样本到样信息汇总统计!$Y$2:$Y$500,0)),"")</f>
        <v/>
      </c>
      <c r="G402" s="4" t="str">
        <f>IFERROR(INDEX(样本到样信息汇总统计!G$2:G$500,MATCH(401,样本到样信息汇总统计!$Y$2:$Y$500,0)),"")</f>
        <v/>
      </c>
      <c r="H402" s="4" t="str">
        <f>IFERROR(INDEX(样本到样信息汇总统计!H$2:H$500,MATCH(401,样本到样信息汇总统计!$Y$2:$Y$500,0)),"")</f>
        <v/>
      </c>
      <c r="I402" s="4" t="str">
        <f>IFERROR(INDEX(样本到样信息汇总统计!I$2:I$500,MATCH(401,样本到样信息汇总统计!$Y$2:$Y$500,0)),"")</f>
        <v/>
      </c>
      <c r="J402" s="4" t="str">
        <f>IFERROR(INDEX(样本到样信息汇总统计!J$2:J$500,MATCH(401,样本到样信息汇总统计!$Y$2:$Y$500,0)),"")</f>
        <v/>
      </c>
      <c r="K402" s="4" t="str">
        <f>IFERROR(INDEX(样本到样信息汇总统计!K$2:K$500,MATCH(401,样本到样信息汇总统计!$Y$2:$Y$500,0)),"")</f>
        <v/>
      </c>
      <c r="L402" s="4" t="str">
        <f>IFERROR(INDEX(样本到样信息汇总统计!L$2:L$500,MATCH(401,样本到样信息汇总统计!$Y$2:$Y$500,0)),"")</f>
        <v/>
      </c>
      <c r="M402" s="4" t="str">
        <f>IFERROR(INDEX(样本到样信息汇总统计!M$2:M$500,MATCH(401,样本到样信息汇总统计!$Y$2:$Y$500,0)),"")</f>
        <v/>
      </c>
      <c r="N402" s="4" t="str">
        <f>IFERROR(INDEX(样本到样信息汇总统计!N$2:N$500,MATCH(401,样本到样信息汇总统计!$Y$2:$Y$500,0)),"")</f>
        <v/>
      </c>
      <c r="O402" s="4" t="str">
        <f>IFERROR(INDEX(样本到样信息汇总统计!O$2:O$500,MATCH(401,样本到样信息汇总统计!$Y$2:$Y$500,0)),"")</f>
        <v/>
      </c>
      <c r="P402" s="4" t="str">
        <f>IFERROR(INDEX(样本到样信息汇总统计!P$2:P$500,MATCH(401,样本到样信息汇总统计!$Y$2:$Y$500,0)),"")</f>
        <v/>
      </c>
      <c r="Q402" s="4" t="str">
        <f>IFERROR(INDEX(样本到样信息汇总统计!Q$2:Q$500,MATCH(401,样本到样信息汇总统计!$Y$2:$Y$500,0)),"")</f>
        <v/>
      </c>
      <c r="R402" s="4" t="str">
        <f>IFERROR(INDEX(样本到样信息汇总统计!R$2:R$500,MATCH(401,样本到样信息汇总统计!$Y$2:$Y$500,0)),"")</f>
        <v/>
      </c>
      <c r="S402" s="4" t="str">
        <f>IFERROR(INDEX(样本到样信息汇总统计!S$2:S$500,MATCH(401,样本到样信息汇总统计!$Y$2:$Y$500,0)),"")</f>
        <v/>
      </c>
      <c r="T402" s="4" t="str">
        <f>IFERROR(INDEX(样本到样信息汇总统计!T$2:T$500,MATCH(401,样本到样信息汇总统计!$Y$2:$Y$500,0)),"")</f>
        <v/>
      </c>
      <c r="U402" s="4" t="str">
        <f>IFERROR(INDEX(样本到样信息汇总统计!U$2:U$500,MATCH(401,样本到样信息汇总统计!$Y$2:$Y$500,0)),"")</f>
        <v/>
      </c>
      <c r="V402" s="4" t="str">
        <f>IFERROR(INDEX(样本到样信息汇总统计!V$2:V$500,MATCH(401,样本到样信息汇总统计!$Y$2:$Y$500,0)),"")</f>
        <v/>
      </c>
      <c r="W402" s="4" t="str">
        <f>IFERROR(INDEX(样本到样信息汇总统计!W$2:W$500,MATCH(401,样本到样信息汇总统计!$Y$2:$Y$500,0)),"")</f>
        <v/>
      </c>
    </row>
    <row r="403" ht="14.5" spans="1:23">
      <c r="A403" s="8" t="str">
        <f>IFERROR(INDEX(样本到样信息汇总统计!A$2:A$500,MATCH(402,样本到样信息汇总统计!$Y$2:$Y$500,0)),"")</f>
        <v/>
      </c>
      <c r="B403" s="8" t="str">
        <f>IFERROR(INDEX(样本到样信息汇总统计!B$2:B$500,MATCH(402,样本到样信息汇总统计!$Y$2:$Y$500,0)),"")</f>
        <v/>
      </c>
      <c r="C403" s="8" t="str">
        <f>IFERROR(INDEX(样本到样信息汇总统计!C$2:C$500,MATCH(402,样本到样信息汇总统计!$Y$2:$Y$500,0)),"")</f>
        <v/>
      </c>
      <c r="D403" s="8" t="str">
        <f>IFERROR(INDEX(样本到样信息汇总统计!D$2:D$500,MATCH(402,样本到样信息汇总统计!$Y$2:$Y$500,0)),"")</f>
        <v/>
      </c>
      <c r="E403" s="8" t="str">
        <f>IFERROR(INDEX(样本到样信息汇总统计!E$2:E$500,MATCH(402,样本到样信息汇总统计!$Y$2:$Y$500,0)),"")</f>
        <v/>
      </c>
      <c r="F403" s="8" t="str">
        <f>IFERROR(INDEX(样本到样信息汇总统计!F$2:F$500,MATCH(402,样本到样信息汇总统计!$Y$2:$Y$500,0)),"")</f>
        <v/>
      </c>
      <c r="G403" s="8" t="str">
        <f>IFERROR(INDEX(样本到样信息汇总统计!G$2:G$500,MATCH(402,样本到样信息汇总统计!$Y$2:$Y$500,0)),"")</f>
        <v/>
      </c>
      <c r="H403" s="8" t="str">
        <f>IFERROR(INDEX(样本到样信息汇总统计!H$2:H$500,MATCH(402,样本到样信息汇总统计!$Y$2:$Y$500,0)),"")</f>
        <v/>
      </c>
      <c r="I403" s="8" t="str">
        <f>IFERROR(INDEX(样本到样信息汇总统计!I$2:I$500,MATCH(402,样本到样信息汇总统计!$Y$2:$Y$500,0)),"")</f>
        <v/>
      </c>
      <c r="J403" s="8" t="str">
        <f>IFERROR(INDEX(样本到样信息汇总统计!J$2:J$500,MATCH(402,样本到样信息汇总统计!$Y$2:$Y$500,0)),"")</f>
        <v/>
      </c>
      <c r="K403" s="8" t="str">
        <f>IFERROR(INDEX(样本到样信息汇总统计!K$2:K$500,MATCH(402,样本到样信息汇总统计!$Y$2:$Y$500,0)),"")</f>
        <v/>
      </c>
      <c r="L403" s="8" t="str">
        <f>IFERROR(INDEX(样本到样信息汇总统计!L$2:L$500,MATCH(402,样本到样信息汇总统计!$Y$2:$Y$500,0)),"")</f>
        <v/>
      </c>
      <c r="M403" s="8" t="str">
        <f>IFERROR(INDEX(样本到样信息汇总统计!M$2:M$500,MATCH(402,样本到样信息汇总统计!$Y$2:$Y$500,0)),"")</f>
        <v/>
      </c>
      <c r="N403" s="8" t="str">
        <f>IFERROR(INDEX(样本到样信息汇总统计!N$2:N$500,MATCH(402,样本到样信息汇总统计!$Y$2:$Y$500,0)),"")</f>
        <v/>
      </c>
      <c r="O403" s="8" t="str">
        <f>IFERROR(INDEX(样本到样信息汇总统计!O$2:O$500,MATCH(402,样本到样信息汇总统计!$Y$2:$Y$500,0)),"")</f>
        <v/>
      </c>
      <c r="P403" s="8" t="str">
        <f>IFERROR(INDEX(样本到样信息汇总统计!P$2:P$500,MATCH(402,样本到样信息汇总统计!$Y$2:$Y$500,0)),"")</f>
        <v/>
      </c>
      <c r="Q403" s="8" t="str">
        <f>IFERROR(INDEX(样本到样信息汇总统计!Q$2:Q$500,MATCH(402,样本到样信息汇总统计!$Y$2:$Y$500,0)),"")</f>
        <v/>
      </c>
      <c r="R403" s="8" t="str">
        <f>IFERROR(INDEX(样本到样信息汇总统计!R$2:R$500,MATCH(402,样本到样信息汇总统计!$Y$2:$Y$500,0)),"")</f>
        <v/>
      </c>
      <c r="S403" s="8" t="str">
        <f>IFERROR(INDEX(样本到样信息汇总统计!S$2:S$500,MATCH(402,样本到样信息汇总统计!$Y$2:$Y$500,0)),"")</f>
        <v/>
      </c>
      <c r="T403" s="8" t="str">
        <f>IFERROR(INDEX(样本到样信息汇总统计!T$2:T$500,MATCH(402,样本到样信息汇总统计!$Y$2:$Y$500,0)),"")</f>
        <v/>
      </c>
      <c r="U403" s="8" t="str">
        <f>IFERROR(INDEX(样本到样信息汇总统计!U$2:U$500,MATCH(402,样本到样信息汇总统计!$Y$2:$Y$500,0)),"")</f>
        <v/>
      </c>
      <c r="V403" s="8" t="str">
        <f>IFERROR(INDEX(样本到样信息汇总统计!V$2:V$500,MATCH(402,样本到样信息汇总统计!$Y$2:$Y$500,0)),"")</f>
        <v/>
      </c>
      <c r="W403" s="8" t="str">
        <f>IFERROR(INDEX(样本到样信息汇总统计!W$2:W$500,MATCH(402,样本到样信息汇总统计!$Y$2:$Y$500,0)),"")</f>
        <v/>
      </c>
    </row>
    <row r="404" ht="14.5" spans="1:23">
      <c r="A404" s="4" t="str">
        <f>IFERROR(INDEX(样本到样信息汇总统计!A$2:A$500,MATCH(403,样本到样信息汇总统计!$Y$2:$Y$500,0)),"")</f>
        <v/>
      </c>
      <c r="B404" s="4" t="str">
        <f>IFERROR(INDEX(样本到样信息汇总统计!B$2:B$500,MATCH(403,样本到样信息汇总统计!$Y$2:$Y$500,0)),"")</f>
        <v/>
      </c>
      <c r="C404" s="4" t="str">
        <f>IFERROR(INDEX(样本到样信息汇总统计!C$2:C$500,MATCH(403,样本到样信息汇总统计!$Y$2:$Y$500,0)),"")</f>
        <v/>
      </c>
      <c r="D404" s="4" t="str">
        <f>IFERROR(INDEX(样本到样信息汇总统计!D$2:D$500,MATCH(403,样本到样信息汇总统计!$Y$2:$Y$500,0)),"")</f>
        <v/>
      </c>
      <c r="E404" s="4" t="str">
        <f>IFERROR(INDEX(样本到样信息汇总统计!E$2:E$500,MATCH(403,样本到样信息汇总统计!$Y$2:$Y$500,0)),"")</f>
        <v/>
      </c>
      <c r="F404" s="4" t="str">
        <f>IFERROR(INDEX(样本到样信息汇总统计!F$2:F$500,MATCH(403,样本到样信息汇总统计!$Y$2:$Y$500,0)),"")</f>
        <v/>
      </c>
      <c r="G404" s="4" t="str">
        <f>IFERROR(INDEX(样本到样信息汇总统计!G$2:G$500,MATCH(403,样本到样信息汇总统计!$Y$2:$Y$500,0)),"")</f>
        <v/>
      </c>
      <c r="H404" s="4" t="str">
        <f>IFERROR(INDEX(样本到样信息汇总统计!H$2:H$500,MATCH(403,样本到样信息汇总统计!$Y$2:$Y$500,0)),"")</f>
        <v/>
      </c>
      <c r="I404" s="4" t="str">
        <f>IFERROR(INDEX(样本到样信息汇总统计!I$2:I$500,MATCH(403,样本到样信息汇总统计!$Y$2:$Y$500,0)),"")</f>
        <v/>
      </c>
      <c r="J404" s="4" t="str">
        <f>IFERROR(INDEX(样本到样信息汇总统计!J$2:J$500,MATCH(403,样本到样信息汇总统计!$Y$2:$Y$500,0)),"")</f>
        <v/>
      </c>
      <c r="K404" s="4" t="str">
        <f>IFERROR(INDEX(样本到样信息汇总统计!K$2:K$500,MATCH(403,样本到样信息汇总统计!$Y$2:$Y$500,0)),"")</f>
        <v/>
      </c>
      <c r="L404" s="4" t="str">
        <f>IFERROR(INDEX(样本到样信息汇总统计!L$2:L$500,MATCH(403,样本到样信息汇总统计!$Y$2:$Y$500,0)),"")</f>
        <v/>
      </c>
      <c r="M404" s="4" t="str">
        <f>IFERROR(INDEX(样本到样信息汇总统计!M$2:M$500,MATCH(403,样本到样信息汇总统计!$Y$2:$Y$500,0)),"")</f>
        <v/>
      </c>
      <c r="N404" s="4" t="str">
        <f>IFERROR(INDEX(样本到样信息汇总统计!N$2:N$500,MATCH(403,样本到样信息汇总统计!$Y$2:$Y$500,0)),"")</f>
        <v/>
      </c>
      <c r="O404" s="4" t="str">
        <f>IFERROR(INDEX(样本到样信息汇总统计!O$2:O$500,MATCH(403,样本到样信息汇总统计!$Y$2:$Y$500,0)),"")</f>
        <v/>
      </c>
      <c r="P404" s="4" t="str">
        <f>IFERROR(INDEX(样本到样信息汇总统计!P$2:P$500,MATCH(403,样本到样信息汇总统计!$Y$2:$Y$500,0)),"")</f>
        <v/>
      </c>
      <c r="Q404" s="4" t="str">
        <f>IFERROR(INDEX(样本到样信息汇总统计!Q$2:Q$500,MATCH(403,样本到样信息汇总统计!$Y$2:$Y$500,0)),"")</f>
        <v/>
      </c>
      <c r="R404" s="4" t="str">
        <f>IFERROR(INDEX(样本到样信息汇总统计!R$2:R$500,MATCH(403,样本到样信息汇总统计!$Y$2:$Y$500,0)),"")</f>
        <v/>
      </c>
      <c r="S404" s="4" t="str">
        <f>IFERROR(INDEX(样本到样信息汇总统计!S$2:S$500,MATCH(403,样本到样信息汇总统计!$Y$2:$Y$500,0)),"")</f>
        <v/>
      </c>
      <c r="T404" s="4" t="str">
        <f>IFERROR(INDEX(样本到样信息汇总统计!T$2:T$500,MATCH(403,样本到样信息汇总统计!$Y$2:$Y$500,0)),"")</f>
        <v/>
      </c>
      <c r="U404" s="4" t="str">
        <f>IFERROR(INDEX(样本到样信息汇总统计!U$2:U$500,MATCH(403,样本到样信息汇总统计!$Y$2:$Y$500,0)),"")</f>
        <v/>
      </c>
      <c r="V404" s="4" t="str">
        <f>IFERROR(INDEX(样本到样信息汇总统计!V$2:V$500,MATCH(403,样本到样信息汇总统计!$Y$2:$Y$500,0)),"")</f>
        <v/>
      </c>
      <c r="W404" s="4" t="str">
        <f>IFERROR(INDEX(样本到样信息汇总统计!W$2:W$500,MATCH(403,样本到样信息汇总统计!$Y$2:$Y$500,0)),"")</f>
        <v/>
      </c>
    </row>
    <row r="405" ht="14.5" spans="1:23">
      <c r="A405" s="8" t="str">
        <f>IFERROR(INDEX(样本到样信息汇总统计!A$2:A$500,MATCH(404,样本到样信息汇总统计!$Y$2:$Y$500,0)),"")</f>
        <v/>
      </c>
      <c r="B405" s="8" t="str">
        <f>IFERROR(INDEX(样本到样信息汇总统计!B$2:B$500,MATCH(404,样本到样信息汇总统计!$Y$2:$Y$500,0)),"")</f>
        <v/>
      </c>
      <c r="C405" s="8" t="str">
        <f>IFERROR(INDEX(样本到样信息汇总统计!C$2:C$500,MATCH(404,样本到样信息汇总统计!$Y$2:$Y$500,0)),"")</f>
        <v/>
      </c>
      <c r="D405" s="8" t="str">
        <f>IFERROR(INDEX(样本到样信息汇总统计!D$2:D$500,MATCH(404,样本到样信息汇总统计!$Y$2:$Y$500,0)),"")</f>
        <v/>
      </c>
      <c r="E405" s="8" t="str">
        <f>IFERROR(INDEX(样本到样信息汇总统计!E$2:E$500,MATCH(404,样本到样信息汇总统计!$Y$2:$Y$500,0)),"")</f>
        <v/>
      </c>
      <c r="F405" s="8" t="str">
        <f>IFERROR(INDEX(样本到样信息汇总统计!F$2:F$500,MATCH(404,样本到样信息汇总统计!$Y$2:$Y$500,0)),"")</f>
        <v/>
      </c>
      <c r="G405" s="8" t="str">
        <f>IFERROR(INDEX(样本到样信息汇总统计!G$2:G$500,MATCH(404,样本到样信息汇总统计!$Y$2:$Y$500,0)),"")</f>
        <v/>
      </c>
      <c r="H405" s="8" t="str">
        <f>IFERROR(INDEX(样本到样信息汇总统计!H$2:H$500,MATCH(404,样本到样信息汇总统计!$Y$2:$Y$500,0)),"")</f>
        <v/>
      </c>
      <c r="I405" s="8" t="str">
        <f>IFERROR(INDEX(样本到样信息汇总统计!I$2:I$500,MATCH(404,样本到样信息汇总统计!$Y$2:$Y$500,0)),"")</f>
        <v/>
      </c>
      <c r="J405" s="8" t="str">
        <f>IFERROR(INDEX(样本到样信息汇总统计!J$2:J$500,MATCH(404,样本到样信息汇总统计!$Y$2:$Y$500,0)),"")</f>
        <v/>
      </c>
      <c r="K405" s="8" t="str">
        <f>IFERROR(INDEX(样本到样信息汇总统计!K$2:K$500,MATCH(404,样本到样信息汇总统计!$Y$2:$Y$500,0)),"")</f>
        <v/>
      </c>
      <c r="L405" s="8" t="str">
        <f>IFERROR(INDEX(样本到样信息汇总统计!L$2:L$500,MATCH(404,样本到样信息汇总统计!$Y$2:$Y$500,0)),"")</f>
        <v/>
      </c>
      <c r="M405" s="8" t="str">
        <f>IFERROR(INDEX(样本到样信息汇总统计!M$2:M$500,MATCH(404,样本到样信息汇总统计!$Y$2:$Y$500,0)),"")</f>
        <v/>
      </c>
      <c r="N405" s="8" t="str">
        <f>IFERROR(INDEX(样本到样信息汇总统计!N$2:N$500,MATCH(404,样本到样信息汇总统计!$Y$2:$Y$500,0)),"")</f>
        <v/>
      </c>
      <c r="O405" s="8" t="str">
        <f>IFERROR(INDEX(样本到样信息汇总统计!O$2:O$500,MATCH(404,样本到样信息汇总统计!$Y$2:$Y$500,0)),"")</f>
        <v/>
      </c>
      <c r="P405" s="8" t="str">
        <f>IFERROR(INDEX(样本到样信息汇总统计!P$2:P$500,MATCH(404,样本到样信息汇总统计!$Y$2:$Y$500,0)),"")</f>
        <v/>
      </c>
      <c r="Q405" s="8" t="str">
        <f>IFERROR(INDEX(样本到样信息汇总统计!Q$2:Q$500,MATCH(404,样本到样信息汇总统计!$Y$2:$Y$500,0)),"")</f>
        <v/>
      </c>
      <c r="R405" s="8" t="str">
        <f>IFERROR(INDEX(样本到样信息汇总统计!R$2:R$500,MATCH(404,样本到样信息汇总统计!$Y$2:$Y$500,0)),"")</f>
        <v/>
      </c>
      <c r="S405" s="8" t="str">
        <f>IFERROR(INDEX(样本到样信息汇总统计!S$2:S$500,MATCH(404,样本到样信息汇总统计!$Y$2:$Y$500,0)),"")</f>
        <v/>
      </c>
      <c r="T405" s="8" t="str">
        <f>IFERROR(INDEX(样本到样信息汇总统计!T$2:T$500,MATCH(404,样本到样信息汇总统计!$Y$2:$Y$500,0)),"")</f>
        <v/>
      </c>
      <c r="U405" s="8" t="str">
        <f>IFERROR(INDEX(样本到样信息汇总统计!U$2:U$500,MATCH(404,样本到样信息汇总统计!$Y$2:$Y$500,0)),"")</f>
        <v/>
      </c>
      <c r="V405" s="8" t="str">
        <f>IFERROR(INDEX(样本到样信息汇总统计!V$2:V$500,MATCH(404,样本到样信息汇总统计!$Y$2:$Y$500,0)),"")</f>
        <v/>
      </c>
      <c r="W405" s="8" t="str">
        <f>IFERROR(INDEX(样本到样信息汇总统计!W$2:W$500,MATCH(404,样本到样信息汇总统计!$Y$2:$Y$500,0)),"")</f>
        <v/>
      </c>
    </row>
    <row r="406" ht="14.5" spans="1:23">
      <c r="A406" s="4" t="str">
        <f>IFERROR(INDEX(样本到样信息汇总统计!A$2:A$500,MATCH(405,样本到样信息汇总统计!$Y$2:$Y$500,0)),"")</f>
        <v/>
      </c>
      <c r="B406" s="4" t="str">
        <f>IFERROR(INDEX(样本到样信息汇总统计!B$2:B$500,MATCH(405,样本到样信息汇总统计!$Y$2:$Y$500,0)),"")</f>
        <v/>
      </c>
      <c r="C406" s="4" t="str">
        <f>IFERROR(INDEX(样本到样信息汇总统计!C$2:C$500,MATCH(405,样本到样信息汇总统计!$Y$2:$Y$500,0)),"")</f>
        <v/>
      </c>
      <c r="D406" s="4" t="str">
        <f>IFERROR(INDEX(样本到样信息汇总统计!D$2:D$500,MATCH(405,样本到样信息汇总统计!$Y$2:$Y$500,0)),"")</f>
        <v/>
      </c>
      <c r="E406" s="4" t="str">
        <f>IFERROR(INDEX(样本到样信息汇总统计!E$2:E$500,MATCH(405,样本到样信息汇总统计!$Y$2:$Y$500,0)),"")</f>
        <v/>
      </c>
      <c r="F406" s="4" t="str">
        <f>IFERROR(INDEX(样本到样信息汇总统计!F$2:F$500,MATCH(405,样本到样信息汇总统计!$Y$2:$Y$500,0)),"")</f>
        <v/>
      </c>
      <c r="G406" s="4" t="str">
        <f>IFERROR(INDEX(样本到样信息汇总统计!G$2:G$500,MATCH(405,样本到样信息汇总统计!$Y$2:$Y$500,0)),"")</f>
        <v/>
      </c>
      <c r="H406" s="4" t="str">
        <f>IFERROR(INDEX(样本到样信息汇总统计!H$2:H$500,MATCH(405,样本到样信息汇总统计!$Y$2:$Y$500,0)),"")</f>
        <v/>
      </c>
      <c r="I406" s="4" t="str">
        <f>IFERROR(INDEX(样本到样信息汇总统计!I$2:I$500,MATCH(405,样本到样信息汇总统计!$Y$2:$Y$500,0)),"")</f>
        <v/>
      </c>
      <c r="J406" s="4" t="str">
        <f>IFERROR(INDEX(样本到样信息汇总统计!J$2:J$500,MATCH(405,样本到样信息汇总统计!$Y$2:$Y$500,0)),"")</f>
        <v/>
      </c>
      <c r="K406" s="4" t="str">
        <f>IFERROR(INDEX(样本到样信息汇总统计!K$2:K$500,MATCH(405,样本到样信息汇总统计!$Y$2:$Y$500,0)),"")</f>
        <v/>
      </c>
      <c r="L406" s="4" t="str">
        <f>IFERROR(INDEX(样本到样信息汇总统计!L$2:L$500,MATCH(405,样本到样信息汇总统计!$Y$2:$Y$500,0)),"")</f>
        <v/>
      </c>
      <c r="M406" s="4" t="str">
        <f>IFERROR(INDEX(样本到样信息汇总统计!M$2:M$500,MATCH(405,样本到样信息汇总统计!$Y$2:$Y$500,0)),"")</f>
        <v/>
      </c>
      <c r="N406" s="4" t="str">
        <f>IFERROR(INDEX(样本到样信息汇总统计!N$2:N$500,MATCH(405,样本到样信息汇总统计!$Y$2:$Y$500,0)),"")</f>
        <v/>
      </c>
      <c r="O406" s="4" t="str">
        <f>IFERROR(INDEX(样本到样信息汇总统计!O$2:O$500,MATCH(405,样本到样信息汇总统计!$Y$2:$Y$500,0)),"")</f>
        <v/>
      </c>
      <c r="P406" s="4" t="str">
        <f>IFERROR(INDEX(样本到样信息汇总统计!P$2:P$500,MATCH(405,样本到样信息汇总统计!$Y$2:$Y$500,0)),"")</f>
        <v/>
      </c>
      <c r="Q406" s="4" t="str">
        <f>IFERROR(INDEX(样本到样信息汇总统计!Q$2:Q$500,MATCH(405,样本到样信息汇总统计!$Y$2:$Y$500,0)),"")</f>
        <v/>
      </c>
      <c r="R406" s="4" t="str">
        <f>IFERROR(INDEX(样本到样信息汇总统计!R$2:R$500,MATCH(405,样本到样信息汇总统计!$Y$2:$Y$500,0)),"")</f>
        <v/>
      </c>
      <c r="S406" s="4" t="str">
        <f>IFERROR(INDEX(样本到样信息汇总统计!S$2:S$500,MATCH(405,样本到样信息汇总统计!$Y$2:$Y$500,0)),"")</f>
        <v/>
      </c>
      <c r="T406" s="4" t="str">
        <f>IFERROR(INDEX(样本到样信息汇总统计!T$2:T$500,MATCH(405,样本到样信息汇总统计!$Y$2:$Y$500,0)),"")</f>
        <v/>
      </c>
      <c r="U406" s="4" t="str">
        <f>IFERROR(INDEX(样本到样信息汇总统计!U$2:U$500,MATCH(405,样本到样信息汇总统计!$Y$2:$Y$500,0)),"")</f>
        <v/>
      </c>
      <c r="V406" s="4" t="str">
        <f>IFERROR(INDEX(样本到样信息汇总统计!V$2:V$500,MATCH(405,样本到样信息汇总统计!$Y$2:$Y$500,0)),"")</f>
        <v/>
      </c>
      <c r="W406" s="4" t="str">
        <f>IFERROR(INDEX(样本到样信息汇总统计!W$2:W$500,MATCH(405,样本到样信息汇总统计!$Y$2:$Y$500,0)),"")</f>
        <v/>
      </c>
    </row>
    <row r="407" ht="14.5" spans="1:23">
      <c r="A407" s="8" t="str">
        <f>IFERROR(INDEX(样本到样信息汇总统计!A$2:A$500,MATCH(406,样本到样信息汇总统计!$Y$2:$Y$500,0)),"")</f>
        <v/>
      </c>
      <c r="B407" s="8" t="str">
        <f>IFERROR(INDEX(样本到样信息汇总统计!B$2:B$500,MATCH(406,样本到样信息汇总统计!$Y$2:$Y$500,0)),"")</f>
        <v/>
      </c>
      <c r="C407" s="8" t="str">
        <f>IFERROR(INDEX(样本到样信息汇总统计!C$2:C$500,MATCH(406,样本到样信息汇总统计!$Y$2:$Y$500,0)),"")</f>
        <v/>
      </c>
      <c r="D407" s="8" t="str">
        <f>IFERROR(INDEX(样本到样信息汇总统计!D$2:D$500,MATCH(406,样本到样信息汇总统计!$Y$2:$Y$500,0)),"")</f>
        <v/>
      </c>
      <c r="E407" s="8" t="str">
        <f>IFERROR(INDEX(样本到样信息汇总统计!E$2:E$500,MATCH(406,样本到样信息汇总统计!$Y$2:$Y$500,0)),"")</f>
        <v/>
      </c>
      <c r="F407" s="8" t="str">
        <f>IFERROR(INDEX(样本到样信息汇总统计!F$2:F$500,MATCH(406,样本到样信息汇总统计!$Y$2:$Y$500,0)),"")</f>
        <v/>
      </c>
      <c r="G407" s="8" t="str">
        <f>IFERROR(INDEX(样本到样信息汇总统计!G$2:G$500,MATCH(406,样本到样信息汇总统计!$Y$2:$Y$500,0)),"")</f>
        <v/>
      </c>
      <c r="H407" s="8" t="str">
        <f>IFERROR(INDEX(样本到样信息汇总统计!H$2:H$500,MATCH(406,样本到样信息汇总统计!$Y$2:$Y$500,0)),"")</f>
        <v/>
      </c>
      <c r="I407" s="8" t="str">
        <f>IFERROR(INDEX(样本到样信息汇总统计!I$2:I$500,MATCH(406,样本到样信息汇总统计!$Y$2:$Y$500,0)),"")</f>
        <v/>
      </c>
      <c r="J407" s="8" t="str">
        <f>IFERROR(INDEX(样本到样信息汇总统计!J$2:J$500,MATCH(406,样本到样信息汇总统计!$Y$2:$Y$500,0)),"")</f>
        <v/>
      </c>
      <c r="K407" s="8" t="str">
        <f>IFERROR(INDEX(样本到样信息汇总统计!K$2:K$500,MATCH(406,样本到样信息汇总统计!$Y$2:$Y$500,0)),"")</f>
        <v/>
      </c>
      <c r="L407" s="8" t="str">
        <f>IFERROR(INDEX(样本到样信息汇总统计!L$2:L$500,MATCH(406,样本到样信息汇总统计!$Y$2:$Y$500,0)),"")</f>
        <v/>
      </c>
      <c r="M407" s="8" t="str">
        <f>IFERROR(INDEX(样本到样信息汇总统计!M$2:M$500,MATCH(406,样本到样信息汇总统计!$Y$2:$Y$500,0)),"")</f>
        <v/>
      </c>
      <c r="N407" s="8" t="str">
        <f>IFERROR(INDEX(样本到样信息汇总统计!N$2:N$500,MATCH(406,样本到样信息汇总统计!$Y$2:$Y$500,0)),"")</f>
        <v/>
      </c>
      <c r="O407" s="8" t="str">
        <f>IFERROR(INDEX(样本到样信息汇总统计!O$2:O$500,MATCH(406,样本到样信息汇总统计!$Y$2:$Y$500,0)),"")</f>
        <v/>
      </c>
      <c r="P407" s="8" t="str">
        <f>IFERROR(INDEX(样本到样信息汇总统计!P$2:P$500,MATCH(406,样本到样信息汇总统计!$Y$2:$Y$500,0)),"")</f>
        <v/>
      </c>
      <c r="Q407" s="8" t="str">
        <f>IFERROR(INDEX(样本到样信息汇总统计!Q$2:Q$500,MATCH(406,样本到样信息汇总统计!$Y$2:$Y$500,0)),"")</f>
        <v/>
      </c>
      <c r="R407" s="8" t="str">
        <f>IFERROR(INDEX(样本到样信息汇总统计!R$2:R$500,MATCH(406,样本到样信息汇总统计!$Y$2:$Y$500,0)),"")</f>
        <v/>
      </c>
      <c r="S407" s="8" t="str">
        <f>IFERROR(INDEX(样本到样信息汇总统计!S$2:S$500,MATCH(406,样本到样信息汇总统计!$Y$2:$Y$500,0)),"")</f>
        <v/>
      </c>
      <c r="T407" s="8" t="str">
        <f>IFERROR(INDEX(样本到样信息汇总统计!T$2:T$500,MATCH(406,样本到样信息汇总统计!$Y$2:$Y$500,0)),"")</f>
        <v/>
      </c>
      <c r="U407" s="8" t="str">
        <f>IFERROR(INDEX(样本到样信息汇总统计!U$2:U$500,MATCH(406,样本到样信息汇总统计!$Y$2:$Y$500,0)),"")</f>
        <v/>
      </c>
      <c r="V407" s="8" t="str">
        <f>IFERROR(INDEX(样本到样信息汇总统计!V$2:V$500,MATCH(406,样本到样信息汇总统计!$Y$2:$Y$500,0)),"")</f>
        <v/>
      </c>
      <c r="W407" s="8" t="str">
        <f>IFERROR(INDEX(样本到样信息汇总统计!W$2:W$500,MATCH(406,样本到样信息汇总统计!$Y$2:$Y$500,0)),"")</f>
        <v/>
      </c>
    </row>
    <row r="408" ht="14.5" spans="1:23">
      <c r="A408" s="4" t="str">
        <f>IFERROR(INDEX(样本到样信息汇总统计!A$2:A$500,MATCH(407,样本到样信息汇总统计!$Y$2:$Y$500,0)),"")</f>
        <v/>
      </c>
      <c r="B408" s="4" t="str">
        <f>IFERROR(INDEX(样本到样信息汇总统计!B$2:B$500,MATCH(407,样本到样信息汇总统计!$Y$2:$Y$500,0)),"")</f>
        <v/>
      </c>
      <c r="C408" s="4" t="str">
        <f>IFERROR(INDEX(样本到样信息汇总统计!C$2:C$500,MATCH(407,样本到样信息汇总统计!$Y$2:$Y$500,0)),"")</f>
        <v/>
      </c>
      <c r="D408" s="4" t="str">
        <f>IFERROR(INDEX(样本到样信息汇总统计!D$2:D$500,MATCH(407,样本到样信息汇总统计!$Y$2:$Y$500,0)),"")</f>
        <v/>
      </c>
      <c r="E408" s="4" t="str">
        <f>IFERROR(INDEX(样本到样信息汇总统计!E$2:E$500,MATCH(407,样本到样信息汇总统计!$Y$2:$Y$500,0)),"")</f>
        <v/>
      </c>
      <c r="F408" s="4" t="str">
        <f>IFERROR(INDEX(样本到样信息汇总统计!F$2:F$500,MATCH(407,样本到样信息汇总统计!$Y$2:$Y$500,0)),"")</f>
        <v/>
      </c>
      <c r="G408" s="4" t="str">
        <f>IFERROR(INDEX(样本到样信息汇总统计!G$2:G$500,MATCH(407,样本到样信息汇总统计!$Y$2:$Y$500,0)),"")</f>
        <v/>
      </c>
      <c r="H408" s="4" t="str">
        <f>IFERROR(INDEX(样本到样信息汇总统计!H$2:H$500,MATCH(407,样本到样信息汇总统计!$Y$2:$Y$500,0)),"")</f>
        <v/>
      </c>
      <c r="I408" s="4" t="str">
        <f>IFERROR(INDEX(样本到样信息汇总统计!I$2:I$500,MATCH(407,样本到样信息汇总统计!$Y$2:$Y$500,0)),"")</f>
        <v/>
      </c>
      <c r="J408" s="4" t="str">
        <f>IFERROR(INDEX(样本到样信息汇总统计!J$2:J$500,MATCH(407,样本到样信息汇总统计!$Y$2:$Y$500,0)),"")</f>
        <v/>
      </c>
      <c r="K408" s="4" t="str">
        <f>IFERROR(INDEX(样本到样信息汇总统计!K$2:K$500,MATCH(407,样本到样信息汇总统计!$Y$2:$Y$500,0)),"")</f>
        <v/>
      </c>
      <c r="L408" s="4" t="str">
        <f>IFERROR(INDEX(样本到样信息汇总统计!L$2:L$500,MATCH(407,样本到样信息汇总统计!$Y$2:$Y$500,0)),"")</f>
        <v/>
      </c>
      <c r="M408" s="4" t="str">
        <f>IFERROR(INDEX(样本到样信息汇总统计!M$2:M$500,MATCH(407,样本到样信息汇总统计!$Y$2:$Y$500,0)),"")</f>
        <v/>
      </c>
      <c r="N408" s="4" t="str">
        <f>IFERROR(INDEX(样本到样信息汇总统计!N$2:N$500,MATCH(407,样本到样信息汇总统计!$Y$2:$Y$500,0)),"")</f>
        <v/>
      </c>
      <c r="O408" s="4" t="str">
        <f>IFERROR(INDEX(样本到样信息汇总统计!O$2:O$500,MATCH(407,样本到样信息汇总统计!$Y$2:$Y$500,0)),"")</f>
        <v/>
      </c>
      <c r="P408" s="4" t="str">
        <f>IFERROR(INDEX(样本到样信息汇总统计!P$2:P$500,MATCH(407,样本到样信息汇总统计!$Y$2:$Y$500,0)),"")</f>
        <v/>
      </c>
      <c r="Q408" s="4" t="str">
        <f>IFERROR(INDEX(样本到样信息汇总统计!Q$2:Q$500,MATCH(407,样本到样信息汇总统计!$Y$2:$Y$500,0)),"")</f>
        <v/>
      </c>
      <c r="R408" s="4" t="str">
        <f>IFERROR(INDEX(样本到样信息汇总统计!R$2:R$500,MATCH(407,样本到样信息汇总统计!$Y$2:$Y$500,0)),"")</f>
        <v/>
      </c>
      <c r="S408" s="4" t="str">
        <f>IFERROR(INDEX(样本到样信息汇总统计!S$2:S$500,MATCH(407,样本到样信息汇总统计!$Y$2:$Y$500,0)),"")</f>
        <v/>
      </c>
      <c r="T408" s="4" t="str">
        <f>IFERROR(INDEX(样本到样信息汇总统计!T$2:T$500,MATCH(407,样本到样信息汇总统计!$Y$2:$Y$500,0)),"")</f>
        <v/>
      </c>
      <c r="U408" s="4" t="str">
        <f>IFERROR(INDEX(样本到样信息汇总统计!U$2:U$500,MATCH(407,样本到样信息汇总统计!$Y$2:$Y$500,0)),"")</f>
        <v/>
      </c>
      <c r="V408" s="4" t="str">
        <f>IFERROR(INDEX(样本到样信息汇总统计!V$2:V$500,MATCH(407,样本到样信息汇总统计!$Y$2:$Y$500,0)),"")</f>
        <v/>
      </c>
      <c r="W408" s="4" t="str">
        <f>IFERROR(INDEX(样本到样信息汇总统计!W$2:W$500,MATCH(407,样本到样信息汇总统计!$Y$2:$Y$500,0)),"")</f>
        <v/>
      </c>
    </row>
    <row r="409" ht="14.5" spans="1:23">
      <c r="A409" s="8" t="str">
        <f>IFERROR(INDEX(样本到样信息汇总统计!A$2:A$500,MATCH(408,样本到样信息汇总统计!$Y$2:$Y$500,0)),"")</f>
        <v/>
      </c>
      <c r="B409" s="8" t="str">
        <f>IFERROR(INDEX(样本到样信息汇总统计!B$2:B$500,MATCH(408,样本到样信息汇总统计!$Y$2:$Y$500,0)),"")</f>
        <v/>
      </c>
      <c r="C409" s="8" t="str">
        <f>IFERROR(INDEX(样本到样信息汇总统计!C$2:C$500,MATCH(408,样本到样信息汇总统计!$Y$2:$Y$500,0)),"")</f>
        <v/>
      </c>
      <c r="D409" s="8" t="str">
        <f>IFERROR(INDEX(样本到样信息汇总统计!D$2:D$500,MATCH(408,样本到样信息汇总统计!$Y$2:$Y$500,0)),"")</f>
        <v/>
      </c>
      <c r="E409" s="8" t="str">
        <f>IFERROR(INDEX(样本到样信息汇总统计!E$2:E$500,MATCH(408,样本到样信息汇总统计!$Y$2:$Y$500,0)),"")</f>
        <v/>
      </c>
      <c r="F409" s="8" t="str">
        <f>IFERROR(INDEX(样本到样信息汇总统计!F$2:F$500,MATCH(408,样本到样信息汇总统计!$Y$2:$Y$500,0)),"")</f>
        <v/>
      </c>
      <c r="G409" s="8" t="str">
        <f>IFERROR(INDEX(样本到样信息汇总统计!G$2:G$500,MATCH(408,样本到样信息汇总统计!$Y$2:$Y$500,0)),"")</f>
        <v/>
      </c>
      <c r="H409" s="8" t="str">
        <f>IFERROR(INDEX(样本到样信息汇总统计!H$2:H$500,MATCH(408,样本到样信息汇总统计!$Y$2:$Y$500,0)),"")</f>
        <v/>
      </c>
      <c r="I409" s="8" t="str">
        <f>IFERROR(INDEX(样本到样信息汇总统计!I$2:I$500,MATCH(408,样本到样信息汇总统计!$Y$2:$Y$500,0)),"")</f>
        <v/>
      </c>
      <c r="J409" s="8" t="str">
        <f>IFERROR(INDEX(样本到样信息汇总统计!J$2:J$500,MATCH(408,样本到样信息汇总统计!$Y$2:$Y$500,0)),"")</f>
        <v/>
      </c>
      <c r="K409" s="8" t="str">
        <f>IFERROR(INDEX(样本到样信息汇总统计!K$2:K$500,MATCH(408,样本到样信息汇总统计!$Y$2:$Y$500,0)),"")</f>
        <v/>
      </c>
      <c r="L409" s="8" t="str">
        <f>IFERROR(INDEX(样本到样信息汇总统计!L$2:L$500,MATCH(408,样本到样信息汇总统计!$Y$2:$Y$500,0)),"")</f>
        <v/>
      </c>
      <c r="M409" s="8" t="str">
        <f>IFERROR(INDEX(样本到样信息汇总统计!M$2:M$500,MATCH(408,样本到样信息汇总统计!$Y$2:$Y$500,0)),"")</f>
        <v/>
      </c>
      <c r="N409" s="8" t="str">
        <f>IFERROR(INDEX(样本到样信息汇总统计!N$2:N$500,MATCH(408,样本到样信息汇总统计!$Y$2:$Y$500,0)),"")</f>
        <v/>
      </c>
      <c r="O409" s="8" t="str">
        <f>IFERROR(INDEX(样本到样信息汇总统计!O$2:O$500,MATCH(408,样本到样信息汇总统计!$Y$2:$Y$500,0)),"")</f>
        <v/>
      </c>
      <c r="P409" s="8" t="str">
        <f>IFERROR(INDEX(样本到样信息汇总统计!P$2:P$500,MATCH(408,样本到样信息汇总统计!$Y$2:$Y$500,0)),"")</f>
        <v/>
      </c>
      <c r="Q409" s="8" t="str">
        <f>IFERROR(INDEX(样本到样信息汇总统计!Q$2:Q$500,MATCH(408,样本到样信息汇总统计!$Y$2:$Y$500,0)),"")</f>
        <v/>
      </c>
      <c r="R409" s="8" t="str">
        <f>IFERROR(INDEX(样本到样信息汇总统计!R$2:R$500,MATCH(408,样本到样信息汇总统计!$Y$2:$Y$500,0)),"")</f>
        <v/>
      </c>
      <c r="S409" s="8" t="str">
        <f>IFERROR(INDEX(样本到样信息汇总统计!S$2:S$500,MATCH(408,样本到样信息汇总统计!$Y$2:$Y$500,0)),"")</f>
        <v/>
      </c>
      <c r="T409" s="8" t="str">
        <f>IFERROR(INDEX(样本到样信息汇总统计!T$2:T$500,MATCH(408,样本到样信息汇总统计!$Y$2:$Y$500,0)),"")</f>
        <v/>
      </c>
      <c r="U409" s="8" t="str">
        <f>IFERROR(INDEX(样本到样信息汇总统计!U$2:U$500,MATCH(408,样本到样信息汇总统计!$Y$2:$Y$500,0)),"")</f>
        <v/>
      </c>
      <c r="V409" s="8" t="str">
        <f>IFERROR(INDEX(样本到样信息汇总统计!V$2:V$500,MATCH(408,样本到样信息汇总统计!$Y$2:$Y$500,0)),"")</f>
        <v/>
      </c>
      <c r="W409" s="8" t="str">
        <f>IFERROR(INDEX(样本到样信息汇总统计!W$2:W$500,MATCH(408,样本到样信息汇总统计!$Y$2:$Y$500,0)),"")</f>
        <v/>
      </c>
    </row>
    <row r="410" ht="14.5" spans="1:23">
      <c r="A410" s="4" t="str">
        <f>IFERROR(INDEX(样本到样信息汇总统计!A$2:A$500,MATCH(409,样本到样信息汇总统计!$Y$2:$Y$500,0)),"")</f>
        <v/>
      </c>
      <c r="B410" s="4" t="str">
        <f>IFERROR(INDEX(样本到样信息汇总统计!B$2:B$500,MATCH(409,样本到样信息汇总统计!$Y$2:$Y$500,0)),"")</f>
        <v/>
      </c>
      <c r="C410" s="4" t="str">
        <f>IFERROR(INDEX(样本到样信息汇总统计!C$2:C$500,MATCH(409,样本到样信息汇总统计!$Y$2:$Y$500,0)),"")</f>
        <v/>
      </c>
      <c r="D410" s="4" t="str">
        <f>IFERROR(INDEX(样本到样信息汇总统计!D$2:D$500,MATCH(409,样本到样信息汇总统计!$Y$2:$Y$500,0)),"")</f>
        <v/>
      </c>
      <c r="E410" s="4" t="str">
        <f>IFERROR(INDEX(样本到样信息汇总统计!E$2:E$500,MATCH(409,样本到样信息汇总统计!$Y$2:$Y$500,0)),"")</f>
        <v/>
      </c>
      <c r="F410" s="4" t="str">
        <f>IFERROR(INDEX(样本到样信息汇总统计!F$2:F$500,MATCH(409,样本到样信息汇总统计!$Y$2:$Y$500,0)),"")</f>
        <v/>
      </c>
      <c r="G410" s="4" t="str">
        <f>IFERROR(INDEX(样本到样信息汇总统计!G$2:G$500,MATCH(409,样本到样信息汇总统计!$Y$2:$Y$500,0)),"")</f>
        <v/>
      </c>
      <c r="H410" s="4" t="str">
        <f>IFERROR(INDEX(样本到样信息汇总统计!H$2:H$500,MATCH(409,样本到样信息汇总统计!$Y$2:$Y$500,0)),"")</f>
        <v/>
      </c>
      <c r="I410" s="4" t="str">
        <f>IFERROR(INDEX(样本到样信息汇总统计!I$2:I$500,MATCH(409,样本到样信息汇总统计!$Y$2:$Y$500,0)),"")</f>
        <v/>
      </c>
      <c r="J410" s="4" t="str">
        <f>IFERROR(INDEX(样本到样信息汇总统计!J$2:J$500,MATCH(409,样本到样信息汇总统计!$Y$2:$Y$500,0)),"")</f>
        <v/>
      </c>
      <c r="K410" s="4" t="str">
        <f>IFERROR(INDEX(样本到样信息汇总统计!K$2:K$500,MATCH(409,样本到样信息汇总统计!$Y$2:$Y$500,0)),"")</f>
        <v/>
      </c>
      <c r="L410" s="4" t="str">
        <f>IFERROR(INDEX(样本到样信息汇总统计!L$2:L$500,MATCH(409,样本到样信息汇总统计!$Y$2:$Y$500,0)),"")</f>
        <v/>
      </c>
      <c r="M410" s="4" t="str">
        <f>IFERROR(INDEX(样本到样信息汇总统计!M$2:M$500,MATCH(409,样本到样信息汇总统计!$Y$2:$Y$500,0)),"")</f>
        <v/>
      </c>
      <c r="N410" s="4" t="str">
        <f>IFERROR(INDEX(样本到样信息汇总统计!N$2:N$500,MATCH(409,样本到样信息汇总统计!$Y$2:$Y$500,0)),"")</f>
        <v/>
      </c>
      <c r="O410" s="4" t="str">
        <f>IFERROR(INDEX(样本到样信息汇总统计!O$2:O$500,MATCH(409,样本到样信息汇总统计!$Y$2:$Y$500,0)),"")</f>
        <v/>
      </c>
      <c r="P410" s="4" t="str">
        <f>IFERROR(INDEX(样本到样信息汇总统计!P$2:P$500,MATCH(409,样本到样信息汇总统计!$Y$2:$Y$500,0)),"")</f>
        <v/>
      </c>
      <c r="Q410" s="4" t="str">
        <f>IFERROR(INDEX(样本到样信息汇总统计!Q$2:Q$500,MATCH(409,样本到样信息汇总统计!$Y$2:$Y$500,0)),"")</f>
        <v/>
      </c>
      <c r="R410" s="4" t="str">
        <f>IFERROR(INDEX(样本到样信息汇总统计!R$2:R$500,MATCH(409,样本到样信息汇总统计!$Y$2:$Y$500,0)),"")</f>
        <v/>
      </c>
      <c r="S410" s="4" t="str">
        <f>IFERROR(INDEX(样本到样信息汇总统计!S$2:S$500,MATCH(409,样本到样信息汇总统计!$Y$2:$Y$500,0)),"")</f>
        <v/>
      </c>
      <c r="T410" s="4" t="str">
        <f>IFERROR(INDEX(样本到样信息汇总统计!T$2:T$500,MATCH(409,样本到样信息汇总统计!$Y$2:$Y$500,0)),"")</f>
        <v/>
      </c>
      <c r="U410" s="4" t="str">
        <f>IFERROR(INDEX(样本到样信息汇总统计!U$2:U$500,MATCH(409,样本到样信息汇总统计!$Y$2:$Y$500,0)),"")</f>
        <v/>
      </c>
      <c r="V410" s="4" t="str">
        <f>IFERROR(INDEX(样本到样信息汇总统计!V$2:V$500,MATCH(409,样本到样信息汇总统计!$Y$2:$Y$500,0)),"")</f>
        <v/>
      </c>
      <c r="W410" s="4" t="str">
        <f>IFERROR(INDEX(样本到样信息汇总统计!W$2:W$500,MATCH(409,样本到样信息汇总统计!$Y$2:$Y$500,0)),"")</f>
        <v/>
      </c>
    </row>
    <row r="411" ht="14.5" spans="1:23">
      <c r="A411" s="8" t="str">
        <f>IFERROR(INDEX(样本到样信息汇总统计!A$2:A$500,MATCH(410,样本到样信息汇总统计!$Y$2:$Y$500,0)),"")</f>
        <v/>
      </c>
      <c r="B411" s="8" t="str">
        <f>IFERROR(INDEX(样本到样信息汇总统计!B$2:B$500,MATCH(410,样本到样信息汇总统计!$Y$2:$Y$500,0)),"")</f>
        <v/>
      </c>
      <c r="C411" s="8" t="str">
        <f>IFERROR(INDEX(样本到样信息汇总统计!C$2:C$500,MATCH(410,样本到样信息汇总统计!$Y$2:$Y$500,0)),"")</f>
        <v/>
      </c>
      <c r="D411" s="8" t="str">
        <f>IFERROR(INDEX(样本到样信息汇总统计!D$2:D$500,MATCH(410,样本到样信息汇总统计!$Y$2:$Y$500,0)),"")</f>
        <v/>
      </c>
      <c r="E411" s="8" t="str">
        <f>IFERROR(INDEX(样本到样信息汇总统计!E$2:E$500,MATCH(410,样本到样信息汇总统计!$Y$2:$Y$500,0)),"")</f>
        <v/>
      </c>
      <c r="F411" s="8" t="str">
        <f>IFERROR(INDEX(样本到样信息汇总统计!F$2:F$500,MATCH(410,样本到样信息汇总统计!$Y$2:$Y$500,0)),"")</f>
        <v/>
      </c>
      <c r="G411" s="8" t="str">
        <f>IFERROR(INDEX(样本到样信息汇总统计!G$2:G$500,MATCH(410,样本到样信息汇总统计!$Y$2:$Y$500,0)),"")</f>
        <v/>
      </c>
      <c r="H411" s="8" t="str">
        <f>IFERROR(INDEX(样本到样信息汇总统计!H$2:H$500,MATCH(410,样本到样信息汇总统计!$Y$2:$Y$500,0)),"")</f>
        <v/>
      </c>
      <c r="I411" s="8" t="str">
        <f>IFERROR(INDEX(样本到样信息汇总统计!I$2:I$500,MATCH(410,样本到样信息汇总统计!$Y$2:$Y$500,0)),"")</f>
        <v/>
      </c>
      <c r="J411" s="8" t="str">
        <f>IFERROR(INDEX(样本到样信息汇总统计!J$2:J$500,MATCH(410,样本到样信息汇总统计!$Y$2:$Y$500,0)),"")</f>
        <v/>
      </c>
      <c r="K411" s="8" t="str">
        <f>IFERROR(INDEX(样本到样信息汇总统计!K$2:K$500,MATCH(410,样本到样信息汇总统计!$Y$2:$Y$500,0)),"")</f>
        <v/>
      </c>
      <c r="L411" s="8" t="str">
        <f>IFERROR(INDEX(样本到样信息汇总统计!L$2:L$500,MATCH(410,样本到样信息汇总统计!$Y$2:$Y$500,0)),"")</f>
        <v/>
      </c>
      <c r="M411" s="8" t="str">
        <f>IFERROR(INDEX(样本到样信息汇总统计!M$2:M$500,MATCH(410,样本到样信息汇总统计!$Y$2:$Y$500,0)),"")</f>
        <v/>
      </c>
      <c r="N411" s="8" t="str">
        <f>IFERROR(INDEX(样本到样信息汇总统计!N$2:N$500,MATCH(410,样本到样信息汇总统计!$Y$2:$Y$500,0)),"")</f>
        <v/>
      </c>
      <c r="O411" s="8" t="str">
        <f>IFERROR(INDEX(样本到样信息汇总统计!O$2:O$500,MATCH(410,样本到样信息汇总统计!$Y$2:$Y$500,0)),"")</f>
        <v/>
      </c>
      <c r="P411" s="8" t="str">
        <f>IFERROR(INDEX(样本到样信息汇总统计!P$2:P$500,MATCH(410,样本到样信息汇总统计!$Y$2:$Y$500,0)),"")</f>
        <v/>
      </c>
      <c r="Q411" s="8" t="str">
        <f>IFERROR(INDEX(样本到样信息汇总统计!Q$2:Q$500,MATCH(410,样本到样信息汇总统计!$Y$2:$Y$500,0)),"")</f>
        <v/>
      </c>
      <c r="R411" s="8" t="str">
        <f>IFERROR(INDEX(样本到样信息汇总统计!R$2:R$500,MATCH(410,样本到样信息汇总统计!$Y$2:$Y$500,0)),"")</f>
        <v/>
      </c>
      <c r="S411" s="8" t="str">
        <f>IFERROR(INDEX(样本到样信息汇总统计!S$2:S$500,MATCH(410,样本到样信息汇总统计!$Y$2:$Y$500,0)),"")</f>
        <v/>
      </c>
      <c r="T411" s="8" t="str">
        <f>IFERROR(INDEX(样本到样信息汇总统计!T$2:T$500,MATCH(410,样本到样信息汇总统计!$Y$2:$Y$500,0)),"")</f>
        <v/>
      </c>
      <c r="U411" s="8" t="str">
        <f>IFERROR(INDEX(样本到样信息汇总统计!U$2:U$500,MATCH(410,样本到样信息汇总统计!$Y$2:$Y$500,0)),"")</f>
        <v/>
      </c>
      <c r="V411" s="8" t="str">
        <f>IFERROR(INDEX(样本到样信息汇总统计!V$2:V$500,MATCH(410,样本到样信息汇总统计!$Y$2:$Y$500,0)),"")</f>
        <v/>
      </c>
      <c r="W411" s="8" t="str">
        <f>IFERROR(INDEX(样本到样信息汇总统计!W$2:W$500,MATCH(410,样本到样信息汇总统计!$Y$2:$Y$500,0)),"")</f>
        <v/>
      </c>
    </row>
    <row r="412" ht="14.5" spans="1:23">
      <c r="A412" s="4" t="str">
        <f>IFERROR(INDEX(样本到样信息汇总统计!A$2:A$500,MATCH(411,样本到样信息汇总统计!$Y$2:$Y$500,0)),"")</f>
        <v/>
      </c>
      <c r="B412" s="4" t="str">
        <f>IFERROR(INDEX(样本到样信息汇总统计!B$2:B$500,MATCH(411,样本到样信息汇总统计!$Y$2:$Y$500,0)),"")</f>
        <v/>
      </c>
      <c r="C412" s="4" t="str">
        <f>IFERROR(INDEX(样本到样信息汇总统计!C$2:C$500,MATCH(411,样本到样信息汇总统计!$Y$2:$Y$500,0)),"")</f>
        <v/>
      </c>
      <c r="D412" s="4" t="str">
        <f>IFERROR(INDEX(样本到样信息汇总统计!D$2:D$500,MATCH(411,样本到样信息汇总统计!$Y$2:$Y$500,0)),"")</f>
        <v/>
      </c>
      <c r="E412" s="4" t="str">
        <f>IFERROR(INDEX(样本到样信息汇总统计!E$2:E$500,MATCH(411,样本到样信息汇总统计!$Y$2:$Y$500,0)),"")</f>
        <v/>
      </c>
      <c r="F412" s="4" t="str">
        <f>IFERROR(INDEX(样本到样信息汇总统计!F$2:F$500,MATCH(411,样本到样信息汇总统计!$Y$2:$Y$500,0)),"")</f>
        <v/>
      </c>
      <c r="G412" s="4" t="str">
        <f>IFERROR(INDEX(样本到样信息汇总统计!G$2:G$500,MATCH(411,样本到样信息汇总统计!$Y$2:$Y$500,0)),"")</f>
        <v/>
      </c>
      <c r="H412" s="4" t="str">
        <f>IFERROR(INDEX(样本到样信息汇总统计!H$2:H$500,MATCH(411,样本到样信息汇总统计!$Y$2:$Y$500,0)),"")</f>
        <v/>
      </c>
      <c r="I412" s="4" t="str">
        <f>IFERROR(INDEX(样本到样信息汇总统计!I$2:I$500,MATCH(411,样本到样信息汇总统计!$Y$2:$Y$500,0)),"")</f>
        <v/>
      </c>
      <c r="J412" s="4" t="str">
        <f>IFERROR(INDEX(样本到样信息汇总统计!J$2:J$500,MATCH(411,样本到样信息汇总统计!$Y$2:$Y$500,0)),"")</f>
        <v/>
      </c>
      <c r="K412" s="4" t="str">
        <f>IFERROR(INDEX(样本到样信息汇总统计!K$2:K$500,MATCH(411,样本到样信息汇总统计!$Y$2:$Y$500,0)),"")</f>
        <v/>
      </c>
      <c r="L412" s="4" t="str">
        <f>IFERROR(INDEX(样本到样信息汇总统计!L$2:L$500,MATCH(411,样本到样信息汇总统计!$Y$2:$Y$500,0)),"")</f>
        <v/>
      </c>
      <c r="M412" s="4" t="str">
        <f>IFERROR(INDEX(样本到样信息汇总统计!M$2:M$500,MATCH(411,样本到样信息汇总统计!$Y$2:$Y$500,0)),"")</f>
        <v/>
      </c>
      <c r="N412" s="4" t="str">
        <f>IFERROR(INDEX(样本到样信息汇总统计!N$2:N$500,MATCH(411,样本到样信息汇总统计!$Y$2:$Y$500,0)),"")</f>
        <v/>
      </c>
      <c r="O412" s="4" t="str">
        <f>IFERROR(INDEX(样本到样信息汇总统计!O$2:O$500,MATCH(411,样本到样信息汇总统计!$Y$2:$Y$500,0)),"")</f>
        <v/>
      </c>
      <c r="P412" s="4" t="str">
        <f>IFERROR(INDEX(样本到样信息汇总统计!P$2:P$500,MATCH(411,样本到样信息汇总统计!$Y$2:$Y$500,0)),"")</f>
        <v/>
      </c>
      <c r="Q412" s="4" t="str">
        <f>IFERROR(INDEX(样本到样信息汇总统计!Q$2:Q$500,MATCH(411,样本到样信息汇总统计!$Y$2:$Y$500,0)),"")</f>
        <v/>
      </c>
      <c r="R412" s="4" t="str">
        <f>IFERROR(INDEX(样本到样信息汇总统计!R$2:R$500,MATCH(411,样本到样信息汇总统计!$Y$2:$Y$500,0)),"")</f>
        <v/>
      </c>
      <c r="S412" s="4" t="str">
        <f>IFERROR(INDEX(样本到样信息汇总统计!S$2:S$500,MATCH(411,样本到样信息汇总统计!$Y$2:$Y$500,0)),"")</f>
        <v/>
      </c>
      <c r="T412" s="4" t="str">
        <f>IFERROR(INDEX(样本到样信息汇总统计!T$2:T$500,MATCH(411,样本到样信息汇总统计!$Y$2:$Y$500,0)),"")</f>
        <v/>
      </c>
      <c r="U412" s="4" t="str">
        <f>IFERROR(INDEX(样本到样信息汇总统计!U$2:U$500,MATCH(411,样本到样信息汇总统计!$Y$2:$Y$500,0)),"")</f>
        <v/>
      </c>
      <c r="V412" s="4" t="str">
        <f>IFERROR(INDEX(样本到样信息汇总统计!V$2:V$500,MATCH(411,样本到样信息汇总统计!$Y$2:$Y$500,0)),"")</f>
        <v/>
      </c>
      <c r="W412" s="4" t="str">
        <f>IFERROR(INDEX(样本到样信息汇总统计!W$2:W$500,MATCH(411,样本到样信息汇总统计!$Y$2:$Y$500,0)),"")</f>
        <v/>
      </c>
    </row>
    <row r="413" ht="14.5" spans="1:23">
      <c r="A413" s="8" t="str">
        <f>IFERROR(INDEX(样本到样信息汇总统计!A$2:A$500,MATCH(412,样本到样信息汇总统计!$Y$2:$Y$500,0)),"")</f>
        <v/>
      </c>
      <c r="B413" s="8" t="str">
        <f>IFERROR(INDEX(样本到样信息汇总统计!B$2:B$500,MATCH(412,样本到样信息汇总统计!$Y$2:$Y$500,0)),"")</f>
        <v/>
      </c>
      <c r="C413" s="8" t="str">
        <f>IFERROR(INDEX(样本到样信息汇总统计!C$2:C$500,MATCH(412,样本到样信息汇总统计!$Y$2:$Y$500,0)),"")</f>
        <v/>
      </c>
      <c r="D413" s="8" t="str">
        <f>IFERROR(INDEX(样本到样信息汇总统计!D$2:D$500,MATCH(412,样本到样信息汇总统计!$Y$2:$Y$500,0)),"")</f>
        <v/>
      </c>
      <c r="E413" s="8" t="str">
        <f>IFERROR(INDEX(样本到样信息汇总统计!E$2:E$500,MATCH(412,样本到样信息汇总统计!$Y$2:$Y$500,0)),"")</f>
        <v/>
      </c>
      <c r="F413" s="8" t="str">
        <f>IFERROR(INDEX(样本到样信息汇总统计!F$2:F$500,MATCH(412,样本到样信息汇总统计!$Y$2:$Y$500,0)),"")</f>
        <v/>
      </c>
      <c r="G413" s="8" t="str">
        <f>IFERROR(INDEX(样本到样信息汇总统计!G$2:G$500,MATCH(412,样本到样信息汇总统计!$Y$2:$Y$500,0)),"")</f>
        <v/>
      </c>
      <c r="H413" s="8" t="str">
        <f>IFERROR(INDEX(样本到样信息汇总统计!H$2:H$500,MATCH(412,样本到样信息汇总统计!$Y$2:$Y$500,0)),"")</f>
        <v/>
      </c>
      <c r="I413" s="8" t="str">
        <f>IFERROR(INDEX(样本到样信息汇总统计!I$2:I$500,MATCH(412,样本到样信息汇总统计!$Y$2:$Y$500,0)),"")</f>
        <v/>
      </c>
      <c r="J413" s="8" t="str">
        <f>IFERROR(INDEX(样本到样信息汇总统计!J$2:J$500,MATCH(412,样本到样信息汇总统计!$Y$2:$Y$500,0)),"")</f>
        <v/>
      </c>
      <c r="K413" s="8" t="str">
        <f>IFERROR(INDEX(样本到样信息汇总统计!K$2:K$500,MATCH(412,样本到样信息汇总统计!$Y$2:$Y$500,0)),"")</f>
        <v/>
      </c>
      <c r="L413" s="8" t="str">
        <f>IFERROR(INDEX(样本到样信息汇总统计!L$2:L$500,MATCH(412,样本到样信息汇总统计!$Y$2:$Y$500,0)),"")</f>
        <v/>
      </c>
      <c r="M413" s="8" t="str">
        <f>IFERROR(INDEX(样本到样信息汇总统计!M$2:M$500,MATCH(412,样本到样信息汇总统计!$Y$2:$Y$500,0)),"")</f>
        <v/>
      </c>
      <c r="N413" s="8" t="str">
        <f>IFERROR(INDEX(样本到样信息汇总统计!N$2:N$500,MATCH(412,样本到样信息汇总统计!$Y$2:$Y$500,0)),"")</f>
        <v/>
      </c>
      <c r="O413" s="8" t="str">
        <f>IFERROR(INDEX(样本到样信息汇总统计!O$2:O$500,MATCH(412,样本到样信息汇总统计!$Y$2:$Y$500,0)),"")</f>
        <v/>
      </c>
      <c r="P413" s="8" t="str">
        <f>IFERROR(INDEX(样本到样信息汇总统计!P$2:P$500,MATCH(412,样本到样信息汇总统计!$Y$2:$Y$500,0)),"")</f>
        <v/>
      </c>
      <c r="Q413" s="8" t="str">
        <f>IFERROR(INDEX(样本到样信息汇总统计!Q$2:Q$500,MATCH(412,样本到样信息汇总统计!$Y$2:$Y$500,0)),"")</f>
        <v/>
      </c>
      <c r="R413" s="8" t="str">
        <f>IFERROR(INDEX(样本到样信息汇总统计!R$2:R$500,MATCH(412,样本到样信息汇总统计!$Y$2:$Y$500,0)),"")</f>
        <v/>
      </c>
      <c r="S413" s="8" t="str">
        <f>IFERROR(INDEX(样本到样信息汇总统计!S$2:S$500,MATCH(412,样本到样信息汇总统计!$Y$2:$Y$500,0)),"")</f>
        <v/>
      </c>
      <c r="T413" s="8" t="str">
        <f>IFERROR(INDEX(样本到样信息汇总统计!T$2:T$500,MATCH(412,样本到样信息汇总统计!$Y$2:$Y$500,0)),"")</f>
        <v/>
      </c>
      <c r="U413" s="8" t="str">
        <f>IFERROR(INDEX(样本到样信息汇总统计!U$2:U$500,MATCH(412,样本到样信息汇总统计!$Y$2:$Y$500,0)),"")</f>
        <v/>
      </c>
      <c r="V413" s="8" t="str">
        <f>IFERROR(INDEX(样本到样信息汇总统计!V$2:V$500,MATCH(412,样本到样信息汇总统计!$Y$2:$Y$500,0)),"")</f>
        <v/>
      </c>
      <c r="W413" s="8" t="str">
        <f>IFERROR(INDEX(样本到样信息汇总统计!W$2:W$500,MATCH(412,样本到样信息汇总统计!$Y$2:$Y$500,0)),"")</f>
        <v/>
      </c>
    </row>
    <row r="414" ht="14.5" spans="1:23">
      <c r="A414" s="4" t="str">
        <f>IFERROR(INDEX(样本到样信息汇总统计!A$2:A$500,MATCH(413,样本到样信息汇总统计!$Y$2:$Y$500,0)),"")</f>
        <v/>
      </c>
      <c r="B414" s="4" t="str">
        <f>IFERROR(INDEX(样本到样信息汇总统计!B$2:B$500,MATCH(413,样本到样信息汇总统计!$Y$2:$Y$500,0)),"")</f>
        <v/>
      </c>
      <c r="C414" s="4" t="str">
        <f>IFERROR(INDEX(样本到样信息汇总统计!C$2:C$500,MATCH(413,样本到样信息汇总统计!$Y$2:$Y$500,0)),"")</f>
        <v/>
      </c>
      <c r="D414" s="4" t="str">
        <f>IFERROR(INDEX(样本到样信息汇总统计!D$2:D$500,MATCH(413,样本到样信息汇总统计!$Y$2:$Y$500,0)),"")</f>
        <v/>
      </c>
      <c r="E414" s="4" t="str">
        <f>IFERROR(INDEX(样本到样信息汇总统计!E$2:E$500,MATCH(413,样本到样信息汇总统计!$Y$2:$Y$500,0)),"")</f>
        <v/>
      </c>
      <c r="F414" s="4" t="str">
        <f>IFERROR(INDEX(样本到样信息汇总统计!F$2:F$500,MATCH(413,样本到样信息汇总统计!$Y$2:$Y$500,0)),"")</f>
        <v/>
      </c>
      <c r="G414" s="4" t="str">
        <f>IFERROR(INDEX(样本到样信息汇总统计!G$2:G$500,MATCH(413,样本到样信息汇总统计!$Y$2:$Y$500,0)),"")</f>
        <v/>
      </c>
      <c r="H414" s="4" t="str">
        <f>IFERROR(INDEX(样本到样信息汇总统计!H$2:H$500,MATCH(413,样本到样信息汇总统计!$Y$2:$Y$500,0)),"")</f>
        <v/>
      </c>
      <c r="I414" s="4" t="str">
        <f>IFERROR(INDEX(样本到样信息汇总统计!I$2:I$500,MATCH(413,样本到样信息汇总统计!$Y$2:$Y$500,0)),"")</f>
        <v/>
      </c>
      <c r="J414" s="4" t="str">
        <f>IFERROR(INDEX(样本到样信息汇总统计!J$2:J$500,MATCH(413,样本到样信息汇总统计!$Y$2:$Y$500,0)),"")</f>
        <v/>
      </c>
      <c r="K414" s="4" t="str">
        <f>IFERROR(INDEX(样本到样信息汇总统计!K$2:K$500,MATCH(413,样本到样信息汇总统计!$Y$2:$Y$500,0)),"")</f>
        <v/>
      </c>
      <c r="L414" s="4" t="str">
        <f>IFERROR(INDEX(样本到样信息汇总统计!L$2:L$500,MATCH(413,样本到样信息汇总统计!$Y$2:$Y$500,0)),"")</f>
        <v/>
      </c>
      <c r="M414" s="4" t="str">
        <f>IFERROR(INDEX(样本到样信息汇总统计!M$2:M$500,MATCH(413,样本到样信息汇总统计!$Y$2:$Y$500,0)),"")</f>
        <v/>
      </c>
      <c r="N414" s="4" t="str">
        <f>IFERROR(INDEX(样本到样信息汇总统计!N$2:N$500,MATCH(413,样本到样信息汇总统计!$Y$2:$Y$500,0)),"")</f>
        <v/>
      </c>
      <c r="O414" s="4" t="str">
        <f>IFERROR(INDEX(样本到样信息汇总统计!O$2:O$500,MATCH(413,样本到样信息汇总统计!$Y$2:$Y$500,0)),"")</f>
        <v/>
      </c>
      <c r="P414" s="4" t="str">
        <f>IFERROR(INDEX(样本到样信息汇总统计!P$2:P$500,MATCH(413,样本到样信息汇总统计!$Y$2:$Y$500,0)),"")</f>
        <v/>
      </c>
      <c r="Q414" s="4" t="str">
        <f>IFERROR(INDEX(样本到样信息汇总统计!Q$2:Q$500,MATCH(413,样本到样信息汇总统计!$Y$2:$Y$500,0)),"")</f>
        <v/>
      </c>
      <c r="R414" s="4" t="str">
        <f>IFERROR(INDEX(样本到样信息汇总统计!R$2:R$500,MATCH(413,样本到样信息汇总统计!$Y$2:$Y$500,0)),"")</f>
        <v/>
      </c>
      <c r="S414" s="4" t="str">
        <f>IFERROR(INDEX(样本到样信息汇总统计!S$2:S$500,MATCH(413,样本到样信息汇总统计!$Y$2:$Y$500,0)),"")</f>
        <v/>
      </c>
      <c r="T414" s="4" t="str">
        <f>IFERROR(INDEX(样本到样信息汇总统计!T$2:T$500,MATCH(413,样本到样信息汇总统计!$Y$2:$Y$500,0)),"")</f>
        <v/>
      </c>
      <c r="U414" s="4" t="str">
        <f>IFERROR(INDEX(样本到样信息汇总统计!U$2:U$500,MATCH(413,样本到样信息汇总统计!$Y$2:$Y$500,0)),"")</f>
        <v/>
      </c>
      <c r="V414" s="4" t="str">
        <f>IFERROR(INDEX(样本到样信息汇总统计!V$2:V$500,MATCH(413,样本到样信息汇总统计!$Y$2:$Y$500,0)),"")</f>
        <v/>
      </c>
      <c r="W414" s="4" t="str">
        <f>IFERROR(INDEX(样本到样信息汇总统计!W$2:W$500,MATCH(413,样本到样信息汇总统计!$Y$2:$Y$500,0)),"")</f>
        <v/>
      </c>
    </row>
    <row r="415" ht="14.5" spans="1:23">
      <c r="A415" s="8" t="str">
        <f>IFERROR(INDEX(样本到样信息汇总统计!A$2:A$500,MATCH(414,样本到样信息汇总统计!$Y$2:$Y$500,0)),"")</f>
        <v/>
      </c>
      <c r="B415" s="8" t="str">
        <f>IFERROR(INDEX(样本到样信息汇总统计!B$2:B$500,MATCH(414,样本到样信息汇总统计!$Y$2:$Y$500,0)),"")</f>
        <v/>
      </c>
      <c r="C415" s="8" t="str">
        <f>IFERROR(INDEX(样本到样信息汇总统计!C$2:C$500,MATCH(414,样本到样信息汇总统计!$Y$2:$Y$500,0)),"")</f>
        <v/>
      </c>
      <c r="D415" s="8" t="str">
        <f>IFERROR(INDEX(样本到样信息汇总统计!D$2:D$500,MATCH(414,样本到样信息汇总统计!$Y$2:$Y$500,0)),"")</f>
        <v/>
      </c>
      <c r="E415" s="8" t="str">
        <f>IFERROR(INDEX(样本到样信息汇总统计!E$2:E$500,MATCH(414,样本到样信息汇总统计!$Y$2:$Y$500,0)),"")</f>
        <v/>
      </c>
      <c r="F415" s="8" t="str">
        <f>IFERROR(INDEX(样本到样信息汇总统计!F$2:F$500,MATCH(414,样本到样信息汇总统计!$Y$2:$Y$500,0)),"")</f>
        <v/>
      </c>
      <c r="G415" s="8" t="str">
        <f>IFERROR(INDEX(样本到样信息汇总统计!G$2:G$500,MATCH(414,样本到样信息汇总统计!$Y$2:$Y$500,0)),"")</f>
        <v/>
      </c>
      <c r="H415" s="8" t="str">
        <f>IFERROR(INDEX(样本到样信息汇总统计!H$2:H$500,MATCH(414,样本到样信息汇总统计!$Y$2:$Y$500,0)),"")</f>
        <v/>
      </c>
      <c r="I415" s="8" t="str">
        <f>IFERROR(INDEX(样本到样信息汇总统计!I$2:I$500,MATCH(414,样本到样信息汇总统计!$Y$2:$Y$500,0)),"")</f>
        <v/>
      </c>
      <c r="J415" s="8" t="str">
        <f>IFERROR(INDEX(样本到样信息汇总统计!J$2:J$500,MATCH(414,样本到样信息汇总统计!$Y$2:$Y$500,0)),"")</f>
        <v/>
      </c>
      <c r="K415" s="8" t="str">
        <f>IFERROR(INDEX(样本到样信息汇总统计!K$2:K$500,MATCH(414,样本到样信息汇总统计!$Y$2:$Y$500,0)),"")</f>
        <v/>
      </c>
      <c r="L415" s="8" t="str">
        <f>IFERROR(INDEX(样本到样信息汇总统计!L$2:L$500,MATCH(414,样本到样信息汇总统计!$Y$2:$Y$500,0)),"")</f>
        <v/>
      </c>
      <c r="M415" s="8" t="str">
        <f>IFERROR(INDEX(样本到样信息汇总统计!M$2:M$500,MATCH(414,样本到样信息汇总统计!$Y$2:$Y$500,0)),"")</f>
        <v/>
      </c>
      <c r="N415" s="8" t="str">
        <f>IFERROR(INDEX(样本到样信息汇总统计!N$2:N$500,MATCH(414,样本到样信息汇总统计!$Y$2:$Y$500,0)),"")</f>
        <v/>
      </c>
      <c r="O415" s="8" t="str">
        <f>IFERROR(INDEX(样本到样信息汇总统计!O$2:O$500,MATCH(414,样本到样信息汇总统计!$Y$2:$Y$500,0)),"")</f>
        <v/>
      </c>
      <c r="P415" s="8" t="str">
        <f>IFERROR(INDEX(样本到样信息汇总统计!P$2:P$500,MATCH(414,样本到样信息汇总统计!$Y$2:$Y$500,0)),"")</f>
        <v/>
      </c>
      <c r="Q415" s="8" t="str">
        <f>IFERROR(INDEX(样本到样信息汇总统计!Q$2:Q$500,MATCH(414,样本到样信息汇总统计!$Y$2:$Y$500,0)),"")</f>
        <v/>
      </c>
      <c r="R415" s="8" t="str">
        <f>IFERROR(INDEX(样本到样信息汇总统计!R$2:R$500,MATCH(414,样本到样信息汇总统计!$Y$2:$Y$500,0)),"")</f>
        <v/>
      </c>
      <c r="S415" s="8" t="str">
        <f>IFERROR(INDEX(样本到样信息汇总统计!S$2:S$500,MATCH(414,样本到样信息汇总统计!$Y$2:$Y$500,0)),"")</f>
        <v/>
      </c>
      <c r="T415" s="8" t="str">
        <f>IFERROR(INDEX(样本到样信息汇总统计!T$2:T$500,MATCH(414,样本到样信息汇总统计!$Y$2:$Y$500,0)),"")</f>
        <v/>
      </c>
      <c r="U415" s="8" t="str">
        <f>IFERROR(INDEX(样本到样信息汇总统计!U$2:U$500,MATCH(414,样本到样信息汇总统计!$Y$2:$Y$500,0)),"")</f>
        <v/>
      </c>
      <c r="V415" s="8" t="str">
        <f>IFERROR(INDEX(样本到样信息汇总统计!V$2:V$500,MATCH(414,样本到样信息汇总统计!$Y$2:$Y$500,0)),"")</f>
        <v/>
      </c>
      <c r="W415" s="8" t="str">
        <f>IFERROR(INDEX(样本到样信息汇总统计!W$2:W$500,MATCH(414,样本到样信息汇总统计!$Y$2:$Y$500,0)),"")</f>
        <v/>
      </c>
    </row>
    <row r="416" ht="14.5" spans="1:23">
      <c r="A416" s="4" t="str">
        <f>IFERROR(INDEX(样本到样信息汇总统计!A$2:A$500,MATCH(415,样本到样信息汇总统计!$Y$2:$Y$500,0)),"")</f>
        <v/>
      </c>
      <c r="B416" s="4" t="str">
        <f>IFERROR(INDEX(样本到样信息汇总统计!B$2:B$500,MATCH(415,样本到样信息汇总统计!$Y$2:$Y$500,0)),"")</f>
        <v/>
      </c>
      <c r="C416" s="4" t="str">
        <f>IFERROR(INDEX(样本到样信息汇总统计!C$2:C$500,MATCH(415,样本到样信息汇总统计!$Y$2:$Y$500,0)),"")</f>
        <v/>
      </c>
      <c r="D416" s="4" t="str">
        <f>IFERROR(INDEX(样本到样信息汇总统计!D$2:D$500,MATCH(415,样本到样信息汇总统计!$Y$2:$Y$500,0)),"")</f>
        <v/>
      </c>
      <c r="E416" s="4" t="str">
        <f>IFERROR(INDEX(样本到样信息汇总统计!E$2:E$500,MATCH(415,样本到样信息汇总统计!$Y$2:$Y$500,0)),"")</f>
        <v/>
      </c>
      <c r="F416" s="4" t="str">
        <f>IFERROR(INDEX(样本到样信息汇总统计!F$2:F$500,MATCH(415,样本到样信息汇总统计!$Y$2:$Y$500,0)),"")</f>
        <v/>
      </c>
      <c r="G416" s="4" t="str">
        <f>IFERROR(INDEX(样本到样信息汇总统计!G$2:G$500,MATCH(415,样本到样信息汇总统计!$Y$2:$Y$500,0)),"")</f>
        <v/>
      </c>
      <c r="H416" s="4" t="str">
        <f>IFERROR(INDEX(样本到样信息汇总统计!H$2:H$500,MATCH(415,样本到样信息汇总统计!$Y$2:$Y$500,0)),"")</f>
        <v/>
      </c>
      <c r="I416" s="4" t="str">
        <f>IFERROR(INDEX(样本到样信息汇总统计!I$2:I$500,MATCH(415,样本到样信息汇总统计!$Y$2:$Y$500,0)),"")</f>
        <v/>
      </c>
      <c r="J416" s="4" t="str">
        <f>IFERROR(INDEX(样本到样信息汇总统计!J$2:J$500,MATCH(415,样本到样信息汇总统计!$Y$2:$Y$500,0)),"")</f>
        <v/>
      </c>
      <c r="K416" s="4" t="str">
        <f>IFERROR(INDEX(样本到样信息汇总统计!K$2:K$500,MATCH(415,样本到样信息汇总统计!$Y$2:$Y$500,0)),"")</f>
        <v/>
      </c>
      <c r="L416" s="4" t="str">
        <f>IFERROR(INDEX(样本到样信息汇总统计!L$2:L$500,MATCH(415,样本到样信息汇总统计!$Y$2:$Y$500,0)),"")</f>
        <v/>
      </c>
      <c r="M416" s="4" t="str">
        <f>IFERROR(INDEX(样本到样信息汇总统计!M$2:M$500,MATCH(415,样本到样信息汇总统计!$Y$2:$Y$500,0)),"")</f>
        <v/>
      </c>
      <c r="N416" s="4" t="str">
        <f>IFERROR(INDEX(样本到样信息汇总统计!N$2:N$500,MATCH(415,样本到样信息汇总统计!$Y$2:$Y$500,0)),"")</f>
        <v/>
      </c>
      <c r="O416" s="4" t="str">
        <f>IFERROR(INDEX(样本到样信息汇总统计!O$2:O$500,MATCH(415,样本到样信息汇总统计!$Y$2:$Y$500,0)),"")</f>
        <v/>
      </c>
      <c r="P416" s="4" t="str">
        <f>IFERROR(INDEX(样本到样信息汇总统计!P$2:P$500,MATCH(415,样本到样信息汇总统计!$Y$2:$Y$500,0)),"")</f>
        <v/>
      </c>
      <c r="Q416" s="4" t="str">
        <f>IFERROR(INDEX(样本到样信息汇总统计!Q$2:Q$500,MATCH(415,样本到样信息汇总统计!$Y$2:$Y$500,0)),"")</f>
        <v/>
      </c>
      <c r="R416" s="4" t="str">
        <f>IFERROR(INDEX(样本到样信息汇总统计!R$2:R$500,MATCH(415,样本到样信息汇总统计!$Y$2:$Y$500,0)),"")</f>
        <v/>
      </c>
      <c r="S416" s="4" t="str">
        <f>IFERROR(INDEX(样本到样信息汇总统计!S$2:S$500,MATCH(415,样本到样信息汇总统计!$Y$2:$Y$500,0)),"")</f>
        <v/>
      </c>
      <c r="T416" s="4" t="str">
        <f>IFERROR(INDEX(样本到样信息汇总统计!T$2:T$500,MATCH(415,样本到样信息汇总统计!$Y$2:$Y$500,0)),"")</f>
        <v/>
      </c>
      <c r="U416" s="4" t="str">
        <f>IFERROR(INDEX(样本到样信息汇总统计!U$2:U$500,MATCH(415,样本到样信息汇总统计!$Y$2:$Y$500,0)),"")</f>
        <v/>
      </c>
      <c r="V416" s="4" t="str">
        <f>IFERROR(INDEX(样本到样信息汇总统计!V$2:V$500,MATCH(415,样本到样信息汇总统计!$Y$2:$Y$500,0)),"")</f>
        <v/>
      </c>
      <c r="W416" s="4" t="str">
        <f>IFERROR(INDEX(样本到样信息汇总统计!W$2:W$500,MATCH(415,样本到样信息汇总统计!$Y$2:$Y$500,0)),"")</f>
        <v/>
      </c>
    </row>
    <row r="417" ht="14.5" spans="1:23">
      <c r="A417" s="8" t="str">
        <f>IFERROR(INDEX(样本到样信息汇总统计!A$2:A$500,MATCH(416,样本到样信息汇总统计!$Y$2:$Y$500,0)),"")</f>
        <v/>
      </c>
      <c r="B417" s="8" t="str">
        <f>IFERROR(INDEX(样本到样信息汇总统计!B$2:B$500,MATCH(416,样本到样信息汇总统计!$Y$2:$Y$500,0)),"")</f>
        <v/>
      </c>
      <c r="C417" s="8" t="str">
        <f>IFERROR(INDEX(样本到样信息汇总统计!C$2:C$500,MATCH(416,样本到样信息汇总统计!$Y$2:$Y$500,0)),"")</f>
        <v/>
      </c>
      <c r="D417" s="8" t="str">
        <f>IFERROR(INDEX(样本到样信息汇总统计!D$2:D$500,MATCH(416,样本到样信息汇总统计!$Y$2:$Y$500,0)),"")</f>
        <v/>
      </c>
      <c r="E417" s="8" t="str">
        <f>IFERROR(INDEX(样本到样信息汇总统计!E$2:E$500,MATCH(416,样本到样信息汇总统计!$Y$2:$Y$500,0)),"")</f>
        <v/>
      </c>
      <c r="F417" s="8" t="str">
        <f>IFERROR(INDEX(样本到样信息汇总统计!F$2:F$500,MATCH(416,样本到样信息汇总统计!$Y$2:$Y$500,0)),"")</f>
        <v/>
      </c>
      <c r="G417" s="8" t="str">
        <f>IFERROR(INDEX(样本到样信息汇总统计!G$2:G$500,MATCH(416,样本到样信息汇总统计!$Y$2:$Y$500,0)),"")</f>
        <v/>
      </c>
      <c r="H417" s="8" t="str">
        <f>IFERROR(INDEX(样本到样信息汇总统计!H$2:H$500,MATCH(416,样本到样信息汇总统计!$Y$2:$Y$500,0)),"")</f>
        <v/>
      </c>
      <c r="I417" s="8" t="str">
        <f>IFERROR(INDEX(样本到样信息汇总统计!I$2:I$500,MATCH(416,样本到样信息汇总统计!$Y$2:$Y$500,0)),"")</f>
        <v/>
      </c>
      <c r="J417" s="8" t="str">
        <f>IFERROR(INDEX(样本到样信息汇总统计!J$2:J$500,MATCH(416,样本到样信息汇总统计!$Y$2:$Y$500,0)),"")</f>
        <v/>
      </c>
      <c r="K417" s="8" t="str">
        <f>IFERROR(INDEX(样本到样信息汇总统计!K$2:K$500,MATCH(416,样本到样信息汇总统计!$Y$2:$Y$500,0)),"")</f>
        <v/>
      </c>
      <c r="L417" s="8" t="str">
        <f>IFERROR(INDEX(样本到样信息汇总统计!L$2:L$500,MATCH(416,样本到样信息汇总统计!$Y$2:$Y$500,0)),"")</f>
        <v/>
      </c>
      <c r="M417" s="8" t="str">
        <f>IFERROR(INDEX(样本到样信息汇总统计!M$2:M$500,MATCH(416,样本到样信息汇总统计!$Y$2:$Y$500,0)),"")</f>
        <v/>
      </c>
      <c r="N417" s="8" t="str">
        <f>IFERROR(INDEX(样本到样信息汇总统计!N$2:N$500,MATCH(416,样本到样信息汇总统计!$Y$2:$Y$500,0)),"")</f>
        <v/>
      </c>
      <c r="O417" s="8" t="str">
        <f>IFERROR(INDEX(样本到样信息汇总统计!O$2:O$500,MATCH(416,样本到样信息汇总统计!$Y$2:$Y$500,0)),"")</f>
        <v/>
      </c>
      <c r="P417" s="8" t="str">
        <f>IFERROR(INDEX(样本到样信息汇总统计!P$2:P$500,MATCH(416,样本到样信息汇总统计!$Y$2:$Y$500,0)),"")</f>
        <v/>
      </c>
      <c r="Q417" s="8" t="str">
        <f>IFERROR(INDEX(样本到样信息汇总统计!Q$2:Q$500,MATCH(416,样本到样信息汇总统计!$Y$2:$Y$500,0)),"")</f>
        <v/>
      </c>
      <c r="R417" s="8" t="str">
        <f>IFERROR(INDEX(样本到样信息汇总统计!R$2:R$500,MATCH(416,样本到样信息汇总统计!$Y$2:$Y$500,0)),"")</f>
        <v/>
      </c>
      <c r="S417" s="8" t="str">
        <f>IFERROR(INDEX(样本到样信息汇总统计!S$2:S$500,MATCH(416,样本到样信息汇总统计!$Y$2:$Y$500,0)),"")</f>
        <v/>
      </c>
      <c r="T417" s="8" t="str">
        <f>IFERROR(INDEX(样本到样信息汇总统计!T$2:T$500,MATCH(416,样本到样信息汇总统计!$Y$2:$Y$500,0)),"")</f>
        <v/>
      </c>
      <c r="U417" s="8" t="str">
        <f>IFERROR(INDEX(样本到样信息汇总统计!U$2:U$500,MATCH(416,样本到样信息汇总统计!$Y$2:$Y$500,0)),"")</f>
        <v/>
      </c>
      <c r="V417" s="8" t="str">
        <f>IFERROR(INDEX(样本到样信息汇总统计!V$2:V$500,MATCH(416,样本到样信息汇总统计!$Y$2:$Y$500,0)),"")</f>
        <v/>
      </c>
      <c r="W417" s="8" t="str">
        <f>IFERROR(INDEX(样本到样信息汇总统计!W$2:W$500,MATCH(416,样本到样信息汇总统计!$Y$2:$Y$500,0)),"")</f>
        <v/>
      </c>
    </row>
    <row r="418" ht="14.5" spans="1:23">
      <c r="A418" s="4" t="str">
        <f>IFERROR(INDEX(样本到样信息汇总统计!A$2:A$500,MATCH(417,样本到样信息汇总统计!$Y$2:$Y$500,0)),"")</f>
        <v/>
      </c>
      <c r="B418" s="4" t="str">
        <f>IFERROR(INDEX(样本到样信息汇总统计!B$2:B$500,MATCH(417,样本到样信息汇总统计!$Y$2:$Y$500,0)),"")</f>
        <v/>
      </c>
      <c r="C418" s="4" t="str">
        <f>IFERROR(INDEX(样本到样信息汇总统计!C$2:C$500,MATCH(417,样本到样信息汇总统计!$Y$2:$Y$500,0)),"")</f>
        <v/>
      </c>
      <c r="D418" s="4" t="str">
        <f>IFERROR(INDEX(样本到样信息汇总统计!D$2:D$500,MATCH(417,样本到样信息汇总统计!$Y$2:$Y$500,0)),"")</f>
        <v/>
      </c>
      <c r="E418" s="4" t="str">
        <f>IFERROR(INDEX(样本到样信息汇总统计!E$2:E$500,MATCH(417,样本到样信息汇总统计!$Y$2:$Y$500,0)),"")</f>
        <v/>
      </c>
      <c r="F418" s="4" t="str">
        <f>IFERROR(INDEX(样本到样信息汇总统计!F$2:F$500,MATCH(417,样本到样信息汇总统计!$Y$2:$Y$500,0)),"")</f>
        <v/>
      </c>
      <c r="G418" s="4" t="str">
        <f>IFERROR(INDEX(样本到样信息汇总统计!G$2:G$500,MATCH(417,样本到样信息汇总统计!$Y$2:$Y$500,0)),"")</f>
        <v/>
      </c>
      <c r="H418" s="4" t="str">
        <f>IFERROR(INDEX(样本到样信息汇总统计!H$2:H$500,MATCH(417,样本到样信息汇总统计!$Y$2:$Y$500,0)),"")</f>
        <v/>
      </c>
      <c r="I418" s="4" t="str">
        <f>IFERROR(INDEX(样本到样信息汇总统计!I$2:I$500,MATCH(417,样本到样信息汇总统计!$Y$2:$Y$500,0)),"")</f>
        <v/>
      </c>
      <c r="J418" s="4" t="str">
        <f>IFERROR(INDEX(样本到样信息汇总统计!J$2:J$500,MATCH(417,样本到样信息汇总统计!$Y$2:$Y$500,0)),"")</f>
        <v/>
      </c>
      <c r="K418" s="4" t="str">
        <f>IFERROR(INDEX(样本到样信息汇总统计!K$2:K$500,MATCH(417,样本到样信息汇总统计!$Y$2:$Y$500,0)),"")</f>
        <v/>
      </c>
      <c r="L418" s="4" t="str">
        <f>IFERROR(INDEX(样本到样信息汇总统计!L$2:L$500,MATCH(417,样本到样信息汇总统计!$Y$2:$Y$500,0)),"")</f>
        <v/>
      </c>
      <c r="M418" s="4" t="str">
        <f>IFERROR(INDEX(样本到样信息汇总统计!M$2:M$500,MATCH(417,样本到样信息汇总统计!$Y$2:$Y$500,0)),"")</f>
        <v/>
      </c>
      <c r="N418" s="4" t="str">
        <f>IFERROR(INDEX(样本到样信息汇总统计!N$2:N$500,MATCH(417,样本到样信息汇总统计!$Y$2:$Y$500,0)),"")</f>
        <v/>
      </c>
      <c r="O418" s="4" t="str">
        <f>IFERROR(INDEX(样本到样信息汇总统计!O$2:O$500,MATCH(417,样本到样信息汇总统计!$Y$2:$Y$500,0)),"")</f>
        <v/>
      </c>
      <c r="P418" s="4" t="str">
        <f>IFERROR(INDEX(样本到样信息汇总统计!P$2:P$500,MATCH(417,样本到样信息汇总统计!$Y$2:$Y$500,0)),"")</f>
        <v/>
      </c>
      <c r="Q418" s="4" t="str">
        <f>IFERROR(INDEX(样本到样信息汇总统计!Q$2:Q$500,MATCH(417,样本到样信息汇总统计!$Y$2:$Y$500,0)),"")</f>
        <v/>
      </c>
      <c r="R418" s="4" t="str">
        <f>IFERROR(INDEX(样本到样信息汇总统计!R$2:R$500,MATCH(417,样本到样信息汇总统计!$Y$2:$Y$500,0)),"")</f>
        <v/>
      </c>
      <c r="S418" s="4" t="str">
        <f>IFERROR(INDEX(样本到样信息汇总统计!S$2:S$500,MATCH(417,样本到样信息汇总统计!$Y$2:$Y$500,0)),"")</f>
        <v/>
      </c>
      <c r="T418" s="4" t="str">
        <f>IFERROR(INDEX(样本到样信息汇总统计!T$2:T$500,MATCH(417,样本到样信息汇总统计!$Y$2:$Y$500,0)),"")</f>
        <v/>
      </c>
      <c r="U418" s="4" t="str">
        <f>IFERROR(INDEX(样本到样信息汇总统计!U$2:U$500,MATCH(417,样本到样信息汇总统计!$Y$2:$Y$500,0)),"")</f>
        <v/>
      </c>
      <c r="V418" s="4" t="str">
        <f>IFERROR(INDEX(样本到样信息汇总统计!V$2:V$500,MATCH(417,样本到样信息汇总统计!$Y$2:$Y$500,0)),"")</f>
        <v/>
      </c>
      <c r="W418" s="4" t="str">
        <f>IFERROR(INDEX(样本到样信息汇总统计!W$2:W$500,MATCH(417,样本到样信息汇总统计!$Y$2:$Y$500,0)),"")</f>
        <v/>
      </c>
    </row>
    <row r="419" ht="14.5" spans="1:23">
      <c r="A419" s="8" t="str">
        <f>IFERROR(INDEX(样本到样信息汇总统计!A$2:A$500,MATCH(418,样本到样信息汇总统计!$Y$2:$Y$500,0)),"")</f>
        <v/>
      </c>
      <c r="B419" s="8" t="str">
        <f>IFERROR(INDEX(样本到样信息汇总统计!B$2:B$500,MATCH(418,样本到样信息汇总统计!$Y$2:$Y$500,0)),"")</f>
        <v/>
      </c>
      <c r="C419" s="8" t="str">
        <f>IFERROR(INDEX(样本到样信息汇总统计!C$2:C$500,MATCH(418,样本到样信息汇总统计!$Y$2:$Y$500,0)),"")</f>
        <v/>
      </c>
      <c r="D419" s="8" t="str">
        <f>IFERROR(INDEX(样本到样信息汇总统计!D$2:D$500,MATCH(418,样本到样信息汇总统计!$Y$2:$Y$500,0)),"")</f>
        <v/>
      </c>
      <c r="E419" s="8" t="str">
        <f>IFERROR(INDEX(样本到样信息汇总统计!E$2:E$500,MATCH(418,样本到样信息汇总统计!$Y$2:$Y$500,0)),"")</f>
        <v/>
      </c>
      <c r="F419" s="8" t="str">
        <f>IFERROR(INDEX(样本到样信息汇总统计!F$2:F$500,MATCH(418,样本到样信息汇总统计!$Y$2:$Y$500,0)),"")</f>
        <v/>
      </c>
      <c r="G419" s="8" t="str">
        <f>IFERROR(INDEX(样本到样信息汇总统计!G$2:G$500,MATCH(418,样本到样信息汇总统计!$Y$2:$Y$500,0)),"")</f>
        <v/>
      </c>
      <c r="H419" s="8" t="str">
        <f>IFERROR(INDEX(样本到样信息汇总统计!H$2:H$500,MATCH(418,样本到样信息汇总统计!$Y$2:$Y$500,0)),"")</f>
        <v/>
      </c>
      <c r="I419" s="8" t="str">
        <f>IFERROR(INDEX(样本到样信息汇总统计!I$2:I$500,MATCH(418,样本到样信息汇总统计!$Y$2:$Y$500,0)),"")</f>
        <v/>
      </c>
      <c r="J419" s="8" t="str">
        <f>IFERROR(INDEX(样本到样信息汇总统计!J$2:J$500,MATCH(418,样本到样信息汇总统计!$Y$2:$Y$500,0)),"")</f>
        <v/>
      </c>
      <c r="K419" s="8" t="str">
        <f>IFERROR(INDEX(样本到样信息汇总统计!K$2:K$500,MATCH(418,样本到样信息汇总统计!$Y$2:$Y$500,0)),"")</f>
        <v/>
      </c>
      <c r="L419" s="8" t="str">
        <f>IFERROR(INDEX(样本到样信息汇总统计!L$2:L$500,MATCH(418,样本到样信息汇总统计!$Y$2:$Y$500,0)),"")</f>
        <v/>
      </c>
      <c r="M419" s="8" t="str">
        <f>IFERROR(INDEX(样本到样信息汇总统计!M$2:M$500,MATCH(418,样本到样信息汇总统计!$Y$2:$Y$500,0)),"")</f>
        <v/>
      </c>
      <c r="N419" s="8" t="str">
        <f>IFERROR(INDEX(样本到样信息汇总统计!N$2:N$500,MATCH(418,样本到样信息汇总统计!$Y$2:$Y$500,0)),"")</f>
        <v/>
      </c>
      <c r="O419" s="8" t="str">
        <f>IFERROR(INDEX(样本到样信息汇总统计!O$2:O$500,MATCH(418,样本到样信息汇总统计!$Y$2:$Y$500,0)),"")</f>
        <v/>
      </c>
      <c r="P419" s="8" t="str">
        <f>IFERROR(INDEX(样本到样信息汇总统计!P$2:P$500,MATCH(418,样本到样信息汇总统计!$Y$2:$Y$500,0)),"")</f>
        <v/>
      </c>
      <c r="Q419" s="8" t="str">
        <f>IFERROR(INDEX(样本到样信息汇总统计!Q$2:Q$500,MATCH(418,样本到样信息汇总统计!$Y$2:$Y$500,0)),"")</f>
        <v/>
      </c>
      <c r="R419" s="8" t="str">
        <f>IFERROR(INDEX(样本到样信息汇总统计!R$2:R$500,MATCH(418,样本到样信息汇总统计!$Y$2:$Y$500,0)),"")</f>
        <v/>
      </c>
      <c r="S419" s="8" t="str">
        <f>IFERROR(INDEX(样本到样信息汇总统计!S$2:S$500,MATCH(418,样本到样信息汇总统计!$Y$2:$Y$500,0)),"")</f>
        <v/>
      </c>
      <c r="T419" s="8" t="str">
        <f>IFERROR(INDEX(样本到样信息汇总统计!T$2:T$500,MATCH(418,样本到样信息汇总统计!$Y$2:$Y$500,0)),"")</f>
        <v/>
      </c>
      <c r="U419" s="8" t="str">
        <f>IFERROR(INDEX(样本到样信息汇总统计!U$2:U$500,MATCH(418,样本到样信息汇总统计!$Y$2:$Y$500,0)),"")</f>
        <v/>
      </c>
      <c r="V419" s="8" t="str">
        <f>IFERROR(INDEX(样本到样信息汇总统计!V$2:V$500,MATCH(418,样本到样信息汇总统计!$Y$2:$Y$500,0)),"")</f>
        <v/>
      </c>
      <c r="W419" s="8" t="str">
        <f>IFERROR(INDEX(样本到样信息汇总统计!W$2:W$500,MATCH(418,样本到样信息汇总统计!$Y$2:$Y$500,0)),"")</f>
        <v/>
      </c>
    </row>
    <row r="420" ht="14.5" spans="1:23">
      <c r="A420" s="4" t="str">
        <f>IFERROR(INDEX(样本到样信息汇总统计!A$2:A$500,MATCH(419,样本到样信息汇总统计!$Y$2:$Y$500,0)),"")</f>
        <v/>
      </c>
      <c r="B420" s="4" t="str">
        <f>IFERROR(INDEX(样本到样信息汇总统计!B$2:B$500,MATCH(419,样本到样信息汇总统计!$Y$2:$Y$500,0)),"")</f>
        <v/>
      </c>
      <c r="C420" s="4" t="str">
        <f>IFERROR(INDEX(样本到样信息汇总统计!C$2:C$500,MATCH(419,样本到样信息汇总统计!$Y$2:$Y$500,0)),"")</f>
        <v/>
      </c>
      <c r="D420" s="4" t="str">
        <f>IFERROR(INDEX(样本到样信息汇总统计!D$2:D$500,MATCH(419,样本到样信息汇总统计!$Y$2:$Y$500,0)),"")</f>
        <v/>
      </c>
      <c r="E420" s="4" t="str">
        <f>IFERROR(INDEX(样本到样信息汇总统计!E$2:E$500,MATCH(419,样本到样信息汇总统计!$Y$2:$Y$500,0)),"")</f>
        <v/>
      </c>
      <c r="F420" s="4" t="str">
        <f>IFERROR(INDEX(样本到样信息汇总统计!F$2:F$500,MATCH(419,样本到样信息汇总统计!$Y$2:$Y$500,0)),"")</f>
        <v/>
      </c>
      <c r="G420" s="4" t="str">
        <f>IFERROR(INDEX(样本到样信息汇总统计!G$2:G$500,MATCH(419,样本到样信息汇总统计!$Y$2:$Y$500,0)),"")</f>
        <v/>
      </c>
      <c r="H420" s="4" t="str">
        <f>IFERROR(INDEX(样本到样信息汇总统计!H$2:H$500,MATCH(419,样本到样信息汇总统计!$Y$2:$Y$500,0)),"")</f>
        <v/>
      </c>
      <c r="I420" s="4" t="str">
        <f>IFERROR(INDEX(样本到样信息汇总统计!I$2:I$500,MATCH(419,样本到样信息汇总统计!$Y$2:$Y$500,0)),"")</f>
        <v/>
      </c>
      <c r="J420" s="4" t="str">
        <f>IFERROR(INDEX(样本到样信息汇总统计!J$2:J$500,MATCH(419,样本到样信息汇总统计!$Y$2:$Y$500,0)),"")</f>
        <v/>
      </c>
      <c r="K420" s="4" t="str">
        <f>IFERROR(INDEX(样本到样信息汇总统计!K$2:K$500,MATCH(419,样本到样信息汇总统计!$Y$2:$Y$500,0)),"")</f>
        <v/>
      </c>
      <c r="L420" s="4" t="str">
        <f>IFERROR(INDEX(样本到样信息汇总统计!L$2:L$500,MATCH(419,样本到样信息汇总统计!$Y$2:$Y$500,0)),"")</f>
        <v/>
      </c>
      <c r="M420" s="4" t="str">
        <f>IFERROR(INDEX(样本到样信息汇总统计!M$2:M$500,MATCH(419,样本到样信息汇总统计!$Y$2:$Y$500,0)),"")</f>
        <v/>
      </c>
      <c r="N420" s="4" t="str">
        <f>IFERROR(INDEX(样本到样信息汇总统计!N$2:N$500,MATCH(419,样本到样信息汇总统计!$Y$2:$Y$500,0)),"")</f>
        <v/>
      </c>
      <c r="O420" s="4" t="str">
        <f>IFERROR(INDEX(样本到样信息汇总统计!O$2:O$500,MATCH(419,样本到样信息汇总统计!$Y$2:$Y$500,0)),"")</f>
        <v/>
      </c>
      <c r="P420" s="4" t="str">
        <f>IFERROR(INDEX(样本到样信息汇总统计!P$2:P$500,MATCH(419,样本到样信息汇总统计!$Y$2:$Y$500,0)),"")</f>
        <v/>
      </c>
      <c r="Q420" s="4" t="str">
        <f>IFERROR(INDEX(样本到样信息汇总统计!Q$2:Q$500,MATCH(419,样本到样信息汇总统计!$Y$2:$Y$500,0)),"")</f>
        <v/>
      </c>
      <c r="R420" s="4" t="str">
        <f>IFERROR(INDEX(样本到样信息汇总统计!R$2:R$500,MATCH(419,样本到样信息汇总统计!$Y$2:$Y$500,0)),"")</f>
        <v/>
      </c>
      <c r="S420" s="4" t="str">
        <f>IFERROR(INDEX(样本到样信息汇总统计!S$2:S$500,MATCH(419,样本到样信息汇总统计!$Y$2:$Y$500,0)),"")</f>
        <v/>
      </c>
      <c r="T420" s="4" t="str">
        <f>IFERROR(INDEX(样本到样信息汇总统计!T$2:T$500,MATCH(419,样本到样信息汇总统计!$Y$2:$Y$500,0)),"")</f>
        <v/>
      </c>
      <c r="U420" s="4" t="str">
        <f>IFERROR(INDEX(样本到样信息汇总统计!U$2:U$500,MATCH(419,样本到样信息汇总统计!$Y$2:$Y$500,0)),"")</f>
        <v/>
      </c>
      <c r="V420" s="4" t="str">
        <f>IFERROR(INDEX(样本到样信息汇总统计!V$2:V$500,MATCH(419,样本到样信息汇总统计!$Y$2:$Y$500,0)),"")</f>
        <v/>
      </c>
      <c r="W420" s="4" t="str">
        <f>IFERROR(INDEX(样本到样信息汇总统计!W$2:W$500,MATCH(419,样本到样信息汇总统计!$Y$2:$Y$500,0)),"")</f>
        <v/>
      </c>
    </row>
    <row r="421" ht="14.5" spans="1:23">
      <c r="A421" s="8" t="str">
        <f>IFERROR(INDEX(样本到样信息汇总统计!A$2:A$500,MATCH(420,样本到样信息汇总统计!$Y$2:$Y$500,0)),"")</f>
        <v/>
      </c>
      <c r="B421" s="8" t="str">
        <f>IFERROR(INDEX(样本到样信息汇总统计!B$2:B$500,MATCH(420,样本到样信息汇总统计!$Y$2:$Y$500,0)),"")</f>
        <v/>
      </c>
      <c r="C421" s="8" t="str">
        <f>IFERROR(INDEX(样本到样信息汇总统计!C$2:C$500,MATCH(420,样本到样信息汇总统计!$Y$2:$Y$500,0)),"")</f>
        <v/>
      </c>
      <c r="D421" s="8" t="str">
        <f>IFERROR(INDEX(样本到样信息汇总统计!D$2:D$500,MATCH(420,样本到样信息汇总统计!$Y$2:$Y$500,0)),"")</f>
        <v/>
      </c>
      <c r="E421" s="8" t="str">
        <f>IFERROR(INDEX(样本到样信息汇总统计!E$2:E$500,MATCH(420,样本到样信息汇总统计!$Y$2:$Y$500,0)),"")</f>
        <v/>
      </c>
      <c r="F421" s="8" t="str">
        <f>IFERROR(INDEX(样本到样信息汇总统计!F$2:F$500,MATCH(420,样本到样信息汇总统计!$Y$2:$Y$500,0)),"")</f>
        <v/>
      </c>
      <c r="G421" s="8" t="str">
        <f>IFERROR(INDEX(样本到样信息汇总统计!G$2:G$500,MATCH(420,样本到样信息汇总统计!$Y$2:$Y$500,0)),"")</f>
        <v/>
      </c>
      <c r="H421" s="8" t="str">
        <f>IFERROR(INDEX(样本到样信息汇总统计!H$2:H$500,MATCH(420,样本到样信息汇总统计!$Y$2:$Y$500,0)),"")</f>
        <v/>
      </c>
      <c r="I421" s="8" t="str">
        <f>IFERROR(INDEX(样本到样信息汇总统计!I$2:I$500,MATCH(420,样本到样信息汇总统计!$Y$2:$Y$500,0)),"")</f>
        <v/>
      </c>
      <c r="J421" s="8" t="str">
        <f>IFERROR(INDEX(样本到样信息汇总统计!J$2:J$500,MATCH(420,样本到样信息汇总统计!$Y$2:$Y$500,0)),"")</f>
        <v/>
      </c>
      <c r="K421" s="8" t="str">
        <f>IFERROR(INDEX(样本到样信息汇总统计!K$2:K$500,MATCH(420,样本到样信息汇总统计!$Y$2:$Y$500,0)),"")</f>
        <v/>
      </c>
      <c r="L421" s="8" t="str">
        <f>IFERROR(INDEX(样本到样信息汇总统计!L$2:L$500,MATCH(420,样本到样信息汇总统计!$Y$2:$Y$500,0)),"")</f>
        <v/>
      </c>
      <c r="M421" s="8" t="str">
        <f>IFERROR(INDEX(样本到样信息汇总统计!M$2:M$500,MATCH(420,样本到样信息汇总统计!$Y$2:$Y$500,0)),"")</f>
        <v/>
      </c>
      <c r="N421" s="8" t="str">
        <f>IFERROR(INDEX(样本到样信息汇总统计!N$2:N$500,MATCH(420,样本到样信息汇总统计!$Y$2:$Y$500,0)),"")</f>
        <v/>
      </c>
      <c r="O421" s="8" t="str">
        <f>IFERROR(INDEX(样本到样信息汇总统计!O$2:O$500,MATCH(420,样本到样信息汇总统计!$Y$2:$Y$500,0)),"")</f>
        <v/>
      </c>
      <c r="P421" s="8" t="str">
        <f>IFERROR(INDEX(样本到样信息汇总统计!P$2:P$500,MATCH(420,样本到样信息汇总统计!$Y$2:$Y$500,0)),"")</f>
        <v/>
      </c>
      <c r="Q421" s="8" t="str">
        <f>IFERROR(INDEX(样本到样信息汇总统计!Q$2:Q$500,MATCH(420,样本到样信息汇总统计!$Y$2:$Y$500,0)),"")</f>
        <v/>
      </c>
      <c r="R421" s="8" t="str">
        <f>IFERROR(INDEX(样本到样信息汇总统计!R$2:R$500,MATCH(420,样本到样信息汇总统计!$Y$2:$Y$500,0)),"")</f>
        <v/>
      </c>
      <c r="S421" s="8" t="str">
        <f>IFERROR(INDEX(样本到样信息汇总统计!S$2:S$500,MATCH(420,样本到样信息汇总统计!$Y$2:$Y$500,0)),"")</f>
        <v/>
      </c>
      <c r="T421" s="8" t="str">
        <f>IFERROR(INDEX(样本到样信息汇总统计!T$2:T$500,MATCH(420,样本到样信息汇总统计!$Y$2:$Y$500,0)),"")</f>
        <v/>
      </c>
      <c r="U421" s="8" t="str">
        <f>IFERROR(INDEX(样本到样信息汇总统计!U$2:U$500,MATCH(420,样本到样信息汇总统计!$Y$2:$Y$500,0)),"")</f>
        <v/>
      </c>
      <c r="V421" s="8" t="str">
        <f>IFERROR(INDEX(样本到样信息汇总统计!V$2:V$500,MATCH(420,样本到样信息汇总统计!$Y$2:$Y$500,0)),"")</f>
        <v/>
      </c>
      <c r="W421" s="8" t="str">
        <f>IFERROR(INDEX(样本到样信息汇总统计!W$2:W$500,MATCH(420,样本到样信息汇总统计!$Y$2:$Y$500,0)),"")</f>
        <v/>
      </c>
    </row>
    <row r="422" ht="14.5" spans="1:23">
      <c r="A422" s="4" t="str">
        <f>IFERROR(INDEX(样本到样信息汇总统计!A$2:A$500,MATCH(421,样本到样信息汇总统计!$Y$2:$Y$500,0)),"")</f>
        <v/>
      </c>
      <c r="B422" s="4" t="str">
        <f>IFERROR(INDEX(样本到样信息汇总统计!B$2:B$500,MATCH(421,样本到样信息汇总统计!$Y$2:$Y$500,0)),"")</f>
        <v/>
      </c>
      <c r="C422" s="4" t="str">
        <f>IFERROR(INDEX(样本到样信息汇总统计!C$2:C$500,MATCH(421,样本到样信息汇总统计!$Y$2:$Y$500,0)),"")</f>
        <v/>
      </c>
      <c r="D422" s="4" t="str">
        <f>IFERROR(INDEX(样本到样信息汇总统计!D$2:D$500,MATCH(421,样本到样信息汇总统计!$Y$2:$Y$500,0)),"")</f>
        <v/>
      </c>
      <c r="E422" s="4" t="str">
        <f>IFERROR(INDEX(样本到样信息汇总统计!E$2:E$500,MATCH(421,样本到样信息汇总统计!$Y$2:$Y$500,0)),"")</f>
        <v/>
      </c>
      <c r="F422" s="4" t="str">
        <f>IFERROR(INDEX(样本到样信息汇总统计!F$2:F$500,MATCH(421,样本到样信息汇总统计!$Y$2:$Y$500,0)),"")</f>
        <v/>
      </c>
      <c r="G422" s="4" t="str">
        <f>IFERROR(INDEX(样本到样信息汇总统计!G$2:G$500,MATCH(421,样本到样信息汇总统计!$Y$2:$Y$500,0)),"")</f>
        <v/>
      </c>
      <c r="H422" s="4" t="str">
        <f>IFERROR(INDEX(样本到样信息汇总统计!H$2:H$500,MATCH(421,样本到样信息汇总统计!$Y$2:$Y$500,0)),"")</f>
        <v/>
      </c>
      <c r="I422" s="4" t="str">
        <f>IFERROR(INDEX(样本到样信息汇总统计!I$2:I$500,MATCH(421,样本到样信息汇总统计!$Y$2:$Y$500,0)),"")</f>
        <v/>
      </c>
      <c r="J422" s="4" t="str">
        <f>IFERROR(INDEX(样本到样信息汇总统计!J$2:J$500,MATCH(421,样本到样信息汇总统计!$Y$2:$Y$500,0)),"")</f>
        <v/>
      </c>
      <c r="K422" s="4" t="str">
        <f>IFERROR(INDEX(样本到样信息汇总统计!K$2:K$500,MATCH(421,样本到样信息汇总统计!$Y$2:$Y$500,0)),"")</f>
        <v/>
      </c>
      <c r="L422" s="4" t="str">
        <f>IFERROR(INDEX(样本到样信息汇总统计!L$2:L$500,MATCH(421,样本到样信息汇总统计!$Y$2:$Y$500,0)),"")</f>
        <v/>
      </c>
      <c r="M422" s="4" t="str">
        <f>IFERROR(INDEX(样本到样信息汇总统计!M$2:M$500,MATCH(421,样本到样信息汇总统计!$Y$2:$Y$500,0)),"")</f>
        <v/>
      </c>
      <c r="N422" s="4" t="str">
        <f>IFERROR(INDEX(样本到样信息汇总统计!N$2:N$500,MATCH(421,样本到样信息汇总统计!$Y$2:$Y$500,0)),"")</f>
        <v/>
      </c>
      <c r="O422" s="4" t="str">
        <f>IFERROR(INDEX(样本到样信息汇总统计!O$2:O$500,MATCH(421,样本到样信息汇总统计!$Y$2:$Y$500,0)),"")</f>
        <v/>
      </c>
      <c r="P422" s="4" t="str">
        <f>IFERROR(INDEX(样本到样信息汇总统计!P$2:P$500,MATCH(421,样本到样信息汇总统计!$Y$2:$Y$500,0)),"")</f>
        <v/>
      </c>
      <c r="Q422" s="4" t="str">
        <f>IFERROR(INDEX(样本到样信息汇总统计!Q$2:Q$500,MATCH(421,样本到样信息汇总统计!$Y$2:$Y$500,0)),"")</f>
        <v/>
      </c>
      <c r="R422" s="4" t="str">
        <f>IFERROR(INDEX(样本到样信息汇总统计!R$2:R$500,MATCH(421,样本到样信息汇总统计!$Y$2:$Y$500,0)),"")</f>
        <v/>
      </c>
      <c r="S422" s="4" t="str">
        <f>IFERROR(INDEX(样本到样信息汇总统计!S$2:S$500,MATCH(421,样本到样信息汇总统计!$Y$2:$Y$500,0)),"")</f>
        <v/>
      </c>
      <c r="T422" s="4" t="str">
        <f>IFERROR(INDEX(样本到样信息汇总统计!T$2:T$500,MATCH(421,样本到样信息汇总统计!$Y$2:$Y$500,0)),"")</f>
        <v/>
      </c>
      <c r="U422" s="4" t="str">
        <f>IFERROR(INDEX(样本到样信息汇总统计!U$2:U$500,MATCH(421,样本到样信息汇总统计!$Y$2:$Y$500,0)),"")</f>
        <v/>
      </c>
      <c r="V422" s="4" t="str">
        <f>IFERROR(INDEX(样本到样信息汇总统计!V$2:V$500,MATCH(421,样本到样信息汇总统计!$Y$2:$Y$500,0)),"")</f>
        <v/>
      </c>
      <c r="W422" s="4" t="str">
        <f>IFERROR(INDEX(样本到样信息汇总统计!W$2:W$500,MATCH(421,样本到样信息汇总统计!$Y$2:$Y$500,0)),"")</f>
        <v/>
      </c>
    </row>
    <row r="423" ht="14.5" spans="1:23">
      <c r="A423" s="8" t="str">
        <f>IFERROR(INDEX(样本到样信息汇总统计!A$2:A$500,MATCH(422,样本到样信息汇总统计!$Y$2:$Y$500,0)),"")</f>
        <v/>
      </c>
      <c r="B423" s="8" t="str">
        <f>IFERROR(INDEX(样本到样信息汇总统计!B$2:B$500,MATCH(422,样本到样信息汇总统计!$Y$2:$Y$500,0)),"")</f>
        <v/>
      </c>
      <c r="C423" s="8" t="str">
        <f>IFERROR(INDEX(样本到样信息汇总统计!C$2:C$500,MATCH(422,样本到样信息汇总统计!$Y$2:$Y$500,0)),"")</f>
        <v/>
      </c>
      <c r="D423" s="8" t="str">
        <f>IFERROR(INDEX(样本到样信息汇总统计!D$2:D$500,MATCH(422,样本到样信息汇总统计!$Y$2:$Y$500,0)),"")</f>
        <v/>
      </c>
      <c r="E423" s="8" t="str">
        <f>IFERROR(INDEX(样本到样信息汇总统计!E$2:E$500,MATCH(422,样本到样信息汇总统计!$Y$2:$Y$500,0)),"")</f>
        <v/>
      </c>
      <c r="F423" s="8" t="str">
        <f>IFERROR(INDEX(样本到样信息汇总统计!F$2:F$500,MATCH(422,样本到样信息汇总统计!$Y$2:$Y$500,0)),"")</f>
        <v/>
      </c>
      <c r="G423" s="8" t="str">
        <f>IFERROR(INDEX(样本到样信息汇总统计!G$2:G$500,MATCH(422,样本到样信息汇总统计!$Y$2:$Y$500,0)),"")</f>
        <v/>
      </c>
      <c r="H423" s="8" t="str">
        <f>IFERROR(INDEX(样本到样信息汇总统计!H$2:H$500,MATCH(422,样本到样信息汇总统计!$Y$2:$Y$500,0)),"")</f>
        <v/>
      </c>
      <c r="I423" s="8" t="str">
        <f>IFERROR(INDEX(样本到样信息汇总统计!I$2:I$500,MATCH(422,样本到样信息汇总统计!$Y$2:$Y$500,0)),"")</f>
        <v/>
      </c>
      <c r="J423" s="8" t="str">
        <f>IFERROR(INDEX(样本到样信息汇总统计!J$2:J$500,MATCH(422,样本到样信息汇总统计!$Y$2:$Y$500,0)),"")</f>
        <v/>
      </c>
      <c r="K423" s="8" t="str">
        <f>IFERROR(INDEX(样本到样信息汇总统计!K$2:K$500,MATCH(422,样本到样信息汇总统计!$Y$2:$Y$500,0)),"")</f>
        <v/>
      </c>
      <c r="L423" s="8" t="str">
        <f>IFERROR(INDEX(样本到样信息汇总统计!L$2:L$500,MATCH(422,样本到样信息汇总统计!$Y$2:$Y$500,0)),"")</f>
        <v/>
      </c>
      <c r="M423" s="8" t="str">
        <f>IFERROR(INDEX(样本到样信息汇总统计!M$2:M$500,MATCH(422,样本到样信息汇总统计!$Y$2:$Y$500,0)),"")</f>
        <v/>
      </c>
      <c r="N423" s="8" t="str">
        <f>IFERROR(INDEX(样本到样信息汇总统计!N$2:N$500,MATCH(422,样本到样信息汇总统计!$Y$2:$Y$500,0)),"")</f>
        <v/>
      </c>
      <c r="O423" s="8" t="str">
        <f>IFERROR(INDEX(样本到样信息汇总统计!O$2:O$500,MATCH(422,样本到样信息汇总统计!$Y$2:$Y$500,0)),"")</f>
        <v/>
      </c>
      <c r="P423" s="8" t="str">
        <f>IFERROR(INDEX(样本到样信息汇总统计!P$2:P$500,MATCH(422,样本到样信息汇总统计!$Y$2:$Y$500,0)),"")</f>
        <v/>
      </c>
      <c r="Q423" s="8" t="str">
        <f>IFERROR(INDEX(样本到样信息汇总统计!Q$2:Q$500,MATCH(422,样本到样信息汇总统计!$Y$2:$Y$500,0)),"")</f>
        <v/>
      </c>
      <c r="R423" s="8" t="str">
        <f>IFERROR(INDEX(样本到样信息汇总统计!R$2:R$500,MATCH(422,样本到样信息汇总统计!$Y$2:$Y$500,0)),"")</f>
        <v/>
      </c>
      <c r="S423" s="8" t="str">
        <f>IFERROR(INDEX(样本到样信息汇总统计!S$2:S$500,MATCH(422,样本到样信息汇总统计!$Y$2:$Y$500,0)),"")</f>
        <v/>
      </c>
      <c r="T423" s="8" t="str">
        <f>IFERROR(INDEX(样本到样信息汇总统计!T$2:T$500,MATCH(422,样本到样信息汇总统计!$Y$2:$Y$500,0)),"")</f>
        <v/>
      </c>
      <c r="U423" s="8" t="str">
        <f>IFERROR(INDEX(样本到样信息汇总统计!U$2:U$500,MATCH(422,样本到样信息汇总统计!$Y$2:$Y$500,0)),"")</f>
        <v/>
      </c>
      <c r="V423" s="8" t="str">
        <f>IFERROR(INDEX(样本到样信息汇总统计!V$2:V$500,MATCH(422,样本到样信息汇总统计!$Y$2:$Y$500,0)),"")</f>
        <v/>
      </c>
      <c r="W423" s="8" t="str">
        <f>IFERROR(INDEX(样本到样信息汇总统计!W$2:W$500,MATCH(422,样本到样信息汇总统计!$Y$2:$Y$500,0)),"")</f>
        <v/>
      </c>
    </row>
    <row r="424" ht="14.5" spans="1:23">
      <c r="A424" s="4" t="str">
        <f>IFERROR(INDEX(样本到样信息汇总统计!A$2:A$500,MATCH(423,样本到样信息汇总统计!$Y$2:$Y$500,0)),"")</f>
        <v/>
      </c>
      <c r="B424" s="4" t="str">
        <f>IFERROR(INDEX(样本到样信息汇总统计!B$2:B$500,MATCH(423,样本到样信息汇总统计!$Y$2:$Y$500,0)),"")</f>
        <v/>
      </c>
      <c r="C424" s="4" t="str">
        <f>IFERROR(INDEX(样本到样信息汇总统计!C$2:C$500,MATCH(423,样本到样信息汇总统计!$Y$2:$Y$500,0)),"")</f>
        <v/>
      </c>
      <c r="D424" s="4" t="str">
        <f>IFERROR(INDEX(样本到样信息汇总统计!D$2:D$500,MATCH(423,样本到样信息汇总统计!$Y$2:$Y$500,0)),"")</f>
        <v/>
      </c>
      <c r="E424" s="4" t="str">
        <f>IFERROR(INDEX(样本到样信息汇总统计!E$2:E$500,MATCH(423,样本到样信息汇总统计!$Y$2:$Y$500,0)),"")</f>
        <v/>
      </c>
      <c r="F424" s="4" t="str">
        <f>IFERROR(INDEX(样本到样信息汇总统计!F$2:F$500,MATCH(423,样本到样信息汇总统计!$Y$2:$Y$500,0)),"")</f>
        <v/>
      </c>
      <c r="G424" s="4" t="str">
        <f>IFERROR(INDEX(样本到样信息汇总统计!G$2:G$500,MATCH(423,样本到样信息汇总统计!$Y$2:$Y$500,0)),"")</f>
        <v/>
      </c>
      <c r="H424" s="4" t="str">
        <f>IFERROR(INDEX(样本到样信息汇总统计!H$2:H$500,MATCH(423,样本到样信息汇总统计!$Y$2:$Y$500,0)),"")</f>
        <v/>
      </c>
      <c r="I424" s="4" t="str">
        <f>IFERROR(INDEX(样本到样信息汇总统计!I$2:I$500,MATCH(423,样本到样信息汇总统计!$Y$2:$Y$500,0)),"")</f>
        <v/>
      </c>
      <c r="J424" s="4" t="str">
        <f>IFERROR(INDEX(样本到样信息汇总统计!J$2:J$500,MATCH(423,样本到样信息汇总统计!$Y$2:$Y$500,0)),"")</f>
        <v/>
      </c>
      <c r="K424" s="4" t="str">
        <f>IFERROR(INDEX(样本到样信息汇总统计!K$2:K$500,MATCH(423,样本到样信息汇总统计!$Y$2:$Y$500,0)),"")</f>
        <v/>
      </c>
      <c r="L424" s="4" t="str">
        <f>IFERROR(INDEX(样本到样信息汇总统计!L$2:L$500,MATCH(423,样本到样信息汇总统计!$Y$2:$Y$500,0)),"")</f>
        <v/>
      </c>
      <c r="M424" s="4" t="str">
        <f>IFERROR(INDEX(样本到样信息汇总统计!M$2:M$500,MATCH(423,样本到样信息汇总统计!$Y$2:$Y$500,0)),"")</f>
        <v/>
      </c>
      <c r="N424" s="4" t="str">
        <f>IFERROR(INDEX(样本到样信息汇总统计!N$2:N$500,MATCH(423,样本到样信息汇总统计!$Y$2:$Y$500,0)),"")</f>
        <v/>
      </c>
      <c r="O424" s="4" t="str">
        <f>IFERROR(INDEX(样本到样信息汇总统计!O$2:O$500,MATCH(423,样本到样信息汇总统计!$Y$2:$Y$500,0)),"")</f>
        <v/>
      </c>
      <c r="P424" s="4" t="str">
        <f>IFERROR(INDEX(样本到样信息汇总统计!P$2:P$500,MATCH(423,样本到样信息汇总统计!$Y$2:$Y$500,0)),"")</f>
        <v/>
      </c>
      <c r="Q424" s="4" t="str">
        <f>IFERROR(INDEX(样本到样信息汇总统计!Q$2:Q$500,MATCH(423,样本到样信息汇总统计!$Y$2:$Y$500,0)),"")</f>
        <v/>
      </c>
      <c r="R424" s="4" t="str">
        <f>IFERROR(INDEX(样本到样信息汇总统计!R$2:R$500,MATCH(423,样本到样信息汇总统计!$Y$2:$Y$500,0)),"")</f>
        <v/>
      </c>
      <c r="S424" s="4" t="str">
        <f>IFERROR(INDEX(样本到样信息汇总统计!S$2:S$500,MATCH(423,样本到样信息汇总统计!$Y$2:$Y$500,0)),"")</f>
        <v/>
      </c>
      <c r="T424" s="4" t="str">
        <f>IFERROR(INDEX(样本到样信息汇总统计!T$2:T$500,MATCH(423,样本到样信息汇总统计!$Y$2:$Y$500,0)),"")</f>
        <v/>
      </c>
      <c r="U424" s="4" t="str">
        <f>IFERROR(INDEX(样本到样信息汇总统计!U$2:U$500,MATCH(423,样本到样信息汇总统计!$Y$2:$Y$500,0)),"")</f>
        <v/>
      </c>
      <c r="V424" s="4" t="str">
        <f>IFERROR(INDEX(样本到样信息汇总统计!V$2:V$500,MATCH(423,样本到样信息汇总统计!$Y$2:$Y$500,0)),"")</f>
        <v/>
      </c>
      <c r="W424" s="4" t="str">
        <f>IFERROR(INDEX(样本到样信息汇总统计!W$2:W$500,MATCH(423,样本到样信息汇总统计!$Y$2:$Y$500,0)),"")</f>
        <v/>
      </c>
    </row>
    <row r="425" ht="14.5" spans="1:23">
      <c r="A425" s="8" t="str">
        <f>IFERROR(INDEX(样本到样信息汇总统计!A$2:A$500,MATCH(424,样本到样信息汇总统计!$Y$2:$Y$500,0)),"")</f>
        <v/>
      </c>
      <c r="B425" s="8" t="str">
        <f>IFERROR(INDEX(样本到样信息汇总统计!B$2:B$500,MATCH(424,样本到样信息汇总统计!$Y$2:$Y$500,0)),"")</f>
        <v/>
      </c>
      <c r="C425" s="8" t="str">
        <f>IFERROR(INDEX(样本到样信息汇总统计!C$2:C$500,MATCH(424,样本到样信息汇总统计!$Y$2:$Y$500,0)),"")</f>
        <v/>
      </c>
      <c r="D425" s="8" t="str">
        <f>IFERROR(INDEX(样本到样信息汇总统计!D$2:D$500,MATCH(424,样本到样信息汇总统计!$Y$2:$Y$500,0)),"")</f>
        <v/>
      </c>
      <c r="E425" s="8" t="str">
        <f>IFERROR(INDEX(样本到样信息汇总统计!E$2:E$500,MATCH(424,样本到样信息汇总统计!$Y$2:$Y$500,0)),"")</f>
        <v/>
      </c>
      <c r="F425" s="8" t="str">
        <f>IFERROR(INDEX(样本到样信息汇总统计!F$2:F$500,MATCH(424,样本到样信息汇总统计!$Y$2:$Y$500,0)),"")</f>
        <v/>
      </c>
      <c r="G425" s="8" t="str">
        <f>IFERROR(INDEX(样本到样信息汇总统计!G$2:G$500,MATCH(424,样本到样信息汇总统计!$Y$2:$Y$500,0)),"")</f>
        <v/>
      </c>
      <c r="H425" s="8" t="str">
        <f>IFERROR(INDEX(样本到样信息汇总统计!H$2:H$500,MATCH(424,样本到样信息汇总统计!$Y$2:$Y$500,0)),"")</f>
        <v/>
      </c>
      <c r="I425" s="8" t="str">
        <f>IFERROR(INDEX(样本到样信息汇总统计!I$2:I$500,MATCH(424,样本到样信息汇总统计!$Y$2:$Y$500,0)),"")</f>
        <v/>
      </c>
      <c r="J425" s="8" t="str">
        <f>IFERROR(INDEX(样本到样信息汇总统计!J$2:J$500,MATCH(424,样本到样信息汇总统计!$Y$2:$Y$500,0)),"")</f>
        <v/>
      </c>
      <c r="K425" s="8" t="str">
        <f>IFERROR(INDEX(样本到样信息汇总统计!K$2:K$500,MATCH(424,样本到样信息汇总统计!$Y$2:$Y$500,0)),"")</f>
        <v/>
      </c>
      <c r="L425" s="8" t="str">
        <f>IFERROR(INDEX(样本到样信息汇总统计!L$2:L$500,MATCH(424,样本到样信息汇总统计!$Y$2:$Y$500,0)),"")</f>
        <v/>
      </c>
      <c r="M425" s="8" t="str">
        <f>IFERROR(INDEX(样本到样信息汇总统计!M$2:M$500,MATCH(424,样本到样信息汇总统计!$Y$2:$Y$500,0)),"")</f>
        <v/>
      </c>
      <c r="N425" s="8" t="str">
        <f>IFERROR(INDEX(样本到样信息汇总统计!N$2:N$500,MATCH(424,样本到样信息汇总统计!$Y$2:$Y$500,0)),"")</f>
        <v/>
      </c>
      <c r="O425" s="8" t="str">
        <f>IFERROR(INDEX(样本到样信息汇总统计!O$2:O$500,MATCH(424,样本到样信息汇总统计!$Y$2:$Y$500,0)),"")</f>
        <v/>
      </c>
      <c r="P425" s="8" t="str">
        <f>IFERROR(INDEX(样本到样信息汇总统计!P$2:P$500,MATCH(424,样本到样信息汇总统计!$Y$2:$Y$500,0)),"")</f>
        <v/>
      </c>
      <c r="Q425" s="8" t="str">
        <f>IFERROR(INDEX(样本到样信息汇总统计!Q$2:Q$500,MATCH(424,样本到样信息汇总统计!$Y$2:$Y$500,0)),"")</f>
        <v/>
      </c>
      <c r="R425" s="8" t="str">
        <f>IFERROR(INDEX(样本到样信息汇总统计!R$2:R$500,MATCH(424,样本到样信息汇总统计!$Y$2:$Y$500,0)),"")</f>
        <v/>
      </c>
      <c r="S425" s="8" t="str">
        <f>IFERROR(INDEX(样本到样信息汇总统计!S$2:S$500,MATCH(424,样本到样信息汇总统计!$Y$2:$Y$500,0)),"")</f>
        <v/>
      </c>
      <c r="T425" s="8" t="str">
        <f>IFERROR(INDEX(样本到样信息汇总统计!T$2:T$500,MATCH(424,样本到样信息汇总统计!$Y$2:$Y$500,0)),"")</f>
        <v/>
      </c>
      <c r="U425" s="8" t="str">
        <f>IFERROR(INDEX(样本到样信息汇总统计!U$2:U$500,MATCH(424,样本到样信息汇总统计!$Y$2:$Y$500,0)),"")</f>
        <v/>
      </c>
      <c r="V425" s="8" t="str">
        <f>IFERROR(INDEX(样本到样信息汇总统计!V$2:V$500,MATCH(424,样本到样信息汇总统计!$Y$2:$Y$500,0)),"")</f>
        <v/>
      </c>
      <c r="W425" s="8" t="str">
        <f>IFERROR(INDEX(样本到样信息汇总统计!W$2:W$500,MATCH(424,样本到样信息汇总统计!$Y$2:$Y$500,0)),"")</f>
        <v/>
      </c>
    </row>
    <row r="426" ht="14.5" spans="1:23">
      <c r="A426" s="4" t="str">
        <f>IFERROR(INDEX(样本到样信息汇总统计!A$2:A$500,MATCH(425,样本到样信息汇总统计!$Y$2:$Y$500,0)),"")</f>
        <v/>
      </c>
      <c r="B426" s="4" t="str">
        <f>IFERROR(INDEX(样本到样信息汇总统计!B$2:B$500,MATCH(425,样本到样信息汇总统计!$Y$2:$Y$500,0)),"")</f>
        <v/>
      </c>
      <c r="C426" s="4" t="str">
        <f>IFERROR(INDEX(样本到样信息汇总统计!C$2:C$500,MATCH(425,样本到样信息汇总统计!$Y$2:$Y$500,0)),"")</f>
        <v/>
      </c>
      <c r="D426" s="4" t="str">
        <f>IFERROR(INDEX(样本到样信息汇总统计!D$2:D$500,MATCH(425,样本到样信息汇总统计!$Y$2:$Y$500,0)),"")</f>
        <v/>
      </c>
      <c r="E426" s="4" t="str">
        <f>IFERROR(INDEX(样本到样信息汇总统计!E$2:E$500,MATCH(425,样本到样信息汇总统计!$Y$2:$Y$500,0)),"")</f>
        <v/>
      </c>
      <c r="F426" s="4" t="str">
        <f>IFERROR(INDEX(样本到样信息汇总统计!F$2:F$500,MATCH(425,样本到样信息汇总统计!$Y$2:$Y$500,0)),"")</f>
        <v/>
      </c>
      <c r="G426" s="4" t="str">
        <f>IFERROR(INDEX(样本到样信息汇总统计!G$2:G$500,MATCH(425,样本到样信息汇总统计!$Y$2:$Y$500,0)),"")</f>
        <v/>
      </c>
      <c r="H426" s="4" t="str">
        <f>IFERROR(INDEX(样本到样信息汇总统计!H$2:H$500,MATCH(425,样本到样信息汇总统计!$Y$2:$Y$500,0)),"")</f>
        <v/>
      </c>
      <c r="I426" s="4" t="str">
        <f>IFERROR(INDEX(样本到样信息汇总统计!I$2:I$500,MATCH(425,样本到样信息汇总统计!$Y$2:$Y$500,0)),"")</f>
        <v/>
      </c>
      <c r="J426" s="4" t="str">
        <f>IFERROR(INDEX(样本到样信息汇总统计!J$2:J$500,MATCH(425,样本到样信息汇总统计!$Y$2:$Y$500,0)),"")</f>
        <v/>
      </c>
      <c r="K426" s="4" t="str">
        <f>IFERROR(INDEX(样本到样信息汇总统计!K$2:K$500,MATCH(425,样本到样信息汇总统计!$Y$2:$Y$500,0)),"")</f>
        <v/>
      </c>
      <c r="L426" s="4" t="str">
        <f>IFERROR(INDEX(样本到样信息汇总统计!L$2:L$500,MATCH(425,样本到样信息汇总统计!$Y$2:$Y$500,0)),"")</f>
        <v/>
      </c>
      <c r="M426" s="4" t="str">
        <f>IFERROR(INDEX(样本到样信息汇总统计!M$2:M$500,MATCH(425,样本到样信息汇总统计!$Y$2:$Y$500,0)),"")</f>
        <v/>
      </c>
      <c r="N426" s="4" t="str">
        <f>IFERROR(INDEX(样本到样信息汇总统计!N$2:N$500,MATCH(425,样本到样信息汇总统计!$Y$2:$Y$500,0)),"")</f>
        <v/>
      </c>
      <c r="O426" s="4" t="str">
        <f>IFERROR(INDEX(样本到样信息汇总统计!O$2:O$500,MATCH(425,样本到样信息汇总统计!$Y$2:$Y$500,0)),"")</f>
        <v/>
      </c>
      <c r="P426" s="4" t="str">
        <f>IFERROR(INDEX(样本到样信息汇总统计!P$2:P$500,MATCH(425,样本到样信息汇总统计!$Y$2:$Y$500,0)),"")</f>
        <v/>
      </c>
      <c r="Q426" s="4" t="str">
        <f>IFERROR(INDEX(样本到样信息汇总统计!Q$2:Q$500,MATCH(425,样本到样信息汇总统计!$Y$2:$Y$500,0)),"")</f>
        <v/>
      </c>
      <c r="R426" s="4" t="str">
        <f>IFERROR(INDEX(样本到样信息汇总统计!R$2:R$500,MATCH(425,样本到样信息汇总统计!$Y$2:$Y$500,0)),"")</f>
        <v/>
      </c>
      <c r="S426" s="4" t="str">
        <f>IFERROR(INDEX(样本到样信息汇总统计!S$2:S$500,MATCH(425,样本到样信息汇总统计!$Y$2:$Y$500,0)),"")</f>
        <v/>
      </c>
      <c r="T426" s="4" t="str">
        <f>IFERROR(INDEX(样本到样信息汇总统计!T$2:T$500,MATCH(425,样本到样信息汇总统计!$Y$2:$Y$500,0)),"")</f>
        <v/>
      </c>
      <c r="U426" s="4" t="str">
        <f>IFERROR(INDEX(样本到样信息汇总统计!U$2:U$500,MATCH(425,样本到样信息汇总统计!$Y$2:$Y$500,0)),"")</f>
        <v/>
      </c>
      <c r="V426" s="4" t="str">
        <f>IFERROR(INDEX(样本到样信息汇总统计!V$2:V$500,MATCH(425,样本到样信息汇总统计!$Y$2:$Y$500,0)),"")</f>
        <v/>
      </c>
      <c r="W426" s="4" t="str">
        <f>IFERROR(INDEX(样本到样信息汇总统计!W$2:W$500,MATCH(425,样本到样信息汇总统计!$Y$2:$Y$500,0)),"")</f>
        <v/>
      </c>
    </row>
    <row r="427" ht="14.5" spans="1:23">
      <c r="A427" s="8" t="str">
        <f>IFERROR(INDEX(样本到样信息汇总统计!A$2:A$500,MATCH(426,样本到样信息汇总统计!$Y$2:$Y$500,0)),"")</f>
        <v/>
      </c>
      <c r="B427" s="8" t="str">
        <f>IFERROR(INDEX(样本到样信息汇总统计!B$2:B$500,MATCH(426,样本到样信息汇总统计!$Y$2:$Y$500,0)),"")</f>
        <v/>
      </c>
      <c r="C427" s="8" t="str">
        <f>IFERROR(INDEX(样本到样信息汇总统计!C$2:C$500,MATCH(426,样本到样信息汇总统计!$Y$2:$Y$500,0)),"")</f>
        <v/>
      </c>
      <c r="D427" s="8" t="str">
        <f>IFERROR(INDEX(样本到样信息汇总统计!D$2:D$500,MATCH(426,样本到样信息汇总统计!$Y$2:$Y$500,0)),"")</f>
        <v/>
      </c>
      <c r="E427" s="8" t="str">
        <f>IFERROR(INDEX(样本到样信息汇总统计!E$2:E$500,MATCH(426,样本到样信息汇总统计!$Y$2:$Y$500,0)),"")</f>
        <v/>
      </c>
      <c r="F427" s="8" t="str">
        <f>IFERROR(INDEX(样本到样信息汇总统计!F$2:F$500,MATCH(426,样本到样信息汇总统计!$Y$2:$Y$500,0)),"")</f>
        <v/>
      </c>
      <c r="G427" s="8" t="str">
        <f>IFERROR(INDEX(样本到样信息汇总统计!G$2:G$500,MATCH(426,样本到样信息汇总统计!$Y$2:$Y$500,0)),"")</f>
        <v/>
      </c>
      <c r="H427" s="8" t="str">
        <f>IFERROR(INDEX(样本到样信息汇总统计!H$2:H$500,MATCH(426,样本到样信息汇总统计!$Y$2:$Y$500,0)),"")</f>
        <v/>
      </c>
      <c r="I427" s="8" t="str">
        <f>IFERROR(INDEX(样本到样信息汇总统计!I$2:I$500,MATCH(426,样本到样信息汇总统计!$Y$2:$Y$500,0)),"")</f>
        <v/>
      </c>
      <c r="J427" s="8" t="str">
        <f>IFERROR(INDEX(样本到样信息汇总统计!J$2:J$500,MATCH(426,样本到样信息汇总统计!$Y$2:$Y$500,0)),"")</f>
        <v/>
      </c>
      <c r="K427" s="8" t="str">
        <f>IFERROR(INDEX(样本到样信息汇总统计!K$2:K$500,MATCH(426,样本到样信息汇总统计!$Y$2:$Y$500,0)),"")</f>
        <v/>
      </c>
      <c r="L427" s="8" t="str">
        <f>IFERROR(INDEX(样本到样信息汇总统计!L$2:L$500,MATCH(426,样本到样信息汇总统计!$Y$2:$Y$500,0)),"")</f>
        <v/>
      </c>
      <c r="M427" s="8" t="str">
        <f>IFERROR(INDEX(样本到样信息汇总统计!M$2:M$500,MATCH(426,样本到样信息汇总统计!$Y$2:$Y$500,0)),"")</f>
        <v/>
      </c>
      <c r="N427" s="8" t="str">
        <f>IFERROR(INDEX(样本到样信息汇总统计!N$2:N$500,MATCH(426,样本到样信息汇总统计!$Y$2:$Y$500,0)),"")</f>
        <v/>
      </c>
      <c r="O427" s="8" t="str">
        <f>IFERROR(INDEX(样本到样信息汇总统计!O$2:O$500,MATCH(426,样本到样信息汇总统计!$Y$2:$Y$500,0)),"")</f>
        <v/>
      </c>
      <c r="P427" s="8" t="str">
        <f>IFERROR(INDEX(样本到样信息汇总统计!P$2:P$500,MATCH(426,样本到样信息汇总统计!$Y$2:$Y$500,0)),"")</f>
        <v/>
      </c>
      <c r="Q427" s="8" t="str">
        <f>IFERROR(INDEX(样本到样信息汇总统计!Q$2:Q$500,MATCH(426,样本到样信息汇总统计!$Y$2:$Y$500,0)),"")</f>
        <v/>
      </c>
      <c r="R427" s="8" t="str">
        <f>IFERROR(INDEX(样本到样信息汇总统计!R$2:R$500,MATCH(426,样本到样信息汇总统计!$Y$2:$Y$500,0)),"")</f>
        <v/>
      </c>
      <c r="S427" s="8" t="str">
        <f>IFERROR(INDEX(样本到样信息汇总统计!S$2:S$500,MATCH(426,样本到样信息汇总统计!$Y$2:$Y$500,0)),"")</f>
        <v/>
      </c>
      <c r="T427" s="8" t="str">
        <f>IFERROR(INDEX(样本到样信息汇总统计!T$2:T$500,MATCH(426,样本到样信息汇总统计!$Y$2:$Y$500,0)),"")</f>
        <v/>
      </c>
      <c r="U427" s="8" t="str">
        <f>IFERROR(INDEX(样本到样信息汇总统计!U$2:U$500,MATCH(426,样本到样信息汇总统计!$Y$2:$Y$500,0)),"")</f>
        <v/>
      </c>
      <c r="V427" s="8" t="str">
        <f>IFERROR(INDEX(样本到样信息汇总统计!V$2:V$500,MATCH(426,样本到样信息汇总统计!$Y$2:$Y$500,0)),"")</f>
        <v/>
      </c>
      <c r="W427" s="8" t="str">
        <f>IFERROR(INDEX(样本到样信息汇总统计!W$2:W$500,MATCH(426,样本到样信息汇总统计!$Y$2:$Y$500,0)),"")</f>
        <v/>
      </c>
    </row>
    <row r="428" ht="14.5" spans="1:23">
      <c r="A428" s="4" t="str">
        <f>IFERROR(INDEX(样本到样信息汇总统计!A$2:A$500,MATCH(427,样本到样信息汇总统计!$Y$2:$Y$500,0)),"")</f>
        <v/>
      </c>
      <c r="B428" s="4" t="str">
        <f>IFERROR(INDEX(样本到样信息汇总统计!B$2:B$500,MATCH(427,样本到样信息汇总统计!$Y$2:$Y$500,0)),"")</f>
        <v/>
      </c>
      <c r="C428" s="4" t="str">
        <f>IFERROR(INDEX(样本到样信息汇总统计!C$2:C$500,MATCH(427,样本到样信息汇总统计!$Y$2:$Y$500,0)),"")</f>
        <v/>
      </c>
      <c r="D428" s="4" t="str">
        <f>IFERROR(INDEX(样本到样信息汇总统计!D$2:D$500,MATCH(427,样本到样信息汇总统计!$Y$2:$Y$500,0)),"")</f>
        <v/>
      </c>
      <c r="E428" s="4" t="str">
        <f>IFERROR(INDEX(样本到样信息汇总统计!E$2:E$500,MATCH(427,样本到样信息汇总统计!$Y$2:$Y$500,0)),"")</f>
        <v/>
      </c>
      <c r="F428" s="4" t="str">
        <f>IFERROR(INDEX(样本到样信息汇总统计!F$2:F$500,MATCH(427,样本到样信息汇总统计!$Y$2:$Y$500,0)),"")</f>
        <v/>
      </c>
      <c r="G428" s="4" t="str">
        <f>IFERROR(INDEX(样本到样信息汇总统计!G$2:G$500,MATCH(427,样本到样信息汇总统计!$Y$2:$Y$500,0)),"")</f>
        <v/>
      </c>
      <c r="H428" s="4" t="str">
        <f>IFERROR(INDEX(样本到样信息汇总统计!H$2:H$500,MATCH(427,样本到样信息汇总统计!$Y$2:$Y$500,0)),"")</f>
        <v/>
      </c>
      <c r="I428" s="4" t="str">
        <f>IFERROR(INDEX(样本到样信息汇总统计!I$2:I$500,MATCH(427,样本到样信息汇总统计!$Y$2:$Y$500,0)),"")</f>
        <v/>
      </c>
      <c r="J428" s="4" t="str">
        <f>IFERROR(INDEX(样本到样信息汇总统计!J$2:J$500,MATCH(427,样本到样信息汇总统计!$Y$2:$Y$500,0)),"")</f>
        <v/>
      </c>
      <c r="K428" s="4" t="str">
        <f>IFERROR(INDEX(样本到样信息汇总统计!K$2:K$500,MATCH(427,样本到样信息汇总统计!$Y$2:$Y$500,0)),"")</f>
        <v/>
      </c>
      <c r="L428" s="4" t="str">
        <f>IFERROR(INDEX(样本到样信息汇总统计!L$2:L$500,MATCH(427,样本到样信息汇总统计!$Y$2:$Y$500,0)),"")</f>
        <v/>
      </c>
      <c r="M428" s="4" t="str">
        <f>IFERROR(INDEX(样本到样信息汇总统计!M$2:M$500,MATCH(427,样本到样信息汇总统计!$Y$2:$Y$500,0)),"")</f>
        <v/>
      </c>
      <c r="N428" s="4" t="str">
        <f>IFERROR(INDEX(样本到样信息汇总统计!N$2:N$500,MATCH(427,样本到样信息汇总统计!$Y$2:$Y$500,0)),"")</f>
        <v/>
      </c>
      <c r="O428" s="4" t="str">
        <f>IFERROR(INDEX(样本到样信息汇总统计!O$2:O$500,MATCH(427,样本到样信息汇总统计!$Y$2:$Y$500,0)),"")</f>
        <v/>
      </c>
      <c r="P428" s="4" t="str">
        <f>IFERROR(INDEX(样本到样信息汇总统计!P$2:P$500,MATCH(427,样本到样信息汇总统计!$Y$2:$Y$500,0)),"")</f>
        <v/>
      </c>
      <c r="Q428" s="4" t="str">
        <f>IFERROR(INDEX(样本到样信息汇总统计!Q$2:Q$500,MATCH(427,样本到样信息汇总统计!$Y$2:$Y$500,0)),"")</f>
        <v/>
      </c>
      <c r="R428" s="4" t="str">
        <f>IFERROR(INDEX(样本到样信息汇总统计!R$2:R$500,MATCH(427,样本到样信息汇总统计!$Y$2:$Y$500,0)),"")</f>
        <v/>
      </c>
      <c r="S428" s="4" t="str">
        <f>IFERROR(INDEX(样本到样信息汇总统计!S$2:S$500,MATCH(427,样本到样信息汇总统计!$Y$2:$Y$500,0)),"")</f>
        <v/>
      </c>
      <c r="T428" s="4" t="str">
        <f>IFERROR(INDEX(样本到样信息汇总统计!T$2:T$500,MATCH(427,样本到样信息汇总统计!$Y$2:$Y$500,0)),"")</f>
        <v/>
      </c>
      <c r="U428" s="4" t="str">
        <f>IFERROR(INDEX(样本到样信息汇总统计!U$2:U$500,MATCH(427,样本到样信息汇总统计!$Y$2:$Y$500,0)),"")</f>
        <v/>
      </c>
      <c r="V428" s="4" t="str">
        <f>IFERROR(INDEX(样本到样信息汇总统计!V$2:V$500,MATCH(427,样本到样信息汇总统计!$Y$2:$Y$500,0)),"")</f>
        <v/>
      </c>
      <c r="W428" s="4" t="str">
        <f>IFERROR(INDEX(样本到样信息汇总统计!W$2:W$500,MATCH(427,样本到样信息汇总统计!$Y$2:$Y$500,0)),"")</f>
        <v/>
      </c>
    </row>
    <row r="429" ht="14.5" spans="1:23">
      <c r="A429" s="8" t="str">
        <f>IFERROR(INDEX(样本到样信息汇总统计!A$2:A$500,MATCH(428,样本到样信息汇总统计!$Y$2:$Y$500,0)),"")</f>
        <v/>
      </c>
      <c r="B429" s="8" t="str">
        <f>IFERROR(INDEX(样本到样信息汇总统计!B$2:B$500,MATCH(428,样本到样信息汇总统计!$Y$2:$Y$500,0)),"")</f>
        <v/>
      </c>
      <c r="C429" s="8" t="str">
        <f>IFERROR(INDEX(样本到样信息汇总统计!C$2:C$500,MATCH(428,样本到样信息汇总统计!$Y$2:$Y$500,0)),"")</f>
        <v/>
      </c>
      <c r="D429" s="8" t="str">
        <f>IFERROR(INDEX(样本到样信息汇总统计!D$2:D$500,MATCH(428,样本到样信息汇总统计!$Y$2:$Y$500,0)),"")</f>
        <v/>
      </c>
      <c r="E429" s="8" t="str">
        <f>IFERROR(INDEX(样本到样信息汇总统计!E$2:E$500,MATCH(428,样本到样信息汇总统计!$Y$2:$Y$500,0)),"")</f>
        <v/>
      </c>
      <c r="F429" s="8" t="str">
        <f>IFERROR(INDEX(样本到样信息汇总统计!F$2:F$500,MATCH(428,样本到样信息汇总统计!$Y$2:$Y$500,0)),"")</f>
        <v/>
      </c>
      <c r="G429" s="8" t="str">
        <f>IFERROR(INDEX(样本到样信息汇总统计!G$2:G$500,MATCH(428,样本到样信息汇总统计!$Y$2:$Y$500,0)),"")</f>
        <v/>
      </c>
      <c r="H429" s="8" t="str">
        <f>IFERROR(INDEX(样本到样信息汇总统计!H$2:H$500,MATCH(428,样本到样信息汇总统计!$Y$2:$Y$500,0)),"")</f>
        <v/>
      </c>
      <c r="I429" s="8" t="str">
        <f>IFERROR(INDEX(样本到样信息汇总统计!I$2:I$500,MATCH(428,样本到样信息汇总统计!$Y$2:$Y$500,0)),"")</f>
        <v/>
      </c>
      <c r="J429" s="8" t="str">
        <f>IFERROR(INDEX(样本到样信息汇总统计!J$2:J$500,MATCH(428,样本到样信息汇总统计!$Y$2:$Y$500,0)),"")</f>
        <v/>
      </c>
      <c r="K429" s="8" t="str">
        <f>IFERROR(INDEX(样本到样信息汇总统计!K$2:K$500,MATCH(428,样本到样信息汇总统计!$Y$2:$Y$500,0)),"")</f>
        <v/>
      </c>
      <c r="L429" s="8" t="str">
        <f>IFERROR(INDEX(样本到样信息汇总统计!L$2:L$500,MATCH(428,样本到样信息汇总统计!$Y$2:$Y$500,0)),"")</f>
        <v/>
      </c>
      <c r="M429" s="8" t="str">
        <f>IFERROR(INDEX(样本到样信息汇总统计!M$2:M$500,MATCH(428,样本到样信息汇总统计!$Y$2:$Y$500,0)),"")</f>
        <v/>
      </c>
      <c r="N429" s="8" t="str">
        <f>IFERROR(INDEX(样本到样信息汇总统计!N$2:N$500,MATCH(428,样本到样信息汇总统计!$Y$2:$Y$500,0)),"")</f>
        <v/>
      </c>
      <c r="O429" s="8" t="str">
        <f>IFERROR(INDEX(样本到样信息汇总统计!O$2:O$500,MATCH(428,样本到样信息汇总统计!$Y$2:$Y$500,0)),"")</f>
        <v/>
      </c>
      <c r="P429" s="8" t="str">
        <f>IFERROR(INDEX(样本到样信息汇总统计!P$2:P$500,MATCH(428,样本到样信息汇总统计!$Y$2:$Y$500,0)),"")</f>
        <v/>
      </c>
      <c r="Q429" s="8" t="str">
        <f>IFERROR(INDEX(样本到样信息汇总统计!Q$2:Q$500,MATCH(428,样本到样信息汇总统计!$Y$2:$Y$500,0)),"")</f>
        <v/>
      </c>
      <c r="R429" s="8" t="str">
        <f>IFERROR(INDEX(样本到样信息汇总统计!R$2:R$500,MATCH(428,样本到样信息汇总统计!$Y$2:$Y$500,0)),"")</f>
        <v/>
      </c>
      <c r="S429" s="8" t="str">
        <f>IFERROR(INDEX(样本到样信息汇总统计!S$2:S$500,MATCH(428,样本到样信息汇总统计!$Y$2:$Y$500,0)),"")</f>
        <v/>
      </c>
      <c r="T429" s="8" t="str">
        <f>IFERROR(INDEX(样本到样信息汇总统计!T$2:T$500,MATCH(428,样本到样信息汇总统计!$Y$2:$Y$500,0)),"")</f>
        <v/>
      </c>
      <c r="U429" s="8" t="str">
        <f>IFERROR(INDEX(样本到样信息汇总统计!U$2:U$500,MATCH(428,样本到样信息汇总统计!$Y$2:$Y$500,0)),"")</f>
        <v/>
      </c>
      <c r="V429" s="8" t="str">
        <f>IFERROR(INDEX(样本到样信息汇总统计!V$2:V$500,MATCH(428,样本到样信息汇总统计!$Y$2:$Y$500,0)),"")</f>
        <v/>
      </c>
      <c r="W429" s="8" t="str">
        <f>IFERROR(INDEX(样本到样信息汇总统计!W$2:W$500,MATCH(428,样本到样信息汇总统计!$Y$2:$Y$500,0)),"")</f>
        <v/>
      </c>
    </row>
    <row r="430" ht="14.5" spans="1:23">
      <c r="A430" s="4" t="str">
        <f>IFERROR(INDEX(样本到样信息汇总统计!A$2:A$500,MATCH(429,样本到样信息汇总统计!$Y$2:$Y$500,0)),"")</f>
        <v/>
      </c>
      <c r="B430" s="4" t="str">
        <f>IFERROR(INDEX(样本到样信息汇总统计!B$2:B$500,MATCH(429,样本到样信息汇总统计!$Y$2:$Y$500,0)),"")</f>
        <v/>
      </c>
      <c r="C430" s="4" t="str">
        <f>IFERROR(INDEX(样本到样信息汇总统计!C$2:C$500,MATCH(429,样本到样信息汇总统计!$Y$2:$Y$500,0)),"")</f>
        <v/>
      </c>
      <c r="D430" s="4" t="str">
        <f>IFERROR(INDEX(样本到样信息汇总统计!D$2:D$500,MATCH(429,样本到样信息汇总统计!$Y$2:$Y$500,0)),"")</f>
        <v/>
      </c>
      <c r="E430" s="4" t="str">
        <f>IFERROR(INDEX(样本到样信息汇总统计!E$2:E$500,MATCH(429,样本到样信息汇总统计!$Y$2:$Y$500,0)),"")</f>
        <v/>
      </c>
      <c r="F430" s="4" t="str">
        <f>IFERROR(INDEX(样本到样信息汇总统计!F$2:F$500,MATCH(429,样本到样信息汇总统计!$Y$2:$Y$500,0)),"")</f>
        <v/>
      </c>
      <c r="G430" s="4" t="str">
        <f>IFERROR(INDEX(样本到样信息汇总统计!G$2:G$500,MATCH(429,样本到样信息汇总统计!$Y$2:$Y$500,0)),"")</f>
        <v/>
      </c>
      <c r="H430" s="4" t="str">
        <f>IFERROR(INDEX(样本到样信息汇总统计!H$2:H$500,MATCH(429,样本到样信息汇总统计!$Y$2:$Y$500,0)),"")</f>
        <v/>
      </c>
      <c r="I430" s="4" t="str">
        <f>IFERROR(INDEX(样本到样信息汇总统计!I$2:I$500,MATCH(429,样本到样信息汇总统计!$Y$2:$Y$500,0)),"")</f>
        <v/>
      </c>
      <c r="J430" s="4" t="str">
        <f>IFERROR(INDEX(样本到样信息汇总统计!J$2:J$500,MATCH(429,样本到样信息汇总统计!$Y$2:$Y$500,0)),"")</f>
        <v/>
      </c>
      <c r="K430" s="4" t="str">
        <f>IFERROR(INDEX(样本到样信息汇总统计!K$2:K$500,MATCH(429,样本到样信息汇总统计!$Y$2:$Y$500,0)),"")</f>
        <v/>
      </c>
      <c r="L430" s="4" t="str">
        <f>IFERROR(INDEX(样本到样信息汇总统计!L$2:L$500,MATCH(429,样本到样信息汇总统计!$Y$2:$Y$500,0)),"")</f>
        <v/>
      </c>
      <c r="M430" s="4" t="str">
        <f>IFERROR(INDEX(样本到样信息汇总统计!M$2:M$500,MATCH(429,样本到样信息汇总统计!$Y$2:$Y$500,0)),"")</f>
        <v/>
      </c>
      <c r="N430" s="4" t="str">
        <f>IFERROR(INDEX(样本到样信息汇总统计!N$2:N$500,MATCH(429,样本到样信息汇总统计!$Y$2:$Y$500,0)),"")</f>
        <v/>
      </c>
      <c r="O430" s="4" t="str">
        <f>IFERROR(INDEX(样本到样信息汇总统计!O$2:O$500,MATCH(429,样本到样信息汇总统计!$Y$2:$Y$500,0)),"")</f>
        <v/>
      </c>
      <c r="P430" s="4" t="str">
        <f>IFERROR(INDEX(样本到样信息汇总统计!P$2:P$500,MATCH(429,样本到样信息汇总统计!$Y$2:$Y$500,0)),"")</f>
        <v/>
      </c>
      <c r="Q430" s="4" t="str">
        <f>IFERROR(INDEX(样本到样信息汇总统计!Q$2:Q$500,MATCH(429,样本到样信息汇总统计!$Y$2:$Y$500,0)),"")</f>
        <v/>
      </c>
      <c r="R430" s="4" t="str">
        <f>IFERROR(INDEX(样本到样信息汇总统计!R$2:R$500,MATCH(429,样本到样信息汇总统计!$Y$2:$Y$500,0)),"")</f>
        <v/>
      </c>
      <c r="S430" s="4" t="str">
        <f>IFERROR(INDEX(样本到样信息汇总统计!S$2:S$500,MATCH(429,样本到样信息汇总统计!$Y$2:$Y$500,0)),"")</f>
        <v/>
      </c>
      <c r="T430" s="4" t="str">
        <f>IFERROR(INDEX(样本到样信息汇总统计!T$2:T$500,MATCH(429,样本到样信息汇总统计!$Y$2:$Y$500,0)),"")</f>
        <v/>
      </c>
      <c r="U430" s="4" t="str">
        <f>IFERROR(INDEX(样本到样信息汇总统计!U$2:U$500,MATCH(429,样本到样信息汇总统计!$Y$2:$Y$500,0)),"")</f>
        <v/>
      </c>
      <c r="V430" s="4" t="str">
        <f>IFERROR(INDEX(样本到样信息汇总统计!V$2:V$500,MATCH(429,样本到样信息汇总统计!$Y$2:$Y$500,0)),"")</f>
        <v/>
      </c>
      <c r="W430" s="4" t="str">
        <f>IFERROR(INDEX(样本到样信息汇总统计!W$2:W$500,MATCH(429,样本到样信息汇总统计!$Y$2:$Y$500,0)),"")</f>
        <v/>
      </c>
    </row>
    <row r="431" ht="14.5" spans="1:23">
      <c r="A431" s="8" t="str">
        <f>IFERROR(INDEX(样本到样信息汇总统计!A$2:A$500,MATCH(430,样本到样信息汇总统计!$Y$2:$Y$500,0)),"")</f>
        <v/>
      </c>
      <c r="B431" s="8" t="str">
        <f>IFERROR(INDEX(样本到样信息汇总统计!B$2:B$500,MATCH(430,样本到样信息汇总统计!$Y$2:$Y$500,0)),"")</f>
        <v/>
      </c>
      <c r="C431" s="8" t="str">
        <f>IFERROR(INDEX(样本到样信息汇总统计!C$2:C$500,MATCH(430,样本到样信息汇总统计!$Y$2:$Y$500,0)),"")</f>
        <v/>
      </c>
      <c r="D431" s="8" t="str">
        <f>IFERROR(INDEX(样本到样信息汇总统计!D$2:D$500,MATCH(430,样本到样信息汇总统计!$Y$2:$Y$500,0)),"")</f>
        <v/>
      </c>
      <c r="E431" s="8" t="str">
        <f>IFERROR(INDEX(样本到样信息汇总统计!E$2:E$500,MATCH(430,样本到样信息汇总统计!$Y$2:$Y$500,0)),"")</f>
        <v/>
      </c>
      <c r="F431" s="8" t="str">
        <f>IFERROR(INDEX(样本到样信息汇总统计!F$2:F$500,MATCH(430,样本到样信息汇总统计!$Y$2:$Y$500,0)),"")</f>
        <v/>
      </c>
      <c r="G431" s="8" t="str">
        <f>IFERROR(INDEX(样本到样信息汇总统计!G$2:G$500,MATCH(430,样本到样信息汇总统计!$Y$2:$Y$500,0)),"")</f>
        <v/>
      </c>
      <c r="H431" s="8" t="str">
        <f>IFERROR(INDEX(样本到样信息汇总统计!H$2:H$500,MATCH(430,样本到样信息汇总统计!$Y$2:$Y$500,0)),"")</f>
        <v/>
      </c>
      <c r="I431" s="8" t="str">
        <f>IFERROR(INDEX(样本到样信息汇总统计!I$2:I$500,MATCH(430,样本到样信息汇总统计!$Y$2:$Y$500,0)),"")</f>
        <v/>
      </c>
      <c r="J431" s="8" t="str">
        <f>IFERROR(INDEX(样本到样信息汇总统计!J$2:J$500,MATCH(430,样本到样信息汇总统计!$Y$2:$Y$500,0)),"")</f>
        <v/>
      </c>
      <c r="K431" s="8" t="str">
        <f>IFERROR(INDEX(样本到样信息汇总统计!K$2:K$500,MATCH(430,样本到样信息汇总统计!$Y$2:$Y$500,0)),"")</f>
        <v/>
      </c>
      <c r="L431" s="8" t="str">
        <f>IFERROR(INDEX(样本到样信息汇总统计!L$2:L$500,MATCH(430,样本到样信息汇总统计!$Y$2:$Y$500,0)),"")</f>
        <v/>
      </c>
      <c r="M431" s="8" t="str">
        <f>IFERROR(INDEX(样本到样信息汇总统计!M$2:M$500,MATCH(430,样本到样信息汇总统计!$Y$2:$Y$500,0)),"")</f>
        <v/>
      </c>
      <c r="N431" s="8" t="str">
        <f>IFERROR(INDEX(样本到样信息汇总统计!N$2:N$500,MATCH(430,样本到样信息汇总统计!$Y$2:$Y$500,0)),"")</f>
        <v/>
      </c>
      <c r="O431" s="8" t="str">
        <f>IFERROR(INDEX(样本到样信息汇总统计!O$2:O$500,MATCH(430,样本到样信息汇总统计!$Y$2:$Y$500,0)),"")</f>
        <v/>
      </c>
      <c r="P431" s="8" t="str">
        <f>IFERROR(INDEX(样本到样信息汇总统计!P$2:P$500,MATCH(430,样本到样信息汇总统计!$Y$2:$Y$500,0)),"")</f>
        <v/>
      </c>
      <c r="Q431" s="8" t="str">
        <f>IFERROR(INDEX(样本到样信息汇总统计!Q$2:Q$500,MATCH(430,样本到样信息汇总统计!$Y$2:$Y$500,0)),"")</f>
        <v/>
      </c>
      <c r="R431" s="8" t="str">
        <f>IFERROR(INDEX(样本到样信息汇总统计!R$2:R$500,MATCH(430,样本到样信息汇总统计!$Y$2:$Y$500,0)),"")</f>
        <v/>
      </c>
      <c r="S431" s="8" t="str">
        <f>IFERROR(INDEX(样本到样信息汇总统计!S$2:S$500,MATCH(430,样本到样信息汇总统计!$Y$2:$Y$500,0)),"")</f>
        <v/>
      </c>
      <c r="T431" s="8" t="str">
        <f>IFERROR(INDEX(样本到样信息汇总统计!T$2:T$500,MATCH(430,样本到样信息汇总统计!$Y$2:$Y$500,0)),"")</f>
        <v/>
      </c>
      <c r="U431" s="8" t="str">
        <f>IFERROR(INDEX(样本到样信息汇总统计!U$2:U$500,MATCH(430,样本到样信息汇总统计!$Y$2:$Y$500,0)),"")</f>
        <v/>
      </c>
      <c r="V431" s="8" t="str">
        <f>IFERROR(INDEX(样本到样信息汇总统计!V$2:V$500,MATCH(430,样本到样信息汇总统计!$Y$2:$Y$500,0)),"")</f>
        <v/>
      </c>
      <c r="W431" s="8" t="str">
        <f>IFERROR(INDEX(样本到样信息汇总统计!W$2:W$500,MATCH(430,样本到样信息汇总统计!$Y$2:$Y$500,0)),"")</f>
        <v/>
      </c>
    </row>
    <row r="432" ht="14.5" spans="1:23">
      <c r="A432" s="4" t="str">
        <f>IFERROR(INDEX(样本到样信息汇总统计!A$2:A$500,MATCH(431,样本到样信息汇总统计!$Y$2:$Y$500,0)),"")</f>
        <v/>
      </c>
      <c r="B432" s="4" t="str">
        <f>IFERROR(INDEX(样本到样信息汇总统计!B$2:B$500,MATCH(431,样本到样信息汇总统计!$Y$2:$Y$500,0)),"")</f>
        <v/>
      </c>
      <c r="C432" s="4" t="str">
        <f>IFERROR(INDEX(样本到样信息汇总统计!C$2:C$500,MATCH(431,样本到样信息汇总统计!$Y$2:$Y$500,0)),"")</f>
        <v/>
      </c>
      <c r="D432" s="4" t="str">
        <f>IFERROR(INDEX(样本到样信息汇总统计!D$2:D$500,MATCH(431,样本到样信息汇总统计!$Y$2:$Y$500,0)),"")</f>
        <v/>
      </c>
      <c r="E432" s="4" t="str">
        <f>IFERROR(INDEX(样本到样信息汇总统计!E$2:E$500,MATCH(431,样本到样信息汇总统计!$Y$2:$Y$500,0)),"")</f>
        <v/>
      </c>
      <c r="F432" s="4" t="str">
        <f>IFERROR(INDEX(样本到样信息汇总统计!F$2:F$500,MATCH(431,样本到样信息汇总统计!$Y$2:$Y$500,0)),"")</f>
        <v/>
      </c>
      <c r="G432" s="4" t="str">
        <f>IFERROR(INDEX(样本到样信息汇总统计!G$2:G$500,MATCH(431,样本到样信息汇总统计!$Y$2:$Y$500,0)),"")</f>
        <v/>
      </c>
      <c r="H432" s="4" t="str">
        <f>IFERROR(INDEX(样本到样信息汇总统计!H$2:H$500,MATCH(431,样本到样信息汇总统计!$Y$2:$Y$500,0)),"")</f>
        <v/>
      </c>
      <c r="I432" s="4" t="str">
        <f>IFERROR(INDEX(样本到样信息汇总统计!I$2:I$500,MATCH(431,样本到样信息汇总统计!$Y$2:$Y$500,0)),"")</f>
        <v/>
      </c>
      <c r="J432" s="4" t="str">
        <f>IFERROR(INDEX(样本到样信息汇总统计!J$2:J$500,MATCH(431,样本到样信息汇总统计!$Y$2:$Y$500,0)),"")</f>
        <v/>
      </c>
      <c r="K432" s="4" t="str">
        <f>IFERROR(INDEX(样本到样信息汇总统计!K$2:K$500,MATCH(431,样本到样信息汇总统计!$Y$2:$Y$500,0)),"")</f>
        <v/>
      </c>
      <c r="L432" s="4" t="str">
        <f>IFERROR(INDEX(样本到样信息汇总统计!L$2:L$500,MATCH(431,样本到样信息汇总统计!$Y$2:$Y$500,0)),"")</f>
        <v/>
      </c>
      <c r="M432" s="4" t="str">
        <f>IFERROR(INDEX(样本到样信息汇总统计!M$2:M$500,MATCH(431,样本到样信息汇总统计!$Y$2:$Y$500,0)),"")</f>
        <v/>
      </c>
      <c r="N432" s="4" t="str">
        <f>IFERROR(INDEX(样本到样信息汇总统计!N$2:N$500,MATCH(431,样本到样信息汇总统计!$Y$2:$Y$500,0)),"")</f>
        <v/>
      </c>
      <c r="O432" s="4" t="str">
        <f>IFERROR(INDEX(样本到样信息汇总统计!O$2:O$500,MATCH(431,样本到样信息汇总统计!$Y$2:$Y$500,0)),"")</f>
        <v/>
      </c>
      <c r="P432" s="4" t="str">
        <f>IFERROR(INDEX(样本到样信息汇总统计!P$2:P$500,MATCH(431,样本到样信息汇总统计!$Y$2:$Y$500,0)),"")</f>
        <v/>
      </c>
      <c r="Q432" s="4" t="str">
        <f>IFERROR(INDEX(样本到样信息汇总统计!Q$2:Q$500,MATCH(431,样本到样信息汇总统计!$Y$2:$Y$500,0)),"")</f>
        <v/>
      </c>
      <c r="R432" s="4" t="str">
        <f>IFERROR(INDEX(样本到样信息汇总统计!R$2:R$500,MATCH(431,样本到样信息汇总统计!$Y$2:$Y$500,0)),"")</f>
        <v/>
      </c>
      <c r="S432" s="4" t="str">
        <f>IFERROR(INDEX(样本到样信息汇总统计!S$2:S$500,MATCH(431,样本到样信息汇总统计!$Y$2:$Y$500,0)),"")</f>
        <v/>
      </c>
      <c r="T432" s="4" t="str">
        <f>IFERROR(INDEX(样本到样信息汇总统计!T$2:T$500,MATCH(431,样本到样信息汇总统计!$Y$2:$Y$500,0)),"")</f>
        <v/>
      </c>
      <c r="U432" s="4" t="str">
        <f>IFERROR(INDEX(样本到样信息汇总统计!U$2:U$500,MATCH(431,样本到样信息汇总统计!$Y$2:$Y$500,0)),"")</f>
        <v/>
      </c>
      <c r="V432" s="4" t="str">
        <f>IFERROR(INDEX(样本到样信息汇总统计!V$2:V$500,MATCH(431,样本到样信息汇总统计!$Y$2:$Y$500,0)),"")</f>
        <v/>
      </c>
      <c r="W432" s="4" t="str">
        <f>IFERROR(INDEX(样本到样信息汇总统计!W$2:W$500,MATCH(431,样本到样信息汇总统计!$Y$2:$Y$500,0)),"")</f>
        <v/>
      </c>
    </row>
    <row r="433" ht="14.5" spans="1:23">
      <c r="A433" s="8" t="str">
        <f>IFERROR(INDEX(样本到样信息汇总统计!A$2:A$500,MATCH(432,样本到样信息汇总统计!$Y$2:$Y$500,0)),"")</f>
        <v/>
      </c>
      <c r="B433" s="8" t="str">
        <f>IFERROR(INDEX(样本到样信息汇总统计!B$2:B$500,MATCH(432,样本到样信息汇总统计!$Y$2:$Y$500,0)),"")</f>
        <v/>
      </c>
      <c r="C433" s="8" t="str">
        <f>IFERROR(INDEX(样本到样信息汇总统计!C$2:C$500,MATCH(432,样本到样信息汇总统计!$Y$2:$Y$500,0)),"")</f>
        <v/>
      </c>
      <c r="D433" s="8" t="str">
        <f>IFERROR(INDEX(样本到样信息汇总统计!D$2:D$500,MATCH(432,样本到样信息汇总统计!$Y$2:$Y$500,0)),"")</f>
        <v/>
      </c>
      <c r="E433" s="8" t="str">
        <f>IFERROR(INDEX(样本到样信息汇总统计!E$2:E$500,MATCH(432,样本到样信息汇总统计!$Y$2:$Y$500,0)),"")</f>
        <v/>
      </c>
      <c r="F433" s="8" t="str">
        <f>IFERROR(INDEX(样本到样信息汇总统计!F$2:F$500,MATCH(432,样本到样信息汇总统计!$Y$2:$Y$500,0)),"")</f>
        <v/>
      </c>
      <c r="G433" s="8" t="str">
        <f>IFERROR(INDEX(样本到样信息汇总统计!G$2:G$500,MATCH(432,样本到样信息汇总统计!$Y$2:$Y$500,0)),"")</f>
        <v/>
      </c>
      <c r="H433" s="8" t="str">
        <f>IFERROR(INDEX(样本到样信息汇总统计!H$2:H$500,MATCH(432,样本到样信息汇总统计!$Y$2:$Y$500,0)),"")</f>
        <v/>
      </c>
      <c r="I433" s="8" t="str">
        <f>IFERROR(INDEX(样本到样信息汇总统计!I$2:I$500,MATCH(432,样本到样信息汇总统计!$Y$2:$Y$500,0)),"")</f>
        <v/>
      </c>
      <c r="J433" s="8" t="str">
        <f>IFERROR(INDEX(样本到样信息汇总统计!J$2:J$500,MATCH(432,样本到样信息汇总统计!$Y$2:$Y$500,0)),"")</f>
        <v/>
      </c>
      <c r="K433" s="8" t="str">
        <f>IFERROR(INDEX(样本到样信息汇总统计!K$2:K$500,MATCH(432,样本到样信息汇总统计!$Y$2:$Y$500,0)),"")</f>
        <v/>
      </c>
      <c r="L433" s="8" t="str">
        <f>IFERROR(INDEX(样本到样信息汇总统计!L$2:L$500,MATCH(432,样本到样信息汇总统计!$Y$2:$Y$500,0)),"")</f>
        <v/>
      </c>
      <c r="M433" s="8" t="str">
        <f>IFERROR(INDEX(样本到样信息汇总统计!M$2:M$500,MATCH(432,样本到样信息汇总统计!$Y$2:$Y$500,0)),"")</f>
        <v/>
      </c>
      <c r="N433" s="8" t="str">
        <f>IFERROR(INDEX(样本到样信息汇总统计!N$2:N$500,MATCH(432,样本到样信息汇总统计!$Y$2:$Y$500,0)),"")</f>
        <v/>
      </c>
      <c r="O433" s="8" t="str">
        <f>IFERROR(INDEX(样本到样信息汇总统计!O$2:O$500,MATCH(432,样本到样信息汇总统计!$Y$2:$Y$500,0)),"")</f>
        <v/>
      </c>
      <c r="P433" s="8" t="str">
        <f>IFERROR(INDEX(样本到样信息汇总统计!P$2:P$500,MATCH(432,样本到样信息汇总统计!$Y$2:$Y$500,0)),"")</f>
        <v/>
      </c>
      <c r="Q433" s="8" t="str">
        <f>IFERROR(INDEX(样本到样信息汇总统计!Q$2:Q$500,MATCH(432,样本到样信息汇总统计!$Y$2:$Y$500,0)),"")</f>
        <v/>
      </c>
      <c r="R433" s="8" t="str">
        <f>IFERROR(INDEX(样本到样信息汇总统计!R$2:R$500,MATCH(432,样本到样信息汇总统计!$Y$2:$Y$500,0)),"")</f>
        <v/>
      </c>
      <c r="S433" s="8" t="str">
        <f>IFERROR(INDEX(样本到样信息汇总统计!S$2:S$500,MATCH(432,样本到样信息汇总统计!$Y$2:$Y$500,0)),"")</f>
        <v/>
      </c>
      <c r="T433" s="8" t="str">
        <f>IFERROR(INDEX(样本到样信息汇总统计!T$2:T$500,MATCH(432,样本到样信息汇总统计!$Y$2:$Y$500,0)),"")</f>
        <v/>
      </c>
      <c r="U433" s="8" t="str">
        <f>IFERROR(INDEX(样本到样信息汇总统计!U$2:U$500,MATCH(432,样本到样信息汇总统计!$Y$2:$Y$500,0)),"")</f>
        <v/>
      </c>
      <c r="V433" s="8" t="str">
        <f>IFERROR(INDEX(样本到样信息汇总统计!V$2:V$500,MATCH(432,样本到样信息汇总统计!$Y$2:$Y$500,0)),"")</f>
        <v/>
      </c>
      <c r="W433" s="8" t="str">
        <f>IFERROR(INDEX(样本到样信息汇总统计!W$2:W$500,MATCH(432,样本到样信息汇总统计!$Y$2:$Y$500,0)),"")</f>
        <v/>
      </c>
    </row>
    <row r="434" ht="14.5" spans="1:23">
      <c r="A434" s="4" t="str">
        <f>IFERROR(INDEX(样本到样信息汇总统计!A$2:A$500,MATCH(433,样本到样信息汇总统计!$Y$2:$Y$500,0)),"")</f>
        <v/>
      </c>
      <c r="B434" s="4" t="str">
        <f>IFERROR(INDEX(样本到样信息汇总统计!B$2:B$500,MATCH(433,样本到样信息汇总统计!$Y$2:$Y$500,0)),"")</f>
        <v/>
      </c>
      <c r="C434" s="4" t="str">
        <f>IFERROR(INDEX(样本到样信息汇总统计!C$2:C$500,MATCH(433,样本到样信息汇总统计!$Y$2:$Y$500,0)),"")</f>
        <v/>
      </c>
      <c r="D434" s="4" t="str">
        <f>IFERROR(INDEX(样本到样信息汇总统计!D$2:D$500,MATCH(433,样本到样信息汇总统计!$Y$2:$Y$500,0)),"")</f>
        <v/>
      </c>
      <c r="E434" s="4" t="str">
        <f>IFERROR(INDEX(样本到样信息汇总统计!E$2:E$500,MATCH(433,样本到样信息汇总统计!$Y$2:$Y$500,0)),"")</f>
        <v/>
      </c>
      <c r="F434" s="4" t="str">
        <f>IFERROR(INDEX(样本到样信息汇总统计!F$2:F$500,MATCH(433,样本到样信息汇总统计!$Y$2:$Y$500,0)),"")</f>
        <v/>
      </c>
      <c r="G434" s="4" t="str">
        <f>IFERROR(INDEX(样本到样信息汇总统计!G$2:G$500,MATCH(433,样本到样信息汇总统计!$Y$2:$Y$500,0)),"")</f>
        <v/>
      </c>
      <c r="H434" s="4" t="str">
        <f>IFERROR(INDEX(样本到样信息汇总统计!H$2:H$500,MATCH(433,样本到样信息汇总统计!$Y$2:$Y$500,0)),"")</f>
        <v/>
      </c>
      <c r="I434" s="4" t="str">
        <f>IFERROR(INDEX(样本到样信息汇总统计!I$2:I$500,MATCH(433,样本到样信息汇总统计!$Y$2:$Y$500,0)),"")</f>
        <v/>
      </c>
      <c r="J434" s="4" t="str">
        <f>IFERROR(INDEX(样本到样信息汇总统计!J$2:J$500,MATCH(433,样本到样信息汇总统计!$Y$2:$Y$500,0)),"")</f>
        <v/>
      </c>
      <c r="K434" s="4" t="str">
        <f>IFERROR(INDEX(样本到样信息汇总统计!K$2:K$500,MATCH(433,样本到样信息汇总统计!$Y$2:$Y$500,0)),"")</f>
        <v/>
      </c>
      <c r="L434" s="4" t="str">
        <f>IFERROR(INDEX(样本到样信息汇总统计!L$2:L$500,MATCH(433,样本到样信息汇总统计!$Y$2:$Y$500,0)),"")</f>
        <v/>
      </c>
      <c r="M434" s="4" t="str">
        <f>IFERROR(INDEX(样本到样信息汇总统计!M$2:M$500,MATCH(433,样本到样信息汇总统计!$Y$2:$Y$500,0)),"")</f>
        <v/>
      </c>
      <c r="N434" s="4" t="str">
        <f>IFERROR(INDEX(样本到样信息汇总统计!N$2:N$500,MATCH(433,样本到样信息汇总统计!$Y$2:$Y$500,0)),"")</f>
        <v/>
      </c>
      <c r="O434" s="4" t="str">
        <f>IFERROR(INDEX(样本到样信息汇总统计!O$2:O$500,MATCH(433,样本到样信息汇总统计!$Y$2:$Y$500,0)),"")</f>
        <v/>
      </c>
      <c r="P434" s="4" t="str">
        <f>IFERROR(INDEX(样本到样信息汇总统计!P$2:P$500,MATCH(433,样本到样信息汇总统计!$Y$2:$Y$500,0)),"")</f>
        <v/>
      </c>
      <c r="Q434" s="4" t="str">
        <f>IFERROR(INDEX(样本到样信息汇总统计!Q$2:Q$500,MATCH(433,样本到样信息汇总统计!$Y$2:$Y$500,0)),"")</f>
        <v/>
      </c>
      <c r="R434" s="4" t="str">
        <f>IFERROR(INDEX(样本到样信息汇总统计!R$2:R$500,MATCH(433,样本到样信息汇总统计!$Y$2:$Y$500,0)),"")</f>
        <v/>
      </c>
      <c r="S434" s="4" t="str">
        <f>IFERROR(INDEX(样本到样信息汇总统计!S$2:S$500,MATCH(433,样本到样信息汇总统计!$Y$2:$Y$500,0)),"")</f>
        <v/>
      </c>
      <c r="T434" s="4" t="str">
        <f>IFERROR(INDEX(样本到样信息汇总统计!T$2:T$500,MATCH(433,样本到样信息汇总统计!$Y$2:$Y$500,0)),"")</f>
        <v/>
      </c>
      <c r="U434" s="4" t="str">
        <f>IFERROR(INDEX(样本到样信息汇总统计!U$2:U$500,MATCH(433,样本到样信息汇总统计!$Y$2:$Y$500,0)),"")</f>
        <v/>
      </c>
      <c r="V434" s="4" t="str">
        <f>IFERROR(INDEX(样本到样信息汇总统计!V$2:V$500,MATCH(433,样本到样信息汇总统计!$Y$2:$Y$500,0)),"")</f>
        <v/>
      </c>
      <c r="W434" s="4" t="str">
        <f>IFERROR(INDEX(样本到样信息汇总统计!W$2:W$500,MATCH(433,样本到样信息汇总统计!$Y$2:$Y$500,0)),"")</f>
        <v/>
      </c>
    </row>
    <row r="435" ht="14.5" spans="1:23">
      <c r="A435" s="8" t="str">
        <f>IFERROR(INDEX(样本到样信息汇总统计!A$2:A$500,MATCH(434,样本到样信息汇总统计!$Y$2:$Y$500,0)),"")</f>
        <v/>
      </c>
      <c r="B435" s="8" t="str">
        <f>IFERROR(INDEX(样本到样信息汇总统计!B$2:B$500,MATCH(434,样本到样信息汇总统计!$Y$2:$Y$500,0)),"")</f>
        <v/>
      </c>
      <c r="C435" s="8" t="str">
        <f>IFERROR(INDEX(样本到样信息汇总统计!C$2:C$500,MATCH(434,样本到样信息汇总统计!$Y$2:$Y$500,0)),"")</f>
        <v/>
      </c>
      <c r="D435" s="8" t="str">
        <f>IFERROR(INDEX(样本到样信息汇总统计!D$2:D$500,MATCH(434,样本到样信息汇总统计!$Y$2:$Y$500,0)),"")</f>
        <v/>
      </c>
      <c r="E435" s="8" t="str">
        <f>IFERROR(INDEX(样本到样信息汇总统计!E$2:E$500,MATCH(434,样本到样信息汇总统计!$Y$2:$Y$500,0)),"")</f>
        <v/>
      </c>
      <c r="F435" s="8" t="str">
        <f>IFERROR(INDEX(样本到样信息汇总统计!F$2:F$500,MATCH(434,样本到样信息汇总统计!$Y$2:$Y$500,0)),"")</f>
        <v/>
      </c>
      <c r="G435" s="8" t="str">
        <f>IFERROR(INDEX(样本到样信息汇总统计!G$2:G$500,MATCH(434,样本到样信息汇总统计!$Y$2:$Y$500,0)),"")</f>
        <v/>
      </c>
      <c r="H435" s="8" t="str">
        <f>IFERROR(INDEX(样本到样信息汇总统计!H$2:H$500,MATCH(434,样本到样信息汇总统计!$Y$2:$Y$500,0)),"")</f>
        <v/>
      </c>
      <c r="I435" s="8" t="str">
        <f>IFERROR(INDEX(样本到样信息汇总统计!I$2:I$500,MATCH(434,样本到样信息汇总统计!$Y$2:$Y$500,0)),"")</f>
        <v/>
      </c>
      <c r="J435" s="8" t="str">
        <f>IFERROR(INDEX(样本到样信息汇总统计!J$2:J$500,MATCH(434,样本到样信息汇总统计!$Y$2:$Y$500,0)),"")</f>
        <v/>
      </c>
      <c r="K435" s="8" t="str">
        <f>IFERROR(INDEX(样本到样信息汇总统计!K$2:K$500,MATCH(434,样本到样信息汇总统计!$Y$2:$Y$500,0)),"")</f>
        <v/>
      </c>
      <c r="L435" s="8" t="str">
        <f>IFERROR(INDEX(样本到样信息汇总统计!L$2:L$500,MATCH(434,样本到样信息汇总统计!$Y$2:$Y$500,0)),"")</f>
        <v/>
      </c>
      <c r="M435" s="8" t="str">
        <f>IFERROR(INDEX(样本到样信息汇总统计!M$2:M$500,MATCH(434,样本到样信息汇总统计!$Y$2:$Y$500,0)),"")</f>
        <v/>
      </c>
      <c r="N435" s="8" t="str">
        <f>IFERROR(INDEX(样本到样信息汇总统计!N$2:N$500,MATCH(434,样本到样信息汇总统计!$Y$2:$Y$500,0)),"")</f>
        <v/>
      </c>
      <c r="O435" s="8" t="str">
        <f>IFERROR(INDEX(样本到样信息汇总统计!O$2:O$500,MATCH(434,样本到样信息汇总统计!$Y$2:$Y$500,0)),"")</f>
        <v/>
      </c>
      <c r="P435" s="8" t="str">
        <f>IFERROR(INDEX(样本到样信息汇总统计!P$2:P$500,MATCH(434,样本到样信息汇总统计!$Y$2:$Y$500,0)),"")</f>
        <v/>
      </c>
      <c r="Q435" s="8" t="str">
        <f>IFERROR(INDEX(样本到样信息汇总统计!Q$2:Q$500,MATCH(434,样本到样信息汇总统计!$Y$2:$Y$500,0)),"")</f>
        <v/>
      </c>
      <c r="R435" s="8" t="str">
        <f>IFERROR(INDEX(样本到样信息汇总统计!R$2:R$500,MATCH(434,样本到样信息汇总统计!$Y$2:$Y$500,0)),"")</f>
        <v/>
      </c>
      <c r="S435" s="8" t="str">
        <f>IFERROR(INDEX(样本到样信息汇总统计!S$2:S$500,MATCH(434,样本到样信息汇总统计!$Y$2:$Y$500,0)),"")</f>
        <v/>
      </c>
      <c r="T435" s="8" t="str">
        <f>IFERROR(INDEX(样本到样信息汇总统计!T$2:T$500,MATCH(434,样本到样信息汇总统计!$Y$2:$Y$500,0)),"")</f>
        <v/>
      </c>
      <c r="U435" s="8" t="str">
        <f>IFERROR(INDEX(样本到样信息汇总统计!U$2:U$500,MATCH(434,样本到样信息汇总统计!$Y$2:$Y$500,0)),"")</f>
        <v/>
      </c>
      <c r="V435" s="8" t="str">
        <f>IFERROR(INDEX(样本到样信息汇总统计!V$2:V$500,MATCH(434,样本到样信息汇总统计!$Y$2:$Y$500,0)),"")</f>
        <v/>
      </c>
      <c r="W435" s="8" t="str">
        <f>IFERROR(INDEX(样本到样信息汇总统计!W$2:W$500,MATCH(434,样本到样信息汇总统计!$Y$2:$Y$500,0)),"")</f>
        <v/>
      </c>
    </row>
    <row r="436" ht="14.5" spans="1:23">
      <c r="A436" s="4" t="str">
        <f>IFERROR(INDEX(样本到样信息汇总统计!A$2:A$500,MATCH(435,样本到样信息汇总统计!$Y$2:$Y$500,0)),"")</f>
        <v/>
      </c>
      <c r="B436" s="4" t="str">
        <f>IFERROR(INDEX(样本到样信息汇总统计!B$2:B$500,MATCH(435,样本到样信息汇总统计!$Y$2:$Y$500,0)),"")</f>
        <v/>
      </c>
      <c r="C436" s="4" t="str">
        <f>IFERROR(INDEX(样本到样信息汇总统计!C$2:C$500,MATCH(435,样本到样信息汇总统计!$Y$2:$Y$500,0)),"")</f>
        <v/>
      </c>
      <c r="D436" s="4" t="str">
        <f>IFERROR(INDEX(样本到样信息汇总统计!D$2:D$500,MATCH(435,样本到样信息汇总统计!$Y$2:$Y$500,0)),"")</f>
        <v/>
      </c>
      <c r="E436" s="4" t="str">
        <f>IFERROR(INDEX(样本到样信息汇总统计!E$2:E$500,MATCH(435,样本到样信息汇总统计!$Y$2:$Y$500,0)),"")</f>
        <v/>
      </c>
      <c r="F436" s="4" t="str">
        <f>IFERROR(INDEX(样本到样信息汇总统计!F$2:F$500,MATCH(435,样本到样信息汇总统计!$Y$2:$Y$500,0)),"")</f>
        <v/>
      </c>
      <c r="G436" s="4" t="str">
        <f>IFERROR(INDEX(样本到样信息汇总统计!G$2:G$500,MATCH(435,样本到样信息汇总统计!$Y$2:$Y$500,0)),"")</f>
        <v/>
      </c>
      <c r="H436" s="4" t="str">
        <f>IFERROR(INDEX(样本到样信息汇总统计!H$2:H$500,MATCH(435,样本到样信息汇总统计!$Y$2:$Y$500,0)),"")</f>
        <v/>
      </c>
      <c r="I436" s="4" t="str">
        <f>IFERROR(INDEX(样本到样信息汇总统计!I$2:I$500,MATCH(435,样本到样信息汇总统计!$Y$2:$Y$500,0)),"")</f>
        <v/>
      </c>
      <c r="J436" s="4" t="str">
        <f>IFERROR(INDEX(样本到样信息汇总统计!J$2:J$500,MATCH(435,样本到样信息汇总统计!$Y$2:$Y$500,0)),"")</f>
        <v/>
      </c>
      <c r="K436" s="4" t="str">
        <f>IFERROR(INDEX(样本到样信息汇总统计!K$2:K$500,MATCH(435,样本到样信息汇总统计!$Y$2:$Y$500,0)),"")</f>
        <v/>
      </c>
      <c r="L436" s="4" t="str">
        <f>IFERROR(INDEX(样本到样信息汇总统计!L$2:L$500,MATCH(435,样本到样信息汇总统计!$Y$2:$Y$500,0)),"")</f>
        <v/>
      </c>
      <c r="M436" s="4" t="str">
        <f>IFERROR(INDEX(样本到样信息汇总统计!M$2:M$500,MATCH(435,样本到样信息汇总统计!$Y$2:$Y$500,0)),"")</f>
        <v/>
      </c>
      <c r="N436" s="4" t="str">
        <f>IFERROR(INDEX(样本到样信息汇总统计!N$2:N$500,MATCH(435,样本到样信息汇总统计!$Y$2:$Y$500,0)),"")</f>
        <v/>
      </c>
      <c r="O436" s="4" t="str">
        <f>IFERROR(INDEX(样本到样信息汇总统计!O$2:O$500,MATCH(435,样本到样信息汇总统计!$Y$2:$Y$500,0)),"")</f>
        <v/>
      </c>
      <c r="P436" s="4" t="str">
        <f>IFERROR(INDEX(样本到样信息汇总统计!P$2:P$500,MATCH(435,样本到样信息汇总统计!$Y$2:$Y$500,0)),"")</f>
        <v/>
      </c>
      <c r="Q436" s="4" t="str">
        <f>IFERROR(INDEX(样本到样信息汇总统计!Q$2:Q$500,MATCH(435,样本到样信息汇总统计!$Y$2:$Y$500,0)),"")</f>
        <v/>
      </c>
      <c r="R436" s="4" t="str">
        <f>IFERROR(INDEX(样本到样信息汇总统计!R$2:R$500,MATCH(435,样本到样信息汇总统计!$Y$2:$Y$500,0)),"")</f>
        <v/>
      </c>
      <c r="S436" s="4" t="str">
        <f>IFERROR(INDEX(样本到样信息汇总统计!S$2:S$500,MATCH(435,样本到样信息汇总统计!$Y$2:$Y$500,0)),"")</f>
        <v/>
      </c>
      <c r="T436" s="4" t="str">
        <f>IFERROR(INDEX(样本到样信息汇总统计!T$2:T$500,MATCH(435,样本到样信息汇总统计!$Y$2:$Y$500,0)),"")</f>
        <v/>
      </c>
      <c r="U436" s="4" t="str">
        <f>IFERROR(INDEX(样本到样信息汇总统计!U$2:U$500,MATCH(435,样本到样信息汇总统计!$Y$2:$Y$500,0)),"")</f>
        <v/>
      </c>
      <c r="V436" s="4" t="str">
        <f>IFERROR(INDEX(样本到样信息汇总统计!V$2:V$500,MATCH(435,样本到样信息汇总统计!$Y$2:$Y$500,0)),"")</f>
        <v/>
      </c>
      <c r="W436" s="4" t="str">
        <f>IFERROR(INDEX(样本到样信息汇总统计!W$2:W$500,MATCH(435,样本到样信息汇总统计!$Y$2:$Y$500,0)),"")</f>
        <v/>
      </c>
    </row>
    <row r="437" ht="14.5" spans="1:23">
      <c r="A437" s="8" t="str">
        <f>IFERROR(INDEX(样本到样信息汇总统计!A$2:A$500,MATCH(436,样本到样信息汇总统计!$Y$2:$Y$500,0)),"")</f>
        <v/>
      </c>
      <c r="B437" s="8" t="str">
        <f>IFERROR(INDEX(样本到样信息汇总统计!B$2:B$500,MATCH(436,样本到样信息汇总统计!$Y$2:$Y$500,0)),"")</f>
        <v/>
      </c>
      <c r="C437" s="8" t="str">
        <f>IFERROR(INDEX(样本到样信息汇总统计!C$2:C$500,MATCH(436,样本到样信息汇总统计!$Y$2:$Y$500,0)),"")</f>
        <v/>
      </c>
      <c r="D437" s="8" t="str">
        <f>IFERROR(INDEX(样本到样信息汇总统计!D$2:D$500,MATCH(436,样本到样信息汇总统计!$Y$2:$Y$500,0)),"")</f>
        <v/>
      </c>
      <c r="E437" s="8" t="str">
        <f>IFERROR(INDEX(样本到样信息汇总统计!E$2:E$500,MATCH(436,样本到样信息汇总统计!$Y$2:$Y$500,0)),"")</f>
        <v/>
      </c>
      <c r="F437" s="8" t="str">
        <f>IFERROR(INDEX(样本到样信息汇总统计!F$2:F$500,MATCH(436,样本到样信息汇总统计!$Y$2:$Y$500,0)),"")</f>
        <v/>
      </c>
      <c r="G437" s="8" t="str">
        <f>IFERROR(INDEX(样本到样信息汇总统计!G$2:G$500,MATCH(436,样本到样信息汇总统计!$Y$2:$Y$500,0)),"")</f>
        <v/>
      </c>
      <c r="H437" s="8" t="str">
        <f>IFERROR(INDEX(样本到样信息汇总统计!H$2:H$500,MATCH(436,样本到样信息汇总统计!$Y$2:$Y$500,0)),"")</f>
        <v/>
      </c>
      <c r="I437" s="8" t="str">
        <f>IFERROR(INDEX(样本到样信息汇总统计!I$2:I$500,MATCH(436,样本到样信息汇总统计!$Y$2:$Y$500,0)),"")</f>
        <v/>
      </c>
      <c r="J437" s="8" t="str">
        <f>IFERROR(INDEX(样本到样信息汇总统计!J$2:J$500,MATCH(436,样本到样信息汇总统计!$Y$2:$Y$500,0)),"")</f>
        <v/>
      </c>
      <c r="K437" s="8" t="str">
        <f>IFERROR(INDEX(样本到样信息汇总统计!K$2:K$500,MATCH(436,样本到样信息汇总统计!$Y$2:$Y$500,0)),"")</f>
        <v/>
      </c>
      <c r="L437" s="8" t="str">
        <f>IFERROR(INDEX(样本到样信息汇总统计!L$2:L$500,MATCH(436,样本到样信息汇总统计!$Y$2:$Y$500,0)),"")</f>
        <v/>
      </c>
      <c r="M437" s="8" t="str">
        <f>IFERROR(INDEX(样本到样信息汇总统计!M$2:M$500,MATCH(436,样本到样信息汇总统计!$Y$2:$Y$500,0)),"")</f>
        <v/>
      </c>
      <c r="N437" s="8" t="str">
        <f>IFERROR(INDEX(样本到样信息汇总统计!N$2:N$500,MATCH(436,样本到样信息汇总统计!$Y$2:$Y$500,0)),"")</f>
        <v/>
      </c>
      <c r="O437" s="8" t="str">
        <f>IFERROR(INDEX(样本到样信息汇总统计!O$2:O$500,MATCH(436,样本到样信息汇总统计!$Y$2:$Y$500,0)),"")</f>
        <v/>
      </c>
      <c r="P437" s="8" t="str">
        <f>IFERROR(INDEX(样本到样信息汇总统计!P$2:P$500,MATCH(436,样本到样信息汇总统计!$Y$2:$Y$500,0)),"")</f>
        <v/>
      </c>
      <c r="Q437" s="8" t="str">
        <f>IFERROR(INDEX(样本到样信息汇总统计!Q$2:Q$500,MATCH(436,样本到样信息汇总统计!$Y$2:$Y$500,0)),"")</f>
        <v/>
      </c>
      <c r="R437" s="8" t="str">
        <f>IFERROR(INDEX(样本到样信息汇总统计!R$2:R$500,MATCH(436,样本到样信息汇总统计!$Y$2:$Y$500,0)),"")</f>
        <v/>
      </c>
      <c r="S437" s="8" t="str">
        <f>IFERROR(INDEX(样本到样信息汇总统计!S$2:S$500,MATCH(436,样本到样信息汇总统计!$Y$2:$Y$500,0)),"")</f>
        <v/>
      </c>
      <c r="T437" s="8" t="str">
        <f>IFERROR(INDEX(样本到样信息汇总统计!T$2:T$500,MATCH(436,样本到样信息汇总统计!$Y$2:$Y$500,0)),"")</f>
        <v/>
      </c>
      <c r="U437" s="8" t="str">
        <f>IFERROR(INDEX(样本到样信息汇总统计!U$2:U$500,MATCH(436,样本到样信息汇总统计!$Y$2:$Y$500,0)),"")</f>
        <v/>
      </c>
      <c r="V437" s="8" t="str">
        <f>IFERROR(INDEX(样本到样信息汇总统计!V$2:V$500,MATCH(436,样本到样信息汇总统计!$Y$2:$Y$500,0)),"")</f>
        <v/>
      </c>
      <c r="W437" s="8" t="str">
        <f>IFERROR(INDEX(样本到样信息汇总统计!W$2:W$500,MATCH(436,样本到样信息汇总统计!$Y$2:$Y$500,0)),"")</f>
        <v/>
      </c>
    </row>
    <row r="438" ht="14.5" spans="1:23">
      <c r="A438" s="4" t="str">
        <f>IFERROR(INDEX(样本到样信息汇总统计!A$2:A$500,MATCH(437,样本到样信息汇总统计!$Y$2:$Y$500,0)),"")</f>
        <v/>
      </c>
      <c r="B438" s="4" t="str">
        <f>IFERROR(INDEX(样本到样信息汇总统计!B$2:B$500,MATCH(437,样本到样信息汇总统计!$Y$2:$Y$500,0)),"")</f>
        <v/>
      </c>
      <c r="C438" s="4" t="str">
        <f>IFERROR(INDEX(样本到样信息汇总统计!C$2:C$500,MATCH(437,样本到样信息汇总统计!$Y$2:$Y$500,0)),"")</f>
        <v/>
      </c>
      <c r="D438" s="4" t="str">
        <f>IFERROR(INDEX(样本到样信息汇总统计!D$2:D$500,MATCH(437,样本到样信息汇总统计!$Y$2:$Y$500,0)),"")</f>
        <v/>
      </c>
      <c r="E438" s="4" t="str">
        <f>IFERROR(INDEX(样本到样信息汇总统计!E$2:E$500,MATCH(437,样本到样信息汇总统计!$Y$2:$Y$500,0)),"")</f>
        <v/>
      </c>
      <c r="F438" s="4" t="str">
        <f>IFERROR(INDEX(样本到样信息汇总统计!F$2:F$500,MATCH(437,样本到样信息汇总统计!$Y$2:$Y$500,0)),"")</f>
        <v/>
      </c>
      <c r="G438" s="4" t="str">
        <f>IFERROR(INDEX(样本到样信息汇总统计!G$2:G$500,MATCH(437,样本到样信息汇总统计!$Y$2:$Y$500,0)),"")</f>
        <v/>
      </c>
      <c r="H438" s="4" t="str">
        <f>IFERROR(INDEX(样本到样信息汇总统计!H$2:H$500,MATCH(437,样本到样信息汇总统计!$Y$2:$Y$500,0)),"")</f>
        <v/>
      </c>
      <c r="I438" s="4" t="str">
        <f>IFERROR(INDEX(样本到样信息汇总统计!I$2:I$500,MATCH(437,样本到样信息汇总统计!$Y$2:$Y$500,0)),"")</f>
        <v/>
      </c>
      <c r="J438" s="4" t="str">
        <f>IFERROR(INDEX(样本到样信息汇总统计!J$2:J$500,MATCH(437,样本到样信息汇总统计!$Y$2:$Y$500,0)),"")</f>
        <v/>
      </c>
      <c r="K438" s="4" t="str">
        <f>IFERROR(INDEX(样本到样信息汇总统计!K$2:K$500,MATCH(437,样本到样信息汇总统计!$Y$2:$Y$500,0)),"")</f>
        <v/>
      </c>
      <c r="L438" s="4" t="str">
        <f>IFERROR(INDEX(样本到样信息汇总统计!L$2:L$500,MATCH(437,样本到样信息汇总统计!$Y$2:$Y$500,0)),"")</f>
        <v/>
      </c>
      <c r="M438" s="4" t="str">
        <f>IFERROR(INDEX(样本到样信息汇总统计!M$2:M$500,MATCH(437,样本到样信息汇总统计!$Y$2:$Y$500,0)),"")</f>
        <v/>
      </c>
      <c r="N438" s="4" t="str">
        <f>IFERROR(INDEX(样本到样信息汇总统计!N$2:N$500,MATCH(437,样本到样信息汇总统计!$Y$2:$Y$500,0)),"")</f>
        <v/>
      </c>
      <c r="O438" s="4" t="str">
        <f>IFERROR(INDEX(样本到样信息汇总统计!O$2:O$500,MATCH(437,样本到样信息汇总统计!$Y$2:$Y$500,0)),"")</f>
        <v/>
      </c>
      <c r="P438" s="4" t="str">
        <f>IFERROR(INDEX(样本到样信息汇总统计!P$2:P$500,MATCH(437,样本到样信息汇总统计!$Y$2:$Y$500,0)),"")</f>
        <v/>
      </c>
      <c r="Q438" s="4" t="str">
        <f>IFERROR(INDEX(样本到样信息汇总统计!Q$2:Q$500,MATCH(437,样本到样信息汇总统计!$Y$2:$Y$500,0)),"")</f>
        <v/>
      </c>
      <c r="R438" s="4" t="str">
        <f>IFERROR(INDEX(样本到样信息汇总统计!R$2:R$500,MATCH(437,样本到样信息汇总统计!$Y$2:$Y$500,0)),"")</f>
        <v/>
      </c>
      <c r="S438" s="4" t="str">
        <f>IFERROR(INDEX(样本到样信息汇总统计!S$2:S$500,MATCH(437,样本到样信息汇总统计!$Y$2:$Y$500,0)),"")</f>
        <v/>
      </c>
      <c r="T438" s="4" t="str">
        <f>IFERROR(INDEX(样本到样信息汇总统计!T$2:T$500,MATCH(437,样本到样信息汇总统计!$Y$2:$Y$500,0)),"")</f>
        <v/>
      </c>
      <c r="U438" s="4" t="str">
        <f>IFERROR(INDEX(样本到样信息汇总统计!U$2:U$500,MATCH(437,样本到样信息汇总统计!$Y$2:$Y$500,0)),"")</f>
        <v/>
      </c>
      <c r="V438" s="4" t="str">
        <f>IFERROR(INDEX(样本到样信息汇总统计!V$2:V$500,MATCH(437,样本到样信息汇总统计!$Y$2:$Y$500,0)),"")</f>
        <v/>
      </c>
      <c r="W438" s="4" t="str">
        <f>IFERROR(INDEX(样本到样信息汇总统计!W$2:W$500,MATCH(437,样本到样信息汇总统计!$Y$2:$Y$500,0)),"")</f>
        <v/>
      </c>
    </row>
    <row r="439" ht="14.5" spans="1:23">
      <c r="A439" s="8" t="str">
        <f>IFERROR(INDEX(样本到样信息汇总统计!A$2:A$500,MATCH(438,样本到样信息汇总统计!$Y$2:$Y$500,0)),"")</f>
        <v/>
      </c>
      <c r="B439" s="8" t="str">
        <f>IFERROR(INDEX(样本到样信息汇总统计!B$2:B$500,MATCH(438,样本到样信息汇总统计!$Y$2:$Y$500,0)),"")</f>
        <v/>
      </c>
      <c r="C439" s="8" t="str">
        <f>IFERROR(INDEX(样本到样信息汇总统计!C$2:C$500,MATCH(438,样本到样信息汇总统计!$Y$2:$Y$500,0)),"")</f>
        <v/>
      </c>
      <c r="D439" s="8" t="str">
        <f>IFERROR(INDEX(样本到样信息汇总统计!D$2:D$500,MATCH(438,样本到样信息汇总统计!$Y$2:$Y$500,0)),"")</f>
        <v/>
      </c>
      <c r="E439" s="8" t="str">
        <f>IFERROR(INDEX(样本到样信息汇总统计!E$2:E$500,MATCH(438,样本到样信息汇总统计!$Y$2:$Y$500,0)),"")</f>
        <v/>
      </c>
      <c r="F439" s="8" t="str">
        <f>IFERROR(INDEX(样本到样信息汇总统计!F$2:F$500,MATCH(438,样本到样信息汇总统计!$Y$2:$Y$500,0)),"")</f>
        <v/>
      </c>
      <c r="G439" s="8" t="str">
        <f>IFERROR(INDEX(样本到样信息汇总统计!G$2:G$500,MATCH(438,样本到样信息汇总统计!$Y$2:$Y$500,0)),"")</f>
        <v/>
      </c>
      <c r="H439" s="8" t="str">
        <f>IFERROR(INDEX(样本到样信息汇总统计!H$2:H$500,MATCH(438,样本到样信息汇总统计!$Y$2:$Y$500,0)),"")</f>
        <v/>
      </c>
      <c r="I439" s="8" t="str">
        <f>IFERROR(INDEX(样本到样信息汇总统计!I$2:I$500,MATCH(438,样本到样信息汇总统计!$Y$2:$Y$500,0)),"")</f>
        <v/>
      </c>
      <c r="J439" s="8" t="str">
        <f>IFERROR(INDEX(样本到样信息汇总统计!J$2:J$500,MATCH(438,样本到样信息汇总统计!$Y$2:$Y$500,0)),"")</f>
        <v/>
      </c>
      <c r="K439" s="8" t="str">
        <f>IFERROR(INDEX(样本到样信息汇总统计!K$2:K$500,MATCH(438,样本到样信息汇总统计!$Y$2:$Y$500,0)),"")</f>
        <v/>
      </c>
      <c r="L439" s="8" t="str">
        <f>IFERROR(INDEX(样本到样信息汇总统计!L$2:L$500,MATCH(438,样本到样信息汇总统计!$Y$2:$Y$500,0)),"")</f>
        <v/>
      </c>
      <c r="M439" s="8" t="str">
        <f>IFERROR(INDEX(样本到样信息汇总统计!M$2:M$500,MATCH(438,样本到样信息汇总统计!$Y$2:$Y$500,0)),"")</f>
        <v/>
      </c>
      <c r="N439" s="8" t="str">
        <f>IFERROR(INDEX(样本到样信息汇总统计!N$2:N$500,MATCH(438,样本到样信息汇总统计!$Y$2:$Y$500,0)),"")</f>
        <v/>
      </c>
      <c r="O439" s="8" t="str">
        <f>IFERROR(INDEX(样本到样信息汇总统计!O$2:O$500,MATCH(438,样本到样信息汇总统计!$Y$2:$Y$500,0)),"")</f>
        <v/>
      </c>
      <c r="P439" s="8" t="str">
        <f>IFERROR(INDEX(样本到样信息汇总统计!P$2:P$500,MATCH(438,样本到样信息汇总统计!$Y$2:$Y$500,0)),"")</f>
        <v/>
      </c>
      <c r="Q439" s="8" t="str">
        <f>IFERROR(INDEX(样本到样信息汇总统计!Q$2:Q$500,MATCH(438,样本到样信息汇总统计!$Y$2:$Y$500,0)),"")</f>
        <v/>
      </c>
      <c r="R439" s="8" t="str">
        <f>IFERROR(INDEX(样本到样信息汇总统计!R$2:R$500,MATCH(438,样本到样信息汇总统计!$Y$2:$Y$500,0)),"")</f>
        <v/>
      </c>
      <c r="S439" s="8" t="str">
        <f>IFERROR(INDEX(样本到样信息汇总统计!S$2:S$500,MATCH(438,样本到样信息汇总统计!$Y$2:$Y$500,0)),"")</f>
        <v/>
      </c>
      <c r="T439" s="8" t="str">
        <f>IFERROR(INDEX(样本到样信息汇总统计!T$2:T$500,MATCH(438,样本到样信息汇总统计!$Y$2:$Y$500,0)),"")</f>
        <v/>
      </c>
      <c r="U439" s="8" t="str">
        <f>IFERROR(INDEX(样本到样信息汇总统计!U$2:U$500,MATCH(438,样本到样信息汇总统计!$Y$2:$Y$500,0)),"")</f>
        <v/>
      </c>
      <c r="V439" s="8" t="str">
        <f>IFERROR(INDEX(样本到样信息汇总统计!V$2:V$500,MATCH(438,样本到样信息汇总统计!$Y$2:$Y$500,0)),"")</f>
        <v/>
      </c>
      <c r="W439" s="8" t="str">
        <f>IFERROR(INDEX(样本到样信息汇总统计!W$2:W$500,MATCH(438,样本到样信息汇总统计!$Y$2:$Y$500,0)),"")</f>
        <v/>
      </c>
    </row>
    <row r="440" ht="14.5" spans="1:23">
      <c r="A440" s="4" t="str">
        <f>IFERROR(INDEX(样本到样信息汇总统计!A$2:A$500,MATCH(439,样本到样信息汇总统计!$Y$2:$Y$500,0)),"")</f>
        <v/>
      </c>
      <c r="B440" s="4" t="str">
        <f>IFERROR(INDEX(样本到样信息汇总统计!B$2:B$500,MATCH(439,样本到样信息汇总统计!$Y$2:$Y$500,0)),"")</f>
        <v/>
      </c>
      <c r="C440" s="4" t="str">
        <f>IFERROR(INDEX(样本到样信息汇总统计!C$2:C$500,MATCH(439,样本到样信息汇总统计!$Y$2:$Y$500,0)),"")</f>
        <v/>
      </c>
      <c r="D440" s="4" t="str">
        <f>IFERROR(INDEX(样本到样信息汇总统计!D$2:D$500,MATCH(439,样本到样信息汇总统计!$Y$2:$Y$500,0)),"")</f>
        <v/>
      </c>
      <c r="E440" s="4" t="str">
        <f>IFERROR(INDEX(样本到样信息汇总统计!E$2:E$500,MATCH(439,样本到样信息汇总统计!$Y$2:$Y$500,0)),"")</f>
        <v/>
      </c>
      <c r="F440" s="4" t="str">
        <f>IFERROR(INDEX(样本到样信息汇总统计!F$2:F$500,MATCH(439,样本到样信息汇总统计!$Y$2:$Y$500,0)),"")</f>
        <v/>
      </c>
      <c r="G440" s="4" t="str">
        <f>IFERROR(INDEX(样本到样信息汇总统计!G$2:G$500,MATCH(439,样本到样信息汇总统计!$Y$2:$Y$500,0)),"")</f>
        <v/>
      </c>
      <c r="H440" s="4" t="str">
        <f>IFERROR(INDEX(样本到样信息汇总统计!H$2:H$500,MATCH(439,样本到样信息汇总统计!$Y$2:$Y$500,0)),"")</f>
        <v/>
      </c>
      <c r="I440" s="4" t="str">
        <f>IFERROR(INDEX(样本到样信息汇总统计!I$2:I$500,MATCH(439,样本到样信息汇总统计!$Y$2:$Y$500,0)),"")</f>
        <v/>
      </c>
      <c r="J440" s="4" t="str">
        <f>IFERROR(INDEX(样本到样信息汇总统计!J$2:J$500,MATCH(439,样本到样信息汇总统计!$Y$2:$Y$500,0)),"")</f>
        <v/>
      </c>
      <c r="K440" s="4" t="str">
        <f>IFERROR(INDEX(样本到样信息汇总统计!K$2:K$500,MATCH(439,样本到样信息汇总统计!$Y$2:$Y$500,0)),"")</f>
        <v/>
      </c>
      <c r="L440" s="4" t="str">
        <f>IFERROR(INDEX(样本到样信息汇总统计!L$2:L$500,MATCH(439,样本到样信息汇总统计!$Y$2:$Y$500,0)),"")</f>
        <v/>
      </c>
      <c r="M440" s="4" t="str">
        <f>IFERROR(INDEX(样本到样信息汇总统计!M$2:M$500,MATCH(439,样本到样信息汇总统计!$Y$2:$Y$500,0)),"")</f>
        <v/>
      </c>
      <c r="N440" s="4" t="str">
        <f>IFERROR(INDEX(样本到样信息汇总统计!N$2:N$500,MATCH(439,样本到样信息汇总统计!$Y$2:$Y$500,0)),"")</f>
        <v/>
      </c>
      <c r="O440" s="4" t="str">
        <f>IFERROR(INDEX(样本到样信息汇总统计!O$2:O$500,MATCH(439,样本到样信息汇总统计!$Y$2:$Y$500,0)),"")</f>
        <v/>
      </c>
      <c r="P440" s="4" t="str">
        <f>IFERROR(INDEX(样本到样信息汇总统计!P$2:P$500,MATCH(439,样本到样信息汇总统计!$Y$2:$Y$500,0)),"")</f>
        <v/>
      </c>
      <c r="Q440" s="4" t="str">
        <f>IFERROR(INDEX(样本到样信息汇总统计!Q$2:Q$500,MATCH(439,样本到样信息汇总统计!$Y$2:$Y$500,0)),"")</f>
        <v/>
      </c>
      <c r="R440" s="4" t="str">
        <f>IFERROR(INDEX(样本到样信息汇总统计!R$2:R$500,MATCH(439,样本到样信息汇总统计!$Y$2:$Y$500,0)),"")</f>
        <v/>
      </c>
      <c r="S440" s="4" t="str">
        <f>IFERROR(INDEX(样本到样信息汇总统计!S$2:S$500,MATCH(439,样本到样信息汇总统计!$Y$2:$Y$500,0)),"")</f>
        <v/>
      </c>
      <c r="T440" s="4" t="str">
        <f>IFERROR(INDEX(样本到样信息汇总统计!T$2:T$500,MATCH(439,样本到样信息汇总统计!$Y$2:$Y$500,0)),"")</f>
        <v/>
      </c>
      <c r="U440" s="4" t="str">
        <f>IFERROR(INDEX(样本到样信息汇总统计!U$2:U$500,MATCH(439,样本到样信息汇总统计!$Y$2:$Y$500,0)),"")</f>
        <v/>
      </c>
      <c r="V440" s="4" t="str">
        <f>IFERROR(INDEX(样本到样信息汇总统计!V$2:V$500,MATCH(439,样本到样信息汇总统计!$Y$2:$Y$500,0)),"")</f>
        <v/>
      </c>
      <c r="W440" s="4" t="str">
        <f>IFERROR(INDEX(样本到样信息汇总统计!W$2:W$500,MATCH(439,样本到样信息汇总统计!$Y$2:$Y$500,0)),"")</f>
        <v/>
      </c>
    </row>
    <row r="441" ht="14.5" spans="1:23">
      <c r="A441" s="8" t="str">
        <f>IFERROR(INDEX(样本到样信息汇总统计!A$2:A$500,MATCH(440,样本到样信息汇总统计!$Y$2:$Y$500,0)),"")</f>
        <v/>
      </c>
      <c r="B441" s="8" t="str">
        <f>IFERROR(INDEX(样本到样信息汇总统计!B$2:B$500,MATCH(440,样本到样信息汇总统计!$Y$2:$Y$500,0)),"")</f>
        <v/>
      </c>
      <c r="C441" s="8" t="str">
        <f>IFERROR(INDEX(样本到样信息汇总统计!C$2:C$500,MATCH(440,样本到样信息汇总统计!$Y$2:$Y$500,0)),"")</f>
        <v/>
      </c>
      <c r="D441" s="8" t="str">
        <f>IFERROR(INDEX(样本到样信息汇总统计!D$2:D$500,MATCH(440,样本到样信息汇总统计!$Y$2:$Y$500,0)),"")</f>
        <v/>
      </c>
      <c r="E441" s="8" t="str">
        <f>IFERROR(INDEX(样本到样信息汇总统计!E$2:E$500,MATCH(440,样本到样信息汇总统计!$Y$2:$Y$500,0)),"")</f>
        <v/>
      </c>
      <c r="F441" s="8" t="str">
        <f>IFERROR(INDEX(样本到样信息汇总统计!F$2:F$500,MATCH(440,样本到样信息汇总统计!$Y$2:$Y$500,0)),"")</f>
        <v/>
      </c>
      <c r="G441" s="8" t="str">
        <f>IFERROR(INDEX(样本到样信息汇总统计!G$2:G$500,MATCH(440,样本到样信息汇总统计!$Y$2:$Y$500,0)),"")</f>
        <v/>
      </c>
      <c r="H441" s="8" t="str">
        <f>IFERROR(INDEX(样本到样信息汇总统计!H$2:H$500,MATCH(440,样本到样信息汇总统计!$Y$2:$Y$500,0)),"")</f>
        <v/>
      </c>
      <c r="I441" s="8" t="str">
        <f>IFERROR(INDEX(样本到样信息汇总统计!I$2:I$500,MATCH(440,样本到样信息汇总统计!$Y$2:$Y$500,0)),"")</f>
        <v/>
      </c>
      <c r="J441" s="8" t="str">
        <f>IFERROR(INDEX(样本到样信息汇总统计!J$2:J$500,MATCH(440,样本到样信息汇总统计!$Y$2:$Y$500,0)),"")</f>
        <v/>
      </c>
      <c r="K441" s="8" t="str">
        <f>IFERROR(INDEX(样本到样信息汇总统计!K$2:K$500,MATCH(440,样本到样信息汇总统计!$Y$2:$Y$500,0)),"")</f>
        <v/>
      </c>
      <c r="L441" s="8" t="str">
        <f>IFERROR(INDEX(样本到样信息汇总统计!L$2:L$500,MATCH(440,样本到样信息汇总统计!$Y$2:$Y$500,0)),"")</f>
        <v/>
      </c>
      <c r="M441" s="8" t="str">
        <f>IFERROR(INDEX(样本到样信息汇总统计!M$2:M$500,MATCH(440,样本到样信息汇总统计!$Y$2:$Y$500,0)),"")</f>
        <v/>
      </c>
      <c r="N441" s="8" t="str">
        <f>IFERROR(INDEX(样本到样信息汇总统计!N$2:N$500,MATCH(440,样本到样信息汇总统计!$Y$2:$Y$500,0)),"")</f>
        <v/>
      </c>
      <c r="O441" s="8" t="str">
        <f>IFERROR(INDEX(样本到样信息汇总统计!O$2:O$500,MATCH(440,样本到样信息汇总统计!$Y$2:$Y$500,0)),"")</f>
        <v/>
      </c>
      <c r="P441" s="8" t="str">
        <f>IFERROR(INDEX(样本到样信息汇总统计!P$2:P$500,MATCH(440,样本到样信息汇总统计!$Y$2:$Y$500,0)),"")</f>
        <v/>
      </c>
      <c r="Q441" s="8" t="str">
        <f>IFERROR(INDEX(样本到样信息汇总统计!Q$2:Q$500,MATCH(440,样本到样信息汇总统计!$Y$2:$Y$500,0)),"")</f>
        <v/>
      </c>
      <c r="R441" s="8" t="str">
        <f>IFERROR(INDEX(样本到样信息汇总统计!R$2:R$500,MATCH(440,样本到样信息汇总统计!$Y$2:$Y$500,0)),"")</f>
        <v/>
      </c>
      <c r="S441" s="8" t="str">
        <f>IFERROR(INDEX(样本到样信息汇总统计!S$2:S$500,MATCH(440,样本到样信息汇总统计!$Y$2:$Y$500,0)),"")</f>
        <v/>
      </c>
      <c r="T441" s="8" t="str">
        <f>IFERROR(INDEX(样本到样信息汇总统计!T$2:T$500,MATCH(440,样本到样信息汇总统计!$Y$2:$Y$500,0)),"")</f>
        <v/>
      </c>
      <c r="U441" s="8" t="str">
        <f>IFERROR(INDEX(样本到样信息汇总统计!U$2:U$500,MATCH(440,样本到样信息汇总统计!$Y$2:$Y$500,0)),"")</f>
        <v/>
      </c>
      <c r="V441" s="8" t="str">
        <f>IFERROR(INDEX(样本到样信息汇总统计!V$2:V$500,MATCH(440,样本到样信息汇总统计!$Y$2:$Y$500,0)),"")</f>
        <v/>
      </c>
      <c r="W441" s="8" t="str">
        <f>IFERROR(INDEX(样本到样信息汇总统计!W$2:W$500,MATCH(440,样本到样信息汇总统计!$Y$2:$Y$500,0)),"")</f>
        <v/>
      </c>
    </row>
    <row r="442" ht="14.5" spans="1:23">
      <c r="A442" s="4" t="str">
        <f>IFERROR(INDEX(样本到样信息汇总统计!A$2:A$500,MATCH(441,样本到样信息汇总统计!$Y$2:$Y$500,0)),"")</f>
        <v/>
      </c>
      <c r="B442" s="4" t="str">
        <f>IFERROR(INDEX(样本到样信息汇总统计!B$2:B$500,MATCH(441,样本到样信息汇总统计!$Y$2:$Y$500,0)),"")</f>
        <v/>
      </c>
      <c r="C442" s="4" t="str">
        <f>IFERROR(INDEX(样本到样信息汇总统计!C$2:C$500,MATCH(441,样本到样信息汇总统计!$Y$2:$Y$500,0)),"")</f>
        <v/>
      </c>
      <c r="D442" s="4" t="str">
        <f>IFERROR(INDEX(样本到样信息汇总统计!D$2:D$500,MATCH(441,样本到样信息汇总统计!$Y$2:$Y$500,0)),"")</f>
        <v/>
      </c>
      <c r="E442" s="4" t="str">
        <f>IFERROR(INDEX(样本到样信息汇总统计!E$2:E$500,MATCH(441,样本到样信息汇总统计!$Y$2:$Y$500,0)),"")</f>
        <v/>
      </c>
      <c r="F442" s="4" t="str">
        <f>IFERROR(INDEX(样本到样信息汇总统计!F$2:F$500,MATCH(441,样本到样信息汇总统计!$Y$2:$Y$500,0)),"")</f>
        <v/>
      </c>
      <c r="G442" s="4" t="str">
        <f>IFERROR(INDEX(样本到样信息汇总统计!G$2:G$500,MATCH(441,样本到样信息汇总统计!$Y$2:$Y$500,0)),"")</f>
        <v/>
      </c>
      <c r="H442" s="4" t="str">
        <f>IFERROR(INDEX(样本到样信息汇总统计!H$2:H$500,MATCH(441,样本到样信息汇总统计!$Y$2:$Y$500,0)),"")</f>
        <v/>
      </c>
      <c r="I442" s="4" t="str">
        <f>IFERROR(INDEX(样本到样信息汇总统计!I$2:I$500,MATCH(441,样本到样信息汇总统计!$Y$2:$Y$500,0)),"")</f>
        <v/>
      </c>
      <c r="J442" s="4" t="str">
        <f>IFERROR(INDEX(样本到样信息汇总统计!J$2:J$500,MATCH(441,样本到样信息汇总统计!$Y$2:$Y$500,0)),"")</f>
        <v/>
      </c>
      <c r="K442" s="4" t="str">
        <f>IFERROR(INDEX(样本到样信息汇总统计!K$2:K$500,MATCH(441,样本到样信息汇总统计!$Y$2:$Y$500,0)),"")</f>
        <v/>
      </c>
      <c r="L442" s="4" t="str">
        <f>IFERROR(INDEX(样本到样信息汇总统计!L$2:L$500,MATCH(441,样本到样信息汇总统计!$Y$2:$Y$500,0)),"")</f>
        <v/>
      </c>
      <c r="M442" s="4" t="str">
        <f>IFERROR(INDEX(样本到样信息汇总统计!M$2:M$500,MATCH(441,样本到样信息汇总统计!$Y$2:$Y$500,0)),"")</f>
        <v/>
      </c>
      <c r="N442" s="4" t="str">
        <f>IFERROR(INDEX(样本到样信息汇总统计!N$2:N$500,MATCH(441,样本到样信息汇总统计!$Y$2:$Y$500,0)),"")</f>
        <v/>
      </c>
      <c r="O442" s="4" t="str">
        <f>IFERROR(INDEX(样本到样信息汇总统计!O$2:O$500,MATCH(441,样本到样信息汇总统计!$Y$2:$Y$500,0)),"")</f>
        <v/>
      </c>
      <c r="P442" s="4" t="str">
        <f>IFERROR(INDEX(样本到样信息汇总统计!P$2:P$500,MATCH(441,样本到样信息汇总统计!$Y$2:$Y$500,0)),"")</f>
        <v/>
      </c>
      <c r="Q442" s="4" t="str">
        <f>IFERROR(INDEX(样本到样信息汇总统计!Q$2:Q$500,MATCH(441,样本到样信息汇总统计!$Y$2:$Y$500,0)),"")</f>
        <v/>
      </c>
      <c r="R442" s="4" t="str">
        <f>IFERROR(INDEX(样本到样信息汇总统计!R$2:R$500,MATCH(441,样本到样信息汇总统计!$Y$2:$Y$500,0)),"")</f>
        <v/>
      </c>
      <c r="S442" s="4" t="str">
        <f>IFERROR(INDEX(样本到样信息汇总统计!S$2:S$500,MATCH(441,样本到样信息汇总统计!$Y$2:$Y$500,0)),"")</f>
        <v/>
      </c>
      <c r="T442" s="4" t="str">
        <f>IFERROR(INDEX(样本到样信息汇总统计!T$2:T$500,MATCH(441,样本到样信息汇总统计!$Y$2:$Y$500,0)),"")</f>
        <v/>
      </c>
      <c r="U442" s="4" t="str">
        <f>IFERROR(INDEX(样本到样信息汇总统计!U$2:U$500,MATCH(441,样本到样信息汇总统计!$Y$2:$Y$500,0)),"")</f>
        <v/>
      </c>
      <c r="V442" s="4" t="str">
        <f>IFERROR(INDEX(样本到样信息汇总统计!V$2:V$500,MATCH(441,样本到样信息汇总统计!$Y$2:$Y$500,0)),"")</f>
        <v/>
      </c>
      <c r="W442" s="4" t="str">
        <f>IFERROR(INDEX(样本到样信息汇总统计!W$2:W$500,MATCH(441,样本到样信息汇总统计!$Y$2:$Y$500,0)),"")</f>
        <v/>
      </c>
    </row>
    <row r="443" ht="14.5" spans="1:23">
      <c r="A443" s="8" t="str">
        <f>IFERROR(INDEX(样本到样信息汇总统计!A$2:A$500,MATCH(442,样本到样信息汇总统计!$Y$2:$Y$500,0)),"")</f>
        <v/>
      </c>
      <c r="B443" s="8" t="str">
        <f>IFERROR(INDEX(样本到样信息汇总统计!B$2:B$500,MATCH(442,样本到样信息汇总统计!$Y$2:$Y$500,0)),"")</f>
        <v/>
      </c>
      <c r="C443" s="8" t="str">
        <f>IFERROR(INDEX(样本到样信息汇总统计!C$2:C$500,MATCH(442,样本到样信息汇总统计!$Y$2:$Y$500,0)),"")</f>
        <v/>
      </c>
      <c r="D443" s="8" t="str">
        <f>IFERROR(INDEX(样本到样信息汇总统计!D$2:D$500,MATCH(442,样本到样信息汇总统计!$Y$2:$Y$500,0)),"")</f>
        <v/>
      </c>
      <c r="E443" s="8" t="str">
        <f>IFERROR(INDEX(样本到样信息汇总统计!E$2:E$500,MATCH(442,样本到样信息汇总统计!$Y$2:$Y$500,0)),"")</f>
        <v/>
      </c>
      <c r="F443" s="8" t="str">
        <f>IFERROR(INDEX(样本到样信息汇总统计!F$2:F$500,MATCH(442,样本到样信息汇总统计!$Y$2:$Y$500,0)),"")</f>
        <v/>
      </c>
      <c r="G443" s="8" t="str">
        <f>IFERROR(INDEX(样本到样信息汇总统计!G$2:G$500,MATCH(442,样本到样信息汇总统计!$Y$2:$Y$500,0)),"")</f>
        <v/>
      </c>
      <c r="H443" s="8" t="str">
        <f>IFERROR(INDEX(样本到样信息汇总统计!H$2:H$500,MATCH(442,样本到样信息汇总统计!$Y$2:$Y$500,0)),"")</f>
        <v/>
      </c>
      <c r="I443" s="8" t="str">
        <f>IFERROR(INDEX(样本到样信息汇总统计!I$2:I$500,MATCH(442,样本到样信息汇总统计!$Y$2:$Y$500,0)),"")</f>
        <v/>
      </c>
      <c r="J443" s="8" t="str">
        <f>IFERROR(INDEX(样本到样信息汇总统计!J$2:J$500,MATCH(442,样本到样信息汇总统计!$Y$2:$Y$500,0)),"")</f>
        <v/>
      </c>
      <c r="K443" s="8" t="str">
        <f>IFERROR(INDEX(样本到样信息汇总统计!K$2:K$500,MATCH(442,样本到样信息汇总统计!$Y$2:$Y$500,0)),"")</f>
        <v/>
      </c>
      <c r="L443" s="8" t="str">
        <f>IFERROR(INDEX(样本到样信息汇总统计!L$2:L$500,MATCH(442,样本到样信息汇总统计!$Y$2:$Y$500,0)),"")</f>
        <v/>
      </c>
      <c r="M443" s="8" t="str">
        <f>IFERROR(INDEX(样本到样信息汇总统计!M$2:M$500,MATCH(442,样本到样信息汇总统计!$Y$2:$Y$500,0)),"")</f>
        <v/>
      </c>
      <c r="N443" s="8" t="str">
        <f>IFERROR(INDEX(样本到样信息汇总统计!N$2:N$500,MATCH(442,样本到样信息汇总统计!$Y$2:$Y$500,0)),"")</f>
        <v/>
      </c>
      <c r="O443" s="8" t="str">
        <f>IFERROR(INDEX(样本到样信息汇总统计!O$2:O$500,MATCH(442,样本到样信息汇总统计!$Y$2:$Y$500,0)),"")</f>
        <v/>
      </c>
      <c r="P443" s="8" t="str">
        <f>IFERROR(INDEX(样本到样信息汇总统计!P$2:P$500,MATCH(442,样本到样信息汇总统计!$Y$2:$Y$500,0)),"")</f>
        <v/>
      </c>
      <c r="Q443" s="8" t="str">
        <f>IFERROR(INDEX(样本到样信息汇总统计!Q$2:Q$500,MATCH(442,样本到样信息汇总统计!$Y$2:$Y$500,0)),"")</f>
        <v/>
      </c>
      <c r="R443" s="8" t="str">
        <f>IFERROR(INDEX(样本到样信息汇总统计!R$2:R$500,MATCH(442,样本到样信息汇总统计!$Y$2:$Y$500,0)),"")</f>
        <v/>
      </c>
      <c r="S443" s="8" t="str">
        <f>IFERROR(INDEX(样本到样信息汇总统计!S$2:S$500,MATCH(442,样本到样信息汇总统计!$Y$2:$Y$500,0)),"")</f>
        <v/>
      </c>
      <c r="T443" s="8" t="str">
        <f>IFERROR(INDEX(样本到样信息汇总统计!T$2:T$500,MATCH(442,样本到样信息汇总统计!$Y$2:$Y$500,0)),"")</f>
        <v/>
      </c>
      <c r="U443" s="8" t="str">
        <f>IFERROR(INDEX(样本到样信息汇总统计!U$2:U$500,MATCH(442,样本到样信息汇总统计!$Y$2:$Y$500,0)),"")</f>
        <v/>
      </c>
      <c r="V443" s="8" t="str">
        <f>IFERROR(INDEX(样本到样信息汇总统计!V$2:V$500,MATCH(442,样本到样信息汇总统计!$Y$2:$Y$500,0)),"")</f>
        <v/>
      </c>
      <c r="W443" s="8" t="str">
        <f>IFERROR(INDEX(样本到样信息汇总统计!W$2:W$500,MATCH(442,样本到样信息汇总统计!$Y$2:$Y$500,0)),"")</f>
        <v/>
      </c>
    </row>
    <row r="444" ht="14.5" spans="1:23">
      <c r="A444" s="4" t="str">
        <f>IFERROR(INDEX(样本到样信息汇总统计!A$2:A$500,MATCH(443,样本到样信息汇总统计!$Y$2:$Y$500,0)),"")</f>
        <v/>
      </c>
      <c r="B444" s="4" t="str">
        <f>IFERROR(INDEX(样本到样信息汇总统计!B$2:B$500,MATCH(443,样本到样信息汇总统计!$Y$2:$Y$500,0)),"")</f>
        <v/>
      </c>
      <c r="C444" s="4" t="str">
        <f>IFERROR(INDEX(样本到样信息汇总统计!C$2:C$500,MATCH(443,样本到样信息汇总统计!$Y$2:$Y$500,0)),"")</f>
        <v/>
      </c>
      <c r="D444" s="4" t="str">
        <f>IFERROR(INDEX(样本到样信息汇总统计!D$2:D$500,MATCH(443,样本到样信息汇总统计!$Y$2:$Y$500,0)),"")</f>
        <v/>
      </c>
      <c r="E444" s="4" t="str">
        <f>IFERROR(INDEX(样本到样信息汇总统计!E$2:E$500,MATCH(443,样本到样信息汇总统计!$Y$2:$Y$500,0)),"")</f>
        <v/>
      </c>
      <c r="F444" s="4" t="str">
        <f>IFERROR(INDEX(样本到样信息汇总统计!F$2:F$500,MATCH(443,样本到样信息汇总统计!$Y$2:$Y$500,0)),"")</f>
        <v/>
      </c>
      <c r="G444" s="4" t="str">
        <f>IFERROR(INDEX(样本到样信息汇总统计!G$2:G$500,MATCH(443,样本到样信息汇总统计!$Y$2:$Y$500,0)),"")</f>
        <v/>
      </c>
      <c r="H444" s="4" t="str">
        <f>IFERROR(INDEX(样本到样信息汇总统计!H$2:H$500,MATCH(443,样本到样信息汇总统计!$Y$2:$Y$500,0)),"")</f>
        <v/>
      </c>
      <c r="I444" s="4" t="str">
        <f>IFERROR(INDEX(样本到样信息汇总统计!I$2:I$500,MATCH(443,样本到样信息汇总统计!$Y$2:$Y$500,0)),"")</f>
        <v/>
      </c>
      <c r="J444" s="4" t="str">
        <f>IFERROR(INDEX(样本到样信息汇总统计!J$2:J$500,MATCH(443,样本到样信息汇总统计!$Y$2:$Y$500,0)),"")</f>
        <v/>
      </c>
      <c r="K444" s="4" t="str">
        <f>IFERROR(INDEX(样本到样信息汇总统计!K$2:K$500,MATCH(443,样本到样信息汇总统计!$Y$2:$Y$500,0)),"")</f>
        <v/>
      </c>
      <c r="L444" s="4" t="str">
        <f>IFERROR(INDEX(样本到样信息汇总统计!L$2:L$500,MATCH(443,样本到样信息汇总统计!$Y$2:$Y$500,0)),"")</f>
        <v/>
      </c>
      <c r="M444" s="4" t="str">
        <f>IFERROR(INDEX(样本到样信息汇总统计!M$2:M$500,MATCH(443,样本到样信息汇总统计!$Y$2:$Y$500,0)),"")</f>
        <v/>
      </c>
      <c r="N444" s="4" t="str">
        <f>IFERROR(INDEX(样本到样信息汇总统计!N$2:N$500,MATCH(443,样本到样信息汇总统计!$Y$2:$Y$500,0)),"")</f>
        <v/>
      </c>
      <c r="O444" s="4" t="str">
        <f>IFERROR(INDEX(样本到样信息汇总统计!O$2:O$500,MATCH(443,样本到样信息汇总统计!$Y$2:$Y$500,0)),"")</f>
        <v/>
      </c>
      <c r="P444" s="4" t="str">
        <f>IFERROR(INDEX(样本到样信息汇总统计!P$2:P$500,MATCH(443,样本到样信息汇总统计!$Y$2:$Y$500,0)),"")</f>
        <v/>
      </c>
      <c r="Q444" s="4" t="str">
        <f>IFERROR(INDEX(样本到样信息汇总统计!Q$2:Q$500,MATCH(443,样本到样信息汇总统计!$Y$2:$Y$500,0)),"")</f>
        <v/>
      </c>
      <c r="R444" s="4" t="str">
        <f>IFERROR(INDEX(样本到样信息汇总统计!R$2:R$500,MATCH(443,样本到样信息汇总统计!$Y$2:$Y$500,0)),"")</f>
        <v/>
      </c>
      <c r="S444" s="4" t="str">
        <f>IFERROR(INDEX(样本到样信息汇总统计!S$2:S$500,MATCH(443,样本到样信息汇总统计!$Y$2:$Y$500,0)),"")</f>
        <v/>
      </c>
      <c r="T444" s="4" t="str">
        <f>IFERROR(INDEX(样本到样信息汇总统计!T$2:T$500,MATCH(443,样本到样信息汇总统计!$Y$2:$Y$500,0)),"")</f>
        <v/>
      </c>
      <c r="U444" s="4" t="str">
        <f>IFERROR(INDEX(样本到样信息汇总统计!U$2:U$500,MATCH(443,样本到样信息汇总统计!$Y$2:$Y$500,0)),"")</f>
        <v/>
      </c>
      <c r="V444" s="4" t="str">
        <f>IFERROR(INDEX(样本到样信息汇总统计!V$2:V$500,MATCH(443,样本到样信息汇总统计!$Y$2:$Y$500,0)),"")</f>
        <v/>
      </c>
      <c r="W444" s="4" t="str">
        <f>IFERROR(INDEX(样本到样信息汇总统计!W$2:W$500,MATCH(443,样本到样信息汇总统计!$Y$2:$Y$500,0)),"")</f>
        <v/>
      </c>
    </row>
    <row r="445" ht="14.5" spans="1:23">
      <c r="A445" s="8" t="str">
        <f>IFERROR(INDEX(样本到样信息汇总统计!A$2:A$500,MATCH(444,样本到样信息汇总统计!$Y$2:$Y$500,0)),"")</f>
        <v/>
      </c>
      <c r="B445" s="8" t="str">
        <f>IFERROR(INDEX(样本到样信息汇总统计!B$2:B$500,MATCH(444,样本到样信息汇总统计!$Y$2:$Y$500,0)),"")</f>
        <v/>
      </c>
      <c r="C445" s="8" t="str">
        <f>IFERROR(INDEX(样本到样信息汇总统计!C$2:C$500,MATCH(444,样本到样信息汇总统计!$Y$2:$Y$500,0)),"")</f>
        <v/>
      </c>
      <c r="D445" s="8" t="str">
        <f>IFERROR(INDEX(样本到样信息汇总统计!D$2:D$500,MATCH(444,样本到样信息汇总统计!$Y$2:$Y$500,0)),"")</f>
        <v/>
      </c>
      <c r="E445" s="8" t="str">
        <f>IFERROR(INDEX(样本到样信息汇总统计!E$2:E$500,MATCH(444,样本到样信息汇总统计!$Y$2:$Y$500,0)),"")</f>
        <v/>
      </c>
      <c r="F445" s="8" t="str">
        <f>IFERROR(INDEX(样本到样信息汇总统计!F$2:F$500,MATCH(444,样本到样信息汇总统计!$Y$2:$Y$500,0)),"")</f>
        <v/>
      </c>
      <c r="G445" s="8" t="str">
        <f>IFERROR(INDEX(样本到样信息汇总统计!G$2:G$500,MATCH(444,样本到样信息汇总统计!$Y$2:$Y$500,0)),"")</f>
        <v/>
      </c>
      <c r="H445" s="8" t="str">
        <f>IFERROR(INDEX(样本到样信息汇总统计!H$2:H$500,MATCH(444,样本到样信息汇总统计!$Y$2:$Y$500,0)),"")</f>
        <v/>
      </c>
      <c r="I445" s="8" t="str">
        <f>IFERROR(INDEX(样本到样信息汇总统计!I$2:I$500,MATCH(444,样本到样信息汇总统计!$Y$2:$Y$500,0)),"")</f>
        <v/>
      </c>
      <c r="J445" s="8" t="str">
        <f>IFERROR(INDEX(样本到样信息汇总统计!J$2:J$500,MATCH(444,样本到样信息汇总统计!$Y$2:$Y$500,0)),"")</f>
        <v/>
      </c>
      <c r="K445" s="8" t="str">
        <f>IFERROR(INDEX(样本到样信息汇总统计!K$2:K$500,MATCH(444,样本到样信息汇总统计!$Y$2:$Y$500,0)),"")</f>
        <v/>
      </c>
      <c r="L445" s="8" t="str">
        <f>IFERROR(INDEX(样本到样信息汇总统计!L$2:L$500,MATCH(444,样本到样信息汇总统计!$Y$2:$Y$500,0)),"")</f>
        <v/>
      </c>
      <c r="M445" s="8" t="str">
        <f>IFERROR(INDEX(样本到样信息汇总统计!M$2:M$500,MATCH(444,样本到样信息汇总统计!$Y$2:$Y$500,0)),"")</f>
        <v/>
      </c>
      <c r="N445" s="8" t="str">
        <f>IFERROR(INDEX(样本到样信息汇总统计!N$2:N$500,MATCH(444,样本到样信息汇总统计!$Y$2:$Y$500,0)),"")</f>
        <v/>
      </c>
      <c r="O445" s="8" t="str">
        <f>IFERROR(INDEX(样本到样信息汇总统计!O$2:O$500,MATCH(444,样本到样信息汇总统计!$Y$2:$Y$500,0)),"")</f>
        <v/>
      </c>
      <c r="P445" s="8" t="str">
        <f>IFERROR(INDEX(样本到样信息汇总统计!P$2:P$500,MATCH(444,样本到样信息汇总统计!$Y$2:$Y$500,0)),"")</f>
        <v/>
      </c>
      <c r="Q445" s="8" t="str">
        <f>IFERROR(INDEX(样本到样信息汇总统计!Q$2:Q$500,MATCH(444,样本到样信息汇总统计!$Y$2:$Y$500,0)),"")</f>
        <v/>
      </c>
      <c r="R445" s="8" t="str">
        <f>IFERROR(INDEX(样本到样信息汇总统计!R$2:R$500,MATCH(444,样本到样信息汇总统计!$Y$2:$Y$500,0)),"")</f>
        <v/>
      </c>
      <c r="S445" s="8" t="str">
        <f>IFERROR(INDEX(样本到样信息汇总统计!S$2:S$500,MATCH(444,样本到样信息汇总统计!$Y$2:$Y$500,0)),"")</f>
        <v/>
      </c>
      <c r="T445" s="8" t="str">
        <f>IFERROR(INDEX(样本到样信息汇总统计!T$2:T$500,MATCH(444,样本到样信息汇总统计!$Y$2:$Y$500,0)),"")</f>
        <v/>
      </c>
      <c r="U445" s="8" t="str">
        <f>IFERROR(INDEX(样本到样信息汇总统计!U$2:U$500,MATCH(444,样本到样信息汇总统计!$Y$2:$Y$500,0)),"")</f>
        <v/>
      </c>
      <c r="V445" s="8" t="str">
        <f>IFERROR(INDEX(样本到样信息汇总统计!V$2:V$500,MATCH(444,样本到样信息汇总统计!$Y$2:$Y$500,0)),"")</f>
        <v/>
      </c>
      <c r="W445" s="8" t="str">
        <f>IFERROR(INDEX(样本到样信息汇总统计!W$2:W$500,MATCH(444,样本到样信息汇总统计!$Y$2:$Y$500,0)),"")</f>
        <v/>
      </c>
    </row>
    <row r="446" ht="14.5" spans="1:23">
      <c r="A446" s="4" t="str">
        <f>IFERROR(INDEX(样本到样信息汇总统计!A$2:A$500,MATCH(445,样本到样信息汇总统计!$Y$2:$Y$500,0)),"")</f>
        <v/>
      </c>
      <c r="B446" s="4" t="str">
        <f>IFERROR(INDEX(样本到样信息汇总统计!B$2:B$500,MATCH(445,样本到样信息汇总统计!$Y$2:$Y$500,0)),"")</f>
        <v/>
      </c>
      <c r="C446" s="4" t="str">
        <f>IFERROR(INDEX(样本到样信息汇总统计!C$2:C$500,MATCH(445,样本到样信息汇总统计!$Y$2:$Y$500,0)),"")</f>
        <v/>
      </c>
      <c r="D446" s="4" t="str">
        <f>IFERROR(INDEX(样本到样信息汇总统计!D$2:D$500,MATCH(445,样本到样信息汇总统计!$Y$2:$Y$500,0)),"")</f>
        <v/>
      </c>
      <c r="E446" s="4" t="str">
        <f>IFERROR(INDEX(样本到样信息汇总统计!E$2:E$500,MATCH(445,样本到样信息汇总统计!$Y$2:$Y$500,0)),"")</f>
        <v/>
      </c>
      <c r="F446" s="4" t="str">
        <f>IFERROR(INDEX(样本到样信息汇总统计!F$2:F$500,MATCH(445,样本到样信息汇总统计!$Y$2:$Y$500,0)),"")</f>
        <v/>
      </c>
      <c r="G446" s="4" t="str">
        <f>IFERROR(INDEX(样本到样信息汇总统计!G$2:G$500,MATCH(445,样本到样信息汇总统计!$Y$2:$Y$500,0)),"")</f>
        <v/>
      </c>
      <c r="H446" s="4" t="str">
        <f>IFERROR(INDEX(样本到样信息汇总统计!H$2:H$500,MATCH(445,样本到样信息汇总统计!$Y$2:$Y$500,0)),"")</f>
        <v/>
      </c>
      <c r="I446" s="4" t="str">
        <f>IFERROR(INDEX(样本到样信息汇总统计!I$2:I$500,MATCH(445,样本到样信息汇总统计!$Y$2:$Y$500,0)),"")</f>
        <v/>
      </c>
      <c r="J446" s="4" t="str">
        <f>IFERROR(INDEX(样本到样信息汇总统计!J$2:J$500,MATCH(445,样本到样信息汇总统计!$Y$2:$Y$500,0)),"")</f>
        <v/>
      </c>
      <c r="K446" s="4" t="str">
        <f>IFERROR(INDEX(样本到样信息汇总统计!K$2:K$500,MATCH(445,样本到样信息汇总统计!$Y$2:$Y$500,0)),"")</f>
        <v/>
      </c>
      <c r="L446" s="4" t="str">
        <f>IFERROR(INDEX(样本到样信息汇总统计!L$2:L$500,MATCH(445,样本到样信息汇总统计!$Y$2:$Y$500,0)),"")</f>
        <v/>
      </c>
      <c r="M446" s="4" t="str">
        <f>IFERROR(INDEX(样本到样信息汇总统计!M$2:M$500,MATCH(445,样本到样信息汇总统计!$Y$2:$Y$500,0)),"")</f>
        <v/>
      </c>
      <c r="N446" s="4" t="str">
        <f>IFERROR(INDEX(样本到样信息汇总统计!N$2:N$500,MATCH(445,样本到样信息汇总统计!$Y$2:$Y$500,0)),"")</f>
        <v/>
      </c>
      <c r="O446" s="4" t="str">
        <f>IFERROR(INDEX(样本到样信息汇总统计!O$2:O$500,MATCH(445,样本到样信息汇总统计!$Y$2:$Y$500,0)),"")</f>
        <v/>
      </c>
      <c r="P446" s="4" t="str">
        <f>IFERROR(INDEX(样本到样信息汇总统计!P$2:P$500,MATCH(445,样本到样信息汇总统计!$Y$2:$Y$500,0)),"")</f>
        <v/>
      </c>
      <c r="Q446" s="4" t="str">
        <f>IFERROR(INDEX(样本到样信息汇总统计!Q$2:Q$500,MATCH(445,样本到样信息汇总统计!$Y$2:$Y$500,0)),"")</f>
        <v/>
      </c>
      <c r="R446" s="4" t="str">
        <f>IFERROR(INDEX(样本到样信息汇总统计!R$2:R$500,MATCH(445,样本到样信息汇总统计!$Y$2:$Y$500,0)),"")</f>
        <v/>
      </c>
      <c r="S446" s="4" t="str">
        <f>IFERROR(INDEX(样本到样信息汇总统计!S$2:S$500,MATCH(445,样本到样信息汇总统计!$Y$2:$Y$500,0)),"")</f>
        <v/>
      </c>
      <c r="T446" s="4" t="str">
        <f>IFERROR(INDEX(样本到样信息汇总统计!T$2:T$500,MATCH(445,样本到样信息汇总统计!$Y$2:$Y$500,0)),"")</f>
        <v/>
      </c>
      <c r="U446" s="4" t="str">
        <f>IFERROR(INDEX(样本到样信息汇总统计!U$2:U$500,MATCH(445,样本到样信息汇总统计!$Y$2:$Y$500,0)),"")</f>
        <v/>
      </c>
      <c r="V446" s="4" t="str">
        <f>IFERROR(INDEX(样本到样信息汇总统计!V$2:V$500,MATCH(445,样本到样信息汇总统计!$Y$2:$Y$500,0)),"")</f>
        <v/>
      </c>
      <c r="W446" s="4" t="str">
        <f>IFERROR(INDEX(样本到样信息汇总统计!W$2:W$500,MATCH(445,样本到样信息汇总统计!$Y$2:$Y$500,0)),"")</f>
        <v/>
      </c>
    </row>
    <row r="447" ht="14.5" spans="1:23">
      <c r="A447" s="8" t="str">
        <f>IFERROR(INDEX(样本到样信息汇总统计!A$2:A$500,MATCH(446,样本到样信息汇总统计!$Y$2:$Y$500,0)),"")</f>
        <v/>
      </c>
      <c r="B447" s="8" t="str">
        <f>IFERROR(INDEX(样本到样信息汇总统计!B$2:B$500,MATCH(446,样本到样信息汇总统计!$Y$2:$Y$500,0)),"")</f>
        <v/>
      </c>
      <c r="C447" s="8" t="str">
        <f>IFERROR(INDEX(样本到样信息汇总统计!C$2:C$500,MATCH(446,样本到样信息汇总统计!$Y$2:$Y$500,0)),"")</f>
        <v/>
      </c>
      <c r="D447" s="8" t="str">
        <f>IFERROR(INDEX(样本到样信息汇总统计!D$2:D$500,MATCH(446,样本到样信息汇总统计!$Y$2:$Y$500,0)),"")</f>
        <v/>
      </c>
      <c r="E447" s="8" t="str">
        <f>IFERROR(INDEX(样本到样信息汇总统计!E$2:E$500,MATCH(446,样本到样信息汇总统计!$Y$2:$Y$500,0)),"")</f>
        <v/>
      </c>
      <c r="F447" s="8" t="str">
        <f>IFERROR(INDEX(样本到样信息汇总统计!F$2:F$500,MATCH(446,样本到样信息汇总统计!$Y$2:$Y$500,0)),"")</f>
        <v/>
      </c>
      <c r="G447" s="8" t="str">
        <f>IFERROR(INDEX(样本到样信息汇总统计!G$2:G$500,MATCH(446,样本到样信息汇总统计!$Y$2:$Y$500,0)),"")</f>
        <v/>
      </c>
      <c r="H447" s="8" t="str">
        <f>IFERROR(INDEX(样本到样信息汇总统计!H$2:H$500,MATCH(446,样本到样信息汇总统计!$Y$2:$Y$500,0)),"")</f>
        <v/>
      </c>
      <c r="I447" s="8" t="str">
        <f>IFERROR(INDEX(样本到样信息汇总统计!I$2:I$500,MATCH(446,样本到样信息汇总统计!$Y$2:$Y$500,0)),"")</f>
        <v/>
      </c>
      <c r="J447" s="8" t="str">
        <f>IFERROR(INDEX(样本到样信息汇总统计!J$2:J$500,MATCH(446,样本到样信息汇总统计!$Y$2:$Y$500,0)),"")</f>
        <v/>
      </c>
      <c r="K447" s="8" t="str">
        <f>IFERROR(INDEX(样本到样信息汇总统计!K$2:K$500,MATCH(446,样本到样信息汇总统计!$Y$2:$Y$500,0)),"")</f>
        <v/>
      </c>
      <c r="L447" s="8" t="str">
        <f>IFERROR(INDEX(样本到样信息汇总统计!L$2:L$500,MATCH(446,样本到样信息汇总统计!$Y$2:$Y$500,0)),"")</f>
        <v/>
      </c>
      <c r="M447" s="8" t="str">
        <f>IFERROR(INDEX(样本到样信息汇总统计!M$2:M$500,MATCH(446,样本到样信息汇总统计!$Y$2:$Y$500,0)),"")</f>
        <v/>
      </c>
      <c r="N447" s="8" t="str">
        <f>IFERROR(INDEX(样本到样信息汇总统计!N$2:N$500,MATCH(446,样本到样信息汇总统计!$Y$2:$Y$500,0)),"")</f>
        <v/>
      </c>
      <c r="O447" s="8" t="str">
        <f>IFERROR(INDEX(样本到样信息汇总统计!O$2:O$500,MATCH(446,样本到样信息汇总统计!$Y$2:$Y$500,0)),"")</f>
        <v/>
      </c>
      <c r="P447" s="8" t="str">
        <f>IFERROR(INDEX(样本到样信息汇总统计!P$2:P$500,MATCH(446,样本到样信息汇总统计!$Y$2:$Y$500,0)),"")</f>
        <v/>
      </c>
      <c r="Q447" s="8" t="str">
        <f>IFERROR(INDEX(样本到样信息汇总统计!Q$2:Q$500,MATCH(446,样本到样信息汇总统计!$Y$2:$Y$500,0)),"")</f>
        <v/>
      </c>
      <c r="R447" s="8" t="str">
        <f>IFERROR(INDEX(样本到样信息汇总统计!R$2:R$500,MATCH(446,样本到样信息汇总统计!$Y$2:$Y$500,0)),"")</f>
        <v/>
      </c>
      <c r="S447" s="8" t="str">
        <f>IFERROR(INDEX(样本到样信息汇总统计!S$2:S$500,MATCH(446,样本到样信息汇总统计!$Y$2:$Y$500,0)),"")</f>
        <v/>
      </c>
      <c r="T447" s="8" t="str">
        <f>IFERROR(INDEX(样本到样信息汇总统计!T$2:T$500,MATCH(446,样本到样信息汇总统计!$Y$2:$Y$500,0)),"")</f>
        <v/>
      </c>
      <c r="U447" s="8" t="str">
        <f>IFERROR(INDEX(样本到样信息汇总统计!U$2:U$500,MATCH(446,样本到样信息汇总统计!$Y$2:$Y$500,0)),"")</f>
        <v/>
      </c>
      <c r="V447" s="8" t="str">
        <f>IFERROR(INDEX(样本到样信息汇总统计!V$2:V$500,MATCH(446,样本到样信息汇总统计!$Y$2:$Y$500,0)),"")</f>
        <v/>
      </c>
      <c r="W447" s="8" t="str">
        <f>IFERROR(INDEX(样本到样信息汇总统计!W$2:W$500,MATCH(446,样本到样信息汇总统计!$Y$2:$Y$500,0)),"")</f>
        <v/>
      </c>
    </row>
    <row r="448" ht="14.5" spans="1:23">
      <c r="A448" s="4" t="str">
        <f>IFERROR(INDEX(样本到样信息汇总统计!A$2:A$500,MATCH(447,样本到样信息汇总统计!$Y$2:$Y$500,0)),"")</f>
        <v/>
      </c>
      <c r="B448" s="4" t="str">
        <f>IFERROR(INDEX(样本到样信息汇总统计!B$2:B$500,MATCH(447,样本到样信息汇总统计!$Y$2:$Y$500,0)),"")</f>
        <v/>
      </c>
      <c r="C448" s="4" t="str">
        <f>IFERROR(INDEX(样本到样信息汇总统计!C$2:C$500,MATCH(447,样本到样信息汇总统计!$Y$2:$Y$500,0)),"")</f>
        <v/>
      </c>
      <c r="D448" s="4" t="str">
        <f>IFERROR(INDEX(样本到样信息汇总统计!D$2:D$500,MATCH(447,样本到样信息汇总统计!$Y$2:$Y$500,0)),"")</f>
        <v/>
      </c>
      <c r="E448" s="4" t="str">
        <f>IFERROR(INDEX(样本到样信息汇总统计!E$2:E$500,MATCH(447,样本到样信息汇总统计!$Y$2:$Y$500,0)),"")</f>
        <v/>
      </c>
      <c r="F448" s="4" t="str">
        <f>IFERROR(INDEX(样本到样信息汇总统计!F$2:F$500,MATCH(447,样本到样信息汇总统计!$Y$2:$Y$500,0)),"")</f>
        <v/>
      </c>
      <c r="G448" s="4" t="str">
        <f>IFERROR(INDEX(样本到样信息汇总统计!G$2:G$500,MATCH(447,样本到样信息汇总统计!$Y$2:$Y$500,0)),"")</f>
        <v/>
      </c>
      <c r="H448" s="4" t="str">
        <f>IFERROR(INDEX(样本到样信息汇总统计!H$2:H$500,MATCH(447,样本到样信息汇总统计!$Y$2:$Y$500,0)),"")</f>
        <v/>
      </c>
      <c r="I448" s="4" t="str">
        <f>IFERROR(INDEX(样本到样信息汇总统计!I$2:I$500,MATCH(447,样本到样信息汇总统计!$Y$2:$Y$500,0)),"")</f>
        <v/>
      </c>
      <c r="J448" s="4" t="str">
        <f>IFERROR(INDEX(样本到样信息汇总统计!J$2:J$500,MATCH(447,样本到样信息汇总统计!$Y$2:$Y$500,0)),"")</f>
        <v/>
      </c>
      <c r="K448" s="4" t="str">
        <f>IFERROR(INDEX(样本到样信息汇总统计!K$2:K$500,MATCH(447,样本到样信息汇总统计!$Y$2:$Y$500,0)),"")</f>
        <v/>
      </c>
      <c r="L448" s="4" t="str">
        <f>IFERROR(INDEX(样本到样信息汇总统计!L$2:L$500,MATCH(447,样本到样信息汇总统计!$Y$2:$Y$500,0)),"")</f>
        <v/>
      </c>
      <c r="M448" s="4" t="str">
        <f>IFERROR(INDEX(样本到样信息汇总统计!M$2:M$500,MATCH(447,样本到样信息汇总统计!$Y$2:$Y$500,0)),"")</f>
        <v/>
      </c>
      <c r="N448" s="4" t="str">
        <f>IFERROR(INDEX(样本到样信息汇总统计!N$2:N$500,MATCH(447,样本到样信息汇总统计!$Y$2:$Y$500,0)),"")</f>
        <v/>
      </c>
      <c r="O448" s="4" t="str">
        <f>IFERROR(INDEX(样本到样信息汇总统计!O$2:O$500,MATCH(447,样本到样信息汇总统计!$Y$2:$Y$500,0)),"")</f>
        <v/>
      </c>
      <c r="P448" s="4" t="str">
        <f>IFERROR(INDEX(样本到样信息汇总统计!P$2:P$500,MATCH(447,样本到样信息汇总统计!$Y$2:$Y$500,0)),"")</f>
        <v/>
      </c>
      <c r="Q448" s="4" t="str">
        <f>IFERROR(INDEX(样本到样信息汇总统计!Q$2:Q$500,MATCH(447,样本到样信息汇总统计!$Y$2:$Y$500,0)),"")</f>
        <v/>
      </c>
      <c r="R448" s="4" t="str">
        <f>IFERROR(INDEX(样本到样信息汇总统计!R$2:R$500,MATCH(447,样本到样信息汇总统计!$Y$2:$Y$500,0)),"")</f>
        <v/>
      </c>
      <c r="S448" s="4" t="str">
        <f>IFERROR(INDEX(样本到样信息汇总统计!S$2:S$500,MATCH(447,样本到样信息汇总统计!$Y$2:$Y$500,0)),"")</f>
        <v/>
      </c>
      <c r="T448" s="4" t="str">
        <f>IFERROR(INDEX(样本到样信息汇总统计!T$2:T$500,MATCH(447,样本到样信息汇总统计!$Y$2:$Y$500,0)),"")</f>
        <v/>
      </c>
      <c r="U448" s="4" t="str">
        <f>IFERROR(INDEX(样本到样信息汇总统计!U$2:U$500,MATCH(447,样本到样信息汇总统计!$Y$2:$Y$500,0)),"")</f>
        <v/>
      </c>
      <c r="V448" s="4" t="str">
        <f>IFERROR(INDEX(样本到样信息汇总统计!V$2:V$500,MATCH(447,样本到样信息汇总统计!$Y$2:$Y$500,0)),"")</f>
        <v/>
      </c>
      <c r="W448" s="4" t="str">
        <f>IFERROR(INDEX(样本到样信息汇总统计!W$2:W$500,MATCH(447,样本到样信息汇总统计!$Y$2:$Y$500,0)),"")</f>
        <v/>
      </c>
    </row>
    <row r="449" ht="14.5" spans="1:23">
      <c r="A449" s="8" t="str">
        <f>IFERROR(INDEX(样本到样信息汇总统计!A$2:A$500,MATCH(448,样本到样信息汇总统计!$Y$2:$Y$500,0)),"")</f>
        <v/>
      </c>
      <c r="B449" s="8" t="str">
        <f>IFERROR(INDEX(样本到样信息汇总统计!B$2:B$500,MATCH(448,样本到样信息汇总统计!$Y$2:$Y$500,0)),"")</f>
        <v/>
      </c>
      <c r="C449" s="8" t="str">
        <f>IFERROR(INDEX(样本到样信息汇总统计!C$2:C$500,MATCH(448,样本到样信息汇总统计!$Y$2:$Y$500,0)),"")</f>
        <v/>
      </c>
      <c r="D449" s="8" t="str">
        <f>IFERROR(INDEX(样本到样信息汇总统计!D$2:D$500,MATCH(448,样本到样信息汇总统计!$Y$2:$Y$500,0)),"")</f>
        <v/>
      </c>
      <c r="E449" s="8" t="str">
        <f>IFERROR(INDEX(样本到样信息汇总统计!E$2:E$500,MATCH(448,样本到样信息汇总统计!$Y$2:$Y$500,0)),"")</f>
        <v/>
      </c>
      <c r="F449" s="8" t="str">
        <f>IFERROR(INDEX(样本到样信息汇总统计!F$2:F$500,MATCH(448,样本到样信息汇总统计!$Y$2:$Y$500,0)),"")</f>
        <v/>
      </c>
      <c r="G449" s="8" t="str">
        <f>IFERROR(INDEX(样本到样信息汇总统计!G$2:G$500,MATCH(448,样本到样信息汇总统计!$Y$2:$Y$500,0)),"")</f>
        <v/>
      </c>
      <c r="H449" s="8" t="str">
        <f>IFERROR(INDEX(样本到样信息汇总统计!H$2:H$500,MATCH(448,样本到样信息汇总统计!$Y$2:$Y$500,0)),"")</f>
        <v/>
      </c>
      <c r="I449" s="8" t="str">
        <f>IFERROR(INDEX(样本到样信息汇总统计!I$2:I$500,MATCH(448,样本到样信息汇总统计!$Y$2:$Y$500,0)),"")</f>
        <v/>
      </c>
      <c r="J449" s="8" t="str">
        <f>IFERROR(INDEX(样本到样信息汇总统计!J$2:J$500,MATCH(448,样本到样信息汇总统计!$Y$2:$Y$500,0)),"")</f>
        <v/>
      </c>
      <c r="K449" s="8" t="str">
        <f>IFERROR(INDEX(样本到样信息汇总统计!K$2:K$500,MATCH(448,样本到样信息汇总统计!$Y$2:$Y$500,0)),"")</f>
        <v/>
      </c>
      <c r="L449" s="8" t="str">
        <f>IFERROR(INDEX(样本到样信息汇总统计!L$2:L$500,MATCH(448,样本到样信息汇总统计!$Y$2:$Y$500,0)),"")</f>
        <v/>
      </c>
      <c r="M449" s="8" t="str">
        <f>IFERROR(INDEX(样本到样信息汇总统计!M$2:M$500,MATCH(448,样本到样信息汇总统计!$Y$2:$Y$500,0)),"")</f>
        <v/>
      </c>
      <c r="N449" s="8" t="str">
        <f>IFERROR(INDEX(样本到样信息汇总统计!N$2:N$500,MATCH(448,样本到样信息汇总统计!$Y$2:$Y$500,0)),"")</f>
        <v/>
      </c>
      <c r="O449" s="8" t="str">
        <f>IFERROR(INDEX(样本到样信息汇总统计!O$2:O$500,MATCH(448,样本到样信息汇总统计!$Y$2:$Y$500,0)),"")</f>
        <v/>
      </c>
      <c r="P449" s="8" t="str">
        <f>IFERROR(INDEX(样本到样信息汇总统计!P$2:P$500,MATCH(448,样本到样信息汇总统计!$Y$2:$Y$500,0)),"")</f>
        <v/>
      </c>
      <c r="Q449" s="8" t="str">
        <f>IFERROR(INDEX(样本到样信息汇总统计!Q$2:Q$500,MATCH(448,样本到样信息汇总统计!$Y$2:$Y$500,0)),"")</f>
        <v/>
      </c>
      <c r="R449" s="8" t="str">
        <f>IFERROR(INDEX(样本到样信息汇总统计!R$2:R$500,MATCH(448,样本到样信息汇总统计!$Y$2:$Y$500,0)),"")</f>
        <v/>
      </c>
      <c r="S449" s="8" t="str">
        <f>IFERROR(INDEX(样本到样信息汇总统计!S$2:S$500,MATCH(448,样本到样信息汇总统计!$Y$2:$Y$500,0)),"")</f>
        <v/>
      </c>
      <c r="T449" s="8" t="str">
        <f>IFERROR(INDEX(样本到样信息汇总统计!T$2:T$500,MATCH(448,样本到样信息汇总统计!$Y$2:$Y$500,0)),"")</f>
        <v/>
      </c>
      <c r="U449" s="8" t="str">
        <f>IFERROR(INDEX(样本到样信息汇总统计!U$2:U$500,MATCH(448,样本到样信息汇总统计!$Y$2:$Y$500,0)),"")</f>
        <v/>
      </c>
      <c r="V449" s="8" t="str">
        <f>IFERROR(INDEX(样本到样信息汇总统计!V$2:V$500,MATCH(448,样本到样信息汇总统计!$Y$2:$Y$500,0)),"")</f>
        <v/>
      </c>
      <c r="W449" s="8" t="str">
        <f>IFERROR(INDEX(样本到样信息汇总统计!W$2:W$500,MATCH(448,样本到样信息汇总统计!$Y$2:$Y$500,0)),"")</f>
        <v/>
      </c>
    </row>
    <row r="450" ht="14.5" spans="1:23">
      <c r="A450" s="4" t="str">
        <f>IFERROR(INDEX(样本到样信息汇总统计!A$2:A$500,MATCH(449,样本到样信息汇总统计!$Y$2:$Y$500,0)),"")</f>
        <v/>
      </c>
      <c r="B450" s="4" t="str">
        <f>IFERROR(INDEX(样本到样信息汇总统计!B$2:B$500,MATCH(449,样本到样信息汇总统计!$Y$2:$Y$500,0)),"")</f>
        <v/>
      </c>
      <c r="C450" s="4" t="str">
        <f>IFERROR(INDEX(样本到样信息汇总统计!C$2:C$500,MATCH(449,样本到样信息汇总统计!$Y$2:$Y$500,0)),"")</f>
        <v/>
      </c>
      <c r="D450" s="4" t="str">
        <f>IFERROR(INDEX(样本到样信息汇总统计!D$2:D$500,MATCH(449,样本到样信息汇总统计!$Y$2:$Y$500,0)),"")</f>
        <v/>
      </c>
      <c r="E450" s="4" t="str">
        <f>IFERROR(INDEX(样本到样信息汇总统计!E$2:E$500,MATCH(449,样本到样信息汇总统计!$Y$2:$Y$500,0)),"")</f>
        <v/>
      </c>
      <c r="F450" s="4" t="str">
        <f>IFERROR(INDEX(样本到样信息汇总统计!F$2:F$500,MATCH(449,样本到样信息汇总统计!$Y$2:$Y$500,0)),"")</f>
        <v/>
      </c>
      <c r="G450" s="4" t="str">
        <f>IFERROR(INDEX(样本到样信息汇总统计!G$2:G$500,MATCH(449,样本到样信息汇总统计!$Y$2:$Y$500,0)),"")</f>
        <v/>
      </c>
      <c r="H450" s="4" t="str">
        <f>IFERROR(INDEX(样本到样信息汇总统计!H$2:H$500,MATCH(449,样本到样信息汇总统计!$Y$2:$Y$500,0)),"")</f>
        <v/>
      </c>
      <c r="I450" s="4" t="str">
        <f>IFERROR(INDEX(样本到样信息汇总统计!I$2:I$500,MATCH(449,样本到样信息汇总统计!$Y$2:$Y$500,0)),"")</f>
        <v/>
      </c>
      <c r="J450" s="4" t="str">
        <f>IFERROR(INDEX(样本到样信息汇总统计!J$2:J$500,MATCH(449,样本到样信息汇总统计!$Y$2:$Y$500,0)),"")</f>
        <v/>
      </c>
      <c r="K450" s="4" t="str">
        <f>IFERROR(INDEX(样本到样信息汇总统计!K$2:K$500,MATCH(449,样本到样信息汇总统计!$Y$2:$Y$500,0)),"")</f>
        <v/>
      </c>
      <c r="L450" s="4" t="str">
        <f>IFERROR(INDEX(样本到样信息汇总统计!L$2:L$500,MATCH(449,样本到样信息汇总统计!$Y$2:$Y$500,0)),"")</f>
        <v/>
      </c>
      <c r="M450" s="4" t="str">
        <f>IFERROR(INDEX(样本到样信息汇总统计!M$2:M$500,MATCH(449,样本到样信息汇总统计!$Y$2:$Y$500,0)),"")</f>
        <v/>
      </c>
      <c r="N450" s="4" t="str">
        <f>IFERROR(INDEX(样本到样信息汇总统计!N$2:N$500,MATCH(449,样本到样信息汇总统计!$Y$2:$Y$500,0)),"")</f>
        <v/>
      </c>
      <c r="O450" s="4" t="str">
        <f>IFERROR(INDEX(样本到样信息汇总统计!O$2:O$500,MATCH(449,样本到样信息汇总统计!$Y$2:$Y$500,0)),"")</f>
        <v/>
      </c>
      <c r="P450" s="4" t="str">
        <f>IFERROR(INDEX(样本到样信息汇总统计!P$2:P$500,MATCH(449,样本到样信息汇总统计!$Y$2:$Y$500,0)),"")</f>
        <v/>
      </c>
      <c r="Q450" s="4" t="str">
        <f>IFERROR(INDEX(样本到样信息汇总统计!Q$2:Q$500,MATCH(449,样本到样信息汇总统计!$Y$2:$Y$500,0)),"")</f>
        <v/>
      </c>
      <c r="R450" s="4" t="str">
        <f>IFERROR(INDEX(样本到样信息汇总统计!R$2:R$500,MATCH(449,样本到样信息汇总统计!$Y$2:$Y$500,0)),"")</f>
        <v/>
      </c>
      <c r="S450" s="4" t="str">
        <f>IFERROR(INDEX(样本到样信息汇总统计!S$2:S$500,MATCH(449,样本到样信息汇总统计!$Y$2:$Y$500,0)),"")</f>
        <v/>
      </c>
      <c r="T450" s="4" t="str">
        <f>IFERROR(INDEX(样本到样信息汇总统计!T$2:T$500,MATCH(449,样本到样信息汇总统计!$Y$2:$Y$500,0)),"")</f>
        <v/>
      </c>
      <c r="U450" s="4" t="str">
        <f>IFERROR(INDEX(样本到样信息汇总统计!U$2:U$500,MATCH(449,样本到样信息汇总统计!$Y$2:$Y$500,0)),"")</f>
        <v/>
      </c>
      <c r="V450" s="4" t="str">
        <f>IFERROR(INDEX(样本到样信息汇总统计!V$2:V$500,MATCH(449,样本到样信息汇总统计!$Y$2:$Y$500,0)),"")</f>
        <v/>
      </c>
      <c r="W450" s="4" t="str">
        <f>IFERROR(INDEX(样本到样信息汇总统计!W$2:W$500,MATCH(449,样本到样信息汇总统计!$Y$2:$Y$500,0)),"")</f>
        <v/>
      </c>
    </row>
    <row r="451" ht="14.5" spans="1:23">
      <c r="A451" s="8" t="str">
        <f>IFERROR(INDEX(样本到样信息汇总统计!A$2:A$500,MATCH(450,样本到样信息汇总统计!$Y$2:$Y$500,0)),"")</f>
        <v/>
      </c>
      <c r="B451" s="8" t="str">
        <f>IFERROR(INDEX(样本到样信息汇总统计!B$2:B$500,MATCH(450,样本到样信息汇总统计!$Y$2:$Y$500,0)),"")</f>
        <v/>
      </c>
      <c r="C451" s="8" t="str">
        <f>IFERROR(INDEX(样本到样信息汇总统计!C$2:C$500,MATCH(450,样本到样信息汇总统计!$Y$2:$Y$500,0)),"")</f>
        <v/>
      </c>
      <c r="D451" s="8" t="str">
        <f>IFERROR(INDEX(样本到样信息汇总统计!D$2:D$500,MATCH(450,样本到样信息汇总统计!$Y$2:$Y$500,0)),"")</f>
        <v/>
      </c>
      <c r="E451" s="8" t="str">
        <f>IFERROR(INDEX(样本到样信息汇总统计!E$2:E$500,MATCH(450,样本到样信息汇总统计!$Y$2:$Y$500,0)),"")</f>
        <v/>
      </c>
      <c r="F451" s="8" t="str">
        <f>IFERROR(INDEX(样本到样信息汇总统计!F$2:F$500,MATCH(450,样本到样信息汇总统计!$Y$2:$Y$500,0)),"")</f>
        <v/>
      </c>
      <c r="G451" s="8" t="str">
        <f>IFERROR(INDEX(样本到样信息汇总统计!G$2:G$500,MATCH(450,样本到样信息汇总统计!$Y$2:$Y$500,0)),"")</f>
        <v/>
      </c>
      <c r="H451" s="8" t="str">
        <f>IFERROR(INDEX(样本到样信息汇总统计!H$2:H$500,MATCH(450,样本到样信息汇总统计!$Y$2:$Y$500,0)),"")</f>
        <v/>
      </c>
      <c r="I451" s="8" t="str">
        <f>IFERROR(INDEX(样本到样信息汇总统计!I$2:I$500,MATCH(450,样本到样信息汇总统计!$Y$2:$Y$500,0)),"")</f>
        <v/>
      </c>
      <c r="J451" s="8" t="str">
        <f>IFERROR(INDEX(样本到样信息汇总统计!J$2:J$500,MATCH(450,样本到样信息汇总统计!$Y$2:$Y$500,0)),"")</f>
        <v/>
      </c>
      <c r="K451" s="8" t="str">
        <f>IFERROR(INDEX(样本到样信息汇总统计!K$2:K$500,MATCH(450,样本到样信息汇总统计!$Y$2:$Y$500,0)),"")</f>
        <v/>
      </c>
      <c r="L451" s="8" t="str">
        <f>IFERROR(INDEX(样本到样信息汇总统计!L$2:L$500,MATCH(450,样本到样信息汇总统计!$Y$2:$Y$500,0)),"")</f>
        <v/>
      </c>
      <c r="M451" s="8" t="str">
        <f>IFERROR(INDEX(样本到样信息汇总统计!M$2:M$500,MATCH(450,样本到样信息汇总统计!$Y$2:$Y$500,0)),"")</f>
        <v/>
      </c>
      <c r="N451" s="8" t="str">
        <f>IFERROR(INDEX(样本到样信息汇总统计!N$2:N$500,MATCH(450,样本到样信息汇总统计!$Y$2:$Y$500,0)),"")</f>
        <v/>
      </c>
      <c r="O451" s="8" t="str">
        <f>IFERROR(INDEX(样本到样信息汇总统计!O$2:O$500,MATCH(450,样本到样信息汇总统计!$Y$2:$Y$500,0)),"")</f>
        <v/>
      </c>
      <c r="P451" s="8" t="str">
        <f>IFERROR(INDEX(样本到样信息汇总统计!P$2:P$500,MATCH(450,样本到样信息汇总统计!$Y$2:$Y$500,0)),"")</f>
        <v/>
      </c>
      <c r="Q451" s="8" t="str">
        <f>IFERROR(INDEX(样本到样信息汇总统计!Q$2:Q$500,MATCH(450,样本到样信息汇总统计!$Y$2:$Y$500,0)),"")</f>
        <v/>
      </c>
      <c r="R451" s="8" t="str">
        <f>IFERROR(INDEX(样本到样信息汇总统计!R$2:R$500,MATCH(450,样本到样信息汇总统计!$Y$2:$Y$500,0)),"")</f>
        <v/>
      </c>
      <c r="S451" s="8" t="str">
        <f>IFERROR(INDEX(样本到样信息汇总统计!S$2:S$500,MATCH(450,样本到样信息汇总统计!$Y$2:$Y$500,0)),"")</f>
        <v/>
      </c>
      <c r="T451" s="8" t="str">
        <f>IFERROR(INDEX(样本到样信息汇总统计!T$2:T$500,MATCH(450,样本到样信息汇总统计!$Y$2:$Y$500,0)),"")</f>
        <v/>
      </c>
      <c r="U451" s="8" t="str">
        <f>IFERROR(INDEX(样本到样信息汇总统计!U$2:U$500,MATCH(450,样本到样信息汇总统计!$Y$2:$Y$500,0)),"")</f>
        <v/>
      </c>
      <c r="V451" s="8" t="str">
        <f>IFERROR(INDEX(样本到样信息汇总统计!V$2:V$500,MATCH(450,样本到样信息汇总统计!$Y$2:$Y$500,0)),"")</f>
        <v/>
      </c>
      <c r="W451" s="8" t="str">
        <f>IFERROR(INDEX(样本到样信息汇总统计!W$2:W$500,MATCH(450,样本到样信息汇总统计!$Y$2:$Y$500,0)),"")</f>
        <v/>
      </c>
    </row>
    <row r="452" ht="14.5" spans="1:23">
      <c r="A452" s="4" t="str">
        <f>IFERROR(INDEX(样本到样信息汇总统计!A$2:A$500,MATCH(451,样本到样信息汇总统计!$Y$2:$Y$500,0)),"")</f>
        <v/>
      </c>
      <c r="B452" s="4" t="str">
        <f>IFERROR(INDEX(样本到样信息汇总统计!B$2:B$500,MATCH(451,样本到样信息汇总统计!$Y$2:$Y$500,0)),"")</f>
        <v/>
      </c>
      <c r="C452" s="4" t="str">
        <f>IFERROR(INDEX(样本到样信息汇总统计!C$2:C$500,MATCH(451,样本到样信息汇总统计!$Y$2:$Y$500,0)),"")</f>
        <v/>
      </c>
      <c r="D452" s="4" t="str">
        <f>IFERROR(INDEX(样本到样信息汇总统计!D$2:D$500,MATCH(451,样本到样信息汇总统计!$Y$2:$Y$500,0)),"")</f>
        <v/>
      </c>
      <c r="E452" s="4" t="str">
        <f>IFERROR(INDEX(样本到样信息汇总统计!E$2:E$500,MATCH(451,样本到样信息汇总统计!$Y$2:$Y$500,0)),"")</f>
        <v/>
      </c>
      <c r="F452" s="4" t="str">
        <f>IFERROR(INDEX(样本到样信息汇总统计!F$2:F$500,MATCH(451,样本到样信息汇总统计!$Y$2:$Y$500,0)),"")</f>
        <v/>
      </c>
      <c r="G452" s="4" t="str">
        <f>IFERROR(INDEX(样本到样信息汇总统计!G$2:G$500,MATCH(451,样本到样信息汇总统计!$Y$2:$Y$500,0)),"")</f>
        <v/>
      </c>
      <c r="H452" s="4" t="str">
        <f>IFERROR(INDEX(样本到样信息汇总统计!H$2:H$500,MATCH(451,样本到样信息汇总统计!$Y$2:$Y$500,0)),"")</f>
        <v/>
      </c>
      <c r="I452" s="4" t="str">
        <f>IFERROR(INDEX(样本到样信息汇总统计!I$2:I$500,MATCH(451,样本到样信息汇总统计!$Y$2:$Y$500,0)),"")</f>
        <v/>
      </c>
      <c r="J452" s="4" t="str">
        <f>IFERROR(INDEX(样本到样信息汇总统计!J$2:J$500,MATCH(451,样本到样信息汇总统计!$Y$2:$Y$500,0)),"")</f>
        <v/>
      </c>
      <c r="K452" s="4" t="str">
        <f>IFERROR(INDEX(样本到样信息汇总统计!K$2:K$500,MATCH(451,样本到样信息汇总统计!$Y$2:$Y$500,0)),"")</f>
        <v/>
      </c>
      <c r="L452" s="4" t="str">
        <f>IFERROR(INDEX(样本到样信息汇总统计!L$2:L$500,MATCH(451,样本到样信息汇总统计!$Y$2:$Y$500,0)),"")</f>
        <v/>
      </c>
      <c r="M452" s="4" t="str">
        <f>IFERROR(INDEX(样本到样信息汇总统计!M$2:M$500,MATCH(451,样本到样信息汇总统计!$Y$2:$Y$500,0)),"")</f>
        <v/>
      </c>
      <c r="N452" s="4" t="str">
        <f>IFERROR(INDEX(样本到样信息汇总统计!N$2:N$500,MATCH(451,样本到样信息汇总统计!$Y$2:$Y$500,0)),"")</f>
        <v/>
      </c>
      <c r="O452" s="4" t="str">
        <f>IFERROR(INDEX(样本到样信息汇总统计!O$2:O$500,MATCH(451,样本到样信息汇总统计!$Y$2:$Y$500,0)),"")</f>
        <v/>
      </c>
      <c r="P452" s="4" t="str">
        <f>IFERROR(INDEX(样本到样信息汇总统计!P$2:P$500,MATCH(451,样本到样信息汇总统计!$Y$2:$Y$500,0)),"")</f>
        <v/>
      </c>
      <c r="Q452" s="4" t="str">
        <f>IFERROR(INDEX(样本到样信息汇总统计!Q$2:Q$500,MATCH(451,样本到样信息汇总统计!$Y$2:$Y$500,0)),"")</f>
        <v/>
      </c>
      <c r="R452" s="4" t="str">
        <f>IFERROR(INDEX(样本到样信息汇总统计!R$2:R$500,MATCH(451,样本到样信息汇总统计!$Y$2:$Y$500,0)),"")</f>
        <v/>
      </c>
      <c r="S452" s="4" t="str">
        <f>IFERROR(INDEX(样本到样信息汇总统计!S$2:S$500,MATCH(451,样本到样信息汇总统计!$Y$2:$Y$500,0)),"")</f>
        <v/>
      </c>
      <c r="T452" s="4" t="str">
        <f>IFERROR(INDEX(样本到样信息汇总统计!T$2:T$500,MATCH(451,样本到样信息汇总统计!$Y$2:$Y$500,0)),"")</f>
        <v/>
      </c>
      <c r="U452" s="4" t="str">
        <f>IFERROR(INDEX(样本到样信息汇总统计!U$2:U$500,MATCH(451,样本到样信息汇总统计!$Y$2:$Y$500,0)),"")</f>
        <v/>
      </c>
      <c r="V452" s="4" t="str">
        <f>IFERROR(INDEX(样本到样信息汇总统计!V$2:V$500,MATCH(451,样本到样信息汇总统计!$Y$2:$Y$500,0)),"")</f>
        <v/>
      </c>
      <c r="W452" s="4" t="str">
        <f>IFERROR(INDEX(样本到样信息汇总统计!W$2:W$500,MATCH(451,样本到样信息汇总统计!$Y$2:$Y$500,0)),"")</f>
        <v/>
      </c>
    </row>
    <row r="453" ht="14.5" spans="1:23">
      <c r="A453" s="8" t="str">
        <f>IFERROR(INDEX(样本到样信息汇总统计!A$2:A$500,MATCH(452,样本到样信息汇总统计!$Y$2:$Y$500,0)),"")</f>
        <v/>
      </c>
      <c r="B453" s="8" t="str">
        <f>IFERROR(INDEX(样本到样信息汇总统计!B$2:B$500,MATCH(452,样本到样信息汇总统计!$Y$2:$Y$500,0)),"")</f>
        <v/>
      </c>
      <c r="C453" s="8" t="str">
        <f>IFERROR(INDEX(样本到样信息汇总统计!C$2:C$500,MATCH(452,样本到样信息汇总统计!$Y$2:$Y$500,0)),"")</f>
        <v/>
      </c>
      <c r="D453" s="8" t="str">
        <f>IFERROR(INDEX(样本到样信息汇总统计!D$2:D$500,MATCH(452,样本到样信息汇总统计!$Y$2:$Y$500,0)),"")</f>
        <v/>
      </c>
      <c r="E453" s="8" t="str">
        <f>IFERROR(INDEX(样本到样信息汇总统计!E$2:E$500,MATCH(452,样本到样信息汇总统计!$Y$2:$Y$500,0)),"")</f>
        <v/>
      </c>
      <c r="F453" s="8" t="str">
        <f>IFERROR(INDEX(样本到样信息汇总统计!F$2:F$500,MATCH(452,样本到样信息汇总统计!$Y$2:$Y$500,0)),"")</f>
        <v/>
      </c>
      <c r="G453" s="8" t="str">
        <f>IFERROR(INDEX(样本到样信息汇总统计!G$2:G$500,MATCH(452,样本到样信息汇总统计!$Y$2:$Y$500,0)),"")</f>
        <v/>
      </c>
      <c r="H453" s="8" t="str">
        <f>IFERROR(INDEX(样本到样信息汇总统计!H$2:H$500,MATCH(452,样本到样信息汇总统计!$Y$2:$Y$500,0)),"")</f>
        <v/>
      </c>
      <c r="I453" s="8" t="str">
        <f>IFERROR(INDEX(样本到样信息汇总统计!I$2:I$500,MATCH(452,样本到样信息汇总统计!$Y$2:$Y$500,0)),"")</f>
        <v/>
      </c>
      <c r="J453" s="8" t="str">
        <f>IFERROR(INDEX(样本到样信息汇总统计!J$2:J$500,MATCH(452,样本到样信息汇总统计!$Y$2:$Y$500,0)),"")</f>
        <v/>
      </c>
      <c r="K453" s="8" t="str">
        <f>IFERROR(INDEX(样本到样信息汇总统计!K$2:K$500,MATCH(452,样本到样信息汇总统计!$Y$2:$Y$500,0)),"")</f>
        <v/>
      </c>
      <c r="L453" s="8" t="str">
        <f>IFERROR(INDEX(样本到样信息汇总统计!L$2:L$500,MATCH(452,样本到样信息汇总统计!$Y$2:$Y$500,0)),"")</f>
        <v/>
      </c>
      <c r="M453" s="8" t="str">
        <f>IFERROR(INDEX(样本到样信息汇总统计!M$2:M$500,MATCH(452,样本到样信息汇总统计!$Y$2:$Y$500,0)),"")</f>
        <v/>
      </c>
      <c r="N453" s="8" t="str">
        <f>IFERROR(INDEX(样本到样信息汇总统计!N$2:N$500,MATCH(452,样本到样信息汇总统计!$Y$2:$Y$500,0)),"")</f>
        <v/>
      </c>
      <c r="O453" s="8" t="str">
        <f>IFERROR(INDEX(样本到样信息汇总统计!O$2:O$500,MATCH(452,样本到样信息汇总统计!$Y$2:$Y$500,0)),"")</f>
        <v/>
      </c>
      <c r="P453" s="8" t="str">
        <f>IFERROR(INDEX(样本到样信息汇总统计!P$2:P$500,MATCH(452,样本到样信息汇总统计!$Y$2:$Y$500,0)),"")</f>
        <v/>
      </c>
      <c r="Q453" s="8" t="str">
        <f>IFERROR(INDEX(样本到样信息汇总统计!Q$2:Q$500,MATCH(452,样本到样信息汇总统计!$Y$2:$Y$500,0)),"")</f>
        <v/>
      </c>
      <c r="R453" s="8" t="str">
        <f>IFERROR(INDEX(样本到样信息汇总统计!R$2:R$500,MATCH(452,样本到样信息汇总统计!$Y$2:$Y$500,0)),"")</f>
        <v/>
      </c>
      <c r="S453" s="8" t="str">
        <f>IFERROR(INDEX(样本到样信息汇总统计!S$2:S$500,MATCH(452,样本到样信息汇总统计!$Y$2:$Y$500,0)),"")</f>
        <v/>
      </c>
      <c r="T453" s="8" t="str">
        <f>IFERROR(INDEX(样本到样信息汇总统计!T$2:T$500,MATCH(452,样本到样信息汇总统计!$Y$2:$Y$500,0)),"")</f>
        <v/>
      </c>
      <c r="U453" s="8" t="str">
        <f>IFERROR(INDEX(样本到样信息汇总统计!U$2:U$500,MATCH(452,样本到样信息汇总统计!$Y$2:$Y$500,0)),"")</f>
        <v/>
      </c>
      <c r="V453" s="8" t="str">
        <f>IFERROR(INDEX(样本到样信息汇总统计!V$2:V$500,MATCH(452,样本到样信息汇总统计!$Y$2:$Y$500,0)),"")</f>
        <v/>
      </c>
      <c r="W453" s="8" t="str">
        <f>IFERROR(INDEX(样本到样信息汇总统计!W$2:W$500,MATCH(452,样本到样信息汇总统计!$Y$2:$Y$500,0)),"")</f>
        <v/>
      </c>
    </row>
    <row r="454" ht="14.5" spans="1:23">
      <c r="A454" s="4" t="str">
        <f>IFERROR(INDEX(样本到样信息汇总统计!A$2:A$500,MATCH(453,样本到样信息汇总统计!$Y$2:$Y$500,0)),"")</f>
        <v/>
      </c>
      <c r="B454" s="4" t="str">
        <f>IFERROR(INDEX(样本到样信息汇总统计!B$2:B$500,MATCH(453,样本到样信息汇总统计!$Y$2:$Y$500,0)),"")</f>
        <v/>
      </c>
      <c r="C454" s="4" t="str">
        <f>IFERROR(INDEX(样本到样信息汇总统计!C$2:C$500,MATCH(453,样本到样信息汇总统计!$Y$2:$Y$500,0)),"")</f>
        <v/>
      </c>
      <c r="D454" s="4" t="str">
        <f>IFERROR(INDEX(样本到样信息汇总统计!D$2:D$500,MATCH(453,样本到样信息汇总统计!$Y$2:$Y$500,0)),"")</f>
        <v/>
      </c>
      <c r="E454" s="4" t="str">
        <f>IFERROR(INDEX(样本到样信息汇总统计!E$2:E$500,MATCH(453,样本到样信息汇总统计!$Y$2:$Y$500,0)),"")</f>
        <v/>
      </c>
      <c r="F454" s="4" t="str">
        <f>IFERROR(INDEX(样本到样信息汇总统计!F$2:F$500,MATCH(453,样本到样信息汇总统计!$Y$2:$Y$500,0)),"")</f>
        <v/>
      </c>
      <c r="G454" s="4" t="str">
        <f>IFERROR(INDEX(样本到样信息汇总统计!G$2:G$500,MATCH(453,样本到样信息汇总统计!$Y$2:$Y$500,0)),"")</f>
        <v/>
      </c>
      <c r="H454" s="4" t="str">
        <f>IFERROR(INDEX(样本到样信息汇总统计!H$2:H$500,MATCH(453,样本到样信息汇总统计!$Y$2:$Y$500,0)),"")</f>
        <v/>
      </c>
      <c r="I454" s="4" t="str">
        <f>IFERROR(INDEX(样本到样信息汇总统计!I$2:I$500,MATCH(453,样本到样信息汇总统计!$Y$2:$Y$500,0)),"")</f>
        <v/>
      </c>
      <c r="J454" s="4" t="str">
        <f>IFERROR(INDEX(样本到样信息汇总统计!J$2:J$500,MATCH(453,样本到样信息汇总统计!$Y$2:$Y$500,0)),"")</f>
        <v/>
      </c>
      <c r="K454" s="4" t="str">
        <f>IFERROR(INDEX(样本到样信息汇总统计!K$2:K$500,MATCH(453,样本到样信息汇总统计!$Y$2:$Y$500,0)),"")</f>
        <v/>
      </c>
      <c r="L454" s="4" t="str">
        <f>IFERROR(INDEX(样本到样信息汇总统计!L$2:L$500,MATCH(453,样本到样信息汇总统计!$Y$2:$Y$500,0)),"")</f>
        <v/>
      </c>
      <c r="M454" s="4" t="str">
        <f>IFERROR(INDEX(样本到样信息汇总统计!M$2:M$500,MATCH(453,样本到样信息汇总统计!$Y$2:$Y$500,0)),"")</f>
        <v/>
      </c>
      <c r="N454" s="4" t="str">
        <f>IFERROR(INDEX(样本到样信息汇总统计!N$2:N$500,MATCH(453,样本到样信息汇总统计!$Y$2:$Y$500,0)),"")</f>
        <v/>
      </c>
      <c r="O454" s="4" t="str">
        <f>IFERROR(INDEX(样本到样信息汇总统计!O$2:O$500,MATCH(453,样本到样信息汇总统计!$Y$2:$Y$500,0)),"")</f>
        <v/>
      </c>
      <c r="P454" s="4" t="str">
        <f>IFERROR(INDEX(样本到样信息汇总统计!P$2:P$500,MATCH(453,样本到样信息汇总统计!$Y$2:$Y$500,0)),"")</f>
        <v/>
      </c>
      <c r="Q454" s="4" t="str">
        <f>IFERROR(INDEX(样本到样信息汇总统计!Q$2:Q$500,MATCH(453,样本到样信息汇总统计!$Y$2:$Y$500,0)),"")</f>
        <v/>
      </c>
      <c r="R454" s="4" t="str">
        <f>IFERROR(INDEX(样本到样信息汇总统计!R$2:R$500,MATCH(453,样本到样信息汇总统计!$Y$2:$Y$500,0)),"")</f>
        <v/>
      </c>
      <c r="S454" s="4" t="str">
        <f>IFERROR(INDEX(样本到样信息汇总统计!S$2:S$500,MATCH(453,样本到样信息汇总统计!$Y$2:$Y$500,0)),"")</f>
        <v/>
      </c>
      <c r="T454" s="4" t="str">
        <f>IFERROR(INDEX(样本到样信息汇总统计!T$2:T$500,MATCH(453,样本到样信息汇总统计!$Y$2:$Y$500,0)),"")</f>
        <v/>
      </c>
      <c r="U454" s="4" t="str">
        <f>IFERROR(INDEX(样本到样信息汇总统计!U$2:U$500,MATCH(453,样本到样信息汇总统计!$Y$2:$Y$500,0)),"")</f>
        <v/>
      </c>
      <c r="V454" s="4" t="str">
        <f>IFERROR(INDEX(样本到样信息汇总统计!V$2:V$500,MATCH(453,样本到样信息汇总统计!$Y$2:$Y$500,0)),"")</f>
        <v/>
      </c>
      <c r="W454" s="4" t="str">
        <f>IFERROR(INDEX(样本到样信息汇总统计!W$2:W$500,MATCH(453,样本到样信息汇总统计!$Y$2:$Y$500,0)),"")</f>
        <v/>
      </c>
    </row>
    <row r="455" ht="14.5" spans="1:23">
      <c r="A455" s="8" t="str">
        <f>IFERROR(INDEX(样本到样信息汇总统计!A$2:A$500,MATCH(454,样本到样信息汇总统计!$Y$2:$Y$500,0)),"")</f>
        <v/>
      </c>
      <c r="B455" s="8" t="str">
        <f>IFERROR(INDEX(样本到样信息汇总统计!B$2:B$500,MATCH(454,样本到样信息汇总统计!$Y$2:$Y$500,0)),"")</f>
        <v/>
      </c>
      <c r="C455" s="8" t="str">
        <f>IFERROR(INDEX(样本到样信息汇总统计!C$2:C$500,MATCH(454,样本到样信息汇总统计!$Y$2:$Y$500,0)),"")</f>
        <v/>
      </c>
      <c r="D455" s="8" t="str">
        <f>IFERROR(INDEX(样本到样信息汇总统计!D$2:D$500,MATCH(454,样本到样信息汇总统计!$Y$2:$Y$500,0)),"")</f>
        <v/>
      </c>
      <c r="E455" s="8" t="str">
        <f>IFERROR(INDEX(样本到样信息汇总统计!E$2:E$500,MATCH(454,样本到样信息汇总统计!$Y$2:$Y$500,0)),"")</f>
        <v/>
      </c>
      <c r="F455" s="8" t="str">
        <f>IFERROR(INDEX(样本到样信息汇总统计!F$2:F$500,MATCH(454,样本到样信息汇总统计!$Y$2:$Y$500,0)),"")</f>
        <v/>
      </c>
      <c r="G455" s="8" t="str">
        <f>IFERROR(INDEX(样本到样信息汇总统计!G$2:G$500,MATCH(454,样本到样信息汇总统计!$Y$2:$Y$500,0)),"")</f>
        <v/>
      </c>
      <c r="H455" s="8" t="str">
        <f>IFERROR(INDEX(样本到样信息汇总统计!H$2:H$500,MATCH(454,样本到样信息汇总统计!$Y$2:$Y$500,0)),"")</f>
        <v/>
      </c>
      <c r="I455" s="8" t="str">
        <f>IFERROR(INDEX(样本到样信息汇总统计!I$2:I$500,MATCH(454,样本到样信息汇总统计!$Y$2:$Y$500,0)),"")</f>
        <v/>
      </c>
      <c r="J455" s="8" t="str">
        <f>IFERROR(INDEX(样本到样信息汇总统计!J$2:J$500,MATCH(454,样本到样信息汇总统计!$Y$2:$Y$500,0)),"")</f>
        <v/>
      </c>
      <c r="K455" s="8" t="str">
        <f>IFERROR(INDEX(样本到样信息汇总统计!K$2:K$500,MATCH(454,样本到样信息汇总统计!$Y$2:$Y$500,0)),"")</f>
        <v/>
      </c>
      <c r="L455" s="8" t="str">
        <f>IFERROR(INDEX(样本到样信息汇总统计!L$2:L$500,MATCH(454,样本到样信息汇总统计!$Y$2:$Y$500,0)),"")</f>
        <v/>
      </c>
      <c r="M455" s="8" t="str">
        <f>IFERROR(INDEX(样本到样信息汇总统计!M$2:M$500,MATCH(454,样本到样信息汇总统计!$Y$2:$Y$500,0)),"")</f>
        <v/>
      </c>
      <c r="N455" s="8" t="str">
        <f>IFERROR(INDEX(样本到样信息汇总统计!N$2:N$500,MATCH(454,样本到样信息汇总统计!$Y$2:$Y$500,0)),"")</f>
        <v/>
      </c>
      <c r="O455" s="8" t="str">
        <f>IFERROR(INDEX(样本到样信息汇总统计!O$2:O$500,MATCH(454,样本到样信息汇总统计!$Y$2:$Y$500,0)),"")</f>
        <v/>
      </c>
      <c r="P455" s="8" t="str">
        <f>IFERROR(INDEX(样本到样信息汇总统计!P$2:P$500,MATCH(454,样本到样信息汇总统计!$Y$2:$Y$500,0)),"")</f>
        <v/>
      </c>
      <c r="Q455" s="8" t="str">
        <f>IFERROR(INDEX(样本到样信息汇总统计!Q$2:Q$500,MATCH(454,样本到样信息汇总统计!$Y$2:$Y$500,0)),"")</f>
        <v/>
      </c>
      <c r="R455" s="8" t="str">
        <f>IFERROR(INDEX(样本到样信息汇总统计!R$2:R$500,MATCH(454,样本到样信息汇总统计!$Y$2:$Y$500,0)),"")</f>
        <v/>
      </c>
      <c r="S455" s="8" t="str">
        <f>IFERROR(INDEX(样本到样信息汇总统计!S$2:S$500,MATCH(454,样本到样信息汇总统计!$Y$2:$Y$500,0)),"")</f>
        <v/>
      </c>
      <c r="T455" s="8" t="str">
        <f>IFERROR(INDEX(样本到样信息汇总统计!T$2:T$500,MATCH(454,样本到样信息汇总统计!$Y$2:$Y$500,0)),"")</f>
        <v/>
      </c>
      <c r="U455" s="8" t="str">
        <f>IFERROR(INDEX(样本到样信息汇总统计!U$2:U$500,MATCH(454,样本到样信息汇总统计!$Y$2:$Y$500,0)),"")</f>
        <v/>
      </c>
      <c r="V455" s="8" t="str">
        <f>IFERROR(INDEX(样本到样信息汇总统计!V$2:V$500,MATCH(454,样本到样信息汇总统计!$Y$2:$Y$500,0)),"")</f>
        <v/>
      </c>
      <c r="W455" s="8" t="str">
        <f>IFERROR(INDEX(样本到样信息汇总统计!W$2:W$500,MATCH(454,样本到样信息汇总统计!$Y$2:$Y$500,0)),"")</f>
        <v/>
      </c>
    </row>
    <row r="456" ht="14.5" spans="1:23">
      <c r="A456" s="4" t="str">
        <f>IFERROR(INDEX(样本到样信息汇总统计!A$2:A$500,MATCH(455,样本到样信息汇总统计!$Y$2:$Y$500,0)),"")</f>
        <v/>
      </c>
      <c r="B456" s="4" t="str">
        <f>IFERROR(INDEX(样本到样信息汇总统计!B$2:B$500,MATCH(455,样本到样信息汇总统计!$Y$2:$Y$500,0)),"")</f>
        <v/>
      </c>
      <c r="C456" s="4" t="str">
        <f>IFERROR(INDEX(样本到样信息汇总统计!C$2:C$500,MATCH(455,样本到样信息汇总统计!$Y$2:$Y$500,0)),"")</f>
        <v/>
      </c>
      <c r="D456" s="4" t="str">
        <f>IFERROR(INDEX(样本到样信息汇总统计!D$2:D$500,MATCH(455,样本到样信息汇总统计!$Y$2:$Y$500,0)),"")</f>
        <v/>
      </c>
      <c r="E456" s="4" t="str">
        <f>IFERROR(INDEX(样本到样信息汇总统计!E$2:E$500,MATCH(455,样本到样信息汇总统计!$Y$2:$Y$500,0)),"")</f>
        <v/>
      </c>
      <c r="F456" s="4" t="str">
        <f>IFERROR(INDEX(样本到样信息汇总统计!F$2:F$500,MATCH(455,样本到样信息汇总统计!$Y$2:$Y$500,0)),"")</f>
        <v/>
      </c>
      <c r="G456" s="4" t="str">
        <f>IFERROR(INDEX(样本到样信息汇总统计!G$2:G$500,MATCH(455,样本到样信息汇总统计!$Y$2:$Y$500,0)),"")</f>
        <v/>
      </c>
      <c r="H456" s="4" t="str">
        <f>IFERROR(INDEX(样本到样信息汇总统计!H$2:H$500,MATCH(455,样本到样信息汇总统计!$Y$2:$Y$500,0)),"")</f>
        <v/>
      </c>
      <c r="I456" s="4" t="str">
        <f>IFERROR(INDEX(样本到样信息汇总统计!I$2:I$500,MATCH(455,样本到样信息汇总统计!$Y$2:$Y$500,0)),"")</f>
        <v/>
      </c>
      <c r="J456" s="4" t="str">
        <f>IFERROR(INDEX(样本到样信息汇总统计!J$2:J$500,MATCH(455,样本到样信息汇总统计!$Y$2:$Y$500,0)),"")</f>
        <v/>
      </c>
      <c r="K456" s="4" t="str">
        <f>IFERROR(INDEX(样本到样信息汇总统计!K$2:K$500,MATCH(455,样本到样信息汇总统计!$Y$2:$Y$500,0)),"")</f>
        <v/>
      </c>
      <c r="L456" s="4" t="str">
        <f>IFERROR(INDEX(样本到样信息汇总统计!L$2:L$500,MATCH(455,样本到样信息汇总统计!$Y$2:$Y$500,0)),"")</f>
        <v/>
      </c>
      <c r="M456" s="4" t="str">
        <f>IFERROR(INDEX(样本到样信息汇总统计!M$2:M$500,MATCH(455,样本到样信息汇总统计!$Y$2:$Y$500,0)),"")</f>
        <v/>
      </c>
      <c r="N456" s="4" t="str">
        <f>IFERROR(INDEX(样本到样信息汇总统计!N$2:N$500,MATCH(455,样本到样信息汇总统计!$Y$2:$Y$500,0)),"")</f>
        <v/>
      </c>
      <c r="O456" s="4" t="str">
        <f>IFERROR(INDEX(样本到样信息汇总统计!O$2:O$500,MATCH(455,样本到样信息汇总统计!$Y$2:$Y$500,0)),"")</f>
        <v/>
      </c>
      <c r="P456" s="4" t="str">
        <f>IFERROR(INDEX(样本到样信息汇总统计!P$2:P$500,MATCH(455,样本到样信息汇总统计!$Y$2:$Y$500,0)),"")</f>
        <v/>
      </c>
      <c r="Q456" s="4" t="str">
        <f>IFERROR(INDEX(样本到样信息汇总统计!Q$2:Q$500,MATCH(455,样本到样信息汇总统计!$Y$2:$Y$500,0)),"")</f>
        <v/>
      </c>
      <c r="R456" s="4" t="str">
        <f>IFERROR(INDEX(样本到样信息汇总统计!R$2:R$500,MATCH(455,样本到样信息汇总统计!$Y$2:$Y$500,0)),"")</f>
        <v/>
      </c>
      <c r="S456" s="4" t="str">
        <f>IFERROR(INDEX(样本到样信息汇总统计!S$2:S$500,MATCH(455,样本到样信息汇总统计!$Y$2:$Y$500,0)),"")</f>
        <v/>
      </c>
      <c r="T456" s="4" t="str">
        <f>IFERROR(INDEX(样本到样信息汇总统计!T$2:T$500,MATCH(455,样本到样信息汇总统计!$Y$2:$Y$500,0)),"")</f>
        <v/>
      </c>
      <c r="U456" s="4" t="str">
        <f>IFERROR(INDEX(样本到样信息汇总统计!U$2:U$500,MATCH(455,样本到样信息汇总统计!$Y$2:$Y$500,0)),"")</f>
        <v/>
      </c>
      <c r="V456" s="4" t="str">
        <f>IFERROR(INDEX(样本到样信息汇总统计!V$2:V$500,MATCH(455,样本到样信息汇总统计!$Y$2:$Y$500,0)),"")</f>
        <v/>
      </c>
      <c r="W456" s="4" t="str">
        <f>IFERROR(INDEX(样本到样信息汇总统计!W$2:W$500,MATCH(455,样本到样信息汇总统计!$Y$2:$Y$500,0)),"")</f>
        <v/>
      </c>
    </row>
    <row r="457" ht="14.5" spans="1:23">
      <c r="A457" s="8" t="str">
        <f>IFERROR(INDEX(样本到样信息汇总统计!A$2:A$500,MATCH(456,样本到样信息汇总统计!$Y$2:$Y$500,0)),"")</f>
        <v/>
      </c>
      <c r="B457" s="8" t="str">
        <f>IFERROR(INDEX(样本到样信息汇总统计!B$2:B$500,MATCH(456,样本到样信息汇总统计!$Y$2:$Y$500,0)),"")</f>
        <v/>
      </c>
      <c r="C457" s="8" t="str">
        <f>IFERROR(INDEX(样本到样信息汇总统计!C$2:C$500,MATCH(456,样本到样信息汇总统计!$Y$2:$Y$500,0)),"")</f>
        <v/>
      </c>
      <c r="D457" s="8" t="str">
        <f>IFERROR(INDEX(样本到样信息汇总统计!D$2:D$500,MATCH(456,样本到样信息汇总统计!$Y$2:$Y$500,0)),"")</f>
        <v/>
      </c>
      <c r="E457" s="8" t="str">
        <f>IFERROR(INDEX(样本到样信息汇总统计!E$2:E$500,MATCH(456,样本到样信息汇总统计!$Y$2:$Y$500,0)),"")</f>
        <v/>
      </c>
      <c r="F457" s="8" t="str">
        <f>IFERROR(INDEX(样本到样信息汇总统计!F$2:F$500,MATCH(456,样本到样信息汇总统计!$Y$2:$Y$500,0)),"")</f>
        <v/>
      </c>
      <c r="G457" s="8" t="str">
        <f>IFERROR(INDEX(样本到样信息汇总统计!G$2:G$500,MATCH(456,样本到样信息汇总统计!$Y$2:$Y$500,0)),"")</f>
        <v/>
      </c>
      <c r="H457" s="8" t="str">
        <f>IFERROR(INDEX(样本到样信息汇总统计!H$2:H$500,MATCH(456,样本到样信息汇总统计!$Y$2:$Y$500,0)),"")</f>
        <v/>
      </c>
      <c r="I457" s="8" t="str">
        <f>IFERROR(INDEX(样本到样信息汇总统计!I$2:I$500,MATCH(456,样本到样信息汇总统计!$Y$2:$Y$500,0)),"")</f>
        <v/>
      </c>
      <c r="J457" s="8" t="str">
        <f>IFERROR(INDEX(样本到样信息汇总统计!J$2:J$500,MATCH(456,样本到样信息汇总统计!$Y$2:$Y$500,0)),"")</f>
        <v/>
      </c>
      <c r="K457" s="8" t="str">
        <f>IFERROR(INDEX(样本到样信息汇总统计!K$2:K$500,MATCH(456,样本到样信息汇总统计!$Y$2:$Y$500,0)),"")</f>
        <v/>
      </c>
      <c r="L457" s="8" t="str">
        <f>IFERROR(INDEX(样本到样信息汇总统计!L$2:L$500,MATCH(456,样本到样信息汇总统计!$Y$2:$Y$500,0)),"")</f>
        <v/>
      </c>
      <c r="M457" s="8" t="str">
        <f>IFERROR(INDEX(样本到样信息汇总统计!M$2:M$500,MATCH(456,样本到样信息汇总统计!$Y$2:$Y$500,0)),"")</f>
        <v/>
      </c>
      <c r="N457" s="8" t="str">
        <f>IFERROR(INDEX(样本到样信息汇总统计!N$2:N$500,MATCH(456,样本到样信息汇总统计!$Y$2:$Y$500,0)),"")</f>
        <v/>
      </c>
      <c r="O457" s="8" t="str">
        <f>IFERROR(INDEX(样本到样信息汇总统计!O$2:O$500,MATCH(456,样本到样信息汇总统计!$Y$2:$Y$500,0)),"")</f>
        <v/>
      </c>
      <c r="P457" s="8" t="str">
        <f>IFERROR(INDEX(样本到样信息汇总统计!P$2:P$500,MATCH(456,样本到样信息汇总统计!$Y$2:$Y$500,0)),"")</f>
        <v/>
      </c>
      <c r="Q457" s="8" t="str">
        <f>IFERROR(INDEX(样本到样信息汇总统计!Q$2:Q$500,MATCH(456,样本到样信息汇总统计!$Y$2:$Y$500,0)),"")</f>
        <v/>
      </c>
      <c r="R457" s="8" t="str">
        <f>IFERROR(INDEX(样本到样信息汇总统计!R$2:R$500,MATCH(456,样本到样信息汇总统计!$Y$2:$Y$500,0)),"")</f>
        <v/>
      </c>
      <c r="S457" s="8" t="str">
        <f>IFERROR(INDEX(样本到样信息汇总统计!S$2:S$500,MATCH(456,样本到样信息汇总统计!$Y$2:$Y$500,0)),"")</f>
        <v/>
      </c>
      <c r="T457" s="8" t="str">
        <f>IFERROR(INDEX(样本到样信息汇总统计!T$2:T$500,MATCH(456,样本到样信息汇总统计!$Y$2:$Y$500,0)),"")</f>
        <v/>
      </c>
      <c r="U457" s="8" t="str">
        <f>IFERROR(INDEX(样本到样信息汇总统计!U$2:U$500,MATCH(456,样本到样信息汇总统计!$Y$2:$Y$500,0)),"")</f>
        <v/>
      </c>
      <c r="V457" s="8" t="str">
        <f>IFERROR(INDEX(样本到样信息汇总统计!V$2:V$500,MATCH(456,样本到样信息汇总统计!$Y$2:$Y$500,0)),"")</f>
        <v/>
      </c>
      <c r="W457" s="8" t="str">
        <f>IFERROR(INDEX(样本到样信息汇总统计!W$2:W$500,MATCH(456,样本到样信息汇总统计!$Y$2:$Y$500,0)),"")</f>
        <v/>
      </c>
    </row>
    <row r="458" ht="14.5" spans="1:23">
      <c r="A458" s="4" t="str">
        <f>IFERROR(INDEX(样本到样信息汇总统计!A$2:A$500,MATCH(457,样本到样信息汇总统计!$Y$2:$Y$500,0)),"")</f>
        <v/>
      </c>
      <c r="B458" s="4" t="str">
        <f>IFERROR(INDEX(样本到样信息汇总统计!B$2:B$500,MATCH(457,样本到样信息汇总统计!$Y$2:$Y$500,0)),"")</f>
        <v/>
      </c>
      <c r="C458" s="4" t="str">
        <f>IFERROR(INDEX(样本到样信息汇总统计!C$2:C$500,MATCH(457,样本到样信息汇总统计!$Y$2:$Y$500,0)),"")</f>
        <v/>
      </c>
      <c r="D458" s="4" t="str">
        <f>IFERROR(INDEX(样本到样信息汇总统计!D$2:D$500,MATCH(457,样本到样信息汇总统计!$Y$2:$Y$500,0)),"")</f>
        <v/>
      </c>
      <c r="E458" s="4" t="str">
        <f>IFERROR(INDEX(样本到样信息汇总统计!E$2:E$500,MATCH(457,样本到样信息汇总统计!$Y$2:$Y$500,0)),"")</f>
        <v/>
      </c>
      <c r="F458" s="4" t="str">
        <f>IFERROR(INDEX(样本到样信息汇总统计!F$2:F$500,MATCH(457,样本到样信息汇总统计!$Y$2:$Y$500,0)),"")</f>
        <v/>
      </c>
      <c r="G458" s="4" t="str">
        <f>IFERROR(INDEX(样本到样信息汇总统计!G$2:G$500,MATCH(457,样本到样信息汇总统计!$Y$2:$Y$500,0)),"")</f>
        <v/>
      </c>
      <c r="H458" s="4" t="str">
        <f>IFERROR(INDEX(样本到样信息汇总统计!H$2:H$500,MATCH(457,样本到样信息汇总统计!$Y$2:$Y$500,0)),"")</f>
        <v/>
      </c>
      <c r="I458" s="4" t="str">
        <f>IFERROR(INDEX(样本到样信息汇总统计!I$2:I$500,MATCH(457,样本到样信息汇总统计!$Y$2:$Y$500,0)),"")</f>
        <v/>
      </c>
      <c r="J458" s="4" t="str">
        <f>IFERROR(INDEX(样本到样信息汇总统计!J$2:J$500,MATCH(457,样本到样信息汇总统计!$Y$2:$Y$500,0)),"")</f>
        <v/>
      </c>
      <c r="K458" s="4" t="str">
        <f>IFERROR(INDEX(样本到样信息汇总统计!K$2:K$500,MATCH(457,样本到样信息汇总统计!$Y$2:$Y$500,0)),"")</f>
        <v/>
      </c>
      <c r="L458" s="4" t="str">
        <f>IFERROR(INDEX(样本到样信息汇总统计!L$2:L$500,MATCH(457,样本到样信息汇总统计!$Y$2:$Y$500,0)),"")</f>
        <v/>
      </c>
      <c r="M458" s="4" t="str">
        <f>IFERROR(INDEX(样本到样信息汇总统计!M$2:M$500,MATCH(457,样本到样信息汇总统计!$Y$2:$Y$500,0)),"")</f>
        <v/>
      </c>
      <c r="N458" s="4" t="str">
        <f>IFERROR(INDEX(样本到样信息汇总统计!N$2:N$500,MATCH(457,样本到样信息汇总统计!$Y$2:$Y$500,0)),"")</f>
        <v/>
      </c>
      <c r="O458" s="4" t="str">
        <f>IFERROR(INDEX(样本到样信息汇总统计!O$2:O$500,MATCH(457,样本到样信息汇总统计!$Y$2:$Y$500,0)),"")</f>
        <v/>
      </c>
      <c r="P458" s="4" t="str">
        <f>IFERROR(INDEX(样本到样信息汇总统计!P$2:P$500,MATCH(457,样本到样信息汇总统计!$Y$2:$Y$500,0)),"")</f>
        <v/>
      </c>
      <c r="Q458" s="4" t="str">
        <f>IFERROR(INDEX(样本到样信息汇总统计!Q$2:Q$500,MATCH(457,样本到样信息汇总统计!$Y$2:$Y$500,0)),"")</f>
        <v/>
      </c>
      <c r="R458" s="4" t="str">
        <f>IFERROR(INDEX(样本到样信息汇总统计!R$2:R$500,MATCH(457,样本到样信息汇总统计!$Y$2:$Y$500,0)),"")</f>
        <v/>
      </c>
      <c r="S458" s="4" t="str">
        <f>IFERROR(INDEX(样本到样信息汇总统计!S$2:S$500,MATCH(457,样本到样信息汇总统计!$Y$2:$Y$500,0)),"")</f>
        <v/>
      </c>
      <c r="T458" s="4" t="str">
        <f>IFERROR(INDEX(样本到样信息汇总统计!T$2:T$500,MATCH(457,样本到样信息汇总统计!$Y$2:$Y$500,0)),"")</f>
        <v/>
      </c>
      <c r="U458" s="4" t="str">
        <f>IFERROR(INDEX(样本到样信息汇总统计!U$2:U$500,MATCH(457,样本到样信息汇总统计!$Y$2:$Y$500,0)),"")</f>
        <v/>
      </c>
      <c r="V458" s="4" t="str">
        <f>IFERROR(INDEX(样本到样信息汇总统计!V$2:V$500,MATCH(457,样本到样信息汇总统计!$Y$2:$Y$500,0)),"")</f>
        <v/>
      </c>
      <c r="W458" s="4" t="str">
        <f>IFERROR(INDEX(样本到样信息汇总统计!W$2:W$500,MATCH(457,样本到样信息汇总统计!$Y$2:$Y$500,0)),"")</f>
        <v/>
      </c>
    </row>
    <row r="459" ht="14.5" spans="1:23">
      <c r="A459" s="8" t="str">
        <f>IFERROR(INDEX(样本到样信息汇总统计!A$2:A$500,MATCH(458,样本到样信息汇总统计!$Y$2:$Y$500,0)),"")</f>
        <v/>
      </c>
      <c r="B459" s="8" t="str">
        <f>IFERROR(INDEX(样本到样信息汇总统计!B$2:B$500,MATCH(458,样本到样信息汇总统计!$Y$2:$Y$500,0)),"")</f>
        <v/>
      </c>
      <c r="C459" s="8" t="str">
        <f>IFERROR(INDEX(样本到样信息汇总统计!C$2:C$500,MATCH(458,样本到样信息汇总统计!$Y$2:$Y$500,0)),"")</f>
        <v/>
      </c>
      <c r="D459" s="8" t="str">
        <f>IFERROR(INDEX(样本到样信息汇总统计!D$2:D$500,MATCH(458,样本到样信息汇总统计!$Y$2:$Y$500,0)),"")</f>
        <v/>
      </c>
      <c r="E459" s="8" t="str">
        <f>IFERROR(INDEX(样本到样信息汇总统计!E$2:E$500,MATCH(458,样本到样信息汇总统计!$Y$2:$Y$500,0)),"")</f>
        <v/>
      </c>
      <c r="F459" s="8" t="str">
        <f>IFERROR(INDEX(样本到样信息汇总统计!F$2:F$500,MATCH(458,样本到样信息汇总统计!$Y$2:$Y$500,0)),"")</f>
        <v/>
      </c>
      <c r="G459" s="8" t="str">
        <f>IFERROR(INDEX(样本到样信息汇总统计!G$2:G$500,MATCH(458,样本到样信息汇总统计!$Y$2:$Y$500,0)),"")</f>
        <v/>
      </c>
      <c r="H459" s="8" t="str">
        <f>IFERROR(INDEX(样本到样信息汇总统计!H$2:H$500,MATCH(458,样本到样信息汇总统计!$Y$2:$Y$500,0)),"")</f>
        <v/>
      </c>
      <c r="I459" s="8" t="str">
        <f>IFERROR(INDEX(样本到样信息汇总统计!I$2:I$500,MATCH(458,样本到样信息汇总统计!$Y$2:$Y$500,0)),"")</f>
        <v/>
      </c>
      <c r="J459" s="8" t="str">
        <f>IFERROR(INDEX(样本到样信息汇总统计!J$2:J$500,MATCH(458,样本到样信息汇总统计!$Y$2:$Y$500,0)),"")</f>
        <v/>
      </c>
      <c r="K459" s="8" t="str">
        <f>IFERROR(INDEX(样本到样信息汇总统计!K$2:K$500,MATCH(458,样本到样信息汇总统计!$Y$2:$Y$500,0)),"")</f>
        <v/>
      </c>
      <c r="L459" s="8" t="str">
        <f>IFERROR(INDEX(样本到样信息汇总统计!L$2:L$500,MATCH(458,样本到样信息汇总统计!$Y$2:$Y$500,0)),"")</f>
        <v/>
      </c>
      <c r="M459" s="8" t="str">
        <f>IFERROR(INDEX(样本到样信息汇总统计!M$2:M$500,MATCH(458,样本到样信息汇总统计!$Y$2:$Y$500,0)),"")</f>
        <v/>
      </c>
      <c r="N459" s="8" t="str">
        <f>IFERROR(INDEX(样本到样信息汇总统计!N$2:N$500,MATCH(458,样本到样信息汇总统计!$Y$2:$Y$500,0)),"")</f>
        <v/>
      </c>
      <c r="O459" s="8" t="str">
        <f>IFERROR(INDEX(样本到样信息汇总统计!O$2:O$500,MATCH(458,样本到样信息汇总统计!$Y$2:$Y$500,0)),"")</f>
        <v/>
      </c>
      <c r="P459" s="8" t="str">
        <f>IFERROR(INDEX(样本到样信息汇总统计!P$2:P$500,MATCH(458,样本到样信息汇总统计!$Y$2:$Y$500,0)),"")</f>
        <v/>
      </c>
      <c r="Q459" s="8" t="str">
        <f>IFERROR(INDEX(样本到样信息汇总统计!Q$2:Q$500,MATCH(458,样本到样信息汇总统计!$Y$2:$Y$500,0)),"")</f>
        <v/>
      </c>
      <c r="R459" s="8" t="str">
        <f>IFERROR(INDEX(样本到样信息汇总统计!R$2:R$500,MATCH(458,样本到样信息汇总统计!$Y$2:$Y$500,0)),"")</f>
        <v/>
      </c>
      <c r="S459" s="8" t="str">
        <f>IFERROR(INDEX(样本到样信息汇总统计!S$2:S$500,MATCH(458,样本到样信息汇总统计!$Y$2:$Y$500,0)),"")</f>
        <v/>
      </c>
      <c r="T459" s="8" t="str">
        <f>IFERROR(INDEX(样本到样信息汇总统计!T$2:T$500,MATCH(458,样本到样信息汇总统计!$Y$2:$Y$500,0)),"")</f>
        <v/>
      </c>
      <c r="U459" s="8" t="str">
        <f>IFERROR(INDEX(样本到样信息汇总统计!U$2:U$500,MATCH(458,样本到样信息汇总统计!$Y$2:$Y$500,0)),"")</f>
        <v/>
      </c>
      <c r="V459" s="8" t="str">
        <f>IFERROR(INDEX(样本到样信息汇总统计!V$2:V$500,MATCH(458,样本到样信息汇总统计!$Y$2:$Y$500,0)),"")</f>
        <v/>
      </c>
      <c r="W459" s="8" t="str">
        <f>IFERROR(INDEX(样本到样信息汇总统计!W$2:W$500,MATCH(458,样本到样信息汇总统计!$Y$2:$Y$500,0)),"")</f>
        <v/>
      </c>
    </row>
    <row r="460" ht="14.5" spans="1:23">
      <c r="A460" s="4" t="str">
        <f>IFERROR(INDEX(样本到样信息汇总统计!A$2:A$500,MATCH(459,样本到样信息汇总统计!$Y$2:$Y$500,0)),"")</f>
        <v/>
      </c>
      <c r="B460" s="4" t="str">
        <f>IFERROR(INDEX(样本到样信息汇总统计!B$2:B$500,MATCH(459,样本到样信息汇总统计!$Y$2:$Y$500,0)),"")</f>
        <v/>
      </c>
      <c r="C460" s="4" t="str">
        <f>IFERROR(INDEX(样本到样信息汇总统计!C$2:C$500,MATCH(459,样本到样信息汇总统计!$Y$2:$Y$500,0)),"")</f>
        <v/>
      </c>
      <c r="D460" s="4" t="str">
        <f>IFERROR(INDEX(样本到样信息汇总统计!D$2:D$500,MATCH(459,样本到样信息汇总统计!$Y$2:$Y$500,0)),"")</f>
        <v/>
      </c>
      <c r="E460" s="4" t="str">
        <f>IFERROR(INDEX(样本到样信息汇总统计!E$2:E$500,MATCH(459,样本到样信息汇总统计!$Y$2:$Y$500,0)),"")</f>
        <v/>
      </c>
      <c r="F460" s="4" t="str">
        <f>IFERROR(INDEX(样本到样信息汇总统计!F$2:F$500,MATCH(459,样本到样信息汇总统计!$Y$2:$Y$500,0)),"")</f>
        <v/>
      </c>
      <c r="G460" s="4" t="str">
        <f>IFERROR(INDEX(样本到样信息汇总统计!G$2:G$500,MATCH(459,样本到样信息汇总统计!$Y$2:$Y$500,0)),"")</f>
        <v/>
      </c>
      <c r="H460" s="4" t="str">
        <f>IFERROR(INDEX(样本到样信息汇总统计!H$2:H$500,MATCH(459,样本到样信息汇总统计!$Y$2:$Y$500,0)),"")</f>
        <v/>
      </c>
      <c r="I460" s="4" t="str">
        <f>IFERROR(INDEX(样本到样信息汇总统计!I$2:I$500,MATCH(459,样本到样信息汇总统计!$Y$2:$Y$500,0)),"")</f>
        <v/>
      </c>
      <c r="J460" s="4" t="str">
        <f>IFERROR(INDEX(样本到样信息汇总统计!J$2:J$500,MATCH(459,样本到样信息汇总统计!$Y$2:$Y$500,0)),"")</f>
        <v/>
      </c>
      <c r="K460" s="4" t="str">
        <f>IFERROR(INDEX(样本到样信息汇总统计!K$2:K$500,MATCH(459,样本到样信息汇总统计!$Y$2:$Y$500,0)),"")</f>
        <v/>
      </c>
      <c r="L460" s="4" t="str">
        <f>IFERROR(INDEX(样本到样信息汇总统计!L$2:L$500,MATCH(459,样本到样信息汇总统计!$Y$2:$Y$500,0)),"")</f>
        <v/>
      </c>
      <c r="M460" s="4" t="str">
        <f>IFERROR(INDEX(样本到样信息汇总统计!M$2:M$500,MATCH(459,样本到样信息汇总统计!$Y$2:$Y$500,0)),"")</f>
        <v/>
      </c>
      <c r="N460" s="4" t="str">
        <f>IFERROR(INDEX(样本到样信息汇总统计!N$2:N$500,MATCH(459,样本到样信息汇总统计!$Y$2:$Y$500,0)),"")</f>
        <v/>
      </c>
      <c r="O460" s="4" t="str">
        <f>IFERROR(INDEX(样本到样信息汇总统计!O$2:O$500,MATCH(459,样本到样信息汇总统计!$Y$2:$Y$500,0)),"")</f>
        <v/>
      </c>
      <c r="P460" s="4" t="str">
        <f>IFERROR(INDEX(样本到样信息汇总统计!P$2:P$500,MATCH(459,样本到样信息汇总统计!$Y$2:$Y$500,0)),"")</f>
        <v/>
      </c>
      <c r="Q460" s="4" t="str">
        <f>IFERROR(INDEX(样本到样信息汇总统计!Q$2:Q$500,MATCH(459,样本到样信息汇总统计!$Y$2:$Y$500,0)),"")</f>
        <v/>
      </c>
      <c r="R460" s="4" t="str">
        <f>IFERROR(INDEX(样本到样信息汇总统计!R$2:R$500,MATCH(459,样本到样信息汇总统计!$Y$2:$Y$500,0)),"")</f>
        <v/>
      </c>
      <c r="S460" s="4" t="str">
        <f>IFERROR(INDEX(样本到样信息汇总统计!S$2:S$500,MATCH(459,样本到样信息汇总统计!$Y$2:$Y$500,0)),"")</f>
        <v/>
      </c>
      <c r="T460" s="4" t="str">
        <f>IFERROR(INDEX(样本到样信息汇总统计!T$2:T$500,MATCH(459,样本到样信息汇总统计!$Y$2:$Y$500,0)),"")</f>
        <v/>
      </c>
      <c r="U460" s="4" t="str">
        <f>IFERROR(INDEX(样本到样信息汇总统计!U$2:U$500,MATCH(459,样本到样信息汇总统计!$Y$2:$Y$500,0)),"")</f>
        <v/>
      </c>
      <c r="V460" s="4" t="str">
        <f>IFERROR(INDEX(样本到样信息汇总统计!V$2:V$500,MATCH(459,样本到样信息汇总统计!$Y$2:$Y$500,0)),"")</f>
        <v/>
      </c>
      <c r="W460" s="4" t="str">
        <f>IFERROR(INDEX(样本到样信息汇总统计!W$2:W$500,MATCH(459,样本到样信息汇总统计!$Y$2:$Y$500,0)),"")</f>
        <v/>
      </c>
    </row>
    <row r="461" ht="14.5" spans="1:23">
      <c r="A461" s="8" t="str">
        <f>IFERROR(INDEX(样本到样信息汇总统计!A$2:A$500,MATCH(460,样本到样信息汇总统计!$Y$2:$Y$500,0)),"")</f>
        <v/>
      </c>
      <c r="B461" s="8" t="str">
        <f>IFERROR(INDEX(样本到样信息汇总统计!B$2:B$500,MATCH(460,样本到样信息汇总统计!$Y$2:$Y$500,0)),"")</f>
        <v/>
      </c>
      <c r="C461" s="8" t="str">
        <f>IFERROR(INDEX(样本到样信息汇总统计!C$2:C$500,MATCH(460,样本到样信息汇总统计!$Y$2:$Y$500,0)),"")</f>
        <v/>
      </c>
      <c r="D461" s="8" t="str">
        <f>IFERROR(INDEX(样本到样信息汇总统计!D$2:D$500,MATCH(460,样本到样信息汇总统计!$Y$2:$Y$500,0)),"")</f>
        <v/>
      </c>
      <c r="E461" s="8" t="str">
        <f>IFERROR(INDEX(样本到样信息汇总统计!E$2:E$500,MATCH(460,样本到样信息汇总统计!$Y$2:$Y$500,0)),"")</f>
        <v/>
      </c>
      <c r="F461" s="8" t="str">
        <f>IFERROR(INDEX(样本到样信息汇总统计!F$2:F$500,MATCH(460,样本到样信息汇总统计!$Y$2:$Y$500,0)),"")</f>
        <v/>
      </c>
      <c r="G461" s="8" t="str">
        <f>IFERROR(INDEX(样本到样信息汇总统计!G$2:G$500,MATCH(460,样本到样信息汇总统计!$Y$2:$Y$500,0)),"")</f>
        <v/>
      </c>
      <c r="H461" s="8" t="str">
        <f>IFERROR(INDEX(样本到样信息汇总统计!H$2:H$500,MATCH(460,样本到样信息汇总统计!$Y$2:$Y$500,0)),"")</f>
        <v/>
      </c>
      <c r="I461" s="8" t="str">
        <f>IFERROR(INDEX(样本到样信息汇总统计!I$2:I$500,MATCH(460,样本到样信息汇总统计!$Y$2:$Y$500,0)),"")</f>
        <v/>
      </c>
      <c r="J461" s="8" t="str">
        <f>IFERROR(INDEX(样本到样信息汇总统计!J$2:J$500,MATCH(460,样本到样信息汇总统计!$Y$2:$Y$500,0)),"")</f>
        <v/>
      </c>
      <c r="K461" s="8" t="str">
        <f>IFERROR(INDEX(样本到样信息汇总统计!K$2:K$500,MATCH(460,样本到样信息汇总统计!$Y$2:$Y$500,0)),"")</f>
        <v/>
      </c>
      <c r="L461" s="8" t="str">
        <f>IFERROR(INDEX(样本到样信息汇总统计!L$2:L$500,MATCH(460,样本到样信息汇总统计!$Y$2:$Y$500,0)),"")</f>
        <v/>
      </c>
      <c r="M461" s="8" t="str">
        <f>IFERROR(INDEX(样本到样信息汇总统计!M$2:M$500,MATCH(460,样本到样信息汇总统计!$Y$2:$Y$500,0)),"")</f>
        <v/>
      </c>
      <c r="N461" s="8" t="str">
        <f>IFERROR(INDEX(样本到样信息汇总统计!N$2:N$500,MATCH(460,样本到样信息汇总统计!$Y$2:$Y$500,0)),"")</f>
        <v/>
      </c>
      <c r="O461" s="8" t="str">
        <f>IFERROR(INDEX(样本到样信息汇总统计!O$2:O$500,MATCH(460,样本到样信息汇总统计!$Y$2:$Y$500,0)),"")</f>
        <v/>
      </c>
      <c r="P461" s="8" t="str">
        <f>IFERROR(INDEX(样本到样信息汇总统计!P$2:P$500,MATCH(460,样本到样信息汇总统计!$Y$2:$Y$500,0)),"")</f>
        <v/>
      </c>
      <c r="Q461" s="8" t="str">
        <f>IFERROR(INDEX(样本到样信息汇总统计!Q$2:Q$500,MATCH(460,样本到样信息汇总统计!$Y$2:$Y$500,0)),"")</f>
        <v/>
      </c>
      <c r="R461" s="8" t="str">
        <f>IFERROR(INDEX(样本到样信息汇总统计!R$2:R$500,MATCH(460,样本到样信息汇总统计!$Y$2:$Y$500,0)),"")</f>
        <v/>
      </c>
      <c r="S461" s="8" t="str">
        <f>IFERROR(INDEX(样本到样信息汇总统计!S$2:S$500,MATCH(460,样本到样信息汇总统计!$Y$2:$Y$500,0)),"")</f>
        <v/>
      </c>
      <c r="T461" s="8" t="str">
        <f>IFERROR(INDEX(样本到样信息汇总统计!T$2:T$500,MATCH(460,样本到样信息汇总统计!$Y$2:$Y$500,0)),"")</f>
        <v/>
      </c>
      <c r="U461" s="8" t="str">
        <f>IFERROR(INDEX(样本到样信息汇总统计!U$2:U$500,MATCH(460,样本到样信息汇总统计!$Y$2:$Y$500,0)),"")</f>
        <v/>
      </c>
      <c r="V461" s="8" t="str">
        <f>IFERROR(INDEX(样本到样信息汇总统计!V$2:V$500,MATCH(460,样本到样信息汇总统计!$Y$2:$Y$500,0)),"")</f>
        <v/>
      </c>
      <c r="W461" s="8" t="str">
        <f>IFERROR(INDEX(样本到样信息汇总统计!W$2:W$500,MATCH(460,样本到样信息汇总统计!$Y$2:$Y$500,0)),"")</f>
        <v/>
      </c>
    </row>
    <row r="462" ht="14.5" spans="1:23">
      <c r="A462" s="4" t="str">
        <f>IFERROR(INDEX(样本到样信息汇总统计!A$2:A$500,MATCH(461,样本到样信息汇总统计!$Y$2:$Y$500,0)),"")</f>
        <v/>
      </c>
      <c r="B462" s="4" t="str">
        <f>IFERROR(INDEX(样本到样信息汇总统计!B$2:B$500,MATCH(461,样本到样信息汇总统计!$Y$2:$Y$500,0)),"")</f>
        <v/>
      </c>
      <c r="C462" s="4" t="str">
        <f>IFERROR(INDEX(样本到样信息汇总统计!C$2:C$500,MATCH(461,样本到样信息汇总统计!$Y$2:$Y$500,0)),"")</f>
        <v/>
      </c>
      <c r="D462" s="4" t="str">
        <f>IFERROR(INDEX(样本到样信息汇总统计!D$2:D$500,MATCH(461,样本到样信息汇总统计!$Y$2:$Y$500,0)),"")</f>
        <v/>
      </c>
      <c r="E462" s="4" t="str">
        <f>IFERROR(INDEX(样本到样信息汇总统计!E$2:E$500,MATCH(461,样本到样信息汇总统计!$Y$2:$Y$500,0)),"")</f>
        <v/>
      </c>
      <c r="F462" s="4" t="str">
        <f>IFERROR(INDEX(样本到样信息汇总统计!F$2:F$500,MATCH(461,样本到样信息汇总统计!$Y$2:$Y$500,0)),"")</f>
        <v/>
      </c>
      <c r="G462" s="4" t="str">
        <f>IFERROR(INDEX(样本到样信息汇总统计!G$2:G$500,MATCH(461,样本到样信息汇总统计!$Y$2:$Y$500,0)),"")</f>
        <v/>
      </c>
      <c r="H462" s="4" t="str">
        <f>IFERROR(INDEX(样本到样信息汇总统计!H$2:H$500,MATCH(461,样本到样信息汇总统计!$Y$2:$Y$500,0)),"")</f>
        <v/>
      </c>
      <c r="I462" s="4" t="str">
        <f>IFERROR(INDEX(样本到样信息汇总统计!I$2:I$500,MATCH(461,样本到样信息汇总统计!$Y$2:$Y$500,0)),"")</f>
        <v/>
      </c>
      <c r="J462" s="4" t="str">
        <f>IFERROR(INDEX(样本到样信息汇总统计!J$2:J$500,MATCH(461,样本到样信息汇总统计!$Y$2:$Y$500,0)),"")</f>
        <v/>
      </c>
      <c r="K462" s="4" t="str">
        <f>IFERROR(INDEX(样本到样信息汇总统计!K$2:K$500,MATCH(461,样本到样信息汇总统计!$Y$2:$Y$500,0)),"")</f>
        <v/>
      </c>
      <c r="L462" s="4" t="str">
        <f>IFERROR(INDEX(样本到样信息汇总统计!L$2:L$500,MATCH(461,样本到样信息汇总统计!$Y$2:$Y$500,0)),"")</f>
        <v/>
      </c>
      <c r="M462" s="4" t="str">
        <f>IFERROR(INDEX(样本到样信息汇总统计!M$2:M$500,MATCH(461,样本到样信息汇总统计!$Y$2:$Y$500,0)),"")</f>
        <v/>
      </c>
      <c r="N462" s="4" t="str">
        <f>IFERROR(INDEX(样本到样信息汇总统计!N$2:N$500,MATCH(461,样本到样信息汇总统计!$Y$2:$Y$500,0)),"")</f>
        <v/>
      </c>
      <c r="O462" s="4" t="str">
        <f>IFERROR(INDEX(样本到样信息汇总统计!O$2:O$500,MATCH(461,样本到样信息汇总统计!$Y$2:$Y$500,0)),"")</f>
        <v/>
      </c>
      <c r="P462" s="4" t="str">
        <f>IFERROR(INDEX(样本到样信息汇总统计!P$2:P$500,MATCH(461,样本到样信息汇总统计!$Y$2:$Y$500,0)),"")</f>
        <v/>
      </c>
      <c r="Q462" s="4" t="str">
        <f>IFERROR(INDEX(样本到样信息汇总统计!Q$2:Q$500,MATCH(461,样本到样信息汇总统计!$Y$2:$Y$500,0)),"")</f>
        <v/>
      </c>
      <c r="R462" s="4" t="str">
        <f>IFERROR(INDEX(样本到样信息汇总统计!R$2:R$500,MATCH(461,样本到样信息汇总统计!$Y$2:$Y$500,0)),"")</f>
        <v/>
      </c>
      <c r="S462" s="4" t="str">
        <f>IFERROR(INDEX(样本到样信息汇总统计!S$2:S$500,MATCH(461,样本到样信息汇总统计!$Y$2:$Y$500,0)),"")</f>
        <v/>
      </c>
      <c r="T462" s="4" t="str">
        <f>IFERROR(INDEX(样本到样信息汇总统计!T$2:T$500,MATCH(461,样本到样信息汇总统计!$Y$2:$Y$500,0)),"")</f>
        <v/>
      </c>
      <c r="U462" s="4" t="str">
        <f>IFERROR(INDEX(样本到样信息汇总统计!U$2:U$500,MATCH(461,样本到样信息汇总统计!$Y$2:$Y$500,0)),"")</f>
        <v/>
      </c>
      <c r="V462" s="4" t="str">
        <f>IFERROR(INDEX(样本到样信息汇总统计!V$2:V$500,MATCH(461,样本到样信息汇总统计!$Y$2:$Y$500,0)),"")</f>
        <v/>
      </c>
      <c r="W462" s="4" t="str">
        <f>IFERROR(INDEX(样本到样信息汇总统计!W$2:W$500,MATCH(461,样本到样信息汇总统计!$Y$2:$Y$500,0)),"")</f>
        <v/>
      </c>
    </row>
    <row r="463" ht="14.5" spans="1:23">
      <c r="A463" s="8" t="str">
        <f>IFERROR(INDEX(样本到样信息汇总统计!A$2:A$500,MATCH(462,样本到样信息汇总统计!$Y$2:$Y$500,0)),"")</f>
        <v/>
      </c>
      <c r="B463" s="8" t="str">
        <f>IFERROR(INDEX(样本到样信息汇总统计!B$2:B$500,MATCH(462,样本到样信息汇总统计!$Y$2:$Y$500,0)),"")</f>
        <v/>
      </c>
      <c r="C463" s="8" t="str">
        <f>IFERROR(INDEX(样本到样信息汇总统计!C$2:C$500,MATCH(462,样本到样信息汇总统计!$Y$2:$Y$500,0)),"")</f>
        <v/>
      </c>
      <c r="D463" s="8" t="str">
        <f>IFERROR(INDEX(样本到样信息汇总统计!D$2:D$500,MATCH(462,样本到样信息汇总统计!$Y$2:$Y$500,0)),"")</f>
        <v/>
      </c>
      <c r="E463" s="8" t="str">
        <f>IFERROR(INDEX(样本到样信息汇总统计!E$2:E$500,MATCH(462,样本到样信息汇总统计!$Y$2:$Y$500,0)),"")</f>
        <v/>
      </c>
      <c r="F463" s="8" t="str">
        <f>IFERROR(INDEX(样本到样信息汇总统计!F$2:F$500,MATCH(462,样本到样信息汇总统计!$Y$2:$Y$500,0)),"")</f>
        <v/>
      </c>
      <c r="G463" s="8" t="str">
        <f>IFERROR(INDEX(样本到样信息汇总统计!G$2:G$500,MATCH(462,样本到样信息汇总统计!$Y$2:$Y$500,0)),"")</f>
        <v/>
      </c>
      <c r="H463" s="8" t="str">
        <f>IFERROR(INDEX(样本到样信息汇总统计!H$2:H$500,MATCH(462,样本到样信息汇总统计!$Y$2:$Y$500,0)),"")</f>
        <v/>
      </c>
      <c r="I463" s="8" t="str">
        <f>IFERROR(INDEX(样本到样信息汇总统计!I$2:I$500,MATCH(462,样本到样信息汇总统计!$Y$2:$Y$500,0)),"")</f>
        <v/>
      </c>
      <c r="J463" s="8" t="str">
        <f>IFERROR(INDEX(样本到样信息汇总统计!J$2:J$500,MATCH(462,样本到样信息汇总统计!$Y$2:$Y$500,0)),"")</f>
        <v/>
      </c>
      <c r="K463" s="8" t="str">
        <f>IFERROR(INDEX(样本到样信息汇总统计!K$2:K$500,MATCH(462,样本到样信息汇总统计!$Y$2:$Y$500,0)),"")</f>
        <v/>
      </c>
      <c r="L463" s="8" t="str">
        <f>IFERROR(INDEX(样本到样信息汇总统计!L$2:L$500,MATCH(462,样本到样信息汇总统计!$Y$2:$Y$500,0)),"")</f>
        <v/>
      </c>
      <c r="M463" s="8" t="str">
        <f>IFERROR(INDEX(样本到样信息汇总统计!M$2:M$500,MATCH(462,样本到样信息汇总统计!$Y$2:$Y$500,0)),"")</f>
        <v/>
      </c>
      <c r="N463" s="8" t="str">
        <f>IFERROR(INDEX(样本到样信息汇总统计!N$2:N$500,MATCH(462,样本到样信息汇总统计!$Y$2:$Y$500,0)),"")</f>
        <v/>
      </c>
      <c r="O463" s="8" t="str">
        <f>IFERROR(INDEX(样本到样信息汇总统计!O$2:O$500,MATCH(462,样本到样信息汇总统计!$Y$2:$Y$500,0)),"")</f>
        <v/>
      </c>
      <c r="P463" s="8" t="str">
        <f>IFERROR(INDEX(样本到样信息汇总统计!P$2:P$500,MATCH(462,样本到样信息汇总统计!$Y$2:$Y$500,0)),"")</f>
        <v/>
      </c>
      <c r="Q463" s="8" t="str">
        <f>IFERROR(INDEX(样本到样信息汇总统计!Q$2:Q$500,MATCH(462,样本到样信息汇总统计!$Y$2:$Y$500,0)),"")</f>
        <v/>
      </c>
      <c r="R463" s="8" t="str">
        <f>IFERROR(INDEX(样本到样信息汇总统计!R$2:R$500,MATCH(462,样本到样信息汇总统计!$Y$2:$Y$500,0)),"")</f>
        <v/>
      </c>
      <c r="S463" s="8" t="str">
        <f>IFERROR(INDEX(样本到样信息汇总统计!S$2:S$500,MATCH(462,样本到样信息汇总统计!$Y$2:$Y$500,0)),"")</f>
        <v/>
      </c>
      <c r="T463" s="8" t="str">
        <f>IFERROR(INDEX(样本到样信息汇总统计!T$2:T$500,MATCH(462,样本到样信息汇总统计!$Y$2:$Y$500,0)),"")</f>
        <v/>
      </c>
      <c r="U463" s="8" t="str">
        <f>IFERROR(INDEX(样本到样信息汇总统计!U$2:U$500,MATCH(462,样本到样信息汇总统计!$Y$2:$Y$500,0)),"")</f>
        <v/>
      </c>
      <c r="V463" s="8" t="str">
        <f>IFERROR(INDEX(样本到样信息汇总统计!V$2:V$500,MATCH(462,样本到样信息汇总统计!$Y$2:$Y$500,0)),"")</f>
        <v/>
      </c>
      <c r="W463" s="8" t="str">
        <f>IFERROR(INDEX(样本到样信息汇总统计!W$2:W$500,MATCH(462,样本到样信息汇总统计!$Y$2:$Y$500,0)),"")</f>
        <v/>
      </c>
    </row>
    <row r="464" ht="14.5" spans="1:23">
      <c r="A464" s="4" t="str">
        <f>IFERROR(INDEX(样本到样信息汇总统计!A$2:A$500,MATCH(463,样本到样信息汇总统计!$Y$2:$Y$500,0)),"")</f>
        <v/>
      </c>
      <c r="B464" s="4" t="str">
        <f>IFERROR(INDEX(样本到样信息汇总统计!B$2:B$500,MATCH(463,样本到样信息汇总统计!$Y$2:$Y$500,0)),"")</f>
        <v/>
      </c>
      <c r="C464" s="4" t="str">
        <f>IFERROR(INDEX(样本到样信息汇总统计!C$2:C$500,MATCH(463,样本到样信息汇总统计!$Y$2:$Y$500,0)),"")</f>
        <v/>
      </c>
      <c r="D464" s="4" t="str">
        <f>IFERROR(INDEX(样本到样信息汇总统计!D$2:D$500,MATCH(463,样本到样信息汇总统计!$Y$2:$Y$500,0)),"")</f>
        <v/>
      </c>
      <c r="E464" s="4" t="str">
        <f>IFERROR(INDEX(样本到样信息汇总统计!E$2:E$500,MATCH(463,样本到样信息汇总统计!$Y$2:$Y$500,0)),"")</f>
        <v/>
      </c>
      <c r="F464" s="4" t="str">
        <f>IFERROR(INDEX(样本到样信息汇总统计!F$2:F$500,MATCH(463,样本到样信息汇总统计!$Y$2:$Y$500,0)),"")</f>
        <v/>
      </c>
      <c r="G464" s="4" t="str">
        <f>IFERROR(INDEX(样本到样信息汇总统计!G$2:G$500,MATCH(463,样本到样信息汇总统计!$Y$2:$Y$500,0)),"")</f>
        <v/>
      </c>
      <c r="H464" s="4" t="str">
        <f>IFERROR(INDEX(样本到样信息汇总统计!H$2:H$500,MATCH(463,样本到样信息汇总统计!$Y$2:$Y$500,0)),"")</f>
        <v/>
      </c>
      <c r="I464" s="4" t="str">
        <f>IFERROR(INDEX(样本到样信息汇总统计!I$2:I$500,MATCH(463,样本到样信息汇总统计!$Y$2:$Y$500,0)),"")</f>
        <v/>
      </c>
      <c r="J464" s="4" t="str">
        <f>IFERROR(INDEX(样本到样信息汇总统计!J$2:J$500,MATCH(463,样本到样信息汇总统计!$Y$2:$Y$500,0)),"")</f>
        <v/>
      </c>
      <c r="K464" s="4" t="str">
        <f>IFERROR(INDEX(样本到样信息汇总统计!K$2:K$500,MATCH(463,样本到样信息汇总统计!$Y$2:$Y$500,0)),"")</f>
        <v/>
      </c>
      <c r="L464" s="4" t="str">
        <f>IFERROR(INDEX(样本到样信息汇总统计!L$2:L$500,MATCH(463,样本到样信息汇总统计!$Y$2:$Y$500,0)),"")</f>
        <v/>
      </c>
      <c r="M464" s="4" t="str">
        <f>IFERROR(INDEX(样本到样信息汇总统计!M$2:M$500,MATCH(463,样本到样信息汇总统计!$Y$2:$Y$500,0)),"")</f>
        <v/>
      </c>
      <c r="N464" s="4" t="str">
        <f>IFERROR(INDEX(样本到样信息汇总统计!N$2:N$500,MATCH(463,样本到样信息汇总统计!$Y$2:$Y$500,0)),"")</f>
        <v/>
      </c>
      <c r="O464" s="4" t="str">
        <f>IFERROR(INDEX(样本到样信息汇总统计!O$2:O$500,MATCH(463,样本到样信息汇总统计!$Y$2:$Y$500,0)),"")</f>
        <v/>
      </c>
      <c r="P464" s="4" t="str">
        <f>IFERROR(INDEX(样本到样信息汇总统计!P$2:P$500,MATCH(463,样本到样信息汇总统计!$Y$2:$Y$500,0)),"")</f>
        <v/>
      </c>
      <c r="Q464" s="4" t="str">
        <f>IFERROR(INDEX(样本到样信息汇总统计!Q$2:Q$500,MATCH(463,样本到样信息汇总统计!$Y$2:$Y$500,0)),"")</f>
        <v/>
      </c>
      <c r="R464" s="4" t="str">
        <f>IFERROR(INDEX(样本到样信息汇总统计!R$2:R$500,MATCH(463,样本到样信息汇总统计!$Y$2:$Y$500,0)),"")</f>
        <v/>
      </c>
      <c r="S464" s="4" t="str">
        <f>IFERROR(INDEX(样本到样信息汇总统计!S$2:S$500,MATCH(463,样本到样信息汇总统计!$Y$2:$Y$500,0)),"")</f>
        <v/>
      </c>
      <c r="T464" s="4" t="str">
        <f>IFERROR(INDEX(样本到样信息汇总统计!T$2:T$500,MATCH(463,样本到样信息汇总统计!$Y$2:$Y$500,0)),"")</f>
        <v/>
      </c>
      <c r="U464" s="4" t="str">
        <f>IFERROR(INDEX(样本到样信息汇总统计!U$2:U$500,MATCH(463,样本到样信息汇总统计!$Y$2:$Y$500,0)),"")</f>
        <v/>
      </c>
      <c r="V464" s="4" t="str">
        <f>IFERROR(INDEX(样本到样信息汇总统计!V$2:V$500,MATCH(463,样本到样信息汇总统计!$Y$2:$Y$500,0)),"")</f>
        <v/>
      </c>
      <c r="W464" s="4" t="str">
        <f>IFERROR(INDEX(样本到样信息汇总统计!W$2:W$500,MATCH(463,样本到样信息汇总统计!$Y$2:$Y$500,0)),"")</f>
        <v/>
      </c>
    </row>
    <row r="465" ht="14.5" spans="1:23">
      <c r="A465" s="8" t="str">
        <f>IFERROR(INDEX(样本到样信息汇总统计!A$2:A$500,MATCH(464,样本到样信息汇总统计!$Y$2:$Y$500,0)),"")</f>
        <v/>
      </c>
      <c r="B465" s="8" t="str">
        <f>IFERROR(INDEX(样本到样信息汇总统计!B$2:B$500,MATCH(464,样本到样信息汇总统计!$Y$2:$Y$500,0)),"")</f>
        <v/>
      </c>
      <c r="C465" s="8" t="str">
        <f>IFERROR(INDEX(样本到样信息汇总统计!C$2:C$500,MATCH(464,样本到样信息汇总统计!$Y$2:$Y$500,0)),"")</f>
        <v/>
      </c>
      <c r="D465" s="8" t="str">
        <f>IFERROR(INDEX(样本到样信息汇总统计!D$2:D$500,MATCH(464,样本到样信息汇总统计!$Y$2:$Y$500,0)),"")</f>
        <v/>
      </c>
      <c r="E465" s="8" t="str">
        <f>IFERROR(INDEX(样本到样信息汇总统计!E$2:E$500,MATCH(464,样本到样信息汇总统计!$Y$2:$Y$500,0)),"")</f>
        <v/>
      </c>
      <c r="F465" s="8" t="str">
        <f>IFERROR(INDEX(样本到样信息汇总统计!F$2:F$500,MATCH(464,样本到样信息汇总统计!$Y$2:$Y$500,0)),"")</f>
        <v/>
      </c>
      <c r="G465" s="8" t="str">
        <f>IFERROR(INDEX(样本到样信息汇总统计!G$2:G$500,MATCH(464,样本到样信息汇总统计!$Y$2:$Y$500,0)),"")</f>
        <v/>
      </c>
      <c r="H465" s="8" t="str">
        <f>IFERROR(INDEX(样本到样信息汇总统计!H$2:H$500,MATCH(464,样本到样信息汇总统计!$Y$2:$Y$500,0)),"")</f>
        <v/>
      </c>
      <c r="I465" s="8" t="str">
        <f>IFERROR(INDEX(样本到样信息汇总统计!I$2:I$500,MATCH(464,样本到样信息汇总统计!$Y$2:$Y$500,0)),"")</f>
        <v/>
      </c>
      <c r="J465" s="8" t="str">
        <f>IFERROR(INDEX(样本到样信息汇总统计!J$2:J$500,MATCH(464,样本到样信息汇总统计!$Y$2:$Y$500,0)),"")</f>
        <v/>
      </c>
      <c r="K465" s="8" t="str">
        <f>IFERROR(INDEX(样本到样信息汇总统计!K$2:K$500,MATCH(464,样本到样信息汇总统计!$Y$2:$Y$500,0)),"")</f>
        <v/>
      </c>
      <c r="L465" s="8" t="str">
        <f>IFERROR(INDEX(样本到样信息汇总统计!L$2:L$500,MATCH(464,样本到样信息汇总统计!$Y$2:$Y$500,0)),"")</f>
        <v/>
      </c>
      <c r="M465" s="8" t="str">
        <f>IFERROR(INDEX(样本到样信息汇总统计!M$2:M$500,MATCH(464,样本到样信息汇总统计!$Y$2:$Y$500,0)),"")</f>
        <v/>
      </c>
      <c r="N465" s="8" t="str">
        <f>IFERROR(INDEX(样本到样信息汇总统计!N$2:N$500,MATCH(464,样本到样信息汇总统计!$Y$2:$Y$500,0)),"")</f>
        <v/>
      </c>
      <c r="O465" s="8" t="str">
        <f>IFERROR(INDEX(样本到样信息汇总统计!O$2:O$500,MATCH(464,样本到样信息汇总统计!$Y$2:$Y$500,0)),"")</f>
        <v/>
      </c>
      <c r="P465" s="8" t="str">
        <f>IFERROR(INDEX(样本到样信息汇总统计!P$2:P$500,MATCH(464,样本到样信息汇总统计!$Y$2:$Y$500,0)),"")</f>
        <v/>
      </c>
      <c r="Q465" s="8" t="str">
        <f>IFERROR(INDEX(样本到样信息汇总统计!Q$2:Q$500,MATCH(464,样本到样信息汇总统计!$Y$2:$Y$500,0)),"")</f>
        <v/>
      </c>
      <c r="R465" s="8" t="str">
        <f>IFERROR(INDEX(样本到样信息汇总统计!R$2:R$500,MATCH(464,样本到样信息汇总统计!$Y$2:$Y$500,0)),"")</f>
        <v/>
      </c>
      <c r="S465" s="8" t="str">
        <f>IFERROR(INDEX(样本到样信息汇总统计!S$2:S$500,MATCH(464,样本到样信息汇总统计!$Y$2:$Y$500,0)),"")</f>
        <v/>
      </c>
      <c r="T465" s="8" t="str">
        <f>IFERROR(INDEX(样本到样信息汇总统计!T$2:T$500,MATCH(464,样本到样信息汇总统计!$Y$2:$Y$500,0)),"")</f>
        <v/>
      </c>
      <c r="U465" s="8" t="str">
        <f>IFERROR(INDEX(样本到样信息汇总统计!U$2:U$500,MATCH(464,样本到样信息汇总统计!$Y$2:$Y$500,0)),"")</f>
        <v/>
      </c>
      <c r="V465" s="8" t="str">
        <f>IFERROR(INDEX(样本到样信息汇总统计!V$2:V$500,MATCH(464,样本到样信息汇总统计!$Y$2:$Y$500,0)),"")</f>
        <v/>
      </c>
      <c r="W465" s="8" t="str">
        <f>IFERROR(INDEX(样本到样信息汇总统计!W$2:W$500,MATCH(464,样本到样信息汇总统计!$Y$2:$Y$500,0)),"")</f>
        <v/>
      </c>
    </row>
    <row r="466" ht="14.5" spans="1:23">
      <c r="A466" s="4" t="str">
        <f>IFERROR(INDEX(样本到样信息汇总统计!A$2:A$500,MATCH(465,样本到样信息汇总统计!$Y$2:$Y$500,0)),"")</f>
        <v/>
      </c>
      <c r="B466" s="4" t="str">
        <f>IFERROR(INDEX(样本到样信息汇总统计!B$2:B$500,MATCH(465,样本到样信息汇总统计!$Y$2:$Y$500,0)),"")</f>
        <v/>
      </c>
      <c r="C466" s="4" t="str">
        <f>IFERROR(INDEX(样本到样信息汇总统计!C$2:C$500,MATCH(465,样本到样信息汇总统计!$Y$2:$Y$500,0)),"")</f>
        <v/>
      </c>
      <c r="D466" s="4" t="str">
        <f>IFERROR(INDEX(样本到样信息汇总统计!D$2:D$500,MATCH(465,样本到样信息汇总统计!$Y$2:$Y$500,0)),"")</f>
        <v/>
      </c>
      <c r="E466" s="4" t="str">
        <f>IFERROR(INDEX(样本到样信息汇总统计!E$2:E$500,MATCH(465,样本到样信息汇总统计!$Y$2:$Y$500,0)),"")</f>
        <v/>
      </c>
      <c r="F466" s="4" t="str">
        <f>IFERROR(INDEX(样本到样信息汇总统计!F$2:F$500,MATCH(465,样本到样信息汇总统计!$Y$2:$Y$500,0)),"")</f>
        <v/>
      </c>
      <c r="G466" s="4" t="str">
        <f>IFERROR(INDEX(样本到样信息汇总统计!G$2:G$500,MATCH(465,样本到样信息汇总统计!$Y$2:$Y$500,0)),"")</f>
        <v/>
      </c>
      <c r="H466" s="4" t="str">
        <f>IFERROR(INDEX(样本到样信息汇总统计!H$2:H$500,MATCH(465,样本到样信息汇总统计!$Y$2:$Y$500,0)),"")</f>
        <v/>
      </c>
      <c r="I466" s="4" t="str">
        <f>IFERROR(INDEX(样本到样信息汇总统计!I$2:I$500,MATCH(465,样本到样信息汇总统计!$Y$2:$Y$500,0)),"")</f>
        <v/>
      </c>
      <c r="J466" s="4" t="str">
        <f>IFERROR(INDEX(样本到样信息汇总统计!J$2:J$500,MATCH(465,样本到样信息汇总统计!$Y$2:$Y$500,0)),"")</f>
        <v/>
      </c>
      <c r="K466" s="4" t="str">
        <f>IFERROR(INDEX(样本到样信息汇总统计!K$2:K$500,MATCH(465,样本到样信息汇总统计!$Y$2:$Y$500,0)),"")</f>
        <v/>
      </c>
      <c r="L466" s="4" t="str">
        <f>IFERROR(INDEX(样本到样信息汇总统计!L$2:L$500,MATCH(465,样本到样信息汇总统计!$Y$2:$Y$500,0)),"")</f>
        <v/>
      </c>
      <c r="M466" s="4" t="str">
        <f>IFERROR(INDEX(样本到样信息汇总统计!M$2:M$500,MATCH(465,样本到样信息汇总统计!$Y$2:$Y$500,0)),"")</f>
        <v/>
      </c>
      <c r="N466" s="4" t="str">
        <f>IFERROR(INDEX(样本到样信息汇总统计!N$2:N$500,MATCH(465,样本到样信息汇总统计!$Y$2:$Y$500,0)),"")</f>
        <v/>
      </c>
      <c r="O466" s="4" t="str">
        <f>IFERROR(INDEX(样本到样信息汇总统计!O$2:O$500,MATCH(465,样本到样信息汇总统计!$Y$2:$Y$500,0)),"")</f>
        <v/>
      </c>
      <c r="P466" s="4" t="str">
        <f>IFERROR(INDEX(样本到样信息汇总统计!P$2:P$500,MATCH(465,样本到样信息汇总统计!$Y$2:$Y$500,0)),"")</f>
        <v/>
      </c>
      <c r="Q466" s="4" t="str">
        <f>IFERROR(INDEX(样本到样信息汇总统计!Q$2:Q$500,MATCH(465,样本到样信息汇总统计!$Y$2:$Y$500,0)),"")</f>
        <v/>
      </c>
      <c r="R466" s="4" t="str">
        <f>IFERROR(INDEX(样本到样信息汇总统计!R$2:R$500,MATCH(465,样本到样信息汇总统计!$Y$2:$Y$500,0)),"")</f>
        <v/>
      </c>
      <c r="S466" s="4" t="str">
        <f>IFERROR(INDEX(样本到样信息汇总统计!S$2:S$500,MATCH(465,样本到样信息汇总统计!$Y$2:$Y$500,0)),"")</f>
        <v/>
      </c>
      <c r="T466" s="4" t="str">
        <f>IFERROR(INDEX(样本到样信息汇总统计!T$2:T$500,MATCH(465,样本到样信息汇总统计!$Y$2:$Y$500,0)),"")</f>
        <v/>
      </c>
      <c r="U466" s="4" t="str">
        <f>IFERROR(INDEX(样本到样信息汇总统计!U$2:U$500,MATCH(465,样本到样信息汇总统计!$Y$2:$Y$500,0)),"")</f>
        <v/>
      </c>
      <c r="V466" s="4" t="str">
        <f>IFERROR(INDEX(样本到样信息汇总统计!V$2:V$500,MATCH(465,样本到样信息汇总统计!$Y$2:$Y$500,0)),"")</f>
        <v/>
      </c>
      <c r="W466" s="4" t="str">
        <f>IFERROR(INDEX(样本到样信息汇总统计!W$2:W$500,MATCH(465,样本到样信息汇总统计!$Y$2:$Y$500,0)),"")</f>
        <v/>
      </c>
    </row>
    <row r="467" ht="14.5" spans="1:23">
      <c r="A467" s="8" t="str">
        <f>IFERROR(INDEX(样本到样信息汇总统计!A$2:A$500,MATCH(466,样本到样信息汇总统计!$Y$2:$Y$500,0)),"")</f>
        <v/>
      </c>
      <c r="B467" s="8" t="str">
        <f>IFERROR(INDEX(样本到样信息汇总统计!B$2:B$500,MATCH(466,样本到样信息汇总统计!$Y$2:$Y$500,0)),"")</f>
        <v/>
      </c>
      <c r="C467" s="8" t="str">
        <f>IFERROR(INDEX(样本到样信息汇总统计!C$2:C$500,MATCH(466,样本到样信息汇总统计!$Y$2:$Y$500,0)),"")</f>
        <v/>
      </c>
      <c r="D467" s="8" t="str">
        <f>IFERROR(INDEX(样本到样信息汇总统计!D$2:D$500,MATCH(466,样本到样信息汇总统计!$Y$2:$Y$500,0)),"")</f>
        <v/>
      </c>
      <c r="E467" s="8" t="str">
        <f>IFERROR(INDEX(样本到样信息汇总统计!E$2:E$500,MATCH(466,样本到样信息汇总统计!$Y$2:$Y$500,0)),"")</f>
        <v/>
      </c>
      <c r="F467" s="8" t="str">
        <f>IFERROR(INDEX(样本到样信息汇总统计!F$2:F$500,MATCH(466,样本到样信息汇总统计!$Y$2:$Y$500,0)),"")</f>
        <v/>
      </c>
      <c r="G467" s="8" t="str">
        <f>IFERROR(INDEX(样本到样信息汇总统计!G$2:G$500,MATCH(466,样本到样信息汇总统计!$Y$2:$Y$500,0)),"")</f>
        <v/>
      </c>
      <c r="H467" s="8" t="str">
        <f>IFERROR(INDEX(样本到样信息汇总统计!H$2:H$500,MATCH(466,样本到样信息汇总统计!$Y$2:$Y$500,0)),"")</f>
        <v/>
      </c>
      <c r="I467" s="8" t="str">
        <f>IFERROR(INDEX(样本到样信息汇总统计!I$2:I$500,MATCH(466,样本到样信息汇总统计!$Y$2:$Y$500,0)),"")</f>
        <v/>
      </c>
      <c r="J467" s="8" t="str">
        <f>IFERROR(INDEX(样本到样信息汇总统计!J$2:J$500,MATCH(466,样本到样信息汇总统计!$Y$2:$Y$500,0)),"")</f>
        <v/>
      </c>
      <c r="K467" s="8" t="str">
        <f>IFERROR(INDEX(样本到样信息汇总统计!K$2:K$500,MATCH(466,样本到样信息汇总统计!$Y$2:$Y$500,0)),"")</f>
        <v/>
      </c>
      <c r="L467" s="8" t="str">
        <f>IFERROR(INDEX(样本到样信息汇总统计!L$2:L$500,MATCH(466,样本到样信息汇总统计!$Y$2:$Y$500,0)),"")</f>
        <v/>
      </c>
      <c r="M467" s="8" t="str">
        <f>IFERROR(INDEX(样本到样信息汇总统计!M$2:M$500,MATCH(466,样本到样信息汇总统计!$Y$2:$Y$500,0)),"")</f>
        <v/>
      </c>
      <c r="N467" s="8" t="str">
        <f>IFERROR(INDEX(样本到样信息汇总统计!N$2:N$500,MATCH(466,样本到样信息汇总统计!$Y$2:$Y$500,0)),"")</f>
        <v/>
      </c>
      <c r="O467" s="8" t="str">
        <f>IFERROR(INDEX(样本到样信息汇总统计!O$2:O$500,MATCH(466,样本到样信息汇总统计!$Y$2:$Y$500,0)),"")</f>
        <v/>
      </c>
      <c r="P467" s="8" t="str">
        <f>IFERROR(INDEX(样本到样信息汇总统计!P$2:P$500,MATCH(466,样本到样信息汇总统计!$Y$2:$Y$500,0)),"")</f>
        <v/>
      </c>
      <c r="Q467" s="8" t="str">
        <f>IFERROR(INDEX(样本到样信息汇总统计!Q$2:Q$500,MATCH(466,样本到样信息汇总统计!$Y$2:$Y$500,0)),"")</f>
        <v/>
      </c>
      <c r="R467" s="8" t="str">
        <f>IFERROR(INDEX(样本到样信息汇总统计!R$2:R$500,MATCH(466,样本到样信息汇总统计!$Y$2:$Y$500,0)),"")</f>
        <v/>
      </c>
      <c r="S467" s="8" t="str">
        <f>IFERROR(INDEX(样本到样信息汇总统计!S$2:S$500,MATCH(466,样本到样信息汇总统计!$Y$2:$Y$500,0)),"")</f>
        <v/>
      </c>
      <c r="T467" s="8" t="str">
        <f>IFERROR(INDEX(样本到样信息汇总统计!T$2:T$500,MATCH(466,样本到样信息汇总统计!$Y$2:$Y$500,0)),"")</f>
        <v/>
      </c>
      <c r="U467" s="8" t="str">
        <f>IFERROR(INDEX(样本到样信息汇总统计!U$2:U$500,MATCH(466,样本到样信息汇总统计!$Y$2:$Y$500,0)),"")</f>
        <v/>
      </c>
      <c r="V467" s="8" t="str">
        <f>IFERROR(INDEX(样本到样信息汇总统计!V$2:V$500,MATCH(466,样本到样信息汇总统计!$Y$2:$Y$500,0)),"")</f>
        <v/>
      </c>
      <c r="W467" s="8" t="str">
        <f>IFERROR(INDEX(样本到样信息汇总统计!W$2:W$500,MATCH(466,样本到样信息汇总统计!$Y$2:$Y$500,0)),"")</f>
        <v/>
      </c>
    </row>
    <row r="468" ht="14.5" spans="1:23">
      <c r="A468" s="4" t="str">
        <f>IFERROR(INDEX(样本到样信息汇总统计!A$2:A$500,MATCH(467,样本到样信息汇总统计!$Y$2:$Y$500,0)),"")</f>
        <v/>
      </c>
      <c r="B468" s="4" t="str">
        <f>IFERROR(INDEX(样本到样信息汇总统计!B$2:B$500,MATCH(467,样本到样信息汇总统计!$Y$2:$Y$500,0)),"")</f>
        <v/>
      </c>
      <c r="C468" s="4" t="str">
        <f>IFERROR(INDEX(样本到样信息汇总统计!C$2:C$500,MATCH(467,样本到样信息汇总统计!$Y$2:$Y$500,0)),"")</f>
        <v/>
      </c>
      <c r="D468" s="4" t="str">
        <f>IFERROR(INDEX(样本到样信息汇总统计!D$2:D$500,MATCH(467,样本到样信息汇总统计!$Y$2:$Y$500,0)),"")</f>
        <v/>
      </c>
      <c r="E468" s="4" t="str">
        <f>IFERROR(INDEX(样本到样信息汇总统计!E$2:E$500,MATCH(467,样本到样信息汇总统计!$Y$2:$Y$500,0)),"")</f>
        <v/>
      </c>
      <c r="F468" s="4" t="str">
        <f>IFERROR(INDEX(样本到样信息汇总统计!F$2:F$500,MATCH(467,样本到样信息汇总统计!$Y$2:$Y$500,0)),"")</f>
        <v/>
      </c>
      <c r="G468" s="4" t="str">
        <f>IFERROR(INDEX(样本到样信息汇总统计!G$2:G$500,MATCH(467,样本到样信息汇总统计!$Y$2:$Y$500,0)),"")</f>
        <v/>
      </c>
      <c r="H468" s="4" t="str">
        <f>IFERROR(INDEX(样本到样信息汇总统计!H$2:H$500,MATCH(467,样本到样信息汇总统计!$Y$2:$Y$500,0)),"")</f>
        <v/>
      </c>
      <c r="I468" s="4" t="str">
        <f>IFERROR(INDEX(样本到样信息汇总统计!I$2:I$500,MATCH(467,样本到样信息汇总统计!$Y$2:$Y$500,0)),"")</f>
        <v/>
      </c>
      <c r="J468" s="4" t="str">
        <f>IFERROR(INDEX(样本到样信息汇总统计!J$2:J$500,MATCH(467,样本到样信息汇总统计!$Y$2:$Y$500,0)),"")</f>
        <v/>
      </c>
      <c r="K468" s="4" t="str">
        <f>IFERROR(INDEX(样本到样信息汇总统计!K$2:K$500,MATCH(467,样本到样信息汇总统计!$Y$2:$Y$500,0)),"")</f>
        <v/>
      </c>
      <c r="L468" s="4" t="str">
        <f>IFERROR(INDEX(样本到样信息汇总统计!L$2:L$500,MATCH(467,样本到样信息汇总统计!$Y$2:$Y$500,0)),"")</f>
        <v/>
      </c>
      <c r="M468" s="4" t="str">
        <f>IFERROR(INDEX(样本到样信息汇总统计!M$2:M$500,MATCH(467,样本到样信息汇总统计!$Y$2:$Y$500,0)),"")</f>
        <v/>
      </c>
      <c r="N468" s="4" t="str">
        <f>IFERROR(INDEX(样本到样信息汇总统计!N$2:N$500,MATCH(467,样本到样信息汇总统计!$Y$2:$Y$500,0)),"")</f>
        <v/>
      </c>
      <c r="O468" s="4" t="str">
        <f>IFERROR(INDEX(样本到样信息汇总统计!O$2:O$500,MATCH(467,样本到样信息汇总统计!$Y$2:$Y$500,0)),"")</f>
        <v/>
      </c>
      <c r="P468" s="4" t="str">
        <f>IFERROR(INDEX(样本到样信息汇总统计!P$2:P$500,MATCH(467,样本到样信息汇总统计!$Y$2:$Y$500,0)),"")</f>
        <v/>
      </c>
      <c r="Q468" s="4" t="str">
        <f>IFERROR(INDEX(样本到样信息汇总统计!Q$2:Q$500,MATCH(467,样本到样信息汇总统计!$Y$2:$Y$500,0)),"")</f>
        <v/>
      </c>
      <c r="R468" s="4" t="str">
        <f>IFERROR(INDEX(样本到样信息汇总统计!R$2:R$500,MATCH(467,样本到样信息汇总统计!$Y$2:$Y$500,0)),"")</f>
        <v/>
      </c>
      <c r="S468" s="4" t="str">
        <f>IFERROR(INDEX(样本到样信息汇总统计!S$2:S$500,MATCH(467,样本到样信息汇总统计!$Y$2:$Y$500,0)),"")</f>
        <v/>
      </c>
      <c r="T468" s="4" t="str">
        <f>IFERROR(INDEX(样本到样信息汇总统计!T$2:T$500,MATCH(467,样本到样信息汇总统计!$Y$2:$Y$500,0)),"")</f>
        <v/>
      </c>
      <c r="U468" s="4" t="str">
        <f>IFERROR(INDEX(样本到样信息汇总统计!U$2:U$500,MATCH(467,样本到样信息汇总统计!$Y$2:$Y$500,0)),"")</f>
        <v/>
      </c>
      <c r="V468" s="4" t="str">
        <f>IFERROR(INDEX(样本到样信息汇总统计!V$2:V$500,MATCH(467,样本到样信息汇总统计!$Y$2:$Y$500,0)),"")</f>
        <v/>
      </c>
      <c r="W468" s="4" t="str">
        <f>IFERROR(INDEX(样本到样信息汇总统计!W$2:W$500,MATCH(467,样本到样信息汇总统计!$Y$2:$Y$500,0)),"")</f>
        <v/>
      </c>
    </row>
    <row r="469" ht="14.5" spans="1:23">
      <c r="A469" s="8" t="str">
        <f>IFERROR(INDEX(样本到样信息汇总统计!A$2:A$500,MATCH(468,样本到样信息汇总统计!$Y$2:$Y$500,0)),"")</f>
        <v/>
      </c>
      <c r="B469" s="8" t="str">
        <f>IFERROR(INDEX(样本到样信息汇总统计!B$2:B$500,MATCH(468,样本到样信息汇总统计!$Y$2:$Y$500,0)),"")</f>
        <v/>
      </c>
      <c r="C469" s="8" t="str">
        <f>IFERROR(INDEX(样本到样信息汇总统计!C$2:C$500,MATCH(468,样本到样信息汇总统计!$Y$2:$Y$500,0)),"")</f>
        <v/>
      </c>
      <c r="D469" s="8" t="str">
        <f>IFERROR(INDEX(样本到样信息汇总统计!D$2:D$500,MATCH(468,样本到样信息汇总统计!$Y$2:$Y$500,0)),"")</f>
        <v/>
      </c>
      <c r="E469" s="8" t="str">
        <f>IFERROR(INDEX(样本到样信息汇总统计!E$2:E$500,MATCH(468,样本到样信息汇总统计!$Y$2:$Y$500,0)),"")</f>
        <v/>
      </c>
      <c r="F469" s="8" t="str">
        <f>IFERROR(INDEX(样本到样信息汇总统计!F$2:F$500,MATCH(468,样本到样信息汇总统计!$Y$2:$Y$500,0)),"")</f>
        <v/>
      </c>
      <c r="G469" s="8" t="str">
        <f>IFERROR(INDEX(样本到样信息汇总统计!G$2:G$500,MATCH(468,样本到样信息汇总统计!$Y$2:$Y$500,0)),"")</f>
        <v/>
      </c>
      <c r="H469" s="8" t="str">
        <f>IFERROR(INDEX(样本到样信息汇总统计!H$2:H$500,MATCH(468,样本到样信息汇总统计!$Y$2:$Y$500,0)),"")</f>
        <v/>
      </c>
      <c r="I469" s="8" t="str">
        <f>IFERROR(INDEX(样本到样信息汇总统计!I$2:I$500,MATCH(468,样本到样信息汇总统计!$Y$2:$Y$500,0)),"")</f>
        <v/>
      </c>
      <c r="J469" s="8" t="str">
        <f>IFERROR(INDEX(样本到样信息汇总统计!J$2:J$500,MATCH(468,样本到样信息汇总统计!$Y$2:$Y$500,0)),"")</f>
        <v/>
      </c>
      <c r="K469" s="8" t="str">
        <f>IFERROR(INDEX(样本到样信息汇总统计!K$2:K$500,MATCH(468,样本到样信息汇总统计!$Y$2:$Y$500,0)),"")</f>
        <v/>
      </c>
      <c r="L469" s="8" t="str">
        <f>IFERROR(INDEX(样本到样信息汇总统计!L$2:L$500,MATCH(468,样本到样信息汇总统计!$Y$2:$Y$500,0)),"")</f>
        <v/>
      </c>
      <c r="M469" s="8" t="str">
        <f>IFERROR(INDEX(样本到样信息汇总统计!M$2:M$500,MATCH(468,样本到样信息汇总统计!$Y$2:$Y$500,0)),"")</f>
        <v/>
      </c>
      <c r="N469" s="8" t="str">
        <f>IFERROR(INDEX(样本到样信息汇总统计!N$2:N$500,MATCH(468,样本到样信息汇总统计!$Y$2:$Y$500,0)),"")</f>
        <v/>
      </c>
      <c r="O469" s="8" t="str">
        <f>IFERROR(INDEX(样本到样信息汇总统计!O$2:O$500,MATCH(468,样本到样信息汇总统计!$Y$2:$Y$500,0)),"")</f>
        <v/>
      </c>
      <c r="P469" s="8" t="str">
        <f>IFERROR(INDEX(样本到样信息汇总统计!P$2:P$500,MATCH(468,样本到样信息汇总统计!$Y$2:$Y$500,0)),"")</f>
        <v/>
      </c>
      <c r="Q469" s="8" t="str">
        <f>IFERROR(INDEX(样本到样信息汇总统计!Q$2:Q$500,MATCH(468,样本到样信息汇总统计!$Y$2:$Y$500,0)),"")</f>
        <v/>
      </c>
      <c r="R469" s="8" t="str">
        <f>IFERROR(INDEX(样本到样信息汇总统计!R$2:R$500,MATCH(468,样本到样信息汇总统计!$Y$2:$Y$500,0)),"")</f>
        <v/>
      </c>
      <c r="S469" s="8" t="str">
        <f>IFERROR(INDEX(样本到样信息汇总统计!S$2:S$500,MATCH(468,样本到样信息汇总统计!$Y$2:$Y$500,0)),"")</f>
        <v/>
      </c>
      <c r="T469" s="8" t="str">
        <f>IFERROR(INDEX(样本到样信息汇总统计!T$2:T$500,MATCH(468,样本到样信息汇总统计!$Y$2:$Y$500,0)),"")</f>
        <v/>
      </c>
      <c r="U469" s="8" t="str">
        <f>IFERROR(INDEX(样本到样信息汇总统计!U$2:U$500,MATCH(468,样本到样信息汇总统计!$Y$2:$Y$500,0)),"")</f>
        <v/>
      </c>
      <c r="V469" s="8" t="str">
        <f>IFERROR(INDEX(样本到样信息汇总统计!V$2:V$500,MATCH(468,样本到样信息汇总统计!$Y$2:$Y$500,0)),"")</f>
        <v/>
      </c>
      <c r="W469" s="8" t="str">
        <f>IFERROR(INDEX(样本到样信息汇总统计!W$2:W$500,MATCH(468,样本到样信息汇总统计!$Y$2:$Y$500,0)),"")</f>
        <v/>
      </c>
    </row>
    <row r="470" ht="14.5" spans="1:23">
      <c r="A470" s="4" t="str">
        <f>IFERROR(INDEX(样本到样信息汇总统计!A$2:A$500,MATCH(469,样本到样信息汇总统计!$Y$2:$Y$500,0)),"")</f>
        <v/>
      </c>
      <c r="B470" s="4" t="str">
        <f>IFERROR(INDEX(样本到样信息汇总统计!B$2:B$500,MATCH(469,样本到样信息汇总统计!$Y$2:$Y$500,0)),"")</f>
        <v/>
      </c>
      <c r="C470" s="4" t="str">
        <f>IFERROR(INDEX(样本到样信息汇总统计!C$2:C$500,MATCH(469,样本到样信息汇总统计!$Y$2:$Y$500,0)),"")</f>
        <v/>
      </c>
      <c r="D470" s="4" t="str">
        <f>IFERROR(INDEX(样本到样信息汇总统计!D$2:D$500,MATCH(469,样本到样信息汇总统计!$Y$2:$Y$500,0)),"")</f>
        <v/>
      </c>
      <c r="E470" s="4" t="str">
        <f>IFERROR(INDEX(样本到样信息汇总统计!E$2:E$500,MATCH(469,样本到样信息汇总统计!$Y$2:$Y$500,0)),"")</f>
        <v/>
      </c>
      <c r="F470" s="4" t="str">
        <f>IFERROR(INDEX(样本到样信息汇总统计!F$2:F$500,MATCH(469,样本到样信息汇总统计!$Y$2:$Y$500,0)),"")</f>
        <v/>
      </c>
      <c r="G470" s="4" t="str">
        <f>IFERROR(INDEX(样本到样信息汇总统计!G$2:G$500,MATCH(469,样本到样信息汇总统计!$Y$2:$Y$500,0)),"")</f>
        <v/>
      </c>
      <c r="H470" s="4" t="str">
        <f>IFERROR(INDEX(样本到样信息汇总统计!H$2:H$500,MATCH(469,样本到样信息汇总统计!$Y$2:$Y$500,0)),"")</f>
        <v/>
      </c>
      <c r="I470" s="4" t="str">
        <f>IFERROR(INDEX(样本到样信息汇总统计!I$2:I$500,MATCH(469,样本到样信息汇总统计!$Y$2:$Y$500,0)),"")</f>
        <v/>
      </c>
      <c r="J470" s="4" t="str">
        <f>IFERROR(INDEX(样本到样信息汇总统计!J$2:J$500,MATCH(469,样本到样信息汇总统计!$Y$2:$Y$500,0)),"")</f>
        <v/>
      </c>
      <c r="K470" s="4" t="str">
        <f>IFERROR(INDEX(样本到样信息汇总统计!K$2:K$500,MATCH(469,样本到样信息汇总统计!$Y$2:$Y$500,0)),"")</f>
        <v/>
      </c>
      <c r="L470" s="4" t="str">
        <f>IFERROR(INDEX(样本到样信息汇总统计!L$2:L$500,MATCH(469,样本到样信息汇总统计!$Y$2:$Y$500,0)),"")</f>
        <v/>
      </c>
      <c r="M470" s="4" t="str">
        <f>IFERROR(INDEX(样本到样信息汇总统计!M$2:M$500,MATCH(469,样本到样信息汇总统计!$Y$2:$Y$500,0)),"")</f>
        <v/>
      </c>
      <c r="N470" s="4" t="str">
        <f>IFERROR(INDEX(样本到样信息汇总统计!N$2:N$500,MATCH(469,样本到样信息汇总统计!$Y$2:$Y$500,0)),"")</f>
        <v/>
      </c>
      <c r="O470" s="4" t="str">
        <f>IFERROR(INDEX(样本到样信息汇总统计!O$2:O$500,MATCH(469,样本到样信息汇总统计!$Y$2:$Y$500,0)),"")</f>
        <v/>
      </c>
      <c r="P470" s="4" t="str">
        <f>IFERROR(INDEX(样本到样信息汇总统计!P$2:P$500,MATCH(469,样本到样信息汇总统计!$Y$2:$Y$500,0)),"")</f>
        <v/>
      </c>
      <c r="Q470" s="4" t="str">
        <f>IFERROR(INDEX(样本到样信息汇总统计!Q$2:Q$500,MATCH(469,样本到样信息汇总统计!$Y$2:$Y$500,0)),"")</f>
        <v/>
      </c>
      <c r="R470" s="4" t="str">
        <f>IFERROR(INDEX(样本到样信息汇总统计!R$2:R$500,MATCH(469,样本到样信息汇总统计!$Y$2:$Y$500,0)),"")</f>
        <v/>
      </c>
      <c r="S470" s="4" t="str">
        <f>IFERROR(INDEX(样本到样信息汇总统计!S$2:S$500,MATCH(469,样本到样信息汇总统计!$Y$2:$Y$500,0)),"")</f>
        <v/>
      </c>
      <c r="T470" s="4" t="str">
        <f>IFERROR(INDEX(样本到样信息汇总统计!T$2:T$500,MATCH(469,样本到样信息汇总统计!$Y$2:$Y$500,0)),"")</f>
        <v/>
      </c>
      <c r="U470" s="4" t="str">
        <f>IFERROR(INDEX(样本到样信息汇总统计!U$2:U$500,MATCH(469,样本到样信息汇总统计!$Y$2:$Y$500,0)),"")</f>
        <v/>
      </c>
      <c r="V470" s="4" t="str">
        <f>IFERROR(INDEX(样本到样信息汇总统计!V$2:V$500,MATCH(469,样本到样信息汇总统计!$Y$2:$Y$500,0)),"")</f>
        <v/>
      </c>
      <c r="W470" s="4" t="str">
        <f>IFERROR(INDEX(样本到样信息汇总统计!W$2:W$500,MATCH(469,样本到样信息汇总统计!$Y$2:$Y$500,0)),"")</f>
        <v/>
      </c>
    </row>
    <row r="471" ht="14.5" spans="1:23">
      <c r="A471" s="8" t="str">
        <f>IFERROR(INDEX(样本到样信息汇总统计!A$2:A$500,MATCH(470,样本到样信息汇总统计!$Y$2:$Y$500,0)),"")</f>
        <v/>
      </c>
      <c r="B471" s="8" t="str">
        <f>IFERROR(INDEX(样本到样信息汇总统计!B$2:B$500,MATCH(470,样本到样信息汇总统计!$Y$2:$Y$500,0)),"")</f>
        <v/>
      </c>
      <c r="C471" s="8" t="str">
        <f>IFERROR(INDEX(样本到样信息汇总统计!C$2:C$500,MATCH(470,样本到样信息汇总统计!$Y$2:$Y$500,0)),"")</f>
        <v/>
      </c>
      <c r="D471" s="8" t="str">
        <f>IFERROR(INDEX(样本到样信息汇总统计!D$2:D$500,MATCH(470,样本到样信息汇总统计!$Y$2:$Y$500,0)),"")</f>
        <v/>
      </c>
      <c r="E471" s="8" t="str">
        <f>IFERROR(INDEX(样本到样信息汇总统计!E$2:E$500,MATCH(470,样本到样信息汇总统计!$Y$2:$Y$500,0)),"")</f>
        <v/>
      </c>
      <c r="F471" s="8" t="str">
        <f>IFERROR(INDEX(样本到样信息汇总统计!F$2:F$500,MATCH(470,样本到样信息汇总统计!$Y$2:$Y$500,0)),"")</f>
        <v/>
      </c>
      <c r="G471" s="8" t="str">
        <f>IFERROR(INDEX(样本到样信息汇总统计!G$2:G$500,MATCH(470,样本到样信息汇总统计!$Y$2:$Y$500,0)),"")</f>
        <v/>
      </c>
      <c r="H471" s="8" t="str">
        <f>IFERROR(INDEX(样本到样信息汇总统计!H$2:H$500,MATCH(470,样本到样信息汇总统计!$Y$2:$Y$500,0)),"")</f>
        <v/>
      </c>
      <c r="I471" s="8" t="str">
        <f>IFERROR(INDEX(样本到样信息汇总统计!I$2:I$500,MATCH(470,样本到样信息汇总统计!$Y$2:$Y$500,0)),"")</f>
        <v/>
      </c>
      <c r="J471" s="8" t="str">
        <f>IFERROR(INDEX(样本到样信息汇总统计!J$2:J$500,MATCH(470,样本到样信息汇总统计!$Y$2:$Y$500,0)),"")</f>
        <v/>
      </c>
      <c r="K471" s="8" t="str">
        <f>IFERROR(INDEX(样本到样信息汇总统计!K$2:K$500,MATCH(470,样本到样信息汇总统计!$Y$2:$Y$500,0)),"")</f>
        <v/>
      </c>
      <c r="L471" s="8" t="str">
        <f>IFERROR(INDEX(样本到样信息汇总统计!L$2:L$500,MATCH(470,样本到样信息汇总统计!$Y$2:$Y$500,0)),"")</f>
        <v/>
      </c>
      <c r="M471" s="8" t="str">
        <f>IFERROR(INDEX(样本到样信息汇总统计!M$2:M$500,MATCH(470,样本到样信息汇总统计!$Y$2:$Y$500,0)),"")</f>
        <v/>
      </c>
      <c r="N471" s="8" t="str">
        <f>IFERROR(INDEX(样本到样信息汇总统计!N$2:N$500,MATCH(470,样本到样信息汇总统计!$Y$2:$Y$500,0)),"")</f>
        <v/>
      </c>
      <c r="O471" s="8" t="str">
        <f>IFERROR(INDEX(样本到样信息汇总统计!O$2:O$500,MATCH(470,样本到样信息汇总统计!$Y$2:$Y$500,0)),"")</f>
        <v/>
      </c>
      <c r="P471" s="8" t="str">
        <f>IFERROR(INDEX(样本到样信息汇总统计!P$2:P$500,MATCH(470,样本到样信息汇总统计!$Y$2:$Y$500,0)),"")</f>
        <v/>
      </c>
      <c r="Q471" s="8" t="str">
        <f>IFERROR(INDEX(样本到样信息汇总统计!Q$2:Q$500,MATCH(470,样本到样信息汇总统计!$Y$2:$Y$500,0)),"")</f>
        <v/>
      </c>
      <c r="R471" s="8" t="str">
        <f>IFERROR(INDEX(样本到样信息汇总统计!R$2:R$500,MATCH(470,样本到样信息汇总统计!$Y$2:$Y$500,0)),"")</f>
        <v/>
      </c>
      <c r="S471" s="8" t="str">
        <f>IFERROR(INDEX(样本到样信息汇总统计!S$2:S$500,MATCH(470,样本到样信息汇总统计!$Y$2:$Y$500,0)),"")</f>
        <v/>
      </c>
      <c r="T471" s="8" t="str">
        <f>IFERROR(INDEX(样本到样信息汇总统计!T$2:T$500,MATCH(470,样本到样信息汇总统计!$Y$2:$Y$500,0)),"")</f>
        <v/>
      </c>
      <c r="U471" s="8" t="str">
        <f>IFERROR(INDEX(样本到样信息汇总统计!U$2:U$500,MATCH(470,样本到样信息汇总统计!$Y$2:$Y$500,0)),"")</f>
        <v/>
      </c>
      <c r="V471" s="8" t="str">
        <f>IFERROR(INDEX(样本到样信息汇总统计!V$2:V$500,MATCH(470,样本到样信息汇总统计!$Y$2:$Y$500,0)),"")</f>
        <v/>
      </c>
      <c r="W471" s="8" t="str">
        <f>IFERROR(INDEX(样本到样信息汇总统计!W$2:W$500,MATCH(470,样本到样信息汇总统计!$Y$2:$Y$500,0)),"")</f>
        <v/>
      </c>
    </row>
    <row r="472" ht="14.5" spans="1:23">
      <c r="A472" s="4" t="str">
        <f>IFERROR(INDEX(样本到样信息汇总统计!A$2:A$500,MATCH(471,样本到样信息汇总统计!$Y$2:$Y$500,0)),"")</f>
        <v/>
      </c>
      <c r="B472" s="4" t="str">
        <f>IFERROR(INDEX(样本到样信息汇总统计!B$2:B$500,MATCH(471,样本到样信息汇总统计!$Y$2:$Y$500,0)),"")</f>
        <v/>
      </c>
      <c r="C472" s="4" t="str">
        <f>IFERROR(INDEX(样本到样信息汇总统计!C$2:C$500,MATCH(471,样本到样信息汇总统计!$Y$2:$Y$500,0)),"")</f>
        <v/>
      </c>
      <c r="D472" s="4" t="str">
        <f>IFERROR(INDEX(样本到样信息汇总统计!D$2:D$500,MATCH(471,样本到样信息汇总统计!$Y$2:$Y$500,0)),"")</f>
        <v/>
      </c>
      <c r="E472" s="4" t="str">
        <f>IFERROR(INDEX(样本到样信息汇总统计!E$2:E$500,MATCH(471,样本到样信息汇总统计!$Y$2:$Y$500,0)),"")</f>
        <v/>
      </c>
      <c r="F472" s="4" t="str">
        <f>IFERROR(INDEX(样本到样信息汇总统计!F$2:F$500,MATCH(471,样本到样信息汇总统计!$Y$2:$Y$500,0)),"")</f>
        <v/>
      </c>
      <c r="G472" s="4" t="str">
        <f>IFERROR(INDEX(样本到样信息汇总统计!G$2:G$500,MATCH(471,样本到样信息汇总统计!$Y$2:$Y$500,0)),"")</f>
        <v/>
      </c>
      <c r="H472" s="4" t="str">
        <f>IFERROR(INDEX(样本到样信息汇总统计!H$2:H$500,MATCH(471,样本到样信息汇总统计!$Y$2:$Y$500,0)),"")</f>
        <v/>
      </c>
      <c r="I472" s="4" t="str">
        <f>IFERROR(INDEX(样本到样信息汇总统计!I$2:I$500,MATCH(471,样本到样信息汇总统计!$Y$2:$Y$500,0)),"")</f>
        <v/>
      </c>
      <c r="J472" s="4" t="str">
        <f>IFERROR(INDEX(样本到样信息汇总统计!J$2:J$500,MATCH(471,样本到样信息汇总统计!$Y$2:$Y$500,0)),"")</f>
        <v/>
      </c>
      <c r="K472" s="4" t="str">
        <f>IFERROR(INDEX(样本到样信息汇总统计!K$2:K$500,MATCH(471,样本到样信息汇总统计!$Y$2:$Y$500,0)),"")</f>
        <v/>
      </c>
      <c r="L472" s="4" t="str">
        <f>IFERROR(INDEX(样本到样信息汇总统计!L$2:L$500,MATCH(471,样本到样信息汇总统计!$Y$2:$Y$500,0)),"")</f>
        <v/>
      </c>
      <c r="M472" s="4" t="str">
        <f>IFERROR(INDEX(样本到样信息汇总统计!M$2:M$500,MATCH(471,样本到样信息汇总统计!$Y$2:$Y$500,0)),"")</f>
        <v/>
      </c>
      <c r="N472" s="4" t="str">
        <f>IFERROR(INDEX(样本到样信息汇总统计!N$2:N$500,MATCH(471,样本到样信息汇总统计!$Y$2:$Y$500,0)),"")</f>
        <v/>
      </c>
      <c r="O472" s="4" t="str">
        <f>IFERROR(INDEX(样本到样信息汇总统计!O$2:O$500,MATCH(471,样本到样信息汇总统计!$Y$2:$Y$500,0)),"")</f>
        <v/>
      </c>
      <c r="P472" s="4" t="str">
        <f>IFERROR(INDEX(样本到样信息汇总统计!P$2:P$500,MATCH(471,样本到样信息汇总统计!$Y$2:$Y$500,0)),"")</f>
        <v/>
      </c>
      <c r="Q472" s="4" t="str">
        <f>IFERROR(INDEX(样本到样信息汇总统计!Q$2:Q$500,MATCH(471,样本到样信息汇总统计!$Y$2:$Y$500,0)),"")</f>
        <v/>
      </c>
      <c r="R472" s="4" t="str">
        <f>IFERROR(INDEX(样本到样信息汇总统计!R$2:R$500,MATCH(471,样本到样信息汇总统计!$Y$2:$Y$500,0)),"")</f>
        <v/>
      </c>
      <c r="S472" s="4" t="str">
        <f>IFERROR(INDEX(样本到样信息汇总统计!S$2:S$500,MATCH(471,样本到样信息汇总统计!$Y$2:$Y$500,0)),"")</f>
        <v/>
      </c>
      <c r="T472" s="4" t="str">
        <f>IFERROR(INDEX(样本到样信息汇总统计!T$2:T$500,MATCH(471,样本到样信息汇总统计!$Y$2:$Y$500,0)),"")</f>
        <v/>
      </c>
      <c r="U472" s="4" t="str">
        <f>IFERROR(INDEX(样本到样信息汇总统计!U$2:U$500,MATCH(471,样本到样信息汇总统计!$Y$2:$Y$500,0)),"")</f>
        <v/>
      </c>
      <c r="V472" s="4" t="str">
        <f>IFERROR(INDEX(样本到样信息汇总统计!V$2:V$500,MATCH(471,样本到样信息汇总统计!$Y$2:$Y$500,0)),"")</f>
        <v/>
      </c>
      <c r="W472" s="4" t="str">
        <f>IFERROR(INDEX(样本到样信息汇总统计!W$2:W$500,MATCH(471,样本到样信息汇总统计!$Y$2:$Y$500,0)),"")</f>
        <v/>
      </c>
    </row>
    <row r="473" ht="14.5" spans="1:23">
      <c r="A473" s="8" t="str">
        <f>IFERROR(INDEX(样本到样信息汇总统计!A$2:A$500,MATCH(472,样本到样信息汇总统计!$Y$2:$Y$500,0)),"")</f>
        <v/>
      </c>
      <c r="B473" s="8" t="str">
        <f>IFERROR(INDEX(样本到样信息汇总统计!B$2:B$500,MATCH(472,样本到样信息汇总统计!$Y$2:$Y$500,0)),"")</f>
        <v/>
      </c>
      <c r="C473" s="8" t="str">
        <f>IFERROR(INDEX(样本到样信息汇总统计!C$2:C$500,MATCH(472,样本到样信息汇总统计!$Y$2:$Y$500,0)),"")</f>
        <v/>
      </c>
      <c r="D473" s="8" t="str">
        <f>IFERROR(INDEX(样本到样信息汇总统计!D$2:D$500,MATCH(472,样本到样信息汇总统计!$Y$2:$Y$500,0)),"")</f>
        <v/>
      </c>
      <c r="E473" s="8" t="str">
        <f>IFERROR(INDEX(样本到样信息汇总统计!E$2:E$500,MATCH(472,样本到样信息汇总统计!$Y$2:$Y$500,0)),"")</f>
        <v/>
      </c>
      <c r="F473" s="8" t="str">
        <f>IFERROR(INDEX(样本到样信息汇总统计!F$2:F$500,MATCH(472,样本到样信息汇总统计!$Y$2:$Y$500,0)),"")</f>
        <v/>
      </c>
      <c r="G473" s="8" t="str">
        <f>IFERROR(INDEX(样本到样信息汇总统计!G$2:G$500,MATCH(472,样本到样信息汇总统计!$Y$2:$Y$500,0)),"")</f>
        <v/>
      </c>
      <c r="H473" s="8" t="str">
        <f>IFERROR(INDEX(样本到样信息汇总统计!H$2:H$500,MATCH(472,样本到样信息汇总统计!$Y$2:$Y$500,0)),"")</f>
        <v/>
      </c>
      <c r="I473" s="8" t="str">
        <f>IFERROR(INDEX(样本到样信息汇总统计!I$2:I$500,MATCH(472,样本到样信息汇总统计!$Y$2:$Y$500,0)),"")</f>
        <v/>
      </c>
      <c r="J473" s="8" t="str">
        <f>IFERROR(INDEX(样本到样信息汇总统计!J$2:J$500,MATCH(472,样本到样信息汇总统计!$Y$2:$Y$500,0)),"")</f>
        <v/>
      </c>
      <c r="K473" s="8" t="str">
        <f>IFERROR(INDEX(样本到样信息汇总统计!K$2:K$500,MATCH(472,样本到样信息汇总统计!$Y$2:$Y$500,0)),"")</f>
        <v/>
      </c>
      <c r="L473" s="8" t="str">
        <f>IFERROR(INDEX(样本到样信息汇总统计!L$2:L$500,MATCH(472,样本到样信息汇总统计!$Y$2:$Y$500,0)),"")</f>
        <v/>
      </c>
      <c r="M473" s="8" t="str">
        <f>IFERROR(INDEX(样本到样信息汇总统计!M$2:M$500,MATCH(472,样本到样信息汇总统计!$Y$2:$Y$500,0)),"")</f>
        <v/>
      </c>
      <c r="N473" s="8" t="str">
        <f>IFERROR(INDEX(样本到样信息汇总统计!N$2:N$500,MATCH(472,样本到样信息汇总统计!$Y$2:$Y$500,0)),"")</f>
        <v/>
      </c>
      <c r="O473" s="8" t="str">
        <f>IFERROR(INDEX(样本到样信息汇总统计!O$2:O$500,MATCH(472,样本到样信息汇总统计!$Y$2:$Y$500,0)),"")</f>
        <v/>
      </c>
      <c r="P473" s="8" t="str">
        <f>IFERROR(INDEX(样本到样信息汇总统计!P$2:P$500,MATCH(472,样本到样信息汇总统计!$Y$2:$Y$500,0)),"")</f>
        <v/>
      </c>
      <c r="Q473" s="8" t="str">
        <f>IFERROR(INDEX(样本到样信息汇总统计!Q$2:Q$500,MATCH(472,样本到样信息汇总统计!$Y$2:$Y$500,0)),"")</f>
        <v/>
      </c>
      <c r="R473" s="8" t="str">
        <f>IFERROR(INDEX(样本到样信息汇总统计!R$2:R$500,MATCH(472,样本到样信息汇总统计!$Y$2:$Y$500,0)),"")</f>
        <v/>
      </c>
      <c r="S473" s="8" t="str">
        <f>IFERROR(INDEX(样本到样信息汇总统计!S$2:S$500,MATCH(472,样本到样信息汇总统计!$Y$2:$Y$500,0)),"")</f>
        <v/>
      </c>
      <c r="T473" s="8" t="str">
        <f>IFERROR(INDEX(样本到样信息汇总统计!T$2:T$500,MATCH(472,样本到样信息汇总统计!$Y$2:$Y$500,0)),"")</f>
        <v/>
      </c>
      <c r="U473" s="8" t="str">
        <f>IFERROR(INDEX(样本到样信息汇总统计!U$2:U$500,MATCH(472,样本到样信息汇总统计!$Y$2:$Y$500,0)),"")</f>
        <v/>
      </c>
      <c r="V473" s="8" t="str">
        <f>IFERROR(INDEX(样本到样信息汇总统计!V$2:V$500,MATCH(472,样本到样信息汇总统计!$Y$2:$Y$500,0)),"")</f>
        <v/>
      </c>
      <c r="W473" s="8" t="str">
        <f>IFERROR(INDEX(样本到样信息汇总统计!W$2:W$500,MATCH(472,样本到样信息汇总统计!$Y$2:$Y$500,0)),"")</f>
        <v/>
      </c>
    </row>
    <row r="474" ht="14.5" spans="1:23">
      <c r="A474" s="4" t="str">
        <f>IFERROR(INDEX(样本到样信息汇总统计!A$2:A$500,MATCH(473,样本到样信息汇总统计!$Y$2:$Y$500,0)),"")</f>
        <v/>
      </c>
      <c r="B474" s="4" t="str">
        <f>IFERROR(INDEX(样本到样信息汇总统计!B$2:B$500,MATCH(473,样本到样信息汇总统计!$Y$2:$Y$500,0)),"")</f>
        <v/>
      </c>
      <c r="C474" s="4" t="str">
        <f>IFERROR(INDEX(样本到样信息汇总统计!C$2:C$500,MATCH(473,样本到样信息汇总统计!$Y$2:$Y$500,0)),"")</f>
        <v/>
      </c>
      <c r="D474" s="4" t="str">
        <f>IFERROR(INDEX(样本到样信息汇总统计!D$2:D$500,MATCH(473,样本到样信息汇总统计!$Y$2:$Y$500,0)),"")</f>
        <v/>
      </c>
      <c r="E474" s="4" t="str">
        <f>IFERROR(INDEX(样本到样信息汇总统计!E$2:E$500,MATCH(473,样本到样信息汇总统计!$Y$2:$Y$500,0)),"")</f>
        <v/>
      </c>
      <c r="F474" s="4" t="str">
        <f>IFERROR(INDEX(样本到样信息汇总统计!F$2:F$500,MATCH(473,样本到样信息汇总统计!$Y$2:$Y$500,0)),"")</f>
        <v/>
      </c>
      <c r="G474" s="4" t="str">
        <f>IFERROR(INDEX(样本到样信息汇总统计!G$2:G$500,MATCH(473,样本到样信息汇总统计!$Y$2:$Y$500,0)),"")</f>
        <v/>
      </c>
      <c r="H474" s="4" t="str">
        <f>IFERROR(INDEX(样本到样信息汇总统计!H$2:H$500,MATCH(473,样本到样信息汇总统计!$Y$2:$Y$500,0)),"")</f>
        <v/>
      </c>
      <c r="I474" s="4" t="str">
        <f>IFERROR(INDEX(样本到样信息汇总统计!I$2:I$500,MATCH(473,样本到样信息汇总统计!$Y$2:$Y$500,0)),"")</f>
        <v/>
      </c>
      <c r="J474" s="4" t="str">
        <f>IFERROR(INDEX(样本到样信息汇总统计!J$2:J$500,MATCH(473,样本到样信息汇总统计!$Y$2:$Y$500,0)),"")</f>
        <v/>
      </c>
      <c r="K474" s="4" t="str">
        <f>IFERROR(INDEX(样本到样信息汇总统计!K$2:K$500,MATCH(473,样本到样信息汇总统计!$Y$2:$Y$500,0)),"")</f>
        <v/>
      </c>
      <c r="L474" s="4" t="str">
        <f>IFERROR(INDEX(样本到样信息汇总统计!L$2:L$500,MATCH(473,样本到样信息汇总统计!$Y$2:$Y$500,0)),"")</f>
        <v/>
      </c>
      <c r="M474" s="4" t="str">
        <f>IFERROR(INDEX(样本到样信息汇总统计!M$2:M$500,MATCH(473,样本到样信息汇总统计!$Y$2:$Y$500,0)),"")</f>
        <v/>
      </c>
      <c r="N474" s="4" t="str">
        <f>IFERROR(INDEX(样本到样信息汇总统计!N$2:N$500,MATCH(473,样本到样信息汇总统计!$Y$2:$Y$500,0)),"")</f>
        <v/>
      </c>
      <c r="O474" s="4" t="str">
        <f>IFERROR(INDEX(样本到样信息汇总统计!O$2:O$500,MATCH(473,样本到样信息汇总统计!$Y$2:$Y$500,0)),"")</f>
        <v/>
      </c>
      <c r="P474" s="4" t="str">
        <f>IFERROR(INDEX(样本到样信息汇总统计!P$2:P$500,MATCH(473,样本到样信息汇总统计!$Y$2:$Y$500,0)),"")</f>
        <v/>
      </c>
      <c r="Q474" s="4" t="str">
        <f>IFERROR(INDEX(样本到样信息汇总统计!Q$2:Q$500,MATCH(473,样本到样信息汇总统计!$Y$2:$Y$500,0)),"")</f>
        <v/>
      </c>
      <c r="R474" s="4" t="str">
        <f>IFERROR(INDEX(样本到样信息汇总统计!R$2:R$500,MATCH(473,样本到样信息汇总统计!$Y$2:$Y$500,0)),"")</f>
        <v/>
      </c>
      <c r="S474" s="4" t="str">
        <f>IFERROR(INDEX(样本到样信息汇总统计!S$2:S$500,MATCH(473,样本到样信息汇总统计!$Y$2:$Y$500,0)),"")</f>
        <v/>
      </c>
      <c r="T474" s="4" t="str">
        <f>IFERROR(INDEX(样本到样信息汇总统计!T$2:T$500,MATCH(473,样本到样信息汇总统计!$Y$2:$Y$500,0)),"")</f>
        <v/>
      </c>
      <c r="U474" s="4" t="str">
        <f>IFERROR(INDEX(样本到样信息汇总统计!U$2:U$500,MATCH(473,样本到样信息汇总统计!$Y$2:$Y$500,0)),"")</f>
        <v/>
      </c>
      <c r="V474" s="4" t="str">
        <f>IFERROR(INDEX(样本到样信息汇总统计!V$2:V$500,MATCH(473,样本到样信息汇总统计!$Y$2:$Y$500,0)),"")</f>
        <v/>
      </c>
      <c r="W474" s="4" t="str">
        <f>IFERROR(INDEX(样本到样信息汇总统计!W$2:W$500,MATCH(473,样本到样信息汇总统计!$Y$2:$Y$500,0)),"")</f>
        <v/>
      </c>
    </row>
    <row r="475" ht="14.5" spans="1:23">
      <c r="A475" s="8" t="str">
        <f>IFERROR(INDEX(样本到样信息汇总统计!A$2:A$500,MATCH(474,样本到样信息汇总统计!$Y$2:$Y$500,0)),"")</f>
        <v/>
      </c>
      <c r="B475" s="8" t="str">
        <f>IFERROR(INDEX(样本到样信息汇总统计!B$2:B$500,MATCH(474,样本到样信息汇总统计!$Y$2:$Y$500,0)),"")</f>
        <v/>
      </c>
      <c r="C475" s="8" t="str">
        <f>IFERROR(INDEX(样本到样信息汇总统计!C$2:C$500,MATCH(474,样本到样信息汇总统计!$Y$2:$Y$500,0)),"")</f>
        <v/>
      </c>
      <c r="D475" s="8" t="str">
        <f>IFERROR(INDEX(样本到样信息汇总统计!D$2:D$500,MATCH(474,样本到样信息汇总统计!$Y$2:$Y$500,0)),"")</f>
        <v/>
      </c>
      <c r="E475" s="8" t="str">
        <f>IFERROR(INDEX(样本到样信息汇总统计!E$2:E$500,MATCH(474,样本到样信息汇总统计!$Y$2:$Y$500,0)),"")</f>
        <v/>
      </c>
      <c r="F475" s="8" t="str">
        <f>IFERROR(INDEX(样本到样信息汇总统计!F$2:F$500,MATCH(474,样本到样信息汇总统计!$Y$2:$Y$500,0)),"")</f>
        <v/>
      </c>
      <c r="G475" s="8" t="str">
        <f>IFERROR(INDEX(样本到样信息汇总统计!G$2:G$500,MATCH(474,样本到样信息汇总统计!$Y$2:$Y$500,0)),"")</f>
        <v/>
      </c>
      <c r="H475" s="8" t="str">
        <f>IFERROR(INDEX(样本到样信息汇总统计!H$2:H$500,MATCH(474,样本到样信息汇总统计!$Y$2:$Y$500,0)),"")</f>
        <v/>
      </c>
      <c r="I475" s="8" t="str">
        <f>IFERROR(INDEX(样本到样信息汇总统计!I$2:I$500,MATCH(474,样本到样信息汇总统计!$Y$2:$Y$500,0)),"")</f>
        <v/>
      </c>
      <c r="J475" s="8" t="str">
        <f>IFERROR(INDEX(样本到样信息汇总统计!J$2:J$500,MATCH(474,样本到样信息汇总统计!$Y$2:$Y$500,0)),"")</f>
        <v/>
      </c>
      <c r="K475" s="8" t="str">
        <f>IFERROR(INDEX(样本到样信息汇总统计!K$2:K$500,MATCH(474,样本到样信息汇总统计!$Y$2:$Y$500,0)),"")</f>
        <v/>
      </c>
      <c r="L475" s="8" t="str">
        <f>IFERROR(INDEX(样本到样信息汇总统计!L$2:L$500,MATCH(474,样本到样信息汇总统计!$Y$2:$Y$500,0)),"")</f>
        <v/>
      </c>
      <c r="M475" s="8" t="str">
        <f>IFERROR(INDEX(样本到样信息汇总统计!M$2:M$500,MATCH(474,样本到样信息汇总统计!$Y$2:$Y$500,0)),"")</f>
        <v/>
      </c>
      <c r="N475" s="8" t="str">
        <f>IFERROR(INDEX(样本到样信息汇总统计!N$2:N$500,MATCH(474,样本到样信息汇总统计!$Y$2:$Y$500,0)),"")</f>
        <v/>
      </c>
      <c r="O475" s="8" t="str">
        <f>IFERROR(INDEX(样本到样信息汇总统计!O$2:O$500,MATCH(474,样本到样信息汇总统计!$Y$2:$Y$500,0)),"")</f>
        <v/>
      </c>
      <c r="P475" s="8" t="str">
        <f>IFERROR(INDEX(样本到样信息汇总统计!P$2:P$500,MATCH(474,样本到样信息汇总统计!$Y$2:$Y$500,0)),"")</f>
        <v/>
      </c>
      <c r="Q475" s="8" t="str">
        <f>IFERROR(INDEX(样本到样信息汇总统计!Q$2:Q$500,MATCH(474,样本到样信息汇总统计!$Y$2:$Y$500,0)),"")</f>
        <v/>
      </c>
      <c r="R475" s="8" t="str">
        <f>IFERROR(INDEX(样本到样信息汇总统计!R$2:R$500,MATCH(474,样本到样信息汇总统计!$Y$2:$Y$500,0)),"")</f>
        <v/>
      </c>
      <c r="S475" s="8" t="str">
        <f>IFERROR(INDEX(样本到样信息汇总统计!S$2:S$500,MATCH(474,样本到样信息汇总统计!$Y$2:$Y$500,0)),"")</f>
        <v/>
      </c>
      <c r="T475" s="8" t="str">
        <f>IFERROR(INDEX(样本到样信息汇总统计!T$2:T$500,MATCH(474,样本到样信息汇总统计!$Y$2:$Y$500,0)),"")</f>
        <v/>
      </c>
      <c r="U475" s="8" t="str">
        <f>IFERROR(INDEX(样本到样信息汇总统计!U$2:U$500,MATCH(474,样本到样信息汇总统计!$Y$2:$Y$500,0)),"")</f>
        <v/>
      </c>
      <c r="V475" s="8" t="str">
        <f>IFERROR(INDEX(样本到样信息汇总统计!V$2:V$500,MATCH(474,样本到样信息汇总统计!$Y$2:$Y$500,0)),"")</f>
        <v/>
      </c>
      <c r="W475" s="8" t="str">
        <f>IFERROR(INDEX(样本到样信息汇总统计!W$2:W$500,MATCH(474,样本到样信息汇总统计!$Y$2:$Y$500,0)),"")</f>
        <v/>
      </c>
    </row>
    <row r="476" ht="14.5" spans="1:23">
      <c r="A476" s="4" t="str">
        <f>IFERROR(INDEX(样本到样信息汇总统计!A$2:A$500,MATCH(475,样本到样信息汇总统计!$Y$2:$Y$500,0)),"")</f>
        <v/>
      </c>
      <c r="B476" s="4" t="str">
        <f>IFERROR(INDEX(样本到样信息汇总统计!B$2:B$500,MATCH(475,样本到样信息汇总统计!$Y$2:$Y$500,0)),"")</f>
        <v/>
      </c>
      <c r="C476" s="4" t="str">
        <f>IFERROR(INDEX(样本到样信息汇总统计!C$2:C$500,MATCH(475,样本到样信息汇总统计!$Y$2:$Y$500,0)),"")</f>
        <v/>
      </c>
      <c r="D476" s="4" t="str">
        <f>IFERROR(INDEX(样本到样信息汇总统计!D$2:D$500,MATCH(475,样本到样信息汇总统计!$Y$2:$Y$500,0)),"")</f>
        <v/>
      </c>
      <c r="E476" s="4" t="str">
        <f>IFERROR(INDEX(样本到样信息汇总统计!E$2:E$500,MATCH(475,样本到样信息汇总统计!$Y$2:$Y$500,0)),"")</f>
        <v/>
      </c>
      <c r="F476" s="4" t="str">
        <f>IFERROR(INDEX(样本到样信息汇总统计!F$2:F$500,MATCH(475,样本到样信息汇总统计!$Y$2:$Y$500,0)),"")</f>
        <v/>
      </c>
      <c r="G476" s="4" t="str">
        <f>IFERROR(INDEX(样本到样信息汇总统计!G$2:G$500,MATCH(475,样本到样信息汇总统计!$Y$2:$Y$500,0)),"")</f>
        <v/>
      </c>
      <c r="H476" s="4" t="str">
        <f>IFERROR(INDEX(样本到样信息汇总统计!H$2:H$500,MATCH(475,样本到样信息汇总统计!$Y$2:$Y$500,0)),"")</f>
        <v/>
      </c>
      <c r="I476" s="4" t="str">
        <f>IFERROR(INDEX(样本到样信息汇总统计!I$2:I$500,MATCH(475,样本到样信息汇总统计!$Y$2:$Y$500,0)),"")</f>
        <v/>
      </c>
      <c r="J476" s="4" t="str">
        <f>IFERROR(INDEX(样本到样信息汇总统计!J$2:J$500,MATCH(475,样本到样信息汇总统计!$Y$2:$Y$500,0)),"")</f>
        <v/>
      </c>
      <c r="K476" s="4" t="str">
        <f>IFERROR(INDEX(样本到样信息汇总统计!K$2:K$500,MATCH(475,样本到样信息汇总统计!$Y$2:$Y$500,0)),"")</f>
        <v/>
      </c>
      <c r="L476" s="4" t="str">
        <f>IFERROR(INDEX(样本到样信息汇总统计!L$2:L$500,MATCH(475,样本到样信息汇总统计!$Y$2:$Y$500,0)),"")</f>
        <v/>
      </c>
      <c r="M476" s="4" t="str">
        <f>IFERROR(INDEX(样本到样信息汇总统计!M$2:M$500,MATCH(475,样本到样信息汇总统计!$Y$2:$Y$500,0)),"")</f>
        <v/>
      </c>
      <c r="N476" s="4" t="str">
        <f>IFERROR(INDEX(样本到样信息汇总统计!N$2:N$500,MATCH(475,样本到样信息汇总统计!$Y$2:$Y$500,0)),"")</f>
        <v/>
      </c>
      <c r="O476" s="4" t="str">
        <f>IFERROR(INDEX(样本到样信息汇总统计!O$2:O$500,MATCH(475,样本到样信息汇总统计!$Y$2:$Y$500,0)),"")</f>
        <v/>
      </c>
      <c r="P476" s="4" t="str">
        <f>IFERROR(INDEX(样本到样信息汇总统计!P$2:P$500,MATCH(475,样本到样信息汇总统计!$Y$2:$Y$500,0)),"")</f>
        <v/>
      </c>
      <c r="Q476" s="4" t="str">
        <f>IFERROR(INDEX(样本到样信息汇总统计!Q$2:Q$500,MATCH(475,样本到样信息汇总统计!$Y$2:$Y$500,0)),"")</f>
        <v/>
      </c>
      <c r="R476" s="4" t="str">
        <f>IFERROR(INDEX(样本到样信息汇总统计!R$2:R$500,MATCH(475,样本到样信息汇总统计!$Y$2:$Y$500,0)),"")</f>
        <v/>
      </c>
      <c r="S476" s="4" t="str">
        <f>IFERROR(INDEX(样本到样信息汇总统计!S$2:S$500,MATCH(475,样本到样信息汇总统计!$Y$2:$Y$500,0)),"")</f>
        <v/>
      </c>
      <c r="T476" s="4" t="str">
        <f>IFERROR(INDEX(样本到样信息汇总统计!T$2:T$500,MATCH(475,样本到样信息汇总统计!$Y$2:$Y$500,0)),"")</f>
        <v/>
      </c>
      <c r="U476" s="4" t="str">
        <f>IFERROR(INDEX(样本到样信息汇总统计!U$2:U$500,MATCH(475,样本到样信息汇总统计!$Y$2:$Y$500,0)),"")</f>
        <v/>
      </c>
      <c r="V476" s="4" t="str">
        <f>IFERROR(INDEX(样本到样信息汇总统计!V$2:V$500,MATCH(475,样本到样信息汇总统计!$Y$2:$Y$500,0)),"")</f>
        <v/>
      </c>
      <c r="W476" s="4" t="str">
        <f>IFERROR(INDEX(样本到样信息汇总统计!W$2:W$500,MATCH(475,样本到样信息汇总统计!$Y$2:$Y$500,0)),"")</f>
        <v/>
      </c>
    </row>
    <row r="477" ht="14.5" spans="1:23">
      <c r="A477" s="8" t="str">
        <f>IFERROR(INDEX(样本到样信息汇总统计!A$2:A$500,MATCH(476,样本到样信息汇总统计!$Y$2:$Y$500,0)),"")</f>
        <v/>
      </c>
      <c r="B477" s="8" t="str">
        <f>IFERROR(INDEX(样本到样信息汇总统计!B$2:B$500,MATCH(476,样本到样信息汇总统计!$Y$2:$Y$500,0)),"")</f>
        <v/>
      </c>
      <c r="C477" s="8" t="str">
        <f>IFERROR(INDEX(样本到样信息汇总统计!C$2:C$500,MATCH(476,样本到样信息汇总统计!$Y$2:$Y$500,0)),"")</f>
        <v/>
      </c>
      <c r="D477" s="8" t="str">
        <f>IFERROR(INDEX(样本到样信息汇总统计!D$2:D$500,MATCH(476,样本到样信息汇总统计!$Y$2:$Y$500,0)),"")</f>
        <v/>
      </c>
      <c r="E477" s="8" t="str">
        <f>IFERROR(INDEX(样本到样信息汇总统计!E$2:E$500,MATCH(476,样本到样信息汇总统计!$Y$2:$Y$500,0)),"")</f>
        <v/>
      </c>
      <c r="F477" s="8" t="str">
        <f>IFERROR(INDEX(样本到样信息汇总统计!F$2:F$500,MATCH(476,样本到样信息汇总统计!$Y$2:$Y$500,0)),"")</f>
        <v/>
      </c>
      <c r="G477" s="8" t="str">
        <f>IFERROR(INDEX(样本到样信息汇总统计!G$2:G$500,MATCH(476,样本到样信息汇总统计!$Y$2:$Y$500,0)),"")</f>
        <v/>
      </c>
      <c r="H477" s="8" t="str">
        <f>IFERROR(INDEX(样本到样信息汇总统计!H$2:H$500,MATCH(476,样本到样信息汇总统计!$Y$2:$Y$500,0)),"")</f>
        <v/>
      </c>
      <c r="I477" s="8" t="str">
        <f>IFERROR(INDEX(样本到样信息汇总统计!I$2:I$500,MATCH(476,样本到样信息汇总统计!$Y$2:$Y$500,0)),"")</f>
        <v/>
      </c>
      <c r="J477" s="8" t="str">
        <f>IFERROR(INDEX(样本到样信息汇总统计!J$2:J$500,MATCH(476,样本到样信息汇总统计!$Y$2:$Y$500,0)),"")</f>
        <v/>
      </c>
      <c r="K477" s="8" t="str">
        <f>IFERROR(INDEX(样本到样信息汇总统计!K$2:K$500,MATCH(476,样本到样信息汇总统计!$Y$2:$Y$500,0)),"")</f>
        <v/>
      </c>
      <c r="L477" s="8" t="str">
        <f>IFERROR(INDEX(样本到样信息汇总统计!L$2:L$500,MATCH(476,样本到样信息汇总统计!$Y$2:$Y$500,0)),"")</f>
        <v/>
      </c>
      <c r="M477" s="8" t="str">
        <f>IFERROR(INDEX(样本到样信息汇总统计!M$2:M$500,MATCH(476,样本到样信息汇总统计!$Y$2:$Y$500,0)),"")</f>
        <v/>
      </c>
      <c r="N477" s="8" t="str">
        <f>IFERROR(INDEX(样本到样信息汇总统计!N$2:N$500,MATCH(476,样本到样信息汇总统计!$Y$2:$Y$500,0)),"")</f>
        <v/>
      </c>
      <c r="O477" s="8" t="str">
        <f>IFERROR(INDEX(样本到样信息汇总统计!O$2:O$500,MATCH(476,样本到样信息汇总统计!$Y$2:$Y$500,0)),"")</f>
        <v/>
      </c>
      <c r="P477" s="8" t="str">
        <f>IFERROR(INDEX(样本到样信息汇总统计!P$2:P$500,MATCH(476,样本到样信息汇总统计!$Y$2:$Y$500,0)),"")</f>
        <v/>
      </c>
      <c r="Q477" s="8" t="str">
        <f>IFERROR(INDEX(样本到样信息汇总统计!Q$2:Q$500,MATCH(476,样本到样信息汇总统计!$Y$2:$Y$500,0)),"")</f>
        <v/>
      </c>
      <c r="R477" s="8" t="str">
        <f>IFERROR(INDEX(样本到样信息汇总统计!R$2:R$500,MATCH(476,样本到样信息汇总统计!$Y$2:$Y$500,0)),"")</f>
        <v/>
      </c>
      <c r="S477" s="8" t="str">
        <f>IFERROR(INDEX(样本到样信息汇总统计!S$2:S$500,MATCH(476,样本到样信息汇总统计!$Y$2:$Y$500,0)),"")</f>
        <v/>
      </c>
      <c r="T477" s="8" t="str">
        <f>IFERROR(INDEX(样本到样信息汇总统计!T$2:T$500,MATCH(476,样本到样信息汇总统计!$Y$2:$Y$500,0)),"")</f>
        <v/>
      </c>
      <c r="U477" s="8" t="str">
        <f>IFERROR(INDEX(样本到样信息汇总统计!U$2:U$500,MATCH(476,样本到样信息汇总统计!$Y$2:$Y$500,0)),"")</f>
        <v/>
      </c>
      <c r="V477" s="8" t="str">
        <f>IFERROR(INDEX(样本到样信息汇总统计!V$2:V$500,MATCH(476,样本到样信息汇总统计!$Y$2:$Y$500,0)),"")</f>
        <v/>
      </c>
      <c r="W477" s="8" t="str">
        <f>IFERROR(INDEX(样本到样信息汇总统计!W$2:W$500,MATCH(476,样本到样信息汇总统计!$Y$2:$Y$500,0)),"")</f>
        <v/>
      </c>
    </row>
    <row r="478" ht="14.5" spans="1:23">
      <c r="A478" s="4" t="str">
        <f>IFERROR(INDEX(样本到样信息汇总统计!A$2:A$500,MATCH(477,样本到样信息汇总统计!$Y$2:$Y$500,0)),"")</f>
        <v/>
      </c>
      <c r="B478" s="4" t="str">
        <f>IFERROR(INDEX(样本到样信息汇总统计!B$2:B$500,MATCH(477,样本到样信息汇总统计!$Y$2:$Y$500,0)),"")</f>
        <v/>
      </c>
      <c r="C478" s="4" t="str">
        <f>IFERROR(INDEX(样本到样信息汇总统计!C$2:C$500,MATCH(477,样本到样信息汇总统计!$Y$2:$Y$500,0)),"")</f>
        <v/>
      </c>
      <c r="D478" s="4" t="str">
        <f>IFERROR(INDEX(样本到样信息汇总统计!D$2:D$500,MATCH(477,样本到样信息汇总统计!$Y$2:$Y$500,0)),"")</f>
        <v/>
      </c>
      <c r="E478" s="4" t="str">
        <f>IFERROR(INDEX(样本到样信息汇总统计!E$2:E$500,MATCH(477,样本到样信息汇总统计!$Y$2:$Y$500,0)),"")</f>
        <v/>
      </c>
      <c r="F478" s="4" t="str">
        <f>IFERROR(INDEX(样本到样信息汇总统计!F$2:F$500,MATCH(477,样本到样信息汇总统计!$Y$2:$Y$500,0)),"")</f>
        <v/>
      </c>
      <c r="G478" s="4" t="str">
        <f>IFERROR(INDEX(样本到样信息汇总统计!G$2:G$500,MATCH(477,样本到样信息汇总统计!$Y$2:$Y$500,0)),"")</f>
        <v/>
      </c>
      <c r="H478" s="4" t="str">
        <f>IFERROR(INDEX(样本到样信息汇总统计!H$2:H$500,MATCH(477,样本到样信息汇总统计!$Y$2:$Y$500,0)),"")</f>
        <v/>
      </c>
      <c r="I478" s="4" t="str">
        <f>IFERROR(INDEX(样本到样信息汇总统计!I$2:I$500,MATCH(477,样本到样信息汇总统计!$Y$2:$Y$500,0)),"")</f>
        <v/>
      </c>
      <c r="J478" s="4" t="str">
        <f>IFERROR(INDEX(样本到样信息汇总统计!J$2:J$500,MATCH(477,样本到样信息汇总统计!$Y$2:$Y$500,0)),"")</f>
        <v/>
      </c>
      <c r="K478" s="4" t="str">
        <f>IFERROR(INDEX(样本到样信息汇总统计!K$2:K$500,MATCH(477,样本到样信息汇总统计!$Y$2:$Y$500,0)),"")</f>
        <v/>
      </c>
      <c r="L478" s="4" t="str">
        <f>IFERROR(INDEX(样本到样信息汇总统计!L$2:L$500,MATCH(477,样本到样信息汇总统计!$Y$2:$Y$500,0)),"")</f>
        <v/>
      </c>
      <c r="M478" s="4" t="str">
        <f>IFERROR(INDEX(样本到样信息汇总统计!M$2:M$500,MATCH(477,样本到样信息汇总统计!$Y$2:$Y$500,0)),"")</f>
        <v/>
      </c>
      <c r="N478" s="4" t="str">
        <f>IFERROR(INDEX(样本到样信息汇总统计!N$2:N$500,MATCH(477,样本到样信息汇总统计!$Y$2:$Y$500,0)),"")</f>
        <v/>
      </c>
      <c r="O478" s="4" t="str">
        <f>IFERROR(INDEX(样本到样信息汇总统计!O$2:O$500,MATCH(477,样本到样信息汇总统计!$Y$2:$Y$500,0)),"")</f>
        <v/>
      </c>
      <c r="P478" s="4" t="str">
        <f>IFERROR(INDEX(样本到样信息汇总统计!P$2:P$500,MATCH(477,样本到样信息汇总统计!$Y$2:$Y$500,0)),"")</f>
        <v/>
      </c>
      <c r="Q478" s="4" t="str">
        <f>IFERROR(INDEX(样本到样信息汇总统计!Q$2:Q$500,MATCH(477,样本到样信息汇总统计!$Y$2:$Y$500,0)),"")</f>
        <v/>
      </c>
      <c r="R478" s="4" t="str">
        <f>IFERROR(INDEX(样本到样信息汇总统计!R$2:R$500,MATCH(477,样本到样信息汇总统计!$Y$2:$Y$500,0)),"")</f>
        <v/>
      </c>
      <c r="S478" s="4" t="str">
        <f>IFERROR(INDEX(样本到样信息汇总统计!S$2:S$500,MATCH(477,样本到样信息汇总统计!$Y$2:$Y$500,0)),"")</f>
        <v/>
      </c>
      <c r="T478" s="4" t="str">
        <f>IFERROR(INDEX(样本到样信息汇总统计!T$2:T$500,MATCH(477,样本到样信息汇总统计!$Y$2:$Y$500,0)),"")</f>
        <v/>
      </c>
      <c r="U478" s="4" t="str">
        <f>IFERROR(INDEX(样本到样信息汇总统计!U$2:U$500,MATCH(477,样本到样信息汇总统计!$Y$2:$Y$500,0)),"")</f>
        <v/>
      </c>
      <c r="V478" s="4" t="str">
        <f>IFERROR(INDEX(样本到样信息汇总统计!V$2:V$500,MATCH(477,样本到样信息汇总统计!$Y$2:$Y$500,0)),"")</f>
        <v/>
      </c>
      <c r="W478" s="4" t="str">
        <f>IFERROR(INDEX(样本到样信息汇总统计!W$2:W$500,MATCH(477,样本到样信息汇总统计!$Y$2:$Y$500,0)),"")</f>
        <v/>
      </c>
    </row>
    <row r="479" ht="14.5" spans="1:23">
      <c r="A479" s="8" t="str">
        <f>IFERROR(INDEX(样本到样信息汇总统计!A$2:A$500,MATCH(478,样本到样信息汇总统计!$Y$2:$Y$500,0)),"")</f>
        <v/>
      </c>
      <c r="B479" s="8" t="str">
        <f>IFERROR(INDEX(样本到样信息汇总统计!B$2:B$500,MATCH(478,样本到样信息汇总统计!$Y$2:$Y$500,0)),"")</f>
        <v/>
      </c>
      <c r="C479" s="8" t="str">
        <f>IFERROR(INDEX(样本到样信息汇总统计!C$2:C$500,MATCH(478,样本到样信息汇总统计!$Y$2:$Y$500,0)),"")</f>
        <v/>
      </c>
      <c r="D479" s="8" t="str">
        <f>IFERROR(INDEX(样本到样信息汇总统计!D$2:D$500,MATCH(478,样本到样信息汇总统计!$Y$2:$Y$500,0)),"")</f>
        <v/>
      </c>
      <c r="E479" s="8" t="str">
        <f>IFERROR(INDEX(样本到样信息汇总统计!E$2:E$500,MATCH(478,样本到样信息汇总统计!$Y$2:$Y$500,0)),"")</f>
        <v/>
      </c>
      <c r="F479" s="8" t="str">
        <f>IFERROR(INDEX(样本到样信息汇总统计!F$2:F$500,MATCH(478,样本到样信息汇总统计!$Y$2:$Y$500,0)),"")</f>
        <v/>
      </c>
      <c r="G479" s="8" t="str">
        <f>IFERROR(INDEX(样本到样信息汇总统计!G$2:G$500,MATCH(478,样本到样信息汇总统计!$Y$2:$Y$500,0)),"")</f>
        <v/>
      </c>
      <c r="H479" s="8" t="str">
        <f>IFERROR(INDEX(样本到样信息汇总统计!H$2:H$500,MATCH(478,样本到样信息汇总统计!$Y$2:$Y$500,0)),"")</f>
        <v/>
      </c>
      <c r="I479" s="8" t="str">
        <f>IFERROR(INDEX(样本到样信息汇总统计!I$2:I$500,MATCH(478,样本到样信息汇总统计!$Y$2:$Y$500,0)),"")</f>
        <v/>
      </c>
      <c r="J479" s="8" t="str">
        <f>IFERROR(INDEX(样本到样信息汇总统计!J$2:J$500,MATCH(478,样本到样信息汇总统计!$Y$2:$Y$500,0)),"")</f>
        <v/>
      </c>
      <c r="K479" s="8" t="str">
        <f>IFERROR(INDEX(样本到样信息汇总统计!K$2:K$500,MATCH(478,样本到样信息汇总统计!$Y$2:$Y$500,0)),"")</f>
        <v/>
      </c>
      <c r="L479" s="8" t="str">
        <f>IFERROR(INDEX(样本到样信息汇总统计!L$2:L$500,MATCH(478,样本到样信息汇总统计!$Y$2:$Y$500,0)),"")</f>
        <v/>
      </c>
      <c r="M479" s="8" t="str">
        <f>IFERROR(INDEX(样本到样信息汇总统计!M$2:M$500,MATCH(478,样本到样信息汇总统计!$Y$2:$Y$500,0)),"")</f>
        <v/>
      </c>
      <c r="N479" s="8" t="str">
        <f>IFERROR(INDEX(样本到样信息汇总统计!N$2:N$500,MATCH(478,样本到样信息汇总统计!$Y$2:$Y$500,0)),"")</f>
        <v/>
      </c>
      <c r="O479" s="8" t="str">
        <f>IFERROR(INDEX(样本到样信息汇总统计!O$2:O$500,MATCH(478,样本到样信息汇总统计!$Y$2:$Y$500,0)),"")</f>
        <v/>
      </c>
      <c r="P479" s="8" t="str">
        <f>IFERROR(INDEX(样本到样信息汇总统计!P$2:P$500,MATCH(478,样本到样信息汇总统计!$Y$2:$Y$500,0)),"")</f>
        <v/>
      </c>
      <c r="Q479" s="8" t="str">
        <f>IFERROR(INDEX(样本到样信息汇总统计!Q$2:Q$500,MATCH(478,样本到样信息汇总统计!$Y$2:$Y$500,0)),"")</f>
        <v/>
      </c>
      <c r="R479" s="8" t="str">
        <f>IFERROR(INDEX(样本到样信息汇总统计!R$2:R$500,MATCH(478,样本到样信息汇总统计!$Y$2:$Y$500,0)),"")</f>
        <v/>
      </c>
      <c r="S479" s="8" t="str">
        <f>IFERROR(INDEX(样本到样信息汇总统计!S$2:S$500,MATCH(478,样本到样信息汇总统计!$Y$2:$Y$500,0)),"")</f>
        <v/>
      </c>
      <c r="T479" s="8" t="str">
        <f>IFERROR(INDEX(样本到样信息汇总统计!T$2:T$500,MATCH(478,样本到样信息汇总统计!$Y$2:$Y$500,0)),"")</f>
        <v/>
      </c>
      <c r="U479" s="8" t="str">
        <f>IFERROR(INDEX(样本到样信息汇总统计!U$2:U$500,MATCH(478,样本到样信息汇总统计!$Y$2:$Y$500,0)),"")</f>
        <v/>
      </c>
      <c r="V479" s="8" t="str">
        <f>IFERROR(INDEX(样本到样信息汇总统计!V$2:V$500,MATCH(478,样本到样信息汇总统计!$Y$2:$Y$500,0)),"")</f>
        <v/>
      </c>
      <c r="W479" s="8" t="str">
        <f>IFERROR(INDEX(样本到样信息汇总统计!W$2:W$500,MATCH(478,样本到样信息汇总统计!$Y$2:$Y$500,0)),"")</f>
        <v/>
      </c>
    </row>
    <row r="480" ht="14.5" spans="1:23">
      <c r="A480" s="4" t="str">
        <f>IFERROR(INDEX(样本到样信息汇总统计!A$2:A$500,MATCH(479,样本到样信息汇总统计!$Y$2:$Y$500,0)),"")</f>
        <v/>
      </c>
      <c r="B480" s="4" t="str">
        <f>IFERROR(INDEX(样本到样信息汇总统计!B$2:B$500,MATCH(479,样本到样信息汇总统计!$Y$2:$Y$500,0)),"")</f>
        <v/>
      </c>
      <c r="C480" s="4" t="str">
        <f>IFERROR(INDEX(样本到样信息汇总统计!C$2:C$500,MATCH(479,样本到样信息汇总统计!$Y$2:$Y$500,0)),"")</f>
        <v/>
      </c>
      <c r="D480" s="4" t="str">
        <f>IFERROR(INDEX(样本到样信息汇总统计!D$2:D$500,MATCH(479,样本到样信息汇总统计!$Y$2:$Y$500,0)),"")</f>
        <v/>
      </c>
      <c r="E480" s="4" t="str">
        <f>IFERROR(INDEX(样本到样信息汇总统计!E$2:E$500,MATCH(479,样本到样信息汇总统计!$Y$2:$Y$500,0)),"")</f>
        <v/>
      </c>
      <c r="F480" s="4" t="str">
        <f>IFERROR(INDEX(样本到样信息汇总统计!F$2:F$500,MATCH(479,样本到样信息汇总统计!$Y$2:$Y$500,0)),"")</f>
        <v/>
      </c>
      <c r="G480" s="4" t="str">
        <f>IFERROR(INDEX(样本到样信息汇总统计!G$2:G$500,MATCH(479,样本到样信息汇总统计!$Y$2:$Y$500,0)),"")</f>
        <v/>
      </c>
      <c r="H480" s="4" t="str">
        <f>IFERROR(INDEX(样本到样信息汇总统计!H$2:H$500,MATCH(479,样本到样信息汇总统计!$Y$2:$Y$500,0)),"")</f>
        <v/>
      </c>
      <c r="I480" s="4" t="str">
        <f>IFERROR(INDEX(样本到样信息汇总统计!I$2:I$500,MATCH(479,样本到样信息汇总统计!$Y$2:$Y$500,0)),"")</f>
        <v/>
      </c>
      <c r="J480" s="4" t="str">
        <f>IFERROR(INDEX(样本到样信息汇总统计!J$2:J$500,MATCH(479,样本到样信息汇总统计!$Y$2:$Y$500,0)),"")</f>
        <v/>
      </c>
      <c r="K480" s="4" t="str">
        <f>IFERROR(INDEX(样本到样信息汇总统计!K$2:K$500,MATCH(479,样本到样信息汇总统计!$Y$2:$Y$500,0)),"")</f>
        <v/>
      </c>
      <c r="L480" s="4" t="str">
        <f>IFERROR(INDEX(样本到样信息汇总统计!L$2:L$500,MATCH(479,样本到样信息汇总统计!$Y$2:$Y$500,0)),"")</f>
        <v/>
      </c>
      <c r="M480" s="4" t="str">
        <f>IFERROR(INDEX(样本到样信息汇总统计!M$2:M$500,MATCH(479,样本到样信息汇总统计!$Y$2:$Y$500,0)),"")</f>
        <v/>
      </c>
      <c r="N480" s="4" t="str">
        <f>IFERROR(INDEX(样本到样信息汇总统计!N$2:N$500,MATCH(479,样本到样信息汇总统计!$Y$2:$Y$500,0)),"")</f>
        <v/>
      </c>
      <c r="O480" s="4" t="str">
        <f>IFERROR(INDEX(样本到样信息汇总统计!O$2:O$500,MATCH(479,样本到样信息汇总统计!$Y$2:$Y$500,0)),"")</f>
        <v/>
      </c>
      <c r="P480" s="4" t="str">
        <f>IFERROR(INDEX(样本到样信息汇总统计!P$2:P$500,MATCH(479,样本到样信息汇总统计!$Y$2:$Y$500,0)),"")</f>
        <v/>
      </c>
      <c r="Q480" s="4" t="str">
        <f>IFERROR(INDEX(样本到样信息汇总统计!Q$2:Q$500,MATCH(479,样本到样信息汇总统计!$Y$2:$Y$500,0)),"")</f>
        <v/>
      </c>
      <c r="R480" s="4" t="str">
        <f>IFERROR(INDEX(样本到样信息汇总统计!R$2:R$500,MATCH(479,样本到样信息汇总统计!$Y$2:$Y$500,0)),"")</f>
        <v/>
      </c>
      <c r="S480" s="4" t="str">
        <f>IFERROR(INDEX(样本到样信息汇总统计!S$2:S$500,MATCH(479,样本到样信息汇总统计!$Y$2:$Y$500,0)),"")</f>
        <v/>
      </c>
      <c r="T480" s="4" t="str">
        <f>IFERROR(INDEX(样本到样信息汇总统计!T$2:T$500,MATCH(479,样本到样信息汇总统计!$Y$2:$Y$500,0)),"")</f>
        <v/>
      </c>
      <c r="U480" s="4" t="str">
        <f>IFERROR(INDEX(样本到样信息汇总统计!U$2:U$500,MATCH(479,样本到样信息汇总统计!$Y$2:$Y$500,0)),"")</f>
        <v/>
      </c>
      <c r="V480" s="4" t="str">
        <f>IFERROR(INDEX(样本到样信息汇总统计!V$2:V$500,MATCH(479,样本到样信息汇总统计!$Y$2:$Y$500,0)),"")</f>
        <v/>
      </c>
      <c r="W480" s="4" t="str">
        <f>IFERROR(INDEX(样本到样信息汇总统计!W$2:W$500,MATCH(479,样本到样信息汇总统计!$Y$2:$Y$500,0)),"")</f>
        <v/>
      </c>
    </row>
    <row r="481" ht="14.5" spans="1:23">
      <c r="A481" s="8" t="str">
        <f>IFERROR(INDEX(样本到样信息汇总统计!A$2:A$500,MATCH(480,样本到样信息汇总统计!$Y$2:$Y$500,0)),"")</f>
        <v/>
      </c>
      <c r="B481" s="8" t="str">
        <f>IFERROR(INDEX(样本到样信息汇总统计!B$2:B$500,MATCH(480,样本到样信息汇总统计!$Y$2:$Y$500,0)),"")</f>
        <v/>
      </c>
      <c r="C481" s="8" t="str">
        <f>IFERROR(INDEX(样本到样信息汇总统计!C$2:C$500,MATCH(480,样本到样信息汇总统计!$Y$2:$Y$500,0)),"")</f>
        <v/>
      </c>
      <c r="D481" s="8" t="str">
        <f>IFERROR(INDEX(样本到样信息汇总统计!D$2:D$500,MATCH(480,样本到样信息汇总统计!$Y$2:$Y$500,0)),"")</f>
        <v/>
      </c>
      <c r="E481" s="8" t="str">
        <f>IFERROR(INDEX(样本到样信息汇总统计!E$2:E$500,MATCH(480,样本到样信息汇总统计!$Y$2:$Y$500,0)),"")</f>
        <v/>
      </c>
      <c r="F481" s="8" t="str">
        <f>IFERROR(INDEX(样本到样信息汇总统计!F$2:F$500,MATCH(480,样本到样信息汇总统计!$Y$2:$Y$500,0)),"")</f>
        <v/>
      </c>
      <c r="G481" s="8" t="str">
        <f>IFERROR(INDEX(样本到样信息汇总统计!G$2:G$500,MATCH(480,样本到样信息汇总统计!$Y$2:$Y$500,0)),"")</f>
        <v/>
      </c>
      <c r="H481" s="8" t="str">
        <f>IFERROR(INDEX(样本到样信息汇总统计!H$2:H$500,MATCH(480,样本到样信息汇总统计!$Y$2:$Y$500,0)),"")</f>
        <v/>
      </c>
      <c r="I481" s="8" t="str">
        <f>IFERROR(INDEX(样本到样信息汇总统计!I$2:I$500,MATCH(480,样本到样信息汇总统计!$Y$2:$Y$500,0)),"")</f>
        <v/>
      </c>
      <c r="J481" s="8" t="str">
        <f>IFERROR(INDEX(样本到样信息汇总统计!J$2:J$500,MATCH(480,样本到样信息汇总统计!$Y$2:$Y$500,0)),"")</f>
        <v/>
      </c>
      <c r="K481" s="8" t="str">
        <f>IFERROR(INDEX(样本到样信息汇总统计!K$2:K$500,MATCH(480,样本到样信息汇总统计!$Y$2:$Y$500,0)),"")</f>
        <v/>
      </c>
      <c r="L481" s="8" t="str">
        <f>IFERROR(INDEX(样本到样信息汇总统计!L$2:L$500,MATCH(480,样本到样信息汇总统计!$Y$2:$Y$500,0)),"")</f>
        <v/>
      </c>
      <c r="M481" s="8" t="str">
        <f>IFERROR(INDEX(样本到样信息汇总统计!M$2:M$500,MATCH(480,样本到样信息汇总统计!$Y$2:$Y$500,0)),"")</f>
        <v/>
      </c>
      <c r="N481" s="8" t="str">
        <f>IFERROR(INDEX(样本到样信息汇总统计!N$2:N$500,MATCH(480,样本到样信息汇总统计!$Y$2:$Y$500,0)),"")</f>
        <v/>
      </c>
      <c r="O481" s="8" t="str">
        <f>IFERROR(INDEX(样本到样信息汇总统计!O$2:O$500,MATCH(480,样本到样信息汇总统计!$Y$2:$Y$500,0)),"")</f>
        <v/>
      </c>
      <c r="P481" s="8" t="str">
        <f>IFERROR(INDEX(样本到样信息汇总统计!P$2:P$500,MATCH(480,样本到样信息汇总统计!$Y$2:$Y$500,0)),"")</f>
        <v/>
      </c>
      <c r="Q481" s="8" t="str">
        <f>IFERROR(INDEX(样本到样信息汇总统计!Q$2:Q$500,MATCH(480,样本到样信息汇总统计!$Y$2:$Y$500,0)),"")</f>
        <v/>
      </c>
      <c r="R481" s="8" t="str">
        <f>IFERROR(INDEX(样本到样信息汇总统计!R$2:R$500,MATCH(480,样本到样信息汇总统计!$Y$2:$Y$500,0)),"")</f>
        <v/>
      </c>
      <c r="S481" s="8" t="str">
        <f>IFERROR(INDEX(样本到样信息汇总统计!S$2:S$500,MATCH(480,样本到样信息汇总统计!$Y$2:$Y$500,0)),"")</f>
        <v/>
      </c>
      <c r="T481" s="8" t="str">
        <f>IFERROR(INDEX(样本到样信息汇总统计!T$2:T$500,MATCH(480,样本到样信息汇总统计!$Y$2:$Y$500,0)),"")</f>
        <v/>
      </c>
      <c r="U481" s="8" t="str">
        <f>IFERROR(INDEX(样本到样信息汇总统计!U$2:U$500,MATCH(480,样本到样信息汇总统计!$Y$2:$Y$500,0)),"")</f>
        <v/>
      </c>
      <c r="V481" s="8" t="str">
        <f>IFERROR(INDEX(样本到样信息汇总统计!V$2:V$500,MATCH(480,样本到样信息汇总统计!$Y$2:$Y$500,0)),"")</f>
        <v/>
      </c>
      <c r="W481" s="8" t="str">
        <f>IFERROR(INDEX(样本到样信息汇总统计!W$2:W$500,MATCH(480,样本到样信息汇总统计!$Y$2:$Y$500,0)),"")</f>
        <v/>
      </c>
    </row>
    <row r="482" ht="14.5" spans="1:23">
      <c r="A482" s="4" t="str">
        <f>IFERROR(INDEX(样本到样信息汇总统计!A$2:A$500,MATCH(481,样本到样信息汇总统计!$Y$2:$Y$500,0)),"")</f>
        <v/>
      </c>
      <c r="B482" s="4" t="str">
        <f>IFERROR(INDEX(样本到样信息汇总统计!B$2:B$500,MATCH(481,样本到样信息汇总统计!$Y$2:$Y$500,0)),"")</f>
        <v/>
      </c>
      <c r="C482" s="4" t="str">
        <f>IFERROR(INDEX(样本到样信息汇总统计!C$2:C$500,MATCH(481,样本到样信息汇总统计!$Y$2:$Y$500,0)),"")</f>
        <v/>
      </c>
      <c r="D482" s="4" t="str">
        <f>IFERROR(INDEX(样本到样信息汇总统计!D$2:D$500,MATCH(481,样本到样信息汇总统计!$Y$2:$Y$500,0)),"")</f>
        <v/>
      </c>
      <c r="E482" s="4" t="str">
        <f>IFERROR(INDEX(样本到样信息汇总统计!E$2:E$500,MATCH(481,样本到样信息汇总统计!$Y$2:$Y$500,0)),"")</f>
        <v/>
      </c>
      <c r="F482" s="4" t="str">
        <f>IFERROR(INDEX(样本到样信息汇总统计!F$2:F$500,MATCH(481,样本到样信息汇总统计!$Y$2:$Y$500,0)),"")</f>
        <v/>
      </c>
      <c r="G482" s="4" t="str">
        <f>IFERROR(INDEX(样本到样信息汇总统计!G$2:G$500,MATCH(481,样本到样信息汇总统计!$Y$2:$Y$500,0)),"")</f>
        <v/>
      </c>
      <c r="H482" s="4" t="str">
        <f>IFERROR(INDEX(样本到样信息汇总统计!H$2:H$500,MATCH(481,样本到样信息汇总统计!$Y$2:$Y$500,0)),"")</f>
        <v/>
      </c>
      <c r="I482" s="4" t="str">
        <f>IFERROR(INDEX(样本到样信息汇总统计!I$2:I$500,MATCH(481,样本到样信息汇总统计!$Y$2:$Y$500,0)),"")</f>
        <v/>
      </c>
      <c r="J482" s="4" t="str">
        <f>IFERROR(INDEX(样本到样信息汇总统计!J$2:J$500,MATCH(481,样本到样信息汇总统计!$Y$2:$Y$500,0)),"")</f>
        <v/>
      </c>
      <c r="K482" s="4" t="str">
        <f>IFERROR(INDEX(样本到样信息汇总统计!K$2:K$500,MATCH(481,样本到样信息汇总统计!$Y$2:$Y$500,0)),"")</f>
        <v/>
      </c>
      <c r="L482" s="4" t="str">
        <f>IFERROR(INDEX(样本到样信息汇总统计!L$2:L$500,MATCH(481,样本到样信息汇总统计!$Y$2:$Y$500,0)),"")</f>
        <v/>
      </c>
      <c r="M482" s="4" t="str">
        <f>IFERROR(INDEX(样本到样信息汇总统计!M$2:M$500,MATCH(481,样本到样信息汇总统计!$Y$2:$Y$500,0)),"")</f>
        <v/>
      </c>
      <c r="N482" s="4" t="str">
        <f>IFERROR(INDEX(样本到样信息汇总统计!N$2:N$500,MATCH(481,样本到样信息汇总统计!$Y$2:$Y$500,0)),"")</f>
        <v/>
      </c>
      <c r="O482" s="4" t="str">
        <f>IFERROR(INDEX(样本到样信息汇总统计!O$2:O$500,MATCH(481,样本到样信息汇总统计!$Y$2:$Y$500,0)),"")</f>
        <v/>
      </c>
      <c r="P482" s="4" t="str">
        <f>IFERROR(INDEX(样本到样信息汇总统计!P$2:P$500,MATCH(481,样本到样信息汇总统计!$Y$2:$Y$500,0)),"")</f>
        <v/>
      </c>
      <c r="Q482" s="4" t="str">
        <f>IFERROR(INDEX(样本到样信息汇总统计!Q$2:Q$500,MATCH(481,样本到样信息汇总统计!$Y$2:$Y$500,0)),"")</f>
        <v/>
      </c>
      <c r="R482" s="4" t="str">
        <f>IFERROR(INDEX(样本到样信息汇总统计!R$2:R$500,MATCH(481,样本到样信息汇总统计!$Y$2:$Y$500,0)),"")</f>
        <v/>
      </c>
      <c r="S482" s="4" t="str">
        <f>IFERROR(INDEX(样本到样信息汇总统计!S$2:S$500,MATCH(481,样本到样信息汇总统计!$Y$2:$Y$500,0)),"")</f>
        <v/>
      </c>
      <c r="T482" s="4" t="str">
        <f>IFERROR(INDEX(样本到样信息汇总统计!T$2:T$500,MATCH(481,样本到样信息汇总统计!$Y$2:$Y$500,0)),"")</f>
        <v/>
      </c>
      <c r="U482" s="4" t="str">
        <f>IFERROR(INDEX(样本到样信息汇总统计!U$2:U$500,MATCH(481,样本到样信息汇总统计!$Y$2:$Y$500,0)),"")</f>
        <v/>
      </c>
      <c r="V482" s="4" t="str">
        <f>IFERROR(INDEX(样本到样信息汇总统计!V$2:V$500,MATCH(481,样本到样信息汇总统计!$Y$2:$Y$500,0)),"")</f>
        <v/>
      </c>
      <c r="W482" s="4" t="str">
        <f>IFERROR(INDEX(样本到样信息汇总统计!W$2:W$500,MATCH(481,样本到样信息汇总统计!$Y$2:$Y$500,0)),"")</f>
        <v/>
      </c>
    </row>
    <row r="483" ht="14.5" spans="1:23">
      <c r="A483" s="8" t="str">
        <f>IFERROR(INDEX(样本到样信息汇总统计!A$2:A$500,MATCH(482,样本到样信息汇总统计!$Y$2:$Y$500,0)),"")</f>
        <v/>
      </c>
      <c r="B483" s="8" t="str">
        <f>IFERROR(INDEX(样本到样信息汇总统计!B$2:B$500,MATCH(482,样本到样信息汇总统计!$Y$2:$Y$500,0)),"")</f>
        <v/>
      </c>
      <c r="C483" s="8" t="str">
        <f>IFERROR(INDEX(样本到样信息汇总统计!C$2:C$500,MATCH(482,样本到样信息汇总统计!$Y$2:$Y$500,0)),"")</f>
        <v/>
      </c>
      <c r="D483" s="8" t="str">
        <f>IFERROR(INDEX(样本到样信息汇总统计!D$2:D$500,MATCH(482,样本到样信息汇总统计!$Y$2:$Y$500,0)),"")</f>
        <v/>
      </c>
      <c r="E483" s="8" t="str">
        <f>IFERROR(INDEX(样本到样信息汇总统计!E$2:E$500,MATCH(482,样本到样信息汇总统计!$Y$2:$Y$500,0)),"")</f>
        <v/>
      </c>
      <c r="F483" s="8" t="str">
        <f>IFERROR(INDEX(样本到样信息汇总统计!F$2:F$500,MATCH(482,样本到样信息汇总统计!$Y$2:$Y$500,0)),"")</f>
        <v/>
      </c>
      <c r="G483" s="8" t="str">
        <f>IFERROR(INDEX(样本到样信息汇总统计!G$2:G$500,MATCH(482,样本到样信息汇总统计!$Y$2:$Y$500,0)),"")</f>
        <v/>
      </c>
      <c r="H483" s="8" t="str">
        <f>IFERROR(INDEX(样本到样信息汇总统计!H$2:H$500,MATCH(482,样本到样信息汇总统计!$Y$2:$Y$500,0)),"")</f>
        <v/>
      </c>
      <c r="I483" s="8" t="str">
        <f>IFERROR(INDEX(样本到样信息汇总统计!I$2:I$500,MATCH(482,样本到样信息汇总统计!$Y$2:$Y$500,0)),"")</f>
        <v/>
      </c>
      <c r="J483" s="8" t="str">
        <f>IFERROR(INDEX(样本到样信息汇总统计!J$2:J$500,MATCH(482,样本到样信息汇总统计!$Y$2:$Y$500,0)),"")</f>
        <v/>
      </c>
      <c r="K483" s="8" t="str">
        <f>IFERROR(INDEX(样本到样信息汇总统计!K$2:K$500,MATCH(482,样本到样信息汇总统计!$Y$2:$Y$500,0)),"")</f>
        <v/>
      </c>
      <c r="L483" s="8" t="str">
        <f>IFERROR(INDEX(样本到样信息汇总统计!L$2:L$500,MATCH(482,样本到样信息汇总统计!$Y$2:$Y$500,0)),"")</f>
        <v/>
      </c>
      <c r="M483" s="8" t="str">
        <f>IFERROR(INDEX(样本到样信息汇总统计!M$2:M$500,MATCH(482,样本到样信息汇总统计!$Y$2:$Y$500,0)),"")</f>
        <v/>
      </c>
      <c r="N483" s="8" t="str">
        <f>IFERROR(INDEX(样本到样信息汇总统计!N$2:N$500,MATCH(482,样本到样信息汇总统计!$Y$2:$Y$500,0)),"")</f>
        <v/>
      </c>
      <c r="O483" s="8" t="str">
        <f>IFERROR(INDEX(样本到样信息汇总统计!O$2:O$500,MATCH(482,样本到样信息汇总统计!$Y$2:$Y$500,0)),"")</f>
        <v/>
      </c>
      <c r="P483" s="8" t="str">
        <f>IFERROR(INDEX(样本到样信息汇总统计!P$2:P$500,MATCH(482,样本到样信息汇总统计!$Y$2:$Y$500,0)),"")</f>
        <v/>
      </c>
      <c r="Q483" s="8" t="str">
        <f>IFERROR(INDEX(样本到样信息汇总统计!Q$2:Q$500,MATCH(482,样本到样信息汇总统计!$Y$2:$Y$500,0)),"")</f>
        <v/>
      </c>
      <c r="R483" s="8" t="str">
        <f>IFERROR(INDEX(样本到样信息汇总统计!R$2:R$500,MATCH(482,样本到样信息汇总统计!$Y$2:$Y$500,0)),"")</f>
        <v/>
      </c>
      <c r="S483" s="8" t="str">
        <f>IFERROR(INDEX(样本到样信息汇总统计!S$2:S$500,MATCH(482,样本到样信息汇总统计!$Y$2:$Y$500,0)),"")</f>
        <v/>
      </c>
      <c r="T483" s="8" t="str">
        <f>IFERROR(INDEX(样本到样信息汇总统计!T$2:T$500,MATCH(482,样本到样信息汇总统计!$Y$2:$Y$500,0)),"")</f>
        <v/>
      </c>
      <c r="U483" s="8" t="str">
        <f>IFERROR(INDEX(样本到样信息汇总统计!U$2:U$500,MATCH(482,样本到样信息汇总统计!$Y$2:$Y$500,0)),"")</f>
        <v/>
      </c>
      <c r="V483" s="8" t="str">
        <f>IFERROR(INDEX(样本到样信息汇总统计!V$2:V$500,MATCH(482,样本到样信息汇总统计!$Y$2:$Y$500,0)),"")</f>
        <v/>
      </c>
      <c r="W483" s="8" t="str">
        <f>IFERROR(INDEX(样本到样信息汇总统计!W$2:W$500,MATCH(482,样本到样信息汇总统计!$Y$2:$Y$500,0)),"")</f>
        <v/>
      </c>
    </row>
    <row r="484" ht="14.5" spans="1:23">
      <c r="A484" s="4" t="str">
        <f>IFERROR(INDEX(样本到样信息汇总统计!A$2:A$500,MATCH(483,样本到样信息汇总统计!$Y$2:$Y$500,0)),"")</f>
        <v/>
      </c>
      <c r="B484" s="4" t="str">
        <f>IFERROR(INDEX(样本到样信息汇总统计!B$2:B$500,MATCH(483,样本到样信息汇总统计!$Y$2:$Y$500,0)),"")</f>
        <v/>
      </c>
      <c r="C484" s="4" t="str">
        <f>IFERROR(INDEX(样本到样信息汇总统计!C$2:C$500,MATCH(483,样本到样信息汇总统计!$Y$2:$Y$500,0)),"")</f>
        <v/>
      </c>
      <c r="D484" s="4" t="str">
        <f>IFERROR(INDEX(样本到样信息汇总统计!D$2:D$500,MATCH(483,样本到样信息汇总统计!$Y$2:$Y$500,0)),"")</f>
        <v/>
      </c>
      <c r="E484" s="4" t="str">
        <f>IFERROR(INDEX(样本到样信息汇总统计!E$2:E$500,MATCH(483,样本到样信息汇总统计!$Y$2:$Y$500,0)),"")</f>
        <v/>
      </c>
      <c r="F484" s="4" t="str">
        <f>IFERROR(INDEX(样本到样信息汇总统计!F$2:F$500,MATCH(483,样本到样信息汇总统计!$Y$2:$Y$500,0)),"")</f>
        <v/>
      </c>
      <c r="G484" s="4" t="str">
        <f>IFERROR(INDEX(样本到样信息汇总统计!G$2:G$500,MATCH(483,样本到样信息汇总统计!$Y$2:$Y$500,0)),"")</f>
        <v/>
      </c>
      <c r="H484" s="4" t="str">
        <f>IFERROR(INDEX(样本到样信息汇总统计!H$2:H$500,MATCH(483,样本到样信息汇总统计!$Y$2:$Y$500,0)),"")</f>
        <v/>
      </c>
      <c r="I484" s="4" t="str">
        <f>IFERROR(INDEX(样本到样信息汇总统计!I$2:I$500,MATCH(483,样本到样信息汇总统计!$Y$2:$Y$500,0)),"")</f>
        <v/>
      </c>
      <c r="J484" s="4" t="str">
        <f>IFERROR(INDEX(样本到样信息汇总统计!J$2:J$500,MATCH(483,样本到样信息汇总统计!$Y$2:$Y$500,0)),"")</f>
        <v/>
      </c>
      <c r="K484" s="4" t="str">
        <f>IFERROR(INDEX(样本到样信息汇总统计!K$2:K$500,MATCH(483,样本到样信息汇总统计!$Y$2:$Y$500,0)),"")</f>
        <v/>
      </c>
      <c r="L484" s="4" t="str">
        <f>IFERROR(INDEX(样本到样信息汇总统计!L$2:L$500,MATCH(483,样本到样信息汇总统计!$Y$2:$Y$500,0)),"")</f>
        <v/>
      </c>
      <c r="M484" s="4" t="str">
        <f>IFERROR(INDEX(样本到样信息汇总统计!M$2:M$500,MATCH(483,样本到样信息汇总统计!$Y$2:$Y$500,0)),"")</f>
        <v/>
      </c>
      <c r="N484" s="4" t="str">
        <f>IFERROR(INDEX(样本到样信息汇总统计!N$2:N$500,MATCH(483,样本到样信息汇总统计!$Y$2:$Y$500,0)),"")</f>
        <v/>
      </c>
      <c r="O484" s="4" t="str">
        <f>IFERROR(INDEX(样本到样信息汇总统计!O$2:O$500,MATCH(483,样本到样信息汇总统计!$Y$2:$Y$500,0)),"")</f>
        <v/>
      </c>
      <c r="P484" s="4" t="str">
        <f>IFERROR(INDEX(样本到样信息汇总统计!P$2:P$500,MATCH(483,样本到样信息汇总统计!$Y$2:$Y$500,0)),"")</f>
        <v/>
      </c>
      <c r="Q484" s="4" t="str">
        <f>IFERROR(INDEX(样本到样信息汇总统计!Q$2:Q$500,MATCH(483,样本到样信息汇总统计!$Y$2:$Y$500,0)),"")</f>
        <v/>
      </c>
      <c r="R484" s="4" t="str">
        <f>IFERROR(INDEX(样本到样信息汇总统计!R$2:R$500,MATCH(483,样本到样信息汇总统计!$Y$2:$Y$500,0)),"")</f>
        <v/>
      </c>
      <c r="S484" s="4" t="str">
        <f>IFERROR(INDEX(样本到样信息汇总统计!S$2:S$500,MATCH(483,样本到样信息汇总统计!$Y$2:$Y$500,0)),"")</f>
        <v/>
      </c>
      <c r="T484" s="4" t="str">
        <f>IFERROR(INDEX(样本到样信息汇总统计!T$2:T$500,MATCH(483,样本到样信息汇总统计!$Y$2:$Y$500,0)),"")</f>
        <v/>
      </c>
      <c r="U484" s="4" t="str">
        <f>IFERROR(INDEX(样本到样信息汇总统计!U$2:U$500,MATCH(483,样本到样信息汇总统计!$Y$2:$Y$500,0)),"")</f>
        <v/>
      </c>
      <c r="V484" s="4" t="str">
        <f>IFERROR(INDEX(样本到样信息汇总统计!V$2:V$500,MATCH(483,样本到样信息汇总统计!$Y$2:$Y$500,0)),"")</f>
        <v/>
      </c>
      <c r="W484" s="4" t="str">
        <f>IFERROR(INDEX(样本到样信息汇总统计!W$2:W$500,MATCH(483,样本到样信息汇总统计!$Y$2:$Y$500,0)),"")</f>
        <v/>
      </c>
    </row>
    <row r="485" ht="14.5" spans="1:23">
      <c r="A485" s="8" t="str">
        <f>IFERROR(INDEX(样本到样信息汇总统计!A$2:A$500,MATCH(484,样本到样信息汇总统计!$Y$2:$Y$500,0)),"")</f>
        <v/>
      </c>
      <c r="B485" s="8" t="str">
        <f>IFERROR(INDEX(样本到样信息汇总统计!B$2:B$500,MATCH(484,样本到样信息汇总统计!$Y$2:$Y$500,0)),"")</f>
        <v/>
      </c>
      <c r="C485" s="8" t="str">
        <f>IFERROR(INDEX(样本到样信息汇总统计!C$2:C$500,MATCH(484,样本到样信息汇总统计!$Y$2:$Y$500,0)),"")</f>
        <v/>
      </c>
      <c r="D485" s="8" t="str">
        <f>IFERROR(INDEX(样本到样信息汇总统计!D$2:D$500,MATCH(484,样本到样信息汇总统计!$Y$2:$Y$500,0)),"")</f>
        <v/>
      </c>
      <c r="E485" s="8" t="str">
        <f>IFERROR(INDEX(样本到样信息汇总统计!E$2:E$500,MATCH(484,样本到样信息汇总统计!$Y$2:$Y$500,0)),"")</f>
        <v/>
      </c>
      <c r="F485" s="8" t="str">
        <f>IFERROR(INDEX(样本到样信息汇总统计!F$2:F$500,MATCH(484,样本到样信息汇总统计!$Y$2:$Y$500,0)),"")</f>
        <v/>
      </c>
      <c r="G485" s="8" t="str">
        <f>IFERROR(INDEX(样本到样信息汇总统计!G$2:G$500,MATCH(484,样本到样信息汇总统计!$Y$2:$Y$500,0)),"")</f>
        <v/>
      </c>
      <c r="H485" s="8" t="str">
        <f>IFERROR(INDEX(样本到样信息汇总统计!H$2:H$500,MATCH(484,样本到样信息汇总统计!$Y$2:$Y$500,0)),"")</f>
        <v/>
      </c>
      <c r="I485" s="8" t="str">
        <f>IFERROR(INDEX(样本到样信息汇总统计!I$2:I$500,MATCH(484,样本到样信息汇总统计!$Y$2:$Y$500,0)),"")</f>
        <v/>
      </c>
      <c r="J485" s="8" t="str">
        <f>IFERROR(INDEX(样本到样信息汇总统计!J$2:J$500,MATCH(484,样本到样信息汇总统计!$Y$2:$Y$500,0)),"")</f>
        <v/>
      </c>
      <c r="K485" s="8" t="str">
        <f>IFERROR(INDEX(样本到样信息汇总统计!K$2:K$500,MATCH(484,样本到样信息汇总统计!$Y$2:$Y$500,0)),"")</f>
        <v/>
      </c>
      <c r="L485" s="8" t="str">
        <f>IFERROR(INDEX(样本到样信息汇总统计!L$2:L$500,MATCH(484,样本到样信息汇总统计!$Y$2:$Y$500,0)),"")</f>
        <v/>
      </c>
      <c r="M485" s="8" t="str">
        <f>IFERROR(INDEX(样本到样信息汇总统计!M$2:M$500,MATCH(484,样本到样信息汇总统计!$Y$2:$Y$500,0)),"")</f>
        <v/>
      </c>
      <c r="N485" s="8" t="str">
        <f>IFERROR(INDEX(样本到样信息汇总统计!N$2:N$500,MATCH(484,样本到样信息汇总统计!$Y$2:$Y$500,0)),"")</f>
        <v/>
      </c>
      <c r="O485" s="8" t="str">
        <f>IFERROR(INDEX(样本到样信息汇总统计!O$2:O$500,MATCH(484,样本到样信息汇总统计!$Y$2:$Y$500,0)),"")</f>
        <v/>
      </c>
      <c r="P485" s="8" t="str">
        <f>IFERROR(INDEX(样本到样信息汇总统计!P$2:P$500,MATCH(484,样本到样信息汇总统计!$Y$2:$Y$500,0)),"")</f>
        <v/>
      </c>
      <c r="Q485" s="8" t="str">
        <f>IFERROR(INDEX(样本到样信息汇总统计!Q$2:Q$500,MATCH(484,样本到样信息汇总统计!$Y$2:$Y$500,0)),"")</f>
        <v/>
      </c>
      <c r="R485" s="8" t="str">
        <f>IFERROR(INDEX(样本到样信息汇总统计!R$2:R$500,MATCH(484,样本到样信息汇总统计!$Y$2:$Y$500,0)),"")</f>
        <v/>
      </c>
      <c r="S485" s="8" t="str">
        <f>IFERROR(INDEX(样本到样信息汇总统计!S$2:S$500,MATCH(484,样本到样信息汇总统计!$Y$2:$Y$500,0)),"")</f>
        <v/>
      </c>
      <c r="T485" s="8" t="str">
        <f>IFERROR(INDEX(样本到样信息汇总统计!T$2:T$500,MATCH(484,样本到样信息汇总统计!$Y$2:$Y$500,0)),"")</f>
        <v/>
      </c>
      <c r="U485" s="8" t="str">
        <f>IFERROR(INDEX(样本到样信息汇总统计!U$2:U$500,MATCH(484,样本到样信息汇总统计!$Y$2:$Y$500,0)),"")</f>
        <v/>
      </c>
      <c r="V485" s="8" t="str">
        <f>IFERROR(INDEX(样本到样信息汇总统计!V$2:V$500,MATCH(484,样本到样信息汇总统计!$Y$2:$Y$500,0)),"")</f>
        <v/>
      </c>
      <c r="W485" s="8" t="str">
        <f>IFERROR(INDEX(样本到样信息汇总统计!W$2:W$500,MATCH(484,样本到样信息汇总统计!$Y$2:$Y$500,0)),"")</f>
        <v/>
      </c>
    </row>
    <row r="486" ht="14.5" spans="1:23">
      <c r="A486" s="4" t="str">
        <f>IFERROR(INDEX(样本到样信息汇总统计!A$2:A$500,MATCH(485,样本到样信息汇总统计!$Y$2:$Y$500,0)),"")</f>
        <v/>
      </c>
      <c r="B486" s="4" t="str">
        <f>IFERROR(INDEX(样本到样信息汇总统计!B$2:B$500,MATCH(485,样本到样信息汇总统计!$Y$2:$Y$500,0)),"")</f>
        <v/>
      </c>
      <c r="C486" s="4" t="str">
        <f>IFERROR(INDEX(样本到样信息汇总统计!C$2:C$500,MATCH(485,样本到样信息汇总统计!$Y$2:$Y$500,0)),"")</f>
        <v/>
      </c>
      <c r="D486" s="4" t="str">
        <f>IFERROR(INDEX(样本到样信息汇总统计!D$2:D$500,MATCH(485,样本到样信息汇总统计!$Y$2:$Y$500,0)),"")</f>
        <v/>
      </c>
      <c r="E486" s="4" t="str">
        <f>IFERROR(INDEX(样本到样信息汇总统计!E$2:E$500,MATCH(485,样本到样信息汇总统计!$Y$2:$Y$500,0)),"")</f>
        <v/>
      </c>
      <c r="F486" s="4" t="str">
        <f>IFERROR(INDEX(样本到样信息汇总统计!F$2:F$500,MATCH(485,样本到样信息汇总统计!$Y$2:$Y$500,0)),"")</f>
        <v/>
      </c>
      <c r="G486" s="4" t="str">
        <f>IFERROR(INDEX(样本到样信息汇总统计!G$2:G$500,MATCH(485,样本到样信息汇总统计!$Y$2:$Y$500,0)),"")</f>
        <v/>
      </c>
      <c r="H486" s="4" t="str">
        <f>IFERROR(INDEX(样本到样信息汇总统计!H$2:H$500,MATCH(485,样本到样信息汇总统计!$Y$2:$Y$500,0)),"")</f>
        <v/>
      </c>
      <c r="I486" s="4" t="str">
        <f>IFERROR(INDEX(样本到样信息汇总统计!I$2:I$500,MATCH(485,样本到样信息汇总统计!$Y$2:$Y$500,0)),"")</f>
        <v/>
      </c>
      <c r="J486" s="4" t="str">
        <f>IFERROR(INDEX(样本到样信息汇总统计!J$2:J$500,MATCH(485,样本到样信息汇总统计!$Y$2:$Y$500,0)),"")</f>
        <v/>
      </c>
      <c r="K486" s="4" t="str">
        <f>IFERROR(INDEX(样本到样信息汇总统计!K$2:K$500,MATCH(485,样本到样信息汇总统计!$Y$2:$Y$500,0)),"")</f>
        <v/>
      </c>
      <c r="L486" s="4" t="str">
        <f>IFERROR(INDEX(样本到样信息汇总统计!L$2:L$500,MATCH(485,样本到样信息汇总统计!$Y$2:$Y$500,0)),"")</f>
        <v/>
      </c>
      <c r="M486" s="4" t="str">
        <f>IFERROR(INDEX(样本到样信息汇总统计!M$2:M$500,MATCH(485,样本到样信息汇总统计!$Y$2:$Y$500,0)),"")</f>
        <v/>
      </c>
      <c r="N486" s="4" t="str">
        <f>IFERROR(INDEX(样本到样信息汇总统计!N$2:N$500,MATCH(485,样本到样信息汇总统计!$Y$2:$Y$500,0)),"")</f>
        <v/>
      </c>
      <c r="O486" s="4" t="str">
        <f>IFERROR(INDEX(样本到样信息汇总统计!O$2:O$500,MATCH(485,样本到样信息汇总统计!$Y$2:$Y$500,0)),"")</f>
        <v/>
      </c>
      <c r="P486" s="4" t="str">
        <f>IFERROR(INDEX(样本到样信息汇总统计!P$2:P$500,MATCH(485,样本到样信息汇总统计!$Y$2:$Y$500,0)),"")</f>
        <v/>
      </c>
      <c r="Q486" s="4" t="str">
        <f>IFERROR(INDEX(样本到样信息汇总统计!Q$2:Q$500,MATCH(485,样本到样信息汇总统计!$Y$2:$Y$500,0)),"")</f>
        <v/>
      </c>
      <c r="R486" s="4" t="str">
        <f>IFERROR(INDEX(样本到样信息汇总统计!R$2:R$500,MATCH(485,样本到样信息汇总统计!$Y$2:$Y$500,0)),"")</f>
        <v/>
      </c>
      <c r="S486" s="4" t="str">
        <f>IFERROR(INDEX(样本到样信息汇总统计!S$2:S$500,MATCH(485,样本到样信息汇总统计!$Y$2:$Y$500,0)),"")</f>
        <v/>
      </c>
      <c r="T486" s="4" t="str">
        <f>IFERROR(INDEX(样本到样信息汇总统计!T$2:T$500,MATCH(485,样本到样信息汇总统计!$Y$2:$Y$500,0)),"")</f>
        <v/>
      </c>
      <c r="U486" s="4" t="str">
        <f>IFERROR(INDEX(样本到样信息汇总统计!U$2:U$500,MATCH(485,样本到样信息汇总统计!$Y$2:$Y$500,0)),"")</f>
        <v/>
      </c>
      <c r="V486" s="4" t="str">
        <f>IFERROR(INDEX(样本到样信息汇总统计!V$2:V$500,MATCH(485,样本到样信息汇总统计!$Y$2:$Y$500,0)),"")</f>
        <v/>
      </c>
      <c r="W486" s="4" t="str">
        <f>IFERROR(INDEX(样本到样信息汇总统计!W$2:W$500,MATCH(485,样本到样信息汇总统计!$Y$2:$Y$500,0)),"")</f>
        <v/>
      </c>
    </row>
    <row r="487" ht="14.5" spans="1:23">
      <c r="A487" s="8" t="str">
        <f>IFERROR(INDEX(样本到样信息汇总统计!A$2:A$500,MATCH(486,样本到样信息汇总统计!$Y$2:$Y$500,0)),"")</f>
        <v/>
      </c>
      <c r="B487" s="8" t="str">
        <f>IFERROR(INDEX(样本到样信息汇总统计!B$2:B$500,MATCH(486,样本到样信息汇总统计!$Y$2:$Y$500,0)),"")</f>
        <v/>
      </c>
      <c r="C487" s="8" t="str">
        <f>IFERROR(INDEX(样本到样信息汇总统计!C$2:C$500,MATCH(486,样本到样信息汇总统计!$Y$2:$Y$500,0)),"")</f>
        <v/>
      </c>
      <c r="D487" s="8" t="str">
        <f>IFERROR(INDEX(样本到样信息汇总统计!D$2:D$500,MATCH(486,样本到样信息汇总统计!$Y$2:$Y$500,0)),"")</f>
        <v/>
      </c>
      <c r="E487" s="8" t="str">
        <f>IFERROR(INDEX(样本到样信息汇总统计!E$2:E$500,MATCH(486,样本到样信息汇总统计!$Y$2:$Y$500,0)),"")</f>
        <v/>
      </c>
      <c r="F487" s="8" t="str">
        <f>IFERROR(INDEX(样本到样信息汇总统计!F$2:F$500,MATCH(486,样本到样信息汇总统计!$Y$2:$Y$500,0)),"")</f>
        <v/>
      </c>
      <c r="G487" s="8" t="str">
        <f>IFERROR(INDEX(样本到样信息汇总统计!G$2:G$500,MATCH(486,样本到样信息汇总统计!$Y$2:$Y$500,0)),"")</f>
        <v/>
      </c>
      <c r="H487" s="8" t="str">
        <f>IFERROR(INDEX(样本到样信息汇总统计!H$2:H$500,MATCH(486,样本到样信息汇总统计!$Y$2:$Y$500,0)),"")</f>
        <v/>
      </c>
      <c r="I487" s="8" t="str">
        <f>IFERROR(INDEX(样本到样信息汇总统计!I$2:I$500,MATCH(486,样本到样信息汇总统计!$Y$2:$Y$500,0)),"")</f>
        <v/>
      </c>
      <c r="J487" s="8" t="str">
        <f>IFERROR(INDEX(样本到样信息汇总统计!J$2:J$500,MATCH(486,样本到样信息汇总统计!$Y$2:$Y$500,0)),"")</f>
        <v/>
      </c>
      <c r="K487" s="8" t="str">
        <f>IFERROR(INDEX(样本到样信息汇总统计!K$2:K$500,MATCH(486,样本到样信息汇总统计!$Y$2:$Y$500,0)),"")</f>
        <v/>
      </c>
      <c r="L487" s="8" t="str">
        <f>IFERROR(INDEX(样本到样信息汇总统计!L$2:L$500,MATCH(486,样本到样信息汇总统计!$Y$2:$Y$500,0)),"")</f>
        <v/>
      </c>
      <c r="M487" s="8" t="str">
        <f>IFERROR(INDEX(样本到样信息汇总统计!M$2:M$500,MATCH(486,样本到样信息汇总统计!$Y$2:$Y$500,0)),"")</f>
        <v/>
      </c>
      <c r="N487" s="8" t="str">
        <f>IFERROR(INDEX(样本到样信息汇总统计!N$2:N$500,MATCH(486,样本到样信息汇总统计!$Y$2:$Y$500,0)),"")</f>
        <v/>
      </c>
      <c r="O487" s="8" t="str">
        <f>IFERROR(INDEX(样本到样信息汇总统计!O$2:O$500,MATCH(486,样本到样信息汇总统计!$Y$2:$Y$500,0)),"")</f>
        <v/>
      </c>
      <c r="P487" s="8" t="str">
        <f>IFERROR(INDEX(样本到样信息汇总统计!P$2:P$500,MATCH(486,样本到样信息汇总统计!$Y$2:$Y$500,0)),"")</f>
        <v/>
      </c>
      <c r="Q487" s="8" t="str">
        <f>IFERROR(INDEX(样本到样信息汇总统计!Q$2:Q$500,MATCH(486,样本到样信息汇总统计!$Y$2:$Y$500,0)),"")</f>
        <v/>
      </c>
      <c r="R487" s="8" t="str">
        <f>IFERROR(INDEX(样本到样信息汇总统计!R$2:R$500,MATCH(486,样本到样信息汇总统计!$Y$2:$Y$500,0)),"")</f>
        <v/>
      </c>
      <c r="S487" s="8" t="str">
        <f>IFERROR(INDEX(样本到样信息汇总统计!S$2:S$500,MATCH(486,样本到样信息汇总统计!$Y$2:$Y$500,0)),"")</f>
        <v/>
      </c>
      <c r="T487" s="8" t="str">
        <f>IFERROR(INDEX(样本到样信息汇总统计!T$2:T$500,MATCH(486,样本到样信息汇总统计!$Y$2:$Y$500,0)),"")</f>
        <v/>
      </c>
      <c r="U487" s="8" t="str">
        <f>IFERROR(INDEX(样本到样信息汇总统计!U$2:U$500,MATCH(486,样本到样信息汇总统计!$Y$2:$Y$500,0)),"")</f>
        <v/>
      </c>
      <c r="V487" s="8" t="str">
        <f>IFERROR(INDEX(样本到样信息汇总统计!V$2:V$500,MATCH(486,样本到样信息汇总统计!$Y$2:$Y$500,0)),"")</f>
        <v/>
      </c>
      <c r="W487" s="8" t="str">
        <f>IFERROR(INDEX(样本到样信息汇总统计!W$2:W$500,MATCH(486,样本到样信息汇总统计!$Y$2:$Y$500,0)),"")</f>
        <v/>
      </c>
    </row>
    <row r="488" ht="14.5" spans="1:23">
      <c r="A488" s="4" t="str">
        <f>IFERROR(INDEX(样本到样信息汇总统计!A$2:A$500,MATCH(487,样本到样信息汇总统计!$Y$2:$Y$500,0)),"")</f>
        <v/>
      </c>
      <c r="B488" s="4" t="str">
        <f>IFERROR(INDEX(样本到样信息汇总统计!B$2:B$500,MATCH(487,样本到样信息汇总统计!$Y$2:$Y$500,0)),"")</f>
        <v/>
      </c>
      <c r="C488" s="4" t="str">
        <f>IFERROR(INDEX(样本到样信息汇总统计!C$2:C$500,MATCH(487,样本到样信息汇总统计!$Y$2:$Y$500,0)),"")</f>
        <v/>
      </c>
      <c r="D488" s="4" t="str">
        <f>IFERROR(INDEX(样本到样信息汇总统计!D$2:D$500,MATCH(487,样本到样信息汇总统计!$Y$2:$Y$500,0)),"")</f>
        <v/>
      </c>
      <c r="E488" s="4" t="str">
        <f>IFERROR(INDEX(样本到样信息汇总统计!E$2:E$500,MATCH(487,样本到样信息汇总统计!$Y$2:$Y$500,0)),"")</f>
        <v/>
      </c>
      <c r="F488" s="4" t="str">
        <f>IFERROR(INDEX(样本到样信息汇总统计!F$2:F$500,MATCH(487,样本到样信息汇总统计!$Y$2:$Y$500,0)),"")</f>
        <v/>
      </c>
      <c r="G488" s="4" t="str">
        <f>IFERROR(INDEX(样本到样信息汇总统计!G$2:G$500,MATCH(487,样本到样信息汇总统计!$Y$2:$Y$500,0)),"")</f>
        <v/>
      </c>
      <c r="H488" s="4" t="str">
        <f>IFERROR(INDEX(样本到样信息汇总统计!H$2:H$500,MATCH(487,样本到样信息汇总统计!$Y$2:$Y$500,0)),"")</f>
        <v/>
      </c>
      <c r="I488" s="4" t="str">
        <f>IFERROR(INDEX(样本到样信息汇总统计!I$2:I$500,MATCH(487,样本到样信息汇总统计!$Y$2:$Y$500,0)),"")</f>
        <v/>
      </c>
      <c r="J488" s="4" t="str">
        <f>IFERROR(INDEX(样本到样信息汇总统计!J$2:J$500,MATCH(487,样本到样信息汇总统计!$Y$2:$Y$500,0)),"")</f>
        <v/>
      </c>
      <c r="K488" s="4" t="str">
        <f>IFERROR(INDEX(样本到样信息汇总统计!K$2:K$500,MATCH(487,样本到样信息汇总统计!$Y$2:$Y$500,0)),"")</f>
        <v/>
      </c>
      <c r="L488" s="4" t="str">
        <f>IFERROR(INDEX(样本到样信息汇总统计!L$2:L$500,MATCH(487,样本到样信息汇总统计!$Y$2:$Y$500,0)),"")</f>
        <v/>
      </c>
      <c r="M488" s="4" t="str">
        <f>IFERROR(INDEX(样本到样信息汇总统计!M$2:M$500,MATCH(487,样本到样信息汇总统计!$Y$2:$Y$500,0)),"")</f>
        <v/>
      </c>
      <c r="N488" s="4" t="str">
        <f>IFERROR(INDEX(样本到样信息汇总统计!N$2:N$500,MATCH(487,样本到样信息汇总统计!$Y$2:$Y$500,0)),"")</f>
        <v/>
      </c>
      <c r="O488" s="4" t="str">
        <f>IFERROR(INDEX(样本到样信息汇总统计!O$2:O$500,MATCH(487,样本到样信息汇总统计!$Y$2:$Y$500,0)),"")</f>
        <v/>
      </c>
      <c r="P488" s="4" t="str">
        <f>IFERROR(INDEX(样本到样信息汇总统计!P$2:P$500,MATCH(487,样本到样信息汇总统计!$Y$2:$Y$500,0)),"")</f>
        <v/>
      </c>
      <c r="Q488" s="4" t="str">
        <f>IFERROR(INDEX(样本到样信息汇总统计!Q$2:Q$500,MATCH(487,样本到样信息汇总统计!$Y$2:$Y$500,0)),"")</f>
        <v/>
      </c>
      <c r="R488" s="4" t="str">
        <f>IFERROR(INDEX(样本到样信息汇总统计!R$2:R$500,MATCH(487,样本到样信息汇总统计!$Y$2:$Y$500,0)),"")</f>
        <v/>
      </c>
      <c r="S488" s="4" t="str">
        <f>IFERROR(INDEX(样本到样信息汇总统计!S$2:S$500,MATCH(487,样本到样信息汇总统计!$Y$2:$Y$500,0)),"")</f>
        <v/>
      </c>
      <c r="T488" s="4" t="str">
        <f>IFERROR(INDEX(样本到样信息汇总统计!T$2:T$500,MATCH(487,样本到样信息汇总统计!$Y$2:$Y$500,0)),"")</f>
        <v/>
      </c>
      <c r="U488" s="4" t="str">
        <f>IFERROR(INDEX(样本到样信息汇总统计!U$2:U$500,MATCH(487,样本到样信息汇总统计!$Y$2:$Y$500,0)),"")</f>
        <v/>
      </c>
      <c r="V488" s="4" t="str">
        <f>IFERROR(INDEX(样本到样信息汇总统计!V$2:V$500,MATCH(487,样本到样信息汇总统计!$Y$2:$Y$500,0)),"")</f>
        <v/>
      </c>
      <c r="W488" s="4" t="str">
        <f>IFERROR(INDEX(样本到样信息汇总统计!W$2:W$500,MATCH(487,样本到样信息汇总统计!$Y$2:$Y$500,0)),"")</f>
        <v/>
      </c>
    </row>
    <row r="489" ht="14.5" spans="1:23">
      <c r="A489" s="8" t="str">
        <f>IFERROR(INDEX(样本到样信息汇总统计!A$2:A$500,MATCH(488,样本到样信息汇总统计!$Y$2:$Y$500,0)),"")</f>
        <v/>
      </c>
      <c r="B489" s="8" t="str">
        <f>IFERROR(INDEX(样本到样信息汇总统计!B$2:B$500,MATCH(488,样本到样信息汇总统计!$Y$2:$Y$500,0)),"")</f>
        <v/>
      </c>
      <c r="C489" s="8" t="str">
        <f>IFERROR(INDEX(样本到样信息汇总统计!C$2:C$500,MATCH(488,样本到样信息汇总统计!$Y$2:$Y$500,0)),"")</f>
        <v/>
      </c>
      <c r="D489" s="8" t="str">
        <f>IFERROR(INDEX(样本到样信息汇总统计!D$2:D$500,MATCH(488,样本到样信息汇总统计!$Y$2:$Y$500,0)),"")</f>
        <v/>
      </c>
      <c r="E489" s="8" t="str">
        <f>IFERROR(INDEX(样本到样信息汇总统计!E$2:E$500,MATCH(488,样本到样信息汇总统计!$Y$2:$Y$500,0)),"")</f>
        <v/>
      </c>
      <c r="F489" s="8" t="str">
        <f>IFERROR(INDEX(样本到样信息汇总统计!F$2:F$500,MATCH(488,样本到样信息汇总统计!$Y$2:$Y$500,0)),"")</f>
        <v/>
      </c>
      <c r="G489" s="8" t="str">
        <f>IFERROR(INDEX(样本到样信息汇总统计!G$2:G$500,MATCH(488,样本到样信息汇总统计!$Y$2:$Y$500,0)),"")</f>
        <v/>
      </c>
      <c r="H489" s="8" t="str">
        <f>IFERROR(INDEX(样本到样信息汇总统计!H$2:H$500,MATCH(488,样本到样信息汇总统计!$Y$2:$Y$500,0)),"")</f>
        <v/>
      </c>
      <c r="I489" s="8" t="str">
        <f>IFERROR(INDEX(样本到样信息汇总统计!I$2:I$500,MATCH(488,样本到样信息汇总统计!$Y$2:$Y$500,0)),"")</f>
        <v/>
      </c>
      <c r="J489" s="8" t="str">
        <f>IFERROR(INDEX(样本到样信息汇总统计!J$2:J$500,MATCH(488,样本到样信息汇总统计!$Y$2:$Y$500,0)),"")</f>
        <v/>
      </c>
      <c r="K489" s="8" t="str">
        <f>IFERROR(INDEX(样本到样信息汇总统计!K$2:K$500,MATCH(488,样本到样信息汇总统计!$Y$2:$Y$500,0)),"")</f>
        <v/>
      </c>
      <c r="L489" s="8" t="str">
        <f>IFERROR(INDEX(样本到样信息汇总统计!L$2:L$500,MATCH(488,样本到样信息汇总统计!$Y$2:$Y$500,0)),"")</f>
        <v/>
      </c>
      <c r="M489" s="8" t="str">
        <f>IFERROR(INDEX(样本到样信息汇总统计!M$2:M$500,MATCH(488,样本到样信息汇总统计!$Y$2:$Y$500,0)),"")</f>
        <v/>
      </c>
      <c r="N489" s="8" t="str">
        <f>IFERROR(INDEX(样本到样信息汇总统计!N$2:N$500,MATCH(488,样本到样信息汇总统计!$Y$2:$Y$500,0)),"")</f>
        <v/>
      </c>
      <c r="O489" s="8" t="str">
        <f>IFERROR(INDEX(样本到样信息汇总统计!O$2:O$500,MATCH(488,样本到样信息汇总统计!$Y$2:$Y$500,0)),"")</f>
        <v/>
      </c>
      <c r="P489" s="8" t="str">
        <f>IFERROR(INDEX(样本到样信息汇总统计!P$2:P$500,MATCH(488,样本到样信息汇总统计!$Y$2:$Y$500,0)),"")</f>
        <v/>
      </c>
      <c r="Q489" s="8" t="str">
        <f>IFERROR(INDEX(样本到样信息汇总统计!Q$2:Q$500,MATCH(488,样本到样信息汇总统计!$Y$2:$Y$500,0)),"")</f>
        <v/>
      </c>
      <c r="R489" s="8" t="str">
        <f>IFERROR(INDEX(样本到样信息汇总统计!R$2:R$500,MATCH(488,样本到样信息汇总统计!$Y$2:$Y$500,0)),"")</f>
        <v/>
      </c>
      <c r="S489" s="8" t="str">
        <f>IFERROR(INDEX(样本到样信息汇总统计!S$2:S$500,MATCH(488,样本到样信息汇总统计!$Y$2:$Y$500,0)),"")</f>
        <v/>
      </c>
      <c r="T489" s="8" t="str">
        <f>IFERROR(INDEX(样本到样信息汇总统计!T$2:T$500,MATCH(488,样本到样信息汇总统计!$Y$2:$Y$500,0)),"")</f>
        <v/>
      </c>
      <c r="U489" s="8" t="str">
        <f>IFERROR(INDEX(样本到样信息汇总统计!U$2:U$500,MATCH(488,样本到样信息汇总统计!$Y$2:$Y$500,0)),"")</f>
        <v/>
      </c>
      <c r="V489" s="8" t="str">
        <f>IFERROR(INDEX(样本到样信息汇总统计!V$2:V$500,MATCH(488,样本到样信息汇总统计!$Y$2:$Y$500,0)),"")</f>
        <v/>
      </c>
      <c r="W489" s="8" t="str">
        <f>IFERROR(INDEX(样本到样信息汇总统计!W$2:W$500,MATCH(488,样本到样信息汇总统计!$Y$2:$Y$500,0)),"")</f>
        <v/>
      </c>
    </row>
    <row r="490" ht="14.5" spans="1:23">
      <c r="A490" s="4" t="str">
        <f>IFERROR(INDEX(样本到样信息汇总统计!A$2:A$500,MATCH(489,样本到样信息汇总统计!$Y$2:$Y$500,0)),"")</f>
        <v/>
      </c>
      <c r="B490" s="4" t="str">
        <f>IFERROR(INDEX(样本到样信息汇总统计!B$2:B$500,MATCH(489,样本到样信息汇总统计!$Y$2:$Y$500,0)),"")</f>
        <v/>
      </c>
      <c r="C490" s="4" t="str">
        <f>IFERROR(INDEX(样本到样信息汇总统计!C$2:C$500,MATCH(489,样本到样信息汇总统计!$Y$2:$Y$500,0)),"")</f>
        <v/>
      </c>
      <c r="D490" s="4" t="str">
        <f>IFERROR(INDEX(样本到样信息汇总统计!D$2:D$500,MATCH(489,样本到样信息汇总统计!$Y$2:$Y$500,0)),"")</f>
        <v/>
      </c>
      <c r="E490" s="4" t="str">
        <f>IFERROR(INDEX(样本到样信息汇总统计!E$2:E$500,MATCH(489,样本到样信息汇总统计!$Y$2:$Y$500,0)),"")</f>
        <v/>
      </c>
      <c r="F490" s="4" t="str">
        <f>IFERROR(INDEX(样本到样信息汇总统计!F$2:F$500,MATCH(489,样本到样信息汇总统计!$Y$2:$Y$500,0)),"")</f>
        <v/>
      </c>
      <c r="G490" s="4" t="str">
        <f>IFERROR(INDEX(样本到样信息汇总统计!G$2:G$500,MATCH(489,样本到样信息汇总统计!$Y$2:$Y$500,0)),"")</f>
        <v/>
      </c>
      <c r="H490" s="4" t="str">
        <f>IFERROR(INDEX(样本到样信息汇总统计!H$2:H$500,MATCH(489,样本到样信息汇总统计!$Y$2:$Y$500,0)),"")</f>
        <v/>
      </c>
      <c r="I490" s="4" t="str">
        <f>IFERROR(INDEX(样本到样信息汇总统计!I$2:I$500,MATCH(489,样本到样信息汇总统计!$Y$2:$Y$500,0)),"")</f>
        <v/>
      </c>
      <c r="J490" s="4" t="str">
        <f>IFERROR(INDEX(样本到样信息汇总统计!J$2:J$500,MATCH(489,样本到样信息汇总统计!$Y$2:$Y$500,0)),"")</f>
        <v/>
      </c>
      <c r="K490" s="4" t="str">
        <f>IFERROR(INDEX(样本到样信息汇总统计!K$2:K$500,MATCH(489,样本到样信息汇总统计!$Y$2:$Y$500,0)),"")</f>
        <v/>
      </c>
      <c r="L490" s="4" t="str">
        <f>IFERROR(INDEX(样本到样信息汇总统计!L$2:L$500,MATCH(489,样本到样信息汇总统计!$Y$2:$Y$500,0)),"")</f>
        <v/>
      </c>
      <c r="M490" s="4" t="str">
        <f>IFERROR(INDEX(样本到样信息汇总统计!M$2:M$500,MATCH(489,样本到样信息汇总统计!$Y$2:$Y$500,0)),"")</f>
        <v/>
      </c>
      <c r="N490" s="4" t="str">
        <f>IFERROR(INDEX(样本到样信息汇总统计!N$2:N$500,MATCH(489,样本到样信息汇总统计!$Y$2:$Y$500,0)),"")</f>
        <v/>
      </c>
      <c r="O490" s="4" t="str">
        <f>IFERROR(INDEX(样本到样信息汇总统计!O$2:O$500,MATCH(489,样本到样信息汇总统计!$Y$2:$Y$500,0)),"")</f>
        <v/>
      </c>
      <c r="P490" s="4" t="str">
        <f>IFERROR(INDEX(样本到样信息汇总统计!P$2:P$500,MATCH(489,样本到样信息汇总统计!$Y$2:$Y$500,0)),"")</f>
        <v/>
      </c>
      <c r="Q490" s="4" t="str">
        <f>IFERROR(INDEX(样本到样信息汇总统计!Q$2:Q$500,MATCH(489,样本到样信息汇总统计!$Y$2:$Y$500,0)),"")</f>
        <v/>
      </c>
      <c r="R490" s="4" t="str">
        <f>IFERROR(INDEX(样本到样信息汇总统计!R$2:R$500,MATCH(489,样本到样信息汇总统计!$Y$2:$Y$500,0)),"")</f>
        <v/>
      </c>
      <c r="S490" s="4" t="str">
        <f>IFERROR(INDEX(样本到样信息汇总统计!S$2:S$500,MATCH(489,样本到样信息汇总统计!$Y$2:$Y$500,0)),"")</f>
        <v/>
      </c>
      <c r="T490" s="4" t="str">
        <f>IFERROR(INDEX(样本到样信息汇总统计!T$2:T$500,MATCH(489,样本到样信息汇总统计!$Y$2:$Y$500,0)),"")</f>
        <v/>
      </c>
      <c r="U490" s="4" t="str">
        <f>IFERROR(INDEX(样本到样信息汇总统计!U$2:U$500,MATCH(489,样本到样信息汇总统计!$Y$2:$Y$500,0)),"")</f>
        <v/>
      </c>
      <c r="V490" s="4" t="str">
        <f>IFERROR(INDEX(样本到样信息汇总统计!V$2:V$500,MATCH(489,样本到样信息汇总统计!$Y$2:$Y$500,0)),"")</f>
        <v/>
      </c>
      <c r="W490" s="4" t="str">
        <f>IFERROR(INDEX(样本到样信息汇总统计!W$2:W$500,MATCH(489,样本到样信息汇总统计!$Y$2:$Y$500,0)),"")</f>
        <v/>
      </c>
    </row>
    <row r="491" ht="14.5" spans="1:23">
      <c r="A491" s="8" t="str">
        <f>IFERROR(INDEX(样本到样信息汇总统计!A$2:A$500,MATCH(490,样本到样信息汇总统计!$Y$2:$Y$500,0)),"")</f>
        <v/>
      </c>
      <c r="B491" s="8" t="str">
        <f>IFERROR(INDEX(样本到样信息汇总统计!B$2:B$500,MATCH(490,样本到样信息汇总统计!$Y$2:$Y$500,0)),"")</f>
        <v/>
      </c>
      <c r="C491" s="8" t="str">
        <f>IFERROR(INDEX(样本到样信息汇总统计!C$2:C$500,MATCH(490,样本到样信息汇总统计!$Y$2:$Y$500,0)),"")</f>
        <v/>
      </c>
      <c r="D491" s="8" t="str">
        <f>IFERROR(INDEX(样本到样信息汇总统计!D$2:D$500,MATCH(490,样本到样信息汇总统计!$Y$2:$Y$500,0)),"")</f>
        <v/>
      </c>
      <c r="E491" s="8" t="str">
        <f>IFERROR(INDEX(样本到样信息汇总统计!E$2:E$500,MATCH(490,样本到样信息汇总统计!$Y$2:$Y$500,0)),"")</f>
        <v/>
      </c>
      <c r="F491" s="8" t="str">
        <f>IFERROR(INDEX(样本到样信息汇总统计!F$2:F$500,MATCH(490,样本到样信息汇总统计!$Y$2:$Y$500,0)),"")</f>
        <v/>
      </c>
      <c r="G491" s="8" t="str">
        <f>IFERROR(INDEX(样本到样信息汇总统计!G$2:G$500,MATCH(490,样本到样信息汇总统计!$Y$2:$Y$500,0)),"")</f>
        <v/>
      </c>
      <c r="H491" s="8" t="str">
        <f>IFERROR(INDEX(样本到样信息汇总统计!H$2:H$500,MATCH(490,样本到样信息汇总统计!$Y$2:$Y$500,0)),"")</f>
        <v/>
      </c>
      <c r="I491" s="8" t="str">
        <f>IFERROR(INDEX(样本到样信息汇总统计!I$2:I$500,MATCH(490,样本到样信息汇总统计!$Y$2:$Y$500,0)),"")</f>
        <v/>
      </c>
      <c r="J491" s="8" t="str">
        <f>IFERROR(INDEX(样本到样信息汇总统计!J$2:J$500,MATCH(490,样本到样信息汇总统计!$Y$2:$Y$500,0)),"")</f>
        <v/>
      </c>
      <c r="K491" s="8" t="str">
        <f>IFERROR(INDEX(样本到样信息汇总统计!K$2:K$500,MATCH(490,样本到样信息汇总统计!$Y$2:$Y$500,0)),"")</f>
        <v/>
      </c>
      <c r="L491" s="8" t="str">
        <f>IFERROR(INDEX(样本到样信息汇总统计!L$2:L$500,MATCH(490,样本到样信息汇总统计!$Y$2:$Y$500,0)),"")</f>
        <v/>
      </c>
      <c r="M491" s="8" t="str">
        <f>IFERROR(INDEX(样本到样信息汇总统计!M$2:M$500,MATCH(490,样本到样信息汇总统计!$Y$2:$Y$500,0)),"")</f>
        <v/>
      </c>
      <c r="N491" s="8" t="str">
        <f>IFERROR(INDEX(样本到样信息汇总统计!N$2:N$500,MATCH(490,样本到样信息汇总统计!$Y$2:$Y$500,0)),"")</f>
        <v/>
      </c>
      <c r="O491" s="8" t="str">
        <f>IFERROR(INDEX(样本到样信息汇总统计!O$2:O$500,MATCH(490,样本到样信息汇总统计!$Y$2:$Y$500,0)),"")</f>
        <v/>
      </c>
      <c r="P491" s="8" t="str">
        <f>IFERROR(INDEX(样本到样信息汇总统计!P$2:P$500,MATCH(490,样本到样信息汇总统计!$Y$2:$Y$500,0)),"")</f>
        <v/>
      </c>
      <c r="Q491" s="8" t="str">
        <f>IFERROR(INDEX(样本到样信息汇总统计!Q$2:Q$500,MATCH(490,样本到样信息汇总统计!$Y$2:$Y$500,0)),"")</f>
        <v/>
      </c>
      <c r="R491" s="8" t="str">
        <f>IFERROR(INDEX(样本到样信息汇总统计!R$2:R$500,MATCH(490,样本到样信息汇总统计!$Y$2:$Y$500,0)),"")</f>
        <v/>
      </c>
      <c r="S491" s="8" t="str">
        <f>IFERROR(INDEX(样本到样信息汇总统计!S$2:S$500,MATCH(490,样本到样信息汇总统计!$Y$2:$Y$500,0)),"")</f>
        <v/>
      </c>
      <c r="T491" s="8" t="str">
        <f>IFERROR(INDEX(样本到样信息汇总统计!T$2:T$500,MATCH(490,样本到样信息汇总统计!$Y$2:$Y$500,0)),"")</f>
        <v/>
      </c>
      <c r="U491" s="8" t="str">
        <f>IFERROR(INDEX(样本到样信息汇总统计!U$2:U$500,MATCH(490,样本到样信息汇总统计!$Y$2:$Y$500,0)),"")</f>
        <v/>
      </c>
      <c r="V491" s="8" t="str">
        <f>IFERROR(INDEX(样本到样信息汇总统计!V$2:V$500,MATCH(490,样本到样信息汇总统计!$Y$2:$Y$500,0)),"")</f>
        <v/>
      </c>
      <c r="W491" s="8" t="str">
        <f>IFERROR(INDEX(样本到样信息汇总统计!W$2:W$500,MATCH(490,样本到样信息汇总统计!$Y$2:$Y$500,0)),"")</f>
        <v/>
      </c>
    </row>
    <row r="492" ht="14.5" spans="1:23">
      <c r="A492" s="4" t="str">
        <f>IFERROR(INDEX(样本到样信息汇总统计!A$2:A$500,MATCH(491,样本到样信息汇总统计!$Y$2:$Y$500,0)),"")</f>
        <v/>
      </c>
      <c r="B492" s="4" t="str">
        <f>IFERROR(INDEX(样本到样信息汇总统计!B$2:B$500,MATCH(491,样本到样信息汇总统计!$Y$2:$Y$500,0)),"")</f>
        <v/>
      </c>
      <c r="C492" s="4" t="str">
        <f>IFERROR(INDEX(样本到样信息汇总统计!C$2:C$500,MATCH(491,样本到样信息汇总统计!$Y$2:$Y$500,0)),"")</f>
        <v/>
      </c>
      <c r="D492" s="4" t="str">
        <f>IFERROR(INDEX(样本到样信息汇总统计!D$2:D$500,MATCH(491,样本到样信息汇总统计!$Y$2:$Y$500,0)),"")</f>
        <v/>
      </c>
      <c r="E492" s="4" t="str">
        <f>IFERROR(INDEX(样本到样信息汇总统计!E$2:E$500,MATCH(491,样本到样信息汇总统计!$Y$2:$Y$500,0)),"")</f>
        <v/>
      </c>
      <c r="F492" s="4" t="str">
        <f>IFERROR(INDEX(样本到样信息汇总统计!F$2:F$500,MATCH(491,样本到样信息汇总统计!$Y$2:$Y$500,0)),"")</f>
        <v/>
      </c>
      <c r="G492" s="4" t="str">
        <f>IFERROR(INDEX(样本到样信息汇总统计!G$2:G$500,MATCH(491,样本到样信息汇总统计!$Y$2:$Y$500,0)),"")</f>
        <v/>
      </c>
      <c r="H492" s="4" t="str">
        <f>IFERROR(INDEX(样本到样信息汇总统计!H$2:H$500,MATCH(491,样本到样信息汇总统计!$Y$2:$Y$500,0)),"")</f>
        <v/>
      </c>
      <c r="I492" s="4" t="str">
        <f>IFERROR(INDEX(样本到样信息汇总统计!I$2:I$500,MATCH(491,样本到样信息汇总统计!$Y$2:$Y$500,0)),"")</f>
        <v/>
      </c>
      <c r="J492" s="4" t="str">
        <f>IFERROR(INDEX(样本到样信息汇总统计!J$2:J$500,MATCH(491,样本到样信息汇总统计!$Y$2:$Y$500,0)),"")</f>
        <v/>
      </c>
      <c r="K492" s="4" t="str">
        <f>IFERROR(INDEX(样本到样信息汇总统计!K$2:K$500,MATCH(491,样本到样信息汇总统计!$Y$2:$Y$500,0)),"")</f>
        <v/>
      </c>
      <c r="L492" s="4" t="str">
        <f>IFERROR(INDEX(样本到样信息汇总统计!L$2:L$500,MATCH(491,样本到样信息汇总统计!$Y$2:$Y$500,0)),"")</f>
        <v/>
      </c>
      <c r="M492" s="4" t="str">
        <f>IFERROR(INDEX(样本到样信息汇总统计!M$2:M$500,MATCH(491,样本到样信息汇总统计!$Y$2:$Y$500,0)),"")</f>
        <v/>
      </c>
      <c r="N492" s="4" t="str">
        <f>IFERROR(INDEX(样本到样信息汇总统计!N$2:N$500,MATCH(491,样本到样信息汇总统计!$Y$2:$Y$500,0)),"")</f>
        <v/>
      </c>
      <c r="O492" s="4" t="str">
        <f>IFERROR(INDEX(样本到样信息汇总统计!O$2:O$500,MATCH(491,样本到样信息汇总统计!$Y$2:$Y$500,0)),"")</f>
        <v/>
      </c>
      <c r="P492" s="4" t="str">
        <f>IFERROR(INDEX(样本到样信息汇总统计!P$2:P$500,MATCH(491,样本到样信息汇总统计!$Y$2:$Y$500,0)),"")</f>
        <v/>
      </c>
      <c r="Q492" s="4" t="str">
        <f>IFERROR(INDEX(样本到样信息汇总统计!Q$2:Q$500,MATCH(491,样本到样信息汇总统计!$Y$2:$Y$500,0)),"")</f>
        <v/>
      </c>
      <c r="R492" s="4" t="str">
        <f>IFERROR(INDEX(样本到样信息汇总统计!R$2:R$500,MATCH(491,样本到样信息汇总统计!$Y$2:$Y$500,0)),"")</f>
        <v/>
      </c>
      <c r="S492" s="4" t="str">
        <f>IFERROR(INDEX(样本到样信息汇总统计!S$2:S$500,MATCH(491,样本到样信息汇总统计!$Y$2:$Y$500,0)),"")</f>
        <v/>
      </c>
      <c r="T492" s="4" t="str">
        <f>IFERROR(INDEX(样本到样信息汇总统计!T$2:T$500,MATCH(491,样本到样信息汇总统计!$Y$2:$Y$500,0)),"")</f>
        <v/>
      </c>
      <c r="U492" s="4" t="str">
        <f>IFERROR(INDEX(样本到样信息汇总统计!U$2:U$500,MATCH(491,样本到样信息汇总统计!$Y$2:$Y$500,0)),"")</f>
        <v/>
      </c>
      <c r="V492" s="4" t="str">
        <f>IFERROR(INDEX(样本到样信息汇总统计!V$2:V$500,MATCH(491,样本到样信息汇总统计!$Y$2:$Y$500,0)),"")</f>
        <v/>
      </c>
      <c r="W492" s="4" t="str">
        <f>IFERROR(INDEX(样本到样信息汇总统计!W$2:W$500,MATCH(491,样本到样信息汇总统计!$Y$2:$Y$500,0)),"")</f>
        <v/>
      </c>
    </row>
    <row r="493" ht="14.5" spans="1:23">
      <c r="A493" s="8" t="str">
        <f>IFERROR(INDEX(样本到样信息汇总统计!A$2:A$500,MATCH(492,样本到样信息汇总统计!$Y$2:$Y$500,0)),"")</f>
        <v/>
      </c>
      <c r="B493" s="8" t="str">
        <f>IFERROR(INDEX(样本到样信息汇总统计!B$2:B$500,MATCH(492,样本到样信息汇总统计!$Y$2:$Y$500,0)),"")</f>
        <v/>
      </c>
      <c r="C493" s="8" t="str">
        <f>IFERROR(INDEX(样本到样信息汇总统计!C$2:C$500,MATCH(492,样本到样信息汇总统计!$Y$2:$Y$500,0)),"")</f>
        <v/>
      </c>
      <c r="D493" s="8" t="str">
        <f>IFERROR(INDEX(样本到样信息汇总统计!D$2:D$500,MATCH(492,样本到样信息汇总统计!$Y$2:$Y$500,0)),"")</f>
        <v/>
      </c>
      <c r="E493" s="8" t="str">
        <f>IFERROR(INDEX(样本到样信息汇总统计!E$2:E$500,MATCH(492,样本到样信息汇总统计!$Y$2:$Y$500,0)),"")</f>
        <v/>
      </c>
      <c r="F493" s="8" t="str">
        <f>IFERROR(INDEX(样本到样信息汇总统计!F$2:F$500,MATCH(492,样本到样信息汇总统计!$Y$2:$Y$500,0)),"")</f>
        <v/>
      </c>
      <c r="G493" s="8" t="str">
        <f>IFERROR(INDEX(样本到样信息汇总统计!G$2:G$500,MATCH(492,样本到样信息汇总统计!$Y$2:$Y$500,0)),"")</f>
        <v/>
      </c>
      <c r="H493" s="8" t="str">
        <f>IFERROR(INDEX(样本到样信息汇总统计!H$2:H$500,MATCH(492,样本到样信息汇总统计!$Y$2:$Y$500,0)),"")</f>
        <v/>
      </c>
      <c r="I493" s="8" t="str">
        <f>IFERROR(INDEX(样本到样信息汇总统计!I$2:I$500,MATCH(492,样本到样信息汇总统计!$Y$2:$Y$500,0)),"")</f>
        <v/>
      </c>
      <c r="J493" s="8" t="str">
        <f>IFERROR(INDEX(样本到样信息汇总统计!J$2:J$500,MATCH(492,样本到样信息汇总统计!$Y$2:$Y$500,0)),"")</f>
        <v/>
      </c>
      <c r="K493" s="8" t="str">
        <f>IFERROR(INDEX(样本到样信息汇总统计!K$2:K$500,MATCH(492,样本到样信息汇总统计!$Y$2:$Y$500,0)),"")</f>
        <v/>
      </c>
      <c r="L493" s="8" t="str">
        <f>IFERROR(INDEX(样本到样信息汇总统计!L$2:L$500,MATCH(492,样本到样信息汇总统计!$Y$2:$Y$500,0)),"")</f>
        <v/>
      </c>
      <c r="M493" s="8" t="str">
        <f>IFERROR(INDEX(样本到样信息汇总统计!M$2:M$500,MATCH(492,样本到样信息汇总统计!$Y$2:$Y$500,0)),"")</f>
        <v/>
      </c>
      <c r="N493" s="8" t="str">
        <f>IFERROR(INDEX(样本到样信息汇总统计!N$2:N$500,MATCH(492,样本到样信息汇总统计!$Y$2:$Y$500,0)),"")</f>
        <v/>
      </c>
      <c r="O493" s="8" t="str">
        <f>IFERROR(INDEX(样本到样信息汇总统计!O$2:O$500,MATCH(492,样本到样信息汇总统计!$Y$2:$Y$500,0)),"")</f>
        <v/>
      </c>
      <c r="P493" s="8" t="str">
        <f>IFERROR(INDEX(样本到样信息汇总统计!P$2:P$500,MATCH(492,样本到样信息汇总统计!$Y$2:$Y$500,0)),"")</f>
        <v/>
      </c>
      <c r="Q493" s="8" t="str">
        <f>IFERROR(INDEX(样本到样信息汇总统计!Q$2:Q$500,MATCH(492,样本到样信息汇总统计!$Y$2:$Y$500,0)),"")</f>
        <v/>
      </c>
      <c r="R493" s="8" t="str">
        <f>IFERROR(INDEX(样本到样信息汇总统计!R$2:R$500,MATCH(492,样本到样信息汇总统计!$Y$2:$Y$500,0)),"")</f>
        <v/>
      </c>
      <c r="S493" s="8" t="str">
        <f>IFERROR(INDEX(样本到样信息汇总统计!S$2:S$500,MATCH(492,样本到样信息汇总统计!$Y$2:$Y$500,0)),"")</f>
        <v/>
      </c>
      <c r="T493" s="8" t="str">
        <f>IFERROR(INDEX(样本到样信息汇总统计!T$2:T$500,MATCH(492,样本到样信息汇总统计!$Y$2:$Y$500,0)),"")</f>
        <v/>
      </c>
      <c r="U493" s="8" t="str">
        <f>IFERROR(INDEX(样本到样信息汇总统计!U$2:U$500,MATCH(492,样本到样信息汇总统计!$Y$2:$Y$500,0)),"")</f>
        <v/>
      </c>
      <c r="V493" s="8" t="str">
        <f>IFERROR(INDEX(样本到样信息汇总统计!V$2:V$500,MATCH(492,样本到样信息汇总统计!$Y$2:$Y$500,0)),"")</f>
        <v/>
      </c>
      <c r="W493" s="8" t="str">
        <f>IFERROR(INDEX(样本到样信息汇总统计!W$2:W$500,MATCH(492,样本到样信息汇总统计!$Y$2:$Y$500,0)),"")</f>
        <v/>
      </c>
    </row>
    <row r="494" ht="14.5" spans="1:23">
      <c r="A494" s="4" t="str">
        <f>IFERROR(INDEX(样本到样信息汇总统计!A$2:A$500,MATCH(493,样本到样信息汇总统计!$Y$2:$Y$500,0)),"")</f>
        <v/>
      </c>
      <c r="B494" s="4" t="str">
        <f>IFERROR(INDEX(样本到样信息汇总统计!B$2:B$500,MATCH(493,样本到样信息汇总统计!$Y$2:$Y$500,0)),"")</f>
        <v/>
      </c>
      <c r="C494" s="4" t="str">
        <f>IFERROR(INDEX(样本到样信息汇总统计!C$2:C$500,MATCH(493,样本到样信息汇总统计!$Y$2:$Y$500,0)),"")</f>
        <v/>
      </c>
      <c r="D494" s="4" t="str">
        <f>IFERROR(INDEX(样本到样信息汇总统计!D$2:D$500,MATCH(493,样本到样信息汇总统计!$Y$2:$Y$500,0)),"")</f>
        <v/>
      </c>
      <c r="E494" s="4" t="str">
        <f>IFERROR(INDEX(样本到样信息汇总统计!E$2:E$500,MATCH(493,样本到样信息汇总统计!$Y$2:$Y$500,0)),"")</f>
        <v/>
      </c>
      <c r="F494" s="4" t="str">
        <f>IFERROR(INDEX(样本到样信息汇总统计!F$2:F$500,MATCH(493,样本到样信息汇总统计!$Y$2:$Y$500,0)),"")</f>
        <v/>
      </c>
      <c r="G494" s="4" t="str">
        <f>IFERROR(INDEX(样本到样信息汇总统计!G$2:G$500,MATCH(493,样本到样信息汇总统计!$Y$2:$Y$500,0)),"")</f>
        <v/>
      </c>
      <c r="H494" s="4" t="str">
        <f>IFERROR(INDEX(样本到样信息汇总统计!H$2:H$500,MATCH(493,样本到样信息汇总统计!$Y$2:$Y$500,0)),"")</f>
        <v/>
      </c>
      <c r="I494" s="4" t="str">
        <f>IFERROR(INDEX(样本到样信息汇总统计!I$2:I$500,MATCH(493,样本到样信息汇总统计!$Y$2:$Y$500,0)),"")</f>
        <v/>
      </c>
      <c r="J494" s="4" t="str">
        <f>IFERROR(INDEX(样本到样信息汇总统计!J$2:J$500,MATCH(493,样本到样信息汇总统计!$Y$2:$Y$500,0)),"")</f>
        <v/>
      </c>
      <c r="K494" s="4" t="str">
        <f>IFERROR(INDEX(样本到样信息汇总统计!K$2:K$500,MATCH(493,样本到样信息汇总统计!$Y$2:$Y$500,0)),"")</f>
        <v/>
      </c>
      <c r="L494" s="4" t="str">
        <f>IFERROR(INDEX(样本到样信息汇总统计!L$2:L$500,MATCH(493,样本到样信息汇总统计!$Y$2:$Y$500,0)),"")</f>
        <v/>
      </c>
      <c r="M494" s="4" t="str">
        <f>IFERROR(INDEX(样本到样信息汇总统计!M$2:M$500,MATCH(493,样本到样信息汇总统计!$Y$2:$Y$500,0)),"")</f>
        <v/>
      </c>
      <c r="N494" s="4" t="str">
        <f>IFERROR(INDEX(样本到样信息汇总统计!N$2:N$500,MATCH(493,样本到样信息汇总统计!$Y$2:$Y$500,0)),"")</f>
        <v/>
      </c>
      <c r="O494" s="4" t="str">
        <f>IFERROR(INDEX(样本到样信息汇总统计!O$2:O$500,MATCH(493,样本到样信息汇总统计!$Y$2:$Y$500,0)),"")</f>
        <v/>
      </c>
      <c r="P494" s="4" t="str">
        <f>IFERROR(INDEX(样本到样信息汇总统计!P$2:P$500,MATCH(493,样本到样信息汇总统计!$Y$2:$Y$500,0)),"")</f>
        <v/>
      </c>
      <c r="Q494" s="4" t="str">
        <f>IFERROR(INDEX(样本到样信息汇总统计!Q$2:Q$500,MATCH(493,样本到样信息汇总统计!$Y$2:$Y$500,0)),"")</f>
        <v/>
      </c>
      <c r="R494" s="4" t="str">
        <f>IFERROR(INDEX(样本到样信息汇总统计!R$2:R$500,MATCH(493,样本到样信息汇总统计!$Y$2:$Y$500,0)),"")</f>
        <v/>
      </c>
      <c r="S494" s="4" t="str">
        <f>IFERROR(INDEX(样本到样信息汇总统计!S$2:S$500,MATCH(493,样本到样信息汇总统计!$Y$2:$Y$500,0)),"")</f>
        <v/>
      </c>
      <c r="T494" s="4" t="str">
        <f>IFERROR(INDEX(样本到样信息汇总统计!T$2:T$500,MATCH(493,样本到样信息汇总统计!$Y$2:$Y$500,0)),"")</f>
        <v/>
      </c>
      <c r="U494" s="4" t="str">
        <f>IFERROR(INDEX(样本到样信息汇总统计!U$2:U$500,MATCH(493,样本到样信息汇总统计!$Y$2:$Y$500,0)),"")</f>
        <v/>
      </c>
      <c r="V494" s="4" t="str">
        <f>IFERROR(INDEX(样本到样信息汇总统计!V$2:V$500,MATCH(493,样本到样信息汇总统计!$Y$2:$Y$500,0)),"")</f>
        <v/>
      </c>
      <c r="W494" s="4" t="str">
        <f>IFERROR(INDEX(样本到样信息汇总统计!W$2:W$500,MATCH(493,样本到样信息汇总统计!$Y$2:$Y$500,0)),"")</f>
        <v/>
      </c>
    </row>
    <row r="495" ht="14.5" spans="1:23">
      <c r="A495" s="8" t="str">
        <f>IFERROR(INDEX(样本到样信息汇总统计!A$2:A$500,MATCH(494,样本到样信息汇总统计!$Y$2:$Y$500,0)),"")</f>
        <v/>
      </c>
      <c r="B495" s="8" t="str">
        <f>IFERROR(INDEX(样本到样信息汇总统计!B$2:B$500,MATCH(494,样本到样信息汇总统计!$Y$2:$Y$500,0)),"")</f>
        <v/>
      </c>
      <c r="C495" s="8" t="str">
        <f>IFERROR(INDEX(样本到样信息汇总统计!C$2:C$500,MATCH(494,样本到样信息汇总统计!$Y$2:$Y$500,0)),"")</f>
        <v/>
      </c>
      <c r="D495" s="8" t="str">
        <f>IFERROR(INDEX(样本到样信息汇总统计!D$2:D$500,MATCH(494,样本到样信息汇总统计!$Y$2:$Y$500,0)),"")</f>
        <v/>
      </c>
      <c r="E495" s="8" t="str">
        <f>IFERROR(INDEX(样本到样信息汇总统计!E$2:E$500,MATCH(494,样本到样信息汇总统计!$Y$2:$Y$500,0)),"")</f>
        <v/>
      </c>
      <c r="F495" s="8" t="str">
        <f>IFERROR(INDEX(样本到样信息汇总统计!F$2:F$500,MATCH(494,样本到样信息汇总统计!$Y$2:$Y$500,0)),"")</f>
        <v/>
      </c>
      <c r="G495" s="8" t="str">
        <f>IFERROR(INDEX(样本到样信息汇总统计!G$2:G$500,MATCH(494,样本到样信息汇总统计!$Y$2:$Y$500,0)),"")</f>
        <v/>
      </c>
      <c r="H495" s="8" t="str">
        <f>IFERROR(INDEX(样本到样信息汇总统计!H$2:H$500,MATCH(494,样本到样信息汇总统计!$Y$2:$Y$500,0)),"")</f>
        <v/>
      </c>
      <c r="I495" s="8" t="str">
        <f>IFERROR(INDEX(样本到样信息汇总统计!I$2:I$500,MATCH(494,样本到样信息汇总统计!$Y$2:$Y$500,0)),"")</f>
        <v/>
      </c>
      <c r="J495" s="8" t="str">
        <f>IFERROR(INDEX(样本到样信息汇总统计!J$2:J$500,MATCH(494,样本到样信息汇总统计!$Y$2:$Y$500,0)),"")</f>
        <v/>
      </c>
      <c r="K495" s="8" t="str">
        <f>IFERROR(INDEX(样本到样信息汇总统计!K$2:K$500,MATCH(494,样本到样信息汇总统计!$Y$2:$Y$500,0)),"")</f>
        <v/>
      </c>
      <c r="L495" s="8" t="str">
        <f>IFERROR(INDEX(样本到样信息汇总统计!L$2:L$500,MATCH(494,样本到样信息汇总统计!$Y$2:$Y$500,0)),"")</f>
        <v/>
      </c>
      <c r="M495" s="8" t="str">
        <f>IFERROR(INDEX(样本到样信息汇总统计!M$2:M$500,MATCH(494,样本到样信息汇总统计!$Y$2:$Y$500,0)),"")</f>
        <v/>
      </c>
      <c r="N495" s="8" t="str">
        <f>IFERROR(INDEX(样本到样信息汇总统计!N$2:N$500,MATCH(494,样本到样信息汇总统计!$Y$2:$Y$500,0)),"")</f>
        <v/>
      </c>
      <c r="O495" s="8" t="str">
        <f>IFERROR(INDEX(样本到样信息汇总统计!O$2:O$500,MATCH(494,样本到样信息汇总统计!$Y$2:$Y$500,0)),"")</f>
        <v/>
      </c>
      <c r="P495" s="8" t="str">
        <f>IFERROR(INDEX(样本到样信息汇总统计!P$2:P$500,MATCH(494,样本到样信息汇总统计!$Y$2:$Y$500,0)),"")</f>
        <v/>
      </c>
      <c r="Q495" s="8" t="str">
        <f>IFERROR(INDEX(样本到样信息汇总统计!Q$2:Q$500,MATCH(494,样本到样信息汇总统计!$Y$2:$Y$500,0)),"")</f>
        <v/>
      </c>
      <c r="R495" s="8" t="str">
        <f>IFERROR(INDEX(样本到样信息汇总统计!R$2:R$500,MATCH(494,样本到样信息汇总统计!$Y$2:$Y$500,0)),"")</f>
        <v/>
      </c>
      <c r="S495" s="8" t="str">
        <f>IFERROR(INDEX(样本到样信息汇总统计!S$2:S$500,MATCH(494,样本到样信息汇总统计!$Y$2:$Y$500,0)),"")</f>
        <v/>
      </c>
      <c r="T495" s="8" t="str">
        <f>IFERROR(INDEX(样本到样信息汇总统计!T$2:T$500,MATCH(494,样本到样信息汇总统计!$Y$2:$Y$500,0)),"")</f>
        <v/>
      </c>
      <c r="U495" s="8" t="str">
        <f>IFERROR(INDEX(样本到样信息汇总统计!U$2:U$500,MATCH(494,样本到样信息汇总统计!$Y$2:$Y$500,0)),"")</f>
        <v/>
      </c>
      <c r="V495" s="8" t="str">
        <f>IFERROR(INDEX(样本到样信息汇总统计!V$2:V$500,MATCH(494,样本到样信息汇总统计!$Y$2:$Y$500,0)),"")</f>
        <v/>
      </c>
      <c r="W495" s="8" t="str">
        <f>IFERROR(INDEX(样本到样信息汇总统计!W$2:W$500,MATCH(494,样本到样信息汇总统计!$Y$2:$Y$500,0)),"")</f>
        <v/>
      </c>
    </row>
    <row r="496" ht="14.5" spans="1:23">
      <c r="A496" s="4" t="str">
        <f>IFERROR(INDEX(样本到样信息汇总统计!A$2:A$500,MATCH(495,样本到样信息汇总统计!$Y$2:$Y$500,0)),"")</f>
        <v/>
      </c>
      <c r="B496" s="4" t="str">
        <f>IFERROR(INDEX(样本到样信息汇总统计!B$2:B$500,MATCH(495,样本到样信息汇总统计!$Y$2:$Y$500,0)),"")</f>
        <v/>
      </c>
      <c r="C496" s="4" t="str">
        <f>IFERROR(INDEX(样本到样信息汇总统计!C$2:C$500,MATCH(495,样本到样信息汇总统计!$Y$2:$Y$500,0)),"")</f>
        <v/>
      </c>
      <c r="D496" s="4" t="str">
        <f>IFERROR(INDEX(样本到样信息汇总统计!D$2:D$500,MATCH(495,样本到样信息汇总统计!$Y$2:$Y$500,0)),"")</f>
        <v/>
      </c>
      <c r="E496" s="4" t="str">
        <f>IFERROR(INDEX(样本到样信息汇总统计!E$2:E$500,MATCH(495,样本到样信息汇总统计!$Y$2:$Y$500,0)),"")</f>
        <v/>
      </c>
      <c r="F496" s="4" t="str">
        <f>IFERROR(INDEX(样本到样信息汇总统计!F$2:F$500,MATCH(495,样本到样信息汇总统计!$Y$2:$Y$500,0)),"")</f>
        <v/>
      </c>
      <c r="G496" s="4" t="str">
        <f>IFERROR(INDEX(样本到样信息汇总统计!G$2:G$500,MATCH(495,样本到样信息汇总统计!$Y$2:$Y$500,0)),"")</f>
        <v/>
      </c>
      <c r="H496" s="4" t="str">
        <f>IFERROR(INDEX(样本到样信息汇总统计!H$2:H$500,MATCH(495,样本到样信息汇总统计!$Y$2:$Y$500,0)),"")</f>
        <v/>
      </c>
      <c r="I496" s="4" t="str">
        <f>IFERROR(INDEX(样本到样信息汇总统计!I$2:I$500,MATCH(495,样本到样信息汇总统计!$Y$2:$Y$500,0)),"")</f>
        <v/>
      </c>
      <c r="J496" s="4" t="str">
        <f>IFERROR(INDEX(样本到样信息汇总统计!J$2:J$500,MATCH(495,样本到样信息汇总统计!$Y$2:$Y$500,0)),"")</f>
        <v/>
      </c>
      <c r="K496" s="4" t="str">
        <f>IFERROR(INDEX(样本到样信息汇总统计!K$2:K$500,MATCH(495,样本到样信息汇总统计!$Y$2:$Y$500,0)),"")</f>
        <v/>
      </c>
      <c r="L496" s="4" t="str">
        <f>IFERROR(INDEX(样本到样信息汇总统计!L$2:L$500,MATCH(495,样本到样信息汇总统计!$Y$2:$Y$500,0)),"")</f>
        <v/>
      </c>
      <c r="M496" s="4" t="str">
        <f>IFERROR(INDEX(样本到样信息汇总统计!M$2:M$500,MATCH(495,样本到样信息汇总统计!$Y$2:$Y$500,0)),"")</f>
        <v/>
      </c>
      <c r="N496" s="4" t="str">
        <f>IFERROR(INDEX(样本到样信息汇总统计!N$2:N$500,MATCH(495,样本到样信息汇总统计!$Y$2:$Y$500,0)),"")</f>
        <v/>
      </c>
      <c r="O496" s="4" t="str">
        <f>IFERROR(INDEX(样本到样信息汇总统计!O$2:O$500,MATCH(495,样本到样信息汇总统计!$Y$2:$Y$500,0)),"")</f>
        <v/>
      </c>
      <c r="P496" s="4" t="str">
        <f>IFERROR(INDEX(样本到样信息汇总统计!P$2:P$500,MATCH(495,样本到样信息汇总统计!$Y$2:$Y$500,0)),"")</f>
        <v/>
      </c>
      <c r="Q496" s="4" t="str">
        <f>IFERROR(INDEX(样本到样信息汇总统计!Q$2:Q$500,MATCH(495,样本到样信息汇总统计!$Y$2:$Y$500,0)),"")</f>
        <v/>
      </c>
      <c r="R496" s="4" t="str">
        <f>IFERROR(INDEX(样本到样信息汇总统计!R$2:R$500,MATCH(495,样本到样信息汇总统计!$Y$2:$Y$500,0)),"")</f>
        <v/>
      </c>
      <c r="S496" s="4" t="str">
        <f>IFERROR(INDEX(样本到样信息汇总统计!S$2:S$500,MATCH(495,样本到样信息汇总统计!$Y$2:$Y$500,0)),"")</f>
        <v/>
      </c>
      <c r="T496" s="4" t="str">
        <f>IFERROR(INDEX(样本到样信息汇总统计!T$2:T$500,MATCH(495,样本到样信息汇总统计!$Y$2:$Y$500,0)),"")</f>
        <v/>
      </c>
      <c r="U496" s="4" t="str">
        <f>IFERROR(INDEX(样本到样信息汇总统计!U$2:U$500,MATCH(495,样本到样信息汇总统计!$Y$2:$Y$500,0)),"")</f>
        <v/>
      </c>
      <c r="V496" s="4" t="str">
        <f>IFERROR(INDEX(样本到样信息汇总统计!V$2:V$500,MATCH(495,样本到样信息汇总统计!$Y$2:$Y$500,0)),"")</f>
        <v/>
      </c>
      <c r="W496" s="4" t="str">
        <f>IFERROR(INDEX(样本到样信息汇总统计!W$2:W$500,MATCH(495,样本到样信息汇总统计!$Y$2:$Y$500,0)),"")</f>
        <v/>
      </c>
    </row>
    <row r="497" ht="14.5" spans="1:23">
      <c r="A497" s="8" t="str">
        <f>IFERROR(INDEX(样本到样信息汇总统计!A$2:A$500,MATCH(496,样本到样信息汇总统计!$Y$2:$Y$500,0)),"")</f>
        <v/>
      </c>
      <c r="B497" s="8" t="str">
        <f>IFERROR(INDEX(样本到样信息汇总统计!B$2:B$500,MATCH(496,样本到样信息汇总统计!$Y$2:$Y$500,0)),"")</f>
        <v/>
      </c>
      <c r="C497" s="8" t="str">
        <f>IFERROR(INDEX(样本到样信息汇总统计!C$2:C$500,MATCH(496,样本到样信息汇总统计!$Y$2:$Y$500,0)),"")</f>
        <v/>
      </c>
      <c r="D497" s="8" t="str">
        <f>IFERROR(INDEX(样本到样信息汇总统计!D$2:D$500,MATCH(496,样本到样信息汇总统计!$Y$2:$Y$500,0)),"")</f>
        <v/>
      </c>
      <c r="E497" s="8" t="str">
        <f>IFERROR(INDEX(样本到样信息汇总统计!E$2:E$500,MATCH(496,样本到样信息汇总统计!$Y$2:$Y$500,0)),"")</f>
        <v/>
      </c>
      <c r="F497" s="8" t="str">
        <f>IFERROR(INDEX(样本到样信息汇总统计!F$2:F$500,MATCH(496,样本到样信息汇总统计!$Y$2:$Y$500,0)),"")</f>
        <v/>
      </c>
      <c r="G497" s="8" t="str">
        <f>IFERROR(INDEX(样本到样信息汇总统计!G$2:G$500,MATCH(496,样本到样信息汇总统计!$Y$2:$Y$500,0)),"")</f>
        <v/>
      </c>
      <c r="H497" s="8" t="str">
        <f>IFERROR(INDEX(样本到样信息汇总统计!H$2:H$500,MATCH(496,样本到样信息汇总统计!$Y$2:$Y$500,0)),"")</f>
        <v/>
      </c>
      <c r="I497" s="8" t="str">
        <f>IFERROR(INDEX(样本到样信息汇总统计!I$2:I$500,MATCH(496,样本到样信息汇总统计!$Y$2:$Y$500,0)),"")</f>
        <v/>
      </c>
      <c r="J497" s="8" t="str">
        <f>IFERROR(INDEX(样本到样信息汇总统计!J$2:J$500,MATCH(496,样本到样信息汇总统计!$Y$2:$Y$500,0)),"")</f>
        <v/>
      </c>
      <c r="K497" s="8" t="str">
        <f>IFERROR(INDEX(样本到样信息汇总统计!K$2:K$500,MATCH(496,样本到样信息汇总统计!$Y$2:$Y$500,0)),"")</f>
        <v/>
      </c>
      <c r="L497" s="8" t="str">
        <f>IFERROR(INDEX(样本到样信息汇总统计!L$2:L$500,MATCH(496,样本到样信息汇总统计!$Y$2:$Y$500,0)),"")</f>
        <v/>
      </c>
      <c r="M497" s="8" t="str">
        <f>IFERROR(INDEX(样本到样信息汇总统计!M$2:M$500,MATCH(496,样本到样信息汇总统计!$Y$2:$Y$500,0)),"")</f>
        <v/>
      </c>
      <c r="N497" s="8" t="str">
        <f>IFERROR(INDEX(样本到样信息汇总统计!N$2:N$500,MATCH(496,样本到样信息汇总统计!$Y$2:$Y$500,0)),"")</f>
        <v/>
      </c>
      <c r="O497" s="8" t="str">
        <f>IFERROR(INDEX(样本到样信息汇总统计!O$2:O$500,MATCH(496,样本到样信息汇总统计!$Y$2:$Y$500,0)),"")</f>
        <v/>
      </c>
      <c r="P497" s="8" t="str">
        <f>IFERROR(INDEX(样本到样信息汇总统计!P$2:P$500,MATCH(496,样本到样信息汇总统计!$Y$2:$Y$500,0)),"")</f>
        <v/>
      </c>
      <c r="Q497" s="8" t="str">
        <f>IFERROR(INDEX(样本到样信息汇总统计!Q$2:Q$500,MATCH(496,样本到样信息汇总统计!$Y$2:$Y$500,0)),"")</f>
        <v/>
      </c>
      <c r="R497" s="8" t="str">
        <f>IFERROR(INDEX(样本到样信息汇总统计!R$2:R$500,MATCH(496,样本到样信息汇总统计!$Y$2:$Y$500,0)),"")</f>
        <v/>
      </c>
      <c r="S497" s="8" t="str">
        <f>IFERROR(INDEX(样本到样信息汇总统计!S$2:S$500,MATCH(496,样本到样信息汇总统计!$Y$2:$Y$500,0)),"")</f>
        <v/>
      </c>
      <c r="T497" s="8" t="str">
        <f>IFERROR(INDEX(样本到样信息汇总统计!T$2:T$500,MATCH(496,样本到样信息汇总统计!$Y$2:$Y$500,0)),"")</f>
        <v/>
      </c>
      <c r="U497" s="8" t="str">
        <f>IFERROR(INDEX(样本到样信息汇总统计!U$2:U$500,MATCH(496,样本到样信息汇总统计!$Y$2:$Y$500,0)),"")</f>
        <v/>
      </c>
      <c r="V497" s="8" t="str">
        <f>IFERROR(INDEX(样本到样信息汇总统计!V$2:V$500,MATCH(496,样本到样信息汇总统计!$Y$2:$Y$500,0)),"")</f>
        <v/>
      </c>
      <c r="W497" s="8" t="str">
        <f>IFERROR(INDEX(样本到样信息汇总统计!W$2:W$500,MATCH(496,样本到样信息汇总统计!$Y$2:$Y$500,0)),"")</f>
        <v/>
      </c>
    </row>
    <row r="498" ht="14.5" spans="1:23">
      <c r="A498" s="4" t="str">
        <f>IFERROR(INDEX(样本到样信息汇总统计!A$2:A$500,MATCH(497,样本到样信息汇总统计!$Y$2:$Y$500,0)),"")</f>
        <v/>
      </c>
      <c r="B498" s="4" t="str">
        <f>IFERROR(INDEX(样本到样信息汇总统计!B$2:B$500,MATCH(497,样本到样信息汇总统计!$Y$2:$Y$500,0)),"")</f>
        <v/>
      </c>
      <c r="C498" s="4" t="str">
        <f>IFERROR(INDEX(样本到样信息汇总统计!C$2:C$500,MATCH(497,样本到样信息汇总统计!$Y$2:$Y$500,0)),"")</f>
        <v/>
      </c>
      <c r="D498" s="4" t="str">
        <f>IFERROR(INDEX(样本到样信息汇总统计!D$2:D$500,MATCH(497,样本到样信息汇总统计!$Y$2:$Y$500,0)),"")</f>
        <v/>
      </c>
      <c r="E498" s="4" t="str">
        <f>IFERROR(INDEX(样本到样信息汇总统计!E$2:E$500,MATCH(497,样本到样信息汇总统计!$Y$2:$Y$500,0)),"")</f>
        <v/>
      </c>
      <c r="F498" s="4" t="str">
        <f>IFERROR(INDEX(样本到样信息汇总统计!F$2:F$500,MATCH(497,样本到样信息汇总统计!$Y$2:$Y$500,0)),"")</f>
        <v/>
      </c>
      <c r="G498" s="4" t="str">
        <f>IFERROR(INDEX(样本到样信息汇总统计!G$2:G$500,MATCH(497,样本到样信息汇总统计!$Y$2:$Y$500,0)),"")</f>
        <v/>
      </c>
      <c r="H498" s="4" t="str">
        <f>IFERROR(INDEX(样本到样信息汇总统计!H$2:H$500,MATCH(497,样本到样信息汇总统计!$Y$2:$Y$500,0)),"")</f>
        <v/>
      </c>
      <c r="I498" s="4" t="str">
        <f>IFERROR(INDEX(样本到样信息汇总统计!I$2:I$500,MATCH(497,样本到样信息汇总统计!$Y$2:$Y$500,0)),"")</f>
        <v/>
      </c>
      <c r="J498" s="4" t="str">
        <f>IFERROR(INDEX(样本到样信息汇总统计!J$2:J$500,MATCH(497,样本到样信息汇总统计!$Y$2:$Y$500,0)),"")</f>
        <v/>
      </c>
      <c r="K498" s="4" t="str">
        <f>IFERROR(INDEX(样本到样信息汇总统计!K$2:K$500,MATCH(497,样本到样信息汇总统计!$Y$2:$Y$500,0)),"")</f>
        <v/>
      </c>
      <c r="L498" s="4" t="str">
        <f>IFERROR(INDEX(样本到样信息汇总统计!L$2:L$500,MATCH(497,样本到样信息汇总统计!$Y$2:$Y$500,0)),"")</f>
        <v/>
      </c>
      <c r="M498" s="4" t="str">
        <f>IFERROR(INDEX(样本到样信息汇总统计!M$2:M$500,MATCH(497,样本到样信息汇总统计!$Y$2:$Y$500,0)),"")</f>
        <v/>
      </c>
      <c r="N498" s="4" t="str">
        <f>IFERROR(INDEX(样本到样信息汇总统计!N$2:N$500,MATCH(497,样本到样信息汇总统计!$Y$2:$Y$500,0)),"")</f>
        <v/>
      </c>
      <c r="O498" s="4" t="str">
        <f>IFERROR(INDEX(样本到样信息汇总统计!O$2:O$500,MATCH(497,样本到样信息汇总统计!$Y$2:$Y$500,0)),"")</f>
        <v/>
      </c>
      <c r="P498" s="4" t="str">
        <f>IFERROR(INDEX(样本到样信息汇总统计!P$2:P$500,MATCH(497,样本到样信息汇总统计!$Y$2:$Y$500,0)),"")</f>
        <v/>
      </c>
      <c r="Q498" s="4" t="str">
        <f>IFERROR(INDEX(样本到样信息汇总统计!Q$2:Q$500,MATCH(497,样本到样信息汇总统计!$Y$2:$Y$500,0)),"")</f>
        <v/>
      </c>
      <c r="R498" s="4" t="str">
        <f>IFERROR(INDEX(样本到样信息汇总统计!R$2:R$500,MATCH(497,样本到样信息汇总统计!$Y$2:$Y$500,0)),"")</f>
        <v/>
      </c>
      <c r="S498" s="4" t="str">
        <f>IFERROR(INDEX(样本到样信息汇总统计!S$2:S$500,MATCH(497,样本到样信息汇总统计!$Y$2:$Y$500,0)),"")</f>
        <v/>
      </c>
      <c r="T498" s="4" t="str">
        <f>IFERROR(INDEX(样本到样信息汇总统计!T$2:T$500,MATCH(497,样本到样信息汇总统计!$Y$2:$Y$500,0)),"")</f>
        <v/>
      </c>
      <c r="U498" s="4" t="str">
        <f>IFERROR(INDEX(样本到样信息汇总统计!U$2:U$500,MATCH(497,样本到样信息汇总统计!$Y$2:$Y$500,0)),"")</f>
        <v/>
      </c>
      <c r="V498" s="4" t="str">
        <f>IFERROR(INDEX(样本到样信息汇总统计!V$2:V$500,MATCH(497,样本到样信息汇总统计!$Y$2:$Y$500,0)),"")</f>
        <v/>
      </c>
      <c r="W498" s="4" t="str">
        <f>IFERROR(INDEX(样本到样信息汇总统计!W$2:W$500,MATCH(497,样本到样信息汇总统计!$Y$2:$Y$500,0)),"")</f>
        <v/>
      </c>
    </row>
    <row r="499" ht="14.5" spans="1:23">
      <c r="A499" s="8" t="str">
        <f>IFERROR(INDEX(样本到样信息汇总统计!A$2:A$500,MATCH(498,样本到样信息汇总统计!$Y$2:$Y$500,0)),"")</f>
        <v/>
      </c>
      <c r="B499" s="8" t="str">
        <f>IFERROR(INDEX(样本到样信息汇总统计!B$2:B$500,MATCH(498,样本到样信息汇总统计!$Y$2:$Y$500,0)),"")</f>
        <v/>
      </c>
      <c r="C499" s="8" t="str">
        <f>IFERROR(INDEX(样本到样信息汇总统计!C$2:C$500,MATCH(498,样本到样信息汇总统计!$Y$2:$Y$500,0)),"")</f>
        <v/>
      </c>
      <c r="D499" s="8" t="str">
        <f>IFERROR(INDEX(样本到样信息汇总统计!D$2:D$500,MATCH(498,样本到样信息汇总统计!$Y$2:$Y$500,0)),"")</f>
        <v/>
      </c>
      <c r="E499" s="8" t="str">
        <f>IFERROR(INDEX(样本到样信息汇总统计!E$2:E$500,MATCH(498,样本到样信息汇总统计!$Y$2:$Y$500,0)),"")</f>
        <v/>
      </c>
      <c r="F499" s="8" t="str">
        <f>IFERROR(INDEX(样本到样信息汇总统计!F$2:F$500,MATCH(498,样本到样信息汇总统计!$Y$2:$Y$500,0)),"")</f>
        <v/>
      </c>
      <c r="G499" s="8" t="str">
        <f>IFERROR(INDEX(样本到样信息汇总统计!G$2:G$500,MATCH(498,样本到样信息汇总统计!$Y$2:$Y$500,0)),"")</f>
        <v/>
      </c>
      <c r="H499" s="8" t="str">
        <f>IFERROR(INDEX(样本到样信息汇总统计!H$2:H$500,MATCH(498,样本到样信息汇总统计!$Y$2:$Y$500,0)),"")</f>
        <v/>
      </c>
      <c r="I499" s="8" t="str">
        <f>IFERROR(INDEX(样本到样信息汇总统计!I$2:I$500,MATCH(498,样本到样信息汇总统计!$Y$2:$Y$500,0)),"")</f>
        <v/>
      </c>
      <c r="J499" s="8" t="str">
        <f>IFERROR(INDEX(样本到样信息汇总统计!J$2:J$500,MATCH(498,样本到样信息汇总统计!$Y$2:$Y$500,0)),"")</f>
        <v/>
      </c>
      <c r="K499" s="8" t="str">
        <f>IFERROR(INDEX(样本到样信息汇总统计!K$2:K$500,MATCH(498,样本到样信息汇总统计!$Y$2:$Y$500,0)),"")</f>
        <v/>
      </c>
      <c r="L499" s="8" t="str">
        <f>IFERROR(INDEX(样本到样信息汇总统计!L$2:L$500,MATCH(498,样本到样信息汇总统计!$Y$2:$Y$500,0)),"")</f>
        <v/>
      </c>
      <c r="M499" s="8" t="str">
        <f>IFERROR(INDEX(样本到样信息汇总统计!M$2:M$500,MATCH(498,样本到样信息汇总统计!$Y$2:$Y$500,0)),"")</f>
        <v/>
      </c>
      <c r="N499" s="8" t="str">
        <f>IFERROR(INDEX(样本到样信息汇总统计!N$2:N$500,MATCH(498,样本到样信息汇总统计!$Y$2:$Y$500,0)),"")</f>
        <v/>
      </c>
      <c r="O499" s="8" t="str">
        <f>IFERROR(INDEX(样本到样信息汇总统计!O$2:O$500,MATCH(498,样本到样信息汇总统计!$Y$2:$Y$500,0)),"")</f>
        <v/>
      </c>
      <c r="P499" s="8" t="str">
        <f>IFERROR(INDEX(样本到样信息汇总统计!P$2:P$500,MATCH(498,样本到样信息汇总统计!$Y$2:$Y$500,0)),"")</f>
        <v/>
      </c>
      <c r="Q499" s="8" t="str">
        <f>IFERROR(INDEX(样本到样信息汇总统计!Q$2:Q$500,MATCH(498,样本到样信息汇总统计!$Y$2:$Y$500,0)),"")</f>
        <v/>
      </c>
      <c r="R499" s="8" t="str">
        <f>IFERROR(INDEX(样本到样信息汇总统计!R$2:R$500,MATCH(498,样本到样信息汇总统计!$Y$2:$Y$500,0)),"")</f>
        <v/>
      </c>
      <c r="S499" s="8" t="str">
        <f>IFERROR(INDEX(样本到样信息汇总统计!S$2:S$500,MATCH(498,样本到样信息汇总统计!$Y$2:$Y$500,0)),"")</f>
        <v/>
      </c>
      <c r="T499" s="8" t="str">
        <f>IFERROR(INDEX(样本到样信息汇总统计!T$2:T$500,MATCH(498,样本到样信息汇总统计!$Y$2:$Y$500,0)),"")</f>
        <v/>
      </c>
      <c r="U499" s="8" t="str">
        <f>IFERROR(INDEX(样本到样信息汇总统计!U$2:U$500,MATCH(498,样本到样信息汇总统计!$Y$2:$Y$500,0)),"")</f>
        <v/>
      </c>
      <c r="V499" s="8" t="str">
        <f>IFERROR(INDEX(样本到样信息汇总统计!V$2:V$500,MATCH(498,样本到样信息汇总统计!$Y$2:$Y$500,0)),"")</f>
        <v/>
      </c>
      <c r="W499" s="8" t="str">
        <f>IFERROR(INDEX(样本到样信息汇总统计!W$2:W$500,MATCH(498,样本到样信息汇总统计!$Y$2:$Y$500,0)),"")</f>
        <v/>
      </c>
    </row>
    <row r="500" ht="14.5" spans="1:23">
      <c r="A500" s="4" t="str">
        <f>IFERROR(INDEX(样本到样信息汇总统计!A$2:A$500,MATCH(499,样本到样信息汇总统计!$Y$2:$Y$500,0)),"")</f>
        <v/>
      </c>
      <c r="B500" s="4" t="str">
        <f>IFERROR(INDEX(样本到样信息汇总统计!B$2:B$500,MATCH(499,样本到样信息汇总统计!$Y$2:$Y$500,0)),"")</f>
        <v/>
      </c>
      <c r="C500" s="4" t="str">
        <f>IFERROR(INDEX(样本到样信息汇总统计!C$2:C$500,MATCH(499,样本到样信息汇总统计!$Y$2:$Y$500,0)),"")</f>
        <v/>
      </c>
      <c r="D500" s="4" t="str">
        <f>IFERROR(INDEX(样本到样信息汇总统计!D$2:D$500,MATCH(499,样本到样信息汇总统计!$Y$2:$Y$500,0)),"")</f>
        <v/>
      </c>
      <c r="E500" s="4" t="str">
        <f>IFERROR(INDEX(样本到样信息汇总统计!E$2:E$500,MATCH(499,样本到样信息汇总统计!$Y$2:$Y$500,0)),"")</f>
        <v/>
      </c>
      <c r="F500" s="4" t="str">
        <f>IFERROR(INDEX(样本到样信息汇总统计!F$2:F$500,MATCH(499,样本到样信息汇总统计!$Y$2:$Y$500,0)),"")</f>
        <v/>
      </c>
      <c r="G500" s="4" t="str">
        <f>IFERROR(INDEX(样本到样信息汇总统计!G$2:G$500,MATCH(499,样本到样信息汇总统计!$Y$2:$Y$500,0)),"")</f>
        <v/>
      </c>
      <c r="H500" s="4" t="str">
        <f>IFERROR(INDEX(样本到样信息汇总统计!H$2:H$500,MATCH(499,样本到样信息汇总统计!$Y$2:$Y$500,0)),"")</f>
        <v/>
      </c>
      <c r="I500" s="4" t="str">
        <f>IFERROR(INDEX(样本到样信息汇总统计!I$2:I$500,MATCH(499,样本到样信息汇总统计!$Y$2:$Y$500,0)),"")</f>
        <v/>
      </c>
      <c r="J500" s="4" t="str">
        <f>IFERROR(INDEX(样本到样信息汇总统计!J$2:J$500,MATCH(499,样本到样信息汇总统计!$Y$2:$Y$500,0)),"")</f>
        <v/>
      </c>
      <c r="K500" s="4" t="str">
        <f>IFERROR(INDEX(样本到样信息汇总统计!K$2:K$500,MATCH(499,样本到样信息汇总统计!$Y$2:$Y$500,0)),"")</f>
        <v/>
      </c>
      <c r="L500" s="4" t="str">
        <f>IFERROR(INDEX(样本到样信息汇总统计!L$2:L$500,MATCH(499,样本到样信息汇总统计!$Y$2:$Y$500,0)),"")</f>
        <v/>
      </c>
      <c r="M500" s="4" t="str">
        <f>IFERROR(INDEX(样本到样信息汇总统计!M$2:M$500,MATCH(499,样本到样信息汇总统计!$Y$2:$Y$500,0)),"")</f>
        <v/>
      </c>
      <c r="N500" s="4" t="str">
        <f>IFERROR(INDEX(样本到样信息汇总统计!N$2:N$500,MATCH(499,样本到样信息汇总统计!$Y$2:$Y$500,0)),"")</f>
        <v/>
      </c>
      <c r="O500" s="4" t="str">
        <f>IFERROR(INDEX(样本到样信息汇总统计!O$2:O$500,MATCH(499,样本到样信息汇总统计!$Y$2:$Y$500,0)),"")</f>
        <v/>
      </c>
      <c r="P500" s="4" t="str">
        <f>IFERROR(INDEX(样本到样信息汇总统计!P$2:P$500,MATCH(499,样本到样信息汇总统计!$Y$2:$Y$500,0)),"")</f>
        <v/>
      </c>
      <c r="Q500" s="4" t="str">
        <f>IFERROR(INDEX(样本到样信息汇总统计!Q$2:Q$500,MATCH(499,样本到样信息汇总统计!$Y$2:$Y$500,0)),"")</f>
        <v/>
      </c>
      <c r="R500" s="4" t="str">
        <f>IFERROR(INDEX(样本到样信息汇总统计!R$2:R$500,MATCH(499,样本到样信息汇总统计!$Y$2:$Y$500,0)),"")</f>
        <v/>
      </c>
      <c r="S500" s="4" t="str">
        <f>IFERROR(INDEX(样本到样信息汇总统计!S$2:S$500,MATCH(499,样本到样信息汇总统计!$Y$2:$Y$500,0)),"")</f>
        <v/>
      </c>
      <c r="T500" s="4" t="str">
        <f>IFERROR(INDEX(样本到样信息汇总统计!T$2:T$500,MATCH(499,样本到样信息汇总统计!$Y$2:$Y$500,0)),"")</f>
        <v/>
      </c>
      <c r="U500" s="4" t="str">
        <f>IFERROR(INDEX(样本到样信息汇总统计!U$2:U$500,MATCH(499,样本到样信息汇总统计!$Y$2:$Y$500,0)),"")</f>
        <v/>
      </c>
      <c r="V500" s="4" t="str">
        <f>IFERROR(INDEX(样本到样信息汇总统计!V$2:V$500,MATCH(499,样本到样信息汇总统计!$Y$2:$Y$500,0)),"")</f>
        <v/>
      </c>
      <c r="W500" s="4" t="str">
        <f>IFERROR(INDEX(样本到样信息汇总统计!W$2:W$500,MATCH(499,样本到样信息汇总统计!$Y$2:$Y$500,0)),"")</f>
        <v/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00"/>
  <sheetViews>
    <sheetView showGridLines="0" workbookViewId="0">
      <pane ySplit="1" topLeftCell="A21" activePane="bottomLeft" state="frozen"/>
      <selection/>
      <selection pane="bottomLeft" activeCell="A21" sqref="A21"/>
    </sheetView>
  </sheetViews>
  <sheetFormatPr defaultColWidth="9" defaultRowHeight="14"/>
  <cols>
    <col min="1" max="1" width="14" customWidth="1"/>
    <col min="2" max="2" width="12" customWidth="1"/>
    <col min="3" max="3" width="10" customWidth="1"/>
    <col min="4" max="5" width="14" customWidth="1"/>
    <col min="6" max="7" width="10" customWidth="1"/>
    <col min="8" max="8" width="12" customWidth="1"/>
    <col min="9" max="9" width="14" customWidth="1"/>
    <col min="10" max="11" width="12" customWidth="1"/>
    <col min="12" max="12" width="24" customWidth="1"/>
    <col min="13" max="13" width="16" customWidth="1"/>
    <col min="14" max="14" width="10" customWidth="1"/>
    <col min="15" max="15" width="12" customWidth="1"/>
    <col min="16" max="18" width="14" customWidth="1"/>
    <col min="19" max="19" width="10" customWidth="1"/>
    <col min="20" max="20" width="14" customWidth="1"/>
    <col min="21" max="21" width="20" customWidth="1"/>
    <col min="22" max="22" width="10" customWidth="1"/>
    <col min="23" max="23" width="14" customWidth="1"/>
  </cols>
  <sheetData>
    <row r="1" ht="24.75" customHeight="1" spans="1:23">
      <c r="A1" s="12" t="s">
        <v>0</v>
      </c>
      <c r="B1" s="12" t="s">
        <v>1</v>
      </c>
      <c r="C1" s="12" t="s">
        <v>2</v>
      </c>
      <c r="D1" s="13" t="s">
        <v>124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</row>
    <row r="2" ht="21.75" customHeight="1" spans="1:23">
      <c r="A2" s="4" t="str">
        <f>IFERROR(INDEX(样本到样信息汇总统计!A$2:A$500,MATCH(1,样本到样信息汇总统计!$Z$2:$Z$500,0)),"")</f>
        <v>XX市第一医院</v>
      </c>
      <c r="B2" s="4" t="str">
        <f>IFERROR(INDEX(样本到样信息汇总统计!B$2:B$500,MATCH(1,样本到样信息汇总统计!$Z$2:$Z$500,0)),"")</f>
        <v>李教授团队</v>
      </c>
      <c r="C2" s="4" t="str">
        <f>IFERROR(INDEX(样本到样信息汇总统计!C$2:C$500,MATCH(1,样本到样信息汇总统计!$Z$2:$Z$500,0)),"")</f>
        <v>陈经理</v>
      </c>
      <c r="D2" s="4" t="str">
        <f>IFERROR(INDEX(样本到样信息汇总统计!D$2:D$500,MATCH(1,样本到样信息汇总统计!$Z$2:$Z$500,0)),"")</f>
        <v>PJ2026-002</v>
      </c>
      <c r="E2" s="4" t="str">
        <f>IFERROR(INDEX(样本到样信息汇总统计!E$2:E$500,MATCH(1,样本到样信息汇总统计!$Z$2:$Z$500,0)),"")</f>
        <v>ORD-2026-0002</v>
      </c>
      <c r="F2" s="4" t="str">
        <f>IFERROR(INDEX(样本到样信息汇总统计!F$2:F$500,MATCH(1,样本到样信息汇总统计!$Z$2:$Z$500,0)),"")</f>
        <v>血液</v>
      </c>
      <c r="G2" s="4" t="str">
        <f>IFERROR(INDEX(样本到样信息汇总统计!G$2:G$500,MATCH(1,样本到样信息汇总统计!$Z$2:$Z$500,0)),"")</f>
        <v>原始样本</v>
      </c>
      <c r="H2" s="4">
        <f>IFERROR(INDEX(样本到样信息汇总统计!H$2:H$500,MATCH(1,样本到样信息汇总统计!$Z$2:$Z$500,0)),"")</f>
        <v>200</v>
      </c>
      <c r="I2" s="4">
        <f>IFERROR(INDEX(样本到样信息汇总统计!I$2:I$500,MATCH(1,样本到样信息汇总统计!$Z$2:$Z$500,0)),"")</f>
        <v>200</v>
      </c>
      <c r="J2" s="4" t="str">
        <f>IFERROR(INDEX(样本到样信息汇总统计!J$2:J$500,MATCH(1,样本到样信息汇总统计!$Z$2:$Z$500,0)),"")</f>
        <v>2026-05-21</v>
      </c>
      <c r="K2" s="4" t="str">
        <f>IFERROR(INDEX(样本到样信息汇总统计!K$2:K$500,MATCH(1,样本到样信息汇总统计!$Z$2:$Z$500,0)),"")</f>
        <v>重要</v>
      </c>
      <c r="L2" s="4" t="str">
        <f>IFERROR(INDEX(样本到样信息汇总统计!L$2:L$500,MATCH(1,样本到样信息汇总统计!$Z$2:$Z$500,0)),"")</f>
        <v>RNA提取→逆转录→文库构建</v>
      </c>
      <c r="M2" s="4" t="str">
        <f>IFERROR(INDEX(样本到样信息汇总统计!M$2:M$500,MATCH(1,样本到样信息汇总统计!$Z$2:$Z$500,0)),"")</f>
        <v>RNA完整性较好</v>
      </c>
      <c r="N2" s="4" t="str">
        <f>IFERROR(INDEX(样本到样信息汇总统计!N$2:N$500,MATCH(1,样本到样信息汇总统计!$Z$2:$Z$500,0)),"")</f>
        <v>外送华大</v>
      </c>
      <c r="O2" s="4" t="str">
        <f>IFERROR(INDEX(样本到样信息汇总统计!O$2:O$500,MATCH(1,样本到样信息汇总统计!$Z$2:$Z$500,0)),"")</f>
        <v>T7</v>
      </c>
      <c r="P2" s="4" t="str">
        <f>IFERROR(INDEX(样本到样信息汇总统计!P$2:P$500,MATCH(1,样本到样信息汇总统计!$Z$2:$Z$500,0)),"")</f>
        <v>RUN-2026-002</v>
      </c>
      <c r="Q2" s="4" t="str">
        <f>IFERROR(INDEX(样本到样信息汇总统计!Q$2:Q$500,MATCH(1,样本到样信息汇总统计!$Z$2:$Z$500,0)),"")</f>
        <v>BPOOL-002</v>
      </c>
      <c r="R2" s="4" t="str">
        <f>IFERROR(INDEX(样本到样信息汇总统计!R$2:R$500,MATCH(1,样本到样信息汇总统计!$Z$2:$Z$500,0)),"")</f>
        <v>SPOOL-002</v>
      </c>
      <c r="S2" s="4" t="str">
        <f>IFERROR(INDEX(样本到样信息汇总统计!S$2:S$500,MATCH(1,样本到样信息汇总统计!$Z$2:$Z$500,0)),"")</f>
        <v>PE150</v>
      </c>
      <c r="T2" s="4" t="str">
        <f>IFERROR(INDEX(样本到样信息汇总统计!T$2:T$500,MATCH(1,样本到样信息汇总统计!$Z$2:$Z$500,0)),"")</f>
        <v>12G</v>
      </c>
      <c r="U2" s="4" t="str">
        <f>IFERROR(INDEX(样本到样信息汇总统计!U$2:U$500,MATCH(1,样本到样信息汇总统计!$Z$2:$Z$500,0)),"")</f>
        <v>/data/project_002</v>
      </c>
      <c r="V2" s="4" t="str">
        <f>IFERROR(INDEX(样本到样信息汇总统计!V$2:V$500,MATCH(1,样本到样信息汇总统计!$Z$2:$Z$500,0)),"")</f>
        <v>提取中</v>
      </c>
      <c r="W2" s="4" t="str">
        <f>IFERROR(INDEX(样本到样信息汇总统计!W$2:W$500,MATCH(1,样本到样信息汇总统计!$Z$2:$Z$500,0)),"")</f>
        <v>2026-05-23</v>
      </c>
    </row>
    <row r="3" ht="21.75" customHeight="1" spans="1:23">
      <c r="A3" s="8" t="str">
        <f>IFERROR(INDEX(样本到样信息汇总统计!A$2:A$500,MATCH(2,样本到样信息汇总统计!$Z$2:$Z$500,0)),"")</f>
        <v>XX大学附属医院</v>
      </c>
      <c r="B3" s="8" t="str">
        <f>IFERROR(INDEX(样本到样信息汇总统计!B$2:B$500,MATCH(2,样本到样信息汇总统计!$Z$2:$Z$500,0)),"")</f>
        <v>王博士实验室</v>
      </c>
      <c r="C3" s="8" t="str">
        <f>IFERROR(INDEX(样本到样信息汇总统计!C$2:C$500,MATCH(2,样本到样信息汇总统计!$Z$2:$Z$500,0)),"")</f>
        <v>林经理</v>
      </c>
      <c r="D3" s="8" t="str">
        <f>IFERROR(INDEX(样本到样信息汇总统计!D$2:D$500,MATCH(2,样本到样信息汇总统计!$Z$2:$Z$500,0)),"")</f>
        <v>PJ2026-003</v>
      </c>
      <c r="E3" s="8" t="str">
        <f>IFERROR(INDEX(样本到样信息汇总统计!E$2:E$500,MATCH(2,样本到样信息汇总统计!$Z$2:$Z$500,0)),"")</f>
        <v>ORD-2026-0003</v>
      </c>
      <c r="F3" s="8" t="str">
        <f>IFERROR(INDEX(样本到样信息汇总统计!F$2:F$500,MATCH(2,样本到样信息汇总统计!$Z$2:$Z$500,0)),"")</f>
        <v>FFPE</v>
      </c>
      <c r="G3" s="8" t="str">
        <f>IFERROR(INDEX(样本到样信息汇总统计!G$2:G$500,MATCH(2,样本到样信息汇总统计!$Z$2:$Z$500,0)),"")</f>
        <v>文库</v>
      </c>
      <c r="H3" s="8">
        <f>IFERROR(INDEX(样本到样信息汇总统计!H$2:H$500,MATCH(2,样本到样信息汇总统计!$Z$2:$Z$500,0)),"")</f>
        <v>30</v>
      </c>
      <c r="I3" s="8">
        <f>IFERROR(INDEX(样本到样信息汇总统计!I$2:I$500,MATCH(2,样本到样信息汇总统计!$Z$2:$Z$500,0)),"")</f>
        <v>30</v>
      </c>
      <c r="J3" s="8" t="str">
        <f>IFERROR(INDEX(样本到样信息汇总统计!J$2:J$500,MATCH(2,样本到样信息汇总统计!$Z$2:$Z$500,0)),"")</f>
        <v>2026-05-22</v>
      </c>
      <c r="K3" s="8" t="str">
        <f>IFERROR(INDEX(样本到样信息汇总统计!K$2:K$500,MATCH(2,样本到样信息汇总统计!$Z$2:$Z$500,0)),"")</f>
        <v>常规</v>
      </c>
      <c r="L3" s="8" t="str">
        <f>IFERROR(INDEX(样本到样信息汇总统计!L$2:L$500,MATCH(2,样本到样信息汇总统计!$Z$2:$Z$500,0)),"")</f>
        <v>质检→文库构建→上机测序</v>
      </c>
      <c r="M3" s="8" t="str">
        <f>IFERROR(INDEX(样本到样信息汇总统计!M$2:M$500,MATCH(2,样本到样信息汇总统计!$Z$2:$Z$500,0)),"")</f>
        <v>切片厚度5μm</v>
      </c>
      <c r="N3" s="8" t="str">
        <f>IFERROR(INDEX(样本到样信息汇总统计!N$2:N$500,MATCH(2,样本到样信息汇总统计!$Z$2:$Z$500,0)),"")</f>
        <v>外送解达</v>
      </c>
      <c r="O3" s="8" t="str">
        <f>IFERROR(INDEX(样本到样信息汇总统计!O$2:O$500,MATCH(2,样本到样信息汇总统计!$Z$2:$Z$500,0)),"")</f>
        <v>illumina</v>
      </c>
      <c r="P3" s="8" t="str">
        <f>IFERROR(INDEX(样本到样信息汇总统计!P$2:P$500,MATCH(2,样本到样信息汇总统计!$Z$2:$Z$500,0)),"")</f>
        <v>RUN-2026-003</v>
      </c>
      <c r="Q3" s="8" t="str">
        <f>IFERROR(INDEX(样本到样信息汇总统计!Q$2:Q$500,MATCH(2,样本到样信息汇总统计!$Z$2:$Z$500,0)),"")</f>
        <v>BPOOL-003</v>
      </c>
      <c r="R3" s="8" t="str">
        <f>IFERROR(INDEX(样本到样信息汇总统计!R$2:R$500,MATCH(2,样本到样信息汇总统计!$Z$2:$Z$500,0)),"")</f>
        <v>SPOOL-003</v>
      </c>
      <c r="S3" s="8" t="str">
        <f>IFERROR(INDEX(样本到样信息汇总统计!S$2:S$500,MATCH(2,样本到样信息汇总统计!$Z$2:$Z$500,0)),"")</f>
        <v>SE50</v>
      </c>
      <c r="T3" s="8" t="str">
        <f>IFERROR(INDEX(样本到样信息汇总统计!T$2:T$500,MATCH(2,样本到样信息汇总统计!$Z$2:$Z$500,0)),"")</f>
        <v>3G</v>
      </c>
      <c r="U3" s="8" t="str">
        <f>IFERROR(INDEX(样本到样信息汇总统计!U$2:U$500,MATCH(2,样本到样信息汇总统计!$Z$2:$Z$500,0)),"")</f>
        <v>/data/project_003</v>
      </c>
      <c r="V3" s="8" t="str">
        <f>IFERROR(INDEX(样本到样信息汇总统计!V$2:V$500,MATCH(2,样本到样信息汇总统计!$Z$2:$Z$500,0)),"")</f>
        <v>文库构建中</v>
      </c>
      <c r="W3" s="8" t="str">
        <f>IFERROR(INDEX(样本到样信息汇总统计!W$2:W$500,MATCH(2,样本到样信息汇总统计!$Z$2:$Z$500,0)),"")</f>
        <v>2026-05-24</v>
      </c>
    </row>
    <row r="4" ht="21.75" customHeight="1" spans="1:23">
      <c r="A4" s="4" t="str">
        <f>IFERROR(INDEX(样本到样信息汇总统计!A$2:A$500,MATCH(3,样本到样信息汇总统计!$Z$2:$Z$500,0)),"")</f>
        <v>XX肿瘤医院</v>
      </c>
      <c r="B4" s="4" t="str">
        <f>IFERROR(INDEX(样本到样信息汇总统计!B$2:B$500,MATCH(3,样本到样信息汇总统计!$Z$2:$Z$500,0)),"")</f>
        <v>赵主任课题组</v>
      </c>
      <c r="C4" s="4" t="str">
        <f>IFERROR(INDEX(样本到样信息汇总统计!C$2:C$500,MATCH(3,样本到样信息汇总统计!$Z$2:$Z$500,0)),"")</f>
        <v>林经理</v>
      </c>
      <c r="D4" s="4" t="str">
        <f>IFERROR(INDEX(样本到样信息汇总统计!D$2:D$500,MATCH(3,样本到样信息汇总统计!$Z$2:$Z$500,0)),"")</f>
        <v>PJ2026-004</v>
      </c>
      <c r="E4" s="4" t="str">
        <f>IFERROR(INDEX(样本到样信息汇总统计!E$2:E$500,MATCH(3,样本到样信息汇总统计!$Z$2:$Z$500,0)),"")</f>
        <v>ORD-2026-0004</v>
      </c>
      <c r="F4" s="4" t="str">
        <f>IFERROR(INDEX(样本到样信息汇总统计!F$2:F$500,MATCH(3,样本到样信息汇总统计!$Z$2:$Z$500,0)),"")</f>
        <v>细胞</v>
      </c>
      <c r="G4" s="4" t="str">
        <f>IFERROR(INDEX(样本到样信息汇总统计!G$2:G$500,MATCH(3,样本到样信息汇总统计!$Z$2:$Z$500,0)),"")</f>
        <v>核酸</v>
      </c>
      <c r="H4" s="4">
        <f>IFERROR(INDEX(样本到样信息汇总统计!H$2:H$500,MATCH(3,样本到样信息汇总统计!$Z$2:$Z$500,0)),"")</f>
        <v>15</v>
      </c>
      <c r="I4" s="4">
        <f>IFERROR(INDEX(样本到样信息汇总统计!I$2:I$500,MATCH(3,样本到样信息汇总统计!$Z$2:$Z$500,0)),"")</f>
        <v>15</v>
      </c>
      <c r="J4" s="4" t="str">
        <f>IFERROR(INDEX(样本到样信息汇总统计!J$2:J$500,MATCH(3,样本到样信息汇总统计!$Z$2:$Z$500,0)),"")</f>
        <v>2026-05-23</v>
      </c>
      <c r="K4" s="4" t="str">
        <f>IFERROR(INDEX(样本到样信息汇总统计!K$2:K$500,MATCH(3,样本到样信息汇总统计!$Z$2:$Z$500,0)),"")</f>
        <v>紧急</v>
      </c>
      <c r="L4" s="4" t="str">
        <f>IFERROR(INDEX(样本到样信息汇总统计!L$2:L$500,MATCH(3,样本到样信息汇总统计!$Z$2:$Z$500,0)),"")</f>
        <v>DNA提取→PCR扩增→文库构建</v>
      </c>
      <c r="M4" s="4" t="str">
        <f>IFERROR(INDEX(样本到样信息汇总统计!M$2:M$500,MATCH(3,样本到样信息汇总统计!$Z$2:$Z$500,0)),"")</f>
        <v>细胞活性&gt;90%</v>
      </c>
      <c r="N4" s="4" t="str">
        <f>IFERROR(INDEX(样本到样信息汇总统计!N$2:N$500,MATCH(3,样本到样信息汇总统计!$Z$2:$Z$500,0)),"")</f>
        <v>内部上机</v>
      </c>
      <c r="O4" s="4" t="str">
        <f>IFERROR(INDEX(样本到样信息汇总统计!O$2:O$500,MATCH(3,样本到样信息汇总统计!$Z$2:$Z$500,0)),"")</f>
        <v>Vision</v>
      </c>
      <c r="P4" s="4" t="str">
        <f>IFERROR(INDEX(样本到样信息汇总统计!P$2:P$500,MATCH(3,样本到样信息汇总统计!$Z$2:$Z$500,0)),"")</f>
        <v>RUN-2026-004</v>
      </c>
      <c r="Q4" s="4" t="str">
        <f>IFERROR(INDEX(样本到样信息汇总统计!Q$2:Q$500,MATCH(3,样本到样信息汇总统计!$Z$2:$Z$500,0)),"")</f>
        <v>BPOOL-004</v>
      </c>
      <c r="R4" s="4" t="str">
        <f>IFERROR(INDEX(样本到样信息汇总统计!R$2:R$500,MATCH(3,样本到样信息汇总统计!$Z$2:$Z$500,0)),"")</f>
        <v>SPOOL-004</v>
      </c>
      <c r="S4" s="4" t="str">
        <f>IFERROR(INDEX(样本到样信息汇总统计!S$2:S$500,MATCH(3,样本到样信息汇总统计!$Z$2:$Z$500,0)),"")</f>
        <v>PE150</v>
      </c>
      <c r="T4" s="4" t="str">
        <f>IFERROR(INDEX(样本到样信息汇总统计!T$2:T$500,MATCH(3,样本到样信息汇总统计!$Z$2:$Z$500,0)),"")</f>
        <v>6G</v>
      </c>
      <c r="U4" s="4" t="str">
        <f>IFERROR(INDEX(样本到样信息汇总统计!U$2:U$500,MATCH(3,样本到样信息汇总统计!$Z$2:$Z$500,0)),"")</f>
        <v>/data/project_004</v>
      </c>
      <c r="V4" s="4" t="str">
        <f>IFERROR(INDEX(样本到样信息汇总统计!V$2:V$500,MATCH(3,样本到样信息汇总统计!$Z$2:$Z$500,0)),"")</f>
        <v>文库质检中</v>
      </c>
      <c r="W4" s="4" t="str">
        <f>IFERROR(INDEX(样本到样信息汇总统计!W$2:W$500,MATCH(3,样本到样信息汇总统计!$Z$2:$Z$500,0)),"")</f>
        <v>2026-05-24</v>
      </c>
    </row>
    <row r="5" ht="21.75" customHeight="1" spans="1:23">
      <c r="A5" s="8" t="str">
        <f>IFERROR(INDEX(样本到样信息汇总统计!A$2:A$500,MATCH(4,样本到样信息汇总统计!$Z$2:$Z$500,0)),"")</f>
        <v>XX儿童医院</v>
      </c>
      <c r="B5" s="8" t="str">
        <f>IFERROR(INDEX(样本到样信息汇总统计!B$2:B$500,MATCH(4,样本到样信息汇总统计!$Z$2:$Z$500,0)),"")</f>
        <v>刘教授团队</v>
      </c>
      <c r="C5" s="8" t="str">
        <f>IFERROR(INDEX(样本到样信息汇总统计!C$2:C$500,MATCH(4,样本到样信息汇总统计!$Z$2:$Z$500,0)),"")</f>
        <v>陈经理</v>
      </c>
      <c r="D5" s="8" t="str">
        <f>IFERROR(INDEX(样本到样信息汇总统计!D$2:D$500,MATCH(4,样本到样信息汇总统计!$Z$2:$Z$500,0)),"")</f>
        <v>PJ2026-005</v>
      </c>
      <c r="E5" s="8" t="str">
        <f>IFERROR(INDEX(样本到样信息汇总统计!E$2:E$500,MATCH(4,样本到样信息汇总统计!$Z$2:$Z$500,0)),"")</f>
        <v>ORD-2026-0005</v>
      </c>
      <c r="F5" s="8" t="str">
        <f>IFERROR(INDEX(样本到样信息汇总统计!F$2:F$500,MATCH(4,样本到样信息汇总统计!$Z$2:$Z$500,0)),"")</f>
        <v>脑脊液</v>
      </c>
      <c r="G5" s="8" t="str">
        <f>IFERROR(INDEX(样本到样信息汇总统计!G$2:G$500,MATCH(4,样本到样信息汇总统计!$Z$2:$Z$500,0)),"")</f>
        <v>原始样本</v>
      </c>
      <c r="H5" s="8">
        <f>IFERROR(INDEX(样本到样信息汇总统计!H$2:H$500,MATCH(4,样本到样信息汇总统计!$Z$2:$Z$500,0)),"")</f>
        <v>100</v>
      </c>
      <c r="I5" s="8">
        <f>IFERROR(INDEX(样本到样信息汇总统计!I$2:I$500,MATCH(4,样本到样信息汇总统计!$Z$2:$Z$500,0)),"")</f>
        <v>100</v>
      </c>
      <c r="J5" s="8" t="str">
        <f>IFERROR(INDEX(样本到样信息汇总统计!J$2:J$500,MATCH(4,样本到样信息汇总统计!$Z$2:$Z$500,0)),"")</f>
        <v>2026-05-24</v>
      </c>
      <c r="K5" s="8" t="str">
        <f>IFERROR(INDEX(样本到样信息汇总统计!K$2:K$500,MATCH(4,样本到样信息汇总统计!$Z$2:$Z$500,0)),"")</f>
        <v>重要</v>
      </c>
      <c r="L5" s="8" t="str">
        <f>IFERROR(INDEX(样本到样信息汇总统计!L$2:L$500,MATCH(4,样本到样信息汇总统计!$Z$2:$Z$500,0)),"")</f>
        <v>DNA提取→文库构建→上机测序</v>
      </c>
      <c r="M5" s="8" t="str">
        <f>IFERROR(INDEX(样本到样信息汇总统计!M$2:M$500,MATCH(4,样本到样信息汇总统计!$Z$2:$Z$500,0)),"")</f>
        <v>需加急处理</v>
      </c>
      <c r="N5" s="8" t="str">
        <f>IFERROR(INDEX(样本到样信息汇总统计!N$2:N$500,MATCH(4,样本到样信息汇总统计!$Z$2:$Z$500,0)),"")</f>
        <v>外送华大</v>
      </c>
      <c r="O5" s="8" t="str">
        <f>IFERROR(INDEX(样本到样信息汇总统计!O$2:O$500,MATCH(4,样本到样信息汇总统计!$Z$2:$Z$500,0)),"")</f>
        <v>T7+</v>
      </c>
      <c r="P5" s="8" t="str">
        <f>IFERROR(INDEX(样本到样信息汇总统计!P$2:P$500,MATCH(4,样本到样信息汇总统计!$Z$2:$Z$500,0)),"")</f>
        <v>RUN-2026-005</v>
      </c>
      <c r="Q5" s="8" t="str">
        <f>IFERROR(INDEX(样本到样信息汇总统计!Q$2:Q$500,MATCH(4,样本到样信息汇总统计!$Z$2:$Z$500,0)),"")</f>
        <v>BPOOL-005</v>
      </c>
      <c r="R5" s="8" t="str">
        <f>IFERROR(INDEX(样本到样信息汇总统计!R$2:R$500,MATCH(4,样本到样信息汇总统计!$Z$2:$Z$500,0)),"")</f>
        <v>SPOOL-005</v>
      </c>
      <c r="S5" s="8" t="str">
        <f>IFERROR(INDEX(样本到样信息汇总统计!S$2:S$500,MATCH(4,样本到样信息汇总统计!$Z$2:$Z$500,0)),"")</f>
        <v>PE150</v>
      </c>
      <c r="T5" s="8" t="str">
        <f>IFERROR(INDEX(样本到样信息汇总统计!T$2:T$500,MATCH(4,样本到样信息汇总统计!$Z$2:$Z$500,0)),"")</f>
        <v>6G</v>
      </c>
      <c r="U5" s="8" t="str">
        <f>IFERROR(INDEX(样本到样信息汇总统计!U$2:U$500,MATCH(4,样本到样信息汇总统计!$Z$2:$Z$500,0)),"")</f>
        <v>/data/project_005</v>
      </c>
      <c r="V5" s="8" t="str">
        <f>IFERROR(INDEX(样本到样信息汇总统计!V$2:V$500,MATCH(4,样本到样信息汇总统计!$Z$2:$Z$500,0)),"")</f>
        <v>pooling排机中</v>
      </c>
      <c r="W5" s="8" t="str">
        <f>IFERROR(INDEX(样本到样信息汇总统计!W$2:W$500,MATCH(4,样本到样信息汇总统计!$Z$2:$Z$500,0)),"")</f>
        <v>2026-05-23</v>
      </c>
    </row>
    <row r="6" ht="21.75" customHeight="1" spans="1:23">
      <c r="A6" s="4" t="str">
        <f>IFERROR(INDEX(样本到样信息汇总统计!A$2:A$500,MATCH(5,样本到样信息汇总统计!$Z$2:$Z$500,0)),"")</f>
        <v>XX儿童医院</v>
      </c>
      <c r="B6" s="4" t="str">
        <f>IFERROR(INDEX(样本到样信息汇总统计!B$2:B$500,MATCH(5,样本到样信息汇总统计!$Z$2:$Z$500,0)),"")</f>
        <v>刘教授团队</v>
      </c>
      <c r="C6" s="4" t="str">
        <f>IFERROR(INDEX(样本到样信息汇总统计!C$2:C$500,MATCH(5,样本到样信息汇总统计!$Z$2:$Z$500,0)),"")</f>
        <v>陈经理</v>
      </c>
      <c r="D6" s="4" t="str">
        <f>IFERROR(INDEX(样本到样信息汇总统计!D$2:D$500,MATCH(5,样本到样信息汇总统计!$Z$2:$Z$500,0)),"")</f>
        <v>PJ2026-006</v>
      </c>
      <c r="E6" s="4" t="str">
        <f>IFERROR(INDEX(样本到样信息汇总统计!E$2:E$500,MATCH(5,样本到样信息汇总统计!$Z$2:$Z$500,0)),"")</f>
        <v>ORD-2026-0006</v>
      </c>
      <c r="F6" s="4" t="str">
        <f>IFERROR(INDEX(样本到样信息汇总统计!F$2:F$500,MATCH(5,样本到样信息汇总统计!$Z$2:$Z$500,0)),"")</f>
        <v>脑脊液</v>
      </c>
      <c r="G6" s="4" t="str">
        <f>IFERROR(INDEX(样本到样信息汇总统计!G$2:G$500,MATCH(5,样本到样信息汇总统计!$Z$2:$Z$500,0)),"")</f>
        <v>原始样本</v>
      </c>
      <c r="H6" s="4">
        <f>IFERROR(INDEX(样本到样信息汇总统计!H$2:H$500,MATCH(5,样本到样信息汇总统计!$Z$2:$Z$500,0)),"")</f>
        <v>100</v>
      </c>
      <c r="I6" s="4">
        <f>IFERROR(INDEX(样本到样信息汇总统计!I$2:I$500,MATCH(5,样本到样信息汇总统计!$Z$2:$Z$500,0)),"")</f>
        <v>100</v>
      </c>
      <c r="J6" s="4" t="str">
        <f>IFERROR(INDEX(样本到样信息汇总统计!J$2:J$500,MATCH(5,样本到样信息汇总统计!$Z$2:$Z$500,0)),"")</f>
        <v>2026-05-24</v>
      </c>
      <c r="K6" s="4" t="str">
        <f>IFERROR(INDEX(样本到样信息汇总统计!K$2:K$500,MATCH(5,样本到样信息汇总统计!$Z$2:$Z$500,0)),"")</f>
        <v>紧急</v>
      </c>
      <c r="L6" s="4" t="str">
        <f>IFERROR(INDEX(样本到样信息汇总统计!L$2:L$500,MATCH(5,样本到样信息汇总统计!$Z$2:$Z$500,0)),"")</f>
        <v>DNA提取→文库构建→上机测序</v>
      </c>
      <c r="M6" s="4" t="str">
        <f>IFERROR(INDEX(样本到样信息汇总统计!M$2:M$500,MATCH(5,样本到样信息汇总统计!$Z$2:$Z$500,0)),"")</f>
        <v>需加急处理</v>
      </c>
      <c r="N6" s="4" t="str">
        <f>IFERROR(INDEX(样本到样信息汇总统计!N$2:N$500,MATCH(5,样本到样信息汇总统计!$Z$2:$Z$500,0)),"")</f>
        <v>外送华大</v>
      </c>
      <c r="O6" s="4" t="str">
        <f>IFERROR(INDEX(样本到样信息汇总统计!O$2:O$500,MATCH(5,样本到样信息汇总统计!$Z$2:$Z$500,0)),"")</f>
        <v>T7+</v>
      </c>
      <c r="P6" s="4" t="str">
        <f>IFERROR(INDEX(样本到样信息汇总统计!P$2:P$500,MATCH(5,样本到样信息汇总统计!$Z$2:$Z$500,0)),"")</f>
        <v>RUN-2026-005</v>
      </c>
      <c r="Q6" s="4" t="str">
        <f>IFERROR(INDEX(样本到样信息汇总统计!Q$2:Q$500,MATCH(5,样本到样信息汇总统计!$Z$2:$Z$500,0)),"")</f>
        <v>BPOOL-005</v>
      </c>
      <c r="R6" s="4" t="str">
        <f>IFERROR(INDEX(样本到样信息汇总统计!R$2:R$500,MATCH(5,样本到样信息汇总统计!$Z$2:$Z$500,0)),"")</f>
        <v>SPOOL-005</v>
      </c>
      <c r="S6" s="4" t="str">
        <f>IFERROR(INDEX(样本到样信息汇总统计!S$2:S$500,MATCH(5,样本到样信息汇总统计!$Z$2:$Z$500,0)),"")</f>
        <v>PE150</v>
      </c>
      <c r="T6" s="4" t="str">
        <f>IFERROR(INDEX(样本到样信息汇总统计!T$2:T$500,MATCH(5,样本到样信息汇总统计!$Z$2:$Z$500,0)),"")</f>
        <v>6G</v>
      </c>
      <c r="U6" s="4" t="str">
        <f>IFERROR(INDEX(样本到样信息汇总统计!U$2:U$500,MATCH(5,样本到样信息汇总统计!$Z$2:$Z$500,0)),"")</f>
        <v>/data/project_005</v>
      </c>
      <c r="V6" s="4" t="str">
        <f>IFERROR(INDEX(样本到样信息汇总统计!V$2:V$500,MATCH(5,样本到样信息汇总统计!$Z$2:$Z$500,0)),"")</f>
        <v>pooling排机中</v>
      </c>
      <c r="W6" s="4" t="str">
        <f>IFERROR(INDEX(样本到样信息汇总统计!W$2:W$500,MATCH(5,样本到样信息汇总统计!$Z$2:$Z$500,0)),"")</f>
        <v>2026-05-23</v>
      </c>
    </row>
    <row r="7" ht="21.75" customHeight="1" spans="1:23">
      <c r="A7" s="8" t="str">
        <f>IFERROR(INDEX(样本到样信息汇总统计!A$2:A$500,MATCH(6,样本到样信息汇总统计!$Z$2:$Z$500,0)),"")</f>
        <v>XX儿童医院</v>
      </c>
      <c r="B7" s="8" t="str">
        <f>IFERROR(INDEX(样本到样信息汇总统计!B$2:B$500,MATCH(6,样本到样信息汇总统计!$Z$2:$Z$500,0)),"")</f>
        <v>刘教授团队</v>
      </c>
      <c r="C7" s="8" t="str">
        <f>IFERROR(INDEX(样本到样信息汇总统计!C$2:C$500,MATCH(6,样本到样信息汇总统计!$Z$2:$Z$500,0)),"")</f>
        <v>陈经理</v>
      </c>
      <c r="D7" s="8" t="str">
        <f>IFERROR(INDEX(样本到样信息汇总统计!D$2:D$500,MATCH(6,样本到样信息汇总统计!$Z$2:$Z$500,0)),"")</f>
        <v>PJ2026-007</v>
      </c>
      <c r="E7" s="8" t="str">
        <f>IFERROR(INDEX(样本到样信息汇总统计!E$2:E$500,MATCH(6,样本到样信息汇总统计!$Z$2:$Z$500,0)),"")</f>
        <v>ORD-2026-0007</v>
      </c>
      <c r="F7" s="8" t="str">
        <f>IFERROR(INDEX(样本到样信息汇总统计!F$2:F$500,MATCH(6,样本到样信息汇总统计!$Z$2:$Z$500,0)),"")</f>
        <v>脑脊液</v>
      </c>
      <c r="G7" s="8" t="str">
        <f>IFERROR(INDEX(样本到样信息汇总统计!G$2:G$500,MATCH(6,样本到样信息汇总统计!$Z$2:$Z$500,0)),"")</f>
        <v>原始样本</v>
      </c>
      <c r="H7" s="8">
        <f>IFERROR(INDEX(样本到样信息汇总统计!H$2:H$500,MATCH(6,样本到样信息汇总统计!$Z$2:$Z$500,0)),"")</f>
        <v>100</v>
      </c>
      <c r="I7" s="8">
        <f>IFERROR(INDEX(样本到样信息汇总统计!I$2:I$500,MATCH(6,样本到样信息汇总统计!$Z$2:$Z$500,0)),"")</f>
        <v>100</v>
      </c>
      <c r="J7" s="8" t="str">
        <f>IFERROR(INDEX(样本到样信息汇总统计!J$2:J$500,MATCH(6,样本到样信息汇总统计!$Z$2:$Z$500,0)),"")</f>
        <v>2026-05-24</v>
      </c>
      <c r="K7" s="8" t="str">
        <f>IFERROR(INDEX(样本到样信息汇总统计!K$2:K$500,MATCH(6,样本到样信息汇总统计!$Z$2:$Z$500,0)),"")</f>
        <v>紧急</v>
      </c>
      <c r="L7" s="8" t="str">
        <f>IFERROR(INDEX(样本到样信息汇总统计!L$2:L$500,MATCH(6,样本到样信息汇总统计!$Z$2:$Z$500,0)),"")</f>
        <v>DNA提取→文库构建→上机测序</v>
      </c>
      <c r="M7" s="8" t="str">
        <f>IFERROR(INDEX(样本到样信息汇总统计!M$2:M$500,MATCH(6,样本到样信息汇总统计!$Z$2:$Z$500,0)),"")</f>
        <v>需加急处理</v>
      </c>
      <c r="N7" s="8" t="str">
        <f>IFERROR(INDEX(样本到样信息汇总统计!N$2:N$500,MATCH(6,样本到样信息汇总统计!$Z$2:$Z$500,0)),"")</f>
        <v>外送华大</v>
      </c>
      <c r="O7" s="8" t="str">
        <f>IFERROR(INDEX(样本到样信息汇总统计!O$2:O$500,MATCH(6,样本到样信息汇总统计!$Z$2:$Z$500,0)),"")</f>
        <v>T7+</v>
      </c>
      <c r="P7" s="8" t="str">
        <f>IFERROR(INDEX(样本到样信息汇总统计!P$2:P$500,MATCH(6,样本到样信息汇总统计!$Z$2:$Z$500,0)),"")</f>
        <v>RUN-2026-005</v>
      </c>
      <c r="Q7" s="8" t="str">
        <f>IFERROR(INDEX(样本到样信息汇总统计!Q$2:Q$500,MATCH(6,样本到样信息汇总统计!$Z$2:$Z$500,0)),"")</f>
        <v>BPOOL-005</v>
      </c>
      <c r="R7" s="8" t="str">
        <f>IFERROR(INDEX(样本到样信息汇总统计!R$2:R$500,MATCH(6,样本到样信息汇总统计!$Z$2:$Z$500,0)),"")</f>
        <v>SPOOL-005</v>
      </c>
      <c r="S7" s="8" t="str">
        <f>IFERROR(INDEX(样本到样信息汇总统计!S$2:S$500,MATCH(6,样本到样信息汇总统计!$Z$2:$Z$500,0)),"")</f>
        <v>PE150</v>
      </c>
      <c r="T7" s="8" t="str">
        <f>IFERROR(INDEX(样本到样信息汇总统计!T$2:T$500,MATCH(6,样本到样信息汇总统计!$Z$2:$Z$500,0)),"")</f>
        <v>6G</v>
      </c>
      <c r="U7" s="8" t="str">
        <f>IFERROR(INDEX(样本到样信息汇总统计!U$2:U$500,MATCH(6,样本到样信息汇总统计!$Z$2:$Z$500,0)),"")</f>
        <v>/data/project_005</v>
      </c>
      <c r="V7" s="8" t="str">
        <f>IFERROR(INDEX(样本到样信息汇总统计!V$2:V$500,MATCH(6,样本到样信息汇总统计!$Z$2:$Z$500,0)),"")</f>
        <v>pooling排机中</v>
      </c>
      <c r="W7" s="8" t="str">
        <f>IFERROR(INDEX(样本到样信息汇总统计!W$2:W$500,MATCH(6,样本到样信息汇总统计!$Z$2:$Z$500,0)),"")</f>
        <v>2026-05-23</v>
      </c>
    </row>
    <row r="8" ht="21.75" customHeight="1" spans="1:23">
      <c r="A8" s="4" t="str">
        <f>IFERROR(INDEX(样本到样信息汇总统计!A$2:A$500,MATCH(7,样本到样信息汇总统计!$Z$2:$Z$500,0)),"")</f>
        <v>XX儿童医院</v>
      </c>
      <c r="B8" s="4" t="str">
        <f>IFERROR(INDEX(样本到样信息汇总统计!B$2:B$500,MATCH(7,样本到样信息汇总统计!$Z$2:$Z$500,0)),"")</f>
        <v>刘教授团队</v>
      </c>
      <c r="C8" s="4" t="str">
        <f>IFERROR(INDEX(样本到样信息汇总统计!C$2:C$500,MATCH(7,样本到样信息汇总统计!$Z$2:$Z$500,0)),"")</f>
        <v>陈经理</v>
      </c>
      <c r="D8" s="4" t="str">
        <f>IFERROR(INDEX(样本到样信息汇总统计!D$2:D$500,MATCH(7,样本到样信息汇总统计!$Z$2:$Z$500,0)),"")</f>
        <v>PJ2026-008</v>
      </c>
      <c r="E8" s="4" t="str">
        <f>IFERROR(INDEX(样本到样信息汇总统计!E$2:E$500,MATCH(7,样本到样信息汇总统计!$Z$2:$Z$500,0)),"")</f>
        <v>ORD-2026-0008</v>
      </c>
      <c r="F8" s="4" t="str">
        <f>IFERROR(INDEX(样本到样信息汇总统计!F$2:F$500,MATCH(7,样本到样信息汇总统计!$Z$2:$Z$500,0)),"")</f>
        <v>脑脊液</v>
      </c>
      <c r="G8" s="4" t="str">
        <f>IFERROR(INDEX(样本到样信息汇总统计!G$2:G$500,MATCH(7,样本到样信息汇总统计!$Z$2:$Z$500,0)),"")</f>
        <v>原始样本</v>
      </c>
      <c r="H8" s="4">
        <f>IFERROR(INDEX(样本到样信息汇总统计!H$2:H$500,MATCH(7,样本到样信息汇总统计!$Z$2:$Z$500,0)),"")</f>
        <v>100</v>
      </c>
      <c r="I8" s="4">
        <f>IFERROR(INDEX(样本到样信息汇总统计!I$2:I$500,MATCH(7,样本到样信息汇总统计!$Z$2:$Z$500,0)),"")</f>
        <v>100</v>
      </c>
      <c r="J8" s="4" t="str">
        <f>IFERROR(INDEX(样本到样信息汇总统计!J$2:J$500,MATCH(7,样本到样信息汇总统计!$Z$2:$Z$500,0)),"")</f>
        <v>2026-05-24</v>
      </c>
      <c r="K8" s="4" t="str">
        <f>IFERROR(INDEX(样本到样信息汇总统计!K$2:K$500,MATCH(7,样本到样信息汇总统计!$Z$2:$Z$500,0)),"")</f>
        <v>重要</v>
      </c>
      <c r="L8" s="4" t="str">
        <f>IFERROR(INDEX(样本到样信息汇总统计!L$2:L$500,MATCH(7,样本到样信息汇总统计!$Z$2:$Z$500,0)),"")</f>
        <v>DNA提取→文库构建→上机测序</v>
      </c>
      <c r="M8" s="4" t="str">
        <f>IFERROR(INDEX(样本到样信息汇总统计!M$2:M$500,MATCH(7,样本到样信息汇总统计!$Z$2:$Z$500,0)),"")</f>
        <v>需加急处理</v>
      </c>
      <c r="N8" s="4" t="str">
        <f>IFERROR(INDEX(样本到样信息汇总统计!N$2:N$500,MATCH(7,样本到样信息汇总统计!$Z$2:$Z$500,0)),"")</f>
        <v>外送华大</v>
      </c>
      <c r="O8" s="4" t="str">
        <f>IFERROR(INDEX(样本到样信息汇总统计!O$2:O$500,MATCH(7,样本到样信息汇总统计!$Z$2:$Z$500,0)),"")</f>
        <v>T7+</v>
      </c>
      <c r="P8" s="4" t="str">
        <f>IFERROR(INDEX(样本到样信息汇总统计!P$2:P$500,MATCH(7,样本到样信息汇总统计!$Z$2:$Z$500,0)),"")</f>
        <v>RUN-2026-005</v>
      </c>
      <c r="Q8" s="4" t="str">
        <f>IFERROR(INDEX(样本到样信息汇总统计!Q$2:Q$500,MATCH(7,样本到样信息汇总统计!$Z$2:$Z$500,0)),"")</f>
        <v>BPOOL-005</v>
      </c>
      <c r="R8" s="4" t="str">
        <f>IFERROR(INDEX(样本到样信息汇总统计!R$2:R$500,MATCH(7,样本到样信息汇总统计!$Z$2:$Z$500,0)),"")</f>
        <v>SPOOL-005</v>
      </c>
      <c r="S8" s="4" t="str">
        <f>IFERROR(INDEX(样本到样信息汇总统计!S$2:S$500,MATCH(7,样本到样信息汇总统计!$Z$2:$Z$500,0)),"")</f>
        <v>PE150</v>
      </c>
      <c r="T8" s="4" t="str">
        <f>IFERROR(INDEX(样本到样信息汇总统计!T$2:T$500,MATCH(7,样本到样信息汇总统计!$Z$2:$Z$500,0)),"")</f>
        <v>6G</v>
      </c>
      <c r="U8" s="4" t="str">
        <f>IFERROR(INDEX(样本到样信息汇总统计!U$2:U$500,MATCH(7,样本到样信息汇总统计!$Z$2:$Z$500,0)),"")</f>
        <v>/data/project_005</v>
      </c>
      <c r="V8" s="4" t="str">
        <f>IFERROR(INDEX(样本到样信息汇总统计!V$2:V$500,MATCH(7,样本到样信息汇总统计!$Z$2:$Z$500,0)),"")</f>
        <v>pooling排机中</v>
      </c>
      <c r="W8" s="4" t="str">
        <f>IFERROR(INDEX(样本到样信息汇总统计!W$2:W$500,MATCH(7,样本到样信息汇总统计!$Z$2:$Z$500,0)),"")</f>
        <v>2026-05-23</v>
      </c>
    </row>
    <row r="9" ht="21.75" customHeight="1" spans="1:23">
      <c r="A9" s="8" t="str">
        <f>IFERROR(INDEX(样本到样信息汇总统计!A$2:A$500,MATCH(8,样本到样信息汇总统计!$Z$2:$Z$500,0)),"")</f>
        <v>XX儿童医院</v>
      </c>
      <c r="B9" s="8" t="str">
        <f>IFERROR(INDEX(样本到样信息汇总统计!B$2:B$500,MATCH(8,样本到样信息汇总统计!$Z$2:$Z$500,0)),"")</f>
        <v>刘教授团队</v>
      </c>
      <c r="C9" s="8" t="str">
        <f>IFERROR(INDEX(样本到样信息汇总统计!C$2:C$500,MATCH(8,样本到样信息汇总统计!$Z$2:$Z$500,0)),"")</f>
        <v>陈经理</v>
      </c>
      <c r="D9" s="8" t="str">
        <f>IFERROR(INDEX(样本到样信息汇总统计!D$2:D$500,MATCH(8,样本到样信息汇总统计!$Z$2:$Z$500,0)),"")</f>
        <v>PJ2026-009</v>
      </c>
      <c r="E9" s="8" t="str">
        <f>IFERROR(INDEX(样本到样信息汇总统计!E$2:E$500,MATCH(8,样本到样信息汇总统计!$Z$2:$Z$500,0)),"")</f>
        <v>ORD-2026-0009</v>
      </c>
      <c r="F9" s="8" t="str">
        <f>IFERROR(INDEX(样本到样信息汇总统计!F$2:F$500,MATCH(8,样本到样信息汇总统计!$Z$2:$Z$500,0)),"")</f>
        <v>脑脊液</v>
      </c>
      <c r="G9" s="8" t="str">
        <f>IFERROR(INDEX(样本到样信息汇总统计!G$2:G$500,MATCH(8,样本到样信息汇总统计!$Z$2:$Z$500,0)),"")</f>
        <v>原始样本</v>
      </c>
      <c r="H9" s="8">
        <f>IFERROR(INDEX(样本到样信息汇总统计!H$2:H$500,MATCH(8,样本到样信息汇总统计!$Z$2:$Z$500,0)),"")</f>
        <v>100</v>
      </c>
      <c r="I9" s="8">
        <f>IFERROR(INDEX(样本到样信息汇总统计!I$2:I$500,MATCH(8,样本到样信息汇总统计!$Z$2:$Z$500,0)),"")</f>
        <v>100</v>
      </c>
      <c r="J9" s="8" t="str">
        <f>IFERROR(INDEX(样本到样信息汇总统计!J$2:J$500,MATCH(8,样本到样信息汇总统计!$Z$2:$Z$500,0)),"")</f>
        <v>2026-05-24</v>
      </c>
      <c r="K9" s="8" t="str">
        <f>IFERROR(INDEX(样本到样信息汇总统计!K$2:K$500,MATCH(8,样本到样信息汇总统计!$Z$2:$Z$500,0)),"")</f>
        <v>紧急</v>
      </c>
      <c r="L9" s="8" t="str">
        <f>IFERROR(INDEX(样本到样信息汇总统计!L$2:L$500,MATCH(8,样本到样信息汇总统计!$Z$2:$Z$500,0)),"")</f>
        <v>DNA提取→文库构建→上机测序</v>
      </c>
      <c r="M9" s="8" t="str">
        <f>IFERROR(INDEX(样本到样信息汇总统计!M$2:M$500,MATCH(8,样本到样信息汇总统计!$Z$2:$Z$500,0)),"")</f>
        <v>需加急处理</v>
      </c>
      <c r="N9" s="8" t="str">
        <f>IFERROR(INDEX(样本到样信息汇总统计!N$2:N$500,MATCH(8,样本到样信息汇总统计!$Z$2:$Z$500,0)),"")</f>
        <v>外送华大</v>
      </c>
      <c r="O9" s="8" t="str">
        <f>IFERROR(INDEX(样本到样信息汇总统计!O$2:O$500,MATCH(8,样本到样信息汇总统计!$Z$2:$Z$500,0)),"")</f>
        <v>T7+</v>
      </c>
      <c r="P9" s="8" t="str">
        <f>IFERROR(INDEX(样本到样信息汇总统计!P$2:P$500,MATCH(8,样本到样信息汇总统计!$Z$2:$Z$500,0)),"")</f>
        <v>RUN-2026-005</v>
      </c>
      <c r="Q9" s="8" t="str">
        <f>IFERROR(INDEX(样本到样信息汇总统计!Q$2:Q$500,MATCH(8,样本到样信息汇总统计!$Z$2:$Z$500,0)),"")</f>
        <v>BPOOL-005</v>
      </c>
      <c r="R9" s="8" t="str">
        <f>IFERROR(INDEX(样本到样信息汇总统计!R$2:R$500,MATCH(8,样本到样信息汇总统计!$Z$2:$Z$500,0)),"")</f>
        <v>SPOOL-005</v>
      </c>
      <c r="S9" s="8" t="str">
        <f>IFERROR(INDEX(样本到样信息汇总统计!S$2:S$500,MATCH(8,样本到样信息汇总统计!$Z$2:$Z$500,0)),"")</f>
        <v>PE150</v>
      </c>
      <c r="T9" s="8" t="str">
        <f>IFERROR(INDEX(样本到样信息汇总统计!T$2:T$500,MATCH(8,样本到样信息汇总统计!$Z$2:$Z$500,0)),"")</f>
        <v>6G</v>
      </c>
      <c r="U9" s="8" t="str">
        <f>IFERROR(INDEX(样本到样信息汇总统计!U$2:U$500,MATCH(8,样本到样信息汇总统计!$Z$2:$Z$500,0)),"")</f>
        <v>/data/project_005</v>
      </c>
      <c r="V9" s="8" t="str">
        <f>IFERROR(INDEX(样本到样信息汇总统计!V$2:V$500,MATCH(8,样本到样信息汇总统计!$Z$2:$Z$500,0)),"")</f>
        <v>pooling排机中</v>
      </c>
      <c r="W9" s="8" t="str">
        <f>IFERROR(INDEX(样本到样信息汇总统计!W$2:W$500,MATCH(8,样本到样信息汇总统计!$Z$2:$Z$500,0)),"")</f>
        <v>2026-05-23</v>
      </c>
    </row>
    <row r="10" ht="21.75" customHeight="1" spans="1:23">
      <c r="A10" s="4" t="str">
        <f>IFERROR(INDEX(样本到样信息汇总统计!A$2:A$500,MATCH(9,样本到样信息汇总统计!$Z$2:$Z$500,0)),"")</f>
        <v>XX儿童医院</v>
      </c>
      <c r="B10" s="4" t="str">
        <f>IFERROR(INDEX(样本到样信息汇总统计!B$2:B$500,MATCH(9,样本到样信息汇总统计!$Z$2:$Z$500,0)),"")</f>
        <v>刘教授团队</v>
      </c>
      <c r="C10" s="4" t="str">
        <f>IFERROR(INDEX(样本到样信息汇总统计!C$2:C$500,MATCH(9,样本到样信息汇总统计!$Z$2:$Z$500,0)),"")</f>
        <v>陈经理</v>
      </c>
      <c r="D10" s="4" t="str">
        <f>IFERROR(INDEX(样本到样信息汇总统计!D$2:D$500,MATCH(9,样本到样信息汇总统计!$Z$2:$Z$500,0)),"")</f>
        <v>PJ2026-010</v>
      </c>
      <c r="E10" s="4" t="str">
        <f>IFERROR(INDEX(样本到样信息汇总统计!E$2:E$500,MATCH(9,样本到样信息汇总统计!$Z$2:$Z$500,0)),"")</f>
        <v>ORD-2026-0010</v>
      </c>
      <c r="F10" s="4" t="str">
        <f>IFERROR(INDEX(样本到样信息汇总统计!F$2:F$500,MATCH(9,样本到样信息汇总统计!$Z$2:$Z$500,0)),"")</f>
        <v>脑脊液</v>
      </c>
      <c r="G10" s="4" t="str">
        <f>IFERROR(INDEX(样本到样信息汇总统计!G$2:G$500,MATCH(9,样本到样信息汇总统计!$Z$2:$Z$500,0)),"")</f>
        <v>原始样本</v>
      </c>
      <c r="H10" s="4">
        <f>IFERROR(INDEX(样本到样信息汇总统计!H$2:H$500,MATCH(9,样本到样信息汇总统计!$Z$2:$Z$500,0)),"")</f>
        <v>100</v>
      </c>
      <c r="I10" s="4">
        <f>IFERROR(INDEX(样本到样信息汇总统计!I$2:I$500,MATCH(9,样本到样信息汇总统计!$Z$2:$Z$500,0)),"")</f>
        <v>100</v>
      </c>
      <c r="J10" s="4" t="str">
        <f>IFERROR(INDEX(样本到样信息汇总统计!J$2:J$500,MATCH(9,样本到样信息汇总统计!$Z$2:$Z$500,0)),"")</f>
        <v>2026-05-24</v>
      </c>
      <c r="K10" s="4" t="str">
        <f>IFERROR(INDEX(样本到样信息汇总统计!K$2:K$500,MATCH(9,样本到样信息汇总统计!$Z$2:$Z$500,0)),"")</f>
        <v>紧急</v>
      </c>
      <c r="L10" s="4" t="str">
        <f>IFERROR(INDEX(样本到样信息汇总统计!L$2:L$500,MATCH(9,样本到样信息汇总统计!$Z$2:$Z$500,0)),"")</f>
        <v>DNA提取→文库构建→上机测序</v>
      </c>
      <c r="M10" s="4" t="str">
        <f>IFERROR(INDEX(样本到样信息汇总统计!M$2:M$500,MATCH(9,样本到样信息汇总统计!$Z$2:$Z$500,0)),"")</f>
        <v>需加急处理</v>
      </c>
      <c r="N10" s="4" t="str">
        <f>IFERROR(INDEX(样本到样信息汇总统计!N$2:N$500,MATCH(9,样本到样信息汇总统计!$Z$2:$Z$500,0)),"")</f>
        <v>外送华大</v>
      </c>
      <c r="O10" s="4" t="str">
        <f>IFERROR(INDEX(样本到样信息汇总统计!O$2:O$500,MATCH(9,样本到样信息汇总统计!$Z$2:$Z$500,0)),"")</f>
        <v>T7+</v>
      </c>
      <c r="P10" s="4" t="str">
        <f>IFERROR(INDEX(样本到样信息汇总统计!P$2:P$500,MATCH(9,样本到样信息汇总统计!$Z$2:$Z$500,0)),"")</f>
        <v>RUN-2026-005</v>
      </c>
      <c r="Q10" s="4" t="str">
        <f>IFERROR(INDEX(样本到样信息汇总统计!Q$2:Q$500,MATCH(9,样本到样信息汇总统计!$Z$2:$Z$500,0)),"")</f>
        <v>BPOOL-005</v>
      </c>
      <c r="R10" s="4" t="str">
        <f>IFERROR(INDEX(样本到样信息汇总统计!R$2:R$500,MATCH(9,样本到样信息汇总统计!$Z$2:$Z$500,0)),"")</f>
        <v>SPOOL-005</v>
      </c>
      <c r="S10" s="4" t="str">
        <f>IFERROR(INDEX(样本到样信息汇总统计!S$2:S$500,MATCH(9,样本到样信息汇总统计!$Z$2:$Z$500,0)),"")</f>
        <v>PE150</v>
      </c>
      <c r="T10" s="4" t="str">
        <f>IFERROR(INDEX(样本到样信息汇总统计!T$2:T$500,MATCH(9,样本到样信息汇总统计!$Z$2:$Z$500,0)),"")</f>
        <v>6G</v>
      </c>
      <c r="U10" s="4" t="str">
        <f>IFERROR(INDEX(样本到样信息汇总统计!U$2:U$500,MATCH(9,样本到样信息汇总统计!$Z$2:$Z$500,0)),"")</f>
        <v>/data/project_005</v>
      </c>
      <c r="V10" s="4" t="str">
        <f>IFERROR(INDEX(样本到样信息汇总统计!V$2:V$500,MATCH(9,样本到样信息汇总统计!$Z$2:$Z$500,0)),"")</f>
        <v>pooling排机中</v>
      </c>
      <c r="W10" s="4" t="str">
        <f>IFERROR(INDEX(样本到样信息汇总统计!W$2:W$500,MATCH(9,样本到样信息汇总统计!$Z$2:$Z$500,0)),"")</f>
        <v>2026-05-23</v>
      </c>
    </row>
    <row r="11" ht="21.75" customHeight="1" spans="1:23">
      <c r="A11" s="8" t="str">
        <f>IFERROR(INDEX(样本到样信息汇总统计!A$2:A$500,MATCH(10,样本到样信息汇总统计!$Z$2:$Z$500,0)),"")</f>
        <v/>
      </c>
      <c r="B11" s="8" t="str">
        <f>IFERROR(INDEX(样本到样信息汇总统计!B$2:B$500,MATCH(10,样本到样信息汇总统计!$Z$2:$Z$500,0)),"")</f>
        <v/>
      </c>
      <c r="C11" s="8" t="str">
        <f>IFERROR(INDEX(样本到样信息汇总统计!C$2:C$500,MATCH(10,样本到样信息汇总统计!$Z$2:$Z$500,0)),"")</f>
        <v/>
      </c>
      <c r="D11" s="8" t="str">
        <f>IFERROR(INDEX(样本到样信息汇总统计!D$2:D$500,MATCH(10,样本到样信息汇总统计!$Z$2:$Z$500,0)),"")</f>
        <v/>
      </c>
      <c r="E11" s="8" t="str">
        <f>IFERROR(INDEX(样本到样信息汇总统计!E$2:E$500,MATCH(10,样本到样信息汇总统计!$Z$2:$Z$500,0)),"")</f>
        <v/>
      </c>
      <c r="F11" s="8" t="str">
        <f>IFERROR(INDEX(样本到样信息汇总统计!F$2:F$500,MATCH(10,样本到样信息汇总统计!$Z$2:$Z$500,0)),"")</f>
        <v/>
      </c>
      <c r="G11" s="8" t="str">
        <f>IFERROR(INDEX(样本到样信息汇总统计!G$2:G$500,MATCH(10,样本到样信息汇总统计!$Z$2:$Z$500,0)),"")</f>
        <v/>
      </c>
      <c r="H11" s="8" t="str">
        <f>IFERROR(INDEX(样本到样信息汇总统计!H$2:H$500,MATCH(10,样本到样信息汇总统计!$Z$2:$Z$500,0)),"")</f>
        <v/>
      </c>
      <c r="I11" s="8" t="str">
        <f>IFERROR(INDEX(样本到样信息汇总统计!I$2:I$500,MATCH(10,样本到样信息汇总统计!$Z$2:$Z$500,0)),"")</f>
        <v/>
      </c>
      <c r="J11" s="8" t="str">
        <f>IFERROR(INDEX(样本到样信息汇总统计!J$2:J$500,MATCH(10,样本到样信息汇总统计!$Z$2:$Z$500,0)),"")</f>
        <v/>
      </c>
      <c r="K11" s="8" t="str">
        <f>IFERROR(INDEX(样本到样信息汇总统计!K$2:K$500,MATCH(10,样本到样信息汇总统计!$Z$2:$Z$500,0)),"")</f>
        <v/>
      </c>
      <c r="L11" s="8" t="str">
        <f>IFERROR(INDEX(样本到样信息汇总统计!L$2:L$500,MATCH(10,样本到样信息汇总统计!$Z$2:$Z$500,0)),"")</f>
        <v/>
      </c>
      <c r="M11" s="8" t="str">
        <f>IFERROR(INDEX(样本到样信息汇总统计!M$2:M$500,MATCH(10,样本到样信息汇总统计!$Z$2:$Z$500,0)),"")</f>
        <v/>
      </c>
      <c r="N11" s="8" t="str">
        <f>IFERROR(INDEX(样本到样信息汇总统计!N$2:N$500,MATCH(10,样本到样信息汇总统计!$Z$2:$Z$500,0)),"")</f>
        <v/>
      </c>
      <c r="O11" s="8" t="str">
        <f>IFERROR(INDEX(样本到样信息汇总统计!O$2:O$500,MATCH(10,样本到样信息汇总统计!$Z$2:$Z$500,0)),"")</f>
        <v/>
      </c>
      <c r="P11" s="8" t="str">
        <f>IFERROR(INDEX(样本到样信息汇总统计!P$2:P$500,MATCH(10,样本到样信息汇总统计!$Z$2:$Z$500,0)),"")</f>
        <v/>
      </c>
      <c r="Q11" s="8" t="str">
        <f>IFERROR(INDEX(样本到样信息汇总统计!Q$2:Q$500,MATCH(10,样本到样信息汇总统计!$Z$2:$Z$500,0)),"")</f>
        <v/>
      </c>
      <c r="R11" s="8" t="str">
        <f>IFERROR(INDEX(样本到样信息汇总统计!R$2:R$500,MATCH(10,样本到样信息汇总统计!$Z$2:$Z$500,0)),"")</f>
        <v/>
      </c>
      <c r="S11" s="8" t="str">
        <f>IFERROR(INDEX(样本到样信息汇总统计!S$2:S$500,MATCH(10,样本到样信息汇总统计!$Z$2:$Z$500,0)),"")</f>
        <v/>
      </c>
      <c r="T11" s="8" t="str">
        <f>IFERROR(INDEX(样本到样信息汇总统计!T$2:T$500,MATCH(10,样本到样信息汇总统计!$Z$2:$Z$500,0)),"")</f>
        <v/>
      </c>
      <c r="U11" s="8" t="str">
        <f>IFERROR(INDEX(样本到样信息汇总统计!U$2:U$500,MATCH(10,样本到样信息汇总统计!$Z$2:$Z$500,0)),"")</f>
        <v/>
      </c>
      <c r="V11" s="8" t="str">
        <f>IFERROR(INDEX(样本到样信息汇总统计!V$2:V$500,MATCH(10,样本到样信息汇总统计!$Z$2:$Z$500,0)),"")</f>
        <v/>
      </c>
      <c r="W11" s="8" t="str">
        <f>IFERROR(INDEX(样本到样信息汇总统计!W$2:W$500,MATCH(10,样本到样信息汇总统计!$Z$2:$Z$500,0)),"")</f>
        <v/>
      </c>
    </row>
    <row r="12" ht="21.75" customHeight="1" spans="1:23">
      <c r="A12" s="4" t="str">
        <f>IFERROR(INDEX(样本到样信息汇总统计!A$2:A$500,MATCH(11,样本到样信息汇总统计!$Z$2:$Z$500,0)),"")</f>
        <v/>
      </c>
      <c r="B12" s="4" t="str">
        <f>IFERROR(INDEX(样本到样信息汇总统计!B$2:B$500,MATCH(11,样本到样信息汇总统计!$Z$2:$Z$500,0)),"")</f>
        <v/>
      </c>
      <c r="C12" s="4" t="str">
        <f>IFERROR(INDEX(样本到样信息汇总统计!C$2:C$500,MATCH(11,样本到样信息汇总统计!$Z$2:$Z$500,0)),"")</f>
        <v/>
      </c>
      <c r="D12" s="4" t="str">
        <f>IFERROR(INDEX(样本到样信息汇总统计!D$2:D$500,MATCH(11,样本到样信息汇总统计!$Z$2:$Z$500,0)),"")</f>
        <v/>
      </c>
      <c r="E12" s="4" t="str">
        <f>IFERROR(INDEX(样本到样信息汇总统计!E$2:E$500,MATCH(11,样本到样信息汇总统计!$Z$2:$Z$500,0)),"")</f>
        <v/>
      </c>
      <c r="F12" s="4" t="str">
        <f>IFERROR(INDEX(样本到样信息汇总统计!F$2:F$500,MATCH(11,样本到样信息汇总统计!$Z$2:$Z$500,0)),"")</f>
        <v/>
      </c>
      <c r="G12" s="4" t="str">
        <f>IFERROR(INDEX(样本到样信息汇总统计!G$2:G$500,MATCH(11,样本到样信息汇总统计!$Z$2:$Z$500,0)),"")</f>
        <v/>
      </c>
      <c r="H12" s="4" t="str">
        <f>IFERROR(INDEX(样本到样信息汇总统计!H$2:H$500,MATCH(11,样本到样信息汇总统计!$Z$2:$Z$500,0)),"")</f>
        <v/>
      </c>
      <c r="I12" s="4" t="str">
        <f>IFERROR(INDEX(样本到样信息汇总统计!I$2:I$500,MATCH(11,样本到样信息汇总统计!$Z$2:$Z$500,0)),"")</f>
        <v/>
      </c>
      <c r="J12" s="4" t="str">
        <f>IFERROR(INDEX(样本到样信息汇总统计!J$2:J$500,MATCH(11,样本到样信息汇总统计!$Z$2:$Z$500,0)),"")</f>
        <v/>
      </c>
      <c r="K12" s="4" t="str">
        <f>IFERROR(INDEX(样本到样信息汇总统计!K$2:K$500,MATCH(11,样本到样信息汇总统计!$Z$2:$Z$500,0)),"")</f>
        <v/>
      </c>
      <c r="L12" s="4" t="str">
        <f>IFERROR(INDEX(样本到样信息汇总统计!L$2:L$500,MATCH(11,样本到样信息汇总统计!$Z$2:$Z$500,0)),"")</f>
        <v/>
      </c>
      <c r="M12" s="4" t="str">
        <f>IFERROR(INDEX(样本到样信息汇总统计!M$2:M$500,MATCH(11,样本到样信息汇总统计!$Z$2:$Z$500,0)),"")</f>
        <v/>
      </c>
      <c r="N12" s="4" t="str">
        <f>IFERROR(INDEX(样本到样信息汇总统计!N$2:N$500,MATCH(11,样本到样信息汇总统计!$Z$2:$Z$500,0)),"")</f>
        <v/>
      </c>
      <c r="O12" s="4" t="str">
        <f>IFERROR(INDEX(样本到样信息汇总统计!O$2:O$500,MATCH(11,样本到样信息汇总统计!$Z$2:$Z$500,0)),"")</f>
        <v/>
      </c>
      <c r="P12" s="4" t="str">
        <f>IFERROR(INDEX(样本到样信息汇总统计!P$2:P$500,MATCH(11,样本到样信息汇总统计!$Z$2:$Z$500,0)),"")</f>
        <v/>
      </c>
      <c r="Q12" s="4" t="str">
        <f>IFERROR(INDEX(样本到样信息汇总统计!Q$2:Q$500,MATCH(11,样本到样信息汇总统计!$Z$2:$Z$500,0)),"")</f>
        <v/>
      </c>
      <c r="R12" s="4" t="str">
        <f>IFERROR(INDEX(样本到样信息汇总统计!R$2:R$500,MATCH(11,样本到样信息汇总统计!$Z$2:$Z$500,0)),"")</f>
        <v/>
      </c>
      <c r="S12" s="4" t="str">
        <f>IFERROR(INDEX(样本到样信息汇总统计!S$2:S$500,MATCH(11,样本到样信息汇总统计!$Z$2:$Z$500,0)),"")</f>
        <v/>
      </c>
      <c r="T12" s="4" t="str">
        <f>IFERROR(INDEX(样本到样信息汇总统计!T$2:T$500,MATCH(11,样本到样信息汇总统计!$Z$2:$Z$500,0)),"")</f>
        <v/>
      </c>
      <c r="U12" s="4" t="str">
        <f>IFERROR(INDEX(样本到样信息汇总统计!U$2:U$500,MATCH(11,样本到样信息汇总统计!$Z$2:$Z$500,0)),"")</f>
        <v/>
      </c>
      <c r="V12" s="4" t="str">
        <f>IFERROR(INDEX(样本到样信息汇总统计!V$2:V$500,MATCH(11,样本到样信息汇总统计!$Z$2:$Z$500,0)),"")</f>
        <v/>
      </c>
      <c r="W12" s="4" t="str">
        <f>IFERROR(INDEX(样本到样信息汇总统计!W$2:W$500,MATCH(11,样本到样信息汇总统计!$Z$2:$Z$500,0)),"")</f>
        <v/>
      </c>
    </row>
    <row r="13" ht="21.75" customHeight="1" spans="1:23">
      <c r="A13" s="8" t="str">
        <f>IFERROR(INDEX(样本到样信息汇总统计!A$2:A$500,MATCH(12,样本到样信息汇总统计!$Z$2:$Z$500,0)),"")</f>
        <v/>
      </c>
      <c r="B13" s="8" t="str">
        <f>IFERROR(INDEX(样本到样信息汇总统计!B$2:B$500,MATCH(12,样本到样信息汇总统计!$Z$2:$Z$500,0)),"")</f>
        <v/>
      </c>
      <c r="C13" s="8" t="str">
        <f>IFERROR(INDEX(样本到样信息汇总统计!C$2:C$500,MATCH(12,样本到样信息汇总统计!$Z$2:$Z$500,0)),"")</f>
        <v/>
      </c>
      <c r="D13" s="8" t="str">
        <f>IFERROR(INDEX(样本到样信息汇总统计!D$2:D$500,MATCH(12,样本到样信息汇总统计!$Z$2:$Z$500,0)),"")</f>
        <v/>
      </c>
      <c r="E13" s="8" t="str">
        <f>IFERROR(INDEX(样本到样信息汇总统计!E$2:E$500,MATCH(12,样本到样信息汇总统计!$Z$2:$Z$500,0)),"")</f>
        <v/>
      </c>
      <c r="F13" s="8" t="str">
        <f>IFERROR(INDEX(样本到样信息汇总统计!F$2:F$500,MATCH(12,样本到样信息汇总统计!$Z$2:$Z$500,0)),"")</f>
        <v/>
      </c>
      <c r="G13" s="8" t="str">
        <f>IFERROR(INDEX(样本到样信息汇总统计!G$2:G$500,MATCH(12,样本到样信息汇总统计!$Z$2:$Z$500,0)),"")</f>
        <v/>
      </c>
      <c r="H13" s="8" t="str">
        <f>IFERROR(INDEX(样本到样信息汇总统计!H$2:H$500,MATCH(12,样本到样信息汇总统计!$Z$2:$Z$500,0)),"")</f>
        <v/>
      </c>
      <c r="I13" s="8" t="str">
        <f>IFERROR(INDEX(样本到样信息汇总统计!I$2:I$500,MATCH(12,样本到样信息汇总统计!$Z$2:$Z$500,0)),"")</f>
        <v/>
      </c>
      <c r="J13" s="8" t="str">
        <f>IFERROR(INDEX(样本到样信息汇总统计!J$2:J$500,MATCH(12,样本到样信息汇总统计!$Z$2:$Z$500,0)),"")</f>
        <v/>
      </c>
      <c r="K13" s="8" t="str">
        <f>IFERROR(INDEX(样本到样信息汇总统计!K$2:K$500,MATCH(12,样本到样信息汇总统计!$Z$2:$Z$500,0)),"")</f>
        <v/>
      </c>
      <c r="L13" s="8" t="str">
        <f>IFERROR(INDEX(样本到样信息汇总统计!L$2:L$500,MATCH(12,样本到样信息汇总统计!$Z$2:$Z$500,0)),"")</f>
        <v/>
      </c>
      <c r="M13" s="8" t="str">
        <f>IFERROR(INDEX(样本到样信息汇总统计!M$2:M$500,MATCH(12,样本到样信息汇总统计!$Z$2:$Z$500,0)),"")</f>
        <v/>
      </c>
      <c r="N13" s="8" t="str">
        <f>IFERROR(INDEX(样本到样信息汇总统计!N$2:N$500,MATCH(12,样本到样信息汇总统计!$Z$2:$Z$500,0)),"")</f>
        <v/>
      </c>
      <c r="O13" s="8" t="str">
        <f>IFERROR(INDEX(样本到样信息汇总统计!O$2:O$500,MATCH(12,样本到样信息汇总统计!$Z$2:$Z$500,0)),"")</f>
        <v/>
      </c>
      <c r="P13" s="8" t="str">
        <f>IFERROR(INDEX(样本到样信息汇总统计!P$2:P$500,MATCH(12,样本到样信息汇总统计!$Z$2:$Z$500,0)),"")</f>
        <v/>
      </c>
      <c r="Q13" s="8" t="str">
        <f>IFERROR(INDEX(样本到样信息汇总统计!Q$2:Q$500,MATCH(12,样本到样信息汇总统计!$Z$2:$Z$500,0)),"")</f>
        <v/>
      </c>
      <c r="R13" s="8" t="str">
        <f>IFERROR(INDEX(样本到样信息汇总统计!R$2:R$500,MATCH(12,样本到样信息汇总统计!$Z$2:$Z$500,0)),"")</f>
        <v/>
      </c>
      <c r="S13" s="8" t="str">
        <f>IFERROR(INDEX(样本到样信息汇总统计!S$2:S$500,MATCH(12,样本到样信息汇总统计!$Z$2:$Z$500,0)),"")</f>
        <v/>
      </c>
      <c r="T13" s="8" t="str">
        <f>IFERROR(INDEX(样本到样信息汇总统计!T$2:T$500,MATCH(12,样本到样信息汇总统计!$Z$2:$Z$500,0)),"")</f>
        <v/>
      </c>
      <c r="U13" s="8" t="str">
        <f>IFERROR(INDEX(样本到样信息汇总统计!U$2:U$500,MATCH(12,样本到样信息汇总统计!$Z$2:$Z$500,0)),"")</f>
        <v/>
      </c>
      <c r="V13" s="8" t="str">
        <f>IFERROR(INDEX(样本到样信息汇总统计!V$2:V$500,MATCH(12,样本到样信息汇总统计!$Z$2:$Z$500,0)),"")</f>
        <v/>
      </c>
      <c r="W13" s="8" t="str">
        <f>IFERROR(INDEX(样本到样信息汇总统计!W$2:W$500,MATCH(12,样本到样信息汇总统计!$Z$2:$Z$500,0)),"")</f>
        <v/>
      </c>
    </row>
    <row r="14" ht="21.75" customHeight="1" spans="1:23">
      <c r="A14" s="4" t="str">
        <f>IFERROR(INDEX(样本到样信息汇总统计!A$2:A$500,MATCH(13,样本到样信息汇总统计!$Z$2:$Z$500,0)),"")</f>
        <v/>
      </c>
      <c r="B14" s="4" t="str">
        <f>IFERROR(INDEX(样本到样信息汇总统计!B$2:B$500,MATCH(13,样本到样信息汇总统计!$Z$2:$Z$500,0)),"")</f>
        <v/>
      </c>
      <c r="C14" s="4" t="str">
        <f>IFERROR(INDEX(样本到样信息汇总统计!C$2:C$500,MATCH(13,样本到样信息汇总统计!$Z$2:$Z$500,0)),"")</f>
        <v/>
      </c>
      <c r="D14" s="4" t="str">
        <f>IFERROR(INDEX(样本到样信息汇总统计!D$2:D$500,MATCH(13,样本到样信息汇总统计!$Z$2:$Z$500,0)),"")</f>
        <v/>
      </c>
      <c r="E14" s="4" t="str">
        <f>IFERROR(INDEX(样本到样信息汇总统计!E$2:E$500,MATCH(13,样本到样信息汇总统计!$Z$2:$Z$500,0)),"")</f>
        <v/>
      </c>
      <c r="F14" s="4" t="str">
        <f>IFERROR(INDEX(样本到样信息汇总统计!F$2:F$500,MATCH(13,样本到样信息汇总统计!$Z$2:$Z$500,0)),"")</f>
        <v/>
      </c>
      <c r="G14" s="4" t="str">
        <f>IFERROR(INDEX(样本到样信息汇总统计!G$2:G$500,MATCH(13,样本到样信息汇总统计!$Z$2:$Z$500,0)),"")</f>
        <v/>
      </c>
      <c r="H14" s="4" t="str">
        <f>IFERROR(INDEX(样本到样信息汇总统计!H$2:H$500,MATCH(13,样本到样信息汇总统计!$Z$2:$Z$500,0)),"")</f>
        <v/>
      </c>
      <c r="I14" s="4" t="str">
        <f>IFERROR(INDEX(样本到样信息汇总统计!I$2:I$500,MATCH(13,样本到样信息汇总统计!$Z$2:$Z$500,0)),"")</f>
        <v/>
      </c>
      <c r="J14" s="4" t="str">
        <f>IFERROR(INDEX(样本到样信息汇总统计!J$2:J$500,MATCH(13,样本到样信息汇总统计!$Z$2:$Z$500,0)),"")</f>
        <v/>
      </c>
      <c r="K14" s="4" t="str">
        <f>IFERROR(INDEX(样本到样信息汇总统计!K$2:K$500,MATCH(13,样本到样信息汇总统计!$Z$2:$Z$500,0)),"")</f>
        <v/>
      </c>
      <c r="L14" s="4" t="str">
        <f>IFERROR(INDEX(样本到样信息汇总统计!L$2:L$500,MATCH(13,样本到样信息汇总统计!$Z$2:$Z$500,0)),"")</f>
        <v/>
      </c>
      <c r="M14" s="4" t="str">
        <f>IFERROR(INDEX(样本到样信息汇总统计!M$2:M$500,MATCH(13,样本到样信息汇总统计!$Z$2:$Z$500,0)),"")</f>
        <v/>
      </c>
      <c r="N14" s="4" t="str">
        <f>IFERROR(INDEX(样本到样信息汇总统计!N$2:N$500,MATCH(13,样本到样信息汇总统计!$Z$2:$Z$500,0)),"")</f>
        <v/>
      </c>
      <c r="O14" s="4" t="str">
        <f>IFERROR(INDEX(样本到样信息汇总统计!O$2:O$500,MATCH(13,样本到样信息汇总统计!$Z$2:$Z$500,0)),"")</f>
        <v/>
      </c>
      <c r="P14" s="4" t="str">
        <f>IFERROR(INDEX(样本到样信息汇总统计!P$2:P$500,MATCH(13,样本到样信息汇总统计!$Z$2:$Z$500,0)),"")</f>
        <v/>
      </c>
      <c r="Q14" s="4" t="str">
        <f>IFERROR(INDEX(样本到样信息汇总统计!Q$2:Q$500,MATCH(13,样本到样信息汇总统计!$Z$2:$Z$500,0)),"")</f>
        <v/>
      </c>
      <c r="R14" s="4" t="str">
        <f>IFERROR(INDEX(样本到样信息汇总统计!R$2:R$500,MATCH(13,样本到样信息汇总统计!$Z$2:$Z$500,0)),"")</f>
        <v/>
      </c>
      <c r="S14" s="4" t="str">
        <f>IFERROR(INDEX(样本到样信息汇总统计!S$2:S$500,MATCH(13,样本到样信息汇总统计!$Z$2:$Z$500,0)),"")</f>
        <v/>
      </c>
      <c r="T14" s="4" t="str">
        <f>IFERROR(INDEX(样本到样信息汇总统计!T$2:T$500,MATCH(13,样本到样信息汇总统计!$Z$2:$Z$500,0)),"")</f>
        <v/>
      </c>
      <c r="U14" s="4" t="str">
        <f>IFERROR(INDEX(样本到样信息汇总统计!U$2:U$500,MATCH(13,样本到样信息汇总统计!$Z$2:$Z$500,0)),"")</f>
        <v/>
      </c>
      <c r="V14" s="4" t="str">
        <f>IFERROR(INDEX(样本到样信息汇总统计!V$2:V$500,MATCH(13,样本到样信息汇总统计!$Z$2:$Z$500,0)),"")</f>
        <v/>
      </c>
      <c r="W14" s="4" t="str">
        <f>IFERROR(INDEX(样本到样信息汇总统计!W$2:W$500,MATCH(13,样本到样信息汇总统计!$Z$2:$Z$500,0)),"")</f>
        <v/>
      </c>
    </row>
    <row r="15" ht="21.75" customHeight="1" spans="1:23">
      <c r="A15" s="8" t="str">
        <f>IFERROR(INDEX(样本到样信息汇总统计!A$2:A$500,MATCH(14,样本到样信息汇总统计!$Z$2:$Z$500,0)),"")</f>
        <v/>
      </c>
      <c r="B15" s="8" t="str">
        <f>IFERROR(INDEX(样本到样信息汇总统计!B$2:B$500,MATCH(14,样本到样信息汇总统计!$Z$2:$Z$500,0)),"")</f>
        <v/>
      </c>
      <c r="C15" s="8" t="str">
        <f>IFERROR(INDEX(样本到样信息汇总统计!C$2:C$500,MATCH(14,样本到样信息汇总统计!$Z$2:$Z$500,0)),"")</f>
        <v/>
      </c>
      <c r="D15" s="8" t="str">
        <f>IFERROR(INDEX(样本到样信息汇总统计!D$2:D$500,MATCH(14,样本到样信息汇总统计!$Z$2:$Z$500,0)),"")</f>
        <v/>
      </c>
      <c r="E15" s="8" t="str">
        <f>IFERROR(INDEX(样本到样信息汇总统计!E$2:E$500,MATCH(14,样本到样信息汇总统计!$Z$2:$Z$500,0)),"")</f>
        <v/>
      </c>
      <c r="F15" s="8" t="str">
        <f>IFERROR(INDEX(样本到样信息汇总统计!F$2:F$500,MATCH(14,样本到样信息汇总统计!$Z$2:$Z$500,0)),"")</f>
        <v/>
      </c>
      <c r="G15" s="8" t="str">
        <f>IFERROR(INDEX(样本到样信息汇总统计!G$2:G$500,MATCH(14,样本到样信息汇总统计!$Z$2:$Z$500,0)),"")</f>
        <v/>
      </c>
      <c r="H15" s="8" t="str">
        <f>IFERROR(INDEX(样本到样信息汇总统计!H$2:H$500,MATCH(14,样本到样信息汇总统计!$Z$2:$Z$500,0)),"")</f>
        <v/>
      </c>
      <c r="I15" s="8" t="str">
        <f>IFERROR(INDEX(样本到样信息汇总统计!I$2:I$500,MATCH(14,样本到样信息汇总统计!$Z$2:$Z$500,0)),"")</f>
        <v/>
      </c>
      <c r="J15" s="8" t="str">
        <f>IFERROR(INDEX(样本到样信息汇总统计!J$2:J$500,MATCH(14,样本到样信息汇总统计!$Z$2:$Z$500,0)),"")</f>
        <v/>
      </c>
      <c r="K15" s="8" t="str">
        <f>IFERROR(INDEX(样本到样信息汇总统计!K$2:K$500,MATCH(14,样本到样信息汇总统计!$Z$2:$Z$500,0)),"")</f>
        <v/>
      </c>
      <c r="L15" s="8" t="str">
        <f>IFERROR(INDEX(样本到样信息汇总统计!L$2:L$500,MATCH(14,样本到样信息汇总统计!$Z$2:$Z$500,0)),"")</f>
        <v/>
      </c>
      <c r="M15" s="8" t="str">
        <f>IFERROR(INDEX(样本到样信息汇总统计!M$2:M$500,MATCH(14,样本到样信息汇总统计!$Z$2:$Z$500,0)),"")</f>
        <v/>
      </c>
      <c r="N15" s="8" t="str">
        <f>IFERROR(INDEX(样本到样信息汇总统计!N$2:N$500,MATCH(14,样本到样信息汇总统计!$Z$2:$Z$500,0)),"")</f>
        <v/>
      </c>
      <c r="O15" s="8" t="str">
        <f>IFERROR(INDEX(样本到样信息汇总统计!O$2:O$500,MATCH(14,样本到样信息汇总统计!$Z$2:$Z$500,0)),"")</f>
        <v/>
      </c>
      <c r="P15" s="8" t="str">
        <f>IFERROR(INDEX(样本到样信息汇总统计!P$2:P$500,MATCH(14,样本到样信息汇总统计!$Z$2:$Z$500,0)),"")</f>
        <v/>
      </c>
      <c r="Q15" s="8" t="str">
        <f>IFERROR(INDEX(样本到样信息汇总统计!Q$2:Q$500,MATCH(14,样本到样信息汇总统计!$Z$2:$Z$500,0)),"")</f>
        <v/>
      </c>
      <c r="R15" s="8" t="str">
        <f>IFERROR(INDEX(样本到样信息汇总统计!R$2:R$500,MATCH(14,样本到样信息汇总统计!$Z$2:$Z$500,0)),"")</f>
        <v/>
      </c>
      <c r="S15" s="8" t="str">
        <f>IFERROR(INDEX(样本到样信息汇总统计!S$2:S$500,MATCH(14,样本到样信息汇总统计!$Z$2:$Z$500,0)),"")</f>
        <v/>
      </c>
      <c r="T15" s="8" t="str">
        <f>IFERROR(INDEX(样本到样信息汇总统计!T$2:T$500,MATCH(14,样本到样信息汇总统计!$Z$2:$Z$500,0)),"")</f>
        <v/>
      </c>
      <c r="U15" s="8" t="str">
        <f>IFERROR(INDEX(样本到样信息汇总统计!U$2:U$500,MATCH(14,样本到样信息汇总统计!$Z$2:$Z$500,0)),"")</f>
        <v/>
      </c>
      <c r="V15" s="8" t="str">
        <f>IFERROR(INDEX(样本到样信息汇总统计!V$2:V$500,MATCH(14,样本到样信息汇总统计!$Z$2:$Z$500,0)),"")</f>
        <v/>
      </c>
      <c r="W15" s="8" t="str">
        <f>IFERROR(INDEX(样本到样信息汇总统计!W$2:W$500,MATCH(14,样本到样信息汇总统计!$Z$2:$Z$500,0)),"")</f>
        <v/>
      </c>
    </row>
    <row r="16" ht="21.75" customHeight="1" spans="1:23">
      <c r="A16" s="4" t="str">
        <f>IFERROR(INDEX(样本到样信息汇总统计!A$2:A$500,MATCH(15,样本到样信息汇总统计!$Z$2:$Z$500,0)),"")</f>
        <v/>
      </c>
      <c r="B16" s="4" t="str">
        <f>IFERROR(INDEX(样本到样信息汇总统计!B$2:B$500,MATCH(15,样本到样信息汇总统计!$Z$2:$Z$500,0)),"")</f>
        <v/>
      </c>
      <c r="C16" s="4" t="str">
        <f>IFERROR(INDEX(样本到样信息汇总统计!C$2:C$500,MATCH(15,样本到样信息汇总统计!$Z$2:$Z$500,0)),"")</f>
        <v/>
      </c>
      <c r="D16" s="4" t="str">
        <f>IFERROR(INDEX(样本到样信息汇总统计!D$2:D$500,MATCH(15,样本到样信息汇总统计!$Z$2:$Z$500,0)),"")</f>
        <v/>
      </c>
      <c r="E16" s="4" t="str">
        <f>IFERROR(INDEX(样本到样信息汇总统计!E$2:E$500,MATCH(15,样本到样信息汇总统计!$Z$2:$Z$500,0)),"")</f>
        <v/>
      </c>
      <c r="F16" s="4" t="str">
        <f>IFERROR(INDEX(样本到样信息汇总统计!F$2:F$500,MATCH(15,样本到样信息汇总统计!$Z$2:$Z$500,0)),"")</f>
        <v/>
      </c>
      <c r="G16" s="4" t="str">
        <f>IFERROR(INDEX(样本到样信息汇总统计!G$2:G$500,MATCH(15,样本到样信息汇总统计!$Z$2:$Z$500,0)),"")</f>
        <v/>
      </c>
      <c r="H16" s="4" t="str">
        <f>IFERROR(INDEX(样本到样信息汇总统计!H$2:H$500,MATCH(15,样本到样信息汇总统计!$Z$2:$Z$500,0)),"")</f>
        <v/>
      </c>
      <c r="I16" s="4" t="str">
        <f>IFERROR(INDEX(样本到样信息汇总统计!I$2:I$500,MATCH(15,样本到样信息汇总统计!$Z$2:$Z$500,0)),"")</f>
        <v/>
      </c>
      <c r="J16" s="4" t="str">
        <f>IFERROR(INDEX(样本到样信息汇总统计!J$2:J$500,MATCH(15,样本到样信息汇总统计!$Z$2:$Z$500,0)),"")</f>
        <v/>
      </c>
      <c r="K16" s="4" t="str">
        <f>IFERROR(INDEX(样本到样信息汇总统计!K$2:K$500,MATCH(15,样本到样信息汇总统计!$Z$2:$Z$500,0)),"")</f>
        <v/>
      </c>
      <c r="L16" s="4" t="str">
        <f>IFERROR(INDEX(样本到样信息汇总统计!L$2:L$500,MATCH(15,样本到样信息汇总统计!$Z$2:$Z$500,0)),"")</f>
        <v/>
      </c>
      <c r="M16" s="4" t="str">
        <f>IFERROR(INDEX(样本到样信息汇总统计!M$2:M$500,MATCH(15,样本到样信息汇总统计!$Z$2:$Z$500,0)),"")</f>
        <v/>
      </c>
      <c r="N16" s="4" t="str">
        <f>IFERROR(INDEX(样本到样信息汇总统计!N$2:N$500,MATCH(15,样本到样信息汇总统计!$Z$2:$Z$500,0)),"")</f>
        <v/>
      </c>
      <c r="O16" s="4" t="str">
        <f>IFERROR(INDEX(样本到样信息汇总统计!O$2:O$500,MATCH(15,样本到样信息汇总统计!$Z$2:$Z$500,0)),"")</f>
        <v/>
      </c>
      <c r="P16" s="4" t="str">
        <f>IFERROR(INDEX(样本到样信息汇总统计!P$2:P$500,MATCH(15,样本到样信息汇总统计!$Z$2:$Z$500,0)),"")</f>
        <v/>
      </c>
      <c r="Q16" s="4" t="str">
        <f>IFERROR(INDEX(样本到样信息汇总统计!Q$2:Q$500,MATCH(15,样本到样信息汇总统计!$Z$2:$Z$500,0)),"")</f>
        <v/>
      </c>
      <c r="R16" s="4" t="str">
        <f>IFERROR(INDEX(样本到样信息汇总统计!R$2:R$500,MATCH(15,样本到样信息汇总统计!$Z$2:$Z$500,0)),"")</f>
        <v/>
      </c>
      <c r="S16" s="4" t="str">
        <f>IFERROR(INDEX(样本到样信息汇总统计!S$2:S$500,MATCH(15,样本到样信息汇总统计!$Z$2:$Z$500,0)),"")</f>
        <v/>
      </c>
      <c r="T16" s="4" t="str">
        <f>IFERROR(INDEX(样本到样信息汇总统计!T$2:T$500,MATCH(15,样本到样信息汇总统计!$Z$2:$Z$500,0)),"")</f>
        <v/>
      </c>
      <c r="U16" s="4" t="str">
        <f>IFERROR(INDEX(样本到样信息汇总统计!U$2:U$500,MATCH(15,样本到样信息汇总统计!$Z$2:$Z$500,0)),"")</f>
        <v/>
      </c>
      <c r="V16" s="4" t="str">
        <f>IFERROR(INDEX(样本到样信息汇总统计!V$2:V$500,MATCH(15,样本到样信息汇总统计!$Z$2:$Z$500,0)),"")</f>
        <v/>
      </c>
      <c r="W16" s="4" t="str">
        <f>IFERROR(INDEX(样本到样信息汇总统计!W$2:W$500,MATCH(15,样本到样信息汇总统计!$Z$2:$Z$500,0)),"")</f>
        <v/>
      </c>
    </row>
    <row r="17" ht="21.75" customHeight="1" spans="1:23">
      <c r="A17" s="8" t="str">
        <f>IFERROR(INDEX(样本到样信息汇总统计!A$2:A$500,MATCH(16,样本到样信息汇总统计!$Z$2:$Z$500,0)),"")</f>
        <v/>
      </c>
      <c r="B17" s="8" t="str">
        <f>IFERROR(INDEX(样本到样信息汇总统计!B$2:B$500,MATCH(16,样本到样信息汇总统计!$Z$2:$Z$500,0)),"")</f>
        <v/>
      </c>
      <c r="C17" s="8" t="str">
        <f>IFERROR(INDEX(样本到样信息汇总统计!C$2:C$500,MATCH(16,样本到样信息汇总统计!$Z$2:$Z$500,0)),"")</f>
        <v/>
      </c>
      <c r="D17" s="8" t="str">
        <f>IFERROR(INDEX(样本到样信息汇总统计!D$2:D$500,MATCH(16,样本到样信息汇总统计!$Z$2:$Z$500,0)),"")</f>
        <v/>
      </c>
      <c r="E17" s="8" t="str">
        <f>IFERROR(INDEX(样本到样信息汇总统计!E$2:E$500,MATCH(16,样本到样信息汇总统计!$Z$2:$Z$500,0)),"")</f>
        <v/>
      </c>
      <c r="F17" s="8" t="str">
        <f>IFERROR(INDEX(样本到样信息汇总统计!F$2:F$500,MATCH(16,样本到样信息汇总统计!$Z$2:$Z$500,0)),"")</f>
        <v/>
      </c>
      <c r="G17" s="8" t="str">
        <f>IFERROR(INDEX(样本到样信息汇总统计!G$2:G$500,MATCH(16,样本到样信息汇总统计!$Z$2:$Z$500,0)),"")</f>
        <v/>
      </c>
      <c r="H17" s="8" t="str">
        <f>IFERROR(INDEX(样本到样信息汇总统计!H$2:H$500,MATCH(16,样本到样信息汇总统计!$Z$2:$Z$500,0)),"")</f>
        <v/>
      </c>
      <c r="I17" s="8" t="str">
        <f>IFERROR(INDEX(样本到样信息汇总统计!I$2:I$500,MATCH(16,样本到样信息汇总统计!$Z$2:$Z$500,0)),"")</f>
        <v/>
      </c>
      <c r="J17" s="8" t="str">
        <f>IFERROR(INDEX(样本到样信息汇总统计!J$2:J$500,MATCH(16,样本到样信息汇总统计!$Z$2:$Z$500,0)),"")</f>
        <v/>
      </c>
      <c r="K17" s="8" t="str">
        <f>IFERROR(INDEX(样本到样信息汇总统计!K$2:K$500,MATCH(16,样本到样信息汇总统计!$Z$2:$Z$500,0)),"")</f>
        <v/>
      </c>
      <c r="L17" s="8" t="str">
        <f>IFERROR(INDEX(样本到样信息汇总统计!L$2:L$500,MATCH(16,样本到样信息汇总统计!$Z$2:$Z$500,0)),"")</f>
        <v/>
      </c>
      <c r="M17" s="8" t="str">
        <f>IFERROR(INDEX(样本到样信息汇总统计!M$2:M$500,MATCH(16,样本到样信息汇总统计!$Z$2:$Z$500,0)),"")</f>
        <v/>
      </c>
      <c r="N17" s="8" t="str">
        <f>IFERROR(INDEX(样本到样信息汇总统计!N$2:N$500,MATCH(16,样本到样信息汇总统计!$Z$2:$Z$500,0)),"")</f>
        <v/>
      </c>
      <c r="O17" s="8" t="str">
        <f>IFERROR(INDEX(样本到样信息汇总统计!O$2:O$500,MATCH(16,样本到样信息汇总统计!$Z$2:$Z$500,0)),"")</f>
        <v/>
      </c>
      <c r="P17" s="8" t="str">
        <f>IFERROR(INDEX(样本到样信息汇总统计!P$2:P$500,MATCH(16,样本到样信息汇总统计!$Z$2:$Z$500,0)),"")</f>
        <v/>
      </c>
      <c r="Q17" s="8" t="str">
        <f>IFERROR(INDEX(样本到样信息汇总统计!Q$2:Q$500,MATCH(16,样本到样信息汇总统计!$Z$2:$Z$500,0)),"")</f>
        <v/>
      </c>
      <c r="R17" s="8" t="str">
        <f>IFERROR(INDEX(样本到样信息汇总统计!R$2:R$500,MATCH(16,样本到样信息汇总统计!$Z$2:$Z$500,0)),"")</f>
        <v/>
      </c>
      <c r="S17" s="8" t="str">
        <f>IFERROR(INDEX(样本到样信息汇总统计!S$2:S$500,MATCH(16,样本到样信息汇总统计!$Z$2:$Z$500,0)),"")</f>
        <v/>
      </c>
      <c r="T17" s="8" t="str">
        <f>IFERROR(INDEX(样本到样信息汇总统计!T$2:T$500,MATCH(16,样本到样信息汇总统计!$Z$2:$Z$500,0)),"")</f>
        <v/>
      </c>
      <c r="U17" s="8" t="str">
        <f>IFERROR(INDEX(样本到样信息汇总统计!U$2:U$500,MATCH(16,样本到样信息汇总统计!$Z$2:$Z$500,0)),"")</f>
        <v/>
      </c>
      <c r="V17" s="8" t="str">
        <f>IFERROR(INDEX(样本到样信息汇总统计!V$2:V$500,MATCH(16,样本到样信息汇总统计!$Z$2:$Z$500,0)),"")</f>
        <v/>
      </c>
      <c r="W17" s="8" t="str">
        <f>IFERROR(INDEX(样本到样信息汇总统计!W$2:W$500,MATCH(16,样本到样信息汇总统计!$Z$2:$Z$500,0)),"")</f>
        <v/>
      </c>
    </row>
    <row r="18" ht="21.75" customHeight="1" spans="1:23">
      <c r="A18" s="4" t="str">
        <f>IFERROR(INDEX(样本到样信息汇总统计!A$2:A$500,MATCH(17,样本到样信息汇总统计!$Z$2:$Z$500,0)),"")</f>
        <v/>
      </c>
      <c r="B18" s="4" t="str">
        <f>IFERROR(INDEX(样本到样信息汇总统计!B$2:B$500,MATCH(17,样本到样信息汇总统计!$Z$2:$Z$500,0)),"")</f>
        <v/>
      </c>
      <c r="C18" s="4" t="str">
        <f>IFERROR(INDEX(样本到样信息汇总统计!C$2:C$500,MATCH(17,样本到样信息汇总统计!$Z$2:$Z$500,0)),"")</f>
        <v/>
      </c>
      <c r="D18" s="4" t="str">
        <f>IFERROR(INDEX(样本到样信息汇总统计!D$2:D$500,MATCH(17,样本到样信息汇总统计!$Z$2:$Z$500,0)),"")</f>
        <v/>
      </c>
      <c r="E18" s="4" t="str">
        <f>IFERROR(INDEX(样本到样信息汇总统计!E$2:E$500,MATCH(17,样本到样信息汇总统计!$Z$2:$Z$500,0)),"")</f>
        <v/>
      </c>
      <c r="F18" s="4" t="str">
        <f>IFERROR(INDEX(样本到样信息汇总统计!F$2:F$500,MATCH(17,样本到样信息汇总统计!$Z$2:$Z$500,0)),"")</f>
        <v/>
      </c>
      <c r="G18" s="4" t="str">
        <f>IFERROR(INDEX(样本到样信息汇总统计!G$2:G$500,MATCH(17,样本到样信息汇总统计!$Z$2:$Z$500,0)),"")</f>
        <v/>
      </c>
      <c r="H18" s="4" t="str">
        <f>IFERROR(INDEX(样本到样信息汇总统计!H$2:H$500,MATCH(17,样本到样信息汇总统计!$Z$2:$Z$500,0)),"")</f>
        <v/>
      </c>
      <c r="I18" s="4" t="str">
        <f>IFERROR(INDEX(样本到样信息汇总统计!I$2:I$500,MATCH(17,样本到样信息汇总统计!$Z$2:$Z$500,0)),"")</f>
        <v/>
      </c>
      <c r="J18" s="4" t="str">
        <f>IFERROR(INDEX(样本到样信息汇总统计!J$2:J$500,MATCH(17,样本到样信息汇总统计!$Z$2:$Z$500,0)),"")</f>
        <v/>
      </c>
      <c r="K18" s="4" t="str">
        <f>IFERROR(INDEX(样本到样信息汇总统计!K$2:K$500,MATCH(17,样本到样信息汇总统计!$Z$2:$Z$500,0)),"")</f>
        <v/>
      </c>
      <c r="L18" s="4" t="str">
        <f>IFERROR(INDEX(样本到样信息汇总统计!L$2:L$500,MATCH(17,样本到样信息汇总统计!$Z$2:$Z$500,0)),"")</f>
        <v/>
      </c>
      <c r="M18" s="4" t="str">
        <f>IFERROR(INDEX(样本到样信息汇总统计!M$2:M$500,MATCH(17,样本到样信息汇总统计!$Z$2:$Z$500,0)),"")</f>
        <v/>
      </c>
      <c r="N18" s="4" t="str">
        <f>IFERROR(INDEX(样本到样信息汇总统计!N$2:N$500,MATCH(17,样本到样信息汇总统计!$Z$2:$Z$500,0)),"")</f>
        <v/>
      </c>
      <c r="O18" s="4" t="str">
        <f>IFERROR(INDEX(样本到样信息汇总统计!O$2:O$500,MATCH(17,样本到样信息汇总统计!$Z$2:$Z$500,0)),"")</f>
        <v/>
      </c>
      <c r="P18" s="4" t="str">
        <f>IFERROR(INDEX(样本到样信息汇总统计!P$2:P$500,MATCH(17,样本到样信息汇总统计!$Z$2:$Z$500,0)),"")</f>
        <v/>
      </c>
      <c r="Q18" s="4" t="str">
        <f>IFERROR(INDEX(样本到样信息汇总统计!Q$2:Q$500,MATCH(17,样本到样信息汇总统计!$Z$2:$Z$500,0)),"")</f>
        <v/>
      </c>
      <c r="R18" s="4" t="str">
        <f>IFERROR(INDEX(样本到样信息汇总统计!R$2:R$500,MATCH(17,样本到样信息汇总统计!$Z$2:$Z$500,0)),"")</f>
        <v/>
      </c>
      <c r="S18" s="4" t="str">
        <f>IFERROR(INDEX(样本到样信息汇总统计!S$2:S$500,MATCH(17,样本到样信息汇总统计!$Z$2:$Z$500,0)),"")</f>
        <v/>
      </c>
      <c r="T18" s="4" t="str">
        <f>IFERROR(INDEX(样本到样信息汇总统计!T$2:T$500,MATCH(17,样本到样信息汇总统计!$Z$2:$Z$500,0)),"")</f>
        <v/>
      </c>
      <c r="U18" s="4" t="str">
        <f>IFERROR(INDEX(样本到样信息汇总统计!U$2:U$500,MATCH(17,样本到样信息汇总统计!$Z$2:$Z$500,0)),"")</f>
        <v/>
      </c>
      <c r="V18" s="4" t="str">
        <f>IFERROR(INDEX(样本到样信息汇总统计!V$2:V$500,MATCH(17,样本到样信息汇总统计!$Z$2:$Z$500,0)),"")</f>
        <v/>
      </c>
      <c r="W18" s="4" t="str">
        <f>IFERROR(INDEX(样本到样信息汇总统计!W$2:W$500,MATCH(17,样本到样信息汇总统计!$Z$2:$Z$500,0)),"")</f>
        <v/>
      </c>
    </row>
    <row r="19" ht="21.75" customHeight="1" spans="1:23">
      <c r="A19" s="8" t="str">
        <f>IFERROR(INDEX(样本到样信息汇总统计!A$2:A$500,MATCH(18,样本到样信息汇总统计!$Z$2:$Z$500,0)),"")</f>
        <v/>
      </c>
      <c r="B19" s="8" t="str">
        <f>IFERROR(INDEX(样本到样信息汇总统计!B$2:B$500,MATCH(18,样本到样信息汇总统计!$Z$2:$Z$500,0)),"")</f>
        <v/>
      </c>
      <c r="C19" s="8" t="str">
        <f>IFERROR(INDEX(样本到样信息汇总统计!C$2:C$500,MATCH(18,样本到样信息汇总统计!$Z$2:$Z$500,0)),"")</f>
        <v/>
      </c>
      <c r="D19" s="8" t="str">
        <f>IFERROR(INDEX(样本到样信息汇总统计!D$2:D$500,MATCH(18,样本到样信息汇总统计!$Z$2:$Z$500,0)),"")</f>
        <v/>
      </c>
      <c r="E19" s="8" t="str">
        <f>IFERROR(INDEX(样本到样信息汇总统计!E$2:E$500,MATCH(18,样本到样信息汇总统计!$Z$2:$Z$500,0)),"")</f>
        <v/>
      </c>
      <c r="F19" s="8" t="str">
        <f>IFERROR(INDEX(样本到样信息汇总统计!F$2:F$500,MATCH(18,样本到样信息汇总统计!$Z$2:$Z$500,0)),"")</f>
        <v/>
      </c>
      <c r="G19" s="8" t="str">
        <f>IFERROR(INDEX(样本到样信息汇总统计!G$2:G$500,MATCH(18,样本到样信息汇总统计!$Z$2:$Z$500,0)),"")</f>
        <v/>
      </c>
      <c r="H19" s="8" t="str">
        <f>IFERROR(INDEX(样本到样信息汇总统计!H$2:H$500,MATCH(18,样本到样信息汇总统计!$Z$2:$Z$500,0)),"")</f>
        <v/>
      </c>
      <c r="I19" s="8" t="str">
        <f>IFERROR(INDEX(样本到样信息汇总统计!I$2:I$500,MATCH(18,样本到样信息汇总统计!$Z$2:$Z$500,0)),"")</f>
        <v/>
      </c>
      <c r="J19" s="8" t="str">
        <f>IFERROR(INDEX(样本到样信息汇总统计!J$2:J$500,MATCH(18,样本到样信息汇总统计!$Z$2:$Z$500,0)),"")</f>
        <v/>
      </c>
      <c r="K19" s="8" t="str">
        <f>IFERROR(INDEX(样本到样信息汇总统计!K$2:K$500,MATCH(18,样本到样信息汇总统计!$Z$2:$Z$500,0)),"")</f>
        <v/>
      </c>
      <c r="L19" s="8" t="str">
        <f>IFERROR(INDEX(样本到样信息汇总统计!L$2:L$500,MATCH(18,样本到样信息汇总统计!$Z$2:$Z$500,0)),"")</f>
        <v/>
      </c>
      <c r="M19" s="8" t="str">
        <f>IFERROR(INDEX(样本到样信息汇总统计!M$2:M$500,MATCH(18,样本到样信息汇总统计!$Z$2:$Z$500,0)),"")</f>
        <v/>
      </c>
      <c r="N19" s="8" t="str">
        <f>IFERROR(INDEX(样本到样信息汇总统计!N$2:N$500,MATCH(18,样本到样信息汇总统计!$Z$2:$Z$500,0)),"")</f>
        <v/>
      </c>
      <c r="O19" s="8" t="str">
        <f>IFERROR(INDEX(样本到样信息汇总统计!O$2:O$500,MATCH(18,样本到样信息汇总统计!$Z$2:$Z$500,0)),"")</f>
        <v/>
      </c>
      <c r="P19" s="8" t="str">
        <f>IFERROR(INDEX(样本到样信息汇总统计!P$2:P$500,MATCH(18,样本到样信息汇总统计!$Z$2:$Z$500,0)),"")</f>
        <v/>
      </c>
      <c r="Q19" s="8" t="str">
        <f>IFERROR(INDEX(样本到样信息汇总统计!Q$2:Q$500,MATCH(18,样本到样信息汇总统计!$Z$2:$Z$500,0)),"")</f>
        <v/>
      </c>
      <c r="R19" s="8" t="str">
        <f>IFERROR(INDEX(样本到样信息汇总统计!R$2:R$500,MATCH(18,样本到样信息汇总统计!$Z$2:$Z$500,0)),"")</f>
        <v/>
      </c>
      <c r="S19" s="8" t="str">
        <f>IFERROR(INDEX(样本到样信息汇总统计!S$2:S$500,MATCH(18,样本到样信息汇总统计!$Z$2:$Z$500,0)),"")</f>
        <v/>
      </c>
      <c r="T19" s="8" t="str">
        <f>IFERROR(INDEX(样本到样信息汇总统计!T$2:T$500,MATCH(18,样本到样信息汇总统计!$Z$2:$Z$500,0)),"")</f>
        <v/>
      </c>
      <c r="U19" s="8" t="str">
        <f>IFERROR(INDEX(样本到样信息汇总统计!U$2:U$500,MATCH(18,样本到样信息汇总统计!$Z$2:$Z$500,0)),"")</f>
        <v/>
      </c>
      <c r="V19" s="8" t="str">
        <f>IFERROR(INDEX(样本到样信息汇总统计!V$2:V$500,MATCH(18,样本到样信息汇总统计!$Z$2:$Z$500,0)),"")</f>
        <v/>
      </c>
      <c r="W19" s="8" t="str">
        <f>IFERROR(INDEX(样本到样信息汇总统计!W$2:W$500,MATCH(18,样本到样信息汇总统计!$Z$2:$Z$500,0)),"")</f>
        <v/>
      </c>
    </row>
    <row r="20" ht="21.75" customHeight="1" spans="1:23">
      <c r="A20" s="4" t="str">
        <f>IFERROR(INDEX(样本到样信息汇总统计!A$2:A$500,MATCH(19,样本到样信息汇总统计!$Z$2:$Z$500,0)),"")</f>
        <v/>
      </c>
      <c r="B20" s="4" t="str">
        <f>IFERROR(INDEX(样本到样信息汇总统计!B$2:B$500,MATCH(19,样本到样信息汇总统计!$Z$2:$Z$500,0)),"")</f>
        <v/>
      </c>
      <c r="C20" s="4" t="str">
        <f>IFERROR(INDEX(样本到样信息汇总统计!C$2:C$500,MATCH(19,样本到样信息汇总统计!$Z$2:$Z$500,0)),"")</f>
        <v/>
      </c>
      <c r="D20" s="4" t="str">
        <f>IFERROR(INDEX(样本到样信息汇总统计!D$2:D$500,MATCH(19,样本到样信息汇总统计!$Z$2:$Z$500,0)),"")</f>
        <v/>
      </c>
      <c r="E20" s="4" t="str">
        <f>IFERROR(INDEX(样本到样信息汇总统计!E$2:E$500,MATCH(19,样本到样信息汇总统计!$Z$2:$Z$500,0)),"")</f>
        <v/>
      </c>
      <c r="F20" s="4" t="str">
        <f>IFERROR(INDEX(样本到样信息汇总统计!F$2:F$500,MATCH(19,样本到样信息汇总统计!$Z$2:$Z$500,0)),"")</f>
        <v/>
      </c>
      <c r="G20" s="4" t="str">
        <f>IFERROR(INDEX(样本到样信息汇总统计!G$2:G$500,MATCH(19,样本到样信息汇总统计!$Z$2:$Z$500,0)),"")</f>
        <v/>
      </c>
      <c r="H20" s="4" t="str">
        <f>IFERROR(INDEX(样本到样信息汇总统计!H$2:H$500,MATCH(19,样本到样信息汇总统计!$Z$2:$Z$500,0)),"")</f>
        <v/>
      </c>
      <c r="I20" s="4" t="str">
        <f>IFERROR(INDEX(样本到样信息汇总统计!I$2:I$500,MATCH(19,样本到样信息汇总统计!$Z$2:$Z$500,0)),"")</f>
        <v/>
      </c>
      <c r="J20" s="4" t="str">
        <f>IFERROR(INDEX(样本到样信息汇总统计!J$2:J$500,MATCH(19,样本到样信息汇总统计!$Z$2:$Z$500,0)),"")</f>
        <v/>
      </c>
      <c r="K20" s="4" t="str">
        <f>IFERROR(INDEX(样本到样信息汇总统计!K$2:K$500,MATCH(19,样本到样信息汇总统计!$Z$2:$Z$500,0)),"")</f>
        <v/>
      </c>
      <c r="L20" s="4" t="str">
        <f>IFERROR(INDEX(样本到样信息汇总统计!L$2:L$500,MATCH(19,样本到样信息汇总统计!$Z$2:$Z$500,0)),"")</f>
        <v/>
      </c>
      <c r="M20" s="4" t="str">
        <f>IFERROR(INDEX(样本到样信息汇总统计!M$2:M$500,MATCH(19,样本到样信息汇总统计!$Z$2:$Z$500,0)),"")</f>
        <v/>
      </c>
      <c r="N20" s="4" t="str">
        <f>IFERROR(INDEX(样本到样信息汇总统计!N$2:N$500,MATCH(19,样本到样信息汇总统计!$Z$2:$Z$500,0)),"")</f>
        <v/>
      </c>
      <c r="O20" s="4" t="str">
        <f>IFERROR(INDEX(样本到样信息汇总统计!O$2:O$500,MATCH(19,样本到样信息汇总统计!$Z$2:$Z$500,0)),"")</f>
        <v/>
      </c>
      <c r="P20" s="4" t="str">
        <f>IFERROR(INDEX(样本到样信息汇总统计!P$2:P$500,MATCH(19,样本到样信息汇总统计!$Z$2:$Z$500,0)),"")</f>
        <v/>
      </c>
      <c r="Q20" s="4" t="str">
        <f>IFERROR(INDEX(样本到样信息汇总统计!Q$2:Q$500,MATCH(19,样本到样信息汇总统计!$Z$2:$Z$500,0)),"")</f>
        <v/>
      </c>
      <c r="R20" s="4" t="str">
        <f>IFERROR(INDEX(样本到样信息汇总统计!R$2:R$500,MATCH(19,样本到样信息汇总统计!$Z$2:$Z$500,0)),"")</f>
        <v/>
      </c>
      <c r="S20" s="4" t="str">
        <f>IFERROR(INDEX(样本到样信息汇总统计!S$2:S$500,MATCH(19,样本到样信息汇总统计!$Z$2:$Z$500,0)),"")</f>
        <v/>
      </c>
      <c r="T20" s="4" t="str">
        <f>IFERROR(INDEX(样本到样信息汇总统计!T$2:T$500,MATCH(19,样本到样信息汇总统计!$Z$2:$Z$500,0)),"")</f>
        <v/>
      </c>
      <c r="U20" s="4" t="str">
        <f>IFERROR(INDEX(样本到样信息汇总统计!U$2:U$500,MATCH(19,样本到样信息汇总统计!$Z$2:$Z$500,0)),"")</f>
        <v/>
      </c>
      <c r="V20" s="4" t="str">
        <f>IFERROR(INDEX(样本到样信息汇总统计!V$2:V$500,MATCH(19,样本到样信息汇总统计!$Z$2:$Z$500,0)),"")</f>
        <v/>
      </c>
      <c r="W20" s="4" t="str">
        <f>IFERROR(INDEX(样本到样信息汇总统计!W$2:W$500,MATCH(19,样本到样信息汇总统计!$Z$2:$Z$500,0)),"")</f>
        <v/>
      </c>
    </row>
    <row r="21" ht="14.5" spans="1:23">
      <c r="A21" s="8" t="str">
        <f>IFERROR(INDEX(样本到样信息汇总统计!A$2:A$500,MATCH(20,样本到样信息汇总统计!$Z$2:$Z$500,0)),"")</f>
        <v/>
      </c>
      <c r="B21" s="8" t="str">
        <f>IFERROR(INDEX(样本到样信息汇总统计!B$2:B$500,MATCH(20,样本到样信息汇总统计!$Z$2:$Z$500,0)),"")</f>
        <v/>
      </c>
      <c r="C21" s="8" t="str">
        <f>IFERROR(INDEX(样本到样信息汇总统计!C$2:C$500,MATCH(20,样本到样信息汇总统计!$Z$2:$Z$500,0)),"")</f>
        <v/>
      </c>
      <c r="D21" s="8" t="str">
        <f>IFERROR(INDEX(样本到样信息汇总统计!D$2:D$500,MATCH(20,样本到样信息汇总统计!$Z$2:$Z$500,0)),"")</f>
        <v/>
      </c>
      <c r="E21" s="8" t="str">
        <f>IFERROR(INDEX(样本到样信息汇总统计!E$2:E$500,MATCH(20,样本到样信息汇总统计!$Z$2:$Z$500,0)),"")</f>
        <v/>
      </c>
      <c r="F21" s="8" t="str">
        <f>IFERROR(INDEX(样本到样信息汇总统计!F$2:F$500,MATCH(20,样本到样信息汇总统计!$Z$2:$Z$500,0)),"")</f>
        <v/>
      </c>
      <c r="G21" s="8" t="str">
        <f>IFERROR(INDEX(样本到样信息汇总统计!G$2:G$500,MATCH(20,样本到样信息汇总统计!$Z$2:$Z$500,0)),"")</f>
        <v/>
      </c>
      <c r="H21" s="8" t="str">
        <f>IFERROR(INDEX(样本到样信息汇总统计!H$2:H$500,MATCH(20,样本到样信息汇总统计!$Z$2:$Z$500,0)),"")</f>
        <v/>
      </c>
      <c r="I21" s="8" t="str">
        <f>IFERROR(INDEX(样本到样信息汇总统计!I$2:I$500,MATCH(20,样本到样信息汇总统计!$Z$2:$Z$500,0)),"")</f>
        <v/>
      </c>
      <c r="J21" s="8" t="str">
        <f>IFERROR(INDEX(样本到样信息汇总统计!J$2:J$500,MATCH(20,样本到样信息汇总统计!$Z$2:$Z$500,0)),"")</f>
        <v/>
      </c>
      <c r="K21" s="8" t="str">
        <f>IFERROR(INDEX(样本到样信息汇总统计!K$2:K$500,MATCH(20,样本到样信息汇总统计!$Z$2:$Z$500,0)),"")</f>
        <v/>
      </c>
      <c r="L21" s="8" t="str">
        <f>IFERROR(INDEX(样本到样信息汇总统计!L$2:L$500,MATCH(20,样本到样信息汇总统计!$Z$2:$Z$500,0)),"")</f>
        <v/>
      </c>
      <c r="M21" s="8" t="str">
        <f>IFERROR(INDEX(样本到样信息汇总统计!M$2:M$500,MATCH(20,样本到样信息汇总统计!$Z$2:$Z$500,0)),"")</f>
        <v/>
      </c>
      <c r="N21" s="8" t="str">
        <f>IFERROR(INDEX(样本到样信息汇总统计!N$2:N$500,MATCH(20,样本到样信息汇总统计!$Z$2:$Z$500,0)),"")</f>
        <v/>
      </c>
      <c r="O21" s="8" t="str">
        <f>IFERROR(INDEX(样本到样信息汇总统计!O$2:O$500,MATCH(20,样本到样信息汇总统计!$Z$2:$Z$500,0)),"")</f>
        <v/>
      </c>
      <c r="P21" s="8" t="str">
        <f>IFERROR(INDEX(样本到样信息汇总统计!P$2:P$500,MATCH(20,样本到样信息汇总统计!$Z$2:$Z$500,0)),"")</f>
        <v/>
      </c>
      <c r="Q21" s="8" t="str">
        <f>IFERROR(INDEX(样本到样信息汇总统计!Q$2:Q$500,MATCH(20,样本到样信息汇总统计!$Z$2:$Z$500,0)),"")</f>
        <v/>
      </c>
      <c r="R21" s="8" t="str">
        <f>IFERROR(INDEX(样本到样信息汇总统计!R$2:R$500,MATCH(20,样本到样信息汇总统计!$Z$2:$Z$500,0)),"")</f>
        <v/>
      </c>
      <c r="S21" s="8" t="str">
        <f>IFERROR(INDEX(样本到样信息汇总统计!S$2:S$500,MATCH(20,样本到样信息汇总统计!$Z$2:$Z$500,0)),"")</f>
        <v/>
      </c>
      <c r="T21" s="8" t="str">
        <f>IFERROR(INDEX(样本到样信息汇总统计!T$2:T$500,MATCH(20,样本到样信息汇总统计!$Z$2:$Z$500,0)),"")</f>
        <v/>
      </c>
      <c r="U21" s="8" t="str">
        <f>IFERROR(INDEX(样本到样信息汇总统计!U$2:U$500,MATCH(20,样本到样信息汇总统计!$Z$2:$Z$500,0)),"")</f>
        <v/>
      </c>
      <c r="V21" s="8" t="str">
        <f>IFERROR(INDEX(样本到样信息汇总统计!V$2:V$500,MATCH(20,样本到样信息汇总统计!$Z$2:$Z$500,0)),"")</f>
        <v/>
      </c>
      <c r="W21" s="8" t="str">
        <f>IFERROR(INDEX(样本到样信息汇总统计!W$2:W$500,MATCH(20,样本到样信息汇总统计!$Z$2:$Z$500,0)),"")</f>
        <v/>
      </c>
    </row>
    <row r="22" ht="14.5" spans="1:23">
      <c r="A22" s="4" t="str">
        <f>IFERROR(INDEX(样本到样信息汇总统计!A$2:A$500,MATCH(21,样本到样信息汇总统计!$Z$2:$Z$500,0)),"")</f>
        <v/>
      </c>
      <c r="B22" s="4" t="str">
        <f>IFERROR(INDEX(样本到样信息汇总统计!B$2:B$500,MATCH(21,样本到样信息汇总统计!$Z$2:$Z$500,0)),"")</f>
        <v/>
      </c>
      <c r="C22" s="4" t="str">
        <f>IFERROR(INDEX(样本到样信息汇总统计!C$2:C$500,MATCH(21,样本到样信息汇总统计!$Z$2:$Z$500,0)),"")</f>
        <v/>
      </c>
      <c r="D22" s="4" t="str">
        <f>IFERROR(INDEX(样本到样信息汇总统计!D$2:D$500,MATCH(21,样本到样信息汇总统计!$Z$2:$Z$500,0)),"")</f>
        <v/>
      </c>
      <c r="E22" s="4" t="str">
        <f>IFERROR(INDEX(样本到样信息汇总统计!E$2:E$500,MATCH(21,样本到样信息汇总统计!$Z$2:$Z$500,0)),"")</f>
        <v/>
      </c>
      <c r="F22" s="4" t="str">
        <f>IFERROR(INDEX(样本到样信息汇总统计!F$2:F$500,MATCH(21,样本到样信息汇总统计!$Z$2:$Z$500,0)),"")</f>
        <v/>
      </c>
      <c r="G22" s="4" t="str">
        <f>IFERROR(INDEX(样本到样信息汇总统计!G$2:G$500,MATCH(21,样本到样信息汇总统计!$Z$2:$Z$500,0)),"")</f>
        <v/>
      </c>
      <c r="H22" s="4" t="str">
        <f>IFERROR(INDEX(样本到样信息汇总统计!H$2:H$500,MATCH(21,样本到样信息汇总统计!$Z$2:$Z$500,0)),"")</f>
        <v/>
      </c>
      <c r="I22" s="4" t="str">
        <f>IFERROR(INDEX(样本到样信息汇总统计!I$2:I$500,MATCH(21,样本到样信息汇总统计!$Z$2:$Z$500,0)),"")</f>
        <v/>
      </c>
      <c r="J22" s="4" t="str">
        <f>IFERROR(INDEX(样本到样信息汇总统计!J$2:J$500,MATCH(21,样本到样信息汇总统计!$Z$2:$Z$500,0)),"")</f>
        <v/>
      </c>
      <c r="K22" s="4" t="str">
        <f>IFERROR(INDEX(样本到样信息汇总统计!K$2:K$500,MATCH(21,样本到样信息汇总统计!$Z$2:$Z$500,0)),"")</f>
        <v/>
      </c>
      <c r="L22" s="4" t="str">
        <f>IFERROR(INDEX(样本到样信息汇总统计!L$2:L$500,MATCH(21,样本到样信息汇总统计!$Z$2:$Z$500,0)),"")</f>
        <v/>
      </c>
      <c r="M22" s="4" t="str">
        <f>IFERROR(INDEX(样本到样信息汇总统计!M$2:M$500,MATCH(21,样本到样信息汇总统计!$Z$2:$Z$500,0)),"")</f>
        <v/>
      </c>
      <c r="N22" s="4" t="str">
        <f>IFERROR(INDEX(样本到样信息汇总统计!N$2:N$500,MATCH(21,样本到样信息汇总统计!$Z$2:$Z$500,0)),"")</f>
        <v/>
      </c>
      <c r="O22" s="4" t="str">
        <f>IFERROR(INDEX(样本到样信息汇总统计!O$2:O$500,MATCH(21,样本到样信息汇总统计!$Z$2:$Z$500,0)),"")</f>
        <v/>
      </c>
      <c r="P22" s="4" t="str">
        <f>IFERROR(INDEX(样本到样信息汇总统计!P$2:P$500,MATCH(21,样本到样信息汇总统计!$Z$2:$Z$500,0)),"")</f>
        <v/>
      </c>
      <c r="Q22" s="4" t="str">
        <f>IFERROR(INDEX(样本到样信息汇总统计!Q$2:Q$500,MATCH(21,样本到样信息汇总统计!$Z$2:$Z$500,0)),"")</f>
        <v/>
      </c>
      <c r="R22" s="4" t="str">
        <f>IFERROR(INDEX(样本到样信息汇总统计!R$2:R$500,MATCH(21,样本到样信息汇总统计!$Z$2:$Z$500,0)),"")</f>
        <v/>
      </c>
      <c r="S22" s="4" t="str">
        <f>IFERROR(INDEX(样本到样信息汇总统计!S$2:S$500,MATCH(21,样本到样信息汇总统计!$Z$2:$Z$500,0)),"")</f>
        <v/>
      </c>
      <c r="T22" s="4" t="str">
        <f>IFERROR(INDEX(样本到样信息汇总统计!T$2:T$500,MATCH(21,样本到样信息汇总统计!$Z$2:$Z$500,0)),"")</f>
        <v/>
      </c>
      <c r="U22" s="4" t="str">
        <f>IFERROR(INDEX(样本到样信息汇总统计!U$2:U$500,MATCH(21,样本到样信息汇总统计!$Z$2:$Z$500,0)),"")</f>
        <v/>
      </c>
      <c r="V22" s="4" t="str">
        <f>IFERROR(INDEX(样本到样信息汇总统计!V$2:V$500,MATCH(21,样本到样信息汇总统计!$Z$2:$Z$500,0)),"")</f>
        <v/>
      </c>
      <c r="W22" s="4" t="str">
        <f>IFERROR(INDEX(样本到样信息汇总统计!W$2:W$500,MATCH(21,样本到样信息汇总统计!$Z$2:$Z$500,0)),"")</f>
        <v/>
      </c>
    </row>
    <row r="23" ht="14.5" spans="1:23">
      <c r="A23" s="8" t="str">
        <f>IFERROR(INDEX(样本到样信息汇总统计!A$2:A$500,MATCH(22,样本到样信息汇总统计!$Z$2:$Z$500,0)),"")</f>
        <v/>
      </c>
      <c r="B23" s="8" t="str">
        <f>IFERROR(INDEX(样本到样信息汇总统计!B$2:B$500,MATCH(22,样本到样信息汇总统计!$Z$2:$Z$500,0)),"")</f>
        <v/>
      </c>
      <c r="C23" s="8" t="str">
        <f>IFERROR(INDEX(样本到样信息汇总统计!C$2:C$500,MATCH(22,样本到样信息汇总统计!$Z$2:$Z$500,0)),"")</f>
        <v/>
      </c>
      <c r="D23" s="8" t="str">
        <f>IFERROR(INDEX(样本到样信息汇总统计!D$2:D$500,MATCH(22,样本到样信息汇总统计!$Z$2:$Z$500,0)),"")</f>
        <v/>
      </c>
      <c r="E23" s="8" t="str">
        <f>IFERROR(INDEX(样本到样信息汇总统计!E$2:E$500,MATCH(22,样本到样信息汇总统计!$Z$2:$Z$500,0)),"")</f>
        <v/>
      </c>
      <c r="F23" s="8" t="str">
        <f>IFERROR(INDEX(样本到样信息汇总统计!F$2:F$500,MATCH(22,样本到样信息汇总统计!$Z$2:$Z$500,0)),"")</f>
        <v/>
      </c>
      <c r="G23" s="8" t="str">
        <f>IFERROR(INDEX(样本到样信息汇总统计!G$2:G$500,MATCH(22,样本到样信息汇总统计!$Z$2:$Z$500,0)),"")</f>
        <v/>
      </c>
      <c r="H23" s="8" t="str">
        <f>IFERROR(INDEX(样本到样信息汇总统计!H$2:H$500,MATCH(22,样本到样信息汇总统计!$Z$2:$Z$500,0)),"")</f>
        <v/>
      </c>
      <c r="I23" s="8" t="str">
        <f>IFERROR(INDEX(样本到样信息汇总统计!I$2:I$500,MATCH(22,样本到样信息汇总统计!$Z$2:$Z$500,0)),"")</f>
        <v/>
      </c>
      <c r="J23" s="8" t="str">
        <f>IFERROR(INDEX(样本到样信息汇总统计!J$2:J$500,MATCH(22,样本到样信息汇总统计!$Z$2:$Z$500,0)),"")</f>
        <v/>
      </c>
      <c r="K23" s="8" t="str">
        <f>IFERROR(INDEX(样本到样信息汇总统计!K$2:K$500,MATCH(22,样本到样信息汇总统计!$Z$2:$Z$500,0)),"")</f>
        <v/>
      </c>
      <c r="L23" s="8" t="str">
        <f>IFERROR(INDEX(样本到样信息汇总统计!L$2:L$500,MATCH(22,样本到样信息汇总统计!$Z$2:$Z$500,0)),"")</f>
        <v/>
      </c>
      <c r="M23" s="8" t="str">
        <f>IFERROR(INDEX(样本到样信息汇总统计!M$2:M$500,MATCH(22,样本到样信息汇总统计!$Z$2:$Z$500,0)),"")</f>
        <v/>
      </c>
      <c r="N23" s="8" t="str">
        <f>IFERROR(INDEX(样本到样信息汇总统计!N$2:N$500,MATCH(22,样本到样信息汇总统计!$Z$2:$Z$500,0)),"")</f>
        <v/>
      </c>
      <c r="O23" s="8" t="str">
        <f>IFERROR(INDEX(样本到样信息汇总统计!O$2:O$500,MATCH(22,样本到样信息汇总统计!$Z$2:$Z$500,0)),"")</f>
        <v/>
      </c>
      <c r="P23" s="8" t="str">
        <f>IFERROR(INDEX(样本到样信息汇总统计!P$2:P$500,MATCH(22,样本到样信息汇总统计!$Z$2:$Z$500,0)),"")</f>
        <v/>
      </c>
      <c r="Q23" s="8" t="str">
        <f>IFERROR(INDEX(样本到样信息汇总统计!Q$2:Q$500,MATCH(22,样本到样信息汇总统计!$Z$2:$Z$500,0)),"")</f>
        <v/>
      </c>
      <c r="R23" s="8" t="str">
        <f>IFERROR(INDEX(样本到样信息汇总统计!R$2:R$500,MATCH(22,样本到样信息汇总统计!$Z$2:$Z$500,0)),"")</f>
        <v/>
      </c>
      <c r="S23" s="8" t="str">
        <f>IFERROR(INDEX(样本到样信息汇总统计!S$2:S$500,MATCH(22,样本到样信息汇总统计!$Z$2:$Z$500,0)),"")</f>
        <v/>
      </c>
      <c r="T23" s="8" t="str">
        <f>IFERROR(INDEX(样本到样信息汇总统计!T$2:T$500,MATCH(22,样本到样信息汇总统计!$Z$2:$Z$500,0)),"")</f>
        <v/>
      </c>
      <c r="U23" s="8" t="str">
        <f>IFERROR(INDEX(样本到样信息汇总统计!U$2:U$500,MATCH(22,样本到样信息汇总统计!$Z$2:$Z$500,0)),"")</f>
        <v/>
      </c>
      <c r="V23" s="8" t="str">
        <f>IFERROR(INDEX(样本到样信息汇总统计!V$2:V$500,MATCH(22,样本到样信息汇总统计!$Z$2:$Z$500,0)),"")</f>
        <v/>
      </c>
      <c r="W23" s="8" t="str">
        <f>IFERROR(INDEX(样本到样信息汇总统计!W$2:W$500,MATCH(22,样本到样信息汇总统计!$Z$2:$Z$500,0)),"")</f>
        <v/>
      </c>
    </row>
    <row r="24" ht="14.5" spans="1:23">
      <c r="A24" s="4" t="str">
        <f>IFERROR(INDEX(样本到样信息汇总统计!A$2:A$500,MATCH(23,样本到样信息汇总统计!$Z$2:$Z$500,0)),"")</f>
        <v/>
      </c>
      <c r="B24" s="4" t="str">
        <f>IFERROR(INDEX(样本到样信息汇总统计!B$2:B$500,MATCH(23,样本到样信息汇总统计!$Z$2:$Z$500,0)),"")</f>
        <v/>
      </c>
      <c r="C24" s="4" t="str">
        <f>IFERROR(INDEX(样本到样信息汇总统计!C$2:C$500,MATCH(23,样本到样信息汇总统计!$Z$2:$Z$500,0)),"")</f>
        <v/>
      </c>
      <c r="D24" s="4" t="str">
        <f>IFERROR(INDEX(样本到样信息汇总统计!D$2:D$500,MATCH(23,样本到样信息汇总统计!$Z$2:$Z$500,0)),"")</f>
        <v/>
      </c>
      <c r="E24" s="4" t="str">
        <f>IFERROR(INDEX(样本到样信息汇总统计!E$2:E$500,MATCH(23,样本到样信息汇总统计!$Z$2:$Z$500,0)),"")</f>
        <v/>
      </c>
      <c r="F24" s="4" t="str">
        <f>IFERROR(INDEX(样本到样信息汇总统计!F$2:F$500,MATCH(23,样本到样信息汇总统计!$Z$2:$Z$500,0)),"")</f>
        <v/>
      </c>
      <c r="G24" s="4" t="str">
        <f>IFERROR(INDEX(样本到样信息汇总统计!G$2:G$500,MATCH(23,样本到样信息汇总统计!$Z$2:$Z$500,0)),"")</f>
        <v/>
      </c>
      <c r="H24" s="4" t="str">
        <f>IFERROR(INDEX(样本到样信息汇总统计!H$2:H$500,MATCH(23,样本到样信息汇总统计!$Z$2:$Z$500,0)),"")</f>
        <v/>
      </c>
      <c r="I24" s="4" t="str">
        <f>IFERROR(INDEX(样本到样信息汇总统计!I$2:I$500,MATCH(23,样本到样信息汇总统计!$Z$2:$Z$500,0)),"")</f>
        <v/>
      </c>
      <c r="J24" s="4" t="str">
        <f>IFERROR(INDEX(样本到样信息汇总统计!J$2:J$500,MATCH(23,样本到样信息汇总统计!$Z$2:$Z$500,0)),"")</f>
        <v/>
      </c>
      <c r="K24" s="4" t="str">
        <f>IFERROR(INDEX(样本到样信息汇总统计!K$2:K$500,MATCH(23,样本到样信息汇总统计!$Z$2:$Z$500,0)),"")</f>
        <v/>
      </c>
      <c r="L24" s="4" t="str">
        <f>IFERROR(INDEX(样本到样信息汇总统计!L$2:L$500,MATCH(23,样本到样信息汇总统计!$Z$2:$Z$500,0)),"")</f>
        <v/>
      </c>
      <c r="M24" s="4" t="str">
        <f>IFERROR(INDEX(样本到样信息汇总统计!M$2:M$500,MATCH(23,样本到样信息汇总统计!$Z$2:$Z$500,0)),"")</f>
        <v/>
      </c>
      <c r="N24" s="4" t="str">
        <f>IFERROR(INDEX(样本到样信息汇总统计!N$2:N$500,MATCH(23,样本到样信息汇总统计!$Z$2:$Z$500,0)),"")</f>
        <v/>
      </c>
      <c r="O24" s="4" t="str">
        <f>IFERROR(INDEX(样本到样信息汇总统计!O$2:O$500,MATCH(23,样本到样信息汇总统计!$Z$2:$Z$500,0)),"")</f>
        <v/>
      </c>
      <c r="P24" s="4" t="str">
        <f>IFERROR(INDEX(样本到样信息汇总统计!P$2:P$500,MATCH(23,样本到样信息汇总统计!$Z$2:$Z$500,0)),"")</f>
        <v/>
      </c>
      <c r="Q24" s="4" t="str">
        <f>IFERROR(INDEX(样本到样信息汇总统计!Q$2:Q$500,MATCH(23,样本到样信息汇总统计!$Z$2:$Z$500,0)),"")</f>
        <v/>
      </c>
      <c r="R24" s="4" t="str">
        <f>IFERROR(INDEX(样本到样信息汇总统计!R$2:R$500,MATCH(23,样本到样信息汇总统计!$Z$2:$Z$500,0)),"")</f>
        <v/>
      </c>
      <c r="S24" s="4" t="str">
        <f>IFERROR(INDEX(样本到样信息汇总统计!S$2:S$500,MATCH(23,样本到样信息汇总统计!$Z$2:$Z$500,0)),"")</f>
        <v/>
      </c>
      <c r="T24" s="4" t="str">
        <f>IFERROR(INDEX(样本到样信息汇总统计!T$2:T$500,MATCH(23,样本到样信息汇总统计!$Z$2:$Z$500,0)),"")</f>
        <v/>
      </c>
      <c r="U24" s="4" t="str">
        <f>IFERROR(INDEX(样本到样信息汇总统计!U$2:U$500,MATCH(23,样本到样信息汇总统计!$Z$2:$Z$500,0)),"")</f>
        <v/>
      </c>
      <c r="V24" s="4" t="str">
        <f>IFERROR(INDEX(样本到样信息汇总统计!V$2:V$500,MATCH(23,样本到样信息汇总统计!$Z$2:$Z$500,0)),"")</f>
        <v/>
      </c>
      <c r="W24" s="4" t="str">
        <f>IFERROR(INDEX(样本到样信息汇总统计!W$2:W$500,MATCH(23,样本到样信息汇总统计!$Z$2:$Z$500,0)),"")</f>
        <v/>
      </c>
    </row>
    <row r="25" ht="14.5" spans="1:23">
      <c r="A25" s="8" t="str">
        <f>IFERROR(INDEX(样本到样信息汇总统计!A$2:A$500,MATCH(24,样本到样信息汇总统计!$Z$2:$Z$500,0)),"")</f>
        <v/>
      </c>
      <c r="B25" s="8" t="str">
        <f>IFERROR(INDEX(样本到样信息汇总统计!B$2:B$500,MATCH(24,样本到样信息汇总统计!$Z$2:$Z$500,0)),"")</f>
        <v/>
      </c>
      <c r="C25" s="8" t="str">
        <f>IFERROR(INDEX(样本到样信息汇总统计!C$2:C$500,MATCH(24,样本到样信息汇总统计!$Z$2:$Z$500,0)),"")</f>
        <v/>
      </c>
      <c r="D25" s="8" t="str">
        <f>IFERROR(INDEX(样本到样信息汇总统计!D$2:D$500,MATCH(24,样本到样信息汇总统计!$Z$2:$Z$500,0)),"")</f>
        <v/>
      </c>
      <c r="E25" s="8" t="str">
        <f>IFERROR(INDEX(样本到样信息汇总统计!E$2:E$500,MATCH(24,样本到样信息汇总统计!$Z$2:$Z$500,0)),"")</f>
        <v/>
      </c>
      <c r="F25" s="8" t="str">
        <f>IFERROR(INDEX(样本到样信息汇总统计!F$2:F$500,MATCH(24,样本到样信息汇总统计!$Z$2:$Z$500,0)),"")</f>
        <v/>
      </c>
      <c r="G25" s="8" t="str">
        <f>IFERROR(INDEX(样本到样信息汇总统计!G$2:G$500,MATCH(24,样本到样信息汇总统计!$Z$2:$Z$500,0)),"")</f>
        <v/>
      </c>
      <c r="H25" s="8" t="str">
        <f>IFERROR(INDEX(样本到样信息汇总统计!H$2:H$500,MATCH(24,样本到样信息汇总统计!$Z$2:$Z$500,0)),"")</f>
        <v/>
      </c>
      <c r="I25" s="8" t="str">
        <f>IFERROR(INDEX(样本到样信息汇总统计!I$2:I$500,MATCH(24,样本到样信息汇总统计!$Z$2:$Z$500,0)),"")</f>
        <v/>
      </c>
      <c r="J25" s="8" t="str">
        <f>IFERROR(INDEX(样本到样信息汇总统计!J$2:J$500,MATCH(24,样本到样信息汇总统计!$Z$2:$Z$500,0)),"")</f>
        <v/>
      </c>
      <c r="K25" s="8" t="str">
        <f>IFERROR(INDEX(样本到样信息汇总统计!K$2:K$500,MATCH(24,样本到样信息汇总统计!$Z$2:$Z$500,0)),"")</f>
        <v/>
      </c>
      <c r="L25" s="8" t="str">
        <f>IFERROR(INDEX(样本到样信息汇总统计!L$2:L$500,MATCH(24,样本到样信息汇总统计!$Z$2:$Z$500,0)),"")</f>
        <v/>
      </c>
      <c r="M25" s="8" t="str">
        <f>IFERROR(INDEX(样本到样信息汇总统计!M$2:M$500,MATCH(24,样本到样信息汇总统计!$Z$2:$Z$500,0)),"")</f>
        <v/>
      </c>
      <c r="N25" s="8" t="str">
        <f>IFERROR(INDEX(样本到样信息汇总统计!N$2:N$500,MATCH(24,样本到样信息汇总统计!$Z$2:$Z$500,0)),"")</f>
        <v/>
      </c>
      <c r="O25" s="8" t="str">
        <f>IFERROR(INDEX(样本到样信息汇总统计!O$2:O$500,MATCH(24,样本到样信息汇总统计!$Z$2:$Z$500,0)),"")</f>
        <v/>
      </c>
      <c r="P25" s="8" t="str">
        <f>IFERROR(INDEX(样本到样信息汇总统计!P$2:P$500,MATCH(24,样本到样信息汇总统计!$Z$2:$Z$500,0)),"")</f>
        <v/>
      </c>
      <c r="Q25" s="8" t="str">
        <f>IFERROR(INDEX(样本到样信息汇总统计!Q$2:Q$500,MATCH(24,样本到样信息汇总统计!$Z$2:$Z$500,0)),"")</f>
        <v/>
      </c>
      <c r="R25" s="8" t="str">
        <f>IFERROR(INDEX(样本到样信息汇总统计!R$2:R$500,MATCH(24,样本到样信息汇总统计!$Z$2:$Z$500,0)),"")</f>
        <v/>
      </c>
      <c r="S25" s="8" t="str">
        <f>IFERROR(INDEX(样本到样信息汇总统计!S$2:S$500,MATCH(24,样本到样信息汇总统计!$Z$2:$Z$500,0)),"")</f>
        <v/>
      </c>
      <c r="T25" s="8" t="str">
        <f>IFERROR(INDEX(样本到样信息汇总统计!T$2:T$500,MATCH(24,样本到样信息汇总统计!$Z$2:$Z$500,0)),"")</f>
        <v/>
      </c>
      <c r="U25" s="8" t="str">
        <f>IFERROR(INDEX(样本到样信息汇总统计!U$2:U$500,MATCH(24,样本到样信息汇总统计!$Z$2:$Z$500,0)),"")</f>
        <v/>
      </c>
      <c r="V25" s="8" t="str">
        <f>IFERROR(INDEX(样本到样信息汇总统计!V$2:V$500,MATCH(24,样本到样信息汇总统计!$Z$2:$Z$500,0)),"")</f>
        <v/>
      </c>
      <c r="W25" s="8" t="str">
        <f>IFERROR(INDEX(样本到样信息汇总统计!W$2:W$500,MATCH(24,样本到样信息汇总统计!$Z$2:$Z$500,0)),"")</f>
        <v/>
      </c>
    </row>
    <row r="26" ht="14.5" spans="1:23">
      <c r="A26" s="4" t="str">
        <f>IFERROR(INDEX(样本到样信息汇总统计!A$2:A$500,MATCH(25,样本到样信息汇总统计!$Z$2:$Z$500,0)),"")</f>
        <v/>
      </c>
      <c r="B26" s="4" t="str">
        <f>IFERROR(INDEX(样本到样信息汇总统计!B$2:B$500,MATCH(25,样本到样信息汇总统计!$Z$2:$Z$500,0)),"")</f>
        <v/>
      </c>
      <c r="C26" s="4" t="str">
        <f>IFERROR(INDEX(样本到样信息汇总统计!C$2:C$500,MATCH(25,样本到样信息汇总统计!$Z$2:$Z$500,0)),"")</f>
        <v/>
      </c>
      <c r="D26" s="4" t="str">
        <f>IFERROR(INDEX(样本到样信息汇总统计!D$2:D$500,MATCH(25,样本到样信息汇总统计!$Z$2:$Z$500,0)),"")</f>
        <v/>
      </c>
      <c r="E26" s="4" t="str">
        <f>IFERROR(INDEX(样本到样信息汇总统计!E$2:E$500,MATCH(25,样本到样信息汇总统计!$Z$2:$Z$500,0)),"")</f>
        <v/>
      </c>
      <c r="F26" s="4" t="str">
        <f>IFERROR(INDEX(样本到样信息汇总统计!F$2:F$500,MATCH(25,样本到样信息汇总统计!$Z$2:$Z$500,0)),"")</f>
        <v/>
      </c>
      <c r="G26" s="4" t="str">
        <f>IFERROR(INDEX(样本到样信息汇总统计!G$2:G$500,MATCH(25,样本到样信息汇总统计!$Z$2:$Z$500,0)),"")</f>
        <v/>
      </c>
      <c r="H26" s="4" t="str">
        <f>IFERROR(INDEX(样本到样信息汇总统计!H$2:H$500,MATCH(25,样本到样信息汇总统计!$Z$2:$Z$500,0)),"")</f>
        <v/>
      </c>
      <c r="I26" s="4" t="str">
        <f>IFERROR(INDEX(样本到样信息汇总统计!I$2:I$500,MATCH(25,样本到样信息汇总统计!$Z$2:$Z$500,0)),"")</f>
        <v/>
      </c>
      <c r="J26" s="4" t="str">
        <f>IFERROR(INDEX(样本到样信息汇总统计!J$2:J$500,MATCH(25,样本到样信息汇总统计!$Z$2:$Z$500,0)),"")</f>
        <v/>
      </c>
      <c r="K26" s="4" t="str">
        <f>IFERROR(INDEX(样本到样信息汇总统计!K$2:K$500,MATCH(25,样本到样信息汇总统计!$Z$2:$Z$500,0)),"")</f>
        <v/>
      </c>
      <c r="L26" s="4" t="str">
        <f>IFERROR(INDEX(样本到样信息汇总统计!L$2:L$500,MATCH(25,样本到样信息汇总统计!$Z$2:$Z$500,0)),"")</f>
        <v/>
      </c>
      <c r="M26" s="4" t="str">
        <f>IFERROR(INDEX(样本到样信息汇总统计!M$2:M$500,MATCH(25,样本到样信息汇总统计!$Z$2:$Z$500,0)),"")</f>
        <v/>
      </c>
      <c r="N26" s="4" t="str">
        <f>IFERROR(INDEX(样本到样信息汇总统计!N$2:N$500,MATCH(25,样本到样信息汇总统计!$Z$2:$Z$500,0)),"")</f>
        <v/>
      </c>
      <c r="O26" s="4" t="str">
        <f>IFERROR(INDEX(样本到样信息汇总统计!O$2:O$500,MATCH(25,样本到样信息汇总统计!$Z$2:$Z$500,0)),"")</f>
        <v/>
      </c>
      <c r="P26" s="4" t="str">
        <f>IFERROR(INDEX(样本到样信息汇总统计!P$2:P$500,MATCH(25,样本到样信息汇总统计!$Z$2:$Z$500,0)),"")</f>
        <v/>
      </c>
      <c r="Q26" s="4" t="str">
        <f>IFERROR(INDEX(样本到样信息汇总统计!Q$2:Q$500,MATCH(25,样本到样信息汇总统计!$Z$2:$Z$500,0)),"")</f>
        <v/>
      </c>
      <c r="R26" s="4" t="str">
        <f>IFERROR(INDEX(样本到样信息汇总统计!R$2:R$500,MATCH(25,样本到样信息汇总统计!$Z$2:$Z$500,0)),"")</f>
        <v/>
      </c>
      <c r="S26" s="4" t="str">
        <f>IFERROR(INDEX(样本到样信息汇总统计!S$2:S$500,MATCH(25,样本到样信息汇总统计!$Z$2:$Z$500,0)),"")</f>
        <v/>
      </c>
      <c r="T26" s="4" t="str">
        <f>IFERROR(INDEX(样本到样信息汇总统计!T$2:T$500,MATCH(25,样本到样信息汇总统计!$Z$2:$Z$500,0)),"")</f>
        <v/>
      </c>
      <c r="U26" s="4" t="str">
        <f>IFERROR(INDEX(样本到样信息汇总统计!U$2:U$500,MATCH(25,样本到样信息汇总统计!$Z$2:$Z$500,0)),"")</f>
        <v/>
      </c>
      <c r="V26" s="4" t="str">
        <f>IFERROR(INDEX(样本到样信息汇总统计!V$2:V$500,MATCH(25,样本到样信息汇总统计!$Z$2:$Z$500,0)),"")</f>
        <v/>
      </c>
      <c r="W26" s="4" t="str">
        <f>IFERROR(INDEX(样本到样信息汇总统计!W$2:W$500,MATCH(25,样本到样信息汇总统计!$Z$2:$Z$500,0)),"")</f>
        <v/>
      </c>
    </row>
    <row r="27" ht="14.5" spans="1:23">
      <c r="A27" s="8" t="str">
        <f>IFERROR(INDEX(样本到样信息汇总统计!A$2:A$500,MATCH(26,样本到样信息汇总统计!$Z$2:$Z$500,0)),"")</f>
        <v/>
      </c>
      <c r="B27" s="8" t="str">
        <f>IFERROR(INDEX(样本到样信息汇总统计!B$2:B$500,MATCH(26,样本到样信息汇总统计!$Z$2:$Z$500,0)),"")</f>
        <v/>
      </c>
      <c r="C27" s="8" t="str">
        <f>IFERROR(INDEX(样本到样信息汇总统计!C$2:C$500,MATCH(26,样本到样信息汇总统计!$Z$2:$Z$500,0)),"")</f>
        <v/>
      </c>
      <c r="D27" s="8" t="str">
        <f>IFERROR(INDEX(样本到样信息汇总统计!D$2:D$500,MATCH(26,样本到样信息汇总统计!$Z$2:$Z$500,0)),"")</f>
        <v/>
      </c>
      <c r="E27" s="8" t="str">
        <f>IFERROR(INDEX(样本到样信息汇总统计!E$2:E$500,MATCH(26,样本到样信息汇总统计!$Z$2:$Z$500,0)),"")</f>
        <v/>
      </c>
      <c r="F27" s="8" t="str">
        <f>IFERROR(INDEX(样本到样信息汇总统计!F$2:F$500,MATCH(26,样本到样信息汇总统计!$Z$2:$Z$500,0)),"")</f>
        <v/>
      </c>
      <c r="G27" s="8" t="str">
        <f>IFERROR(INDEX(样本到样信息汇总统计!G$2:G$500,MATCH(26,样本到样信息汇总统计!$Z$2:$Z$500,0)),"")</f>
        <v/>
      </c>
      <c r="H27" s="8" t="str">
        <f>IFERROR(INDEX(样本到样信息汇总统计!H$2:H$500,MATCH(26,样本到样信息汇总统计!$Z$2:$Z$500,0)),"")</f>
        <v/>
      </c>
      <c r="I27" s="8" t="str">
        <f>IFERROR(INDEX(样本到样信息汇总统计!I$2:I$500,MATCH(26,样本到样信息汇总统计!$Z$2:$Z$500,0)),"")</f>
        <v/>
      </c>
      <c r="J27" s="8" t="str">
        <f>IFERROR(INDEX(样本到样信息汇总统计!J$2:J$500,MATCH(26,样本到样信息汇总统计!$Z$2:$Z$500,0)),"")</f>
        <v/>
      </c>
      <c r="K27" s="8" t="str">
        <f>IFERROR(INDEX(样本到样信息汇总统计!K$2:K$500,MATCH(26,样本到样信息汇总统计!$Z$2:$Z$500,0)),"")</f>
        <v/>
      </c>
      <c r="L27" s="8" t="str">
        <f>IFERROR(INDEX(样本到样信息汇总统计!L$2:L$500,MATCH(26,样本到样信息汇总统计!$Z$2:$Z$500,0)),"")</f>
        <v/>
      </c>
      <c r="M27" s="8" t="str">
        <f>IFERROR(INDEX(样本到样信息汇总统计!M$2:M$500,MATCH(26,样本到样信息汇总统计!$Z$2:$Z$500,0)),"")</f>
        <v/>
      </c>
      <c r="N27" s="8" t="str">
        <f>IFERROR(INDEX(样本到样信息汇总统计!N$2:N$500,MATCH(26,样本到样信息汇总统计!$Z$2:$Z$500,0)),"")</f>
        <v/>
      </c>
      <c r="O27" s="8" t="str">
        <f>IFERROR(INDEX(样本到样信息汇总统计!O$2:O$500,MATCH(26,样本到样信息汇总统计!$Z$2:$Z$500,0)),"")</f>
        <v/>
      </c>
      <c r="P27" s="8" t="str">
        <f>IFERROR(INDEX(样本到样信息汇总统计!P$2:P$500,MATCH(26,样本到样信息汇总统计!$Z$2:$Z$500,0)),"")</f>
        <v/>
      </c>
      <c r="Q27" s="8" t="str">
        <f>IFERROR(INDEX(样本到样信息汇总统计!Q$2:Q$500,MATCH(26,样本到样信息汇总统计!$Z$2:$Z$500,0)),"")</f>
        <v/>
      </c>
      <c r="R27" s="8" t="str">
        <f>IFERROR(INDEX(样本到样信息汇总统计!R$2:R$500,MATCH(26,样本到样信息汇总统计!$Z$2:$Z$500,0)),"")</f>
        <v/>
      </c>
      <c r="S27" s="8" t="str">
        <f>IFERROR(INDEX(样本到样信息汇总统计!S$2:S$500,MATCH(26,样本到样信息汇总统计!$Z$2:$Z$500,0)),"")</f>
        <v/>
      </c>
      <c r="T27" s="8" t="str">
        <f>IFERROR(INDEX(样本到样信息汇总统计!T$2:T$500,MATCH(26,样本到样信息汇总统计!$Z$2:$Z$500,0)),"")</f>
        <v/>
      </c>
      <c r="U27" s="8" t="str">
        <f>IFERROR(INDEX(样本到样信息汇总统计!U$2:U$500,MATCH(26,样本到样信息汇总统计!$Z$2:$Z$500,0)),"")</f>
        <v/>
      </c>
      <c r="V27" s="8" t="str">
        <f>IFERROR(INDEX(样本到样信息汇总统计!V$2:V$500,MATCH(26,样本到样信息汇总统计!$Z$2:$Z$500,0)),"")</f>
        <v/>
      </c>
      <c r="W27" s="8" t="str">
        <f>IFERROR(INDEX(样本到样信息汇总统计!W$2:W$500,MATCH(26,样本到样信息汇总统计!$Z$2:$Z$500,0)),"")</f>
        <v/>
      </c>
    </row>
    <row r="28" ht="14.5" spans="1:23">
      <c r="A28" s="4" t="str">
        <f>IFERROR(INDEX(样本到样信息汇总统计!A$2:A$500,MATCH(27,样本到样信息汇总统计!$Z$2:$Z$500,0)),"")</f>
        <v/>
      </c>
      <c r="B28" s="4" t="str">
        <f>IFERROR(INDEX(样本到样信息汇总统计!B$2:B$500,MATCH(27,样本到样信息汇总统计!$Z$2:$Z$500,0)),"")</f>
        <v/>
      </c>
      <c r="C28" s="4" t="str">
        <f>IFERROR(INDEX(样本到样信息汇总统计!C$2:C$500,MATCH(27,样本到样信息汇总统计!$Z$2:$Z$500,0)),"")</f>
        <v/>
      </c>
      <c r="D28" s="4" t="str">
        <f>IFERROR(INDEX(样本到样信息汇总统计!D$2:D$500,MATCH(27,样本到样信息汇总统计!$Z$2:$Z$500,0)),"")</f>
        <v/>
      </c>
      <c r="E28" s="4" t="str">
        <f>IFERROR(INDEX(样本到样信息汇总统计!E$2:E$500,MATCH(27,样本到样信息汇总统计!$Z$2:$Z$500,0)),"")</f>
        <v/>
      </c>
      <c r="F28" s="4" t="str">
        <f>IFERROR(INDEX(样本到样信息汇总统计!F$2:F$500,MATCH(27,样本到样信息汇总统计!$Z$2:$Z$500,0)),"")</f>
        <v/>
      </c>
      <c r="G28" s="4" t="str">
        <f>IFERROR(INDEX(样本到样信息汇总统计!G$2:G$500,MATCH(27,样本到样信息汇总统计!$Z$2:$Z$500,0)),"")</f>
        <v/>
      </c>
      <c r="H28" s="4" t="str">
        <f>IFERROR(INDEX(样本到样信息汇总统计!H$2:H$500,MATCH(27,样本到样信息汇总统计!$Z$2:$Z$500,0)),"")</f>
        <v/>
      </c>
      <c r="I28" s="4" t="str">
        <f>IFERROR(INDEX(样本到样信息汇总统计!I$2:I$500,MATCH(27,样本到样信息汇总统计!$Z$2:$Z$500,0)),"")</f>
        <v/>
      </c>
      <c r="J28" s="4" t="str">
        <f>IFERROR(INDEX(样本到样信息汇总统计!J$2:J$500,MATCH(27,样本到样信息汇总统计!$Z$2:$Z$500,0)),"")</f>
        <v/>
      </c>
      <c r="K28" s="4" t="str">
        <f>IFERROR(INDEX(样本到样信息汇总统计!K$2:K$500,MATCH(27,样本到样信息汇总统计!$Z$2:$Z$500,0)),"")</f>
        <v/>
      </c>
      <c r="L28" s="4" t="str">
        <f>IFERROR(INDEX(样本到样信息汇总统计!L$2:L$500,MATCH(27,样本到样信息汇总统计!$Z$2:$Z$500,0)),"")</f>
        <v/>
      </c>
      <c r="M28" s="4" t="str">
        <f>IFERROR(INDEX(样本到样信息汇总统计!M$2:M$500,MATCH(27,样本到样信息汇总统计!$Z$2:$Z$500,0)),"")</f>
        <v/>
      </c>
      <c r="N28" s="4" t="str">
        <f>IFERROR(INDEX(样本到样信息汇总统计!N$2:N$500,MATCH(27,样本到样信息汇总统计!$Z$2:$Z$500,0)),"")</f>
        <v/>
      </c>
      <c r="O28" s="4" t="str">
        <f>IFERROR(INDEX(样本到样信息汇总统计!O$2:O$500,MATCH(27,样本到样信息汇总统计!$Z$2:$Z$500,0)),"")</f>
        <v/>
      </c>
      <c r="P28" s="4" t="str">
        <f>IFERROR(INDEX(样本到样信息汇总统计!P$2:P$500,MATCH(27,样本到样信息汇总统计!$Z$2:$Z$500,0)),"")</f>
        <v/>
      </c>
      <c r="Q28" s="4" t="str">
        <f>IFERROR(INDEX(样本到样信息汇总统计!Q$2:Q$500,MATCH(27,样本到样信息汇总统计!$Z$2:$Z$500,0)),"")</f>
        <v/>
      </c>
      <c r="R28" s="4" t="str">
        <f>IFERROR(INDEX(样本到样信息汇总统计!R$2:R$500,MATCH(27,样本到样信息汇总统计!$Z$2:$Z$500,0)),"")</f>
        <v/>
      </c>
      <c r="S28" s="4" t="str">
        <f>IFERROR(INDEX(样本到样信息汇总统计!S$2:S$500,MATCH(27,样本到样信息汇总统计!$Z$2:$Z$500,0)),"")</f>
        <v/>
      </c>
      <c r="T28" s="4" t="str">
        <f>IFERROR(INDEX(样本到样信息汇总统计!T$2:T$500,MATCH(27,样本到样信息汇总统计!$Z$2:$Z$500,0)),"")</f>
        <v/>
      </c>
      <c r="U28" s="4" t="str">
        <f>IFERROR(INDEX(样本到样信息汇总统计!U$2:U$500,MATCH(27,样本到样信息汇总统计!$Z$2:$Z$500,0)),"")</f>
        <v/>
      </c>
      <c r="V28" s="4" t="str">
        <f>IFERROR(INDEX(样本到样信息汇总统计!V$2:V$500,MATCH(27,样本到样信息汇总统计!$Z$2:$Z$500,0)),"")</f>
        <v/>
      </c>
      <c r="W28" s="4" t="str">
        <f>IFERROR(INDEX(样本到样信息汇总统计!W$2:W$500,MATCH(27,样本到样信息汇总统计!$Z$2:$Z$500,0)),"")</f>
        <v/>
      </c>
    </row>
    <row r="29" ht="14.5" spans="1:23">
      <c r="A29" s="8" t="str">
        <f>IFERROR(INDEX(样本到样信息汇总统计!A$2:A$500,MATCH(28,样本到样信息汇总统计!$Z$2:$Z$500,0)),"")</f>
        <v/>
      </c>
      <c r="B29" s="8" t="str">
        <f>IFERROR(INDEX(样本到样信息汇总统计!B$2:B$500,MATCH(28,样本到样信息汇总统计!$Z$2:$Z$500,0)),"")</f>
        <v/>
      </c>
      <c r="C29" s="8" t="str">
        <f>IFERROR(INDEX(样本到样信息汇总统计!C$2:C$500,MATCH(28,样本到样信息汇总统计!$Z$2:$Z$500,0)),"")</f>
        <v/>
      </c>
      <c r="D29" s="8" t="str">
        <f>IFERROR(INDEX(样本到样信息汇总统计!D$2:D$500,MATCH(28,样本到样信息汇总统计!$Z$2:$Z$500,0)),"")</f>
        <v/>
      </c>
      <c r="E29" s="8" t="str">
        <f>IFERROR(INDEX(样本到样信息汇总统计!E$2:E$500,MATCH(28,样本到样信息汇总统计!$Z$2:$Z$500,0)),"")</f>
        <v/>
      </c>
      <c r="F29" s="8" t="str">
        <f>IFERROR(INDEX(样本到样信息汇总统计!F$2:F$500,MATCH(28,样本到样信息汇总统计!$Z$2:$Z$500,0)),"")</f>
        <v/>
      </c>
      <c r="G29" s="8" t="str">
        <f>IFERROR(INDEX(样本到样信息汇总统计!G$2:G$500,MATCH(28,样本到样信息汇总统计!$Z$2:$Z$500,0)),"")</f>
        <v/>
      </c>
      <c r="H29" s="8" t="str">
        <f>IFERROR(INDEX(样本到样信息汇总统计!H$2:H$500,MATCH(28,样本到样信息汇总统计!$Z$2:$Z$500,0)),"")</f>
        <v/>
      </c>
      <c r="I29" s="8" t="str">
        <f>IFERROR(INDEX(样本到样信息汇总统计!I$2:I$500,MATCH(28,样本到样信息汇总统计!$Z$2:$Z$500,0)),"")</f>
        <v/>
      </c>
      <c r="J29" s="8" t="str">
        <f>IFERROR(INDEX(样本到样信息汇总统计!J$2:J$500,MATCH(28,样本到样信息汇总统计!$Z$2:$Z$500,0)),"")</f>
        <v/>
      </c>
      <c r="K29" s="8" t="str">
        <f>IFERROR(INDEX(样本到样信息汇总统计!K$2:K$500,MATCH(28,样本到样信息汇总统计!$Z$2:$Z$500,0)),"")</f>
        <v/>
      </c>
      <c r="L29" s="8" t="str">
        <f>IFERROR(INDEX(样本到样信息汇总统计!L$2:L$500,MATCH(28,样本到样信息汇总统计!$Z$2:$Z$500,0)),"")</f>
        <v/>
      </c>
      <c r="M29" s="8" t="str">
        <f>IFERROR(INDEX(样本到样信息汇总统计!M$2:M$500,MATCH(28,样本到样信息汇总统计!$Z$2:$Z$500,0)),"")</f>
        <v/>
      </c>
      <c r="N29" s="8" t="str">
        <f>IFERROR(INDEX(样本到样信息汇总统计!N$2:N$500,MATCH(28,样本到样信息汇总统计!$Z$2:$Z$500,0)),"")</f>
        <v/>
      </c>
      <c r="O29" s="8" t="str">
        <f>IFERROR(INDEX(样本到样信息汇总统计!O$2:O$500,MATCH(28,样本到样信息汇总统计!$Z$2:$Z$500,0)),"")</f>
        <v/>
      </c>
      <c r="P29" s="8" t="str">
        <f>IFERROR(INDEX(样本到样信息汇总统计!P$2:P$500,MATCH(28,样本到样信息汇总统计!$Z$2:$Z$500,0)),"")</f>
        <v/>
      </c>
      <c r="Q29" s="8" t="str">
        <f>IFERROR(INDEX(样本到样信息汇总统计!Q$2:Q$500,MATCH(28,样本到样信息汇总统计!$Z$2:$Z$500,0)),"")</f>
        <v/>
      </c>
      <c r="R29" s="8" t="str">
        <f>IFERROR(INDEX(样本到样信息汇总统计!R$2:R$500,MATCH(28,样本到样信息汇总统计!$Z$2:$Z$500,0)),"")</f>
        <v/>
      </c>
      <c r="S29" s="8" t="str">
        <f>IFERROR(INDEX(样本到样信息汇总统计!S$2:S$500,MATCH(28,样本到样信息汇总统计!$Z$2:$Z$500,0)),"")</f>
        <v/>
      </c>
      <c r="T29" s="8" t="str">
        <f>IFERROR(INDEX(样本到样信息汇总统计!T$2:T$500,MATCH(28,样本到样信息汇总统计!$Z$2:$Z$500,0)),"")</f>
        <v/>
      </c>
      <c r="U29" s="8" t="str">
        <f>IFERROR(INDEX(样本到样信息汇总统计!U$2:U$500,MATCH(28,样本到样信息汇总统计!$Z$2:$Z$500,0)),"")</f>
        <v/>
      </c>
      <c r="V29" s="8" t="str">
        <f>IFERROR(INDEX(样本到样信息汇总统计!V$2:V$500,MATCH(28,样本到样信息汇总统计!$Z$2:$Z$500,0)),"")</f>
        <v/>
      </c>
      <c r="W29" s="8" t="str">
        <f>IFERROR(INDEX(样本到样信息汇总统计!W$2:W$500,MATCH(28,样本到样信息汇总统计!$Z$2:$Z$500,0)),"")</f>
        <v/>
      </c>
    </row>
    <row r="30" ht="14.5" spans="1:23">
      <c r="A30" s="4" t="str">
        <f>IFERROR(INDEX(样本到样信息汇总统计!A$2:A$500,MATCH(29,样本到样信息汇总统计!$Z$2:$Z$500,0)),"")</f>
        <v/>
      </c>
      <c r="B30" s="4" t="str">
        <f>IFERROR(INDEX(样本到样信息汇总统计!B$2:B$500,MATCH(29,样本到样信息汇总统计!$Z$2:$Z$500,0)),"")</f>
        <v/>
      </c>
      <c r="C30" s="4" t="str">
        <f>IFERROR(INDEX(样本到样信息汇总统计!C$2:C$500,MATCH(29,样本到样信息汇总统计!$Z$2:$Z$500,0)),"")</f>
        <v/>
      </c>
      <c r="D30" s="4" t="str">
        <f>IFERROR(INDEX(样本到样信息汇总统计!D$2:D$500,MATCH(29,样本到样信息汇总统计!$Z$2:$Z$500,0)),"")</f>
        <v/>
      </c>
      <c r="E30" s="4" t="str">
        <f>IFERROR(INDEX(样本到样信息汇总统计!E$2:E$500,MATCH(29,样本到样信息汇总统计!$Z$2:$Z$500,0)),"")</f>
        <v/>
      </c>
      <c r="F30" s="4" t="str">
        <f>IFERROR(INDEX(样本到样信息汇总统计!F$2:F$500,MATCH(29,样本到样信息汇总统计!$Z$2:$Z$500,0)),"")</f>
        <v/>
      </c>
      <c r="G30" s="4" t="str">
        <f>IFERROR(INDEX(样本到样信息汇总统计!G$2:G$500,MATCH(29,样本到样信息汇总统计!$Z$2:$Z$500,0)),"")</f>
        <v/>
      </c>
      <c r="H30" s="4" t="str">
        <f>IFERROR(INDEX(样本到样信息汇总统计!H$2:H$500,MATCH(29,样本到样信息汇总统计!$Z$2:$Z$500,0)),"")</f>
        <v/>
      </c>
      <c r="I30" s="4" t="str">
        <f>IFERROR(INDEX(样本到样信息汇总统计!I$2:I$500,MATCH(29,样本到样信息汇总统计!$Z$2:$Z$500,0)),"")</f>
        <v/>
      </c>
      <c r="J30" s="4" t="str">
        <f>IFERROR(INDEX(样本到样信息汇总统计!J$2:J$500,MATCH(29,样本到样信息汇总统计!$Z$2:$Z$500,0)),"")</f>
        <v/>
      </c>
      <c r="K30" s="4" t="str">
        <f>IFERROR(INDEX(样本到样信息汇总统计!K$2:K$500,MATCH(29,样本到样信息汇总统计!$Z$2:$Z$500,0)),"")</f>
        <v/>
      </c>
      <c r="L30" s="4" t="str">
        <f>IFERROR(INDEX(样本到样信息汇总统计!L$2:L$500,MATCH(29,样本到样信息汇总统计!$Z$2:$Z$500,0)),"")</f>
        <v/>
      </c>
      <c r="M30" s="4" t="str">
        <f>IFERROR(INDEX(样本到样信息汇总统计!M$2:M$500,MATCH(29,样本到样信息汇总统计!$Z$2:$Z$500,0)),"")</f>
        <v/>
      </c>
      <c r="N30" s="4" t="str">
        <f>IFERROR(INDEX(样本到样信息汇总统计!N$2:N$500,MATCH(29,样本到样信息汇总统计!$Z$2:$Z$500,0)),"")</f>
        <v/>
      </c>
      <c r="O30" s="4" t="str">
        <f>IFERROR(INDEX(样本到样信息汇总统计!O$2:O$500,MATCH(29,样本到样信息汇总统计!$Z$2:$Z$500,0)),"")</f>
        <v/>
      </c>
      <c r="P30" s="4" t="str">
        <f>IFERROR(INDEX(样本到样信息汇总统计!P$2:P$500,MATCH(29,样本到样信息汇总统计!$Z$2:$Z$500,0)),"")</f>
        <v/>
      </c>
      <c r="Q30" s="4" t="str">
        <f>IFERROR(INDEX(样本到样信息汇总统计!Q$2:Q$500,MATCH(29,样本到样信息汇总统计!$Z$2:$Z$500,0)),"")</f>
        <v/>
      </c>
      <c r="R30" s="4" t="str">
        <f>IFERROR(INDEX(样本到样信息汇总统计!R$2:R$500,MATCH(29,样本到样信息汇总统计!$Z$2:$Z$500,0)),"")</f>
        <v/>
      </c>
      <c r="S30" s="4" t="str">
        <f>IFERROR(INDEX(样本到样信息汇总统计!S$2:S$500,MATCH(29,样本到样信息汇总统计!$Z$2:$Z$500,0)),"")</f>
        <v/>
      </c>
      <c r="T30" s="4" t="str">
        <f>IFERROR(INDEX(样本到样信息汇总统计!T$2:T$500,MATCH(29,样本到样信息汇总统计!$Z$2:$Z$500,0)),"")</f>
        <v/>
      </c>
      <c r="U30" s="4" t="str">
        <f>IFERROR(INDEX(样本到样信息汇总统计!U$2:U$500,MATCH(29,样本到样信息汇总统计!$Z$2:$Z$500,0)),"")</f>
        <v/>
      </c>
      <c r="V30" s="4" t="str">
        <f>IFERROR(INDEX(样本到样信息汇总统计!V$2:V$500,MATCH(29,样本到样信息汇总统计!$Z$2:$Z$500,0)),"")</f>
        <v/>
      </c>
      <c r="W30" s="4" t="str">
        <f>IFERROR(INDEX(样本到样信息汇总统计!W$2:W$500,MATCH(29,样本到样信息汇总统计!$Z$2:$Z$500,0)),"")</f>
        <v/>
      </c>
    </row>
    <row r="31" ht="14.5" spans="1:23">
      <c r="A31" s="8" t="str">
        <f>IFERROR(INDEX(样本到样信息汇总统计!A$2:A$500,MATCH(30,样本到样信息汇总统计!$Z$2:$Z$500,0)),"")</f>
        <v/>
      </c>
      <c r="B31" s="8" t="str">
        <f>IFERROR(INDEX(样本到样信息汇总统计!B$2:B$500,MATCH(30,样本到样信息汇总统计!$Z$2:$Z$500,0)),"")</f>
        <v/>
      </c>
      <c r="C31" s="8" t="str">
        <f>IFERROR(INDEX(样本到样信息汇总统计!C$2:C$500,MATCH(30,样本到样信息汇总统计!$Z$2:$Z$500,0)),"")</f>
        <v/>
      </c>
      <c r="D31" s="8" t="str">
        <f>IFERROR(INDEX(样本到样信息汇总统计!D$2:D$500,MATCH(30,样本到样信息汇总统计!$Z$2:$Z$500,0)),"")</f>
        <v/>
      </c>
      <c r="E31" s="8" t="str">
        <f>IFERROR(INDEX(样本到样信息汇总统计!E$2:E$500,MATCH(30,样本到样信息汇总统计!$Z$2:$Z$500,0)),"")</f>
        <v/>
      </c>
      <c r="F31" s="8" t="str">
        <f>IFERROR(INDEX(样本到样信息汇总统计!F$2:F$500,MATCH(30,样本到样信息汇总统计!$Z$2:$Z$500,0)),"")</f>
        <v/>
      </c>
      <c r="G31" s="8" t="str">
        <f>IFERROR(INDEX(样本到样信息汇总统计!G$2:G$500,MATCH(30,样本到样信息汇总统计!$Z$2:$Z$500,0)),"")</f>
        <v/>
      </c>
      <c r="H31" s="8" t="str">
        <f>IFERROR(INDEX(样本到样信息汇总统计!H$2:H$500,MATCH(30,样本到样信息汇总统计!$Z$2:$Z$500,0)),"")</f>
        <v/>
      </c>
      <c r="I31" s="8" t="str">
        <f>IFERROR(INDEX(样本到样信息汇总统计!I$2:I$500,MATCH(30,样本到样信息汇总统计!$Z$2:$Z$500,0)),"")</f>
        <v/>
      </c>
      <c r="J31" s="8" t="str">
        <f>IFERROR(INDEX(样本到样信息汇总统计!J$2:J$500,MATCH(30,样本到样信息汇总统计!$Z$2:$Z$500,0)),"")</f>
        <v/>
      </c>
      <c r="K31" s="8" t="str">
        <f>IFERROR(INDEX(样本到样信息汇总统计!K$2:K$500,MATCH(30,样本到样信息汇总统计!$Z$2:$Z$500,0)),"")</f>
        <v/>
      </c>
      <c r="L31" s="8" t="str">
        <f>IFERROR(INDEX(样本到样信息汇总统计!L$2:L$500,MATCH(30,样本到样信息汇总统计!$Z$2:$Z$500,0)),"")</f>
        <v/>
      </c>
      <c r="M31" s="8" t="str">
        <f>IFERROR(INDEX(样本到样信息汇总统计!M$2:M$500,MATCH(30,样本到样信息汇总统计!$Z$2:$Z$500,0)),"")</f>
        <v/>
      </c>
      <c r="N31" s="8" t="str">
        <f>IFERROR(INDEX(样本到样信息汇总统计!N$2:N$500,MATCH(30,样本到样信息汇总统计!$Z$2:$Z$500,0)),"")</f>
        <v/>
      </c>
      <c r="O31" s="8" t="str">
        <f>IFERROR(INDEX(样本到样信息汇总统计!O$2:O$500,MATCH(30,样本到样信息汇总统计!$Z$2:$Z$500,0)),"")</f>
        <v/>
      </c>
      <c r="P31" s="8" t="str">
        <f>IFERROR(INDEX(样本到样信息汇总统计!P$2:P$500,MATCH(30,样本到样信息汇总统计!$Z$2:$Z$500,0)),"")</f>
        <v/>
      </c>
      <c r="Q31" s="8" t="str">
        <f>IFERROR(INDEX(样本到样信息汇总统计!Q$2:Q$500,MATCH(30,样本到样信息汇总统计!$Z$2:$Z$500,0)),"")</f>
        <v/>
      </c>
      <c r="R31" s="8" t="str">
        <f>IFERROR(INDEX(样本到样信息汇总统计!R$2:R$500,MATCH(30,样本到样信息汇总统计!$Z$2:$Z$500,0)),"")</f>
        <v/>
      </c>
      <c r="S31" s="8" t="str">
        <f>IFERROR(INDEX(样本到样信息汇总统计!S$2:S$500,MATCH(30,样本到样信息汇总统计!$Z$2:$Z$500,0)),"")</f>
        <v/>
      </c>
      <c r="T31" s="8" t="str">
        <f>IFERROR(INDEX(样本到样信息汇总统计!T$2:T$500,MATCH(30,样本到样信息汇总统计!$Z$2:$Z$500,0)),"")</f>
        <v/>
      </c>
      <c r="U31" s="8" t="str">
        <f>IFERROR(INDEX(样本到样信息汇总统计!U$2:U$500,MATCH(30,样本到样信息汇总统计!$Z$2:$Z$500,0)),"")</f>
        <v/>
      </c>
      <c r="V31" s="8" t="str">
        <f>IFERROR(INDEX(样本到样信息汇总统计!V$2:V$500,MATCH(30,样本到样信息汇总统计!$Z$2:$Z$500,0)),"")</f>
        <v/>
      </c>
      <c r="W31" s="8" t="str">
        <f>IFERROR(INDEX(样本到样信息汇总统计!W$2:W$500,MATCH(30,样本到样信息汇总统计!$Z$2:$Z$500,0)),"")</f>
        <v/>
      </c>
    </row>
    <row r="32" ht="14.5" spans="1:23">
      <c r="A32" s="4" t="str">
        <f>IFERROR(INDEX(样本到样信息汇总统计!A$2:A$500,MATCH(31,样本到样信息汇总统计!$Z$2:$Z$500,0)),"")</f>
        <v/>
      </c>
      <c r="B32" s="4" t="str">
        <f>IFERROR(INDEX(样本到样信息汇总统计!B$2:B$500,MATCH(31,样本到样信息汇总统计!$Z$2:$Z$500,0)),"")</f>
        <v/>
      </c>
      <c r="C32" s="4" t="str">
        <f>IFERROR(INDEX(样本到样信息汇总统计!C$2:C$500,MATCH(31,样本到样信息汇总统计!$Z$2:$Z$500,0)),"")</f>
        <v/>
      </c>
      <c r="D32" s="4" t="str">
        <f>IFERROR(INDEX(样本到样信息汇总统计!D$2:D$500,MATCH(31,样本到样信息汇总统计!$Z$2:$Z$500,0)),"")</f>
        <v/>
      </c>
      <c r="E32" s="4" t="str">
        <f>IFERROR(INDEX(样本到样信息汇总统计!E$2:E$500,MATCH(31,样本到样信息汇总统计!$Z$2:$Z$500,0)),"")</f>
        <v/>
      </c>
      <c r="F32" s="4" t="str">
        <f>IFERROR(INDEX(样本到样信息汇总统计!F$2:F$500,MATCH(31,样本到样信息汇总统计!$Z$2:$Z$500,0)),"")</f>
        <v/>
      </c>
      <c r="G32" s="4" t="str">
        <f>IFERROR(INDEX(样本到样信息汇总统计!G$2:G$500,MATCH(31,样本到样信息汇总统计!$Z$2:$Z$500,0)),"")</f>
        <v/>
      </c>
      <c r="H32" s="4" t="str">
        <f>IFERROR(INDEX(样本到样信息汇总统计!H$2:H$500,MATCH(31,样本到样信息汇总统计!$Z$2:$Z$500,0)),"")</f>
        <v/>
      </c>
      <c r="I32" s="4" t="str">
        <f>IFERROR(INDEX(样本到样信息汇总统计!I$2:I$500,MATCH(31,样本到样信息汇总统计!$Z$2:$Z$500,0)),"")</f>
        <v/>
      </c>
      <c r="J32" s="4" t="str">
        <f>IFERROR(INDEX(样本到样信息汇总统计!J$2:J$500,MATCH(31,样本到样信息汇总统计!$Z$2:$Z$500,0)),"")</f>
        <v/>
      </c>
      <c r="K32" s="4" t="str">
        <f>IFERROR(INDEX(样本到样信息汇总统计!K$2:K$500,MATCH(31,样本到样信息汇总统计!$Z$2:$Z$500,0)),"")</f>
        <v/>
      </c>
      <c r="L32" s="4" t="str">
        <f>IFERROR(INDEX(样本到样信息汇总统计!L$2:L$500,MATCH(31,样本到样信息汇总统计!$Z$2:$Z$500,0)),"")</f>
        <v/>
      </c>
      <c r="M32" s="4" t="str">
        <f>IFERROR(INDEX(样本到样信息汇总统计!M$2:M$500,MATCH(31,样本到样信息汇总统计!$Z$2:$Z$500,0)),"")</f>
        <v/>
      </c>
      <c r="N32" s="4" t="str">
        <f>IFERROR(INDEX(样本到样信息汇总统计!N$2:N$500,MATCH(31,样本到样信息汇总统计!$Z$2:$Z$500,0)),"")</f>
        <v/>
      </c>
      <c r="O32" s="4" t="str">
        <f>IFERROR(INDEX(样本到样信息汇总统计!O$2:O$500,MATCH(31,样本到样信息汇总统计!$Z$2:$Z$500,0)),"")</f>
        <v/>
      </c>
      <c r="P32" s="4" t="str">
        <f>IFERROR(INDEX(样本到样信息汇总统计!P$2:P$500,MATCH(31,样本到样信息汇总统计!$Z$2:$Z$500,0)),"")</f>
        <v/>
      </c>
      <c r="Q32" s="4" t="str">
        <f>IFERROR(INDEX(样本到样信息汇总统计!Q$2:Q$500,MATCH(31,样本到样信息汇总统计!$Z$2:$Z$500,0)),"")</f>
        <v/>
      </c>
      <c r="R32" s="4" t="str">
        <f>IFERROR(INDEX(样本到样信息汇总统计!R$2:R$500,MATCH(31,样本到样信息汇总统计!$Z$2:$Z$500,0)),"")</f>
        <v/>
      </c>
      <c r="S32" s="4" t="str">
        <f>IFERROR(INDEX(样本到样信息汇总统计!S$2:S$500,MATCH(31,样本到样信息汇总统计!$Z$2:$Z$500,0)),"")</f>
        <v/>
      </c>
      <c r="T32" s="4" t="str">
        <f>IFERROR(INDEX(样本到样信息汇总统计!T$2:T$500,MATCH(31,样本到样信息汇总统计!$Z$2:$Z$500,0)),"")</f>
        <v/>
      </c>
      <c r="U32" s="4" t="str">
        <f>IFERROR(INDEX(样本到样信息汇总统计!U$2:U$500,MATCH(31,样本到样信息汇总统计!$Z$2:$Z$500,0)),"")</f>
        <v/>
      </c>
      <c r="V32" s="4" t="str">
        <f>IFERROR(INDEX(样本到样信息汇总统计!V$2:V$500,MATCH(31,样本到样信息汇总统计!$Z$2:$Z$500,0)),"")</f>
        <v/>
      </c>
      <c r="W32" s="4" t="str">
        <f>IFERROR(INDEX(样本到样信息汇总统计!W$2:W$500,MATCH(31,样本到样信息汇总统计!$Z$2:$Z$500,0)),"")</f>
        <v/>
      </c>
    </row>
    <row r="33" ht="14.5" spans="1:23">
      <c r="A33" s="8" t="str">
        <f>IFERROR(INDEX(样本到样信息汇总统计!A$2:A$500,MATCH(32,样本到样信息汇总统计!$Z$2:$Z$500,0)),"")</f>
        <v/>
      </c>
      <c r="B33" s="8" t="str">
        <f>IFERROR(INDEX(样本到样信息汇总统计!B$2:B$500,MATCH(32,样本到样信息汇总统计!$Z$2:$Z$500,0)),"")</f>
        <v/>
      </c>
      <c r="C33" s="8" t="str">
        <f>IFERROR(INDEX(样本到样信息汇总统计!C$2:C$500,MATCH(32,样本到样信息汇总统计!$Z$2:$Z$500,0)),"")</f>
        <v/>
      </c>
      <c r="D33" s="8" t="str">
        <f>IFERROR(INDEX(样本到样信息汇总统计!D$2:D$500,MATCH(32,样本到样信息汇总统计!$Z$2:$Z$500,0)),"")</f>
        <v/>
      </c>
      <c r="E33" s="8" t="str">
        <f>IFERROR(INDEX(样本到样信息汇总统计!E$2:E$500,MATCH(32,样本到样信息汇总统计!$Z$2:$Z$500,0)),"")</f>
        <v/>
      </c>
      <c r="F33" s="8" t="str">
        <f>IFERROR(INDEX(样本到样信息汇总统计!F$2:F$500,MATCH(32,样本到样信息汇总统计!$Z$2:$Z$500,0)),"")</f>
        <v/>
      </c>
      <c r="G33" s="8" t="str">
        <f>IFERROR(INDEX(样本到样信息汇总统计!G$2:G$500,MATCH(32,样本到样信息汇总统计!$Z$2:$Z$500,0)),"")</f>
        <v/>
      </c>
      <c r="H33" s="8" t="str">
        <f>IFERROR(INDEX(样本到样信息汇总统计!H$2:H$500,MATCH(32,样本到样信息汇总统计!$Z$2:$Z$500,0)),"")</f>
        <v/>
      </c>
      <c r="I33" s="8" t="str">
        <f>IFERROR(INDEX(样本到样信息汇总统计!I$2:I$500,MATCH(32,样本到样信息汇总统计!$Z$2:$Z$500,0)),"")</f>
        <v/>
      </c>
      <c r="J33" s="8" t="str">
        <f>IFERROR(INDEX(样本到样信息汇总统计!J$2:J$500,MATCH(32,样本到样信息汇总统计!$Z$2:$Z$500,0)),"")</f>
        <v/>
      </c>
      <c r="K33" s="8" t="str">
        <f>IFERROR(INDEX(样本到样信息汇总统计!K$2:K$500,MATCH(32,样本到样信息汇总统计!$Z$2:$Z$500,0)),"")</f>
        <v/>
      </c>
      <c r="L33" s="8" t="str">
        <f>IFERROR(INDEX(样本到样信息汇总统计!L$2:L$500,MATCH(32,样本到样信息汇总统计!$Z$2:$Z$500,0)),"")</f>
        <v/>
      </c>
      <c r="M33" s="8" t="str">
        <f>IFERROR(INDEX(样本到样信息汇总统计!M$2:M$500,MATCH(32,样本到样信息汇总统计!$Z$2:$Z$500,0)),"")</f>
        <v/>
      </c>
      <c r="N33" s="8" t="str">
        <f>IFERROR(INDEX(样本到样信息汇总统计!N$2:N$500,MATCH(32,样本到样信息汇总统计!$Z$2:$Z$500,0)),"")</f>
        <v/>
      </c>
      <c r="O33" s="8" t="str">
        <f>IFERROR(INDEX(样本到样信息汇总统计!O$2:O$500,MATCH(32,样本到样信息汇总统计!$Z$2:$Z$500,0)),"")</f>
        <v/>
      </c>
      <c r="P33" s="8" t="str">
        <f>IFERROR(INDEX(样本到样信息汇总统计!P$2:P$500,MATCH(32,样本到样信息汇总统计!$Z$2:$Z$500,0)),"")</f>
        <v/>
      </c>
      <c r="Q33" s="8" t="str">
        <f>IFERROR(INDEX(样本到样信息汇总统计!Q$2:Q$500,MATCH(32,样本到样信息汇总统计!$Z$2:$Z$500,0)),"")</f>
        <v/>
      </c>
      <c r="R33" s="8" t="str">
        <f>IFERROR(INDEX(样本到样信息汇总统计!R$2:R$500,MATCH(32,样本到样信息汇总统计!$Z$2:$Z$500,0)),"")</f>
        <v/>
      </c>
      <c r="S33" s="8" t="str">
        <f>IFERROR(INDEX(样本到样信息汇总统计!S$2:S$500,MATCH(32,样本到样信息汇总统计!$Z$2:$Z$500,0)),"")</f>
        <v/>
      </c>
      <c r="T33" s="8" t="str">
        <f>IFERROR(INDEX(样本到样信息汇总统计!T$2:T$500,MATCH(32,样本到样信息汇总统计!$Z$2:$Z$500,0)),"")</f>
        <v/>
      </c>
      <c r="U33" s="8" t="str">
        <f>IFERROR(INDEX(样本到样信息汇总统计!U$2:U$500,MATCH(32,样本到样信息汇总统计!$Z$2:$Z$500,0)),"")</f>
        <v/>
      </c>
      <c r="V33" s="8" t="str">
        <f>IFERROR(INDEX(样本到样信息汇总统计!V$2:V$500,MATCH(32,样本到样信息汇总统计!$Z$2:$Z$500,0)),"")</f>
        <v/>
      </c>
      <c r="W33" s="8" t="str">
        <f>IFERROR(INDEX(样本到样信息汇总统计!W$2:W$500,MATCH(32,样本到样信息汇总统计!$Z$2:$Z$500,0)),"")</f>
        <v/>
      </c>
    </row>
    <row r="34" ht="14.5" spans="1:23">
      <c r="A34" s="4" t="str">
        <f>IFERROR(INDEX(样本到样信息汇总统计!A$2:A$500,MATCH(33,样本到样信息汇总统计!$Z$2:$Z$500,0)),"")</f>
        <v/>
      </c>
      <c r="B34" s="4" t="str">
        <f>IFERROR(INDEX(样本到样信息汇总统计!B$2:B$500,MATCH(33,样本到样信息汇总统计!$Z$2:$Z$500,0)),"")</f>
        <v/>
      </c>
      <c r="C34" s="4" t="str">
        <f>IFERROR(INDEX(样本到样信息汇总统计!C$2:C$500,MATCH(33,样本到样信息汇总统计!$Z$2:$Z$500,0)),"")</f>
        <v/>
      </c>
      <c r="D34" s="4" t="str">
        <f>IFERROR(INDEX(样本到样信息汇总统计!D$2:D$500,MATCH(33,样本到样信息汇总统计!$Z$2:$Z$500,0)),"")</f>
        <v/>
      </c>
      <c r="E34" s="4" t="str">
        <f>IFERROR(INDEX(样本到样信息汇总统计!E$2:E$500,MATCH(33,样本到样信息汇总统计!$Z$2:$Z$500,0)),"")</f>
        <v/>
      </c>
      <c r="F34" s="4" t="str">
        <f>IFERROR(INDEX(样本到样信息汇总统计!F$2:F$500,MATCH(33,样本到样信息汇总统计!$Z$2:$Z$500,0)),"")</f>
        <v/>
      </c>
      <c r="G34" s="4" t="str">
        <f>IFERROR(INDEX(样本到样信息汇总统计!G$2:G$500,MATCH(33,样本到样信息汇总统计!$Z$2:$Z$500,0)),"")</f>
        <v/>
      </c>
      <c r="H34" s="4" t="str">
        <f>IFERROR(INDEX(样本到样信息汇总统计!H$2:H$500,MATCH(33,样本到样信息汇总统计!$Z$2:$Z$500,0)),"")</f>
        <v/>
      </c>
      <c r="I34" s="4" t="str">
        <f>IFERROR(INDEX(样本到样信息汇总统计!I$2:I$500,MATCH(33,样本到样信息汇总统计!$Z$2:$Z$500,0)),"")</f>
        <v/>
      </c>
      <c r="J34" s="4" t="str">
        <f>IFERROR(INDEX(样本到样信息汇总统计!J$2:J$500,MATCH(33,样本到样信息汇总统计!$Z$2:$Z$500,0)),"")</f>
        <v/>
      </c>
      <c r="K34" s="4" t="str">
        <f>IFERROR(INDEX(样本到样信息汇总统计!K$2:K$500,MATCH(33,样本到样信息汇总统计!$Z$2:$Z$500,0)),"")</f>
        <v/>
      </c>
      <c r="L34" s="4" t="str">
        <f>IFERROR(INDEX(样本到样信息汇总统计!L$2:L$500,MATCH(33,样本到样信息汇总统计!$Z$2:$Z$500,0)),"")</f>
        <v/>
      </c>
      <c r="M34" s="4" t="str">
        <f>IFERROR(INDEX(样本到样信息汇总统计!M$2:M$500,MATCH(33,样本到样信息汇总统计!$Z$2:$Z$500,0)),"")</f>
        <v/>
      </c>
      <c r="N34" s="4" t="str">
        <f>IFERROR(INDEX(样本到样信息汇总统计!N$2:N$500,MATCH(33,样本到样信息汇总统计!$Z$2:$Z$500,0)),"")</f>
        <v/>
      </c>
      <c r="O34" s="4" t="str">
        <f>IFERROR(INDEX(样本到样信息汇总统计!O$2:O$500,MATCH(33,样本到样信息汇总统计!$Z$2:$Z$500,0)),"")</f>
        <v/>
      </c>
      <c r="P34" s="4" t="str">
        <f>IFERROR(INDEX(样本到样信息汇总统计!P$2:P$500,MATCH(33,样本到样信息汇总统计!$Z$2:$Z$500,0)),"")</f>
        <v/>
      </c>
      <c r="Q34" s="4" t="str">
        <f>IFERROR(INDEX(样本到样信息汇总统计!Q$2:Q$500,MATCH(33,样本到样信息汇总统计!$Z$2:$Z$500,0)),"")</f>
        <v/>
      </c>
      <c r="R34" s="4" t="str">
        <f>IFERROR(INDEX(样本到样信息汇总统计!R$2:R$500,MATCH(33,样本到样信息汇总统计!$Z$2:$Z$500,0)),"")</f>
        <v/>
      </c>
      <c r="S34" s="4" t="str">
        <f>IFERROR(INDEX(样本到样信息汇总统计!S$2:S$500,MATCH(33,样本到样信息汇总统计!$Z$2:$Z$500,0)),"")</f>
        <v/>
      </c>
      <c r="T34" s="4" t="str">
        <f>IFERROR(INDEX(样本到样信息汇总统计!T$2:T$500,MATCH(33,样本到样信息汇总统计!$Z$2:$Z$500,0)),"")</f>
        <v/>
      </c>
      <c r="U34" s="4" t="str">
        <f>IFERROR(INDEX(样本到样信息汇总统计!U$2:U$500,MATCH(33,样本到样信息汇总统计!$Z$2:$Z$500,0)),"")</f>
        <v/>
      </c>
      <c r="V34" s="4" t="str">
        <f>IFERROR(INDEX(样本到样信息汇总统计!V$2:V$500,MATCH(33,样本到样信息汇总统计!$Z$2:$Z$500,0)),"")</f>
        <v/>
      </c>
      <c r="W34" s="4" t="str">
        <f>IFERROR(INDEX(样本到样信息汇总统计!W$2:W$500,MATCH(33,样本到样信息汇总统计!$Z$2:$Z$500,0)),"")</f>
        <v/>
      </c>
    </row>
    <row r="35" ht="14.5" spans="1:23">
      <c r="A35" s="8" t="str">
        <f>IFERROR(INDEX(样本到样信息汇总统计!A$2:A$500,MATCH(34,样本到样信息汇总统计!$Z$2:$Z$500,0)),"")</f>
        <v/>
      </c>
      <c r="B35" s="8" t="str">
        <f>IFERROR(INDEX(样本到样信息汇总统计!B$2:B$500,MATCH(34,样本到样信息汇总统计!$Z$2:$Z$500,0)),"")</f>
        <v/>
      </c>
      <c r="C35" s="8" t="str">
        <f>IFERROR(INDEX(样本到样信息汇总统计!C$2:C$500,MATCH(34,样本到样信息汇总统计!$Z$2:$Z$500,0)),"")</f>
        <v/>
      </c>
      <c r="D35" s="8" t="str">
        <f>IFERROR(INDEX(样本到样信息汇总统计!D$2:D$500,MATCH(34,样本到样信息汇总统计!$Z$2:$Z$500,0)),"")</f>
        <v/>
      </c>
      <c r="E35" s="8" t="str">
        <f>IFERROR(INDEX(样本到样信息汇总统计!E$2:E$500,MATCH(34,样本到样信息汇总统计!$Z$2:$Z$500,0)),"")</f>
        <v/>
      </c>
      <c r="F35" s="8" t="str">
        <f>IFERROR(INDEX(样本到样信息汇总统计!F$2:F$500,MATCH(34,样本到样信息汇总统计!$Z$2:$Z$500,0)),"")</f>
        <v/>
      </c>
      <c r="G35" s="8" t="str">
        <f>IFERROR(INDEX(样本到样信息汇总统计!G$2:G$500,MATCH(34,样本到样信息汇总统计!$Z$2:$Z$500,0)),"")</f>
        <v/>
      </c>
      <c r="H35" s="8" t="str">
        <f>IFERROR(INDEX(样本到样信息汇总统计!H$2:H$500,MATCH(34,样本到样信息汇总统计!$Z$2:$Z$500,0)),"")</f>
        <v/>
      </c>
      <c r="I35" s="8" t="str">
        <f>IFERROR(INDEX(样本到样信息汇总统计!I$2:I$500,MATCH(34,样本到样信息汇总统计!$Z$2:$Z$500,0)),"")</f>
        <v/>
      </c>
      <c r="J35" s="8" t="str">
        <f>IFERROR(INDEX(样本到样信息汇总统计!J$2:J$500,MATCH(34,样本到样信息汇总统计!$Z$2:$Z$500,0)),"")</f>
        <v/>
      </c>
      <c r="K35" s="8" t="str">
        <f>IFERROR(INDEX(样本到样信息汇总统计!K$2:K$500,MATCH(34,样本到样信息汇总统计!$Z$2:$Z$500,0)),"")</f>
        <v/>
      </c>
      <c r="L35" s="8" t="str">
        <f>IFERROR(INDEX(样本到样信息汇总统计!L$2:L$500,MATCH(34,样本到样信息汇总统计!$Z$2:$Z$500,0)),"")</f>
        <v/>
      </c>
      <c r="M35" s="8" t="str">
        <f>IFERROR(INDEX(样本到样信息汇总统计!M$2:M$500,MATCH(34,样本到样信息汇总统计!$Z$2:$Z$500,0)),"")</f>
        <v/>
      </c>
      <c r="N35" s="8" t="str">
        <f>IFERROR(INDEX(样本到样信息汇总统计!N$2:N$500,MATCH(34,样本到样信息汇总统计!$Z$2:$Z$500,0)),"")</f>
        <v/>
      </c>
      <c r="O35" s="8" t="str">
        <f>IFERROR(INDEX(样本到样信息汇总统计!O$2:O$500,MATCH(34,样本到样信息汇总统计!$Z$2:$Z$500,0)),"")</f>
        <v/>
      </c>
      <c r="P35" s="8" t="str">
        <f>IFERROR(INDEX(样本到样信息汇总统计!P$2:P$500,MATCH(34,样本到样信息汇总统计!$Z$2:$Z$500,0)),"")</f>
        <v/>
      </c>
      <c r="Q35" s="8" t="str">
        <f>IFERROR(INDEX(样本到样信息汇总统计!Q$2:Q$500,MATCH(34,样本到样信息汇总统计!$Z$2:$Z$500,0)),"")</f>
        <v/>
      </c>
      <c r="R35" s="8" t="str">
        <f>IFERROR(INDEX(样本到样信息汇总统计!R$2:R$500,MATCH(34,样本到样信息汇总统计!$Z$2:$Z$500,0)),"")</f>
        <v/>
      </c>
      <c r="S35" s="8" t="str">
        <f>IFERROR(INDEX(样本到样信息汇总统计!S$2:S$500,MATCH(34,样本到样信息汇总统计!$Z$2:$Z$500,0)),"")</f>
        <v/>
      </c>
      <c r="T35" s="8" t="str">
        <f>IFERROR(INDEX(样本到样信息汇总统计!T$2:T$500,MATCH(34,样本到样信息汇总统计!$Z$2:$Z$500,0)),"")</f>
        <v/>
      </c>
      <c r="U35" s="8" t="str">
        <f>IFERROR(INDEX(样本到样信息汇总统计!U$2:U$500,MATCH(34,样本到样信息汇总统计!$Z$2:$Z$500,0)),"")</f>
        <v/>
      </c>
      <c r="V35" s="8" t="str">
        <f>IFERROR(INDEX(样本到样信息汇总统计!V$2:V$500,MATCH(34,样本到样信息汇总统计!$Z$2:$Z$500,0)),"")</f>
        <v/>
      </c>
      <c r="W35" s="8" t="str">
        <f>IFERROR(INDEX(样本到样信息汇总统计!W$2:W$500,MATCH(34,样本到样信息汇总统计!$Z$2:$Z$500,0)),"")</f>
        <v/>
      </c>
    </row>
    <row r="36" ht="14.5" spans="1:23">
      <c r="A36" s="4" t="str">
        <f>IFERROR(INDEX(样本到样信息汇总统计!A$2:A$500,MATCH(35,样本到样信息汇总统计!$Z$2:$Z$500,0)),"")</f>
        <v/>
      </c>
      <c r="B36" s="4" t="str">
        <f>IFERROR(INDEX(样本到样信息汇总统计!B$2:B$500,MATCH(35,样本到样信息汇总统计!$Z$2:$Z$500,0)),"")</f>
        <v/>
      </c>
      <c r="C36" s="4" t="str">
        <f>IFERROR(INDEX(样本到样信息汇总统计!C$2:C$500,MATCH(35,样本到样信息汇总统计!$Z$2:$Z$500,0)),"")</f>
        <v/>
      </c>
      <c r="D36" s="4" t="str">
        <f>IFERROR(INDEX(样本到样信息汇总统计!D$2:D$500,MATCH(35,样本到样信息汇总统计!$Z$2:$Z$500,0)),"")</f>
        <v/>
      </c>
      <c r="E36" s="4" t="str">
        <f>IFERROR(INDEX(样本到样信息汇总统计!E$2:E$500,MATCH(35,样本到样信息汇总统计!$Z$2:$Z$500,0)),"")</f>
        <v/>
      </c>
      <c r="F36" s="4" t="str">
        <f>IFERROR(INDEX(样本到样信息汇总统计!F$2:F$500,MATCH(35,样本到样信息汇总统计!$Z$2:$Z$500,0)),"")</f>
        <v/>
      </c>
      <c r="G36" s="4" t="str">
        <f>IFERROR(INDEX(样本到样信息汇总统计!G$2:G$500,MATCH(35,样本到样信息汇总统计!$Z$2:$Z$500,0)),"")</f>
        <v/>
      </c>
      <c r="H36" s="4" t="str">
        <f>IFERROR(INDEX(样本到样信息汇总统计!H$2:H$500,MATCH(35,样本到样信息汇总统计!$Z$2:$Z$500,0)),"")</f>
        <v/>
      </c>
      <c r="I36" s="4" t="str">
        <f>IFERROR(INDEX(样本到样信息汇总统计!I$2:I$500,MATCH(35,样本到样信息汇总统计!$Z$2:$Z$500,0)),"")</f>
        <v/>
      </c>
      <c r="J36" s="4" t="str">
        <f>IFERROR(INDEX(样本到样信息汇总统计!J$2:J$500,MATCH(35,样本到样信息汇总统计!$Z$2:$Z$500,0)),"")</f>
        <v/>
      </c>
      <c r="K36" s="4" t="str">
        <f>IFERROR(INDEX(样本到样信息汇总统计!K$2:K$500,MATCH(35,样本到样信息汇总统计!$Z$2:$Z$500,0)),"")</f>
        <v/>
      </c>
      <c r="L36" s="4" t="str">
        <f>IFERROR(INDEX(样本到样信息汇总统计!L$2:L$500,MATCH(35,样本到样信息汇总统计!$Z$2:$Z$500,0)),"")</f>
        <v/>
      </c>
      <c r="M36" s="4" t="str">
        <f>IFERROR(INDEX(样本到样信息汇总统计!M$2:M$500,MATCH(35,样本到样信息汇总统计!$Z$2:$Z$500,0)),"")</f>
        <v/>
      </c>
      <c r="N36" s="4" t="str">
        <f>IFERROR(INDEX(样本到样信息汇总统计!N$2:N$500,MATCH(35,样本到样信息汇总统计!$Z$2:$Z$500,0)),"")</f>
        <v/>
      </c>
      <c r="O36" s="4" t="str">
        <f>IFERROR(INDEX(样本到样信息汇总统计!O$2:O$500,MATCH(35,样本到样信息汇总统计!$Z$2:$Z$500,0)),"")</f>
        <v/>
      </c>
      <c r="P36" s="4" t="str">
        <f>IFERROR(INDEX(样本到样信息汇总统计!P$2:P$500,MATCH(35,样本到样信息汇总统计!$Z$2:$Z$500,0)),"")</f>
        <v/>
      </c>
      <c r="Q36" s="4" t="str">
        <f>IFERROR(INDEX(样本到样信息汇总统计!Q$2:Q$500,MATCH(35,样本到样信息汇总统计!$Z$2:$Z$500,0)),"")</f>
        <v/>
      </c>
      <c r="R36" s="4" t="str">
        <f>IFERROR(INDEX(样本到样信息汇总统计!R$2:R$500,MATCH(35,样本到样信息汇总统计!$Z$2:$Z$500,0)),"")</f>
        <v/>
      </c>
      <c r="S36" s="4" t="str">
        <f>IFERROR(INDEX(样本到样信息汇总统计!S$2:S$500,MATCH(35,样本到样信息汇总统计!$Z$2:$Z$500,0)),"")</f>
        <v/>
      </c>
      <c r="T36" s="4" t="str">
        <f>IFERROR(INDEX(样本到样信息汇总统计!T$2:T$500,MATCH(35,样本到样信息汇总统计!$Z$2:$Z$500,0)),"")</f>
        <v/>
      </c>
      <c r="U36" s="4" t="str">
        <f>IFERROR(INDEX(样本到样信息汇总统计!U$2:U$500,MATCH(35,样本到样信息汇总统计!$Z$2:$Z$500,0)),"")</f>
        <v/>
      </c>
      <c r="V36" s="4" t="str">
        <f>IFERROR(INDEX(样本到样信息汇总统计!V$2:V$500,MATCH(35,样本到样信息汇总统计!$Z$2:$Z$500,0)),"")</f>
        <v/>
      </c>
      <c r="W36" s="4" t="str">
        <f>IFERROR(INDEX(样本到样信息汇总统计!W$2:W$500,MATCH(35,样本到样信息汇总统计!$Z$2:$Z$500,0)),"")</f>
        <v/>
      </c>
    </row>
    <row r="37" ht="14.5" spans="1:23">
      <c r="A37" s="8" t="str">
        <f>IFERROR(INDEX(样本到样信息汇总统计!A$2:A$500,MATCH(36,样本到样信息汇总统计!$Z$2:$Z$500,0)),"")</f>
        <v/>
      </c>
      <c r="B37" s="8" t="str">
        <f>IFERROR(INDEX(样本到样信息汇总统计!B$2:B$500,MATCH(36,样本到样信息汇总统计!$Z$2:$Z$500,0)),"")</f>
        <v/>
      </c>
      <c r="C37" s="8" t="str">
        <f>IFERROR(INDEX(样本到样信息汇总统计!C$2:C$500,MATCH(36,样本到样信息汇总统计!$Z$2:$Z$500,0)),"")</f>
        <v/>
      </c>
      <c r="D37" s="8" t="str">
        <f>IFERROR(INDEX(样本到样信息汇总统计!D$2:D$500,MATCH(36,样本到样信息汇总统计!$Z$2:$Z$500,0)),"")</f>
        <v/>
      </c>
      <c r="E37" s="8" t="str">
        <f>IFERROR(INDEX(样本到样信息汇总统计!E$2:E$500,MATCH(36,样本到样信息汇总统计!$Z$2:$Z$500,0)),"")</f>
        <v/>
      </c>
      <c r="F37" s="8" t="str">
        <f>IFERROR(INDEX(样本到样信息汇总统计!F$2:F$500,MATCH(36,样本到样信息汇总统计!$Z$2:$Z$500,0)),"")</f>
        <v/>
      </c>
      <c r="G37" s="8" t="str">
        <f>IFERROR(INDEX(样本到样信息汇总统计!G$2:G$500,MATCH(36,样本到样信息汇总统计!$Z$2:$Z$500,0)),"")</f>
        <v/>
      </c>
      <c r="H37" s="8" t="str">
        <f>IFERROR(INDEX(样本到样信息汇总统计!H$2:H$500,MATCH(36,样本到样信息汇总统计!$Z$2:$Z$500,0)),"")</f>
        <v/>
      </c>
      <c r="I37" s="8" t="str">
        <f>IFERROR(INDEX(样本到样信息汇总统计!I$2:I$500,MATCH(36,样本到样信息汇总统计!$Z$2:$Z$500,0)),"")</f>
        <v/>
      </c>
      <c r="J37" s="8" t="str">
        <f>IFERROR(INDEX(样本到样信息汇总统计!J$2:J$500,MATCH(36,样本到样信息汇总统计!$Z$2:$Z$500,0)),"")</f>
        <v/>
      </c>
      <c r="K37" s="8" t="str">
        <f>IFERROR(INDEX(样本到样信息汇总统计!K$2:K$500,MATCH(36,样本到样信息汇总统计!$Z$2:$Z$500,0)),"")</f>
        <v/>
      </c>
      <c r="L37" s="8" t="str">
        <f>IFERROR(INDEX(样本到样信息汇总统计!L$2:L$500,MATCH(36,样本到样信息汇总统计!$Z$2:$Z$500,0)),"")</f>
        <v/>
      </c>
      <c r="M37" s="8" t="str">
        <f>IFERROR(INDEX(样本到样信息汇总统计!M$2:M$500,MATCH(36,样本到样信息汇总统计!$Z$2:$Z$500,0)),"")</f>
        <v/>
      </c>
      <c r="N37" s="8" t="str">
        <f>IFERROR(INDEX(样本到样信息汇总统计!N$2:N$500,MATCH(36,样本到样信息汇总统计!$Z$2:$Z$500,0)),"")</f>
        <v/>
      </c>
      <c r="O37" s="8" t="str">
        <f>IFERROR(INDEX(样本到样信息汇总统计!O$2:O$500,MATCH(36,样本到样信息汇总统计!$Z$2:$Z$500,0)),"")</f>
        <v/>
      </c>
      <c r="P37" s="8" t="str">
        <f>IFERROR(INDEX(样本到样信息汇总统计!P$2:P$500,MATCH(36,样本到样信息汇总统计!$Z$2:$Z$500,0)),"")</f>
        <v/>
      </c>
      <c r="Q37" s="8" t="str">
        <f>IFERROR(INDEX(样本到样信息汇总统计!Q$2:Q$500,MATCH(36,样本到样信息汇总统计!$Z$2:$Z$500,0)),"")</f>
        <v/>
      </c>
      <c r="R37" s="8" t="str">
        <f>IFERROR(INDEX(样本到样信息汇总统计!R$2:R$500,MATCH(36,样本到样信息汇总统计!$Z$2:$Z$500,0)),"")</f>
        <v/>
      </c>
      <c r="S37" s="8" t="str">
        <f>IFERROR(INDEX(样本到样信息汇总统计!S$2:S$500,MATCH(36,样本到样信息汇总统计!$Z$2:$Z$500,0)),"")</f>
        <v/>
      </c>
      <c r="T37" s="8" t="str">
        <f>IFERROR(INDEX(样本到样信息汇总统计!T$2:T$500,MATCH(36,样本到样信息汇总统计!$Z$2:$Z$500,0)),"")</f>
        <v/>
      </c>
      <c r="U37" s="8" t="str">
        <f>IFERROR(INDEX(样本到样信息汇总统计!U$2:U$500,MATCH(36,样本到样信息汇总统计!$Z$2:$Z$500,0)),"")</f>
        <v/>
      </c>
      <c r="V37" s="8" t="str">
        <f>IFERROR(INDEX(样本到样信息汇总统计!V$2:V$500,MATCH(36,样本到样信息汇总统计!$Z$2:$Z$500,0)),"")</f>
        <v/>
      </c>
      <c r="W37" s="8" t="str">
        <f>IFERROR(INDEX(样本到样信息汇总统计!W$2:W$500,MATCH(36,样本到样信息汇总统计!$Z$2:$Z$500,0)),"")</f>
        <v/>
      </c>
    </row>
    <row r="38" ht="14.5" spans="1:23">
      <c r="A38" s="4" t="str">
        <f>IFERROR(INDEX(样本到样信息汇总统计!A$2:A$500,MATCH(37,样本到样信息汇总统计!$Z$2:$Z$500,0)),"")</f>
        <v/>
      </c>
      <c r="B38" s="4" t="str">
        <f>IFERROR(INDEX(样本到样信息汇总统计!B$2:B$500,MATCH(37,样本到样信息汇总统计!$Z$2:$Z$500,0)),"")</f>
        <v/>
      </c>
      <c r="C38" s="4" t="str">
        <f>IFERROR(INDEX(样本到样信息汇总统计!C$2:C$500,MATCH(37,样本到样信息汇总统计!$Z$2:$Z$500,0)),"")</f>
        <v/>
      </c>
      <c r="D38" s="4" t="str">
        <f>IFERROR(INDEX(样本到样信息汇总统计!D$2:D$500,MATCH(37,样本到样信息汇总统计!$Z$2:$Z$500,0)),"")</f>
        <v/>
      </c>
      <c r="E38" s="4" t="str">
        <f>IFERROR(INDEX(样本到样信息汇总统计!E$2:E$500,MATCH(37,样本到样信息汇总统计!$Z$2:$Z$500,0)),"")</f>
        <v/>
      </c>
      <c r="F38" s="4" t="str">
        <f>IFERROR(INDEX(样本到样信息汇总统计!F$2:F$500,MATCH(37,样本到样信息汇总统计!$Z$2:$Z$500,0)),"")</f>
        <v/>
      </c>
      <c r="G38" s="4" t="str">
        <f>IFERROR(INDEX(样本到样信息汇总统计!G$2:G$500,MATCH(37,样本到样信息汇总统计!$Z$2:$Z$500,0)),"")</f>
        <v/>
      </c>
      <c r="H38" s="4" t="str">
        <f>IFERROR(INDEX(样本到样信息汇总统计!H$2:H$500,MATCH(37,样本到样信息汇总统计!$Z$2:$Z$500,0)),"")</f>
        <v/>
      </c>
      <c r="I38" s="4" t="str">
        <f>IFERROR(INDEX(样本到样信息汇总统计!I$2:I$500,MATCH(37,样本到样信息汇总统计!$Z$2:$Z$500,0)),"")</f>
        <v/>
      </c>
      <c r="J38" s="4" t="str">
        <f>IFERROR(INDEX(样本到样信息汇总统计!J$2:J$500,MATCH(37,样本到样信息汇总统计!$Z$2:$Z$500,0)),"")</f>
        <v/>
      </c>
      <c r="K38" s="4" t="str">
        <f>IFERROR(INDEX(样本到样信息汇总统计!K$2:K$500,MATCH(37,样本到样信息汇总统计!$Z$2:$Z$500,0)),"")</f>
        <v/>
      </c>
      <c r="L38" s="4" t="str">
        <f>IFERROR(INDEX(样本到样信息汇总统计!L$2:L$500,MATCH(37,样本到样信息汇总统计!$Z$2:$Z$500,0)),"")</f>
        <v/>
      </c>
      <c r="M38" s="4" t="str">
        <f>IFERROR(INDEX(样本到样信息汇总统计!M$2:M$500,MATCH(37,样本到样信息汇总统计!$Z$2:$Z$500,0)),"")</f>
        <v/>
      </c>
      <c r="N38" s="4" t="str">
        <f>IFERROR(INDEX(样本到样信息汇总统计!N$2:N$500,MATCH(37,样本到样信息汇总统计!$Z$2:$Z$500,0)),"")</f>
        <v/>
      </c>
      <c r="O38" s="4" t="str">
        <f>IFERROR(INDEX(样本到样信息汇总统计!O$2:O$500,MATCH(37,样本到样信息汇总统计!$Z$2:$Z$500,0)),"")</f>
        <v/>
      </c>
      <c r="P38" s="4" t="str">
        <f>IFERROR(INDEX(样本到样信息汇总统计!P$2:P$500,MATCH(37,样本到样信息汇总统计!$Z$2:$Z$500,0)),"")</f>
        <v/>
      </c>
      <c r="Q38" s="4" t="str">
        <f>IFERROR(INDEX(样本到样信息汇总统计!Q$2:Q$500,MATCH(37,样本到样信息汇总统计!$Z$2:$Z$500,0)),"")</f>
        <v/>
      </c>
      <c r="R38" s="4" t="str">
        <f>IFERROR(INDEX(样本到样信息汇总统计!R$2:R$500,MATCH(37,样本到样信息汇总统计!$Z$2:$Z$500,0)),"")</f>
        <v/>
      </c>
      <c r="S38" s="4" t="str">
        <f>IFERROR(INDEX(样本到样信息汇总统计!S$2:S$500,MATCH(37,样本到样信息汇总统计!$Z$2:$Z$500,0)),"")</f>
        <v/>
      </c>
      <c r="T38" s="4" t="str">
        <f>IFERROR(INDEX(样本到样信息汇总统计!T$2:T$500,MATCH(37,样本到样信息汇总统计!$Z$2:$Z$500,0)),"")</f>
        <v/>
      </c>
      <c r="U38" s="4" t="str">
        <f>IFERROR(INDEX(样本到样信息汇总统计!U$2:U$500,MATCH(37,样本到样信息汇总统计!$Z$2:$Z$500,0)),"")</f>
        <v/>
      </c>
      <c r="V38" s="4" t="str">
        <f>IFERROR(INDEX(样本到样信息汇总统计!V$2:V$500,MATCH(37,样本到样信息汇总统计!$Z$2:$Z$500,0)),"")</f>
        <v/>
      </c>
      <c r="W38" s="4" t="str">
        <f>IFERROR(INDEX(样本到样信息汇总统计!W$2:W$500,MATCH(37,样本到样信息汇总统计!$Z$2:$Z$500,0)),"")</f>
        <v/>
      </c>
    </row>
    <row r="39" ht="14.5" spans="1:23">
      <c r="A39" s="8" t="str">
        <f>IFERROR(INDEX(样本到样信息汇总统计!A$2:A$500,MATCH(38,样本到样信息汇总统计!$Z$2:$Z$500,0)),"")</f>
        <v/>
      </c>
      <c r="B39" s="8" t="str">
        <f>IFERROR(INDEX(样本到样信息汇总统计!B$2:B$500,MATCH(38,样本到样信息汇总统计!$Z$2:$Z$500,0)),"")</f>
        <v/>
      </c>
      <c r="C39" s="8" t="str">
        <f>IFERROR(INDEX(样本到样信息汇总统计!C$2:C$500,MATCH(38,样本到样信息汇总统计!$Z$2:$Z$500,0)),"")</f>
        <v/>
      </c>
      <c r="D39" s="8" t="str">
        <f>IFERROR(INDEX(样本到样信息汇总统计!D$2:D$500,MATCH(38,样本到样信息汇总统计!$Z$2:$Z$500,0)),"")</f>
        <v/>
      </c>
      <c r="E39" s="8" t="str">
        <f>IFERROR(INDEX(样本到样信息汇总统计!E$2:E$500,MATCH(38,样本到样信息汇总统计!$Z$2:$Z$500,0)),"")</f>
        <v/>
      </c>
      <c r="F39" s="8" t="str">
        <f>IFERROR(INDEX(样本到样信息汇总统计!F$2:F$500,MATCH(38,样本到样信息汇总统计!$Z$2:$Z$500,0)),"")</f>
        <v/>
      </c>
      <c r="G39" s="8" t="str">
        <f>IFERROR(INDEX(样本到样信息汇总统计!G$2:G$500,MATCH(38,样本到样信息汇总统计!$Z$2:$Z$500,0)),"")</f>
        <v/>
      </c>
      <c r="H39" s="8" t="str">
        <f>IFERROR(INDEX(样本到样信息汇总统计!H$2:H$500,MATCH(38,样本到样信息汇总统计!$Z$2:$Z$500,0)),"")</f>
        <v/>
      </c>
      <c r="I39" s="8" t="str">
        <f>IFERROR(INDEX(样本到样信息汇总统计!I$2:I$500,MATCH(38,样本到样信息汇总统计!$Z$2:$Z$500,0)),"")</f>
        <v/>
      </c>
      <c r="J39" s="8" t="str">
        <f>IFERROR(INDEX(样本到样信息汇总统计!J$2:J$500,MATCH(38,样本到样信息汇总统计!$Z$2:$Z$500,0)),"")</f>
        <v/>
      </c>
      <c r="K39" s="8" t="str">
        <f>IFERROR(INDEX(样本到样信息汇总统计!K$2:K$500,MATCH(38,样本到样信息汇总统计!$Z$2:$Z$500,0)),"")</f>
        <v/>
      </c>
      <c r="L39" s="8" t="str">
        <f>IFERROR(INDEX(样本到样信息汇总统计!L$2:L$500,MATCH(38,样本到样信息汇总统计!$Z$2:$Z$500,0)),"")</f>
        <v/>
      </c>
      <c r="M39" s="8" t="str">
        <f>IFERROR(INDEX(样本到样信息汇总统计!M$2:M$500,MATCH(38,样本到样信息汇总统计!$Z$2:$Z$500,0)),"")</f>
        <v/>
      </c>
      <c r="N39" s="8" t="str">
        <f>IFERROR(INDEX(样本到样信息汇总统计!N$2:N$500,MATCH(38,样本到样信息汇总统计!$Z$2:$Z$500,0)),"")</f>
        <v/>
      </c>
      <c r="O39" s="8" t="str">
        <f>IFERROR(INDEX(样本到样信息汇总统计!O$2:O$500,MATCH(38,样本到样信息汇总统计!$Z$2:$Z$500,0)),"")</f>
        <v/>
      </c>
      <c r="P39" s="8" t="str">
        <f>IFERROR(INDEX(样本到样信息汇总统计!P$2:P$500,MATCH(38,样本到样信息汇总统计!$Z$2:$Z$500,0)),"")</f>
        <v/>
      </c>
      <c r="Q39" s="8" t="str">
        <f>IFERROR(INDEX(样本到样信息汇总统计!Q$2:Q$500,MATCH(38,样本到样信息汇总统计!$Z$2:$Z$500,0)),"")</f>
        <v/>
      </c>
      <c r="R39" s="8" t="str">
        <f>IFERROR(INDEX(样本到样信息汇总统计!R$2:R$500,MATCH(38,样本到样信息汇总统计!$Z$2:$Z$500,0)),"")</f>
        <v/>
      </c>
      <c r="S39" s="8" t="str">
        <f>IFERROR(INDEX(样本到样信息汇总统计!S$2:S$500,MATCH(38,样本到样信息汇总统计!$Z$2:$Z$500,0)),"")</f>
        <v/>
      </c>
      <c r="T39" s="8" t="str">
        <f>IFERROR(INDEX(样本到样信息汇总统计!T$2:T$500,MATCH(38,样本到样信息汇总统计!$Z$2:$Z$500,0)),"")</f>
        <v/>
      </c>
      <c r="U39" s="8" t="str">
        <f>IFERROR(INDEX(样本到样信息汇总统计!U$2:U$500,MATCH(38,样本到样信息汇总统计!$Z$2:$Z$500,0)),"")</f>
        <v/>
      </c>
      <c r="V39" s="8" t="str">
        <f>IFERROR(INDEX(样本到样信息汇总统计!V$2:V$500,MATCH(38,样本到样信息汇总统计!$Z$2:$Z$500,0)),"")</f>
        <v/>
      </c>
      <c r="W39" s="8" t="str">
        <f>IFERROR(INDEX(样本到样信息汇总统计!W$2:W$500,MATCH(38,样本到样信息汇总统计!$Z$2:$Z$500,0)),"")</f>
        <v/>
      </c>
    </row>
    <row r="40" ht="14.5" spans="1:23">
      <c r="A40" s="4" t="str">
        <f>IFERROR(INDEX(样本到样信息汇总统计!A$2:A$500,MATCH(39,样本到样信息汇总统计!$Z$2:$Z$500,0)),"")</f>
        <v/>
      </c>
      <c r="B40" s="4" t="str">
        <f>IFERROR(INDEX(样本到样信息汇总统计!B$2:B$500,MATCH(39,样本到样信息汇总统计!$Z$2:$Z$500,0)),"")</f>
        <v/>
      </c>
      <c r="C40" s="4" t="str">
        <f>IFERROR(INDEX(样本到样信息汇总统计!C$2:C$500,MATCH(39,样本到样信息汇总统计!$Z$2:$Z$500,0)),"")</f>
        <v/>
      </c>
      <c r="D40" s="4" t="str">
        <f>IFERROR(INDEX(样本到样信息汇总统计!D$2:D$500,MATCH(39,样本到样信息汇总统计!$Z$2:$Z$500,0)),"")</f>
        <v/>
      </c>
      <c r="E40" s="4" t="str">
        <f>IFERROR(INDEX(样本到样信息汇总统计!E$2:E$500,MATCH(39,样本到样信息汇总统计!$Z$2:$Z$500,0)),"")</f>
        <v/>
      </c>
      <c r="F40" s="4" t="str">
        <f>IFERROR(INDEX(样本到样信息汇总统计!F$2:F$500,MATCH(39,样本到样信息汇总统计!$Z$2:$Z$500,0)),"")</f>
        <v/>
      </c>
      <c r="G40" s="4" t="str">
        <f>IFERROR(INDEX(样本到样信息汇总统计!G$2:G$500,MATCH(39,样本到样信息汇总统计!$Z$2:$Z$500,0)),"")</f>
        <v/>
      </c>
      <c r="H40" s="4" t="str">
        <f>IFERROR(INDEX(样本到样信息汇总统计!H$2:H$500,MATCH(39,样本到样信息汇总统计!$Z$2:$Z$500,0)),"")</f>
        <v/>
      </c>
      <c r="I40" s="4" t="str">
        <f>IFERROR(INDEX(样本到样信息汇总统计!I$2:I$500,MATCH(39,样本到样信息汇总统计!$Z$2:$Z$500,0)),"")</f>
        <v/>
      </c>
      <c r="J40" s="4" t="str">
        <f>IFERROR(INDEX(样本到样信息汇总统计!J$2:J$500,MATCH(39,样本到样信息汇总统计!$Z$2:$Z$500,0)),"")</f>
        <v/>
      </c>
      <c r="K40" s="4" t="str">
        <f>IFERROR(INDEX(样本到样信息汇总统计!K$2:K$500,MATCH(39,样本到样信息汇总统计!$Z$2:$Z$500,0)),"")</f>
        <v/>
      </c>
      <c r="L40" s="4" t="str">
        <f>IFERROR(INDEX(样本到样信息汇总统计!L$2:L$500,MATCH(39,样本到样信息汇总统计!$Z$2:$Z$500,0)),"")</f>
        <v/>
      </c>
      <c r="M40" s="4" t="str">
        <f>IFERROR(INDEX(样本到样信息汇总统计!M$2:M$500,MATCH(39,样本到样信息汇总统计!$Z$2:$Z$500,0)),"")</f>
        <v/>
      </c>
      <c r="N40" s="4" t="str">
        <f>IFERROR(INDEX(样本到样信息汇总统计!N$2:N$500,MATCH(39,样本到样信息汇总统计!$Z$2:$Z$500,0)),"")</f>
        <v/>
      </c>
      <c r="O40" s="4" t="str">
        <f>IFERROR(INDEX(样本到样信息汇总统计!O$2:O$500,MATCH(39,样本到样信息汇总统计!$Z$2:$Z$500,0)),"")</f>
        <v/>
      </c>
      <c r="P40" s="4" t="str">
        <f>IFERROR(INDEX(样本到样信息汇总统计!P$2:P$500,MATCH(39,样本到样信息汇总统计!$Z$2:$Z$500,0)),"")</f>
        <v/>
      </c>
      <c r="Q40" s="4" t="str">
        <f>IFERROR(INDEX(样本到样信息汇总统计!Q$2:Q$500,MATCH(39,样本到样信息汇总统计!$Z$2:$Z$500,0)),"")</f>
        <v/>
      </c>
      <c r="R40" s="4" t="str">
        <f>IFERROR(INDEX(样本到样信息汇总统计!R$2:R$500,MATCH(39,样本到样信息汇总统计!$Z$2:$Z$500,0)),"")</f>
        <v/>
      </c>
      <c r="S40" s="4" t="str">
        <f>IFERROR(INDEX(样本到样信息汇总统计!S$2:S$500,MATCH(39,样本到样信息汇总统计!$Z$2:$Z$500,0)),"")</f>
        <v/>
      </c>
      <c r="T40" s="4" t="str">
        <f>IFERROR(INDEX(样本到样信息汇总统计!T$2:T$500,MATCH(39,样本到样信息汇总统计!$Z$2:$Z$500,0)),"")</f>
        <v/>
      </c>
      <c r="U40" s="4" t="str">
        <f>IFERROR(INDEX(样本到样信息汇总统计!U$2:U$500,MATCH(39,样本到样信息汇总统计!$Z$2:$Z$500,0)),"")</f>
        <v/>
      </c>
      <c r="V40" s="4" t="str">
        <f>IFERROR(INDEX(样本到样信息汇总统计!V$2:V$500,MATCH(39,样本到样信息汇总统计!$Z$2:$Z$500,0)),"")</f>
        <v/>
      </c>
      <c r="W40" s="4" t="str">
        <f>IFERROR(INDEX(样本到样信息汇总统计!W$2:W$500,MATCH(39,样本到样信息汇总统计!$Z$2:$Z$500,0)),"")</f>
        <v/>
      </c>
    </row>
    <row r="41" ht="14.5" spans="1:23">
      <c r="A41" s="8" t="str">
        <f>IFERROR(INDEX(样本到样信息汇总统计!A$2:A$500,MATCH(40,样本到样信息汇总统计!$Z$2:$Z$500,0)),"")</f>
        <v/>
      </c>
      <c r="B41" s="8" t="str">
        <f>IFERROR(INDEX(样本到样信息汇总统计!B$2:B$500,MATCH(40,样本到样信息汇总统计!$Z$2:$Z$500,0)),"")</f>
        <v/>
      </c>
      <c r="C41" s="8" t="str">
        <f>IFERROR(INDEX(样本到样信息汇总统计!C$2:C$500,MATCH(40,样本到样信息汇总统计!$Z$2:$Z$500,0)),"")</f>
        <v/>
      </c>
      <c r="D41" s="8" t="str">
        <f>IFERROR(INDEX(样本到样信息汇总统计!D$2:D$500,MATCH(40,样本到样信息汇总统计!$Z$2:$Z$500,0)),"")</f>
        <v/>
      </c>
      <c r="E41" s="8" t="str">
        <f>IFERROR(INDEX(样本到样信息汇总统计!E$2:E$500,MATCH(40,样本到样信息汇总统计!$Z$2:$Z$500,0)),"")</f>
        <v/>
      </c>
      <c r="F41" s="8" t="str">
        <f>IFERROR(INDEX(样本到样信息汇总统计!F$2:F$500,MATCH(40,样本到样信息汇总统计!$Z$2:$Z$500,0)),"")</f>
        <v/>
      </c>
      <c r="G41" s="8" t="str">
        <f>IFERROR(INDEX(样本到样信息汇总统计!G$2:G$500,MATCH(40,样本到样信息汇总统计!$Z$2:$Z$500,0)),"")</f>
        <v/>
      </c>
      <c r="H41" s="8" t="str">
        <f>IFERROR(INDEX(样本到样信息汇总统计!H$2:H$500,MATCH(40,样本到样信息汇总统计!$Z$2:$Z$500,0)),"")</f>
        <v/>
      </c>
      <c r="I41" s="8" t="str">
        <f>IFERROR(INDEX(样本到样信息汇总统计!I$2:I$500,MATCH(40,样本到样信息汇总统计!$Z$2:$Z$500,0)),"")</f>
        <v/>
      </c>
      <c r="J41" s="8" t="str">
        <f>IFERROR(INDEX(样本到样信息汇总统计!J$2:J$500,MATCH(40,样本到样信息汇总统计!$Z$2:$Z$500,0)),"")</f>
        <v/>
      </c>
      <c r="K41" s="8" t="str">
        <f>IFERROR(INDEX(样本到样信息汇总统计!K$2:K$500,MATCH(40,样本到样信息汇总统计!$Z$2:$Z$500,0)),"")</f>
        <v/>
      </c>
      <c r="L41" s="8" t="str">
        <f>IFERROR(INDEX(样本到样信息汇总统计!L$2:L$500,MATCH(40,样本到样信息汇总统计!$Z$2:$Z$500,0)),"")</f>
        <v/>
      </c>
      <c r="M41" s="8" t="str">
        <f>IFERROR(INDEX(样本到样信息汇总统计!M$2:M$500,MATCH(40,样本到样信息汇总统计!$Z$2:$Z$500,0)),"")</f>
        <v/>
      </c>
      <c r="N41" s="8" t="str">
        <f>IFERROR(INDEX(样本到样信息汇总统计!N$2:N$500,MATCH(40,样本到样信息汇总统计!$Z$2:$Z$500,0)),"")</f>
        <v/>
      </c>
      <c r="O41" s="8" t="str">
        <f>IFERROR(INDEX(样本到样信息汇总统计!O$2:O$500,MATCH(40,样本到样信息汇总统计!$Z$2:$Z$500,0)),"")</f>
        <v/>
      </c>
      <c r="P41" s="8" t="str">
        <f>IFERROR(INDEX(样本到样信息汇总统计!P$2:P$500,MATCH(40,样本到样信息汇总统计!$Z$2:$Z$500,0)),"")</f>
        <v/>
      </c>
      <c r="Q41" s="8" t="str">
        <f>IFERROR(INDEX(样本到样信息汇总统计!Q$2:Q$500,MATCH(40,样本到样信息汇总统计!$Z$2:$Z$500,0)),"")</f>
        <v/>
      </c>
      <c r="R41" s="8" t="str">
        <f>IFERROR(INDEX(样本到样信息汇总统计!R$2:R$500,MATCH(40,样本到样信息汇总统计!$Z$2:$Z$500,0)),"")</f>
        <v/>
      </c>
      <c r="S41" s="8" t="str">
        <f>IFERROR(INDEX(样本到样信息汇总统计!S$2:S$500,MATCH(40,样本到样信息汇总统计!$Z$2:$Z$500,0)),"")</f>
        <v/>
      </c>
      <c r="T41" s="8" t="str">
        <f>IFERROR(INDEX(样本到样信息汇总统计!T$2:T$500,MATCH(40,样本到样信息汇总统计!$Z$2:$Z$500,0)),"")</f>
        <v/>
      </c>
      <c r="U41" s="8" t="str">
        <f>IFERROR(INDEX(样本到样信息汇总统计!U$2:U$500,MATCH(40,样本到样信息汇总统计!$Z$2:$Z$500,0)),"")</f>
        <v/>
      </c>
      <c r="V41" s="8" t="str">
        <f>IFERROR(INDEX(样本到样信息汇总统计!V$2:V$500,MATCH(40,样本到样信息汇总统计!$Z$2:$Z$500,0)),"")</f>
        <v/>
      </c>
      <c r="W41" s="8" t="str">
        <f>IFERROR(INDEX(样本到样信息汇总统计!W$2:W$500,MATCH(40,样本到样信息汇总统计!$Z$2:$Z$500,0)),"")</f>
        <v/>
      </c>
    </row>
    <row r="42" ht="14.5" spans="1:23">
      <c r="A42" s="4" t="str">
        <f>IFERROR(INDEX(样本到样信息汇总统计!A$2:A$500,MATCH(41,样本到样信息汇总统计!$Z$2:$Z$500,0)),"")</f>
        <v/>
      </c>
      <c r="B42" s="4" t="str">
        <f>IFERROR(INDEX(样本到样信息汇总统计!B$2:B$500,MATCH(41,样本到样信息汇总统计!$Z$2:$Z$500,0)),"")</f>
        <v/>
      </c>
      <c r="C42" s="4" t="str">
        <f>IFERROR(INDEX(样本到样信息汇总统计!C$2:C$500,MATCH(41,样本到样信息汇总统计!$Z$2:$Z$500,0)),"")</f>
        <v/>
      </c>
      <c r="D42" s="4" t="str">
        <f>IFERROR(INDEX(样本到样信息汇总统计!D$2:D$500,MATCH(41,样本到样信息汇总统计!$Z$2:$Z$500,0)),"")</f>
        <v/>
      </c>
      <c r="E42" s="4" t="str">
        <f>IFERROR(INDEX(样本到样信息汇总统计!E$2:E$500,MATCH(41,样本到样信息汇总统计!$Z$2:$Z$500,0)),"")</f>
        <v/>
      </c>
      <c r="F42" s="4" t="str">
        <f>IFERROR(INDEX(样本到样信息汇总统计!F$2:F$500,MATCH(41,样本到样信息汇总统计!$Z$2:$Z$500,0)),"")</f>
        <v/>
      </c>
      <c r="G42" s="4" t="str">
        <f>IFERROR(INDEX(样本到样信息汇总统计!G$2:G$500,MATCH(41,样本到样信息汇总统计!$Z$2:$Z$500,0)),"")</f>
        <v/>
      </c>
      <c r="H42" s="4" t="str">
        <f>IFERROR(INDEX(样本到样信息汇总统计!H$2:H$500,MATCH(41,样本到样信息汇总统计!$Z$2:$Z$500,0)),"")</f>
        <v/>
      </c>
      <c r="I42" s="4" t="str">
        <f>IFERROR(INDEX(样本到样信息汇总统计!I$2:I$500,MATCH(41,样本到样信息汇总统计!$Z$2:$Z$500,0)),"")</f>
        <v/>
      </c>
      <c r="J42" s="4" t="str">
        <f>IFERROR(INDEX(样本到样信息汇总统计!J$2:J$500,MATCH(41,样本到样信息汇总统计!$Z$2:$Z$500,0)),"")</f>
        <v/>
      </c>
      <c r="K42" s="4" t="str">
        <f>IFERROR(INDEX(样本到样信息汇总统计!K$2:K$500,MATCH(41,样本到样信息汇总统计!$Z$2:$Z$500,0)),"")</f>
        <v/>
      </c>
      <c r="L42" s="4" t="str">
        <f>IFERROR(INDEX(样本到样信息汇总统计!L$2:L$500,MATCH(41,样本到样信息汇总统计!$Z$2:$Z$500,0)),"")</f>
        <v/>
      </c>
      <c r="M42" s="4" t="str">
        <f>IFERROR(INDEX(样本到样信息汇总统计!M$2:M$500,MATCH(41,样本到样信息汇总统计!$Z$2:$Z$500,0)),"")</f>
        <v/>
      </c>
      <c r="N42" s="4" t="str">
        <f>IFERROR(INDEX(样本到样信息汇总统计!N$2:N$500,MATCH(41,样本到样信息汇总统计!$Z$2:$Z$500,0)),"")</f>
        <v/>
      </c>
      <c r="O42" s="4" t="str">
        <f>IFERROR(INDEX(样本到样信息汇总统计!O$2:O$500,MATCH(41,样本到样信息汇总统计!$Z$2:$Z$500,0)),"")</f>
        <v/>
      </c>
      <c r="P42" s="4" t="str">
        <f>IFERROR(INDEX(样本到样信息汇总统计!P$2:P$500,MATCH(41,样本到样信息汇总统计!$Z$2:$Z$500,0)),"")</f>
        <v/>
      </c>
      <c r="Q42" s="4" t="str">
        <f>IFERROR(INDEX(样本到样信息汇总统计!Q$2:Q$500,MATCH(41,样本到样信息汇总统计!$Z$2:$Z$500,0)),"")</f>
        <v/>
      </c>
      <c r="R42" s="4" t="str">
        <f>IFERROR(INDEX(样本到样信息汇总统计!R$2:R$500,MATCH(41,样本到样信息汇总统计!$Z$2:$Z$500,0)),"")</f>
        <v/>
      </c>
      <c r="S42" s="4" t="str">
        <f>IFERROR(INDEX(样本到样信息汇总统计!S$2:S$500,MATCH(41,样本到样信息汇总统计!$Z$2:$Z$500,0)),"")</f>
        <v/>
      </c>
      <c r="T42" s="4" t="str">
        <f>IFERROR(INDEX(样本到样信息汇总统计!T$2:T$500,MATCH(41,样本到样信息汇总统计!$Z$2:$Z$500,0)),"")</f>
        <v/>
      </c>
      <c r="U42" s="4" t="str">
        <f>IFERROR(INDEX(样本到样信息汇总统计!U$2:U$500,MATCH(41,样本到样信息汇总统计!$Z$2:$Z$500,0)),"")</f>
        <v/>
      </c>
      <c r="V42" s="4" t="str">
        <f>IFERROR(INDEX(样本到样信息汇总统计!V$2:V$500,MATCH(41,样本到样信息汇总统计!$Z$2:$Z$500,0)),"")</f>
        <v/>
      </c>
      <c r="W42" s="4" t="str">
        <f>IFERROR(INDEX(样本到样信息汇总统计!W$2:W$500,MATCH(41,样本到样信息汇总统计!$Z$2:$Z$500,0)),"")</f>
        <v/>
      </c>
    </row>
    <row r="43" ht="14.5" spans="1:23">
      <c r="A43" s="8" t="str">
        <f>IFERROR(INDEX(样本到样信息汇总统计!A$2:A$500,MATCH(42,样本到样信息汇总统计!$Z$2:$Z$500,0)),"")</f>
        <v/>
      </c>
      <c r="B43" s="8" t="str">
        <f>IFERROR(INDEX(样本到样信息汇总统计!B$2:B$500,MATCH(42,样本到样信息汇总统计!$Z$2:$Z$500,0)),"")</f>
        <v/>
      </c>
      <c r="C43" s="8" t="str">
        <f>IFERROR(INDEX(样本到样信息汇总统计!C$2:C$500,MATCH(42,样本到样信息汇总统计!$Z$2:$Z$500,0)),"")</f>
        <v/>
      </c>
      <c r="D43" s="8" t="str">
        <f>IFERROR(INDEX(样本到样信息汇总统计!D$2:D$500,MATCH(42,样本到样信息汇总统计!$Z$2:$Z$500,0)),"")</f>
        <v/>
      </c>
      <c r="E43" s="8" t="str">
        <f>IFERROR(INDEX(样本到样信息汇总统计!E$2:E$500,MATCH(42,样本到样信息汇总统计!$Z$2:$Z$500,0)),"")</f>
        <v/>
      </c>
      <c r="F43" s="8" t="str">
        <f>IFERROR(INDEX(样本到样信息汇总统计!F$2:F$500,MATCH(42,样本到样信息汇总统计!$Z$2:$Z$500,0)),"")</f>
        <v/>
      </c>
      <c r="G43" s="8" t="str">
        <f>IFERROR(INDEX(样本到样信息汇总统计!G$2:G$500,MATCH(42,样本到样信息汇总统计!$Z$2:$Z$500,0)),"")</f>
        <v/>
      </c>
      <c r="H43" s="8" t="str">
        <f>IFERROR(INDEX(样本到样信息汇总统计!H$2:H$500,MATCH(42,样本到样信息汇总统计!$Z$2:$Z$500,0)),"")</f>
        <v/>
      </c>
      <c r="I43" s="8" t="str">
        <f>IFERROR(INDEX(样本到样信息汇总统计!I$2:I$500,MATCH(42,样本到样信息汇总统计!$Z$2:$Z$500,0)),"")</f>
        <v/>
      </c>
      <c r="J43" s="8" t="str">
        <f>IFERROR(INDEX(样本到样信息汇总统计!J$2:J$500,MATCH(42,样本到样信息汇总统计!$Z$2:$Z$500,0)),"")</f>
        <v/>
      </c>
      <c r="K43" s="8" t="str">
        <f>IFERROR(INDEX(样本到样信息汇总统计!K$2:K$500,MATCH(42,样本到样信息汇总统计!$Z$2:$Z$500,0)),"")</f>
        <v/>
      </c>
      <c r="L43" s="8" t="str">
        <f>IFERROR(INDEX(样本到样信息汇总统计!L$2:L$500,MATCH(42,样本到样信息汇总统计!$Z$2:$Z$500,0)),"")</f>
        <v/>
      </c>
      <c r="M43" s="8" t="str">
        <f>IFERROR(INDEX(样本到样信息汇总统计!M$2:M$500,MATCH(42,样本到样信息汇总统计!$Z$2:$Z$500,0)),"")</f>
        <v/>
      </c>
      <c r="N43" s="8" t="str">
        <f>IFERROR(INDEX(样本到样信息汇总统计!N$2:N$500,MATCH(42,样本到样信息汇总统计!$Z$2:$Z$500,0)),"")</f>
        <v/>
      </c>
      <c r="O43" s="8" t="str">
        <f>IFERROR(INDEX(样本到样信息汇总统计!O$2:O$500,MATCH(42,样本到样信息汇总统计!$Z$2:$Z$500,0)),"")</f>
        <v/>
      </c>
      <c r="P43" s="8" t="str">
        <f>IFERROR(INDEX(样本到样信息汇总统计!P$2:P$500,MATCH(42,样本到样信息汇总统计!$Z$2:$Z$500,0)),"")</f>
        <v/>
      </c>
      <c r="Q43" s="8" t="str">
        <f>IFERROR(INDEX(样本到样信息汇总统计!Q$2:Q$500,MATCH(42,样本到样信息汇总统计!$Z$2:$Z$500,0)),"")</f>
        <v/>
      </c>
      <c r="R43" s="8" t="str">
        <f>IFERROR(INDEX(样本到样信息汇总统计!R$2:R$500,MATCH(42,样本到样信息汇总统计!$Z$2:$Z$500,0)),"")</f>
        <v/>
      </c>
      <c r="S43" s="8" t="str">
        <f>IFERROR(INDEX(样本到样信息汇总统计!S$2:S$500,MATCH(42,样本到样信息汇总统计!$Z$2:$Z$500,0)),"")</f>
        <v/>
      </c>
      <c r="T43" s="8" t="str">
        <f>IFERROR(INDEX(样本到样信息汇总统计!T$2:T$500,MATCH(42,样本到样信息汇总统计!$Z$2:$Z$500,0)),"")</f>
        <v/>
      </c>
      <c r="U43" s="8" t="str">
        <f>IFERROR(INDEX(样本到样信息汇总统计!U$2:U$500,MATCH(42,样本到样信息汇总统计!$Z$2:$Z$500,0)),"")</f>
        <v/>
      </c>
      <c r="V43" s="8" t="str">
        <f>IFERROR(INDEX(样本到样信息汇总统计!V$2:V$500,MATCH(42,样本到样信息汇总统计!$Z$2:$Z$500,0)),"")</f>
        <v/>
      </c>
      <c r="W43" s="8" t="str">
        <f>IFERROR(INDEX(样本到样信息汇总统计!W$2:W$500,MATCH(42,样本到样信息汇总统计!$Z$2:$Z$500,0)),"")</f>
        <v/>
      </c>
    </row>
    <row r="44" ht="14.5" spans="1:23">
      <c r="A44" s="4" t="str">
        <f>IFERROR(INDEX(样本到样信息汇总统计!A$2:A$500,MATCH(43,样本到样信息汇总统计!$Z$2:$Z$500,0)),"")</f>
        <v/>
      </c>
      <c r="B44" s="4" t="str">
        <f>IFERROR(INDEX(样本到样信息汇总统计!B$2:B$500,MATCH(43,样本到样信息汇总统计!$Z$2:$Z$500,0)),"")</f>
        <v/>
      </c>
      <c r="C44" s="4" t="str">
        <f>IFERROR(INDEX(样本到样信息汇总统计!C$2:C$500,MATCH(43,样本到样信息汇总统计!$Z$2:$Z$500,0)),"")</f>
        <v/>
      </c>
      <c r="D44" s="4" t="str">
        <f>IFERROR(INDEX(样本到样信息汇总统计!D$2:D$500,MATCH(43,样本到样信息汇总统计!$Z$2:$Z$500,0)),"")</f>
        <v/>
      </c>
      <c r="E44" s="4" t="str">
        <f>IFERROR(INDEX(样本到样信息汇总统计!E$2:E$500,MATCH(43,样本到样信息汇总统计!$Z$2:$Z$500,0)),"")</f>
        <v/>
      </c>
      <c r="F44" s="4" t="str">
        <f>IFERROR(INDEX(样本到样信息汇总统计!F$2:F$500,MATCH(43,样本到样信息汇总统计!$Z$2:$Z$500,0)),"")</f>
        <v/>
      </c>
      <c r="G44" s="4" t="str">
        <f>IFERROR(INDEX(样本到样信息汇总统计!G$2:G$500,MATCH(43,样本到样信息汇总统计!$Z$2:$Z$500,0)),"")</f>
        <v/>
      </c>
      <c r="H44" s="4" t="str">
        <f>IFERROR(INDEX(样本到样信息汇总统计!H$2:H$500,MATCH(43,样本到样信息汇总统计!$Z$2:$Z$500,0)),"")</f>
        <v/>
      </c>
      <c r="I44" s="4" t="str">
        <f>IFERROR(INDEX(样本到样信息汇总统计!I$2:I$500,MATCH(43,样本到样信息汇总统计!$Z$2:$Z$500,0)),"")</f>
        <v/>
      </c>
      <c r="J44" s="4" t="str">
        <f>IFERROR(INDEX(样本到样信息汇总统计!J$2:J$500,MATCH(43,样本到样信息汇总统计!$Z$2:$Z$500,0)),"")</f>
        <v/>
      </c>
      <c r="K44" s="4" t="str">
        <f>IFERROR(INDEX(样本到样信息汇总统计!K$2:K$500,MATCH(43,样本到样信息汇总统计!$Z$2:$Z$500,0)),"")</f>
        <v/>
      </c>
      <c r="L44" s="4" t="str">
        <f>IFERROR(INDEX(样本到样信息汇总统计!L$2:L$500,MATCH(43,样本到样信息汇总统计!$Z$2:$Z$500,0)),"")</f>
        <v/>
      </c>
      <c r="M44" s="4" t="str">
        <f>IFERROR(INDEX(样本到样信息汇总统计!M$2:M$500,MATCH(43,样本到样信息汇总统计!$Z$2:$Z$500,0)),"")</f>
        <v/>
      </c>
      <c r="N44" s="4" t="str">
        <f>IFERROR(INDEX(样本到样信息汇总统计!N$2:N$500,MATCH(43,样本到样信息汇总统计!$Z$2:$Z$500,0)),"")</f>
        <v/>
      </c>
      <c r="O44" s="4" t="str">
        <f>IFERROR(INDEX(样本到样信息汇总统计!O$2:O$500,MATCH(43,样本到样信息汇总统计!$Z$2:$Z$500,0)),"")</f>
        <v/>
      </c>
      <c r="P44" s="4" t="str">
        <f>IFERROR(INDEX(样本到样信息汇总统计!P$2:P$500,MATCH(43,样本到样信息汇总统计!$Z$2:$Z$500,0)),"")</f>
        <v/>
      </c>
      <c r="Q44" s="4" t="str">
        <f>IFERROR(INDEX(样本到样信息汇总统计!Q$2:Q$500,MATCH(43,样本到样信息汇总统计!$Z$2:$Z$500,0)),"")</f>
        <v/>
      </c>
      <c r="R44" s="4" t="str">
        <f>IFERROR(INDEX(样本到样信息汇总统计!R$2:R$500,MATCH(43,样本到样信息汇总统计!$Z$2:$Z$500,0)),"")</f>
        <v/>
      </c>
      <c r="S44" s="4" t="str">
        <f>IFERROR(INDEX(样本到样信息汇总统计!S$2:S$500,MATCH(43,样本到样信息汇总统计!$Z$2:$Z$500,0)),"")</f>
        <v/>
      </c>
      <c r="T44" s="4" t="str">
        <f>IFERROR(INDEX(样本到样信息汇总统计!T$2:T$500,MATCH(43,样本到样信息汇总统计!$Z$2:$Z$500,0)),"")</f>
        <v/>
      </c>
      <c r="U44" s="4" t="str">
        <f>IFERROR(INDEX(样本到样信息汇总统计!U$2:U$500,MATCH(43,样本到样信息汇总统计!$Z$2:$Z$500,0)),"")</f>
        <v/>
      </c>
      <c r="V44" s="4" t="str">
        <f>IFERROR(INDEX(样本到样信息汇总统计!V$2:V$500,MATCH(43,样本到样信息汇总统计!$Z$2:$Z$500,0)),"")</f>
        <v/>
      </c>
      <c r="W44" s="4" t="str">
        <f>IFERROR(INDEX(样本到样信息汇总统计!W$2:W$500,MATCH(43,样本到样信息汇总统计!$Z$2:$Z$500,0)),"")</f>
        <v/>
      </c>
    </row>
    <row r="45" ht="14.5" spans="1:23">
      <c r="A45" s="8" t="str">
        <f>IFERROR(INDEX(样本到样信息汇总统计!A$2:A$500,MATCH(44,样本到样信息汇总统计!$Z$2:$Z$500,0)),"")</f>
        <v/>
      </c>
      <c r="B45" s="8" t="str">
        <f>IFERROR(INDEX(样本到样信息汇总统计!B$2:B$500,MATCH(44,样本到样信息汇总统计!$Z$2:$Z$500,0)),"")</f>
        <v/>
      </c>
      <c r="C45" s="8" t="str">
        <f>IFERROR(INDEX(样本到样信息汇总统计!C$2:C$500,MATCH(44,样本到样信息汇总统计!$Z$2:$Z$500,0)),"")</f>
        <v/>
      </c>
      <c r="D45" s="8" t="str">
        <f>IFERROR(INDEX(样本到样信息汇总统计!D$2:D$500,MATCH(44,样本到样信息汇总统计!$Z$2:$Z$500,0)),"")</f>
        <v/>
      </c>
      <c r="E45" s="8" t="str">
        <f>IFERROR(INDEX(样本到样信息汇总统计!E$2:E$500,MATCH(44,样本到样信息汇总统计!$Z$2:$Z$500,0)),"")</f>
        <v/>
      </c>
      <c r="F45" s="8" t="str">
        <f>IFERROR(INDEX(样本到样信息汇总统计!F$2:F$500,MATCH(44,样本到样信息汇总统计!$Z$2:$Z$500,0)),"")</f>
        <v/>
      </c>
      <c r="G45" s="8" t="str">
        <f>IFERROR(INDEX(样本到样信息汇总统计!G$2:G$500,MATCH(44,样本到样信息汇总统计!$Z$2:$Z$500,0)),"")</f>
        <v/>
      </c>
      <c r="H45" s="8" t="str">
        <f>IFERROR(INDEX(样本到样信息汇总统计!H$2:H$500,MATCH(44,样本到样信息汇总统计!$Z$2:$Z$500,0)),"")</f>
        <v/>
      </c>
      <c r="I45" s="8" t="str">
        <f>IFERROR(INDEX(样本到样信息汇总统计!I$2:I$500,MATCH(44,样本到样信息汇总统计!$Z$2:$Z$500,0)),"")</f>
        <v/>
      </c>
      <c r="J45" s="8" t="str">
        <f>IFERROR(INDEX(样本到样信息汇总统计!J$2:J$500,MATCH(44,样本到样信息汇总统计!$Z$2:$Z$500,0)),"")</f>
        <v/>
      </c>
      <c r="K45" s="8" t="str">
        <f>IFERROR(INDEX(样本到样信息汇总统计!K$2:K$500,MATCH(44,样本到样信息汇总统计!$Z$2:$Z$500,0)),"")</f>
        <v/>
      </c>
      <c r="L45" s="8" t="str">
        <f>IFERROR(INDEX(样本到样信息汇总统计!L$2:L$500,MATCH(44,样本到样信息汇总统计!$Z$2:$Z$500,0)),"")</f>
        <v/>
      </c>
      <c r="M45" s="8" t="str">
        <f>IFERROR(INDEX(样本到样信息汇总统计!M$2:M$500,MATCH(44,样本到样信息汇总统计!$Z$2:$Z$500,0)),"")</f>
        <v/>
      </c>
      <c r="N45" s="8" t="str">
        <f>IFERROR(INDEX(样本到样信息汇总统计!N$2:N$500,MATCH(44,样本到样信息汇总统计!$Z$2:$Z$500,0)),"")</f>
        <v/>
      </c>
      <c r="O45" s="8" t="str">
        <f>IFERROR(INDEX(样本到样信息汇总统计!O$2:O$500,MATCH(44,样本到样信息汇总统计!$Z$2:$Z$500,0)),"")</f>
        <v/>
      </c>
      <c r="P45" s="8" t="str">
        <f>IFERROR(INDEX(样本到样信息汇总统计!P$2:P$500,MATCH(44,样本到样信息汇总统计!$Z$2:$Z$500,0)),"")</f>
        <v/>
      </c>
      <c r="Q45" s="8" t="str">
        <f>IFERROR(INDEX(样本到样信息汇总统计!Q$2:Q$500,MATCH(44,样本到样信息汇总统计!$Z$2:$Z$500,0)),"")</f>
        <v/>
      </c>
      <c r="R45" s="8" t="str">
        <f>IFERROR(INDEX(样本到样信息汇总统计!R$2:R$500,MATCH(44,样本到样信息汇总统计!$Z$2:$Z$500,0)),"")</f>
        <v/>
      </c>
      <c r="S45" s="8" t="str">
        <f>IFERROR(INDEX(样本到样信息汇总统计!S$2:S$500,MATCH(44,样本到样信息汇总统计!$Z$2:$Z$500,0)),"")</f>
        <v/>
      </c>
      <c r="T45" s="8" t="str">
        <f>IFERROR(INDEX(样本到样信息汇总统计!T$2:T$500,MATCH(44,样本到样信息汇总统计!$Z$2:$Z$500,0)),"")</f>
        <v/>
      </c>
      <c r="U45" s="8" t="str">
        <f>IFERROR(INDEX(样本到样信息汇总统计!U$2:U$500,MATCH(44,样本到样信息汇总统计!$Z$2:$Z$500,0)),"")</f>
        <v/>
      </c>
      <c r="V45" s="8" t="str">
        <f>IFERROR(INDEX(样本到样信息汇总统计!V$2:V$500,MATCH(44,样本到样信息汇总统计!$Z$2:$Z$500,0)),"")</f>
        <v/>
      </c>
      <c r="W45" s="8" t="str">
        <f>IFERROR(INDEX(样本到样信息汇总统计!W$2:W$500,MATCH(44,样本到样信息汇总统计!$Z$2:$Z$500,0)),"")</f>
        <v/>
      </c>
    </row>
    <row r="46" ht="14.5" spans="1:23">
      <c r="A46" s="4" t="str">
        <f>IFERROR(INDEX(样本到样信息汇总统计!A$2:A$500,MATCH(45,样本到样信息汇总统计!$Z$2:$Z$500,0)),"")</f>
        <v/>
      </c>
      <c r="B46" s="4" t="str">
        <f>IFERROR(INDEX(样本到样信息汇总统计!B$2:B$500,MATCH(45,样本到样信息汇总统计!$Z$2:$Z$500,0)),"")</f>
        <v/>
      </c>
      <c r="C46" s="4" t="str">
        <f>IFERROR(INDEX(样本到样信息汇总统计!C$2:C$500,MATCH(45,样本到样信息汇总统计!$Z$2:$Z$500,0)),"")</f>
        <v/>
      </c>
      <c r="D46" s="4" t="str">
        <f>IFERROR(INDEX(样本到样信息汇总统计!D$2:D$500,MATCH(45,样本到样信息汇总统计!$Z$2:$Z$500,0)),"")</f>
        <v/>
      </c>
      <c r="E46" s="4" t="str">
        <f>IFERROR(INDEX(样本到样信息汇总统计!E$2:E$500,MATCH(45,样本到样信息汇总统计!$Z$2:$Z$500,0)),"")</f>
        <v/>
      </c>
      <c r="F46" s="4" t="str">
        <f>IFERROR(INDEX(样本到样信息汇总统计!F$2:F$500,MATCH(45,样本到样信息汇总统计!$Z$2:$Z$500,0)),"")</f>
        <v/>
      </c>
      <c r="G46" s="4" t="str">
        <f>IFERROR(INDEX(样本到样信息汇总统计!G$2:G$500,MATCH(45,样本到样信息汇总统计!$Z$2:$Z$500,0)),"")</f>
        <v/>
      </c>
      <c r="H46" s="4" t="str">
        <f>IFERROR(INDEX(样本到样信息汇总统计!H$2:H$500,MATCH(45,样本到样信息汇总统计!$Z$2:$Z$500,0)),"")</f>
        <v/>
      </c>
      <c r="I46" s="4" t="str">
        <f>IFERROR(INDEX(样本到样信息汇总统计!I$2:I$500,MATCH(45,样本到样信息汇总统计!$Z$2:$Z$500,0)),"")</f>
        <v/>
      </c>
      <c r="J46" s="4" t="str">
        <f>IFERROR(INDEX(样本到样信息汇总统计!J$2:J$500,MATCH(45,样本到样信息汇总统计!$Z$2:$Z$500,0)),"")</f>
        <v/>
      </c>
      <c r="K46" s="4" t="str">
        <f>IFERROR(INDEX(样本到样信息汇总统计!K$2:K$500,MATCH(45,样本到样信息汇总统计!$Z$2:$Z$500,0)),"")</f>
        <v/>
      </c>
      <c r="L46" s="4" t="str">
        <f>IFERROR(INDEX(样本到样信息汇总统计!L$2:L$500,MATCH(45,样本到样信息汇总统计!$Z$2:$Z$500,0)),"")</f>
        <v/>
      </c>
      <c r="M46" s="4" t="str">
        <f>IFERROR(INDEX(样本到样信息汇总统计!M$2:M$500,MATCH(45,样本到样信息汇总统计!$Z$2:$Z$500,0)),"")</f>
        <v/>
      </c>
      <c r="N46" s="4" t="str">
        <f>IFERROR(INDEX(样本到样信息汇总统计!N$2:N$500,MATCH(45,样本到样信息汇总统计!$Z$2:$Z$500,0)),"")</f>
        <v/>
      </c>
      <c r="O46" s="4" t="str">
        <f>IFERROR(INDEX(样本到样信息汇总统计!O$2:O$500,MATCH(45,样本到样信息汇总统计!$Z$2:$Z$500,0)),"")</f>
        <v/>
      </c>
      <c r="P46" s="4" t="str">
        <f>IFERROR(INDEX(样本到样信息汇总统计!P$2:P$500,MATCH(45,样本到样信息汇总统计!$Z$2:$Z$500,0)),"")</f>
        <v/>
      </c>
      <c r="Q46" s="4" t="str">
        <f>IFERROR(INDEX(样本到样信息汇总统计!Q$2:Q$500,MATCH(45,样本到样信息汇总统计!$Z$2:$Z$500,0)),"")</f>
        <v/>
      </c>
      <c r="R46" s="4" t="str">
        <f>IFERROR(INDEX(样本到样信息汇总统计!R$2:R$500,MATCH(45,样本到样信息汇总统计!$Z$2:$Z$500,0)),"")</f>
        <v/>
      </c>
      <c r="S46" s="4" t="str">
        <f>IFERROR(INDEX(样本到样信息汇总统计!S$2:S$500,MATCH(45,样本到样信息汇总统计!$Z$2:$Z$500,0)),"")</f>
        <v/>
      </c>
      <c r="T46" s="4" t="str">
        <f>IFERROR(INDEX(样本到样信息汇总统计!T$2:T$500,MATCH(45,样本到样信息汇总统计!$Z$2:$Z$500,0)),"")</f>
        <v/>
      </c>
      <c r="U46" s="4" t="str">
        <f>IFERROR(INDEX(样本到样信息汇总统计!U$2:U$500,MATCH(45,样本到样信息汇总统计!$Z$2:$Z$500,0)),"")</f>
        <v/>
      </c>
      <c r="V46" s="4" t="str">
        <f>IFERROR(INDEX(样本到样信息汇总统计!V$2:V$500,MATCH(45,样本到样信息汇总统计!$Z$2:$Z$500,0)),"")</f>
        <v/>
      </c>
      <c r="W46" s="4" t="str">
        <f>IFERROR(INDEX(样本到样信息汇总统计!W$2:W$500,MATCH(45,样本到样信息汇总统计!$Z$2:$Z$500,0)),"")</f>
        <v/>
      </c>
    </row>
    <row r="47" ht="14.5" spans="1:23">
      <c r="A47" s="8" t="str">
        <f>IFERROR(INDEX(样本到样信息汇总统计!A$2:A$500,MATCH(46,样本到样信息汇总统计!$Z$2:$Z$500,0)),"")</f>
        <v/>
      </c>
      <c r="B47" s="8" t="str">
        <f>IFERROR(INDEX(样本到样信息汇总统计!B$2:B$500,MATCH(46,样本到样信息汇总统计!$Z$2:$Z$500,0)),"")</f>
        <v/>
      </c>
      <c r="C47" s="8" t="str">
        <f>IFERROR(INDEX(样本到样信息汇总统计!C$2:C$500,MATCH(46,样本到样信息汇总统计!$Z$2:$Z$500,0)),"")</f>
        <v/>
      </c>
      <c r="D47" s="8" t="str">
        <f>IFERROR(INDEX(样本到样信息汇总统计!D$2:D$500,MATCH(46,样本到样信息汇总统计!$Z$2:$Z$500,0)),"")</f>
        <v/>
      </c>
      <c r="E47" s="8" t="str">
        <f>IFERROR(INDEX(样本到样信息汇总统计!E$2:E$500,MATCH(46,样本到样信息汇总统计!$Z$2:$Z$500,0)),"")</f>
        <v/>
      </c>
      <c r="F47" s="8" t="str">
        <f>IFERROR(INDEX(样本到样信息汇总统计!F$2:F$500,MATCH(46,样本到样信息汇总统计!$Z$2:$Z$500,0)),"")</f>
        <v/>
      </c>
      <c r="G47" s="8" t="str">
        <f>IFERROR(INDEX(样本到样信息汇总统计!G$2:G$500,MATCH(46,样本到样信息汇总统计!$Z$2:$Z$500,0)),"")</f>
        <v/>
      </c>
      <c r="H47" s="8" t="str">
        <f>IFERROR(INDEX(样本到样信息汇总统计!H$2:H$500,MATCH(46,样本到样信息汇总统计!$Z$2:$Z$500,0)),"")</f>
        <v/>
      </c>
      <c r="I47" s="8" t="str">
        <f>IFERROR(INDEX(样本到样信息汇总统计!I$2:I$500,MATCH(46,样本到样信息汇总统计!$Z$2:$Z$500,0)),"")</f>
        <v/>
      </c>
      <c r="J47" s="8" t="str">
        <f>IFERROR(INDEX(样本到样信息汇总统计!J$2:J$500,MATCH(46,样本到样信息汇总统计!$Z$2:$Z$500,0)),"")</f>
        <v/>
      </c>
      <c r="K47" s="8" t="str">
        <f>IFERROR(INDEX(样本到样信息汇总统计!K$2:K$500,MATCH(46,样本到样信息汇总统计!$Z$2:$Z$500,0)),"")</f>
        <v/>
      </c>
      <c r="L47" s="8" t="str">
        <f>IFERROR(INDEX(样本到样信息汇总统计!L$2:L$500,MATCH(46,样本到样信息汇总统计!$Z$2:$Z$500,0)),"")</f>
        <v/>
      </c>
      <c r="M47" s="8" t="str">
        <f>IFERROR(INDEX(样本到样信息汇总统计!M$2:M$500,MATCH(46,样本到样信息汇总统计!$Z$2:$Z$500,0)),"")</f>
        <v/>
      </c>
      <c r="N47" s="8" t="str">
        <f>IFERROR(INDEX(样本到样信息汇总统计!N$2:N$500,MATCH(46,样本到样信息汇总统计!$Z$2:$Z$500,0)),"")</f>
        <v/>
      </c>
      <c r="O47" s="8" t="str">
        <f>IFERROR(INDEX(样本到样信息汇总统计!O$2:O$500,MATCH(46,样本到样信息汇总统计!$Z$2:$Z$500,0)),"")</f>
        <v/>
      </c>
      <c r="P47" s="8" t="str">
        <f>IFERROR(INDEX(样本到样信息汇总统计!P$2:P$500,MATCH(46,样本到样信息汇总统计!$Z$2:$Z$500,0)),"")</f>
        <v/>
      </c>
      <c r="Q47" s="8" t="str">
        <f>IFERROR(INDEX(样本到样信息汇总统计!Q$2:Q$500,MATCH(46,样本到样信息汇总统计!$Z$2:$Z$500,0)),"")</f>
        <v/>
      </c>
      <c r="R47" s="8" t="str">
        <f>IFERROR(INDEX(样本到样信息汇总统计!R$2:R$500,MATCH(46,样本到样信息汇总统计!$Z$2:$Z$500,0)),"")</f>
        <v/>
      </c>
      <c r="S47" s="8" t="str">
        <f>IFERROR(INDEX(样本到样信息汇总统计!S$2:S$500,MATCH(46,样本到样信息汇总统计!$Z$2:$Z$500,0)),"")</f>
        <v/>
      </c>
      <c r="T47" s="8" t="str">
        <f>IFERROR(INDEX(样本到样信息汇总统计!T$2:T$500,MATCH(46,样本到样信息汇总统计!$Z$2:$Z$500,0)),"")</f>
        <v/>
      </c>
      <c r="U47" s="8" t="str">
        <f>IFERROR(INDEX(样本到样信息汇总统计!U$2:U$500,MATCH(46,样本到样信息汇总统计!$Z$2:$Z$500,0)),"")</f>
        <v/>
      </c>
      <c r="V47" s="8" t="str">
        <f>IFERROR(INDEX(样本到样信息汇总统计!V$2:V$500,MATCH(46,样本到样信息汇总统计!$Z$2:$Z$500,0)),"")</f>
        <v/>
      </c>
      <c r="W47" s="8" t="str">
        <f>IFERROR(INDEX(样本到样信息汇总统计!W$2:W$500,MATCH(46,样本到样信息汇总统计!$Z$2:$Z$500,0)),"")</f>
        <v/>
      </c>
    </row>
    <row r="48" ht="14.5" spans="1:23">
      <c r="A48" s="4" t="str">
        <f>IFERROR(INDEX(样本到样信息汇总统计!A$2:A$500,MATCH(47,样本到样信息汇总统计!$Z$2:$Z$500,0)),"")</f>
        <v/>
      </c>
      <c r="B48" s="4" t="str">
        <f>IFERROR(INDEX(样本到样信息汇总统计!B$2:B$500,MATCH(47,样本到样信息汇总统计!$Z$2:$Z$500,0)),"")</f>
        <v/>
      </c>
      <c r="C48" s="4" t="str">
        <f>IFERROR(INDEX(样本到样信息汇总统计!C$2:C$500,MATCH(47,样本到样信息汇总统计!$Z$2:$Z$500,0)),"")</f>
        <v/>
      </c>
      <c r="D48" s="4" t="str">
        <f>IFERROR(INDEX(样本到样信息汇总统计!D$2:D$500,MATCH(47,样本到样信息汇总统计!$Z$2:$Z$500,0)),"")</f>
        <v/>
      </c>
      <c r="E48" s="4" t="str">
        <f>IFERROR(INDEX(样本到样信息汇总统计!E$2:E$500,MATCH(47,样本到样信息汇总统计!$Z$2:$Z$500,0)),"")</f>
        <v/>
      </c>
      <c r="F48" s="4" t="str">
        <f>IFERROR(INDEX(样本到样信息汇总统计!F$2:F$500,MATCH(47,样本到样信息汇总统计!$Z$2:$Z$500,0)),"")</f>
        <v/>
      </c>
      <c r="G48" s="4" t="str">
        <f>IFERROR(INDEX(样本到样信息汇总统计!G$2:G$500,MATCH(47,样本到样信息汇总统计!$Z$2:$Z$500,0)),"")</f>
        <v/>
      </c>
      <c r="H48" s="4" t="str">
        <f>IFERROR(INDEX(样本到样信息汇总统计!H$2:H$500,MATCH(47,样本到样信息汇总统计!$Z$2:$Z$500,0)),"")</f>
        <v/>
      </c>
      <c r="I48" s="4" t="str">
        <f>IFERROR(INDEX(样本到样信息汇总统计!I$2:I$500,MATCH(47,样本到样信息汇总统计!$Z$2:$Z$500,0)),"")</f>
        <v/>
      </c>
      <c r="J48" s="4" t="str">
        <f>IFERROR(INDEX(样本到样信息汇总统计!J$2:J$500,MATCH(47,样本到样信息汇总统计!$Z$2:$Z$500,0)),"")</f>
        <v/>
      </c>
      <c r="K48" s="4" t="str">
        <f>IFERROR(INDEX(样本到样信息汇总统计!K$2:K$500,MATCH(47,样本到样信息汇总统计!$Z$2:$Z$500,0)),"")</f>
        <v/>
      </c>
      <c r="L48" s="4" t="str">
        <f>IFERROR(INDEX(样本到样信息汇总统计!L$2:L$500,MATCH(47,样本到样信息汇总统计!$Z$2:$Z$500,0)),"")</f>
        <v/>
      </c>
      <c r="M48" s="4" t="str">
        <f>IFERROR(INDEX(样本到样信息汇总统计!M$2:M$500,MATCH(47,样本到样信息汇总统计!$Z$2:$Z$500,0)),"")</f>
        <v/>
      </c>
      <c r="N48" s="4" t="str">
        <f>IFERROR(INDEX(样本到样信息汇总统计!N$2:N$500,MATCH(47,样本到样信息汇总统计!$Z$2:$Z$500,0)),"")</f>
        <v/>
      </c>
      <c r="O48" s="4" t="str">
        <f>IFERROR(INDEX(样本到样信息汇总统计!O$2:O$500,MATCH(47,样本到样信息汇总统计!$Z$2:$Z$500,0)),"")</f>
        <v/>
      </c>
      <c r="P48" s="4" t="str">
        <f>IFERROR(INDEX(样本到样信息汇总统计!P$2:P$500,MATCH(47,样本到样信息汇总统计!$Z$2:$Z$500,0)),"")</f>
        <v/>
      </c>
      <c r="Q48" s="4" t="str">
        <f>IFERROR(INDEX(样本到样信息汇总统计!Q$2:Q$500,MATCH(47,样本到样信息汇总统计!$Z$2:$Z$500,0)),"")</f>
        <v/>
      </c>
      <c r="R48" s="4" t="str">
        <f>IFERROR(INDEX(样本到样信息汇总统计!R$2:R$500,MATCH(47,样本到样信息汇总统计!$Z$2:$Z$500,0)),"")</f>
        <v/>
      </c>
      <c r="S48" s="4" t="str">
        <f>IFERROR(INDEX(样本到样信息汇总统计!S$2:S$500,MATCH(47,样本到样信息汇总统计!$Z$2:$Z$500,0)),"")</f>
        <v/>
      </c>
      <c r="T48" s="4" t="str">
        <f>IFERROR(INDEX(样本到样信息汇总统计!T$2:T$500,MATCH(47,样本到样信息汇总统计!$Z$2:$Z$500,0)),"")</f>
        <v/>
      </c>
      <c r="U48" s="4" t="str">
        <f>IFERROR(INDEX(样本到样信息汇总统计!U$2:U$500,MATCH(47,样本到样信息汇总统计!$Z$2:$Z$500,0)),"")</f>
        <v/>
      </c>
      <c r="V48" s="4" t="str">
        <f>IFERROR(INDEX(样本到样信息汇总统计!V$2:V$500,MATCH(47,样本到样信息汇总统计!$Z$2:$Z$500,0)),"")</f>
        <v/>
      </c>
      <c r="W48" s="4" t="str">
        <f>IFERROR(INDEX(样本到样信息汇总统计!W$2:W$500,MATCH(47,样本到样信息汇总统计!$Z$2:$Z$500,0)),"")</f>
        <v/>
      </c>
    </row>
    <row r="49" ht="14.5" spans="1:23">
      <c r="A49" s="8" t="str">
        <f>IFERROR(INDEX(样本到样信息汇总统计!A$2:A$500,MATCH(48,样本到样信息汇总统计!$Z$2:$Z$500,0)),"")</f>
        <v/>
      </c>
      <c r="B49" s="8" t="str">
        <f>IFERROR(INDEX(样本到样信息汇总统计!B$2:B$500,MATCH(48,样本到样信息汇总统计!$Z$2:$Z$500,0)),"")</f>
        <v/>
      </c>
      <c r="C49" s="8" t="str">
        <f>IFERROR(INDEX(样本到样信息汇总统计!C$2:C$500,MATCH(48,样本到样信息汇总统计!$Z$2:$Z$500,0)),"")</f>
        <v/>
      </c>
      <c r="D49" s="8" t="str">
        <f>IFERROR(INDEX(样本到样信息汇总统计!D$2:D$500,MATCH(48,样本到样信息汇总统计!$Z$2:$Z$500,0)),"")</f>
        <v/>
      </c>
      <c r="E49" s="8" t="str">
        <f>IFERROR(INDEX(样本到样信息汇总统计!E$2:E$500,MATCH(48,样本到样信息汇总统计!$Z$2:$Z$500,0)),"")</f>
        <v/>
      </c>
      <c r="F49" s="8" t="str">
        <f>IFERROR(INDEX(样本到样信息汇总统计!F$2:F$500,MATCH(48,样本到样信息汇总统计!$Z$2:$Z$500,0)),"")</f>
        <v/>
      </c>
      <c r="G49" s="8" t="str">
        <f>IFERROR(INDEX(样本到样信息汇总统计!G$2:G$500,MATCH(48,样本到样信息汇总统计!$Z$2:$Z$500,0)),"")</f>
        <v/>
      </c>
      <c r="H49" s="8" t="str">
        <f>IFERROR(INDEX(样本到样信息汇总统计!H$2:H$500,MATCH(48,样本到样信息汇总统计!$Z$2:$Z$500,0)),"")</f>
        <v/>
      </c>
      <c r="I49" s="8" t="str">
        <f>IFERROR(INDEX(样本到样信息汇总统计!I$2:I$500,MATCH(48,样本到样信息汇总统计!$Z$2:$Z$500,0)),"")</f>
        <v/>
      </c>
      <c r="J49" s="8" t="str">
        <f>IFERROR(INDEX(样本到样信息汇总统计!J$2:J$500,MATCH(48,样本到样信息汇总统计!$Z$2:$Z$500,0)),"")</f>
        <v/>
      </c>
      <c r="K49" s="8" t="str">
        <f>IFERROR(INDEX(样本到样信息汇总统计!K$2:K$500,MATCH(48,样本到样信息汇总统计!$Z$2:$Z$500,0)),"")</f>
        <v/>
      </c>
      <c r="L49" s="8" t="str">
        <f>IFERROR(INDEX(样本到样信息汇总统计!L$2:L$500,MATCH(48,样本到样信息汇总统计!$Z$2:$Z$500,0)),"")</f>
        <v/>
      </c>
      <c r="M49" s="8" t="str">
        <f>IFERROR(INDEX(样本到样信息汇总统计!M$2:M$500,MATCH(48,样本到样信息汇总统计!$Z$2:$Z$500,0)),"")</f>
        <v/>
      </c>
      <c r="N49" s="8" t="str">
        <f>IFERROR(INDEX(样本到样信息汇总统计!N$2:N$500,MATCH(48,样本到样信息汇总统计!$Z$2:$Z$500,0)),"")</f>
        <v/>
      </c>
      <c r="O49" s="8" t="str">
        <f>IFERROR(INDEX(样本到样信息汇总统计!O$2:O$500,MATCH(48,样本到样信息汇总统计!$Z$2:$Z$500,0)),"")</f>
        <v/>
      </c>
      <c r="P49" s="8" t="str">
        <f>IFERROR(INDEX(样本到样信息汇总统计!P$2:P$500,MATCH(48,样本到样信息汇总统计!$Z$2:$Z$500,0)),"")</f>
        <v/>
      </c>
      <c r="Q49" s="8" t="str">
        <f>IFERROR(INDEX(样本到样信息汇总统计!Q$2:Q$500,MATCH(48,样本到样信息汇总统计!$Z$2:$Z$500,0)),"")</f>
        <v/>
      </c>
      <c r="R49" s="8" t="str">
        <f>IFERROR(INDEX(样本到样信息汇总统计!R$2:R$500,MATCH(48,样本到样信息汇总统计!$Z$2:$Z$500,0)),"")</f>
        <v/>
      </c>
      <c r="S49" s="8" t="str">
        <f>IFERROR(INDEX(样本到样信息汇总统计!S$2:S$500,MATCH(48,样本到样信息汇总统计!$Z$2:$Z$500,0)),"")</f>
        <v/>
      </c>
      <c r="T49" s="8" t="str">
        <f>IFERROR(INDEX(样本到样信息汇总统计!T$2:T$500,MATCH(48,样本到样信息汇总统计!$Z$2:$Z$500,0)),"")</f>
        <v/>
      </c>
      <c r="U49" s="8" t="str">
        <f>IFERROR(INDEX(样本到样信息汇总统计!U$2:U$500,MATCH(48,样本到样信息汇总统计!$Z$2:$Z$500,0)),"")</f>
        <v/>
      </c>
      <c r="V49" s="8" t="str">
        <f>IFERROR(INDEX(样本到样信息汇总统计!V$2:V$500,MATCH(48,样本到样信息汇总统计!$Z$2:$Z$500,0)),"")</f>
        <v/>
      </c>
      <c r="W49" s="8" t="str">
        <f>IFERROR(INDEX(样本到样信息汇总统计!W$2:W$500,MATCH(48,样本到样信息汇总统计!$Z$2:$Z$500,0)),"")</f>
        <v/>
      </c>
    </row>
    <row r="50" ht="14.5" spans="1:23">
      <c r="A50" s="4" t="str">
        <f>IFERROR(INDEX(样本到样信息汇总统计!A$2:A$500,MATCH(49,样本到样信息汇总统计!$Z$2:$Z$500,0)),"")</f>
        <v/>
      </c>
      <c r="B50" s="4" t="str">
        <f>IFERROR(INDEX(样本到样信息汇总统计!B$2:B$500,MATCH(49,样本到样信息汇总统计!$Z$2:$Z$500,0)),"")</f>
        <v/>
      </c>
      <c r="C50" s="4" t="str">
        <f>IFERROR(INDEX(样本到样信息汇总统计!C$2:C$500,MATCH(49,样本到样信息汇总统计!$Z$2:$Z$500,0)),"")</f>
        <v/>
      </c>
      <c r="D50" s="4" t="str">
        <f>IFERROR(INDEX(样本到样信息汇总统计!D$2:D$500,MATCH(49,样本到样信息汇总统计!$Z$2:$Z$500,0)),"")</f>
        <v/>
      </c>
      <c r="E50" s="4" t="str">
        <f>IFERROR(INDEX(样本到样信息汇总统计!E$2:E$500,MATCH(49,样本到样信息汇总统计!$Z$2:$Z$500,0)),"")</f>
        <v/>
      </c>
      <c r="F50" s="4" t="str">
        <f>IFERROR(INDEX(样本到样信息汇总统计!F$2:F$500,MATCH(49,样本到样信息汇总统计!$Z$2:$Z$500,0)),"")</f>
        <v/>
      </c>
      <c r="G50" s="4" t="str">
        <f>IFERROR(INDEX(样本到样信息汇总统计!G$2:G$500,MATCH(49,样本到样信息汇总统计!$Z$2:$Z$500,0)),"")</f>
        <v/>
      </c>
      <c r="H50" s="4" t="str">
        <f>IFERROR(INDEX(样本到样信息汇总统计!H$2:H$500,MATCH(49,样本到样信息汇总统计!$Z$2:$Z$500,0)),"")</f>
        <v/>
      </c>
      <c r="I50" s="4" t="str">
        <f>IFERROR(INDEX(样本到样信息汇总统计!I$2:I$500,MATCH(49,样本到样信息汇总统计!$Z$2:$Z$500,0)),"")</f>
        <v/>
      </c>
      <c r="J50" s="4" t="str">
        <f>IFERROR(INDEX(样本到样信息汇总统计!J$2:J$500,MATCH(49,样本到样信息汇总统计!$Z$2:$Z$500,0)),"")</f>
        <v/>
      </c>
      <c r="K50" s="4" t="str">
        <f>IFERROR(INDEX(样本到样信息汇总统计!K$2:K$500,MATCH(49,样本到样信息汇总统计!$Z$2:$Z$500,0)),"")</f>
        <v/>
      </c>
      <c r="L50" s="4" t="str">
        <f>IFERROR(INDEX(样本到样信息汇总统计!L$2:L$500,MATCH(49,样本到样信息汇总统计!$Z$2:$Z$500,0)),"")</f>
        <v/>
      </c>
      <c r="M50" s="4" t="str">
        <f>IFERROR(INDEX(样本到样信息汇总统计!M$2:M$500,MATCH(49,样本到样信息汇总统计!$Z$2:$Z$500,0)),"")</f>
        <v/>
      </c>
      <c r="N50" s="4" t="str">
        <f>IFERROR(INDEX(样本到样信息汇总统计!N$2:N$500,MATCH(49,样本到样信息汇总统计!$Z$2:$Z$500,0)),"")</f>
        <v/>
      </c>
      <c r="O50" s="4" t="str">
        <f>IFERROR(INDEX(样本到样信息汇总统计!O$2:O$500,MATCH(49,样本到样信息汇总统计!$Z$2:$Z$500,0)),"")</f>
        <v/>
      </c>
      <c r="P50" s="4" t="str">
        <f>IFERROR(INDEX(样本到样信息汇总统计!P$2:P$500,MATCH(49,样本到样信息汇总统计!$Z$2:$Z$500,0)),"")</f>
        <v/>
      </c>
      <c r="Q50" s="4" t="str">
        <f>IFERROR(INDEX(样本到样信息汇总统计!Q$2:Q$500,MATCH(49,样本到样信息汇总统计!$Z$2:$Z$500,0)),"")</f>
        <v/>
      </c>
      <c r="R50" s="4" t="str">
        <f>IFERROR(INDEX(样本到样信息汇总统计!R$2:R$500,MATCH(49,样本到样信息汇总统计!$Z$2:$Z$500,0)),"")</f>
        <v/>
      </c>
      <c r="S50" s="4" t="str">
        <f>IFERROR(INDEX(样本到样信息汇总统计!S$2:S$500,MATCH(49,样本到样信息汇总统计!$Z$2:$Z$500,0)),"")</f>
        <v/>
      </c>
      <c r="T50" s="4" t="str">
        <f>IFERROR(INDEX(样本到样信息汇总统计!T$2:T$500,MATCH(49,样本到样信息汇总统计!$Z$2:$Z$500,0)),"")</f>
        <v/>
      </c>
      <c r="U50" s="4" t="str">
        <f>IFERROR(INDEX(样本到样信息汇总统计!U$2:U$500,MATCH(49,样本到样信息汇总统计!$Z$2:$Z$500,0)),"")</f>
        <v/>
      </c>
      <c r="V50" s="4" t="str">
        <f>IFERROR(INDEX(样本到样信息汇总统计!V$2:V$500,MATCH(49,样本到样信息汇总统计!$Z$2:$Z$500,0)),"")</f>
        <v/>
      </c>
      <c r="W50" s="4" t="str">
        <f>IFERROR(INDEX(样本到样信息汇总统计!W$2:W$500,MATCH(49,样本到样信息汇总统计!$Z$2:$Z$500,0)),"")</f>
        <v/>
      </c>
    </row>
    <row r="51" ht="14.5" spans="1:23">
      <c r="A51" s="8" t="str">
        <f>IFERROR(INDEX(样本到样信息汇总统计!A$2:A$500,MATCH(50,样本到样信息汇总统计!$Z$2:$Z$500,0)),"")</f>
        <v/>
      </c>
      <c r="B51" s="8" t="str">
        <f>IFERROR(INDEX(样本到样信息汇总统计!B$2:B$500,MATCH(50,样本到样信息汇总统计!$Z$2:$Z$500,0)),"")</f>
        <v/>
      </c>
      <c r="C51" s="8" t="str">
        <f>IFERROR(INDEX(样本到样信息汇总统计!C$2:C$500,MATCH(50,样本到样信息汇总统计!$Z$2:$Z$500,0)),"")</f>
        <v/>
      </c>
      <c r="D51" s="8" t="str">
        <f>IFERROR(INDEX(样本到样信息汇总统计!D$2:D$500,MATCH(50,样本到样信息汇总统计!$Z$2:$Z$500,0)),"")</f>
        <v/>
      </c>
      <c r="E51" s="8" t="str">
        <f>IFERROR(INDEX(样本到样信息汇总统计!E$2:E$500,MATCH(50,样本到样信息汇总统计!$Z$2:$Z$500,0)),"")</f>
        <v/>
      </c>
      <c r="F51" s="8" t="str">
        <f>IFERROR(INDEX(样本到样信息汇总统计!F$2:F$500,MATCH(50,样本到样信息汇总统计!$Z$2:$Z$500,0)),"")</f>
        <v/>
      </c>
      <c r="G51" s="8" t="str">
        <f>IFERROR(INDEX(样本到样信息汇总统计!G$2:G$500,MATCH(50,样本到样信息汇总统计!$Z$2:$Z$500,0)),"")</f>
        <v/>
      </c>
      <c r="H51" s="8" t="str">
        <f>IFERROR(INDEX(样本到样信息汇总统计!H$2:H$500,MATCH(50,样本到样信息汇总统计!$Z$2:$Z$500,0)),"")</f>
        <v/>
      </c>
      <c r="I51" s="8" t="str">
        <f>IFERROR(INDEX(样本到样信息汇总统计!I$2:I$500,MATCH(50,样本到样信息汇总统计!$Z$2:$Z$500,0)),"")</f>
        <v/>
      </c>
      <c r="J51" s="8" t="str">
        <f>IFERROR(INDEX(样本到样信息汇总统计!J$2:J$500,MATCH(50,样本到样信息汇总统计!$Z$2:$Z$500,0)),"")</f>
        <v/>
      </c>
      <c r="K51" s="8" t="str">
        <f>IFERROR(INDEX(样本到样信息汇总统计!K$2:K$500,MATCH(50,样本到样信息汇总统计!$Z$2:$Z$500,0)),"")</f>
        <v/>
      </c>
      <c r="L51" s="8" t="str">
        <f>IFERROR(INDEX(样本到样信息汇总统计!L$2:L$500,MATCH(50,样本到样信息汇总统计!$Z$2:$Z$500,0)),"")</f>
        <v/>
      </c>
      <c r="M51" s="8" t="str">
        <f>IFERROR(INDEX(样本到样信息汇总统计!M$2:M$500,MATCH(50,样本到样信息汇总统计!$Z$2:$Z$500,0)),"")</f>
        <v/>
      </c>
      <c r="N51" s="8" t="str">
        <f>IFERROR(INDEX(样本到样信息汇总统计!N$2:N$500,MATCH(50,样本到样信息汇总统计!$Z$2:$Z$500,0)),"")</f>
        <v/>
      </c>
      <c r="O51" s="8" t="str">
        <f>IFERROR(INDEX(样本到样信息汇总统计!O$2:O$500,MATCH(50,样本到样信息汇总统计!$Z$2:$Z$500,0)),"")</f>
        <v/>
      </c>
      <c r="P51" s="8" t="str">
        <f>IFERROR(INDEX(样本到样信息汇总统计!P$2:P$500,MATCH(50,样本到样信息汇总统计!$Z$2:$Z$500,0)),"")</f>
        <v/>
      </c>
      <c r="Q51" s="8" t="str">
        <f>IFERROR(INDEX(样本到样信息汇总统计!Q$2:Q$500,MATCH(50,样本到样信息汇总统计!$Z$2:$Z$500,0)),"")</f>
        <v/>
      </c>
      <c r="R51" s="8" t="str">
        <f>IFERROR(INDEX(样本到样信息汇总统计!R$2:R$500,MATCH(50,样本到样信息汇总统计!$Z$2:$Z$500,0)),"")</f>
        <v/>
      </c>
      <c r="S51" s="8" t="str">
        <f>IFERROR(INDEX(样本到样信息汇总统计!S$2:S$500,MATCH(50,样本到样信息汇总统计!$Z$2:$Z$500,0)),"")</f>
        <v/>
      </c>
      <c r="T51" s="8" t="str">
        <f>IFERROR(INDEX(样本到样信息汇总统计!T$2:T$500,MATCH(50,样本到样信息汇总统计!$Z$2:$Z$500,0)),"")</f>
        <v/>
      </c>
      <c r="U51" s="8" t="str">
        <f>IFERROR(INDEX(样本到样信息汇总统计!U$2:U$500,MATCH(50,样本到样信息汇总统计!$Z$2:$Z$500,0)),"")</f>
        <v/>
      </c>
      <c r="V51" s="8" t="str">
        <f>IFERROR(INDEX(样本到样信息汇总统计!V$2:V$500,MATCH(50,样本到样信息汇总统计!$Z$2:$Z$500,0)),"")</f>
        <v/>
      </c>
      <c r="W51" s="8" t="str">
        <f>IFERROR(INDEX(样本到样信息汇总统计!W$2:W$500,MATCH(50,样本到样信息汇总统计!$Z$2:$Z$500,0)),"")</f>
        <v/>
      </c>
    </row>
    <row r="52" ht="14.5" spans="1:23">
      <c r="A52" s="4" t="str">
        <f>IFERROR(INDEX(样本到样信息汇总统计!A$2:A$500,MATCH(51,样本到样信息汇总统计!$Z$2:$Z$500,0)),"")</f>
        <v/>
      </c>
      <c r="B52" s="4" t="str">
        <f>IFERROR(INDEX(样本到样信息汇总统计!B$2:B$500,MATCH(51,样本到样信息汇总统计!$Z$2:$Z$500,0)),"")</f>
        <v/>
      </c>
      <c r="C52" s="4" t="str">
        <f>IFERROR(INDEX(样本到样信息汇总统计!C$2:C$500,MATCH(51,样本到样信息汇总统计!$Z$2:$Z$500,0)),"")</f>
        <v/>
      </c>
      <c r="D52" s="4" t="str">
        <f>IFERROR(INDEX(样本到样信息汇总统计!D$2:D$500,MATCH(51,样本到样信息汇总统计!$Z$2:$Z$500,0)),"")</f>
        <v/>
      </c>
      <c r="E52" s="4" t="str">
        <f>IFERROR(INDEX(样本到样信息汇总统计!E$2:E$500,MATCH(51,样本到样信息汇总统计!$Z$2:$Z$500,0)),"")</f>
        <v/>
      </c>
      <c r="F52" s="4" t="str">
        <f>IFERROR(INDEX(样本到样信息汇总统计!F$2:F$500,MATCH(51,样本到样信息汇总统计!$Z$2:$Z$500,0)),"")</f>
        <v/>
      </c>
      <c r="G52" s="4" t="str">
        <f>IFERROR(INDEX(样本到样信息汇总统计!G$2:G$500,MATCH(51,样本到样信息汇总统计!$Z$2:$Z$500,0)),"")</f>
        <v/>
      </c>
      <c r="H52" s="4" t="str">
        <f>IFERROR(INDEX(样本到样信息汇总统计!H$2:H$500,MATCH(51,样本到样信息汇总统计!$Z$2:$Z$500,0)),"")</f>
        <v/>
      </c>
      <c r="I52" s="4" t="str">
        <f>IFERROR(INDEX(样本到样信息汇总统计!I$2:I$500,MATCH(51,样本到样信息汇总统计!$Z$2:$Z$500,0)),"")</f>
        <v/>
      </c>
      <c r="J52" s="4" t="str">
        <f>IFERROR(INDEX(样本到样信息汇总统计!J$2:J$500,MATCH(51,样本到样信息汇总统计!$Z$2:$Z$500,0)),"")</f>
        <v/>
      </c>
      <c r="K52" s="4" t="str">
        <f>IFERROR(INDEX(样本到样信息汇总统计!K$2:K$500,MATCH(51,样本到样信息汇总统计!$Z$2:$Z$500,0)),"")</f>
        <v/>
      </c>
      <c r="L52" s="4" t="str">
        <f>IFERROR(INDEX(样本到样信息汇总统计!L$2:L$500,MATCH(51,样本到样信息汇总统计!$Z$2:$Z$500,0)),"")</f>
        <v/>
      </c>
      <c r="M52" s="4" t="str">
        <f>IFERROR(INDEX(样本到样信息汇总统计!M$2:M$500,MATCH(51,样本到样信息汇总统计!$Z$2:$Z$500,0)),"")</f>
        <v/>
      </c>
      <c r="N52" s="4" t="str">
        <f>IFERROR(INDEX(样本到样信息汇总统计!N$2:N$500,MATCH(51,样本到样信息汇总统计!$Z$2:$Z$500,0)),"")</f>
        <v/>
      </c>
      <c r="O52" s="4" t="str">
        <f>IFERROR(INDEX(样本到样信息汇总统计!O$2:O$500,MATCH(51,样本到样信息汇总统计!$Z$2:$Z$500,0)),"")</f>
        <v/>
      </c>
      <c r="P52" s="4" t="str">
        <f>IFERROR(INDEX(样本到样信息汇总统计!P$2:P$500,MATCH(51,样本到样信息汇总统计!$Z$2:$Z$500,0)),"")</f>
        <v/>
      </c>
      <c r="Q52" s="4" t="str">
        <f>IFERROR(INDEX(样本到样信息汇总统计!Q$2:Q$500,MATCH(51,样本到样信息汇总统计!$Z$2:$Z$500,0)),"")</f>
        <v/>
      </c>
      <c r="R52" s="4" t="str">
        <f>IFERROR(INDEX(样本到样信息汇总统计!R$2:R$500,MATCH(51,样本到样信息汇总统计!$Z$2:$Z$500,0)),"")</f>
        <v/>
      </c>
      <c r="S52" s="4" t="str">
        <f>IFERROR(INDEX(样本到样信息汇总统计!S$2:S$500,MATCH(51,样本到样信息汇总统计!$Z$2:$Z$500,0)),"")</f>
        <v/>
      </c>
      <c r="T52" s="4" t="str">
        <f>IFERROR(INDEX(样本到样信息汇总统计!T$2:T$500,MATCH(51,样本到样信息汇总统计!$Z$2:$Z$500,0)),"")</f>
        <v/>
      </c>
      <c r="U52" s="4" t="str">
        <f>IFERROR(INDEX(样本到样信息汇总统计!U$2:U$500,MATCH(51,样本到样信息汇总统计!$Z$2:$Z$500,0)),"")</f>
        <v/>
      </c>
      <c r="V52" s="4" t="str">
        <f>IFERROR(INDEX(样本到样信息汇总统计!V$2:V$500,MATCH(51,样本到样信息汇总统计!$Z$2:$Z$500,0)),"")</f>
        <v/>
      </c>
      <c r="W52" s="4" t="str">
        <f>IFERROR(INDEX(样本到样信息汇总统计!W$2:W$500,MATCH(51,样本到样信息汇总统计!$Z$2:$Z$500,0)),"")</f>
        <v/>
      </c>
    </row>
    <row r="53" ht="14.5" spans="1:23">
      <c r="A53" s="8" t="str">
        <f>IFERROR(INDEX(样本到样信息汇总统计!A$2:A$500,MATCH(52,样本到样信息汇总统计!$Z$2:$Z$500,0)),"")</f>
        <v/>
      </c>
      <c r="B53" s="8" t="str">
        <f>IFERROR(INDEX(样本到样信息汇总统计!B$2:B$500,MATCH(52,样本到样信息汇总统计!$Z$2:$Z$500,0)),"")</f>
        <v/>
      </c>
      <c r="C53" s="8" t="str">
        <f>IFERROR(INDEX(样本到样信息汇总统计!C$2:C$500,MATCH(52,样本到样信息汇总统计!$Z$2:$Z$500,0)),"")</f>
        <v/>
      </c>
      <c r="D53" s="8" t="str">
        <f>IFERROR(INDEX(样本到样信息汇总统计!D$2:D$500,MATCH(52,样本到样信息汇总统计!$Z$2:$Z$500,0)),"")</f>
        <v/>
      </c>
      <c r="E53" s="8" t="str">
        <f>IFERROR(INDEX(样本到样信息汇总统计!E$2:E$500,MATCH(52,样本到样信息汇总统计!$Z$2:$Z$500,0)),"")</f>
        <v/>
      </c>
      <c r="F53" s="8" t="str">
        <f>IFERROR(INDEX(样本到样信息汇总统计!F$2:F$500,MATCH(52,样本到样信息汇总统计!$Z$2:$Z$500,0)),"")</f>
        <v/>
      </c>
      <c r="G53" s="8" t="str">
        <f>IFERROR(INDEX(样本到样信息汇总统计!G$2:G$500,MATCH(52,样本到样信息汇总统计!$Z$2:$Z$500,0)),"")</f>
        <v/>
      </c>
      <c r="H53" s="8" t="str">
        <f>IFERROR(INDEX(样本到样信息汇总统计!H$2:H$500,MATCH(52,样本到样信息汇总统计!$Z$2:$Z$500,0)),"")</f>
        <v/>
      </c>
      <c r="I53" s="8" t="str">
        <f>IFERROR(INDEX(样本到样信息汇总统计!I$2:I$500,MATCH(52,样本到样信息汇总统计!$Z$2:$Z$500,0)),"")</f>
        <v/>
      </c>
      <c r="J53" s="8" t="str">
        <f>IFERROR(INDEX(样本到样信息汇总统计!J$2:J$500,MATCH(52,样本到样信息汇总统计!$Z$2:$Z$500,0)),"")</f>
        <v/>
      </c>
      <c r="K53" s="8" t="str">
        <f>IFERROR(INDEX(样本到样信息汇总统计!K$2:K$500,MATCH(52,样本到样信息汇总统计!$Z$2:$Z$500,0)),"")</f>
        <v/>
      </c>
      <c r="L53" s="8" t="str">
        <f>IFERROR(INDEX(样本到样信息汇总统计!L$2:L$500,MATCH(52,样本到样信息汇总统计!$Z$2:$Z$500,0)),"")</f>
        <v/>
      </c>
      <c r="M53" s="8" t="str">
        <f>IFERROR(INDEX(样本到样信息汇总统计!M$2:M$500,MATCH(52,样本到样信息汇总统计!$Z$2:$Z$500,0)),"")</f>
        <v/>
      </c>
      <c r="N53" s="8" t="str">
        <f>IFERROR(INDEX(样本到样信息汇总统计!N$2:N$500,MATCH(52,样本到样信息汇总统计!$Z$2:$Z$500,0)),"")</f>
        <v/>
      </c>
      <c r="O53" s="8" t="str">
        <f>IFERROR(INDEX(样本到样信息汇总统计!O$2:O$500,MATCH(52,样本到样信息汇总统计!$Z$2:$Z$500,0)),"")</f>
        <v/>
      </c>
      <c r="P53" s="8" t="str">
        <f>IFERROR(INDEX(样本到样信息汇总统计!P$2:P$500,MATCH(52,样本到样信息汇总统计!$Z$2:$Z$500,0)),"")</f>
        <v/>
      </c>
      <c r="Q53" s="8" t="str">
        <f>IFERROR(INDEX(样本到样信息汇总统计!Q$2:Q$500,MATCH(52,样本到样信息汇总统计!$Z$2:$Z$500,0)),"")</f>
        <v/>
      </c>
      <c r="R53" s="8" t="str">
        <f>IFERROR(INDEX(样本到样信息汇总统计!R$2:R$500,MATCH(52,样本到样信息汇总统计!$Z$2:$Z$500,0)),"")</f>
        <v/>
      </c>
      <c r="S53" s="8" t="str">
        <f>IFERROR(INDEX(样本到样信息汇总统计!S$2:S$500,MATCH(52,样本到样信息汇总统计!$Z$2:$Z$500,0)),"")</f>
        <v/>
      </c>
      <c r="T53" s="8" t="str">
        <f>IFERROR(INDEX(样本到样信息汇总统计!T$2:T$500,MATCH(52,样本到样信息汇总统计!$Z$2:$Z$500,0)),"")</f>
        <v/>
      </c>
      <c r="U53" s="8" t="str">
        <f>IFERROR(INDEX(样本到样信息汇总统计!U$2:U$500,MATCH(52,样本到样信息汇总统计!$Z$2:$Z$500,0)),"")</f>
        <v/>
      </c>
      <c r="V53" s="8" t="str">
        <f>IFERROR(INDEX(样本到样信息汇总统计!V$2:V$500,MATCH(52,样本到样信息汇总统计!$Z$2:$Z$500,0)),"")</f>
        <v/>
      </c>
      <c r="W53" s="8" t="str">
        <f>IFERROR(INDEX(样本到样信息汇总统计!W$2:W$500,MATCH(52,样本到样信息汇总统计!$Z$2:$Z$500,0)),"")</f>
        <v/>
      </c>
    </row>
    <row r="54" ht="14.5" spans="1:23">
      <c r="A54" s="4" t="str">
        <f>IFERROR(INDEX(样本到样信息汇总统计!A$2:A$500,MATCH(53,样本到样信息汇总统计!$Z$2:$Z$500,0)),"")</f>
        <v/>
      </c>
      <c r="B54" s="4" t="str">
        <f>IFERROR(INDEX(样本到样信息汇总统计!B$2:B$500,MATCH(53,样本到样信息汇总统计!$Z$2:$Z$500,0)),"")</f>
        <v/>
      </c>
      <c r="C54" s="4" t="str">
        <f>IFERROR(INDEX(样本到样信息汇总统计!C$2:C$500,MATCH(53,样本到样信息汇总统计!$Z$2:$Z$500,0)),"")</f>
        <v/>
      </c>
      <c r="D54" s="4" t="str">
        <f>IFERROR(INDEX(样本到样信息汇总统计!D$2:D$500,MATCH(53,样本到样信息汇总统计!$Z$2:$Z$500,0)),"")</f>
        <v/>
      </c>
      <c r="E54" s="4" t="str">
        <f>IFERROR(INDEX(样本到样信息汇总统计!E$2:E$500,MATCH(53,样本到样信息汇总统计!$Z$2:$Z$500,0)),"")</f>
        <v/>
      </c>
      <c r="F54" s="4" t="str">
        <f>IFERROR(INDEX(样本到样信息汇总统计!F$2:F$500,MATCH(53,样本到样信息汇总统计!$Z$2:$Z$500,0)),"")</f>
        <v/>
      </c>
      <c r="G54" s="4" t="str">
        <f>IFERROR(INDEX(样本到样信息汇总统计!G$2:G$500,MATCH(53,样本到样信息汇总统计!$Z$2:$Z$500,0)),"")</f>
        <v/>
      </c>
      <c r="H54" s="4" t="str">
        <f>IFERROR(INDEX(样本到样信息汇总统计!H$2:H$500,MATCH(53,样本到样信息汇总统计!$Z$2:$Z$500,0)),"")</f>
        <v/>
      </c>
      <c r="I54" s="4" t="str">
        <f>IFERROR(INDEX(样本到样信息汇总统计!I$2:I$500,MATCH(53,样本到样信息汇总统计!$Z$2:$Z$500,0)),"")</f>
        <v/>
      </c>
      <c r="J54" s="4" t="str">
        <f>IFERROR(INDEX(样本到样信息汇总统计!J$2:J$500,MATCH(53,样本到样信息汇总统计!$Z$2:$Z$500,0)),"")</f>
        <v/>
      </c>
      <c r="K54" s="4" t="str">
        <f>IFERROR(INDEX(样本到样信息汇总统计!K$2:K$500,MATCH(53,样本到样信息汇总统计!$Z$2:$Z$500,0)),"")</f>
        <v/>
      </c>
      <c r="L54" s="4" t="str">
        <f>IFERROR(INDEX(样本到样信息汇总统计!L$2:L$500,MATCH(53,样本到样信息汇总统计!$Z$2:$Z$500,0)),"")</f>
        <v/>
      </c>
      <c r="M54" s="4" t="str">
        <f>IFERROR(INDEX(样本到样信息汇总统计!M$2:M$500,MATCH(53,样本到样信息汇总统计!$Z$2:$Z$500,0)),"")</f>
        <v/>
      </c>
      <c r="N54" s="4" t="str">
        <f>IFERROR(INDEX(样本到样信息汇总统计!N$2:N$500,MATCH(53,样本到样信息汇总统计!$Z$2:$Z$500,0)),"")</f>
        <v/>
      </c>
      <c r="O54" s="4" t="str">
        <f>IFERROR(INDEX(样本到样信息汇总统计!O$2:O$500,MATCH(53,样本到样信息汇总统计!$Z$2:$Z$500,0)),"")</f>
        <v/>
      </c>
      <c r="P54" s="4" t="str">
        <f>IFERROR(INDEX(样本到样信息汇总统计!P$2:P$500,MATCH(53,样本到样信息汇总统计!$Z$2:$Z$500,0)),"")</f>
        <v/>
      </c>
      <c r="Q54" s="4" t="str">
        <f>IFERROR(INDEX(样本到样信息汇总统计!Q$2:Q$500,MATCH(53,样本到样信息汇总统计!$Z$2:$Z$500,0)),"")</f>
        <v/>
      </c>
      <c r="R54" s="4" t="str">
        <f>IFERROR(INDEX(样本到样信息汇总统计!R$2:R$500,MATCH(53,样本到样信息汇总统计!$Z$2:$Z$500,0)),"")</f>
        <v/>
      </c>
      <c r="S54" s="4" t="str">
        <f>IFERROR(INDEX(样本到样信息汇总统计!S$2:S$500,MATCH(53,样本到样信息汇总统计!$Z$2:$Z$500,0)),"")</f>
        <v/>
      </c>
      <c r="T54" s="4" t="str">
        <f>IFERROR(INDEX(样本到样信息汇总统计!T$2:T$500,MATCH(53,样本到样信息汇总统计!$Z$2:$Z$500,0)),"")</f>
        <v/>
      </c>
      <c r="U54" s="4" t="str">
        <f>IFERROR(INDEX(样本到样信息汇总统计!U$2:U$500,MATCH(53,样本到样信息汇总统计!$Z$2:$Z$500,0)),"")</f>
        <v/>
      </c>
      <c r="V54" s="4" t="str">
        <f>IFERROR(INDEX(样本到样信息汇总统计!V$2:V$500,MATCH(53,样本到样信息汇总统计!$Z$2:$Z$500,0)),"")</f>
        <v/>
      </c>
      <c r="W54" s="4" t="str">
        <f>IFERROR(INDEX(样本到样信息汇总统计!W$2:W$500,MATCH(53,样本到样信息汇总统计!$Z$2:$Z$500,0)),"")</f>
        <v/>
      </c>
    </row>
    <row r="55" ht="14.5" spans="1:23">
      <c r="A55" s="8" t="str">
        <f>IFERROR(INDEX(样本到样信息汇总统计!A$2:A$500,MATCH(54,样本到样信息汇总统计!$Z$2:$Z$500,0)),"")</f>
        <v/>
      </c>
      <c r="B55" s="8" t="str">
        <f>IFERROR(INDEX(样本到样信息汇总统计!B$2:B$500,MATCH(54,样本到样信息汇总统计!$Z$2:$Z$500,0)),"")</f>
        <v/>
      </c>
      <c r="C55" s="8" t="str">
        <f>IFERROR(INDEX(样本到样信息汇总统计!C$2:C$500,MATCH(54,样本到样信息汇总统计!$Z$2:$Z$500,0)),"")</f>
        <v/>
      </c>
      <c r="D55" s="8" t="str">
        <f>IFERROR(INDEX(样本到样信息汇总统计!D$2:D$500,MATCH(54,样本到样信息汇总统计!$Z$2:$Z$500,0)),"")</f>
        <v/>
      </c>
      <c r="E55" s="8" t="str">
        <f>IFERROR(INDEX(样本到样信息汇总统计!E$2:E$500,MATCH(54,样本到样信息汇总统计!$Z$2:$Z$500,0)),"")</f>
        <v/>
      </c>
      <c r="F55" s="8" t="str">
        <f>IFERROR(INDEX(样本到样信息汇总统计!F$2:F$500,MATCH(54,样本到样信息汇总统计!$Z$2:$Z$500,0)),"")</f>
        <v/>
      </c>
      <c r="G55" s="8" t="str">
        <f>IFERROR(INDEX(样本到样信息汇总统计!G$2:G$500,MATCH(54,样本到样信息汇总统计!$Z$2:$Z$500,0)),"")</f>
        <v/>
      </c>
      <c r="H55" s="8" t="str">
        <f>IFERROR(INDEX(样本到样信息汇总统计!H$2:H$500,MATCH(54,样本到样信息汇总统计!$Z$2:$Z$500,0)),"")</f>
        <v/>
      </c>
      <c r="I55" s="8" t="str">
        <f>IFERROR(INDEX(样本到样信息汇总统计!I$2:I$500,MATCH(54,样本到样信息汇总统计!$Z$2:$Z$500,0)),"")</f>
        <v/>
      </c>
      <c r="J55" s="8" t="str">
        <f>IFERROR(INDEX(样本到样信息汇总统计!J$2:J$500,MATCH(54,样本到样信息汇总统计!$Z$2:$Z$500,0)),"")</f>
        <v/>
      </c>
      <c r="K55" s="8" t="str">
        <f>IFERROR(INDEX(样本到样信息汇总统计!K$2:K$500,MATCH(54,样本到样信息汇总统计!$Z$2:$Z$500,0)),"")</f>
        <v/>
      </c>
      <c r="L55" s="8" t="str">
        <f>IFERROR(INDEX(样本到样信息汇总统计!L$2:L$500,MATCH(54,样本到样信息汇总统计!$Z$2:$Z$500,0)),"")</f>
        <v/>
      </c>
      <c r="M55" s="8" t="str">
        <f>IFERROR(INDEX(样本到样信息汇总统计!M$2:M$500,MATCH(54,样本到样信息汇总统计!$Z$2:$Z$500,0)),"")</f>
        <v/>
      </c>
      <c r="N55" s="8" t="str">
        <f>IFERROR(INDEX(样本到样信息汇总统计!N$2:N$500,MATCH(54,样本到样信息汇总统计!$Z$2:$Z$500,0)),"")</f>
        <v/>
      </c>
      <c r="O55" s="8" t="str">
        <f>IFERROR(INDEX(样本到样信息汇总统计!O$2:O$500,MATCH(54,样本到样信息汇总统计!$Z$2:$Z$500,0)),"")</f>
        <v/>
      </c>
      <c r="P55" s="8" t="str">
        <f>IFERROR(INDEX(样本到样信息汇总统计!P$2:P$500,MATCH(54,样本到样信息汇总统计!$Z$2:$Z$500,0)),"")</f>
        <v/>
      </c>
      <c r="Q55" s="8" t="str">
        <f>IFERROR(INDEX(样本到样信息汇总统计!Q$2:Q$500,MATCH(54,样本到样信息汇总统计!$Z$2:$Z$500,0)),"")</f>
        <v/>
      </c>
      <c r="R55" s="8" t="str">
        <f>IFERROR(INDEX(样本到样信息汇总统计!R$2:R$500,MATCH(54,样本到样信息汇总统计!$Z$2:$Z$500,0)),"")</f>
        <v/>
      </c>
      <c r="S55" s="8" t="str">
        <f>IFERROR(INDEX(样本到样信息汇总统计!S$2:S$500,MATCH(54,样本到样信息汇总统计!$Z$2:$Z$500,0)),"")</f>
        <v/>
      </c>
      <c r="T55" s="8" t="str">
        <f>IFERROR(INDEX(样本到样信息汇总统计!T$2:T$500,MATCH(54,样本到样信息汇总统计!$Z$2:$Z$500,0)),"")</f>
        <v/>
      </c>
      <c r="U55" s="8" t="str">
        <f>IFERROR(INDEX(样本到样信息汇总统计!U$2:U$500,MATCH(54,样本到样信息汇总统计!$Z$2:$Z$500,0)),"")</f>
        <v/>
      </c>
      <c r="V55" s="8" t="str">
        <f>IFERROR(INDEX(样本到样信息汇总统计!V$2:V$500,MATCH(54,样本到样信息汇总统计!$Z$2:$Z$500,0)),"")</f>
        <v/>
      </c>
      <c r="W55" s="8" t="str">
        <f>IFERROR(INDEX(样本到样信息汇总统计!W$2:W$500,MATCH(54,样本到样信息汇总统计!$Z$2:$Z$500,0)),"")</f>
        <v/>
      </c>
    </row>
    <row r="56" ht="14.5" spans="1:23">
      <c r="A56" s="4" t="str">
        <f>IFERROR(INDEX(样本到样信息汇总统计!A$2:A$500,MATCH(55,样本到样信息汇总统计!$Z$2:$Z$500,0)),"")</f>
        <v/>
      </c>
      <c r="B56" s="4" t="str">
        <f>IFERROR(INDEX(样本到样信息汇总统计!B$2:B$500,MATCH(55,样本到样信息汇总统计!$Z$2:$Z$500,0)),"")</f>
        <v/>
      </c>
      <c r="C56" s="4" t="str">
        <f>IFERROR(INDEX(样本到样信息汇总统计!C$2:C$500,MATCH(55,样本到样信息汇总统计!$Z$2:$Z$500,0)),"")</f>
        <v/>
      </c>
      <c r="D56" s="4" t="str">
        <f>IFERROR(INDEX(样本到样信息汇总统计!D$2:D$500,MATCH(55,样本到样信息汇总统计!$Z$2:$Z$500,0)),"")</f>
        <v/>
      </c>
      <c r="E56" s="4" t="str">
        <f>IFERROR(INDEX(样本到样信息汇总统计!E$2:E$500,MATCH(55,样本到样信息汇总统计!$Z$2:$Z$500,0)),"")</f>
        <v/>
      </c>
      <c r="F56" s="4" t="str">
        <f>IFERROR(INDEX(样本到样信息汇总统计!F$2:F$500,MATCH(55,样本到样信息汇总统计!$Z$2:$Z$500,0)),"")</f>
        <v/>
      </c>
      <c r="G56" s="4" t="str">
        <f>IFERROR(INDEX(样本到样信息汇总统计!G$2:G$500,MATCH(55,样本到样信息汇总统计!$Z$2:$Z$500,0)),"")</f>
        <v/>
      </c>
      <c r="H56" s="4" t="str">
        <f>IFERROR(INDEX(样本到样信息汇总统计!H$2:H$500,MATCH(55,样本到样信息汇总统计!$Z$2:$Z$500,0)),"")</f>
        <v/>
      </c>
      <c r="I56" s="4" t="str">
        <f>IFERROR(INDEX(样本到样信息汇总统计!I$2:I$500,MATCH(55,样本到样信息汇总统计!$Z$2:$Z$500,0)),"")</f>
        <v/>
      </c>
      <c r="J56" s="4" t="str">
        <f>IFERROR(INDEX(样本到样信息汇总统计!J$2:J$500,MATCH(55,样本到样信息汇总统计!$Z$2:$Z$500,0)),"")</f>
        <v/>
      </c>
      <c r="K56" s="4" t="str">
        <f>IFERROR(INDEX(样本到样信息汇总统计!K$2:K$500,MATCH(55,样本到样信息汇总统计!$Z$2:$Z$500,0)),"")</f>
        <v/>
      </c>
      <c r="L56" s="4" t="str">
        <f>IFERROR(INDEX(样本到样信息汇总统计!L$2:L$500,MATCH(55,样本到样信息汇总统计!$Z$2:$Z$500,0)),"")</f>
        <v/>
      </c>
      <c r="M56" s="4" t="str">
        <f>IFERROR(INDEX(样本到样信息汇总统计!M$2:M$500,MATCH(55,样本到样信息汇总统计!$Z$2:$Z$500,0)),"")</f>
        <v/>
      </c>
      <c r="N56" s="4" t="str">
        <f>IFERROR(INDEX(样本到样信息汇总统计!N$2:N$500,MATCH(55,样本到样信息汇总统计!$Z$2:$Z$500,0)),"")</f>
        <v/>
      </c>
      <c r="O56" s="4" t="str">
        <f>IFERROR(INDEX(样本到样信息汇总统计!O$2:O$500,MATCH(55,样本到样信息汇总统计!$Z$2:$Z$500,0)),"")</f>
        <v/>
      </c>
      <c r="P56" s="4" t="str">
        <f>IFERROR(INDEX(样本到样信息汇总统计!P$2:P$500,MATCH(55,样本到样信息汇总统计!$Z$2:$Z$500,0)),"")</f>
        <v/>
      </c>
      <c r="Q56" s="4" t="str">
        <f>IFERROR(INDEX(样本到样信息汇总统计!Q$2:Q$500,MATCH(55,样本到样信息汇总统计!$Z$2:$Z$500,0)),"")</f>
        <v/>
      </c>
      <c r="R56" s="4" t="str">
        <f>IFERROR(INDEX(样本到样信息汇总统计!R$2:R$500,MATCH(55,样本到样信息汇总统计!$Z$2:$Z$500,0)),"")</f>
        <v/>
      </c>
      <c r="S56" s="4" t="str">
        <f>IFERROR(INDEX(样本到样信息汇总统计!S$2:S$500,MATCH(55,样本到样信息汇总统计!$Z$2:$Z$500,0)),"")</f>
        <v/>
      </c>
      <c r="T56" s="4" t="str">
        <f>IFERROR(INDEX(样本到样信息汇总统计!T$2:T$500,MATCH(55,样本到样信息汇总统计!$Z$2:$Z$500,0)),"")</f>
        <v/>
      </c>
      <c r="U56" s="4" t="str">
        <f>IFERROR(INDEX(样本到样信息汇总统计!U$2:U$500,MATCH(55,样本到样信息汇总统计!$Z$2:$Z$500,0)),"")</f>
        <v/>
      </c>
      <c r="V56" s="4" t="str">
        <f>IFERROR(INDEX(样本到样信息汇总统计!V$2:V$500,MATCH(55,样本到样信息汇总统计!$Z$2:$Z$500,0)),"")</f>
        <v/>
      </c>
      <c r="W56" s="4" t="str">
        <f>IFERROR(INDEX(样本到样信息汇总统计!W$2:W$500,MATCH(55,样本到样信息汇总统计!$Z$2:$Z$500,0)),"")</f>
        <v/>
      </c>
    </row>
    <row r="57" ht="14.5" spans="1:23">
      <c r="A57" s="8" t="str">
        <f>IFERROR(INDEX(样本到样信息汇总统计!A$2:A$500,MATCH(56,样本到样信息汇总统计!$Z$2:$Z$500,0)),"")</f>
        <v/>
      </c>
      <c r="B57" s="8" t="str">
        <f>IFERROR(INDEX(样本到样信息汇总统计!B$2:B$500,MATCH(56,样本到样信息汇总统计!$Z$2:$Z$500,0)),"")</f>
        <v/>
      </c>
      <c r="C57" s="8" t="str">
        <f>IFERROR(INDEX(样本到样信息汇总统计!C$2:C$500,MATCH(56,样本到样信息汇总统计!$Z$2:$Z$500,0)),"")</f>
        <v/>
      </c>
      <c r="D57" s="8" t="str">
        <f>IFERROR(INDEX(样本到样信息汇总统计!D$2:D$500,MATCH(56,样本到样信息汇总统计!$Z$2:$Z$500,0)),"")</f>
        <v/>
      </c>
      <c r="E57" s="8" t="str">
        <f>IFERROR(INDEX(样本到样信息汇总统计!E$2:E$500,MATCH(56,样本到样信息汇总统计!$Z$2:$Z$500,0)),"")</f>
        <v/>
      </c>
      <c r="F57" s="8" t="str">
        <f>IFERROR(INDEX(样本到样信息汇总统计!F$2:F$500,MATCH(56,样本到样信息汇总统计!$Z$2:$Z$500,0)),"")</f>
        <v/>
      </c>
      <c r="G57" s="8" t="str">
        <f>IFERROR(INDEX(样本到样信息汇总统计!G$2:G$500,MATCH(56,样本到样信息汇总统计!$Z$2:$Z$500,0)),"")</f>
        <v/>
      </c>
      <c r="H57" s="8" t="str">
        <f>IFERROR(INDEX(样本到样信息汇总统计!H$2:H$500,MATCH(56,样本到样信息汇总统计!$Z$2:$Z$500,0)),"")</f>
        <v/>
      </c>
      <c r="I57" s="8" t="str">
        <f>IFERROR(INDEX(样本到样信息汇总统计!I$2:I$500,MATCH(56,样本到样信息汇总统计!$Z$2:$Z$500,0)),"")</f>
        <v/>
      </c>
      <c r="J57" s="8" t="str">
        <f>IFERROR(INDEX(样本到样信息汇总统计!J$2:J$500,MATCH(56,样本到样信息汇总统计!$Z$2:$Z$500,0)),"")</f>
        <v/>
      </c>
      <c r="K57" s="8" t="str">
        <f>IFERROR(INDEX(样本到样信息汇总统计!K$2:K$500,MATCH(56,样本到样信息汇总统计!$Z$2:$Z$500,0)),"")</f>
        <v/>
      </c>
      <c r="L57" s="8" t="str">
        <f>IFERROR(INDEX(样本到样信息汇总统计!L$2:L$500,MATCH(56,样本到样信息汇总统计!$Z$2:$Z$500,0)),"")</f>
        <v/>
      </c>
      <c r="M57" s="8" t="str">
        <f>IFERROR(INDEX(样本到样信息汇总统计!M$2:M$500,MATCH(56,样本到样信息汇总统计!$Z$2:$Z$500,0)),"")</f>
        <v/>
      </c>
      <c r="N57" s="8" t="str">
        <f>IFERROR(INDEX(样本到样信息汇总统计!N$2:N$500,MATCH(56,样本到样信息汇总统计!$Z$2:$Z$500,0)),"")</f>
        <v/>
      </c>
      <c r="O57" s="8" t="str">
        <f>IFERROR(INDEX(样本到样信息汇总统计!O$2:O$500,MATCH(56,样本到样信息汇总统计!$Z$2:$Z$500,0)),"")</f>
        <v/>
      </c>
      <c r="P57" s="8" t="str">
        <f>IFERROR(INDEX(样本到样信息汇总统计!P$2:P$500,MATCH(56,样本到样信息汇总统计!$Z$2:$Z$500,0)),"")</f>
        <v/>
      </c>
      <c r="Q57" s="8" t="str">
        <f>IFERROR(INDEX(样本到样信息汇总统计!Q$2:Q$500,MATCH(56,样本到样信息汇总统计!$Z$2:$Z$500,0)),"")</f>
        <v/>
      </c>
      <c r="R57" s="8" t="str">
        <f>IFERROR(INDEX(样本到样信息汇总统计!R$2:R$500,MATCH(56,样本到样信息汇总统计!$Z$2:$Z$500,0)),"")</f>
        <v/>
      </c>
      <c r="S57" s="8" t="str">
        <f>IFERROR(INDEX(样本到样信息汇总统计!S$2:S$500,MATCH(56,样本到样信息汇总统计!$Z$2:$Z$500,0)),"")</f>
        <v/>
      </c>
      <c r="T57" s="8" t="str">
        <f>IFERROR(INDEX(样本到样信息汇总统计!T$2:T$500,MATCH(56,样本到样信息汇总统计!$Z$2:$Z$500,0)),"")</f>
        <v/>
      </c>
      <c r="U57" s="8" t="str">
        <f>IFERROR(INDEX(样本到样信息汇总统计!U$2:U$500,MATCH(56,样本到样信息汇总统计!$Z$2:$Z$500,0)),"")</f>
        <v/>
      </c>
      <c r="V57" s="8" t="str">
        <f>IFERROR(INDEX(样本到样信息汇总统计!V$2:V$500,MATCH(56,样本到样信息汇总统计!$Z$2:$Z$500,0)),"")</f>
        <v/>
      </c>
      <c r="W57" s="8" t="str">
        <f>IFERROR(INDEX(样本到样信息汇总统计!W$2:W$500,MATCH(56,样本到样信息汇总统计!$Z$2:$Z$500,0)),"")</f>
        <v/>
      </c>
    </row>
    <row r="58" ht="14.5" spans="1:23">
      <c r="A58" s="4" t="str">
        <f>IFERROR(INDEX(样本到样信息汇总统计!A$2:A$500,MATCH(57,样本到样信息汇总统计!$Z$2:$Z$500,0)),"")</f>
        <v/>
      </c>
      <c r="B58" s="4" t="str">
        <f>IFERROR(INDEX(样本到样信息汇总统计!B$2:B$500,MATCH(57,样本到样信息汇总统计!$Z$2:$Z$500,0)),"")</f>
        <v/>
      </c>
      <c r="C58" s="4" t="str">
        <f>IFERROR(INDEX(样本到样信息汇总统计!C$2:C$500,MATCH(57,样本到样信息汇总统计!$Z$2:$Z$500,0)),"")</f>
        <v/>
      </c>
      <c r="D58" s="4" t="str">
        <f>IFERROR(INDEX(样本到样信息汇总统计!D$2:D$500,MATCH(57,样本到样信息汇总统计!$Z$2:$Z$500,0)),"")</f>
        <v/>
      </c>
      <c r="E58" s="4" t="str">
        <f>IFERROR(INDEX(样本到样信息汇总统计!E$2:E$500,MATCH(57,样本到样信息汇总统计!$Z$2:$Z$500,0)),"")</f>
        <v/>
      </c>
      <c r="F58" s="4" t="str">
        <f>IFERROR(INDEX(样本到样信息汇总统计!F$2:F$500,MATCH(57,样本到样信息汇总统计!$Z$2:$Z$500,0)),"")</f>
        <v/>
      </c>
      <c r="G58" s="4" t="str">
        <f>IFERROR(INDEX(样本到样信息汇总统计!G$2:G$500,MATCH(57,样本到样信息汇总统计!$Z$2:$Z$500,0)),"")</f>
        <v/>
      </c>
      <c r="H58" s="4" t="str">
        <f>IFERROR(INDEX(样本到样信息汇总统计!H$2:H$500,MATCH(57,样本到样信息汇总统计!$Z$2:$Z$500,0)),"")</f>
        <v/>
      </c>
      <c r="I58" s="4" t="str">
        <f>IFERROR(INDEX(样本到样信息汇总统计!I$2:I$500,MATCH(57,样本到样信息汇总统计!$Z$2:$Z$500,0)),"")</f>
        <v/>
      </c>
      <c r="J58" s="4" t="str">
        <f>IFERROR(INDEX(样本到样信息汇总统计!J$2:J$500,MATCH(57,样本到样信息汇总统计!$Z$2:$Z$500,0)),"")</f>
        <v/>
      </c>
      <c r="K58" s="4" t="str">
        <f>IFERROR(INDEX(样本到样信息汇总统计!K$2:K$500,MATCH(57,样本到样信息汇总统计!$Z$2:$Z$500,0)),"")</f>
        <v/>
      </c>
      <c r="L58" s="4" t="str">
        <f>IFERROR(INDEX(样本到样信息汇总统计!L$2:L$500,MATCH(57,样本到样信息汇总统计!$Z$2:$Z$500,0)),"")</f>
        <v/>
      </c>
      <c r="M58" s="4" t="str">
        <f>IFERROR(INDEX(样本到样信息汇总统计!M$2:M$500,MATCH(57,样本到样信息汇总统计!$Z$2:$Z$500,0)),"")</f>
        <v/>
      </c>
      <c r="N58" s="4" t="str">
        <f>IFERROR(INDEX(样本到样信息汇总统计!N$2:N$500,MATCH(57,样本到样信息汇总统计!$Z$2:$Z$500,0)),"")</f>
        <v/>
      </c>
      <c r="O58" s="4" t="str">
        <f>IFERROR(INDEX(样本到样信息汇总统计!O$2:O$500,MATCH(57,样本到样信息汇总统计!$Z$2:$Z$500,0)),"")</f>
        <v/>
      </c>
      <c r="P58" s="4" t="str">
        <f>IFERROR(INDEX(样本到样信息汇总统计!P$2:P$500,MATCH(57,样本到样信息汇总统计!$Z$2:$Z$500,0)),"")</f>
        <v/>
      </c>
      <c r="Q58" s="4" t="str">
        <f>IFERROR(INDEX(样本到样信息汇总统计!Q$2:Q$500,MATCH(57,样本到样信息汇总统计!$Z$2:$Z$500,0)),"")</f>
        <v/>
      </c>
      <c r="R58" s="4" t="str">
        <f>IFERROR(INDEX(样本到样信息汇总统计!R$2:R$500,MATCH(57,样本到样信息汇总统计!$Z$2:$Z$500,0)),"")</f>
        <v/>
      </c>
      <c r="S58" s="4" t="str">
        <f>IFERROR(INDEX(样本到样信息汇总统计!S$2:S$500,MATCH(57,样本到样信息汇总统计!$Z$2:$Z$500,0)),"")</f>
        <v/>
      </c>
      <c r="T58" s="4" t="str">
        <f>IFERROR(INDEX(样本到样信息汇总统计!T$2:T$500,MATCH(57,样本到样信息汇总统计!$Z$2:$Z$500,0)),"")</f>
        <v/>
      </c>
      <c r="U58" s="4" t="str">
        <f>IFERROR(INDEX(样本到样信息汇总统计!U$2:U$500,MATCH(57,样本到样信息汇总统计!$Z$2:$Z$500,0)),"")</f>
        <v/>
      </c>
      <c r="V58" s="4" t="str">
        <f>IFERROR(INDEX(样本到样信息汇总统计!V$2:V$500,MATCH(57,样本到样信息汇总统计!$Z$2:$Z$500,0)),"")</f>
        <v/>
      </c>
      <c r="W58" s="4" t="str">
        <f>IFERROR(INDEX(样本到样信息汇总统计!W$2:W$500,MATCH(57,样本到样信息汇总统计!$Z$2:$Z$500,0)),"")</f>
        <v/>
      </c>
    </row>
    <row r="59" ht="14.5" spans="1:23">
      <c r="A59" s="8" t="str">
        <f>IFERROR(INDEX(样本到样信息汇总统计!A$2:A$500,MATCH(58,样本到样信息汇总统计!$Z$2:$Z$500,0)),"")</f>
        <v/>
      </c>
      <c r="B59" s="8" t="str">
        <f>IFERROR(INDEX(样本到样信息汇总统计!B$2:B$500,MATCH(58,样本到样信息汇总统计!$Z$2:$Z$500,0)),"")</f>
        <v/>
      </c>
      <c r="C59" s="8" t="str">
        <f>IFERROR(INDEX(样本到样信息汇总统计!C$2:C$500,MATCH(58,样本到样信息汇总统计!$Z$2:$Z$500,0)),"")</f>
        <v/>
      </c>
      <c r="D59" s="8" t="str">
        <f>IFERROR(INDEX(样本到样信息汇总统计!D$2:D$500,MATCH(58,样本到样信息汇总统计!$Z$2:$Z$500,0)),"")</f>
        <v/>
      </c>
      <c r="E59" s="8" t="str">
        <f>IFERROR(INDEX(样本到样信息汇总统计!E$2:E$500,MATCH(58,样本到样信息汇总统计!$Z$2:$Z$500,0)),"")</f>
        <v/>
      </c>
      <c r="F59" s="8" t="str">
        <f>IFERROR(INDEX(样本到样信息汇总统计!F$2:F$500,MATCH(58,样本到样信息汇总统计!$Z$2:$Z$500,0)),"")</f>
        <v/>
      </c>
      <c r="G59" s="8" t="str">
        <f>IFERROR(INDEX(样本到样信息汇总统计!G$2:G$500,MATCH(58,样本到样信息汇总统计!$Z$2:$Z$500,0)),"")</f>
        <v/>
      </c>
      <c r="H59" s="8" t="str">
        <f>IFERROR(INDEX(样本到样信息汇总统计!H$2:H$500,MATCH(58,样本到样信息汇总统计!$Z$2:$Z$500,0)),"")</f>
        <v/>
      </c>
      <c r="I59" s="8" t="str">
        <f>IFERROR(INDEX(样本到样信息汇总统计!I$2:I$500,MATCH(58,样本到样信息汇总统计!$Z$2:$Z$500,0)),"")</f>
        <v/>
      </c>
      <c r="J59" s="8" t="str">
        <f>IFERROR(INDEX(样本到样信息汇总统计!J$2:J$500,MATCH(58,样本到样信息汇总统计!$Z$2:$Z$500,0)),"")</f>
        <v/>
      </c>
      <c r="K59" s="8" t="str">
        <f>IFERROR(INDEX(样本到样信息汇总统计!K$2:K$500,MATCH(58,样本到样信息汇总统计!$Z$2:$Z$500,0)),"")</f>
        <v/>
      </c>
      <c r="L59" s="8" t="str">
        <f>IFERROR(INDEX(样本到样信息汇总统计!L$2:L$500,MATCH(58,样本到样信息汇总统计!$Z$2:$Z$500,0)),"")</f>
        <v/>
      </c>
      <c r="M59" s="8" t="str">
        <f>IFERROR(INDEX(样本到样信息汇总统计!M$2:M$500,MATCH(58,样本到样信息汇总统计!$Z$2:$Z$500,0)),"")</f>
        <v/>
      </c>
      <c r="N59" s="8" t="str">
        <f>IFERROR(INDEX(样本到样信息汇总统计!N$2:N$500,MATCH(58,样本到样信息汇总统计!$Z$2:$Z$500,0)),"")</f>
        <v/>
      </c>
      <c r="O59" s="8" t="str">
        <f>IFERROR(INDEX(样本到样信息汇总统计!O$2:O$500,MATCH(58,样本到样信息汇总统计!$Z$2:$Z$500,0)),"")</f>
        <v/>
      </c>
      <c r="P59" s="8" t="str">
        <f>IFERROR(INDEX(样本到样信息汇总统计!P$2:P$500,MATCH(58,样本到样信息汇总统计!$Z$2:$Z$500,0)),"")</f>
        <v/>
      </c>
      <c r="Q59" s="8" t="str">
        <f>IFERROR(INDEX(样本到样信息汇总统计!Q$2:Q$500,MATCH(58,样本到样信息汇总统计!$Z$2:$Z$500,0)),"")</f>
        <v/>
      </c>
      <c r="R59" s="8" t="str">
        <f>IFERROR(INDEX(样本到样信息汇总统计!R$2:R$500,MATCH(58,样本到样信息汇总统计!$Z$2:$Z$500,0)),"")</f>
        <v/>
      </c>
      <c r="S59" s="8" t="str">
        <f>IFERROR(INDEX(样本到样信息汇总统计!S$2:S$500,MATCH(58,样本到样信息汇总统计!$Z$2:$Z$500,0)),"")</f>
        <v/>
      </c>
      <c r="T59" s="8" t="str">
        <f>IFERROR(INDEX(样本到样信息汇总统计!T$2:T$500,MATCH(58,样本到样信息汇总统计!$Z$2:$Z$500,0)),"")</f>
        <v/>
      </c>
      <c r="U59" s="8" t="str">
        <f>IFERROR(INDEX(样本到样信息汇总统计!U$2:U$500,MATCH(58,样本到样信息汇总统计!$Z$2:$Z$500,0)),"")</f>
        <v/>
      </c>
      <c r="V59" s="8" t="str">
        <f>IFERROR(INDEX(样本到样信息汇总统计!V$2:V$500,MATCH(58,样本到样信息汇总统计!$Z$2:$Z$500,0)),"")</f>
        <v/>
      </c>
      <c r="W59" s="8" t="str">
        <f>IFERROR(INDEX(样本到样信息汇总统计!W$2:W$500,MATCH(58,样本到样信息汇总统计!$Z$2:$Z$500,0)),"")</f>
        <v/>
      </c>
    </row>
    <row r="60" ht="14.5" spans="1:23">
      <c r="A60" s="4" t="str">
        <f>IFERROR(INDEX(样本到样信息汇总统计!A$2:A$500,MATCH(59,样本到样信息汇总统计!$Z$2:$Z$500,0)),"")</f>
        <v/>
      </c>
      <c r="B60" s="4" t="str">
        <f>IFERROR(INDEX(样本到样信息汇总统计!B$2:B$500,MATCH(59,样本到样信息汇总统计!$Z$2:$Z$500,0)),"")</f>
        <v/>
      </c>
      <c r="C60" s="4" t="str">
        <f>IFERROR(INDEX(样本到样信息汇总统计!C$2:C$500,MATCH(59,样本到样信息汇总统计!$Z$2:$Z$500,0)),"")</f>
        <v/>
      </c>
      <c r="D60" s="4" t="str">
        <f>IFERROR(INDEX(样本到样信息汇总统计!D$2:D$500,MATCH(59,样本到样信息汇总统计!$Z$2:$Z$500,0)),"")</f>
        <v/>
      </c>
      <c r="E60" s="4" t="str">
        <f>IFERROR(INDEX(样本到样信息汇总统计!E$2:E$500,MATCH(59,样本到样信息汇总统计!$Z$2:$Z$500,0)),"")</f>
        <v/>
      </c>
      <c r="F60" s="4" t="str">
        <f>IFERROR(INDEX(样本到样信息汇总统计!F$2:F$500,MATCH(59,样本到样信息汇总统计!$Z$2:$Z$500,0)),"")</f>
        <v/>
      </c>
      <c r="G60" s="4" t="str">
        <f>IFERROR(INDEX(样本到样信息汇总统计!G$2:G$500,MATCH(59,样本到样信息汇总统计!$Z$2:$Z$500,0)),"")</f>
        <v/>
      </c>
      <c r="H60" s="4" t="str">
        <f>IFERROR(INDEX(样本到样信息汇总统计!H$2:H$500,MATCH(59,样本到样信息汇总统计!$Z$2:$Z$500,0)),"")</f>
        <v/>
      </c>
      <c r="I60" s="4" t="str">
        <f>IFERROR(INDEX(样本到样信息汇总统计!I$2:I$500,MATCH(59,样本到样信息汇总统计!$Z$2:$Z$500,0)),"")</f>
        <v/>
      </c>
      <c r="J60" s="4" t="str">
        <f>IFERROR(INDEX(样本到样信息汇总统计!J$2:J$500,MATCH(59,样本到样信息汇总统计!$Z$2:$Z$500,0)),"")</f>
        <v/>
      </c>
      <c r="K60" s="4" t="str">
        <f>IFERROR(INDEX(样本到样信息汇总统计!K$2:K$500,MATCH(59,样本到样信息汇总统计!$Z$2:$Z$500,0)),"")</f>
        <v/>
      </c>
      <c r="L60" s="4" t="str">
        <f>IFERROR(INDEX(样本到样信息汇总统计!L$2:L$500,MATCH(59,样本到样信息汇总统计!$Z$2:$Z$500,0)),"")</f>
        <v/>
      </c>
      <c r="M60" s="4" t="str">
        <f>IFERROR(INDEX(样本到样信息汇总统计!M$2:M$500,MATCH(59,样本到样信息汇总统计!$Z$2:$Z$500,0)),"")</f>
        <v/>
      </c>
      <c r="N60" s="4" t="str">
        <f>IFERROR(INDEX(样本到样信息汇总统计!N$2:N$500,MATCH(59,样本到样信息汇总统计!$Z$2:$Z$500,0)),"")</f>
        <v/>
      </c>
      <c r="O60" s="4" t="str">
        <f>IFERROR(INDEX(样本到样信息汇总统计!O$2:O$500,MATCH(59,样本到样信息汇总统计!$Z$2:$Z$500,0)),"")</f>
        <v/>
      </c>
      <c r="P60" s="4" t="str">
        <f>IFERROR(INDEX(样本到样信息汇总统计!P$2:P$500,MATCH(59,样本到样信息汇总统计!$Z$2:$Z$500,0)),"")</f>
        <v/>
      </c>
      <c r="Q60" s="4" t="str">
        <f>IFERROR(INDEX(样本到样信息汇总统计!Q$2:Q$500,MATCH(59,样本到样信息汇总统计!$Z$2:$Z$500,0)),"")</f>
        <v/>
      </c>
      <c r="R60" s="4" t="str">
        <f>IFERROR(INDEX(样本到样信息汇总统计!R$2:R$500,MATCH(59,样本到样信息汇总统计!$Z$2:$Z$500,0)),"")</f>
        <v/>
      </c>
      <c r="S60" s="4" t="str">
        <f>IFERROR(INDEX(样本到样信息汇总统计!S$2:S$500,MATCH(59,样本到样信息汇总统计!$Z$2:$Z$500,0)),"")</f>
        <v/>
      </c>
      <c r="T60" s="4" t="str">
        <f>IFERROR(INDEX(样本到样信息汇总统计!T$2:T$500,MATCH(59,样本到样信息汇总统计!$Z$2:$Z$500,0)),"")</f>
        <v/>
      </c>
      <c r="U60" s="4" t="str">
        <f>IFERROR(INDEX(样本到样信息汇总统计!U$2:U$500,MATCH(59,样本到样信息汇总统计!$Z$2:$Z$500,0)),"")</f>
        <v/>
      </c>
      <c r="V60" s="4" t="str">
        <f>IFERROR(INDEX(样本到样信息汇总统计!V$2:V$500,MATCH(59,样本到样信息汇总统计!$Z$2:$Z$500,0)),"")</f>
        <v/>
      </c>
      <c r="W60" s="4" t="str">
        <f>IFERROR(INDEX(样本到样信息汇总统计!W$2:W$500,MATCH(59,样本到样信息汇总统计!$Z$2:$Z$500,0)),"")</f>
        <v/>
      </c>
    </row>
    <row r="61" ht="14.5" spans="1:23">
      <c r="A61" s="8" t="str">
        <f>IFERROR(INDEX(样本到样信息汇总统计!A$2:A$500,MATCH(60,样本到样信息汇总统计!$Z$2:$Z$500,0)),"")</f>
        <v/>
      </c>
      <c r="B61" s="8" t="str">
        <f>IFERROR(INDEX(样本到样信息汇总统计!B$2:B$500,MATCH(60,样本到样信息汇总统计!$Z$2:$Z$500,0)),"")</f>
        <v/>
      </c>
      <c r="C61" s="8" t="str">
        <f>IFERROR(INDEX(样本到样信息汇总统计!C$2:C$500,MATCH(60,样本到样信息汇总统计!$Z$2:$Z$500,0)),"")</f>
        <v/>
      </c>
      <c r="D61" s="8" t="str">
        <f>IFERROR(INDEX(样本到样信息汇总统计!D$2:D$500,MATCH(60,样本到样信息汇总统计!$Z$2:$Z$500,0)),"")</f>
        <v/>
      </c>
      <c r="E61" s="8" t="str">
        <f>IFERROR(INDEX(样本到样信息汇总统计!E$2:E$500,MATCH(60,样本到样信息汇总统计!$Z$2:$Z$500,0)),"")</f>
        <v/>
      </c>
      <c r="F61" s="8" t="str">
        <f>IFERROR(INDEX(样本到样信息汇总统计!F$2:F$500,MATCH(60,样本到样信息汇总统计!$Z$2:$Z$500,0)),"")</f>
        <v/>
      </c>
      <c r="G61" s="8" t="str">
        <f>IFERROR(INDEX(样本到样信息汇总统计!G$2:G$500,MATCH(60,样本到样信息汇总统计!$Z$2:$Z$500,0)),"")</f>
        <v/>
      </c>
      <c r="H61" s="8" t="str">
        <f>IFERROR(INDEX(样本到样信息汇总统计!H$2:H$500,MATCH(60,样本到样信息汇总统计!$Z$2:$Z$500,0)),"")</f>
        <v/>
      </c>
      <c r="I61" s="8" t="str">
        <f>IFERROR(INDEX(样本到样信息汇总统计!I$2:I$500,MATCH(60,样本到样信息汇总统计!$Z$2:$Z$500,0)),"")</f>
        <v/>
      </c>
      <c r="J61" s="8" t="str">
        <f>IFERROR(INDEX(样本到样信息汇总统计!J$2:J$500,MATCH(60,样本到样信息汇总统计!$Z$2:$Z$500,0)),"")</f>
        <v/>
      </c>
      <c r="K61" s="8" t="str">
        <f>IFERROR(INDEX(样本到样信息汇总统计!K$2:K$500,MATCH(60,样本到样信息汇总统计!$Z$2:$Z$500,0)),"")</f>
        <v/>
      </c>
      <c r="L61" s="8" t="str">
        <f>IFERROR(INDEX(样本到样信息汇总统计!L$2:L$500,MATCH(60,样本到样信息汇总统计!$Z$2:$Z$500,0)),"")</f>
        <v/>
      </c>
      <c r="M61" s="8" t="str">
        <f>IFERROR(INDEX(样本到样信息汇总统计!M$2:M$500,MATCH(60,样本到样信息汇总统计!$Z$2:$Z$500,0)),"")</f>
        <v/>
      </c>
      <c r="N61" s="8" t="str">
        <f>IFERROR(INDEX(样本到样信息汇总统计!N$2:N$500,MATCH(60,样本到样信息汇总统计!$Z$2:$Z$500,0)),"")</f>
        <v/>
      </c>
      <c r="O61" s="8" t="str">
        <f>IFERROR(INDEX(样本到样信息汇总统计!O$2:O$500,MATCH(60,样本到样信息汇总统计!$Z$2:$Z$500,0)),"")</f>
        <v/>
      </c>
      <c r="P61" s="8" t="str">
        <f>IFERROR(INDEX(样本到样信息汇总统计!P$2:P$500,MATCH(60,样本到样信息汇总统计!$Z$2:$Z$500,0)),"")</f>
        <v/>
      </c>
      <c r="Q61" s="8" t="str">
        <f>IFERROR(INDEX(样本到样信息汇总统计!Q$2:Q$500,MATCH(60,样本到样信息汇总统计!$Z$2:$Z$500,0)),"")</f>
        <v/>
      </c>
      <c r="R61" s="8" t="str">
        <f>IFERROR(INDEX(样本到样信息汇总统计!R$2:R$500,MATCH(60,样本到样信息汇总统计!$Z$2:$Z$500,0)),"")</f>
        <v/>
      </c>
      <c r="S61" s="8" t="str">
        <f>IFERROR(INDEX(样本到样信息汇总统计!S$2:S$500,MATCH(60,样本到样信息汇总统计!$Z$2:$Z$500,0)),"")</f>
        <v/>
      </c>
      <c r="T61" s="8" t="str">
        <f>IFERROR(INDEX(样本到样信息汇总统计!T$2:T$500,MATCH(60,样本到样信息汇总统计!$Z$2:$Z$500,0)),"")</f>
        <v/>
      </c>
      <c r="U61" s="8" t="str">
        <f>IFERROR(INDEX(样本到样信息汇总统计!U$2:U$500,MATCH(60,样本到样信息汇总统计!$Z$2:$Z$500,0)),"")</f>
        <v/>
      </c>
      <c r="V61" s="8" t="str">
        <f>IFERROR(INDEX(样本到样信息汇总统计!V$2:V$500,MATCH(60,样本到样信息汇总统计!$Z$2:$Z$500,0)),"")</f>
        <v/>
      </c>
      <c r="W61" s="8" t="str">
        <f>IFERROR(INDEX(样本到样信息汇总统计!W$2:W$500,MATCH(60,样本到样信息汇总统计!$Z$2:$Z$500,0)),"")</f>
        <v/>
      </c>
    </row>
    <row r="62" ht="14.5" spans="1:23">
      <c r="A62" s="4" t="str">
        <f>IFERROR(INDEX(样本到样信息汇总统计!A$2:A$500,MATCH(61,样本到样信息汇总统计!$Z$2:$Z$500,0)),"")</f>
        <v/>
      </c>
      <c r="B62" s="4" t="str">
        <f>IFERROR(INDEX(样本到样信息汇总统计!B$2:B$500,MATCH(61,样本到样信息汇总统计!$Z$2:$Z$500,0)),"")</f>
        <v/>
      </c>
      <c r="C62" s="4" t="str">
        <f>IFERROR(INDEX(样本到样信息汇总统计!C$2:C$500,MATCH(61,样本到样信息汇总统计!$Z$2:$Z$500,0)),"")</f>
        <v/>
      </c>
      <c r="D62" s="4" t="str">
        <f>IFERROR(INDEX(样本到样信息汇总统计!D$2:D$500,MATCH(61,样本到样信息汇总统计!$Z$2:$Z$500,0)),"")</f>
        <v/>
      </c>
      <c r="E62" s="4" t="str">
        <f>IFERROR(INDEX(样本到样信息汇总统计!E$2:E$500,MATCH(61,样本到样信息汇总统计!$Z$2:$Z$500,0)),"")</f>
        <v/>
      </c>
      <c r="F62" s="4" t="str">
        <f>IFERROR(INDEX(样本到样信息汇总统计!F$2:F$500,MATCH(61,样本到样信息汇总统计!$Z$2:$Z$500,0)),"")</f>
        <v/>
      </c>
      <c r="G62" s="4" t="str">
        <f>IFERROR(INDEX(样本到样信息汇总统计!G$2:G$500,MATCH(61,样本到样信息汇总统计!$Z$2:$Z$500,0)),"")</f>
        <v/>
      </c>
      <c r="H62" s="4" t="str">
        <f>IFERROR(INDEX(样本到样信息汇总统计!H$2:H$500,MATCH(61,样本到样信息汇总统计!$Z$2:$Z$500,0)),"")</f>
        <v/>
      </c>
      <c r="I62" s="4" t="str">
        <f>IFERROR(INDEX(样本到样信息汇总统计!I$2:I$500,MATCH(61,样本到样信息汇总统计!$Z$2:$Z$500,0)),"")</f>
        <v/>
      </c>
      <c r="J62" s="4" t="str">
        <f>IFERROR(INDEX(样本到样信息汇总统计!J$2:J$500,MATCH(61,样本到样信息汇总统计!$Z$2:$Z$500,0)),"")</f>
        <v/>
      </c>
      <c r="K62" s="4" t="str">
        <f>IFERROR(INDEX(样本到样信息汇总统计!K$2:K$500,MATCH(61,样本到样信息汇总统计!$Z$2:$Z$500,0)),"")</f>
        <v/>
      </c>
      <c r="L62" s="4" t="str">
        <f>IFERROR(INDEX(样本到样信息汇总统计!L$2:L$500,MATCH(61,样本到样信息汇总统计!$Z$2:$Z$500,0)),"")</f>
        <v/>
      </c>
      <c r="M62" s="4" t="str">
        <f>IFERROR(INDEX(样本到样信息汇总统计!M$2:M$500,MATCH(61,样本到样信息汇总统计!$Z$2:$Z$500,0)),"")</f>
        <v/>
      </c>
      <c r="N62" s="4" t="str">
        <f>IFERROR(INDEX(样本到样信息汇总统计!N$2:N$500,MATCH(61,样本到样信息汇总统计!$Z$2:$Z$500,0)),"")</f>
        <v/>
      </c>
      <c r="O62" s="4" t="str">
        <f>IFERROR(INDEX(样本到样信息汇总统计!O$2:O$500,MATCH(61,样本到样信息汇总统计!$Z$2:$Z$500,0)),"")</f>
        <v/>
      </c>
      <c r="P62" s="4" t="str">
        <f>IFERROR(INDEX(样本到样信息汇总统计!P$2:P$500,MATCH(61,样本到样信息汇总统计!$Z$2:$Z$500,0)),"")</f>
        <v/>
      </c>
      <c r="Q62" s="4" t="str">
        <f>IFERROR(INDEX(样本到样信息汇总统计!Q$2:Q$500,MATCH(61,样本到样信息汇总统计!$Z$2:$Z$500,0)),"")</f>
        <v/>
      </c>
      <c r="R62" s="4" t="str">
        <f>IFERROR(INDEX(样本到样信息汇总统计!R$2:R$500,MATCH(61,样本到样信息汇总统计!$Z$2:$Z$500,0)),"")</f>
        <v/>
      </c>
      <c r="S62" s="4" t="str">
        <f>IFERROR(INDEX(样本到样信息汇总统计!S$2:S$500,MATCH(61,样本到样信息汇总统计!$Z$2:$Z$500,0)),"")</f>
        <v/>
      </c>
      <c r="T62" s="4" t="str">
        <f>IFERROR(INDEX(样本到样信息汇总统计!T$2:T$500,MATCH(61,样本到样信息汇总统计!$Z$2:$Z$500,0)),"")</f>
        <v/>
      </c>
      <c r="U62" s="4" t="str">
        <f>IFERROR(INDEX(样本到样信息汇总统计!U$2:U$500,MATCH(61,样本到样信息汇总统计!$Z$2:$Z$500,0)),"")</f>
        <v/>
      </c>
      <c r="V62" s="4" t="str">
        <f>IFERROR(INDEX(样本到样信息汇总统计!V$2:V$500,MATCH(61,样本到样信息汇总统计!$Z$2:$Z$500,0)),"")</f>
        <v/>
      </c>
      <c r="W62" s="4" t="str">
        <f>IFERROR(INDEX(样本到样信息汇总统计!W$2:W$500,MATCH(61,样本到样信息汇总统计!$Z$2:$Z$500,0)),"")</f>
        <v/>
      </c>
    </row>
    <row r="63" ht="14.5" spans="1:23">
      <c r="A63" s="8" t="str">
        <f>IFERROR(INDEX(样本到样信息汇总统计!A$2:A$500,MATCH(62,样本到样信息汇总统计!$Z$2:$Z$500,0)),"")</f>
        <v/>
      </c>
      <c r="B63" s="8" t="str">
        <f>IFERROR(INDEX(样本到样信息汇总统计!B$2:B$500,MATCH(62,样本到样信息汇总统计!$Z$2:$Z$500,0)),"")</f>
        <v/>
      </c>
      <c r="C63" s="8" t="str">
        <f>IFERROR(INDEX(样本到样信息汇总统计!C$2:C$500,MATCH(62,样本到样信息汇总统计!$Z$2:$Z$500,0)),"")</f>
        <v/>
      </c>
      <c r="D63" s="8" t="str">
        <f>IFERROR(INDEX(样本到样信息汇总统计!D$2:D$500,MATCH(62,样本到样信息汇总统计!$Z$2:$Z$500,0)),"")</f>
        <v/>
      </c>
      <c r="E63" s="8" t="str">
        <f>IFERROR(INDEX(样本到样信息汇总统计!E$2:E$500,MATCH(62,样本到样信息汇总统计!$Z$2:$Z$500,0)),"")</f>
        <v/>
      </c>
      <c r="F63" s="8" t="str">
        <f>IFERROR(INDEX(样本到样信息汇总统计!F$2:F$500,MATCH(62,样本到样信息汇总统计!$Z$2:$Z$500,0)),"")</f>
        <v/>
      </c>
      <c r="G63" s="8" t="str">
        <f>IFERROR(INDEX(样本到样信息汇总统计!G$2:G$500,MATCH(62,样本到样信息汇总统计!$Z$2:$Z$500,0)),"")</f>
        <v/>
      </c>
      <c r="H63" s="8" t="str">
        <f>IFERROR(INDEX(样本到样信息汇总统计!H$2:H$500,MATCH(62,样本到样信息汇总统计!$Z$2:$Z$500,0)),"")</f>
        <v/>
      </c>
      <c r="I63" s="8" t="str">
        <f>IFERROR(INDEX(样本到样信息汇总统计!I$2:I$500,MATCH(62,样本到样信息汇总统计!$Z$2:$Z$500,0)),"")</f>
        <v/>
      </c>
      <c r="J63" s="8" t="str">
        <f>IFERROR(INDEX(样本到样信息汇总统计!J$2:J$500,MATCH(62,样本到样信息汇总统计!$Z$2:$Z$500,0)),"")</f>
        <v/>
      </c>
      <c r="K63" s="8" t="str">
        <f>IFERROR(INDEX(样本到样信息汇总统计!K$2:K$500,MATCH(62,样本到样信息汇总统计!$Z$2:$Z$500,0)),"")</f>
        <v/>
      </c>
      <c r="L63" s="8" t="str">
        <f>IFERROR(INDEX(样本到样信息汇总统计!L$2:L$500,MATCH(62,样本到样信息汇总统计!$Z$2:$Z$500,0)),"")</f>
        <v/>
      </c>
      <c r="M63" s="8" t="str">
        <f>IFERROR(INDEX(样本到样信息汇总统计!M$2:M$500,MATCH(62,样本到样信息汇总统计!$Z$2:$Z$500,0)),"")</f>
        <v/>
      </c>
      <c r="N63" s="8" t="str">
        <f>IFERROR(INDEX(样本到样信息汇总统计!N$2:N$500,MATCH(62,样本到样信息汇总统计!$Z$2:$Z$500,0)),"")</f>
        <v/>
      </c>
      <c r="O63" s="8" t="str">
        <f>IFERROR(INDEX(样本到样信息汇总统计!O$2:O$500,MATCH(62,样本到样信息汇总统计!$Z$2:$Z$500,0)),"")</f>
        <v/>
      </c>
      <c r="P63" s="8" t="str">
        <f>IFERROR(INDEX(样本到样信息汇总统计!P$2:P$500,MATCH(62,样本到样信息汇总统计!$Z$2:$Z$500,0)),"")</f>
        <v/>
      </c>
      <c r="Q63" s="8" t="str">
        <f>IFERROR(INDEX(样本到样信息汇总统计!Q$2:Q$500,MATCH(62,样本到样信息汇总统计!$Z$2:$Z$500,0)),"")</f>
        <v/>
      </c>
      <c r="R63" s="8" t="str">
        <f>IFERROR(INDEX(样本到样信息汇总统计!R$2:R$500,MATCH(62,样本到样信息汇总统计!$Z$2:$Z$500,0)),"")</f>
        <v/>
      </c>
      <c r="S63" s="8" t="str">
        <f>IFERROR(INDEX(样本到样信息汇总统计!S$2:S$500,MATCH(62,样本到样信息汇总统计!$Z$2:$Z$500,0)),"")</f>
        <v/>
      </c>
      <c r="T63" s="8" t="str">
        <f>IFERROR(INDEX(样本到样信息汇总统计!T$2:T$500,MATCH(62,样本到样信息汇总统计!$Z$2:$Z$500,0)),"")</f>
        <v/>
      </c>
      <c r="U63" s="8" t="str">
        <f>IFERROR(INDEX(样本到样信息汇总统计!U$2:U$500,MATCH(62,样本到样信息汇总统计!$Z$2:$Z$500,0)),"")</f>
        <v/>
      </c>
      <c r="V63" s="8" t="str">
        <f>IFERROR(INDEX(样本到样信息汇总统计!V$2:V$500,MATCH(62,样本到样信息汇总统计!$Z$2:$Z$500,0)),"")</f>
        <v/>
      </c>
      <c r="W63" s="8" t="str">
        <f>IFERROR(INDEX(样本到样信息汇总统计!W$2:W$500,MATCH(62,样本到样信息汇总统计!$Z$2:$Z$500,0)),"")</f>
        <v/>
      </c>
    </row>
    <row r="64" ht="14.5" spans="1:23">
      <c r="A64" s="4" t="str">
        <f>IFERROR(INDEX(样本到样信息汇总统计!A$2:A$500,MATCH(63,样本到样信息汇总统计!$Z$2:$Z$500,0)),"")</f>
        <v/>
      </c>
      <c r="B64" s="4" t="str">
        <f>IFERROR(INDEX(样本到样信息汇总统计!B$2:B$500,MATCH(63,样本到样信息汇总统计!$Z$2:$Z$500,0)),"")</f>
        <v/>
      </c>
      <c r="C64" s="4" t="str">
        <f>IFERROR(INDEX(样本到样信息汇总统计!C$2:C$500,MATCH(63,样本到样信息汇总统计!$Z$2:$Z$500,0)),"")</f>
        <v/>
      </c>
      <c r="D64" s="4" t="str">
        <f>IFERROR(INDEX(样本到样信息汇总统计!D$2:D$500,MATCH(63,样本到样信息汇总统计!$Z$2:$Z$500,0)),"")</f>
        <v/>
      </c>
      <c r="E64" s="4" t="str">
        <f>IFERROR(INDEX(样本到样信息汇总统计!E$2:E$500,MATCH(63,样本到样信息汇总统计!$Z$2:$Z$500,0)),"")</f>
        <v/>
      </c>
      <c r="F64" s="4" t="str">
        <f>IFERROR(INDEX(样本到样信息汇总统计!F$2:F$500,MATCH(63,样本到样信息汇总统计!$Z$2:$Z$500,0)),"")</f>
        <v/>
      </c>
      <c r="G64" s="4" t="str">
        <f>IFERROR(INDEX(样本到样信息汇总统计!G$2:G$500,MATCH(63,样本到样信息汇总统计!$Z$2:$Z$500,0)),"")</f>
        <v/>
      </c>
      <c r="H64" s="4" t="str">
        <f>IFERROR(INDEX(样本到样信息汇总统计!H$2:H$500,MATCH(63,样本到样信息汇总统计!$Z$2:$Z$500,0)),"")</f>
        <v/>
      </c>
      <c r="I64" s="4" t="str">
        <f>IFERROR(INDEX(样本到样信息汇总统计!I$2:I$500,MATCH(63,样本到样信息汇总统计!$Z$2:$Z$500,0)),"")</f>
        <v/>
      </c>
      <c r="J64" s="4" t="str">
        <f>IFERROR(INDEX(样本到样信息汇总统计!J$2:J$500,MATCH(63,样本到样信息汇总统计!$Z$2:$Z$500,0)),"")</f>
        <v/>
      </c>
      <c r="K64" s="4" t="str">
        <f>IFERROR(INDEX(样本到样信息汇总统计!K$2:K$500,MATCH(63,样本到样信息汇总统计!$Z$2:$Z$500,0)),"")</f>
        <v/>
      </c>
      <c r="L64" s="4" t="str">
        <f>IFERROR(INDEX(样本到样信息汇总统计!L$2:L$500,MATCH(63,样本到样信息汇总统计!$Z$2:$Z$500,0)),"")</f>
        <v/>
      </c>
      <c r="M64" s="4" t="str">
        <f>IFERROR(INDEX(样本到样信息汇总统计!M$2:M$500,MATCH(63,样本到样信息汇总统计!$Z$2:$Z$500,0)),"")</f>
        <v/>
      </c>
      <c r="N64" s="4" t="str">
        <f>IFERROR(INDEX(样本到样信息汇总统计!N$2:N$500,MATCH(63,样本到样信息汇总统计!$Z$2:$Z$500,0)),"")</f>
        <v/>
      </c>
      <c r="O64" s="4" t="str">
        <f>IFERROR(INDEX(样本到样信息汇总统计!O$2:O$500,MATCH(63,样本到样信息汇总统计!$Z$2:$Z$500,0)),"")</f>
        <v/>
      </c>
      <c r="P64" s="4" t="str">
        <f>IFERROR(INDEX(样本到样信息汇总统计!P$2:P$500,MATCH(63,样本到样信息汇总统计!$Z$2:$Z$500,0)),"")</f>
        <v/>
      </c>
      <c r="Q64" s="4" t="str">
        <f>IFERROR(INDEX(样本到样信息汇总统计!Q$2:Q$500,MATCH(63,样本到样信息汇总统计!$Z$2:$Z$500,0)),"")</f>
        <v/>
      </c>
      <c r="R64" s="4" t="str">
        <f>IFERROR(INDEX(样本到样信息汇总统计!R$2:R$500,MATCH(63,样本到样信息汇总统计!$Z$2:$Z$500,0)),"")</f>
        <v/>
      </c>
      <c r="S64" s="4" t="str">
        <f>IFERROR(INDEX(样本到样信息汇总统计!S$2:S$500,MATCH(63,样本到样信息汇总统计!$Z$2:$Z$500,0)),"")</f>
        <v/>
      </c>
      <c r="T64" s="4" t="str">
        <f>IFERROR(INDEX(样本到样信息汇总统计!T$2:T$500,MATCH(63,样本到样信息汇总统计!$Z$2:$Z$500,0)),"")</f>
        <v/>
      </c>
      <c r="U64" s="4" t="str">
        <f>IFERROR(INDEX(样本到样信息汇总统计!U$2:U$500,MATCH(63,样本到样信息汇总统计!$Z$2:$Z$500,0)),"")</f>
        <v/>
      </c>
      <c r="V64" s="4" t="str">
        <f>IFERROR(INDEX(样本到样信息汇总统计!V$2:V$500,MATCH(63,样本到样信息汇总统计!$Z$2:$Z$500,0)),"")</f>
        <v/>
      </c>
      <c r="W64" s="4" t="str">
        <f>IFERROR(INDEX(样本到样信息汇总统计!W$2:W$500,MATCH(63,样本到样信息汇总统计!$Z$2:$Z$500,0)),"")</f>
        <v/>
      </c>
    </row>
    <row r="65" ht="14.5" spans="1:23">
      <c r="A65" s="8" t="str">
        <f>IFERROR(INDEX(样本到样信息汇总统计!A$2:A$500,MATCH(64,样本到样信息汇总统计!$Z$2:$Z$500,0)),"")</f>
        <v/>
      </c>
      <c r="B65" s="8" t="str">
        <f>IFERROR(INDEX(样本到样信息汇总统计!B$2:B$500,MATCH(64,样本到样信息汇总统计!$Z$2:$Z$500,0)),"")</f>
        <v/>
      </c>
      <c r="C65" s="8" t="str">
        <f>IFERROR(INDEX(样本到样信息汇总统计!C$2:C$500,MATCH(64,样本到样信息汇总统计!$Z$2:$Z$500,0)),"")</f>
        <v/>
      </c>
      <c r="D65" s="8" t="str">
        <f>IFERROR(INDEX(样本到样信息汇总统计!D$2:D$500,MATCH(64,样本到样信息汇总统计!$Z$2:$Z$500,0)),"")</f>
        <v/>
      </c>
      <c r="E65" s="8" t="str">
        <f>IFERROR(INDEX(样本到样信息汇总统计!E$2:E$500,MATCH(64,样本到样信息汇总统计!$Z$2:$Z$500,0)),"")</f>
        <v/>
      </c>
      <c r="F65" s="8" t="str">
        <f>IFERROR(INDEX(样本到样信息汇总统计!F$2:F$500,MATCH(64,样本到样信息汇总统计!$Z$2:$Z$500,0)),"")</f>
        <v/>
      </c>
      <c r="G65" s="8" t="str">
        <f>IFERROR(INDEX(样本到样信息汇总统计!G$2:G$500,MATCH(64,样本到样信息汇总统计!$Z$2:$Z$500,0)),"")</f>
        <v/>
      </c>
      <c r="H65" s="8" t="str">
        <f>IFERROR(INDEX(样本到样信息汇总统计!H$2:H$500,MATCH(64,样本到样信息汇总统计!$Z$2:$Z$500,0)),"")</f>
        <v/>
      </c>
      <c r="I65" s="8" t="str">
        <f>IFERROR(INDEX(样本到样信息汇总统计!I$2:I$500,MATCH(64,样本到样信息汇总统计!$Z$2:$Z$500,0)),"")</f>
        <v/>
      </c>
      <c r="J65" s="8" t="str">
        <f>IFERROR(INDEX(样本到样信息汇总统计!J$2:J$500,MATCH(64,样本到样信息汇总统计!$Z$2:$Z$500,0)),"")</f>
        <v/>
      </c>
      <c r="K65" s="8" t="str">
        <f>IFERROR(INDEX(样本到样信息汇总统计!K$2:K$500,MATCH(64,样本到样信息汇总统计!$Z$2:$Z$500,0)),"")</f>
        <v/>
      </c>
      <c r="L65" s="8" t="str">
        <f>IFERROR(INDEX(样本到样信息汇总统计!L$2:L$500,MATCH(64,样本到样信息汇总统计!$Z$2:$Z$500,0)),"")</f>
        <v/>
      </c>
      <c r="M65" s="8" t="str">
        <f>IFERROR(INDEX(样本到样信息汇总统计!M$2:M$500,MATCH(64,样本到样信息汇总统计!$Z$2:$Z$500,0)),"")</f>
        <v/>
      </c>
      <c r="N65" s="8" t="str">
        <f>IFERROR(INDEX(样本到样信息汇总统计!N$2:N$500,MATCH(64,样本到样信息汇总统计!$Z$2:$Z$500,0)),"")</f>
        <v/>
      </c>
      <c r="O65" s="8" t="str">
        <f>IFERROR(INDEX(样本到样信息汇总统计!O$2:O$500,MATCH(64,样本到样信息汇总统计!$Z$2:$Z$500,0)),"")</f>
        <v/>
      </c>
      <c r="P65" s="8" t="str">
        <f>IFERROR(INDEX(样本到样信息汇总统计!P$2:P$500,MATCH(64,样本到样信息汇总统计!$Z$2:$Z$500,0)),"")</f>
        <v/>
      </c>
      <c r="Q65" s="8" t="str">
        <f>IFERROR(INDEX(样本到样信息汇总统计!Q$2:Q$500,MATCH(64,样本到样信息汇总统计!$Z$2:$Z$500,0)),"")</f>
        <v/>
      </c>
      <c r="R65" s="8" t="str">
        <f>IFERROR(INDEX(样本到样信息汇总统计!R$2:R$500,MATCH(64,样本到样信息汇总统计!$Z$2:$Z$500,0)),"")</f>
        <v/>
      </c>
      <c r="S65" s="8" t="str">
        <f>IFERROR(INDEX(样本到样信息汇总统计!S$2:S$500,MATCH(64,样本到样信息汇总统计!$Z$2:$Z$500,0)),"")</f>
        <v/>
      </c>
      <c r="T65" s="8" t="str">
        <f>IFERROR(INDEX(样本到样信息汇总统计!T$2:T$500,MATCH(64,样本到样信息汇总统计!$Z$2:$Z$500,0)),"")</f>
        <v/>
      </c>
      <c r="U65" s="8" t="str">
        <f>IFERROR(INDEX(样本到样信息汇总统计!U$2:U$500,MATCH(64,样本到样信息汇总统计!$Z$2:$Z$500,0)),"")</f>
        <v/>
      </c>
      <c r="V65" s="8" t="str">
        <f>IFERROR(INDEX(样本到样信息汇总统计!V$2:V$500,MATCH(64,样本到样信息汇总统计!$Z$2:$Z$500,0)),"")</f>
        <v/>
      </c>
      <c r="W65" s="8" t="str">
        <f>IFERROR(INDEX(样本到样信息汇总统计!W$2:W$500,MATCH(64,样本到样信息汇总统计!$Z$2:$Z$500,0)),"")</f>
        <v/>
      </c>
    </row>
    <row r="66" ht="14.5" spans="1:23">
      <c r="A66" s="4" t="str">
        <f>IFERROR(INDEX(样本到样信息汇总统计!A$2:A$500,MATCH(65,样本到样信息汇总统计!$Z$2:$Z$500,0)),"")</f>
        <v/>
      </c>
      <c r="B66" s="4" t="str">
        <f>IFERROR(INDEX(样本到样信息汇总统计!B$2:B$500,MATCH(65,样本到样信息汇总统计!$Z$2:$Z$500,0)),"")</f>
        <v/>
      </c>
      <c r="C66" s="4" t="str">
        <f>IFERROR(INDEX(样本到样信息汇总统计!C$2:C$500,MATCH(65,样本到样信息汇总统计!$Z$2:$Z$500,0)),"")</f>
        <v/>
      </c>
      <c r="D66" s="4" t="str">
        <f>IFERROR(INDEX(样本到样信息汇总统计!D$2:D$500,MATCH(65,样本到样信息汇总统计!$Z$2:$Z$500,0)),"")</f>
        <v/>
      </c>
      <c r="E66" s="4" t="str">
        <f>IFERROR(INDEX(样本到样信息汇总统计!E$2:E$500,MATCH(65,样本到样信息汇总统计!$Z$2:$Z$500,0)),"")</f>
        <v/>
      </c>
      <c r="F66" s="4" t="str">
        <f>IFERROR(INDEX(样本到样信息汇总统计!F$2:F$500,MATCH(65,样本到样信息汇总统计!$Z$2:$Z$500,0)),"")</f>
        <v/>
      </c>
      <c r="G66" s="4" t="str">
        <f>IFERROR(INDEX(样本到样信息汇总统计!G$2:G$500,MATCH(65,样本到样信息汇总统计!$Z$2:$Z$500,0)),"")</f>
        <v/>
      </c>
      <c r="H66" s="4" t="str">
        <f>IFERROR(INDEX(样本到样信息汇总统计!H$2:H$500,MATCH(65,样本到样信息汇总统计!$Z$2:$Z$500,0)),"")</f>
        <v/>
      </c>
      <c r="I66" s="4" t="str">
        <f>IFERROR(INDEX(样本到样信息汇总统计!I$2:I$500,MATCH(65,样本到样信息汇总统计!$Z$2:$Z$500,0)),"")</f>
        <v/>
      </c>
      <c r="J66" s="4" t="str">
        <f>IFERROR(INDEX(样本到样信息汇总统计!J$2:J$500,MATCH(65,样本到样信息汇总统计!$Z$2:$Z$500,0)),"")</f>
        <v/>
      </c>
      <c r="K66" s="4" t="str">
        <f>IFERROR(INDEX(样本到样信息汇总统计!K$2:K$500,MATCH(65,样本到样信息汇总统计!$Z$2:$Z$500,0)),"")</f>
        <v/>
      </c>
      <c r="L66" s="4" t="str">
        <f>IFERROR(INDEX(样本到样信息汇总统计!L$2:L$500,MATCH(65,样本到样信息汇总统计!$Z$2:$Z$500,0)),"")</f>
        <v/>
      </c>
      <c r="M66" s="4" t="str">
        <f>IFERROR(INDEX(样本到样信息汇总统计!M$2:M$500,MATCH(65,样本到样信息汇总统计!$Z$2:$Z$500,0)),"")</f>
        <v/>
      </c>
      <c r="N66" s="4" t="str">
        <f>IFERROR(INDEX(样本到样信息汇总统计!N$2:N$500,MATCH(65,样本到样信息汇总统计!$Z$2:$Z$500,0)),"")</f>
        <v/>
      </c>
      <c r="O66" s="4" t="str">
        <f>IFERROR(INDEX(样本到样信息汇总统计!O$2:O$500,MATCH(65,样本到样信息汇总统计!$Z$2:$Z$500,0)),"")</f>
        <v/>
      </c>
      <c r="P66" s="4" t="str">
        <f>IFERROR(INDEX(样本到样信息汇总统计!P$2:P$500,MATCH(65,样本到样信息汇总统计!$Z$2:$Z$500,0)),"")</f>
        <v/>
      </c>
      <c r="Q66" s="4" t="str">
        <f>IFERROR(INDEX(样本到样信息汇总统计!Q$2:Q$500,MATCH(65,样本到样信息汇总统计!$Z$2:$Z$500,0)),"")</f>
        <v/>
      </c>
      <c r="R66" s="4" t="str">
        <f>IFERROR(INDEX(样本到样信息汇总统计!R$2:R$500,MATCH(65,样本到样信息汇总统计!$Z$2:$Z$500,0)),"")</f>
        <v/>
      </c>
      <c r="S66" s="4" t="str">
        <f>IFERROR(INDEX(样本到样信息汇总统计!S$2:S$500,MATCH(65,样本到样信息汇总统计!$Z$2:$Z$500,0)),"")</f>
        <v/>
      </c>
      <c r="T66" s="4" t="str">
        <f>IFERROR(INDEX(样本到样信息汇总统计!T$2:T$500,MATCH(65,样本到样信息汇总统计!$Z$2:$Z$500,0)),"")</f>
        <v/>
      </c>
      <c r="U66" s="4" t="str">
        <f>IFERROR(INDEX(样本到样信息汇总统计!U$2:U$500,MATCH(65,样本到样信息汇总统计!$Z$2:$Z$500,0)),"")</f>
        <v/>
      </c>
      <c r="V66" s="4" t="str">
        <f>IFERROR(INDEX(样本到样信息汇总统计!V$2:V$500,MATCH(65,样本到样信息汇总统计!$Z$2:$Z$500,0)),"")</f>
        <v/>
      </c>
      <c r="W66" s="4" t="str">
        <f>IFERROR(INDEX(样本到样信息汇总统计!W$2:W$500,MATCH(65,样本到样信息汇总统计!$Z$2:$Z$500,0)),"")</f>
        <v/>
      </c>
    </row>
    <row r="67" ht="14.5" spans="1:23">
      <c r="A67" s="8" t="str">
        <f>IFERROR(INDEX(样本到样信息汇总统计!A$2:A$500,MATCH(66,样本到样信息汇总统计!$Z$2:$Z$500,0)),"")</f>
        <v/>
      </c>
      <c r="B67" s="8" t="str">
        <f>IFERROR(INDEX(样本到样信息汇总统计!B$2:B$500,MATCH(66,样本到样信息汇总统计!$Z$2:$Z$500,0)),"")</f>
        <v/>
      </c>
      <c r="C67" s="8" t="str">
        <f>IFERROR(INDEX(样本到样信息汇总统计!C$2:C$500,MATCH(66,样本到样信息汇总统计!$Z$2:$Z$500,0)),"")</f>
        <v/>
      </c>
      <c r="D67" s="8" t="str">
        <f>IFERROR(INDEX(样本到样信息汇总统计!D$2:D$500,MATCH(66,样本到样信息汇总统计!$Z$2:$Z$500,0)),"")</f>
        <v/>
      </c>
      <c r="E67" s="8" t="str">
        <f>IFERROR(INDEX(样本到样信息汇总统计!E$2:E$500,MATCH(66,样本到样信息汇总统计!$Z$2:$Z$500,0)),"")</f>
        <v/>
      </c>
      <c r="F67" s="8" t="str">
        <f>IFERROR(INDEX(样本到样信息汇总统计!F$2:F$500,MATCH(66,样本到样信息汇总统计!$Z$2:$Z$500,0)),"")</f>
        <v/>
      </c>
      <c r="G67" s="8" t="str">
        <f>IFERROR(INDEX(样本到样信息汇总统计!G$2:G$500,MATCH(66,样本到样信息汇总统计!$Z$2:$Z$500,0)),"")</f>
        <v/>
      </c>
      <c r="H67" s="8" t="str">
        <f>IFERROR(INDEX(样本到样信息汇总统计!H$2:H$500,MATCH(66,样本到样信息汇总统计!$Z$2:$Z$500,0)),"")</f>
        <v/>
      </c>
      <c r="I67" s="8" t="str">
        <f>IFERROR(INDEX(样本到样信息汇总统计!I$2:I$500,MATCH(66,样本到样信息汇总统计!$Z$2:$Z$500,0)),"")</f>
        <v/>
      </c>
      <c r="J67" s="8" t="str">
        <f>IFERROR(INDEX(样本到样信息汇总统计!J$2:J$500,MATCH(66,样本到样信息汇总统计!$Z$2:$Z$500,0)),"")</f>
        <v/>
      </c>
      <c r="K67" s="8" t="str">
        <f>IFERROR(INDEX(样本到样信息汇总统计!K$2:K$500,MATCH(66,样本到样信息汇总统计!$Z$2:$Z$500,0)),"")</f>
        <v/>
      </c>
      <c r="L67" s="8" t="str">
        <f>IFERROR(INDEX(样本到样信息汇总统计!L$2:L$500,MATCH(66,样本到样信息汇总统计!$Z$2:$Z$500,0)),"")</f>
        <v/>
      </c>
      <c r="M67" s="8" t="str">
        <f>IFERROR(INDEX(样本到样信息汇总统计!M$2:M$500,MATCH(66,样本到样信息汇总统计!$Z$2:$Z$500,0)),"")</f>
        <v/>
      </c>
      <c r="N67" s="8" t="str">
        <f>IFERROR(INDEX(样本到样信息汇总统计!N$2:N$500,MATCH(66,样本到样信息汇总统计!$Z$2:$Z$500,0)),"")</f>
        <v/>
      </c>
      <c r="O67" s="8" t="str">
        <f>IFERROR(INDEX(样本到样信息汇总统计!O$2:O$500,MATCH(66,样本到样信息汇总统计!$Z$2:$Z$500,0)),"")</f>
        <v/>
      </c>
      <c r="P67" s="8" t="str">
        <f>IFERROR(INDEX(样本到样信息汇总统计!P$2:P$500,MATCH(66,样本到样信息汇总统计!$Z$2:$Z$500,0)),"")</f>
        <v/>
      </c>
      <c r="Q67" s="8" t="str">
        <f>IFERROR(INDEX(样本到样信息汇总统计!Q$2:Q$500,MATCH(66,样本到样信息汇总统计!$Z$2:$Z$500,0)),"")</f>
        <v/>
      </c>
      <c r="R67" s="8" t="str">
        <f>IFERROR(INDEX(样本到样信息汇总统计!R$2:R$500,MATCH(66,样本到样信息汇总统计!$Z$2:$Z$500,0)),"")</f>
        <v/>
      </c>
      <c r="S67" s="8" t="str">
        <f>IFERROR(INDEX(样本到样信息汇总统计!S$2:S$500,MATCH(66,样本到样信息汇总统计!$Z$2:$Z$500,0)),"")</f>
        <v/>
      </c>
      <c r="T67" s="8" t="str">
        <f>IFERROR(INDEX(样本到样信息汇总统计!T$2:T$500,MATCH(66,样本到样信息汇总统计!$Z$2:$Z$500,0)),"")</f>
        <v/>
      </c>
      <c r="U67" s="8" t="str">
        <f>IFERROR(INDEX(样本到样信息汇总统计!U$2:U$500,MATCH(66,样本到样信息汇总统计!$Z$2:$Z$500,0)),"")</f>
        <v/>
      </c>
      <c r="V67" s="8" t="str">
        <f>IFERROR(INDEX(样本到样信息汇总统计!V$2:V$500,MATCH(66,样本到样信息汇总统计!$Z$2:$Z$500,0)),"")</f>
        <v/>
      </c>
      <c r="W67" s="8" t="str">
        <f>IFERROR(INDEX(样本到样信息汇总统计!W$2:W$500,MATCH(66,样本到样信息汇总统计!$Z$2:$Z$500,0)),"")</f>
        <v/>
      </c>
    </row>
    <row r="68" ht="14.5" spans="1:23">
      <c r="A68" s="4" t="str">
        <f>IFERROR(INDEX(样本到样信息汇总统计!A$2:A$500,MATCH(67,样本到样信息汇总统计!$Z$2:$Z$500,0)),"")</f>
        <v/>
      </c>
      <c r="B68" s="4" t="str">
        <f>IFERROR(INDEX(样本到样信息汇总统计!B$2:B$500,MATCH(67,样本到样信息汇总统计!$Z$2:$Z$500,0)),"")</f>
        <v/>
      </c>
      <c r="C68" s="4" t="str">
        <f>IFERROR(INDEX(样本到样信息汇总统计!C$2:C$500,MATCH(67,样本到样信息汇总统计!$Z$2:$Z$500,0)),"")</f>
        <v/>
      </c>
      <c r="D68" s="4" t="str">
        <f>IFERROR(INDEX(样本到样信息汇总统计!D$2:D$500,MATCH(67,样本到样信息汇总统计!$Z$2:$Z$500,0)),"")</f>
        <v/>
      </c>
      <c r="E68" s="4" t="str">
        <f>IFERROR(INDEX(样本到样信息汇总统计!E$2:E$500,MATCH(67,样本到样信息汇总统计!$Z$2:$Z$500,0)),"")</f>
        <v/>
      </c>
      <c r="F68" s="4" t="str">
        <f>IFERROR(INDEX(样本到样信息汇总统计!F$2:F$500,MATCH(67,样本到样信息汇总统计!$Z$2:$Z$500,0)),"")</f>
        <v/>
      </c>
      <c r="G68" s="4" t="str">
        <f>IFERROR(INDEX(样本到样信息汇总统计!G$2:G$500,MATCH(67,样本到样信息汇总统计!$Z$2:$Z$500,0)),"")</f>
        <v/>
      </c>
      <c r="H68" s="4" t="str">
        <f>IFERROR(INDEX(样本到样信息汇总统计!H$2:H$500,MATCH(67,样本到样信息汇总统计!$Z$2:$Z$500,0)),"")</f>
        <v/>
      </c>
      <c r="I68" s="4" t="str">
        <f>IFERROR(INDEX(样本到样信息汇总统计!I$2:I$500,MATCH(67,样本到样信息汇总统计!$Z$2:$Z$500,0)),"")</f>
        <v/>
      </c>
      <c r="J68" s="4" t="str">
        <f>IFERROR(INDEX(样本到样信息汇总统计!J$2:J$500,MATCH(67,样本到样信息汇总统计!$Z$2:$Z$500,0)),"")</f>
        <v/>
      </c>
      <c r="K68" s="4" t="str">
        <f>IFERROR(INDEX(样本到样信息汇总统计!K$2:K$500,MATCH(67,样本到样信息汇总统计!$Z$2:$Z$500,0)),"")</f>
        <v/>
      </c>
      <c r="L68" s="4" t="str">
        <f>IFERROR(INDEX(样本到样信息汇总统计!L$2:L$500,MATCH(67,样本到样信息汇总统计!$Z$2:$Z$500,0)),"")</f>
        <v/>
      </c>
      <c r="M68" s="4" t="str">
        <f>IFERROR(INDEX(样本到样信息汇总统计!M$2:M$500,MATCH(67,样本到样信息汇总统计!$Z$2:$Z$500,0)),"")</f>
        <v/>
      </c>
      <c r="N68" s="4" t="str">
        <f>IFERROR(INDEX(样本到样信息汇总统计!N$2:N$500,MATCH(67,样本到样信息汇总统计!$Z$2:$Z$500,0)),"")</f>
        <v/>
      </c>
      <c r="O68" s="4" t="str">
        <f>IFERROR(INDEX(样本到样信息汇总统计!O$2:O$500,MATCH(67,样本到样信息汇总统计!$Z$2:$Z$500,0)),"")</f>
        <v/>
      </c>
      <c r="P68" s="4" t="str">
        <f>IFERROR(INDEX(样本到样信息汇总统计!P$2:P$500,MATCH(67,样本到样信息汇总统计!$Z$2:$Z$500,0)),"")</f>
        <v/>
      </c>
      <c r="Q68" s="4" t="str">
        <f>IFERROR(INDEX(样本到样信息汇总统计!Q$2:Q$500,MATCH(67,样本到样信息汇总统计!$Z$2:$Z$500,0)),"")</f>
        <v/>
      </c>
      <c r="R68" s="4" t="str">
        <f>IFERROR(INDEX(样本到样信息汇总统计!R$2:R$500,MATCH(67,样本到样信息汇总统计!$Z$2:$Z$500,0)),"")</f>
        <v/>
      </c>
      <c r="S68" s="4" t="str">
        <f>IFERROR(INDEX(样本到样信息汇总统计!S$2:S$500,MATCH(67,样本到样信息汇总统计!$Z$2:$Z$500,0)),"")</f>
        <v/>
      </c>
      <c r="T68" s="4" t="str">
        <f>IFERROR(INDEX(样本到样信息汇总统计!T$2:T$500,MATCH(67,样本到样信息汇总统计!$Z$2:$Z$500,0)),"")</f>
        <v/>
      </c>
      <c r="U68" s="4" t="str">
        <f>IFERROR(INDEX(样本到样信息汇总统计!U$2:U$500,MATCH(67,样本到样信息汇总统计!$Z$2:$Z$500,0)),"")</f>
        <v/>
      </c>
      <c r="V68" s="4" t="str">
        <f>IFERROR(INDEX(样本到样信息汇总统计!V$2:V$500,MATCH(67,样本到样信息汇总统计!$Z$2:$Z$500,0)),"")</f>
        <v/>
      </c>
      <c r="W68" s="4" t="str">
        <f>IFERROR(INDEX(样本到样信息汇总统计!W$2:W$500,MATCH(67,样本到样信息汇总统计!$Z$2:$Z$500,0)),"")</f>
        <v/>
      </c>
    </row>
    <row r="69" ht="14.5" spans="1:23">
      <c r="A69" s="8" t="str">
        <f>IFERROR(INDEX(样本到样信息汇总统计!A$2:A$500,MATCH(68,样本到样信息汇总统计!$Z$2:$Z$500,0)),"")</f>
        <v/>
      </c>
      <c r="B69" s="8" t="str">
        <f>IFERROR(INDEX(样本到样信息汇总统计!B$2:B$500,MATCH(68,样本到样信息汇总统计!$Z$2:$Z$500,0)),"")</f>
        <v/>
      </c>
      <c r="C69" s="8" t="str">
        <f>IFERROR(INDEX(样本到样信息汇总统计!C$2:C$500,MATCH(68,样本到样信息汇总统计!$Z$2:$Z$500,0)),"")</f>
        <v/>
      </c>
      <c r="D69" s="8" t="str">
        <f>IFERROR(INDEX(样本到样信息汇总统计!D$2:D$500,MATCH(68,样本到样信息汇总统计!$Z$2:$Z$500,0)),"")</f>
        <v/>
      </c>
      <c r="E69" s="8" t="str">
        <f>IFERROR(INDEX(样本到样信息汇总统计!E$2:E$500,MATCH(68,样本到样信息汇总统计!$Z$2:$Z$500,0)),"")</f>
        <v/>
      </c>
      <c r="F69" s="8" t="str">
        <f>IFERROR(INDEX(样本到样信息汇总统计!F$2:F$500,MATCH(68,样本到样信息汇总统计!$Z$2:$Z$500,0)),"")</f>
        <v/>
      </c>
      <c r="G69" s="8" t="str">
        <f>IFERROR(INDEX(样本到样信息汇总统计!G$2:G$500,MATCH(68,样本到样信息汇总统计!$Z$2:$Z$500,0)),"")</f>
        <v/>
      </c>
      <c r="H69" s="8" t="str">
        <f>IFERROR(INDEX(样本到样信息汇总统计!H$2:H$500,MATCH(68,样本到样信息汇总统计!$Z$2:$Z$500,0)),"")</f>
        <v/>
      </c>
      <c r="I69" s="8" t="str">
        <f>IFERROR(INDEX(样本到样信息汇总统计!I$2:I$500,MATCH(68,样本到样信息汇总统计!$Z$2:$Z$500,0)),"")</f>
        <v/>
      </c>
      <c r="J69" s="8" t="str">
        <f>IFERROR(INDEX(样本到样信息汇总统计!J$2:J$500,MATCH(68,样本到样信息汇总统计!$Z$2:$Z$500,0)),"")</f>
        <v/>
      </c>
      <c r="K69" s="8" t="str">
        <f>IFERROR(INDEX(样本到样信息汇总统计!K$2:K$500,MATCH(68,样本到样信息汇总统计!$Z$2:$Z$500,0)),"")</f>
        <v/>
      </c>
      <c r="L69" s="8" t="str">
        <f>IFERROR(INDEX(样本到样信息汇总统计!L$2:L$500,MATCH(68,样本到样信息汇总统计!$Z$2:$Z$500,0)),"")</f>
        <v/>
      </c>
      <c r="M69" s="8" t="str">
        <f>IFERROR(INDEX(样本到样信息汇总统计!M$2:M$500,MATCH(68,样本到样信息汇总统计!$Z$2:$Z$500,0)),"")</f>
        <v/>
      </c>
      <c r="N69" s="8" t="str">
        <f>IFERROR(INDEX(样本到样信息汇总统计!N$2:N$500,MATCH(68,样本到样信息汇总统计!$Z$2:$Z$500,0)),"")</f>
        <v/>
      </c>
      <c r="O69" s="8" t="str">
        <f>IFERROR(INDEX(样本到样信息汇总统计!O$2:O$500,MATCH(68,样本到样信息汇总统计!$Z$2:$Z$500,0)),"")</f>
        <v/>
      </c>
      <c r="P69" s="8" t="str">
        <f>IFERROR(INDEX(样本到样信息汇总统计!P$2:P$500,MATCH(68,样本到样信息汇总统计!$Z$2:$Z$500,0)),"")</f>
        <v/>
      </c>
      <c r="Q69" s="8" t="str">
        <f>IFERROR(INDEX(样本到样信息汇总统计!Q$2:Q$500,MATCH(68,样本到样信息汇总统计!$Z$2:$Z$500,0)),"")</f>
        <v/>
      </c>
      <c r="R69" s="8" t="str">
        <f>IFERROR(INDEX(样本到样信息汇总统计!R$2:R$500,MATCH(68,样本到样信息汇总统计!$Z$2:$Z$500,0)),"")</f>
        <v/>
      </c>
      <c r="S69" s="8" t="str">
        <f>IFERROR(INDEX(样本到样信息汇总统计!S$2:S$500,MATCH(68,样本到样信息汇总统计!$Z$2:$Z$500,0)),"")</f>
        <v/>
      </c>
      <c r="T69" s="8" t="str">
        <f>IFERROR(INDEX(样本到样信息汇总统计!T$2:T$500,MATCH(68,样本到样信息汇总统计!$Z$2:$Z$500,0)),"")</f>
        <v/>
      </c>
      <c r="U69" s="8" t="str">
        <f>IFERROR(INDEX(样本到样信息汇总统计!U$2:U$500,MATCH(68,样本到样信息汇总统计!$Z$2:$Z$500,0)),"")</f>
        <v/>
      </c>
      <c r="V69" s="8" t="str">
        <f>IFERROR(INDEX(样本到样信息汇总统计!V$2:V$500,MATCH(68,样本到样信息汇总统计!$Z$2:$Z$500,0)),"")</f>
        <v/>
      </c>
      <c r="W69" s="8" t="str">
        <f>IFERROR(INDEX(样本到样信息汇总统计!W$2:W$500,MATCH(68,样本到样信息汇总统计!$Z$2:$Z$500,0)),"")</f>
        <v/>
      </c>
    </row>
    <row r="70" ht="14.5" spans="1:23">
      <c r="A70" s="4" t="str">
        <f>IFERROR(INDEX(样本到样信息汇总统计!A$2:A$500,MATCH(69,样本到样信息汇总统计!$Z$2:$Z$500,0)),"")</f>
        <v/>
      </c>
      <c r="B70" s="4" t="str">
        <f>IFERROR(INDEX(样本到样信息汇总统计!B$2:B$500,MATCH(69,样本到样信息汇总统计!$Z$2:$Z$500,0)),"")</f>
        <v/>
      </c>
      <c r="C70" s="4" t="str">
        <f>IFERROR(INDEX(样本到样信息汇总统计!C$2:C$500,MATCH(69,样本到样信息汇总统计!$Z$2:$Z$500,0)),"")</f>
        <v/>
      </c>
      <c r="D70" s="4" t="str">
        <f>IFERROR(INDEX(样本到样信息汇总统计!D$2:D$500,MATCH(69,样本到样信息汇总统计!$Z$2:$Z$500,0)),"")</f>
        <v/>
      </c>
      <c r="E70" s="4" t="str">
        <f>IFERROR(INDEX(样本到样信息汇总统计!E$2:E$500,MATCH(69,样本到样信息汇总统计!$Z$2:$Z$500,0)),"")</f>
        <v/>
      </c>
      <c r="F70" s="4" t="str">
        <f>IFERROR(INDEX(样本到样信息汇总统计!F$2:F$500,MATCH(69,样本到样信息汇总统计!$Z$2:$Z$500,0)),"")</f>
        <v/>
      </c>
      <c r="G70" s="4" t="str">
        <f>IFERROR(INDEX(样本到样信息汇总统计!G$2:G$500,MATCH(69,样本到样信息汇总统计!$Z$2:$Z$500,0)),"")</f>
        <v/>
      </c>
      <c r="H70" s="4" t="str">
        <f>IFERROR(INDEX(样本到样信息汇总统计!H$2:H$500,MATCH(69,样本到样信息汇总统计!$Z$2:$Z$500,0)),"")</f>
        <v/>
      </c>
      <c r="I70" s="4" t="str">
        <f>IFERROR(INDEX(样本到样信息汇总统计!I$2:I$500,MATCH(69,样本到样信息汇总统计!$Z$2:$Z$500,0)),"")</f>
        <v/>
      </c>
      <c r="J70" s="4" t="str">
        <f>IFERROR(INDEX(样本到样信息汇总统计!J$2:J$500,MATCH(69,样本到样信息汇总统计!$Z$2:$Z$500,0)),"")</f>
        <v/>
      </c>
      <c r="K70" s="4" t="str">
        <f>IFERROR(INDEX(样本到样信息汇总统计!K$2:K$500,MATCH(69,样本到样信息汇总统计!$Z$2:$Z$500,0)),"")</f>
        <v/>
      </c>
      <c r="L70" s="4" t="str">
        <f>IFERROR(INDEX(样本到样信息汇总统计!L$2:L$500,MATCH(69,样本到样信息汇总统计!$Z$2:$Z$500,0)),"")</f>
        <v/>
      </c>
      <c r="M70" s="4" t="str">
        <f>IFERROR(INDEX(样本到样信息汇总统计!M$2:M$500,MATCH(69,样本到样信息汇总统计!$Z$2:$Z$500,0)),"")</f>
        <v/>
      </c>
      <c r="N70" s="4" t="str">
        <f>IFERROR(INDEX(样本到样信息汇总统计!N$2:N$500,MATCH(69,样本到样信息汇总统计!$Z$2:$Z$500,0)),"")</f>
        <v/>
      </c>
      <c r="O70" s="4" t="str">
        <f>IFERROR(INDEX(样本到样信息汇总统计!O$2:O$500,MATCH(69,样本到样信息汇总统计!$Z$2:$Z$500,0)),"")</f>
        <v/>
      </c>
      <c r="P70" s="4" t="str">
        <f>IFERROR(INDEX(样本到样信息汇总统计!P$2:P$500,MATCH(69,样本到样信息汇总统计!$Z$2:$Z$500,0)),"")</f>
        <v/>
      </c>
      <c r="Q70" s="4" t="str">
        <f>IFERROR(INDEX(样本到样信息汇总统计!Q$2:Q$500,MATCH(69,样本到样信息汇总统计!$Z$2:$Z$500,0)),"")</f>
        <v/>
      </c>
      <c r="R70" s="4" t="str">
        <f>IFERROR(INDEX(样本到样信息汇总统计!R$2:R$500,MATCH(69,样本到样信息汇总统计!$Z$2:$Z$500,0)),"")</f>
        <v/>
      </c>
      <c r="S70" s="4" t="str">
        <f>IFERROR(INDEX(样本到样信息汇总统计!S$2:S$500,MATCH(69,样本到样信息汇总统计!$Z$2:$Z$500,0)),"")</f>
        <v/>
      </c>
      <c r="T70" s="4" t="str">
        <f>IFERROR(INDEX(样本到样信息汇总统计!T$2:T$500,MATCH(69,样本到样信息汇总统计!$Z$2:$Z$500,0)),"")</f>
        <v/>
      </c>
      <c r="U70" s="4" t="str">
        <f>IFERROR(INDEX(样本到样信息汇总统计!U$2:U$500,MATCH(69,样本到样信息汇总统计!$Z$2:$Z$500,0)),"")</f>
        <v/>
      </c>
      <c r="V70" s="4" t="str">
        <f>IFERROR(INDEX(样本到样信息汇总统计!V$2:V$500,MATCH(69,样本到样信息汇总统计!$Z$2:$Z$500,0)),"")</f>
        <v/>
      </c>
      <c r="W70" s="4" t="str">
        <f>IFERROR(INDEX(样本到样信息汇总统计!W$2:W$500,MATCH(69,样本到样信息汇总统计!$Z$2:$Z$500,0)),"")</f>
        <v/>
      </c>
    </row>
    <row r="71" ht="14.5" spans="1:23">
      <c r="A71" s="8" t="str">
        <f>IFERROR(INDEX(样本到样信息汇总统计!A$2:A$500,MATCH(70,样本到样信息汇总统计!$Z$2:$Z$500,0)),"")</f>
        <v/>
      </c>
      <c r="B71" s="8" t="str">
        <f>IFERROR(INDEX(样本到样信息汇总统计!B$2:B$500,MATCH(70,样本到样信息汇总统计!$Z$2:$Z$500,0)),"")</f>
        <v/>
      </c>
      <c r="C71" s="8" t="str">
        <f>IFERROR(INDEX(样本到样信息汇总统计!C$2:C$500,MATCH(70,样本到样信息汇总统计!$Z$2:$Z$500,0)),"")</f>
        <v/>
      </c>
      <c r="D71" s="8" t="str">
        <f>IFERROR(INDEX(样本到样信息汇总统计!D$2:D$500,MATCH(70,样本到样信息汇总统计!$Z$2:$Z$500,0)),"")</f>
        <v/>
      </c>
      <c r="E71" s="8" t="str">
        <f>IFERROR(INDEX(样本到样信息汇总统计!E$2:E$500,MATCH(70,样本到样信息汇总统计!$Z$2:$Z$500,0)),"")</f>
        <v/>
      </c>
      <c r="F71" s="8" t="str">
        <f>IFERROR(INDEX(样本到样信息汇总统计!F$2:F$500,MATCH(70,样本到样信息汇总统计!$Z$2:$Z$500,0)),"")</f>
        <v/>
      </c>
      <c r="G71" s="8" t="str">
        <f>IFERROR(INDEX(样本到样信息汇总统计!G$2:G$500,MATCH(70,样本到样信息汇总统计!$Z$2:$Z$500,0)),"")</f>
        <v/>
      </c>
      <c r="H71" s="8" t="str">
        <f>IFERROR(INDEX(样本到样信息汇总统计!H$2:H$500,MATCH(70,样本到样信息汇总统计!$Z$2:$Z$500,0)),"")</f>
        <v/>
      </c>
      <c r="I71" s="8" t="str">
        <f>IFERROR(INDEX(样本到样信息汇总统计!I$2:I$500,MATCH(70,样本到样信息汇总统计!$Z$2:$Z$500,0)),"")</f>
        <v/>
      </c>
      <c r="J71" s="8" t="str">
        <f>IFERROR(INDEX(样本到样信息汇总统计!J$2:J$500,MATCH(70,样本到样信息汇总统计!$Z$2:$Z$500,0)),"")</f>
        <v/>
      </c>
      <c r="K71" s="8" t="str">
        <f>IFERROR(INDEX(样本到样信息汇总统计!K$2:K$500,MATCH(70,样本到样信息汇总统计!$Z$2:$Z$500,0)),"")</f>
        <v/>
      </c>
      <c r="L71" s="8" t="str">
        <f>IFERROR(INDEX(样本到样信息汇总统计!L$2:L$500,MATCH(70,样本到样信息汇总统计!$Z$2:$Z$500,0)),"")</f>
        <v/>
      </c>
      <c r="M71" s="8" t="str">
        <f>IFERROR(INDEX(样本到样信息汇总统计!M$2:M$500,MATCH(70,样本到样信息汇总统计!$Z$2:$Z$500,0)),"")</f>
        <v/>
      </c>
      <c r="N71" s="8" t="str">
        <f>IFERROR(INDEX(样本到样信息汇总统计!N$2:N$500,MATCH(70,样本到样信息汇总统计!$Z$2:$Z$500,0)),"")</f>
        <v/>
      </c>
      <c r="O71" s="8" t="str">
        <f>IFERROR(INDEX(样本到样信息汇总统计!O$2:O$500,MATCH(70,样本到样信息汇总统计!$Z$2:$Z$500,0)),"")</f>
        <v/>
      </c>
      <c r="P71" s="8" t="str">
        <f>IFERROR(INDEX(样本到样信息汇总统计!P$2:P$500,MATCH(70,样本到样信息汇总统计!$Z$2:$Z$500,0)),"")</f>
        <v/>
      </c>
      <c r="Q71" s="8" t="str">
        <f>IFERROR(INDEX(样本到样信息汇总统计!Q$2:Q$500,MATCH(70,样本到样信息汇总统计!$Z$2:$Z$500,0)),"")</f>
        <v/>
      </c>
      <c r="R71" s="8" t="str">
        <f>IFERROR(INDEX(样本到样信息汇总统计!R$2:R$500,MATCH(70,样本到样信息汇总统计!$Z$2:$Z$500,0)),"")</f>
        <v/>
      </c>
      <c r="S71" s="8" t="str">
        <f>IFERROR(INDEX(样本到样信息汇总统计!S$2:S$500,MATCH(70,样本到样信息汇总统计!$Z$2:$Z$500,0)),"")</f>
        <v/>
      </c>
      <c r="T71" s="8" t="str">
        <f>IFERROR(INDEX(样本到样信息汇总统计!T$2:T$500,MATCH(70,样本到样信息汇总统计!$Z$2:$Z$500,0)),"")</f>
        <v/>
      </c>
      <c r="U71" s="8" t="str">
        <f>IFERROR(INDEX(样本到样信息汇总统计!U$2:U$500,MATCH(70,样本到样信息汇总统计!$Z$2:$Z$500,0)),"")</f>
        <v/>
      </c>
      <c r="V71" s="8" t="str">
        <f>IFERROR(INDEX(样本到样信息汇总统计!V$2:V$500,MATCH(70,样本到样信息汇总统计!$Z$2:$Z$500,0)),"")</f>
        <v/>
      </c>
      <c r="W71" s="8" t="str">
        <f>IFERROR(INDEX(样本到样信息汇总统计!W$2:W$500,MATCH(70,样本到样信息汇总统计!$Z$2:$Z$500,0)),"")</f>
        <v/>
      </c>
    </row>
    <row r="72" ht="14.5" spans="1:23">
      <c r="A72" s="4" t="str">
        <f>IFERROR(INDEX(样本到样信息汇总统计!A$2:A$500,MATCH(71,样本到样信息汇总统计!$Z$2:$Z$500,0)),"")</f>
        <v/>
      </c>
      <c r="B72" s="4" t="str">
        <f>IFERROR(INDEX(样本到样信息汇总统计!B$2:B$500,MATCH(71,样本到样信息汇总统计!$Z$2:$Z$500,0)),"")</f>
        <v/>
      </c>
      <c r="C72" s="4" t="str">
        <f>IFERROR(INDEX(样本到样信息汇总统计!C$2:C$500,MATCH(71,样本到样信息汇总统计!$Z$2:$Z$500,0)),"")</f>
        <v/>
      </c>
      <c r="D72" s="4" t="str">
        <f>IFERROR(INDEX(样本到样信息汇总统计!D$2:D$500,MATCH(71,样本到样信息汇总统计!$Z$2:$Z$500,0)),"")</f>
        <v/>
      </c>
      <c r="E72" s="4" t="str">
        <f>IFERROR(INDEX(样本到样信息汇总统计!E$2:E$500,MATCH(71,样本到样信息汇总统计!$Z$2:$Z$500,0)),"")</f>
        <v/>
      </c>
      <c r="F72" s="4" t="str">
        <f>IFERROR(INDEX(样本到样信息汇总统计!F$2:F$500,MATCH(71,样本到样信息汇总统计!$Z$2:$Z$500,0)),"")</f>
        <v/>
      </c>
      <c r="G72" s="4" t="str">
        <f>IFERROR(INDEX(样本到样信息汇总统计!G$2:G$500,MATCH(71,样本到样信息汇总统计!$Z$2:$Z$500,0)),"")</f>
        <v/>
      </c>
      <c r="H72" s="4" t="str">
        <f>IFERROR(INDEX(样本到样信息汇总统计!H$2:H$500,MATCH(71,样本到样信息汇总统计!$Z$2:$Z$500,0)),"")</f>
        <v/>
      </c>
      <c r="I72" s="4" t="str">
        <f>IFERROR(INDEX(样本到样信息汇总统计!I$2:I$500,MATCH(71,样本到样信息汇总统计!$Z$2:$Z$500,0)),"")</f>
        <v/>
      </c>
      <c r="J72" s="4" t="str">
        <f>IFERROR(INDEX(样本到样信息汇总统计!J$2:J$500,MATCH(71,样本到样信息汇总统计!$Z$2:$Z$500,0)),"")</f>
        <v/>
      </c>
      <c r="K72" s="4" t="str">
        <f>IFERROR(INDEX(样本到样信息汇总统计!K$2:K$500,MATCH(71,样本到样信息汇总统计!$Z$2:$Z$500,0)),"")</f>
        <v/>
      </c>
      <c r="L72" s="4" t="str">
        <f>IFERROR(INDEX(样本到样信息汇总统计!L$2:L$500,MATCH(71,样本到样信息汇总统计!$Z$2:$Z$500,0)),"")</f>
        <v/>
      </c>
      <c r="M72" s="4" t="str">
        <f>IFERROR(INDEX(样本到样信息汇总统计!M$2:M$500,MATCH(71,样本到样信息汇总统计!$Z$2:$Z$500,0)),"")</f>
        <v/>
      </c>
      <c r="N72" s="4" t="str">
        <f>IFERROR(INDEX(样本到样信息汇总统计!N$2:N$500,MATCH(71,样本到样信息汇总统计!$Z$2:$Z$500,0)),"")</f>
        <v/>
      </c>
      <c r="O72" s="4" t="str">
        <f>IFERROR(INDEX(样本到样信息汇总统计!O$2:O$500,MATCH(71,样本到样信息汇总统计!$Z$2:$Z$500,0)),"")</f>
        <v/>
      </c>
      <c r="P72" s="4" t="str">
        <f>IFERROR(INDEX(样本到样信息汇总统计!P$2:P$500,MATCH(71,样本到样信息汇总统计!$Z$2:$Z$500,0)),"")</f>
        <v/>
      </c>
      <c r="Q72" s="4" t="str">
        <f>IFERROR(INDEX(样本到样信息汇总统计!Q$2:Q$500,MATCH(71,样本到样信息汇总统计!$Z$2:$Z$500,0)),"")</f>
        <v/>
      </c>
      <c r="R72" s="4" t="str">
        <f>IFERROR(INDEX(样本到样信息汇总统计!R$2:R$500,MATCH(71,样本到样信息汇总统计!$Z$2:$Z$500,0)),"")</f>
        <v/>
      </c>
      <c r="S72" s="4" t="str">
        <f>IFERROR(INDEX(样本到样信息汇总统计!S$2:S$500,MATCH(71,样本到样信息汇总统计!$Z$2:$Z$500,0)),"")</f>
        <v/>
      </c>
      <c r="T72" s="4" t="str">
        <f>IFERROR(INDEX(样本到样信息汇总统计!T$2:T$500,MATCH(71,样本到样信息汇总统计!$Z$2:$Z$500,0)),"")</f>
        <v/>
      </c>
      <c r="U72" s="4" t="str">
        <f>IFERROR(INDEX(样本到样信息汇总统计!U$2:U$500,MATCH(71,样本到样信息汇总统计!$Z$2:$Z$500,0)),"")</f>
        <v/>
      </c>
      <c r="V72" s="4" t="str">
        <f>IFERROR(INDEX(样本到样信息汇总统计!V$2:V$500,MATCH(71,样本到样信息汇总统计!$Z$2:$Z$500,0)),"")</f>
        <v/>
      </c>
      <c r="W72" s="4" t="str">
        <f>IFERROR(INDEX(样本到样信息汇总统计!W$2:W$500,MATCH(71,样本到样信息汇总统计!$Z$2:$Z$500,0)),"")</f>
        <v/>
      </c>
    </row>
    <row r="73" ht="14.5" spans="1:23">
      <c r="A73" s="8" t="str">
        <f>IFERROR(INDEX(样本到样信息汇总统计!A$2:A$500,MATCH(72,样本到样信息汇总统计!$Z$2:$Z$500,0)),"")</f>
        <v/>
      </c>
      <c r="B73" s="8" t="str">
        <f>IFERROR(INDEX(样本到样信息汇总统计!B$2:B$500,MATCH(72,样本到样信息汇总统计!$Z$2:$Z$500,0)),"")</f>
        <v/>
      </c>
      <c r="C73" s="8" t="str">
        <f>IFERROR(INDEX(样本到样信息汇总统计!C$2:C$500,MATCH(72,样本到样信息汇总统计!$Z$2:$Z$500,0)),"")</f>
        <v/>
      </c>
      <c r="D73" s="8" t="str">
        <f>IFERROR(INDEX(样本到样信息汇总统计!D$2:D$500,MATCH(72,样本到样信息汇总统计!$Z$2:$Z$500,0)),"")</f>
        <v/>
      </c>
      <c r="E73" s="8" t="str">
        <f>IFERROR(INDEX(样本到样信息汇总统计!E$2:E$500,MATCH(72,样本到样信息汇总统计!$Z$2:$Z$500,0)),"")</f>
        <v/>
      </c>
      <c r="F73" s="8" t="str">
        <f>IFERROR(INDEX(样本到样信息汇总统计!F$2:F$500,MATCH(72,样本到样信息汇总统计!$Z$2:$Z$500,0)),"")</f>
        <v/>
      </c>
      <c r="G73" s="8" t="str">
        <f>IFERROR(INDEX(样本到样信息汇总统计!G$2:G$500,MATCH(72,样本到样信息汇总统计!$Z$2:$Z$500,0)),"")</f>
        <v/>
      </c>
      <c r="H73" s="8" t="str">
        <f>IFERROR(INDEX(样本到样信息汇总统计!H$2:H$500,MATCH(72,样本到样信息汇总统计!$Z$2:$Z$500,0)),"")</f>
        <v/>
      </c>
      <c r="I73" s="8" t="str">
        <f>IFERROR(INDEX(样本到样信息汇总统计!I$2:I$500,MATCH(72,样本到样信息汇总统计!$Z$2:$Z$500,0)),"")</f>
        <v/>
      </c>
      <c r="J73" s="8" t="str">
        <f>IFERROR(INDEX(样本到样信息汇总统计!J$2:J$500,MATCH(72,样本到样信息汇总统计!$Z$2:$Z$500,0)),"")</f>
        <v/>
      </c>
      <c r="K73" s="8" t="str">
        <f>IFERROR(INDEX(样本到样信息汇总统计!K$2:K$500,MATCH(72,样本到样信息汇总统计!$Z$2:$Z$500,0)),"")</f>
        <v/>
      </c>
      <c r="L73" s="8" t="str">
        <f>IFERROR(INDEX(样本到样信息汇总统计!L$2:L$500,MATCH(72,样本到样信息汇总统计!$Z$2:$Z$500,0)),"")</f>
        <v/>
      </c>
      <c r="M73" s="8" t="str">
        <f>IFERROR(INDEX(样本到样信息汇总统计!M$2:M$500,MATCH(72,样本到样信息汇总统计!$Z$2:$Z$500,0)),"")</f>
        <v/>
      </c>
      <c r="N73" s="8" t="str">
        <f>IFERROR(INDEX(样本到样信息汇总统计!N$2:N$500,MATCH(72,样本到样信息汇总统计!$Z$2:$Z$500,0)),"")</f>
        <v/>
      </c>
      <c r="O73" s="8" t="str">
        <f>IFERROR(INDEX(样本到样信息汇总统计!O$2:O$500,MATCH(72,样本到样信息汇总统计!$Z$2:$Z$500,0)),"")</f>
        <v/>
      </c>
      <c r="P73" s="8" t="str">
        <f>IFERROR(INDEX(样本到样信息汇总统计!P$2:P$500,MATCH(72,样本到样信息汇总统计!$Z$2:$Z$500,0)),"")</f>
        <v/>
      </c>
      <c r="Q73" s="8" t="str">
        <f>IFERROR(INDEX(样本到样信息汇总统计!Q$2:Q$500,MATCH(72,样本到样信息汇总统计!$Z$2:$Z$500,0)),"")</f>
        <v/>
      </c>
      <c r="R73" s="8" t="str">
        <f>IFERROR(INDEX(样本到样信息汇总统计!R$2:R$500,MATCH(72,样本到样信息汇总统计!$Z$2:$Z$500,0)),"")</f>
        <v/>
      </c>
      <c r="S73" s="8" t="str">
        <f>IFERROR(INDEX(样本到样信息汇总统计!S$2:S$500,MATCH(72,样本到样信息汇总统计!$Z$2:$Z$500,0)),"")</f>
        <v/>
      </c>
      <c r="T73" s="8" t="str">
        <f>IFERROR(INDEX(样本到样信息汇总统计!T$2:T$500,MATCH(72,样本到样信息汇总统计!$Z$2:$Z$500,0)),"")</f>
        <v/>
      </c>
      <c r="U73" s="8" t="str">
        <f>IFERROR(INDEX(样本到样信息汇总统计!U$2:U$500,MATCH(72,样本到样信息汇总统计!$Z$2:$Z$500,0)),"")</f>
        <v/>
      </c>
      <c r="V73" s="8" t="str">
        <f>IFERROR(INDEX(样本到样信息汇总统计!V$2:V$500,MATCH(72,样本到样信息汇总统计!$Z$2:$Z$500,0)),"")</f>
        <v/>
      </c>
      <c r="W73" s="8" t="str">
        <f>IFERROR(INDEX(样本到样信息汇总统计!W$2:W$500,MATCH(72,样本到样信息汇总统计!$Z$2:$Z$500,0)),"")</f>
        <v/>
      </c>
    </row>
    <row r="74" ht="14.5" spans="1:23">
      <c r="A74" s="4" t="str">
        <f>IFERROR(INDEX(样本到样信息汇总统计!A$2:A$500,MATCH(73,样本到样信息汇总统计!$Z$2:$Z$500,0)),"")</f>
        <v/>
      </c>
      <c r="B74" s="4" t="str">
        <f>IFERROR(INDEX(样本到样信息汇总统计!B$2:B$500,MATCH(73,样本到样信息汇总统计!$Z$2:$Z$500,0)),"")</f>
        <v/>
      </c>
      <c r="C74" s="4" t="str">
        <f>IFERROR(INDEX(样本到样信息汇总统计!C$2:C$500,MATCH(73,样本到样信息汇总统计!$Z$2:$Z$500,0)),"")</f>
        <v/>
      </c>
      <c r="D74" s="4" t="str">
        <f>IFERROR(INDEX(样本到样信息汇总统计!D$2:D$500,MATCH(73,样本到样信息汇总统计!$Z$2:$Z$500,0)),"")</f>
        <v/>
      </c>
      <c r="E74" s="4" t="str">
        <f>IFERROR(INDEX(样本到样信息汇总统计!E$2:E$500,MATCH(73,样本到样信息汇总统计!$Z$2:$Z$500,0)),"")</f>
        <v/>
      </c>
      <c r="F74" s="4" t="str">
        <f>IFERROR(INDEX(样本到样信息汇总统计!F$2:F$500,MATCH(73,样本到样信息汇总统计!$Z$2:$Z$500,0)),"")</f>
        <v/>
      </c>
      <c r="G74" s="4" t="str">
        <f>IFERROR(INDEX(样本到样信息汇总统计!G$2:G$500,MATCH(73,样本到样信息汇总统计!$Z$2:$Z$500,0)),"")</f>
        <v/>
      </c>
      <c r="H74" s="4" t="str">
        <f>IFERROR(INDEX(样本到样信息汇总统计!H$2:H$500,MATCH(73,样本到样信息汇总统计!$Z$2:$Z$500,0)),"")</f>
        <v/>
      </c>
      <c r="I74" s="4" t="str">
        <f>IFERROR(INDEX(样本到样信息汇总统计!I$2:I$500,MATCH(73,样本到样信息汇总统计!$Z$2:$Z$500,0)),"")</f>
        <v/>
      </c>
      <c r="J74" s="4" t="str">
        <f>IFERROR(INDEX(样本到样信息汇总统计!J$2:J$500,MATCH(73,样本到样信息汇总统计!$Z$2:$Z$500,0)),"")</f>
        <v/>
      </c>
      <c r="K74" s="4" t="str">
        <f>IFERROR(INDEX(样本到样信息汇总统计!K$2:K$500,MATCH(73,样本到样信息汇总统计!$Z$2:$Z$500,0)),"")</f>
        <v/>
      </c>
      <c r="L74" s="4" t="str">
        <f>IFERROR(INDEX(样本到样信息汇总统计!L$2:L$500,MATCH(73,样本到样信息汇总统计!$Z$2:$Z$500,0)),"")</f>
        <v/>
      </c>
      <c r="M74" s="4" t="str">
        <f>IFERROR(INDEX(样本到样信息汇总统计!M$2:M$500,MATCH(73,样本到样信息汇总统计!$Z$2:$Z$500,0)),"")</f>
        <v/>
      </c>
      <c r="N74" s="4" t="str">
        <f>IFERROR(INDEX(样本到样信息汇总统计!N$2:N$500,MATCH(73,样本到样信息汇总统计!$Z$2:$Z$500,0)),"")</f>
        <v/>
      </c>
      <c r="O74" s="4" t="str">
        <f>IFERROR(INDEX(样本到样信息汇总统计!O$2:O$500,MATCH(73,样本到样信息汇总统计!$Z$2:$Z$500,0)),"")</f>
        <v/>
      </c>
      <c r="P74" s="4" t="str">
        <f>IFERROR(INDEX(样本到样信息汇总统计!P$2:P$500,MATCH(73,样本到样信息汇总统计!$Z$2:$Z$500,0)),"")</f>
        <v/>
      </c>
      <c r="Q74" s="4" t="str">
        <f>IFERROR(INDEX(样本到样信息汇总统计!Q$2:Q$500,MATCH(73,样本到样信息汇总统计!$Z$2:$Z$500,0)),"")</f>
        <v/>
      </c>
      <c r="R74" s="4" t="str">
        <f>IFERROR(INDEX(样本到样信息汇总统计!R$2:R$500,MATCH(73,样本到样信息汇总统计!$Z$2:$Z$500,0)),"")</f>
        <v/>
      </c>
      <c r="S74" s="4" t="str">
        <f>IFERROR(INDEX(样本到样信息汇总统计!S$2:S$500,MATCH(73,样本到样信息汇总统计!$Z$2:$Z$500,0)),"")</f>
        <v/>
      </c>
      <c r="T74" s="4" t="str">
        <f>IFERROR(INDEX(样本到样信息汇总统计!T$2:T$500,MATCH(73,样本到样信息汇总统计!$Z$2:$Z$500,0)),"")</f>
        <v/>
      </c>
      <c r="U74" s="4" t="str">
        <f>IFERROR(INDEX(样本到样信息汇总统计!U$2:U$500,MATCH(73,样本到样信息汇总统计!$Z$2:$Z$500,0)),"")</f>
        <v/>
      </c>
      <c r="V74" s="4" t="str">
        <f>IFERROR(INDEX(样本到样信息汇总统计!V$2:V$500,MATCH(73,样本到样信息汇总统计!$Z$2:$Z$500,0)),"")</f>
        <v/>
      </c>
      <c r="W74" s="4" t="str">
        <f>IFERROR(INDEX(样本到样信息汇总统计!W$2:W$500,MATCH(73,样本到样信息汇总统计!$Z$2:$Z$500,0)),"")</f>
        <v/>
      </c>
    </row>
    <row r="75" ht="14.5" spans="1:23">
      <c r="A75" s="8" t="str">
        <f>IFERROR(INDEX(样本到样信息汇总统计!A$2:A$500,MATCH(74,样本到样信息汇总统计!$Z$2:$Z$500,0)),"")</f>
        <v/>
      </c>
      <c r="B75" s="8" t="str">
        <f>IFERROR(INDEX(样本到样信息汇总统计!B$2:B$500,MATCH(74,样本到样信息汇总统计!$Z$2:$Z$500,0)),"")</f>
        <v/>
      </c>
      <c r="C75" s="8" t="str">
        <f>IFERROR(INDEX(样本到样信息汇总统计!C$2:C$500,MATCH(74,样本到样信息汇总统计!$Z$2:$Z$500,0)),"")</f>
        <v/>
      </c>
      <c r="D75" s="8" t="str">
        <f>IFERROR(INDEX(样本到样信息汇总统计!D$2:D$500,MATCH(74,样本到样信息汇总统计!$Z$2:$Z$500,0)),"")</f>
        <v/>
      </c>
      <c r="E75" s="8" t="str">
        <f>IFERROR(INDEX(样本到样信息汇总统计!E$2:E$500,MATCH(74,样本到样信息汇总统计!$Z$2:$Z$500,0)),"")</f>
        <v/>
      </c>
      <c r="F75" s="8" t="str">
        <f>IFERROR(INDEX(样本到样信息汇总统计!F$2:F$500,MATCH(74,样本到样信息汇总统计!$Z$2:$Z$500,0)),"")</f>
        <v/>
      </c>
      <c r="G75" s="8" t="str">
        <f>IFERROR(INDEX(样本到样信息汇总统计!G$2:G$500,MATCH(74,样本到样信息汇总统计!$Z$2:$Z$500,0)),"")</f>
        <v/>
      </c>
      <c r="H75" s="8" t="str">
        <f>IFERROR(INDEX(样本到样信息汇总统计!H$2:H$500,MATCH(74,样本到样信息汇总统计!$Z$2:$Z$500,0)),"")</f>
        <v/>
      </c>
      <c r="I75" s="8" t="str">
        <f>IFERROR(INDEX(样本到样信息汇总统计!I$2:I$500,MATCH(74,样本到样信息汇总统计!$Z$2:$Z$500,0)),"")</f>
        <v/>
      </c>
      <c r="J75" s="8" t="str">
        <f>IFERROR(INDEX(样本到样信息汇总统计!J$2:J$500,MATCH(74,样本到样信息汇总统计!$Z$2:$Z$500,0)),"")</f>
        <v/>
      </c>
      <c r="K75" s="8" t="str">
        <f>IFERROR(INDEX(样本到样信息汇总统计!K$2:K$500,MATCH(74,样本到样信息汇总统计!$Z$2:$Z$500,0)),"")</f>
        <v/>
      </c>
      <c r="L75" s="8" t="str">
        <f>IFERROR(INDEX(样本到样信息汇总统计!L$2:L$500,MATCH(74,样本到样信息汇总统计!$Z$2:$Z$500,0)),"")</f>
        <v/>
      </c>
      <c r="M75" s="8" t="str">
        <f>IFERROR(INDEX(样本到样信息汇总统计!M$2:M$500,MATCH(74,样本到样信息汇总统计!$Z$2:$Z$500,0)),"")</f>
        <v/>
      </c>
      <c r="N75" s="8" t="str">
        <f>IFERROR(INDEX(样本到样信息汇总统计!N$2:N$500,MATCH(74,样本到样信息汇总统计!$Z$2:$Z$500,0)),"")</f>
        <v/>
      </c>
      <c r="O75" s="8" t="str">
        <f>IFERROR(INDEX(样本到样信息汇总统计!O$2:O$500,MATCH(74,样本到样信息汇总统计!$Z$2:$Z$500,0)),"")</f>
        <v/>
      </c>
      <c r="P75" s="8" t="str">
        <f>IFERROR(INDEX(样本到样信息汇总统计!P$2:P$500,MATCH(74,样本到样信息汇总统计!$Z$2:$Z$500,0)),"")</f>
        <v/>
      </c>
      <c r="Q75" s="8" t="str">
        <f>IFERROR(INDEX(样本到样信息汇总统计!Q$2:Q$500,MATCH(74,样本到样信息汇总统计!$Z$2:$Z$500,0)),"")</f>
        <v/>
      </c>
      <c r="R75" s="8" t="str">
        <f>IFERROR(INDEX(样本到样信息汇总统计!R$2:R$500,MATCH(74,样本到样信息汇总统计!$Z$2:$Z$500,0)),"")</f>
        <v/>
      </c>
      <c r="S75" s="8" t="str">
        <f>IFERROR(INDEX(样本到样信息汇总统计!S$2:S$500,MATCH(74,样本到样信息汇总统计!$Z$2:$Z$500,0)),"")</f>
        <v/>
      </c>
      <c r="T75" s="8" t="str">
        <f>IFERROR(INDEX(样本到样信息汇总统计!T$2:T$500,MATCH(74,样本到样信息汇总统计!$Z$2:$Z$500,0)),"")</f>
        <v/>
      </c>
      <c r="U75" s="8" t="str">
        <f>IFERROR(INDEX(样本到样信息汇总统计!U$2:U$500,MATCH(74,样本到样信息汇总统计!$Z$2:$Z$500,0)),"")</f>
        <v/>
      </c>
      <c r="V75" s="8" t="str">
        <f>IFERROR(INDEX(样本到样信息汇总统计!V$2:V$500,MATCH(74,样本到样信息汇总统计!$Z$2:$Z$500,0)),"")</f>
        <v/>
      </c>
      <c r="W75" s="8" t="str">
        <f>IFERROR(INDEX(样本到样信息汇总统计!W$2:W$500,MATCH(74,样本到样信息汇总统计!$Z$2:$Z$500,0)),"")</f>
        <v/>
      </c>
    </row>
    <row r="76" ht="14.5" spans="1:23">
      <c r="A76" s="4" t="str">
        <f>IFERROR(INDEX(样本到样信息汇总统计!A$2:A$500,MATCH(75,样本到样信息汇总统计!$Z$2:$Z$500,0)),"")</f>
        <v/>
      </c>
      <c r="B76" s="4" t="str">
        <f>IFERROR(INDEX(样本到样信息汇总统计!B$2:B$500,MATCH(75,样本到样信息汇总统计!$Z$2:$Z$500,0)),"")</f>
        <v/>
      </c>
      <c r="C76" s="4" t="str">
        <f>IFERROR(INDEX(样本到样信息汇总统计!C$2:C$500,MATCH(75,样本到样信息汇总统计!$Z$2:$Z$500,0)),"")</f>
        <v/>
      </c>
      <c r="D76" s="4" t="str">
        <f>IFERROR(INDEX(样本到样信息汇总统计!D$2:D$500,MATCH(75,样本到样信息汇总统计!$Z$2:$Z$500,0)),"")</f>
        <v/>
      </c>
      <c r="E76" s="4" t="str">
        <f>IFERROR(INDEX(样本到样信息汇总统计!E$2:E$500,MATCH(75,样本到样信息汇总统计!$Z$2:$Z$500,0)),"")</f>
        <v/>
      </c>
      <c r="F76" s="4" t="str">
        <f>IFERROR(INDEX(样本到样信息汇总统计!F$2:F$500,MATCH(75,样本到样信息汇总统计!$Z$2:$Z$500,0)),"")</f>
        <v/>
      </c>
      <c r="G76" s="4" t="str">
        <f>IFERROR(INDEX(样本到样信息汇总统计!G$2:G$500,MATCH(75,样本到样信息汇总统计!$Z$2:$Z$500,0)),"")</f>
        <v/>
      </c>
      <c r="H76" s="4" t="str">
        <f>IFERROR(INDEX(样本到样信息汇总统计!H$2:H$500,MATCH(75,样本到样信息汇总统计!$Z$2:$Z$500,0)),"")</f>
        <v/>
      </c>
      <c r="I76" s="4" t="str">
        <f>IFERROR(INDEX(样本到样信息汇总统计!I$2:I$500,MATCH(75,样本到样信息汇总统计!$Z$2:$Z$500,0)),"")</f>
        <v/>
      </c>
      <c r="J76" s="4" t="str">
        <f>IFERROR(INDEX(样本到样信息汇总统计!J$2:J$500,MATCH(75,样本到样信息汇总统计!$Z$2:$Z$500,0)),"")</f>
        <v/>
      </c>
      <c r="K76" s="4" t="str">
        <f>IFERROR(INDEX(样本到样信息汇总统计!K$2:K$500,MATCH(75,样本到样信息汇总统计!$Z$2:$Z$500,0)),"")</f>
        <v/>
      </c>
      <c r="L76" s="4" t="str">
        <f>IFERROR(INDEX(样本到样信息汇总统计!L$2:L$500,MATCH(75,样本到样信息汇总统计!$Z$2:$Z$500,0)),"")</f>
        <v/>
      </c>
      <c r="M76" s="4" t="str">
        <f>IFERROR(INDEX(样本到样信息汇总统计!M$2:M$500,MATCH(75,样本到样信息汇总统计!$Z$2:$Z$500,0)),"")</f>
        <v/>
      </c>
      <c r="N76" s="4" t="str">
        <f>IFERROR(INDEX(样本到样信息汇总统计!N$2:N$500,MATCH(75,样本到样信息汇总统计!$Z$2:$Z$500,0)),"")</f>
        <v/>
      </c>
      <c r="O76" s="4" t="str">
        <f>IFERROR(INDEX(样本到样信息汇总统计!O$2:O$500,MATCH(75,样本到样信息汇总统计!$Z$2:$Z$500,0)),"")</f>
        <v/>
      </c>
      <c r="P76" s="4" t="str">
        <f>IFERROR(INDEX(样本到样信息汇总统计!P$2:P$500,MATCH(75,样本到样信息汇总统计!$Z$2:$Z$500,0)),"")</f>
        <v/>
      </c>
      <c r="Q76" s="4" t="str">
        <f>IFERROR(INDEX(样本到样信息汇总统计!Q$2:Q$500,MATCH(75,样本到样信息汇总统计!$Z$2:$Z$500,0)),"")</f>
        <v/>
      </c>
      <c r="R76" s="4" t="str">
        <f>IFERROR(INDEX(样本到样信息汇总统计!R$2:R$500,MATCH(75,样本到样信息汇总统计!$Z$2:$Z$500,0)),"")</f>
        <v/>
      </c>
      <c r="S76" s="4" t="str">
        <f>IFERROR(INDEX(样本到样信息汇总统计!S$2:S$500,MATCH(75,样本到样信息汇总统计!$Z$2:$Z$500,0)),"")</f>
        <v/>
      </c>
      <c r="T76" s="4" t="str">
        <f>IFERROR(INDEX(样本到样信息汇总统计!T$2:T$500,MATCH(75,样本到样信息汇总统计!$Z$2:$Z$500,0)),"")</f>
        <v/>
      </c>
      <c r="U76" s="4" t="str">
        <f>IFERROR(INDEX(样本到样信息汇总统计!U$2:U$500,MATCH(75,样本到样信息汇总统计!$Z$2:$Z$500,0)),"")</f>
        <v/>
      </c>
      <c r="V76" s="4" t="str">
        <f>IFERROR(INDEX(样本到样信息汇总统计!V$2:V$500,MATCH(75,样本到样信息汇总统计!$Z$2:$Z$500,0)),"")</f>
        <v/>
      </c>
      <c r="W76" s="4" t="str">
        <f>IFERROR(INDEX(样本到样信息汇总统计!W$2:W$500,MATCH(75,样本到样信息汇总统计!$Z$2:$Z$500,0)),"")</f>
        <v/>
      </c>
    </row>
    <row r="77" ht="14.5" spans="1:23">
      <c r="A77" s="8" t="str">
        <f>IFERROR(INDEX(样本到样信息汇总统计!A$2:A$500,MATCH(76,样本到样信息汇总统计!$Z$2:$Z$500,0)),"")</f>
        <v/>
      </c>
      <c r="B77" s="8" t="str">
        <f>IFERROR(INDEX(样本到样信息汇总统计!B$2:B$500,MATCH(76,样本到样信息汇总统计!$Z$2:$Z$500,0)),"")</f>
        <v/>
      </c>
      <c r="C77" s="8" t="str">
        <f>IFERROR(INDEX(样本到样信息汇总统计!C$2:C$500,MATCH(76,样本到样信息汇总统计!$Z$2:$Z$500,0)),"")</f>
        <v/>
      </c>
      <c r="D77" s="8" t="str">
        <f>IFERROR(INDEX(样本到样信息汇总统计!D$2:D$500,MATCH(76,样本到样信息汇总统计!$Z$2:$Z$500,0)),"")</f>
        <v/>
      </c>
      <c r="E77" s="8" t="str">
        <f>IFERROR(INDEX(样本到样信息汇总统计!E$2:E$500,MATCH(76,样本到样信息汇总统计!$Z$2:$Z$500,0)),"")</f>
        <v/>
      </c>
      <c r="F77" s="8" t="str">
        <f>IFERROR(INDEX(样本到样信息汇总统计!F$2:F$500,MATCH(76,样本到样信息汇总统计!$Z$2:$Z$500,0)),"")</f>
        <v/>
      </c>
      <c r="G77" s="8" t="str">
        <f>IFERROR(INDEX(样本到样信息汇总统计!G$2:G$500,MATCH(76,样本到样信息汇总统计!$Z$2:$Z$500,0)),"")</f>
        <v/>
      </c>
      <c r="H77" s="8" t="str">
        <f>IFERROR(INDEX(样本到样信息汇总统计!H$2:H$500,MATCH(76,样本到样信息汇总统计!$Z$2:$Z$500,0)),"")</f>
        <v/>
      </c>
      <c r="I77" s="8" t="str">
        <f>IFERROR(INDEX(样本到样信息汇总统计!I$2:I$500,MATCH(76,样本到样信息汇总统计!$Z$2:$Z$500,0)),"")</f>
        <v/>
      </c>
      <c r="J77" s="8" t="str">
        <f>IFERROR(INDEX(样本到样信息汇总统计!J$2:J$500,MATCH(76,样本到样信息汇总统计!$Z$2:$Z$500,0)),"")</f>
        <v/>
      </c>
      <c r="K77" s="8" t="str">
        <f>IFERROR(INDEX(样本到样信息汇总统计!K$2:K$500,MATCH(76,样本到样信息汇总统计!$Z$2:$Z$500,0)),"")</f>
        <v/>
      </c>
      <c r="L77" s="8" t="str">
        <f>IFERROR(INDEX(样本到样信息汇总统计!L$2:L$500,MATCH(76,样本到样信息汇总统计!$Z$2:$Z$500,0)),"")</f>
        <v/>
      </c>
      <c r="M77" s="8" t="str">
        <f>IFERROR(INDEX(样本到样信息汇总统计!M$2:M$500,MATCH(76,样本到样信息汇总统计!$Z$2:$Z$500,0)),"")</f>
        <v/>
      </c>
      <c r="N77" s="8" t="str">
        <f>IFERROR(INDEX(样本到样信息汇总统计!N$2:N$500,MATCH(76,样本到样信息汇总统计!$Z$2:$Z$500,0)),"")</f>
        <v/>
      </c>
      <c r="O77" s="8" t="str">
        <f>IFERROR(INDEX(样本到样信息汇总统计!O$2:O$500,MATCH(76,样本到样信息汇总统计!$Z$2:$Z$500,0)),"")</f>
        <v/>
      </c>
      <c r="P77" s="8" t="str">
        <f>IFERROR(INDEX(样本到样信息汇总统计!P$2:P$500,MATCH(76,样本到样信息汇总统计!$Z$2:$Z$500,0)),"")</f>
        <v/>
      </c>
      <c r="Q77" s="8" t="str">
        <f>IFERROR(INDEX(样本到样信息汇总统计!Q$2:Q$500,MATCH(76,样本到样信息汇总统计!$Z$2:$Z$500,0)),"")</f>
        <v/>
      </c>
      <c r="R77" s="8" t="str">
        <f>IFERROR(INDEX(样本到样信息汇总统计!R$2:R$500,MATCH(76,样本到样信息汇总统计!$Z$2:$Z$500,0)),"")</f>
        <v/>
      </c>
      <c r="S77" s="8" t="str">
        <f>IFERROR(INDEX(样本到样信息汇总统计!S$2:S$500,MATCH(76,样本到样信息汇总统计!$Z$2:$Z$500,0)),"")</f>
        <v/>
      </c>
      <c r="T77" s="8" t="str">
        <f>IFERROR(INDEX(样本到样信息汇总统计!T$2:T$500,MATCH(76,样本到样信息汇总统计!$Z$2:$Z$500,0)),"")</f>
        <v/>
      </c>
      <c r="U77" s="8" t="str">
        <f>IFERROR(INDEX(样本到样信息汇总统计!U$2:U$500,MATCH(76,样本到样信息汇总统计!$Z$2:$Z$500,0)),"")</f>
        <v/>
      </c>
      <c r="V77" s="8" t="str">
        <f>IFERROR(INDEX(样本到样信息汇总统计!V$2:V$500,MATCH(76,样本到样信息汇总统计!$Z$2:$Z$500,0)),"")</f>
        <v/>
      </c>
      <c r="W77" s="8" t="str">
        <f>IFERROR(INDEX(样本到样信息汇总统计!W$2:W$500,MATCH(76,样本到样信息汇总统计!$Z$2:$Z$500,0)),"")</f>
        <v/>
      </c>
    </row>
    <row r="78" ht="14.5" spans="1:23">
      <c r="A78" s="4" t="str">
        <f>IFERROR(INDEX(样本到样信息汇总统计!A$2:A$500,MATCH(77,样本到样信息汇总统计!$Z$2:$Z$500,0)),"")</f>
        <v/>
      </c>
      <c r="B78" s="4" t="str">
        <f>IFERROR(INDEX(样本到样信息汇总统计!B$2:B$500,MATCH(77,样本到样信息汇总统计!$Z$2:$Z$500,0)),"")</f>
        <v/>
      </c>
      <c r="C78" s="4" t="str">
        <f>IFERROR(INDEX(样本到样信息汇总统计!C$2:C$500,MATCH(77,样本到样信息汇总统计!$Z$2:$Z$500,0)),"")</f>
        <v/>
      </c>
      <c r="D78" s="4" t="str">
        <f>IFERROR(INDEX(样本到样信息汇总统计!D$2:D$500,MATCH(77,样本到样信息汇总统计!$Z$2:$Z$500,0)),"")</f>
        <v/>
      </c>
      <c r="E78" s="4" t="str">
        <f>IFERROR(INDEX(样本到样信息汇总统计!E$2:E$500,MATCH(77,样本到样信息汇总统计!$Z$2:$Z$500,0)),"")</f>
        <v/>
      </c>
      <c r="F78" s="4" t="str">
        <f>IFERROR(INDEX(样本到样信息汇总统计!F$2:F$500,MATCH(77,样本到样信息汇总统计!$Z$2:$Z$500,0)),"")</f>
        <v/>
      </c>
      <c r="G78" s="4" t="str">
        <f>IFERROR(INDEX(样本到样信息汇总统计!G$2:G$500,MATCH(77,样本到样信息汇总统计!$Z$2:$Z$500,0)),"")</f>
        <v/>
      </c>
      <c r="H78" s="4" t="str">
        <f>IFERROR(INDEX(样本到样信息汇总统计!H$2:H$500,MATCH(77,样本到样信息汇总统计!$Z$2:$Z$500,0)),"")</f>
        <v/>
      </c>
      <c r="I78" s="4" t="str">
        <f>IFERROR(INDEX(样本到样信息汇总统计!I$2:I$500,MATCH(77,样本到样信息汇总统计!$Z$2:$Z$500,0)),"")</f>
        <v/>
      </c>
      <c r="J78" s="4" t="str">
        <f>IFERROR(INDEX(样本到样信息汇总统计!J$2:J$500,MATCH(77,样本到样信息汇总统计!$Z$2:$Z$500,0)),"")</f>
        <v/>
      </c>
      <c r="K78" s="4" t="str">
        <f>IFERROR(INDEX(样本到样信息汇总统计!K$2:K$500,MATCH(77,样本到样信息汇总统计!$Z$2:$Z$500,0)),"")</f>
        <v/>
      </c>
      <c r="L78" s="4" t="str">
        <f>IFERROR(INDEX(样本到样信息汇总统计!L$2:L$500,MATCH(77,样本到样信息汇总统计!$Z$2:$Z$500,0)),"")</f>
        <v/>
      </c>
      <c r="M78" s="4" t="str">
        <f>IFERROR(INDEX(样本到样信息汇总统计!M$2:M$500,MATCH(77,样本到样信息汇总统计!$Z$2:$Z$500,0)),"")</f>
        <v/>
      </c>
      <c r="N78" s="4" t="str">
        <f>IFERROR(INDEX(样本到样信息汇总统计!N$2:N$500,MATCH(77,样本到样信息汇总统计!$Z$2:$Z$500,0)),"")</f>
        <v/>
      </c>
      <c r="O78" s="4" t="str">
        <f>IFERROR(INDEX(样本到样信息汇总统计!O$2:O$500,MATCH(77,样本到样信息汇总统计!$Z$2:$Z$500,0)),"")</f>
        <v/>
      </c>
      <c r="P78" s="4" t="str">
        <f>IFERROR(INDEX(样本到样信息汇总统计!P$2:P$500,MATCH(77,样本到样信息汇总统计!$Z$2:$Z$500,0)),"")</f>
        <v/>
      </c>
      <c r="Q78" s="4" t="str">
        <f>IFERROR(INDEX(样本到样信息汇总统计!Q$2:Q$500,MATCH(77,样本到样信息汇总统计!$Z$2:$Z$500,0)),"")</f>
        <v/>
      </c>
      <c r="R78" s="4" t="str">
        <f>IFERROR(INDEX(样本到样信息汇总统计!R$2:R$500,MATCH(77,样本到样信息汇总统计!$Z$2:$Z$500,0)),"")</f>
        <v/>
      </c>
      <c r="S78" s="4" t="str">
        <f>IFERROR(INDEX(样本到样信息汇总统计!S$2:S$500,MATCH(77,样本到样信息汇总统计!$Z$2:$Z$500,0)),"")</f>
        <v/>
      </c>
      <c r="T78" s="4" t="str">
        <f>IFERROR(INDEX(样本到样信息汇总统计!T$2:T$500,MATCH(77,样本到样信息汇总统计!$Z$2:$Z$500,0)),"")</f>
        <v/>
      </c>
      <c r="U78" s="4" t="str">
        <f>IFERROR(INDEX(样本到样信息汇总统计!U$2:U$500,MATCH(77,样本到样信息汇总统计!$Z$2:$Z$500,0)),"")</f>
        <v/>
      </c>
      <c r="V78" s="4" t="str">
        <f>IFERROR(INDEX(样本到样信息汇总统计!V$2:V$500,MATCH(77,样本到样信息汇总统计!$Z$2:$Z$500,0)),"")</f>
        <v/>
      </c>
      <c r="W78" s="4" t="str">
        <f>IFERROR(INDEX(样本到样信息汇总统计!W$2:W$500,MATCH(77,样本到样信息汇总统计!$Z$2:$Z$500,0)),"")</f>
        <v/>
      </c>
    </row>
    <row r="79" ht="14.5" spans="1:23">
      <c r="A79" s="8" t="str">
        <f>IFERROR(INDEX(样本到样信息汇总统计!A$2:A$500,MATCH(78,样本到样信息汇总统计!$Z$2:$Z$500,0)),"")</f>
        <v/>
      </c>
      <c r="B79" s="8" t="str">
        <f>IFERROR(INDEX(样本到样信息汇总统计!B$2:B$500,MATCH(78,样本到样信息汇总统计!$Z$2:$Z$500,0)),"")</f>
        <v/>
      </c>
      <c r="C79" s="8" t="str">
        <f>IFERROR(INDEX(样本到样信息汇总统计!C$2:C$500,MATCH(78,样本到样信息汇总统计!$Z$2:$Z$500,0)),"")</f>
        <v/>
      </c>
      <c r="D79" s="8" t="str">
        <f>IFERROR(INDEX(样本到样信息汇总统计!D$2:D$500,MATCH(78,样本到样信息汇总统计!$Z$2:$Z$500,0)),"")</f>
        <v/>
      </c>
      <c r="E79" s="8" t="str">
        <f>IFERROR(INDEX(样本到样信息汇总统计!E$2:E$500,MATCH(78,样本到样信息汇总统计!$Z$2:$Z$500,0)),"")</f>
        <v/>
      </c>
      <c r="F79" s="8" t="str">
        <f>IFERROR(INDEX(样本到样信息汇总统计!F$2:F$500,MATCH(78,样本到样信息汇总统计!$Z$2:$Z$500,0)),"")</f>
        <v/>
      </c>
      <c r="G79" s="8" t="str">
        <f>IFERROR(INDEX(样本到样信息汇总统计!G$2:G$500,MATCH(78,样本到样信息汇总统计!$Z$2:$Z$500,0)),"")</f>
        <v/>
      </c>
      <c r="H79" s="8" t="str">
        <f>IFERROR(INDEX(样本到样信息汇总统计!H$2:H$500,MATCH(78,样本到样信息汇总统计!$Z$2:$Z$500,0)),"")</f>
        <v/>
      </c>
      <c r="I79" s="8" t="str">
        <f>IFERROR(INDEX(样本到样信息汇总统计!I$2:I$500,MATCH(78,样本到样信息汇总统计!$Z$2:$Z$500,0)),"")</f>
        <v/>
      </c>
      <c r="J79" s="8" t="str">
        <f>IFERROR(INDEX(样本到样信息汇总统计!J$2:J$500,MATCH(78,样本到样信息汇总统计!$Z$2:$Z$500,0)),"")</f>
        <v/>
      </c>
      <c r="K79" s="8" t="str">
        <f>IFERROR(INDEX(样本到样信息汇总统计!K$2:K$500,MATCH(78,样本到样信息汇总统计!$Z$2:$Z$500,0)),"")</f>
        <v/>
      </c>
      <c r="L79" s="8" t="str">
        <f>IFERROR(INDEX(样本到样信息汇总统计!L$2:L$500,MATCH(78,样本到样信息汇总统计!$Z$2:$Z$500,0)),"")</f>
        <v/>
      </c>
      <c r="M79" s="8" t="str">
        <f>IFERROR(INDEX(样本到样信息汇总统计!M$2:M$500,MATCH(78,样本到样信息汇总统计!$Z$2:$Z$500,0)),"")</f>
        <v/>
      </c>
      <c r="N79" s="8" t="str">
        <f>IFERROR(INDEX(样本到样信息汇总统计!N$2:N$500,MATCH(78,样本到样信息汇总统计!$Z$2:$Z$500,0)),"")</f>
        <v/>
      </c>
      <c r="O79" s="8" t="str">
        <f>IFERROR(INDEX(样本到样信息汇总统计!O$2:O$500,MATCH(78,样本到样信息汇总统计!$Z$2:$Z$500,0)),"")</f>
        <v/>
      </c>
      <c r="P79" s="8" t="str">
        <f>IFERROR(INDEX(样本到样信息汇总统计!P$2:P$500,MATCH(78,样本到样信息汇总统计!$Z$2:$Z$500,0)),"")</f>
        <v/>
      </c>
      <c r="Q79" s="8" t="str">
        <f>IFERROR(INDEX(样本到样信息汇总统计!Q$2:Q$500,MATCH(78,样本到样信息汇总统计!$Z$2:$Z$500,0)),"")</f>
        <v/>
      </c>
      <c r="R79" s="8" t="str">
        <f>IFERROR(INDEX(样本到样信息汇总统计!R$2:R$500,MATCH(78,样本到样信息汇总统计!$Z$2:$Z$500,0)),"")</f>
        <v/>
      </c>
      <c r="S79" s="8" t="str">
        <f>IFERROR(INDEX(样本到样信息汇总统计!S$2:S$500,MATCH(78,样本到样信息汇总统计!$Z$2:$Z$500,0)),"")</f>
        <v/>
      </c>
      <c r="T79" s="8" t="str">
        <f>IFERROR(INDEX(样本到样信息汇总统计!T$2:T$500,MATCH(78,样本到样信息汇总统计!$Z$2:$Z$500,0)),"")</f>
        <v/>
      </c>
      <c r="U79" s="8" t="str">
        <f>IFERROR(INDEX(样本到样信息汇总统计!U$2:U$500,MATCH(78,样本到样信息汇总统计!$Z$2:$Z$500,0)),"")</f>
        <v/>
      </c>
      <c r="V79" s="8" t="str">
        <f>IFERROR(INDEX(样本到样信息汇总统计!V$2:V$500,MATCH(78,样本到样信息汇总统计!$Z$2:$Z$500,0)),"")</f>
        <v/>
      </c>
      <c r="W79" s="8" t="str">
        <f>IFERROR(INDEX(样本到样信息汇总统计!W$2:W$500,MATCH(78,样本到样信息汇总统计!$Z$2:$Z$500,0)),"")</f>
        <v/>
      </c>
    </row>
    <row r="80" ht="14.5" spans="1:23">
      <c r="A80" s="4" t="str">
        <f>IFERROR(INDEX(样本到样信息汇总统计!A$2:A$500,MATCH(79,样本到样信息汇总统计!$Z$2:$Z$500,0)),"")</f>
        <v/>
      </c>
      <c r="B80" s="4" t="str">
        <f>IFERROR(INDEX(样本到样信息汇总统计!B$2:B$500,MATCH(79,样本到样信息汇总统计!$Z$2:$Z$500,0)),"")</f>
        <v/>
      </c>
      <c r="C80" s="4" t="str">
        <f>IFERROR(INDEX(样本到样信息汇总统计!C$2:C$500,MATCH(79,样本到样信息汇总统计!$Z$2:$Z$500,0)),"")</f>
        <v/>
      </c>
      <c r="D80" s="4" t="str">
        <f>IFERROR(INDEX(样本到样信息汇总统计!D$2:D$500,MATCH(79,样本到样信息汇总统计!$Z$2:$Z$500,0)),"")</f>
        <v/>
      </c>
      <c r="E80" s="4" t="str">
        <f>IFERROR(INDEX(样本到样信息汇总统计!E$2:E$500,MATCH(79,样本到样信息汇总统计!$Z$2:$Z$500,0)),"")</f>
        <v/>
      </c>
      <c r="F80" s="4" t="str">
        <f>IFERROR(INDEX(样本到样信息汇总统计!F$2:F$500,MATCH(79,样本到样信息汇总统计!$Z$2:$Z$500,0)),"")</f>
        <v/>
      </c>
      <c r="G80" s="4" t="str">
        <f>IFERROR(INDEX(样本到样信息汇总统计!G$2:G$500,MATCH(79,样本到样信息汇总统计!$Z$2:$Z$500,0)),"")</f>
        <v/>
      </c>
      <c r="H80" s="4" t="str">
        <f>IFERROR(INDEX(样本到样信息汇总统计!H$2:H$500,MATCH(79,样本到样信息汇总统计!$Z$2:$Z$500,0)),"")</f>
        <v/>
      </c>
      <c r="I80" s="4" t="str">
        <f>IFERROR(INDEX(样本到样信息汇总统计!I$2:I$500,MATCH(79,样本到样信息汇总统计!$Z$2:$Z$500,0)),"")</f>
        <v/>
      </c>
      <c r="J80" s="4" t="str">
        <f>IFERROR(INDEX(样本到样信息汇总统计!J$2:J$500,MATCH(79,样本到样信息汇总统计!$Z$2:$Z$500,0)),"")</f>
        <v/>
      </c>
      <c r="K80" s="4" t="str">
        <f>IFERROR(INDEX(样本到样信息汇总统计!K$2:K$500,MATCH(79,样本到样信息汇总统计!$Z$2:$Z$500,0)),"")</f>
        <v/>
      </c>
      <c r="L80" s="4" t="str">
        <f>IFERROR(INDEX(样本到样信息汇总统计!L$2:L$500,MATCH(79,样本到样信息汇总统计!$Z$2:$Z$500,0)),"")</f>
        <v/>
      </c>
      <c r="M80" s="4" t="str">
        <f>IFERROR(INDEX(样本到样信息汇总统计!M$2:M$500,MATCH(79,样本到样信息汇总统计!$Z$2:$Z$500,0)),"")</f>
        <v/>
      </c>
      <c r="N80" s="4" t="str">
        <f>IFERROR(INDEX(样本到样信息汇总统计!N$2:N$500,MATCH(79,样本到样信息汇总统计!$Z$2:$Z$500,0)),"")</f>
        <v/>
      </c>
      <c r="O80" s="4" t="str">
        <f>IFERROR(INDEX(样本到样信息汇总统计!O$2:O$500,MATCH(79,样本到样信息汇总统计!$Z$2:$Z$500,0)),"")</f>
        <v/>
      </c>
      <c r="P80" s="4" t="str">
        <f>IFERROR(INDEX(样本到样信息汇总统计!P$2:P$500,MATCH(79,样本到样信息汇总统计!$Z$2:$Z$500,0)),"")</f>
        <v/>
      </c>
      <c r="Q80" s="4" t="str">
        <f>IFERROR(INDEX(样本到样信息汇总统计!Q$2:Q$500,MATCH(79,样本到样信息汇总统计!$Z$2:$Z$500,0)),"")</f>
        <v/>
      </c>
      <c r="R80" s="4" t="str">
        <f>IFERROR(INDEX(样本到样信息汇总统计!R$2:R$500,MATCH(79,样本到样信息汇总统计!$Z$2:$Z$500,0)),"")</f>
        <v/>
      </c>
      <c r="S80" s="4" t="str">
        <f>IFERROR(INDEX(样本到样信息汇总统计!S$2:S$500,MATCH(79,样本到样信息汇总统计!$Z$2:$Z$500,0)),"")</f>
        <v/>
      </c>
      <c r="T80" s="4" t="str">
        <f>IFERROR(INDEX(样本到样信息汇总统计!T$2:T$500,MATCH(79,样本到样信息汇总统计!$Z$2:$Z$500,0)),"")</f>
        <v/>
      </c>
      <c r="U80" s="4" t="str">
        <f>IFERROR(INDEX(样本到样信息汇总统计!U$2:U$500,MATCH(79,样本到样信息汇总统计!$Z$2:$Z$500,0)),"")</f>
        <v/>
      </c>
      <c r="V80" s="4" t="str">
        <f>IFERROR(INDEX(样本到样信息汇总统计!V$2:V$500,MATCH(79,样本到样信息汇总统计!$Z$2:$Z$500,0)),"")</f>
        <v/>
      </c>
      <c r="W80" s="4" t="str">
        <f>IFERROR(INDEX(样本到样信息汇总统计!W$2:W$500,MATCH(79,样本到样信息汇总统计!$Z$2:$Z$500,0)),"")</f>
        <v/>
      </c>
    </row>
    <row r="81" ht="14.5" spans="1:23">
      <c r="A81" s="8" t="str">
        <f>IFERROR(INDEX(样本到样信息汇总统计!A$2:A$500,MATCH(80,样本到样信息汇总统计!$Z$2:$Z$500,0)),"")</f>
        <v/>
      </c>
      <c r="B81" s="8" t="str">
        <f>IFERROR(INDEX(样本到样信息汇总统计!B$2:B$500,MATCH(80,样本到样信息汇总统计!$Z$2:$Z$500,0)),"")</f>
        <v/>
      </c>
      <c r="C81" s="8" t="str">
        <f>IFERROR(INDEX(样本到样信息汇总统计!C$2:C$500,MATCH(80,样本到样信息汇总统计!$Z$2:$Z$500,0)),"")</f>
        <v/>
      </c>
      <c r="D81" s="8" t="str">
        <f>IFERROR(INDEX(样本到样信息汇总统计!D$2:D$500,MATCH(80,样本到样信息汇总统计!$Z$2:$Z$500,0)),"")</f>
        <v/>
      </c>
      <c r="E81" s="8" t="str">
        <f>IFERROR(INDEX(样本到样信息汇总统计!E$2:E$500,MATCH(80,样本到样信息汇总统计!$Z$2:$Z$500,0)),"")</f>
        <v/>
      </c>
      <c r="F81" s="8" t="str">
        <f>IFERROR(INDEX(样本到样信息汇总统计!F$2:F$500,MATCH(80,样本到样信息汇总统计!$Z$2:$Z$500,0)),"")</f>
        <v/>
      </c>
      <c r="G81" s="8" t="str">
        <f>IFERROR(INDEX(样本到样信息汇总统计!G$2:G$500,MATCH(80,样本到样信息汇总统计!$Z$2:$Z$500,0)),"")</f>
        <v/>
      </c>
      <c r="H81" s="8" t="str">
        <f>IFERROR(INDEX(样本到样信息汇总统计!H$2:H$500,MATCH(80,样本到样信息汇总统计!$Z$2:$Z$500,0)),"")</f>
        <v/>
      </c>
      <c r="I81" s="8" t="str">
        <f>IFERROR(INDEX(样本到样信息汇总统计!I$2:I$500,MATCH(80,样本到样信息汇总统计!$Z$2:$Z$500,0)),"")</f>
        <v/>
      </c>
      <c r="J81" s="8" t="str">
        <f>IFERROR(INDEX(样本到样信息汇总统计!J$2:J$500,MATCH(80,样本到样信息汇总统计!$Z$2:$Z$500,0)),"")</f>
        <v/>
      </c>
      <c r="K81" s="8" t="str">
        <f>IFERROR(INDEX(样本到样信息汇总统计!K$2:K$500,MATCH(80,样本到样信息汇总统计!$Z$2:$Z$500,0)),"")</f>
        <v/>
      </c>
      <c r="L81" s="8" t="str">
        <f>IFERROR(INDEX(样本到样信息汇总统计!L$2:L$500,MATCH(80,样本到样信息汇总统计!$Z$2:$Z$500,0)),"")</f>
        <v/>
      </c>
      <c r="M81" s="8" t="str">
        <f>IFERROR(INDEX(样本到样信息汇总统计!M$2:M$500,MATCH(80,样本到样信息汇总统计!$Z$2:$Z$500,0)),"")</f>
        <v/>
      </c>
      <c r="N81" s="8" t="str">
        <f>IFERROR(INDEX(样本到样信息汇总统计!N$2:N$500,MATCH(80,样本到样信息汇总统计!$Z$2:$Z$500,0)),"")</f>
        <v/>
      </c>
      <c r="O81" s="8" t="str">
        <f>IFERROR(INDEX(样本到样信息汇总统计!O$2:O$500,MATCH(80,样本到样信息汇总统计!$Z$2:$Z$500,0)),"")</f>
        <v/>
      </c>
      <c r="P81" s="8" t="str">
        <f>IFERROR(INDEX(样本到样信息汇总统计!P$2:P$500,MATCH(80,样本到样信息汇总统计!$Z$2:$Z$500,0)),"")</f>
        <v/>
      </c>
      <c r="Q81" s="8" t="str">
        <f>IFERROR(INDEX(样本到样信息汇总统计!Q$2:Q$500,MATCH(80,样本到样信息汇总统计!$Z$2:$Z$500,0)),"")</f>
        <v/>
      </c>
      <c r="R81" s="8" t="str">
        <f>IFERROR(INDEX(样本到样信息汇总统计!R$2:R$500,MATCH(80,样本到样信息汇总统计!$Z$2:$Z$500,0)),"")</f>
        <v/>
      </c>
      <c r="S81" s="8" t="str">
        <f>IFERROR(INDEX(样本到样信息汇总统计!S$2:S$500,MATCH(80,样本到样信息汇总统计!$Z$2:$Z$500,0)),"")</f>
        <v/>
      </c>
      <c r="T81" s="8" t="str">
        <f>IFERROR(INDEX(样本到样信息汇总统计!T$2:T$500,MATCH(80,样本到样信息汇总统计!$Z$2:$Z$500,0)),"")</f>
        <v/>
      </c>
      <c r="U81" s="8" t="str">
        <f>IFERROR(INDEX(样本到样信息汇总统计!U$2:U$500,MATCH(80,样本到样信息汇总统计!$Z$2:$Z$500,0)),"")</f>
        <v/>
      </c>
      <c r="V81" s="8" t="str">
        <f>IFERROR(INDEX(样本到样信息汇总统计!V$2:V$500,MATCH(80,样本到样信息汇总统计!$Z$2:$Z$500,0)),"")</f>
        <v/>
      </c>
      <c r="W81" s="8" t="str">
        <f>IFERROR(INDEX(样本到样信息汇总统计!W$2:W$500,MATCH(80,样本到样信息汇总统计!$Z$2:$Z$500,0)),"")</f>
        <v/>
      </c>
    </row>
    <row r="82" ht="14.5" spans="1:23">
      <c r="A82" s="4" t="str">
        <f>IFERROR(INDEX(样本到样信息汇总统计!A$2:A$500,MATCH(81,样本到样信息汇总统计!$Z$2:$Z$500,0)),"")</f>
        <v/>
      </c>
      <c r="B82" s="4" t="str">
        <f>IFERROR(INDEX(样本到样信息汇总统计!B$2:B$500,MATCH(81,样本到样信息汇总统计!$Z$2:$Z$500,0)),"")</f>
        <v/>
      </c>
      <c r="C82" s="4" t="str">
        <f>IFERROR(INDEX(样本到样信息汇总统计!C$2:C$500,MATCH(81,样本到样信息汇总统计!$Z$2:$Z$500,0)),"")</f>
        <v/>
      </c>
      <c r="D82" s="4" t="str">
        <f>IFERROR(INDEX(样本到样信息汇总统计!D$2:D$500,MATCH(81,样本到样信息汇总统计!$Z$2:$Z$500,0)),"")</f>
        <v/>
      </c>
      <c r="E82" s="4" t="str">
        <f>IFERROR(INDEX(样本到样信息汇总统计!E$2:E$500,MATCH(81,样本到样信息汇总统计!$Z$2:$Z$500,0)),"")</f>
        <v/>
      </c>
      <c r="F82" s="4" t="str">
        <f>IFERROR(INDEX(样本到样信息汇总统计!F$2:F$500,MATCH(81,样本到样信息汇总统计!$Z$2:$Z$500,0)),"")</f>
        <v/>
      </c>
      <c r="G82" s="4" t="str">
        <f>IFERROR(INDEX(样本到样信息汇总统计!G$2:G$500,MATCH(81,样本到样信息汇总统计!$Z$2:$Z$500,0)),"")</f>
        <v/>
      </c>
      <c r="H82" s="4" t="str">
        <f>IFERROR(INDEX(样本到样信息汇总统计!H$2:H$500,MATCH(81,样本到样信息汇总统计!$Z$2:$Z$500,0)),"")</f>
        <v/>
      </c>
      <c r="I82" s="4" t="str">
        <f>IFERROR(INDEX(样本到样信息汇总统计!I$2:I$500,MATCH(81,样本到样信息汇总统计!$Z$2:$Z$500,0)),"")</f>
        <v/>
      </c>
      <c r="J82" s="4" t="str">
        <f>IFERROR(INDEX(样本到样信息汇总统计!J$2:J$500,MATCH(81,样本到样信息汇总统计!$Z$2:$Z$500,0)),"")</f>
        <v/>
      </c>
      <c r="K82" s="4" t="str">
        <f>IFERROR(INDEX(样本到样信息汇总统计!K$2:K$500,MATCH(81,样本到样信息汇总统计!$Z$2:$Z$500,0)),"")</f>
        <v/>
      </c>
      <c r="L82" s="4" t="str">
        <f>IFERROR(INDEX(样本到样信息汇总统计!L$2:L$500,MATCH(81,样本到样信息汇总统计!$Z$2:$Z$500,0)),"")</f>
        <v/>
      </c>
      <c r="M82" s="4" t="str">
        <f>IFERROR(INDEX(样本到样信息汇总统计!M$2:M$500,MATCH(81,样本到样信息汇总统计!$Z$2:$Z$500,0)),"")</f>
        <v/>
      </c>
      <c r="N82" s="4" t="str">
        <f>IFERROR(INDEX(样本到样信息汇总统计!N$2:N$500,MATCH(81,样本到样信息汇总统计!$Z$2:$Z$500,0)),"")</f>
        <v/>
      </c>
      <c r="O82" s="4" t="str">
        <f>IFERROR(INDEX(样本到样信息汇总统计!O$2:O$500,MATCH(81,样本到样信息汇总统计!$Z$2:$Z$500,0)),"")</f>
        <v/>
      </c>
      <c r="P82" s="4" t="str">
        <f>IFERROR(INDEX(样本到样信息汇总统计!P$2:P$500,MATCH(81,样本到样信息汇总统计!$Z$2:$Z$500,0)),"")</f>
        <v/>
      </c>
      <c r="Q82" s="4" t="str">
        <f>IFERROR(INDEX(样本到样信息汇总统计!Q$2:Q$500,MATCH(81,样本到样信息汇总统计!$Z$2:$Z$500,0)),"")</f>
        <v/>
      </c>
      <c r="R82" s="4" t="str">
        <f>IFERROR(INDEX(样本到样信息汇总统计!R$2:R$500,MATCH(81,样本到样信息汇总统计!$Z$2:$Z$500,0)),"")</f>
        <v/>
      </c>
      <c r="S82" s="4" t="str">
        <f>IFERROR(INDEX(样本到样信息汇总统计!S$2:S$500,MATCH(81,样本到样信息汇总统计!$Z$2:$Z$500,0)),"")</f>
        <v/>
      </c>
      <c r="T82" s="4" t="str">
        <f>IFERROR(INDEX(样本到样信息汇总统计!T$2:T$500,MATCH(81,样本到样信息汇总统计!$Z$2:$Z$500,0)),"")</f>
        <v/>
      </c>
      <c r="U82" s="4" t="str">
        <f>IFERROR(INDEX(样本到样信息汇总统计!U$2:U$500,MATCH(81,样本到样信息汇总统计!$Z$2:$Z$500,0)),"")</f>
        <v/>
      </c>
      <c r="V82" s="4" t="str">
        <f>IFERROR(INDEX(样本到样信息汇总统计!V$2:V$500,MATCH(81,样本到样信息汇总统计!$Z$2:$Z$500,0)),"")</f>
        <v/>
      </c>
      <c r="W82" s="4" t="str">
        <f>IFERROR(INDEX(样本到样信息汇总统计!W$2:W$500,MATCH(81,样本到样信息汇总统计!$Z$2:$Z$500,0)),"")</f>
        <v/>
      </c>
    </row>
    <row r="83" ht="14.5" spans="1:23">
      <c r="A83" s="8" t="str">
        <f>IFERROR(INDEX(样本到样信息汇总统计!A$2:A$500,MATCH(82,样本到样信息汇总统计!$Z$2:$Z$500,0)),"")</f>
        <v/>
      </c>
      <c r="B83" s="8" t="str">
        <f>IFERROR(INDEX(样本到样信息汇总统计!B$2:B$500,MATCH(82,样本到样信息汇总统计!$Z$2:$Z$500,0)),"")</f>
        <v/>
      </c>
      <c r="C83" s="8" t="str">
        <f>IFERROR(INDEX(样本到样信息汇总统计!C$2:C$500,MATCH(82,样本到样信息汇总统计!$Z$2:$Z$500,0)),"")</f>
        <v/>
      </c>
      <c r="D83" s="8" t="str">
        <f>IFERROR(INDEX(样本到样信息汇总统计!D$2:D$500,MATCH(82,样本到样信息汇总统计!$Z$2:$Z$500,0)),"")</f>
        <v/>
      </c>
      <c r="E83" s="8" t="str">
        <f>IFERROR(INDEX(样本到样信息汇总统计!E$2:E$500,MATCH(82,样本到样信息汇总统计!$Z$2:$Z$500,0)),"")</f>
        <v/>
      </c>
      <c r="F83" s="8" t="str">
        <f>IFERROR(INDEX(样本到样信息汇总统计!F$2:F$500,MATCH(82,样本到样信息汇总统计!$Z$2:$Z$500,0)),"")</f>
        <v/>
      </c>
      <c r="G83" s="8" t="str">
        <f>IFERROR(INDEX(样本到样信息汇总统计!G$2:G$500,MATCH(82,样本到样信息汇总统计!$Z$2:$Z$500,0)),"")</f>
        <v/>
      </c>
      <c r="H83" s="8" t="str">
        <f>IFERROR(INDEX(样本到样信息汇总统计!H$2:H$500,MATCH(82,样本到样信息汇总统计!$Z$2:$Z$500,0)),"")</f>
        <v/>
      </c>
      <c r="I83" s="8" t="str">
        <f>IFERROR(INDEX(样本到样信息汇总统计!I$2:I$500,MATCH(82,样本到样信息汇总统计!$Z$2:$Z$500,0)),"")</f>
        <v/>
      </c>
      <c r="J83" s="8" t="str">
        <f>IFERROR(INDEX(样本到样信息汇总统计!J$2:J$500,MATCH(82,样本到样信息汇总统计!$Z$2:$Z$500,0)),"")</f>
        <v/>
      </c>
      <c r="K83" s="8" t="str">
        <f>IFERROR(INDEX(样本到样信息汇总统计!K$2:K$500,MATCH(82,样本到样信息汇总统计!$Z$2:$Z$500,0)),"")</f>
        <v/>
      </c>
      <c r="L83" s="8" t="str">
        <f>IFERROR(INDEX(样本到样信息汇总统计!L$2:L$500,MATCH(82,样本到样信息汇总统计!$Z$2:$Z$500,0)),"")</f>
        <v/>
      </c>
      <c r="M83" s="8" t="str">
        <f>IFERROR(INDEX(样本到样信息汇总统计!M$2:M$500,MATCH(82,样本到样信息汇总统计!$Z$2:$Z$500,0)),"")</f>
        <v/>
      </c>
      <c r="N83" s="8" t="str">
        <f>IFERROR(INDEX(样本到样信息汇总统计!N$2:N$500,MATCH(82,样本到样信息汇总统计!$Z$2:$Z$500,0)),"")</f>
        <v/>
      </c>
      <c r="O83" s="8" t="str">
        <f>IFERROR(INDEX(样本到样信息汇总统计!O$2:O$500,MATCH(82,样本到样信息汇总统计!$Z$2:$Z$500,0)),"")</f>
        <v/>
      </c>
      <c r="P83" s="8" t="str">
        <f>IFERROR(INDEX(样本到样信息汇总统计!P$2:P$500,MATCH(82,样本到样信息汇总统计!$Z$2:$Z$500,0)),"")</f>
        <v/>
      </c>
      <c r="Q83" s="8" t="str">
        <f>IFERROR(INDEX(样本到样信息汇总统计!Q$2:Q$500,MATCH(82,样本到样信息汇总统计!$Z$2:$Z$500,0)),"")</f>
        <v/>
      </c>
      <c r="R83" s="8" t="str">
        <f>IFERROR(INDEX(样本到样信息汇总统计!R$2:R$500,MATCH(82,样本到样信息汇总统计!$Z$2:$Z$500,0)),"")</f>
        <v/>
      </c>
      <c r="S83" s="8" t="str">
        <f>IFERROR(INDEX(样本到样信息汇总统计!S$2:S$500,MATCH(82,样本到样信息汇总统计!$Z$2:$Z$500,0)),"")</f>
        <v/>
      </c>
      <c r="T83" s="8" t="str">
        <f>IFERROR(INDEX(样本到样信息汇总统计!T$2:T$500,MATCH(82,样本到样信息汇总统计!$Z$2:$Z$500,0)),"")</f>
        <v/>
      </c>
      <c r="U83" s="8" t="str">
        <f>IFERROR(INDEX(样本到样信息汇总统计!U$2:U$500,MATCH(82,样本到样信息汇总统计!$Z$2:$Z$500,0)),"")</f>
        <v/>
      </c>
      <c r="V83" s="8" t="str">
        <f>IFERROR(INDEX(样本到样信息汇总统计!V$2:V$500,MATCH(82,样本到样信息汇总统计!$Z$2:$Z$500,0)),"")</f>
        <v/>
      </c>
      <c r="W83" s="8" t="str">
        <f>IFERROR(INDEX(样本到样信息汇总统计!W$2:W$500,MATCH(82,样本到样信息汇总统计!$Z$2:$Z$500,0)),"")</f>
        <v/>
      </c>
    </row>
    <row r="84" ht="14.5" spans="1:23">
      <c r="A84" s="4" t="str">
        <f>IFERROR(INDEX(样本到样信息汇总统计!A$2:A$500,MATCH(83,样本到样信息汇总统计!$Z$2:$Z$500,0)),"")</f>
        <v/>
      </c>
      <c r="B84" s="4" t="str">
        <f>IFERROR(INDEX(样本到样信息汇总统计!B$2:B$500,MATCH(83,样本到样信息汇总统计!$Z$2:$Z$500,0)),"")</f>
        <v/>
      </c>
      <c r="C84" s="4" t="str">
        <f>IFERROR(INDEX(样本到样信息汇总统计!C$2:C$500,MATCH(83,样本到样信息汇总统计!$Z$2:$Z$500,0)),"")</f>
        <v/>
      </c>
      <c r="D84" s="4" t="str">
        <f>IFERROR(INDEX(样本到样信息汇总统计!D$2:D$500,MATCH(83,样本到样信息汇总统计!$Z$2:$Z$500,0)),"")</f>
        <v/>
      </c>
      <c r="E84" s="4" t="str">
        <f>IFERROR(INDEX(样本到样信息汇总统计!E$2:E$500,MATCH(83,样本到样信息汇总统计!$Z$2:$Z$500,0)),"")</f>
        <v/>
      </c>
      <c r="F84" s="4" t="str">
        <f>IFERROR(INDEX(样本到样信息汇总统计!F$2:F$500,MATCH(83,样本到样信息汇总统计!$Z$2:$Z$500,0)),"")</f>
        <v/>
      </c>
      <c r="G84" s="4" t="str">
        <f>IFERROR(INDEX(样本到样信息汇总统计!G$2:G$500,MATCH(83,样本到样信息汇总统计!$Z$2:$Z$500,0)),"")</f>
        <v/>
      </c>
      <c r="H84" s="4" t="str">
        <f>IFERROR(INDEX(样本到样信息汇总统计!H$2:H$500,MATCH(83,样本到样信息汇总统计!$Z$2:$Z$500,0)),"")</f>
        <v/>
      </c>
      <c r="I84" s="4" t="str">
        <f>IFERROR(INDEX(样本到样信息汇总统计!I$2:I$500,MATCH(83,样本到样信息汇总统计!$Z$2:$Z$500,0)),"")</f>
        <v/>
      </c>
      <c r="J84" s="4" t="str">
        <f>IFERROR(INDEX(样本到样信息汇总统计!J$2:J$500,MATCH(83,样本到样信息汇总统计!$Z$2:$Z$500,0)),"")</f>
        <v/>
      </c>
      <c r="K84" s="4" t="str">
        <f>IFERROR(INDEX(样本到样信息汇总统计!K$2:K$500,MATCH(83,样本到样信息汇总统计!$Z$2:$Z$500,0)),"")</f>
        <v/>
      </c>
      <c r="L84" s="4" t="str">
        <f>IFERROR(INDEX(样本到样信息汇总统计!L$2:L$500,MATCH(83,样本到样信息汇总统计!$Z$2:$Z$500,0)),"")</f>
        <v/>
      </c>
      <c r="M84" s="4" t="str">
        <f>IFERROR(INDEX(样本到样信息汇总统计!M$2:M$500,MATCH(83,样本到样信息汇总统计!$Z$2:$Z$500,0)),"")</f>
        <v/>
      </c>
      <c r="N84" s="4" t="str">
        <f>IFERROR(INDEX(样本到样信息汇总统计!N$2:N$500,MATCH(83,样本到样信息汇总统计!$Z$2:$Z$500,0)),"")</f>
        <v/>
      </c>
      <c r="O84" s="4" t="str">
        <f>IFERROR(INDEX(样本到样信息汇总统计!O$2:O$500,MATCH(83,样本到样信息汇总统计!$Z$2:$Z$500,0)),"")</f>
        <v/>
      </c>
      <c r="P84" s="4" t="str">
        <f>IFERROR(INDEX(样本到样信息汇总统计!P$2:P$500,MATCH(83,样本到样信息汇总统计!$Z$2:$Z$500,0)),"")</f>
        <v/>
      </c>
      <c r="Q84" s="4" t="str">
        <f>IFERROR(INDEX(样本到样信息汇总统计!Q$2:Q$500,MATCH(83,样本到样信息汇总统计!$Z$2:$Z$500,0)),"")</f>
        <v/>
      </c>
      <c r="R84" s="4" t="str">
        <f>IFERROR(INDEX(样本到样信息汇总统计!R$2:R$500,MATCH(83,样本到样信息汇总统计!$Z$2:$Z$500,0)),"")</f>
        <v/>
      </c>
      <c r="S84" s="4" t="str">
        <f>IFERROR(INDEX(样本到样信息汇总统计!S$2:S$500,MATCH(83,样本到样信息汇总统计!$Z$2:$Z$500,0)),"")</f>
        <v/>
      </c>
      <c r="T84" s="4" t="str">
        <f>IFERROR(INDEX(样本到样信息汇总统计!T$2:T$500,MATCH(83,样本到样信息汇总统计!$Z$2:$Z$500,0)),"")</f>
        <v/>
      </c>
      <c r="U84" s="4" t="str">
        <f>IFERROR(INDEX(样本到样信息汇总统计!U$2:U$500,MATCH(83,样本到样信息汇总统计!$Z$2:$Z$500,0)),"")</f>
        <v/>
      </c>
      <c r="V84" s="4" t="str">
        <f>IFERROR(INDEX(样本到样信息汇总统计!V$2:V$500,MATCH(83,样本到样信息汇总统计!$Z$2:$Z$500,0)),"")</f>
        <v/>
      </c>
      <c r="W84" s="4" t="str">
        <f>IFERROR(INDEX(样本到样信息汇总统计!W$2:W$500,MATCH(83,样本到样信息汇总统计!$Z$2:$Z$500,0)),"")</f>
        <v/>
      </c>
    </row>
    <row r="85" ht="14.5" spans="1:23">
      <c r="A85" s="8" t="str">
        <f>IFERROR(INDEX(样本到样信息汇总统计!A$2:A$500,MATCH(84,样本到样信息汇总统计!$Z$2:$Z$500,0)),"")</f>
        <v/>
      </c>
      <c r="B85" s="8" t="str">
        <f>IFERROR(INDEX(样本到样信息汇总统计!B$2:B$500,MATCH(84,样本到样信息汇总统计!$Z$2:$Z$500,0)),"")</f>
        <v/>
      </c>
      <c r="C85" s="8" t="str">
        <f>IFERROR(INDEX(样本到样信息汇总统计!C$2:C$500,MATCH(84,样本到样信息汇总统计!$Z$2:$Z$500,0)),"")</f>
        <v/>
      </c>
      <c r="D85" s="8" t="str">
        <f>IFERROR(INDEX(样本到样信息汇总统计!D$2:D$500,MATCH(84,样本到样信息汇总统计!$Z$2:$Z$500,0)),"")</f>
        <v/>
      </c>
      <c r="E85" s="8" t="str">
        <f>IFERROR(INDEX(样本到样信息汇总统计!E$2:E$500,MATCH(84,样本到样信息汇总统计!$Z$2:$Z$500,0)),"")</f>
        <v/>
      </c>
      <c r="F85" s="8" t="str">
        <f>IFERROR(INDEX(样本到样信息汇总统计!F$2:F$500,MATCH(84,样本到样信息汇总统计!$Z$2:$Z$500,0)),"")</f>
        <v/>
      </c>
      <c r="G85" s="8" t="str">
        <f>IFERROR(INDEX(样本到样信息汇总统计!G$2:G$500,MATCH(84,样本到样信息汇总统计!$Z$2:$Z$500,0)),"")</f>
        <v/>
      </c>
      <c r="H85" s="8" t="str">
        <f>IFERROR(INDEX(样本到样信息汇总统计!H$2:H$500,MATCH(84,样本到样信息汇总统计!$Z$2:$Z$500,0)),"")</f>
        <v/>
      </c>
      <c r="I85" s="8" t="str">
        <f>IFERROR(INDEX(样本到样信息汇总统计!I$2:I$500,MATCH(84,样本到样信息汇总统计!$Z$2:$Z$500,0)),"")</f>
        <v/>
      </c>
      <c r="J85" s="8" t="str">
        <f>IFERROR(INDEX(样本到样信息汇总统计!J$2:J$500,MATCH(84,样本到样信息汇总统计!$Z$2:$Z$500,0)),"")</f>
        <v/>
      </c>
      <c r="K85" s="8" t="str">
        <f>IFERROR(INDEX(样本到样信息汇总统计!K$2:K$500,MATCH(84,样本到样信息汇总统计!$Z$2:$Z$500,0)),"")</f>
        <v/>
      </c>
      <c r="L85" s="8" t="str">
        <f>IFERROR(INDEX(样本到样信息汇总统计!L$2:L$500,MATCH(84,样本到样信息汇总统计!$Z$2:$Z$500,0)),"")</f>
        <v/>
      </c>
      <c r="M85" s="8" t="str">
        <f>IFERROR(INDEX(样本到样信息汇总统计!M$2:M$500,MATCH(84,样本到样信息汇总统计!$Z$2:$Z$500,0)),"")</f>
        <v/>
      </c>
      <c r="N85" s="8" t="str">
        <f>IFERROR(INDEX(样本到样信息汇总统计!N$2:N$500,MATCH(84,样本到样信息汇总统计!$Z$2:$Z$500,0)),"")</f>
        <v/>
      </c>
      <c r="O85" s="8" t="str">
        <f>IFERROR(INDEX(样本到样信息汇总统计!O$2:O$500,MATCH(84,样本到样信息汇总统计!$Z$2:$Z$500,0)),"")</f>
        <v/>
      </c>
      <c r="P85" s="8" t="str">
        <f>IFERROR(INDEX(样本到样信息汇总统计!P$2:P$500,MATCH(84,样本到样信息汇总统计!$Z$2:$Z$500,0)),"")</f>
        <v/>
      </c>
      <c r="Q85" s="8" t="str">
        <f>IFERROR(INDEX(样本到样信息汇总统计!Q$2:Q$500,MATCH(84,样本到样信息汇总统计!$Z$2:$Z$500,0)),"")</f>
        <v/>
      </c>
      <c r="R85" s="8" t="str">
        <f>IFERROR(INDEX(样本到样信息汇总统计!R$2:R$500,MATCH(84,样本到样信息汇总统计!$Z$2:$Z$500,0)),"")</f>
        <v/>
      </c>
      <c r="S85" s="8" t="str">
        <f>IFERROR(INDEX(样本到样信息汇总统计!S$2:S$500,MATCH(84,样本到样信息汇总统计!$Z$2:$Z$500,0)),"")</f>
        <v/>
      </c>
      <c r="T85" s="8" t="str">
        <f>IFERROR(INDEX(样本到样信息汇总统计!T$2:T$500,MATCH(84,样本到样信息汇总统计!$Z$2:$Z$500,0)),"")</f>
        <v/>
      </c>
      <c r="U85" s="8" t="str">
        <f>IFERROR(INDEX(样本到样信息汇总统计!U$2:U$500,MATCH(84,样本到样信息汇总统计!$Z$2:$Z$500,0)),"")</f>
        <v/>
      </c>
      <c r="V85" s="8" t="str">
        <f>IFERROR(INDEX(样本到样信息汇总统计!V$2:V$500,MATCH(84,样本到样信息汇总统计!$Z$2:$Z$500,0)),"")</f>
        <v/>
      </c>
      <c r="W85" s="8" t="str">
        <f>IFERROR(INDEX(样本到样信息汇总统计!W$2:W$500,MATCH(84,样本到样信息汇总统计!$Z$2:$Z$500,0)),"")</f>
        <v/>
      </c>
    </row>
    <row r="86" ht="14.5" spans="1:23">
      <c r="A86" s="4" t="str">
        <f>IFERROR(INDEX(样本到样信息汇总统计!A$2:A$500,MATCH(85,样本到样信息汇总统计!$Z$2:$Z$500,0)),"")</f>
        <v/>
      </c>
      <c r="B86" s="4" t="str">
        <f>IFERROR(INDEX(样本到样信息汇总统计!B$2:B$500,MATCH(85,样本到样信息汇总统计!$Z$2:$Z$500,0)),"")</f>
        <v/>
      </c>
      <c r="C86" s="4" t="str">
        <f>IFERROR(INDEX(样本到样信息汇总统计!C$2:C$500,MATCH(85,样本到样信息汇总统计!$Z$2:$Z$500,0)),"")</f>
        <v/>
      </c>
      <c r="D86" s="4" t="str">
        <f>IFERROR(INDEX(样本到样信息汇总统计!D$2:D$500,MATCH(85,样本到样信息汇总统计!$Z$2:$Z$500,0)),"")</f>
        <v/>
      </c>
      <c r="E86" s="4" t="str">
        <f>IFERROR(INDEX(样本到样信息汇总统计!E$2:E$500,MATCH(85,样本到样信息汇总统计!$Z$2:$Z$500,0)),"")</f>
        <v/>
      </c>
      <c r="F86" s="4" t="str">
        <f>IFERROR(INDEX(样本到样信息汇总统计!F$2:F$500,MATCH(85,样本到样信息汇总统计!$Z$2:$Z$500,0)),"")</f>
        <v/>
      </c>
      <c r="G86" s="4" t="str">
        <f>IFERROR(INDEX(样本到样信息汇总统计!G$2:G$500,MATCH(85,样本到样信息汇总统计!$Z$2:$Z$500,0)),"")</f>
        <v/>
      </c>
      <c r="H86" s="4" t="str">
        <f>IFERROR(INDEX(样本到样信息汇总统计!H$2:H$500,MATCH(85,样本到样信息汇总统计!$Z$2:$Z$500,0)),"")</f>
        <v/>
      </c>
      <c r="I86" s="4" t="str">
        <f>IFERROR(INDEX(样本到样信息汇总统计!I$2:I$500,MATCH(85,样本到样信息汇总统计!$Z$2:$Z$500,0)),"")</f>
        <v/>
      </c>
      <c r="J86" s="4" t="str">
        <f>IFERROR(INDEX(样本到样信息汇总统计!J$2:J$500,MATCH(85,样本到样信息汇总统计!$Z$2:$Z$500,0)),"")</f>
        <v/>
      </c>
      <c r="K86" s="4" t="str">
        <f>IFERROR(INDEX(样本到样信息汇总统计!K$2:K$500,MATCH(85,样本到样信息汇总统计!$Z$2:$Z$500,0)),"")</f>
        <v/>
      </c>
      <c r="L86" s="4" t="str">
        <f>IFERROR(INDEX(样本到样信息汇总统计!L$2:L$500,MATCH(85,样本到样信息汇总统计!$Z$2:$Z$500,0)),"")</f>
        <v/>
      </c>
      <c r="M86" s="4" t="str">
        <f>IFERROR(INDEX(样本到样信息汇总统计!M$2:M$500,MATCH(85,样本到样信息汇总统计!$Z$2:$Z$500,0)),"")</f>
        <v/>
      </c>
      <c r="N86" s="4" t="str">
        <f>IFERROR(INDEX(样本到样信息汇总统计!N$2:N$500,MATCH(85,样本到样信息汇总统计!$Z$2:$Z$500,0)),"")</f>
        <v/>
      </c>
      <c r="O86" s="4" t="str">
        <f>IFERROR(INDEX(样本到样信息汇总统计!O$2:O$500,MATCH(85,样本到样信息汇总统计!$Z$2:$Z$500,0)),"")</f>
        <v/>
      </c>
      <c r="P86" s="4" t="str">
        <f>IFERROR(INDEX(样本到样信息汇总统计!P$2:P$500,MATCH(85,样本到样信息汇总统计!$Z$2:$Z$500,0)),"")</f>
        <v/>
      </c>
      <c r="Q86" s="4" t="str">
        <f>IFERROR(INDEX(样本到样信息汇总统计!Q$2:Q$500,MATCH(85,样本到样信息汇总统计!$Z$2:$Z$500,0)),"")</f>
        <v/>
      </c>
      <c r="R86" s="4" t="str">
        <f>IFERROR(INDEX(样本到样信息汇总统计!R$2:R$500,MATCH(85,样本到样信息汇总统计!$Z$2:$Z$500,0)),"")</f>
        <v/>
      </c>
      <c r="S86" s="4" t="str">
        <f>IFERROR(INDEX(样本到样信息汇总统计!S$2:S$500,MATCH(85,样本到样信息汇总统计!$Z$2:$Z$500,0)),"")</f>
        <v/>
      </c>
      <c r="T86" s="4" t="str">
        <f>IFERROR(INDEX(样本到样信息汇总统计!T$2:T$500,MATCH(85,样本到样信息汇总统计!$Z$2:$Z$500,0)),"")</f>
        <v/>
      </c>
      <c r="U86" s="4" t="str">
        <f>IFERROR(INDEX(样本到样信息汇总统计!U$2:U$500,MATCH(85,样本到样信息汇总统计!$Z$2:$Z$500,0)),"")</f>
        <v/>
      </c>
      <c r="V86" s="4" t="str">
        <f>IFERROR(INDEX(样本到样信息汇总统计!V$2:V$500,MATCH(85,样本到样信息汇总统计!$Z$2:$Z$500,0)),"")</f>
        <v/>
      </c>
      <c r="W86" s="4" t="str">
        <f>IFERROR(INDEX(样本到样信息汇总统计!W$2:W$500,MATCH(85,样本到样信息汇总统计!$Z$2:$Z$500,0)),"")</f>
        <v/>
      </c>
    </row>
    <row r="87" ht="14.5" spans="1:23">
      <c r="A87" s="8" t="str">
        <f>IFERROR(INDEX(样本到样信息汇总统计!A$2:A$500,MATCH(86,样本到样信息汇总统计!$Z$2:$Z$500,0)),"")</f>
        <v/>
      </c>
      <c r="B87" s="8" t="str">
        <f>IFERROR(INDEX(样本到样信息汇总统计!B$2:B$500,MATCH(86,样本到样信息汇总统计!$Z$2:$Z$500,0)),"")</f>
        <v/>
      </c>
      <c r="C87" s="8" t="str">
        <f>IFERROR(INDEX(样本到样信息汇总统计!C$2:C$500,MATCH(86,样本到样信息汇总统计!$Z$2:$Z$500,0)),"")</f>
        <v/>
      </c>
      <c r="D87" s="8" t="str">
        <f>IFERROR(INDEX(样本到样信息汇总统计!D$2:D$500,MATCH(86,样本到样信息汇总统计!$Z$2:$Z$500,0)),"")</f>
        <v/>
      </c>
      <c r="E87" s="8" t="str">
        <f>IFERROR(INDEX(样本到样信息汇总统计!E$2:E$500,MATCH(86,样本到样信息汇总统计!$Z$2:$Z$500,0)),"")</f>
        <v/>
      </c>
      <c r="F87" s="8" t="str">
        <f>IFERROR(INDEX(样本到样信息汇总统计!F$2:F$500,MATCH(86,样本到样信息汇总统计!$Z$2:$Z$500,0)),"")</f>
        <v/>
      </c>
      <c r="G87" s="8" t="str">
        <f>IFERROR(INDEX(样本到样信息汇总统计!G$2:G$500,MATCH(86,样本到样信息汇总统计!$Z$2:$Z$500,0)),"")</f>
        <v/>
      </c>
      <c r="H87" s="8" t="str">
        <f>IFERROR(INDEX(样本到样信息汇总统计!H$2:H$500,MATCH(86,样本到样信息汇总统计!$Z$2:$Z$500,0)),"")</f>
        <v/>
      </c>
      <c r="I87" s="8" t="str">
        <f>IFERROR(INDEX(样本到样信息汇总统计!I$2:I$500,MATCH(86,样本到样信息汇总统计!$Z$2:$Z$500,0)),"")</f>
        <v/>
      </c>
      <c r="J87" s="8" t="str">
        <f>IFERROR(INDEX(样本到样信息汇总统计!J$2:J$500,MATCH(86,样本到样信息汇总统计!$Z$2:$Z$500,0)),"")</f>
        <v/>
      </c>
      <c r="K87" s="8" t="str">
        <f>IFERROR(INDEX(样本到样信息汇总统计!K$2:K$500,MATCH(86,样本到样信息汇总统计!$Z$2:$Z$500,0)),"")</f>
        <v/>
      </c>
      <c r="L87" s="8" t="str">
        <f>IFERROR(INDEX(样本到样信息汇总统计!L$2:L$500,MATCH(86,样本到样信息汇总统计!$Z$2:$Z$500,0)),"")</f>
        <v/>
      </c>
      <c r="M87" s="8" t="str">
        <f>IFERROR(INDEX(样本到样信息汇总统计!M$2:M$500,MATCH(86,样本到样信息汇总统计!$Z$2:$Z$500,0)),"")</f>
        <v/>
      </c>
      <c r="N87" s="8" t="str">
        <f>IFERROR(INDEX(样本到样信息汇总统计!N$2:N$500,MATCH(86,样本到样信息汇总统计!$Z$2:$Z$500,0)),"")</f>
        <v/>
      </c>
      <c r="O87" s="8" t="str">
        <f>IFERROR(INDEX(样本到样信息汇总统计!O$2:O$500,MATCH(86,样本到样信息汇总统计!$Z$2:$Z$500,0)),"")</f>
        <v/>
      </c>
      <c r="P87" s="8" t="str">
        <f>IFERROR(INDEX(样本到样信息汇总统计!P$2:P$500,MATCH(86,样本到样信息汇总统计!$Z$2:$Z$500,0)),"")</f>
        <v/>
      </c>
      <c r="Q87" s="8" t="str">
        <f>IFERROR(INDEX(样本到样信息汇总统计!Q$2:Q$500,MATCH(86,样本到样信息汇总统计!$Z$2:$Z$500,0)),"")</f>
        <v/>
      </c>
      <c r="R87" s="8" t="str">
        <f>IFERROR(INDEX(样本到样信息汇总统计!R$2:R$500,MATCH(86,样本到样信息汇总统计!$Z$2:$Z$500,0)),"")</f>
        <v/>
      </c>
      <c r="S87" s="8" t="str">
        <f>IFERROR(INDEX(样本到样信息汇总统计!S$2:S$500,MATCH(86,样本到样信息汇总统计!$Z$2:$Z$500,0)),"")</f>
        <v/>
      </c>
      <c r="T87" s="8" t="str">
        <f>IFERROR(INDEX(样本到样信息汇总统计!T$2:T$500,MATCH(86,样本到样信息汇总统计!$Z$2:$Z$500,0)),"")</f>
        <v/>
      </c>
      <c r="U87" s="8" t="str">
        <f>IFERROR(INDEX(样本到样信息汇总统计!U$2:U$500,MATCH(86,样本到样信息汇总统计!$Z$2:$Z$500,0)),"")</f>
        <v/>
      </c>
      <c r="V87" s="8" t="str">
        <f>IFERROR(INDEX(样本到样信息汇总统计!V$2:V$500,MATCH(86,样本到样信息汇总统计!$Z$2:$Z$500,0)),"")</f>
        <v/>
      </c>
      <c r="W87" s="8" t="str">
        <f>IFERROR(INDEX(样本到样信息汇总统计!W$2:W$500,MATCH(86,样本到样信息汇总统计!$Z$2:$Z$500,0)),"")</f>
        <v/>
      </c>
    </row>
    <row r="88" ht="14.5" spans="1:23">
      <c r="A88" s="4" t="str">
        <f>IFERROR(INDEX(样本到样信息汇总统计!A$2:A$500,MATCH(87,样本到样信息汇总统计!$Z$2:$Z$500,0)),"")</f>
        <v/>
      </c>
      <c r="B88" s="4" t="str">
        <f>IFERROR(INDEX(样本到样信息汇总统计!B$2:B$500,MATCH(87,样本到样信息汇总统计!$Z$2:$Z$500,0)),"")</f>
        <v/>
      </c>
      <c r="C88" s="4" t="str">
        <f>IFERROR(INDEX(样本到样信息汇总统计!C$2:C$500,MATCH(87,样本到样信息汇总统计!$Z$2:$Z$500,0)),"")</f>
        <v/>
      </c>
      <c r="D88" s="4" t="str">
        <f>IFERROR(INDEX(样本到样信息汇总统计!D$2:D$500,MATCH(87,样本到样信息汇总统计!$Z$2:$Z$500,0)),"")</f>
        <v/>
      </c>
      <c r="E88" s="4" t="str">
        <f>IFERROR(INDEX(样本到样信息汇总统计!E$2:E$500,MATCH(87,样本到样信息汇总统计!$Z$2:$Z$500,0)),"")</f>
        <v/>
      </c>
      <c r="F88" s="4" t="str">
        <f>IFERROR(INDEX(样本到样信息汇总统计!F$2:F$500,MATCH(87,样本到样信息汇总统计!$Z$2:$Z$500,0)),"")</f>
        <v/>
      </c>
      <c r="G88" s="4" t="str">
        <f>IFERROR(INDEX(样本到样信息汇总统计!G$2:G$500,MATCH(87,样本到样信息汇总统计!$Z$2:$Z$500,0)),"")</f>
        <v/>
      </c>
      <c r="H88" s="4" t="str">
        <f>IFERROR(INDEX(样本到样信息汇总统计!H$2:H$500,MATCH(87,样本到样信息汇总统计!$Z$2:$Z$500,0)),"")</f>
        <v/>
      </c>
      <c r="I88" s="4" t="str">
        <f>IFERROR(INDEX(样本到样信息汇总统计!I$2:I$500,MATCH(87,样本到样信息汇总统计!$Z$2:$Z$500,0)),"")</f>
        <v/>
      </c>
      <c r="J88" s="4" t="str">
        <f>IFERROR(INDEX(样本到样信息汇总统计!J$2:J$500,MATCH(87,样本到样信息汇总统计!$Z$2:$Z$500,0)),"")</f>
        <v/>
      </c>
      <c r="K88" s="4" t="str">
        <f>IFERROR(INDEX(样本到样信息汇总统计!K$2:K$500,MATCH(87,样本到样信息汇总统计!$Z$2:$Z$500,0)),"")</f>
        <v/>
      </c>
      <c r="L88" s="4" t="str">
        <f>IFERROR(INDEX(样本到样信息汇总统计!L$2:L$500,MATCH(87,样本到样信息汇总统计!$Z$2:$Z$500,0)),"")</f>
        <v/>
      </c>
      <c r="M88" s="4" t="str">
        <f>IFERROR(INDEX(样本到样信息汇总统计!M$2:M$500,MATCH(87,样本到样信息汇总统计!$Z$2:$Z$500,0)),"")</f>
        <v/>
      </c>
      <c r="N88" s="4" t="str">
        <f>IFERROR(INDEX(样本到样信息汇总统计!N$2:N$500,MATCH(87,样本到样信息汇总统计!$Z$2:$Z$500,0)),"")</f>
        <v/>
      </c>
      <c r="O88" s="4" t="str">
        <f>IFERROR(INDEX(样本到样信息汇总统计!O$2:O$500,MATCH(87,样本到样信息汇总统计!$Z$2:$Z$500,0)),"")</f>
        <v/>
      </c>
      <c r="P88" s="4" t="str">
        <f>IFERROR(INDEX(样本到样信息汇总统计!P$2:P$500,MATCH(87,样本到样信息汇总统计!$Z$2:$Z$500,0)),"")</f>
        <v/>
      </c>
      <c r="Q88" s="4" t="str">
        <f>IFERROR(INDEX(样本到样信息汇总统计!Q$2:Q$500,MATCH(87,样本到样信息汇总统计!$Z$2:$Z$500,0)),"")</f>
        <v/>
      </c>
      <c r="R88" s="4" t="str">
        <f>IFERROR(INDEX(样本到样信息汇总统计!R$2:R$500,MATCH(87,样本到样信息汇总统计!$Z$2:$Z$500,0)),"")</f>
        <v/>
      </c>
      <c r="S88" s="4" t="str">
        <f>IFERROR(INDEX(样本到样信息汇总统计!S$2:S$500,MATCH(87,样本到样信息汇总统计!$Z$2:$Z$500,0)),"")</f>
        <v/>
      </c>
      <c r="T88" s="4" t="str">
        <f>IFERROR(INDEX(样本到样信息汇总统计!T$2:T$500,MATCH(87,样本到样信息汇总统计!$Z$2:$Z$500,0)),"")</f>
        <v/>
      </c>
      <c r="U88" s="4" t="str">
        <f>IFERROR(INDEX(样本到样信息汇总统计!U$2:U$500,MATCH(87,样本到样信息汇总统计!$Z$2:$Z$500,0)),"")</f>
        <v/>
      </c>
      <c r="V88" s="4" t="str">
        <f>IFERROR(INDEX(样本到样信息汇总统计!V$2:V$500,MATCH(87,样本到样信息汇总统计!$Z$2:$Z$500,0)),"")</f>
        <v/>
      </c>
      <c r="W88" s="4" t="str">
        <f>IFERROR(INDEX(样本到样信息汇总统计!W$2:W$500,MATCH(87,样本到样信息汇总统计!$Z$2:$Z$500,0)),"")</f>
        <v/>
      </c>
    </row>
    <row r="89" ht="14.5" spans="1:23">
      <c r="A89" s="8" t="str">
        <f>IFERROR(INDEX(样本到样信息汇总统计!A$2:A$500,MATCH(88,样本到样信息汇总统计!$Z$2:$Z$500,0)),"")</f>
        <v/>
      </c>
      <c r="B89" s="8" t="str">
        <f>IFERROR(INDEX(样本到样信息汇总统计!B$2:B$500,MATCH(88,样本到样信息汇总统计!$Z$2:$Z$500,0)),"")</f>
        <v/>
      </c>
      <c r="C89" s="8" t="str">
        <f>IFERROR(INDEX(样本到样信息汇总统计!C$2:C$500,MATCH(88,样本到样信息汇总统计!$Z$2:$Z$500,0)),"")</f>
        <v/>
      </c>
      <c r="D89" s="8" t="str">
        <f>IFERROR(INDEX(样本到样信息汇总统计!D$2:D$500,MATCH(88,样本到样信息汇总统计!$Z$2:$Z$500,0)),"")</f>
        <v/>
      </c>
      <c r="E89" s="8" t="str">
        <f>IFERROR(INDEX(样本到样信息汇总统计!E$2:E$500,MATCH(88,样本到样信息汇总统计!$Z$2:$Z$500,0)),"")</f>
        <v/>
      </c>
      <c r="F89" s="8" t="str">
        <f>IFERROR(INDEX(样本到样信息汇总统计!F$2:F$500,MATCH(88,样本到样信息汇总统计!$Z$2:$Z$500,0)),"")</f>
        <v/>
      </c>
      <c r="G89" s="8" t="str">
        <f>IFERROR(INDEX(样本到样信息汇总统计!G$2:G$500,MATCH(88,样本到样信息汇总统计!$Z$2:$Z$500,0)),"")</f>
        <v/>
      </c>
      <c r="H89" s="8" t="str">
        <f>IFERROR(INDEX(样本到样信息汇总统计!H$2:H$500,MATCH(88,样本到样信息汇总统计!$Z$2:$Z$500,0)),"")</f>
        <v/>
      </c>
      <c r="I89" s="8" t="str">
        <f>IFERROR(INDEX(样本到样信息汇总统计!I$2:I$500,MATCH(88,样本到样信息汇总统计!$Z$2:$Z$500,0)),"")</f>
        <v/>
      </c>
      <c r="J89" s="8" t="str">
        <f>IFERROR(INDEX(样本到样信息汇总统计!J$2:J$500,MATCH(88,样本到样信息汇总统计!$Z$2:$Z$500,0)),"")</f>
        <v/>
      </c>
      <c r="K89" s="8" t="str">
        <f>IFERROR(INDEX(样本到样信息汇总统计!K$2:K$500,MATCH(88,样本到样信息汇总统计!$Z$2:$Z$500,0)),"")</f>
        <v/>
      </c>
      <c r="L89" s="8" t="str">
        <f>IFERROR(INDEX(样本到样信息汇总统计!L$2:L$500,MATCH(88,样本到样信息汇总统计!$Z$2:$Z$500,0)),"")</f>
        <v/>
      </c>
      <c r="M89" s="8" t="str">
        <f>IFERROR(INDEX(样本到样信息汇总统计!M$2:M$500,MATCH(88,样本到样信息汇总统计!$Z$2:$Z$500,0)),"")</f>
        <v/>
      </c>
      <c r="N89" s="8" t="str">
        <f>IFERROR(INDEX(样本到样信息汇总统计!N$2:N$500,MATCH(88,样本到样信息汇总统计!$Z$2:$Z$500,0)),"")</f>
        <v/>
      </c>
      <c r="O89" s="8" t="str">
        <f>IFERROR(INDEX(样本到样信息汇总统计!O$2:O$500,MATCH(88,样本到样信息汇总统计!$Z$2:$Z$500,0)),"")</f>
        <v/>
      </c>
      <c r="P89" s="8" t="str">
        <f>IFERROR(INDEX(样本到样信息汇总统计!P$2:P$500,MATCH(88,样本到样信息汇总统计!$Z$2:$Z$500,0)),"")</f>
        <v/>
      </c>
      <c r="Q89" s="8" t="str">
        <f>IFERROR(INDEX(样本到样信息汇总统计!Q$2:Q$500,MATCH(88,样本到样信息汇总统计!$Z$2:$Z$500,0)),"")</f>
        <v/>
      </c>
      <c r="R89" s="8" t="str">
        <f>IFERROR(INDEX(样本到样信息汇总统计!R$2:R$500,MATCH(88,样本到样信息汇总统计!$Z$2:$Z$500,0)),"")</f>
        <v/>
      </c>
      <c r="S89" s="8" t="str">
        <f>IFERROR(INDEX(样本到样信息汇总统计!S$2:S$500,MATCH(88,样本到样信息汇总统计!$Z$2:$Z$500,0)),"")</f>
        <v/>
      </c>
      <c r="T89" s="8" t="str">
        <f>IFERROR(INDEX(样本到样信息汇总统计!T$2:T$500,MATCH(88,样本到样信息汇总统计!$Z$2:$Z$500,0)),"")</f>
        <v/>
      </c>
      <c r="U89" s="8" t="str">
        <f>IFERROR(INDEX(样本到样信息汇总统计!U$2:U$500,MATCH(88,样本到样信息汇总统计!$Z$2:$Z$500,0)),"")</f>
        <v/>
      </c>
      <c r="V89" s="8" t="str">
        <f>IFERROR(INDEX(样本到样信息汇总统计!V$2:V$500,MATCH(88,样本到样信息汇总统计!$Z$2:$Z$500,0)),"")</f>
        <v/>
      </c>
      <c r="W89" s="8" t="str">
        <f>IFERROR(INDEX(样本到样信息汇总统计!W$2:W$500,MATCH(88,样本到样信息汇总统计!$Z$2:$Z$500,0)),"")</f>
        <v/>
      </c>
    </row>
    <row r="90" ht="14.5" spans="1:23">
      <c r="A90" s="4" t="str">
        <f>IFERROR(INDEX(样本到样信息汇总统计!A$2:A$500,MATCH(89,样本到样信息汇总统计!$Z$2:$Z$500,0)),"")</f>
        <v/>
      </c>
      <c r="B90" s="4" t="str">
        <f>IFERROR(INDEX(样本到样信息汇总统计!B$2:B$500,MATCH(89,样本到样信息汇总统计!$Z$2:$Z$500,0)),"")</f>
        <v/>
      </c>
      <c r="C90" s="4" t="str">
        <f>IFERROR(INDEX(样本到样信息汇总统计!C$2:C$500,MATCH(89,样本到样信息汇总统计!$Z$2:$Z$500,0)),"")</f>
        <v/>
      </c>
      <c r="D90" s="4" t="str">
        <f>IFERROR(INDEX(样本到样信息汇总统计!D$2:D$500,MATCH(89,样本到样信息汇总统计!$Z$2:$Z$500,0)),"")</f>
        <v/>
      </c>
      <c r="E90" s="4" t="str">
        <f>IFERROR(INDEX(样本到样信息汇总统计!E$2:E$500,MATCH(89,样本到样信息汇总统计!$Z$2:$Z$500,0)),"")</f>
        <v/>
      </c>
      <c r="F90" s="4" t="str">
        <f>IFERROR(INDEX(样本到样信息汇总统计!F$2:F$500,MATCH(89,样本到样信息汇总统计!$Z$2:$Z$500,0)),"")</f>
        <v/>
      </c>
      <c r="G90" s="4" t="str">
        <f>IFERROR(INDEX(样本到样信息汇总统计!G$2:G$500,MATCH(89,样本到样信息汇总统计!$Z$2:$Z$500,0)),"")</f>
        <v/>
      </c>
      <c r="H90" s="4" t="str">
        <f>IFERROR(INDEX(样本到样信息汇总统计!H$2:H$500,MATCH(89,样本到样信息汇总统计!$Z$2:$Z$500,0)),"")</f>
        <v/>
      </c>
      <c r="I90" s="4" t="str">
        <f>IFERROR(INDEX(样本到样信息汇总统计!I$2:I$500,MATCH(89,样本到样信息汇总统计!$Z$2:$Z$500,0)),"")</f>
        <v/>
      </c>
      <c r="J90" s="4" t="str">
        <f>IFERROR(INDEX(样本到样信息汇总统计!J$2:J$500,MATCH(89,样本到样信息汇总统计!$Z$2:$Z$500,0)),"")</f>
        <v/>
      </c>
      <c r="K90" s="4" t="str">
        <f>IFERROR(INDEX(样本到样信息汇总统计!K$2:K$500,MATCH(89,样本到样信息汇总统计!$Z$2:$Z$500,0)),"")</f>
        <v/>
      </c>
      <c r="L90" s="4" t="str">
        <f>IFERROR(INDEX(样本到样信息汇总统计!L$2:L$500,MATCH(89,样本到样信息汇总统计!$Z$2:$Z$500,0)),"")</f>
        <v/>
      </c>
      <c r="M90" s="4" t="str">
        <f>IFERROR(INDEX(样本到样信息汇总统计!M$2:M$500,MATCH(89,样本到样信息汇总统计!$Z$2:$Z$500,0)),"")</f>
        <v/>
      </c>
      <c r="N90" s="4" t="str">
        <f>IFERROR(INDEX(样本到样信息汇总统计!N$2:N$500,MATCH(89,样本到样信息汇总统计!$Z$2:$Z$500,0)),"")</f>
        <v/>
      </c>
      <c r="O90" s="4" t="str">
        <f>IFERROR(INDEX(样本到样信息汇总统计!O$2:O$500,MATCH(89,样本到样信息汇总统计!$Z$2:$Z$500,0)),"")</f>
        <v/>
      </c>
      <c r="P90" s="4" t="str">
        <f>IFERROR(INDEX(样本到样信息汇总统计!P$2:P$500,MATCH(89,样本到样信息汇总统计!$Z$2:$Z$500,0)),"")</f>
        <v/>
      </c>
      <c r="Q90" s="4" t="str">
        <f>IFERROR(INDEX(样本到样信息汇总统计!Q$2:Q$500,MATCH(89,样本到样信息汇总统计!$Z$2:$Z$500,0)),"")</f>
        <v/>
      </c>
      <c r="R90" s="4" t="str">
        <f>IFERROR(INDEX(样本到样信息汇总统计!R$2:R$500,MATCH(89,样本到样信息汇总统计!$Z$2:$Z$500,0)),"")</f>
        <v/>
      </c>
      <c r="S90" s="4" t="str">
        <f>IFERROR(INDEX(样本到样信息汇总统计!S$2:S$500,MATCH(89,样本到样信息汇总统计!$Z$2:$Z$500,0)),"")</f>
        <v/>
      </c>
      <c r="T90" s="4" t="str">
        <f>IFERROR(INDEX(样本到样信息汇总统计!T$2:T$500,MATCH(89,样本到样信息汇总统计!$Z$2:$Z$500,0)),"")</f>
        <v/>
      </c>
      <c r="U90" s="4" t="str">
        <f>IFERROR(INDEX(样本到样信息汇总统计!U$2:U$500,MATCH(89,样本到样信息汇总统计!$Z$2:$Z$500,0)),"")</f>
        <v/>
      </c>
      <c r="V90" s="4" t="str">
        <f>IFERROR(INDEX(样本到样信息汇总统计!V$2:V$500,MATCH(89,样本到样信息汇总统计!$Z$2:$Z$500,0)),"")</f>
        <v/>
      </c>
      <c r="W90" s="4" t="str">
        <f>IFERROR(INDEX(样本到样信息汇总统计!W$2:W$500,MATCH(89,样本到样信息汇总统计!$Z$2:$Z$500,0)),"")</f>
        <v/>
      </c>
    </row>
    <row r="91" ht="14.5" spans="1:23">
      <c r="A91" s="8" t="str">
        <f>IFERROR(INDEX(样本到样信息汇总统计!A$2:A$500,MATCH(90,样本到样信息汇总统计!$Z$2:$Z$500,0)),"")</f>
        <v/>
      </c>
      <c r="B91" s="8" t="str">
        <f>IFERROR(INDEX(样本到样信息汇总统计!B$2:B$500,MATCH(90,样本到样信息汇总统计!$Z$2:$Z$500,0)),"")</f>
        <v/>
      </c>
      <c r="C91" s="8" t="str">
        <f>IFERROR(INDEX(样本到样信息汇总统计!C$2:C$500,MATCH(90,样本到样信息汇总统计!$Z$2:$Z$500,0)),"")</f>
        <v/>
      </c>
      <c r="D91" s="8" t="str">
        <f>IFERROR(INDEX(样本到样信息汇总统计!D$2:D$500,MATCH(90,样本到样信息汇总统计!$Z$2:$Z$500,0)),"")</f>
        <v/>
      </c>
      <c r="E91" s="8" t="str">
        <f>IFERROR(INDEX(样本到样信息汇总统计!E$2:E$500,MATCH(90,样本到样信息汇总统计!$Z$2:$Z$500,0)),"")</f>
        <v/>
      </c>
      <c r="F91" s="8" t="str">
        <f>IFERROR(INDEX(样本到样信息汇总统计!F$2:F$500,MATCH(90,样本到样信息汇总统计!$Z$2:$Z$500,0)),"")</f>
        <v/>
      </c>
      <c r="G91" s="8" t="str">
        <f>IFERROR(INDEX(样本到样信息汇总统计!G$2:G$500,MATCH(90,样本到样信息汇总统计!$Z$2:$Z$500,0)),"")</f>
        <v/>
      </c>
      <c r="H91" s="8" t="str">
        <f>IFERROR(INDEX(样本到样信息汇总统计!H$2:H$500,MATCH(90,样本到样信息汇总统计!$Z$2:$Z$500,0)),"")</f>
        <v/>
      </c>
      <c r="I91" s="8" t="str">
        <f>IFERROR(INDEX(样本到样信息汇总统计!I$2:I$500,MATCH(90,样本到样信息汇总统计!$Z$2:$Z$500,0)),"")</f>
        <v/>
      </c>
      <c r="J91" s="8" t="str">
        <f>IFERROR(INDEX(样本到样信息汇总统计!J$2:J$500,MATCH(90,样本到样信息汇总统计!$Z$2:$Z$500,0)),"")</f>
        <v/>
      </c>
      <c r="K91" s="8" t="str">
        <f>IFERROR(INDEX(样本到样信息汇总统计!K$2:K$500,MATCH(90,样本到样信息汇总统计!$Z$2:$Z$500,0)),"")</f>
        <v/>
      </c>
      <c r="L91" s="8" t="str">
        <f>IFERROR(INDEX(样本到样信息汇总统计!L$2:L$500,MATCH(90,样本到样信息汇总统计!$Z$2:$Z$500,0)),"")</f>
        <v/>
      </c>
      <c r="M91" s="8" t="str">
        <f>IFERROR(INDEX(样本到样信息汇总统计!M$2:M$500,MATCH(90,样本到样信息汇总统计!$Z$2:$Z$500,0)),"")</f>
        <v/>
      </c>
      <c r="N91" s="8" t="str">
        <f>IFERROR(INDEX(样本到样信息汇总统计!N$2:N$500,MATCH(90,样本到样信息汇总统计!$Z$2:$Z$500,0)),"")</f>
        <v/>
      </c>
      <c r="O91" s="8" t="str">
        <f>IFERROR(INDEX(样本到样信息汇总统计!O$2:O$500,MATCH(90,样本到样信息汇总统计!$Z$2:$Z$500,0)),"")</f>
        <v/>
      </c>
      <c r="P91" s="8" t="str">
        <f>IFERROR(INDEX(样本到样信息汇总统计!P$2:P$500,MATCH(90,样本到样信息汇总统计!$Z$2:$Z$500,0)),"")</f>
        <v/>
      </c>
      <c r="Q91" s="8" t="str">
        <f>IFERROR(INDEX(样本到样信息汇总统计!Q$2:Q$500,MATCH(90,样本到样信息汇总统计!$Z$2:$Z$500,0)),"")</f>
        <v/>
      </c>
      <c r="R91" s="8" t="str">
        <f>IFERROR(INDEX(样本到样信息汇总统计!R$2:R$500,MATCH(90,样本到样信息汇总统计!$Z$2:$Z$500,0)),"")</f>
        <v/>
      </c>
      <c r="S91" s="8" t="str">
        <f>IFERROR(INDEX(样本到样信息汇总统计!S$2:S$500,MATCH(90,样本到样信息汇总统计!$Z$2:$Z$500,0)),"")</f>
        <v/>
      </c>
      <c r="T91" s="8" t="str">
        <f>IFERROR(INDEX(样本到样信息汇总统计!T$2:T$500,MATCH(90,样本到样信息汇总统计!$Z$2:$Z$500,0)),"")</f>
        <v/>
      </c>
      <c r="U91" s="8" t="str">
        <f>IFERROR(INDEX(样本到样信息汇总统计!U$2:U$500,MATCH(90,样本到样信息汇总统计!$Z$2:$Z$500,0)),"")</f>
        <v/>
      </c>
      <c r="V91" s="8" t="str">
        <f>IFERROR(INDEX(样本到样信息汇总统计!V$2:V$500,MATCH(90,样本到样信息汇总统计!$Z$2:$Z$500,0)),"")</f>
        <v/>
      </c>
      <c r="W91" s="8" t="str">
        <f>IFERROR(INDEX(样本到样信息汇总统计!W$2:W$500,MATCH(90,样本到样信息汇总统计!$Z$2:$Z$500,0)),"")</f>
        <v/>
      </c>
    </row>
    <row r="92" ht="14.5" spans="1:23">
      <c r="A92" s="4" t="str">
        <f>IFERROR(INDEX(样本到样信息汇总统计!A$2:A$500,MATCH(91,样本到样信息汇总统计!$Z$2:$Z$500,0)),"")</f>
        <v/>
      </c>
      <c r="B92" s="4" t="str">
        <f>IFERROR(INDEX(样本到样信息汇总统计!B$2:B$500,MATCH(91,样本到样信息汇总统计!$Z$2:$Z$500,0)),"")</f>
        <v/>
      </c>
      <c r="C92" s="4" t="str">
        <f>IFERROR(INDEX(样本到样信息汇总统计!C$2:C$500,MATCH(91,样本到样信息汇总统计!$Z$2:$Z$500,0)),"")</f>
        <v/>
      </c>
      <c r="D92" s="4" t="str">
        <f>IFERROR(INDEX(样本到样信息汇总统计!D$2:D$500,MATCH(91,样本到样信息汇总统计!$Z$2:$Z$500,0)),"")</f>
        <v/>
      </c>
      <c r="E92" s="4" t="str">
        <f>IFERROR(INDEX(样本到样信息汇总统计!E$2:E$500,MATCH(91,样本到样信息汇总统计!$Z$2:$Z$500,0)),"")</f>
        <v/>
      </c>
      <c r="F92" s="4" t="str">
        <f>IFERROR(INDEX(样本到样信息汇总统计!F$2:F$500,MATCH(91,样本到样信息汇总统计!$Z$2:$Z$500,0)),"")</f>
        <v/>
      </c>
      <c r="G92" s="4" t="str">
        <f>IFERROR(INDEX(样本到样信息汇总统计!G$2:G$500,MATCH(91,样本到样信息汇总统计!$Z$2:$Z$500,0)),"")</f>
        <v/>
      </c>
      <c r="H92" s="4" t="str">
        <f>IFERROR(INDEX(样本到样信息汇总统计!H$2:H$500,MATCH(91,样本到样信息汇总统计!$Z$2:$Z$500,0)),"")</f>
        <v/>
      </c>
      <c r="I92" s="4" t="str">
        <f>IFERROR(INDEX(样本到样信息汇总统计!I$2:I$500,MATCH(91,样本到样信息汇总统计!$Z$2:$Z$500,0)),"")</f>
        <v/>
      </c>
      <c r="J92" s="4" t="str">
        <f>IFERROR(INDEX(样本到样信息汇总统计!J$2:J$500,MATCH(91,样本到样信息汇总统计!$Z$2:$Z$500,0)),"")</f>
        <v/>
      </c>
      <c r="K92" s="4" t="str">
        <f>IFERROR(INDEX(样本到样信息汇总统计!K$2:K$500,MATCH(91,样本到样信息汇总统计!$Z$2:$Z$500,0)),"")</f>
        <v/>
      </c>
      <c r="L92" s="4" t="str">
        <f>IFERROR(INDEX(样本到样信息汇总统计!L$2:L$500,MATCH(91,样本到样信息汇总统计!$Z$2:$Z$500,0)),"")</f>
        <v/>
      </c>
      <c r="M92" s="4" t="str">
        <f>IFERROR(INDEX(样本到样信息汇总统计!M$2:M$500,MATCH(91,样本到样信息汇总统计!$Z$2:$Z$500,0)),"")</f>
        <v/>
      </c>
      <c r="N92" s="4" t="str">
        <f>IFERROR(INDEX(样本到样信息汇总统计!N$2:N$500,MATCH(91,样本到样信息汇总统计!$Z$2:$Z$500,0)),"")</f>
        <v/>
      </c>
      <c r="O92" s="4" t="str">
        <f>IFERROR(INDEX(样本到样信息汇总统计!O$2:O$500,MATCH(91,样本到样信息汇总统计!$Z$2:$Z$500,0)),"")</f>
        <v/>
      </c>
      <c r="P92" s="4" t="str">
        <f>IFERROR(INDEX(样本到样信息汇总统计!P$2:P$500,MATCH(91,样本到样信息汇总统计!$Z$2:$Z$500,0)),"")</f>
        <v/>
      </c>
      <c r="Q92" s="4" t="str">
        <f>IFERROR(INDEX(样本到样信息汇总统计!Q$2:Q$500,MATCH(91,样本到样信息汇总统计!$Z$2:$Z$500,0)),"")</f>
        <v/>
      </c>
      <c r="R92" s="4" t="str">
        <f>IFERROR(INDEX(样本到样信息汇总统计!R$2:R$500,MATCH(91,样本到样信息汇总统计!$Z$2:$Z$500,0)),"")</f>
        <v/>
      </c>
      <c r="S92" s="4" t="str">
        <f>IFERROR(INDEX(样本到样信息汇总统计!S$2:S$500,MATCH(91,样本到样信息汇总统计!$Z$2:$Z$500,0)),"")</f>
        <v/>
      </c>
      <c r="T92" s="4" t="str">
        <f>IFERROR(INDEX(样本到样信息汇总统计!T$2:T$500,MATCH(91,样本到样信息汇总统计!$Z$2:$Z$500,0)),"")</f>
        <v/>
      </c>
      <c r="U92" s="4" t="str">
        <f>IFERROR(INDEX(样本到样信息汇总统计!U$2:U$500,MATCH(91,样本到样信息汇总统计!$Z$2:$Z$500,0)),"")</f>
        <v/>
      </c>
      <c r="V92" s="4" t="str">
        <f>IFERROR(INDEX(样本到样信息汇总统计!V$2:V$500,MATCH(91,样本到样信息汇总统计!$Z$2:$Z$500,0)),"")</f>
        <v/>
      </c>
      <c r="W92" s="4" t="str">
        <f>IFERROR(INDEX(样本到样信息汇总统计!W$2:W$500,MATCH(91,样本到样信息汇总统计!$Z$2:$Z$500,0)),"")</f>
        <v/>
      </c>
    </row>
    <row r="93" ht="14.5" spans="1:23">
      <c r="A93" s="8" t="str">
        <f>IFERROR(INDEX(样本到样信息汇总统计!A$2:A$500,MATCH(92,样本到样信息汇总统计!$Z$2:$Z$500,0)),"")</f>
        <v/>
      </c>
      <c r="B93" s="8" t="str">
        <f>IFERROR(INDEX(样本到样信息汇总统计!B$2:B$500,MATCH(92,样本到样信息汇总统计!$Z$2:$Z$500,0)),"")</f>
        <v/>
      </c>
      <c r="C93" s="8" t="str">
        <f>IFERROR(INDEX(样本到样信息汇总统计!C$2:C$500,MATCH(92,样本到样信息汇总统计!$Z$2:$Z$500,0)),"")</f>
        <v/>
      </c>
      <c r="D93" s="8" t="str">
        <f>IFERROR(INDEX(样本到样信息汇总统计!D$2:D$500,MATCH(92,样本到样信息汇总统计!$Z$2:$Z$500,0)),"")</f>
        <v/>
      </c>
      <c r="E93" s="8" t="str">
        <f>IFERROR(INDEX(样本到样信息汇总统计!E$2:E$500,MATCH(92,样本到样信息汇总统计!$Z$2:$Z$500,0)),"")</f>
        <v/>
      </c>
      <c r="F93" s="8" t="str">
        <f>IFERROR(INDEX(样本到样信息汇总统计!F$2:F$500,MATCH(92,样本到样信息汇总统计!$Z$2:$Z$500,0)),"")</f>
        <v/>
      </c>
      <c r="G93" s="8" t="str">
        <f>IFERROR(INDEX(样本到样信息汇总统计!G$2:G$500,MATCH(92,样本到样信息汇总统计!$Z$2:$Z$500,0)),"")</f>
        <v/>
      </c>
      <c r="H93" s="8" t="str">
        <f>IFERROR(INDEX(样本到样信息汇总统计!H$2:H$500,MATCH(92,样本到样信息汇总统计!$Z$2:$Z$500,0)),"")</f>
        <v/>
      </c>
      <c r="I93" s="8" t="str">
        <f>IFERROR(INDEX(样本到样信息汇总统计!I$2:I$500,MATCH(92,样本到样信息汇总统计!$Z$2:$Z$500,0)),"")</f>
        <v/>
      </c>
      <c r="J93" s="8" t="str">
        <f>IFERROR(INDEX(样本到样信息汇总统计!J$2:J$500,MATCH(92,样本到样信息汇总统计!$Z$2:$Z$500,0)),"")</f>
        <v/>
      </c>
      <c r="K93" s="8" t="str">
        <f>IFERROR(INDEX(样本到样信息汇总统计!K$2:K$500,MATCH(92,样本到样信息汇总统计!$Z$2:$Z$500,0)),"")</f>
        <v/>
      </c>
      <c r="L93" s="8" t="str">
        <f>IFERROR(INDEX(样本到样信息汇总统计!L$2:L$500,MATCH(92,样本到样信息汇总统计!$Z$2:$Z$500,0)),"")</f>
        <v/>
      </c>
      <c r="M93" s="8" t="str">
        <f>IFERROR(INDEX(样本到样信息汇总统计!M$2:M$500,MATCH(92,样本到样信息汇总统计!$Z$2:$Z$500,0)),"")</f>
        <v/>
      </c>
      <c r="N93" s="8" t="str">
        <f>IFERROR(INDEX(样本到样信息汇总统计!N$2:N$500,MATCH(92,样本到样信息汇总统计!$Z$2:$Z$500,0)),"")</f>
        <v/>
      </c>
      <c r="O93" s="8" t="str">
        <f>IFERROR(INDEX(样本到样信息汇总统计!O$2:O$500,MATCH(92,样本到样信息汇总统计!$Z$2:$Z$500,0)),"")</f>
        <v/>
      </c>
      <c r="P93" s="8" t="str">
        <f>IFERROR(INDEX(样本到样信息汇总统计!P$2:P$500,MATCH(92,样本到样信息汇总统计!$Z$2:$Z$500,0)),"")</f>
        <v/>
      </c>
      <c r="Q93" s="8" t="str">
        <f>IFERROR(INDEX(样本到样信息汇总统计!Q$2:Q$500,MATCH(92,样本到样信息汇总统计!$Z$2:$Z$500,0)),"")</f>
        <v/>
      </c>
      <c r="R93" s="8" t="str">
        <f>IFERROR(INDEX(样本到样信息汇总统计!R$2:R$500,MATCH(92,样本到样信息汇总统计!$Z$2:$Z$500,0)),"")</f>
        <v/>
      </c>
      <c r="S93" s="8" t="str">
        <f>IFERROR(INDEX(样本到样信息汇总统计!S$2:S$500,MATCH(92,样本到样信息汇总统计!$Z$2:$Z$500,0)),"")</f>
        <v/>
      </c>
      <c r="T93" s="8" t="str">
        <f>IFERROR(INDEX(样本到样信息汇总统计!T$2:T$500,MATCH(92,样本到样信息汇总统计!$Z$2:$Z$500,0)),"")</f>
        <v/>
      </c>
      <c r="U93" s="8" t="str">
        <f>IFERROR(INDEX(样本到样信息汇总统计!U$2:U$500,MATCH(92,样本到样信息汇总统计!$Z$2:$Z$500,0)),"")</f>
        <v/>
      </c>
      <c r="V93" s="8" t="str">
        <f>IFERROR(INDEX(样本到样信息汇总统计!V$2:V$500,MATCH(92,样本到样信息汇总统计!$Z$2:$Z$500,0)),"")</f>
        <v/>
      </c>
      <c r="W93" s="8" t="str">
        <f>IFERROR(INDEX(样本到样信息汇总统计!W$2:W$500,MATCH(92,样本到样信息汇总统计!$Z$2:$Z$500,0)),"")</f>
        <v/>
      </c>
    </row>
    <row r="94" ht="14.5" spans="1:23">
      <c r="A94" s="4" t="str">
        <f>IFERROR(INDEX(样本到样信息汇总统计!A$2:A$500,MATCH(93,样本到样信息汇总统计!$Z$2:$Z$500,0)),"")</f>
        <v/>
      </c>
      <c r="B94" s="4" t="str">
        <f>IFERROR(INDEX(样本到样信息汇总统计!B$2:B$500,MATCH(93,样本到样信息汇总统计!$Z$2:$Z$500,0)),"")</f>
        <v/>
      </c>
      <c r="C94" s="4" t="str">
        <f>IFERROR(INDEX(样本到样信息汇总统计!C$2:C$500,MATCH(93,样本到样信息汇总统计!$Z$2:$Z$500,0)),"")</f>
        <v/>
      </c>
      <c r="D94" s="4" t="str">
        <f>IFERROR(INDEX(样本到样信息汇总统计!D$2:D$500,MATCH(93,样本到样信息汇总统计!$Z$2:$Z$500,0)),"")</f>
        <v/>
      </c>
      <c r="E94" s="4" t="str">
        <f>IFERROR(INDEX(样本到样信息汇总统计!E$2:E$500,MATCH(93,样本到样信息汇总统计!$Z$2:$Z$500,0)),"")</f>
        <v/>
      </c>
      <c r="F94" s="4" t="str">
        <f>IFERROR(INDEX(样本到样信息汇总统计!F$2:F$500,MATCH(93,样本到样信息汇总统计!$Z$2:$Z$500,0)),"")</f>
        <v/>
      </c>
      <c r="G94" s="4" t="str">
        <f>IFERROR(INDEX(样本到样信息汇总统计!G$2:G$500,MATCH(93,样本到样信息汇总统计!$Z$2:$Z$500,0)),"")</f>
        <v/>
      </c>
      <c r="H94" s="4" t="str">
        <f>IFERROR(INDEX(样本到样信息汇总统计!H$2:H$500,MATCH(93,样本到样信息汇总统计!$Z$2:$Z$500,0)),"")</f>
        <v/>
      </c>
      <c r="I94" s="4" t="str">
        <f>IFERROR(INDEX(样本到样信息汇总统计!I$2:I$500,MATCH(93,样本到样信息汇总统计!$Z$2:$Z$500,0)),"")</f>
        <v/>
      </c>
      <c r="J94" s="4" t="str">
        <f>IFERROR(INDEX(样本到样信息汇总统计!J$2:J$500,MATCH(93,样本到样信息汇总统计!$Z$2:$Z$500,0)),"")</f>
        <v/>
      </c>
      <c r="K94" s="4" t="str">
        <f>IFERROR(INDEX(样本到样信息汇总统计!K$2:K$500,MATCH(93,样本到样信息汇总统计!$Z$2:$Z$500,0)),"")</f>
        <v/>
      </c>
      <c r="L94" s="4" t="str">
        <f>IFERROR(INDEX(样本到样信息汇总统计!L$2:L$500,MATCH(93,样本到样信息汇总统计!$Z$2:$Z$500,0)),"")</f>
        <v/>
      </c>
      <c r="M94" s="4" t="str">
        <f>IFERROR(INDEX(样本到样信息汇总统计!M$2:M$500,MATCH(93,样本到样信息汇总统计!$Z$2:$Z$500,0)),"")</f>
        <v/>
      </c>
      <c r="N94" s="4" t="str">
        <f>IFERROR(INDEX(样本到样信息汇总统计!N$2:N$500,MATCH(93,样本到样信息汇总统计!$Z$2:$Z$500,0)),"")</f>
        <v/>
      </c>
      <c r="O94" s="4" t="str">
        <f>IFERROR(INDEX(样本到样信息汇总统计!O$2:O$500,MATCH(93,样本到样信息汇总统计!$Z$2:$Z$500,0)),"")</f>
        <v/>
      </c>
      <c r="P94" s="4" t="str">
        <f>IFERROR(INDEX(样本到样信息汇总统计!P$2:P$500,MATCH(93,样本到样信息汇总统计!$Z$2:$Z$500,0)),"")</f>
        <v/>
      </c>
      <c r="Q94" s="4" t="str">
        <f>IFERROR(INDEX(样本到样信息汇总统计!Q$2:Q$500,MATCH(93,样本到样信息汇总统计!$Z$2:$Z$500,0)),"")</f>
        <v/>
      </c>
      <c r="R94" s="4" t="str">
        <f>IFERROR(INDEX(样本到样信息汇总统计!R$2:R$500,MATCH(93,样本到样信息汇总统计!$Z$2:$Z$500,0)),"")</f>
        <v/>
      </c>
      <c r="S94" s="4" t="str">
        <f>IFERROR(INDEX(样本到样信息汇总统计!S$2:S$500,MATCH(93,样本到样信息汇总统计!$Z$2:$Z$500,0)),"")</f>
        <v/>
      </c>
      <c r="T94" s="4" t="str">
        <f>IFERROR(INDEX(样本到样信息汇总统计!T$2:T$500,MATCH(93,样本到样信息汇总统计!$Z$2:$Z$500,0)),"")</f>
        <v/>
      </c>
      <c r="U94" s="4" t="str">
        <f>IFERROR(INDEX(样本到样信息汇总统计!U$2:U$500,MATCH(93,样本到样信息汇总统计!$Z$2:$Z$500,0)),"")</f>
        <v/>
      </c>
      <c r="V94" s="4" t="str">
        <f>IFERROR(INDEX(样本到样信息汇总统计!V$2:V$500,MATCH(93,样本到样信息汇总统计!$Z$2:$Z$500,0)),"")</f>
        <v/>
      </c>
      <c r="W94" s="4" t="str">
        <f>IFERROR(INDEX(样本到样信息汇总统计!W$2:W$500,MATCH(93,样本到样信息汇总统计!$Z$2:$Z$500,0)),"")</f>
        <v/>
      </c>
    </row>
    <row r="95" ht="14.5" spans="1:23">
      <c r="A95" s="8" t="str">
        <f>IFERROR(INDEX(样本到样信息汇总统计!A$2:A$500,MATCH(94,样本到样信息汇总统计!$Z$2:$Z$500,0)),"")</f>
        <v/>
      </c>
      <c r="B95" s="8" t="str">
        <f>IFERROR(INDEX(样本到样信息汇总统计!B$2:B$500,MATCH(94,样本到样信息汇总统计!$Z$2:$Z$500,0)),"")</f>
        <v/>
      </c>
      <c r="C95" s="8" t="str">
        <f>IFERROR(INDEX(样本到样信息汇总统计!C$2:C$500,MATCH(94,样本到样信息汇总统计!$Z$2:$Z$500,0)),"")</f>
        <v/>
      </c>
      <c r="D95" s="8" t="str">
        <f>IFERROR(INDEX(样本到样信息汇总统计!D$2:D$500,MATCH(94,样本到样信息汇总统计!$Z$2:$Z$500,0)),"")</f>
        <v/>
      </c>
      <c r="E95" s="8" t="str">
        <f>IFERROR(INDEX(样本到样信息汇总统计!E$2:E$500,MATCH(94,样本到样信息汇总统计!$Z$2:$Z$500,0)),"")</f>
        <v/>
      </c>
      <c r="F95" s="8" t="str">
        <f>IFERROR(INDEX(样本到样信息汇总统计!F$2:F$500,MATCH(94,样本到样信息汇总统计!$Z$2:$Z$500,0)),"")</f>
        <v/>
      </c>
      <c r="G95" s="8" t="str">
        <f>IFERROR(INDEX(样本到样信息汇总统计!G$2:G$500,MATCH(94,样本到样信息汇总统计!$Z$2:$Z$500,0)),"")</f>
        <v/>
      </c>
      <c r="H95" s="8" t="str">
        <f>IFERROR(INDEX(样本到样信息汇总统计!H$2:H$500,MATCH(94,样本到样信息汇总统计!$Z$2:$Z$500,0)),"")</f>
        <v/>
      </c>
      <c r="I95" s="8" t="str">
        <f>IFERROR(INDEX(样本到样信息汇总统计!I$2:I$500,MATCH(94,样本到样信息汇总统计!$Z$2:$Z$500,0)),"")</f>
        <v/>
      </c>
      <c r="J95" s="8" t="str">
        <f>IFERROR(INDEX(样本到样信息汇总统计!J$2:J$500,MATCH(94,样本到样信息汇总统计!$Z$2:$Z$500,0)),"")</f>
        <v/>
      </c>
      <c r="K95" s="8" t="str">
        <f>IFERROR(INDEX(样本到样信息汇总统计!K$2:K$500,MATCH(94,样本到样信息汇总统计!$Z$2:$Z$500,0)),"")</f>
        <v/>
      </c>
      <c r="L95" s="8" t="str">
        <f>IFERROR(INDEX(样本到样信息汇总统计!L$2:L$500,MATCH(94,样本到样信息汇总统计!$Z$2:$Z$500,0)),"")</f>
        <v/>
      </c>
      <c r="M95" s="8" t="str">
        <f>IFERROR(INDEX(样本到样信息汇总统计!M$2:M$500,MATCH(94,样本到样信息汇总统计!$Z$2:$Z$500,0)),"")</f>
        <v/>
      </c>
      <c r="N95" s="8" t="str">
        <f>IFERROR(INDEX(样本到样信息汇总统计!N$2:N$500,MATCH(94,样本到样信息汇总统计!$Z$2:$Z$500,0)),"")</f>
        <v/>
      </c>
      <c r="O95" s="8" t="str">
        <f>IFERROR(INDEX(样本到样信息汇总统计!O$2:O$500,MATCH(94,样本到样信息汇总统计!$Z$2:$Z$500,0)),"")</f>
        <v/>
      </c>
      <c r="P95" s="8" t="str">
        <f>IFERROR(INDEX(样本到样信息汇总统计!P$2:P$500,MATCH(94,样本到样信息汇总统计!$Z$2:$Z$500,0)),"")</f>
        <v/>
      </c>
      <c r="Q95" s="8" t="str">
        <f>IFERROR(INDEX(样本到样信息汇总统计!Q$2:Q$500,MATCH(94,样本到样信息汇总统计!$Z$2:$Z$500,0)),"")</f>
        <v/>
      </c>
      <c r="R95" s="8" t="str">
        <f>IFERROR(INDEX(样本到样信息汇总统计!R$2:R$500,MATCH(94,样本到样信息汇总统计!$Z$2:$Z$500,0)),"")</f>
        <v/>
      </c>
      <c r="S95" s="8" t="str">
        <f>IFERROR(INDEX(样本到样信息汇总统计!S$2:S$500,MATCH(94,样本到样信息汇总统计!$Z$2:$Z$500,0)),"")</f>
        <v/>
      </c>
      <c r="T95" s="8" t="str">
        <f>IFERROR(INDEX(样本到样信息汇总统计!T$2:T$500,MATCH(94,样本到样信息汇总统计!$Z$2:$Z$500,0)),"")</f>
        <v/>
      </c>
      <c r="U95" s="8" t="str">
        <f>IFERROR(INDEX(样本到样信息汇总统计!U$2:U$500,MATCH(94,样本到样信息汇总统计!$Z$2:$Z$500,0)),"")</f>
        <v/>
      </c>
      <c r="V95" s="8" t="str">
        <f>IFERROR(INDEX(样本到样信息汇总统计!V$2:V$500,MATCH(94,样本到样信息汇总统计!$Z$2:$Z$500,0)),"")</f>
        <v/>
      </c>
      <c r="W95" s="8" t="str">
        <f>IFERROR(INDEX(样本到样信息汇总统计!W$2:W$500,MATCH(94,样本到样信息汇总统计!$Z$2:$Z$500,0)),"")</f>
        <v/>
      </c>
    </row>
    <row r="96" ht="14.5" spans="1:23">
      <c r="A96" s="4" t="str">
        <f>IFERROR(INDEX(样本到样信息汇总统计!A$2:A$500,MATCH(95,样本到样信息汇总统计!$Z$2:$Z$500,0)),"")</f>
        <v/>
      </c>
      <c r="B96" s="4" t="str">
        <f>IFERROR(INDEX(样本到样信息汇总统计!B$2:B$500,MATCH(95,样本到样信息汇总统计!$Z$2:$Z$500,0)),"")</f>
        <v/>
      </c>
      <c r="C96" s="4" t="str">
        <f>IFERROR(INDEX(样本到样信息汇总统计!C$2:C$500,MATCH(95,样本到样信息汇总统计!$Z$2:$Z$500,0)),"")</f>
        <v/>
      </c>
      <c r="D96" s="4" t="str">
        <f>IFERROR(INDEX(样本到样信息汇总统计!D$2:D$500,MATCH(95,样本到样信息汇总统计!$Z$2:$Z$500,0)),"")</f>
        <v/>
      </c>
      <c r="E96" s="4" t="str">
        <f>IFERROR(INDEX(样本到样信息汇总统计!E$2:E$500,MATCH(95,样本到样信息汇总统计!$Z$2:$Z$500,0)),"")</f>
        <v/>
      </c>
      <c r="F96" s="4" t="str">
        <f>IFERROR(INDEX(样本到样信息汇总统计!F$2:F$500,MATCH(95,样本到样信息汇总统计!$Z$2:$Z$500,0)),"")</f>
        <v/>
      </c>
      <c r="G96" s="4" t="str">
        <f>IFERROR(INDEX(样本到样信息汇总统计!G$2:G$500,MATCH(95,样本到样信息汇总统计!$Z$2:$Z$500,0)),"")</f>
        <v/>
      </c>
      <c r="H96" s="4" t="str">
        <f>IFERROR(INDEX(样本到样信息汇总统计!H$2:H$500,MATCH(95,样本到样信息汇总统计!$Z$2:$Z$500,0)),"")</f>
        <v/>
      </c>
      <c r="I96" s="4" t="str">
        <f>IFERROR(INDEX(样本到样信息汇总统计!I$2:I$500,MATCH(95,样本到样信息汇总统计!$Z$2:$Z$500,0)),"")</f>
        <v/>
      </c>
      <c r="J96" s="4" t="str">
        <f>IFERROR(INDEX(样本到样信息汇总统计!J$2:J$500,MATCH(95,样本到样信息汇总统计!$Z$2:$Z$500,0)),"")</f>
        <v/>
      </c>
      <c r="K96" s="4" t="str">
        <f>IFERROR(INDEX(样本到样信息汇总统计!K$2:K$500,MATCH(95,样本到样信息汇总统计!$Z$2:$Z$500,0)),"")</f>
        <v/>
      </c>
      <c r="L96" s="4" t="str">
        <f>IFERROR(INDEX(样本到样信息汇总统计!L$2:L$500,MATCH(95,样本到样信息汇总统计!$Z$2:$Z$500,0)),"")</f>
        <v/>
      </c>
      <c r="M96" s="4" t="str">
        <f>IFERROR(INDEX(样本到样信息汇总统计!M$2:M$500,MATCH(95,样本到样信息汇总统计!$Z$2:$Z$500,0)),"")</f>
        <v/>
      </c>
      <c r="N96" s="4" t="str">
        <f>IFERROR(INDEX(样本到样信息汇总统计!N$2:N$500,MATCH(95,样本到样信息汇总统计!$Z$2:$Z$500,0)),"")</f>
        <v/>
      </c>
      <c r="O96" s="4" t="str">
        <f>IFERROR(INDEX(样本到样信息汇总统计!O$2:O$500,MATCH(95,样本到样信息汇总统计!$Z$2:$Z$500,0)),"")</f>
        <v/>
      </c>
      <c r="P96" s="4" t="str">
        <f>IFERROR(INDEX(样本到样信息汇总统计!P$2:P$500,MATCH(95,样本到样信息汇总统计!$Z$2:$Z$500,0)),"")</f>
        <v/>
      </c>
      <c r="Q96" s="4" t="str">
        <f>IFERROR(INDEX(样本到样信息汇总统计!Q$2:Q$500,MATCH(95,样本到样信息汇总统计!$Z$2:$Z$500,0)),"")</f>
        <v/>
      </c>
      <c r="R96" s="4" t="str">
        <f>IFERROR(INDEX(样本到样信息汇总统计!R$2:R$500,MATCH(95,样本到样信息汇总统计!$Z$2:$Z$500,0)),"")</f>
        <v/>
      </c>
      <c r="S96" s="4" t="str">
        <f>IFERROR(INDEX(样本到样信息汇总统计!S$2:S$500,MATCH(95,样本到样信息汇总统计!$Z$2:$Z$500,0)),"")</f>
        <v/>
      </c>
      <c r="T96" s="4" t="str">
        <f>IFERROR(INDEX(样本到样信息汇总统计!T$2:T$500,MATCH(95,样本到样信息汇总统计!$Z$2:$Z$500,0)),"")</f>
        <v/>
      </c>
      <c r="U96" s="4" t="str">
        <f>IFERROR(INDEX(样本到样信息汇总统计!U$2:U$500,MATCH(95,样本到样信息汇总统计!$Z$2:$Z$500,0)),"")</f>
        <v/>
      </c>
      <c r="V96" s="4" t="str">
        <f>IFERROR(INDEX(样本到样信息汇总统计!V$2:V$500,MATCH(95,样本到样信息汇总统计!$Z$2:$Z$500,0)),"")</f>
        <v/>
      </c>
      <c r="W96" s="4" t="str">
        <f>IFERROR(INDEX(样本到样信息汇总统计!W$2:W$500,MATCH(95,样本到样信息汇总统计!$Z$2:$Z$500,0)),"")</f>
        <v/>
      </c>
    </row>
    <row r="97" ht="14.5" spans="1:23">
      <c r="A97" s="8" t="str">
        <f>IFERROR(INDEX(样本到样信息汇总统计!A$2:A$500,MATCH(96,样本到样信息汇总统计!$Z$2:$Z$500,0)),"")</f>
        <v/>
      </c>
      <c r="B97" s="8" t="str">
        <f>IFERROR(INDEX(样本到样信息汇总统计!B$2:B$500,MATCH(96,样本到样信息汇总统计!$Z$2:$Z$500,0)),"")</f>
        <v/>
      </c>
      <c r="C97" s="8" t="str">
        <f>IFERROR(INDEX(样本到样信息汇总统计!C$2:C$500,MATCH(96,样本到样信息汇总统计!$Z$2:$Z$500,0)),"")</f>
        <v/>
      </c>
      <c r="D97" s="8" t="str">
        <f>IFERROR(INDEX(样本到样信息汇总统计!D$2:D$500,MATCH(96,样本到样信息汇总统计!$Z$2:$Z$500,0)),"")</f>
        <v/>
      </c>
      <c r="E97" s="8" t="str">
        <f>IFERROR(INDEX(样本到样信息汇总统计!E$2:E$500,MATCH(96,样本到样信息汇总统计!$Z$2:$Z$500,0)),"")</f>
        <v/>
      </c>
      <c r="F97" s="8" t="str">
        <f>IFERROR(INDEX(样本到样信息汇总统计!F$2:F$500,MATCH(96,样本到样信息汇总统计!$Z$2:$Z$500,0)),"")</f>
        <v/>
      </c>
      <c r="G97" s="8" t="str">
        <f>IFERROR(INDEX(样本到样信息汇总统计!G$2:G$500,MATCH(96,样本到样信息汇总统计!$Z$2:$Z$500,0)),"")</f>
        <v/>
      </c>
      <c r="H97" s="8" t="str">
        <f>IFERROR(INDEX(样本到样信息汇总统计!H$2:H$500,MATCH(96,样本到样信息汇总统计!$Z$2:$Z$500,0)),"")</f>
        <v/>
      </c>
      <c r="I97" s="8" t="str">
        <f>IFERROR(INDEX(样本到样信息汇总统计!I$2:I$500,MATCH(96,样本到样信息汇总统计!$Z$2:$Z$500,0)),"")</f>
        <v/>
      </c>
      <c r="J97" s="8" t="str">
        <f>IFERROR(INDEX(样本到样信息汇总统计!J$2:J$500,MATCH(96,样本到样信息汇总统计!$Z$2:$Z$500,0)),"")</f>
        <v/>
      </c>
      <c r="K97" s="8" t="str">
        <f>IFERROR(INDEX(样本到样信息汇总统计!K$2:K$500,MATCH(96,样本到样信息汇总统计!$Z$2:$Z$500,0)),"")</f>
        <v/>
      </c>
      <c r="L97" s="8" t="str">
        <f>IFERROR(INDEX(样本到样信息汇总统计!L$2:L$500,MATCH(96,样本到样信息汇总统计!$Z$2:$Z$500,0)),"")</f>
        <v/>
      </c>
      <c r="M97" s="8" t="str">
        <f>IFERROR(INDEX(样本到样信息汇总统计!M$2:M$500,MATCH(96,样本到样信息汇总统计!$Z$2:$Z$500,0)),"")</f>
        <v/>
      </c>
      <c r="N97" s="8" t="str">
        <f>IFERROR(INDEX(样本到样信息汇总统计!N$2:N$500,MATCH(96,样本到样信息汇总统计!$Z$2:$Z$500,0)),"")</f>
        <v/>
      </c>
      <c r="O97" s="8" t="str">
        <f>IFERROR(INDEX(样本到样信息汇总统计!O$2:O$500,MATCH(96,样本到样信息汇总统计!$Z$2:$Z$500,0)),"")</f>
        <v/>
      </c>
      <c r="P97" s="8" t="str">
        <f>IFERROR(INDEX(样本到样信息汇总统计!P$2:P$500,MATCH(96,样本到样信息汇总统计!$Z$2:$Z$500,0)),"")</f>
        <v/>
      </c>
      <c r="Q97" s="8" t="str">
        <f>IFERROR(INDEX(样本到样信息汇总统计!Q$2:Q$500,MATCH(96,样本到样信息汇总统计!$Z$2:$Z$500,0)),"")</f>
        <v/>
      </c>
      <c r="R97" s="8" t="str">
        <f>IFERROR(INDEX(样本到样信息汇总统计!R$2:R$500,MATCH(96,样本到样信息汇总统计!$Z$2:$Z$500,0)),"")</f>
        <v/>
      </c>
      <c r="S97" s="8" t="str">
        <f>IFERROR(INDEX(样本到样信息汇总统计!S$2:S$500,MATCH(96,样本到样信息汇总统计!$Z$2:$Z$500,0)),"")</f>
        <v/>
      </c>
      <c r="T97" s="8" t="str">
        <f>IFERROR(INDEX(样本到样信息汇总统计!T$2:T$500,MATCH(96,样本到样信息汇总统计!$Z$2:$Z$500,0)),"")</f>
        <v/>
      </c>
      <c r="U97" s="8" t="str">
        <f>IFERROR(INDEX(样本到样信息汇总统计!U$2:U$500,MATCH(96,样本到样信息汇总统计!$Z$2:$Z$500,0)),"")</f>
        <v/>
      </c>
      <c r="V97" s="8" t="str">
        <f>IFERROR(INDEX(样本到样信息汇总统计!V$2:V$500,MATCH(96,样本到样信息汇总统计!$Z$2:$Z$500,0)),"")</f>
        <v/>
      </c>
      <c r="W97" s="8" t="str">
        <f>IFERROR(INDEX(样本到样信息汇总统计!W$2:W$500,MATCH(96,样本到样信息汇总统计!$Z$2:$Z$500,0)),"")</f>
        <v/>
      </c>
    </row>
    <row r="98" ht="14.5" spans="1:23">
      <c r="A98" s="4" t="str">
        <f>IFERROR(INDEX(样本到样信息汇总统计!A$2:A$500,MATCH(97,样本到样信息汇总统计!$Z$2:$Z$500,0)),"")</f>
        <v/>
      </c>
      <c r="B98" s="4" t="str">
        <f>IFERROR(INDEX(样本到样信息汇总统计!B$2:B$500,MATCH(97,样本到样信息汇总统计!$Z$2:$Z$500,0)),"")</f>
        <v/>
      </c>
      <c r="C98" s="4" t="str">
        <f>IFERROR(INDEX(样本到样信息汇总统计!C$2:C$500,MATCH(97,样本到样信息汇总统计!$Z$2:$Z$500,0)),"")</f>
        <v/>
      </c>
      <c r="D98" s="4" t="str">
        <f>IFERROR(INDEX(样本到样信息汇总统计!D$2:D$500,MATCH(97,样本到样信息汇总统计!$Z$2:$Z$500,0)),"")</f>
        <v/>
      </c>
      <c r="E98" s="4" t="str">
        <f>IFERROR(INDEX(样本到样信息汇总统计!E$2:E$500,MATCH(97,样本到样信息汇总统计!$Z$2:$Z$500,0)),"")</f>
        <v/>
      </c>
      <c r="F98" s="4" t="str">
        <f>IFERROR(INDEX(样本到样信息汇总统计!F$2:F$500,MATCH(97,样本到样信息汇总统计!$Z$2:$Z$500,0)),"")</f>
        <v/>
      </c>
      <c r="G98" s="4" t="str">
        <f>IFERROR(INDEX(样本到样信息汇总统计!G$2:G$500,MATCH(97,样本到样信息汇总统计!$Z$2:$Z$500,0)),"")</f>
        <v/>
      </c>
      <c r="H98" s="4" t="str">
        <f>IFERROR(INDEX(样本到样信息汇总统计!H$2:H$500,MATCH(97,样本到样信息汇总统计!$Z$2:$Z$500,0)),"")</f>
        <v/>
      </c>
      <c r="I98" s="4" t="str">
        <f>IFERROR(INDEX(样本到样信息汇总统计!I$2:I$500,MATCH(97,样本到样信息汇总统计!$Z$2:$Z$500,0)),"")</f>
        <v/>
      </c>
      <c r="J98" s="4" t="str">
        <f>IFERROR(INDEX(样本到样信息汇总统计!J$2:J$500,MATCH(97,样本到样信息汇总统计!$Z$2:$Z$500,0)),"")</f>
        <v/>
      </c>
      <c r="K98" s="4" t="str">
        <f>IFERROR(INDEX(样本到样信息汇总统计!K$2:K$500,MATCH(97,样本到样信息汇总统计!$Z$2:$Z$500,0)),"")</f>
        <v/>
      </c>
      <c r="L98" s="4" t="str">
        <f>IFERROR(INDEX(样本到样信息汇总统计!L$2:L$500,MATCH(97,样本到样信息汇总统计!$Z$2:$Z$500,0)),"")</f>
        <v/>
      </c>
      <c r="M98" s="4" t="str">
        <f>IFERROR(INDEX(样本到样信息汇总统计!M$2:M$500,MATCH(97,样本到样信息汇总统计!$Z$2:$Z$500,0)),"")</f>
        <v/>
      </c>
      <c r="N98" s="4" t="str">
        <f>IFERROR(INDEX(样本到样信息汇总统计!N$2:N$500,MATCH(97,样本到样信息汇总统计!$Z$2:$Z$500,0)),"")</f>
        <v/>
      </c>
      <c r="O98" s="4" t="str">
        <f>IFERROR(INDEX(样本到样信息汇总统计!O$2:O$500,MATCH(97,样本到样信息汇总统计!$Z$2:$Z$500,0)),"")</f>
        <v/>
      </c>
      <c r="P98" s="4" t="str">
        <f>IFERROR(INDEX(样本到样信息汇总统计!P$2:P$500,MATCH(97,样本到样信息汇总统计!$Z$2:$Z$500,0)),"")</f>
        <v/>
      </c>
      <c r="Q98" s="4" t="str">
        <f>IFERROR(INDEX(样本到样信息汇总统计!Q$2:Q$500,MATCH(97,样本到样信息汇总统计!$Z$2:$Z$500,0)),"")</f>
        <v/>
      </c>
      <c r="R98" s="4" t="str">
        <f>IFERROR(INDEX(样本到样信息汇总统计!R$2:R$500,MATCH(97,样本到样信息汇总统计!$Z$2:$Z$500,0)),"")</f>
        <v/>
      </c>
      <c r="S98" s="4" t="str">
        <f>IFERROR(INDEX(样本到样信息汇总统计!S$2:S$500,MATCH(97,样本到样信息汇总统计!$Z$2:$Z$500,0)),"")</f>
        <v/>
      </c>
      <c r="T98" s="4" t="str">
        <f>IFERROR(INDEX(样本到样信息汇总统计!T$2:T$500,MATCH(97,样本到样信息汇总统计!$Z$2:$Z$500,0)),"")</f>
        <v/>
      </c>
      <c r="U98" s="4" t="str">
        <f>IFERROR(INDEX(样本到样信息汇总统计!U$2:U$500,MATCH(97,样本到样信息汇总统计!$Z$2:$Z$500,0)),"")</f>
        <v/>
      </c>
      <c r="V98" s="4" t="str">
        <f>IFERROR(INDEX(样本到样信息汇总统计!V$2:V$500,MATCH(97,样本到样信息汇总统计!$Z$2:$Z$500,0)),"")</f>
        <v/>
      </c>
      <c r="W98" s="4" t="str">
        <f>IFERROR(INDEX(样本到样信息汇总统计!W$2:W$500,MATCH(97,样本到样信息汇总统计!$Z$2:$Z$500,0)),"")</f>
        <v/>
      </c>
    </row>
    <row r="99" ht="14.5" spans="1:23">
      <c r="A99" s="8" t="str">
        <f>IFERROR(INDEX(样本到样信息汇总统计!A$2:A$500,MATCH(98,样本到样信息汇总统计!$Z$2:$Z$500,0)),"")</f>
        <v/>
      </c>
      <c r="B99" s="8" t="str">
        <f>IFERROR(INDEX(样本到样信息汇总统计!B$2:B$500,MATCH(98,样本到样信息汇总统计!$Z$2:$Z$500,0)),"")</f>
        <v/>
      </c>
      <c r="C99" s="8" t="str">
        <f>IFERROR(INDEX(样本到样信息汇总统计!C$2:C$500,MATCH(98,样本到样信息汇总统计!$Z$2:$Z$500,0)),"")</f>
        <v/>
      </c>
      <c r="D99" s="8" t="str">
        <f>IFERROR(INDEX(样本到样信息汇总统计!D$2:D$500,MATCH(98,样本到样信息汇总统计!$Z$2:$Z$500,0)),"")</f>
        <v/>
      </c>
      <c r="E99" s="8" t="str">
        <f>IFERROR(INDEX(样本到样信息汇总统计!E$2:E$500,MATCH(98,样本到样信息汇总统计!$Z$2:$Z$500,0)),"")</f>
        <v/>
      </c>
      <c r="F99" s="8" t="str">
        <f>IFERROR(INDEX(样本到样信息汇总统计!F$2:F$500,MATCH(98,样本到样信息汇总统计!$Z$2:$Z$500,0)),"")</f>
        <v/>
      </c>
      <c r="G99" s="8" t="str">
        <f>IFERROR(INDEX(样本到样信息汇总统计!G$2:G$500,MATCH(98,样本到样信息汇总统计!$Z$2:$Z$500,0)),"")</f>
        <v/>
      </c>
      <c r="H99" s="8" t="str">
        <f>IFERROR(INDEX(样本到样信息汇总统计!H$2:H$500,MATCH(98,样本到样信息汇总统计!$Z$2:$Z$500,0)),"")</f>
        <v/>
      </c>
      <c r="I99" s="8" t="str">
        <f>IFERROR(INDEX(样本到样信息汇总统计!I$2:I$500,MATCH(98,样本到样信息汇总统计!$Z$2:$Z$500,0)),"")</f>
        <v/>
      </c>
      <c r="J99" s="8" t="str">
        <f>IFERROR(INDEX(样本到样信息汇总统计!J$2:J$500,MATCH(98,样本到样信息汇总统计!$Z$2:$Z$500,0)),"")</f>
        <v/>
      </c>
      <c r="K99" s="8" t="str">
        <f>IFERROR(INDEX(样本到样信息汇总统计!K$2:K$500,MATCH(98,样本到样信息汇总统计!$Z$2:$Z$500,0)),"")</f>
        <v/>
      </c>
      <c r="L99" s="8" t="str">
        <f>IFERROR(INDEX(样本到样信息汇总统计!L$2:L$500,MATCH(98,样本到样信息汇总统计!$Z$2:$Z$500,0)),"")</f>
        <v/>
      </c>
      <c r="M99" s="8" t="str">
        <f>IFERROR(INDEX(样本到样信息汇总统计!M$2:M$500,MATCH(98,样本到样信息汇总统计!$Z$2:$Z$500,0)),"")</f>
        <v/>
      </c>
      <c r="N99" s="8" t="str">
        <f>IFERROR(INDEX(样本到样信息汇总统计!N$2:N$500,MATCH(98,样本到样信息汇总统计!$Z$2:$Z$500,0)),"")</f>
        <v/>
      </c>
      <c r="O99" s="8" t="str">
        <f>IFERROR(INDEX(样本到样信息汇总统计!O$2:O$500,MATCH(98,样本到样信息汇总统计!$Z$2:$Z$500,0)),"")</f>
        <v/>
      </c>
      <c r="P99" s="8" t="str">
        <f>IFERROR(INDEX(样本到样信息汇总统计!P$2:P$500,MATCH(98,样本到样信息汇总统计!$Z$2:$Z$500,0)),"")</f>
        <v/>
      </c>
      <c r="Q99" s="8" t="str">
        <f>IFERROR(INDEX(样本到样信息汇总统计!Q$2:Q$500,MATCH(98,样本到样信息汇总统计!$Z$2:$Z$500,0)),"")</f>
        <v/>
      </c>
      <c r="R99" s="8" t="str">
        <f>IFERROR(INDEX(样本到样信息汇总统计!R$2:R$500,MATCH(98,样本到样信息汇总统计!$Z$2:$Z$500,0)),"")</f>
        <v/>
      </c>
      <c r="S99" s="8" t="str">
        <f>IFERROR(INDEX(样本到样信息汇总统计!S$2:S$500,MATCH(98,样本到样信息汇总统计!$Z$2:$Z$500,0)),"")</f>
        <v/>
      </c>
      <c r="T99" s="8" t="str">
        <f>IFERROR(INDEX(样本到样信息汇总统计!T$2:T$500,MATCH(98,样本到样信息汇总统计!$Z$2:$Z$500,0)),"")</f>
        <v/>
      </c>
      <c r="U99" s="8" t="str">
        <f>IFERROR(INDEX(样本到样信息汇总统计!U$2:U$500,MATCH(98,样本到样信息汇总统计!$Z$2:$Z$500,0)),"")</f>
        <v/>
      </c>
      <c r="V99" s="8" t="str">
        <f>IFERROR(INDEX(样本到样信息汇总统计!V$2:V$500,MATCH(98,样本到样信息汇总统计!$Z$2:$Z$500,0)),"")</f>
        <v/>
      </c>
      <c r="W99" s="8" t="str">
        <f>IFERROR(INDEX(样本到样信息汇总统计!W$2:W$500,MATCH(98,样本到样信息汇总统计!$Z$2:$Z$500,0)),"")</f>
        <v/>
      </c>
    </row>
    <row r="100" ht="14.5" spans="1:23">
      <c r="A100" s="4" t="str">
        <f>IFERROR(INDEX(样本到样信息汇总统计!A$2:A$500,MATCH(99,样本到样信息汇总统计!$Z$2:$Z$500,0)),"")</f>
        <v/>
      </c>
      <c r="B100" s="4" t="str">
        <f>IFERROR(INDEX(样本到样信息汇总统计!B$2:B$500,MATCH(99,样本到样信息汇总统计!$Z$2:$Z$500,0)),"")</f>
        <v/>
      </c>
      <c r="C100" s="4" t="str">
        <f>IFERROR(INDEX(样本到样信息汇总统计!C$2:C$500,MATCH(99,样本到样信息汇总统计!$Z$2:$Z$500,0)),"")</f>
        <v/>
      </c>
      <c r="D100" s="4" t="str">
        <f>IFERROR(INDEX(样本到样信息汇总统计!D$2:D$500,MATCH(99,样本到样信息汇总统计!$Z$2:$Z$500,0)),"")</f>
        <v/>
      </c>
      <c r="E100" s="4" t="str">
        <f>IFERROR(INDEX(样本到样信息汇总统计!E$2:E$500,MATCH(99,样本到样信息汇总统计!$Z$2:$Z$500,0)),"")</f>
        <v/>
      </c>
      <c r="F100" s="4" t="str">
        <f>IFERROR(INDEX(样本到样信息汇总统计!F$2:F$500,MATCH(99,样本到样信息汇总统计!$Z$2:$Z$500,0)),"")</f>
        <v/>
      </c>
      <c r="G100" s="4" t="str">
        <f>IFERROR(INDEX(样本到样信息汇总统计!G$2:G$500,MATCH(99,样本到样信息汇总统计!$Z$2:$Z$500,0)),"")</f>
        <v/>
      </c>
      <c r="H100" s="4" t="str">
        <f>IFERROR(INDEX(样本到样信息汇总统计!H$2:H$500,MATCH(99,样本到样信息汇总统计!$Z$2:$Z$500,0)),"")</f>
        <v/>
      </c>
      <c r="I100" s="4" t="str">
        <f>IFERROR(INDEX(样本到样信息汇总统计!I$2:I$500,MATCH(99,样本到样信息汇总统计!$Z$2:$Z$500,0)),"")</f>
        <v/>
      </c>
      <c r="J100" s="4" t="str">
        <f>IFERROR(INDEX(样本到样信息汇总统计!J$2:J$500,MATCH(99,样本到样信息汇总统计!$Z$2:$Z$500,0)),"")</f>
        <v/>
      </c>
      <c r="K100" s="4" t="str">
        <f>IFERROR(INDEX(样本到样信息汇总统计!K$2:K$500,MATCH(99,样本到样信息汇总统计!$Z$2:$Z$500,0)),"")</f>
        <v/>
      </c>
      <c r="L100" s="4" t="str">
        <f>IFERROR(INDEX(样本到样信息汇总统计!L$2:L$500,MATCH(99,样本到样信息汇总统计!$Z$2:$Z$500,0)),"")</f>
        <v/>
      </c>
      <c r="M100" s="4" t="str">
        <f>IFERROR(INDEX(样本到样信息汇总统计!M$2:M$500,MATCH(99,样本到样信息汇总统计!$Z$2:$Z$500,0)),"")</f>
        <v/>
      </c>
      <c r="N100" s="4" t="str">
        <f>IFERROR(INDEX(样本到样信息汇总统计!N$2:N$500,MATCH(99,样本到样信息汇总统计!$Z$2:$Z$500,0)),"")</f>
        <v/>
      </c>
      <c r="O100" s="4" t="str">
        <f>IFERROR(INDEX(样本到样信息汇总统计!O$2:O$500,MATCH(99,样本到样信息汇总统计!$Z$2:$Z$500,0)),"")</f>
        <v/>
      </c>
      <c r="P100" s="4" t="str">
        <f>IFERROR(INDEX(样本到样信息汇总统计!P$2:P$500,MATCH(99,样本到样信息汇总统计!$Z$2:$Z$500,0)),"")</f>
        <v/>
      </c>
      <c r="Q100" s="4" t="str">
        <f>IFERROR(INDEX(样本到样信息汇总统计!Q$2:Q$500,MATCH(99,样本到样信息汇总统计!$Z$2:$Z$500,0)),"")</f>
        <v/>
      </c>
      <c r="R100" s="4" t="str">
        <f>IFERROR(INDEX(样本到样信息汇总统计!R$2:R$500,MATCH(99,样本到样信息汇总统计!$Z$2:$Z$500,0)),"")</f>
        <v/>
      </c>
      <c r="S100" s="4" t="str">
        <f>IFERROR(INDEX(样本到样信息汇总统计!S$2:S$500,MATCH(99,样本到样信息汇总统计!$Z$2:$Z$500,0)),"")</f>
        <v/>
      </c>
      <c r="T100" s="4" t="str">
        <f>IFERROR(INDEX(样本到样信息汇总统计!T$2:T$500,MATCH(99,样本到样信息汇总统计!$Z$2:$Z$500,0)),"")</f>
        <v/>
      </c>
      <c r="U100" s="4" t="str">
        <f>IFERROR(INDEX(样本到样信息汇总统计!U$2:U$500,MATCH(99,样本到样信息汇总统计!$Z$2:$Z$500,0)),"")</f>
        <v/>
      </c>
      <c r="V100" s="4" t="str">
        <f>IFERROR(INDEX(样本到样信息汇总统计!V$2:V$500,MATCH(99,样本到样信息汇总统计!$Z$2:$Z$500,0)),"")</f>
        <v/>
      </c>
      <c r="W100" s="4" t="str">
        <f>IFERROR(INDEX(样本到样信息汇总统计!W$2:W$500,MATCH(99,样本到样信息汇总统计!$Z$2:$Z$500,0)),"")</f>
        <v/>
      </c>
    </row>
    <row r="101" ht="14.5" spans="1:23">
      <c r="A101" s="8" t="str">
        <f>IFERROR(INDEX(样本到样信息汇总统计!A$2:A$500,MATCH(100,样本到样信息汇总统计!$Z$2:$Z$500,0)),"")</f>
        <v/>
      </c>
      <c r="B101" s="8" t="str">
        <f>IFERROR(INDEX(样本到样信息汇总统计!B$2:B$500,MATCH(100,样本到样信息汇总统计!$Z$2:$Z$500,0)),"")</f>
        <v/>
      </c>
      <c r="C101" s="8" t="str">
        <f>IFERROR(INDEX(样本到样信息汇总统计!C$2:C$500,MATCH(100,样本到样信息汇总统计!$Z$2:$Z$500,0)),"")</f>
        <v/>
      </c>
      <c r="D101" s="8" t="str">
        <f>IFERROR(INDEX(样本到样信息汇总统计!D$2:D$500,MATCH(100,样本到样信息汇总统计!$Z$2:$Z$500,0)),"")</f>
        <v/>
      </c>
      <c r="E101" s="8" t="str">
        <f>IFERROR(INDEX(样本到样信息汇总统计!E$2:E$500,MATCH(100,样本到样信息汇总统计!$Z$2:$Z$500,0)),"")</f>
        <v/>
      </c>
      <c r="F101" s="8" t="str">
        <f>IFERROR(INDEX(样本到样信息汇总统计!F$2:F$500,MATCH(100,样本到样信息汇总统计!$Z$2:$Z$500,0)),"")</f>
        <v/>
      </c>
      <c r="G101" s="8" t="str">
        <f>IFERROR(INDEX(样本到样信息汇总统计!G$2:G$500,MATCH(100,样本到样信息汇总统计!$Z$2:$Z$500,0)),"")</f>
        <v/>
      </c>
      <c r="H101" s="8" t="str">
        <f>IFERROR(INDEX(样本到样信息汇总统计!H$2:H$500,MATCH(100,样本到样信息汇总统计!$Z$2:$Z$500,0)),"")</f>
        <v/>
      </c>
      <c r="I101" s="8" t="str">
        <f>IFERROR(INDEX(样本到样信息汇总统计!I$2:I$500,MATCH(100,样本到样信息汇总统计!$Z$2:$Z$500,0)),"")</f>
        <v/>
      </c>
      <c r="J101" s="8" t="str">
        <f>IFERROR(INDEX(样本到样信息汇总统计!J$2:J$500,MATCH(100,样本到样信息汇总统计!$Z$2:$Z$500,0)),"")</f>
        <v/>
      </c>
      <c r="K101" s="8" t="str">
        <f>IFERROR(INDEX(样本到样信息汇总统计!K$2:K$500,MATCH(100,样本到样信息汇总统计!$Z$2:$Z$500,0)),"")</f>
        <v/>
      </c>
      <c r="L101" s="8" t="str">
        <f>IFERROR(INDEX(样本到样信息汇总统计!L$2:L$500,MATCH(100,样本到样信息汇总统计!$Z$2:$Z$500,0)),"")</f>
        <v/>
      </c>
      <c r="M101" s="8" t="str">
        <f>IFERROR(INDEX(样本到样信息汇总统计!M$2:M$500,MATCH(100,样本到样信息汇总统计!$Z$2:$Z$500,0)),"")</f>
        <v/>
      </c>
      <c r="N101" s="8" t="str">
        <f>IFERROR(INDEX(样本到样信息汇总统计!N$2:N$500,MATCH(100,样本到样信息汇总统计!$Z$2:$Z$500,0)),"")</f>
        <v/>
      </c>
      <c r="O101" s="8" t="str">
        <f>IFERROR(INDEX(样本到样信息汇总统计!O$2:O$500,MATCH(100,样本到样信息汇总统计!$Z$2:$Z$500,0)),"")</f>
        <v/>
      </c>
      <c r="P101" s="8" t="str">
        <f>IFERROR(INDEX(样本到样信息汇总统计!P$2:P$500,MATCH(100,样本到样信息汇总统计!$Z$2:$Z$500,0)),"")</f>
        <v/>
      </c>
      <c r="Q101" s="8" t="str">
        <f>IFERROR(INDEX(样本到样信息汇总统计!Q$2:Q$500,MATCH(100,样本到样信息汇总统计!$Z$2:$Z$500,0)),"")</f>
        <v/>
      </c>
      <c r="R101" s="8" t="str">
        <f>IFERROR(INDEX(样本到样信息汇总统计!R$2:R$500,MATCH(100,样本到样信息汇总统计!$Z$2:$Z$500,0)),"")</f>
        <v/>
      </c>
      <c r="S101" s="8" t="str">
        <f>IFERROR(INDEX(样本到样信息汇总统计!S$2:S$500,MATCH(100,样本到样信息汇总统计!$Z$2:$Z$500,0)),"")</f>
        <v/>
      </c>
      <c r="T101" s="8" t="str">
        <f>IFERROR(INDEX(样本到样信息汇总统计!T$2:T$500,MATCH(100,样本到样信息汇总统计!$Z$2:$Z$500,0)),"")</f>
        <v/>
      </c>
      <c r="U101" s="8" t="str">
        <f>IFERROR(INDEX(样本到样信息汇总统计!U$2:U$500,MATCH(100,样本到样信息汇总统计!$Z$2:$Z$500,0)),"")</f>
        <v/>
      </c>
      <c r="V101" s="8" t="str">
        <f>IFERROR(INDEX(样本到样信息汇总统计!V$2:V$500,MATCH(100,样本到样信息汇总统计!$Z$2:$Z$500,0)),"")</f>
        <v/>
      </c>
      <c r="W101" s="8" t="str">
        <f>IFERROR(INDEX(样本到样信息汇总统计!W$2:W$500,MATCH(100,样本到样信息汇总统计!$Z$2:$Z$500,0)),"")</f>
        <v/>
      </c>
    </row>
    <row r="102" ht="14.5" spans="1:23">
      <c r="A102" s="4" t="str">
        <f>IFERROR(INDEX(样本到样信息汇总统计!A$2:A$500,MATCH(101,样本到样信息汇总统计!$Z$2:$Z$500,0)),"")</f>
        <v/>
      </c>
      <c r="B102" s="4" t="str">
        <f>IFERROR(INDEX(样本到样信息汇总统计!B$2:B$500,MATCH(101,样本到样信息汇总统计!$Z$2:$Z$500,0)),"")</f>
        <v/>
      </c>
      <c r="C102" s="4" t="str">
        <f>IFERROR(INDEX(样本到样信息汇总统计!C$2:C$500,MATCH(101,样本到样信息汇总统计!$Z$2:$Z$500,0)),"")</f>
        <v/>
      </c>
      <c r="D102" s="4" t="str">
        <f>IFERROR(INDEX(样本到样信息汇总统计!D$2:D$500,MATCH(101,样本到样信息汇总统计!$Z$2:$Z$500,0)),"")</f>
        <v/>
      </c>
      <c r="E102" s="4" t="str">
        <f>IFERROR(INDEX(样本到样信息汇总统计!E$2:E$500,MATCH(101,样本到样信息汇总统计!$Z$2:$Z$500,0)),"")</f>
        <v/>
      </c>
      <c r="F102" s="4" t="str">
        <f>IFERROR(INDEX(样本到样信息汇总统计!F$2:F$500,MATCH(101,样本到样信息汇总统计!$Z$2:$Z$500,0)),"")</f>
        <v/>
      </c>
      <c r="G102" s="4" t="str">
        <f>IFERROR(INDEX(样本到样信息汇总统计!G$2:G$500,MATCH(101,样本到样信息汇总统计!$Z$2:$Z$500,0)),"")</f>
        <v/>
      </c>
      <c r="H102" s="4" t="str">
        <f>IFERROR(INDEX(样本到样信息汇总统计!H$2:H$500,MATCH(101,样本到样信息汇总统计!$Z$2:$Z$500,0)),"")</f>
        <v/>
      </c>
      <c r="I102" s="4" t="str">
        <f>IFERROR(INDEX(样本到样信息汇总统计!I$2:I$500,MATCH(101,样本到样信息汇总统计!$Z$2:$Z$500,0)),"")</f>
        <v/>
      </c>
      <c r="J102" s="4" t="str">
        <f>IFERROR(INDEX(样本到样信息汇总统计!J$2:J$500,MATCH(101,样本到样信息汇总统计!$Z$2:$Z$500,0)),"")</f>
        <v/>
      </c>
      <c r="K102" s="4" t="str">
        <f>IFERROR(INDEX(样本到样信息汇总统计!K$2:K$500,MATCH(101,样本到样信息汇总统计!$Z$2:$Z$500,0)),"")</f>
        <v/>
      </c>
      <c r="L102" s="4" t="str">
        <f>IFERROR(INDEX(样本到样信息汇总统计!L$2:L$500,MATCH(101,样本到样信息汇总统计!$Z$2:$Z$500,0)),"")</f>
        <v/>
      </c>
      <c r="M102" s="4" t="str">
        <f>IFERROR(INDEX(样本到样信息汇总统计!M$2:M$500,MATCH(101,样本到样信息汇总统计!$Z$2:$Z$500,0)),"")</f>
        <v/>
      </c>
      <c r="N102" s="4" t="str">
        <f>IFERROR(INDEX(样本到样信息汇总统计!N$2:N$500,MATCH(101,样本到样信息汇总统计!$Z$2:$Z$500,0)),"")</f>
        <v/>
      </c>
      <c r="O102" s="4" t="str">
        <f>IFERROR(INDEX(样本到样信息汇总统计!O$2:O$500,MATCH(101,样本到样信息汇总统计!$Z$2:$Z$500,0)),"")</f>
        <v/>
      </c>
      <c r="P102" s="4" t="str">
        <f>IFERROR(INDEX(样本到样信息汇总统计!P$2:P$500,MATCH(101,样本到样信息汇总统计!$Z$2:$Z$500,0)),"")</f>
        <v/>
      </c>
      <c r="Q102" s="4" t="str">
        <f>IFERROR(INDEX(样本到样信息汇总统计!Q$2:Q$500,MATCH(101,样本到样信息汇总统计!$Z$2:$Z$500,0)),"")</f>
        <v/>
      </c>
      <c r="R102" s="4" t="str">
        <f>IFERROR(INDEX(样本到样信息汇总统计!R$2:R$500,MATCH(101,样本到样信息汇总统计!$Z$2:$Z$500,0)),"")</f>
        <v/>
      </c>
      <c r="S102" s="4" t="str">
        <f>IFERROR(INDEX(样本到样信息汇总统计!S$2:S$500,MATCH(101,样本到样信息汇总统计!$Z$2:$Z$500,0)),"")</f>
        <v/>
      </c>
      <c r="T102" s="4" t="str">
        <f>IFERROR(INDEX(样本到样信息汇总统计!T$2:T$500,MATCH(101,样本到样信息汇总统计!$Z$2:$Z$500,0)),"")</f>
        <v/>
      </c>
      <c r="U102" s="4" t="str">
        <f>IFERROR(INDEX(样本到样信息汇总统计!U$2:U$500,MATCH(101,样本到样信息汇总统计!$Z$2:$Z$500,0)),"")</f>
        <v/>
      </c>
      <c r="V102" s="4" t="str">
        <f>IFERROR(INDEX(样本到样信息汇总统计!V$2:V$500,MATCH(101,样本到样信息汇总统计!$Z$2:$Z$500,0)),"")</f>
        <v/>
      </c>
      <c r="W102" s="4" t="str">
        <f>IFERROR(INDEX(样本到样信息汇总统计!W$2:W$500,MATCH(101,样本到样信息汇总统计!$Z$2:$Z$500,0)),"")</f>
        <v/>
      </c>
    </row>
    <row r="103" ht="14.5" spans="1:23">
      <c r="A103" s="8" t="str">
        <f>IFERROR(INDEX(样本到样信息汇总统计!A$2:A$500,MATCH(102,样本到样信息汇总统计!$Z$2:$Z$500,0)),"")</f>
        <v/>
      </c>
      <c r="B103" s="8" t="str">
        <f>IFERROR(INDEX(样本到样信息汇总统计!B$2:B$500,MATCH(102,样本到样信息汇总统计!$Z$2:$Z$500,0)),"")</f>
        <v/>
      </c>
      <c r="C103" s="8" t="str">
        <f>IFERROR(INDEX(样本到样信息汇总统计!C$2:C$500,MATCH(102,样本到样信息汇总统计!$Z$2:$Z$500,0)),"")</f>
        <v/>
      </c>
      <c r="D103" s="8" t="str">
        <f>IFERROR(INDEX(样本到样信息汇总统计!D$2:D$500,MATCH(102,样本到样信息汇总统计!$Z$2:$Z$500,0)),"")</f>
        <v/>
      </c>
      <c r="E103" s="8" t="str">
        <f>IFERROR(INDEX(样本到样信息汇总统计!E$2:E$500,MATCH(102,样本到样信息汇总统计!$Z$2:$Z$500,0)),"")</f>
        <v/>
      </c>
      <c r="F103" s="8" t="str">
        <f>IFERROR(INDEX(样本到样信息汇总统计!F$2:F$500,MATCH(102,样本到样信息汇总统计!$Z$2:$Z$500,0)),"")</f>
        <v/>
      </c>
      <c r="G103" s="8" t="str">
        <f>IFERROR(INDEX(样本到样信息汇总统计!G$2:G$500,MATCH(102,样本到样信息汇总统计!$Z$2:$Z$500,0)),"")</f>
        <v/>
      </c>
      <c r="H103" s="8" t="str">
        <f>IFERROR(INDEX(样本到样信息汇总统计!H$2:H$500,MATCH(102,样本到样信息汇总统计!$Z$2:$Z$500,0)),"")</f>
        <v/>
      </c>
      <c r="I103" s="8" t="str">
        <f>IFERROR(INDEX(样本到样信息汇总统计!I$2:I$500,MATCH(102,样本到样信息汇总统计!$Z$2:$Z$500,0)),"")</f>
        <v/>
      </c>
      <c r="J103" s="8" t="str">
        <f>IFERROR(INDEX(样本到样信息汇总统计!J$2:J$500,MATCH(102,样本到样信息汇总统计!$Z$2:$Z$500,0)),"")</f>
        <v/>
      </c>
      <c r="K103" s="8" t="str">
        <f>IFERROR(INDEX(样本到样信息汇总统计!K$2:K$500,MATCH(102,样本到样信息汇总统计!$Z$2:$Z$500,0)),"")</f>
        <v/>
      </c>
      <c r="L103" s="8" t="str">
        <f>IFERROR(INDEX(样本到样信息汇总统计!L$2:L$500,MATCH(102,样本到样信息汇总统计!$Z$2:$Z$500,0)),"")</f>
        <v/>
      </c>
      <c r="M103" s="8" t="str">
        <f>IFERROR(INDEX(样本到样信息汇总统计!M$2:M$500,MATCH(102,样本到样信息汇总统计!$Z$2:$Z$500,0)),"")</f>
        <v/>
      </c>
      <c r="N103" s="8" t="str">
        <f>IFERROR(INDEX(样本到样信息汇总统计!N$2:N$500,MATCH(102,样本到样信息汇总统计!$Z$2:$Z$500,0)),"")</f>
        <v/>
      </c>
      <c r="O103" s="8" t="str">
        <f>IFERROR(INDEX(样本到样信息汇总统计!O$2:O$500,MATCH(102,样本到样信息汇总统计!$Z$2:$Z$500,0)),"")</f>
        <v/>
      </c>
      <c r="P103" s="8" t="str">
        <f>IFERROR(INDEX(样本到样信息汇总统计!P$2:P$500,MATCH(102,样本到样信息汇总统计!$Z$2:$Z$500,0)),"")</f>
        <v/>
      </c>
      <c r="Q103" s="8" t="str">
        <f>IFERROR(INDEX(样本到样信息汇总统计!Q$2:Q$500,MATCH(102,样本到样信息汇总统计!$Z$2:$Z$500,0)),"")</f>
        <v/>
      </c>
      <c r="R103" s="8" t="str">
        <f>IFERROR(INDEX(样本到样信息汇总统计!R$2:R$500,MATCH(102,样本到样信息汇总统计!$Z$2:$Z$500,0)),"")</f>
        <v/>
      </c>
      <c r="S103" s="8" t="str">
        <f>IFERROR(INDEX(样本到样信息汇总统计!S$2:S$500,MATCH(102,样本到样信息汇总统计!$Z$2:$Z$500,0)),"")</f>
        <v/>
      </c>
      <c r="T103" s="8" t="str">
        <f>IFERROR(INDEX(样本到样信息汇总统计!T$2:T$500,MATCH(102,样本到样信息汇总统计!$Z$2:$Z$500,0)),"")</f>
        <v/>
      </c>
      <c r="U103" s="8" t="str">
        <f>IFERROR(INDEX(样本到样信息汇总统计!U$2:U$500,MATCH(102,样本到样信息汇总统计!$Z$2:$Z$500,0)),"")</f>
        <v/>
      </c>
      <c r="V103" s="8" t="str">
        <f>IFERROR(INDEX(样本到样信息汇总统计!V$2:V$500,MATCH(102,样本到样信息汇总统计!$Z$2:$Z$500,0)),"")</f>
        <v/>
      </c>
      <c r="W103" s="8" t="str">
        <f>IFERROR(INDEX(样本到样信息汇总统计!W$2:W$500,MATCH(102,样本到样信息汇总统计!$Z$2:$Z$500,0)),"")</f>
        <v/>
      </c>
    </row>
    <row r="104" ht="14.5" spans="1:23">
      <c r="A104" s="4" t="str">
        <f>IFERROR(INDEX(样本到样信息汇总统计!A$2:A$500,MATCH(103,样本到样信息汇总统计!$Z$2:$Z$500,0)),"")</f>
        <v/>
      </c>
      <c r="B104" s="4" t="str">
        <f>IFERROR(INDEX(样本到样信息汇总统计!B$2:B$500,MATCH(103,样本到样信息汇总统计!$Z$2:$Z$500,0)),"")</f>
        <v/>
      </c>
      <c r="C104" s="4" t="str">
        <f>IFERROR(INDEX(样本到样信息汇总统计!C$2:C$500,MATCH(103,样本到样信息汇总统计!$Z$2:$Z$500,0)),"")</f>
        <v/>
      </c>
      <c r="D104" s="4" t="str">
        <f>IFERROR(INDEX(样本到样信息汇总统计!D$2:D$500,MATCH(103,样本到样信息汇总统计!$Z$2:$Z$500,0)),"")</f>
        <v/>
      </c>
      <c r="E104" s="4" t="str">
        <f>IFERROR(INDEX(样本到样信息汇总统计!E$2:E$500,MATCH(103,样本到样信息汇总统计!$Z$2:$Z$500,0)),"")</f>
        <v/>
      </c>
      <c r="F104" s="4" t="str">
        <f>IFERROR(INDEX(样本到样信息汇总统计!F$2:F$500,MATCH(103,样本到样信息汇总统计!$Z$2:$Z$500,0)),"")</f>
        <v/>
      </c>
      <c r="G104" s="4" t="str">
        <f>IFERROR(INDEX(样本到样信息汇总统计!G$2:G$500,MATCH(103,样本到样信息汇总统计!$Z$2:$Z$500,0)),"")</f>
        <v/>
      </c>
      <c r="H104" s="4" t="str">
        <f>IFERROR(INDEX(样本到样信息汇总统计!H$2:H$500,MATCH(103,样本到样信息汇总统计!$Z$2:$Z$500,0)),"")</f>
        <v/>
      </c>
      <c r="I104" s="4" t="str">
        <f>IFERROR(INDEX(样本到样信息汇总统计!I$2:I$500,MATCH(103,样本到样信息汇总统计!$Z$2:$Z$500,0)),"")</f>
        <v/>
      </c>
      <c r="J104" s="4" t="str">
        <f>IFERROR(INDEX(样本到样信息汇总统计!J$2:J$500,MATCH(103,样本到样信息汇总统计!$Z$2:$Z$500,0)),"")</f>
        <v/>
      </c>
      <c r="K104" s="4" t="str">
        <f>IFERROR(INDEX(样本到样信息汇总统计!K$2:K$500,MATCH(103,样本到样信息汇总统计!$Z$2:$Z$500,0)),"")</f>
        <v/>
      </c>
      <c r="L104" s="4" t="str">
        <f>IFERROR(INDEX(样本到样信息汇总统计!L$2:L$500,MATCH(103,样本到样信息汇总统计!$Z$2:$Z$500,0)),"")</f>
        <v/>
      </c>
      <c r="M104" s="4" t="str">
        <f>IFERROR(INDEX(样本到样信息汇总统计!M$2:M$500,MATCH(103,样本到样信息汇总统计!$Z$2:$Z$500,0)),"")</f>
        <v/>
      </c>
      <c r="N104" s="4" t="str">
        <f>IFERROR(INDEX(样本到样信息汇总统计!N$2:N$500,MATCH(103,样本到样信息汇总统计!$Z$2:$Z$500,0)),"")</f>
        <v/>
      </c>
      <c r="O104" s="4" t="str">
        <f>IFERROR(INDEX(样本到样信息汇总统计!O$2:O$500,MATCH(103,样本到样信息汇总统计!$Z$2:$Z$500,0)),"")</f>
        <v/>
      </c>
      <c r="P104" s="4" t="str">
        <f>IFERROR(INDEX(样本到样信息汇总统计!P$2:P$500,MATCH(103,样本到样信息汇总统计!$Z$2:$Z$500,0)),"")</f>
        <v/>
      </c>
      <c r="Q104" s="4" t="str">
        <f>IFERROR(INDEX(样本到样信息汇总统计!Q$2:Q$500,MATCH(103,样本到样信息汇总统计!$Z$2:$Z$500,0)),"")</f>
        <v/>
      </c>
      <c r="R104" s="4" t="str">
        <f>IFERROR(INDEX(样本到样信息汇总统计!R$2:R$500,MATCH(103,样本到样信息汇总统计!$Z$2:$Z$500,0)),"")</f>
        <v/>
      </c>
      <c r="S104" s="4" t="str">
        <f>IFERROR(INDEX(样本到样信息汇总统计!S$2:S$500,MATCH(103,样本到样信息汇总统计!$Z$2:$Z$500,0)),"")</f>
        <v/>
      </c>
      <c r="T104" s="4" t="str">
        <f>IFERROR(INDEX(样本到样信息汇总统计!T$2:T$500,MATCH(103,样本到样信息汇总统计!$Z$2:$Z$500,0)),"")</f>
        <v/>
      </c>
      <c r="U104" s="4" t="str">
        <f>IFERROR(INDEX(样本到样信息汇总统计!U$2:U$500,MATCH(103,样本到样信息汇总统计!$Z$2:$Z$500,0)),"")</f>
        <v/>
      </c>
      <c r="V104" s="4" t="str">
        <f>IFERROR(INDEX(样本到样信息汇总统计!V$2:V$500,MATCH(103,样本到样信息汇总统计!$Z$2:$Z$500,0)),"")</f>
        <v/>
      </c>
      <c r="W104" s="4" t="str">
        <f>IFERROR(INDEX(样本到样信息汇总统计!W$2:W$500,MATCH(103,样本到样信息汇总统计!$Z$2:$Z$500,0)),"")</f>
        <v/>
      </c>
    </row>
    <row r="105" ht="14.5" spans="1:23">
      <c r="A105" s="8" t="str">
        <f>IFERROR(INDEX(样本到样信息汇总统计!A$2:A$500,MATCH(104,样本到样信息汇总统计!$Z$2:$Z$500,0)),"")</f>
        <v/>
      </c>
      <c r="B105" s="8" t="str">
        <f>IFERROR(INDEX(样本到样信息汇总统计!B$2:B$500,MATCH(104,样本到样信息汇总统计!$Z$2:$Z$500,0)),"")</f>
        <v/>
      </c>
      <c r="C105" s="8" t="str">
        <f>IFERROR(INDEX(样本到样信息汇总统计!C$2:C$500,MATCH(104,样本到样信息汇总统计!$Z$2:$Z$500,0)),"")</f>
        <v/>
      </c>
      <c r="D105" s="8" t="str">
        <f>IFERROR(INDEX(样本到样信息汇总统计!D$2:D$500,MATCH(104,样本到样信息汇总统计!$Z$2:$Z$500,0)),"")</f>
        <v/>
      </c>
      <c r="E105" s="8" t="str">
        <f>IFERROR(INDEX(样本到样信息汇总统计!E$2:E$500,MATCH(104,样本到样信息汇总统计!$Z$2:$Z$500,0)),"")</f>
        <v/>
      </c>
      <c r="F105" s="8" t="str">
        <f>IFERROR(INDEX(样本到样信息汇总统计!F$2:F$500,MATCH(104,样本到样信息汇总统计!$Z$2:$Z$500,0)),"")</f>
        <v/>
      </c>
      <c r="G105" s="8" t="str">
        <f>IFERROR(INDEX(样本到样信息汇总统计!G$2:G$500,MATCH(104,样本到样信息汇总统计!$Z$2:$Z$500,0)),"")</f>
        <v/>
      </c>
      <c r="H105" s="8" t="str">
        <f>IFERROR(INDEX(样本到样信息汇总统计!H$2:H$500,MATCH(104,样本到样信息汇总统计!$Z$2:$Z$500,0)),"")</f>
        <v/>
      </c>
      <c r="I105" s="8" t="str">
        <f>IFERROR(INDEX(样本到样信息汇总统计!I$2:I$500,MATCH(104,样本到样信息汇总统计!$Z$2:$Z$500,0)),"")</f>
        <v/>
      </c>
      <c r="J105" s="8" t="str">
        <f>IFERROR(INDEX(样本到样信息汇总统计!J$2:J$500,MATCH(104,样本到样信息汇总统计!$Z$2:$Z$500,0)),"")</f>
        <v/>
      </c>
      <c r="K105" s="8" t="str">
        <f>IFERROR(INDEX(样本到样信息汇总统计!K$2:K$500,MATCH(104,样本到样信息汇总统计!$Z$2:$Z$500,0)),"")</f>
        <v/>
      </c>
      <c r="L105" s="8" t="str">
        <f>IFERROR(INDEX(样本到样信息汇总统计!L$2:L$500,MATCH(104,样本到样信息汇总统计!$Z$2:$Z$500,0)),"")</f>
        <v/>
      </c>
      <c r="M105" s="8" t="str">
        <f>IFERROR(INDEX(样本到样信息汇总统计!M$2:M$500,MATCH(104,样本到样信息汇总统计!$Z$2:$Z$500,0)),"")</f>
        <v/>
      </c>
      <c r="N105" s="8" t="str">
        <f>IFERROR(INDEX(样本到样信息汇总统计!N$2:N$500,MATCH(104,样本到样信息汇总统计!$Z$2:$Z$500,0)),"")</f>
        <v/>
      </c>
      <c r="O105" s="8" t="str">
        <f>IFERROR(INDEX(样本到样信息汇总统计!O$2:O$500,MATCH(104,样本到样信息汇总统计!$Z$2:$Z$500,0)),"")</f>
        <v/>
      </c>
      <c r="P105" s="8" t="str">
        <f>IFERROR(INDEX(样本到样信息汇总统计!P$2:P$500,MATCH(104,样本到样信息汇总统计!$Z$2:$Z$500,0)),"")</f>
        <v/>
      </c>
      <c r="Q105" s="8" t="str">
        <f>IFERROR(INDEX(样本到样信息汇总统计!Q$2:Q$500,MATCH(104,样本到样信息汇总统计!$Z$2:$Z$500,0)),"")</f>
        <v/>
      </c>
      <c r="R105" s="8" t="str">
        <f>IFERROR(INDEX(样本到样信息汇总统计!R$2:R$500,MATCH(104,样本到样信息汇总统计!$Z$2:$Z$500,0)),"")</f>
        <v/>
      </c>
      <c r="S105" s="8" t="str">
        <f>IFERROR(INDEX(样本到样信息汇总统计!S$2:S$500,MATCH(104,样本到样信息汇总统计!$Z$2:$Z$500,0)),"")</f>
        <v/>
      </c>
      <c r="T105" s="8" t="str">
        <f>IFERROR(INDEX(样本到样信息汇总统计!T$2:T$500,MATCH(104,样本到样信息汇总统计!$Z$2:$Z$500,0)),"")</f>
        <v/>
      </c>
      <c r="U105" s="8" t="str">
        <f>IFERROR(INDEX(样本到样信息汇总统计!U$2:U$500,MATCH(104,样本到样信息汇总统计!$Z$2:$Z$500,0)),"")</f>
        <v/>
      </c>
      <c r="V105" s="8" t="str">
        <f>IFERROR(INDEX(样本到样信息汇总统计!V$2:V$500,MATCH(104,样本到样信息汇总统计!$Z$2:$Z$500,0)),"")</f>
        <v/>
      </c>
      <c r="W105" s="8" t="str">
        <f>IFERROR(INDEX(样本到样信息汇总统计!W$2:W$500,MATCH(104,样本到样信息汇总统计!$Z$2:$Z$500,0)),"")</f>
        <v/>
      </c>
    </row>
    <row r="106" ht="14.5" spans="1:23">
      <c r="A106" s="4" t="str">
        <f>IFERROR(INDEX(样本到样信息汇总统计!A$2:A$500,MATCH(105,样本到样信息汇总统计!$Z$2:$Z$500,0)),"")</f>
        <v/>
      </c>
      <c r="B106" s="4" t="str">
        <f>IFERROR(INDEX(样本到样信息汇总统计!B$2:B$500,MATCH(105,样本到样信息汇总统计!$Z$2:$Z$500,0)),"")</f>
        <v/>
      </c>
      <c r="C106" s="4" t="str">
        <f>IFERROR(INDEX(样本到样信息汇总统计!C$2:C$500,MATCH(105,样本到样信息汇总统计!$Z$2:$Z$500,0)),"")</f>
        <v/>
      </c>
      <c r="D106" s="4" t="str">
        <f>IFERROR(INDEX(样本到样信息汇总统计!D$2:D$500,MATCH(105,样本到样信息汇总统计!$Z$2:$Z$500,0)),"")</f>
        <v/>
      </c>
      <c r="E106" s="4" t="str">
        <f>IFERROR(INDEX(样本到样信息汇总统计!E$2:E$500,MATCH(105,样本到样信息汇总统计!$Z$2:$Z$500,0)),"")</f>
        <v/>
      </c>
      <c r="F106" s="4" t="str">
        <f>IFERROR(INDEX(样本到样信息汇总统计!F$2:F$500,MATCH(105,样本到样信息汇总统计!$Z$2:$Z$500,0)),"")</f>
        <v/>
      </c>
      <c r="G106" s="4" t="str">
        <f>IFERROR(INDEX(样本到样信息汇总统计!G$2:G$500,MATCH(105,样本到样信息汇总统计!$Z$2:$Z$500,0)),"")</f>
        <v/>
      </c>
      <c r="H106" s="4" t="str">
        <f>IFERROR(INDEX(样本到样信息汇总统计!H$2:H$500,MATCH(105,样本到样信息汇总统计!$Z$2:$Z$500,0)),"")</f>
        <v/>
      </c>
      <c r="I106" s="4" t="str">
        <f>IFERROR(INDEX(样本到样信息汇总统计!I$2:I$500,MATCH(105,样本到样信息汇总统计!$Z$2:$Z$500,0)),"")</f>
        <v/>
      </c>
      <c r="J106" s="4" t="str">
        <f>IFERROR(INDEX(样本到样信息汇总统计!J$2:J$500,MATCH(105,样本到样信息汇总统计!$Z$2:$Z$500,0)),"")</f>
        <v/>
      </c>
      <c r="K106" s="4" t="str">
        <f>IFERROR(INDEX(样本到样信息汇总统计!K$2:K$500,MATCH(105,样本到样信息汇总统计!$Z$2:$Z$500,0)),"")</f>
        <v/>
      </c>
      <c r="L106" s="4" t="str">
        <f>IFERROR(INDEX(样本到样信息汇总统计!L$2:L$500,MATCH(105,样本到样信息汇总统计!$Z$2:$Z$500,0)),"")</f>
        <v/>
      </c>
      <c r="M106" s="4" t="str">
        <f>IFERROR(INDEX(样本到样信息汇总统计!M$2:M$500,MATCH(105,样本到样信息汇总统计!$Z$2:$Z$500,0)),"")</f>
        <v/>
      </c>
      <c r="N106" s="4" t="str">
        <f>IFERROR(INDEX(样本到样信息汇总统计!N$2:N$500,MATCH(105,样本到样信息汇总统计!$Z$2:$Z$500,0)),"")</f>
        <v/>
      </c>
      <c r="O106" s="4" t="str">
        <f>IFERROR(INDEX(样本到样信息汇总统计!O$2:O$500,MATCH(105,样本到样信息汇总统计!$Z$2:$Z$500,0)),"")</f>
        <v/>
      </c>
      <c r="P106" s="4" t="str">
        <f>IFERROR(INDEX(样本到样信息汇总统计!P$2:P$500,MATCH(105,样本到样信息汇总统计!$Z$2:$Z$500,0)),"")</f>
        <v/>
      </c>
      <c r="Q106" s="4" t="str">
        <f>IFERROR(INDEX(样本到样信息汇总统计!Q$2:Q$500,MATCH(105,样本到样信息汇总统计!$Z$2:$Z$500,0)),"")</f>
        <v/>
      </c>
      <c r="R106" s="4" t="str">
        <f>IFERROR(INDEX(样本到样信息汇总统计!R$2:R$500,MATCH(105,样本到样信息汇总统计!$Z$2:$Z$500,0)),"")</f>
        <v/>
      </c>
      <c r="S106" s="4" t="str">
        <f>IFERROR(INDEX(样本到样信息汇总统计!S$2:S$500,MATCH(105,样本到样信息汇总统计!$Z$2:$Z$500,0)),"")</f>
        <v/>
      </c>
      <c r="T106" s="4" t="str">
        <f>IFERROR(INDEX(样本到样信息汇总统计!T$2:T$500,MATCH(105,样本到样信息汇总统计!$Z$2:$Z$500,0)),"")</f>
        <v/>
      </c>
      <c r="U106" s="4" t="str">
        <f>IFERROR(INDEX(样本到样信息汇总统计!U$2:U$500,MATCH(105,样本到样信息汇总统计!$Z$2:$Z$500,0)),"")</f>
        <v/>
      </c>
      <c r="V106" s="4" t="str">
        <f>IFERROR(INDEX(样本到样信息汇总统计!V$2:V$500,MATCH(105,样本到样信息汇总统计!$Z$2:$Z$500,0)),"")</f>
        <v/>
      </c>
      <c r="W106" s="4" t="str">
        <f>IFERROR(INDEX(样本到样信息汇总统计!W$2:W$500,MATCH(105,样本到样信息汇总统计!$Z$2:$Z$500,0)),"")</f>
        <v/>
      </c>
    </row>
    <row r="107" ht="14.5" spans="1:23">
      <c r="A107" s="8" t="str">
        <f>IFERROR(INDEX(样本到样信息汇总统计!A$2:A$500,MATCH(106,样本到样信息汇总统计!$Z$2:$Z$500,0)),"")</f>
        <v/>
      </c>
      <c r="B107" s="8" t="str">
        <f>IFERROR(INDEX(样本到样信息汇总统计!B$2:B$500,MATCH(106,样本到样信息汇总统计!$Z$2:$Z$500,0)),"")</f>
        <v/>
      </c>
      <c r="C107" s="8" t="str">
        <f>IFERROR(INDEX(样本到样信息汇总统计!C$2:C$500,MATCH(106,样本到样信息汇总统计!$Z$2:$Z$500,0)),"")</f>
        <v/>
      </c>
      <c r="D107" s="8" t="str">
        <f>IFERROR(INDEX(样本到样信息汇总统计!D$2:D$500,MATCH(106,样本到样信息汇总统计!$Z$2:$Z$500,0)),"")</f>
        <v/>
      </c>
      <c r="E107" s="8" t="str">
        <f>IFERROR(INDEX(样本到样信息汇总统计!E$2:E$500,MATCH(106,样本到样信息汇总统计!$Z$2:$Z$500,0)),"")</f>
        <v/>
      </c>
      <c r="F107" s="8" t="str">
        <f>IFERROR(INDEX(样本到样信息汇总统计!F$2:F$500,MATCH(106,样本到样信息汇总统计!$Z$2:$Z$500,0)),"")</f>
        <v/>
      </c>
      <c r="G107" s="8" t="str">
        <f>IFERROR(INDEX(样本到样信息汇总统计!G$2:G$500,MATCH(106,样本到样信息汇总统计!$Z$2:$Z$500,0)),"")</f>
        <v/>
      </c>
      <c r="H107" s="8" t="str">
        <f>IFERROR(INDEX(样本到样信息汇总统计!H$2:H$500,MATCH(106,样本到样信息汇总统计!$Z$2:$Z$500,0)),"")</f>
        <v/>
      </c>
      <c r="I107" s="8" t="str">
        <f>IFERROR(INDEX(样本到样信息汇总统计!I$2:I$500,MATCH(106,样本到样信息汇总统计!$Z$2:$Z$500,0)),"")</f>
        <v/>
      </c>
      <c r="J107" s="8" t="str">
        <f>IFERROR(INDEX(样本到样信息汇总统计!J$2:J$500,MATCH(106,样本到样信息汇总统计!$Z$2:$Z$500,0)),"")</f>
        <v/>
      </c>
      <c r="K107" s="8" t="str">
        <f>IFERROR(INDEX(样本到样信息汇总统计!K$2:K$500,MATCH(106,样本到样信息汇总统计!$Z$2:$Z$500,0)),"")</f>
        <v/>
      </c>
      <c r="L107" s="8" t="str">
        <f>IFERROR(INDEX(样本到样信息汇总统计!L$2:L$500,MATCH(106,样本到样信息汇总统计!$Z$2:$Z$500,0)),"")</f>
        <v/>
      </c>
      <c r="M107" s="8" t="str">
        <f>IFERROR(INDEX(样本到样信息汇总统计!M$2:M$500,MATCH(106,样本到样信息汇总统计!$Z$2:$Z$500,0)),"")</f>
        <v/>
      </c>
      <c r="N107" s="8" t="str">
        <f>IFERROR(INDEX(样本到样信息汇总统计!N$2:N$500,MATCH(106,样本到样信息汇总统计!$Z$2:$Z$500,0)),"")</f>
        <v/>
      </c>
      <c r="O107" s="8" t="str">
        <f>IFERROR(INDEX(样本到样信息汇总统计!O$2:O$500,MATCH(106,样本到样信息汇总统计!$Z$2:$Z$500,0)),"")</f>
        <v/>
      </c>
      <c r="P107" s="8" t="str">
        <f>IFERROR(INDEX(样本到样信息汇总统计!P$2:P$500,MATCH(106,样本到样信息汇总统计!$Z$2:$Z$500,0)),"")</f>
        <v/>
      </c>
      <c r="Q107" s="8" t="str">
        <f>IFERROR(INDEX(样本到样信息汇总统计!Q$2:Q$500,MATCH(106,样本到样信息汇总统计!$Z$2:$Z$500,0)),"")</f>
        <v/>
      </c>
      <c r="R107" s="8" t="str">
        <f>IFERROR(INDEX(样本到样信息汇总统计!R$2:R$500,MATCH(106,样本到样信息汇总统计!$Z$2:$Z$500,0)),"")</f>
        <v/>
      </c>
      <c r="S107" s="8" t="str">
        <f>IFERROR(INDEX(样本到样信息汇总统计!S$2:S$500,MATCH(106,样本到样信息汇总统计!$Z$2:$Z$500,0)),"")</f>
        <v/>
      </c>
      <c r="T107" s="8" t="str">
        <f>IFERROR(INDEX(样本到样信息汇总统计!T$2:T$500,MATCH(106,样本到样信息汇总统计!$Z$2:$Z$500,0)),"")</f>
        <v/>
      </c>
      <c r="U107" s="8" t="str">
        <f>IFERROR(INDEX(样本到样信息汇总统计!U$2:U$500,MATCH(106,样本到样信息汇总统计!$Z$2:$Z$500,0)),"")</f>
        <v/>
      </c>
      <c r="V107" s="8" t="str">
        <f>IFERROR(INDEX(样本到样信息汇总统计!V$2:V$500,MATCH(106,样本到样信息汇总统计!$Z$2:$Z$500,0)),"")</f>
        <v/>
      </c>
      <c r="W107" s="8" t="str">
        <f>IFERROR(INDEX(样本到样信息汇总统计!W$2:W$500,MATCH(106,样本到样信息汇总统计!$Z$2:$Z$500,0)),"")</f>
        <v/>
      </c>
    </row>
    <row r="108" ht="14.5" spans="1:23">
      <c r="A108" s="4" t="str">
        <f>IFERROR(INDEX(样本到样信息汇总统计!A$2:A$500,MATCH(107,样本到样信息汇总统计!$Z$2:$Z$500,0)),"")</f>
        <v/>
      </c>
      <c r="B108" s="4" t="str">
        <f>IFERROR(INDEX(样本到样信息汇总统计!B$2:B$500,MATCH(107,样本到样信息汇总统计!$Z$2:$Z$500,0)),"")</f>
        <v/>
      </c>
      <c r="C108" s="4" t="str">
        <f>IFERROR(INDEX(样本到样信息汇总统计!C$2:C$500,MATCH(107,样本到样信息汇总统计!$Z$2:$Z$500,0)),"")</f>
        <v/>
      </c>
      <c r="D108" s="4" t="str">
        <f>IFERROR(INDEX(样本到样信息汇总统计!D$2:D$500,MATCH(107,样本到样信息汇总统计!$Z$2:$Z$500,0)),"")</f>
        <v/>
      </c>
      <c r="E108" s="4" t="str">
        <f>IFERROR(INDEX(样本到样信息汇总统计!E$2:E$500,MATCH(107,样本到样信息汇总统计!$Z$2:$Z$500,0)),"")</f>
        <v/>
      </c>
      <c r="F108" s="4" t="str">
        <f>IFERROR(INDEX(样本到样信息汇总统计!F$2:F$500,MATCH(107,样本到样信息汇总统计!$Z$2:$Z$500,0)),"")</f>
        <v/>
      </c>
      <c r="G108" s="4" t="str">
        <f>IFERROR(INDEX(样本到样信息汇总统计!G$2:G$500,MATCH(107,样本到样信息汇总统计!$Z$2:$Z$500,0)),"")</f>
        <v/>
      </c>
      <c r="H108" s="4" t="str">
        <f>IFERROR(INDEX(样本到样信息汇总统计!H$2:H$500,MATCH(107,样本到样信息汇总统计!$Z$2:$Z$500,0)),"")</f>
        <v/>
      </c>
      <c r="I108" s="4" t="str">
        <f>IFERROR(INDEX(样本到样信息汇总统计!I$2:I$500,MATCH(107,样本到样信息汇总统计!$Z$2:$Z$500,0)),"")</f>
        <v/>
      </c>
      <c r="J108" s="4" t="str">
        <f>IFERROR(INDEX(样本到样信息汇总统计!J$2:J$500,MATCH(107,样本到样信息汇总统计!$Z$2:$Z$500,0)),"")</f>
        <v/>
      </c>
      <c r="K108" s="4" t="str">
        <f>IFERROR(INDEX(样本到样信息汇总统计!K$2:K$500,MATCH(107,样本到样信息汇总统计!$Z$2:$Z$500,0)),"")</f>
        <v/>
      </c>
      <c r="L108" s="4" t="str">
        <f>IFERROR(INDEX(样本到样信息汇总统计!L$2:L$500,MATCH(107,样本到样信息汇总统计!$Z$2:$Z$500,0)),"")</f>
        <v/>
      </c>
      <c r="M108" s="4" t="str">
        <f>IFERROR(INDEX(样本到样信息汇总统计!M$2:M$500,MATCH(107,样本到样信息汇总统计!$Z$2:$Z$500,0)),"")</f>
        <v/>
      </c>
      <c r="N108" s="4" t="str">
        <f>IFERROR(INDEX(样本到样信息汇总统计!N$2:N$500,MATCH(107,样本到样信息汇总统计!$Z$2:$Z$500,0)),"")</f>
        <v/>
      </c>
      <c r="O108" s="4" t="str">
        <f>IFERROR(INDEX(样本到样信息汇总统计!O$2:O$500,MATCH(107,样本到样信息汇总统计!$Z$2:$Z$500,0)),"")</f>
        <v/>
      </c>
      <c r="P108" s="4" t="str">
        <f>IFERROR(INDEX(样本到样信息汇总统计!P$2:P$500,MATCH(107,样本到样信息汇总统计!$Z$2:$Z$500,0)),"")</f>
        <v/>
      </c>
      <c r="Q108" s="4" t="str">
        <f>IFERROR(INDEX(样本到样信息汇总统计!Q$2:Q$500,MATCH(107,样本到样信息汇总统计!$Z$2:$Z$500,0)),"")</f>
        <v/>
      </c>
      <c r="R108" s="4" t="str">
        <f>IFERROR(INDEX(样本到样信息汇总统计!R$2:R$500,MATCH(107,样本到样信息汇总统计!$Z$2:$Z$500,0)),"")</f>
        <v/>
      </c>
      <c r="S108" s="4" t="str">
        <f>IFERROR(INDEX(样本到样信息汇总统计!S$2:S$500,MATCH(107,样本到样信息汇总统计!$Z$2:$Z$500,0)),"")</f>
        <v/>
      </c>
      <c r="T108" s="4" t="str">
        <f>IFERROR(INDEX(样本到样信息汇总统计!T$2:T$500,MATCH(107,样本到样信息汇总统计!$Z$2:$Z$500,0)),"")</f>
        <v/>
      </c>
      <c r="U108" s="4" t="str">
        <f>IFERROR(INDEX(样本到样信息汇总统计!U$2:U$500,MATCH(107,样本到样信息汇总统计!$Z$2:$Z$500,0)),"")</f>
        <v/>
      </c>
      <c r="V108" s="4" t="str">
        <f>IFERROR(INDEX(样本到样信息汇总统计!V$2:V$500,MATCH(107,样本到样信息汇总统计!$Z$2:$Z$500,0)),"")</f>
        <v/>
      </c>
      <c r="W108" s="4" t="str">
        <f>IFERROR(INDEX(样本到样信息汇总统计!W$2:W$500,MATCH(107,样本到样信息汇总统计!$Z$2:$Z$500,0)),"")</f>
        <v/>
      </c>
    </row>
    <row r="109" ht="14.5" spans="1:23">
      <c r="A109" s="8" t="str">
        <f>IFERROR(INDEX(样本到样信息汇总统计!A$2:A$500,MATCH(108,样本到样信息汇总统计!$Z$2:$Z$500,0)),"")</f>
        <v/>
      </c>
      <c r="B109" s="8" t="str">
        <f>IFERROR(INDEX(样本到样信息汇总统计!B$2:B$500,MATCH(108,样本到样信息汇总统计!$Z$2:$Z$500,0)),"")</f>
        <v/>
      </c>
      <c r="C109" s="8" t="str">
        <f>IFERROR(INDEX(样本到样信息汇总统计!C$2:C$500,MATCH(108,样本到样信息汇总统计!$Z$2:$Z$500,0)),"")</f>
        <v/>
      </c>
      <c r="D109" s="8" t="str">
        <f>IFERROR(INDEX(样本到样信息汇总统计!D$2:D$500,MATCH(108,样本到样信息汇总统计!$Z$2:$Z$500,0)),"")</f>
        <v/>
      </c>
      <c r="E109" s="8" t="str">
        <f>IFERROR(INDEX(样本到样信息汇总统计!E$2:E$500,MATCH(108,样本到样信息汇总统计!$Z$2:$Z$500,0)),"")</f>
        <v/>
      </c>
      <c r="F109" s="8" t="str">
        <f>IFERROR(INDEX(样本到样信息汇总统计!F$2:F$500,MATCH(108,样本到样信息汇总统计!$Z$2:$Z$500,0)),"")</f>
        <v/>
      </c>
      <c r="G109" s="8" t="str">
        <f>IFERROR(INDEX(样本到样信息汇总统计!G$2:G$500,MATCH(108,样本到样信息汇总统计!$Z$2:$Z$500,0)),"")</f>
        <v/>
      </c>
      <c r="H109" s="8" t="str">
        <f>IFERROR(INDEX(样本到样信息汇总统计!H$2:H$500,MATCH(108,样本到样信息汇总统计!$Z$2:$Z$500,0)),"")</f>
        <v/>
      </c>
      <c r="I109" s="8" t="str">
        <f>IFERROR(INDEX(样本到样信息汇总统计!I$2:I$500,MATCH(108,样本到样信息汇总统计!$Z$2:$Z$500,0)),"")</f>
        <v/>
      </c>
      <c r="J109" s="8" t="str">
        <f>IFERROR(INDEX(样本到样信息汇总统计!J$2:J$500,MATCH(108,样本到样信息汇总统计!$Z$2:$Z$500,0)),"")</f>
        <v/>
      </c>
      <c r="K109" s="8" t="str">
        <f>IFERROR(INDEX(样本到样信息汇总统计!K$2:K$500,MATCH(108,样本到样信息汇总统计!$Z$2:$Z$500,0)),"")</f>
        <v/>
      </c>
      <c r="L109" s="8" t="str">
        <f>IFERROR(INDEX(样本到样信息汇总统计!L$2:L$500,MATCH(108,样本到样信息汇总统计!$Z$2:$Z$500,0)),"")</f>
        <v/>
      </c>
      <c r="M109" s="8" t="str">
        <f>IFERROR(INDEX(样本到样信息汇总统计!M$2:M$500,MATCH(108,样本到样信息汇总统计!$Z$2:$Z$500,0)),"")</f>
        <v/>
      </c>
      <c r="N109" s="8" t="str">
        <f>IFERROR(INDEX(样本到样信息汇总统计!N$2:N$500,MATCH(108,样本到样信息汇总统计!$Z$2:$Z$500,0)),"")</f>
        <v/>
      </c>
      <c r="O109" s="8" t="str">
        <f>IFERROR(INDEX(样本到样信息汇总统计!O$2:O$500,MATCH(108,样本到样信息汇总统计!$Z$2:$Z$500,0)),"")</f>
        <v/>
      </c>
      <c r="P109" s="8" t="str">
        <f>IFERROR(INDEX(样本到样信息汇总统计!P$2:P$500,MATCH(108,样本到样信息汇总统计!$Z$2:$Z$500,0)),"")</f>
        <v/>
      </c>
      <c r="Q109" s="8" t="str">
        <f>IFERROR(INDEX(样本到样信息汇总统计!Q$2:Q$500,MATCH(108,样本到样信息汇总统计!$Z$2:$Z$500,0)),"")</f>
        <v/>
      </c>
      <c r="R109" s="8" t="str">
        <f>IFERROR(INDEX(样本到样信息汇总统计!R$2:R$500,MATCH(108,样本到样信息汇总统计!$Z$2:$Z$500,0)),"")</f>
        <v/>
      </c>
      <c r="S109" s="8" t="str">
        <f>IFERROR(INDEX(样本到样信息汇总统计!S$2:S$500,MATCH(108,样本到样信息汇总统计!$Z$2:$Z$500,0)),"")</f>
        <v/>
      </c>
      <c r="T109" s="8" t="str">
        <f>IFERROR(INDEX(样本到样信息汇总统计!T$2:T$500,MATCH(108,样本到样信息汇总统计!$Z$2:$Z$500,0)),"")</f>
        <v/>
      </c>
      <c r="U109" s="8" t="str">
        <f>IFERROR(INDEX(样本到样信息汇总统计!U$2:U$500,MATCH(108,样本到样信息汇总统计!$Z$2:$Z$500,0)),"")</f>
        <v/>
      </c>
      <c r="V109" s="8" t="str">
        <f>IFERROR(INDEX(样本到样信息汇总统计!V$2:V$500,MATCH(108,样本到样信息汇总统计!$Z$2:$Z$500,0)),"")</f>
        <v/>
      </c>
      <c r="W109" s="8" t="str">
        <f>IFERROR(INDEX(样本到样信息汇总统计!W$2:W$500,MATCH(108,样本到样信息汇总统计!$Z$2:$Z$500,0)),"")</f>
        <v/>
      </c>
    </row>
    <row r="110" ht="14.5" spans="1:23">
      <c r="A110" s="4" t="str">
        <f>IFERROR(INDEX(样本到样信息汇总统计!A$2:A$500,MATCH(109,样本到样信息汇总统计!$Z$2:$Z$500,0)),"")</f>
        <v/>
      </c>
      <c r="B110" s="4" t="str">
        <f>IFERROR(INDEX(样本到样信息汇总统计!B$2:B$500,MATCH(109,样本到样信息汇总统计!$Z$2:$Z$500,0)),"")</f>
        <v/>
      </c>
      <c r="C110" s="4" t="str">
        <f>IFERROR(INDEX(样本到样信息汇总统计!C$2:C$500,MATCH(109,样本到样信息汇总统计!$Z$2:$Z$500,0)),"")</f>
        <v/>
      </c>
      <c r="D110" s="4" t="str">
        <f>IFERROR(INDEX(样本到样信息汇总统计!D$2:D$500,MATCH(109,样本到样信息汇总统计!$Z$2:$Z$500,0)),"")</f>
        <v/>
      </c>
      <c r="E110" s="4" t="str">
        <f>IFERROR(INDEX(样本到样信息汇总统计!E$2:E$500,MATCH(109,样本到样信息汇总统计!$Z$2:$Z$500,0)),"")</f>
        <v/>
      </c>
      <c r="F110" s="4" t="str">
        <f>IFERROR(INDEX(样本到样信息汇总统计!F$2:F$500,MATCH(109,样本到样信息汇总统计!$Z$2:$Z$500,0)),"")</f>
        <v/>
      </c>
      <c r="G110" s="4" t="str">
        <f>IFERROR(INDEX(样本到样信息汇总统计!G$2:G$500,MATCH(109,样本到样信息汇总统计!$Z$2:$Z$500,0)),"")</f>
        <v/>
      </c>
      <c r="H110" s="4" t="str">
        <f>IFERROR(INDEX(样本到样信息汇总统计!H$2:H$500,MATCH(109,样本到样信息汇总统计!$Z$2:$Z$500,0)),"")</f>
        <v/>
      </c>
      <c r="I110" s="4" t="str">
        <f>IFERROR(INDEX(样本到样信息汇总统计!I$2:I$500,MATCH(109,样本到样信息汇总统计!$Z$2:$Z$500,0)),"")</f>
        <v/>
      </c>
      <c r="J110" s="4" t="str">
        <f>IFERROR(INDEX(样本到样信息汇总统计!J$2:J$500,MATCH(109,样本到样信息汇总统计!$Z$2:$Z$500,0)),"")</f>
        <v/>
      </c>
      <c r="K110" s="4" t="str">
        <f>IFERROR(INDEX(样本到样信息汇总统计!K$2:K$500,MATCH(109,样本到样信息汇总统计!$Z$2:$Z$500,0)),"")</f>
        <v/>
      </c>
      <c r="L110" s="4" t="str">
        <f>IFERROR(INDEX(样本到样信息汇总统计!L$2:L$500,MATCH(109,样本到样信息汇总统计!$Z$2:$Z$500,0)),"")</f>
        <v/>
      </c>
      <c r="M110" s="4" t="str">
        <f>IFERROR(INDEX(样本到样信息汇总统计!M$2:M$500,MATCH(109,样本到样信息汇总统计!$Z$2:$Z$500,0)),"")</f>
        <v/>
      </c>
      <c r="N110" s="4" t="str">
        <f>IFERROR(INDEX(样本到样信息汇总统计!N$2:N$500,MATCH(109,样本到样信息汇总统计!$Z$2:$Z$500,0)),"")</f>
        <v/>
      </c>
      <c r="O110" s="4" t="str">
        <f>IFERROR(INDEX(样本到样信息汇总统计!O$2:O$500,MATCH(109,样本到样信息汇总统计!$Z$2:$Z$500,0)),"")</f>
        <v/>
      </c>
      <c r="P110" s="4" t="str">
        <f>IFERROR(INDEX(样本到样信息汇总统计!P$2:P$500,MATCH(109,样本到样信息汇总统计!$Z$2:$Z$500,0)),"")</f>
        <v/>
      </c>
      <c r="Q110" s="4" t="str">
        <f>IFERROR(INDEX(样本到样信息汇总统计!Q$2:Q$500,MATCH(109,样本到样信息汇总统计!$Z$2:$Z$500,0)),"")</f>
        <v/>
      </c>
      <c r="R110" s="4" t="str">
        <f>IFERROR(INDEX(样本到样信息汇总统计!R$2:R$500,MATCH(109,样本到样信息汇总统计!$Z$2:$Z$500,0)),"")</f>
        <v/>
      </c>
      <c r="S110" s="4" t="str">
        <f>IFERROR(INDEX(样本到样信息汇总统计!S$2:S$500,MATCH(109,样本到样信息汇总统计!$Z$2:$Z$500,0)),"")</f>
        <v/>
      </c>
      <c r="T110" s="4" t="str">
        <f>IFERROR(INDEX(样本到样信息汇总统计!T$2:T$500,MATCH(109,样本到样信息汇总统计!$Z$2:$Z$500,0)),"")</f>
        <v/>
      </c>
      <c r="U110" s="4" t="str">
        <f>IFERROR(INDEX(样本到样信息汇总统计!U$2:U$500,MATCH(109,样本到样信息汇总统计!$Z$2:$Z$500,0)),"")</f>
        <v/>
      </c>
      <c r="V110" s="4" t="str">
        <f>IFERROR(INDEX(样本到样信息汇总统计!V$2:V$500,MATCH(109,样本到样信息汇总统计!$Z$2:$Z$500,0)),"")</f>
        <v/>
      </c>
      <c r="W110" s="4" t="str">
        <f>IFERROR(INDEX(样本到样信息汇总统计!W$2:W$500,MATCH(109,样本到样信息汇总统计!$Z$2:$Z$500,0)),"")</f>
        <v/>
      </c>
    </row>
    <row r="111" ht="14.5" spans="1:23">
      <c r="A111" s="8" t="str">
        <f>IFERROR(INDEX(样本到样信息汇总统计!A$2:A$500,MATCH(110,样本到样信息汇总统计!$Z$2:$Z$500,0)),"")</f>
        <v/>
      </c>
      <c r="B111" s="8" t="str">
        <f>IFERROR(INDEX(样本到样信息汇总统计!B$2:B$500,MATCH(110,样本到样信息汇总统计!$Z$2:$Z$500,0)),"")</f>
        <v/>
      </c>
      <c r="C111" s="8" t="str">
        <f>IFERROR(INDEX(样本到样信息汇总统计!C$2:C$500,MATCH(110,样本到样信息汇总统计!$Z$2:$Z$500,0)),"")</f>
        <v/>
      </c>
      <c r="D111" s="8" t="str">
        <f>IFERROR(INDEX(样本到样信息汇总统计!D$2:D$500,MATCH(110,样本到样信息汇总统计!$Z$2:$Z$500,0)),"")</f>
        <v/>
      </c>
      <c r="E111" s="8" t="str">
        <f>IFERROR(INDEX(样本到样信息汇总统计!E$2:E$500,MATCH(110,样本到样信息汇总统计!$Z$2:$Z$500,0)),"")</f>
        <v/>
      </c>
      <c r="F111" s="8" t="str">
        <f>IFERROR(INDEX(样本到样信息汇总统计!F$2:F$500,MATCH(110,样本到样信息汇总统计!$Z$2:$Z$500,0)),"")</f>
        <v/>
      </c>
      <c r="G111" s="8" t="str">
        <f>IFERROR(INDEX(样本到样信息汇总统计!G$2:G$500,MATCH(110,样本到样信息汇总统计!$Z$2:$Z$500,0)),"")</f>
        <v/>
      </c>
      <c r="H111" s="8" t="str">
        <f>IFERROR(INDEX(样本到样信息汇总统计!H$2:H$500,MATCH(110,样本到样信息汇总统计!$Z$2:$Z$500,0)),"")</f>
        <v/>
      </c>
      <c r="I111" s="8" t="str">
        <f>IFERROR(INDEX(样本到样信息汇总统计!I$2:I$500,MATCH(110,样本到样信息汇总统计!$Z$2:$Z$500,0)),"")</f>
        <v/>
      </c>
      <c r="J111" s="8" t="str">
        <f>IFERROR(INDEX(样本到样信息汇总统计!J$2:J$500,MATCH(110,样本到样信息汇总统计!$Z$2:$Z$500,0)),"")</f>
        <v/>
      </c>
      <c r="K111" s="8" t="str">
        <f>IFERROR(INDEX(样本到样信息汇总统计!K$2:K$500,MATCH(110,样本到样信息汇总统计!$Z$2:$Z$500,0)),"")</f>
        <v/>
      </c>
      <c r="L111" s="8" t="str">
        <f>IFERROR(INDEX(样本到样信息汇总统计!L$2:L$500,MATCH(110,样本到样信息汇总统计!$Z$2:$Z$500,0)),"")</f>
        <v/>
      </c>
      <c r="M111" s="8" t="str">
        <f>IFERROR(INDEX(样本到样信息汇总统计!M$2:M$500,MATCH(110,样本到样信息汇总统计!$Z$2:$Z$500,0)),"")</f>
        <v/>
      </c>
      <c r="N111" s="8" t="str">
        <f>IFERROR(INDEX(样本到样信息汇总统计!N$2:N$500,MATCH(110,样本到样信息汇总统计!$Z$2:$Z$500,0)),"")</f>
        <v/>
      </c>
      <c r="O111" s="8" t="str">
        <f>IFERROR(INDEX(样本到样信息汇总统计!O$2:O$500,MATCH(110,样本到样信息汇总统计!$Z$2:$Z$500,0)),"")</f>
        <v/>
      </c>
      <c r="P111" s="8" t="str">
        <f>IFERROR(INDEX(样本到样信息汇总统计!P$2:P$500,MATCH(110,样本到样信息汇总统计!$Z$2:$Z$500,0)),"")</f>
        <v/>
      </c>
      <c r="Q111" s="8" t="str">
        <f>IFERROR(INDEX(样本到样信息汇总统计!Q$2:Q$500,MATCH(110,样本到样信息汇总统计!$Z$2:$Z$500,0)),"")</f>
        <v/>
      </c>
      <c r="R111" s="8" t="str">
        <f>IFERROR(INDEX(样本到样信息汇总统计!R$2:R$500,MATCH(110,样本到样信息汇总统计!$Z$2:$Z$500,0)),"")</f>
        <v/>
      </c>
      <c r="S111" s="8" t="str">
        <f>IFERROR(INDEX(样本到样信息汇总统计!S$2:S$500,MATCH(110,样本到样信息汇总统计!$Z$2:$Z$500,0)),"")</f>
        <v/>
      </c>
      <c r="T111" s="8" t="str">
        <f>IFERROR(INDEX(样本到样信息汇总统计!T$2:T$500,MATCH(110,样本到样信息汇总统计!$Z$2:$Z$500,0)),"")</f>
        <v/>
      </c>
      <c r="U111" s="8" t="str">
        <f>IFERROR(INDEX(样本到样信息汇总统计!U$2:U$500,MATCH(110,样本到样信息汇总统计!$Z$2:$Z$500,0)),"")</f>
        <v/>
      </c>
      <c r="V111" s="8" t="str">
        <f>IFERROR(INDEX(样本到样信息汇总统计!V$2:V$500,MATCH(110,样本到样信息汇总统计!$Z$2:$Z$500,0)),"")</f>
        <v/>
      </c>
      <c r="W111" s="8" t="str">
        <f>IFERROR(INDEX(样本到样信息汇总统计!W$2:W$500,MATCH(110,样本到样信息汇总统计!$Z$2:$Z$500,0)),"")</f>
        <v/>
      </c>
    </row>
    <row r="112" ht="14.5" spans="1:23">
      <c r="A112" s="4" t="str">
        <f>IFERROR(INDEX(样本到样信息汇总统计!A$2:A$500,MATCH(111,样本到样信息汇总统计!$Z$2:$Z$500,0)),"")</f>
        <v/>
      </c>
      <c r="B112" s="4" t="str">
        <f>IFERROR(INDEX(样本到样信息汇总统计!B$2:B$500,MATCH(111,样本到样信息汇总统计!$Z$2:$Z$500,0)),"")</f>
        <v/>
      </c>
      <c r="C112" s="4" t="str">
        <f>IFERROR(INDEX(样本到样信息汇总统计!C$2:C$500,MATCH(111,样本到样信息汇总统计!$Z$2:$Z$500,0)),"")</f>
        <v/>
      </c>
      <c r="D112" s="4" t="str">
        <f>IFERROR(INDEX(样本到样信息汇总统计!D$2:D$500,MATCH(111,样本到样信息汇总统计!$Z$2:$Z$500,0)),"")</f>
        <v/>
      </c>
      <c r="E112" s="4" t="str">
        <f>IFERROR(INDEX(样本到样信息汇总统计!E$2:E$500,MATCH(111,样本到样信息汇总统计!$Z$2:$Z$500,0)),"")</f>
        <v/>
      </c>
      <c r="F112" s="4" t="str">
        <f>IFERROR(INDEX(样本到样信息汇总统计!F$2:F$500,MATCH(111,样本到样信息汇总统计!$Z$2:$Z$500,0)),"")</f>
        <v/>
      </c>
      <c r="G112" s="4" t="str">
        <f>IFERROR(INDEX(样本到样信息汇总统计!G$2:G$500,MATCH(111,样本到样信息汇总统计!$Z$2:$Z$500,0)),"")</f>
        <v/>
      </c>
      <c r="H112" s="4" t="str">
        <f>IFERROR(INDEX(样本到样信息汇总统计!H$2:H$500,MATCH(111,样本到样信息汇总统计!$Z$2:$Z$500,0)),"")</f>
        <v/>
      </c>
      <c r="I112" s="4" t="str">
        <f>IFERROR(INDEX(样本到样信息汇总统计!I$2:I$500,MATCH(111,样本到样信息汇总统计!$Z$2:$Z$500,0)),"")</f>
        <v/>
      </c>
      <c r="J112" s="4" t="str">
        <f>IFERROR(INDEX(样本到样信息汇总统计!J$2:J$500,MATCH(111,样本到样信息汇总统计!$Z$2:$Z$500,0)),"")</f>
        <v/>
      </c>
      <c r="K112" s="4" t="str">
        <f>IFERROR(INDEX(样本到样信息汇总统计!K$2:K$500,MATCH(111,样本到样信息汇总统计!$Z$2:$Z$500,0)),"")</f>
        <v/>
      </c>
      <c r="L112" s="4" t="str">
        <f>IFERROR(INDEX(样本到样信息汇总统计!L$2:L$500,MATCH(111,样本到样信息汇总统计!$Z$2:$Z$500,0)),"")</f>
        <v/>
      </c>
      <c r="M112" s="4" t="str">
        <f>IFERROR(INDEX(样本到样信息汇总统计!M$2:M$500,MATCH(111,样本到样信息汇总统计!$Z$2:$Z$500,0)),"")</f>
        <v/>
      </c>
      <c r="N112" s="4" t="str">
        <f>IFERROR(INDEX(样本到样信息汇总统计!N$2:N$500,MATCH(111,样本到样信息汇总统计!$Z$2:$Z$500,0)),"")</f>
        <v/>
      </c>
      <c r="O112" s="4" t="str">
        <f>IFERROR(INDEX(样本到样信息汇总统计!O$2:O$500,MATCH(111,样本到样信息汇总统计!$Z$2:$Z$500,0)),"")</f>
        <v/>
      </c>
      <c r="P112" s="4" t="str">
        <f>IFERROR(INDEX(样本到样信息汇总统计!P$2:P$500,MATCH(111,样本到样信息汇总统计!$Z$2:$Z$500,0)),"")</f>
        <v/>
      </c>
      <c r="Q112" s="4" t="str">
        <f>IFERROR(INDEX(样本到样信息汇总统计!Q$2:Q$500,MATCH(111,样本到样信息汇总统计!$Z$2:$Z$500,0)),"")</f>
        <v/>
      </c>
      <c r="R112" s="4" t="str">
        <f>IFERROR(INDEX(样本到样信息汇总统计!R$2:R$500,MATCH(111,样本到样信息汇总统计!$Z$2:$Z$500,0)),"")</f>
        <v/>
      </c>
      <c r="S112" s="4" t="str">
        <f>IFERROR(INDEX(样本到样信息汇总统计!S$2:S$500,MATCH(111,样本到样信息汇总统计!$Z$2:$Z$500,0)),"")</f>
        <v/>
      </c>
      <c r="T112" s="4" t="str">
        <f>IFERROR(INDEX(样本到样信息汇总统计!T$2:T$500,MATCH(111,样本到样信息汇总统计!$Z$2:$Z$500,0)),"")</f>
        <v/>
      </c>
      <c r="U112" s="4" t="str">
        <f>IFERROR(INDEX(样本到样信息汇总统计!U$2:U$500,MATCH(111,样本到样信息汇总统计!$Z$2:$Z$500,0)),"")</f>
        <v/>
      </c>
      <c r="V112" s="4" t="str">
        <f>IFERROR(INDEX(样本到样信息汇总统计!V$2:V$500,MATCH(111,样本到样信息汇总统计!$Z$2:$Z$500,0)),"")</f>
        <v/>
      </c>
      <c r="W112" s="4" t="str">
        <f>IFERROR(INDEX(样本到样信息汇总统计!W$2:W$500,MATCH(111,样本到样信息汇总统计!$Z$2:$Z$500,0)),"")</f>
        <v/>
      </c>
    </row>
    <row r="113" ht="14.5" spans="1:23">
      <c r="A113" s="8" t="str">
        <f>IFERROR(INDEX(样本到样信息汇总统计!A$2:A$500,MATCH(112,样本到样信息汇总统计!$Z$2:$Z$500,0)),"")</f>
        <v/>
      </c>
      <c r="B113" s="8" t="str">
        <f>IFERROR(INDEX(样本到样信息汇总统计!B$2:B$500,MATCH(112,样本到样信息汇总统计!$Z$2:$Z$500,0)),"")</f>
        <v/>
      </c>
      <c r="C113" s="8" t="str">
        <f>IFERROR(INDEX(样本到样信息汇总统计!C$2:C$500,MATCH(112,样本到样信息汇总统计!$Z$2:$Z$500,0)),"")</f>
        <v/>
      </c>
      <c r="D113" s="8" t="str">
        <f>IFERROR(INDEX(样本到样信息汇总统计!D$2:D$500,MATCH(112,样本到样信息汇总统计!$Z$2:$Z$500,0)),"")</f>
        <v/>
      </c>
      <c r="E113" s="8" t="str">
        <f>IFERROR(INDEX(样本到样信息汇总统计!E$2:E$500,MATCH(112,样本到样信息汇总统计!$Z$2:$Z$500,0)),"")</f>
        <v/>
      </c>
      <c r="F113" s="8" t="str">
        <f>IFERROR(INDEX(样本到样信息汇总统计!F$2:F$500,MATCH(112,样本到样信息汇总统计!$Z$2:$Z$500,0)),"")</f>
        <v/>
      </c>
      <c r="G113" s="8" t="str">
        <f>IFERROR(INDEX(样本到样信息汇总统计!G$2:G$500,MATCH(112,样本到样信息汇总统计!$Z$2:$Z$500,0)),"")</f>
        <v/>
      </c>
      <c r="H113" s="8" t="str">
        <f>IFERROR(INDEX(样本到样信息汇总统计!H$2:H$500,MATCH(112,样本到样信息汇总统计!$Z$2:$Z$500,0)),"")</f>
        <v/>
      </c>
      <c r="I113" s="8" t="str">
        <f>IFERROR(INDEX(样本到样信息汇总统计!I$2:I$500,MATCH(112,样本到样信息汇总统计!$Z$2:$Z$500,0)),"")</f>
        <v/>
      </c>
      <c r="J113" s="8" t="str">
        <f>IFERROR(INDEX(样本到样信息汇总统计!J$2:J$500,MATCH(112,样本到样信息汇总统计!$Z$2:$Z$500,0)),"")</f>
        <v/>
      </c>
      <c r="K113" s="8" t="str">
        <f>IFERROR(INDEX(样本到样信息汇总统计!K$2:K$500,MATCH(112,样本到样信息汇总统计!$Z$2:$Z$500,0)),"")</f>
        <v/>
      </c>
      <c r="L113" s="8" t="str">
        <f>IFERROR(INDEX(样本到样信息汇总统计!L$2:L$500,MATCH(112,样本到样信息汇总统计!$Z$2:$Z$500,0)),"")</f>
        <v/>
      </c>
      <c r="M113" s="8" t="str">
        <f>IFERROR(INDEX(样本到样信息汇总统计!M$2:M$500,MATCH(112,样本到样信息汇总统计!$Z$2:$Z$500,0)),"")</f>
        <v/>
      </c>
      <c r="N113" s="8" t="str">
        <f>IFERROR(INDEX(样本到样信息汇总统计!N$2:N$500,MATCH(112,样本到样信息汇总统计!$Z$2:$Z$500,0)),"")</f>
        <v/>
      </c>
      <c r="O113" s="8" t="str">
        <f>IFERROR(INDEX(样本到样信息汇总统计!O$2:O$500,MATCH(112,样本到样信息汇总统计!$Z$2:$Z$500,0)),"")</f>
        <v/>
      </c>
      <c r="P113" s="8" t="str">
        <f>IFERROR(INDEX(样本到样信息汇总统计!P$2:P$500,MATCH(112,样本到样信息汇总统计!$Z$2:$Z$500,0)),"")</f>
        <v/>
      </c>
      <c r="Q113" s="8" t="str">
        <f>IFERROR(INDEX(样本到样信息汇总统计!Q$2:Q$500,MATCH(112,样本到样信息汇总统计!$Z$2:$Z$500,0)),"")</f>
        <v/>
      </c>
      <c r="R113" s="8" t="str">
        <f>IFERROR(INDEX(样本到样信息汇总统计!R$2:R$500,MATCH(112,样本到样信息汇总统计!$Z$2:$Z$500,0)),"")</f>
        <v/>
      </c>
      <c r="S113" s="8" t="str">
        <f>IFERROR(INDEX(样本到样信息汇总统计!S$2:S$500,MATCH(112,样本到样信息汇总统计!$Z$2:$Z$500,0)),"")</f>
        <v/>
      </c>
      <c r="T113" s="8" t="str">
        <f>IFERROR(INDEX(样本到样信息汇总统计!T$2:T$500,MATCH(112,样本到样信息汇总统计!$Z$2:$Z$500,0)),"")</f>
        <v/>
      </c>
      <c r="U113" s="8" t="str">
        <f>IFERROR(INDEX(样本到样信息汇总统计!U$2:U$500,MATCH(112,样本到样信息汇总统计!$Z$2:$Z$500,0)),"")</f>
        <v/>
      </c>
      <c r="V113" s="8" t="str">
        <f>IFERROR(INDEX(样本到样信息汇总统计!V$2:V$500,MATCH(112,样本到样信息汇总统计!$Z$2:$Z$500,0)),"")</f>
        <v/>
      </c>
      <c r="W113" s="8" t="str">
        <f>IFERROR(INDEX(样本到样信息汇总统计!W$2:W$500,MATCH(112,样本到样信息汇总统计!$Z$2:$Z$500,0)),"")</f>
        <v/>
      </c>
    </row>
    <row r="114" ht="14.5" spans="1:23">
      <c r="A114" s="4" t="str">
        <f>IFERROR(INDEX(样本到样信息汇总统计!A$2:A$500,MATCH(113,样本到样信息汇总统计!$Z$2:$Z$500,0)),"")</f>
        <v/>
      </c>
      <c r="B114" s="4" t="str">
        <f>IFERROR(INDEX(样本到样信息汇总统计!B$2:B$500,MATCH(113,样本到样信息汇总统计!$Z$2:$Z$500,0)),"")</f>
        <v/>
      </c>
      <c r="C114" s="4" t="str">
        <f>IFERROR(INDEX(样本到样信息汇总统计!C$2:C$500,MATCH(113,样本到样信息汇总统计!$Z$2:$Z$500,0)),"")</f>
        <v/>
      </c>
      <c r="D114" s="4" t="str">
        <f>IFERROR(INDEX(样本到样信息汇总统计!D$2:D$500,MATCH(113,样本到样信息汇总统计!$Z$2:$Z$500,0)),"")</f>
        <v/>
      </c>
      <c r="E114" s="4" t="str">
        <f>IFERROR(INDEX(样本到样信息汇总统计!E$2:E$500,MATCH(113,样本到样信息汇总统计!$Z$2:$Z$500,0)),"")</f>
        <v/>
      </c>
      <c r="F114" s="4" t="str">
        <f>IFERROR(INDEX(样本到样信息汇总统计!F$2:F$500,MATCH(113,样本到样信息汇总统计!$Z$2:$Z$500,0)),"")</f>
        <v/>
      </c>
      <c r="G114" s="4" t="str">
        <f>IFERROR(INDEX(样本到样信息汇总统计!G$2:G$500,MATCH(113,样本到样信息汇总统计!$Z$2:$Z$500,0)),"")</f>
        <v/>
      </c>
      <c r="H114" s="4" t="str">
        <f>IFERROR(INDEX(样本到样信息汇总统计!H$2:H$500,MATCH(113,样本到样信息汇总统计!$Z$2:$Z$500,0)),"")</f>
        <v/>
      </c>
      <c r="I114" s="4" t="str">
        <f>IFERROR(INDEX(样本到样信息汇总统计!I$2:I$500,MATCH(113,样本到样信息汇总统计!$Z$2:$Z$500,0)),"")</f>
        <v/>
      </c>
      <c r="J114" s="4" t="str">
        <f>IFERROR(INDEX(样本到样信息汇总统计!J$2:J$500,MATCH(113,样本到样信息汇总统计!$Z$2:$Z$500,0)),"")</f>
        <v/>
      </c>
      <c r="K114" s="4" t="str">
        <f>IFERROR(INDEX(样本到样信息汇总统计!K$2:K$500,MATCH(113,样本到样信息汇总统计!$Z$2:$Z$500,0)),"")</f>
        <v/>
      </c>
      <c r="L114" s="4" t="str">
        <f>IFERROR(INDEX(样本到样信息汇总统计!L$2:L$500,MATCH(113,样本到样信息汇总统计!$Z$2:$Z$500,0)),"")</f>
        <v/>
      </c>
      <c r="M114" s="4" t="str">
        <f>IFERROR(INDEX(样本到样信息汇总统计!M$2:M$500,MATCH(113,样本到样信息汇总统计!$Z$2:$Z$500,0)),"")</f>
        <v/>
      </c>
      <c r="N114" s="4" t="str">
        <f>IFERROR(INDEX(样本到样信息汇总统计!N$2:N$500,MATCH(113,样本到样信息汇总统计!$Z$2:$Z$500,0)),"")</f>
        <v/>
      </c>
      <c r="O114" s="4" t="str">
        <f>IFERROR(INDEX(样本到样信息汇总统计!O$2:O$500,MATCH(113,样本到样信息汇总统计!$Z$2:$Z$500,0)),"")</f>
        <v/>
      </c>
      <c r="P114" s="4" t="str">
        <f>IFERROR(INDEX(样本到样信息汇总统计!P$2:P$500,MATCH(113,样本到样信息汇总统计!$Z$2:$Z$500,0)),"")</f>
        <v/>
      </c>
      <c r="Q114" s="4" t="str">
        <f>IFERROR(INDEX(样本到样信息汇总统计!Q$2:Q$500,MATCH(113,样本到样信息汇总统计!$Z$2:$Z$500,0)),"")</f>
        <v/>
      </c>
      <c r="R114" s="4" t="str">
        <f>IFERROR(INDEX(样本到样信息汇总统计!R$2:R$500,MATCH(113,样本到样信息汇总统计!$Z$2:$Z$500,0)),"")</f>
        <v/>
      </c>
      <c r="S114" s="4" t="str">
        <f>IFERROR(INDEX(样本到样信息汇总统计!S$2:S$500,MATCH(113,样本到样信息汇总统计!$Z$2:$Z$500,0)),"")</f>
        <v/>
      </c>
      <c r="T114" s="4" t="str">
        <f>IFERROR(INDEX(样本到样信息汇总统计!T$2:T$500,MATCH(113,样本到样信息汇总统计!$Z$2:$Z$500,0)),"")</f>
        <v/>
      </c>
      <c r="U114" s="4" t="str">
        <f>IFERROR(INDEX(样本到样信息汇总统计!U$2:U$500,MATCH(113,样本到样信息汇总统计!$Z$2:$Z$500,0)),"")</f>
        <v/>
      </c>
      <c r="V114" s="4" t="str">
        <f>IFERROR(INDEX(样本到样信息汇总统计!V$2:V$500,MATCH(113,样本到样信息汇总统计!$Z$2:$Z$500,0)),"")</f>
        <v/>
      </c>
      <c r="W114" s="4" t="str">
        <f>IFERROR(INDEX(样本到样信息汇总统计!W$2:W$500,MATCH(113,样本到样信息汇总统计!$Z$2:$Z$500,0)),"")</f>
        <v/>
      </c>
    </row>
    <row r="115" ht="14.5" spans="1:23">
      <c r="A115" s="8" t="str">
        <f>IFERROR(INDEX(样本到样信息汇总统计!A$2:A$500,MATCH(114,样本到样信息汇总统计!$Z$2:$Z$500,0)),"")</f>
        <v/>
      </c>
      <c r="B115" s="8" t="str">
        <f>IFERROR(INDEX(样本到样信息汇总统计!B$2:B$500,MATCH(114,样本到样信息汇总统计!$Z$2:$Z$500,0)),"")</f>
        <v/>
      </c>
      <c r="C115" s="8" t="str">
        <f>IFERROR(INDEX(样本到样信息汇总统计!C$2:C$500,MATCH(114,样本到样信息汇总统计!$Z$2:$Z$500,0)),"")</f>
        <v/>
      </c>
      <c r="D115" s="8" t="str">
        <f>IFERROR(INDEX(样本到样信息汇总统计!D$2:D$500,MATCH(114,样本到样信息汇总统计!$Z$2:$Z$500,0)),"")</f>
        <v/>
      </c>
      <c r="E115" s="8" t="str">
        <f>IFERROR(INDEX(样本到样信息汇总统计!E$2:E$500,MATCH(114,样本到样信息汇总统计!$Z$2:$Z$500,0)),"")</f>
        <v/>
      </c>
      <c r="F115" s="8" t="str">
        <f>IFERROR(INDEX(样本到样信息汇总统计!F$2:F$500,MATCH(114,样本到样信息汇总统计!$Z$2:$Z$500,0)),"")</f>
        <v/>
      </c>
      <c r="G115" s="8" t="str">
        <f>IFERROR(INDEX(样本到样信息汇总统计!G$2:G$500,MATCH(114,样本到样信息汇总统计!$Z$2:$Z$500,0)),"")</f>
        <v/>
      </c>
      <c r="H115" s="8" t="str">
        <f>IFERROR(INDEX(样本到样信息汇总统计!H$2:H$500,MATCH(114,样本到样信息汇总统计!$Z$2:$Z$500,0)),"")</f>
        <v/>
      </c>
      <c r="I115" s="8" t="str">
        <f>IFERROR(INDEX(样本到样信息汇总统计!I$2:I$500,MATCH(114,样本到样信息汇总统计!$Z$2:$Z$500,0)),"")</f>
        <v/>
      </c>
      <c r="J115" s="8" t="str">
        <f>IFERROR(INDEX(样本到样信息汇总统计!J$2:J$500,MATCH(114,样本到样信息汇总统计!$Z$2:$Z$500,0)),"")</f>
        <v/>
      </c>
      <c r="K115" s="8" t="str">
        <f>IFERROR(INDEX(样本到样信息汇总统计!K$2:K$500,MATCH(114,样本到样信息汇总统计!$Z$2:$Z$500,0)),"")</f>
        <v/>
      </c>
      <c r="L115" s="8" t="str">
        <f>IFERROR(INDEX(样本到样信息汇总统计!L$2:L$500,MATCH(114,样本到样信息汇总统计!$Z$2:$Z$500,0)),"")</f>
        <v/>
      </c>
      <c r="M115" s="8" t="str">
        <f>IFERROR(INDEX(样本到样信息汇总统计!M$2:M$500,MATCH(114,样本到样信息汇总统计!$Z$2:$Z$500,0)),"")</f>
        <v/>
      </c>
      <c r="N115" s="8" t="str">
        <f>IFERROR(INDEX(样本到样信息汇总统计!N$2:N$500,MATCH(114,样本到样信息汇总统计!$Z$2:$Z$500,0)),"")</f>
        <v/>
      </c>
      <c r="O115" s="8" t="str">
        <f>IFERROR(INDEX(样本到样信息汇总统计!O$2:O$500,MATCH(114,样本到样信息汇总统计!$Z$2:$Z$500,0)),"")</f>
        <v/>
      </c>
      <c r="P115" s="8" t="str">
        <f>IFERROR(INDEX(样本到样信息汇总统计!P$2:P$500,MATCH(114,样本到样信息汇总统计!$Z$2:$Z$500,0)),"")</f>
        <v/>
      </c>
      <c r="Q115" s="8" t="str">
        <f>IFERROR(INDEX(样本到样信息汇总统计!Q$2:Q$500,MATCH(114,样本到样信息汇总统计!$Z$2:$Z$500,0)),"")</f>
        <v/>
      </c>
      <c r="R115" s="8" t="str">
        <f>IFERROR(INDEX(样本到样信息汇总统计!R$2:R$500,MATCH(114,样本到样信息汇总统计!$Z$2:$Z$500,0)),"")</f>
        <v/>
      </c>
      <c r="S115" s="8" t="str">
        <f>IFERROR(INDEX(样本到样信息汇总统计!S$2:S$500,MATCH(114,样本到样信息汇总统计!$Z$2:$Z$500,0)),"")</f>
        <v/>
      </c>
      <c r="T115" s="8" t="str">
        <f>IFERROR(INDEX(样本到样信息汇总统计!T$2:T$500,MATCH(114,样本到样信息汇总统计!$Z$2:$Z$500,0)),"")</f>
        <v/>
      </c>
      <c r="U115" s="8" t="str">
        <f>IFERROR(INDEX(样本到样信息汇总统计!U$2:U$500,MATCH(114,样本到样信息汇总统计!$Z$2:$Z$500,0)),"")</f>
        <v/>
      </c>
      <c r="V115" s="8" t="str">
        <f>IFERROR(INDEX(样本到样信息汇总统计!V$2:V$500,MATCH(114,样本到样信息汇总统计!$Z$2:$Z$500,0)),"")</f>
        <v/>
      </c>
      <c r="W115" s="8" t="str">
        <f>IFERROR(INDEX(样本到样信息汇总统计!W$2:W$500,MATCH(114,样本到样信息汇总统计!$Z$2:$Z$500,0)),"")</f>
        <v/>
      </c>
    </row>
    <row r="116" ht="14.5" spans="1:23">
      <c r="A116" s="4" t="str">
        <f>IFERROR(INDEX(样本到样信息汇总统计!A$2:A$500,MATCH(115,样本到样信息汇总统计!$Z$2:$Z$500,0)),"")</f>
        <v/>
      </c>
      <c r="B116" s="4" t="str">
        <f>IFERROR(INDEX(样本到样信息汇总统计!B$2:B$500,MATCH(115,样本到样信息汇总统计!$Z$2:$Z$500,0)),"")</f>
        <v/>
      </c>
      <c r="C116" s="4" t="str">
        <f>IFERROR(INDEX(样本到样信息汇总统计!C$2:C$500,MATCH(115,样本到样信息汇总统计!$Z$2:$Z$500,0)),"")</f>
        <v/>
      </c>
      <c r="D116" s="4" t="str">
        <f>IFERROR(INDEX(样本到样信息汇总统计!D$2:D$500,MATCH(115,样本到样信息汇总统计!$Z$2:$Z$500,0)),"")</f>
        <v/>
      </c>
      <c r="E116" s="4" t="str">
        <f>IFERROR(INDEX(样本到样信息汇总统计!E$2:E$500,MATCH(115,样本到样信息汇总统计!$Z$2:$Z$500,0)),"")</f>
        <v/>
      </c>
      <c r="F116" s="4" t="str">
        <f>IFERROR(INDEX(样本到样信息汇总统计!F$2:F$500,MATCH(115,样本到样信息汇总统计!$Z$2:$Z$500,0)),"")</f>
        <v/>
      </c>
      <c r="G116" s="4" t="str">
        <f>IFERROR(INDEX(样本到样信息汇总统计!G$2:G$500,MATCH(115,样本到样信息汇总统计!$Z$2:$Z$500,0)),"")</f>
        <v/>
      </c>
      <c r="H116" s="4" t="str">
        <f>IFERROR(INDEX(样本到样信息汇总统计!H$2:H$500,MATCH(115,样本到样信息汇总统计!$Z$2:$Z$500,0)),"")</f>
        <v/>
      </c>
      <c r="I116" s="4" t="str">
        <f>IFERROR(INDEX(样本到样信息汇总统计!I$2:I$500,MATCH(115,样本到样信息汇总统计!$Z$2:$Z$500,0)),"")</f>
        <v/>
      </c>
      <c r="J116" s="4" t="str">
        <f>IFERROR(INDEX(样本到样信息汇总统计!J$2:J$500,MATCH(115,样本到样信息汇总统计!$Z$2:$Z$500,0)),"")</f>
        <v/>
      </c>
      <c r="K116" s="4" t="str">
        <f>IFERROR(INDEX(样本到样信息汇总统计!K$2:K$500,MATCH(115,样本到样信息汇总统计!$Z$2:$Z$500,0)),"")</f>
        <v/>
      </c>
      <c r="L116" s="4" t="str">
        <f>IFERROR(INDEX(样本到样信息汇总统计!L$2:L$500,MATCH(115,样本到样信息汇总统计!$Z$2:$Z$500,0)),"")</f>
        <v/>
      </c>
      <c r="M116" s="4" t="str">
        <f>IFERROR(INDEX(样本到样信息汇总统计!M$2:M$500,MATCH(115,样本到样信息汇总统计!$Z$2:$Z$500,0)),"")</f>
        <v/>
      </c>
      <c r="N116" s="4" t="str">
        <f>IFERROR(INDEX(样本到样信息汇总统计!N$2:N$500,MATCH(115,样本到样信息汇总统计!$Z$2:$Z$500,0)),"")</f>
        <v/>
      </c>
      <c r="O116" s="4" t="str">
        <f>IFERROR(INDEX(样本到样信息汇总统计!O$2:O$500,MATCH(115,样本到样信息汇总统计!$Z$2:$Z$500,0)),"")</f>
        <v/>
      </c>
      <c r="P116" s="4" t="str">
        <f>IFERROR(INDEX(样本到样信息汇总统计!P$2:P$500,MATCH(115,样本到样信息汇总统计!$Z$2:$Z$500,0)),"")</f>
        <v/>
      </c>
      <c r="Q116" s="4" t="str">
        <f>IFERROR(INDEX(样本到样信息汇总统计!Q$2:Q$500,MATCH(115,样本到样信息汇总统计!$Z$2:$Z$500,0)),"")</f>
        <v/>
      </c>
      <c r="R116" s="4" t="str">
        <f>IFERROR(INDEX(样本到样信息汇总统计!R$2:R$500,MATCH(115,样本到样信息汇总统计!$Z$2:$Z$500,0)),"")</f>
        <v/>
      </c>
      <c r="S116" s="4" t="str">
        <f>IFERROR(INDEX(样本到样信息汇总统计!S$2:S$500,MATCH(115,样本到样信息汇总统计!$Z$2:$Z$500,0)),"")</f>
        <v/>
      </c>
      <c r="T116" s="4" t="str">
        <f>IFERROR(INDEX(样本到样信息汇总统计!T$2:T$500,MATCH(115,样本到样信息汇总统计!$Z$2:$Z$500,0)),"")</f>
        <v/>
      </c>
      <c r="U116" s="4" t="str">
        <f>IFERROR(INDEX(样本到样信息汇总统计!U$2:U$500,MATCH(115,样本到样信息汇总统计!$Z$2:$Z$500,0)),"")</f>
        <v/>
      </c>
      <c r="V116" s="4" t="str">
        <f>IFERROR(INDEX(样本到样信息汇总统计!V$2:V$500,MATCH(115,样本到样信息汇总统计!$Z$2:$Z$500,0)),"")</f>
        <v/>
      </c>
      <c r="W116" s="4" t="str">
        <f>IFERROR(INDEX(样本到样信息汇总统计!W$2:W$500,MATCH(115,样本到样信息汇总统计!$Z$2:$Z$500,0)),"")</f>
        <v/>
      </c>
    </row>
    <row r="117" ht="14.5" spans="1:23">
      <c r="A117" s="8" t="str">
        <f>IFERROR(INDEX(样本到样信息汇总统计!A$2:A$500,MATCH(116,样本到样信息汇总统计!$Z$2:$Z$500,0)),"")</f>
        <v/>
      </c>
      <c r="B117" s="8" t="str">
        <f>IFERROR(INDEX(样本到样信息汇总统计!B$2:B$500,MATCH(116,样本到样信息汇总统计!$Z$2:$Z$500,0)),"")</f>
        <v/>
      </c>
      <c r="C117" s="8" t="str">
        <f>IFERROR(INDEX(样本到样信息汇总统计!C$2:C$500,MATCH(116,样本到样信息汇总统计!$Z$2:$Z$500,0)),"")</f>
        <v/>
      </c>
      <c r="D117" s="8" t="str">
        <f>IFERROR(INDEX(样本到样信息汇总统计!D$2:D$500,MATCH(116,样本到样信息汇总统计!$Z$2:$Z$500,0)),"")</f>
        <v/>
      </c>
      <c r="E117" s="8" t="str">
        <f>IFERROR(INDEX(样本到样信息汇总统计!E$2:E$500,MATCH(116,样本到样信息汇总统计!$Z$2:$Z$500,0)),"")</f>
        <v/>
      </c>
      <c r="F117" s="8" t="str">
        <f>IFERROR(INDEX(样本到样信息汇总统计!F$2:F$500,MATCH(116,样本到样信息汇总统计!$Z$2:$Z$500,0)),"")</f>
        <v/>
      </c>
      <c r="G117" s="8" t="str">
        <f>IFERROR(INDEX(样本到样信息汇总统计!G$2:G$500,MATCH(116,样本到样信息汇总统计!$Z$2:$Z$500,0)),"")</f>
        <v/>
      </c>
      <c r="H117" s="8" t="str">
        <f>IFERROR(INDEX(样本到样信息汇总统计!H$2:H$500,MATCH(116,样本到样信息汇总统计!$Z$2:$Z$500,0)),"")</f>
        <v/>
      </c>
      <c r="I117" s="8" t="str">
        <f>IFERROR(INDEX(样本到样信息汇总统计!I$2:I$500,MATCH(116,样本到样信息汇总统计!$Z$2:$Z$500,0)),"")</f>
        <v/>
      </c>
      <c r="J117" s="8" t="str">
        <f>IFERROR(INDEX(样本到样信息汇总统计!J$2:J$500,MATCH(116,样本到样信息汇总统计!$Z$2:$Z$500,0)),"")</f>
        <v/>
      </c>
      <c r="K117" s="8" t="str">
        <f>IFERROR(INDEX(样本到样信息汇总统计!K$2:K$500,MATCH(116,样本到样信息汇总统计!$Z$2:$Z$500,0)),"")</f>
        <v/>
      </c>
      <c r="L117" s="8" t="str">
        <f>IFERROR(INDEX(样本到样信息汇总统计!L$2:L$500,MATCH(116,样本到样信息汇总统计!$Z$2:$Z$500,0)),"")</f>
        <v/>
      </c>
      <c r="M117" s="8" t="str">
        <f>IFERROR(INDEX(样本到样信息汇总统计!M$2:M$500,MATCH(116,样本到样信息汇总统计!$Z$2:$Z$500,0)),"")</f>
        <v/>
      </c>
      <c r="N117" s="8" t="str">
        <f>IFERROR(INDEX(样本到样信息汇总统计!N$2:N$500,MATCH(116,样本到样信息汇总统计!$Z$2:$Z$500,0)),"")</f>
        <v/>
      </c>
      <c r="O117" s="8" t="str">
        <f>IFERROR(INDEX(样本到样信息汇总统计!O$2:O$500,MATCH(116,样本到样信息汇总统计!$Z$2:$Z$500,0)),"")</f>
        <v/>
      </c>
      <c r="P117" s="8" t="str">
        <f>IFERROR(INDEX(样本到样信息汇总统计!P$2:P$500,MATCH(116,样本到样信息汇总统计!$Z$2:$Z$500,0)),"")</f>
        <v/>
      </c>
      <c r="Q117" s="8" t="str">
        <f>IFERROR(INDEX(样本到样信息汇总统计!Q$2:Q$500,MATCH(116,样本到样信息汇总统计!$Z$2:$Z$500,0)),"")</f>
        <v/>
      </c>
      <c r="R117" s="8" t="str">
        <f>IFERROR(INDEX(样本到样信息汇总统计!R$2:R$500,MATCH(116,样本到样信息汇总统计!$Z$2:$Z$500,0)),"")</f>
        <v/>
      </c>
      <c r="S117" s="8" t="str">
        <f>IFERROR(INDEX(样本到样信息汇总统计!S$2:S$500,MATCH(116,样本到样信息汇总统计!$Z$2:$Z$500,0)),"")</f>
        <v/>
      </c>
      <c r="T117" s="8" t="str">
        <f>IFERROR(INDEX(样本到样信息汇总统计!T$2:T$500,MATCH(116,样本到样信息汇总统计!$Z$2:$Z$500,0)),"")</f>
        <v/>
      </c>
      <c r="U117" s="8" t="str">
        <f>IFERROR(INDEX(样本到样信息汇总统计!U$2:U$500,MATCH(116,样本到样信息汇总统计!$Z$2:$Z$500,0)),"")</f>
        <v/>
      </c>
      <c r="V117" s="8" t="str">
        <f>IFERROR(INDEX(样本到样信息汇总统计!V$2:V$500,MATCH(116,样本到样信息汇总统计!$Z$2:$Z$500,0)),"")</f>
        <v/>
      </c>
      <c r="W117" s="8" t="str">
        <f>IFERROR(INDEX(样本到样信息汇总统计!W$2:W$500,MATCH(116,样本到样信息汇总统计!$Z$2:$Z$500,0)),"")</f>
        <v/>
      </c>
    </row>
    <row r="118" ht="14.5" spans="1:23">
      <c r="A118" s="4" t="str">
        <f>IFERROR(INDEX(样本到样信息汇总统计!A$2:A$500,MATCH(117,样本到样信息汇总统计!$Z$2:$Z$500,0)),"")</f>
        <v/>
      </c>
      <c r="B118" s="4" t="str">
        <f>IFERROR(INDEX(样本到样信息汇总统计!B$2:B$500,MATCH(117,样本到样信息汇总统计!$Z$2:$Z$500,0)),"")</f>
        <v/>
      </c>
      <c r="C118" s="4" t="str">
        <f>IFERROR(INDEX(样本到样信息汇总统计!C$2:C$500,MATCH(117,样本到样信息汇总统计!$Z$2:$Z$500,0)),"")</f>
        <v/>
      </c>
      <c r="D118" s="4" t="str">
        <f>IFERROR(INDEX(样本到样信息汇总统计!D$2:D$500,MATCH(117,样本到样信息汇总统计!$Z$2:$Z$500,0)),"")</f>
        <v/>
      </c>
      <c r="E118" s="4" t="str">
        <f>IFERROR(INDEX(样本到样信息汇总统计!E$2:E$500,MATCH(117,样本到样信息汇总统计!$Z$2:$Z$500,0)),"")</f>
        <v/>
      </c>
      <c r="F118" s="4" t="str">
        <f>IFERROR(INDEX(样本到样信息汇总统计!F$2:F$500,MATCH(117,样本到样信息汇总统计!$Z$2:$Z$500,0)),"")</f>
        <v/>
      </c>
      <c r="G118" s="4" t="str">
        <f>IFERROR(INDEX(样本到样信息汇总统计!G$2:G$500,MATCH(117,样本到样信息汇总统计!$Z$2:$Z$500,0)),"")</f>
        <v/>
      </c>
      <c r="H118" s="4" t="str">
        <f>IFERROR(INDEX(样本到样信息汇总统计!H$2:H$500,MATCH(117,样本到样信息汇总统计!$Z$2:$Z$500,0)),"")</f>
        <v/>
      </c>
      <c r="I118" s="4" t="str">
        <f>IFERROR(INDEX(样本到样信息汇总统计!I$2:I$500,MATCH(117,样本到样信息汇总统计!$Z$2:$Z$500,0)),"")</f>
        <v/>
      </c>
      <c r="J118" s="4" t="str">
        <f>IFERROR(INDEX(样本到样信息汇总统计!J$2:J$500,MATCH(117,样本到样信息汇总统计!$Z$2:$Z$500,0)),"")</f>
        <v/>
      </c>
      <c r="K118" s="4" t="str">
        <f>IFERROR(INDEX(样本到样信息汇总统计!K$2:K$500,MATCH(117,样本到样信息汇总统计!$Z$2:$Z$500,0)),"")</f>
        <v/>
      </c>
      <c r="L118" s="4" t="str">
        <f>IFERROR(INDEX(样本到样信息汇总统计!L$2:L$500,MATCH(117,样本到样信息汇总统计!$Z$2:$Z$500,0)),"")</f>
        <v/>
      </c>
      <c r="M118" s="4" t="str">
        <f>IFERROR(INDEX(样本到样信息汇总统计!M$2:M$500,MATCH(117,样本到样信息汇总统计!$Z$2:$Z$500,0)),"")</f>
        <v/>
      </c>
      <c r="N118" s="4" t="str">
        <f>IFERROR(INDEX(样本到样信息汇总统计!N$2:N$500,MATCH(117,样本到样信息汇总统计!$Z$2:$Z$500,0)),"")</f>
        <v/>
      </c>
      <c r="O118" s="4" t="str">
        <f>IFERROR(INDEX(样本到样信息汇总统计!O$2:O$500,MATCH(117,样本到样信息汇总统计!$Z$2:$Z$500,0)),"")</f>
        <v/>
      </c>
      <c r="P118" s="4" t="str">
        <f>IFERROR(INDEX(样本到样信息汇总统计!P$2:P$500,MATCH(117,样本到样信息汇总统计!$Z$2:$Z$500,0)),"")</f>
        <v/>
      </c>
      <c r="Q118" s="4" t="str">
        <f>IFERROR(INDEX(样本到样信息汇总统计!Q$2:Q$500,MATCH(117,样本到样信息汇总统计!$Z$2:$Z$500,0)),"")</f>
        <v/>
      </c>
      <c r="R118" s="4" t="str">
        <f>IFERROR(INDEX(样本到样信息汇总统计!R$2:R$500,MATCH(117,样本到样信息汇总统计!$Z$2:$Z$500,0)),"")</f>
        <v/>
      </c>
      <c r="S118" s="4" t="str">
        <f>IFERROR(INDEX(样本到样信息汇总统计!S$2:S$500,MATCH(117,样本到样信息汇总统计!$Z$2:$Z$500,0)),"")</f>
        <v/>
      </c>
      <c r="T118" s="4" t="str">
        <f>IFERROR(INDEX(样本到样信息汇总统计!T$2:T$500,MATCH(117,样本到样信息汇总统计!$Z$2:$Z$500,0)),"")</f>
        <v/>
      </c>
      <c r="U118" s="4" t="str">
        <f>IFERROR(INDEX(样本到样信息汇总统计!U$2:U$500,MATCH(117,样本到样信息汇总统计!$Z$2:$Z$500,0)),"")</f>
        <v/>
      </c>
      <c r="V118" s="4" t="str">
        <f>IFERROR(INDEX(样本到样信息汇总统计!V$2:V$500,MATCH(117,样本到样信息汇总统计!$Z$2:$Z$500,0)),"")</f>
        <v/>
      </c>
      <c r="W118" s="4" t="str">
        <f>IFERROR(INDEX(样本到样信息汇总统计!W$2:W$500,MATCH(117,样本到样信息汇总统计!$Z$2:$Z$500,0)),"")</f>
        <v/>
      </c>
    </row>
    <row r="119" ht="14.5" spans="1:23">
      <c r="A119" s="8" t="str">
        <f>IFERROR(INDEX(样本到样信息汇总统计!A$2:A$500,MATCH(118,样本到样信息汇总统计!$Z$2:$Z$500,0)),"")</f>
        <v/>
      </c>
      <c r="B119" s="8" t="str">
        <f>IFERROR(INDEX(样本到样信息汇总统计!B$2:B$500,MATCH(118,样本到样信息汇总统计!$Z$2:$Z$500,0)),"")</f>
        <v/>
      </c>
      <c r="C119" s="8" t="str">
        <f>IFERROR(INDEX(样本到样信息汇总统计!C$2:C$500,MATCH(118,样本到样信息汇总统计!$Z$2:$Z$500,0)),"")</f>
        <v/>
      </c>
      <c r="D119" s="8" t="str">
        <f>IFERROR(INDEX(样本到样信息汇总统计!D$2:D$500,MATCH(118,样本到样信息汇总统计!$Z$2:$Z$500,0)),"")</f>
        <v/>
      </c>
      <c r="E119" s="8" t="str">
        <f>IFERROR(INDEX(样本到样信息汇总统计!E$2:E$500,MATCH(118,样本到样信息汇总统计!$Z$2:$Z$500,0)),"")</f>
        <v/>
      </c>
      <c r="F119" s="8" t="str">
        <f>IFERROR(INDEX(样本到样信息汇总统计!F$2:F$500,MATCH(118,样本到样信息汇总统计!$Z$2:$Z$500,0)),"")</f>
        <v/>
      </c>
      <c r="G119" s="8" t="str">
        <f>IFERROR(INDEX(样本到样信息汇总统计!G$2:G$500,MATCH(118,样本到样信息汇总统计!$Z$2:$Z$500,0)),"")</f>
        <v/>
      </c>
      <c r="H119" s="8" t="str">
        <f>IFERROR(INDEX(样本到样信息汇总统计!H$2:H$500,MATCH(118,样本到样信息汇总统计!$Z$2:$Z$500,0)),"")</f>
        <v/>
      </c>
      <c r="I119" s="8" t="str">
        <f>IFERROR(INDEX(样本到样信息汇总统计!I$2:I$500,MATCH(118,样本到样信息汇总统计!$Z$2:$Z$500,0)),"")</f>
        <v/>
      </c>
      <c r="J119" s="8" t="str">
        <f>IFERROR(INDEX(样本到样信息汇总统计!J$2:J$500,MATCH(118,样本到样信息汇总统计!$Z$2:$Z$500,0)),"")</f>
        <v/>
      </c>
      <c r="K119" s="8" t="str">
        <f>IFERROR(INDEX(样本到样信息汇总统计!K$2:K$500,MATCH(118,样本到样信息汇总统计!$Z$2:$Z$500,0)),"")</f>
        <v/>
      </c>
      <c r="L119" s="8" t="str">
        <f>IFERROR(INDEX(样本到样信息汇总统计!L$2:L$500,MATCH(118,样本到样信息汇总统计!$Z$2:$Z$500,0)),"")</f>
        <v/>
      </c>
      <c r="M119" s="8" t="str">
        <f>IFERROR(INDEX(样本到样信息汇总统计!M$2:M$500,MATCH(118,样本到样信息汇总统计!$Z$2:$Z$500,0)),"")</f>
        <v/>
      </c>
      <c r="N119" s="8" t="str">
        <f>IFERROR(INDEX(样本到样信息汇总统计!N$2:N$500,MATCH(118,样本到样信息汇总统计!$Z$2:$Z$500,0)),"")</f>
        <v/>
      </c>
      <c r="O119" s="8" t="str">
        <f>IFERROR(INDEX(样本到样信息汇总统计!O$2:O$500,MATCH(118,样本到样信息汇总统计!$Z$2:$Z$500,0)),"")</f>
        <v/>
      </c>
      <c r="P119" s="8" t="str">
        <f>IFERROR(INDEX(样本到样信息汇总统计!P$2:P$500,MATCH(118,样本到样信息汇总统计!$Z$2:$Z$500,0)),"")</f>
        <v/>
      </c>
      <c r="Q119" s="8" t="str">
        <f>IFERROR(INDEX(样本到样信息汇总统计!Q$2:Q$500,MATCH(118,样本到样信息汇总统计!$Z$2:$Z$500,0)),"")</f>
        <v/>
      </c>
      <c r="R119" s="8" t="str">
        <f>IFERROR(INDEX(样本到样信息汇总统计!R$2:R$500,MATCH(118,样本到样信息汇总统计!$Z$2:$Z$500,0)),"")</f>
        <v/>
      </c>
      <c r="S119" s="8" t="str">
        <f>IFERROR(INDEX(样本到样信息汇总统计!S$2:S$500,MATCH(118,样本到样信息汇总统计!$Z$2:$Z$500,0)),"")</f>
        <v/>
      </c>
      <c r="T119" s="8" t="str">
        <f>IFERROR(INDEX(样本到样信息汇总统计!T$2:T$500,MATCH(118,样本到样信息汇总统计!$Z$2:$Z$500,0)),"")</f>
        <v/>
      </c>
      <c r="U119" s="8" t="str">
        <f>IFERROR(INDEX(样本到样信息汇总统计!U$2:U$500,MATCH(118,样本到样信息汇总统计!$Z$2:$Z$500,0)),"")</f>
        <v/>
      </c>
      <c r="V119" s="8" t="str">
        <f>IFERROR(INDEX(样本到样信息汇总统计!V$2:V$500,MATCH(118,样本到样信息汇总统计!$Z$2:$Z$500,0)),"")</f>
        <v/>
      </c>
      <c r="W119" s="8" t="str">
        <f>IFERROR(INDEX(样本到样信息汇总统计!W$2:W$500,MATCH(118,样本到样信息汇总统计!$Z$2:$Z$500,0)),"")</f>
        <v/>
      </c>
    </row>
    <row r="120" ht="14.5" spans="1:23">
      <c r="A120" s="4" t="str">
        <f>IFERROR(INDEX(样本到样信息汇总统计!A$2:A$500,MATCH(119,样本到样信息汇总统计!$Z$2:$Z$500,0)),"")</f>
        <v/>
      </c>
      <c r="B120" s="4" t="str">
        <f>IFERROR(INDEX(样本到样信息汇总统计!B$2:B$500,MATCH(119,样本到样信息汇总统计!$Z$2:$Z$500,0)),"")</f>
        <v/>
      </c>
      <c r="C120" s="4" t="str">
        <f>IFERROR(INDEX(样本到样信息汇总统计!C$2:C$500,MATCH(119,样本到样信息汇总统计!$Z$2:$Z$500,0)),"")</f>
        <v/>
      </c>
      <c r="D120" s="4" t="str">
        <f>IFERROR(INDEX(样本到样信息汇总统计!D$2:D$500,MATCH(119,样本到样信息汇总统计!$Z$2:$Z$500,0)),"")</f>
        <v/>
      </c>
      <c r="E120" s="4" t="str">
        <f>IFERROR(INDEX(样本到样信息汇总统计!E$2:E$500,MATCH(119,样本到样信息汇总统计!$Z$2:$Z$500,0)),"")</f>
        <v/>
      </c>
      <c r="F120" s="4" t="str">
        <f>IFERROR(INDEX(样本到样信息汇总统计!F$2:F$500,MATCH(119,样本到样信息汇总统计!$Z$2:$Z$500,0)),"")</f>
        <v/>
      </c>
      <c r="G120" s="4" t="str">
        <f>IFERROR(INDEX(样本到样信息汇总统计!G$2:G$500,MATCH(119,样本到样信息汇总统计!$Z$2:$Z$500,0)),"")</f>
        <v/>
      </c>
      <c r="H120" s="4" t="str">
        <f>IFERROR(INDEX(样本到样信息汇总统计!H$2:H$500,MATCH(119,样本到样信息汇总统计!$Z$2:$Z$500,0)),"")</f>
        <v/>
      </c>
      <c r="I120" s="4" t="str">
        <f>IFERROR(INDEX(样本到样信息汇总统计!I$2:I$500,MATCH(119,样本到样信息汇总统计!$Z$2:$Z$500,0)),"")</f>
        <v/>
      </c>
      <c r="J120" s="4" t="str">
        <f>IFERROR(INDEX(样本到样信息汇总统计!J$2:J$500,MATCH(119,样本到样信息汇总统计!$Z$2:$Z$500,0)),"")</f>
        <v/>
      </c>
      <c r="K120" s="4" t="str">
        <f>IFERROR(INDEX(样本到样信息汇总统计!K$2:K$500,MATCH(119,样本到样信息汇总统计!$Z$2:$Z$500,0)),"")</f>
        <v/>
      </c>
      <c r="L120" s="4" t="str">
        <f>IFERROR(INDEX(样本到样信息汇总统计!L$2:L$500,MATCH(119,样本到样信息汇总统计!$Z$2:$Z$500,0)),"")</f>
        <v/>
      </c>
      <c r="M120" s="4" t="str">
        <f>IFERROR(INDEX(样本到样信息汇总统计!M$2:M$500,MATCH(119,样本到样信息汇总统计!$Z$2:$Z$500,0)),"")</f>
        <v/>
      </c>
      <c r="N120" s="4" t="str">
        <f>IFERROR(INDEX(样本到样信息汇总统计!N$2:N$500,MATCH(119,样本到样信息汇总统计!$Z$2:$Z$500,0)),"")</f>
        <v/>
      </c>
      <c r="O120" s="4" t="str">
        <f>IFERROR(INDEX(样本到样信息汇总统计!O$2:O$500,MATCH(119,样本到样信息汇总统计!$Z$2:$Z$500,0)),"")</f>
        <v/>
      </c>
      <c r="P120" s="4" t="str">
        <f>IFERROR(INDEX(样本到样信息汇总统计!P$2:P$500,MATCH(119,样本到样信息汇总统计!$Z$2:$Z$500,0)),"")</f>
        <v/>
      </c>
      <c r="Q120" s="4" t="str">
        <f>IFERROR(INDEX(样本到样信息汇总统计!Q$2:Q$500,MATCH(119,样本到样信息汇总统计!$Z$2:$Z$500,0)),"")</f>
        <v/>
      </c>
      <c r="R120" s="4" t="str">
        <f>IFERROR(INDEX(样本到样信息汇总统计!R$2:R$500,MATCH(119,样本到样信息汇总统计!$Z$2:$Z$500,0)),"")</f>
        <v/>
      </c>
      <c r="S120" s="4" t="str">
        <f>IFERROR(INDEX(样本到样信息汇总统计!S$2:S$500,MATCH(119,样本到样信息汇总统计!$Z$2:$Z$500,0)),"")</f>
        <v/>
      </c>
      <c r="T120" s="4" t="str">
        <f>IFERROR(INDEX(样本到样信息汇总统计!T$2:T$500,MATCH(119,样本到样信息汇总统计!$Z$2:$Z$500,0)),"")</f>
        <v/>
      </c>
      <c r="U120" s="4" t="str">
        <f>IFERROR(INDEX(样本到样信息汇总统计!U$2:U$500,MATCH(119,样本到样信息汇总统计!$Z$2:$Z$500,0)),"")</f>
        <v/>
      </c>
      <c r="V120" s="4" t="str">
        <f>IFERROR(INDEX(样本到样信息汇总统计!V$2:V$500,MATCH(119,样本到样信息汇总统计!$Z$2:$Z$500,0)),"")</f>
        <v/>
      </c>
      <c r="W120" s="4" t="str">
        <f>IFERROR(INDEX(样本到样信息汇总统计!W$2:W$500,MATCH(119,样本到样信息汇总统计!$Z$2:$Z$500,0)),"")</f>
        <v/>
      </c>
    </row>
    <row r="121" ht="14.5" spans="1:23">
      <c r="A121" s="8" t="str">
        <f>IFERROR(INDEX(样本到样信息汇总统计!A$2:A$500,MATCH(120,样本到样信息汇总统计!$Z$2:$Z$500,0)),"")</f>
        <v/>
      </c>
      <c r="B121" s="8" t="str">
        <f>IFERROR(INDEX(样本到样信息汇总统计!B$2:B$500,MATCH(120,样本到样信息汇总统计!$Z$2:$Z$500,0)),"")</f>
        <v/>
      </c>
      <c r="C121" s="8" t="str">
        <f>IFERROR(INDEX(样本到样信息汇总统计!C$2:C$500,MATCH(120,样本到样信息汇总统计!$Z$2:$Z$500,0)),"")</f>
        <v/>
      </c>
      <c r="D121" s="8" t="str">
        <f>IFERROR(INDEX(样本到样信息汇总统计!D$2:D$500,MATCH(120,样本到样信息汇总统计!$Z$2:$Z$500,0)),"")</f>
        <v/>
      </c>
      <c r="E121" s="8" t="str">
        <f>IFERROR(INDEX(样本到样信息汇总统计!E$2:E$500,MATCH(120,样本到样信息汇总统计!$Z$2:$Z$500,0)),"")</f>
        <v/>
      </c>
      <c r="F121" s="8" t="str">
        <f>IFERROR(INDEX(样本到样信息汇总统计!F$2:F$500,MATCH(120,样本到样信息汇总统计!$Z$2:$Z$500,0)),"")</f>
        <v/>
      </c>
      <c r="G121" s="8" t="str">
        <f>IFERROR(INDEX(样本到样信息汇总统计!G$2:G$500,MATCH(120,样本到样信息汇总统计!$Z$2:$Z$500,0)),"")</f>
        <v/>
      </c>
      <c r="H121" s="8" t="str">
        <f>IFERROR(INDEX(样本到样信息汇总统计!H$2:H$500,MATCH(120,样本到样信息汇总统计!$Z$2:$Z$500,0)),"")</f>
        <v/>
      </c>
      <c r="I121" s="8" t="str">
        <f>IFERROR(INDEX(样本到样信息汇总统计!I$2:I$500,MATCH(120,样本到样信息汇总统计!$Z$2:$Z$500,0)),"")</f>
        <v/>
      </c>
      <c r="J121" s="8" t="str">
        <f>IFERROR(INDEX(样本到样信息汇总统计!J$2:J$500,MATCH(120,样本到样信息汇总统计!$Z$2:$Z$500,0)),"")</f>
        <v/>
      </c>
      <c r="K121" s="8" t="str">
        <f>IFERROR(INDEX(样本到样信息汇总统计!K$2:K$500,MATCH(120,样本到样信息汇总统计!$Z$2:$Z$500,0)),"")</f>
        <v/>
      </c>
      <c r="L121" s="8" t="str">
        <f>IFERROR(INDEX(样本到样信息汇总统计!L$2:L$500,MATCH(120,样本到样信息汇总统计!$Z$2:$Z$500,0)),"")</f>
        <v/>
      </c>
      <c r="M121" s="8" t="str">
        <f>IFERROR(INDEX(样本到样信息汇总统计!M$2:M$500,MATCH(120,样本到样信息汇总统计!$Z$2:$Z$500,0)),"")</f>
        <v/>
      </c>
      <c r="N121" s="8" t="str">
        <f>IFERROR(INDEX(样本到样信息汇总统计!N$2:N$500,MATCH(120,样本到样信息汇总统计!$Z$2:$Z$500,0)),"")</f>
        <v/>
      </c>
      <c r="O121" s="8" t="str">
        <f>IFERROR(INDEX(样本到样信息汇总统计!O$2:O$500,MATCH(120,样本到样信息汇总统计!$Z$2:$Z$500,0)),"")</f>
        <v/>
      </c>
      <c r="P121" s="8" t="str">
        <f>IFERROR(INDEX(样本到样信息汇总统计!P$2:P$500,MATCH(120,样本到样信息汇总统计!$Z$2:$Z$500,0)),"")</f>
        <v/>
      </c>
      <c r="Q121" s="8" t="str">
        <f>IFERROR(INDEX(样本到样信息汇总统计!Q$2:Q$500,MATCH(120,样本到样信息汇总统计!$Z$2:$Z$500,0)),"")</f>
        <v/>
      </c>
      <c r="R121" s="8" t="str">
        <f>IFERROR(INDEX(样本到样信息汇总统计!R$2:R$500,MATCH(120,样本到样信息汇总统计!$Z$2:$Z$500,0)),"")</f>
        <v/>
      </c>
      <c r="S121" s="8" t="str">
        <f>IFERROR(INDEX(样本到样信息汇总统计!S$2:S$500,MATCH(120,样本到样信息汇总统计!$Z$2:$Z$500,0)),"")</f>
        <v/>
      </c>
      <c r="T121" s="8" t="str">
        <f>IFERROR(INDEX(样本到样信息汇总统计!T$2:T$500,MATCH(120,样本到样信息汇总统计!$Z$2:$Z$500,0)),"")</f>
        <v/>
      </c>
      <c r="U121" s="8" t="str">
        <f>IFERROR(INDEX(样本到样信息汇总统计!U$2:U$500,MATCH(120,样本到样信息汇总统计!$Z$2:$Z$500,0)),"")</f>
        <v/>
      </c>
      <c r="V121" s="8" t="str">
        <f>IFERROR(INDEX(样本到样信息汇总统计!V$2:V$500,MATCH(120,样本到样信息汇总统计!$Z$2:$Z$500,0)),"")</f>
        <v/>
      </c>
      <c r="W121" s="8" t="str">
        <f>IFERROR(INDEX(样本到样信息汇总统计!W$2:W$500,MATCH(120,样本到样信息汇总统计!$Z$2:$Z$500,0)),"")</f>
        <v/>
      </c>
    </row>
    <row r="122" ht="14.5" spans="1:23">
      <c r="A122" s="4" t="str">
        <f>IFERROR(INDEX(样本到样信息汇总统计!A$2:A$500,MATCH(121,样本到样信息汇总统计!$Z$2:$Z$500,0)),"")</f>
        <v/>
      </c>
      <c r="B122" s="4" t="str">
        <f>IFERROR(INDEX(样本到样信息汇总统计!B$2:B$500,MATCH(121,样本到样信息汇总统计!$Z$2:$Z$500,0)),"")</f>
        <v/>
      </c>
      <c r="C122" s="4" t="str">
        <f>IFERROR(INDEX(样本到样信息汇总统计!C$2:C$500,MATCH(121,样本到样信息汇总统计!$Z$2:$Z$500,0)),"")</f>
        <v/>
      </c>
      <c r="D122" s="4" t="str">
        <f>IFERROR(INDEX(样本到样信息汇总统计!D$2:D$500,MATCH(121,样本到样信息汇总统计!$Z$2:$Z$500,0)),"")</f>
        <v/>
      </c>
      <c r="E122" s="4" t="str">
        <f>IFERROR(INDEX(样本到样信息汇总统计!E$2:E$500,MATCH(121,样本到样信息汇总统计!$Z$2:$Z$500,0)),"")</f>
        <v/>
      </c>
      <c r="F122" s="4" t="str">
        <f>IFERROR(INDEX(样本到样信息汇总统计!F$2:F$500,MATCH(121,样本到样信息汇总统计!$Z$2:$Z$500,0)),"")</f>
        <v/>
      </c>
      <c r="G122" s="4" t="str">
        <f>IFERROR(INDEX(样本到样信息汇总统计!G$2:G$500,MATCH(121,样本到样信息汇总统计!$Z$2:$Z$500,0)),"")</f>
        <v/>
      </c>
      <c r="H122" s="4" t="str">
        <f>IFERROR(INDEX(样本到样信息汇总统计!H$2:H$500,MATCH(121,样本到样信息汇总统计!$Z$2:$Z$500,0)),"")</f>
        <v/>
      </c>
      <c r="I122" s="4" t="str">
        <f>IFERROR(INDEX(样本到样信息汇总统计!I$2:I$500,MATCH(121,样本到样信息汇总统计!$Z$2:$Z$500,0)),"")</f>
        <v/>
      </c>
      <c r="J122" s="4" t="str">
        <f>IFERROR(INDEX(样本到样信息汇总统计!J$2:J$500,MATCH(121,样本到样信息汇总统计!$Z$2:$Z$500,0)),"")</f>
        <v/>
      </c>
      <c r="K122" s="4" t="str">
        <f>IFERROR(INDEX(样本到样信息汇总统计!K$2:K$500,MATCH(121,样本到样信息汇总统计!$Z$2:$Z$500,0)),"")</f>
        <v/>
      </c>
      <c r="L122" s="4" t="str">
        <f>IFERROR(INDEX(样本到样信息汇总统计!L$2:L$500,MATCH(121,样本到样信息汇总统计!$Z$2:$Z$500,0)),"")</f>
        <v/>
      </c>
      <c r="M122" s="4" t="str">
        <f>IFERROR(INDEX(样本到样信息汇总统计!M$2:M$500,MATCH(121,样本到样信息汇总统计!$Z$2:$Z$500,0)),"")</f>
        <v/>
      </c>
      <c r="N122" s="4" t="str">
        <f>IFERROR(INDEX(样本到样信息汇总统计!N$2:N$500,MATCH(121,样本到样信息汇总统计!$Z$2:$Z$500,0)),"")</f>
        <v/>
      </c>
      <c r="O122" s="4" t="str">
        <f>IFERROR(INDEX(样本到样信息汇总统计!O$2:O$500,MATCH(121,样本到样信息汇总统计!$Z$2:$Z$500,0)),"")</f>
        <v/>
      </c>
      <c r="P122" s="4" t="str">
        <f>IFERROR(INDEX(样本到样信息汇总统计!P$2:P$500,MATCH(121,样本到样信息汇总统计!$Z$2:$Z$500,0)),"")</f>
        <v/>
      </c>
      <c r="Q122" s="4" t="str">
        <f>IFERROR(INDEX(样本到样信息汇总统计!Q$2:Q$500,MATCH(121,样本到样信息汇总统计!$Z$2:$Z$500,0)),"")</f>
        <v/>
      </c>
      <c r="R122" s="4" t="str">
        <f>IFERROR(INDEX(样本到样信息汇总统计!R$2:R$500,MATCH(121,样本到样信息汇总统计!$Z$2:$Z$500,0)),"")</f>
        <v/>
      </c>
      <c r="S122" s="4" t="str">
        <f>IFERROR(INDEX(样本到样信息汇总统计!S$2:S$500,MATCH(121,样本到样信息汇总统计!$Z$2:$Z$500,0)),"")</f>
        <v/>
      </c>
      <c r="T122" s="4" t="str">
        <f>IFERROR(INDEX(样本到样信息汇总统计!T$2:T$500,MATCH(121,样本到样信息汇总统计!$Z$2:$Z$500,0)),"")</f>
        <v/>
      </c>
      <c r="U122" s="4" t="str">
        <f>IFERROR(INDEX(样本到样信息汇总统计!U$2:U$500,MATCH(121,样本到样信息汇总统计!$Z$2:$Z$500,0)),"")</f>
        <v/>
      </c>
      <c r="V122" s="4" t="str">
        <f>IFERROR(INDEX(样本到样信息汇总统计!V$2:V$500,MATCH(121,样本到样信息汇总统计!$Z$2:$Z$500,0)),"")</f>
        <v/>
      </c>
      <c r="W122" s="4" t="str">
        <f>IFERROR(INDEX(样本到样信息汇总统计!W$2:W$500,MATCH(121,样本到样信息汇总统计!$Z$2:$Z$500,0)),"")</f>
        <v/>
      </c>
    </row>
    <row r="123" ht="14.5" spans="1:23">
      <c r="A123" s="8" t="str">
        <f>IFERROR(INDEX(样本到样信息汇总统计!A$2:A$500,MATCH(122,样本到样信息汇总统计!$Z$2:$Z$500,0)),"")</f>
        <v/>
      </c>
      <c r="B123" s="8" t="str">
        <f>IFERROR(INDEX(样本到样信息汇总统计!B$2:B$500,MATCH(122,样本到样信息汇总统计!$Z$2:$Z$500,0)),"")</f>
        <v/>
      </c>
      <c r="C123" s="8" t="str">
        <f>IFERROR(INDEX(样本到样信息汇总统计!C$2:C$500,MATCH(122,样本到样信息汇总统计!$Z$2:$Z$500,0)),"")</f>
        <v/>
      </c>
      <c r="D123" s="8" t="str">
        <f>IFERROR(INDEX(样本到样信息汇总统计!D$2:D$500,MATCH(122,样本到样信息汇总统计!$Z$2:$Z$500,0)),"")</f>
        <v/>
      </c>
      <c r="E123" s="8" t="str">
        <f>IFERROR(INDEX(样本到样信息汇总统计!E$2:E$500,MATCH(122,样本到样信息汇总统计!$Z$2:$Z$500,0)),"")</f>
        <v/>
      </c>
      <c r="F123" s="8" t="str">
        <f>IFERROR(INDEX(样本到样信息汇总统计!F$2:F$500,MATCH(122,样本到样信息汇总统计!$Z$2:$Z$500,0)),"")</f>
        <v/>
      </c>
      <c r="G123" s="8" t="str">
        <f>IFERROR(INDEX(样本到样信息汇总统计!G$2:G$500,MATCH(122,样本到样信息汇总统计!$Z$2:$Z$500,0)),"")</f>
        <v/>
      </c>
      <c r="H123" s="8" t="str">
        <f>IFERROR(INDEX(样本到样信息汇总统计!H$2:H$500,MATCH(122,样本到样信息汇总统计!$Z$2:$Z$500,0)),"")</f>
        <v/>
      </c>
      <c r="I123" s="8" t="str">
        <f>IFERROR(INDEX(样本到样信息汇总统计!I$2:I$500,MATCH(122,样本到样信息汇总统计!$Z$2:$Z$500,0)),"")</f>
        <v/>
      </c>
      <c r="J123" s="8" t="str">
        <f>IFERROR(INDEX(样本到样信息汇总统计!J$2:J$500,MATCH(122,样本到样信息汇总统计!$Z$2:$Z$500,0)),"")</f>
        <v/>
      </c>
      <c r="K123" s="8" t="str">
        <f>IFERROR(INDEX(样本到样信息汇总统计!K$2:K$500,MATCH(122,样本到样信息汇总统计!$Z$2:$Z$500,0)),"")</f>
        <v/>
      </c>
      <c r="L123" s="8" t="str">
        <f>IFERROR(INDEX(样本到样信息汇总统计!L$2:L$500,MATCH(122,样本到样信息汇总统计!$Z$2:$Z$500,0)),"")</f>
        <v/>
      </c>
      <c r="M123" s="8" t="str">
        <f>IFERROR(INDEX(样本到样信息汇总统计!M$2:M$500,MATCH(122,样本到样信息汇总统计!$Z$2:$Z$500,0)),"")</f>
        <v/>
      </c>
      <c r="N123" s="8" t="str">
        <f>IFERROR(INDEX(样本到样信息汇总统计!N$2:N$500,MATCH(122,样本到样信息汇总统计!$Z$2:$Z$500,0)),"")</f>
        <v/>
      </c>
      <c r="O123" s="8" t="str">
        <f>IFERROR(INDEX(样本到样信息汇总统计!O$2:O$500,MATCH(122,样本到样信息汇总统计!$Z$2:$Z$500,0)),"")</f>
        <v/>
      </c>
      <c r="P123" s="8" t="str">
        <f>IFERROR(INDEX(样本到样信息汇总统计!P$2:P$500,MATCH(122,样本到样信息汇总统计!$Z$2:$Z$500,0)),"")</f>
        <v/>
      </c>
      <c r="Q123" s="8" t="str">
        <f>IFERROR(INDEX(样本到样信息汇总统计!Q$2:Q$500,MATCH(122,样本到样信息汇总统计!$Z$2:$Z$500,0)),"")</f>
        <v/>
      </c>
      <c r="R123" s="8" t="str">
        <f>IFERROR(INDEX(样本到样信息汇总统计!R$2:R$500,MATCH(122,样本到样信息汇总统计!$Z$2:$Z$500,0)),"")</f>
        <v/>
      </c>
      <c r="S123" s="8" t="str">
        <f>IFERROR(INDEX(样本到样信息汇总统计!S$2:S$500,MATCH(122,样本到样信息汇总统计!$Z$2:$Z$500,0)),"")</f>
        <v/>
      </c>
      <c r="T123" s="8" t="str">
        <f>IFERROR(INDEX(样本到样信息汇总统计!T$2:T$500,MATCH(122,样本到样信息汇总统计!$Z$2:$Z$500,0)),"")</f>
        <v/>
      </c>
      <c r="U123" s="8" t="str">
        <f>IFERROR(INDEX(样本到样信息汇总统计!U$2:U$500,MATCH(122,样本到样信息汇总统计!$Z$2:$Z$500,0)),"")</f>
        <v/>
      </c>
      <c r="V123" s="8" t="str">
        <f>IFERROR(INDEX(样本到样信息汇总统计!V$2:V$500,MATCH(122,样本到样信息汇总统计!$Z$2:$Z$500,0)),"")</f>
        <v/>
      </c>
      <c r="W123" s="8" t="str">
        <f>IFERROR(INDEX(样本到样信息汇总统计!W$2:W$500,MATCH(122,样本到样信息汇总统计!$Z$2:$Z$500,0)),"")</f>
        <v/>
      </c>
    </row>
    <row r="124" ht="14.5" spans="1:23">
      <c r="A124" s="4" t="str">
        <f>IFERROR(INDEX(样本到样信息汇总统计!A$2:A$500,MATCH(123,样本到样信息汇总统计!$Z$2:$Z$500,0)),"")</f>
        <v/>
      </c>
      <c r="B124" s="4" t="str">
        <f>IFERROR(INDEX(样本到样信息汇总统计!B$2:B$500,MATCH(123,样本到样信息汇总统计!$Z$2:$Z$500,0)),"")</f>
        <v/>
      </c>
      <c r="C124" s="4" t="str">
        <f>IFERROR(INDEX(样本到样信息汇总统计!C$2:C$500,MATCH(123,样本到样信息汇总统计!$Z$2:$Z$500,0)),"")</f>
        <v/>
      </c>
      <c r="D124" s="4" t="str">
        <f>IFERROR(INDEX(样本到样信息汇总统计!D$2:D$500,MATCH(123,样本到样信息汇总统计!$Z$2:$Z$500,0)),"")</f>
        <v/>
      </c>
      <c r="E124" s="4" t="str">
        <f>IFERROR(INDEX(样本到样信息汇总统计!E$2:E$500,MATCH(123,样本到样信息汇总统计!$Z$2:$Z$500,0)),"")</f>
        <v/>
      </c>
      <c r="F124" s="4" t="str">
        <f>IFERROR(INDEX(样本到样信息汇总统计!F$2:F$500,MATCH(123,样本到样信息汇总统计!$Z$2:$Z$500,0)),"")</f>
        <v/>
      </c>
      <c r="G124" s="4" t="str">
        <f>IFERROR(INDEX(样本到样信息汇总统计!G$2:G$500,MATCH(123,样本到样信息汇总统计!$Z$2:$Z$500,0)),"")</f>
        <v/>
      </c>
      <c r="H124" s="4" t="str">
        <f>IFERROR(INDEX(样本到样信息汇总统计!H$2:H$500,MATCH(123,样本到样信息汇总统计!$Z$2:$Z$500,0)),"")</f>
        <v/>
      </c>
      <c r="I124" s="4" t="str">
        <f>IFERROR(INDEX(样本到样信息汇总统计!I$2:I$500,MATCH(123,样本到样信息汇总统计!$Z$2:$Z$500,0)),"")</f>
        <v/>
      </c>
      <c r="J124" s="4" t="str">
        <f>IFERROR(INDEX(样本到样信息汇总统计!J$2:J$500,MATCH(123,样本到样信息汇总统计!$Z$2:$Z$500,0)),"")</f>
        <v/>
      </c>
      <c r="K124" s="4" t="str">
        <f>IFERROR(INDEX(样本到样信息汇总统计!K$2:K$500,MATCH(123,样本到样信息汇总统计!$Z$2:$Z$500,0)),"")</f>
        <v/>
      </c>
      <c r="L124" s="4" t="str">
        <f>IFERROR(INDEX(样本到样信息汇总统计!L$2:L$500,MATCH(123,样本到样信息汇总统计!$Z$2:$Z$500,0)),"")</f>
        <v/>
      </c>
      <c r="M124" s="4" t="str">
        <f>IFERROR(INDEX(样本到样信息汇总统计!M$2:M$500,MATCH(123,样本到样信息汇总统计!$Z$2:$Z$500,0)),"")</f>
        <v/>
      </c>
      <c r="N124" s="4" t="str">
        <f>IFERROR(INDEX(样本到样信息汇总统计!N$2:N$500,MATCH(123,样本到样信息汇总统计!$Z$2:$Z$500,0)),"")</f>
        <v/>
      </c>
      <c r="O124" s="4" t="str">
        <f>IFERROR(INDEX(样本到样信息汇总统计!O$2:O$500,MATCH(123,样本到样信息汇总统计!$Z$2:$Z$500,0)),"")</f>
        <v/>
      </c>
      <c r="P124" s="4" t="str">
        <f>IFERROR(INDEX(样本到样信息汇总统计!P$2:P$500,MATCH(123,样本到样信息汇总统计!$Z$2:$Z$500,0)),"")</f>
        <v/>
      </c>
      <c r="Q124" s="4" t="str">
        <f>IFERROR(INDEX(样本到样信息汇总统计!Q$2:Q$500,MATCH(123,样本到样信息汇总统计!$Z$2:$Z$500,0)),"")</f>
        <v/>
      </c>
      <c r="R124" s="4" t="str">
        <f>IFERROR(INDEX(样本到样信息汇总统计!R$2:R$500,MATCH(123,样本到样信息汇总统计!$Z$2:$Z$500,0)),"")</f>
        <v/>
      </c>
      <c r="S124" s="4" t="str">
        <f>IFERROR(INDEX(样本到样信息汇总统计!S$2:S$500,MATCH(123,样本到样信息汇总统计!$Z$2:$Z$500,0)),"")</f>
        <v/>
      </c>
      <c r="T124" s="4" t="str">
        <f>IFERROR(INDEX(样本到样信息汇总统计!T$2:T$500,MATCH(123,样本到样信息汇总统计!$Z$2:$Z$500,0)),"")</f>
        <v/>
      </c>
      <c r="U124" s="4" t="str">
        <f>IFERROR(INDEX(样本到样信息汇总统计!U$2:U$500,MATCH(123,样本到样信息汇总统计!$Z$2:$Z$500,0)),"")</f>
        <v/>
      </c>
      <c r="V124" s="4" t="str">
        <f>IFERROR(INDEX(样本到样信息汇总统计!V$2:V$500,MATCH(123,样本到样信息汇总统计!$Z$2:$Z$500,0)),"")</f>
        <v/>
      </c>
      <c r="W124" s="4" t="str">
        <f>IFERROR(INDEX(样本到样信息汇总统计!W$2:W$500,MATCH(123,样本到样信息汇总统计!$Z$2:$Z$500,0)),"")</f>
        <v/>
      </c>
    </row>
    <row r="125" ht="14.5" spans="1:23">
      <c r="A125" s="8" t="str">
        <f>IFERROR(INDEX(样本到样信息汇总统计!A$2:A$500,MATCH(124,样本到样信息汇总统计!$Z$2:$Z$500,0)),"")</f>
        <v/>
      </c>
      <c r="B125" s="8" t="str">
        <f>IFERROR(INDEX(样本到样信息汇总统计!B$2:B$500,MATCH(124,样本到样信息汇总统计!$Z$2:$Z$500,0)),"")</f>
        <v/>
      </c>
      <c r="C125" s="8" t="str">
        <f>IFERROR(INDEX(样本到样信息汇总统计!C$2:C$500,MATCH(124,样本到样信息汇总统计!$Z$2:$Z$500,0)),"")</f>
        <v/>
      </c>
      <c r="D125" s="8" t="str">
        <f>IFERROR(INDEX(样本到样信息汇总统计!D$2:D$500,MATCH(124,样本到样信息汇总统计!$Z$2:$Z$500,0)),"")</f>
        <v/>
      </c>
      <c r="E125" s="8" t="str">
        <f>IFERROR(INDEX(样本到样信息汇总统计!E$2:E$500,MATCH(124,样本到样信息汇总统计!$Z$2:$Z$500,0)),"")</f>
        <v/>
      </c>
      <c r="F125" s="8" t="str">
        <f>IFERROR(INDEX(样本到样信息汇总统计!F$2:F$500,MATCH(124,样本到样信息汇总统计!$Z$2:$Z$500,0)),"")</f>
        <v/>
      </c>
      <c r="G125" s="8" t="str">
        <f>IFERROR(INDEX(样本到样信息汇总统计!G$2:G$500,MATCH(124,样本到样信息汇总统计!$Z$2:$Z$500,0)),"")</f>
        <v/>
      </c>
      <c r="H125" s="8" t="str">
        <f>IFERROR(INDEX(样本到样信息汇总统计!H$2:H$500,MATCH(124,样本到样信息汇总统计!$Z$2:$Z$500,0)),"")</f>
        <v/>
      </c>
      <c r="I125" s="8" t="str">
        <f>IFERROR(INDEX(样本到样信息汇总统计!I$2:I$500,MATCH(124,样本到样信息汇总统计!$Z$2:$Z$500,0)),"")</f>
        <v/>
      </c>
      <c r="J125" s="8" t="str">
        <f>IFERROR(INDEX(样本到样信息汇总统计!J$2:J$500,MATCH(124,样本到样信息汇总统计!$Z$2:$Z$500,0)),"")</f>
        <v/>
      </c>
      <c r="K125" s="8" t="str">
        <f>IFERROR(INDEX(样本到样信息汇总统计!K$2:K$500,MATCH(124,样本到样信息汇总统计!$Z$2:$Z$500,0)),"")</f>
        <v/>
      </c>
      <c r="L125" s="8" t="str">
        <f>IFERROR(INDEX(样本到样信息汇总统计!L$2:L$500,MATCH(124,样本到样信息汇总统计!$Z$2:$Z$500,0)),"")</f>
        <v/>
      </c>
      <c r="M125" s="8" t="str">
        <f>IFERROR(INDEX(样本到样信息汇总统计!M$2:M$500,MATCH(124,样本到样信息汇总统计!$Z$2:$Z$500,0)),"")</f>
        <v/>
      </c>
      <c r="N125" s="8" t="str">
        <f>IFERROR(INDEX(样本到样信息汇总统计!N$2:N$500,MATCH(124,样本到样信息汇总统计!$Z$2:$Z$500,0)),"")</f>
        <v/>
      </c>
      <c r="O125" s="8" t="str">
        <f>IFERROR(INDEX(样本到样信息汇总统计!O$2:O$500,MATCH(124,样本到样信息汇总统计!$Z$2:$Z$500,0)),"")</f>
        <v/>
      </c>
      <c r="P125" s="8" t="str">
        <f>IFERROR(INDEX(样本到样信息汇总统计!P$2:P$500,MATCH(124,样本到样信息汇总统计!$Z$2:$Z$500,0)),"")</f>
        <v/>
      </c>
      <c r="Q125" s="8" t="str">
        <f>IFERROR(INDEX(样本到样信息汇总统计!Q$2:Q$500,MATCH(124,样本到样信息汇总统计!$Z$2:$Z$500,0)),"")</f>
        <v/>
      </c>
      <c r="R125" s="8" t="str">
        <f>IFERROR(INDEX(样本到样信息汇总统计!R$2:R$500,MATCH(124,样本到样信息汇总统计!$Z$2:$Z$500,0)),"")</f>
        <v/>
      </c>
      <c r="S125" s="8" t="str">
        <f>IFERROR(INDEX(样本到样信息汇总统计!S$2:S$500,MATCH(124,样本到样信息汇总统计!$Z$2:$Z$500,0)),"")</f>
        <v/>
      </c>
      <c r="T125" s="8" t="str">
        <f>IFERROR(INDEX(样本到样信息汇总统计!T$2:T$500,MATCH(124,样本到样信息汇总统计!$Z$2:$Z$500,0)),"")</f>
        <v/>
      </c>
      <c r="U125" s="8" t="str">
        <f>IFERROR(INDEX(样本到样信息汇总统计!U$2:U$500,MATCH(124,样本到样信息汇总统计!$Z$2:$Z$500,0)),"")</f>
        <v/>
      </c>
      <c r="V125" s="8" t="str">
        <f>IFERROR(INDEX(样本到样信息汇总统计!V$2:V$500,MATCH(124,样本到样信息汇总统计!$Z$2:$Z$500,0)),"")</f>
        <v/>
      </c>
      <c r="W125" s="8" t="str">
        <f>IFERROR(INDEX(样本到样信息汇总统计!W$2:W$500,MATCH(124,样本到样信息汇总统计!$Z$2:$Z$500,0)),"")</f>
        <v/>
      </c>
    </row>
    <row r="126" ht="14.5" spans="1:23">
      <c r="A126" s="4" t="str">
        <f>IFERROR(INDEX(样本到样信息汇总统计!A$2:A$500,MATCH(125,样本到样信息汇总统计!$Z$2:$Z$500,0)),"")</f>
        <v/>
      </c>
      <c r="B126" s="4" t="str">
        <f>IFERROR(INDEX(样本到样信息汇总统计!B$2:B$500,MATCH(125,样本到样信息汇总统计!$Z$2:$Z$500,0)),"")</f>
        <v/>
      </c>
      <c r="C126" s="4" t="str">
        <f>IFERROR(INDEX(样本到样信息汇总统计!C$2:C$500,MATCH(125,样本到样信息汇总统计!$Z$2:$Z$500,0)),"")</f>
        <v/>
      </c>
      <c r="D126" s="4" t="str">
        <f>IFERROR(INDEX(样本到样信息汇总统计!D$2:D$500,MATCH(125,样本到样信息汇总统计!$Z$2:$Z$500,0)),"")</f>
        <v/>
      </c>
      <c r="E126" s="4" t="str">
        <f>IFERROR(INDEX(样本到样信息汇总统计!E$2:E$500,MATCH(125,样本到样信息汇总统计!$Z$2:$Z$500,0)),"")</f>
        <v/>
      </c>
      <c r="F126" s="4" t="str">
        <f>IFERROR(INDEX(样本到样信息汇总统计!F$2:F$500,MATCH(125,样本到样信息汇总统计!$Z$2:$Z$500,0)),"")</f>
        <v/>
      </c>
      <c r="G126" s="4" t="str">
        <f>IFERROR(INDEX(样本到样信息汇总统计!G$2:G$500,MATCH(125,样本到样信息汇总统计!$Z$2:$Z$500,0)),"")</f>
        <v/>
      </c>
      <c r="H126" s="4" t="str">
        <f>IFERROR(INDEX(样本到样信息汇总统计!H$2:H$500,MATCH(125,样本到样信息汇总统计!$Z$2:$Z$500,0)),"")</f>
        <v/>
      </c>
      <c r="I126" s="4" t="str">
        <f>IFERROR(INDEX(样本到样信息汇总统计!I$2:I$500,MATCH(125,样本到样信息汇总统计!$Z$2:$Z$500,0)),"")</f>
        <v/>
      </c>
      <c r="J126" s="4" t="str">
        <f>IFERROR(INDEX(样本到样信息汇总统计!J$2:J$500,MATCH(125,样本到样信息汇总统计!$Z$2:$Z$500,0)),"")</f>
        <v/>
      </c>
      <c r="K126" s="4" t="str">
        <f>IFERROR(INDEX(样本到样信息汇总统计!K$2:K$500,MATCH(125,样本到样信息汇总统计!$Z$2:$Z$500,0)),"")</f>
        <v/>
      </c>
      <c r="L126" s="4" t="str">
        <f>IFERROR(INDEX(样本到样信息汇总统计!L$2:L$500,MATCH(125,样本到样信息汇总统计!$Z$2:$Z$500,0)),"")</f>
        <v/>
      </c>
      <c r="M126" s="4" t="str">
        <f>IFERROR(INDEX(样本到样信息汇总统计!M$2:M$500,MATCH(125,样本到样信息汇总统计!$Z$2:$Z$500,0)),"")</f>
        <v/>
      </c>
      <c r="N126" s="4" t="str">
        <f>IFERROR(INDEX(样本到样信息汇总统计!N$2:N$500,MATCH(125,样本到样信息汇总统计!$Z$2:$Z$500,0)),"")</f>
        <v/>
      </c>
      <c r="O126" s="4" t="str">
        <f>IFERROR(INDEX(样本到样信息汇总统计!O$2:O$500,MATCH(125,样本到样信息汇总统计!$Z$2:$Z$500,0)),"")</f>
        <v/>
      </c>
      <c r="P126" s="4" t="str">
        <f>IFERROR(INDEX(样本到样信息汇总统计!P$2:P$500,MATCH(125,样本到样信息汇总统计!$Z$2:$Z$500,0)),"")</f>
        <v/>
      </c>
      <c r="Q126" s="4" t="str">
        <f>IFERROR(INDEX(样本到样信息汇总统计!Q$2:Q$500,MATCH(125,样本到样信息汇总统计!$Z$2:$Z$500,0)),"")</f>
        <v/>
      </c>
      <c r="R126" s="4" t="str">
        <f>IFERROR(INDEX(样本到样信息汇总统计!R$2:R$500,MATCH(125,样本到样信息汇总统计!$Z$2:$Z$500,0)),"")</f>
        <v/>
      </c>
      <c r="S126" s="4" t="str">
        <f>IFERROR(INDEX(样本到样信息汇总统计!S$2:S$500,MATCH(125,样本到样信息汇总统计!$Z$2:$Z$500,0)),"")</f>
        <v/>
      </c>
      <c r="T126" s="4" t="str">
        <f>IFERROR(INDEX(样本到样信息汇总统计!T$2:T$500,MATCH(125,样本到样信息汇总统计!$Z$2:$Z$500,0)),"")</f>
        <v/>
      </c>
      <c r="U126" s="4" t="str">
        <f>IFERROR(INDEX(样本到样信息汇总统计!U$2:U$500,MATCH(125,样本到样信息汇总统计!$Z$2:$Z$500,0)),"")</f>
        <v/>
      </c>
      <c r="V126" s="4" t="str">
        <f>IFERROR(INDEX(样本到样信息汇总统计!V$2:V$500,MATCH(125,样本到样信息汇总统计!$Z$2:$Z$500,0)),"")</f>
        <v/>
      </c>
      <c r="W126" s="4" t="str">
        <f>IFERROR(INDEX(样本到样信息汇总统计!W$2:W$500,MATCH(125,样本到样信息汇总统计!$Z$2:$Z$500,0)),"")</f>
        <v/>
      </c>
    </row>
    <row r="127" ht="14.5" spans="1:23">
      <c r="A127" s="8" t="str">
        <f>IFERROR(INDEX(样本到样信息汇总统计!A$2:A$500,MATCH(126,样本到样信息汇总统计!$Z$2:$Z$500,0)),"")</f>
        <v/>
      </c>
      <c r="B127" s="8" t="str">
        <f>IFERROR(INDEX(样本到样信息汇总统计!B$2:B$500,MATCH(126,样本到样信息汇总统计!$Z$2:$Z$500,0)),"")</f>
        <v/>
      </c>
      <c r="C127" s="8" t="str">
        <f>IFERROR(INDEX(样本到样信息汇总统计!C$2:C$500,MATCH(126,样本到样信息汇总统计!$Z$2:$Z$500,0)),"")</f>
        <v/>
      </c>
      <c r="D127" s="8" t="str">
        <f>IFERROR(INDEX(样本到样信息汇总统计!D$2:D$500,MATCH(126,样本到样信息汇总统计!$Z$2:$Z$500,0)),"")</f>
        <v/>
      </c>
      <c r="E127" s="8" t="str">
        <f>IFERROR(INDEX(样本到样信息汇总统计!E$2:E$500,MATCH(126,样本到样信息汇总统计!$Z$2:$Z$500,0)),"")</f>
        <v/>
      </c>
      <c r="F127" s="8" t="str">
        <f>IFERROR(INDEX(样本到样信息汇总统计!F$2:F$500,MATCH(126,样本到样信息汇总统计!$Z$2:$Z$500,0)),"")</f>
        <v/>
      </c>
      <c r="G127" s="8" t="str">
        <f>IFERROR(INDEX(样本到样信息汇总统计!G$2:G$500,MATCH(126,样本到样信息汇总统计!$Z$2:$Z$500,0)),"")</f>
        <v/>
      </c>
      <c r="H127" s="8" t="str">
        <f>IFERROR(INDEX(样本到样信息汇总统计!H$2:H$500,MATCH(126,样本到样信息汇总统计!$Z$2:$Z$500,0)),"")</f>
        <v/>
      </c>
      <c r="I127" s="8" t="str">
        <f>IFERROR(INDEX(样本到样信息汇总统计!I$2:I$500,MATCH(126,样本到样信息汇总统计!$Z$2:$Z$500,0)),"")</f>
        <v/>
      </c>
      <c r="J127" s="8" t="str">
        <f>IFERROR(INDEX(样本到样信息汇总统计!J$2:J$500,MATCH(126,样本到样信息汇总统计!$Z$2:$Z$500,0)),"")</f>
        <v/>
      </c>
      <c r="K127" s="8" t="str">
        <f>IFERROR(INDEX(样本到样信息汇总统计!K$2:K$500,MATCH(126,样本到样信息汇总统计!$Z$2:$Z$500,0)),"")</f>
        <v/>
      </c>
      <c r="L127" s="8" t="str">
        <f>IFERROR(INDEX(样本到样信息汇总统计!L$2:L$500,MATCH(126,样本到样信息汇总统计!$Z$2:$Z$500,0)),"")</f>
        <v/>
      </c>
      <c r="M127" s="8" t="str">
        <f>IFERROR(INDEX(样本到样信息汇总统计!M$2:M$500,MATCH(126,样本到样信息汇总统计!$Z$2:$Z$500,0)),"")</f>
        <v/>
      </c>
      <c r="N127" s="8" t="str">
        <f>IFERROR(INDEX(样本到样信息汇总统计!N$2:N$500,MATCH(126,样本到样信息汇总统计!$Z$2:$Z$500,0)),"")</f>
        <v/>
      </c>
      <c r="O127" s="8" t="str">
        <f>IFERROR(INDEX(样本到样信息汇总统计!O$2:O$500,MATCH(126,样本到样信息汇总统计!$Z$2:$Z$500,0)),"")</f>
        <v/>
      </c>
      <c r="P127" s="8" t="str">
        <f>IFERROR(INDEX(样本到样信息汇总统计!P$2:P$500,MATCH(126,样本到样信息汇总统计!$Z$2:$Z$500,0)),"")</f>
        <v/>
      </c>
      <c r="Q127" s="8" t="str">
        <f>IFERROR(INDEX(样本到样信息汇总统计!Q$2:Q$500,MATCH(126,样本到样信息汇总统计!$Z$2:$Z$500,0)),"")</f>
        <v/>
      </c>
      <c r="R127" s="8" t="str">
        <f>IFERROR(INDEX(样本到样信息汇总统计!R$2:R$500,MATCH(126,样本到样信息汇总统计!$Z$2:$Z$500,0)),"")</f>
        <v/>
      </c>
      <c r="S127" s="8" t="str">
        <f>IFERROR(INDEX(样本到样信息汇总统计!S$2:S$500,MATCH(126,样本到样信息汇总统计!$Z$2:$Z$500,0)),"")</f>
        <v/>
      </c>
      <c r="T127" s="8" t="str">
        <f>IFERROR(INDEX(样本到样信息汇总统计!T$2:T$500,MATCH(126,样本到样信息汇总统计!$Z$2:$Z$500,0)),"")</f>
        <v/>
      </c>
      <c r="U127" s="8" t="str">
        <f>IFERROR(INDEX(样本到样信息汇总统计!U$2:U$500,MATCH(126,样本到样信息汇总统计!$Z$2:$Z$500,0)),"")</f>
        <v/>
      </c>
      <c r="V127" s="8" t="str">
        <f>IFERROR(INDEX(样本到样信息汇总统计!V$2:V$500,MATCH(126,样本到样信息汇总统计!$Z$2:$Z$500,0)),"")</f>
        <v/>
      </c>
      <c r="W127" s="8" t="str">
        <f>IFERROR(INDEX(样本到样信息汇总统计!W$2:W$500,MATCH(126,样本到样信息汇总统计!$Z$2:$Z$500,0)),"")</f>
        <v/>
      </c>
    </row>
    <row r="128" ht="14.5" spans="1:23">
      <c r="A128" s="4" t="str">
        <f>IFERROR(INDEX(样本到样信息汇总统计!A$2:A$500,MATCH(127,样本到样信息汇总统计!$Z$2:$Z$500,0)),"")</f>
        <v/>
      </c>
      <c r="B128" s="4" t="str">
        <f>IFERROR(INDEX(样本到样信息汇总统计!B$2:B$500,MATCH(127,样本到样信息汇总统计!$Z$2:$Z$500,0)),"")</f>
        <v/>
      </c>
      <c r="C128" s="4" t="str">
        <f>IFERROR(INDEX(样本到样信息汇总统计!C$2:C$500,MATCH(127,样本到样信息汇总统计!$Z$2:$Z$500,0)),"")</f>
        <v/>
      </c>
      <c r="D128" s="4" t="str">
        <f>IFERROR(INDEX(样本到样信息汇总统计!D$2:D$500,MATCH(127,样本到样信息汇总统计!$Z$2:$Z$500,0)),"")</f>
        <v/>
      </c>
      <c r="E128" s="4" t="str">
        <f>IFERROR(INDEX(样本到样信息汇总统计!E$2:E$500,MATCH(127,样本到样信息汇总统计!$Z$2:$Z$500,0)),"")</f>
        <v/>
      </c>
      <c r="F128" s="4" t="str">
        <f>IFERROR(INDEX(样本到样信息汇总统计!F$2:F$500,MATCH(127,样本到样信息汇总统计!$Z$2:$Z$500,0)),"")</f>
        <v/>
      </c>
      <c r="G128" s="4" t="str">
        <f>IFERROR(INDEX(样本到样信息汇总统计!G$2:G$500,MATCH(127,样本到样信息汇总统计!$Z$2:$Z$500,0)),"")</f>
        <v/>
      </c>
      <c r="H128" s="4" t="str">
        <f>IFERROR(INDEX(样本到样信息汇总统计!H$2:H$500,MATCH(127,样本到样信息汇总统计!$Z$2:$Z$500,0)),"")</f>
        <v/>
      </c>
      <c r="I128" s="4" t="str">
        <f>IFERROR(INDEX(样本到样信息汇总统计!I$2:I$500,MATCH(127,样本到样信息汇总统计!$Z$2:$Z$500,0)),"")</f>
        <v/>
      </c>
      <c r="J128" s="4" t="str">
        <f>IFERROR(INDEX(样本到样信息汇总统计!J$2:J$500,MATCH(127,样本到样信息汇总统计!$Z$2:$Z$500,0)),"")</f>
        <v/>
      </c>
      <c r="K128" s="4" t="str">
        <f>IFERROR(INDEX(样本到样信息汇总统计!K$2:K$500,MATCH(127,样本到样信息汇总统计!$Z$2:$Z$500,0)),"")</f>
        <v/>
      </c>
      <c r="L128" s="4" t="str">
        <f>IFERROR(INDEX(样本到样信息汇总统计!L$2:L$500,MATCH(127,样本到样信息汇总统计!$Z$2:$Z$500,0)),"")</f>
        <v/>
      </c>
      <c r="M128" s="4" t="str">
        <f>IFERROR(INDEX(样本到样信息汇总统计!M$2:M$500,MATCH(127,样本到样信息汇总统计!$Z$2:$Z$500,0)),"")</f>
        <v/>
      </c>
      <c r="N128" s="4" t="str">
        <f>IFERROR(INDEX(样本到样信息汇总统计!N$2:N$500,MATCH(127,样本到样信息汇总统计!$Z$2:$Z$500,0)),"")</f>
        <v/>
      </c>
      <c r="O128" s="4" t="str">
        <f>IFERROR(INDEX(样本到样信息汇总统计!O$2:O$500,MATCH(127,样本到样信息汇总统计!$Z$2:$Z$500,0)),"")</f>
        <v/>
      </c>
      <c r="P128" s="4" t="str">
        <f>IFERROR(INDEX(样本到样信息汇总统计!P$2:P$500,MATCH(127,样本到样信息汇总统计!$Z$2:$Z$500,0)),"")</f>
        <v/>
      </c>
      <c r="Q128" s="4" t="str">
        <f>IFERROR(INDEX(样本到样信息汇总统计!Q$2:Q$500,MATCH(127,样本到样信息汇总统计!$Z$2:$Z$500,0)),"")</f>
        <v/>
      </c>
      <c r="R128" s="4" t="str">
        <f>IFERROR(INDEX(样本到样信息汇总统计!R$2:R$500,MATCH(127,样本到样信息汇总统计!$Z$2:$Z$500,0)),"")</f>
        <v/>
      </c>
      <c r="S128" s="4" t="str">
        <f>IFERROR(INDEX(样本到样信息汇总统计!S$2:S$500,MATCH(127,样本到样信息汇总统计!$Z$2:$Z$500,0)),"")</f>
        <v/>
      </c>
      <c r="T128" s="4" t="str">
        <f>IFERROR(INDEX(样本到样信息汇总统计!T$2:T$500,MATCH(127,样本到样信息汇总统计!$Z$2:$Z$500,0)),"")</f>
        <v/>
      </c>
      <c r="U128" s="4" t="str">
        <f>IFERROR(INDEX(样本到样信息汇总统计!U$2:U$500,MATCH(127,样本到样信息汇总统计!$Z$2:$Z$500,0)),"")</f>
        <v/>
      </c>
      <c r="V128" s="4" t="str">
        <f>IFERROR(INDEX(样本到样信息汇总统计!V$2:V$500,MATCH(127,样本到样信息汇总统计!$Z$2:$Z$500,0)),"")</f>
        <v/>
      </c>
      <c r="W128" s="4" t="str">
        <f>IFERROR(INDEX(样本到样信息汇总统计!W$2:W$500,MATCH(127,样本到样信息汇总统计!$Z$2:$Z$500,0)),"")</f>
        <v/>
      </c>
    </row>
    <row r="129" ht="14.5" spans="1:23">
      <c r="A129" s="8" t="str">
        <f>IFERROR(INDEX(样本到样信息汇总统计!A$2:A$500,MATCH(128,样本到样信息汇总统计!$Z$2:$Z$500,0)),"")</f>
        <v/>
      </c>
      <c r="B129" s="8" t="str">
        <f>IFERROR(INDEX(样本到样信息汇总统计!B$2:B$500,MATCH(128,样本到样信息汇总统计!$Z$2:$Z$500,0)),"")</f>
        <v/>
      </c>
      <c r="C129" s="8" t="str">
        <f>IFERROR(INDEX(样本到样信息汇总统计!C$2:C$500,MATCH(128,样本到样信息汇总统计!$Z$2:$Z$500,0)),"")</f>
        <v/>
      </c>
      <c r="D129" s="8" t="str">
        <f>IFERROR(INDEX(样本到样信息汇总统计!D$2:D$500,MATCH(128,样本到样信息汇总统计!$Z$2:$Z$500,0)),"")</f>
        <v/>
      </c>
      <c r="E129" s="8" t="str">
        <f>IFERROR(INDEX(样本到样信息汇总统计!E$2:E$500,MATCH(128,样本到样信息汇总统计!$Z$2:$Z$500,0)),"")</f>
        <v/>
      </c>
      <c r="F129" s="8" t="str">
        <f>IFERROR(INDEX(样本到样信息汇总统计!F$2:F$500,MATCH(128,样本到样信息汇总统计!$Z$2:$Z$500,0)),"")</f>
        <v/>
      </c>
      <c r="G129" s="8" t="str">
        <f>IFERROR(INDEX(样本到样信息汇总统计!G$2:G$500,MATCH(128,样本到样信息汇总统计!$Z$2:$Z$500,0)),"")</f>
        <v/>
      </c>
      <c r="H129" s="8" t="str">
        <f>IFERROR(INDEX(样本到样信息汇总统计!H$2:H$500,MATCH(128,样本到样信息汇总统计!$Z$2:$Z$500,0)),"")</f>
        <v/>
      </c>
      <c r="I129" s="8" t="str">
        <f>IFERROR(INDEX(样本到样信息汇总统计!I$2:I$500,MATCH(128,样本到样信息汇总统计!$Z$2:$Z$500,0)),"")</f>
        <v/>
      </c>
      <c r="J129" s="8" t="str">
        <f>IFERROR(INDEX(样本到样信息汇总统计!J$2:J$500,MATCH(128,样本到样信息汇总统计!$Z$2:$Z$500,0)),"")</f>
        <v/>
      </c>
      <c r="K129" s="8" t="str">
        <f>IFERROR(INDEX(样本到样信息汇总统计!K$2:K$500,MATCH(128,样本到样信息汇总统计!$Z$2:$Z$500,0)),"")</f>
        <v/>
      </c>
      <c r="L129" s="8" t="str">
        <f>IFERROR(INDEX(样本到样信息汇总统计!L$2:L$500,MATCH(128,样本到样信息汇总统计!$Z$2:$Z$500,0)),"")</f>
        <v/>
      </c>
      <c r="M129" s="8" t="str">
        <f>IFERROR(INDEX(样本到样信息汇总统计!M$2:M$500,MATCH(128,样本到样信息汇总统计!$Z$2:$Z$500,0)),"")</f>
        <v/>
      </c>
      <c r="N129" s="8" t="str">
        <f>IFERROR(INDEX(样本到样信息汇总统计!N$2:N$500,MATCH(128,样本到样信息汇总统计!$Z$2:$Z$500,0)),"")</f>
        <v/>
      </c>
      <c r="O129" s="8" t="str">
        <f>IFERROR(INDEX(样本到样信息汇总统计!O$2:O$500,MATCH(128,样本到样信息汇总统计!$Z$2:$Z$500,0)),"")</f>
        <v/>
      </c>
      <c r="P129" s="8" t="str">
        <f>IFERROR(INDEX(样本到样信息汇总统计!P$2:P$500,MATCH(128,样本到样信息汇总统计!$Z$2:$Z$500,0)),"")</f>
        <v/>
      </c>
      <c r="Q129" s="8" t="str">
        <f>IFERROR(INDEX(样本到样信息汇总统计!Q$2:Q$500,MATCH(128,样本到样信息汇总统计!$Z$2:$Z$500,0)),"")</f>
        <v/>
      </c>
      <c r="R129" s="8" t="str">
        <f>IFERROR(INDEX(样本到样信息汇总统计!R$2:R$500,MATCH(128,样本到样信息汇总统计!$Z$2:$Z$500,0)),"")</f>
        <v/>
      </c>
      <c r="S129" s="8" t="str">
        <f>IFERROR(INDEX(样本到样信息汇总统计!S$2:S$500,MATCH(128,样本到样信息汇总统计!$Z$2:$Z$500,0)),"")</f>
        <v/>
      </c>
      <c r="T129" s="8" t="str">
        <f>IFERROR(INDEX(样本到样信息汇总统计!T$2:T$500,MATCH(128,样本到样信息汇总统计!$Z$2:$Z$500,0)),"")</f>
        <v/>
      </c>
      <c r="U129" s="8" t="str">
        <f>IFERROR(INDEX(样本到样信息汇总统计!U$2:U$500,MATCH(128,样本到样信息汇总统计!$Z$2:$Z$500,0)),"")</f>
        <v/>
      </c>
      <c r="V129" s="8" t="str">
        <f>IFERROR(INDEX(样本到样信息汇总统计!V$2:V$500,MATCH(128,样本到样信息汇总统计!$Z$2:$Z$500,0)),"")</f>
        <v/>
      </c>
      <c r="W129" s="8" t="str">
        <f>IFERROR(INDEX(样本到样信息汇总统计!W$2:W$500,MATCH(128,样本到样信息汇总统计!$Z$2:$Z$500,0)),"")</f>
        <v/>
      </c>
    </row>
    <row r="130" ht="14.5" spans="1:23">
      <c r="A130" s="4" t="str">
        <f>IFERROR(INDEX(样本到样信息汇总统计!A$2:A$500,MATCH(129,样本到样信息汇总统计!$Z$2:$Z$500,0)),"")</f>
        <v/>
      </c>
      <c r="B130" s="4" t="str">
        <f>IFERROR(INDEX(样本到样信息汇总统计!B$2:B$500,MATCH(129,样本到样信息汇总统计!$Z$2:$Z$500,0)),"")</f>
        <v/>
      </c>
      <c r="C130" s="4" t="str">
        <f>IFERROR(INDEX(样本到样信息汇总统计!C$2:C$500,MATCH(129,样本到样信息汇总统计!$Z$2:$Z$500,0)),"")</f>
        <v/>
      </c>
      <c r="D130" s="4" t="str">
        <f>IFERROR(INDEX(样本到样信息汇总统计!D$2:D$500,MATCH(129,样本到样信息汇总统计!$Z$2:$Z$500,0)),"")</f>
        <v/>
      </c>
      <c r="E130" s="4" t="str">
        <f>IFERROR(INDEX(样本到样信息汇总统计!E$2:E$500,MATCH(129,样本到样信息汇总统计!$Z$2:$Z$500,0)),"")</f>
        <v/>
      </c>
      <c r="F130" s="4" t="str">
        <f>IFERROR(INDEX(样本到样信息汇总统计!F$2:F$500,MATCH(129,样本到样信息汇总统计!$Z$2:$Z$500,0)),"")</f>
        <v/>
      </c>
      <c r="G130" s="4" t="str">
        <f>IFERROR(INDEX(样本到样信息汇总统计!G$2:G$500,MATCH(129,样本到样信息汇总统计!$Z$2:$Z$500,0)),"")</f>
        <v/>
      </c>
      <c r="H130" s="4" t="str">
        <f>IFERROR(INDEX(样本到样信息汇总统计!H$2:H$500,MATCH(129,样本到样信息汇总统计!$Z$2:$Z$500,0)),"")</f>
        <v/>
      </c>
      <c r="I130" s="4" t="str">
        <f>IFERROR(INDEX(样本到样信息汇总统计!I$2:I$500,MATCH(129,样本到样信息汇总统计!$Z$2:$Z$500,0)),"")</f>
        <v/>
      </c>
      <c r="J130" s="4" t="str">
        <f>IFERROR(INDEX(样本到样信息汇总统计!J$2:J$500,MATCH(129,样本到样信息汇总统计!$Z$2:$Z$500,0)),"")</f>
        <v/>
      </c>
      <c r="K130" s="4" t="str">
        <f>IFERROR(INDEX(样本到样信息汇总统计!K$2:K$500,MATCH(129,样本到样信息汇总统计!$Z$2:$Z$500,0)),"")</f>
        <v/>
      </c>
      <c r="L130" s="4" t="str">
        <f>IFERROR(INDEX(样本到样信息汇总统计!L$2:L$500,MATCH(129,样本到样信息汇总统计!$Z$2:$Z$500,0)),"")</f>
        <v/>
      </c>
      <c r="M130" s="4" t="str">
        <f>IFERROR(INDEX(样本到样信息汇总统计!M$2:M$500,MATCH(129,样本到样信息汇总统计!$Z$2:$Z$500,0)),"")</f>
        <v/>
      </c>
      <c r="N130" s="4" t="str">
        <f>IFERROR(INDEX(样本到样信息汇总统计!N$2:N$500,MATCH(129,样本到样信息汇总统计!$Z$2:$Z$500,0)),"")</f>
        <v/>
      </c>
      <c r="O130" s="4" t="str">
        <f>IFERROR(INDEX(样本到样信息汇总统计!O$2:O$500,MATCH(129,样本到样信息汇总统计!$Z$2:$Z$500,0)),"")</f>
        <v/>
      </c>
      <c r="P130" s="4" t="str">
        <f>IFERROR(INDEX(样本到样信息汇总统计!P$2:P$500,MATCH(129,样本到样信息汇总统计!$Z$2:$Z$500,0)),"")</f>
        <v/>
      </c>
      <c r="Q130" s="4" t="str">
        <f>IFERROR(INDEX(样本到样信息汇总统计!Q$2:Q$500,MATCH(129,样本到样信息汇总统计!$Z$2:$Z$500,0)),"")</f>
        <v/>
      </c>
      <c r="R130" s="4" t="str">
        <f>IFERROR(INDEX(样本到样信息汇总统计!R$2:R$500,MATCH(129,样本到样信息汇总统计!$Z$2:$Z$500,0)),"")</f>
        <v/>
      </c>
      <c r="S130" s="4" t="str">
        <f>IFERROR(INDEX(样本到样信息汇总统计!S$2:S$500,MATCH(129,样本到样信息汇总统计!$Z$2:$Z$500,0)),"")</f>
        <v/>
      </c>
      <c r="T130" s="4" t="str">
        <f>IFERROR(INDEX(样本到样信息汇总统计!T$2:T$500,MATCH(129,样本到样信息汇总统计!$Z$2:$Z$500,0)),"")</f>
        <v/>
      </c>
      <c r="U130" s="4" t="str">
        <f>IFERROR(INDEX(样本到样信息汇总统计!U$2:U$500,MATCH(129,样本到样信息汇总统计!$Z$2:$Z$500,0)),"")</f>
        <v/>
      </c>
      <c r="V130" s="4" t="str">
        <f>IFERROR(INDEX(样本到样信息汇总统计!V$2:V$500,MATCH(129,样本到样信息汇总统计!$Z$2:$Z$500,0)),"")</f>
        <v/>
      </c>
      <c r="W130" s="4" t="str">
        <f>IFERROR(INDEX(样本到样信息汇总统计!W$2:W$500,MATCH(129,样本到样信息汇总统计!$Z$2:$Z$500,0)),"")</f>
        <v/>
      </c>
    </row>
    <row r="131" ht="14.5" spans="1:23">
      <c r="A131" s="8" t="str">
        <f>IFERROR(INDEX(样本到样信息汇总统计!A$2:A$500,MATCH(130,样本到样信息汇总统计!$Z$2:$Z$500,0)),"")</f>
        <v/>
      </c>
      <c r="B131" s="8" t="str">
        <f>IFERROR(INDEX(样本到样信息汇总统计!B$2:B$500,MATCH(130,样本到样信息汇总统计!$Z$2:$Z$500,0)),"")</f>
        <v/>
      </c>
      <c r="C131" s="8" t="str">
        <f>IFERROR(INDEX(样本到样信息汇总统计!C$2:C$500,MATCH(130,样本到样信息汇总统计!$Z$2:$Z$500,0)),"")</f>
        <v/>
      </c>
      <c r="D131" s="8" t="str">
        <f>IFERROR(INDEX(样本到样信息汇总统计!D$2:D$500,MATCH(130,样本到样信息汇总统计!$Z$2:$Z$500,0)),"")</f>
        <v/>
      </c>
      <c r="E131" s="8" t="str">
        <f>IFERROR(INDEX(样本到样信息汇总统计!E$2:E$500,MATCH(130,样本到样信息汇总统计!$Z$2:$Z$500,0)),"")</f>
        <v/>
      </c>
      <c r="F131" s="8" t="str">
        <f>IFERROR(INDEX(样本到样信息汇总统计!F$2:F$500,MATCH(130,样本到样信息汇总统计!$Z$2:$Z$500,0)),"")</f>
        <v/>
      </c>
      <c r="G131" s="8" t="str">
        <f>IFERROR(INDEX(样本到样信息汇总统计!G$2:G$500,MATCH(130,样本到样信息汇总统计!$Z$2:$Z$500,0)),"")</f>
        <v/>
      </c>
      <c r="H131" s="8" t="str">
        <f>IFERROR(INDEX(样本到样信息汇总统计!H$2:H$500,MATCH(130,样本到样信息汇总统计!$Z$2:$Z$500,0)),"")</f>
        <v/>
      </c>
      <c r="I131" s="8" t="str">
        <f>IFERROR(INDEX(样本到样信息汇总统计!I$2:I$500,MATCH(130,样本到样信息汇总统计!$Z$2:$Z$500,0)),"")</f>
        <v/>
      </c>
      <c r="J131" s="8" t="str">
        <f>IFERROR(INDEX(样本到样信息汇总统计!J$2:J$500,MATCH(130,样本到样信息汇总统计!$Z$2:$Z$500,0)),"")</f>
        <v/>
      </c>
      <c r="K131" s="8" t="str">
        <f>IFERROR(INDEX(样本到样信息汇总统计!K$2:K$500,MATCH(130,样本到样信息汇总统计!$Z$2:$Z$500,0)),"")</f>
        <v/>
      </c>
      <c r="L131" s="8" t="str">
        <f>IFERROR(INDEX(样本到样信息汇总统计!L$2:L$500,MATCH(130,样本到样信息汇总统计!$Z$2:$Z$500,0)),"")</f>
        <v/>
      </c>
      <c r="M131" s="8" t="str">
        <f>IFERROR(INDEX(样本到样信息汇总统计!M$2:M$500,MATCH(130,样本到样信息汇总统计!$Z$2:$Z$500,0)),"")</f>
        <v/>
      </c>
      <c r="N131" s="8" t="str">
        <f>IFERROR(INDEX(样本到样信息汇总统计!N$2:N$500,MATCH(130,样本到样信息汇总统计!$Z$2:$Z$500,0)),"")</f>
        <v/>
      </c>
      <c r="O131" s="8" t="str">
        <f>IFERROR(INDEX(样本到样信息汇总统计!O$2:O$500,MATCH(130,样本到样信息汇总统计!$Z$2:$Z$500,0)),"")</f>
        <v/>
      </c>
      <c r="P131" s="8" t="str">
        <f>IFERROR(INDEX(样本到样信息汇总统计!P$2:P$500,MATCH(130,样本到样信息汇总统计!$Z$2:$Z$500,0)),"")</f>
        <v/>
      </c>
      <c r="Q131" s="8" t="str">
        <f>IFERROR(INDEX(样本到样信息汇总统计!Q$2:Q$500,MATCH(130,样本到样信息汇总统计!$Z$2:$Z$500,0)),"")</f>
        <v/>
      </c>
      <c r="R131" s="8" t="str">
        <f>IFERROR(INDEX(样本到样信息汇总统计!R$2:R$500,MATCH(130,样本到样信息汇总统计!$Z$2:$Z$500,0)),"")</f>
        <v/>
      </c>
      <c r="S131" s="8" t="str">
        <f>IFERROR(INDEX(样本到样信息汇总统计!S$2:S$500,MATCH(130,样本到样信息汇总统计!$Z$2:$Z$500,0)),"")</f>
        <v/>
      </c>
      <c r="T131" s="8" t="str">
        <f>IFERROR(INDEX(样本到样信息汇总统计!T$2:T$500,MATCH(130,样本到样信息汇总统计!$Z$2:$Z$500,0)),"")</f>
        <v/>
      </c>
      <c r="U131" s="8" t="str">
        <f>IFERROR(INDEX(样本到样信息汇总统计!U$2:U$500,MATCH(130,样本到样信息汇总统计!$Z$2:$Z$500,0)),"")</f>
        <v/>
      </c>
      <c r="V131" s="8" t="str">
        <f>IFERROR(INDEX(样本到样信息汇总统计!V$2:V$500,MATCH(130,样本到样信息汇总统计!$Z$2:$Z$500,0)),"")</f>
        <v/>
      </c>
      <c r="W131" s="8" t="str">
        <f>IFERROR(INDEX(样本到样信息汇总统计!W$2:W$500,MATCH(130,样本到样信息汇总统计!$Z$2:$Z$500,0)),"")</f>
        <v/>
      </c>
    </row>
    <row r="132" ht="14.5" spans="1:23">
      <c r="A132" s="4" t="str">
        <f>IFERROR(INDEX(样本到样信息汇总统计!A$2:A$500,MATCH(131,样本到样信息汇总统计!$Z$2:$Z$500,0)),"")</f>
        <v/>
      </c>
      <c r="B132" s="4" t="str">
        <f>IFERROR(INDEX(样本到样信息汇总统计!B$2:B$500,MATCH(131,样本到样信息汇总统计!$Z$2:$Z$500,0)),"")</f>
        <v/>
      </c>
      <c r="C132" s="4" t="str">
        <f>IFERROR(INDEX(样本到样信息汇总统计!C$2:C$500,MATCH(131,样本到样信息汇总统计!$Z$2:$Z$500,0)),"")</f>
        <v/>
      </c>
      <c r="D132" s="4" t="str">
        <f>IFERROR(INDEX(样本到样信息汇总统计!D$2:D$500,MATCH(131,样本到样信息汇总统计!$Z$2:$Z$500,0)),"")</f>
        <v/>
      </c>
      <c r="E132" s="4" t="str">
        <f>IFERROR(INDEX(样本到样信息汇总统计!E$2:E$500,MATCH(131,样本到样信息汇总统计!$Z$2:$Z$500,0)),"")</f>
        <v/>
      </c>
      <c r="F132" s="4" t="str">
        <f>IFERROR(INDEX(样本到样信息汇总统计!F$2:F$500,MATCH(131,样本到样信息汇总统计!$Z$2:$Z$500,0)),"")</f>
        <v/>
      </c>
      <c r="G132" s="4" t="str">
        <f>IFERROR(INDEX(样本到样信息汇总统计!G$2:G$500,MATCH(131,样本到样信息汇总统计!$Z$2:$Z$500,0)),"")</f>
        <v/>
      </c>
      <c r="H132" s="4" t="str">
        <f>IFERROR(INDEX(样本到样信息汇总统计!H$2:H$500,MATCH(131,样本到样信息汇总统计!$Z$2:$Z$500,0)),"")</f>
        <v/>
      </c>
      <c r="I132" s="4" t="str">
        <f>IFERROR(INDEX(样本到样信息汇总统计!I$2:I$500,MATCH(131,样本到样信息汇总统计!$Z$2:$Z$500,0)),"")</f>
        <v/>
      </c>
      <c r="J132" s="4" t="str">
        <f>IFERROR(INDEX(样本到样信息汇总统计!J$2:J$500,MATCH(131,样本到样信息汇总统计!$Z$2:$Z$500,0)),"")</f>
        <v/>
      </c>
      <c r="K132" s="4" t="str">
        <f>IFERROR(INDEX(样本到样信息汇总统计!K$2:K$500,MATCH(131,样本到样信息汇总统计!$Z$2:$Z$500,0)),"")</f>
        <v/>
      </c>
      <c r="L132" s="4" t="str">
        <f>IFERROR(INDEX(样本到样信息汇总统计!L$2:L$500,MATCH(131,样本到样信息汇总统计!$Z$2:$Z$500,0)),"")</f>
        <v/>
      </c>
      <c r="M132" s="4" t="str">
        <f>IFERROR(INDEX(样本到样信息汇总统计!M$2:M$500,MATCH(131,样本到样信息汇总统计!$Z$2:$Z$500,0)),"")</f>
        <v/>
      </c>
      <c r="N132" s="4" t="str">
        <f>IFERROR(INDEX(样本到样信息汇总统计!N$2:N$500,MATCH(131,样本到样信息汇总统计!$Z$2:$Z$500,0)),"")</f>
        <v/>
      </c>
      <c r="O132" s="4" t="str">
        <f>IFERROR(INDEX(样本到样信息汇总统计!O$2:O$500,MATCH(131,样本到样信息汇总统计!$Z$2:$Z$500,0)),"")</f>
        <v/>
      </c>
      <c r="P132" s="4" t="str">
        <f>IFERROR(INDEX(样本到样信息汇总统计!P$2:P$500,MATCH(131,样本到样信息汇总统计!$Z$2:$Z$500,0)),"")</f>
        <v/>
      </c>
      <c r="Q132" s="4" t="str">
        <f>IFERROR(INDEX(样本到样信息汇总统计!Q$2:Q$500,MATCH(131,样本到样信息汇总统计!$Z$2:$Z$500,0)),"")</f>
        <v/>
      </c>
      <c r="R132" s="4" t="str">
        <f>IFERROR(INDEX(样本到样信息汇总统计!R$2:R$500,MATCH(131,样本到样信息汇总统计!$Z$2:$Z$500,0)),"")</f>
        <v/>
      </c>
      <c r="S132" s="4" t="str">
        <f>IFERROR(INDEX(样本到样信息汇总统计!S$2:S$500,MATCH(131,样本到样信息汇总统计!$Z$2:$Z$500,0)),"")</f>
        <v/>
      </c>
      <c r="T132" s="4" t="str">
        <f>IFERROR(INDEX(样本到样信息汇总统计!T$2:T$500,MATCH(131,样本到样信息汇总统计!$Z$2:$Z$500,0)),"")</f>
        <v/>
      </c>
      <c r="U132" s="4" t="str">
        <f>IFERROR(INDEX(样本到样信息汇总统计!U$2:U$500,MATCH(131,样本到样信息汇总统计!$Z$2:$Z$500,0)),"")</f>
        <v/>
      </c>
      <c r="V132" s="4" t="str">
        <f>IFERROR(INDEX(样本到样信息汇总统计!V$2:V$500,MATCH(131,样本到样信息汇总统计!$Z$2:$Z$500,0)),"")</f>
        <v/>
      </c>
      <c r="W132" s="4" t="str">
        <f>IFERROR(INDEX(样本到样信息汇总统计!W$2:W$500,MATCH(131,样本到样信息汇总统计!$Z$2:$Z$500,0)),"")</f>
        <v/>
      </c>
    </row>
    <row r="133" ht="14.5" spans="1:23">
      <c r="A133" s="8" t="str">
        <f>IFERROR(INDEX(样本到样信息汇总统计!A$2:A$500,MATCH(132,样本到样信息汇总统计!$Z$2:$Z$500,0)),"")</f>
        <v/>
      </c>
      <c r="B133" s="8" t="str">
        <f>IFERROR(INDEX(样本到样信息汇总统计!B$2:B$500,MATCH(132,样本到样信息汇总统计!$Z$2:$Z$500,0)),"")</f>
        <v/>
      </c>
      <c r="C133" s="8" t="str">
        <f>IFERROR(INDEX(样本到样信息汇总统计!C$2:C$500,MATCH(132,样本到样信息汇总统计!$Z$2:$Z$500,0)),"")</f>
        <v/>
      </c>
      <c r="D133" s="8" t="str">
        <f>IFERROR(INDEX(样本到样信息汇总统计!D$2:D$500,MATCH(132,样本到样信息汇总统计!$Z$2:$Z$500,0)),"")</f>
        <v/>
      </c>
      <c r="E133" s="8" t="str">
        <f>IFERROR(INDEX(样本到样信息汇总统计!E$2:E$500,MATCH(132,样本到样信息汇总统计!$Z$2:$Z$500,0)),"")</f>
        <v/>
      </c>
      <c r="F133" s="8" t="str">
        <f>IFERROR(INDEX(样本到样信息汇总统计!F$2:F$500,MATCH(132,样本到样信息汇总统计!$Z$2:$Z$500,0)),"")</f>
        <v/>
      </c>
      <c r="G133" s="8" t="str">
        <f>IFERROR(INDEX(样本到样信息汇总统计!G$2:G$500,MATCH(132,样本到样信息汇总统计!$Z$2:$Z$500,0)),"")</f>
        <v/>
      </c>
      <c r="H133" s="8" t="str">
        <f>IFERROR(INDEX(样本到样信息汇总统计!H$2:H$500,MATCH(132,样本到样信息汇总统计!$Z$2:$Z$500,0)),"")</f>
        <v/>
      </c>
      <c r="I133" s="8" t="str">
        <f>IFERROR(INDEX(样本到样信息汇总统计!I$2:I$500,MATCH(132,样本到样信息汇总统计!$Z$2:$Z$500,0)),"")</f>
        <v/>
      </c>
      <c r="J133" s="8" t="str">
        <f>IFERROR(INDEX(样本到样信息汇总统计!J$2:J$500,MATCH(132,样本到样信息汇总统计!$Z$2:$Z$500,0)),"")</f>
        <v/>
      </c>
      <c r="K133" s="8" t="str">
        <f>IFERROR(INDEX(样本到样信息汇总统计!K$2:K$500,MATCH(132,样本到样信息汇总统计!$Z$2:$Z$500,0)),"")</f>
        <v/>
      </c>
      <c r="L133" s="8" t="str">
        <f>IFERROR(INDEX(样本到样信息汇总统计!L$2:L$500,MATCH(132,样本到样信息汇总统计!$Z$2:$Z$500,0)),"")</f>
        <v/>
      </c>
      <c r="M133" s="8" t="str">
        <f>IFERROR(INDEX(样本到样信息汇总统计!M$2:M$500,MATCH(132,样本到样信息汇总统计!$Z$2:$Z$500,0)),"")</f>
        <v/>
      </c>
      <c r="N133" s="8" t="str">
        <f>IFERROR(INDEX(样本到样信息汇总统计!N$2:N$500,MATCH(132,样本到样信息汇总统计!$Z$2:$Z$500,0)),"")</f>
        <v/>
      </c>
      <c r="O133" s="8" t="str">
        <f>IFERROR(INDEX(样本到样信息汇总统计!O$2:O$500,MATCH(132,样本到样信息汇总统计!$Z$2:$Z$500,0)),"")</f>
        <v/>
      </c>
      <c r="P133" s="8" t="str">
        <f>IFERROR(INDEX(样本到样信息汇总统计!P$2:P$500,MATCH(132,样本到样信息汇总统计!$Z$2:$Z$500,0)),"")</f>
        <v/>
      </c>
      <c r="Q133" s="8" t="str">
        <f>IFERROR(INDEX(样本到样信息汇总统计!Q$2:Q$500,MATCH(132,样本到样信息汇总统计!$Z$2:$Z$500,0)),"")</f>
        <v/>
      </c>
      <c r="R133" s="8" t="str">
        <f>IFERROR(INDEX(样本到样信息汇总统计!R$2:R$500,MATCH(132,样本到样信息汇总统计!$Z$2:$Z$500,0)),"")</f>
        <v/>
      </c>
      <c r="S133" s="8" t="str">
        <f>IFERROR(INDEX(样本到样信息汇总统计!S$2:S$500,MATCH(132,样本到样信息汇总统计!$Z$2:$Z$500,0)),"")</f>
        <v/>
      </c>
      <c r="T133" s="8" t="str">
        <f>IFERROR(INDEX(样本到样信息汇总统计!T$2:T$500,MATCH(132,样本到样信息汇总统计!$Z$2:$Z$500,0)),"")</f>
        <v/>
      </c>
      <c r="U133" s="8" t="str">
        <f>IFERROR(INDEX(样本到样信息汇总统计!U$2:U$500,MATCH(132,样本到样信息汇总统计!$Z$2:$Z$500,0)),"")</f>
        <v/>
      </c>
      <c r="V133" s="8" t="str">
        <f>IFERROR(INDEX(样本到样信息汇总统计!V$2:V$500,MATCH(132,样本到样信息汇总统计!$Z$2:$Z$500,0)),"")</f>
        <v/>
      </c>
      <c r="W133" s="8" t="str">
        <f>IFERROR(INDEX(样本到样信息汇总统计!W$2:W$500,MATCH(132,样本到样信息汇总统计!$Z$2:$Z$500,0)),"")</f>
        <v/>
      </c>
    </row>
    <row r="134" ht="14.5" spans="1:23">
      <c r="A134" s="4" t="str">
        <f>IFERROR(INDEX(样本到样信息汇总统计!A$2:A$500,MATCH(133,样本到样信息汇总统计!$Z$2:$Z$500,0)),"")</f>
        <v/>
      </c>
      <c r="B134" s="4" t="str">
        <f>IFERROR(INDEX(样本到样信息汇总统计!B$2:B$500,MATCH(133,样本到样信息汇总统计!$Z$2:$Z$500,0)),"")</f>
        <v/>
      </c>
      <c r="C134" s="4" t="str">
        <f>IFERROR(INDEX(样本到样信息汇总统计!C$2:C$500,MATCH(133,样本到样信息汇总统计!$Z$2:$Z$500,0)),"")</f>
        <v/>
      </c>
      <c r="D134" s="4" t="str">
        <f>IFERROR(INDEX(样本到样信息汇总统计!D$2:D$500,MATCH(133,样本到样信息汇总统计!$Z$2:$Z$500,0)),"")</f>
        <v/>
      </c>
      <c r="E134" s="4" t="str">
        <f>IFERROR(INDEX(样本到样信息汇总统计!E$2:E$500,MATCH(133,样本到样信息汇总统计!$Z$2:$Z$500,0)),"")</f>
        <v/>
      </c>
      <c r="F134" s="4" t="str">
        <f>IFERROR(INDEX(样本到样信息汇总统计!F$2:F$500,MATCH(133,样本到样信息汇总统计!$Z$2:$Z$500,0)),"")</f>
        <v/>
      </c>
      <c r="G134" s="4" t="str">
        <f>IFERROR(INDEX(样本到样信息汇总统计!G$2:G$500,MATCH(133,样本到样信息汇总统计!$Z$2:$Z$500,0)),"")</f>
        <v/>
      </c>
      <c r="H134" s="4" t="str">
        <f>IFERROR(INDEX(样本到样信息汇总统计!H$2:H$500,MATCH(133,样本到样信息汇总统计!$Z$2:$Z$500,0)),"")</f>
        <v/>
      </c>
      <c r="I134" s="4" t="str">
        <f>IFERROR(INDEX(样本到样信息汇总统计!I$2:I$500,MATCH(133,样本到样信息汇总统计!$Z$2:$Z$500,0)),"")</f>
        <v/>
      </c>
      <c r="J134" s="4" t="str">
        <f>IFERROR(INDEX(样本到样信息汇总统计!J$2:J$500,MATCH(133,样本到样信息汇总统计!$Z$2:$Z$500,0)),"")</f>
        <v/>
      </c>
      <c r="K134" s="4" t="str">
        <f>IFERROR(INDEX(样本到样信息汇总统计!K$2:K$500,MATCH(133,样本到样信息汇总统计!$Z$2:$Z$500,0)),"")</f>
        <v/>
      </c>
      <c r="L134" s="4" t="str">
        <f>IFERROR(INDEX(样本到样信息汇总统计!L$2:L$500,MATCH(133,样本到样信息汇总统计!$Z$2:$Z$500,0)),"")</f>
        <v/>
      </c>
      <c r="M134" s="4" t="str">
        <f>IFERROR(INDEX(样本到样信息汇总统计!M$2:M$500,MATCH(133,样本到样信息汇总统计!$Z$2:$Z$500,0)),"")</f>
        <v/>
      </c>
      <c r="N134" s="4" t="str">
        <f>IFERROR(INDEX(样本到样信息汇总统计!N$2:N$500,MATCH(133,样本到样信息汇总统计!$Z$2:$Z$500,0)),"")</f>
        <v/>
      </c>
      <c r="O134" s="4" t="str">
        <f>IFERROR(INDEX(样本到样信息汇总统计!O$2:O$500,MATCH(133,样本到样信息汇总统计!$Z$2:$Z$500,0)),"")</f>
        <v/>
      </c>
      <c r="P134" s="4" t="str">
        <f>IFERROR(INDEX(样本到样信息汇总统计!P$2:P$500,MATCH(133,样本到样信息汇总统计!$Z$2:$Z$500,0)),"")</f>
        <v/>
      </c>
      <c r="Q134" s="4" t="str">
        <f>IFERROR(INDEX(样本到样信息汇总统计!Q$2:Q$500,MATCH(133,样本到样信息汇总统计!$Z$2:$Z$500,0)),"")</f>
        <v/>
      </c>
      <c r="R134" s="4" t="str">
        <f>IFERROR(INDEX(样本到样信息汇总统计!R$2:R$500,MATCH(133,样本到样信息汇总统计!$Z$2:$Z$500,0)),"")</f>
        <v/>
      </c>
      <c r="S134" s="4" t="str">
        <f>IFERROR(INDEX(样本到样信息汇总统计!S$2:S$500,MATCH(133,样本到样信息汇总统计!$Z$2:$Z$500,0)),"")</f>
        <v/>
      </c>
      <c r="T134" s="4" t="str">
        <f>IFERROR(INDEX(样本到样信息汇总统计!T$2:T$500,MATCH(133,样本到样信息汇总统计!$Z$2:$Z$500,0)),"")</f>
        <v/>
      </c>
      <c r="U134" s="4" t="str">
        <f>IFERROR(INDEX(样本到样信息汇总统计!U$2:U$500,MATCH(133,样本到样信息汇总统计!$Z$2:$Z$500,0)),"")</f>
        <v/>
      </c>
      <c r="V134" s="4" t="str">
        <f>IFERROR(INDEX(样本到样信息汇总统计!V$2:V$500,MATCH(133,样本到样信息汇总统计!$Z$2:$Z$500,0)),"")</f>
        <v/>
      </c>
      <c r="W134" s="4" t="str">
        <f>IFERROR(INDEX(样本到样信息汇总统计!W$2:W$500,MATCH(133,样本到样信息汇总统计!$Z$2:$Z$500,0)),"")</f>
        <v/>
      </c>
    </row>
    <row r="135" ht="14.5" spans="1:23">
      <c r="A135" s="8" t="str">
        <f>IFERROR(INDEX(样本到样信息汇总统计!A$2:A$500,MATCH(134,样本到样信息汇总统计!$Z$2:$Z$500,0)),"")</f>
        <v/>
      </c>
      <c r="B135" s="8" t="str">
        <f>IFERROR(INDEX(样本到样信息汇总统计!B$2:B$500,MATCH(134,样本到样信息汇总统计!$Z$2:$Z$500,0)),"")</f>
        <v/>
      </c>
      <c r="C135" s="8" t="str">
        <f>IFERROR(INDEX(样本到样信息汇总统计!C$2:C$500,MATCH(134,样本到样信息汇总统计!$Z$2:$Z$500,0)),"")</f>
        <v/>
      </c>
      <c r="D135" s="8" t="str">
        <f>IFERROR(INDEX(样本到样信息汇总统计!D$2:D$500,MATCH(134,样本到样信息汇总统计!$Z$2:$Z$500,0)),"")</f>
        <v/>
      </c>
      <c r="E135" s="8" t="str">
        <f>IFERROR(INDEX(样本到样信息汇总统计!E$2:E$500,MATCH(134,样本到样信息汇总统计!$Z$2:$Z$500,0)),"")</f>
        <v/>
      </c>
      <c r="F135" s="8" t="str">
        <f>IFERROR(INDEX(样本到样信息汇总统计!F$2:F$500,MATCH(134,样本到样信息汇总统计!$Z$2:$Z$500,0)),"")</f>
        <v/>
      </c>
      <c r="G135" s="8" t="str">
        <f>IFERROR(INDEX(样本到样信息汇总统计!G$2:G$500,MATCH(134,样本到样信息汇总统计!$Z$2:$Z$500,0)),"")</f>
        <v/>
      </c>
      <c r="H135" s="8" t="str">
        <f>IFERROR(INDEX(样本到样信息汇总统计!H$2:H$500,MATCH(134,样本到样信息汇总统计!$Z$2:$Z$500,0)),"")</f>
        <v/>
      </c>
      <c r="I135" s="8" t="str">
        <f>IFERROR(INDEX(样本到样信息汇总统计!I$2:I$500,MATCH(134,样本到样信息汇总统计!$Z$2:$Z$500,0)),"")</f>
        <v/>
      </c>
      <c r="J135" s="8" t="str">
        <f>IFERROR(INDEX(样本到样信息汇总统计!J$2:J$500,MATCH(134,样本到样信息汇总统计!$Z$2:$Z$500,0)),"")</f>
        <v/>
      </c>
      <c r="K135" s="8" t="str">
        <f>IFERROR(INDEX(样本到样信息汇总统计!K$2:K$500,MATCH(134,样本到样信息汇总统计!$Z$2:$Z$500,0)),"")</f>
        <v/>
      </c>
      <c r="L135" s="8" t="str">
        <f>IFERROR(INDEX(样本到样信息汇总统计!L$2:L$500,MATCH(134,样本到样信息汇总统计!$Z$2:$Z$500,0)),"")</f>
        <v/>
      </c>
      <c r="M135" s="8" t="str">
        <f>IFERROR(INDEX(样本到样信息汇总统计!M$2:M$500,MATCH(134,样本到样信息汇总统计!$Z$2:$Z$500,0)),"")</f>
        <v/>
      </c>
      <c r="N135" s="8" t="str">
        <f>IFERROR(INDEX(样本到样信息汇总统计!N$2:N$500,MATCH(134,样本到样信息汇总统计!$Z$2:$Z$500,0)),"")</f>
        <v/>
      </c>
      <c r="O135" s="8" t="str">
        <f>IFERROR(INDEX(样本到样信息汇总统计!O$2:O$500,MATCH(134,样本到样信息汇总统计!$Z$2:$Z$500,0)),"")</f>
        <v/>
      </c>
      <c r="P135" s="8" t="str">
        <f>IFERROR(INDEX(样本到样信息汇总统计!P$2:P$500,MATCH(134,样本到样信息汇总统计!$Z$2:$Z$500,0)),"")</f>
        <v/>
      </c>
      <c r="Q135" s="8" t="str">
        <f>IFERROR(INDEX(样本到样信息汇总统计!Q$2:Q$500,MATCH(134,样本到样信息汇总统计!$Z$2:$Z$500,0)),"")</f>
        <v/>
      </c>
      <c r="R135" s="8" t="str">
        <f>IFERROR(INDEX(样本到样信息汇总统计!R$2:R$500,MATCH(134,样本到样信息汇总统计!$Z$2:$Z$500,0)),"")</f>
        <v/>
      </c>
      <c r="S135" s="8" t="str">
        <f>IFERROR(INDEX(样本到样信息汇总统计!S$2:S$500,MATCH(134,样本到样信息汇总统计!$Z$2:$Z$500,0)),"")</f>
        <v/>
      </c>
      <c r="T135" s="8" t="str">
        <f>IFERROR(INDEX(样本到样信息汇总统计!T$2:T$500,MATCH(134,样本到样信息汇总统计!$Z$2:$Z$500,0)),"")</f>
        <v/>
      </c>
      <c r="U135" s="8" t="str">
        <f>IFERROR(INDEX(样本到样信息汇总统计!U$2:U$500,MATCH(134,样本到样信息汇总统计!$Z$2:$Z$500,0)),"")</f>
        <v/>
      </c>
      <c r="V135" s="8" t="str">
        <f>IFERROR(INDEX(样本到样信息汇总统计!V$2:V$500,MATCH(134,样本到样信息汇总统计!$Z$2:$Z$500,0)),"")</f>
        <v/>
      </c>
      <c r="W135" s="8" t="str">
        <f>IFERROR(INDEX(样本到样信息汇总统计!W$2:W$500,MATCH(134,样本到样信息汇总统计!$Z$2:$Z$500,0)),"")</f>
        <v/>
      </c>
    </row>
    <row r="136" ht="14.5" spans="1:23">
      <c r="A136" s="4" t="str">
        <f>IFERROR(INDEX(样本到样信息汇总统计!A$2:A$500,MATCH(135,样本到样信息汇总统计!$Z$2:$Z$500,0)),"")</f>
        <v/>
      </c>
      <c r="B136" s="4" t="str">
        <f>IFERROR(INDEX(样本到样信息汇总统计!B$2:B$500,MATCH(135,样本到样信息汇总统计!$Z$2:$Z$500,0)),"")</f>
        <v/>
      </c>
      <c r="C136" s="4" t="str">
        <f>IFERROR(INDEX(样本到样信息汇总统计!C$2:C$500,MATCH(135,样本到样信息汇总统计!$Z$2:$Z$500,0)),"")</f>
        <v/>
      </c>
      <c r="D136" s="4" t="str">
        <f>IFERROR(INDEX(样本到样信息汇总统计!D$2:D$500,MATCH(135,样本到样信息汇总统计!$Z$2:$Z$500,0)),"")</f>
        <v/>
      </c>
      <c r="E136" s="4" t="str">
        <f>IFERROR(INDEX(样本到样信息汇总统计!E$2:E$500,MATCH(135,样本到样信息汇总统计!$Z$2:$Z$500,0)),"")</f>
        <v/>
      </c>
      <c r="F136" s="4" t="str">
        <f>IFERROR(INDEX(样本到样信息汇总统计!F$2:F$500,MATCH(135,样本到样信息汇总统计!$Z$2:$Z$500,0)),"")</f>
        <v/>
      </c>
      <c r="G136" s="4" t="str">
        <f>IFERROR(INDEX(样本到样信息汇总统计!G$2:G$500,MATCH(135,样本到样信息汇总统计!$Z$2:$Z$500,0)),"")</f>
        <v/>
      </c>
      <c r="H136" s="4" t="str">
        <f>IFERROR(INDEX(样本到样信息汇总统计!H$2:H$500,MATCH(135,样本到样信息汇总统计!$Z$2:$Z$500,0)),"")</f>
        <v/>
      </c>
      <c r="I136" s="4" t="str">
        <f>IFERROR(INDEX(样本到样信息汇总统计!I$2:I$500,MATCH(135,样本到样信息汇总统计!$Z$2:$Z$500,0)),"")</f>
        <v/>
      </c>
      <c r="J136" s="4" t="str">
        <f>IFERROR(INDEX(样本到样信息汇总统计!J$2:J$500,MATCH(135,样本到样信息汇总统计!$Z$2:$Z$500,0)),"")</f>
        <v/>
      </c>
      <c r="K136" s="4" t="str">
        <f>IFERROR(INDEX(样本到样信息汇总统计!K$2:K$500,MATCH(135,样本到样信息汇总统计!$Z$2:$Z$500,0)),"")</f>
        <v/>
      </c>
      <c r="L136" s="4" t="str">
        <f>IFERROR(INDEX(样本到样信息汇总统计!L$2:L$500,MATCH(135,样本到样信息汇总统计!$Z$2:$Z$500,0)),"")</f>
        <v/>
      </c>
      <c r="M136" s="4" t="str">
        <f>IFERROR(INDEX(样本到样信息汇总统计!M$2:M$500,MATCH(135,样本到样信息汇总统计!$Z$2:$Z$500,0)),"")</f>
        <v/>
      </c>
      <c r="N136" s="4" t="str">
        <f>IFERROR(INDEX(样本到样信息汇总统计!N$2:N$500,MATCH(135,样本到样信息汇总统计!$Z$2:$Z$500,0)),"")</f>
        <v/>
      </c>
      <c r="O136" s="4" t="str">
        <f>IFERROR(INDEX(样本到样信息汇总统计!O$2:O$500,MATCH(135,样本到样信息汇总统计!$Z$2:$Z$500,0)),"")</f>
        <v/>
      </c>
      <c r="P136" s="4" t="str">
        <f>IFERROR(INDEX(样本到样信息汇总统计!P$2:P$500,MATCH(135,样本到样信息汇总统计!$Z$2:$Z$500,0)),"")</f>
        <v/>
      </c>
      <c r="Q136" s="4" t="str">
        <f>IFERROR(INDEX(样本到样信息汇总统计!Q$2:Q$500,MATCH(135,样本到样信息汇总统计!$Z$2:$Z$500,0)),"")</f>
        <v/>
      </c>
      <c r="R136" s="4" t="str">
        <f>IFERROR(INDEX(样本到样信息汇总统计!R$2:R$500,MATCH(135,样本到样信息汇总统计!$Z$2:$Z$500,0)),"")</f>
        <v/>
      </c>
      <c r="S136" s="4" t="str">
        <f>IFERROR(INDEX(样本到样信息汇总统计!S$2:S$500,MATCH(135,样本到样信息汇总统计!$Z$2:$Z$500,0)),"")</f>
        <v/>
      </c>
      <c r="T136" s="4" t="str">
        <f>IFERROR(INDEX(样本到样信息汇总统计!T$2:T$500,MATCH(135,样本到样信息汇总统计!$Z$2:$Z$500,0)),"")</f>
        <v/>
      </c>
      <c r="U136" s="4" t="str">
        <f>IFERROR(INDEX(样本到样信息汇总统计!U$2:U$500,MATCH(135,样本到样信息汇总统计!$Z$2:$Z$500,0)),"")</f>
        <v/>
      </c>
      <c r="V136" s="4" t="str">
        <f>IFERROR(INDEX(样本到样信息汇总统计!V$2:V$500,MATCH(135,样本到样信息汇总统计!$Z$2:$Z$500,0)),"")</f>
        <v/>
      </c>
      <c r="W136" s="4" t="str">
        <f>IFERROR(INDEX(样本到样信息汇总统计!W$2:W$500,MATCH(135,样本到样信息汇总统计!$Z$2:$Z$500,0)),"")</f>
        <v/>
      </c>
    </row>
    <row r="137" ht="14.5" spans="1:23">
      <c r="A137" s="8" t="str">
        <f>IFERROR(INDEX(样本到样信息汇总统计!A$2:A$500,MATCH(136,样本到样信息汇总统计!$Z$2:$Z$500,0)),"")</f>
        <v/>
      </c>
      <c r="B137" s="8" t="str">
        <f>IFERROR(INDEX(样本到样信息汇总统计!B$2:B$500,MATCH(136,样本到样信息汇总统计!$Z$2:$Z$500,0)),"")</f>
        <v/>
      </c>
      <c r="C137" s="8" t="str">
        <f>IFERROR(INDEX(样本到样信息汇总统计!C$2:C$500,MATCH(136,样本到样信息汇总统计!$Z$2:$Z$500,0)),"")</f>
        <v/>
      </c>
      <c r="D137" s="8" t="str">
        <f>IFERROR(INDEX(样本到样信息汇总统计!D$2:D$500,MATCH(136,样本到样信息汇总统计!$Z$2:$Z$500,0)),"")</f>
        <v/>
      </c>
      <c r="E137" s="8" t="str">
        <f>IFERROR(INDEX(样本到样信息汇总统计!E$2:E$500,MATCH(136,样本到样信息汇总统计!$Z$2:$Z$500,0)),"")</f>
        <v/>
      </c>
      <c r="F137" s="8" t="str">
        <f>IFERROR(INDEX(样本到样信息汇总统计!F$2:F$500,MATCH(136,样本到样信息汇总统计!$Z$2:$Z$500,0)),"")</f>
        <v/>
      </c>
      <c r="G137" s="8" t="str">
        <f>IFERROR(INDEX(样本到样信息汇总统计!G$2:G$500,MATCH(136,样本到样信息汇总统计!$Z$2:$Z$500,0)),"")</f>
        <v/>
      </c>
      <c r="H137" s="8" t="str">
        <f>IFERROR(INDEX(样本到样信息汇总统计!H$2:H$500,MATCH(136,样本到样信息汇总统计!$Z$2:$Z$500,0)),"")</f>
        <v/>
      </c>
      <c r="I137" s="8" t="str">
        <f>IFERROR(INDEX(样本到样信息汇总统计!I$2:I$500,MATCH(136,样本到样信息汇总统计!$Z$2:$Z$500,0)),"")</f>
        <v/>
      </c>
      <c r="J137" s="8" t="str">
        <f>IFERROR(INDEX(样本到样信息汇总统计!J$2:J$500,MATCH(136,样本到样信息汇总统计!$Z$2:$Z$500,0)),"")</f>
        <v/>
      </c>
      <c r="K137" s="8" t="str">
        <f>IFERROR(INDEX(样本到样信息汇总统计!K$2:K$500,MATCH(136,样本到样信息汇总统计!$Z$2:$Z$500,0)),"")</f>
        <v/>
      </c>
      <c r="L137" s="8" t="str">
        <f>IFERROR(INDEX(样本到样信息汇总统计!L$2:L$500,MATCH(136,样本到样信息汇总统计!$Z$2:$Z$500,0)),"")</f>
        <v/>
      </c>
      <c r="M137" s="8" t="str">
        <f>IFERROR(INDEX(样本到样信息汇总统计!M$2:M$500,MATCH(136,样本到样信息汇总统计!$Z$2:$Z$500,0)),"")</f>
        <v/>
      </c>
      <c r="N137" s="8" t="str">
        <f>IFERROR(INDEX(样本到样信息汇总统计!N$2:N$500,MATCH(136,样本到样信息汇总统计!$Z$2:$Z$500,0)),"")</f>
        <v/>
      </c>
      <c r="O137" s="8" t="str">
        <f>IFERROR(INDEX(样本到样信息汇总统计!O$2:O$500,MATCH(136,样本到样信息汇总统计!$Z$2:$Z$500,0)),"")</f>
        <v/>
      </c>
      <c r="P137" s="8" t="str">
        <f>IFERROR(INDEX(样本到样信息汇总统计!P$2:P$500,MATCH(136,样本到样信息汇总统计!$Z$2:$Z$500,0)),"")</f>
        <v/>
      </c>
      <c r="Q137" s="8" t="str">
        <f>IFERROR(INDEX(样本到样信息汇总统计!Q$2:Q$500,MATCH(136,样本到样信息汇总统计!$Z$2:$Z$500,0)),"")</f>
        <v/>
      </c>
      <c r="R137" s="8" t="str">
        <f>IFERROR(INDEX(样本到样信息汇总统计!R$2:R$500,MATCH(136,样本到样信息汇总统计!$Z$2:$Z$500,0)),"")</f>
        <v/>
      </c>
      <c r="S137" s="8" t="str">
        <f>IFERROR(INDEX(样本到样信息汇总统计!S$2:S$500,MATCH(136,样本到样信息汇总统计!$Z$2:$Z$500,0)),"")</f>
        <v/>
      </c>
      <c r="T137" s="8" t="str">
        <f>IFERROR(INDEX(样本到样信息汇总统计!T$2:T$500,MATCH(136,样本到样信息汇总统计!$Z$2:$Z$500,0)),"")</f>
        <v/>
      </c>
      <c r="U137" s="8" t="str">
        <f>IFERROR(INDEX(样本到样信息汇总统计!U$2:U$500,MATCH(136,样本到样信息汇总统计!$Z$2:$Z$500,0)),"")</f>
        <v/>
      </c>
      <c r="V137" s="8" t="str">
        <f>IFERROR(INDEX(样本到样信息汇总统计!V$2:V$500,MATCH(136,样本到样信息汇总统计!$Z$2:$Z$500,0)),"")</f>
        <v/>
      </c>
      <c r="W137" s="8" t="str">
        <f>IFERROR(INDEX(样本到样信息汇总统计!W$2:W$500,MATCH(136,样本到样信息汇总统计!$Z$2:$Z$500,0)),"")</f>
        <v/>
      </c>
    </row>
    <row r="138" ht="14.5" spans="1:23">
      <c r="A138" s="4" t="str">
        <f>IFERROR(INDEX(样本到样信息汇总统计!A$2:A$500,MATCH(137,样本到样信息汇总统计!$Z$2:$Z$500,0)),"")</f>
        <v/>
      </c>
      <c r="B138" s="4" t="str">
        <f>IFERROR(INDEX(样本到样信息汇总统计!B$2:B$500,MATCH(137,样本到样信息汇总统计!$Z$2:$Z$500,0)),"")</f>
        <v/>
      </c>
      <c r="C138" s="4" t="str">
        <f>IFERROR(INDEX(样本到样信息汇总统计!C$2:C$500,MATCH(137,样本到样信息汇总统计!$Z$2:$Z$500,0)),"")</f>
        <v/>
      </c>
      <c r="D138" s="4" t="str">
        <f>IFERROR(INDEX(样本到样信息汇总统计!D$2:D$500,MATCH(137,样本到样信息汇总统计!$Z$2:$Z$500,0)),"")</f>
        <v/>
      </c>
      <c r="E138" s="4" t="str">
        <f>IFERROR(INDEX(样本到样信息汇总统计!E$2:E$500,MATCH(137,样本到样信息汇总统计!$Z$2:$Z$500,0)),"")</f>
        <v/>
      </c>
      <c r="F138" s="4" t="str">
        <f>IFERROR(INDEX(样本到样信息汇总统计!F$2:F$500,MATCH(137,样本到样信息汇总统计!$Z$2:$Z$500,0)),"")</f>
        <v/>
      </c>
      <c r="G138" s="4" t="str">
        <f>IFERROR(INDEX(样本到样信息汇总统计!G$2:G$500,MATCH(137,样本到样信息汇总统计!$Z$2:$Z$500,0)),"")</f>
        <v/>
      </c>
      <c r="H138" s="4" t="str">
        <f>IFERROR(INDEX(样本到样信息汇总统计!H$2:H$500,MATCH(137,样本到样信息汇总统计!$Z$2:$Z$500,0)),"")</f>
        <v/>
      </c>
      <c r="I138" s="4" t="str">
        <f>IFERROR(INDEX(样本到样信息汇总统计!I$2:I$500,MATCH(137,样本到样信息汇总统计!$Z$2:$Z$500,0)),"")</f>
        <v/>
      </c>
      <c r="J138" s="4" t="str">
        <f>IFERROR(INDEX(样本到样信息汇总统计!J$2:J$500,MATCH(137,样本到样信息汇总统计!$Z$2:$Z$500,0)),"")</f>
        <v/>
      </c>
      <c r="K138" s="4" t="str">
        <f>IFERROR(INDEX(样本到样信息汇总统计!K$2:K$500,MATCH(137,样本到样信息汇总统计!$Z$2:$Z$500,0)),"")</f>
        <v/>
      </c>
      <c r="L138" s="4" t="str">
        <f>IFERROR(INDEX(样本到样信息汇总统计!L$2:L$500,MATCH(137,样本到样信息汇总统计!$Z$2:$Z$500,0)),"")</f>
        <v/>
      </c>
      <c r="M138" s="4" t="str">
        <f>IFERROR(INDEX(样本到样信息汇总统计!M$2:M$500,MATCH(137,样本到样信息汇总统计!$Z$2:$Z$500,0)),"")</f>
        <v/>
      </c>
      <c r="N138" s="4" t="str">
        <f>IFERROR(INDEX(样本到样信息汇总统计!N$2:N$500,MATCH(137,样本到样信息汇总统计!$Z$2:$Z$500,0)),"")</f>
        <v/>
      </c>
      <c r="O138" s="4" t="str">
        <f>IFERROR(INDEX(样本到样信息汇总统计!O$2:O$500,MATCH(137,样本到样信息汇总统计!$Z$2:$Z$500,0)),"")</f>
        <v/>
      </c>
      <c r="P138" s="4" t="str">
        <f>IFERROR(INDEX(样本到样信息汇总统计!P$2:P$500,MATCH(137,样本到样信息汇总统计!$Z$2:$Z$500,0)),"")</f>
        <v/>
      </c>
      <c r="Q138" s="4" t="str">
        <f>IFERROR(INDEX(样本到样信息汇总统计!Q$2:Q$500,MATCH(137,样本到样信息汇总统计!$Z$2:$Z$500,0)),"")</f>
        <v/>
      </c>
      <c r="R138" s="4" t="str">
        <f>IFERROR(INDEX(样本到样信息汇总统计!R$2:R$500,MATCH(137,样本到样信息汇总统计!$Z$2:$Z$500,0)),"")</f>
        <v/>
      </c>
      <c r="S138" s="4" t="str">
        <f>IFERROR(INDEX(样本到样信息汇总统计!S$2:S$500,MATCH(137,样本到样信息汇总统计!$Z$2:$Z$500,0)),"")</f>
        <v/>
      </c>
      <c r="T138" s="4" t="str">
        <f>IFERROR(INDEX(样本到样信息汇总统计!T$2:T$500,MATCH(137,样本到样信息汇总统计!$Z$2:$Z$500,0)),"")</f>
        <v/>
      </c>
      <c r="U138" s="4" t="str">
        <f>IFERROR(INDEX(样本到样信息汇总统计!U$2:U$500,MATCH(137,样本到样信息汇总统计!$Z$2:$Z$500,0)),"")</f>
        <v/>
      </c>
      <c r="V138" s="4" t="str">
        <f>IFERROR(INDEX(样本到样信息汇总统计!V$2:V$500,MATCH(137,样本到样信息汇总统计!$Z$2:$Z$500,0)),"")</f>
        <v/>
      </c>
      <c r="W138" s="4" t="str">
        <f>IFERROR(INDEX(样本到样信息汇总统计!W$2:W$500,MATCH(137,样本到样信息汇总统计!$Z$2:$Z$500,0)),"")</f>
        <v/>
      </c>
    </row>
    <row r="139" ht="14.5" spans="1:23">
      <c r="A139" s="8" t="str">
        <f>IFERROR(INDEX(样本到样信息汇总统计!A$2:A$500,MATCH(138,样本到样信息汇总统计!$Z$2:$Z$500,0)),"")</f>
        <v/>
      </c>
      <c r="B139" s="8" t="str">
        <f>IFERROR(INDEX(样本到样信息汇总统计!B$2:B$500,MATCH(138,样本到样信息汇总统计!$Z$2:$Z$500,0)),"")</f>
        <v/>
      </c>
      <c r="C139" s="8" t="str">
        <f>IFERROR(INDEX(样本到样信息汇总统计!C$2:C$500,MATCH(138,样本到样信息汇总统计!$Z$2:$Z$500,0)),"")</f>
        <v/>
      </c>
      <c r="D139" s="8" t="str">
        <f>IFERROR(INDEX(样本到样信息汇总统计!D$2:D$500,MATCH(138,样本到样信息汇总统计!$Z$2:$Z$500,0)),"")</f>
        <v/>
      </c>
      <c r="E139" s="8" t="str">
        <f>IFERROR(INDEX(样本到样信息汇总统计!E$2:E$500,MATCH(138,样本到样信息汇总统计!$Z$2:$Z$500,0)),"")</f>
        <v/>
      </c>
      <c r="F139" s="8" t="str">
        <f>IFERROR(INDEX(样本到样信息汇总统计!F$2:F$500,MATCH(138,样本到样信息汇总统计!$Z$2:$Z$500,0)),"")</f>
        <v/>
      </c>
      <c r="G139" s="8" t="str">
        <f>IFERROR(INDEX(样本到样信息汇总统计!G$2:G$500,MATCH(138,样本到样信息汇总统计!$Z$2:$Z$500,0)),"")</f>
        <v/>
      </c>
      <c r="H139" s="8" t="str">
        <f>IFERROR(INDEX(样本到样信息汇总统计!H$2:H$500,MATCH(138,样本到样信息汇总统计!$Z$2:$Z$500,0)),"")</f>
        <v/>
      </c>
      <c r="I139" s="8" t="str">
        <f>IFERROR(INDEX(样本到样信息汇总统计!I$2:I$500,MATCH(138,样本到样信息汇总统计!$Z$2:$Z$500,0)),"")</f>
        <v/>
      </c>
      <c r="J139" s="8" t="str">
        <f>IFERROR(INDEX(样本到样信息汇总统计!J$2:J$500,MATCH(138,样本到样信息汇总统计!$Z$2:$Z$500,0)),"")</f>
        <v/>
      </c>
      <c r="K139" s="8" t="str">
        <f>IFERROR(INDEX(样本到样信息汇总统计!K$2:K$500,MATCH(138,样本到样信息汇总统计!$Z$2:$Z$500,0)),"")</f>
        <v/>
      </c>
      <c r="L139" s="8" t="str">
        <f>IFERROR(INDEX(样本到样信息汇总统计!L$2:L$500,MATCH(138,样本到样信息汇总统计!$Z$2:$Z$500,0)),"")</f>
        <v/>
      </c>
      <c r="M139" s="8" t="str">
        <f>IFERROR(INDEX(样本到样信息汇总统计!M$2:M$500,MATCH(138,样本到样信息汇总统计!$Z$2:$Z$500,0)),"")</f>
        <v/>
      </c>
      <c r="N139" s="8" t="str">
        <f>IFERROR(INDEX(样本到样信息汇总统计!N$2:N$500,MATCH(138,样本到样信息汇总统计!$Z$2:$Z$500,0)),"")</f>
        <v/>
      </c>
      <c r="O139" s="8" t="str">
        <f>IFERROR(INDEX(样本到样信息汇总统计!O$2:O$500,MATCH(138,样本到样信息汇总统计!$Z$2:$Z$500,0)),"")</f>
        <v/>
      </c>
      <c r="P139" s="8" t="str">
        <f>IFERROR(INDEX(样本到样信息汇总统计!P$2:P$500,MATCH(138,样本到样信息汇总统计!$Z$2:$Z$500,0)),"")</f>
        <v/>
      </c>
      <c r="Q139" s="8" t="str">
        <f>IFERROR(INDEX(样本到样信息汇总统计!Q$2:Q$500,MATCH(138,样本到样信息汇总统计!$Z$2:$Z$500,0)),"")</f>
        <v/>
      </c>
      <c r="R139" s="8" t="str">
        <f>IFERROR(INDEX(样本到样信息汇总统计!R$2:R$500,MATCH(138,样本到样信息汇总统计!$Z$2:$Z$500,0)),"")</f>
        <v/>
      </c>
      <c r="S139" s="8" t="str">
        <f>IFERROR(INDEX(样本到样信息汇总统计!S$2:S$500,MATCH(138,样本到样信息汇总统计!$Z$2:$Z$500,0)),"")</f>
        <v/>
      </c>
      <c r="T139" s="8" t="str">
        <f>IFERROR(INDEX(样本到样信息汇总统计!T$2:T$500,MATCH(138,样本到样信息汇总统计!$Z$2:$Z$500,0)),"")</f>
        <v/>
      </c>
      <c r="U139" s="8" t="str">
        <f>IFERROR(INDEX(样本到样信息汇总统计!U$2:U$500,MATCH(138,样本到样信息汇总统计!$Z$2:$Z$500,0)),"")</f>
        <v/>
      </c>
      <c r="V139" s="8" t="str">
        <f>IFERROR(INDEX(样本到样信息汇总统计!V$2:V$500,MATCH(138,样本到样信息汇总统计!$Z$2:$Z$500,0)),"")</f>
        <v/>
      </c>
      <c r="W139" s="8" t="str">
        <f>IFERROR(INDEX(样本到样信息汇总统计!W$2:W$500,MATCH(138,样本到样信息汇总统计!$Z$2:$Z$500,0)),"")</f>
        <v/>
      </c>
    </row>
    <row r="140" ht="14.5" spans="1:23">
      <c r="A140" s="4" t="str">
        <f>IFERROR(INDEX(样本到样信息汇总统计!A$2:A$500,MATCH(139,样本到样信息汇总统计!$Z$2:$Z$500,0)),"")</f>
        <v/>
      </c>
      <c r="B140" s="4" t="str">
        <f>IFERROR(INDEX(样本到样信息汇总统计!B$2:B$500,MATCH(139,样本到样信息汇总统计!$Z$2:$Z$500,0)),"")</f>
        <v/>
      </c>
      <c r="C140" s="4" t="str">
        <f>IFERROR(INDEX(样本到样信息汇总统计!C$2:C$500,MATCH(139,样本到样信息汇总统计!$Z$2:$Z$500,0)),"")</f>
        <v/>
      </c>
      <c r="D140" s="4" t="str">
        <f>IFERROR(INDEX(样本到样信息汇总统计!D$2:D$500,MATCH(139,样本到样信息汇总统计!$Z$2:$Z$500,0)),"")</f>
        <v/>
      </c>
      <c r="E140" s="4" t="str">
        <f>IFERROR(INDEX(样本到样信息汇总统计!E$2:E$500,MATCH(139,样本到样信息汇总统计!$Z$2:$Z$500,0)),"")</f>
        <v/>
      </c>
      <c r="F140" s="4" t="str">
        <f>IFERROR(INDEX(样本到样信息汇总统计!F$2:F$500,MATCH(139,样本到样信息汇总统计!$Z$2:$Z$500,0)),"")</f>
        <v/>
      </c>
      <c r="G140" s="4" t="str">
        <f>IFERROR(INDEX(样本到样信息汇总统计!G$2:G$500,MATCH(139,样本到样信息汇总统计!$Z$2:$Z$500,0)),"")</f>
        <v/>
      </c>
      <c r="H140" s="4" t="str">
        <f>IFERROR(INDEX(样本到样信息汇总统计!H$2:H$500,MATCH(139,样本到样信息汇总统计!$Z$2:$Z$500,0)),"")</f>
        <v/>
      </c>
      <c r="I140" s="4" t="str">
        <f>IFERROR(INDEX(样本到样信息汇总统计!I$2:I$500,MATCH(139,样本到样信息汇总统计!$Z$2:$Z$500,0)),"")</f>
        <v/>
      </c>
      <c r="J140" s="4" t="str">
        <f>IFERROR(INDEX(样本到样信息汇总统计!J$2:J$500,MATCH(139,样本到样信息汇总统计!$Z$2:$Z$500,0)),"")</f>
        <v/>
      </c>
      <c r="K140" s="4" t="str">
        <f>IFERROR(INDEX(样本到样信息汇总统计!K$2:K$500,MATCH(139,样本到样信息汇总统计!$Z$2:$Z$500,0)),"")</f>
        <v/>
      </c>
      <c r="L140" s="4" t="str">
        <f>IFERROR(INDEX(样本到样信息汇总统计!L$2:L$500,MATCH(139,样本到样信息汇总统计!$Z$2:$Z$500,0)),"")</f>
        <v/>
      </c>
      <c r="M140" s="4" t="str">
        <f>IFERROR(INDEX(样本到样信息汇总统计!M$2:M$500,MATCH(139,样本到样信息汇总统计!$Z$2:$Z$500,0)),"")</f>
        <v/>
      </c>
      <c r="N140" s="4" t="str">
        <f>IFERROR(INDEX(样本到样信息汇总统计!N$2:N$500,MATCH(139,样本到样信息汇总统计!$Z$2:$Z$500,0)),"")</f>
        <v/>
      </c>
      <c r="O140" s="4" t="str">
        <f>IFERROR(INDEX(样本到样信息汇总统计!O$2:O$500,MATCH(139,样本到样信息汇总统计!$Z$2:$Z$500,0)),"")</f>
        <v/>
      </c>
      <c r="P140" s="4" t="str">
        <f>IFERROR(INDEX(样本到样信息汇总统计!P$2:P$500,MATCH(139,样本到样信息汇总统计!$Z$2:$Z$500,0)),"")</f>
        <v/>
      </c>
      <c r="Q140" s="4" t="str">
        <f>IFERROR(INDEX(样本到样信息汇总统计!Q$2:Q$500,MATCH(139,样本到样信息汇总统计!$Z$2:$Z$500,0)),"")</f>
        <v/>
      </c>
      <c r="R140" s="4" t="str">
        <f>IFERROR(INDEX(样本到样信息汇总统计!R$2:R$500,MATCH(139,样本到样信息汇总统计!$Z$2:$Z$500,0)),"")</f>
        <v/>
      </c>
      <c r="S140" s="4" t="str">
        <f>IFERROR(INDEX(样本到样信息汇总统计!S$2:S$500,MATCH(139,样本到样信息汇总统计!$Z$2:$Z$500,0)),"")</f>
        <v/>
      </c>
      <c r="T140" s="4" t="str">
        <f>IFERROR(INDEX(样本到样信息汇总统计!T$2:T$500,MATCH(139,样本到样信息汇总统计!$Z$2:$Z$500,0)),"")</f>
        <v/>
      </c>
      <c r="U140" s="4" t="str">
        <f>IFERROR(INDEX(样本到样信息汇总统计!U$2:U$500,MATCH(139,样本到样信息汇总统计!$Z$2:$Z$500,0)),"")</f>
        <v/>
      </c>
      <c r="V140" s="4" t="str">
        <f>IFERROR(INDEX(样本到样信息汇总统计!V$2:V$500,MATCH(139,样本到样信息汇总统计!$Z$2:$Z$500,0)),"")</f>
        <v/>
      </c>
      <c r="W140" s="4" t="str">
        <f>IFERROR(INDEX(样本到样信息汇总统计!W$2:W$500,MATCH(139,样本到样信息汇总统计!$Z$2:$Z$500,0)),"")</f>
        <v/>
      </c>
    </row>
    <row r="141" ht="14.5" spans="1:23">
      <c r="A141" s="8" t="str">
        <f>IFERROR(INDEX(样本到样信息汇总统计!A$2:A$500,MATCH(140,样本到样信息汇总统计!$Z$2:$Z$500,0)),"")</f>
        <v/>
      </c>
      <c r="B141" s="8" t="str">
        <f>IFERROR(INDEX(样本到样信息汇总统计!B$2:B$500,MATCH(140,样本到样信息汇总统计!$Z$2:$Z$500,0)),"")</f>
        <v/>
      </c>
      <c r="C141" s="8" t="str">
        <f>IFERROR(INDEX(样本到样信息汇总统计!C$2:C$500,MATCH(140,样本到样信息汇总统计!$Z$2:$Z$500,0)),"")</f>
        <v/>
      </c>
      <c r="D141" s="8" t="str">
        <f>IFERROR(INDEX(样本到样信息汇总统计!D$2:D$500,MATCH(140,样本到样信息汇总统计!$Z$2:$Z$500,0)),"")</f>
        <v/>
      </c>
      <c r="E141" s="8" t="str">
        <f>IFERROR(INDEX(样本到样信息汇总统计!E$2:E$500,MATCH(140,样本到样信息汇总统计!$Z$2:$Z$500,0)),"")</f>
        <v/>
      </c>
      <c r="F141" s="8" t="str">
        <f>IFERROR(INDEX(样本到样信息汇总统计!F$2:F$500,MATCH(140,样本到样信息汇总统计!$Z$2:$Z$500,0)),"")</f>
        <v/>
      </c>
      <c r="G141" s="8" t="str">
        <f>IFERROR(INDEX(样本到样信息汇总统计!G$2:G$500,MATCH(140,样本到样信息汇总统计!$Z$2:$Z$500,0)),"")</f>
        <v/>
      </c>
      <c r="H141" s="8" t="str">
        <f>IFERROR(INDEX(样本到样信息汇总统计!H$2:H$500,MATCH(140,样本到样信息汇总统计!$Z$2:$Z$500,0)),"")</f>
        <v/>
      </c>
      <c r="I141" s="8" t="str">
        <f>IFERROR(INDEX(样本到样信息汇总统计!I$2:I$500,MATCH(140,样本到样信息汇总统计!$Z$2:$Z$500,0)),"")</f>
        <v/>
      </c>
      <c r="J141" s="8" t="str">
        <f>IFERROR(INDEX(样本到样信息汇总统计!J$2:J$500,MATCH(140,样本到样信息汇总统计!$Z$2:$Z$500,0)),"")</f>
        <v/>
      </c>
      <c r="K141" s="8" t="str">
        <f>IFERROR(INDEX(样本到样信息汇总统计!K$2:K$500,MATCH(140,样本到样信息汇总统计!$Z$2:$Z$500,0)),"")</f>
        <v/>
      </c>
      <c r="L141" s="8" t="str">
        <f>IFERROR(INDEX(样本到样信息汇总统计!L$2:L$500,MATCH(140,样本到样信息汇总统计!$Z$2:$Z$500,0)),"")</f>
        <v/>
      </c>
      <c r="M141" s="8" t="str">
        <f>IFERROR(INDEX(样本到样信息汇总统计!M$2:M$500,MATCH(140,样本到样信息汇总统计!$Z$2:$Z$500,0)),"")</f>
        <v/>
      </c>
      <c r="N141" s="8" t="str">
        <f>IFERROR(INDEX(样本到样信息汇总统计!N$2:N$500,MATCH(140,样本到样信息汇总统计!$Z$2:$Z$500,0)),"")</f>
        <v/>
      </c>
      <c r="O141" s="8" t="str">
        <f>IFERROR(INDEX(样本到样信息汇总统计!O$2:O$500,MATCH(140,样本到样信息汇总统计!$Z$2:$Z$500,0)),"")</f>
        <v/>
      </c>
      <c r="P141" s="8" t="str">
        <f>IFERROR(INDEX(样本到样信息汇总统计!P$2:P$500,MATCH(140,样本到样信息汇总统计!$Z$2:$Z$500,0)),"")</f>
        <v/>
      </c>
      <c r="Q141" s="8" t="str">
        <f>IFERROR(INDEX(样本到样信息汇总统计!Q$2:Q$500,MATCH(140,样本到样信息汇总统计!$Z$2:$Z$500,0)),"")</f>
        <v/>
      </c>
      <c r="R141" s="8" t="str">
        <f>IFERROR(INDEX(样本到样信息汇总统计!R$2:R$500,MATCH(140,样本到样信息汇总统计!$Z$2:$Z$500,0)),"")</f>
        <v/>
      </c>
      <c r="S141" s="8" t="str">
        <f>IFERROR(INDEX(样本到样信息汇总统计!S$2:S$500,MATCH(140,样本到样信息汇总统计!$Z$2:$Z$500,0)),"")</f>
        <v/>
      </c>
      <c r="T141" s="8" t="str">
        <f>IFERROR(INDEX(样本到样信息汇总统计!T$2:T$500,MATCH(140,样本到样信息汇总统计!$Z$2:$Z$500,0)),"")</f>
        <v/>
      </c>
      <c r="U141" s="8" t="str">
        <f>IFERROR(INDEX(样本到样信息汇总统计!U$2:U$500,MATCH(140,样本到样信息汇总统计!$Z$2:$Z$500,0)),"")</f>
        <v/>
      </c>
      <c r="V141" s="8" t="str">
        <f>IFERROR(INDEX(样本到样信息汇总统计!V$2:V$500,MATCH(140,样本到样信息汇总统计!$Z$2:$Z$500,0)),"")</f>
        <v/>
      </c>
      <c r="W141" s="8" t="str">
        <f>IFERROR(INDEX(样本到样信息汇总统计!W$2:W$500,MATCH(140,样本到样信息汇总统计!$Z$2:$Z$500,0)),"")</f>
        <v/>
      </c>
    </row>
    <row r="142" ht="14.5" spans="1:23">
      <c r="A142" s="4" t="str">
        <f>IFERROR(INDEX(样本到样信息汇总统计!A$2:A$500,MATCH(141,样本到样信息汇总统计!$Z$2:$Z$500,0)),"")</f>
        <v/>
      </c>
      <c r="B142" s="4" t="str">
        <f>IFERROR(INDEX(样本到样信息汇总统计!B$2:B$500,MATCH(141,样本到样信息汇总统计!$Z$2:$Z$500,0)),"")</f>
        <v/>
      </c>
      <c r="C142" s="4" t="str">
        <f>IFERROR(INDEX(样本到样信息汇总统计!C$2:C$500,MATCH(141,样本到样信息汇总统计!$Z$2:$Z$500,0)),"")</f>
        <v/>
      </c>
      <c r="D142" s="4" t="str">
        <f>IFERROR(INDEX(样本到样信息汇总统计!D$2:D$500,MATCH(141,样本到样信息汇总统计!$Z$2:$Z$500,0)),"")</f>
        <v/>
      </c>
      <c r="E142" s="4" t="str">
        <f>IFERROR(INDEX(样本到样信息汇总统计!E$2:E$500,MATCH(141,样本到样信息汇总统计!$Z$2:$Z$500,0)),"")</f>
        <v/>
      </c>
      <c r="F142" s="4" t="str">
        <f>IFERROR(INDEX(样本到样信息汇总统计!F$2:F$500,MATCH(141,样本到样信息汇总统计!$Z$2:$Z$500,0)),"")</f>
        <v/>
      </c>
      <c r="G142" s="4" t="str">
        <f>IFERROR(INDEX(样本到样信息汇总统计!G$2:G$500,MATCH(141,样本到样信息汇总统计!$Z$2:$Z$500,0)),"")</f>
        <v/>
      </c>
      <c r="H142" s="4" t="str">
        <f>IFERROR(INDEX(样本到样信息汇总统计!H$2:H$500,MATCH(141,样本到样信息汇总统计!$Z$2:$Z$500,0)),"")</f>
        <v/>
      </c>
      <c r="I142" s="4" t="str">
        <f>IFERROR(INDEX(样本到样信息汇总统计!I$2:I$500,MATCH(141,样本到样信息汇总统计!$Z$2:$Z$500,0)),"")</f>
        <v/>
      </c>
      <c r="J142" s="4" t="str">
        <f>IFERROR(INDEX(样本到样信息汇总统计!J$2:J$500,MATCH(141,样本到样信息汇总统计!$Z$2:$Z$500,0)),"")</f>
        <v/>
      </c>
      <c r="K142" s="4" t="str">
        <f>IFERROR(INDEX(样本到样信息汇总统计!K$2:K$500,MATCH(141,样本到样信息汇总统计!$Z$2:$Z$500,0)),"")</f>
        <v/>
      </c>
      <c r="L142" s="4" t="str">
        <f>IFERROR(INDEX(样本到样信息汇总统计!L$2:L$500,MATCH(141,样本到样信息汇总统计!$Z$2:$Z$500,0)),"")</f>
        <v/>
      </c>
      <c r="M142" s="4" t="str">
        <f>IFERROR(INDEX(样本到样信息汇总统计!M$2:M$500,MATCH(141,样本到样信息汇总统计!$Z$2:$Z$500,0)),"")</f>
        <v/>
      </c>
      <c r="N142" s="4" t="str">
        <f>IFERROR(INDEX(样本到样信息汇总统计!N$2:N$500,MATCH(141,样本到样信息汇总统计!$Z$2:$Z$500,0)),"")</f>
        <v/>
      </c>
      <c r="O142" s="4" t="str">
        <f>IFERROR(INDEX(样本到样信息汇总统计!O$2:O$500,MATCH(141,样本到样信息汇总统计!$Z$2:$Z$500,0)),"")</f>
        <v/>
      </c>
      <c r="P142" s="4" t="str">
        <f>IFERROR(INDEX(样本到样信息汇总统计!P$2:P$500,MATCH(141,样本到样信息汇总统计!$Z$2:$Z$500,0)),"")</f>
        <v/>
      </c>
      <c r="Q142" s="4" t="str">
        <f>IFERROR(INDEX(样本到样信息汇总统计!Q$2:Q$500,MATCH(141,样本到样信息汇总统计!$Z$2:$Z$500,0)),"")</f>
        <v/>
      </c>
      <c r="R142" s="4" t="str">
        <f>IFERROR(INDEX(样本到样信息汇总统计!R$2:R$500,MATCH(141,样本到样信息汇总统计!$Z$2:$Z$500,0)),"")</f>
        <v/>
      </c>
      <c r="S142" s="4" t="str">
        <f>IFERROR(INDEX(样本到样信息汇总统计!S$2:S$500,MATCH(141,样本到样信息汇总统计!$Z$2:$Z$500,0)),"")</f>
        <v/>
      </c>
      <c r="T142" s="4" t="str">
        <f>IFERROR(INDEX(样本到样信息汇总统计!T$2:T$500,MATCH(141,样本到样信息汇总统计!$Z$2:$Z$500,0)),"")</f>
        <v/>
      </c>
      <c r="U142" s="4" t="str">
        <f>IFERROR(INDEX(样本到样信息汇总统计!U$2:U$500,MATCH(141,样本到样信息汇总统计!$Z$2:$Z$500,0)),"")</f>
        <v/>
      </c>
      <c r="V142" s="4" t="str">
        <f>IFERROR(INDEX(样本到样信息汇总统计!V$2:V$500,MATCH(141,样本到样信息汇总统计!$Z$2:$Z$500,0)),"")</f>
        <v/>
      </c>
      <c r="W142" s="4" t="str">
        <f>IFERROR(INDEX(样本到样信息汇总统计!W$2:W$500,MATCH(141,样本到样信息汇总统计!$Z$2:$Z$500,0)),"")</f>
        <v/>
      </c>
    </row>
    <row r="143" ht="14.5" spans="1:23">
      <c r="A143" s="8" t="str">
        <f>IFERROR(INDEX(样本到样信息汇总统计!A$2:A$500,MATCH(142,样本到样信息汇总统计!$Z$2:$Z$500,0)),"")</f>
        <v/>
      </c>
      <c r="B143" s="8" t="str">
        <f>IFERROR(INDEX(样本到样信息汇总统计!B$2:B$500,MATCH(142,样本到样信息汇总统计!$Z$2:$Z$500,0)),"")</f>
        <v/>
      </c>
      <c r="C143" s="8" t="str">
        <f>IFERROR(INDEX(样本到样信息汇总统计!C$2:C$500,MATCH(142,样本到样信息汇总统计!$Z$2:$Z$500,0)),"")</f>
        <v/>
      </c>
      <c r="D143" s="8" t="str">
        <f>IFERROR(INDEX(样本到样信息汇总统计!D$2:D$500,MATCH(142,样本到样信息汇总统计!$Z$2:$Z$500,0)),"")</f>
        <v/>
      </c>
      <c r="E143" s="8" t="str">
        <f>IFERROR(INDEX(样本到样信息汇总统计!E$2:E$500,MATCH(142,样本到样信息汇总统计!$Z$2:$Z$500,0)),"")</f>
        <v/>
      </c>
      <c r="F143" s="8" t="str">
        <f>IFERROR(INDEX(样本到样信息汇总统计!F$2:F$500,MATCH(142,样本到样信息汇总统计!$Z$2:$Z$500,0)),"")</f>
        <v/>
      </c>
      <c r="G143" s="8" t="str">
        <f>IFERROR(INDEX(样本到样信息汇总统计!G$2:G$500,MATCH(142,样本到样信息汇总统计!$Z$2:$Z$500,0)),"")</f>
        <v/>
      </c>
      <c r="H143" s="8" t="str">
        <f>IFERROR(INDEX(样本到样信息汇总统计!H$2:H$500,MATCH(142,样本到样信息汇总统计!$Z$2:$Z$500,0)),"")</f>
        <v/>
      </c>
      <c r="I143" s="8" t="str">
        <f>IFERROR(INDEX(样本到样信息汇总统计!I$2:I$500,MATCH(142,样本到样信息汇总统计!$Z$2:$Z$500,0)),"")</f>
        <v/>
      </c>
      <c r="J143" s="8" t="str">
        <f>IFERROR(INDEX(样本到样信息汇总统计!J$2:J$500,MATCH(142,样本到样信息汇总统计!$Z$2:$Z$500,0)),"")</f>
        <v/>
      </c>
      <c r="K143" s="8" t="str">
        <f>IFERROR(INDEX(样本到样信息汇总统计!K$2:K$500,MATCH(142,样本到样信息汇总统计!$Z$2:$Z$500,0)),"")</f>
        <v/>
      </c>
      <c r="L143" s="8" t="str">
        <f>IFERROR(INDEX(样本到样信息汇总统计!L$2:L$500,MATCH(142,样本到样信息汇总统计!$Z$2:$Z$500,0)),"")</f>
        <v/>
      </c>
      <c r="M143" s="8" t="str">
        <f>IFERROR(INDEX(样本到样信息汇总统计!M$2:M$500,MATCH(142,样本到样信息汇总统计!$Z$2:$Z$500,0)),"")</f>
        <v/>
      </c>
      <c r="N143" s="8" t="str">
        <f>IFERROR(INDEX(样本到样信息汇总统计!N$2:N$500,MATCH(142,样本到样信息汇总统计!$Z$2:$Z$500,0)),"")</f>
        <v/>
      </c>
      <c r="O143" s="8" t="str">
        <f>IFERROR(INDEX(样本到样信息汇总统计!O$2:O$500,MATCH(142,样本到样信息汇总统计!$Z$2:$Z$500,0)),"")</f>
        <v/>
      </c>
      <c r="P143" s="8" t="str">
        <f>IFERROR(INDEX(样本到样信息汇总统计!P$2:P$500,MATCH(142,样本到样信息汇总统计!$Z$2:$Z$500,0)),"")</f>
        <v/>
      </c>
      <c r="Q143" s="8" t="str">
        <f>IFERROR(INDEX(样本到样信息汇总统计!Q$2:Q$500,MATCH(142,样本到样信息汇总统计!$Z$2:$Z$500,0)),"")</f>
        <v/>
      </c>
      <c r="R143" s="8" t="str">
        <f>IFERROR(INDEX(样本到样信息汇总统计!R$2:R$500,MATCH(142,样本到样信息汇总统计!$Z$2:$Z$500,0)),"")</f>
        <v/>
      </c>
      <c r="S143" s="8" t="str">
        <f>IFERROR(INDEX(样本到样信息汇总统计!S$2:S$500,MATCH(142,样本到样信息汇总统计!$Z$2:$Z$500,0)),"")</f>
        <v/>
      </c>
      <c r="T143" s="8" t="str">
        <f>IFERROR(INDEX(样本到样信息汇总统计!T$2:T$500,MATCH(142,样本到样信息汇总统计!$Z$2:$Z$500,0)),"")</f>
        <v/>
      </c>
      <c r="U143" s="8" t="str">
        <f>IFERROR(INDEX(样本到样信息汇总统计!U$2:U$500,MATCH(142,样本到样信息汇总统计!$Z$2:$Z$500,0)),"")</f>
        <v/>
      </c>
      <c r="V143" s="8" t="str">
        <f>IFERROR(INDEX(样本到样信息汇总统计!V$2:V$500,MATCH(142,样本到样信息汇总统计!$Z$2:$Z$500,0)),"")</f>
        <v/>
      </c>
      <c r="W143" s="8" t="str">
        <f>IFERROR(INDEX(样本到样信息汇总统计!W$2:W$500,MATCH(142,样本到样信息汇总统计!$Z$2:$Z$500,0)),"")</f>
        <v/>
      </c>
    </row>
    <row r="144" ht="14.5" spans="1:23">
      <c r="A144" s="4" t="str">
        <f>IFERROR(INDEX(样本到样信息汇总统计!A$2:A$500,MATCH(143,样本到样信息汇总统计!$Z$2:$Z$500,0)),"")</f>
        <v/>
      </c>
      <c r="B144" s="4" t="str">
        <f>IFERROR(INDEX(样本到样信息汇总统计!B$2:B$500,MATCH(143,样本到样信息汇总统计!$Z$2:$Z$500,0)),"")</f>
        <v/>
      </c>
      <c r="C144" s="4" t="str">
        <f>IFERROR(INDEX(样本到样信息汇总统计!C$2:C$500,MATCH(143,样本到样信息汇总统计!$Z$2:$Z$500,0)),"")</f>
        <v/>
      </c>
      <c r="D144" s="4" t="str">
        <f>IFERROR(INDEX(样本到样信息汇总统计!D$2:D$500,MATCH(143,样本到样信息汇总统计!$Z$2:$Z$500,0)),"")</f>
        <v/>
      </c>
      <c r="E144" s="4" t="str">
        <f>IFERROR(INDEX(样本到样信息汇总统计!E$2:E$500,MATCH(143,样本到样信息汇总统计!$Z$2:$Z$500,0)),"")</f>
        <v/>
      </c>
      <c r="F144" s="4" t="str">
        <f>IFERROR(INDEX(样本到样信息汇总统计!F$2:F$500,MATCH(143,样本到样信息汇总统计!$Z$2:$Z$500,0)),"")</f>
        <v/>
      </c>
      <c r="G144" s="4" t="str">
        <f>IFERROR(INDEX(样本到样信息汇总统计!G$2:G$500,MATCH(143,样本到样信息汇总统计!$Z$2:$Z$500,0)),"")</f>
        <v/>
      </c>
      <c r="H144" s="4" t="str">
        <f>IFERROR(INDEX(样本到样信息汇总统计!H$2:H$500,MATCH(143,样本到样信息汇总统计!$Z$2:$Z$500,0)),"")</f>
        <v/>
      </c>
      <c r="I144" s="4" t="str">
        <f>IFERROR(INDEX(样本到样信息汇总统计!I$2:I$500,MATCH(143,样本到样信息汇总统计!$Z$2:$Z$500,0)),"")</f>
        <v/>
      </c>
      <c r="J144" s="4" t="str">
        <f>IFERROR(INDEX(样本到样信息汇总统计!J$2:J$500,MATCH(143,样本到样信息汇总统计!$Z$2:$Z$500,0)),"")</f>
        <v/>
      </c>
      <c r="K144" s="4" t="str">
        <f>IFERROR(INDEX(样本到样信息汇总统计!K$2:K$500,MATCH(143,样本到样信息汇总统计!$Z$2:$Z$500,0)),"")</f>
        <v/>
      </c>
      <c r="L144" s="4" t="str">
        <f>IFERROR(INDEX(样本到样信息汇总统计!L$2:L$500,MATCH(143,样本到样信息汇总统计!$Z$2:$Z$500,0)),"")</f>
        <v/>
      </c>
      <c r="M144" s="4" t="str">
        <f>IFERROR(INDEX(样本到样信息汇总统计!M$2:M$500,MATCH(143,样本到样信息汇总统计!$Z$2:$Z$500,0)),"")</f>
        <v/>
      </c>
      <c r="N144" s="4" t="str">
        <f>IFERROR(INDEX(样本到样信息汇总统计!N$2:N$500,MATCH(143,样本到样信息汇总统计!$Z$2:$Z$500,0)),"")</f>
        <v/>
      </c>
      <c r="O144" s="4" t="str">
        <f>IFERROR(INDEX(样本到样信息汇总统计!O$2:O$500,MATCH(143,样本到样信息汇总统计!$Z$2:$Z$500,0)),"")</f>
        <v/>
      </c>
      <c r="P144" s="4" t="str">
        <f>IFERROR(INDEX(样本到样信息汇总统计!P$2:P$500,MATCH(143,样本到样信息汇总统计!$Z$2:$Z$500,0)),"")</f>
        <v/>
      </c>
      <c r="Q144" s="4" t="str">
        <f>IFERROR(INDEX(样本到样信息汇总统计!Q$2:Q$500,MATCH(143,样本到样信息汇总统计!$Z$2:$Z$500,0)),"")</f>
        <v/>
      </c>
      <c r="R144" s="4" t="str">
        <f>IFERROR(INDEX(样本到样信息汇总统计!R$2:R$500,MATCH(143,样本到样信息汇总统计!$Z$2:$Z$500,0)),"")</f>
        <v/>
      </c>
      <c r="S144" s="4" t="str">
        <f>IFERROR(INDEX(样本到样信息汇总统计!S$2:S$500,MATCH(143,样本到样信息汇总统计!$Z$2:$Z$500,0)),"")</f>
        <v/>
      </c>
      <c r="T144" s="4" t="str">
        <f>IFERROR(INDEX(样本到样信息汇总统计!T$2:T$500,MATCH(143,样本到样信息汇总统计!$Z$2:$Z$500,0)),"")</f>
        <v/>
      </c>
      <c r="U144" s="4" t="str">
        <f>IFERROR(INDEX(样本到样信息汇总统计!U$2:U$500,MATCH(143,样本到样信息汇总统计!$Z$2:$Z$500,0)),"")</f>
        <v/>
      </c>
      <c r="V144" s="4" t="str">
        <f>IFERROR(INDEX(样本到样信息汇总统计!V$2:V$500,MATCH(143,样本到样信息汇总统计!$Z$2:$Z$500,0)),"")</f>
        <v/>
      </c>
      <c r="W144" s="4" t="str">
        <f>IFERROR(INDEX(样本到样信息汇总统计!W$2:W$500,MATCH(143,样本到样信息汇总统计!$Z$2:$Z$500,0)),"")</f>
        <v/>
      </c>
    </row>
    <row r="145" ht="14.5" spans="1:23">
      <c r="A145" s="8" t="str">
        <f>IFERROR(INDEX(样本到样信息汇总统计!A$2:A$500,MATCH(144,样本到样信息汇总统计!$Z$2:$Z$500,0)),"")</f>
        <v/>
      </c>
      <c r="B145" s="8" t="str">
        <f>IFERROR(INDEX(样本到样信息汇总统计!B$2:B$500,MATCH(144,样本到样信息汇总统计!$Z$2:$Z$500,0)),"")</f>
        <v/>
      </c>
      <c r="C145" s="8" t="str">
        <f>IFERROR(INDEX(样本到样信息汇总统计!C$2:C$500,MATCH(144,样本到样信息汇总统计!$Z$2:$Z$500,0)),"")</f>
        <v/>
      </c>
      <c r="D145" s="8" t="str">
        <f>IFERROR(INDEX(样本到样信息汇总统计!D$2:D$500,MATCH(144,样本到样信息汇总统计!$Z$2:$Z$500,0)),"")</f>
        <v/>
      </c>
      <c r="E145" s="8" t="str">
        <f>IFERROR(INDEX(样本到样信息汇总统计!E$2:E$500,MATCH(144,样本到样信息汇总统计!$Z$2:$Z$500,0)),"")</f>
        <v/>
      </c>
      <c r="F145" s="8" t="str">
        <f>IFERROR(INDEX(样本到样信息汇总统计!F$2:F$500,MATCH(144,样本到样信息汇总统计!$Z$2:$Z$500,0)),"")</f>
        <v/>
      </c>
      <c r="G145" s="8" t="str">
        <f>IFERROR(INDEX(样本到样信息汇总统计!G$2:G$500,MATCH(144,样本到样信息汇总统计!$Z$2:$Z$500,0)),"")</f>
        <v/>
      </c>
      <c r="H145" s="8" t="str">
        <f>IFERROR(INDEX(样本到样信息汇总统计!H$2:H$500,MATCH(144,样本到样信息汇总统计!$Z$2:$Z$500,0)),"")</f>
        <v/>
      </c>
      <c r="I145" s="8" t="str">
        <f>IFERROR(INDEX(样本到样信息汇总统计!I$2:I$500,MATCH(144,样本到样信息汇总统计!$Z$2:$Z$500,0)),"")</f>
        <v/>
      </c>
      <c r="J145" s="8" t="str">
        <f>IFERROR(INDEX(样本到样信息汇总统计!J$2:J$500,MATCH(144,样本到样信息汇总统计!$Z$2:$Z$500,0)),"")</f>
        <v/>
      </c>
      <c r="K145" s="8" t="str">
        <f>IFERROR(INDEX(样本到样信息汇总统计!K$2:K$500,MATCH(144,样本到样信息汇总统计!$Z$2:$Z$500,0)),"")</f>
        <v/>
      </c>
      <c r="L145" s="8" t="str">
        <f>IFERROR(INDEX(样本到样信息汇总统计!L$2:L$500,MATCH(144,样本到样信息汇总统计!$Z$2:$Z$500,0)),"")</f>
        <v/>
      </c>
      <c r="M145" s="8" t="str">
        <f>IFERROR(INDEX(样本到样信息汇总统计!M$2:M$500,MATCH(144,样本到样信息汇总统计!$Z$2:$Z$500,0)),"")</f>
        <v/>
      </c>
      <c r="N145" s="8" t="str">
        <f>IFERROR(INDEX(样本到样信息汇总统计!N$2:N$500,MATCH(144,样本到样信息汇总统计!$Z$2:$Z$500,0)),"")</f>
        <v/>
      </c>
      <c r="O145" s="8" t="str">
        <f>IFERROR(INDEX(样本到样信息汇总统计!O$2:O$500,MATCH(144,样本到样信息汇总统计!$Z$2:$Z$500,0)),"")</f>
        <v/>
      </c>
      <c r="P145" s="8" t="str">
        <f>IFERROR(INDEX(样本到样信息汇总统计!P$2:P$500,MATCH(144,样本到样信息汇总统计!$Z$2:$Z$500,0)),"")</f>
        <v/>
      </c>
      <c r="Q145" s="8" t="str">
        <f>IFERROR(INDEX(样本到样信息汇总统计!Q$2:Q$500,MATCH(144,样本到样信息汇总统计!$Z$2:$Z$500,0)),"")</f>
        <v/>
      </c>
      <c r="R145" s="8" t="str">
        <f>IFERROR(INDEX(样本到样信息汇总统计!R$2:R$500,MATCH(144,样本到样信息汇总统计!$Z$2:$Z$500,0)),"")</f>
        <v/>
      </c>
      <c r="S145" s="8" t="str">
        <f>IFERROR(INDEX(样本到样信息汇总统计!S$2:S$500,MATCH(144,样本到样信息汇总统计!$Z$2:$Z$500,0)),"")</f>
        <v/>
      </c>
      <c r="T145" s="8" t="str">
        <f>IFERROR(INDEX(样本到样信息汇总统计!T$2:T$500,MATCH(144,样本到样信息汇总统计!$Z$2:$Z$500,0)),"")</f>
        <v/>
      </c>
      <c r="U145" s="8" t="str">
        <f>IFERROR(INDEX(样本到样信息汇总统计!U$2:U$500,MATCH(144,样本到样信息汇总统计!$Z$2:$Z$500,0)),"")</f>
        <v/>
      </c>
      <c r="V145" s="8" t="str">
        <f>IFERROR(INDEX(样本到样信息汇总统计!V$2:V$500,MATCH(144,样本到样信息汇总统计!$Z$2:$Z$500,0)),"")</f>
        <v/>
      </c>
      <c r="W145" s="8" t="str">
        <f>IFERROR(INDEX(样本到样信息汇总统计!W$2:W$500,MATCH(144,样本到样信息汇总统计!$Z$2:$Z$500,0)),"")</f>
        <v/>
      </c>
    </row>
    <row r="146" ht="14.5" spans="1:23">
      <c r="A146" s="4" t="str">
        <f>IFERROR(INDEX(样本到样信息汇总统计!A$2:A$500,MATCH(145,样本到样信息汇总统计!$Z$2:$Z$500,0)),"")</f>
        <v/>
      </c>
      <c r="B146" s="4" t="str">
        <f>IFERROR(INDEX(样本到样信息汇总统计!B$2:B$500,MATCH(145,样本到样信息汇总统计!$Z$2:$Z$500,0)),"")</f>
        <v/>
      </c>
      <c r="C146" s="4" t="str">
        <f>IFERROR(INDEX(样本到样信息汇总统计!C$2:C$500,MATCH(145,样本到样信息汇总统计!$Z$2:$Z$500,0)),"")</f>
        <v/>
      </c>
      <c r="D146" s="4" t="str">
        <f>IFERROR(INDEX(样本到样信息汇总统计!D$2:D$500,MATCH(145,样本到样信息汇总统计!$Z$2:$Z$500,0)),"")</f>
        <v/>
      </c>
      <c r="E146" s="4" t="str">
        <f>IFERROR(INDEX(样本到样信息汇总统计!E$2:E$500,MATCH(145,样本到样信息汇总统计!$Z$2:$Z$500,0)),"")</f>
        <v/>
      </c>
      <c r="F146" s="4" t="str">
        <f>IFERROR(INDEX(样本到样信息汇总统计!F$2:F$500,MATCH(145,样本到样信息汇总统计!$Z$2:$Z$500,0)),"")</f>
        <v/>
      </c>
      <c r="G146" s="4" t="str">
        <f>IFERROR(INDEX(样本到样信息汇总统计!G$2:G$500,MATCH(145,样本到样信息汇总统计!$Z$2:$Z$500,0)),"")</f>
        <v/>
      </c>
      <c r="H146" s="4" t="str">
        <f>IFERROR(INDEX(样本到样信息汇总统计!H$2:H$500,MATCH(145,样本到样信息汇总统计!$Z$2:$Z$500,0)),"")</f>
        <v/>
      </c>
      <c r="I146" s="4" t="str">
        <f>IFERROR(INDEX(样本到样信息汇总统计!I$2:I$500,MATCH(145,样本到样信息汇总统计!$Z$2:$Z$500,0)),"")</f>
        <v/>
      </c>
      <c r="J146" s="4" t="str">
        <f>IFERROR(INDEX(样本到样信息汇总统计!J$2:J$500,MATCH(145,样本到样信息汇总统计!$Z$2:$Z$500,0)),"")</f>
        <v/>
      </c>
      <c r="K146" s="4" t="str">
        <f>IFERROR(INDEX(样本到样信息汇总统计!K$2:K$500,MATCH(145,样本到样信息汇总统计!$Z$2:$Z$500,0)),"")</f>
        <v/>
      </c>
      <c r="L146" s="4" t="str">
        <f>IFERROR(INDEX(样本到样信息汇总统计!L$2:L$500,MATCH(145,样本到样信息汇总统计!$Z$2:$Z$500,0)),"")</f>
        <v/>
      </c>
      <c r="M146" s="4" t="str">
        <f>IFERROR(INDEX(样本到样信息汇总统计!M$2:M$500,MATCH(145,样本到样信息汇总统计!$Z$2:$Z$500,0)),"")</f>
        <v/>
      </c>
      <c r="N146" s="4" t="str">
        <f>IFERROR(INDEX(样本到样信息汇总统计!N$2:N$500,MATCH(145,样本到样信息汇总统计!$Z$2:$Z$500,0)),"")</f>
        <v/>
      </c>
      <c r="O146" s="4" t="str">
        <f>IFERROR(INDEX(样本到样信息汇总统计!O$2:O$500,MATCH(145,样本到样信息汇总统计!$Z$2:$Z$500,0)),"")</f>
        <v/>
      </c>
      <c r="P146" s="4" t="str">
        <f>IFERROR(INDEX(样本到样信息汇总统计!P$2:P$500,MATCH(145,样本到样信息汇总统计!$Z$2:$Z$500,0)),"")</f>
        <v/>
      </c>
      <c r="Q146" s="4" t="str">
        <f>IFERROR(INDEX(样本到样信息汇总统计!Q$2:Q$500,MATCH(145,样本到样信息汇总统计!$Z$2:$Z$500,0)),"")</f>
        <v/>
      </c>
      <c r="R146" s="4" t="str">
        <f>IFERROR(INDEX(样本到样信息汇总统计!R$2:R$500,MATCH(145,样本到样信息汇总统计!$Z$2:$Z$500,0)),"")</f>
        <v/>
      </c>
      <c r="S146" s="4" t="str">
        <f>IFERROR(INDEX(样本到样信息汇总统计!S$2:S$500,MATCH(145,样本到样信息汇总统计!$Z$2:$Z$500,0)),"")</f>
        <v/>
      </c>
      <c r="T146" s="4" t="str">
        <f>IFERROR(INDEX(样本到样信息汇总统计!T$2:T$500,MATCH(145,样本到样信息汇总统计!$Z$2:$Z$500,0)),"")</f>
        <v/>
      </c>
      <c r="U146" s="4" t="str">
        <f>IFERROR(INDEX(样本到样信息汇总统计!U$2:U$500,MATCH(145,样本到样信息汇总统计!$Z$2:$Z$500,0)),"")</f>
        <v/>
      </c>
      <c r="V146" s="4" t="str">
        <f>IFERROR(INDEX(样本到样信息汇总统计!V$2:V$500,MATCH(145,样本到样信息汇总统计!$Z$2:$Z$500,0)),"")</f>
        <v/>
      </c>
      <c r="W146" s="4" t="str">
        <f>IFERROR(INDEX(样本到样信息汇总统计!W$2:W$500,MATCH(145,样本到样信息汇总统计!$Z$2:$Z$500,0)),"")</f>
        <v/>
      </c>
    </row>
    <row r="147" ht="14.5" spans="1:23">
      <c r="A147" s="8" t="str">
        <f>IFERROR(INDEX(样本到样信息汇总统计!A$2:A$500,MATCH(146,样本到样信息汇总统计!$Z$2:$Z$500,0)),"")</f>
        <v/>
      </c>
      <c r="B147" s="8" t="str">
        <f>IFERROR(INDEX(样本到样信息汇总统计!B$2:B$500,MATCH(146,样本到样信息汇总统计!$Z$2:$Z$500,0)),"")</f>
        <v/>
      </c>
      <c r="C147" s="8" t="str">
        <f>IFERROR(INDEX(样本到样信息汇总统计!C$2:C$500,MATCH(146,样本到样信息汇总统计!$Z$2:$Z$500,0)),"")</f>
        <v/>
      </c>
      <c r="D147" s="8" t="str">
        <f>IFERROR(INDEX(样本到样信息汇总统计!D$2:D$500,MATCH(146,样本到样信息汇总统计!$Z$2:$Z$500,0)),"")</f>
        <v/>
      </c>
      <c r="E147" s="8" t="str">
        <f>IFERROR(INDEX(样本到样信息汇总统计!E$2:E$500,MATCH(146,样本到样信息汇总统计!$Z$2:$Z$500,0)),"")</f>
        <v/>
      </c>
      <c r="F147" s="8" t="str">
        <f>IFERROR(INDEX(样本到样信息汇总统计!F$2:F$500,MATCH(146,样本到样信息汇总统计!$Z$2:$Z$500,0)),"")</f>
        <v/>
      </c>
      <c r="G147" s="8" t="str">
        <f>IFERROR(INDEX(样本到样信息汇总统计!G$2:G$500,MATCH(146,样本到样信息汇总统计!$Z$2:$Z$500,0)),"")</f>
        <v/>
      </c>
      <c r="H147" s="8" t="str">
        <f>IFERROR(INDEX(样本到样信息汇总统计!H$2:H$500,MATCH(146,样本到样信息汇总统计!$Z$2:$Z$500,0)),"")</f>
        <v/>
      </c>
      <c r="I147" s="8" t="str">
        <f>IFERROR(INDEX(样本到样信息汇总统计!I$2:I$500,MATCH(146,样本到样信息汇总统计!$Z$2:$Z$500,0)),"")</f>
        <v/>
      </c>
      <c r="J147" s="8" t="str">
        <f>IFERROR(INDEX(样本到样信息汇总统计!J$2:J$500,MATCH(146,样本到样信息汇总统计!$Z$2:$Z$500,0)),"")</f>
        <v/>
      </c>
      <c r="K147" s="8" t="str">
        <f>IFERROR(INDEX(样本到样信息汇总统计!K$2:K$500,MATCH(146,样本到样信息汇总统计!$Z$2:$Z$500,0)),"")</f>
        <v/>
      </c>
      <c r="L147" s="8" t="str">
        <f>IFERROR(INDEX(样本到样信息汇总统计!L$2:L$500,MATCH(146,样本到样信息汇总统计!$Z$2:$Z$500,0)),"")</f>
        <v/>
      </c>
      <c r="M147" s="8" t="str">
        <f>IFERROR(INDEX(样本到样信息汇总统计!M$2:M$500,MATCH(146,样本到样信息汇总统计!$Z$2:$Z$500,0)),"")</f>
        <v/>
      </c>
      <c r="N147" s="8" t="str">
        <f>IFERROR(INDEX(样本到样信息汇总统计!N$2:N$500,MATCH(146,样本到样信息汇总统计!$Z$2:$Z$500,0)),"")</f>
        <v/>
      </c>
      <c r="O147" s="8" t="str">
        <f>IFERROR(INDEX(样本到样信息汇总统计!O$2:O$500,MATCH(146,样本到样信息汇总统计!$Z$2:$Z$500,0)),"")</f>
        <v/>
      </c>
      <c r="P147" s="8" t="str">
        <f>IFERROR(INDEX(样本到样信息汇总统计!P$2:P$500,MATCH(146,样本到样信息汇总统计!$Z$2:$Z$500,0)),"")</f>
        <v/>
      </c>
      <c r="Q147" s="8" t="str">
        <f>IFERROR(INDEX(样本到样信息汇总统计!Q$2:Q$500,MATCH(146,样本到样信息汇总统计!$Z$2:$Z$500,0)),"")</f>
        <v/>
      </c>
      <c r="R147" s="8" t="str">
        <f>IFERROR(INDEX(样本到样信息汇总统计!R$2:R$500,MATCH(146,样本到样信息汇总统计!$Z$2:$Z$500,0)),"")</f>
        <v/>
      </c>
      <c r="S147" s="8" t="str">
        <f>IFERROR(INDEX(样本到样信息汇总统计!S$2:S$500,MATCH(146,样本到样信息汇总统计!$Z$2:$Z$500,0)),"")</f>
        <v/>
      </c>
      <c r="T147" s="8" t="str">
        <f>IFERROR(INDEX(样本到样信息汇总统计!T$2:T$500,MATCH(146,样本到样信息汇总统计!$Z$2:$Z$500,0)),"")</f>
        <v/>
      </c>
      <c r="U147" s="8" t="str">
        <f>IFERROR(INDEX(样本到样信息汇总统计!U$2:U$500,MATCH(146,样本到样信息汇总统计!$Z$2:$Z$500,0)),"")</f>
        <v/>
      </c>
      <c r="V147" s="8" t="str">
        <f>IFERROR(INDEX(样本到样信息汇总统计!V$2:V$500,MATCH(146,样本到样信息汇总统计!$Z$2:$Z$500,0)),"")</f>
        <v/>
      </c>
      <c r="W147" s="8" t="str">
        <f>IFERROR(INDEX(样本到样信息汇总统计!W$2:W$500,MATCH(146,样本到样信息汇总统计!$Z$2:$Z$500,0)),"")</f>
        <v/>
      </c>
    </row>
    <row r="148" ht="14.5" spans="1:23">
      <c r="A148" s="4" t="str">
        <f>IFERROR(INDEX(样本到样信息汇总统计!A$2:A$500,MATCH(147,样本到样信息汇总统计!$Z$2:$Z$500,0)),"")</f>
        <v/>
      </c>
      <c r="B148" s="4" t="str">
        <f>IFERROR(INDEX(样本到样信息汇总统计!B$2:B$500,MATCH(147,样本到样信息汇总统计!$Z$2:$Z$500,0)),"")</f>
        <v/>
      </c>
      <c r="C148" s="4" t="str">
        <f>IFERROR(INDEX(样本到样信息汇总统计!C$2:C$500,MATCH(147,样本到样信息汇总统计!$Z$2:$Z$500,0)),"")</f>
        <v/>
      </c>
      <c r="D148" s="4" t="str">
        <f>IFERROR(INDEX(样本到样信息汇总统计!D$2:D$500,MATCH(147,样本到样信息汇总统计!$Z$2:$Z$500,0)),"")</f>
        <v/>
      </c>
      <c r="E148" s="4" t="str">
        <f>IFERROR(INDEX(样本到样信息汇总统计!E$2:E$500,MATCH(147,样本到样信息汇总统计!$Z$2:$Z$500,0)),"")</f>
        <v/>
      </c>
      <c r="F148" s="4" t="str">
        <f>IFERROR(INDEX(样本到样信息汇总统计!F$2:F$500,MATCH(147,样本到样信息汇总统计!$Z$2:$Z$500,0)),"")</f>
        <v/>
      </c>
      <c r="G148" s="4" t="str">
        <f>IFERROR(INDEX(样本到样信息汇总统计!G$2:G$500,MATCH(147,样本到样信息汇总统计!$Z$2:$Z$500,0)),"")</f>
        <v/>
      </c>
      <c r="H148" s="4" t="str">
        <f>IFERROR(INDEX(样本到样信息汇总统计!H$2:H$500,MATCH(147,样本到样信息汇总统计!$Z$2:$Z$500,0)),"")</f>
        <v/>
      </c>
      <c r="I148" s="4" t="str">
        <f>IFERROR(INDEX(样本到样信息汇总统计!I$2:I$500,MATCH(147,样本到样信息汇总统计!$Z$2:$Z$500,0)),"")</f>
        <v/>
      </c>
      <c r="J148" s="4" t="str">
        <f>IFERROR(INDEX(样本到样信息汇总统计!J$2:J$500,MATCH(147,样本到样信息汇总统计!$Z$2:$Z$500,0)),"")</f>
        <v/>
      </c>
      <c r="K148" s="4" t="str">
        <f>IFERROR(INDEX(样本到样信息汇总统计!K$2:K$500,MATCH(147,样本到样信息汇总统计!$Z$2:$Z$500,0)),"")</f>
        <v/>
      </c>
      <c r="L148" s="4" t="str">
        <f>IFERROR(INDEX(样本到样信息汇总统计!L$2:L$500,MATCH(147,样本到样信息汇总统计!$Z$2:$Z$500,0)),"")</f>
        <v/>
      </c>
      <c r="M148" s="4" t="str">
        <f>IFERROR(INDEX(样本到样信息汇总统计!M$2:M$500,MATCH(147,样本到样信息汇总统计!$Z$2:$Z$500,0)),"")</f>
        <v/>
      </c>
      <c r="N148" s="4" t="str">
        <f>IFERROR(INDEX(样本到样信息汇总统计!N$2:N$500,MATCH(147,样本到样信息汇总统计!$Z$2:$Z$500,0)),"")</f>
        <v/>
      </c>
      <c r="O148" s="4" t="str">
        <f>IFERROR(INDEX(样本到样信息汇总统计!O$2:O$500,MATCH(147,样本到样信息汇总统计!$Z$2:$Z$500,0)),"")</f>
        <v/>
      </c>
      <c r="P148" s="4" t="str">
        <f>IFERROR(INDEX(样本到样信息汇总统计!P$2:P$500,MATCH(147,样本到样信息汇总统计!$Z$2:$Z$500,0)),"")</f>
        <v/>
      </c>
      <c r="Q148" s="4" t="str">
        <f>IFERROR(INDEX(样本到样信息汇总统计!Q$2:Q$500,MATCH(147,样本到样信息汇总统计!$Z$2:$Z$500,0)),"")</f>
        <v/>
      </c>
      <c r="R148" s="4" t="str">
        <f>IFERROR(INDEX(样本到样信息汇总统计!R$2:R$500,MATCH(147,样本到样信息汇总统计!$Z$2:$Z$500,0)),"")</f>
        <v/>
      </c>
      <c r="S148" s="4" t="str">
        <f>IFERROR(INDEX(样本到样信息汇总统计!S$2:S$500,MATCH(147,样本到样信息汇总统计!$Z$2:$Z$500,0)),"")</f>
        <v/>
      </c>
      <c r="T148" s="4" t="str">
        <f>IFERROR(INDEX(样本到样信息汇总统计!T$2:T$500,MATCH(147,样本到样信息汇总统计!$Z$2:$Z$500,0)),"")</f>
        <v/>
      </c>
      <c r="U148" s="4" t="str">
        <f>IFERROR(INDEX(样本到样信息汇总统计!U$2:U$500,MATCH(147,样本到样信息汇总统计!$Z$2:$Z$500,0)),"")</f>
        <v/>
      </c>
      <c r="V148" s="4" t="str">
        <f>IFERROR(INDEX(样本到样信息汇总统计!V$2:V$500,MATCH(147,样本到样信息汇总统计!$Z$2:$Z$500,0)),"")</f>
        <v/>
      </c>
      <c r="W148" s="4" t="str">
        <f>IFERROR(INDEX(样本到样信息汇总统计!W$2:W$500,MATCH(147,样本到样信息汇总统计!$Z$2:$Z$500,0)),"")</f>
        <v/>
      </c>
    </row>
    <row r="149" ht="14.5" spans="1:23">
      <c r="A149" s="8" t="str">
        <f>IFERROR(INDEX(样本到样信息汇总统计!A$2:A$500,MATCH(148,样本到样信息汇总统计!$Z$2:$Z$500,0)),"")</f>
        <v/>
      </c>
      <c r="B149" s="8" t="str">
        <f>IFERROR(INDEX(样本到样信息汇总统计!B$2:B$500,MATCH(148,样本到样信息汇总统计!$Z$2:$Z$500,0)),"")</f>
        <v/>
      </c>
      <c r="C149" s="8" t="str">
        <f>IFERROR(INDEX(样本到样信息汇总统计!C$2:C$500,MATCH(148,样本到样信息汇总统计!$Z$2:$Z$500,0)),"")</f>
        <v/>
      </c>
      <c r="D149" s="8" t="str">
        <f>IFERROR(INDEX(样本到样信息汇总统计!D$2:D$500,MATCH(148,样本到样信息汇总统计!$Z$2:$Z$500,0)),"")</f>
        <v/>
      </c>
      <c r="E149" s="8" t="str">
        <f>IFERROR(INDEX(样本到样信息汇总统计!E$2:E$500,MATCH(148,样本到样信息汇总统计!$Z$2:$Z$500,0)),"")</f>
        <v/>
      </c>
      <c r="F149" s="8" t="str">
        <f>IFERROR(INDEX(样本到样信息汇总统计!F$2:F$500,MATCH(148,样本到样信息汇总统计!$Z$2:$Z$500,0)),"")</f>
        <v/>
      </c>
      <c r="G149" s="8" t="str">
        <f>IFERROR(INDEX(样本到样信息汇总统计!G$2:G$500,MATCH(148,样本到样信息汇总统计!$Z$2:$Z$500,0)),"")</f>
        <v/>
      </c>
      <c r="H149" s="8" t="str">
        <f>IFERROR(INDEX(样本到样信息汇总统计!H$2:H$500,MATCH(148,样本到样信息汇总统计!$Z$2:$Z$500,0)),"")</f>
        <v/>
      </c>
      <c r="I149" s="8" t="str">
        <f>IFERROR(INDEX(样本到样信息汇总统计!I$2:I$500,MATCH(148,样本到样信息汇总统计!$Z$2:$Z$500,0)),"")</f>
        <v/>
      </c>
      <c r="J149" s="8" t="str">
        <f>IFERROR(INDEX(样本到样信息汇总统计!J$2:J$500,MATCH(148,样本到样信息汇总统计!$Z$2:$Z$500,0)),"")</f>
        <v/>
      </c>
      <c r="K149" s="8" t="str">
        <f>IFERROR(INDEX(样本到样信息汇总统计!K$2:K$500,MATCH(148,样本到样信息汇总统计!$Z$2:$Z$500,0)),"")</f>
        <v/>
      </c>
      <c r="L149" s="8" t="str">
        <f>IFERROR(INDEX(样本到样信息汇总统计!L$2:L$500,MATCH(148,样本到样信息汇总统计!$Z$2:$Z$500,0)),"")</f>
        <v/>
      </c>
      <c r="M149" s="8" t="str">
        <f>IFERROR(INDEX(样本到样信息汇总统计!M$2:M$500,MATCH(148,样本到样信息汇总统计!$Z$2:$Z$500,0)),"")</f>
        <v/>
      </c>
      <c r="N149" s="8" t="str">
        <f>IFERROR(INDEX(样本到样信息汇总统计!N$2:N$500,MATCH(148,样本到样信息汇总统计!$Z$2:$Z$500,0)),"")</f>
        <v/>
      </c>
      <c r="O149" s="8" t="str">
        <f>IFERROR(INDEX(样本到样信息汇总统计!O$2:O$500,MATCH(148,样本到样信息汇总统计!$Z$2:$Z$500,0)),"")</f>
        <v/>
      </c>
      <c r="P149" s="8" t="str">
        <f>IFERROR(INDEX(样本到样信息汇总统计!P$2:P$500,MATCH(148,样本到样信息汇总统计!$Z$2:$Z$500,0)),"")</f>
        <v/>
      </c>
      <c r="Q149" s="8" t="str">
        <f>IFERROR(INDEX(样本到样信息汇总统计!Q$2:Q$500,MATCH(148,样本到样信息汇总统计!$Z$2:$Z$500,0)),"")</f>
        <v/>
      </c>
      <c r="R149" s="8" t="str">
        <f>IFERROR(INDEX(样本到样信息汇总统计!R$2:R$500,MATCH(148,样本到样信息汇总统计!$Z$2:$Z$500,0)),"")</f>
        <v/>
      </c>
      <c r="S149" s="8" t="str">
        <f>IFERROR(INDEX(样本到样信息汇总统计!S$2:S$500,MATCH(148,样本到样信息汇总统计!$Z$2:$Z$500,0)),"")</f>
        <v/>
      </c>
      <c r="T149" s="8" t="str">
        <f>IFERROR(INDEX(样本到样信息汇总统计!T$2:T$500,MATCH(148,样本到样信息汇总统计!$Z$2:$Z$500,0)),"")</f>
        <v/>
      </c>
      <c r="U149" s="8" t="str">
        <f>IFERROR(INDEX(样本到样信息汇总统计!U$2:U$500,MATCH(148,样本到样信息汇总统计!$Z$2:$Z$500,0)),"")</f>
        <v/>
      </c>
      <c r="V149" s="8" t="str">
        <f>IFERROR(INDEX(样本到样信息汇总统计!V$2:V$500,MATCH(148,样本到样信息汇总统计!$Z$2:$Z$500,0)),"")</f>
        <v/>
      </c>
      <c r="W149" s="8" t="str">
        <f>IFERROR(INDEX(样本到样信息汇总统计!W$2:W$500,MATCH(148,样本到样信息汇总统计!$Z$2:$Z$500,0)),"")</f>
        <v/>
      </c>
    </row>
    <row r="150" ht="14.5" spans="1:23">
      <c r="A150" s="4" t="str">
        <f>IFERROR(INDEX(样本到样信息汇总统计!A$2:A$500,MATCH(149,样本到样信息汇总统计!$Z$2:$Z$500,0)),"")</f>
        <v/>
      </c>
      <c r="B150" s="4" t="str">
        <f>IFERROR(INDEX(样本到样信息汇总统计!B$2:B$500,MATCH(149,样本到样信息汇总统计!$Z$2:$Z$500,0)),"")</f>
        <v/>
      </c>
      <c r="C150" s="4" t="str">
        <f>IFERROR(INDEX(样本到样信息汇总统计!C$2:C$500,MATCH(149,样本到样信息汇总统计!$Z$2:$Z$500,0)),"")</f>
        <v/>
      </c>
      <c r="D150" s="4" t="str">
        <f>IFERROR(INDEX(样本到样信息汇总统计!D$2:D$500,MATCH(149,样本到样信息汇总统计!$Z$2:$Z$500,0)),"")</f>
        <v/>
      </c>
      <c r="E150" s="4" t="str">
        <f>IFERROR(INDEX(样本到样信息汇总统计!E$2:E$500,MATCH(149,样本到样信息汇总统计!$Z$2:$Z$500,0)),"")</f>
        <v/>
      </c>
      <c r="F150" s="4" t="str">
        <f>IFERROR(INDEX(样本到样信息汇总统计!F$2:F$500,MATCH(149,样本到样信息汇总统计!$Z$2:$Z$500,0)),"")</f>
        <v/>
      </c>
      <c r="G150" s="4" t="str">
        <f>IFERROR(INDEX(样本到样信息汇总统计!G$2:G$500,MATCH(149,样本到样信息汇总统计!$Z$2:$Z$500,0)),"")</f>
        <v/>
      </c>
      <c r="H150" s="4" t="str">
        <f>IFERROR(INDEX(样本到样信息汇总统计!H$2:H$500,MATCH(149,样本到样信息汇总统计!$Z$2:$Z$500,0)),"")</f>
        <v/>
      </c>
      <c r="I150" s="4" t="str">
        <f>IFERROR(INDEX(样本到样信息汇总统计!I$2:I$500,MATCH(149,样本到样信息汇总统计!$Z$2:$Z$500,0)),"")</f>
        <v/>
      </c>
      <c r="J150" s="4" t="str">
        <f>IFERROR(INDEX(样本到样信息汇总统计!J$2:J$500,MATCH(149,样本到样信息汇总统计!$Z$2:$Z$500,0)),"")</f>
        <v/>
      </c>
      <c r="K150" s="4" t="str">
        <f>IFERROR(INDEX(样本到样信息汇总统计!K$2:K$500,MATCH(149,样本到样信息汇总统计!$Z$2:$Z$500,0)),"")</f>
        <v/>
      </c>
      <c r="L150" s="4" t="str">
        <f>IFERROR(INDEX(样本到样信息汇总统计!L$2:L$500,MATCH(149,样本到样信息汇总统计!$Z$2:$Z$500,0)),"")</f>
        <v/>
      </c>
      <c r="M150" s="4" t="str">
        <f>IFERROR(INDEX(样本到样信息汇总统计!M$2:M$500,MATCH(149,样本到样信息汇总统计!$Z$2:$Z$500,0)),"")</f>
        <v/>
      </c>
      <c r="N150" s="4" t="str">
        <f>IFERROR(INDEX(样本到样信息汇总统计!N$2:N$500,MATCH(149,样本到样信息汇总统计!$Z$2:$Z$500,0)),"")</f>
        <v/>
      </c>
      <c r="O150" s="4" t="str">
        <f>IFERROR(INDEX(样本到样信息汇总统计!O$2:O$500,MATCH(149,样本到样信息汇总统计!$Z$2:$Z$500,0)),"")</f>
        <v/>
      </c>
      <c r="P150" s="4" t="str">
        <f>IFERROR(INDEX(样本到样信息汇总统计!P$2:P$500,MATCH(149,样本到样信息汇总统计!$Z$2:$Z$500,0)),"")</f>
        <v/>
      </c>
      <c r="Q150" s="4" t="str">
        <f>IFERROR(INDEX(样本到样信息汇总统计!Q$2:Q$500,MATCH(149,样本到样信息汇总统计!$Z$2:$Z$500,0)),"")</f>
        <v/>
      </c>
      <c r="R150" s="4" t="str">
        <f>IFERROR(INDEX(样本到样信息汇总统计!R$2:R$500,MATCH(149,样本到样信息汇总统计!$Z$2:$Z$500,0)),"")</f>
        <v/>
      </c>
      <c r="S150" s="4" t="str">
        <f>IFERROR(INDEX(样本到样信息汇总统计!S$2:S$500,MATCH(149,样本到样信息汇总统计!$Z$2:$Z$500,0)),"")</f>
        <v/>
      </c>
      <c r="T150" s="4" t="str">
        <f>IFERROR(INDEX(样本到样信息汇总统计!T$2:T$500,MATCH(149,样本到样信息汇总统计!$Z$2:$Z$500,0)),"")</f>
        <v/>
      </c>
      <c r="U150" s="4" t="str">
        <f>IFERROR(INDEX(样本到样信息汇总统计!U$2:U$500,MATCH(149,样本到样信息汇总统计!$Z$2:$Z$500,0)),"")</f>
        <v/>
      </c>
      <c r="V150" s="4" t="str">
        <f>IFERROR(INDEX(样本到样信息汇总统计!V$2:V$500,MATCH(149,样本到样信息汇总统计!$Z$2:$Z$500,0)),"")</f>
        <v/>
      </c>
      <c r="W150" s="4" t="str">
        <f>IFERROR(INDEX(样本到样信息汇总统计!W$2:W$500,MATCH(149,样本到样信息汇总统计!$Z$2:$Z$500,0)),"")</f>
        <v/>
      </c>
    </row>
    <row r="151" ht="14.5" spans="1:23">
      <c r="A151" s="8" t="str">
        <f>IFERROR(INDEX(样本到样信息汇总统计!A$2:A$500,MATCH(150,样本到样信息汇总统计!$Z$2:$Z$500,0)),"")</f>
        <v/>
      </c>
      <c r="B151" s="8" t="str">
        <f>IFERROR(INDEX(样本到样信息汇总统计!B$2:B$500,MATCH(150,样本到样信息汇总统计!$Z$2:$Z$500,0)),"")</f>
        <v/>
      </c>
      <c r="C151" s="8" t="str">
        <f>IFERROR(INDEX(样本到样信息汇总统计!C$2:C$500,MATCH(150,样本到样信息汇总统计!$Z$2:$Z$500,0)),"")</f>
        <v/>
      </c>
      <c r="D151" s="8" t="str">
        <f>IFERROR(INDEX(样本到样信息汇总统计!D$2:D$500,MATCH(150,样本到样信息汇总统计!$Z$2:$Z$500,0)),"")</f>
        <v/>
      </c>
      <c r="E151" s="8" t="str">
        <f>IFERROR(INDEX(样本到样信息汇总统计!E$2:E$500,MATCH(150,样本到样信息汇总统计!$Z$2:$Z$500,0)),"")</f>
        <v/>
      </c>
      <c r="F151" s="8" t="str">
        <f>IFERROR(INDEX(样本到样信息汇总统计!F$2:F$500,MATCH(150,样本到样信息汇总统计!$Z$2:$Z$500,0)),"")</f>
        <v/>
      </c>
      <c r="G151" s="8" t="str">
        <f>IFERROR(INDEX(样本到样信息汇总统计!G$2:G$500,MATCH(150,样本到样信息汇总统计!$Z$2:$Z$500,0)),"")</f>
        <v/>
      </c>
      <c r="H151" s="8" t="str">
        <f>IFERROR(INDEX(样本到样信息汇总统计!H$2:H$500,MATCH(150,样本到样信息汇总统计!$Z$2:$Z$500,0)),"")</f>
        <v/>
      </c>
      <c r="I151" s="8" t="str">
        <f>IFERROR(INDEX(样本到样信息汇总统计!I$2:I$500,MATCH(150,样本到样信息汇总统计!$Z$2:$Z$500,0)),"")</f>
        <v/>
      </c>
      <c r="J151" s="8" t="str">
        <f>IFERROR(INDEX(样本到样信息汇总统计!J$2:J$500,MATCH(150,样本到样信息汇总统计!$Z$2:$Z$500,0)),"")</f>
        <v/>
      </c>
      <c r="K151" s="8" t="str">
        <f>IFERROR(INDEX(样本到样信息汇总统计!K$2:K$500,MATCH(150,样本到样信息汇总统计!$Z$2:$Z$500,0)),"")</f>
        <v/>
      </c>
      <c r="L151" s="8" t="str">
        <f>IFERROR(INDEX(样本到样信息汇总统计!L$2:L$500,MATCH(150,样本到样信息汇总统计!$Z$2:$Z$500,0)),"")</f>
        <v/>
      </c>
      <c r="M151" s="8" t="str">
        <f>IFERROR(INDEX(样本到样信息汇总统计!M$2:M$500,MATCH(150,样本到样信息汇总统计!$Z$2:$Z$500,0)),"")</f>
        <v/>
      </c>
      <c r="N151" s="8" t="str">
        <f>IFERROR(INDEX(样本到样信息汇总统计!N$2:N$500,MATCH(150,样本到样信息汇总统计!$Z$2:$Z$500,0)),"")</f>
        <v/>
      </c>
      <c r="O151" s="8" t="str">
        <f>IFERROR(INDEX(样本到样信息汇总统计!O$2:O$500,MATCH(150,样本到样信息汇总统计!$Z$2:$Z$500,0)),"")</f>
        <v/>
      </c>
      <c r="P151" s="8" t="str">
        <f>IFERROR(INDEX(样本到样信息汇总统计!P$2:P$500,MATCH(150,样本到样信息汇总统计!$Z$2:$Z$500,0)),"")</f>
        <v/>
      </c>
      <c r="Q151" s="8" t="str">
        <f>IFERROR(INDEX(样本到样信息汇总统计!Q$2:Q$500,MATCH(150,样本到样信息汇总统计!$Z$2:$Z$500,0)),"")</f>
        <v/>
      </c>
      <c r="R151" s="8" t="str">
        <f>IFERROR(INDEX(样本到样信息汇总统计!R$2:R$500,MATCH(150,样本到样信息汇总统计!$Z$2:$Z$500,0)),"")</f>
        <v/>
      </c>
      <c r="S151" s="8" t="str">
        <f>IFERROR(INDEX(样本到样信息汇总统计!S$2:S$500,MATCH(150,样本到样信息汇总统计!$Z$2:$Z$500,0)),"")</f>
        <v/>
      </c>
      <c r="T151" s="8" t="str">
        <f>IFERROR(INDEX(样本到样信息汇总统计!T$2:T$500,MATCH(150,样本到样信息汇总统计!$Z$2:$Z$500,0)),"")</f>
        <v/>
      </c>
      <c r="U151" s="8" t="str">
        <f>IFERROR(INDEX(样本到样信息汇总统计!U$2:U$500,MATCH(150,样本到样信息汇总统计!$Z$2:$Z$500,0)),"")</f>
        <v/>
      </c>
      <c r="V151" s="8" t="str">
        <f>IFERROR(INDEX(样本到样信息汇总统计!V$2:V$500,MATCH(150,样本到样信息汇总统计!$Z$2:$Z$500,0)),"")</f>
        <v/>
      </c>
      <c r="W151" s="8" t="str">
        <f>IFERROR(INDEX(样本到样信息汇总统计!W$2:W$500,MATCH(150,样本到样信息汇总统计!$Z$2:$Z$500,0)),"")</f>
        <v/>
      </c>
    </row>
    <row r="152" ht="14.5" spans="1:23">
      <c r="A152" s="4" t="str">
        <f>IFERROR(INDEX(样本到样信息汇总统计!A$2:A$500,MATCH(151,样本到样信息汇总统计!$Z$2:$Z$500,0)),"")</f>
        <v/>
      </c>
      <c r="B152" s="4" t="str">
        <f>IFERROR(INDEX(样本到样信息汇总统计!B$2:B$500,MATCH(151,样本到样信息汇总统计!$Z$2:$Z$500,0)),"")</f>
        <v/>
      </c>
      <c r="C152" s="4" t="str">
        <f>IFERROR(INDEX(样本到样信息汇总统计!C$2:C$500,MATCH(151,样本到样信息汇总统计!$Z$2:$Z$500,0)),"")</f>
        <v/>
      </c>
      <c r="D152" s="4" t="str">
        <f>IFERROR(INDEX(样本到样信息汇总统计!D$2:D$500,MATCH(151,样本到样信息汇总统计!$Z$2:$Z$500,0)),"")</f>
        <v/>
      </c>
      <c r="E152" s="4" t="str">
        <f>IFERROR(INDEX(样本到样信息汇总统计!E$2:E$500,MATCH(151,样本到样信息汇总统计!$Z$2:$Z$500,0)),"")</f>
        <v/>
      </c>
      <c r="F152" s="4" t="str">
        <f>IFERROR(INDEX(样本到样信息汇总统计!F$2:F$500,MATCH(151,样本到样信息汇总统计!$Z$2:$Z$500,0)),"")</f>
        <v/>
      </c>
      <c r="G152" s="4" t="str">
        <f>IFERROR(INDEX(样本到样信息汇总统计!G$2:G$500,MATCH(151,样本到样信息汇总统计!$Z$2:$Z$500,0)),"")</f>
        <v/>
      </c>
      <c r="H152" s="4" t="str">
        <f>IFERROR(INDEX(样本到样信息汇总统计!H$2:H$500,MATCH(151,样本到样信息汇总统计!$Z$2:$Z$500,0)),"")</f>
        <v/>
      </c>
      <c r="I152" s="4" t="str">
        <f>IFERROR(INDEX(样本到样信息汇总统计!I$2:I$500,MATCH(151,样本到样信息汇总统计!$Z$2:$Z$500,0)),"")</f>
        <v/>
      </c>
      <c r="J152" s="4" t="str">
        <f>IFERROR(INDEX(样本到样信息汇总统计!J$2:J$500,MATCH(151,样本到样信息汇总统计!$Z$2:$Z$500,0)),"")</f>
        <v/>
      </c>
      <c r="K152" s="4" t="str">
        <f>IFERROR(INDEX(样本到样信息汇总统计!K$2:K$500,MATCH(151,样本到样信息汇总统计!$Z$2:$Z$500,0)),"")</f>
        <v/>
      </c>
      <c r="L152" s="4" t="str">
        <f>IFERROR(INDEX(样本到样信息汇总统计!L$2:L$500,MATCH(151,样本到样信息汇总统计!$Z$2:$Z$500,0)),"")</f>
        <v/>
      </c>
      <c r="M152" s="4" t="str">
        <f>IFERROR(INDEX(样本到样信息汇总统计!M$2:M$500,MATCH(151,样本到样信息汇总统计!$Z$2:$Z$500,0)),"")</f>
        <v/>
      </c>
      <c r="N152" s="4" t="str">
        <f>IFERROR(INDEX(样本到样信息汇总统计!N$2:N$500,MATCH(151,样本到样信息汇总统计!$Z$2:$Z$500,0)),"")</f>
        <v/>
      </c>
      <c r="O152" s="4" t="str">
        <f>IFERROR(INDEX(样本到样信息汇总统计!O$2:O$500,MATCH(151,样本到样信息汇总统计!$Z$2:$Z$500,0)),"")</f>
        <v/>
      </c>
      <c r="P152" s="4" t="str">
        <f>IFERROR(INDEX(样本到样信息汇总统计!P$2:P$500,MATCH(151,样本到样信息汇总统计!$Z$2:$Z$500,0)),"")</f>
        <v/>
      </c>
      <c r="Q152" s="4" t="str">
        <f>IFERROR(INDEX(样本到样信息汇总统计!Q$2:Q$500,MATCH(151,样本到样信息汇总统计!$Z$2:$Z$500,0)),"")</f>
        <v/>
      </c>
      <c r="R152" s="4" t="str">
        <f>IFERROR(INDEX(样本到样信息汇总统计!R$2:R$500,MATCH(151,样本到样信息汇总统计!$Z$2:$Z$500,0)),"")</f>
        <v/>
      </c>
      <c r="S152" s="4" t="str">
        <f>IFERROR(INDEX(样本到样信息汇总统计!S$2:S$500,MATCH(151,样本到样信息汇总统计!$Z$2:$Z$500,0)),"")</f>
        <v/>
      </c>
      <c r="T152" s="4" t="str">
        <f>IFERROR(INDEX(样本到样信息汇总统计!T$2:T$500,MATCH(151,样本到样信息汇总统计!$Z$2:$Z$500,0)),"")</f>
        <v/>
      </c>
      <c r="U152" s="4" t="str">
        <f>IFERROR(INDEX(样本到样信息汇总统计!U$2:U$500,MATCH(151,样本到样信息汇总统计!$Z$2:$Z$500,0)),"")</f>
        <v/>
      </c>
      <c r="V152" s="4" t="str">
        <f>IFERROR(INDEX(样本到样信息汇总统计!V$2:V$500,MATCH(151,样本到样信息汇总统计!$Z$2:$Z$500,0)),"")</f>
        <v/>
      </c>
      <c r="W152" s="4" t="str">
        <f>IFERROR(INDEX(样本到样信息汇总统计!W$2:W$500,MATCH(151,样本到样信息汇总统计!$Z$2:$Z$500,0)),"")</f>
        <v/>
      </c>
    </row>
    <row r="153" ht="14.5" spans="1:23">
      <c r="A153" s="8" t="str">
        <f>IFERROR(INDEX(样本到样信息汇总统计!A$2:A$500,MATCH(152,样本到样信息汇总统计!$Z$2:$Z$500,0)),"")</f>
        <v/>
      </c>
      <c r="B153" s="8" t="str">
        <f>IFERROR(INDEX(样本到样信息汇总统计!B$2:B$500,MATCH(152,样本到样信息汇总统计!$Z$2:$Z$500,0)),"")</f>
        <v/>
      </c>
      <c r="C153" s="8" t="str">
        <f>IFERROR(INDEX(样本到样信息汇总统计!C$2:C$500,MATCH(152,样本到样信息汇总统计!$Z$2:$Z$500,0)),"")</f>
        <v/>
      </c>
      <c r="D153" s="8" t="str">
        <f>IFERROR(INDEX(样本到样信息汇总统计!D$2:D$500,MATCH(152,样本到样信息汇总统计!$Z$2:$Z$500,0)),"")</f>
        <v/>
      </c>
      <c r="E153" s="8" t="str">
        <f>IFERROR(INDEX(样本到样信息汇总统计!E$2:E$500,MATCH(152,样本到样信息汇总统计!$Z$2:$Z$500,0)),"")</f>
        <v/>
      </c>
      <c r="F153" s="8" t="str">
        <f>IFERROR(INDEX(样本到样信息汇总统计!F$2:F$500,MATCH(152,样本到样信息汇总统计!$Z$2:$Z$500,0)),"")</f>
        <v/>
      </c>
      <c r="G153" s="8" t="str">
        <f>IFERROR(INDEX(样本到样信息汇总统计!G$2:G$500,MATCH(152,样本到样信息汇总统计!$Z$2:$Z$500,0)),"")</f>
        <v/>
      </c>
      <c r="H153" s="8" t="str">
        <f>IFERROR(INDEX(样本到样信息汇总统计!H$2:H$500,MATCH(152,样本到样信息汇总统计!$Z$2:$Z$500,0)),"")</f>
        <v/>
      </c>
      <c r="I153" s="8" t="str">
        <f>IFERROR(INDEX(样本到样信息汇总统计!I$2:I$500,MATCH(152,样本到样信息汇总统计!$Z$2:$Z$500,0)),"")</f>
        <v/>
      </c>
      <c r="J153" s="8" t="str">
        <f>IFERROR(INDEX(样本到样信息汇总统计!J$2:J$500,MATCH(152,样本到样信息汇总统计!$Z$2:$Z$500,0)),"")</f>
        <v/>
      </c>
      <c r="K153" s="8" t="str">
        <f>IFERROR(INDEX(样本到样信息汇总统计!K$2:K$500,MATCH(152,样本到样信息汇总统计!$Z$2:$Z$500,0)),"")</f>
        <v/>
      </c>
      <c r="L153" s="8" t="str">
        <f>IFERROR(INDEX(样本到样信息汇总统计!L$2:L$500,MATCH(152,样本到样信息汇总统计!$Z$2:$Z$500,0)),"")</f>
        <v/>
      </c>
      <c r="M153" s="8" t="str">
        <f>IFERROR(INDEX(样本到样信息汇总统计!M$2:M$500,MATCH(152,样本到样信息汇总统计!$Z$2:$Z$500,0)),"")</f>
        <v/>
      </c>
      <c r="N153" s="8" t="str">
        <f>IFERROR(INDEX(样本到样信息汇总统计!N$2:N$500,MATCH(152,样本到样信息汇总统计!$Z$2:$Z$500,0)),"")</f>
        <v/>
      </c>
      <c r="O153" s="8" t="str">
        <f>IFERROR(INDEX(样本到样信息汇总统计!O$2:O$500,MATCH(152,样本到样信息汇总统计!$Z$2:$Z$500,0)),"")</f>
        <v/>
      </c>
      <c r="P153" s="8" t="str">
        <f>IFERROR(INDEX(样本到样信息汇总统计!P$2:P$500,MATCH(152,样本到样信息汇总统计!$Z$2:$Z$500,0)),"")</f>
        <v/>
      </c>
      <c r="Q153" s="8" t="str">
        <f>IFERROR(INDEX(样本到样信息汇总统计!Q$2:Q$500,MATCH(152,样本到样信息汇总统计!$Z$2:$Z$500,0)),"")</f>
        <v/>
      </c>
      <c r="R153" s="8" t="str">
        <f>IFERROR(INDEX(样本到样信息汇总统计!R$2:R$500,MATCH(152,样本到样信息汇总统计!$Z$2:$Z$500,0)),"")</f>
        <v/>
      </c>
      <c r="S153" s="8" t="str">
        <f>IFERROR(INDEX(样本到样信息汇总统计!S$2:S$500,MATCH(152,样本到样信息汇总统计!$Z$2:$Z$500,0)),"")</f>
        <v/>
      </c>
      <c r="T153" s="8" t="str">
        <f>IFERROR(INDEX(样本到样信息汇总统计!T$2:T$500,MATCH(152,样本到样信息汇总统计!$Z$2:$Z$500,0)),"")</f>
        <v/>
      </c>
      <c r="U153" s="8" t="str">
        <f>IFERROR(INDEX(样本到样信息汇总统计!U$2:U$500,MATCH(152,样本到样信息汇总统计!$Z$2:$Z$500,0)),"")</f>
        <v/>
      </c>
      <c r="V153" s="8" t="str">
        <f>IFERROR(INDEX(样本到样信息汇总统计!V$2:V$500,MATCH(152,样本到样信息汇总统计!$Z$2:$Z$500,0)),"")</f>
        <v/>
      </c>
      <c r="W153" s="8" t="str">
        <f>IFERROR(INDEX(样本到样信息汇总统计!W$2:W$500,MATCH(152,样本到样信息汇总统计!$Z$2:$Z$500,0)),"")</f>
        <v/>
      </c>
    </row>
    <row r="154" ht="14.5" spans="1:23">
      <c r="A154" s="4" t="str">
        <f>IFERROR(INDEX(样本到样信息汇总统计!A$2:A$500,MATCH(153,样本到样信息汇总统计!$Z$2:$Z$500,0)),"")</f>
        <v/>
      </c>
      <c r="B154" s="4" t="str">
        <f>IFERROR(INDEX(样本到样信息汇总统计!B$2:B$500,MATCH(153,样本到样信息汇总统计!$Z$2:$Z$500,0)),"")</f>
        <v/>
      </c>
      <c r="C154" s="4" t="str">
        <f>IFERROR(INDEX(样本到样信息汇总统计!C$2:C$500,MATCH(153,样本到样信息汇总统计!$Z$2:$Z$500,0)),"")</f>
        <v/>
      </c>
      <c r="D154" s="4" t="str">
        <f>IFERROR(INDEX(样本到样信息汇总统计!D$2:D$500,MATCH(153,样本到样信息汇总统计!$Z$2:$Z$500,0)),"")</f>
        <v/>
      </c>
      <c r="E154" s="4" t="str">
        <f>IFERROR(INDEX(样本到样信息汇总统计!E$2:E$500,MATCH(153,样本到样信息汇总统计!$Z$2:$Z$500,0)),"")</f>
        <v/>
      </c>
      <c r="F154" s="4" t="str">
        <f>IFERROR(INDEX(样本到样信息汇总统计!F$2:F$500,MATCH(153,样本到样信息汇总统计!$Z$2:$Z$500,0)),"")</f>
        <v/>
      </c>
      <c r="G154" s="4" t="str">
        <f>IFERROR(INDEX(样本到样信息汇总统计!G$2:G$500,MATCH(153,样本到样信息汇总统计!$Z$2:$Z$500,0)),"")</f>
        <v/>
      </c>
      <c r="H154" s="4" t="str">
        <f>IFERROR(INDEX(样本到样信息汇总统计!H$2:H$500,MATCH(153,样本到样信息汇总统计!$Z$2:$Z$500,0)),"")</f>
        <v/>
      </c>
      <c r="I154" s="4" t="str">
        <f>IFERROR(INDEX(样本到样信息汇总统计!I$2:I$500,MATCH(153,样本到样信息汇总统计!$Z$2:$Z$500,0)),"")</f>
        <v/>
      </c>
      <c r="J154" s="4" t="str">
        <f>IFERROR(INDEX(样本到样信息汇总统计!J$2:J$500,MATCH(153,样本到样信息汇总统计!$Z$2:$Z$500,0)),"")</f>
        <v/>
      </c>
      <c r="K154" s="4" t="str">
        <f>IFERROR(INDEX(样本到样信息汇总统计!K$2:K$500,MATCH(153,样本到样信息汇总统计!$Z$2:$Z$500,0)),"")</f>
        <v/>
      </c>
      <c r="L154" s="4" t="str">
        <f>IFERROR(INDEX(样本到样信息汇总统计!L$2:L$500,MATCH(153,样本到样信息汇总统计!$Z$2:$Z$500,0)),"")</f>
        <v/>
      </c>
      <c r="M154" s="4" t="str">
        <f>IFERROR(INDEX(样本到样信息汇总统计!M$2:M$500,MATCH(153,样本到样信息汇总统计!$Z$2:$Z$500,0)),"")</f>
        <v/>
      </c>
      <c r="N154" s="4" t="str">
        <f>IFERROR(INDEX(样本到样信息汇总统计!N$2:N$500,MATCH(153,样本到样信息汇总统计!$Z$2:$Z$500,0)),"")</f>
        <v/>
      </c>
      <c r="O154" s="4" t="str">
        <f>IFERROR(INDEX(样本到样信息汇总统计!O$2:O$500,MATCH(153,样本到样信息汇总统计!$Z$2:$Z$500,0)),"")</f>
        <v/>
      </c>
      <c r="P154" s="4" t="str">
        <f>IFERROR(INDEX(样本到样信息汇总统计!P$2:P$500,MATCH(153,样本到样信息汇总统计!$Z$2:$Z$500,0)),"")</f>
        <v/>
      </c>
      <c r="Q154" s="4" t="str">
        <f>IFERROR(INDEX(样本到样信息汇总统计!Q$2:Q$500,MATCH(153,样本到样信息汇总统计!$Z$2:$Z$500,0)),"")</f>
        <v/>
      </c>
      <c r="R154" s="4" t="str">
        <f>IFERROR(INDEX(样本到样信息汇总统计!R$2:R$500,MATCH(153,样本到样信息汇总统计!$Z$2:$Z$500,0)),"")</f>
        <v/>
      </c>
      <c r="S154" s="4" t="str">
        <f>IFERROR(INDEX(样本到样信息汇总统计!S$2:S$500,MATCH(153,样本到样信息汇总统计!$Z$2:$Z$500,0)),"")</f>
        <v/>
      </c>
      <c r="T154" s="4" t="str">
        <f>IFERROR(INDEX(样本到样信息汇总统计!T$2:T$500,MATCH(153,样本到样信息汇总统计!$Z$2:$Z$500,0)),"")</f>
        <v/>
      </c>
      <c r="U154" s="4" t="str">
        <f>IFERROR(INDEX(样本到样信息汇总统计!U$2:U$500,MATCH(153,样本到样信息汇总统计!$Z$2:$Z$500,0)),"")</f>
        <v/>
      </c>
      <c r="V154" s="4" t="str">
        <f>IFERROR(INDEX(样本到样信息汇总统计!V$2:V$500,MATCH(153,样本到样信息汇总统计!$Z$2:$Z$500,0)),"")</f>
        <v/>
      </c>
      <c r="W154" s="4" t="str">
        <f>IFERROR(INDEX(样本到样信息汇总统计!W$2:W$500,MATCH(153,样本到样信息汇总统计!$Z$2:$Z$500,0)),"")</f>
        <v/>
      </c>
    </row>
    <row r="155" ht="14.5" spans="1:23">
      <c r="A155" s="8" t="str">
        <f>IFERROR(INDEX(样本到样信息汇总统计!A$2:A$500,MATCH(154,样本到样信息汇总统计!$Z$2:$Z$500,0)),"")</f>
        <v/>
      </c>
      <c r="B155" s="8" t="str">
        <f>IFERROR(INDEX(样本到样信息汇总统计!B$2:B$500,MATCH(154,样本到样信息汇总统计!$Z$2:$Z$500,0)),"")</f>
        <v/>
      </c>
      <c r="C155" s="8" t="str">
        <f>IFERROR(INDEX(样本到样信息汇总统计!C$2:C$500,MATCH(154,样本到样信息汇总统计!$Z$2:$Z$500,0)),"")</f>
        <v/>
      </c>
      <c r="D155" s="8" t="str">
        <f>IFERROR(INDEX(样本到样信息汇总统计!D$2:D$500,MATCH(154,样本到样信息汇总统计!$Z$2:$Z$500,0)),"")</f>
        <v/>
      </c>
      <c r="E155" s="8" t="str">
        <f>IFERROR(INDEX(样本到样信息汇总统计!E$2:E$500,MATCH(154,样本到样信息汇总统计!$Z$2:$Z$500,0)),"")</f>
        <v/>
      </c>
      <c r="F155" s="8" t="str">
        <f>IFERROR(INDEX(样本到样信息汇总统计!F$2:F$500,MATCH(154,样本到样信息汇总统计!$Z$2:$Z$500,0)),"")</f>
        <v/>
      </c>
      <c r="G155" s="8" t="str">
        <f>IFERROR(INDEX(样本到样信息汇总统计!G$2:G$500,MATCH(154,样本到样信息汇总统计!$Z$2:$Z$500,0)),"")</f>
        <v/>
      </c>
      <c r="H155" s="8" t="str">
        <f>IFERROR(INDEX(样本到样信息汇总统计!H$2:H$500,MATCH(154,样本到样信息汇总统计!$Z$2:$Z$500,0)),"")</f>
        <v/>
      </c>
      <c r="I155" s="8" t="str">
        <f>IFERROR(INDEX(样本到样信息汇总统计!I$2:I$500,MATCH(154,样本到样信息汇总统计!$Z$2:$Z$500,0)),"")</f>
        <v/>
      </c>
      <c r="J155" s="8" t="str">
        <f>IFERROR(INDEX(样本到样信息汇总统计!J$2:J$500,MATCH(154,样本到样信息汇总统计!$Z$2:$Z$500,0)),"")</f>
        <v/>
      </c>
      <c r="K155" s="8" t="str">
        <f>IFERROR(INDEX(样本到样信息汇总统计!K$2:K$500,MATCH(154,样本到样信息汇总统计!$Z$2:$Z$500,0)),"")</f>
        <v/>
      </c>
      <c r="L155" s="8" t="str">
        <f>IFERROR(INDEX(样本到样信息汇总统计!L$2:L$500,MATCH(154,样本到样信息汇总统计!$Z$2:$Z$500,0)),"")</f>
        <v/>
      </c>
      <c r="M155" s="8" t="str">
        <f>IFERROR(INDEX(样本到样信息汇总统计!M$2:M$500,MATCH(154,样本到样信息汇总统计!$Z$2:$Z$500,0)),"")</f>
        <v/>
      </c>
      <c r="N155" s="8" t="str">
        <f>IFERROR(INDEX(样本到样信息汇总统计!N$2:N$500,MATCH(154,样本到样信息汇总统计!$Z$2:$Z$500,0)),"")</f>
        <v/>
      </c>
      <c r="O155" s="8" t="str">
        <f>IFERROR(INDEX(样本到样信息汇总统计!O$2:O$500,MATCH(154,样本到样信息汇总统计!$Z$2:$Z$500,0)),"")</f>
        <v/>
      </c>
      <c r="P155" s="8" t="str">
        <f>IFERROR(INDEX(样本到样信息汇总统计!P$2:P$500,MATCH(154,样本到样信息汇总统计!$Z$2:$Z$500,0)),"")</f>
        <v/>
      </c>
      <c r="Q155" s="8" t="str">
        <f>IFERROR(INDEX(样本到样信息汇总统计!Q$2:Q$500,MATCH(154,样本到样信息汇总统计!$Z$2:$Z$500,0)),"")</f>
        <v/>
      </c>
      <c r="R155" s="8" t="str">
        <f>IFERROR(INDEX(样本到样信息汇总统计!R$2:R$500,MATCH(154,样本到样信息汇总统计!$Z$2:$Z$500,0)),"")</f>
        <v/>
      </c>
      <c r="S155" s="8" t="str">
        <f>IFERROR(INDEX(样本到样信息汇总统计!S$2:S$500,MATCH(154,样本到样信息汇总统计!$Z$2:$Z$500,0)),"")</f>
        <v/>
      </c>
      <c r="T155" s="8" t="str">
        <f>IFERROR(INDEX(样本到样信息汇总统计!T$2:T$500,MATCH(154,样本到样信息汇总统计!$Z$2:$Z$500,0)),"")</f>
        <v/>
      </c>
      <c r="U155" s="8" t="str">
        <f>IFERROR(INDEX(样本到样信息汇总统计!U$2:U$500,MATCH(154,样本到样信息汇总统计!$Z$2:$Z$500,0)),"")</f>
        <v/>
      </c>
      <c r="V155" s="8" t="str">
        <f>IFERROR(INDEX(样本到样信息汇总统计!V$2:V$500,MATCH(154,样本到样信息汇总统计!$Z$2:$Z$500,0)),"")</f>
        <v/>
      </c>
      <c r="W155" s="8" t="str">
        <f>IFERROR(INDEX(样本到样信息汇总统计!W$2:W$500,MATCH(154,样本到样信息汇总统计!$Z$2:$Z$500,0)),"")</f>
        <v/>
      </c>
    </row>
    <row r="156" ht="14.5" spans="1:23">
      <c r="A156" s="4" t="str">
        <f>IFERROR(INDEX(样本到样信息汇总统计!A$2:A$500,MATCH(155,样本到样信息汇总统计!$Z$2:$Z$500,0)),"")</f>
        <v/>
      </c>
      <c r="B156" s="4" t="str">
        <f>IFERROR(INDEX(样本到样信息汇总统计!B$2:B$500,MATCH(155,样本到样信息汇总统计!$Z$2:$Z$500,0)),"")</f>
        <v/>
      </c>
      <c r="C156" s="4" t="str">
        <f>IFERROR(INDEX(样本到样信息汇总统计!C$2:C$500,MATCH(155,样本到样信息汇总统计!$Z$2:$Z$500,0)),"")</f>
        <v/>
      </c>
      <c r="D156" s="4" t="str">
        <f>IFERROR(INDEX(样本到样信息汇总统计!D$2:D$500,MATCH(155,样本到样信息汇总统计!$Z$2:$Z$500,0)),"")</f>
        <v/>
      </c>
      <c r="E156" s="4" t="str">
        <f>IFERROR(INDEX(样本到样信息汇总统计!E$2:E$500,MATCH(155,样本到样信息汇总统计!$Z$2:$Z$500,0)),"")</f>
        <v/>
      </c>
      <c r="F156" s="4" t="str">
        <f>IFERROR(INDEX(样本到样信息汇总统计!F$2:F$500,MATCH(155,样本到样信息汇总统计!$Z$2:$Z$500,0)),"")</f>
        <v/>
      </c>
      <c r="G156" s="4" t="str">
        <f>IFERROR(INDEX(样本到样信息汇总统计!G$2:G$500,MATCH(155,样本到样信息汇总统计!$Z$2:$Z$500,0)),"")</f>
        <v/>
      </c>
      <c r="H156" s="4" t="str">
        <f>IFERROR(INDEX(样本到样信息汇总统计!H$2:H$500,MATCH(155,样本到样信息汇总统计!$Z$2:$Z$500,0)),"")</f>
        <v/>
      </c>
      <c r="I156" s="4" t="str">
        <f>IFERROR(INDEX(样本到样信息汇总统计!I$2:I$500,MATCH(155,样本到样信息汇总统计!$Z$2:$Z$500,0)),"")</f>
        <v/>
      </c>
      <c r="J156" s="4" t="str">
        <f>IFERROR(INDEX(样本到样信息汇总统计!J$2:J$500,MATCH(155,样本到样信息汇总统计!$Z$2:$Z$500,0)),"")</f>
        <v/>
      </c>
      <c r="K156" s="4" t="str">
        <f>IFERROR(INDEX(样本到样信息汇总统计!K$2:K$500,MATCH(155,样本到样信息汇总统计!$Z$2:$Z$500,0)),"")</f>
        <v/>
      </c>
      <c r="L156" s="4" t="str">
        <f>IFERROR(INDEX(样本到样信息汇总统计!L$2:L$500,MATCH(155,样本到样信息汇总统计!$Z$2:$Z$500,0)),"")</f>
        <v/>
      </c>
      <c r="M156" s="4" t="str">
        <f>IFERROR(INDEX(样本到样信息汇总统计!M$2:M$500,MATCH(155,样本到样信息汇总统计!$Z$2:$Z$500,0)),"")</f>
        <v/>
      </c>
      <c r="N156" s="4" t="str">
        <f>IFERROR(INDEX(样本到样信息汇总统计!N$2:N$500,MATCH(155,样本到样信息汇总统计!$Z$2:$Z$500,0)),"")</f>
        <v/>
      </c>
      <c r="O156" s="4" t="str">
        <f>IFERROR(INDEX(样本到样信息汇总统计!O$2:O$500,MATCH(155,样本到样信息汇总统计!$Z$2:$Z$500,0)),"")</f>
        <v/>
      </c>
      <c r="P156" s="4" t="str">
        <f>IFERROR(INDEX(样本到样信息汇总统计!P$2:P$500,MATCH(155,样本到样信息汇总统计!$Z$2:$Z$500,0)),"")</f>
        <v/>
      </c>
      <c r="Q156" s="4" t="str">
        <f>IFERROR(INDEX(样本到样信息汇总统计!Q$2:Q$500,MATCH(155,样本到样信息汇总统计!$Z$2:$Z$500,0)),"")</f>
        <v/>
      </c>
      <c r="R156" s="4" t="str">
        <f>IFERROR(INDEX(样本到样信息汇总统计!R$2:R$500,MATCH(155,样本到样信息汇总统计!$Z$2:$Z$500,0)),"")</f>
        <v/>
      </c>
      <c r="S156" s="4" t="str">
        <f>IFERROR(INDEX(样本到样信息汇总统计!S$2:S$500,MATCH(155,样本到样信息汇总统计!$Z$2:$Z$500,0)),"")</f>
        <v/>
      </c>
      <c r="T156" s="4" t="str">
        <f>IFERROR(INDEX(样本到样信息汇总统计!T$2:T$500,MATCH(155,样本到样信息汇总统计!$Z$2:$Z$500,0)),"")</f>
        <v/>
      </c>
      <c r="U156" s="4" t="str">
        <f>IFERROR(INDEX(样本到样信息汇总统计!U$2:U$500,MATCH(155,样本到样信息汇总统计!$Z$2:$Z$500,0)),"")</f>
        <v/>
      </c>
      <c r="V156" s="4" t="str">
        <f>IFERROR(INDEX(样本到样信息汇总统计!V$2:V$500,MATCH(155,样本到样信息汇总统计!$Z$2:$Z$500,0)),"")</f>
        <v/>
      </c>
      <c r="W156" s="4" t="str">
        <f>IFERROR(INDEX(样本到样信息汇总统计!W$2:W$500,MATCH(155,样本到样信息汇总统计!$Z$2:$Z$500,0)),"")</f>
        <v/>
      </c>
    </row>
    <row r="157" ht="14.5" spans="1:23">
      <c r="A157" s="8" t="str">
        <f>IFERROR(INDEX(样本到样信息汇总统计!A$2:A$500,MATCH(156,样本到样信息汇总统计!$Z$2:$Z$500,0)),"")</f>
        <v/>
      </c>
      <c r="B157" s="8" t="str">
        <f>IFERROR(INDEX(样本到样信息汇总统计!B$2:B$500,MATCH(156,样本到样信息汇总统计!$Z$2:$Z$500,0)),"")</f>
        <v/>
      </c>
      <c r="C157" s="8" t="str">
        <f>IFERROR(INDEX(样本到样信息汇总统计!C$2:C$500,MATCH(156,样本到样信息汇总统计!$Z$2:$Z$500,0)),"")</f>
        <v/>
      </c>
      <c r="D157" s="8" t="str">
        <f>IFERROR(INDEX(样本到样信息汇总统计!D$2:D$500,MATCH(156,样本到样信息汇总统计!$Z$2:$Z$500,0)),"")</f>
        <v/>
      </c>
      <c r="E157" s="8" t="str">
        <f>IFERROR(INDEX(样本到样信息汇总统计!E$2:E$500,MATCH(156,样本到样信息汇总统计!$Z$2:$Z$500,0)),"")</f>
        <v/>
      </c>
      <c r="F157" s="8" t="str">
        <f>IFERROR(INDEX(样本到样信息汇总统计!F$2:F$500,MATCH(156,样本到样信息汇总统计!$Z$2:$Z$500,0)),"")</f>
        <v/>
      </c>
      <c r="G157" s="8" t="str">
        <f>IFERROR(INDEX(样本到样信息汇总统计!G$2:G$500,MATCH(156,样本到样信息汇总统计!$Z$2:$Z$500,0)),"")</f>
        <v/>
      </c>
      <c r="H157" s="8" t="str">
        <f>IFERROR(INDEX(样本到样信息汇总统计!H$2:H$500,MATCH(156,样本到样信息汇总统计!$Z$2:$Z$500,0)),"")</f>
        <v/>
      </c>
      <c r="I157" s="8" t="str">
        <f>IFERROR(INDEX(样本到样信息汇总统计!I$2:I$500,MATCH(156,样本到样信息汇总统计!$Z$2:$Z$500,0)),"")</f>
        <v/>
      </c>
      <c r="J157" s="8" t="str">
        <f>IFERROR(INDEX(样本到样信息汇总统计!J$2:J$500,MATCH(156,样本到样信息汇总统计!$Z$2:$Z$500,0)),"")</f>
        <v/>
      </c>
      <c r="K157" s="8" t="str">
        <f>IFERROR(INDEX(样本到样信息汇总统计!K$2:K$500,MATCH(156,样本到样信息汇总统计!$Z$2:$Z$500,0)),"")</f>
        <v/>
      </c>
      <c r="L157" s="8" t="str">
        <f>IFERROR(INDEX(样本到样信息汇总统计!L$2:L$500,MATCH(156,样本到样信息汇总统计!$Z$2:$Z$500,0)),"")</f>
        <v/>
      </c>
      <c r="M157" s="8" t="str">
        <f>IFERROR(INDEX(样本到样信息汇总统计!M$2:M$500,MATCH(156,样本到样信息汇总统计!$Z$2:$Z$500,0)),"")</f>
        <v/>
      </c>
      <c r="N157" s="8" t="str">
        <f>IFERROR(INDEX(样本到样信息汇总统计!N$2:N$500,MATCH(156,样本到样信息汇总统计!$Z$2:$Z$500,0)),"")</f>
        <v/>
      </c>
      <c r="O157" s="8" t="str">
        <f>IFERROR(INDEX(样本到样信息汇总统计!O$2:O$500,MATCH(156,样本到样信息汇总统计!$Z$2:$Z$500,0)),"")</f>
        <v/>
      </c>
      <c r="P157" s="8" t="str">
        <f>IFERROR(INDEX(样本到样信息汇总统计!P$2:P$500,MATCH(156,样本到样信息汇总统计!$Z$2:$Z$500,0)),"")</f>
        <v/>
      </c>
      <c r="Q157" s="8" t="str">
        <f>IFERROR(INDEX(样本到样信息汇总统计!Q$2:Q$500,MATCH(156,样本到样信息汇总统计!$Z$2:$Z$500,0)),"")</f>
        <v/>
      </c>
      <c r="R157" s="8" t="str">
        <f>IFERROR(INDEX(样本到样信息汇总统计!R$2:R$500,MATCH(156,样本到样信息汇总统计!$Z$2:$Z$500,0)),"")</f>
        <v/>
      </c>
      <c r="S157" s="8" t="str">
        <f>IFERROR(INDEX(样本到样信息汇总统计!S$2:S$500,MATCH(156,样本到样信息汇总统计!$Z$2:$Z$500,0)),"")</f>
        <v/>
      </c>
      <c r="T157" s="8" t="str">
        <f>IFERROR(INDEX(样本到样信息汇总统计!T$2:T$500,MATCH(156,样本到样信息汇总统计!$Z$2:$Z$500,0)),"")</f>
        <v/>
      </c>
      <c r="U157" s="8" t="str">
        <f>IFERROR(INDEX(样本到样信息汇总统计!U$2:U$500,MATCH(156,样本到样信息汇总统计!$Z$2:$Z$500,0)),"")</f>
        <v/>
      </c>
      <c r="V157" s="8" t="str">
        <f>IFERROR(INDEX(样本到样信息汇总统计!V$2:V$500,MATCH(156,样本到样信息汇总统计!$Z$2:$Z$500,0)),"")</f>
        <v/>
      </c>
      <c r="W157" s="8" t="str">
        <f>IFERROR(INDEX(样本到样信息汇总统计!W$2:W$500,MATCH(156,样本到样信息汇总统计!$Z$2:$Z$500,0)),"")</f>
        <v/>
      </c>
    </row>
    <row r="158" ht="14.5" spans="1:23">
      <c r="A158" s="4" t="str">
        <f>IFERROR(INDEX(样本到样信息汇总统计!A$2:A$500,MATCH(157,样本到样信息汇总统计!$Z$2:$Z$500,0)),"")</f>
        <v/>
      </c>
      <c r="B158" s="4" t="str">
        <f>IFERROR(INDEX(样本到样信息汇总统计!B$2:B$500,MATCH(157,样本到样信息汇总统计!$Z$2:$Z$500,0)),"")</f>
        <v/>
      </c>
      <c r="C158" s="4" t="str">
        <f>IFERROR(INDEX(样本到样信息汇总统计!C$2:C$500,MATCH(157,样本到样信息汇总统计!$Z$2:$Z$500,0)),"")</f>
        <v/>
      </c>
      <c r="D158" s="4" t="str">
        <f>IFERROR(INDEX(样本到样信息汇总统计!D$2:D$500,MATCH(157,样本到样信息汇总统计!$Z$2:$Z$500,0)),"")</f>
        <v/>
      </c>
      <c r="E158" s="4" t="str">
        <f>IFERROR(INDEX(样本到样信息汇总统计!E$2:E$500,MATCH(157,样本到样信息汇总统计!$Z$2:$Z$500,0)),"")</f>
        <v/>
      </c>
      <c r="F158" s="4" t="str">
        <f>IFERROR(INDEX(样本到样信息汇总统计!F$2:F$500,MATCH(157,样本到样信息汇总统计!$Z$2:$Z$500,0)),"")</f>
        <v/>
      </c>
      <c r="G158" s="4" t="str">
        <f>IFERROR(INDEX(样本到样信息汇总统计!G$2:G$500,MATCH(157,样本到样信息汇总统计!$Z$2:$Z$500,0)),"")</f>
        <v/>
      </c>
      <c r="H158" s="4" t="str">
        <f>IFERROR(INDEX(样本到样信息汇总统计!H$2:H$500,MATCH(157,样本到样信息汇总统计!$Z$2:$Z$500,0)),"")</f>
        <v/>
      </c>
      <c r="I158" s="4" t="str">
        <f>IFERROR(INDEX(样本到样信息汇总统计!I$2:I$500,MATCH(157,样本到样信息汇总统计!$Z$2:$Z$500,0)),"")</f>
        <v/>
      </c>
      <c r="J158" s="4" t="str">
        <f>IFERROR(INDEX(样本到样信息汇总统计!J$2:J$500,MATCH(157,样本到样信息汇总统计!$Z$2:$Z$500,0)),"")</f>
        <v/>
      </c>
      <c r="K158" s="4" t="str">
        <f>IFERROR(INDEX(样本到样信息汇总统计!K$2:K$500,MATCH(157,样本到样信息汇总统计!$Z$2:$Z$500,0)),"")</f>
        <v/>
      </c>
      <c r="L158" s="4" t="str">
        <f>IFERROR(INDEX(样本到样信息汇总统计!L$2:L$500,MATCH(157,样本到样信息汇总统计!$Z$2:$Z$500,0)),"")</f>
        <v/>
      </c>
      <c r="M158" s="4" t="str">
        <f>IFERROR(INDEX(样本到样信息汇总统计!M$2:M$500,MATCH(157,样本到样信息汇总统计!$Z$2:$Z$500,0)),"")</f>
        <v/>
      </c>
      <c r="N158" s="4" t="str">
        <f>IFERROR(INDEX(样本到样信息汇总统计!N$2:N$500,MATCH(157,样本到样信息汇总统计!$Z$2:$Z$500,0)),"")</f>
        <v/>
      </c>
      <c r="O158" s="4" t="str">
        <f>IFERROR(INDEX(样本到样信息汇总统计!O$2:O$500,MATCH(157,样本到样信息汇总统计!$Z$2:$Z$500,0)),"")</f>
        <v/>
      </c>
      <c r="P158" s="4" t="str">
        <f>IFERROR(INDEX(样本到样信息汇总统计!P$2:P$500,MATCH(157,样本到样信息汇总统计!$Z$2:$Z$500,0)),"")</f>
        <v/>
      </c>
      <c r="Q158" s="4" t="str">
        <f>IFERROR(INDEX(样本到样信息汇总统计!Q$2:Q$500,MATCH(157,样本到样信息汇总统计!$Z$2:$Z$500,0)),"")</f>
        <v/>
      </c>
      <c r="R158" s="4" t="str">
        <f>IFERROR(INDEX(样本到样信息汇总统计!R$2:R$500,MATCH(157,样本到样信息汇总统计!$Z$2:$Z$500,0)),"")</f>
        <v/>
      </c>
      <c r="S158" s="4" t="str">
        <f>IFERROR(INDEX(样本到样信息汇总统计!S$2:S$500,MATCH(157,样本到样信息汇总统计!$Z$2:$Z$500,0)),"")</f>
        <v/>
      </c>
      <c r="T158" s="4" t="str">
        <f>IFERROR(INDEX(样本到样信息汇总统计!T$2:T$500,MATCH(157,样本到样信息汇总统计!$Z$2:$Z$500,0)),"")</f>
        <v/>
      </c>
      <c r="U158" s="4" t="str">
        <f>IFERROR(INDEX(样本到样信息汇总统计!U$2:U$500,MATCH(157,样本到样信息汇总统计!$Z$2:$Z$500,0)),"")</f>
        <v/>
      </c>
      <c r="V158" s="4" t="str">
        <f>IFERROR(INDEX(样本到样信息汇总统计!V$2:V$500,MATCH(157,样本到样信息汇总统计!$Z$2:$Z$500,0)),"")</f>
        <v/>
      </c>
      <c r="W158" s="4" t="str">
        <f>IFERROR(INDEX(样本到样信息汇总统计!W$2:W$500,MATCH(157,样本到样信息汇总统计!$Z$2:$Z$500,0)),"")</f>
        <v/>
      </c>
    </row>
    <row r="159" ht="14.5" spans="1:23">
      <c r="A159" s="8" t="str">
        <f>IFERROR(INDEX(样本到样信息汇总统计!A$2:A$500,MATCH(158,样本到样信息汇总统计!$Z$2:$Z$500,0)),"")</f>
        <v/>
      </c>
      <c r="B159" s="8" t="str">
        <f>IFERROR(INDEX(样本到样信息汇总统计!B$2:B$500,MATCH(158,样本到样信息汇总统计!$Z$2:$Z$500,0)),"")</f>
        <v/>
      </c>
      <c r="C159" s="8" t="str">
        <f>IFERROR(INDEX(样本到样信息汇总统计!C$2:C$500,MATCH(158,样本到样信息汇总统计!$Z$2:$Z$500,0)),"")</f>
        <v/>
      </c>
      <c r="D159" s="8" t="str">
        <f>IFERROR(INDEX(样本到样信息汇总统计!D$2:D$500,MATCH(158,样本到样信息汇总统计!$Z$2:$Z$500,0)),"")</f>
        <v/>
      </c>
      <c r="E159" s="8" t="str">
        <f>IFERROR(INDEX(样本到样信息汇总统计!E$2:E$500,MATCH(158,样本到样信息汇总统计!$Z$2:$Z$500,0)),"")</f>
        <v/>
      </c>
      <c r="F159" s="8" t="str">
        <f>IFERROR(INDEX(样本到样信息汇总统计!F$2:F$500,MATCH(158,样本到样信息汇总统计!$Z$2:$Z$500,0)),"")</f>
        <v/>
      </c>
      <c r="G159" s="8" t="str">
        <f>IFERROR(INDEX(样本到样信息汇总统计!G$2:G$500,MATCH(158,样本到样信息汇总统计!$Z$2:$Z$500,0)),"")</f>
        <v/>
      </c>
      <c r="H159" s="8" t="str">
        <f>IFERROR(INDEX(样本到样信息汇总统计!H$2:H$500,MATCH(158,样本到样信息汇总统计!$Z$2:$Z$500,0)),"")</f>
        <v/>
      </c>
      <c r="I159" s="8" t="str">
        <f>IFERROR(INDEX(样本到样信息汇总统计!I$2:I$500,MATCH(158,样本到样信息汇总统计!$Z$2:$Z$500,0)),"")</f>
        <v/>
      </c>
      <c r="J159" s="8" t="str">
        <f>IFERROR(INDEX(样本到样信息汇总统计!J$2:J$500,MATCH(158,样本到样信息汇总统计!$Z$2:$Z$500,0)),"")</f>
        <v/>
      </c>
      <c r="K159" s="8" t="str">
        <f>IFERROR(INDEX(样本到样信息汇总统计!K$2:K$500,MATCH(158,样本到样信息汇总统计!$Z$2:$Z$500,0)),"")</f>
        <v/>
      </c>
      <c r="L159" s="8" t="str">
        <f>IFERROR(INDEX(样本到样信息汇总统计!L$2:L$500,MATCH(158,样本到样信息汇总统计!$Z$2:$Z$500,0)),"")</f>
        <v/>
      </c>
      <c r="M159" s="8" t="str">
        <f>IFERROR(INDEX(样本到样信息汇总统计!M$2:M$500,MATCH(158,样本到样信息汇总统计!$Z$2:$Z$500,0)),"")</f>
        <v/>
      </c>
      <c r="N159" s="8" t="str">
        <f>IFERROR(INDEX(样本到样信息汇总统计!N$2:N$500,MATCH(158,样本到样信息汇总统计!$Z$2:$Z$500,0)),"")</f>
        <v/>
      </c>
      <c r="O159" s="8" t="str">
        <f>IFERROR(INDEX(样本到样信息汇总统计!O$2:O$500,MATCH(158,样本到样信息汇总统计!$Z$2:$Z$500,0)),"")</f>
        <v/>
      </c>
      <c r="P159" s="8" t="str">
        <f>IFERROR(INDEX(样本到样信息汇总统计!P$2:P$500,MATCH(158,样本到样信息汇总统计!$Z$2:$Z$500,0)),"")</f>
        <v/>
      </c>
      <c r="Q159" s="8" t="str">
        <f>IFERROR(INDEX(样本到样信息汇总统计!Q$2:Q$500,MATCH(158,样本到样信息汇总统计!$Z$2:$Z$500,0)),"")</f>
        <v/>
      </c>
      <c r="R159" s="8" t="str">
        <f>IFERROR(INDEX(样本到样信息汇总统计!R$2:R$500,MATCH(158,样本到样信息汇总统计!$Z$2:$Z$500,0)),"")</f>
        <v/>
      </c>
      <c r="S159" s="8" t="str">
        <f>IFERROR(INDEX(样本到样信息汇总统计!S$2:S$500,MATCH(158,样本到样信息汇总统计!$Z$2:$Z$500,0)),"")</f>
        <v/>
      </c>
      <c r="T159" s="8" t="str">
        <f>IFERROR(INDEX(样本到样信息汇总统计!T$2:T$500,MATCH(158,样本到样信息汇总统计!$Z$2:$Z$500,0)),"")</f>
        <v/>
      </c>
      <c r="U159" s="8" t="str">
        <f>IFERROR(INDEX(样本到样信息汇总统计!U$2:U$500,MATCH(158,样本到样信息汇总统计!$Z$2:$Z$500,0)),"")</f>
        <v/>
      </c>
      <c r="V159" s="8" t="str">
        <f>IFERROR(INDEX(样本到样信息汇总统计!V$2:V$500,MATCH(158,样本到样信息汇总统计!$Z$2:$Z$500,0)),"")</f>
        <v/>
      </c>
      <c r="W159" s="8" t="str">
        <f>IFERROR(INDEX(样本到样信息汇总统计!W$2:W$500,MATCH(158,样本到样信息汇总统计!$Z$2:$Z$500,0)),"")</f>
        <v/>
      </c>
    </row>
    <row r="160" ht="14.5" spans="1:23">
      <c r="A160" s="4" t="str">
        <f>IFERROR(INDEX(样本到样信息汇总统计!A$2:A$500,MATCH(159,样本到样信息汇总统计!$Z$2:$Z$500,0)),"")</f>
        <v/>
      </c>
      <c r="B160" s="4" t="str">
        <f>IFERROR(INDEX(样本到样信息汇总统计!B$2:B$500,MATCH(159,样本到样信息汇总统计!$Z$2:$Z$500,0)),"")</f>
        <v/>
      </c>
      <c r="C160" s="4" t="str">
        <f>IFERROR(INDEX(样本到样信息汇总统计!C$2:C$500,MATCH(159,样本到样信息汇总统计!$Z$2:$Z$500,0)),"")</f>
        <v/>
      </c>
      <c r="D160" s="4" t="str">
        <f>IFERROR(INDEX(样本到样信息汇总统计!D$2:D$500,MATCH(159,样本到样信息汇总统计!$Z$2:$Z$500,0)),"")</f>
        <v/>
      </c>
      <c r="E160" s="4" t="str">
        <f>IFERROR(INDEX(样本到样信息汇总统计!E$2:E$500,MATCH(159,样本到样信息汇总统计!$Z$2:$Z$500,0)),"")</f>
        <v/>
      </c>
      <c r="F160" s="4" t="str">
        <f>IFERROR(INDEX(样本到样信息汇总统计!F$2:F$500,MATCH(159,样本到样信息汇总统计!$Z$2:$Z$500,0)),"")</f>
        <v/>
      </c>
      <c r="G160" s="4" t="str">
        <f>IFERROR(INDEX(样本到样信息汇总统计!G$2:G$500,MATCH(159,样本到样信息汇总统计!$Z$2:$Z$500,0)),"")</f>
        <v/>
      </c>
      <c r="H160" s="4" t="str">
        <f>IFERROR(INDEX(样本到样信息汇总统计!H$2:H$500,MATCH(159,样本到样信息汇总统计!$Z$2:$Z$500,0)),"")</f>
        <v/>
      </c>
      <c r="I160" s="4" t="str">
        <f>IFERROR(INDEX(样本到样信息汇总统计!I$2:I$500,MATCH(159,样本到样信息汇总统计!$Z$2:$Z$500,0)),"")</f>
        <v/>
      </c>
      <c r="J160" s="4" t="str">
        <f>IFERROR(INDEX(样本到样信息汇总统计!J$2:J$500,MATCH(159,样本到样信息汇总统计!$Z$2:$Z$500,0)),"")</f>
        <v/>
      </c>
      <c r="K160" s="4" t="str">
        <f>IFERROR(INDEX(样本到样信息汇总统计!K$2:K$500,MATCH(159,样本到样信息汇总统计!$Z$2:$Z$500,0)),"")</f>
        <v/>
      </c>
      <c r="L160" s="4" t="str">
        <f>IFERROR(INDEX(样本到样信息汇总统计!L$2:L$500,MATCH(159,样本到样信息汇总统计!$Z$2:$Z$500,0)),"")</f>
        <v/>
      </c>
      <c r="M160" s="4" t="str">
        <f>IFERROR(INDEX(样本到样信息汇总统计!M$2:M$500,MATCH(159,样本到样信息汇总统计!$Z$2:$Z$500,0)),"")</f>
        <v/>
      </c>
      <c r="N160" s="4" t="str">
        <f>IFERROR(INDEX(样本到样信息汇总统计!N$2:N$500,MATCH(159,样本到样信息汇总统计!$Z$2:$Z$500,0)),"")</f>
        <v/>
      </c>
      <c r="O160" s="4" t="str">
        <f>IFERROR(INDEX(样本到样信息汇总统计!O$2:O$500,MATCH(159,样本到样信息汇总统计!$Z$2:$Z$500,0)),"")</f>
        <v/>
      </c>
      <c r="P160" s="4" t="str">
        <f>IFERROR(INDEX(样本到样信息汇总统计!P$2:P$500,MATCH(159,样本到样信息汇总统计!$Z$2:$Z$500,0)),"")</f>
        <v/>
      </c>
      <c r="Q160" s="4" t="str">
        <f>IFERROR(INDEX(样本到样信息汇总统计!Q$2:Q$500,MATCH(159,样本到样信息汇总统计!$Z$2:$Z$500,0)),"")</f>
        <v/>
      </c>
      <c r="R160" s="4" t="str">
        <f>IFERROR(INDEX(样本到样信息汇总统计!R$2:R$500,MATCH(159,样本到样信息汇总统计!$Z$2:$Z$500,0)),"")</f>
        <v/>
      </c>
      <c r="S160" s="4" t="str">
        <f>IFERROR(INDEX(样本到样信息汇总统计!S$2:S$500,MATCH(159,样本到样信息汇总统计!$Z$2:$Z$500,0)),"")</f>
        <v/>
      </c>
      <c r="T160" s="4" t="str">
        <f>IFERROR(INDEX(样本到样信息汇总统计!T$2:T$500,MATCH(159,样本到样信息汇总统计!$Z$2:$Z$500,0)),"")</f>
        <v/>
      </c>
      <c r="U160" s="4" t="str">
        <f>IFERROR(INDEX(样本到样信息汇总统计!U$2:U$500,MATCH(159,样本到样信息汇总统计!$Z$2:$Z$500,0)),"")</f>
        <v/>
      </c>
      <c r="V160" s="4" t="str">
        <f>IFERROR(INDEX(样本到样信息汇总统计!V$2:V$500,MATCH(159,样本到样信息汇总统计!$Z$2:$Z$500,0)),"")</f>
        <v/>
      </c>
      <c r="W160" s="4" t="str">
        <f>IFERROR(INDEX(样本到样信息汇总统计!W$2:W$500,MATCH(159,样本到样信息汇总统计!$Z$2:$Z$500,0)),"")</f>
        <v/>
      </c>
    </row>
    <row r="161" ht="14.5" spans="1:23">
      <c r="A161" s="8" t="str">
        <f>IFERROR(INDEX(样本到样信息汇总统计!A$2:A$500,MATCH(160,样本到样信息汇总统计!$Z$2:$Z$500,0)),"")</f>
        <v/>
      </c>
      <c r="B161" s="8" t="str">
        <f>IFERROR(INDEX(样本到样信息汇总统计!B$2:B$500,MATCH(160,样本到样信息汇总统计!$Z$2:$Z$500,0)),"")</f>
        <v/>
      </c>
      <c r="C161" s="8" t="str">
        <f>IFERROR(INDEX(样本到样信息汇总统计!C$2:C$500,MATCH(160,样本到样信息汇总统计!$Z$2:$Z$500,0)),"")</f>
        <v/>
      </c>
      <c r="D161" s="8" t="str">
        <f>IFERROR(INDEX(样本到样信息汇总统计!D$2:D$500,MATCH(160,样本到样信息汇总统计!$Z$2:$Z$500,0)),"")</f>
        <v/>
      </c>
      <c r="E161" s="8" t="str">
        <f>IFERROR(INDEX(样本到样信息汇总统计!E$2:E$500,MATCH(160,样本到样信息汇总统计!$Z$2:$Z$500,0)),"")</f>
        <v/>
      </c>
      <c r="F161" s="8" t="str">
        <f>IFERROR(INDEX(样本到样信息汇总统计!F$2:F$500,MATCH(160,样本到样信息汇总统计!$Z$2:$Z$500,0)),"")</f>
        <v/>
      </c>
      <c r="G161" s="8" t="str">
        <f>IFERROR(INDEX(样本到样信息汇总统计!G$2:G$500,MATCH(160,样本到样信息汇总统计!$Z$2:$Z$500,0)),"")</f>
        <v/>
      </c>
      <c r="H161" s="8" t="str">
        <f>IFERROR(INDEX(样本到样信息汇总统计!H$2:H$500,MATCH(160,样本到样信息汇总统计!$Z$2:$Z$500,0)),"")</f>
        <v/>
      </c>
      <c r="I161" s="8" t="str">
        <f>IFERROR(INDEX(样本到样信息汇总统计!I$2:I$500,MATCH(160,样本到样信息汇总统计!$Z$2:$Z$500,0)),"")</f>
        <v/>
      </c>
      <c r="J161" s="8" t="str">
        <f>IFERROR(INDEX(样本到样信息汇总统计!J$2:J$500,MATCH(160,样本到样信息汇总统计!$Z$2:$Z$500,0)),"")</f>
        <v/>
      </c>
      <c r="K161" s="8" t="str">
        <f>IFERROR(INDEX(样本到样信息汇总统计!K$2:K$500,MATCH(160,样本到样信息汇总统计!$Z$2:$Z$500,0)),"")</f>
        <v/>
      </c>
      <c r="L161" s="8" t="str">
        <f>IFERROR(INDEX(样本到样信息汇总统计!L$2:L$500,MATCH(160,样本到样信息汇总统计!$Z$2:$Z$500,0)),"")</f>
        <v/>
      </c>
      <c r="M161" s="8" t="str">
        <f>IFERROR(INDEX(样本到样信息汇总统计!M$2:M$500,MATCH(160,样本到样信息汇总统计!$Z$2:$Z$500,0)),"")</f>
        <v/>
      </c>
      <c r="N161" s="8" t="str">
        <f>IFERROR(INDEX(样本到样信息汇总统计!N$2:N$500,MATCH(160,样本到样信息汇总统计!$Z$2:$Z$500,0)),"")</f>
        <v/>
      </c>
      <c r="O161" s="8" t="str">
        <f>IFERROR(INDEX(样本到样信息汇总统计!O$2:O$500,MATCH(160,样本到样信息汇总统计!$Z$2:$Z$500,0)),"")</f>
        <v/>
      </c>
      <c r="P161" s="8" t="str">
        <f>IFERROR(INDEX(样本到样信息汇总统计!P$2:P$500,MATCH(160,样本到样信息汇总统计!$Z$2:$Z$500,0)),"")</f>
        <v/>
      </c>
      <c r="Q161" s="8" t="str">
        <f>IFERROR(INDEX(样本到样信息汇总统计!Q$2:Q$500,MATCH(160,样本到样信息汇总统计!$Z$2:$Z$500,0)),"")</f>
        <v/>
      </c>
      <c r="R161" s="8" t="str">
        <f>IFERROR(INDEX(样本到样信息汇总统计!R$2:R$500,MATCH(160,样本到样信息汇总统计!$Z$2:$Z$500,0)),"")</f>
        <v/>
      </c>
      <c r="S161" s="8" t="str">
        <f>IFERROR(INDEX(样本到样信息汇总统计!S$2:S$500,MATCH(160,样本到样信息汇总统计!$Z$2:$Z$500,0)),"")</f>
        <v/>
      </c>
      <c r="T161" s="8" t="str">
        <f>IFERROR(INDEX(样本到样信息汇总统计!T$2:T$500,MATCH(160,样本到样信息汇总统计!$Z$2:$Z$500,0)),"")</f>
        <v/>
      </c>
      <c r="U161" s="8" t="str">
        <f>IFERROR(INDEX(样本到样信息汇总统计!U$2:U$500,MATCH(160,样本到样信息汇总统计!$Z$2:$Z$500,0)),"")</f>
        <v/>
      </c>
      <c r="V161" s="8" t="str">
        <f>IFERROR(INDEX(样本到样信息汇总统计!V$2:V$500,MATCH(160,样本到样信息汇总统计!$Z$2:$Z$500,0)),"")</f>
        <v/>
      </c>
      <c r="W161" s="8" t="str">
        <f>IFERROR(INDEX(样本到样信息汇总统计!W$2:W$500,MATCH(160,样本到样信息汇总统计!$Z$2:$Z$500,0)),"")</f>
        <v/>
      </c>
    </row>
    <row r="162" ht="14.5" spans="1:23">
      <c r="A162" s="4" t="str">
        <f>IFERROR(INDEX(样本到样信息汇总统计!A$2:A$500,MATCH(161,样本到样信息汇总统计!$Z$2:$Z$500,0)),"")</f>
        <v/>
      </c>
      <c r="B162" s="4" t="str">
        <f>IFERROR(INDEX(样本到样信息汇总统计!B$2:B$500,MATCH(161,样本到样信息汇总统计!$Z$2:$Z$500,0)),"")</f>
        <v/>
      </c>
      <c r="C162" s="4" t="str">
        <f>IFERROR(INDEX(样本到样信息汇总统计!C$2:C$500,MATCH(161,样本到样信息汇总统计!$Z$2:$Z$500,0)),"")</f>
        <v/>
      </c>
      <c r="D162" s="4" t="str">
        <f>IFERROR(INDEX(样本到样信息汇总统计!D$2:D$500,MATCH(161,样本到样信息汇总统计!$Z$2:$Z$500,0)),"")</f>
        <v/>
      </c>
      <c r="E162" s="4" t="str">
        <f>IFERROR(INDEX(样本到样信息汇总统计!E$2:E$500,MATCH(161,样本到样信息汇总统计!$Z$2:$Z$500,0)),"")</f>
        <v/>
      </c>
      <c r="F162" s="4" t="str">
        <f>IFERROR(INDEX(样本到样信息汇总统计!F$2:F$500,MATCH(161,样本到样信息汇总统计!$Z$2:$Z$500,0)),"")</f>
        <v/>
      </c>
      <c r="G162" s="4" t="str">
        <f>IFERROR(INDEX(样本到样信息汇总统计!G$2:G$500,MATCH(161,样本到样信息汇总统计!$Z$2:$Z$500,0)),"")</f>
        <v/>
      </c>
      <c r="H162" s="4" t="str">
        <f>IFERROR(INDEX(样本到样信息汇总统计!H$2:H$500,MATCH(161,样本到样信息汇总统计!$Z$2:$Z$500,0)),"")</f>
        <v/>
      </c>
      <c r="I162" s="4" t="str">
        <f>IFERROR(INDEX(样本到样信息汇总统计!I$2:I$500,MATCH(161,样本到样信息汇总统计!$Z$2:$Z$500,0)),"")</f>
        <v/>
      </c>
      <c r="J162" s="4" t="str">
        <f>IFERROR(INDEX(样本到样信息汇总统计!J$2:J$500,MATCH(161,样本到样信息汇总统计!$Z$2:$Z$500,0)),"")</f>
        <v/>
      </c>
      <c r="K162" s="4" t="str">
        <f>IFERROR(INDEX(样本到样信息汇总统计!K$2:K$500,MATCH(161,样本到样信息汇总统计!$Z$2:$Z$500,0)),"")</f>
        <v/>
      </c>
      <c r="L162" s="4" t="str">
        <f>IFERROR(INDEX(样本到样信息汇总统计!L$2:L$500,MATCH(161,样本到样信息汇总统计!$Z$2:$Z$500,0)),"")</f>
        <v/>
      </c>
      <c r="M162" s="4" t="str">
        <f>IFERROR(INDEX(样本到样信息汇总统计!M$2:M$500,MATCH(161,样本到样信息汇总统计!$Z$2:$Z$500,0)),"")</f>
        <v/>
      </c>
      <c r="N162" s="4" t="str">
        <f>IFERROR(INDEX(样本到样信息汇总统计!N$2:N$500,MATCH(161,样本到样信息汇总统计!$Z$2:$Z$500,0)),"")</f>
        <v/>
      </c>
      <c r="O162" s="4" t="str">
        <f>IFERROR(INDEX(样本到样信息汇总统计!O$2:O$500,MATCH(161,样本到样信息汇总统计!$Z$2:$Z$500,0)),"")</f>
        <v/>
      </c>
      <c r="P162" s="4" t="str">
        <f>IFERROR(INDEX(样本到样信息汇总统计!P$2:P$500,MATCH(161,样本到样信息汇总统计!$Z$2:$Z$500,0)),"")</f>
        <v/>
      </c>
      <c r="Q162" s="4" t="str">
        <f>IFERROR(INDEX(样本到样信息汇总统计!Q$2:Q$500,MATCH(161,样本到样信息汇总统计!$Z$2:$Z$500,0)),"")</f>
        <v/>
      </c>
      <c r="R162" s="4" t="str">
        <f>IFERROR(INDEX(样本到样信息汇总统计!R$2:R$500,MATCH(161,样本到样信息汇总统计!$Z$2:$Z$500,0)),"")</f>
        <v/>
      </c>
      <c r="S162" s="4" t="str">
        <f>IFERROR(INDEX(样本到样信息汇总统计!S$2:S$500,MATCH(161,样本到样信息汇总统计!$Z$2:$Z$500,0)),"")</f>
        <v/>
      </c>
      <c r="T162" s="4" t="str">
        <f>IFERROR(INDEX(样本到样信息汇总统计!T$2:T$500,MATCH(161,样本到样信息汇总统计!$Z$2:$Z$500,0)),"")</f>
        <v/>
      </c>
      <c r="U162" s="4" t="str">
        <f>IFERROR(INDEX(样本到样信息汇总统计!U$2:U$500,MATCH(161,样本到样信息汇总统计!$Z$2:$Z$500,0)),"")</f>
        <v/>
      </c>
      <c r="V162" s="4" t="str">
        <f>IFERROR(INDEX(样本到样信息汇总统计!V$2:V$500,MATCH(161,样本到样信息汇总统计!$Z$2:$Z$500,0)),"")</f>
        <v/>
      </c>
      <c r="W162" s="4" t="str">
        <f>IFERROR(INDEX(样本到样信息汇总统计!W$2:W$500,MATCH(161,样本到样信息汇总统计!$Z$2:$Z$500,0)),"")</f>
        <v/>
      </c>
    </row>
    <row r="163" ht="14.5" spans="1:23">
      <c r="A163" s="8" t="str">
        <f>IFERROR(INDEX(样本到样信息汇总统计!A$2:A$500,MATCH(162,样本到样信息汇总统计!$Z$2:$Z$500,0)),"")</f>
        <v/>
      </c>
      <c r="B163" s="8" t="str">
        <f>IFERROR(INDEX(样本到样信息汇总统计!B$2:B$500,MATCH(162,样本到样信息汇总统计!$Z$2:$Z$500,0)),"")</f>
        <v/>
      </c>
      <c r="C163" s="8" t="str">
        <f>IFERROR(INDEX(样本到样信息汇总统计!C$2:C$500,MATCH(162,样本到样信息汇总统计!$Z$2:$Z$500,0)),"")</f>
        <v/>
      </c>
      <c r="D163" s="8" t="str">
        <f>IFERROR(INDEX(样本到样信息汇总统计!D$2:D$500,MATCH(162,样本到样信息汇总统计!$Z$2:$Z$500,0)),"")</f>
        <v/>
      </c>
      <c r="E163" s="8" t="str">
        <f>IFERROR(INDEX(样本到样信息汇总统计!E$2:E$500,MATCH(162,样本到样信息汇总统计!$Z$2:$Z$500,0)),"")</f>
        <v/>
      </c>
      <c r="F163" s="8" t="str">
        <f>IFERROR(INDEX(样本到样信息汇总统计!F$2:F$500,MATCH(162,样本到样信息汇总统计!$Z$2:$Z$500,0)),"")</f>
        <v/>
      </c>
      <c r="G163" s="8" t="str">
        <f>IFERROR(INDEX(样本到样信息汇总统计!G$2:G$500,MATCH(162,样本到样信息汇总统计!$Z$2:$Z$500,0)),"")</f>
        <v/>
      </c>
      <c r="H163" s="8" t="str">
        <f>IFERROR(INDEX(样本到样信息汇总统计!H$2:H$500,MATCH(162,样本到样信息汇总统计!$Z$2:$Z$500,0)),"")</f>
        <v/>
      </c>
      <c r="I163" s="8" t="str">
        <f>IFERROR(INDEX(样本到样信息汇总统计!I$2:I$500,MATCH(162,样本到样信息汇总统计!$Z$2:$Z$500,0)),"")</f>
        <v/>
      </c>
      <c r="J163" s="8" t="str">
        <f>IFERROR(INDEX(样本到样信息汇总统计!J$2:J$500,MATCH(162,样本到样信息汇总统计!$Z$2:$Z$500,0)),"")</f>
        <v/>
      </c>
      <c r="K163" s="8" t="str">
        <f>IFERROR(INDEX(样本到样信息汇总统计!K$2:K$500,MATCH(162,样本到样信息汇总统计!$Z$2:$Z$500,0)),"")</f>
        <v/>
      </c>
      <c r="L163" s="8" t="str">
        <f>IFERROR(INDEX(样本到样信息汇总统计!L$2:L$500,MATCH(162,样本到样信息汇总统计!$Z$2:$Z$500,0)),"")</f>
        <v/>
      </c>
      <c r="M163" s="8" t="str">
        <f>IFERROR(INDEX(样本到样信息汇总统计!M$2:M$500,MATCH(162,样本到样信息汇总统计!$Z$2:$Z$500,0)),"")</f>
        <v/>
      </c>
      <c r="N163" s="8" t="str">
        <f>IFERROR(INDEX(样本到样信息汇总统计!N$2:N$500,MATCH(162,样本到样信息汇总统计!$Z$2:$Z$500,0)),"")</f>
        <v/>
      </c>
      <c r="O163" s="8" t="str">
        <f>IFERROR(INDEX(样本到样信息汇总统计!O$2:O$500,MATCH(162,样本到样信息汇总统计!$Z$2:$Z$500,0)),"")</f>
        <v/>
      </c>
      <c r="P163" s="8" t="str">
        <f>IFERROR(INDEX(样本到样信息汇总统计!P$2:P$500,MATCH(162,样本到样信息汇总统计!$Z$2:$Z$500,0)),"")</f>
        <v/>
      </c>
      <c r="Q163" s="8" t="str">
        <f>IFERROR(INDEX(样本到样信息汇总统计!Q$2:Q$500,MATCH(162,样本到样信息汇总统计!$Z$2:$Z$500,0)),"")</f>
        <v/>
      </c>
      <c r="R163" s="8" t="str">
        <f>IFERROR(INDEX(样本到样信息汇总统计!R$2:R$500,MATCH(162,样本到样信息汇总统计!$Z$2:$Z$500,0)),"")</f>
        <v/>
      </c>
      <c r="S163" s="8" t="str">
        <f>IFERROR(INDEX(样本到样信息汇总统计!S$2:S$500,MATCH(162,样本到样信息汇总统计!$Z$2:$Z$500,0)),"")</f>
        <v/>
      </c>
      <c r="T163" s="8" t="str">
        <f>IFERROR(INDEX(样本到样信息汇总统计!T$2:T$500,MATCH(162,样本到样信息汇总统计!$Z$2:$Z$500,0)),"")</f>
        <v/>
      </c>
      <c r="U163" s="8" t="str">
        <f>IFERROR(INDEX(样本到样信息汇总统计!U$2:U$500,MATCH(162,样本到样信息汇总统计!$Z$2:$Z$500,0)),"")</f>
        <v/>
      </c>
      <c r="V163" s="8" t="str">
        <f>IFERROR(INDEX(样本到样信息汇总统计!V$2:V$500,MATCH(162,样本到样信息汇总统计!$Z$2:$Z$500,0)),"")</f>
        <v/>
      </c>
      <c r="W163" s="8" t="str">
        <f>IFERROR(INDEX(样本到样信息汇总统计!W$2:W$500,MATCH(162,样本到样信息汇总统计!$Z$2:$Z$500,0)),"")</f>
        <v/>
      </c>
    </row>
    <row r="164" ht="14.5" spans="1:23">
      <c r="A164" s="4" t="str">
        <f>IFERROR(INDEX(样本到样信息汇总统计!A$2:A$500,MATCH(163,样本到样信息汇总统计!$Z$2:$Z$500,0)),"")</f>
        <v/>
      </c>
      <c r="B164" s="4" t="str">
        <f>IFERROR(INDEX(样本到样信息汇总统计!B$2:B$500,MATCH(163,样本到样信息汇总统计!$Z$2:$Z$500,0)),"")</f>
        <v/>
      </c>
      <c r="C164" s="4" t="str">
        <f>IFERROR(INDEX(样本到样信息汇总统计!C$2:C$500,MATCH(163,样本到样信息汇总统计!$Z$2:$Z$500,0)),"")</f>
        <v/>
      </c>
      <c r="D164" s="4" t="str">
        <f>IFERROR(INDEX(样本到样信息汇总统计!D$2:D$500,MATCH(163,样本到样信息汇总统计!$Z$2:$Z$500,0)),"")</f>
        <v/>
      </c>
      <c r="E164" s="4" t="str">
        <f>IFERROR(INDEX(样本到样信息汇总统计!E$2:E$500,MATCH(163,样本到样信息汇总统计!$Z$2:$Z$500,0)),"")</f>
        <v/>
      </c>
      <c r="F164" s="4" t="str">
        <f>IFERROR(INDEX(样本到样信息汇总统计!F$2:F$500,MATCH(163,样本到样信息汇总统计!$Z$2:$Z$500,0)),"")</f>
        <v/>
      </c>
      <c r="G164" s="4" t="str">
        <f>IFERROR(INDEX(样本到样信息汇总统计!G$2:G$500,MATCH(163,样本到样信息汇总统计!$Z$2:$Z$500,0)),"")</f>
        <v/>
      </c>
      <c r="H164" s="4" t="str">
        <f>IFERROR(INDEX(样本到样信息汇总统计!H$2:H$500,MATCH(163,样本到样信息汇总统计!$Z$2:$Z$500,0)),"")</f>
        <v/>
      </c>
      <c r="I164" s="4" t="str">
        <f>IFERROR(INDEX(样本到样信息汇总统计!I$2:I$500,MATCH(163,样本到样信息汇总统计!$Z$2:$Z$500,0)),"")</f>
        <v/>
      </c>
      <c r="J164" s="4" t="str">
        <f>IFERROR(INDEX(样本到样信息汇总统计!J$2:J$500,MATCH(163,样本到样信息汇总统计!$Z$2:$Z$500,0)),"")</f>
        <v/>
      </c>
      <c r="K164" s="4" t="str">
        <f>IFERROR(INDEX(样本到样信息汇总统计!K$2:K$500,MATCH(163,样本到样信息汇总统计!$Z$2:$Z$500,0)),"")</f>
        <v/>
      </c>
      <c r="L164" s="4" t="str">
        <f>IFERROR(INDEX(样本到样信息汇总统计!L$2:L$500,MATCH(163,样本到样信息汇总统计!$Z$2:$Z$500,0)),"")</f>
        <v/>
      </c>
      <c r="M164" s="4" t="str">
        <f>IFERROR(INDEX(样本到样信息汇总统计!M$2:M$500,MATCH(163,样本到样信息汇总统计!$Z$2:$Z$500,0)),"")</f>
        <v/>
      </c>
      <c r="N164" s="4" t="str">
        <f>IFERROR(INDEX(样本到样信息汇总统计!N$2:N$500,MATCH(163,样本到样信息汇总统计!$Z$2:$Z$500,0)),"")</f>
        <v/>
      </c>
      <c r="O164" s="4" t="str">
        <f>IFERROR(INDEX(样本到样信息汇总统计!O$2:O$500,MATCH(163,样本到样信息汇总统计!$Z$2:$Z$500,0)),"")</f>
        <v/>
      </c>
      <c r="P164" s="4" t="str">
        <f>IFERROR(INDEX(样本到样信息汇总统计!P$2:P$500,MATCH(163,样本到样信息汇总统计!$Z$2:$Z$500,0)),"")</f>
        <v/>
      </c>
      <c r="Q164" s="4" t="str">
        <f>IFERROR(INDEX(样本到样信息汇总统计!Q$2:Q$500,MATCH(163,样本到样信息汇总统计!$Z$2:$Z$500,0)),"")</f>
        <v/>
      </c>
      <c r="R164" s="4" t="str">
        <f>IFERROR(INDEX(样本到样信息汇总统计!R$2:R$500,MATCH(163,样本到样信息汇总统计!$Z$2:$Z$500,0)),"")</f>
        <v/>
      </c>
      <c r="S164" s="4" t="str">
        <f>IFERROR(INDEX(样本到样信息汇总统计!S$2:S$500,MATCH(163,样本到样信息汇总统计!$Z$2:$Z$500,0)),"")</f>
        <v/>
      </c>
      <c r="T164" s="4" t="str">
        <f>IFERROR(INDEX(样本到样信息汇总统计!T$2:T$500,MATCH(163,样本到样信息汇总统计!$Z$2:$Z$500,0)),"")</f>
        <v/>
      </c>
      <c r="U164" s="4" t="str">
        <f>IFERROR(INDEX(样本到样信息汇总统计!U$2:U$500,MATCH(163,样本到样信息汇总统计!$Z$2:$Z$500,0)),"")</f>
        <v/>
      </c>
      <c r="V164" s="4" t="str">
        <f>IFERROR(INDEX(样本到样信息汇总统计!V$2:V$500,MATCH(163,样本到样信息汇总统计!$Z$2:$Z$500,0)),"")</f>
        <v/>
      </c>
      <c r="W164" s="4" t="str">
        <f>IFERROR(INDEX(样本到样信息汇总统计!W$2:W$500,MATCH(163,样本到样信息汇总统计!$Z$2:$Z$500,0)),"")</f>
        <v/>
      </c>
    </row>
    <row r="165" ht="14.5" spans="1:23">
      <c r="A165" s="8" t="str">
        <f>IFERROR(INDEX(样本到样信息汇总统计!A$2:A$500,MATCH(164,样本到样信息汇总统计!$Z$2:$Z$500,0)),"")</f>
        <v/>
      </c>
      <c r="B165" s="8" t="str">
        <f>IFERROR(INDEX(样本到样信息汇总统计!B$2:B$500,MATCH(164,样本到样信息汇总统计!$Z$2:$Z$500,0)),"")</f>
        <v/>
      </c>
      <c r="C165" s="8" t="str">
        <f>IFERROR(INDEX(样本到样信息汇总统计!C$2:C$500,MATCH(164,样本到样信息汇总统计!$Z$2:$Z$500,0)),"")</f>
        <v/>
      </c>
      <c r="D165" s="8" t="str">
        <f>IFERROR(INDEX(样本到样信息汇总统计!D$2:D$500,MATCH(164,样本到样信息汇总统计!$Z$2:$Z$500,0)),"")</f>
        <v/>
      </c>
      <c r="E165" s="8" t="str">
        <f>IFERROR(INDEX(样本到样信息汇总统计!E$2:E$500,MATCH(164,样本到样信息汇总统计!$Z$2:$Z$500,0)),"")</f>
        <v/>
      </c>
      <c r="F165" s="8" t="str">
        <f>IFERROR(INDEX(样本到样信息汇总统计!F$2:F$500,MATCH(164,样本到样信息汇总统计!$Z$2:$Z$500,0)),"")</f>
        <v/>
      </c>
      <c r="G165" s="8" t="str">
        <f>IFERROR(INDEX(样本到样信息汇总统计!G$2:G$500,MATCH(164,样本到样信息汇总统计!$Z$2:$Z$500,0)),"")</f>
        <v/>
      </c>
      <c r="H165" s="8" t="str">
        <f>IFERROR(INDEX(样本到样信息汇总统计!H$2:H$500,MATCH(164,样本到样信息汇总统计!$Z$2:$Z$500,0)),"")</f>
        <v/>
      </c>
      <c r="I165" s="8" t="str">
        <f>IFERROR(INDEX(样本到样信息汇总统计!I$2:I$500,MATCH(164,样本到样信息汇总统计!$Z$2:$Z$500,0)),"")</f>
        <v/>
      </c>
      <c r="J165" s="8" t="str">
        <f>IFERROR(INDEX(样本到样信息汇总统计!J$2:J$500,MATCH(164,样本到样信息汇总统计!$Z$2:$Z$500,0)),"")</f>
        <v/>
      </c>
      <c r="K165" s="8" t="str">
        <f>IFERROR(INDEX(样本到样信息汇总统计!K$2:K$500,MATCH(164,样本到样信息汇总统计!$Z$2:$Z$500,0)),"")</f>
        <v/>
      </c>
      <c r="L165" s="8" t="str">
        <f>IFERROR(INDEX(样本到样信息汇总统计!L$2:L$500,MATCH(164,样本到样信息汇总统计!$Z$2:$Z$500,0)),"")</f>
        <v/>
      </c>
      <c r="M165" s="8" t="str">
        <f>IFERROR(INDEX(样本到样信息汇总统计!M$2:M$500,MATCH(164,样本到样信息汇总统计!$Z$2:$Z$500,0)),"")</f>
        <v/>
      </c>
      <c r="N165" s="8" t="str">
        <f>IFERROR(INDEX(样本到样信息汇总统计!N$2:N$500,MATCH(164,样本到样信息汇总统计!$Z$2:$Z$500,0)),"")</f>
        <v/>
      </c>
      <c r="O165" s="8" t="str">
        <f>IFERROR(INDEX(样本到样信息汇总统计!O$2:O$500,MATCH(164,样本到样信息汇总统计!$Z$2:$Z$500,0)),"")</f>
        <v/>
      </c>
      <c r="P165" s="8" t="str">
        <f>IFERROR(INDEX(样本到样信息汇总统计!P$2:P$500,MATCH(164,样本到样信息汇总统计!$Z$2:$Z$500,0)),"")</f>
        <v/>
      </c>
      <c r="Q165" s="8" t="str">
        <f>IFERROR(INDEX(样本到样信息汇总统计!Q$2:Q$500,MATCH(164,样本到样信息汇总统计!$Z$2:$Z$500,0)),"")</f>
        <v/>
      </c>
      <c r="R165" s="8" t="str">
        <f>IFERROR(INDEX(样本到样信息汇总统计!R$2:R$500,MATCH(164,样本到样信息汇总统计!$Z$2:$Z$500,0)),"")</f>
        <v/>
      </c>
      <c r="S165" s="8" t="str">
        <f>IFERROR(INDEX(样本到样信息汇总统计!S$2:S$500,MATCH(164,样本到样信息汇总统计!$Z$2:$Z$500,0)),"")</f>
        <v/>
      </c>
      <c r="T165" s="8" t="str">
        <f>IFERROR(INDEX(样本到样信息汇总统计!T$2:T$500,MATCH(164,样本到样信息汇总统计!$Z$2:$Z$500,0)),"")</f>
        <v/>
      </c>
      <c r="U165" s="8" t="str">
        <f>IFERROR(INDEX(样本到样信息汇总统计!U$2:U$500,MATCH(164,样本到样信息汇总统计!$Z$2:$Z$500,0)),"")</f>
        <v/>
      </c>
      <c r="V165" s="8" t="str">
        <f>IFERROR(INDEX(样本到样信息汇总统计!V$2:V$500,MATCH(164,样本到样信息汇总统计!$Z$2:$Z$500,0)),"")</f>
        <v/>
      </c>
      <c r="W165" s="8" t="str">
        <f>IFERROR(INDEX(样本到样信息汇总统计!W$2:W$500,MATCH(164,样本到样信息汇总统计!$Z$2:$Z$500,0)),"")</f>
        <v/>
      </c>
    </row>
    <row r="166" ht="14.5" spans="1:23">
      <c r="A166" s="4" t="str">
        <f>IFERROR(INDEX(样本到样信息汇总统计!A$2:A$500,MATCH(165,样本到样信息汇总统计!$Z$2:$Z$500,0)),"")</f>
        <v/>
      </c>
      <c r="B166" s="4" t="str">
        <f>IFERROR(INDEX(样本到样信息汇总统计!B$2:B$500,MATCH(165,样本到样信息汇总统计!$Z$2:$Z$500,0)),"")</f>
        <v/>
      </c>
      <c r="C166" s="4" t="str">
        <f>IFERROR(INDEX(样本到样信息汇总统计!C$2:C$500,MATCH(165,样本到样信息汇总统计!$Z$2:$Z$500,0)),"")</f>
        <v/>
      </c>
      <c r="D166" s="4" t="str">
        <f>IFERROR(INDEX(样本到样信息汇总统计!D$2:D$500,MATCH(165,样本到样信息汇总统计!$Z$2:$Z$500,0)),"")</f>
        <v/>
      </c>
      <c r="E166" s="4" t="str">
        <f>IFERROR(INDEX(样本到样信息汇总统计!E$2:E$500,MATCH(165,样本到样信息汇总统计!$Z$2:$Z$500,0)),"")</f>
        <v/>
      </c>
      <c r="F166" s="4" t="str">
        <f>IFERROR(INDEX(样本到样信息汇总统计!F$2:F$500,MATCH(165,样本到样信息汇总统计!$Z$2:$Z$500,0)),"")</f>
        <v/>
      </c>
      <c r="G166" s="4" t="str">
        <f>IFERROR(INDEX(样本到样信息汇总统计!G$2:G$500,MATCH(165,样本到样信息汇总统计!$Z$2:$Z$500,0)),"")</f>
        <v/>
      </c>
      <c r="H166" s="4" t="str">
        <f>IFERROR(INDEX(样本到样信息汇总统计!H$2:H$500,MATCH(165,样本到样信息汇总统计!$Z$2:$Z$500,0)),"")</f>
        <v/>
      </c>
      <c r="I166" s="4" t="str">
        <f>IFERROR(INDEX(样本到样信息汇总统计!I$2:I$500,MATCH(165,样本到样信息汇总统计!$Z$2:$Z$500,0)),"")</f>
        <v/>
      </c>
      <c r="J166" s="4" t="str">
        <f>IFERROR(INDEX(样本到样信息汇总统计!J$2:J$500,MATCH(165,样本到样信息汇总统计!$Z$2:$Z$500,0)),"")</f>
        <v/>
      </c>
      <c r="K166" s="4" t="str">
        <f>IFERROR(INDEX(样本到样信息汇总统计!K$2:K$500,MATCH(165,样本到样信息汇总统计!$Z$2:$Z$500,0)),"")</f>
        <v/>
      </c>
      <c r="L166" s="4" t="str">
        <f>IFERROR(INDEX(样本到样信息汇总统计!L$2:L$500,MATCH(165,样本到样信息汇总统计!$Z$2:$Z$500,0)),"")</f>
        <v/>
      </c>
      <c r="M166" s="4" t="str">
        <f>IFERROR(INDEX(样本到样信息汇总统计!M$2:M$500,MATCH(165,样本到样信息汇总统计!$Z$2:$Z$500,0)),"")</f>
        <v/>
      </c>
      <c r="N166" s="4" t="str">
        <f>IFERROR(INDEX(样本到样信息汇总统计!N$2:N$500,MATCH(165,样本到样信息汇总统计!$Z$2:$Z$500,0)),"")</f>
        <v/>
      </c>
      <c r="O166" s="4" t="str">
        <f>IFERROR(INDEX(样本到样信息汇总统计!O$2:O$500,MATCH(165,样本到样信息汇总统计!$Z$2:$Z$500,0)),"")</f>
        <v/>
      </c>
      <c r="P166" s="4" t="str">
        <f>IFERROR(INDEX(样本到样信息汇总统计!P$2:P$500,MATCH(165,样本到样信息汇总统计!$Z$2:$Z$500,0)),"")</f>
        <v/>
      </c>
      <c r="Q166" s="4" t="str">
        <f>IFERROR(INDEX(样本到样信息汇总统计!Q$2:Q$500,MATCH(165,样本到样信息汇总统计!$Z$2:$Z$500,0)),"")</f>
        <v/>
      </c>
      <c r="R166" s="4" t="str">
        <f>IFERROR(INDEX(样本到样信息汇总统计!R$2:R$500,MATCH(165,样本到样信息汇总统计!$Z$2:$Z$500,0)),"")</f>
        <v/>
      </c>
      <c r="S166" s="4" t="str">
        <f>IFERROR(INDEX(样本到样信息汇总统计!S$2:S$500,MATCH(165,样本到样信息汇总统计!$Z$2:$Z$500,0)),"")</f>
        <v/>
      </c>
      <c r="T166" s="4" t="str">
        <f>IFERROR(INDEX(样本到样信息汇总统计!T$2:T$500,MATCH(165,样本到样信息汇总统计!$Z$2:$Z$500,0)),"")</f>
        <v/>
      </c>
      <c r="U166" s="4" t="str">
        <f>IFERROR(INDEX(样本到样信息汇总统计!U$2:U$500,MATCH(165,样本到样信息汇总统计!$Z$2:$Z$500,0)),"")</f>
        <v/>
      </c>
      <c r="V166" s="4" t="str">
        <f>IFERROR(INDEX(样本到样信息汇总统计!V$2:V$500,MATCH(165,样本到样信息汇总统计!$Z$2:$Z$500,0)),"")</f>
        <v/>
      </c>
      <c r="W166" s="4" t="str">
        <f>IFERROR(INDEX(样本到样信息汇总统计!W$2:W$500,MATCH(165,样本到样信息汇总统计!$Z$2:$Z$500,0)),"")</f>
        <v/>
      </c>
    </row>
    <row r="167" ht="14.5" spans="1:23">
      <c r="A167" s="8" t="str">
        <f>IFERROR(INDEX(样本到样信息汇总统计!A$2:A$500,MATCH(166,样本到样信息汇总统计!$Z$2:$Z$500,0)),"")</f>
        <v/>
      </c>
      <c r="B167" s="8" t="str">
        <f>IFERROR(INDEX(样本到样信息汇总统计!B$2:B$500,MATCH(166,样本到样信息汇总统计!$Z$2:$Z$500,0)),"")</f>
        <v/>
      </c>
      <c r="C167" s="8" t="str">
        <f>IFERROR(INDEX(样本到样信息汇总统计!C$2:C$500,MATCH(166,样本到样信息汇总统计!$Z$2:$Z$500,0)),"")</f>
        <v/>
      </c>
      <c r="D167" s="8" t="str">
        <f>IFERROR(INDEX(样本到样信息汇总统计!D$2:D$500,MATCH(166,样本到样信息汇总统计!$Z$2:$Z$500,0)),"")</f>
        <v/>
      </c>
      <c r="E167" s="8" t="str">
        <f>IFERROR(INDEX(样本到样信息汇总统计!E$2:E$500,MATCH(166,样本到样信息汇总统计!$Z$2:$Z$500,0)),"")</f>
        <v/>
      </c>
      <c r="F167" s="8" t="str">
        <f>IFERROR(INDEX(样本到样信息汇总统计!F$2:F$500,MATCH(166,样本到样信息汇总统计!$Z$2:$Z$500,0)),"")</f>
        <v/>
      </c>
      <c r="G167" s="8" t="str">
        <f>IFERROR(INDEX(样本到样信息汇总统计!G$2:G$500,MATCH(166,样本到样信息汇总统计!$Z$2:$Z$500,0)),"")</f>
        <v/>
      </c>
      <c r="H167" s="8" t="str">
        <f>IFERROR(INDEX(样本到样信息汇总统计!H$2:H$500,MATCH(166,样本到样信息汇总统计!$Z$2:$Z$500,0)),"")</f>
        <v/>
      </c>
      <c r="I167" s="8" t="str">
        <f>IFERROR(INDEX(样本到样信息汇总统计!I$2:I$500,MATCH(166,样本到样信息汇总统计!$Z$2:$Z$500,0)),"")</f>
        <v/>
      </c>
      <c r="J167" s="8" t="str">
        <f>IFERROR(INDEX(样本到样信息汇总统计!J$2:J$500,MATCH(166,样本到样信息汇总统计!$Z$2:$Z$500,0)),"")</f>
        <v/>
      </c>
      <c r="K167" s="8" t="str">
        <f>IFERROR(INDEX(样本到样信息汇总统计!K$2:K$500,MATCH(166,样本到样信息汇总统计!$Z$2:$Z$500,0)),"")</f>
        <v/>
      </c>
      <c r="L167" s="8" t="str">
        <f>IFERROR(INDEX(样本到样信息汇总统计!L$2:L$500,MATCH(166,样本到样信息汇总统计!$Z$2:$Z$500,0)),"")</f>
        <v/>
      </c>
      <c r="M167" s="8" t="str">
        <f>IFERROR(INDEX(样本到样信息汇总统计!M$2:M$500,MATCH(166,样本到样信息汇总统计!$Z$2:$Z$500,0)),"")</f>
        <v/>
      </c>
      <c r="N167" s="8" t="str">
        <f>IFERROR(INDEX(样本到样信息汇总统计!N$2:N$500,MATCH(166,样本到样信息汇总统计!$Z$2:$Z$500,0)),"")</f>
        <v/>
      </c>
      <c r="O167" s="8" t="str">
        <f>IFERROR(INDEX(样本到样信息汇总统计!O$2:O$500,MATCH(166,样本到样信息汇总统计!$Z$2:$Z$500,0)),"")</f>
        <v/>
      </c>
      <c r="P167" s="8" t="str">
        <f>IFERROR(INDEX(样本到样信息汇总统计!P$2:P$500,MATCH(166,样本到样信息汇总统计!$Z$2:$Z$500,0)),"")</f>
        <v/>
      </c>
      <c r="Q167" s="8" t="str">
        <f>IFERROR(INDEX(样本到样信息汇总统计!Q$2:Q$500,MATCH(166,样本到样信息汇总统计!$Z$2:$Z$500,0)),"")</f>
        <v/>
      </c>
      <c r="R167" s="8" t="str">
        <f>IFERROR(INDEX(样本到样信息汇总统计!R$2:R$500,MATCH(166,样本到样信息汇总统计!$Z$2:$Z$500,0)),"")</f>
        <v/>
      </c>
      <c r="S167" s="8" t="str">
        <f>IFERROR(INDEX(样本到样信息汇总统计!S$2:S$500,MATCH(166,样本到样信息汇总统计!$Z$2:$Z$500,0)),"")</f>
        <v/>
      </c>
      <c r="T167" s="8" t="str">
        <f>IFERROR(INDEX(样本到样信息汇总统计!T$2:T$500,MATCH(166,样本到样信息汇总统计!$Z$2:$Z$500,0)),"")</f>
        <v/>
      </c>
      <c r="U167" s="8" t="str">
        <f>IFERROR(INDEX(样本到样信息汇总统计!U$2:U$500,MATCH(166,样本到样信息汇总统计!$Z$2:$Z$500,0)),"")</f>
        <v/>
      </c>
      <c r="V167" s="8" t="str">
        <f>IFERROR(INDEX(样本到样信息汇总统计!V$2:V$500,MATCH(166,样本到样信息汇总统计!$Z$2:$Z$500,0)),"")</f>
        <v/>
      </c>
      <c r="W167" s="8" t="str">
        <f>IFERROR(INDEX(样本到样信息汇总统计!W$2:W$500,MATCH(166,样本到样信息汇总统计!$Z$2:$Z$500,0)),"")</f>
        <v/>
      </c>
    </row>
    <row r="168" ht="14.5" spans="1:23">
      <c r="A168" s="4" t="str">
        <f>IFERROR(INDEX(样本到样信息汇总统计!A$2:A$500,MATCH(167,样本到样信息汇总统计!$Z$2:$Z$500,0)),"")</f>
        <v/>
      </c>
      <c r="B168" s="4" t="str">
        <f>IFERROR(INDEX(样本到样信息汇总统计!B$2:B$500,MATCH(167,样本到样信息汇总统计!$Z$2:$Z$500,0)),"")</f>
        <v/>
      </c>
      <c r="C168" s="4" t="str">
        <f>IFERROR(INDEX(样本到样信息汇总统计!C$2:C$500,MATCH(167,样本到样信息汇总统计!$Z$2:$Z$500,0)),"")</f>
        <v/>
      </c>
      <c r="D168" s="4" t="str">
        <f>IFERROR(INDEX(样本到样信息汇总统计!D$2:D$500,MATCH(167,样本到样信息汇总统计!$Z$2:$Z$500,0)),"")</f>
        <v/>
      </c>
      <c r="E168" s="4" t="str">
        <f>IFERROR(INDEX(样本到样信息汇总统计!E$2:E$500,MATCH(167,样本到样信息汇总统计!$Z$2:$Z$500,0)),"")</f>
        <v/>
      </c>
      <c r="F168" s="4" t="str">
        <f>IFERROR(INDEX(样本到样信息汇总统计!F$2:F$500,MATCH(167,样本到样信息汇总统计!$Z$2:$Z$500,0)),"")</f>
        <v/>
      </c>
      <c r="G168" s="4" t="str">
        <f>IFERROR(INDEX(样本到样信息汇总统计!G$2:G$500,MATCH(167,样本到样信息汇总统计!$Z$2:$Z$500,0)),"")</f>
        <v/>
      </c>
      <c r="H168" s="4" t="str">
        <f>IFERROR(INDEX(样本到样信息汇总统计!H$2:H$500,MATCH(167,样本到样信息汇总统计!$Z$2:$Z$500,0)),"")</f>
        <v/>
      </c>
      <c r="I168" s="4" t="str">
        <f>IFERROR(INDEX(样本到样信息汇总统计!I$2:I$500,MATCH(167,样本到样信息汇总统计!$Z$2:$Z$500,0)),"")</f>
        <v/>
      </c>
      <c r="J168" s="4" t="str">
        <f>IFERROR(INDEX(样本到样信息汇总统计!J$2:J$500,MATCH(167,样本到样信息汇总统计!$Z$2:$Z$500,0)),"")</f>
        <v/>
      </c>
      <c r="K168" s="4" t="str">
        <f>IFERROR(INDEX(样本到样信息汇总统计!K$2:K$500,MATCH(167,样本到样信息汇总统计!$Z$2:$Z$500,0)),"")</f>
        <v/>
      </c>
      <c r="L168" s="4" t="str">
        <f>IFERROR(INDEX(样本到样信息汇总统计!L$2:L$500,MATCH(167,样本到样信息汇总统计!$Z$2:$Z$500,0)),"")</f>
        <v/>
      </c>
      <c r="M168" s="4" t="str">
        <f>IFERROR(INDEX(样本到样信息汇总统计!M$2:M$500,MATCH(167,样本到样信息汇总统计!$Z$2:$Z$500,0)),"")</f>
        <v/>
      </c>
      <c r="N168" s="4" t="str">
        <f>IFERROR(INDEX(样本到样信息汇总统计!N$2:N$500,MATCH(167,样本到样信息汇总统计!$Z$2:$Z$500,0)),"")</f>
        <v/>
      </c>
      <c r="O168" s="4" t="str">
        <f>IFERROR(INDEX(样本到样信息汇总统计!O$2:O$500,MATCH(167,样本到样信息汇总统计!$Z$2:$Z$500,0)),"")</f>
        <v/>
      </c>
      <c r="P168" s="4" t="str">
        <f>IFERROR(INDEX(样本到样信息汇总统计!P$2:P$500,MATCH(167,样本到样信息汇总统计!$Z$2:$Z$500,0)),"")</f>
        <v/>
      </c>
      <c r="Q168" s="4" t="str">
        <f>IFERROR(INDEX(样本到样信息汇总统计!Q$2:Q$500,MATCH(167,样本到样信息汇总统计!$Z$2:$Z$500,0)),"")</f>
        <v/>
      </c>
      <c r="R168" s="4" t="str">
        <f>IFERROR(INDEX(样本到样信息汇总统计!R$2:R$500,MATCH(167,样本到样信息汇总统计!$Z$2:$Z$500,0)),"")</f>
        <v/>
      </c>
      <c r="S168" s="4" t="str">
        <f>IFERROR(INDEX(样本到样信息汇总统计!S$2:S$500,MATCH(167,样本到样信息汇总统计!$Z$2:$Z$500,0)),"")</f>
        <v/>
      </c>
      <c r="T168" s="4" t="str">
        <f>IFERROR(INDEX(样本到样信息汇总统计!T$2:T$500,MATCH(167,样本到样信息汇总统计!$Z$2:$Z$500,0)),"")</f>
        <v/>
      </c>
      <c r="U168" s="4" t="str">
        <f>IFERROR(INDEX(样本到样信息汇总统计!U$2:U$500,MATCH(167,样本到样信息汇总统计!$Z$2:$Z$500,0)),"")</f>
        <v/>
      </c>
      <c r="V168" s="4" t="str">
        <f>IFERROR(INDEX(样本到样信息汇总统计!V$2:V$500,MATCH(167,样本到样信息汇总统计!$Z$2:$Z$500,0)),"")</f>
        <v/>
      </c>
      <c r="W168" s="4" t="str">
        <f>IFERROR(INDEX(样本到样信息汇总统计!W$2:W$500,MATCH(167,样本到样信息汇总统计!$Z$2:$Z$500,0)),"")</f>
        <v/>
      </c>
    </row>
    <row r="169" ht="14.5" spans="1:23">
      <c r="A169" s="8" t="str">
        <f>IFERROR(INDEX(样本到样信息汇总统计!A$2:A$500,MATCH(168,样本到样信息汇总统计!$Z$2:$Z$500,0)),"")</f>
        <v/>
      </c>
      <c r="B169" s="8" t="str">
        <f>IFERROR(INDEX(样本到样信息汇总统计!B$2:B$500,MATCH(168,样本到样信息汇总统计!$Z$2:$Z$500,0)),"")</f>
        <v/>
      </c>
      <c r="C169" s="8" t="str">
        <f>IFERROR(INDEX(样本到样信息汇总统计!C$2:C$500,MATCH(168,样本到样信息汇总统计!$Z$2:$Z$500,0)),"")</f>
        <v/>
      </c>
      <c r="D169" s="8" t="str">
        <f>IFERROR(INDEX(样本到样信息汇总统计!D$2:D$500,MATCH(168,样本到样信息汇总统计!$Z$2:$Z$500,0)),"")</f>
        <v/>
      </c>
      <c r="E169" s="8" t="str">
        <f>IFERROR(INDEX(样本到样信息汇总统计!E$2:E$500,MATCH(168,样本到样信息汇总统计!$Z$2:$Z$500,0)),"")</f>
        <v/>
      </c>
      <c r="F169" s="8" t="str">
        <f>IFERROR(INDEX(样本到样信息汇总统计!F$2:F$500,MATCH(168,样本到样信息汇总统计!$Z$2:$Z$500,0)),"")</f>
        <v/>
      </c>
      <c r="G169" s="8" t="str">
        <f>IFERROR(INDEX(样本到样信息汇总统计!G$2:G$500,MATCH(168,样本到样信息汇总统计!$Z$2:$Z$500,0)),"")</f>
        <v/>
      </c>
      <c r="H169" s="8" t="str">
        <f>IFERROR(INDEX(样本到样信息汇总统计!H$2:H$500,MATCH(168,样本到样信息汇总统计!$Z$2:$Z$500,0)),"")</f>
        <v/>
      </c>
      <c r="I169" s="8" t="str">
        <f>IFERROR(INDEX(样本到样信息汇总统计!I$2:I$500,MATCH(168,样本到样信息汇总统计!$Z$2:$Z$500,0)),"")</f>
        <v/>
      </c>
      <c r="J169" s="8" t="str">
        <f>IFERROR(INDEX(样本到样信息汇总统计!J$2:J$500,MATCH(168,样本到样信息汇总统计!$Z$2:$Z$500,0)),"")</f>
        <v/>
      </c>
      <c r="K169" s="8" t="str">
        <f>IFERROR(INDEX(样本到样信息汇总统计!K$2:K$500,MATCH(168,样本到样信息汇总统计!$Z$2:$Z$500,0)),"")</f>
        <v/>
      </c>
      <c r="L169" s="8" t="str">
        <f>IFERROR(INDEX(样本到样信息汇总统计!L$2:L$500,MATCH(168,样本到样信息汇总统计!$Z$2:$Z$500,0)),"")</f>
        <v/>
      </c>
      <c r="M169" s="8" t="str">
        <f>IFERROR(INDEX(样本到样信息汇总统计!M$2:M$500,MATCH(168,样本到样信息汇总统计!$Z$2:$Z$500,0)),"")</f>
        <v/>
      </c>
      <c r="N169" s="8" t="str">
        <f>IFERROR(INDEX(样本到样信息汇总统计!N$2:N$500,MATCH(168,样本到样信息汇总统计!$Z$2:$Z$500,0)),"")</f>
        <v/>
      </c>
      <c r="O169" s="8" t="str">
        <f>IFERROR(INDEX(样本到样信息汇总统计!O$2:O$500,MATCH(168,样本到样信息汇总统计!$Z$2:$Z$500,0)),"")</f>
        <v/>
      </c>
      <c r="P169" s="8" t="str">
        <f>IFERROR(INDEX(样本到样信息汇总统计!P$2:P$500,MATCH(168,样本到样信息汇总统计!$Z$2:$Z$500,0)),"")</f>
        <v/>
      </c>
      <c r="Q169" s="8" t="str">
        <f>IFERROR(INDEX(样本到样信息汇总统计!Q$2:Q$500,MATCH(168,样本到样信息汇总统计!$Z$2:$Z$500,0)),"")</f>
        <v/>
      </c>
      <c r="R169" s="8" t="str">
        <f>IFERROR(INDEX(样本到样信息汇总统计!R$2:R$500,MATCH(168,样本到样信息汇总统计!$Z$2:$Z$500,0)),"")</f>
        <v/>
      </c>
      <c r="S169" s="8" t="str">
        <f>IFERROR(INDEX(样本到样信息汇总统计!S$2:S$500,MATCH(168,样本到样信息汇总统计!$Z$2:$Z$500,0)),"")</f>
        <v/>
      </c>
      <c r="T169" s="8" t="str">
        <f>IFERROR(INDEX(样本到样信息汇总统计!T$2:T$500,MATCH(168,样本到样信息汇总统计!$Z$2:$Z$500,0)),"")</f>
        <v/>
      </c>
      <c r="U169" s="8" t="str">
        <f>IFERROR(INDEX(样本到样信息汇总统计!U$2:U$500,MATCH(168,样本到样信息汇总统计!$Z$2:$Z$500,0)),"")</f>
        <v/>
      </c>
      <c r="V169" s="8" t="str">
        <f>IFERROR(INDEX(样本到样信息汇总统计!V$2:V$500,MATCH(168,样本到样信息汇总统计!$Z$2:$Z$500,0)),"")</f>
        <v/>
      </c>
      <c r="W169" s="8" t="str">
        <f>IFERROR(INDEX(样本到样信息汇总统计!W$2:W$500,MATCH(168,样本到样信息汇总统计!$Z$2:$Z$500,0)),"")</f>
        <v/>
      </c>
    </row>
    <row r="170" ht="14.5" spans="1:23">
      <c r="A170" s="4" t="str">
        <f>IFERROR(INDEX(样本到样信息汇总统计!A$2:A$500,MATCH(169,样本到样信息汇总统计!$Z$2:$Z$500,0)),"")</f>
        <v/>
      </c>
      <c r="B170" s="4" t="str">
        <f>IFERROR(INDEX(样本到样信息汇总统计!B$2:B$500,MATCH(169,样本到样信息汇总统计!$Z$2:$Z$500,0)),"")</f>
        <v/>
      </c>
      <c r="C170" s="4" t="str">
        <f>IFERROR(INDEX(样本到样信息汇总统计!C$2:C$500,MATCH(169,样本到样信息汇总统计!$Z$2:$Z$500,0)),"")</f>
        <v/>
      </c>
      <c r="D170" s="4" t="str">
        <f>IFERROR(INDEX(样本到样信息汇总统计!D$2:D$500,MATCH(169,样本到样信息汇总统计!$Z$2:$Z$500,0)),"")</f>
        <v/>
      </c>
      <c r="E170" s="4" t="str">
        <f>IFERROR(INDEX(样本到样信息汇总统计!E$2:E$500,MATCH(169,样本到样信息汇总统计!$Z$2:$Z$500,0)),"")</f>
        <v/>
      </c>
      <c r="F170" s="4" t="str">
        <f>IFERROR(INDEX(样本到样信息汇总统计!F$2:F$500,MATCH(169,样本到样信息汇总统计!$Z$2:$Z$500,0)),"")</f>
        <v/>
      </c>
      <c r="G170" s="4" t="str">
        <f>IFERROR(INDEX(样本到样信息汇总统计!G$2:G$500,MATCH(169,样本到样信息汇总统计!$Z$2:$Z$500,0)),"")</f>
        <v/>
      </c>
      <c r="H170" s="4" t="str">
        <f>IFERROR(INDEX(样本到样信息汇总统计!H$2:H$500,MATCH(169,样本到样信息汇总统计!$Z$2:$Z$500,0)),"")</f>
        <v/>
      </c>
      <c r="I170" s="4" t="str">
        <f>IFERROR(INDEX(样本到样信息汇总统计!I$2:I$500,MATCH(169,样本到样信息汇总统计!$Z$2:$Z$500,0)),"")</f>
        <v/>
      </c>
      <c r="J170" s="4" t="str">
        <f>IFERROR(INDEX(样本到样信息汇总统计!J$2:J$500,MATCH(169,样本到样信息汇总统计!$Z$2:$Z$500,0)),"")</f>
        <v/>
      </c>
      <c r="K170" s="4" t="str">
        <f>IFERROR(INDEX(样本到样信息汇总统计!K$2:K$500,MATCH(169,样本到样信息汇总统计!$Z$2:$Z$500,0)),"")</f>
        <v/>
      </c>
      <c r="L170" s="4" t="str">
        <f>IFERROR(INDEX(样本到样信息汇总统计!L$2:L$500,MATCH(169,样本到样信息汇总统计!$Z$2:$Z$500,0)),"")</f>
        <v/>
      </c>
      <c r="M170" s="4" t="str">
        <f>IFERROR(INDEX(样本到样信息汇总统计!M$2:M$500,MATCH(169,样本到样信息汇总统计!$Z$2:$Z$500,0)),"")</f>
        <v/>
      </c>
      <c r="N170" s="4" t="str">
        <f>IFERROR(INDEX(样本到样信息汇总统计!N$2:N$500,MATCH(169,样本到样信息汇总统计!$Z$2:$Z$500,0)),"")</f>
        <v/>
      </c>
      <c r="O170" s="4" t="str">
        <f>IFERROR(INDEX(样本到样信息汇总统计!O$2:O$500,MATCH(169,样本到样信息汇总统计!$Z$2:$Z$500,0)),"")</f>
        <v/>
      </c>
      <c r="P170" s="4" t="str">
        <f>IFERROR(INDEX(样本到样信息汇总统计!P$2:P$500,MATCH(169,样本到样信息汇总统计!$Z$2:$Z$500,0)),"")</f>
        <v/>
      </c>
      <c r="Q170" s="4" t="str">
        <f>IFERROR(INDEX(样本到样信息汇总统计!Q$2:Q$500,MATCH(169,样本到样信息汇总统计!$Z$2:$Z$500,0)),"")</f>
        <v/>
      </c>
      <c r="R170" s="4" t="str">
        <f>IFERROR(INDEX(样本到样信息汇总统计!R$2:R$500,MATCH(169,样本到样信息汇总统计!$Z$2:$Z$500,0)),"")</f>
        <v/>
      </c>
      <c r="S170" s="4" t="str">
        <f>IFERROR(INDEX(样本到样信息汇总统计!S$2:S$500,MATCH(169,样本到样信息汇总统计!$Z$2:$Z$500,0)),"")</f>
        <v/>
      </c>
      <c r="T170" s="4" t="str">
        <f>IFERROR(INDEX(样本到样信息汇总统计!T$2:T$500,MATCH(169,样本到样信息汇总统计!$Z$2:$Z$500,0)),"")</f>
        <v/>
      </c>
      <c r="U170" s="4" t="str">
        <f>IFERROR(INDEX(样本到样信息汇总统计!U$2:U$500,MATCH(169,样本到样信息汇总统计!$Z$2:$Z$500,0)),"")</f>
        <v/>
      </c>
      <c r="V170" s="4" t="str">
        <f>IFERROR(INDEX(样本到样信息汇总统计!V$2:V$500,MATCH(169,样本到样信息汇总统计!$Z$2:$Z$500,0)),"")</f>
        <v/>
      </c>
      <c r="W170" s="4" t="str">
        <f>IFERROR(INDEX(样本到样信息汇总统计!W$2:W$500,MATCH(169,样本到样信息汇总统计!$Z$2:$Z$500,0)),"")</f>
        <v/>
      </c>
    </row>
    <row r="171" ht="14.5" spans="1:23">
      <c r="A171" s="8" t="str">
        <f>IFERROR(INDEX(样本到样信息汇总统计!A$2:A$500,MATCH(170,样本到样信息汇总统计!$Z$2:$Z$500,0)),"")</f>
        <v/>
      </c>
      <c r="B171" s="8" t="str">
        <f>IFERROR(INDEX(样本到样信息汇总统计!B$2:B$500,MATCH(170,样本到样信息汇总统计!$Z$2:$Z$500,0)),"")</f>
        <v/>
      </c>
      <c r="C171" s="8" t="str">
        <f>IFERROR(INDEX(样本到样信息汇总统计!C$2:C$500,MATCH(170,样本到样信息汇总统计!$Z$2:$Z$500,0)),"")</f>
        <v/>
      </c>
      <c r="D171" s="8" t="str">
        <f>IFERROR(INDEX(样本到样信息汇总统计!D$2:D$500,MATCH(170,样本到样信息汇总统计!$Z$2:$Z$500,0)),"")</f>
        <v/>
      </c>
      <c r="E171" s="8" t="str">
        <f>IFERROR(INDEX(样本到样信息汇总统计!E$2:E$500,MATCH(170,样本到样信息汇总统计!$Z$2:$Z$500,0)),"")</f>
        <v/>
      </c>
      <c r="F171" s="8" t="str">
        <f>IFERROR(INDEX(样本到样信息汇总统计!F$2:F$500,MATCH(170,样本到样信息汇总统计!$Z$2:$Z$500,0)),"")</f>
        <v/>
      </c>
      <c r="G171" s="8" t="str">
        <f>IFERROR(INDEX(样本到样信息汇总统计!G$2:G$500,MATCH(170,样本到样信息汇总统计!$Z$2:$Z$500,0)),"")</f>
        <v/>
      </c>
      <c r="H171" s="8" t="str">
        <f>IFERROR(INDEX(样本到样信息汇总统计!H$2:H$500,MATCH(170,样本到样信息汇总统计!$Z$2:$Z$500,0)),"")</f>
        <v/>
      </c>
      <c r="I171" s="8" t="str">
        <f>IFERROR(INDEX(样本到样信息汇总统计!I$2:I$500,MATCH(170,样本到样信息汇总统计!$Z$2:$Z$500,0)),"")</f>
        <v/>
      </c>
      <c r="J171" s="8" t="str">
        <f>IFERROR(INDEX(样本到样信息汇总统计!J$2:J$500,MATCH(170,样本到样信息汇总统计!$Z$2:$Z$500,0)),"")</f>
        <v/>
      </c>
      <c r="K171" s="8" t="str">
        <f>IFERROR(INDEX(样本到样信息汇总统计!K$2:K$500,MATCH(170,样本到样信息汇总统计!$Z$2:$Z$500,0)),"")</f>
        <v/>
      </c>
      <c r="L171" s="8" t="str">
        <f>IFERROR(INDEX(样本到样信息汇总统计!L$2:L$500,MATCH(170,样本到样信息汇总统计!$Z$2:$Z$500,0)),"")</f>
        <v/>
      </c>
      <c r="M171" s="8" t="str">
        <f>IFERROR(INDEX(样本到样信息汇总统计!M$2:M$500,MATCH(170,样本到样信息汇总统计!$Z$2:$Z$500,0)),"")</f>
        <v/>
      </c>
      <c r="N171" s="8" t="str">
        <f>IFERROR(INDEX(样本到样信息汇总统计!N$2:N$500,MATCH(170,样本到样信息汇总统计!$Z$2:$Z$500,0)),"")</f>
        <v/>
      </c>
      <c r="O171" s="8" t="str">
        <f>IFERROR(INDEX(样本到样信息汇总统计!O$2:O$500,MATCH(170,样本到样信息汇总统计!$Z$2:$Z$500,0)),"")</f>
        <v/>
      </c>
      <c r="P171" s="8" t="str">
        <f>IFERROR(INDEX(样本到样信息汇总统计!P$2:P$500,MATCH(170,样本到样信息汇总统计!$Z$2:$Z$500,0)),"")</f>
        <v/>
      </c>
      <c r="Q171" s="8" t="str">
        <f>IFERROR(INDEX(样本到样信息汇总统计!Q$2:Q$500,MATCH(170,样本到样信息汇总统计!$Z$2:$Z$500,0)),"")</f>
        <v/>
      </c>
      <c r="R171" s="8" t="str">
        <f>IFERROR(INDEX(样本到样信息汇总统计!R$2:R$500,MATCH(170,样本到样信息汇总统计!$Z$2:$Z$500,0)),"")</f>
        <v/>
      </c>
      <c r="S171" s="8" t="str">
        <f>IFERROR(INDEX(样本到样信息汇总统计!S$2:S$500,MATCH(170,样本到样信息汇总统计!$Z$2:$Z$500,0)),"")</f>
        <v/>
      </c>
      <c r="T171" s="8" t="str">
        <f>IFERROR(INDEX(样本到样信息汇总统计!T$2:T$500,MATCH(170,样本到样信息汇总统计!$Z$2:$Z$500,0)),"")</f>
        <v/>
      </c>
      <c r="U171" s="8" t="str">
        <f>IFERROR(INDEX(样本到样信息汇总统计!U$2:U$500,MATCH(170,样本到样信息汇总统计!$Z$2:$Z$500,0)),"")</f>
        <v/>
      </c>
      <c r="V171" s="8" t="str">
        <f>IFERROR(INDEX(样本到样信息汇总统计!V$2:V$500,MATCH(170,样本到样信息汇总统计!$Z$2:$Z$500,0)),"")</f>
        <v/>
      </c>
      <c r="W171" s="8" t="str">
        <f>IFERROR(INDEX(样本到样信息汇总统计!W$2:W$500,MATCH(170,样本到样信息汇总统计!$Z$2:$Z$500,0)),"")</f>
        <v/>
      </c>
    </row>
    <row r="172" ht="14.5" spans="1:23">
      <c r="A172" s="4" t="str">
        <f>IFERROR(INDEX(样本到样信息汇总统计!A$2:A$500,MATCH(171,样本到样信息汇总统计!$Z$2:$Z$500,0)),"")</f>
        <v/>
      </c>
      <c r="B172" s="4" t="str">
        <f>IFERROR(INDEX(样本到样信息汇总统计!B$2:B$500,MATCH(171,样本到样信息汇总统计!$Z$2:$Z$500,0)),"")</f>
        <v/>
      </c>
      <c r="C172" s="4" t="str">
        <f>IFERROR(INDEX(样本到样信息汇总统计!C$2:C$500,MATCH(171,样本到样信息汇总统计!$Z$2:$Z$500,0)),"")</f>
        <v/>
      </c>
      <c r="D172" s="4" t="str">
        <f>IFERROR(INDEX(样本到样信息汇总统计!D$2:D$500,MATCH(171,样本到样信息汇总统计!$Z$2:$Z$500,0)),"")</f>
        <v/>
      </c>
      <c r="E172" s="4" t="str">
        <f>IFERROR(INDEX(样本到样信息汇总统计!E$2:E$500,MATCH(171,样本到样信息汇总统计!$Z$2:$Z$500,0)),"")</f>
        <v/>
      </c>
      <c r="F172" s="4" t="str">
        <f>IFERROR(INDEX(样本到样信息汇总统计!F$2:F$500,MATCH(171,样本到样信息汇总统计!$Z$2:$Z$500,0)),"")</f>
        <v/>
      </c>
      <c r="G172" s="4" t="str">
        <f>IFERROR(INDEX(样本到样信息汇总统计!G$2:G$500,MATCH(171,样本到样信息汇总统计!$Z$2:$Z$500,0)),"")</f>
        <v/>
      </c>
      <c r="H172" s="4" t="str">
        <f>IFERROR(INDEX(样本到样信息汇总统计!H$2:H$500,MATCH(171,样本到样信息汇总统计!$Z$2:$Z$500,0)),"")</f>
        <v/>
      </c>
      <c r="I172" s="4" t="str">
        <f>IFERROR(INDEX(样本到样信息汇总统计!I$2:I$500,MATCH(171,样本到样信息汇总统计!$Z$2:$Z$500,0)),"")</f>
        <v/>
      </c>
      <c r="J172" s="4" t="str">
        <f>IFERROR(INDEX(样本到样信息汇总统计!J$2:J$500,MATCH(171,样本到样信息汇总统计!$Z$2:$Z$500,0)),"")</f>
        <v/>
      </c>
      <c r="K172" s="4" t="str">
        <f>IFERROR(INDEX(样本到样信息汇总统计!K$2:K$500,MATCH(171,样本到样信息汇总统计!$Z$2:$Z$500,0)),"")</f>
        <v/>
      </c>
      <c r="L172" s="4" t="str">
        <f>IFERROR(INDEX(样本到样信息汇总统计!L$2:L$500,MATCH(171,样本到样信息汇总统计!$Z$2:$Z$500,0)),"")</f>
        <v/>
      </c>
      <c r="M172" s="4" t="str">
        <f>IFERROR(INDEX(样本到样信息汇总统计!M$2:M$500,MATCH(171,样本到样信息汇总统计!$Z$2:$Z$500,0)),"")</f>
        <v/>
      </c>
      <c r="N172" s="4" t="str">
        <f>IFERROR(INDEX(样本到样信息汇总统计!N$2:N$500,MATCH(171,样本到样信息汇总统计!$Z$2:$Z$500,0)),"")</f>
        <v/>
      </c>
      <c r="O172" s="4" t="str">
        <f>IFERROR(INDEX(样本到样信息汇总统计!O$2:O$500,MATCH(171,样本到样信息汇总统计!$Z$2:$Z$500,0)),"")</f>
        <v/>
      </c>
      <c r="P172" s="4" t="str">
        <f>IFERROR(INDEX(样本到样信息汇总统计!P$2:P$500,MATCH(171,样本到样信息汇总统计!$Z$2:$Z$500,0)),"")</f>
        <v/>
      </c>
      <c r="Q172" s="4" t="str">
        <f>IFERROR(INDEX(样本到样信息汇总统计!Q$2:Q$500,MATCH(171,样本到样信息汇总统计!$Z$2:$Z$500,0)),"")</f>
        <v/>
      </c>
      <c r="R172" s="4" t="str">
        <f>IFERROR(INDEX(样本到样信息汇总统计!R$2:R$500,MATCH(171,样本到样信息汇总统计!$Z$2:$Z$500,0)),"")</f>
        <v/>
      </c>
      <c r="S172" s="4" t="str">
        <f>IFERROR(INDEX(样本到样信息汇总统计!S$2:S$500,MATCH(171,样本到样信息汇总统计!$Z$2:$Z$500,0)),"")</f>
        <v/>
      </c>
      <c r="T172" s="4" t="str">
        <f>IFERROR(INDEX(样本到样信息汇总统计!T$2:T$500,MATCH(171,样本到样信息汇总统计!$Z$2:$Z$500,0)),"")</f>
        <v/>
      </c>
      <c r="U172" s="4" t="str">
        <f>IFERROR(INDEX(样本到样信息汇总统计!U$2:U$500,MATCH(171,样本到样信息汇总统计!$Z$2:$Z$500,0)),"")</f>
        <v/>
      </c>
      <c r="V172" s="4" t="str">
        <f>IFERROR(INDEX(样本到样信息汇总统计!V$2:V$500,MATCH(171,样本到样信息汇总统计!$Z$2:$Z$500,0)),"")</f>
        <v/>
      </c>
      <c r="W172" s="4" t="str">
        <f>IFERROR(INDEX(样本到样信息汇总统计!W$2:W$500,MATCH(171,样本到样信息汇总统计!$Z$2:$Z$500,0)),"")</f>
        <v/>
      </c>
    </row>
    <row r="173" ht="14.5" spans="1:23">
      <c r="A173" s="8" t="str">
        <f>IFERROR(INDEX(样本到样信息汇总统计!A$2:A$500,MATCH(172,样本到样信息汇总统计!$Z$2:$Z$500,0)),"")</f>
        <v/>
      </c>
      <c r="B173" s="8" t="str">
        <f>IFERROR(INDEX(样本到样信息汇总统计!B$2:B$500,MATCH(172,样本到样信息汇总统计!$Z$2:$Z$500,0)),"")</f>
        <v/>
      </c>
      <c r="C173" s="8" t="str">
        <f>IFERROR(INDEX(样本到样信息汇总统计!C$2:C$500,MATCH(172,样本到样信息汇总统计!$Z$2:$Z$500,0)),"")</f>
        <v/>
      </c>
      <c r="D173" s="8" t="str">
        <f>IFERROR(INDEX(样本到样信息汇总统计!D$2:D$500,MATCH(172,样本到样信息汇总统计!$Z$2:$Z$500,0)),"")</f>
        <v/>
      </c>
      <c r="E173" s="8" t="str">
        <f>IFERROR(INDEX(样本到样信息汇总统计!E$2:E$500,MATCH(172,样本到样信息汇总统计!$Z$2:$Z$500,0)),"")</f>
        <v/>
      </c>
      <c r="F173" s="8" t="str">
        <f>IFERROR(INDEX(样本到样信息汇总统计!F$2:F$500,MATCH(172,样本到样信息汇总统计!$Z$2:$Z$500,0)),"")</f>
        <v/>
      </c>
      <c r="G173" s="8" t="str">
        <f>IFERROR(INDEX(样本到样信息汇总统计!G$2:G$500,MATCH(172,样本到样信息汇总统计!$Z$2:$Z$500,0)),"")</f>
        <v/>
      </c>
      <c r="H173" s="8" t="str">
        <f>IFERROR(INDEX(样本到样信息汇总统计!H$2:H$500,MATCH(172,样本到样信息汇总统计!$Z$2:$Z$500,0)),"")</f>
        <v/>
      </c>
      <c r="I173" s="8" t="str">
        <f>IFERROR(INDEX(样本到样信息汇总统计!I$2:I$500,MATCH(172,样本到样信息汇总统计!$Z$2:$Z$500,0)),"")</f>
        <v/>
      </c>
      <c r="J173" s="8" t="str">
        <f>IFERROR(INDEX(样本到样信息汇总统计!J$2:J$500,MATCH(172,样本到样信息汇总统计!$Z$2:$Z$500,0)),"")</f>
        <v/>
      </c>
      <c r="K173" s="8" t="str">
        <f>IFERROR(INDEX(样本到样信息汇总统计!K$2:K$500,MATCH(172,样本到样信息汇总统计!$Z$2:$Z$500,0)),"")</f>
        <v/>
      </c>
      <c r="L173" s="8" t="str">
        <f>IFERROR(INDEX(样本到样信息汇总统计!L$2:L$500,MATCH(172,样本到样信息汇总统计!$Z$2:$Z$500,0)),"")</f>
        <v/>
      </c>
      <c r="M173" s="8" t="str">
        <f>IFERROR(INDEX(样本到样信息汇总统计!M$2:M$500,MATCH(172,样本到样信息汇总统计!$Z$2:$Z$500,0)),"")</f>
        <v/>
      </c>
      <c r="N173" s="8" t="str">
        <f>IFERROR(INDEX(样本到样信息汇总统计!N$2:N$500,MATCH(172,样本到样信息汇总统计!$Z$2:$Z$500,0)),"")</f>
        <v/>
      </c>
      <c r="O173" s="8" t="str">
        <f>IFERROR(INDEX(样本到样信息汇总统计!O$2:O$500,MATCH(172,样本到样信息汇总统计!$Z$2:$Z$500,0)),"")</f>
        <v/>
      </c>
      <c r="P173" s="8" t="str">
        <f>IFERROR(INDEX(样本到样信息汇总统计!P$2:P$500,MATCH(172,样本到样信息汇总统计!$Z$2:$Z$500,0)),"")</f>
        <v/>
      </c>
      <c r="Q173" s="8" t="str">
        <f>IFERROR(INDEX(样本到样信息汇总统计!Q$2:Q$500,MATCH(172,样本到样信息汇总统计!$Z$2:$Z$500,0)),"")</f>
        <v/>
      </c>
      <c r="R173" s="8" t="str">
        <f>IFERROR(INDEX(样本到样信息汇总统计!R$2:R$500,MATCH(172,样本到样信息汇总统计!$Z$2:$Z$500,0)),"")</f>
        <v/>
      </c>
      <c r="S173" s="8" t="str">
        <f>IFERROR(INDEX(样本到样信息汇总统计!S$2:S$500,MATCH(172,样本到样信息汇总统计!$Z$2:$Z$500,0)),"")</f>
        <v/>
      </c>
      <c r="T173" s="8" t="str">
        <f>IFERROR(INDEX(样本到样信息汇总统计!T$2:T$500,MATCH(172,样本到样信息汇总统计!$Z$2:$Z$500,0)),"")</f>
        <v/>
      </c>
      <c r="U173" s="8" t="str">
        <f>IFERROR(INDEX(样本到样信息汇总统计!U$2:U$500,MATCH(172,样本到样信息汇总统计!$Z$2:$Z$500,0)),"")</f>
        <v/>
      </c>
      <c r="V173" s="8" t="str">
        <f>IFERROR(INDEX(样本到样信息汇总统计!V$2:V$500,MATCH(172,样本到样信息汇总统计!$Z$2:$Z$500,0)),"")</f>
        <v/>
      </c>
      <c r="W173" s="8" t="str">
        <f>IFERROR(INDEX(样本到样信息汇总统计!W$2:W$500,MATCH(172,样本到样信息汇总统计!$Z$2:$Z$500,0)),"")</f>
        <v/>
      </c>
    </row>
    <row r="174" ht="14.5" spans="1:23">
      <c r="A174" s="4" t="str">
        <f>IFERROR(INDEX(样本到样信息汇总统计!A$2:A$500,MATCH(173,样本到样信息汇总统计!$Z$2:$Z$500,0)),"")</f>
        <v/>
      </c>
      <c r="B174" s="4" t="str">
        <f>IFERROR(INDEX(样本到样信息汇总统计!B$2:B$500,MATCH(173,样本到样信息汇总统计!$Z$2:$Z$500,0)),"")</f>
        <v/>
      </c>
      <c r="C174" s="4" t="str">
        <f>IFERROR(INDEX(样本到样信息汇总统计!C$2:C$500,MATCH(173,样本到样信息汇总统计!$Z$2:$Z$500,0)),"")</f>
        <v/>
      </c>
      <c r="D174" s="4" t="str">
        <f>IFERROR(INDEX(样本到样信息汇总统计!D$2:D$500,MATCH(173,样本到样信息汇总统计!$Z$2:$Z$500,0)),"")</f>
        <v/>
      </c>
      <c r="E174" s="4" t="str">
        <f>IFERROR(INDEX(样本到样信息汇总统计!E$2:E$500,MATCH(173,样本到样信息汇总统计!$Z$2:$Z$500,0)),"")</f>
        <v/>
      </c>
      <c r="F174" s="4" t="str">
        <f>IFERROR(INDEX(样本到样信息汇总统计!F$2:F$500,MATCH(173,样本到样信息汇总统计!$Z$2:$Z$500,0)),"")</f>
        <v/>
      </c>
      <c r="G174" s="4" t="str">
        <f>IFERROR(INDEX(样本到样信息汇总统计!G$2:G$500,MATCH(173,样本到样信息汇总统计!$Z$2:$Z$500,0)),"")</f>
        <v/>
      </c>
      <c r="H174" s="4" t="str">
        <f>IFERROR(INDEX(样本到样信息汇总统计!H$2:H$500,MATCH(173,样本到样信息汇总统计!$Z$2:$Z$500,0)),"")</f>
        <v/>
      </c>
      <c r="I174" s="4" t="str">
        <f>IFERROR(INDEX(样本到样信息汇总统计!I$2:I$500,MATCH(173,样本到样信息汇总统计!$Z$2:$Z$500,0)),"")</f>
        <v/>
      </c>
      <c r="J174" s="4" t="str">
        <f>IFERROR(INDEX(样本到样信息汇总统计!J$2:J$500,MATCH(173,样本到样信息汇总统计!$Z$2:$Z$500,0)),"")</f>
        <v/>
      </c>
      <c r="K174" s="4" t="str">
        <f>IFERROR(INDEX(样本到样信息汇总统计!K$2:K$500,MATCH(173,样本到样信息汇总统计!$Z$2:$Z$500,0)),"")</f>
        <v/>
      </c>
      <c r="L174" s="4" t="str">
        <f>IFERROR(INDEX(样本到样信息汇总统计!L$2:L$500,MATCH(173,样本到样信息汇总统计!$Z$2:$Z$500,0)),"")</f>
        <v/>
      </c>
      <c r="M174" s="4" t="str">
        <f>IFERROR(INDEX(样本到样信息汇总统计!M$2:M$500,MATCH(173,样本到样信息汇总统计!$Z$2:$Z$500,0)),"")</f>
        <v/>
      </c>
      <c r="N174" s="4" t="str">
        <f>IFERROR(INDEX(样本到样信息汇总统计!N$2:N$500,MATCH(173,样本到样信息汇总统计!$Z$2:$Z$500,0)),"")</f>
        <v/>
      </c>
      <c r="O174" s="4" t="str">
        <f>IFERROR(INDEX(样本到样信息汇总统计!O$2:O$500,MATCH(173,样本到样信息汇总统计!$Z$2:$Z$500,0)),"")</f>
        <v/>
      </c>
      <c r="P174" s="4" t="str">
        <f>IFERROR(INDEX(样本到样信息汇总统计!P$2:P$500,MATCH(173,样本到样信息汇总统计!$Z$2:$Z$500,0)),"")</f>
        <v/>
      </c>
      <c r="Q174" s="4" t="str">
        <f>IFERROR(INDEX(样本到样信息汇总统计!Q$2:Q$500,MATCH(173,样本到样信息汇总统计!$Z$2:$Z$500,0)),"")</f>
        <v/>
      </c>
      <c r="R174" s="4" t="str">
        <f>IFERROR(INDEX(样本到样信息汇总统计!R$2:R$500,MATCH(173,样本到样信息汇总统计!$Z$2:$Z$500,0)),"")</f>
        <v/>
      </c>
      <c r="S174" s="4" t="str">
        <f>IFERROR(INDEX(样本到样信息汇总统计!S$2:S$500,MATCH(173,样本到样信息汇总统计!$Z$2:$Z$500,0)),"")</f>
        <v/>
      </c>
      <c r="T174" s="4" t="str">
        <f>IFERROR(INDEX(样本到样信息汇总统计!T$2:T$500,MATCH(173,样本到样信息汇总统计!$Z$2:$Z$500,0)),"")</f>
        <v/>
      </c>
      <c r="U174" s="4" t="str">
        <f>IFERROR(INDEX(样本到样信息汇总统计!U$2:U$500,MATCH(173,样本到样信息汇总统计!$Z$2:$Z$500,0)),"")</f>
        <v/>
      </c>
      <c r="V174" s="4" t="str">
        <f>IFERROR(INDEX(样本到样信息汇总统计!V$2:V$500,MATCH(173,样本到样信息汇总统计!$Z$2:$Z$500,0)),"")</f>
        <v/>
      </c>
      <c r="W174" s="4" t="str">
        <f>IFERROR(INDEX(样本到样信息汇总统计!W$2:W$500,MATCH(173,样本到样信息汇总统计!$Z$2:$Z$500,0)),"")</f>
        <v/>
      </c>
    </row>
    <row r="175" ht="14.5" spans="1:23">
      <c r="A175" s="8" t="str">
        <f>IFERROR(INDEX(样本到样信息汇总统计!A$2:A$500,MATCH(174,样本到样信息汇总统计!$Z$2:$Z$500,0)),"")</f>
        <v/>
      </c>
      <c r="B175" s="8" t="str">
        <f>IFERROR(INDEX(样本到样信息汇总统计!B$2:B$500,MATCH(174,样本到样信息汇总统计!$Z$2:$Z$500,0)),"")</f>
        <v/>
      </c>
      <c r="C175" s="8" t="str">
        <f>IFERROR(INDEX(样本到样信息汇总统计!C$2:C$500,MATCH(174,样本到样信息汇总统计!$Z$2:$Z$500,0)),"")</f>
        <v/>
      </c>
      <c r="D175" s="8" t="str">
        <f>IFERROR(INDEX(样本到样信息汇总统计!D$2:D$500,MATCH(174,样本到样信息汇总统计!$Z$2:$Z$500,0)),"")</f>
        <v/>
      </c>
      <c r="E175" s="8" t="str">
        <f>IFERROR(INDEX(样本到样信息汇总统计!E$2:E$500,MATCH(174,样本到样信息汇总统计!$Z$2:$Z$500,0)),"")</f>
        <v/>
      </c>
      <c r="F175" s="8" t="str">
        <f>IFERROR(INDEX(样本到样信息汇总统计!F$2:F$500,MATCH(174,样本到样信息汇总统计!$Z$2:$Z$500,0)),"")</f>
        <v/>
      </c>
      <c r="G175" s="8" t="str">
        <f>IFERROR(INDEX(样本到样信息汇总统计!G$2:G$500,MATCH(174,样本到样信息汇总统计!$Z$2:$Z$500,0)),"")</f>
        <v/>
      </c>
      <c r="H175" s="8" t="str">
        <f>IFERROR(INDEX(样本到样信息汇总统计!H$2:H$500,MATCH(174,样本到样信息汇总统计!$Z$2:$Z$500,0)),"")</f>
        <v/>
      </c>
      <c r="I175" s="8" t="str">
        <f>IFERROR(INDEX(样本到样信息汇总统计!I$2:I$500,MATCH(174,样本到样信息汇总统计!$Z$2:$Z$500,0)),"")</f>
        <v/>
      </c>
      <c r="J175" s="8" t="str">
        <f>IFERROR(INDEX(样本到样信息汇总统计!J$2:J$500,MATCH(174,样本到样信息汇总统计!$Z$2:$Z$500,0)),"")</f>
        <v/>
      </c>
      <c r="K175" s="8" t="str">
        <f>IFERROR(INDEX(样本到样信息汇总统计!K$2:K$500,MATCH(174,样本到样信息汇总统计!$Z$2:$Z$500,0)),"")</f>
        <v/>
      </c>
      <c r="L175" s="8" t="str">
        <f>IFERROR(INDEX(样本到样信息汇总统计!L$2:L$500,MATCH(174,样本到样信息汇总统计!$Z$2:$Z$500,0)),"")</f>
        <v/>
      </c>
      <c r="M175" s="8" t="str">
        <f>IFERROR(INDEX(样本到样信息汇总统计!M$2:M$500,MATCH(174,样本到样信息汇总统计!$Z$2:$Z$500,0)),"")</f>
        <v/>
      </c>
      <c r="N175" s="8" t="str">
        <f>IFERROR(INDEX(样本到样信息汇总统计!N$2:N$500,MATCH(174,样本到样信息汇总统计!$Z$2:$Z$500,0)),"")</f>
        <v/>
      </c>
      <c r="O175" s="8" t="str">
        <f>IFERROR(INDEX(样本到样信息汇总统计!O$2:O$500,MATCH(174,样本到样信息汇总统计!$Z$2:$Z$500,0)),"")</f>
        <v/>
      </c>
      <c r="P175" s="8" t="str">
        <f>IFERROR(INDEX(样本到样信息汇总统计!P$2:P$500,MATCH(174,样本到样信息汇总统计!$Z$2:$Z$500,0)),"")</f>
        <v/>
      </c>
      <c r="Q175" s="8" t="str">
        <f>IFERROR(INDEX(样本到样信息汇总统计!Q$2:Q$500,MATCH(174,样本到样信息汇总统计!$Z$2:$Z$500,0)),"")</f>
        <v/>
      </c>
      <c r="R175" s="8" t="str">
        <f>IFERROR(INDEX(样本到样信息汇总统计!R$2:R$500,MATCH(174,样本到样信息汇总统计!$Z$2:$Z$500,0)),"")</f>
        <v/>
      </c>
      <c r="S175" s="8" t="str">
        <f>IFERROR(INDEX(样本到样信息汇总统计!S$2:S$500,MATCH(174,样本到样信息汇总统计!$Z$2:$Z$500,0)),"")</f>
        <v/>
      </c>
      <c r="T175" s="8" t="str">
        <f>IFERROR(INDEX(样本到样信息汇总统计!T$2:T$500,MATCH(174,样本到样信息汇总统计!$Z$2:$Z$500,0)),"")</f>
        <v/>
      </c>
      <c r="U175" s="8" t="str">
        <f>IFERROR(INDEX(样本到样信息汇总统计!U$2:U$500,MATCH(174,样本到样信息汇总统计!$Z$2:$Z$500,0)),"")</f>
        <v/>
      </c>
      <c r="V175" s="8" t="str">
        <f>IFERROR(INDEX(样本到样信息汇总统计!V$2:V$500,MATCH(174,样本到样信息汇总统计!$Z$2:$Z$500,0)),"")</f>
        <v/>
      </c>
      <c r="W175" s="8" t="str">
        <f>IFERROR(INDEX(样本到样信息汇总统计!W$2:W$500,MATCH(174,样本到样信息汇总统计!$Z$2:$Z$500,0)),"")</f>
        <v/>
      </c>
    </row>
    <row r="176" ht="14.5" spans="1:23">
      <c r="A176" s="4" t="str">
        <f>IFERROR(INDEX(样本到样信息汇总统计!A$2:A$500,MATCH(175,样本到样信息汇总统计!$Z$2:$Z$500,0)),"")</f>
        <v/>
      </c>
      <c r="B176" s="4" t="str">
        <f>IFERROR(INDEX(样本到样信息汇总统计!B$2:B$500,MATCH(175,样本到样信息汇总统计!$Z$2:$Z$500,0)),"")</f>
        <v/>
      </c>
      <c r="C176" s="4" t="str">
        <f>IFERROR(INDEX(样本到样信息汇总统计!C$2:C$500,MATCH(175,样本到样信息汇总统计!$Z$2:$Z$500,0)),"")</f>
        <v/>
      </c>
      <c r="D176" s="4" t="str">
        <f>IFERROR(INDEX(样本到样信息汇总统计!D$2:D$500,MATCH(175,样本到样信息汇总统计!$Z$2:$Z$500,0)),"")</f>
        <v/>
      </c>
      <c r="E176" s="4" t="str">
        <f>IFERROR(INDEX(样本到样信息汇总统计!E$2:E$500,MATCH(175,样本到样信息汇总统计!$Z$2:$Z$500,0)),"")</f>
        <v/>
      </c>
      <c r="F176" s="4" t="str">
        <f>IFERROR(INDEX(样本到样信息汇总统计!F$2:F$500,MATCH(175,样本到样信息汇总统计!$Z$2:$Z$500,0)),"")</f>
        <v/>
      </c>
      <c r="G176" s="4" t="str">
        <f>IFERROR(INDEX(样本到样信息汇总统计!G$2:G$500,MATCH(175,样本到样信息汇总统计!$Z$2:$Z$500,0)),"")</f>
        <v/>
      </c>
      <c r="H176" s="4" t="str">
        <f>IFERROR(INDEX(样本到样信息汇总统计!H$2:H$500,MATCH(175,样本到样信息汇总统计!$Z$2:$Z$500,0)),"")</f>
        <v/>
      </c>
      <c r="I176" s="4" t="str">
        <f>IFERROR(INDEX(样本到样信息汇总统计!I$2:I$500,MATCH(175,样本到样信息汇总统计!$Z$2:$Z$500,0)),"")</f>
        <v/>
      </c>
      <c r="J176" s="4" t="str">
        <f>IFERROR(INDEX(样本到样信息汇总统计!J$2:J$500,MATCH(175,样本到样信息汇总统计!$Z$2:$Z$500,0)),"")</f>
        <v/>
      </c>
      <c r="K176" s="4" t="str">
        <f>IFERROR(INDEX(样本到样信息汇总统计!K$2:K$500,MATCH(175,样本到样信息汇总统计!$Z$2:$Z$500,0)),"")</f>
        <v/>
      </c>
      <c r="L176" s="4" t="str">
        <f>IFERROR(INDEX(样本到样信息汇总统计!L$2:L$500,MATCH(175,样本到样信息汇总统计!$Z$2:$Z$500,0)),"")</f>
        <v/>
      </c>
      <c r="M176" s="4" t="str">
        <f>IFERROR(INDEX(样本到样信息汇总统计!M$2:M$500,MATCH(175,样本到样信息汇总统计!$Z$2:$Z$500,0)),"")</f>
        <v/>
      </c>
      <c r="N176" s="4" t="str">
        <f>IFERROR(INDEX(样本到样信息汇总统计!N$2:N$500,MATCH(175,样本到样信息汇总统计!$Z$2:$Z$500,0)),"")</f>
        <v/>
      </c>
      <c r="O176" s="4" t="str">
        <f>IFERROR(INDEX(样本到样信息汇总统计!O$2:O$500,MATCH(175,样本到样信息汇总统计!$Z$2:$Z$500,0)),"")</f>
        <v/>
      </c>
      <c r="P176" s="4" t="str">
        <f>IFERROR(INDEX(样本到样信息汇总统计!P$2:P$500,MATCH(175,样本到样信息汇总统计!$Z$2:$Z$500,0)),"")</f>
        <v/>
      </c>
      <c r="Q176" s="4" t="str">
        <f>IFERROR(INDEX(样本到样信息汇总统计!Q$2:Q$500,MATCH(175,样本到样信息汇总统计!$Z$2:$Z$500,0)),"")</f>
        <v/>
      </c>
      <c r="R176" s="4" t="str">
        <f>IFERROR(INDEX(样本到样信息汇总统计!R$2:R$500,MATCH(175,样本到样信息汇总统计!$Z$2:$Z$500,0)),"")</f>
        <v/>
      </c>
      <c r="S176" s="4" t="str">
        <f>IFERROR(INDEX(样本到样信息汇总统计!S$2:S$500,MATCH(175,样本到样信息汇总统计!$Z$2:$Z$500,0)),"")</f>
        <v/>
      </c>
      <c r="T176" s="4" t="str">
        <f>IFERROR(INDEX(样本到样信息汇总统计!T$2:T$500,MATCH(175,样本到样信息汇总统计!$Z$2:$Z$500,0)),"")</f>
        <v/>
      </c>
      <c r="U176" s="4" t="str">
        <f>IFERROR(INDEX(样本到样信息汇总统计!U$2:U$500,MATCH(175,样本到样信息汇总统计!$Z$2:$Z$500,0)),"")</f>
        <v/>
      </c>
      <c r="V176" s="4" t="str">
        <f>IFERROR(INDEX(样本到样信息汇总统计!V$2:V$500,MATCH(175,样本到样信息汇总统计!$Z$2:$Z$500,0)),"")</f>
        <v/>
      </c>
      <c r="W176" s="4" t="str">
        <f>IFERROR(INDEX(样本到样信息汇总统计!W$2:W$500,MATCH(175,样本到样信息汇总统计!$Z$2:$Z$500,0)),"")</f>
        <v/>
      </c>
    </row>
    <row r="177" ht="14.5" spans="1:23">
      <c r="A177" s="8" t="str">
        <f>IFERROR(INDEX(样本到样信息汇总统计!A$2:A$500,MATCH(176,样本到样信息汇总统计!$Z$2:$Z$500,0)),"")</f>
        <v/>
      </c>
      <c r="B177" s="8" t="str">
        <f>IFERROR(INDEX(样本到样信息汇总统计!B$2:B$500,MATCH(176,样本到样信息汇总统计!$Z$2:$Z$500,0)),"")</f>
        <v/>
      </c>
      <c r="C177" s="8" t="str">
        <f>IFERROR(INDEX(样本到样信息汇总统计!C$2:C$500,MATCH(176,样本到样信息汇总统计!$Z$2:$Z$500,0)),"")</f>
        <v/>
      </c>
      <c r="D177" s="8" t="str">
        <f>IFERROR(INDEX(样本到样信息汇总统计!D$2:D$500,MATCH(176,样本到样信息汇总统计!$Z$2:$Z$500,0)),"")</f>
        <v/>
      </c>
      <c r="E177" s="8" t="str">
        <f>IFERROR(INDEX(样本到样信息汇总统计!E$2:E$500,MATCH(176,样本到样信息汇总统计!$Z$2:$Z$500,0)),"")</f>
        <v/>
      </c>
      <c r="F177" s="8" t="str">
        <f>IFERROR(INDEX(样本到样信息汇总统计!F$2:F$500,MATCH(176,样本到样信息汇总统计!$Z$2:$Z$500,0)),"")</f>
        <v/>
      </c>
      <c r="G177" s="8" t="str">
        <f>IFERROR(INDEX(样本到样信息汇总统计!G$2:G$500,MATCH(176,样本到样信息汇总统计!$Z$2:$Z$500,0)),"")</f>
        <v/>
      </c>
      <c r="H177" s="8" t="str">
        <f>IFERROR(INDEX(样本到样信息汇总统计!H$2:H$500,MATCH(176,样本到样信息汇总统计!$Z$2:$Z$500,0)),"")</f>
        <v/>
      </c>
      <c r="I177" s="8" t="str">
        <f>IFERROR(INDEX(样本到样信息汇总统计!I$2:I$500,MATCH(176,样本到样信息汇总统计!$Z$2:$Z$500,0)),"")</f>
        <v/>
      </c>
      <c r="J177" s="8" t="str">
        <f>IFERROR(INDEX(样本到样信息汇总统计!J$2:J$500,MATCH(176,样本到样信息汇总统计!$Z$2:$Z$500,0)),"")</f>
        <v/>
      </c>
      <c r="K177" s="8" t="str">
        <f>IFERROR(INDEX(样本到样信息汇总统计!K$2:K$500,MATCH(176,样本到样信息汇总统计!$Z$2:$Z$500,0)),"")</f>
        <v/>
      </c>
      <c r="L177" s="8" t="str">
        <f>IFERROR(INDEX(样本到样信息汇总统计!L$2:L$500,MATCH(176,样本到样信息汇总统计!$Z$2:$Z$500,0)),"")</f>
        <v/>
      </c>
      <c r="M177" s="8" t="str">
        <f>IFERROR(INDEX(样本到样信息汇总统计!M$2:M$500,MATCH(176,样本到样信息汇总统计!$Z$2:$Z$500,0)),"")</f>
        <v/>
      </c>
      <c r="N177" s="8" t="str">
        <f>IFERROR(INDEX(样本到样信息汇总统计!N$2:N$500,MATCH(176,样本到样信息汇总统计!$Z$2:$Z$500,0)),"")</f>
        <v/>
      </c>
      <c r="O177" s="8" t="str">
        <f>IFERROR(INDEX(样本到样信息汇总统计!O$2:O$500,MATCH(176,样本到样信息汇总统计!$Z$2:$Z$500,0)),"")</f>
        <v/>
      </c>
      <c r="P177" s="8" t="str">
        <f>IFERROR(INDEX(样本到样信息汇总统计!P$2:P$500,MATCH(176,样本到样信息汇总统计!$Z$2:$Z$500,0)),"")</f>
        <v/>
      </c>
      <c r="Q177" s="8" t="str">
        <f>IFERROR(INDEX(样本到样信息汇总统计!Q$2:Q$500,MATCH(176,样本到样信息汇总统计!$Z$2:$Z$500,0)),"")</f>
        <v/>
      </c>
      <c r="R177" s="8" t="str">
        <f>IFERROR(INDEX(样本到样信息汇总统计!R$2:R$500,MATCH(176,样本到样信息汇总统计!$Z$2:$Z$500,0)),"")</f>
        <v/>
      </c>
      <c r="S177" s="8" t="str">
        <f>IFERROR(INDEX(样本到样信息汇总统计!S$2:S$500,MATCH(176,样本到样信息汇总统计!$Z$2:$Z$500,0)),"")</f>
        <v/>
      </c>
      <c r="T177" s="8" t="str">
        <f>IFERROR(INDEX(样本到样信息汇总统计!T$2:T$500,MATCH(176,样本到样信息汇总统计!$Z$2:$Z$500,0)),"")</f>
        <v/>
      </c>
      <c r="U177" s="8" t="str">
        <f>IFERROR(INDEX(样本到样信息汇总统计!U$2:U$500,MATCH(176,样本到样信息汇总统计!$Z$2:$Z$500,0)),"")</f>
        <v/>
      </c>
      <c r="V177" s="8" t="str">
        <f>IFERROR(INDEX(样本到样信息汇总统计!V$2:V$500,MATCH(176,样本到样信息汇总统计!$Z$2:$Z$500,0)),"")</f>
        <v/>
      </c>
      <c r="W177" s="8" t="str">
        <f>IFERROR(INDEX(样本到样信息汇总统计!W$2:W$500,MATCH(176,样本到样信息汇总统计!$Z$2:$Z$500,0)),"")</f>
        <v/>
      </c>
    </row>
    <row r="178" ht="14.5" spans="1:23">
      <c r="A178" s="4" t="str">
        <f>IFERROR(INDEX(样本到样信息汇总统计!A$2:A$500,MATCH(177,样本到样信息汇总统计!$Z$2:$Z$500,0)),"")</f>
        <v/>
      </c>
      <c r="B178" s="4" t="str">
        <f>IFERROR(INDEX(样本到样信息汇总统计!B$2:B$500,MATCH(177,样本到样信息汇总统计!$Z$2:$Z$500,0)),"")</f>
        <v/>
      </c>
      <c r="C178" s="4" t="str">
        <f>IFERROR(INDEX(样本到样信息汇总统计!C$2:C$500,MATCH(177,样本到样信息汇总统计!$Z$2:$Z$500,0)),"")</f>
        <v/>
      </c>
      <c r="D178" s="4" t="str">
        <f>IFERROR(INDEX(样本到样信息汇总统计!D$2:D$500,MATCH(177,样本到样信息汇总统计!$Z$2:$Z$500,0)),"")</f>
        <v/>
      </c>
      <c r="E178" s="4" t="str">
        <f>IFERROR(INDEX(样本到样信息汇总统计!E$2:E$500,MATCH(177,样本到样信息汇总统计!$Z$2:$Z$500,0)),"")</f>
        <v/>
      </c>
      <c r="F178" s="4" t="str">
        <f>IFERROR(INDEX(样本到样信息汇总统计!F$2:F$500,MATCH(177,样本到样信息汇总统计!$Z$2:$Z$500,0)),"")</f>
        <v/>
      </c>
      <c r="G178" s="4" t="str">
        <f>IFERROR(INDEX(样本到样信息汇总统计!G$2:G$500,MATCH(177,样本到样信息汇总统计!$Z$2:$Z$500,0)),"")</f>
        <v/>
      </c>
      <c r="H178" s="4" t="str">
        <f>IFERROR(INDEX(样本到样信息汇总统计!H$2:H$500,MATCH(177,样本到样信息汇总统计!$Z$2:$Z$500,0)),"")</f>
        <v/>
      </c>
      <c r="I178" s="4" t="str">
        <f>IFERROR(INDEX(样本到样信息汇总统计!I$2:I$500,MATCH(177,样本到样信息汇总统计!$Z$2:$Z$500,0)),"")</f>
        <v/>
      </c>
      <c r="J178" s="4" t="str">
        <f>IFERROR(INDEX(样本到样信息汇总统计!J$2:J$500,MATCH(177,样本到样信息汇总统计!$Z$2:$Z$500,0)),"")</f>
        <v/>
      </c>
      <c r="K178" s="4" t="str">
        <f>IFERROR(INDEX(样本到样信息汇总统计!K$2:K$500,MATCH(177,样本到样信息汇总统计!$Z$2:$Z$500,0)),"")</f>
        <v/>
      </c>
      <c r="L178" s="4" t="str">
        <f>IFERROR(INDEX(样本到样信息汇总统计!L$2:L$500,MATCH(177,样本到样信息汇总统计!$Z$2:$Z$500,0)),"")</f>
        <v/>
      </c>
      <c r="M178" s="4" t="str">
        <f>IFERROR(INDEX(样本到样信息汇总统计!M$2:M$500,MATCH(177,样本到样信息汇总统计!$Z$2:$Z$500,0)),"")</f>
        <v/>
      </c>
      <c r="N178" s="4" t="str">
        <f>IFERROR(INDEX(样本到样信息汇总统计!N$2:N$500,MATCH(177,样本到样信息汇总统计!$Z$2:$Z$500,0)),"")</f>
        <v/>
      </c>
      <c r="O178" s="4" t="str">
        <f>IFERROR(INDEX(样本到样信息汇总统计!O$2:O$500,MATCH(177,样本到样信息汇总统计!$Z$2:$Z$500,0)),"")</f>
        <v/>
      </c>
      <c r="P178" s="4" t="str">
        <f>IFERROR(INDEX(样本到样信息汇总统计!P$2:P$500,MATCH(177,样本到样信息汇总统计!$Z$2:$Z$500,0)),"")</f>
        <v/>
      </c>
      <c r="Q178" s="4" t="str">
        <f>IFERROR(INDEX(样本到样信息汇总统计!Q$2:Q$500,MATCH(177,样本到样信息汇总统计!$Z$2:$Z$500,0)),"")</f>
        <v/>
      </c>
      <c r="R178" s="4" t="str">
        <f>IFERROR(INDEX(样本到样信息汇总统计!R$2:R$500,MATCH(177,样本到样信息汇总统计!$Z$2:$Z$500,0)),"")</f>
        <v/>
      </c>
      <c r="S178" s="4" t="str">
        <f>IFERROR(INDEX(样本到样信息汇总统计!S$2:S$500,MATCH(177,样本到样信息汇总统计!$Z$2:$Z$500,0)),"")</f>
        <v/>
      </c>
      <c r="T178" s="4" t="str">
        <f>IFERROR(INDEX(样本到样信息汇总统计!T$2:T$500,MATCH(177,样本到样信息汇总统计!$Z$2:$Z$500,0)),"")</f>
        <v/>
      </c>
      <c r="U178" s="4" t="str">
        <f>IFERROR(INDEX(样本到样信息汇总统计!U$2:U$500,MATCH(177,样本到样信息汇总统计!$Z$2:$Z$500,0)),"")</f>
        <v/>
      </c>
      <c r="V178" s="4" t="str">
        <f>IFERROR(INDEX(样本到样信息汇总统计!V$2:V$500,MATCH(177,样本到样信息汇总统计!$Z$2:$Z$500,0)),"")</f>
        <v/>
      </c>
      <c r="W178" s="4" t="str">
        <f>IFERROR(INDEX(样本到样信息汇总统计!W$2:W$500,MATCH(177,样本到样信息汇总统计!$Z$2:$Z$500,0)),"")</f>
        <v/>
      </c>
    </row>
    <row r="179" ht="14.5" spans="1:23">
      <c r="A179" s="8" t="str">
        <f>IFERROR(INDEX(样本到样信息汇总统计!A$2:A$500,MATCH(178,样本到样信息汇总统计!$Z$2:$Z$500,0)),"")</f>
        <v/>
      </c>
      <c r="B179" s="8" t="str">
        <f>IFERROR(INDEX(样本到样信息汇总统计!B$2:B$500,MATCH(178,样本到样信息汇总统计!$Z$2:$Z$500,0)),"")</f>
        <v/>
      </c>
      <c r="C179" s="8" t="str">
        <f>IFERROR(INDEX(样本到样信息汇总统计!C$2:C$500,MATCH(178,样本到样信息汇总统计!$Z$2:$Z$500,0)),"")</f>
        <v/>
      </c>
      <c r="D179" s="8" t="str">
        <f>IFERROR(INDEX(样本到样信息汇总统计!D$2:D$500,MATCH(178,样本到样信息汇总统计!$Z$2:$Z$500,0)),"")</f>
        <v/>
      </c>
      <c r="E179" s="8" t="str">
        <f>IFERROR(INDEX(样本到样信息汇总统计!E$2:E$500,MATCH(178,样本到样信息汇总统计!$Z$2:$Z$500,0)),"")</f>
        <v/>
      </c>
      <c r="F179" s="8" t="str">
        <f>IFERROR(INDEX(样本到样信息汇总统计!F$2:F$500,MATCH(178,样本到样信息汇总统计!$Z$2:$Z$500,0)),"")</f>
        <v/>
      </c>
      <c r="G179" s="8" t="str">
        <f>IFERROR(INDEX(样本到样信息汇总统计!G$2:G$500,MATCH(178,样本到样信息汇总统计!$Z$2:$Z$500,0)),"")</f>
        <v/>
      </c>
      <c r="H179" s="8" t="str">
        <f>IFERROR(INDEX(样本到样信息汇总统计!H$2:H$500,MATCH(178,样本到样信息汇总统计!$Z$2:$Z$500,0)),"")</f>
        <v/>
      </c>
      <c r="I179" s="8" t="str">
        <f>IFERROR(INDEX(样本到样信息汇总统计!I$2:I$500,MATCH(178,样本到样信息汇总统计!$Z$2:$Z$500,0)),"")</f>
        <v/>
      </c>
      <c r="J179" s="8" t="str">
        <f>IFERROR(INDEX(样本到样信息汇总统计!J$2:J$500,MATCH(178,样本到样信息汇总统计!$Z$2:$Z$500,0)),"")</f>
        <v/>
      </c>
      <c r="K179" s="8" t="str">
        <f>IFERROR(INDEX(样本到样信息汇总统计!K$2:K$500,MATCH(178,样本到样信息汇总统计!$Z$2:$Z$500,0)),"")</f>
        <v/>
      </c>
      <c r="L179" s="8" t="str">
        <f>IFERROR(INDEX(样本到样信息汇总统计!L$2:L$500,MATCH(178,样本到样信息汇总统计!$Z$2:$Z$500,0)),"")</f>
        <v/>
      </c>
      <c r="M179" s="8" t="str">
        <f>IFERROR(INDEX(样本到样信息汇总统计!M$2:M$500,MATCH(178,样本到样信息汇总统计!$Z$2:$Z$500,0)),"")</f>
        <v/>
      </c>
      <c r="N179" s="8" t="str">
        <f>IFERROR(INDEX(样本到样信息汇总统计!N$2:N$500,MATCH(178,样本到样信息汇总统计!$Z$2:$Z$500,0)),"")</f>
        <v/>
      </c>
      <c r="O179" s="8" t="str">
        <f>IFERROR(INDEX(样本到样信息汇总统计!O$2:O$500,MATCH(178,样本到样信息汇总统计!$Z$2:$Z$500,0)),"")</f>
        <v/>
      </c>
      <c r="P179" s="8" t="str">
        <f>IFERROR(INDEX(样本到样信息汇总统计!P$2:P$500,MATCH(178,样本到样信息汇总统计!$Z$2:$Z$500,0)),"")</f>
        <v/>
      </c>
      <c r="Q179" s="8" t="str">
        <f>IFERROR(INDEX(样本到样信息汇总统计!Q$2:Q$500,MATCH(178,样本到样信息汇总统计!$Z$2:$Z$500,0)),"")</f>
        <v/>
      </c>
      <c r="R179" s="8" t="str">
        <f>IFERROR(INDEX(样本到样信息汇总统计!R$2:R$500,MATCH(178,样本到样信息汇总统计!$Z$2:$Z$500,0)),"")</f>
        <v/>
      </c>
      <c r="S179" s="8" t="str">
        <f>IFERROR(INDEX(样本到样信息汇总统计!S$2:S$500,MATCH(178,样本到样信息汇总统计!$Z$2:$Z$500,0)),"")</f>
        <v/>
      </c>
      <c r="T179" s="8" t="str">
        <f>IFERROR(INDEX(样本到样信息汇总统计!T$2:T$500,MATCH(178,样本到样信息汇总统计!$Z$2:$Z$500,0)),"")</f>
        <v/>
      </c>
      <c r="U179" s="8" t="str">
        <f>IFERROR(INDEX(样本到样信息汇总统计!U$2:U$500,MATCH(178,样本到样信息汇总统计!$Z$2:$Z$500,0)),"")</f>
        <v/>
      </c>
      <c r="V179" s="8" t="str">
        <f>IFERROR(INDEX(样本到样信息汇总统计!V$2:V$500,MATCH(178,样本到样信息汇总统计!$Z$2:$Z$500,0)),"")</f>
        <v/>
      </c>
      <c r="W179" s="8" t="str">
        <f>IFERROR(INDEX(样本到样信息汇总统计!W$2:W$500,MATCH(178,样本到样信息汇总统计!$Z$2:$Z$500,0)),"")</f>
        <v/>
      </c>
    </row>
    <row r="180" ht="14.5" spans="1:23">
      <c r="A180" s="4" t="str">
        <f>IFERROR(INDEX(样本到样信息汇总统计!A$2:A$500,MATCH(179,样本到样信息汇总统计!$Z$2:$Z$500,0)),"")</f>
        <v/>
      </c>
      <c r="B180" s="4" t="str">
        <f>IFERROR(INDEX(样本到样信息汇总统计!B$2:B$500,MATCH(179,样本到样信息汇总统计!$Z$2:$Z$500,0)),"")</f>
        <v/>
      </c>
      <c r="C180" s="4" t="str">
        <f>IFERROR(INDEX(样本到样信息汇总统计!C$2:C$500,MATCH(179,样本到样信息汇总统计!$Z$2:$Z$500,0)),"")</f>
        <v/>
      </c>
      <c r="D180" s="4" t="str">
        <f>IFERROR(INDEX(样本到样信息汇总统计!D$2:D$500,MATCH(179,样本到样信息汇总统计!$Z$2:$Z$500,0)),"")</f>
        <v/>
      </c>
      <c r="E180" s="4" t="str">
        <f>IFERROR(INDEX(样本到样信息汇总统计!E$2:E$500,MATCH(179,样本到样信息汇总统计!$Z$2:$Z$500,0)),"")</f>
        <v/>
      </c>
      <c r="F180" s="4" t="str">
        <f>IFERROR(INDEX(样本到样信息汇总统计!F$2:F$500,MATCH(179,样本到样信息汇总统计!$Z$2:$Z$500,0)),"")</f>
        <v/>
      </c>
      <c r="G180" s="4" t="str">
        <f>IFERROR(INDEX(样本到样信息汇总统计!G$2:G$500,MATCH(179,样本到样信息汇总统计!$Z$2:$Z$500,0)),"")</f>
        <v/>
      </c>
      <c r="H180" s="4" t="str">
        <f>IFERROR(INDEX(样本到样信息汇总统计!H$2:H$500,MATCH(179,样本到样信息汇总统计!$Z$2:$Z$500,0)),"")</f>
        <v/>
      </c>
      <c r="I180" s="4" t="str">
        <f>IFERROR(INDEX(样本到样信息汇总统计!I$2:I$500,MATCH(179,样本到样信息汇总统计!$Z$2:$Z$500,0)),"")</f>
        <v/>
      </c>
      <c r="J180" s="4" t="str">
        <f>IFERROR(INDEX(样本到样信息汇总统计!J$2:J$500,MATCH(179,样本到样信息汇总统计!$Z$2:$Z$500,0)),"")</f>
        <v/>
      </c>
      <c r="K180" s="4" t="str">
        <f>IFERROR(INDEX(样本到样信息汇总统计!K$2:K$500,MATCH(179,样本到样信息汇总统计!$Z$2:$Z$500,0)),"")</f>
        <v/>
      </c>
      <c r="L180" s="4" t="str">
        <f>IFERROR(INDEX(样本到样信息汇总统计!L$2:L$500,MATCH(179,样本到样信息汇总统计!$Z$2:$Z$500,0)),"")</f>
        <v/>
      </c>
      <c r="M180" s="4" t="str">
        <f>IFERROR(INDEX(样本到样信息汇总统计!M$2:M$500,MATCH(179,样本到样信息汇总统计!$Z$2:$Z$500,0)),"")</f>
        <v/>
      </c>
      <c r="N180" s="4" t="str">
        <f>IFERROR(INDEX(样本到样信息汇总统计!N$2:N$500,MATCH(179,样本到样信息汇总统计!$Z$2:$Z$500,0)),"")</f>
        <v/>
      </c>
      <c r="O180" s="4" t="str">
        <f>IFERROR(INDEX(样本到样信息汇总统计!O$2:O$500,MATCH(179,样本到样信息汇总统计!$Z$2:$Z$500,0)),"")</f>
        <v/>
      </c>
      <c r="P180" s="4" t="str">
        <f>IFERROR(INDEX(样本到样信息汇总统计!P$2:P$500,MATCH(179,样本到样信息汇总统计!$Z$2:$Z$500,0)),"")</f>
        <v/>
      </c>
      <c r="Q180" s="4" t="str">
        <f>IFERROR(INDEX(样本到样信息汇总统计!Q$2:Q$500,MATCH(179,样本到样信息汇总统计!$Z$2:$Z$500,0)),"")</f>
        <v/>
      </c>
      <c r="R180" s="4" t="str">
        <f>IFERROR(INDEX(样本到样信息汇总统计!R$2:R$500,MATCH(179,样本到样信息汇总统计!$Z$2:$Z$500,0)),"")</f>
        <v/>
      </c>
      <c r="S180" s="4" t="str">
        <f>IFERROR(INDEX(样本到样信息汇总统计!S$2:S$500,MATCH(179,样本到样信息汇总统计!$Z$2:$Z$500,0)),"")</f>
        <v/>
      </c>
      <c r="T180" s="4" t="str">
        <f>IFERROR(INDEX(样本到样信息汇总统计!T$2:T$500,MATCH(179,样本到样信息汇总统计!$Z$2:$Z$500,0)),"")</f>
        <v/>
      </c>
      <c r="U180" s="4" t="str">
        <f>IFERROR(INDEX(样本到样信息汇总统计!U$2:U$500,MATCH(179,样本到样信息汇总统计!$Z$2:$Z$500,0)),"")</f>
        <v/>
      </c>
      <c r="V180" s="4" t="str">
        <f>IFERROR(INDEX(样本到样信息汇总统计!V$2:V$500,MATCH(179,样本到样信息汇总统计!$Z$2:$Z$500,0)),"")</f>
        <v/>
      </c>
      <c r="W180" s="4" t="str">
        <f>IFERROR(INDEX(样本到样信息汇总统计!W$2:W$500,MATCH(179,样本到样信息汇总统计!$Z$2:$Z$500,0)),"")</f>
        <v/>
      </c>
    </row>
    <row r="181" ht="14.5" spans="1:23">
      <c r="A181" s="8" t="str">
        <f>IFERROR(INDEX(样本到样信息汇总统计!A$2:A$500,MATCH(180,样本到样信息汇总统计!$Z$2:$Z$500,0)),"")</f>
        <v/>
      </c>
      <c r="B181" s="8" t="str">
        <f>IFERROR(INDEX(样本到样信息汇总统计!B$2:B$500,MATCH(180,样本到样信息汇总统计!$Z$2:$Z$500,0)),"")</f>
        <v/>
      </c>
      <c r="C181" s="8" t="str">
        <f>IFERROR(INDEX(样本到样信息汇总统计!C$2:C$500,MATCH(180,样本到样信息汇总统计!$Z$2:$Z$500,0)),"")</f>
        <v/>
      </c>
      <c r="D181" s="8" t="str">
        <f>IFERROR(INDEX(样本到样信息汇总统计!D$2:D$500,MATCH(180,样本到样信息汇总统计!$Z$2:$Z$500,0)),"")</f>
        <v/>
      </c>
      <c r="E181" s="8" t="str">
        <f>IFERROR(INDEX(样本到样信息汇总统计!E$2:E$500,MATCH(180,样本到样信息汇总统计!$Z$2:$Z$500,0)),"")</f>
        <v/>
      </c>
      <c r="F181" s="8" t="str">
        <f>IFERROR(INDEX(样本到样信息汇总统计!F$2:F$500,MATCH(180,样本到样信息汇总统计!$Z$2:$Z$500,0)),"")</f>
        <v/>
      </c>
      <c r="G181" s="8" t="str">
        <f>IFERROR(INDEX(样本到样信息汇总统计!G$2:G$500,MATCH(180,样本到样信息汇总统计!$Z$2:$Z$500,0)),"")</f>
        <v/>
      </c>
      <c r="H181" s="8" t="str">
        <f>IFERROR(INDEX(样本到样信息汇总统计!H$2:H$500,MATCH(180,样本到样信息汇总统计!$Z$2:$Z$500,0)),"")</f>
        <v/>
      </c>
      <c r="I181" s="8" t="str">
        <f>IFERROR(INDEX(样本到样信息汇总统计!I$2:I$500,MATCH(180,样本到样信息汇总统计!$Z$2:$Z$500,0)),"")</f>
        <v/>
      </c>
      <c r="J181" s="8" t="str">
        <f>IFERROR(INDEX(样本到样信息汇总统计!J$2:J$500,MATCH(180,样本到样信息汇总统计!$Z$2:$Z$500,0)),"")</f>
        <v/>
      </c>
      <c r="K181" s="8" t="str">
        <f>IFERROR(INDEX(样本到样信息汇总统计!K$2:K$500,MATCH(180,样本到样信息汇总统计!$Z$2:$Z$500,0)),"")</f>
        <v/>
      </c>
      <c r="L181" s="8" t="str">
        <f>IFERROR(INDEX(样本到样信息汇总统计!L$2:L$500,MATCH(180,样本到样信息汇总统计!$Z$2:$Z$500,0)),"")</f>
        <v/>
      </c>
      <c r="M181" s="8" t="str">
        <f>IFERROR(INDEX(样本到样信息汇总统计!M$2:M$500,MATCH(180,样本到样信息汇总统计!$Z$2:$Z$500,0)),"")</f>
        <v/>
      </c>
      <c r="N181" s="8" t="str">
        <f>IFERROR(INDEX(样本到样信息汇总统计!N$2:N$500,MATCH(180,样本到样信息汇总统计!$Z$2:$Z$500,0)),"")</f>
        <v/>
      </c>
      <c r="O181" s="8" t="str">
        <f>IFERROR(INDEX(样本到样信息汇总统计!O$2:O$500,MATCH(180,样本到样信息汇总统计!$Z$2:$Z$500,0)),"")</f>
        <v/>
      </c>
      <c r="P181" s="8" t="str">
        <f>IFERROR(INDEX(样本到样信息汇总统计!P$2:P$500,MATCH(180,样本到样信息汇总统计!$Z$2:$Z$500,0)),"")</f>
        <v/>
      </c>
      <c r="Q181" s="8" t="str">
        <f>IFERROR(INDEX(样本到样信息汇总统计!Q$2:Q$500,MATCH(180,样本到样信息汇总统计!$Z$2:$Z$500,0)),"")</f>
        <v/>
      </c>
      <c r="R181" s="8" t="str">
        <f>IFERROR(INDEX(样本到样信息汇总统计!R$2:R$500,MATCH(180,样本到样信息汇总统计!$Z$2:$Z$500,0)),"")</f>
        <v/>
      </c>
      <c r="S181" s="8" t="str">
        <f>IFERROR(INDEX(样本到样信息汇总统计!S$2:S$500,MATCH(180,样本到样信息汇总统计!$Z$2:$Z$500,0)),"")</f>
        <v/>
      </c>
      <c r="T181" s="8" t="str">
        <f>IFERROR(INDEX(样本到样信息汇总统计!T$2:T$500,MATCH(180,样本到样信息汇总统计!$Z$2:$Z$500,0)),"")</f>
        <v/>
      </c>
      <c r="U181" s="8" t="str">
        <f>IFERROR(INDEX(样本到样信息汇总统计!U$2:U$500,MATCH(180,样本到样信息汇总统计!$Z$2:$Z$500,0)),"")</f>
        <v/>
      </c>
      <c r="V181" s="8" t="str">
        <f>IFERROR(INDEX(样本到样信息汇总统计!V$2:V$500,MATCH(180,样本到样信息汇总统计!$Z$2:$Z$500,0)),"")</f>
        <v/>
      </c>
      <c r="W181" s="8" t="str">
        <f>IFERROR(INDEX(样本到样信息汇总统计!W$2:W$500,MATCH(180,样本到样信息汇总统计!$Z$2:$Z$500,0)),"")</f>
        <v/>
      </c>
    </row>
    <row r="182" ht="14.5" spans="1:23">
      <c r="A182" s="4" t="str">
        <f>IFERROR(INDEX(样本到样信息汇总统计!A$2:A$500,MATCH(181,样本到样信息汇总统计!$Z$2:$Z$500,0)),"")</f>
        <v/>
      </c>
      <c r="B182" s="4" t="str">
        <f>IFERROR(INDEX(样本到样信息汇总统计!B$2:B$500,MATCH(181,样本到样信息汇总统计!$Z$2:$Z$500,0)),"")</f>
        <v/>
      </c>
      <c r="C182" s="4" t="str">
        <f>IFERROR(INDEX(样本到样信息汇总统计!C$2:C$500,MATCH(181,样本到样信息汇总统计!$Z$2:$Z$500,0)),"")</f>
        <v/>
      </c>
      <c r="D182" s="4" t="str">
        <f>IFERROR(INDEX(样本到样信息汇总统计!D$2:D$500,MATCH(181,样本到样信息汇总统计!$Z$2:$Z$500,0)),"")</f>
        <v/>
      </c>
      <c r="E182" s="4" t="str">
        <f>IFERROR(INDEX(样本到样信息汇总统计!E$2:E$500,MATCH(181,样本到样信息汇总统计!$Z$2:$Z$500,0)),"")</f>
        <v/>
      </c>
      <c r="F182" s="4" t="str">
        <f>IFERROR(INDEX(样本到样信息汇总统计!F$2:F$500,MATCH(181,样本到样信息汇总统计!$Z$2:$Z$500,0)),"")</f>
        <v/>
      </c>
      <c r="G182" s="4" t="str">
        <f>IFERROR(INDEX(样本到样信息汇总统计!G$2:G$500,MATCH(181,样本到样信息汇总统计!$Z$2:$Z$500,0)),"")</f>
        <v/>
      </c>
      <c r="H182" s="4" t="str">
        <f>IFERROR(INDEX(样本到样信息汇总统计!H$2:H$500,MATCH(181,样本到样信息汇总统计!$Z$2:$Z$500,0)),"")</f>
        <v/>
      </c>
      <c r="I182" s="4" t="str">
        <f>IFERROR(INDEX(样本到样信息汇总统计!I$2:I$500,MATCH(181,样本到样信息汇总统计!$Z$2:$Z$500,0)),"")</f>
        <v/>
      </c>
      <c r="J182" s="4" t="str">
        <f>IFERROR(INDEX(样本到样信息汇总统计!J$2:J$500,MATCH(181,样本到样信息汇总统计!$Z$2:$Z$500,0)),"")</f>
        <v/>
      </c>
      <c r="K182" s="4" t="str">
        <f>IFERROR(INDEX(样本到样信息汇总统计!K$2:K$500,MATCH(181,样本到样信息汇总统计!$Z$2:$Z$500,0)),"")</f>
        <v/>
      </c>
      <c r="L182" s="4" t="str">
        <f>IFERROR(INDEX(样本到样信息汇总统计!L$2:L$500,MATCH(181,样本到样信息汇总统计!$Z$2:$Z$500,0)),"")</f>
        <v/>
      </c>
      <c r="M182" s="4" t="str">
        <f>IFERROR(INDEX(样本到样信息汇总统计!M$2:M$500,MATCH(181,样本到样信息汇总统计!$Z$2:$Z$500,0)),"")</f>
        <v/>
      </c>
      <c r="N182" s="4" t="str">
        <f>IFERROR(INDEX(样本到样信息汇总统计!N$2:N$500,MATCH(181,样本到样信息汇总统计!$Z$2:$Z$500,0)),"")</f>
        <v/>
      </c>
      <c r="O182" s="4" t="str">
        <f>IFERROR(INDEX(样本到样信息汇总统计!O$2:O$500,MATCH(181,样本到样信息汇总统计!$Z$2:$Z$500,0)),"")</f>
        <v/>
      </c>
      <c r="P182" s="4" t="str">
        <f>IFERROR(INDEX(样本到样信息汇总统计!P$2:P$500,MATCH(181,样本到样信息汇总统计!$Z$2:$Z$500,0)),"")</f>
        <v/>
      </c>
      <c r="Q182" s="4" t="str">
        <f>IFERROR(INDEX(样本到样信息汇总统计!Q$2:Q$500,MATCH(181,样本到样信息汇总统计!$Z$2:$Z$500,0)),"")</f>
        <v/>
      </c>
      <c r="R182" s="4" t="str">
        <f>IFERROR(INDEX(样本到样信息汇总统计!R$2:R$500,MATCH(181,样本到样信息汇总统计!$Z$2:$Z$500,0)),"")</f>
        <v/>
      </c>
      <c r="S182" s="4" t="str">
        <f>IFERROR(INDEX(样本到样信息汇总统计!S$2:S$500,MATCH(181,样本到样信息汇总统计!$Z$2:$Z$500,0)),"")</f>
        <v/>
      </c>
      <c r="T182" s="4" t="str">
        <f>IFERROR(INDEX(样本到样信息汇总统计!T$2:T$500,MATCH(181,样本到样信息汇总统计!$Z$2:$Z$500,0)),"")</f>
        <v/>
      </c>
      <c r="U182" s="4" t="str">
        <f>IFERROR(INDEX(样本到样信息汇总统计!U$2:U$500,MATCH(181,样本到样信息汇总统计!$Z$2:$Z$500,0)),"")</f>
        <v/>
      </c>
      <c r="V182" s="4" t="str">
        <f>IFERROR(INDEX(样本到样信息汇总统计!V$2:V$500,MATCH(181,样本到样信息汇总统计!$Z$2:$Z$500,0)),"")</f>
        <v/>
      </c>
      <c r="W182" s="4" t="str">
        <f>IFERROR(INDEX(样本到样信息汇总统计!W$2:W$500,MATCH(181,样本到样信息汇总统计!$Z$2:$Z$500,0)),"")</f>
        <v/>
      </c>
    </row>
    <row r="183" ht="14.5" spans="1:23">
      <c r="A183" s="8" t="str">
        <f>IFERROR(INDEX(样本到样信息汇总统计!A$2:A$500,MATCH(182,样本到样信息汇总统计!$Z$2:$Z$500,0)),"")</f>
        <v/>
      </c>
      <c r="B183" s="8" t="str">
        <f>IFERROR(INDEX(样本到样信息汇总统计!B$2:B$500,MATCH(182,样本到样信息汇总统计!$Z$2:$Z$500,0)),"")</f>
        <v/>
      </c>
      <c r="C183" s="8" t="str">
        <f>IFERROR(INDEX(样本到样信息汇总统计!C$2:C$500,MATCH(182,样本到样信息汇总统计!$Z$2:$Z$500,0)),"")</f>
        <v/>
      </c>
      <c r="D183" s="8" t="str">
        <f>IFERROR(INDEX(样本到样信息汇总统计!D$2:D$500,MATCH(182,样本到样信息汇总统计!$Z$2:$Z$500,0)),"")</f>
        <v/>
      </c>
      <c r="E183" s="8" t="str">
        <f>IFERROR(INDEX(样本到样信息汇总统计!E$2:E$500,MATCH(182,样本到样信息汇总统计!$Z$2:$Z$500,0)),"")</f>
        <v/>
      </c>
      <c r="F183" s="8" t="str">
        <f>IFERROR(INDEX(样本到样信息汇总统计!F$2:F$500,MATCH(182,样本到样信息汇总统计!$Z$2:$Z$500,0)),"")</f>
        <v/>
      </c>
      <c r="G183" s="8" t="str">
        <f>IFERROR(INDEX(样本到样信息汇总统计!G$2:G$500,MATCH(182,样本到样信息汇总统计!$Z$2:$Z$500,0)),"")</f>
        <v/>
      </c>
      <c r="H183" s="8" t="str">
        <f>IFERROR(INDEX(样本到样信息汇总统计!H$2:H$500,MATCH(182,样本到样信息汇总统计!$Z$2:$Z$500,0)),"")</f>
        <v/>
      </c>
      <c r="I183" s="8" t="str">
        <f>IFERROR(INDEX(样本到样信息汇总统计!I$2:I$500,MATCH(182,样本到样信息汇总统计!$Z$2:$Z$500,0)),"")</f>
        <v/>
      </c>
      <c r="J183" s="8" t="str">
        <f>IFERROR(INDEX(样本到样信息汇总统计!J$2:J$500,MATCH(182,样本到样信息汇总统计!$Z$2:$Z$500,0)),"")</f>
        <v/>
      </c>
      <c r="K183" s="8" t="str">
        <f>IFERROR(INDEX(样本到样信息汇总统计!K$2:K$500,MATCH(182,样本到样信息汇总统计!$Z$2:$Z$500,0)),"")</f>
        <v/>
      </c>
      <c r="L183" s="8" t="str">
        <f>IFERROR(INDEX(样本到样信息汇总统计!L$2:L$500,MATCH(182,样本到样信息汇总统计!$Z$2:$Z$500,0)),"")</f>
        <v/>
      </c>
      <c r="M183" s="8" t="str">
        <f>IFERROR(INDEX(样本到样信息汇总统计!M$2:M$500,MATCH(182,样本到样信息汇总统计!$Z$2:$Z$500,0)),"")</f>
        <v/>
      </c>
      <c r="N183" s="8" t="str">
        <f>IFERROR(INDEX(样本到样信息汇总统计!N$2:N$500,MATCH(182,样本到样信息汇总统计!$Z$2:$Z$500,0)),"")</f>
        <v/>
      </c>
      <c r="O183" s="8" t="str">
        <f>IFERROR(INDEX(样本到样信息汇总统计!O$2:O$500,MATCH(182,样本到样信息汇总统计!$Z$2:$Z$500,0)),"")</f>
        <v/>
      </c>
      <c r="P183" s="8" t="str">
        <f>IFERROR(INDEX(样本到样信息汇总统计!P$2:P$500,MATCH(182,样本到样信息汇总统计!$Z$2:$Z$500,0)),"")</f>
        <v/>
      </c>
      <c r="Q183" s="8" t="str">
        <f>IFERROR(INDEX(样本到样信息汇总统计!Q$2:Q$500,MATCH(182,样本到样信息汇总统计!$Z$2:$Z$500,0)),"")</f>
        <v/>
      </c>
      <c r="R183" s="8" t="str">
        <f>IFERROR(INDEX(样本到样信息汇总统计!R$2:R$500,MATCH(182,样本到样信息汇总统计!$Z$2:$Z$500,0)),"")</f>
        <v/>
      </c>
      <c r="S183" s="8" t="str">
        <f>IFERROR(INDEX(样本到样信息汇总统计!S$2:S$500,MATCH(182,样本到样信息汇总统计!$Z$2:$Z$500,0)),"")</f>
        <v/>
      </c>
      <c r="T183" s="8" t="str">
        <f>IFERROR(INDEX(样本到样信息汇总统计!T$2:T$500,MATCH(182,样本到样信息汇总统计!$Z$2:$Z$500,0)),"")</f>
        <v/>
      </c>
      <c r="U183" s="8" t="str">
        <f>IFERROR(INDEX(样本到样信息汇总统计!U$2:U$500,MATCH(182,样本到样信息汇总统计!$Z$2:$Z$500,0)),"")</f>
        <v/>
      </c>
      <c r="V183" s="8" t="str">
        <f>IFERROR(INDEX(样本到样信息汇总统计!V$2:V$500,MATCH(182,样本到样信息汇总统计!$Z$2:$Z$500,0)),"")</f>
        <v/>
      </c>
      <c r="W183" s="8" t="str">
        <f>IFERROR(INDEX(样本到样信息汇总统计!W$2:W$500,MATCH(182,样本到样信息汇总统计!$Z$2:$Z$500,0)),"")</f>
        <v/>
      </c>
    </row>
    <row r="184" ht="14.5" spans="1:23">
      <c r="A184" s="4" t="str">
        <f>IFERROR(INDEX(样本到样信息汇总统计!A$2:A$500,MATCH(183,样本到样信息汇总统计!$Z$2:$Z$500,0)),"")</f>
        <v/>
      </c>
      <c r="B184" s="4" t="str">
        <f>IFERROR(INDEX(样本到样信息汇总统计!B$2:B$500,MATCH(183,样本到样信息汇总统计!$Z$2:$Z$500,0)),"")</f>
        <v/>
      </c>
      <c r="C184" s="4" t="str">
        <f>IFERROR(INDEX(样本到样信息汇总统计!C$2:C$500,MATCH(183,样本到样信息汇总统计!$Z$2:$Z$500,0)),"")</f>
        <v/>
      </c>
      <c r="D184" s="4" t="str">
        <f>IFERROR(INDEX(样本到样信息汇总统计!D$2:D$500,MATCH(183,样本到样信息汇总统计!$Z$2:$Z$500,0)),"")</f>
        <v/>
      </c>
      <c r="E184" s="4" t="str">
        <f>IFERROR(INDEX(样本到样信息汇总统计!E$2:E$500,MATCH(183,样本到样信息汇总统计!$Z$2:$Z$500,0)),"")</f>
        <v/>
      </c>
      <c r="F184" s="4" t="str">
        <f>IFERROR(INDEX(样本到样信息汇总统计!F$2:F$500,MATCH(183,样本到样信息汇总统计!$Z$2:$Z$500,0)),"")</f>
        <v/>
      </c>
      <c r="G184" s="4" t="str">
        <f>IFERROR(INDEX(样本到样信息汇总统计!G$2:G$500,MATCH(183,样本到样信息汇总统计!$Z$2:$Z$500,0)),"")</f>
        <v/>
      </c>
      <c r="H184" s="4" t="str">
        <f>IFERROR(INDEX(样本到样信息汇总统计!H$2:H$500,MATCH(183,样本到样信息汇总统计!$Z$2:$Z$500,0)),"")</f>
        <v/>
      </c>
      <c r="I184" s="4" t="str">
        <f>IFERROR(INDEX(样本到样信息汇总统计!I$2:I$500,MATCH(183,样本到样信息汇总统计!$Z$2:$Z$500,0)),"")</f>
        <v/>
      </c>
      <c r="J184" s="4" t="str">
        <f>IFERROR(INDEX(样本到样信息汇总统计!J$2:J$500,MATCH(183,样本到样信息汇总统计!$Z$2:$Z$500,0)),"")</f>
        <v/>
      </c>
      <c r="K184" s="4" t="str">
        <f>IFERROR(INDEX(样本到样信息汇总统计!K$2:K$500,MATCH(183,样本到样信息汇总统计!$Z$2:$Z$500,0)),"")</f>
        <v/>
      </c>
      <c r="L184" s="4" t="str">
        <f>IFERROR(INDEX(样本到样信息汇总统计!L$2:L$500,MATCH(183,样本到样信息汇总统计!$Z$2:$Z$500,0)),"")</f>
        <v/>
      </c>
      <c r="M184" s="4" t="str">
        <f>IFERROR(INDEX(样本到样信息汇总统计!M$2:M$500,MATCH(183,样本到样信息汇总统计!$Z$2:$Z$500,0)),"")</f>
        <v/>
      </c>
      <c r="N184" s="4" t="str">
        <f>IFERROR(INDEX(样本到样信息汇总统计!N$2:N$500,MATCH(183,样本到样信息汇总统计!$Z$2:$Z$500,0)),"")</f>
        <v/>
      </c>
      <c r="O184" s="4" t="str">
        <f>IFERROR(INDEX(样本到样信息汇总统计!O$2:O$500,MATCH(183,样本到样信息汇总统计!$Z$2:$Z$500,0)),"")</f>
        <v/>
      </c>
      <c r="P184" s="4" t="str">
        <f>IFERROR(INDEX(样本到样信息汇总统计!P$2:P$500,MATCH(183,样本到样信息汇总统计!$Z$2:$Z$500,0)),"")</f>
        <v/>
      </c>
      <c r="Q184" s="4" t="str">
        <f>IFERROR(INDEX(样本到样信息汇总统计!Q$2:Q$500,MATCH(183,样本到样信息汇总统计!$Z$2:$Z$500,0)),"")</f>
        <v/>
      </c>
      <c r="R184" s="4" t="str">
        <f>IFERROR(INDEX(样本到样信息汇总统计!R$2:R$500,MATCH(183,样本到样信息汇总统计!$Z$2:$Z$500,0)),"")</f>
        <v/>
      </c>
      <c r="S184" s="4" t="str">
        <f>IFERROR(INDEX(样本到样信息汇总统计!S$2:S$500,MATCH(183,样本到样信息汇总统计!$Z$2:$Z$500,0)),"")</f>
        <v/>
      </c>
      <c r="T184" s="4" t="str">
        <f>IFERROR(INDEX(样本到样信息汇总统计!T$2:T$500,MATCH(183,样本到样信息汇总统计!$Z$2:$Z$500,0)),"")</f>
        <v/>
      </c>
      <c r="U184" s="4" t="str">
        <f>IFERROR(INDEX(样本到样信息汇总统计!U$2:U$500,MATCH(183,样本到样信息汇总统计!$Z$2:$Z$500,0)),"")</f>
        <v/>
      </c>
      <c r="V184" s="4" t="str">
        <f>IFERROR(INDEX(样本到样信息汇总统计!V$2:V$500,MATCH(183,样本到样信息汇总统计!$Z$2:$Z$500,0)),"")</f>
        <v/>
      </c>
      <c r="W184" s="4" t="str">
        <f>IFERROR(INDEX(样本到样信息汇总统计!W$2:W$500,MATCH(183,样本到样信息汇总统计!$Z$2:$Z$500,0)),"")</f>
        <v/>
      </c>
    </row>
    <row r="185" ht="14.5" spans="1:23">
      <c r="A185" s="8" t="str">
        <f>IFERROR(INDEX(样本到样信息汇总统计!A$2:A$500,MATCH(184,样本到样信息汇总统计!$Z$2:$Z$500,0)),"")</f>
        <v/>
      </c>
      <c r="B185" s="8" t="str">
        <f>IFERROR(INDEX(样本到样信息汇总统计!B$2:B$500,MATCH(184,样本到样信息汇总统计!$Z$2:$Z$500,0)),"")</f>
        <v/>
      </c>
      <c r="C185" s="8" t="str">
        <f>IFERROR(INDEX(样本到样信息汇总统计!C$2:C$500,MATCH(184,样本到样信息汇总统计!$Z$2:$Z$500,0)),"")</f>
        <v/>
      </c>
      <c r="D185" s="8" t="str">
        <f>IFERROR(INDEX(样本到样信息汇总统计!D$2:D$500,MATCH(184,样本到样信息汇总统计!$Z$2:$Z$500,0)),"")</f>
        <v/>
      </c>
      <c r="E185" s="8" t="str">
        <f>IFERROR(INDEX(样本到样信息汇总统计!E$2:E$500,MATCH(184,样本到样信息汇总统计!$Z$2:$Z$500,0)),"")</f>
        <v/>
      </c>
      <c r="F185" s="8" t="str">
        <f>IFERROR(INDEX(样本到样信息汇总统计!F$2:F$500,MATCH(184,样本到样信息汇总统计!$Z$2:$Z$500,0)),"")</f>
        <v/>
      </c>
      <c r="G185" s="8" t="str">
        <f>IFERROR(INDEX(样本到样信息汇总统计!G$2:G$500,MATCH(184,样本到样信息汇总统计!$Z$2:$Z$500,0)),"")</f>
        <v/>
      </c>
      <c r="H185" s="8" t="str">
        <f>IFERROR(INDEX(样本到样信息汇总统计!H$2:H$500,MATCH(184,样本到样信息汇总统计!$Z$2:$Z$500,0)),"")</f>
        <v/>
      </c>
      <c r="I185" s="8" t="str">
        <f>IFERROR(INDEX(样本到样信息汇总统计!I$2:I$500,MATCH(184,样本到样信息汇总统计!$Z$2:$Z$500,0)),"")</f>
        <v/>
      </c>
      <c r="J185" s="8" t="str">
        <f>IFERROR(INDEX(样本到样信息汇总统计!J$2:J$500,MATCH(184,样本到样信息汇总统计!$Z$2:$Z$500,0)),"")</f>
        <v/>
      </c>
      <c r="K185" s="8" t="str">
        <f>IFERROR(INDEX(样本到样信息汇总统计!K$2:K$500,MATCH(184,样本到样信息汇总统计!$Z$2:$Z$500,0)),"")</f>
        <v/>
      </c>
      <c r="L185" s="8" t="str">
        <f>IFERROR(INDEX(样本到样信息汇总统计!L$2:L$500,MATCH(184,样本到样信息汇总统计!$Z$2:$Z$500,0)),"")</f>
        <v/>
      </c>
      <c r="M185" s="8" t="str">
        <f>IFERROR(INDEX(样本到样信息汇总统计!M$2:M$500,MATCH(184,样本到样信息汇总统计!$Z$2:$Z$500,0)),"")</f>
        <v/>
      </c>
      <c r="N185" s="8" t="str">
        <f>IFERROR(INDEX(样本到样信息汇总统计!N$2:N$500,MATCH(184,样本到样信息汇总统计!$Z$2:$Z$500,0)),"")</f>
        <v/>
      </c>
      <c r="O185" s="8" t="str">
        <f>IFERROR(INDEX(样本到样信息汇总统计!O$2:O$500,MATCH(184,样本到样信息汇总统计!$Z$2:$Z$500,0)),"")</f>
        <v/>
      </c>
      <c r="P185" s="8" t="str">
        <f>IFERROR(INDEX(样本到样信息汇总统计!P$2:P$500,MATCH(184,样本到样信息汇总统计!$Z$2:$Z$500,0)),"")</f>
        <v/>
      </c>
      <c r="Q185" s="8" t="str">
        <f>IFERROR(INDEX(样本到样信息汇总统计!Q$2:Q$500,MATCH(184,样本到样信息汇总统计!$Z$2:$Z$500,0)),"")</f>
        <v/>
      </c>
      <c r="R185" s="8" t="str">
        <f>IFERROR(INDEX(样本到样信息汇总统计!R$2:R$500,MATCH(184,样本到样信息汇总统计!$Z$2:$Z$500,0)),"")</f>
        <v/>
      </c>
      <c r="S185" s="8" t="str">
        <f>IFERROR(INDEX(样本到样信息汇总统计!S$2:S$500,MATCH(184,样本到样信息汇总统计!$Z$2:$Z$500,0)),"")</f>
        <v/>
      </c>
      <c r="T185" s="8" t="str">
        <f>IFERROR(INDEX(样本到样信息汇总统计!T$2:T$500,MATCH(184,样本到样信息汇总统计!$Z$2:$Z$500,0)),"")</f>
        <v/>
      </c>
      <c r="U185" s="8" t="str">
        <f>IFERROR(INDEX(样本到样信息汇总统计!U$2:U$500,MATCH(184,样本到样信息汇总统计!$Z$2:$Z$500,0)),"")</f>
        <v/>
      </c>
      <c r="V185" s="8" t="str">
        <f>IFERROR(INDEX(样本到样信息汇总统计!V$2:V$500,MATCH(184,样本到样信息汇总统计!$Z$2:$Z$500,0)),"")</f>
        <v/>
      </c>
      <c r="W185" s="8" t="str">
        <f>IFERROR(INDEX(样本到样信息汇总统计!W$2:W$500,MATCH(184,样本到样信息汇总统计!$Z$2:$Z$500,0)),"")</f>
        <v/>
      </c>
    </row>
    <row r="186" ht="14.5" spans="1:23">
      <c r="A186" s="4" t="str">
        <f>IFERROR(INDEX(样本到样信息汇总统计!A$2:A$500,MATCH(185,样本到样信息汇总统计!$Z$2:$Z$500,0)),"")</f>
        <v/>
      </c>
      <c r="B186" s="4" t="str">
        <f>IFERROR(INDEX(样本到样信息汇总统计!B$2:B$500,MATCH(185,样本到样信息汇总统计!$Z$2:$Z$500,0)),"")</f>
        <v/>
      </c>
      <c r="C186" s="4" t="str">
        <f>IFERROR(INDEX(样本到样信息汇总统计!C$2:C$500,MATCH(185,样本到样信息汇总统计!$Z$2:$Z$500,0)),"")</f>
        <v/>
      </c>
      <c r="D186" s="4" t="str">
        <f>IFERROR(INDEX(样本到样信息汇总统计!D$2:D$500,MATCH(185,样本到样信息汇总统计!$Z$2:$Z$500,0)),"")</f>
        <v/>
      </c>
      <c r="E186" s="4" t="str">
        <f>IFERROR(INDEX(样本到样信息汇总统计!E$2:E$500,MATCH(185,样本到样信息汇总统计!$Z$2:$Z$500,0)),"")</f>
        <v/>
      </c>
      <c r="F186" s="4" t="str">
        <f>IFERROR(INDEX(样本到样信息汇总统计!F$2:F$500,MATCH(185,样本到样信息汇总统计!$Z$2:$Z$500,0)),"")</f>
        <v/>
      </c>
      <c r="G186" s="4" t="str">
        <f>IFERROR(INDEX(样本到样信息汇总统计!G$2:G$500,MATCH(185,样本到样信息汇总统计!$Z$2:$Z$500,0)),"")</f>
        <v/>
      </c>
      <c r="H186" s="4" t="str">
        <f>IFERROR(INDEX(样本到样信息汇总统计!H$2:H$500,MATCH(185,样本到样信息汇总统计!$Z$2:$Z$500,0)),"")</f>
        <v/>
      </c>
      <c r="I186" s="4" t="str">
        <f>IFERROR(INDEX(样本到样信息汇总统计!I$2:I$500,MATCH(185,样本到样信息汇总统计!$Z$2:$Z$500,0)),"")</f>
        <v/>
      </c>
      <c r="J186" s="4" t="str">
        <f>IFERROR(INDEX(样本到样信息汇总统计!J$2:J$500,MATCH(185,样本到样信息汇总统计!$Z$2:$Z$500,0)),"")</f>
        <v/>
      </c>
      <c r="K186" s="4" t="str">
        <f>IFERROR(INDEX(样本到样信息汇总统计!K$2:K$500,MATCH(185,样本到样信息汇总统计!$Z$2:$Z$500,0)),"")</f>
        <v/>
      </c>
      <c r="L186" s="4" t="str">
        <f>IFERROR(INDEX(样本到样信息汇总统计!L$2:L$500,MATCH(185,样本到样信息汇总统计!$Z$2:$Z$500,0)),"")</f>
        <v/>
      </c>
      <c r="M186" s="4" t="str">
        <f>IFERROR(INDEX(样本到样信息汇总统计!M$2:M$500,MATCH(185,样本到样信息汇总统计!$Z$2:$Z$500,0)),"")</f>
        <v/>
      </c>
      <c r="N186" s="4" t="str">
        <f>IFERROR(INDEX(样本到样信息汇总统计!N$2:N$500,MATCH(185,样本到样信息汇总统计!$Z$2:$Z$500,0)),"")</f>
        <v/>
      </c>
      <c r="O186" s="4" t="str">
        <f>IFERROR(INDEX(样本到样信息汇总统计!O$2:O$500,MATCH(185,样本到样信息汇总统计!$Z$2:$Z$500,0)),"")</f>
        <v/>
      </c>
      <c r="P186" s="4" t="str">
        <f>IFERROR(INDEX(样本到样信息汇总统计!P$2:P$500,MATCH(185,样本到样信息汇总统计!$Z$2:$Z$500,0)),"")</f>
        <v/>
      </c>
      <c r="Q186" s="4" t="str">
        <f>IFERROR(INDEX(样本到样信息汇总统计!Q$2:Q$500,MATCH(185,样本到样信息汇总统计!$Z$2:$Z$500,0)),"")</f>
        <v/>
      </c>
      <c r="R186" s="4" t="str">
        <f>IFERROR(INDEX(样本到样信息汇总统计!R$2:R$500,MATCH(185,样本到样信息汇总统计!$Z$2:$Z$500,0)),"")</f>
        <v/>
      </c>
      <c r="S186" s="4" t="str">
        <f>IFERROR(INDEX(样本到样信息汇总统计!S$2:S$500,MATCH(185,样本到样信息汇总统计!$Z$2:$Z$500,0)),"")</f>
        <v/>
      </c>
      <c r="T186" s="4" t="str">
        <f>IFERROR(INDEX(样本到样信息汇总统计!T$2:T$500,MATCH(185,样本到样信息汇总统计!$Z$2:$Z$500,0)),"")</f>
        <v/>
      </c>
      <c r="U186" s="4" t="str">
        <f>IFERROR(INDEX(样本到样信息汇总统计!U$2:U$500,MATCH(185,样本到样信息汇总统计!$Z$2:$Z$500,0)),"")</f>
        <v/>
      </c>
      <c r="V186" s="4" t="str">
        <f>IFERROR(INDEX(样本到样信息汇总统计!V$2:V$500,MATCH(185,样本到样信息汇总统计!$Z$2:$Z$500,0)),"")</f>
        <v/>
      </c>
      <c r="W186" s="4" t="str">
        <f>IFERROR(INDEX(样本到样信息汇总统计!W$2:W$500,MATCH(185,样本到样信息汇总统计!$Z$2:$Z$500,0)),"")</f>
        <v/>
      </c>
    </row>
    <row r="187" ht="14.5" spans="1:23">
      <c r="A187" s="8" t="str">
        <f>IFERROR(INDEX(样本到样信息汇总统计!A$2:A$500,MATCH(186,样本到样信息汇总统计!$Z$2:$Z$500,0)),"")</f>
        <v/>
      </c>
      <c r="B187" s="8" t="str">
        <f>IFERROR(INDEX(样本到样信息汇总统计!B$2:B$500,MATCH(186,样本到样信息汇总统计!$Z$2:$Z$500,0)),"")</f>
        <v/>
      </c>
      <c r="C187" s="8" t="str">
        <f>IFERROR(INDEX(样本到样信息汇总统计!C$2:C$500,MATCH(186,样本到样信息汇总统计!$Z$2:$Z$500,0)),"")</f>
        <v/>
      </c>
      <c r="D187" s="8" t="str">
        <f>IFERROR(INDEX(样本到样信息汇总统计!D$2:D$500,MATCH(186,样本到样信息汇总统计!$Z$2:$Z$500,0)),"")</f>
        <v/>
      </c>
      <c r="E187" s="8" t="str">
        <f>IFERROR(INDEX(样本到样信息汇总统计!E$2:E$500,MATCH(186,样本到样信息汇总统计!$Z$2:$Z$500,0)),"")</f>
        <v/>
      </c>
      <c r="F187" s="8" t="str">
        <f>IFERROR(INDEX(样本到样信息汇总统计!F$2:F$500,MATCH(186,样本到样信息汇总统计!$Z$2:$Z$500,0)),"")</f>
        <v/>
      </c>
      <c r="G187" s="8" t="str">
        <f>IFERROR(INDEX(样本到样信息汇总统计!G$2:G$500,MATCH(186,样本到样信息汇总统计!$Z$2:$Z$500,0)),"")</f>
        <v/>
      </c>
      <c r="H187" s="8" t="str">
        <f>IFERROR(INDEX(样本到样信息汇总统计!H$2:H$500,MATCH(186,样本到样信息汇总统计!$Z$2:$Z$500,0)),"")</f>
        <v/>
      </c>
      <c r="I187" s="8" t="str">
        <f>IFERROR(INDEX(样本到样信息汇总统计!I$2:I$500,MATCH(186,样本到样信息汇总统计!$Z$2:$Z$500,0)),"")</f>
        <v/>
      </c>
      <c r="J187" s="8" t="str">
        <f>IFERROR(INDEX(样本到样信息汇总统计!J$2:J$500,MATCH(186,样本到样信息汇总统计!$Z$2:$Z$500,0)),"")</f>
        <v/>
      </c>
      <c r="K187" s="8" t="str">
        <f>IFERROR(INDEX(样本到样信息汇总统计!K$2:K$500,MATCH(186,样本到样信息汇总统计!$Z$2:$Z$500,0)),"")</f>
        <v/>
      </c>
      <c r="L187" s="8" t="str">
        <f>IFERROR(INDEX(样本到样信息汇总统计!L$2:L$500,MATCH(186,样本到样信息汇总统计!$Z$2:$Z$500,0)),"")</f>
        <v/>
      </c>
      <c r="M187" s="8" t="str">
        <f>IFERROR(INDEX(样本到样信息汇总统计!M$2:M$500,MATCH(186,样本到样信息汇总统计!$Z$2:$Z$500,0)),"")</f>
        <v/>
      </c>
      <c r="N187" s="8" t="str">
        <f>IFERROR(INDEX(样本到样信息汇总统计!N$2:N$500,MATCH(186,样本到样信息汇总统计!$Z$2:$Z$500,0)),"")</f>
        <v/>
      </c>
      <c r="O187" s="8" t="str">
        <f>IFERROR(INDEX(样本到样信息汇总统计!O$2:O$500,MATCH(186,样本到样信息汇总统计!$Z$2:$Z$500,0)),"")</f>
        <v/>
      </c>
      <c r="P187" s="8" t="str">
        <f>IFERROR(INDEX(样本到样信息汇总统计!P$2:P$500,MATCH(186,样本到样信息汇总统计!$Z$2:$Z$500,0)),"")</f>
        <v/>
      </c>
      <c r="Q187" s="8" t="str">
        <f>IFERROR(INDEX(样本到样信息汇总统计!Q$2:Q$500,MATCH(186,样本到样信息汇总统计!$Z$2:$Z$500,0)),"")</f>
        <v/>
      </c>
      <c r="R187" s="8" t="str">
        <f>IFERROR(INDEX(样本到样信息汇总统计!R$2:R$500,MATCH(186,样本到样信息汇总统计!$Z$2:$Z$500,0)),"")</f>
        <v/>
      </c>
      <c r="S187" s="8" t="str">
        <f>IFERROR(INDEX(样本到样信息汇总统计!S$2:S$500,MATCH(186,样本到样信息汇总统计!$Z$2:$Z$500,0)),"")</f>
        <v/>
      </c>
      <c r="T187" s="8" t="str">
        <f>IFERROR(INDEX(样本到样信息汇总统计!T$2:T$500,MATCH(186,样本到样信息汇总统计!$Z$2:$Z$500,0)),"")</f>
        <v/>
      </c>
      <c r="U187" s="8" t="str">
        <f>IFERROR(INDEX(样本到样信息汇总统计!U$2:U$500,MATCH(186,样本到样信息汇总统计!$Z$2:$Z$500,0)),"")</f>
        <v/>
      </c>
      <c r="V187" s="8" t="str">
        <f>IFERROR(INDEX(样本到样信息汇总统计!V$2:V$500,MATCH(186,样本到样信息汇总统计!$Z$2:$Z$500,0)),"")</f>
        <v/>
      </c>
      <c r="W187" s="8" t="str">
        <f>IFERROR(INDEX(样本到样信息汇总统计!W$2:W$500,MATCH(186,样本到样信息汇总统计!$Z$2:$Z$500,0)),"")</f>
        <v/>
      </c>
    </row>
    <row r="188" ht="14.5" spans="1:23">
      <c r="A188" s="4" t="str">
        <f>IFERROR(INDEX(样本到样信息汇总统计!A$2:A$500,MATCH(187,样本到样信息汇总统计!$Z$2:$Z$500,0)),"")</f>
        <v/>
      </c>
      <c r="B188" s="4" t="str">
        <f>IFERROR(INDEX(样本到样信息汇总统计!B$2:B$500,MATCH(187,样本到样信息汇总统计!$Z$2:$Z$500,0)),"")</f>
        <v/>
      </c>
      <c r="C188" s="4" t="str">
        <f>IFERROR(INDEX(样本到样信息汇总统计!C$2:C$500,MATCH(187,样本到样信息汇总统计!$Z$2:$Z$500,0)),"")</f>
        <v/>
      </c>
      <c r="D188" s="4" t="str">
        <f>IFERROR(INDEX(样本到样信息汇总统计!D$2:D$500,MATCH(187,样本到样信息汇总统计!$Z$2:$Z$500,0)),"")</f>
        <v/>
      </c>
      <c r="E188" s="4" t="str">
        <f>IFERROR(INDEX(样本到样信息汇总统计!E$2:E$500,MATCH(187,样本到样信息汇总统计!$Z$2:$Z$500,0)),"")</f>
        <v/>
      </c>
      <c r="F188" s="4" t="str">
        <f>IFERROR(INDEX(样本到样信息汇总统计!F$2:F$500,MATCH(187,样本到样信息汇总统计!$Z$2:$Z$500,0)),"")</f>
        <v/>
      </c>
      <c r="G188" s="4" t="str">
        <f>IFERROR(INDEX(样本到样信息汇总统计!G$2:G$500,MATCH(187,样本到样信息汇总统计!$Z$2:$Z$500,0)),"")</f>
        <v/>
      </c>
      <c r="H188" s="4" t="str">
        <f>IFERROR(INDEX(样本到样信息汇总统计!H$2:H$500,MATCH(187,样本到样信息汇总统计!$Z$2:$Z$500,0)),"")</f>
        <v/>
      </c>
      <c r="I188" s="4" t="str">
        <f>IFERROR(INDEX(样本到样信息汇总统计!I$2:I$500,MATCH(187,样本到样信息汇总统计!$Z$2:$Z$500,0)),"")</f>
        <v/>
      </c>
      <c r="J188" s="4" t="str">
        <f>IFERROR(INDEX(样本到样信息汇总统计!J$2:J$500,MATCH(187,样本到样信息汇总统计!$Z$2:$Z$500,0)),"")</f>
        <v/>
      </c>
      <c r="K188" s="4" t="str">
        <f>IFERROR(INDEX(样本到样信息汇总统计!K$2:K$500,MATCH(187,样本到样信息汇总统计!$Z$2:$Z$500,0)),"")</f>
        <v/>
      </c>
      <c r="L188" s="4" t="str">
        <f>IFERROR(INDEX(样本到样信息汇总统计!L$2:L$500,MATCH(187,样本到样信息汇总统计!$Z$2:$Z$500,0)),"")</f>
        <v/>
      </c>
      <c r="M188" s="4" t="str">
        <f>IFERROR(INDEX(样本到样信息汇总统计!M$2:M$500,MATCH(187,样本到样信息汇总统计!$Z$2:$Z$500,0)),"")</f>
        <v/>
      </c>
      <c r="N188" s="4" t="str">
        <f>IFERROR(INDEX(样本到样信息汇总统计!N$2:N$500,MATCH(187,样本到样信息汇总统计!$Z$2:$Z$500,0)),"")</f>
        <v/>
      </c>
      <c r="O188" s="4" t="str">
        <f>IFERROR(INDEX(样本到样信息汇总统计!O$2:O$500,MATCH(187,样本到样信息汇总统计!$Z$2:$Z$500,0)),"")</f>
        <v/>
      </c>
      <c r="P188" s="4" t="str">
        <f>IFERROR(INDEX(样本到样信息汇总统计!P$2:P$500,MATCH(187,样本到样信息汇总统计!$Z$2:$Z$500,0)),"")</f>
        <v/>
      </c>
      <c r="Q188" s="4" t="str">
        <f>IFERROR(INDEX(样本到样信息汇总统计!Q$2:Q$500,MATCH(187,样本到样信息汇总统计!$Z$2:$Z$500,0)),"")</f>
        <v/>
      </c>
      <c r="R188" s="4" t="str">
        <f>IFERROR(INDEX(样本到样信息汇总统计!R$2:R$500,MATCH(187,样本到样信息汇总统计!$Z$2:$Z$500,0)),"")</f>
        <v/>
      </c>
      <c r="S188" s="4" t="str">
        <f>IFERROR(INDEX(样本到样信息汇总统计!S$2:S$500,MATCH(187,样本到样信息汇总统计!$Z$2:$Z$500,0)),"")</f>
        <v/>
      </c>
      <c r="T188" s="4" t="str">
        <f>IFERROR(INDEX(样本到样信息汇总统计!T$2:T$500,MATCH(187,样本到样信息汇总统计!$Z$2:$Z$500,0)),"")</f>
        <v/>
      </c>
      <c r="U188" s="4" t="str">
        <f>IFERROR(INDEX(样本到样信息汇总统计!U$2:U$500,MATCH(187,样本到样信息汇总统计!$Z$2:$Z$500,0)),"")</f>
        <v/>
      </c>
      <c r="V188" s="4" t="str">
        <f>IFERROR(INDEX(样本到样信息汇总统计!V$2:V$500,MATCH(187,样本到样信息汇总统计!$Z$2:$Z$500,0)),"")</f>
        <v/>
      </c>
      <c r="W188" s="4" t="str">
        <f>IFERROR(INDEX(样本到样信息汇总统计!W$2:W$500,MATCH(187,样本到样信息汇总统计!$Z$2:$Z$500,0)),"")</f>
        <v/>
      </c>
    </row>
    <row r="189" ht="14.5" spans="1:23">
      <c r="A189" s="8" t="str">
        <f>IFERROR(INDEX(样本到样信息汇总统计!A$2:A$500,MATCH(188,样本到样信息汇总统计!$Z$2:$Z$500,0)),"")</f>
        <v/>
      </c>
      <c r="B189" s="8" t="str">
        <f>IFERROR(INDEX(样本到样信息汇总统计!B$2:B$500,MATCH(188,样本到样信息汇总统计!$Z$2:$Z$500,0)),"")</f>
        <v/>
      </c>
      <c r="C189" s="8" t="str">
        <f>IFERROR(INDEX(样本到样信息汇总统计!C$2:C$500,MATCH(188,样本到样信息汇总统计!$Z$2:$Z$500,0)),"")</f>
        <v/>
      </c>
      <c r="D189" s="8" t="str">
        <f>IFERROR(INDEX(样本到样信息汇总统计!D$2:D$500,MATCH(188,样本到样信息汇总统计!$Z$2:$Z$500,0)),"")</f>
        <v/>
      </c>
      <c r="E189" s="8" t="str">
        <f>IFERROR(INDEX(样本到样信息汇总统计!E$2:E$500,MATCH(188,样本到样信息汇总统计!$Z$2:$Z$500,0)),"")</f>
        <v/>
      </c>
      <c r="F189" s="8" t="str">
        <f>IFERROR(INDEX(样本到样信息汇总统计!F$2:F$500,MATCH(188,样本到样信息汇总统计!$Z$2:$Z$500,0)),"")</f>
        <v/>
      </c>
      <c r="G189" s="8" t="str">
        <f>IFERROR(INDEX(样本到样信息汇总统计!G$2:G$500,MATCH(188,样本到样信息汇总统计!$Z$2:$Z$500,0)),"")</f>
        <v/>
      </c>
      <c r="H189" s="8" t="str">
        <f>IFERROR(INDEX(样本到样信息汇总统计!H$2:H$500,MATCH(188,样本到样信息汇总统计!$Z$2:$Z$500,0)),"")</f>
        <v/>
      </c>
      <c r="I189" s="8" t="str">
        <f>IFERROR(INDEX(样本到样信息汇总统计!I$2:I$500,MATCH(188,样本到样信息汇总统计!$Z$2:$Z$500,0)),"")</f>
        <v/>
      </c>
      <c r="J189" s="8" t="str">
        <f>IFERROR(INDEX(样本到样信息汇总统计!J$2:J$500,MATCH(188,样本到样信息汇总统计!$Z$2:$Z$500,0)),"")</f>
        <v/>
      </c>
      <c r="K189" s="8" t="str">
        <f>IFERROR(INDEX(样本到样信息汇总统计!K$2:K$500,MATCH(188,样本到样信息汇总统计!$Z$2:$Z$500,0)),"")</f>
        <v/>
      </c>
      <c r="L189" s="8" t="str">
        <f>IFERROR(INDEX(样本到样信息汇总统计!L$2:L$500,MATCH(188,样本到样信息汇总统计!$Z$2:$Z$500,0)),"")</f>
        <v/>
      </c>
      <c r="M189" s="8" t="str">
        <f>IFERROR(INDEX(样本到样信息汇总统计!M$2:M$500,MATCH(188,样本到样信息汇总统计!$Z$2:$Z$500,0)),"")</f>
        <v/>
      </c>
      <c r="N189" s="8" t="str">
        <f>IFERROR(INDEX(样本到样信息汇总统计!N$2:N$500,MATCH(188,样本到样信息汇总统计!$Z$2:$Z$500,0)),"")</f>
        <v/>
      </c>
      <c r="O189" s="8" t="str">
        <f>IFERROR(INDEX(样本到样信息汇总统计!O$2:O$500,MATCH(188,样本到样信息汇总统计!$Z$2:$Z$500,0)),"")</f>
        <v/>
      </c>
      <c r="P189" s="8" t="str">
        <f>IFERROR(INDEX(样本到样信息汇总统计!P$2:P$500,MATCH(188,样本到样信息汇总统计!$Z$2:$Z$500,0)),"")</f>
        <v/>
      </c>
      <c r="Q189" s="8" t="str">
        <f>IFERROR(INDEX(样本到样信息汇总统计!Q$2:Q$500,MATCH(188,样本到样信息汇总统计!$Z$2:$Z$500,0)),"")</f>
        <v/>
      </c>
      <c r="R189" s="8" t="str">
        <f>IFERROR(INDEX(样本到样信息汇总统计!R$2:R$500,MATCH(188,样本到样信息汇总统计!$Z$2:$Z$500,0)),"")</f>
        <v/>
      </c>
      <c r="S189" s="8" t="str">
        <f>IFERROR(INDEX(样本到样信息汇总统计!S$2:S$500,MATCH(188,样本到样信息汇总统计!$Z$2:$Z$500,0)),"")</f>
        <v/>
      </c>
      <c r="T189" s="8" t="str">
        <f>IFERROR(INDEX(样本到样信息汇总统计!T$2:T$500,MATCH(188,样本到样信息汇总统计!$Z$2:$Z$500,0)),"")</f>
        <v/>
      </c>
      <c r="U189" s="8" t="str">
        <f>IFERROR(INDEX(样本到样信息汇总统计!U$2:U$500,MATCH(188,样本到样信息汇总统计!$Z$2:$Z$500,0)),"")</f>
        <v/>
      </c>
      <c r="V189" s="8" t="str">
        <f>IFERROR(INDEX(样本到样信息汇总统计!V$2:V$500,MATCH(188,样本到样信息汇总统计!$Z$2:$Z$500,0)),"")</f>
        <v/>
      </c>
      <c r="W189" s="8" t="str">
        <f>IFERROR(INDEX(样本到样信息汇总统计!W$2:W$500,MATCH(188,样本到样信息汇总统计!$Z$2:$Z$500,0)),"")</f>
        <v/>
      </c>
    </row>
    <row r="190" ht="14.5" spans="1:23">
      <c r="A190" s="4" t="str">
        <f>IFERROR(INDEX(样本到样信息汇总统计!A$2:A$500,MATCH(189,样本到样信息汇总统计!$Z$2:$Z$500,0)),"")</f>
        <v/>
      </c>
      <c r="B190" s="4" t="str">
        <f>IFERROR(INDEX(样本到样信息汇总统计!B$2:B$500,MATCH(189,样本到样信息汇总统计!$Z$2:$Z$500,0)),"")</f>
        <v/>
      </c>
      <c r="C190" s="4" t="str">
        <f>IFERROR(INDEX(样本到样信息汇总统计!C$2:C$500,MATCH(189,样本到样信息汇总统计!$Z$2:$Z$500,0)),"")</f>
        <v/>
      </c>
      <c r="D190" s="4" t="str">
        <f>IFERROR(INDEX(样本到样信息汇总统计!D$2:D$500,MATCH(189,样本到样信息汇总统计!$Z$2:$Z$500,0)),"")</f>
        <v/>
      </c>
      <c r="E190" s="4" t="str">
        <f>IFERROR(INDEX(样本到样信息汇总统计!E$2:E$500,MATCH(189,样本到样信息汇总统计!$Z$2:$Z$500,0)),"")</f>
        <v/>
      </c>
      <c r="F190" s="4" t="str">
        <f>IFERROR(INDEX(样本到样信息汇总统计!F$2:F$500,MATCH(189,样本到样信息汇总统计!$Z$2:$Z$500,0)),"")</f>
        <v/>
      </c>
      <c r="G190" s="4" t="str">
        <f>IFERROR(INDEX(样本到样信息汇总统计!G$2:G$500,MATCH(189,样本到样信息汇总统计!$Z$2:$Z$500,0)),"")</f>
        <v/>
      </c>
      <c r="H190" s="4" t="str">
        <f>IFERROR(INDEX(样本到样信息汇总统计!H$2:H$500,MATCH(189,样本到样信息汇总统计!$Z$2:$Z$500,0)),"")</f>
        <v/>
      </c>
      <c r="I190" s="4" t="str">
        <f>IFERROR(INDEX(样本到样信息汇总统计!I$2:I$500,MATCH(189,样本到样信息汇总统计!$Z$2:$Z$500,0)),"")</f>
        <v/>
      </c>
      <c r="J190" s="4" t="str">
        <f>IFERROR(INDEX(样本到样信息汇总统计!J$2:J$500,MATCH(189,样本到样信息汇总统计!$Z$2:$Z$500,0)),"")</f>
        <v/>
      </c>
      <c r="K190" s="4" t="str">
        <f>IFERROR(INDEX(样本到样信息汇总统计!K$2:K$500,MATCH(189,样本到样信息汇总统计!$Z$2:$Z$500,0)),"")</f>
        <v/>
      </c>
      <c r="L190" s="4" t="str">
        <f>IFERROR(INDEX(样本到样信息汇总统计!L$2:L$500,MATCH(189,样本到样信息汇总统计!$Z$2:$Z$500,0)),"")</f>
        <v/>
      </c>
      <c r="M190" s="4" t="str">
        <f>IFERROR(INDEX(样本到样信息汇总统计!M$2:M$500,MATCH(189,样本到样信息汇总统计!$Z$2:$Z$500,0)),"")</f>
        <v/>
      </c>
      <c r="N190" s="4" t="str">
        <f>IFERROR(INDEX(样本到样信息汇总统计!N$2:N$500,MATCH(189,样本到样信息汇总统计!$Z$2:$Z$500,0)),"")</f>
        <v/>
      </c>
      <c r="O190" s="4" t="str">
        <f>IFERROR(INDEX(样本到样信息汇总统计!O$2:O$500,MATCH(189,样本到样信息汇总统计!$Z$2:$Z$500,0)),"")</f>
        <v/>
      </c>
      <c r="P190" s="4" t="str">
        <f>IFERROR(INDEX(样本到样信息汇总统计!P$2:P$500,MATCH(189,样本到样信息汇总统计!$Z$2:$Z$500,0)),"")</f>
        <v/>
      </c>
      <c r="Q190" s="4" t="str">
        <f>IFERROR(INDEX(样本到样信息汇总统计!Q$2:Q$500,MATCH(189,样本到样信息汇总统计!$Z$2:$Z$500,0)),"")</f>
        <v/>
      </c>
      <c r="R190" s="4" t="str">
        <f>IFERROR(INDEX(样本到样信息汇总统计!R$2:R$500,MATCH(189,样本到样信息汇总统计!$Z$2:$Z$500,0)),"")</f>
        <v/>
      </c>
      <c r="S190" s="4" t="str">
        <f>IFERROR(INDEX(样本到样信息汇总统计!S$2:S$500,MATCH(189,样本到样信息汇总统计!$Z$2:$Z$500,0)),"")</f>
        <v/>
      </c>
      <c r="T190" s="4" t="str">
        <f>IFERROR(INDEX(样本到样信息汇总统计!T$2:T$500,MATCH(189,样本到样信息汇总统计!$Z$2:$Z$500,0)),"")</f>
        <v/>
      </c>
      <c r="U190" s="4" t="str">
        <f>IFERROR(INDEX(样本到样信息汇总统计!U$2:U$500,MATCH(189,样本到样信息汇总统计!$Z$2:$Z$500,0)),"")</f>
        <v/>
      </c>
      <c r="V190" s="4" t="str">
        <f>IFERROR(INDEX(样本到样信息汇总统计!V$2:V$500,MATCH(189,样本到样信息汇总统计!$Z$2:$Z$500,0)),"")</f>
        <v/>
      </c>
      <c r="W190" s="4" t="str">
        <f>IFERROR(INDEX(样本到样信息汇总统计!W$2:W$500,MATCH(189,样本到样信息汇总统计!$Z$2:$Z$500,0)),"")</f>
        <v/>
      </c>
    </row>
    <row r="191" ht="14.5" spans="1:23">
      <c r="A191" s="8" t="str">
        <f>IFERROR(INDEX(样本到样信息汇总统计!A$2:A$500,MATCH(190,样本到样信息汇总统计!$Z$2:$Z$500,0)),"")</f>
        <v/>
      </c>
      <c r="B191" s="8" t="str">
        <f>IFERROR(INDEX(样本到样信息汇总统计!B$2:B$500,MATCH(190,样本到样信息汇总统计!$Z$2:$Z$500,0)),"")</f>
        <v/>
      </c>
      <c r="C191" s="8" t="str">
        <f>IFERROR(INDEX(样本到样信息汇总统计!C$2:C$500,MATCH(190,样本到样信息汇总统计!$Z$2:$Z$500,0)),"")</f>
        <v/>
      </c>
      <c r="D191" s="8" t="str">
        <f>IFERROR(INDEX(样本到样信息汇总统计!D$2:D$500,MATCH(190,样本到样信息汇总统计!$Z$2:$Z$500,0)),"")</f>
        <v/>
      </c>
      <c r="E191" s="8" t="str">
        <f>IFERROR(INDEX(样本到样信息汇总统计!E$2:E$500,MATCH(190,样本到样信息汇总统计!$Z$2:$Z$500,0)),"")</f>
        <v/>
      </c>
      <c r="F191" s="8" t="str">
        <f>IFERROR(INDEX(样本到样信息汇总统计!F$2:F$500,MATCH(190,样本到样信息汇总统计!$Z$2:$Z$500,0)),"")</f>
        <v/>
      </c>
      <c r="G191" s="8" t="str">
        <f>IFERROR(INDEX(样本到样信息汇总统计!G$2:G$500,MATCH(190,样本到样信息汇总统计!$Z$2:$Z$500,0)),"")</f>
        <v/>
      </c>
      <c r="H191" s="8" t="str">
        <f>IFERROR(INDEX(样本到样信息汇总统计!H$2:H$500,MATCH(190,样本到样信息汇总统计!$Z$2:$Z$500,0)),"")</f>
        <v/>
      </c>
      <c r="I191" s="8" t="str">
        <f>IFERROR(INDEX(样本到样信息汇总统计!I$2:I$500,MATCH(190,样本到样信息汇总统计!$Z$2:$Z$500,0)),"")</f>
        <v/>
      </c>
      <c r="J191" s="8" t="str">
        <f>IFERROR(INDEX(样本到样信息汇总统计!J$2:J$500,MATCH(190,样本到样信息汇总统计!$Z$2:$Z$500,0)),"")</f>
        <v/>
      </c>
      <c r="K191" s="8" t="str">
        <f>IFERROR(INDEX(样本到样信息汇总统计!K$2:K$500,MATCH(190,样本到样信息汇总统计!$Z$2:$Z$500,0)),"")</f>
        <v/>
      </c>
      <c r="L191" s="8" t="str">
        <f>IFERROR(INDEX(样本到样信息汇总统计!L$2:L$500,MATCH(190,样本到样信息汇总统计!$Z$2:$Z$500,0)),"")</f>
        <v/>
      </c>
      <c r="M191" s="8" t="str">
        <f>IFERROR(INDEX(样本到样信息汇总统计!M$2:M$500,MATCH(190,样本到样信息汇总统计!$Z$2:$Z$500,0)),"")</f>
        <v/>
      </c>
      <c r="N191" s="8" t="str">
        <f>IFERROR(INDEX(样本到样信息汇总统计!N$2:N$500,MATCH(190,样本到样信息汇总统计!$Z$2:$Z$500,0)),"")</f>
        <v/>
      </c>
      <c r="O191" s="8" t="str">
        <f>IFERROR(INDEX(样本到样信息汇总统计!O$2:O$500,MATCH(190,样本到样信息汇总统计!$Z$2:$Z$500,0)),"")</f>
        <v/>
      </c>
      <c r="P191" s="8" t="str">
        <f>IFERROR(INDEX(样本到样信息汇总统计!P$2:P$500,MATCH(190,样本到样信息汇总统计!$Z$2:$Z$500,0)),"")</f>
        <v/>
      </c>
      <c r="Q191" s="8" t="str">
        <f>IFERROR(INDEX(样本到样信息汇总统计!Q$2:Q$500,MATCH(190,样本到样信息汇总统计!$Z$2:$Z$500,0)),"")</f>
        <v/>
      </c>
      <c r="R191" s="8" t="str">
        <f>IFERROR(INDEX(样本到样信息汇总统计!R$2:R$500,MATCH(190,样本到样信息汇总统计!$Z$2:$Z$500,0)),"")</f>
        <v/>
      </c>
      <c r="S191" s="8" t="str">
        <f>IFERROR(INDEX(样本到样信息汇总统计!S$2:S$500,MATCH(190,样本到样信息汇总统计!$Z$2:$Z$500,0)),"")</f>
        <v/>
      </c>
      <c r="T191" s="8" t="str">
        <f>IFERROR(INDEX(样本到样信息汇总统计!T$2:T$500,MATCH(190,样本到样信息汇总统计!$Z$2:$Z$500,0)),"")</f>
        <v/>
      </c>
      <c r="U191" s="8" t="str">
        <f>IFERROR(INDEX(样本到样信息汇总统计!U$2:U$500,MATCH(190,样本到样信息汇总统计!$Z$2:$Z$500,0)),"")</f>
        <v/>
      </c>
      <c r="V191" s="8" t="str">
        <f>IFERROR(INDEX(样本到样信息汇总统计!V$2:V$500,MATCH(190,样本到样信息汇总统计!$Z$2:$Z$500,0)),"")</f>
        <v/>
      </c>
      <c r="W191" s="8" t="str">
        <f>IFERROR(INDEX(样本到样信息汇总统计!W$2:W$500,MATCH(190,样本到样信息汇总统计!$Z$2:$Z$500,0)),"")</f>
        <v/>
      </c>
    </row>
    <row r="192" ht="14.5" spans="1:23">
      <c r="A192" s="4" t="str">
        <f>IFERROR(INDEX(样本到样信息汇总统计!A$2:A$500,MATCH(191,样本到样信息汇总统计!$Z$2:$Z$500,0)),"")</f>
        <v/>
      </c>
      <c r="B192" s="4" t="str">
        <f>IFERROR(INDEX(样本到样信息汇总统计!B$2:B$500,MATCH(191,样本到样信息汇总统计!$Z$2:$Z$500,0)),"")</f>
        <v/>
      </c>
      <c r="C192" s="4" t="str">
        <f>IFERROR(INDEX(样本到样信息汇总统计!C$2:C$500,MATCH(191,样本到样信息汇总统计!$Z$2:$Z$500,0)),"")</f>
        <v/>
      </c>
      <c r="D192" s="4" t="str">
        <f>IFERROR(INDEX(样本到样信息汇总统计!D$2:D$500,MATCH(191,样本到样信息汇总统计!$Z$2:$Z$500,0)),"")</f>
        <v/>
      </c>
      <c r="E192" s="4" t="str">
        <f>IFERROR(INDEX(样本到样信息汇总统计!E$2:E$500,MATCH(191,样本到样信息汇总统计!$Z$2:$Z$500,0)),"")</f>
        <v/>
      </c>
      <c r="F192" s="4" t="str">
        <f>IFERROR(INDEX(样本到样信息汇总统计!F$2:F$500,MATCH(191,样本到样信息汇总统计!$Z$2:$Z$500,0)),"")</f>
        <v/>
      </c>
      <c r="G192" s="4" t="str">
        <f>IFERROR(INDEX(样本到样信息汇总统计!G$2:G$500,MATCH(191,样本到样信息汇总统计!$Z$2:$Z$500,0)),"")</f>
        <v/>
      </c>
      <c r="H192" s="4" t="str">
        <f>IFERROR(INDEX(样本到样信息汇总统计!H$2:H$500,MATCH(191,样本到样信息汇总统计!$Z$2:$Z$500,0)),"")</f>
        <v/>
      </c>
      <c r="I192" s="4" t="str">
        <f>IFERROR(INDEX(样本到样信息汇总统计!I$2:I$500,MATCH(191,样本到样信息汇总统计!$Z$2:$Z$500,0)),"")</f>
        <v/>
      </c>
      <c r="J192" s="4" t="str">
        <f>IFERROR(INDEX(样本到样信息汇总统计!J$2:J$500,MATCH(191,样本到样信息汇总统计!$Z$2:$Z$500,0)),"")</f>
        <v/>
      </c>
      <c r="K192" s="4" t="str">
        <f>IFERROR(INDEX(样本到样信息汇总统计!K$2:K$500,MATCH(191,样本到样信息汇总统计!$Z$2:$Z$500,0)),"")</f>
        <v/>
      </c>
      <c r="L192" s="4" t="str">
        <f>IFERROR(INDEX(样本到样信息汇总统计!L$2:L$500,MATCH(191,样本到样信息汇总统计!$Z$2:$Z$500,0)),"")</f>
        <v/>
      </c>
      <c r="M192" s="4" t="str">
        <f>IFERROR(INDEX(样本到样信息汇总统计!M$2:M$500,MATCH(191,样本到样信息汇总统计!$Z$2:$Z$500,0)),"")</f>
        <v/>
      </c>
      <c r="N192" s="4" t="str">
        <f>IFERROR(INDEX(样本到样信息汇总统计!N$2:N$500,MATCH(191,样本到样信息汇总统计!$Z$2:$Z$500,0)),"")</f>
        <v/>
      </c>
      <c r="O192" s="4" t="str">
        <f>IFERROR(INDEX(样本到样信息汇总统计!O$2:O$500,MATCH(191,样本到样信息汇总统计!$Z$2:$Z$500,0)),"")</f>
        <v/>
      </c>
      <c r="P192" s="4" t="str">
        <f>IFERROR(INDEX(样本到样信息汇总统计!P$2:P$500,MATCH(191,样本到样信息汇总统计!$Z$2:$Z$500,0)),"")</f>
        <v/>
      </c>
      <c r="Q192" s="4" t="str">
        <f>IFERROR(INDEX(样本到样信息汇总统计!Q$2:Q$500,MATCH(191,样本到样信息汇总统计!$Z$2:$Z$500,0)),"")</f>
        <v/>
      </c>
      <c r="R192" s="4" t="str">
        <f>IFERROR(INDEX(样本到样信息汇总统计!R$2:R$500,MATCH(191,样本到样信息汇总统计!$Z$2:$Z$500,0)),"")</f>
        <v/>
      </c>
      <c r="S192" s="4" t="str">
        <f>IFERROR(INDEX(样本到样信息汇总统计!S$2:S$500,MATCH(191,样本到样信息汇总统计!$Z$2:$Z$500,0)),"")</f>
        <v/>
      </c>
      <c r="T192" s="4" t="str">
        <f>IFERROR(INDEX(样本到样信息汇总统计!T$2:T$500,MATCH(191,样本到样信息汇总统计!$Z$2:$Z$500,0)),"")</f>
        <v/>
      </c>
      <c r="U192" s="4" t="str">
        <f>IFERROR(INDEX(样本到样信息汇总统计!U$2:U$500,MATCH(191,样本到样信息汇总统计!$Z$2:$Z$500,0)),"")</f>
        <v/>
      </c>
      <c r="V192" s="4" t="str">
        <f>IFERROR(INDEX(样本到样信息汇总统计!V$2:V$500,MATCH(191,样本到样信息汇总统计!$Z$2:$Z$500,0)),"")</f>
        <v/>
      </c>
      <c r="W192" s="4" t="str">
        <f>IFERROR(INDEX(样本到样信息汇总统计!W$2:W$500,MATCH(191,样本到样信息汇总统计!$Z$2:$Z$500,0)),"")</f>
        <v/>
      </c>
    </row>
    <row r="193" ht="14.5" spans="1:23">
      <c r="A193" s="8" t="str">
        <f>IFERROR(INDEX(样本到样信息汇总统计!A$2:A$500,MATCH(192,样本到样信息汇总统计!$Z$2:$Z$500,0)),"")</f>
        <v/>
      </c>
      <c r="B193" s="8" t="str">
        <f>IFERROR(INDEX(样本到样信息汇总统计!B$2:B$500,MATCH(192,样本到样信息汇总统计!$Z$2:$Z$500,0)),"")</f>
        <v/>
      </c>
      <c r="C193" s="8" t="str">
        <f>IFERROR(INDEX(样本到样信息汇总统计!C$2:C$500,MATCH(192,样本到样信息汇总统计!$Z$2:$Z$500,0)),"")</f>
        <v/>
      </c>
      <c r="D193" s="8" t="str">
        <f>IFERROR(INDEX(样本到样信息汇总统计!D$2:D$500,MATCH(192,样本到样信息汇总统计!$Z$2:$Z$500,0)),"")</f>
        <v/>
      </c>
      <c r="E193" s="8" t="str">
        <f>IFERROR(INDEX(样本到样信息汇总统计!E$2:E$500,MATCH(192,样本到样信息汇总统计!$Z$2:$Z$500,0)),"")</f>
        <v/>
      </c>
      <c r="F193" s="8" t="str">
        <f>IFERROR(INDEX(样本到样信息汇总统计!F$2:F$500,MATCH(192,样本到样信息汇总统计!$Z$2:$Z$500,0)),"")</f>
        <v/>
      </c>
      <c r="G193" s="8" t="str">
        <f>IFERROR(INDEX(样本到样信息汇总统计!G$2:G$500,MATCH(192,样本到样信息汇总统计!$Z$2:$Z$500,0)),"")</f>
        <v/>
      </c>
      <c r="H193" s="8" t="str">
        <f>IFERROR(INDEX(样本到样信息汇总统计!H$2:H$500,MATCH(192,样本到样信息汇总统计!$Z$2:$Z$500,0)),"")</f>
        <v/>
      </c>
      <c r="I193" s="8" t="str">
        <f>IFERROR(INDEX(样本到样信息汇总统计!I$2:I$500,MATCH(192,样本到样信息汇总统计!$Z$2:$Z$500,0)),"")</f>
        <v/>
      </c>
      <c r="J193" s="8" t="str">
        <f>IFERROR(INDEX(样本到样信息汇总统计!J$2:J$500,MATCH(192,样本到样信息汇总统计!$Z$2:$Z$500,0)),"")</f>
        <v/>
      </c>
      <c r="K193" s="8" t="str">
        <f>IFERROR(INDEX(样本到样信息汇总统计!K$2:K$500,MATCH(192,样本到样信息汇总统计!$Z$2:$Z$500,0)),"")</f>
        <v/>
      </c>
      <c r="L193" s="8" t="str">
        <f>IFERROR(INDEX(样本到样信息汇总统计!L$2:L$500,MATCH(192,样本到样信息汇总统计!$Z$2:$Z$500,0)),"")</f>
        <v/>
      </c>
      <c r="M193" s="8" t="str">
        <f>IFERROR(INDEX(样本到样信息汇总统计!M$2:M$500,MATCH(192,样本到样信息汇总统计!$Z$2:$Z$500,0)),"")</f>
        <v/>
      </c>
      <c r="N193" s="8" t="str">
        <f>IFERROR(INDEX(样本到样信息汇总统计!N$2:N$500,MATCH(192,样本到样信息汇总统计!$Z$2:$Z$500,0)),"")</f>
        <v/>
      </c>
      <c r="O193" s="8" t="str">
        <f>IFERROR(INDEX(样本到样信息汇总统计!O$2:O$500,MATCH(192,样本到样信息汇总统计!$Z$2:$Z$500,0)),"")</f>
        <v/>
      </c>
      <c r="P193" s="8" t="str">
        <f>IFERROR(INDEX(样本到样信息汇总统计!P$2:P$500,MATCH(192,样本到样信息汇总统计!$Z$2:$Z$500,0)),"")</f>
        <v/>
      </c>
      <c r="Q193" s="8" t="str">
        <f>IFERROR(INDEX(样本到样信息汇总统计!Q$2:Q$500,MATCH(192,样本到样信息汇总统计!$Z$2:$Z$500,0)),"")</f>
        <v/>
      </c>
      <c r="R193" s="8" t="str">
        <f>IFERROR(INDEX(样本到样信息汇总统计!R$2:R$500,MATCH(192,样本到样信息汇总统计!$Z$2:$Z$500,0)),"")</f>
        <v/>
      </c>
      <c r="S193" s="8" t="str">
        <f>IFERROR(INDEX(样本到样信息汇总统计!S$2:S$500,MATCH(192,样本到样信息汇总统计!$Z$2:$Z$500,0)),"")</f>
        <v/>
      </c>
      <c r="T193" s="8" t="str">
        <f>IFERROR(INDEX(样本到样信息汇总统计!T$2:T$500,MATCH(192,样本到样信息汇总统计!$Z$2:$Z$500,0)),"")</f>
        <v/>
      </c>
      <c r="U193" s="8" t="str">
        <f>IFERROR(INDEX(样本到样信息汇总统计!U$2:U$500,MATCH(192,样本到样信息汇总统计!$Z$2:$Z$500,0)),"")</f>
        <v/>
      </c>
      <c r="V193" s="8" t="str">
        <f>IFERROR(INDEX(样本到样信息汇总统计!V$2:V$500,MATCH(192,样本到样信息汇总统计!$Z$2:$Z$500,0)),"")</f>
        <v/>
      </c>
      <c r="W193" s="8" t="str">
        <f>IFERROR(INDEX(样本到样信息汇总统计!W$2:W$500,MATCH(192,样本到样信息汇总统计!$Z$2:$Z$500,0)),"")</f>
        <v/>
      </c>
    </row>
    <row r="194" ht="14.5" spans="1:23">
      <c r="A194" s="4" t="str">
        <f>IFERROR(INDEX(样本到样信息汇总统计!A$2:A$500,MATCH(193,样本到样信息汇总统计!$Z$2:$Z$500,0)),"")</f>
        <v/>
      </c>
      <c r="B194" s="4" t="str">
        <f>IFERROR(INDEX(样本到样信息汇总统计!B$2:B$500,MATCH(193,样本到样信息汇总统计!$Z$2:$Z$500,0)),"")</f>
        <v/>
      </c>
      <c r="C194" s="4" t="str">
        <f>IFERROR(INDEX(样本到样信息汇总统计!C$2:C$500,MATCH(193,样本到样信息汇总统计!$Z$2:$Z$500,0)),"")</f>
        <v/>
      </c>
      <c r="D194" s="4" t="str">
        <f>IFERROR(INDEX(样本到样信息汇总统计!D$2:D$500,MATCH(193,样本到样信息汇总统计!$Z$2:$Z$500,0)),"")</f>
        <v/>
      </c>
      <c r="E194" s="4" t="str">
        <f>IFERROR(INDEX(样本到样信息汇总统计!E$2:E$500,MATCH(193,样本到样信息汇总统计!$Z$2:$Z$500,0)),"")</f>
        <v/>
      </c>
      <c r="F194" s="4" t="str">
        <f>IFERROR(INDEX(样本到样信息汇总统计!F$2:F$500,MATCH(193,样本到样信息汇总统计!$Z$2:$Z$500,0)),"")</f>
        <v/>
      </c>
      <c r="G194" s="4" t="str">
        <f>IFERROR(INDEX(样本到样信息汇总统计!G$2:G$500,MATCH(193,样本到样信息汇总统计!$Z$2:$Z$500,0)),"")</f>
        <v/>
      </c>
      <c r="H194" s="4" t="str">
        <f>IFERROR(INDEX(样本到样信息汇总统计!H$2:H$500,MATCH(193,样本到样信息汇总统计!$Z$2:$Z$500,0)),"")</f>
        <v/>
      </c>
      <c r="I194" s="4" t="str">
        <f>IFERROR(INDEX(样本到样信息汇总统计!I$2:I$500,MATCH(193,样本到样信息汇总统计!$Z$2:$Z$500,0)),"")</f>
        <v/>
      </c>
      <c r="J194" s="4" t="str">
        <f>IFERROR(INDEX(样本到样信息汇总统计!J$2:J$500,MATCH(193,样本到样信息汇总统计!$Z$2:$Z$500,0)),"")</f>
        <v/>
      </c>
      <c r="K194" s="4" t="str">
        <f>IFERROR(INDEX(样本到样信息汇总统计!K$2:K$500,MATCH(193,样本到样信息汇总统计!$Z$2:$Z$500,0)),"")</f>
        <v/>
      </c>
      <c r="L194" s="4" t="str">
        <f>IFERROR(INDEX(样本到样信息汇总统计!L$2:L$500,MATCH(193,样本到样信息汇总统计!$Z$2:$Z$500,0)),"")</f>
        <v/>
      </c>
      <c r="M194" s="4" t="str">
        <f>IFERROR(INDEX(样本到样信息汇总统计!M$2:M$500,MATCH(193,样本到样信息汇总统计!$Z$2:$Z$500,0)),"")</f>
        <v/>
      </c>
      <c r="N194" s="4" t="str">
        <f>IFERROR(INDEX(样本到样信息汇总统计!N$2:N$500,MATCH(193,样本到样信息汇总统计!$Z$2:$Z$500,0)),"")</f>
        <v/>
      </c>
      <c r="O194" s="4" t="str">
        <f>IFERROR(INDEX(样本到样信息汇总统计!O$2:O$500,MATCH(193,样本到样信息汇总统计!$Z$2:$Z$500,0)),"")</f>
        <v/>
      </c>
      <c r="P194" s="4" t="str">
        <f>IFERROR(INDEX(样本到样信息汇总统计!P$2:P$500,MATCH(193,样本到样信息汇总统计!$Z$2:$Z$500,0)),"")</f>
        <v/>
      </c>
      <c r="Q194" s="4" t="str">
        <f>IFERROR(INDEX(样本到样信息汇总统计!Q$2:Q$500,MATCH(193,样本到样信息汇总统计!$Z$2:$Z$500,0)),"")</f>
        <v/>
      </c>
      <c r="R194" s="4" t="str">
        <f>IFERROR(INDEX(样本到样信息汇总统计!R$2:R$500,MATCH(193,样本到样信息汇总统计!$Z$2:$Z$500,0)),"")</f>
        <v/>
      </c>
      <c r="S194" s="4" t="str">
        <f>IFERROR(INDEX(样本到样信息汇总统计!S$2:S$500,MATCH(193,样本到样信息汇总统计!$Z$2:$Z$500,0)),"")</f>
        <v/>
      </c>
      <c r="T194" s="4" t="str">
        <f>IFERROR(INDEX(样本到样信息汇总统计!T$2:T$500,MATCH(193,样本到样信息汇总统计!$Z$2:$Z$500,0)),"")</f>
        <v/>
      </c>
      <c r="U194" s="4" t="str">
        <f>IFERROR(INDEX(样本到样信息汇总统计!U$2:U$500,MATCH(193,样本到样信息汇总统计!$Z$2:$Z$500,0)),"")</f>
        <v/>
      </c>
      <c r="V194" s="4" t="str">
        <f>IFERROR(INDEX(样本到样信息汇总统计!V$2:V$500,MATCH(193,样本到样信息汇总统计!$Z$2:$Z$500,0)),"")</f>
        <v/>
      </c>
      <c r="W194" s="4" t="str">
        <f>IFERROR(INDEX(样本到样信息汇总统计!W$2:W$500,MATCH(193,样本到样信息汇总统计!$Z$2:$Z$500,0)),"")</f>
        <v/>
      </c>
    </row>
    <row r="195" ht="14.5" spans="1:23">
      <c r="A195" s="8" t="str">
        <f>IFERROR(INDEX(样本到样信息汇总统计!A$2:A$500,MATCH(194,样本到样信息汇总统计!$Z$2:$Z$500,0)),"")</f>
        <v/>
      </c>
      <c r="B195" s="8" t="str">
        <f>IFERROR(INDEX(样本到样信息汇总统计!B$2:B$500,MATCH(194,样本到样信息汇总统计!$Z$2:$Z$500,0)),"")</f>
        <v/>
      </c>
      <c r="C195" s="8" t="str">
        <f>IFERROR(INDEX(样本到样信息汇总统计!C$2:C$500,MATCH(194,样本到样信息汇总统计!$Z$2:$Z$500,0)),"")</f>
        <v/>
      </c>
      <c r="D195" s="8" t="str">
        <f>IFERROR(INDEX(样本到样信息汇总统计!D$2:D$500,MATCH(194,样本到样信息汇总统计!$Z$2:$Z$500,0)),"")</f>
        <v/>
      </c>
      <c r="E195" s="8" t="str">
        <f>IFERROR(INDEX(样本到样信息汇总统计!E$2:E$500,MATCH(194,样本到样信息汇总统计!$Z$2:$Z$500,0)),"")</f>
        <v/>
      </c>
      <c r="F195" s="8" t="str">
        <f>IFERROR(INDEX(样本到样信息汇总统计!F$2:F$500,MATCH(194,样本到样信息汇总统计!$Z$2:$Z$500,0)),"")</f>
        <v/>
      </c>
      <c r="G195" s="8" t="str">
        <f>IFERROR(INDEX(样本到样信息汇总统计!G$2:G$500,MATCH(194,样本到样信息汇总统计!$Z$2:$Z$500,0)),"")</f>
        <v/>
      </c>
      <c r="H195" s="8" t="str">
        <f>IFERROR(INDEX(样本到样信息汇总统计!H$2:H$500,MATCH(194,样本到样信息汇总统计!$Z$2:$Z$500,0)),"")</f>
        <v/>
      </c>
      <c r="I195" s="8" t="str">
        <f>IFERROR(INDEX(样本到样信息汇总统计!I$2:I$500,MATCH(194,样本到样信息汇总统计!$Z$2:$Z$500,0)),"")</f>
        <v/>
      </c>
      <c r="J195" s="8" t="str">
        <f>IFERROR(INDEX(样本到样信息汇总统计!J$2:J$500,MATCH(194,样本到样信息汇总统计!$Z$2:$Z$500,0)),"")</f>
        <v/>
      </c>
      <c r="K195" s="8" t="str">
        <f>IFERROR(INDEX(样本到样信息汇总统计!K$2:K$500,MATCH(194,样本到样信息汇总统计!$Z$2:$Z$500,0)),"")</f>
        <v/>
      </c>
      <c r="L195" s="8" t="str">
        <f>IFERROR(INDEX(样本到样信息汇总统计!L$2:L$500,MATCH(194,样本到样信息汇总统计!$Z$2:$Z$500,0)),"")</f>
        <v/>
      </c>
      <c r="M195" s="8" t="str">
        <f>IFERROR(INDEX(样本到样信息汇总统计!M$2:M$500,MATCH(194,样本到样信息汇总统计!$Z$2:$Z$500,0)),"")</f>
        <v/>
      </c>
      <c r="N195" s="8" t="str">
        <f>IFERROR(INDEX(样本到样信息汇总统计!N$2:N$500,MATCH(194,样本到样信息汇总统计!$Z$2:$Z$500,0)),"")</f>
        <v/>
      </c>
      <c r="O195" s="8" t="str">
        <f>IFERROR(INDEX(样本到样信息汇总统计!O$2:O$500,MATCH(194,样本到样信息汇总统计!$Z$2:$Z$500,0)),"")</f>
        <v/>
      </c>
      <c r="P195" s="8" t="str">
        <f>IFERROR(INDEX(样本到样信息汇总统计!P$2:P$500,MATCH(194,样本到样信息汇总统计!$Z$2:$Z$500,0)),"")</f>
        <v/>
      </c>
      <c r="Q195" s="8" t="str">
        <f>IFERROR(INDEX(样本到样信息汇总统计!Q$2:Q$500,MATCH(194,样本到样信息汇总统计!$Z$2:$Z$500,0)),"")</f>
        <v/>
      </c>
      <c r="R195" s="8" t="str">
        <f>IFERROR(INDEX(样本到样信息汇总统计!R$2:R$500,MATCH(194,样本到样信息汇总统计!$Z$2:$Z$500,0)),"")</f>
        <v/>
      </c>
      <c r="S195" s="8" t="str">
        <f>IFERROR(INDEX(样本到样信息汇总统计!S$2:S$500,MATCH(194,样本到样信息汇总统计!$Z$2:$Z$500,0)),"")</f>
        <v/>
      </c>
      <c r="T195" s="8" t="str">
        <f>IFERROR(INDEX(样本到样信息汇总统计!T$2:T$500,MATCH(194,样本到样信息汇总统计!$Z$2:$Z$500,0)),"")</f>
        <v/>
      </c>
      <c r="U195" s="8" t="str">
        <f>IFERROR(INDEX(样本到样信息汇总统计!U$2:U$500,MATCH(194,样本到样信息汇总统计!$Z$2:$Z$500,0)),"")</f>
        <v/>
      </c>
      <c r="V195" s="8" t="str">
        <f>IFERROR(INDEX(样本到样信息汇总统计!V$2:V$500,MATCH(194,样本到样信息汇总统计!$Z$2:$Z$500,0)),"")</f>
        <v/>
      </c>
      <c r="W195" s="8" t="str">
        <f>IFERROR(INDEX(样本到样信息汇总统计!W$2:W$500,MATCH(194,样本到样信息汇总统计!$Z$2:$Z$500,0)),"")</f>
        <v/>
      </c>
    </row>
    <row r="196" ht="14.5" spans="1:23">
      <c r="A196" s="4" t="str">
        <f>IFERROR(INDEX(样本到样信息汇总统计!A$2:A$500,MATCH(195,样本到样信息汇总统计!$Z$2:$Z$500,0)),"")</f>
        <v/>
      </c>
      <c r="B196" s="4" t="str">
        <f>IFERROR(INDEX(样本到样信息汇总统计!B$2:B$500,MATCH(195,样本到样信息汇总统计!$Z$2:$Z$500,0)),"")</f>
        <v/>
      </c>
      <c r="C196" s="4" t="str">
        <f>IFERROR(INDEX(样本到样信息汇总统计!C$2:C$500,MATCH(195,样本到样信息汇总统计!$Z$2:$Z$500,0)),"")</f>
        <v/>
      </c>
      <c r="D196" s="4" t="str">
        <f>IFERROR(INDEX(样本到样信息汇总统计!D$2:D$500,MATCH(195,样本到样信息汇总统计!$Z$2:$Z$500,0)),"")</f>
        <v/>
      </c>
      <c r="E196" s="4" t="str">
        <f>IFERROR(INDEX(样本到样信息汇总统计!E$2:E$500,MATCH(195,样本到样信息汇总统计!$Z$2:$Z$500,0)),"")</f>
        <v/>
      </c>
      <c r="F196" s="4" t="str">
        <f>IFERROR(INDEX(样本到样信息汇总统计!F$2:F$500,MATCH(195,样本到样信息汇总统计!$Z$2:$Z$500,0)),"")</f>
        <v/>
      </c>
      <c r="G196" s="4" t="str">
        <f>IFERROR(INDEX(样本到样信息汇总统计!G$2:G$500,MATCH(195,样本到样信息汇总统计!$Z$2:$Z$500,0)),"")</f>
        <v/>
      </c>
      <c r="H196" s="4" t="str">
        <f>IFERROR(INDEX(样本到样信息汇总统计!H$2:H$500,MATCH(195,样本到样信息汇总统计!$Z$2:$Z$500,0)),"")</f>
        <v/>
      </c>
      <c r="I196" s="4" t="str">
        <f>IFERROR(INDEX(样本到样信息汇总统计!I$2:I$500,MATCH(195,样本到样信息汇总统计!$Z$2:$Z$500,0)),"")</f>
        <v/>
      </c>
      <c r="J196" s="4" t="str">
        <f>IFERROR(INDEX(样本到样信息汇总统计!J$2:J$500,MATCH(195,样本到样信息汇总统计!$Z$2:$Z$500,0)),"")</f>
        <v/>
      </c>
      <c r="K196" s="4" t="str">
        <f>IFERROR(INDEX(样本到样信息汇总统计!K$2:K$500,MATCH(195,样本到样信息汇总统计!$Z$2:$Z$500,0)),"")</f>
        <v/>
      </c>
      <c r="L196" s="4" t="str">
        <f>IFERROR(INDEX(样本到样信息汇总统计!L$2:L$500,MATCH(195,样本到样信息汇总统计!$Z$2:$Z$500,0)),"")</f>
        <v/>
      </c>
      <c r="M196" s="4" t="str">
        <f>IFERROR(INDEX(样本到样信息汇总统计!M$2:M$500,MATCH(195,样本到样信息汇总统计!$Z$2:$Z$500,0)),"")</f>
        <v/>
      </c>
      <c r="N196" s="4" t="str">
        <f>IFERROR(INDEX(样本到样信息汇总统计!N$2:N$500,MATCH(195,样本到样信息汇总统计!$Z$2:$Z$500,0)),"")</f>
        <v/>
      </c>
      <c r="O196" s="4" t="str">
        <f>IFERROR(INDEX(样本到样信息汇总统计!O$2:O$500,MATCH(195,样本到样信息汇总统计!$Z$2:$Z$500,0)),"")</f>
        <v/>
      </c>
      <c r="P196" s="4" t="str">
        <f>IFERROR(INDEX(样本到样信息汇总统计!P$2:P$500,MATCH(195,样本到样信息汇总统计!$Z$2:$Z$500,0)),"")</f>
        <v/>
      </c>
      <c r="Q196" s="4" t="str">
        <f>IFERROR(INDEX(样本到样信息汇总统计!Q$2:Q$500,MATCH(195,样本到样信息汇总统计!$Z$2:$Z$500,0)),"")</f>
        <v/>
      </c>
      <c r="R196" s="4" t="str">
        <f>IFERROR(INDEX(样本到样信息汇总统计!R$2:R$500,MATCH(195,样本到样信息汇总统计!$Z$2:$Z$500,0)),"")</f>
        <v/>
      </c>
      <c r="S196" s="4" t="str">
        <f>IFERROR(INDEX(样本到样信息汇总统计!S$2:S$500,MATCH(195,样本到样信息汇总统计!$Z$2:$Z$500,0)),"")</f>
        <v/>
      </c>
      <c r="T196" s="4" t="str">
        <f>IFERROR(INDEX(样本到样信息汇总统计!T$2:T$500,MATCH(195,样本到样信息汇总统计!$Z$2:$Z$500,0)),"")</f>
        <v/>
      </c>
      <c r="U196" s="4" t="str">
        <f>IFERROR(INDEX(样本到样信息汇总统计!U$2:U$500,MATCH(195,样本到样信息汇总统计!$Z$2:$Z$500,0)),"")</f>
        <v/>
      </c>
      <c r="V196" s="4" t="str">
        <f>IFERROR(INDEX(样本到样信息汇总统计!V$2:V$500,MATCH(195,样本到样信息汇总统计!$Z$2:$Z$500,0)),"")</f>
        <v/>
      </c>
      <c r="W196" s="4" t="str">
        <f>IFERROR(INDEX(样本到样信息汇总统计!W$2:W$500,MATCH(195,样本到样信息汇总统计!$Z$2:$Z$500,0)),"")</f>
        <v/>
      </c>
    </row>
    <row r="197" ht="14.5" spans="1:23">
      <c r="A197" s="8" t="str">
        <f>IFERROR(INDEX(样本到样信息汇总统计!A$2:A$500,MATCH(196,样本到样信息汇总统计!$Z$2:$Z$500,0)),"")</f>
        <v/>
      </c>
      <c r="B197" s="8" t="str">
        <f>IFERROR(INDEX(样本到样信息汇总统计!B$2:B$500,MATCH(196,样本到样信息汇总统计!$Z$2:$Z$500,0)),"")</f>
        <v/>
      </c>
      <c r="C197" s="8" t="str">
        <f>IFERROR(INDEX(样本到样信息汇总统计!C$2:C$500,MATCH(196,样本到样信息汇总统计!$Z$2:$Z$500,0)),"")</f>
        <v/>
      </c>
      <c r="D197" s="8" t="str">
        <f>IFERROR(INDEX(样本到样信息汇总统计!D$2:D$500,MATCH(196,样本到样信息汇总统计!$Z$2:$Z$500,0)),"")</f>
        <v/>
      </c>
      <c r="E197" s="8" t="str">
        <f>IFERROR(INDEX(样本到样信息汇总统计!E$2:E$500,MATCH(196,样本到样信息汇总统计!$Z$2:$Z$500,0)),"")</f>
        <v/>
      </c>
      <c r="F197" s="8" t="str">
        <f>IFERROR(INDEX(样本到样信息汇总统计!F$2:F$500,MATCH(196,样本到样信息汇总统计!$Z$2:$Z$500,0)),"")</f>
        <v/>
      </c>
      <c r="G197" s="8" t="str">
        <f>IFERROR(INDEX(样本到样信息汇总统计!G$2:G$500,MATCH(196,样本到样信息汇总统计!$Z$2:$Z$500,0)),"")</f>
        <v/>
      </c>
      <c r="H197" s="8" t="str">
        <f>IFERROR(INDEX(样本到样信息汇总统计!H$2:H$500,MATCH(196,样本到样信息汇总统计!$Z$2:$Z$500,0)),"")</f>
        <v/>
      </c>
      <c r="I197" s="8" t="str">
        <f>IFERROR(INDEX(样本到样信息汇总统计!I$2:I$500,MATCH(196,样本到样信息汇总统计!$Z$2:$Z$500,0)),"")</f>
        <v/>
      </c>
      <c r="J197" s="8" t="str">
        <f>IFERROR(INDEX(样本到样信息汇总统计!J$2:J$500,MATCH(196,样本到样信息汇总统计!$Z$2:$Z$500,0)),"")</f>
        <v/>
      </c>
      <c r="K197" s="8" t="str">
        <f>IFERROR(INDEX(样本到样信息汇总统计!K$2:K$500,MATCH(196,样本到样信息汇总统计!$Z$2:$Z$500,0)),"")</f>
        <v/>
      </c>
      <c r="L197" s="8" t="str">
        <f>IFERROR(INDEX(样本到样信息汇总统计!L$2:L$500,MATCH(196,样本到样信息汇总统计!$Z$2:$Z$500,0)),"")</f>
        <v/>
      </c>
      <c r="M197" s="8" t="str">
        <f>IFERROR(INDEX(样本到样信息汇总统计!M$2:M$500,MATCH(196,样本到样信息汇总统计!$Z$2:$Z$500,0)),"")</f>
        <v/>
      </c>
      <c r="N197" s="8" t="str">
        <f>IFERROR(INDEX(样本到样信息汇总统计!N$2:N$500,MATCH(196,样本到样信息汇总统计!$Z$2:$Z$500,0)),"")</f>
        <v/>
      </c>
      <c r="O197" s="8" t="str">
        <f>IFERROR(INDEX(样本到样信息汇总统计!O$2:O$500,MATCH(196,样本到样信息汇总统计!$Z$2:$Z$500,0)),"")</f>
        <v/>
      </c>
      <c r="P197" s="8" t="str">
        <f>IFERROR(INDEX(样本到样信息汇总统计!P$2:P$500,MATCH(196,样本到样信息汇总统计!$Z$2:$Z$500,0)),"")</f>
        <v/>
      </c>
      <c r="Q197" s="8" t="str">
        <f>IFERROR(INDEX(样本到样信息汇总统计!Q$2:Q$500,MATCH(196,样本到样信息汇总统计!$Z$2:$Z$500,0)),"")</f>
        <v/>
      </c>
      <c r="R197" s="8" t="str">
        <f>IFERROR(INDEX(样本到样信息汇总统计!R$2:R$500,MATCH(196,样本到样信息汇总统计!$Z$2:$Z$500,0)),"")</f>
        <v/>
      </c>
      <c r="S197" s="8" t="str">
        <f>IFERROR(INDEX(样本到样信息汇总统计!S$2:S$500,MATCH(196,样本到样信息汇总统计!$Z$2:$Z$500,0)),"")</f>
        <v/>
      </c>
      <c r="T197" s="8" t="str">
        <f>IFERROR(INDEX(样本到样信息汇总统计!T$2:T$500,MATCH(196,样本到样信息汇总统计!$Z$2:$Z$500,0)),"")</f>
        <v/>
      </c>
      <c r="U197" s="8" t="str">
        <f>IFERROR(INDEX(样本到样信息汇总统计!U$2:U$500,MATCH(196,样本到样信息汇总统计!$Z$2:$Z$500,0)),"")</f>
        <v/>
      </c>
      <c r="V197" s="8" t="str">
        <f>IFERROR(INDEX(样本到样信息汇总统计!V$2:V$500,MATCH(196,样本到样信息汇总统计!$Z$2:$Z$500,0)),"")</f>
        <v/>
      </c>
      <c r="W197" s="8" t="str">
        <f>IFERROR(INDEX(样本到样信息汇总统计!W$2:W$500,MATCH(196,样本到样信息汇总统计!$Z$2:$Z$500,0)),"")</f>
        <v/>
      </c>
    </row>
    <row r="198" ht="14.5" spans="1:23">
      <c r="A198" s="4" t="str">
        <f>IFERROR(INDEX(样本到样信息汇总统计!A$2:A$500,MATCH(197,样本到样信息汇总统计!$Z$2:$Z$500,0)),"")</f>
        <v/>
      </c>
      <c r="B198" s="4" t="str">
        <f>IFERROR(INDEX(样本到样信息汇总统计!B$2:B$500,MATCH(197,样本到样信息汇总统计!$Z$2:$Z$500,0)),"")</f>
        <v/>
      </c>
      <c r="C198" s="4" t="str">
        <f>IFERROR(INDEX(样本到样信息汇总统计!C$2:C$500,MATCH(197,样本到样信息汇总统计!$Z$2:$Z$500,0)),"")</f>
        <v/>
      </c>
      <c r="D198" s="4" t="str">
        <f>IFERROR(INDEX(样本到样信息汇总统计!D$2:D$500,MATCH(197,样本到样信息汇总统计!$Z$2:$Z$500,0)),"")</f>
        <v/>
      </c>
      <c r="E198" s="4" t="str">
        <f>IFERROR(INDEX(样本到样信息汇总统计!E$2:E$500,MATCH(197,样本到样信息汇总统计!$Z$2:$Z$500,0)),"")</f>
        <v/>
      </c>
      <c r="F198" s="4" t="str">
        <f>IFERROR(INDEX(样本到样信息汇总统计!F$2:F$500,MATCH(197,样本到样信息汇总统计!$Z$2:$Z$500,0)),"")</f>
        <v/>
      </c>
      <c r="G198" s="4" t="str">
        <f>IFERROR(INDEX(样本到样信息汇总统计!G$2:G$500,MATCH(197,样本到样信息汇总统计!$Z$2:$Z$500,0)),"")</f>
        <v/>
      </c>
      <c r="H198" s="4" t="str">
        <f>IFERROR(INDEX(样本到样信息汇总统计!H$2:H$500,MATCH(197,样本到样信息汇总统计!$Z$2:$Z$500,0)),"")</f>
        <v/>
      </c>
      <c r="I198" s="4" t="str">
        <f>IFERROR(INDEX(样本到样信息汇总统计!I$2:I$500,MATCH(197,样本到样信息汇总统计!$Z$2:$Z$500,0)),"")</f>
        <v/>
      </c>
      <c r="J198" s="4" t="str">
        <f>IFERROR(INDEX(样本到样信息汇总统计!J$2:J$500,MATCH(197,样本到样信息汇总统计!$Z$2:$Z$500,0)),"")</f>
        <v/>
      </c>
      <c r="K198" s="4" t="str">
        <f>IFERROR(INDEX(样本到样信息汇总统计!K$2:K$500,MATCH(197,样本到样信息汇总统计!$Z$2:$Z$500,0)),"")</f>
        <v/>
      </c>
      <c r="L198" s="4" t="str">
        <f>IFERROR(INDEX(样本到样信息汇总统计!L$2:L$500,MATCH(197,样本到样信息汇总统计!$Z$2:$Z$500,0)),"")</f>
        <v/>
      </c>
      <c r="M198" s="4" t="str">
        <f>IFERROR(INDEX(样本到样信息汇总统计!M$2:M$500,MATCH(197,样本到样信息汇总统计!$Z$2:$Z$500,0)),"")</f>
        <v/>
      </c>
      <c r="N198" s="4" t="str">
        <f>IFERROR(INDEX(样本到样信息汇总统计!N$2:N$500,MATCH(197,样本到样信息汇总统计!$Z$2:$Z$500,0)),"")</f>
        <v/>
      </c>
      <c r="O198" s="4" t="str">
        <f>IFERROR(INDEX(样本到样信息汇总统计!O$2:O$500,MATCH(197,样本到样信息汇总统计!$Z$2:$Z$500,0)),"")</f>
        <v/>
      </c>
      <c r="P198" s="4" t="str">
        <f>IFERROR(INDEX(样本到样信息汇总统计!P$2:P$500,MATCH(197,样本到样信息汇总统计!$Z$2:$Z$500,0)),"")</f>
        <v/>
      </c>
      <c r="Q198" s="4" t="str">
        <f>IFERROR(INDEX(样本到样信息汇总统计!Q$2:Q$500,MATCH(197,样本到样信息汇总统计!$Z$2:$Z$500,0)),"")</f>
        <v/>
      </c>
      <c r="R198" s="4" t="str">
        <f>IFERROR(INDEX(样本到样信息汇总统计!R$2:R$500,MATCH(197,样本到样信息汇总统计!$Z$2:$Z$500,0)),"")</f>
        <v/>
      </c>
      <c r="S198" s="4" t="str">
        <f>IFERROR(INDEX(样本到样信息汇总统计!S$2:S$500,MATCH(197,样本到样信息汇总统计!$Z$2:$Z$500,0)),"")</f>
        <v/>
      </c>
      <c r="T198" s="4" t="str">
        <f>IFERROR(INDEX(样本到样信息汇总统计!T$2:T$500,MATCH(197,样本到样信息汇总统计!$Z$2:$Z$500,0)),"")</f>
        <v/>
      </c>
      <c r="U198" s="4" t="str">
        <f>IFERROR(INDEX(样本到样信息汇总统计!U$2:U$500,MATCH(197,样本到样信息汇总统计!$Z$2:$Z$500,0)),"")</f>
        <v/>
      </c>
      <c r="V198" s="4" t="str">
        <f>IFERROR(INDEX(样本到样信息汇总统计!V$2:V$500,MATCH(197,样本到样信息汇总统计!$Z$2:$Z$500,0)),"")</f>
        <v/>
      </c>
      <c r="W198" s="4" t="str">
        <f>IFERROR(INDEX(样本到样信息汇总统计!W$2:W$500,MATCH(197,样本到样信息汇总统计!$Z$2:$Z$500,0)),"")</f>
        <v/>
      </c>
    </row>
    <row r="199" ht="14.5" spans="1:23">
      <c r="A199" s="8" t="str">
        <f>IFERROR(INDEX(样本到样信息汇总统计!A$2:A$500,MATCH(198,样本到样信息汇总统计!$Z$2:$Z$500,0)),"")</f>
        <v/>
      </c>
      <c r="B199" s="8" t="str">
        <f>IFERROR(INDEX(样本到样信息汇总统计!B$2:B$500,MATCH(198,样本到样信息汇总统计!$Z$2:$Z$500,0)),"")</f>
        <v/>
      </c>
      <c r="C199" s="8" t="str">
        <f>IFERROR(INDEX(样本到样信息汇总统计!C$2:C$500,MATCH(198,样本到样信息汇总统计!$Z$2:$Z$500,0)),"")</f>
        <v/>
      </c>
      <c r="D199" s="8" t="str">
        <f>IFERROR(INDEX(样本到样信息汇总统计!D$2:D$500,MATCH(198,样本到样信息汇总统计!$Z$2:$Z$500,0)),"")</f>
        <v/>
      </c>
      <c r="E199" s="8" t="str">
        <f>IFERROR(INDEX(样本到样信息汇总统计!E$2:E$500,MATCH(198,样本到样信息汇总统计!$Z$2:$Z$500,0)),"")</f>
        <v/>
      </c>
      <c r="F199" s="8" t="str">
        <f>IFERROR(INDEX(样本到样信息汇总统计!F$2:F$500,MATCH(198,样本到样信息汇总统计!$Z$2:$Z$500,0)),"")</f>
        <v/>
      </c>
      <c r="G199" s="8" t="str">
        <f>IFERROR(INDEX(样本到样信息汇总统计!G$2:G$500,MATCH(198,样本到样信息汇总统计!$Z$2:$Z$500,0)),"")</f>
        <v/>
      </c>
      <c r="H199" s="8" t="str">
        <f>IFERROR(INDEX(样本到样信息汇总统计!H$2:H$500,MATCH(198,样本到样信息汇总统计!$Z$2:$Z$500,0)),"")</f>
        <v/>
      </c>
      <c r="I199" s="8" t="str">
        <f>IFERROR(INDEX(样本到样信息汇总统计!I$2:I$500,MATCH(198,样本到样信息汇总统计!$Z$2:$Z$500,0)),"")</f>
        <v/>
      </c>
      <c r="J199" s="8" t="str">
        <f>IFERROR(INDEX(样本到样信息汇总统计!J$2:J$500,MATCH(198,样本到样信息汇总统计!$Z$2:$Z$500,0)),"")</f>
        <v/>
      </c>
      <c r="K199" s="8" t="str">
        <f>IFERROR(INDEX(样本到样信息汇总统计!K$2:K$500,MATCH(198,样本到样信息汇总统计!$Z$2:$Z$500,0)),"")</f>
        <v/>
      </c>
      <c r="L199" s="8" t="str">
        <f>IFERROR(INDEX(样本到样信息汇总统计!L$2:L$500,MATCH(198,样本到样信息汇总统计!$Z$2:$Z$500,0)),"")</f>
        <v/>
      </c>
      <c r="M199" s="8" t="str">
        <f>IFERROR(INDEX(样本到样信息汇总统计!M$2:M$500,MATCH(198,样本到样信息汇总统计!$Z$2:$Z$500,0)),"")</f>
        <v/>
      </c>
      <c r="N199" s="8" t="str">
        <f>IFERROR(INDEX(样本到样信息汇总统计!N$2:N$500,MATCH(198,样本到样信息汇总统计!$Z$2:$Z$500,0)),"")</f>
        <v/>
      </c>
      <c r="O199" s="8" t="str">
        <f>IFERROR(INDEX(样本到样信息汇总统计!O$2:O$500,MATCH(198,样本到样信息汇总统计!$Z$2:$Z$500,0)),"")</f>
        <v/>
      </c>
      <c r="P199" s="8" t="str">
        <f>IFERROR(INDEX(样本到样信息汇总统计!P$2:P$500,MATCH(198,样本到样信息汇总统计!$Z$2:$Z$500,0)),"")</f>
        <v/>
      </c>
      <c r="Q199" s="8" t="str">
        <f>IFERROR(INDEX(样本到样信息汇总统计!Q$2:Q$500,MATCH(198,样本到样信息汇总统计!$Z$2:$Z$500,0)),"")</f>
        <v/>
      </c>
      <c r="R199" s="8" t="str">
        <f>IFERROR(INDEX(样本到样信息汇总统计!R$2:R$500,MATCH(198,样本到样信息汇总统计!$Z$2:$Z$500,0)),"")</f>
        <v/>
      </c>
      <c r="S199" s="8" t="str">
        <f>IFERROR(INDEX(样本到样信息汇总统计!S$2:S$500,MATCH(198,样本到样信息汇总统计!$Z$2:$Z$500,0)),"")</f>
        <v/>
      </c>
      <c r="T199" s="8" t="str">
        <f>IFERROR(INDEX(样本到样信息汇总统计!T$2:T$500,MATCH(198,样本到样信息汇总统计!$Z$2:$Z$500,0)),"")</f>
        <v/>
      </c>
      <c r="U199" s="8" t="str">
        <f>IFERROR(INDEX(样本到样信息汇总统计!U$2:U$500,MATCH(198,样本到样信息汇总统计!$Z$2:$Z$500,0)),"")</f>
        <v/>
      </c>
      <c r="V199" s="8" t="str">
        <f>IFERROR(INDEX(样本到样信息汇总统计!V$2:V$500,MATCH(198,样本到样信息汇总统计!$Z$2:$Z$500,0)),"")</f>
        <v/>
      </c>
      <c r="W199" s="8" t="str">
        <f>IFERROR(INDEX(样本到样信息汇总统计!W$2:W$500,MATCH(198,样本到样信息汇总统计!$Z$2:$Z$500,0)),"")</f>
        <v/>
      </c>
    </row>
    <row r="200" ht="14.5" spans="1:23">
      <c r="A200" s="4" t="str">
        <f>IFERROR(INDEX(样本到样信息汇总统计!A$2:A$500,MATCH(199,样本到样信息汇总统计!$Z$2:$Z$500,0)),"")</f>
        <v/>
      </c>
      <c r="B200" s="4" t="str">
        <f>IFERROR(INDEX(样本到样信息汇总统计!B$2:B$500,MATCH(199,样本到样信息汇总统计!$Z$2:$Z$500,0)),"")</f>
        <v/>
      </c>
      <c r="C200" s="4" t="str">
        <f>IFERROR(INDEX(样本到样信息汇总统计!C$2:C$500,MATCH(199,样本到样信息汇总统计!$Z$2:$Z$500,0)),"")</f>
        <v/>
      </c>
      <c r="D200" s="4" t="str">
        <f>IFERROR(INDEX(样本到样信息汇总统计!D$2:D$500,MATCH(199,样本到样信息汇总统计!$Z$2:$Z$500,0)),"")</f>
        <v/>
      </c>
      <c r="E200" s="4" t="str">
        <f>IFERROR(INDEX(样本到样信息汇总统计!E$2:E$500,MATCH(199,样本到样信息汇总统计!$Z$2:$Z$500,0)),"")</f>
        <v/>
      </c>
      <c r="F200" s="4" t="str">
        <f>IFERROR(INDEX(样本到样信息汇总统计!F$2:F$500,MATCH(199,样本到样信息汇总统计!$Z$2:$Z$500,0)),"")</f>
        <v/>
      </c>
      <c r="G200" s="4" t="str">
        <f>IFERROR(INDEX(样本到样信息汇总统计!G$2:G$500,MATCH(199,样本到样信息汇总统计!$Z$2:$Z$500,0)),"")</f>
        <v/>
      </c>
      <c r="H200" s="4" t="str">
        <f>IFERROR(INDEX(样本到样信息汇总统计!H$2:H$500,MATCH(199,样本到样信息汇总统计!$Z$2:$Z$500,0)),"")</f>
        <v/>
      </c>
      <c r="I200" s="4" t="str">
        <f>IFERROR(INDEX(样本到样信息汇总统计!I$2:I$500,MATCH(199,样本到样信息汇总统计!$Z$2:$Z$500,0)),"")</f>
        <v/>
      </c>
      <c r="J200" s="4" t="str">
        <f>IFERROR(INDEX(样本到样信息汇总统计!J$2:J$500,MATCH(199,样本到样信息汇总统计!$Z$2:$Z$500,0)),"")</f>
        <v/>
      </c>
      <c r="K200" s="4" t="str">
        <f>IFERROR(INDEX(样本到样信息汇总统计!K$2:K$500,MATCH(199,样本到样信息汇总统计!$Z$2:$Z$500,0)),"")</f>
        <v/>
      </c>
      <c r="L200" s="4" t="str">
        <f>IFERROR(INDEX(样本到样信息汇总统计!L$2:L$500,MATCH(199,样本到样信息汇总统计!$Z$2:$Z$500,0)),"")</f>
        <v/>
      </c>
      <c r="M200" s="4" t="str">
        <f>IFERROR(INDEX(样本到样信息汇总统计!M$2:M$500,MATCH(199,样本到样信息汇总统计!$Z$2:$Z$500,0)),"")</f>
        <v/>
      </c>
      <c r="N200" s="4" t="str">
        <f>IFERROR(INDEX(样本到样信息汇总统计!N$2:N$500,MATCH(199,样本到样信息汇总统计!$Z$2:$Z$500,0)),"")</f>
        <v/>
      </c>
      <c r="O200" s="4" t="str">
        <f>IFERROR(INDEX(样本到样信息汇总统计!O$2:O$500,MATCH(199,样本到样信息汇总统计!$Z$2:$Z$500,0)),"")</f>
        <v/>
      </c>
      <c r="P200" s="4" t="str">
        <f>IFERROR(INDEX(样本到样信息汇总统计!P$2:P$500,MATCH(199,样本到样信息汇总统计!$Z$2:$Z$500,0)),"")</f>
        <v/>
      </c>
      <c r="Q200" s="4" t="str">
        <f>IFERROR(INDEX(样本到样信息汇总统计!Q$2:Q$500,MATCH(199,样本到样信息汇总统计!$Z$2:$Z$500,0)),"")</f>
        <v/>
      </c>
      <c r="R200" s="4" t="str">
        <f>IFERROR(INDEX(样本到样信息汇总统计!R$2:R$500,MATCH(199,样本到样信息汇总统计!$Z$2:$Z$500,0)),"")</f>
        <v/>
      </c>
      <c r="S200" s="4" t="str">
        <f>IFERROR(INDEX(样本到样信息汇总统计!S$2:S$500,MATCH(199,样本到样信息汇总统计!$Z$2:$Z$500,0)),"")</f>
        <v/>
      </c>
      <c r="T200" s="4" t="str">
        <f>IFERROR(INDEX(样本到样信息汇总统计!T$2:T$500,MATCH(199,样本到样信息汇总统计!$Z$2:$Z$500,0)),"")</f>
        <v/>
      </c>
      <c r="U200" s="4" t="str">
        <f>IFERROR(INDEX(样本到样信息汇总统计!U$2:U$500,MATCH(199,样本到样信息汇总统计!$Z$2:$Z$500,0)),"")</f>
        <v/>
      </c>
      <c r="V200" s="4" t="str">
        <f>IFERROR(INDEX(样本到样信息汇总统计!V$2:V$500,MATCH(199,样本到样信息汇总统计!$Z$2:$Z$500,0)),"")</f>
        <v/>
      </c>
      <c r="W200" s="4" t="str">
        <f>IFERROR(INDEX(样本到样信息汇总统计!W$2:W$500,MATCH(199,样本到样信息汇总统计!$Z$2:$Z$500,0)),"")</f>
        <v/>
      </c>
    </row>
    <row r="201" ht="14.5" spans="1:23">
      <c r="A201" s="8" t="str">
        <f>IFERROR(INDEX(样本到样信息汇总统计!A$2:A$500,MATCH(200,样本到样信息汇总统计!$Z$2:$Z$500,0)),"")</f>
        <v/>
      </c>
      <c r="B201" s="8" t="str">
        <f>IFERROR(INDEX(样本到样信息汇总统计!B$2:B$500,MATCH(200,样本到样信息汇总统计!$Z$2:$Z$500,0)),"")</f>
        <v/>
      </c>
      <c r="C201" s="8" t="str">
        <f>IFERROR(INDEX(样本到样信息汇总统计!C$2:C$500,MATCH(200,样本到样信息汇总统计!$Z$2:$Z$500,0)),"")</f>
        <v/>
      </c>
      <c r="D201" s="8" t="str">
        <f>IFERROR(INDEX(样本到样信息汇总统计!D$2:D$500,MATCH(200,样本到样信息汇总统计!$Z$2:$Z$500,0)),"")</f>
        <v/>
      </c>
      <c r="E201" s="8" t="str">
        <f>IFERROR(INDEX(样本到样信息汇总统计!E$2:E$500,MATCH(200,样本到样信息汇总统计!$Z$2:$Z$500,0)),"")</f>
        <v/>
      </c>
      <c r="F201" s="8" t="str">
        <f>IFERROR(INDEX(样本到样信息汇总统计!F$2:F$500,MATCH(200,样本到样信息汇总统计!$Z$2:$Z$500,0)),"")</f>
        <v/>
      </c>
      <c r="G201" s="8" t="str">
        <f>IFERROR(INDEX(样本到样信息汇总统计!G$2:G$500,MATCH(200,样本到样信息汇总统计!$Z$2:$Z$500,0)),"")</f>
        <v/>
      </c>
      <c r="H201" s="8" t="str">
        <f>IFERROR(INDEX(样本到样信息汇总统计!H$2:H$500,MATCH(200,样本到样信息汇总统计!$Z$2:$Z$500,0)),"")</f>
        <v/>
      </c>
      <c r="I201" s="8" t="str">
        <f>IFERROR(INDEX(样本到样信息汇总统计!I$2:I$500,MATCH(200,样本到样信息汇总统计!$Z$2:$Z$500,0)),"")</f>
        <v/>
      </c>
      <c r="J201" s="8" t="str">
        <f>IFERROR(INDEX(样本到样信息汇总统计!J$2:J$500,MATCH(200,样本到样信息汇总统计!$Z$2:$Z$500,0)),"")</f>
        <v/>
      </c>
      <c r="K201" s="8" t="str">
        <f>IFERROR(INDEX(样本到样信息汇总统计!K$2:K$500,MATCH(200,样本到样信息汇总统计!$Z$2:$Z$500,0)),"")</f>
        <v/>
      </c>
      <c r="L201" s="8" t="str">
        <f>IFERROR(INDEX(样本到样信息汇总统计!L$2:L$500,MATCH(200,样本到样信息汇总统计!$Z$2:$Z$500,0)),"")</f>
        <v/>
      </c>
      <c r="M201" s="8" t="str">
        <f>IFERROR(INDEX(样本到样信息汇总统计!M$2:M$500,MATCH(200,样本到样信息汇总统计!$Z$2:$Z$500,0)),"")</f>
        <v/>
      </c>
      <c r="N201" s="8" t="str">
        <f>IFERROR(INDEX(样本到样信息汇总统计!N$2:N$500,MATCH(200,样本到样信息汇总统计!$Z$2:$Z$500,0)),"")</f>
        <v/>
      </c>
      <c r="O201" s="8" t="str">
        <f>IFERROR(INDEX(样本到样信息汇总统计!O$2:O$500,MATCH(200,样本到样信息汇总统计!$Z$2:$Z$500,0)),"")</f>
        <v/>
      </c>
      <c r="P201" s="8" t="str">
        <f>IFERROR(INDEX(样本到样信息汇总统计!P$2:P$500,MATCH(200,样本到样信息汇总统计!$Z$2:$Z$500,0)),"")</f>
        <v/>
      </c>
      <c r="Q201" s="8" t="str">
        <f>IFERROR(INDEX(样本到样信息汇总统计!Q$2:Q$500,MATCH(200,样本到样信息汇总统计!$Z$2:$Z$500,0)),"")</f>
        <v/>
      </c>
      <c r="R201" s="8" t="str">
        <f>IFERROR(INDEX(样本到样信息汇总统计!R$2:R$500,MATCH(200,样本到样信息汇总统计!$Z$2:$Z$500,0)),"")</f>
        <v/>
      </c>
      <c r="S201" s="8" t="str">
        <f>IFERROR(INDEX(样本到样信息汇总统计!S$2:S$500,MATCH(200,样本到样信息汇总统计!$Z$2:$Z$500,0)),"")</f>
        <v/>
      </c>
      <c r="T201" s="8" t="str">
        <f>IFERROR(INDEX(样本到样信息汇总统计!T$2:T$500,MATCH(200,样本到样信息汇总统计!$Z$2:$Z$500,0)),"")</f>
        <v/>
      </c>
      <c r="U201" s="8" t="str">
        <f>IFERROR(INDEX(样本到样信息汇总统计!U$2:U$500,MATCH(200,样本到样信息汇总统计!$Z$2:$Z$500,0)),"")</f>
        <v/>
      </c>
      <c r="V201" s="8" t="str">
        <f>IFERROR(INDEX(样本到样信息汇总统计!V$2:V$500,MATCH(200,样本到样信息汇总统计!$Z$2:$Z$500,0)),"")</f>
        <v/>
      </c>
      <c r="W201" s="8" t="str">
        <f>IFERROR(INDEX(样本到样信息汇总统计!W$2:W$500,MATCH(200,样本到样信息汇总统计!$Z$2:$Z$500,0)),"")</f>
        <v/>
      </c>
    </row>
    <row r="202" ht="14.5" spans="1:23">
      <c r="A202" s="4" t="str">
        <f>IFERROR(INDEX(样本到样信息汇总统计!A$2:A$500,MATCH(201,样本到样信息汇总统计!$Z$2:$Z$500,0)),"")</f>
        <v/>
      </c>
      <c r="B202" s="4" t="str">
        <f>IFERROR(INDEX(样本到样信息汇总统计!B$2:B$500,MATCH(201,样本到样信息汇总统计!$Z$2:$Z$500,0)),"")</f>
        <v/>
      </c>
      <c r="C202" s="4" t="str">
        <f>IFERROR(INDEX(样本到样信息汇总统计!C$2:C$500,MATCH(201,样本到样信息汇总统计!$Z$2:$Z$500,0)),"")</f>
        <v/>
      </c>
      <c r="D202" s="4" t="str">
        <f>IFERROR(INDEX(样本到样信息汇总统计!D$2:D$500,MATCH(201,样本到样信息汇总统计!$Z$2:$Z$500,0)),"")</f>
        <v/>
      </c>
      <c r="E202" s="4" t="str">
        <f>IFERROR(INDEX(样本到样信息汇总统计!E$2:E$500,MATCH(201,样本到样信息汇总统计!$Z$2:$Z$500,0)),"")</f>
        <v/>
      </c>
      <c r="F202" s="4" t="str">
        <f>IFERROR(INDEX(样本到样信息汇总统计!F$2:F$500,MATCH(201,样本到样信息汇总统计!$Z$2:$Z$500,0)),"")</f>
        <v/>
      </c>
      <c r="G202" s="4" t="str">
        <f>IFERROR(INDEX(样本到样信息汇总统计!G$2:G$500,MATCH(201,样本到样信息汇总统计!$Z$2:$Z$500,0)),"")</f>
        <v/>
      </c>
      <c r="H202" s="4" t="str">
        <f>IFERROR(INDEX(样本到样信息汇总统计!H$2:H$500,MATCH(201,样本到样信息汇总统计!$Z$2:$Z$500,0)),"")</f>
        <v/>
      </c>
      <c r="I202" s="4" t="str">
        <f>IFERROR(INDEX(样本到样信息汇总统计!I$2:I$500,MATCH(201,样本到样信息汇总统计!$Z$2:$Z$500,0)),"")</f>
        <v/>
      </c>
      <c r="J202" s="4" t="str">
        <f>IFERROR(INDEX(样本到样信息汇总统计!J$2:J$500,MATCH(201,样本到样信息汇总统计!$Z$2:$Z$500,0)),"")</f>
        <v/>
      </c>
      <c r="K202" s="4" t="str">
        <f>IFERROR(INDEX(样本到样信息汇总统计!K$2:K$500,MATCH(201,样本到样信息汇总统计!$Z$2:$Z$500,0)),"")</f>
        <v/>
      </c>
      <c r="L202" s="4" t="str">
        <f>IFERROR(INDEX(样本到样信息汇总统计!L$2:L$500,MATCH(201,样本到样信息汇总统计!$Z$2:$Z$500,0)),"")</f>
        <v/>
      </c>
      <c r="M202" s="4" t="str">
        <f>IFERROR(INDEX(样本到样信息汇总统计!M$2:M$500,MATCH(201,样本到样信息汇总统计!$Z$2:$Z$500,0)),"")</f>
        <v/>
      </c>
      <c r="N202" s="4" t="str">
        <f>IFERROR(INDEX(样本到样信息汇总统计!N$2:N$500,MATCH(201,样本到样信息汇总统计!$Z$2:$Z$500,0)),"")</f>
        <v/>
      </c>
      <c r="O202" s="4" t="str">
        <f>IFERROR(INDEX(样本到样信息汇总统计!O$2:O$500,MATCH(201,样本到样信息汇总统计!$Z$2:$Z$500,0)),"")</f>
        <v/>
      </c>
      <c r="P202" s="4" t="str">
        <f>IFERROR(INDEX(样本到样信息汇总统计!P$2:P$500,MATCH(201,样本到样信息汇总统计!$Z$2:$Z$500,0)),"")</f>
        <v/>
      </c>
      <c r="Q202" s="4" t="str">
        <f>IFERROR(INDEX(样本到样信息汇总统计!Q$2:Q$500,MATCH(201,样本到样信息汇总统计!$Z$2:$Z$500,0)),"")</f>
        <v/>
      </c>
      <c r="R202" s="4" t="str">
        <f>IFERROR(INDEX(样本到样信息汇总统计!R$2:R$500,MATCH(201,样本到样信息汇总统计!$Z$2:$Z$500,0)),"")</f>
        <v/>
      </c>
      <c r="S202" s="4" t="str">
        <f>IFERROR(INDEX(样本到样信息汇总统计!S$2:S$500,MATCH(201,样本到样信息汇总统计!$Z$2:$Z$500,0)),"")</f>
        <v/>
      </c>
      <c r="T202" s="4" t="str">
        <f>IFERROR(INDEX(样本到样信息汇总统计!T$2:T$500,MATCH(201,样本到样信息汇总统计!$Z$2:$Z$500,0)),"")</f>
        <v/>
      </c>
      <c r="U202" s="4" t="str">
        <f>IFERROR(INDEX(样本到样信息汇总统计!U$2:U$500,MATCH(201,样本到样信息汇总统计!$Z$2:$Z$500,0)),"")</f>
        <v/>
      </c>
      <c r="V202" s="4" t="str">
        <f>IFERROR(INDEX(样本到样信息汇总统计!V$2:V$500,MATCH(201,样本到样信息汇总统计!$Z$2:$Z$500,0)),"")</f>
        <v/>
      </c>
      <c r="W202" s="4" t="str">
        <f>IFERROR(INDEX(样本到样信息汇总统计!W$2:W$500,MATCH(201,样本到样信息汇总统计!$Z$2:$Z$500,0)),"")</f>
        <v/>
      </c>
    </row>
    <row r="203" ht="14.5" spans="1:23">
      <c r="A203" s="8" t="str">
        <f>IFERROR(INDEX(样本到样信息汇总统计!A$2:A$500,MATCH(202,样本到样信息汇总统计!$Z$2:$Z$500,0)),"")</f>
        <v/>
      </c>
      <c r="B203" s="8" t="str">
        <f>IFERROR(INDEX(样本到样信息汇总统计!B$2:B$500,MATCH(202,样本到样信息汇总统计!$Z$2:$Z$500,0)),"")</f>
        <v/>
      </c>
      <c r="C203" s="8" t="str">
        <f>IFERROR(INDEX(样本到样信息汇总统计!C$2:C$500,MATCH(202,样本到样信息汇总统计!$Z$2:$Z$500,0)),"")</f>
        <v/>
      </c>
      <c r="D203" s="8" t="str">
        <f>IFERROR(INDEX(样本到样信息汇总统计!D$2:D$500,MATCH(202,样本到样信息汇总统计!$Z$2:$Z$500,0)),"")</f>
        <v/>
      </c>
      <c r="E203" s="8" t="str">
        <f>IFERROR(INDEX(样本到样信息汇总统计!E$2:E$500,MATCH(202,样本到样信息汇总统计!$Z$2:$Z$500,0)),"")</f>
        <v/>
      </c>
      <c r="F203" s="8" t="str">
        <f>IFERROR(INDEX(样本到样信息汇总统计!F$2:F$500,MATCH(202,样本到样信息汇总统计!$Z$2:$Z$500,0)),"")</f>
        <v/>
      </c>
      <c r="G203" s="8" t="str">
        <f>IFERROR(INDEX(样本到样信息汇总统计!G$2:G$500,MATCH(202,样本到样信息汇总统计!$Z$2:$Z$500,0)),"")</f>
        <v/>
      </c>
      <c r="H203" s="8" t="str">
        <f>IFERROR(INDEX(样本到样信息汇总统计!H$2:H$500,MATCH(202,样本到样信息汇总统计!$Z$2:$Z$500,0)),"")</f>
        <v/>
      </c>
      <c r="I203" s="8" t="str">
        <f>IFERROR(INDEX(样本到样信息汇总统计!I$2:I$500,MATCH(202,样本到样信息汇总统计!$Z$2:$Z$500,0)),"")</f>
        <v/>
      </c>
      <c r="J203" s="8" t="str">
        <f>IFERROR(INDEX(样本到样信息汇总统计!J$2:J$500,MATCH(202,样本到样信息汇总统计!$Z$2:$Z$500,0)),"")</f>
        <v/>
      </c>
      <c r="K203" s="8" t="str">
        <f>IFERROR(INDEX(样本到样信息汇总统计!K$2:K$500,MATCH(202,样本到样信息汇总统计!$Z$2:$Z$500,0)),"")</f>
        <v/>
      </c>
      <c r="L203" s="8" t="str">
        <f>IFERROR(INDEX(样本到样信息汇总统计!L$2:L$500,MATCH(202,样本到样信息汇总统计!$Z$2:$Z$500,0)),"")</f>
        <v/>
      </c>
      <c r="M203" s="8" t="str">
        <f>IFERROR(INDEX(样本到样信息汇总统计!M$2:M$500,MATCH(202,样本到样信息汇总统计!$Z$2:$Z$500,0)),"")</f>
        <v/>
      </c>
      <c r="N203" s="8" t="str">
        <f>IFERROR(INDEX(样本到样信息汇总统计!N$2:N$500,MATCH(202,样本到样信息汇总统计!$Z$2:$Z$500,0)),"")</f>
        <v/>
      </c>
      <c r="O203" s="8" t="str">
        <f>IFERROR(INDEX(样本到样信息汇总统计!O$2:O$500,MATCH(202,样本到样信息汇总统计!$Z$2:$Z$500,0)),"")</f>
        <v/>
      </c>
      <c r="P203" s="8" t="str">
        <f>IFERROR(INDEX(样本到样信息汇总统计!P$2:P$500,MATCH(202,样本到样信息汇总统计!$Z$2:$Z$500,0)),"")</f>
        <v/>
      </c>
      <c r="Q203" s="8" t="str">
        <f>IFERROR(INDEX(样本到样信息汇总统计!Q$2:Q$500,MATCH(202,样本到样信息汇总统计!$Z$2:$Z$500,0)),"")</f>
        <v/>
      </c>
      <c r="R203" s="8" t="str">
        <f>IFERROR(INDEX(样本到样信息汇总统计!R$2:R$500,MATCH(202,样本到样信息汇总统计!$Z$2:$Z$500,0)),"")</f>
        <v/>
      </c>
      <c r="S203" s="8" t="str">
        <f>IFERROR(INDEX(样本到样信息汇总统计!S$2:S$500,MATCH(202,样本到样信息汇总统计!$Z$2:$Z$500,0)),"")</f>
        <v/>
      </c>
      <c r="T203" s="8" t="str">
        <f>IFERROR(INDEX(样本到样信息汇总统计!T$2:T$500,MATCH(202,样本到样信息汇总统计!$Z$2:$Z$500,0)),"")</f>
        <v/>
      </c>
      <c r="U203" s="8" t="str">
        <f>IFERROR(INDEX(样本到样信息汇总统计!U$2:U$500,MATCH(202,样本到样信息汇总统计!$Z$2:$Z$500,0)),"")</f>
        <v/>
      </c>
      <c r="V203" s="8" t="str">
        <f>IFERROR(INDEX(样本到样信息汇总统计!V$2:V$500,MATCH(202,样本到样信息汇总统计!$Z$2:$Z$500,0)),"")</f>
        <v/>
      </c>
      <c r="W203" s="8" t="str">
        <f>IFERROR(INDEX(样本到样信息汇总统计!W$2:W$500,MATCH(202,样本到样信息汇总统计!$Z$2:$Z$500,0)),"")</f>
        <v/>
      </c>
    </row>
    <row r="204" ht="14.5" spans="1:23">
      <c r="A204" s="4" t="str">
        <f>IFERROR(INDEX(样本到样信息汇总统计!A$2:A$500,MATCH(203,样本到样信息汇总统计!$Z$2:$Z$500,0)),"")</f>
        <v/>
      </c>
      <c r="B204" s="4" t="str">
        <f>IFERROR(INDEX(样本到样信息汇总统计!B$2:B$500,MATCH(203,样本到样信息汇总统计!$Z$2:$Z$500,0)),"")</f>
        <v/>
      </c>
      <c r="C204" s="4" t="str">
        <f>IFERROR(INDEX(样本到样信息汇总统计!C$2:C$500,MATCH(203,样本到样信息汇总统计!$Z$2:$Z$500,0)),"")</f>
        <v/>
      </c>
      <c r="D204" s="4" t="str">
        <f>IFERROR(INDEX(样本到样信息汇总统计!D$2:D$500,MATCH(203,样本到样信息汇总统计!$Z$2:$Z$500,0)),"")</f>
        <v/>
      </c>
      <c r="E204" s="4" t="str">
        <f>IFERROR(INDEX(样本到样信息汇总统计!E$2:E$500,MATCH(203,样本到样信息汇总统计!$Z$2:$Z$500,0)),"")</f>
        <v/>
      </c>
      <c r="F204" s="4" t="str">
        <f>IFERROR(INDEX(样本到样信息汇总统计!F$2:F$500,MATCH(203,样本到样信息汇总统计!$Z$2:$Z$500,0)),"")</f>
        <v/>
      </c>
      <c r="G204" s="4" t="str">
        <f>IFERROR(INDEX(样本到样信息汇总统计!G$2:G$500,MATCH(203,样本到样信息汇总统计!$Z$2:$Z$500,0)),"")</f>
        <v/>
      </c>
      <c r="H204" s="4" t="str">
        <f>IFERROR(INDEX(样本到样信息汇总统计!H$2:H$500,MATCH(203,样本到样信息汇总统计!$Z$2:$Z$500,0)),"")</f>
        <v/>
      </c>
      <c r="I204" s="4" t="str">
        <f>IFERROR(INDEX(样本到样信息汇总统计!I$2:I$500,MATCH(203,样本到样信息汇总统计!$Z$2:$Z$500,0)),"")</f>
        <v/>
      </c>
      <c r="J204" s="4" t="str">
        <f>IFERROR(INDEX(样本到样信息汇总统计!J$2:J$500,MATCH(203,样本到样信息汇总统计!$Z$2:$Z$500,0)),"")</f>
        <v/>
      </c>
      <c r="K204" s="4" t="str">
        <f>IFERROR(INDEX(样本到样信息汇总统计!K$2:K$500,MATCH(203,样本到样信息汇总统计!$Z$2:$Z$500,0)),"")</f>
        <v/>
      </c>
      <c r="L204" s="4" t="str">
        <f>IFERROR(INDEX(样本到样信息汇总统计!L$2:L$500,MATCH(203,样本到样信息汇总统计!$Z$2:$Z$500,0)),"")</f>
        <v/>
      </c>
      <c r="M204" s="4" t="str">
        <f>IFERROR(INDEX(样本到样信息汇总统计!M$2:M$500,MATCH(203,样本到样信息汇总统计!$Z$2:$Z$500,0)),"")</f>
        <v/>
      </c>
      <c r="N204" s="4" t="str">
        <f>IFERROR(INDEX(样本到样信息汇总统计!N$2:N$500,MATCH(203,样本到样信息汇总统计!$Z$2:$Z$500,0)),"")</f>
        <v/>
      </c>
      <c r="O204" s="4" t="str">
        <f>IFERROR(INDEX(样本到样信息汇总统计!O$2:O$500,MATCH(203,样本到样信息汇总统计!$Z$2:$Z$500,0)),"")</f>
        <v/>
      </c>
      <c r="P204" s="4" t="str">
        <f>IFERROR(INDEX(样本到样信息汇总统计!P$2:P$500,MATCH(203,样本到样信息汇总统计!$Z$2:$Z$500,0)),"")</f>
        <v/>
      </c>
      <c r="Q204" s="4" t="str">
        <f>IFERROR(INDEX(样本到样信息汇总统计!Q$2:Q$500,MATCH(203,样本到样信息汇总统计!$Z$2:$Z$500,0)),"")</f>
        <v/>
      </c>
      <c r="R204" s="4" t="str">
        <f>IFERROR(INDEX(样本到样信息汇总统计!R$2:R$500,MATCH(203,样本到样信息汇总统计!$Z$2:$Z$500,0)),"")</f>
        <v/>
      </c>
      <c r="S204" s="4" t="str">
        <f>IFERROR(INDEX(样本到样信息汇总统计!S$2:S$500,MATCH(203,样本到样信息汇总统计!$Z$2:$Z$500,0)),"")</f>
        <v/>
      </c>
      <c r="T204" s="4" t="str">
        <f>IFERROR(INDEX(样本到样信息汇总统计!T$2:T$500,MATCH(203,样本到样信息汇总统计!$Z$2:$Z$500,0)),"")</f>
        <v/>
      </c>
      <c r="U204" s="4" t="str">
        <f>IFERROR(INDEX(样本到样信息汇总统计!U$2:U$500,MATCH(203,样本到样信息汇总统计!$Z$2:$Z$500,0)),"")</f>
        <v/>
      </c>
      <c r="V204" s="4" t="str">
        <f>IFERROR(INDEX(样本到样信息汇总统计!V$2:V$500,MATCH(203,样本到样信息汇总统计!$Z$2:$Z$500,0)),"")</f>
        <v/>
      </c>
      <c r="W204" s="4" t="str">
        <f>IFERROR(INDEX(样本到样信息汇总统计!W$2:W$500,MATCH(203,样本到样信息汇总统计!$Z$2:$Z$500,0)),"")</f>
        <v/>
      </c>
    </row>
    <row r="205" ht="14.5" spans="1:23">
      <c r="A205" s="8" t="str">
        <f>IFERROR(INDEX(样本到样信息汇总统计!A$2:A$500,MATCH(204,样本到样信息汇总统计!$Z$2:$Z$500,0)),"")</f>
        <v/>
      </c>
      <c r="B205" s="8" t="str">
        <f>IFERROR(INDEX(样本到样信息汇总统计!B$2:B$500,MATCH(204,样本到样信息汇总统计!$Z$2:$Z$500,0)),"")</f>
        <v/>
      </c>
      <c r="C205" s="8" t="str">
        <f>IFERROR(INDEX(样本到样信息汇总统计!C$2:C$500,MATCH(204,样本到样信息汇总统计!$Z$2:$Z$500,0)),"")</f>
        <v/>
      </c>
      <c r="D205" s="8" t="str">
        <f>IFERROR(INDEX(样本到样信息汇总统计!D$2:D$500,MATCH(204,样本到样信息汇总统计!$Z$2:$Z$500,0)),"")</f>
        <v/>
      </c>
      <c r="E205" s="8" t="str">
        <f>IFERROR(INDEX(样本到样信息汇总统计!E$2:E$500,MATCH(204,样本到样信息汇总统计!$Z$2:$Z$500,0)),"")</f>
        <v/>
      </c>
      <c r="F205" s="8" t="str">
        <f>IFERROR(INDEX(样本到样信息汇总统计!F$2:F$500,MATCH(204,样本到样信息汇总统计!$Z$2:$Z$500,0)),"")</f>
        <v/>
      </c>
      <c r="G205" s="8" t="str">
        <f>IFERROR(INDEX(样本到样信息汇总统计!G$2:G$500,MATCH(204,样本到样信息汇总统计!$Z$2:$Z$500,0)),"")</f>
        <v/>
      </c>
      <c r="H205" s="8" t="str">
        <f>IFERROR(INDEX(样本到样信息汇总统计!H$2:H$500,MATCH(204,样本到样信息汇总统计!$Z$2:$Z$500,0)),"")</f>
        <v/>
      </c>
      <c r="I205" s="8" t="str">
        <f>IFERROR(INDEX(样本到样信息汇总统计!I$2:I$500,MATCH(204,样本到样信息汇总统计!$Z$2:$Z$500,0)),"")</f>
        <v/>
      </c>
      <c r="J205" s="8" t="str">
        <f>IFERROR(INDEX(样本到样信息汇总统计!J$2:J$500,MATCH(204,样本到样信息汇总统计!$Z$2:$Z$500,0)),"")</f>
        <v/>
      </c>
      <c r="K205" s="8" t="str">
        <f>IFERROR(INDEX(样本到样信息汇总统计!K$2:K$500,MATCH(204,样本到样信息汇总统计!$Z$2:$Z$500,0)),"")</f>
        <v/>
      </c>
      <c r="L205" s="8" t="str">
        <f>IFERROR(INDEX(样本到样信息汇总统计!L$2:L$500,MATCH(204,样本到样信息汇总统计!$Z$2:$Z$500,0)),"")</f>
        <v/>
      </c>
      <c r="M205" s="8" t="str">
        <f>IFERROR(INDEX(样本到样信息汇总统计!M$2:M$500,MATCH(204,样本到样信息汇总统计!$Z$2:$Z$500,0)),"")</f>
        <v/>
      </c>
      <c r="N205" s="8" t="str">
        <f>IFERROR(INDEX(样本到样信息汇总统计!N$2:N$500,MATCH(204,样本到样信息汇总统计!$Z$2:$Z$500,0)),"")</f>
        <v/>
      </c>
      <c r="O205" s="8" t="str">
        <f>IFERROR(INDEX(样本到样信息汇总统计!O$2:O$500,MATCH(204,样本到样信息汇总统计!$Z$2:$Z$500,0)),"")</f>
        <v/>
      </c>
      <c r="P205" s="8" t="str">
        <f>IFERROR(INDEX(样本到样信息汇总统计!P$2:P$500,MATCH(204,样本到样信息汇总统计!$Z$2:$Z$500,0)),"")</f>
        <v/>
      </c>
      <c r="Q205" s="8" t="str">
        <f>IFERROR(INDEX(样本到样信息汇总统计!Q$2:Q$500,MATCH(204,样本到样信息汇总统计!$Z$2:$Z$500,0)),"")</f>
        <v/>
      </c>
      <c r="R205" s="8" t="str">
        <f>IFERROR(INDEX(样本到样信息汇总统计!R$2:R$500,MATCH(204,样本到样信息汇总统计!$Z$2:$Z$500,0)),"")</f>
        <v/>
      </c>
      <c r="S205" s="8" t="str">
        <f>IFERROR(INDEX(样本到样信息汇总统计!S$2:S$500,MATCH(204,样本到样信息汇总统计!$Z$2:$Z$500,0)),"")</f>
        <v/>
      </c>
      <c r="T205" s="8" t="str">
        <f>IFERROR(INDEX(样本到样信息汇总统计!T$2:T$500,MATCH(204,样本到样信息汇总统计!$Z$2:$Z$500,0)),"")</f>
        <v/>
      </c>
      <c r="U205" s="8" t="str">
        <f>IFERROR(INDEX(样本到样信息汇总统计!U$2:U$500,MATCH(204,样本到样信息汇总统计!$Z$2:$Z$500,0)),"")</f>
        <v/>
      </c>
      <c r="V205" s="8" t="str">
        <f>IFERROR(INDEX(样本到样信息汇总统计!V$2:V$500,MATCH(204,样本到样信息汇总统计!$Z$2:$Z$500,0)),"")</f>
        <v/>
      </c>
      <c r="W205" s="8" t="str">
        <f>IFERROR(INDEX(样本到样信息汇总统计!W$2:W$500,MATCH(204,样本到样信息汇总统计!$Z$2:$Z$500,0)),"")</f>
        <v/>
      </c>
    </row>
    <row r="206" ht="14.5" spans="1:23">
      <c r="A206" s="4" t="str">
        <f>IFERROR(INDEX(样本到样信息汇总统计!A$2:A$500,MATCH(205,样本到样信息汇总统计!$Z$2:$Z$500,0)),"")</f>
        <v/>
      </c>
      <c r="B206" s="4" t="str">
        <f>IFERROR(INDEX(样本到样信息汇总统计!B$2:B$500,MATCH(205,样本到样信息汇总统计!$Z$2:$Z$500,0)),"")</f>
        <v/>
      </c>
      <c r="C206" s="4" t="str">
        <f>IFERROR(INDEX(样本到样信息汇总统计!C$2:C$500,MATCH(205,样本到样信息汇总统计!$Z$2:$Z$500,0)),"")</f>
        <v/>
      </c>
      <c r="D206" s="4" t="str">
        <f>IFERROR(INDEX(样本到样信息汇总统计!D$2:D$500,MATCH(205,样本到样信息汇总统计!$Z$2:$Z$500,0)),"")</f>
        <v/>
      </c>
      <c r="E206" s="4" t="str">
        <f>IFERROR(INDEX(样本到样信息汇总统计!E$2:E$500,MATCH(205,样本到样信息汇总统计!$Z$2:$Z$500,0)),"")</f>
        <v/>
      </c>
      <c r="F206" s="4" t="str">
        <f>IFERROR(INDEX(样本到样信息汇总统计!F$2:F$500,MATCH(205,样本到样信息汇总统计!$Z$2:$Z$500,0)),"")</f>
        <v/>
      </c>
      <c r="G206" s="4" t="str">
        <f>IFERROR(INDEX(样本到样信息汇总统计!G$2:G$500,MATCH(205,样本到样信息汇总统计!$Z$2:$Z$500,0)),"")</f>
        <v/>
      </c>
      <c r="H206" s="4" t="str">
        <f>IFERROR(INDEX(样本到样信息汇总统计!H$2:H$500,MATCH(205,样本到样信息汇总统计!$Z$2:$Z$500,0)),"")</f>
        <v/>
      </c>
      <c r="I206" s="4" t="str">
        <f>IFERROR(INDEX(样本到样信息汇总统计!I$2:I$500,MATCH(205,样本到样信息汇总统计!$Z$2:$Z$500,0)),"")</f>
        <v/>
      </c>
      <c r="J206" s="4" t="str">
        <f>IFERROR(INDEX(样本到样信息汇总统计!J$2:J$500,MATCH(205,样本到样信息汇总统计!$Z$2:$Z$500,0)),"")</f>
        <v/>
      </c>
      <c r="K206" s="4" t="str">
        <f>IFERROR(INDEX(样本到样信息汇总统计!K$2:K$500,MATCH(205,样本到样信息汇总统计!$Z$2:$Z$500,0)),"")</f>
        <v/>
      </c>
      <c r="L206" s="4" t="str">
        <f>IFERROR(INDEX(样本到样信息汇总统计!L$2:L$500,MATCH(205,样本到样信息汇总统计!$Z$2:$Z$500,0)),"")</f>
        <v/>
      </c>
      <c r="M206" s="4" t="str">
        <f>IFERROR(INDEX(样本到样信息汇总统计!M$2:M$500,MATCH(205,样本到样信息汇总统计!$Z$2:$Z$500,0)),"")</f>
        <v/>
      </c>
      <c r="N206" s="4" t="str">
        <f>IFERROR(INDEX(样本到样信息汇总统计!N$2:N$500,MATCH(205,样本到样信息汇总统计!$Z$2:$Z$500,0)),"")</f>
        <v/>
      </c>
      <c r="O206" s="4" t="str">
        <f>IFERROR(INDEX(样本到样信息汇总统计!O$2:O$500,MATCH(205,样本到样信息汇总统计!$Z$2:$Z$500,0)),"")</f>
        <v/>
      </c>
      <c r="P206" s="4" t="str">
        <f>IFERROR(INDEX(样本到样信息汇总统计!P$2:P$500,MATCH(205,样本到样信息汇总统计!$Z$2:$Z$500,0)),"")</f>
        <v/>
      </c>
      <c r="Q206" s="4" t="str">
        <f>IFERROR(INDEX(样本到样信息汇总统计!Q$2:Q$500,MATCH(205,样本到样信息汇总统计!$Z$2:$Z$500,0)),"")</f>
        <v/>
      </c>
      <c r="R206" s="4" t="str">
        <f>IFERROR(INDEX(样本到样信息汇总统计!R$2:R$500,MATCH(205,样本到样信息汇总统计!$Z$2:$Z$500,0)),"")</f>
        <v/>
      </c>
      <c r="S206" s="4" t="str">
        <f>IFERROR(INDEX(样本到样信息汇总统计!S$2:S$500,MATCH(205,样本到样信息汇总统计!$Z$2:$Z$500,0)),"")</f>
        <v/>
      </c>
      <c r="T206" s="4" t="str">
        <f>IFERROR(INDEX(样本到样信息汇总统计!T$2:T$500,MATCH(205,样本到样信息汇总统计!$Z$2:$Z$500,0)),"")</f>
        <v/>
      </c>
      <c r="U206" s="4" t="str">
        <f>IFERROR(INDEX(样本到样信息汇总统计!U$2:U$500,MATCH(205,样本到样信息汇总统计!$Z$2:$Z$500,0)),"")</f>
        <v/>
      </c>
      <c r="V206" s="4" t="str">
        <f>IFERROR(INDEX(样本到样信息汇总统计!V$2:V$500,MATCH(205,样本到样信息汇总统计!$Z$2:$Z$500,0)),"")</f>
        <v/>
      </c>
      <c r="W206" s="4" t="str">
        <f>IFERROR(INDEX(样本到样信息汇总统计!W$2:W$500,MATCH(205,样本到样信息汇总统计!$Z$2:$Z$500,0)),"")</f>
        <v/>
      </c>
    </row>
    <row r="207" ht="14.5" spans="1:23">
      <c r="A207" s="8" t="str">
        <f>IFERROR(INDEX(样本到样信息汇总统计!A$2:A$500,MATCH(206,样本到样信息汇总统计!$Z$2:$Z$500,0)),"")</f>
        <v/>
      </c>
      <c r="B207" s="8" t="str">
        <f>IFERROR(INDEX(样本到样信息汇总统计!B$2:B$500,MATCH(206,样本到样信息汇总统计!$Z$2:$Z$500,0)),"")</f>
        <v/>
      </c>
      <c r="C207" s="8" t="str">
        <f>IFERROR(INDEX(样本到样信息汇总统计!C$2:C$500,MATCH(206,样本到样信息汇总统计!$Z$2:$Z$500,0)),"")</f>
        <v/>
      </c>
      <c r="D207" s="8" t="str">
        <f>IFERROR(INDEX(样本到样信息汇总统计!D$2:D$500,MATCH(206,样本到样信息汇总统计!$Z$2:$Z$500,0)),"")</f>
        <v/>
      </c>
      <c r="E207" s="8" t="str">
        <f>IFERROR(INDEX(样本到样信息汇总统计!E$2:E$500,MATCH(206,样本到样信息汇总统计!$Z$2:$Z$500,0)),"")</f>
        <v/>
      </c>
      <c r="F207" s="8" t="str">
        <f>IFERROR(INDEX(样本到样信息汇总统计!F$2:F$500,MATCH(206,样本到样信息汇总统计!$Z$2:$Z$500,0)),"")</f>
        <v/>
      </c>
      <c r="G207" s="8" t="str">
        <f>IFERROR(INDEX(样本到样信息汇总统计!G$2:G$500,MATCH(206,样本到样信息汇总统计!$Z$2:$Z$500,0)),"")</f>
        <v/>
      </c>
      <c r="H207" s="8" t="str">
        <f>IFERROR(INDEX(样本到样信息汇总统计!H$2:H$500,MATCH(206,样本到样信息汇总统计!$Z$2:$Z$500,0)),"")</f>
        <v/>
      </c>
      <c r="I207" s="8" t="str">
        <f>IFERROR(INDEX(样本到样信息汇总统计!I$2:I$500,MATCH(206,样本到样信息汇总统计!$Z$2:$Z$500,0)),"")</f>
        <v/>
      </c>
      <c r="J207" s="8" t="str">
        <f>IFERROR(INDEX(样本到样信息汇总统计!J$2:J$500,MATCH(206,样本到样信息汇总统计!$Z$2:$Z$500,0)),"")</f>
        <v/>
      </c>
      <c r="K207" s="8" t="str">
        <f>IFERROR(INDEX(样本到样信息汇总统计!K$2:K$500,MATCH(206,样本到样信息汇总统计!$Z$2:$Z$500,0)),"")</f>
        <v/>
      </c>
      <c r="L207" s="8" t="str">
        <f>IFERROR(INDEX(样本到样信息汇总统计!L$2:L$500,MATCH(206,样本到样信息汇总统计!$Z$2:$Z$500,0)),"")</f>
        <v/>
      </c>
      <c r="M207" s="8" t="str">
        <f>IFERROR(INDEX(样本到样信息汇总统计!M$2:M$500,MATCH(206,样本到样信息汇总统计!$Z$2:$Z$500,0)),"")</f>
        <v/>
      </c>
      <c r="N207" s="8" t="str">
        <f>IFERROR(INDEX(样本到样信息汇总统计!N$2:N$500,MATCH(206,样本到样信息汇总统计!$Z$2:$Z$500,0)),"")</f>
        <v/>
      </c>
      <c r="O207" s="8" t="str">
        <f>IFERROR(INDEX(样本到样信息汇总统计!O$2:O$500,MATCH(206,样本到样信息汇总统计!$Z$2:$Z$500,0)),"")</f>
        <v/>
      </c>
      <c r="P207" s="8" t="str">
        <f>IFERROR(INDEX(样本到样信息汇总统计!P$2:P$500,MATCH(206,样本到样信息汇总统计!$Z$2:$Z$500,0)),"")</f>
        <v/>
      </c>
      <c r="Q207" s="8" t="str">
        <f>IFERROR(INDEX(样本到样信息汇总统计!Q$2:Q$500,MATCH(206,样本到样信息汇总统计!$Z$2:$Z$500,0)),"")</f>
        <v/>
      </c>
      <c r="R207" s="8" t="str">
        <f>IFERROR(INDEX(样本到样信息汇总统计!R$2:R$500,MATCH(206,样本到样信息汇总统计!$Z$2:$Z$500,0)),"")</f>
        <v/>
      </c>
      <c r="S207" s="8" t="str">
        <f>IFERROR(INDEX(样本到样信息汇总统计!S$2:S$500,MATCH(206,样本到样信息汇总统计!$Z$2:$Z$500,0)),"")</f>
        <v/>
      </c>
      <c r="T207" s="8" t="str">
        <f>IFERROR(INDEX(样本到样信息汇总统计!T$2:T$500,MATCH(206,样本到样信息汇总统计!$Z$2:$Z$500,0)),"")</f>
        <v/>
      </c>
      <c r="U207" s="8" t="str">
        <f>IFERROR(INDEX(样本到样信息汇总统计!U$2:U$500,MATCH(206,样本到样信息汇总统计!$Z$2:$Z$500,0)),"")</f>
        <v/>
      </c>
      <c r="V207" s="8" t="str">
        <f>IFERROR(INDEX(样本到样信息汇总统计!V$2:V$500,MATCH(206,样本到样信息汇总统计!$Z$2:$Z$500,0)),"")</f>
        <v/>
      </c>
      <c r="W207" s="8" t="str">
        <f>IFERROR(INDEX(样本到样信息汇总统计!W$2:W$500,MATCH(206,样本到样信息汇总统计!$Z$2:$Z$500,0)),"")</f>
        <v/>
      </c>
    </row>
    <row r="208" ht="14.5" spans="1:23">
      <c r="A208" s="4" t="str">
        <f>IFERROR(INDEX(样本到样信息汇总统计!A$2:A$500,MATCH(207,样本到样信息汇总统计!$Z$2:$Z$500,0)),"")</f>
        <v/>
      </c>
      <c r="B208" s="4" t="str">
        <f>IFERROR(INDEX(样本到样信息汇总统计!B$2:B$500,MATCH(207,样本到样信息汇总统计!$Z$2:$Z$500,0)),"")</f>
        <v/>
      </c>
      <c r="C208" s="4" t="str">
        <f>IFERROR(INDEX(样本到样信息汇总统计!C$2:C$500,MATCH(207,样本到样信息汇总统计!$Z$2:$Z$500,0)),"")</f>
        <v/>
      </c>
      <c r="D208" s="4" t="str">
        <f>IFERROR(INDEX(样本到样信息汇总统计!D$2:D$500,MATCH(207,样本到样信息汇总统计!$Z$2:$Z$500,0)),"")</f>
        <v/>
      </c>
      <c r="E208" s="4" t="str">
        <f>IFERROR(INDEX(样本到样信息汇总统计!E$2:E$500,MATCH(207,样本到样信息汇总统计!$Z$2:$Z$500,0)),"")</f>
        <v/>
      </c>
      <c r="F208" s="4" t="str">
        <f>IFERROR(INDEX(样本到样信息汇总统计!F$2:F$500,MATCH(207,样本到样信息汇总统计!$Z$2:$Z$500,0)),"")</f>
        <v/>
      </c>
      <c r="G208" s="4" t="str">
        <f>IFERROR(INDEX(样本到样信息汇总统计!G$2:G$500,MATCH(207,样本到样信息汇总统计!$Z$2:$Z$500,0)),"")</f>
        <v/>
      </c>
      <c r="H208" s="4" t="str">
        <f>IFERROR(INDEX(样本到样信息汇总统计!H$2:H$500,MATCH(207,样本到样信息汇总统计!$Z$2:$Z$500,0)),"")</f>
        <v/>
      </c>
      <c r="I208" s="4" t="str">
        <f>IFERROR(INDEX(样本到样信息汇总统计!I$2:I$500,MATCH(207,样本到样信息汇总统计!$Z$2:$Z$500,0)),"")</f>
        <v/>
      </c>
      <c r="J208" s="4" t="str">
        <f>IFERROR(INDEX(样本到样信息汇总统计!J$2:J$500,MATCH(207,样本到样信息汇总统计!$Z$2:$Z$500,0)),"")</f>
        <v/>
      </c>
      <c r="K208" s="4" t="str">
        <f>IFERROR(INDEX(样本到样信息汇总统计!K$2:K$500,MATCH(207,样本到样信息汇总统计!$Z$2:$Z$500,0)),"")</f>
        <v/>
      </c>
      <c r="L208" s="4" t="str">
        <f>IFERROR(INDEX(样本到样信息汇总统计!L$2:L$500,MATCH(207,样本到样信息汇总统计!$Z$2:$Z$500,0)),"")</f>
        <v/>
      </c>
      <c r="M208" s="4" t="str">
        <f>IFERROR(INDEX(样本到样信息汇总统计!M$2:M$500,MATCH(207,样本到样信息汇总统计!$Z$2:$Z$500,0)),"")</f>
        <v/>
      </c>
      <c r="N208" s="4" t="str">
        <f>IFERROR(INDEX(样本到样信息汇总统计!N$2:N$500,MATCH(207,样本到样信息汇总统计!$Z$2:$Z$500,0)),"")</f>
        <v/>
      </c>
      <c r="O208" s="4" t="str">
        <f>IFERROR(INDEX(样本到样信息汇总统计!O$2:O$500,MATCH(207,样本到样信息汇总统计!$Z$2:$Z$500,0)),"")</f>
        <v/>
      </c>
      <c r="P208" s="4" t="str">
        <f>IFERROR(INDEX(样本到样信息汇总统计!P$2:P$500,MATCH(207,样本到样信息汇总统计!$Z$2:$Z$500,0)),"")</f>
        <v/>
      </c>
      <c r="Q208" s="4" t="str">
        <f>IFERROR(INDEX(样本到样信息汇总统计!Q$2:Q$500,MATCH(207,样本到样信息汇总统计!$Z$2:$Z$500,0)),"")</f>
        <v/>
      </c>
      <c r="R208" s="4" t="str">
        <f>IFERROR(INDEX(样本到样信息汇总统计!R$2:R$500,MATCH(207,样本到样信息汇总统计!$Z$2:$Z$500,0)),"")</f>
        <v/>
      </c>
      <c r="S208" s="4" t="str">
        <f>IFERROR(INDEX(样本到样信息汇总统计!S$2:S$500,MATCH(207,样本到样信息汇总统计!$Z$2:$Z$500,0)),"")</f>
        <v/>
      </c>
      <c r="T208" s="4" t="str">
        <f>IFERROR(INDEX(样本到样信息汇总统计!T$2:T$500,MATCH(207,样本到样信息汇总统计!$Z$2:$Z$500,0)),"")</f>
        <v/>
      </c>
      <c r="U208" s="4" t="str">
        <f>IFERROR(INDEX(样本到样信息汇总统计!U$2:U$500,MATCH(207,样本到样信息汇总统计!$Z$2:$Z$500,0)),"")</f>
        <v/>
      </c>
      <c r="V208" s="4" t="str">
        <f>IFERROR(INDEX(样本到样信息汇总统计!V$2:V$500,MATCH(207,样本到样信息汇总统计!$Z$2:$Z$500,0)),"")</f>
        <v/>
      </c>
      <c r="W208" s="4" t="str">
        <f>IFERROR(INDEX(样本到样信息汇总统计!W$2:W$500,MATCH(207,样本到样信息汇总统计!$Z$2:$Z$500,0)),"")</f>
        <v/>
      </c>
    </row>
    <row r="209" ht="14.5" spans="1:23">
      <c r="A209" s="8" t="str">
        <f>IFERROR(INDEX(样本到样信息汇总统计!A$2:A$500,MATCH(208,样本到样信息汇总统计!$Z$2:$Z$500,0)),"")</f>
        <v/>
      </c>
      <c r="B209" s="8" t="str">
        <f>IFERROR(INDEX(样本到样信息汇总统计!B$2:B$500,MATCH(208,样本到样信息汇总统计!$Z$2:$Z$500,0)),"")</f>
        <v/>
      </c>
      <c r="C209" s="8" t="str">
        <f>IFERROR(INDEX(样本到样信息汇总统计!C$2:C$500,MATCH(208,样本到样信息汇总统计!$Z$2:$Z$500,0)),"")</f>
        <v/>
      </c>
      <c r="D209" s="8" t="str">
        <f>IFERROR(INDEX(样本到样信息汇总统计!D$2:D$500,MATCH(208,样本到样信息汇总统计!$Z$2:$Z$500,0)),"")</f>
        <v/>
      </c>
      <c r="E209" s="8" t="str">
        <f>IFERROR(INDEX(样本到样信息汇总统计!E$2:E$500,MATCH(208,样本到样信息汇总统计!$Z$2:$Z$500,0)),"")</f>
        <v/>
      </c>
      <c r="F209" s="8" t="str">
        <f>IFERROR(INDEX(样本到样信息汇总统计!F$2:F$500,MATCH(208,样本到样信息汇总统计!$Z$2:$Z$500,0)),"")</f>
        <v/>
      </c>
      <c r="G209" s="8" t="str">
        <f>IFERROR(INDEX(样本到样信息汇总统计!G$2:G$500,MATCH(208,样本到样信息汇总统计!$Z$2:$Z$500,0)),"")</f>
        <v/>
      </c>
      <c r="H209" s="8" t="str">
        <f>IFERROR(INDEX(样本到样信息汇总统计!H$2:H$500,MATCH(208,样本到样信息汇总统计!$Z$2:$Z$500,0)),"")</f>
        <v/>
      </c>
      <c r="I209" s="8" t="str">
        <f>IFERROR(INDEX(样本到样信息汇总统计!I$2:I$500,MATCH(208,样本到样信息汇总统计!$Z$2:$Z$500,0)),"")</f>
        <v/>
      </c>
      <c r="J209" s="8" t="str">
        <f>IFERROR(INDEX(样本到样信息汇总统计!J$2:J$500,MATCH(208,样本到样信息汇总统计!$Z$2:$Z$500,0)),"")</f>
        <v/>
      </c>
      <c r="K209" s="8" t="str">
        <f>IFERROR(INDEX(样本到样信息汇总统计!K$2:K$500,MATCH(208,样本到样信息汇总统计!$Z$2:$Z$500,0)),"")</f>
        <v/>
      </c>
      <c r="L209" s="8" t="str">
        <f>IFERROR(INDEX(样本到样信息汇总统计!L$2:L$500,MATCH(208,样本到样信息汇总统计!$Z$2:$Z$500,0)),"")</f>
        <v/>
      </c>
      <c r="M209" s="8" t="str">
        <f>IFERROR(INDEX(样本到样信息汇总统计!M$2:M$500,MATCH(208,样本到样信息汇总统计!$Z$2:$Z$500,0)),"")</f>
        <v/>
      </c>
      <c r="N209" s="8" t="str">
        <f>IFERROR(INDEX(样本到样信息汇总统计!N$2:N$500,MATCH(208,样本到样信息汇总统计!$Z$2:$Z$500,0)),"")</f>
        <v/>
      </c>
      <c r="O209" s="8" t="str">
        <f>IFERROR(INDEX(样本到样信息汇总统计!O$2:O$500,MATCH(208,样本到样信息汇总统计!$Z$2:$Z$500,0)),"")</f>
        <v/>
      </c>
      <c r="P209" s="8" t="str">
        <f>IFERROR(INDEX(样本到样信息汇总统计!P$2:P$500,MATCH(208,样本到样信息汇总统计!$Z$2:$Z$500,0)),"")</f>
        <v/>
      </c>
      <c r="Q209" s="8" t="str">
        <f>IFERROR(INDEX(样本到样信息汇总统计!Q$2:Q$500,MATCH(208,样本到样信息汇总统计!$Z$2:$Z$500,0)),"")</f>
        <v/>
      </c>
      <c r="R209" s="8" t="str">
        <f>IFERROR(INDEX(样本到样信息汇总统计!R$2:R$500,MATCH(208,样本到样信息汇总统计!$Z$2:$Z$500,0)),"")</f>
        <v/>
      </c>
      <c r="S209" s="8" t="str">
        <f>IFERROR(INDEX(样本到样信息汇总统计!S$2:S$500,MATCH(208,样本到样信息汇总统计!$Z$2:$Z$500,0)),"")</f>
        <v/>
      </c>
      <c r="T209" s="8" t="str">
        <f>IFERROR(INDEX(样本到样信息汇总统计!T$2:T$500,MATCH(208,样本到样信息汇总统计!$Z$2:$Z$500,0)),"")</f>
        <v/>
      </c>
      <c r="U209" s="8" t="str">
        <f>IFERROR(INDEX(样本到样信息汇总统计!U$2:U$500,MATCH(208,样本到样信息汇总统计!$Z$2:$Z$500,0)),"")</f>
        <v/>
      </c>
      <c r="V209" s="8" t="str">
        <f>IFERROR(INDEX(样本到样信息汇总统计!V$2:V$500,MATCH(208,样本到样信息汇总统计!$Z$2:$Z$500,0)),"")</f>
        <v/>
      </c>
      <c r="W209" s="8" t="str">
        <f>IFERROR(INDEX(样本到样信息汇总统计!W$2:W$500,MATCH(208,样本到样信息汇总统计!$Z$2:$Z$500,0)),"")</f>
        <v/>
      </c>
    </row>
    <row r="210" ht="14.5" spans="1:23">
      <c r="A210" s="4" t="str">
        <f>IFERROR(INDEX(样本到样信息汇总统计!A$2:A$500,MATCH(209,样本到样信息汇总统计!$Z$2:$Z$500,0)),"")</f>
        <v/>
      </c>
      <c r="B210" s="4" t="str">
        <f>IFERROR(INDEX(样本到样信息汇总统计!B$2:B$500,MATCH(209,样本到样信息汇总统计!$Z$2:$Z$500,0)),"")</f>
        <v/>
      </c>
      <c r="C210" s="4" t="str">
        <f>IFERROR(INDEX(样本到样信息汇总统计!C$2:C$500,MATCH(209,样本到样信息汇总统计!$Z$2:$Z$500,0)),"")</f>
        <v/>
      </c>
      <c r="D210" s="4" t="str">
        <f>IFERROR(INDEX(样本到样信息汇总统计!D$2:D$500,MATCH(209,样本到样信息汇总统计!$Z$2:$Z$500,0)),"")</f>
        <v/>
      </c>
      <c r="E210" s="4" t="str">
        <f>IFERROR(INDEX(样本到样信息汇总统计!E$2:E$500,MATCH(209,样本到样信息汇总统计!$Z$2:$Z$500,0)),"")</f>
        <v/>
      </c>
      <c r="F210" s="4" t="str">
        <f>IFERROR(INDEX(样本到样信息汇总统计!F$2:F$500,MATCH(209,样本到样信息汇总统计!$Z$2:$Z$500,0)),"")</f>
        <v/>
      </c>
      <c r="G210" s="4" t="str">
        <f>IFERROR(INDEX(样本到样信息汇总统计!G$2:G$500,MATCH(209,样本到样信息汇总统计!$Z$2:$Z$500,0)),"")</f>
        <v/>
      </c>
      <c r="H210" s="4" t="str">
        <f>IFERROR(INDEX(样本到样信息汇总统计!H$2:H$500,MATCH(209,样本到样信息汇总统计!$Z$2:$Z$500,0)),"")</f>
        <v/>
      </c>
      <c r="I210" s="4" t="str">
        <f>IFERROR(INDEX(样本到样信息汇总统计!I$2:I$500,MATCH(209,样本到样信息汇总统计!$Z$2:$Z$500,0)),"")</f>
        <v/>
      </c>
      <c r="J210" s="4" t="str">
        <f>IFERROR(INDEX(样本到样信息汇总统计!J$2:J$500,MATCH(209,样本到样信息汇总统计!$Z$2:$Z$500,0)),"")</f>
        <v/>
      </c>
      <c r="K210" s="4" t="str">
        <f>IFERROR(INDEX(样本到样信息汇总统计!K$2:K$500,MATCH(209,样本到样信息汇总统计!$Z$2:$Z$500,0)),"")</f>
        <v/>
      </c>
      <c r="L210" s="4" t="str">
        <f>IFERROR(INDEX(样本到样信息汇总统计!L$2:L$500,MATCH(209,样本到样信息汇总统计!$Z$2:$Z$500,0)),"")</f>
        <v/>
      </c>
      <c r="M210" s="4" t="str">
        <f>IFERROR(INDEX(样本到样信息汇总统计!M$2:M$500,MATCH(209,样本到样信息汇总统计!$Z$2:$Z$500,0)),"")</f>
        <v/>
      </c>
      <c r="N210" s="4" t="str">
        <f>IFERROR(INDEX(样本到样信息汇总统计!N$2:N$500,MATCH(209,样本到样信息汇总统计!$Z$2:$Z$500,0)),"")</f>
        <v/>
      </c>
      <c r="O210" s="4" t="str">
        <f>IFERROR(INDEX(样本到样信息汇总统计!O$2:O$500,MATCH(209,样本到样信息汇总统计!$Z$2:$Z$500,0)),"")</f>
        <v/>
      </c>
      <c r="P210" s="4" t="str">
        <f>IFERROR(INDEX(样本到样信息汇总统计!P$2:P$500,MATCH(209,样本到样信息汇总统计!$Z$2:$Z$500,0)),"")</f>
        <v/>
      </c>
      <c r="Q210" s="4" t="str">
        <f>IFERROR(INDEX(样本到样信息汇总统计!Q$2:Q$500,MATCH(209,样本到样信息汇总统计!$Z$2:$Z$500,0)),"")</f>
        <v/>
      </c>
      <c r="R210" s="4" t="str">
        <f>IFERROR(INDEX(样本到样信息汇总统计!R$2:R$500,MATCH(209,样本到样信息汇总统计!$Z$2:$Z$500,0)),"")</f>
        <v/>
      </c>
      <c r="S210" s="4" t="str">
        <f>IFERROR(INDEX(样本到样信息汇总统计!S$2:S$500,MATCH(209,样本到样信息汇总统计!$Z$2:$Z$500,0)),"")</f>
        <v/>
      </c>
      <c r="T210" s="4" t="str">
        <f>IFERROR(INDEX(样本到样信息汇总统计!T$2:T$500,MATCH(209,样本到样信息汇总统计!$Z$2:$Z$500,0)),"")</f>
        <v/>
      </c>
      <c r="U210" s="4" t="str">
        <f>IFERROR(INDEX(样本到样信息汇总统计!U$2:U$500,MATCH(209,样本到样信息汇总统计!$Z$2:$Z$500,0)),"")</f>
        <v/>
      </c>
      <c r="V210" s="4" t="str">
        <f>IFERROR(INDEX(样本到样信息汇总统计!V$2:V$500,MATCH(209,样本到样信息汇总统计!$Z$2:$Z$500,0)),"")</f>
        <v/>
      </c>
      <c r="W210" s="4" t="str">
        <f>IFERROR(INDEX(样本到样信息汇总统计!W$2:W$500,MATCH(209,样本到样信息汇总统计!$Z$2:$Z$500,0)),"")</f>
        <v/>
      </c>
    </row>
    <row r="211" ht="14.5" spans="1:23">
      <c r="A211" s="8" t="str">
        <f>IFERROR(INDEX(样本到样信息汇总统计!A$2:A$500,MATCH(210,样本到样信息汇总统计!$Z$2:$Z$500,0)),"")</f>
        <v/>
      </c>
      <c r="B211" s="8" t="str">
        <f>IFERROR(INDEX(样本到样信息汇总统计!B$2:B$500,MATCH(210,样本到样信息汇总统计!$Z$2:$Z$500,0)),"")</f>
        <v/>
      </c>
      <c r="C211" s="8" t="str">
        <f>IFERROR(INDEX(样本到样信息汇总统计!C$2:C$500,MATCH(210,样本到样信息汇总统计!$Z$2:$Z$500,0)),"")</f>
        <v/>
      </c>
      <c r="D211" s="8" t="str">
        <f>IFERROR(INDEX(样本到样信息汇总统计!D$2:D$500,MATCH(210,样本到样信息汇总统计!$Z$2:$Z$500,0)),"")</f>
        <v/>
      </c>
      <c r="E211" s="8" t="str">
        <f>IFERROR(INDEX(样本到样信息汇总统计!E$2:E$500,MATCH(210,样本到样信息汇总统计!$Z$2:$Z$500,0)),"")</f>
        <v/>
      </c>
      <c r="F211" s="8" t="str">
        <f>IFERROR(INDEX(样本到样信息汇总统计!F$2:F$500,MATCH(210,样本到样信息汇总统计!$Z$2:$Z$500,0)),"")</f>
        <v/>
      </c>
      <c r="G211" s="8" t="str">
        <f>IFERROR(INDEX(样本到样信息汇总统计!G$2:G$500,MATCH(210,样本到样信息汇总统计!$Z$2:$Z$500,0)),"")</f>
        <v/>
      </c>
      <c r="H211" s="8" t="str">
        <f>IFERROR(INDEX(样本到样信息汇总统计!H$2:H$500,MATCH(210,样本到样信息汇总统计!$Z$2:$Z$500,0)),"")</f>
        <v/>
      </c>
      <c r="I211" s="8" t="str">
        <f>IFERROR(INDEX(样本到样信息汇总统计!I$2:I$500,MATCH(210,样本到样信息汇总统计!$Z$2:$Z$500,0)),"")</f>
        <v/>
      </c>
      <c r="J211" s="8" t="str">
        <f>IFERROR(INDEX(样本到样信息汇总统计!J$2:J$500,MATCH(210,样本到样信息汇总统计!$Z$2:$Z$500,0)),"")</f>
        <v/>
      </c>
      <c r="K211" s="8" t="str">
        <f>IFERROR(INDEX(样本到样信息汇总统计!K$2:K$500,MATCH(210,样本到样信息汇总统计!$Z$2:$Z$500,0)),"")</f>
        <v/>
      </c>
      <c r="L211" s="8" t="str">
        <f>IFERROR(INDEX(样本到样信息汇总统计!L$2:L$500,MATCH(210,样本到样信息汇总统计!$Z$2:$Z$500,0)),"")</f>
        <v/>
      </c>
      <c r="M211" s="8" t="str">
        <f>IFERROR(INDEX(样本到样信息汇总统计!M$2:M$500,MATCH(210,样本到样信息汇总统计!$Z$2:$Z$500,0)),"")</f>
        <v/>
      </c>
      <c r="N211" s="8" t="str">
        <f>IFERROR(INDEX(样本到样信息汇总统计!N$2:N$500,MATCH(210,样本到样信息汇总统计!$Z$2:$Z$500,0)),"")</f>
        <v/>
      </c>
      <c r="O211" s="8" t="str">
        <f>IFERROR(INDEX(样本到样信息汇总统计!O$2:O$500,MATCH(210,样本到样信息汇总统计!$Z$2:$Z$500,0)),"")</f>
        <v/>
      </c>
      <c r="P211" s="8" t="str">
        <f>IFERROR(INDEX(样本到样信息汇总统计!P$2:P$500,MATCH(210,样本到样信息汇总统计!$Z$2:$Z$500,0)),"")</f>
        <v/>
      </c>
      <c r="Q211" s="8" t="str">
        <f>IFERROR(INDEX(样本到样信息汇总统计!Q$2:Q$500,MATCH(210,样本到样信息汇总统计!$Z$2:$Z$500,0)),"")</f>
        <v/>
      </c>
      <c r="R211" s="8" t="str">
        <f>IFERROR(INDEX(样本到样信息汇总统计!R$2:R$500,MATCH(210,样本到样信息汇总统计!$Z$2:$Z$500,0)),"")</f>
        <v/>
      </c>
      <c r="S211" s="8" t="str">
        <f>IFERROR(INDEX(样本到样信息汇总统计!S$2:S$500,MATCH(210,样本到样信息汇总统计!$Z$2:$Z$500,0)),"")</f>
        <v/>
      </c>
      <c r="T211" s="8" t="str">
        <f>IFERROR(INDEX(样本到样信息汇总统计!T$2:T$500,MATCH(210,样本到样信息汇总统计!$Z$2:$Z$500,0)),"")</f>
        <v/>
      </c>
      <c r="U211" s="8" t="str">
        <f>IFERROR(INDEX(样本到样信息汇总统计!U$2:U$500,MATCH(210,样本到样信息汇总统计!$Z$2:$Z$500,0)),"")</f>
        <v/>
      </c>
      <c r="V211" s="8" t="str">
        <f>IFERROR(INDEX(样本到样信息汇总统计!V$2:V$500,MATCH(210,样本到样信息汇总统计!$Z$2:$Z$500,0)),"")</f>
        <v/>
      </c>
      <c r="W211" s="8" t="str">
        <f>IFERROR(INDEX(样本到样信息汇总统计!W$2:W$500,MATCH(210,样本到样信息汇总统计!$Z$2:$Z$500,0)),"")</f>
        <v/>
      </c>
    </row>
    <row r="212" ht="14.5" spans="1:23">
      <c r="A212" s="4" t="str">
        <f>IFERROR(INDEX(样本到样信息汇总统计!A$2:A$500,MATCH(211,样本到样信息汇总统计!$Z$2:$Z$500,0)),"")</f>
        <v/>
      </c>
      <c r="B212" s="4" t="str">
        <f>IFERROR(INDEX(样本到样信息汇总统计!B$2:B$500,MATCH(211,样本到样信息汇总统计!$Z$2:$Z$500,0)),"")</f>
        <v/>
      </c>
      <c r="C212" s="4" t="str">
        <f>IFERROR(INDEX(样本到样信息汇总统计!C$2:C$500,MATCH(211,样本到样信息汇总统计!$Z$2:$Z$500,0)),"")</f>
        <v/>
      </c>
      <c r="D212" s="4" t="str">
        <f>IFERROR(INDEX(样本到样信息汇总统计!D$2:D$500,MATCH(211,样本到样信息汇总统计!$Z$2:$Z$500,0)),"")</f>
        <v/>
      </c>
      <c r="E212" s="4" t="str">
        <f>IFERROR(INDEX(样本到样信息汇总统计!E$2:E$500,MATCH(211,样本到样信息汇总统计!$Z$2:$Z$500,0)),"")</f>
        <v/>
      </c>
      <c r="F212" s="4" t="str">
        <f>IFERROR(INDEX(样本到样信息汇总统计!F$2:F$500,MATCH(211,样本到样信息汇总统计!$Z$2:$Z$500,0)),"")</f>
        <v/>
      </c>
      <c r="G212" s="4" t="str">
        <f>IFERROR(INDEX(样本到样信息汇总统计!G$2:G$500,MATCH(211,样本到样信息汇总统计!$Z$2:$Z$500,0)),"")</f>
        <v/>
      </c>
      <c r="H212" s="4" t="str">
        <f>IFERROR(INDEX(样本到样信息汇总统计!H$2:H$500,MATCH(211,样本到样信息汇总统计!$Z$2:$Z$500,0)),"")</f>
        <v/>
      </c>
      <c r="I212" s="4" t="str">
        <f>IFERROR(INDEX(样本到样信息汇总统计!I$2:I$500,MATCH(211,样本到样信息汇总统计!$Z$2:$Z$500,0)),"")</f>
        <v/>
      </c>
      <c r="J212" s="4" t="str">
        <f>IFERROR(INDEX(样本到样信息汇总统计!J$2:J$500,MATCH(211,样本到样信息汇总统计!$Z$2:$Z$500,0)),"")</f>
        <v/>
      </c>
      <c r="K212" s="4" t="str">
        <f>IFERROR(INDEX(样本到样信息汇总统计!K$2:K$500,MATCH(211,样本到样信息汇总统计!$Z$2:$Z$500,0)),"")</f>
        <v/>
      </c>
      <c r="L212" s="4" t="str">
        <f>IFERROR(INDEX(样本到样信息汇总统计!L$2:L$500,MATCH(211,样本到样信息汇总统计!$Z$2:$Z$500,0)),"")</f>
        <v/>
      </c>
      <c r="M212" s="4" t="str">
        <f>IFERROR(INDEX(样本到样信息汇总统计!M$2:M$500,MATCH(211,样本到样信息汇总统计!$Z$2:$Z$500,0)),"")</f>
        <v/>
      </c>
      <c r="N212" s="4" t="str">
        <f>IFERROR(INDEX(样本到样信息汇总统计!N$2:N$500,MATCH(211,样本到样信息汇总统计!$Z$2:$Z$500,0)),"")</f>
        <v/>
      </c>
      <c r="O212" s="4" t="str">
        <f>IFERROR(INDEX(样本到样信息汇总统计!O$2:O$500,MATCH(211,样本到样信息汇总统计!$Z$2:$Z$500,0)),"")</f>
        <v/>
      </c>
      <c r="P212" s="4" t="str">
        <f>IFERROR(INDEX(样本到样信息汇总统计!P$2:P$500,MATCH(211,样本到样信息汇总统计!$Z$2:$Z$500,0)),"")</f>
        <v/>
      </c>
      <c r="Q212" s="4" t="str">
        <f>IFERROR(INDEX(样本到样信息汇总统计!Q$2:Q$500,MATCH(211,样本到样信息汇总统计!$Z$2:$Z$500,0)),"")</f>
        <v/>
      </c>
      <c r="R212" s="4" t="str">
        <f>IFERROR(INDEX(样本到样信息汇总统计!R$2:R$500,MATCH(211,样本到样信息汇总统计!$Z$2:$Z$500,0)),"")</f>
        <v/>
      </c>
      <c r="S212" s="4" t="str">
        <f>IFERROR(INDEX(样本到样信息汇总统计!S$2:S$500,MATCH(211,样本到样信息汇总统计!$Z$2:$Z$500,0)),"")</f>
        <v/>
      </c>
      <c r="T212" s="4" t="str">
        <f>IFERROR(INDEX(样本到样信息汇总统计!T$2:T$500,MATCH(211,样本到样信息汇总统计!$Z$2:$Z$500,0)),"")</f>
        <v/>
      </c>
      <c r="U212" s="4" t="str">
        <f>IFERROR(INDEX(样本到样信息汇总统计!U$2:U$500,MATCH(211,样本到样信息汇总统计!$Z$2:$Z$500,0)),"")</f>
        <v/>
      </c>
      <c r="V212" s="4" t="str">
        <f>IFERROR(INDEX(样本到样信息汇总统计!V$2:V$500,MATCH(211,样本到样信息汇总统计!$Z$2:$Z$500,0)),"")</f>
        <v/>
      </c>
      <c r="W212" s="4" t="str">
        <f>IFERROR(INDEX(样本到样信息汇总统计!W$2:W$500,MATCH(211,样本到样信息汇总统计!$Z$2:$Z$500,0)),"")</f>
        <v/>
      </c>
    </row>
    <row r="213" ht="14.5" spans="1:23">
      <c r="A213" s="8" t="str">
        <f>IFERROR(INDEX(样本到样信息汇总统计!A$2:A$500,MATCH(212,样本到样信息汇总统计!$Z$2:$Z$500,0)),"")</f>
        <v/>
      </c>
      <c r="B213" s="8" t="str">
        <f>IFERROR(INDEX(样本到样信息汇总统计!B$2:B$500,MATCH(212,样本到样信息汇总统计!$Z$2:$Z$500,0)),"")</f>
        <v/>
      </c>
      <c r="C213" s="8" t="str">
        <f>IFERROR(INDEX(样本到样信息汇总统计!C$2:C$500,MATCH(212,样本到样信息汇总统计!$Z$2:$Z$500,0)),"")</f>
        <v/>
      </c>
      <c r="D213" s="8" t="str">
        <f>IFERROR(INDEX(样本到样信息汇总统计!D$2:D$500,MATCH(212,样本到样信息汇总统计!$Z$2:$Z$500,0)),"")</f>
        <v/>
      </c>
      <c r="E213" s="8" t="str">
        <f>IFERROR(INDEX(样本到样信息汇总统计!E$2:E$500,MATCH(212,样本到样信息汇总统计!$Z$2:$Z$500,0)),"")</f>
        <v/>
      </c>
      <c r="F213" s="8" t="str">
        <f>IFERROR(INDEX(样本到样信息汇总统计!F$2:F$500,MATCH(212,样本到样信息汇总统计!$Z$2:$Z$500,0)),"")</f>
        <v/>
      </c>
      <c r="G213" s="8" t="str">
        <f>IFERROR(INDEX(样本到样信息汇总统计!G$2:G$500,MATCH(212,样本到样信息汇总统计!$Z$2:$Z$500,0)),"")</f>
        <v/>
      </c>
      <c r="H213" s="8" t="str">
        <f>IFERROR(INDEX(样本到样信息汇总统计!H$2:H$500,MATCH(212,样本到样信息汇总统计!$Z$2:$Z$500,0)),"")</f>
        <v/>
      </c>
      <c r="I213" s="8" t="str">
        <f>IFERROR(INDEX(样本到样信息汇总统计!I$2:I$500,MATCH(212,样本到样信息汇总统计!$Z$2:$Z$500,0)),"")</f>
        <v/>
      </c>
      <c r="J213" s="8" t="str">
        <f>IFERROR(INDEX(样本到样信息汇总统计!J$2:J$500,MATCH(212,样本到样信息汇总统计!$Z$2:$Z$500,0)),"")</f>
        <v/>
      </c>
      <c r="K213" s="8" t="str">
        <f>IFERROR(INDEX(样本到样信息汇总统计!K$2:K$500,MATCH(212,样本到样信息汇总统计!$Z$2:$Z$500,0)),"")</f>
        <v/>
      </c>
      <c r="L213" s="8" t="str">
        <f>IFERROR(INDEX(样本到样信息汇总统计!L$2:L$500,MATCH(212,样本到样信息汇总统计!$Z$2:$Z$500,0)),"")</f>
        <v/>
      </c>
      <c r="M213" s="8" t="str">
        <f>IFERROR(INDEX(样本到样信息汇总统计!M$2:M$500,MATCH(212,样本到样信息汇总统计!$Z$2:$Z$500,0)),"")</f>
        <v/>
      </c>
      <c r="N213" s="8" t="str">
        <f>IFERROR(INDEX(样本到样信息汇总统计!N$2:N$500,MATCH(212,样本到样信息汇总统计!$Z$2:$Z$500,0)),"")</f>
        <v/>
      </c>
      <c r="O213" s="8" t="str">
        <f>IFERROR(INDEX(样本到样信息汇总统计!O$2:O$500,MATCH(212,样本到样信息汇总统计!$Z$2:$Z$500,0)),"")</f>
        <v/>
      </c>
      <c r="P213" s="8" t="str">
        <f>IFERROR(INDEX(样本到样信息汇总统计!P$2:P$500,MATCH(212,样本到样信息汇总统计!$Z$2:$Z$500,0)),"")</f>
        <v/>
      </c>
      <c r="Q213" s="8" t="str">
        <f>IFERROR(INDEX(样本到样信息汇总统计!Q$2:Q$500,MATCH(212,样本到样信息汇总统计!$Z$2:$Z$500,0)),"")</f>
        <v/>
      </c>
      <c r="R213" s="8" t="str">
        <f>IFERROR(INDEX(样本到样信息汇总统计!R$2:R$500,MATCH(212,样本到样信息汇总统计!$Z$2:$Z$500,0)),"")</f>
        <v/>
      </c>
      <c r="S213" s="8" t="str">
        <f>IFERROR(INDEX(样本到样信息汇总统计!S$2:S$500,MATCH(212,样本到样信息汇总统计!$Z$2:$Z$500,0)),"")</f>
        <v/>
      </c>
      <c r="T213" s="8" t="str">
        <f>IFERROR(INDEX(样本到样信息汇总统计!T$2:T$500,MATCH(212,样本到样信息汇总统计!$Z$2:$Z$500,0)),"")</f>
        <v/>
      </c>
      <c r="U213" s="8" t="str">
        <f>IFERROR(INDEX(样本到样信息汇总统计!U$2:U$500,MATCH(212,样本到样信息汇总统计!$Z$2:$Z$500,0)),"")</f>
        <v/>
      </c>
      <c r="V213" s="8" t="str">
        <f>IFERROR(INDEX(样本到样信息汇总统计!V$2:V$500,MATCH(212,样本到样信息汇总统计!$Z$2:$Z$500,0)),"")</f>
        <v/>
      </c>
      <c r="W213" s="8" t="str">
        <f>IFERROR(INDEX(样本到样信息汇总统计!W$2:W$500,MATCH(212,样本到样信息汇总统计!$Z$2:$Z$500,0)),"")</f>
        <v/>
      </c>
    </row>
    <row r="214" ht="14.5" spans="1:23">
      <c r="A214" s="4" t="str">
        <f>IFERROR(INDEX(样本到样信息汇总统计!A$2:A$500,MATCH(213,样本到样信息汇总统计!$Z$2:$Z$500,0)),"")</f>
        <v/>
      </c>
      <c r="B214" s="4" t="str">
        <f>IFERROR(INDEX(样本到样信息汇总统计!B$2:B$500,MATCH(213,样本到样信息汇总统计!$Z$2:$Z$500,0)),"")</f>
        <v/>
      </c>
      <c r="C214" s="4" t="str">
        <f>IFERROR(INDEX(样本到样信息汇总统计!C$2:C$500,MATCH(213,样本到样信息汇总统计!$Z$2:$Z$500,0)),"")</f>
        <v/>
      </c>
      <c r="D214" s="4" t="str">
        <f>IFERROR(INDEX(样本到样信息汇总统计!D$2:D$500,MATCH(213,样本到样信息汇总统计!$Z$2:$Z$500,0)),"")</f>
        <v/>
      </c>
      <c r="E214" s="4" t="str">
        <f>IFERROR(INDEX(样本到样信息汇总统计!E$2:E$500,MATCH(213,样本到样信息汇总统计!$Z$2:$Z$500,0)),"")</f>
        <v/>
      </c>
      <c r="F214" s="4" t="str">
        <f>IFERROR(INDEX(样本到样信息汇总统计!F$2:F$500,MATCH(213,样本到样信息汇总统计!$Z$2:$Z$500,0)),"")</f>
        <v/>
      </c>
      <c r="G214" s="4" t="str">
        <f>IFERROR(INDEX(样本到样信息汇总统计!G$2:G$500,MATCH(213,样本到样信息汇总统计!$Z$2:$Z$500,0)),"")</f>
        <v/>
      </c>
      <c r="H214" s="4" t="str">
        <f>IFERROR(INDEX(样本到样信息汇总统计!H$2:H$500,MATCH(213,样本到样信息汇总统计!$Z$2:$Z$500,0)),"")</f>
        <v/>
      </c>
      <c r="I214" s="4" t="str">
        <f>IFERROR(INDEX(样本到样信息汇总统计!I$2:I$500,MATCH(213,样本到样信息汇总统计!$Z$2:$Z$500,0)),"")</f>
        <v/>
      </c>
      <c r="J214" s="4" t="str">
        <f>IFERROR(INDEX(样本到样信息汇总统计!J$2:J$500,MATCH(213,样本到样信息汇总统计!$Z$2:$Z$500,0)),"")</f>
        <v/>
      </c>
      <c r="K214" s="4" t="str">
        <f>IFERROR(INDEX(样本到样信息汇总统计!K$2:K$500,MATCH(213,样本到样信息汇总统计!$Z$2:$Z$500,0)),"")</f>
        <v/>
      </c>
      <c r="L214" s="4" t="str">
        <f>IFERROR(INDEX(样本到样信息汇总统计!L$2:L$500,MATCH(213,样本到样信息汇总统计!$Z$2:$Z$500,0)),"")</f>
        <v/>
      </c>
      <c r="M214" s="4" t="str">
        <f>IFERROR(INDEX(样本到样信息汇总统计!M$2:M$500,MATCH(213,样本到样信息汇总统计!$Z$2:$Z$500,0)),"")</f>
        <v/>
      </c>
      <c r="N214" s="4" t="str">
        <f>IFERROR(INDEX(样本到样信息汇总统计!N$2:N$500,MATCH(213,样本到样信息汇总统计!$Z$2:$Z$500,0)),"")</f>
        <v/>
      </c>
      <c r="O214" s="4" t="str">
        <f>IFERROR(INDEX(样本到样信息汇总统计!O$2:O$500,MATCH(213,样本到样信息汇总统计!$Z$2:$Z$500,0)),"")</f>
        <v/>
      </c>
      <c r="P214" s="4" t="str">
        <f>IFERROR(INDEX(样本到样信息汇总统计!P$2:P$500,MATCH(213,样本到样信息汇总统计!$Z$2:$Z$500,0)),"")</f>
        <v/>
      </c>
      <c r="Q214" s="4" t="str">
        <f>IFERROR(INDEX(样本到样信息汇总统计!Q$2:Q$500,MATCH(213,样本到样信息汇总统计!$Z$2:$Z$500,0)),"")</f>
        <v/>
      </c>
      <c r="R214" s="4" t="str">
        <f>IFERROR(INDEX(样本到样信息汇总统计!R$2:R$500,MATCH(213,样本到样信息汇总统计!$Z$2:$Z$500,0)),"")</f>
        <v/>
      </c>
      <c r="S214" s="4" t="str">
        <f>IFERROR(INDEX(样本到样信息汇总统计!S$2:S$500,MATCH(213,样本到样信息汇总统计!$Z$2:$Z$500,0)),"")</f>
        <v/>
      </c>
      <c r="T214" s="4" t="str">
        <f>IFERROR(INDEX(样本到样信息汇总统计!T$2:T$500,MATCH(213,样本到样信息汇总统计!$Z$2:$Z$500,0)),"")</f>
        <v/>
      </c>
      <c r="U214" s="4" t="str">
        <f>IFERROR(INDEX(样本到样信息汇总统计!U$2:U$500,MATCH(213,样本到样信息汇总统计!$Z$2:$Z$500,0)),"")</f>
        <v/>
      </c>
      <c r="V214" s="4" t="str">
        <f>IFERROR(INDEX(样本到样信息汇总统计!V$2:V$500,MATCH(213,样本到样信息汇总统计!$Z$2:$Z$500,0)),"")</f>
        <v/>
      </c>
      <c r="W214" s="4" t="str">
        <f>IFERROR(INDEX(样本到样信息汇总统计!W$2:W$500,MATCH(213,样本到样信息汇总统计!$Z$2:$Z$500,0)),"")</f>
        <v/>
      </c>
    </row>
    <row r="215" ht="14.5" spans="1:23">
      <c r="A215" s="8" t="str">
        <f>IFERROR(INDEX(样本到样信息汇总统计!A$2:A$500,MATCH(214,样本到样信息汇总统计!$Z$2:$Z$500,0)),"")</f>
        <v/>
      </c>
      <c r="B215" s="8" t="str">
        <f>IFERROR(INDEX(样本到样信息汇总统计!B$2:B$500,MATCH(214,样本到样信息汇总统计!$Z$2:$Z$500,0)),"")</f>
        <v/>
      </c>
      <c r="C215" s="8" t="str">
        <f>IFERROR(INDEX(样本到样信息汇总统计!C$2:C$500,MATCH(214,样本到样信息汇总统计!$Z$2:$Z$500,0)),"")</f>
        <v/>
      </c>
      <c r="D215" s="8" t="str">
        <f>IFERROR(INDEX(样本到样信息汇总统计!D$2:D$500,MATCH(214,样本到样信息汇总统计!$Z$2:$Z$500,0)),"")</f>
        <v/>
      </c>
      <c r="E215" s="8" t="str">
        <f>IFERROR(INDEX(样本到样信息汇总统计!E$2:E$500,MATCH(214,样本到样信息汇总统计!$Z$2:$Z$500,0)),"")</f>
        <v/>
      </c>
      <c r="F215" s="8" t="str">
        <f>IFERROR(INDEX(样本到样信息汇总统计!F$2:F$500,MATCH(214,样本到样信息汇总统计!$Z$2:$Z$500,0)),"")</f>
        <v/>
      </c>
      <c r="G215" s="8" t="str">
        <f>IFERROR(INDEX(样本到样信息汇总统计!G$2:G$500,MATCH(214,样本到样信息汇总统计!$Z$2:$Z$500,0)),"")</f>
        <v/>
      </c>
      <c r="H215" s="8" t="str">
        <f>IFERROR(INDEX(样本到样信息汇总统计!H$2:H$500,MATCH(214,样本到样信息汇总统计!$Z$2:$Z$500,0)),"")</f>
        <v/>
      </c>
      <c r="I215" s="8" t="str">
        <f>IFERROR(INDEX(样本到样信息汇总统计!I$2:I$500,MATCH(214,样本到样信息汇总统计!$Z$2:$Z$500,0)),"")</f>
        <v/>
      </c>
      <c r="J215" s="8" t="str">
        <f>IFERROR(INDEX(样本到样信息汇总统计!J$2:J$500,MATCH(214,样本到样信息汇总统计!$Z$2:$Z$500,0)),"")</f>
        <v/>
      </c>
      <c r="K215" s="8" t="str">
        <f>IFERROR(INDEX(样本到样信息汇总统计!K$2:K$500,MATCH(214,样本到样信息汇总统计!$Z$2:$Z$500,0)),"")</f>
        <v/>
      </c>
      <c r="L215" s="8" t="str">
        <f>IFERROR(INDEX(样本到样信息汇总统计!L$2:L$500,MATCH(214,样本到样信息汇总统计!$Z$2:$Z$500,0)),"")</f>
        <v/>
      </c>
      <c r="M215" s="8" t="str">
        <f>IFERROR(INDEX(样本到样信息汇总统计!M$2:M$500,MATCH(214,样本到样信息汇总统计!$Z$2:$Z$500,0)),"")</f>
        <v/>
      </c>
      <c r="N215" s="8" t="str">
        <f>IFERROR(INDEX(样本到样信息汇总统计!N$2:N$500,MATCH(214,样本到样信息汇总统计!$Z$2:$Z$500,0)),"")</f>
        <v/>
      </c>
      <c r="O215" s="8" t="str">
        <f>IFERROR(INDEX(样本到样信息汇总统计!O$2:O$500,MATCH(214,样本到样信息汇总统计!$Z$2:$Z$500,0)),"")</f>
        <v/>
      </c>
      <c r="P215" s="8" t="str">
        <f>IFERROR(INDEX(样本到样信息汇总统计!P$2:P$500,MATCH(214,样本到样信息汇总统计!$Z$2:$Z$500,0)),"")</f>
        <v/>
      </c>
      <c r="Q215" s="8" t="str">
        <f>IFERROR(INDEX(样本到样信息汇总统计!Q$2:Q$500,MATCH(214,样本到样信息汇总统计!$Z$2:$Z$500,0)),"")</f>
        <v/>
      </c>
      <c r="R215" s="8" t="str">
        <f>IFERROR(INDEX(样本到样信息汇总统计!R$2:R$500,MATCH(214,样本到样信息汇总统计!$Z$2:$Z$500,0)),"")</f>
        <v/>
      </c>
      <c r="S215" s="8" t="str">
        <f>IFERROR(INDEX(样本到样信息汇总统计!S$2:S$500,MATCH(214,样本到样信息汇总统计!$Z$2:$Z$500,0)),"")</f>
        <v/>
      </c>
      <c r="T215" s="8" t="str">
        <f>IFERROR(INDEX(样本到样信息汇总统计!T$2:T$500,MATCH(214,样本到样信息汇总统计!$Z$2:$Z$500,0)),"")</f>
        <v/>
      </c>
      <c r="U215" s="8" t="str">
        <f>IFERROR(INDEX(样本到样信息汇总统计!U$2:U$500,MATCH(214,样本到样信息汇总统计!$Z$2:$Z$500,0)),"")</f>
        <v/>
      </c>
      <c r="V215" s="8" t="str">
        <f>IFERROR(INDEX(样本到样信息汇总统计!V$2:V$500,MATCH(214,样本到样信息汇总统计!$Z$2:$Z$500,0)),"")</f>
        <v/>
      </c>
      <c r="W215" s="8" t="str">
        <f>IFERROR(INDEX(样本到样信息汇总统计!W$2:W$500,MATCH(214,样本到样信息汇总统计!$Z$2:$Z$500,0)),"")</f>
        <v/>
      </c>
    </row>
    <row r="216" ht="14.5" spans="1:23">
      <c r="A216" s="4" t="str">
        <f>IFERROR(INDEX(样本到样信息汇总统计!A$2:A$500,MATCH(215,样本到样信息汇总统计!$Z$2:$Z$500,0)),"")</f>
        <v/>
      </c>
      <c r="B216" s="4" t="str">
        <f>IFERROR(INDEX(样本到样信息汇总统计!B$2:B$500,MATCH(215,样本到样信息汇总统计!$Z$2:$Z$500,0)),"")</f>
        <v/>
      </c>
      <c r="C216" s="4" t="str">
        <f>IFERROR(INDEX(样本到样信息汇总统计!C$2:C$500,MATCH(215,样本到样信息汇总统计!$Z$2:$Z$500,0)),"")</f>
        <v/>
      </c>
      <c r="D216" s="4" t="str">
        <f>IFERROR(INDEX(样本到样信息汇总统计!D$2:D$500,MATCH(215,样本到样信息汇总统计!$Z$2:$Z$500,0)),"")</f>
        <v/>
      </c>
      <c r="E216" s="4" t="str">
        <f>IFERROR(INDEX(样本到样信息汇总统计!E$2:E$500,MATCH(215,样本到样信息汇总统计!$Z$2:$Z$500,0)),"")</f>
        <v/>
      </c>
      <c r="F216" s="4" t="str">
        <f>IFERROR(INDEX(样本到样信息汇总统计!F$2:F$500,MATCH(215,样本到样信息汇总统计!$Z$2:$Z$500,0)),"")</f>
        <v/>
      </c>
      <c r="G216" s="4" t="str">
        <f>IFERROR(INDEX(样本到样信息汇总统计!G$2:G$500,MATCH(215,样本到样信息汇总统计!$Z$2:$Z$500,0)),"")</f>
        <v/>
      </c>
      <c r="H216" s="4" t="str">
        <f>IFERROR(INDEX(样本到样信息汇总统计!H$2:H$500,MATCH(215,样本到样信息汇总统计!$Z$2:$Z$500,0)),"")</f>
        <v/>
      </c>
      <c r="I216" s="4" t="str">
        <f>IFERROR(INDEX(样本到样信息汇总统计!I$2:I$500,MATCH(215,样本到样信息汇总统计!$Z$2:$Z$500,0)),"")</f>
        <v/>
      </c>
      <c r="J216" s="4" t="str">
        <f>IFERROR(INDEX(样本到样信息汇总统计!J$2:J$500,MATCH(215,样本到样信息汇总统计!$Z$2:$Z$500,0)),"")</f>
        <v/>
      </c>
      <c r="K216" s="4" t="str">
        <f>IFERROR(INDEX(样本到样信息汇总统计!K$2:K$500,MATCH(215,样本到样信息汇总统计!$Z$2:$Z$500,0)),"")</f>
        <v/>
      </c>
      <c r="L216" s="4" t="str">
        <f>IFERROR(INDEX(样本到样信息汇总统计!L$2:L$500,MATCH(215,样本到样信息汇总统计!$Z$2:$Z$500,0)),"")</f>
        <v/>
      </c>
      <c r="M216" s="4" t="str">
        <f>IFERROR(INDEX(样本到样信息汇总统计!M$2:M$500,MATCH(215,样本到样信息汇总统计!$Z$2:$Z$500,0)),"")</f>
        <v/>
      </c>
      <c r="N216" s="4" t="str">
        <f>IFERROR(INDEX(样本到样信息汇总统计!N$2:N$500,MATCH(215,样本到样信息汇总统计!$Z$2:$Z$500,0)),"")</f>
        <v/>
      </c>
      <c r="O216" s="4" t="str">
        <f>IFERROR(INDEX(样本到样信息汇总统计!O$2:O$500,MATCH(215,样本到样信息汇总统计!$Z$2:$Z$500,0)),"")</f>
        <v/>
      </c>
      <c r="P216" s="4" t="str">
        <f>IFERROR(INDEX(样本到样信息汇总统计!P$2:P$500,MATCH(215,样本到样信息汇总统计!$Z$2:$Z$500,0)),"")</f>
        <v/>
      </c>
      <c r="Q216" s="4" t="str">
        <f>IFERROR(INDEX(样本到样信息汇总统计!Q$2:Q$500,MATCH(215,样本到样信息汇总统计!$Z$2:$Z$500,0)),"")</f>
        <v/>
      </c>
      <c r="R216" s="4" t="str">
        <f>IFERROR(INDEX(样本到样信息汇总统计!R$2:R$500,MATCH(215,样本到样信息汇总统计!$Z$2:$Z$500,0)),"")</f>
        <v/>
      </c>
      <c r="S216" s="4" t="str">
        <f>IFERROR(INDEX(样本到样信息汇总统计!S$2:S$500,MATCH(215,样本到样信息汇总统计!$Z$2:$Z$500,0)),"")</f>
        <v/>
      </c>
      <c r="T216" s="4" t="str">
        <f>IFERROR(INDEX(样本到样信息汇总统计!T$2:T$500,MATCH(215,样本到样信息汇总统计!$Z$2:$Z$500,0)),"")</f>
        <v/>
      </c>
      <c r="U216" s="4" t="str">
        <f>IFERROR(INDEX(样本到样信息汇总统计!U$2:U$500,MATCH(215,样本到样信息汇总统计!$Z$2:$Z$500,0)),"")</f>
        <v/>
      </c>
      <c r="V216" s="4" t="str">
        <f>IFERROR(INDEX(样本到样信息汇总统计!V$2:V$500,MATCH(215,样本到样信息汇总统计!$Z$2:$Z$500,0)),"")</f>
        <v/>
      </c>
      <c r="W216" s="4" t="str">
        <f>IFERROR(INDEX(样本到样信息汇总统计!W$2:W$500,MATCH(215,样本到样信息汇总统计!$Z$2:$Z$500,0)),"")</f>
        <v/>
      </c>
    </row>
    <row r="217" ht="14.5" spans="1:23">
      <c r="A217" s="8" t="str">
        <f>IFERROR(INDEX(样本到样信息汇总统计!A$2:A$500,MATCH(216,样本到样信息汇总统计!$Z$2:$Z$500,0)),"")</f>
        <v/>
      </c>
      <c r="B217" s="8" t="str">
        <f>IFERROR(INDEX(样本到样信息汇总统计!B$2:B$500,MATCH(216,样本到样信息汇总统计!$Z$2:$Z$500,0)),"")</f>
        <v/>
      </c>
      <c r="C217" s="8" t="str">
        <f>IFERROR(INDEX(样本到样信息汇总统计!C$2:C$500,MATCH(216,样本到样信息汇总统计!$Z$2:$Z$500,0)),"")</f>
        <v/>
      </c>
      <c r="D217" s="8" t="str">
        <f>IFERROR(INDEX(样本到样信息汇总统计!D$2:D$500,MATCH(216,样本到样信息汇总统计!$Z$2:$Z$500,0)),"")</f>
        <v/>
      </c>
      <c r="E217" s="8" t="str">
        <f>IFERROR(INDEX(样本到样信息汇总统计!E$2:E$500,MATCH(216,样本到样信息汇总统计!$Z$2:$Z$500,0)),"")</f>
        <v/>
      </c>
      <c r="F217" s="8" t="str">
        <f>IFERROR(INDEX(样本到样信息汇总统计!F$2:F$500,MATCH(216,样本到样信息汇总统计!$Z$2:$Z$500,0)),"")</f>
        <v/>
      </c>
      <c r="G217" s="8" t="str">
        <f>IFERROR(INDEX(样本到样信息汇总统计!G$2:G$500,MATCH(216,样本到样信息汇总统计!$Z$2:$Z$500,0)),"")</f>
        <v/>
      </c>
      <c r="H217" s="8" t="str">
        <f>IFERROR(INDEX(样本到样信息汇总统计!H$2:H$500,MATCH(216,样本到样信息汇总统计!$Z$2:$Z$500,0)),"")</f>
        <v/>
      </c>
      <c r="I217" s="8" t="str">
        <f>IFERROR(INDEX(样本到样信息汇总统计!I$2:I$500,MATCH(216,样本到样信息汇总统计!$Z$2:$Z$500,0)),"")</f>
        <v/>
      </c>
      <c r="J217" s="8" t="str">
        <f>IFERROR(INDEX(样本到样信息汇总统计!J$2:J$500,MATCH(216,样本到样信息汇总统计!$Z$2:$Z$500,0)),"")</f>
        <v/>
      </c>
      <c r="K217" s="8" t="str">
        <f>IFERROR(INDEX(样本到样信息汇总统计!K$2:K$500,MATCH(216,样本到样信息汇总统计!$Z$2:$Z$500,0)),"")</f>
        <v/>
      </c>
      <c r="L217" s="8" t="str">
        <f>IFERROR(INDEX(样本到样信息汇总统计!L$2:L$500,MATCH(216,样本到样信息汇总统计!$Z$2:$Z$500,0)),"")</f>
        <v/>
      </c>
      <c r="M217" s="8" t="str">
        <f>IFERROR(INDEX(样本到样信息汇总统计!M$2:M$500,MATCH(216,样本到样信息汇总统计!$Z$2:$Z$500,0)),"")</f>
        <v/>
      </c>
      <c r="N217" s="8" t="str">
        <f>IFERROR(INDEX(样本到样信息汇总统计!N$2:N$500,MATCH(216,样本到样信息汇总统计!$Z$2:$Z$500,0)),"")</f>
        <v/>
      </c>
      <c r="O217" s="8" t="str">
        <f>IFERROR(INDEX(样本到样信息汇总统计!O$2:O$500,MATCH(216,样本到样信息汇总统计!$Z$2:$Z$500,0)),"")</f>
        <v/>
      </c>
      <c r="P217" s="8" t="str">
        <f>IFERROR(INDEX(样本到样信息汇总统计!P$2:P$500,MATCH(216,样本到样信息汇总统计!$Z$2:$Z$500,0)),"")</f>
        <v/>
      </c>
      <c r="Q217" s="8" t="str">
        <f>IFERROR(INDEX(样本到样信息汇总统计!Q$2:Q$500,MATCH(216,样本到样信息汇总统计!$Z$2:$Z$500,0)),"")</f>
        <v/>
      </c>
      <c r="R217" s="8" t="str">
        <f>IFERROR(INDEX(样本到样信息汇总统计!R$2:R$500,MATCH(216,样本到样信息汇总统计!$Z$2:$Z$500,0)),"")</f>
        <v/>
      </c>
      <c r="S217" s="8" t="str">
        <f>IFERROR(INDEX(样本到样信息汇总统计!S$2:S$500,MATCH(216,样本到样信息汇总统计!$Z$2:$Z$500,0)),"")</f>
        <v/>
      </c>
      <c r="T217" s="8" t="str">
        <f>IFERROR(INDEX(样本到样信息汇总统计!T$2:T$500,MATCH(216,样本到样信息汇总统计!$Z$2:$Z$500,0)),"")</f>
        <v/>
      </c>
      <c r="U217" s="8" t="str">
        <f>IFERROR(INDEX(样本到样信息汇总统计!U$2:U$500,MATCH(216,样本到样信息汇总统计!$Z$2:$Z$500,0)),"")</f>
        <v/>
      </c>
      <c r="V217" s="8" t="str">
        <f>IFERROR(INDEX(样本到样信息汇总统计!V$2:V$500,MATCH(216,样本到样信息汇总统计!$Z$2:$Z$500,0)),"")</f>
        <v/>
      </c>
      <c r="W217" s="8" t="str">
        <f>IFERROR(INDEX(样本到样信息汇总统计!W$2:W$500,MATCH(216,样本到样信息汇总统计!$Z$2:$Z$500,0)),"")</f>
        <v/>
      </c>
    </row>
    <row r="218" ht="14.5" spans="1:23">
      <c r="A218" s="4" t="str">
        <f>IFERROR(INDEX(样本到样信息汇总统计!A$2:A$500,MATCH(217,样本到样信息汇总统计!$Z$2:$Z$500,0)),"")</f>
        <v/>
      </c>
      <c r="B218" s="4" t="str">
        <f>IFERROR(INDEX(样本到样信息汇总统计!B$2:B$500,MATCH(217,样本到样信息汇总统计!$Z$2:$Z$500,0)),"")</f>
        <v/>
      </c>
      <c r="C218" s="4" t="str">
        <f>IFERROR(INDEX(样本到样信息汇总统计!C$2:C$500,MATCH(217,样本到样信息汇总统计!$Z$2:$Z$500,0)),"")</f>
        <v/>
      </c>
      <c r="D218" s="4" t="str">
        <f>IFERROR(INDEX(样本到样信息汇总统计!D$2:D$500,MATCH(217,样本到样信息汇总统计!$Z$2:$Z$500,0)),"")</f>
        <v/>
      </c>
      <c r="E218" s="4" t="str">
        <f>IFERROR(INDEX(样本到样信息汇总统计!E$2:E$500,MATCH(217,样本到样信息汇总统计!$Z$2:$Z$500,0)),"")</f>
        <v/>
      </c>
      <c r="F218" s="4" t="str">
        <f>IFERROR(INDEX(样本到样信息汇总统计!F$2:F$500,MATCH(217,样本到样信息汇总统计!$Z$2:$Z$500,0)),"")</f>
        <v/>
      </c>
      <c r="G218" s="4" t="str">
        <f>IFERROR(INDEX(样本到样信息汇总统计!G$2:G$500,MATCH(217,样本到样信息汇总统计!$Z$2:$Z$500,0)),"")</f>
        <v/>
      </c>
      <c r="H218" s="4" t="str">
        <f>IFERROR(INDEX(样本到样信息汇总统计!H$2:H$500,MATCH(217,样本到样信息汇总统计!$Z$2:$Z$500,0)),"")</f>
        <v/>
      </c>
      <c r="I218" s="4" t="str">
        <f>IFERROR(INDEX(样本到样信息汇总统计!I$2:I$500,MATCH(217,样本到样信息汇总统计!$Z$2:$Z$500,0)),"")</f>
        <v/>
      </c>
      <c r="J218" s="4" t="str">
        <f>IFERROR(INDEX(样本到样信息汇总统计!J$2:J$500,MATCH(217,样本到样信息汇总统计!$Z$2:$Z$500,0)),"")</f>
        <v/>
      </c>
      <c r="K218" s="4" t="str">
        <f>IFERROR(INDEX(样本到样信息汇总统计!K$2:K$500,MATCH(217,样本到样信息汇总统计!$Z$2:$Z$500,0)),"")</f>
        <v/>
      </c>
      <c r="L218" s="4" t="str">
        <f>IFERROR(INDEX(样本到样信息汇总统计!L$2:L$500,MATCH(217,样本到样信息汇总统计!$Z$2:$Z$500,0)),"")</f>
        <v/>
      </c>
      <c r="M218" s="4" t="str">
        <f>IFERROR(INDEX(样本到样信息汇总统计!M$2:M$500,MATCH(217,样本到样信息汇总统计!$Z$2:$Z$500,0)),"")</f>
        <v/>
      </c>
      <c r="N218" s="4" t="str">
        <f>IFERROR(INDEX(样本到样信息汇总统计!N$2:N$500,MATCH(217,样本到样信息汇总统计!$Z$2:$Z$500,0)),"")</f>
        <v/>
      </c>
      <c r="O218" s="4" t="str">
        <f>IFERROR(INDEX(样本到样信息汇总统计!O$2:O$500,MATCH(217,样本到样信息汇总统计!$Z$2:$Z$500,0)),"")</f>
        <v/>
      </c>
      <c r="P218" s="4" t="str">
        <f>IFERROR(INDEX(样本到样信息汇总统计!P$2:P$500,MATCH(217,样本到样信息汇总统计!$Z$2:$Z$500,0)),"")</f>
        <v/>
      </c>
      <c r="Q218" s="4" t="str">
        <f>IFERROR(INDEX(样本到样信息汇总统计!Q$2:Q$500,MATCH(217,样本到样信息汇总统计!$Z$2:$Z$500,0)),"")</f>
        <v/>
      </c>
      <c r="R218" s="4" t="str">
        <f>IFERROR(INDEX(样本到样信息汇总统计!R$2:R$500,MATCH(217,样本到样信息汇总统计!$Z$2:$Z$500,0)),"")</f>
        <v/>
      </c>
      <c r="S218" s="4" t="str">
        <f>IFERROR(INDEX(样本到样信息汇总统计!S$2:S$500,MATCH(217,样本到样信息汇总统计!$Z$2:$Z$500,0)),"")</f>
        <v/>
      </c>
      <c r="T218" s="4" t="str">
        <f>IFERROR(INDEX(样本到样信息汇总统计!T$2:T$500,MATCH(217,样本到样信息汇总统计!$Z$2:$Z$500,0)),"")</f>
        <v/>
      </c>
      <c r="U218" s="4" t="str">
        <f>IFERROR(INDEX(样本到样信息汇总统计!U$2:U$500,MATCH(217,样本到样信息汇总统计!$Z$2:$Z$500,0)),"")</f>
        <v/>
      </c>
      <c r="V218" s="4" t="str">
        <f>IFERROR(INDEX(样本到样信息汇总统计!V$2:V$500,MATCH(217,样本到样信息汇总统计!$Z$2:$Z$500,0)),"")</f>
        <v/>
      </c>
      <c r="W218" s="4" t="str">
        <f>IFERROR(INDEX(样本到样信息汇总统计!W$2:W$500,MATCH(217,样本到样信息汇总统计!$Z$2:$Z$500,0)),"")</f>
        <v/>
      </c>
    </row>
    <row r="219" ht="14.5" spans="1:23">
      <c r="A219" s="8" t="str">
        <f>IFERROR(INDEX(样本到样信息汇总统计!A$2:A$500,MATCH(218,样本到样信息汇总统计!$Z$2:$Z$500,0)),"")</f>
        <v/>
      </c>
      <c r="B219" s="8" t="str">
        <f>IFERROR(INDEX(样本到样信息汇总统计!B$2:B$500,MATCH(218,样本到样信息汇总统计!$Z$2:$Z$500,0)),"")</f>
        <v/>
      </c>
      <c r="C219" s="8" t="str">
        <f>IFERROR(INDEX(样本到样信息汇总统计!C$2:C$500,MATCH(218,样本到样信息汇总统计!$Z$2:$Z$500,0)),"")</f>
        <v/>
      </c>
      <c r="D219" s="8" t="str">
        <f>IFERROR(INDEX(样本到样信息汇总统计!D$2:D$500,MATCH(218,样本到样信息汇总统计!$Z$2:$Z$500,0)),"")</f>
        <v/>
      </c>
      <c r="E219" s="8" t="str">
        <f>IFERROR(INDEX(样本到样信息汇总统计!E$2:E$500,MATCH(218,样本到样信息汇总统计!$Z$2:$Z$500,0)),"")</f>
        <v/>
      </c>
      <c r="F219" s="8" t="str">
        <f>IFERROR(INDEX(样本到样信息汇总统计!F$2:F$500,MATCH(218,样本到样信息汇总统计!$Z$2:$Z$500,0)),"")</f>
        <v/>
      </c>
      <c r="G219" s="8" t="str">
        <f>IFERROR(INDEX(样本到样信息汇总统计!G$2:G$500,MATCH(218,样本到样信息汇总统计!$Z$2:$Z$500,0)),"")</f>
        <v/>
      </c>
      <c r="H219" s="8" t="str">
        <f>IFERROR(INDEX(样本到样信息汇总统计!H$2:H$500,MATCH(218,样本到样信息汇总统计!$Z$2:$Z$500,0)),"")</f>
        <v/>
      </c>
      <c r="I219" s="8" t="str">
        <f>IFERROR(INDEX(样本到样信息汇总统计!I$2:I$500,MATCH(218,样本到样信息汇总统计!$Z$2:$Z$500,0)),"")</f>
        <v/>
      </c>
      <c r="J219" s="8" t="str">
        <f>IFERROR(INDEX(样本到样信息汇总统计!J$2:J$500,MATCH(218,样本到样信息汇总统计!$Z$2:$Z$500,0)),"")</f>
        <v/>
      </c>
      <c r="K219" s="8" t="str">
        <f>IFERROR(INDEX(样本到样信息汇总统计!K$2:K$500,MATCH(218,样本到样信息汇总统计!$Z$2:$Z$500,0)),"")</f>
        <v/>
      </c>
      <c r="L219" s="8" t="str">
        <f>IFERROR(INDEX(样本到样信息汇总统计!L$2:L$500,MATCH(218,样本到样信息汇总统计!$Z$2:$Z$500,0)),"")</f>
        <v/>
      </c>
      <c r="M219" s="8" t="str">
        <f>IFERROR(INDEX(样本到样信息汇总统计!M$2:M$500,MATCH(218,样本到样信息汇总统计!$Z$2:$Z$500,0)),"")</f>
        <v/>
      </c>
      <c r="N219" s="8" t="str">
        <f>IFERROR(INDEX(样本到样信息汇总统计!N$2:N$500,MATCH(218,样本到样信息汇总统计!$Z$2:$Z$500,0)),"")</f>
        <v/>
      </c>
      <c r="O219" s="8" t="str">
        <f>IFERROR(INDEX(样本到样信息汇总统计!O$2:O$500,MATCH(218,样本到样信息汇总统计!$Z$2:$Z$500,0)),"")</f>
        <v/>
      </c>
      <c r="P219" s="8" t="str">
        <f>IFERROR(INDEX(样本到样信息汇总统计!P$2:P$500,MATCH(218,样本到样信息汇总统计!$Z$2:$Z$500,0)),"")</f>
        <v/>
      </c>
      <c r="Q219" s="8" t="str">
        <f>IFERROR(INDEX(样本到样信息汇总统计!Q$2:Q$500,MATCH(218,样本到样信息汇总统计!$Z$2:$Z$500,0)),"")</f>
        <v/>
      </c>
      <c r="R219" s="8" t="str">
        <f>IFERROR(INDEX(样本到样信息汇总统计!R$2:R$500,MATCH(218,样本到样信息汇总统计!$Z$2:$Z$500,0)),"")</f>
        <v/>
      </c>
      <c r="S219" s="8" t="str">
        <f>IFERROR(INDEX(样本到样信息汇总统计!S$2:S$500,MATCH(218,样本到样信息汇总统计!$Z$2:$Z$500,0)),"")</f>
        <v/>
      </c>
      <c r="T219" s="8" t="str">
        <f>IFERROR(INDEX(样本到样信息汇总统计!T$2:T$500,MATCH(218,样本到样信息汇总统计!$Z$2:$Z$500,0)),"")</f>
        <v/>
      </c>
      <c r="U219" s="8" t="str">
        <f>IFERROR(INDEX(样本到样信息汇总统计!U$2:U$500,MATCH(218,样本到样信息汇总统计!$Z$2:$Z$500,0)),"")</f>
        <v/>
      </c>
      <c r="V219" s="8" t="str">
        <f>IFERROR(INDEX(样本到样信息汇总统计!V$2:V$500,MATCH(218,样本到样信息汇总统计!$Z$2:$Z$500,0)),"")</f>
        <v/>
      </c>
      <c r="W219" s="8" t="str">
        <f>IFERROR(INDEX(样本到样信息汇总统计!W$2:W$500,MATCH(218,样本到样信息汇总统计!$Z$2:$Z$500,0)),"")</f>
        <v/>
      </c>
    </row>
    <row r="220" ht="14.5" spans="1:23">
      <c r="A220" s="4" t="str">
        <f>IFERROR(INDEX(样本到样信息汇总统计!A$2:A$500,MATCH(219,样本到样信息汇总统计!$Z$2:$Z$500,0)),"")</f>
        <v/>
      </c>
      <c r="B220" s="4" t="str">
        <f>IFERROR(INDEX(样本到样信息汇总统计!B$2:B$500,MATCH(219,样本到样信息汇总统计!$Z$2:$Z$500,0)),"")</f>
        <v/>
      </c>
      <c r="C220" s="4" t="str">
        <f>IFERROR(INDEX(样本到样信息汇总统计!C$2:C$500,MATCH(219,样本到样信息汇总统计!$Z$2:$Z$500,0)),"")</f>
        <v/>
      </c>
      <c r="D220" s="4" t="str">
        <f>IFERROR(INDEX(样本到样信息汇总统计!D$2:D$500,MATCH(219,样本到样信息汇总统计!$Z$2:$Z$500,0)),"")</f>
        <v/>
      </c>
      <c r="E220" s="4" t="str">
        <f>IFERROR(INDEX(样本到样信息汇总统计!E$2:E$500,MATCH(219,样本到样信息汇总统计!$Z$2:$Z$500,0)),"")</f>
        <v/>
      </c>
      <c r="F220" s="4" t="str">
        <f>IFERROR(INDEX(样本到样信息汇总统计!F$2:F$500,MATCH(219,样本到样信息汇总统计!$Z$2:$Z$500,0)),"")</f>
        <v/>
      </c>
      <c r="G220" s="4" t="str">
        <f>IFERROR(INDEX(样本到样信息汇总统计!G$2:G$500,MATCH(219,样本到样信息汇总统计!$Z$2:$Z$500,0)),"")</f>
        <v/>
      </c>
      <c r="H220" s="4" t="str">
        <f>IFERROR(INDEX(样本到样信息汇总统计!H$2:H$500,MATCH(219,样本到样信息汇总统计!$Z$2:$Z$500,0)),"")</f>
        <v/>
      </c>
      <c r="I220" s="4" t="str">
        <f>IFERROR(INDEX(样本到样信息汇总统计!I$2:I$500,MATCH(219,样本到样信息汇总统计!$Z$2:$Z$500,0)),"")</f>
        <v/>
      </c>
      <c r="J220" s="4" t="str">
        <f>IFERROR(INDEX(样本到样信息汇总统计!J$2:J$500,MATCH(219,样本到样信息汇总统计!$Z$2:$Z$500,0)),"")</f>
        <v/>
      </c>
      <c r="K220" s="4" t="str">
        <f>IFERROR(INDEX(样本到样信息汇总统计!K$2:K$500,MATCH(219,样本到样信息汇总统计!$Z$2:$Z$500,0)),"")</f>
        <v/>
      </c>
      <c r="L220" s="4" t="str">
        <f>IFERROR(INDEX(样本到样信息汇总统计!L$2:L$500,MATCH(219,样本到样信息汇总统计!$Z$2:$Z$500,0)),"")</f>
        <v/>
      </c>
      <c r="M220" s="4" t="str">
        <f>IFERROR(INDEX(样本到样信息汇总统计!M$2:M$500,MATCH(219,样本到样信息汇总统计!$Z$2:$Z$500,0)),"")</f>
        <v/>
      </c>
      <c r="N220" s="4" t="str">
        <f>IFERROR(INDEX(样本到样信息汇总统计!N$2:N$500,MATCH(219,样本到样信息汇总统计!$Z$2:$Z$500,0)),"")</f>
        <v/>
      </c>
      <c r="O220" s="4" t="str">
        <f>IFERROR(INDEX(样本到样信息汇总统计!O$2:O$500,MATCH(219,样本到样信息汇总统计!$Z$2:$Z$500,0)),"")</f>
        <v/>
      </c>
      <c r="P220" s="4" t="str">
        <f>IFERROR(INDEX(样本到样信息汇总统计!P$2:P$500,MATCH(219,样本到样信息汇总统计!$Z$2:$Z$500,0)),"")</f>
        <v/>
      </c>
      <c r="Q220" s="4" t="str">
        <f>IFERROR(INDEX(样本到样信息汇总统计!Q$2:Q$500,MATCH(219,样本到样信息汇总统计!$Z$2:$Z$500,0)),"")</f>
        <v/>
      </c>
      <c r="R220" s="4" t="str">
        <f>IFERROR(INDEX(样本到样信息汇总统计!R$2:R$500,MATCH(219,样本到样信息汇总统计!$Z$2:$Z$500,0)),"")</f>
        <v/>
      </c>
      <c r="S220" s="4" t="str">
        <f>IFERROR(INDEX(样本到样信息汇总统计!S$2:S$500,MATCH(219,样本到样信息汇总统计!$Z$2:$Z$500,0)),"")</f>
        <v/>
      </c>
      <c r="T220" s="4" t="str">
        <f>IFERROR(INDEX(样本到样信息汇总统计!T$2:T$500,MATCH(219,样本到样信息汇总统计!$Z$2:$Z$500,0)),"")</f>
        <v/>
      </c>
      <c r="U220" s="4" t="str">
        <f>IFERROR(INDEX(样本到样信息汇总统计!U$2:U$500,MATCH(219,样本到样信息汇总统计!$Z$2:$Z$500,0)),"")</f>
        <v/>
      </c>
      <c r="V220" s="4" t="str">
        <f>IFERROR(INDEX(样本到样信息汇总统计!V$2:V$500,MATCH(219,样本到样信息汇总统计!$Z$2:$Z$500,0)),"")</f>
        <v/>
      </c>
      <c r="W220" s="4" t="str">
        <f>IFERROR(INDEX(样本到样信息汇总统计!W$2:W$500,MATCH(219,样本到样信息汇总统计!$Z$2:$Z$500,0)),"")</f>
        <v/>
      </c>
    </row>
    <row r="221" ht="14.5" spans="1:23">
      <c r="A221" s="8" t="str">
        <f>IFERROR(INDEX(样本到样信息汇总统计!A$2:A$500,MATCH(220,样本到样信息汇总统计!$Z$2:$Z$500,0)),"")</f>
        <v/>
      </c>
      <c r="B221" s="8" t="str">
        <f>IFERROR(INDEX(样本到样信息汇总统计!B$2:B$500,MATCH(220,样本到样信息汇总统计!$Z$2:$Z$500,0)),"")</f>
        <v/>
      </c>
      <c r="C221" s="8" t="str">
        <f>IFERROR(INDEX(样本到样信息汇总统计!C$2:C$500,MATCH(220,样本到样信息汇总统计!$Z$2:$Z$500,0)),"")</f>
        <v/>
      </c>
      <c r="D221" s="8" t="str">
        <f>IFERROR(INDEX(样本到样信息汇总统计!D$2:D$500,MATCH(220,样本到样信息汇总统计!$Z$2:$Z$500,0)),"")</f>
        <v/>
      </c>
      <c r="E221" s="8" t="str">
        <f>IFERROR(INDEX(样本到样信息汇总统计!E$2:E$500,MATCH(220,样本到样信息汇总统计!$Z$2:$Z$500,0)),"")</f>
        <v/>
      </c>
      <c r="F221" s="8" t="str">
        <f>IFERROR(INDEX(样本到样信息汇总统计!F$2:F$500,MATCH(220,样本到样信息汇总统计!$Z$2:$Z$500,0)),"")</f>
        <v/>
      </c>
      <c r="G221" s="8" t="str">
        <f>IFERROR(INDEX(样本到样信息汇总统计!G$2:G$500,MATCH(220,样本到样信息汇总统计!$Z$2:$Z$500,0)),"")</f>
        <v/>
      </c>
      <c r="H221" s="8" t="str">
        <f>IFERROR(INDEX(样本到样信息汇总统计!H$2:H$500,MATCH(220,样本到样信息汇总统计!$Z$2:$Z$500,0)),"")</f>
        <v/>
      </c>
      <c r="I221" s="8" t="str">
        <f>IFERROR(INDEX(样本到样信息汇总统计!I$2:I$500,MATCH(220,样本到样信息汇总统计!$Z$2:$Z$500,0)),"")</f>
        <v/>
      </c>
      <c r="J221" s="8" t="str">
        <f>IFERROR(INDEX(样本到样信息汇总统计!J$2:J$500,MATCH(220,样本到样信息汇总统计!$Z$2:$Z$500,0)),"")</f>
        <v/>
      </c>
      <c r="K221" s="8" t="str">
        <f>IFERROR(INDEX(样本到样信息汇总统计!K$2:K$500,MATCH(220,样本到样信息汇总统计!$Z$2:$Z$500,0)),"")</f>
        <v/>
      </c>
      <c r="L221" s="8" t="str">
        <f>IFERROR(INDEX(样本到样信息汇总统计!L$2:L$500,MATCH(220,样本到样信息汇总统计!$Z$2:$Z$500,0)),"")</f>
        <v/>
      </c>
      <c r="M221" s="8" t="str">
        <f>IFERROR(INDEX(样本到样信息汇总统计!M$2:M$500,MATCH(220,样本到样信息汇总统计!$Z$2:$Z$500,0)),"")</f>
        <v/>
      </c>
      <c r="N221" s="8" t="str">
        <f>IFERROR(INDEX(样本到样信息汇总统计!N$2:N$500,MATCH(220,样本到样信息汇总统计!$Z$2:$Z$500,0)),"")</f>
        <v/>
      </c>
      <c r="O221" s="8" t="str">
        <f>IFERROR(INDEX(样本到样信息汇总统计!O$2:O$500,MATCH(220,样本到样信息汇总统计!$Z$2:$Z$500,0)),"")</f>
        <v/>
      </c>
      <c r="P221" s="8" t="str">
        <f>IFERROR(INDEX(样本到样信息汇总统计!P$2:P$500,MATCH(220,样本到样信息汇总统计!$Z$2:$Z$500,0)),"")</f>
        <v/>
      </c>
      <c r="Q221" s="8" t="str">
        <f>IFERROR(INDEX(样本到样信息汇总统计!Q$2:Q$500,MATCH(220,样本到样信息汇总统计!$Z$2:$Z$500,0)),"")</f>
        <v/>
      </c>
      <c r="R221" s="8" t="str">
        <f>IFERROR(INDEX(样本到样信息汇总统计!R$2:R$500,MATCH(220,样本到样信息汇总统计!$Z$2:$Z$500,0)),"")</f>
        <v/>
      </c>
      <c r="S221" s="8" t="str">
        <f>IFERROR(INDEX(样本到样信息汇总统计!S$2:S$500,MATCH(220,样本到样信息汇总统计!$Z$2:$Z$500,0)),"")</f>
        <v/>
      </c>
      <c r="T221" s="8" t="str">
        <f>IFERROR(INDEX(样本到样信息汇总统计!T$2:T$500,MATCH(220,样本到样信息汇总统计!$Z$2:$Z$500,0)),"")</f>
        <v/>
      </c>
      <c r="U221" s="8" t="str">
        <f>IFERROR(INDEX(样本到样信息汇总统计!U$2:U$500,MATCH(220,样本到样信息汇总统计!$Z$2:$Z$500,0)),"")</f>
        <v/>
      </c>
      <c r="V221" s="8" t="str">
        <f>IFERROR(INDEX(样本到样信息汇总统计!V$2:V$500,MATCH(220,样本到样信息汇总统计!$Z$2:$Z$500,0)),"")</f>
        <v/>
      </c>
      <c r="W221" s="8" t="str">
        <f>IFERROR(INDEX(样本到样信息汇总统计!W$2:W$500,MATCH(220,样本到样信息汇总统计!$Z$2:$Z$500,0)),"")</f>
        <v/>
      </c>
    </row>
    <row r="222" ht="14.5" spans="1:23">
      <c r="A222" s="4" t="str">
        <f>IFERROR(INDEX(样本到样信息汇总统计!A$2:A$500,MATCH(221,样本到样信息汇总统计!$Z$2:$Z$500,0)),"")</f>
        <v/>
      </c>
      <c r="B222" s="4" t="str">
        <f>IFERROR(INDEX(样本到样信息汇总统计!B$2:B$500,MATCH(221,样本到样信息汇总统计!$Z$2:$Z$500,0)),"")</f>
        <v/>
      </c>
      <c r="C222" s="4" t="str">
        <f>IFERROR(INDEX(样本到样信息汇总统计!C$2:C$500,MATCH(221,样本到样信息汇总统计!$Z$2:$Z$500,0)),"")</f>
        <v/>
      </c>
      <c r="D222" s="4" t="str">
        <f>IFERROR(INDEX(样本到样信息汇总统计!D$2:D$500,MATCH(221,样本到样信息汇总统计!$Z$2:$Z$500,0)),"")</f>
        <v/>
      </c>
      <c r="E222" s="4" t="str">
        <f>IFERROR(INDEX(样本到样信息汇总统计!E$2:E$500,MATCH(221,样本到样信息汇总统计!$Z$2:$Z$500,0)),"")</f>
        <v/>
      </c>
      <c r="F222" s="4" t="str">
        <f>IFERROR(INDEX(样本到样信息汇总统计!F$2:F$500,MATCH(221,样本到样信息汇总统计!$Z$2:$Z$500,0)),"")</f>
        <v/>
      </c>
      <c r="G222" s="4" t="str">
        <f>IFERROR(INDEX(样本到样信息汇总统计!G$2:G$500,MATCH(221,样本到样信息汇总统计!$Z$2:$Z$500,0)),"")</f>
        <v/>
      </c>
      <c r="H222" s="4" t="str">
        <f>IFERROR(INDEX(样本到样信息汇总统计!H$2:H$500,MATCH(221,样本到样信息汇总统计!$Z$2:$Z$500,0)),"")</f>
        <v/>
      </c>
      <c r="I222" s="4" t="str">
        <f>IFERROR(INDEX(样本到样信息汇总统计!I$2:I$500,MATCH(221,样本到样信息汇总统计!$Z$2:$Z$500,0)),"")</f>
        <v/>
      </c>
      <c r="J222" s="4" t="str">
        <f>IFERROR(INDEX(样本到样信息汇总统计!J$2:J$500,MATCH(221,样本到样信息汇总统计!$Z$2:$Z$500,0)),"")</f>
        <v/>
      </c>
      <c r="K222" s="4" t="str">
        <f>IFERROR(INDEX(样本到样信息汇总统计!K$2:K$500,MATCH(221,样本到样信息汇总统计!$Z$2:$Z$500,0)),"")</f>
        <v/>
      </c>
      <c r="L222" s="4" t="str">
        <f>IFERROR(INDEX(样本到样信息汇总统计!L$2:L$500,MATCH(221,样本到样信息汇总统计!$Z$2:$Z$500,0)),"")</f>
        <v/>
      </c>
      <c r="M222" s="4" t="str">
        <f>IFERROR(INDEX(样本到样信息汇总统计!M$2:M$500,MATCH(221,样本到样信息汇总统计!$Z$2:$Z$500,0)),"")</f>
        <v/>
      </c>
      <c r="N222" s="4" t="str">
        <f>IFERROR(INDEX(样本到样信息汇总统计!N$2:N$500,MATCH(221,样本到样信息汇总统计!$Z$2:$Z$500,0)),"")</f>
        <v/>
      </c>
      <c r="O222" s="4" t="str">
        <f>IFERROR(INDEX(样本到样信息汇总统计!O$2:O$500,MATCH(221,样本到样信息汇总统计!$Z$2:$Z$500,0)),"")</f>
        <v/>
      </c>
      <c r="P222" s="4" t="str">
        <f>IFERROR(INDEX(样本到样信息汇总统计!P$2:P$500,MATCH(221,样本到样信息汇总统计!$Z$2:$Z$500,0)),"")</f>
        <v/>
      </c>
      <c r="Q222" s="4" t="str">
        <f>IFERROR(INDEX(样本到样信息汇总统计!Q$2:Q$500,MATCH(221,样本到样信息汇总统计!$Z$2:$Z$500,0)),"")</f>
        <v/>
      </c>
      <c r="R222" s="4" t="str">
        <f>IFERROR(INDEX(样本到样信息汇总统计!R$2:R$500,MATCH(221,样本到样信息汇总统计!$Z$2:$Z$500,0)),"")</f>
        <v/>
      </c>
      <c r="S222" s="4" t="str">
        <f>IFERROR(INDEX(样本到样信息汇总统计!S$2:S$500,MATCH(221,样本到样信息汇总统计!$Z$2:$Z$500,0)),"")</f>
        <v/>
      </c>
      <c r="T222" s="4" t="str">
        <f>IFERROR(INDEX(样本到样信息汇总统计!T$2:T$500,MATCH(221,样本到样信息汇总统计!$Z$2:$Z$500,0)),"")</f>
        <v/>
      </c>
      <c r="U222" s="4" t="str">
        <f>IFERROR(INDEX(样本到样信息汇总统计!U$2:U$500,MATCH(221,样本到样信息汇总统计!$Z$2:$Z$500,0)),"")</f>
        <v/>
      </c>
      <c r="V222" s="4" t="str">
        <f>IFERROR(INDEX(样本到样信息汇总统计!V$2:V$500,MATCH(221,样本到样信息汇总统计!$Z$2:$Z$500,0)),"")</f>
        <v/>
      </c>
      <c r="W222" s="4" t="str">
        <f>IFERROR(INDEX(样本到样信息汇总统计!W$2:W$500,MATCH(221,样本到样信息汇总统计!$Z$2:$Z$500,0)),"")</f>
        <v/>
      </c>
    </row>
    <row r="223" ht="14.5" spans="1:23">
      <c r="A223" s="8" t="str">
        <f>IFERROR(INDEX(样本到样信息汇总统计!A$2:A$500,MATCH(222,样本到样信息汇总统计!$Z$2:$Z$500,0)),"")</f>
        <v/>
      </c>
      <c r="B223" s="8" t="str">
        <f>IFERROR(INDEX(样本到样信息汇总统计!B$2:B$500,MATCH(222,样本到样信息汇总统计!$Z$2:$Z$500,0)),"")</f>
        <v/>
      </c>
      <c r="C223" s="8" t="str">
        <f>IFERROR(INDEX(样本到样信息汇总统计!C$2:C$500,MATCH(222,样本到样信息汇总统计!$Z$2:$Z$500,0)),"")</f>
        <v/>
      </c>
      <c r="D223" s="8" t="str">
        <f>IFERROR(INDEX(样本到样信息汇总统计!D$2:D$500,MATCH(222,样本到样信息汇总统计!$Z$2:$Z$500,0)),"")</f>
        <v/>
      </c>
      <c r="E223" s="8" t="str">
        <f>IFERROR(INDEX(样本到样信息汇总统计!E$2:E$500,MATCH(222,样本到样信息汇总统计!$Z$2:$Z$500,0)),"")</f>
        <v/>
      </c>
      <c r="F223" s="8" t="str">
        <f>IFERROR(INDEX(样本到样信息汇总统计!F$2:F$500,MATCH(222,样本到样信息汇总统计!$Z$2:$Z$500,0)),"")</f>
        <v/>
      </c>
      <c r="G223" s="8" t="str">
        <f>IFERROR(INDEX(样本到样信息汇总统计!G$2:G$500,MATCH(222,样本到样信息汇总统计!$Z$2:$Z$500,0)),"")</f>
        <v/>
      </c>
      <c r="H223" s="8" t="str">
        <f>IFERROR(INDEX(样本到样信息汇总统计!H$2:H$500,MATCH(222,样本到样信息汇总统计!$Z$2:$Z$500,0)),"")</f>
        <v/>
      </c>
      <c r="I223" s="8" t="str">
        <f>IFERROR(INDEX(样本到样信息汇总统计!I$2:I$500,MATCH(222,样本到样信息汇总统计!$Z$2:$Z$500,0)),"")</f>
        <v/>
      </c>
      <c r="J223" s="8" t="str">
        <f>IFERROR(INDEX(样本到样信息汇总统计!J$2:J$500,MATCH(222,样本到样信息汇总统计!$Z$2:$Z$500,0)),"")</f>
        <v/>
      </c>
      <c r="K223" s="8" t="str">
        <f>IFERROR(INDEX(样本到样信息汇总统计!K$2:K$500,MATCH(222,样本到样信息汇总统计!$Z$2:$Z$500,0)),"")</f>
        <v/>
      </c>
      <c r="L223" s="8" t="str">
        <f>IFERROR(INDEX(样本到样信息汇总统计!L$2:L$500,MATCH(222,样本到样信息汇总统计!$Z$2:$Z$500,0)),"")</f>
        <v/>
      </c>
      <c r="M223" s="8" t="str">
        <f>IFERROR(INDEX(样本到样信息汇总统计!M$2:M$500,MATCH(222,样本到样信息汇总统计!$Z$2:$Z$500,0)),"")</f>
        <v/>
      </c>
      <c r="N223" s="8" t="str">
        <f>IFERROR(INDEX(样本到样信息汇总统计!N$2:N$500,MATCH(222,样本到样信息汇总统计!$Z$2:$Z$500,0)),"")</f>
        <v/>
      </c>
      <c r="O223" s="8" t="str">
        <f>IFERROR(INDEX(样本到样信息汇总统计!O$2:O$500,MATCH(222,样本到样信息汇总统计!$Z$2:$Z$500,0)),"")</f>
        <v/>
      </c>
      <c r="P223" s="8" t="str">
        <f>IFERROR(INDEX(样本到样信息汇总统计!P$2:P$500,MATCH(222,样本到样信息汇总统计!$Z$2:$Z$500,0)),"")</f>
        <v/>
      </c>
      <c r="Q223" s="8" t="str">
        <f>IFERROR(INDEX(样本到样信息汇总统计!Q$2:Q$500,MATCH(222,样本到样信息汇总统计!$Z$2:$Z$500,0)),"")</f>
        <v/>
      </c>
      <c r="R223" s="8" t="str">
        <f>IFERROR(INDEX(样本到样信息汇总统计!R$2:R$500,MATCH(222,样本到样信息汇总统计!$Z$2:$Z$500,0)),"")</f>
        <v/>
      </c>
      <c r="S223" s="8" t="str">
        <f>IFERROR(INDEX(样本到样信息汇总统计!S$2:S$500,MATCH(222,样本到样信息汇总统计!$Z$2:$Z$500,0)),"")</f>
        <v/>
      </c>
      <c r="T223" s="8" t="str">
        <f>IFERROR(INDEX(样本到样信息汇总统计!T$2:T$500,MATCH(222,样本到样信息汇总统计!$Z$2:$Z$500,0)),"")</f>
        <v/>
      </c>
      <c r="U223" s="8" t="str">
        <f>IFERROR(INDEX(样本到样信息汇总统计!U$2:U$500,MATCH(222,样本到样信息汇总统计!$Z$2:$Z$500,0)),"")</f>
        <v/>
      </c>
      <c r="V223" s="8" t="str">
        <f>IFERROR(INDEX(样本到样信息汇总统计!V$2:V$500,MATCH(222,样本到样信息汇总统计!$Z$2:$Z$500,0)),"")</f>
        <v/>
      </c>
      <c r="W223" s="8" t="str">
        <f>IFERROR(INDEX(样本到样信息汇总统计!W$2:W$500,MATCH(222,样本到样信息汇总统计!$Z$2:$Z$500,0)),"")</f>
        <v/>
      </c>
    </row>
    <row r="224" ht="14.5" spans="1:23">
      <c r="A224" s="4" t="str">
        <f>IFERROR(INDEX(样本到样信息汇总统计!A$2:A$500,MATCH(223,样本到样信息汇总统计!$Z$2:$Z$500,0)),"")</f>
        <v/>
      </c>
      <c r="B224" s="4" t="str">
        <f>IFERROR(INDEX(样本到样信息汇总统计!B$2:B$500,MATCH(223,样本到样信息汇总统计!$Z$2:$Z$500,0)),"")</f>
        <v/>
      </c>
      <c r="C224" s="4" t="str">
        <f>IFERROR(INDEX(样本到样信息汇总统计!C$2:C$500,MATCH(223,样本到样信息汇总统计!$Z$2:$Z$500,0)),"")</f>
        <v/>
      </c>
      <c r="D224" s="4" t="str">
        <f>IFERROR(INDEX(样本到样信息汇总统计!D$2:D$500,MATCH(223,样本到样信息汇总统计!$Z$2:$Z$500,0)),"")</f>
        <v/>
      </c>
      <c r="E224" s="4" t="str">
        <f>IFERROR(INDEX(样本到样信息汇总统计!E$2:E$500,MATCH(223,样本到样信息汇总统计!$Z$2:$Z$500,0)),"")</f>
        <v/>
      </c>
      <c r="F224" s="4" t="str">
        <f>IFERROR(INDEX(样本到样信息汇总统计!F$2:F$500,MATCH(223,样本到样信息汇总统计!$Z$2:$Z$500,0)),"")</f>
        <v/>
      </c>
      <c r="G224" s="4" t="str">
        <f>IFERROR(INDEX(样本到样信息汇总统计!G$2:G$500,MATCH(223,样本到样信息汇总统计!$Z$2:$Z$500,0)),"")</f>
        <v/>
      </c>
      <c r="H224" s="4" t="str">
        <f>IFERROR(INDEX(样本到样信息汇总统计!H$2:H$500,MATCH(223,样本到样信息汇总统计!$Z$2:$Z$500,0)),"")</f>
        <v/>
      </c>
      <c r="I224" s="4" t="str">
        <f>IFERROR(INDEX(样本到样信息汇总统计!I$2:I$500,MATCH(223,样本到样信息汇总统计!$Z$2:$Z$500,0)),"")</f>
        <v/>
      </c>
      <c r="J224" s="4" t="str">
        <f>IFERROR(INDEX(样本到样信息汇总统计!J$2:J$500,MATCH(223,样本到样信息汇总统计!$Z$2:$Z$500,0)),"")</f>
        <v/>
      </c>
      <c r="K224" s="4" t="str">
        <f>IFERROR(INDEX(样本到样信息汇总统计!K$2:K$500,MATCH(223,样本到样信息汇总统计!$Z$2:$Z$500,0)),"")</f>
        <v/>
      </c>
      <c r="L224" s="4" t="str">
        <f>IFERROR(INDEX(样本到样信息汇总统计!L$2:L$500,MATCH(223,样本到样信息汇总统计!$Z$2:$Z$500,0)),"")</f>
        <v/>
      </c>
      <c r="M224" s="4" t="str">
        <f>IFERROR(INDEX(样本到样信息汇总统计!M$2:M$500,MATCH(223,样本到样信息汇总统计!$Z$2:$Z$500,0)),"")</f>
        <v/>
      </c>
      <c r="N224" s="4" t="str">
        <f>IFERROR(INDEX(样本到样信息汇总统计!N$2:N$500,MATCH(223,样本到样信息汇总统计!$Z$2:$Z$500,0)),"")</f>
        <v/>
      </c>
      <c r="O224" s="4" t="str">
        <f>IFERROR(INDEX(样本到样信息汇总统计!O$2:O$500,MATCH(223,样本到样信息汇总统计!$Z$2:$Z$500,0)),"")</f>
        <v/>
      </c>
      <c r="P224" s="4" t="str">
        <f>IFERROR(INDEX(样本到样信息汇总统计!P$2:P$500,MATCH(223,样本到样信息汇总统计!$Z$2:$Z$500,0)),"")</f>
        <v/>
      </c>
      <c r="Q224" s="4" t="str">
        <f>IFERROR(INDEX(样本到样信息汇总统计!Q$2:Q$500,MATCH(223,样本到样信息汇总统计!$Z$2:$Z$500,0)),"")</f>
        <v/>
      </c>
      <c r="R224" s="4" t="str">
        <f>IFERROR(INDEX(样本到样信息汇总统计!R$2:R$500,MATCH(223,样本到样信息汇总统计!$Z$2:$Z$500,0)),"")</f>
        <v/>
      </c>
      <c r="S224" s="4" t="str">
        <f>IFERROR(INDEX(样本到样信息汇总统计!S$2:S$500,MATCH(223,样本到样信息汇总统计!$Z$2:$Z$500,0)),"")</f>
        <v/>
      </c>
      <c r="T224" s="4" t="str">
        <f>IFERROR(INDEX(样本到样信息汇总统计!T$2:T$500,MATCH(223,样本到样信息汇总统计!$Z$2:$Z$500,0)),"")</f>
        <v/>
      </c>
      <c r="U224" s="4" t="str">
        <f>IFERROR(INDEX(样本到样信息汇总统计!U$2:U$500,MATCH(223,样本到样信息汇总统计!$Z$2:$Z$500,0)),"")</f>
        <v/>
      </c>
      <c r="V224" s="4" t="str">
        <f>IFERROR(INDEX(样本到样信息汇总统计!V$2:V$500,MATCH(223,样本到样信息汇总统计!$Z$2:$Z$500,0)),"")</f>
        <v/>
      </c>
      <c r="W224" s="4" t="str">
        <f>IFERROR(INDEX(样本到样信息汇总统计!W$2:W$500,MATCH(223,样本到样信息汇总统计!$Z$2:$Z$500,0)),"")</f>
        <v/>
      </c>
    </row>
    <row r="225" ht="14.5" spans="1:23">
      <c r="A225" s="8" t="str">
        <f>IFERROR(INDEX(样本到样信息汇总统计!A$2:A$500,MATCH(224,样本到样信息汇总统计!$Z$2:$Z$500,0)),"")</f>
        <v/>
      </c>
      <c r="B225" s="8" t="str">
        <f>IFERROR(INDEX(样本到样信息汇总统计!B$2:B$500,MATCH(224,样本到样信息汇总统计!$Z$2:$Z$500,0)),"")</f>
        <v/>
      </c>
      <c r="C225" s="8" t="str">
        <f>IFERROR(INDEX(样本到样信息汇总统计!C$2:C$500,MATCH(224,样本到样信息汇总统计!$Z$2:$Z$500,0)),"")</f>
        <v/>
      </c>
      <c r="D225" s="8" t="str">
        <f>IFERROR(INDEX(样本到样信息汇总统计!D$2:D$500,MATCH(224,样本到样信息汇总统计!$Z$2:$Z$500,0)),"")</f>
        <v/>
      </c>
      <c r="E225" s="8" t="str">
        <f>IFERROR(INDEX(样本到样信息汇总统计!E$2:E$500,MATCH(224,样本到样信息汇总统计!$Z$2:$Z$500,0)),"")</f>
        <v/>
      </c>
      <c r="F225" s="8" t="str">
        <f>IFERROR(INDEX(样本到样信息汇总统计!F$2:F$500,MATCH(224,样本到样信息汇总统计!$Z$2:$Z$500,0)),"")</f>
        <v/>
      </c>
      <c r="G225" s="8" t="str">
        <f>IFERROR(INDEX(样本到样信息汇总统计!G$2:G$500,MATCH(224,样本到样信息汇总统计!$Z$2:$Z$500,0)),"")</f>
        <v/>
      </c>
      <c r="H225" s="8" t="str">
        <f>IFERROR(INDEX(样本到样信息汇总统计!H$2:H$500,MATCH(224,样本到样信息汇总统计!$Z$2:$Z$500,0)),"")</f>
        <v/>
      </c>
      <c r="I225" s="8" t="str">
        <f>IFERROR(INDEX(样本到样信息汇总统计!I$2:I$500,MATCH(224,样本到样信息汇总统计!$Z$2:$Z$500,0)),"")</f>
        <v/>
      </c>
      <c r="J225" s="8" t="str">
        <f>IFERROR(INDEX(样本到样信息汇总统计!J$2:J$500,MATCH(224,样本到样信息汇总统计!$Z$2:$Z$500,0)),"")</f>
        <v/>
      </c>
      <c r="K225" s="8" t="str">
        <f>IFERROR(INDEX(样本到样信息汇总统计!K$2:K$500,MATCH(224,样本到样信息汇总统计!$Z$2:$Z$500,0)),"")</f>
        <v/>
      </c>
      <c r="L225" s="8" t="str">
        <f>IFERROR(INDEX(样本到样信息汇总统计!L$2:L$500,MATCH(224,样本到样信息汇总统计!$Z$2:$Z$500,0)),"")</f>
        <v/>
      </c>
      <c r="M225" s="8" t="str">
        <f>IFERROR(INDEX(样本到样信息汇总统计!M$2:M$500,MATCH(224,样本到样信息汇总统计!$Z$2:$Z$500,0)),"")</f>
        <v/>
      </c>
      <c r="N225" s="8" t="str">
        <f>IFERROR(INDEX(样本到样信息汇总统计!N$2:N$500,MATCH(224,样本到样信息汇总统计!$Z$2:$Z$500,0)),"")</f>
        <v/>
      </c>
      <c r="O225" s="8" t="str">
        <f>IFERROR(INDEX(样本到样信息汇总统计!O$2:O$500,MATCH(224,样本到样信息汇总统计!$Z$2:$Z$500,0)),"")</f>
        <v/>
      </c>
      <c r="P225" s="8" t="str">
        <f>IFERROR(INDEX(样本到样信息汇总统计!P$2:P$500,MATCH(224,样本到样信息汇总统计!$Z$2:$Z$500,0)),"")</f>
        <v/>
      </c>
      <c r="Q225" s="8" t="str">
        <f>IFERROR(INDEX(样本到样信息汇总统计!Q$2:Q$500,MATCH(224,样本到样信息汇总统计!$Z$2:$Z$500,0)),"")</f>
        <v/>
      </c>
      <c r="R225" s="8" t="str">
        <f>IFERROR(INDEX(样本到样信息汇总统计!R$2:R$500,MATCH(224,样本到样信息汇总统计!$Z$2:$Z$500,0)),"")</f>
        <v/>
      </c>
      <c r="S225" s="8" t="str">
        <f>IFERROR(INDEX(样本到样信息汇总统计!S$2:S$500,MATCH(224,样本到样信息汇总统计!$Z$2:$Z$500,0)),"")</f>
        <v/>
      </c>
      <c r="T225" s="8" t="str">
        <f>IFERROR(INDEX(样本到样信息汇总统计!T$2:T$500,MATCH(224,样本到样信息汇总统计!$Z$2:$Z$500,0)),"")</f>
        <v/>
      </c>
      <c r="U225" s="8" t="str">
        <f>IFERROR(INDEX(样本到样信息汇总统计!U$2:U$500,MATCH(224,样本到样信息汇总统计!$Z$2:$Z$500,0)),"")</f>
        <v/>
      </c>
      <c r="V225" s="8" t="str">
        <f>IFERROR(INDEX(样本到样信息汇总统计!V$2:V$500,MATCH(224,样本到样信息汇总统计!$Z$2:$Z$500,0)),"")</f>
        <v/>
      </c>
      <c r="W225" s="8" t="str">
        <f>IFERROR(INDEX(样本到样信息汇总统计!W$2:W$500,MATCH(224,样本到样信息汇总统计!$Z$2:$Z$500,0)),"")</f>
        <v/>
      </c>
    </row>
    <row r="226" ht="14.5" spans="1:23">
      <c r="A226" s="4" t="str">
        <f>IFERROR(INDEX(样本到样信息汇总统计!A$2:A$500,MATCH(225,样本到样信息汇总统计!$Z$2:$Z$500,0)),"")</f>
        <v/>
      </c>
      <c r="B226" s="4" t="str">
        <f>IFERROR(INDEX(样本到样信息汇总统计!B$2:B$500,MATCH(225,样本到样信息汇总统计!$Z$2:$Z$500,0)),"")</f>
        <v/>
      </c>
      <c r="C226" s="4" t="str">
        <f>IFERROR(INDEX(样本到样信息汇总统计!C$2:C$500,MATCH(225,样本到样信息汇总统计!$Z$2:$Z$500,0)),"")</f>
        <v/>
      </c>
      <c r="D226" s="4" t="str">
        <f>IFERROR(INDEX(样本到样信息汇总统计!D$2:D$500,MATCH(225,样本到样信息汇总统计!$Z$2:$Z$500,0)),"")</f>
        <v/>
      </c>
      <c r="E226" s="4" t="str">
        <f>IFERROR(INDEX(样本到样信息汇总统计!E$2:E$500,MATCH(225,样本到样信息汇总统计!$Z$2:$Z$500,0)),"")</f>
        <v/>
      </c>
      <c r="F226" s="4" t="str">
        <f>IFERROR(INDEX(样本到样信息汇总统计!F$2:F$500,MATCH(225,样本到样信息汇总统计!$Z$2:$Z$500,0)),"")</f>
        <v/>
      </c>
      <c r="G226" s="4" t="str">
        <f>IFERROR(INDEX(样本到样信息汇总统计!G$2:G$500,MATCH(225,样本到样信息汇总统计!$Z$2:$Z$500,0)),"")</f>
        <v/>
      </c>
      <c r="H226" s="4" t="str">
        <f>IFERROR(INDEX(样本到样信息汇总统计!H$2:H$500,MATCH(225,样本到样信息汇总统计!$Z$2:$Z$500,0)),"")</f>
        <v/>
      </c>
      <c r="I226" s="4" t="str">
        <f>IFERROR(INDEX(样本到样信息汇总统计!I$2:I$500,MATCH(225,样本到样信息汇总统计!$Z$2:$Z$500,0)),"")</f>
        <v/>
      </c>
      <c r="J226" s="4" t="str">
        <f>IFERROR(INDEX(样本到样信息汇总统计!J$2:J$500,MATCH(225,样本到样信息汇总统计!$Z$2:$Z$500,0)),"")</f>
        <v/>
      </c>
      <c r="K226" s="4" t="str">
        <f>IFERROR(INDEX(样本到样信息汇总统计!K$2:K$500,MATCH(225,样本到样信息汇总统计!$Z$2:$Z$500,0)),"")</f>
        <v/>
      </c>
      <c r="L226" s="4" t="str">
        <f>IFERROR(INDEX(样本到样信息汇总统计!L$2:L$500,MATCH(225,样本到样信息汇总统计!$Z$2:$Z$500,0)),"")</f>
        <v/>
      </c>
      <c r="M226" s="4" t="str">
        <f>IFERROR(INDEX(样本到样信息汇总统计!M$2:M$500,MATCH(225,样本到样信息汇总统计!$Z$2:$Z$500,0)),"")</f>
        <v/>
      </c>
      <c r="N226" s="4" t="str">
        <f>IFERROR(INDEX(样本到样信息汇总统计!N$2:N$500,MATCH(225,样本到样信息汇总统计!$Z$2:$Z$500,0)),"")</f>
        <v/>
      </c>
      <c r="O226" s="4" t="str">
        <f>IFERROR(INDEX(样本到样信息汇总统计!O$2:O$500,MATCH(225,样本到样信息汇总统计!$Z$2:$Z$500,0)),"")</f>
        <v/>
      </c>
      <c r="P226" s="4" t="str">
        <f>IFERROR(INDEX(样本到样信息汇总统计!P$2:P$500,MATCH(225,样本到样信息汇总统计!$Z$2:$Z$500,0)),"")</f>
        <v/>
      </c>
      <c r="Q226" s="4" t="str">
        <f>IFERROR(INDEX(样本到样信息汇总统计!Q$2:Q$500,MATCH(225,样本到样信息汇总统计!$Z$2:$Z$500,0)),"")</f>
        <v/>
      </c>
      <c r="R226" s="4" t="str">
        <f>IFERROR(INDEX(样本到样信息汇总统计!R$2:R$500,MATCH(225,样本到样信息汇总统计!$Z$2:$Z$500,0)),"")</f>
        <v/>
      </c>
      <c r="S226" s="4" t="str">
        <f>IFERROR(INDEX(样本到样信息汇总统计!S$2:S$500,MATCH(225,样本到样信息汇总统计!$Z$2:$Z$500,0)),"")</f>
        <v/>
      </c>
      <c r="T226" s="4" t="str">
        <f>IFERROR(INDEX(样本到样信息汇总统计!T$2:T$500,MATCH(225,样本到样信息汇总统计!$Z$2:$Z$500,0)),"")</f>
        <v/>
      </c>
      <c r="U226" s="4" t="str">
        <f>IFERROR(INDEX(样本到样信息汇总统计!U$2:U$500,MATCH(225,样本到样信息汇总统计!$Z$2:$Z$500,0)),"")</f>
        <v/>
      </c>
      <c r="V226" s="4" t="str">
        <f>IFERROR(INDEX(样本到样信息汇总统计!V$2:V$500,MATCH(225,样本到样信息汇总统计!$Z$2:$Z$500,0)),"")</f>
        <v/>
      </c>
      <c r="W226" s="4" t="str">
        <f>IFERROR(INDEX(样本到样信息汇总统计!W$2:W$500,MATCH(225,样本到样信息汇总统计!$Z$2:$Z$500,0)),"")</f>
        <v/>
      </c>
    </row>
    <row r="227" ht="14.5" spans="1:23">
      <c r="A227" s="8" t="str">
        <f>IFERROR(INDEX(样本到样信息汇总统计!A$2:A$500,MATCH(226,样本到样信息汇总统计!$Z$2:$Z$500,0)),"")</f>
        <v/>
      </c>
      <c r="B227" s="8" t="str">
        <f>IFERROR(INDEX(样本到样信息汇总统计!B$2:B$500,MATCH(226,样本到样信息汇总统计!$Z$2:$Z$500,0)),"")</f>
        <v/>
      </c>
      <c r="C227" s="8" t="str">
        <f>IFERROR(INDEX(样本到样信息汇总统计!C$2:C$500,MATCH(226,样本到样信息汇总统计!$Z$2:$Z$500,0)),"")</f>
        <v/>
      </c>
      <c r="D227" s="8" t="str">
        <f>IFERROR(INDEX(样本到样信息汇总统计!D$2:D$500,MATCH(226,样本到样信息汇总统计!$Z$2:$Z$500,0)),"")</f>
        <v/>
      </c>
      <c r="E227" s="8" t="str">
        <f>IFERROR(INDEX(样本到样信息汇总统计!E$2:E$500,MATCH(226,样本到样信息汇总统计!$Z$2:$Z$500,0)),"")</f>
        <v/>
      </c>
      <c r="F227" s="8" t="str">
        <f>IFERROR(INDEX(样本到样信息汇总统计!F$2:F$500,MATCH(226,样本到样信息汇总统计!$Z$2:$Z$500,0)),"")</f>
        <v/>
      </c>
      <c r="G227" s="8" t="str">
        <f>IFERROR(INDEX(样本到样信息汇总统计!G$2:G$500,MATCH(226,样本到样信息汇总统计!$Z$2:$Z$500,0)),"")</f>
        <v/>
      </c>
      <c r="H227" s="8" t="str">
        <f>IFERROR(INDEX(样本到样信息汇总统计!H$2:H$500,MATCH(226,样本到样信息汇总统计!$Z$2:$Z$500,0)),"")</f>
        <v/>
      </c>
      <c r="I227" s="8" t="str">
        <f>IFERROR(INDEX(样本到样信息汇总统计!I$2:I$500,MATCH(226,样本到样信息汇总统计!$Z$2:$Z$500,0)),"")</f>
        <v/>
      </c>
      <c r="J227" s="8" t="str">
        <f>IFERROR(INDEX(样本到样信息汇总统计!J$2:J$500,MATCH(226,样本到样信息汇总统计!$Z$2:$Z$500,0)),"")</f>
        <v/>
      </c>
      <c r="K227" s="8" t="str">
        <f>IFERROR(INDEX(样本到样信息汇总统计!K$2:K$500,MATCH(226,样本到样信息汇总统计!$Z$2:$Z$500,0)),"")</f>
        <v/>
      </c>
      <c r="L227" s="8" t="str">
        <f>IFERROR(INDEX(样本到样信息汇总统计!L$2:L$500,MATCH(226,样本到样信息汇总统计!$Z$2:$Z$500,0)),"")</f>
        <v/>
      </c>
      <c r="M227" s="8" t="str">
        <f>IFERROR(INDEX(样本到样信息汇总统计!M$2:M$500,MATCH(226,样本到样信息汇总统计!$Z$2:$Z$500,0)),"")</f>
        <v/>
      </c>
      <c r="N227" s="8" t="str">
        <f>IFERROR(INDEX(样本到样信息汇总统计!N$2:N$500,MATCH(226,样本到样信息汇总统计!$Z$2:$Z$500,0)),"")</f>
        <v/>
      </c>
      <c r="O227" s="8" t="str">
        <f>IFERROR(INDEX(样本到样信息汇总统计!O$2:O$500,MATCH(226,样本到样信息汇总统计!$Z$2:$Z$500,0)),"")</f>
        <v/>
      </c>
      <c r="P227" s="8" t="str">
        <f>IFERROR(INDEX(样本到样信息汇总统计!P$2:P$500,MATCH(226,样本到样信息汇总统计!$Z$2:$Z$500,0)),"")</f>
        <v/>
      </c>
      <c r="Q227" s="8" t="str">
        <f>IFERROR(INDEX(样本到样信息汇总统计!Q$2:Q$500,MATCH(226,样本到样信息汇总统计!$Z$2:$Z$500,0)),"")</f>
        <v/>
      </c>
      <c r="R227" s="8" t="str">
        <f>IFERROR(INDEX(样本到样信息汇总统计!R$2:R$500,MATCH(226,样本到样信息汇总统计!$Z$2:$Z$500,0)),"")</f>
        <v/>
      </c>
      <c r="S227" s="8" t="str">
        <f>IFERROR(INDEX(样本到样信息汇总统计!S$2:S$500,MATCH(226,样本到样信息汇总统计!$Z$2:$Z$500,0)),"")</f>
        <v/>
      </c>
      <c r="T227" s="8" t="str">
        <f>IFERROR(INDEX(样本到样信息汇总统计!T$2:T$500,MATCH(226,样本到样信息汇总统计!$Z$2:$Z$500,0)),"")</f>
        <v/>
      </c>
      <c r="U227" s="8" t="str">
        <f>IFERROR(INDEX(样本到样信息汇总统计!U$2:U$500,MATCH(226,样本到样信息汇总统计!$Z$2:$Z$500,0)),"")</f>
        <v/>
      </c>
      <c r="V227" s="8" t="str">
        <f>IFERROR(INDEX(样本到样信息汇总统计!V$2:V$500,MATCH(226,样本到样信息汇总统计!$Z$2:$Z$500,0)),"")</f>
        <v/>
      </c>
      <c r="W227" s="8" t="str">
        <f>IFERROR(INDEX(样本到样信息汇总统计!W$2:W$500,MATCH(226,样本到样信息汇总统计!$Z$2:$Z$500,0)),"")</f>
        <v/>
      </c>
    </row>
    <row r="228" ht="14.5" spans="1:23">
      <c r="A228" s="4" t="str">
        <f>IFERROR(INDEX(样本到样信息汇总统计!A$2:A$500,MATCH(227,样本到样信息汇总统计!$Z$2:$Z$500,0)),"")</f>
        <v/>
      </c>
      <c r="B228" s="4" t="str">
        <f>IFERROR(INDEX(样本到样信息汇总统计!B$2:B$500,MATCH(227,样本到样信息汇总统计!$Z$2:$Z$500,0)),"")</f>
        <v/>
      </c>
      <c r="C228" s="4" t="str">
        <f>IFERROR(INDEX(样本到样信息汇总统计!C$2:C$500,MATCH(227,样本到样信息汇总统计!$Z$2:$Z$500,0)),"")</f>
        <v/>
      </c>
      <c r="D228" s="4" t="str">
        <f>IFERROR(INDEX(样本到样信息汇总统计!D$2:D$500,MATCH(227,样本到样信息汇总统计!$Z$2:$Z$500,0)),"")</f>
        <v/>
      </c>
      <c r="E228" s="4" t="str">
        <f>IFERROR(INDEX(样本到样信息汇总统计!E$2:E$500,MATCH(227,样本到样信息汇总统计!$Z$2:$Z$500,0)),"")</f>
        <v/>
      </c>
      <c r="F228" s="4" t="str">
        <f>IFERROR(INDEX(样本到样信息汇总统计!F$2:F$500,MATCH(227,样本到样信息汇总统计!$Z$2:$Z$500,0)),"")</f>
        <v/>
      </c>
      <c r="G228" s="4" t="str">
        <f>IFERROR(INDEX(样本到样信息汇总统计!G$2:G$500,MATCH(227,样本到样信息汇总统计!$Z$2:$Z$500,0)),"")</f>
        <v/>
      </c>
      <c r="H228" s="4" t="str">
        <f>IFERROR(INDEX(样本到样信息汇总统计!H$2:H$500,MATCH(227,样本到样信息汇总统计!$Z$2:$Z$500,0)),"")</f>
        <v/>
      </c>
      <c r="I228" s="4" t="str">
        <f>IFERROR(INDEX(样本到样信息汇总统计!I$2:I$500,MATCH(227,样本到样信息汇总统计!$Z$2:$Z$500,0)),"")</f>
        <v/>
      </c>
      <c r="J228" s="4" t="str">
        <f>IFERROR(INDEX(样本到样信息汇总统计!J$2:J$500,MATCH(227,样本到样信息汇总统计!$Z$2:$Z$500,0)),"")</f>
        <v/>
      </c>
      <c r="K228" s="4" t="str">
        <f>IFERROR(INDEX(样本到样信息汇总统计!K$2:K$500,MATCH(227,样本到样信息汇总统计!$Z$2:$Z$500,0)),"")</f>
        <v/>
      </c>
      <c r="L228" s="4" t="str">
        <f>IFERROR(INDEX(样本到样信息汇总统计!L$2:L$500,MATCH(227,样本到样信息汇总统计!$Z$2:$Z$500,0)),"")</f>
        <v/>
      </c>
      <c r="M228" s="4" t="str">
        <f>IFERROR(INDEX(样本到样信息汇总统计!M$2:M$500,MATCH(227,样本到样信息汇总统计!$Z$2:$Z$500,0)),"")</f>
        <v/>
      </c>
      <c r="N228" s="4" t="str">
        <f>IFERROR(INDEX(样本到样信息汇总统计!N$2:N$500,MATCH(227,样本到样信息汇总统计!$Z$2:$Z$500,0)),"")</f>
        <v/>
      </c>
      <c r="O228" s="4" t="str">
        <f>IFERROR(INDEX(样本到样信息汇总统计!O$2:O$500,MATCH(227,样本到样信息汇总统计!$Z$2:$Z$500,0)),"")</f>
        <v/>
      </c>
      <c r="P228" s="4" t="str">
        <f>IFERROR(INDEX(样本到样信息汇总统计!P$2:P$500,MATCH(227,样本到样信息汇总统计!$Z$2:$Z$500,0)),"")</f>
        <v/>
      </c>
      <c r="Q228" s="4" t="str">
        <f>IFERROR(INDEX(样本到样信息汇总统计!Q$2:Q$500,MATCH(227,样本到样信息汇总统计!$Z$2:$Z$500,0)),"")</f>
        <v/>
      </c>
      <c r="R228" s="4" t="str">
        <f>IFERROR(INDEX(样本到样信息汇总统计!R$2:R$500,MATCH(227,样本到样信息汇总统计!$Z$2:$Z$500,0)),"")</f>
        <v/>
      </c>
      <c r="S228" s="4" t="str">
        <f>IFERROR(INDEX(样本到样信息汇总统计!S$2:S$500,MATCH(227,样本到样信息汇总统计!$Z$2:$Z$500,0)),"")</f>
        <v/>
      </c>
      <c r="T228" s="4" t="str">
        <f>IFERROR(INDEX(样本到样信息汇总统计!T$2:T$500,MATCH(227,样本到样信息汇总统计!$Z$2:$Z$500,0)),"")</f>
        <v/>
      </c>
      <c r="U228" s="4" t="str">
        <f>IFERROR(INDEX(样本到样信息汇总统计!U$2:U$500,MATCH(227,样本到样信息汇总统计!$Z$2:$Z$500,0)),"")</f>
        <v/>
      </c>
      <c r="V228" s="4" t="str">
        <f>IFERROR(INDEX(样本到样信息汇总统计!V$2:V$500,MATCH(227,样本到样信息汇总统计!$Z$2:$Z$500,0)),"")</f>
        <v/>
      </c>
      <c r="W228" s="4" t="str">
        <f>IFERROR(INDEX(样本到样信息汇总统计!W$2:W$500,MATCH(227,样本到样信息汇总统计!$Z$2:$Z$500,0)),"")</f>
        <v/>
      </c>
    </row>
    <row r="229" ht="14.5" spans="1:23">
      <c r="A229" s="8" t="str">
        <f>IFERROR(INDEX(样本到样信息汇总统计!A$2:A$500,MATCH(228,样本到样信息汇总统计!$Z$2:$Z$500,0)),"")</f>
        <v/>
      </c>
      <c r="B229" s="8" t="str">
        <f>IFERROR(INDEX(样本到样信息汇总统计!B$2:B$500,MATCH(228,样本到样信息汇总统计!$Z$2:$Z$500,0)),"")</f>
        <v/>
      </c>
      <c r="C229" s="8" t="str">
        <f>IFERROR(INDEX(样本到样信息汇总统计!C$2:C$500,MATCH(228,样本到样信息汇总统计!$Z$2:$Z$500,0)),"")</f>
        <v/>
      </c>
      <c r="D229" s="8" t="str">
        <f>IFERROR(INDEX(样本到样信息汇总统计!D$2:D$500,MATCH(228,样本到样信息汇总统计!$Z$2:$Z$500,0)),"")</f>
        <v/>
      </c>
      <c r="E229" s="8" t="str">
        <f>IFERROR(INDEX(样本到样信息汇总统计!E$2:E$500,MATCH(228,样本到样信息汇总统计!$Z$2:$Z$500,0)),"")</f>
        <v/>
      </c>
      <c r="F229" s="8" t="str">
        <f>IFERROR(INDEX(样本到样信息汇总统计!F$2:F$500,MATCH(228,样本到样信息汇总统计!$Z$2:$Z$500,0)),"")</f>
        <v/>
      </c>
      <c r="G229" s="8" t="str">
        <f>IFERROR(INDEX(样本到样信息汇总统计!G$2:G$500,MATCH(228,样本到样信息汇总统计!$Z$2:$Z$500,0)),"")</f>
        <v/>
      </c>
      <c r="H229" s="8" t="str">
        <f>IFERROR(INDEX(样本到样信息汇总统计!H$2:H$500,MATCH(228,样本到样信息汇总统计!$Z$2:$Z$500,0)),"")</f>
        <v/>
      </c>
      <c r="I229" s="8" t="str">
        <f>IFERROR(INDEX(样本到样信息汇总统计!I$2:I$500,MATCH(228,样本到样信息汇总统计!$Z$2:$Z$500,0)),"")</f>
        <v/>
      </c>
      <c r="J229" s="8" t="str">
        <f>IFERROR(INDEX(样本到样信息汇总统计!J$2:J$500,MATCH(228,样本到样信息汇总统计!$Z$2:$Z$500,0)),"")</f>
        <v/>
      </c>
      <c r="K229" s="8" t="str">
        <f>IFERROR(INDEX(样本到样信息汇总统计!K$2:K$500,MATCH(228,样本到样信息汇总统计!$Z$2:$Z$500,0)),"")</f>
        <v/>
      </c>
      <c r="L229" s="8" t="str">
        <f>IFERROR(INDEX(样本到样信息汇总统计!L$2:L$500,MATCH(228,样本到样信息汇总统计!$Z$2:$Z$500,0)),"")</f>
        <v/>
      </c>
      <c r="M229" s="8" t="str">
        <f>IFERROR(INDEX(样本到样信息汇总统计!M$2:M$500,MATCH(228,样本到样信息汇总统计!$Z$2:$Z$500,0)),"")</f>
        <v/>
      </c>
      <c r="N229" s="8" t="str">
        <f>IFERROR(INDEX(样本到样信息汇总统计!N$2:N$500,MATCH(228,样本到样信息汇总统计!$Z$2:$Z$500,0)),"")</f>
        <v/>
      </c>
      <c r="O229" s="8" t="str">
        <f>IFERROR(INDEX(样本到样信息汇总统计!O$2:O$500,MATCH(228,样本到样信息汇总统计!$Z$2:$Z$500,0)),"")</f>
        <v/>
      </c>
      <c r="P229" s="8" t="str">
        <f>IFERROR(INDEX(样本到样信息汇总统计!P$2:P$500,MATCH(228,样本到样信息汇总统计!$Z$2:$Z$500,0)),"")</f>
        <v/>
      </c>
      <c r="Q229" s="8" t="str">
        <f>IFERROR(INDEX(样本到样信息汇总统计!Q$2:Q$500,MATCH(228,样本到样信息汇总统计!$Z$2:$Z$500,0)),"")</f>
        <v/>
      </c>
      <c r="R229" s="8" t="str">
        <f>IFERROR(INDEX(样本到样信息汇总统计!R$2:R$500,MATCH(228,样本到样信息汇总统计!$Z$2:$Z$500,0)),"")</f>
        <v/>
      </c>
      <c r="S229" s="8" t="str">
        <f>IFERROR(INDEX(样本到样信息汇总统计!S$2:S$500,MATCH(228,样本到样信息汇总统计!$Z$2:$Z$500,0)),"")</f>
        <v/>
      </c>
      <c r="T229" s="8" t="str">
        <f>IFERROR(INDEX(样本到样信息汇总统计!T$2:T$500,MATCH(228,样本到样信息汇总统计!$Z$2:$Z$500,0)),"")</f>
        <v/>
      </c>
      <c r="U229" s="8" t="str">
        <f>IFERROR(INDEX(样本到样信息汇总统计!U$2:U$500,MATCH(228,样本到样信息汇总统计!$Z$2:$Z$500,0)),"")</f>
        <v/>
      </c>
      <c r="V229" s="8" t="str">
        <f>IFERROR(INDEX(样本到样信息汇总统计!V$2:V$500,MATCH(228,样本到样信息汇总统计!$Z$2:$Z$500,0)),"")</f>
        <v/>
      </c>
      <c r="W229" s="8" t="str">
        <f>IFERROR(INDEX(样本到样信息汇总统计!W$2:W$500,MATCH(228,样本到样信息汇总统计!$Z$2:$Z$500,0)),"")</f>
        <v/>
      </c>
    </row>
    <row r="230" ht="14.5" spans="1:23">
      <c r="A230" s="4" t="str">
        <f>IFERROR(INDEX(样本到样信息汇总统计!A$2:A$500,MATCH(229,样本到样信息汇总统计!$Z$2:$Z$500,0)),"")</f>
        <v/>
      </c>
      <c r="B230" s="4" t="str">
        <f>IFERROR(INDEX(样本到样信息汇总统计!B$2:B$500,MATCH(229,样本到样信息汇总统计!$Z$2:$Z$500,0)),"")</f>
        <v/>
      </c>
      <c r="C230" s="4" t="str">
        <f>IFERROR(INDEX(样本到样信息汇总统计!C$2:C$500,MATCH(229,样本到样信息汇总统计!$Z$2:$Z$500,0)),"")</f>
        <v/>
      </c>
      <c r="D230" s="4" t="str">
        <f>IFERROR(INDEX(样本到样信息汇总统计!D$2:D$500,MATCH(229,样本到样信息汇总统计!$Z$2:$Z$500,0)),"")</f>
        <v/>
      </c>
      <c r="E230" s="4" t="str">
        <f>IFERROR(INDEX(样本到样信息汇总统计!E$2:E$500,MATCH(229,样本到样信息汇总统计!$Z$2:$Z$500,0)),"")</f>
        <v/>
      </c>
      <c r="F230" s="4" t="str">
        <f>IFERROR(INDEX(样本到样信息汇总统计!F$2:F$500,MATCH(229,样本到样信息汇总统计!$Z$2:$Z$500,0)),"")</f>
        <v/>
      </c>
      <c r="G230" s="4" t="str">
        <f>IFERROR(INDEX(样本到样信息汇总统计!G$2:G$500,MATCH(229,样本到样信息汇总统计!$Z$2:$Z$500,0)),"")</f>
        <v/>
      </c>
      <c r="H230" s="4" t="str">
        <f>IFERROR(INDEX(样本到样信息汇总统计!H$2:H$500,MATCH(229,样本到样信息汇总统计!$Z$2:$Z$500,0)),"")</f>
        <v/>
      </c>
      <c r="I230" s="4" t="str">
        <f>IFERROR(INDEX(样本到样信息汇总统计!I$2:I$500,MATCH(229,样本到样信息汇总统计!$Z$2:$Z$500,0)),"")</f>
        <v/>
      </c>
      <c r="J230" s="4" t="str">
        <f>IFERROR(INDEX(样本到样信息汇总统计!J$2:J$500,MATCH(229,样本到样信息汇总统计!$Z$2:$Z$500,0)),"")</f>
        <v/>
      </c>
      <c r="K230" s="4" t="str">
        <f>IFERROR(INDEX(样本到样信息汇总统计!K$2:K$500,MATCH(229,样本到样信息汇总统计!$Z$2:$Z$500,0)),"")</f>
        <v/>
      </c>
      <c r="L230" s="4" t="str">
        <f>IFERROR(INDEX(样本到样信息汇总统计!L$2:L$500,MATCH(229,样本到样信息汇总统计!$Z$2:$Z$500,0)),"")</f>
        <v/>
      </c>
      <c r="M230" s="4" t="str">
        <f>IFERROR(INDEX(样本到样信息汇总统计!M$2:M$500,MATCH(229,样本到样信息汇总统计!$Z$2:$Z$500,0)),"")</f>
        <v/>
      </c>
      <c r="N230" s="4" t="str">
        <f>IFERROR(INDEX(样本到样信息汇总统计!N$2:N$500,MATCH(229,样本到样信息汇总统计!$Z$2:$Z$500,0)),"")</f>
        <v/>
      </c>
      <c r="O230" s="4" t="str">
        <f>IFERROR(INDEX(样本到样信息汇总统计!O$2:O$500,MATCH(229,样本到样信息汇总统计!$Z$2:$Z$500,0)),"")</f>
        <v/>
      </c>
      <c r="P230" s="4" t="str">
        <f>IFERROR(INDEX(样本到样信息汇总统计!P$2:P$500,MATCH(229,样本到样信息汇总统计!$Z$2:$Z$500,0)),"")</f>
        <v/>
      </c>
      <c r="Q230" s="4" t="str">
        <f>IFERROR(INDEX(样本到样信息汇总统计!Q$2:Q$500,MATCH(229,样本到样信息汇总统计!$Z$2:$Z$500,0)),"")</f>
        <v/>
      </c>
      <c r="R230" s="4" t="str">
        <f>IFERROR(INDEX(样本到样信息汇总统计!R$2:R$500,MATCH(229,样本到样信息汇总统计!$Z$2:$Z$500,0)),"")</f>
        <v/>
      </c>
      <c r="S230" s="4" t="str">
        <f>IFERROR(INDEX(样本到样信息汇总统计!S$2:S$500,MATCH(229,样本到样信息汇总统计!$Z$2:$Z$500,0)),"")</f>
        <v/>
      </c>
      <c r="T230" s="4" t="str">
        <f>IFERROR(INDEX(样本到样信息汇总统计!T$2:T$500,MATCH(229,样本到样信息汇总统计!$Z$2:$Z$500,0)),"")</f>
        <v/>
      </c>
      <c r="U230" s="4" t="str">
        <f>IFERROR(INDEX(样本到样信息汇总统计!U$2:U$500,MATCH(229,样本到样信息汇总统计!$Z$2:$Z$500,0)),"")</f>
        <v/>
      </c>
      <c r="V230" s="4" t="str">
        <f>IFERROR(INDEX(样本到样信息汇总统计!V$2:V$500,MATCH(229,样本到样信息汇总统计!$Z$2:$Z$500,0)),"")</f>
        <v/>
      </c>
      <c r="W230" s="4" t="str">
        <f>IFERROR(INDEX(样本到样信息汇总统计!W$2:W$500,MATCH(229,样本到样信息汇总统计!$Z$2:$Z$500,0)),"")</f>
        <v/>
      </c>
    </row>
    <row r="231" ht="14.5" spans="1:23">
      <c r="A231" s="8" t="str">
        <f>IFERROR(INDEX(样本到样信息汇总统计!A$2:A$500,MATCH(230,样本到样信息汇总统计!$Z$2:$Z$500,0)),"")</f>
        <v/>
      </c>
      <c r="B231" s="8" t="str">
        <f>IFERROR(INDEX(样本到样信息汇总统计!B$2:B$500,MATCH(230,样本到样信息汇总统计!$Z$2:$Z$500,0)),"")</f>
        <v/>
      </c>
      <c r="C231" s="8" t="str">
        <f>IFERROR(INDEX(样本到样信息汇总统计!C$2:C$500,MATCH(230,样本到样信息汇总统计!$Z$2:$Z$500,0)),"")</f>
        <v/>
      </c>
      <c r="D231" s="8" t="str">
        <f>IFERROR(INDEX(样本到样信息汇总统计!D$2:D$500,MATCH(230,样本到样信息汇总统计!$Z$2:$Z$500,0)),"")</f>
        <v/>
      </c>
      <c r="E231" s="8" t="str">
        <f>IFERROR(INDEX(样本到样信息汇总统计!E$2:E$500,MATCH(230,样本到样信息汇总统计!$Z$2:$Z$500,0)),"")</f>
        <v/>
      </c>
      <c r="F231" s="8" t="str">
        <f>IFERROR(INDEX(样本到样信息汇总统计!F$2:F$500,MATCH(230,样本到样信息汇总统计!$Z$2:$Z$500,0)),"")</f>
        <v/>
      </c>
      <c r="G231" s="8" t="str">
        <f>IFERROR(INDEX(样本到样信息汇总统计!G$2:G$500,MATCH(230,样本到样信息汇总统计!$Z$2:$Z$500,0)),"")</f>
        <v/>
      </c>
      <c r="H231" s="8" t="str">
        <f>IFERROR(INDEX(样本到样信息汇总统计!H$2:H$500,MATCH(230,样本到样信息汇总统计!$Z$2:$Z$500,0)),"")</f>
        <v/>
      </c>
      <c r="I231" s="8" t="str">
        <f>IFERROR(INDEX(样本到样信息汇总统计!I$2:I$500,MATCH(230,样本到样信息汇总统计!$Z$2:$Z$500,0)),"")</f>
        <v/>
      </c>
      <c r="J231" s="8" t="str">
        <f>IFERROR(INDEX(样本到样信息汇总统计!J$2:J$500,MATCH(230,样本到样信息汇总统计!$Z$2:$Z$500,0)),"")</f>
        <v/>
      </c>
      <c r="K231" s="8" t="str">
        <f>IFERROR(INDEX(样本到样信息汇总统计!K$2:K$500,MATCH(230,样本到样信息汇总统计!$Z$2:$Z$500,0)),"")</f>
        <v/>
      </c>
      <c r="L231" s="8" t="str">
        <f>IFERROR(INDEX(样本到样信息汇总统计!L$2:L$500,MATCH(230,样本到样信息汇总统计!$Z$2:$Z$500,0)),"")</f>
        <v/>
      </c>
      <c r="M231" s="8" t="str">
        <f>IFERROR(INDEX(样本到样信息汇总统计!M$2:M$500,MATCH(230,样本到样信息汇总统计!$Z$2:$Z$500,0)),"")</f>
        <v/>
      </c>
      <c r="N231" s="8" t="str">
        <f>IFERROR(INDEX(样本到样信息汇总统计!N$2:N$500,MATCH(230,样本到样信息汇总统计!$Z$2:$Z$500,0)),"")</f>
        <v/>
      </c>
      <c r="O231" s="8" t="str">
        <f>IFERROR(INDEX(样本到样信息汇总统计!O$2:O$500,MATCH(230,样本到样信息汇总统计!$Z$2:$Z$500,0)),"")</f>
        <v/>
      </c>
      <c r="P231" s="8" t="str">
        <f>IFERROR(INDEX(样本到样信息汇总统计!P$2:P$500,MATCH(230,样本到样信息汇总统计!$Z$2:$Z$500,0)),"")</f>
        <v/>
      </c>
      <c r="Q231" s="8" t="str">
        <f>IFERROR(INDEX(样本到样信息汇总统计!Q$2:Q$500,MATCH(230,样本到样信息汇总统计!$Z$2:$Z$500,0)),"")</f>
        <v/>
      </c>
      <c r="R231" s="8" t="str">
        <f>IFERROR(INDEX(样本到样信息汇总统计!R$2:R$500,MATCH(230,样本到样信息汇总统计!$Z$2:$Z$500,0)),"")</f>
        <v/>
      </c>
      <c r="S231" s="8" t="str">
        <f>IFERROR(INDEX(样本到样信息汇总统计!S$2:S$500,MATCH(230,样本到样信息汇总统计!$Z$2:$Z$500,0)),"")</f>
        <v/>
      </c>
      <c r="T231" s="8" t="str">
        <f>IFERROR(INDEX(样本到样信息汇总统计!T$2:T$500,MATCH(230,样本到样信息汇总统计!$Z$2:$Z$500,0)),"")</f>
        <v/>
      </c>
      <c r="U231" s="8" t="str">
        <f>IFERROR(INDEX(样本到样信息汇总统计!U$2:U$500,MATCH(230,样本到样信息汇总统计!$Z$2:$Z$500,0)),"")</f>
        <v/>
      </c>
      <c r="V231" s="8" t="str">
        <f>IFERROR(INDEX(样本到样信息汇总统计!V$2:V$500,MATCH(230,样本到样信息汇总统计!$Z$2:$Z$500,0)),"")</f>
        <v/>
      </c>
      <c r="W231" s="8" t="str">
        <f>IFERROR(INDEX(样本到样信息汇总统计!W$2:W$500,MATCH(230,样本到样信息汇总统计!$Z$2:$Z$500,0)),"")</f>
        <v/>
      </c>
    </row>
    <row r="232" ht="14.5" spans="1:23">
      <c r="A232" s="4" t="str">
        <f>IFERROR(INDEX(样本到样信息汇总统计!A$2:A$500,MATCH(231,样本到样信息汇总统计!$Z$2:$Z$500,0)),"")</f>
        <v/>
      </c>
      <c r="B232" s="4" t="str">
        <f>IFERROR(INDEX(样本到样信息汇总统计!B$2:B$500,MATCH(231,样本到样信息汇总统计!$Z$2:$Z$500,0)),"")</f>
        <v/>
      </c>
      <c r="C232" s="4" t="str">
        <f>IFERROR(INDEX(样本到样信息汇总统计!C$2:C$500,MATCH(231,样本到样信息汇总统计!$Z$2:$Z$500,0)),"")</f>
        <v/>
      </c>
      <c r="D232" s="4" t="str">
        <f>IFERROR(INDEX(样本到样信息汇总统计!D$2:D$500,MATCH(231,样本到样信息汇总统计!$Z$2:$Z$500,0)),"")</f>
        <v/>
      </c>
      <c r="E232" s="4" t="str">
        <f>IFERROR(INDEX(样本到样信息汇总统计!E$2:E$500,MATCH(231,样本到样信息汇总统计!$Z$2:$Z$500,0)),"")</f>
        <v/>
      </c>
      <c r="F232" s="4" t="str">
        <f>IFERROR(INDEX(样本到样信息汇总统计!F$2:F$500,MATCH(231,样本到样信息汇总统计!$Z$2:$Z$500,0)),"")</f>
        <v/>
      </c>
      <c r="G232" s="4" t="str">
        <f>IFERROR(INDEX(样本到样信息汇总统计!G$2:G$500,MATCH(231,样本到样信息汇总统计!$Z$2:$Z$500,0)),"")</f>
        <v/>
      </c>
      <c r="H232" s="4" t="str">
        <f>IFERROR(INDEX(样本到样信息汇总统计!H$2:H$500,MATCH(231,样本到样信息汇总统计!$Z$2:$Z$500,0)),"")</f>
        <v/>
      </c>
      <c r="I232" s="4" t="str">
        <f>IFERROR(INDEX(样本到样信息汇总统计!I$2:I$500,MATCH(231,样本到样信息汇总统计!$Z$2:$Z$500,0)),"")</f>
        <v/>
      </c>
      <c r="J232" s="4" t="str">
        <f>IFERROR(INDEX(样本到样信息汇总统计!J$2:J$500,MATCH(231,样本到样信息汇总统计!$Z$2:$Z$500,0)),"")</f>
        <v/>
      </c>
      <c r="K232" s="4" t="str">
        <f>IFERROR(INDEX(样本到样信息汇总统计!K$2:K$500,MATCH(231,样本到样信息汇总统计!$Z$2:$Z$500,0)),"")</f>
        <v/>
      </c>
      <c r="L232" s="4" t="str">
        <f>IFERROR(INDEX(样本到样信息汇总统计!L$2:L$500,MATCH(231,样本到样信息汇总统计!$Z$2:$Z$500,0)),"")</f>
        <v/>
      </c>
      <c r="M232" s="4" t="str">
        <f>IFERROR(INDEX(样本到样信息汇总统计!M$2:M$500,MATCH(231,样本到样信息汇总统计!$Z$2:$Z$500,0)),"")</f>
        <v/>
      </c>
      <c r="N232" s="4" t="str">
        <f>IFERROR(INDEX(样本到样信息汇总统计!N$2:N$500,MATCH(231,样本到样信息汇总统计!$Z$2:$Z$500,0)),"")</f>
        <v/>
      </c>
      <c r="O232" s="4" t="str">
        <f>IFERROR(INDEX(样本到样信息汇总统计!O$2:O$500,MATCH(231,样本到样信息汇总统计!$Z$2:$Z$500,0)),"")</f>
        <v/>
      </c>
      <c r="P232" s="4" t="str">
        <f>IFERROR(INDEX(样本到样信息汇总统计!P$2:P$500,MATCH(231,样本到样信息汇总统计!$Z$2:$Z$500,0)),"")</f>
        <v/>
      </c>
      <c r="Q232" s="4" t="str">
        <f>IFERROR(INDEX(样本到样信息汇总统计!Q$2:Q$500,MATCH(231,样本到样信息汇总统计!$Z$2:$Z$500,0)),"")</f>
        <v/>
      </c>
      <c r="R232" s="4" t="str">
        <f>IFERROR(INDEX(样本到样信息汇总统计!R$2:R$500,MATCH(231,样本到样信息汇总统计!$Z$2:$Z$500,0)),"")</f>
        <v/>
      </c>
      <c r="S232" s="4" t="str">
        <f>IFERROR(INDEX(样本到样信息汇总统计!S$2:S$500,MATCH(231,样本到样信息汇总统计!$Z$2:$Z$500,0)),"")</f>
        <v/>
      </c>
      <c r="T232" s="4" t="str">
        <f>IFERROR(INDEX(样本到样信息汇总统计!T$2:T$500,MATCH(231,样本到样信息汇总统计!$Z$2:$Z$500,0)),"")</f>
        <v/>
      </c>
      <c r="U232" s="4" t="str">
        <f>IFERROR(INDEX(样本到样信息汇总统计!U$2:U$500,MATCH(231,样本到样信息汇总统计!$Z$2:$Z$500,0)),"")</f>
        <v/>
      </c>
      <c r="V232" s="4" t="str">
        <f>IFERROR(INDEX(样本到样信息汇总统计!V$2:V$500,MATCH(231,样本到样信息汇总统计!$Z$2:$Z$500,0)),"")</f>
        <v/>
      </c>
      <c r="W232" s="4" t="str">
        <f>IFERROR(INDEX(样本到样信息汇总统计!W$2:W$500,MATCH(231,样本到样信息汇总统计!$Z$2:$Z$500,0)),"")</f>
        <v/>
      </c>
    </row>
    <row r="233" ht="14.5" spans="1:23">
      <c r="A233" s="8" t="str">
        <f>IFERROR(INDEX(样本到样信息汇总统计!A$2:A$500,MATCH(232,样本到样信息汇总统计!$Z$2:$Z$500,0)),"")</f>
        <v/>
      </c>
      <c r="B233" s="8" t="str">
        <f>IFERROR(INDEX(样本到样信息汇总统计!B$2:B$500,MATCH(232,样本到样信息汇总统计!$Z$2:$Z$500,0)),"")</f>
        <v/>
      </c>
      <c r="C233" s="8" t="str">
        <f>IFERROR(INDEX(样本到样信息汇总统计!C$2:C$500,MATCH(232,样本到样信息汇总统计!$Z$2:$Z$500,0)),"")</f>
        <v/>
      </c>
      <c r="D233" s="8" t="str">
        <f>IFERROR(INDEX(样本到样信息汇总统计!D$2:D$500,MATCH(232,样本到样信息汇总统计!$Z$2:$Z$500,0)),"")</f>
        <v/>
      </c>
      <c r="E233" s="8" t="str">
        <f>IFERROR(INDEX(样本到样信息汇总统计!E$2:E$500,MATCH(232,样本到样信息汇总统计!$Z$2:$Z$500,0)),"")</f>
        <v/>
      </c>
      <c r="F233" s="8" t="str">
        <f>IFERROR(INDEX(样本到样信息汇总统计!F$2:F$500,MATCH(232,样本到样信息汇总统计!$Z$2:$Z$500,0)),"")</f>
        <v/>
      </c>
      <c r="G233" s="8" t="str">
        <f>IFERROR(INDEX(样本到样信息汇总统计!G$2:G$500,MATCH(232,样本到样信息汇总统计!$Z$2:$Z$500,0)),"")</f>
        <v/>
      </c>
      <c r="H233" s="8" t="str">
        <f>IFERROR(INDEX(样本到样信息汇总统计!H$2:H$500,MATCH(232,样本到样信息汇总统计!$Z$2:$Z$500,0)),"")</f>
        <v/>
      </c>
      <c r="I233" s="8" t="str">
        <f>IFERROR(INDEX(样本到样信息汇总统计!I$2:I$500,MATCH(232,样本到样信息汇总统计!$Z$2:$Z$500,0)),"")</f>
        <v/>
      </c>
      <c r="J233" s="8" t="str">
        <f>IFERROR(INDEX(样本到样信息汇总统计!J$2:J$500,MATCH(232,样本到样信息汇总统计!$Z$2:$Z$500,0)),"")</f>
        <v/>
      </c>
      <c r="K233" s="8" t="str">
        <f>IFERROR(INDEX(样本到样信息汇总统计!K$2:K$500,MATCH(232,样本到样信息汇总统计!$Z$2:$Z$500,0)),"")</f>
        <v/>
      </c>
      <c r="L233" s="8" t="str">
        <f>IFERROR(INDEX(样本到样信息汇总统计!L$2:L$500,MATCH(232,样本到样信息汇总统计!$Z$2:$Z$500,0)),"")</f>
        <v/>
      </c>
      <c r="M233" s="8" t="str">
        <f>IFERROR(INDEX(样本到样信息汇总统计!M$2:M$500,MATCH(232,样本到样信息汇总统计!$Z$2:$Z$500,0)),"")</f>
        <v/>
      </c>
      <c r="N233" s="8" t="str">
        <f>IFERROR(INDEX(样本到样信息汇总统计!N$2:N$500,MATCH(232,样本到样信息汇总统计!$Z$2:$Z$500,0)),"")</f>
        <v/>
      </c>
      <c r="O233" s="8" t="str">
        <f>IFERROR(INDEX(样本到样信息汇总统计!O$2:O$500,MATCH(232,样本到样信息汇总统计!$Z$2:$Z$500,0)),"")</f>
        <v/>
      </c>
      <c r="P233" s="8" t="str">
        <f>IFERROR(INDEX(样本到样信息汇总统计!P$2:P$500,MATCH(232,样本到样信息汇总统计!$Z$2:$Z$500,0)),"")</f>
        <v/>
      </c>
      <c r="Q233" s="8" t="str">
        <f>IFERROR(INDEX(样本到样信息汇总统计!Q$2:Q$500,MATCH(232,样本到样信息汇总统计!$Z$2:$Z$500,0)),"")</f>
        <v/>
      </c>
      <c r="R233" s="8" t="str">
        <f>IFERROR(INDEX(样本到样信息汇总统计!R$2:R$500,MATCH(232,样本到样信息汇总统计!$Z$2:$Z$500,0)),"")</f>
        <v/>
      </c>
      <c r="S233" s="8" t="str">
        <f>IFERROR(INDEX(样本到样信息汇总统计!S$2:S$500,MATCH(232,样本到样信息汇总统计!$Z$2:$Z$500,0)),"")</f>
        <v/>
      </c>
      <c r="T233" s="8" t="str">
        <f>IFERROR(INDEX(样本到样信息汇总统计!T$2:T$500,MATCH(232,样本到样信息汇总统计!$Z$2:$Z$500,0)),"")</f>
        <v/>
      </c>
      <c r="U233" s="8" t="str">
        <f>IFERROR(INDEX(样本到样信息汇总统计!U$2:U$500,MATCH(232,样本到样信息汇总统计!$Z$2:$Z$500,0)),"")</f>
        <v/>
      </c>
      <c r="V233" s="8" t="str">
        <f>IFERROR(INDEX(样本到样信息汇总统计!V$2:V$500,MATCH(232,样本到样信息汇总统计!$Z$2:$Z$500,0)),"")</f>
        <v/>
      </c>
      <c r="W233" s="8" t="str">
        <f>IFERROR(INDEX(样本到样信息汇总统计!W$2:W$500,MATCH(232,样本到样信息汇总统计!$Z$2:$Z$500,0)),"")</f>
        <v/>
      </c>
    </row>
    <row r="234" ht="14.5" spans="1:23">
      <c r="A234" s="4" t="str">
        <f>IFERROR(INDEX(样本到样信息汇总统计!A$2:A$500,MATCH(233,样本到样信息汇总统计!$Z$2:$Z$500,0)),"")</f>
        <v/>
      </c>
      <c r="B234" s="4" t="str">
        <f>IFERROR(INDEX(样本到样信息汇总统计!B$2:B$500,MATCH(233,样本到样信息汇总统计!$Z$2:$Z$500,0)),"")</f>
        <v/>
      </c>
      <c r="C234" s="4" t="str">
        <f>IFERROR(INDEX(样本到样信息汇总统计!C$2:C$500,MATCH(233,样本到样信息汇总统计!$Z$2:$Z$500,0)),"")</f>
        <v/>
      </c>
      <c r="D234" s="4" t="str">
        <f>IFERROR(INDEX(样本到样信息汇总统计!D$2:D$500,MATCH(233,样本到样信息汇总统计!$Z$2:$Z$500,0)),"")</f>
        <v/>
      </c>
      <c r="E234" s="4" t="str">
        <f>IFERROR(INDEX(样本到样信息汇总统计!E$2:E$500,MATCH(233,样本到样信息汇总统计!$Z$2:$Z$500,0)),"")</f>
        <v/>
      </c>
      <c r="F234" s="4" t="str">
        <f>IFERROR(INDEX(样本到样信息汇总统计!F$2:F$500,MATCH(233,样本到样信息汇总统计!$Z$2:$Z$500,0)),"")</f>
        <v/>
      </c>
      <c r="G234" s="4" t="str">
        <f>IFERROR(INDEX(样本到样信息汇总统计!G$2:G$500,MATCH(233,样本到样信息汇总统计!$Z$2:$Z$500,0)),"")</f>
        <v/>
      </c>
      <c r="H234" s="4" t="str">
        <f>IFERROR(INDEX(样本到样信息汇总统计!H$2:H$500,MATCH(233,样本到样信息汇总统计!$Z$2:$Z$500,0)),"")</f>
        <v/>
      </c>
      <c r="I234" s="4" t="str">
        <f>IFERROR(INDEX(样本到样信息汇总统计!I$2:I$500,MATCH(233,样本到样信息汇总统计!$Z$2:$Z$500,0)),"")</f>
        <v/>
      </c>
      <c r="J234" s="4" t="str">
        <f>IFERROR(INDEX(样本到样信息汇总统计!J$2:J$500,MATCH(233,样本到样信息汇总统计!$Z$2:$Z$500,0)),"")</f>
        <v/>
      </c>
      <c r="K234" s="4" t="str">
        <f>IFERROR(INDEX(样本到样信息汇总统计!K$2:K$500,MATCH(233,样本到样信息汇总统计!$Z$2:$Z$500,0)),"")</f>
        <v/>
      </c>
      <c r="L234" s="4" t="str">
        <f>IFERROR(INDEX(样本到样信息汇总统计!L$2:L$500,MATCH(233,样本到样信息汇总统计!$Z$2:$Z$500,0)),"")</f>
        <v/>
      </c>
      <c r="M234" s="4" t="str">
        <f>IFERROR(INDEX(样本到样信息汇总统计!M$2:M$500,MATCH(233,样本到样信息汇总统计!$Z$2:$Z$500,0)),"")</f>
        <v/>
      </c>
      <c r="N234" s="4" t="str">
        <f>IFERROR(INDEX(样本到样信息汇总统计!N$2:N$500,MATCH(233,样本到样信息汇总统计!$Z$2:$Z$500,0)),"")</f>
        <v/>
      </c>
      <c r="O234" s="4" t="str">
        <f>IFERROR(INDEX(样本到样信息汇总统计!O$2:O$500,MATCH(233,样本到样信息汇总统计!$Z$2:$Z$500,0)),"")</f>
        <v/>
      </c>
      <c r="P234" s="4" t="str">
        <f>IFERROR(INDEX(样本到样信息汇总统计!P$2:P$500,MATCH(233,样本到样信息汇总统计!$Z$2:$Z$500,0)),"")</f>
        <v/>
      </c>
      <c r="Q234" s="4" t="str">
        <f>IFERROR(INDEX(样本到样信息汇总统计!Q$2:Q$500,MATCH(233,样本到样信息汇总统计!$Z$2:$Z$500,0)),"")</f>
        <v/>
      </c>
      <c r="R234" s="4" t="str">
        <f>IFERROR(INDEX(样本到样信息汇总统计!R$2:R$500,MATCH(233,样本到样信息汇总统计!$Z$2:$Z$500,0)),"")</f>
        <v/>
      </c>
      <c r="S234" s="4" t="str">
        <f>IFERROR(INDEX(样本到样信息汇总统计!S$2:S$500,MATCH(233,样本到样信息汇总统计!$Z$2:$Z$500,0)),"")</f>
        <v/>
      </c>
      <c r="T234" s="4" t="str">
        <f>IFERROR(INDEX(样本到样信息汇总统计!T$2:T$500,MATCH(233,样本到样信息汇总统计!$Z$2:$Z$500,0)),"")</f>
        <v/>
      </c>
      <c r="U234" s="4" t="str">
        <f>IFERROR(INDEX(样本到样信息汇总统计!U$2:U$500,MATCH(233,样本到样信息汇总统计!$Z$2:$Z$500,0)),"")</f>
        <v/>
      </c>
      <c r="V234" s="4" t="str">
        <f>IFERROR(INDEX(样本到样信息汇总统计!V$2:V$500,MATCH(233,样本到样信息汇总统计!$Z$2:$Z$500,0)),"")</f>
        <v/>
      </c>
      <c r="W234" s="4" t="str">
        <f>IFERROR(INDEX(样本到样信息汇总统计!W$2:W$500,MATCH(233,样本到样信息汇总统计!$Z$2:$Z$500,0)),"")</f>
        <v/>
      </c>
    </row>
    <row r="235" ht="14.5" spans="1:23">
      <c r="A235" s="8" t="str">
        <f>IFERROR(INDEX(样本到样信息汇总统计!A$2:A$500,MATCH(234,样本到样信息汇总统计!$Z$2:$Z$500,0)),"")</f>
        <v/>
      </c>
      <c r="B235" s="8" t="str">
        <f>IFERROR(INDEX(样本到样信息汇总统计!B$2:B$500,MATCH(234,样本到样信息汇总统计!$Z$2:$Z$500,0)),"")</f>
        <v/>
      </c>
      <c r="C235" s="8" t="str">
        <f>IFERROR(INDEX(样本到样信息汇总统计!C$2:C$500,MATCH(234,样本到样信息汇总统计!$Z$2:$Z$500,0)),"")</f>
        <v/>
      </c>
      <c r="D235" s="8" t="str">
        <f>IFERROR(INDEX(样本到样信息汇总统计!D$2:D$500,MATCH(234,样本到样信息汇总统计!$Z$2:$Z$500,0)),"")</f>
        <v/>
      </c>
      <c r="E235" s="8" t="str">
        <f>IFERROR(INDEX(样本到样信息汇总统计!E$2:E$500,MATCH(234,样本到样信息汇总统计!$Z$2:$Z$500,0)),"")</f>
        <v/>
      </c>
      <c r="F235" s="8" t="str">
        <f>IFERROR(INDEX(样本到样信息汇总统计!F$2:F$500,MATCH(234,样本到样信息汇总统计!$Z$2:$Z$500,0)),"")</f>
        <v/>
      </c>
      <c r="G235" s="8" t="str">
        <f>IFERROR(INDEX(样本到样信息汇总统计!G$2:G$500,MATCH(234,样本到样信息汇总统计!$Z$2:$Z$500,0)),"")</f>
        <v/>
      </c>
      <c r="H235" s="8" t="str">
        <f>IFERROR(INDEX(样本到样信息汇总统计!H$2:H$500,MATCH(234,样本到样信息汇总统计!$Z$2:$Z$500,0)),"")</f>
        <v/>
      </c>
      <c r="I235" s="8" t="str">
        <f>IFERROR(INDEX(样本到样信息汇总统计!I$2:I$500,MATCH(234,样本到样信息汇总统计!$Z$2:$Z$500,0)),"")</f>
        <v/>
      </c>
      <c r="J235" s="8" t="str">
        <f>IFERROR(INDEX(样本到样信息汇总统计!J$2:J$500,MATCH(234,样本到样信息汇总统计!$Z$2:$Z$500,0)),"")</f>
        <v/>
      </c>
      <c r="K235" s="8" t="str">
        <f>IFERROR(INDEX(样本到样信息汇总统计!K$2:K$500,MATCH(234,样本到样信息汇总统计!$Z$2:$Z$500,0)),"")</f>
        <v/>
      </c>
      <c r="L235" s="8" t="str">
        <f>IFERROR(INDEX(样本到样信息汇总统计!L$2:L$500,MATCH(234,样本到样信息汇总统计!$Z$2:$Z$500,0)),"")</f>
        <v/>
      </c>
      <c r="M235" s="8" t="str">
        <f>IFERROR(INDEX(样本到样信息汇总统计!M$2:M$500,MATCH(234,样本到样信息汇总统计!$Z$2:$Z$500,0)),"")</f>
        <v/>
      </c>
      <c r="N235" s="8" t="str">
        <f>IFERROR(INDEX(样本到样信息汇总统计!N$2:N$500,MATCH(234,样本到样信息汇总统计!$Z$2:$Z$500,0)),"")</f>
        <v/>
      </c>
      <c r="O235" s="8" t="str">
        <f>IFERROR(INDEX(样本到样信息汇总统计!O$2:O$500,MATCH(234,样本到样信息汇总统计!$Z$2:$Z$500,0)),"")</f>
        <v/>
      </c>
      <c r="P235" s="8" t="str">
        <f>IFERROR(INDEX(样本到样信息汇总统计!P$2:P$500,MATCH(234,样本到样信息汇总统计!$Z$2:$Z$500,0)),"")</f>
        <v/>
      </c>
      <c r="Q235" s="8" t="str">
        <f>IFERROR(INDEX(样本到样信息汇总统计!Q$2:Q$500,MATCH(234,样本到样信息汇总统计!$Z$2:$Z$500,0)),"")</f>
        <v/>
      </c>
      <c r="R235" s="8" t="str">
        <f>IFERROR(INDEX(样本到样信息汇总统计!R$2:R$500,MATCH(234,样本到样信息汇总统计!$Z$2:$Z$500,0)),"")</f>
        <v/>
      </c>
      <c r="S235" s="8" t="str">
        <f>IFERROR(INDEX(样本到样信息汇总统计!S$2:S$500,MATCH(234,样本到样信息汇总统计!$Z$2:$Z$500,0)),"")</f>
        <v/>
      </c>
      <c r="T235" s="8" t="str">
        <f>IFERROR(INDEX(样本到样信息汇总统计!T$2:T$500,MATCH(234,样本到样信息汇总统计!$Z$2:$Z$500,0)),"")</f>
        <v/>
      </c>
      <c r="U235" s="8" t="str">
        <f>IFERROR(INDEX(样本到样信息汇总统计!U$2:U$500,MATCH(234,样本到样信息汇总统计!$Z$2:$Z$500,0)),"")</f>
        <v/>
      </c>
      <c r="V235" s="8" t="str">
        <f>IFERROR(INDEX(样本到样信息汇总统计!V$2:V$500,MATCH(234,样本到样信息汇总统计!$Z$2:$Z$500,0)),"")</f>
        <v/>
      </c>
      <c r="W235" s="8" t="str">
        <f>IFERROR(INDEX(样本到样信息汇总统计!W$2:W$500,MATCH(234,样本到样信息汇总统计!$Z$2:$Z$500,0)),"")</f>
        <v/>
      </c>
    </row>
    <row r="236" ht="14.5" spans="1:23">
      <c r="A236" s="4" t="str">
        <f>IFERROR(INDEX(样本到样信息汇总统计!A$2:A$500,MATCH(235,样本到样信息汇总统计!$Z$2:$Z$500,0)),"")</f>
        <v/>
      </c>
      <c r="B236" s="4" t="str">
        <f>IFERROR(INDEX(样本到样信息汇总统计!B$2:B$500,MATCH(235,样本到样信息汇总统计!$Z$2:$Z$500,0)),"")</f>
        <v/>
      </c>
      <c r="C236" s="4" t="str">
        <f>IFERROR(INDEX(样本到样信息汇总统计!C$2:C$500,MATCH(235,样本到样信息汇总统计!$Z$2:$Z$500,0)),"")</f>
        <v/>
      </c>
      <c r="D236" s="4" t="str">
        <f>IFERROR(INDEX(样本到样信息汇总统计!D$2:D$500,MATCH(235,样本到样信息汇总统计!$Z$2:$Z$500,0)),"")</f>
        <v/>
      </c>
      <c r="E236" s="4" t="str">
        <f>IFERROR(INDEX(样本到样信息汇总统计!E$2:E$500,MATCH(235,样本到样信息汇总统计!$Z$2:$Z$500,0)),"")</f>
        <v/>
      </c>
      <c r="F236" s="4" t="str">
        <f>IFERROR(INDEX(样本到样信息汇总统计!F$2:F$500,MATCH(235,样本到样信息汇总统计!$Z$2:$Z$500,0)),"")</f>
        <v/>
      </c>
      <c r="G236" s="4" t="str">
        <f>IFERROR(INDEX(样本到样信息汇总统计!G$2:G$500,MATCH(235,样本到样信息汇总统计!$Z$2:$Z$500,0)),"")</f>
        <v/>
      </c>
      <c r="H236" s="4" t="str">
        <f>IFERROR(INDEX(样本到样信息汇总统计!H$2:H$500,MATCH(235,样本到样信息汇总统计!$Z$2:$Z$500,0)),"")</f>
        <v/>
      </c>
      <c r="I236" s="4" t="str">
        <f>IFERROR(INDEX(样本到样信息汇总统计!I$2:I$500,MATCH(235,样本到样信息汇总统计!$Z$2:$Z$500,0)),"")</f>
        <v/>
      </c>
      <c r="J236" s="4" t="str">
        <f>IFERROR(INDEX(样本到样信息汇总统计!J$2:J$500,MATCH(235,样本到样信息汇总统计!$Z$2:$Z$500,0)),"")</f>
        <v/>
      </c>
      <c r="K236" s="4" t="str">
        <f>IFERROR(INDEX(样本到样信息汇总统计!K$2:K$500,MATCH(235,样本到样信息汇总统计!$Z$2:$Z$500,0)),"")</f>
        <v/>
      </c>
      <c r="L236" s="4" t="str">
        <f>IFERROR(INDEX(样本到样信息汇总统计!L$2:L$500,MATCH(235,样本到样信息汇总统计!$Z$2:$Z$500,0)),"")</f>
        <v/>
      </c>
      <c r="M236" s="4" t="str">
        <f>IFERROR(INDEX(样本到样信息汇总统计!M$2:M$500,MATCH(235,样本到样信息汇总统计!$Z$2:$Z$500,0)),"")</f>
        <v/>
      </c>
      <c r="N236" s="4" t="str">
        <f>IFERROR(INDEX(样本到样信息汇总统计!N$2:N$500,MATCH(235,样本到样信息汇总统计!$Z$2:$Z$500,0)),"")</f>
        <v/>
      </c>
      <c r="O236" s="4" t="str">
        <f>IFERROR(INDEX(样本到样信息汇总统计!O$2:O$500,MATCH(235,样本到样信息汇总统计!$Z$2:$Z$500,0)),"")</f>
        <v/>
      </c>
      <c r="P236" s="4" t="str">
        <f>IFERROR(INDEX(样本到样信息汇总统计!P$2:P$500,MATCH(235,样本到样信息汇总统计!$Z$2:$Z$500,0)),"")</f>
        <v/>
      </c>
      <c r="Q236" s="4" t="str">
        <f>IFERROR(INDEX(样本到样信息汇总统计!Q$2:Q$500,MATCH(235,样本到样信息汇总统计!$Z$2:$Z$500,0)),"")</f>
        <v/>
      </c>
      <c r="R236" s="4" t="str">
        <f>IFERROR(INDEX(样本到样信息汇总统计!R$2:R$500,MATCH(235,样本到样信息汇总统计!$Z$2:$Z$500,0)),"")</f>
        <v/>
      </c>
      <c r="S236" s="4" t="str">
        <f>IFERROR(INDEX(样本到样信息汇总统计!S$2:S$500,MATCH(235,样本到样信息汇总统计!$Z$2:$Z$500,0)),"")</f>
        <v/>
      </c>
      <c r="T236" s="4" t="str">
        <f>IFERROR(INDEX(样本到样信息汇总统计!T$2:T$500,MATCH(235,样本到样信息汇总统计!$Z$2:$Z$500,0)),"")</f>
        <v/>
      </c>
      <c r="U236" s="4" t="str">
        <f>IFERROR(INDEX(样本到样信息汇总统计!U$2:U$500,MATCH(235,样本到样信息汇总统计!$Z$2:$Z$500,0)),"")</f>
        <v/>
      </c>
      <c r="V236" s="4" t="str">
        <f>IFERROR(INDEX(样本到样信息汇总统计!V$2:V$500,MATCH(235,样本到样信息汇总统计!$Z$2:$Z$500,0)),"")</f>
        <v/>
      </c>
      <c r="W236" s="4" t="str">
        <f>IFERROR(INDEX(样本到样信息汇总统计!W$2:W$500,MATCH(235,样本到样信息汇总统计!$Z$2:$Z$500,0)),"")</f>
        <v/>
      </c>
    </row>
    <row r="237" ht="14.5" spans="1:23">
      <c r="A237" s="8" t="str">
        <f>IFERROR(INDEX(样本到样信息汇总统计!A$2:A$500,MATCH(236,样本到样信息汇总统计!$Z$2:$Z$500,0)),"")</f>
        <v/>
      </c>
      <c r="B237" s="8" t="str">
        <f>IFERROR(INDEX(样本到样信息汇总统计!B$2:B$500,MATCH(236,样本到样信息汇总统计!$Z$2:$Z$500,0)),"")</f>
        <v/>
      </c>
      <c r="C237" s="8" t="str">
        <f>IFERROR(INDEX(样本到样信息汇总统计!C$2:C$500,MATCH(236,样本到样信息汇总统计!$Z$2:$Z$500,0)),"")</f>
        <v/>
      </c>
      <c r="D237" s="8" t="str">
        <f>IFERROR(INDEX(样本到样信息汇总统计!D$2:D$500,MATCH(236,样本到样信息汇总统计!$Z$2:$Z$500,0)),"")</f>
        <v/>
      </c>
      <c r="E237" s="8" t="str">
        <f>IFERROR(INDEX(样本到样信息汇总统计!E$2:E$500,MATCH(236,样本到样信息汇总统计!$Z$2:$Z$500,0)),"")</f>
        <v/>
      </c>
      <c r="F237" s="8" t="str">
        <f>IFERROR(INDEX(样本到样信息汇总统计!F$2:F$500,MATCH(236,样本到样信息汇总统计!$Z$2:$Z$500,0)),"")</f>
        <v/>
      </c>
      <c r="G237" s="8" t="str">
        <f>IFERROR(INDEX(样本到样信息汇总统计!G$2:G$500,MATCH(236,样本到样信息汇总统计!$Z$2:$Z$500,0)),"")</f>
        <v/>
      </c>
      <c r="H237" s="8" t="str">
        <f>IFERROR(INDEX(样本到样信息汇总统计!H$2:H$500,MATCH(236,样本到样信息汇总统计!$Z$2:$Z$500,0)),"")</f>
        <v/>
      </c>
      <c r="I237" s="8" t="str">
        <f>IFERROR(INDEX(样本到样信息汇总统计!I$2:I$500,MATCH(236,样本到样信息汇总统计!$Z$2:$Z$500,0)),"")</f>
        <v/>
      </c>
      <c r="J237" s="8" t="str">
        <f>IFERROR(INDEX(样本到样信息汇总统计!J$2:J$500,MATCH(236,样本到样信息汇总统计!$Z$2:$Z$500,0)),"")</f>
        <v/>
      </c>
      <c r="K237" s="8" t="str">
        <f>IFERROR(INDEX(样本到样信息汇总统计!K$2:K$500,MATCH(236,样本到样信息汇总统计!$Z$2:$Z$500,0)),"")</f>
        <v/>
      </c>
      <c r="L237" s="8" t="str">
        <f>IFERROR(INDEX(样本到样信息汇总统计!L$2:L$500,MATCH(236,样本到样信息汇总统计!$Z$2:$Z$500,0)),"")</f>
        <v/>
      </c>
      <c r="M237" s="8" t="str">
        <f>IFERROR(INDEX(样本到样信息汇总统计!M$2:M$500,MATCH(236,样本到样信息汇总统计!$Z$2:$Z$500,0)),"")</f>
        <v/>
      </c>
      <c r="N237" s="8" t="str">
        <f>IFERROR(INDEX(样本到样信息汇总统计!N$2:N$500,MATCH(236,样本到样信息汇总统计!$Z$2:$Z$500,0)),"")</f>
        <v/>
      </c>
      <c r="O237" s="8" t="str">
        <f>IFERROR(INDEX(样本到样信息汇总统计!O$2:O$500,MATCH(236,样本到样信息汇总统计!$Z$2:$Z$500,0)),"")</f>
        <v/>
      </c>
      <c r="P237" s="8" t="str">
        <f>IFERROR(INDEX(样本到样信息汇总统计!P$2:P$500,MATCH(236,样本到样信息汇总统计!$Z$2:$Z$500,0)),"")</f>
        <v/>
      </c>
      <c r="Q237" s="8" t="str">
        <f>IFERROR(INDEX(样本到样信息汇总统计!Q$2:Q$500,MATCH(236,样本到样信息汇总统计!$Z$2:$Z$500,0)),"")</f>
        <v/>
      </c>
      <c r="R237" s="8" t="str">
        <f>IFERROR(INDEX(样本到样信息汇总统计!R$2:R$500,MATCH(236,样本到样信息汇总统计!$Z$2:$Z$500,0)),"")</f>
        <v/>
      </c>
      <c r="S237" s="8" t="str">
        <f>IFERROR(INDEX(样本到样信息汇总统计!S$2:S$500,MATCH(236,样本到样信息汇总统计!$Z$2:$Z$500,0)),"")</f>
        <v/>
      </c>
      <c r="T237" s="8" t="str">
        <f>IFERROR(INDEX(样本到样信息汇总统计!T$2:T$500,MATCH(236,样本到样信息汇总统计!$Z$2:$Z$500,0)),"")</f>
        <v/>
      </c>
      <c r="U237" s="8" t="str">
        <f>IFERROR(INDEX(样本到样信息汇总统计!U$2:U$500,MATCH(236,样本到样信息汇总统计!$Z$2:$Z$500,0)),"")</f>
        <v/>
      </c>
      <c r="V237" s="8" t="str">
        <f>IFERROR(INDEX(样本到样信息汇总统计!V$2:V$500,MATCH(236,样本到样信息汇总统计!$Z$2:$Z$500,0)),"")</f>
        <v/>
      </c>
      <c r="W237" s="8" t="str">
        <f>IFERROR(INDEX(样本到样信息汇总统计!W$2:W$500,MATCH(236,样本到样信息汇总统计!$Z$2:$Z$500,0)),"")</f>
        <v/>
      </c>
    </row>
    <row r="238" ht="14.5" spans="1:23">
      <c r="A238" s="4" t="str">
        <f>IFERROR(INDEX(样本到样信息汇总统计!A$2:A$500,MATCH(237,样本到样信息汇总统计!$Z$2:$Z$500,0)),"")</f>
        <v/>
      </c>
      <c r="B238" s="4" t="str">
        <f>IFERROR(INDEX(样本到样信息汇总统计!B$2:B$500,MATCH(237,样本到样信息汇总统计!$Z$2:$Z$500,0)),"")</f>
        <v/>
      </c>
      <c r="C238" s="4" t="str">
        <f>IFERROR(INDEX(样本到样信息汇总统计!C$2:C$500,MATCH(237,样本到样信息汇总统计!$Z$2:$Z$500,0)),"")</f>
        <v/>
      </c>
      <c r="D238" s="4" t="str">
        <f>IFERROR(INDEX(样本到样信息汇总统计!D$2:D$500,MATCH(237,样本到样信息汇总统计!$Z$2:$Z$500,0)),"")</f>
        <v/>
      </c>
      <c r="E238" s="4" t="str">
        <f>IFERROR(INDEX(样本到样信息汇总统计!E$2:E$500,MATCH(237,样本到样信息汇总统计!$Z$2:$Z$500,0)),"")</f>
        <v/>
      </c>
      <c r="F238" s="4" t="str">
        <f>IFERROR(INDEX(样本到样信息汇总统计!F$2:F$500,MATCH(237,样本到样信息汇总统计!$Z$2:$Z$500,0)),"")</f>
        <v/>
      </c>
      <c r="G238" s="4" t="str">
        <f>IFERROR(INDEX(样本到样信息汇总统计!G$2:G$500,MATCH(237,样本到样信息汇总统计!$Z$2:$Z$500,0)),"")</f>
        <v/>
      </c>
      <c r="H238" s="4" t="str">
        <f>IFERROR(INDEX(样本到样信息汇总统计!H$2:H$500,MATCH(237,样本到样信息汇总统计!$Z$2:$Z$500,0)),"")</f>
        <v/>
      </c>
      <c r="I238" s="4" t="str">
        <f>IFERROR(INDEX(样本到样信息汇总统计!I$2:I$500,MATCH(237,样本到样信息汇总统计!$Z$2:$Z$500,0)),"")</f>
        <v/>
      </c>
      <c r="J238" s="4" t="str">
        <f>IFERROR(INDEX(样本到样信息汇总统计!J$2:J$500,MATCH(237,样本到样信息汇总统计!$Z$2:$Z$500,0)),"")</f>
        <v/>
      </c>
      <c r="K238" s="4" t="str">
        <f>IFERROR(INDEX(样本到样信息汇总统计!K$2:K$500,MATCH(237,样本到样信息汇总统计!$Z$2:$Z$500,0)),"")</f>
        <v/>
      </c>
      <c r="L238" s="4" t="str">
        <f>IFERROR(INDEX(样本到样信息汇总统计!L$2:L$500,MATCH(237,样本到样信息汇总统计!$Z$2:$Z$500,0)),"")</f>
        <v/>
      </c>
      <c r="M238" s="4" t="str">
        <f>IFERROR(INDEX(样本到样信息汇总统计!M$2:M$500,MATCH(237,样本到样信息汇总统计!$Z$2:$Z$500,0)),"")</f>
        <v/>
      </c>
      <c r="N238" s="4" t="str">
        <f>IFERROR(INDEX(样本到样信息汇总统计!N$2:N$500,MATCH(237,样本到样信息汇总统计!$Z$2:$Z$500,0)),"")</f>
        <v/>
      </c>
      <c r="O238" s="4" t="str">
        <f>IFERROR(INDEX(样本到样信息汇总统计!O$2:O$500,MATCH(237,样本到样信息汇总统计!$Z$2:$Z$500,0)),"")</f>
        <v/>
      </c>
      <c r="P238" s="4" t="str">
        <f>IFERROR(INDEX(样本到样信息汇总统计!P$2:P$500,MATCH(237,样本到样信息汇总统计!$Z$2:$Z$500,0)),"")</f>
        <v/>
      </c>
      <c r="Q238" s="4" t="str">
        <f>IFERROR(INDEX(样本到样信息汇总统计!Q$2:Q$500,MATCH(237,样本到样信息汇总统计!$Z$2:$Z$500,0)),"")</f>
        <v/>
      </c>
      <c r="R238" s="4" t="str">
        <f>IFERROR(INDEX(样本到样信息汇总统计!R$2:R$500,MATCH(237,样本到样信息汇总统计!$Z$2:$Z$500,0)),"")</f>
        <v/>
      </c>
      <c r="S238" s="4" t="str">
        <f>IFERROR(INDEX(样本到样信息汇总统计!S$2:S$500,MATCH(237,样本到样信息汇总统计!$Z$2:$Z$500,0)),"")</f>
        <v/>
      </c>
      <c r="T238" s="4" t="str">
        <f>IFERROR(INDEX(样本到样信息汇总统计!T$2:T$500,MATCH(237,样本到样信息汇总统计!$Z$2:$Z$500,0)),"")</f>
        <v/>
      </c>
      <c r="U238" s="4" t="str">
        <f>IFERROR(INDEX(样本到样信息汇总统计!U$2:U$500,MATCH(237,样本到样信息汇总统计!$Z$2:$Z$500,0)),"")</f>
        <v/>
      </c>
      <c r="V238" s="4" t="str">
        <f>IFERROR(INDEX(样本到样信息汇总统计!V$2:V$500,MATCH(237,样本到样信息汇总统计!$Z$2:$Z$500,0)),"")</f>
        <v/>
      </c>
      <c r="W238" s="4" t="str">
        <f>IFERROR(INDEX(样本到样信息汇总统计!W$2:W$500,MATCH(237,样本到样信息汇总统计!$Z$2:$Z$500,0)),"")</f>
        <v/>
      </c>
    </row>
    <row r="239" ht="14.5" spans="1:23">
      <c r="A239" s="8" t="str">
        <f>IFERROR(INDEX(样本到样信息汇总统计!A$2:A$500,MATCH(238,样本到样信息汇总统计!$Z$2:$Z$500,0)),"")</f>
        <v/>
      </c>
      <c r="B239" s="8" t="str">
        <f>IFERROR(INDEX(样本到样信息汇总统计!B$2:B$500,MATCH(238,样本到样信息汇总统计!$Z$2:$Z$500,0)),"")</f>
        <v/>
      </c>
      <c r="C239" s="8" t="str">
        <f>IFERROR(INDEX(样本到样信息汇总统计!C$2:C$500,MATCH(238,样本到样信息汇总统计!$Z$2:$Z$500,0)),"")</f>
        <v/>
      </c>
      <c r="D239" s="8" t="str">
        <f>IFERROR(INDEX(样本到样信息汇总统计!D$2:D$500,MATCH(238,样本到样信息汇总统计!$Z$2:$Z$500,0)),"")</f>
        <v/>
      </c>
      <c r="E239" s="8" t="str">
        <f>IFERROR(INDEX(样本到样信息汇总统计!E$2:E$500,MATCH(238,样本到样信息汇总统计!$Z$2:$Z$500,0)),"")</f>
        <v/>
      </c>
      <c r="F239" s="8" t="str">
        <f>IFERROR(INDEX(样本到样信息汇总统计!F$2:F$500,MATCH(238,样本到样信息汇总统计!$Z$2:$Z$500,0)),"")</f>
        <v/>
      </c>
      <c r="G239" s="8" t="str">
        <f>IFERROR(INDEX(样本到样信息汇总统计!G$2:G$500,MATCH(238,样本到样信息汇总统计!$Z$2:$Z$500,0)),"")</f>
        <v/>
      </c>
      <c r="H239" s="8" t="str">
        <f>IFERROR(INDEX(样本到样信息汇总统计!H$2:H$500,MATCH(238,样本到样信息汇总统计!$Z$2:$Z$500,0)),"")</f>
        <v/>
      </c>
      <c r="I239" s="8" t="str">
        <f>IFERROR(INDEX(样本到样信息汇总统计!I$2:I$500,MATCH(238,样本到样信息汇总统计!$Z$2:$Z$500,0)),"")</f>
        <v/>
      </c>
      <c r="J239" s="8" t="str">
        <f>IFERROR(INDEX(样本到样信息汇总统计!J$2:J$500,MATCH(238,样本到样信息汇总统计!$Z$2:$Z$500,0)),"")</f>
        <v/>
      </c>
      <c r="K239" s="8" t="str">
        <f>IFERROR(INDEX(样本到样信息汇总统计!K$2:K$500,MATCH(238,样本到样信息汇总统计!$Z$2:$Z$500,0)),"")</f>
        <v/>
      </c>
      <c r="L239" s="8" t="str">
        <f>IFERROR(INDEX(样本到样信息汇总统计!L$2:L$500,MATCH(238,样本到样信息汇总统计!$Z$2:$Z$500,0)),"")</f>
        <v/>
      </c>
      <c r="M239" s="8" t="str">
        <f>IFERROR(INDEX(样本到样信息汇总统计!M$2:M$500,MATCH(238,样本到样信息汇总统计!$Z$2:$Z$500,0)),"")</f>
        <v/>
      </c>
      <c r="N239" s="8" t="str">
        <f>IFERROR(INDEX(样本到样信息汇总统计!N$2:N$500,MATCH(238,样本到样信息汇总统计!$Z$2:$Z$500,0)),"")</f>
        <v/>
      </c>
      <c r="O239" s="8" t="str">
        <f>IFERROR(INDEX(样本到样信息汇总统计!O$2:O$500,MATCH(238,样本到样信息汇总统计!$Z$2:$Z$500,0)),"")</f>
        <v/>
      </c>
      <c r="P239" s="8" t="str">
        <f>IFERROR(INDEX(样本到样信息汇总统计!P$2:P$500,MATCH(238,样本到样信息汇总统计!$Z$2:$Z$500,0)),"")</f>
        <v/>
      </c>
      <c r="Q239" s="8" t="str">
        <f>IFERROR(INDEX(样本到样信息汇总统计!Q$2:Q$500,MATCH(238,样本到样信息汇总统计!$Z$2:$Z$500,0)),"")</f>
        <v/>
      </c>
      <c r="R239" s="8" t="str">
        <f>IFERROR(INDEX(样本到样信息汇总统计!R$2:R$500,MATCH(238,样本到样信息汇总统计!$Z$2:$Z$500,0)),"")</f>
        <v/>
      </c>
      <c r="S239" s="8" t="str">
        <f>IFERROR(INDEX(样本到样信息汇总统计!S$2:S$500,MATCH(238,样本到样信息汇总统计!$Z$2:$Z$500,0)),"")</f>
        <v/>
      </c>
      <c r="T239" s="8" t="str">
        <f>IFERROR(INDEX(样本到样信息汇总统计!T$2:T$500,MATCH(238,样本到样信息汇总统计!$Z$2:$Z$500,0)),"")</f>
        <v/>
      </c>
      <c r="U239" s="8" t="str">
        <f>IFERROR(INDEX(样本到样信息汇总统计!U$2:U$500,MATCH(238,样本到样信息汇总统计!$Z$2:$Z$500,0)),"")</f>
        <v/>
      </c>
      <c r="V239" s="8" t="str">
        <f>IFERROR(INDEX(样本到样信息汇总统计!V$2:V$500,MATCH(238,样本到样信息汇总统计!$Z$2:$Z$500,0)),"")</f>
        <v/>
      </c>
      <c r="W239" s="8" t="str">
        <f>IFERROR(INDEX(样本到样信息汇总统计!W$2:W$500,MATCH(238,样本到样信息汇总统计!$Z$2:$Z$500,0)),"")</f>
        <v/>
      </c>
    </row>
    <row r="240" ht="14.5" spans="1:23">
      <c r="A240" s="4" t="str">
        <f>IFERROR(INDEX(样本到样信息汇总统计!A$2:A$500,MATCH(239,样本到样信息汇总统计!$Z$2:$Z$500,0)),"")</f>
        <v/>
      </c>
      <c r="B240" s="4" t="str">
        <f>IFERROR(INDEX(样本到样信息汇总统计!B$2:B$500,MATCH(239,样本到样信息汇总统计!$Z$2:$Z$500,0)),"")</f>
        <v/>
      </c>
      <c r="C240" s="4" t="str">
        <f>IFERROR(INDEX(样本到样信息汇总统计!C$2:C$500,MATCH(239,样本到样信息汇总统计!$Z$2:$Z$500,0)),"")</f>
        <v/>
      </c>
      <c r="D240" s="4" t="str">
        <f>IFERROR(INDEX(样本到样信息汇总统计!D$2:D$500,MATCH(239,样本到样信息汇总统计!$Z$2:$Z$500,0)),"")</f>
        <v/>
      </c>
      <c r="E240" s="4" t="str">
        <f>IFERROR(INDEX(样本到样信息汇总统计!E$2:E$500,MATCH(239,样本到样信息汇总统计!$Z$2:$Z$500,0)),"")</f>
        <v/>
      </c>
      <c r="F240" s="4" t="str">
        <f>IFERROR(INDEX(样本到样信息汇总统计!F$2:F$500,MATCH(239,样本到样信息汇总统计!$Z$2:$Z$500,0)),"")</f>
        <v/>
      </c>
      <c r="G240" s="4" t="str">
        <f>IFERROR(INDEX(样本到样信息汇总统计!G$2:G$500,MATCH(239,样本到样信息汇总统计!$Z$2:$Z$500,0)),"")</f>
        <v/>
      </c>
      <c r="H240" s="4" t="str">
        <f>IFERROR(INDEX(样本到样信息汇总统计!H$2:H$500,MATCH(239,样本到样信息汇总统计!$Z$2:$Z$500,0)),"")</f>
        <v/>
      </c>
      <c r="I240" s="4" t="str">
        <f>IFERROR(INDEX(样本到样信息汇总统计!I$2:I$500,MATCH(239,样本到样信息汇总统计!$Z$2:$Z$500,0)),"")</f>
        <v/>
      </c>
      <c r="J240" s="4" t="str">
        <f>IFERROR(INDEX(样本到样信息汇总统计!J$2:J$500,MATCH(239,样本到样信息汇总统计!$Z$2:$Z$500,0)),"")</f>
        <v/>
      </c>
      <c r="K240" s="4" t="str">
        <f>IFERROR(INDEX(样本到样信息汇总统计!K$2:K$500,MATCH(239,样本到样信息汇总统计!$Z$2:$Z$500,0)),"")</f>
        <v/>
      </c>
      <c r="L240" s="4" t="str">
        <f>IFERROR(INDEX(样本到样信息汇总统计!L$2:L$500,MATCH(239,样本到样信息汇总统计!$Z$2:$Z$500,0)),"")</f>
        <v/>
      </c>
      <c r="M240" s="4" t="str">
        <f>IFERROR(INDEX(样本到样信息汇总统计!M$2:M$500,MATCH(239,样本到样信息汇总统计!$Z$2:$Z$500,0)),"")</f>
        <v/>
      </c>
      <c r="N240" s="4" t="str">
        <f>IFERROR(INDEX(样本到样信息汇总统计!N$2:N$500,MATCH(239,样本到样信息汇总统计!$Z$2:$Z$500,0)),"")</f>
        <v/>
      </c>
      <c r="O240" s="4" t="str">
        <f>IFERROR(INDEX(样本到样信息汇总统计!O$2:O$500,MATCH(239,样本到样信息汇总统计!$Z$2:$Z$500,0)),"")</f>
        <v/>
      </c>
      <c r="P240" s="4" t="str">
        <f>IFERROR(INDEX(样本到样信息汇总统计!P$2:P$500,MATCH(239,样本到样信息汇总统计!$Z$2:$Z$500,0)),"")</f>
        <v/>
      </c>
      <c r="Q240" s="4" t="str">
        <f>IFERROR(INDEX(样本到样信息汇总统计!Q$2:Q$500,MATCH(239,样本到样信息汇总统计!$Z$2:$Z$500,0)),"")</f>
        <v/>
      </c>
      <c r="R240" s="4" t="str">
        <f>IFERROR(INDEX(样本到样信息汇总统计!R$2:R$500,MATCH(239,样本到样信息汇总统计!$Z$2:$Z$500,0)),"")</f>
        <v/>
      </c>
      <c r="S240" s="4" t="str">
        <f>IFERROR(INDEX(样本到样信息汇总统计!S$2:S$500,MATCH(239,样本到样信息汇总统计!$Z$2:$Z$500,0)),"")</f>
        <v/>
      </c>
      <c r="T240" s="4" t="str">
        <f>IFERROR(INDEX(样本到样信息汇总统计!T$2:T$500,MATCH(239,样本到样信息汇总统计!$Z$2:$Z$500,0)),"")</f>
        <v/>
      </c>
      <c r="U240" s="4" t="str">
        <f>IFERROR(INDEX(样本到样信息汇总统计!U$2:U$500,MATCH(239,样本到样信息汇总统计!$Z$2:$Z$500,0)),"")</f>
        <v/>
      </c>
      <c r="V240" s="4" t="str">
        <f>IFERROR(INDEX(样本到样信息汇总统计!V$2:V$500,MATCH(239,样本到样信息汇总统计!$Z$2:$Z$500,0)),"")</f>
        <v/>
      </c>
      <c r="W240" s="4" t="str">
        <f>IFERROR(INDEX(样本到样信息汇总统计!W$2:W$500,MATCH(239,样本到样信息汇总统计!$Z$2:$Z$500,0)),"")</f>
        <v/>
      </c>
    </row>
    <row r="241" ht="14.5" spans="1:23">
      <c r="A241" s="8" t="str">
        <f>IFERROR(INDEX(样本到样信息汇总统计!A$2:A$500,MATCH(240,样本到样信息汇总统计!$Z$2:$Z$500,0)),"")</f>
        <v/>
      </c>
      <c r="B241" s="8" t="str">
        <f>IFERROR(INDEX(样本到样信息汇总统计!B$2:B$500,MATCH(240,样本到样信息汇总统计!$Z$2:$Z$500,0)),"")</f>
        <v/>
      </c>
      <c r="C241" s="8" t="str">
        <f>IFERROR(INDEX(样本到样信息汇总统计!C$2:C$500,MATCH(240,样本到样信息汇总统计!$Z$2:$Z$500,0)),"")</f>
        <v/>
      </c>
      <c r="D241" s="8" t="str">
        <f>IFERROR(INDEX(样本到样信息汇总统计!D$2:D$500,MATCH(240,样本到样信息汇总统计!$Z$2:$Z$500,0)),"")</f>
        <v/>
      </c>
      <c r="E241" s="8" t="str">
        <f>IFERROR(INDEX(样本到样信息汇总统计!E$2:E$500,MATCH(240,样本到样信息汇总统计!$Z$2:$Z$500,0)),"")</f>
        <v/>
      </c>
      <c r="F241" s="8" t="str">
        <f>IFERROR(INDEX(样本到样信息汇总统计!F$2:F$500,MATCH(240,样本到样信息汇总统计!$Z$2:$Z$500,0)),"")</f>
        <v/>
      </c>
      <c r="G241" s="8" t="str">
        <f>IFERROR(INDEX(样本到样信息汇总统计!G$2:G$500,MATCH(240,样本到样信息汇总统计!$Z$2:$Z$500,0)),"")</f>
        <v/>
      </c>
      <c r="H241" s="8" t="str">
        <f>IFERROR(INDEX(样本到样信息汇总统计!H$2:H$500,MATCH(240,样本到样信息汇总统计!$Z$2:$Z$500,0)),"")</f>
        <v/>
      </c>
      <c r="I241" s="8" t="str">
        <f>IFERROR(INDEX(样本到样信息汇总统计!I$2:I$500,MATCH(240,样本到样信息汇总统计!$Z$2:$Z$500,0)),"")</f>
        <v/>
      </c>
      <c r="J241" s="8" t="str">
        <f>IFERROR(INDEX(样本到样信息汇总统计!J$2:J$500,MATCH(240,样本到样信息汇总统计!$Z$2:$Z$500,0)),"")</f>
        <v/>
      </c>
      <c r="K241" s="8" t="str">
        <f>IFERROR(INDEX(样本到样信息汇总统计!K$2:K$500,MATCH(240,样本到样信息汇总统计!$Z$2:$Z$500,0)),"")</f>
        <v/>
      </c>
      <c r="L241" s="8" t="str">
        <f>IFERROR(INDEX(样本到样信息汇总统计!L$2:L$500,MATCH(240,样本到样信息汇总统计!$Z$2:$Z$500,0)),"")</f>
        <v/>
      </c>
      <c r="M241" s="8" t="str">
        <f>IFERROR(INDEX(样本到样信息汇总统计!M$2:M$500,MATCH(240,样本到样信息汇总统计!$Z$2:$Z$500,0)),"")</f>
        <v/>
      </c>
      <c r="N241" s="8" t="str">
        <f>IFERROR(INDEX(样本到样信息汇总统计!N$2:N$500,MATCH(240,样本到样信息汇总统计!$Z$2:$Z$500,0)),"")</f>
        <v/>
      </c>
      <c r="O241" s="8" t="str">
        <f>IFERROR(INDEX(样本到样信息汇总统计!O$2:O$500,MATCH(240,样本到样信息汇总统计!$Z$2:$Z$500,0)),"")</f>
        <v/>
      </c>
      <c r="P241" s="8" t="str">
        <f>IFERROR(INDEX(样本到样信息汇总统计!P$2:P$500,MATCH(240,样本到样信息汇总统计!$Z$2:$Z$500,0)),"")</f>
        <v/>
      </c>
      <c r="Q241" s="8" t="str">
        <f>IFERROR(INDEX(样本到样信息汇总统计!Q$2:Q$500,MATCH(240,样本到样信息汇总统计!$Z$2:$Z$500,0)),"")</f>
        <v/>
      </c>
      <c r="R241" s="8" t="str">
        <f>IFERROR(INDEX(样本到样信息汇总统计!R$2:R$500,MATCH(240,样本到样信息汇总统计!$Z$2:$Z$500,0)),"")</f>
        <v/>
      </c>
      <c r="S241" s="8" t="str">
        <f>IFERROR(INDEX(样本到样信息汇总统计!S$2:S$500,MATCH(240,样本到样信息汇总统计!$Z$2:$Z$500,0)),"")</f>
        <v/>
      </c>
      <c r="T241" s="8" t="str">
        <f>IFERROR(INDEX(样本到样信息汇总统计!T$2:T$500,MATCH(240,样本到样信息汇总统计!$Z$2:$Z$500,0)),"")</f>
        <v/>
      </c>
      <c r="U241" s="8" t="str">
        <f>IFERROR(INDEX(样本到样信息汇总统计!U$2:U$500,MATCH(240,样本到样信息汇总统计!$Z$2:$Z$500,0)),"")</f>
        <v/>
      </c>
      <c r="V241" s="8" t="str">
        <f>IFERROR(INDEX(样本到样信息汇总统计!V$2:V$500,MATCH(240,样本到样信息汇总统计!$Z$2:$Z$500,0)),"")</f>
        <v/>
      </c>
      <c r="W241" s="8" t="str">
        <f>IFERROR(INDEX(样本到样信息汇总统计!W$2:W$500,MATCH(240,样本到样信息汇总统计!$Z$2:$Z$500,0)),"")</f>
        <v/>
      </c>
    </row>
    <row r="242" ht="14.5" spans="1:23">
      <c r="A242" s="4" t="str">
        <f>IFERROR(INDEX(样本到样信息汇总统计!A$2:A$500,MATCH(241,样本到样信息汇总统计!$Z$2:$Z$500,0)),"")</f>
        <v/>
      </c>
      <c r="B242" s="4" t="str">
        <f>IFERROR(INDEX(样本到样信息汇总统计!B$2:B$500,MATCH(241,样本到样信息汇总统计!$Z$2:$Z$500,0)),"")</f>
        <v/>
      </c>
      <c r="C242" s="4" t="str">
        <f>IFERROR(INDEX(样本到样信息汇总统计!C$2:C$500,MATCH(241,样本到样信息汇总统计!$Z$2:$Z$500,0)),"")</f>
        <v/>
      </c>
      <c r="D242" s="4" t="str">
        <f>IFERROR(INDEX(样本到样信息汇总统计!D$2:D$500,MATCH(241,样本到样信息汇总统计!$Z$2:$Z$500,0)),"")</f>
        <v/>
      </c>
      <c r="E242" s="4" t="str">
        <f>IFERROR(INDEX(样本到样信息汇总统计!E$2:E$500,MATCH(241,样本到样信息汇总统计!$Z$2:$Z$500,0)),"")</f>
        <v/>
      </c>
      <c r="F242" s="4" t="str">
        <f>IFERROR(INDEX(样本到样信息汇总统计!F$2:F$500,MATCH(241,样本到样信息汇总统计!$Z$2:$Z$500,0)),"")</f>
        <v/>
      </c>
      <c r="G242" s="4" t="str">
        <f>IFERROR(INDEX(样本到样信息汇总统计!G$2:G$500,MATCH(241,样本到样信息汇总统计!$Z$2:$Z$500,0)),"")</f>
        <v/>
      </c>
      <c r="H242" s="4" t="str">
        <f>IFERROR(INDEX(样本到样信息汇总统计!H$2:H$500,MATCH(241,样本到样信息汇总统计!$Z$2:$Z$500,0)),"")</f>
        <v/>
      </c>
      <c r="I242" s="4" t="str">
        <f>IFERROR(INDEX(样本到样信息汇总统计!I$2:I$500,MATCH(241,样本到样信息汇总统计!$Z$2:$Z$500,0)),"")</f>
        <v/>
      </c>
      <c r="J242" s="4" t="str">
        <f>IFERROR(INDEX(样本到样信息汇总统计!J$2:J$500,MATCH(241,样本到样信息汇总统计!$Z$2:$Z$500,0)),"")</f>
        <v/>
      </c>
      <c r="K242" s="4" t="str">
        <f>IFERROR(INDEX(样本到样信息汇总统计!K$2:K$500,MATCH(241,样本到样信息汇总统计!$Z$2:$Z$500,0)),"")</f>
        <v/>
      </c>
      <c r="L242" s="4" t="str">
        <f>IFERROR(INDEX(样本到样信息汇总统计!L$2:L$500,MATCH(241,样本到样信息汇总统计!$Z$2:$Z$500,0)),"")</f>
        <v/>
      </c>
      <c r="M242" s="4" t="str">
        <f>IFERROR(INDEX(样本到样信息汇总统计!M$2:M$500,MATCH(241,样本到样信息汇总统计!$Z$2:$Z$500,0)),"")</f>
        <v/>
      </c>
      <c r="N242" s="4" t="str">
        <f>IFERROR(INDEX(样本到样信息汇总统计!N$2:N$500,MATCH(241,样本到样信息汇总统计!$Z$2:$Z$500,0)),"")</f>
        <v/>
      </c>
      <c r="O242" s="4" t="str">
        <f>IFERROR(INDEX(样本到样信息汇总统计!O$2:O$500,MATCH(241,样本到样信息汇总统计!$Z$2:$Z$500,0)),"")</f>
        <v/>
      </c>
      <c r="P242" s="4" t="str">
        <f>IFERROR(INDEX(样本到样信息汇总统计!P$2:P$500,MATCH(241,样本到样信息汇总统计!$Z$2:$Z$500,0)),"")</f>
        <v/>
      </c>
      <c r="Q242" s="4" t="str">
        <f>IFERROR(INDEX(样本到样信息汇总统计!Q$2:Q$500,MATCH(241,样本到样信息汇总统计!$Z$2:$Z$500,0)),"")</f>
        <v/>
      </c>
      <c r="R242" s="4" t="str">
        <f>IFERROR(INDEX(样本到样信息汇总统计!R$2:R$500,MATCH(241,样本到样信息汇总统计!$Z$2:$Z$500,0)),"")</f>
        <v/>
      </c>
      <c r="S242" s="4" t="str">
        <f>IFERROR(INDEX(样本到样信息汇总统计!S$2:S$500,MATCH(241,样本到样信息汇总统计!$Z$2:$Z$500,0)),"")</f>
        <v/>
      </c>
      <c r="T242" s="4" t="str">
        <f>IFERROR(INDEX(样本到样信息汇总统计!T$2:T$500,MATCH(241,样本到样信息汇总统计!$Z$2:$Z$500,0)),"")</f>
        <v/>
      </c>
      <c r="U242" s="4" t="str">
        <f>IFERROR(INDEX(样本到样信息汇总统计!U$2:U$500,MATCH(241,样本到样信息汇总统计!$Z$2:$Z$500,0)),"")</f>
        <v/>
      </c>
      <c r="V242" s="4" t="str">
        <f>IFERROR(INDEX(样本到样信息汇总统计!V$2:V$500,MATCH(241,样本到样信息汇总统计!$Z$2:$Z$500,0)),"")</f>
        <v/>
      </c>
      <c r="W242" s="4" t="str">
        <f>IFERROR(INDEX(样本到样信息汇总统计!W$2:W$500,MATCH(241,样本到样信息汇总统计!$Z$2:$Z$500,0)),"")</f>
        <v/>
      </c>
    </row>
    <row r="243" ht="14.5" spans="1:23">
      <c r="A243" s="8" t="str">
        <f>IFERROR(INDEX(样本到样信息汇总统计!A$2:A$500,MATCH(242,样本到样信息汇总统计!$Z$2:$Z$500,0)),"")</f>
        <v/>
      </c>
      <c r="B243" s="8" t="str">
        <f>IFERROR(INDEX(样本到样信息汇总统计!B$2:B$500,MATCH(242,样本到样信息汇总统计!$Z$2:$Z$500,0)),"")</f>
        <v/>
      </c>
      <c r="C243" s="8" t="str">
        <f>IFERROR(INDEX(样本到样信息汇总统计!C$2:C$500,MATCH(242,样本到样信息汇总统计!$Z$2:$Z$500,0)),"")</f>
        <v/>
      </c>
      <c r="D243" s="8" t="str">
        <f>IFERROR(INDEX(样本到样信息汇总统计!D$2:D$500,MATCH(242,样本到样信息汇总统计!$Z$2:$Z$500,0)),"")</f>
        <v/>
      </c>
      <c r="E243" s="8" t="str">
        <f>IFERROR(INDEX(样本到样信息汇总统计!E$2:E$500,MATCH(242,样本到样信息汇总统计!$Z$2:$Z$500,0)),"")</f>
        <v/>
      </c>
      <c r="F243" s="8" t="str">
        <f>IFERROR(INDEX(样本到样信息汇总统计!F$2:F$500,MATCH(242,样本到样信息汇总统计!$Z$2:$Z$500,0)),"")</f>
        <v/>
      </c>
      <c r="G243" s="8" t="str">
        <f>IFERROR(INDEX(样本到样信息汇总统计!G$2:G$500,MATCH(242,样本到样信息汇总统计!$Z$2:$Z$500,0)),"")</f>
        <v/>
      </c>
      <c r="H243" s="8" t="str">
        <f>IFERROR(INDEX(样本到样信息汇总统计!H$2:H$500,MATCH(242,样本到样信息汇总统计!$Z$2:$Z$500,0)),"")</f>
        <v/>
      </c>
      <c r="I243" s="8" t="str">
        <f>IFERROR(INDEX(样本到样信息汇总统计!I$2:I$500,MATCH(242,样本到样信息汇总统计!$Z$2:$Z$500,0)),"")</f>
        <v/>
      </c>
      <c r="J243" s="8" t="str">
        <f>IFERROR(INDEX(样本到样信息汇总统计!J$2:J$500,MATCH(242,样本到样信息汇总统计!$Z$2:$Z$500,0)),"")</f>
        <v/>
      </c>
      <c r="K243" s="8" t="str">
        <f>IFERROR(INDEX(样本到样信息汇总统计!K$2:K$500,MATCH(242,样本到样信息汇总统计!$Z$2:$Z$500,0)),"")</f>
        <v/>
      </c>
      <c r="L243" s="8" t="str">
        <f>IFERROR(INDEX(样本到样信息汇总统计!L$2:L$500,MATCH(242,样本到样信息汇总统计!$Z$2:$Z$500,0)),"")</f>
        <v/>
      </c>
      <c r="M243" s="8" t="str">
        <f>IFERROR(INDEX(样本到样信息汇总统计!M$2:M$500,MATCH(242,样本到样信息汇总统计!$Z$2:$Z$500,0)),"")</f>
        <v/>
      </c>
      <c r="N243" s="8" t="str">
        <f>IFERROR(INDEX(样本到样信息汇总统计!N$2:N$500,MATCH(242,样本到样信息汇总统计!$Z$2:$Z$500,0)),"")</f>
        <v/>
      </c>
      <c r="O243" s="8" t="str">
        <f>IFERROR(INDEX(样本到样信息汇总统计!O$2:O$500,MATCH(242,样本到样信息汇总统计!$Z$2:$Z$500,0)),"")</f>
        <v/>
      </c>
      <c r="P243" s="8" t="str">
        <f>IFERROR(INDEX(样本到样信息汇总统计!P$2:P$500,MATCH(242,样本到样信息汇总统计!$Z$2:$Z$500,0)),"")</f>
        <v/>
      </c>
      <c r="Q243" s="8" t="str">
        <f>IFERROR(INDEX(样本到样信息汇总统计!Q$2:Q$500,MATCH(242,样本到样信息汇总统计!$Z$2:$Z$500,0)),"")</f>
        <v/>
      </c>
      <c r="R243" s="8" t="str">
        <f>IFERROR(INDEX(样本到样信息汇总统计!R$2:R$500,MATCH(242,样本到样信息汇总统计!$Z$2:$Z$500,0)),"")</f>
        <v/>
      </c>
      <c r="S243" s="8" t="str">
        <f>IFERROR(INDEX(样本到样信息汇总统计!S$2:S$500,MATCH(242,样本到样信息汇总统计!$Z$2:$Z$500,0)),"")</f>
        <v/>
      </c>
      <c r="T243" s="8" t="str">
        <f>IFERROR(INDEX(样本到样信息汇总统计!T$2:T$500,MATCH(242,样本到样信息汇总统计!$Z$2:$Z$500,0)),"")</f>
        <v/>
      </c>
      <c r="U243" s="8" t="str">
        <f>IFERROR(INDEX(样本到样信息汇总统计!U$2:U$500,MATCH(242,样本到样信息汇总统计!$Z$2:$Z$500,0)),"")</f>
        <v/>
      </c>
      <c r="V243" s="8" t="str">
        <f>IFERROR(INDEX(样本到样信息汇总统计!V$2:V$500,MATCH(242,样本到样信息汇总统计!$Z$2:$Z$500,0)),"")</f>
        <v/>
      </c>
      <c r="W243" s="8" t="str">
        <f>IFERROR(INDEX(样本到样信息汇总统计!W$2:W$500,MATCH(242,样本到样信息汇总统计!$Z$2:$Z$500,0)),"")</f>
        <v/>
      </c>
    </row>
    <row r="244" ht="14.5" spans="1:23">
      <c r="A244" s="4" t="str">
        <f>IFERROR(INDEX(样本到样信息汇总统计!A$2:A$500,MATCH(243,样本到样信息汇总统计!$Z$2:$Z$500,0)),"")</f>
        <v/>
      </c>
      <c r="B244" s="4" t="str">
        <f>IFERROR(INDEX(样本到样信息汇总统计!B$2:B$500,MATCH(243,样本到样信息汇总统计!$Z$2:$Z$500,0)),"")</f>
        <v/>
      </c>
      <c r="C244" s="4" t="str">
        <f>IFERROR(INDEX(样本到样信息汇总统计!C$2:C$500,MATCH(243,样本到样信息汇总统计!$Z$2:$Z$500,0)),"")</f>
        <v/>
      </c>
      <c r="D244" s="4" t="str">
        <f>IFERROR(INDEX(样本到样信息汇总统计!D$2:D$500,MATCH(243,样本到样信息汇总统计!$Z$2:$Z$500,0)),"")</f>
        <v/>
      </c>
      <c r="E244" s="4" t="str">
        <f>IFERROR(INDEX(样本到样信息汇总统计!E$2:E$500,MATCH(243,样本到样信息汇总统计!$Z$2:$Z$500,0)),"")</f>
        <v/>
      </c>
      <c r="F244" s="4" t="str">
        <f>IFERROR(INDEX(样本到样信息汇总统计!F$2:F$500,MATCH(243,样本到样信息汇总统计!$Z$2:$Z$500,0)),"")</f>
        <v/>
      </c>
      <c r="G244" s="4" t="str">
        <f>IFERROR(INDEX(样本到样信息汇总统计!G$2:G$500,MATCH(243,样本到样信息汇总统计!$Z$2:$Z$500,0)),"")</f>
        <v/>
      </c>
      <c r="H244" s="4" t="str">
        <f>IFERROR(INDEX(样本到样信息汇总统计!H$2:H$500,MATCH(243,样本到样信息汇总统计!$Z$2:$Z$500,0)),"")</f>
        <v/>
      </c>
      <c r="I244" s="4" t="str">
        <f>IFERROR(INDEX(样本到样信息汇总统计!I$2:I$500,MATCH(243,样本到样信息汇总统计!$Z$2:$Z$500,0)),"")</f>
        <v/>
      </c>
      <c r="J244" s="4" t="str">
        <f>IFERROR(INDEX(样本到样信息汇总统计!J$2:J$500,MATCH(243,样本到样信息汇总统计!$Z$2:$Z$500,0)),"")</f>
        <v/>
      </c>
      <c r="K244" s="4" t="str">
        <f>IFERROR(INDEX(样本到样信息汇总统计!K$2:K$500,MATCH(243,样本到样信息汇总统计!$Z$2:$Z$500,0)),"")</f>
        <v/>
      </c>
      <c r="L244" s="4" t="str">
        <f>IFERROR(INDEX(样本到样信息汇总统计!L$2:L$500,MATCH(243,样本到样信息汇总统计!$Z$2:$Z$500,0)),"")</f>
        <v/>
      </c>
      <c r="M244" s="4" t="str">
        <f>IFERROR(INDEX(样本到样信息汇总统计!M$2:M$500,MATCH(243,样本到样信息汇总统计!$Z$2:$Z$500,0)),"")</f>
        <v/>
      </c>
      <c r="N244" s="4" t="str">
        <f>IFERROR(INDEX(样本到样信息汇总统计!N$2:N$500,MATCH(243,样本到样信息汇总统计!$Z$2:$Z$500,0)),"")</f>
        <v/>
      </c>
      <c r="O244" s="4" t="str">
        <f>IFERROR(INDEX(样本到样信息汇总统计!O$2:O$500,MATCH(243,样本到样信息汇总统计!$Z$2:$Z$500,0)),"")</f>
        <v/>
      </c>
      <c r="P244" s="4" t="str">
        <f>IFERROR(INDEX(样本到样信息汇总统计!P$2:P$500,MATCH(243,样本到样信息汇总统计!$Z$2:$Z$500,0)),"")</f>
        <v/>
      </c>
      <c r="Q244" s="4" t="str">
        <f>IFERROR(INDEX(样本到样信息汇总统计!Q$2:Q$500,MATCH(243,样本到样信息汇总统计!$Z$2:$Z$500,0)),"")</f>
        <v/>
      </c>
      <c r="R244" s="4" t="str">
        <f>IFERROR(INDEX(样本到样信息汇总统计!R$2:R$500,MATCH(243,样本到样信息汇总统计!$Z$2:$Z$500,0)),"")</f>
        <v/>
      </c>
      <c r="S244" s="4" t="str">
        <f>IFERROR(INDEX(样本到样信息汇总统计!S$2:S$500,MATCH(243,样本到样信息汇总统计!$Z$2:$Z$500,0)),"")</f>
        <v/>
      </c>
      <c r="T244" s="4" t="str">
        <f>IFERROR(INDEX(样本到样信息汇总统计!T$2:T$500,MATCH(243,样本到样信息汇总统计!$Z$2:$Z$500,0)),"")</f>
        <v/>
      </c>
      <c r="U244" s="4" t="str">
        <f>IFERROR(INDEX(样本到样信息汇总统计!U$2:U$500,MATCH(243,样本到样信息汇总统计!$Z$2:$Z$500,0)),"")</f>
        <v/>
      </c>
      <c r="V244" s="4" t="str">
        <f>IFERROR(INDEX(样本到样信息汇总统计!V$2:V$500,MATCH(243,样本到样信息汇总统计!$Z$2:$Z$500,0)),"")</f>
        <v/>
      </c>
      <c r="W244" s="4" t="str">
        <f>IFERROR(INDEX(样本到样信息汇总统计!W$2:W$500,MATCH(243,样本到样信息汇总统计!$Z$2:$Z$500,0)),"")</f>
        <v/>
      </c>
    </row>
    <row r="245" ht="14.5" spans="1:23">
      <c r="A245" s="8" t="str">
        <f>IFERROR(INDEX(样本到样信息汇总统计!A$2:A$500,MATCH(244,样本到样信息汇总统计!$Z$2:$Z$500,0)),"")</f>
        <v/>
      </c>
      <c r="B245" s="8" t="str">
        <f>IFERROR(INDEX(样本到样信息汇总统计!B$2:B$500,MATCH(244,样本到样信息汇总统计!$Z$2:$Z$500,0)),"")</f>
        <v/>
      </c>
      <c r="C245" s="8" t="str">
        <f>IFERROR(INDEX(样本到样信息汇总统计!C$2:C$500,MATCH(244,样本到样信息汇总统计!$Z$2:$Z$500,0)),"")</f>
        <v/>
      </c>
      <c r="D245" s="8" t="str">
        <f>IFERROR(INDEX(样本到样信息汇总统计!D$2:D$500,MATCH(244,样本到样信息汇总统计!$Z$2:$Z$500,0)),"")</f>
        <v/>
      </c>
      <c r="E245" s="8" t="str">
        <f>IFERROR(INDEX(样本到样信息汇总统计!E$2:E$500,MATCH(244,样本到样信息汇总统计!$Z$2:$Z$500,0)),"")</f>
        <v/>
      </c>
      <c r="F245" s="8" t="str">
        <f>IFERROR(INDEX(样本到样信息汇总统计!F$2:F$500,MATCH(244,样本到样信息汇总统计!$Z$2:$Z$500,0)),"")</f>
        <v/>
      </c>
      <c r="G245" s="8" t="str">
        <f>IFERROR(INDEX(样本到样信息汇总统计!G$2:G$500,MATCH(244,样本到样信息汇总统计!$Z$2:$Z$500,0)),"")</f>
        <v/>
      </c>
      <c r="H245" s="8" t="str">
        <f>IFERROR(INDEX(样本到样信息汇总统计!H$2:H$500,MATCH(244,样本到样信息汇总统计!$Z$2:$Z$500,0)),"")</f>
        <v/>
      </c>
      <c r="I245" s="8" t="str">
        <f>IFERROR(INDEX(样本到样信息汇总统计!I$2:I$500,MATCH(244,样本到样信息汇总统计!$Z$2:$Z$500,0)),"")</f>
        <v/>
      </c>
      <c r="J245" s="8" t="str">
        <f>IFERROR(INDEX(样本到样信息汇总统计!J$2:J$500,MATCH(244,样本到样信息汇总统计!$Z$2:$Z$500,0)),"")</f>
        <v/>
      </c>
      <c r="K245" s="8" t="str">
        <f>IFERROR(INDEX(样本到样信息汇总统计!K$2:K$500,MATCH(244,样本到样信息汇总统计!$Z$2:$Z$500,0)),"")</f>
        <v/>
      </c>
      <c r="L245" s="8" t="str">
        <f>IFERROR(INDEX(样本到样信息汇总统计!L$2:L$500,MATCH(244,样本到样信息汇总统计!$Z$2:$Z$500,0)),"")</f>
        <v/>
      </c>
      <c r="M245" s="8" t="str">
        <f>IFERROR(INDEX(样本到样信息汇总统计!M$2:M$500,MATCH(244,样本到样信息汇总统计!$Z$2:$Z$500,0)),"")</f>
        <v/>
      </c>
      <c r="N245" s="8" t="str">
        <f>IFERROR(INDEX(样本到样信息汇总统计!N$2:N$500,MATCH(244,样本到样信息汇总统计!$Z$2:$Z$500,0)),"")</f>
        <v/>
      </c>
      <c r="O245" s="8" t="str">
        <f>IFERROR(INDEX(样本到样信息汇总统计!O$2:O$500,MATCH(244,样本到样信息汇总统计!$Z$2:$Z$500,0)),"")</f>
        <v/>
      </c>
      <c r="P245" s="8" t="str">
        <f>IFERROR(INDEX(样本到样信息汇总统计!P$2:P$500,MATCH(244,样本到样信息汇总统计!$Z$2:$Z$500,0)),"")</f>
        <v/>
      </c>
      <c r="Q245" s="8" t="str">
        <f>IFERROR(INDEX(样本到样信息汇总统计!Q$2:Q$500,MATCH(244,样本到样信息汇总统计!$Z$2:$Z$500,0)),"")</f>
        <v/>
      </c>
      <c r="R245" s="8" t="str">
        <f>IFERROR(INDEX(样本到样信息汇总统计!R$2:R$500,MATCH(244,样本到样信息汇总统计!$Z$2:$Z$500,0)),"")</f>
        <v/>
      </c>
      <c r="S245" s="8" t="str">
        <f>IFERROR(INDEX(样本到样信息汇总统计!S$2:S$500,MATCH(244,样本到样信息汇总统计!$Z$2:$Z$500,0)),"")</f>
        <v/>
      </c>
      <c r="T245" s="8" t="str">
        <f>IFERROR(INDEX(样本到样信息汇总统计!T$2:T$500,MATCH(244,样本到样信息汇总统计!$Z$2:$Z$500,0)),"")</f>
        <v/>
      </c>
      <c r="U245" s="8" t="str">
        <f>IFERROR(INDEX(样本到样信息汇总统计!U$2:U$500,MATCH(244,样本到样信息汇总统计!$Z$2:$Z$500,0)),"")</f>
        <v/>
      </c>
      <c r="V245" s="8" t="str">
        <f>IFERROR(INDEX(样本到样信息汇总统计!V$2:V$500,MATCH(244,样本到样信息汇总统计!$Z$2:$Z$500,0)),"")</f>
        <v/>
      </c>
      <c r="W245" s="8" t="str">
        <f>IFERROR(INDEX(样本到样信息汇总统计!W$2:W$500,MATCH(244,样本到样信息汇总统计!$Z$2:$Z$500,0)),"")</f>
        <v/>
      </c>
    </row>
    <row r="246" ht="14.5" spans="1:23">
      <c r="A246" s="4" t="str">
        <f>IFERROR(INDEX(样本到样信息汇总统计!A$2:A$500,MATCH(245,样本到样信息汇总统计!$Z$2:$Z$500,0)),"")</f>
        <v/>
      </c>
      <c r="B246" s="4" t="str">
        <f>IFERROR(INDEX(样本到样信息汇总统计!B$2:B$500,MATCH(245,样本到样信息汇总统计!$Z$2:$Z$500,0)),"")</f>
        <v/>
      </c>
      <c r="C246" s="4" t="str">
        <f>IFERROR(INDEX(样本到样信息汇总统计!C$2:C$500,MATCH(245,样本到样信息汇总统计!$Z$2:$Z$500,0)),"")</f>
        <v/>
      </c>
      <c r="D246" s="4" t="str">
        <f>IFERROR(INDEX(样本到样信息汇总统计!D$2:D$500,MATCH(245,样本到样信息汇总统计!$Z$2:$Z$500,0)),"")</f>
        <v/>
      </c>
      <c r="E246" s="4" t="str">
        <f>IFERROR(INDEX(样本到样信息汇总统计!E$2:E$500,MATCH(245,样本到样信息汇总统计!$Z$2:$Z$500,0)),"")</f>
        <v/>
      </c>
      <c r="F246" s="4" t="str">
        <f>IFERROR(INDEX(样本到样信息汇总统计!F$2:F$500,MATCH(245,样本到样信息汇总统计!$Z$2:$Z$500,0)),"")</f>
        <v/>
      </c>
      <c r="G246" s="4" t="str">
        <f>IFERROR(INDEX(样本到样信息汇总统计!G$2:G$500,MATCH(245,样本到样信息汇总统计!$Z$2:$Z$500,0)),"")</f>
        <v/>
      </c>
      <c r="H246" s="4" t="str">
        <f>IFERROR(INDEX(样本到样信息汇总统计!H$2:H$500,MATCH(245,样本到样信息汇总统计!$Z$2:$Z$500,0)),"")</f>
        <v/>
      </c>
      <c r="I246" s="4" t="str">
        <f>IFERROR(INDEX(样本到样信息汇总统计!I$2:I$500,MATCH(245,样本到样信息汇总统计!$Z$2:$Z$500,0)),"")</f>
        <v/>
      </c>
      <c r="J246" s="4" t="str">
        <f>IFERROR(INDEX(样本到样信息汇总统计!J$2:J$500,MATCH(245,样本到样信息汇总统计!$Z$2:$Z$500,0)),"")</f>
        <v/>
      </c>
      <c r="K246" s="4" t="str">
        <f>IFERROR(INDEX(样本到样信息汇总统计!K$2:K$500,MATCH(245,样本到样信息汇总统计!$Z$2:$Z$500,0)),"")</f>
        <v/>
      </c>
      <c r="L246" s="4" t="str">
        <f>IFERROR(INDEX(样本到样信息汇总统计!L$2:L$500,MATCH(245,样本到样信息汇总统计!$Z$2:$Z$500,0)),"")</f>
        <v/>
      </c>
      <c r="M246" s="4" t="str">
        <f>IFERROR(INDEX(样本到样信息汇总统计!M$2:M$500,MATCH(245,样本到样信息汇总统计!$Z$2:$Z$500,0)),"")</f>
        <v/>
      </c>
      <c r="N246" s="4" t="str">
        <f>IFERROR(INDEX(样本到样信息汇总统计!N$2:N$500,MATCH(245,样本到样信息汇总统计!$Z$2:$Z$500,0)),"")</f>
        <v/>
      </c>
      <c r="O246" s="4" t="str">
        <f>IFERROR(INDEX(样本到样信息汇总统计!O$2:O$500,MATCH(245,样本到样信息汇总统计!$Z$2:$Z$500,0)),"")</f>
        <v/>
      </c>
      <c r="P246" s="4" t="str">
        <f>IFERROR(INDEX(样本到样信息汇总统计!P$2:P$500,MATCH(245,样本到样信息汇总统计!$Z$2:$Z$500,0)),"")</f>
        <v/>
      </c>
      <c r="Q246" s="4" t="str">
        <f>IFERROR(INDEX(样本到样信息汇总统计!Q$2:Q$500,MATCH(245,样本到样信息汇总统计!$Z$2:$Z$500,0)),"")</f>
        <v/>
      </c>
      <c r="R246" s="4" t="str">
        <f>IFERROR(INDEX(样本到样信息汇总统计!R$2:R$500,MATCH(245,样本到样信息汇总统计!$Z$2:$Z$500,0)),"")</f>
        <v/>
      </c>
      <c r="S246" s="4" t="str">
        <f>IFERROR(INDEX(样本到样信息汇总统计!S$2:S$500,MATCH(245,样本到样信息汇总统计!$Z$2:$Z$500,0)),"")</f>
        <v/>
      </c>
      <c r="T246" s="4" t="str">
        <f>IFERROR(INDEX(样本到样信息汇总统计!T$2:T$500,MATCH(245,样本到样信息汇总统计!$Z$2:$Z$500,0)),"")</f>
        <v/>
      </c>
      <c r="U246" s="4" t="str">
        <f>IFERROR(INDEX(样本到样信息汇总统计!U$2:U$500,MATCH(245,样本到样信息汇总统计!$Z$2:$Z$500,0)),"")</f>
        <v/>
      </c>
      <c r="V246" s="4" t="str">
        <f>IFERROR(INDEX(样本到样信息汇总统计!V$2:V$500,MATCH(245,样本到样信息汇总统计!$Z$2:$Z$500,0)),"")</f>
        <v/>
      </c>
      <c r="W246" s="4" t="str">
        <f>IFERROR(INDEX(样本到样信息汇总统计!W$2:W$500,MATCH(245,样本到样信息汇总统计!$Z$2:$Z$500,0)),"")</f>
        <v/>
      </c>
    </row>
    <row r="247" ht="14.5" spans="1:23">
      <c r="A247" s="8" t="str">
        <f>IFERROR(INDEX(样本到样信息汇总统计!A$2:A$500,MATCH(246,样本到样信息汇总统计!$Z$2:$Z$500,0)),"")</f>
        <v/>
      </c>
      <c r="B247" s="8" t="str">
        <f>IFERROR(INDEX(样本到样信息汇总统计!B$2:B$500,MATCH(246,样本到样信息汇总统计!$Z$2:$Z$500,0)),"")</f>
        <v/>
      </c>
      <c r="C247" s="8" t="str">
        <f>IFERROR(INDEX(样本到样信息汇总统计!C$2:C$500,MATCH(246,样本到样信息汇总统计!$Z$2:$Z$500,0)),"")</f>
        <v/>
      </c>
      <c r="D247" s="8" t="str">
        <f>IFERROR(INDEX(样本到样信息汇总统计!D$2:D$500,MATCH(246,样本到样信息汇总统计!$Z$2:$Z$500,0)),"")</f>
        <v/>
      </c>
      <c r="E247" s="8" t="str">
        <f>IFERROR(INDEX(样本到样信息汇总统计!E$2:E$500,MATCH(246,样本到样信息汇总统计!$Z$2:$Z$500,0)),"")</f>
        <v/>
      </c>
      <c r="F247" s="8" t="str">
        <f>IFERROR(INDEX(样本到样信息汇总统计!F$2:F$500,MATCH(246,样本到样信息汇总统计!$Z$2:$Z$500,0)),"")</f>
        <v/>
      </c>
      <c r="G247" s="8" t="str">
        <f>IFERROR(INDEX(样本到样信息汇总统计!G$2:G$500,MATCH(246,样本到样信息汇总统计!$Z$2:$Z$500,0)),"")</f>
        <v/>
      </c>
      <c r="H247" s="8" t="str">
        <f>IFERROR(INDEX(样本到样信息汇总统计!H$2:H$500,MATCH(246,样本到样信息汇总统计!$Z$2:$Z$500,0)),"")</f>
        <v/>
      </c>
      <c r="I247" s="8" t="str">
        <f>IFERROR(INDEX(样本到样信息汇总统计!I$2:I$500,MATCH(246,样本到样信息汇总统计!$Z$2:$Z$500,0)),"")</f>
        <v/>
      </c>
      <c r="J247" s="8" t="str">
        <f>IFERROR(INDEX(样本到样信息汇总统计!J$2:J$500,MATCH(246,样本到样信息汇总统计!$Z$2:$Z$500,0)),"")</f>
        <v/>
      </c>
      <c r="K247" s="8" t="str">
        <f>IFERROR(INDEX(样本到样信息汇总统计!K$2:K$500,MATCH(246,样本到样信息汇总统计!$Z$2:$Z$500,0)),"")</f>
        <v/>
      </c>
      <c r="L247" s="8" t="str">
        <f>IFERROR(INDEX(样本到样信息汇总统计!L$2:L$500,MATCH(246,样本到样信息汇总统计!$Z$2:$Z$500,0)),"")</f>
        <v/>
      </c>
      <c r="M247" s="8" t="str">
        <f>IFERROR(INDEX(样本到样信息汇总统计!M$2:M$500,MATCH(246,样本到样信息汇总统计!$Z$2:$Z$500,0)),"")</f>
        <v/>
      </c>
      <c r="N247" s="8" t="str">
        <f>IFERROR(INDEX(样本到样信息汇总统计!N$2:N$500,MATCH(246,样本到样信息汇总统计!$Z$2:$Z$500,0)),"")</f>
        <v/>
      </c>
      <c r="O247" s="8" t="str">
        <f>IFERROR(INDEX(样本到样信息汇总统计!O$2:O$500,MATCH(246,样本到样信息汇总统计!$Z$2:$Z$500,0)),"")</f>
        <v/>
      </c>
      <c r="P247" s="8" t="str">
        <f>IFERROR(INDEX(样本到样信息汇总统计!P$2:P$500,MATCH(246,样本到样信息汇总统计!$Z$2:$Z$500,0)),"")</f>
        <v/>
      </c>
      <c r="Q247" s="8" t="str">
        <f>IFERROR(INDEX(样本到样信息汇总统计!Q$2:Q$500,MATCH(246,样本到样信息汇总统计!$Z$2:$Z$500,0)),"")</f>
        <v/>
      </c>
      <c r="R247" s="8" t="str">
        <f>IFERROR(INDEX(样本到样信息汇总统计!R$2:R$500,MATCH(246,样本到样信息汇总统计!$Z$2:$Z$500,0)),"")</f>
        <v/>
      </c>
      <c r="S247" s="8" t="str">
        <f>IFERROR(INDEX(样本到样信息汇总统计!S$2:S$500,MATCH(246,样本到样信息汇总统计!$Z$2:$Z$500,0)),"")</f>
        <v/>
      </c>
      <c r="T247" s="8" t="str">
        <f>IFERROR(INDEX(样本到样信息汇总统计!T$2:T$500,MATCH(246,样本到样信息汇总统计!$Z$2:$Z$500,0)),"")</f>
        <v/>
      </c>
      <c r="U247" s="8" t="str">
        <f>IFERROR(INDEX(样本到样信息汇总统计!U$2:U$500,MATCH(246,样本到样信息汇总统计!$Z$2:$Z$500,0)),"")</f>
        <v/>
      </c>
      <c r="V247" s="8" t="str">
        <f>IFERROR(INDEX(样本到样信息汇总统计!V$2:V$500,MATCH(246,样本到样信息汇总统计!$Z$2:$Z$500,0)),"")</f>
        <v/>
      </c>
      <c r="W247" s="8" t="str">
        <f>IFERROR(INDEX(样本到样信息汇总统计!W$2:W$500,MATCH(246,样本到样信息汇总统计!$Z$2:$Z$500,0)),"")</f>
        <v/>
      </c>
    </row>
    <row r="248" ht="14.5" spans="1:23">
      <c r="A248" s="4" t="str">
        <f>IFERROR(INDEX(样本到样信息汇总统计!A$2:A$500,MATCH(247,样本到样信息汇总统计!$Z$2:$Z$500,0)),"")</f>
        <v/>
      </c>
      <c r="B248" s="4" t="str">
        <f>IFERROR(INDEX(样本到样信息汇总统计!B$2:B$500,MATCH(247,样本到样信息汇总统计!$Z$2:$Z$500,0)),"")</f>
        <v/>
      </c>
      <c r="C248" s="4" t="str">
        <f>IFERROR(INDEX(样本到样信息汇总统计!C$2:C$500,MATCH(247,样本到样信息汇总统计!$Z$2:$Z$500,0)),"")</f>
        <v/>
      </c>
      <c r="D248" s="4" t="str">
        <f>IFERROR(INDEX(样本到样信息汇总统计!D$2:D$500,MATCH(247,样本到样信息汇总统计!$Z$2:$Z$500,0)),"")</f>
        <v/>
      </c>
      <c r="E248" s="4" t="str">
        <f>IFERROR(INDEX(样本到样信息汇总统计!E$2:E$500,MATCH(247,样本到样信息汇总统计!$Z$2:$Z$500,0)),"")</f>
        <v/>
      </c>
      <c r="F248" s="4" t="str">
        <f>IFERROR(INDEX(样本到样信息汇总统计!F$2:F$500,MATCH(247,样本到样信息汇总统计!$Z$2:$Z$500,0)),"")</f>
        <v/>
      </c>
      <c r="G248" s="4" t="str">
        <f>IFERROR(INDEX(样本到样信息汇总统计!G$2:G$500,MATCH(247,样本到样信息汇总统计!$Z$2:$Z$500,0)),"")</f>
        <v/>
      </c>
      <c r="H248" s="4" t="str">
        <f>IFERROR(INDEX(样本到样信息汇总统计!H$2:H$500,MATCH(247,样本到样信息汇总统计!$Z$2:$Z$500,0)),"")</f>
        <v/>
      </c>
      <c r="I248" s="4" t="str">
        <f>IFERROR(INDEX(样本到样信息汇总统计!I$2:I$500,MATCH(247,样本到样信息汇总统计!$Z$2:$Z$500,0)),"")</f>
        <v/>
      </c>
      <c r="J248" s="4" t="str">
        <f>IFERROR(INDEX(样本到样信息汇总统计!J$2:J$500,MATCH(247,样本到样信息汇总统计!$Z$2:$Z$500,0)),"")</f>
        <v/>
      </c>
      <c r="K248" s="4" t="str">
        <f>IFERROR(INDEX(样本到样信息汇总统计!K$2:K$500,MATCH(247,样本到样信息汇总统计!$Z$2:$Z$500,0)),"")</f>
        <v/>
      </c>
      <c r="L248" s="4" t="str">
        <f>IFERROR(INDEX(样本到样信息汇总统计!L$2:L$500,MATCH(247,样本到样信息汇总统计!$Z$2:$Z$500,0)),"")</f>
        <v/>
      </c>
      <c r="M248" s="4" t="str">
        <f>IFERROR(INDEX(样本到样信息汇总统计!M$2:M$500,MATCH(247,样本到样信息汇总统计!$Z$2:$Z$500,0)),"")</f>
        <v/>
      </c>
      <c r="N248" s="4" t="str">
        <f>IFERROR(INDEX(样本到样信息汇总统计!N$2:N$500,MATCH(247,样本到样信息汇总统计!$Z$2:$Z$500,0)),"")</f>
        <v/>
      </c>
      <c r="O248" s="4" t="str">
        <f>IFERROR(INDEX(样本到样信息汇总统计!O$2:O$500,MATCH(247,样本到样信息汇总统计!$Z$2:$Z$500,0)),"")</f>
        <v/>
      </c>
      <c r="P248" s="4" t="str">
        <f>IFERROR(INDEX(样本到样信息汇总统计!P$2:P$500,MATCH(247,样本到样信息汇总统计!$Z$2:$Z$500,0)),"")</f>
        <v/>
      </c>
      <c r="Q248" s="4" t="str">
        <f>IFERROR(INDEX(样本到样信息汇总统计!Q$2:Q$500,MATCH(247,样本到样信息汇总统计!$Z$2:$Z$500,0)),"")</f>
        <v/>
      </c>
      <c r="R248" s="4" t="str">
        <f>IFERROR(INDEX(样本到样信息汇总统计!R$2:R$500,MATCH(247,样本到样信息汇总统计!$Z$2:$Z$500,0)),"")</f>
        <v/>
      </c>
      <c r="S248" s="4" t="str">
        <f>IFERROR(INDEX(样本到样信息汇总统计!S$2:S$500,MATCH(247,样本到样信息汇总统计!$Z$2:$Z$500,0)),"")</f>
        <v/>
      </c>
      <c r="T248" s="4" t="str">
        <f>IFERROR(INDEX(样本到样信息汇总统计!T$2:T$500,MATCH(247,样本到样信息汇总统计!$Z$2:$Z$500,0)),"")</f>
        <v/>
      </c>
      <c r="U248" s="4" t="str">
        <f>IFERROR(INDEX(样本到样信息汇总统计!U$2:U$500,MATCH(247,样本到样信息汇总统计!$Z$2:$Z$500,0)),"")</f>
        <v/>
      </c>
      <c r="V248" s="4" t="str">
        <f>IFERROR(INDEX(样本到样信息汇总统计!V$2:V$500,MATCH(247,样本到样信息汇总统计!$Z$2:$Z$500,0)),"")</f>
        <v/>
      </c>
      <c r="W248" s="4" t="str">
        <f>IFERROR(INDEX(样本到样信息汇总统计!W$2:W$500,MATCH(247,样本到样信息汇总统计!$Z$2:$Z$500,0)),"")</f>
        <v/>
      </c>
    </row>
    <row r="249" ht="14.5" spans="1:23">
      <c r="A249" s="8" t="str">
        <f>IFERROR(INDEX(样本到样信息汇总统计!A$2:A$500,MATCH(248,样本到样信息汇总统计!$Z$2:$Z$500,0)),"")</f>
        <v/>
      </c>
      <c r="B249" s="8" t="str">
        <f>IFERROR(INDEX(样本到样信息汇总统计!B$2:B$500,MATCH(248,样本到样信息汇总统计!$Z$2:$Z$500,0)),"")</f>
        <v/>
      </c>
      <c r="C249" s="8" t="str">
        <f>IFERROR(INDEX(样本到样信息汇总统计!C$2:C$500,MATCH(248,样本到样信息汇总统计!$Z$2:$Z$500,0)),"")</f>
        <v/>
      </c>
      <c r="D249" s="8" t="str">
        <f>IFERROR(INDEX(样本到样信息汇总统计!D$2:D$500,MATCH(248,样本到样信息汇总统计!$Z$2:$Z$500,0)),"")</f>
        <v/>
      </c>
      <c r="E249" s="8" t="str">
        <f>IFERROR(INDEX(样本到样信息汇总统计!E$2:E$500,MATCH(248,样本到样信息汇总统计!$Z$2:$Z$500,0)),"")</f>
        <v/>
      </c>
      <c r="F249" s="8" t="str">
        <f>IFERROR(INDEX(样本到样信息汇总统计!F$2:F$500,MATCH(248,样本到样信息汇总统计!$Z$2:$Z$500,0)),"")</f>
        <v/>
      </c>
      <c r="G249" s="8" t="str">
        <f>IFERROR(INDEX(样本到样信息汇总统计!G$2:G$500,MATCH(248,样本到样信息汇总统计!$Z$2:$Z$500,0)),"")</f>
        <v/>
      </c>
      <c r="H249" s="8" t="str">
        <f>IFERROR(INDEX(样本到样信息汇总统计!H$2:H$500,MATCH(248,样本到样信息汇总统计!$Z$2:$Z$500,0)),"")</f>
        <v/>
      </c>
      <c r="I249" s="8" t="str">
        <f>IFERROR(INDEX(样本到样信息汇总统计!I$2:I$500,MATCH(248,样本到样信息汇总统计!$Z$2:$Z$500,0)),"")</f>
        <v/>
      </c>
      <c r="J249" s="8" t="str">
        <f>IFERROR(INDEX(样本到样信息汇总统计!J$2:J$500,MATCH(248,样本到样信息汇总统计!$Z$2:$Z$500,0)),"")</f>
        <v/>
      </c>
      <c r="K249" s="8" t="str">
        <f>IFERROR(INDEX(样本到样信息汇总统计!K$2:K$500,MATCH(248,样本到样信息汇总统计!$Z$2:$Z$500,0)),"")</f>
        <v/>
      </c>
      <c r="L249" s="8" t="str">
        <f>IFERROR(INDEX(样本到样信息汇总统计!L$2:L$500,MATCH(248,样本到样信息汇总统计!$Z$2:$Z$500,0)),"")</f>
        <v/>
      </c>
      <c r="M249" s="8" t="str">
        <f>IFERROR(INDEX(样本到样信息汇总统计!M$2:M$500,MATCH(248,样本到样信息汇总统计!$Z$2:$Z$500,0)),"")</f>
        <v/>
      </c>
      <c r="N249" s="8" t="str">
        <f>IFERROR(INDEX(样本到样信息汇总统计!N$2:N$500,MATCH(248,样本到样信息汇总统计!$Z$2:$Z$500,0)),"")</f>
        <v/>
      </c>
      <c r="O249" s="8" t="str">
        <f>IFERROR(INDEX(样本到样信息汇总统计!O$2:O$500,MATCH(248,样本到样信息汇总统计!$Z$2:$Z$500,0)),"")</f>
        <v/>
      </c>
      <c r="P249" s="8" t="str">
        <f>IFERROR(INDEX(样本到样信息汇总统计!P$2:P$500,MATCH(248,样本到样信息汇总统计!$Z$2:$Z$500,0)),"")</f>
        <v/>
      </c>
      <c r="Q249" s="8" t="str">
        <f>IFERROR(INDEX(样本到样信息汇总统计!Q$2:Q$500,MATCH(248,样本到样信息汇总统计!$Z$2:$Z$500,0)),"")</f>
        <v/>
      </c>
      <c r="R249" s="8" t="str">
        <f>IFERROR(INDEX(样本到样信息汇总统计!R$2:R$500,MATCH(248,样本到样信息汇总统计!$Z$2:$Z$500,0)),"")</f>
        <v/>
      </c>
      <c r="S249" s="8" t="str">
        <f>IFERROR(INDEX(样本到样信息汇总统计!S$2:S$500,MATCH(248,样本到样信息汇总统计!$Z$2:$Z$500,0)),"")</f>
        <v/>
      </c>
      <c r="T249" s="8" t="str">
        <f>IFERROR(INDEX(样本到样信息汇总统计!T$2:T$500,MATCH(248,样本到样信息汇总统计!$Z$2:$Z$500,0)),"")</f>
        <v/>
      </c>
      <c r="U249" s="8" t="str">
        <f>IFERROR(INDEX(样本到样信息汇总统计!U$2:U$500,MATCH(248,样本到样信息汇总统计!$Z$2:$Z$500,0)),"")</f>
        <v/>
      </c>
      <c r="V249" s="8" t="str">
        <f>IFERROR(INDEX(样本到样信息汇总统计!V$2:V$500,MATCH(248,样本到样信息汇总统计!$Z$2:$Z$500,0)),"")</f>
        <v/>
      </c>
      <c r="W249" s="8" t="str">
        <f>IFERROR(INDEX(样本到样信息汇总统计!W$2:W$500,MATCH(248,样本到样信息汇总统计!$Z$2:$Z$500,0)),"")</f>
        <v/>
      </c>
    </row>
    <row r="250" ht="14.5" spans="1:23">
      <c r="A250" s="4" t="str">
        <f>IFERROR(INDEX(样本到样信息汇总统计!A$2:A$500,MATCH(249,样本到样信息汇总统计!$Z$2:$Z$500,0)),"")</f>
        <v/>
      </c>
      <c r="B250" s="4" t="str">
        <f>IFERROR(INDEX(样本到样信息汇总统计!B$2:B$500,MATCH(249,样本到样信息汇总统计!$Z$2:$Z$500,0)),"")</f>
        <v/>
      </c>
      <c r="C250" s="4" t="str">
        <f>IFERROR(INDEX(样本到样信息汇总统计!C$2:C$500,MATCH(249,样本到样信息汇总统计!$Z$2:$Z$500,0)),"")</f>
        <v/>
      </c>
      <c r="D250" s="4" t="str">
        <f>IFERROR(INDEX(样本到样信息汇总统计!D$2:D$500,MATCH(249,样本到样信息汇总统计!$Z$2:$Z$500,0)),"")</f>
        <v/>
      </c>
      <c r="E250" s="4" t="str">
        <f>IFERROR(INDEX(样本到样信息汇总统计!E$2:E$500,MATCH(249,样本到样信息汇总统计!$Z$2:$Z$500,0)),"")</f>
        <v/>
      </c>
      <c r="F250" s="4" t="str">
        <f>IFERROR(INDEX(样本到样信息汇总统计!F$2:F$500,MATCH(249,样本到样信息汇总统计!$Z$2:$Z$500,0)),"")</f>
        <v/>
      </c>
      <c r="G250" s="4" t="str">
        <f>IFERROR(INDEX(样本到样信息汇总统计!G$2:G$500,MATCH(249,样本到样信息汇总统计!$Z$2:$Z$500,0)),"")</f>
        <v/>
      </c>
      <c r="H250" s="4" t="str">
        <f>IFERROR(INDEX(样本到样信息汇总统计!H$2:H$500,MATCH(249,样本到样信息汇总统计!$Z$2:$Z$500,0)),"")</f>
        <v/>
      </c>
      <c r="I250" s="4" t="str">
        <f>IFERROR(INDEX(样本到样信息汇总统计!I$2:I$500,MATCH(249,样本到样信息汇总统计!$Z$2:$Z$500,0)),"")</f>
        <v/>
      </c>
      <c r="J250" s="4" t="str">
        <f>IFERROR(INDEX(样本到样信息汇总统计!J$2:J$500,MATCH(249,样本到样信息汇总统计!$Z$2:$Z$500,0)),"")</f>
        <v/>
      </c>
      <c r="K250" s="4" t="str">
        <f>IFERROR(INDEX(样本到样信息汇总统计!K$2:K$500,MATCH(249,样本到样信息汇总统计!$Z$2:$Z$500,0)),"")</f>
        <v/>
      </c>
      <c r="L250" s="4" t="str">
        <f>IFERROR(INDEX(样本到样信息汇总统计!L$2:L$500,MATCH(249,样本到样信息汇总统计!$Z$2:$Z$500,0)),"")</f>
        <v/>
      </c>
      <c r="M250" s="4" t="str">
        <f>IFERROR(INDEX(样本到样信息汇总统计!M$2:M$500,MATCH(249,样本到样信息汇总统计!$Z$2:$Z$500,0)),"")</f>
        <v/>
      </c>
      <c r="N250" s="4" t="str">
        <f>IFERROR(INDEX(样本到样信息汇总统计!N$2:N$500,MATCH(249,样本到样信息汇总统计!$Z$2:$Z$500,0)),"")</f>
        <v/>
      </c>
      <c r="O250" s="4" t="str">
        <f>IFERROR(INDEX(样本到样信息汇总统计!O$2:O$500,MATCH(249,样本到样信息汇总统计!$Z$2:$Z$500,0)),"")</f>
        <v/>
      </c>
      <c r="P250" s="4" t="str">
        <f>IFERROR(INDEX(样本到样信息汇总统计!P$2:P$500,MATCH(249,样本到样信息汇总统计!$Z$2:$Z$500,0)),"")</f>
        <v/>
      </c>
      <c r="Q250" s="4" t="str">
        <f>IFERROR(INDEX(样本到样信息汇总统计!Q$2:Q$500,MATCH(249,样本到样信息汇总统计!$Z$2:$Z$500,0)),"")</f>
        <v/>
      </c>
      <c r="R250" s="4" t="str">
        <f>IFERROR(INDEX(样本到样信息汇总统计!R$2:R$500,MATCH(249,样本到样信息汇总统计!$Z$2:$Z$500,0)),"")</f>
        <v/>
      </c>
      <c r="S250" s="4" t="str">
        <f>IFERROR(INDEX(样本到样信息汇总统计!S$2:S$500,MATCH(249,样本到样信息汇总统计!$Z$2:$Z$500,0)),"")</f>
        <v/>
      </c>
      <c r="T250" s="4" t="str">
        <f>IFERROR(INDEX(样本到样信息汇总统计!T$2:T$500,MATCH(249,样本到样信息汇总统计!$Z$2:$Z$500,0)),"")</f>
        <v/>
      </c>
      <c r="U250" s="4" t="str">
        <f>IFERROR(INDEX(样本到样信息汇总统计!U$2:U$500,MATCH(249,样本到样信息汇总统计!$Z$2:$Z$500,0)),"")</f>
        <v/>
      </c>
      <c r="V250" s="4" t="str">
        <f>IFERROR(INDEX(样本到样信息汇总统计!V$2:V$500,MATCH(249,样本到样信息汇总统计!$Z$2:$Z$500,0)),"")</f>
        <v/>
      </c>
      <c r="W250" s="4" t="str">
        <f>IFERROR(INDEX(样本到样信息汇总统计!W$2:W$500,MATCH(249,样本到样信息汇总统计!$Z$2:$Z$500,0)),"")</f>
        <v/>
      </c>
    </row>
    <row r="251" ht="14.5" spans="1:23">
      <c r="A251" s="8" t="str">
        <f>IFERROR(INDEX(样本到样信息汇总统计!A$2:A$500,MATCH(250,样本到样信息汇总统计!$Z$2:$Z$500,0)),"")</f>
        <v/>
      </c>
      <c r="B251" s="8" t="str">
        <f>IFERROR(INDEX(样本到样信息汇总统计!B$2:B$500,MATCH(250,样本到样信息汇总统计!$Z$2:$Z$500,0)),"")</f>
        <v/>
      </c>
      <c r="C251" s="8" t="str">
        <f>IFERROR(INDEX(样本到样信息汇总统计!C$2:C$500,MATCH(250,样本到样信息汇总统计!$Z$2:$Z$500,0)),"")</f>
        <v/>
      </c>
      <c r="D251" s="8" t="str">
        <f>IFERROR(INDEX(样本到样信息汇总统计!D$2:D$500,MATCH(250,样本到样信息汇总统计!$Z$2:$Z$500,0)),"")</f>
        <v/>
      </c>
      <c r="E251" s="8" t="str">
        <f>IFERROR(INDEX(样本到样信息汇总统计!E$2:E$500,MATCH(250,样本到样信息汇总统计!$Z$2:$Z$500,0)),"")</f>
        <v/>
      </c>
      <c r="F251" s="8" t="str">
        <f>IFERROR(INDEX(样本到样信息汇总统计!F$2:F$500,MATCH(250,样本到样信息汇总统计!$Z$2:$Z$500,0)),"")</f>
        <v/>
      </c>
      <c r="G251" s="8" t="str">
        <f>IFERROR(INDEX(样本到样信息汇总统计!G$2:G$500,MATCH(250,样本到样信息汇总统计!$Z$2:$Z$500,0)),"")</f>
        <v/>
      </c>
      <c r="H251" s="8" t="str">
        <f>IFERROR(INDEX(样本到样信息汇总统计!H$2:H$500,MATCH(250,样本到样信息汇总统计!$Z$2:$Z$500,0)),"")</f>
        <v/>
      </c>
      <c r="I251" s="8" t="str">
        <f>IFERROR(INDEX(样本到样信息汇总统计!I$2:I$500,MATCH(250,样本到样信息汇总统计!$Z$2:$Z$500,0)),"")</f>
        <v/>
      </c>
      <c r="J251" s="8" t="str">
        <f>IFERROR(INDEX(样本到样信息汇总统计!J$2:J$500,MATCH(250,样本到样信息汇总统计!$Z$2:$Z$500,0)),"")</f>
        <v/>
      </c>
      <c r="K251" s="8" t="str">
        <f>IFERROR(INDEX(样本到样信息汇总统计!K$2:K$500,MATCH(250,样本到样信息汇总统计!$Z$2:$Z$500,0)),"")</f>
        <v/>
      </c>
      <c r="L251" s="8" t="str">
        <f>IFERROR(INDEX(样本到样信息汇总统计!L$2:L$500,MATCH(250,样本到样信息汇总统计!$Z$2:$Z$500,0)),"")</f>
        <v/>
      </c>
      <c r="M251" s="8" t="str">
        <f>IFERROR(INDEX(样本到样信息汇总统计!M$2:M$500,MATCH(250,样本到样信息汇总统计!$Z$2:$Z$500,0)),"")</f>
        <v/>
      </c>
      <c r="N251" s="8" t="str">
        <f>IFERROR(INDEX(样本到样信息汇总统计!N$2:N$500,MATCH(250,样本到样信息汇总统计!$Z$2:$Z$500,0)),"")</f>
        <v/>
      </c>
      <c r="O251" s="8" t="str">
        <f>IFERROR(INDEX(样本到样信息汇总统计!O$2:O$500,MATCH(250,样本到样信息汇总统计!$Z$2:$Z$500,0)),"")</f>
        <v/>
      </c>
      <c r="P251" s="8" t="str">
        <f>IFERROR(INDEX(样本到样信息汇总统计!P$2:P$500,MATCH(250,样本到样信息汇总统计!$Z$2:$Z$500,0)),"")</f>
        <v/>
      </c>
      <c r="Q251" s="8" t="str">
        <f>IFERROR(INDEX(样本到样信息汇总统计!Q$2:Q$500,MATCH(250,样本到样信息汇总统计!$Z$2:$Z$500,0)),"")</f>
        <v/>
      </c>
      <c r="R251" s="8" t="str">
        <f>IFERROR(INDEX(样本到样信息汇总统计!R$2:R$500,MATCH(250,样本到样信息汇总统计!$Z$2:$Z$500,0)),"")</f>
        <v/>
      </c>
      <c r="S251" s="8" t="str">
        <f>IFERROR(INDEX(样本到样信息汇总统计!S$2:S$500,MATCH(250,样本到样信息汇总统计!$Z$2:$Z$500,0)),"")</f>
        <v/>
      </c>
      <c r="T251" s="8" t="str">
        <f>IFERROR(INDEX(样本到样信息汇总统计!T$2:T$500,MATCH(250,样本到样信息汇总统计!$Z$2:$Z$500,0)),"")</f>
        <v/>
      </c>
      <c r="U251" s="8" t="str">
        <f>IFERROR(INDEX(样本到样信息汇总统计!U$2:U$500,MATCH(250,样本到样信息汇总统计!$Z$2:$Z$500,0)),"")</f>
        <v/>
      </c>
      <c r="V251" s="8" t="str">
        <f>IFERROR(INDEX(样本到样信息汇总统计!V$2:V$500,MATCH(250,样本到样信息汇总统计!$Z$2:$Z$500,0)),"")</f>
        <v/>
      </c>
      <c r="W251" s="8" t="str">
        <f>IFERROR(INDEX(样本到样信息汇总统计!W$2:W$500,MATCH(250,样本到样信息汇总统计!$Z$2:$Z$500,0)),"")</f>
        <v/>
      </c>
    </row>
    <row r="252" ht="14.5" spans="1:23">
      <c r="A252" s="4" t="str">
        <f>IFERROR(INDEX(样本到样信息汇总统计!A$2:A$500,MATCH(251,样本到样信息汇总统计!$Z$2:$Z$500,0)),"")</f>
        <v/>
      </c>
      <c r="B252" s="4" t="str">
        <f>IFERROR(INDEX(样本到样信息汇总统计!B$2:B$500,MATCH(251,样本到样信息汇总统计!$Z$2:$Z$500,0)),"")</f>
        <v/>
      </c>
      <c r="C252" s="4" t="str">
        <f>IFERROR(INDEX(样本到样信息汇总统计!C$2:C$500,MATCH(251,样本到样信息汇总统计!$Z$2:$Z$500,0)),"")</f>
        <v/>
      </c>
      <c r="D252" s="4" t="str">
        <f>IFERROR(INDEX(样本到样信息汇总统计!D$2:D$500,MATCH(251,样本到样信息汇总统计!$Z$2:$Z$500,0)),"")</f>
        <v/>
      </c>
      <c r="E252" s="4" t="str">
        <f>IFERROR(INDEX(样本到样信息汇总统计!E$2:E$500,MATCH(251,样本到样信息汇总统计!$Z$2:$Z$500,0)),"")</f>
        <v/>
      </c>
      <c r="F252" s="4" t="str">
        <f>IFERROR(INDEX(样本到样信息汇总统计!F$2:F$500,MATCH(251,样本到样信息汇总统计!$Z$2:$Z$500,0)),"")</f>
        <v/>
      </c>
      <c r="G252" s="4" t="str">
        <f>IFERROR(INDEX(样本到样信息汇总统计!G$2:G$500,MATCH(251,样本到样信息汇总统计!$Z$2:$Z$500,0)),"")</f>
        <v/>
      </c>
      <c r="H252" s="4" t="str">
        <f>IFERROR(INDEX(样本到样信息汇总统计!H$2:H$500,MATCH(251,样本到样信息汇总统计!$Z$2:$Z$500,0)),"")</f>
        <v/>
      </c>
      <c r="I252" s="4" t="str">
        <f>IFERROR(INDEX(样本到样信息汇总统计!I$2:I$500,MATCH(251,样本到样信息汇总统计!$Z$2:$Z$500,0)),"")</f>
        <v/>
      </c>
      <c r="J252" s="4" t="str">
        <f>IFERROR(INDEX(样本到样信息汇总统计!J$2:J$500,MATCH(251,样本到样信息汇总统计!$Z$2:$Z$500,0)),"")</f>
        <v/>
      </c>
      <c r="K252" s="4" t="str">
        <f>IFERROR(INDEX(样本到样信息汇总统计!K$2:K$500,MATCH(251,样本到样信息汇总统计!$Z$2:$Z$500,0)),"")</f>
        <v/>
      </c>
      <c r="L252" s="4" t="str">
        <f>IFERROR(INDEX(样本到样信息汇总统计!L$2:L$500,MATCH(251,样本到样信息汇总统计!$Z$2:$Z$500,0)),"")</f>
        <v/>
      </c>
      <c r="M252" s="4" t="str">
        <f>IFERROR(INDEX(样本到样信息汇总统计!M$2:M$500,MATCH(251,样本到样信息汇总统计!$Z$2:$Z$500,0)),"")</f>
        <v/>
      </c>
      <c r="N252" s="4" t="str">
        <f>IFERROR(INDEX(样本到样信息汇总统计!N$2:N$500,MATCH(251,样本到样信息汇总统计!$Z$2:$Z$500,0)),"")</f>
        <v/>
      </c>
      <c r="O252" s="4" t="str">
        <f>IFERROR(INDEX(样本到样信息汇总统计!O$2:O$500,MATCH(251,样本到样信息汇总统计!$Z$2:$Z$500,0)),"")</f>
        <v/>
      </c>
      <c r="P252" s="4" t="str">
        <f>IFERROR(INDEX(样本到样信息汇总统计!P$2:P$500,MATCH(251,样本到样信息汇总统计!$Z$2:$Z$500,0)),"")</f>
        <v/>
      </c>
      <c r="Q252" s="4" t="str">
        <f>IFERROR(INDEX(样本到样信息汇总统计!Q$2:Q$500,MATCH(251,样本到样信息汇总统计!$Z$2:$Z$500,0)),"")</f>
        <v/>
      </c>
      <c r="R252" s="4" t="str">
        <f>IFERROR(INDEX(样本到样信息汇总统计!R$2:R$500,MATCH(251,样本到样信息汇总统计!$Z$2:$Z$500,0)),"")</f>
        <v/>
      </c>
      <c r="S252" s="4" t="str">
        <f>IFERROR(INDEX(样本到样信息汇总统计!S$2:S$500,MATCH(251,样本到样信息汇总统计!$Z$2:$Z$500,0)),"")</f>
        <v/>
      </c>
      <c r="T252" s="4" t="str">
        <f>IFERROR(INDEX(样本到样信息汇总统计!T$2:T$500,MATCH(251,样本到样信息汇总统计!$Z$2:$Z$500,0)),"")</f>
        <v/>
      </c>
      <c r="U252" s="4" t="str">
        <f>IFERROR(INDEX(样本到样信息汇总统计!U$2:U$500,MATCH(251,样本到样信息汇总统计!$Z$2:$Z$500,0)),"")</f>
        <v/>
      </c>
      <c r="V252" s="4" t="str">
        <f>IFERROR(INDEX(样本到样信息汇总统计!V$2:V$500,MATCH(251,样本到样信息汇总统计!$Z$2:$Z$500,0)),"")</f>
        <v/>
      </c>
      <c r="W252" s="4" t="str">
        <f>IFERROR(INDEX(样本到样信息汇总统计!W$2:W$500,MATCH(251,样本到样信息汇总统计!$Z$2:$Z$500,0)),"")</f>
        <v/>
      </c>
    </row>
    <row r="253" ht="14.5" spans="1:23">
      <c r="A253" s="8" t="str">
        <f>IFERROR(INDEX(样本到样信息汇总统计!A$2:A$500,MATCH(252,样本到样信息汇总统计!$Z$2:$Z$500,0)),"")</f>
        <v/>
      </c>
      <c r="B253" s="8" t="str">
        <f>IFERROR(INDEX(样本到样信息汇总统计!B$2:B$500,MATCH(252,样本到样信息汇总统计!$Z$2:$Z$500,0)),"")</f>
        <v/>
      </c>
      <c r="C253" s="8" t="str">
        <f>IFERROR(INDEX(样本到样信息汇总统计!C$2:C$500,MATCH(252,样本到样信息汇总统计!$Z$2:$Z$500,0)),"")</f>
        <v/>
      </c>
      <c r="D253" s="8" t="str">
        <f>IFERROR(INDEX(样本到样信息汇总统计!D$2:D$500,MATCH(252,样本到样信息汇总统计!$Z$2:$Z$500,0)),"")</f>
        <v/>
      </c>
      <c r="E253" s="8" t="str">
        <f>IFERROR(INDEX(样本到样信息汇总统计!E$2:E$500,MATCH(252,样本到样信息汇总统计!$Z$2:$Z$500,0)),"")</f>
        <v/>
      </c>
      <c r="F253" s="8" t="str">
        <f>IFERROR(INDEX(样本到样信息汇总统计!F$2:F$500,MATCH(252,样本到样信息汇总统计!$Z$2:$Z$500,0)),"")</f>
        <v/>
      </c>
      <c r="G253" s="8" t="str">
        <f>IFERROR(INDEX(样本到样信息汇总统计!G$2:G$500,MATCH(252,样本到样信息汇总统计!$Z$2:$Z$500,0)),"")</f>
        <v/>
      </c>
      <c r="H253" s="8" t="str">
        <f>IFERROR(INDEX(样本到样信息汇总统计!H$2:H$500,MATCH(252,样本到样信息汇总统计!$Z$2:$Z$500,0)),"")</f>
        <v/>
      </c>
      <c r="I253" s="8" t="str">
        <f>IFERROR(INDEX(样本到样信息汇总统计!I$2:I$500,MATCH(252,样本到样信息汇总统计!$Z$2:$Z$500,0)),"")</f>
        <v/>
      </c>
      <c r="J253" s="8" t="str">
        <f>IFERROR(INDEX(样本到样信息汇总统计!J$2:J$500,MATCH(252,样本到样信息汇总统计!$Z$2:$Z$500,0)),"")</f>
        <v/>
      </c>
      <c r="K253" s="8" t="str">
        <f>IFERROR(INDEX(样本到样信息汇总统计!K$2:K$500,MATCH(252,样本到样信息汇总统计!$Z$2:$Z$500,0)),"")</f>
        <v/>
      </c>
      <c r="L253" s="8" t="str">
        <f>IFERROR(INDEX(样本到样信息汇总统计!L$2:L$500,MATCH(252,样本到样信息汇总统计!$Z$2:$Z$500,0)),"")</f>
        <v/>
      </c>
      <c r="M253" s="8" t="str">
        <f>IFERROR(INDEX(样本到样信息汇总统计!M$2:M$500,MATCH(252,样本到样信息汇总统计!$Z$2:$Z$500,0)),"")</f>
        <v/>
      </c>
      <c r="N253" s="8" t="str">
        <f>IFERROR(INDEX(样本到样信息汇总统计!N$2:N$500,MATCH(252,样本到样信息汇总统计!$Z$2:$Z$500,0)),"")</f>
        <v/>
      </c>
      <c r="O253" s="8" t="str">
        <f>IFERROR(INDEX(样本到样信息汇总统计!O$2:O$500,MATCH(252,样本到样信息汇总统计!$Z$2:$Z$500,0)),"")</f>
        <v/>
      </c>
      <c r="P253" s="8" t="str">
        <f>IFERROR(INDEX(样本到样信息汇总统计!P$2:P$500,MATCH(252,样本到样信息汇总统计!$Z$2:$Z$500,0)),"")</f>
        <v/>
      </c>
      <c r="Q253" s="8" t="str">
        <f>IFERROR(INDEX(样本到样信息汇总统计!Q$2:Q$500,MATCH(252,样本到样信息汇总统计!$Z$2:$Z$500,0)),"")</f>
        <v/>
      </c>
      <c r="R253" s="8" t="str">
        <f>IFERROR(INDEX(样本到样信息汇总统计!R$2:R$500,MATCH(252,样本到样信息汇总统计!$Z$2:$Z$500,0)),"")</f>
        <v/>
      </c>
      <c r="S253" s="8" t="str">
        <f>IFERROR(INDEX(样本到样信息汇总统计!S$2:S$500,MATCH(252,样本到样信息汇总统计!$Z$2:$Z$500,0)),"")</f>
        <v/>
      </c>
      <c r="T253" s="8" t="str">
        <f>IFERROR(INDEX(样本到样信息汇总统计!T$2:T$500,MATCH(252,样本到样信息汇总统计!$Z$2:$Z$500,0)),"")</f>
        <v/>
      </c>
      <c r="U253" s="8" t="str">
        <f>IFERROR(INDEX(样本到样信息汇总统计!U$2:U$500,MATCH(252,样本到样信息汇总统计!$Z$2:$Z$500,0)),"")</f>
        <v/>
      </c>
      <c r="V253" s="8" t="str">
        <f>IFERROR(INDEX(样本到样信息汇总统计!V$2:V$500,MATCH(252,样本到样信息汇总统计!$Z$2:$Z$500,0)),"")</f>
        <v/>
      </c>
      <c r="W253" s="8" t="str">
        <f>IFERROR(INDEX(样本到样信息汇总统计!W$2:W$500,MATCH(252,样本到样信息汇总统计!$Z$2:$Z$500,0)),"")</f>
        <v/>
      </c>
    </row>
    <row r="254" ht="14.5" spans="1:23">
      <c r="A254" s="4" t="str">
        <f>IFERROR(INDEX(样本到样信息汇总统计!A$2:A$500,MATCH(253,样本到样信息汇总统计!$Z$2:$Z$500,0)),"")</f>
        <v/>
      </c>
      <c r="B254" s="4" t="str">
        <f>IFERROR(INDEX(样本到样信息汇总统计!B$2:B$500,MATCH(253,样本到样信息汇总统计!$Z$2:$Z$500,0)),"")</f>
        <v/>
      </c>
      <c r="C254" s="4" t="str">
        <f>IFERROR(INDEX(样本到样信息汇总统计!C$2:C$500,MATCH(253,样本到样信息汇总统计!$Z$2:$Z$500,0)),"")</f>
        <v/>
      </c>
      <c r="D254" s="4" t="str">
        <f>IFERROR(INDEX(样本到样信息汇总统计!D$2:D$500,MATCH(253,样本到样信息汇总统计!$Z$2:$Z$500,0)),"")</f>
        <v/>
      </c>
      <c r="E254" s="4" t="str">
        <f>IFERROR(INDEX(样本到样信息汇总统计!E$2:E$500,MATCH(253,样本到样信息汇总统计!$Z$2:$Z$500,0)),"")</f>
        <v/>
      </c>
      <c r="F254" s="4" t="str">
        <f>IFERROR(INDEX(样本到样信息汇总统计!F$2:F$500,MATCH(253,样本到样信息汇总统计!$Z$2:$Z$500,0)),"")</f>
        <v/>
      </c>
      <c r="G254" s="4" t="str">
        <f>IFERROR(INDEX(样本到样信息汇总统计!G$2:G$500,MATCH(253,样本到样信息汇总统计!$Z$2:$Z$500,0)),"")</f>
        <v/>
      </c>
      <c r="H254" s="4" t="str">
        <f>IFERROR(INDEX(样本到样信息汇总统计!H$2:H$500,MATCH(253,样本到样信息汇总统计!$Z$2:$Z$500,0)),"")</f>
        <v/>
      </c>
      <c r="I254" s="4" t="str">
        <f>IFERROR(INDEX(样本到样信息汇总统计!I$2:I$500,MATCH(253,样本到样信息汇总统计!$Z$2:$Z$500,0)),"")</f>
        <v/>
      </c>
      <c r="J254" s="4" t="str">
        <f>IFERROR(INDEX(样本到样信息汇总统计!J$2:J$500,MATCH(253,样本到样信息汇总统计!$Z$2:$Z$500,0)),"")</f>
        <v/>
      </c>
      <c r="K254" s="4" t="str">
        <f>IFERROR(INDEX(样本到样信息汇总统计!K$2:K$500,MATCH(253,样本到样信息汇总统计!$Z$2:$Z$500,0)),"")</f>
        <v/>
      </c>
      <c r="L254" s="4" t="str">
        <f>IFERROR(INDEX(样本到样信息汇总统计!L$2:L$500,MATCH(253,样本到样信息汇总统计!$Z$2:$Z$500,0)),"")</f>
        <v/>
      </c>
      <c r="M254" s="4" t="str">
        <f>IFERROR(INDEX(样本到样信息汇总统计!M$2:M$500,MATCH(253,样本到样信息汇总统计!$Z$2:$Z$500,0)),"")</f>
        <v/>
      </c>
      <c r="N254" s="4" t="str">
        <f>IFERROR(INDEX(样本到样信息汇总统计!N$2:N$500,MATCH(253,样本到样信息汇总统计!$Z$2:$Z$500,0)),"")</f>
        <v/>
      </c>
      <c r="O254" s="4" t="str">
        <f>IFERROR(INDEX(样本到样信息汇总统计!O$2:O$500,MATCH(253,样本到样信息汇总统计!$Z$2:$Z$500,0)),"")</f>
        <v/>
      </c>
      <c r="P254" s="4" t="str">
        <f>IFERROR(INDEX(样本到样信息汇总统计!P$2:P$500,MATCH(253,样本到样信息汇总统计!$Z$2:$Z$500,0)),"")</f>
        <v/>
      </c>
      <c r="Q254" s="4" t="str">
        <f>IFERROR(INDEX(样本到样信息汇总统计!Q$2:Q$500,MATCH(253,样本到样信息汇总统计!$Z$2:$Z$500,0)),"")</f>
        <v/>
      </c>
      <c r="R254" s="4" t="str">
        <f>IFERROR(INDEX(样本到样信息汇总统计!R$2:R$500,MATCH(253,样本到样信息汇总统计!$Z$2:$Z$500,0)),"")</f>
        <v/>
      </c>
      <c r="S254" s="4" t="str">
        <f>IFERROR(INDEX(样本到样信息汇总统计!S$2:S$500,MATCH(253,样本到样信息汇总统计!$Z$2:$Z$500,0)),"")</f>
        <v/>
      </c>
      <c r="T254" s="4" t="str">
        <f>IFERROR(INDEX(样本到样信息汇总统计!T$2:T$500,MATCH(253,样本到样信息汇总统计!$Z$2:$Z$500,0)),"")</f>
        <v/>
      </c>
      <c r="U254" s="4" t="str">
        <f>IFERROR(INDEX(样本到样信息汇总统计!U$2:U$500,MATCH(253,样本到样信息汇总统计!$Z$2:$Z$500,0)),"")</f>
        <v/>
      </c>
      <c r="V254" s="4" t="str">
        <f>IFERROR(INDEX(样本到样信息汇总统计!V$2:V$500,MATCH(253,样本到样信息汇总统计!$Z$2:$Z$500,0)),"")</f>
        <v/>
      </c>
      <c r="W254" s="4" t="str">
        <f>IFERROR(INDEX(样本到样信息汇总统计!W$2:W$500,MATCH(253,样本到样信息汇总统计!$Z$2:$Z$500,0)),"")</f>
        <v/>
      </c>
    </row>
    <row r="255" ht="14.5" spans="1:23">
      <c r="A255" s="8" t="str">
        <f>IFERROR(INDEX(样本到样信息汇总统计!A$2:A$500,MATCH(254,样本到样信息汇总统计!$Z$2:$Z$500,0)),"")</f>
        <v/>
      </c>
      <c r="B255" s="8" t="str">
        <f>IFERROR(INDEX(样本到样信息汇总统计!B$2:B$500,MATCH(254,样本到样信息汇总统计!$Z$2:$Z$500,0)),"")</f>
        <v/>
      </c>
      <c r="C255" s="8" t="str">
        <f>IFERROR(INDEX(样本到样信息汇总统计!C$2:C$500,MATCH(254,样本到样信息汇总统计!$Z$2:$Z$500,0)),"")</f>
        <v/>
      </c>
      <c r="D255" s="8" t="str">
        <f>IFERROR(INDEX(样本到样信息汇总统计!D$2:D$500,MATCH(254,样本到样信息汇总统计!$Z$2:$Z$500,0)),"")</f>
        <v/>
      </c>
      <c r="E255" s="8" t="str">
        <f>IFERROR(INDEX(样本到样信息汇总统计!E$2:E$500,MATCH(254,样本到样信息汇总统计!$Z$2:$Z$500,0)),"")</f>
        <v/>
      </c>
      <c r="F255" s="8" t="str">
        <f>IFERROR(INDEX(样本到样信息汇总统计!F$2:F$500,MATCH(254,样本到样信息汇总统计!$Z$2:$Z$500,0)),"")</f>
        <v/>
      </c>
      <c r="G255" s="8" t="str">
        <f>IFERROR(INDEX(样本到样信息汇总统计!G$2:G$500,MATCH(254,样本到样信息汇总统计!$Z$2:$Z$500,0)),"")</f>
        <v/>
      </c>
      <c r="H255" s="8" t="str">
        <f>IFERROR(INDEX(样本到样信息汇总统计!H$2:H$500,MATCH(254,样本到样信息汇总统计!$Z$2:$Z$500,0)),"")</f>
        <v/>
      </c>
      <c r="I255" s="8" t="str">
        <f>IFERROR(INDEX(样本到样信息汇总统计!I$2:I$500,MATCH(254,样本到样信息汇总统计!$Z$2:$Z$500,0)),"")</f>
        <v/>
      </c>
      <c r="J255" s="8" t="str">
        <f>IFERROR(INDEX(样本到样信息汇总统计!J$2:J$500,MATCH(254,样本到样信息汇总统计!$Z$2:$Z$500,0)),"")</f>
        <v/>
      </c>
      <c r="K255" s="8" t="str">
        <f>IFERROR(INDEX(样本到样信息汇总统计!K$2:K$500,MATCH(254,样本到样信息汇总统计!$Z$2:$Z$500,0)),"")</f>
        <v/>
      </c>
      <c r="L255" s="8" t="str">
        <f>IFERROR(INDEX(样本到样信息汇总统计!L$2:L$500,MATCH(254,样本到样信息汇总统计!$Z$2:$Z$500,0)),"")</f>
        <v/>
      </c>
      <c r="M255" s="8" t="str">
        <f>IFERROR(INDEX(样本到样信息汇总统计!M$2:M$500,MATCH(254,样本到样信息汇总统计!$Z$2:$Z$500,0)),"")</f>
        <v/>
      </c>
      <c r="N255" s="8" t="str">
        <f>IFERROR(INDEX(样本到样信息汇总统计!N$2:N$500,MATCH(254,样本到样信息汇总统计!$Z$2:$Z$500,0)),"")</f>
        <v/>
      </c>
      <c r="O255" s="8" t="str">
        <f>IFERROR(INDEX(样本到样信息汇总统计!O$2:O$500,MATCH(254,样本到样信息汇总统计!$Z$2:$Z$500,0)),"")</f>
        <v/>
      </c>
      <c r="P255" s="8" t="str">
        <f>IFERROR(INDEX(样本到样信息汇总统计!P$2:P$500,MATCH(254,样本到样信息汇总统计!$Z$2:$Z$500,0)),"")</f>
        <v/>
      </c>
      <c r="Q255" s="8" t="str">
        <f>IFERROR(INDEX(样本到样信息汇总统计!Q$2:Q$500,MATCH(254,样本到样信息汇总统计!$Z$2:$Z$500,0)),"")</f>
        <v/>
      </c>
      <c r="R255" s="8" t="str">
        <f>IFERROR(INDEX(样本到样信息汇总统计!R$2:R$500,MATCH(254,样本到样信息汇总统计!$Z$2:$Z$500,0)),"")</f>
        <v/>
      </c>
      <c r="S255" s="8" t="str">
        <f>IFERROR(INDEX(样本到样信息汇总统计!S$2:S$500,MATCH(254,样本到样信息汇总统计!$Z$2:$Z$500,0)),"")</f>
        <v/>
      </c>
      <c r="T255" s="8" t="str">
        <f>IFERROR(INDEX(样本到样信息汇总统计!T$2:T$500,MATCH(254,样本到样信息汇总统计!$Z$2:$Z$500,0)),"")</f>
        <v/>
      </c>
      <c r="U255" s="8" t="str">
        <f>IFERROR(INDEX(样本到样信息汇总统计!U$2:U$500,MATCH(254,样本到样信息汇总统计!$Z$2:$Z$500,0)),"")</f>
        <v/>
      </c>
      <c r="V255" s="8" t="str">
        <f>IFERROR(INDEX(样本到样信息汇总统计!V$2:V$500,MATCH(254,样本到样信息汇总统计!$Z$2:$Z$500,0)),"")</f>
        <v/>
      </c>
      <c r="W255" s="8" t="str">
        <f>IFERROR(INDEX(样本到样信息汇总统计!W$2:W$500,MATCH(254,样本到样信息汇总统计!$Z$2:$Z$500,0)),"")</f>
        <v/>
      </c>
    </row>
    <row r="256" ht="14.5" spans="1:23">
      <c r="A256" s="4" t="str">
        <f>IFERROR(INDEX(样本到样信息汇总统计!A$2:A$500,MATCH(255,样本到样信息汇总统计!$Z$2:$Z$500,0)),"")</f>
        <v/>
      </c>
      <c r="B256" s="4" t="str">
        <f>IFERROR(INDEX(样本到样信息汇总统计!B$2:B$500,MATCH(255,样本到样信息汇总统计!$Z$2:$Z$500,0)),"")</f>
        <v/>
      </c>
      <c r="C256" s="4" t="str">
        <f>IFERROR(INDEX(样本到样信息汇总统计!C$2:C$500,MATCH(255,样本到样信息汇总统计!$Z$2:$Z$500,0)),"")</f>
        <v/>
      </c>
      <c r="D256" s="4" t="str">
        <f>IFERROR(INDEX(样本到样信息汇总统计!D$2:D$500,MATCH(255,样本到样信息汇总统计!$Z$2:$Z$500,0)),"")</f>
        <v/>
      </c>
      <c r="E256" s="4" t="str">
        <f>IFERROR(INDEX(样本到样信息汇总统计!E$2:E$500,MATCH(255,样本到样信息汇总统计!$Z$2:$Z$500,0)),"")</f>
        <v/>
      </c>
      <c r="F256" s="4" t="str">
        <f>IFERROR(INDEX(样本到样信息汇总统计!F$2:F$500,MATCH(255,样本到样信息汇总统计!$Z$2:$Z$500,0)),"")</f>
        <v/>
      </c>
      <c r="G256" s="4" t="str">
        <f>IFERROR(INDEX(样本到样信息汇总统计!G$2:G$500,MATCH(255,样本到样信息汇总统计!$Z$2:$Z$500,0)),"")</f>
        <v/>
      </c>
      <c r="H256" s="4" t="str">
        <f>IFERROR(INDEX(样本到样信息汇总统计!H$2:H$500,MATCH(255,样本到样信息汇总统计!$Z$2:$Z$500,0)),"")</f>
        <v/>
      </c>
      <c r="I256" s="4" t="str">
        <f>IFERROR(INDEX(样本到样信息汇总统计!I$2:I$500,MATCH(255,样本到样信息汇总统计!$Z$2:$Z$500,0)),"")</f>
        <v/>
      </c>
      <c r="J256" s="4" t="str">
        <f>IFERROR(INDEX(样本到样信息汇总统计!J$2:J$500,MATCH(255,样本到样信息汇总统计!$Z$2:$Z$500,0)),"")</f>
        <v/>
      </c>
      <c r="K256" s="4" t="str">
        <f>IFERROR(INDEX(样本到样信息汇总统计!K$2:K$500,MATCH(255,样本到样信息汇总统计!$Z$2:$Z$500,0)),"")</f>
        <v/>
      </c>
      <c r="L256" s="4" t="str">
        <f>IFERROR(INDEX(样本到样信息汇总统计!L$2:L$500,MATCH(255,样本到样信息汇总统计!$Z$2:$Z$500,0)),"")</f>
        <v/>
      </c>
      <c r="M256" s="4" t="str">
        <f>IFERROR(INDEX(样本到样信息汇总统计!M$2:M$500,MATCH(255,样本到样信息汇总统计!$Z$2:$Z$500,0)),"")</f>
        <v/>
      </c>
      <c r="N256" s="4" t="str">
        <f>IFERROR(INDEX(样本到样信息汇总统计!N$2:N$500,MATCH(255,样本到样信息汇总统计!$Z$2:$Z$500,0)),"")</f>
        <v/>
      </c>
      <c r="O256" s="4" t="str">
        <f>IFERROR(INDEX(样本到样信息汇总统计!O$2:O$500,MATCH(255,样本到样信息汇总统计!$Z$2:$Z$500,0)),"")</f>
        <v/>
      </c>
      <c r="P256" s="4" t="str">
        <f>IFERROR(INDEX(样本到样信息汇总统计!P$2:P$500,MATCH(255,样本到样信息汇总统计!$Z$2:$Z$500,0)),"")</f>
        <v/>
      </c>
      <c r="Q256" s="4" t="str">
        <f>IFERROR(INDEX(样本到样信息汇总统计!Q$2:Q$500,MATCH(255,样本到样信息汇总统计!$Z$2:$Z$500,0)),"")</f>
        <v/>
      </c>
      <c r="R256" s="4" t="str">
        <f>IFERROR(INDEX(样本到样信息汇总统计!R$2:R$500,MATCH(255,样本到样信息汇总统计!$Z$2:$Z$500,0)),"")</f>
        <v/>
      </c>
      <c r="S256" s="4" t="str">
        <f>IFERROR(INDEX(样本到样信息汇总统计!S$2:S$500,MATCH(255,样本到样信息汇总统计!$Z$2:$Z$500,0)),"")</f>
        <v/>
      </c>
      <c r="T256" s="4" t="str">
        <f>IFERROR(INDEX(样本到样信息汇总统计!T$2:T$500,MATCH(255,样本到样信息汇总统计!$Z$2:$Z$500,0)),"")</f>
        <v/>
      </c>
      <c r="U256" s="4" t="str">
        <f>IFERROR(INDEX(样本到样信息汇总统计!U$2:U$500,MATCH(255,样本到样信息汇总统计!$Z$2:$Z$500,0)),"")</f>
        <v/>
      </c>
      <c r="V256" s="4" t="str">
        <f>IFERROR(INDEX(样本到样信息汇总统计!V$2:V$500,MATCH(255,样本到样信息汇总统计!$Z$2:$Z$500,0)),"")</f>
        <v/>
      </c>
      <c r="W256" s="4" t="str">
        <f>IFERROR(INDEX(样本到样信息汇总统计!W$2:W$500,MATCH(255,样本到样信息汇总统计!$Z$2:$Z$500,0)),"")</f>
        <v/>
      </c>
    </row>
    <row r="257" ht="14.5" spans="1:23">
      <c r="A257" s="8" t="str">
        <f>IFERROR(INDEX(样本到样信息汇总统计!A$2:A$500,MATCH(256,样本到样信息汇总统计!$Z$2:$Z$500,0)),"")</f>
        <v/>
      </c>
      <c r="B257" s="8" t="str">
        <f>IFERROR(INDEX(样本到样信息汇总统计!B$2:B$500,MATCH(256,样本到样信息汇总统计!$Z$2:$Z$500,0)),"")</f>
        <v/>
      </c>
      <c r="C257" s="8" t="str">
        <f>IFERROR(INDEX(样本到样信息汇总统计!C$2:C$500,MATCH(256,样本到样信息汇总统计!$Z$2:$Z$500,0)),"")</f>
        <v/>
      </c>
      <c r="D257" s="8" t="str">
        <f>IFERROR(INDEX(样本到样信息汇总统计!D$2:D$500,MATCH(256,样本到样信息汇总统计!$Z$2:$Z$500,0)),"")</f>
        <v/>
      </c>
      <c r="E257" s="8" t="str">
        <f>IFERROR(INDEX(样本到样信息汇总统计!E$2:E$500,MATCH(256,样本到样信息汇总统计!$Z$2:$Z$500,0)),"")</f>
        <v/>
      </c>
      <c r="F257" s="8" t="str">
        <f>IFERROR(INDEX(样本到样信息汇总统计!F$2:F$500,MATCH(256,样本到样信息汇总统计!$Z$2:$Z$500,0)),"")</f>
        <v/>
      </c>
      <c r="G257" s="8" t="str">
        <f>IFERROR(INDEX(样本到样信息汇总统计!G$2:G$500,MATCH(256,样本到样信息汇总统计!$Z$2:$Z$500,0)),"")</f>
        <v/>
      </c>
      <c r="H257" s="8" t="str">
        <f>IFERROR(INDEX(样本到样信息汇总统计!H$2:H$500,MATCH(256,样本到样信息汇总统计!$Z$2:$Z$500,0)),"")</f>
        <v/>
      </c>
      <c r="I257" s="8" t="str">
        <f>IFERROR(INDEX(样本到样信息汇总统计!I$2:I$500,MATCH(256,样本到样信息汇总统计!$Z$2:$Z$500,0)),"")</f>
        <v/>
      </c>
      <c r="J257" s="8" t="str">
        <f>IFERROR(INDEX(样本到样信息汇总统计!J$2:J$500,MATCH(256,样本到样信息汇总统计!$Z$2:$Z$500,0)),"")</f>
        <v/>
      </c>
      <c r="K257" s="8" t="str">
        <f>IFERROR(INDEX(样本到样信息汇总统计!K$2:K$500,MATCH(256,样本到样信息汇总统计!$Z$2:$Z$500,0)),"")</f>
        <v/>
      </c>
      <c r="L257" s="8" t="str">
        <f>IFERROR(INDEX(样本到样信息汇总统计!L$2:L$500,MATCH(256,样本到样信息汇总统计!$Z$2:$Z$500,0)),"")</f>
        <v/>
      </c>
      <c r="M257" s="8" t="str">
        <f>IFERROR(INDEX(样本到样信息汇总统计!M$2:M$500,MATCH(256,样本到样信息汇总统计!$Z$2:$Z$500,0)),"")</f>
        <v/>
      </c>
      <c r="N257" s="8" t="str">
        <f>IFERROR(INDEX(样本到样信息汇总统计!N$2:N$500,MATCH(256,样本到样信息汇总统计!$Z$2:$Z$500,0)),"")</f>
        <v/>
      </c>
      <c r="O257" s="8" t="str">
        <f>IFERROR(INDEX(样本到样信息汇总统计!O$2:O$500,MATCH(256,样本到样信息汇总统计!$Z$2:$Z$500,0)),"")</f>
        <v/>
      </c>
      <c r="P257" s="8" t="str">
        <f>IFERROR(INDEX(样本到样信息汇总统计!P$2:P$500,MATCH(256,样本到样信息汇总统计!$Z$2:$Z$500,0)),"")</f>
        <v/>
      </c>
      <c r="Q257" s="8" t="str">
        <f>IFERROR(INDEX(样本到样信息汇总统计!Q$2:Q$500,MATCH(256,样本到样信息汇总统计!$Z$2:$Z$500,0)),"")</f>
        <v/>
      </c>
      <c r="R257" s="8" t="str">
        <f>IFERROR(INDEX(样本到样信息汇总统计!R$2:R$500,MATCH(256,样本到样信息汇总统计!$Z$2:$Z$500,0)),"")</f>
        <v/>
      </c>
      <c r="S257" s="8" t="str">
        <f>IFERROR(INDEX(样本到样信息汇总统计!S$2:S$500,MATCH(256,样本到样信息汇总统计!$Z$2:$Z$500,0)),"")</f>
        <v/>
      </c>
      <c r="T257" s="8" t="str">
        <f>IFERROR(INDEX(样本到样信息汇总统计!T$2:T$500,MATCH(256,样本到样信息汇总统计!$Z$2:$Z$500,0)),"")</f>
        <v/>
      </c>
      <c r="U257" s="8" t="str">
        <f>IFERROR(INDEX(样本到样信息汇总统计!U$2:U$500,MATCH(256,样本到样信息汇总统计!$Z$2:$Z$500,0)),"")</f>
        <v/>
      </c>
      <c r="V257" s="8" t="str">
        <f>IFERROR(INDEX(样本到样信息汇总统计!V$2:V$500,MATCH(256,样本到样信息汇总统计!$Z$2:$Z$500,0)),"")</f>
        <v/>
      </c>
      <c r="W257" s="8" t="str">
        <f>IFERROR(INDEX(样本到样信息汇总统计!W$2:W$500,MATCH(256,样本到样信息汇总统计!$Z$2:$Z$500,0)),"")</f>
        <v/>
      </c>
    </row>
    <row r="258" ht="14.5" spans="1:23">
      <c r="A258" s="4" t="str">
        <f>IFERROR(INDEX(样本到样信息汇总统计!A$2:A$500,MATCH(257,样本到样信息汇总统计!$Z$2:$Z$500,0)),"")</f>
        <v/>
      </c>
      <c r="B258" s="4" t="str">
        <f>IFERROR(INDEX(样本到样信息汇总统计!B$2:B$500,MATCH(257,样本到样信息汇总统计!$Z$2:$Z$500,0)),"")</f>
        <v/>
      </c>
      <c r="C258" s="4" t="str">
        <f>IFERROR(INDEX(样本到样信息汇总统计!C$2:C$500,MATCH(257,样本到样信息汇总统计!$Z$2:$Z$500,0)),"")</f>
        <v/>
      </c>
      <c r="D258" s="4" t="str">
        <f>IFERROR(INDEX(样本到样信息汇总统计!D$2:D$500,MATCH(257,样本到样信息汇总统计!$Z$2:$Z$500,0)),"")</f>
        <v/>
      </c>
      <c r="E258" s="4" t="str">
        <f>IFERROR(INDEX(样本到样信息汇总统计!E$2:E$500,MATCH(257,样本到样信息汇总统计!$Z$2:$Z$500,0)),"")</f>
        <v/>
      </c>
      <c r="F258" s="4" t="str">
        <f>IFERROR(INDEX(样本到样信息汇总统计!F$2:F$500,MATCH(257,样本到样信息汇总统计!$Z$2:$Z$500,0)),"")</f>
        <v/>
      </c>
      <c r="G258" s="4" t="str">
        <f>IFERROR(INDEX(样本到样信息汇总统计!G$2:G$500,MATCH(257,样本到样信息汇总统计!$Z$2:$Z$500,0)),"")</f>
        <v/>
      </c>
      <c r="H258" s="4" t="str">
        <f>IFERROR(INDEX(样本到样信息汇总统计!H$2:H$500,MATCH(257,样本到样信息汇总统计!$Z$2:$Z$500,0)),"")</f>
        <v/>
      </c>
      <c r="I258" s="4" t="str">
        <f>IFERROR(INDEX(样本到样信息汇总统计!I$2:I$500,MATCH(257,样本到样信息汇总统计!$Z$2:$Z$500,0)),"")</f>
        <v/>
      </c>
      <c r="J258" s="4" t="str">
        <f>IFERROR(INDEX(样本到样信息汇总统计!J$2:J$500,MATCH(257,样本到样信息汇总统计!$Z$2:$Z$500,0)),"")</f>
        <v/>
      </c>
      <c r="K258" s="4" t="str">
        <f>IFERROR(INDEX(样本到样信息汇总统计!K$2:K$500,MATCH(257,样本到样信息汇总统计!$Z$2:$Z$500,0)),"")</f>
        <v/>
      </c>
      <c r="L258" s="4" t="str">
        <f>IFERROR(INDEX(样本到样信息汇总统计!L$2:L$500,MATCH(257,样本到样信息汇总统计!$Z$2:$Z$500,0)),"")</f>
        <v/>
      </c>
      <c r="M258" s="4" t="str">
        <f>IFERROR(INDEX(样本到样信息汇总统计!M$2:M$500,MATCH(257,样本到样信息汇总统计!$Z$2:$Z$500,0)),"")</f>
        <v/>
      </c>
      <c r="N258" s="4" t="str">
        <f>IFERROR(INDEX(样本到样信息汇总统计!N$2:N$500,MATCH(257,样本到样信息汇总统计!$Z$2:$Z$500,0)),"")</f>
        <v/>
      </c>
      <c r="O258" s="4" t="str">
        <f>IFERROR(INDEX(样本到样信息汇总统计!O$2:O$500,MATCH(257,样本到样信息汇总统计!$Z$2:$Z$500,0)),"")</f>
        <v/>
      </c>
      <c r="P258" s="4" t="str">
        <f>IFERROR(INDEX(样本到样信息汇总统计!P$2:P$500,MATCH(257,样本到样信息汇总统计!$Z$2:$Z$500,0)),"")</f>
        <v/>
      </c>
      <c r="Q258" s="4" t="str">
        <f>IFERROR(INDEX(样本到样信息汇总统计!Q$2:Q$500,MATCH(257,样本到样信息汇总统计!$Z$2:$Z$500,0)),"")</f>
        <v/>
      </c>
      <c r="R258" s="4" t="str">
        <f>IFERROR(INDEX(样本到样信息汇总统计!R$2:R$500,MATCH(257,样本到样信息汇总统计!$Z$2:$Z$500,0)),"")</f>
        <v/>
      </c>
      <c r="S258" s="4" t="str">
        <f>IFERROR(INDEX(样本到样信息汇总统计!S$2:S$500,MATCH(257,样本到样信息汇总统计!$Z$2:$Z$500,0)),"")</f>
        <v/>
      </c>
      <c r="T258" s="4" t="str">
        <f>IFERROR(INDEX(样本到样信息汇总统计!T$2:T$500,MATCH(257,样本到样信息汇总统计!$Z$2:$Z$500,0)),"")</f>
        <v/>
      </c>
      <c r="U258" s="4" t="str">
        <f>IFERROR(INDEX(样本到样信息汇总统计!U$2:U$500,MATCH(257,样本到样信息汇总统计!$Z$2:$Z$500,0)),"")</f>
        <v/>
      </c>
      <c r="V258" s="4" t="str">
        <f>IFERROR(INDEX(样本到样信息汇总统计!V$2:V$500,MATCH(257,样本到样信息汇总统计!$Z$2:$Z$500,0)),"")</f>
        <v/>
      </c>
      <c r="W258" s="4" t="str">
        <f>IFERROR(INDEX(样本到样信息汇总统计!W$2:W$500,MATCH(257,样本到样信息汇总统计!$Z$2:$Z$500,0)),"")</f>
        <v/>
      </c>
    </row>
    <row r="259" ht="14.5" spans="1:23">
      <c r="A259" s="8" t="str">
        <f>IFERROR(INDEX(样本到样信息汇总统计!A$2:A$500,MATCH(258,样本到样信息汇总统计!$Z$2:$Z$500,0)),"")</f>
        <v/>
      </c>
      <c r="B259" s="8" t="str">
        <f>IFERROR(INDEX(样本到样信息汇总统计!B$2:B$500,MATCH(258,样本到样信息汇总统计!$Z$2:$Z$500,0)),"")</f>
        <v/>
      </c>
      <c r="C259" s="8" t="str">
        <f>IFERROR(INDEX(样本到样信息汇总统计!C$2:C$500,MATCH(258,样本到样信息汇总统计!$Z$2:$Z$500,0)),"")</f>
        <v/>
      </c>
      <c r="D259" s="8" t="str">
        <f>IFERROR(INDEX(样本到样信息汇总统计!D$2:D$500,MATCH(258,样本到样信息汇总统计!$Z$2:$Z$500,0)),"")</f>
        <v/>
      </c>
      <c r="E259" s="8" t="str">
        <f>IFERROR(INDEX(样本到样信息汇总统计!E$2:E$500,MATCH(258,样本到样信息汇总统计!$Z$2:$Z$500,0)),"")</f>
        <v/>
      </c>
      <c r="F259" s="8" t="str">
        <f>IFERROR(INDEX(样本到样信息汇总统计!F$2:F$500,MATCH(258,样本到样信息汇总统计!$Z$2:$Z$500,0)),"")</f>
        <v/>
      </c>
      <c r="G259" s="8" t="str">
        <f>IFERROR(INDEX(样本到样信息汇总统计!G$2:G$500,MATCH(258,样本到样信息汇总统计!$Z$2:$Z$500,0)),"")</f>
        <v/>
      </c>
      <c r="H259" s="8" t="str">
        <f>IFERROR(INDEX(样本到样信息汇总统计!H$2:H$500,MATCH(258,样本到样信息汇总统计!$Z$2:$Z$500,0)),"")</f>
        <v/>
      </c>
      <c r="I259" s="8" t="str">
        <f>IFERROR(INDEX(样本到样信息汇总统计!I$2:I$500,MATCH(258,样本到样信息汇总统计!$Z$2:$Z$500,0)),"")</f>
        <v/>
      </c>
      <c r="J259" s="8" t="str">
        <f>IFERROR(INDEX(样本到样信息汇总统计!J$2:J$500,MATCH(258,样本到样信息汇总统计!$Z$2:$Z$500,0)),"")</f>
        <v/>
      </c>
      <c r="K259" s="8" t="str">
        <f>IFERROR(INDEX(样本到样信息汇总统计!K$2:K$500,MATCH(258,样本到样信息汇总统计!$Z$2:$Z$500,0)),"")</f>
        <v/>
      </c>
      <c r="L259" s="8" t="str">
        <f>IFERROR(INDEX(样本到样信息汇总统计!L$2:L$500,MATCH(258,样本到样信息汇总统计!$Z$2:$Z$500,0)),"")</f>
        <v/>
      </c>
      <c r="M259" s="8" t="str">
        <f>IFERROR(INDEX(样本到样信息汇总统计!M$2:M$500,MATCH(258,样本到样信息汇总统计!$Z$2:$Z$500,0)),"")</f>
        <v/>
      </c>
      <c r="N259" s="8" t="str">
        <f>IFERROR(INDEX(样本到样信息汇总统计!N$2:N$500,MATCH(258,样本到样信息汇总统计!$Z$2:$Z$500,0)),"")</f>
        <v/>
      </c>
      <c r="O259" s="8" t="str">
        <f>IFERROR(INDEX(样本到样信息汇总统计!O$2:O$500,MATCH(258,样本到样信息汇总统计!$Z$2:$Z$500,0)),"")</f>
        <v/>
      </c>
      <c r="P259" s="8" t="str">
        <f>IFERROR(INDEX(样本到样信息汇总统计!P$2:P$500,MATCH(258,样本到样信息汇总统计!$Z$2:$Z$500,0)),"")</f>
        <v/>
      </c>
      <c r="Q259" s="8" t="str">
        <f>IFERROR(INDEX(样本到样信息汇总统计!Q$2:Q$500,MATCH(258,样本到样信息汇总统计!$Z$2:$Z$500,0)),"")</f>
        <v/>
      </c>
      <c r="R259" s="8" t="str">
        <f>IFERROR(INDEX(样本到样信息汇总统计!R$2:R$500,MATCH(258,样本到样信息汇总统计!$Z$2:$Z$500,0)),"")</f>
        <v/>
      </c>
      <c r="S259" s="8" t="str">
        <f>IFERROR(INDEX(样本到样信息汇总统计!S$2:S$500,MATCH(258,样本到样信息汇总统计!$Z$2:$Z$500,0)),"")</f>
        <v/>
      </c>
      <c r="T259" s="8" t="str">
        <f>IFERROR(INDEX(样本到样信息汇总统计!T$2:T$500,MATCH(258,样本到样信息汇总统计!$Z$2:$Z$500,0)),"")</f>
        <v/>
      </c>
      <c r="U259" s="8" t="str">
        <f>IFERROR(INDEX(样本到样信息汇总统计!U$2:U$500,MATCH(258,样本到样信息汇总统计!$Z$2:$Z$500,0)),"")</f>
        <v/>
      </c>
      <c r="V259" s="8" t="str">
        <f>IFERROR(INDEX(样本到样信息汇总统计!V$2:V$500,MATCH(258,样本到样信息汇总统计!$Z$2:$Z$500,0)),"")</f>
        <v/>
      </c>
      <c r="W259" s="8" t="str">
        <f>IFERROR(INDEX(样本到样信息汇总统计!W$2:W$500,MATCH(258,样本到样信息汇总统计!$Z$2:$Z$500,0)),"")</f>
        <v/>
      </c>
    </row>
    <row r="260" ht="14.5" spans="1:23">
      <c r="A260" s="4" t="str">
        <f>IFERROR(INDEX(样本到样信息汇总统计!A$2:A$500,MATCH(259,样本到样信息汇总统计!$Z$2:$Z$500,0)),"")</f>
        <v/>
      </c>
      <c r="B260" s="4" t="str">
        <f>IFERROR(INDEX(样本到样信息汇总统计!B$2:B$500,MATCH(259,样本到样信息汇总统计!$Z$2:$Z$500,0)),"")</f>
        <v/>
      </c>
      <c r="C260" s="4" t="str">
        <f>IFERROR(INDEX(样本到样信息汇总统计!C$2:C$500,MATCH(259,样本到样信息汇总统计!$Z$2:$Z$500,0)),"")</f>
        <v/>
      </c>
      <c r="D260" s="4" t="str">
        <f>IFERROR(INDEX(样本到样信息汇总统计!D$2:D$500,MATCH(259,样本到样信息汇总统计!$Z$2:$Z$500,0)),"")</f>
        <v/>
      </c>
      <c r="E260" s="4" t="str">
        <f>IFERROR(INDEX(样本到样信息汇总统计!E$2:E$500,MATCH(259,样本到样信息汇总统计!$Z$2:$Z$500,0)),"")</f>
        <v/>
      </c>
      <c r="F260" s="4" t="str">
        <f>IFERROR(INDEX(样本到样信息汇总统计!F$2:F$500,MATCH(259,样本到样信息汇总统计!$Z$2:$Z$500,0)),"")</f>
        <v/>
      </c>
      <c r="G260" s="4" t="str">
        <f>IFERROR(INDEX(样本到样信息汇总统计!G$2:G$500,MATCH(259,样本到样信息汇总统计!$Z$2:$Z$500,0)),"")</f>
        <v/>
      </c>
      <c r="H260" s="4" t="str">
        <f>IFERROR(INDEX(样本到样信息汇总统计!H$2:H$500,MATCH(259,样本到样信息汇总统计!$Z$2:$Z$500,0)),"")</f>
        <v/>
      </c>
      <c r="I260" s="4" t="str">
        <f>IFERROR(INDEX(样本到样信息汇总统计!I$2:I$500,MATCH(259,样本到样信息汇总统计!$Z$2:$Z$500,0)),"")</f>
        <v/>
      </c>
      <c r="J260" s="4" t="str">
        <f>IFERROR(INDEX(样本到样信息汇总统计!J$2:J$500,MATCH(259,样本到样信息汇总统计!$Z$2:$Z$500,0)),"")</f>
        <v/>
      </c>
      <c r="K260" s="4" t="str">
        <f>IFERROR(INDEX(样本到样信息汇总统计!K$2:K$500,MATCH(259,样本到样信息汇总统计!$Z$2:$Z$500,0)),"")</f>
        <v/>
      </c>
      <c r="L260" s="4" t="str">
        <f>IFERROR(INDEX(样本到样信息汇总统计!L$2:L$500,MATCH(259,样本到样信息汇总统计!$Z$2:$Z$500,0)),"")</f>
        <v/>
      </c>
      <c r="M260" s="4" t="str">
        <f>IFERROR(INDEX(样本到样信息汇总统计!M$2:M$500,MATCH(259,样本到样信息汇总统计!$Z$2:$Z$500,0)),"")</f>
        <v/>
      </c>
      <c r="N260" s="4" t="str">
        <f>IFERROR(INDEX(样本到样信息汇总统计!N$2:N$500,MATCH(259,样本到样信息汇总统计!$Z$2:$Z$500,0)),"")</f>
        <v/>
      </c>
      <c r="O260" s="4" t="str">
        <f>IFERROR(INDEX(样本到样信息汇总统计!O$2:O$500,MATCH(259,样本到样信息汇总统计!$Z$2:$Z$500,0)),"")</f>
        <v/>
      </c>
      <c r="P260" s="4" t="str">
        <f>IFERROR(INDEX(样本到样信息汇总统计!P$2:P$500,MATCH(259,样本到样信息汇总统计!$Z$2:$Z$500,0)),"")</f>
        <v/>
      </c>
      <c r="Q260" s="4" t="str">
        <f>IFERROR(INDEX(样本到样信息汇总统计!Q$2:Q$500,MATCH(259,样本到样信息汇总统计!$Z$2:$Z$500,0)),"")</f>
        <v/>
      </c>
      <c r="R260" s="4" t="str">
        <f>IFERROR(INDEX(样本到样信息汇总统计!R$2:R$500,MATCH(259,样本到样信息汇总统计!$Z$2:$Z$500,0)),"")</f>
        <v/>
      </c>
      <c r="S260" s="4" t="str">
        <f>IFERROR(INDEX(样本到样信息汇总统计!S$2:S$500,MATCH(259,样本到样信息汇总统计!$Z$2:$Z$500,0)),"")</f>
        <v/>
      </c>
      <c r="T260" s="4" t="str">
        <f>IFERROR(INDEX(样本到样信息汇总统计!T$2:T$500,MATCH(259,样本到样信息汇总统计!$Z$2:$Z$500,0)),"")</f>
        <v/>
      </c>
      <c r="U260" s="4" t="str">
        <f>IFERROR(INDEX(样本到样信息汇总统计!U$2:U$500,MATCH(259,样本到样信息汇总统计!$Z$2:$Z$500,0)),"")</f>
        <v/>
      </c>
      <c r="V260" s="4" t="str">
        <f>IFERROR(INDEX(样本到样信息汇总统计!V$2:V$500,MATCH(259,样本到样信息汇总统计!$Z$2:$Z$500,0)),"")</f>
        <v/>
      </c>
      <c r="W260" s="4" t="str">
        <f>IFERROR(INDEX(样本到样信息汇总统计!W$2:W$500,MATCH(259,样本到样信息汇总统计!$Z$2:$Z$500,0)),"")</f>
        <v/>
      </c>
    </row>
    <row r="261" ht="14.5" spans="1:23">
      <c r="A261" s="8" t="str">
        <f>IFERROR(INDEX(样本到样信息汇总统计!A$2:A$500,MATCH(260,样本到样信息汇总统计!$Z$2:$Z$500,0)),"")</f>
        <v/>
      </c>
      <c r="B261" s="8" t="str">
        <f>IFERROR(INDEX(样本到样信息汇总统计!B$2:B$500,MATCH(260,样本到样信息汇总统计!$Z$2:$Z$500,0)),"")</f>
        <v/>
      </c>
      <c r="C261" s="8" t="str">
        <f>IFERROR(INDEX(样本到样信息汇总统计!C$2:C$500,MATCH(260,样本到样信息汇总统计!$Z$2:$Z$500,0)),"")</f>
        <v/>
      </c>
      <c r="D261" s="8" t="str">
        <f>IFERROR(INDEX(样本到样信息汇总统计!D$2:D$500,MATCH(260,样本到样信息汇总统计!$Z$2:$Z$500,0)),"")</f>
        <v/>
      </c>
      <c r="E261" s="8" t="str">
        <f>IFERROR(INDEX(样本到样信息汇总统计!E$2:E$500,MATCH(260,样本到样信息汇总统计!$Z$2:$Z$500,0)),"")</f>
        <v/>
      </c>
      <c r="F261" s="8" t="str">
        <f>IFERROR(INDEX(样本到样信息汇总统计!F$2:F$500,MATCH(260,样本到样信息汇总统计!$Z$2:$Z$500,0)),"")</f>
        <v/>
      </c>
      <c r="G261" s="8" t="str">
        <f>IFERROR(INDEX(样本到样信息汇总统计!G$2:G$500,MATCH(260,样本到样信息汇总统计!$Z$2:$Z$500,0)),"")</f>
        <v/>
      </c>
      <c r="H261" s="8" t="str">
        <f>IFERROR(INDEX(样本到样信息汇总统计!H$2:H$500,MATCH(260,样本到样信息汇总统计!$Z$2:$Z$500,0)),"")</f>
        <v/>
      </c>
      <c r="I261" s="8" t="str">
        <f>IFERROR(INDEX(样本到样信息汇总统计!I$2:I$500,MATCH(260,样本到样信息汇总统计!$Z$2:$Z$500,0)),"")</f>
        <v/>
      </c>
      <c r="J261" s="8" t="str">
        <f>IFERROR(INDEX(样本到样信息汇总统计!J$2:J$500,MATCH(260,样本到样信息汇总统计!$Z$2:$Z$500,0)),"")</f>
        <v/>
      </c>
      <c r="K261" s="8" t="str">
        <f>IFERROR(INDEX(样本到样信息汇总统计!K$2:K$500,MATCH(260,样本到样信息汇总统计!$Z$2:$Z$500,0)),"")</f>
        <v/>
      </c>
      <c r="L261" s="8" t="str">
        <f>IFERROR(INDEX(样本到样信息汇总统计!L$2:L$500,MATCH(260,样本到样信息汇总统计!$Z$2:$Z$500,0)),"")</f>
        <v/>
      </c>
      <c r="M261" s="8" t="str">
        <f>IFERROR(INDEX(样本到样信息汇总统计!M$2:M$500,MATCH(260,样本到样信息汇总统计!$Z$2:$Z$500,0)),"")</f>
        <v/>
      </c>
      <c r="N261" s="8" t="str">
        <f>IFERROR(INDEX(样本到样信息汇总统计!N$2:N$500,MATCH(260,样本到样信息汇总统计!$Z$2:$Z$500,0)),"")</f>
        <v/>
      </c>
      <c r="O261" s="8" t="str">
        <f>IFERROR(INDEX(样本到样信息汇总统计!O$2:O$500,MATCH(260,样本到样信息汇总统计!$Z$2:$Z$500,0)),"")</f>
        <v/>
      </c>
      <c r="P261" s="8" t="str">
        <f>IFERROR(INDEX(样本到样信息汇总统计!P$2:P$500,MATCH(260,样本到样信息汇总统计!$Z$2:$Z$500,0)),"")</f>
        <v/>
      </c>
      <c r="Q261" s="8" t="str">
        <f>IFERROR(INDEX(样本到样信息汇总统计!Q$2:Q$500,MATCH(260,样本到样信息汇总统计!$Z$2:$Z$500,0)),"")</f>
        <v/>
      </c>
      <c r="R261" s="8" t="str">
        <f>IFERROR(INDEX(样本到样信息汇总统计!R$2:R$500,MATCH(260,样本到样信息汇总统计!$Z$2:$Z$500,0)),"")</f>
        <v/>
      </c>
      <c r="S261" s="8" t="str">
        <f>IFERROR(INDEX(样本到样信息汇总统计!S$2:S$500,MATCH(260,样本到样信息汇总统计!$Z$2:$Z$500,0)),"")</f>
        <v/>
      </c>
      <c r="T261" s="8" t="str">
        <f>IFERROR(INDEX(样本到样信息汇总统计!T$2:T$500,MATCH(260,样本到样信息汇总统计!$Z$2:$Z$500,0)),"")</f>
        <v/>
      </c>
      <c r="U261" s="8" t="str">
        <f>IFERROR(INDEX(样本到样信息汇总统计!U$2:U$500,MATCH(260,样本到样信息汇总统计!$Z$2:$Z$500,0)),"")</f>
        <v/>
      </c>
      <c r="V261" s="8" t="str">
        <f>IFERROR(INDEX(样本到样信息汇总统计!V$2:V$500,MATCH(260,样本到样信息汇总统计!$Z$2:$Z$500,0)),"")</f>
        <v/>
      </c>
      <c r="W261" s="8" t="str">
        <f>IFERROR(INDEX(样本到样信息汇总统计!W$2:W$500,MATCH(260,样本到样信息汇总统计!$Z$2:$Z$500,0)),"")</f>
        <v/>
      </c>
    </row>
    <row r="262" ht="14.5" spans="1:23">
      <c r="A262" s="4" t="str">
        <f>IFERROR(INDEX(样本到样信息汇总统计!A$2:A$500,MATCH(261,样本到样信息汇总统计!$Z$2:$Z$500,0)),"")</f>
        <v/>
      </c>
      <c r="B262" s="4" t="str">
        <f>IFERROR(INDEX(样本到样信息汇总统计!B$2:B$500,MATCH(261,样本到样信息汇总统计!$Z$2:$Z$500,0)),"")</f>
        <v/>
      </c>
      <c r="C262" s="4" t="str">
        <f>IFERROR(INDEX(样本到样信息汇总统计!C$2:C$500,MATCH(261,样本到样信息汇总统计!$Z$2:$Z$500,0)),"")</f>
        <v/>
      </c>
      <c r="D262" s="4" t="str">
        <f>IFERROR(INDEX(样本到样信息汇总统计!D$2:D$500,MATCH(261,样本到样信息汇总统计!$Z$2:$Z$500,0)),"")</f>
        <v/>
      </c>
      <c r="E262" s="4" t="str">
        <f>IFERROR(INDEX(样本到样信息汇总统计!E$2:E$500,MATCH(261,样本到样信息汇总统计!$Z$2:$Z$500,0)),"")</f>
        <v/>
      </c>
      <c r="F262" s="4" t="str">
        <f>IFERROR(INDEX(样本到样信息汇总统计!F$2:F$500,MATCH(261,样本到样信息汇总统计!$Z$2:$Z$500,0)),"")</f>
        <v/>
      </c>
      <c r="G262" s="4" t="str">
        <f>IFERROR(INDEX(样本到样信息汇总统计!G$2:G$500,MATCH(261,样本到样信息汇总统计!$Z$2:$Z$500,0)),"")</f>
        <v/>
      </c>
      <c r="H262" s="4" t="str">
        <f>IFERROR(INDEX(样本到样信息汇总统计!H$2:H$500,MATCH(261,样本到样信息汇总统计!$Z$2:$Z$500,0)),"")</f>
        <v/>
      </c>
      <c r="I262" s="4" t="str">
        <f>IFERROR(INDEX(样本到样信息汇总统计!I$2:I$500,MATCH(261,样本到样信息汇总统计!$Z$2:$Z$500,0)),"")</f>
        <v/>
      </c>
      <c r="J262" s="4" t="str">
        <f>IFERROR(INDEX(样本到样信息汇总统计!J$2:J$500,MATCH(261,样本到样信息汇总统计!$Z$2:$Z$500,0)),"")</f>
        <v/>
      </c>
      <c r="K262" s="4" t="str">
        <f>IFERROR(INDEX(样本到样信息汇总统计!K$2:K$500,MATCH(261,样本到样信息汇总统计!$Z$2:$Z$500,0)),"")</f>
        <v/>
      </c>
      <c r="L262" s="4" t="str">
        <f>IFERROR(INDEX(样本到样信息汇总统计!L$2:L$500,MATCH(261,样本到样信息汇总统计!$Z$2:$Z$500,0)),"")</f>
        <v/>
      </c>
      <c r="M262" s="4" t="str">
        <f>IFERROR(INDEX(样本到样信息汇总统计!M$2:M$500,MATCH(261,样本到样信息汇总统计!$Z$2:$Z$500,0)),"")</f>
        <v/>
      </c>
      <c r="N262" s="4" t="str">
        <f>IFERROR(INDEX(样本到样信息汇总统计!N$2:N$500,MATCH(261,样本到样信息汇总统计!$Z$2:$Z$500,0)),"")</f>
        <v/>
      </c>
      <c r="O262" s="4" t="str">
        <f>IFERROR(INDEX(样本到样信息汇总统计!O$2:O$500,MATCH(261,样本到样信息汇总统计!$Z$2:$Z$500,0)),"")</f>
        <v/>
      </c>
      <c r="P262" s="4" t="str">
        <f>IFERROR(INDEX(样本到样信息汇总统计!P$2:P$500,MATCH(261,样本到样信息汇总统计!$Z$2:$Z$500,0)),"")</f>
        <v/>
      </c>
      <c r="Q262" s="4" t="str">
        <f>IFERROR(INDEX(样本到样信息汇总统计!Q$2:Q$500,MATCH(261,样本到样信息汇总统计!$Z$2:$Z$500,0)),"")</f>
        <v/>
      </c>
      <c r="R262" s="4" t="str">
        <f>IFERROR(INDEX(样本到样信息汇总统计!R$2:R$500,MATCH(261,样本到样信息汇总统计!$Z$2:$Z$500,0)),"")</f>
        <v/>
      </c>
      <c r="S262" s="4" t="str">
        <f>IFERROR(INDEX(样本到样信息汇总统计!S$2:S$500,MATCH(261,样本到样信息汇总统计!$Z$2:$Z$500,0)),"")</f>
        <v/>
      </c>
      <c r="T262" s="4" t="str">
        <f>IFERROR(INDEX(样本到样信息汇总统计!T$2:T$500,MATCH(261,样本到样信息汇总统计!$Z$2:$Z$500,0)),"")</f>
        <v/>
      </c>
      <c r="U262" s="4" t="str">
        <f>IFERROR(INDEX(样本到样信息汇总统计!U$2:U$500,MATCH(261,样本到样信息汇总统计!$Z$2:$Z$500,0)),"")</f>
        <v/>
      </c>
      <c r="V262" s="4" t="str">
        <f>IFERROR(INDEX(样本到样信息汇总统计!V$2:V$500,MATCH(261,样本到样信息汇总统计!$Z$2:$Z$500,0)),"")</f>
        <v/>
      </c>
      <c r="W262" s="4" t="str">
        <f>IFERROR(INDEX(样本到样信息汇总统计!W$2:W$500,MATCH(261,样本到样信息汇总统计!$Z$2:$Z$500,0)),"")</f>
        <v/>
      </c>
    </row>
    <row r="263" ht="14.5" spans="1:23">
      <c r="A263" s="8" t="str">
        <f>IFERROR(INDEX(样本到样信息汇总统计!A$2:A$500,MATCH(262,样本到样信息汇总统计!$Z$2:$Z$500,0)),"")</f>
        <v/>
      </c>
      <c r="B263" s="8" t="str">
        <f>IFERROR(INDEX(样本到样信息汇总统计!B$2:B$500,MATCH(262,样本到样信息汇总统计!$Z$2:$Z$500,0)),"")</f>
        <v/>
      </c>
      <c r="C263" s="8" t="str">
        <f>IFERROR(INDEX(样本到样信息汇总统计!C$2:C$500,MATCH(262,样本到样信息汇总统计!$Z$2:$Z$500,0)),"")</f>
        <v/>
      </c>
      <c r="D263" s="8" t="str">
        <f>IFERROR(INDEX(样本到样信息汇总统计!D$2:D$500,MATCH(262,样本到样信息汇总统计!$Z$2:$Z$500,0)),"")</f>
        <v/>
      </c>
      <c r="E263" s="8" t="str">
        <f>IFERROR(INDEX(样本到样信息汇总统计!E$2:E$500,MATCH(262,样本到样信息汇总统计!$Z$2:$Z$500,0)),"")</f>
        <v/>
      </c>
      <c r="F263" s="8" t="str">
        <f>IFERROR(INDEX(样本到样信息汇总统计!F$2:F$500,MATCH(262,样本到样信息汇总统计!$Z$2:$Z$500,0)),"")</f>
        <v/>
      </c>
      <c r="G263" s="8" t="str">
        <f>IFERROR(INDEX(样本到样信息汇总统计!G$2:G$500,MATCH(262,样本到样信息汇总统计!$Z$2:$Z$500,0)),"")</f>
        <v/>
      </c>
      <c r="H263" s="8" t="str">
        <f>IFERROR(INDEX(样本到样信息汇总统计!H$2:H$500,MATCH(262,样本到样信息汇总统计!$Z$2:$Z$500,0)),"")</f>
        <v/>
      </c>
      <c r="I263" s="8" t="str">
        <f>IFERROR(INDEX(样本到样信息汇总统计!I$2:I$500,MATCH(262,样本到样信息汇总统计!$Z$2:$Z$500,0)),"")</f>
        <v/>
      </c>
      <c r="J263" s="8" t="str">
        <f>IFERROR(INDEX(样本到样信息汇总统计!J$2:J$500,MATCH(262,样本到样信息汇总统计!$Z$2:$Z$500,0)),"")</f>
        <v/>
      </c>
      <c r="K263" s="8" t="str">
        <f>IFERROR(INDEX(样本到样信息汇总统计!K$2:K$500,MATCH(262,样本到样信息汇总统计!$Z$2:$Z$500,0)),"")</f>
        <v/>
      </c>
      <c r="L263" s="8" t="str">
        <f>IFERROR(INDEX(样本到样信息汇总统计!L$2:L$500,MATCH(262,样本到样信息汇总统计!$Z$2:$Z$500,0)),"")</f>
        <v/>
      </c>
      <c r="M263" s="8" t="str">
        <f>IFERROR(INDEX(样本到样信息汇总统计!M$2:M$500,MATCH(262,样本到样信息汇总统计!$Z$2:$Z$500,0)),"")</f>
        <v/>
      </c>
      <c r="N263" s="8" t="str">
        <f>IFERROR(INDEX(样本到样信息汇总统计!N$2:N$500,MATCH(262,样本到样信息汇总统计!$Z$2:$Z$500,0)),"")</f>
        <v/>
      </c>
      <c r="O263" s="8" t="str">
        <f>IFERROR(INDEX(样本到样信息汇总统计!O$2:O$500,MATCH(262,样本到样信息汇总统计!$Z$2:$Z$500,0)),"")</f>
        <v/>
      </c>
      <c r="P263" s="8" t="str">
        <f>IFERROR(INDEX(样本到样信息汇总统计!P$2:P$500,MATCH(262,样本到样信息汇总统计!$Z$2:$Z$500,0)),"")</f>
        <v/>
      </c>
      <c r="Q263" s="8" t="str">
        <f>IFERROR(INDEX(样本到样信息汇总统计!Q$2:Q$500,MATCH(262,样本到样信息汇总统计!$Z$2:$Z$500,0)),"")</f>
        <v/>
      </c>
      <c r="R263" s="8" t="str">
        <f>IFERROR(INDEX(样本到样信息汇总统计!R$2:R$500,MATCH(262,样本到样信息汇总统计!$Z$2:$Z$500,0)),"")</f>
        <v/>
      </c>
      <c r="S263" s="8" t="str">
        <f>IFERROR(INDEX(样本到样信息汇总统计!S$2:S$500,MATCH(262,样本到样信息汇总统计!$Z$2:$Z$500,0)),"")</f>
        <v/>
      </c>
      <c r="T263" s="8" t="str">
        <f>IFERROR(INDEX(样本到样信息汇总统计!T$2:T$500,MATCH(262,样本到样信息汇总统计!$Z$2:$Z$500,0)),"")</f>
        <v/>
      </c>
      <c r="U263" s="8" t="str">
        <f>IFERROR(INDEX(样本到样信息汇总统计!U$2:U$500,MATCH(262,样本到样信息汇总统计!$Z$2:$Z$500,0)),"")</f>
        <v/>
      </c>
      <c r="V263" s="8" t="str">
        <f>IFERROR(INDEX(样本到样信息汇总统计!V$2:V$500,MATCH(262,样本到样信息汇总统计!$Z$2:$Z$500,0)),"")</f>
        <v/>
      </c>
      <c r="W263" s="8" t="str">
        <f>IFERROR(INDEX(样本到样信息汇总统计!W$2:W$500,MATCH(262,样本到样信息汇总统计!$Z$2:$Z$500,0)),"")</f>
        <v/>
      </c>
    </row>
    <row r="264" ht="14.5" spans="1:23">
      <c r="A264" s="4" t="str">
        <f>IFERROR(INDEX(样本到样信息汇总统计!A$2:A$500,MATCH(263,样本到样信息汇总统计!$Z$2:$Z$500,0)),"")</f>
        <v/>
      </c>
      <c r="B264" s="4" t="str">
        <f>IFERROR(INDEX(样本到样信息汇总统计!B$2:B$500,MATCH(263,样本到样信息汇总统计!$Z$2:$Z$500,0)),"")</f>
        <v/>
      </c>
      <c r="C264" s="4" t="str">
        <f>IFERROR(INDEX(样本到样信息汇总统计!C$2:C$500,MATCH(263,样本到样信息汇总统计!$Z$2:$Z$500,0)),"")</f>
        <v/>
      </c>
      <c r="D264" s="4" t="str">
        <f>IFERROR(INDEX(样本到样信息汇总统计!D$2:D$500,MATCH(263,样本到样信息汇总统计!$Z$2:$Z$500,0)),"")</f>
        <v/>
      </c>
      <c r="E264" s="4" t="str">
        <f>IFERROR(INDEX(样本到样信息汇总统计!E$2:E$500,MATCH(263,样本到样信息汇总统计!$Z$2:$Z$500,0)),"")</f>
        <v/>
      </c>
      <c r="F264" s="4" t="str">
        <f>IFERROR(INDEX(样本到样信息汇总统计!F$2:F$500,MATCH(263,样本到样信息汇总统计!$Z$2:$Z$500,0)),"")</f>
        <v/>
      </c>
      <c r="G264" s="4" t="str">
        <f>IFERROR(INDEX(样本到样信息汇总统计!G$2:G$500,MATCH(263,样本到样信息汇总统计!$Z$2:$Z$500,0)),"")</f>
        <v/>
      </c>
      <c r="H264" s="4" t="str">
        <f>IFERROR(INDEX(样本到样信息汇总统计!H$2:H$500,MATCH(263,样本到样信息汇总统计!$Z$2:$Z$500,0)),"")</f>
        <v/>
      </c>
      <c r="I264" s="4" t="str">
        <f>IFERROR(INDEX(样本到样信息汇总统计!I$2:I$500,MATCH(263,样本到样信息汇总统计!$Z$2:$Z$500,0)),"")</f>
        <v/>
      </c>
      <c r="J264" s="4" t="str">
        <f>IFERROR(INDEX(样本到样信息汇总统计!J$2:J$500,MATCH(263,样本到样信息汇总统计!$Z$2:$Z$500,0)),"")</f>
        <v/>
      </c>
      <c r="K264" s="4" t="str">
        <f>IFERROR(INDEX(样本到样信息汇总统计!K$2:K$500,MATCH(263,样本到样信息汇总统计!$Z$2:$Z$500,0)),"")</f>
        <v/>
      </c>
      <c r="L264" s="4" t="str">
        <f>IFERROR(INDEX(样本到样信息汇总统计!L$2:L$500,MATCH(263,样本到样信息汇总统计!$Z$2:$Z$500,0)),"")</f>
        <v/>
      </c>
      <c r="M264" s="4" t="str">
        <f>IFERROR(INDEX(样本到样信息汇总统计!M$2:M$500,MATCH(263,样本到样信息汇总统计!$Z$2:$Z$500,0)),"")</f>
        <v/>
      </c>
      <c r="N264" s="4" t="str">
        <f>IFERROR(INDEX(样本到样信息汇总统计!N$2:N$500,MATCH(263,样本到样信息汇总统计!$Z$2:$Z$500,0)),"")</f>
        <v/>
      </c>
      <c r="O264" s="4" t="str">
        <f>IFERROR(INDEX(样本到样信息汇总统计!O$2:O$500,MATCH(263,样本到样信息汇总统计!$Z$2:$Z$500,0)),"")</f>
        <v/>
      </c>
      <c r="P264" s="4" t="str">
        <f>IFERROR(INDEX(样本到样信息汇总统计!P$2:P$500,MATCH(263,样本到样信息汇总统计!$Z$2:$Z$500,0)),"")</f>
        <v/>
      </c>
      <c r="Q264" s="4" t="str">
        <f>IFERROR(INDEX(样本到样信息汇总统计!Q$2:Q$500,MATCH(263,样本到样信息汇总统计!$Z$2:$Z$500,0)),"")</f>
        <v/>
      </c>
      <c r="R264" s="4" t="str">
        <f>IFERROR(INDEX(样本到样信息汇总统计!R$2:R$500,MATCH(263,样本到样信息汇总统计!$Z$2:$Z$500,0)),"")</f>
        <v/>
      </c>
      <c r="S264" s="4" t="str">
        <f>IFERROR(INDEX(样本到样信息汇总统计!S$2:S$500,MATCH(263,样本到样信息汇总统计!$Z$2:$Z$500,0)),"")</f>
        <v/>
      </c>
      <c r="T264" s="4" t="str">
        <f>IFERROR(INDEX(样本到样信息汇总统计!T$2:T$500,MATCH(263,样本到样信息汇总统计!$Z$2:$Z$500,0)),"")</f>
        <v/>
      </c>
      <c r="U264" s="4" t="str">
        <f>IFERROR(INDEX(样本到样信息汇总统计!U$2:U$500,MATCH(263,样本到样信息汇总统计!$Z$2:$Z$500,0)),"")</f>
        <v/>
      </c>
      <c r="V264" s="4" t="str">
        <f>IFERROR(INDEX(样本到样信息汇总统计!V$2:V$500,MATCH(263,样本到样信息汇总统计!$Z$2:$Z$500,0)),"")</f>
        <v/>
      </c>
      <c r="W264" s="4" t="str">
        <f>IFERROR(INDEX(样本到样信息汇总统计!W$2:W$500,MATCH(263,样本到样信息汇总统计!$Z$2:$Z$500,0)),"")</f>
        <v/>
      </c>
    </row>
    <row r="265" ht="14.5" spans="1:23">
      <c r="A265" s="8" t="str">
        <f>IFERROR(INDEX(样本到样信息汇总统计!A$2:A$500,MATCH(264,样本到样信息汇总统计!$Z$2:$Z$500,0)),"")</f>
        <v/>
      </c>
      <c r="B265" s="8" t="str">
        <f>IFERROR(INDEX(样本到样信息汇总统计!B$2:B$500,MATCH(264,样本到样信息汇总统计!$Z$2:$Z$500,0)),"")</f>
        <v/>
      </c>
      <c r="C265" s="8" t="str">
        <f>IFERROR(INDEX(样本到样信息汇总统计!C$2:C$500,MATCH(264,样本到样信息汇总统计!$Z$2:$Z$500,0)),"")</f>
        <v/>
      </c>
      <c r="D265" s="8" t="str">
        <f>IFERROR(INDEX(样本到样信息汇总统计!D$2:D$500,MATCH(264,样本到样信息汇总统计!$Z$2:$Z$500,0)),"")</f>
        <v/>
      </c>
      <c r="E265" s="8" t="str">
        <f>IFERROR(INDEX(样本到样信息汇总统计!E$2:E$500,MATCH(264,样本到样信息汇总统计!$Z$2:$Z$500,0)),"")</f>
        <v/>
      </c>
      <c r="F265" s="8" t="str">
        <f>IFERROR(INDEX(样本到样信息汇总统计!F$2:F$500,MATCH(264,样本到样信息汇总统计!$Z$2:$Z$500,0)),"")</f>
        <v/>
      </c>
      <c r="G265" s="8" t="str">
        <f>IFERROR(INDEX(样本到样信息汇总统计!G$2:G$500,MATCH(264,样本到样信息汇总统计!$Z$2:$Z$500,0)),"")</f>
        <v/>
      </c>
      <c r="H265" s="8" t="str">
        <f>IFERROR(INDEX(样本到样信息汇总统计!H$2:H$500,MATCH(264,样本到样信息汇总统计!$Z$2:$Z$500,0)),"")</f>
        <v/>
      </c>
      <c r="I265" s="8" t="str">
        <f>IFERROR(INDEX(样本到样信息汇总统计!I$2:I$500,MATCH(264,样本到样信息汇总统计!$Z$2:$Z$500,0)),"")</f>
        <v/>
      </c>
      <c r="J265" s="8" t="str">
        <f>IFERROR(INDEX(样本到样信息汇总统计!J$2:J$500,MATCH(264,样本到样信息汇总统计!$Z$2:$Z$500,0)),"")</f>
        <v/>
      </c>
      <c r="K265" s="8" t="str">
        <f>IFERROR(INDEX(样本到样信息汇总统计!K$2:K$500,MATCH(264,样本到样信息汇总统计!$Z$2:$Z$500,0)),"")</f>
        <v/>
      </c>
      <c r="L265" s="8" t="str">
        <f>IFERROR(INDEX(样本到样信息汇总统计!L$2:L$500,MATCH(264,样本到样信息汇总统计!$Z$2:$Z$500,0)),"")</f>
        <v/>
      </c>
      <c r="M265" s="8" t="str">
        <f>IFERROR(INDEX(样本到样信息汇总统计!M$2:M$500,MATCH(264,样本到样信息汇总统计!$Z$2:$Z$500,0)),"")</f>
        <v/>
      </c>
      <c r="N265" s="8" t="str">
        <f>IFERROR(INDEX(样本到样信息汇总统计!N$2:N$500,MATCH(264,样本到样信息汇总统计!$Z$2:$Z$500,0)),"")</f>
        <v/>
      </c>
      <c r="O265" s="8" t="str">
        <f>IFERROR(INDEX(样本到样信息汇总统计!O$2:O$500,MATCH(264,样本到样信息汇总统计!$Z$2:$Z$500,0)),"")</f>
        <v/>
      </c>
      <c r="P265" s="8" t="str">
        <f>IFERROR(INDEX(样本到样信息汇总统计!P$2:P$500,MATCH(264,样本到样信息汇总统计!$Z$2:$Z$500,0)),"")</f>
        <v/>
      </c>
      <c r="Q265" s="8" t="str">
        <f>IFERROR(INDEX(样本到样信息汇总统计!Q$2:Q$500,MATCH(264,样本到样信息汇总统计!$Z$2:$Z$500,0)),"")</f>
        <v/>
      </c>
      <c r="R265" s="8" t="str">
        <f>IFERROR(INDEX(样本到样信息汇总统计!R$2:R$500,MATCH(264,样本到样信息汇总统计!$Z$2:$Z$500,0)),"")</f>
        <v/>
      </c>
      <c r="S265" s="8" t="str">
        <f>IFERROR(INDEX(样本到样信息汇总统计!S$2:S$500,MATCH(264,样本到样信息汇总统计!$Z$2:$Z$500,0)),"")</f>
        <v/>
      </c>
      <c r="T265" s="8" t="str">
        <f>IFERROR(INDEX(样本到样信息汇总统计!T$2:T$500,MATCH(264,样本到样信息汇总统计!$Z$2:$Z$500,0)),"")</f>
        <v/>
      </c>
      <c r="U265" s="8" t="str">
        <f>IFERROR(INDEX(样本到样信息汇总统计!U$2:U$500,MATCH(264,样本到样信息汇总统计!$Z$2:$Z$500,0)),"")</f>
        <v/>
      </c>
      <c r="V265" s="8" t="str">
        <f>IFERROR(INDEX(样本到样信息汇总统计!V$2:V$500,MATCH(264,样本到样信息汇总统计!$Z$2:$Z$500,0)),"")</f>
        <v/>
      </c>
      <c r="W265" s="8" t="str">
        <f>IFERROR(INDEX(样本到样信息汇总统计!W$2:W$500,MATCH(264,样本到样信息汇总统计!$Z$2:$Z$500,0)),"")</f>
        <v/>
      </c>
    </row>
    <row r="266" ht="14.5" spans="1:23">
      <c r="A266" s="4" t="str">
        <f>IFERROR(INDEX(样本到样信息汇总统计!A$2:A$500,MATCH(265,样本到样信息汇总统计!$Z$2:$Z$500,0)),"")</f>
        <v/>
      </c>
      <c r="B266" s="4" t="str">
        <f>IFERROR(INDEX(样本到样信息汇总统计!B$2:B$500,MATCH(265,样本到样信息汇总统计!$Z$2:$Z$500,0)),"")</f>
        <v/>
      </c>
      <c r="C266" s="4" t="str">
        <f>IFERROR(INDEX(样本到样信息汇总统计!C$2:C$500,MATCH(265,样本到样信息汇总统计!$Z$2:$Z$500,0)),"")</f>
        <v/>
      </c>
      <c r="D266" s="4" t="str">
        <f>IFERROR(INDEX(样本到样信息汇总统计!D$2:D$500,MATCH(265,样本到样信息汇总统计!$Z$2:$Z$500,0)),"")</f>
        <v/>
      </c>
      <c r="E266" s="4" t="str">
        <f>IFERROR(INDEX(样本到样信息汇总统计!E$2:E$500,MATCH(265,样本到样信息汇总统计!$Z$2:$Z$500,0)),"")</f>
        <v/>
      </c>
      <c r="F266" s="4" t="str">
        <f>IFERROR(INDEX(样本到样信息汇总统计!F$2:F$500,MATCH(265,样本到样信息汇总统计!$Z$2:$Z$500,0)),"")</f>
        <v/>
      </c>
      <c r="G266" s="4" t="str">
        <f>IFERROR(INDEX(样本到样信息汇总统计!G$2:G$500,MATCH(265,样本到样信息汇总统计!$Z$2:$Z$500,0)),"")</f>
        <v/>
      </c>
      <c r="H266" s="4" t="str">
        <f>IFERROR(INDEX(样本到样信息汇总统计!H$2:H$500,MATCH(265,样本到样信息汇总统计!$Z$2:$Z$500,0)),"")</f>
        <v/>
      </c>
      <c r="I266" s="4" t="str">
        <f>IFERROR(INDEX(样本到样信息汇总统计!I$2:I$500,MATCH(265,样本到样信息汇总统计!$Z$2:$Z$500,0)),"")</f>
        <v/>
      </c>
      <c r="J266" s="4" t="str">
        <f>IFERROR(INDEX(样本到样信息汇总统计!J$2:J$500,MATCH(265,样本到样信息汇总统计!$Z$2:$Z$500,0)),"")</f>
        <v/>
      </c>
      <c r="K266" s="4" t="str">
        <f>IFERROR(INDEX(样本到样信息汇总统计!K$2:K$500,MATCH(265,样本到样信息汇总统计!$Z$2:$Z$500,0)),"")</f>
        <v/>
      </c>
      <c r="L266" s="4" t="str">
        <f>IFERROR(INDEX(样本到样信息汇总统计!L$2:L$500,MATCH(265,样本到样信息汇总统计!$Z$2:$Z$500,0)),"")</f>
        <v/>
      </c>
      <c r="M266" s="4" t="str">
        <f>IFERROR(INDEX(样本到样信息汇总统计!M$2:M$500,MATCH(265,样本到样信息汇总统计!$Z$2:$Z$500,0)),"")</f>
        <v/>
      </c>
      <c r="N266" s="4" t="str">
        <f>IFERROR(INDEX(样本到样信息汇总统计!N$2:N$500,MATCH(265,样本到样信息汇总统计!$Z$2:$Z$500,0)),"")</f>
        <v/>
      </c>
      <c r="O266" s="4" t="str">
        <f>IFERROR(INDEX(样本到样信息汇总统计!O$2:O$500,MATCH(265,样本到样信息汇总统计!$Z$2:$Z$500,0)),"")</f>
        <v/>
      </c>
      <c r="P266" s="4" t="str">
        <f>IFERROR(INDEX(样本到样信息汇总统计!P$2:P$500,MATCH(265,样本到样信息汇总统计!$Z$2:$Z$500,0)),"")</f>
        <v/>
      </c>
      <c r="Q266" s="4" t="str">
        <f>IFERROR(INDEX(样本到样信息汇总统计!Q$2:Q$500,MATCH(265,样本到样信息汇总统计!$Z$2:$Z$500,0)),"")</f>
        <v/>
      </c>
      <c r="R266" s="4" t="str">
        <f>IFERROR(INDEX(样本到样信息汇总统计!R$2:R$500,MATCH(265,样本到样信息汇总统计!$Z$2:$Z$500,0)),"")</f>
        <v/>
      </c>
      <c r="S266" s="4" t="str">
        <f>IFERROR(INDEX(样本到样信息汇总统计!S$2:S$500,MATCH(265,样本到样信息汇总统计!$Z$2:$Z$500,0)),"")</f>
        <v/>
      </c>
      <c r="T266" s="4" t="str">
        <f>IFERROR(INDEX(样本到样信息汇总统计!T$2:T$500,MATCH(265,样本到样信息汇总统计!$Z$2:$Z$500,0)),"")</f>
        <v/>
      </c>
      <c r="U266" s="4" t="str">
        <f>IFERROR(INDEX(样本到样信息汇总统计!U$2:U$500,MATCH(265,样本到样信息汇总统计!$Z$2:$Z$500,0)),"")</f>
        <v/>
      </c>
      <c r="V266" s="4" t="str">
        <f>IFERROR(INDEX(样本到样信息汇总统计!V$2:V$500,MATCH(265,样本到样信息汇总统计!$Z$2:$Z$500,0)),"")</f>
        <v/>
      </c>
      <c r="W266" s="4" t="str">
        <f>IFERROR(INDEX(样本到样信息汇总统计!W$2:W$500,MATCH(265,样本到样信息汇总统计!$Z$2:$Z$500,0)),"")</f>
        <v/>
      </c>
    </row>
    <row r="267" ht="14.5" spans="1:23">
      <c r="A267" s="8" t="str">
        <f>IFERROR(INDEX(样本到样信息汇总统计!A$2:A$500,MATCH(266,样本到样信息汇总统计!$Z$2:$Z$500,0)),"")</f>
        <v/>
      </c>
      <c r="B267" s="8" t="str">
        <f>IFERROR(INDEX(样本到样信息汇总统计!B$2:B$500,MATCH(266,样本到样信息汇总统计!$Z$2:$Z$500,0)),"")</f>
        <v/>
      </c>
      <c r="C267" s="8" t="str">
        <f>IFERROR(INDEX(样本到样信息汇总统计!C$2:C$500,MATCH(266,样本到样信息汇总统计!$Z$2:$Z$500,0)),"")</f>
        <v/>
      </c>
      <c r="D267" s="8" t="str">
        <f>IFERROR(INDEX(样本到样信息汇总统计!D$2:D$500,MATCH(266,样本到样信息汇总统计!$Z$2:$Z$500,0)),"")</f>
        <v/>
      </c>
      <c r="E267" s="8" t="str">
        <f>IFERROR(INDEX(样本到样信息汇总统计!E$2:E$500,MATCH(266,样本到样信息汇总统计!$Z$2:$Z$500,0)),"")</f>
        <v/>
      </c>
      <c r="F267" s="8" t="str">
        <f>IFERROR(INDEX(样本到样信息汇总统计!F$2:F$500,MATCH(266,样本到样信息汇总统计!$Z$2:$Z$500,0)),"")</f>
        <v/>
      </c>
      <c r="G267" s="8" t="str">
        <f>IFERROR(INDEX(样本到样信息汇总统计!G$2:G$500,MATCH(266,样本到样信息汇总统计!$Z$2:$Z$500,0)),"")</f>
        <v/>
      </c>
      <c r="H267" s="8" t="str">
        <f>IFERROR(INDEX(样本到样信息汇总统计!H$2:H$500,MATCH(266,样本到样信息汇总统计!$Z$2:$Z$500,0)),"")</f>
        <v/>
      </c>
      <c r="I267" s="8" t="str">
        <f>IFERROR(INDEX(样本到样信息汇总统计!I$2:I$500,MATCH(266,样本到样信息汇总统计!$Z$2:$Z$500,0)),"")</f>
        <v/>
      </c>
      <c r="J267" s="8" t="str">
        <f>IFERROR(INDEX(样本到样信息汇总统计!J$2:J$500,MATCH(266,样本到样信息汇总统计!$Z$2:$Z$500,0)),"")</f>
        <v/>
      </c>
      <c r="K267" s="8" t="str">
        <f>IFERROR(INDEX(样本到样信息汇总统计!K$2:K$500,MATCH(266,样本到样信息汇总统计!$Z$2:$Z$500,0)),"")</f>
        <v/>
      </c>
      <c r="L267" s="8" t="str">
        <f>IFERROR(INDEX(样本到样信息汇总统计!L$2:L$500,MATCH(266,样本到样信息汇总统计!$Z$2:$Z$500,0)),"")</f>
        <v/>
      </c>
      <c r="M267" s="8" t="str">
        <f>IFERROR(INDEX(样本到样信息汇总统计!M$2:M$500,MATCH(266,样本到样信息汇总统计!$Z$2:$Z$500,0)),"")</f>
        <v/>
      </c>
      <c r="N267" s="8" t="str">
        <f>IFERROR(INDEX(样本到样信息汇总统计!N$2:N$500,MATCH(266,样本到样信息汇总统计!$Z$2:$Z$500,0)),"")</f>
        <v/>
      </c>
      <c r="O267" s="8" t="str">
        <f>IFERROR(INDEX(样本到样信息汇总统计!O$2:O$500,MATCH(266,样本到样信息汇总统计!$Z$2:$Z$500,0)),"")</f>
        <v/>
      </c>
      <c r="P267" s="8" t="str">
        <f>IFERROR(INDEX(样本到样信息汇总统计!P$2:P$500,MATCH(266,样本到样信息汇总统计!$Z$2:$Z$500,0)),"")</f>
        <v/>
      </c>
      <c r="Q267" s="8" t="str">
        <f>IFERROR(INDEX(样本到样信息汇总统计!Q$2:Q$500,MATCH(266,样本到样信息汇总统计!$Z$2:$Z$500,0)),"")</f>
        <v/>
      </c>
      <c r="R267" s="8" t="str">
        <f>IFERROR(INDEX(样本到样信息汇总统计!R$2:R$500,MATCH(266,样本到样信息汇总统计!$Z$2:$Z$500,0)),"")</f>
        <v/>
      </c>
      <c r="S267" s="8" t="str">
        <f>IFERROR(INDEX(样本到样信息汇总统计!S$2:S$500,MATCH(266,样本到样信息汇总统计!$Z$2:$Z$500,0)),"")</f>
        <v/>
      </c>
      <c r="T267" s="8" t="str">
        <f>IFERROR(INDEX(样本到样信息汇总统计!T$2:T$500,MATCH(266,样本到样信息汇总统计!$Z$2:$Z$500,0)),"")</f>
        <v/>
      </c>
      <c r="U267" s="8" t="str">
        <f>IFERROR(INDEX(样本到样信息汇总统计!U$2:U$500,MATCH(266,样本到样信息汇总统计!$Z$2:$Z$500,0)),"")</f>
        <v/>
      </c>
      <c r="V267" s="8" t="str">
        <f>IFERROR(INDEX(样本到样信息汇总统计!V$2:V$500,MATCH(266,样本到样信息汇总统计!$Z$2:$Z$500,0)),"")</f>
        <v/>
      </c>
      <c r="W267" s="8" t="str">
        <f>IFERROR(INDEX(样本到样信息汇总统计!W$2:W$500,MATCH(266,样本到样信息汇总统计!$Z$2:$Z$500,0)),"")</f>
        <v/>
      </c>
    </row>
    <row r="268" ht="14.5" spans="1:23">
      <c r="A268" s="4" t="str">
        <f>IFERROR(INDEX(样本到样信息汇总统计!A$2:A$500,MATCH(267,样本到样信息汇总统计!$Z$2:$Z$500,0)),"")</f>
        <v/>
      </c>
      <c r="B268" s="4" t="str">
        <f>IFERROR(INDEX(样本到样信息汇总统计!B$2:B$500,MATCH(267,样本到样信息汇总统计!$Z$2:$Z$500,0)),"")</f>
        <v/>
      </c>
      <c r="C268" s="4" t="str">
        <f>IFERROR(INDEX(样本到样信息汇总统计!C$2:C$500,MATCH(267,样本到样信息汇总统计!$Z$2:$Z$500,0)),"")</f>
        <v/>
      </c>
      <c r="D268" s="4" t="str">
        <f>IFERROR(INDEX(样本到样信息汇总统计!D$2:D$500,MATCH(267,样本到样信息汇总统计!$Z$2:$Z$500,0)),"")</f>
        <v/>
      </c>
      <c r="E268" s="4" t="str">
        <f>IFERROR(INDEX(样本到样信息汇总统计!E$2:E$500,MATCH(267,样本到样信息汇总统计!$Z$2:$Z$500,0)),"")</f>
        <v/>
      </c>
      <c r="F268" s="4" t="str">
        <f>IFERROR(INDEX(样本到样信息汇总统计!F$2:F$500,MATCH(267,样本到样信息汇总统计!$Z$2:$Z$500,0)),"")</f>
        <v/>
      </c>
      <c r="G268" s="4" t="str">
        <f>IFERROR(INDEX(样本到样信息汇总统计!G$2:G$500,MATCH(267,样本到样信息汇总统计!$Z$2:$Z$500,0)),"")</f>
        <v/>
      </c>
      <c r="H268" s="4" t="str">
        <f>IFERROR(INDEX(样本到样信息汇总统计!H$2:H$500,MATCH(267,样本到样信息汇总统计!$Z$2:$Z$500,0)),"")</f>
        <v/>
      </c>
      <c r="I268" s="4" t="str">
        <f>IFERROR(INDEX(样本到样信息汇总统计!I$2:I$500,MATCH(267,样本到样信息汇总统计!$Z$2:$Z$500,0)),"")</f>
        <v/>
      </c>
      <c r="J268" s="4" t="str">
        <f>IFERROR(INDEX(样本到样信息汇总统计!J$2:J$500,MATCH(267,样本到样信息汇总统计!$Z$2:$Z$500,0)),"")</f>
        <v/>
      </c>
      <c r="K268" s="4" t="str">
        <f>IFERROR(INDEX(样本到样信息汇总统计!K$2:K$500,MATCH(267,样本到样信息汇总统计!$Z$2:$Z$500,0)),"")</f>
        <v/>
      </c>
      <c r="L268" s="4" t="str">
        <f>IFERROR(INDEX(样本到样信息汇总统计!L$2:L$500,MATCH(267,样本到样信息汇总统计!$Z$2:$Z$500,0)),"")</f>
        <v/>
      </c>
      <c r="M268" s="4" t="str">
        <f>IFERROR(INDEX(样本到样信息汇总统计!M$2:M$500,MATCH(267,样本到样信息汇总统计!$Z$2:$Z$500,0)),"")</f>
        <v/>
      </c>
      <c r="N268" s="4" t="str">
        <f>IFERROR(INDEX(样本到样信息汇总统计!N$2:N$500,MATCH(267,样本到样信息汇总统计!$Z$2:$Z$500,0)),"")</f>
        <v/>
      </c>
      <c r="O268" s="4" t="str">
        <f>IFERROR(INDEX(样本到样信息汇总统计!O$2:O$500,MATCH(267,样本到样信息汇总统计!$Z$2:$Z$500,0)),"")</f>
        <v/>
      </c>
      <c r="P268" s="4" t="str">
        <f>IFERROR(INDEX(样本到样信息汇总统计!P$2:P$500,MATCH(267,样本到样信息汇总统计!$Z$2:$Z$500,0)),"")</f>
        <v/>
      </c>
      <c r="Q268" s="4" t="str">
        <f>IFERROR(INDEX(样本到样信息汇总统计!Q$2:Q$500,MATCH(267,样本到样信息汇总统计!$Z$2:$Z$500,0)),"")</f>
        <v/>
      </c>
      <c r="R268" s="4" t="str">
        <f>IFERROR(INDEX(样本到样信息汇总统计!R$2:R$500,MATCH(267,样本到样信息汇总统计!$Z$2:$Z$500,0)),"")</f>
        <v/>
      </c>
      <c r="S268" s="4" t="str">
        <f>IFERROR(INDEX(样本到样信息汇总统计!S$2:S$500,MATCH(267,样本到样信息汇总统计!$Z$2:$Z$500,0)),"")</f>
        <v/>
      </c>
      <c r="T268" s="4" t="str">
        <f>IFERROR(INDEX(样本到样信息汇总统计!T$2:T$500,MATCH(267,样本到样信息汇总统计!$Z$2:$Z$500,0)),"")</f>
        <v/>
      </c>
      <c r="U268" s="4" t="str">
        <f>IFERROR(INDEX(样本到样信息汇总统计!U$2:U$500,MATCH(267,样本到样信息汇总统计!$Z$2:$Z$500,0)),"")</f>
        <v/>
      </c>
      <c r="V268" s="4" t="str">
        <f>IFERROR(INDEX(样本到样信息汇总统计!V$2:V$500,MATCH(267,样本到样信息汇总统计!$Z$2:$Z$500,0)),"")</f>
        <v/>
      </c>
      <c r="W268" s="4" t="str">
        <f>IFERROR(INDEX(样本到样信息汇总统计!W$2:W$500,MATCH(267,样本到样信息汇总统计!$Z$2:$Z$500,0)),"")</f>
        <v/>
      </c>
    </row>
    <row r="269" ht="14.5" spans="1:23">
      <c r="A269" s="8" t="str">
        <f>IFERROR(INDEX(样本到样信息汇总统计!A$2:A$500,MATCH(268,样本到样信息汇总统计!$Z$2:$Z$500,0)),"")</f>
        <v/>
      </c>
      <c r="B269" s="8" t="str">
        <f>IFERROR(INDEX(样本到样信息汇总统计!B$2:B$500,MATCH(268,样本到样信息汇总统计!$Z$2:$Z$500,0)),"")</f>
        <v/>
      </c>
      <c r="C269" s="8" t="str">
        <f>IFERROR(INDEX(样本到样信息汇总统计!C$2:C$500,MATCH(268,样本到样信息汇总统计!$Z$2:$Z$500,0)),"")</f>
        <v/>
      </c>
      <c r="D269" s="8" t="str">
        <f>IFERROR(INDEX(样本到样信息汇总统计!D$2:D$500,MATCH(268,样本到样信息汇总统计!$Z$2:$Z$500,0)),"")</f>
        <v/>
      </c>
      <c r="E269" s="8" t="str">
        <f>IFERROR(INDEX(样本到样信息汇总统计!E$2:E$500,MATCH(268,样本到样信息汇总统计!$Z$2:$Z$500,0)),"")</f>
        <v/>
      </c>
      <c r="F269" s="8" t="str">
        <f>IFERROR(INDEX(样本到样信息汇总统计!F$2:F$500,MATCH(268,样本到样信息汇总统计!$Z$2:$Z$500,0)),"")</f>
        <v/>
      </c>
      <c r="G269" s="8" t="str">
        <f>IFERROR(INDEX(样本到样信息汇总统计!G$2:G$500,MATCH(268,样本到样信息汇总统计!$Z$2:$Z$500,0)),"")</f>
        <v/>
      </c>
      <c r="H269" s="8" t="str">
        <f>IFERROR(INDEX(样本到样信息汇总统计!H$2:H$500,MATCH(268,样本到样信息汇总统计!$Z$2:$Z$500,0)),"")</f>
        <v/>
      </c>
      <c r="I269" s="8" t="str">
        <f>IFERROR(INDEX(样本到样信息汇总统计!I$2:I$500,MATCH(268,样本到样信息汇总统计!$Z$2:$Z$500,0)),"")</f>
        <v/>
      </c>
      <c r="J269" s="8" t="str">
        <f>IFERROR(INDEX(样本到样信息汇总统计!J$2:J$500,MATCH(268,样本到样信息汇总统计!$Z$2:$Z$500,0)),"")</f>
        <v/>
      </c>
      <c r="K269" s="8" t="str">
        <f>IFERROR(INDEX(样本到样信息汇总统计!K$2:K$500,MATCH(268,样本到样信息汇总统计!$Z$2:$Z$500,0)),"")</f>
        <v/>
      </c>
      <c r="L269" s="8" t="str">
        <f>IFERROR(INDEX(样本到样信息汇总统计!L$2:L$500,MATCH(268,样本到样信息汇总统计!$Z$2:$Z$500,0)),"")</f>
        <v/>
      </c>
      <c r="M269" s="8" t="str">
        <f>IFERROR(INDEX(样本到样信息汇总统计!M$2:M$500,MATCH(268,样本到样信息汇总统计!$Z$2:$Z$500,0)),"")</f>
        <v/>
      </c>
      <c r="N269" s="8" t="str">
        <f>IFERROR(INDEX(样本到样信息汇总统计!N$2:N$500,MATCH(268,样本到样信息汇总统计!$Z$2:$Z$500,0)),"")</f>
        <v/>
      </c>
      <c r="O269" s="8" t="str">
        <f>IFERROR(INDEX(样本到样信息汇总统计!O$2:O$500,MATCH(268,样本到样信息汇总统计!$Z$2:$Z$500,0)),"")</f>
        <v/>
      </c>
      <c r="P269" s="8" t="str">
        <f>IFERROR(INDEX(样本到样信息汇总统计!P$2:P$500,MATCH(268,样本到样信息汇总统计!$Z$2:$Z$500,0)),"")</f>
        <v/>
      </c>
      <c r="Q269" s="8" t="str">
        <f>IFERROR(INDEX(样本到样信息汇总统计!Q$2:Q$500,MATCH(268,样本到样信息汇总统计!$Z$2:$Z$500,0)),"")</f>
        <v/>
      </c>
      <c r="R269" s="8" t="str">
        <f>IFERROR(INDEX(样本到样信息汇总统计!R$2:R$500,MATCH(268,样本到样信息汇总统计!$Z$2:$Z$500,0)),"")</f>
        <v/>
      </c>
      <c r="S269" s="8" t="str">
        <f>IFERROR(INDEX(样本到样信息汇总统计!S$2:S$500,MATCH(268,样本到样信息汇总统计!$Z$2:$Z$500,0)),"")</f>
        <v/>
      </c>
      <c r="T269" s="8" t="str">
        <f>IFERROR(INDEX(样本到样信息汇总统计!T$2:T$500,MATCH(268,样本到样信息汇总统计!$Z$2:$Z$500,0)),"")</f>
        <v/>
      </c>
      <c r="U269" s="8" t="str">
        <f>IFERROR(INDEX(样本到样信息汇总统计!U$2:U$500,MATCH(268,样本到样信息汇总统计!$Z$2:$Z$500,0)),"")</f>
        <v/>
      </c>
      <c r="V269" s="8" t="str">
        <f>IFERROR(INDEX(样本到样信息汇总统计!V$2:V$500,MATCH(268,样本到样信息汇总统计!$Z$2:$Z$500,0)),"")</f>
        <v/>
      </c>
      <c r="W269" s="8" t="str">
        <f>IFERROR(INDEX(样本到样信息汇总统计!W$2:W$500,MATCH(268,样本到样信息汇总统计!$Z$2:$Z$500,0)),"")</f>
        <v/>
      </c>
    </row>
    <row r="270" ht="14.5" spans="1:23">
      <c r="A270" s="4" t="str">
        <f>IFERROR(INDEX(样本到样信息汇总统计!A$2:A$500,MATCH(269,样本到样信息汇总统计!$Z$2:$Z$500,0)),"")</f>
        <v/>
      </c>
      <c r="B270" s="4" t="str">
        <f>IFERROR(INDEX(样本到样信息汇总统计!B$2:B$500,MATCH(269,样本到样信息汇总统计!$Z$2:$Z$500,0)),"")</f>
        <v/>
      </c>
      <c r="C270" s="4" t="str">
        <f>IFERROR(INDEX(样本到样信息汇总统计!C$2:C$500,MATCH(269,样本到样信息汇总统计!$Z$2:$Z$500,0)),"")</f>
        <v/>
      </c>
      <c r="D270" s="4" t="str">
        <f>IFERROR(INDEX(样本到样信息汇总统计!D$2:D$500,MATCH(269,样本到样信息汇总统计!$Z$2:$Z$500,0)),"")</f>
        <v/>
      </c>
      <c r="E270" s="4" t="str">
        <f>IFERROR(INDEX(样本到样信息汇总统计!E$2:E$500,MATCH(269,样本到样信息汇总统计!$Z$2:$Z$500,0)),"")</f>
        <v/>
      </c>
      <c r="F270" s="4" t="str">
        <f>IFERROR(INDEX(样本到样信息汇总统计!F$2:F$500,MATCH(269,样本到样信息汇总统计!$Z$2:$Z$500,0)),"")</f>
        <v/>
      </c>
      <c r="G270" s="4" t="str">
        <f>IFERROR(INDEX(样本到样信息汇总统计!G$2:G$500,MATCH(269,样本到样信息汇总统计!$Z$2:$Z$500,0)),"")</f>
        <v/>
      </c>
      <c r="H270" s="4" t="str">
        <f>IFERROR(INDEX(样本到样信息汇总统计!H$2:H$500,MATCH(269,样本到样信息汇总统计!$Z$2:$Z$500,0)),"")</f>
        <v/>
      </c>
      <c r="I270" s="4" t="str">
        <f>IFERROR(INDEX(样本到样信息汇总统计!I$2:I$500,MATCH(269,样本到样信息汇总统计!$Z$2:$Z$500,0)),"")</f>
        <v/>
      </c>
      <c r="J270" s="4" t="str">
        <f>IFERROR(INDEX(样本到样信息汇总统计!J$2:J$500,MATCH(269,样本到样信息汇总统计!$Z$2:$Z$500,0)),"")</f>
        <v/>
      </c>
      <c r="K270" s="4" t="str">
        <f>IFERROR(INDEX(样本到样信息汇总统计!K$2:K$500,MATCH(269,样本到样信息汇总统计!$Z$2:$Z$500,0)),"")</f>
        <v/>
      </c>
      <c r="L270" s="4" t="str">
        <f>IFERROR(INDEX(样本到样信息汇总统计!L$2:L$500,MATCH(269,样本到样信息汇总统计!$Z$2:$Z$500,0)),"")</f>
        <v/>
      </c>
      <c r="M270" s="4" t="str">
        <f>IFERROR(INDEX(样本到样信息汇总统计!M$2:M$500,MATCH(269,样本到样信息汇总统计!$Z$2:$Z$500,0)),"")</f>
        <v/>
      </c>
      <c r="N270" s="4" t="str">
        <f>IFERROR(INDEX(样本到样信息汇总统计!N$2:N$500,MATCH(269,样本到样信息汇总统计!$Z$2:$Z$500,0)),"")</f>
        <v/>
      </c>
      <c r="O270" s="4" t="str">
        <f>IFERROR(INDEX(样本到样信息汇总统计!O$2:O$500,MATCH(269,样本到样信息汇总统计!$Z$2:$Z$500,0)),"")</f>
        <v/>
      </c>
      <c r="P270" s="4" t="str">
        <f>IFERROR(INDEX(样本到样信息汇总统计!P$2:P$500,MATCH(269,样本到样信息汇总统计!$Z$2:$Z$500,0)),"")</f>
        <v/>
      </c>
      <c r="Q270" s="4" t="str">
        <f>IFERROR(INDEX(样本到样信息汇总统计!Q$2:Q$500,MATCH(269,样本到样信息汇总统计!$Z$2:$Z$500,0)),"")</f>
        <v/>
      </c>
      <c r="R270" s="4" t="str">
        <f>IFERROR(INDEX(样本到样信息汇总统计!R$2:R$500,MATCH(269,样本到样信息汇总统计!$Z$2:$Z$500,0)),"")</f>
        <v/>
      </c>
      <c r="S270" s="4" t="str">
        <f>IFERROR(INDEX(样本到样信息汇总统计!S$2:S$500,MATCH(269,样本到样信息汇总统计!$Z$2:$Z$500,0)),"")</f>
        <v/>
      </c>
      <c r="T270" s="4" t="str">
        <f>IFERROR(INDEX(样本到样信息汇总统计!T$2:T$500,MATCH(269,样本到样信息汇总统计!$Z$2:$Z$500,0)),"")</f>
        <v/>
      </c>
      <c r="U270" s="4" t="str">
        <f>IFERROR(INDEX(样本到样信息汇总统计!U$2:U$500,MATCH(269,样本到样信息汇总统计!$Z$2:$Z$500,0)),"")</f>
        <v/>
      </c>
      <c r="V270" s="4" t="str">
        <f>IFERROR(INDEX(样本到样信息汇总统计!V$2:V$500,MATCH(269,样本到样信息汇总统计!$Z$2:$Z$500,0)),"")</f>
        <v/>
      </c>
      <c r="W270" s="4" t="str">
        <f>IFERROR(INDEX(样本到样信息汇总统计!W$2:W$500,MATCH(269,样本到样信息汇总统计!$Z$2:$Z$500,0)),"")</f>
        <v/>
      </c>
    </row>
    <row r="271" ht="14.5" spans="1:23">
      <c r="A271" s="8" t="str">
        <f>IFERROR(INDEX(样本到样信息汇总统计!A$2:A$500,MATCH(270,样本到样信息汇总统计!$Z$2:$Z$500,0)),"")</f>
        <v/>
      </c>
      <c r="B271" s="8" t="str">
        <f>IFERROR(INDEX(样本到样信息汇总统计!B$2:B$500,MATCH(270,样本到样信息汇总统计!$Z$2:$Z$500,0)),"")</f>
        <v/>
      </c>
      <c r="C271" s="8" t="str">
        <f>IFERROR(INDEX(样本到样信息汇总统计!C$2:C$500,MATCH(270,样本到样信息汇总统计!$Z$2:$Z$500,0)),"")</f>
        <v/>
      </c>
      <c r="D271" s="8" t="str">
        <f>IFERROR(INDEX(样本到样信息汇总统计!D$2:D$500,MATCH(270,样本到样信息汇总统计!$Z$2:$Z$500,0)),"")</f>
        <v/>
      </c>
      <c r="E271" s="8" t="str">
        <f>IFERROR(INDEX(样本到样信息汇总统计!E$2:E$500,MATCH(270,样本到样信息汇总统计!$Z$2:$Z$500,0)),"")</f>
        <v/>
      </c>
      <c r="F271" s="8" t="str">
        <f>IFERROR(INDEX(样本到样信息汇总统计!F$2:F$500,MATCH(270,样本到样信息汇总统计!$Z$2:$Z$500,0)),"")</f>
        <v/>
      </c>
      <c r="G271" s="8" t="str">
        <f>IFERROR(INDEX(样本到样信息汇总统计!G$2:G$500,MATCH(270,样本到样信息汇总统计!$Z$2:$Z$500,0)),"")</f>
        <v/>
      </c>
      <c r="H271" s="8" t="str">
        <f>IFERROR(INDEX(样本到样信息汇总统计!H$2:H$500,MATCH(270,样本到样信息汇总统计!$Z$2:$Z$500,0)),"")</f>
        <v/>
      </c>
      <c r="I271" s="8" t="str">
        <f>IFERROR(INDEX(样本到样信息汇总统计!I$2:I$500,MATCH(270,样本到样信息汇总统计!$Z$2:$Z$500,0)),"")</f>
        <v/>
      </c>
      <c r="J271" s="8" t="str">
        <f>IFERROR(INDEX(样本到样信息汇总统计!J$2:J$500,MATCH(270,样本到样信息汇总统计!$Z$2:$Z$500,0)),"")</f>
        <v/>
      </c>
      <c r="K271" s="8" t="str">
        <f>IFERROR(INDEX(样本到样信息汇总统计!K$2:K$500,MATCH(270,样本到样信息汇总统计!$Z$2:$Z$500,0)),"")</f>
        <v/>
      </c>
      <c r="L271" s="8" t="str">
        <f>IFERROR(INDEX(样本到样信息汇总统计!L$2:L$500,MATCH(270,样本到样信息汇总统计!$Z$2:$Z$500,0)),"")</f>
        <v/>
      </c>
      <c r="M271" s="8" t="str">
        <f>IFERROR(INDEX(样本到样信息汇总统计!M$2:M$500,MATCH(270,样本到样信息汇总统计!$Z$2:$Z$500,0)),"")</f>
        <v/>
      </c>
      <c r="N271" s="8" t="str">
        <f>IFERROR(INDEX(样本到样信息汇总统计!N$2:N$500,MATCH(270,样本到样信息汇总统计!$Z$2:$Z$500,0)),"")</f>
        <v/>
      </c>
      <c r="O271" s="8" t="str">
        <f>IFERROR(INDEX(样本到样信息汇总统计!O$2:O$500,MATCH(270,样本到样信息汇总统计!$Z$2:$Z$500,0)),"")</f>
        <v/>
      </c>
      <c r="P271" s="8" t="str">
        <f>IFERROR(INDEX(样本到样信息汇总统计!P$2:P$500,MATCH(270,样本到样信息汇总统计!$Z$2:$Z$500,0)),"")</f>
        <v/>
      </c>
      <c r="Q271" s="8" t="str">
        <f>IFERROR(INDEX(样本到样信息汇总统计!Q$2:Q$500,MATCH(270,样本到样信息汇总统计!$Z$2:$Z$500,0)),"")</f>
        <v/>
      </c>
      <c r="R271" s="8" t="str">
        <f>IFERROR(INDEX(样本到样信息汇总统计!R$2:R$500,MATCH(270,样本到样信息汇总统计!$Z$2:$Z$500,0)),"")</f>
        <v/>
      </c>
      <c r="S271" s="8" t="str">
        <f>IFERROR(INDEX(样本到样信息汇总统计!S$2:S$500,MATCH(270,样本到样信息汇总统计!$Z$2:$Z$500,0)),"")</f>
        <v/>
      </c>
      <c r="T271" s="8" t="str">
        <f>IFERROR(INDEX(样本到样信息汇总统计!T$2:T$500,MATCH(270,样本到样信息汇总统计!$Z$2:$Z$500,0)),"")</f>
        <v/>
      </c>
      <c r="U271" s="8" t="str">
        <f>IFERROR(INDEX(样本到样信息汇总统计!U$2:U$500,MATCH(270,样本到样信息汇总统计!$Z$2:$Z$500,0)),"")</f>
        <v/>
      </c>
      <c r="V271" s="8" t="str">
        <f>IFERROR(INDEX(样本到样信息汇总统计!V$2:V$500,MATCH(270,样本到样信息汇总统计!$Z$2:$Z$500,0)),"")</f>
        <v/>
      </c>
      <c r="W271" s="8" t="str">
        <f>IFERROR(INDEX(样本到样信息汇总统计!W$2:W$500,MATCH(270,样本到样信息汇总统计!$Z$2:$Z$500,0)),"")</f>
        <v/>
      </c>
    </row>
    <row r="272" ht="14.5" spans="1:23">
      <c r="A272" s="4" t="str">
        <f>IFERROR(INDEX(样本到样信息汇总统计!A$2:A$500,MATCH(271,样本到样信息汇总统计!$Z$2:$Z$500,0)),"")</f>
        <v/>
      </c>
      <c r="B272" s="4" t="str">
        <f>IFERROR(INDEX(样本到样信息汇总统计!B$2:B$500,MATCH(271,样本到样信息汇总统计!$Z$2:$Z$500,0)),"")</f>
        <v/>
      </c>
      <c r="C272" s="4" t="str">
        <f>IFERROR(INDEX(样本到样信息汇总统计!C$2:C$500,MATCH(271,样本到样信息汇总统计!$Z$2:$Z$500,0)),"")</f>
        <v/>
      </c>
      <c r="D272" s="4" t="str">
        <f>IFERROR(INDEX(样本到样信息汇总统计!D$2:D$500,MATCH(271,样本到样信息汇总统计!$Z$2:$Z$500,0)),"")</f>
        <v/>
      </c>
      <c r="E272" s="4" t="str">
        <f>IFERROR(INDEX(样本到样信息汇总统计!E$2:E$500,MATCH(271,样本到样信息汇总统计!$Z$2:$Z$500,0)),"")</f>
        <v/>
      </c>
      <c r="F272" s="4" t="str">
        <f>IFERROR(INDEX(样本到样信息汇总统计!F$2:F$500,MATCH(271,样本到样信息汇总统计!$Z$2:$Z$500,0)),"")</f>
        <v/>
      </c>
      <c r="G272" s="4" t="str">
        <f>IFERROR(INDEX(样本到样信息汇总统计!G$2:G$500,MATCH(271,样本到样信息汇总统计!$Z$2:$Z$500,0)),"")</f>
        <v/>
      </c>
      <c r="H272" s="4" t="str">
        <f>IFERROR(INDEX(样本到样信息汇总统计!H$2:H$500,MATCH(271,样本到样信息汇总统计!$Z$2:$Z$500,0)),"")</f>
        <v/>
      </c>
      <c r="I272" s="4" t="str">
        <f>IFERROR(INDEX(样本到样信息汇总统计!I$2:I$500,MATCH(271,样本到样信息汇总统计!$Z$2:$Z$500,0)),"")</f>
        <v/>
      </c>
      <c r="J272" s="4" t="str">
        <f>IFERROR(INDEX(样本到样信息汇总统计!J$2:J$500,MATCH(271,样本到样信息汇总统计!$Z$2:$Z$500,0)),"")</f>
        <v/>
      </c>
      <c r="K272" s="4" t="str">
        <f>IFERROR(INDEX(样本到样信息汇总统计!K$2:K$500,MATCH(271,样本到样信息汇总统计!$Z$2:$Z$500,0)),"")</f>
        <v/>
      </c>
      <c r="L272" s="4" t="str">
        <f>IFERROR(INDEX(样本到样信息汇总统计!L$2:L$500,MATCH(271,样本到样信息汇总统计!$Z$2:$Z$500,0)),"")</f>
        <v/>
      </c>
      <c r="M272" s="4" t="str">
        <f>IFERROR(INDEX(样本到样信息汇总统计!M$2:M$500,MATCH(271,样本到样信息汇总统计!$Z$2:$Z$500,0)),"")</f>
        <v/>
      </c>
      <c r="N272" s="4" t="str">
        <f>IFERROR(INDEX(样本到样信息汇总统计!N$2:N$500,MATCH(271,样本到样信息汇总统计!$Z$2:$Z$500,0)),"")</f>
        <v/>
      </c>
      <c r="O272" s="4" t="str">
        <f>IFERROR(INDEX(样本到样信息汇总统计!O$2:O$500,MATCH(271,样本到样信息汇总统计!$Z$2:$Z$500,0)),"")</f>
        <v/>
      </c>
      <c r="P272" s="4" t="str">
        <f>IFERROR(INDEX(样本到样信息汇总统计!P$2:P$500,MATCH(271,样本到样信息汇总统计!$Z$2:$Z$500,0)),"")</f>
        <v/>
      </c>
      <c r="Q272" s="4" t="str">
        <f>IFERROR(INDEX(样本到样信息汇总统计!Q$2:Q$500,MATCH(271,样本到样信息汇总统计!$Z$2:$Z$500,0)),"")</f>
        <v/>
      </c>
      <c r="R272" s="4" t="str">
        <f>IFERROR(INDEX(样本到样信息汇总统计!R$2:R$500,MATCH(271,样本到样信息汇总统计!$Z$2:$Z$500,0)),"")</f>
        <v/>
      </c>
      <c r="S272" s="4" t="str">
        <f>IFERROR(INDEX(样本到样信息汇总统计!S$2:S$500,MATCH(271,样本到样信息汇总统计!$Z$2:$Z$500,0)),"")</f>
        <v/>
      </c>
      <c r="T272" s="4" t="str">
        <f>IFERROR(INDEX(样本到样信息汇总统计!T$2:T$500,MATCH(271,样本到样信息汇总统计!$Z$2:$Z$500,0)),"")</f>
        <v/>
      </c>
      <c r="U272" s="4" t="str">
        <f>IFERROR(INDEX(样本到样信息汇总统计!U$2:U$500,MATCH(271,样本到样信息汇总统计!$Z$2:$Z$500,0)),"")</f>
        <v/>
      </c>
      <c r="V272" s="4" t="str">
        <f>IFERROR(INDEX(样本到样信息汇总统计!V$2:V$500,MATCH(271,样本到样信息汇总统计!$Z$2:$Z$500,0)),"")</f>
        <v/>
      </c>
      <c r="W272" s="4" t="str">
        <f>IFERROR(INDEX(样本到样信息汇总统计!W$2:W$500,MATCH(271,样本到样信息汇总统计!$Z$2:$Z$500,0)),"")</f>
        <v/>
      </c>
    </row>
    <row r="273" ht="14.5" spans="1:23">
      <c r="A273" s="8" t="str">
        <f>IFERROR(INDEX(样本到样信息汇总统计!A$2:A$500,MATCH(272,样本到样信息汇总统计!$Z$2:$Z$500,0)),"")</f>
        <v/>
      </c>
      <c r="B273" s="8" t="str">
        <f>IFERROR(INDEX(样本到样信息汇总统计!B$2:B$500,MATCH(272,样本到样信息汇总统计!$Z$2:$Z$500,0)),"")</f>
        <v/>
      </c>
      <c r="C273" s="8" t="str">
        <f>IFERROR(INDEX(样本到样信息汇总统计!C$2:C$500,MATCH(272,样本到样信息汇总统计!$Z$2:$Z$500,0)),"")</f>
        <v/>
      </c>
      <c r="D273" s="8" t="str">
        <f>IFERROR(INDEX(样本到样信息汇总统计!D$2:D$500,MATCH(272,样本到样信息汇总统计!$Z$2:$Z$500,0)),"")</f>
        <v/>
      </c>
      <c r="E273" s="8" t="str">
        <f>IFERROR(INDEX(样本到样信息汇总统计!E$2:E$500,MATCH(272,样本到样信息汇总统计!$Z$2:$Z$500,0)),"")</f>
        <v/>
      </c>
      <c r="F273" s="8" t="str">
        <f>IFERROR(INDEX(样本到样信息汇总统计!F$2:F$500,MATCH(272,样本到样信息汇总统计!$Z$2:$Z$500,0)),"")</f>
        <v/>
      </c>
      <c r="G273" s="8" t="str">
        <f>IFERROR(INDEX(样本到样信息汇总统计!G$2:G$500,MATCH(272,样本到样信息汇总统计!$Z$2:$Z$500,0)),"")</f>
        <v/>
      </c>
      <c r="H273" s="8" t="str">
        <f>IFERROR(INDEX(样本到样信息汇总统计!H$2:H$500,MATCH(272,样本到样信息汇总统计!$Z$2:$Z$500,0)),"")</f>
        <v/>
      </c>
      <c r="I273" s="8" t="str">
        <f>IFERROR(INDEX(样本到样信息汇总统计!I$2:I$500,MATCH(272,样本到样信息汇总统计!$Z$2:$Z$500,0)),"")</f>
        <v/>
      </c>
      <c r="J273" s="8" t="str">
        <f>IFERROR(INDEX(样本到样信息汇总统计!J$2:J$500,MATCH(272,样本到样信息汇总统计!$Z$2:$Z$500,0)),"")</f>
        <v/>
      </c>
      <c r="K273" s="8" t="str">
        <f>IFERROR(INDEX(样本到样信息汇总统计!K$2:K$500,MATCH(272,样本到样信息汇总统计!$Z$2:$Z$500,0)),"")</f>
        <v/>
      </c>
      <c r="L273" s="8" t="str">
        <f>IFERROR(INDEX(样本到样信息汇总统计!L$2:L$500,MATCH(272,样本到样信息汇总统计!$Z$2:$Z$500,0)),"")</f>
        <v/>
      </c>
      <c r="M273" s="8" t="str">
        <f>IFERROR(INDEX(样本到样信息汇总统计!M$2:M$500,MATCH(272,样本到样信息汇总统计!$Z$2:$Z$500,0)),"")</f>
        <v/>
      </c>
      <c r="N273" s="8" t="str">
        <f>IFERROR(INDEX(样本到样信息汇总统计!N$2:N$500,MATCH(272,样本到样信息汇总统计!$Z$2:$Z$500,0)),"")</f>
        <v/>
      </c>
      <c r="O273" s="8" t="str">
        <f>IFERROR(INDEX(样本到样信息汇总统计!O$2:O$500,MATCH(272,样本到样信息汇总统计!$Z$2:$Z$500,0)),"")</f>
        <v/>
      </c>
      <c r="P273" s="8" t="str">
        <f>IFERROR(INDEX(样本到样信息汇总统计!P$2:P$500,MATCH(272,样本到样信息汇总统计!$Z$2:$Z$500,0)),"")</f>
        <v/>
      </c>
      <c r="Q273" s="8" t="str">
        <f>IFERROR(INDEX(样本到样信息汇总统计!Q$2:Q$500,MATCH(272,样本到样信息汇总统计!$Z$2:$Z$500,0)),"")</f>
        <v/>
      </c>
      <c r="R273" s="8" t="str">
        <f>IFERROR(INDEX(样本到样信息汇总统计!R$2:R$500,MATCH(272,样本到样信息汇总统计!$Z$2:$Z$500,0)),"")</f>
        <v/>
      </c>
      <c r="S273" s="8" t="str">
        <f>IFERROR(INDEX(样本到样信息汇总统计!S$2:S$500,MATCH(272,样本到样信息汇总统计!$Z$2:$Z$500,0)),"")</f>
        <v/>
      </c>
      <c r="T273" s="8" t="str">
        <f>IFERROR(INDEX(样本到样信息汇总统计!T$2:T$500,MATCH(272,样本到样信息汇总统计!$Z$2:$Z$500,0)),"")</f>
        <v/>
      </c>
      <c r="U273" s="8" t="str">
        <f>IFERROR(INDEX(样本到样信息汇总统计!U$2:U$500,MATCH(272,样本到样信息汇总统计!$Z$2:$Z$500,0)),"")</f>
        <v/>
      </c>
      <c r="V273" s="8" t="str">
        <f>IFERROR(INDEX(样本到样信息汇总统计!V$2:V$500,MATCH(272,样本到样信息汇总统计!$Z$2:$Z$500,0)),"")</f>
        <v/>
      </c>
      <c r="W273" s="8" t="str">
        <f>IFERROR(INDEX(样本到样信息汇总统计!W$2:W$500,MATCH(272,样本到样信息汇总统计!$Z$2:$Z$500,0)),"")</f>
        <v/>
      </c>
    </row>
    <row r="274" ht="14.5" spans="1:23">
      <c r="A274" s="4" t="str">
        <f>IFERROR(INDEX(样本到样信息汇总统计!A$2:A$500,MATCH(273,样本到样信息汇总统计!$Z$2:$Z$500,0)),"")</f>
        <v/>
      </c>
      <c r="B274" s="4" t="str">
        <f>IFERROR(INDEX(样本到样信息汇总统计!B$2:B$500,MATCH(273,样本到样信息汇总统计!$Z$2:$Z$500,0)),"")</f>
        <v/>
      </c>
      <c r="C274" s="4" t="str">
        <f>IFERROR(INDEX(样本到样信息汇总统计!C$2:C$500,MATCH(273,样本到样信息汇总统计!$Z$2:$Z$500,0)),"")</f>
        <v/>
      </c>
      <c r="D274" s="4" t="str">
        <f>IFERROR(INDEX(样本到样信息汇总统计!D$2:D$500,MATCH(273,样本到样信息汇总统计!$Z$2:$Z$500,0)),"")</f>
        <v/>
      </c>
      <c r="E274" s="4" t="str">
        <f>IFERROR(INDEX(样本到样信息汇总统计!E$2:E$500,MATCH(273,样本到样信息汇总统计!$Z$2:$Z$500,0)),"")</f>
        <v/>
      </c>
      <c r="F274" s="4" t="str">
        <f>IFERROR(INDEX(样本到样信息汇总统计!F$2:F$500,MATCH(273,样本到样信息汇总统计!$Z$2:$Z$500,0)),"")</f>
        <v/>
      </c>
      <c r="G274" s="4" t="str">
        <f>IFERROR(INDEX(样本到样信息汇总统计!G$2:G$500,MATCH(273,样本到样信息汇总统计!$Z$2:$Z$500,0)),"")</f>
        <v/>
      </c>
      <c r="H274" s="4" t="str">
        <f>IFERROR(INDEX(样本到样信息汇总统计!H$2:H$500,MATCH(273,样本到样信息汇总统计!$Z$2:$Z$500,0)),"")</f>
        <v/>
      </c>
      <c r="I274" s="4" t="str">
        <f>IFERROR(INDEX(样本到样信息汇总统计!I$2:I$500,MATCH(273,样本到样信息汇总统计!$Z$2:$Z$500,0)),"")</f>
        <v/>
      </c>
      <c r="J274" s="4" t="str">
        <f>IFERROR(INDEX(样本到样信息汇总统计!J$2:J$500,MATCH(273,样本到样信息汇总统计!$Z$2:$Z$500,0)),"")</f>
        <v/>
      </c>
      <c r="K274" s="4" t="str">
        <f>IFERROR(INDEX(样本到样信息汇总统计!K$2:K$500,MATCH(273,样本到样信息汇总统计!$Z$2:$Z$500,0)),"")</f>
        <v/>
      </c>
      <c r="L274" s="4" t="str">
        <f>IFERROR(INDEX(样本到样信息汇总统计!L$2:L$500,MATCH(273,样本到样信息汇总统计!$Z$2:$Z$500,0)),"")</f>
        <v/>
      </c>
      <c r="M274" s="4" t="str">
        <f>IFERROR(INDEX(样本到样信息汇总统计!M$2:M$500,MATCH(273,样本到样信息汇总统计!$Z$2:$Z$500,0)),"")</f>
        <v/>
      </c>
      <c r="N274" s="4" t="str">
        <f>IFERROR(INDEX(样本到样信息汇总统计!N$2:N$500,MATCH(273,样本到样信息汇总统计!$Z$2:$Z$500,0)),"")</f>
        <v/>
      </c>
      <c r="O274" s="4" t="str">
        <f>IFERROR(INDEX(样本到样信息汇总统计!O$2:O$500,MATCH(273,样本到样信息汇总统计!$Z$2:$Z$500,0)),"")</f>
        <v/>
      </c>
      <c r="P274" s="4" t="str">
        <f>IFERROR(INDEX(样本到样信息汇总统计!P$2:P$500,MATCH(273,样本到样信息汇总统计!$Z$2:$Z$500,0)),"")</f>
        <v/>
      </c>
      <c r="Q274" s="4" t="str">
        <f>IFERROR(INDEX(样本到样信息汇总统计!Q$2:Q$500,MATCH(273,样本到样信息汇总统计!$Z$2:$Z$500,0)),"")</f>
        <v/>
      </c>
      <c r="R274" s="4" t="str">
        <f>IFERROR(INDEX(样本到样信息汇总统计!R$2:R$500,MATCH(273,样本到样信息汇总统计!$Z$2:$Z$500,0)),"")</f>
        <v/>
      </c>
      <c r="S274" s="4" t="str">
        <f>IFERROR(INDEX(样本到样信息汇总统计!S$2:S$500,MATCH(273,样本到样信息汇总统计!$Z$2:$Z$500,0)),"")</f>
        <v/>
      </c>
      <c r="T274" s="4" t="str">
        <f>IFERROR(INDEX(样本到样信息汇总统计!T$2:T$500,MATCH(273,样本到样信息汇总统计!$Z$2:$Z$500,0)),"")</f>
        <v/>
      </c>
      <c r="U274" s="4" t="str">
        <f>IFERROR(INDEX(样本到样信息汇总统计!U$2:U$500,MATCH(273,样本到样信息汇总统计!$Z$2:$Z$500,0)),"")</f>
        <v/>
      </c>
      <c r="V274" s="4" t="str">
        <f>IFERROR(INDEX(样本到样信息汇总统计!V$2:V$500,MATCH(273,样本到样信息汇总统计!$Z$2:$Z$500,0)),"")</f>
        <v/>
      </c>
      <c r="W274" s="4" t="str">
        <f>IFERROR(INDEX(样本到样信息汇总统计!W$2:W$500,MATCH(273,样本到样信息汇总统计!$Z$2:$Z$500,0)),"")</f>
        <v/>
      </c>
    </row>
    <row r="275" ht="14.5" spans="1:23">
      <c r="A275" s="8" t="str">
        <f>IFERROR(INDEX(样本到样信息汇总统计!A$2:A$500,MATCH(274,样本到样信息汇总统计!$Z$2:$Z$500,0)),"")</f>
        <v/>
      </c>
      <c r="B275" s="8" t="str">
        <f>IFERROR(INDEX(样本到样信息汇总统计!B$2:B$500,MATCH(274,样本到样信息汇总统计!$Z$2:$Z$500,0)),"")</f>
        <v/>
      </c>
      <c r="C275" s="8" t="str">
        <f>IFERROR(INDEX(样本到样信息汇总统计!C$2:C$500,MATCH(274,样本到样信息汇总统计!$Z$2:$Z$500,0)),"")</f>
        <v/>
      </c>
      <c r="D275" s="8" t="str">
        <f>IFERROR(INDEX(样本到样信息汇总统计!D$2:D$500,MATCH(274,样本到样信息汇总统计!$Z$2:$Z$500,0)),"")</f>
        <v/>
      </c>
      <c r="E275" s="8" t="str">
        <f>IFERROR(INDEX(样本到样信息汇总统计!E$2:E$500,MATCH(274,样本到样信息汇总统计!$Z$2:$Z$500,0)),"")</f>
        <v/>
      </c>
      <c r="F275" s="8" t="str">
        <f>IFERROR(INDEX(样本到样信息汇总统计!F$2:F$500,MATCH(274,样本到样信息汇总统计!$Z$2:$Z$500,0)),"")</f>
        <v/>
      </c>
      <c r="G275" s="8" t="str">
        <f>IFERROR(INDEX(样本到样信息汇总统计!G$2:G$500,MATCH(274,样本到样信息汇总统计!$Z$2:$Z$500,0)),"")</f>
        <v/>
      </c>
      <c r="H275" s="8" t="str">
        <f>IFERROR(INDEX(样本到样信息汇总统计!H$2:H$500,MATCH(274,样本到样信息汇总统计!$Z$2:$Z$500,0)),"")</f>
        <v/>
      </c>
      <c r="I275" s="8" t="str">
        <f>IFERROR(INDEX(样本到样信息汇总统计!I$2:I$500,MATCH(274,样本到样信息汇总统计!$Z$2:$Z$500,0)),"")</f>
        <v/>
      </c>
      <c r="J275" s="8" t="str">
        <f>IFERROR(INDEX(样本到样信息汇总统计!J$2:J$500,MATCH(274,样本到样信息汇总统计!$Z$2:$Z$500,0)),"")</f>
        <v/>
      </c>
      <c r="K275" s="8" t="str">
        <f>IFERROR(INDEX(样本到样信息汇总统计!K$2:K$500,MATCH(274,样本到样信息汇总统计!$Z$2:$Z$500,0)),"")</f>
        <v/>
      </c>
      <c r="L275" s="8" t="str">
        <f>IFERROR(INDEX(样本到样信息汇总统计!L$2:L$500,MATCH(274,样本到样信息汇总统计!$Z$2:$Z$500,0)),"")</f>
        <v/>
      </c>
      <c r="M275" s="8" t="str">
        <f>IFERROR(INDEX(样本到样信息汇总统计!M$2:M$500,MATCH(274,样本到样信息汇总统计!$Z$2:$Z$500,0)),"")</f>
        <v/>
      </c>
      <c r="N275" s="8" t="str">
        <f>IFERROR(INDEX(样本到样信息汇总统计!N$2:N$500,MATCH(274,样本到样信息汇总统计!$Z$2:$Z$500,0)),"")</f>
        <v/>
      </c>
      <c r="O275" s="8" t="str">
        <f>IFERROR(INDEX(样本到样信息汇总统计!O$2:O$500,MATCH(274,样本到样信息汇总统计!$Z$2:$Z$500,0)),"")</f>
        <v/>
      </c>
      <c r="P275" s="8" t="str">
        <f>IFERROR(INDEX(样本到样信息汇总统计!P$2:P$500,MATCH(274,样本到样信息汇总统计!$Z$2:$Z$500,0)),"")</f>
        <v/>
      </c>
      <c r="Q275" s="8" t="str">
        <f>IFERROR(INDEX(样本到样信息汇总统计!Q$2:Q$500,MATCH(274,样本到样信息汇总统计!$Z$2:$Z$500,0)),"")</f>
        <v/>
      </c>
      <c r="R275" s="8" t="str">
        <f>IFERROR(INDEX(样本到样信息汇总统计!R$2:R$500,MATCH(274,样本到样信息汇总统计!$Z$2:$Z$500,0)),"")</f>
        <v/>
      </c>
      <c r="S275" s="8" t="str">
        <f>IFERROR(INDEX(样本到样信息汇总统计!S$2:S$500,MATCH(274,样本到样信息汇总统计!$Z$2:$Z$500,0)),"")</f>
        <v/>
      </c>
      <c r="T275" s="8" t="str">
        <f>IFERROR(INDEX(样本到样信息汇总统计!T$2:T$500,MATCH(274,样本到样信息汇总统计!$Z$2:$Z$500,0)),"")</f>
        <v/>
      </c>
      <c r="U275" s="8" t="str">
        <f>IFERROR(INDEX(样本到样信息汇总统计!U$2:U$500,MATCH(274,样本到样信息汇总统计!$Z$2:$Z$500,0)),"")</f>
        <v/>
      </c>
      <c r="V275" s="8" t="str">
        <f>IFERROR(INDEX(样本到样信息汇总统计!V$2:V$500,MATCH(274,样本到样信息汇总统计!$Z$2:$Z$500,0)),"")</f>
        <v/>
      </c>
      <c r="W275" s="8" t="str">
        <f>IFERROR(INDEX(样本到样信息汇总统计!W$2:W$500,MATCH(274,样本到样信息汇总统计!$Z$2:$Z$500,0)),"")</f>
        <v/>
      </c>
    </row>
    <row r="276" ht="14.5" spans="1:23">
      <c r="A276" s="4" t="str">
        <f>IFERROR(INDEX(样本到样信息汇总统计!A$2:A$500,MATCH(275,样本到样信息汇总统计!$Z$2:$Z$500,0)),"")</f>
        <v/>
      </c>
      <c r="B276" s="4" t="str">
        <f>IFERROR(INDEX(样本到样信息汇总统计!B$2:B$500,MATCH(275,样本到样信息汇总统计!$Z$2:$Z$500,0)),"")</f>
        <v/>
      </c>
      <c r="C276" s="4" t="str">
        <f>IFERROR(INDEX(样本到样信息汇总统计!C$2:C$500,MATCH(275,样本到样信息汇总统计!$Z$2:$Z$500,0)),"")</f>
        <v/>
      </c>
      <c r="D276" s="4" t="str">
        <f>IFERROR(INDEX(样本到样信息汇总统计!D$2:D$500,MATCH(275,样本到样信息汇总统计!$Z$2:$Z$500,0)),"")</f>
        <v/>
      </c>
      <c r="E276" s="4" t="str">
        <f>IFERROR(INDEX(样本到样信息汇总统计!E$2:E$500,MATCH(275,样本到样信息汇总统计!$Z$2:$Z$500,0)),"")</f>
        <v/>
      </c>
      <c r="F276" s="4" t="str">
        <f>IFERROR(INDEX(样本到样信息汇总统计!F$2:F$500,MATCH(275,样本到样信息汇总统计!$Z$2:$Z$500,0)),"")</f>
        <v/>
      </c>
      <c r="G276" s="4" t="str">
        <f>IFERROR(INDEX(样本到样信息汇总统计!G$2:G$500,MATCH(275,样本到样信息汇总统计!$Z$2:$Z$500,0)),"")</f>
        <v/>
      </c>
      <c r="H276" s="4" t="str">
        <f>IFERROR(INDEX(样本到样信息汇总统计!H$2:H$500,MATCH(275,样本到样信息汇总统计!$Z$2:$Z$500,0)),"")</f>
        <v/>
      </c>
      <c r="I276" s="4" t="str">
        <f>IFERROR(INDEX(样本到样信息汇总统计!I$2:I$500,MATCH(275,样本到样信息汇总统计!$Z$2:$Z$500,0)),"")</f>
        <v/>
      </c>
      <c r="J276" s="4" t="str">
        <f>IFERROR(INDEX(样本到样信息汇总统计!J$2:J$500,MATCH(275,样本到样信息汇总统计!$Z$2:$Z$500,0)),"")</f>
        <v/>
      </c>
      <c r="K276" s="4" t="str">
        <f>IFERROR(INDEX(样本到样信息汇总统计!K$2:K$500,MATCH(275,样本到样信息汇总统计!$Z$2:$Z$500,0)),"")</f>
        <v/>
      </c>
      <c r="L276" s="4" t="str">
        <f>IFERROR(INDEX(样本到样信息汇总统计!L$2:L$500,MATCH(275,样本到样信息汇总统计!$Z$2:$Z$500,0)),"")</f>
        <v/>
      </c>
      <c r="M276" s="4" t="str">
        <f>IFERROR(INDEX(样本到样信息汇总统计!M$2:M$500,MATCH(275,样本到样信息汇总统计!$Z$2:$Z$500,0)),"")</f>
        <v/>
      </c>
      <c r="N276" s="4" t="str">
        <f>IFERROR(INDEX(样本到样信息汇总统计!N$2:N$500,MATCH(275,样本到样信息汇总统计!$Z$2:$Z$500,0)),"")</f>
        <v/>
      </c>
      <c r="O276" s="4" t="str">
        <f>IFERROR(INDEX(样本到样信息汇总统计!O$2:O$500,MATCH(275,样本到样信息汇总统计!$Z$2:$Z$500,0)),"")</f>
        <v/>
      </c>
      <c r="P276" s="4" t="str">
        <f>IFERROR(INDEX(样本到样信息汇总统计!P$2:P$500,MATCH(275,样本到样信息汇总统计!$Z$2:$Z$500,0)),"")</f>
        <v/>
      </c>
      <c r="Q276" s="4" t="str">
        <f>IFERROR(INDEX(样本到样信息汇总统计!Q$2:Q$500,MATCH(275,样本到样信息汇总统计!$Z$2:$Z$500,0)),"")</f>
        <v/>
      </c>
      <c r="R276" s="4" t="str">
        <f>IFERROR(INDEX(样本到样信息汇总统计!R$2:R$500,MATCH(275,样本到样信息汇总统计!$Z$2:$Z$500,0)),"")</f>
        <v/>
      </c>
      <c r="S276" s="4" t="str">
        <f>IFERROR(INDEX(样本到样信息汇总统计!S$2:S$500,MATCH(275,样本到样信息汇总统计!$Z$2:$Z$500,0)),"")</f>
        <v/>
      </c>
      <c r="T276" s="4" t="str">
        <f>IFERROR(INDEX(样本到样信息汇总统计!T$2:T$500,MATCH(275,样本到样信息汇总统计!$Z$2:$Z$500,0)),"")</f>
        <v/>
      </c>
      <c r="U276" s="4" t="str">
        <f>IFERROR(INDEX(样本到样信息汇总统计!U$2:U$500,MATCH(275,样本到样信息汇总统计!$Z$2:$Z$500,0)),"")</f>
        <v/>
      </c>
      <c r="V276" s="4" t="str">
        <f>IFERROR(INDEX(样本到样信息汇总统计!V$2:V$500,MATCH(275,样本到样信息汇总统计!$Z$2:$Z$500,0)),"")</f>
        <v/>
      </c>
      <c r="W276" s="4" t="str">
        <f>IFERROR(INDEX(样本到样信息汇总统计!W$2:W$500,MATCH(275,样本到样信息汇总统计!$Z$2:$Z$500,0)),"")</f>
        <v/>
      </c>
    </row>
    <row r="277" ht="14.5" spans="1:23">
      <c r="A277" s="8" t="str">
        <f>IFERROR(INDEX(样本到样信息汇总统计!A$2:A$500,MATCH(276,样本到样信息汇总统计!$Z$2:$Z$500,0)),"")</f>
        <v/>
      </c>
      <c r="B277" s="8" t="str">
        <f>IFERROR(INDEX(样本到样信息汇总统计!B$2:B$500,MATCH(276,样本到样信息汇总统计!$Z$2:$Z$500,0)),"")</f>
        <v/>
      </c>
      <c r="C277" s="8" t="str">
        <f>IFERROR(INDEX(样本到样信息汇总统计!C$2:C$500,MATCH(276,样本到样信息汇总统计!$Z$2:$Z$500,0)),"")</f>
        <v/>
      </c>
      <c r="D277" s="8" t="str">
        <f>IFERROR(INDEX(样本到样信息汇总统计!D$2:D$500,MATCH(276,样本到样信息汇总统计!$Z$2:$Z$500,0)),"")</f>
        <v/>
      </c>
      <c r="E277" s="8" t="str">
        <f>IFERROR(INDEX(样本到样信息汇总统计!E$2:E$500,MATCH(276,样本到样信息汇总统计!$Z$2:$Z$500,0)),"")</f>
        <v/>
      </c>
      <c r="F277" s="8" t="str">
        <f>IFERROR(INDEX(样本到样信息汇总统计!F$2:F$500,MATCH(276,样本到样信息汇总统计!$Z$2:$Z$500,0)),"")</f>
        <v/>
      </c>
      <c r="G277" s="8" t="str">
        <f>IFERROR(INDEX(样本到样信息汇总统计!G$2:G$500,MATCH(276,样本到样信息汇总统计!$Z$2:$Z$500,0)),"")</f>
        <v/>
      </c>
      <c r="H277" s="8" t="str">
        <f>IFERROR(INDEX(样本到样信息汇总统计!H$2:H$500,MATCH(276,样本到样信息汇总统计!$Z$2:$Z$500,0)),"")</f>
        <v/>
      </c>
      <c r="I277" s="8" t="str">
        <f>IFERROR(INDEX(样本到样信息汇总统计!I$2:I$500,MATCH(276,样本到样信息汇总统计!$Z$2:$Z$500,0)),"")</f>
        <v/>
      </c>
      <c r="J277" s="8" t="str">
        <f>IFERROR(INDEX(样本到样信息汇总统计!J$2:J$500,MATCH(276,样本到样信息汇总统计!$Z$2:$Z$500,0)),"")</f>
        <v/>
      </c>
      <c r="K277" s="8" t="str">
        <f>IFERROR(INDEX(样本到样信息汇总统计!K$2:K$500,MATCH(276,样本到样信息汇总统计!$Z$2:$Z$500,0)),"")</f>
        <v/>
      </c>
      <c r="L277" s="8" t="str">
        <f>IFERROR(INDEX(样本到样信息汇总统计!L$2:L$500,MATCH(276,样本到样信息汇总统计!$Z$2:$Z$500,0)),"")</f>
        <v/>
      </c>
      <c r="M277" s="8" t="str">
        <f>IFERROR(INDEX(样本到样信息汇总统计!M$2:M$500,MATCH(276,样本到样信息汇总统计!$Z$2:$Z$500,0)),"")</f>
        <v/>
      </c>
      <c r="N277" s="8" t="str">
        <f>IFERROR(INDEX(样本到样信息汇总统计!N$2:N$500,MATCH(276,样本到样信息汇总统计!$Z$2:$Z$500,0)),"")</f>
        <v/>
      </c>
      <c r="O277" s="8" t="str">
        <f>IFERROR(INDEX(样本到样信息汇总统计!O$2:O$500,MATCH(276,样本到样信息汇总统计!$Z$2:$Z$500,0)),"")</f>
        <v/>
      </c>
      <c r="P277" s="8" t="str">
        <f>IFERROR(INDEX(样本到样信息汇总统计!P$2:P$500,MATCH(276,样本到样信息汇总统计!$Z$2:$Z$500,0)),"")</f>
        <v/>
      </c>
      <c r="Q277" s="8" t="str">
        <f>IFERROR(INDEX(样本到样信息汇总统计!Q$2:Q$500,MATCH(276,样本到样信息汇总统计!$Z$2:$Z$500,0)),"")</f>
        <v/>
      </c>
      <c r="R277" s="8" t="str">
        <f>IFERROR(INDEX(样本到样信息汇总统计!R$2:R$500,MATCH(276,样本到样信息汇总统计!$Z$2:$Z$500,0)),"")</f>
        <v/>
      </c>
      <c r="S277" s="8" t="str">
        <f>IFERROR(INDEX(样本到样信息汇总统计!S$2:S$500,MATCH(276,样本到样信息汇总统计!$Z$2:$Z$500,0)),"")</f>
        <v/>
      </c>
      <c r="T277" s="8" t="str">
        <f>IFERROR(INDEX(样本到样信息汇总统计!T$2:T$500,MATCH(276,样本到样信息汇总统计!$Z$2:$Z$500,0)),"")</f>
        <v/>
      </c>
      <c r="U277" s="8" t="str">
        <f>IFERROR(INDEX(样本到样信息汇总统计!U$2:U$500,MATCH(276,样本到样信息汇总统计!$Z$2:$Z$500,0)),"")</f>
        <v/>
      </c>
      <c r="V277" s="8" t="str">
        <f>IFERROR(INDEX(样本到样信息汇总统计!V$2:V$500,MATCH(276,样本到样信息汇总统计!$Z$2:$Z$500,0)),"")</f>
        <v/>
      </c>
      <c r="W277" s="8" t="str">
        <f>IFERROR(INDEX(样本到样信息汇总统计!W$2:W$500,MATCH(276,样本到样信息汇总统计!$Z$2:$Z$500,0)),"")</f>
        <v/>
      </c>
    </row>
    <row r="278" ht="14.5" spans="1:23">
      <c r="A278" s="4" t="str">
        <f>IFERROR(INDEX(样本到样信息汇总统计!A$2:A$500,MATCH(277,样本到样信息汇总统计!$Z$2:$Z$500,0)),"")</f>
        <v/>
      </c>
      <c r="B278" s="4" t="str">
        <f>IFERROR(INDEX(样本到样信息汇总统计!B$2:B$500,MATCH(277,样本到样信息汇总统计!$Z$2:$Z$500,0)),"")</f>
        <v/>
      </c>
      <c r="C278" s="4" t="str">
        <f>IFERROR(INDEX(样本到样信息汇总统计!C$2:C$500,MATCH(277,样本到样信息汇总统计!$Z$2:$Z$500,0)),"")</f>
        <v/>
      </c>
      <c r="D278" s="4" t="str">
        <f>IFERROR(INDEX(样本到样信息汇总统计!D$2:D$500,MATCH(277,样本到样信息汇总统计!$Z$2:$Z$500,0)),"")</f>
        <v/>
      </c>
      <c r="E278" s="4" t="str">
        <f>IFERROR(INDEX(样本到样信息汇总统计!E$2:E$500,MATCH(277,样本到样信息汇总统计!$Z$2:$Z$500,0)),"")</f>
        <v/>
      </c>
      <c r="F278" s="4" t="str">
        <f>IFERROR(INDEX(样本到样信息汇总统计!F$2:F$500,MATCH(277,样本到样信息汇总统计!$Z$2:$Z$500,0)),"")</f>
        <v/>
      </c>
      <c r="G278" s="4" t="str">
        <f>IFERROR(INDEX(样本到样信息汇总统计!G$2:G$500,MATCH(277,样本到样信息汇总统计!$Z$2:$Z$500,0)),"")</f>
        <v/>
      </c>
      <c r="H278" s="4" t="str">
        <f>IFERROR(INDEX(样本到样信息汇总统计!H$2:H$500,MATCH(277,样本到样信息汇总统计!$Z$2:$Z$500,0)),"")</f>
        <v/>
      </c>
      <c r="I278" s="4" t="str">
        <f>IFERROR(INDEX(样本到样信息汇总统计!I$2:I$500,MATCH(277,样本到样信息汇总统计!$Z$2:$Z$500,0)),"")</f>
        <v/>
      </c>
      <c r="J278" s="4" t="str">
        <f>IFERROR(INDEX(样本到样信息汇总统计!J$2:J$500,MATCH(277,样本到样信息汇总统计!$Z$2:$Z$500,0)),"")</f>
        <v/>
      </c>
      <c r="K278" s="4" t="str">
        <f>IFERROR(INDEX(样本到样信息汇总统计!K$2:K$500,MATCH(277,样本到样信息汇总统计!$Z$2:$Z$500,0)),"")</f>
        <v/>
      </c>
      <c r="L278" s="4" t="str">
        <f>IFERROR(INDEX(样本到样信息汇总统计!L$2:L$500,MATCH(277,样本到样信息汇总统计!$Z$2:$Z$500,0)),"")</f>
        <v/>
      </c>
      <c r="M278" s="4" t="str">
        <f>IFERROR(INDEX(样本到样信息汇总统计!M$2:M$500,MATCH(277,样本到样信息汇总统计!$Z$2:$Z$500,0)),"")</f>
        <v/>
      </c>
      <c r="N278" s="4" t="str">
        <f>IFERROR(INDEX(样本到样信息汇总统计!N$2:N$500,MATCH(277,样本到样信息汇总统计!$Z$2:$Z$500,0)),"")</f>
        <v/>
      </c>
      <c r="O278" s="4" t="str">
        <f>IFERROR(INDEX(样本到样信息汇总统计!O$2:O$500,MATCH(277,样本到样信息汇总统计!$Z$2:$Z$500,0)),"")</f>
        <v/>
      </c>
      <c r="P278" s="4" t="str">
        <f>IFERROR(INDEX(样本到样信息汇总统计!P$2:P$500,MATCH(277,样本到样信息汇总统计!$Z$2:$Z$500,0)),"")</f>
        <v/>
      </c>
      <c r="Q278" s="4" t="str">
        <f>IFERROR(INDEX(样本到样信息汇总统计!Q$2:Q$500,MATCH(277,样本到样信息汇总统计!$Z$2:$Z$500,0)),"")</f>
        <v/>
      </c>
      <c r="R278" s="4" t="str">
        <f>IFERROR(INDEX(样本到样信息汇总统计!R$2:R$500,MATCH(277,样本到样信息汇总统计!$Z$2:$Z$500,0)),"")</f>
        <v/>
      </c>
      <c r="S278" s="4" t="str">
        <f>IFERROR(INDEX(样本到样信息汇总统计!S$2:S$500,MATCH(277,样本到样信息汇总统计!$Z$2:$Z$500,0)),"")</f>
        <v/>
      </c>
      <c r="T278" s="4" t="str">
        <f>IFERROR(INDEX(样本到样信息汇总统计!T$2:T$500,MATCH(277,样本到样信息汇总统计!$Z$2:$Z$500,0)),"")</f>
        <v/>
      </c>
      <c r="U278" s="4" t="str">
        <f>IFERROR(INDEX(样本到样信息汇总统计!U$2:U$500,MATCH(277,样本到样信息汇总统计!$Z$2:$Z$500,0)),"")</f>
        <v/>
      </c>
      <c r="V278" s="4" t="str">
        <f>IFERROR(INDEX(样本到样信息汇总统计!V$2:V$500,MATCH(277,样本到样信息汇总统计!$Z$2:$Z$500,0)),"")</f>
        <v/>
      </c>
      <c r="W278" s="4" t="str">
        <f>IFERROR(INDEX(样本到样信息汇总统计!W$2:W$500,MATCH(277,样本到样信息汇总统计!$Z$2:$Z$500,0)),"")</f>
        <v/>
      </c>
    </row>
    <row r="279" ht="14.5" spans="1:23">
      <c r="A279" s="8" t="str">
        <f>IFERROR(INDEX(样本到样信息汇总统计!A$2:A$500,MATCH(278,样本到样信息汇总统计!$Z$2:$Z$500,0)),"")</f>
        <v/>
      </c>
      <c r="B279" s="8" t="str">
        <f>IFERROR(INDEX(样本到样信息汇总统计!B$2:B$500,MATCH(278,样本到样信息汇总统计!$Z$2:$Z$500,0)),"")</f>
        <v/>
      </c>
      <c r="C279" s="8" t="str">
        <f>IFERROR(INDEX(样本到样信息汇总统计!C$2:C$500,MATCH(278,样本到样信息汇总统计!$Z$2:$Z$500,0)),"")</f>
        <v/>
      </c>
      <c r="D279" s="8" t="str">
        <f>IFERROR(INDEX(样本到样信息汇总统计!D$2:D$500,MATCH(278,样本到样信息汇总统计!$Z$2:$Z$500,0)),"")</f>
        <v/>
      </c>
      <c r="E279" s="8" t="str">
        <f>IFERROR(INDEX(样本到样信息汇总统计!E$2:E$500,MATCH(278,样本到样信息汇总统计!$Z$2:$Z$500,0)),"")</f>
        <v/>
      </c>
      <c r="F279" s="8" t="str">
        <f>IFERROR(INDEX(样本到样信息汇总统计!F$2:F$500,MATCH(278,样本到样信息汇总统计!$Z$2:$Z$500,0)),"")</f>
        <v/>
      </c>
      <c r="G279" s="8" t="str">
        <f>IFERROR(INDEX(样本到样信息汇总统计!G$2:G$500,MATCH(278,样本到样信息汇总统计!$Z$2:$Z$500,0)),"")</f>
        <v/>
      </c>
      <c r="H279" s="8" t="str">
        <f>IFERROR(INDEX(样本到样信息汇总统计!H$2:H$500,MATCH(278,样本到样信息汇总统计!$Z$2:$Z$500,0)),"")</f>
        <v/>
      </c>
      <c r="I279" s="8" t="str">
        <f>IFERROR(INDEX(样本到样信息汇总统计!I$2:I$500,MATCH(278,样本到样信息汇总统计!$Z$2:$Z$500,0)),"")</f>
        <v/>
      </c>
      <c r="J279" s="8" t="str">
        <f>IFERROR(INDEX(样本到样信息汇总统计!J$2:J$500,MATCH(278,样本到样信息汇总统计!$Z$2:$Z$500,0)),"")</f>
        <v/>
      </c>
      <c r="K279" s="8" t="str">
        <f>IFERROR(INDEX(样本到样信息汇总统计!K$2:K$500,MATCH(278,样本到样信息汇总统计!$Z$2:$Z$500,0)),"")</f>
        <v/>
      </c>
      <c r="L279" s="8" t="str">
        <f>IFERROR(INDEX(样本到样信息汇总统计!L$2:L$500,MATCH(278,样本到样信息汇总统计!$Z$2:$Z$500,0)),"")</f>
        <v/>
      </c>
      <c r="M279" s="8" t="str">
        <f>IFERROR(INDEX(样本到样信息汇总统计!M$2:M$500,MATCH(278,样本到样信息汇总统计!$Z$2:$Z$500,0)),"")</f>
        <v/>
      </c>
      <c r="N279" s="8" t="str">
        <f>IFERROR(INDEX(样本到样信息汇总统计!N$2:N$500,MATCH(278,样本到样信息汇总统计!$Z$2:$Z$500,0)),"")</f>
        <v/>
      </c>
      <c r="O279" s="8" t="str">
        <f>IFERROR(INDEX(样本到样信息汇总统计!O$2:O$500,MATCH(278,样本到样信息汇总统计!$Z$2:$Z$500,0)),"")</f>
        <v/>
      </c>
      <c r="P279" s="8" t="str">
        <f>IFERROR(INDEX(样本到样信息汇总统计!P$2:P$500,MATCH(278,样本到样信息汇总统计!$Z$2:$Z$500,0)),"")</f>
        <v/>
      </c>
      <c r="Q279" s="8" t="str">
        <f>IFERROR(INDEX(样本到样信息汇总统计!Q$2:Q$500,MATCH(278,样本到样信息汇总统计!$Z$2:$Z$500,0)),"")</f>
        <v/>
      </c>
      <c r="R279" s="8" t="str">
        <f>IFERROR(INDEX(样本到样信息汇总统计!R$2:R$500,MATCH(278,样本到样信息汇总统计!$Z$2:$Z$500,0)),"")</f>
        <v/>
      </c>
      <c r="S279" s="8" t="str">
        <f>IFERROR(INDEX(样本到样信息汇总统计!S$2:S$500,MATCH(278,样本到样信息汇总统计!$Z$2:$Z$500,0)),"")</f>
        <v/>
      </c>
      <c r="T279" s="8" t="str">
        <f>IFERROR(INDEX(样本到样信息汇总统计!T$2:T$500,MATCH(278,样本到样信息汇总统计!$Z$2:$Z$500,0)),"")</f>
        <v/>
      </c>
      <c r="U279" s="8" t="str">
        <f>IFERROR(INDEX(样本到样信息汇总统计!U$2:U$500,MATCH(278,样本到样信息汇总统计!$Z$2:$Z$500,0)),"")</f>
        <v/>
      </c>
      <c r="V279" s="8" t="str">
        <f>IFERROR(INDEX(样本到样信息汇总统计!V$2:V$500,MATCH(278,样本到样信息汇总统计!$Z$2:$Z$500,0)),"")</f>
        <v/>
      </c>
      <c r="W279" s="8" t="str">
        <f>IFERROR(INDEX(样本到样信息汇总统计!W$2:W$500,MATCH(278,样本到样信息汇总统计!$Z$2:$Z$500,0)),"")</f>
        <v/>
      </c>
    </row>
    <row r="280" ht="14.5" spans="1:23">
      <c r="A280" s="4" t="str">
        <f>IFERROR(INDEX(样本到样信息汇总统计!A$2:A$500,MATCH(279,样本到样信息汇总统计!$Z$2:$Z$500,0)),"")</f>
        <v/>
      </c>
      <c r="B280" s="4" t="str">
        <f>IFERROR(INDEX(样本到样信息汇总统计!B$2:B$500,MATCH(279,样本到样信息汇总统计!$Z$2:$Z$500,0)),"")</f>
        <v/>
      </c>
      <c r="C280" s="4" t="str">
        <f>IFERROR(INDEX(样本到样信息汇总统计!C$2:C$500,MATCH(279,样本到样信息汇总统计!$Z$2:$Z$500,0)),"")</f>
        <v/>
      </c>
      <c r="D280" s="4" t="str">
        <f>IFERROR(INDEX(样本到样信息汇总统计!D$2:D$500,MATCH(279,样本到样信息汇总统计!$Z$2:$Z$500,0)),"")</f>
        <v/>
      </c>
      <c r="E280" s="4" t="str">
        <f>IFERROR(INDEX(样本到样信息汇总统计!E$2:E$500,MATCH(279,样本到样信息汇总统计!$Z$2:$Z$500,0)),"")</f>
        <v/>
      </c>
      <c r="F280" s="4" t="str">
        <f>IFERROR(INDEX(样本到样信息汇总统计!F$2:F$500,MATCH(279,样本到样信息汇总统计!$Z$2:$Z$500,0)),"")</f>
        <v/>
      </c>
      <c r="G280" s="4" t="str">
        <f>IFERROR(INDEX(样本到样信息汇总统计!G$2:G$500,MATCH(279,样本到样信息汇总统计!$Z$2:$Z$500,0)),"")</f>
        <v/>
      </c>
      <c r="H280" s="4" t="str">
        <f>IFERROR(INDEX(样本到样信息汇总统计!H$2:H$500,MATCH(279,样本到样信息汇总统计!$Z$2:$Z$500,0)),"")</f>
        <v/>
      </c>
      <c r="I280" s="4" t="str">
        <f>IFERROR(INDEX(样本到样信息汇总统计!I$2:I$500,MATCH(279,样本到样信息汇总统计!$Z$2:$Z$500,0)),"")</f>
        <v/>
      </c>
      <c r="J280" s="4" t="str">
        <f>IFERROR(INDEX(样本到样信息汇总统计!J$2:J$500,MATCH(279,样本到样信息汇总统计!$Z$2:$Z$500,0)),"")</f>
        <v/>
      </c>
      <c r="K280" s="4" t="str">
        <f>IFERROR(INDEX(样本到样信息汇总统计!K$2:K$500,MATCH(279,样本到样信息汇总统计!$Z$2:$Z$500,0)),"")</f>
        <v/>
      </c>
      <c r="L280" s="4" t="str">
        <f>IFERROR(INDEX(样本到样信息汇总统计!L$2:L$500,MATCH(279,样本到样信息汇总统计!$Z$2:$Z$500,0)),"")</f>
        <v/>
      </c>
      <c r="M280" s="4" t="str">
        <f>IFERROR(INDEX(样本到样信息汇总统计!M$2:M$500,MATCH(279,样本到样信息汇总统计!$Z$2:$Z$500,0)),"")</f>
        <v/>
      </c>
      <c r="N280" s="4" t="str">
        <f>IFERROR(INDEX(样本到样信息汇总统计!N$2:N$500,MATCH(279,样本到样信息汇总统计!$Z$2:$Z$500,0)),"")</f>
        <v/>
      </c>
      <c r="O280" s="4" t="str">
        <f>IFERROR(INDEX(样本到样信息汇总统计!O$2:O$500,MATCH(279,样本到样信息汇总统计!$Z$2:$Z$500,0)),"")</f>
        <v/>
      </c>
      <c r="P280" s="4" t="str">
        <f>IFERROR(INDEX(样本到样信息汇总统计!P$2:P$500,MATCH(279,样本到样信息汇总统计!$Z$2:$Z$500,0)),"")</f>
        <v/>
      </c>
      <c r="Q280" s="4" t="str">
        <f>IFERROR(INDEX(样本到样信息汇总统计!Q$2:Q$500,MATCH(279,样本到样信息汇总统计!$Z$2:$Z$500,0)),"")</f>
        <v/>
      </c>
      <c r="R280" s="4" t="str">
        <f>IFERROR(INDEX(样本到样信息汇总统计!R$2:R$500,MATCH(279,样本到样信息汇总统计!$Z$2:$Z$500,0)),"")</f>
        <v/>
      </c>
      <c r="S280" s="4" t="str">
        <f>IFERROR(INDEX(样本到样信息汇总统计!S$2:S$500,MATCH(279,样本到样信息汇总统计!$Z$2:$Z$500,0)),"")</f>
        <v/>
      </c>
      <c r="T280" s="4" t="str">
        <f>IFERROR(INDEX(样本到样信息汇总统计!T$2:T$500,MATCH(279,样本到样信息汇总统计!$Z$2:$Z$500,0)),"")</f>
        <v/>
      </c>
      <c r="U280" s="4" t="str">
        <f>IFERROR(INDEX(样本到样信息汇总统计!U$2:U$500,MATCH(279,样本到样信息汇总统计!$Z$2:$Z$500,0)),"")</f>
        <v/>
      </c>
      <c r="V280" s="4" t="str">
        <f>IFERROR(INDEX(样本到样信息汇总统计!V$2:V$500,MATCH(279,样本到样信息汇总统计!$Z$2:$Z$500,0)),"")</f>
        <v/>
      </c>
      <c r="W280" s="4" t="str">
        <f>IFERROR(INDEX(样本到样信息汇总统计!W$2:W$500,MATCH(279,样本到样信息汇总统计!$Z$2:$Z$500,0)),"")</f>
        <v/>
      </c>
    </row>
    <row r="281" ht="14.5" spans="1:23">
      <c r="A281" s="8" t="str">
        <f>IFERROR(INDEX(样本到样信息汇总统计!A$2:A$500,MATCH(280,样本到样信息汇总统计!$Z$2:$Z$500,0)),"")</f>
        <v/>
      </c>
      <c r="B281" s="8" t="str">
        <f>IFERROR(INDEX(样本到样信息汇总统计!B$2:B$500,MATCH(280,样本到样信息汇总统计!$Z$2:$Z$500,0)),"")</f>
        <v/>
      </c>
      <c r="C281" s="8" t="str">
        <f>IFERROR(INDEX(样本到样信息汇总统计!C$2:C$500,MATCH(280,样本到样信息汇总统计!$Z$2:$Z$500,0)),"")</f>
        <v/>
      </c>
      <c r="D281" s="8" t="str">
        <f>IFERROR(INDEX(样本到样信息汇总统计!D$2:D$500,MATCH(280,样本到样信息汇总统计!$Z$2:$Z$500,0)),"")</f>
        <v/>
      </c>
      <c r="E281" s="8" t="str">
        <f>IFERROR(INDEX(样本到样信息汇总统计!E$2:E$500,MATCH(280,样本到样信息汇总统计!$Z$2:$Z$500,0)),"")</f>
        <v/>
      </c>
      <c r="F281" s="8" t="str">
        <f>IFERROR(INDEX(样本到样信息汇总统计!F$2:F$500,MATCH(280,样本到样信息汇总统计!$Z$2:$Z$500,0)),"")</f>
        <v/>
      </c>
      <c r="G281" s="8" t="str">
        <f>IFERROR(INDEX(样本到样信息汇总统计!G$2:G$500,MATCH(280,样本到样信息汇总统计!$Z$2:$Z$500,0)),"")</f>
        <v/>
      </c>
      <c r="H281" s="8" t="str">
        <f>IFERROR(INDEX(样本到样信息汇总统计!H$2:H$500,MATCH(280,样本到样信息汇总统计!$Z$2:$Z$500,0)),"")</f>
        <v/>
      </c>
      <c r="I281" s="8" t="str">
        <f>IFERROR(INDEX(样本到样信息汇总统计!I$2:I$500,MATCH(280,样本到样信息汇总统计!$Z$2:$Z$500,0)),"")</f>
        <v/>
      </c>
      <c r="J281" s="8" t="str">
        <f>IFERROR(INDEX(样本到样信息汇总统计!J$2:J$500,MATCH(280,样本到样信息汇总统计!$Z$2:$Z$500,0)),"")</f>
        <v/>
      </c>
      <c r="K281" s="8" t="str">
        <f>IFERROR(INDEX(样本到样信息汇总统计!K$2:K$500,MATCH(280,样本到样信息汇总统计!$Z$2:$Z$500,0)),"")</f>
        <v/>
      </c>
      <c r="L281" s="8" t="str">
        <f>IFERROR(INDEX(样本到样信息汇总统计!L$2:L$500,MATCH(280,样本到样信息汇总统计!$Z$2:$Z$500,0)),"")</f>
        <v/>
      </c>
      <c r="M281" s="8" t="str">
        <f>IFERROR(INDEX(样本到样信息汇总统计!M$2:M$500,MATCH(280,样本到样信息汇总统计!$Z$2:$Z$500,0)),"")</f>
        <v/>
      </c>
      <c r="N281" s="8" t="str">
        <f>IFERROR(INDEX(样本到样信息汇总统计!N$2:N$500,MATCH(280,样本到样信息汇总统计!$Z$2:$Z$500,0)),"")</f>
        <v/>
      </c>
      <c r="O281" s="8" t="str">
        <f>IFERROR(INDEX(样本到样信息汇总统计!O$2:O$500,MATCH(280,样本到样信息汇总统计!$Z$2:$Z$500,0)),"")</f>
        <v/>
      </c>
      <c r="P281" s="8" t="str">
        <f>IFERROR(INDEX(样本到样信息汇总统计!P$2:P$500,MATCH(280,样本到样信息汇总统计!$Z$2:$Z$500,0)),"")</f>
        <v/>
      </c>
      <c r="Q281" s="8" t="str">
        <f>IFERROR(INDEX(样本到样信息汇总统计!Q$2:Q$500,MATCH(280,样本到样信息汇总统计!$Z$2:$Z$500,0)),"")</f>
        <v/>
      </c>
      <c r="R281" s="8" t="str">
        <f>IFERROR(INDEX(样本到样信息汇总统计!R$2:R$500,MATCH(280,样本到样信息汇总统计!$Z$2:$Z$500,0)),"")</f>
        <v/>
      </c>
      <c r="S281" s="8" t="str">
        <f>IFERROR(INDEX(样本到样信息汇总统计!S$2:S$500,MATCH(280,样本到样信息汇总统计!$Z$2:$Z$500,0)),"")</f>
        <v/>
      </c>
      <c r="T281" s="8" t="str">
        <f>IFERROR(INDEX(样本到样信息汇总统计!T$2:T$500,MATCH(280,样本到样信息汇总统计!$Z$2:$Z$500,0)),"")</f>
        <v/>
      </c>
      <c r="U281" s="8" t="str">
        <f>IFERROR(INDEX(样本到样信息汇总统计!U$2:U$500,MATCH(280,样本到样信息汇总统计!$Z$2:$Z$500,0)),"")</f>
        <v/>
      </c>
      <c r="V281" s="8" t="str">
        <f>IFERROR(INDEX(样本到样信息汇总统计!V$2:V$500,MATCH(280,样本到样信息汇总统计!$Z$2:$Z$500,0)),"")</f>
        <v/>
      </c>
      <c r="W281" s="8" t="str">
        <f>IFERROR(INDEX(样本到样信息汇总统计!W$2:W$500,MATCH(280,样本到样信息汇总统计!$Z$2:$Z$500,0)),"")</f>
        <v/>
      </c>
    </row>
    <row r="282" ht="14.5" spans="1:23">
      <c r="A282" s="4" t="str">
        <f>IFERROR(INDEX(样本到样信息汇总统计!A$2:A$500,MATCH(281,样本到样信息汇总统计!$Z$2:$Z$500,0)),"")</f>
        <v/>
      </c>
      <c r="B282" s="4" t="str">
        <f>IFERROR(INDEX(样本到样信息汇总统计!B$2:B$500,MATCH(281,样本到样信息汇总统计!$Z$2:$Z$500,0)),"")</f>
        <v/>
      </c>
      <c r="C282" s="4" t="str">
        <f>IFERROR(INDEX(样本到样信息汇总统计!C$2:C$500,MATCH(281,样本到样信息汇总统计!$Z$2:$Z$500,0)),"")</f>
        <v/>
      </c>
      <c r="D282" s="4" t="str">
        <f>IFERROR(INDEX(样本到样信息汇总统计!D$2:D$500,MATCH(281,样本到样信息汇总统计!$Z$2:$Z$500,0)),"")</f>
        <v/>
      </c>
      <c r="E282" s="4" t="str">
        <f>IFERROR(INDEX(样本到样信息汇总统计!E$2:E$500,MATCH(281,样本到样信息汇总统计!$Z$2:$Z$500,0)),"")</f>
        <v/>
      </c>
      <c r="F282" s="4" t="str">
        <f>IFERROR(INDEX(样本到样信息汇总统计!F$2:F$500,MATCH(281,样本到样信息汇总统计!$Z$2:$Z$500,0)),"")</f>
        <v/>
      </c>
      <c r="G282" s="4" t="str">
        <f>IFERROR(INDEX(样本到样信息汇总统计!G$2:G$500,MATCH(281,样本到样信息汇总统计!$Z$2:$Z$500,0)),"")</f>
        <v/>
      </c>
      <c r="H282" s="4" t="str">
        <f>IFERROR(INDEX(样本到样信息汇总统计!H$2:H$500,MATCH(281,样本到样信息汇总统计!$Z$2:$Z$500,0)),"")</f>
        <v/>
      </c>
      <c r="I282" s="4" t="str">
        <f>IFERROR(INDEX(样本到样信息汇总统计!I$2:I$500,MATCH(281,样本到样信息汇总统计!$Z$2:$Z$500,0)),"")</f>
        <v/>
      </c>
      <c r="J282" s="4" t="str">
        <f>IFERROR(INDEX(样本到样信息汇总统计!J$2:J$500,MATCH(281,样本到样信息汇总统计!$Z$2:$Z$500,0)),"")</f>
        <v/>
      </c>
      <c r="K282" s="4" t="str">
        <f>IFERROR(INDEX(样本到样信息汇总统计!K$2:K$500,MATCH(281,样本到样信息汇总统计!$Z$2:$Z$500,0)),"")</f>
        <v/>
      </c>
      <c r="L282" s="4" t="str">
        <f>IFERROR(INDEX(样本到样信息汇总统计!L$2:L$500,MATCH(281,样本到样信息汇总统计!$Z$2:$Z$500,0)),"")</f>
        <v/>
      </c>
      <c r="M282" s="4" t="str">
        <f>IFERROR(INDEX(样本到样信息汇总统计!M$2:M$500,MATCH(281,样本到样信息汇总统计!$Z$2:$Z$500,0)),"")</f>
        <v/>
      </c>
      <c r="N282" s="4" t="str">
        <f>IFERROR(INDEX(样本到样信息汇总统计!N$2:N$500,MATCH(281,样本到样信息汇总统计!$Z$2:$Z$500,0)),"")</f>
        <v/>
      </c>
      <c r="O282" s="4" t="str">
        <f>IFERROR(INDEX(样本到样信息汇总统计!O$2:O$500,MATCH(281,样本到样信息汇总统计!$Z$2:$Z$500,0)),"")</f>
        <v/>
      </c>
      <c r="P282" s="4" t="str">
        <f>IFERROR(INDEX(样本到样信息汇总统计!P$2:P$500,MATCH(281,样本到样信息汇总统计!$Z$2:$Z$500,0)),"")</f>
        <v/>
      </c>
      <c r="Q282" s="4" t="str">
        <f>IFERROR(INDEX(样本到样信息汇总统计!Q$2:Q$500,MATCH(281,样本到样信息汇总统计!$Z$2:$Z$500,0)),"")</f>
        <v/>
      </c>
      <c r="R282" s="4" t="str">
        <f>IFERROR(INDEX(样本到样信息汇总统计!R$2:R$500,MATCH(281,样本到样信息汇总统计!$Z$2:$Z$500,0)),"")</f>
        <v/>
      </c>
      <c r="S282" s="4" t="str">
        <f>IFERROR(INDEX(样本到样信息汇总统计!S$2:S$500,MATCH(281,样本到样信息汇总统计!$Z$2:$Z$500,0)),"")</f>
        <v/>
      </c>
      <c r="T282" s="4" t="str">
        <f>IFERROR(INDEX(样本到样信息汇总统计!T$2:T$500,MATCH(281,样本到样信息汇总统计!$Z$2:$Z$500,0)),"")</f>
        <v/>
      </c>
      <c r="U282" s="4" t="str">
        <f>IFERROR(INDEX(样本到样信息汇总统计!U$2:U$500,MATCH(281,样本到样信息汇总统计!$Z$2:$Z$500,0)),"")</f>
        <v/>
      </c>
      <c r="V282" s="4" t="str">
        <f>IFERROR(INDEX(样本到样信息汇总统计!V$2:V$500,MATCH(281,样本到样信息汇总统计!$Z$2:$Z$500,0)),"")</f>
        <v/>
      </c>
      <c r="W282" s="4" t="str">
        <f>IFERROR(INDEX(样本到样信息汇总统计!W$2:W$500,MATCH(281,样本到样信息汇总统计!$Z$2:$Z$500,0)),"")</f>
        <v/>
      </c>
    </row>
    <row r="283" ht="14.5" spans="1:23">
      <c r="A283" s="8" t="str">
        <f>IFERROR(INDEX(样本到样信息汇总统计!A$2:A$500,MATCH(282,样本到样信息汇总统计!$Z$2:$Z$500,0)),"")</f>
        <v/>
      </c>
      <c r="B283" s="8" t="str">
        <f>IFERROR(INDEX(样本到样信息汇总统计!B$2:B$500,MATCH(282,样本到样信息汇总统计!$Z$2:$Z$500,0)),"")</f>
        <v/>
      </c>
      <c r="C283" s="8" t="str">
        <f>IFERROR(INDEX(样本到样信息汇总统计!C$2:C$500,MATCH(282,样本到样信息汇总统计!$Z$2:$Z$500,0)),"")</f>
        <v/>
      </c>
      <c r="D283" s="8" t="str">
        <f>IFERROR(INDEX(样本到样信息汇总统计!D$2:D$500,MATCH(282,样本到样信息汇总统计!$Z$2:$Z$500,0)),"")</f>
        <v/>
      </c>
      <c r="E283" s="8" t="str">
        <f>IFERROR(INDEX(样本到样信息汇总统计!E$2:E$500,MATCH(282,样本到样信息汇总统计!$Z$2:$Z$500,0)),"")</f>
        <v/>
      </c>
      <c r="F283" s="8" t="str">
        <f>IFERROR(INDEX(样本到样信息汇总统计!F$2:F$500,MATCH(282,样本到样信息汇总统计!$Z$2:$Z$500,0)),"")</f>
        <v/>
      </c>
      <c r="G283" s="8" t="str">
        <f>IFERROR(INDEX(样本到样信息汇总统计!G$2:G$500,MATCH(282,样本到样信息汇总统计!$Z$2:$Z$500,0)),"")</f>
        <v/>
      </c>
      <c r="H283" s="8" t="str">
        <f>IFERROR(INDEX(样本到样信息汇总统计!H$2:H$500,MATCH(282,样本到样信息汇总统计!$Z$2:$Z$500,0)),"")</f>
        <v/>
      </c>
      <c r="I283" s="8" t="str">
        <f>IFERROR(INDEX(样本到样信息汇总统计!I$2:I$500,MATCH(282,样本到样信息汇总统计!$Z$2:$Z$500,0)),"")</f>
        <v/>
      </c>
      <c r="J283" s="8" t="str">
        <f>IFERROR(INDEX(样本到样信息汇总统计!J$2:J$500,MATCH(282,样本到样信息汇总统计!$Z$2:$Z$500,0)),"")</f>
        <v/>
      </c>
      <c r="K283" s="8" t="str">
        <f>IFERROR(INDEX(样本到样信息汇总统计!K$2:K$500,MATCH(282,样本到样信息汇总统计!$Z$2:$Z$500,0)),"")</f>
        <v/>
      </c>
      <c r="L283" s="8" t="str">
        <f>IFERROR(INDEX(样本到样信息汇总统计!L$2:L$500,MATCH(282,样本到样信息汇总统计!$Z$2:$Z$500,0)),"")</f>
        <v/>
      </c>
      <c r="M283" s="8" t="str">
        <f>IFERROR(INDEX(样本到样信息汇总统计!M$2:M$500,MATCH(282,样本到样信息汇总统计!$Z$2:$Z$500,0)),"")</f>
        <v/>
      </c>
      <c r="N283" s="8" t="str">
        <f>IFERROR(INDEX(样本到样信息汇总统计!N$2:N$500,MATCH(282,样本到样信息汇总统计!$Z$2:$Z$500,0)),"")</f>
        <v/>
      </c>
      <c r="O283" s="8" t="str">
        <f>IFERROR(INDEX(样本到样信息汇总统计!O$2:O$500,MATCH(282,样本到样信息汇总统计!$Z$2:$Z$500,0)),"")</f>
        <v/>
      </c>
      <c r="P283" s="8" t="str">
        <f>IFERROR(INDEX(样本到样信息汇总统计!P$2:P$500,MATCH(282,样本到样信息汇总统计!$Z$2:$Z$500,0)),"")</f>
        <v/>
      </c>
      <c r="Q283" s="8" t="str">
        <f>IFERROR(INDEX(样本到样信息汇总统计!Q$2:Q$500,MATCH(282,样本到样信息汇总统计!$Z$2:$Z$500,0)),"")</f>
        <v/>
      </c>
      <c r="R283" s="8" t="str">
        <f>IFERROR(INDEX(样本到样信息汇总统计!R$2:R$500,MATCH(282,样本到样信息汇总统计!$Z$2:$Z$500,0)),"")</f>
        <v/>
      </c>
      <c r="S283" s="8" t="str">
        <f>IFERROR(INDEX(样本到样信息汇总统计!S$2:S$500,MATCH(282,样本到样信息汇总统计!$Z$2:$Z$500,0)),"")</f>
        <v/>
      </c>
      <c r="T283" s="8" t="str">
        <f>IFERROR(INDEX(样本到样信息汇总统计!T$2:T$500,MATCH(282,样本到样信息汇总统计!$Z$2:$Z$500,0)),"")</f>
        <v/>
      </c>
      <c r="U283" s="8" t="str">
        <f>IFERROR(INDEX(样本到样信息汇总统计!U$2:U$500,MATCH(282,样本到样信息汇总统计!$Z$2:$Z$500,0)),"")</f>
        <v/>
      </c>
      <c r="V283" s="8" t="str">
        <f>IFERROR(INDEX(样本到样信息汇总统计!V$2:V$500,MATCH(282,样本到样信息汇总统计!$Z$2:$Z$500,0)),"")</f>
        <v/>
      </c>
      <c r="W283" s="8" t="str">
        <f>IFERROR(INDEX(样本到样信息汇总统计!W$2:W$500,MATCH(282,样本到样信息汇总统计!$Z$2:$Z$500,0)),"")</f>
        <v/>
      </c>
    </row>
    <row r="284" ht="14.5" spans="1:23">
      <c r="A284" s="4" t="str">
        <f>IFERROR(INDEX(样本到样信息汇总统计!A$2:A$500,MATCH(283,样本到样信息汇总统计!$Z$2:$Z$500,0)),"")</f>
        <v/>
      </c>
      <c r="B284" s="4" t="str">
        <f>IFERROR(INDEX(样本到样信息汇总统计!B$2:B$500,MATCH(283,样本到样信息汇总统计!$Z$2:$Z$500,0)),"")</f>
        <v/>
      </c>
      <c r="C284" s="4" t="str">
        <f>IFERROR(INDEX(样本到样信息汇总统计!C$2:C$500,MATCH(283,样本到样信息汇总统计!$Z$2:$Z$500,0)),"")</f>
        <v/>
      </c>
      <c r="D284" s="4" t="str">
        <f>IFERROR(INDEX(样本到样信息汇总统计!D$2:D$500,MATCH(283,样本到样信息汇总统计!$Z$2:$Z$500,0)),"")</f>
        <v/>
      </c>
      <c r="E284" s="4" t="str">
        <f>IFERROR(INDEX(样本到样信息汇总统计!E$2:E$500,MATCH(283,样本到样信息汇总统计!$Z$2:$Z$500,0)),"")</f>
        <v/>
      </c>
      <c r="F284" s="4" t="str">
        <f>IFERROR(INDEX(样本到样信息汇总统计!F$2:F$500,MATCH(283,样本到样信息汇总统计!$Z$2:$Z$500,0)),"")</f>
        <v/>
      </c>
      <c r="G284" s="4" t="str">
        <f>IFERROR(INDEX(样本到样信息汇总统计!G$2:G$500,MATCH(283,样本到样信息汇总统计!$Z$2:$Z$500,0)),"")</f>
        <v/>
      </c>
      <c r="H284" s="4" t="str">
        <f>IFERROR(INDEX(样本到样信息汇总统计!H$2:H$500,MATCH(283,样本到样信息汇总统计!$Z$2:$Z$500,0)),"")</f>
        <v/>
      </c>
      <c r="I284" s="4" t="str">
        <f>IFERROR(INDEX(样本到样信息汇总统计!I$2:I$500,MATCH(283,样本到样信息汇总统计!$Z$2:$Z$500,0)),"")</f>
        <v/>
      </c>
      <c r="J284" s="4" t="str">
        <f>IFERROR(INDEX(样本到样信息汇总统计!J$2:J$500,MATCH(283,样本到样信息汇总统计!$Z$2:$Z$500,0)),"")</f>
        <v/>
      </c>
      <c r="K284" s="4" t="str">
        <f>IFERROR(INDEX(样本到样信息汇总统计!K$2:K$500,MATCH(283,样本到样信息汇总统计!$Z$2:$Z$500,0)),"")</f>
        <v/>
      </c>
      <c r="L284" s="4" t="str">
        <f>IFERROR(INDEX(样本到样信息汇总统计!L$2:L$500,MATCH(283,样本到样信息汇总统计!$Z$2:$Z$500,0)),"")</f>
        <v/>
      </c>
      <c r="M284" s="4" t="str">
        <f>IFERROR(INDEX(样本到样信息汇总统计!M$2:M$500,MATCH(283,样本到样信息汇总统计!$Z$2:$Z$500,0)),"")</f>
        <v/>
      </c>
      <c r="N284" s="4" t="str">
        <f>IFERROR(INDEX(样本到样信息汇总统计!N$2:N$500,MATCH(283,样本到样信息汇总统计!$Z$2:$Z$500,0)),"")</f>
        <v/>
      </c>
      <c r="O284" s="4" t="str">
        <f>IFERROR(INDEX(样本到样信息汇总统计!O$2:O$500,MATCH(283,样本到样信息汇总统计!$Z$2:$Z$500,0)),"")</f>
        <v/>
      </c>
      <c r="P284" s="4" t="str">
        <f>IFERROR(INDEX(样本到样信息汇总统计!P$2:P$500,MATCH(283,样本到样信息汇总统计!$Z$2:$Z$500,0)),"")</f>
        <v/>
      </c>
      <c r="Q284" s="4" t="str">
        <f>IFERROR(INDEX(样本到样信息汇总统计!Q$2:Q$500,MATCH(283,样本到样信息汇总统计!$Z$2:$Z$500,0)),"")</f>
        <v/>
      </c>
      <c r="R284" s="4" t="str">
        <f>IFERROR(INDEX(样本到样信息汇总统计!R$2:R$500,MATCH(283,样本到样信息汇总统计!$Z$2:$Z$500,0)),"")</f>
        <v/>
      </c>
      <c r="S284" s="4" t="str">
        <f>IFERROR(INDEX(样本到样信息汇总统计!S$2:S$500,MATCH(283,样本到样信息汇总统计!$Z$2:$Z$500,0)),"")</f>
        <v/>
      </c>
      <c r="T284" s="4" t="str">
        <f>IFERROR(INDEX(样本到样信息汇总统计!T$2:T$500,MATCH(283,样本到样信息汇总统计!$Z$2:$Z$500,0)),"")</f>
        <v/>
      </c>
      <c r="U284" s="4" t="str">
        <f>IFERROR(INDEX(样本到样信息汇总统计!U$2:U$500,MATCH(283,样本到样信息汇总统计!$Z$2:$Z$500,0)),"")</f>
        <v/>
      </c>
      <c r="V284" s="4" t="str">
        <f>IFERROR(INDEX(样本到样信息汇总统计!V$2:V$500,MATCH(283,样本到样信息汇总统计!$Z$2:$Z$500,0)),"")</f>
        <v/>
      </c>
      <c r="W284" s="4" t="str">
        <f>IFERROR(INDEX(样本到样信息汇总统计!W$2:W$500,MATCH(283,样本到样信息汇总统计!$Z$2:$Z$500,0)),"")</f>
        <v/>
      </c>
    </row>
    <row r="285" ht="14.5" spans="1:23">
      <c r="A285" s="8" t="str">
        <f>IFERROR(INDEX(样本到样信息汇总统计!A$2:A$500,MATCH(284,样本到样信息汇总统计!$Z$2:$Z$500,0)),"")</f>
        <v/>
      </c>
      <c r="B285" s="8" t="str">
        <f>IFERROR(INDEX(样本到样信息汇总统计!B$2:B$500,MATCH(284,样本到样信息汇总统计!$Z$2:$Z$500,0)),"")</f>
        <v/>
      </c>
      <c r="C285" s="8" t="str">
        <f>IFERROR(INDEX(样本到样信息汇总统计!C$2:C$500,MATCH(284,样本到样信息汇总统计!$Z$2:$Z$500,0)),"")</f>
        <v/>
      </c>
      <c r="D285" s="8" t="str">
        <f>IFERROR(INDEX(样本到样信息汇总统计!D$2:D$500,MATCH(284,样本到样信息汇总统计!$Z$2:$Z$500,0)),"")</f>
        <v/>
      </c>
      <c r="E285" s="8" t="str">
        <f>IFERROR(INDEX(样本到样信息汇总统计!E$2:E$500,MATCH(284,样本到样信息汇总统计!$Z$2:$Z$500,0)),"")</f>
        <v/>
      </c>
      <c r="F285" s="8" t="str">
        <f>IFERROR(INDEX(样本到样信息汇总统计!F$2:F$500,MATCH(284,样本到样信息汇总统计!$Z$2:$Z$500,0)),"")</f>
        <v/>
      </c>
      <c r="G285" s="8" t="str">
        <f>IFERROR(INDEX(样本到样信息汇总统计!G$2:G$500,MATCH(284,样本到样信息汇总统计!$Z$2:$Z$500,0)),"")</f>
        <v/>
      </c>
      <c r="H285" s="8" t="str">
        <f>IFERROR(INDEX(样本到样信息汇总统计!H$2:H$500,MATCH(284,样本到样信息汇总统计!$Z$2:$Z$500,0)),"")</f>
        <v/>
      </c>
      <c r="I285" s="8" t="str">
        <f>IFERROR(INDEX(样本到样信息汇总统计!I$2:I$500,MATCH(284,样本到样信息汇总统计!$Z$2:$Z$500,0)),"")</f>
        <v/>
      </c>
      <c r="J285" s="8" t="str">
        <f>IFERROR(INDEX(样本到样信息汇总统计!J$2:J$500,MATCH(284,样本到样信息汇总统计!$Z$2:$Z$500,0)),"")</f>
        <v/>
      </c>
      <c r="K285" s="8" t="str">
        <f>IFERROR(INDEX(样本到样信息汇总统计!K$2:K$500,MATCH(284,样本到样信息汇总统计!$Z$2:$Z$500,0)),"")</f>
        <v/>
      </c>
      <c r="L285" s="8" t="str">
        <f>IFERROR(INDEX(样本到样信息汇总统计!L$2:L$500,MATCH(284,样本到样信息汇总统计!$Z$2:$Z$500,0)),"")</f>
        <v/>
      </c>
      <c r="M285" s="8" t="str">
        <f>IFERROR(INDEX(样本到样信息汇总统计!M$2:M$500,MATCH(284,样本到样信息汇总统计!$Z$2:$Z$500,0)),"")</f>
        <v/>
      </c>
      <c r="N285" s="8" t="str">
        <f>IFERROR(INDEX(样本到样信息汇总统计!N$2:N$500,MATCH(284,样本到样信息汇总统计!$Z$2:$Z$500,0)),"")</f>
        <v/>
      </c>
      <c r="O285" s="8" t="str">
        <f>IFERROR(INDEX(样本到样信息汇总统计!O$2:O$500,MATCH(284,样本到样信息汇总统计!$Z$2:$Z$500,0)),"")</f>
        <v/>
      </c>
      <c r="P285" s="8" t="str">
        <f>IFERROR(INDEX(样本到样信息汇总统计!P$2:P$500,MATCH(284,样本到样信息汇总统计!$Z$2:$Z$500,0)),"")</f>
        <v/>
      </c>
      <c r="Q285" s="8" t="str">
        <f>IFERROR(INDEX(样本到样信息汇总统计!Q$2:Q$500,MATCH(284,样本到样信息汇总统计!$Z$2:$Z$500,0)),"")</f>
        <v/>
      </c>
      <c r="R285" s="8" t="str">
        <f>IFERROR(INDEX(样本到样信息汇总统计!R$2:R$500,MATCH(284,样本到样信息汇总统计!$Z$2:$Z$500,0)),"")</f>
        <v/>
      </c>
      <c r="S285" s="8" t="str">
        <f>IFERROR(INDEX(样本到样信息汇总统计!S$2:S$500,MATCH(284,样本到样信息汇总统计!$Z$2:$Z$500,0)),"")</f>
        <v/>
      </c>
      <c r="T285" s="8" t="str">
        <f>IFERROR(INDEX(样本到样信息汇总统计!T$2:T$500,MATCH(284,样本到样信息汇总统计!$Z$2:$Z$500,0)),"")</f>
        <v/>
      </c>
      <c r="U285" s="8" t="str">
        <f>IFERROR(INDEX(样本到样信息汇总统计!U$2:U$500,MATCH(284,样本到样信息汇总统计!$Z$2:$Z$500,0)),"")</f>
        <v/>
      </c>
      <c r="V285" s="8" t="str">
        <f>IFERROR(INDEX(样本到样信息汇总统计!V$2:V$500,MATCH(284,样本到样信息汇总统计!$Z$2:$Z$500,0)),"")</f>
        <v/>
      </c>
      <c r="W285" s="8" t="str">
        <f>IFERROR(INDEX(样本到样信息汇总统计!W$2:W$500,MATCH(284,样本到样信息汇总统计!$Z$2:$Z$500,0)),"")</f>
        <v/>
      </c>
    </row>
    <row r="286" ht="14.5" spans="1:23">
      <c r="A286" s="4" t="str">
        <f>IFERROR(INDEX(样本到样信息汇总统计!A$2:A$500,MATCH(285,样本到样信息汇总统计!$Z$2:$Z$500,0)),"")</f>
        <v/>
      </c>
      <c r="B286" s="4" t="str">
        <f>IFERROR(INDEX(样本到样信息汇总统计!B$2:B$500,MATCH(285,样本到样信息汇总统计!$Z$2:$Z$500,0)),"")</f>
        <v/>
      </c>
      <c r="C286" s="4" t="str">
        <f>IFERROR(INDEX(样本到样信息汇总统计!C$2:C$500,MATCH(285,样本到样信息汇总统计!$Z$2:$Z$500,0)),"")</f>
        <v/>
      </c>
      <c r="D286" s="4" t="str">
        <f>IFERROR(INDEX(样本到样信息汇总统计!D$2:D$500,MATCH(285,样本到样信息汇总统计!$Z$2:$Z$500,0)),"")</f>
        <v/>
      </c>
      <c r="E286" s="4" t="str">
        <f>IFERROR(INDEX(样本到样信息汇总统计!E$2:E$500,MATCH(285,样本到样信息汇总统计!$Z$2:$Z$500,0)),"")</f>
        <v/>
      </c>
      <c r="F286" s="4" t="str">
        <f>IFERROR(INDEX(样本到样信息汇总统计!F$2:F$500,MATCH(285,样本到样信息汇总统计!$Z$2:$Z$500,0)),"")</f>
        <v/>
      </c>
      <c r="G286" s="4" t="str">
        <f>IFERROR(INDEX(样本到样信息汇总统计!G$2:G$500,MATCH(285,样本到样信息汇总统计!$Z$2:$Z$500,0)),"")</f>
        <v/>
      </c>
      <c r="H286" s="4" t="str">
        <f>IFERROR(INDEX(样本到样信息汇总统计!H$2:H$500,MATCH(285,样本到样信息汇总统计!$Z$2:$Z$500,0)),"")</f>
        <v/>
      </c>
      <c r="I286" s="4" t="str">
        <f>IFERROR(INDEX(样本到样信息汇总统计!I$2:I$500,MATCH(285,样本到样信息汇总统计!$Z$2:$Z$500,0)),"")</f>
        <v/>
      </c>
      <c r="J286" s="4" t="str">
        <f>IFERROR(INDEX(样本到样信息汇总统计!J$2:J$500,MATCH(285,样本到样信息汇总统计!$Z$2:$Z$500,0)),"")</f>
        <v/>
      </c>
      <c r="K286" s="4" t="str">
        <f>IFERROR(INDEX(样本到样信息汇总统计!K$2:K$500,MATCH(285,样本到样信息汇总统计!$Z$2:$Z$500,0)),"")</f>
        <v/>
      </c>
      <c r="L286" s="4" t="str">
        <f>IFERROR(INDEX(样本到样信息汇总统计!L$2:L$500,MATCH(285,样本到样信息汇总统计!$Z$2:$Z$500,0)),"")</f>
        <v/>
      </c>
      <c r="M286" s="4" t="str">
        <f>IFERROR(INDEX(样本到样信息汇总统计!M$2:M$500,MATCH(285,样本到样信息汇总统计!$Z$2:$Z$500,0)),"")</f>
        <v/>
      </c>
      <c r="N286" s="4" t="str">
        <f>IFERROR(INDEX(样本到样信息汇总统计!N$2:N$500,MATCH(285,样本到样信息汇总统计!$Z$2:$Z$500,0)),"")</f>
        <v/>
      </c>
      <c r="O286" s="4" t="str">
        <f>IFERROR(INDEX(样本到样信息汇总统计!O$2:O$500,MATCH(285,样本到样信息汇总统计!$Z$2:$Z$500,0)),"")</f>
        <v/>
      </c>
      <c r="P286" s="4" t="str">
        <f>IFERROR(INDEX(样本到样信息汇总统计!P$2:P$500,MATCH(285,样本到样信息汇总统计!$Z$2:$Z$500,0)),"")</f>
        <v/>
      </c>
      <c r="Q286" s="4" t="str">
        <f>IFERROR(INDEX(样本到样信息汇总统计!Q$2:Q$500,MATCH(285,样本到样信息汇总统计!$Z$2:$Z$500,0)),"")</f>
        <v/>
      </c>
      <c r="R286" s="4" t="str">
        <f>IFERROR(INDEX(样本到样信息汇总统计!R$2:R$500,MATCH(285,样本到样信息汇总统计!$Z$2:$Z$500,0)),"")</f>
        <v/>
      </c>
      <c r="S286" s="4" t="str">
        <f>IFERROR(INDEX(样本到样信息汇总统计!S$2:S$500,MATCH(285,样本到样信息汇总统计!$Z$2:$Z$500,0)),"")</f>
        <v/>
      </c>
      <c r="T286" s="4" t="str">
        <f>IFERROR(INDEX(样本到样信息汇总统计!T$2:T$500,MATCH(285,样本到样信息汇总统计!$Z$2:$Z$500,0)),"")</f>
        <v/>
      </c>
      <c r="U286" s="4" t="str">
        <f>IFERROR(INDEX(样本到样信息汇总统计!U$2:U$500,MATCH(285,样本到样信息汇总统计!$Z$2:$Z$500,0)),"")</f>
        <v/>
      </c>
      <c r="V286" s="4" t="str">
        <f>IFERROR(INDEX(样本到样信息汇总统计!V$2:V$500,MATCH(285,样本到样信息汇总统计!$Z$2:$Z$500,0)),"")</f>
        <v/>
      </c>
      <c r="W286" s="4" t="str">
        <f>IFERROR(INDEX(样本到样信息汇总统计!W$2:W$500,MATCH(285,样本到样信息汇总统计!$Z$2:$Z$500,0)),"")</f>
        <v/>
      </c>
    </row>
    <row r="287" ht="14.5" spans="1:23">
      <c r="A287" s="8" t="str">
        <f>IFERROR(INDEX(样本到样信息汇总统计!A$2:A$500,MATCH(286,样本到样信息汇总统计!$Z$2:$Z$500,0)),"")</f>
        <v/>
      </c>
      <c r="B287" s="8" t="str">
        <f>IFERROR(INDEX(样本到样信息汇总统计!B$2:B$500,MATCH(286,样本到样信息汇总统计!$Z$2:$Z$500,0)),"")</f>
        <v/>
      </c>
      <c r="C287" s="8" t="str">
        <f>IFERROR(INDEX(样本到样信息汇总统计!C$2:C$500,MATCH(286,样本到样信息汇总统计!$Z$2:$Z$500,0)),"")</f>
        <v/>
      </c>
      <c r="D287" s="8" t="str">
        <f>IFERROR(INDEX(样本到样信息汇总统计!D$2:D$500,MATCH(286,样本到样信息汇总统计!$Z$2:$Z$500,0)),"")</f>
        <v/>
      </c>
      <c r="E287" s="8" t="str">
        <f>IFERROR(INDEX(样本到样信息汇总统计!E$2:E$500,MATCH(286,样本到样信息汇总统计!$Z$2:$Z$500,0)),"")</f>
        <v/>
      </c>
      <c r="F287" s="8" t="str">
        <f>IFERROR(INDEX(样本到样信息汇总统计!F$2:F$500,MATCH(286,样本到样信息汇总统计!$Z$2:$Z$500,0)),"")</f>
        <v/>
      </c>
      <c r="G287" s="8" t="str">
        <f>IFERROR(INDEX(样本到样信息汇总统计!G$2:G$500,MATCH(286,样本到样信息汇总统计!$Z$2:$Z$500,0)),"")</f>
        <v/>
      </c>
      <c r="H287" s="8" t="str">
        <f>IFERROR(INDEX(样本到样信息汇总统计!H$2:H$500,MATCH(286,样本到样信息汇总统计!$Z$2:$Z$500,0)),"")</f>
        <v/>
      </c>
      <c r="I287" s="8" t="str">
        <f>IFERROR(INDEX(样本到样信息汇总统计!I$2:I$500,MATCH(286,样本到样信息汇总统计!$Z$2:$Z$500,0)),"")</f>
        <v/>
      </c>
      <c r="J287" s="8" t="str">
        <f>IFERROR(INDEX(样本到样信息汇总统计!J$2:J$500,MATCH(286,样本到样信息汇总统计!$Z$2:$Z$500,0)),"")</f>
        <v/>
      </c>
      <c r="K287" s="8" t="str">
        <f>IFERROR(INDEX(样本到样信息汇总统计!K$2:K$500,MATCH(286,样本到样信息汇总统计!$Z$2:$Z$500,0)),"")</f>
        <v/>
      </c>
      <c r="L287" s="8" t="str">
        <f>IFERROR(INDEX(样本到样信息汇总统计!L$2:L$500,MATCH(286,样本到样信息汇总统计!$Z$2:$Z$500,0)),"")</f>
        <v/>
      </c>
      <c r="M287" s="8" t="str">
        <f>IFERROR(INDEX(样本到样信息汇总统计!M$2:M$500,MATCH(286,样本到样信息汇总统计!$Z$2:$Z$500,0)),"")</f>
        <v/>
      </c>
      <c r="N287" s="8" t="str">
        <f>IFERROR(INDEX(样本到样信息汇总统计!N$2:N$500,MATCH(286,样本到样信息汇总统计!$Z$2:$Z$500,0)),"")</f>
        <v/>
      </c>
      <c r="O287" s="8" t="str">
        <f>IFERROR(INDEX(样本到样信息汇总统计!O$2:O$500,MATCH(286,样本到样信息汇总统计!$Z$2:$Z$500,0)),"")</f>
        <v/>
      </c>
      <c r="P287" s="8" t="str">
        <f>IFERROR(INDEX(样本到样信息汇总统计!P$2:P$500,MATCH(286,样本到样信息汇总统计!$Z$2:$Z$500,0)),"")</f>
        <v/>
      </c>
      <c r="Q287" s="8" t="str">
        <f>IFERROR(INDEX(样本到样信息汇总统计!Q$2:Q$500,MATCH(286,样本到样信息汇总统计!$Z$2:$Z$500,0)),"")</f>
        <v/>
      </c>
      <c r="R287" s="8" t="str">
        <f>IFERROR(INDEX(样本到样信息汇总统计!R$2:R$500,MATCH(286,样本到样信息汇总统计!$Z$2:$Z$500,0)),"")</f>
        <v/>
      </c>
      <c r="S287" s="8" t="str">
        <f>IFERROR(INDEX(样本到样信息汇总统计!S$2:S$500,MATCH(286,样本到样信息汇总统计!$Z$2:$Z$500,0)),"")</f>
        <v/>
      </c>
      <c r="T287" s="8" t="str">
        <f>IFERROR(INDEX(样本到样信息汇总统计!T$2:T$500,MATCH(286,样本到样信息汇总统计!$Z$2:$Z$500,0)),"")</f>
        <v/>
      </c>
      <c r="U287" s="8" t="str">
        <f>IFERROR(INDEX(样本到样信息汇总统计!U$2:U$500,MATCH(286,样本到样信息汇总统计!$Z$2:$Z$500,0)),"")</f>
        <v/>
      </c>
      <c r="V287" s="8" t="str">
        <f>IFERROR(INDEX(样本到样信息汇总统计!V$2:V$500,MATCH(286,样本到样信息汇总统计!$Z$2:$Z$500,0)),"")</f>
        <v/>
      </c>
      <c r="W287" s="8" t="str">
        <f>IFERROR(INDEX(样本到样信息汇总统计!W$2:W$500,MATCH(286,样本到样信息汇总统计!$Z$2:$Z$500,0)),"")</f>
        <v/>
      </c>
    </row>
    <row r="288" ht="14.5" spans="1:23">
      <c r="A288" s="4" t="str">
        <f>IFERROR(INDEX(样本到样信息汇总统计!A$2:A$500,MATCH(287,样本到样信息汇总统计!$Z$2:$Z$500,0)),"")</f>
        <v/>
      </c>
      <c r="B288" s="4" t="str">
        <f>IFERROR(INDEX(样本到样信息汇总统计!B$2:B$500,MATCH(287,样本到样信息汇总统计!$Z$2:$Z$500,0)),"")</f>
        <v/>
      </c>
      <c r="C288" s="4" t="str">
        <f>IFERROR(INDEX(样本到样信息汇总统计!C$2:C$500,MATCH(287,样本到样信息汇总统计!$Z$2:$Z$500,0)),"")</f>
        <v/>
      </c>
      <c r="D288" s="4" t="str">
        <f>IFERROR(INDEX(样本到样信息汇总统计!D$2:D$500,MATCH(287,样本到样信息汇总统计!$Z$2:$Z$500,0)),"")</f>
        <v/>
      </c>
      <c r="E288" s="4" t="str">
        <f>IFERROR(INDEX(样本到样信息汇总统计!E$2:E$500,MATCH(287,样本到样信息汇总统计!$Z$2:$Z$500,0)),"")</f>
        <v/>
      </c>
      <c r="F288" s="4" t="str">
        <f>IFERROR(INDEX(样本到样信息汇总统计!F$2:F$500,MATCH(287,样本到样信息汇总统计!$Z$2:$Z$500,0)),"")</f>
        <v/>
      </c>
      <c r="G288" s="4" t="str">
        <f>IFERROR(INDEX(样本到样信息汇总统计!G$2:G$500,MATCH(287,样本到样信息汇总统计!$Z$2:$Z$500,0)),"")</f>
        <v/>
      </c>
      <c r="H288" s="4" t="str">
        <f>IFERROR(INDEX(样本到样信息汇总统计!H$2:H$500,MATCH(287,样本到样信息汇总统计!$Z$2:$Z$500,0)),"")</f>
        <v/>
      </c>
      <c r="I288" s="4" t="str">
        <f>IFERROR(INDEX(样本到样信息汇总统计!I$2:I$500,MATCH(287,样本到样信息汇总统计!$Z$2:$Z$500,0)),"")</f>
        <v/>
      </c>
      <c r="J288" s="4" t="str">
        <f>IFERROR(INDEX(样本到样信息汇总统计!J$2:J$500,MATCH(287,样本到样信息汇总统计!$Z$2:$Z$500,0)),"")</f>
        <v/>
      </c>
      <c r="K288" s="4" t="str">
        <f>IFERROR(INDEX(样本到样信息汇总统计!K$2:K$500,MATCH(287,样本到样信息汇总统计!$Z$2:$Z$500,0)),"")</f>
        <v/>
      </c>
      <c r="L288" s="4" t="str">
        <f>IFERROR(INDEX(样本到样信息汇总统计!L$2:L$500,MATCH(287,样本到样信息汇总统计!$Z$2:$Z$500,0)),"")</f>
        <v/>
      </c>
      <c r="M288" s="4" t="str">
        <f>IFERROR(INDEX(样本到样信息汇总统计!M$2:M$500,MATCH(287,样本到样信息汇总统计!$Z$2:$Z$500,0)),"")</f>
        <v/>
      </c>
      <c r="N288" s="4" t="str">
        <f>IFERROR(INDEX(样本到样信息汇总统计!N$2:N$500,MATCH(287,样本到样信息汇总统计!$Z$2:$Z$500,0)),"")</f>
        <v/>
      </c>
      <c r="O288" s="4" t="str">
        <f>IFERROR(INDEX(样本到样信息汇总统计!O$2:O$500,MATCH(287,样本到样信息汇总统计!$Z$2:$Z$500,0)),"")</f>
        <v/>
      </c>
      <c r="P288" s="4" t="str">
        <f>IFERROR(INDEX(样本到样信息汇总统计!P$2:P$500,MATCH(287,样本到样信息汇总统计!$Z$2:$Z$500,0)),"")</f>
        <v/>
      </c>
      <c r="Q288" s="4" t="str">
        <f>IFERROR(INDEX(样本到样信息汇总统计!Q$2:Q$500,MATCH(287,样本到样信息汇总统计!$Z$2:$Z$500,0)),"")</f>
        <v/>
      </c>
      <c r="R288" s="4" t="str">
        <f>IFERROR(INDEX(样本到样信息汇总统计!R$2:R$500,MATCH(287,样本到样信息汇总统计!$Z$2:$Z$500,0)),"")</f>
        <v/>
      </c>
      <c r="S288" s="4" t="str">
        <f>IFERROR(INDEX(样本到样信息汇总统计!S$2:S$500,MATCH(287,样本到样信息汇总统计!$Z$2:$Z$500,0)),"")</f>
        <v/>
      </c>
      <c r="T288" s="4" t="str">
        <f>IFERROR(INDEX(样本到样信息汇总统计!T$2:T$500,MATCH(287,样本到样信息汇总统计!$Z$2:$Z$500,0)),"")</f>
        <v/>
      </c>
      <c r="U288" s="4" t="str">
        <f>IFERROR(INDEX(样本到样信息汇总统计!U$2:U$500,MATCH(287,样本到样信息汇总统计!$Z$2:$Z$500,0)),"")</f>
        <v/>
      </c>
      <c r="V288" s="4" t="str">
        <f>IFERROR(INDEX(样本到样信息汇总统计!V$2:V$500,MATCH(287,样本到样信息汇总统计!$Z$2:$Z$500,0)),"")</f>
        <v/>
      </c>
      <c r="W288" s="4" t="str">
        <f>IFERROR(INDEX(样本到样信息汇总统计!W$2:W$500,MATCH(287,样本到样信息汇总统计!$Z$2:$Z$500,0)),"")</f>
        <v/>
      </c>
    </row>
    <row r="289" ht="14.5" spans="1:23">
      <c r="A289" s="8" t="str">
        <f>IFERROR(INDEX(样本到样信息汇总统计!A$2:A$500,MATCH(288,样本到样信息汇总统计!$Z$2:$Z$500,0)),"")</f>
        <v/>
      </c>
      <c r="B289" s="8" t="str">
        <f>IFERROR(INDEX(样本到样信息汇总统计!B$2:B$500,MATCH(288,样本到样信息汇总统计!$Z$2:$Z$500,0)),"")</f>
        <v/>
      </c>
      <c r="C289" s="8" t="str">
        <f>IFERROR(INDEX(样本到样信息汇总统计!C$2:C$500,MATCH(288,样本到样信息汇总统计!$Z$2:$Z$500,0)),"")</f>
        <v/>
      </c>
      <c r="D289" s="8" t="str">
        <f>IFERROR(INDEX(样本到样信息汇总统计!D$2:D$500,MATCH(288,样本到样信息汇总统计!$Z$2:$Z$500,0)),"")</f>
        <v/>
      </c>
      <c r="E289" s="8" t="str">
        <f>IFERROR(INDEX(样本到样信息汇总统计!E$2:E$500,MATCH(288,样本到样信息汇总统计!$Z$2:$Z$500,0)),"")</f>
        <v/>
      </c>
      <c r="F289" s="8" t="str">
        <f>IFERROR(INDEX(样本到样信息汇总统计!F$2:F$500,MATCH(288,样本到样信息汇总统计!$Z$2:$Z$500,0)),"")</f>
        <v/>
      </c>
      <c r="G289" s="8" t="str">
        <f>IFERROR(INDEX(样本到样信息汇总统计!G$2:G$500,MATCH(288,样本到样信息汇总统计!$Z$2:$Z$500,0)),"")</f>
        <v/>
      </c>
      <c r="H289" s="8" t="str">
        <f>IFERROR(INDEX(样本到样信息汇总统计!H$2:H$500,MATCH(288,样本到样信息汇总统计!$Z$2:$Z$500,0)),"")</f>
        <v/>
      </c>
      <c r="I289" s="8" t="str">
        <f>IFERROR(INDEX(样本到样信息汇总统计!I$2:I$500,MATCH(288,样本到样信息汇总统计!$Z$2:$Z$500,0)),"")</f>
        <v/>
      </c>
      <c r="J289" s="8" t="str">
        <f>IFERROR(INDEX(样本到样信息汇总统计!J$2:J$500,MATCH(288,样本到样信息汇总统计!$Z$2:$Z$500,0)),"")</f>
        <v/>
      </c>
      <c r="K289" s="8" t="str">
        <f>IFERROR(INDEX(样本到样信息汇总统计!K$2:K$500,MATCH(288,样本到样信息汇总统计!$Z$2:$Z$500,0)),"")</f>
        <v/>
      </c>
      <c r="L289" s="8" t="str">
        <f>IFERROR(INDEX(样本到样信息汇总统计!L$2:L$500,MATCH(288,样本到样信息汇总统计!$Z$2:$Z$500,0)),"")</f>
        <v/>
      </c>
      <c r="M289" s="8" t="str">
        <f>IFERROR(INDEX(样本到样信息汇总统计!M$2:M$500,MATCH(288,样本到样信息汇总统计!$Z$2:$Z$500,0)),"")</f>
        <v/>
      </c>
      <c r="N289" s="8" t="str">
        <f>IFERROR(INDEX(样本到样信息汇总统计!N$2:N$500,MATCH(288,样本到样信息汇总统计!$Z$2:$Z$500,0)),"")</f>
        <v/>
      </c>
      <c r="O289" s="8" t="str">
        <f>IFERROR(INDEX(样本到样信息汇总统计!O$2:O$500,MATCH(288,样本到样信息汇总统计!$Z$2:$Z$500,0)),"")</f>
        <v/>
      </c>
      <c r="P289" s="8" t="str">
        <f>IFERROR(INDEX(样本到样信息汇总统计!P$2:P$500,MATCH(288,样本到样信息汇总统计!$Z$2:$Z$500,0)),"")</f>
        <v/>
      </c>
      <c r="Q289" s="8" t="str">
        <f>IFERROR(INDEX(样本到样信息汇总统计!Q$2:Q$500,MATCH(288,样本到样信息汇总统计!$Z$2:$Z$500,0)),"")</f>
        <v/>
      </c>
      <c r="R289" s="8" t="str">
        <f>IFERROR(INDEX(样本到样信息汇总统计!R$2:R$500,MATCH(288,样本到样信息汇总统计!$Z$2:$Z$500,0)),"")</f>
        <v/>
      </c>
      <c r="S289" s="8" t="str">
        <f>IFERROR(INDEX(样本到样信息汇总统计!S$2:S$500,MATCH(288,样本到样信息汇总统计!$Z$2:$Z$500,0)),"")</f>
        <v/>
      </c>
      <c r="T289" s="8" t="str">
        <f>IFERROR(INDEX(样本到样信息汇总统计!T$2:T$500,MATCH(288,样本到样信息汇总统计!$Z$2:$Z$500,0)),"")</f>
        <v/>
      </c>
      <c r="U289" s="8" t="str">
        <f>IFERROR(INDEX(样本到样信息汇总统计!U$2:U$500,MATCH(288,样本到样信息汇总统计!$Z$2:$Z$500,0)),"")</f>
        <v/>
      </c>
      <c r="V289" s="8" t="str">
        <f>IFERROR(INDEX(样本到样信息汇总统计!V$2:V$500,MATCH(288,样本到样信息汇总统计!$Z$2:$Z$500,0)),"")</f>
        <v/>
      </c>
      <c r="W289" s="8" t="str">
        <f>IFERROR(INDEX(样本到样信息汇总统计!W$2:W$500,MATCH(288,样本到样信息汇总统计!$Z$2:$Z$500,0)),"")</f>
        <v/>
      </c>
    </row>
    <row r="290" ht="14.5" spans="1:23">
      <c r="A290" s="4" t="str">
        <f>IFERROR(INDEX(样本到样信息汇总统计!A$2:A$500,MATCH(289,样本到样信息汇总统计!$Z$2:$Z$500,0)),"")</f>
        <v/>
      </c>
      <c r="B290" s="4" t="str">
        <f>IFERROR(INDEX(样本到样信息汇总统计!B$2:B$500,MATCH(289,样本到样信息汇总统计!$Z$2:$Z$500,0)),"")</f>
        <v/>
      </c>
      <c r="C290" s="4" t="str">
        <f>IFERROR(INDEX(样本到样信息汇总统计!C$2:C$500,MATCH(289,样本到样信息汇总统计!$Z$2:$Z$500,0)),"")</f>
        <v/>
      </c>
      <c r="D290" s="4" t="str">
        <f>IFERROR(INDEX(样本到样信息汇总统计!D$2:D$500,MATCH(289,样本到样信息汇总统计!$Z$2:$Z$500,0)),"")</f>
        <v/>
      </c>
      <c r="E290" s="4" t="str">
        <f>IFERROR(INDEX(样本到样信息汇总统计!E$2:E$500,MATCH(289,样本到样信息汇总统计!$Z$2:$Z$500,0)),"")</f>
        <v/>
      </c>
      <c r="F290" s="4" t="str">
        <f>IFERROR(INDEX(样本到样信息汇总统计!F$2:F$500,MATCH(289,样本到样信息汇总统计!$Z$2:$Z$500,0)),"")</f>
        <v/>
      </c>
      <c r="G290" s="4" t="str">
        <f>IFERROR(INDEX(样本到样信息汇总统计!G$2:G$500,MATCH(289,样本到样信息汇总统计!$Z$2:$Z$500,0)),"")</f>
        <v/>
      </c>
      <c r="H290" s="4" t="str">
        <f>IFERROR(INDEX(样本到样信息汇总统计!H$2:H$500,MATCH(289,样本到样信息汇总统计!$Z$2:$Z$500,0)),"")</f>
        <v/>
      </c>
      <c r="I290" s="4" t="str">
        <f>IFERROR(INDEX(样本到样信息汇总统计!I$2:I$500,MATCH(289,样本到样信息汇总统计!$Z$2:$Z$500,0)),"")</f>
        <v/>
      </c>
      <c r="J290" s="4" t="str">
        <f>IFERROR(INDEX(样本到样信息汇总统计!J$2:J$500,MATCH(289,样本到样信息汇总统计!$Z$2:$Z$500,0)),"")</f>
        <v/>
      </c>
      <c r="K290" s="4" t="str">
        <f>IFERROR(INDEX(样本到样信息汇总统计!K$2:K$500,MATCH(289,样本到样信息汇总统计!$Z$2:$Z$500,0)),"")</f>
        <v/>
      </c>
      <c r="L290" s="4" t="str">
        <f>IFERROR(INDEX(样本到样信息汇总统计!L$2:L$500,MATCH(289,样本到样信息汇总统计!$Z$2:$Z$500,0)),"")</f>
        <v/>
      </c>
      <c r="M290" s="4" t="str">
        <f>IFERROR(INDEX(样本到样信息汇总统计!M$2:M$500,MATCH(289,样本到样信息汇总统计!$Z$2:$Z$500,0)),"")</f>
        <v/>
      </c>
      <c r="N290" s="4" t="str">
        <f>IFERROR(INDEX(样本到样信息汇总统计!N$2:N$500,MATCH(289,样本到样信息汇总统计!$Z$2:$Z$500,0)),"")</f>
        <v/>
      </c>
      <c r="O290" s="4" t="str">
        <f>IFERROR(INDEX(样本到样信息汇总统计!O$2:O$500,MATCH(289,样本到样信息汇总统计!$Z$2:$Z$500,0)),"")</f>
        <v/>
      </c>
      <c r="P290" s="4" t="str">
        <f>IFERROR(INDEX(样本到样信息汇总统计!P$2:P$500,MATCH(289,样本到样信息汇总统计!$Z$2:$Z$500,0)),"")</f>
        <v/>
      </c>
      <c r="Q290" s="4" t="str">
        <f>IFERROR(INDEX(样本到样信息汇总统计!Q$2:Q$500,MATCH(289,样本到样信息汇总统计!$Z$2:$Z$500,0)),"")</f>
        <v/>
      </c>
      <c r="R290" s="4" t="str">
        <f>IFERROR(INDEX(样本到样信息汇总统计!R$2:R$500,MATCH(289,样本到样信息汇总统计!$Z$2:$Z$500,0)),"")</f>
        <v/>
      </c>
      <c r="S290" s="4" t="str">
        <f>IFERROR(INDEX(样本到样信息汇总统计!S$2:S$500,MATCH(289,样本到样信息汇总统计!$Z$2:$Z$500,0)),"")</f>
        <v/>
      </c>
      <c r="T290" s="4" t="str">
        <f>IFERROR(INDEX(样本到样信息汇总统计!T$2:T$500,MATCH(289,样本到样信息汇总统计!$Z$2:$Z$500,0)),"")</f>
        <v/>
      </c>
      <c r="U290" s="4" t="str">
        <f>IFERROR(INDEX(样本到样信息汇总统计!U$2:U$500,MATCH(289,样本到样信息汇总统计!$Z$2:$Z$500,0)),"")</f>
        <v/>
      </c>
      <c r="V290" s="4" t="str">
        <f>IFERROR(INDEX(样本到样信息汇总统计!V$2:V$500,MATCH(289,样本到样信息汇总统计!$Z$2:$Z$500,0)),"")</f>
        <v/>
      </c>
      <c r="W290" s="4" t="str">
        <f>IFERROR(INDEX(样本到样信息汇总统计!W$2:W$500,MATCH(289,样本到样信息汇总统计!$Z$2:$Z$500,0)),"")</f>
        <v/>
      </c>
    </row>
    <row r="291" ht="14.5" spans="1:23">
      <c r="A291" s="8" t="str">
        <f>IFERROR(INDEX(样本到样信息汇总统计!A$2:A$500,MATCH(290,样本到样信息汇总统计!$Z$2:$Z$500,0)),"")</f>
        <v/>
      </c>
      <c r="B291" s="8" t="str">
        <f>IFERROR(INDEX(样本到样信息汇总统计!B$2:B$500,MATCH(290,样本到样信息汇总统计!$Z$2:$Z$500,0)),"")</f>
        <v/>
      </c>
      <c r="C291" s="8" t="str">
        <f>IFERROR(INDEX(样本到样信息汇总统计!C$2:C$500,MATCH(290,样本到样信息汇总统计!$Z$2:$Z$500,0)),"")</f>
        <v/>
      </c>
      <c r="D291" s="8" t="str">
        <f>IFERROR(INDEX(样本到样信息汇总统计!D$2:D$500,MATCH(290,样本到样信息汇总统计!$Z$2:$Z$500,0)),"")</f>
        <v/>
      </c>
      <c r="E291" s="8" t="str">
        <f>IFERROR(INDEX(样本到样信息汇总统计!E$2:E$500,MATCH(290,样本到样信息汇总统计!$Z$2:$Z$500,0)),"")</f>
        <v/>
      </c>
      <c r="F291" s="8" t="str">
        <f>IFERROR(INDEX(样本到样信息汇总统计!F$2:F$500,MATCH(290,样本到样信息汇总统计!$Z$2:$Z$500,0)),"")</f>
        <v/>
      </c>
      <c r="G291" s="8" t="str">
        <f>IFERROR(INDEX(样本到样信息汇总统计!G$2:G$500,MATCH(290,样本到样信息汇总统计!$Z$2:$Z$500,0)),"")</f>
        <v/>
      </c>
      <c r="H291" s="8" t="str">
        <f>IFERROR(INDEX(样本到样信息汇总统计!H$2:H$500,MATCH(290,样本到样信息汇总统计!$Z$2:$Z$500,0)),"")</f>
        <v/>
      </c>
      <c r="I291" s="8" t="str">
        <f>IFERROR(INDEX(样本到样信息汇总统计!I$2:I$500,MATCH(290,样本到样信息汇总统计!$Z$2:$Z$500,0)),"")</f>
        <v/>
      </c>
      <c r="J291" s="8" t="str">
        <f>IFERROR(INDEX(样本到样信息汇总统计!J$2:J$500,MATCH(290,样本到样信息汇总统计!$Z$2:$Z$500,0)),"")</f>
        <v/>
      </c>
      <c r="K291" s="8" t="str">
        <f>IFERROR(INDEX(样本到样信息汇总统计!K$2:K$500,MATCH(290,样本到样信息汇总统计!$Z$2:$Z$500,0)),"")</f>
        <v/>
      </c>
      <c r="L291" s="8" t="str">
        <f>IFERROR(INDEX(样本到样信息汇总统计!L$2:L$500,MATCH(290,样本到样信息汇总统计!$Z$2:$Z$500,0)),"")</f>
        <v/>
      </c>
      <c r="M291" s="8" t="str">
        <f>IFERROR(INDEX(样本到样信息汇总统计!M$2:M$500,MATCH(290,样本到样信息汇总统计!$Z$2:$Z$500,0)),"")</f>
        <v/>
      </c>
      <c r="N291" s="8" t="str">
        <f>IFERROR(INDEX(样本到样信息汇总统计!N$2:N$500,MATCH(290,样本到样信息汇总统计!$Z$2:$Z$500,0)),"")</f>
        <v/>
      </c>
      <c r="O291" s="8" t="str">
        <f>IFERROR(INDEX(样本到样信息汇总统计!O$2:O$500,MATCH(290,样本到样信息汇总统计!$Z$2:$Z$500,0)),"")</f>
        <v/>
      </c>
      <c r="P291" s="8" t="str">
        <f>IFERROR(INDEX(样本到样信息汇总统计!P$2:P$500,MATCH(290,样本到样信息汇总统计!$Z$2:$Z$500,0)),"")</f>
        <v/>
      </c>
      <c r="Q291" s="8" t="str">
        <f>IFERROR(INDEX(样本到样信息汇总统计!Q$2:Q$500,MATCH(290,样本到样信息汇总统计!$Z$2:$Z$500,0)),"")</f>
        <v/>
      </c>
      <c r="R291" s="8" t="str">
        <f>IFERROR(INDEX(样本到样信息汇总统计!R$2:R$500,MATCH(290,样本到样信息汇总统计!$Z$2:$Z$500,0)),"")</f>
        <v/>
      </c>
      <c r="S291" s="8" t="str">
        <f>IFERROR(INDEX(样本到样信息汇总统计!S$2:S$500,MATCH(290,样本到样信息汇总统计!$Z$2:$Z$500,0)),"")</f>
        <v/>
      </c>
      <c r="T291" s="8" t="str">
        <f>IFERROR(INDEX(样本到样信息汇总统计!T$2:T$500,MATCH(290,样本到样信息汇总统计!$Z$2:$Z$500,0)),"")</f>
        <v/>
      </c>
      <c r="U291" s="8" t="str">
        <f>IFERROR(INDEX(样本到样信息汇总统计!U$2:U$500,MATCH(290,样本到样信息汇总统计!$Z$2:$Z$500,0)),"")</f>
        <v/>
      </c>
      <c r="V291" s="8" t="str">
        <f>IFERROR(INDEX(样本到样信息汇总统计!V$2:V$500,MATCH(290,样本到样信息汇总统计!$Z$2:$Z$500,0)),"")</f>
        <v/>
      </c>
      <c r="W291" s="8" t="str">
        <f>IFERROR(INDEX(样本到样信息汇总统计!W$2:W$500,MATCH(290,样本到样信息汇总统计!$Z$2:$Z$500,0)),"")</f>
        <v/>
      </c>
    </row>
    <row r="292" ht="14.5" spans="1:23">
      <c r="A292" s="4" t="str">
        <f>IFERROR(INDEX(样本到样信息汇总统计!A$2:A$500,MATCH(291,样本到样信息汇总统计!$Z$2:$Z$500,0)),"")</f>
        <v/>
      </c>
      <c r="B292" s="4" t="str">
        <f>IFERROR(INDEX(样本到样信息汇总统计!B$2:B$500,MATCH(291,样本到样信息汇总统计!$Z$2:$Z$500,0)),"")</f>
        <v/>
      </c>
      <c r="C292" s="4" t="str">
        <f>IFERROR(INDEX(样本到样信息汇总统计!C$2:C$500,MATCH(291,样本到样信息汇总统计!$Z$2:$Z$500,0)),"")</f>
        <v/>
      </c>
      <c r="D292" s="4" t="str">
        <f>IFERROR(INDEX(样本到样信息汇总统计!D$2:D$500,MATCH(291,样本到样信息汇总统计!$Z$2:$Z$500,0)),"")</f>
        <v/>
      </c>
      <c r="E292" s="4" t="str">
        <f>IFERROR(INDEX(样本到样信息汇总统计!E$2:E$500,MATCH(291,样本到样信息汇总统计!$Z$2:$Z$500,0)),"")</f>
        <v/>
      </c>
      <c r="F292" s="4" t="str">
        <f>IFERROR(INDEX(样本到样信息汇总统计!F$2:F$500,MATCH(291,样本到样信息汇总统计!$Z$2:$Z$500,0)),"")</f>
        <v/>
      </c>
      <c r="G292" s="4" t="str">
        <f>IFERROR(INDEX(样本到样信息汇总统计!G$2:G$500,MATCH(291,样本到样信息汇总统计!$Z$2:$Z$500,0)),"")</f>
        <v/>
      </c>
      <c r="H292" s="4" t="str">
        <f>IFERROR(INDEX(样本到样信息汇总统计!H$2:H$500,MATCH(291,样本到样信息汇总统计!$Z$2:$Z$500,0)),"")</f>
        <v/>
      </c>
      <c r="I292" s="4" t="str">
        <f>IFERROR(INDEX(样本到样信息汇总统计!I$2:I$500,MATCH(291,样本到样信息汇总统计!$Z$2:$Z$500,0)),"")</f>
        <v/>
      </c>
      <c r="J292" s="4" t="str">
        <f>IFERROR(INDEX(样本到样信息汇总统计!J$2:J$500,MATCH(291,样本到样信息汇总统计!$Z$2:$Z$500,0)),"")</f>
        <v/>
      </c>
      <c r="K292" s="4" t="str">
        <f>IFERROR(INDEX(样本到样信息汇总统计!K$2:K$500,MATCH(291,样本到样信息汇总统计!$Z$2:$Z$500,0)),"")</f>
        <v/>
      </c>
      <c r="L292" s="4" t="str">
        <f>IFERROR(INDEX(样本到样信息汇总统计!L$2:L$500,MATCH(291,样本到样信息汇总统计!$Z$2:$Z$500,0)),"")</f>
        <v/>
      </c>
      <c r="M292" s="4" t="str">
        <f>IFERROR(INDEX(样本到样信息汇总统计!M$2:M$500,MATCH(291,样本到样信息汇总统计!$Z$2:$Z$500,0)),"")</f>
        <v/>
      </c>
      <c r="N292" s="4" t="str">
        <f>IFERROR(INDEX(样本到样信息汇总统计!N$2:N$500,MATCH(291,样本到样信息汇总统计!$Z$2:$Z$500,0)),"")</f>
        <v/>
      </c>
      <c r="O292" s="4" t="str">
        <f>IFERROR(INDEX(样本到样信息汇总统计!O$2:O$500,MATCH(291,样本到样信息汇总统计!$Z$2:$Z$500,0)),"")</f>
        <v/>
      </c>
      <c r="P292" s="4" t="str">
        <f>IFERROR(INDEX(样本到样信息汇总统计!P$2:P$500,MATCH(291,样本到样信息汇总统计!$Z$2:$Z$500,0)),"")</f>
        <v/>
      </c>
      <c r="Q292" s="4" t="str">
        <f>IFERROR(INDEX(样本到样信息汇总统计!Q$2:Q$500,MATCH(291,样本到样信息汇总统计!$Z$2:$Z$500,0)),"")</f>
        <v/>
      </c>
      <c r="R292" s="4" t="str">
        <f>IFERROR(INDEX(样本到样信息汇总统计!R$2:R$500,MATCH(291,样本到样信息汇总统计!$Z$2:$Z$500,0)),"")</f>
        <v/>
      </c>
      <c r="S292" s="4" t="str">
        <f>IFERROR(INDEX(样本到样信息汇总统计!S$2:S$500,MATCH(291,样本到样信息汇总统计!$Z$2:$Z$500,0)),"")</f>
        <v/>
      </c>
      <c r="T292" s="4" t="str">
        <f>IFERROR(INDEX(样本到样信息汇总统计!T$2:T$500,MATCH(291,样本到样信息汇总统计!$Z$2:$Z$500,0)),"")</f>
        <v/>
      </c>
      <c r="U292" s="4" t="str">
        <f>IFERROR(INDEX(样本到样信息汇总统计!U$2:U$500,MATCH(291,样本到样信息汇总统计!$Z$2:$Z$500,0)),"")</f>
        <v/>
      </c>
      <c r="V292" s="4" t="str">
        <f>IFERROR(INDEX(样本到样信息汇总统计!V$2:V$500,MATCH(291,样本到样信息汇总统计!$Z$2:$Z$500,0)),"")</f>
        <v/>
      </c>
      <c r="W292" s="4" t="str">
        <f>IFERROR(INDEX(样本到样信息汇总统计!W$2:W$500,MATCH(291,样本到样信息汇总统计!$Z$2:$Z$500,0)),"")</f>
        <v/>
      </c>
    </row>
    <row r="293" ht="14.5" spans="1:23">
      <c r="A293" s="8" t="str">
        <f>IFERROR(INDEX(样本到样信息汇总统计!A$2:A$500,MATCH(292,样本到样信息汇总统计!$Z$2:$Z$500,0)),"")</f>
        <v/>
      </c>
      <c r="B293" s="8" t="str">
        <f>IFERROR(INDEX(样本到样信息汇总统计!B$2:B$500,MATCH(292,样本到样信息汇总统计!$Z$2:$Z$500,0)),"")</f>
        <v/>
      </c>
      <c r="C293" s="8" t="str">
        <f>IFERROR(INDEX(样本到样信息汇总统计!C$2:C$500,MATCH(292,样本到样信息汇总统计!$Z$2:$Z$500,0)),"")</f>
        <v/>
      </c>
      <c r="D293" s="8" t="str">
        <f>IFERROR(INDEX(样本到样信息汇总统计!D$2:D$500,MATCH(292,样本到样信息汇总统计!$Z$2:$Z$500,0)),"")</f>
        <v/>
      </c>
      <c r="E293" s="8" t="str">
        <f>IFERROR(INDEX(样本到样信息汇总统计!E$2:E$500,MATCH(292,样本到样信息汇总统计!$Z$2:$Z$500,0)),"")</f>
        <v/>
      </c>
      <c r="F293" s="8" t="str">
        <f>IFERROR(INDEX(样本到样信息汇总统计!F$2:F$500,MATCH(292,样本到样信息汇总统计!$Z$2:$Z$500,0)),"")</f>
        <v/>
      </c>
      <c r="G293" s="8" t="str">
        <f>IFERROR(INDEX(样本到样信息汇总统计!G$2:G$500,MATCH(292,样本到样信息汇总统计!$Z$2:$Z$500,0)),"")</f>
        <v/>
      </c>
      <c r="H293" s="8" t="str">
        <f>IFERROR(INDEX(样本到样信息汇总统计!H$2:H$500,MATCH(292,样本到样信息汇总统计!$Z$2:$Z$500,0)),"")</f>
        <v/>
      </c>
      <c r="I293" s="8" t="str">
        <f>IFERROR(INDEX(样本到样信息汇总统计!I$2:I$500,MATCH(292,样本到样信息汇总统计!$Z$2:$Z$500,0)),"")</f>
        <v/>
      </c>
      <c r="J293" s="8" t="str">
        <f>IFERROR(INDEX(样本到样信息汇总统计!J$2:J$500,MATCH(292,样本到样信息汇总统计!$Z$2:$Z$500,0)),"")</f>
        <v/>
      </c>
      <c r="K293" s="8" t="str">
        <f>IFERROR(INDEX(样本到样信息汇总统计!K$2:K$500,MATCH(292,样本到样信息汇总统计!$Z$2:$Z$500,0)),"")</f>
        <v/>
      </c>
      <c r="L293" s="8" t="str">
        <f>IFERROR(INDEX(样本到样信息汇总统计!L$2:L$500,MATCH(292,样本到样信息汇总统计!$Z$2:$Z$500,0)),"")</f>
        <v/>
      </c>
      <c r="M293" s="8" t="str">
        <f>IFERROR(INDEX(样本到样信息汇总统计!M$2:M$500,MATCH(292,样本到样信息汇总统计!$Z$2:$Z$500,0)),"")</f>
        <v/>
      </c>
      <c r="N293" s="8" t="str">
        <f>IFERROR(INDEX(样本到样信息汇总统计!N$2:N$500,MATCH(292,样本到样信息汇总统计!$Z$2:$Z$500,0)),"")</f>
        <v/>
      </c>
      <c r="O293" s="8" t="str">
        <f>IFERROR(INDEX(样本到样信息汇总统计!O$2:O$500,MATCH(292,样本到样信息汇总统计!$Z$2:$Z$500,0)),"")</f>
        <v/>
      </c>
      <c r="P293" s="8" t="str">
        <f>IFERROR(INDEX(样本到样信息汇总统计!P$2:P$500,MATCH(292,样本到样信息汇总统计!$Z$2:$Z$500,0)),"")</f>
        <v/>
      </c>
      <c r="Q293" s="8" t="str">
        <f>IFERROR(INDEX(样本到样信息汇总统计!Q$2:Q$500,MATCH(292,样本到样信息汇总统计!$Z$2:$Z$500,0)),"")</f>
        <v/>
      </c>
      <c r="R293" s="8" t="str">
        <f>IFERROR(INDEX(样本到样信息汇总统计!R$2:R$500,MATCH(292,样本到样信息汇总统计!$Z$2:$Z$500,0)),"")</f>
        <v/>
      </c>
      <c r="S293" s="8" t="str">
        <f>IFERROR(INDEX(样本到样信息汇总统计!S$2:S$500,MATCH(292,样本到样信息汇总统计!$Z$2:$Z$500,0)),"")</f>
        <v/>
      </c>
      <c r="T293" s="8" t="str">
        <f>IFERROR(INDEX(样本到样信息汇总统计!T$2:T$500,MATCH(292,样本到样信息汇总统计!$Z$2:$Z$500,0)),"")</f>
        <v/>
      </c>
      <c r="U293" s="8" t="str">
        <f>IFERROR(INDEX(样本到样信息汇总统计!U$2:U$500,MATCH(292,样本到样信息汇总统计!$Z$2:$Z$500,0)),"")</f>
        <v/>
      </c>
      <c r="V293" s="8" t="str">
        <f>IFERROR(INDEX(样本到样信息汇总统计!V$2:V$500,MATCH(292,样本到样信息汇总统计!$Z$2:$Z$500,0)),"")</f>
        <v/>
      </c>
      <c r="W293" s="8" t="str">
        <f>IFERROR(INDEX(样本到样信息汇总统计!W$2:W$500,MATCH(292,样本到样信息汇总统计!$Z$2:$Z$500,0)),"")</f>
        <v/>
      </c>
    </row>
    <row r="294" ht="14.5" spans="1:23">
      <c r="A294" s="4" t="str">
        <f>IFERROR(INDEX(样本到样信息汇总统计!A$2:A$500,MATCH(293,样本到样信息汇总统计!$Z$2:$Z$500,0)),"")</f>
        <v/>
      </c>
      <c r="B294" s="4" t="str">
        <f>IFERROR(INDEX(样本到样信息汇总统计!B$2:B$500,MATCH(293,样本到样信息汇总统计!$Z$2:$Z$500,0)),"")</f>
        <v/>
      </c>
      <c r="C294" s="4" t="str">
        <f>IFERROR(INDEX(样本到样信息汇总统计!C$2:C$500,MATCH(293,样本到样信息汇总统计!$Z$2:$Z$500,0)),"")</f>
        <v/>
      </c>
      <c r="D294" s="4" t="str">
        <f>IFERROR(INDEX(样本到样信息汇总统计!D$2:D$500,MATCH(293,样本到样信息汇总统计!$Z$2:$Z$500,0)),"")</f>
        <v/>
      </c>
      <c r="E294" s="4" t="str">
        <f>IFERROR(INDEX(样本到样信息汇总统计!E$2:E$500,MATCH(293,样本到样信息汇总统计!$Z$2:$Z$500,0)),"")</f>
        <v/>
      </c>
      <c r="F294" s="4" t="str">
        <f>IFERROR(INDEX(样本到样信息汇总统计!F$2:F$500,MATCH(293,样本到样信息汇总统计!$Z$2:$Z$500,0)),"")</f>
        <v/>
      </c>
      <c r="G294" s="4" t="str">
        <f>IFERROR(INDEX(样本到样信息汇总统计!G$2:G$500,MATCH(293,样本到样信息汇总统计!$Z$2:$Z$500,0)),"")</f>
        <v/>
      </c>
      <c r="H294" s="4" t="str">
        <f>IFERROR(INDEX(样本到样信息汇总统计!H$2:H$500,MATCH(293,样本到样信息汇总统计!$Z$2:$Z$500,0)),"")</f>
        <v/>
      </c>
      <c r="I294" s="4" t="str">
        <f>IFERROR(INDEX(样本到样信息汇总统计!I$2:I$500,MATCH(293,样本到样信息汇总统计!$Z$2:$Z$500,0)),"")</f>
        <v/>
      </c>
      <c r="J294" s="4" t="str">
        <f>IFERROR(INDEX(样本到样信息汇总统计!J$2:J$500,MATCH(293,样本到样信息汇总统计!$Z$2:$Z$500,0)),"")</f>
        <v/>
      </c>
      <c r="K294" s="4" t="str">
        <f>IFERROR(INDEX(样本到样信息汇总统计!K$2:K$500,MATCH(293,样本到样信息汇总统计!$Z$2:$Z$500,0)),"")</f>
        <v/>
      </c>
      <c r="L294" s="4" t="str">
        <f>IFERROR(INDEX(样本到样信息汇总统计!L$2:L$500,MATCH(293,样本到样信息汇总统计!$Z$2:$Z$500,0)),"")</f>
        <v/>
      </c>
      <c r="M294" s="4" t="str">
        <f>IFERROR(INDEX(样本到样信息汇总统计!M$2:M$500,MATCH(293,样本到样信息汇总统计!$Z$2:$Z$500,0)),"")</f>
        <v/>
      </c>
      <c r="N294" s="4" t="str">
        <f>IFERROR(INDEX(样本到样信息汇总统计!N$2:N$500,MATCH(293,样本到样信息汇总统计!$Z$2:$Z$500,0)),"")</f>
        <v/>
      </c>
      <c r="O294" s="4" t="str">
        <f>IFERROR(INDEX(样本到样信息汇总统计!O$2:O$500,MATCH(293,样本到样信息汇总统计!$Z$2:$Z$500,0)),"")</f>
        <v/>
      </c>
      <c r="P294" s="4" t="str">
        <f>IFERROR(INDEX(样本到样信息汇总统计!P$2:P$500,MATCH(293,样本到样信息汇总统计!$Z$2:$Z$500,0)),"")</f>
        <v/>
      </c>
      <c r="Q294" s="4" t="str">
        <f>IFERROR(INDEX(样本到样信息汇总统计!Q$2:Q$500,MATCH(293,样本到样信息汇总统计!$Z$2:$Z$500,0)),"")</f>
        <v/>
      </c>
      <c r="R294" s="4" t="str">
        <f>IFERROR(INDEX(样本到样信息汇总统计!R$2:R$500,MATCH(293,样本到样信息汇总统计!$Z$2:$Z$500,0)),"")</f>
        <v/>
      </c>
      <c r="S294" s="4" t="str">
        <f>IFERROR(INDEX(样本到样信息汇总统计!S$2:S$500,MATCH(293,样本到样信息汇总统计!$Z$2:$Z$500,0)),"")</f>
        <v/>
      </c>
      <c r="T294" s="4" t="str">
        <f>IFERROR(INDEX(样本到样信息汇总统计!T$2:T$500,MATCH(293,样本到样信息汇总统计!$Z$2:$Z$500,0)),"")</f>
        <v/>
      </c>
      <c r="U294" s="4" t="str">
        <f>IFERROR(INDEX(样本到样信息汇总统计!U$2:U$500,MATCH(293,样本到样信息汇总统计!$Z$2:$Z$500,0)),"")</f>
        <v/>
      </c>
      <c r="V294" s="4" t="str">
        <f>IFERROR(INDEX(样本到样信息汇总统计!V$2:V$500,MATCH(293,样本到样信息汇总统计!$Z$2:$Z$500,0)),"")</f>
        <v/>
      </c>
      <c r="W294" s="4" t="str">
        <f>IFERROR(INDEX(样本到样信息汇总统计!W$2:W$500,MATCH(293,样本到样信息汇总统计!$Z$2:$Z$500,0)),"")</f>
        <v/>
      </c>
    </row>
    <row r="295" ht="14.5" spans="1:23">
      <c r="A295" s="8" t="str">
        <f>IFERROR(INDEX(样本到样信息汇总统计!A$2:A$500,MATCH(294,样本到样信息汇总统计!$Z$2:$Z$500,0)),"")</f>
        <v/>
      </c>
      <c r="B295" s="8" t="str">
        <f>IFERROR(INDEX(样本到样信息汇总统计!B$2:B$500,MATCH(294,样本到样信息汇总统计!$Z$2:$Z$500,0)),"")</f>
        <v/>
      </c>
      <c r="C295" s="8" t="str">
        <f>IFERROR(INDEX(样本到样信息汇总统计!C$2:C$500,MATCH(294,样本到样信息汇总统计!$Z$2:$Z$500,0)),"")</f>
        <v/>
      </c>
      <c r="D295" s="8" t="str">
        <f>IFERROR(INDEX(样本到样信息汇总统计!D$2:D$500,MATCH(294,样本到样信息汇总统计!$Z$2:$Z$500,0)),"")</f>
        <v/>
      </c>
      <c r="E295" s="8" t="str">
        <f>IFERROR(INDEX(样本到样信息汇总统计!E$2:E$500,MATCH(294,样本到样信息汇总统计!$Z$2:$Z$500,0)),"")</f>
        <v/>
      </c>
      <c r="F295" s="8" t="str">
        <f>IFERROR(INDEX(样本到样信息汇总统计!F$2:F$500,MATCH(294,样本到样信息汇总统计!$Z$2:$Z$500,0)),"")</f>
        <v/>
      </c>
      <c r="G295" s="8" t="str">
        <f>IFERROR(INDEX(样本到样信息汇总统计!G$2:G$500,MATCH(294,样本到样信息汇总统计!$Z$2:$Z$500,0)),"")</f>
        <v/>
      </c>
      <c r="H295" s="8" t="str">
        <f>IFERROR(INDEX(样本到样信息汇总统计!H$2:H$500,MATCH(294,样本到样信息汇总统计!$Z$2:$Z$500,0)),"")</f>
        <v/>
      </c>
      <c r="I295" s="8" t="str">
        <f>IFERROR(INDEX(样本到样信息汇总统计!I$2:I$500,MATCH(294,样本到样信息汇总统计!$Z$2:$Z$500,0)),"")</f>
        <v/>
      </c>
      <c r="J295" s="8" t="str">
        <f>IFERROR(INDEX(样本到样信息汇总统计!J$2:J$500,MATCH(294,样本到样信息汇总统计!$Z$2:$Z$500,0)),"")</f>
        <v/>
      </c>
      <c r="K295" s="8" t="str">
        <f>IFERROR(INDEX(样本到样信息汇总统计!K$2:K$500,MATCH(294,样本到样信息汇总统计!$Z$2:$Z$500,0)),"")</f>
        <v/>
      </c>
      <c r="L295" s="8" t="str">
        <f>IFERROR(INDEX(样本到样信息汇总统计!L$2:L$500,MATCH(294,样本到样信息汇总统计!$Z$2:$Z$500,0)),"")</f>
        <v/>
      </c>
      <c r="M295" s="8" t="str">
        <f>IFERROR(INDEX(样本到样信息汇总统计!M$2:M$500,MATCH(294,样本到样信息汇总统计!$Z$2:$Z$500,0)),"")</f>
        <v/>
      </c>
      <c r="N295" s="8" t="str">
        <f>IFERROR(INDEX(样本到样信息汇总统计!N$2:N$500,MATCH(294,样本到样信息汇总统计!$Z$2:$Z$500,0)),"")</f>
        <v/>
      </c>
      <c r="O295" s="8" t="str">
        <f>IFERROR(INDEX(样本到样信息汇总统计!O$2:O$500,MATCH(294,样本到样信息汇总统计!$Z$2:$Z$500,0)),"")</f>
        <v/>
      </c>
      <c r="P295" s="8" t="str">
        <f>IFERROR(INDEX(样本到样信息汇总统计!P$2:P$500,MATCH(294,样本到样信息汇总统计!$Z$2:$Z$500,0)),"")</f>
        <v/>
      </c>
      <c r="Q295" s="8" t="str">
        <f>IFERROR(INDEX(样本到样信息汇总统计!Q$2:Q$500,MATCH(294,样本到样信息汇总统计!$Z$2:$Z$500,0)),"")</f>
        <v/>
      </c>
      <c r="R295" s="8" t="str">
        <f>IFERROR(INDEX(样本到样信息汇总统计!R$2:R$500,MATCH(294,样本到样信息汇总统计!$Z$2:$Z$500,0)),"")</f>
        <v/>
      </c>
      <c r="S295" s="8" t="str">
        <f>IFERROR(INDEX(样本到样信息汇总统计!S$2:S$500,MATCH(294,样本到样信息汇总统计!$Z$2:$Z$500,0)),"")</f>
        <v/>
      </c>
      <c r="T295" s="8" t="str">
        <f>IFERROR(INDEX(样本到样信息汇总统计!T$2:T$500,MATCH(294,样本到样信息汇总统计!$Z$2:$Z$500,0)),"")</f>
        <v/>
      </c>
      <c r="U295" s="8" t="str">
        <f>IFERROR(INDEX(样本到样信息汇总统计!U$2:U$500,MATCH(294,样本到样信息汇总统计!$Z$2:$Z$500,0)),"")</f>
        <v/>
      </c>
      <c r="V295" s="8" t="str">
        <f>IFERROR(INDEX(样本到样信息汇总统计!V$2:V$500,MATCH(294,样本到样信息汇总统计!$Z$2:$Z$500,0)),"")</f>
        <v/>
      </c>
      <c r="W295" s="8" t="str">
        <f>IFERROR(INDEX(样本到样信息汇总统计!W$2:W$500,MATCH(294,样本到样信息汇总统计!$Z$2:$Z$500,0)),"")</f>
        <v/>
      </c>
    </row>
    <row r="296" ht="14.5" spans="1:23">
      <c r="A296" s="4" t="str">
        <f>IFERROR(INDEX(样本到样信息汇总统计!A$2:A$500,MATCH(295,样本到样信息汇总统计!$Z$2:$Z$500,0)),"")</f>
        <v/>
      </c>
      <c r="B296" s="4" t="str">
        <f>IFERROR(INDEX(样本到样信息汇总统计!B$2:B$500,MATCH(295,样本到样信息汇总统计!$Z$2:$Z$500,0)),"")</f>
        <v/>
      </c>
      <c r="C296" s="4" t="str">
        <f>IFERROR(INDEX(样本到样信息汇总统计!C$2:C$500,MATCH(295,样本到样信息汇总统计!$Z$2:$Z$500,0)),"")</f>
        <v/>
      </c>
      <c r="D296" s="4" t="str">
        <f>IFERROR(INDEX(样本到样信息汇总统计!D$2:D$500,MATCH(295,样本到样信息汇总统计!$Z$2:$Z$500,0)),"")</f>
        <v/>
      </c>
      <c r="E296" s="4" t="str">
        <f>IFERROR(INDEX(样本到样信息汇总统计!E$2:E$500,MATCH(295,样本到样信息汇总统计!$Z$2:$Z$500,0)),"")</f>
        <v/>
      </c>
      <c r="F296" s="4" t="str">
        <f>IFERROR(INDEX(样本到样信息汇总统计!F$2:F$500,MATCH(295,样本到样信息汇总统计!$Z$2:$Z$500,0)),"")</f>
        <v/>
      </c>
      <c r="G296" s="4" t="str">
        <f>IFERROR(INDEX(样本到样信息汇总统计!G$2:G$500,MATCH(295,样本到样信息汇总统计!$Z$2:$Z$500,0)),"")</f>
        <v/>
      </c>
      <c r="H296" s="4" t="str">
        <f>IFERROR(INDEX(样本到样信息汇总统计!H$2:H$500,MATCH(295,样本到样信息汇总统计!$Z$2:$Z$500,0)),"")</f>
        <v/>
      </c>
      <c r="I296" s="4" t="str">
        <f>IFERROR(INDEX(样本到样信息汇总统计!I$2:I$500,MATCH(295,样本到样信息汇总统计!$Z$2:$Z$500,0)),"")</f>
        <v/>
      </c>
      <c r="J296" s="4" t="str">
        <f>IFERROR(INDEX(样本到样信息汇总统计!J$2:J$500,MATCH(295,样本到样信息汇总统计!$Z$2:$Z$500,0)),"")</f>
        <v/>
      </c>
      <c r="K296" s="4" t="str">
        <f>IFERROR(INDEX(样本到样信息汇总统计!K$2:K$500,MATCH(295,样本到样信息汇总统计!$Z$2:$Z$500,0)),"")</f>
        <v/>
      </c>
      <c r="L296" s="4" t="str">
        <f>IFERROR(INDEX(样本到样信息汇总统计!L$2:L$500,MATCH(295,样本到样信息汇总统计!$Z$2:$Z$500,0)),"")</f>
        <v/>
      </c>
      <c r="M296" s="4" t="str">
        <f>IFERROR(INDEX(样本到样信息汇总统计!M$2:M$500,MATCH(295,样本到样信息汇总统计!$Z$2:$Z$500,0)),"")</f>
        <v/>
      </c>
      <c r="N296" s="4" t="str">
        <f>IFERROR(INDEX(样本到样信息汇总统计!N$2:N$500,MATCH(295,样本到样信息汇总统计!$Z$2:$Z$500,0)),"")</f>
        <v/>
      </c>
      <c r="O296" s="4" t="str">
        <f>IFERROR(INDEX(样本到样信息汇总统计!O$2:O$500,MATCH(295,样本到样信息汇总统计!$Z$2:$Z$500,0)),"")</f>
        <v/>
      </c>
      <c r="P296" s="4" t="str">
        <f>IFERROR(INDEX(样本到样信息汇总统计!P$2:P$500,MATCH(295,样本到样信息汇总统计!$Z$2:$Z$500,0)),"")</f>
        <v/>
      </c>
      <c r="Q296" s="4" t="str">
        <f>IFERROR(INDEX(样本到样信息汇总统计!Q$2:Q$500,MATCH(295,样本到样信息汇总统计!$Z$2:$Z$500,0)),"")</f>
        <v/>
      </c>
      <c r="R296" s="4" t="str">
        <f>IFERROR(INDEX(样本到样信息汇总统计!R$2:R$500,MATCH(295,样本到样信息汇总统计!$Z$2:$Z$500,0)),"")</f>
        <v/>
      </c>
      <c r="S296" s="4" t="str">
        <f>IFERROR(INDEX(样本到样信息汇总统计!S$2:S$500,MATCH(295,样本到样信息汇总统计!$Z$2:$Z$500,0)),"")</f>
        <v/>
      </c>
      <c r="T296" s="4" t="str">
        <f>IFERROR(INDEX(样本到样信息汇总统计!T$2:T$500,MATCH(295,样本到样信息汇总统计!$Z$2:$Z$500,0)),"")</f>
        <v/>
      </c>
      <c r="U296" s="4" t="str">
        <f>IFERROR(INDEX(样本到样信息汇总统计!U$2:U$500,MATCH(295,样本到样信息汇总统计!$Z$2:$Z$500,0)),"")</f>
        <v/>
      </c>
      <c r="V296" s="4" t="str">
        <f>IFERROR(INDEX(样本到样信息汇总统计!V$2:V$500,MATCH(295,样本到样信息汇总统计!$Z$2:$Z$500,0)),"")</f>
        <v/>
      </c>
      <c r="W296" s="4" t="str">
        <f>IFERROR(INDEX(样本到样信息汇总统计!W$2:W$500,MATCH(295,样本到样信息汇总统计!$Z$2:$Z$500,0)),"")</f>
        <v/>
      </c>
    </row>
    <row r="297" ht="14.5" spans="1:23">
      <c r="A297" s="8" t="str">
        <f>IFERROR(INDEX(样本到样信息汇总统计!A$2:A$500,MATCH(296,样本到样信息汇总统计!$Z$2:$Z$500,0)),"")</f>
        <v/>
      </c>
      <c r="B297" s="8" t="str">
        <f>IFERROR(INDEX(样本到样信息汇总统计!B$2:B$500,MATCH(296,样本到样信息汇总统计!$Z$2:$Z$500,0)),"")</f>
        <v/>
      </c>
      <c r="C297" s="8" t="str">
        <f>IFERROR(INDEX(样本到样信息汇总统计!C$2:C$500,MATCH(296,样本到样信息汇总统计!$Z$2:$Z$500,0)),"")</f>
        <v/>
      </c>
      <c r="D297" s="8" t="str">
        <f>IFERROR(INDEX(样本到样信息汇总统计!D$2:D$500,MATCH(296,样本到样信息汇总统计!$Z$2:$Z$500,0)),"")</f>
        <v/>
      </c>
      <c r="E297" s="8" t="str">
        <f>IFERROR(INDEX(样本到样信息汇总统计!E$2:E$500,MATCH(296,样本到样信息汇总统计!$Z$2:$Z$500,0)),"")</f>
        <v/>
      </c>
      <c r="F297" s="8" t="str">
        <f>IFERROR(INDEX(样本到样信息汇总统计!F$2:F$500,MATCH(296,样本到样信息汇总统计!$Z$2:$Z$500,0)),"")</f>
        <v/>
      </c>
      <c r="G297" s="8" t="str">
        <f>IFERROR(INDEX(样本到样信息汇总统计!G$2:G$500,MATCH(296,样本到样信息汇总统计!$Z$2:$Z$500,0)),"")</f>
        <v/>
      </c>
      <c r="H297" s="8" t="str">
        <f>IFERROR(INDEX(样本到样信息汇总统计!H$2:H$500,MATCH(296,样本到样信息汇总统计!$Z$2:$Z$500,0)),"")</f>
        <v/>
      </c>
      <c r="I297" s="8" t="str">
        <f>IFERROR(INDEX(样本到样信息汇总统计!I$2:I$500,MATCH(296,样本到样信息汇总统计!$Z$2:$Z$500,0)),"")</f>
        <v/>
      </c>
      <c r="J297" s="8" t="str">
        <f>IFERROR(INDEX(样本到样信息汇总统计!J$2:J$500,MATCH(296,样本到样信息汇总统计!$Z$2:$Z$500,0)),"")</f>
        <v/>
      </c>
      <c r="K297" s="8" t="str">
        <f>IFERROR(INDEX(样本到样信息汇总统计!K$2:K$500,MATCH(296,样本到样信息汇总统计!$Z$2:$Z$500,0)),"")</f>
        <v/>
      </c>
      <c r="L297" s="8" t="str">
        <f>IFERROR(INDEX(样本到样信息汇总统计!L$2:L$500,MATCH(296,样本到样信息汇总统计!$Z$2:$Z$500,0)),"")</f>
        <v/>
      </c>
      <c r="M297" s="8" t="str">
        <f>IFERROR(INDEX(样本到样信息汇总统计!M$2:M$500,MATCH(296,样本到样信息汇总统计!$Z$2:$Z$500,0)),"")</f>
        <v/>
      </c>
      <c r="N297" s="8" t="str">
        <f>IFERROR(INDEX(样本到样信息汇总统计!N$2:N$500,MATCH(296,样本到样信息汇总统计!$Z$2:$Z$500,0)),"")</f>
        <v/>
      </c>
      <c r="O297" s="8" t="str">
        <f>IFERROR(INDEX(样本到样信息汇总统计!O$2:O$500,MATCH(296,样本到样信息汇总统计!$Z$2:$Z$500,0)),"")</f>
        <v/>
      </c>
      <c r="P297" s="8" t="str">
        <f>IFERROR(INDEX(样本到样信息汇总统计!P$2:P$500,MATCH(296,样本到样信息汇总统计!$Z$2:$Z$500,0)),"")</f>
        <v/>
      </c>
      <c r="Q297" s="8" t="str">
        <f>IFERROR(INDEX(样本到样信息汇总统计!Q$2:Q$500,MATCH(296,样本到样信息汇总统计!$Z$2:$Z$500,0)),"")</f>
        <v/>
      </c>
      <c r="R297" s="8" t="str">
        <f>IFERROR(INDEX(样本到样信息汇总统计!R$2:R$500,MATCH(296,样本到样信息汇总统计!$Z$2:$Z$500,0)),"")</f>
        <v/>
      </c>
      <c r="S297" s="8" t="str">
        <f>IFERROR(INDEX(样本到样信息汇总统计!S$2:S$500,MATCH(296,样本到样信息汇总统计!$Z$2:$Z$500,0)),"")</f>
        <v/>
      </c>
      <c r="T297" s="8" t="str">
        <f>IFERROR(INDEX(样本到样信息汇总统计!T$2:T$500,MATCH(296,样本到样信息汇总统计!$Z$2:$Z$500,0)),"")</f>
        <v/>
      </c>
      <c r="U297" s="8" t="str">
        <f>IFERROR(INDEX(样本到样信息汇总统计!U$2:U$500,MATCH(296,样本到样信息汇总统计!$Z$2:$Z$500,0)),"")</f>
        <v/>
      </c>
      <c r="V297" s="8" t="str">
        <f>IFERROR(INDEX(样本到样信息汇总统计!V$2:V$500,MATCH(296,样本到样信息汇总统计!$Z$2:$Z$500,0)),"")</f>
        <v/>
      </c>
      <c r="W297" s="8" t="str">
        <f>IFERROR(INDEX(样本到样信息汇总统计!W$2:W$500,MATCH(296,样本到样信息汇总统计!$Z$2:$Z$500,0)),"")</f>
        <v/>
      </c>
    </row>
    <row r="298" ht="14.5" spans="1:23">
      <c r="A298" s="4" t="str">
        <f>IFERROR(INDEX(样本到样信息汇总统计!A$2:A$500,MATCH(297,样本到样信息汇总统计!$Z$2:$Z$500,0)),"")</f>
        <v/>
      </c>
      <c r="B298" s="4" t="str">
        <f>IFERROR(INDEX(样本到样信息汇总统计!B$2:B$500,MATCH(297,样本到样信息汇总统计!$Z$2:$Z$500,0)),"")</f>
        <v/>
      </c>
      <c r="C298" s="4" t="str">
        <f>IFERROR(INDEX(样本到样信息汇总统计!C$2:C$500,MATCH(297,样本到样信息汇总统计!$Z$2:$Z$500,0)),"")</f>
        <v/>
      </c>
      <c r="D298" s="4" t="str">
        <f>IFERROR(INDEX(样本到样信息汇总统计!D$2:D$500,MATCH(297,样本到样信息汇总统计!$Z$2:$Z$500,0)),"")</f>
        <v/>
      </c>
      <c r="E298" s="4" t="str">
        <f>IFERROR(INDEX(样本到样信息汇总统计!E$2:E$500,MATCH(297,样本到样信息汇总统计!$Z$2:$Z$500,0)),"")</f>
        <v/>
      </c>
      <c r="F298" s="4" t="str">
        <f>IFERROR(INDEX(样本到样信息汇总统计!F$2:F$500,MATCH(297,样本到样信息汇总统计!$Z$2:$Z$500,0)),"")</f>
        <v/>
      </c>
      <c r="G298" s="4" t="str">
        <f>IFERROR(INDEX(样本到样信息汇总统计!G$2:G$500,MATCH(297,样本到样信息汇总统计!$Z$2:$Z$500,0)),"")</f>
        <v/>
      </c>
      <c r="H298" s="4" t="str">
        <f>IFERROR(INDEX(样本到样信息汇总统计!H$2:H$500,MATCH(297,样本到样信息汇总统计!$Z$2:$Z$500,0)),"")</f>
        <v/>
      </c>
      <c r="I298" s="4" t="str">
        <f>IFERROR(INDEX(样本到样信息汇总统计!I$2:I$500,MATCH(297,样本到样信息汇总统计!$Z$2:$Z$500,0)),"")</f>
        <v/>
      </c>
      <c r="J298" s="4" t="str">
        <f>IFERROR(INDEX(样本到样信息汇总统计!J$2:J$500,MATCH(297,样本到样信息汇总统计!$Z$2:$Z$500,0)),"")</f>
        <v/>
      </c>
      <c r="K298" s="4" t="str">
        <f>IFERROR(INDEX(样本到样信息汇总统计!K$2:K$500,MATCH(297,样本到样信息汇总统计!$Z$2:$Z$500,0)),"")</f>
        <v/>
      </c>
      <c r="L298" s="4" t="str">
        <f>IFERROR(INDEX(样本到样信息汇总统计!L$2:L$500,MATCH(297,样本到样信息汇总统计!$Z$2:$Z$500,0)),"")</f>
        <v/>
      </c>
      <c r="M298" s="4" t="str">
        <f>IFERROR(INDEX(样本到样信息汇总统计!M$2:M$500,MATCH(297,样本到样信息汇总统计!$Z$2:$Z$500,0)),"")</f>
        <v/>
      </c>
      <c r="N298" s="4" t="str">
        <f>IFERROR(INDEX(样本到样信息汇总统计!N$2:N$500,MATCH(297,样本到样信息汇总统计!$Z$2:$Z$500,0)),"")</f>
        <v/>
      </c>
      <c r="O298" s="4" t="str">
        <f>IFERROR(INDEX(样本到样信息汇总统计!O$2:O$500,MATCH(297,样本到样信息汇总统计!$Z$2:$Z$500,0)),"")</f>
        <v/>
      </c>
      <c r="P298" s="4" t="str">
        <f>IFERROR(INDEX(样本到样信息汇总统计!P$2:P$500,MATCH(297,样本到样信息汇总统计!$Z$2:$Z$500,0)),"")</f>
        <v/>
      </c>
      <c r="Q298" s="4" t="str">
        <f>IFERROR(INDEX(样本到样信息汇总统计!Q$2:Q$500,MATCH(297,样本到样信息汇总统计!$Z$2:$Z$500,0)),"")</f>
        <v/>
      </c>
      <c r="R298" s="4" t="str">
        <f>IFERROR(INDEX(样本到样信息汇总统计!R$2:R$500,MATCH(297,样本到样信息汇总统计!$Z$2:$Z$500,0)),"")</f>
        <v/>
      </c>
      <c r="S298" s="4" t="str">
        <f>IFERROR(INDEX(样本到样信息汇总统计!S$2:S$500,MATCH(297,样本到样信息汇总统计!$Z$2:$Z$500,0)),"")</f>
        <v/>
      </c>
      <c r="T298" s="4" t="str">
        <f>IFERROR(INDEX(样本到样信息汇总统计!T$2:T$500,MATCH(297,样本到样信息汇总统计!$Z$2:$Z$500,0)),"")</f>
        <v/>
      </c>
      <c r="U298" s="4" t="str">
        <f>IFERROR(INDEX(样本到样信息汇总统计!U$2:U$500,MATCH(297,样本到样信息汇总统计!$Z$2:$Z$500,0)),"")</f>
        <v/>
      </c>
      <c r="V298" s="4" t="str">
        <f>IFERROR(INDEX(样本到样信息汇总统计!V$2:V$500,MATCH(297,样本到样信息汇总统计!$Z$2:$Z$500,0)),"")</f>
        <v/>
      </c>
      <c r="W298" s="4" t="str">
        <f>IFERROR(INDEX(样本到样信息汇总统计!W$2:W$500,MATCH(297,样本到样信息汇总统计!$Z$2:$Z$500,0)),"")</f>
        <v/>
      </c>
    </row>
    <row r="299" ht="14.5" spans="1:23">
      <c r="A299" s="8" t="str">
        <f>IFERROR(INDEX(样本到样信息汇总统计!A$2:A$500,MATCH(298,样本到样信息汇总统计!$Z$2:$Z$500,0)),"")</f>
        <v/>
      </c>
      <c r="B299" s="8" t="str">
        <f>IFERROR(INDEX(样本到样信息汇总统计!B$2:B$500,MATCH(298,样本到样信息汇总统计!$Z$2:$Z$500,0)),"")</f>
        <v/>
      </c>
      <c r="C299" s="8" t="str">
        <f>IFERROR(INDEX(样本到样信息汇总统计!C$2:C$500,MATCH(298,样本到样信息汇总统计!$Z$2:$Z$500,0)),"")</f>
        <v/>
      </c>
      <c r="D299" s="8" t="str">
        <f>IFERROR(INDEX(样本到样信息汇总统计!D$2:D$500,MATCH(298,样本到样信息汇总统计!$Z$2:$Z$500,0)),"")</f>
        <v/>
      </c>
      <c r="E299" s="8" t="str">
        <f>IFERROR(INDEX(样本到样信息汇总统计!E$2:E$500,MATCH(298,样本到样信息汇总统计!$Z$2:$Z$500,0)),"")</f>
        <v/>
      </c>
      <c r="F299" s="8" t="str">
        <f>IFERROR(INDEX(样本到样信息汇总统计!F$2:F$500,MATCH(298,样本到样信息汇总统计!$Z$2:$Z$500,0)),"")</f>
        <v/>
      </c>
      <c r="G299" s="8" t="str">
        <f>IFERROR(INDEX(样本到样信息汇总统计!G$2:G$500,MATCH(298,样本到样信息汇总统计!$Z$2:$Z$500,0)),"")</f>
        <v/>
      </c>
      <c r="H299" s="8" t="str">
        <f>IFERROR(INDEX(样本到样信息汇总统计!H$2:H$500,MATCH(298,样本到样信息汇总统计!$Z$2:$Z$500,0)),"")</f>
        <v/>
      </c>
      <c r="I299" s="8" t="str">
        <f>IFERROR(INDEX(样本到样信息汇总统计!I$2:I$500,MATCH(298,样本到样信息汇总统计!$Z$2:$Z$500,0)),"")</f>
        <v/>
      </c>
      <c r="J299" s="8" t="str">
        <f>IFERROR(INDEX(样本到样信息汇总统计!J$2:J$500,MATCH(298,样本到样信息汇总统计!$Z$2:$Z$500,0)),"")</f>
        <v/>
      </c>
      <c r="K299" s="8" t="str">
        <f>IFERROR(INDEX(样本到样信息汇总统计!K$2:K$500,MATCH(298,样本到样信息汇总统计!$Z$2:$Z$500,0)),"")</f>
        <v/>
      </c>
      <c r="L299" s="8" t="str">
        <f>IFERROR(INDEX(样本到样信息汇总统计!L$2:L$500,MATCH(298,样本到样信息汇总统计!$Z$2:$Z$500,0)),"")</f>
        <v/>
      </c>
      <c r="M299" s="8" t="str">
        <f>IFERROR(INDEX(样本到样信息汇总统计!M$2:M$500,MATCH(298,样本到样信息汇总统计!$Z$2:$Z$500,0)),"")</f>
        <v/>
      </c>
      <c r="N299" s="8" t="str">
        <f>IFERROR(INDEX(样本到样信息汇总统计!N$2:N$500,MATCH(298,样本到样信息汇总统计!$Z$2:$Z$500,0)),"")</f>
        <v/>
      </c>
      <c r="O299" s="8" t="str">
        <f>IFERROR(INDEX(样本到样信息汇总统计!O$2:O$500,MATCH(298,样本到样信息汇总统计!$Z$2:$Z$500,0)),"")</f>
        <v/>
      </c>
      <c r="P299" s="8" t="str">
        <f>IFERROR(INDEX(样本到样信息汇总统计!P$2:P$500,MATCH(298,样本到样信息汇总统计!$Z$2:$Z$500,0)),"")</f>
        <v/>
      </c>
      <c r="Q299" s="8" t="str">
        <f>IFERROR(INDEX(样本到样信息汇总统计!Q$2:Q$500,MATCH(298,样本到样信息汇总统计!$Z$2:$Z$500,0)),"")</f>
        <v/>
      </c>
      <c r="R299" s="8" t="str">
        <f>IFERROR(INDEX(样本到样信息汇总统计!R$2:R$500,MATCH(298,样本到样信息汇总统计!$Z$2:$Z$500,0)),"")</f>
        <v/>
      </c>
      <c r="S299" s="8" t="str">
        <f>IFERROR(INDEX(样本到样信息汇总统计!S$2:S$500,MATCH(298,样本到样信息汇总统计!$Z$2:$Z$500,0)),"")</f>
        <v/>
      </c>
      <c r="T299" s="8" t="str">
        <f>IFERROR(INDEX(样本到样信息汇总统计!T$2:T$500,MATCH(298,样本到样信息汇总统计!$Z$2:$Z$500,0)),"")</f>
        <v/>
      </c>
      <c r="U299" s="8" t="str">
        <f>IFERROR(INDEX(样本到样信息汇总统计!U$2:U$500,MATCH(298,样本到样信息汇总统计!$Z$2:$Z$500,0)),"")</f>
        <v/>
      </c>
      <c r="V299" s="8" t="str">
        <f>IFERROR(INDEX(样本到样信息汇总统计!V$2:V$500,MATCH(298,样本到样信息汇总统计!$Z$2:$Z$500,0)),"")</f>
        <v/>
      </c>
      <c r="W299" s="8" t="str">
        <f>IFERROR(INDEX(样本到样信息汇总统计!W$2:W$500,MATCH(298,样本到样信息汇总统计!$Z$2:$Z$500,0)),"")</f>
        <v/>
      </c>
    </row>
    <row r="300" ht="14.5" spans="1:23">
      <c r="A300" s="4" t="str">
        <f>IFERROR(INDEX(样本到样信息汇总统计!A$2:A$500,MATCH(299,样本到样信息汇总统计!$Z$2:$Z$500,0)),"")</f>
        <v/>
      </c>
      <c r="B300" s="4" t="str">
        <f>IFERROR(INDEX(样本到样信息汇总统计!B$2:B$500,MATCH(299,样本到样信息汇总统计!$Z$2:$Z$500,0)),"")</f>
        <v/>
      </c>
      <c r="C300" s="4" t="str">
        <f>IFERROR(INDEX(样本到样信息汇总统计!C$2:C$500,MATCH(299,样本到样信息汇总统计!$Z$2:$Z$500,0)),"")</f>
        <v/>
      </c>
      <c r="D300" s="4" t="str">
        <f>IFERROR(INDEX(样本到样信息汇总统计!D$2:D$500,MATCH(299,样本到样信息汇总统计!$Z$2:$Z$500,0)),"")</f>
        <v/>
      </c>
      <c r="E300" s="4" t="str">
        <f>IFERROR(INDEX(样本到样信息汇总统计!E$2:E$500,MATCH(299,样本到样信息汇总统计!$Z$2:$Z$500,0)),"")</f>
        <v/>
      </c>
      <c r="F300" s="4" t="str">
        <f>IFERROR(INDEX(样本到样信息汇总统计!F$2:F$500,MATCH(299,样本到样信息汇总统计!$Z$2:$Z$500,0)),"")</f>
        <v/>
      </c>
      <c r="G300" s="4" t="str">
        <f>IFERROR(INDEX(样本到样信息汇总统计!G$2:G$500,MATCH(299,样本到样信息汇总统计!$Z$2:$Z$500,0)),"")</f>
        <v/>
      </c>
      <c r="H300" s="4" t="str">
        <f>IFERROR(INDEX(样本到样信息汇总统计!H$2:H$500,MATCH(299,样本到样信息汇总统计!$Z$2:$Z$500,0)),"")</f>
        <v/>
      </c>
      <c r="I300" s="4" t="str">
        <f>IFERROR(INDEX(样本到样信息汇总统计!I$2:I$500,MATCH(299,样本到样信息汇总统计!$Z$2:$Z$500,0)),"")</f>
        <v/>
      </c>
      <c r="J300" s="4" t="str">
        <f>IFERROR(INDEX(样本到样信息汇总统计!J$2:J$500,MATCH(299,样本到样信息汇总统计!$Z$2:$Z$500,0)),"")</f>
        <v/>
      </c>
      <c r="K300" s="4" t="str">
        <f>IFERROR(INDEX(样本到样信息汇总统计!K$2:K$500,MATCH(299,样本到样信息汇总统计!$Z$2:$Z$500,0)),"")</f>
        <v/>
      </c>
      <c r="L300" s="4" t="str">
        <f>IFERROR(INDEX(样本到样信息汇总统计!L$2:L$500,MATCH(299,样本到样信息汇总统计!$Z$2:$Z$500,0)),"")</f>
        <v/>
      </c>
      <c r="M300" s="4" t="str">
        <f>IFERROR(INDEX(样本到样信息汇总统计!M$2:M$500,MATCH(299,样本到样信息汇总统计!$Z$2:$Z$500,0)),"")</f>
        <v/>
      </c>
      <c r="N300" s="4" t="str">
        <f>IFERROR(INDEX(样本到样信息汇总统计!N$2:N$500,MATCH(299,样本到样信息汇总统计!$Z$2:$Z$500,0)),"")</f>
        <v/>
      </c>
      <c r="O300" s="4" t="str">
        <f>IFERROR(INDEX(样本到样信息汇总统计!O$2:O$500,MATCH(299,样本到样信息汇总统计!$Z$2:$Z$500,0)),"")</f>
        <v/>
      </c>
      <c r="P300" s="4" t="str">
        <f>IFERROR(INDEX(样本到样信息汇总统计!P$2:P$500,MATCH(299,样本到样信息汇总统计!$Z$2:$Z$500,0)),"")</f>
        <v/>
      </c>
      <c r="Q300" s="4" t="str">
        <f>IFERROR(INDEX(样本到样信息汇总统计!Q$2:Q$500,MATCH(299,样本到样信息汇总统计!$Z$2:$Z$500,0)),"")</f>
        <v/>
      </c>
      <c r="R300" s="4" t="str">
        <f>IFERROR(INDEX(样本到样信息汇总统计!R$2:R$500,MATCH(299,样本到样信息汇总统计!$Z$2:$Z$500,0)),"")</f>
        <v/>
      </c>
      <c r="S300" s="4" t="str">
        <f>IFERROR(INDEX(样本到样信息汇总统计!S$2:S$500,MATCH(299,样本到样信息汇总统计!$Z$2:$Z$500,0)),"")</f>
        <v/>
      </c>
      <c r="T300" s="4" t="str">
        <f>IFERROR(INDEX(样本到样信息汇总统计!T$2:T$500,MATCH(299,样本到样信息汇总统计!$Z$2:$Z$500,0)),"")</f>
        <v/>
      </c>
      <c r="U300" s="4" t="str">
        <f>IFERROR(INDEX(样本到样信息汇总统计!U$2:U$500,MATCH(299,样本到样信息汇总统计!$Z$2:$Z$500,0)),"")</f>
        <v/>
      </c>
      <c r="V300" s="4" t="str">
        <f>IFERROR(INDEX(样本到样信息汇总统计!V$2:V$500,MATCH(299,样本到样信息汇总统计!$Z$2:$Z$500,0)),"")</f>
        <v/>
      </c>
      <c r="W300" s="4" t="str">
        <f>IFERROR(INDEX(样本到样信息汇总统计!W$2:W$500,MATCH(299,样本到样信息汇总统计!$Z$2:$Z$500,0)),"")</f>
        <v/>
      </c>
    </row>
    <row r="301" ht="14.5" spans="1:23">
      <c r="A301" s="8" t="str">
        <f>IFERROR(INDEX(样本到样信息汇总统计!A$2:A$500,MATCH(300,样本到样信息汇总统计!$Z$2:$Z$500,0)),"")</f>
        <v/>
      </c>
      <c r="B301" s="8" t="str">
        <f>IFERROR(INDEX(样本到样信息汇总统计!B$2:B$500,MATCH(300,样本到样信息汇总统计!$Z$2:$Z$500,0)),"")</f>
        <v/>
      </c>
      <c r="C301" s="8" t="str">
        <f>IFERROR(INDEX(样本到样信息汇总统计!C$2:C$500,MATCH(300,样本到样信息汇总统计!$Z$2:$Z$500,0)),"")</f>
        <v/>
      </c>
      <c r="D301" s="8" t="str">
        <f>IFERROR(INDEX(样本到样信息汇总统计!D$2:D$500,MATCH(300,样本到样信息汇总统计!$Z$2:$Z$500,0)),"")</f>
        <v/>
      </c>
      <c r="E301" s="8" t="str">
        <f>IFERROR(INDEX(样本到样信息汇总统计!E$2:E$500,MATCH(300,样本到样信息汇总统计!$Z$2:$Z$500,0)),"")</f>
        <v/>
      </c>
      <c r="F301" s="8" t="str">
        <f>IFERROR(INDEX(样本到样信息汇总统计!F$2:F$500,MATCH(300,样本到样信息汇总统计!$Z$2:$Z$500,0)),"")</f>
        <v/>
      </c>
      <c r="G301" s="8" t="str">
        <f>IFERROR(INDEX(样本到样信息汇总统计!G$2:G$500,MATCH(300,样本到样信息汇总统计!$Z$2:$Z$500,0)),"")</f>
        <v/>
      </c>
      <c r="H301" s="8" t="str">
        <f>IFERROR(INDEX(样本到样信息汇总统计!H$2:H$500,MATCH(300,样本到样信息汇总统计!$Z$2:$Z$500,0)),"")</f>
        <v/>
      </c>
      <c r="I301" s="8" t="str">
        <f>IFERROR(INDEX(样本到样信息汇总统计!I$2:I$500,MATCH(300,样本到样信息汇总统计!$Z$2:$Z$500,0)),"")</f>
        <v/>
      </c>
      <c r="J301" s="8" t="str">
        <f>IFERROR(INDEX(样本到样信息汇总统计!J$2:J$500,MATCH(300,样本到样信息汇总统计!$Z$2:$Z$500,0)),"")</f>
        <v/>
      </c>
      <c r="K301" s="8" t="str">
        <f>IFERROR(INDEX(样本到样信息汇总统计!K$2:K$500,MATCH(300,样本到样信息汇总统计!$Z$2:$Z$500,0)),"")</f>
        <v/>
      </c>
      <c r="L301" s="8" t="str">
        <f>IFERROR(INDEX(样本到样信息汇总统计!L$2:L$500,MATCH(300,样本到样信息汇总统计!$Z$2:$Z$500,0)),"")</f>
        <v/>
      </c>
      <c r="M301" s="8" t="str">
        <f>IFERROR(INDEX(样本到样信息汇总统计!M$2:M$500,MATCH(300,样本到样信息汇总统计!$Z$2:$Z$500,0)),"")</f>
        <v/>
      </c>
      <c r="N301" s="8" t="str">
        <f>IFERROR(INDEX(样本到样信息汇总统计!N$2:N$500,MATCH(300,样本到样信息汇总统计!$Z$2:$Z$500,0)),"")</f>
        <v/>
      </c>
      <c r="O301" s="8" t="str">
        <f>IFERROR(INDEX(样本到样信息汇总统计!O$2:O$500,MATCH(300,样本到样信息汇总统计!$Z$2:$Z$500,0)),"")</f>
        <v/>
      </c>
      <c r="P301" s="8" t="str">
        <f>IFERROR(INDEX(样本到样信息汇总统计!P$2:P$500,MATCH(300,样本到样信息汇总统计!$Z$2:$Z$500,0)),"")</f>
        <v/>
      </c>
      <c r="Q301" s="8" t="str">
        <f>IFERROR(INDEX(样本到样信息汇总统计!Q$2:Q$500,MATCH(300,样本到样信息汇总统计!$Z$2:$Z$500,0)),"")</f>
        <v/>
      </c>
      <c r="R301" s="8" t="str">
        <f>IFERROR(INDEX(样本到样信息汇总统计!R$2:R$500,MATCH(300,样本到样信息汇总统计!$Z$2:$Z$500,0)),"")</f>
        <v/>
      </c>
      <c r="S301" s="8" t="str">
        <f>IFERROR(INDEX(样本到样信息汇总统计!S$2:S$500,MATCH(300,样本到样信息汇总统计!$Z$2:$Z$500,0)),"")</f>
        <v/>
      </c>
      <c r="T301" s="8" t="str">
        <f>IFERROR(INDEX(样本到样信息汇总统计!T$2:T$500,MATCH(300,样本到样信息汇总统计!$Z$2:$Z$500,0)),"")</f>
        <v/>
      </c>
      <c r="U301" s="8" t="str">
        <f>IFERROR(INDEX(样本到样信息汇总统计!U$2:U$500,MATCH(300,样本到样信息汇总统计!$Z$2:$Z$500,0)),"")</f>
        <v/>
      </c>
      <c r="V301" s="8" t="str">
        <f>IFERROR(INDEX(样本到样信息汇总统计!V$2:V$500,MATCH(300,样本到样信息汇总统计!$Z$2:$Z$500,0)),"")</f>
        <v/>
      </c>
      <c r="W301" s="8" t="str">
        <f>IFERROR(INDEX(样本到样信息汇总统计!W$2:W$500,MATCH(300,样本到样信息汇总统计!$Z$2:$Z$500,0)),"")</f>
        <v/>
      </c>
    </row>
    <row r="302" ht="14.5" spans="1:23">
      <c r="A302" s="4" t="str">
        <f>IFERROR(INDEX(样本到样信息汇总统计!A$2:A$500,MATCH(301,样本到样信息汇总统计!$Z$2:$Z$500,0)),"")</f>
        <v/>
      </c>
      <c r="B302" s="4" t="str">
        <f>IFERROR(INDEX(样本到样信息汇总统计!B$2:B$500,MATCH(301,样本到样信息汇总统计!$Z$2:$Z$500,0)),"")</f>
        <v/>
      </c>
      <c r="C302" s="4" t="str">
        <f>IFERROR(INDEX(样本到样信息汇总统计!C$2:C$500,MATCH(301,样本到样信息汇总统计!$Z$2:$Z$500,0)),"")</f>
        <v/>
      </c>
      <c r="D302" s="4" t="str">
        <f>IFERROR(INDEX(样本到样信息汇总统计!D$2:D$500,MATCH(301,样本到样信息汇总统计!$Z$2:$Z$500,0)),"")</f>
        <v/>
      </c>
      <c r="E302" s="4" t="str">
        <f>IFERROR(INDEX(样本到样信息汇总统计!E$2:E$500,MATCH(301,样本到样信息汇总统计!$Z$2:$Z$500,0)),"")</f>
        <v/>
      </c>
      <c r="F302" s="4" t="str">
        <f>IFERROR(INDEX(样本到样信息汇总统计!F$2:F$500,MATCH(301,样本到样信息汇总统计!$Z$2:$Z$500,0)),"")</f>
        <v/>
      </c>
      <c r="G302" s="4" t="str">
        <f>IFERROR(INDEX(样本到样信息汇总统计!G$2:G$500,MATCH(301,样本到样信息汇总统计!$Z$2:$Z$500,0)),"")</f>
        <v/>
      </c>
      <c r="H302" s="4" t="str">
        <f>IFERROR(INDEX(样本到样信息汇总统计!H$2:H$500,MATCH(301,样本到样信息汇总统计!$Z$2:$Z$500,0)),"")</f>
        <v/>
      </c>
      <c r="I302" s="4" t="str">
        <f>IFERROR(INDEX(样本到样信息汇总统计!I$2:I$500,MATCH(301,样本到样信息汇总统计!$Z$2:$Z$500,0)),"")</f>
        <v/>
      </c>
      <c r="J302" s="4" t="str">
        <f>IFERROR(INDEX(样本到样信息汇总统计!J$2:J$500,MATCH(301,样本到样信息汇总统计!$Z$2:$Z$500,0)),"")</f>
        <v/>
      </c>
      <c r="K302" s="4" t="str">
        <f>IFERROR(INDEX(样本到样信息汇总统计!K$2:K$500,MATCH(301,样本到样信息汇总统计!$Z$2:$Z$500,0)),"")</f>
        <v/>
      </c>
      <c r="L302" s="4" t="str">
        <f>IFERROR(INDEX(样本到样信息汇总统计!L$2:L$500,MATCH(301,样本到样信息汇总统计!$Z$2:$Z$500,0)),"")</f>
        <v/>
      </c>
      <c r="M302" s="4" t="str">
        <f>IFERROR(INDEX(样本到样信息汇总统计!M$2:M$500,MATCH(301,样本到样信息汇总统计!$Z$2:$Z$500,0)),"")</f>
        <v/>
      </c>
      <c r="N302" s="4" t="str">
        <f>IFERROR(INDEX(样本到样信息汇总统计!N$2:N$500,MATCH(301,样本到样信息汇总统计!$Z$2:$Z$500,0)),"")</f>
        <v/>
      </c>
      <c r="O302" s="4" t="str">
        <f>IFERROR(INDEX(样本到样信息汇总统计!O$2:O$500,MATCH(301,样本到样信息汇总统计!$Z$2:$Z$500,0)),"")</f>
        <v/>
      </c>
      <c r="P302" s="4" t="str">
        <f>IFERROR(INDEX(样本到样信息汇总统计!P$2:P$500,MATCH(301,样本到样信息汇总统计!$Z$2:$Z$500,0)),"")</f>
        <v/>
      </c>
      <c r="Q302" s="4" t="str">
        <f>IFERROR(INDEX(样本到样信息汇总统计!Q$2:Q$500,MATCH(301,样本到样信息汇总统计!$Z$2:$Z$500,0)),"")</f>
        <v/>
      </c>
      <c r="R302" s="4" t="str">
        <f>IFERROR(INDEX(样本到样信息汇总统计!R$2:R$500,MATCH(301,样本到样信息汇总统计!$Z$2:$Z$500,0)),"")</f>
        <v/>
      </c>
      <c r="S302" s="4" t="str">
        <f>IFERROR(INDEX(样本到样信息汇总统计!S$2:S$500,MATCH(301,样本到样信息汇总统计!$Z$2:$Z$500,0)),"")</f>
        <v/>
      </c>
      <c r="T302" s="4" t="str">
        <f>IFERROR(INDEX(样本到样信息汇总统计!T$2:T$500,MATCH(301,样本到样信息汇总统计!$Z$2:$Z$500,0)),"")</f>
        <v/>
      </c>
      <c r="U302" s="4" t="str">
        <f>IFERROR(INDEX(样本到样信息汇总统计!U$2:U$500,MATCH(301,样本到样信息汇总统计!$Z$2:$Z$500,0)),"")</f>
        <v/>
      </c>
      <c r="V302" s="4" t="str">
        <f>IFERROR(INDEX(样本到样信息汇总统计!V$2:V$500,MATCH(301,样本到样信息汇总统计!$Z$2:$Z$500,0)),"")</f>
        <v/>
      </c>
      <c r="W302" s="4" t="str">
        <f>IFERROR(INDEX(样本到样信息汇总统计!W$2:W$500,MATCH(301,样本到样信息汇总统计!$Z$2:$Z$500,0)),"")</f>
        <v/>
      </c>
    </row>
    <row r="303" ht="14.5" spans="1:23">
      <c r="A303" s="8" t="str">
        <f>IFERROR(INDEX(样本到样信息汇总统计!A$2:A$500,MATCH(302,样本到样信息汇总统计!$Z$2:$Z$500,0)),"")</f>
        <v/>
      </c>
      <c r="B303" s="8" t="str">
        <f>IFERROR(INDEX(样本到样信息汇总统计!B$2:B$500,MATCH(302,样本到样信息汇总统计!$Z$2:$Z$500,0)),"")</f>
        <v/>
      </c>
      <c r="C303" s="8" t="str">
        <f>IFERROR(INDEX(样本到样信息汇总统计!C$2:C$500,MATCH(302,样本到样信息汇总统计!$Z$2:$Z$500,0)),"")</f>
        <v/>
      </c>
      <c r="D303" s="8" t="str">
        <f>IFERROR(INDEX(样本到样信息汇总统计!D$2:D$500,MATCH(302,样本到样信息汇总统计!$Z$2:$Z$500,0)),"")</f>
        <v/>
      </c>
      <c r="E303" s="8" t="str">
        <f>IFERROR(INDEX(样本到样信息汇总统计!E$2:E$500,MATCH(302,样本到样信息汇总统计!$Z$2:$Z$500,0)),"")</f>
        <v/>
      </c>
      <c r="F303" s="8" t="str">
        <f>IFERROR(INDEX(样本到样信息汇总统计!F$2:F$500,MATCH(302,样本到样信息汇总统计!$Z$2:$Z$500,0)),"")</f>
        <v/>
      </c>
      <c r="G303" s="8" t="str">
        <f>IFERROR(INDEX(样本到样信息汇总统计!G$2:G$500,MATCH(302,样本到样信息汇总统计!$Z$2:$Z$500,0)),"")</f>
        <v/>
      </c>
      <c r="H303" s="8" t="str">
        <f>IFERROR(INDEX(样本到样信息汇总统计!H$2:H$500,MATCH(302,样本到样信息汇总统计!$Z$2:$Z$500,0)),"")</f>
        <v/>
      </c>
      <c r="I303" s="8" t="str">
        <f>IFERROR(INDEX(样本到样信息汇总统计!I$2:I$500,MATCH(302,样本到样信息汇总统计!$Z$2:$Z$500,0)),"")</f>
        <v/>
      </c>
      <c r="J303" s="8" t="str">
        <f>IFERROR(INDEX(样本到样信息汇总统计!J$2:J$500,MATCH(302,样本到样信息汇总统计!$Z$2:$Z$500,0)),"")</f>
        <v/>
      </c>
      <c r="K303" s="8" t="str">
        <f>IFERROR(INDEX(样本到样信息汇总统计!K$2:K$500,MATCH(302,样本到样信息汇总统计!$Z$2:$Z$500,0)),"")</f>
        <v/>
      </c>
      <c r="L303" s="8" t="str">
        <f>IFERROR(INDEX(样本到样信息汇总统计!L$2:L$500,MATCH(302,样本到样信息汇总统计!$Z$2:$Z$500,0)),"")</f>
        <v/>
      </c>
      <c r="M303" s="8" t="str">
        <f>IFERROR(INDEX(样本到样信息汇总统计!M$2:M$500,MATCH(302,样本到样信息汇总统计!$Z$2:$Z$500,0)),"")</f>
        <v/>
      </c>
      <c r="N303" s="8" t="str">
        <f>IFERROR(INDEX(样本到样信息汇总统计!N$2:N$500,MATCH(302,样本到样信息汇总统计!$Z$2:$Z$500,0)),"")</f>
        <v/>
      </c>
      <c r="O303" s="8" t="str">
        <f>IFERROR(INDEX(样本到样信息汇总统计!O$2:O$500,MATCH(302,样本到样信息汇总统计!$Z$2:$Z$500,0)),"")</f>
        <v/>
      </c>
      <c r="P303" s="8" t="str">
        <f>IFERROR(INDEX(样本到样信息汇总统计!P$2:P$500,MATCH(302,样本到样信息汇总统计!$Z$2:$Z$500,0)),"")</f>
        <v/>
      </c>
      <c r="Q303" s="8" t="str">
        <f>IFERROR(INDEX(样本到样信息汇总统计!Q$2:Q$500,MATCH(302,样本到样信息汇总统计!$Z$2:$Z$500,0)),"")</f>
        <v/>
      </c>
      <c r="R303" s="8" t="str">
        <f>IFERROR(INDEX(样本到样信息汇总统计!R$2:R$500,MATCH(302,样本到样信息汇总统计!$Z$2:$Z$500,0)),"")</f>
        <v/>
      </c>
      <c r="S303" s="8" t="str">
        <f>IFERROR(INDEX(样本到样信息汇总统计!S$2:S$500,MATCH(302,样本到样信息汇总统计!$Z$2:$Z$500,0)),"")</f>
        <v/>
      </c>
      <c r="T303" s="8" t="str">
        <f>IFERROR(INDEX(样本到样信息汇总统计!T$2:T$500,MATCH(302,样本到样信息汇总统计!$Z$2:$Z$500,0)),"")</f>
        <v/>
      </c>
      <c r="U303" s="8" t="str">
        <f>IFERROR(INDEX(样本到样信息汇总统计!U$2:U$500,MATCH(302,样本到样信息汇总统计!$Z$2:$Z$500,0)),"")</f>
        <v/>
      </c>
      <c r="V303" s="8" t="str">
        <f>IFERROR(INDEX(样本到样信息汇总统计!V$2:V$500,MATCH(302,样本到样信息汇总统计!$Z$2:$Z$500,0)),"")</f>
        <v/>
      </c>
      <c r="W303" s="8" t="str">
        <f>IFERROR(INDEX(样本到样信息汇总统计!W$2:W$500,MATCH(302,样本到样信息汇总统计!$Z$2:$Z$500,0)),"")</f>
        <v/>
      </c>
    </row>
    <row r="304" ht="14.5" spans="1:23">
      <c r="A304" s="4" t="str">
        <f>IFERROR(INDEX(样本到样信息汇总统计!A$2:A$500,MATCH(303,样本到样信息汇总统计!$Z$2:$Z$500,0)),"")</f>
        <v/>
      </c>
      <c r="B304" s="4" t="str">
        <f>IFERROR(INDEX(样本到样信息汇总统计!B$2:B$500,MATCH(303,样本到样信息汇总统计!$Z$2:$Z$500,0)),"")</f>
        <v/>
      </c>
      <c r="C304" s="4" t="str">
        <f>IFERROR(INDEX(样本到样信息汇总统计!C$2:C$500,MATCH(303,样本到样信息汇总统计!$Z$2:$Z$500,0)),"")</f>
        <v/>
      </c>
      <c r="D304" s="4" t="str">
        <f>IFERROR(INDEX(样本到样信息汇总统计!D$2:D$500,MATCH(303,样本到样信息汇总统计!$Z$2:$Z$500,0)),"")</f>
        <v/>
      </c>
      <c r="E304" s="4" t="str">
        <f>IFERROR(INDEX(样本到样信息汇总统计!E$2:E$500,MATCH(303,样本到样信息汇总统计!$Z$2:$Z$500,0)),"")</f>
        <v/>
      </c>
      <c r="F304" s="4" t="str">
        <f>IFERROR(INDEX(样本到样信息汇总统计!F$2:F$500,MATCH(303,样本到样信息汇总统计!$Z$2:$Z$500,0)),"")</f>
        <v/>
      </c>
      <c r="G304" s="4" t="str">
        <f>IFERROR(INDEX(样本到样信息汇总统计!G$2:G$500,MATCH(303,样本到样信息汇总统计!$Z$2:$Z$500,0)),"")</f>
        <v/>
      </c>
      <c r="H304" s="4" t="str">
        <f>IFERROR(INDEX(样本到样信息汇总统计!H$2:H$500,MATCH(303,样本到样信息汇总统计!$Z$2:$Z$500,0)),"")</f>
        <v/>
      </c>
      <c r="I304" s="4" t="str">
        <f>IFERROR(INDEX(样本到样信息汇总统计!I$2:I$500,MATCH(303,样本到样信息汇总统计!$Z$2:$Z$500,0)),"")</f>
        <v/>
      </c>
      <c r="J304" s="4" t="str">
        <f>IFERROR(INDEX(样本到样信息汇总统计!J$2:J$500,MATCH(303,样本到样信息汇总统计!$Z$2:$Z$500,0)),"")</f>
        <v/>
      </c>
      <c r="K304" s="4" t="str">
        <f>IFERROR(INDEX(样本到样信息汇总统计!K$2:K$500,MATCH(303,样本到样信息汇总统计!$Z$2:$Z$500,0)),"")</f>
        <v/>
      </c>
      <c r="L304" s="4" t="str">
        <f>IFERROR(INDEX(样本到样信息汇总统计!L$2:L$500,MATCH(303,样本到样信息汇总统计!$Z$2:$Z$500,0)),"")</f>
        <v/>
      </c>
      <c r="M304" s="4" t="str">
        <f>IFERROR(INDEX(样本到样信息汇总统计!M$2:M$500,MATCH(303,样本到样信息汇总统计!$Z$2:$Z$500,0)),"")</f>
        <v/>
      </c>
      <c r="N304" s="4" t="str">
        <f>IFERROR(INDEX(样本到样信息汇总统计!N$2:N$500,MATCH(303,样本到样信息汇总统计!$Z$2:$Z$500,0)),"")</f>
        <v/>
      </c>
      <c r="O304" s="4" t="str">
        <f>IFERROR(INDEX(样本到样信息汇总统计!O$2:O$500,MATCH(303,样本到样信息汇总统计!$Z$2:$Z$500,0)),"")</f>
        <v/>
      </c>
      <c r="P304" s="4" t="str">
        <f>IFERROR(INDEX(样本到样信息汇总统计!P$2:P$500,MATCH(303,样本到样信息汇总统计!$Z$2:$Z$500,0)),"")</f>
        <v/>
      </c>
      <c r="Q304" s="4" t="str">
        <f>IFERROR(INDEX(样本到样信息汇总统计!Q$2:Q$500,MATCH(303,样本到样信息汇总统计!$Z$2:$Z$500,0)),"")</f>
        <v/>
      </c>
      <c r="R304" s="4" t="str">
        <f>IFERROR(INDEX(样本到样信息汇总统计!R$2:R$500,MATCH(303,样本到样信息汇总统计!$Z$2:$Z$500,0)),"")</f>
        <v/>
      </c>
      <c r="S304" s="4" t="str">
        <f>IFERROR(INDEX(样本到样信息汇总统计!S$2:S$500,MATCH(303,样本到样信息汇总统计!$Z$2:$Z$500,0)),"")</f>
        <v/>
      </c>
      <c r="T304" s="4" t="str">
        <f>IFERROR(INDEX(样本到样信息汇总统计!T$2:T$500,MATCH(303,样本到样信息汇总统计!$Z$2:$Z$500,0)),"")</f>
        <v/>
      </c>
      <c r="U304" s="4" t="str">
        <f>IFERROR(INDEX(样本到样信息汇总统计!U$2:U$500,MATCH(303,样本到样信息汇总统计!$Z$2:$Z$500,0)),"")</f>
        <v/>
      </c>
      <c r="V304" s="4" t="str">
        <f>IFERROR(INDEX(样本到样信息汇总统计!V$2:V$500,MATCH(303,样本到样信息汇总统计!$Z$2:$Z$500,0)),"")</f>
        <v/>
      </c>
      <c r="W304" s="4" t="str">
        <f>IFERROR(INDEX(样本到样信息汇总统计!W$2:W$500,MATCH(303,样本到样信息汇总统计!$Z$2:$Z$500,0)),"")</f>
        <v/>
      </c>
    </row>
    <row r="305" ht="14.5" spans="1:23">
      <c r="A305" s="8" t="str">
        <f>IFERROR(INDEX(样本到样信息汇总统计!A$2:A$500,MATCH(304,样本到样信息汇总统计!$Z$2:$Z$500,0)),"")</f>
        <v/>
      </c>
      <c r="B305" s="8" t="str">
        <f>IFERROR(INDEX(样本到样信息汇总统计!B$2:B$500,MATCH(304,样本到样信息汇总统计!$Z$2:$Z$500,0)),"")</f>
        <v/>
      </c>
      <c r="C305" s="8" t="str">
        <f>IFERROR(INDEX(样本到样信息汇总统计!C$2:C$500,MATCH(304,样本到样信息汇总统计!$Z$2:$Z$500,0)),"")</f>
        <v/>
      </c>
      <c r="D305" s="8" t="str">
        <f>IFERROR(INDEX(样本到样信息汇总统计!D$2:D$500,MATCH(304,样本到样信息汇总统计!$Z$2:$Z$500,0)),"")</f>
        <v/>
      </c>
      <c r="E305" s="8" t="str">
        <f>IFERROR(INDEX(样本到样信息汇总统计!E$2:E$500,MATCH(304,样本到样信息汇总统计!$Z$2:$Z$500,0)),"")</f>
        <v/>
      </c>
      <c r="F305" s="8" t="str">
        <f>IFERROR(INDEX(样本到样信息汇总统计!F$2:F$500,MATCH(304,样本到样信息汇总统计!$Z$2:$Z$500,0)),"")</f>
        <v/>
      </c>
      <c r="G305" s="8" t="str">
        <f>IFERROR(INDEX(样本到样信息汇总统计!G$2:G$500,MATCH(304,样本到样信息汇总统计!$Z$2:$Z$500,0)),"")</f>
        <v/>
      </c>
      <c r="H305" s="8" t="str">
        <f>IFERROR(INDEX(样本到样信息汇总统计!H$2:H$500,MATCH(304,样本到样信息汇总统计!$Z$2:$Z$500,0)),"")</f>
        <v/>
      </c>
      <c r="I305" s="8" t="str">
        <f>IFERROR(INDEX(样本到样信息汇总统计!I$2:I$500,MATCH(304,样本到样信息汇总统计!$Z$2:$Z$500,0)),"")</f>
        <v/>
      </c>
      <c r="J305" s="8" t="str">
        <f>IFERROR(INDEX(样本到样信息汇总统计!J$2:J$500,MATCH(304,样本到样信息汇总统计!$Z$2:$Z$500,0)),"")</f>
        <v/>
      </c>
      <c r="K305" s="8" t="str">
        <f>IFERROR(INDEX(样本到样信息汇总统计!K$2:K$500,MATCH(304,样本到样信息汇总统计!$Z$2:$Z$500,0)),"")</f>
        <v/>
      </c>
      <c r="L305" s="8" t="str">
        <f>IFERROR(INDEX(样本到样信息汇总统计!L$2:L$500,MATCH(304,样本到样信息汇总统计!$Z$2:$Z$500,0)),"")</f>
        <v/>
      </c>
      <c r="M305" s="8" t="str">
        <f>IFERROR(INDEX(样本到样信息汇总统计!M$2:M$500,MATCH(304,样本到样信息汇总统计!$Z$2:$Z$500,0)),"")</f>
        <v/>
      </c>
      <c r="N305" s="8" t="str">
        <f>IFERROR(INDEX(样本到样信息汇总统计!N$2:N$500,MATCH(304,样本到样信息汇总统计!$Z$2:$Z$500,0)),"")</f>
        <v/>
      </c>
      <c r="O305" s="8" t="str">
        <f>IFERROR(INDEX(样本到样信息汇总统计!O$2:O$500,MATCH(304,样本到样信息汇总统计!$Z$2:$Z$500,0)),"")</f>
        <v/>
      </c>
      <c r="P305" s="8" t="str">
        <f>IFERROR(INDEX(样本到样信息汇总统计!P$2:P$500,MATCH(304,样本到样信息汇总统计!$Z$2:$Z$500,0)),"")</f>
        <v/>
      </c>
      <c r="Q305" s="8" t="str">
        <f>IFERROR(INDEX(样本到样信息汇总统计!Q$2:Q$500,MATCH(304,样本到样信息汇总统计!$Z$2:$Z$500,0)),"")</f>
        <v/>
      </c>
      <c r="R305" s="8" t="str">
        <f>IFERROR(INDEX(样本到样信息汇总统计!R$2:R$500,MATCH(304,样本到样信息汇总统计!$Z$2:$Z$500,0)),"")</f>
        <v/>
      </c>
      <c r="S305" s="8" t="str">
        <f>IFERROR(INDEX(样本到样信息汇总统计!S$2:S$500,MATCH(304,样本到样信息汇总统计!$Z$2:$Z$500,0)),"")</f>
        <v/>
      </c>
      <c r="T305" s="8" t="str">
        <f>IFERROR(INDEX(样本到样信息汇总统计!T$2:T$500,MATCH(304,样本到样信息汇总统计!$Z$2:$Z$500,0)),"")</f>
        <v/>
      </c>
      <c r="U305" s="8" t="str">
        <f>IFERROR(INDEX(样本到样信息汇总统计!U$2:U$500,MATCH(304,样本到样信息汇总统计!$Z$2:$Z$500,0)),"")</f>
        <v/>
      </c>
      <c r="V305" s="8" t="str">
        <f>IFERROR(INDEX(样本到样信息汇总统计!V$2:V$500,MATCH(304,样本到样信息汇总统计!$Z$2:$Z$500,0)),"")</f>
        <v/>
      </c>
      <c r="W305" s="8" t="str">
        <f>IFERROR(INDEX(样本到样信息汇总统计!W$2:W$500,MATCH(304,样本到样信息汇总统计!$Z$2:$Z$500,0)),"")</f>
        <v/>
      </c>
    </row>
    <row r="306" ht="14.5" spans="1:23">
      <c r="A306" s="4" t="str">
        <f>IFERROR(INDEX(样本到样信息汇总统计!A$2:A$500,MATCH(305,样本到样信息汇总统计!$Z$2:$Z$500,0)),"")</f>
        <v/>
      </c>
      <c r="B306" s="4" t="str">
        <f>IFERROR(INDEX(样本到样信息汇总统计!B$2:B$500,MATCH(305,样本到样信息汇总统计!$Z$2:$Z$500,0)),"")</f>
        <v/>
      </c>
      <c r="C306" s="4" t="str">
        <f>IFERROR(INDEX(样本到样信息汇总统计!C$2:C$500,MATCH(305,样本到样信息汇总统计!$Z$2:$Z$500,0)),"")</f>
        <v/>
      </c>
      <c r="D306" s="4" t="str">
        <f>IFERROR(INDEX(样本到样信息汇总统计!D$2:D$500,MATCH(305,样本到样信息汇总统计!$Z$2:$Z$500,0)),"")</f>
        <v/>
      </c>
      <c r="E306" s="4" t="str">
        <f>IFERROR(INDEX(样本到样信息汇总统计!E$2:E$500,MATCH(305,样本到样信息汇总统计!$Z$2:$Z$500,0)),"")</f>
        <v/>
      </c>
      <c r="F306" s="4" t="str">
        <f>IFERROR(INDEX(样本到样信息汇总统计!F$2:F$500,MATCH(305,样本到样信息汇总统计!$Z$2:$Z$500,0)),"")</f>
        <v/>
      </c>
      <c r="G306" s="4" t="str">
        <f>IFERROR(INDEX(样本到样信息汇总统计!G$2:G$500,MATCH(305,样本到样信息汇总统计!$Z$2:$Z$500,0)),"")</f>
        <v/>
      </c>
      <c r="H306" s="4" t="str">
        <f>IFERROR(INDEX(样本到样信息汇总统计!H$2:H$500,MATCH(305,样本到样信息汇总统计!$Z$2:$Z$500,0)),"")</f>
        <v/>
      </c>
      <c r="I306" s="4" t="str">
        <f>IFERROR(INDEX(样本到样信息汇总统计!I$2:I$500,MATCH(305,样本到样信息汇总统计!$Z$2:$Z$500,0)),"")</f>
        <v/>
      </c>
      <c r="J306" s="4" t="str">
        <f>IFERROR(INDEX(样本到样信息汇总统计!J$2:J$500,MATCH(305,样本到样信息汇总统计!$Z$2:$Z$500,0)),"")</f>
        <v/>
      </c>
      <c r="K306" s="4" t="str">
        <f>IFERROR(INDEX(样本到样信息汇总统计!K$2:K$500,MATCH(305,样本到样信息汇总统计!$Z$2:$Z$500,0)),"")</f>
        <v/>
      </c>
      <c r="L306" s="4" t="str">
        <f>IFERROR(INDEX(样本到样信息汇总统计!L$2:L$500,MATCH(305,样本到样信息汇总统计!$Z$2:$Z$500,0)),"")</f>
        <v/>
      </c>
      <c r="M306" s="4" t="str">
        <f>IFERROR(INDEX(样本到样信息汇总统计!M$2:M$500,MATCH(305,样本到样信息汇总统计!$Z$2:$Z$500,0)),"")</f>
        <v/>
      </c>
      <c r="N306" s="4" t="str">
        <f>IFERROR(INDEX(样本到样信息汇总统计!N$2:N$500,MATCH(305,样本到样信息汇总统计!$Z$2:$Z$500,0)),"")</f>
        <v/>
      </c>
      <c r="O306" s="4" t="str">
        <f>IFERROR(INDEX(样本到样信息汇总统计!O$2:O$500,MATCH(305,样本到样信息汇总统计!$Z$2:$Z$500,0)),"")</f>
        <v/>
      </c>
      <c r="P306" s="4" t="str">
        <f>IFERROR(INDEX(样本到样信息汇总统计!P$2:P$500,MATCH(305,样本到样信息汇总统计!$Z$2:$Z$500,0)),"")</f>
        <v/>
      </c>
      <c r="Q306" s="4" t="str">
        <f>IFERROR(INDEX(样本到样信息汇总统计!Q$2:Q$500,MATCH(305,样本到样信息汇总统计!$Z$2:$Z$500,0)),"")</f>
        <v/>
      </c>
      <c r="R306" s="4" t="str">
        <f>IFERROR(INDEX(样本到样信息汇总统计!R$2:R$500,MATCH(305,样本到样信息汇总统计!$Z$2:$Z$500,0)),"")</f>
        <v/>
      </c>
      <c r="S306" s="4" t="str">
        <f>IFERROR(INDEX(样本到样信息汇总统计!S$2:S$500,MATCH(305,样本到样信息汇总统计!$Z$2:$Z$500,0)),"")</f>
        <v/>
      </c>
      <c r="T306" s="4" t="str">
        <f>IFERROR(INDEX(样本到样信息汇总统计!T$2:T$500,MATCH(305,样本到样信息汇总统计!$Z$2:$Z$500,0)),"")</f>
        <v/>
      </c>
      <c r="U306" s="4" t="str">
        <f>IFERROR(INDEX(样本到样信息汇总统计!U$2:U$500,MATCH(305,样本到样信息汇总统计!$Z$2:$Z$500,0)),"")</f>
        <v/>
      </c>
      <c r="V306" s="4" t="str">
        <f>IFERROR(INDEX(样本到样信息汇总统计!V$2:V$500,MATCH(305,样本到样信息汇总统计!$Z$2:$Z$500,0)),"")</f>
        <v/>
      </c>
      <c r="W306" s="4" t="str">
        <f>IFERROR(INDEX(样本到样信息汇总统计!W$2:W$500,MATCH(305,样本到样信息汇总统计!$Z$2:$Z$500,0)),"")</f>
        <v/>
      </c>
    </row>
    <row r="307" ht="14.5" spans="1:23">
      <c r="A307" s="8" t="str">
        <f>IFERROR(INDEX(样本到样信息汇总统计!A$2:A$500,MATCH(306,样本到样信息汇总统计!$Z$2:$Z$500,0)),"")</f>
        <v/>
      </c>
      <c r="B307" s="8" t="str">
        <f>IFERROR(INDEX(样本到样信息汇总统计!B$2:B$500,MATCH(306,样本到样信息汇总统计!$Z$2:$Z$500,0)),"")</f>
        <v/>
      </c>
      <c r="C307" s="8" t="str">
        <f>IFERROR(INDEX(样本到样信息汇总统计!C$2:C$500,MATCH(306,样本到样信息汇总统计!$Z$2:$Z$500,0)),"")</f>
        <v/>
      </c>
      <c r="D307" s="8" t="str">
        <f>IFERROR(INDEX(样本到样信息汇总统计!D$2:D$500,MATCH(306,样本到样信息汇总统计!$Z$2:$Z$500,0)),"")</f>
        <v/>
      </c>
      <c r="E307" s="8" t="str">
        <f>IFERROR(INDEX(样本到样信息汇总统计!E$2:E$500,MATCH(306,样本到样信息汇总统计!$Z$2:$Z$500,0)),"")</f>
        <v/>
      </c>
      <c r="F307" s="8" t="str">
        <f>IFERROR(INDEX(样本到样信息汇总统计!F$2:F$500,MATCH(306,样本到样信息汇总统计!$Z$2:$Z$500,0)),"")</f>
        <v/>
      </c>
      <c r="G307" s="8" t="str">
        <f>IFERROR(INDEX(样本到样信息汇总统计!G$2:G$500,MATCH(306,样本到样信息汇总统计!$Z$2:$Z$500,0)),"")</f>
        <v/>
      </c>
      <c r="H307" s="8" t="str">
        <f>IFERROR(INDEX(样本到样信息汇总统计!H$2:H$500,MATCH(306,样本到样信息汇总统计!$Z$2:$Z$500,0)),"")</f>
        <v/>
      </c>
      <c r="I307" s="8" t="str">
        <f>IFERROR(INDEX(样本到样信息汇总统计!I$2:I$500,MATCH(306,样本到样信息汇总统计!$Z$2:$Z$500,0)),"")</f>
        <v/>
      </c>
      <c r="J307" s="8" t="str">
        <f>IFERROR(INDEX(样本到样信息汇总统计!J$2:J$500,MATCH(306,样本到样信息汇总统计!$Z$2:$Z$500,0)),"")</f>
        <v/>
      </c>
      <c r="K307" s="8" t="str">
        <f>IFERROR(INDEX(样本到样信息汇总统计!K$2:K$500,MATCH(306,样本到样信息汇总统计!$Z$2:$Z$500,0)),"")</f>
        <v/>
      </c>
      <c r="L307" s="8" t="str">
        <f>IFERROR(INDEX(样本到样信息汇总统计!L$2:L$500,MATCH(306,样本到样信息汇总统计!$Z$2:$Z$500,0)),"")</f>
        <v/>
      </c>
      <c r="M307" s="8" t="str">
        <f>IFERROR(INDEX(样本到样信息汇总统计!M$2:M$500,MATCH(306,样本到样信息汇总统计!$Z$2:$Z$500,0)),"")</f>
        <v/>
      </c>
      <c r="N307" s="8" t="str">
        <f>IFERROR(INDEX(样本到样信息汇总统计!N$2:N$500,MATCH(306,样本到样信息汇总统计!$Z$2:$Z$500,0)),"")</f>
        <v/>
      </c>
      <c r="O307" s="8" t="str">
        <f>IFERROR(INDEX(样本到样信息汇总统计!O$2:O$500,MATCH(306,样本到样信息汇总统计!$Z$2:$Z$500,0)),"")</f>
        <v/>
      </c>
      <c r="P307" s="8" t="str">
        <f>IFERROR(INDEX(样本到样信息汇总统计!P$2:P$500,MATCH(306,样本到样信息汇总统计!$Z$2:$Z$500,0)),"")</f>
        <v/>
      </c>
      <c r="Q307" s="8" t="str">
        <f>IFERROR(INDEX(样本到样信息汇总统计!Q$2:Q$500,MATCH(306,样本到样信息汇总统计!$Z$2:$Z$500,0)),"")</f>
        <v/>
      </c>
      <c r="R307" s="8" t="str">
        <f>IFERROR(INDEX(样本到样信息汇总统计!R$2:R$500,MATCH(306,样本到样信息汇总统计!$Z$2:$Z$500,0)),"")</f>
        <v/>
      </c>
      <c r="S307" s="8" t="str">
        <f>IFERROR(INDEX(样本到样信息汇总统计!S$2:S$500,MATCH(306,样本到样信息汇总统计!$Z$2:$Z$500,0)),"")</f>
        <v/>
      </c>
      <c r="T307" s="8" t="str">
        <f>IFERROR(INDEX(样本到样信息汇总统计!T$2:T$500,MATCH(306,样本到样信息汇总统计!$Z$2:$Z$500,0)),"")</f>
        <v/>
      </c>
      <c r="U307" s="8" t="str">
        <f>IFERROR(INDEX(样本到样信息汇总统计!U$2:U$500,MATCH(306,样本到样信息汇总统计!$Z$2:$Z$500,0)),"")</f>
        <v/>
      </c>
      <c r="V307" s="8" t="str">
        <f>IFERROR(INDEX(样本到样信息汇总统计!V$2:V$500,MATCH(306,样本到样信息汇总统计!$Z$2:$Z$500,0)),"")</f>
        <v/>
      </c>
      <c r="W307" s="8" t="str">
        <f>IFERROR(INDEX(样本到样信息汇总统计!W$2:W$500,MATCH(306,样本到样信息汇总统计!$Z$2:$Z$500,0)),"")</f>
        <v/>
      </c>
    </row>
    <row r="308" ht="14.5" spans="1:23">
      <c r="A308" s="4" t="str">
        <f>IFERROR(INDEX(样本到样信息汇总统计!A$2:A$500,MATCH(307,样本到样信息汇总统计!$Z$2:$Z$500,0)),"")</f>
        <v/>
      </c>
      <c r="B308" s="4" t="str">
        <f>IFERROR(INDEX(样本到样信息汇总统计!B$2:B$500,MATCH(307,样本到样信息汇总统计!$Z$2:$Z$500,0)),"")</f>
        <v/>
      </c>
      <c r="C308" s="4" t="str">
        <f>IFERROR(INDEX(样本到样信息汇总统计!C$2:C$500,MATCH(307,样本到样信息汇总统计!$Z$2:$Z$500,0)),"")</f>
        <v/>
      </c>
      <c r="D308" s="4" t="str">
        <f>IFERROR(INDEX(样本到样信息汇总统计!D$2:D$500,MATCH(307,样本到样信息汇总统计!$Z$2:$Z$500,0)),"")</f>
        <v/>
      </c>
      <c r="E308" s="4" t="str">
        <f>IFERROR(INDEX(样本到样信息汇总统计!E$2:E$500,MATCH(307,样本到样信息汇总统计!$Z$2:$Z$500,0)),"")</f>
        <v/>
      </c>
      <c r="F308" s="4" t="str">
        <f>IFERROR(INDEX(样本到样信息汇总统计!F$2:F$500,MATCH(307,样本到样信息汇总统计!$Z$2:$Z$500,0)),"")</f>
        <v/>
      </c>
      <c r="G308" s="4" t="str">
        <f>IFERROR(INDEX(样本到样信息汇总统计!G$2:G$500,MATCH(307,样本到样信息汇总统计!$Z$2:$Z$500,0)),"")</f>
        <v/>
      </c>
      <c r="H308" s="4" t="str">
        <f>IFERROR(INDEX(样本到样信息汇总统计!H$2:H$500,MATCH(307,样本到样信息汇总统计!$Z$2:$Z$500,0)),"")</f>
        <v/>
      </c>
      <c r="I308" s="4" t="str">
        <f>IFERROR(INDEX(样本到样信息汇总统计!I$2:I$500,MATCH(307,样本到样信息汇总统计!$Z$2:$Z$500,0)),"")</f>
        <v/>
      </c>
      <c r="J308" s="4" t="str">
        <f>IFERROR(INDEX(样本到样信息汇总统计!J$2:J$500,MATCH(307,样本到样信息汇总统计!$Z$2:$Z$500,0)),"")</f>
        <v/>
      </c>
      <c r="K308" s="4" t="str">
        <f>IFERROR(INDEX(样本到样信息汇总统计!K$2:K$500,MATCH(307,样本到样信息汇总统计!$Z$2:$Z$500,0)),"")</f>
        <v/>
      </c>
      <c r="L308" s="4" t="str">
        <f>IFERROR(INDEX(样本到样信息汇总统计!L$2:L$500,MATCH(307,样本到样信息汇总统计!$Z$2:$Z$500,0)),"")</f>
        <v/>
      </c>
      <c r="M308" s="4" t="str">
        <f>IFERROR(INDEX(样本到样信息汇总统计!M$2:M$500,MATCH(307,样本到样信息汇总统计!$Z$2:$Z$500,0)),"")</f>
        <v/>
      </c>
      <c r="N308" s="4" t="str">
        <f>IFERROR(INDEX(样本到样信息汇总统计!N$2:N$500,MATCH(307,样本到样信息汇总统计!$Z$2:$Z$500,0)),"")</f>
        <v/>
      </c>
      <c r="O308" s="4" t="str">
        <f>IFERROR(INDEX(样本到样信息汇总统计!O$2:O$500,MATCH(307,样本到样信息汇总统计!$Z$2:$Z$500,0)),"")</f>
        <v/>
      </c>
      <c r="P308" s="4" t="str">
        <f>IFERROR(INDEX(样本到样信息汇总统计!P$2:P$500,MATCH(307,样本到样信息汇总统计!$Z$2:$Z$500,0)),"")</f>
        <v/>
      </c>
      <c r="Q308" s="4" t="str">
        <f>IFERROR(INDEX(样本到样信息汇总统计!Q$2:Q$500,MATCH(307,样本到样信息汇总统计!$Z$2:$Z$500,0)),"")</f>
        <v/>
      </c>
      <c r="R308" s="4" t="str">
        <f>IFERROR(INDEX(样本到样信息汇总统计!R$2:R$500,MATCH(307,样本到样信息汇总统计!$Z$2:$Z$500,0)),"")</f>
        <v/>
      </c>
      <c r="S308" s="4" t="str">
        <f>IFERROR(INDEX(样本到样信息汇总统计!S$2:S$500,MATCH(307,样本到样信息汇总统计!$Z$2:$Z$500,0)),"")</f>
        <v/>
      </c>
      <c r="T308" s="4" t="str">
        <f>IFERROR(INDEX(样本到样信息汇总统计!T$2:T$500,MATCH(307,样本到样信息汇总统计!$Z$2:$Z$500,0)),"")</f>
        <v/>
      </c>
      <c r="U308" s="4" t="str">
        <f>IFERROR(INDEX(样本到样信息汇总统计!U$2:U$500,MATCH(307,样本到样信息汇总统计!$Z$2:$Z$500,0)),"")</f>
        <v/>
      </c>
      <c r="V308" s="4" t="str">
        <f>IFERROR(INDEX(样本到样信息汇总统计!V$2:V$500,MATCH(307,样本到样信息汇总统计!$Z$2:$Z$500,0)),"")</f>
        <v/>
      </c>
      <c r="W308" s="4" t="str">
        <f>IFERROR(INDEX(样本到样信息汇总统计!W$2:W$500,MATCH(307,样本到样信息汇总统计!$Z$2:$Z$500,0)),"")</f>
        <v/>
      </c>
    </row>
    <row r="309" ht="14.5" spans="1:23">
      <c r="A309" s="8" t="str">
        <f>IFERROR(INDEX(样本到样信息汇总统计!A$2:A$500,MATCH(308,样本到样信息汇总统计!$Z$2:$Z$500,0)),"")</f>
        <v/>
      </c>
      <c r="B309" s="8" t="str">
        <f>IFERROR(INDEX(样本到样信息汇总统计!B$2:B$500,MATCH(308,样本到样信息汇总统计!$Z$2:$Z$500,0)),"")</f>
        <v/>
      </c>
      <c r="C309" s="8" t="str">
        <f>IFERROR(INDEX(样本到样信息汇总统计!C$2:C$500,MATCH(308,样本到样信息汇总统计!$Z$2:$Z$500,0)),"")</f>
        <v/>
      </c>
      <c r="D309" s="8" t="str">
        <f>IFERROR(INDEX(样本到样信息汇总统计!D$2:D$500,MATCH(308,样本到样信息汇总统计!$Z$2:$Z$500,0)),"")</f>
        <v/>
      </c>
      <c r="E309" s="8" t="str">
        <f>IFERROR(INDEX(样本到样信息汇总统计!E$2:E$500,MATCH(308,样本到样信息汇总统计!$Z$2:$Z$500,0)),"")</f>
        <v/>
      </c>
      <c r="F309" s="8" t="str">
        <f>IFERROR(INDEX(样本到样信息汇总统计!F$2:F$500,MATCH(308,样本到样信息汇总统计!$Z$2:$Z$500,0)),"")</f>
        <v/>
      </c>
      <c r="G309" s="8" t="str">
        <f>IFERROR(INDEX(样本到样信息汇总统计!G$2:G$500,MATCH(308,样本到样信息汇总统计!$Z$2:$Z$500,0)),"")</f>
        <v/>
      </c>
      <c r="H309" s="8" t="str">
        <f>IFERROR(INDEX(样本到样信息汇总统计!H$2:H$500,MATCH(308,样本到样信息汇总统计!$Z$2:$Z$500,0)),"")</f>
        <v/>
      </c>
      <c r="I309" s="8" t="str">
        <f>IFERROR(INDEX(样本到样信息汇总统计!I$2:I$500,MATCH(308,样本到样信息汇总统计!$Z$2:$Z$500,0)),"")</f>
        <v/>
      </c>
      <c r="J309" s="8" t="str">
        <f>IFERROR(INDEX(样本到样信息汇总统计!J$2:J$500,MATCH(308,样本到样信息汇总统计!$Z$2:$Z$500,0)),"")</f>
        <v/>
      </c>
      <c r="K309" s="8" t="str">
        <f>IFERROR(INDEX(样本到样信息汇总统计!K$2:K$500,MATCH(308,样本到样信息汇总统计!$Z$2:$Z$500,0)),"")</f>
        <v/>
      </c>
      <c r="L309" s="8" t="str">
        <f>IFERROR(INDEX(样本到样信息汇总统计!L$2:L$500,MATCH(308,样本到样信息汇总统计!$Z$2:$Z$500,0)),"")</f>
        <v/>
      </c>
      <c r="M309" s="8" t="str">
        <f>IFERROR(INDEX(样本到样信息汇总统计!M$2:M$500,MATCH(308,样本到样信息汇总统计!$Z$2:$Z$500,0)),"")</f>
        <v/>
      </c>
      <c r="N309" s="8" t="str">
        <f>IFERROR(INDEX(样本到样信息汇总统计!N$2:N$500,MATCH(308,样本到样信息汇总统计!$Z$2:$Z$500,0)),"")</f>
        <v/>
      </c>
      <c r="O309" s="8" t="str">
        <f>IFERROR(INDEX(样本到样信息汇总统计!O$2:O$500,MATCH(308,样本到样信息汇总统计!$Z$2:$Z$500,0)),"")</f>
        <v/>
      </c>
      <c r="P309" s="8" t="str">
        <f>IFERROR(INDEX(样本到样信息汇总统计!P$2:P$500,MATCH(308,样本到样信息汇总统计!$Z$2:$Z$500,0)),"")</f>
        <v/>
      </c>
      <c r="Q309" s="8" t="str">
        <f>IFERROR(INDEX(样本到样信息汇总统计!Q$2:Q$500,MATCH(308,样本到样信息汇总统计!$Z$2:$Z$500,0)),"")</f>
        <v/>
      </c>
      <c r="R309" s="8" t="str">
        <f>IFERROR(INDEX(样本到样信息汇总统计!R$2:R$500,MATCH(308,样本到样信息汇总统计!$Z$2:$Z$500,0)),"")</f>
        <v/>
      </c>
      <c r="S309" s="8" t="str">
        <f>IFERROR(INDEX(样本到样信息汇总统计!S$2:S$500,MATCH(308,样本到样信息汇总统计!$Z$2:$Z$500,0)),"")</f>
        <v/>
      </c>
      <c r="T309" s="8" t="str">
        <f>IFERROR(INDEX(样本到样信息汇总统计!T$2:T$500,MATCH(308,样本到样信息汇总统计!$Z$2:$Z$500,0)),"")</f>
        <v/>
      </c>
      <c r="U309" s="8" t="str">
        <f>IFERROR(INDEX(样本到样信息汇总统计!U$2:U$500,MATCH(308,样本到样信息汇总统计!$Z$2:$Z$500,0)),"")</f>
        <v/>
      </c>
      <c r="V309" s="8" t="str">
        <f>IFERROR(INDEX(样本到样信息汇总统计!V$2:V$500,MATCH(308,样本到样信息汇总统计!$Z$2:$Z$500,0)),"")</f>
        <v/>
      </c>
      <c r="W309" s="8" t="str">
        <f>IFERROR(INDEX(样本到样信息汇总统计!W$2:W$500,MATCH(308,样本到样信息汇总统计!$Z$2:$Z$500,0)),"")</f>
        <v/>
      </c>
    </row>
    <row r="310" ht="14.5" spans="1:23">
      <c r="A310" s="4" t="str">
        <f>IFERROR(INDEX(样本到样信息汇总统计!A$2:A$500,MATCH(309,样本到样信息汇总统计!$Z$2:$Z$500,0)),"")</f>
        <v/>
      </c>
      <c r="B310" s="4" t="str">
        <f>IFERROR(INDEX(样本到样信息汇总统计!B$2:B$500,MATCH(309,样本到样信息汇总统计!$Z$2:$Z$500,0)),"")</f>
        <v/>
      </c>
      <c r="C310" s="4" t="str">
        <f>IFERROR(INDEX(样本到样信息汇总统计!C$2:C$500,MATCH(309,样本到样信息汇总统计!$Z$2:$Z$500,0)),"")</f>
        <v/>
      </c>
      <c r="D310" s="4" t="str">
        <f>IFERROR(INDEX(样本到样信息汇总统计!D$2:D$500,MATCH(309,样本到样信息汇总统计!$Z$2:$Z$500,0)),"")</f>
        <v/>
      </c>
      <c r="E310" s="4" t="str">
        <f>IFERROR(INDEX(样本到样信息汇总统计!E$2:E$500,MATCH(309,样本到样信息汇总统计!$Z$2:$Z$500,0)),"")</f>
        <v/>
      </c>
      <c r="F310" s="4" t="str">
        <f>IFERROR(INDEX(样本到样信息汇总统计!F$2:F$500,MATCH(309,样本到样信息汇总统计!$Z$2:$Z$500,0)),"")</f>
        <v/>
      </c>
      <c r="G310" s="4" t="str">
        <f>IFERROR(INDEX(样本到样信息汇总统计!G$2:G$500,MATCH(309,样本到样信息汇总统计!$Z$2:$Z$500,0)),"")</f>
        <v/>
      </c>
      <c r="H310" s="4" t="str">
        <f>IFERROR(INDEX(样本到样信息汇总统计!H$2:H$500,MATCH(309,样本到样信息汇总统计!$Z$2:$Z$500,0)),"")</f>
        <v/>
      </c>
      <c r="I310" s="4" t="str">
        <f>IFERROR(INDEX(样本到样信息汇总统计!I$2:I$500,MATCH(309,样本到样信息汇总统计!$Z$2:$Z$500,0)),"")</f>
        <v/>
      </c>
      <c r="J310" s="4" t="str">
        <f>IFERROR(INDEX(样本到样信息汇总统计!J$2:J$500,MATCH(309,样本到样信息汇总统计!$Z$2:$Z$500,0)),"")</f>
        <v/>
      </c>
      <c r="K310" s="4" t="str">
        <f>IFERROR(INDEX(样本到样信息汇总统计!K$2:K$500,MATCH(309,样本到样信息汇总统计!$Z$2:$Z$500,0)),"")</f>
        <v/>
      </c>
      <c r="L310" s="4" t="str">
        <f>IFERROR(INDEX(样本到样信息汇总统计!L$2:L$500,MATCH(309,样本到样信息汇总统计!$Z$2:$Z$500,0)),"")</f>
        <v/>
      </c>
      <c r="M310" s="4" t="str">
        <f>IFERROR(INDEX(样本到样信息汇总统计!M$2:M$500,MATCH(309,样本到样信息汇总统计!$Z$2:$Z$500,0)),"")</f>
        <v/>
      </c>
      <c r="N310" s="4" t="str">
        <f>IFERROR(INDEX(样本到样信息汇总统计!N$2:N$500,MATCH(309,样本到样信息汇总统计!$Z$2:$Z$500,0)),"")</f>
        <v/>
      </c>
      <c r="O310" s="4" t="str">
        <f>IFERROR(INDEX(样本到样信息汇总统计!O$2:O$500,MATCH(309,样本到样信息汇总统计!$Z$2:$Z$500,0)),"")</f>
        <v/>
      </c>
      <c r="P310" s="4" t="str">
        <f>IFERROR(INDEX(样本到样信息汇总统计!P$2:P$500,MATCH(309,样本到样信息汇总统计!$Z$2:$Z$500,0)),"")</f>
        <v/>
      </c>
      <c r="Q310" s="4" t="str">
        <f>IFERROR(INDEX(样本到样信息汇总统计!Q$2:Q$500,MATCH(309,样本到样信息汇总统计!$Z$2:$Z$500,0)),"")</f>
        <v/>
      </c>
      <c r="R310" s="4" t="str">
        <f>IFERROR(INDEX(样本到样信息汇总统计!R$2:R$500,MATCH(309,样本到样信息汇总统计!$Z$2:$Z$500,0)),"")</f>
        <v/>
      </c>
      <c r="S310" s="4" t="str">
        <f>IFERROR(INDEX(样本到样信息汇总统计!S$2:S$500,MATCH(309,样本到样信息汇总统计!$Z$2:$Z$500,0)),"")</f>
        <v/>
      </c>
      <c r="T310" s="4" t="str">
        <f>IFERROR(INDEX(样本到样信息汇总统计!T$2:T$500,MATCH(309,样本到样信息汇总统计!$Z$2:$Z$500,0)),"")</f>
        <v/>
      </c>
      <c r="U310" s="4" t="str">
        <f>IFERROR(INDEX(样本到样信息汇总统计!U$2:U$500,MATCH(309,样本到样信息汇总统计!$Z$2:$Z$500,0)),"")</f>
        <v/>
      </c>
      <c r="V310" s="4" t="str">
        <f>IFERROR(INDEX(样本到样信息汇总统计!V$2:V$500,MATCH(309,样本到样信息汇总统计!$Z$2:$Z$500,0)),"")</f>
        <v/>
      </c>
      <c r="W310" s="4" t="str">
        <f>IFERROR(INDEX(样本到样信息汇总统计!W$2:W$500,MATCH(309,样本到样信息汇总统计!$Z$2:$Z$500,0)),"")</f>
        <v/>
      </c>
    </row>
    <row r="311" ht="14.5" spans="1:23">
      <c r="A311" s="8" t="str">
        <f>IFERROR(INDEX(样本到样信息汇总统计!A$2:A$500,MATCH(310,样本到样信息汇总统计!$Z$2:$Z$500,0)),"")</f>
        <v/>
      </c>
      <c r="B311" s="8" t="str">
        <f>IFERROR(INDEX(样本到样信息汇总统计!B$2:B$500,MATCH(310,样本到样信息汇总统计!$Z$2:$Z$500,0)),"")</f>
        <v/>
      </c>
      <c r="C311" s="8" t="str">
        <f>IFERROR(INDEX(样本到样信息汇总统计!C$2:C$500,MATCH(310,样本到样信息汇总统计!$Z$2:$Z$500,0)),"")</f>
        <v/>
      </c>
      <c r="D311" s="8" t="str">
        <f>IFERROR(INDEX(样本到样信息汇总统计!D$2:D$500,MATCH(310,样本到样信息汇总统计!$Z$2:$Z$500,0)),"")</f>
        <v/>
      </c>
      <c r="E311" s="8" t="str">
        <f>IFERROR(INDEX(样本到样信息汇总统计!E$2:E$500,MATCH(310,样本到样信息汇总统计!$Z$2:$Z$500,0)),"")</f>
        <v/>
      </c>
      <c r="F311" s="8" t="str">
        <f>IFERROR(INDEX(样本到样信息汇总统计!F$2:F$500,MATCH(310,样本到样信息汇总统计!$Z$2:$Z$500,0)),"")</f>
        <v/>
      </c>
      <c r="G311" s="8" t="str">
        <f>IFERROR(INDEX(样本到样信息汇总统计!G$2:G$500,MATCH(310,样本到样信息汇总统计!$Z$2:$Z$500,0)),"")</f>
        <v/>
      </c>
      <c r="H311" s="8" t="str">
        <f>IFERROR(INDEX(样本到样信息汇总统计!H$2:H$500,MATCH(310,样本到样信息汇总统计!$Z$2:$Z$500,0)),"")</f>
        <v/>
      </c>
      <c r="I311" s="8" t="str">
        <f>IFERROR(INDEX(样本到样信息汇总统计!I$2:I$500,MATCH(310,样本到样信息汇总统计!$Z$2:$Z$500,0)),"")</f>
        <v/>
      </c>
      <c r="J311" s="8" t="str">
        <f>IFERROR(INDEX(样本到样信息汇总统计!J$2:J$500,MATCH(310,样本到样信息汇总统计!$Z$2:$Z$500,0)),"")</f>
        <v/>
      </c>
      <c r="K311" s="8" t="str">
        <f>IFERROR(INDEX(样本到样信息汇总统计!K$2:K$500,MATCH(310,样本到样信息汇总统计!$Z$2:$Z$500,0)),"")</f>
        <v/>
      </c>
      <c r="L311" s="8" t="str">
        <f>IFERROR(INDEX(样本到样信息汇总统计!L$2:L$500,MATCH(310,样本到样信息汇总统计!$Z$2:$Z$500,0)),"")</f>
        <v/>
      </c>
      <c r="M311" s="8" t="str">
        <f>IFERROR(INDEX(样本到样信息汇总统计!M$2:M$500,MATCH(310,样本到样信息汇总统计!$Z$2:$Z$500,0)),"")</f>
        <v/>
      </c>
      <c r="N311" s="8" t="str">
        <f>IFERROR(INDEX(样本到样信息汇总统计!N$2:N$500,MATCH(310,样本到样信息汇总统计!$Z$2:$Z$500,0)),"")</f>
        <v/>
      </c>
      <c r="O311" s="8" t="str">
        <f>IFERROR(INDEX(样本到样信息汇总统计!O$2:O$500,MATCH(310,样本到样信息汇总统计!$Z$2:$Z$500,0)),"")</f>
        <v/>
      </c>
      <c r="P311" s="8" t="str">
        <f>IFERROR(INDEX(样本到样信息汇总统计!P$2:P$500,MATCH(310,样本到样信息汇总统计!$Z$2:$Z$500,0)),"")</f>
        <v/>
      </c>
      <c r="Q311" s="8" t="str">
        <f>IFERROR(INDEX(样本到样信息汇总统计!Q$2:Q$500,MATCH(310,样本到样信息汇总统计!$Z$2:$Z$500,0)),"")</f>
        <v/>
      </c>
      <c r="R311" s="8" t="str">
        <f>IFERROR(INDEX(样本到样信息汇总统计!R$2:R$500,MATCH(310,样本到样信息汇总统计!$Z$2:$Z$500,0)),"")</f>
        <v/>
      </c>
      <c r="S311" s="8" t="str">
        <f>IFERROR(INDEX(样本到样信息汇总统计!S$2:S$500,MATCH(310,样本到样信息汇总统计!$Z$2:$Z$500,0)),"")</f>
        <v/>
      </c>
      <c r="T311" s="8" t="str">
        <f>IFERROR(INDEX(样本到样信息汇总统计!T$2:T$500,MATCH(310,样本到样信息汇总统计!$Z$2:$Z$500,0)),"")</f>
        <v/>
      </c>
      <c r="U311" s="8" t="str">
        <f>IFERROR(INDEX(样本到样信息汇总统计!U$2:U$500,MATCH(310,样本到样信息汇总统计!$Z$2:$Z$500,0)),"")</f>
        <v/>
      </c>
      <c r="V311" s="8" t="str">
        <f>IFERROR(INDEX(样本到样信息汇总统计!V$2:V$500,MATCH(310,样本到样信息汇总统计!$Z$2:$Z$500,0)),"")</f>
        <v/>
      </c>
      <c r="W311" s="8" t="str">
        <f>IFERROR(INDEX(样本到样信息汇总统计!W$2:W$500,MATCH(310,样本到样信息汇总统计!$Z$2:$Z$500,0)),"")</f>
        <v/>
      </c>
    </row>
    <row r="312" ht="14.5" spans="1:23">
      <c r="A312" s="4" t="str">
        <f>IFERROR(INDEX(样本到样信息汇总统计!A$2:A$500,MATCH(311,样本到样信息汇总统计!$Z$2:$Z$500,0)),"")</f>
        <v/>
      </c>
      <c r="B312" s="4" t="str">
        <f>IFERROR(INDEX(样本到样信息汇总统计!B$2:B$500,MATCH(311,样本到样信息汇总统计!$Z$2:$Z$500,0)),"")</f>
        <v/>
      </c>
      <c r="C312" s="4" t="str">
        <f>IFERROR(INDEX(样本到样信息汇总统计!C$2:C$500,MATCH(311,样本到样信息汇总统计!$Z$2:$Z$500,0)),"")</f>
        <v/>
      </c>
      <c r="D312" s="4" t="str">
        <f>IFERROR(INDEX(样本到样信息汇总统计!D$2:D$500,MATCH(311,样本到样信息汇总统计!$Z$2:$Z$500,0)),"")</f>
        <v/>
      </c>
      <c r="E312" s="4" t="str">
        <f>IFERROR(INDEX(样本到样信息汇总统计!E$2:E$500,MATCH(311,样本到样信息汇总统计!$Z$2:$Z$500,0)),"")</f>
        <v/>
      </c>
      <c r="F312" s="4" t="str">
        <f>IFERROR(INDEX(样本到样信息汇总统计!F$2:F$500,MATCH(311,样本到样信息汇总统计!$Z$2:$Z$500,0)),"")</f>
        <v/>
      </c>
      <c r="G312" s="4" t="str">
        <f>IFERROR(INDEX(样本到样信息汇总统计!G$2:G$500,MATCH(311,样本到样信息汇总统计!$Z$2:$Z$500,0)),"")</f>
        <v/>
      </c>
      <c r="H312" s="4" t="str">
        <f>IFERROR(INDEX(样本到样信息汇总统计!H$2:H$500,MATCH(311,样本到样信息汇总统计!$Z$2:$Z$500,0)),"")</f>
        <v/>
      </c>
      <c r="I312" s="4" t="str">
        <f>IFERROR(INDEX(样本到样信息汇总统计!I$2:I$500,MATCH(311,样本到样信息汇总统计!$Z$2:$Z$500,0)),"")</f>
        <v/>
      </c>
      <c r="J312" s="4" t="str">
        <f>IFERROR(INDEX(样本到样信息汇总统计!J$2:J$500,MATCH(311,样本到样信息汇总统计!$Z$2:$Z$500,0)),"")</f>
        <v/>
      </c>
      <c r="K312" s="4" t="str">
        <f>IFERROR(INDEX(样本到样信息汇总统计!K$2:K$500,MATCH(311,样本到样信息汇总统计!$Z$2:$Z$500,0)),"")</f>
        <v/>
      </c>
      <c r="L312" s="4" t="str">
        <f>IFERROR(INDEX(样本到样信息汇总统计!L$2:L$500,MATCH(311,样本到样信息汇总统计!$Z$2:$Z$500,0)),"")</f>
        <v/>
      </c>
      <c r="M312" s="4" t="str">
        <f>IFERROR(INDEX(样本到样信息汇总统计!M$2:M$500,MATCH(311,样本到样信息汇总统计!$Z$2:$Z$500,0)),"")</f>
        <v/>
      </c>
      <c r="N312" s="4" t="str">
        <f>IFERROR(INDEX(样本到样信息汇总统计!N$2:N$500,MATCH(311,样本到样信息汇总统计!$Z$2:$Z$500,0)),"")</f>
        <v/>
      </c>
      <c r="O312" s="4" t="str">
        <f>IFERROR(INDEX(样本到样信息汇总统计!O$2:O$500,MATCH(311,样本到样信息汇总统计!$Z$2:$Z$500,0)),"")</f>
        <v/>
      </c>
      <c r="P312" s="4" t="str">
        <f>IFERROR(INDEX(样本到样信息汇总统计!P$2:P$500,MATCH(311,样本到样信息汇总统计!$Z$2:$Z$500,0)),"")</f>
        <v/>
      </c>
      <c r="Q312" s="4" t="str">
        <f>IFERROR(INDEX(样本到样信息汇总统计!Q$2:Q$500,MATCH(311,样本到样信息汇总统计!$Z$2:$Z$500,0)),"")</f>
        <v/>
      </c>
      <c r="R312" s="4" t="str">
        <f>IFERROR(INDEX(样本到样信息汇总统计!R$2:R$500,MATCH(311,样本到样信息汇总统计!$Z$2:$Z$500,0)),"")</f>
        <v/>
      </c>
      <c r="S312" s="4" t="str">
        <f>IFERROR(INDEX(样本到样信息汇总统计!S$2:S$500,MATCH(311,样本到样信息汇总统计!$Z$2:$Z$500,0)),"")</f>
        <v/>
      </c>
      <c r="T312" s="4" t="str">
        <f>IFERROR(INDEX(样本到样信息汇总统计!T$2:T$500,MATCH(311,样本到样信息汇总统计!$Z$2:$Z$500,0)),"")</f>
        <v/>
      </c>
      <c r="U312" s="4" t="str">
        <f>IFERROR(INDEX(样本到样信息汇总统计!U$2:U$500,MATCH(311,样本到样信息汇总统计!$Z$2:$Z$500,0)),"")</f>
        <v/>
      </c>
      <c r="V312" s="4" t="str">
        <f>IFERROR(INDEX(样本到样信息汇总统计!V$2:V$500,MATCH(311,样本到样信息汇总统计!$Z$2:$Z$500,0)),"")</f>
        <v/>
      </c>
      <c r="W312" s="4" t="str">
        <f>IFERROR(INDEX(样本到样信息汇总统计!W$2:W$500,MATCH(311,样本到样信息汇总统计!$Z$2:$Z$500,0)),"")</f>
        <v/>
      </c>
    </row>
    <row r="313" ht="14.5" spans="1:23">
      <c r="A313" s="8" t="str">
        <f>IFERROR(INDEX(样本到样信息汇总统计!A$2:A$500,MATCH(312,样本到样信息汇总统计!$Z$2:$Z$500,0)),"")</f>
        <v/>
      </c>
      <c r="B313" s="8" t="str">
        <f>IFERROR(INDEX(样本到样信息汇总统计!B$2:B$500,MATCH(312,样本到样信息汇总统计!$Z$2:$Z$500,0)),"")</f>
        <v/>
      </c>
      <c r="C313" s="8" t="str">
        <f>IFERROR(INDEX(样本到样信息汇总统计!C$2:C$500,MATCH(312,样本到样信息汇总统计!$Z$2:$Z$500,0)),"")</f>
        <v/>
      </c>
      <c r="D313" s="8" t="str">
        <f>IFERROR(INDEX(样本到样信息汇总统计!D$2:D$500,MATCH(312,样本到样信息汇总统计!$Z$2:$Z$500,0)),"")</f>
        <v/>
      </c>
      <c r="E313" s="8" t="str">
        <f>IFERROR(INDEX(样本到样信息汇总统计!E$2:E$500,MATCH(312,样本到样信息汇总统计!$Z$2:$Z$500,0)),"")</f>
        <v/>
      </c>
      <c r="F313" s="8" t="str">
        <f>IFERROR(INDEX(样本到样信息汇总统计!F$2:F$500,MATCH(312,样本到样信息汇总统计!$Z$2:$Z$500,0)),"")</f>
        <v/>
      </c>
      <c r="G313" s="8" t="str">
        <f>IFERROR(INDEX(样本到样信息汇总统计!G$2:G$500,MATCH(312,样本到样信息汇总统计!$Z$2:$Z$500,0)),"")</f>
        <v/>
      </c>
      <c r="H313" s="8" t="str">
        <f>IFERROR(INDEX(样本到样信息汇总统计!H$2:H$500,MATCH(312,样本到样信息汇总统计!$Z$2:$Z$500,0)),"")</f>
        <v/>
      </c>
      <c r="I313" s="8" t="str">
        <f>IFERROR(INDEX(样本到样信息汇总统计!I$2:I$500,MATCH(312,样本到样信息汇总统计!$Z$2:$Z$500,0)),"")</f>
        <v/>
      </c>
      <c r="J313" s="8" t="str">
        <f>IFERROR(INDEX(样本到样信息汇总统计!J$2:J$500,MATCH(312,样本到样信息汇总统计!$Z$2:$Z$500,0)),"")</f>
        <v/>
      </c>
      <c r="K313" s="8" t="str">
        <f>IFERROR(INDEX(样本到样信息汇总统计!K$2:K$500,MATCH(312,样本到样信息汇总统计!$Z$2:$Z$500,0)),"")</f>
        <v/>
      </c>
      <c r="L313" s="8" t="str">
        <f>IFERROR(INDEX(样本到样信息汇总统计!L$2:L$500,MATCH(312,样本到样信息汇总统计!$Z$2:$Z$500,0)),"")</f>
        <v/>
      </c>
      <c r="M313" s="8" t="str">
        <f>IFERROR(INDEX(样本到样信息汇总统计!M$2:M$500,MATCH(312,样本到样信息汇总统计!$Z$2:$Z$500,0)),"")</f>
        <v/>
      </c>
      <c r="N313" s="8" t="str">
        <f>IFERROR(INDEX(样本到样信息汇总统计!N$2:N$500,MATCH(312,样本到样信息汇总统计!$Z$2:$Z$500,0)),"")</f>
        <v/>
      </c>
      <c r="O313" s="8" t="str">
        <f>IFERROR(INDEX(样本到样信息汇总统计!O$2:O$500,MATCH(312,样本到样信息汇总统计!$Z$2:$Z$500,0)),"")</f>
        <v/>
      </c>
      <c r="P313" s="8" t="str">
        <f>IFERROR(INDEX(样本到样信息汇总统计!P$2:P$500,MATCH(312,样本到样信息汇总统计!$Z$2:$Z$500,0)),"")</f>
        <v/>
      </c>
      <c r="Q313" s="8" t="str">
        <f>IFERROR(INDEX(样本到样信息汇总统计!Q$2:Q$500,MATCH(312,样本到样信息汇总统计!$Z$2:$Z$500,0)),"")</f>
        <v/>
      </c>
      <c r="R313" s="8" t="str">
        <f>IFERROR(INDEX(样本到样信息汇总统计!R$2:R$500,MATCH(312,样本到样信息汇总统计!$Z$2:$Z$500,0)),"")</f>
        <v/>
      </c>
      <c r="S313" s="8" t="str">
        <f>IFERROR(INDEX(样本到样信息汇总统计!S$2:S$500,MATCH(312,样本到样信息汇总统计!$Z$2:$Z$500,0)),"")</f>
        <v/>
      </c>
      <c r="T313" s="8" t="str">
        <f>IFERROR(INDEX(样本到样信息汇总统计!T$2:T$500,MATCH(312,样本到样信息汇总统计!$Z$2:$Z$500,0)),"")</f>
        <v/>
      </c>
      <c r="U313" s="8" t="str">
        <f>IFERROR(INDEX(样本到样信息汇总统计!U$2:U$500,MATCH(312,样本到样信息汇总统计!$Z$2:$Z$500,0)),"")</f>
        <v/>
      </c>
      <c r="V313" s="8" t="str">
        <f>IFERROR(INDEX(样本到样信息汇总统计!V$2:V$500,MATCH(312,样本到样信息汇总统计!$Z$2:$Z$500,0)),"")</f>
        <v/>
      </c>
      <c r="W313" s="8" t="str">
        <f>IFERROR(INDEX(样本到样信息汇总统计!W$2:W$500,MATCH(312,样本到样信息汇总统计!$Z$2:$Z$500,0)),"")</f>
        <v/>
      </c>
    </row>
    <row r="314" ht="14.5" spans="1:23">
      <c r="A314" s="4" t="str">
        <f>IFERROR(INDEX(样本到样信息汇总统计!A$2:A$500,MATCH(313,样本到样信息汇总统计!$Z$2:$Z$500,0)),"")</f>
        <v/>
      </c>
      <c r="B314" s="4" t="str">
        <f>IFERROR(INDEX(样本到样信息汇总统计!B$2:B$500,MATCH(313,样本到样信息汇总统计!$Z$2:$Z$500,0)),"")</f>
        <v/>
      </c>
      <c r="C314" s="4" t="str">
        <f>IFERROR(INDEX(样本到样信息汇总统计!C$2:C$500,MATCH(313,样本到样信息汇总统计!$Z$2:$Z$500,0)),"")</f>
        <v/>
      </c>
      <c r="D314" s="4" t="str">
        <f>IFERROR(INDEX(样本到样信息汇总统计!D$2:D$500,MATCH(313,样本到样信息汇总统计!$Z$2:$Z$500,0)),"")</f>
        <v/>
      </c>
      <c r="E314" s="4" t="str">
        <f>IFERROR(INDEX(样本到样信息汇总统计!E$2:E$500,MATCH(313,样本到样信息汇总统计!$Z$2:$Z$500,0)),"")</f>
        <v/>
      </c>
      <c r="F314" s="4" t="str">
        <f>IFERROR(INDEX(样本到样信息汇总统计!F$2:F$500,MATCH(313,样本到样信息汇总统计!$Z$2:$Z$500,0)),"")</f>
        <v/>
      </c>
      <c r="G314" s="4" t="str">
        <f>IFERROR(INDEX(样本到样信息汇总统计!G$2:G$500,MATCH(313,样本到样信息汇总统计!$Z$2:$Z$500,0)),"")</f>
        <v/>
      </c>
      <c r="H314" s="4" t="str">
        <f>IFERROR(INDEX(样本到样信息汇总统计!H$2:H$500,MATCH(313,样本到样信息汇总统计!$Z$2:$Z$500,0)),"")</f>
        <v/>
      </c>
      <c r="I314" s="4" t="str">
        <f>IFERROR(INDEX(样本到样信息汇总统计!I$2:I$500,MATCH(313,样本到样信息汇总统计!$Z$2:$Z$500,0)),"")</f>
        <v/>
      </c>
      <c r="J314" s="4" t="str">
        <f>IFERROR(INDEX(样本到样信息汇总统计!J$2:J$500,MATCH(313,样本到样信息汇总统计!$Z$2:$Z$500,0)),"")</f>
        <v/>
      </c>
      <c r="K314" s="4" t="str">
        <f>IFERROR(INDEX(样本到样信息汇总统计!K$2:K$500,MATCH(313,样本到样信息汇总统计!$Z$2:$Z$500,0)),"")</f>
        <v/>
      </c>
      <c r="L314" s="4" t="str">
        <f>IFERROR(INDEX(样本到样信息汇总统计!L$2:L$500,MATCH(313,样本到样信息汇总统计!$Z$2:$Z$500,0)),"")</f>
        <v/>
      </c>
      <c r="M314" s="4" t="str">
        <f>IFERROR(INDEX(样本到样信息汇总统计!M$2:M$500,MATCH(313,样本到样信息汇总统计!$Z$2:$Z$500,0)),"")</f>
        <v/>
      </c>
      <c r="N314" s="4" t="str">
        <f>IFERROR(INDEX(样本到样信息汇总统计!N$2:N$500,MATCH(313,样本到样信息汇总统计!$Z$2:$Z$500,0)),"")</f>
        <v/>
      </c>
      <c r="O314" s="4" t="str">
        <f>IFERROR(INDEX(样本到样信息汇总统计!O$2:O$500,MATCH(313,样本到样信息汇总统计!$Z$2:$Z$500,0)),"")</f>
        <v/>
      </c>
      <c r="P314" s="4" t="str">
        <f>IFERROR(INDEX(样本到样信息汇总统计!P$2:P$500,MATCH(313,样本到样信息汇总统计!$Z$2:$Z$500,0)),"")</f>
        <v/>
      </c>
      <c r="Q314" s="4" t="str">
        <f>IFERROR(INDEX(样本到样信息汇总统计!Q$2:Q$500,MATCH(313,样本到样信息汇总统计!$Z$2:$Z$500,0)),"")</f>
        <v/>
      </c>
      <c r="R314" s="4" t="str">
        <f>IFERROR(INDEX(样本到样信息汇总统计!R$2:R$500,MATCH(313,样本到样信息汇总统计!$Z$2:$Z$500,0)),"")</f>
        <v/>
      </c>
      <c r="S314" s="4" t="str">
        <f>IFERROR(INDEX(样本到样信息汇总统计!S$2:S$500,MATCH(313,样本到样信息汇总统计!$Z$2:$Z$500,0)),"")</f>
        <v/>
      </c>
      <c r="T314" s="4" t="str">
        <f>IFERROR(INDEX(样本到样信息汇总统计!T$2:T$500,MATCH(313,样本到样信息汇总统计!$Z$2:$Z$500,0)),"")</f>
        <v/>
      </c>
      <c r="U314" s="4" t="str">
        <f>IFERROR(INDEX(样本到样信息汇总统计!U$2:U$500,MATCH(313,样本到样信息汇总统计!$Z$2:$Z$500,0)),"")</f>
        <v/>
      </c>
      <c r="V314" s="4" t="str">
        <f>IFERROR(INDEX(样本到样信息汇总统计!V$2:V$500,MATCH(313,样本到样信息汇总统计!$Z$2:$Z$500,0)),"")</f>
        <v/>
      </c>
      <c r="W314" s="4" t="str">
        <f>IFERROR(INDEX(样本到样信息汇总统计!W$2:W$500,MATCH(313,样本到样信息汇总统计!$Z$2:$Z$500,0)),"")</f>
        <v/>
      </c>
    </row>
    <row r="315" ht="14.5" spans="1:23">
      <c r="A315" s="8" t="str">
        <f>IFERROR(INDEX(样本到样信息汇总统计!A$2:A$500,MATCH(314,样本到样信息汇总统计!$Z$2:$Z$500,0)),"")</f>
        <v/>
      </c>
      <c r="B315" s="8" t="str">
        <f>IFERROR(INDEX(样本到样信息汇总统计!B$2:B$500,MATCH(314,样本到样信息汇总统计!$Z$2:$Z$500,0)),"")</f>
        <v/>
      </c>
      <c r="C315" s="8" t="str">
        <f>IFERROR(INDEX(样本到样信息汇总统计!C$2:C$500,MATCH(314,样本到样信息汇总统计!$Z$2:$Z$500,0)),"")</f>
        <v/>
      </c>
      <c r="D315" s="8" t="str">
        <f>IFERROR(INDEX(样本到样信息汇总统计!D$2:D$500,MATCH(314,样本到样信息汇总统计!$Z$2:$Z$500,0)),"")</f>
        <v/>
      </c>
      <c r="E315" s="8" t="str">
        <f>IFERROR(INDEX(样本到样信息汇总统计!E$2:E$500,MATCH(314,样本到样信息汇总统计!$Z$2:$Z$500,0)),"")</f>
        <v/>
      </c>
      <c r="F315" s="8" t="str">
        <f>IFERROR(INDEX(样本到样信息汇总统计!F$2:F$500,MATCH(314,样本到样信息汇总统计!$Z$2:$Z$500,0)),"")</f>
        <v/>
      </c>
      <c r="G315" s="8" t="str">
        <f>IFERROR(INDEX(样本到样信息汇总统计!G$2:G$500,MATCH(314,样本到样信息汇总统计!$Z$2:$Z$500,0)),"")</f>
        <v/>
      </c>
      <c r="H315" s="8" t="str">
        <f>IFERROR(INDEX(样本到样信息汇总统计!H$2:H$500,MATCH(314,样本到样信息汇总统计!$Z$2:$Z$500,0)),"")</f>
        <v/>
      </c>
      <c r="I315" s="8" t="str">
        <f>IFERROR(INDEX(样本到样信息汇总统计!I$2:I$500,MATCH(314,样本到样信息汇总统计!$Z$2:$Z$500,0)),"")</f>
        <v/>
      </c>
      <c r="J315" s="8" t="str">
        <f>IFERROR(INDEX(样本到样信息汇总统计!J$2:J$500,MATCH(314,样本到样信息汇总统计!$Z$2:$Z$500,0)),"")</f>
        <v/>
      </c>
      <c r="K315" s="8" t="str">
        <f>IFERROR(INDEX(样本到样信息汇总统计!K$2:K$500,MATCH(314,样本到样信息汇总统计!$Z$2:$Z$500,0)),"")</f>
        <v/>
      </c>
      <c r="L315" s="8" t="str">
        <f>IFERROR(INDEX(样本到样信息汇总统计!L$2:L$500,MATCH(314,样本到样信息汇总统计!$Z$2:$Z$500,0)),"")</f>
        <v/>
      </c>
      <c r="M315" s="8" t="str">
        <f>IFERROR(INDEX(样本到样信息汇总统计!M$2:M$500,MATCH(314,样本到样信息汇总统计!$Z$2:$Z$500,0)),"")</f>
        <v/>
      </c>
      <c r="N315" s="8" t="str">
        <f>IFERROR(INDEX(样本到样信息汇总统计!N$2:N$500,MATCH(314,样本到样信息汇总统计!$Z$2:$Z$500,0)),"")</f>
        <v/>
      </c>
      <c r="O315" s="8" t="str">
        <f>IFERROR(INDEX(样本到样信息汇总统计!O$2:O$500,MATCH(314,样本到样信息汇总统计!$Z$2:$Z$500,0)),"")</f>
        <v/>
      </c>
      <c r="P315" s="8" t="str">
        <f>IFERROR(INDEX(样本到样信息汇总统计!P$2:P$500,MATCH(314,样本到样信息汇总统计!$Z$2:$Z$500,0)),"")</f>
        <v/>
      </c>
      <c r="Q315" s="8" t="str">
        <f>IFERROR(INDEX(样本到样信息汇总统计!Q$2:Q$500,MATCH(314,样本到样信息汇总统计!$Z$2:$Z$500,0)),"")</f>
        <v/>
      </c>
      <c r="R315" s="8" t="str">
        <f>IFERROR(INDEX(样本到样信息汇总统计!R$2:R$500,MATCH(314,样本到样信息汇总统计!$Z$2:$Z$500,0)),"")</f>
        <v/>
      </c>
      <c r="S315" s="8" t="str">
        <f>IFERROR(INDEX(样本到样信息汇总统计!S$2:S$500,MATCH(314,样本到样信息汇总统计!$Z$2:$Z$500,0)),"")</f>
        <v/>
      </c>
      <c r="T315" s="8" t="str">
        <f>IFERROR(INDEX(样本到样信息汇总统计!T$2:T$500,MATCH(314,样本到样信息汇总统计!$Z$2:$Z$500,0)),"")</f>
        <v/>
      </c>
      <c r="U315" s="8" t="str">
        <f>IFERROR(INDEX(样本到样信息汇总统计!U$2:U$500,MATCH(314,样本到样信息汇总统计!$Z$2:$Z$500,0)),"")</f>
        <v/>
      </c>
      <c r="V315" s="8" t="str">
        <f>IFERROR(INDEX(样本到样信息汇总统计!V$2:V$500,MATCH(314,样本到样信息汇总统计!$Z$2:$Z$500,0)),"")</f>
        <v/>
      </c>
      <c r="W315" s="8" t="str">
        <f>IFERROR(INDEX(样本到样信息汇总统计!W$2:W$500,MATCH(314,样本到样信息汇总统计!$Z$2:$Z$500,0)),"")</f>
        <v/>
      </c>
    </row>
    <row r="316" ht="14.5" spans="1:23">
      <c r="A316" s="4" t="str">
        <f>IFERROR(INDEX(样本到样信息汇总统计!A$2:A$500,MATCH(315,样本到样信息汇总统计!$Z$2:$Z$500,0)),"")</f>
        <v/>
      </c>
      <c r="B316" s="4" t="str">
        <f>IFERROR(INDEX(样本到样信息汇总统计!B$2:B$500,MATCH(315,样本到样信息汇总统计!$Z$2:$Z$500,0)),"")</f>
        <v/>
      </c>
      <c r="C316" s="4" t="str">
        <f>IFERROR(INDEX(样本到样信息汇总统计!C$2:C$500,MATCH(315,样本到样信息汇总统计!$Z$2:$Z$500,0)),"")</f>
        <v/>
      </c>
      <c r="D316" s="4" t="str">
        <f>IFERROR(INDEX(样本到样信息汇总统计!D$2:D$500,MATCH(315,样本到样信息汇总统计!$Z$2:$Z$500,0)),"")</f>
        <v/>
      </c>
      <c r="E316" s="4" t="str">
        <f>IFERROR(INDEX(样本到样信息汇总统计!E$2:E$500,MATCH(315,样本到样信息汇总统计!$Z$2:$Z$500,0)),"")</f>
        <v/>
      </c>
      <c r="F316" s="4" t="str">
        <f>IFERROR(INDEX(样本到样信息汇总统计!F$2:F$500,MATCH(315,样本到样信息汇总统计!$Z$2:$Z$500,0)),"")</f>
        <v/>
      </c>
      <c r="G316" s="4" t="str">
        <f>IFERROR(INDEX(样本到样信息汇总统计!G$2:G$500,MATCH(315,样本到样信息汇总统计!$Z$2:$Z$500,0)),"")</f>
        <v/>
      </c>
      <c r="H316" s="4" t="str">
        <f>IFERROR(INDEX(样本到样信息汇总统计!H$2:H$500,MATCH(315,样本到样信息汇总统计!$Z$2:$Z$500,0)),"")</f>
        <v/>
      </c>
      <c r="I316" s="4" t="str">
        <f>IFERROR(INDEX(样本到样信息汇总统计!I$2:I$500,MATCH(315,样本到样信息汇总统计!$Z$2:$Z$500,0)),"")</f>
        <v/>
      </c>
      <c r="J316" s="4" t="str">
        <f>IFERROR(INDEX(样本到样信息汇总统计!J$2:J$500,MATCH(315,样本到样信息汇总统计!$Z$2:$Z$500,0)),"")</f>
        <v/>
      </c>
      <c r="K316" s="4" t="str">
        <f>IFERROR(INDEX(样本到样信息汇总统计!K$2:K$500,MATCH(315,样本到样信息汇总统计!$Z$2:$Z$500,0)),"")</f>
        <v/>
      </c>
      <c r="L316" s="4" t="str">
        <f>IFERROR(INDEX(样本到样信息汇总统计!L$2:L$500,MATCH(315,样本到样信息汇总统计!$Z$2:$Z$500,0)),"")</f>
        <v/>
      </c>
      <c r="M316" s="4" t="str">
        <f>IFERROR(INDEX(样本到样信息汇总统计!M$2:M$500,MATCH(315,样本到样信息汇总统计!$Z$2:$Z$500,0)),"")</f>
        <v/>
      </c>
      <c r="N316" s="4" t="str">
        <f>IFERROR(INDEX(样本到样信息汇总统计!N$2:N$500,MATCH(315,样本到样信息汇总统计!$Z$2:$Z$500,0)),"")</f>
        <v/>
      </c>
      <c r="O316" s="4" t="str">
        <f>IFERROR(INDEX(样本到样信息汇总统计!O$2:O$500,MATCH(315,样本到样信息汇总统计!$Z$2:$Z$500,0)),"")</f>
        <v/>
      </c>
      <c r="P316" s="4" t="str">
        <f>IFERROR(INDEX(样本到样信息汇总统计!P$2:P$500,MATCH(315,样本到样信息汇总统计!$Z$2:$Z$500,0)),"")</f>
        <v/>
      </c>
      <c r="Q316" s="4" t="str">
        <f>IFERROR(INDEX(样本到样信息汇总统计!Q$2:Q$500,MATCH(315,样本到样信息汇总统计!$Z$2:$Z$500,0)),"")</f>
        <v/>
      </c>
      <c r="R316" s="4" t="str">
        <f>IFERROR(INDEX(样本到样信息汇总统计!R$2:R$500,MATCH(315,样本到样信息汇总统计!$Z$2:$Z$500,0)),"")</f>
        <v/>
      </c>
      <c r="S316" s="4" t="str">
        <f>IFERROR(INDEX(样本到样信息汇总统计!S$2:S$500,MATCH(315,样本到样信息汇总统计!$Z$2:$Z$500,0)),"")</f>
        <v/>
      </c>
      <c r="T316" s="4" t="str">
        <f>IFERROR(INDEX(样本到样信息汇总统计!T$2:T$500,MATCH(315,样本到样信息汇总统计!$Z$2:$Z$500,0)),"")</f>
        <v/>
      </c>
      <c r="U316" s="4" t="str">
        <f>IFERROR(INDEX(样本到样信息汇总统计!U$2:U$500,MATCH(315,样本到样信息汇总统计!$Z$2:$Z$500,0)),"")</f>
        <v/>
      </c>
      <c r="V316" s="4" t="str">
        <f>IFERROR(INDEX(样本到样信息汇总统计!V$2:V$500,MATCH(315,样本到样信息汇总统计!$Z$2:$Z$500,0)),"")</f>
        <v/>
      </c>
      <c r="W316" s="4" t="str">
        <f>IFERROR(INDEX(样本到样信息汇总统计!W$2:W$500,MATCH(315,样本到样信息汇总统计!$Z$2:$Z$500,0)),"")</f>
        <v/>
      </c>
    </row>
    <row r="317" ht="14.5" spans="1:23">
      <c r="A317" s="8" t="str">
        <f>IFERROR(INDEX(样本到样信息汇总统计!A$2:A$500,MATCH(316,样本到样信息汇总统计!$Z$2:$Z$500,0)),"")</f>
        <v/>
      </c>
      <c r="B317" s="8" t="str">
        <f>IFERROR(INDEX(样本到样信息汇总统计!B$2:B$500,MATCH(316,样本到样信息汇总统计!$Z$2:$Z$500,0)),"")</f>
        <v/>
      </c>
      <c r="C317" s="8" t="str">
        <f>IFERROR(INDEX(样本到样信息汇总统计!C$2:C$500,MATCH(316,样本到样信息汇总统计!$Z$2:$Z$500,0)),"")</f>
        <v/>
      </c>
      <c r="D317" s="8" t="str">
        <f>IFERROR(INDEX(样本到样信息汇总统计!D$2:D$500,MATCH(316,样本到样信息汇总统计!$Z$2:$Z$500,0)),"")</f>
        <v/>
      </c>
      <c r="E317" s="8" t="str">
        <f>IFERROR(INDEX(样本到样信息汇总统计!E$2:E$500,MATCH(316,样本到样信息汇总统计!$Z$2:$Z$500,0)),"")</f>
        <v/>
      </c>
      <c r="F317" s="8" t="str">
        <f>IFERROR(INDEX(样本到样信息汇总统计!F$2:F$500,MATCH(316,样本到样信息汇总统计!$Z$2:$Z$500,0)),"")</f>
        <v/>
      </c>
      <c r="G317" s="8" t="str">
        <f>IFERROR(INDEX(样本到样信息汇总统计!G$2:G$500,MATCH(316,样本到样信息汇总统计!$Z$2:$Z$500,0)),"")</f>
        <v/>
      </c>
      <c r="H317" s="8" t="str">
        <f>IFERROR(INDEX(样本到样信息汇总统计!H$2:H$500,MATCH(316,样本到样信息汇总统计!$Z$2:$Z$500,0)),"")</f>
        <v/>
      </c>
      <c r="I317" s="8" t="str">
        <f>IFERROR(INDEX(样本到样信息汇总统计!I$2:I$500,MATCH(316,样本到样信息汇总统计!$Z$2:$Z$500,0)),"")</f>
        <v/>
      </c>
      <c r="J317" s="8" t="str">
        <f>IFERROR(INDEX(样本到样信息汇总统计!J$2:J$500,MATCH(316,样本到样信息汇总统计!$Z$2:$Z$500,0)),"")</f>
        <v/>
      </c>
      <c r="K317" s="8" t="str">
        <f>IFERROR(INDEX(样本到样信息汇总统计!K$2:K$500,MATCH(316,样本到样信息汇总统计!$Z$2:$Z$500,0)),"")</f>
        <v/>
      </c>
      <c r="L317" s="8" t="str">
        <f>IFERROR(INDEX(样本到样信息汇总统计!L$2:L$500,MATCH(316,样本到样信息汇总统计!$Z$2:$Z$500,0)),"")</f>
        <v/>
      </c>
      <c r="M317" s="8" t="str">
        <f>IFERROR(INDEX(样本到样信息汇总统计!M$2:M$500,MATCH(316,样本到样信息汇总统计!$Z$2:$Z$500,0)),"")</f>
        <v/>
      </c>
      <c r="N317" s="8" t="str">
        <f>IFERROR(INDEX(样本到样信息汇总统计!N$2:N$500,MATCH(316,样本到样信息汇总统计!$Z$2:$Z$500,0)),"")</f>
        <v/>
      </c>
      <c r="O317" s="8" t="str">
        <f>IFERROR(INDEX(样本到样信息汇总统计!O$2:O$500,MATCH(316,样本到样信息汇总统计!$Z$2:$Z$500,0)),"")</f>
        <v/>
      </c>
      <c r="P317" s="8" t="str">
        <f>IFERROR(INDEX(样本到样信息汇总统计!P$2:P$500,MATCH(316,样本到样信息汇总统计!$Z$2:$Z$500,0)),"")</f>
        <v/>
      </c>
      <c r="Q317" s="8" t="str">
        <f>IFERROR(INDEX(样本到样信息汇总统计!Q$2:Q$500,MATCH(316,样本到样信息汇总统计!$Z$2:$Z$500,0)),"")</f>
        <v/>
      </c>
      <c r="R317" s="8" t="str">
        <f>IFERROR(INDEX(样本到样信息汇总统计!R$2:R$500,MATCH(316,样本到样信息汇总统计!$Z$2:$Z$500,0)),"")</f>
        <v/>
      </c>
      <c r="S317" s="8" t="str">
        <f>IFERROR(INDEX(样本到样信息汇总统计!S$2:S$500,MATCH(316,样本到样信息汇总统计!$Z$2:$Z$500,0)),"")</f>
        <v/>
      </c>
      <c r="T317" s="8" t="str">
        <f>IFERROR(INDEX(样本到样信息汇总统计!T$2:T$500,MATCH(316,样本到样信息汇总统计!$Z$2:$Z$500,0)),"")</f>
        <v/>
      </c>
      <c r="U317" s="8" t="str">
        <f>IFERROR(INDEX(样本到样信息汇总统计!U$2:U$500,MATCH(316,样本到样信息汇总统计!$Z$2:$Z$500,0)),"")</f>
        <v/>
      </c>
      <c r="V317" s="8" t="str">
        <f>IFERROR(INDEX(样本到样信息汇总统计!V$2:V$500,MATCH(316,样本到样信息汇总统计!$Z$2:$Z$500,0)),"")</f>
        <v/>
      </c>
      <c r="W317" s="8" t="str">
        <f>IFERROR(INDEX(样本到样信息汇总统计!W$2:W$500,MATCH(316,样本到样信息汇总统计!$Z$2:$Z$500,0)),"")</f>
        <v/>
      </c>
    </row>
    <row r="318" ht="14.5" spans="1:23">
      <c r="A318" s="4" t="str">
        <f>IFERROR(INDEX(样本到样信息汇总统计!A$2:A$500,MATCH(317,样本到样信息汇总统计!$Z$2:$Z$500,0)),"")</f>
        <v/>
      </c>
      <c r="B318" s="4" t="str">
        <f>IFERROR(INDEX(样本到样信息汇总统计!B$2:B$500,MATCH(317,样本到样信息汇总统计!$Z$2:$Z$500,0)),"")</f>
        <v/>
      </c>
      <c r="C318" s="4" t="str">
        <f>IFERROR(INDEX(样本到样信息汇总统计!C$2:C$500,MATCH(317,样本到样信息汇总统计!$Z$2:$Z$500,0)),"")</f>
        <v/>
      </c>
      <c r="D318" s="4" t="str">
        <f>IFERROR(INDEX(样本到样信息汇总统计!D$2:D$500,MATCH(317,样本到样信息汇总统计!$Z$2:$Z$500,0)),"")</f>
        <v/>
      </c>
      <c r="E318" s="4" t="str">
        <f>IFERROR(INDEX(样本到样信息汇总统计!E$2:E$500,MATCH(317,样本到样信息汇总统计!$Z$2:$Z$500,0)),"")</f>
        <v/>
      </c>
      <c r="F318" s="4" t="str">
        <f>IFERROR(INDEX(样本到样信息汇总统计!F$2:F$500,MATCH(317,样本到样信息汇总统计!$Z$2:$Z$500,0)),"")</f>
        <v/>
      </c>
      <c r="G318" s="4" t="str">
        <f>IFERROR(INDEX(样本到样信息汇总统计!G$2:G$500,MATCH(317,样本到样信息汇总统计!$Z$2:$Z$500,0)),"")</f>
        <v/>
      </c>
      <c r="H318" s="4" t="str">
        <f>IFERROR(INDEX(样本到样信息汇总统计!H$2:H$500,MATCH(317,样本到样信息汇总统计!$Z$2:$Z$500,0)),"")</f>
        <v/>
      </c>
      <c r="I318" s="4" t="str">
        <f>IFERROR(INDEX(样本到样信息汇总统计!I$2:I$500,MATCH(317,样本到样信息汇总统计!$Z$2:$Z$500,0)),"")</f>
        <v/>
      </c>
      <c r="J318" s="4" t="str">
        <f>IFERROR(INDEX(样本到样信息汇总统计!J$2:J$500,MATCH(317,样本到样信息汇总统计!$Z$2:$Z$500,0)),"")</f>
        <v/>
      </c>
      <c r="K318" s="4" t="str">
        <f>IFERROR(INDEX(样本到样信息汇总统计!K$2:K$500,MATCH(317,样本到样信息汇总统计!$Z$2:$Z$500,0)),"")</f>
        <v/>
      </c>
      <c r="L318" s="4" t="str">
        <f>IFERROR(INDEX(样本到样信息汇总统计!L$2:L$500,MATCH(317,样本到样信息汇总统计!$Z$2:$Z$500,0)),"")</f>
        <v/>
      </c>
      <c r="M318" s="4" t="str">
        <f>IFERROR(INDEX(样本到样信息汇总统计!M$2:M$500,MATCH(317,样本到样信息汇总统计!$Z$2:$Z$500,0)),"")</f>
        <v/>
      </c>
      <c r="N318" s="4" t="str">
        <f>IFERROR(INDEX(样本到样信息汇总统计!N$2:N$500,MATCH(317,样本到样信息汇总统计!$Z$2:$Z$500,0)),"")</f>
        <v/>
      </c>
      <c r="O318" s="4" t="str">
        <f>IFERROR(INDEX(样本到样信息汇总统计!O$2:O$500,MATCH(317,样本到样信息汇总统计!$Z$2:$Z$500,0)),"")</f>
        <v/>
      </c>
      <c r="P318" s="4" t="str">
        <f>IFERROR(INDEX(样本到样信息汇总统计!P$2:P$500,MATCH(317,样本到样信息汇总统计!$Z$2:$Z$500,0)),"")</f>
        <v/>
      </c>
      <c r="Q318" s="4" t="str">
        <f>IFERROR(INDEX(样本到样信息汇总统计!Q$2:Q$500,MATCH(317,样本到样信息汇总统计!$Z$2:$Z$500,0)),"")</f>
        <v/>
      </c>
      <c r="R318" s="4" t="str">
        <f>IFERROR(INDEX(样本到样信息汇总统计!R$2:R$500,MATCH(317,样本到样信息汇总统计!$Z$2:$Z$500,0)),"")</f>
        <v/>
      </c>
      <c r="S318" s="4" t="str">
        <f>IFERROR(INDEX(样本到样信息汇总统计!S$2:S$500,MATCH(317,样本到样信息汇总统计!$Z$2:$Z$500,0)),"")</f>
        <v/>
      </c>
      <c r="T318" s="4" t="str">
        <f>IFERROR(INDEX(样本到样信息汇总统计!T$2:T$500,MATCH(317,样本到样信息汇总统计!$Z$2:$Z$500,0)),"")</f>
        <v/>
      </c>
      <c r="U318" s="4" t="str">
        <f>IFERROR(INDEX(样本到样信息汇总统计!U$2:U$500,MATCH(317,样本到样信息汇总统计!$Z$2:$Z$500,0)),"")</f>
        <v/>
      </c>
      <c r="V318" s="4" t="str">
        <f>IFERROR(INDEX(样本到样信息汇总统计!V$2:V$500,MATCH(317,样本到样信息汇总统计!$Z$2:$Z$500,0)),"")</f>
        <v/>
      </c>
      <c r="W318" s="4" t="str">
        <f>IFERROR(INDEX(样本到样信息汇总统计!W$2:W$500,MATCH(317,样本到样信息汇总统计!$Z$2:$Z$500,0)),"")</f>
        <v/>
      </c>
    </row>
    <row r="319" ht="14.5" spans="1:23">
      <c r="A319" s="8" t="str">
        <f>IFERROR(INDEX(样本到样信息汇总统计!A$2:A$500,MATCH(318,样本到样信息汇总统计!$Z$2:$Z$500,0)),"")</f>
        <v/>
      </c>
      <c r="B319" s="8" t="str">
        <f>IFERROR(INDEX(样本到样信息汇总统计!B$2:B$500,MATCH(318,样本到样信息汇总统计!$Z$2:$Z$500,0)),"")</f>
        <v/>
      </c>
      <c r="C319" s="8" t="str">
        <f>IFERROR(INDEX(样本到样信息汇总统计!C$2:C$500,MATCH(318,样本到样信息汇总统计!$Z$2:$Z$500,0)),"")</f>
        <v/>
      </c>
      <c r="D319" s="8" t="str">
        <f>IFERROR(INDEX(样本到样信息汇总统计!D$2:D$500,MATCH(318,样本到样信息汇总统计!$Z$2:$Z$500,0)),"")</f>
        <v/>
      </c>
      <c r="E319" s="8" t="str">
        <f>IFERROR(INDEX(样本到样信息汇总统计!E$2:E$500,MATCH(318,样本到样信息汇总统计!$Z$2:$Z$500,0)),"")</f>
        <v/>
      </c>
      <c r="F319" s="8" t="str">
        <f>IFERROR(INDEX(样本到样信息汇总统计!F$2:F$500,MATCH(318,样本到样信息汇总统计!$Z$2:$Z$500,0)),"")</f>
        <v/>
      </c>
      <c r="G319" s="8" t="str">
        <f>IFERROR(INDEX(样本到样信息汇总统计!G$2:G$500,MATCH(318,样本到样信息汇总统计!$Z$2:$Z$500,0)),"")</f>
        <v/>
      </c>
      <c r="H319" s="8" t="str">
        <f>IFERROR(INDEX(样本到样信息汇总统计!H$2:H$500,MATCH(318,样本到样信息汇总统计!$Z$2:$Z$500,0)),"")</f>
        <v/>
      </c>
      <c r="I319" s="8" t="str">
        <f>IFERROR(INDEX(样本到样信息汇总统计!I$2:I$500,MATCH(318,样本到样信息汇总统计!$Z$2:$Z$500,0)),"")</f>
        <v/>
      </c>
      <c r="J319" s="8" t="str">
        <f>IFERROR(INDEX(样本到样信息汇总统计!J$2:J$500,MATCH(318,样本到样信息汇总统计!$Z$2:$Z$500,0)),"")</f>
        <v/>
      </c>
      <c r="K319" s="8" t="str">
        <f>IFERROR(INDEX(样本到样信息汇总统计!K$2:K$500,MATCH(318,样本到样信息汇总统计!$Z$2:$Z$500,0)),"")</f>
        <v/>
      </c>
      <c r="L319" s="8" t="str">
        <f>IFERROR(INDEX(样本到样信息汇总统计!L$2:L$500,MATCH(318,样本到样信息汇总统计!$Z$2:$Z$500,0)),"")</f>
        <v/>
      </c>
      <c r="M319" s="8" t="str">
        <f>IFERROR(INDEX(样本到样信息汇总统计!M$2:M$500,MATCH(318,样本到样信息汇总统计!$Z$2:$Z$500,0)),"")</f>
        <v/>
      </c>
      <c r="N319" s="8" t="str">
        <f>IFERROR(INDEX(样本到样信息汇总统计!N$2:N$500,MATCH(318,样本到样信息汇总统计!$Z$2:$Z$500,0)),"")</f>
        <v/>
      </c>
      <c r="O319" s="8" t="str">
        <f>IFERROR(INDEX(样本到样信息汇总统计!O$2:O$500,MATCH(318,样本到样信息汇总统计!$Z$2:$Z$500,0)),"")</f>
        <v/>
      </c>
      <c r="P319" s="8" t="str">
        <f>IFERROR(INDEX(样本到样信息汇总统计!P$2:P$500,MATCH(318,样本到样信息汇总统计!$Z$2:$Z$500,0)),"")</f>
        <v/>
      </c>
      <c r="Q319" s="8" t="str">
        <f>IFERROR(INDEX(样本到样信息汇总统计!Q$2:Q$500,MATCH(318,样本到样信息汇总统计!$Z$2:$Z$500,0)),"")</f>
        <v/>
      </c>
      <c r="R319" s="8" t="str">
        <f>IFERROR(INDEX(样本到样信息汇总统计!R$2:R$500,MATCH(318,样本到样信息汇总统计!$Z$2:$Z$500,0)),"")</f>
        <v/>
      </c>
      <c r="S319" s="8" t="str">
        <f>IFERROR(INDEX(样本到样信息汇总统计!S$2:S$500,MATCH(318,样本到样信息汇总统计!$Z$2:$Z$500,0)),"")</f>
        <v/>
      </c>
      <c r="T319" s="8" t="str">
        <f>IFERROR(INDEX(样本到样信息汇总统计!T$2:T$500,MATCH(318,样本到样信息汇总统计!$Z$2:$Z$500,0)),"")</f>
        <v/>
      </c>
      <c r="U319" s="8" t="str">
        <f>IFERROR(INDEX(样本到样信息汇总统计!U$2:U$500,MATCH(318,样本到样信息汇总统计!$Z$2:$Z$500,0)),"")</f>
        <v/>
      </c>
      <c r="V319" s="8" t="str">
        <f>IFERROR(INDEX(样本到样信息汇总统计!V$2:V$500,MATCH(318,样本到样信息汇总统计!$Z$2:$Z$500,0)),"")</f>
        <v/>
      </c>
      <c r="W319" s="8" t="str">
        <f>IFERROR(INDEX(样本到样信息汇总统计!W$2:W$500,MATCH(318,样本到样信息汇总统计!$Z$2:$Z$500,0)),"")</f>
        <v/>
      </c>
    </row>
    <row r="320" ht="14.5" spans="1:23">
      <c r="A320" s="4" t="str">
        <f>IFERROR(INDEX(样本到样信息汇总统计!A$2:A$500,MATCH(319,样本到样信息汇总统计!$Z$2:$Z$500,0)),"")</f>
        <v/>
      </c>
      <c r="B320" s="4" t="str">
        <f>IFERROR(INDEX(样本到样信息汇总统计!B$2:B$500,MATCH(319,样本到样信息汇总统计!$Z$2:$Z$500,0)),"")</f>
        <v/>
      </c>
      <c r="C320" s="4" t="str">
        <f>IFERROR(INDEX(样本到样信息汇总统计!C$2:C$500,MATCH(319,样本到样信息汇总统计!$Z$2:$Z$500,0)),"")</f>
        <v/>
      </c>
      <c r="D320" s="4" t="str">
        <f>IFERROR(INDEX(样本到样信息汇总统计!D$2:D$500,MATCH(319,样本到样信息汇总统计!$Z$2:$Z$500,0)),"")</f>
        <v/>
      </c>
      <c r="E320" s="4" t="str">
        <f>IFERROR(INDEX(样本到样信息汇总统计!E$2:E$500,MATCH(319,样本到样信息汇总统计!$Z$2:$Z$500,0)),"")</f>
        <v/>
      </c>
      <c r="F320" s="4" t="str">
        <f>IFERROR(INDEX(样本到样信息汇总统计!F$2:F$500,MATCH(319,样本到样信息汇总统计!$Z$2:$Z$500,0)),"")</f>
        <v/>
      </c>
      <c r="G320" s="4" t="str">
        <f>IFERROR(INDEX(样本到样信息汇总统计!G$2:G$500,MATCH(319,样本到样信息汇总统计!$Z$2:$Z$500,0)),"")</f>
        <v/>
      </c>
      <c r="H320" s="4" t="str">
        <f>IFERROR(INDEX(样本到样信息汇总统计!H$2:H$500,MATCH(319,样本到样信息汇总统计!$Z$2:$Z$500,0)),"")</f>
        <v/>
      </c>
      <c r="I320" s="4" t="str">
        <f>IFERROR(INDEX(样本到样信息汇总统计!I$2:I$500,MATCH(319,样本到样信息汇总统计!$Z$2:$Z$500,0)),"")</f>
        <v/>
      </c>
      <c r="J320" s="4" t="str">
        <f>IFERROR(INDEX(样本到样信息汇总统计!J$2:J$500,MATCH(319,样本到样信息汇总统计!$Z$2:$Z$500,0)),"")</f>
        <v/>
      </c>
      <c r="K320" s="4" t="str">
        <f>IFERROR(INDEX(样本到样信息汇总统计!K$2:K$500,MATCH(319,样本到样信息汇总统计!$Z$2:$Z$500,0)),"")</f>
        <v/>
      </c>
      <c r="L320" s="4" t="str">
        <f>IFERROR(INDEX(样本到样信息汇总统计!L$2:L$500,MATCH(319,样本到样信息汇总统计!$Z$2:$Z$500,0)),"")</f>
        <v/>
      </c>
      <c r="M320" s="4" t="str">
        <f>IFERROR(INDEX(样本到样信息汇总统计!M$2:M$500,MATCH(319,样本到样信息汇总统计!$Z$2:$Z$500,0)),"")</f>
        <v/>
      </c>
      <c r="N320" s="4" t="str">
        <f>IFERROR(INDEX(样本到样信息汇总统计!N$2:N$500,MATCH(319,样本到样信息汇总统计!$Z$2:$Z$500,0)),"")</f>
        <v/>
      </c>
      <c r="O320" s="4" t="str">
        <f>IFERROR(INDEX(样本到样信息汇总统计!O$2:O$500,MATCH(319,样本到样信息汇总统计!$Z$2:$Z$500,0)),"")</f>
        <v/>
      </c>
      <c r="P320" s="4" t="str">
        <f>IFERROR(INDEX(样本到样信息汇总统计!P$2:P$500,MATCH(319,样本到样信息汇总统计!$Z$2:$Z$500,0)),"")</f>
        <v/>
      </c>
      <c r="Q320" s="4" t="str">
        <f>IFERROR(INDEX(样本到样信息汇总统计!Q$2:Q$500,MATCH(319,样本到样信息汇总统计!$Z$2:$Z$500,0)),"")</f>
        <v/>
      </c>
      <c r="R320" s="4" t="str">
        <f>IFERROR(INDEX(样本到样信息汇总统计!R$2:R$500,MATCH(319,样本到样信息汇总统计!$Z$2:$Z$500,0)),"")</f>
        <v/>
      </c>
      <c r="S320" s="4" t="str">
        <f>IFERROR(INDEX(样本到样信息汇总统计!S$2:S$500,MATCH(319,样本到样信息汇总统计!$Z$2:$Z$500,0)),"")</f>
        <v/>
      </c>
      <c r="T320" s="4" t="str">
        <f>IFERROR(INDEX(样本到样信息汇总统计!T$2:T$500,MATCH(319,样本到样信息汇总统计!$Z$2:$Z$500,0)),"")</f>
        <v/>
      </c>
      <c r="U320" s="4" t="str">
        <f>IFERROR(INDEX(样本到样信息汇总统计!U$2:U$500,MATCH(319,样本到样信息汇总统计!$Z$2:$Z$500,0)),"")</f>
        <v/>
      </c>
      <c r="V320" s="4" t="str">
        <f>IFERROR(INDEX(样本到样信息汇总统计!V$2:V$500,MATCH(319,样本到样信息汇总统计!$Z$2:$Z$500,0)),"")</f>
        <v/>
      </c>
      <c r="W320" s="4" t="str">
        <f>IFERROR(INDEX(样本到样信息汇总统计!W$2:W$500,MATCH(319,样本到样信息汇总统计!$Z$2:$Z$500,0)),"")</f>
        <v/>
      </c>
    </row>
    <row r="321" ht="14.5" spans="1:23">
      <c r="A321" s="8" t="str">
        <f>IFERROR(INDEX(样本到样信息汇总统计!A$2:A$500,MATCH(320,样本到样信息汇总统计!$Z$2:$Z$500,0)),"")</f>
        <v/>
      </c>
      <c r="B321" s="8" t="str">
        <f>IFERROR(INDEX(样本到样信息汇总统计!B$2:B$500,MATCH(320,样本到样信息汇总统计!$Z$2:$Z$500,0)),"")</f>
        <v/>
      </c>
      <c r="C321" s="8" t="str">
        <f>IFERROR(INDEX(样本到样信息汇总统计!C$2:C$500,MATCH(320,样本到样信息汇总统计!$Z$2:$Z$500,0)),"")</f>
        <v/>
      </c>
      <c r="D321" s="8" t="str">
        <f>IFERROR(INDEX(样本到样信息汇总统计!D$2:D$500,MATCH(320,样本到样信息汇总统计!$Z$2:$Z$500,0)),"")</f>
        <v/>
      </c>
      <c r="E321" s="8" t="str">
        <f>IFERROR(INDEX(样本到样信息汇总统计!E$2:E$500,MATCH(320,样本到样信息汇总统计!$Z$2:$Z$500,0)),"")</f>
        <v/>
      </c>
      <c r="F321" s="8" t="str">
        <f>IFERROR(INDEX(样本到样信息汇总统计!F$2:F$500,MATCH(320,样本到样信息汇总统计!$Z$2:$Z$500,0)),"")</f>
        <v/>
      </c>
      <c r="G321" s="8" t="str">
        <f>IFERROR(INDEX(样本到样信息汇总统计!G$2:G$500,MATCH(320,样本到样信息汇总统计!$Z$2:$Z$500,0)),"")</f>
        <v/>
      </c>
      <c r="H321" s="8" t="str">
        <f>IFERROR(INDEX(样本到样信息汇总统计!H$2:H$500,MATCH(320,样本到样信息汇总统计!$Z$2:$Z$500,0)),"")</f>
        <v/>
      </c>
      <c r="I321" s="8" t="str">
        <f>IFERROR(INDEX(样本到样信息汇总统计!I$2:I$500,MATCH(320,样本到样信息汇总统计!$Z$2:$Z$500,0)),"")</f>
        <v/>
      </c>
      <c r="J321" s="8" t="str">
        <f>IFERROR(INDEX(样本到样信息汇总统计!J$2:J$500,MATCH(320,样本到样信息汇总统计!$Z$2:$Z$500,0)),"")</f>
        <v/>
      </c>
      <c r="K321" s="8" t="str">
        <f>IFERROR(INDEX(样本到样信息汇总统计!K$2:K$500,MATCH(320,样本到样信息汇总统计!$Z$2:$Z$500,0)),"")</f>
        <v/>
      </c>
      <c r="L321" s="8" t="str">
        <f>IFERROR(INDEX(样本到样信息汇总统计!L$2:L$500,MATCH(320,样本到样信息汇总统计!$Z$2:$Z$500,0)),"")</f>
        <v/>
      </c>
      <c r="M321" s="8" t="str">
        <f>IFERROR(INDEX(样本到样信息汇总统计!M$2:M$500,MATCH(320,样本到样信息汇总统计!$Z$2:$Z$500,0)),"")</f>
        <v/>
      </c>
      <c r="N321" s="8" t="str">
        <f>IFERROR(INDEX(样本到样信息汇总统计!N$2:N$500,MATCH(320,样本到样信息汇总统计!$Z$2:$Z$500,0)),"")</f>
        <v/>
      </c>
      <c r="O321" s="8" t="str">
        <f>IFERROR(INDEX(样本到样信息汇总统计!O$2:O$500,MATCH(320,样本到样信息汇总统计!$Z$2:$Z$500,0)),"")</f>
        <v/>
      </c>
      <c r="P321" s="8" t="str">
        <f>IFERROR(INDEX(样本到样信息汇总统计!P$2:P$500,MATCH(320,样本到样信息汇总统计!$Z$2:$Z$500,0)),"")</f>
        <v/>
      </c>
      <c r="Q321" s="8" t="str">
        <f>IFERROR(INDEX(样本到样信息汇总统计!Q$2:Q$500,MATCH(320,样本到样信息汇总统计!$Z$2:$Z$500,0)),"")</f>
        <v/>
      </c>
      <c r="R321" s="8" t="str">
        <f>IFERROR(INDEX(样本到样信息汇总统计!R$2:R$500,MATCH(320,样本到样信息汇总统计!$Z$2:$Z$500,0)),"")</f>
        <v/>
      </c>
      <c r="S321" s="8" t="str">
        <f>IFERROR(INDEX(样本到样信息汇总统计!S$2:S$500,MATCH(320,样本到样信息汇总统计!$Z$2:$Z$500,0)),"")</f>
        <v/>
      </c>
      <c r="T321" s="8" t="str">
        <f>IFERROR(INDEX(样本到样信息汇总统计!T$2:T$500,MATCH(320,样本到样信息汇总统计!$Z$2:$Z$500,0)),"")</f>
        <v/>
      </c>
      <c r="U321" s="8" t="str">
        <f>IFERROR(INDEX(样本到样信息汇总统计!U$2:U$500,MATCH(320,样本到样信息汇总统计!$Z$2:$Z$500,0)),"")</f>
        <v/>
      </c>
      <c r="V321" s="8" t="str">
        <f>IFERROR(INDEX(样本到样信息汇总统计!V$2:V$500,MATCH(320,样本到样信息汇总统计!$Z$2:$Z$500,0)),"")</f>
        <v/>
      </c>
      <c r="W321" s="8" t="str">
        <f>IFERROR(INDEX(样本到样信息汇总统计!W$2:W$500,MATCH(320,样本到样信息汇总统计!$Z$2:$Z$500,0)),"")</f>
        <v/>
      </c>
    </row>
    <row r="322" ht="14.5" spans="1:23">
      <c r="A322" s="4" t="str">
        <f>IFERROR(INDEX(样本到样信息汇总统计!A$2:A$500,MATCH(321,样本到样信息汇总统计!$Z$2:$Z$500,0)),"")</f>
        <v/>
      </c>
      <c r="B322" s="4" t="str">
        <f>IFERROR(INDEX(样本到样信息汇总统计!B$2:B$500,MATCH(321,样本到样信息汇总统计!$Z$2:$Z$500,0)),"")</f>
        <v/>
      </c>
      <c r="C322" s="4" t="str">
        <f>IFERROR(INDEX(样本到样信息汇总统计!C$2:C$500,MATCH(321,样本到样信息汇总统计!$Z$2:$Z$500,0)),"")</f>
        <v/>
      </c>
      <c r="D322" s="4" t="str">
        <f>IFERROR(INDEX(样本到样信息汇总统计!D$2:D$500,MATCH(321,样本到样信息汇总统计!$Z$2:$Z$500,0)),"")</f>
        <v/>
      </c>
      <c r="E322" s="4" t="str">
        <f>IFERROR(INDEX(样本到样信息汇总统计!E$2:E$500,MATCH(321,样本到样信息汇总统计!$Z$2:$Z$500,0)),"")</f>
        <v/>
      </c>
      <c r="F322" s="4" t="str">
        <f>IFERROR(INDEX(样本到样信息汇总统计!F$2:F$500,MATCH(321,样本到样信息汇总统计!$Z$2:$Z$500,0)),"")</f>
        <v/>
      </c>
      <c r="G322" s="4" t="str">
        <f>IFERROR(INDEX(样本到样信息汇总统计!G$2:G$500,MATCH(321,样本到样信息汇总统计!$Z$2:$Z$500,0)),"")</f>
        <v/>
      </c>
      <c r="H322" s="4" t="str">
        <f>IFERROR(INDEX(样本到样信息汇总统计!H$2:H$500,MATCH(321,样本到样信息汇总统计!$Z$2:$Z$500,0)),"")</f>
        <v/>
      </c>
      <c r="I322" s="4" t="str">
        <f>IFERROR(INDEX(样本到样信息汇总统计!I$2:I$500,MATCH(321,样本到样信息汇总统计!$Z$2:$Z$500,0)),"")</f>
        <v/>
      </c>
      <c r="J322" s="4" t="str">
        <f>IFERROR(INDEX(样本到样信息汇总统计!J$2:J$500,MATCH(321,样本到样信息汇总统计!$Z$2:$Z$500,0)),"")</f>
        <v/>
      </c>
      <c r="K322" s="4" t="str">
        <f>IFERROR(INDEX(样本到样信息汇总统计!K$2:K$500,MATCH(321,样本到样信息汇总统计!$Z$2:$Z$500,0)),"")</f>
        <v/>
      </c>
      <c r="L322" s="4" t="str">
        <f>IFERROR(INDEX(样本到样信息汇总统计!L$2:L$500,MATCH(321,样本到样信息汇总统计!$Z$2:$Z$500,0)),"")</f>
        <v/>
      </c>
      <c r="M322" s="4" t="str">
        <f>IFERROR(INDEX(样本到样信息汇总统计!M$2:M$500,MATCH(321,样本到样信息汇总统计!$Z$2:$Z$500,0)),"")</f>
        <v/>
      </c>
      <c r="N322" s="4" t="str">
        <f>IFERROR(INDEX(样本到样信息汇总统计!N$2:N$500,MATCH(321,样本到样信息汇总统计!$Z$2:$Z$500,0)),"")</f>
        <v/>
      </c>
      <c r="O322" s="4" t="str">
        <f>IFERROR(INDEX(样本到样信息汇总统计!O$2:O$500,MATCH(321,样本到样信息汇总统计!$Z$2:$Z$500,0)),"")</f>
        <v/>
      </c>
      <c r="P322" s="4" t="str">
        <f>IFERROR(INDEX(样本到样信息汇总统计!P$2:P$500,MATCH(321,样本到样信息汇总统计!$Z$2:$Z$500,0)),"")</f>
        <v/>
      </c>
      <c r="Q322" s="4" t="str">
        <f>IFERROR(INDEX(样本到样信息汇总统计!Q$2:Q$500,MATCH(321,样本到样信息汇总统计!$Z$2:$Z$500,0)),"")</f>
        <v/>
      </c>
      <c r="R322" s="4" t="str">
        <f>IFERROR(INDEX(样本到样信息汇总统计!R$2:R$500,MATCH(321,样本到样信息汇总统计!$Z$2:$Z$500,0)),"")</f>
        <v/>
      </c>
      <c r="S322" s="4" t="str">
        <f>IFERROR(INDEX(样本到样信息汇总统计!S$2:S$500,MATCH(321,样本到样信息汇总统计!$Z$2:$Z$500,0)),"")</f>
        <v/>
      </c>
      <c r="T322" s="4" t="str">
        <f>IFERROR(INDEX(样本到样信息汇总统计!T$2:T$500,MATCH(321,样本到样信息汇总统计!$Z$2:$Z$500,0)),"")</f>
        <v/>
      </c>
      <c r="U322" s="4" t="str">
        <f>IFERROR(INDEX(样本到样信息汇总统计!U$2:U$500,MATCH(321,样本到样信息汇总统计!$Z$2:$Z$500,0)),"")</f>
        <v/>
      </c>
      <c r="V322" s="4" t="str">
        <f>IFERROR(INDEX(样本到样信息汇总统计!V$2:V$500,MATCH(321,样本到样信息汇总统计!$Z$2:$Z$500,0)),"")</f>
        <v/>
      </c>
      <c r="W322" s="4" t="str">
        <f>IFERROR(INDEX(样本到样信息汇总统计!W$2:W$500,MATCH(321,样本到样信息汇总统计!$Z$2:$Z$500,0)),"")</f>
        <v/>
      </c>
    </row>
    <row r="323" ht="14.5" spans="1:23">
      <c r="A323" s="8" t="str">
        <f>IFERROR(INDEX(样本到样信息汇总统计!A$2:A$500,MATCH(322,样本到样信息汇总统计!$Z$2:$Z$500,0)),"")</f>
        <v/>
      </c>
      <c r="B323" s="8" t="str">
        <f>IFERROR(INDEX(样本到样信息汇总统计!B$2:B$500,MATCH(322,样本到样信息汇总统计!$Z$2:$Z$500,0)),"")</f>
        <v/>
      </c>
      <c r="C323" s="8" t="str">
        <f>IFERROR(INDEX(样本到样信息汇总统计!C$2:C$500,MATCH(322,样本到样信息汇总统计!$Z$2:$Z$500,0)),"")</f>
        <v/>
      </c>
      <c r="D323" s="8" t="str">
        <f>IFERROR(INDEX(样本到样信息汇总统计!D$2:D$500,MATCH(322,样本到样信息汇总统计!$Z$2:$Z$500,0)),"")</f>
        <v/>
      </c>
      <c r="E323" s="8" t="str">
        <f>IFERROR(INDEX(样本到样信息汇总统计!E$2:E$500,MATCH(322,样本到样信息汇总统计!$Z$2:$Z$500,0)),"")</f>
        <v/>
      </c>
      <c r="F323" s="8" t="str">
        <f>IFERROR(INDEX(样本到样信息汇总统计!F$2:F$500,MATCH(322,样本到样信息汇总统计!$Z$2:$Z$500,0)),"")</f>
        <v/>
      </c>
      <c r="G323" s="8" t="str">
        <f>IFERROR(INDEX(样本到样信息汇总统计!G$2:G$500,MATCH(322,样本到样信息汇总统计!$Z$2:$Z$500,0)),"")</f>
        <v/>
      </c>
      <c r="H323" s="8" t="str">
        <f>IFERROR(INDEX(样本到样信息汇总统计!H$2:H$500,MATCH(322,样本到样信息汇总统计!$Z$2:$Z$500,0)),"")</f>
        <v/>
      </c>
      <c r="I323" s="8" t="str">
        <f>IFERROR(INDEX(样本到样信息汇总统计!I$2:I$500,MATCH(322,样本到样信息汇总统计!$Z$2:$Z$500,0)),"")</f>
        <v/>
      </c>
      <c r="J323" s="8" t="str">
        <f>IFERROR(INDEX(样本到样信息汇总统计!J$2:J$500,MATCH(322,样本到样信息汇总统计!$Z$2:$Z$500,0)),"")</f>
        <v/>
      </c>
      <c r="K323" s="8" t="str">
        <f>IFERROR(INDEX(样本到样信息汇总统计!K$2:K$500,MATCH(322,样本到样信息汇总统计!$Z$2:$Z$500,0)),"")</f>
        <v/>
      </c>
      <c r="L323" s="8" t="str">
        <f>IFERROR(INDEX(样本到样信息汇总统计!L$2:L$500,MATCH(322,样本到样信息汇总统计!$Z$2:$Z$500,0)),"")</f>
        <v/>
      </c>
      <c r="M323" s="8" t="str">
        <f>IFERROR(INDEX(样本到样信息汇总统计!M$2:M$500,MATCH(322,样本到样信息汇总统计!$Z$2:$Z$500,0)),"")</f>
        <v/>
      </c>
      <c r="N323" s="8" t="str">
        <f>IFERROR(INDEX(样本到样信息汇总统计!N$2:N$500,MATCH(322,样本到样信息汇总统计!$Z$2:$Z$500,0)),"")</f>
        <v/>
      </c>
      <c r="O323" s="8" t="str">
        <f>IFERROR(INDEX(样本到样信息汇总统计!O$2:O$500,MATCH(322,样本到样信息汇总统计!$Z$2:$Z$500,0)),"")</f>
        <v/>
      </c>
      <c r="P323" s="8" t="str">
        <f>IFERROR(INDEX(样本到样信息汇总统计!P$2:P$500,MATCH(322,样本到样信息汇总统计!$Z$2:$Z$500,0)),"")</f>
        <v/>
      </c>
      <c r="Q323" s="8" t="str">
        <f>IFERROR(INDEX(样本到样信息汇总统计!Q$2:Q$500,MATCH(322,样本到样信息汇总统计!$Z$2:$Z$500,0)),"")</f>
        <v/>
      </c>
      <c r="R323" s="8" t="str">
        <f>IFERROR(INDEX(样本到样信息汇总统计!R$2:R$500,MATCH(322,样本到样信息汇总统计!$Z$2:$Z$500,0)),"")</f>
        <v/>
      </c>
      <c r="S323" s="8" t="str">
        <f>IFERROR(INDEX(样本到样信息汇总统计!S$2:S$500,MATCH(322,样本到样信息汇总统计!$Z$2:$Z$500,0)),"")</f>
        <v/>
      </c>
      <c r="T323" s="8" t="str">
        <f>IFERROR(INDEX(样本到样信息汇总统计!T$2:T$500,MATCH(322,样本到样信息汇总统计!$Z$2:$Z$500,0)),"")</f>
        <v/>
      </c>
      <c r="U323" s="8" t="str">
        <f>IFERROR(INDEX(样本到样信息汇总统计!U$2:U$500,MATCH(322,样本到样信息汇总统计!$Z$2:$Z$500,0)),"")</f>
        <v/>
      </c>
      <c r="V323" s="8" t="str">
        <f>IFERROR(INDEX(样本到样信息汇总统计!V$2:V$500,MATCH(322,样本到样信息汇总统计!$Z$2:$Z$500,0)),"")</f>
        <v/>
      </c>
      <c r="W323" s="8" t="str">
        <f>IFERROR(INDEX(样本到样信息汇总统计!W$2:W$500,MATCH(322,样本到样信息汇总统计!$Z$2:$Z$500,0)),"")</f>
        <v/>
      </c>
    </row>
    <row r="324" ht="14.5" spans="1:23">
      <c r="A324" s="4" t="str">
        <f>IFERROR(INDEX(样本到样信息汇总统计!A$2:A$500,MATCH(323,样本到样信息汇总统计!$Z$2:$Z$500,0)),"")</f>
        <v/>
      </c>
      <c r="B324" s="4" t="str">
        <f>IFERROR(INDEX(样本到样信息汇总统计!B$2:B$500,MATCH(323,样本到样信息汇总统计!$Z$2:$Z$500,0)),"")</f>
        <v/>
      </c>
      <c r="C324" s="4" t="str">
        <f>IFERROR(INDEX(样本到样信息汇总统计!C$2:C$500,MATCH(323,样本到样信息汇总统计!$Z$2:$Z$500,0)),"")</f>
        <v/>
      </c>
      <c r="D324" s="4" t="str">
        <f>IFERROR(INDEX(样本到样信息汇总统计!D$2:D$500,MATCH(323,样本到样信息汇总统计!$Z$2:$Z$500,0)),"")</f>
        <v/>
      </c>
      <c r="E324" s="4" t="str">
        <f>IFERROR(INDEX(样本到样信息汇总统计!E$2:E$500,MATCH(323,样本到样信息汇总统计!$Z$2:$Z$500,0)),"")</f>
        <v/>
      </c>
      <c r="F324" s="4" t="str">
        <f>IFERROR(INDEX(样本到样信息汇总统计!F$2:F$500,MATCH(323,样本到样信息汇总统计!$Z$2:$Z$500,0)),"")</f>
        <v/>
      </c>
      <c r="G324" s="4" t="str">
        <f>IFERROR(INDEX(样本到样信息汇总统计!G$2:G$500,MATCH(323,样本到样信息汇总统计!$Z$2:$Z$500,0)),"")</f>
        <v/>
      </c>
      <c r="H324" s="4" t="str">
        <f>IFERROR(INDEX(样本到样信息汇总统计!H$2:H$500,MATCH(323,样本到样信息汇总统计!$Z$2:$Z$500,0)),"")</f>
        <v/>
      </c>
      <c r="I324" s="4" t="str">
        <f>IFERROR(INDEX(样本到样信息汇总统计!I$2:I$500,MATCH(323,样本到样信息汇总统计!$Z$2:$Z$500,0)),"")</f>
        <v/>
      </c>
      <c r="J324" s="4" t="str">
        <f>IFERROR(INDEX(样本到样信息汇总统计!J$2:J$500,MATCH(323,样本到样信息汇总统计!$Z$2:$Z$500,0)),"")</f>
        <v/>
      </c>
      <c r="K324" s="4" t="str">
        <f>IFERROR(INDEX(样本到样信息汇总统计!K$2:K$500,MATCH(323,样本到样信息汇总统计!$Z$2:$Z$500,0)),"")</f>
        <v/>
      </c>
      <c r="L324" s="4" t="str">
        <f>IFERROR(INDEX(样本到样信息汇总统计!L$2:L$500,MATCH(323,样本到样信息汇总统计!$Z$2:$Z$500,0)),"")</f>
        <v/>
      </c>
      <c r="M324" s="4" t="str">
        <f>IFERROR(INDEX(样本到样信息汇总统计!M$2:M$500,MATCH(323,样本到样信息汇总统计!$Z$2:$Z$500,0)),"")</f>
        <v/>
      </c>
      <c r="N324" s="4" t="str">
        <f>IFERROR(INDEX(样本到样信息汇总统计!N$2:N$500,MATCH(323,样本到样信息汇总统计!$Z$2:$Z$500,0)),"")</f>
        <v/>
      </c>
      <c r="O324" s="4" t="str">
        <f>IFERROR(INDEX(样本到样信息汇总统计!O$2:O$500,MATCH(323,样本到样信息汇总统计!$Z$2:$Z$500,0)),"")</f>
        <v/>
      </c>
      <c r="P324" s="4" t="str">
        <f>IFERROR(INDEX(样本到样信息汇总统计!P$2:P$500,MATCH(323,样本到样信息汇总统计!$Z$2:$Z$500,0)),"")</f>
        <v/>
      </c>
      <c r="Q324" s="4" t="str">
        <f>IFERROR(INDEX(样本到样信息汇总统计!Q$2:Q$500,MATCH(323,样本到样信息汇总统计!$Z$2:$Z$500,0)),"")</f>
        <v/>
      </c>
      <c r="R324" s="4" t="str">
        <f>IFERROR(INDEX(样本到样信息汇总统计!R$2:R$500,MATCH(323,样本到样信息汇总统计!$Z$2:$Z$500,0)),"")</f>
        <v/>
      </c>
      <c r="S324" s="4" t="str">
        <f>IFERROR(INDEX(样本到样信息汇总统计!S$2:S$500,MATCH(323,样本到样信息汇总统计!$Z$2:$Z$500,0)),"")</f>
        <v/>
      </c>
      <c r="T324" s="4" t="str">
        <f>IFERROR(INDEX(样本到样信息汇总统计!T$2:T$500,MATCH(323,样本到样信息汇总统计!$Z$2:$Z$500,0)),"")</f>
        <v/>
      </c>
      <c r="U324" s="4" t="str">
        <f>IFERROR(INDEX(样本到样信息汇总统计!U$2:U$500,MATCH(323,样本到样信息汇总统计!$Z$2:$Z$500,0)),"")</f>
        <v/>
      </c>
      <c r="V324" s="4" t="str">
        <f>IFERROR(INDEX(样本到样信息汇总统计!V$2:V$500,MATCH(323,样本到样信息汇总统计!$Z$2:$Z$500,0)),"")</f>
        <v/>
      </c>
      <c r="W324" s="4" t="str">
        <f>IFERROR(INDEX(样本到样信息汇总统计!W$2:W$500,MATCH(323,样本到样信息汇总统计!$Z$2:$Z$500,0)),"")</f>
        <v/>
      </c>
    </row>
    <row r="325" ht="14.5" spans="1:23">
      <c r="A325" s="8" t="str">
        <f>IFERROR(INDEX(样本到样信息汇总统计!A$2:A$500,MATCH(324,样本到样信息汇总统计!$Z$2:$Z$500,0)),"")</f>
        <v/>
      </c>
      <c r="B325" s="8" t="str">
        <f>IFERROR(INDEX(样本到样信息汇总统计!B$2:B$500,MATCH(324,样本到样信息汇总统计!$Z$2:$Z$500,0)),"")</f>
        <v/>
      </c>
      <c r="C325" s="8" t="str">
        <f>IFERROR(INDEX(样本到样信息汇总统计!C$2:C$500,MATCH(324,样本到样信息汇总统计!$Z$2:$Z$500,0)),"")</f>
        <v/>
      </c>
      <c r="D325" s="8" t="str">
        <f>IFERROR(INDEX(样本到样信息汇总统计!D$2:D$500,MATCH(324,样本到样信息汇总统计!$Z$2:$Z$500,0)),"")</f>
        <v/>
      </c>
      <c r="E325" s="8" t="str">
        <f>IFERROR(INDEX(样本到样信息汇总统计!E$2:E$500,MATCH(324,样本到样信息汇总统计!$Z$2:$Z$500,0)),"")</f>
        <v/>
      </c>
      <c r="F325" s="8" t="str">
        <f>IFERROR(INDEX(样本到样信息汇总统计!F$2:F$500,MATCH(324,样本到样信息汇总统计!$Z$2:$Z$500,0)),"")</f>
        <v/>
      </c>
      <c r="G325" s="8" t="str">
        <f>IFERROR(INDEX(样本到样信息汇总统计!G$2:G$500,MATCH(324,样本到样信息汇总统计!$Z$2:$Z$500,0)),"")</f>
        <v/>
      </c>
      <c r="H325" s="8" t="str">
        <f>IFERROR(INDEX(样本到样信息汇总统计!H$2:H$500,MATCH(324,样本到样信息汇总统计!$Z$2:$Z$500,0)),"")</f>
        <v/>
      </c>
      <c r="I325" s="8" t="str">
        <f>IFERROR(INDEX(样本到样信息汇总统计!I$2:I$500,MATCH(324,样本到样信息汇总统计!$Z$2:$Z$500,0)),"")</f>
        <v/>
      </c>
      <c r="J325" s="8" t="str">
        <f>IFERROR(INDEX(样本到样信息汇总统计!J$2:J$500,MATCH(324,样本到样信息汇总统计!$Z$2:$Z$500,0)),"")</f>
        <v/>
      </c>
      <c r="K325" s="8" t="str">
        <f>IFERROR(INDEX(样本到样信息汇总统计!K$2:K$500,MATCH(324,样本到样信息汇总统计!$Z$2:$Z$500,0)),"")</f>
        <v/>
      </c>
      <c r="L325" s="8" t="str">
        <f>IFERROR(INDEX(样本到样信息汇总统计!L$2:L$500,MATCH(324,样本到样信息汇总统计!$Z$2:$Z$500,0)),"")</f>
        <v/>
      </c>
      <c r="M325" s="8" t="str">
        <f>IFERROR(INDEX(样本到样信息汇总统计!M$2:M$500,MATCH(324,样本到样信息汇总统计!$Z$2:$Z$500,0)),"")</f>
        <v/>
      </c>
      <c r="N325" s="8" t="str">
        <f>IFERROR(INDEX(样本到样信息汇总统计!N$2:N$500,MATCH(324,样本到样信息汇总统计!$Z$2:$Z$500,0)),"")</f>
        <v/>
      </c>
      <c r="O325" s="8" t="str">
        <f>IFERROR(INDEX(样本到样信息汇总统计!O$2:O$500,MATCH(324,样本到样信息汇总统计!$Z$2:$Z$500,0)),"")</f>
        <v/>
      </c>
      <c r="P325" s="8" t="str">
        <f>IFERROR(INDEX(样本到样信息汇总统计!P$2:P$500,MATCH(324,样本到样信息汇总统计!$Z$2:$Z$500,0)),"")</f>
        <v/>
      </c>
      <c r="Q325" s="8" t="str">
        <f>IFERROR(INDEX(样本到样信息汇总统计!Q$2:Q$500,MATCH(324,样本到样信息汇总统计!$Z$2:$Z$500,0)),"")</f>
        <v/>
      </c>
      <c r="R325" s="8" t="str">
        <f>IFERROR(INDEX(样本到样信息汇总统计!R$2:R$500,MATCH(324,样本到样信息汇总统计!$Z$2:$Z$500,0)),"")</f>
        <v/>
      </c>
      <c r="S325" s="8" t="str">
        <f>IFERROR(INDEX(样本到样信息汇总统计!S$2:S$500,MATCH(324,样本到样信息汇总统计!$Z$2:$Z$500,0)),"")</f>
        <v/>
      </c>
      <c r="T325" s="8" t="str">
        <f>IFERROR(INDEX(样本到样信息汇总统计!T$2:T$500,MATCH(324,样本到样信息汇总统计!$Z$2:$Z$500,0)),"")</f>
        <v/>
      </c>
      <c r="U325" s="8" t="str">
        <f>IFERROR(INDEX(样本到样信息汇总统计!U$2:U$500,MATCH(324,样本到样信息汇总统计!$Z$2:$Z$500,0)),"")</f>
        <v/>
      </c>
      <c r="V325" s="8" t="str">
        <f>IFERROR(INDEX(样本到样信息汇总统计!V$2:V$500,MATCH(324,样本到样信息汇总统计!$Z$2:$Z$500,0)),"")</f>
        <v/>
      </c>
      <c r="W325" s="8" t="str">
        <f>IFERROR(INDEX(样本到样信息汇总统计!W$2:W$500,MATCH(324,样本到样信息汇总统计!$Z$2:$Z$500,0)),"")</f>
        <v/>
      </c>
    </row>
    <row r="326" ht="14.5" spans="1:23">
      <c r="A326" s="4" t="str">
        <f>IFERROR(INDEX(样本到样信息汇总统计!A$2:A$500,MATCH(325,样本到样信息汇总统计!$Z$2:$Z$500,0)),"")</f>
        <v/>
      </c>
      <c r="B326" s="4" t="str">
        <f>IFERROR(INDEX(样本到样信息汇总统计!B$2:B$500,MATCH(325,样本到样信息汇总统计!$Z$2:$Z$500,0)),"")</f>
        <v/>
      </c>
      <c r="C326" s="4" t="str">
        <f>IFERROR(INDEX(样本到样信息汇总统计!C$2:C$500,MATCH(325,样本到样信息汇总统计!$Z$2:$Z$500,0)),"")</f>
        <v/>
      </c>
      <c r="D326" s="4" t="str">
        <f>IFERROR(INDEX(样本到样信息汇总统计!D$2:D$500,MATCH(325,样本到样信息汇总统计!$Z$2:$Z$500,0)),"")</f>
        <v/>
      </c>
      <c r="E326" s="4" t="str">
        <f>IFERROR(INDEX(样本到样信息汇总统计!E$2:E$500,MATCH(325,样本到样信息汇总统计!$Z$2:$Z$500,0)),"")</f>
        <v/>
      </c>
      <c r="F326" s="4" t="str">
        <f>IFERROR(INDEX(样本到样信息汇总统计!F$2:F$500,MATCH(325,样本到样信息汇总统计!$Z$2:$Z$500,0)),"")</f>
        <v/>
      </c>
      <c r="G326" s="4" t="str">
        <f>IFERROR(INDEX(样本到样信息汇总统计!G$2:G$500,MATCH(325,样本到样信息汇总统计!$Z$2:$Z$500,0)),"")</f>
        <v/>
      </c>
      <c r="H326" s="4" t="str">
        <f>IFERROR(INDEX(样本到样信息汇总统计!H$2:H$500,MATCH(325,样本到样信息汇总统计!$Z$2:$Z$500,0)),"")</f>
        <v/>
      </c>
      <c r="I326" s="4" t="str">
        <f>IFERROR(INDEX(样本到样信息汇总统计!I$2:I$500,MATCH(325,样本到样信息汇总统计!$Z$2:$Z$500,0)),"")</f>
        <v/>
      </c>
      <c r="J326" s="4" t="str">
        <f>IFERROR(INDEX(样本到样信息汇总统计!J$2:J$500,MATCH(325,样本到样信息汇总统计!$Z$2:$Z$500,0)),"")</f>
        <v/>
      </c>
      <c r="K326" s="4" t="str">
        <f>IFERROR(INDEX(样本到样信息汇总统计!K$2:K$500,MATCH(325,样本到样信息汇总统计!$Z$2:$Z$500,0)),"")</f>
        <v/>
      </c>
      <c r="L326" s="4" t="str">
        <f>IFERROR(INDEX(样本到样信息汇总统计!L$2:L$500,MATCH(325,样本到样信息汇总统计!$Z$2:$Z$500,0)),"")</f>
        <v/>
      </c>
      <c r="M326" s="4" t="str">
        <f>IFERROR(INDEX(样本到样信息汇总统计!M$2:M$500,MATCH(325,样本到样信息汇总统计!$Z$2:$Z$500,0)),"")</f>
        <v/>
      </c>
      <c r="N326" s="4" t="str">
        <f>IFERROR(INDEX(样本到样信息汇总统计!N$2:N$500,MATCH(325,样本到样信息汇总统计!$Z$2:$Z$500,0)),"")</f>
        <v/>
      </c>
      <c r="O326" s="4" t="str">
        <f>IFERROR(INDEX(样本到样信息汇总统计!O$2:O$500,MATCH(325,样本到样信息汇总统计!$Z$2:$Z$500,0)),"")</f>
        <v/>
      </c>
      <c r="P326" s="4" t="str">
        <f>IFERROR(INDEX(样本到样信息汇总统计!P$2:P$500,MATCH(325,样本到样信息汇总统计!$Z$2:$Z$500,0)),"")</f>
        <v/>
      </c>
      <c r="Q326" s="4" t="str">
        <f>IFERROR(INDEX(样本到样信息汇总统计!Q$2:Q$500,MATCH(325,样本到样信息汇总统计!$Z$2:$Z$500,0)),"")</f>
        <v/>
      </c>
      <c r="R326" s="4" t="str">
        <f>IFERROR(INDEX(样本到样信息汇总统计!R$2:R$500,MATCH(325,样本到样信息汇总统计!$Z$2:$Z$500,0)),"")</f>
        <v/>
      </c>
      <c r="S326" s="4" t="str">
        <f>IFERROR(INDEX(样本到样信息汇总统计!S$2:S$500,MATCH(325,样本到样信息汇总统计!$Z$2:$Z$500,0)),"")</f>
        <v/>
      </c>
      <c r="T326" s="4" t="str">
        <f>IFERROR(INDEX(样本到样信息汇总统计!T$2:T$500,MATCH(325,样本到样信息汇总统计!$Z$2:$Z$500,0)),"")</f>
        <v/>
      </c>
      <c r="U326" s="4" t="str">
        <f>IFERROR(INDEX(样本到样信息汇总统计!U$2:U$500,MATCH(325,样本到样信息汇总统计!$Z$2:$Z$500,0)),"")</f>
        <v/>
      </c>
      <c r="V326" s="4" t="str">
        <f>IFERROR(INDEX(样本到样信息汇总统计!V$2:V$500,MATCH(325,样本到样信息汇总统计!$Z$2:$Z$500,0)),"")</f>
        <v/>
      </c>
      <c r="W326" s="4" t="str">
        <f>IFERROR(INDEX(样本到样信息汇总统计!W$2:W$500,MATCH(325,样本到样信息汇总统计!$Z$2:$Z$500,0)),"")</f>
        <v/>
      </c>
    </row>
    <row r="327" ht="14.5" spans="1:23">
      <c r="A327" s="8" t="str">
        <f>IFERROR(INDEX(样本到样信息汇总统计!A$2:A$500,MATCH(326,样本到样信息汇总统计!$Z$2:$Z$500,0)),"")</f>
        <v/>
      </c>
      <c r="B327" s="8" t="str">
        <f>IFERROR(INDEX(样本到样信息汇总统计!B$2:B$500,MATCH(326,样本到样信息汇总统计!$Z$2:$Z$500,0)),"")</f>
        <v/>
      </c>
      <c r="C327" s="8" t="str">
        <f>IFERROR(INDEX(样本到样信息汇总统计!C$2:C$500,MATCH(326,样本到样信息汇总统计!$Z$2:$Z$500,0)),"")</f>
        <v/>
      </c>
      <c r="D327" s="8" t="str">
        <f>IFERROR(INDEX(样本到样信息汇总统计!D$2:D$500,MATCH(326,样本到样信息汇总统计!$Z$2:$Z$500,0)),"")</f>
        <v/>
      </c>
      <c r="E327" s="8" t="str">
        <f>IFERROR(INDEX(样本到样信息汇总统计!E$2:E$500,MATCH(326,样本到样信息汇总统计!$Z$2:$Z$500,0)),"")</f>
        <v/>
      </c>
      <c r="F327" s="8" t="str">
        <f>IFERROR(INDEX(样本到样信息汇总统计!F$2:F$500,MATCH(326,样本到样信息汇总统计!$Z$2:$Z$500,0)),"")</f>
        <v/>
      </c>
      <c r="G327" s="8" t="str">
        <f>IFERROR(INDEX(样本到样信息汇总统计!G$2:G$500,MATCH(326,样本到样信息汇总统计!$Z$2:$Z$500,0)),"")</f>
        <v/>
      </c>
      <c r="H327" s="8" t="str">
        <f>IFERROR(INDEX(样本到样信息汇总统计!H$2:H$500,MATCH(326,样本到样信息汇总统计!$Z$2:$Z$500,0)),"")</f>
        <v/>
      </c>
      <c r="I327" s="8" t="str">
        <f>IFERROR(INDEX(样本到样信息汇总统计!I$2:I$500,MATCH(326,样本到样信息汇总统计!$Z$2:$Z$500,0)),"")</f>
        <v/>
      </c>
      <c r="J327" s="8" t="str">
        <f>IFERROR(INDEX(样本到样信息汇总统计!J$2:J$500,MATCH(326,样本到样信息汇总统计!$Z$2:$Z$500,0)),"")</f>
        <v/>
      </c>
      <c r="K327" s="8" t="str">
        <f>IFERROR(INDEX(样本到样信息汇总统计!K$2:K$500,MATCH(326,样本到样信息汇总统计!$Z$2:$Z$500,0)),"")</f>
        <v/>
      </c>
      <c r="L327" s="8" t="str">
        <f>IFERROR(INDEX(样本到样信息汇总统计!L$2:L$500,MATCH(326,样本到样信息汇总统计!$Z$2:$Z$500,0)),"")</f>
        <v/>
      </c>
      <c r="M327" s="8" t="str">
        <f>IFERROR(INDEX(样本到样信息汇总统计!M$2:M$500,MATCH(326,样本到样信息汇总统计!$Z$2:$Z$500,0)),"")</f>
        <v/>
      </c>
      <c r="N327" s="8" t="str">
        <f>IFERROR(INDEX(样本到样信息汇总统计!N$2:N$500,MATCH(326,样本到样信息汇总统计!$Z$2:$Z$500,0)),"")</f>
        <v/>
      </c>
      <c r="O327" s="8" t="str">
        <f>IFERROR(INDEX(样本到样信息汇总统计!O$2:O$500,MATCH(326,样本到样信息汇总统计!$Z$2:$Z$500,0)),"")</f>
        <v/>
      </c>
      <c r="P327" s="8" t="str">
        <f>IFERROR(INDEX(样本到样信息汇总统计!P$2:P$500,MATCH(326,样本到样信息汇总统计!$Z$2:$Z$500,0)),"")</f>
        <v/>
      </c>
      <c r="Q327" s="8" t="str">
        <f>IFERROR(INDEX(样本到样信息汇总统计!Q$2:Q$500,MATCH(326,样本到样信息汇总统计!$Z$2:$Z$500,0)),"")</f>
        <v/>
      </c>
      <c r="R327" s="8" t="str">
        <f>IFERROR(INDEX(样本到样信息汇总统计!R$2:R$500,MATCH(326,样本到样信息汇总统计!$Z$2:$Z$500,0)),"")</f>
        <v/>
      </c>
      <c r="S327" s="8" t="str">
        <f>IFERROR(INDEX(样本到样信息汇总统计!S$2:S$500,MATCH(326,样本到样信息汇总统计!$Z$2:$Z$500,0)),"")</f>
        <v/>
      </c>
      <c r="T327" s="8" t="str">
        <f>IFERROR(INDEX(样本到样信息汇总统计!T$2:T$500,MATCH(326,样本到样信息汇总统计!$Z$2:$Z$500,0)),"")</f>
        <v/>
      </c>
      <c r="U327" s="8" t="str">
        <f>IFERROR(INDEX(样本到样信息汇总统计!U$2:U$500,MATCH(326,样本到样信息汇总统计!$Z$2:$Z$500,0)),"")</f>
        <v/>
      </c>
      <c r="V327" s="8" t="str">
        <f>IFERROR(INDEX(样本到样信息汇总统计!V$2:V$500,MATCH(326,样本到样信息汇总统计!$Z$2:$Z$500,0)),"")</f>
        <v/>
      </c>
      <c r="W327" s="8" t="str">
        <f>IFERROR(INDEX(样本到样信息汇总统计!W$2:W$500,MATCH(326,样本到样信息汇总统计!$Z$2:$Z$500,0)),"")</f>
        <v/>
      </c>
    </row>
    <row r="328" ht="14.5" spans="1:23">
      <c r="A328" s="4" t="str">
        <f>IFERROR(INDEX(样本到样信息汇总统计!A$2:A$500,MATCH(327,样本到样信息汇总统计!$Z$2:$Z$500,0)),"")</f>
        <v/>
      </c>
      <c r="B328" s="4" t="str">
        <f>IFERROR(INDEX(样本到样信息汇总统计!B$2:B$500,MATCH(327,样本到样信息汇总统计!$Z$2:$Z$500,0)),"")</f>
        <v/>
      </c>
      <c r="C328" s="4" t="str">
        <f>IFERROR(INDEX(样本到样信息汇总统计!C$2:C$500,MATCH(327,样本到样信息汇总统计!$Z$2:$Z$500,0)),"")</f>
        <v/>
      </c>
      <c r="D328" s="4" t="str">
        <f>IFERROR(INDEX(样本到样信息汇总统计!D$2:D$500,MATCH(327,样本到样信息汇总统计!$Z$2:$Z$500,0)),"")</f>
        <v/>
      </c>
      <c r="E328" s="4" t="str">
        <f>IFERROR(INDEX(样本到样信息汇总统计!E$2:E$500,MATCH(327,样本到样信息汇总统计!$Z$2:$Z$500,0)),"")</f>
        <v/>
      </c>
      <c r="F328" s="4" t="str">
        <f>IFERROR(INDEX(样本到样信息汇总统计!F$2:F$500,MATCH(327,样本到样信息汇总统计!$Z$2:$Z$500,0)),"")</f>
        <v/>
      </c>
      <c r="G328" s="4" t="str">
        <f>IFERROR(INDEX(样本到样信息汇总统计!G$2:G$500,MATCH(327,样本到样信息汇总统计!$Z$2:$Z$500,0)),"")</f>
        <v/>
      </c>
      <c r="H328" s="4" t="str">
        <f>IFERROR(INDEX(样本到样信息汇总统计!H$2:H$500,MATCH(327,样本到样信息汇总统计!$Z$2:$Z$500,0)),"")</f>
        <v/>
      </c>
      <c r="I328" s="4" t="str">
        <f>IFERROR(INDEX(样本到样信息汇总统计!I$2:I$500,MATCH(327,样本到样信息汇总统计!$Z$2:$Z$500,0)),"")</f>
        <v/>
      </c>
      <c r="J328" s="4" t="str">
        <f>IFERROR(INDEX(样本到样信息汇总统计!J$2:J$500,MATCH(327,样本到样信息汇总统计!$Z$2:$Z$500,0)),"")</f>
        <v/>
      </c>
      <c r="K328" s="4" t="str">
        <f>IFERROR(INDEX(样本到样信息汇总统计!K$2:K$500,MATCH(327,样本到样信息汇总统计!$Z$2:$Z$500,0)),"")</f>
        <v/>
      </c>
      <c r="L328" s="4" t="str">
        <f>IFERROR(INDEX(样本到样信息汇总统计!L$2:L$500,MATCH(327,样本到样信息汇总统计!$Z$2:$Z$500,0)),"")</f>
        <v/>
      </c>
      <c r="M328" s="4" t="str">
        <f>IFERROR(INDEX(样本到样信息汇总统计!M$2:M$500,MATCH(327,样本到样信息汇总统计!$Z$2:$Z$500,0)),"")</f>
        <v/>
      </c>
      <c r="N328" s="4" t="str">
        <f>IFERROR(INDEX(样本到样信息汇总统计!N$2:N$500,MATCH(327,样本到样信息汇总统计!$Z$2:$Z$500,0)),"")</f>
        <v/>
      </c>
      <c r="O328" s="4" t="str">
        <f>IFERROR(INDEX(样本到样信息汇总统计!O$2:O$500,MATCH(327,样本到样信息汇总统计!$Z$2:$Z$500,0)),"")</f>
        <v/>
      </c>
      <c r="P328" s="4" t="str">
        <f>IFERROR(INDEX(样本到样信息汇总统计!P$2:P$500,MATCH(327,样本到样信息汇总统计!$Z$2:$Z$500,0)),"")</f>
        <v/>
      </c>
      <c r="Q328" s="4" t="str">
        <f>IFERROR(INDEX(样本到样信息汇总统计!Q$2:Q$500,MATCH(327,样本到样信息汇总统计!$Z$2:$Z$500,0)),"")</f>
        <v/>
      </c>
      <c r="R328" s="4" t="str">
        <f>IFERROR(INDEX(样本到样信息汇总统计!R$2:R$500,MATCH(327,样本到样信息汇总统计!$Z$2:$Z$500,0)),"")</f>
        <v/>
      </c>
      <c r="S328" s="4" t="str">
        <f>IFERROR(INDEX(样本到样信息汇总统计!S$2:S$500,MATCH(327,样本到样信息汇总统计!$Z$2:$Z$500,0)),"")</f>
        <v/>
      </c>
      <c r="T328" s="4" t="str">
        <f>IFERROR(INDEX(样本到样信息汇总统计!T$2:T$500,MATCH(327,样本到样信息汇总统计!$Z$2:$Z$500,0)),"")</f>
        <v/>
      </c>
      <c r="U328" s="4" t="str">
        <f>IFERROR(INDEX(样本到样信息汇总统计!U$2:U$500,MATCH(327,样本到样信息汇总统计!$Z$2:$Z$500,0)),"")</f>
        <v/>
      </c>
      <c r="V328" s="4" t="str">
        <f>IFERROR(INDEX(样本到样信息汇总统计!V$2:V$500,MATCH(327,样本到样信息汇总统计!$Z$2:$Z$500,0)),"")</f>
        <v/>
      </c>
      <c r="W328" s="4" t="str">
        <f>IFERROR(INDEX(样本到样信息汇总统计!W$2:W$500,MATCH(327,样本到样信息汇总统计!$Z$2:$Z$500,0)),"")</f>
        <v/>
      </c>
    </row>
    <row r="329" ht="14.5" spans="1:23">
      <c r="A329" s="8" t="str">
        <f>IFERROR(INDEX(样本到样信息汇总统计!A$2:A$500,MATCH(328,样本到样信息汇总统计!$Z$2:$Z$500,0)),"")</f>
        <v/>
      </c>
      <c r="B329" s="8" t="str">
        <f>IFERROR(INDEX(样本到样信息汇总统计!B$2:B$500,MATCH(328,样本到样信息汇总统计!$Z$2:$Z$500,0)),"")</f>
        <v/>
      </c>
      <c r="C329" s="8" t="str">
        <f>IFERROR(INDEX(样本到样信息汇总统计!C$2:C$500,MATCH(328,样本到样信息汇总统计!$Z$2:$Z$500,0)),"")</f>
        <v/>
      </c>
      <c r="D329" s="8" t="str">
        <f>IFERROR(INDEX(样本到样信息汇总统计!D$2:D$500,MATCH(328,样本到样信息汇总统计!$Z$2:$Z$500,0)),"")</f>
        <v/>
      </c>
      <c r="E329" s="8" t="str">
        <f>IFERROR(INDEX(样本到样信息汇总统计!E$2:E$500,MATCH(328,样本到样信息汇总统计!$Z$2:$Z$500,0)),"")</f>
        <v/>
      </c>
      <c r="F329" s="8" t="str">
        <f>IFERROR(INDEX(样本到样信息汇总统计!F$2:F$500,MATCH(328,样本到样信息汇总统计!$Z$2:$Z$500,0)),"")</f>
        <v/>
      </c>
      <c r="G329" s="8" t="str">
        <f>IFERROR(INDEX(样本到样信息汇总统计!G$2:G$500,MATCH(328,样本到样信息汇总统计!$Z$2:$Z$500,0)),"")</f>
        <v/>
      </c>
      <c r="H329" s="8" t="str">
        <f>IFERROR(INDEX(样本到样信息汇总统计!H$2:H$500,MATCH(328,样本到样信息汇总统计!$Z$2:$Z$500,0)),"")</f>
        <v/>
      </c>
      <c r="I329" s="8" t="str">
        <f>IFERROR(INDEX(样本到样信息汇总统计!I$2:I$500,MATCH(328,样本到样信息汇总统计!$Z$2:$Z$500,0)),"")</f>
        <v/>
      </c>
      <c r="J329" s="8" t="str">
        <f>IFERROR(INDEX(样本到样信息汇总统计!J$2:J$500,MATCH(328,样本到样信息汇总统计!$Z$2:$Z$500,0)),"")</f>
        <v/>
      </c>
      <c r="K329" s="8" t="str">
        <f>IFERROR(INDEX(样本到样信息汇总统计!K$2:K$500,MATCH(328,样本到样信息汇总统计!$Z$2:$Z$500,0)),"")</f>
        <v/>
      </c>
      <c r="L329" s="8" t="str">
        <f>IFERROR(INDEX(样本到样信息汇总统计!L$2:L$500,MATCH(328,样本到样信息汇总统计!$Z$2:$Z$500,0)),"")</f>
        <v/>
      </c>
      <c r="M329" s="8" t="str">
        <f>IFERROR(INDEX(样本到样信息汇总统计!M$2:M$500,MATCH(328,样本到样信息汇总统计!$Z$2:$Z$500,0)),"")</f>
        <v/>
      </c>
      <c r="N329" s="8" t="str">
        <f>IFERROR(INDEX(样本到样信息汇总统计!N$2:N$500,MATCH(328,样本到样信息汇总统计!$Z$2:$Z$500,0)),"")</f>
        <v/>
      </c>
      <c r="O329" s="8" t="str">
        <f>IFERROR(INDEX(样本到样信息汇总统计!O$2:O$500,MATCH(328,样本到样信息汇总统计!$Z$2:$Z$500,0)),"")</f>
        <v/>
      </c>
      <c r="P329" s="8" t="str">
        <f>IFERROR(INDEX(样本到样信息汇总统计!P$2:P$500,MATCH(328,样本到样信息汇总统计!$Z$2:$Z$500,0)),"")</f>
        <v/>
      </c>
      <c r="Q329" s="8" t="str">
        <f>IFERROR(INDEX(样本到样信息汇总统计!Q$2:Q$500,MATCH(328,样本到样信息汇总统计!$Z$2:$Z$500,0)),"")</f>
        <v/>
      </c>
      <c r="R329" s="8" t="str">
        <f>IFERROR(INDEX(样本到样信息汇总统计!R$2:R$500,MATCH(328,样本到样信息汇总统计!$Z$2:$Z$500,0)),"")</f>
        <v/>
      </c>
      <c r="S329" s="8" t="str">
        <f>IFERROR(INDEX(样本到样信息汇总统计!S$2:S$500,MATCH(328,样本到样信息汇总统计!$Z$2:$Z$500,0)),"")</f>
        <v/>
      </c>
      <c r="T329" s="8" t="str">
        <f>IFERROR(INDEX(样本到样信息汇总统计!T$2:T$500,MATCH(328,样本到样信息汇总统计!$Z$2:$Z$500,0)),"")</f>
        <v/>
      </c>
      <c r="U329" s="8" t="str">
        <f>IFERROR(INDEX(样本到样信息汇总统计!U$2:U$500,MATCH(328,样本到样信息汇总统计!$Z$2:$Z$500,0)),"")</f>
        <v/>
      </c>
      <c r="V329" s="8" t="str">
        <f>IFERROR(INDEX(样本到样信息汇总统计!V$2:V$500,MATCH(328,样本到样信息汇总统计!$Z$2:$Z$500,0)),"")</f>
        <v/>
      </c>
      <c r="W329" s="8" t="str">
        <f>IFERROR(INDEX(样本到样信息汇总统计!W$2:W$500,MATCH(328,样本到样信息汇总统计!$Z$2:$Z$500,0)),"")</f>
        <v/>
      </c>
    </row>
    <row r="330" ht="14.5" spans="1:23">
      <c r="A330" s="4" t="str">
        <f>IFERROR(INDEX(样本到样信息汇总统计!A$2:A$500,MATCH(329,样本到样信息汇总统计!$Z$2:$Z$500,0)),"")</f>
        <v/>
      </c>
      <c r="B330" s="4" t="str">
        <f>IFERROR(INDEX(样本到样信息汇总统计!B$2:B$500,MATCH(329,样本到样信息汇总统计!$Z$2:$Z$500,0)),"")</f>
        <v/>
      </c>
      <c r="C330" s="4" t="str">
        <f>IFERROR(INDEX(样本到样信息汇总统计!C$2:C$500,MATCH(329,样本到样信息汇总统计!$Z$2:$Z$500,0)),"")</f>
        <v/>
      </c>
      <c r="D330" s="4" t="str">
        <f>IFERROR(INDEX(样本到样信息汇总统计!D$2:D$500,MATCH(329,样本到样信息汇总统计!$Z$2:$Z$500,0)),"")</f>
        <v/>
      </c>
      <c r="E330" s="4" t="str">
        <f>IFERROR(INDEX(样本到样信息汇总统计!E$2:E$500,MATCH(329,样本到样信息汇总统计!$Z$2:$Z$500,0)),"")</f>
        <v/>
      </c>
      <c r="F330" s="4" t="str">
        <f>IFERROR(INDEX(样本到样信息汇总统计!F$2:F$500,MATCH(329,样本到样信息汇总统计!$Z$2:$Z$500,0)),"")</f>
        <v/>
      </c>
      <c r="G330" s="4" t="str">
        <f>IFERROR(INDEX(样本到样信息汇总统计!G$2:G$500,MATCH(329,样本到样信息汇总统计!$Z$2:$Z$500,0)),"")</f>
        <v/>
      </c>
      <c r="H330" s="4" t="str">
        <f>IFERROR(INDEX(样本到样信息汇总统计!H$2:H$500,MATCH(329,样本到样信息汇总统计!$Z$2:$Z$500,0)),"")</f>
        <v/>
      </c>
      <c r="I330" s="4" t="str">
        <f>IFERROR(INDEX(样本到样信息汇总统计!I$2:I$500,MATCH(329,样本到样信息汇总统计!$Z$2:$Z$500,0)),"")</f>
        <v/>
      </c>
      <c r="J330" s="4" t="str">
        <f>IFERROR(INDEX(样本到样信息汇总统计!J$2:J$500,MATCH(329,样本到样信息汇总统计!$Z$2:$Z$500,0)),"")</f>
        <v/>
      </c>
      <c r="K330" s="4" t="str">
        <f>IFERROR(INDEX(样本到样信息汇总统计!K$2:K$500,MATCH(329,样本到样信息汇总统计!$Z$2:$Z$500,0)),"")</f>
        <v/>
      </c>
      <c r="L330" s="4" t="str">
        <f>IFERROR(INDEX(样本到样信息汇总统计!L$2:L$500,MATCH(329,样本到样信息汇总统计!$Z$2:$Z$500,0)),"")</f>
        <v/>
      </c>
      <c r="M330" s="4" t="str">
        <f>IFERROR(INDEX(样本到样信息汇总统计!M$2:M$500,MATCH(329,样本到样信息汇总统计!$Z$2:$Z$500,0)),"")</f>
        <v/>
      </c>
      <c r="N330" s="4" t="str">
        <f>IFERROR(INDEX(样本到样信息汇总统计!N$2:N$500,MATCH(329,样本到样信息汇总统计!$Z$2:$Z$500,0)),"")</f>
        <v/>
      </c>
      <c r="O330" s="4" t="str">
        <f>IFERROR(INDEX(样本到样信息汇总统计!O$2:O$500,MATCH(329,样本到样信息汇总统计!$Z$2:$Z$500,0)),"")</f>
        <v/>
      </c>
      <c r="P330" s="4" t="str">
        <f>IFERROR(INDEX(样本到样信息汇总统计!P$2:P$500,MATCH(329,样本到样信息汇总统计!$Z$2:$Z$500,0)),"")</f>
        <v/>
      </c>
      <c r="Q330" s="4" t="str">
        <f>IFERROR(INDEX(样本到样信息汇总统计!Q$2:Q$500,MATCH(329,样本到样信息汇总统计!$Z$2:$Z$500,0)),"")</f>
        <v/>
      </c>
      <c r="R330" s="4" t="str">
        <f>IFERROR(INDEX(样本到样信息汇总统计!R$2:R$500,MATCH(329,样本到样信息汇总统计!$Z$2:$Z$500,0)),"")</f>
        <v/>
      </c>
      <c r="S330" s="4" t="str">
        <f>IFERROR(INDEX(样本到样信息汇总统计!S$2:S$500,MATCH(329,样本到样信息汇总统计!$Z$2:$Z$500,0)),"")</f>
        <v/>
      </c>
      <c r="T330" s="4" t="str">
        <f>IFERROR(INDEX(样本到样信息汇总统计!T$2:T$500,MATCH(329,样本到样信息汇总统计!$Z$2:$Z$500,0)),"")</f>
        <v/>
      </c>
      <c r="U330" s="4" t="str">
        <f>IFERROR(INDEX(样本到样信息汇总统计!U$2:U$500,MATCH(329,样本到样信息汇总统计!$Z$2:$Z$500,0)),"")</f>
        <v/>
      </c>
      <c r="V330" s="4" t="str">
        <f>IFERROR(INDEX(样本到样信息汇总统计!V$2:V$500,MATCH(329,样本到样信息汇总统计!$Z$2:$Z$500,0)),"")</f>
        <v/>
      </c>
      <c r="W330" s="4" t="str">
        <f>IFERROR(INDEX(样本到样信息汇总统计!W$2:W$500,MATCH(329,样本到样信息汇总统计!$Z$2:$Z$500,0)),"")</f>
        <v/>
      </c>
    </row>
    <row r="331" ht="14.5" spans="1:23">
      <c r="A331" s="8" t="str">
        <f>IFERROR(INDEX(样本到样信息汇总统计!A$2:A$500,MATCH(330,样本到样信息汇总统计!$Z$2:$Z$500,0)),"")</f>
        <v/>
      </c>
      <c r="B331" s="8" t="str">
        <f>IFERROR(INDEX(样本到样信息汇总统计!B$2:B$500,MATCH(330,样本到样信息汇总统计!$Z$2:$Z$500,0)),"")</f>
        <v/>
      </c>
      <c r="C331" s="8" t="str">
        <f>IFERROR(INDEX(样本到样信息汇总统计!C$2:C$500,MATCH(330,样本到样信息汇总统计!$Z$2:$Z$500,0)),"")</f>
        <v/>
      </c>
      <c r="D331" s="8" t="str">
        <f>IFERROR(INDEX(样本到样信息汇总统计!D$2:D$500,MATCH(330,样本到样信息汇总统计!$Z$2:$Z$500,0)),"")</f>
        <v/>
      </c>
      <c r="E331" s="8" t="str">
        <f>IFERROR(INDEX(样本到样信息汇总统计!E$2:E$500,MATCH(330,样本到样信息汇总统计!$Z$2:$Z$500,0)),"")</f>
        <v/>
      </c>
      <c r="F331" s="8" t="str">
        <f>IFERROR(INDEX(样本到样信息汇总统计!F$2:F$500,MATCH(330,样本到样信息汇总统计!$Z$2:$Z$500,0)),"")</f>
        <v/>
      </c>
      <c r="G331" s="8" t="str">
        <f>IFERROR(INDEX(样本到样信息汇总统计!G$2:G$500,MATCH(330,样本到样信息汇总统计!$Z$2:$Z$500,0)),"")</f>
        <v/>
      </c>
      <c r="H331" s="8" t="str">
        <f>IFERROR(INDEX(样本到样信息汇总统计!H$2:H$500,MATCH(330,样本到样信息汇总统计!$Z$2:$Z$500,0)),"")</f>
        <v/>
      </c>
      <c r="I331" s="8" t="str">
        <f>IFERROR(INDEX(样本到样信息汇总统计!I$2:I$500,MATCH(330,样本到样信息汇总统计!$Z$2:$Z$500,0)),"")</f>
        <v/>
      </c>
      <c r="J331" s="8" t="str">
        <f>IFERROR(INDEX(样本到样信息汇总统计!J$2:J$500,MATCH(330,样本到样信息汇总统计!$Z$2:$Z$500,0)),"")</f>
        <v/>
      </c>
      <c r="K331" s="8" t="str">
        <f>IFERROR(INDEX(样本到样信息汇总统计!K$2:K$500,MATCH(330,样本到样信息汇总统计!$Z$2:$Z$500,0)),"")</f>
        <v/>
      </c>
      <c r="L331" s="8" t="str">
        <f>IFERROR(INDEX(样本到样信息汇总统计!L$2:L$500,MATCH(330,样本到样信息汇总统计!$Z$2:$Z$500,0)),"")</f>
        <v/>
      </c>
      <c r="M331" s="8" t="str">
        <f>IFERROR(INDEX(样本到样信息汇总统计!M$2:M$500,MATCH(330,样本到样信息汇总统计!$Z$2:$Z$500,0)),"")</f>
        <v/>
      </c>
      <c r="N331" s="8" t="str">
        <f>IFERROR(INDEX(样本到样信息汇总统计!N$2:N$500,MATCH(330,样本到样信息汇总统计!$Z$2:$Z$500,0)),"")</f>
        <v/>
      </c>
      <c r="O331" s="8" t="str">
        <f>IFERROR(INDEX(样本到样信息汇总统计!O$2:O$500,MATCH(330,样本到样信息汇总统计!$Z$2:$Z$500,0)),"")</f>
        <v/>
      </c>
      <c r="P331" s="8" t="str">
        <f>IFERROR(INDEX(样本到样信息汇总统计!P$2:P$500,MATCH(330,样本到样信息汇总统计!$Z$2:$Z$500,0)),"")</f>
        <v/>
      </c>
      <c r="Q331" s="8" t="str">
        <f>IFERROR(INDEX(样本到样信息汇总统计!Q$2:Q$500,MATCH(330,样本到样信息汇总统计!$Z$2:$Z$500,0)),"")</f>
        <v/>
      </c>
      <c r="R331" s="8" t="str">
        <f>IFERROR(INDEX(样本到样信息汇总统计!R$2:R$500,MATCH(330,样本到样信息汇总统计!$Z$2:$Z$500,0)),"")</f>
        <v/>
      </c>
      <c r="S331" s="8" t="str">
        <f>IFERROR(INDEX(样本到样信息汇总统计!S$2:S$500,MATCH(330,样本到样信息汇总统计!$Z$2:$Z$500,0)),"")</f>
        <v/>
      </c>
      <c r="T331" s="8" t="str">
        <f>IFERROR(INDEX(样本到样信息汇总统计!T$2:T$500,MATCH(330,样本到样信息汇总统计!$Z$2:$Z$500,0)),"")</f>
        <v/>
      </c>
      <c r="U331" s="8" t="str">
        <f>IFERROR(INDEX(样本到样信息汇总统计!U$2:U$500,MATCH(330,样本到样信息汇总统计!$Z$2:$Z$500,0)),"")</f>
        <v/>
      </c>
      <c r="V331" s="8" t="str">
        <f>IFERROR(INDEX(样本到样信息汇总统计!V$2:V$500,MATCH(330,样本到样信息汇总统计!$Z$2:$Z$500,0)),"")</f>
        <v/>
      </c>
      <c r="W331" s="8" t="str">
        <f>IFERROR(INDEX(样本到样信息汇总统计!W$2:W$500,MATCH(330,样本到样信息汇总统计!$Z$2:$Z$500,0)),"")</f>
        <v/>
      </c>
    </row>
    <row r="332" ht="14.5" spans="1:23">
      <c r="A332" s="4" t="str">
        <f>IFERROR(INDEX(样本到样信息汇总统计!A$2:A$500,MATCH(331,样本到样信息汇总统计!$Z$2:$Z$500,0)),"")</f>
        <v/>
      </c>
      <c r="B332" s="4" t="str">
        <f>IFERROR(INDEX(样本到样信息汇总统计!B$2:B$500,MATCH(331,样本到样信息汇总统计!$Z$2:$Z$500,0)),"")</f>
        <v/>
      </c>
      <c r="C332" s="4" t="str">
        <f>IFERROR(INDEX(样本到样信息汇总统计!C$2:C$500,MATCH(331,样本到样信息汇总统计!$Z$2:$Z$500,0)),"")</f>
        <v/>
      </c>
      <c r="D332" s="4" t="str">
        <f>IFERROR(INDEX(样本到样信息汇总统计!D$2:D$500,MATCH(331,样本到样信息汇总统计!$Z$2:$Z$500,0)),"")</f>
        <v/>
      </c>
      <c r="E332" s="4" t="str">
        <f>IFERROR(INDEX(样本到样信息汇总统计!E$2:E$500,MATCH(331,样本到样信息汇总统计!$Z$2:$Z$500,0)),"")</f>
        <v/>
      </c>
      <c r="F332" s="4" t="str">
        <f>IFERROR(INDEX(样本到样信息汇总统计!F$2:F$500,MATCH(331,样本到样信息汇总统计!$Z$2:$Z$500,0)),"")</f>
        <v/>
      </c>
      <c r="G332" s="4" t="str">
        <f>IFERROR(INDEX(样本到样信息汇总统计!G$2:G$500,MATCH(331,样本到样信息汇总统计!$Z$2:$Z$500,0)),"")</f>
        <v/>
      </c>
      <c r="H332" s="4" t="str">
        <f>IFERROR(INDEX(样本到样信息汇总统计!H$2:H$500,MATCH(331,样本到样信息汇总统计!$Z$2:$Z$500,0)),"")</f>
        <v/>
      </c>
      <c r="I332" s="4" t="str">
        <f>IFERROR(INDEX(样本到样信息汇总统计!I$2:I$500,MATCH(331,样本到样信息汇总统计!$Z$2:$Z$500,0)),"")</f>
        <v/>
      </c>
      <c r="J332" s="4" t="str">
        <f>IFERROR(INDEX(样本到样信息汇总统计!J$2:J$500,MATCH(331,样本到样信息汇总统计!$Z$2:$Z$500,0)),"")</f>
        <v/>
      </c>
      <c r="K332" s="4" t="str">
        <f>IFERROR(INDEX(样本到样信息汇总统计!K$2:K$500,MATCH(331,样本到样信息汇总统计!$Z$2:$Z$500,0)),"")</f>
        <v/>
      </c>
      <c r="L332" s="4" t="str">
        <f>IFERROR(INDEX(样本到样信息汇总统计!L$2:L$500,MATCH(331,样本到样信息汇总统计!$Z$2:$Z$500,0)),"")</f>
        <v/>
      </c>
      <c r="M332" s="4" t="str">
        <f>IFERROR(INDEX(样本到样信息汇总统计!M$2:M$500,MATCH(331,样本到样信息汇总统计!$Z$2:$Z$500,0)),"")</f>
        <v/>
      </c>
      <c r="N332" s="4" t="str">
        <f>IFERROR(INDEX(样本到样信息汇总统计!N$2:N$500,MATCH(331,样本到样信息汇总统计!$Z$2:$Z$500,0)),"")</f>
        <v/>
      </c>
      <c r="O332" s="4" t="str">
        <f>IFERROR(INDEX(样本到样信息汇总统计!O$2:O$500,MATCH(331,样本到样信息汇总统计!$Z$2:$Z$500,0)),"")</f>
        <v/>
      </c>
      <c r="P332" s="4" t="str">
        <f>IFERROR(INDEX(样本到样信息汇总统计!P$2:P$500,MATCH(331,样本到样信息汇总统计!$Z$2:$Z$500,0)),"")</f>
        <v/>
      </c>
      <c r="Q332" s="4" t="str">
        <f>IFERROR(INDEX(样本到样信息汇总统计!Q$2:Q$500,MATCH(331,样本到样信息汇总统计!$Z$2:$Z$500,0)),"")</f>
        <v/>
      </c>
      <c r="R332" s="4" t="str">
        <f>IFERROR(INDEX(样本到样信息汇总统计!R$2:R$500,MATCH(331,样本到样信息汇总统计!$Z$2:$Z$500,0)),"")</f>
        <v/>
      </c>
      <c r="S332" s="4" t="str">
        <f>IFERROR(INDEX(样本到样信息汇总统计!S$2:S$500,MATCH(331,样本到样信息汇总统计!$Z$2:$Z$500,0)),"")</f>
        <v/>
      </c>
      <c r="T332" s="4" t="str">
        <f>IFERROR(INDEX(样本到样信息汇总统计!T$2:T$500,MATCH(331,样本到样信息汇总统计!$Z$2:$Z$500,0)),"")</f>
        <v/>
      </c>
      <c r="U332" s="4" t="str">
        <f>IFERROR(INDEX(样本到样信息汇总统计!U$2:U$500,MATCH(331,样本到样信息汇总统计!$Z$2:$Z$500,0)),"")</f>
        <v/>
      </c>
      <c r="V332" s="4" t="str">
        <f>IFERROR(INDEX(样本到样信息汇总统计!V$2:V$500,MATCH(331,样本到样信息汇总统计!$Z$2:$Z$500,0)),"")</f>
        <v/>
      </c>
      <c r="W332" s="4" t="str">
        <f>IFERROR(INDEX(样本到样信息汇总统计!W$2:W$500,MATCH(331,样本到样信息汇总统计!$Z$2:$Z$500,0)),"")</f>
        <v/>
      </c>
    </row>
    <row r="333" ht="14.5" spans="1:23">
      <c r="A333" s="8" t="str">
        <f>IFERROR(INDEX(样本到样信息汇总统计!A$2:A$500,MATCH(332,样本到样信息汇总统计!$Z$2:$Z$500,0)),"")</f>
        <v/>
      </c>
      <c r="B333" s="8" t="str">
        <f>IFERROR(INDEX(样本到样信息汇总统计!B$2:B$500,MATCH(332,样本到样信息汇总统计!$Z$2:$Z$500,0)),"")</f>
        <v/>
      </c>
      <c r="C333" s="8" t="str">
        <f>IFERROR(INDEX(样本到样信息汇总统计!C$2:C$500,MATCH(332,样本到样信息汇总统计!$Z$2:$Z$500,0)),"")</f>
        <v/>
      </c>
      <c r="D333" s="8" t="str">
        <f>IFERROR(INDEX(样本到样信息汇总统计!D$2:D$500,MATCH(332,样本到样信息汇总统计!$Z$2:$Z$500,0)),"")</f>
        <v/>
      </c>
      <c r="E333" s="8" t="str">
        <f>IFERROR(INDEX(样本到样信息汇总统计!E$2:E$500,MATCH(332,样本到样信息汇总统计!$Z$2:$Z$500,0)),"")</f>
        <v/>
      </c>
      <c r="F333" s="8" t="str">
        <f>IFERROR(INDEX(样本到样信息汇总统计!F$2:F$500,MATCH(332,样本到样信息汇总统计!$Z$2:$Z$500,0)),"")</f>
        <v/>
      </c>
      <c r="G333" s="8" t="str">
        <f>IFERROR(INDEX(样本到样信息汇总统计!G$2:G$500,MATCH(332,样本到样信息汇总统计!$Z$2:$Z$500,0)),"")</f>
        <v/>
      </c>
      <c r="H333" s="8" t="str">
        <f>IFERROR(INDEX(样本到样信息汇总统计!H$2:H$500,MATCH(332,样本到样信息汇总统计!$Z$2:$Z$500,0)),"")</f>
        <v/>
      </c>
      <c r="I333" s="8" t="str">
        <f>IFERROR(INDEX(样本到样信息汇总统计!I$2:I$500,MATCH(332,样本到样信息汇总统计!$Z$2:$Z$500,0)),"")</f>
        <v/>
      </c>
      <c r="J333" s="8" t="str">
        <f>IFERROR(INDEX(样本到样信息汇总统计!J$2:J$500,MATCH(332,样本到样信息汇总统计!$Z$2:$Z$500,0)),"")</f>
        <v/>
      </c>
      <c r="K333" s="8" t="str">
        <f>IFERROR(INDEX(样本到样信息汇总统计!K$2:K$500,MATCH(332,样本到样信息汇总统计!$Z$2:$Z$500,0)),"")</f>
        <v/>
      </c>
      <c r="L333" s="8" t="str">
        <f>IFERROR(INDEX(样本到样信息汇总统计!L$2:L$500,MATCH(332,样本到样信息汇总统计!$Z$2:$Z$500,0)),"")</f>
        <v/>
      </c>
      <c r="M333" s="8" t="str">
        <f>IFERROR(INDEX(样本到样信息汇总统计!M$2:M$500,MATCH(332,样本到样信息汇总统计!$Z$2:$Z$500,0)),"")</f>
        <v/>
      </c>
      <c r="N333" s="8" t="str">
        <f>IFERROR(INDEX(样本到样信息汇总统计!N$2:N$500,MATCH(332,样本到样信息汇总统计!$Z$2:$Z$500,0)),"")</f>
        <v/>
      </c>
      <c r="O333" s="8" t="str">
        <f>IFERROR(INDEX(样本到样信息汇总统计!O$2:O$500,MATCH(332,样本到样信息汇总统计!$Z$2:$Z$500,0)),"")</f>
        <v/>
      </c>
      <c r="P333" s="8" t="str">
        <f>IFERROR(INDEX(样本到样信息汇总统计!P$2:P$500,MATCH(332,样本到样信息汇总统计!$Z$2:$Z$500,0)),"")</f>
        <v/>
      </c>
      <c r="Q333" s="8" t="str">
        <f>IFERROR(INDEX(样本到样信息汇总统计!Q$2:Q$500,MATCH(332,样本到样信息汇总统计!$Z$2:$Z$500,0)),"")</f>
        <v/>
      </c>
      <c r="R333" s="8" t="str">
        <f>IFERROR(INDEX(样本到样信息汇总统计!R$2:R$500,MATCH(332,样本到样信息汇总统计!$Z$2:$Z$500,0)),"")</f>
        <v/>
      </c>
      <c r="S333" s="8" t="str">
        <f>IFERROR(INDEX(样本到样信息汇总统计!S$2:S$500,MATCH(332,样本到样信息汇总统计!$Z$2:$Z$500,0)),"")</f>
        <v/>
      </c>
      <c r="T333" s="8" t="str">
        <f>IFERROR(INDEX(样本到样信息汇总统计!T$2:T$500,MATCH(332,样本到样信息汇总统计!$Z$2:$Z$500,0)),"")</f>
        <v/>
      </c>
      <c r="U333" s="8" t="str">
        <f>IFERROR(INDEX(样本到样信息汇总统计!U$2:U$500,MATCH(332,样本到样信息汇总统计!$Z$2:$Z$500,0)),"")</f>
        <v/>
      </c>
      <c r="V333" s="8" t="str">
        <f>IFERROR(INDEX(样本到样信息汇总统计!V$2:V$500,MATCH(332,样本到样信息汇总统计!$Z$2:$Z$500,0)),"")</f>
        <v/>
      </c>
      <c r="W333" s="8" t="str">
        <f>IFERROR(INDEX(样本到样信息汇总统计!W$2:W$500,MATCH(332,样本到样信息汇总统计!$Z$2:$Z$500,0)),"")</f>
        <v/>
      </c>
    </row>
    <row r="334" ht="14.5" spans="1:23">
      <c r="A334" s="4" t="str">
        <f>IFERROR(INDEX(样本到样信息汇总统计!A$2:A$500,MATCH(333,样本到样信息汇总统计!$Z$2:$Z$500,0)),"")</f>
        <v/>
      </c>
      <c r="B334" s="4" t="str">
        <f>IFERROR(INDEX(样本到样信息汇总统计!B$2:B$500,MATCH(333,样本到样信息汇总统计!$Z$2:$Z$500,0)),"")</f>
        <v/>
      </c>
      <c r="C334" s="4" t="str">
        <f>IFERROR(INDEX(样本到样信息汇总统计!C$2:C$500,MATCH(333,样本到样信息汇总统计!$Z$2:$Z$500,0)),"")</f>
        <v/>
      </c>
      <c r="D334" s="4" t="str">
        <f>IFERROR(INDEX(样本到样信息汇总统计!D$2:D$500,MATCH(333,样本到样信息汇总统计!$Z$2:$Z$500,0)),"")</f>
        <v/>
      </c>
      <c r="E334" s="4" t="str">
        <f>IFERROR(INDEX(样本到样信息汇总统计!E$2:E$500,MATCH(333,样本到样信息汇总统计!$Z$2:$Z$500,0)),"")</f>
        <v/>
      </c>
      <c r="F334" s="4" t="str">
        <f>IFERROR(INDEX(样本到样信息汇总统计!F$2:F$500,MATCH(333,样本到样信息汇总统计!$Z$2:$Z$500,0)),"")</f>
        <v/>
      </c>
      <c r="G334" s="4" t="str">
        <f>IFERROR(INDEX(样本到样信息汇总统计!G$2:G$500,MATCH(333,样本到样信息汇总统计!$Z$2:$Z$500,0)),"")</f>
        <v/>
      </c>
      <c r="H334" s="4" t="str">
        <f>IFERROR(INDEX(样本到样信息汇总统计!H$2:H$500,MATCH(333,样本到样信息汇总统计!$Z$2:$Z$500,0)),"")</f>
        <v/>
      </c>
      <c r="I334" s="4" t="str">
        <f>IFERROR(INDEX(样本到样信息汇总统计!I$2:I$500,MATCH(333,样本到样信息汇总统计!$Z$2:$Z$500,0)),"")</f>
        <v/>
      </c>
      <c r="J334" s="4" t="str">
        <f>IFERROR(INDEX(样本到样信息汇总统计!J$2:J$500,MATCH(333,样本到样信息汇总统计!$Z$2:$Z$500,0)),"")</f>
        <v/>
      </c>
      <c r="K334" s="4" t="str">
        <f>IFERROR(INDEX(样本到样信息汇总统计!K$2:K$500,MATCH(333,样本到样信息汇总统计!$Z$2:$Z$500,0)),"")</f>
        <v/>
      </c>
      <c r="L334" s="4" t="str">
        <f>IFERROR(INDEX(样本到样信息汇总统计!L$2:L$500,MATCH(333,样本到样信息汇总统计!$Z$2:$Z$500,0)),"")</f>
        <v/>
      </c>
      <c r="M334" s="4" t="str">
        <f>IFERROR(INDEX(样本到样信息汇总统计!M$2:M$500,MATCH(333,样本到样信息汇总统计!$Z$2:$Z$500,0)),"")</f>
        <v/>
      </c>
      <c r="N334" s="4" t="str">
        <f>IFERROR(INDEX(样本到样信息汇总统计!N$2:N$500,MATCH(333,样本到样信息汇总统计!$Z$2:$Z$500,0)),"")</f>
        <v/>
      </c>
      <c r="O334" s="4" t="str">
        <f>IFERROR(INDEX(样本到样信息汇总统计!O$2:O$500,MATCH(333,样本到样信息汇总统计!$Z$2:$Z$500,0)),"")</f>
        <v/>
      </c>
      <c r="P334" s="4" t="str">
        <f>IFERROR(INDEX(样本到样信息汇总统计!P$2:P$500,MATCH(333,样本到样信息汇总统计!$Z$2:$Z$500,0)),"")</f>
        <v/>
      </c>
      <c r="Q334" s="4" t="str">
        <f>IFERROR(INDEX(样本到样信息汇总统计!Q$2:Q$500,MATCH(333,样本到样信息汇总统计!$Z$2:$Z$500,0)),"")</f>
        <v/>
      </c>
      <c r="R334" s="4" t="str">
        <f>IFERROR(INDEX(样本到样信息汇总统计!R$2:R$500,MATCH(333,样本到样信息汇总统计!$Z$2:$Z$500,0)),"")</f>
        <v/>
      </c>
      <c r="S334" s="4" t="str">
        <f>IFERROR(INDEX(样本到样信息汇总统计!S$2:S$500,MATCH(333,样本到样信息汇总统计!$Z$2:$Z$500,0)),"")</f>
        <v/>
      </c>
      <c r="T334" s="4" t="str">
        <f>IFERROR(INDEX(样本到样信息汇总统计!T$2:T$500,MATCH(333,样本到样信息汇总统计!$Z$2:$Z$500,0)),"")</f>
        <v/>
      </c>
      <c r="U334" s="4" t="str">
        <f>IFERROR(INDEX(样本到样信息汇总统计!U$2:U$500,MATCH(333,样本到样信息汇总统计!$Z$2:$Z$500,0)),"")</f>
        <v/>
      </c>
      <c r="V334" s="4" t="str">
        <f>IFERROR(INDEX(样本到样信息汇总统计!V$2:V$500,MATCH(333,样本到样信息汇总统计!$Z$2:$Z$500,0)),"")</f>
        <v/>
      </c>
      <c r="W334" s="4" t="str">
        <f>IFERROR(INDEX(样本到样信息汇总统计!W$2:W$500,MATCH(333,样本到样信息汇总统计!$Z$2:$Z$500,0)),"")</f>
        <v/>
      </c>
    </row>
    <row r="335" ht="14.5" spans="1:23">
      <c r="A335" s="8" t="str">
        <f>IFERROR(INDEX(样本到样信息汇总统计!A$2:A$500,MATCH(334,样本到样信息汇总统计!$Z$2:$Z$500,0)),"")</f>
        <v/>
      </c>
      <c r="B335" s="8" t="str">
        <f>IFERROR(INDEX(样本到样信息汇总统计!B$2:B$500,MATCH(334,样本到样信息汇总统计!$Z$2:$Z$500,0)),"")</f>
        <v/>
      </c>
      <c r="C335" s="8" t="str">
        <f>IFERROR(INDEX(样本到样信息汇总统计!C$2:C$500,MATCH(334,样本到样信息汇总统计!$Z$2:$Z$500,0)),"")</f>
        <v/>
      </c>
      <c r="D335" s="8" t="str">
        <f>IFERROR(INDEX(样本到样信息汇总统计!D$2:D$500,MATCH(334,样本到样信息汇总统计!$Z$2:$Z$500,0)),"")</f>
        <v/>
      </c>
      <c r="E335" s="8" t="str">
        <f>IFERROR(INDEX(样本到样信息汇总统计!E$2:E$500,MATCH(334,样本到样信息汇总统计!$Z$2:$Z$500,0)),"")</f>
        <v/>
      </c>
      <c r="F335" s="8" t="str">
        <f>IFERROR(INDEX(样本到样信息汇总统计!F$2:F$500,MATCH(334,样本到样信息汇总统计!$Z$2:$Z$500,0)),"")</f>
        <v/>
      </c>
      <c r="G335" s="8" t="str">
        <f>IFERROR(INDEX(样本到样信息汇总统计!G$2:G$500,MATCH(334,样本到样信息汇总统计!$Z$2:$Z$500,0)),"")</f>
        <v/>
      </c>
      <c r="H335" s="8" t="str">
        <f>IFERROR(INDEX(样本到样信息汇总统计!H$2:H$500,MATCH(334,样本到样信息汇总统计!$Z$2:$Z$500,0)),"")</f>
        <v/>
      </c>
      <c r="I335" s="8" t="str">
        <f>IFERROR(INDEX(样本到样信息汇总统计!I$2:I$500,MATCH(334,样本到样信息汇总统计!$Z$2:$Z$500,0)),"")</f>
        <v/>
      </c>
      <c r="J335" s="8" t="str">
        <f>IFERROR(INDEX(样本到样信息汇总统计!J$2:J$500,MATCH(334,样本到样信息汇总统计!$Z$2:$Z$500,0)),"")</f>
        <v/>
      </c>
      <c r="K335" s="8" t="str">
        <f>IFERROR(INDEX(样本到样信息汇总统计!K$2:K$500,MATCH(334,样本到样信息汇总统计!$Z$2:$Z$500,0)),"")</f>
        <v/>
      </c>
      <c r="L335" s="8" t="str">
        <f>IFERROR(INDEX(样本到样信息汇总统计!L$2:L$500,MATCH(334,样本到样信息汇总统计!$Z$2:$Z$500,0)),"")</f>
        <v/>
      </c>
      <c r="M335" s="8" t="str">
        <f>IFERROR(INDEX(样本到样信息汇总统计!M$2:M$500,MATCH(334,样本到样信息汇总统计!$Z$2:$Z$500,0)),"")</f>
        <v/>
      </c>
      <c r="N335" s="8" t="str">
        <f>IFERROR(INDEX(样本到样信息汇总统计!N$2:N$500,MATCH(334,样本到样信息汇总统计!$Z$2:$Z$500,0)),"")</f>
        <v/>
      </c>
      <c r="O335" s="8" t="str">
        <f>IFERROR(INDEX(样本到样信息汇总统计!O$2:O$500,MATCH(334,样本到样信息汇总统计!$Z$2:$Z$500,0)),"")</f>
        <v/>
      </c>
      <c r="P335" s="8" t="str">
        <f>IFERROR(INDEX(样本到样信息汇总统计!P$2:P$500,MATCH(334,样本到样信息汇总统计!$Z$2:$Z$500,0)),"")</f>
        <v/>
      </c>
      <c r="Q335" s="8" t="str">
        <f>IFERROR(INDEX(样本到样信息汇总统计!Q$2:Q$500,MATCH(334,样本到样信息汇总统计!$Z$2:$Z$500,0)),"")</f>
        <v/>
      </c>
      <c r="R335" s="8" t="str">
        <f>IFERROR(INDEX(样本到样信息汇总统计!R$2:R$500,MATCH(334,样本到样信息汇总统计!$Z$2:$Z$500,0)),"")</f>
        <v/>
      </c>
      <c r="S335" s="8" t="str">
        <f>IFERROR(INDEX(样本到样信息汇总统计!S$2:S$500,MATCH(334,样本到样信息汇总统计!$Z$2:$Z$500,0)),"")</f>
        <v/>
      </c>
      <c r="T335" s="8" t="str">
        <f>IFERROR(INDEX(样本到样信息汇总统计!T$2:T$500,MATCH(334,样本到样信息汇总统计!$Z$2:$Z$500,0)),"")</f>
        <v/>
      </c>
      <c r="U335" s="8" t="str">
        <f>IFERROR(INDEX(样本到样信息汇总统计!U$2:U$500,MATCH(334,样本到样信息汇总统计!$Z$2:$Z$500,0)),"")</f>
        <v/>
      </c>
      <c r="V335" s="8" t="str">
        <f>IFERROR(INDEX(样本到样信息汇总统计!V$2:V$500,MATCH(334,样本到样信息汇总统计!$Z$2:$Z$500,0)),"")</f>
        <v/>
      </c>
      <c r="W335" s="8" t="str">
        <f>IFERROR(INDEX(样本到样信息汇总统计!W$2:W$500,MATCH(334,样本到样信息汇总统计!$Z$2:$Z$500,0)),"")</f>
        <v/>
      </c>
    </row>
    <row r="336" ht="14.5" spans="1:23">
      <c r="A336" s="4" t="str">
        <f>IFERROR(INDEX(样本到样信息汇总统计!A$2:A$500,MATCH(335,样本到样信息汇总统计!$Z$2:$Z$500,0)),"")</f>
        <v/>
      </c>
      <c r="B336" s="4" t="str">
        <f>IFERROR(INDEX(样本到样信息汇总统计!B$2:B$500,MATCH(335,样本到样信息汇总统计!$Z$2:$Z$500,0)),"")</f>
        <v/>
      </c>
      <c r="C336" s="4" t="str">
        <f>IFERROR(INDEX(样本到样信息汇总统计!C$2:C$500,MATCH(335,样本到样信息汇总统计!$Z$2:$Z$500,0)),"")</f>
        <v/>
      </c>
      <c r="D336" s="4" t="str">
        <f>IFERROR(INDEX(样本到样信息汇总统计!D$2:D$500,MATCH(335,样本到样信息汇总统计!$Z$2:$Z$500,0)),"")</f>
        <v/>
      </c>
      <c r="E336" s="4" t="str">
        <f>IFERROR(INDEX(样本到样信息汇总统计!E$2:E$500,MATCH(335,样本到样信息汇总统计!$Z$2:$Z$500,0)),"")</f>
        <v/>
      </c>
      <c r="F336" s="4" t="str">
        <f>IFERROR(INDEX(样本到样信息汇总统计!F$2:F$500,MATCH(335,样本到样信息汇总统计!$Z$2:$Z$500,0)),"")</f>
        <v/>
      </c>
      <c r="G336" s="4" t="str">
        <f>IFERROR(INDEX(样本到样信息汇总统计!G$2:G$500,MATCH(335,样本到样信息汇总统计!$Z$2:$Z$500,0)),"")</f>
        <v/>
      </c>
      <c r="H336" s="4" t="str">
        <f>IFERROR(INDEX(样本到样信息汇总统计!H$2:H$500,MATCH(335,样本到样信息汇总统计!$Z$2:$Z$500,0)),"")</f>
        <v/>
      </c>
      <c r="I336" s="4" t="str">
        <f>IFERROR(INDEX(样本到样信息汇总统计!I$2:I$500,MATCH(335,样本到样信息汇总统计!$Z$2:$Z$500,0)),"")</f>
        <v/>
      </c>
      <c r="J336" s="4" t="str">
        <f>IFERROR(INDEX(样本到样信息汇总统计!J$2:J$500,MATCH(335,样本到样信息汇总统计!$Z$2:$Z$500,0)),"")</f>
        <v/>
      </c>
      <c r="K336" s="4" t="str">
        <f>IFERROR(INDEX(样本到样信息汇总统计!K$2:K$500,MATCH(335,样本到样信息汇总统计!$Z$2:$Z$500,0)),"")</f>
        <v/>
      </c>
      <c r="L336" s="4" t="str">
        <f>IFERROR(INDEX(样本到样信息汇总统计!L$2:L$500,MATCH(335,样本到样信息汇总统计!$Z$2:$Z$500,0)),"")</f>
        <v/>
      </c>
      <c r="M336" s="4" t="str">
        <f>IFERROR(INDEX(样本到样信息汇总统计!M$2:M$500,MATCH(335,样本到样信息汇总统计!$Z$2:$Z$500,0)),"")</f>
        <v/>
      </c>
      <c r="N336" s="4" t="str">
        <f>IFERROR(INDEX(样本到样信息汇总统计!N$2:N$500,MATCH(335,样本到样信息汇总统计!$Z$2:$Z$500,0)),"")</f>
        <v/>
      </c>
      <c r="O336" s="4" t="str">
        <f>IFERROR(INDEX(样本到样信息汇总统计!O$2:O$500,MATCH(335,样本到样信息汇总统计!$Z$2:$Z$500,0)),"")</f>
        <v/>
      </c>
      <c r="P336" s="4" t="str">
        <f>IFERROR(INDEX(样本到样信息汇总统计!P$2:P$500,MATCH(335,样本到样信息汇总统计!$Z$2:$Z$500,0)),"")</f>
        <v/>
      </c>
      <c r="Q336" s="4" t="str">
        <f>IFERROR(INDEX(样本到样信息汇总统计!Q$2:Q$500,MATCH(335,样本到样信息汇总统计!$Z$2:$Z$500,0)),"")</f>
        <v/>
      </c>
      <c r="R336" s="4" t="str">
        <f>IFERROR(INDEX(样本到样信息汇总统计!R$2:R$500,MATCH(335,样本到样信息汇总统计!$Z$2:$Z$500,0)),"")</f>
        <v/>
      </c>
      <c r="S336" s="4" t="str">
        <f>IFERROR(INDEX(样本到样信息汇总统计!S$2:S$500,MATCH(335,样本到样信息汇总统计!$Z$2:$Z$500,0)),"")</f>
        <v/>
      </c>
      <c r="T336" s="4" t="str">
        <f>IFERROR(INDEX(样本到样信息汇总统计!T$2:T$500,MATCH(335,样本到样信息汇总统计!$Z$2:$Z$500,0)),"")</f>
        <v/>
      </c>
      <c r="U336" s="4" t="str">
        <f>IFERROR(INDEX(样本到样信息汇总统计!U$2:U$500,MATCH(335,样本到样信息汇总统计!$Z$2:$Z$500,0)),"")</f>
        <v/>
      </c>
      <c r="V336" s="4" t="str">
        <f>IFERROR(INDEX(样本到样信息汇总统计!V$2:V$500,MATCH(335,样本到样信息汇总统计!$Z$2:$Z$500,0)),"")</f>
        <v/>
      </c>
      <c r="W336" s="4" t="str">
        <f>IFERROR(INDEX(样本到样信息汇总统计!W$2:W$500,MATCH(335,样本到样信息汇总统计!$Z$2:$Z$500,0)),"")</f>
        <v/>
      </c>
    </row>
    <row r="337" ht="14.5" spans="1:23">
      <c r="A337" s="8" t="str">
        <f>IFERROR(INDEX(样本到样信息汇总统计!A$2:A$500,MATCH(336,样本到样信息汇总统计!$Z$2:$Z$500,0)),"")</f>
        <v/>
      </c>
      <c r="B337" s="8" t="str">
        <f>IFERROR(INDEX(样本到样信息汇总统计!B$2:B$500,MATCH(336,样本到样信息汇总统计!$Z$2:$Z$500,0)),"")</f>
        <v/>
      </c>
      <c r="C337" s="8" t="str">
        <f>IFERROR(INDEX(样本到样信息汇总统计!C$2:C$500,MATCH(336,样本到样信息汇总统计!$Z$2:$Z$500,0)),"")</f>
        <v/>
      </c>
      <c r="D337" s="8" t="str">
        <f>IFERROR(INDEX(样本到样信息汇总统计!D$2:D$500,MATCH(336,样本到样信息汇总统计!$Z$2:$Z$500,0)),"")</f>
        <v/>
      </c>
      <c r="E337" s="8" t="str">
        <f>IFERROR(INDEX(样本到样信息汇总统计!E$2:E$500,MATCH(336,样本到样信息汇总统计!$Z$2:$Z$500,0)),"")</f>
        <v/>
      </c>
      <c r="F337" s="8" t="str">
        <f>IFERROR(INDEX(样本到样信息汇总统计!F$2:F$500,MATCH(336,样本到样信息汇总统计!$Z$2:$Z$500,0)),"")</f>
        <v/>
      </c>
      <c r="G337" s="8" t="str">
        <f>IFERROR(INDEX(样本到样信息汇总统计!G$2:G$500,MATCH(336,样本到样信息汇总统计!$Z$2:$Z$500,0)),"")</f>
        <v/>
      </c>
      <c r="H337" s="8" t="str">
        <f>IFERROR(INDEX(样本到样信息汇总统计!H$2:H$500,MATCH(336,样本到样信息汇总统计!$Z$2:$Z$500,0)),"")</f>
        <v/>
      </c>
      <c r="I337" s="8" t="str">
        <f>IFERROR(INDEX(样本到样信息汇总统计!I$2:I$500,MATCH(336,样本到样信息汇总统计!$Z$2:$Z$500,0)),"")</f>
        <v/>
      </c>
      <c r="J337" s="8" t="str">
        <f>IFERROR(INDEX(样本到样信息汇总统计!J$2:J$500,MATCH(336,样本到样信息汇总统计!$Z$2:$Z$500,0)),"")</f>
        <v/>
      </c>
      <c r="K337" s="8" t="str">
        <f>IFERROR(INDEX(样本到样信息汇总统计!K$2:K$500,MATCH(336,样本到样信息汇总统计!$Z$2:$Z$500,0)),"")</f>
        <v/>
      </c>
      <c r="L337" s="8" t="str">
        <f>IFERROR(INDEX(样本到样信息汇总统计!L$2:L$500,MATCH(336,样本到样信息汇总统计!$Z$2:$Z$500,0)),"")</f>
        <v/>
      </c>
      <c r="M337" s="8" t="str">
        <f>IFERROR(INDEX(样本到样信息汇总统计!M$2:M$500,MATCH(336,样本到样信息汇总统计!$Z$2:$Z$500,0)),"")</f>
        <v/>
      </c>
      <c r="N337" s="8" t="str">
        <f>IFERROR(INDEX(样本到样信息汇总统计!N$2:N$500,MATCH(336,样本到样信息汇总统计!$Z$2:$Z$500,0)),"")</f>
        <v/>
      </c>
      <c r="O337" s="8" t="str">
        <f>IFERROR(INDEX(样本到样信息汇总统计!O$2:O$500,MATCH(336,样本到样信息汇总统计!$Z$2:$Z$500,0)),"")</f>
        <v/>
      </c>
      <c r="P337" s="8" t="str">
        <f>IFERROR(INDEX(样本到样信息汇总统计!P$2:P$500,MATCH(336,样本到样信息汇总统计!$Z$2:$Z$500,0)),"")</f>
        <v/>
      </c>
      <c r="Q337" s="8" t="str">
        <f>IFERROR(INDEX(样本到样信息汇总统计!Q$2:Q$500,MATCH(336,样本到样信息汇总统计!$Z$2:$Z$500,0)),"")</f>
        <v/>
      </c>
      <c r="R337" s="8" t="str">
        <f>IFERROR(INDEX(样本到样信息汇总统计!R$2:R$500,MATCH(336,样本到样信息汇总统计!$Z$2:$Z$500,0)),"")</f>
        <v/>
      </c>
      <c r="S337" s="8" t="str">
        <f>IFERROR(INDEX(样本到样信息汇总统计!S$2:S$500,MATCH(336,样本到样信息汇总统计!$Z$2:$Z$500,0)),"")</f>
        <v/>
      </c>
      <c r="T337" s="8" t="str">
        <f>IFERROR(INDEX(样本到样信息汇总统计!T$2:T$500,MATCH(336,样本到样信息汇总统计!$Z$2:$Z$500,0)),"")</f>
        <v/>
      </c>
      <c r="U337" s="8" t="str">
        <f>IFERROR(INDEX(样本到样信息汇总统计!U$2:U$500,MATCH(336,样本到样信息汇总统计!$Z$2:$Z$500,0)),"")</f>
        <v/>
      </c>
      <c r="V337" s="8" t="str">
        <f>IFERROR(INDEX(样本到样信息汇总统计!V$2:V$500,MATCH(336,样本到样信息汇总统计!$Z$2:$Z$500,0)),"")</f>
        <v/>
      </c>
      <c r="W337" s="8" t="str">
        <f>IFERROR(INDEX(样本到样信息汇总统计!W$2:W$500,MATCH(336,样本到样信息汇总统计!$Z$2:$Z$500,0)),"")</f>
        <v/>
      </c>
    </row>
    <row r="338" ht="14.5" spans="1:23">
      <c r="A338" s="4" t="str">
        <f>IFERROR(INDEX(样本到样信息汇总统计!A$2:A$500,MATCH(337,样本到样信息汇总统计!$Z$2:$Z$500,0)),"")</f>
        <v/>
      </c>
      <c r="B338" s="4" t="str">
        <f>IFERROR(INDEX(样本到样信息汇总统计!B$2:B$500,MATCH(337,样本到样信息汇总统计!$Z$2:$Z$500,0)),"")</f>
        <v/>
      </c>
      <c r="C338" s="4" t="str">
        <f>IFERROR(INDEX(样本到样信息汇总统计!C$2:C$500,MATCH(337,样本到样信息汇总统计!$Z$2:$Z$500,0)),"")</f>
        <v/>
      </c>
      <c r="D338" s="4" t="str">
        <f>IFERROR(INDEX(样本到样信息汇总统计!D$2:D$500,MATCH(337,样本到样信息汇总统计!$Z$2:$Z$500,0)),"")</f>
        <v/>
      </c>
      <c r="E338" s="4" t="str">
        <f>IFERROR(INDEX(样本到样信息汇总统计!E$2:E$500,MATCH(337,样本到样信息汇总统计!$Z$2:$Z$500,0)),"")</f>
        <v/>
      </c>
      <c r="F338" s="4" t="str">
        <f>IFERROR(INDEX(样本到样信息汇总统计!F$2:F$500,MATCH(337,样本到样信息汇总统计!$Z$2:$Z$500,0)),"")</f>
        <v/>
      </c>
      <c r="G338" s="4" t="str">
        <f>IFERROR(INDEX(样本到样信息汇总统计!G$2:G$500,MATCH(337,样本到样信息汇总统计!$Z$2:$Z$500,0)),"")</f>
        <v/>
      </c>
      <c r="H338" s="4" t="str">
        <f>IFERROR(INDEX(样本到样信息汇总统计!H$2:H$500,MATCH(337,样本到样信息汇总统计!$Z$2:$Z$500,0)),"")</f>
        <v/>
      </c>
      <c r="I338" s="4" t="str">
        <f>IFERROR(INDEX(样本到样信息汇总统计!I$2:I$500,MATCH(337,样本到样信息汇总统计!$Z$2:$Z$500,0)),"")</f>
        <v/>
      </c>
      <c r="J338" s="4" t="str">
        <f>IFERROR(INDEX(样本到样信息汇总统计!J$2:J$500,MATCH(337,样本到样信息汇总统计!$Z$2:$Z$500,0)),"")</f>
        <v/>
      </c>
      <c r="K338" s="4" t="str">
        <f>IFERROR(INDEX(样本到样信息汇总统计!K$2:K$500,MATCH(337,样本到样信息汇总统计!$Z$2:$Z$500,0)),"")</f>
        <v/>
      </c>
      <c r="L338" s="4" t="str">
        <f>IFERROR(INDEX(样本到样信息汇总统计!L$2:L$500,MATCH(337,样本到样信息汇总统计!$Z$2:$Z$500,0)),"")</f>
        <v/>
      </c>
      <c r="M338" s="4" t="str">
        <f>IFERROR(INDEX(样本到样信息汇总统计!M$2:M$500,MATCH(337,样本到样信息汇总统计!$Z$2:$Z$500,0)),"")</f>
        <v/>
      </c>
      <c r="N338" s="4" t="str">
        <f>IFERROR(INDEX(样本到样信息汇总统计!N$2:N$500,MATCH(337,样本到样信息汇总统计!$Z$2:$Z$500,0)),"")</f>
        <v/>
      </c>
      <c r="O338" s="4" t="str">
        <f>IFERROR(INDEX(样本到样信息汇总统计!O$2:O$500,MATCH(337,样本到样信息汇总统计!$Z$2:$Z$500,0)),"")</f>
        <v/>
      </c>
      <c r="P338" s="4" t="str">
        <f>IFERROR(INDEX(样本到样信息汇总统计!P$2:P$500,MATCH(337,样本到样信息汇总统计!$Z$2:$Z$500,0)),"")</f>
        <v/>
      </c>
      <c r="Q338" s="4" t="str">
        <f>IFERROR(INDEX(样本到样信息汇总统计!Q$2:Q$500,MATCH(337,样本到样信息汇总统计!$Z$2:$Z$500,0)),"")</f>
        <v/>
      </c>
      <c r="R338" s="4" t="str">
        <f>IFERROR(INDEX(样本到样信息汇总统计!R$2:R$500,MATCH(337,样本到样信息汇总统计!$Z$2:$Z$500,0)),"")</f>
        <v/>
      </c>
      <c r="S338" s="4" t="str">
        <f>IFERROR(INDEX(样本到样信息汇总统计!S$2:S$500,MATCH(337,样本到样信息汇总统计!$Z$2:$Z$500,0)),"")</f>
        <v/>
      </c>
      <c r="T338" s="4" t="str">
        <f>IFERROR(INDEX(样本到样信息汇总统计!T$2:T$500,MATCH(337,样本到样信息汇总统计!$Z$2:$Z$500,0)),"")</f>
        <v/>
      </c>
      <c r="U338" s="4" t="str">
        <f>IFERROR(INDEX(样本到样信息汇总统计!U$2:U$500,MATCH(337,样本到样信息汇总统计!$Z$2:$Z$500,0)),"")</f>
        <v/>
      </c>
      <c r="V338" s="4" t="str">
        <f>IFERROR(INDEX(样本到样信息汇总统计!V$2:V$500,MATCH(337,样本到样信息汇总统计!$Z$2:$Z$500,0)),"")</f>
        <v/>
      </c>
      <c r="W338" s="4" t="str">
        <f>IFERROR(INDEX(样本到样信息汇总统计!W$2:W$500,MATCH(337,样本到样信息汇总统计!$Z$2:$Z$500,0)),"")</f>
        <v/>
      </c>
    </row>
    <row r="339" ht="14.5" spans="1:23">
      <c r="A339" s="8" t="str">
        <f>IFERROR(INDEX(样本到样信息汇总统计!A$2:A$500,MATCH(338,样本到样信息汇总统计!$Z$2:$Z$500,0)),"")</f>
        <v/>
      </c>
      <c r="B339" s="8" t="str">
        <f>IFERROR(INDEX(样本到样信息汇总统计!B$2:B$500,MATCH(338,样本到样信息汇总统计!$Z$2:$Z$500,0)),"")</f>
        <v/>
      </c>
      <c r="C339" s="8" t="str">
        <f>IFERROR(INDEX(样本到样信息汇总统计!C$2:C$500,MATCH(338,样本到样信息汇总统计!$Z$2:$Z$500,0)),"")</f>
        <v/>
      </c>
      <c r="D339" s="8" t="str">
        <f>IFERROR(INDEX(样本到样信息汇总统计!D$2:D$500,MATCH(338,样本到样信息汇总统计!$Z$2:$Z$500,0)),"")</f>
        <v/>
      </c>
      <c r="E339" s="8" t="str">
        <f>IFERROR(INDEX(样本到样信息汇总统计!E$2:E$500,MATCH(338,样本到样信息汇总统计!$Z$2:$Z$500,0)),"")</f>
        <v/>
      </c>
      <c r="F339" s="8" t="str">
        <f>IFERROR(INDEX(样本到样信息汇总统计!F$2:F$500,MATCH(338,样本到样信息汇总统计!$Z$2:$Z$500,0)),"")</f>
        <v/>
      </c>
      <c r="G339" s="8" t="str">
        <f>IFERROR(INDEX(样本到样信息汇总统计!G$2:G$500,MATCH(338,样本到样信息汇总统计!$Z$2:$Z$500,0)),"")</f>
        <v/>
      </c>
      <c r="H339" s="8" t="str">
        <f>IFERROR(INDEX(样本到样信息汇总统计!H$2:H$500,MATCH(338,样本到样信息汇总统计!$Z$2:$Z$500,0)),"")</f>
        <v/>
      </c>
      <c r="I339" s="8" t="str">
        <f>IFERROR(INDEX(样本到样信息汇总统计!I$2:I$500,MATCH(338,样本到样信息汇总统计!$Z$2:$Z$500,0)),"")</f>
        <v/>
      </c>
      <c r="J339" s="8" t="str">
        <f>IFERROR(INDEX(样本到样信息汇总统计!J$2:J$500,MATCH(338,样本到样信息汇总统计!$Z$2:$Z$500,0)),"")</f>
        <v/>
      </c>
      <c r="K339" s="8" t="str">
        <f>IFERROR(INDEX(样本到样信息汇总统计!K$2:K$500,MATCH(338,样本到样信息汇总统计!$Z$2:$Z$500,0)),"")</f>
        <v/>
      </c>
      <c r="L339" s="8" t="str">
        <f>IFERROR(INDEX(样本到样信息汇总统计!L$2:L$500,MATCH(338,样本到样信息汇总统计!$Z$2:$Z$500,0)),"")</f>
        <v/>
      </c>
      <c r="M339" s="8" t="str">
        <f>IFERROR(INDEX(样本到样信息汇总统计!M$2:M$500,MATCH(338,样本到样信息汇总统计!$Z$2:$Z$500,0)),"")</f>
        <v/>
      </c>
      <c r="N339" s="8" t="str">
        <f>IFERROR(INDEX(样本到样信息汇总统计!N$2:N$500,MATCH(338,样本到样信息汇总统计!$Z$2:$Z$500,0)),"")</f>
        <v/>
      </c>
      <c r="O339" s="8" t="str">
        <f>IFERROR(INDEX(样本到样信息汇总统计!O$2:O$500,MATCH(338,样本到样信息汇总统计!$Z$2:$Z$500,0)),"")</f>
        <v/>
      </c>
      <c r="P339" s="8" t="str">
        <f>IFERROR(INDEX(样本到样信息汇总统计!P$2:P$500,MATCH(338,样本到样信息汇总统计!$Z$2:$Z$500,0)),"")</f>
        <v/>
      </c>
      <c r="Q339" s="8" t="str">
        <f>IFERROR(INDEX(样本到样信息汇总统计!Q$2:Q$500,MATCH(338,样本到样信息汇总统计!$Z$2:$Z$500,0)),"")</f>
        <v/>
      </c>
      <c r="R339" s="8" t="str">
        <f>IFERROR(INDEX(样本到样信息汇总统计!R$2:R$500,MATCH(338,样本到样信息汇总统计!$Z$2:$Z$500,0)),"")</f>
        <v/>
      </c>
      <c r="S339" s="8" t="str">
        <f>IFERROR(INDEX(样本到样信息汇总统计!S$2:S$500,MATCH(338,样本到样信息汇总统计!$Z$2:$Z$500,0)),"")</f>
        <v/>
      </c>
      <c r="T339" s="8" t="str">
        <f>IFERROR(INDEX(样本到样信息汇总统计!T$2:T$500,MATCH(338,样本到样信息汇总统计!$Z$2:$Z$500,0)),"")</f>
        <v/>
      </c>
      <c r="U339" s="8" t="str">
        <f>IFERROR(INDEX(样本到样信息汇总统计!U$2:U$500,MATCH(338,样本到样信息汇总统计!$Z$2:$Z$500,0)),"")</f>
        <v/>
      </c>
      <c r="V339" s="8" t="str">
        <f>IFERROR(INDEX(样本到样信息汇总统计!V$2:V$500,MATCH(338,样本到样信息汇总统计!$Z$2:$Z$500,0)),"")</f>
        <v/>
      </c>
      <c r="W339" s="8" t="str">
        <f>IFERROR(INDEX(样本到样信息汇总统计!W$2:W$500,MATCH(338,样本到样信息汇总统计!$Z$2:$Z$500,0)),"")</f>
        <v/>
      </c>
    </row>
    <row r="340" ht="14.5" spans="1:23">
      <c r="A340" s="4" t="str">
        <f>IFERROR(INDEX(样本到样信息汇总统计!A$2:A$500,MATCH(339,样本到样信息汇总统计!$Z$2:$Z$500,0)),"")</f>
        <v/>
      </c>
      <c r="B340" s="4" t="str">
        <f>IFERROR(INDEX(样本到样信息汇总统计!B$2:B$500,MATCH(339,样本到样信息汇总统计!$Z$2:$Z$500,0)),"")</f>
        <v/>
      </c>
      <c r="C340" s="4" t="str">
        <f>IFERROR(INDEX(样本到样信息汇总统计!C$2:C$500,MATCH(339,样本到样信息汇总统计!$Z$2:$Z$500,0)),"")</f>
        <v/>
      </c>
      <c r="D340" s="4" t="str">
        <f>IFERROR(INDEX(样本到样信息汇总统计!D$2:D$500,MATCH(339,样本到样信息汇总统计!$Z$2:$Z$500,0)),"")</f>
        <v/>
      </c>
      <c r="E340" s="4" t="str">
        <f>IFERROR(INDEX(样本到样信息汇总统计!E$2:E$500,MATCH(339,样本到样信息汇总统计!$Z$2:$Z$500,0)),"")</f>
        <v/>
      </c>
      <c r="F340" s="4" t="str">
        <f>IFERROR(INDEX(样本到样信息汇总统计!F$2:F$500,MATCH(339,样本到样信息汇总统计!$Z$2:$Z$500,0)),"")</f>
        <v/>
      </c>
      <c r="G340" s="4" t="str">
        <f>IFERROR(INDEX(样本到样信息汇总统计!G$2:G$500,MATCH(339,样本到样信息汇总统计!$Z$2:$Z$500,0)),"")</f>
        <v/>
      </c>
      <c r="H340" s="4" t="str">
        <f>IFERROR(INDEX(样本到样信息汇总统计!H$2:H$500,MATCH(339,样本到样信息汇总统计!$Z$2:$Z$500,0)),"")</f>
        <v/>
      </c>
      <c r="I340" s="4" t="str">
        <f>IFERROR(INDEX(样本到样信息汇总统计!I$2:I$500,MATCH(339,样本到样信息汇总统计!$Z$2:$Z$500,0)),"")</f>
        <v/>
      </c>
      <c r="J340" s="4" t="str">
        <f>IFERROR(INDEX(样本到样信息汇总统计!J$2:J$500,MATCH(339,样本到样信息汇总统计!$Z$2:$Z$500,0)),"")</f>
        <v/>
      </c>
      <c r="K340" s="4" t="str">
        <f>IFERROR(INDEX(样本到样信息汇总统计!K$2:K$500,MATCH(339,样本到样信息汇总统计!$Z$2:$Z$500,0)),"")</f>
        <v/>
      </c>
      <c r="L340" s="4" t="str">
        <f>IFERROR(INDEX(样本到样信息汇总统计!L$2:L$500,MATCH(339,样本到样信息汇总统计!$Z$2:$Z$500,0)),"")</f>
        <v/>
      </c>
      <c r="M340" s="4" t="str">
        <f>IFERROR(INDEX(样本到样信息汇总统计!M$2:M$500,MATCH(339,样本到样信息汇总统计!$Z$2:$Z$500,0)),"")</f>
        <v/>
      </c>
      <c r="N340" s="4" t="str">
        <f>IFERROR(INDEX(样本到样信息汇总统计!N$2:N$500,MATCH(339,样本到样信息汇总统计!$Z$2:$Z$500,0)),"")</f>
        <v/>
      </c>
      <c r="O340" s="4" t="str">
        <f>IFERROR(INDEX(样本到样信息汇总统计!O$2:O$500,MATCH(339,样本到样信息汇总统计!$Z$2:$Z$500,0)),"")</f>
        <v/>
      </c>
      <c r="P340" s="4" t="str">
        <f>IFERROR(INDEX(样本到样信息汇总统计!P$2:P$500,MATCH(339,样本到样信息汇总统计!$Z$2:$Z$500,0)),"")</f>
        <v/>
      </c>
      <c r="Q340" s="4" t="str">
        <f>IFERROR(INDEX(样本到样信息汇总统计!Q$2:Q$500,MATCH(339,样本到样信息汇总统计!$Z$2:$Z$500,0)),"")</f>
        <v/>
      </c>
      <c r="R340" s="4" t="str">
        <f>IFERROR(INDEX(样本到样信息汇总统计!R$2:R$500,MATCH(339,样本到样信息汇总统计!$Z$2:$Z$500,0)),"")</f>
        <v/>
      </c>
      <c r="S340" s="4" t="str">
        <f>IFERROR(INDEX(样本到样信息汇总统计!S$2:S$500,MATCH(339,样本到样信息汇总统计!$Z$2:$Z$500,0)),"")</f>
        <v/>
      </c>
      <c r="T340" s="4" t="str">
        <f>IFERROR(INDEX(样本到样信息汇总统计!T$2:T$500,MATCH(339,样本到样信息汇总统计!$Z$2:$Z$500,0)),"")</f>
        <v/>
      </c>
      <c r="U340" s="4" t="str">
        <f>IFERROR(INDEX(样本到样信息汇总统计!U$2:U$500,MATCH(339,样本到样信息汇总统计!$Z$2:$Z$500,0)),"")</f>
        <v/>
      </c>
      <c r="V340" s="4" t="str">
        <f>IFERROR(INDEX(样本到样信息汇总统计!V$2:V$500,MATCH(339,样本到样信息汇总统计!$Z$2:$Z$500,0)),"")</f>
        <v/>
      </c>
      <c r="W340" s="4" t="str">
        <f>IFERROR(INDEX(样本到样信息汇总统计!W$2:W$500,MATCH(339,样本到样信息汇总统计!$Z$2:$Z$500,0)),"")</f>
        <v/>
      </c>
    </row>
    <row r="341" ht="14.5" spans="1:23">
      <c r="A341" s="8" t="str">
        <f>IFERROR(INDEX(样本到样信息汇总统计!A$2:A$500,MATCH(340,样本到样信息汇总统计!$Z$2:$Z$500,0)),"")</f>
        <v/>
      </c>
      <c r="B341" s="8" t="str">
        <f>IFERROR(INDEX(样本到样信息汇总统计!B$2:B$500,MATCH(340,样本到样信息汇总统计!$Z$2:$Z$500,0)),"")</f>
        <v/>
      </c>
      <c r="C341" s="8" t="str">
        <f>IFERROR(INDEX(样本到样信息汇总统计!C$2:C$500,MATCH(340,样本到样信息汇总统计!$Z$2:$Z$500,0)),"")</f>
        <v/>
      </c>
      <c r="D341" s="8" t="str">
        <f>IFERROR(INDEX(样本到样信息汇总统计!D$2:D$500,MATCH(340,样本到样信息汇总统计!$Z$2:$Z$500,0)),"")</f>
        <v/>
      </c>
      <c r="E341" s="8" t="str">
        <f>IFERROR(INDEX(样本到样信息汇总统计!E$2:E$500,MATCH(340,样本到样信息汇总统计!$Z$2:$Z$500,0)),"")</f>
        <v/>
      </c>
      <c r="F341" s="8" t="str">
        <f>IFERROR(INDEX(样本到样信息汇总统计!F$2:F$500,MATCH(340,样本到样信息汇总统计!$Z$2:$Z$500,0)),"")</f>
        <v/>
      </c>
      <c r="G341" s="8" t="str">
        <f>IFERROR(INDEX(样本到样信息汇总统计!G$2:G$500,MATCH(340,样本到样信息汇总统计!$Z$2:$Z$500,0)),"")</f>
        <v/>
      </c>
      <c r="H341" s="8" t="str">
        <f>IFERROR(INDEX(样本到样信息汇总统计!H$2:H$500,MATCH(340,样本到样信息汇总统计!$Z$2:$Z$500,0)),"")</f>
        <v/>
      </c>
      <c r="I341" s="8" t="str">
        <f>IFERROR(INDEX(样本到样信息汇总统计!I$2:I$500,MATCH(340,样本到样信息汇总统计!$Z$2:$Z$500,0)),"")</f>
        <v/>
      </c>
      <c r="J341" s="8" t="str">
        <f>IFERROR(INDEX(样本到样信息汇总统计!J$2:J$500,MATCH(340,样本到样信息汇总统计!$Z$2:$Z$500,0)),"")</f>
        <v/>
      </c>
      <c r="K341" s="8" t="str">
        <f>IFERROR(INDEX(样本到样信息汇总统计!K$2:K$500,MATCH(340,样本到样信息汇总统计!$Z$2:$Z$500,0)),"")</f>
        <v/>
      </c>
      <c r="L341" s="8" t="str">
        <f>IFERROR(INDEX(样本到样信息汇总统计!L$2:L$500,MATCH(340,样本到样信息汇总统计!$Z$2:$Z$500,0)),"")</f>
        <v/>
      </c>
      <c r="M341" s="8" t="str">
        <f>IFERROR(INDEX(样本到样信息汇总统计!M$2:M$500,MATCH(340,样本到样信息汇总统计!$Z$2:$Z$500,0)),"")</f>
        <v/>
      </c>
      <c r="N341" s="8" t="str">
        <f>IFERROR(INDEX(样本到样信息汇总统计!N$2:N$500,MATCH(340,样本到样信息汇总统计!$Z$2:$Z$500,0)),"")</f>
        <v/>
      </c>
      <c r="O341" s="8" t="str">
        <f>IFERROR(INDEX(样本到样信息汇总统计!O$2:O$500,MATCH(340,样本到样信息汇总统计!$Z$2:$Z$500,0)),"")</f>
        <v/>
      </c>
      <c r="P341" s="8" t="str">
        <f>IFERROR(INDEX(样本到样信息汇总统计!P$2:P$500,MATCH(340,样本到样信息汇总统计!$Z$2:$Z$500,0)),"")</f>
        <v/>
      </c>
      <c r="Q341" s="8" t="str">
        <f>IFERROR(INDEX(样本到样信息汇总统计!Q$2:Q$500,MATCH(340,样本到样信息汇总统计!$Z$2:$Z$500,0)),"")</f>
        <v/>
      </c>
      <c r="R341" s="8" t="str">
        <f>IFERROR(INDEX(样本到样信息汇总统计!R$2:R$500,MATCH(340,样本到样信息汇总统计!$Z$2:$Z$500,0)),"")</f>
        <v/>
      </c>
      <c r="S341" s="8" t="str">
        <f>IFERROR(INDEX(样本到样信息汇总统计!S$2:S$500,MATCH(340,样本到样信息汇总统计!$Z$2:$Z$500,0)),"")</f>
        <v/>
      </c>
      <c r="T341" s="8" t="str">
        <f>IFERROR(INDEX(样本到样信息汇总统计!T$2:T$500,MATCH(340,样本到样信息汇总统计!$Z$2:$Z$500,0)),"")</f>
        <v/>
      </c>
      <c r="U341" s="8" t="str">
        <f>IFERROR(INDEX(样本到样信息汇总统计!U$2:U$500,MATCH(340,样本到样信息汇总统计!$Z$2:$Z$500,0)),"")</f>
        <v/>
      </c>
      <c r="V341" s="8" t="str">
        <f>IFERROR(INDEX(样本到样信息汇总统计!V$2:V$500,MATCH(340,样本到样信息汇总统计!$Z$2:$Z$500,0)),"")</f>
        <v/>
      </c>
      <c r="W341" s="8" t="str">
        <f>IFERROR(INDEX(样本到样信息汇总统计!W$2:W$500,MATCH(340,样本到样信息汇总统计!$Z$2:$Z$500,0)),"")</f>
        <v/>
      </c>
    </row>
    <row r="342" ht="14.5" spans="1:23">
      <c r="A342" s="4" t="str">
        <f>IFERROR(INDEX(样本到样信息汇总统计!A$2:A$500,MATCH(341,样本到样信息汇总统计!$Z$2:$Z$500,0)),"")</f>
        <v/>
      </c>
      <c r="B342" s="4" t="str">
        <f>IFERROR(INDEX(样本到样信息汇总统计!B$2:B$500,MATCH(341,样本到样信息汇总统计!$Z$2:$Z$500,0)),"")</f>
        <v/>
      </c>
      <c r="C342" s="4" t="str">
        <f>IFERROR(INDEX(样本到样信息汇总统计!C$2:C$500,MATCH(341,样本到样信息汇总统计!$Z$2:$Z$500,0)),"")</f>
        <v/>
      </c>
      <c r="D342" s="4" t="str">
        <f>IFERROR(INDEX(样本到样信息汇总统计!D$2:D$500,MATCH(341,样本到样信息汇总统计!$Z$2:$Z$500,0)),"")</f>
        <v/>
      </c>
      <c r="E342" s="4" t="str">
        <f>IFERROR(INDEX(样本到样信息汇总统计!E$2:E$500,MATCH(341,样本到样信息汇总统计!$Z$2:$Z$500,0)),"")</f>
        <v/>
      </c>
      <c r="F342" s="4" t="str">
        <f>IFERROR(INDEX(样本到样信息汇总统计!F$2:F$500,MATCH(341,样本到样信息汇总统计!$Z$2:$Z$500,0)),"")</f>
        <v/>
      </c>
      <c r="G342" s="4" t="str">
        <f>IFERROR(INDEX(样本到样信息汇总统计!G$2:G$500,MATCH(341,样本到样信息汇总统计!$Z$2:$Z$500,0)),"")</f>
        <v/>
      </c>
      <c r="H342" s="4" t="str">
        <f>IFERROR(INDEX(样本到样信息汇总统计!H$2:H$500,MATCH(341,样本到样信息汇总统计!$Z$2:$Z$500,0)),"")</f>
        <v/>
      </c>
      <c r="I342" s="4" t="str">
        <f>IFERROR(INDEX(样本到样信息汇总统计!I$2:I$500,MATCH(341,样本到样信息汇总统计!$Z$2:$Z$500,0)),"")</f>
        <v/>
      </c>
      <c r="J342" s="4" t="str">
        <f>IFERROR(INDEX(样本到样信息汇总统计!J$2:J$500,MATCH(341,样本到样信息汇总统计!$Z$2:$Z$500,0)),"")</f>
        <v/>
      </c>
      <c r="K342" s="4" t="str">
        <f>IFERROR(INDEX(样本到样信息汇总统计!K$2:K$500,MATCH(341,样本到样信息汇总统计!$Z$2:$Z$500,0)),"")</f>
        <v/>
      </c>
      <c r="L342" s="4" t="str">
        <f>IFERROR(INDEX(样本到样信息汇总统计!L$2:L$500,MATCH(341,样本到样信息汇总统计!$Z$2:$Z$500,0)),"")</f>
        <v/>
      </c>
      <c r="M342" s="4" t="str">
        <f>IFERROR(INDEX(样本到样信息汇总统计!M$2:M$500,MATCH(341,样本到样信息汇总统计!$Z$2:$Z$500,0)),"")</f>
        <v/>
      </c>
      <c r="N342" s="4" t="str">
        <f>IFERROR(INDEX(样本到样信息汇总统计!N$2:N$500,MATCH(341,样本到样信息汇总统计!$Z$2:$Z$500,0)),"")</f>
        <v/>
      </c>
      <c r="O342" s="4" t="str">
        <f>IFERROR(INDEX(样本到样信息汇总统计!O$2:O$500,MATCH(341,样本到样信息汇总统计!$Z$2:$Z$500,0)),"")</f>
        <v/>
      </c>
      <c r="P342" s="4" t="str">
        <f>IFERROR(INDEX(样本到样信息汇总统计!P$2:P$500,MATCH(341,样本到样信息汇总统计!$Z$2:$Z$500,0)),"")</f>
        <v/>
      </c>
      <c r="Q342" s="4" t="str">
        <f>IFERROR(INDEX(样本到样信息汇总统计!Q$2:Q$500,MATCH(341,样本到样信息汇总统计!$Z$2:$Z$500,0)),"")</f>
        <v/>
      </c>
      <c r="R342" s="4" t="str">
        <f>IFERROR(INDEX(样本到样信息汇总统计!R$2:R$500,MATCH(341,样本到样信息汇总统计!$Z$2:$Z$500,0)),"")</f>
        <v/>
      </c>
      <c r="S342" s="4" t="str">
        <f>IFERROR(INDEX(样本到样信息汇总统计!S$2:S$500,MATCH(341,样本到样信息汇总统计!$Z$2:$Z$500,0)),"")</f>
        <v/>
      </c>
      <c r="T342" s="4" t="str">
        <f>IFERROR(INDEX(样本到样信息汇总统计!T$2:T$500,MATCH(341,样本到样信息汇总统计!$Z$2:$Z$500,0)),"")</f>
        <v/>
      </c>
      <c r="U342" s="4" t="str">
        <f>IFERROR(INDEX(样本到样信息汇总统计!U$2:U$500,MATCH(341,样本到样信息汇总统计!$Z$2:$Z$500,0)),"")</f>
        <v/>
      </c>
      <c r="V342" s="4" t="str">
        <f>IFERROR(INDEX(样本到样信息汇总统计!V$2:V$500,MATCH(341,样本到样信息汇总统计!$Z$2:$Z$500,0)),"")</f>
        <v/>
      </c>
      <c r="W342" s="4" t="str">
        <f>IFERROR(INDEX(样本到样信息汇总统计!W$2:W$500,MATCH(341,样本到样信息汇总统计!$Z$2:$Z$500,0)),"")</f>
        <v/>
      </c>
    </row>
    <row r="343" ht="14.5" spans="1:23">
      <c r="A343" s="8" t="str">
        <f>IFERROR(INDEX(样本到样信息汇总统计!A$2:A$500,MATCH(342,样本到样信息汇总统计!$Z$2:$Z$500,0)),"")</f>
        <v/>
      </c>
      <c r="B343" s="8" t="str">
        <f>IFERROR(INDEX(样本到样信息汇总统计!B$2:B$500,MATCH(342,样本到样信息汇总统计!$Z$2:$Z$500,0)),"")</f>
        <v/>
      </c>
      <c r="C343" s="8" t="str">
        <f>IFERROR(INDEX(样本到样信息汇总统计!C$2:C$500,MATCH(342,样本到样信息汇总统计!$Z$2:$Z$500,0)),"")</f>
        <v/>
      </c>
      <c r="D343" s="8" t="str">
        <f>IFERROR(INDEX(样本到样信息汇总统计!D$2:D$500,MATCH(342,样本到样信息汇总统计!$Z$2:$Z$500,0)),"")</f>
        <v/>
      </c>
      <c r="E343" s="8" t="str">
        <f>IFERROR(INDEX(样本到样信息汇总统计!E$2:E$500,MATCH(342,样本到样信息汇总统计!$Z$2:$Z$500,0)),"")</f>
        <v/>
      </c>
      <c r="F343" s="8" t="str">
        <f>IFERROR(INDEX(样本到样信息汇总统计!F$2:F$500,MATCH(342,样本到样信息汇总统计!$Z$2:$Z$500,0)),"")</f>
        <v/>
      </c>
      <c r="G343" s="8" t="str">
        <f>IFERROR(INDEX(样本到样信息汇总统计!G$2:G$500,MATCH(342,样本到样信息汇总统计!$Z$2:$Z$500,0)),"")</f>
        <v/>
      </c>
      <c r="H343" s="8" t="str">
        <f>IFERROR(INDEX(样本到样信息汇总统计!H$2:H$500,MATCH(342,样本到样信息汇总统计!$Z$2:$Z$500,0)),"")</f>
        <v/>
      </c>
      <c r="I343" s="8" t="str">
        <f>IFERROR(INDEX(样本到样信息汇总统计!I$2:I$500,MATCH(342,样本到样信息汇总统计!$Z$2:$Z$500,0)),"")</f>
        <v/>
      </c>
      <c r="J343" s="8" t="str">
        <f>IFERROR(INDEX(样本到样信息汇总统计!J$2:J$500,MATCH(342,样本到样信息汇总统计!$Z$2:$Z$500,0)),"")</f>
        <v/>
      </c>
      <c r="K343" s="8" t="str">
        <f>IFERROR(INDEX(样本到样信息汇总统计!K$2:K$500,MATCH(342,样本到样信息汇总统计!$Z$2:$Z$500,0)),"")</f>
        <v/>
      </c>
      <c r="L343" s="8" t="str">
        <f>IFERROR(INDEX(样本到样信息汇总统计!L$2:L$500,MATCH(342,样本到样信息汇总统计!$Z$2:$Z$500,0)),"")</f>
        <v/>
      </c>
      <c r="M343" s="8" t="str">
        <f>IFERROR(INDEX(样本到样信息汇总统计!M$2:M$500,MATCH(342,样本到样信息汇总统计!$Z$2:$Z$500,0)),"")</f>
        <v/>
      </c>
      <c r="N343" s="8" t="str">
        <f>IFERROR(INDEX(样本到样信息汇总统计!N$2:N$500,MATCH(342,样本到样信息汇总统计!$Z$2:$Z$500,0)),"")</f>
        <v/>
      </c>
      <c r="O343" s="8" t="str">
        <f>IFERROR(INDEX(样本到样信息汇总统计!O$2:O$500,MATCH(342,样本到样信息汇总统计!$Z$2:$Z$500,0)),"")</f>
        <v/>
      </c>
      <c r="P343" s="8" t="str">
        <f>IFERROR(INDEX(样本到样信息汇总统计!P$2:P$500,MATCH(342,样本到样信息汇总统计!$Z$2:$Z$500,0)),"")</f>
        <v/>
      </c>
      <c r="Q343" s="8" t="str">
        <f>IFERROR(INDEX(样本到样信息汇总统计!Q$2:Q$500,MATCH(342,样本到样信息汇总统计!$Z$2:$Z$500,0)),"")</f>
        <v/>
      </c>
      <c r="R343" s="8" t="str">
        <f>IFERROR(INDEX(样本到样信息汇总统计!R$2:R$500,MATCH(342,样本到样信息汇总统计!$Z$2:$Z$500,0)),"")</f>
        <v/>
      </c>
      <c r="S343" s="8" t="str">
        <f>IFERROR(INDEX(样本到样信息汇总统计!S$2:S$500,MATCH(342,样本到样信息汇总统计!$Z$2:$Z$500,0)),"")</f>
        <v/>
      </c>
      <c r="T343" s="8" t="str">
        <f>IFERROR(INDEX(样本到样信息汇总统计!T$2:T$500,MATCH(342,样本到样信息汇总统计!$Z$2:$Z$500,0)),"")</f>
        <v/>
      </c>
      <c r="U343" s="8" t="str">
        <f>IFERROR(INDEX(样本到样信息汇总统计!U$2:U$500,MATCH(342,样本到样信息汇总统计!$Z$2:$Z$500,0)),"")</f>
        <v/>
      </c>
      <c r="V343" s="8" t="str">
        <f>IFERROR(INDEX(样本到样信息汇总统计!V$2:V$500,MATCH(342,样本到样信息汇总统计!$Z$2:$Z$500,0)),"")</f>
        <v/>
      </c>
      <c r="W343" s="8" t="str">
        <f>IFERROR(INDEX(样本到样信息汇总统计!W$2:W$500,MATCH(342,样本到样信息汇总统计!$Z$2:$Z$500,0)),"")</f>
        <v/>
      </c>
    </row>
    <row r="344" ht="14.5" spans="1:23">
      <c r="A344" s="4" t="str">
        <f>IFERROR(INDEX(样本到样信息汇总统计!A$2:A$500,MATCH(343,样本到样信息汇总统计!$Z$2:$Z$500,0)),"")</f>
        <v/>
      </c>
      <c r="B344" s="4" t="str">
        <f>IFERROR(INDEX(样本到样信息汇总统计!B$2:B$500,MATCH(343,样本到样信息汇总统计!$Z$2:$Z$500,0)),"")</f>
        <v/>
      </c>
      <c r="C344" s="4" t="str">
        <f>IFERROR(INDEX(样本到样信息汇总统计!C$2:C$500,MATCH(343,样本到样信息汇总统计!$Z$2:$Z$500,0)),"")</f>
        <v/>
      </c>
      <c r="D344" s="4" t="str">
        <f>IFERROR(INDEX(样本到样信息汇总统计!D$2:D$500,MATCH(343,样本到样信息汇总统计!$Z$2:$Z$500,0)),"")</f>
        <v/>
      </c>
      <c r="E344" s="4" t="str">
        <f>IFERROR(INDEX(样本到样信息汇总统计!E$2:E$500,MATCH(343,样本到样信息汇总统计!$Z$2:$Z$500,0)),"")</f>
        <v/>
      </c>
      <c r="F344" s="4" t="str">
        <f>IFERROR(INDEX(样本到样信息汇总统计!F$2:F$500,MATCH(343,样本到样信息汇总统计!$Z$2:$Z$500,0)),"")</f>
        <v/>
      </c>
      <c r="G344" s="4" t="str">
        <f>IFERROR(INDEX(样本到样信息汇总统计!G$2:G$500,MATCH(343,样本到样信息汇总统计!$Z$2:$Z$500,0)),"")</f>
        <v/>
      </c>
      <c r="H344" s="4" t="str">
        <f>IFERROR(INDEX(样本到样信息汇总统计!H$2:H$500,MATCH(343,样本到样信息汇总统计!$Z$2:$Z$500,0)),"")</f>
        <v/>
      </c>
      <c r="I344" s="4" t="str">
        <f>IFERROR(INDEX(样本到样信息汇总统计!I$2:I$500,MATCH(343,样本到样信息汇总统计!$Z$2:$Z$500,0)),"")</f>
        <v/>
      </c>
      <c r="J344" s="4" t="str">
        <f>IFERROR(INDEX(样本到样信息汇总统计!J$2:J$500,MATCH(343,样本到样信息汇总统计!$Z$2:$Z$500,0)),"")</f>
        <v/>
      </c>
      <c r="K344" s="4" t="str">
        <f>IFERROR(INDEX(样本到样信息汇总统计!K$2:K$500,MATCH(343,样本到样信息汇总统计!$Z$2:$Z$500,0)),"")</f>
        <v/>
      </c>
      <c r="L344" s="4" t="str">
        <f>IFERROR(INDEX(样本到样信息汇总统计!L$2:L$500,MATCH(343,样本到样信息汇总统计!$Z$2:$Z$500,0)),"")</f>
        <v/>
      </c>
      <c r="M344" s="4" t="str">
        <f>IFERROR(INDEX(样本到样信息汇总统计!M$2:M$500,MATCH(343,样本到样信息汇总统计!$Z$2:$Z$500,0)),"")</f>
        <v/>
      </c>
      <c r="N344" s="4" t="str">
        <f>IFERROR(INDEX(样本到样信息汇总统计!N$2:N$500,MATCH(343,样本到样信息汇总统计!$Z$2:$Z$500,0)),"")</f>
        <v/>
      </c>
      <c r="O344" s="4" t="str">
        <f>IFERROR(INDEX(样本到样信息汇总统计!O$2:O$500,MATCH(343,样本到样信息汇总统计!$Z$2:$Z$500,0)),"")</f>
        <v/>
      </c>
      <c r="P344" s="4" t="str">
        <f>IFERROR(INDEX(样本到样信息汇总统计!P$2:P$500,MATCH(343,样本到样信息汇总统计!$Z$2:$Z$500,0)),"")</f>
        <v/>
      </c>
      <c r="Q344" s="4" t="str">
        <f>IFERROR(INDEX(样本到样信息汇总统计!Q$2:Q$500,MATCH(343,样本到样信息汇总统计!$Z$2:$Z$500,0)),"")</f>
        <v/>
      </c>
      <c r="R344" s="4" t="str">
        <f>IFERROR(INDEX(样本到样信息汇总统计!R$2:R$500,MATCH(343,样本到样信息汇总统计!$Z$2:$Z$500,0)),"")</f>
        <v/>
      </c>
      <c r="S344" s="4" t="str">
        <f>IFERROR(INDEX(样本到样信息汇总统计!S$2:S$500,MATCH(343,样本到样信息汇总统计!$Z$2:$Z$500,0)),"")</f>
        <v/>
      </c>
      <c r="T344" s="4" t="str">
        <f>IFERROR(INDEX(样本到样信息汇总统计!T$2:T$500,MATCH(343,样本到样信息汇总统计!$Z$2:$Z$500,0)),"")</f>
        <v/>
      </c>
      <c r="U344" s="4" t="str">
        <f>IFERROR(INDEX(样本到样信息汇总统计!U$2:U$500,MATCH(343,样本到样信息汇总统计!$Z$2:$Z$500,0)),"")</f>
        <v/>
      </c>
      <c r="V344" s="4" t="str">
        <f>IFERROR(INDEX(样本到样信息汇总统计!V$2:V$500,MATCH(343,样本到样信息汇总统计!$Z$2:$Z$500,0)),"")</f>
        <v/>
      </c>
      <c r="W344" s="4" t="str">
        <f>IFERROR(INDEX(样本到样信息汇总统计!W$2:W$500,MATCH(343,样本到样信息汇总统计!$Z$2:$Z$500,0)),"")</f>
        <v/>
      </c>
    </row>
    <row r="345" ht="14.5" spans="1:23">
      <c r="A345" s="8" t="str">
        <f>IFERROR(INDEX(样本到样信息汇总统计!A$2:A$500,MATCH(344,样本到样信息汇总统计!$Z$2:$Z$500,0)),"")</f>
        <v/>
      </c>
      <c r="B345" s="8" t="str">
        <f>IFERROR(INDEX(样本到样信息汇总统计!B$2:B$500,MATCH(344,样本到样信息汇总统计!$Z$2:$Z$500,0)),"")</f>
        <v/>
      </c>
      <c r="C345" s="8" t="str">
        <f>IFERROR(INDEX(样本到样信息汇总统计!C$2:C$500,MATCH(344,样本到样信息汇总统计!$Z$2:$Z$500,0)),"")</f>
        <v/>
      </c>
      <c r="D345" s="8" t="str">
        <f>IFERROR(INDEX(样本到样信息汇总统计!D$2:D$500,MATCH(344,样本到样信息汇总统计!$Z$2:$Z$500,0)),"")</f>
        <v/>
      </c>
      <c r="E345" s="8" t="str">
        <f>IFERROR(INDEX(样本到样信息汇总统计!E$2:E$500,MATCH(344,样本到样信息汇总统计!$Z$2:$Z$500,0)),"")</f>
        <v/>
      </c>
      <c r="F345" s="8" t="str">
        <f>IFERROR(INDEX(样本到样信息汇总统计!F$2:F$500,MATCH(344,样本到样信息汇总统计!$Z$2:$Z$500,0)),"")</f>
        <v/>
      </c>
      <c r="G345" s="8" t="str">
        <f>IFERROR(INDEX(样本到样信息汇总统计!G$2:G$500,MATCH(344,样本到样信息汇总统计!$Z$2:$Z$500,0)),"")</f>
        <v/>
      </c>
      <c r="H345" s="8" t="str">
        <f>IFERROR(INDEX(样本到样信息汇总统计!H$2:H$500,MATCH(344,样本到样信息汇总统计!$Z$2:$Z$500,0)),"")</f>
        <v/>
      </c>
      <c r="I345" s="8" t="str">
        <f>IFERROR(INDEX(样本到样信息汇总统计!I$2:I$500,MATCH(344,样本到样信息汇总统计!$Z$2:$Z$500,0)),"")</f>
        <v/>
      </c>
      <c r="J345" s="8" t="str">
        <f>IFERROR(INDEX(样本到样信息汇总统计!J$2:J$500,MATCH(344,样本到样信息汇总统计!$Z$2:$Z$500,0)),"")</f>
        <v/>
      </c>
      <c r="K345" s="8" t="str">
        <f>IFERROR(INDEX(样本到样信息汇总统计!K$2:K$500,MATCH(344,样本到样信息汇总统计!$Z$2:$Z$500,0)),"")</f>
        <v/>
      </c>
      <c r="L345" s="8" t="str">
        <f>IFERROR(INDEX(样本到样信息汇总统计!L$2:L$500,MATCH(344,样本到样信息汇总统计!$Z$2:$Z$500,0)),"")</f>
        <v/>
      </c>
      <c r="M345" s="8" t="str">
        <f>IFERROR(INDEX(样本到样信息汇总统计!M$2:M$500,MATCH(344,样本到样信息汇总统计!$Z$2:$Z$500,0)),"")</f>
        <v/>
      </c>
      <c r="N345" s="8" t="str">
        <f>IFERROR(INDEX(样本到样信息汇总统计!N$2:N$500,MATCH(344,样本到样信息汇总统计!$Z$2:$Z$500,0)),"")</f>
        <v/>
      </c>
      <c r="O345" s="8" t="str">
        <f>IFERROR(INDEX(样本到样信息汇总统计!O$2:O$500,MATCH(344,样本到样信息汇总统计!$Z$2:$Z$500,0)),"")</f>
        <v/>
      </c>
      <c r="P345" s="8" t="str">
        <f>IFERROR(INDEX(样本到样信息汇总统计!P$2:P$500,MATCH(344,样本到样信息汇总统计!$Z$2:$Z$500,0)),"")</f>
        <v/>
      </c>
      <c r="Q345" s="8" t="str">
        <f>IFERROR(INDEX(样本到样信息汇总统计!Q$2:Q$500,MATCH(344,样本到样信息汇总统计!$Z$2:$Z$500,0)),"")</f>
        <v/>
      </c>
      <c r="R345" s="8" t="str">
        <f>IFERROR(INDEX(样本到样信息汇总统计!R$2:R$500,MATCH(344,样本到样信息汇总统计!$Z$2:$Z$500,0)),"")</f>
        <v/>
      </c>
      <c r="S345" s="8" t="str">
        <f>IFERROR(INDEX(样本到样信息汇总统计!S$2:S$500,MATCH(344,样本到样信息汇总统计!$Z$2:$Z$500,0)),"")</f>
        <v/>
      </c>
      <c r="T345" s="8" t="str">
        <f>IFERROR(INDEX(样本到样信息汇总统计!T$2:T$500,MATCH(344,样本到样信息汇总统计!$Z$2:$Z$500,0)),"")</f>
        <v/>
      </c>
      <c r="U345" s="8" t="str">
        <f>IFERROR(INDEX(样本到样信息汇总统计!U$2:U$500,MATCH(344,样本到样信息汇总统计!$Z$2:$Z$500,0)),"")</f>
        <v/>
      </c>
      <c r="V345" s="8" t="str">
        <f>IFERROR(INDEX(样本到样信息汇总统计!V$2:V$500,MATCH(344,样本到样信息汇总统计!$Z$2:$Z$500,0)),"")</f>
        <v/>
      </c>
      <c r="W345" s="8" t="str">
        <f>IFERROR(INDEX(样本到样信息汇总统计!W$2:W$500,MATCH(344,样本到样信息汇总统计!$Z$2:$Z$500,0)),"")</f>
        <v/>
      </c>
    </row>
    <row r="346" ht="14.5" spans="1:23">
      <c r="A346" s="4" t="str">
        <f>IFERROR(INDEX(样本到样信息汇总统计!A$2:A$500,MATCH(345,样本到样信息汇总统计!$Z$2:$Z$500,0)),"")</f>
        <v/>
      </c>
      <c r="B346" s="4" t="str">
        <f>IFERROR(INDEX(样本到样信息汇总统计!B$2:B$500,MATCH(345,样本到样信息汇总统计!$Z$2:$Z$500,0)),"")</f>
        <v/>
      </c>
      <c r="C346" s="4" t="str">
        <f>IFERROR(INDEX(样本到样信息汇总统计!C$2:C$500,MATCH(345,样本到样信息汇总统计!$Z$2:$Z$500,0)),"")</f>
        <v/>
      </c>
      <c r="D346" s="4" t="str">
        <f>IFERROR(INDEX(样本到样信息汇总统计!D$2:D$500,MATCH(345,样本到样信息汇总统计!$Z$2:$Z$500,0)),"")</f>
        <v/>
      </c>
      <c r="E346" s="4" t="str">
        <f>IFERROR(INDEX(样本到样信息汇总统计!E$2:E$500,MATCH(345,样本到样信息汇总统计!$Z$2:$Z$500,0)),"")</f>
        <v/>
      </c>
      <c r="F346" s="4" t="str">
        <f>IFERROR(INDEX(样本到样信息汇总统计!F$2:F$500,MATCH(345,样本到样信息汇总统计!$Z$2:$Z$500,0)),"")</f>
        <v/>
      </c>
      <c r="G346" s="4" t="str">
        <f>IFERROR(INDEX(样本到样信息汇总统计!G$2:G$500,MATCH(345,样本到样信息汇总统计!$Z$2:$Z$500,0)),"")</f>
        <v/>
      </c>
      <c r="H346" s="4" t="str">
        <f>IFERROR(INDEX(样本到样信息汇总统计!H$2:H$500,MATCH(345,样本到样信息汇总统计!$Z$2:$Z$500,0)),"")</f>
        <v/>
      </c>
      <c r="I346" s="4" t="str">
        <f>IFERROR(INDEX(样本到样信息汇总统计!I$2:I$500,MATCH(345,样本到样信息汇总统计!$Z$2:$Z$500,0)),"")</f>
        <v/>
      </c>
      <c r="J346" s="4" t="str">
        <f>IFERROR(INDEX(样本到样信息汇总统计!J$2:J$500,MATCH(345,样本到样信息汇总统计!$Z$2:$Z$500,0)),"")</f>
        <v/>
      </c>
      <c r="K346" s="4" t="str">
        <f>IFERROR(INDEX(样本到样信息汇总统计!K$2:K$500,MATCH(345,样本到样信息汇总统计!$Z$2:$Z$500,0)),"")</f>
        <v/>
      </c>
      <c r="L346" s="4" t="str">
        <f>IFERROR(INDEX(样本到样信息汇总统计!L$2:L$500,MATCH(345,样本到样信息汇总统计!$Z$2:$Z$500,0)),"")</f>
        <v/>
      </c>
      <c r="M346" s="4" t="str">
        <f>IFERROR(INDEX(样本到样信息汇总统计!M$2:M$500,MATCH(345,样本到样信息汇总统计!$Z$2:$Z$500,0)),"")</f>
        <v/>
      </c>
      <c r="N346" s="4" t="str">
        <f>IFERROR(INDEX(样本到样信息汇总统计!N$2:N$500,MATCH(345,样本到样信息汇总统计!$Z$2:$Z$500,0)),"")</f>
        <v/>
      </c>
      <c r="O346" s="4" t="str">
        <f>IFERROR(INDEX(样本到样信息汇总统计!O$2:O$500,MATCH(345,样本到样信息汇总统计!$Z$2:$Z$500,0)),"")</f>
        <v/>
      </c>
      <c r="P346" s="4" t="str">
        <f>IFERROR(INDEX(样本到样信息汇总统计!P$2:P$500,MATCH(345,样本到样信息汇总统计!$Z$2:$Z$500,0)),"")</f>
        <v/>
      </c>
      <c r="Q346" s="4" t="str">
        <f>IFERROR(INDEX(样本到样信息汇总统计!Q$2:Q$500,MATCH(345,样本到样信息汇总统计!$Z$2:$Z$500,0)),"")</f>
        <v/>
      </c>
      <c r="R346" s="4" t="str">
        <f>IFERROR(INDEX(样本到样信息汇总统计!R$2:R$500,MATCH(345,样本到样信息汇总统计!$Z$2:$Z$500,0)),"")</f>
        <v/>
      </c>
      <c r="S346" s="4" t="str">
        <f>IFERROR(INDEX(样本到样信息汇总统计!S$2:S$500,MATCH(345,样本到样信息汇总统计!$Z$2:$Z$500,0)),"")</f>
        <v/>
      </c>
      <c r="T346" s="4" t="str">
        <f>IFERROR(INDEX(样本到样信息汇总统计!T$2:T$500,MATCH(345,样本到样信息汇总统计!$Z$2:$Z$500,0)),"")</f>
        <v/>
      </c>
      <c r="U346" s="4" t="str">
        <f>IFERROR(INDEX(样本到样信息汇总统计!U$2:U$500,MATCH(345,样本到样信息汇总统计!$Z$2:$Z$500,0)),"")</f>
        <v/>
      </c>
      <c r="V346" s="4" t="str">
        <f>IFERROR(INDEX(样本到样信息汇总统计!V$2:V$500,MATCH(345,样本到样信息汇总统计!$Z$2:$Z$500,0)),"")</f>
        <v/>
      </c>
      <c r="W346" s="4" t="str">
        <f>IFERROR(INDEX(样本到样信息汇总统计!W$2:W$500,MATCH(345,样本到样信息汇总统计!$Z$2:$Z$500,0)),"")</f>
        <v/>
      </c>
    </row>
    <row r="347" ht="14.5" spans="1:23">
      <c r="A347" s="8" t="str">
        <f>IFERROR(INDEX(样本到样信息汇总统计!A$2:A$500,MATCH(346,样本到样信息汇总统计!$Z$2:$Z$500,0)),"")</f>
        <v/>
      </c>
      <c r="B347" s="8" t="str">
        <f>IFERROR(INDEX(样本到样信息汇总统计!B$2:B$500,MATCH(346,样本到样信息汇总统计!$Z$2:$Z$500,0)),"")</f>
        <v/>
      </c>
      <c r="C347" s="8" t="str">
        <f>IFERROR(INDEX(样本到样信息汇总统计!C$2:C$500,MATCH(346,样本到样信息汇总统计!$Z$2:$Z$500,0)),"")</f>
        <v/>
      </c>
      <c r="D347" s="8" t="str">
        <f>IFERROR(INDEX(样本到样信息汇总统计!D$2:D$500,MATCH(346,样本到样信息汇总统计!$Z$2:$Z$500,0)),"")</f>
        <v/>
      </c>
      <c r="E347" s="8" t="str">
        <f>IFERROR(INDEX(样本到样信息汇总统计!E$2:E$500,MATCH(346,样本到样信息汇总统计!$Z$2:$Z$500,0)),"")</f>
        <v/>
      </c>
      <c r="F347" s="8" t="str">
        <f>IFERROR(INDEX(样本到样信息汇总统计!F$2:F$500,MATCH(346,样本到样信息汇总统计!$Z$2:$Z$500,0)),"")</f>
        <v/>
      </c>
      <c r="G347" s="8" t="str">
        <f>IFERROR(INDEX(样本到样信息汇总统计!G$2:G$500,MATCH(346,样本到样信息汇总统计!$Z$2:$Z$500,0)),"")</f>
        <v/>
      </c>
      <c r="H347" s="8" t="str">
        <f>IFERROR(INDEX(样本到样信息汇总统计!H$2:H$500,MATCH(346,样本到样信息汇总统计!$Z$2:$Z$500,0)),"")</f>
        <v/>
      </c>
      <c r="I347" s="8" t="str">
        <f>IFERROR(INDEX(样本到样信息汇总统计!I$2:I$500,MATCH(346,样本到样信息汇总统计!$Z$2:$Z$500,0)),"")</f>
        <v/>
      </c>
      <c r="J347" s="8" t="str">
        <f>IFERROR(INDEX(样本到样信息汇总统计!J$2:J$500,MATCH(346,样本到样信息汇总统计!$Z$2:$Z$500,0)),"")</f>
        <v/>
      </c>
      <c r="K347" s="8" t="str">
        <f>IFERROR(INDEX(样本到样信息汇总统计!K$2:K$500,MATCH(346,样本到样信息汇总统计!$Z$2:$Z$500,0)),"")</f>
        <v/>
      </c>
      <c r="L347" s="8" t="str">
        <f>IFERROR(INDEX(样本到样信息汇总统计!L$2:L$500,MATCH(346,样本到样信息汇总统计!$Z$2:$Z$500,0)),"")</f>
        <v/>
      </c>
      <c r="M347" s="8" t="str">
        <f>IFERROR(INDEX(样本到样信息汇总统计!M$2:M$500,MATCH(346,样本到样信息汇总统计!$Z$2:$Z$500,0)),"")</f>
        <v/>
      </c>
      <c r="N347" s="8" t="str">
        <f>IFERROR(INDEX(样本到样信息汇总统计!N$2:N$500,MATCH(346,样本到样信息汇总统计!$Z$2:$Z$500,0)),"")</f>
        <v/>
      </c>
      <c r="O347" s="8" t="str">
        <f>IFERROR(INDEX(样本到样信息汇总统计!O$2:O$500,MATCH(346,样本到样信息汇总统计!$Z$2:$Z$500,0)),"")</f>
        <v/>
      </c>
      <c r="P347" s="8" t="str">
        <f>IFERROR(INDEX(样本到样信息汇总统计!P$2:P$500,MATCH(346,样本到样信息汇总统计!$Z$2:$Z$500,0)),"")</f>
        <v/>
      </c>
      <c r="Q347" s="8" t="str">
        <f>IFERROR(INDEX(样本到样信息汇总统计!Q$2:Q$500,MATCH(346,样本到样信息汇总统计!$Z$2:$Z$500,0)),"")</f>
        <v/>
      </c>
      <c r="R347" s="8" t="str">
        <f>IFERROR(INDEX(样本到样信息汇总统计!R$2:R$500,MATCH(346,样本到样信息汇总统计!$Z$2:$Z$500,0)),"")</f>
        <v/>
      </c>
      <c r="S347" s="8" t="str">
        <f>IFERROR(INDEX(样本到样信息汇总统计!S$2:S$500,MATCH(346,样本到样信息汇总统计!$Z$2:$Z$500,0)),"")</f>
        <v/>
      </c>
      <c r="T347" s="8" t="str">
        <f>IFERROR(INDEX(样本到样信息汇总统计!T$2:T$500,MATCH(346,样本到样信息汇总统计!$Z$2:$Z$500,0)),"")</f>
        <v/>
      </c>
      <c r="U347" s="8" t="str">
        <f>IFERROR(INDEX(样本到样信息汇总统计!U$2:U$500,MATCH(346,样本到样信息汇总统计!$Z$2:$Z$500,0)),"")</f>
        <v/>
      </c>
      <c r="V347" s="8" t="str">
        <f>IFERROR(INDEX(样本到样信息汇总统计!V$2:V$500,MATCH(346,样本到样信息汇总统计!$Z$2:$Z$500,0)),"")</f>
        <v/>
      </c>
      <c r="W347" s="8" t="str">
        <f>IFERROR(INDEX(样本到样信息汇总统计!W$2:W$500,MATCH(346,样本到样信息汇总统计!$Z$2:$Z$500,0)),"")</f>
        <v/>
      </c>
    </row>
    <row r="348" ht="14.5" spans="1:23">
      <c r="A348" s="4" t="str">
        <f>IFERROR(INDEX(样本到样信息汇总统计!A$2:A$500,MATCH(347,样本到样信息汇总统计!$Z$2:$Z$500,0)),"")</f>
        <v/>
      </c>
      <c r="B348" s="4" t="str">
        <f>IFERROR(INDEX(样本到样信息汇总统计!B$2:B$500,MATCH(347,样本到样信息汇总统计!$Z$2:$Z$500,0)),"")</f>
        <v/>
      </c>
      <c r="C348" s="4" t="str">
        <f>IFERROR(INDEX(样本到样信息汇总统计!C$2:C$500,MATCH(347,样本到样信息汇总统计!$Z$2:$Z$500,0)),"")</f>
        <v/>
      </c>
      <c r="D348" s="4" t="str">
        <f>IFERROR(INDEX(样本到样信息汇总统计!D$2:D$500,MATCH(347,样本到样信息汇总统计!$Z$2:$Z$500,0)),"")</f>
        <v/>
      </c>
      <c r="E348" s="4" t="str">
        <f>IFERROR(INDEX(样本到样信息汇总统计!E$2:E$500,MATCH(347,样本到样信息汇总统计!$Z$2:$Z$500,0)),"")</f>
        <v/>
      </c>
      <c r="F348" s="4" t="str">
        <f>IFERROR(INDEX(样本到样信息汇总统计!F$2:F$500,MATCH(347,样本到样信息汇总统计!$Z$2:$Z$500,0)),"")</f>
        <v/>
      </c>
      <c r="G348" s="4" t="str">
        <f>IFERROR(INDEX(样本到样信息汇总统计!G$2:G$500,MATCH(347,样本到样信息汇总统计!$Z$2:$Z$500,0)),"")</f>
        <v/>
      </c>
      <c r="H348" s="4" t="str">
        <f>IFERROR(INDEX(样本到样信息汇总统计!H$2:H$500,MATCH(347,样本到样信息汇总统计!$Z$2:$Z$500,0)),"")</f>
        <v/>
      </c>
      <c r="I348" s="4" t="str">
        <f>IFERROR(INDEX(样本到样信息汇总统计!I$2:I$500,MATCH(347,样本到样信息汇总统计!$Z$2:$Z$500,0)),"")</f>
        <v/>
      </c>
      <c r="J348" s="4" t="str">
        <f>IFERROR(INDEX(样本到样信息汇总统计!J$2:J$500,MATCH(347,样本到样信息汇总统计!$Z$2:$Z$500,0)),"")</f>
        <v/>
      </c>
      <c r="K348" s="4" t="str">
        <f>IFERROR(INDEX(样本到样信息汇总统计!K$2:K$500,MATCH(347,样本到样信息汇总统计!$Z$2:$Z$500,0)),"")</f>
        <v/>
      </c>
      <c r="L348" s="4" t="str">
        <f>IFERROR(INDEX(样本到样信息汇总统计!L$2:L$500,MATCH(347,样本到样信息汇总统计!$Z$2:$Z$500,0)),"")</f>
        <v/>
      </c>
      <c r="M348" s="4" t="str">
        <f>IFERROR(INDEX(样本到样信息汇总统计!M$2:M$500,MATCH(347,样本到样信息汇总统计!$Z$2:$Z$500,0)),"")</f>
        <v/>
      </c>
      <c r="N348" s="4" t="str">
        <f>IFERROR(INDEX(样本到样信息汇总统计!N$2:N$500,MATCH(347,样本到样信息汇总统计!$Z$2:$Z$500,0)),"")</f>
        <v/>
      </c>
      <c r="O348" s="4" t="str">
        <f>IFERROR(INDEX(样本到样信息汇总统计!O$2:O$500,MATCH(347,样本到样信息汇总统计!$Z$2:$Z$500,0)),"")</f>
        <v/>
      </c>
      <c r="P348" s="4" t="str">
        <f>IFERROR(INDEX(样本到样信息汇总统计!P$2:P$500,MATCH(347,样本到样信息汇总统计!$Z$2:$Z$500,0)),"")</f>
        <v/>
      </c>
      <c r="Q348" s="4" t="str">
        <f>IFERROR(INDEX(样本到样信息汇总统计!Q$2:Q$500,MATCH(347,样本到样信息汇总统计!$Z$2:$Z$500,0)),"")</f>
        <v/>
      </c>
      <c r="R348" s="4" t="str">
        <f>IFERROR(INDEX(样本到样信息汇总统计!R$2:R$500,MATCH(347,样本到样信息汇总统计!$Z$2:$Z$500,0)),"")</f>
        <v/>
      </c>
      <c r="S348" s="4" t="str">
        <f>IFERROR(INDEX(样本到样信息汇总统计!S$2:S$500,MATCH(347,样本到样信息汇总统计!$Z$2:$Z$500,0)),"")</f>
        <v/>
      </c>
      <c r="T348" s="4" t="str">
        <f>IFERROR(INDEX(样本到样信息汇总统计!T$2:T$500,MATCH(347,样本到样信息汇总统计!$Z$2:$Z$500,0)),"")</f>
        <v/>
      </c>
      <c r="U348" s="4" t="str">
        <f>IFERROR(INDEX(样本到样信息汇总统计!U$2:U$500,MATCH(347,样本到样信息汇总统计!$Z$2:$Z$500,0)),"")</f>
        <v/>
      </c>
      <c r="V348" s="4" t="str">
        <f>IFERROR(INDEX(样本到样信息汇总统计!V$2:V$500,MATCH(347,样本到样信息汇总统计!$Z$2:$Z$500,0)),"")</f>
        <v/>
      </c>
      <c r="W348" s="4" t="str">
        <f>IFERROR(INDEX(样本到样信息汇总统计!W$2:W$500,MATCH(347,样本到样信息汇总统计!$Z$2:$Z$500,0)),"")</f>
        <v/>
      </c>
    </row>
    <row r="349" ht="14.5" spans="1:23">
      <c r="A349" s="8" t="str">
        <f>IFERROR(INDEX(样本到样信息汇总统计!A$2:A$500,MATCH(348,样本到样信息汇总统计!$Z$2:$Z$500,0)),"")</f>
        <v/>
      </c>
      <c r="B349" s="8" t="str">
        <f>IFERROR(INDEX(样本到样信息汇总统计!B$2:B$500,MATCH(348,样本到样信息汇总统计!$Z$2:$Z$500,0)),"")</f>
        <v/>
      </c>
      <c r="C349" s="8" t="str">
        <f>IFERROR(INDEX(样本到样信息汇总统计!C$2:C$500,MATCH(348,样本到样信息汇总统计!$Z$2:$Z$500,0)),"")</f>
        <v/>
      </c>
      <c r="D349" s="8" t="str">
        <f>IFERROR(INDEX(样本到样信息汇总统计!D$2:D$500,MATCH(348,样本到样信息汇总统计!$Z$2:$Z$500,0)),"")</f>
        <v/>
      </c>
      <c r="E349" s="8" t="str">
        <f>IFERROR(INDEX(样本到样信息汇总统计!E$2:E$500,MATCH(348,样本到样信息汇总统计!$Z$2:$Z$500,0)),"")</f>
        <v/>
      </c>
      <c r="F349" s="8" t="str">
        <f>IFERROR(INDEX(样本到样信息汇总统计!F$2:F$500,MATCH(348,样本到样信息汇总统计!$Z$2:$Z$500,0)),"")</f>
        <v/>
      </c>
      <c r="G349" s="8" t="str">
        <f>IFERROR(INDEX(样本到样信息汇总统计!G$2:G$500,MATCH(348,样本到样信息汇总统计!$Z$2:$Z$500,0)),"")</f>
        <v/>
      </c>
      <c r="H349" s="8" t="str">
        <f>IFERROR(INDEX(样本到样信息汇总统计!H$2:H$500,MATCH(348,样本到样信息汇总统计!$Z$2:$Z$500,0)),"")</f>
        <v/>
      </c>
      <c r="I349" s="8" t="str">
        <f>IFERROR(INDEX(样本到样信息汇总统计!I$2:I$500,MATCH(348,样本到样信息汇总统计!$Z$2:$Z$500,0)),"")</f>
        <v/>
      </c>
      <c r="J349" s="8" t="str">
        <f>IFERROR(INDEX(样本到样信息汇总统计!J$2:J$500,MATCH(348,样本到样信息汇总统计!$Z$2:$Z$500,0)),"")</f>
        <v/>
      </c>
      <c r="K349" s="8" t="str">
        <f>IFERROR(INDEX(样本到样信息汇总统计!K$2:K$500,MATCH(348,样本到样信息汇总统计!$Z$2:$Z$500,0)),"")</f>
        <v/>
      </c>
      <c r="L349" s="8" t="str">
        <f>IFERROR(INDEX(样本到样信息汇总统计!L$2:L$500,MATCH(348,样本到样信息汇总统计!$Z$2:$Z$500,0)),"")</f>
        <v/>
      </c>
      <c r="M349" s="8" t="str">
        <f>IFERROR(INDEX(样本到样信息汇总统计!M$2:M$500,MATCH(348,样本到样信息汇总统计!$Z$2:$Z$500,0)),"")</f>
        <v/>
      </c>
      <c r="N349" s="8" t="str">
        <f>IFERROR(INDEX(样本到样信息汇总统计!N$2:N$500,MATCH(348,样本到样信息汇总统计!$Z$2:$Z$500,0)),"")</f>
        <v/>
      </c>
      <c r="O349" s="8" t="str">
        <f>IFERROR(INDEX(样本到样信息汇总统计!O$2:O$500,MATCH(348,样本到样信息汇总统计!$Z$2:$Z$500,0)),"")</f>
        <v/>
      </c>
      <c r="P349" s="8" t="str">
        <f>IFERROR(INDEX(样本到样信息汇总统计!P$2:P$500,MATCH(348,样本到样信息汇总统计!$Z$2:$Z$500,0)),"")</f>
        <v/>
      </c>
      <c r="Q349" s="8" t="str">
        <f>IFERROR(INDEX(样本到样信息汇总统计!Q$2:Q$500,MATCH(348,样本到样信息汇总统计!$Z$2:$Z$500,0)),"")</f>
        <v/>
      </c>
      <c r="R349" s="8" t="str">
        <f>IFERROR(INDEX(样本到样信息汇总统计!R$2:R$500,MATCH(348,样本到样信息汇总统计!$Z$2:$Z$500,0)),"")</f>
        <v/>
      </c>
      <c r="S349" s="8" t="str">
        <f>IFERROR(INDEX(样本到样信息汇总统计!S$2:S$500,MATCH(348,样本到样信息汇总统计!$Z$2:$Z$500,0)),"")</f>
        <v/>
      </c>
      <c r="T349" s="8" t="str">
        <f>IFERROR(INDEX(样本到样信息汇总统计!T$2:T$500,MATCH(348,样本到样信息汇总统计!$Z$2:$Z$500,0)),"")</f>
        <v/>
      </c>
      <c r="U349" s="8" t="str">
        <f>IFERROR(INDEX(样本到样信息汇总统计!U$2:U$500,MATCH(348,样本到样信息汇总统计!$Z$2:$Z$500,0)),"")</f>
        <v/>
      </c>
      <c r="V349" s="8" t="str">
        <f>IFERROR(INDEX(样本到样信息汇总统计!V$2:V$500,MATCH(348,样本到样信息汇总统计!$Z$2:$Z$500,0)),"")</f>
        <v/>
      </c>
      <c r="W349" s="8" t="str">
        <f>IFERROR(INDEX(样本到样信息汇总统计!W$2:W$500,MATCH(348,样本到样信息汇总统计!$Z$2:$Z$500,0)),"")</f>
        <v/>
      </c>
    </row>
    <row r="350" ht="14.5" spans="1:23">
      <c r="A350" s="4" t="str">
        <f>IFERROR(INDEX(样本到样信息汇总统计!A$2:A$500,MATCH(349,样本到样信息汇总统计!$Z$2:$Z$500,0)),"")</f>
        <v/>
      </c>
      <c r="B350" s="4" t="str">
        <f>IFERROR(INDEX(样本到样信息汇总统计!B$2:B$500,MATCH(349,样本到样信息汇总统计!$Z$2:$Z$500,0)),"")</f>
        <v/>
      </c>
      <c r="C350" s="4" t="str">
        <f>IFERROR(INDEX(样本到样信息汇总统计!C$2:C$500,MATCH(349,样本到样信息汇总统计!$Z$2:$Z$500,0)),"")</f>
        <v/>
      </c>
      <c r="D350" s="4" t="str">
        <f>IFERROR(INDEX(样本到样信息汇总统计!D$2:D$500,MATCH(349,样本到样信息汇总统计!$Z$2:$Z$500,0)),"")</f>
        <v/>
      </c>
      <c r="E350" s="4" t="str">
        <f>IFERROR(INDEX(样本到样信息汇总统计!E$2:E$500,MATCH(349,样本到样信息汇总统计!$Z$2:$Z$500,0)),"")</f>
        <v/>
      </c>
      <c r="F350" s="4" t="str">
        <f>IFERROR(INDEX(样本到样信息汇总统计!F$2:F$500,MATCH(349,样本到样信息汇总统计!$Z$2:$Z$500,0)),"")</f>
        <v/>
      </c>
      <c r="G350" s="4" t="str">
        <f>IFERROR(INDEX(样本到样信息汇总统计!G$2:G$500,MATCH(349,样本到样信息汇总统计!$Z$2:$Z$500,0)),"")</f>
        <v/>
      </c>
      <c r="H350" s="4" t="str">
        <f>IFERROR(INDEX(样本到样信息汇总统计!H$2:H$500,MATCH(349,样本到样信息汇总统计!$Z$2:$Z$500,0)),"")</f>
        <v/>
      </c>
      <c r="I350" s="4" t="str">
        <f>IFERROR(INDEX(样本到样信息汇总统计!I$2:I$500,MATCH(349,样本到样信息汇总统计!$Z$2:$Z$500,0)),"")</f>
        <v/>
      </c>
      <c r="J350" s="4" t="str">
        <f>IFERROR(INDEX(样本到样信息汇总统计!J$2:J$500,MATCH(349,样本到样信息汇总统计!$Z$2:$Z$500,0)),"")</f>
        <v/>
      </c>
      <c r="K350" s="4" t="str">
        <f>IFERROR(INDEX(样本到样信息汇总统计!K$2:K$500,MATCH(349,样本到样信息汇总统计!$Z$2:$Z$500,0)),"")</f>
        <v/>
      </c>
      <c r="L350" s="4" t="str">
        <f>IFERROR(INDEX(样本到样信息汇总统计!L$2:L$500,MATCH(349,样本到样信息汇总统计!$Z$2:$Z$500,0)),"")</f>
        <v/>
      </c>
      <c r="M350" s="4" t="str">
        <f>IFERROR(INDEX(样本到样信息汇总统计!M$2:M$500,MATCH(349,样本到样信息汇总统计!$Z$2:$Z$500,0)),"")</f>
        <v/>
      </c>
      <c r="N350" s="4" t="str">
        <f>IFERROR(INDEX(样本到样信息汇总统计!N$2:N$500,MATCH(349,样本到样信息汇总统计!$Z$2:$Z$500,0)),"")</f>
        <v/>
      </c>
      <c r="O350" s="4" t="str">
        <f>IFERROR(INDEX(样本到样信息汇总统计!O$2:O$500,MATCH(349,样本到样信息汇总统计!$Z$2:$Z$500,0)),"")</f>
        <v/>
      </c>
      <c r="P350" s="4" t="str">
        <f>IFERROR(INDEX(样本到样信息汇总统计!P$2:P$500,MATCH(349,样本到样信息汇总统计!$Z$2:$Z$500,0)),"")</f>
        <v/>
      </c>
      <c r="Q350" s="4" t="str">
        <f>IFERROR(INDEX(样本到样信息汇总统计!Q$2:Q$500,MATCH(349,样本到样信息汇总统计!$Z$2:$Z$500,0)),"")</f>
        <v/>
      </c>
      <c r="R350" s="4" t="str">
        <f>IFERROR(INDEX(样本到样信息汇总统计!R$2:R$500,MATCH(349,样本到样信息汇总统计!$Z$2:$Z$500,0)),"")</f>
        <v/>
      </c>
      <c r="S350" s="4" t="str">
        <f>IFERROR(INDEX(样本到样信息汇总统计!S$2:S$500,MATCH(349,样本到样信息汇总统计!$Z$2:$Z$500,0)),"")</f>
        <v/>
      </c>
      <c r="T350" s="4" t="str">
        <f>IFERROR(INDEX(样本到样信息汇总统计!T$2:T$500,MATCH(349,样本到样信息汇总统计!$Z$2:$Z$500,0)),"")</f>
        <v/>
      </c>
      <c r="U350" s="4" t="str">
        <f>IFERROR(INDEX(样本到样信息汇总统计!U$2:U$500,MATCH(349,样本到样信息汇总统计!$Z$2:$Z$500,0)),"")</f>
        <v/>
      </c>
      <c r="V350" s="4" t="str">
        <f>IFERROR(INDEX(样本到样信息汇总统计!V$2:V$500,MATCH(349,样本到样信息汇总统计!$Z$2:$Z$500,0)),"")</f>
        <v/>
      </c>
      <c r="W350" s="4" t="str">
        <f>IFERROR(INDEX(样本到样信息汇总统计!W$2:W$500,MATCH(349,样本到样信息汇总统计!$Z$2:$Z$500,0)),"")</f>
        <v/>
      </c>
    </row>
    <row r="351" ht="14.5" spans="1:23">
      <c r="A351" s="8" t="str">
        <f>IFERROR(INDEX(样本到样信息汇总统计!A$2:A$500,MATCH(350,样本到样信息汇总统计!$Z$2:$Z$500,0)),"")</f>
        <v/>
      </c>
      <c r="B351" s="8" t="str">
        <f>IFERROR(INDEX(样本到样信息汇总统计!B$2:B$500,MATCH(350,样本到样信息汇总统计!$Z$2:$Z$500,0)),"")</f>
        <v/>
      </c>
      <c r="C351" s="8" t="str">
        <f>IFERROR(INDEX(样本到样信息汇总统计!C$2:C$500,MATCH(350,样本到样信息汇总统计!$Z$2:$Z$500,0)),"")</f>
        <v/>
      </c>
      <c r="D351" s="8" t="str">
        <f>IFERROR(INDEX(样本到样信息汇总统计!D$2:D$500,MATCH(350,样本到样信息汇总统计!$Z$2:$Z$500,0)),"")</f>
        <v/>
      </c>
      <c r="E351" s="8" t="str">
        <f>IFERROR(INDEX(样本到样信息汇总统计!E$2:E$500,MATCH(350,样本到样信息汇总统计!$Z$2:$Z$500,0)),"")</f>
        <v/>
      </c>
      <c r="F351" s="8" t="str">
        <f>IFERROR(INDEX(样本到样信息汇总统计!F$2:F$500,MATCH(350,样本到样信息汇总统计!$Z$2:$Z$500,0)),"")</f>
        <v/>
      </c>
      <c r="G351" s="8" t="str">
        <f>IFERROR(INDEX(样本到样信息汇总统计!G$2:G$500,MATCH(350,样本到样信息汇总统计!$Z$2:$Z$500,0)),"")</f>
        <v/>
      </c>
      <c r="H351" s="8" t="str">
        <f>IFERROR(INDEX(样本到样信息汇总统计!H$2:H$500,MATCH(350,样本到样信息汇总统计!$Z$2:$Z$500,0)),"")</f>
        <v/>
      </c>
      <c r="I351" s="8" t="str">
        <f>IFERROR(INDEX(样本到样信息汇总统计!I$2:I$500,MATCH(350,样本到样信息汇总统计!$Z$2:$Z$500,0)),"")</f>
        <v/>
      </c>
      <c r="J351" s="8" t="str">
        <f>IFERROR(INDEX(样本到样信息汇总统计!J$2:J$500,MATCH(350,样本到样信息汇总统计!$Z$2:$Z$500,0)),"")</f>
        <v/>
      </c>
      <c r="K351" s="8" t="str">
        <f>IFERROR(INDEX(样本到样信息汇总统计!K$2:K$500,MATCH(350,样本到样信息汇总统计!$Z$2:$Z$500,0)),"")</f>
        <v/>
      </c>
      <c r="L351" s="8" t="str">
        <f>IFERROR(INDEX(样本到样信息汇总统计!L$2:L$500,MATCH(350,样本到样信息汇总统计!$Z$2:$Z$500,0)),"")</f>
        <v/>
      </c>
      <c r="M351" s="8" t="str">
        <f>IFERROR(INDEX(样本到样信息汇总统计!M$2:M$500,MATCH(350,样本到样信息汇总统计!$Z$2:$Z$500,0)),"")</f>
        <v/>
      </c>
      <c r="N351" s="8" t="str">
        <f>IFERROR(INDEX(样本到样信息汇总统计!N$2:N$500,MATCH(350,样本到样信息汇总统计!$Z$2:$Z$500,0)),"")</f>
        <v/>
      </c>
      <c r="O351" s="8" t="str">
        <f>IFERROR(INDEX(样本到样信息汇总统计!O$2:O$500,MATCH(350,样本到样信息汇总统计!$Z$2:$Z$500,0)),"")</f>
        <v/>
      </c>
      <c r="P351" s="8" t="str">
        <f>IFERROR(INDEX(样本到样信息汇总统计!P$2:P$500,MATCH(350,样本到样信息汇总统计!$Z$2:$Z$500,0)),"")</f>
        <v/>
      </c>
      <c r="Q351" s="8" t="str">
        <f>IFERROR(INDEX(样本到样信息汇总统计!Q$2:Q$500,MATCH(350,样本到样信息汇总统计!$Z$2:$Z$500,0)),"")</f>
        <v/>
      </c>
      <c r="R351" s="8" t="str">
        <f>IFERROR(INDEX(样本到样信息汇总统计!R$2:R$500,MATCH(350,样本到样信息汇总统计!$Z$2:$Z$500,0)),"")</f>
        <v/>
      </c>
      <c r="S351" s="8" t="str">
        <f>IFERROR(INDEX(样本到样信息汇总统计!S$2:S$500,MATCH(350,样本到样信息汇总统计!$Z$2:$Z$500,0)),"")</f>
        <v/>
      </c>
      <c r="T351" s="8" t="str">
        <f>IFERROR(INDEX(样本到样信息汇总统计!T$2:T$500,MATCH(350,样本到样信息汇总统计!$Z$2:$Z$500,0)),"")</f>
        <v/>
      </c>
      <c r="U351" s="8" t="str">
        <f>IFERROR(INDEX(样本到样信息汇总统计!U$2:U$500,MATCH(350,样本到样信息汇总统计!$Z$2:$Z$500,0)),"")</f>
        <v/>
      </c>
      <c r="V351" s="8" t="str">
        <f>IFERROR(INDEX(样本到样信息汇总统计!V$2:V$500,MATCH(350,样本到样信息汇总统计!$Z$2:$Z$500,0)),"")</f>
        <v/>
      </c>
      <c r="W351" s="8" t="str">
        <f>IFERROR(INDEX(样本到样信息汇总统计!W$2:W$500,MATCH(350,样本到样信息汇总统计!$Z$2:$Z$500,0)),"")</f>
        <v/>
      </c>
    </row>
    <row r="352" ht="14.5" spans="1:23">
      <c r="A352" s="4" t="str">
        <f>IFERROR(INDEX(样本到样信息汇总统计!A$2:A$500,MATCH(351,样本到样信息汇总统计!$Z$2:$Z$500,0)),"")</f>
        <v/>
      </c>
      <c r="B352" s="4" t="str">
        <f>IFERROR(INDEX(样本到样信息汇总统计!B$2:B$500,MATCH(351,样本到样信息汇总统计!$Z$2:$Z$500,0)),"")</f>
        <v/>
      </c>
      <c r="C352" s="4" t="str">
        <f>IFERROR(INDEX(样本到样信息汇总统计!C$2:C$500,MATCH(351,样本到样信息汇总统计!$Z$2:$Z$500,0)),"")</f>
        <v/>
      </c>
      <c r="D352" s="4" t="str">
        <f>IFERROR(INDEX(样本到样信息汇总统计!D$2:D$500,MATCH(351,样本到样信息汇总统计!$Z$2:$Z$500,0)),"")</f>
        <v/>
      </c>
      <c r="E352" s="4" t="str">
        <f>IFERROR(INDEX(样本到样信息汇总统计!E$2:E$500,MATCH(351,样本到样信息汇总统计!$Z$2:$Z$500,0)),"")</f>
        <v/>
      </c>
      <c r="F352" s="4" t="str">
        <f>IFERROR(INDEX(样本到样信息汇总统计!F$2:F$500,MATCH(351,样本到样信息汇总统计!$Z$2:$Z$500,0)),"")</f>
        <v/>
      </c>
      <c r="G352" s="4" t="str">
        <f>IFERROR(INDEX(样本到样信息汇总统计!G$2:G$500,MATCH(351,样本到样信息汇总统计!$Z$2:$Z$500,0)),"")</f>
        <v/>
      </c>
      <c r="H352" s="4" t="str">
        <f>IFERROR(INDEX(样本到样信息汇总统计!H$2:H$500,MATCH(351,样本到样信息汇总统计!$Z$2:$Z$500,0)),"")</f>
        <v/>
      </c>
      <c r="I352" s="4" t="str">
        <f>IFERROR(INDEX(样本到样信息汇总统计!I$2:I$500,MATCH(351,样本到样信息汇总统计!$Z$2:$Z$500,0)),"")</f>
        <v/>
      </c>
      <c r="J352" s="4" t="str">
        <f>IFERROR(INDEX(样本到样信息汇总统计!J$2:J$500,MATCH(351,样本到样信息汇总统计!$Z$2:$Z$500,0)),"")</f>
        <v/>
      </c>
      <c r="K352" s="4" t="str">
        <f>IFERROR(INDEX(样本到样信息汇总统计!K$2:K$500,MATCH(351,样本到样信息汇总统计!$Z$2:$Z$500,0)),"")</f>
        <v/>
      </c>
      <c r="L352" s="4" t="str">
        <f>IFERROR(INDEX(样本到样信息汇总统计!L$2:L$500,MATCH(351,样本到样信息汇总统计!$Z$2:$Z$500,0)),"")</f>
        <v/>
      </c>
      <c r="M352" s="4" t="str">
        <f>IFERROR(INDEX(样本到样信息汇总统计!M$2:M$500,MATCH(351,样本到样信息汇总统计!$Z$2:$Z$500,0)),"")</f>
        <v/>
      </c>
      <c r="N352" s="4" t="str">
        <f>IFERROR(INDEX(样本到样信息汇总统计!N$2:N$500,MATCH(351,样本到样信息汇总统计!$Z$2:$Z$500,0)),"")</f>
        <v/>
      </c>
      <c r="O352" s="4" t="str">
        <f>IFERROR(INDEX(样本到样信息汇总统计!O$2:O$500,MATCH(351,样本到样信息汇总统计!$Z$2:$Z$500,0)),"")</f>
        <v/>
      </c>
      <c r="P352" s="4" t="str">
        <f>IFERROR(INDEX(样本到样信息汇总统计!P$2:P$500,MATCH(351,样本到样信息汇总统计!$Z$2:$Z$500,0)),"")</f>
        <v/>
      </c>
      <c r="Q352" s="4" t="str">
        <f>IFERROR(INDEX(样本到样信息汇总统计!Q$2:Q$500,MATCH(351,样本到样信息汇总统计!$Z$2:$Z$500,0)),"")</f>
        <v/>
      </c>
      <c r="R352" s="4" t="str">
        <f>IFERROR(INDEX(样本到样信息汇总统计!R$2:R$500,MATCH(351,样本到样信息汇总统计!$Z$2:$Z$500,0)),"")</f>
        <v/>
      </c>
      <c r="S352" s="4" t="str">
        <f>IFERROR(INDEX(样本到样信息汇总统计!S$2:S$500,MATCH(351,样本到样信息汇总统计!$Z$2:$Z$500,0)),"")</f>
        <v/>
      </c>
      <c r="T352" s="4" t="str">
        <f>IFERROR(INDEX(样本到样信息汇总统计!T$2:T$500,MATCH(351,样本到样信息汇总统计!$Z$2:$Z$500,0)),"")</f>
        <v/>
      </c>
      <c r="U352" s="4" t="str">
        <f>IFERROR(INDEX(样本到样信息汇总统计!U$2:U$500,MATCH(351,样本到样信息汇总统计!$Z$2:$Z$500,0)),"")</f>
        <v/>
      </c>
      <c r="V352" s="4" t="str">
        <f>IFERROR(INDEX(样本到样信息汇总统计!V$2:V$500,MATCH(351,样本到样信息汇总统计!$Z$2:$Z$500,0)),"")</f>
        <v/>
      </c>
      <c r="W352" s="4" t="str">
        <f>IFERROR(INDEX(样本到样信息汇总统计!W$2:W$500,MATCH(351,样本到样信息汇总统计!$Z$2:$Z$500,0)),"")</f>
        <v/>
      </c>
    </row>
    <row r="353" ht="14.5" spans="1:23">
      <c r="A353" s="8" t="str">
        <f>IFERROR(INDEX(样本到样信息汇总统计!A$2:A$500,MATCH(352,样本到样信息汇总统计!$Z$2:$Z$500,0)),"")</f>
        <v/>
      </c>
      <c r="B353" s="8" t="str">
        <f>IFERROR(INDEX(样本到样信息汇总统计!B$2:B$500,MATCH(352,样本到样信息汇总统计!$Z$2:$Z$500,0)),"")</f>
        <v/>
      </c>
      <c r="C353" s="8" t="str">
        <f>IFERROR(INDEX(样本到样信息汇总统计!C$2:C$500,MATCH(352,样本到样信息汇总统计!$Z$2:$Z$500,0)),"")</f>
        <v/>
      </c>
      <c r="D353" s="8" t="str">
        <f>IFERROR(INDEX(样本到样信息汇总统计!D$2:D$500,MATCH(352,样本到样信息汇总统计!$Z$2:$Z$500,0)),"")</f>
        <v/>
      </c>
      <c r="E353" s="8" t="str">
        <f>IFERROR(INDEX(样本到样信息汇总统计!E$2:E$500,MATCH(352,样本到样信息汇总统计!$Z$2:$Z$500,0)),"")</f>
        <v/>
      </c>
      <c r="F353" s="8" t="str">
        <f>IFERROR(INDEX(样本到样信息汇总统计!F$2:F$500,MATCH(352,样本到样信息汇总统计!$Z$2:$Z$500,0)),"")</f>
        <v/>
      </c>
      <c r="G353" s="8" t="str">
        <f>IFERROR(INDEX(样本到样信息汇总统计!G$2:G$500,MATCH(352,样本到样信息汇总统计!$Z$2:$Z$500,0)),"")</f>
        <v/>
      </c>
      <c r="H353" s="8" t="str">
        <f>IFERROR(INDEX(样本到样信息汇总统计!H$2:H$500,MATCH(352,样本到样信息汇总统计!$Z$2:$Z$500,0)),"")</f>
        <v/>
      </c>
      <c r="I353" s="8" t="str">
        <f>IFERROR(INDEX(样本到样信息汇总统计!I$2:I$500,MATCH(352,样本到样信息汇总统计!$Z$2:$Z$500,0)),"")</f>
        <v/>
      </c>
      <c r="J353" s="8" t="str">
        <f>IFERROR(INDEX(样本到样信息汇总统计!J$2:J$500,MATCH(352,样本到样信息汇总统计!$Z$2:$Z$500,0)),"")</f>
        <v/>
      </c>
      <c r="K353" s="8" t="str">
        <f>IFERROR(INDEX(样本到样信息汇总统计!K$2:K$500,MATCH(352,样本到样信息汇总统计!$Z$2:$Z$500,0)),"")</f>
        <v/>
      </c>
      <c r="L353" s="8" t="str">
        <f>IFERROR(INDEX(样本到样信息汇总统计!L$2:L$500,MATCH(352,样本到样信息汇总统计!$Z$2:$Z$500,0)),"")</f>
        <v/>
      </c>
      <c r="M353" s="8" t="str">
        <f>IFERROR(INDEX(样本到样信息汇总统计!M$2:M$500,MATCH(352,样本到样信息汇总统计!$Z$2:$Z$500,0)),"")</f>
        <v/>
      </c>
      <c r="N353" s="8" t="str">
        <f>IFERROR(INDEX(样本到样信息汇总统计!N$2:N$500,MATCH(352,样本到样信息汇总统计!$Z$2:$Z$500,0)),"")</f>
        <v/>
      </c>
      <c r="O353" s="8" t="str">
        <f>IFERROR(INDEX(样本到样信息汇总统计!O$2:O$500,MATCH(352,样本到样信息汇总统计!$Z$2:$Z$500,0)),"")</f>
        <v/>
      </c>
      <c r="P353" s="8" t="str">
        <f>IFERROR(INDEX(样本到样信息汇总统计!P$2:P$500,MATCH(352,样本到样信息汇总统计!$Z$2:$Z$500,0)),"")</f>
        <v/>
      </c>
      <c r="Q353" s="8" t="str">
        <f>IFERROR(INDEX(样本到样信息汇总统计!Q$2:Q$500,MATCH(352,样本到样信息汇总统计!$Z$2:$Z$500,0)),"")</f>
        <v/>
      </c>
      <c r="R353" s="8" t="str">
        <f>IFERROR(INDEX(样本到样信息汇总统计!R$2:R$500,MATCH(352,样本到样信息汇总统计!$Z$2:$Z$500,0)),"")</f>
        <v/>
      </c>
      <c r="S353" s="8" t="str">
        <f>IFERROR(INDEX(样本到样信息汇总统计!S$2:S$500,MATCH(352,样本到样信息汇总统计!$Z$2:$Z$500,0)),"")</f>
        <v/>
      </c>
      <c r="T353" s="8" t="str">
        <f>IFERROR(INDEX(样本到样信息汇总统计!T$2:T$500,MATCH(352,样本到样信息汇总统计!$Z$2:$Z$500,0)),"")</f>
        <v/>
      </c>
      <c r="U353" s="8" t="str">
        <f>IFERROR(INDEX(样本到样信息汇总统计!U$2:U$500,MATCH(352,样本到样信息汇总统计!$Z$2:$Z$500,0)),"")</f>
        <v/>
      </c>
      <c r="V353" s="8" t="str">
        <f>IFERROR(INDEX(样本到样信息汇总统计!V$2:V$500,MATCH(352,样本到样信息汇总统计!$Z$2:$Z$500,0)),"")</f>
        <v/>
      </c>
      <c r="W353" s="8" t="str">
        <f>IFERROR(INDEX(样本到样信息汇总统计!W$2:W$500,MATCH(352,样本到样信息汇总统计!$Z$2:$Z$500,0)),"")</f>
        <v/>
      </c>
    </row>
    <row r="354" ht="14.5" spans="1:23">
      <c r="A354" s="4" t="str">
        <f>IFERROR(INDEX(样本到样信息汇总统计!A$2:A$500,MATCH(353,样本到样信息汇总统计!$Z$2:$Z$500,0)),"")</f>
        <v/>
      </c>
      <c r="B354" s="4" t="str">
        <f>IFERROR(INDEX(样本到样信息汇总统计!B$2:B$500,MATCH(353,样本到样信息汇总统计!$Z$2:$Z$500,0)),"")</f>
        <v/>
      </c>
      <c r="C354" s="4" t="str">
        <f>IFERROR(INDEX(样本到样信息汇总统计!C$2:C$500,MATCH(353,样本到样信息汇总统计!$Z$2:$Z$500,0)),"")</f>
        <v/>
      </c>
      <c r="D354" s="4" t="str">
        <f>IFERROR(INDEX(样本到样信息汇总统计!D$2:D$500,MATCH(353,样本到样信息汇总统计!$Z$2:$Z$500,0)),"")</f>
        <v/>
      </c>
      <c r="E354" s="4" t="str">
        <f>IFERROR(INDEX(样本到样信息汇总统计!E$2:E$500,MATCH(353,样本到样信息汇总统计!$Z$2:$Z$500,0)),"")</f>
        <v/>
      </c>
      <c r="F354" s="4" t="str">
        <f>IFERROR(INDEX(样本到样信息汇总统计!F$2:F$500,MATCH(353,样本到样信息汇总统计!$Z$2:$Z$500,0)),"")</f>
        <v/>
      </c>
      <c r="G354" s="4" t="str">
        <f>IFERROR(INDEX(样本到样信息汇总统计!G$2:G$500,MATCH(353,样本到样信息汇总统计!$Z$2:$Z$500,0)),"")</f>
        <v/>
      </c>
      <c r="H354" s="4" t="str">
        <f>IFERROR(INDEX(样本到样信息汇总统计!H$2:H$500,MATCH(353,样本到样信息汇总统计!$Z$2:$Z$500,0)),"")</f>
        <v/>
      </c>
      <c r="I354" s="4" t="str">
        <f>IFERROR(INDEX(样本到样信息汇总统计!I$2:I$500,MATCH(353,样本到样信息汇总统计!$Z$2:$Z$500,0)),"")</f>
        <v/>
      </c>
      <c r="J354" s="4" t="str">
        <f>IFERROR(INDEX(样本到样信息汇总统计!J$2:J$500,MATCH(353,样本到样信息汇总统计!$Z$2:$Z$500,0)),"")</f>
        <v/>
      </c>
      <c r="K354" s="4" t="str">
        <f>IFERROR(INDEX(样本到样信息汇总统计!K$2:K$500,MATCH(353,样本到样信息汇总统计!$Z$2:$Z$500,0)),"")</f>
        <v/>
      </c>
      <c r="L354" s="4" t="str">
        <f>IFERROR(INDEX(样本到样信息汇总统计!L$2:L$500,MATCH(353,样本到样信息汇总统计!$Z$2:$Z$500,0)),"")</f>
        <v/>
      </c>
      <c r="M354" s="4" t="str">
        <f>IFERROR(INDEX(样本到样信息汇总统计!M$2:M$500,MATCH(353,样本到样信息汇总统计!$Z$2:$Z$500,0)),"")</f>
        <v/>
      </c>
      <c r="N354" s="4" t="str">
        <f>IFERROR(INDEX(样本到样信息汇总统计!N$2:N$500,MATCH(353,样本到样信息汇总统计!$Z$2:$Z$500,0)),"")</f>
        <v/>
      </c>
      <c r="O354" s="4" t="str">
        <f>IFERROR(INDEX(样本到样信息汇总统计!O$2:O$500,MATCH(353,样本到样信息汇总统计!$Z$2:$Z$500,0)),"")</f>
        <v/>
      </c>
      <c r="P354" s="4" t="str">
        <f>IFERROR(INDEX(样本到样信息汇总统计!P$2:P$500,MATCH(353,样本到样信息汇总统计!$Z$2:$Z$500,0)),"")</f>
        <v/>
      </c>
      <c r="Q354" s="4" t="str">
        <f>IFERROR(INDEX(样本到样信息汇总统计!Q$2:Q$500,MATCH(353,样本到样信息汇总统计!$Z$2:$Z$500,0)),"")</f>
        <v/>
      </c>
      <c r="R354" s="4" t="str">
        <f>IFERROR(INDEX(样本到样信息汇总统计!R$2:R$500,MATCH(353,样本到样信息汇总统计!$Z$2:$Z$500,0)),"")</f>
        <v/>
      </c>
      <c r="S354" s="4" t="str">
        <f>IFERROR(INDEX(样本到样信息汇总统计!S$2:S$500,MATCH(353,样本到样信息汇总统计!$Z$2:$Z$500,0)),"")</f>
        <v/>
      </c>
      <c r="T354" s="4" t="str">
        <f>IFERROR(INDEX(样本到样信息汇总统计!T$2:T$500,MATCH(353,样本到样信息汇总统计!$Z$2:$Z$500,0)),"")</f>
        <v/>
      </c>
      <c r="U354" s="4" t="str">
        <f>IFERROR(INDEX(样本到样信息汇总统计!U$2:U$500,MATCH(353,样本到样信息汇总统计!$Z$2:$Z$500,0)),"")</f>
        <v/>
      </c>
      <c r="V354" s="4" t="str">
        <f>IFERROR(INDEX(样本到样信息汇总统计!V$2:V$500,MATCH(353,样本到样信息汇总统计!$Z$2:$Z$500,0)),"")</f>
        <v/>
      </c>
      <c r="W354" s="4" t="str">
        <f>IFERROR(INDEX(样本到样信息汇总统计!W$2:W$500,MATCH(353,样本到样信息汇总统计!$Z$2:$Z$500,0)),"")</f>
        <v/>
      </c>
    </row>
    <row r="355" ht="14.5" spans="1:23">
      <c r="A355" s="8" t="str">
        <f>IFERROR(INDEX(样本到样信息汇总统计!A$2:A$500,MATCH(354,样本到样信息汇总统计!$Z$2:$Z$500,0)),"")</f>
        <v/>
      </c>
      <c r="B355" s="8" t="str">
        <f>IFERROR(INDEX(样本到样信息汇总统计!B$2:B$500,MATCH(354,样本到样信息汇总统计!$Z$2:$Z$500,0)),"")</f>
        <v/>
      </c>
      <c r="C355" s="8" t="str">
        <f>IFERROR(INDEX(样本到样信息汇总统计!C$2:C$500,MATCH(354,样本到样信息汇总统计!$Z$2:$Z$500,0)),"")</f>
        <v/>
      </c>
      <c r="D355" s="8" t="str">
        <f>IFERROR(INDEX(样本到样信息汇总统计!D$2:D$500,MATCH(354,样本到样信息汇总统计!$Z$2:$Z$500,0)),"")</f>
        <v/>
      </c>
      <c r="E355" s="8" t="str">
        <f>IFERROR(INDEX(样本到样信息汇总统计!E$2:E$500,MATCH(354,样本到样信息汇总统计!$Z$2:$Z$500,0)),"")</f>
        <v/>
      </c>
      <c r="F355" s="8" t="str">
        <f>IFERROR(INDEX(样本到样信息汇总统计!F$2:F$500,MATCH(354,样本到样信息汇总统计!$Z$2:$Z$500,0)),"")</f>
        <v/>
      </c>
      <c r="G355" s="8" t="str">
        <f>IFERROR(INDEX(样本到样信息汇总统计!G$2:G$500,MATCH(354,样本到样信息汇总统计!$Z$2:$Z$500,0)),"")</f>
        <v/>
      </c>
      <c r="H355" s="8" t="str">
        <f>IFERROR(INDEX(样本到样信息汇总统计!H$2:H$500,MATCH(354,样本到样信息汇总统计!$Z$2:$Z$500,0)),"")</f>
        <v/>
      </c>
      <c r="I355" s="8" t="str">
        <f>IFERROR(INDEX(样本到样信息汇总统计!I$2:I$500,MATCH(354,样本到样信息汇总统计!$Z$2:$Z$500,0)),"")</f>
        <v/>
      </c>
      <c r="J355" s="8" t="str">
        <f>IFERROR(INDEX(样本到样信息汇总统计!J$2:J$500,MATCH(354,样本到样信息汇总统计!$Z$2:$Z$500,0)),"")</f>
        <v/>
      </c>
      <c r="K355" s="8" t="str">
        <f>IFERROR(INDEX(样本到样信息汇总统计!K$2:K$500,MATCH(354,样本到样信息汇总统计!$Z$2:$Z$500,0)),"")</f>
        <v/>
      </c>
      <c r="L355" s="8" t="str">
        <f>IFERROR(INDEX(样本到样信息汇总统计!L$2:L$500,MATCH(354,样本到样信息汇总统计!$Z$2:$Z$500,0)),"")</f>
        <v/>
      </c>
      <c r="M355" s="8" t="str">
        <f>IFERROR(INDEX(样本到样信息汇总统计!M$2:M$500,MATCH(354,样本到样信息汇总统计!$Z$2:$Z$500,0)),"")</f>
        <v/>
      </c>
      <c r="N355" s="8" t="str">
        <f>IFERROR(INDEX(样本到样信息汇总统计!N$2:N$500,MATCH(354,样本到样信息汇总统计!$Z$2:$Z$500,0)),"")</f>
        <v/>
      </c>
      <c r="O355" s="8" t="str">
        <f>IFERROR(INDEX(样本到样信息汇总统计!O$2:O$500,MATCH(354,样本到样信息汇总统计!$Z$2:$Z$500,0)),"")</f>
        <v/>
      </c>
      <c r="P355" s="8" t="str">
        <f>IFERROR(INDEX(样本到样信息汇总统计!P$2:P$500,MATCH(354,样本到样信息汇总统计!$Z$2:$Z$500,0)),"")</f>
        <v/>
      </c>
      <c r="Q355" s="8" t="str">
        <f>IFERROR(INDEX(样本到样信息汇总统计!Q$2:Q$500,MATCH(354,样本到样信息汇总统计!$Z$2:$Z$500,0)),"")</f>
        <v/>
      </c>
      <c r="R355" s="8" t="str">
        <f>IFERROR(INDEX(样本到样信息汇总统计!R$2:R$500,MATCH(354,样本到样信息汇总统计!$Z$2:$Z$500,0)),"")</f>
        <v/>
      </c>
      <c r="S355" s="8" t="str">
        <f>IFERROR(INDEX(样本到样信息汇总统计!S$2:S$500,MATCH(354,样本到样信息汇总统计!$Z$2:$Z$500,0)),"")</f>
        <v/>
      </c>
      <c r="T355" s="8" t="str">
        <f>IFERROR(INDEX(样本到样信息汇总统计!T$2:T$500,MATCH(354,样本到样信息汇总统计!$Z$2:$Z$500,0)),"")</f>
        <v/>
      </c>
      <c r="U355" s="8" t="str">
        <f>IFERROR(INDEX(样本到样信息汇总统计!U$2:U$500,MATCH(354,样本到样信息汇总统计!$Z$2:$Z$500,0)),"")</f>
        <v/>
      </c>
      <c r="V355" s="8" t="str">
        <f>IFERROR(INDEX(样本到样信息汇总统计!V$2:V$500,MATCH(354,样本到样信息汇总统计!$Z$2:$Z$500,0)),"")</f>
        <v/>
      </c>
      <c r="W355" s="8" t="str">
        <f>IFERROR(INDEX(样本到样信息汇总统计!W$2:W$500,MATCH(354,样本到样信息汇总统计!$Z$2:$Z$500,0)),"")</f>
        <v/>
      </c>
    </row>
    <row r="356" ht="14.5" spans="1:23">
      <c r="A356" s="4" t="str">
        <f>IFERROR(INDEX(样本到样信息汇总统计!A$2:A$500,MATCH(355,样本到样信息汇总统计!$Z$2:$Z$500,0)),"")</f>
        <v/>
      </c>
      <c r="B356" s="4" t="str">
        <f>IFERROR(INDEX(样本到样信息汇总统计!B$2:B$500,MATCH(355,样本到样信息汇总统计!$Z$2:$Z$500,0)),"")</f>
        <v/>
      </c>
      <c r="C356" s="4" t="str">
        <f>IFERROR(INDEX(样本到样信息汇总统计!C$2:C$500,MATCH(355,样本到样信息汇总统计!$Z$2:$Z$500,0)),"")</f>
        <v/>
      </c>
      <c r="D356" s="4" t="str">
        <f>IFERROR(INDEX(样本到样信息汇总统计!D$2:D$500,MATCH(355,样本到样信息汇总统计!$Z$2:$Z$500,0)),"")</f>
        <v/>
      </c>
      <c r="E356" s="4" t="str">
        <f>IFERROR(INDEX(样本到样信息汇总统计!E$2:E$500,MATCH(355,样本到样信息汇总统计!$Z$2:$Z$500,0)),"")</f>
        <v/>
      </c>
      <c r="F356" s="4" t="str">
        <f>IFERROR(INDEX(样本到样信息汇总统计!F$2:F$500,MATCH(355,样本到样信息汇总统计!$Z$2:$Z$500,0)),"")</f>
        <v/>
      </c>
      <c r="G356" s="4" t="str">
        <f>IFERROR(INDEX(样本到样信息汇总统计!G$2:G$500,MATCH(355,样本到样信息汇总统计!$Z$2:$Z$500,0)),"")</f>
        <v/>
      </c>
      <c r="H356" s="4" t="str">
        <f>IFERROR(INDEX(样本到样信息汇总统计!H$2:H$500,MATCH(355,样本到样信息汇总统计!$Z$2:$Z$500,0)),"")</f>
        <v/>
      </c>
      <c r="I356" s="4" t="str">
        <f>IFERROR(INDEX(样本到样信息汇总统计!I$2:I$500,MATCH(355,样本到样信息汇总统计!$Z$2:$Z$500,0)),"")</f>
        <v/>
      </c>
      <c r="J356" s="4" t="str">
        <f>IFERROR(INDEX(样本到样信息汇总统计!J$2:J$500,MATCH(355,样本到样信息汇总统计!$Z$2:$Z$500,0)),"")</f>
        <v/>
      </c>
      <c r="K356" s="4" t="str">
        <f>IFERROR(INDEX(样本到样信息汇总统计!K$2:K$500,MATCH(355,样本到样信息汇总统计!$Z$2:$Z$500,0)),"")</f>
        <v/>
      </c>
      <c r="L356" s="4" t="str">
        <f>IFERROR(INDEX(样本到样信息汇总统计!L$2:L$500,MATCH(355,样本到样信息汇总统计!$Z$2:$Z$500,0)),"")</f>
        <v/>
      </c>
      <c r="M356" s="4" t="str">
        <f>IFERROR(INDEX(样本到样信息汇总统计!M$2:M$500,MATCH(355,样本到样信息汇总统计!$Z$2:$Z$500,0)),"")</f>
        <v/>
      </c>
      <c r="N356" s="4" t="str">
        <f>IFERROR(INDEX(样本到样信息汇总统计!N$2:N$500,MATCH(355,样本到样信息汇总统计!$Z$2:$Z$500,0)),"")</f>
        <v/>
      </c>
      <c r="O356" s="4" t="str">
        <f>IFERROR(INDEX(样本到样信息汇总统计!O$2:O$500,MATCH(355,样本到样信息汇总统计!$Z$2:$Z$500,0)),"")</f>
        <v/>
      </c>
      <c r="P356" s="4" t="str">
        <f>IFERROR(INDEX(样本到样信息汇总统计!P$2:P$500,MATCH(355,样本到样信息汇总统计!$Z$2:$Z$500,0)),"")</f>
        <v/>
      </c>
      <c r="Q356" s="4" t="str">
        <f>IFERROR(INDEX(样本到样信息汇总统计!Q$2:Q$500,MATCH(355,样本到样信息汇总统计!$Z$2:$Z$500,0)),"")</f>
        <v/>
      </c>
      <c r="R356" s="4" t="str">
        <f>IFERROR(INDEX(样本到样信息汇总统计!R$2:R$500,MATCH(355,样本到样信息汇总统计!$Z$2:$Z$500,0)),"")</f>
        <v/>
      </c>
      <c r="S356" s="4" t="str">
        <f>IFERROR(INDEX(样本到样信息汇总统计!S$2:S$500,MATCH(355,样本到样信息汇总统计!$Z$2:$Z$500,0)),"")</f>
        <v/>
      </c>
      <c r="T356" s="4" t="str">
        <f>IFERROR(INDEX(样本到样信息汇总统计!T$2:T$500,MATCH(355,样本到样信息汇总统计!$Z$2:$Z$500,0)),"")</f>
        <v/>
      </c>
      <c r="U356" s="4" t="str">
        <f>IFERROR(INDEX(样本到样信息汇总统计!U$2:U$500,MATCH(355,样本到样信息汇总统计!$Z$2:$Z$500,0)),"")</f>
        <v/>
      </c>
      <c r="V356" s="4" t="str">
        <f>IFERROR(INDEX(样本到样信息汇总统计!V$2:V$500,MATCH(355,样本到样信息汇总统计!$Z$2:$Z$500,0)),"")</f>
        <v/>
      </c>
      <c r="W356" s="4" t="str">
        <f>IFERROR(INDEX(样本到样信息汇总统计!W$2:W$500,MATCH(355,样本到样信息汇总统计!$Z$2:$Z$500,0)),"")</f>
        <v/>
      </c>
    </row>
    <row r="357" ht="14.5" spans="1:23">
      <c r="A357" s="8" t="str">
        <f>IFERROR(INDEX(样本到样信息汇总统计!A$2:A$500,MATCH(356,样本到样信息汇总统计!$Z$2:$Z$500,0)),"")</f>
        <v/>
      </c>
      <c r="B357" s="8" t="str">
        <f>IFERROR(INDEX(样本到样信息汇总统计!B$2:B$500,MATCH(356,样本到样信息汇总统计!$Z$2:$Z$500,0)),"")</f>
        <v/>
      </c>
      <c r="C357" s="8" t="str">
        <f>IFERROR(INDEX(样本到样信息汇总统计!C$2:C$500,MATCH(356,样本到样信息汇总统计!$Z$2:$Z$500,0)),"")</f>
        <v/>
      </c>
      <c r="D357" s="8" t="str">
        <f>IFERROR(INDEX(样本到样信息汇总统计!D$2:D$500,MATCH(356,样本到样信息汇总统计!$Z$2:$Z$500,0)),"")</f>
        <v/>
      </c>
      <c r="E357" s="8" t="str">
        <f>IFERROR(INDEX(样本到样信息汇总统计!E$2:E$500,MATCH(356,样本到样信息汇总统计!$Z$2:$Z$500,0)),"")</f>
        <v/>
      </c>
      <c r="F357" s="8" t="str">
        <f>IFERROR(INDEX(样本到样信息汇总统计!F$2:F$500,MATCH(356,样本到样信息汇总统计!$Z$2:$Z$500,0)),"")</f>
        <v/>
      </c>
      <c r="G357" s="8" t="str">
        <f>IFERROR(INDEX(样本到样信息汇总统计!G$2:G$500,MATCH(356,样本到样信息汇总统计!$Z$2:$Z$500,0)),"")</f>
        <v/>
      </c>
      <c r="H357" s="8" t="str">
        <f>IFERROR(INDEX(样本到样信息汇总统计!H$2:H$500,MATCH(356,样本到样信息汇总统计!$Z$2:$Z$500,0)),"")</f>
        <v/>
      </c>
      <c r="I357" s="8" t="str">
        <f>IFERROR(INDEX(样本到样信息汇总统计!I$2:I$500,MATCH(356,样本到样信息汇总统计!$Z$2:$Z$500,0)),"")</f>
        <v/>
      </c>
      <c r="J357" s="8" t="str">
        <f>IFERROR(INDEX(样本到样信息汇总统计!J$2:J$500,MATCH(356,样本到样信息汇总统计!$Z$2:$Z$500,0)),"")</f>
        <v/>
      </c>
      <c r="K357" s="8" t="str">
        <f>IFERROR(INDEX(样本到样信息汇总统计!K$2:K$500,MATCH(356,样本到样信息汇总统计!$Z$2:$Z$500,0)),"")</f>
        <v/>
      </c>
      <c r="L357" s="8" t="str">
        <f>IFERROR(INDEX(样本到样信息汇总统计!L$2:L$500,MATCH(356,样本到样信息汇总统计!$Z$2:$Z$500,0)),"")</f>
        <v/>
      </c>
      <c r="M357" s="8" t="str">
        <f>IFERROR(INDEX(样本到样信息汇总统计!M$2:M$500,MATCH(356,样本到样信息汇总统计!$Z$2:$Z$500,0)),"")</f>
        <v/>
      </c>
      <c r="N357" s="8" t="str">
        <f>IFERROR(INDEX(样本到样信息汇总统计!N$2:N$500,MATCH(356,样本到样信息汇总统计!$Z$2:$Z$500,0)),"")</f>
        <v/>
      </c>
      <c r="O357" s="8" t="str">
        <f>IFERROR(INDEX(样本到样信息汇总统计!O$2:O$500,MATCH(356,样本到样信息汇总统计!$Z$2:$Z$500,0)),"")</f>
        <v/>
      </c>
      <c r="P357" s="8" t="str">
        <f>IFERROR(INDEX(样本到样信息汇总统计!P$2:P$500,MATCH(356,样本到样信息汇总统计!$Z$2:$Z$500,0)),"")</f>
        <v/>
      </c>
      <c r="Q357" s="8" t="str">
        <f>IFERROR(INDEX(样本到样信息汇总统计!Q$2:Q$500,MATCH(356,样本到样信息汇总统计!$Z$2:$Z$500,0)),"")</f>
        <v/>
      </c>
      <c r="R357" s="8" t="str">
        <f>IFERROR(INDEX(样本到样信息汇总统计!R$2:R$500,MATCH(356,样本到样信息汇总统计!$Z$2:$Z$500,0)),"")</f>
        <v/>
      </c>
      <c r="S357" s="8" t="str">
        <f>IFERROR(INDEX(样本到样信息汇总统计!S$2:S$500,MATCH(356,样本到样信息汇总统计!$Z$2:$Z$500,0)),"")</f>
        <v/>
      </c>
      <c r="T357" s="8" t="str">
        <f>IFERROR(INDEX(样本到样信息汇总统计!T$2:T$500,MATCH(356,样本到样信息汇总统计!$Z$2:$Z$500,0)),"")</f>
        <v/>
      </c>
      <c r="U357" s="8" t="str">
        <f>IFERROR(INDEX(样本到样信息汇总统计!U$2:U$500,MATCH(356,样本到样信息汇总统计!$Z$2:$Z$500,0)),"")</f>
        <v/>
      </c>
      <c r="V357" s="8" t="str">
        <f>IFERROR(INDEX(样本到样信息汇总统计!V$2:V$500,MATCH(356,样本到样信息汇总统计!$Z$2:$Z$500,0)),"")</f>
        <v/>
      </c>
      <c r="W357" s="8" t="str">
        <f>IFERROR(INDEX(样本到样信息汇总统计!W$2:W$500,MATCH(356,样本到样信息汇总统计!$Z$2:$Z$500,0)),"")</f>
        <v/>
      </c>
    </row>
    <row r="358" ht="14.5" spans="1:23">
      <c r="A358" s="4" t="str">
        <f>IFERROR(INDEX(样本到样信息汇总统计!A$2:A$500,MATCH(357,样本到样信息汇总统计!$Z$2:$Z$500,0)),"")</f>
        <v/>
      </c>
      <c r="B358" s="4" t="str">
        <f>IFERROR(INDEX(样本到样信息汇总统计!B$2:B$500,MATCH(357,样本到样信息汇总统计!$Z$2:$Z$500,0)),"")</f>
        <v/>
      </c>
      <c r="C358" s="4" t="str">
        <f>IFERROR(INDEX(样本到样信息汇总统计!C$2:C$500,MATCH(357,样本到样信息汇总统计!$Z$2:$Z$500,0)),"")</f>
        <v/>
      </c>
      <c r="D358" s="4" t="str">
        <f>IFERROR(INDEX(样本到样信息汇总统计!D$2:D$500,MATCH(357,样本到样信息汇总统计!$Z$2:$Z$500,0)),"")</f>
        <v/>
      </c>
      <c r="E358" s="4" t="str">
        <f>IFERROR(INDEX(样本到样信息汇总统计!E$2:E$500,MATCH(357,样本到样信息汇总统计!$Z$2:$Z$500,0)),"")</f>
        <v/>
      </c>
      <c r="F358" s="4" t="str">
        <f>IFERROR(INDEX(样本到样信息汇总统计!F$2:F$500,MATCH(357,样本到样信息汇总统计!$Z$2:$Z$500,0)),"")</f>
        <v/>
      </c>
      <c r="G358" s="4" t="str">
        <f>IFERROR(INDEX(样本到样信息汇总统计!G$2:G$500,MATCH(357,样本到样信息汇总统计!$Z$2:$Z$500,0)),"")</f>
        <v/>
      </c>
      <c r="H358" s="4" t="str">
        <f>IFERROR(INDEX(样本到样信息汇总统计!H$2:H$500,MATCH(357,样本到样信息汇总统计!$Z$2:$Z$500,0)),"")</f>
        <v/>
      </c>
      <c r="I358" s="4" t="str">
        <f>IFERROR(INDEX(样本到样信息汇总统计!I$2:I$500,MATCH(357,样本到样信息汇总统计!$Z$2:$Z$500,0)),"")</f>
        <v/>
      </c>
      <c r="J358" s="4" t="str">
        <f>IFERROR(INDEX(样本到样信息汇总统计!J$2:J$500,MATCH(357,样本到样信息汇总统计!$Z$2:$Z$500,0)),"")</f>
        <v/>
      </c>
      <c r="K358" s="4" t="str">
        <f>IFERROR(INDEX(样本到样信息汇总统计!K$2:K$500,MATCH(357,样本到样信息汇总统计!$Z$2:$Z$500,0)),"")</f>
        <v/>
      </c>
      <c r="L358" s="4" t="str">
        <f>IFERROR(INDEX(样本到样信息汇总统计!L$2:L$500,MATCH(357,样本到样信息汇总统计!$Z$2:$Z$500,0)),"")</f>
        <v/>
      </c>
      <c r="M358" s="4" t="str">
        <f>IFERROR(INDEX(样本到样信息汇总统计!M$2:M$500,MATCH(357,样本到样信息汇总统计!$Z$2:$Z$500,0)),"")</f>
        <v/>
      </c>
      <c r="N358" s="4" t="str">
        <f>IFERROR(INDEX(样本到样信息汇总统计!N$2:N$500,MATCH(357,样本到样信息汇总统计!$Z$2:$Z$500,0)),"")</f>
        <v/>
      </c>
      <c r="O358" s="4" t="str">
        <f>IFERROR(INDEX(样本到样信息汇总统计!O$2:O$500,MATCH(357,样本到样信息汇总统计!$Z$2:$Z$500,0)),"")</f>
        <v/>
      </c>
      <c r="P358" s="4" t="str">
        <f>IFERROR(INDEX(样本到样信息汇总统计!P$2:P$500,MATCH(357,样本到样信息汇总统计!$Z$2:$Z$500,0)),"")</f>
        <v/>
      </c>
      <c r="Q358" s="4" t="str">
        <f>IFERROR(INDEX(样本到样信息汇总统计!Q$2:Q$500,MATCH(357,样本到样信息汇总统计!$Z$2:$Z$500,0)),"")</f>
        <v/>
      </c>
      <c r="R358" s="4" t="str">
        <f>IFERROR(INDEX(样本到样信息汇总统计!R$2:R$500,MATCH(357,样本到样信息汇总统计!$Z$2:$Z$500,0)),"")</f>
        <v/>
      </c>
      <c r="S358" s="4" t="str">
        <f>IFERROR(INDEX(样本到样信息汇总统计!S$2:S$500,MATCH(357,样本到样信息汇总统计!$Z$2:$Z$500,0)),"")</f>
        <v/>
      </c>
      <c r="T358" s="4" t="str">
        <f>IFERROR(INDEX(样本到样信息汇总统计!T$2:T$500,MATCH(357,样本到样信息汇总统计!$Z$2:$Z$500,0)),"")</f>
        <v/>
      </c>
      <c r="U358" s="4" t="str">
        <f>IFERROR(INDEX(样本到样信息汇总统计!U$2:U$500,MATCH(357,样本到样信息汇总统计!$Z$2:$Z$500,0)),"")</f>
        <v/>
      </c>
      <c r="V358" s="4" t="str">
        <f>IFERROR(INDEX(样本到样信息汇总统计!V$2:V$500,MATCH(357,样本到样信息汇总统计!$Z$2:$Z$500,0)),"")</f>
        <v/>
      </c>
      <c r="W358" s="4" t="str">
        <f>IFERROR(INDEX(样本到样信息汇总统计!W$2:W$500,MATCH(357,样本到样信息汇总统计!$Z$2:$Z$500,0)),"")</f>
        <v/>
      </c>
    </row>
    <row r="359" ht="14.5" spans="1:23">
      <c r="A359" s="8" t="str">
        <f>IFERROR(INDEX(样本到样信息汇总统计!A$2:A$500,MATCH(358,样本到样信息汇总统计!$Z$2:$Z$500,0)),"")</f>
        <v/>
      </c>
      <c r="B359" s="8" t="str">
        <f>IFERROR(INDEX(样本到样信息汇总统计!B$2:B$500,MATCH(358,样本到样信息汇总统计!$Z$2:$Z$500,0)),"")</f>
        <v/>
      </c>
      <c r="C359" s="8" t="str">
        <f>IFERROR(INDEX(样本到样信息汇总统计!C$2:C$500,MATCH(358,样本到样信息汇总统计!$Z$2:$Z$500,0)),"")</f>
        <v/>
      </c>
      <c r="D359" s="8" t="str">
        <f>IFERROR(INDEX(样本到样信息汇总统计!D$2:D$500,MATCH(358,样本到样信息汇总统计!$Z$2:$Z$500,0)),"")</f>
        <v/>
      </c>
      <c r="E359" s="8" t="str">
        <f>IFERROR(INDEX(样本到样信息汇总统计!E$2:E$500,MATCH(358,样本到样信息汇总统计!$Z$2:$Z$500,0)),"")</f>
        <v/>
      </c>
      <c r="F359" s="8" t="str">
        <f>IFERROR(INDEX(样本到样信息汇总统计!F$2:F$500,MATCH(358,样本到样信息汇总统计!$Z$2:$Z$500,0)),"")</f>
        <v/>
      </c>
      <c r="G359" s="8" t="str">
        <f>IFERROR(INDEX(样本到样信息汇总统计!G$2:G$500,MATCH(358,样本到样信息汇总统计!$Z$2:$Z$500,0)),"")</f>
        <v/>
      </c>
      <c r="H359" s="8" t="str">
        <f>IFERROR(INDEX(样本到样信息汇总统计!H$2:H$500,MATCH(358,样本到样信息汇总统计!$Z$2:$Z$500,0)),"")</f>
        <v/>
      </c>
      <c r="I359" s="8" t="str">
        <f>IFERROR(INDEX(样本到样信息汇总统计!I$2:I$500,MATCH(358,样本到样信息汇总统计!$Z$2:$Z$500,0)),"")</f>
        <v/>
      </c>
      <c r="J359" s="8" t="str">
        <f>IFERROR(INDEX(样本到样信息汇总统计!J$2:J$500,MATCH(358,样本到样信息汇总统计!$Z$2:$Z$500,0)),"")</f>
        <v/>
      </c>
      <c r="K359" s="8" t="str">
        <f>IFERROR(INDEX(样本到样信息汇总统计!K$2:K$500,MATCH(358,样本到样信息汇总统计!$Z$2:$Z$500,0)),"")</f>
        <v/>
      </c>
      <c r="L359" s="8" t="str">
        <f>IFERROR(INDEX(样本到样信息汇总统计!L$2:L$500,MATCH(358,样本到样信息汇总统计!$Z$2:$Z$500,0)),"")</f>
        <v/>
      </c>
      <c r="M359" s="8" t="str">
        <f>IFERROR(INDEX(样本到样信息汇总统计!M$2:M$500,MATCH(358,样本到样信息汇总统计!$Z$2:$Z$500,0)),"")</f>
        <v/>
      </c>
      <c r="N359" s="8" t="str">
        <f>IFERROR(INDEX(样本到样信息汇总统计!N$2:N$500,MATCH(358,样本到样信息汇总统计!$Z$2:$Z$500,0)),"")</f>
        <v/>
      </c>
      <c r="O359" s="8" t="str">
        <f>IFERROR(INDEX(样本到样信息汇总统计!O$2:O$500,MATCH(358,样本到样信息汇总统计!$Z$2:$Z$500,0)),"")</f>
        <v/>
      </c>
      <c r="P359" s="8" t="str">
        <f>IFERROR(INDEX(样本到样信息汇总统计!P$2:P$500,MATCH(358,样本到样信息汇总统计!$Z$2:$Z$500,0)),"")</f>
        <v/>
      </c>
      <c r="Q359" s="8" t="str">
        <f>IFERROR(INDEX(样本到样信息汇总统计!Q$2:Q$500,MATCH(358,样本到样信息汇总统计!$Z$2:$Z$500,0)),"")</f>
        <v/>
      </c>
      <c r="R359" s="8" t="str">
        <f>IFERROR(INDEX(样本到样信息汇总统计!R$2:R$500,MATCH(358,样本到样信息汇总统计!$Z$2:$Z$500,0)),"")</f>
        <v/>
      </c>
      <c r="S359" s="8" t="str">
        <f>IFERROR(INDEX(样本到样信息汇总统计!S$2:S$500,MATCH(358,样本到样信息汇总统计!$Z$2:$Z$500,0)),"")</f>
        <v/>
      </c>
      <c r="T359" s="8" t="str">
        <f>IFERROR(INDEX(样本到样信息汇总统计!T$2:T$500,MATCH(358,样本到样信息汇总统计!$Z$2:$Z$500,0)),"")</f>
        <v/>
      </c>
      <c r="U359" s="8" t="str">
        <f>IFERROR(INDEX(样本到样信息汇总统计!U$2:U$500,MATCH(358,样本到样信息汇总统计!$Z$2:$Z$500,0)),"")</f>
        <v/>
      </c>
      <c r="V359" s="8" t="str">
        <f>IFERROR(INDEX(样本到样信息汇总统计!V$2:V$500,MATCH(358,样本到样信息汇总统计!$Z$2:$Z$500,0)),"")</f>
        <v/>
      </c>
      <c r="W359" s="8" t="str">
        <f>IFERROR(INDEX(样本到样信息汇总统计!W$2:W$500,MATCH(358,样本到样信息汇总统计!$Z$2:$Z$500,0)),"")</f>
        <v/>
      </c>
    </row>
    <row r="360" ht="14.5" spans="1:23">
      <c r="A360" s="4" t="str">
        <f>IFERROR(INDEX(样本到样信息汇总统计!A$2:A$500,MATCH(359,样本到样信息汇总统计!$Z$2:$Z$500,0)),"")</f>
        <v/>
      </c>
      <c r="B360" s="4" t="str">
        <f>IFERROR(INDEX(样本到样信息汇总统计!B$2:B$500,MATCH(359,样本到样信息汇总统计!$Z$2:$Z$500,0)),"")</f>
        <v/>
      </c>
      <c r="C360" s="4" t="str">
        <f>IFERROR(INDEX(样本到样信息汇总统计!C$2:C$500,MATCH(359,样本到样信息汇总统计!$Z$2:$Z$500,0)),"")</f>
        <v/>
      </c>
      <c r="D360" s="4" t="str">
        <f>IFERROR(INDEX(样本到样信息汇总统计!D$2:D$500,MATCH(359,样本到样信息汇总统计!$Z$2:$Z$500,0)),"")</f>
        <v/>
      </c>
      <c r="E360" s="4" t="str">
        <f>IFERROR(INDEX(样本到样信息汇总统计!E$2:E$500,MATCH(359,样本到样信息汇总统计!$Z$2:$Z$500,0)),"")</f>
        <v/>
      </c>
      <c r="F360" s="4" t="str">
        <f>IFERROR(INDEX(样本到样信息汇总统计!F$2:F$500,MATCH(359,样本到样信息汇总统计!$Z$2:$Z$500,0)),"")</f>
        <v/>
      </c>
      <c r="G360" s="4" t="str">
        <f>IFERROR(INDEX(样本到样信息汇总统计!G$2:G$500,MATCH(359,样本到样信息汇总统计!$Z$2:$Z$500,0)),"")</f>
        <v/>
      </c>
      <c r="H360" s="4" t="str">
        <f>IFERROR(INDEX(样本到样信息汇总统计!H$2:H$500,MATCH(359,样本到样信息汇总统计!$Z$2:$Z$500,0)),"")</f>
        <v/>
      </c>
      <c r="I360" s="4" t="str">
        <f>IFERROR(INDEX(样本到样信息汇总统计!I$2:I$500,MATCH(359,样本到样信息汇总统计!$Z$2:$Z$500,0)),"")</f>
        <v/>
      </c>
      <c r="J360" s="4" t="str">
        <f>IFERROR(INDEX(样本到样信息汇总统计!J$2:J$500,MATCH(359,样本到样信息汇总统计!$Z$2:$Z$500,0)),"")</f>
        <v/>
      </c>
      <c r="K360" s="4" t="str">
        <f>IFERROR(INDEX(样本到样信息汇总统计!K$2:K$500,MATCH(359,样本到样信息汇总统计!$Z$2:$Z$500,0)),"")</f>
        <v/>
      </c>
      <c r="L360" s="4" t="str">
        <f>IFERROR(INDEX(样本到样信息汇总统计!L$2:L$500,MATCH(359,样本到样信息汇总统计!$Z$2:$Z$500,0)),"")</f>
        <v/>
      </c>
      <c r="M360" s="4" t="str">
        <f>IFERROR(INDEX(样本到样信息汇总统计!M$2:M$500,MATCH(359,样本到样信息汇总统计!$Z$2:$Z$500,0)),"")</f>
        <v/>
      </c>
      <c r="N360" s="4" t="str">
        <f>IFERROR(INDEX(样本到样信息汇总统计!N$2:N$500,MATCH(359,样本到样信息汇总统计!$Z$2:$Z$500,0)),"")</f>
        <v/>
      </c>
      <c r="O360" s="4" t="str">
        <f>IFERROR(INDEX(样本到样信息汇总统计!O$2:O$500,MATCH(359,样本到样信息汇总统计!$Z$2:$Z$500,0)),"")</f>
        <v/>
      </c>
      <c r="P360" s="4" t="str">
        <f>IFERROR(INDEX(样本到样信息汇总统计!P$2:P$500,MATCH(359,样本到样信息汇总统计!$Z$2:$Z$500,0)),"")</f>
        <v/>
      </c>
      <c r="Q360" s="4" t="str">
        <f>IFERROR(INDEX(样本到样信息汇总统计!Q$2:Q$500,MATCH(359,样本到样信息汇总统计!$Z$2:$Z$500,0)),"")</f>
        <v/>
      </c>
      <c r="R360" s="4" t="str">
        <f>IFERROR(INDEX(样本到样信息汇总统计!R$2:R$500,MATCH(359,样本到样信息汇总统计!$Z$2:$Z$500,0)),"")</f>
        <v/>
      </c>
      <c r="S360" s="4" t="str">
        <f>IFERROR(INDEX(样本到样信息汇总统计!S$2:S$500,MATCH(359,样本到样信息汇总统计!$Z$2:$Z$500,0)),"")</f>
        <v/>
      </c>
      <c r="T360" s="4" t="str">
        <f>IFERROR(INDEX(样本到样信息汇总统计!T$2:T$500,MATCH(359,样本到样信息汇总统计!$Z$2:$Z$500,0)),"")</f>
        <v/>
      </c>
      <c r="U360" s="4" t="str">
        <f>IFERROR(INDEX(样本到样信息汇总统计!U$2:U$500,MATCH(359,样本到样信息汇总统计!$Z$2:$Z$500,0)),"")</f>
        <v/>
      </c>
      <c r="V360" s="4" t="str">
        <f>IFERROR(INDEX(样本到样信息汇总统计!V$2:V$500,MATCH(359,样本到样信息汇总统计!$Z$2:$Z$500,0)),"")</f>
        <v/>
      </c>
      <c r="W360" s="4" t="str">
        <f>IFERROR(INDEX(样本到样信息汇总统计!W$2:W$500,MATCH(359,样本到样信息汇总统计!$Z$2:$Z$500,0)),"")</f>
        <v/>
      </c>
    </row>
    <row r="361" ht="14.5" spans="1:23">
      <c r="A361" s="8" t="str">
        <f>IFERROR(INDEX(样本到样信息汇总统计!A$2:A$500,MATCH(360,样本到样信息汇总统计!$Z$2:$Z$500,0)),"")</f>
        <v/>
      </c>
      <c r="B361" s="8" t="str">
        <f>IFERROR(INDEX(样本到样信息汇总统计!B$2:B$500,MATCH(360,样本到样信息汇总统计!$Z$2:$Z$500,0)),"")</f>
        <v/>
      </c>
      <c r="C361" s="8" t="str">
        <f>IFERROR(INDEX(样本到样信息汇总统计!C$2:C$500,MATCH(360,样本到样信息汇总统计!$Z$2:$Z$500,0)),"")</f>
        <v/>
      </c>
      <c r="D361" s="8" t="str">
        <f>IFERROR(INDEX(样本到样信息汇总统计!D$2:D$500,MATCH(360,样本到样信息汇总统计!$Z$2:$Z$500,0)),"")</f>
        <v/>
      </c>
      <c r="E361" s="8" t="str">
        <f>IFERROR(INDEX(样本到样信息汇总统计!E$2:E$500,MATCH(360,样本到样信息汇总统计!$Z$2:$Z$500,0)),"")</f>
        <v/>
      </c>
      <c r="F361" s="8" t="str">
        <f>IFERROR(INDEX(样本到样信息汇总统计!F$2:F$500,MATCH(360,样本到样信息汇总统计!$Z$2:$Z$500,0)),"")</f>
        <v/>
      </c>
      <c r="G361" s="8" t="str">
        <f>IFERROR(INDEX(样本到样信息汇总统计!G$2:G$500,MATCH(360,样本到样信息汇总统计!$Z$2:$Z$500,0)),"")</f>
        <v/>
      </c>
      <c r="H361" s="8" t="str">
        <f>IFERROR(INDEX(样本到样信息汇总统计!H$2:H$500,MATCH(360,样本到样信息汇总统计!$Z$2:$Z$500,0)),"")</f>
        <v/>
      </c>
      <c r="I361" s="8" t="str">
        <f>IFERROR(INDEX(样本到样信息汇总统计!I$2:I$500,MATCH(360,样本到样信息汇总统计!$Z$2:$Z$500,0)),"")</f>
        <v/>
      </c>
      <c r="J361" s="8" t="str">
        <f>IFERROR(INDEX(样本到样信息汇总统计!J$2:J$500,MATCH(360,样本到样信息汇总统计!$Z$2:$Z$500,0)),"")</f>
        <v/>
      </c>
      <c r="K361" s="8" t="str">
        <f>IFERROR(INDEX(样本到样信息汇总统计!K$2:K$500,MATCH(360,样本到样信息汇总统计!$Z$2:$Z$500,0)),"")</f>
        <v/>
      </c>
      <c r="L361" s="8" t="str">
        <f>IFERROR(INDEX(样本到样信息汇总统计!L$2:L$500,MATCH(360,样本到样信息汇总统计!$Z$2:$Z$500,0)),"")</f>
        <v/>
      </c>
      <c r="M361" s="8" t="str">
        <f>IFERROR(INDEX(样本到样信息汇总统计!M$2:M$500,MATCH(360,样本到样信息汇总统计!$Z$2:$Z$500,0)),"")</f>
        <v/>
      </c>
      <c r="N361" s="8" t="str">
        <f>IFERROR(INDEX(样本到样信息汇总统计!N$2:N$500,MATCH(360,样本到样信息汇总统计!$Z$2:$Z$500,0)),"")</f>
        <v/>
      </c>
      <c r="O361" s="8" t="str">
        <f>IFERROR(INDEX(样本到样信息汇总统计!O$2:O$500,MATCH(360,样本到样信息汇总统计!$Z$2:$Z$500,0)),"")</f>
        <v/>
      </c>
      <c r="P361" s="8" t="str">
        <f>IFERROR(INDEX(样本到样信息汇总统计!P$2:P$500,MATCH(360,样本到样信息汇总统计!$Z$2:$Z$500,0)),"")</f>
        <v/>
      </c>
      <c r="Q361" s="8" t="str">
        <f>IFERROR(INDEX(样本到样信息汇总统计!Q$2:Q$500,MATCH(360,样本到样信息汇总统计!$Z$2:$Z$500,0)),"")</f>
        <v/>
      </c>
      <c r="R361" s="8" t="str">
        <f>IFERROR(INDEX(样本到样信息汇总统计!R$2:R$500,MATCH(360,样本到样信息汇总统计!$Z$2:$Z$500,0)),"")</f>
        <v/>
      </c>
      <c r="S361" s="8" t="str">
        <f>IFERROR(INDEX(样本到样信息汇总统计!S$2:S$500,MATCH(360,样本到样信息汇总统计!$Z$2:$Z$500,0)),"")</f>
        <v/>
      </c>
      <c r="T361" s="8" t="str">
        <f>IFERROR(INDEX(样本到样信息汇总统计!T$2:T$500,MATCH(360,样本到样信息汇总统计!$Z$2:$Z$500,0)),"")</f>
        <v/>
      </c>
      <c r="U361" s="8" t="str">
        <f>IFERROR(INDEX(样本到样信息汇总统计!U$2:U$500,MATCH(360,样本到样信息汇总统计!$Z$2:$Z$500,0)),"")</f>
        <v/>
      </c>
      <c r="V361" s="8" t="str">
        <f>IFERROR(INDEX(样本到样信息汇总统计!V$2:V$500,MATCH(360,样本到样信息汇总统计!$Z$2:$Z$500,0)),"")</f>
        <v/>
      </c>
      <c r="W361" s="8" t="str">
        <f>IFERROR(INDEX(样本到样信息汇总统计!W$2:W$500,MATCH(360,样本到样信息汇总统计!$Z$2:$Z$500,0)),"")</f>
        <v/>
      </c>
    </row>
    <row r="362" ht="14.5" spans="1:23">
      <c r="A362" s="4" t="str">
        <f>IFERROR(INDEX(样本到样信息汇总统计!A$2:A$500,MATCH(361,样本到样信息汇总统计!$Z$2:$Z$500,0)),"")</f>
        <v/>
      </c>
      <c r="B362" s="4" t="str">
        <f>IFERROR(INDEX(样本到样信息汇总统计!B$2:B$500,MATCH(361,样本到样信息汇总统计!$Z$2:$Z$500,0)),"")</f>
        <v/>
      </c>
      <c r="C362" s="4" t="str">
        <f>IFERROR(INDEX(样本到样信息汇总统计!C$2:C$500,MATCH(361,样本到样信息汇总统计!$Z$2:$Z$500,0)),"")</f>
        <v/>
      </c>
      <c r="D362" s="4" t="str">
        <f>IFERROR(INDEX(样本到样信息汇总统计!D$2:D$500,MATCH(361,样本到样信息汇总统计!$Z$2:$Z$500,0)),"")</f>
        <v/>
      </c>
      <c r="E362" s="4" t="str">
        <f>IFERROR(INDEX(样本到样信息汇总统计!E$2:E$500,MATCH(361,样本到样信息汇总统计!$Z$2:$Z$500,0)),"")</f>
        <v/>
      </c>
      <c r="F362" s="4" t="str">
        <f>IFERROR(INDEX(样本到样信息汇总统计!F$2:F$500,MATCH(361,样本到样信息汇总统计!$Z$2:$Z$500,0)),"")</f>
        <v/>
      </c>
      <c r="G362" s="4" t="str">
        <f>IFERROR(INDEX(样本到样信息汇总统计!G$2:G$500,MATCH(361,样本到样信息汇总统计!$Z$2:$Z$500,0)),"")</f>
        <v/>
      </c>
      <c r="H362" s="4" t="str">
        <f>IFERROR(INDEX(样本到样信息汇总统计!H$2:H$500,MATCH(361,样本到样信息汇总统计!$Z$2:$Z$500,0)),"")</f>
        <v/>
      </c>
      <c r="I362" s="4" t="str">
        <f>IFERROR(INDEX(样本到样信息汇总统计!I$2:I$500,MATCH(361,样本到样信息汇总统计!$Z$2:$Z$500,0)),"")</f>
        <v/>
      </c>
      <c r="J362" s="4" t="str">
        <f>IFERROR(INDEX(样本到样信息汇总统计!J$2:J$500,MATCH(361,样本到样信息汇总统计!$Z$2:$Z$500,0)),"")</f>
        <v/>
      </c>
      <c r="K362" s="4" t="str">
        <f>IFERROR(INDEX(样本到样信息汇总统计!K$2:K$500,MATCH(361,样本到样信息汇总统计!$Z$2:$Z$500,0)),"")</f>
        <v/>
      </c>
      <c r="L362" s="4" t="str">
        <f>IFERROR(INDEX(样本到样信息汇总统计!L$2:L$500,MATCH(361,样本到样信息汇总统计!$Z$2:$Z$500,0)),"")</f>
        <v/>
      </c>
      <c r="M362" s="4" t="str">
        <f>IFERROR(INDEX(样本到样信息汇总统计!M$2:M$500,MATCH(361,样本到样信息汇总统计!$Z$2:$Z$500,0)),"")</f>
        <v/>
      </c>
      <c r="N362" s="4" t="str">
        <f>IFERROR(INDEX(样本到样信息汇总统计!N$2:N$500,MATCH(361,样本到样信息汇总统计!$Z$2:$Z$500,0)),"")</f>
        <v/>
      </c>
      <c r="O362" s="4" t="str">
        <f>IFERROR(INDEX(样本到样信息汇总统计!O$2:O$500,MATCH(361,样本到样信息汇总统计!$Z$2:$Z$500,0)),"")</f>
        <v/>
      </c>
      <c r="P362" s="4" t="str">
        <f>IFERROR(INDEX(样本到样信息汇总统计!P$2:P$500,MATCH(361,样本到样信息汇总统计!$Z$2:$Z$500,0)),"")</f>
        <v/>
      </c>
      <c r="Q362" s="4" t="str">
        <f>IFERROR(INDEX(样本到样信息汇总统计!Q$2:Q$500,MATCH(361,样本到样信息汇总统计!$Z$2:$Z$500,0)),"")</f>
        <v/>
      </c>
      <c r="R362" s="4" t="str">
        <f>IFERROR(INDEX(样本到样信息汇总统计!R$2:R$500,MATCH(361,样本到样信息汇总统计!$Z$2:$Z$500,0)),"")</f>
        <v/>
      </c>
      <c r="S362" s="4" t="str">
        <f>IFERROR(INDEX(样本到样信息汇总统计!S$2:S$500,MATCH(361,样本到样信息汇总统计!$Z$2:$Z$500,0)),"")</f>
        <v/>
      </c>
      <c r="T362" s="4" t="str">
        <f>IFERROR(INDEX(样本到样信息汇总统计!T$2:T$500,MATCH(361,样本到样信息汇总统计!$Z$2:$Z$500,0)),"")</f>
        <v/>
      </c>
      <c r="U362" s="4" t="str">
        <f>IFERROR(INDEX(样本到样信息汇总统计!U$2:U$500,MATCH(361,样本到样信息汇总统计!$Z$2:$Z$500,0)),"")</f>
        <v/>
      </c>
      <c r="V362" s="4" t="str">
        <f>IFERROR(INDEX(样本到样信息汇总统计!V$2:V$500,MATCH(361,样本到样信息汇总统计!$Z$2:$Z$500,0)),"")</f>
        <v/>
      </c>
      <c r="W362" s="4" t="str">
        <f>IFERROR(INDEX(样本到样信息汇总统计!W$2:W$500,MATCH(361,样本到样信息汇总统计!$Z$2:$Z$500,0)),"")</f>
        <v/>
      </c>
    </row>
    <row r="363" ht="14.5" spans="1:23">
      <c r="A363" s="8" t="str">
        <f>IFERROR(INDEX(样本到样信息汇总统计!A$2:A$500,MATCH(362,样本到样信息汇总统计!$Z$2:$Z$500,0)),"")</f>
        <v/>
      </c>
      <c r="B363" s="8" t="str">
        <f>IFERROR(INDEX(样本到样信息汇总统计!B$2:B$500,MATCH(362,样本到样信息汇总统计!$Z$2:$Z$500,0)),"")</f>
        <v/>
      </c>
      <c r="C363" s="8" t="str">
        <f>IFERROR(INDEX(样本到样信息汇总统计!C$2:C$500,MATCH(362,样本到样信息汇总统计!$Z$2:$Z$500,0)),"")</f>
        <v/>
      </c>
      <c r="D363" s="8" t="str">
        <f>IFERROR(INDEX(样本到样信息汇总统计!D$2:D$500,MATCH(362,样本到样信息汇总统计!$Z$2:$Z$500,0)),"")</f>
        <v/>
      </c>
      <c r="E363" s="8" t="str">
        <f>IFERROR(INDEX(样本到样信息汇总统计!E$2:E$500,MATCH(362,样本到样信息汇总统计!$Z$2:$Z$500,0)),"")</f>
        <v/>
      </c>
      <c r="F363" s="8" t="str">
        <f>IFERROR(INDEX(样本到样信息汇总统计!F$2:F$500,MATCH(362,样本到样信息汇总统计!$Z$2:$Z$500,0)),"")</f>
        <v/>
      </c>
      <c r="G363" s="8" t="str">
        <f>IFERROR(INDEX(样本到样信息汇总统计!G$2:G$500,MATCH(362,样本到样信息汇总统计!$Z$2:$Z$500,0)),"")</f>
        <v/>
      </c>
      <c r="H363" s="8" t="str">
        <f>IFERROR(INDEX(样本到样信息汇总统计!H$2:H$500,MATCH(362,样本到样信息汇总统计!$Z$2:$Z$500,0)),"")</f>
        <v/>
      </c>
      <c r="I363" s="8" t="str">
        <f>IFERROR(INDEX(样本到样信息汇总统计!I$2:I$500,MATCH(362,样本到样信息汇总统计!$Z$2:$Z$500,0)),"")</f>
        <v/>
      </c>
      <c r="J363" s="8" t="str">
        <f>IFERROR(INDEX(样本到样信息汇总统计!J$2:J$500,MATCH(362,样本到样信息汇总统计!$Z$2:$Z$500,0)),"")</f>
        <v/>
      </c>
      <c r="K363" s="8" t="str">
        <f>IFERROR(INDEX(样本到样信息汇总统计!K$2:K$500,MATCH(362,样本到样信息汇总统计!$Z$2:$Z$500,0)),"")</f>
        <v/>
      </c>
      <c r="L363" s="8" t="str">
        <f>IFERROR(INDEX(样本到样信息汇总统计!L$2:L$500,MATCH(362,样本到样信息汇总统计!$Z$2:$Z$500,0)),"")</f>
        <v/>
      </c>
      <c r="M363" s="8" t="str">
        <f>IFERROR(INDEX(样本到样信息汇总统计!M$2:M$500,MATCH(362,样本到样信息汇总统计!$Z$2:$Z$500,0)),"")</f>
        <v/>
      </c>
      <c r="N363" s="8" t="str">
        <f>IFERROR(INDEX(样本到样信息汇总统计!N$2:N$500,MATCH(362,样本到样信息汇总统计!$Z$2:$Z$500,0)),"")</f>
        <v/>
      </c>
      <c r="O363" s="8" t="str">
        <f>IFERROR(INDEX(样本到样信息汇总统计!O$2:O$500,MATCH(362,样本到样信息汇总统计!$Z$2:$Z$500,0)),"")</f>
        <v/>
      </c>
      <c r="P363" s="8" t="str">
        <f>IFERROR(INDEX(样本到样信息汇总统计!P$2:P$500,MATCH(362,样本到样信息汇总统计!$Z$2:$Z$500,0)),"")</f>
        <v/>
      </c>
      <c r="Q363" s="8" t="str">
        <f>IFERROR(INDEX(样本到样信息汇总统计!Q$2:Q$500,MATCH(362,样本到样信息汇总统计!$Z$2:$Z$500,0)),"")</f>
        <v/>
      </c>
      <c r="R363" s="8" t="str">
        <f>IFERROR(INDEX(样本到样信息汇总统计!R$2:R$500,MATCH(362,样本到样信息汇总统计!$Z$2:$Z$500,0)),"")</f>
        <v/>
      </c>
      <c r="S363" s="8" t="str">
        <f>IFERROR(INDEX(样本到样信息汇总统计!S$2:S$500,MATCH(362,样本到样信息汇总统计!$Z$2:$Z$500,0)),"")</f>
        <v/>
      </c>
      <c r="T363" s="8" t="str">
        <f>IFERROR(INDEX(样本到样信息汇总统计!T$2:T$500,MATCH(362,样本到样信息汇总统计!$Z$2:$Z$500,0)),"")</f>
        <v/>
      </c>
      <c r="U363" s="8" t="str">
        <f>IFERROR(INDEX(样本到样信息汇总统计!U$2:U$500,MATCH(362,样本到样信息汇总统计!$Z$2:$Z$500,0)),"")</f>
        <v/>
      </c>
      <c r="V363" s="8" t="str">
        <f>IFERROR(INDEX(样本到样信息汇总统计!V$2:V$500,MATCH(362,样本到样信息汇总统计!$Z$2:$Z$500,0)),"")</f>
        <v/>
      </c>
      <c r="W363" s="8" t="str">
        <f>IFERROR(INDEX(样本到样信息汇总统计!W$2:W$500,MATCH(362,样本到样信息汇总统计!$Z$2:$Z$500,0)),"")</f>
        <v/>
      </c>
    </row>
    <row r="364" ht="14.5" spans="1:23">
      <c r="A364" s="4" t="str">
        <f>IFERROR(INDEX(样本到样信息汇总统计!A$2:A$500,MATCH(363,样本到样信息汇总统计!$Z$2:$Z$500,0)),"")</f>
        <v/>
      </c>
      <c r="B364" s="4" t="str">
        <f>IFERROR(INDEX(样本到样信息汇总统计!B$2:B$500,MATCH(363,样本到样信息汇总统计!$Z$2:$Z$500,0)),"")</f>
        <v/>
      </c>
      <c r="C364" s="4" t="str">
        <f>IFERROR(INDEX(样本到样信息汇总统计!C$2:C$500,MATCH(363,样本到样信息汇总统计!$Z$2:$Z$500,0)),"")</f>
        <v/>
      </c>
      <c r="D364" s="4" t="str">
        <f>IFERROR(INDEX(样本到样信息汇总统计!D$2:D$500,MATCH(363,样本到样信息汇总统计!$Z$2:$Z$500,0)),"")</f>
        <v/>
      </c>
      <c r="E364" s="4" t="str">
        <f>IFERROR(INDEX(样本到样信息汇总统计!E$2:E$500,MATCH(363,样本到样信息汇总统计!$Z$2:$Z$500,0)),"")</f>
        <v/>
      </c>
      <c r="F364" s="4" t="str">
        <f>IFERROR(INDEX(样本到样信息汇总统计!F$2:F$500,MATCH(363,样本到样信息汇总统计!$Z$2:$Z$500,0)),"")</f>
        <v/>
      </c>
      <c r="G364" s="4" t="str">
        <f>IFERROR(INDEX(样本到样信息汇总统计!G$2:G$500,MATCH(363,样本到样信息汇总统计!$Z$2:$Z$500,0)),"")</f>
        <v/>
      </c>
      <c r="H364" s="4" t="str">
        <f>IFERROR(INDEX(样本到样信息汇总统计!H$2:H$500,MATCH(363,样本到样信息汇总统计!$Z$2:$Z$500,0)),"")</f>
        <v/>
      </c>
      <c r="I364" s="4" t="str">
        <f>IFERROR(INDEX(样本到样信息汇总统计!I$2:I$500,MATCH(363,样本到样信息汇总统计!$Z$2:$Z$500,0)),"")</f>
        <v/>
      </c>
      <c r="J364" s="4" t="str">
        <f>IFERROR(INDEX(样本到样信息汇总统计!J$2:J$500,MATCH(363,样本到样信息汇总统计!$Z$2:$Z$500,0)),"")</f>
        <v/>
      </c>
      <c r="K364" s="4" t="str">
        <f>IFERROR(INDEX(样本到样信息汇总统计!K$2:K$500,MATCH(363,样本到样信息汇总统计!$Z$2:$Z$500,0)),"")</f>
        <v/>
      </c>
      <c r="L364" s="4" t="str">
        <f>IFERROR(INDEX(样本到样信息汇总统计!L$2:L$500,MATCH(363,样本到样信息汇总统计!$Z$2:$Z$500,0)),"")</f>
        <v/>
      </c>
      <c r="M364" s="4" t="str">
        <f>IFERROR(INDEX(样本到样信息汇总统计!M$2:M$500,MATCH(363,样本到样信息汇总统计!$Z$2:$Z$500,0)),"")</f>
        <v/>
      </c>
      <c r="N364" s="4" t="str">
        <f>IFERROR(INDEX(样本到样信息汇总统计!N$2:N$500,MATCH(363,样本到样信息汇总统计!$Z$2:$Z$500,0)),"")</f>
        <v/>
      </c>
      <c r="O364" s="4" t="str">
        <f>IFERROR(INDEX(样本到样信息汇总统计!O$2:O$500,MATCH(363,样本到样信息汇总统计!$Z$2:$Z$500,0)),"")</f>
        <v/>
      </c>
      <c r="P364" s="4" t="str">
        <f>IFERROR(INDEX(样本到样信息汇总统计!P$2:P$500,MATCH(363,样本到样信息汇总统计!$Z$2:$Z$500,0)),"")</f>
        <v/>
      </c>
      <c r="Q364" s="4" t="str">
        <f>IFERROR(INDEX(样本到样信息汇总统计!Q$2:Q$500,MATCH(363,样本到样信息汇总统计!$Z$2:$Z$500,0)),"")</f>
        <v/>
      </c>
      <c r="R364" s="4" t="str">
        <f>IFERROR(INDEX(样本到样信息汇总统计!R$2:R$500,MATCH(363,样本到样信息汇总统计!$Z$2:$Z$500,0)),"")</f>
        <v/>
      </c>
      <c r="S364" s="4" t="str">
        <f>IFERROR(INDEX(样本到样信息汇总统计!S$2:S$500,MATCH(363,样本到样信息汇总统计!$Z$2:$Z$500,0)),"")</f>
        <v/>
      </c>
      <c r="T364" s="4" t="str">
        <f>IFERROR(INDEX(样本到样信息汇总统计!T$2:T$500,MATCH(363,样本到样信息汇总统计!$Z$2:$Z$500,0)),"")</f>
        <v/>
      </c>
      <c r="U364" s="4" t="str">
        <f>IFERROR(INDEX(样本到样信息汇总统计!U$2:U$500,MATCH(363,样本到样信息汇总统计!$Z$2:$Z$500,0)),"")</f>
        <v/>
      </c>
      <c r="V364" s="4" t="str">
        <f>IFERROR(INDEX(样本到样信息汇总统计!V$2:V$500,MATCH(363,样本到样信息汇总统计!$Z$2:$Z$500,0)),"")</f>
        <v/>
      </c>
      <c r="W364" s="4" t="str">
        <f>IFERROR(INDEX(样本到样信息汇总统计!W$2:W$500,MATCH(363,样本到样信息汇总统计!$Z$2:$Z$500,0)),"")</f>
        <v/>
      </c>
    </row>
    <row r="365" ht="14.5" spans="1:23">
      <c r="A365" s="8" t="str">
        <f>IFERROR(INDEX(样本到样信息汇总统计!A$2:A$500,MATCH(364,样本到样信息汇总统计!$Z$2:$Z$500,0)),"")</f>
        <v/>
      </c>
      <c r="B365" s="8" t="str">
        <f>IFERROR(INDEX(样本到样信息汇总统计!B$2:B$500,MATCH(364,样本到样信息汇总统计!$Z$2:$Z$500,0)),"")</f>
        <v/>
      </c>
      <c r="C365" s="8" t="str">
        <f>IFERROR(INDEX(样本到样信息汇总统计!C$2:C$500,MATCH(364,样本到样信息汇总统计!$Z$2:$Z$500,0)),"")</f>
        <v/>
      </c>
      <c r="D365" s="8" t="str">
        <f>IFERROR(INDEX(样本到样信息汇总统计!D$2:D$500,MATCH(364,样本到样信息汇总统计!$Z$2:$Z$500,0)),"")</f>
        <v/>
      </c>
      <c r="E365" s="8" t="str">
        <f>IFERROR(INDEX(样本到样信息汇总统计!E$2:E$500,MATCH(364,样本到样信息汇总统计!$Z$2:$Z$500,0)),"")</f>
        <v/>
      </c>
      <c r="F365" s="8" t="str">
        <f>IFERROR(INDEX(样本到样信息汇总统计!F$2:F$500,MATCH(364,样本到样信息汇总统计!$Z$2:$Z$500,0)),"")</f>
        <v/>
      </c>
      <c r="G365" s="8" t="str">
        <f>IFERROR(INDEX(样本到样信息汇总统计!G$2:G$500,MATCH(364,样本到样信息汇总统计!$Z$2:$Z$500,0)),"")</f>
        <v/>
      </c>
      <c r="H365" s="8" t="str">
        <f>IFERROR(INDEX(样本到样信息汇总统计!H$2:H$500,MATCH(364,样本到样信息汇总统计!$Z$2:$Z$500,0)),"")</f>
        <v/>
      </c>
      <c r="I365" s="8" t="str">
        <f>IFERROR(INDEX(样本到样信息汇总统计!I$2:I$500,MATCH(364,样本到样信息汇总统计!$Z$2:$Z$500,0)),"")</f>
        <v/>
      </c>
      <c r="J365" s="8" t="str">
        <f>IFERROR(INDEX(样本到样信息汇总统计!J$2:J$500,MATCH(364,样本到样信息汇总统计!$Z$2:$Z$500,0)),"")</f>
        <v/>
      </c>
      <c r="K365" s="8" t="str">
        <f>IFERROR(INDEX(样本到样信息汇总统计!K$2:K$500,MATCH(364,样本到样信息汇总统计!$Z$2:$Z$500,0)),"")</f>
        <v/>
      </c>
      <c r="L365" s="8" t="str">
        <f>IFERROR(INDEX(样本到样信息汇总统计!L$2:L$500,MATCH(364,样本到样信息汇总统计!$Z$2:$Z$500,0)),"")</f>
        <v/>
      </c>
      <c r="M365" s="8" t="str">
        <f>IFERROR(INDEX(样本到样信息汇总统计!M$2:M$500,MATCH(364,样本到样信息汇总统计!$Z$2:$Z$500,0)),"")</f>
        <v/>
      </c>
      <c r="N365" s="8" t="str">
        <f>IFERROR(INDEX(样本到样信息汇总统计!N$2:N$500,MATCH(364,样本到样信息汇总统计!$Z$2:$Z$500,0)),"")</f>
        <v/>
      </c>
      <c r="O365" s="8" t="str">
        <f>IFERROR(INDEX(样本到样信息汇总统计!O$2:O$500,MATCH(364,样本到样信息汇总统计!$Z$2:$Z$500,0)),"")</f>
        <v/>
      </c>
      <c r="P365" s="8" t="str">
        <f>IFERROR(INDEX(样本到样信息汇总统计!P$2:P$500,MATCH(364,样本到样信息汇总统计!$Z$2:$Z$500,0)),"")</f>
        <v/>
      </c>
      <c r="Q365" s="8" t="str">
        <f>IFERROR(INDEX(样本到样信息汇总统计!Q$2:Q$500,MATCH(364,样本到样信息汇总统计!$Z$2:$Z$500,0)),"")</f>
        <v/>
      </c>
      <c r="R365" s="8" t="str">
        <f>IFERROR(INDEX(样本到样信息汇总统计!R$2:R$500,MATCH(364,样本到样信息汇总统计!$Z$2:$Z$500,0)),"")</f>
        <v/>
      </c>
      <c r="S365" s="8" t="str">
        <f>IFERROR(INDEX(样本到样信息汇总统计!S$2:S$500,MATCH(364,样本到样信息汇总统计!$Z$2:$Z$500,0)),"")</f>
        <v/>
      </c>
      <c r="T365" s="8" t="str">
        <f>IFERROR(INDEX(样本到样信息汇总统计!T$2:T$500,MATCH(364,样本到样信息汇总统计!$Z$2:$Z$500,0)),"")</f>
        <v/>
      </c>
      <c r="U365" s="8" t="str">
        <f>IFERROR(INDEX(样本到样信息汇总统计!U$2:U$500,MATCH(364,样本到样信息汇总统计!$Z$2:$Z$500,0)),"")</f>
        <v/>
      </c>
      <c r="V365" s="8" t="str">
        <f>IFERROR(INDEX(样本到样信息汇总统计!V$2:V$500,MATCH(364,样本到样信息汇总统计!$Z$2:$Z$500,0)),"")</f>
        <v/>
      </c>
      <c r="W365" s="8" t="str">
        <f>IFERROR(INDEX(样本到样信息汇总统计!W$2:W$500,MATCH(364,样本到样信息汇总统计!$Z$2:$Z$500,0)),"")</f>
        <v/>
      </c>
    </row>
    <row r="366" ht="14.5" spans="1:23">
      <c r="A366" s="4" t="str">
        <f>IFERROR(INDEX(样本到样信息汇总统计!A$2:A$500,MATCH(365,样本到样信息汇总统计!$Z$2:$Z$500,0)),"")</f>
        <v/>
      </c>
      <c r="B366" s="4" t="str">
        <f>IFERROR(INDEX(样本到样信息汇总统计!B$2:B$500,MATCH(365,样本到样信息汇总统计!$Z$2:$Z$500,0)),"")</f>
        <v/>
      </c>
      <c r="C366" s="4" t="str">
        <f>IFERROR(INDEX(样本到样信息汇总统计!C$2:C$500,MATCH(365,样本到样信息汇总统计!$Z$2:$Z$500,0)),"")</f>
        <v/>
      </c>
      <c r="D366" s="4" t="str">
        <f>IFERROR(INDEX(样本到样信息汇总统计!D$2:D$500,MATCH(365,样本到样信息汇总统计!$Z$2:$Z$500,0)),"")</f>
        <v/>
      </c>
      <c r="E366" s="4" t="str">
        <f>IFERROR(INDEX(样本到样信息汇总统计!E$2:E$500,MATCH(365,样本到样信息汇总统计!$Z$2:$Z$500,0)),"")</f>
        <v/>
      </c>
      <c r="F366" s="4" t="str">
        <f>IFERROR(INDEX(样本到样信息汇总统计!F$2:F$500,MATCH(365,样本到样信息汇总统计!$Z$2:$Z$500,0)),"")</f>
        <v/>
      </c>
      <c r="G366" s="4" t="str">
        <f>IFERROR(INDEX(样本到样信息汇总统计!G$2:G$500,MATCH(365,样本到样信息汇总统计!$Z$2:$Z$500,0)),"")</f>
        <v/>
      </c>
      <c r="H366" s="4" t="str">
        <f>IFERROR(INDEX(样本到样信息汇总统计!H$2:H$500,MATCH(365,样本到样信息汇总统计!$Z$2:$Z$500,0)),"")</f>
        <v/>
      </c>
      <c r="I366" s="4" t="str">
        <f>IFERROR(INDEX(样本到样信息汇总统计!I$2:I$500,MATCH(365,样本到样信息汇总统计!$Z$2:$Z$500,0)),"")</f>
        <v/>
      </c>
      <c r="J366" s="4" t="str">
        <f>IFERROR(INDEX(样本到样信息汇总统计!J$2:J$500,MATCH(365,样本到样信息汇总统计!$Z$2:$Z$500,0)),"")</f>
        <v/>
      </c>
      <c r="K366" s="4" t="str">
        <f>IFERROR(INDEX(样本到样信息汇总统计!K$2:K$500,MATCH(365,样本到样信息汇总统计!$Z$2:$Z$500,0)),"")</f>
        <v/>
      </c>
      <c r="L366" s="4" t="str">
        <f>IFERROR(INDEX(样本到样信息汇总统计!L$2:L$500,MATCH(365,样本到样信息汇总统计!$Z$2:$Z$500,0)),"")</f>
        <v/>
      </c>
      <c r="M366" s="4" t="str">
        <f>IFERROR(INDEX(样本到样信息汇总统计!M$2:M$500,MATCH(365,样本到样信息汇总统计!$Z$2:$Z$500,0)),"")</f>
        <v/>
      </c>
      <c r="N366" s="4" t="str">
        <f>IFERROR(INDEX(样本到样信息汇总统计!N$2:N$500,MATCH(365,样本到样信息汇总统计!$Z$2:$Z$500,0)),"")</f>
        <v/>
      </c>
      <c r="O366" s="4" t="str">
        <f>IFERROR(INDEX(样本到样信息汇总统计!O$2:O$500,MATCH(365,样本到样信息汇总统计!$Z$2:$Z$500,0)),"")</f>
        <v/>
      </c>
      <c r="P366" s="4" t="str">
        <f>IFERROR(INDEX(样本到样信息汇总统计!P$2:P$500,MATCH(365,样本到样信息汇总统计!$Z$2:$Z$500,0)),"")</f>
        <v/>
      </c>
      <c r="Q366" s="4" t="str">
        <f>IFERROR(INDEX(样本到样信息汇总统计!Q$2:Q$500,MATCH(365,样本到样信息汇总统计!$Z$2:$Z$500,0)),"")</f>
        <v/>
      </c>
      <c r="R366" s="4" t="str">
        <f>IFERROR(INDEX(样本到样信息汇总统计!R$2:R$500,MATCH(365,样本到样信息汇总统计!$Z$2:$Z$500,0)),"")</f>
        <v/>
      </c>
      <c r="S366" s="4" t="str">
        <f>IFERROR(INDEX(样本到样信息汇总统计!S$2:S$500,MATCH(365,样本到样信息汇总统计!$Z$2:$Z$500,0)),"")</f>
        <v/>
      </c>
      <c r="T366" s="4" t="str">
        <f>IFERROR(INDEX(样本到样信息汇总统计!T$2:T$500,MATCH(365,样本到样信息汇总统计!$Z$2:$Z$500,0)),"")</f>
        <v/>
      </c>
      <c r="U366" s="4" t="str">
        <f>IFERROR(INDEX(样本到样信息汇总统计!U$2:U$500,MATCH(365,样本到样信息汇总统计!$Z$2:$Z$500,0)),"")</f>
        <v/>
      </c>
      <c r="V366" s="4" t="str">
        <f>IFERROR(INDEX(样本到样信息汇总统计!V$2:V$500,MATCH(365,样本到样信息汇总统计!$Z$2:$Z$500,0)),"")</f>
        <v/>
      </c>
      <c r="W366" s="4" t="str">
        <f>IFERROR(INDEX(样本到样信息汇总统计!W$2:W$500,MATCH(365,样本到样信息汇总统计!$Z$2:$Z$500,0)),"")</f>
        <v/>
      </c>
    </row>
    <row r="367" ht="14.5" spans="1:23">
      <c r="A367" s="8" t="str">
        <f>IFERROR(INDEX(样本到样信息汇总统计!A$2:A$500,MATCH(366,样本到样信息汇总统计!$Z$2:$Z$500,0)),"")</f>
        <v/>
      </c>
      <c r="B367" s="8" t="str">
        <f>IFERROR(INDEX(样本到样信息汇总统计!B$2:B$500,MATCH(366,样本到样信息汇总统计!$Z$2:$Z$500,0)),"")</f>
        <v/>
      </c>
      <c r="C367" s="8" t="str">
        <f>IFERROR(INDEX(样本到样信息汇总统计!C$2:C$500,MATCH(366,样本到样信息汇总统计!$Z$2:$Z$500,0)),"")</f>
        <v/>
      </c>
      <c r="D367" s="8" t="str">
        <f>IFERROR(INDEX(样本到样信息汇总统计!D$2:D$500,MATCH(366,样本到样信息汇总统计!$Z$2:$Z$500,0)),"")</f>
        <v/>
      </c>
      <c r="E367" s="8" t="str">
        <f>IFERROR(INDEX(样本到样信息汇总统计!E$2:E$500,MATCH(366,样本到样信息汇总统计!$Z$2:$Z$500,0)),"")</f>
        <v/>
      </c>
      <c r="F367" s="8" t="str">
        <f>IFERROR(INDEX(样本到样信息汇总统计!F$2:F$500,MATCH(366,样本到样信息汇总统计!$Z$2:$Z$500,0)),"")</f>
        <v/>
      </c>
      <c r="G367" s="8" t="str">
        <f>IFERROR(INDEX(样本到样信息汇总统计!G$2:G$500,MATCH(366,样本到样信息汇总统计!$Z$2:$Z$500,0)),"")</f>
        <v/>
      </c>
      <c r="H367" s="8" t="str">
        <f>IFERROR(INDEX(样本到样信息汇总统计!H$2:H$500,MATCH(366,样本到样信息汇总统计!$Z$2:$Z$500,0)),"")</f>
        <v/>
      </c>
      <c r="I367" s="8" t="str">
        <f>IFERROR(INDEX(样本到样信息汇总统计!I$2:I$500,MATCH(366,样本到样信息汇总统计!$Z$2:$Z$500,0)),"")</f>
        <v/>
      </c>
      <c r="J367" s="8" t="str">
        <f>IFERROR(INDEX(样本到样信息汇总统计!J$2:J$500,MATCH(366,样本到样信息汇总统计!$Z$2:$Z$500,0)),"")</f>
        <v/>
      </c>
      <c r="K367" s="8" t="str">
        <f>IFERROR(INDEX(样本到样信息汇总统计!K$2:K$500,MATCH(366,样本到样信息汇总统计!$Z$2:$Z$500,0)),"")</f>
        <v/>
      </c>
      <c r="L367" s="8" t="str">
        <f>IFERROR(INDEX(样本到样信息汇总统计!L$2:L$500,MATCH(366,样本到样信息汇总统计!$Z$2:$Z$500,0)),"")</f>
        <v/>
      </c>
      <c r="M367" s="8" t="str">
        <f>IFERROR(INDEX(样本到样信息汇总统计!M$2:M$500,MATCH(366,样本到样信息汇总统计!$Z$2:$Z$500,0)),"")</f>
        <v/>
      </c>
      <c r="N367" s="8" t="str">
        <f>IFERROR(INDEX(样本到样信息汇总统计!N$2:N$500,MATCH(366,样本到样信息汇总统计!$Z$2:$Z$500,0)),"")</f>
        <v/>
      </c>
      <c r="O367" s="8" t="str">
        <f>IFERROR(INDEX(样本到样信息汇总统计!O$2:O$500,MATCH(366,样本到样信息汇总统计!$Z$2:$Z$500,0)),"")</f>
        <v/>
      </c>
      <c r="P367" s="8" t="str">
        <f>IFERROR(INDEX(样本到样信息汇总统计!P$2:P$500,MATCH(366,样本到样信息汇总统计!$Z$2:$Z$500,0)),"")</f>
        <v/>
      </c>
      <c r="Q367" s="8" t="str">
        <f>IFERROR(INDEX(样本到样信息汇总统计!Q$2:Q$500,MATCH(366,样本到样信息汇总统计!$Z$2:$Z$500,0)),"")</f>
        <v/>
      </c>
      <c r="R367" s="8" t="str">
        <f>IFERROR(INDEX(样本到样信息汇总统计!R$2:R$500,MATCH(366,样本到样信息汇总统计!$Z$2:$Z$500,0)),"")</f>
        <v/>
      </c>
      <c r="S367" s="8" t="str">
        <f>IFERROR(INDEX(样本到样信息汇总统计!S$2:S$500,MATCH(366,样本到样信息汇总统计!$Z$2:$Z$500,0)),"")</f>
        <v/>
      </c>
      <c r="T367" s="8" t="str">
        <f>IFERROR(INDEX(样本到样信息汇总统计!T$2:T$500,MATCH(366,样本到样信息汇总统计!$Z$2:$Z$500,0)),"")</f>
        <v/>
      </c>
      <c r="U367" s="8" t="str">
        <f>IFERROR(INDEX(样本到样信息汇总统计!U$2:U$500,MATCH(366,样本到样信息汇总统计!$Z$2:$Z$500,0)),"")</f>
        <v/>
      </c>
      <c r="V367" s="8" t="str">
        <f>IFERROR(INDEX(样本到样信息汇总统计!V$2:V$500,MATCH(366,样本到样信息汇总统计!$Z$2:$Z$500,0)),"")</f>
        <v/>
      </c>
      <c r="W367" s="8" t="str">
        <f>IFERROR(INDEX(样本到样信息汇总统计!W$2:W$500,MATCH(366,样本到样信息汇总统计!$Z$2:$Z$500,0)),"")</f>
        <v/>
      </c>
    </row>
    <row r="368" ht="14.5" spans="1:23">
      <c r="A368" s="4" t="str">
        <f>IFERROR(INDEX(样本到样信息汇总统计!A$2:A$500,MATCH(367,样本到样信息汇总统计!$Z$2:$Z$500,0)),"")</f>
        <v/>
      </c>
      <c r="B368" s="4" t="str">
        <f>IFERROR(INDEX(样本到样信息汇总统计!B$2:B$500,MATCH(367,样本到样信息汇总统计!$Z$2:$Z$500,0)),"")</f>
        <v/>
      </c>
      <c r="C368" s="4" t="str">
        <f>IFERROR(INDEX(样本到样信息汇总统计!C$2:C$500,MATCH(367,样本到样信息汇总统计!$Z$2:$Z$500,0)),"")</f>
        <v/>
      </c>
      <c r="D368" s="4" t="str">
        <f>IFERROR(INDEX(样本到样信息汇总统计!D$2:D$500,MATCH(367,样本到样信息汇总统计!$Z$2:$Z$500,0)),"")</f>
        <v/>
      </c>
      <c r="E368" s="4" t="str">
        <f>IFERROR(INDEX(样本到样信息汇总统计!E$2:E$500,MATCH(367,样本到样信息汇总统计!$Z$2:$Z$500,0)),"")</f>
        <v/>
      </c>
      <c r="F368" s="4" t="str">
        <f>IFERROR(INDEX(样本到样信息汇总统计!F$2:F$500,MATCH(367,样本到样信息汇总统计!$Z$2:$Z$500,0)),"")</f>
        <v/>
      </c>
      <c r="G368" s="4" t="str">
        <f>IFERROR(INDEX(样本到样信息汇总统计!G$2:G$500,MATCH(367,样本到样信息汇总统计!$Z$2:$Z$500,0)),"")</f>
        <v/>
      </c>
      <c r="H368" s="4" t="str">
        <f>IFERROR(INDEX(样本到样信息汇总统计!H$2:H$500,MATCH(367,样本到样信息汇总统计!$Z$2:$Z$500,0)),"")</f>
        <v/>
      </c>
      <c r="I368" s="4" t="str">
        <f>IFERROR(INDEX(样本到样信息汇总统计!I$2:I$500,MATCH(367,样本到样信息汇总统计!$Z$2:$Z$500,0)),"")</f>
        <v/>
      </c>
      <c r="J368" s="4" t="str">
        <f>IFERROR(INDEX(样本到样信息汇总统计!J$2:J$500,MATCH(367,样本到样信息汇总统计!$Z$2:$Z$500,0)),"")</f>
        <v/>
      </c>
      <c r="K368" s="4" t="str">
        <f>IFERROR(INDEX(样本到样信息汇总统计!K$2:K$500,MATCH(367,样本到样信息汇总统计!$Z$2:$Z$500,0)),"")</f>
        <v/>
      </c>
      <c r="L368" s="4" t="str">
        <f>IFERROR(INDEX(样本到样信息汇总统计!L$2:L$500,MATCH(367,样本到样信息汇总统计!$Z$2:$Z$500,0)),"")</f>
        <v/>
      </c>
      <c r="M368" s="4" t="str">
        <f>IFERROR(INDEX(样本到样信息汇总统计!M$2:M$500,MATCH(367,样本到样信息汇总统计!$Z$2:$Z$500,0)),"")</f>
        <v/>
      </c>
      <c r="N368" s="4" t="str">
        <f>IFERROR(INDEX(样本到样信息汇总统计!N$2:N$500,MATCH(367,样本到样信息汇总统计!$Z$2:$Z$500,0)),"")</f>
        <v/>
      </c>
      <c r="O368" s="4" t="str">
        <f>IFERROR(INDEX(样本到样信息汇总统计!O$2:O$500,MATCH(367,样本到样信息汇总统计!$Z$2:$Z$500,0)),"")</f>
        <v/>
      </c>
      <c r="P368" s="4" t="str">
        <f>IFERROR(INDEX(样本到样信息汇总统计!P$2:P$500,MATCH(367,样本到样信息汇总统计!$Z$2:$Z$500,0)),"")</f>
        <v/>
      </c>
      <c r="Q368" s="4" t="str">
        <f>IFERROR(INDEX(样本到样信息汇总统计!Q$2:Q$500,MATCH(367,样本到样信息汇总统计!$Z$2:$Z$500,0)),"")</f>
        <v/>
      </c>
      <c r="R368" s="4" t="str">
        <f>IFERROR(INDEX(样本到样信息汇总统计!R$2:R$500,MATCH(367,样本到样信息汇总统计!$Z$2:$Z$500,0)),"")</f>
        <v/>
      </c>
      <c r="S368" s="4" t="str">
        <f>IFERROR(INDEX(样本到样信息汇总统计!S$2:S$500,MATCH(367,样本到样信息汇总统计!$Z$2:$Z$500,0)),"")</f>
        <v/>
      </c>
      <c r="T368" s="4" t="str">
        <f>IFERROR(INDEX(样本到样信息汇总统计!T$2:T$500,MATCH(367,样本到样信息汇总统计!$Z$2:$Z$500,0)),"")</f>
        <v/>
      </c>
      <c r="U368" s="4" t="str">
        <f>IFERROR(INDEX(样本到样信息汇总统计!U$2:U$500,MATCH(367,样本到样信息汇总统计!$Z$2:$Z$500,0)),"")</f>
        <v/>
      </c>
      <c r="V368" s="4" t="str">
        <f>IFERROR(INDEX(样本到样信息汇总统计!V$2:V$500,MATCH(367,样本到样信息汇总统计!$Z$2:$Z$500,0)),"")</f>
        <v/>
      </c>
      <c r="W368" s="4" t="str">
        <f>IFERROR(INDEX(样本到样信息汇总统计!W$2:W$500,MATCH(367,样本到样信息汇总统计!$Z$2:$Z$500,0)),"")</f>
        <v/>
      </c>
    </row>
    <row r="369" ht="14.5" spans="1:23">
      <c r="A369" s="8" t="str">
        <f>IFERROR(INDEX(样本到样信息汇总统计!A$2:A$500,MATCH(368,样本到样信息汇总统计!$Z$2:$Z$500,0)),"")</f>
        <v/>
      </c>
      <c r="B369" s="8" t="str">
        <f>IFERROR(INDEX(样本到样信息汇总统计!B$2:B$500,MATCH(368,样本到样信息汇总统计!$Z$2:$Z$500,0)),"")</f>
        <v/>
      </c>
      <c r="C369" s="8" t="str">
        <f>IFERROR(INDEX(样本到样信息汇总统计!C$2:C$500,MATCH(368,样本到样信息汇总统计!$Z$2:$Z$500,0)),"")</f>
        <v/>
      </c>
      <c r="D369" s="8" t="str">
        <f>IFERROR(INDEX(样本到样信息汇总统计!D$2:D$500,MATCH(368,样本到样信息汇总统计!$Z$2:$Z$500,0)),"")</f>
        <v/>
      </c>
      <c r="E369" s="8" t="str">
        <f>IFERROR(INDEX(样本到样信息汇总统计!E$2:E$500,MATCH(368,样本到样信息汇总统计!$Z$2:$Z$500,0)),"")</f>
        <v/>
      </c>
      <c r="F369" s="8" t="str">
        <f>IFERROR(INDEX(样本到样信息汇总统计!F$2:F$500,MATCH(368,样本到样信息汇总统计!$Z$2:$Z$500,0)),"")</f>
        <v/>
      </c>
      <c r="G369" s="8" t="str">
        <f>IFERROR(INDEX(样本到样信息汇总统计!G$2:G$500,MATCH(368,样本到样信息汇总统计!$Z$2:$Z$500,0)),"")</f>
        <v/>
      </c>
      <c r="H369" s="8" t="str">
        <f>IFERROR(INDEX(样本到样信息汇总统计!H$2:H$500,MATCH(368,样本到样信息汇总统计!$Z$2:$Z$500,0)),"")</f>
        <v/>
      </c>
      <c r="I369" s="8" t="str">
        <f>IFERROR(INDEX(样本到样信息汇总统计!I$2:I$500,MATCH(368,样本到样信息汇总统计!$Z$2:$Z$500,0)),"")</f>
        <v/>
      </c>
      <c r="J369" s="8" t="str">
        <f>IFERROR(INDEX(样本到样信息汇总统计!J$2:J$500,MATCH(368,样本到样信息汇总统计!$Z$2:$Z$500,0)),"")</f>
        <v/>
      </c>
      <c r="K369" s="8" t="str">
        <f>IFERROR(INDEX(样本到样信息汇总统计!K$2:K$500,MATCH(368,样本到样信息汇总统计!$Z$2:$Z$500,0)),"")</f>
        <v/>
      </c>
      <c r="L369" s="8" t="str">
        <f>IFERROR(INDEX(样本到样信息汇总统计!L$2:L$500,MATCH(368,样本到样信息汇总统计!$Z$2:$Z$500,0)),"")</f>
        <v/>
      </c>
      <c r="M369" s="8" t="str">
        <f>IFERROR(INDEX(样本到样信息汇总统计!M$2:M$500,MATCH(368,样本到样信息汇总统计!$Z$2:$Z$500,0)),"")</f>
        <v/>
      </c>
      <c r="N369" s="8" t="str">
        <f>IFERROR(INDEX(样本到样信息汇总统计!N$2:N$500,MATCH(368,样本到样信息汇总统计!$Z$2:$Z$500,0)),"")</f>
        <v/>
      </c>
      <c r="O369" s="8" t="str">
        <f>IFERROR(INDEX(样本到样信息汇总统计!O$2:O$500,MATCH(368,样本到样信息汇总统计!$Z$2:$Z$500,0)),"")</f>
        <v/>
      </c>
      <c r="P369" s="8" t="str">
        <f>IFERROR(INDEX(样本到样信息汇总统计!P$2:P$500,MATCH(368,样本到样信息汇总统计!$Z$2:$Z$500,0)),"")</f>
        <v/>
      </c>
      <c r="Q369" s="8" t="str">
        <f>IFERROR(INDEX(样本到样信息汇总统计!Q$2:Q$500,MATCH(368,样本到样信息汇总统计!$Z$2:$Z$500,0)),"")</f>
        <v/>
      </c>
      <c r="R369" s="8" t="str">
        <f>IFERROR(INDEX(样本到样信息汇总统计!R$2:R$500,MATCH(368,样本到样信息汇总统计!$Z$2:$Z$500,0)),"")</f>
        <v/>
      </c>
      <c r="S369" s="8" t="str">
        <f>IFERROR(INDEX(样本到样信息汇总统计!S$2:S$500,MATCH(368,样本到样信息汇总统计!$Z$2:$Z$500,0)),"")</f>
        <v/>
      </c>
      <c r="T369" s="8" t="str">
        <f>IFERROR(INDEX(样本到样信息汇总统计!T$2:T$500,MATCH(368,样本到样信息汇总统计!$Z$2:$Z$500,0)),"")</f>
        <v/>
      </c>
      <c r="U369" s="8" t="str">
        <f>IFERROR(INDEX(样本到样信息汇总统计!U$2:U$500,MATCH(368,样本到样信息汇总统计!$Z$2:$Z$500,0)),"")</f>
        <v/>
      </c>
      <c r="V369" s="8" t="str">
        <f>IFERROR(INDEX(样本到样信息汇总统计!V$2:V$500,MATCH(368,样本到样信息汇总统计!$Z$2:$Z$500,0)),"")</f>
        <v/>
      </c>
      <c r="W369" s="8" t="str">
        <f>IFERROR(INDEX(样本到样信息汇总统计!W$2:W$500,MATCH(368,样本到样信息汇总统计!$Z$2:$Z$500,0)),"")</f>
        <v/>
      </c>
    </row>
    <row r="370" ht="14.5" spans="1:23">
      <c r="A370" s="4" t="str">
        <f>IFERROR(INDEX(样本到样信息汇总统计!A$2:A$500,MATCH(369,样本到样信息汇总统计!$Z$2:$Z$500,0)),"")</f>
        <v/>
      </c>
      <c r="B370" s="4" t="str">
        <f>IFERROR(INDEX(样本到样信息汇总统计!B$2:B$500,MATCH(369,样本到样信息汇总统计!$Z$2:$Z$500,0)),"")</f>
        <v/>
      </c>
      <c r="C370" s="4" t="str">
        <f>IFERROR(INDEX(样本到样信息汇总统计!C$2:C$500,MATCH(369,样本到样信息汇总统计!$Z$2:$Z$500,0)),"")</f>
        <v/>
      </c>
      <c r="D370" s="4" t="str">
        <f>IFERROR(INDEX(样本到样信息汇总统计!D$2:D$500,MATCH(369,样本到样信息汇总统计!$Z$2:$Z$500,0)),"")</f>
        <v/>
      </c>
      <c r="E370" s="4" t="str">
        <f>IFERROR(INDEX(样本到样信息汇总统计!E$2:E$500,MATCH(369,样本到样信息汇总统计!$Z$2:$Z$500,0)),"")</f>
        <v/>
      </c>
      <c r="F370" s="4" t="str">
        <f>IFERROR(INDEX(样本到样信息汇总统计!F$2:F$500,MATCH(369,样本到样信息汇总统计!$Z$2:$Z$500,0)),"")</f>
        <v/>
      </c>
      <c r="G370" s="4" t="str">
        <f>IFERROR(INDEX(样本到样信息汇总统计!G$2:G$500,MATCH(369,样本到样信息汇总统计!$Z$2:$Z$500,0)),"")</f>
        <v/>
      </c>
      <c r="H370" s="4" t="str">
        <f>IFERROR(INDEX(样本到样信息汇总统计!H$2:H$500,MATCH(369,样本到样信息汇总统计!$Z$2:$Z$500,0)),"")</f>
        <v/>
      </c>
      <c r="I370" s="4" t="str">
        <f>IFERROR(INDEX(样本到样信息汇总统计!I$2:I$500,MATCH(369,样本到样信息汇总统计!$Z$2:$Z$500,0)),"")</f>
        <v/>
      </c>
      <c r="J370" s="4" t="str">
        <f>IFERROR(INDEX(样本到样信息汇总统计!J$2:J$500,MATCH(369,样本到样信息汇总统计!$Z$2:$Z$500,0)),"")</f>
        <v/>
      </c>
      <c r="K370" s="4" t="str">
        <f>IFERROR(INDEX(样本到样信息汇总统计!K$2:K$500,MATCH(369,样本到样信息汇总统计!$Z$2:$Z$500,0)),"")</f>
        <v/>
      </c>
      <c r="L370" s="4" t="str">
        <f>IFERROR(INDEX(样本到样信息汇总统计!L$2:L$500,MATCH(369,样本到样信息汇总统计!$Z$2:$Z$500,0)),"")</f>
        <v/>
      </c>
      <c r="M370" s="4" t="str">
        <f>IFERROR(INDEX(样本到样信息汇总统计!M$2:M$500,MATCH(369,样本到样信息汇总统计!$Z$2:$Z$500,0)),"")</f>
        <v/>
      </c>
      <c r="N370" s="4" t="str">
        <f>IFERROR(INDEX(样本到样信息汇总统计!N$2:N$500,MATCH(369,样本到样信息汇总统计!$Z$2:$Z$500,0)),"")</f>
        <v/>
      </c>
      <c r="O370" s="4" t="str">
        <f>IFERROR(INDEX(样本到样信息汇总统计!O$2:O$500,MATCH(369,样本到样信息汇总统计!$Z$2:$Z$500,0)),"")</f>
        <v/>
      </c>
      <c r="P370" s="4" t="str">
        <f>IFERROR(INDEX(样本到样信息汇总统计!P$2:P$500,MATCH(369,样本到样信息汇总统计!$Z$2:$Z$500,0)),"")</f>
        <v/>
      </c>
      <c r="Q370" s="4" t="str">
        <f>IFERROR(INDEX(样本到样信息汇总统计!Q$2:Q$500,MATCH(369,样本到样信息汇总统计!$Z$2:$Z$500,0)),"")</f>
        <v/>
      </c>
      <c r="R370" s="4" t="str">
        <f>IFERROR(INDEX(样本到样信息汇总统计!R$2:R$500,MATCH(369,样本到样信息汇总统计!$Z$2:$Z$500,0)),"")</f>
        <v/>
      </c>
      <c r="S370" s="4" t="str">
        <f>IFERROR(INDEX(样本到样信息汇总统计!S$2:S$500,MATCH(369,样本到样信息汇总统计!$Z$2:$Z$500,0)),"")</f>
        <v/>
      </c>
      <c r="T370" s="4" t="str">
        <f>IFERROR(INDEX(样本到样信息汇总统计!T$2:T$500,MATCH(369,样本到样信息汇总统计!$Z$2:$Z$500,0)),"")</f>
        <v/>
      </c>
      <c r="U370" s="4" t="str">
        <f>IFERROR(INDEX(样本到样信息汇总统计!U$2:U$500,MATCH(369,样本到样信息汇总统计!$Z$2:$Z$500,0)),"")</f>
        <v/>
      </c>
      <c r="V370" s="4" t="str">
        <f>IFERROR(INDEX(样本到样信息汇总统计!V$2:V$500,MATCH(369,样本到样信息汇总统计!$Z$2:$Z$500,0)),"")</f>
        <v/>
      </c>
      <c r="W370" s="4" t="str">
        <f>IFERROR(INDEX(样本到样信息汇总统计!W$2:W$500,MATCH(369,样本到样信息汇总统计!$Z$2:$Z$500,0)),"")</f>
        <v/>
      </c>
    </row>
    <row r="371" ht="14.5" spans="1:23">
      <c r="A371" s="8" t="str">
        <f>IFERROR(INDEX(样本到样信息汇总统计!A$2:A$500,MATCH(370,样本到样信息汇总统计!$Z$2:$Z$500,0)),"")</f>
        <v/>
      </c>
      <c r="B371" s="8" t="str">
        <f>IFERROR(INDEX(样本到样信息汇总统计!B$2:B$500,MATCH(370,样本到样信息汇总统计!$Z$2:$Z$500,0)),"")</f>
        <v/>
      </c>
      <c r="C371" s="8" t="str">
        <f>IFERROR(INDEX(样本到样信息汇总统计!C$2:C$500,MATCH(370,样本到样信息汇总统计!$Z$2:$Z$500,0)),"")</f>
        <v/>
      </c>
      <c r="D371" s="8" t="str">
        <f>IFERROR(INDEX(样本到样信息汇总统计!D$2:D$500,MATCH(370,样本到样信息汇总统计!$Z$2:$Z$500,0)),"")</f>
        <v/>
      </c>
      <c r="E371" s="8" t="str">
        <f>IFERROR(INDEX(样本到样信息汇总统计!E$2:E$500,MATCH(370,样本到样信息汇总统计!$Z$2:$Z$500,0)),"")</f>
        <v/>
      </c>
      <c r="F371" s="8" t="str">
        <f>IFERROR(INDEX(样本到样信息汇总统计!F$2:F$500,MATCH(370,样本到样信息汇总统计!$Z$2:$Z$500,0)),"")</f>
        <v/>
      </c>
      <c r="G371" s="8" t="str">
        <f>IFERROR(INDEX(样本到样信息汇总统计!G$2:G$500,MATCH(370,样本到样信息汇总统计!$Z$2:$Z$500,0)),"")</f>
        <v/>
      </c>
      <c r="H371" s="8" t="str">
        <f>IFERROR(INDEX(样本到样信息汇总统计!H$2:H$500,MATCH(370,样本到样信息汇总统计!$Z$2:$Z$500,0)),"")</f>
        <v/>
      </c>
      <c r="I371" s="8" t="str">
        <f>IFERROR(INDEX(样本到样信息汇总统计!I$2:I$500,MATCH(370,样本到样信息汇总统计!$Z$2:$Z$500,0)),"")</f>
        <v/>
      </c>
      <c r="J371" s="8" t="str">
        <f>IFERROR(INDEX(样本到样信息汇总统计!J$2:J$500,MATCH(370,样本到样信息汇总统计!$Z$2:$Z$500,0)),"")</f>
        <v/>
      </c>
      <c r="K371" s="8" t="str">
        <f>IFERROR(INDEX(样本到样信息汇总统计!K$2:K$500,MATCH(370,样本到样信息汇总统计!$Z$2:$Z$500,0)),"")</f>
        <v/>
      </c>
      <c r="L371" s="8" t="str">
        <f>IFERROR(INDEX(样本到样信息汇总统计!L$2:L$500,MATCH(370,样本到样信息汇总统计!$Z$2:$Z$500,0)),"")</f>
        <v/>
      </c>
      <c r="M371" s="8" t="str">
        <f>IFERROR(INDEX(样本到样信息汇总统计!M$2:M$500,MATCH(370,样本到样信息汇总统计!$Z$2:$Z$500,0)),"")</f>
        <v/>
      </c>
      <c r="N371" s="8" t="str">
        <f>IFERROR(INDEX(样本到样信息汇总统计!N$2:N$500,MATCH(370,样本到样信息汇总统计!$Z$2:$Z$500,0)),"")</f>
        <v/>
      </c>
      <c r="O371" s="8" t="str">
        <f>IFERROR(INDEX(样本到样信息汇总统计!O$2:O$500,MATCH(370,样本到样信息汇总统计!$Z$2:$Z$500,0)),"")</f>
        <v/>
      </c>
      <c r="P371" s="8" t="str">
        <f>IFERROR(INDEX(样本到样信息汇总统计!P$2:P$500,MATCH(370,样本到样信息汇总统计!$Z$2:$Z$500,0)),"")</f>
        <v/>
      </c>
      <c r="Q371" s="8" t="str">
        <f>IFERROR(INDEX(样本到样信息汇总统计!Q$2:Q$500,MATCH(370,样本到样信息汇总统计!$Z$2:$Z$500,0)),"")</f>
        <v/>
      </c>
      <c r="R371" s="8" t="str">
        <f>IFERROR(INDEX(样本到样信息汇总统计!R$2:R$500,MATCH(370,样本到样信息汇总统计!$Z$2:$Z$500,0)),"")</f>
        <v/>
      </c>
      <c r="S371" s="8" t="str">
        <f>IFERROR(INDEX(样本到样信息汇总统计!S$2:S$500,MATCH(370,样本到样信息汇总统计!$Z$2:$Z$500,0)),"")</f>
        <v/>
      </c>
      <c r="T371" s="8" t="str">
        <f>IFERROR(INDEX(样本到样信息汇总统计!T$2:T$500,MATCH(370,样本到样信息汇总统计!$Z$2:$Z$500,0)),"")</f>
        <v/>
      </c>
      <c r="U371" s="8" t="str">
        <f>IFERROR(INDEX(样本到样信息汇总统计!U$2:U$500,MATCH(370,样本到样信息汇总统计!$Z$2:$Z$500,0)),"")</f>
        <v/>
      </c>
      <c r="V371" s="8" t="str">
        <f>IFERROR(INDEX(样本到样信息汇总统计!V$2:V$500,MATCH(370,样本到样信息汇总统计!$Z$2:$Z$500,0)),"")</f>
        <v/>
      </c>
      <c r="W371" s="8" t="str">
        <f>IFERROR(INDEX(样本到样信息汇总统计!W$2:W$500,MATCH(370,样本到样信息汇总统计!$Z$2:$Z$500,0)),"")</f>
        <v/>
      </c>
    </row>
    <row r="372" ht="14.5" spans="1:23">
      <c r="A372" s="4" t="str">
        <f>IFERROR(INDEX(样本到样信息汇总统计!A$2:A$500,MATCH(371,样本到样信息汇总统计!$Z$2:$Z$500,0)),"")</f>
        <v/>
      </c>
      <c r="B372" s="4" t="str">
        <f>IFERROR(INDEX(样本到样信息汇总统计!B$2:B$500,MATCH(371,样本到样信息汇总统计!$Z$2:$Z$500,0)),"")</f>
        <v/>
      </c>
      <c r="C372" s="4" t="str">
        <f>IFERROR(INDEX(样本到样信息汇总统计!C$2:C$500,MATCH(371,样本到样信息汇总统计!$Z$2:$Z$500,0)),"")</f>
        <v/>
      </c>
      <c r="D372" s="4" t="str">
        <f>IFERROR(INDEX(样本到样信息汇总统计!D$2:D$500,MATCH(371,样本到样信息汇总统计!$Z$2:$Z$500,0)),"")</f>
        <v/>
      </c>
      <c r="E372" s="4" t="str">
        <f>IFERROR(INDEX(样本到样信息汇总统计!E$2:E$500,MATCH(371,样本到样信息汇总统计!$Z$2:$Z$500,0)),"")</f>
        <v/>
      </c>
      <c r="F372" s="4" t="str">
        <f>IFERROR(INDEX(样本到样信息汇总统计!F$2:F$500,MATCH(371,样本到样信息汇总统计!$Z$2:$Z$500,0)),"")</f>
        <v/>
      </c>
      <c r="G372" s="4" t="str">
        <f>IFERROR(INDEX(样本到样信息汇总统计!G$2:G$500,MATCH(371,样本到样信息汇总统计!$Z$2:$Z$500,0)),"")</f>
        <v/>
      </c>
      <c r="H372" s="4" t="str">
        <f>IFERROR(INDEX(样本到样信息汇总统计!H$2:H$500,MATCH(371,样本到样信息汇总统计!$Z$2:$Z$500,0)),"")</f>
        <v/>
      </c>
      <c r="I372" s="4" t="str">
        <f>IFERROR(INDEX(样本到样信息汇总统计!I$2:I$500,MATCH(371,样本到样信息汇总统计!$Z$2:$Z$500,0)),"")</f>
        <v/>
      </c>
      <c r="J372" s="4" t="str">
        <f>IFERROR(INDEX(样本到样信息汇总统计!J$2:J$500,MATCH(371,样本到样信息汇总统计!$Z$2:$Z$500,0)),"")</f>
        <v/>
      </c>
      <c r="K372" s="4" t="str">
        <f>IFERROR(INDEX(样本到样信息汇总统计!K$2:K$500,MATCH(371,样本到样信息汇总统计!$Z$2:$Z$500,0)),"")</f>
        <v/>
      </c>
      <c r="L372" s="4" t="str">
        <f>IFERROR(INDEX(样本到样信息汇总统计!L$2:L$500,MATCH(371,样本到样信息汇总统计!$Z$2:$Z$500,0)),"")</f>
        <v/>
      </c>
      <c r="M372" s="4" t="str">
        <f>IFERROR(INDEX(样本到样信息汇总统计!M$2:M$500,MATCH(371,样本到样信息汇总统计!$Z$2:$Z$500,0)),"")</f>
        <v/>
      </c>
      <c r="N372" s="4" t="str">
        <f>IFERROR(INDEX(样本到样信息汇总统计!N$2:N$500,MATCH(371,样本到样信息汇总统计!$Z$2:$Z$500,0)),"")</f>
        <v/>
      </c>
      <c r="O372" s="4" t="str">
        <f>IFERROR(INDEX(样本到样信息汇总统计!O$2:O$500,MATCH(371,样本到样信息汇总统计!$Z$2:$Z$500,0)),"")</f>
        <v/>
      </c>
      <c r="P372" s="4" t="str">
        <f>IFERROR(INDEX(样本到样信息汇总统计!P$2:P$500,MATCH(371,样本到样信息汇总统计!$Z$2:$Z$500,0)),"")</f>
        <v/>
      </c>
      <c r="Q372" s="4" t="str">
        <f>IFERROR(INDEX(样本到样信息汇总统计!Q$2:Q$500,MATCH(371,样本到样信息汇总统计!$Z$2:$Z$500,0)),"")</f>
        <v/>
      </c>
      <c r="R372" s="4" t="str">
        <f>IFERROR(INDEX(样本到样信息汇总统计!R$2:R$500,MATCH(371,样本到样信息汇总统计!$Z$2:$Z$500,0)),"")</f>
        <v/>
      </c>
      <c r="S372" s="4" t="str">
        <f>IFERROR(INDEX(样本到样信息汇总统计!S$2:S$500,MATCH(371,样本到样信息汇总统计!$Z$2:$Z$500,0)),"")</f>
        <v/>
      </c>
      <c r="T372" s="4" t="str">
        <f>IFERROR(INDEX(样本到样信息汇总统计!T$2:T$500,MATCH(371,样本到样信息汇总统计!$Z$2:$Z$500,0)),"")</f>
        <v/>
      </c>
      <c r="U372" s="4" t="str">
        <f>IFERROR(INDEX(样本到样信息汇总统计!U$2:U$500,MATCH(371,样本到样信息汇总统计!$Z$2:$Z$500,0)),"")</f>
        <v/>
      </c>
      <c r="V372" s="4" t="str">
        <f>IFERROR(INDEX(样本到样信息汇总统计!V$2:V$500,MATCH(371,样本到样信息汇总统计!$Z$2:$Z$500,0)),"")</f>
        <v/>
      </c>
      <c r="W372" s="4" t="str">
        <f>IFERROR(INDEX(样本到样信息汇总统计!W$2:W$500,MATCH(371,样本到样信息汇总统计!$Z$2:$Z$500,0)),"")</f>
        <v/>
      </c>
    </row>
    <row r="373" ht="14.5" spans="1:23">
      <c r="A373" s="8" t="str">
        <f>IFERROR(INDEX(样本到样信息汇总统计!A$2:A$500,MATCH(372,样本到样信息汇总统计!$Z$2:$Z$500,0)),"")</f>
        <v/>
      </c>
      <c r="B373" s="8" t="str">
        <f>IFERROR(INDEX(样本到样信息汇总统计!B$2:B$500,MATCH(372,样本到样信息汇总统计!$Z$2:$Z$500,0)),"")</f>
        <v/>
      </c>
      <c r="C373" s="8" t="str">
        <f>IFERROR(INDEX(样本到样信息汇总统计!C$2:C$500,MATCH(372,样本到样信息汇总统计!$Z$2:$Z$500,0)),"")</f>
        <v/>
      </c>
      <c r="D373" s="8" t="str">
        <f>IFERROR(INDEX(样本到样信息汇总统计!D$2:D$500,MATCH(372,样本到样信息汇总统计!$Z$2:$Z$500,0)),"")</f>
        <v/>
      </c>
      <c r="E373" s="8" t="str">
        <f>IFERROR(INDEX(样本到样信息汇总统计!E$2:E$500,MATCH(372,样本到样信息汇总统计!$Z$2:$Z$500,0)),"")</f>
        <v/>
      </c>
      <c r="F373" s="8" t="str">
        <f>IFERROR(INDEX(样本到样信息汇总统计!F$2:F$500,MATCH(372,样本到样信息汇总统计!$Z$2:$Z$500,0)),"")</f>
        <v/>
      </c>
      <c r="G373" s="8" t="str">
        <f>IFERROR(INDEX(样本到样信息汇总统计!G$2:G$500,MATCH(372,样本到样信息汇总统计!$Z$2:$Z$500,0)),"")</f>
        <v/>
      </c>
      <c r="H373" s="8" t="str">
        <f>IFERROR(INDEX(样本到样信息汇总统计!H$2:H$500,MATCH(372,样本到样信息汇总统计!$Z$2:$Z$500,0)),"")</f>
        <v/>
      </c>
      <c r="I373" s="8" t="str">
        <f>IFERROR(INDEX(样本到样信息汇总统计!I$2:I$500,MATCH(372,样本到样信息汇总统计!$Z$2:$Z$500,0)),"")</f>
        <v/>
      </c>
      <c r="J373" s="8" t="str">
        <f>IFERROR(INDEX(样本到样信息汇总统计!J$2:J$500,MATCH(372,样本到样信息汇总统计!$Z$2:$Z$500,0)),"")</f>
        <v/>
      </c>
      <c r="K373" s="8" t="str">
        <f>IFERROR(INDEX(样本到样信息汇总统计!K$2:K$500,MATCH(372,样本到样信息汇总统计!$Z$2:$Z$500,0)),"")</f>
        <v/>
      </c>
      <c r="L373" s="8" t="str">
        <f>IFERROR(INDEX(样本到样信息汇总统计!L$2:L$500,MATCH(372,样本到样信息汇总统计!$Z$2:$Z$500,0)),"")</f>
        <v/>
      </c>
      <c r="M373" s="8" t="str">
        <f>IFERROR(INDEX(样本到样信息汇总统计!M$2:M$500,MATCH(372,样本到样信息汇总统计!$Z$2:$Z$500,0)),"")</f>
        <v/>
      </c>
      <c r="N373" s="8" t="str">
        <f>IFERROR(INDEX(样本到样信息汇总统计!N$2:N$500,MATCH(372,样本到样信息汇总统计!$Z$2:$Z$500,0)),"")</f>
        <v/>
      </c>
      <c r="O373" s="8" t="str">
        <f>IFERROR(INDEX(样本到样信息汇总统计!O$2:O$500,MATCH(372,样本到样信息汇总统计!$Z$2:$Z$500,0)),"")</f>
        <v/>
      </c>
      <c r="P373" s="8" t="str">
        <f>IFERROR(INDEX(样本到样信息汇总统计!P$2:P$500,MATCH(372,样本到样信息汇总统计!$Z$2:$Z$500,0)),"")</f>
        <v/>
      </c>
      <c r="Q373" s="8" t="str">
        <f>IFERROR(INDEX(样本到样信息汇总统计!Q$2:Q$500,MATCH(372,样本到样信息汇总统计!$Z$2:$Z$500,0)),"")</f>
        <v/>
      </c>
      <c r="R373" s="8" t="str">
        <f>IFERROR(INDEX(样本到样信息汇总统计!R$2:R$500,MATCH(372,样本到样信息汇总统计!$Z$2:$Z$500,0)),"")</f>
        <v/>
      </c>
      <c r="S373" s="8" t="str">
        <f>IFERROR(INDEX(样本到样信息汇总统计!S$2:S$500,MATCH(372,样本到样信息汇总统计!$Z$2:$Z$500,0)),"")</f>
        <v/>
      </c>
      <c r="T373" s="8" t="str">
        <f>IFERROR(INDEX(样本到样信息汇总统计!T$2:T$500,MATCH(372,样本到样信息汇总统计!$Z$2:$Z$500,0)),"")</f>
        <v/>
      </c>
      <c r="U373" s="8" t="str">
        <f>IFERROR(INDEX(样本到样信息汇总统计!U$2:U$500,MATCH(372,样本到样信息汇总统计!$Z$2:$Z$500,0)),"")</f>
        <v/>
      </c>
      <c r="V373" s="8" t="str">
        <f>IFERROR(INDEX(样本到样信息汇总统计!V$2:V$500,MATCH(372,样本到样信息汇总统计!$Z$2:$Z$500,0)),"")</f>
        <v/>
      </c>
      <c r="W373" s="8" t="str">
        <f>IFERROR(INDEX(样本到样信息汇总统计!W$2:W$500,MATCH(372,样本到样信息汇总统计!$Z$2:$Z$500,0)),"")</f>
        <v/>
      </c>
    </row>
    <row r="374" ht="14.5" spans="1:23">
      <c r="A374" s="4" t="str">
        <f>IFERROR(INDEX(样本到样信息汇总统计!A$2:A$500,MATCH(373,样本到样信息汇总统计!$Z$2:$Z$500,0)),"")</f>
        <v/>
      </c>
      <c r="B374" s="4" t="str">
        <f>IFERROR(INDEX(样本到样信息汇总统计!B$2:B$500,MATCH(373,样本到样信息汇总统计!$Z$2:$Z$500,0)),"")</f>
        <v/>
      </c>
      <c r="C374" s="4" t="str">
        <f>IFERROR(INDEX(样本到样信息汇总统计!C$2:C$500,MATCH(373,样本到样信息汇总统计!$Z$2:$Z$500,0)),"")</f>
        <v/>
      </c>
      <c r="D374" s="4" t="str">
        <f>IFERROR(INDEX(样本到样信息汇总统计!D$2:D$500,MATCH(373,样本到样信息汇总统计!$Z$2:$Z$500,0)),"")</f>
        <v/>
      </c>
      <c r="E374" s="4" t="str">
        <f>IFERROR(INDEX(样本到样信息汇总统计!E$2:E$500,MATCH(373,样本到样信息汇总统计!$Z$2:$Z$500,0)),"")</f>
        <v/>
      </c>
      <c r="F374" s="4" t="str">
        <f>IFERROR(INDEX(样本到样信息汇总统计!F$2:F$500,MATCH(373,样本到样信息汇总统计!$Z$2:$Z$500,0)),"")</f>
        <v/>
      </c>
      <c r="G374" s="4" t="str">
        <f>IFERROR(INDEX(样本到样信息汇总统计!G$2:G$500,MATCH(373,样本到样信息汇总统计!$Z$2:$Z$500,0)),"")</f>
        <v/>
      </c>
      <c r="H374" s="4" t="str">
        <f>IFERROR(INDEX(样本到样信息汇总统计!H$2:H$500,MATCH(373,样本到样信息汇总统计!$Z$2:$Z$500,0)),"")</f>
        <v/>
      </c>
      <c r="I374" s="4" t="str">
        <f>IFERROR(INDEX(样本到样信息汇总统计!I$2:I$500,MATCH(373,样本到样信息汇总统计!$Z$2:$Z$500,0)),"")</f>
        <v/>
      </c>
      <c r="J374" s="4" t="str">
        <f>IFERROR(INDEX(样本到样信息汇总统计!J$2:J$500,MATCH(373,样本到样信息汇总统计!$Z$2:$Z$500,0)),"")</f>
        <v/>
      </c>
      <c r="K374" s="4" t="str">
        <f>IFERROR(INDEX(样本到样信息汇总统计!K$2:K$500,MATCH(373,样本到样信息汇总统计!$Z$2:$Z$500,0)),"")</f>
        <v/>
      </c>
      <c r="L374" s="4" t="str">
        <f>IFERROR(INDEX(样本到样信息汇总统计!L$2:L$500,MATCH(373,样本到样信息汇总统计!$Z$2:$Z$500,0)),"")</f>
        <v/>
      </c>
      <c r="M374" s="4" t="str">
        <f>IFERROR(INDEX(样本到样信息汇总统计!M$2:M$500,MATCH(373,样本到样信息汇总统计!$Z$2:$Z$500,0)),"")</f>
        <v/>
      </c>
      <c r="N374" s="4" t="str">
        <f>IFERROR(INDEX(样本到样信息汇总统计!N$2:N$500,MATCH(373,样本到样信息汇总统计!$Z$2:$Z$500,0)),"")</f>
        <v/>
      </c>
      <c r="O374" s="4" t="str">
        <f>IFERROR(INDEX(样本到样信息汇总统计!O$2:O$500,MATCH(373,样本到样信息汇总统计!$Z$2:$Z$500,0)),"")</f>
        <v/>
      </c>
      <c r="P374" s="4" t="str">
        <f>IFERROR(INDEX(样本到样信息汇总统计!P$2:P$500,MATCH(373,样本到样信息汇总统计!$Z$2:$Z$500,0)),"")</f>
        <v/>
      </c>
      <c r="Q374" s="4" t="str">
        <f>IFERROR(INDEX(样本到样信息汇总统计!Q$2:Q$500,MATCH(373,样本到样信息汇总统计!$Z$2:$Z$500,0)),"")</f>
        <v/>
      </c>
      <c r="R374" s="4" t="str">
        <f>IFERROR(INDEX(样本到样信息汇总统计!R$2:R$500,MATCH(373,样本到样信息汇总统计!$Z$2:$Z$500,0)),"")</f>
        <v/>
      </c>
      <c r="S374" s="4" t="str">
        <f>IFERROR(INDEX(样本到样信息汇总统计!S$2:S$500,MATCH(373,样本到样信息汇总统计!$Z$2:$Z$500,0)),"")</f>
        <v/>
      </c>
      <c r="T374" s="4" t="str">
        <f>IFERROR(INDEX(样本到样信息汇总统计!T$2:T$500,MATCH(373,样本到样信息汇总统计!$Z$2:$Z$500,0)),"")</f>
        <v/>
      </c>
      <c r="U374" s="4" t="str">
        <f>IFERROR(INDEX(样本到样信息汇总统计!U$2:U$500,MATCH(373,样本到样信息汇总统计!$Z$2:$Z$500,0)),"")</f>
        <v/>
      </c>
      <c r="V374" s="4" t="str">
        <f>IFERROR(INDEX(样本到样信息汇总统计!V$2:V$500,MATCH(373,样本到样信息汇总统计!$Z$2:$Z$500,0)),"")</f>
        <v/>
      </c>
      <c r="W374" s="4" t="str">
        <f>IFERROR(INDEX(样本到样信息汇总统计!W$2:W$500,MATCH(373,样本到样信息汇总统计!$Z$2:$Z$500,0)),"")</f>
        <v/>
      </c>
    </row>
    <row r="375" ht="14.5" spans="1:23">
      <c r="A375" s="8" t="str">
        <f>IFERROR(INDEX(样本到样信息汇总统计!A$2:A$500,MATCH(374,样本到样信息汇总统计!$Z$2:$Z$500,0)),"")</f>
        <v/>
      </c>
      <c r="B375" s="8" t="str">
        <f>IFERROR(INDEX(样本到样信息汇总统计!B$2:B$500,MATCH(374,样本到样信息汇总统计!$Z$2:$Z$500,0)),"")</f>
        <v/>
      </c>
      <c r="C375" s="8" t="str">
        <f>IFERROR(INDEX(样本到样信息汇总统计!C$2:C$500,MATCH(374,样本到样信息汇总统计!$Z$2:$Z$500,0)),"")</f>
        <v/>
      </c>
      <c r="D375" s="8" t="str">
        <f>IFERROR(INDEX(样本到样信息汇总统计!D$2:D$500,MATCH(374,样本到样信息汇总统计!$Z$2:$Z$500,0)),"")</f>
        <v/>
      </c>
      <c r="E375" s="8" t="str">
        <f>IFERROR(INDEX(样本到样信息汇总统计!E$2:E$500,MATCH(374,样本到样信息汇总统计!$Z$2:$Z$500,0)),"")</f>
        <v/>
      </c>
      <c r="F375" s="8" t="str">
        <f>IFERROR(INDEX(样本到样信息汇总统计!F$2:F$500,MATCH(374,样本到样信息汇总统计!$Z$2:$Z$500,0)),"")</f>
        <v/>
      </c>
      <c r="G375" s="8" t="str">
        <f>IFERROR(INDEX(样本到样信息汇总统计!G$2:G$500,MATCH(374,样本到样信息汇总统计!$Z$2:$Z$500,0)),"")</f>
        <v/>
      </c>
      <c r="H375" s="8" t="str">
        <f>IFERROR(INDEX(样本到样信息汇总统计!H$2:H$500,MATCH(374,样本到样信息汇总统计!$Z$2:$Z$500,0)),"")</f>
        <v/>
      </c>
      <c r="I375" s="8" t="str">
        <f>IFERROR(INDEX(样本到样信息汇总统计!I$2:I$500,MATCH(374,样本到样信息汇总统计!$Z$2:$Z$500,0)),"")</f>
        <v/>
      </c>
      <c r="J375" s="8" t="str">
        <f>IFERROR(INDEX(样本到样信息汇总统计!J$2:J$500,MATCH(374,样本到样信息汇总统计!$Z$2:$Z$500,0)),"")</f>
        <v/>
      </c>
      <c r="K375" s="8" t="str">
        <f>IFERROR(INDEX(样本到样信息汇总统计!K$2:K$500,MATCH(374,样本到样信息汇总统计!$Z$2:$Z$500,0)),"")</f>
        <v/>
      </c>
      <c r="L375" s="8" t="str">
        <f>IFERROR(INDEX(样本到样信息汇总统计!L$2:L$500,MATCH(374,样本到样信息汇总统计!$Z$2:$Z$500,0)),"")</f>
        <v/>
      </c>
      <c r="M375" s="8" t="str">
        <f>IFERROR(INDEX(样本到样信息汇总统计!M$2:M$500,MATCH(374,样本到样信息汇总统计!$Z$2:$Z$500,0)),"")</f>
        <v/>
      </c>
      <c r="N375" s="8" t="str">
        <f>IFERROR(INDEX(样本到样信息汇总统计!N$2:N$500,MATCH(374,样本到样信息汇总统计!$Z$2:$Z$500,0)),"")</f>
        <v/>
      </c>
      <c r="O375" s="8" t="str">
        <f>IFERROR(INDEX(样本到样信息汇总统计!O$2:O$500,MATCH(374,样本到样信息汇总统计!$Z$2:$Z$500,0)),"")</f>
        <v/>
      </c>
      <c r="P375" s="8" t="str">
        <f>IFERROR(INDEX(样本到样信息汇总统计!P$2:P$500,MATCH(374,样本到样信息汇总统计!$Z$2:$Z$500,0)),"")</f>
        <v/>
      </c>
      <c r="Q375" s="8" t="str">
        <f>IFERROR(INDEX(样本到样信息汇总统计!Q$2:Q$500,MATCH(374,样本到样信息汇总统计!$Z$2:$Z$500,0)),"")</f>
        <v/>
      </c>
      <c r="R375" s="8" t="str">
        <f>IFERROR(INDEX(样本到样信息汇总统计!R$2:R$500,MATCH(374,样本到样信息汇总统计!$Z$2:$Z$500,0)),"")</f>
        <v/>
      </c>
      <c r="S375" s="8" t="str">
        <f>IFERROR(INDEX(样本到样信息汇总统计!S$2:S$500,MATCH(374,样本到样信息汇总统计!$Z$2:$Z$500,0)),"")</f>
        <v/>
      </c>
      <c r="T375" s="8" t="str">
        <f>IFERROR(INDEX(样本到样信息汇总统计!T$2:T$500,MATCH(374,样本到样信息汇总统计!$Z$2:$Z$500,0)),"")</f>
        <v/>
      </c>
      <c r="U375" s="8" t="str">
        <f>IFERROR(INDEX(样本到样信息汇总统计!U$2:U$500,MATCH(374,样本到样信息汇总统计!$Z$2:$Z$500,0)),"")</f>
        <v/>
      </c>
      <c r="V375" s="8" t="str">
        <f>IFERROR(INDEX(样本到样信息汇总统计!V$2:V$500,MATCH(374,样本到样信息汇总统计!$Z$2:$Z$500,0)),"")</f>
        <v/>
      </c>
      <c r="W375" s="8" t="str">
        <f>IFERROR(INDEX(样本到样信息汇总统计!W$2:W$500,MATCH(374,样本到样信息汇总统计!$Z$2:$Z$500,0)),"")</f>
        <v/>
      </c>
    </row>
    <row r="376" ht="14.5" spans="1:23">
      <c r="A376" s="4" t="str">
        <f>IFERROR(INDEX(样本到样信息汇总统计!A$2:A$500,MATCH(375,样本到样信息汇总统计!$Z$2:$Z$500,0)),"")</f>
        <v/>
      </c>
      <c r="B376" s="4" t="str">
        <f>IFERROR(INDEX(样本到样信息汇总统计!B$2:B$500,MATCH(375,样本到样信息汇总统计!$Z$2:$Z$500,0)),"")</f>
        <v/>
      </c>
      <c r="C376" s="4" t="str">
        <f>IFERROR(INDEX(样本到样信息汇总统计!C$2:C$500,MATCH(375,样本到样信息汇总统计!$Z$2:$Z$500,0)),"")</f>
        <v/>
      </c>
      <c r="D376" s="4" t="str">
        <f>IFERROR(INDEX(样本到样信息汇总统计!D$2:D$500,MATCH(375,样本到样信息汇总统计!$Z$2:$Z$500,0)),"")</f>
        <v/>
      </c>
      <c r="E376" s="4" t="str">
        <f>IFERROR(INDEX(样本到样信息汇总统计!E$2:E$500,MATCH(375,样本到样信息汇总统计!$Z$2:$Z$500,0)),"")</f>
        <v/>
      </c>
      <c r="F376" s="4" t="str">
        <f>IFERROR(INDEX(样本到样信息汇总统计!F$2:F$500,MATCH(375,样本到样信息汇总统计!$Z$2:$Z$500,0)),"")</f>
        <v/>
      </c>
      <c r="G376" s="4" t="str">
        <f>IFERROR(INDEX(样本到样信息汇总统计!G$2:G$500,MATCH(375,样本到样信息汇总统计!$Z$2:$Z$500,0)),"")</f>
        <v/>
      </c>
      <c r="H376" s="4" t="str">
        <f>IFERROR(INDEX(样本到样信息汇总统计!H$2:H$500,MATCH(375,样本到样信息汇总统计!$Z$2:$Z$500,0)),"")</f>
        <v/>
      </c>
      <c r="I376" s="4" t="str">
        <f>IFERROR(INDEX(样本到样信息汇总统计!I$2:I$500,MATCH(375,样本到样信息汇总统计!$Z$2:$Z$500,0)),"")</f>
        <v/>
      </c>
      <c r="J376" s="4" t="str">
        <f>IFERROR(INDEX(样本到样信息汇总统计!J$2:J$500,MATCH(375,样本到样信息汇总统计!$Z$2:$Z$500,0)),"")</f>
        <v/>
      </c>
      <c r="K376" s="4" t="str">
        <f>IFERROR(INDEX(样本到样信息汇总统计!K$2:K$500,MATCH(375,样本到样信息汇总统计!$Z$2:$Z$500,0)),"")</f>
        <v/>
      </c>
      <c r="L376" s="4" t="str">
        <f>IFERROR(INDEX(样本到样信息汇总统计!L$2:L$500,MATCH(375,样本到样信息汇总统计!$Z$2:$Z$500,0)),"")</f>
        <v/>
      </c>
      <c r="M376" s="4" t="str">
        <f>IFERROR(INDEX(样本到样信息汇总统计!M$2:M$500,MATCH(375,样本到样信息汇总统计!$Z$2:$Z$500,0)),"")</f>
        <v/>
      </c>
      <c r="N376" s="4" t="str">
        <f>IFERROR(INDEX(样本到样信息汇总统计!N$2:N$500,MATCH(375,样本到样信息汇总统计!$Z$2:$Z$500,0)),"")</f>
        <v/>
      </c>
      <c r="O376" s="4" t="str">
        <f>IFERROR(INDEX(样本到样信息汇总统计!O$2:O$500,MATCH(375,样本到样信息汇总统计!$Z$2:$Z$500,0)),"")</f>
        <v/>
      </c>
      <c r="P376" s="4" t="str">
        <f>IFERROR(INDEX(样本到样信息汇总统计!P$2:P$500,MATCH(375,样本到样信息汇总统计!$Z$2:$Z$500,0)),"")</f>
        <v/>
      </c>
      <c r="Q376" s="4" t="str">
        <f>IFERROR(INDEX(样本到样信息汇总统计!Q$2:Q$500,MATCH(375,样本到样信息汇总统计!$Z$2:$Z$500,0)),"")</f>
        <v/>
      </c>
      <c r="R376" s="4" t="str">
        <f>IFERROR(INDEX(样本到样信息汇总统计!R$2:R$500,MATCH(375,样本到样信息汇总统计!$Z$2:$Z$500,0)),"")</f>
        <v/>
      </c>
      <c r="S376" s="4" t="str">
        <f>IFERROR(INDEX(样本到样信息汇总统计!S$2:S$500,MATCH(375,样本到样信息汇总统计!$Z$2:$Z$500,0)),"")</f>
        <v/>
      </c>
      <c r="T376" s="4" t="str">
        <f>IFERROR(INDEX(样本到样信息汇总统计!T$2:T$500,MATCH(375,样本到样信息汇总统计!$Z$2:$Z$500,0)),"")</f>
        <v/>
      </c>
      <c r="U376" s="4" t="str">
        <f>IFERROR(INDEX(样本到样信息汇总统计!U$2:U$500,MATCH(375,样本到样信息汇总统计!$Z$2:$Z$500,0)),"")</f>
        <v/>
      </c>
      <c r="V376" s="4" t="str">
        <f>IFERROR(INDEX(样本到样信息汇总统计!V$2:V$500,MATCH(375,样本到样信息汇总统计!$Z$2:$Z$500,0)),"")</f>
        <v/>
      </c>
      <c r="W376" s="4" t="str">
        <f>IFERROR(INDEX(样本到样信息汇总统计!W$2:W$500,MATCH(375,样本到样信息汇总统计!$Z$2:$Z$500,0)),"")</f>
        <v/>
      </c>
    </row>
    <row r="377" ht="14.5" spans="1:23">
      <c r="A377" s="8" t="str">
        <f>IFERROR(INDEX(样本到样信息汇总统计!A$2:A$500,MATCH(376,样本到样信息汇总统计!$Z$2:$Z$500,0)),"")</f>
        <v/>
      </c>
      <c r="B377" s="8" t="str">
        <f>IFERROR(INDEX(样本到样信息汇总统计!B$2:B$500,MATCH(376,样本到样信息汇总统计!$Z$2:$Z$500,0)),"")</f>
        <v/>
      </c>
      <c r="C377" s="8" t="str">
        <f>IFERROR(INDEX(样本到样信息汇总统计!C$2:C$500,MATCH(376,样本到样信息汇总统计!$Z$2:$Z$500,0)),"")</f>
        <v/>
      </c>
      <c r="D377" s="8" t="str">
        <f>IFERROR(INDEX(样本到样信息汇总统计!D$2:D$500,MATCH(376,样本到样信息汇总统计!$Z$2:$Z$500,0)),"")</f>
        <v/>
      </c>
      <c r="E377" s="8" t="str">
        <f>IFERROR(INDEX(样本到样信息汇总统计!E$2:E$500,MATCH(376,样本到样信息汇总统计!$Z$2:$Z$500,0)),"")</f>
        <v/>
      </c>
      <c r="F377" s="8" t="str">
        <f>IFERROR(INDEX(样本到样信息汇总统计!F$2:F$500,MATCH(376,样本到样信息汇总统计!$Z$2:$Z$500,0)),"")</f>
        <v/>
      </c>
      <c r="G377" s="8" t="str">
        <f>IFERROR(INDEX(样本到样信息汇总统计!G$2:G$500,MATCH(376,样本到样信息汇总统计!$Z$2:$Z$500,0)),"")</f>
        <v/>
      </c>
      <c r="H377" s="8" t="str">
        <f>IFERROR(INDEX(样本到样信息汇总统计!H$2:H$500,MATCH(376,样本到样信息汇总统计!$Z$2:$Z$500,0)),"")</f>
        <v/>
      </c>
      <c r="I377" s="8" t="str">
        <f>IFERROR(INDEX(样本到样信息汇总统计!I$2:I$500,MATCH(376,样本到样信息汇总统计!$Z$2:$Z$500,0)),"")</f>
        <v/>
      </c>
      <c r="J377" s="8" t="str">
        <f>IFERROR(INDEX(样本到样信息汇总统计!J$2:J$500,MATCH(376,样本到样信息汇总统计!$Z$2:$Z$500,0)),"")</f>
        <v/>
      </c>
      <c r="K377" s="8" t="str">
        <f>IFERROR(INDEX(样本到样信息汇总统计!K$2:K$500,MATCH(376,样本到样信息汇总统计!$Z$2:$Z$500,0)),"")</f>
        <v/>
      </c>
      <c r="L377" s="8" t="str">
        <f>IFERROR(INDEX(样本到样信息汇总统计!L$2:L$500,MATCH(376,样本到样信息汇总统计!$Z$2:$Z$500,0)),"")</f>
        <v/>
      </c>
      <c r="M377" s="8" t="str">
        <f>IFERROR(INDEX(样本到样信息汇总统计!M$2:M$500,MATCH(376,样本到样信息汇总统计!$Z$2:$Z$500,0)),"")</f>
        <v/>
      </c>
      <c r="N377" s="8" t="str">
        <f>IFERROR(INDEX(样本到样信息汇总统计!N$2:N$500,MATCH(376,样本到样信息汇总统计!$Z$2:$Z$500,0)),"")</f>
        <v/>
      </c>
      <c r="O377" s="8" t="str">
        <f>IFERROR(INDEX(样本到样信息汇总统计!O$2:O$500,MATCH(376,样本到样信息汇总统计!$Z$2:$Z$500,0)),"")</f>
        <v/>
      </c>
      <c r="P377" s="8" t="str">
        <f>IFERROR(INDEX(样本到样信息汇总统计!P$2:P$500,MATCH(376,样本到样信息汇总统计!$Z$2:$Z$500,0)),"")</f>
        <v/>
      </c>
      <c r="Q377" s="8" t="str">
        <f>IFERROR(INDEX(样本到样信息汇总统计!Q$2:Q$500,MATCH(376,样本到样信息汇总统计!$Z$2:$Z$500,0)),"")</f>
        <v/>
      </c>
      <c r="R377" s="8" t="str">
        <f>IFERROR(INDEX(样本到样信息汇总统计!R$2:R$500,MATCH(376,样本到样信息汇总统计!$Z$2:$Z$500,0)),"")</f>
        <v/>
      </c>
      <c r="S377" s="8" t="str">
        <f>IFERROR(INDEX(样本到样信息汇总统计!S$2:S$500,MATCH(376,样本到样信息汇总统计!$Z$2:$Z$500,0)),"")</f>
        <v/>
      </c>
      <c r="T377" s="8" t="str">
        <f>IFERROR(INDEX(样本到样信息汇总统计!T$2:T$500,MATCH(376,样本到样信息汇总统计!$Z$2:$Z$500,0)),"")</f>
        <v/>
      </c>
      <c r="U377" s="8" t="str">
        <f>IFERROR(INDEX(样本到样信息汇总统计!U$2:U$500,MATCH(376,样本到样信息汇总统计!$Z$2:$Z$500,0)),"")</f>
        <v/>
      </c>
      <c r="V377" s="8" t="str">
        <f>IFERROR(INDEX(样本到样信息汇总统计!V$2:V$500,MATCH(376,样本到样信息汇总统计!$Z$2:$Z$500,0)),"")</f>
        <v/>
      </c>
      <c r="W377" s="8" t="str">
        <f>IFERROR(INDEX(样本到样信息汇总统计!W$2:W$500,MATCH(376,样本到样信息汇总统计!$Z$2:$Z$500,0)),"")</f>
        <v/>
      </c>
    </row>
    <row r="378" ht="14.5" spans="1:23">
      <c r="A378" s="4" t="str">
        <f>IFERROR(INDEX(样本到样信息汇总统计!A$2:A$500,MATCH(377,样本到样信息汇总统计!$Z$2:$Z$500,0)),"")</f>
        <v/>
      </c>
      <c r="B378" s="4" t="str">
        <f>IFERROR(INDEX(样本到样信息汇总统计!B$2:B$500,MATCH(377,样本到样信息汇总统计!$Z$2:$Z$500,0)),"")</f>
        <v/>
      </c>
      <c r="C378" s="4" t="str">
        <f>IFERROR(INDEX(样本到样信息汇总统计!C$2:C$500,MATCH(377,样本到样信息汇总统计!$Z$2:$Z$500,0)),"")</f>
        <v/>
      </c>
      <c r="D378" s="4" t="str">
        <f>IFERROR(INDEX(样本到样信息汇总统计!D$2:D$500,MATCH(377,样本到样信息汇总统计!$Z$2:$Z$500,0)),"")</f>
        <v/>
      </c>
      <c r="E378" s="4" t="str">
        <f>IFERROR(INDEX(样本到样信息汇总统计!E$2:E$500,MATCH(377,样本到样信息汇总统计!$Z$2:$Z$500,0)),"")</f>
        <v/>
      </c>
      <c r="F378" s="4" t="str">
        <f>IFERROR(INDEX(样本到样信息汇总统计!F$2:F$500,MATCH(377,样本到样信息汇总统计!$Z$2:$Z$500,0)),"")</f>
        <v/>
      </c>
      <c r="G378" s="4" t="str">
        <f>IFERROR(INDEX(样本到样信息汇总统计!G$2:G$500,MATCH(377,样本到样信息汇总统计!$Z$2:$Z$500,0)),"")</f>
        <v/>
      </c>
      <c r="H378" s="4" t="str">
        <f>IFERROR(INDEX(样本到样信息汇总统计!H$2:H$500,MATCH(377,样本到样信息汇总统计!$Z$2:$Z$500,0)),"")</f>
        <v/>
      </c>
      <c r="I378" s="4" t="str">
        <f>IFERROR(INDEX(样本到样信息汇总统计!I$2:I$500,MATCH(377,样本到样信息汇总统计!$Z$2:$Z$500,0)),"")</f>
        <v/>
      </c>
      <c r="J378" s="4" t="str">
        <f>IFERROR(INDEX(样本到样信息汇总统计!J$2:J$500,MATCH(377,样本到样信息汇总统计!$Z$2:$Z$500,0)),"")</f>
        <v/>
      </c>
      <c r="K378" s="4" t="str">
        <f>IFERROR(INDEX(样本到样信息汇总统计!K$2:K$500,MATCH(377,样本到样信息汇总统计!$Z$2:$Z$500,0)),"")</f>
        <v/>
      </c>
      <c r="L378" s="4" t="str">
        <f>IFERROR(INDEX(样本到样信息汇总统计!L$2:L$500,MATCH(377,样本到样信息汇总统计!$Z$2:$Z$500,0)),"")</f>
        <v/>
      </c>
      <c r="M378" s="4" t="str">
        <f>IFERROR(INDEX(样本到样信息汇总统计!M$2:M$500,MATCH(377,样本到样信息汇总统计!$Z$2:$Z$500,0)),"")</f>
        <v/>
      </c>
      <c r="N378" s="4" t="str">
        <f>IFERROR(INDEX(样本到样信息汇总统计!N$2:N$500,MATCH(377,样本到样信息汇总统计!$Z$2:$Z$500,0)),"")</f>
        <v/>
      </c>
      <c r="O378" s="4" t="str">
        <f>IFERROR(INDEX(样本到样信息汇总统计!O$2:O$500,MATCH(377,样本到样信息汇总统计!$Z$2:$Z$500,0)),"")</f>
        <v/>
      </c>
      <c r="P378" s="4" t="str">
        <f>IFERROR(INDEX(样本到样信息汇总统计!P$2:P$500,MATCH(377,样本到样信息汇总统计!$Z$2:$Z$500,0)),"")</f>
        <v/>
      </c>
      <c r="Q378" s="4" t="str">
        <f>IFERROR(INDEX(样本到样信息汇总统计!Q$2:Q$500,MATCH(377,样本到样信息汇总统计!$Z$2:$Z$500,0)),"")</f>
        <v/>
      </c>
      <c r="R378" s="4" t="str">
        <f>IFERROR(INDEX(样本到样信息汇总统计!R$2:R$500,MATCH(377,样本到样信息汇总统计!$Z$2:$Z$500,0)),"")</f>
        <v/>
      </c>
      <c r="S378" s="4" t="str">
        <f>IFERROR(INDEX(样本到样信息汇总统计!S$2:S$500,MATCH(377,样本到样信息汇总统计!$Z$2:$Z$500,0)),"")</f>
        <v/>
      </c>
      <c r="T378" s="4" t="str">
        <f>IFERROR(INDEX(样本到样信息汇总统计!T$2:T$500,MATCH(377,样本到样信息汇总统计!$Z$2:$Z$500,0)),"")</f>
        <v/>
      </c>
      <c r="U378" s="4" t="str">
        <f>IFERROR(INDEX(样本到样信息汇总统计!U$2:U$500,MATCH(377,样本到样信息汇总统计!$Z$2:$Z$500,0)),"")</f>
        <v/>
      </c>
      <c r="V378" s="4" t="str">
        <f>IFERROR(INDEX(样本到样信息汇总统计!V$2:V$500,MATCH(377,样本到样信息汇总统计!$Z$2:$Z$500,0)),"")</f>
        <v/>
      </c>
      <c r="W378" s="4" t="str">
        <f>IFERROR(INDEX(样本到样信息汇总统计!W$2:W$500,MATCH(377,样本到样信息汇总统计!$Z$2:$Z$500,0)),"")</f>
        <v/>
      </c>
    </row>
    <row r="379" ht="14.5" spans="1:23">
      <c r="A379" s="8" t="str">
        <f>IFERROR(INDEX(样本到样信息汇总统计!A$2:A$500,MATCH(378,样本到样信息汇总统计!$Z$2:$Z$500,0)),"")</f>
        <v/>
      </c>
      <c r="B379" s="8" t="str">
        <f>IFERROR(INDEX(样本到样信息汇总统计!B$2:B$500,MATCH(378,样本到样信息汇总统计!$Z$2:$Z$500,0)),"")</f>
        <v/>
      </c>
      <c r="C379" s="8" t="str">
        <f>IFERROR(INDEX(样本到样信息汇总统计!C$2:C$500,MATCH(378,样本到样信息汇总统计!$Z$2:$Z$500,0)),"")</f>
        <v/>
      </c>
      <c r="D379" s="8" t="str">
        <f>IFERROR(INDEX(样本到样信息汇总统计!D$2:D$500,MATCH(378,样本到样信息汇总统计!$Z$2:$Z$500,0)),"")</f>
        <v/>
      </c>
      <c r="E379" s="8" t="str">
        <f>IFERROR(INDEX(样本到样信息汇总统计!E$2:E$500,MATCH(378,样本到样信息汇总统计!$Z$2:$Z$500,0)),"")</f>
        <v/>
      </c>
      <c r="F379" s="8" t="str">
        <f>IFERROR(INDEX(样本到样信息汇总统计!F$2:F$500,MATCH(378,样本到样信息汇总统计!$Z$2:$Z$500,0)),"")</f>
        <v/>
      </c>
      <c r="G379" s="8" t="str">
        <f>IFERROR(INDEX(样本到样信息汇总统计!G$2:G$500,MATCH(378,样本到样信息汇总统计!$Z$2:$Z$500,0)),"")</f>
        <v/>
      </c>
      <c r="H379" s="8" t="str">
        <f>IFERROR(INDEX(样本到样信息汇总统计!H$2:H$500,MATCH(378,样本到样信息汇总统计!$Z$2:$Z$500,0)),"")</f>
        <v/>
      </c>
      <c r="I379" s="8" t="str">
        <f>IFERROR(INDEX(样本到样信息汇总统计!I$2:I$500,MATCH(378,样本到样信息汇总统计!$Z$2:$Z$500,0)),"")</f>
        <v/>
      </c>
      <c r="J379" s="8" t="str">
        <f>IFERROR(INDEX(样本到样信息汇总统计!J$2:J$500,MATCH(378,样本到样信息汇总统计!$Z$2:$Z$500,0)),"")</f>
        <v/>
      </c>
      <c r="K379" s="8" t="str">
        <f>IFERROR(INDEX(样本到样信息汇总统计!K$2:K$500,MATCH(378,样本到样信息汇总统计!$Z$2:$Z$500,0)),"")</f>
        <v/>
      </c>
      <c r="L379" s="8" t="str">
        <f>IFERROR(INDEX(样本到样信息汇总统计!L$2:L$500,MATCH(378,样本到样信息汇总统计!$Z$2:$Z$500,0)),"")</f>
        <v/>
      </c>
      <c r="M379" s="8" t="str">
        <f>IFERROR(INDEX(样本到样信息汇总统计!M$2:M$500,MATCH(378,样本到样信息汇总统计!$Z$2:$Z$500,0)),"")</f>
        <v/>
      </c>
      <c r="N379" s="8" t="str">
        <f>IFERROR(INDEX(样本到样信息汇总统计!N$2:N$500,MATCH(378,样本到样信息汇总统计!$Z$2:$Z$500,0)),"")</f>
        <v/>
      </c>
      <c r="O379" s="8" t="str">
        <f>IFERROR(INDEX(样本到样信息汇总统计!O$2:O$500,MATCH(378,样本到样信息汇总统计!$Z$2:$Z$500,0)),"")</f>
        <v/>
      </c>
      <c r="P379" s="8" t="str">
        <f>IFERROR(INDEX(样本到样信息汇总统计!P$2:P$500,MATCH(378,样本到样信息汇总统计!$Z$2:$Z$500,0)),"")</f>
        <v/>
      </c>
      <c r="Q379" s="8" t="str">
        <f>IFERROR(INDEX(样本到样信息汇总统计!Q$2:Q$500,MATCH(378,样本到样信息汇总统计!$Z$2:$Z$500,0)),"")</f>
        <v/>
      </c>
      <c r="R379" s="8" t="str">
        <f>IFERROR(INDEX(样本到样信息汇总统计!R$2:R$500,MATCH(378,样本到样信息汇总统计!$Z$2:$Z$500,0)),"")</f>
        <v/>
      </c>
      <c r="S379" s="8" t="str">
        <f>IFERROR(INDEX(样本到样信息汇总统计!S$2:S$500,MATCH(378,样本到样信息汇总统计!$Z$2:$Z$500,0)),"")</f>
        <v/>
      </c>
      <c r="T379" s="8" t="str">
        <f>IFERROR(INDEX(样本到样信息汇总统计!T$2:T$500,MATCH(378,样本到样信息汇总统计!$Z$2:$Z$500,0)),"")</f>
        <v/>
      </c>
      <c r="U379" s="8" t="str">
        <f>IFERROR(INDEX(样本到样信息汇总统计!U$2:U$500,MATCH(378,样本到样信息汇总统计!$Z$2:$Z$500,0)),"")</f>
        <v/>
      </c>
      <c r="V379" s="8" t="str">
        <f>IFERROR(INDEX(样本到样信息汇总统计!V$2:V$500,MATCH(378,样本到样信息汇总统计!$Z$2:$Z$500,0)),"")</f>
        <v/>
      </c>
      <c r="W379" s="8" t="str">
        <f>IFERROR(INDEX(样本到样信息汇总统计!W$2:W$500,MATCH(378,样本到样信息汇总统计!$Z$2:$Z$500,0)),"")</f>
        <v/>
      </c>
    </row>
    <row r="380" ht="14.5" spans="1:23">
      <c r="A380" s="4" t="str">
        <f>IFERROR(INDEX(样本到样信息汇总统计!A$2:A$500,MATCH(379,样本到样信息汇总统计!$Z$2:$Z$500,0)),"")</f>
        <v/>
      </c>
      <c r="B380" s="4" t="str">
        <f>IFERROR(INDEX(样本到样信息汇总统计!B$2:B$500,MATCH(379,样本到样信息汇总统计!$Z$2:$Z$500,0)),"")</f>
        <v/>
      </c>
      <c r="C380" s="4" t="str">
        <f>IFERROR(INDEX(样本到样信息汇总统计!C$2:C$500,MATCH(379,样本到样信息汇总统计!$Z$2:$Z$500,0)),"")</f>
        <v/>
      </c>
      <c r="D380" s="4" t="str">
        <f>IFERROR(INDEX(样本到样信息汇总统计!D$2:D$500,MATCH(379,样本到样信息汇总统计!$Z$2:$Z$500,0)),"")</f>
        <v/>
      </c>
      <c r="E380" s="4" t="str">
        <f>IFERROR(INDEX(样本到样信息汇总统计!E$2:E$500,MATCH(379,样本到样信息汇总统计!$Z$2:$Z$500,0)),"")</f>
        <v/>
      </c>
      <c r="F380" s="4" t="str">
        <f>IFERROR(INDEX(样本到样信息汇总统计!F$2:F$500,MATCH(379,样本到样信息汇总统计!$Z$2:$Z$500,0)),"")</f>
        <v/>
      </c>
      <c r="G380" s="4" t="str">
        <f>IFERROR(INDEX(样本到样信息汇总统计!G$2:G$500,MATCH(379,样本到样信息汇总统计!$Z$2:$Z$500,0)),"")</f>
        <v/>
      </c>
      <c r="H380" s="4" t="str">
        <f>IFERROR(INDEX(样本到样信息汇总统计!H$2:H$500,MATCH(379,样本到样信息汇总统计!$Z$2:$Z$500,0)),"")</f>
        <v/>
      </c>
      <c r="I380" s="4" t="str">
        <f>IFERROR(INDEX(样本到样信息汇总统计!I$2:I$500,MATCH(379,样本到样信息汇总统计!$Z$2:$Z$500,0)),"")</f>
        <v/>
      </c>
      <c r="J380" s="4" t="str">
        <f>IFERROR(INDEX(样本到样信息汇总统计!J$2:J$500,MATCH(379,样本到样信息汇总统计!$Z$2:$Z$500,0)),"")</f>
        <v/>
      </c>
      <c r="K380" s="4" t="str">
        <f>IFERROR(INDEX(样本到样信息汇总统计!K$2:K$500,MATCH(379,样本到样信息汇总统计!$Z$2:$Z$500,0)),"")</f>
        <v/>
      </c>
      <c r="L380" s="4" t="str">
        <f>IFERROR(INDEX(样本到样信息汇总统计!L$2:L$500,MATCH(379,样本到样信息汇总统计!$Z$2:$Z$500,0)),"")</f>
        <v/>
      </c>
      <c r="M380" s="4" t="str">
        <f>IFERROR(INDEX(样本到样信息汇总统计!M$2:M$500,MATCH(379,样本到样信息汇总统计!$Z$2:$Z$500,0)),"")</f>
        <v/>
      </c>
      <c r="N380" s="4" t="str">
        <f>IFERROR(INDEX(样本到样信息汇总统计!N$2:N$500,MATCH(379,样本到样信息汇总统计!$Z$2:$Z$500,0)),"")</f>
        <v/>
      </c>
      <c r="O380" s="4" t="str">
        <f>IFERROR(INDEX(样本到样信息汇总统计!O$2:O$500,MATCH(379,样本到样信息汇总统计!$Z$2:$Z$500,0)),"")</f>
        <v/>
      </c>
      <c r="P380" s="4" t="str">
        <f>IFERROR(INDEX(样本到样信息汇总统计!P$2:P$500,MATCH(379,样本到样信息汇总统计!$Z$2:$Z$500,0)),"")</f>
        <v/>
      </c>
      <c r="Q380" s="4" t="str">
        <f>IFERROR(INDEX(样本到样信息汇总统计!Q$2:Q$500,MATCH(379,样本到样信息汇总统计!$Z$2:$Z$500,0)),"")</f>
        <v/>
      </c>
      <c r="R380" s="4" t="str">
        <f>IFERROR(INDEX(样本到样信息汇总统计!R$2:R$500,MATCH(379,样本到样信息汇总统计!$Z$2:$Z$500,0)),"")</f>
        <v/>
      </c>
      <c r="S380" s="4" t="str">
        <f>IFERROR(INDEX(样本到样信息汇总统计!S$2:S$500,MATCH(379,样本到样信息汇总统计!$Z$2:$Z$500,0)),"")</f>
        <v/>
      </c>
      <c r="T380" s="4" t="str">
        <f>IFERROR(INDEX(样本到样信息汇总统计!T$2:T$500,MATCH(379,样本到样信息汇总统计!$Z$2:$Z$500,0)),"")</f>
        <v/>
      </c>
      <c r="U380" s="4" t="str">
        <f>IFERROR(INDEX(样本到样信息汇总统计!U$2:U$500,MATCH(379,样本到样信息汇总统计!$Z$2:$Z$500,0)),"")</f>
        <v/>
      </c>
      <c r="V380" s="4" t="str">
        <f>IFERROR(INDEX(样本到样信息汇总统计!V$2:V$500,MATCH(379,样本到样信息汇总统计!$Z$2:$Z$500,0)),"")</f>
        <v/>
      </c>
      <c r="W380" s="4" t="str">
        <f>IFERROR(INDEX(样本到样信息汇总统计!W$2:W$500,MATCH(379,样本到样信息汇总统计!$Z$2:$Z$500,0)),"")</f>
        <v/>
      </c>
    </row>
    <row r="381" ht="14.5" spans="1:23">
      <c r="A381" s="8" t="str">
        <f>IFERROR(INDEX(样本到样信息汇总统计!A$2:A$500,MATCH(380,样本到样信息汇总统计!$Z$2:$Z$500,0)),"")</f>
        <v/>
      </c>
      <c r="B381" s="8" t="str">
        <f>IFERROR(INDEX(样本到样信息汇总统计!B$2:B$500,MATCH(380,样本到样信息汇总统计!$Z$2:$Z$500,0)),"")</f>
        <v/>
      </c>
      <c r="C381" s="8" t="str">
        <f>IFERROR(INDEX(样本到样信息汇总统计!C$2:C$500,MATCH(380,样本到样信息汇总统计!$Z$2:$Z$500,0)),"")</f>
        <v/>
      </c>
      <c r="D381" s="8" t="str">
        <f>IFERROR(INDEX(样本到样信息汇总统计!D$2:D$500,MATCH(380,样本到样信息汇总统计!$Z$2:$Z$500,0)),"")</f>
        <v/>
      </c>
      <c r="E381" s="8" t="str">
        <f>IFERROR(INDEX(样本到样信息汇总统计!E$2:E$500,MATCH(380,样本到样信息汇总统计!$Z$2:$Z$500,0)),"")</f>
        <v/>
      </c>
      <c r="F381" s="8" t="str">
        <f>IFERROR(INDEX(样本到样信息汇总统计!F$2:F$500,MATCH(380,样本到样信息汇总统计!$Z$2:$Z$500,0)),"")</f>
        <v/>
      </c>
      <c r="G381" s="8" t="str">
        <f>IFERROR(INDEX(样本到样信息汇总统计!G$2:G$500,MATCH(380,样本到样信息汇总统计!$Z$2:$Z$500,0)),"")</f>
        <v/>
      </c>
      <c r="H381" s="8" t="str">
        <f>IFERROR(INDEX(样本到样信息汇总统计!H$2:H$500,MATCH(380,样本到样信息汇总统计!$Z$2:$Z$500,0)),"")</f>
        <v/>
      </c>
      <c r="I381" s="8" t="str">
        <f>IFERROR(INDEX(样本到样信息汇总统计!I$2:I$500,MATCH(380,样本到样信息汇总统计!$Z$2:$Z$500,0)),"")</f>
        <v/>
      </c>
      <c r="J381" s="8" t="str">
        <f>IFERROR(INDEX(样本到样信息汇总统计!J$2:J$500,MATCH(380,样本到样信息汇总统计!$Z$2:$Z$500,0)),"")</f>
        <v/>
      </c>
      <c r="K381" s="8" t="str">
        <f>IFERROR(INDEX(样本到样信息汇总统计!K$2:K$500,MATCH(380,样本到样信息汇总统计!$Z$2:$Z$500,0)),"")</f>
        <v/>
      </c>
      <c r="L381" s="8" t="str">
        <f>IFERROR(INDEX(样本到样信息汇总统计!L$2:L$500,MATCH(380,样本到样信息汇总统计!$Z$2:$Z$500,0)),"")</f>
        <v/>
      </c>
      <c r="M381" s="8" t="str">
        <f>IFERROR(INDEX(样本到样信息汇总统计!M$2:M$500,MATCH(380,样本到样信息汇总统计!$Z$2:$Z$500,0)),"")</f>
        <v/>
      </c>
      <c r="N381" s="8" t="str">
        <f>IFERROR(INDEX(样本到样信息汇总统计!N$2:N$500,MATCH(380,样本到样信息汇总统计!$Z$2:$Z$500,0)),"")</f>
        <v/>
      </c>
      <c r="O381" s="8" t="str">
        <f>IFERROR(INDEX(样本到样信息汇总统计!O$2:O$500,MATCH(380,样本到样信息汇总统计!$Z$2:$Z$500,0)),"")</f>
        <v/>
      </c>
      <c r="P381" s="8" t="str">
        <f>IFERROR(INDEX(样本到样信息汇总统计!P$2:P$500,MATCH(380,样本到样信息汇总统计!$Z$2:$Z$500,0)),"")</f>
        <v/>
      </c>
      <c r="Q381" s="8" t="str">
        <f>IFERROR(INDEX(样本到样信息汇总统计!Q$2:Q$500,MATCH(380,样本到样信息汇总统计!$Z$2:$Z$500,0)),"")</f>
        <v/>
      </c>
      <c r="R381" s="8" t="str">
        <f>IFERROR(INDEX(样本到样信息汇总统计!R$2:R$500,MATCH(380,样本到样信息汇总统计!$Z$2:$Z$500,0)),"")</f>
        <v/>
      </c>
      <c r="S381" s="8" t="str">
        <f>IFERROR(INDEX(样本到样信息汇总统计!S$2:S$500,MATCH(380,样本到样信息汇总统计!$Z$2:$Z$500,0)),"")</f>
        <v/>
      </c>
      <c r="T381" s="8" t="str">
        <f>IFERROR(INDEX(样本到样信息汇总统计!T$2:T$500,MATCH(380,样本到样信息汇总统计!$Z$2:$Z$500,0)),"")</f>
        <v/>
      </c>
      <c r="U381" s="8" t="str">
        <f>IFERROR(INDEX(样本到样信息汇总统计!U$2:U$500,MATCH(380,样本到样信息汇总统计!$Z$2:$Z$500,0)),"")</f>
        <v/>
      </c>
      <c r="V381" s="8" t="str">
        <f>IFERROR(INDEX(样本到样信息汇总统计!V$2:V$500,MATCH(380,样本到样信息汇总统计!$Z$2:$Z$500,0)),"")</f>
        <v/>
      </c>
      <c r="W381" s="8" t="str">
        <f>IFERROR(INDEX(样本到样信息汇总统计!W$2:W$500,MATCH(380,样本到样信息汇总统计!$Z$2:$Z$500,0)),"")</f>
        <v/>
      </c>
    </row>
    <row r="382" ht="14.5" spans="1:23">
      <c r="A382" s="4" t="str">
        <f>IFERROR(INDEX(样本到样信息汇总统计!A$2:A$500,MATCH(381,样本到样信息汇总统计!$Z$2:$Z$500,0)),"")</f>
        <v/>
      </c>
      <c r="B382" s="4" t="str">
        <f>IFERROR(INDEX(样本到样信息汇总统计!B$2:B$500,MATCH(381,样本到样信息汇总统计!$Z$2:$Z$500,0)),"")</f>
        <v/>
      </c>
      <c r="C382" s="4" t="str">
        <f>IFERROR(INDEX(样本到样信息汇总统计!C$2:C$500,MATCH(381,样本到样信息汇总统计!$Z$2:$Z$500,0)),"")</f>
        <v/>
      </c>
      <c r="D382" s="4" t="str">
        <f>IFERROR(INDEX(样本到样信息汇总统计!D$2:D$500,MATCH(381,样本到样信息汇总统计!$Z$2:$Z$500,0)),"")</f>
        <v/>
      </c>
      <c r="E382" s="4" t="str">
        <f>IFERROR(INDEX(样本到样信息汇总统计!E$2:E$500,MATCH(381,样本到样信息汇总统计!$Z$2:$Z$500,0)),"")</f>
        <v/>
      </c>
      <c r="F382" s="4" t="str">
        <f>IFERROR(INDEX(样本到样信息汇总统计!F$2:F$500,MATCH(381,样本到样信息汇总统计!$Z$2:$Z$500,0)),"")</f>
        <v/>
      </c>
      <c r="G382" s="4" t="str">
        <f>IFERROR(INDEX(样本到样信息汇总统计!G$2:G$500,MATCH(381,样本到样信息汇总统计!$Z$2:$Z$500,0)),"")</f>
        <v/>
      </c>
      <c r="H382" s="4" t="str">
        <f>IFERROR(INDEX(样本到样信息汇总统计!H$2:H$500,MATCH(381,样本到样信息汇总统计!$Z$2:$Z$500,0)),"")</f>
        <v/>
      </c>
      <c r="I382" s="4" t="str">
        <f>IFERROR(INDEX(样本到样信息汇总统计!I$2:I$500,MATCH(381,样本到样信息汇总统计!$Z$2:$Z$500,0)),"")</f>
        <v/>
      </c>
      <c r="J382" s="4" t="str">
        <f>IFERROR(INDEX(样本到样信息汇总统计!J$2:J$500,MATCH(381,样本到样信息汇总统计!$Z$2:$Z$500,0)),"")</f>
        <v/>
      </c>
      <c r="K382" s="4" t="str">
        <f>IFERROR(INDEX(样本到样信息汇总统计!K$2:K$500,MATCH(381,样本到样信息汇总统计!$Z$2:$Z$500,0)),"")</f>
        <v/>
      </c>
      <c r="L382" s="4" t="str">
        <f>IFERROR(INDEX(样本到样信息汇总统计!L$2:L$500,MATCH(381,样本到样信息汇总统计!$Z$2:$Z$500,0)),"")</f>
        <v/>
      </c>
      <c r="M382" s="4" t="str">
        <f>IFERROR(INDEX(样本到样信息汇总统计!M$2:M$500,MATCH(381,样本到样信息汇总统计!$Z$2:$Z$500,0)),"")</f>
        <v/>
      </c>
      <c r="N382" s="4" t="str">
        <f>IFERROR(INDEX(样本到样信息汇总统计!N$2:N$500,MATCH(381,样本到样信息汇总统计!$Z$2:$Z$500,0)),"")</f>
        <v/>
      </c>
      <c r="O382" s="4" t="str">
        <f>IFERROR(INDEX(样本到样信息汇总统计!O$2:O$500,MATCH(381,样本到样信息汇总统计!$Z$2:$Z$500,0)),"")</f>
        <v/>
      </c>
      <c r="P382" s="4" t="str">
        <f>IFERROR(INDEX(样本到样信息汇总统计!P$2:P$500,MATCH(381,样本到样信息汇总统计!$Z$2:$Z$500,0)),"")</f>
        <v/>
      </c>
      <c r="Q382" s="4" t="str">
        <f>IFERROR(INDEX(样本到样信息汇总统计!Q$2:Q$500,MATCH(381,样本到样信息汇总统计!$Z$2:$Z$500,0)),"")</f>
        <v/>
      </c>
      <c r="R382" s="4" t="str">
        <f>IFERROR(INDEX(样本到样信息汇总统计!R$2:R$500,MATCH(381,样本到样信息汇总统计!$Z$2:$Z$500,0)),"")</f>
        <v/>
      </c>
      <c r="S382" s="4" t="str">
        <f>IFERROR(INDEX(样本到样信息汇总统计!S$2:S$500,MATCH(381,样本到样信息汇总统计!$Z$2:$Z$500,0)),"")</f>
        <v/>
      </c>
      <c r="T382" s="4" t="str">
        <f>IFERROR(INDEX(样本到样信息汇总统计!T$2:T$500,MATCH(381,样本到样信息汇总统计!$Z$2:$Z$500,0)),"")</f>
        <v/>
      </c>
      <c r="U382" s="4" t="str">
        <f>IFERROR(INDEX(样本到样信息汇总统计!U$2:U$500,MATCH(381,样本到样信息汇总统计!$Z$2:$Z$500,0)),"")</f>
        <v/>
      </c>
      <c r="V382" s="4" t="str">
        <f>IFERROR(INDEX(样本到样信息汇总统计!V$2:V$500,MATCH(381,样本到样信息汇总统计!$Z$2:$Z$500,0)),"")</f>
        <v/>
      </c>
      <c r="W382" s="4" t="str">
        <f>IFERROR(INDEX(样本到样信息汇总统计!W$2:W$500,MATCH(381,样本到样信息汇总统计!$Z$2:$Z$500,0)),"")</f>
        <v/>
      </c>
    </row>
    <row r="383" ht="14.5" spans="1:23">
      <c r="A383" s="8" t="str">
        <f>IFERROR(INDEX(样本到样信息汇总统计!A$2:A$500,MATCH(382,样本到样信息汇总统计!$Z$2:$Z$500,0)),"")</f>
        <v/>
      </c>
      <c r="B383" s="8" t="str">
        <f>IFERROR(INDEX(样本到样信息汇总统计!B$2:B$500,MATCH(382,样本到样信息汇总统计!$Z$2:$Z$500,0)),"")</f>
        <v/>
      </c>
      <c r="C383" s="8" t="str">
        <f>IFERROR(INDEX(样本到样信息汇总统计!C$2:C$500,MATCH(382,样本到样信息汇总统计!$Z$2:$Z$500,0)),"")</f>
        <v/>
      </c>
      <c r="D383" s="8" t="str">
        <f>IFERROR(INDEX(样本到样信息汇总统计!D$2:D$500,MATCH(382,样本到样信息汇总统计!$Z$2:$Z$500,0)),"")</f>
        <v/>
      </c>
      <c r="E383" s="8" t="str">
        <f>IFERROR(INDEX(样本到样信息汇总统计!E$2:E$500,MATCH(382,样本到样信息汇总统计!$Z$2:$Z$500,0)),"")</f>
        <v/>
      </c>
      <c r="F383" s="8" t="str">
        <f>IFERROR(INDEX(样本到样信息汇总统计!F$2:F$500,MATCH(382,样本到样信息汇总统计!$Z$2:$Z$500,0)),"")</f>
        <v/>
      </c>
      <c r="G383" s="8" t="str">
        <f>IFERROR(INDEX(样本到样信息汇总统计!G$2:G$500,MATCH(382,样本到样信息汇总统计!$Z$2:$Z$500,0)),"")</f>
        <v/>
      </c>
      <c r="H383" s="8" t="str">
        <f>IFERROR(INDEX(样本到样信息汇总统计!H$2:H$500,MATCH(382,样本到样信息汇总统计!$Z$2:$Z$500,0)),"")</f>
        <v/>
      </c>
      <c r="I383" s="8" t="str">
        <f>IFERROR(INDEX(样本到样信息汇总统计!I$2:I$500,MATCH(382,样本到样信息汇总统计!$Z$2:$Z$500,0)),"")</f>
        <v/>
      </c>
      <c r="J383" s="8" t="str">
        <f>IFERROR(INDEX(样本到样信息汇总统计!J$2:J$500,MATCH(382,样本到样信息汇总统计!$Z$2:$Z$500,0)),"")</f>
        <v/>
      </c>
      <c r="K383" s="8" t="str">
        <f>IFERROR(INDEX(样本到样信息汇总统计!K$2:K$500,MATCH(382,样本到样信息汇总统计!$Z$2:$Z$500,0)),"")</f>
        <v/>
      </c>
      <c r="L383" s="8" t="str">
        <f>IFERROR(INDEX(样本到样信息汇总统计!L$2:L$500,MATCH(382,样本到样信息汇总统计!$Z$2:$Z$500,0)),"")</f>
        <v/>
      </c>
      <c r="M383" s="8" t="str">
        <f>IFERROR(INDEX(样本到样信息汇总统计!M$2:M$500,MATCH(382,样本到样信息汇总统计!$Z$2:$Z$500,0)),"")</f>
        <v/>
      </c>
      <c r="N383" s="8" t="str">
        <f>IFERROR(INDEX(样本到样信息汇总统计!N$2:N$500,MATCH(382,样本到样信息汇总统计!$Z$2:$Z$500,0)),"")</f>
        <v/>
      </c>
      <c r="O383" s="8" t="str">
        <f>IFERROR(INDEX(样本到样信息汇总统计!O$2:O$500,MATCH(382,样本到样信息汇总统计!$Z$2:$Z$500,0)),"")</f>
        <v/>
      </c>
      <c r="P383" s="8" t="str">
        <f>IFERROR(INDEX(样本到样信息汇总统计!P$2:P$500,MATCH(382,样本到样信息汇总统计!$Z$2:$Z$500,0)),"")</f>
        <v/>
      </c>
      <c r="Q383" s="8" t="str">
        <f>IFERROR(INDEX(样本到样信息汇总统计!Q$2:Q$500,MATCH(382,样本到样信息汇总统计!$Z$2:$Z$500,0)),"")</f>
        <v/>
      </c>
      <c r="R383" s="8" t="str">
        <f>IFERROR(INDEX(样本到样信息汇总统计!R$2:R$500,MATCH(382,样本到样信息汇总统计!$Z$2:$Z$500,0)),"")</f>
        <v/>
      </c>
      <c r="S383" s="8" t="str">
        <f>IFERROR(INDEX(样本到样信息汇总统计!S$2:S$500,MATCH(382,样本到样信息汇总统计!$Z$2:$Z$500,0)),"")</f>
        <v/>
      </c>
      <c r="T383" s="8" t="str">
        <f>IFERROR(INDEX(样本到样信息汇总统计!T$2:T$500,MATCH(382,样本到样信息汇总统计!$Z$2:$Z$500,0)),"")</f>
        <v/>
      </c>
      <c r="U383" s="8" t="str">
        <f>IFERROR(INDEX(样本到样信息汇总统计!U$2:U$500,MATCH(382,样本到样信息汇总统计!$Z$2:$Z$500,0)),"")</f>
        <v/>
      </c>
      <c r="V383" s="8" t="str">
        <f>IFERROR(INDEX(样本到样信息汇总统计!V$2:V$500,MATCH(382,样本到样信息汇总统计!$Z$2:$Z$500,0)),"")</f>
        <v/>
      </c>
      <c r="W383" s="8" t="str">
        <f>IFERROR(INDEX(样本到样信息汇总统计!W$2:W$500,MATCH(382,样本到样信息汇总统计!$Z$2:$Z$500,0)),"")</f>
        <v/>
      </c>
    </row>
    <row r="384" ht="14.5" spans="1:23">
      <c r="A384" s="4" t="str">
        <f>IFERROR(INDEX(样本到样信息汇总统计!A$2:A$500,MATCH(383,样本到样信息汇总统计!$Z$2:$Z$500,0)),"")</f>
        <v/>
      </c>
      <c r="B384" s="4" t="str">
        <f>IFERROR(INDEX(样本到样信息汇总统计!B$2:B$500,MATCH(383,样本到样信息汇总统计!$Z$2:$Z$500,0)),"")</f>
        <v/>
      </c>
      <c r="C384" s="4" t="str">
        <f>IFERROR(INDEX(样本到样信息汇总统计!C$2:C$500,MATCH(383,样本到样信息汇总统计!$Z$2:$Z$500,0)),"")</f>
        <v/>
      </c>
      <c r="D384" s="4" t="str">
        <f>IFERROR(INDEX(样本到样信息汇总统计!D$2:D$500,MATCH(383,样本到样信息汇总统计!$Z$2:$Z$500,0)),"")</f>
        <v/>
      </c>
      <c r="E384" s="4" t="str">
        <f>IFERROR(INDEX(样本到样信息汇总统计!E$2:E$500,MATCH(383,样本到样信息汇总统计!$Z$2:$Z$500,0)),"")</f>
        <v/>
      </c>
      <c r="F384" s="4" t="str">
        <f>IFERROR(INDEX(样本到样信息汇总统计!F$2:F$500,MATCH(383,样本到样信息汇总统计!$Z$2:$Z$500,0)),"")</f>
        <v/>
      </c>
      <c r="G384" s="4" t="str">
        <f>IFERROR(INDEX(样本到样信息汇总统计!G$2:G$500,MATCH(383,样本到样信息汇总统计!$Z$2:$Z$500,0)),"")</f>
        <v/>
      </c>
      <c r="H384" s="4" t="str">
        <f>IFERROR(INDEX(样本到样信息汇总统计!H$2:H$500,MATCH(383,样本到样信息汇总统计!$Z$2:$Z$500,0)),"")</f>
        <v/>
      </c>
      <c r="I384" s="4" t="str">
        <f>IFERROR(INDEX(样本到样信息汇总统计!I$2:I$500,MATCH(383,样本到样信息汇总统计!$Z$2:$Z$500,0)),"")</f>
        <v/>
      </c>
      <c r="J384" s="4" t="str">
        <f>IFERROR(INDEX(样本到样信息汇总统计!J$2:J$500,MATCH(383,样本到样信息汇总统计!$Z$2:$Z$500,0)),"")</f>
        <v/>
      </c>
      <c r="K384" s="4" t="str">
        <f>IFERROR(INDEX(样本到样信息汇总统计!K$2:K$500,MATCH(383,样本到样信息汇总统计!$Z$2:$Z$500,0)),"")</f>
        <v/>
      </c>
      <c r="L384" s="4" t="str">
        <f>IFERROR(INDEX(样本到样信息汇总统计!L$2:L$500,MATCH(383,样本到样信息汇总统计!$Z$2:$Z$500,0)),"")</f>
        <v/>
      </c>
      <c r="M384" s="4" t="str">
        <f>IFERROR(INDEX(样本到样信息汇总统计!M$2:M$500,MATCH(383,样本到样信息汇总统计!$Z$2:$Z$500,0)),"")</f>
        <v/>
      </c>
      <c r="N384" s="4" t="str">
        <f>IFERROR(INDEX(样本到样信息汇总统计!N$2:N$500,MATCH(383,样本到样信息汇总统计!$Z$2:$Z$500,0)),"")</f>
        <v/>
      </c>
      <c r="O384" s="4" t="str">
        <f>IFERROR(INDEX(样本到样信息汇总统计!O$2:O$500,MATCH(383,样本到样信息汇总统计!$Z$2:$Z$500,0)),"")</f>
        <v/>
      </c>
      <c r="P384" s="4" t="str">
        <f>IFERROR(INDEX(样本到样信息汇总统计!P$2:P$500,MATCH(383,样本到样信息汇总统计!$Z$2:$Z$500,0)),"")</f>
        <v/>
      </c>
      <c r="Q384" s="4" t="str">
        <f>IFERROR(INDEX(样本到样信息汇总统计!Q$2:Q$500,MATCH(383,样本到样信息汇总统计!$Z$2:$Z$500,0)),"")</f>
        <v/>
      </c>
      <c r="R384" s="4" t="str">
        <f>IFERROR(INDEX(样本到样信息汇总统计!R$2:R$500,MATCH(383,样本到样信息汇总统计!$Z$2:$Z$500,0)),"")</f>
        <v/>
      </c>
      <c r="S384" s="4" t="str">
        <f>IFERROR(INDEX(样本到样信息汇总统计!S$2:S$500,MATCH(383,样本到样信息汇总统计!$Z$2:$Z$500,0)),"")</f>
        <v/>
      </c>
      <c r="T384" s="4" t="str">
        <f>IFERROR(INDEX(样本到样信息汇总统计!T$2:T$500,MATCH(383,样本到样信息汇总统计!$Z$2:$Z$500,0)),"")</f>
        <v/>
      </c>
      <c r="U384" s="4" t="str">
        <f>IFERROR(INDEX(样本到样信息汇总统计!U$2:U$500,MATCH(383,样本到样信息汇总统计!$Z$2:$Z$500,0)),"")</f>
        <v/>
      </c>
      <c r="V384" s="4" t="str">
        <f>IFERROR(INDEX(样本到样信息汇总统计!V$2:V$500,MATCH(383,样本到样信息汇总统计!$Z$2:$Z$500,0)),"")</f>
        <v/>
      </c>
      <c r="W384" s="4" t="str">
        <f>IFERROR(INDEX(样本到样信息汇总统计!W$2:W$500,MATCH(383,样本到样信息汇总统计!$Z$2:$Z$500,0)),"")</f>
        <v/>
      </c>
    </row>
    <row r="385" ht="14.5" spans="1:23">
      <c r="A385" s="8" t="str">
        <f>IFERROR(INDEX(样本到样信息汇总统计!A$2:A$500,MATCH(384,样本到样信息汇总统计!$Z$2:$Z$500,0)),"")</f>
        <v/>
      </c>
      <c r="B385" s="8" t="str">
        <f>IFERROR(INDEX(样本到样信息汇总统计!B$2:B$500,MATCH(384,样本到样信息汇总统计!$Z$2:$Z$500,0)),"")</f>
        <v/>
      </c>
      <c r="C385" s="8" t="str">
        <f>IFERROR(INDEX(样本到样信息汇总统计!C$2:C$500,MATCH(384,样本到样信息汇总统计!$Z$2:$Z$500,0)),"")</f>
        <v/>
      </c>
      <c r="D385" s="8" t="str">
        <f>IFERROR(INDEX(样本到样信息汇总统计!D$2:D$500,MATCH(384,样本到样信息汇总统计!$Z$2:$Z$500,0)),"")</f>
        <v/>
      </c>
      <c r="E385" s="8" t="str">
        <f>IFERROR(INDEX(样本到样信息汇总统计!E$2:E$500,MATCH(384,样本到样信息汇总统计!$Z$2:$Z$500,0)),"")</f>
        <v/>
      </c>
      <c r="F385" s="8" t="str">
        <f>IFERROR(INDEX(样本到样信息汇总统计!F$2:F$500,MATCH(384,样本到样信息汇总统计!$Z$2:$Z$500,0)),"")</f>
        <v/>
      </c>
      <c r="G385" s="8" t="str">
        <f>IFERROR(INDEX(样本到样信息汇总统计!G$2:G$500,MATCH(384,样本到样信息汇总统计!$Z$2:$Z$500,0)),"")</f>
        <v/>
      </c>
      <c r="H385" s="8" t="str">
        <f>IFERROR(INDEX(样本到样信息汇总统计!H$2:H$500,MATCH(384,样本到样信息汇总统计!$Z$2:$Z$500,0)),"")</f>
        <v/>
      </c>
      <c r="I385" s="8" t="str">
        <f>IFERROR(INDEX(样本到样信息汇总统计!I$2:I$500,MATCH(384,样本到样信息汇总统计!$Z$2:$Z$500,0)),"")</f>
        <v/>
      </c>
      <c r="J385" s="8" t="str">
        <f>IFERROR(INDEX(样本到样信息汇总统计!J$2:J$500,MATCH(384,样本到样信息汇总统计!$Z$2:$Z$500,0)),"")</f>
        <v/>
      </c>
      <c r="K385" s="8" t="str">
        <f>IFERROR(INDEX(样本到样信息汇总统计!K$2:K$500,MATCH(384,样本到样信息汇总统计!$Z$2:$Z$500,0)),"")</f>
        <v/>
      </c>
      <c r="L385" s="8" t="str">
        <f>IFERROR(INDEX(样本到样信息汇总统计!L$2:L$500,MATCH(384,样本到样信息汇总统计!$Z$2:$Z$500,0)),"")</f>
        <v/>
      </c>
      <c r="M385" s="8" t="str">
        <f>IFERROR(INDEX(样本到样信息汇总统计!M$2:M$500,MATCH(384,样本到样信息汇总统计!$Z$2:$Z$500,0)),"")</f>
        <v/>
      </c>
      <c r="N385" s="8" t="str">
        <f>IFERROR(INDEX(样本到样信息汇总统计!N$2:N$500,MATCH(384,样本到样信息汇总统计!$Z$2:$Z$500,0)),"")</f>
        <v/>
      </c>
      <c r="O385" s="8" t="str">
        <f>IFERROR(INDEX(样本到样信息汇总统计!O$2:O$500,MATCH(384,样本到样信息汇总统计!$Z$2:$Z$500,0)),"")</f>
        <v/>
      </c>
      <c r="P385" s="8" t="str">
        <f>IFERROR(INDEX(样本到样信息汇总统计!P$2:P$500,MATCH(384,样本到样信息汇总统计!$Z$2:$Z$500,0)),"")</f>
        <v/>
      </c>
      <c r="Q385" s="8" t="str">
        <f>IFERROR(INDEX(样本到样信息汇总统计!Q$2:Q$500,MATCH(384,样本到样信息汇总统计!$Z$2:$Z$500,0)),"")</f>
        <v/>
      </c>
      <c r="R385" s="8" t="str">
        <f>IFERROR(INDEX(样本到样信息汇总统计!R$2:R$500,MATCH(384,样本到样信息汇总统计!$Z$2:$Z$500,0)),"")</f>
        <v/>
      </c>
      <c r="S385" s="8" t="str">
        <f>IFERROR(INDEX(样本到样信息汇总统计!S$2:S$500,MATCH(384,样本到样信息汇总统计!$Z$2:$Z$500,0)),"")</f>
        <v/>
      </c>
      <c r="T385" s="8" t="str">
        <f>IFERROR(INDEX(样本到样信息汇总统计!T$2:T$500,MATCH(384,样本到样信息汇总统计!$Z$2:$Z$500,0)),"")</f>
        <v/>
      </c>
      <c r="U385" s="8" t="str">
        <f>IFERROR(INDEX(样本到样信息汇总统计!U$2:U$500,MATCH(384,样本到样信息汇总统计!$Z$2:$Z$500,0)),"")</f>
        <v/>
      </c>
      <c r="V385" s="8" t="str">
        <f>IFERROR(INDEX(样本到样信息汇总统计!V$2:V$500,MATCH(384,样本到样信息汇总统计!$Z$2:$Z$500,0)),"")</f>
        <v/>
      </c>
      <c r="W385" s="8" t="str">
        <f>IFERROR(INDEX(样本到样信息汇总统计!W$2:W$500,MATCH(384,样本到样信息汇总统计!$Z$2:$Z$500,0)),"")</f>
        <v/>
      </c>
    </row>
    <row r="386" ht="14.5" spans="1:23">
      <c r="A386" s="4" t="str">
        <f>IFERROR(INDEX(样本到样信息汇总统计!A$2:A$500,MATCH(385,样本到样信息汇总统计!$Z$2:$Z$500,0)),"")</f>
        <v/>
      </c>
      <c r="B386" s="4" t="str">
        <f>IFERROR(INDEX(样本到样信息汇总统计!B$2:B$500,MATCH(385,样本到样信息汇总统计!$Z$2:$Z$500,0)),"")</f>
        <v/>
      </c>
      <c r="C386" s="4" t="str">
        <f>IFERROR(INDEX(样本到样信息汇总统计!C$2:C$500,MATCH(385,样本到样信息汇总统计!$Z$2:$Z$500,0)),"")</f>
        <v/>
      </c>
      <c r="D386" s="4" t="str">
        <f>IFERROR(INDEX(样本到样信息汇总统计!D$2:D$500,MATCH(385,样本到样信息汇总统计!$Z$2:$Z$500,0)),"")</f>
        <v/>
      </c>
      <c r="E386" s="4" t="str">
        <f>IFERROR(INDEX(样本到样信息汇总统计!E$2:E$500,MATCH(385,样本到样信息汇总统计!$Z$2:$Z$500,0)),"")</f>
        <v/>
      </c>
      <c r="F386" s="4" t="str">
        <f>IFERROR(INDEX(样本到样信息汇总统计!F$2:F$500,MATCH(385,样本到样信息汇总统计!$Z$2:$Z$500,0)),"")</f>
        <v/>
      </c>
      <c r="G386" s="4" t="str">
        <f>IFERROR(INDEX(样本到样信息汇总统计!G$2:G$500,MATCH(385,样本到样信息汇总统计!$Z$2:$Z$500,0)),"")</f>
        <v/>
      </c>
      <c r="H386" s="4" t="str">
        <f>IFERROR(INDEX(样本到样信息汇总统计!H$2:H$500,MATCH(385,样本到样信息汇总统计!$Z$2:$Z$500,0)),"")</f>
        <v/>
      </c>
      <c r="I386" s="4" t="str">
        <f>IFERROR(INDEX(样本到样信息汇总统计!I$2:I$500,MATCH(385,样本到样信息汇总统计!$Z$2:$Z$500,0)),"")</f>
        <v/>
      </c>
      <c r="J386" s="4" t="str">
        <f>IFERROR(INDEX(样本到样信息汇总统计!J$2:J$500,MATCH(385,样本到样信息汇总统计!$Z$2:$Z$500,0)),"")</f>
        <v/>
      </c>
      <c r="K386" s="4" t="str">
        <f>IFERROR(INDEX(样本到样信息汇总统计!K$2:K$500,MATCH(385,样本到样信息汇总统计!$Z$2:$Z$500,0)),"")</f>
        <v/>
      </c>
      <c r="L386" s="4" t="str">
        <f>IFERROR(INDEX(样本到样信息汇总统计!L$2:L$500,MATCH(385,样本到样信息汇总统计!$Z$2:$Z$500,0)),"")</f>
        <v/>
      </c>
      <c r="M386" s="4" t="str">
        <f>IFERROR(INDEX(样本到样信息汇总统计!M$2:M$500,MATCH(385,样本到样信息汇总统计!$Z$2:$Z$500,0)),"")</f>
        <v/>
      </c>
      <c r="N386" s="4" t="str">
        <f>IFERROR(INDEX(样本到样信息汇总统计!N$2:N$500,MATCH(385,样本到样信息汇总统计!$Z$2:$Z$500,0)),"")</f>
        <v/>
      </c>
      <c r="O386" s="4" t="str">
        <f>IFERROR(INDEX(样本到样信息汇总统计!O$2:O$500,MATCH(385,样本到样信息汇总统计!$Z$2:$Z$500,0)),"")</f>
        <v/>
      </c>
      <c r="P386" s="4" t="str">
        <f>IFERROR(INDEX(样本到样信息汇总统计!P$2:P$500,MATCH(385,样本到样信息汇总统计!$Z$2:$Z$500,0)),"")</f>
        <v/>
      </c>
      <c r="Q386" s="4" t="str">
        <f>IFERROR(INDEX(样本到样信息汇总统计!Q$2:Q$500,MATCH(385,样本到样信息汇总统计!$Z$2:$Z$500,0)),"")</f>
        <v/>
      </c>
      <c r="R386" s="4" t="str">
        <f>IFERROR(INDEX(样本到样信息汇总统计!R$2:R$500,MATCH(385,样本到样信息汇总统计!$Z$2:$Z$500,0)),"")</f>
        <v/>
      </c>
      <c r="S386" s="4" t="str">
        <f>IFERROR(INDEX(样本到样信息汇总统计!S$2:S$500,MATCH(385,样本到样信息汇总统计!$Z$2:$Z$500,0)),"")</f>
        <v/>
      </c>
      <c r="T386" s="4" t="str">
        <f>IFERROR(INDEX(样本到样信息汇总统计!T$2:T$500,MATCH(385,样本到样信息汇总统计!$Z$2:$Z$500,0)),"")</f>
        <v/>
      </c>
      <c r="U386" s="4" t="str">
        <f>IFERROR(INDEX(样本到样信息汇总统计!U$2:U$500,MATCH(385,样本到样信息汇总统计!$Z$2:$Z$500,0)),"")</f>
        <v/>
      </c>
      <c r="V386" s="4" t="str">
        <f>IFERROR(INDEX(样本到样信息汇总统计!V$2:V$500,MATCH(385,样本到样信息汇总统计!$Z$2:$Z$500,0)),"")</f>
        <v/>
      </c>
      <c r="W386" s="4" t="str">
        <f>IFERROR(INDEX(样本到样信息汇总统计!W$2:W$500,MATCH(385,样本到样信息汇总统计!$Z$2:$Z$500,0)),"")</f>
        <v/>
      </c>
    </row>
    <row r="387" ht="14.5" spans="1:23">
      <c r="A387" s="8" t="str">
        <f>IFERROR(INDEX(样本到样信息汇总统计!A$2:A$500,MATCH(386,样本到样信息汇总统计!$Z$2:$Z$500,0)),"")</f>
        <v/>
      </c>
      <c r="B387" s="8" t="str">
        <f>IFERROR(INDEX(样本到样信息汇总统计!B$2:B$500,MATCH(386,样本到样信息汇总统计!$Z$2:$Z$500,0)),"")</f>
        <v/>
      </c>
      <c r="C387" s="8" t="str">
        <f>IFERROR(INDEX(样本到样信息汇总统计!C$2:C$500,MATCH(386,样本到样信息汇总统计!$Z$2:$Z$500,0)),"")</f>
        <v/>
      </c>
      <c r="D387" s="8" t="str">
        <f>IFERROR(INDEX(样本到样信息汇总统计!D$2:D$500,MATCH(386,样本到样信息汇总统计!$Z$2:$Z$500,0)),"")</f>
        <v/>
      </c>
      <c r="E387" s="8" t="str">
        <f>IFERROR(INDEX(样本到样信息汇总统计!E$2:E$500,MATCH(386,样本到样信息汇总统计!$Z$2:$Z$500,0)),"")</f>
        <v/>
      </c>
      <c r="F387" s="8" t="str">
        <f>IFERROR(INDEX(样本到样信息汇总统计!F$2:F$500,MATCH(386,样本到样信息汇总统计!$Z$2:$Z$500,0)),"")</f>
        <v/>
      </c>
      <c r="G387" s="8" t="str">
        <f>IFERROR(INDEX(样本到样信息汇总统计!G$2:G$500,MATCH(386,样本到样信息汇总统计!$Z$2:$Z$500,0)),"")</f>
        <v/>
      </c>
      <c r="H387" s="8" t="str">
        <f>IFERROR(INDEX(样本到样信息汇总统计!H$2:H$500,MATCH(386,样本到样信息汇总统计!$Z$2:$Z$500,0)),"")</f>
        <v/>
      </c>
      <c r="I387" s="8" t="str">
        <f>IFERROR(INDEX(样本到样信息汇总统计!I$2:I$500,MATCH(386,样本到样信息汇总统计!$Z$2:$Z$500,0)),"")</f>
        <v/>
      </c>
      <c r="J387" s="8" t="str">
        <f>IFERROR(INDEX(样本到样信息汇总统计!J$2:J$500,MATCH(386,样本到样信息汇总统计!$Z$2:$Z$500,0)),"")</f>
        <v/>
      </c>
      <c r="K387" s="8" t="str">
        <f>IFERROR(INDEX(样本到样信息汇总统计!K$2:K$500,MATCH(386,样本到样信息汇总统计!$Z$2:$Z$500,0)),"")</f>
        <v/>
      </c>
      <c r="L387" s="8" t="str">
        <f>IFERROR(INDEX(样本到样信息汇总统计!L$2:L$500,MATCH(386,样本到样信息汇总统计!$Z$2:$Z$500,0)),"")</f>
        <v/>
      </c>
      <c r="M387" s="8" t="str">
        <f>IFERROR(INDEX(样本到样信息汇总统计!M$2:M$500,MATCH(386,样本到样信息汇总统计!$Z$2:$Z$500,0)),"")</f>
        <v/>
      </c>
      <c r="N387" s="8" t="str">
        <f>IFERROR(INDEX(样本到样信息汇总统计!N$2:N$500,MATCH(386,样本到样信息汇总统计!$Z$2:$Z$500,0)),"")</f>
        <v/>
      </c>
      <c r="O387" s="8" t="str">
        <f>IFERROR(INDEX(样本到样信息汇总统计!O$2:O$500,MATCH(386,样本到样信息汇总统计!$Z$2:$Z$500,0)),"")</f>
        <v/>
      </c>
      <c r="P387" s="8" t="str">
        <f>IFERROR(INDEX(样本到样信息汇总统计!P$2:P$500,MATCH(386,样本到样信息汇总统计!$Z$2:$Z$500,0)),"")</f>
        <v/>
      </c>
      <c r="Q387" s="8" t="str">
        <f>IFERROR(INDEX(样本到样信息汇总统计!Q$2:Q$500,MATCH(386,样本到样信息汇总统计!$Z$2:$Z$500,0)),"")</f>
        <v/>
      </c>
      <c r="R387" s="8" t="str">
        <f>IFERROR(INDEX(样本到样信息汇总统计!R$2:R$500,MATCH(386,样本到样信息汇总统计!$Z$2:$Z$500,0)),"")</f>
        <v/>
      </c>
      <c r="S387" s="8" t="str">
        <f>IFERROR(INDEX(样本到样信息汇总统计!S$2:S$500,MATCH(386,样本到样信息汇总统计!$Z$2:$Z$500,0)),"")</f>
        <v/>
      </c>
      <c r="T387" s="8" t="str">
        <f>IFERROR(INDEX(样本到样信息汇总统计!T$2:T$500,MATCH(386,样本到样信息汇总统计!$Z$2:$Z$500,0)),"")</f>
        <v/>
      </c>
      <c r="U387" s="8" t="str">
        <f>IFERROR(INDEX(样本到样信息汇总统计!U$2:U$500,MATCH(386,样本到样信息汇总统计!$Z$2:$Z$500,0)),"")</f>
        <v/>
      </c>
      <c r="V387" s="8" t="str">
        <f>IFERROR(INDEX(样本到样信息汇总统计!V$2:V$500,MATCH(386,样本到样信息汇总统计!$Z$2:$Z$500,0)),"")</f>
        <v/>
      </c>
      <c r="W387" s="8" t="str">
        <f>IFERROR(INDEX(样本到样信息汇总统计!W$2:W$500,MATCH(386,样本到样信息汇总统计!$Z$2:$Z$500,0)),"")</f>
        <v/>
      </c>
    </row>
    <row r="388" ht="14.5" spans="1:23">
      <c r="A388" s="4" t="str">
        <f>IFERROR(INDEX(样本到样信息汇总统计!A$2:A$500,MATCH(387,样本到样信息汇总统计!$Z$2:$Z$500,0)),"")</f>
        <v/>
      </c>
      <c r="B388" s="4" t="str">
        <f>IFERROR(INDEX(样本到样信息汇总统计!B$2:B$500,MATCH(387,样本到样信息汇总统计!$Z$2:$Z$500,0)),"")</f>
        <v/>
      </c>
      <c r="C388" s="4" t="str">
        <f>IFERROR(INDEX(样本到样信息汇总统计!C$2:C$500,MATCH(387,样本到样信息汇总统计!$Z$2:$Z$500,0)),"")</f>
        <v/>
      </c>
      <c r="D388" s="4" t="str">
        <f>IFERROR(INDEX(样本到样信息汇总统计!D$2:D$500,MATCH(387,样本到样信息汇总统计!$Z$2:$Z$500,0)),"")</f>
        <v/>
      </c>
      <c r="E388" s="4" t="str">
        <f>IFERROR(INDEX(样本到样信息汇总统计!E$2:E$500,MATCH(387,样本到样信息汇总统计!$Z$2:$Z$500,0)),"")</f>
        <v/>
      </c>
      <c r="F388" s="4" t="str">
        <f>IFERROR(INDEX(样本到样信息汇总统计!F$2:F$500,MATCH(387,样本到样信息汇总统计!$Z$2:$Z$500,0)),"")</f>
        <v/>
      </c>
      <c r="G388" s="4" t="str">
        <f>IFERROR(INDEX(样本到样信息汇总统计!G$2:G$500,MATCH(387,样本到样信息汇总统计!$Z$2:$Z$500,0)),"")</f>
        <v/>
      </c>
      <c r="H388" s="4" t="str">
        <f>IFERROR(INDEX(样本到样信息汇总统计!H$2:H$500,MATCH(387,样本到样信息汇总统计!$Z$2:$Z$500,0)),"")</f>
        <v/>
      </c>
      <c r="I388" s="4" t="str">
        <f>IFERROR(INDEX(样本到样信息汇总统计!I$2:I$500,MATCH(387,样本到样信息汇总统计!$Z$2:$Z$500,0)),"")</f>
        <v/>
      </c>
      <c r="J388" s="4" t="str">
        <f>IFERROR(INDEX(样本到样信息汇总统计!J$2:J$500,MATCH(387,样本到样信息汇总统计!$Z$2:$Z$500,0)),"")</f>
        <v/>
      </c>
      <c r="K388" s="4" t="str">
        <f>IFERROR(INDEX(样本到样信息汇总统计!K$2:K$500,MATCH(387,样本到样信息汇总统计!$Z$2:$Z$500,0)),"")</f>
        <v/>
      </c>
      <c r="L388" s="4" t="str">
        <f>IFERROR(INDEX(样本到样信息汇总统计!L$2:L$500,MATCH(387,样本到样信息汇总统计!$Z$2:$Z$500,0)),"")</f>
        <v/>
      </c>
      <c r="M388" s="4" t="str">
        <f>IFERROR(INDEX(样本到样信息汇总统计!M$2:M$500,MATCH(387,样本到样信息汇总统计!$Z$2:$Z$500,0)),"")</f>
        <v/>
      </c>
      <c r="N388" s="4" t="str">
        <f>IFERROR(INDEX(样本到样信息汇总统计!N$2:N$500,MATCH(387,样本到样信息汇总统计!$Z$2:$Z$500,0)),"")</f>
        <v/>
      </c>
      <c r="O388" s="4" t="str">
        <f>IFERROR(INDEX(样本到样信息汇总统计!O$2:O$500,MATCH(387,样本到样信息汇总统计!$Z$2:$Z$500,0)),"")</f>
        <v/>
      </c>
      <c r="P388" s="4" t="str">
        <f>IFERROR(INDEX(样本到样信息汇总统计!P$2:P$500,MATCH(387,样本到样信息汇总统计!$Z$2:$Z$500,0)),"")</f>
        <v/>
      </c>
      <c r="Q388" s="4" t="str">
        <f>IFERROR(INDEX(样本到样信息汇总统计!Q$2:Q$500,MATCH(387,样本到样信息汇总统计!$Z$2:$Z$500,0)),"")</f>
        <v/>
      </c>
      <c r="R388" s="4" t="str">
        <f>IFERROR(INDEX(样本到样信息汇总统计!R$2:R$500,MATCH(387,样本到样信息汇总统计!$Z$2:$Z$500,0)),"")</f>
        <v/>
      </c>
      <c r="S388" s="4" t="str">
        <f>IFERROR(INDEX(样本到样信息汇总统计!S$2:S$500,MATCH(387,样本到样信息汇总统计!$Z$2:$Z$500,0)),"")</f>
        <v/>
      </c>
      <c r="T388" s="4" t="str">
        <f>IFERROR(INDEX(样本到样信息汇总统计!T$2:T$500,MATCH(387,样本到样信息汇总统计!$Z$2:$Z$500,0)),"")</f>
        <v/>
      </c>
      <c r="U388" s="4" t="str">
        <f>IFERROR(INDEX(样本到样信息汇总统计!U$2:U$500,MATCH(387,样本到样信息汇总统计!$Z$2:$Z$500,0)),"")</f>
        <v/>
      </c>
      <c r="V388" s="4" t="str">
        <f>IFERROR(INDEX(样本到样信息汇总统计!V$2:V$500,MATCH(387,样本到样信息汇总统计!$Z$2:$Z$500,0)),"")</f>
        <v/>
      </c>
      <c r="W388" s="4" t="str">
        <f>IFERROR(INDEX(样本到样信息汇总统计!W$2:W$500,MATCH(387,样本到样信息汇总统计!$Z$2:$Z$500,0)),"")</f>
        <v/>
      </c>
    </row>
    <row r="389" ht="14.5" spans="1:23">
      <c r="A389" s="8" t="str">
        <f>IFERROR(INDEX(样本到样信息汇总统计!A$2:A$500,MATCH(388,样本到样信息汇总统计!$Z$2:$Z$500,0)),"")</f>
        <v/>
      </c>
      <c r="B389" s="8" t="str">
        <f>IFERROR(INDEX(样本到样信息汇总统计!B$2:B$500,MATCH(388,样本到样信息汇总统计!$Z$2:$Z$500,0)),"")</f>
        <v/>
      </c>
      <c r="C389" s="8" t="str">
        <f>IFERROR(INDEX(样本到样信息汇总统计!C$2:C$500,MATCH(388,样本到样信息汇总统计!$Z$2:$Z$500,0)),"")</f>
        <v/>
      </c>
      <c r="D389" s="8" t="str">
        <f>IFERROR(INDEX(样本到样信息汇总统计!D$2:D$500,MATCH(388,样本到样信息汇总统计!$Z$2:$Z$500,0)),"")</f>
        <v/>
      </c>
      <c r="E389" s="8" t="str">
        <f>IFERROR(INDEX(样本到样信息汇总统计!E$2:E$500,MATCH(388,样本到样信息汇总统计!$Z$2:$Z$500,0)),"")</f>
        <v/>
      </c>
      <c r="F389" s="8" t="str">
        <f>IFERROR(INDEX(样本到样信息汇总统计!F$2:F$500,MATCH(388,样本到样信息汇总统计!$Z$2:$Z$500,0)),"")</f>
        <v/>
      </c>
      <c r="G389" s="8" t="str">
        <f>IFERROR(INDEX(样本到样信息汇总统计!G$2:G$500,MATCH(388,样本到样信息汇总统计!$Z$2:$Z$500,0)),"")</f>
        <v/>
      </c>
      <c r="H389" s="8" t="str">
        <f>IFERROR(INDEX(样本到样信息汇总统计!H$2:H$500,MATCH(388,样本到样信息汇总统计!$Z$2:$Z$500,0)),"")</f>
        <v/>
      </c>
      <c r="I389" s="8" t="str">
        <f>IFERROR(INDEX(样本到样信息汇总统计!I$2:I$500,MATCH(388,样本到样信息汇总统计!$Z$2:$Z$500,0)),"")</f>
        <v/>
      </c>
      <c r="J389" s="8" t="str">
        <f>IFERROR(INDEX(样本到样信息汇总统计!J$2:J$500,MATCH(388,样本到样信息汇总统计!$Z$2:$Z$500,0)),"")</f>
        <v/>
      </c>
      <c r="K389" s="8" t="str">
        <f>IFERROR(INDEX(样本到样信息汇总统计!K$2:K$500,MATCH(388,样本到样信息汇总统计!$Z$2:$Z$500,0)),"")</f>
        <v/>
      </c>
      <c r="L389" s="8" t="str">
        <f>IFERROR(INDEX(样本到样信息汇总统计!L$2:L$500,MATCH(388,样本到样信息汇总统计!$Z$2:$Z$500,0)),"")</f>
        <v/>
      </c>
      <c r="M389" s="8" t="str">
        <f>IFERROR(INDEX(样本到样信息汇总统计!M$2:M$500,MATCH(388,样本到样信息汇总统计!$Z$2:$Z$500,0)),"")</f>
        <v/>
      </c>
      <c r="N389" s="8" t="str">
        <f>IFERROR(INDEX(样本到样信息汇总统计!N$2:N$500,MATCH(388,样本到样信息汇总统计!$Z$2:$Z$500,0)),"")</f>
        <v/>
      </c>
      <c r="O389" s="8" t="str">
        <f>IFERROR(INDEX(样本到样信息汇总统计!O$2:O$500,MATCH(388,样本到样信息汇总统计!$Z$2:$Z$500,0)),"")</f>
        <v/>
      </c>
      <c r="P389" s="8" t="str">
        <f>IFERROR(INDEX(样本到样信息汇总统计!P$2:P$500,MATCH(388,样本到样信息汇总统计!$Z$2:$Z$500,0)),"")</f>
        <v/>
      </c>
      <c r="Q389" s="8" t="str">
        <f>IFERROR(INDEX(样本到样信息汇总统计!Q$2:Q$500,MATCH(388,样本到样信息汇总统计!$Z$2:$Z$500,0)),"")</f>
        <v/>
      </c>
      <c r="R389" s="8" t="str">
        <f>IFERROR(INDEX(样本到样信息汇总统计!R$2:R$500,MATCH(388,样本到样信息汇总统计!$Z$2:$Z$500,0)),"")</f>
        <v/>
      </c>
      <c r="S389" s="8" t="str">
        <f>IFERROR(INDEX(样本到样信息汇总统计!S$2:S$500,MATCH(388,样本到样信息汇总统计!$Z$2:$Z$500,0)),"")</f>
        <v/>
      </c>
      <c r="T389" s="8" t="str">
        <f>IFERROR(INDEX(样本到样信息汇总统计!T$2:T$500,MATCH(388,样本到样信息汇总统计!$Z$2:$Z$500,0)),"")</f>
        <v/>
      </c>
      <c r="U389" s="8" t="str">
        <f>IFERROR(INDEX(样本到样信息汇总统计!U$2:U$500,MATCH(388,样本到样信息汇总统计!$Z$2:$Z$500,0)),"")</f>
        <v/>
      </c>
      <c r="V389" s="8" t="str">
        <f>IFERROR(INDEX(样本到样信息汇总统计!V$2:V$500,MATCH(388,样本到样信息汇总统计!$Z$2:$Z$500,0)),"")</f>
        <v/>
      </c>
      <c r="W389" s="8" t="str">
        <f>IFERROR(INDEX(样本到样信息汇总统计!W$2:W$500,MATCH(388,样本到样信息汇总统计!$Z$2:$Z$500,0)),"")</f>
        <v/>
      </c>
    </row>
    <row r="390" ht="14.5" spans="1:23">
      <c r="A390" s="4" t="str">
        <f>IFERROR(INDEX(样本到样信息汇总统计!A$2:A$500,MATCH(389,样本到样信息汇总统计!$Z$2:$Z$500,0)),"")</f>
        <v/>
      </c>
      <c r="B390" s="4" t="str">
        <f>IFERROR(INDEX(样本到样信息汇总统计!B$2:B$500,MATCH(389,样本到样信息汇总统计!$Z$2:$Z$500,0)),"")</f>
        <v/>
      </c>
      <c r="C390" s="4" t="str">
        <f>IFERROR(INDEX(样本到样信息汇总统计!C$2:C$500,MATCH(389,样本到样信息汇总统计!$Z$2:$Z$500,0)),"")</f>
        <v/>
      </c>
      <c r="D390" s="4" t="str">
        <f>IFERROR(INDEX(样本到样信息汇总统计!D$2:D$500,MATCH(389,样本到样信息汇总统计!$Z$2:$Z$500,0)),"")</f>
        <v/>
      </c>
      <c r="E390" s="4" t="str">
        <f>IFERROR(INDEX(样本到样信息汇总统计!E$2:E$500,MATCH(389,样本到样信息汇总统计!$Z$2:$Z$500,0)),"")</f>
        <v/>
      </c>
      <c r="F390" s="4" t="str">
        <f>IFERROR(INDEX(样本到样信息汇总统计!F$2:F$500,MATCH(389,样本到样信息汇总统计!$Z$2:$Z$500,0)),"")</f>
        <v/>
      </c>
      <c r="G390" s="4" t="str">
        <f>IFERROR(INDEX(样本到样信息汇总统计!G$2:G$500,MATCH(389,样本到样信息汇总统计!$Z$2:$Z$500,0)),"")</f>
        <v/>
      </c>
      <c r="H390" s="4" t="str">
        <f>IFERROR(INDEX(样本到样信息汇总统计!H$2:H$500,MATCH(389,样本到样信息汇总统计!$Z$2:$Z$500,0)),"")</f>
        <v/>
      </c>
      <c r="I390" s="4" t="str">
        <f>IFERROR(INDEX(样本到样信息汇总统计!I$2:I$500,MATCH(389,样本到样信息汇总统计!$Z$2:$Z$500,0)),"")</f>
        <v/>
      </c>
      <c r="J390" s="4" t="str">
        <f>IFERROR(INDEX(样本到样信息汇总统计!J$2:J$500,MATCH(389,样本到样信息汇总统计!$Z$2:$Z$500,0)),"")</f>
        <v/>
      </c>
      <c r="K390" s="4" t="str">
        <f>IFERROR(INDEX(样本到样信息汇总统计!K$2:K$500,MATCH(389,样本到样信息汇总统计!$Z$2:$Z$500,0)),"")</f>
        <v/>
      </c>
      <c r="L390" s="4" t="str">
        <f>IFERROR(INDEX(样本到样信息汇总统计!L$2:L$500,MATCH(389,样本到样信息汇总统计!$Z$2:$Z$500,0)),"")</f>
        <v/>
      </c>
      <c r="M390" s="4" t="str">
        <f>IFERROR(INDEX(样本到样信息汇总统计!M$2:M$500,MATCH(389,样本到样信息汇总统计!$Z$2:$Z$500,0)),"")</f>
        <v/>
      </c>
      <c r="N390" s="4" t="str">
        <f>IFERROR(INDEX(样本到样信息汇总统计!N$2:N$500,MATCH(389,样本到样信息汇总统计!$Z$2:$Z$500,0)),"")</f>
        <v/>
      </c>
      <c r="O390" s="4" t="str">
        <f>IFERROR(INDEX(样本到样信息汇总统计!O$2:O$500,MATCH(389,样本到样信息汇总统计!$Z$2:$Z$500,0)),"")</f>
        <v/>
      </c>
      <c r="P390" s="4" t="str">
        <f>IFERROR(INDEX(样本到样信息汇总统计!P$2:P$500,MATCH(389,样本到样信息汇总统计!$Z$2:$Z$500,0)),"")</f>
        <v/>
      </c>
      <c r="Q390" s="4" t="str">
        <f>IFERROR(INDEX(样本到样信息汇总统计!Q$2:Q$500,MATCH(389,样本到样信息汇总统计!$Z$2:$Z$500,0)),"")</f>
        <v/>
      </c>
      <c r="R390" s="4" t="str">
        <f>IFERROR(INDEX(样本到样信息汇总统计!R$2:R$500,MATCH(389,样本到样信息汇总统计!$Z$2:$Z$500,0)),"")</f>
        <v/>
      </c>
      <c r="S390" s="4" t="str">
        <f>IFERROR(INDEX(样本到样信息汇总统计!S$2:S$500,MATCH(389,样本到样信息汇总统计!$Z$2:$Z$500,0)),"")</f>
        <v/>
      </c>
      <c r="T390" s="4" t="str">
        <f>IFERROR(INDEX(样本到样信息汇总统计!T$2:T$500,MATCH(389,样本到样信息汇总统计!$Z$2:$Z$500,0)),"")</f>
        <v/>
      </c>
      <c r="U390" s="4" t="str">
        <f>IFERROR(INDEX(样本到样信息汇总统计!U$2:U$500,MATCH(389,样本到样信息汇总统计!$Z$2:$Z$500,0)),"")</f>
        <v/>
      </c>
      <c r="V390" s="4" t="str">
        <f>IFERROR(INDEX(样本到样信息汇总统计!V$2:V$500,MATCH(389,样本到样信息汇总统计!$Z$2:$Z$500,0)),"")</f>
        <v/>
      </c>
      <c r="W390" s="4" t="str">
        <f>IFERROR(INDEX(样本到样信息汇总统计!W$2:W$500,MATCH(389,样本到样信息汇总统计!$Z$2:$Z$500,0)),"")</f>
        <v/>
      </c>
    </row>
    <row r="391" ht="14.5" spans="1:23">
      <c r="A391" s="8" t="str">
        <f>IFERROR(INDEX(样本到样信息汇总统计!A$2:A$500,MATCH(390,样本到样信息汇总统计!$Z$2:$Z$500,0)),"")</f>
        <v/>
      </c>
      <c r="B391" s="8" t="str">
        <f>IFERROR(INDEX(样本到样信息汇总统计!B$2:B$500,MATCH(390,样本到样信息汇总统计!$Z$2:$Z$500,0)),"")</f>
        <v/>
      </c>
      <c r="C391" s="8" t="str">
        <f>IFERROR(INDEX(样本到样信息汇总统计!C$2:C$500,MATCH(390,样本到样信息汇总统计!$Z$2:$Z$500,0)),"")</f>
        <v/>
      </c>
      <c r="D391" s="8" t="str">
        <f>IFERROR(INDEX(样本到样信息汇总统计!D$2:D$500,MATCH(390,样本到样信息汇总统计!$Z$2:$Z$500,0)),"")</f>
        <v/>
      </c>
      <c r="E391" s="8" t="str">
        <f>IFERROR(INDEX(样本到样信息汇总统计!E$2:E$500,MATCH(390,样本到样信息汇总统计!$Z$2:$Z$500,0)),"")</f>
        <v/>
      </c>
      <c r="F391" s="8" t="str">
        <f>IFERROR(INDEX(样本到样信息汇总统计!F$2:F$500,MATCH(390,样本到样信息汇总统计!$Z$2:$Z$500,0)),"")</f>
        <v/>
      </c>
      <c r="G391" s="8" t="str">
        <f>IFERROR(INDEX(样本到样信息汇总统计!G$2:G$500,MATCH(390,样本到样信息汇总统计!$Z$2:$Z$500,0)),"")</f>
        <v/>
      </c>
      <c r="H391" s="8" t="str">
        <f>IFERROR(INDEX(样本到样信息汇总统计!H$2:H$500,MATCH(390,样本到样信息汇总统计!$Z$2:$Z$500,0)),"")</f>
        <v/>
      </c>
      <c r="I391" s="8" t="str">
        <f>IFERROR(INDEX(样本到样信息汇总统计!I$2:I$500,MATCH(390,样本到样信息汇总统计!$Z$2:$Z$500,0)),"")</f>
        <v/>
      </c>
      <c r="J391" s="8" t="str">
        <f>IFERROR(INDEX(样本到样信息汇总统计!J$2:J$500,MATCH(390,样本到样信息汇总统计!$Z$2:$Z$500,0)),"")</f>
        <v/>
      </c>
      <c r="K391" s="8" t="str">
        <f>IFERROR(INDEX(样本到样信息汇总统计!K$2:K$500,MATCH(390,样本到样信息汇总统计!$Z$2:$Z$500,0)),"")</f>
        <v/>
      </c>
      <c r="L391" s="8" t="str">
        <f>IFERROR(INDEX(样本到样信息汇总统计!L$2:L$500,MATCH(390,样本到样信息汇总统计!$Z$2:$Z$500,0)),"")</f>
        <v/>
      </c>
      <c r="M391" s="8" t="str">
        <f>IFERROR(INDEX(样本到样信息汇总统计!M$2:M$500,MATCH(390,样本到样信息汇总统计!$Z$2:$Z$500,0)),"")</f>
        <v/>
      </c>
      <c r="N391" s="8" t="str">
        <f>IFERROR(INDEX(样本到样信息汇总统计!N$2:N$500,MATCH(390,样本到样信息汇总统计!$Z$2:$Z$500,0)),"")</f>
        <v/>
      </c>
      <c r="O391" s="8" t="str">
        <f>IFERROR(INDEX(样本到样信息汇总统计!O$2:O$500,MATCH(390,样本到样信息汇总统计!$Z$2:$Z$500,0)),"")</f>
        <v/>
      </c>
      <c r="P391" s="8" t="str">
        <f>IFERROR(INDEX(样本到样信息汇总统计!P$2:P$500,MATCH(390,样本到样信息汇总统计!$Z$2:$Z$500,0)),"")</f>
        <v/>
      </c>
      <c r="Q391" s="8" t="str">
        <f>IFERROR(INDEX(样本到样信息汇总统计!Q$2:Q$500,MATCH(390,样本到样信息汇总统计!$Z$2:$Z$500,0)),"")</f>
        <v/>
      </c>
      <c r="R391" s="8" t="str">
        <f>IFERROR(INDEX(样本到样信息汇总统计!R$2:R$500,MATCH(390,样本到样信息汇总统计!$Z$2:$Z$500,0)),"")</f>
        <v/>
      </c>
      <c r="S391" s="8" t="str">
        <f>IFERROR(INDEX(样本到样信息汇总统计!S$2:S$500,MATCH(390,样本到样信息汇总统计!$Z$2:$Z$500,0)),"")</f>
        <v/>
      </c>
      <c r="T391" s="8" t="str">
        <f>IFERROR(INDEX(样本到样信息汇总统计!T$2:T$500,MATCH(390,样本到样信息汇总统计!$Z$2:$Z$500,0)),"")</f>
        <v/>
      </c>
      <c r="U391" s="8" t="str">
        <f>IFERROR(INDEX(样本到样信息汇总统计!U$2:U$500,MATCH(390,样本到样信息汇总统计!$Z$2:$Z$500,0)),"")</f>
        <v/>
      </c>
      <c r="V391" s="8" t="str">
        <f>IFERROR(INDEX(样本到样信息汇总统计!V$2:V$500,MATCH(390,样本到样信息汇总统计!$Z$2:$Z$500,0)),"")</f>
        <v/>
      </c>
      <c r="W391" s="8" t="str">
        <f>IFERROR(INDEX(样本到样信息汇总统计!W$2:W$500,MATCH(390,样本到样信息汇总统计!$Z$2:$Z$500,0)),"")</f>
        <v/>
      </c>
    </row>
    <row r="392" ht="14.5" spans="1:23">
      <c r="A392" s="4" t="str">
        <f>IFERROR(INDEX(样本到样信息汇总统计!A$2:A$500,MATCH(391,样本到样信息汇总统计!$Z$2:$Z$500,0)),"")</f>
        <v/>
      </c>
      <c r="B392" s="4" t="str">
        <f>IFERROR(INDEX(样本到样信息汇总统计!B$2:B$500,MATCH(391,样本到样信息汇总统计!$Z$2:$Z$500,0)),"")</f>
        <v/>
      </c>
      <c r="C392" s="4" t="str">
        <f>IFERROR(INDEX(样本到样信息汇总统计!C$2:C$500,MATCH(391,样本到样信息汇总统计!$Z$2:$Z$500,0)),"")</f>
        <v/>
      </c>
      <c r="D392" s="4" t="str">
        <f>IFERROR(INDEX(样本到样信息汇总统计!D$2:D$500,MATCH(391,样本到样信息汇总统计!$Z$2:$Z$500,0)),"")</f>
        <v/>
      </c>
      <c r="E392" s="4" t="str">
        <f>IFERROR(INDEX(样本到样信息汇总统计!E$2:E$500,MATCH(391,样本到样信息汇总统计!$Z$2:$Z$500,0)),"")</f>
        <v/>
      </c>
      <c r="F392" s="4" t="str">
        <f>IFERROR(INDEX(样本到样信息汇总统计!F$2:F$500,MATCH(391,样本到样信息汇总统计!$Z$2:$Z$500,0)),"")</f>
        <v/>
      </c>
      <c r="G392" s="4" t="str">
        <f>IFERROR(INDEX(样本到样信息汇总统计!G$2:G$500,MATCH(391,样本到样信息汇总统计!$Z$2:$Z$500,0)),"")</f>
        <v/>
      </c>
      <c r="H392" s="4" t="str">
        <f>IFERROR(INDEX(样本到样信息汇总统计!H$2:H$500,MATCH(391,样本到样信息汇总统计!$Z$2:$Z$500,0)),"")</f>
        <v/>
      </c>
      <c r="I392" s="4" t="str">
        <f>IFERROR(INDEX(样本到样信息汇总统计!I$2:I$500,MATCH(391,样本到样信息汇总统计!$Z$2:$Z$500,0)),"")</f>
        <v/>
      </c>
      <c r="J392" s="4" t="str">
        <f>IFERROR(INDEX(样本到样信息汇总统计!J$2:J$500,MATCH(391,样本到样信息汇总统计!$Z$2:$Z$500,0)),"")</f>
        <v/>
      </c>
      <c r="K392" s="4" t="str">
        <f>IFERROR(INDEX(样本到样信息汇总统计!K$2:K$500,MATCH(391,样本到样信息汇总统计!$Z$2:$Z$500,0)),"")</f>
        <v/>
      </c>
      <c r="L392" s="4" t="str">
        <f>IFERROR(INDEX(样本到样信息汇总统计!L$2:L$500,MATCH(391,样本到样信息汇总统计!$Z$2:$Z$500,0)),"")</f>
        <v/>
      </c>
      <c r="M392" s="4" t="str">
        <f>IFERROR(INDEX(样本到样信息汇总统计!M$2:M$500,MATCH(391,样本到样信息汇总统计!$Z$2:$Z$500,0)),"")</f>
        <v/>
      </c>
      <c r="N392" s="4" t="str">
        <f>IFERROR(INDEX(样本到样信息汇总统计!N$2:N$500,MATCH(391,样本到样信息汇总统计!$Z$2:$Z$500,0)),"")</f>
        <v/>
      </c>
      <c r="O392" s="4" t="str">
        <f>IFERROR(INDEX(样本到样信息汇总统计!O$2:O$500,MATCH(391,样本到样信息汇总统计!$Z$2:$Z$500,0)),"")</f>
        <v/>
      </c>
      <c r="P392" s="4" t="str">
        <f>IFERROR(INDEX(样本到样信息汇总统计!P$2:P$500,MATCH(391,样本到样信息汇总统计!$Z$2:$Z$500,0)),"")</f>
        <v/>
      </c>
      <c r="Q392" s="4" t="str">
        <f>IFERROR(INDEX(样本到样信息汇总统计!Q$2:Q$500,MATCH(391,样本到样信息汇总统计!$Z$2:$Z$500,0)),"")</f>
        <v/>
      </c>
      <c r="R392" s="4" t="str">
        <f>IFERROR(INDEX(样本到样信息汇总统计!R$2:R$500,MATCH(391,样本到样信息汇总统计!$Z$2:$Z$500,0)),"")</f>
        <v/>
      </c>
      <c r="S392" s="4" t="str">
        <f>IFERROR(INDEX(样本到样信息汇总统计!S$2:S$500,MATCH(391,样本到样信息汇总统计!$Z$2:$Z$500,0)),"")</f>
        <v/>
      </c>
      <c r="T392" s="4" t="str">
        <f>IFERROR(INDEX(样本到样信息汇总统计!T$2:T$500,MATCH(391,样本到样信息汇总统计!$Z$2:$Z$500,0)),"")</f>
        <v/>
      </c>
      <c r="U392" s="4" t="str">
        <f>IFERROR(INDEX(样本到样信息汇总统计!U$2:U$500,MATCH(391,样本到样信息汇总统计!$Z$2:$Z$500,0)),"")</f>
        <v/>
      </c>
      <c r="V392" s="4" t="str">
        <f>IFERROR(INDEX(样本到样信息汇总统计!V$2:V$500,MATCH(391,样本到样信息汇总统计!$Z$2:$Z$500,0)),"")</f>
        <v/>
      </c>
      <c r="W392" s="4" t="str">
        <f>IFERROR(INDEX(样本到样信息汇总统计!W$2:W$500,MATCH(391,样本到样信息汇总统计!$Z$2:$Z$500,0)),"")</f>
        <v/>
      </c>
    </row>
    <row r="393" ht="14.5" spans="1:23">
      <c r="A393" s="8" t="str">
        <f>IFERROR(INDEX(样本到样信息汇总统计!A$2:A$500,MATCH(392,样本到样信息汇总统计!$Z$2:$Z$500,0)),"")</f>
        <v/>
      </c>
      <c r="B393" s="8" t="str">
        <f>IFERROR(INDEX(样本到样信息汇总统计!B$2:B$500,MATCH(392,样本到样信息汇总统计!$Z$2:$Z$500,0)),"")</f>
        <v/>
      </c>
      <c r="C393" s="8" t="str">
        <f>IFERROR(INDEX(样本到样信息汇总统计!C$2:C$500,MATCH(392,样本到样信息汇总统计!$Z$2:$Z$500,0)),"")</f>
        <v/>
      </c>
      <c r="D393" s="8" t="str">
        <f>IFERROR(INDEX(样本到样信息汇总统计!D$2:D$500,MATCH(392,样本到样信息汇总统计!$Z$2:$Z$500,0)),"")</f>
        <v/>
      </c>
      <c r="E393" s="8" t="str">
        <f>IFERROR(INDEX(样本到样信息汇总统计!E$2:E$500,MATCH(392,样本到样信息汇总统计!$Z$2:$Z$500,0)),"")</f>
        <v/>
      </c>
      <c r="F393" s="8" t="str">
        <f>IFERROR(INDEX(样本到样信息汇总统计!F$2:F$500,MATCH(392,样本到样信息汇总统计!$Z$2:$Z$500,0)),"")</f>
        <v/>
      </c>
      <c r="G393" s="8" t="str">
        <f>IFERROR(INDEX(样本到样信息汇总统计!G$2:G$500,MATCH(392,样本到样信息汇总统计!$Z$2:$Z$500,0)),"")</f>
        <v/>
      </c>
      <c r="H393" s="8" t="str">
        <f>IFERROR(INDEX(样本到样信息汇总统计!H$2:H$500,MATCH(392,样本到样信息汇总统计!$Z$2:$Z$500,0)),"")</f>
        <v/>
      </c>
      <c r="I393" s="8" t="str">
        <f>IFERROR(INDEX(样本到样信息汇总统计!I$2:I$500,MATCH(392,样本到样信息汇总统计!$Z$2:$Z$500,0)),"")</f>
        <v/>
      </c>
      <c r="J393" s="8" t="str">
        <f>IFERROR(INDEX(样本到样信息汇总统计!J$2:J$500,MATCH(392,样本到样信息汇总统计!$Z$2:$Z$500,0)),"")</f>
        <v/>
      </c>
      <c r="K393" s="8" t="str">
        <f>IFERROR(INDEX(样本到样信息汇总统计!K$2:K$500,MATCH(392,样本到样信息汇总统计!$Z$2:$Z$500,0)),"")</f>
        <v/>
      </c>
      <c r="L393" s="8" t="str">
        <f>IFERROR(INDEX(样本到样信息汇总统计!L$2:L$500,MATCH(392,样本到样信息汇总统计!$Z$2:$Z$500,0)),"")</f>
        <v/>
      </c>
      <c r="M393" s="8" t="str">
        <f>IFERROR(INDEX(样本到样信息汇总统计!M$2:M$500,MATCH(392,样本到样信息汇总统计!$Z$2:$Z$500,0)),"")</f>
        <v/>
      </c>
      <c r="N393" s="8" t="str">
        <f>IFERROR(INDEX(样本到样信息汇总统计!N$2:N$500,MATCH(392,样本到样信息汇总统计!$Z$2:$Z$500,0)),"")</f>
        <v/>
      </c>
      <c r="O393" s="8" t="str">
        <f>IFERROR(INDEX(样本到样信息汇总统计!O$2:O$500,MATCH(392,样本到样信息汇总统计!$Z$2:$Z$500,0)),"")</f>
        <v/>
      </c>
      <c r="P393" s="8" t="str">
        <f>IFERROR(INDEX(样本到样信息汇总统计!P$2:P$500,MATCH(392,样本到样信息汇总统计!$Z$2:$Z$500,0)),"")</f>
        <v/>
      </c>
      <c r="Q393" s="8" t="str">
        <f>IFERROR(INDEX(样本到样信息汇总统计!Q$2:Q$500,MATCH(392,样本到样信息汇总统计!$Z$2:$Z$500,0)),"")</f>
        <v/>
      </c>
      <c r="R393" s="8" t="str">
        <f>IFERROR(INDEX(样本到样信息汇总统计!R$2:R$500,MATCH(392,样本到样信息汇总统计!$Z$2:$Z$500,0)),"")</f>
        <v/>
      </c>
      <c r="S393" s="8" t="str">
        <f>IFERROR(INDEX(样本到样信息汇总统计!S$2:S$500,MATCH(392,样本到样信息汇总统计!$Z$2:$Z$500,0)),"")</f>
        <v/>
      </c>
      <c r="T393" s="8" t="str">
        <f>IFERROR(INDEX(样本到样信息汇总统计!T$2:T$500,MATCH(392,样本到样信息汇总统计!$Z$2:$Z$500,0)),"")</f>
        <v/>
      </c>
      <c r="U393" s="8" t="str">
        <f>IFERROR(INDEX(样本到样信息汇总统计!U$2:U$500,MATCH(392,样本到样信息汇总统计!$Z$2:$Z$500,0)),"")</f>
        <v/>
      </c>
      <c r="V393" s="8" t="str">
        <f>IFERROR(INDEX(样本到样信息汇总统计!V$2:V$500,MATCH(392,样本到样信息汇总统计!$Z$2:$Z$500,0)),"")</f>
        <v/>
      </c>
      <c r="W393" s="8" t="str">
        <f>IFERROR(INDEX(样本到样信息汇总统计!W$2:W$500,MATCH(392,样本到样信息汇总统计!$Z$2:$Z$500,0)),"")</f>
        <v/>
      </c>
    </row>
    <row r="394" ht="14.5" spans="1:23">
      <c r="A394" s="4" t="str">
        <f>IFERROR(INDEX(样本到样信息汇总统计!A$2:A$500,MATCH(393,样本到样信息汇总统计!$Z$2:$Z$500,0)),"")</f>
        <v/>
      </c>
      <c r="B394" s="4" t="str">
        <f>IFERROR(INDEX(样本到样信息汇总统计!B$2:B$500,MATCH(393,样本到样信息汇总统计!$Z$2:$Z$500,0)),"")</f>
        <v/>
      </c>
      <c r="C394" s="4" t="str">
        <f>IFERROR(INDEX(样本到样信息汇总统计!C$2:C$500,MATCH(393,样本到样信息汇总统计!$Z$2:$Z$500,0)),"")</f>
        <v/>
      </c>
      <c r="D394" s="4" t="str">
        <f>IFERROR(INDEX(样本到样信息汇总统计!D$2:D$500,MATCH(393,样本到样信息汇总统计!$Z$2:$Z$500,0)),"")</f>
        <v/>
      </c>
      <c r="E394" s="4" t="str">
        <f>IFERROR(INDEX(样本到样信息汇总统计!E$2:E$500,MATCH(393,样本到样信息汇总统计!$Z$2:$Z$500,0)),"")</f>
        <v/>
      </c>
      <c r="F394" s="4" t="str">
        <f>IFERROR(INDEX(样本到样信息汇总统计!F$2:F$500,MATCH(393,样本到样信息汇总统计!$Z$2:$Z$500,0)),"")</f>
        <v/>
      </c>
      <c r="G394" s="4" t="str">
        <f>IFERROR(INDEX(样本到样信息汇总统计!G$2:G$500,MATCH(393,样本到样信息汇总统计!$Z$2:$Z$500,0)),"")</f>
        <v/>
      </c>
      <c r="H394" s="4" t="str">
        <f>IFERROR(INDEX(样本到样信息汇总统计!H$2:H$500,MATCH(393,样本到样信息汇总统计!$Z$2:$Z$500,0)),"")</f>
        <v/>
      </c>
      <c r="I394" s="4" t="str">
        <f>IFERROR(INDEX(样本到样信息汇总统计!I$2:I$500,MATCH(393,样本到样信息汇总统计!$Z$2:$Z$500,0)),"")</f>
        <v/>
      </c>
      <c r="J394" s="4" t="str">
        <f>IFERROR(INDEX(样本到样信息汇总统计!J$2:J$500,MATCH(393,样本到样信息汇总统计!$Z$2:$Z$500,0)),"")</f>
        <v/>
      </c>
      <c r="K394" s="4" t="str">
        <f>IFERROR(INDEX(样本到样信息汇总统计!K$2:K$500,MATCH(393,样本到样信息汇总统计!$Z$2:$Z$500,0)),"")</f>
        <v/>
      </c>
      <c r="L394" s="4" t="str">
        <f>IFERROR(INDEX(样本到样信息汇总统计!L$2:L$500,MATCH(393,样本到样信息汇总统计!$Z$2:$Z$500,0)),"")</f>
        <v/>
      </c>
      <c r="M394" s="4" t="str">
        <f>IFERROR(INDEX(样本到样信息汇总统计!M$2:M$500,MATCH(393,样本到样信息汇总统计!$Z$2:$Z$500,0)),"")</f>
        <v/>
      </c>
      <c r="N394" s="4" t="str">
        <f>IFERROR(INDEX(样本到样信息汇总统计!N$2:N$500,MATCH(393,样本到样信息汇总统计!$Z$2:$Z$500,0)),"")</f>
        <v/>
      </c>
      <c r="O394" s="4" t="str">
        <f>IFERROR(INDEX(样本到样信息汇总统计!O$2:O$500,MATCH(393,样本到样信息汇总统计!$Z$2:$Z$500,0)),"")</f>
        <v/>
      </c>
      <c r="P394" s="4" t="str">
        <f>IFERROR(INDEX(样本到样信息汇总统计!P$2:P$500,MATCH(393,样本到样信息汇总统计!$Z$2:$Z$500,0)),"")</f>
        <v/>
      </c>
      <c r="Q394" s="4" t="str">
        <f>IFERROR(INDEX(样本到样信息汇总统计!Q$2:Q$500,MATCH(393,样本到样信息汇总统计!$Z$2:$Z$500,0)),"")</f>
        <v/>
      </c>
      <c r="R394" s="4" t="str">
        <f>IFERROR(INDEX(样本到样信息汇总统计!R$2:R$500,MATCH(393,样本到样信息汇总统计!$Z$2:$Z$500,0)),"")</f>
        <v/>
      </c>
      <c r="S394" s="4" t="str">
        <f>IFERROR(INDEX(样本到样信息汇总统计!S$2:S$500,MATCH(393,样本到样信息汇总统计!$Z$2:$Z$500,0)),"")</f>
        <v/>
      </c>
      <c r="T394" s="4" t="str">
        <f>IFERROR(INDEX(样本到样信息汇总统计!T$2:T$500,MATCH(393,样本到样信息汇总统计!$Z$2:$Z$500,0)),"")</f>
        <v/>
      </c>
      <c r="U394" s="4" t="str">
        <f>IFERROR(INDEX(样本到样信息汇总统计!U$2:U$500,MATCH(393,样本到样信息汇总统计!$Z$2:$Z$500,0)),"")</f>
        <v/>
      </c>
      <c r="V394" s="4" t="str">
        <f>IFERROR(INDEX(样本到样信息汇总统计!V$2:V$500,MATCH(393,样本到样信息汇总统计!$Z$2:$Z$500,0)),"")</f>
        <v/>
      </c>
      <c r="W394" s="4" t="str">
        <f>IFERROR(INDEX(样本到样信息汇总统计!W$2:W$500,MATCH(393,样本到样信息汇总统计!$Z$2:$Z$500,0)),"")</f>
        <v/>
      </c>
    </row>
    <row r="395" ht="14.5" spans="1:23">
      <c r="A395" s="8" t="str">
        <f>IFERROR(INDEX(样本到样信息汇总统计!A$2:A$500,MATCH(394,样本到样信息汇总统计!$Z$2:$Z$500,0)),"")</f>
        <v/>
      </c>
      <c r="B395" s="8" t="str">
        <f>IFERROR(INDEX(样本到样信息汇总统计!B$2:B$500,MATCH(394,样本到样信息汇总统计!$Z$2:$Z$500,0)),"")</f>
        <v/>
      </c>
      <c r="C395" s="8" t="str">
        <f>IFERROR(INDEX(样本到样信息汇总统计!C$2:C$500,MATCH(394,样本到样信息汇总统计!$Z$2:$Z$500,0)),"")</f>
        <v/>
      </c>
      <c r="D395" s="8" t="str">
        <f>IFERROR(INDEX(样本到样信息汇总统计!D$2:D$500,MATCH(394,样本到样信息汇总统计!$Z$2:$Z$500,0)),"")</f>
        <v/>
      </c>
      <c r="E395" s="8" t="str">
        <f>IFERROR(INDEX(样本到样信息汇总统计!E$2:E$500,MATCH(394,样本到样信息汇总统计!$Z$2:$Z$500,0)),"")</f>
        <v/>
      </c>
      <c r="F395" s="8" t="str">
        <f>IFERROR(INDEX(样本到样信息汇总统计!F$2:F$500,MATCH(394,样本到样信息汇总统计!$Z$2:$Z$500,0)),"")</f>
        <v/>
      </c>
      <c r="G395" s="8" t="str">
        <f>IFERROR(INDEX(样本到样信息汇总统计!G$2:G$500,MATCH(394,样本到样信息汇总统计!$Z$2:$Z$500,0)),"")</f>
        <v/>
      </c>
      <c r="H395" s="8" t="str">
        <f>IFERROR(INDEX(样本到样信息汇总统计!H$2:H$500,MATCH(394,样本到样信息汇总统计!$Z$2:$Z$500,0)),"")</f>
        <v/>
      </c>
      <c r="I395" s="8" t="str">
        <f>IFERROR(INDEX(样本到样信息汇总统计!I$2:I$500,MATCH(394,样本到样信息汇总统计!$Z$2:$Z$500,0)),"")</f>
        <v/>
      </c>
      <c r="J395" s="8" t="str">
        <f>IFERROR(INDEX(样本到样信息汇总统计!J$2:J$500,MATCH(394,样本到样信息汇总统计!$Z$2:$Z$500,0)),"")</f>
        <v/>
      </c>
      <c r="K395" s="8" t="str">
        <f>IFERROR(INDEX(样本到样信息汇总统计!K$2:K$500,MATCH(394,样本到样信息汇总统计!$Z$2:$Z$500,0)),"")</f>
        <v/>
      </c>
      <c r="L395" s="8" t="str">
        <f>IFERROR(INDEX(样本到样信息汇总统计!L$2:L$500,MATCH(394,样本到样信息汇总统计!$Z$2:$Z$500,0)),"")</f>
        <v/>
      </c>
      <c r="M395" s="8" t="str">
        <f>IFERROR(INDEX(样本到样信息汇总统计!M$2:M$500,MATCH(394,样本到样信息汇总统计!$Z$2:$Z$500,0)),"")</f>
        <v/>
      </c>
      <c r="N395" s="8" t="str">
        <f>IFERROR(INDEX(样本到样信息汇总统计!N$2:N$500,MATCH(394,样本到样信息汇总统计!$Z$2:$Z$500,0)),"")</f>
        <v/>
      </c>
      <c r="O395" s="8" t="str">
        <f>IFERROR(INDEX(样本到样信息汇总统计!O$2:O$500,MATCH(394,样本到样信息汇总统计!$Z$2:$Z$500,0)),"")</f>
        <v/>
      </c>
      <c r="P395" s="8" t="str">
        <f>IFERROR(INDEX(样本到样信息汇总统计!P$2:P$500,MATCH(394,样本到样信息汇总统计!$Z$2:$Z$500,0)),"")</f>
        <v/>
      </c>
      <c r="Q395" s="8" t="str">
        <f>IFERROR(INDEX(样本到样信息汇总统计!Q$2:Q$500,MATCH(394,样本到样信息汇总统计!$Z$2:$Z$500,0)),"")</f>
        <v/>
      </c>
      <c r="R395" s="8" t="str">
        <f>IFERROR(INDEX(样本到样信息汇总统计!R$2:R$500,MATCH(394,样本到样信息汇总统计!$Z$2:$Z$500,0)),"")</f>
        <v/>
      </c>
      <c r="S395" s="8" t="str">
        <f>IFERROR(INDEX(样本到样信息汇总统计!S$2:S$500,MATCH(394,样本到样信息汇总统计!$Z$2:$Z$500,0)),"")</f>
        <v/>
      </c>
      <c r="T395" s="8" t="str">
        <f>IFERROR(INDEX(样本到样信息汇总统计!T$2:T$500,MATCH(394,样本到样信息汇总统计!$Z$2:$Z$500,0)),"")</f>
        <v/>
      </c>
      <c r="U395" s="8" t="str">
        <f>IFERROR(INDEX(样本到样信息汇总统计!U$2:U$500,MATCH(394,样本到样信息汇总统计!$Z$2:$Z$500,0)),"")</f>
        <v/>
      </c>
      <c r="V395" s="8" t="str">
        <f>IFERROR(INDEX(样本到样信息汇总统计!V$2:V$500,MATCH(394,样本到样信息汇总统计!$Z$2:$Z$500,0)),"")</f>
        <v/>
      </c>
      <c r="W395" s="8" t="str">
        <f>IFERROR(INDEX(样本到样信息汇总统计!W$2:W$500,MATCH(394,样本到样信息汇总统计!$Z$2:$Z$500,0)),"")</f>
        <v/>
      </c>
    </row>
    <row r="396" ht="14.5" spans="1:23">
      <c r="A396" s="4" t="str">
        <f>IFERROR(INDEX(样本到样信息汇总统计!A$2:A$500,MATCH(395,样本到样信息汇总统计!$Z$2:$Z$500,0)),"")</f>
        <v/>
      </c>
      <c r="B396" s="4" t="str">
        <f>IFERROR(INDEX(样本到样信息汇总统计!B$2:B$500,MATCH(395,样本到样信息汇总统计!$Z$2:$Z$500,0)),"")</f>
        <v/>
      </c>
      <c r="C396" s="4" t="str">
        <f>IFERROR(INDEX(样本到样信息汇总统计!C$2:C$500,MATCH(395,样本到样信息汇总统计!$Z$2:$Z$500,0)),"")</f>
        <v/>
      </c>
      <c r="D396" s="4" t="str">
        <f>IFERROR(INDEX(样本到样信息汇总统计!D$2:D$500,MATCH(395,样本到样信息汇总统计!$Z$2:$Z$500,0)),"")</f>
        <v/>
      </c>
      <c r="E396" s="4" t="str">
        <f>IFERROR(INDEX(样本到样信息汇总统计!E$2:E$500,MATCH(395,样本到样信息汇总统计!$Z$2:$Z$500,0)),"")</f>
        <v/>
      </c>
      <c r="F396" s="4" t="str">
        <f>IFERROR(INDEX(样本到样信息汇总统计!F$2:F$500,MATCH(395,样本到样信息汇总统计!$Z$2:$Z$500,0)),"")</f>
        <v/>
      </c>
      <c r="G396" s="4" t="str">
        <f>IFERROR(INDEX(样本到样信息汇总统计!G$2:G$500,MATCH(395,样本到样信息汇总统计!$Z$2:$Z$500,0)),"")</f>
        <v/>
      </c>
      <c r="H396" s="4" t="str">
        <f>IFERROR(INDEX(样本到样信息汇总统计!H$2:H$500,MATCH(395,样本到样信息汇总统计!$Z$2:$Z$500,0)),"")</f>
        <v/>
      </c>
      <c r="I396" s="4" t="str">
        <f>IFERROR(INDEX(样本到样信息汇总统计!I$2:I$500,MATCH(395,样本到样信息汇总统计!$Z$2:$Z$500,0)),"")</f>
        <v/>
      </c>
      <c r="J396" s="4" t="str">
        <f>IFERROR(INDEX(样本到样信息汇总统计!J$2:J$500,MATCH(395,样本到样信息汇总统计!$Z$2:$Z$500,0)),"")</f>
        <v/>
      </c>
      <c r="K396" s="4" t="str">
        <f>IFERROR(INDEX(样本到样信息汇总统计!K$2:K$500,MATCH(395,样本到样信息汇总统计!$Z$2:$Z$500,0)),"")</f>
        <v/>
      </c>
      <c r="L396" s="4" t="str">
        <f>IFERROR(INDEX(样本到样信息汇总统计!L$2:L$500,MATCH(395,样本到样信息汇总统计!$Z$2:$Z$500,0)),"")</f>
        <v/>
      </c>
      <c r="M396" s="4" t="str">
        <f>IFERROR(INDEX(样本到样信息汇总统计!M$2:M$500,MATCH(395,样本到样信息汇总统计!$Z$2:$Z$500,0)),"")</f>
        <v/>
      </c>
      <c r="N396" s="4" t="str">
        <f>IFERROR(INDEX(样本到样信息汇总统计!N$2:N$500,MATCH(395,样本到样信息汇总统计!$Z$2:$Z$500,0)),"")</f>
        <v/>
      </c>
      <c r="O396" s="4" t="str">
        <f>IFERROR(INDEX(样本到样信息汇总统计!O$2:O$500,MATCH(395,样本到样信息汇总统计!$Z$2:$Z$500,0)),"")</f>
        <v/>
      </c>
      <c r="P396" s="4" t="str">
        <f>IFERROR(INDEX(样本到样信息汇总统计!P$2:P$500,MATCH(395,样本到样信息汇总统计!$Z$2:$Z$500,0)),"")</f>
        <v/>
      </c>
      <c r="Q396" s="4" t="str">
        <f>IFERROR(INDEX(样本到样信息汇总统计!Q$2:Q$500,MATCH(395,样本到样信息汇总统计!$Z$2:$Z$500,0)),"")</f>
        <v/>
      </c>
      <c r="R396" s="4" t="str">
        <f>IFERROR(INDEX(样本到样信息汇总统计!R$2:R$500,MATCH(395,样本到样信息汇总统计!$Z$2:$Z$500,0)),"")</f>
        <v/>
      </c>
      <c r="S396" s="4" t="str">
        <f>IFERROR(INDEX(样本到样信息汇总统计!S$2:S$500,MATCH(395,样本到样信息汇总统计!$Z$2:$Z$500,0)),"")</f>
        <v/>
      </c>
      <c r="T396" s="4" t="str">
        <f>IFERROR(INDEX(样本到样信息汇总统计!T$2:T$500,MATCH(395,样本到样信息汇总统计!$Z$2:$Z$500,0)),"")</f>
        <v/>
      </c>
      <c r="U396" s="4" t="str">
        <f>IFERROR(INDEX(样本到样信息汇总统计!U$2:U$500,MATCH(395,样本到样信息汇总统计!$Z$2:$Z$500,0)),"")</f>
        <v/>
      </c>
      <c r="V396" s="4" t="str">
        <f>IFERROR(INDEX(样本到样信息汇总统计!V$2:V$500,MATCH(395,样本到样信息汇总统计!$Z$2:$Z$500,0)),"")</f>
        <v/>
      </c>
      <c r="W396" s="4" t="str">
        <f>IFERROR(INDEX(样本到样信息汇总统计!W$2:W$500,MATCH(395,样本到样信息汇总统计!$Z$2:$Z$500,0)),"")</f>
        <v/>
      </c>
    </row>
    <row r="397" ht="14.5" spans="1:23">
      <c r="A397" s="8" t="str">
        <f>IFERROR(INDEX(样本到样信息汇总统计!A$2:A$500,MATCH(396,样本到样信息汇总统计!$Z$2:$Z$500,0)),"")</f>
        <v/>
      </c>
      <c r="B397" s="8" t="str">
        <f>IFERROR(INDEX(样本到样信息汇总统计!B$2:B$500,MATCH(396,样本到样信息汇总统计!$Z$2:$Z$500,0)),"")</f>
        <v/>
      </c>
      <c r="C397" s="8" t="str">
        <f>IFERROR(INDEX(样本到样信息汇总统计!C$2:C$500,MATCH(396,样本到样信息汇总统计!$Z$2:$Z$500,0)),"")</f>
        <v/>
      </c>
      <c r="D397" s="8" t="str">
        <f>IFERROR(INDEX(样本到样信息汇总统计!D$2:D$500,MATCH(396,样本到样信息汇总统计!$Z$2:$Z$500,0)),"")</f>
        <v/>
      </c>
      <c r="E397" s="8" t="str">
        <f>IFERROR(INDEX(样本到样信息汇总统计!E$2:E$500,MATCH(396,样本到样信息汇总统计!$Z$2:$Z$500,0)),"")</f>
        <v/>
      </c>
      <c r="F397" s="8" t="str">
        <f>IFERROR(INDEX(样本到样信息汇总统计!F$2:F$500,MATCH(396,样本到样信息汇总统计!$Z$2:$Z$500,0)),"")</f>
        <v/>
      </c>
      <c r="G397" s="8" t="str">
        <f>IFERROR(INDEX(样本到样信息汇总统计!G$2:G$500,MATCH(396,样本到样信息汇总统计!$Z$2:$Z$500,0)),"")</f>
        <v/>
      </c>
      <c r="H397" s="8" t="str">
        <f>IFERROR(INDEX(样本到样信息汇总统计!H$2:H$500,MATCH(396,样本到样信息汇总统计!$Z$2:$Z$500,0)),"")</f>
        <v/>
      </c>
      <c r="I397" s="8" t="str">
        <f>IFERROR(INDEX(样本到样信息汇总统计!I$2:I$500,MATCH(396,样本到样信息汇总统计!$Z$2:$Z$500,0)),"")</f>
        <v/>
      </c>
      <c r="J397" s="8" t="str">
        <f>IFERROR(INDEX(样本到样信息汇总统计!J$2:J$500,MATCH(396,样本到样信息汇总统计!$Z$2:$Z$500,0)),"")</f>
        <v/>
      </c>
      <c r="K397" s="8" t="str">
        <f>IFERROR(INDEX(样本到样信息汇总统计!K$2:K$500,MATCH(396,样本到样信息汇总统计!$Z$2:$Z$500,0)),"")</f>
        <v/>
      </c>
      <c r="L397" s="8" t="str">
        <f>IFERROR(INDEX(样本到样信息汇总统计!L$2:L$500,MATCH(396,样本到样信息汇总统计!$Z$2:$Z$500,0)),"")</f>
        <v/>
      </c>
      <c r="M397" s="8" t="str">
        <f>IFERROR(INDEX(样本到样信息汇总统计!M$2:M$500,MATCH(396,样本到样信息汇总统计!$Z$2:$Z$500,0)),"")</f>
        <v/>
      </c>
      <c r="N397" s="8" t="str">
        <f>IFERROR(INDEX(样本到样信息汇总统计!N$2:N$500,MATCH(396,样本到样信息汇总统计!$Z$2:$Z$500,0)),"")</f>
        <v/>
      </c>
      <c r="O397" s="8" t="str">
        <f>IFERROR(INDEX(样本到样信息汇总统计!O$2:O$500,MATCH(396,样本到样信息汇总统计!$Z$2:$Z$500,0)),"")</f>
        <v/>
      </c>
      <c r="P397" s="8" t="str">
        <f>IFERROR(INDEX(样本到样信息汇总统计!P$2:P$500,MATCH(396,样本到样信息汇总统计!$Z$2:$Z$500,0)),"")</f>
        <v/>
      </c>
      <c r="Q397" s="8" t="str">
        <f>IFERROR(INDEX(样本到样信息汇总统计!Q$2:Q$500,MATCH(396,样本到样信息汇总统计!$Z$2:$Z$500,0)),"")</f>
        <v/>
      </c>
      <c r="R397" s="8" t="str">
        <f>IFERROR(INDEX(样本到样信息汇总统计!R$2:R$500,MATCH(396,样本到样信息汇总统计!$Z$2:$Z$500,0)),"")</f>
        <v/>
      </c>
      <c r="S397" s="8" t="str">
        <f>IFERROR(INDEX(样本到样信息汇总统计!S$2:S$500,MATCH(396,样本到样信息汇总统计!$Z$2:$Z$500,0)),"")</f>
        <v/>
      </c>
      <c r="T397" s="8" t="str">
        <f>IFERROR(INDEX(样本到样信息汇总统计!T$2:T$500,MATCH(396,样本到样信息汇总统计!$Z$2:$Z$500,0)),"")</f>
        <v/>
      </c>
      <c r="U397" s="8" t="str">
        <f>IFERROR(INDEX(样本到样信息汇总统计!U$2:U$500,MATCH(396,样本到样信息汇总统计!$Z$2:$Z$500,0)),"")</f>
        <v/>
      </c>
      <c r="V397" s="8" t="str">
        <f>IFERROR(INDEX(样本到样信息汇总统计!V$2:V$500,MATCH(396,样本到样信息汇总统计!$Z$2:$Z$500,0)),"")</f>
        <v/>
      </c>
      <c r="W397" s="8" t="str">
        <f>IFERROR(INDEX(样本到样信息汇总统计!W$2:W$500,MATCH(396,样本到样信息汇总统计!$Z$2:$Z$500,0)),"")</f>
        <v/>
      </c>
    </row>
    <row r="398" ht="14.5" spans="1:23">
      <c r="A398" s="4" t="str">
        <f>IFERROR(INDEX(样本到样信息汇总统计!A$2:A$500,MATCH(397,样本到样信息汇总统计!$Z$2:$Z$500,0)),"")</f>
        <v/>
      </c>
      <c r="B398" s="4" t="str">
        <f>IFERROR(INDEX(样本到样信息汇总统计!B$2:B$500,MATCH(397,样本到样信息汇总统计!$Z$2:$Z$500,0)),"")</f>
        <v/>
      </c>
      <c r="C398" s="4" t="str">
        <f>IFERROR(INDEX(样本到样信息汇总统计!C$2:C$500,MATCH(397,样本到样信息汇总统计!$Z$2:$Z$500,0)),"")</f>
        <v/>
      </c>
      <c r="D398" s="4" t="str">
        <f>IFERROR(INDEX(样本到样信息汇总统计!D$2:D$500,MATCH(397,样本到样信息汇总统计!$Z$2:$Z$500,0)),"")</f>
        <v/>
      </c>
      <c r="E398" s="4" t="str">
        <f>IFERROR(INDEX(样本到样信息汇总统计!E$2:E$500,MATCH(397,样本到样信息汇总统计!$Z$2:$Z$500,0)),"")</f>
        <v/>
      </c>
      <c r="F398" s="4" t="str">
        <f>IFERROR(INDEX(样本到样信息汇总统计!F$2:F$500,MATCH(397,样本到样信息汇总统计!$Z$2:$Z$500,0)),"")</f>
        <v/>
      </c>
      <c r="G398" s="4" t="str">
        <f>IFERROR(INDEX(样本到样信息汇总统计!G$2:G$500,MATCH(397,样本到样信息汇总统计!$Z$2:$Z$500,0)),"")</f>
        <v/>
      </c>
      <c r="H398" s="4" t="str">
        <f>IFERROR(INDEX(样本到样信息汇总统计!H$2:H$500,MATCH(397,样本到样信息汇总统计!$Z$2:$Z$500,0)),"")</f>
        <v/>
      </c>
      <c r="I398" s="4" t="str">
        <f>IFERROR(INDEX(样本到样信息汇总统计!I$2:I$500,MATCH(397,样本到样信息汇总统计!$Z$2:$Z$500,0)),"")</f>
        <v/>
      </c>
      <c r="J398" s="4" t="str">
        <f>IFERROR(INDEX(样本到样信息汇总统计!J$2:J$500,MATCH(397,样本到样信息汇总统计!$Z$2:$Z$500,0)),"")</f>
        <v/>
      </c>
      <c r="K398" s="4" t="str">
        <f>IFERROR(INDEX(样本到样信息汇总统计!K$2:K$500,MATCH(397,样本到样信息汇总统计!$Z$2:$Z$500,0)),"")</f>
        <v/>
      </c>
      <c r="L398" s="4" t="str">
        <f>IFERROR(INDEX(样本到样信息汇总统计!L$2:L$500,MATCH(397,样本到样信息汇总统计!$Z$2:$Z$500,0)),"")</f>
        <v/>
      </c>
      <c r="M398" s="4" t="str">
        <f>IFERROR(INDEX(样本到样信息汇总统计!M$2:M$500,MATCH(397,样本到样信息汇总统计!$Z$2:$Z$500,0)),"")</f>
        <v/>
      </c>
      <c r="N398" s="4" t="str">
        <f>IFERROR(INDEX(样本到样信息汇总统计!N$2:N$500,MATCH(397,样本到样信息汇总统计!$Z$2:$Z$500,0)),"")</f>
        <v/>
      </c>
      <c r="O398" s="4" t="str">
        <f>IFERROR(INDEX(样本到样信息汇总统计!O$2:O$500,MATCH(397,样本到样信息汇总统计!$Z$2:$Z$500,0)),"")</f>
        <v/>
      </c>
      <c r="P398" s="4" t="str">
        <f>IFERROR(INDEX(样本到样信息汇总统计!P$2:P$500,MATCH(397,样本到样信息汇总统计!$Z$2:$Z$500,0)),"")</f>
        <v/>
      </c>
      <c r="Q398" s="4" t="str">
        <f>IFERROR(INDEX(样本到样信息汇总统计!Q$2:Q$500,MATCH(397,样本到样信息汇总统计!$Z$2:$Z$500,0)),"")</f>
        <v/>
      </c>
      <c r="R398" s="4" t="str">
        <f>IFERROR(INDEX(样本到样信息汇总统计!R$2:R$500,MATCH(397,样本到样信息汇总统计!$Z$2:$Z$500,0)),"")</f>
        <v/>
      </c>
      <c r="S398" s="4" t="str">
        <f>IFERROR(INDEX(样本到样信息汇总统计!S$2:S$500,MATCH(397,样本到样信息汇总统计!$Z$2:$Z$500,0)),"")</f>
        <v/>
      </c>
      <c r="T398" s="4" t="str">
        <f>IFERROR(INDEX(样本到样信息汇总统计!T$2:T$500,MATCH(397,样本到样信息汇总统计!$Z$2:$Z$500,0)),"")</f>
        <v/>
      </c>
      <c r="U398" s="4" t="str">
        <f>IFERROR(INDEX(样本到样信息汇总统计!U$2:U$500,MATCH(397,样本到样信息汇总统计!$Z$2:$Z$500,0)),"")</f>
        <v/>
      </c>
      <c r="V398" s="4" t="str">
        <f>IFERROR(INDEX(样本到样信息汇总统计!V$2:V$500,MATCH(397,样本到样信息汇总统计!$Z$2:$Z$500,0)),"")</f>
        <v/>
      </c>
      <c r="W398" s="4" t="str">
        <f>IFERROR(INDEX(样本到样信息汇总统计!W$2:W$500,MATCH(397,样本到样信息汇总统计!$Z$2:$Z$500,0)),"")</f>
        <v/>
      </c>
    </row>
    <row r="399" ht="14.5" spans="1:23">
      <c r="A399" s="8" t="str">
        <f>IFERROR(INDEX(样本到样信息汇总统计!A$2:A$500,MATCH(398,样本到样信息汇总统计!$Z$2:$Z$500,0)),"")</f>
        <v/>
      </c>
      <c r="B399" s="8" t="str">
        <f>IFERROR(INDEX(样本到样信息汇总统计!B$2:B$500,MATCH(398,样本到样信息汇总统计!$Z$2:$Z$500,0)),"")</f>
        <v/>
      </c>
      <c r="C399" s="8" t="str">
        <f>IFERROR(INDEX(样本到样信息汇总统计!C$2:C$500,MATCH(398,样本到样信息汇总统计!$Z$2:$Z$500,0)),"")</f>
        <v/>
      </c>
      <c r="D399" s="8" t="str">
        <f>IFERROR(INDEX(样本到样信息汇总统计!D$2:D$500,MATCH(398,样本到样信息汇总统计!$Z$2:$Z$500,0)),"")</f>
        <v/>
      </c>
      <c r="E399" s="8" t="str">
        <f>IFERROR(INDEX(样本到样信息汇总统计!E$2:E$500,MATCH(398,样本到样信息汇总统计!$Z$2:$Z$500,0)),"")</f>
        <v/>
      </c>
      <c r="F399" s="8" t="str">
        <f>IFERROR(INDEX(样本到样信息汇总统计!F$2:F$500,MATCH(398,样本到样信息汇总统计!$Z$2:$Z$500,0)),"")</f>
        <v/>
      </c>
      <c r="G399" s="8" t="str">
        <f>IFERROR(INDEX(样本到样信息汇总统计!G$2:G$500,MATCH(398,样本到样信息汇总统计!$Z$2:$Z$500,0)),"")</f>
        <v/>
      </c>
      <c r="H399" s="8" t="str">
        <f>IFERROR(INDEX(样本到样信息汇总统计!H$2:H$500,MATCH(398,样本到样信息汇总统计!$Z$2:$Z$500,0)),"")</f>
        <v/>
      </c>
      <c r="I399" s="8" t="str">
        <f>IFERROR(INDEX(样本到样信息汇总统计!I$2:I$500,MATCH(398,样本到样信息汇总统计!$Z$2:$Z$500,0)),"")</f>
        <v/>
      </c>
      <c r="J399" s="8" t="str">
        <f>IFERROR(INDEX(样本到样信息汇总统计!J$2:J$500,MATCH(398,样本到样信息汇总统计!$Z$2:$Z$500,0)),"")</f>
        <v/>
      </c>
      <c r="K399" s="8" t="str">
        <f>IFERROR(INDEX(样本到样信息汇总统计!K$2:K$500,MATCH(398,样本到样信息汇总统计!$Z$2:$Z$500,0)),"")</f>
        <v/>
      </c>
      <c r="L399" s="8" t="str">
        <f>IFERROR(INDEX(样本到样信息汇总统计!L$2:L$500,MATCH(398,样本到样信息汇总统计!$Z$2:$Z$500,0)),"")</f>
        <v/>
      </c>
      <c r="M399" s="8" t="str">
        <f>IFERROR(INDEX(样本到样信息汇总统计!M$2:M$500,MATCH(398,样本到样信息汇总统计!$Z$2:$Z$500,0)),"")</f>
        <v/>
      </c>
      <c r="N399" s="8" t="str">
        <f>IFERROR(INDEX(样本到样信息汇总统计!N$2:N$500,MATCH(398,样本到样信息汇总统计!$Z$2:$Z$500,0)),"")</f>
        <v/>
      </c>
      <c r="O399" s="8" t="str">
        <f>IFERROR(INDEX(样本到样信息汇总统计!O$2:O$500,MATCH(398,样本到样信息汇总统计!$Z$2:$Z$500,0)),"")</f>
        <v/>
      </c>
      <c r="P399" s="8" t="str">
        <f>IFERROR(INDEX(样本到样信息汇总统计!P$2:P$500,MATCH(398,样本到样信息汇总统计!$Z$2:$Z$500,0)),"")</f>
        <v/>
      </c>
      <c r="Q399" s="8" t="str">
        <f>IFERROR(INDEX(样本到样信息汇总统计!Q$2:Q$500,MATCH(398,样本到样信息汇总统计!$Z$2:$Z$500,0)),"")</f>
        <v/>
      </c>
      <c r="R399" s="8" t="str">
        <f>IFERROR(INDEX(样本到样信息汇总统计!R$2:R$500,MATCH(398,样本到样信息汇总统计!$Z$2:$Z$500,0)),"")</f>
        <v/>
      </c>
      <c r="S399" s="8" t="str">
        <f>IFERROR(INDEX(样本到样信息汇总统计!S$2:S$500,MATCH(398,样本到样信息汇总统计!$Z$2:$Z$500,0)),"")</f>
        <v/>
      </c>
      <c r="T399" s="8" t="str">
        <f>IFERROR(INDEX(样本到样信息汇总统计!T$2:T$500,MATCH(398,样本到样信息汇总统计!$Z$2:$Z$500,0)),"")</f>
        <v/>
      </c>
      <c r="U399" s="8" t="str">
        <f>IFERROR(INDEX(样本到样信息汇总统计!U$2:U$500,MATCH(398,样本到样信息汇总统计!$Z$2:$Z$500,0)),"")</f>
        <v/>
      </c>
      <c r="V399" s="8" t="str">
        <f>IFERROR(INDEX(样本到样信息汇总统计!V$2:V$500,MATCH(398,样本到样信息汇总统计!$Z$2:$Z$500,0)),"")</f>
        <v/>
      </c>
      <c r="W399" s="8" t="str">
        <f>IFERROR(INDEX(样本到样信息汇总统计!W$2:W$500,MATCH(398,样本到样信息汇总统计!$Z$2:$Z$500,0)),"")</f>
        <v/>
      </c>
    </row>
    <row r="400" ht="14.5" spans="1:23">
      <c r="A400" s="4" t="str">
        <f>IFERROR(INDEX(样本到样信息汇总统计!A$2:A$500,MATCH(399,样本到样信息汇总统计!$Z$2:$Z$500,0)),"")</f>
        <v/>
      </c>
      <c r="B400" s="4" t="str">
        <f>IFERROR(INDEX(样本到样信息汇总统计!B$2:B$500,MATCH(399,样本到样信息汇总统计!$Z$2:$Z$500,0)),"")</f>
        <v/>
      </c>
      <c r="C400" s="4" t="str">
        <f>IFERROR(INDEX(样本到样信息汇总统计!C$2:C$500,MATCH(399,样本到样信息汇总统计!$Z$2:$Z$500,0)),"")</f>
        <v/>
      </c>
      <c r="D400" s="4" t="str">
        <f>IFERROR(INDEX(样本到样信息汇总统计!D$2:D$500,MATCH(399,样本到样信息汇总统计!$Z$2:$Z$500,0)),"")</f>
        <v/>
      </c>
      <c r="E400" s="4" t="str">
        <f>IFERROR(INDEX(样本到样信息汇总统计!E$2:E$500,MATCH(399,样本到样信息汇总统计!$Z$2:$Z$500,0)),"")</f>
        <v/>
      </c>
      <c r="F400" s="4" t="str">
        <f>IFERROR(INDEX(样本到样信息汇总统计!F$2:F$500,MATCH(399,样本到样信息汇总统计!$Z$2:$Z$500,0)),"")</f>
        <v/>
      </c>
      <c r="G400" s="4" t="str">
        <f>IFERROR(INDEX(样本到样信息汇总统计!G$2:G$500,MATCH(399,样本到样信息汇总统计!$Z$2:$Z$500,0)),"")</f>
        <v/>
      </c>
      <c r="H400" s="4" t="str">
        <f>IFERROR(INDEX(样本到样信息汇总统计!H$2:H$500,MATCH(399,样本到样信息汇总统计!$Z$2:$Z$500,0)),"")</f>
        <v/>
      </c>
      <c r="I400" s="4" t="str">
        <f>IFERROR(INDEX(样本到样信息汇总统计!I$2:I$500,MATCH(399,样本到样信息汇总统计!$Z$2:$Z$500,0)),"")</f>
        <v/>
      </c>
      <c r="J400" s="4" t="str">
        <f>IFERROR(INDEX(样本到样信息汇总统计!J$2:J$500,MATCH(399,样本到样信息汇总统计!$Z$2:$Z$500,0)),"")</f>
        <v/>
      </c>
      <c r="K400" s="4" t="str">
        <f>IFERROR(INDEX(样本到样信息汇总统计!K$2:K$500,MATCH(399,样本到样信息汇总统计!$Z$2:$Z$500,0)),"")</f>
        <v/>
      </c>
      <c r="L400" s="4" t="str">
        <f>IFERROR(INDEX(样本到样信息汇总统计!L$2:L$500,MATCH(399,样本到样信息汇总统计!$Z$2:$Z$500,0)),"")</f>
        <v/>
      </c>
      <c r="M400" s="4" t="str">
        <f>IFERROR(INDEX(样本到样信息汇总统计!M$2:M$500,MATCH(399,样本到样信息汇总统计!$Z$2:$Z$500,0)),"")</f>
        <v/>
      </c>
      <c r="N400" s="4" t="str">
        <f>IFERROR(INDEX(样本到样信息汇总统计!N$2:N$500,MATCH(399,样本到样信息汇总统计!$Z$2:$Z$500,0)),"")</f>
        <v/>
      </c>
      <c r="O400" s="4" t="str">
        <f>IFERROR(INDEX(样本到样信息汇总统计!O$2:O$500,MATCH(399,样本到样信息汇总统计!$Z$2:$Z$500,0)),"")</f>
        <v/>
      </c>
      <c r="P400" s="4" t="str">
        <f>IFERROR(INDEX(样本到样信息汇总统计!P$2:P$500,MATCH(399,样本到样信息汇总统计!$Z$2:$Z$500,0)),"")</f>
        <v/>
      </c>
      <c r="Q400" s="4" t="str">
        <f>IFERROR(INDEX(样本到样信息汇总统计!Q$2:Q$500,MATCH(399,样本到样信息汇总统计!$Z$2:$Z$500,0)),"")</f>
        <v/>
      </c>
      <c r="R400" s="4" t="str">
        <f>IFERROR(INDEX(样本到样信息汇总统计!R$2:R$500,MATCH(399,样本到样信息汇总统计!$Z$2:$Z$500,0)),"")</f>
        <v/>
      </c>
      <c r="S400" s="4" t="str">
        <f>IFERROR(INDEX(样本到样信息汇总统计!S$2:S$500,MATCH(399,样本到样信息汇总统计!$Z$2:$Z$500,0)),"")</f>
        <v/>
      </c>
      <c r="T400" s="4" t="str">
        <f>IFERROR(INDEX(样本到样信息汇总统计!T$2:T$500,MATCH(399,样本到样信息汇总统计!$Z$2:$Z$500,0)),"")</f>
        <v/>
      </c>
      <c r="U400" s="4" t="str">
        <f>IFERROR(INDEX(样本到样信息汇总统计!U$2:U$500,MATCH(399,样本到样信息汇总统计!$Z$2:$Z$500,0)),"")</f>
        <v/>
      </c>
      <c r="V400" s="4" t="str">
        <f>IFERROR(INDEX(样本到样信息汇总统计!V$2:V$500,MATCH(399,样本到样信息汇总统计!$Z$2:$Z$500,0)),"")</f>
        <v/>
      </c>
      <c r="W400" s="4" t="str">
        <f>IFERROR(INDEX(样本到样信息汇总统计!W$2:W$500,MATCH(399,样本到样信息汇总统计!$Z$2:$Z$500,0)),"")</f>
        <v/>
      </c>
    </row>
    <row r="401" ht="14.5" spans="1:23">
      <c r="A401" s="8" t="str">
        <f>IFERROR(INDEX(样本到样信息汇总统计!A$2:A$500,MATCH(400,样本到样信息汇总统计!$Z$2:$Z$500,0)),"")</f>
        <v/>
      </c>
      <c r="B401" s="8" t="str">
        <f>IFERROR(INDEX(样本到样信息汇总统计!B$2:B$500,MATCH(400,样本到样信息汇总统计!$Z$2:$Z$500,0)),"")</f>
        <v/>
      </c>
      <c r="C401" s="8" t="str">
        <f>IFERROR(INDEX(样本到样信息汇总统计!C$2:C$500,MATCH(400,样本到样信息汇总统计!$Z$2:$Z$500,0)),"")</f>
        <v/>
      </c>
      <c r="D401" s="8" t="str">
        <f>IFERROR(INDEX(样本到样信息汇总统计!D$2:D$500,MATCH(400,样本到样信息汇总统计!$Z$2:$Z$500,0)),"")</f>
        <v/>
      </c>
      <c r="E401" s="8" t="str">
        <f>IFERROR(INDEX(样本到样信息汇总统计!E$2:E$500,MATCH(400,样本到样信息汇总统计!$Z$2:$Z$500,0)),"")</f>
        <v/>
      </c>
      <c r="F401" s="8" t="str">
        <f>IFERROR(INDEX(样本到样信息汇总统计!F$2:F$500,MATCH(400,样本到样信息汇总统计!$Z$2:$Z$500,0)),"")</f>
        <v/>
      </c>
      <c r="G401" s="8" t="str">
        <f>IFERROR(INDEX(样本到样信息汇总统计!G$2:G$500,MATCH(400,样本到样信息汇总统计!$Z$2:$Z$500,0)),"")</f>
        <v/>
      </c>
      <c r="H401" s="8" t="str">
        <f>IFERROR(INDEX(样本到样信息汇总统计!H$2:H$500,MATCH(400,样本到样信息汇总统计!$Z$2:$Z$500,0)),"")</f>
        <v/>
      </c>
      <c r="I401" s="8" t="str">
        <f>IFERROR(INDEX(样本到样信息汇总统计!I$2:I$500,MATCH(400,样本到样信息汇总统计!$Z$2:$Z$500,0)),"")</f>
        <v/>
      </c>
      <c r="J401" s="8" t="str">
        <f>IFERROR(INDEX(样本到样信息汇总统计!J$2:J$500,MATCH(400,样本到样信息汇总统计!$Z$2:$Z$500,0)),"")</f>
        <v/>
      </c>
      <c r="K401" s="8" t="str">
        <f>IFERROR(INDEX(样本到样信息汇总统计!K$2:K$500,MATCH(400,样本到样信息汇总统计!$Z$2:$Z$500,0)),"")</f>
        <v/>
      </c>
      <c r="L401" s="8" t="str">
        <f>IFERROR(INDEX(样本到样信息汇总统计!L$2:L$500,MATCH(400,样本到样信息汇总统计!$Z$2:$Z$500,0)),"")</f>
        <v/>
      </c>
      <c r="M401" s="8" t="str">
        <f>IFERROR(INDEX(样本到样信息汇总统计!M$2:M$500,MATCH(400,样本到样信息汇总统计!$Z$2:$Z$500,0)),"")</f>
        <v/>
      </c>
      <c r="N401" s="8" t="str">
        <f>IFERROR(INDEX(样本到样信息汇总统计!N$2:N$500,MATCH(400,样本到样信息汇总统计!$Z$2:$Z$500,0)),"")</f>
        <v/>
      </c>
      <c r="O401" s="8" t="str">
        <f>IFERROR(INDEX(样本到样信息汇总统计!O$2:O$500,MATCH(400,样本到样信息汇总统计!$Z$2:$Z$500,0)),"")</f>
        <v/>
      </c>
      <c r="P401" s="8" t="str">
        <f>IFERROR(INDEX(样本到样信息汇总统计!P$2:P$500,MATCH(400,样本到样信息汇总统计!$Z$2:$Z$500,0)),"")</f>
        <v/>
      </c>
      <c r="Q401" s="8" t="str">
        <f>IFERROR(INDEX(样本到样信息汇总统计!Q$2:Q$500,MATCH(400,样本到样信息汇总统计!$Z$2:$Z$500,0)),"")</f>
        <v/>
      </c>
      <c r="R401" s="8" t="str">
        <f>IFERROR(INDEX(样本到样信息汇总统计!R$2:R$500,MATCH(400,样本到样信息汇总统计!$Z$2:$Z$500,0)),"")</f>
        <v/>
      </c>
      <c r="S401" s="8" t="str">
        <f>IFERROR(INDEX(样本到样信息汇总统计!S$2:S$500,MATCH(400,样本到样信息汇总统计!$Z$2:$Z$500,0)),"")</f>
        <v/>
      </c>
      <c r="T401" s="8" t="str">
        <f>IFERROR(INDEX(样本到样信息汇总统计!T$2:T$500,MATCH(400,样本到样信息汇总统计!$Z$2:$Z$500,0)),"")</f>
        <v/>
      </c>
      <c r="U401" s="8" t="str">
        <f>IFERROR(INDEX(样本到样信息汇总统计!U$2:U$500,MATCH(400,样本到样信息汇总统计!$Z$2:$Z$500,0)),"")</f>
        <v/>
      </c>
      <c r="V401" s="8" t="str">
        <f>IFERROR(INDEX(样本到样信息汇总统计!V$2:V$500,MATCH(400,样本到样信息汇总统计!$Z$2:$Z$500,0)),"")</f>
        <v/>
      </c>
      <c r="W401" s="8" t="str">
        <f>IFERROR(INDEX(样本到样信息汇总统计!W$2:W$500,MATCH(400,样本到样信息汇总统计!$Z$2:$Z$500,0)),"")</f>
        <v/>
      </c>
    </row>
    <row r="402" ht="14.5" spans="1:23">
      <c r="A402" s="4" t="str">
        <f>IFERROR(INDEX(样本到样信息汇总统计!A$2:A$500,MATCH(401,样本到样信息汇总统计!$Z$2:$Z$500,0)),"")</f>
        <v/>
      </c>
      <c r="B402" s="4" t="str">
        <f>IFERROR(INDEX(样本到样信息汇总统计!B$2:B$500,MATCH(401,样本到样信息汇总统计!$Z$2:$Z$500,0)),"")</f>
        <v/>
      </c>
      <c r="C402" s="4" t="str">
        <f>IFERROR(INDEX(样本到样信息汇总统计!C$2:C$500,MATCH(401,样本到样信息汇总统计!$Z$2:$Z$500,0)),"")</f>
        <v/>
      </c>
      <c r="D402" s="4" t="str">
        <f>IFERROR(INDEX(样本到样信息汇总统计!D$2:D$500,MATCH(401,样本到样信息汇总统计!$Z$2:$Z$500,0)),"")</f>
        <v/>
      </c>
      <c r="E402" s="4" t="str">
        <f>IFERROR(INDEX(样本到样信息汇总统计!E$2:E$500,MATCH(401,样本到样信息汇总统计!$Z$2:$Z$500,0)),"")</f>
        <v/>
      </c>
      <c r="F402" s="4" t="str">
        <f>IFERROR(INDEX(样本到样信息汇总统计!F$2:F$500,MATCH(401,样本到样信息汇总统计!$Z$2:$Z$500,0)),"")</f>
        <v/>
      </c>
      <c r="G402" s="4" t="str">
        <f>IFERROR(INDEX(样本到样信息汇总统计!G$2:G$500,MATCH(401,样本到样信息汇总统计!$Z$2:$Z$500,0)),"")</f>
        <v/>
      </c>
      <c r="H402" s="4" t="str">
        <f>IFERROR(INDEX(样本到样信息汇总统计!H$2:H$500,MATCH(401,样本到样信息汇总统计!$Z$2:$Z$500,0)),"")</f>
        <v/>
      </c>
      <c r="I402" s="4" t="str">
        <f>IFERROR(INDEX(样本到样信息汇总统计!I$2:I$500,MATCH(401,样本到样信息汇总统计!$Z$2:$Z$500,0)),"")</f>
        <v/>
      </c>
      <c r="J402" s="4" t="str">
        <f>IFERROR(INDEX(样本到样信息汇总统计!J$2:J$500,MATCH(401,样本到样信息汇总统计!$Z$2:$Z$500,0)),"")</f>
        <v/>
      </c>
      <c r="K402" s="4" t="str">
        <f>IFERROR(INDEX(样本到样信息汇总统计!K$2:K$500,MATCH(401,样本到样信息汇总统计!$Z$2:$Z$500,0)),"")</f>
        <v/>
      </c>
      <c r="L402" s="4" t="str">
        <f>IFERROR(INDEX(样本到样信息汇总统计!L$2:L$500,MATCH(401,样本到样信息汇总统计!$Z$2:$Z$500,0)),"")</f>
        <v/>
      </c>
      <c r="M402" s="4" t="str">
        <f>IFERROR(INDEX(样本到样信息汇总统计!M$2:M$500,MATCH(401,样本到样信息汇总统计!$Z$2:$Z$500,0)),"")</f>
        <v/>
      </c>
      <c r="N402" s="4" t="str">
        <f>IFERROR(INDEX(样本到样信息汇总统计!N$2:N$500,MATCH(401,样本到样信息汇总统计!$Z$2:$Z$500,0)),"")</f>
        <v/>
      </c>
      <c r="O402" s="4" t="str">
        <f>IFERROR(INDEX(样本到样信息汇总统计!O$2:O$500,MATCH(401,样本到样信息汇总统计!$Z$2:$Z$500,0)),"")</f>
        <v/>
      </c>
      <c r="P402" s="4" t="str">
        <f>IFERROR(INDEX(样本到样信息汇总统计!P$2:P$500,MATCH(401,样本到样信息汇总统计!$Z$2:$Z$500,0)),"")</f>
        <v/>
      </c>
      <c r="Q402" s="4" t="str">
        <f>IFERROR(INDEX(样本到样信息汇总统计!Q$2:Q$500,MATCH(401,样本到样信息汇总统计!$Z$2:$Z$500,0)),"")</f>
        <v/>
      </c>
      <c r="R402" s="4" t="str">
        <f>IFERROR(INDEX(样本到样信息汇总统计!R$2:R$500,MATCH(401,样本到样信息汇总统计!$Z$2:$Z$500,0)),"")</f>
        <v/>
      </c>
      <c r="S402" s="4" t="str">
        <f>IFERROR(INDEX(样本到样信息汇总统计!S$2:S$500,MATCH(401,样本到样信息汇总统计!$Z$2:$Z$500,0)),"")</f>
        <v/>
      </c>
      <c r="T402" s="4" t="str">
        <f>IFERROR(INDEX(样本到样信息汇总统计!T$2:T$500,MATCH(401,样本到样信息汇总统计!$Z$2:$Z$500,0)),"")</f>
        <v/>
      </c>
      <c r="U402" s="4" t="str">
        <f>IFERROR(INDEX(样本到样信息汇总统计!U$2:U$500,MATCH(401,样本到样信息汇总统计!$Z$2:$Z$500,0)),"")</f>
        <v/>
      </c>
      <c r="V402" s="4" t="str">
        <f>IFERROR(INDEX(样本到样信息汇总统计!V$2:V$500,MATCH(401,样本到样信息汇总统计!$Z$2:$Z$500,0)),"")</f>
        <v/>
      </c>
      <c r="W402" s="4" t="str">
        <f>IFERROR(INDEX(样本到样信息汇总统计!W$2:W$500,MATCH(401,样本到样信息汇总统计!$Z$2:$Z$500,0)),"")</f>
        <v/>
      </c>
    </row>
    <row r="403" ht="14.5" spans="1:23">
      <c r="A403" s="8" t="str">
        <f>IFERROR(INDEX(样本到样信息汇总统计!A$2:A$500,MATCH(402,样本到样信息汇总统计!$Z$2:$Z$500,0)),"")</f>
        <v/>
      </c>
      <c r="B403" s="8" t="str">
        <f>IFERROR(INDEX(样本到样信息汇总统计!B$2:B$500,MATCH(402,样本到样信息汇总统计!$Z$2:$Z$500,0)),"")</f>
        <v/>
      </c>
      <c r="C403" s="8" t="str">
        <f>IFERROR(INDEX(样本到样信息汇总统计!C$2:C$500,MATCH(402,样本到样信息汇总统计!$Z$2:$Z$500,0)),"")</f>
        <v/>
      </c>
      <c r="D403" s="8" t="str">
        <f>IFERROR(INDEX(样本到样信息汇总统计!D$2:D$500,MATCH(402,样本到样信息汇总统计!$Z$2:$Z$500,0)),"")</f>
        <v/>
      </c>
      <c r="E403" s="8" t="str">
        <f>IFERROR(INDEX(样本到样信息汇总统计!E$2:E$500,MATCH(402,样本到样信息汇总统计!$Z$2:$Z$500,0)),"")</f>
        <v/>
      </c>
      <c r="F403" s="8" t="str">
        <f>IFERROR(INDEX(样本到样信息汇总统计!F$2:F$500,MATCH(402,样本到样信息汇总统计!$Z$2:$Z$500,0)),"")</f>
        <v/>
      </c>
      <c r="G403" s="8" t="str">
        <f>IFERROR(INDEX(样本到样信息汇总统计!G$2:G$500,MATCH(402,样本到样信息汇总统计!$Z$2:$Z$500,0)),"")</f>
        <v/>
      </c>
      <c r="H403" s="8" t="str">
        <f>IFERROR(INDEX(样本到样信息汇总统计!H$2:H$500,MATCH(402,样本到样信息汇总统计!$Z$2:$Z$500,0)),"")</f>
        <v/>
      </c>
      <c r="I403" s="8" t="str">
        <f>IFERROR(INDEX(样本到样信息汇总统计!I$2:I$500,MATCH(402,样本到样信息汇总统计!$Z$2:$Z$500,0)),"")</f>
        <v/>
      </c>
      <c r="J403" s="8" t="str">
        <f>IFERROR(INDEX(样本到样信息汇总统计!J$2:J$500,MATCH(402,样本到样信息汇总统计!$Z$2:$Z$500,0)),"")</f>
        <v/>
      </c>
      <c r="K403" s="8" t="str">
        <f>IFERROR(INDEX(样本到样信息汇总统计!K$2:K$500,MATCH(402,样本到样信息汇总统计!$Z$2:$Z$500,0)),"")</f>
        <v/>
      </c>
      <c r="L403" s="8" t="str">
        <f>IFERROR(INDEX(样本到样信息汇总统计!L$2:L$500,MATCH(402,样本到样信息汇总统计!$Z$2:$Z$500,0)),"")</f>
        <v/>
      </c>
      <c r="M403" s="8" t="str">
        <f>IFERROR(INDEX(样本到样信息汇总统计!M$2:M$500,MATCH(402,样本到样信息汇总统计!$Z$2:$Z$500,0)),"")</f>
        <v/>
      </c>
      <c r="N403" s="8" t="str">
        <f>IFERROR(INDEX(样本到样信息汇总统计!N$2:N$500,MATCH(402,样本到样信息汇总统计!$Z$2:$Z$500,0)),"")</f>
        <v/>
      </c>
      <c r="O403" s="8" t="str">
        <f>IFERROR(INDEX(样本到样信息汇总统计!O$2:O$500,MATCH(402,样本到样信息汇总统计!$Z$2:$Z$500,0)),"")</f>
        <v/>
      </c>
      <c r="P403" s="8" t="str">
        <f>IFERROR(INDEX(样本到样信息汇总统计!P$2:P$500,MATCH(402,样本到样信息汇总统计!$Z$2:$Z$500,0)),"")</f>
        <v/>
      </c>
      <c r="Q403" s="8" t="str">
        <f>IFERROR(INDEX(样本到样信息汇总统计!Q$2:Q$500,MATCH(402,样本到样信息汇总统计!$Z$2:$Z$500,0)),"")</f>
        <v/>
      </c>
      <c r="R403" s="8" t="str">
        <f>IFERROR(INDEX(样本到样信息汇总统计!R$2:R$500,MATCH(402,样本到样信息汇总统计!$Z$2:$Z$500,0)),"")</f>
        <v/>
      </c>
      <c r="S403" s="8" t="str">
        <f>IFERROR(INDEX(样本到样信息汇总统计!S$2:S$500,MATCH(402,样本到样信息汇总统计!$Z$2:$Z$500,0)),"")</f>
        <v/>
      </c>
      <c r="T403" s="8" t="str">
        <f>IFERROR(INDEX(样本到样信息汇总统计!T$2:T$500,MATCH(402,样本到样信息汇总统计!$Z$2:$Z$500,0)),"")</f>
        <v/>
      </c>
      <c r="U403" s="8" t="str">
        <f>IFERROR(INDEX(样本到样信息汇总统计!U$2:U$500,MATCH(402,样本到样信息汇总统计!$Z$2:$Z$500,0)),"")</f>
        <v/>
      </c>
      <c r="V403" s="8" t="str">
        <f>IFERROR(INDEX(样本到样信息汇总统计!V$2:V$500,MATCH(402,样本到样信息汇总统计!$Z$2:$Z$500,0)),"")</f>
        <v/>
      </c>
      <c r="W403" s="8" t="str">
        <f>IFERROR(INDEX(样本到样信息汇总统计!W$2:W$500,MATCH(402,样本到样信息汇总统计!$Z$2:$Z$500,0)),"")</f>
        <v/>
      </c>
    </row>
    <row r="404" ht="14.5" spans="1:23">
      <c r="A404" s="4" t="str">
        <f>IFERROR(INDEX(样本到样信息汇总统计!A$2:A$500,MATCH(403,样本到样信息汇总统计!$Z$2:$Z$500,0)),"")</f>
        <v/>
      </c>
      <c r="B404" s="4" t="str">
        <f>IFERROR(INDEX(样本到样信息汇总统计!B$2:B$500,MATCH(403,样本到样信息汇总统计!$Z$2:$Z$500,0)),"")</f>
        <v/>
      </c>
      <c r="C404" s="4" t="str">
        <f>IFERROR(INDEX(样本到样信息汇总统计!C$2:C$500,MATCH(403,样本到样信息汇总统计!$Z$2:$Z$500,0)),"")</f>
        <v/>
      </c>
      <c r="D404" s="4" t="str">
        <f>IFERROR(INDEX(样本到样信息汇总统计!D$2:D$500,MATCH(403,样本到样信息汇总统计!$Z$2:$Z$500,0)),"")</f>
        <v/>
      </c>
      <c r="E404" s="4" t="str">
        <f>IFERROR(INDEX(样本到样信息汇总统计!E$2:E$500,MATCH(403,样本到样信息汇总统计!$Z$2:$Z$500,0)),"")</f>
        <v/>
      </c>
      <c r="F404" s="4" t="str">
        <f>IFERROR(INDEX(样本到样信息汇总统计!F$2:F$500,MATCH(403,样本到样信息汇总统计!$Z$2:$Z$500,0)),"")</f>
        <v/>
      </c>
      <c r="G404" s="4" t="str">
        <f>IFERROR(INDEX(样本到样信息汇总统计!G$2:G$500,MATCH(403,样本到样信息汇总统计!$Z$2:$Z$500,0)),"")</f>
        <v/>
      </c>
      <c r="H404" s="4" t="str">
        <f>IFERROR(INDEX(样本到样信息汇总统计!H$2:H$500,MATCH(403,样本到样信息汇总统计!$Z$2:$Z$500,0)),"")</f>
        <v/>
      </c>
      <c r="I404" s="4" t="str">
        <f>IFERROR(INDEX(样本到样信息汇总统计!I$2:I$500,MATCH(403,样本到样信息汇总统计!$Z$2:$Z$500,0)),"")</f>
        <v/>
      </c>
      <c r="J404" s="4" t="str">
        <f>IFERROR(INDEX(样本到样信息汇总统计!J$2:J$500,MATCH(403,样本到样信息汇总统计!$Z$2:$Z$500,0)),"")</f>
        <v/>
      </c>
      <c r="K404" s="4" t="str">
        <f>IFERROR(INDEX(样本到样信息汇总统计!K$2:K$500,MATCH(403,样本到样信息汇总统计!$Z$2:$Z$500,0)),"")</f>
        <v/>
      </c>
      <c r="L404" s="4" t="str">
        <f>IFERROR(INDEX(样本到样信息汇总统计!L$2:L$500,MATCH(403,样本到样信息汇总统计!$Z$2:$Z$500,0)),"")</f>
        <v/>
      </c>
      <c r="M404" s="4" t="str">
        <f>IFERROR(INDEX(样本到样信息汇总统计!M$2:M$500,MATCH(403,样本到样信息汇总统计!$Z$2:$Z$500,0)),"")</f>
        <v/>
      </c>
      <c r="N404" s="4" t="str">
        <f>IFERROR(INDEX(样本到样信息汇总统计!N$2:N$500,MATCH(403,样本到样信息汇总统计!$Z$2:$Z$500,0)),"")</f>
        <v/>
      </c>
      <c r="O404" s="4" t="str">
        <f>IFERROR(INDEX(样本到样信息汇总统计!O$2:O$500,MATCH(403,样本到样信息汇总统计!$Z$2:$Z$500,0)),"")</f>
        <v/>
      </c>
      <c r="P404" s="4" t="str">
        <f>IFERROR(INDEX(样本到样信息汇总统计!P$2:P$500,MATCH(403,样本到样信息汇总统计!$Z$2:$Z$500,0)),"")</f>
        <v/>
      </c>
      <c r="Q404" s="4" t="str">
        <f>IFERROR(INDEX(样本到样信息汇总统计!Q$2:Q$500,MATCH(403,样本到样信息汇总统计!$Z$2:$Z$500,0)),"")</f>
        <v/>
      </c>
      <c r="R404" s="4" t="str">
        <f>IFERROR(INDEX(样本到样信息汇总统计!R$2:R$500,MATCH(403,样本到样信息汇总统计!$Z$2:$Z$500,0)),"")</f>
        <v/>
      </c>
      <c r="S404" s="4" t="str">
        <f>IFERROR(INDEX(样本到样信息汇总统计!S$2:S$500,MATCH(403,样本到样信息汇总统计!$Z$2:$Z$500,0)),"")</f>
        <v/>
      </c>
      <c r="T404" s="4" t="str">
        <f>IFERROR(INDEX(样本到样信息汇总统计!T$2:T$500,MATCH(403,样本到样信息汇总统计!$Z$2:$Z$500,0)),"")</f>
        <v/>
      </c>
      <c r="U404" s="4" t="str">
        <f>IFERROR(INDEX(样本到样信息汇总统计!U$2:U$500,MATCH(403,样本到样信息汇总统计!$Z$2:$Z$500,0)),"")</f>
        <v/>
      </c>
      <c r="V404" s="4" t="str">
        <f>IFERROR(INDEX(样本到样信息汇总统计!V$2:V$500,MATCH(403,样本到样信息汇总统计!$Z$2:$Z$500,0)),"")</f>
        <v/>
      </c>
      <c r="W404" s="4" t="str">
        <f>IFERROR(INDEX(样本到样信息汇总统计!W$2:W$500,MATCH(403,样本到样信息汇总统计!$Z$2:$Z$500,0)),"")</f>
        <v/>
      </c>
    </row>
    <row r="405" ht="14.5" spans="1:23">
      <c r="A405" s="8" t="str">
        <f>IFERROR(INDEX(样本到样信息汇总统计!A$2:A$500,MATCH(404,样本到样信息汇总统计!$Z$2:$Z$500,0)),"")</f>
        <v/>
      </c>
      <c r="B405" s="8" t="str">
        <f>IFERROR(INDEX(样本到样信息汇总统计!B$2:B$500,MATCH(404,样本到样信息汇总统计!$Z$2:$Z$500,0)),"")</f>
        <v/>
      </c>
      <c r="C405" s="8" t="str">
        <f>IFERROR(INDEX(样本到样信息汇总统计!C$2:C$500,MATCH(404,样本到样信息汇总统计!$Z$2:$Z$500,0)),"")</f>
        <v/>
      </c>
      <c r="D405" s="8" t="str">
        <f>IFERROR(INDEX(样本到样信息汇总统计!D$2:D$500,MATCH(404,样本到样信息汇总统计!$Z$2:$Z$500,0)),"")</f>
        <v/>
      </c>
      <c r="E405" s="8" t="str">
        <f>IFERROR(INDEX(样本到样信息汇总统计!E$2:E$500,MATCH(404,样本到样信息汇总统计!$Z$2:$Z$500,0)),"")</f>
        <v/>
      </c>
      <c r="F405" s="8" t="str">
        <f>IFERROR(INDEX(样本到样信息汇总统计!F$2:F$500,MATCH(404,样本到样信息汇总统计!$Z$2:$Z$500,0)),"")</f>
        <v/>
      </c>
      <c r="G405" s="8" t="str">
        <f>IFERROR(INDEX(样本到样信息汇总统计!G$2:G$500,MATCH(404,样本到样信息汇总统计!$Z$2:$Z$500,0)),"")</f>
        <v/>
      </c>
      <c r="H405" s="8" t="str">
        <f>IFERROR(INDEX(样本到样信息汇总统计!H$2:H$500,MATCH(404,样本到样信息汇总统计!$Z$2:$Z$500,0)),"")</f>
        <v/>
      </c>
      <c r="I405" s="8" t="str">
        <f>IFERROR(INDEX(样本到样信息汇总统计!I$2:I$500,MATCH(404,样本到样信息汇总统计!$Z$2:$Z$500,0)),"")</f>
        <v/>
      </c>
      <c r="J405" s="8" t="str">
        <f>IFERROR(INDEX(样本到样信息汇总统计!J$2:J$500,MATCH(404,样本到样信息汇总统计!$Z$2:$Z$500,0)),"")</f>
        <v/>
      </c>
      <c r="K405" s="8" t="str">
        <f>IFERROR(INDEX(样本到样信息汇总统计!K$2:K$500,MATCH(404,样本到样信息汇总统计!$Z$2:$Z$500,0)),"")</f>
        <v/>
      </c>
      <c r="L405" s="8" t="str">
        <f>IFERROR(INDEX(样本到样信息汇总统计!L$2:L$500,MATCH(404,样本到样信息汇总统计!$Z$2:$Z$500,0)),"")</f>
        <v/>
      </c>
      <c r="M405" s="8" t="str">
        <f>IFERROR(INDEX(样本到样信息汇总统计!M$2:M$500,MATCH(404,样本到样信息汇总统计!$Z$2:$Z$500,0)),"")</f>
        <v/>
      </c>
      <c r="N405" s="8" t="str">
        <f>IFERROR(INDEX(样本到样信息汇总统计!N$2:N$500,MATCH(404,样本到样信息汇总统计!$Z$2:$Z$500,0)),"")</f>
        <v/>
      </c>
      <c r="O405" s="8" t="str">
        <f>IFERROR(INDEX(样本到样信息汇总统计!O$2:O$500,MATCH(404,样本到样信息汇总统计!$Z$2:$Z$500,0)),"")</f>
        <v/>
      </c>
      <c r="P405" s="8" t="str">
        <f>IFERROR(INDEX(样本到样信息汇总统计!P$2:P$500,MATCH(404,样本到样信息汇总统计!$Z$2:$Z$500,0)),"")</f>
        <v/>
      </c>
      <c r="Q405" s="8" t="str">
        <f>IFERROR(INDEX(样本到样信息汇总统计!Q$2:Q$500,MATCH(404,样本到样信息汇总统计!$Z$2:$Z$500,0)),"")</f>
        <v/>
      </c>
      <c r="R405" s="8" t="str">
        <f>IFERROR(INDEX(样本到样信息汇总统计!R$2:R$500,MATCH(404,样本到样信息汇总统计!$Z$2:$Z$500,0)),"")</f>
        <v/>
      </c>
      <c r="S405" s="8" t="str">
        <f>IFERROR(INDEX(样本到样信息汇总统计!S$2:S$500,MATCH(404,样本到样信息汇总统计!$Z$2:$Z$500,0)),"")</f>
        <v/>
      </c>
      <c r="T405" s="8" t="str">
        <f>IFERROR(INDEX(样本到样信息汇总统计!T$2:T$500,MATCH(404,样本到样信息汇总统计!$Z$2:$Z$500,0)),"")</f>
        <v/>
      </c>
      <c r="U405" s="8" t="str">
        <f>IFERROR(INDEX(样本到样信息汇总统计!U$2:U$500,MATCH(404,样本到样信息汇总统计!$Z$2:$Z$500,0)),"")</f>
        <v/>
      </c>
      <c r="V405" s="8" t="str">
        <f>IFERROR(INDEX(样本到样信息汇总统计!V$2:V$500,MATCH(404,样本到样信息汇总统计!$Z$2:$Z$500,0)),"")</f>
        <v/>
      </c>
      <c r="W405" s="8" t="str">
        <f>IFERROR(INDEX(样本到样信息汇总统计!W$2:W$500,MATCH(404,样本到样信息汇总统计!$Z$2:$Z$500,0)),"")</f>
        <v/>
      </c>
    </row>
    <row r="406" ht="14.5" spans="1:23">
      <c r="A406" s="4" t="str">
        <f>IFERROR(INDEX(样本到样信息汇总统计!A$2:A$500,MATCH(405,样本到样信息汇总统计!$Z$2:$Z$500,0)),"")</f>
        <v/>
      </c>
      <c r="B406" s="4" t="str">
        <f>IFERROR(INDEX(样本到样信息汇总统计!B$2:B$500,MATCH(405,样本到样信息汇总统计!$Z$2:$Z$500,0)),"")</f>
        <v/>
      </c>
      <c r="C406" s="4" t="str">
        <f>IFERROR(INDEX(样本到样信息汇总统计!C$2:C$500,MATCH(405,样本到样信息汇总统计!$Z$2:$Z$500,0)),"")</f>
        <v/>
      </c>
      <c r="D406" s="4" t="str">
        <f>IFERROR(INDEX(样本到样信息汇总统计!D$2:D$500,MATCH(405,样本到样信息汇总统计!$Z$2:$Z$500,0)),"")</f>
        <v/>
      </c>
      <c r="E406" s="4" t="str">
        <f>IFERROR(INDEX(样本到样信息汇总统计!E$2:E$500,MATCH(405,样本到样信息汇总统计!$Z$2:$Z$500,0)),"")</f>
        <v/>
      </c>
      <c r="F406" s="4" t="str">
        <f>IFERROR(INDEX(样本到样信息汇总统计!F$2:F$500,MATCH(405,样本到样信息汇总统计!$Z$2:$Z$500,0)),"")</f>
        <v/>
      </c>
      <c r="G406" s="4" t="str">
        <f>IFERROR(INDEX(样本到样信息汇总统计!G$2:G$500,MATCH(405,样本到样信息汇总统计!$Z$2:$Z$500,0)),"")</f>
        <v/>
      </c>
      <c r="H406" s="4" t="str">
        <f>IFERROR(INDEX(样本到样信息汇总统计!H$2:H$500,MATCH(405,样本到样信息汇总统计!$Z$2:$Z$500,0)),"")</f>
        <v/>
      </c>
      <c r="I406" s="4" t="str">
        <f>IFERROR(INDEX(样本到样信息汇总统计!I$2:I$500,MATCH(405,样本到样信息汇总统计!$Z$2:$Z$500,0)),"")</f>
        <v/>
      </c>
      <c r="J406" s="4" t="str">
        <f>IFERROR(INDEX(样本到样信息汇总统计!J$2:J$500,MATCH(405,样本到样信息汇总统计!$Z$2:$Z$500,0)),"")</f>
        <v/>
      </c>
      <c r="K406" s="4" t="str">
        <f>IFERROR(INDEX(样本到样信息汇总统计!K$2:K$500,MATCH(405,样本到样信息汇总统计!$Z$2:$Z$500,0)),"")</f>
        <v/>
      </c>
      <c r="L406" s="4" t="str">
        <f>IFERROR(INDEX(样本到样信息汇总统计!L$2:L$500,MATCH(405,样本到样信息汇总统计!$Z$2:$Z$500,0)),"")</f>
        <v/>
      </c>
      <c r="M406" s="4" t="str">
        <f>IFERROR(INDEX(样本到样信息汇总统计!M$2:M$500,MATCH(405,样本到样信息汇总统计!$Z$2:$Z$500,0)),"")</f>
        <v/>
      </c>
      <c r="N406" s="4" t="str">
        <f>IFERROR(INDEX(样本到样信息汇总统计!N$2:N$500,MATCH(405,样本到样信息汇总统计!$Z$2:$Z$500,0)),"")</f>
        <v/>
      </c>
      <c r="O406" s="4" t="str">
        <f>IFERROR(INDEX(样本到样信息汇总统计!O$2:O$500,MATCH(405,样本到样信息汇总统计!$Z$2:$Z$500,0)),"")</f>
        <v/>
      </c>
      <c r="P406" s="4" t="str">
        <f>IFERROR(INDEX(样本到样信息汇总统计!P$2:P$500,MATCH(405,样本到样信息汇总统计!$Z$2:$Z$500,0)),"")</f>
        <v/>
      </c>
      <c r="Q406" s="4" t="str">
        <f>IFERROR(INDEX(样本到样信息汇总统计!Q$2:Q$500,MATCH(405,样本到样信息汇总统计!$Z$2:$Z$500,0)),"")</f>
        <v/>
      </c>
      <c r="R406" s="4" t="str">
        <f>IFERROR(INDEX(样本到样信息汇总统计!R$2:R$500,MATCH(405,样本到样信息汇总统计!$Z$2:$Z$500,0)),"")</f>
        <v/>
      </c>
      <c r="S406" s="4" t="str">
        <f>IFERROR(INDEX(样本到样信息汇总统计!S$2:S$500,MATCH(405,样本到样信息汇总统计!$Z$2:$Z$500,0)),"")</f>
        <v/>
      </c>
      <c r="T406" s="4" t="str">
        <f>IFERROR(INDEX(样本到样信息汇总统计!T$2:T$500,MATCH(405,样本到样信息汇总统计!$Z$2:$Z$500,0)),"")</f>
        <v/>
      </c>
      <c r="U406" s="4" t="str">
        <f>IFERROR(INDEX(样本到样信息汇总统计!U$2:U$500,MATCH(405,样本到样信息汇总统计!$Z$2:$Z$500,0)),"")</f>
        <v/>
      </c>
      <c r="V406" s="4" t="str">
        <f>IFERROR(INDEX(样本到样信息汇总统计!V$2:V$500,MATCH(405,样本到样信息汇总统计!$Z$2:$Z$500,0)),"")</f>
        <v/>
      </c>
      <c r="W406" s="4" t="str">
        <f>IFERROR(INDEX(样本到样信息汇总统计!W$2:W$500,MATCH(405,样本到样信息汇总统计!$Z$2:$Z$500,0)),"")</f>
        <v/>
      </c>
    </row>
    <row r="407" ht="14.5" spans="1:23">
      <c r="A407" s="8" t="str">
        <f>IFERROR(INDEX(样本到样信息汇总统计!A$2:A$500,MATCH(406,样本到样信息汇总统计!$Z$2:$Z$500,0)),"")</f>
        <v/>
      </c>
      <c r="B407" s="8" t="str">
        <f>IFERROR(INDEX(样本到样信息汇总统计!B$2:B$500,MATCH(406,样本到样信息汇总统计!$Z$2:$Z$500,0)),"")</f>
        <v/>
      </c>
      <c r="C407" s="8" t="str">
        <f>IFERROR(INDEX(样本到样信息汇总统计!C$2:C$500,MATCH(406,样本到样信息汇总统计!$Z$2:$Z$500,0)),"")</f>
        <v/>
      </c>
      <c r="D407" s="8" t="str">
        <f>IFERROR(INDEX(样本到样信息汇总统计!D$2:D$500,MATCH(406,样本到样信息汇总统计!$Z$2:$Z$500,0)),"")</f>
        <v/>
      </c>
      <c r="E407" s="8" t="str">
        <f>IFERROR(INDEX(样本到样信息汇总统计!E$2:E$500,MATCH(406,样本到样信息汇总统计!$Z$2:$Z$500,0)),"")</f>
        <v/>
      </c>
      <c r="F407" s="8" t="str">
        <f>IFERROR(INDEX(样本到样信息汇总统计!F$2:F$500,MATCH(406,样本到样信息汇总统计!$Z$2:$Z$500,0)),"")</f>
        <v/>
      </c>
      <c r="G407" s="8" t="str">
        <f>IFERROR(INDEX(样本到样信息汇总统计!G$2:G$500,MATCH(406,样本到样信息汇总统计!$Z$2:$Z$500,0)),"")</f>
        <v/>
      </c>
      <c r="H407" s="8" t="str">
        <f>IFERROR(INDEX(样本到样信息汇总统计!H$2:H$500,MATCH(406,样本到样信息汇总统计!$Z$2:$Z$500,0)),"")</f>
        <v/>
      </c>
      <c r="I407" s="8" t="str">
        <f>IFERROR(INDEX(样本到样信息汇总统计!I$2:I$500,MATCH(406,样本到样信息汇总统计!$Z$2:$Z$500,0)),"")</f>
        <v/>
      </c>
      <c r="J407" s="8" t="str">
        <f>IFERROR(INDEX(样本到样信息汇总统计!J$2:J$500,MATCH(406,样本到样信息汇总统计!$Z$2:$Z$500,0)),"")</f>
        <v/>
      </c>
      <c r="K407" s="8" t="str">
        <f>IFERROR(INDEX(样本到样信息汇总统计!K$2:K$500,MATCH(406,样本到样信息汇总统计!$Z$2:$Z$500,0)),"")</f>
        <v/>
      </c>
      <c r="L407" s="8" t="str">
        <f>IFERROR(INDEX(样本到样信息汇总统计!L$2:L$500,MATCH(406,样本到样信息汇总统计!$Z$2:$Z$500,0)),"")</f>
        <v/>
      </c>
      <c r="M407" s="8" t="str">
        <f>IFERROR(INDEX(样本到样信息汇总统计!M$2:M$500,MATCH(406,样本到样信息汇总统计!$Z$2:$Z$500,0)),"")</f>
        <v/>
      </c>
      <c r="N407" s="8" t="str">
        <f>IFERROR(INDEX(样本到样信息汇总统计!N$2:N$500,MATCH(406,样本到样信息汇总统计!$Z$2:$Z$500,0)),"")</f>
        <v/>
      </c>
      <c r="O407" s="8" t="str">
        <f>IFERROR(INDEX(样本到样信息汇总统计!O$2:O$500,MATCH(406,样本到样信息汇总统计!$Z$2:$Z$500,0)),"")</f>
        <v/>
      </c>
      <c r="P407" s="8" t="str">
        <f>IFERROR(INDEX(样本到样信息汇总统计!P$2:P$500,MATCH(406,样本到样信息汇总统计!$Z$2:$Z$500,0)),"")</f>
        <v/>
      </c>
      <c r="Q407" s="8" t="str">
        <f>IFERROR(INDEX(样本到样信息汇总统计!Q$2:Q$500,MATCH(406,样本到样信息汇总统计!$Z$2:$Z$500,0)),"")</f>
        <v/>
      </c>
      <c r="R407" s="8" t="str">
        <f>IFERROR(INDEX(样本到样信息汇总统计!R$2:R$500,MATCH(406,样本到样信息汇总统计!$Z$2:$Z$500,0)),"")</f>
        <v/>
      </c>
      <c r="S407" s="8" t="str">
        <f>IFERROR(INDEX(样本到样信息汇总统计!S$2:S$500,MATCH(406,样本到样信息汇总统计!$Z$2:$Z$500,0)),"")</f>
        <v/>
      </c>
      <c r="T407" s="8" t="str">
        <f>IFERROR(INDEX(样本到样信息汇总统计!T$2:T$500,MATCH(406,样本到样信息汇总统计!$Z$2:$Z$500,0)),"")</f>
        <v/>
      </c>
      <c r="U407" s="8" t="str">
        <f>IFERROR(INDEX(样本到样信息汇总统计!U$2:U$500,MATCH(406,样本到样信息汇总统计!$Z$2:$Z$500,0)),"")</f>
        <v/>
      </c>
      <c r="V407" s="8" t="str">
        <f>IFERROR(INDEX(样本到样信息汇总统计!V$2:V$500,MATCH(406,样本到样信息汇总统计!$Z$2:$Z$500,0)),"")</f>
        <v/>
      </c>
      <c r="W407" s="8" t="str">
        <f>IFERROR(INDEX(样本到样信息汇总统计!W$2:W$500,MATCH(406,样本到样信息汇总统计!$Z$2:$Z$500,0)),"")</f>
        <v/>
      </c>
    </row>
    <row r="408" ht="14.5" spans="1:23">
      <c r="A408" s="4" t="str">
        <f>IFERROR(INDEX(样本到样信息汇总统计!A$2:A$500,MATCH(407,样本到样信息汇总统计!$Z$2:$Z$500,0)),"")</f>
        <v/>
      </c>
      <c r="B408" s="4" t="str">
        <f>IFERROR(INDEX(样本到样信息汇总统计!B$2:B$500,MATCH(407,样本到样信息汇总统计!$Z$2:$Z$500,0)),"")</f>
        <v/>
      </c>
      <c r="C408" s="4" t="str">
        <f>IFERROR(INDEX(样本到样信息汇总统计!C$2:C$500,MATCH(407,样本到样信息汇总统计!$Z$2:$Z$500,0)),"")</f>
        <v/>
      </c>
      <c r="D408" s="4" t="str">
        <f>IFERROR(INDEX(样本到样信息汇总统计!D$2:D$500,MATCH(407,样本到样信息汇总统计!$Z$2:$Z$500,0)),"")</f>
        <v/>
      </c>
      <c r="E408" s="4" t="str">
        <f>IFERROR(INDEX(样本到样信息汇总统计!E$2:E$500,MATCH(407,样本到样信息汇总统计!$Z$2:$Z$500,0)),"")</f>
        <v/>
      </c>
      <c r="F408" s="4" t="str">
        <f>IFERROR(INDEX(样本到样信息汇总统计!F$2:F$500,MATCH(407,样本到样信息汇总统计!$Z$2:$Z$500,0)),"")</f>
        <v/>
      </c>
      <c r="G408" s="4" t="str">
        <f>IFERROR(INDEX(样本到样信息汇总统计!G$2:G$500,MATCH(407,样本到样信息汇总统计!$Z$2:$Z$500,0)),"")</f>
        <v/>
      </c>
      <c r="H408" s="4" t="str">
        <f>IFERROR(INDEX(样本到样信息汇总统计!H$2:H$500,MATCH(407,样本到样信息汇总统计!$Z$2:$Z$500,0)),"")</f>
        <v/>
      </c>
      <c r="I408" s="4" t="str">
        <f>IFERROR(INDEX(样本到样信息汇总统计!I$2:I$500,MATCH(407,样本到样信息汇总统计!$Z$2:$Z$500,0)),"")</f>
        <v/>
      </c>
      <c r="J408" s="4" t="str">
        <f>IFERROR(INDEX(样本到样信息汇总统计!J$2:J$500,MATCH(407,样本到样信息汇总统计!$Z$2:$Z$500,0)),"")</f>
        <v/>
      </c>
      <c r="K408" s="4" t="str">
        <f>IFERROR(INDEX(样本到样信息汇总统计!K$2:K$500,MATCH(407,样本到样信息汇总统计!$Z$2:$Z$500,0)),"")</f>
        <v/>
      </c>
      <c r="L408" s="4" t="str">
        <f>IFERROR(INDEX(样本到样信息汇总统计!L$2:L$500,MATCH(407,样本到样信息汇总统计!$Z$2:$Z$500,0)),"")</f>
        <v/>
      </c>
      <c r="M408" s="4" t="str">
        <f>IFERROR(INDEX(样本到样信息汇总统计!M$2:M$500,MATCH(407,样本到样信息汇总统计!$Z$2:$Z$500,0)),"")</f>
        <v/>
      </c>
      <c r="N408" s="4" t="str">
        <f>IFERROR(INDEX(样本到样信息汇总统计!N$2:N$500,MATCH(407,样本到样信息汇总统计!$Z$2:$Z$500,0)),"")</f>
        <v/>
      </c>
      <c r="O408" s="4" t="str">
        <f>IFERROR(INDEX(样本到样信息汇总统计!O$2:O$500,MATCH(407,样本到样信息汇总统计!$Z$2:$Z$500,0)),"")</f>
        <v/>
      </c>
      <c r="P408" s="4" t="str">
        <f>IFERROR(INDEX(样本到样信息汇总统计!P$2:P$500,MATCH(407,样本到样信息汇总统计!$Z$2:$Z$500,0)),"")</f>
        <v/>
      </c>
      <c r="Q408" s="4" t="str">
        <f>IFERROR(INDEX(样本到样信息汇总统计!Q$2:Q$500,MATCH(407,样本到样信息汇总统计!$Z$2:$Z$500,0)),"")</f>
        <v/>
      </c>
      <c r="R408" s="4" t="str">
        <f>IFERROR(INDEX(样本到样信息汇总统计!R$2:R$500,MATCH(407,样本到样信息汇总统计!$Z$2:$Z$500,0)),"")</f>
        <v/>
      </c>
      <c r="S408" s="4" t="str">
        <f>IFERROR(INDEX(样本到样信息汇总统计!S$2:S$500,MATCH(407,样本到样信息汇总统计!$Z$2:$Z$500,0)),"")</f>
        <v/>
      </c>
      <c r="T408" s="4" t="str">
        <f>IFERROR(INDEX(样本到样信息汇总统计!T$2:T$500,MATCH(407,样本到样信息汇总统计!$Z$2:$Z$500,0)),"")</f>
        <v/>
      </c>
      <c r="U408" s="4" t="str">
        <f>IFERROR(INDEX(样本到样信息汇总统计!U$2:U$500,MATCH(407,样本到样信息汇总统计!$Z$2:$Z$500,0)),"")</f>
        <v/>
      </c>
      <c r="V408" s="4" t="str">
        <f>IFERROR(INDEX(样本到样信息汇总统计!V$2:V$500,MATCH(407,样本到样信息汇总统计!$Z$2:$Z$500,0)),"")</f>
        <v/>
      </c>
      <c r="W408" s="4" t="str">
        <f>IFERROR(INDEX(样本到样信息汇总统计!W$2:W$500,MATCH(407,样本到样信息汇总统计!$Z$2:$Z$500,0)),"")</f>
        <v/>
      </c>
    </row>
    <row r="409" ht="14.5" spans="1:23">
      <c r="A409" s="8" t="str">
        <f>IFERROR(INDEX(样本到样信息汇总统计!A$2:A$500,MATCH(408,样本到样信息汇总统计!$Z$2:$Z$500,0)),"")</f>
        <v/>
      </c>
      <c r="B409" s="8" t="str">
        <f>IFERROR(INDEX(样本到样信息汇总统计!B$2:B$500,MATCH(408,样本到样信息汇总统计!$Z$2:$Z$500,0)),"")</f>
        <v/>
      </c>
      <c r="C409" s="8" t="str">
        <f>IFERROR(INDEX(样本到样信息汇总统计!C$2:C$500,MATCH(408,样本到样信息汇总统计!$Z$2:$Z$500,0)),"")</f>
        <v/>
      </c>
      <c r="D409" s="8" t="str">
        <f>IFERROR(INDEX(样本到样信息汇总统计!D$2:D$500,MATCH(408,样本到样信息汇总统计!$Z$2:$Z$500,0)),"")</f>
        <v/>
      </c>
      <c r="E409" s="8" t="str">
        <f>IFERROR(INDEX(样本到样信息汇总统计!E$2:E$500,MATCH(408,样本到样信息汇总统计!$Z$2:$Z$500,0)),"")</f>
        <v/>
      </c>
      <c r="F409" s="8" t="str">
        <f>IFERROR(INDEX(样本到样信息汇总统计!F$2:F$500,MATCH(408,样本到样信息汇总统计!$Z$2:$Z$500,0)),"")</f>
        <v/>
      </c>
      <c r="G409" s="8" t="str">
        <f>IFERROR(INDEX(样本到样信息汇总统计!G$2:G$500,MATCH(408,样本到样信息汇总统计!$Z$2:$Z$500,0)),"")</f>
        <v/>
      </c>
      <c r="H409" s="8" t="str">
        <f>IFERROR(INDEX(样本到样信息汇总统计!H$2:H$500,MATCH(408,样本到样信息汇总统计!$Z$2:$Z$500,0)),"")</f>
        <v/>
      </c>
      <c r="I409" s="8" t="str">
        <f>IFERROR(INDEX(样本到样信息汇总统计!I$2:I$500,MATCH(408,样本到样信息汇总统计!$Z$2:$Z$500,0)),"")</f>
        <v/>
      </c>
      <c r="J409" s="8" t="str">
        <f>IFERROR(INDEX(样本到样信息汇总统计!J$2:J$500,MATCH(408,样本到样信息汇总统计!$Z$2:$Z$500,0)),"")</f>
        <v/>
      </c>
      <c r="K409" s="8" t="str">
        <f>IFERROR(INDEX(样本到样信息汇总统计!K$2:K$500,MATCH(408,样本到样信息汇总统计!$Z$2:$Z$500,0)),"")</f>
        <v/>
      </c>
      <c r="L409" s="8" t="str">
        <f>IFERROR(INDEX(样本到样信息汇总统计!L$2:L$500,MATCH(408,样本到样信息汇总统计!$Z$2:$Z$500,0)),"")</f>
        <v/>
      </c>
      <c r="M409" s="8" t="str">
        <f>IFERROR(INDEX(样本到样信息汇总统计!M$2:M$500,MATCH(408,样本到样信息汇总统计!$Z$2:$Z$500,0)),"")</f>
        <v/>
      </c>
      <c r="N409" s="8" t="str">
        <f>IFERROR(INDEX(样本到样信息汇总统计!N$2:N$500,MATCH(408,样本到样信息汇总统计!$Z$2:$Z$500,0)),"")</f>
        <v/>
      </c>
      <c r="O409" s="8" t="str">
        <f>IFERROR(INDEX(样本到样信息汇总统计!O$2:O$500,MATCH(408,样本到样信息汇总统计!$Z$2:$Z$500,0)),"")</f>
        <v/>
      </c>
      <c r="P409" s="8" t="str">
        <f>IFERROR(INDEX(样本到样信息汇总统计!P$2:P$500,MATCH(408,样本到样信息汇总统计!$Z$2:$Z$500,0)),"")</f>
        <v/>
      </c>
      <c r="Q409" s="8" t="str">
        <f>IFERROR(INDEX(样本到样信息汇总统计!Q$2:Q$500,MATCH(408,样本到样信息汇总统计!$Z$2:$Z$500,0)),"")</f>
        <v/>
      </c>
      <c r="R409" s="8" t="str">
        <f>IFERROR(INDEX(样本到样信息汇总统计!R$2:R$500,MATCH(408,样本到样信息汇总统计!$Z$2:$Z$500,0)),"")</f>
        <v/>
      </c>
      <c r="S409" s="8" t="str">
        <f>IFERROR(INDEX(样本到样信息汇总统计!S$2:S$500,MATCH(408,样本到样信息汇总统计!$Z$2:$Z$500,0)),"")</f>
        <v/>
      </c>
      <c r="T409" s="8" t="str">
        <f>IFERROR(INDEX(样本到样信息汇总统计!T$2:T$500,MATCH(408,样本到样信息汇总统计!$Z$2:$Z$500,0)),"")</f>
        <v/>
      </c>
      <c r="U409" s="8" t="str">
        <f>IFERROR(INDEX(样本到样信息汇总统计!U$2:U$500,MATCH(408,样本到样信息汇总统计!$Z$2:$Z$500,0)),"")</f>
        <v/>
      </c>
      <c r="V409" s="8" t="str">
        <f>IFERROR(INDEX(样本到样信息汇总统计!V$2:V$500,MATCH(408,样本到样信息汇总统计!$Z$2:$Z$500,0)),"")</f>
        <v/>
      </c>
      <c r="W409" s="8" t="str">
        <f>IFERROR(INDEX(样本到样信息汇总统计!W$2:W$500,MATCH(408,样本到样信息汇总统计!$Z$2:$Z$500,0)),"")</f>
        <v/>
      </c>
    </row>
    <row r="410" ht="14.5" spans="1:23">
      <c r="A410" s="4" t="str">
        <f>IFERROR(INDEX(样本到样信息汇总统计!A$2:A$500,MATCH(409,样本到样信息汇总统计!$Z$2:$Z$500,0)),"")</f>
        <v/>
      </c>
      <c r="B410" s="4" t="str">
        <f>IFERROR(INDEX(样本到样信息汇总统计!B$2:B$500,MATCH(409,样本到样信息汇总统计!$Z$2:$Z$500,0)),"")</f>
        <v/>
      </c>
      <c r="C410" s="4" t="str">
        <f>IFERROR(INDEX(样本到样信息汇总统计!C$2:C$500,MATCH(409,样本到样信息汇总统计!$Z$2:$Z$500,0)),"")</f>
        <v/>
      </c>
      <c r="D410" s="4" t="str">
        <f>IFERROR(INDEX(样本到样信息汇总统计!D$2:D$500,MATCH(409,样本到样信息汇总统计!$Z$2:$Z$500,0)),"")</f>
        <v/>
      </c>
      <c r="E410" s="4" t="str">
        <f>IFERROR(INDEX(样本到样信息汇总统计!E$2:E$500,MATCH(409,样本到样信息汇总统计!$Z$2:$Z$500,0)),"")</f>
        <v/>
      </c>
      <c r="F410" s="4" t="str">
        <f>IFERROR(INDEX(样本到样信息汇总统计!F$2:F$500,MATCH(409,样本到样信息汇总统计!$Z$2:$Z$500,0)),"")</f>
        <v/>
      </c>
      <c r="G410" s="4" t="str">
        <f>IFERROR(INDEX(样本到样信息汇总统计!G$2:G$500,MATCH(409,样本到样信息汇总统计!$Z$2:$Z$500,0)),"")</f>
        <v/>
      </c>
      <c r="H410" s="4" t="str">
        <f>IFERROR(INDEX(样本到样信息汇总统计!H$2:H$500,MATCH(409,样本到样信息汇总统计!$Z$2:$Z$500,0)),"")</f>
        <v/>
      </c>
      <c r="I410" s="4" t="str">
        <f>IFERROR(INDEX(样本到样信息汇总统计!I$2:I$500,MATCH(409,样本到样信息汇总统计!$Z$2:$Z$500,0)),"")</f>
        <v/>
      </c>
      <c r="J410" s="4" t="str">
        <f>IFERROR(INDEX(样本到样信息汇总统计!J$2:J$500,MATCH(409,样本到样信息汇总统计!$Z$2:$Z$500,0)),"")</f>
        <v/>
      </c>
      <c r="K410" s="4" t="str">
        <f>IFERROR(INDEX(样本到样信息汇总统计!K$2:K$500,MATCH(409,样本到样信息汇总统计!$Z$2:$Z$500,0)),"")</f>
        <v/>
      </c>
      <c r="L410" s="4" t="str">
        <f>IFERROR(INDEX(样本到样信息汇总统计!L$2:L$500,MATCH(409,样本到样信息汇总统计!$Z$2:$Z$500,0)),"")</f>
        <v/>
      </c>
      <c r="M410" s="4" t="str">
        <f>IFERROR(INDEX(样本到样信息汇总统计!M$2:M$500,MATCH(409,样本到样信息汇总统计!$Z$2:$Z$500,0)),"")</f>
        <v/>
      </c>
      <c r="N410" s="4" t="str">
        <f>IFERROR(INDEX(样本到样信息汇总统计!N$2:N$500,MATCH(409,样本到样信息汇总统计!$Z$2:$Z$500,0)),"")</f>
        <v/>
      </c>
      <c r="O410" s="4" t="str">
        <f>IFERROR(INDEX(样本到样信息汇总统计!O$2:O$500,MATCH(409,样本到样信息汇总统计!$Z$2:$Z$500,0)),"")</f>
        <v/>
      </c>
      <c r="P410" s="4" t="str">
        <f>IFERROR(INDEX(样本到样信息汇总统计!P$2:P$500,MATCH(409,样本到样信息汇总统计!$Z$2:$Z$500,0)),"")</f>
        <v/>
      </c>
      <c r="Q410" s="4" t="str">
        <f>IFERROR(INDEX(样本到样信息汇总统计!Q$2:Q$500,MATCH(409,样本到样信息汇总统计!$Z$2:$Z$500,0)),"")</f>
        <v/>
      </c>
      <c r="R410" s="4" t="str">
        <f>IFERROR(INDEX(样本到样信息汇总统计!R$2:R$500,MATCH(409,样本到样信息汇总统计!$Z$2:$Z$500,0)),"")</f>
        <v/>
      </c>
      <c r="S410" s="4" t="str">
        <f>IFERROR(INDEX(样本到样信息汇总统计!S$2:S$500,MATCH(409,样本到样信息汇总统计!$Z$2:$Z$500,0)),"")</f>
        <v/>
      </c>
      <c r="T410" s="4" t="str">
        <f>IFERROR(INDEX(样本到样信息汇总统计!T$2:T$500,MATCH(409,样本到样信息汇总统计!$Z$2:$Z$500,0)),"")</f>
        <v/>
      </c>
      <c r="U410" s="4" t="str">
        <f>IFERROR(INDEX(样本到样信息汇总统计!U$2:U$500,MATCH(409,样本到样信息汇总统计!$Z$2:$Z$500,0)),"")</f>
        <v/>
      </c>
      <c r="V410" s="4" t="str">
        <f>IFERROR(INDEX(样本到样信息汇总统计!V$2:V$500,MATCH(409,样本到样信息汇总统计!$Z$2:$Z$500,0)),"")</f>
        <v/>
      </c>
      <c r="W410" s="4" t="str">
        <f>IFERROR(INDEX(样本到样信息汇总统计!W$2:W$500,MATCH(409,样本到样信息汇总统计!$Z$2:$Z$500,0)),"")</f>
        <v/>
      </c>
    </row>
    <row r="411" ht="14.5" spans="1:23">
      <c r="A411" s="8" t="str">
        <f>IFERROR(INDEX(样本到样信息汇总统计!A$2:A$500,MATCH(410,样本到样信息汇总统计!$Z$2:$Z$500,0)),"")</f>
        <v/>
      </c>
      <c r="B411" s="8" t="str">
        <f>IFERROR(INDEX(样本到样信息汇总统计!B$2:B$500,MATCH(410,样本到样信息汇总统计!$Z$2:$Z$500,0)),"")</f>
        <v/>
      </c>
      <c r="C411" s="8" t="str">
        <f>IFERROR(INDEX(样本到样信息汇总统计!C$2:C$500,MATCH(410,样本到样信息汇总统计!$Z$2:$Z$500,0)),"")</f>
        <v/>
      </c>
      <c r="D411" s="8" t="str">
        <f>IFERROR(INDEX(样本到样信息汇总统计!D$2:D$500,MATCH(410,样本到样信息汇总统计!$Z$2:$Z$500,0)),"")</f>
        <v/>
      </c>
      <c r="E411" s="8" t="str">
        <f>IFERROR(INDEX(样本到样信息汇总统计!E$2:E$500,MATCH(410,样本到样信息汇总统计!$Z$2:$Z$500,0)),"")</f>
        <v/>
      </c>
      <c r="F411" s="8" t="str">
        <f>IFERROR(INDEX(样本到样信息汇总统计!F$2:F$500,MATCH(410,样本到样信息汇总统计!$Z$2:$Z$500,0)),"")</f>
        <v/>
      </c>
      <c r="G411" s="8" t="str">
        <f>IFERROR(INDEX(样本到样信息汇总统计!G$2:G$500,MATCH(410,样本到样信息汇总统计!$Z$2:$Z$500,0)),"")</f>
        <v/>
      </c>
      <c r="H411" s="8" t="str">
        <f>IFERROR(INDEX(样本到样信息汇总统计!H$2:H$500,MATCH(410,样本到样信息汇总统计!$Z$2:$Z$500,0)),"")</f>
        <v/>
      </c>
      <c r="I411" s="8" t="str">
        <f>IFERROR(INDEX(样本到样信息汇总统计!I$2:I$500,MATCH(410,样本到样信息汇总统计!$Z$2:$Z$500,0)),"")</f>
        <v/>
      </c>
      <c r="J411" s="8" t="str">
        <f>IFERROR(INDEX(样本到样信息汇总统计!J$2:J$500,MATCH(410,样本到样信息汇总统计!$Z$2:$Z$500,0)),"")</f>
        <v/>
      </c>
      <c r="K411" s="8" t="str">
        <f>IFERROR(INDEX(样本到样信息汇总统计!K$2:K$500,MATCH(410,样本到样信息汇总统计!$Z$2:$Z$500,0)),"")</f>
        <v/>
      </c>
      <c r="L411" s="8" t="str">
        <f>IFERROR(INDEX(样本到样信息汇总统计!L$2:L$500,MATCH(410,样本到样信息汇总统计!$Z$2:$Z$500,0)),"")</f>
        <v/>
      </c>
      <c r="M411" s="8" t="str">
        <f>IFERROR(INDEX(样本到样信息汇总统计!M$2:M$500,MATCH(410,样本到样信息汇总统计!$Z$2:$Z$500,0)),"")</f>
        <v/>
      </c>
      <c r="N411" s="8" t="str">
        <f>IFERROR(INDEX(样本到样信息汇总统计!N$2:N$500,MATCH(410,样本到样信息汇总统计!$Z$2:$Z$500,0)),"")</f>
        <v/>
      </c>
      <c r="O411" s="8" t="str">
        <f>IFERROR(INDEX(样本到样信息汇总统计!O$2:O$500,MATCH(410,样本到样信息汇总统计!$Z$2:$Z$500,0)),"")</f>
        <v/>
      </c>
      <c r="P411" s="8" t="str">
        <f>IFERROR(INDEX(样本到样信息汇总统计!P$2:P$500,MATCH(410,样本到样信息汇总统计!$Z$2:$Z$500,0)),"")</f>
        <v/>
      </c>
      <c r="Q411" s="8" t="str">
        <f>IFERROR(INDEX(样本到样信息汇总统计!Q$2:Q$500,MATCH(410,样本到样信息汇总统计!$Z$2:$Z$500,0)),"")</f>
        <v/>
      </c>
      <c r="R411" s="8" t="str">
        <f>IFERROR(INDEX(样本到样信息汇总统计!R$2:R$500,MATCH(410,样本到样信息汇总统计!$Z$2:$Z$500,0)),"")</f>
        <v/>
      </c>
      <c r="S411" s="8" t="str">
        <f>IFERROR(INDEX(样本到样信息汇总统计!S$2:S$500,MATCH(410,样本到样信息汇总统计!$Z$2:$Z$500,0)),"")</f>
        <v/>
      </c>
      <c r="T411" s="8" t="str">
        <f>IFERROR(INDEX(样本到样信息汇总统计!T$2:T$500,MATCH(410,样本到样信息汇总统计!$Z$2:$Z$500,0)),"")</f>
        <v/>
      </c>
      <c r="U411" s="8" t="str">
        <f>IFERROR(INDEX(样本到样信息汇总统计!U$2:U$500,MATCH(410,样本到样信息汇总统计!$Z$2:$Z$500,0)),"")</f>
        <v/>
      </c>
      <c r="V411" s="8" t="str">
        <f>IFERROR(INDEX(样本到样信息汇总统计!V$2:V$500,MATCH(410,样本到样信息汇总统计!$Z$2:$Z$500,0)),"")</f>
        <v/>
      </c>
      <c r="W411" s="8" t="str">
        <f>IFERROR(INDEX(样本到样信息汇总统计!W$2:W$500,MATCH(410,样本到样信息汇总统计!$Z$2:$Z$500,0)),"")</f>
        <v/>
      </c>
    </row>
    <row r="412" ht="14.5" spans="1:23">
      <c r="A412" s="4" t="str">
        <f>IFERROR(INDEX(样本到样信息汇总统计!A$2:A$500,MATCH(411,样本到样信息汇总统计!$Z$2:$Z$500,0)),"")</f>
        <v/>
      </c>
      <c r="B412" s="4" t="str">
        <f>IFERROR(INDEX(样本到样信息汇总统计!B$2:B$500,MATCH(411,样本到样信息汇总统计!$Z$2:$Z$500,0)),"")</f>
        <v/>
      </c>
      <c r="C412" s="4" t="str">
        <f>IFERROR(INDEX(样本到样信息汇总统计!C$2:C$500,MATCH(411,样本到样信息汇总统计!$Z$2:$Z$500,0)),"")</f>
        <v/>
      </c>
      <c r="D412" s="4" t="str">
        <f>IFERROR(INDEX(样本到样信息汇总统计!D$2:D$500,MATCH(411,样本到样信息汇总统计!$Z$2:$Z$500,0)),"")</f>
        <v/>
      </c>
      <c r="E412" s="4" t="str">
        <f>IFERROR(INDEX(样本到样信息汇总统计!E$2:E$500,MATCH(411,样本到样信息汇总统计!$Z$2:$Z$500,0)),"")</f>
        <v/>
      </c>
      <c r="F412" s="4" t="str">
        <f>IFERROR(INDEX(样本到样信息汇总统计!F$2:F$500,MATCH(411,样本到样信息汇总统计!$Z$2:$Z$500,0)),"")</f>
        <v/>
      </c>
      <c r="G412" s="4" t="str">
        <f>IFERROR(INDEX(样本到样信息汇总统计!G$2:G$500,MATCH(411,样本到样信息汇总统计!$Z$2:$Z$500,0)),"")</f>
        <v/>
      </c>
      <c r="H412" s="4" t="str">
        <f>IFERROR(INDEX(样本到样信息汇总统计!H$2:H$500,MATCH(411,样本到样信息汇总统计!$Z$2:$Z$500,0)),"")</f>
        <v/>
      </c>
      <c r="I412" s="4" t="str">
        <f>IFERROR(INDEX(样本到样信息汇总统计!I$2:I$500,MATCH(411,样本到样信息汇总统计!$Z$2:$Z$500,0)),"")</f>
        <v/>
      </c>
      <c r="J412" s="4" t="str">
        <f>IFERROR(INDEX(样本到样信息汇总统计!J$2:J$500,MATCH(411,样本到样信息汇总统计!$Z$2:$Z$500,0)),"")</f>
        <v/>
      </c>
      <c r="K412" s="4" t="str">
        <f>IFERROR(INDEX(样本到样信息汇总统计!K$2:K$500,MATCH(411,样本到样信息汇总统计!$Z$2:$Z$500,0)),"")</f>
        <v/>
      </c>
      <c r="L412" s="4" t="str">
        <f>IFERROR(INDEX(样本到样信息汇总统计!L$2:L$500,MATCH(411,样本到样信息汇总统计!$Z$2:$Z$500,0)),"")</f>
        <v/>
      </c>
      <c r="M412" s="4" t="str">
        <f>IFERROR(INDEX(样本到样信息汇总统计!M$2:M$500,MATCH(411,样本到样信息汇总统计!$Z$2:$Z$500,0)),"")</f>
        <v/>
      </c>
      <c r="N412" s="4" t="str">
        <f>IFERROR(INDEX(样本到样信息汇总统计!N$2:N$500,MATCH(411,样本到样信息汇总统计!$Z$2:$Z$500,0)),"")</f>
        <v/>
      </c>
      <c r="O412" s="4" t="str">
        <f>IFERROR(INDEX(样本到样信息汇总统计!O$2:O$500,MATCH(411,样本到样信息汇总统计!$Z$2:$Z$500,0)),"")</f>
        <v/>
      </c>
      <c r="P412" s="4" t="str">
        <f>IFERROR(INDEX(样本到样信息汇总统计!P$2:P$500,MATCH(411,样本到样信息汇总统计!$Z$2:$Z$500,0)),"")</f>
        <v/>
      </c>
      <c r="Q412" s="4" t="str">
        <f>IFERROR(INDEX(样本到样信息汇总统计!Q$2:Q$500,MATCH(411,样本到样信息汇总统计!$Z$2:$Z$500,0)),"")</f>
        <v/>
      </c>
      <c r="R412" s="4" t="str">
        <f>IFERROR(INDEX(样本到样信息汇总统计!R$2:R$500,MATCH(411,样本到样信息汇总统计!$Z$2:$Z$500,0)),"")</f>
        <v/>
      </c>
      <c r="S412" s="4" t="str">
        <f>IFERROR(INDEX(样本到样信息汇总统计!S$2:S$500,MATCH(411,样本到样信息汇总统计!$Z$2:$Z$500,0)),"")</f>
        <v/>
      </c>
      <c r="T412" s="4" t="str">
        <f>IFERROR(INDEX(样本到样信息汇总统计!T$2:T$500,MATCH(411,样本到样信息汇总统计!$Z$2:$Z$500,0)),"")</f>
        <v/>
      </c>
      <c r="U412" s="4" t="str">
        <f>IFERROR(INDEX(样本到样信息汇总统计!U$2:U$500,MATCH(411,样本到样信息汇总统计!$Z$2:$Z$500,0)),"")</f>
        <v/>
      </c>
      <c r="V412" s="4" t="str">
        <f>IFERROR(INDEX(样本到样信息汇总统计!V$2:V$500,MATCH(411,样本到样信息汇总统计!$Z$2:$Z$500,0)),"")</f>
        <v/>
      </c>
      <c r="W412" s="4" t="str">
        <f>IFERROR(INDEX(样本到样信息汇总统计!W$2:W$500,MATCH(411,样本到样信息汇总统计!$Z$2:$Z$500,0)),"")</f>
        <v/>
      </c>
    </row>
    <row r="413" ht="14.5" spans="1:23">
      <c r="A413" s="8" t="str">
        <f>IFERROR(INDEX(样本到样信息汇总统计!A$2:A$500,MATCH(412,样本到样信息汇总统计!$Z$2:$Z$500,0)),"")</f>
        <v/>
      </c>
      <c r="B413" s="8" t="str">
        <f>IFERROR(INDEX(样本到样信息汇总统计!B$2:B$500,MATCH(412,样本到样信息汇总统计!$Z$2:$Z$500,0)),"")</f>
        <v/>
      </c>
      <c r="C413" s="8" t="str">
        <f>IFERROR(INDEX(样本到样信息汇总统计!C$2:C$500,MATCH(412,样本到样信息汇总统计!$Z$2:$Z$500,0)),"")</f>
        <v/>
      </c>
      <c r="D413" s="8" t="str">
        <f>IFERROR(INDEX(样本到样信息汇总统计!D$2:D$500,MATCH(412,样本到样信息汇总统计!$Z$2:$Z$500,0)),"")</f>
        <v/>
      </c>
      <c r="E413" s="8" t="str">
        <f>IFERROR(INDEX(样本到样信息汇总统计!E$2:E$500,MATCH(412,样本到样信息汇总统计!$Z$2:$Z$500,0)),"")</f>
        <v/>
      </c>
      <c r="F413" s="8" t="str">
        <f>IFERROR(INDEX(样本到样信息汇总统计!F$2:F$500,MATCH(412,样本到样信息汇总统计!$Z$2:$Z$500,0)),"")</f>
        <v/>
      </c>
      <c r="G413" s="8" t="str">
        <f>IFERROR(INDEX(样本到样信息汇总统计!G$2:G$500,MATCH(412,样本到样信息汇总统计!$Z$2:$Z$500,0)),"")</f>
        <v/>
      </c>
      <c r="H413" s="8" t="str">
        <f>IFERROR(INDEX(样本到样信息汇总统计!H$2:H$500,MATCH(412,样本到样信息汇总统计!$Z$2:$Z$500,0)),"")</f>
        <v/>
      </c>
      <c r="I413" s="8" t="str">
        <f>IFERROR(INDEX(样本到样信息汇总统计!I$2:I$500,MATCH(412,样本到样信息汇总统计!$Z$2:$Z$500,0)),"")</f>
        <v/>
      </c>
      <c r="J413" s="8" t="str">
        <f>IFERROR(INDEX(样本到样信息汇总统计!J$2:J$500,MATCH(412,样本到样信息汇总统计!$Z$2:$Z$500,0)),"")</f>
        <v/>
      </c>
      <c r="K413" s="8" t="str">
        <f>IFERROR(INDEX(样本到样信息汇总统计!K$2:K$500,MATCH(412,样本到样信息汇总统计!$Z$2:$Z$500,0)),"")</f>
        <v/>
      </c>
      <c r="L413" s="8" t="str">
        <f>IFERROR(INDEX(样本到样信息汇总统计!L$2:L$500,MATCH(412,样本到样信息汇总统计!$Z$2:$Z$500,0)),"")</f>
        <v/>
      </c>
      <c r="M413" s="8" t="str">
        <f>IFERROR(INDEX(样本到样信息汇总统计!M$2:M$500,MATCH(412,样本到样信息汇总统计!$Z$2:$Z$500,0)),"")</f>
        <v/>
      </c>
      <c r="N413" s="8" t="str">
        <f>IFERROR(INDEX(样本到样信息汇总统计!N$2:N$500,MATCH(412,样本到样信息汇总统计!$Z$2:$Z$500,0)),"")</f>
        <v/>
      </c>
      <c r="O413" s="8" t="str">
        <f>IFERROR(INDEX(样本到样信息汇总统计!O$2:O$500,MATCH(412,样本到样信息汇总统计!$Z$2:$Z$500,0)),"")</f>
        <v/>
      </c>
      <c r="P413" s="8" t="str">
        <f>IFERROR(INDEX(样本到样信息汇总统计!P$2:P$500,MATCH(412,样本到样信息汇总统计!$Z$2:$Z$500,0)),"")</f>
        <v/>
      </c>
      <c r="Q413" s="8" t="str">
        <f>IFERROR(INDEX(样本到样信息汇总统计!Q$2:Q$500,MATCH(412,样本到样信息汇总统计!$Z$2:$Z$500,0)),"")</f>
        <v/>
      </c>
      <c r="R413" s="8" t="str">
        <f>IFERROR(INDEX(样本到样信息汇总统计!R$2:R$500,MATCH(412,样本到样信息汇总统计!$Z$2:$Z$500,0)),"")</f>
        <v/>
      </c>
      <c r="S413" s="8" t="str">
        <f>IFERROR(INDEX(样本到样信息汇总统计!S$2:S$500,MATCH(412,样本到样信息汇总统计!$Z$2:$Z$500,0)),"")</f>
        <v/>
      </c>
      <c r="T413" s="8" t="str">
        <f>IFERROR(INDEX(样本到样信息汇总统计!T$2:T$500,MATCH(412,样本到样信息汇总统计!$Z$2:$Z$500,0)),"")</f>
        <v/>
      </c>
      <c r="U413" s="8" t="str">
        <f>IFERROR(INDEX(样本到样信息汇总统计!U$2:U$500,MATCH(412,样本到样信息汇总统计!$Z$2:$Z$500,0)),"")</f>
        <v/>
      </c>
      <c r="V413" s="8" t="str">
        <f>IFERROR(INDEX(样本到样信息汇总统计!V$2:V$500,MATCH(412,样本到样信息汇总统计!$Z$2:$Z$500,0)),"")</f>
        <v/>
      </c>
      <c r="W413" s="8" t="str">
        <f>IFERROR(INDEX(样本到样信息汇总统计!W$2:W$500,MATCH(412,样本到样信息汇总统计!$Z$2:$Z$500,0)),"")</f>
        <v/>
      </c>
    </row>
    <row r="414" ht="14.5" spans="1:23">
      <c r="A414" s="4" t="str">
        <f>IFERROR(INDEX(样本到样信息汇总统计!A$2:A$500,MATCH(413,样本到样信息汇总统计!$Z$2:$Z$500,0)),"")</f>
        <v/>
      </c>
      <c r="B414" s="4" t="str">
        <f>IFERROR(INDEX(样本到样信息汇总统计!B$2:B$500,MATCH(413,样本到样信息汇总统计!$Z$2:$Z$500,0)),"")</f>
        <v/>
      </c>
      <c r="C414" s="4" t="str">
        <f>IFERROR(INDEX(样本到样信息汇总统计!C$2:C$500,MATCH(413,样本到样信息汇总统计!$Z$2:$Z$500,0)),"")</f>
        <v/>
      </c>
      <c r="D414" s="4" t="str">
        <f>IFERROR(INDEX(样本到样信息汇总统计!D$2:D$500,MATCH(413,样本到样信息汇总统计!$Z$2:$Z$500,0)),"")</f>
        <v/>
      </c>
      <c r="E414" s="4" t="str">
        <f>IFERROR(INDEX(样本到样信息汇总统计!E$2:E$500,MATCH(413,样本到样信息汇总统计!$Z$2:$Z$500,0)),"")</f>
        <v/>
      </c>
      <c r="F414" s="4" t="str">
        <f>IFERROR(INDEX(样本到样信息汇总统计!F$2:F$500,MATCH(413,样本到样信息汇总统计!$Z$2:$Z$500,0)),"")</f>
        <v/>
      </c>
      <c r="G414" s="4" t="str">
        <f>IFERROR(INDEX(样本到样信息汇总统计!G$2:G$500,MATCH(413,样本到样信息汇总统计!$Z$2:$Z$500,0)),"")</f>
        <v/>
      </c>
      <c r="H414" s="4" t="str">
        <f>IFERROR(INDEX(样本到样信息汇总统计!H$2:H$500,MATCH(413,样本到样信息汇总统计!$Z$2:$Z$500,0)),"")</f>
        <v/>
      </c>
      <c r="I414" s="4" t="str">
        <f>IFERROR(INDEX(样本到样信息汇总统计!I$2:I$500,MATCH(413,样本到样信息汇总统计!$Z$2:$Z$500,0)),"")</f>
        <v/>
      </c>
      <c r="J414" s="4" t="str">
        <f>IFERROR(INDEX(样本到样信息汇总统计!J$2:J$500,MATCH(413,样本到样信息汇总统计!$Z$2:$Z$500,0)),"")</f>
        <v/>
      </c>
      <c r="K414" s="4" t="str">
        <f>IFERROR(INDEX(样本到样信息汇总统计!K$2:K$500,MATCH(413,样本到样信息汇总统计!$Z$2:$Z$500,0)),"")</f>
        <v/>
      </c>
      <c r="L414" s="4" t="str">
        <f>IFERROR(INDEX(样本到样信息汇总统计!L$2:L$500,MATCH(413,样本到样信息汇总统计!$Z$2:$Z$500,0)),"")</f>
        <v/>
      </c>
      <c r="M414" s="4" t="str">
        <f>IFERROR(INDEX(样本到样信息汇总统计!M$2:M$500,MATCH(413,样本到样信息汇总统计!$Z$2:$Z$500,0)),"")</f>
        <v/>
      </c>
      <c r="N414" s="4" t="str">
        <f>IFERROR(INDEX(样本到样信息汇总统计!N$2:N$500,MATCH(413,样本到样信息汇总统计!$Z$2:$Z$500,0)),"")</f>
        <v/>
      </c>
      <c r="O414" s="4" t="str">
        <f>IFERROR(INDEX(样本到样信息汇总统计!O$2:O$500,MATCH(413,样本到样信息汇总统计!$Z$2:$Z$500,0)),"")</f>
        <v/>
      </c>
      <c r="P414" s="4" t="str">
        <f>IFERROR(INDEX(样本到样信息汇总统计!P$2:P$500,MATCH(413,样本到样信息汇总统计!$Z$2:$Z$500,0)),"")</f>
        <v/>
      </c>
      <c r="Q414" s="4" t="str">
        <f>IFERROR(INDEX(样本到样信息汇总统计!Q$2:Q$500,MATCH(413,样本到样信息汇总统计!$Z$2:$Z$500,0)),"")</f>
        <v/>
      </c>
      <c r="R414" s="4" t="str">
        <f>IFERROR(INDEX(样本到样信息汇总统计!R$2:R$500,MATCH(413,样本到样信息汇总统计!$Z$2:$Z$500,0)),"")</f>
        <v/>
      </c>
      <c r="S414" s="4" t="str">
        <f>IFERROR(INDEX(样本到样信息汇总统计!S$2:S$500,MATCH(413,样本到样信息汇总统计!$Z$2:$Z$500,0)),"")</f>
        <v/>
      </c>
      <c r="T414" s="4" t="str">
        <f>IFERROR(INDEX(样本到样信息汇总统计!T$2:T$500,MATCH(413,样本到样信息汇总统计!$Z$2:$Z$500,0)),"")</f>
        <v/>
      </c>
      <c r="U414" s="4" t="str">
        <f>IFERROR(INDEX(样本到样信息汇总统计!U$2:U$500,MATCH(413,样本到样信息汇总统计!$Z$2:$Z$500,0)),"")</f>
        <v/>
      </c>
      <c r="V414" s="4" t="str">
        <f>IFERROR(INDEX(样本到样信息汇总统计!V$2:V$500,MATCH(413,样本到样信息汇总统计!$Z$2:$Z$500,0)),"")</f>
        <v/>
      </c>
      <c r="W414" s="4" t="str">
        <f>IFERROR(INDEX(样本到样信息汇总统计!W$2:W$500,MATCH(413,样本到样信息汇总统计!$Z$2:$Z$500,0)),"")</f>
        <v/>
      </c>
    </row>
    <row r="415" ht="14.5" spans="1:23">
      <c r="A415" s="8" t="str">
        <f>IFERROR(INDEX(样本到样信息汇总统计!A$2:A$500,MATCH(414,样本到样信息汇总统计!$Z$2:$Z$500,0)),"")</f>
        <v/>
      </c>
      <c r="B415" s="8" t="str">
        <f>IFERROR(INDEX(样本到样信息汇总统计!B$2:B$500,MATCH(414,样本到样信息汇总统计!$Z$2:$Z$500,0)),"")</f>
        <v/>
      </c>
      <c r="C415" s="8" t="str">
        <f>IFERROR(INDEX(样本到样信息汇总统计!C$2:C$500,MATCH(414,样本到样信息汇总统计!$Z$2:$Z$500,0)),"")</f>
        <v/>
      </c>
      <c r="D415" s="8" t="str">
        <f>IFERROR(INDEX(样本到样信息汇总统计!D$2:D$500,MATCH(414,样本到样信息汇总统计!$Z$2:$Z$500,0)),"")</f>
        <v/>
      </c>
      <c r="E415" s="8" t="str">
        <f>IFERROR(INDEX(样本到样信息汇总统计!E$2:E$500,MATCH(414,样本到样信息汇总统计!$Z$2:$Z$500,0)),"")</f>
        <v/>
      </c>
      <c r="F415" s="8" t="str">
        <f>IFERROR(INDEX(样本到样信息汇总统计!F$2:F$500,MATCH(414,样本到样信息汇总统计!$Z$2:$Z$500,0)),"")</f>
        <v/>
      </c>
      <c r="G415" s="8" t="str">
        <f>IFERROR(INDEX(样本到样信息汇总统计!G$2:G$500,MATCH(414,样本到样信息汇总统计!$Z$2:$Z$500,0)),"")</f>
        <v/>
      </c>
      <c r="H415" s="8" t="str">
        <f>IFERROR(INDEX(样本到样信息汇总统计!H$2:H$500,MATCH(414,样本到样信息汇总统计!$Z$2:$Z$500,0)),"")</f>
        <v/>
      </c>
      <c r="I415" s="8" t="str">
        <f>IFERROR(INDEX(样本到样信息汇总统计!I$2:I$500,MATCH(414,样本到样信息汇总统计!$Z$2:$Z$500,0)),"")</f>
        <v/>
      </c>
      <c r="J415" s="8" t="str">
        <f>IFERROR(INDEX(样本到样信息汇总统计!J$2:J$500,MATCH(414,样本到样信息汇总统计!$Z$2:$Z$500,0)),"")</f>
        <v/>
      </c>
      <c r="K415" s="8" t="str">
        <f>IFERROR(INDEX(样本到样信息汇总统计!K$2:K$500,MATCH(414,样本到样信息汇总统计!$Z$2:$Z$500,0)),"")</f>
        <v/>
      </c>
      <c r="L415" s="8" t="str">
        <f>IFERROR(INDEX(样本到样信息汇总统计!L$2:L$500,MATCH(414,样本到样信息汇总统计!$Z$2:$Z$500,0)),"")</f>
        <v/>
      </c>
      <c r="M415" s="8" t="str">
        <f>IFERROR(INDEX(样本到样信息汇总统计!M$2:M$500,MATCH(414,样本到样信息汇总统计!$Z$2:$Z$500,0)),"")</f>
        <v/>
      </c>
      <c r="N415" s="8" t="str">
        <f>IFERROR(INDEX(样本到样信息汇总统计!N$2:N$500,MATCH(414,样本到样信息汇总统计!$Z$2:$Z$500,0)),"")</f>
        <v/>
      </c>
      <c r="O415" s="8" t="str">
        <f>IFERROR(INDEX(样本到样信息汇总统计!O$2:O$500,MATCH(414,样本到样信息汇总统计!$Z$2:$Z$500,0)),"")</f>
        <v/>
      </c>
      <c r="P415" s="8" t="str">
        <f>IFERROR(INDEX(样本到样信息汇总统计!P$2:P$500,MATCH(414,样本到样信息汇总统计!$Z$2:$Z$500,0)),"")</f>
        <v/>
      </c>
      <c r="Q415" s="8" t="str">
        <f>IFERROR(INDEX(样本到样信息汇总统计!Q$2:Q$500,MATCH(414,样本到样信息汇总统计!$Z$2:$Z$500,0)),"")</f>
        <v/>
      </c>
      <c r="R415" s="8" t="str">
        <f>IFERROR(INDEX(样本到样信息汇总统计!R$2:R$500,MATCH(414,样本到样信息汇总统计!$Z$2:$Z$500,0)),"")</f>
        <v/>
      </c>
      <c r="S415" s="8" t="str">
        <f>IFERROR(INDEX(样本到样信息汇总统计!S$2:S$500,MATCH(414,样本到样信息汇总统计!$Z$2:$Z$500,0)),"")</f>
        <v/>
      </c>
      <c r="T415" s="8" t="str">
        <f>IFERROR(INDEX(样本到样信息汇总统计!T$2:T$500,MATCH(414,样本到样信息汇总统计!$Z$2:$Z$500,0)),"")</f>
        <v/>
      </c>
      <c r="U415" s="8" t="str">
        <f>IFERROR(INDEX(样本到样信息汇总统计!U$2:U$500,MATCH(414,样本到样信息汇总统计!$Z$2:$Z$500,0)),"")</f>
        <v/>
      </c>
      <c r="V415" s="8" t="str">
        <f>IFERROR(INDEX(样本到样信息汇总统计!V$2:V$500,MATCH(414,样本到样信息汇总统计!$Z$2:$Z$500,0)),"")</f>
        <v/>
      </c>
      <c r="W415" s="8" t="str">
        <f>IFERROR(INDEX(样本到样信息汇总统计!W$2:W$500,MATCH(414,样本到样信息汇总统计!$Z$2:$Z$500,0)),"")</f>
        <v/>
      </c>
    </row>
    <row r="416" ht="14.5" spans="1:23">
      <c r="A416" s="4" t="str">
        <f>IFERROR(INDEX(样本到样信息汇总统计!A$2:A$500,MATCH(415,样本到样信息汇总统计!$Z$2:$Z$500,0)),"")</f>
        <v/>
      </c>
      <c r="B416" s="4" t="str">
        <f>IFERROR(INDEX(样本到样信息汇总统计!B$2:B$500,MATCH(415,样本到样信息汇总统计!$Z$2:$Z$500,0)),"")</f>
        <v/>
      </c>
      <c r="C416" s="4" t="str">
        <f>IFERROR(INDEX(样本到样信息汇总统计!C$2:C$500,MATCH(415,样本到样信息汇总统计!$Z$2:$Z$500,0)),"")</f>
        <v/>
      </c>
      <c r="D416" s="4" t="str">
        <f>IFERROR(INDEX(样本到样信息汇总统计!D$2:D$500,MATCH(415,样本到样信息汇总统计!$Z$2:$Z$500,0)),"")</f>
        <v/>
      </c>
      <c r="E416" s="4" t="str">
        <f>IFERROR(INDEX(样本到样信息汇总统计!E$2:E$500,MATCH(415,样本到样信息汇总统计!$Z$2:$Z$500,0)),"")</f>
        <v/>
      </c>
      <c r="F416" s="4" t="str">
        <f>IFERROR(INDEX(样本到样信息汇总统计!F$2:F$500,MATCH(415,样本到样信息汇总统计!$Z$2:$Z$500,0)),"")</f>
        <v/>
      </c>
      <c r="G416" s="4" t="str">
        <f>IFERROR(INDEX(样本到样信息汇总统计!G$2:G$500,MATCH(415,样本到样信息汇总统计!$Z$2:$Z$500,0)),"")</f>
        <v/>
      </c>
      <c r="H416" s="4" t="str">
        <f>IFERROR(INDEX(样本到样信息汇总统计!H$2:H$500,MATCH(415,样本到样信息汇总统计!$Z$2:$Z$500,0)),"")</f>
        <v/>
      </c>
      <c r="I416" s="4" t="str">
        <f>IFERROR(INDEX(样本到样信息汇总统计!I$2:I$500,MATCH(415,样本到样信息汇总统计!$Z$2:$Z$500,0)),"")</f>
        <v/>
      </c>
      <c r="J416" s="4" t="str">
        <f>IFERROR(INDEX(样本到样信息汇总统计!J$2:J$500,MATCH(415,样本到样信息汇总统计!$Z$2:$Z$500,0)),"")</f>
        <v/>
      </c>
      <c r="K416" s="4" t="str">
        <f>IFERROR(INDEX(样本到样信息汇总统计!K$2:K$500,MATCH(415,样本到样信息汇总统计!$Z$2:$Z$500,0)),"")</f>
        <v/>
      </c>
      <c r="L416" s="4" t="str">
        <f>IFERROR(INDEX(样本到样信息汇总统计!L$2:L$500,MATCH(415,样本到样信息汇总统计!$Z$2:$Z$500,0)),"")</f>
        <v/>
      </c>
      <c r="M416" s="4" t="str">
        <f>IFERROR(INDEX(样本到样信息汇总统计!M$2:M$500,MATCH(415,样本到样信息汇总统计!$Z$2:$Z$500,0)),"")</f>
        <v/>
      </c>
      <c r="N416" s="4" t="str">
        <f>IFERROR(INDEX(样本到样信息汇总统计!N$2:N$500,MATCH(415,样本到样信息汇总统计!$Z$2:$Z$500,0)),"")</f>
        <v/>
      </c>
      <c r="O416" s="4" t="str">
        <f>IFERROR(INDEX(样本到样信息汇总统计!O$2:O$500,MATCH(415,样本到样信息汇总统计!$Z$2:$Z$500,0)),"")</f>
        <v/>
      </c>
      <c r="P416" s="4" t="str">
        <f>IFERROR(INDEX(样本到样信息汇总统计!P$2:P$500,MATCH(415,样本到样信息汇总统计!$Z$2:$Z$500,0)),"")</f>
        <v/>
      </c>
      <c r="Q416" s="4" t="str">
        <f>IFERROR(INDEX(样本到样信息汇总统计!Q$2:Q$500,MATCH(415,样本到样信息汇总统计!$Z$2:$Z$500,0)),"")</f>
        <v/>
      </c>
      <c r="R416" s="4" t="str">
        <f>IFERROR(INDEX(样本到样信息汇总统计!R$2:R$500,MATCH(415,样本到样信息汇总统计!$Z$2:$Z$500,0)),"")</f>
        <v/>
      </c>
      <c r="S416" s="4" t="str">
        <f>IFERROR(INDEX(样本到样信息汇总统计!S$2:S$500,MATCH(415,样本到样信息汇总统计!$Z$2:$Z$500,0)),"")</f>
        <v/>
      </c>
      <c r="T416" s="4" t="str">
        <f>IFERROR(INDEX(样本到样信息汇总统计!T$2:T$500,MATCH(415,样本到样信息汇总统计!$Z$2:$Z$500,0)),"")</f>
        <v/>
      </c>
      <c r="U416" s="4" t="str">
        <f>IFERROR(INDEX(样本到样信息汇总统计!U$2:U$500,MATCH(415,样本到样信息汇总统计!$Z$2:$Z$500,0)),"")</f>
        <v/>
      </c>
      <c r="V416" s="4" t="str">
        <f>IFERROR(INDEX(样本到样信息汇总统计!V$2:V$500,MATCH(415,样本到样信息汇总统计!$Z$2:$Z$500,0)),"")</f>
        <v/>
      </c>
      <c r="W416" s="4" t="str">
        <f>IFERROR(INDEX(样本到样信息汇总统计!W$2:W$500,MATCH(415,样本到样信息汇总统计!$Z$2:$Z$500,0)),"")</f>
        <v/>
      </c>
    </row>
    <row r="417" ht="14.5" spans="1:23">
      <c r="A417" s="8" t="str">
        <f>IFERROR(INDEX(样本到样信息汇总统计!A$2:A$500,MATCH(416,样本到样信息汇总统计!$Z$2:$Z$500,0)),"")</f>
        <v/>
      </c>
      <c r="B417" s="8" t="str">
        <f>IFERROR(INDEX(样本到样信息汇总统计!B$2:B$500,MATCH(416,样本到样信息汇总统计!$Z$2:$Z$500,0)),"")</f>
        <v/>
      </c>
      <c r="C417" s="8" t="str">
        <f>IFERROR(INDEX(样本到样信息汇总统计!C$2:C$500,MATCH(416,样本到样信息汇总统计!$Z$2:$Z$500,0)),"")</f>
        <v/>
      </c>
      <c r="D417" s="8" t="str">
        <f>IFERROR(INDEX(样本到样信息汇总统计!D$2:D$500,MATCH(416,样本到样信息汇总统计!$Z$2:$Z$500,0)),"")</f>
        <v/>
      </c>
      <c r="E417" s="8" t="str">
        <f>IFERROR(INDEX(样本到样信息汇总统计!E$2:E$500,MATCH(416,样本到样信息汇总统计!$Z$2:$Z$500,0)),"")</f>
        <v/>
      </c>
      <c r="F417" s="8" t="str">
        <f>IFERROR(INDEX(样本到样信息汇总统计!F$2:F$500,MATCH(416,样本到样信息汇总统计!$Z$2:$Z$500,0)),"")</f>
        <v/>
      </c>
      <c r="G417" s="8" t="str">
        <f>IFERROR(INDEX(样本到样信息汇总统计!G$2:G$500,MATCH(416,样本到样信息汇总统计!$Z$2:$Z$500,0)),"")</f>
        <v/>
      </c>
      <c r="H417" s="8" t="str">
        <f>IFERROR(INDEX(样本到样信息汇总统计!H$2:H$500,MATCH(416,样本到样信息汇总统计!$Z$2:$Z$500,0)),"")</f>
        <v/>
      </c>
      <c r="I417" s="8" t="str">
        <f>IFERROR(INDEX(样本到样信息汇总统计!I$2:I$500,MATCH(416,样本到样信息汇总统计!$Z$2:$Z$500,0)),"")</f>
        <v/>
      </c>
      <c r="J417" s="8" t="str">
        <f>IFERROR(INDEX(样本到样信息汇总统计!J$2:J$500,MATCH(416,样本到样信息汇总统计!$Z$2:$Z$500,0)),"")</f>
        <v/>
      </c>
      <c r="K417" s="8" t="str">
        <f>IFERROR(INDEX(样本到样信息汇总统计!K$2:K$500,MATCH(416,样本到样信息汇总统计!$Z$2:$Z$500,0)),"")</f>
        <v/>
      </c>
      <c r="L417" s="8" t="str">
        <f>IFERROR(INDEX(样本到样信息汇总统计!L$2:L$500,MATCH(416,样本到样信息汇总统计!$Z$2:$Z$500,0)),"")</f>
        <v/>
      </c>
      <c r="M417" s="8" t="str">
        <f>IFERROR(INDEX(样本到样信息汇总统计!M$2:M$500,MATCH(416,样本到样信息汇总统计!$Z$2:$Z$500,0)),"")</f>
        <v/>
      </c>
      <c r="N417" s="8" t="str">
        <f>IFERROR(INDEX(样本到样信息汇总统计!N$2:N$500,MATCH(416,样本到样信息汇总统计!$Z$2:$Z$500,0)),"")</f>
        <v/>
      </c>
      <c r="O417" s="8" t="str">
        <f>IFERROR(INDEX(样本到样信息汇总统计!O$2:O$500,MATCH(416,样本到样信息汇总统计!$Z$2:$Z$500,0)),"")</f>
        <v/>
      </c>
      <c r="P417" s="8" t="str">
        <f>IFERROR(INDEX(样本到样信息汇总统计!P$2:P$500,MATCH(416,样本到样信息汇总统计!$Z$2:$Z$500,0)),"")</f>
        <v/>
      </c>
      <c r="Q417" s="8" t="str">
        <f>IFERROR(INDEX(样本到样信息汇总统计!Q$2:Q$500,MATCH(416,样本到样信息汇总统计!$Z$2:$Z$500,0)),"")</f>
        <v/>
      </c>
      <c r="R417" s="8" t="str">
        <f>IFERROR(INDEX(样本到样信息汇总统计!R$2:R$500,MATCH(416,样本到样信息汇总统计!$Z$2:$Z$500,0)),"")</f>
        <v/>
      </c>
      <c r="S417" s="8" t="str">
        <f>IFERROR(INDEX(样本到样信息汇总统计!S$2:S$500,MATCH(416,样本到样信息汇总统计!$Z$2:$Z$500,0)),"")</f>
        <v/>
      </c>
      <c r="T417" s="8" t="str">
        <f>IFERROR(INDEX(样本到样信息汇总统计!T$2:T$500,MATCH(416,样本到样信息汇总统计!$Z$2:$Z$500,0)),"")</f>
        <v/>
      </c>
      <c r="U417" s="8" t="str">
        <f>IFERROR(INDEX(样本到样信息汇总统计!U$2:U$500,MATCH(416,样本到样信息汇总统计!$Z$2:$Z$500,0)),"")</f>
        <v/>
      </c>
      <c r="V417" s="8" t="str">
        <f>IFERROR(INDEX(样本到样信息汇总统计!V$2:V$500,MATCH(416,样本到样信息汇总统计!$Z$2:$Z$500,0)),"")</f>
        <v/>
      </c>
      <c r="W417" s="8" t="str">
        <f>IFERROR(INDEX(样本到样信息汇总统计!W$2:W$500,MATCH(416,样本到样信息汇总统计!$Z$2:$Z$500,0)),"")</f>
        <v/>
      </c>
    </row>
    <row r="418" ht="14.5" spans="1:23">
      <c r="A418" s="4" t="str">
        <f>IFERROR(INDEX(样本到样信息汇总统计!A$2:A$500,MATCH(417,样本到样信息汇总统计!$Z$2:$Z$500,0)),"")</f>
        <v/>
      </c>
      <c r="B418" s="4" t="str">
        <f>IFERROR(INDEX(样本到样信息汇总统计!B$2:B$500,MATCH(417,样本到样信息汇总统计!$Z$2:$Z$500,0)),"")</f>
        <v/>
      </c>
      <c r="C418" s="4" t="str">
        <f>IFERROR(INDEX(样本到样信息汇总统计!C$2:C$500,MATCH(417,样本到样信息汇总统计!$Z$2:$Z$500,0)),"")</f>
        <v/>
      </c>
      <c r="D418" s="4" t="str">
        <f>IFERROR(INDEX(样本到样信息汇总统计!D$2:D$500,MATCH(417,样本到样信息汇总统计!$Z$2:$Z$500,0)),"")</f>
        <v/>
      </c>
      <c r="E418" s="4" t="str">
        <f>IFERROR(INDEX(样本到样信息汇总统计!E$2:E$500,MATCH(417,样本到样信息汇总统计!$Z$2:$Z$500,0)),"")</f>
        <v/>
      </c>
      <c r="F418" s="4" t="str">
        <f>IFERROR(INDEX(样本到样信息汇总统计!F$2:F$500,MATCH(417,样本到样信息汇总统计!$Z$2:$Z$500,0)),"")</f>
        <v/>
      </c>
      <c r="G418" s="4" t="str">
        <f>IFERROR(INDEX(样本到样信息汇总统计!G$2:G$500,MATCH(417,样本到样信息汇总统计!$Z$2:$Z$500,0)),"")</f>
        <v/>
      </c>
      <c r="H418" s="4" t="str">
        <f>IFERROR(INDEX(样本到样信息汇总统计!H$2:H$500,MATCH(417,样本到样信息汇总统计!$Z$2:$Z$500,0)),"")</f>
        <v/>
      </c>
      <c r="I418" s="4" t="str">
        <f>IFERROR(INDEX(样本到样信息汇总统计!I$2:I$500,MATCH(417,样本到样信息汇总统计!$Z$2:$Z$500,0)),"")</f>
        <v/>
      </c>
      <c r="J418" s="4" t="str">
        <f>IFERROR(INDEX(样本到样信息汇总统计!J$2:J$500,MATCH(417,样本到样信息汇总统计!$Z$2:$Z$500,0)),"")</f>
        <v/>
      </c>
      <c r="K418" s="4" t="str">
        <f>IFERROR(INDEX(样本到样信息汇总统计!K$2:K$500,MATCH(417,样本到样信息汇总统计!$Z$2:$Z$500,0)),"")</f>
        <v/>
      </c>
      <c r="L418" s="4" t="str">
        <f>IFERROR(INDEX(样本到样信息汇总统计!L$2:L$500,MATCH(417,样本到样信息汇总统计!$Z$2:$Z$500,0)),"")</f>
        <v/>
      </c>
      <c r="M418" s="4" t="str">
        <f>IFERROR(INDEX(样本到样信息汇总统计!M$2:M$500,MATCH(417,样本到样信息汇总统计!$Z$2:$Z$500,0)),"")</f>
        <v/>
      </c>
      <c r="N418" s="4" t="str">
        <f>IFERROR(INDEX(样本到样信息汇总统计!N$2:N$500,MATCH(417,样本到样信息汇总统计!$Z$2:$Z$500,0)),"")</f>
        <v/>
      </c>
      <c r="O418" s="4" t="str">
        <f>IFERROR(INDEX(样本到样信息汇总统计!O$2:O$500,MATCH(417,样本到样信息汇总统计!$Z$2:$Z$500,0)),"")</f>
        <v/>
      </c>
      <c r="P418" s="4" t="str">
        <f>IFERROR(INDEX(样本到样信息汇总统计!P$2:P$500,MATCH(417,样本到样信息汇总统计!$Z$2:$Z$500,0)),"")</f>
        <v/>
      </c>
      <c r="Q418" s="4" t="str">
        <f>IFERROR(INDEX(样本到样信息汇总统计!Q$2:Q$500,MATCH(417,样本到样信息汇总统计!$Z$2:$Z$500,0)),"")</f>
        <v/>
      </c>
      <c r="R418" s="4" t="str">
        <f>IFERROR(INDEX(样本到样信息汇总统计!R$2:R$500,MATCH(417,样本到样信息汇总统计!$Z$2:$Z$500,0)),"")</f>
        <v/>
      </c>
      <c r="S418" s="4" t="str">
        <f>IFERROR(INDEX(样本到样信息汇总统计!S$2:S$500,MATCH(417,样本到样信息汇总统计!$Z$2:$Z$500,0)),"")</f>
        <v/>
      </c>
      <c r="T418" s="4" t="str">
        <f>IFERROR(INDEX(样本到样信息汇总统计!T$2:T$500,MATCH(417,样本到样信息汇总统计!$Z$2:$Z$500,0)),"")</f>
        <v/>
      </c>
      <c r="U418" s="4" t="str">
        <f>IFERROR(INDEX(样本到样信息汇总统计!U$2:U$500,MATCH(417,样本到样信息汇总统计!$Z$2:$Z$500,0)),"")</f>
        <v/>
      </c>
      <c r="V418" s="4" t="str">
        <f>IFERROR(INDEX(样本到样信息汇总统计!V$2:V$500,MATCH(417,样本到样信息汇总统计!$Z$2:$Z$500,0)),"")</f>
        <v/>
      </c>
      <c r="W418" s="4" t="str">
        <f>IFERROR(INDEX(样本到样信息汇总统计!W$2:W$500,MATCH(417,样本到样信息汇总统计!$Z$2:$Z$500,0)),"")</f>
        <v/>
      </c>
    </row>
    <row r="419" ht="14.5" spans="1:23">
      <c r="A419" s="8" t="str">
        <f>IFERROR(INDEX(样本到样信息汇总统计!A$2:A$500,MATCH(418,样本到样信息汇总统计!$Z$2:$Z$500,0)),"")</f>
        <v/>
      </c>
      <c r="B419" s="8" t="str">
        <f>IFERROR(INDEX(样本到样信息汇总统计!B$2:B$500,MATCH(418,样本到样信息汇总统计!$Z$2:$Z$500,0)),"")</f>
        <v/>
      </c>
      <c r="C419" s="8" t="str">
        <f>IFERROR(INDEX(样本到样信息汇总统计!C$2:C$500,MATCH(418,样本到样信息汇总统计!$Z$2:$Z$500,0)),"")</f>
        <v/>
      </c>
      <c r="D419" s="8" t="str">
        <f>IFERROR(INDEX(样本到样信息汇总统计!D$2:D$500,MATCH(418,样本到样信息汇总统计!$Z$2:$Z$500,0)),"")</f>
        <v/>
      </c>
      <c r="E419" s="8" t="str">
        <f>IFERROR(INDEX(样本到样信息汇总统计!E$2:E$500,MATCH(418,样本到样信息汇总统计!$Z$2:$Z$500,0)),"")</f>
        <v/>
      </c>
      <c r="F419" s="8" t="str">
        <f>IFERROR(INDEX(样本到样信息汇总统计!F$2:F$500,MATCH(418,样本到样信息汇总统计!$Z$2:$Z$500,0)),"")</f>
        <v/>
      </c>
      <c r="G419" s="8" t="str">
        <f>IFERROR(INDEX(样本到样信息汇总统计!G$2:G$500,MATCH(418,样本到样信息汇总统计!$Z$2:$Z$500,0)),"")</f>
        <v/>
      </c>
      <c r="H419" s="8" t="str">
        <f>IFERROR(INDEX(样本到样信息汇总统计!H$2:H$500,MATCH(418,样本到样信息汇总统计!$Z$2:$Z$500,0)),"")</f>
        <v/>
      </c>
      <c r="I419" s="8" t="str">
        <f>IFERROR(INDEX(样本到样信息汇总统计!I$2:I$500,MATCH(418,样本到样信息汇总统计!$Z$2:$Z$500,0)),"")</f>
        <v/>
      </c>
      <c r="J419" s="8" t="str">
        <f>IFERROR(INDEX(样本到样信息汇总统计!J$2:J$500,MATCH(418,样本到样信息汇总统计!$Z$2:$Z$500,0)),"")</f>
        <v/>
      </c>
      <c r="K419" s="8" t="str">
        <f>IFERROR(INDEX(样本到样信息汇总统计!K$2:K$500,MATCH(418,样本到样信息汇总统计!$Z$2:$Z$500,0)),"")</f>
        <v/>
      </c>
      <c r="L419" s="8" t="str">
        <f>IFERROR(INDEX(样本到样信息汇总统计!L$2:L$500,MATCH(418,样本到样信息汇总统计!$Z$2:$Z$500,0)),"")</f>
        <v/>
      </c>
      <c r="M419" s="8" t="str">
        <f>IFERROR(INDEX(样本到样信息汇总统计!M$2:M$500,MATCH(418,样本到样信息汇总统计!$Z$2:$Z$500,0)),"")</f>
        <v/>
      </c>
      <c r="N419" s="8" t="str">
        <f>IFERROR(INDEX(样本到样信息汇总统计!N$2:N$500,MATCH(418,样本到样信息汇总统计!$Z$2:$Z$500,0)),"")</f>
        <v/>
      </c>
      <c r="O419" s="8" t="str">
        <f>IFERROR(INDEX(样本到样信息汇总统计!O$2:O$500,MATCH(418,样本到样信息汇总统计!$Z$2:$Z$500,0)),"")</f>
        <v/>
      </c>
      <c r="P419" s="8" t="str">
        <f>IFERROR(INDEX(样本到样信息汇总统计!P$2:P$500,MATCH(418,样本到样信息汇总统计!$Z$2:$Z$500,0)),"")</f>
        <v/>
      </c>
      <c r="Q419" s="8" t="str">
        <f>IFERROR(INDEX(样本到样信息汇总统计!Q$2:Q$500,MATCH(418,样本到样信息汇总统计!$Z$2:$Z$500,0)),"")</f>
        <v/>
      </c>
      <c r="R419" s="8" t="str">
        <f>IFERROR(INDEX(样本到样信息汇总统计!R$2:R$500,MATCH(418,样本到样信息汇总统计!$Z$2:$Z$500,0)),"")</f>
        <v/>
      </c>
      <c r="S419" s="8" t="str">
        <f>IFERROR(INDEX(样本到样信息汇总统计!S$2:S$500,MATCH(418,样本到样信息汇总统计!$Z$2:$Z$500,0)),"")</f>
        <v/>
      </c>
      <c r="T419" s="8" t="str">
        <f>IFERROR(INDEX(样本到样信息汇总统计!T$2:T$500,MATCH(418,样本到样信息汇总统计!$Z$2:$Z$500,0)),"")</f>
        <v/>
      </c>
      <c r="U419" s="8" t="str">
        <f>IFERROR(INDEX(样本到样信息汇总统计!U$2:U$500,MATCH(418,样本到样信息汇总统计!$Z$2:$Z$500,0)),"")</f>
        <v/>
      </c>
      <c r="V419" s="8" t="str">
        <f>IFERROR(INDEX(样本到样信息汇总统计!V$2:V$500,MATCH(418,样本到样信息汇总统计!$Z$2:$Z$500,0)),"")</f>
        <v/>
      </c>
      <c r="W419" s="8" t="str">
        <f>IFERROR(INDEX(样本到样信息汇总统计!W$2:W$500,MATCH(418,样本到样信息汇总统计!$Z$2:$Z$500,0)),"")</f>
        <v/>
      </c>
    </row>
    <row r="420" ht="14.5" spans="1:23">
      <c r="A420" s="4" t="str">
        <f>IFERROR(INDEX(样本到样信息汇总统计!A$2:A$500,MATCH(419,样本到样信息汇总统计!$Z$2:$Z$500,0)),"")</f>
        <v/>
      </c>
      <c r="B420" s="4" t="str">
        <f>IFERROR(INDEX(样本到样信息汇总统计!B$2:B$500,MATCH(419,样本到样信息汇总统计!$Z$2:$Z$500,0)),"")</f>
        <v/>
      </c>
      <c r="C420" s="4" t="str">
        <f>IFERROR(INDEX(样本到样信息汇总统计!C$2:C$500,MATCH(419,样本到样信息汇总统计!$Z$2:$Z$500,0)),"")</f>
        <v/>
      </c>
      <c r="D420" s="4" t="str">
        <f>IFERROR(INDEX(样本到样信息汇总统计!D$2:D$500,MATCH(419,样本到样信息汇总统计!$Z$2:$Z$500,0)),"")</f>
        <v/>
      </c>
      <c r="E420" s="4" t="str">
        <f>IFERROR(INDEX(样本到样信息汇总统计!E$2:E$500,MATCH(419,样本到样信息汇总统计!$Z$2:$Z$500,0)),"")</f>
        <v/>
      </c>
      <c r="F420" s="4" t="str">
        <f>IFERROR(INDEX(样本到样信息汇总统计!F$2:F$500,MATCH(419,样本到样信息汇总统计!$Z$2:$Z$500,0)),"")</f>
        <v/>
      </c>
      <c r="G420" s="4" t="str">
        <f>IFERROR(INDEX(样本到样信息汇总统计!G$2:G$500,MATCH(419,样本到样信息汇总统计!$Z$2:$Z$500,0)),"")</f>
        <v/>
      </c>
      <c r="H420" s="4" t="str">
        <f>IFERROR(INDEX(样本到样信息汇总统计!H$2:H$500,MATCH(419,样本到样信息汇总统计!$Z$2:$Z$500,0)),"")</f>
        <v/>
      </c>
      <c r="I420" s="4" t="str">
        <f>IFERROR(INDEX(样本到样信息汇总统计!I$2:I$500,MATCH(419,样本到样信息汇总统计!$Z$2:$Z$500,0)),"")</f>
        <v/>
      </c>
      <c r="J420" s="4" t="str">
        <f>IFERROR(INDEX(样本到样信息汇总统计!J$2:J$500,MATCH(419,样本到样信息汇总统计!$Z$2:$Z$500,0)),"")</f>
        <v/>
      </c>
      <c r="K420" s="4" t="str">
        <f>IFERROR(INDEX(样本到样信息汇总统计!K$2:K$500,MATCH(419,样本到样信息汇总统计!$Z$2:$Z$500,0)),"")</f>
        <v/>
      </c>
      <c r="L420" s="4" t="str">
        <f>IFERROR(INDEX(样本到样信息汇总统计!L$2:L$500,MATCH(419,样本到样信息汇总统计!$Z$2:$Z$500,0)),"")</f>
        <v/>
      </c>
      <c r="M420" s="4" t="str">
        <f>IFERROR(INDEX(样本到样信息汇总统计!M$2:M$500,MATCH(419,样本到样信息汇总统计!$Z$2:$Z$500,0)),"")</f>
        <v/>
      </c>
      <c r="N420" s="4" t="str">
        <f>IFERROR(INDEX(样本到样信息汇总统计!N$2:N$500,MATCH(419,样本到样信息汇总统计!$Z$2:$Z$500,0)),"")</f>
        <v/>
      </c>
      <c r="O420" s="4" t="str">
        <f>IFERROR(INDEX(样本到样信息汇总统计!O$2:O$500,MATCH(419,样本到样信息汇总统计!$Z$2:$Z$500,0)),"")</f>
        <v/>
      </c>
      <c r="P420" s="4" t="str">
        <f>IFERROR(INDEX(样本到样信息汇总统计!P$2:P$500,MATCH(419,样本到样信息汇总统计!$Z$2:$Z$500,0)),"")</f>
        <v/>
      </c>
      <c r="Q420" s="4" t="str">
        <f>IFERROR(INDEX(样本到样信息汇总统计!Q$2:Q$500,MATCH(419,样本到样信息汇总统计!$Z$2:$Z$500,0)),"")</f>
        <v/>
      </c>
      <c r="R420" s="4" t="str">
        <f>IFERROR(INDEX(样本到样信息汇总统计!R$2:R$500,MATCH(419,样本到样信息汇总统计!$Z$2:$Z$500,0)),"")</f>
        <v/>
      </c>
      <c r="S420" s="4" t="str">
        <f>IFERROR(INDEX(样本到样信息汇总统计!S$2:S$500,MATCH(419,样本到样信息汇总统计!$Z$2:$Z$500,0)),"")</f>
        <v/>
      </c>
      <c r="T420" s="4" t="str">
        <f>IFERROR(INDEX(样本到样信息汇总统计!T$2:T$500,MATCH(419,样本到样信息汇总统计!$Z$2:$Z$500,0)),"")</f>
        <v/>
      </c>
      <c r="U420" s="4" t="str">
        <f>IFERROR(INDEX(样本到样信息汇总统计!U$2:U$500,MATCH(419,样本到样信息汇总统计!$Z$2:$Z$500,0)),"")</f>
        <v/>
      </c>
      <c r="V420" s="4" t="str">
        <f>IFERROR(INDEX(样本到样信息汇总统计!V$2:V$500,MATCH(419,样本到样信息汇总统计!$Z$2:$Z$500,0)),"")</f>
        <v/>
      </c>
      <c r="W420" s="4" t="str">
        <f>IFERROR(INDEX(样本到样信息汇总统计!W$2:W$500,MATCH(419,样本到样信息汇总统计!$Z$2:$Z$500,0)),"")</f>
        <v/>
      </c>
    </row>
    <row r="421" ht="14.5" spans="1:23">
      <c r="A421" s="8" t="str">
        <f>IFERROR(INDEX(样本到样信息汇总统计!A$2:A$500,MATCH(420,样本到样信息汇总统计!$Z$2:$Z$500,0)),"")</f>
        <v/>
      </c>
      <c r="B421" s="8" t="str">
        <f>IFERROR(INDEX(样本到样信息汇总统计!B$2:B$500,MATCH(420,样本到样信息汇总统计!$Z$2:$Z$500,0)),"")</f>
        <v/>
      </c>
      <c r="C421" s="8" t="str">
        <f>IFERROR(INDEX(样本到样信息汇总统计!C$2:C$500,MATCH(420,样本到样信息汇总统计!$Z$2:$Z$500,0)),"")</f>
        <v/>
      </c>
      <c r="D421" s="8" t="str">
        <f>IFERROR(INDEX(样本到样信息汇总统计!D$2:D$500,MATCH(420,样本到样信息汇总统计!$Z$2:$Z$500,0)),"")</f>
        <v/>
      </c>
      <c r="E421" s="8" t="str">
        <f>IFERROR(INDEX(样本到样信息汇总统计!E$2:E$500,MATCH(420,样本到样信息汇总统计!$Z$2:$Z$500,0)),"")</f>
        <v/>
      </c>
      <c r="F421" s="8" t="str">
        <f>IFERROR(INDEX(样本到样信息汇总统计!F$2:F$500,MATCH(420,样本到样信息汇总统计!$Z$2:$Z$500,0)),"")</f>
        <v/>
      </c>
      <c r="G421" s="8" t="str">
        <f>IFERROR(INDEX(样本到样信息汇总统计!G$2:G$500,MATCH(420,样本到样信息汇总统计!$Z$2:$Z$500,0)),"")</f>
        <v/>
      </c>
      <c r="H421" s="8" t="str">
        <f>IFERROR(INDEX(样本到样信息汇总统计!H$2:H$500,MATCH(420,样本到样信息汇总统计!$Z$2:$Z$500,0)),"")</f>
        <v/>
      </c>
      <c r="I421" s="8" t="str">
        <f>IFERROR(INDEX(样本到样信息汇总统计!I$2:I$500,MATCH(420,样本到样信息汇总统计!$Z$2:$Z$500,0)),"")</f>
        <v/>
      </c>
      <c r="J421" s="8" t="str">
        <f>IFERROR(INDEX(样本到样信息汇总统计!J$2:J$500,MATCH(420,样本到样信息汇总统计!$Z$2:$Z$500,0)),"")</f>
        <v/>
      </c>
      <c r="K421" s="8" t="str">
        <f>IFERROR(INDEX(样本到样信息汇总统计!K$2:K$500,MATCH(420,样本到样信息汇总统计!$Z$2:$Z$500,0)),"")</f>
        <v/>
      </c>
      <c r="L421" s="8" t="str">
        <f>IFERROR(INDEX(样本到样信息汇总统计!L$2:L$500,MATCH(420,样本到样信息汇总统计!$Z$2:$Z$500,0)),"")</f>
        <v/>
      </c>
      <c r="M421" s="8" t="str">
        <f>IFERROR(INDEX(样本到样信息汇总统计!M$2:M$500,MATCH(420,样本到样信息汇总统计!$Z$2:$Z$500,0)),"")</f>
        <v/>
      </c>
      <c r="N421" s="8" t="str">
        <f>IFERROR(INDEX(样本到样信息汇总统计!N$2:N$500,MATCH(420,样本到样信息汇总统计!$Z$2:$Z$500,0)),"")</f>
        <v/>
      </c>
      <c r="O421" s="8" t="str">
        <f>IFERROR(INDEX(样本到样信息汇总统计!O$2:O$500,MATCH(420,样本到样信息汇总统计!$Z$2:$Z$500,0)),"")</f>
        <v/>
      </c>
      <c r="P421" s="8" t="str">
        <f>IFERROR(INDEX(样本到样信息汇总统计!P$2:P$500,MATCH(420,样本到样信息汇总统计!$Z$2:$Z$500,0)),"")</f>
        <v/>
      </c>
      <c r="Q421" s="8" t="str">
        <f>IFERROR(INDEX(样本到样信息汇总统计!Q$2:Q$500,MATCH(420,样本到样信息汇总统计!$Z$2:$Z$500,0)),"")</f>
        <v/>
      </c>
      <c r="R421" s="8" t="str">
        <f>IFERROR(INDEX(样本到样信息汇总统计!R$2:R$500,MATCH(420,样本到样信息汇总统计!$Z$2:$Z$500,0)),"")</f>
        <v/>
      </c>
      <c r="S421" s="8" t="str">
        <f>IFERROR(INDEX(样本到样信息汇总统计!S$2:S$500,MATCH(420,样本到样信息汇总统计!$Z$2:$Z$500,0)),"")</f>
        <v/>
      </c>
      <c r="T421" s="8" t="str">
        <f>IFERROR(INDEX(样本到样信息汇总统计!T$2:T$500,MATCH(420,样本到样信息汇总统计!$Z$2:$Z$500,0)),"")</f>
        <v/>
      </c>
      <c r="U421" s="8" t="str">
        <f>IFERROR(INDEX(样本到样信息汇总统计!U$2:U$500,MATCH(420,样本到样信息汇总统计!$Z$2:$Z$500,0)),"")</f>
        <v/>
      </c>
      <c r="V421" s="8" t="str">
        <f>IFERROR(INDEX(样本到样信息汇总统计!V$2:V$500,MATCH(420,样本到样信息汇总统计!$Z$2:$Z$500,0)),"")</f>
        <v/>
      </c>
      <c r="W421" s="8" t="str">
        <f>IFERROR(INDEX(样本到样信息汇总统计!W$2:W$500,MATCH(420,样本到样信息汇总统计!$Z$2:$Z$500,0)),"")</f>
        <v/>
      </c>
    </row>
    <row r="422" ht="14.5" spans="1:23">
      <c r="A422" s="4" t="str">
        <f>IFERROR(INDEX(样本到样信息汇总统计!A$2:A$500,MATCH(421,样本到样信息汇总统计!$Z$2:$Z$500,0)),"")</f>
        <v/>
      </c>
      <c r="B422" s="4" t="str">
        <f>IFERROR(INDEX(样本到样信息汇总统计!B$2:B$500,MATCH(421,样本到样信息汇总统计!$Z$2:$Z$500,0)),"")</f>
        <v/>
      </c>
      <c r="C422" s="4" t="str">
        <f>IFERROR(INDEX(样本到样信息汇总统计!C$2:C$500,MATCH(421,样本到样信息汇总统计!$Z$2:$Z$500,0)),"")</f>
        <v/>
      </c>
      <c r="D422" s="4" t="str">
        <f>IFERROR(INDEX(样本到样信息汇总统计!D$2:D$500,MATCH(421,样本到样信息汇总统计!$Z$2:$Z$500,0)),"")</f>
        <v/>
      </c>
      <c r="E422" s="4" t="str">
        <f>IFERROR(INDEX(样本到样信息汇总统计!E$2:E$500,MATCH(421,样本到样信息汇总统计!$Z$2:$Z$500,0)),"")</f>
        <v/>
      </c>
      <c r="F422" s="4" t="str">
        <f>IFERROR(INDEX(样本到样信息汇总统计!F$2:F$500,MATCH(421,样本到样信息汇总统计!$Z$2:$Z$500,0)),"")</f>
        <v/>
      </c>
      <c r="G422" s="4" t="str">
        <f>IFERROR(INDEX(样本到样信息汇总统计!G$2:G$500,MATCH(421,样本到样信息汇总统计!$Z$2:$Z$500,0)),"")</f>
        <v/>
      </c>
      <c r="H422" s="4" t="str">
        <f>IFERROR(INDEX(样本到样信息汇总统计!H$2:H$500,MATCH(421,样本到样信息汇总统计!$Z$2:$Z$500,0)),"")</f>
        <v/>
      </c>
      <c r="I422" s="4" t="str">
        <f>IFERROR(INDEX(样本到样信息汇总统计!I$2:I$500,MATCH(421,样本到样信息汇总统计!$Z$2:$Z$500,0)),"")</f>
        <v/>
      </c>
      <c r="J422" s="4" t="str">
        <f>IFERROR(INDEX(样本到样信息汇总统计!J$2:J$500,MATCH(421,样本到样信息汇总统计!$Z$2:$Z$500,0)),"")</f>
        <v/>
      </c>
      <c r="K422" s="4" t="str">
        <f>IFERROR(INDEX(样本到样信息汇总统计!K$2:K$500,MATCH(421,样本到样信息汇总统计!$Z$2:$Z$500,0)),"")</f>
        <v/>
      </c>
      <c r="L422" s="4" t="str">
        <f>IFERROR(INDEX(样本到样信息汇总统计!L$2:L$500,MATCH(421,样本到样信息汇总统计!$Z$2:$Z$500,0)),"")</f>
        <v/>
      </c>
      <c r="M422" s="4" t="str">
        <f>IFERROR(INDEX(样本到样信息汇总统计!M$2:M$500,MATCH(421,样本到样信息汇总统计!$Z$2:$Z$500,0)),"")</f>
        <v/>
      </c>
      <c r="N422" s="4" t="str">
        <f>IFERROR(INDEX(样本到样信息汇总统计!N$2:N$500,MATCH(421,样本到样信息汇总统计!$Z$2:$Z$500,0)),"")</f>
        <v/>
      </c>
      <c r="O422" s="4" t="str">
        <f>IFERROR(INDEX(样本到样信息汇总统计!O$2:O$500,MATCH(421,样本到样信息汇总统计!$Z$2:$Z$500,0)),"")</f>
        <v/>
      </c>
      <c r="P422" s="4" t="str">
        <f>IFERROR(INDEX(样本到样信息汇总统计!P$2:P$500,MATCH(421,样本到样信息汇总统计!$Z$2:$Z$500,0)),"")</f>
        <v/>
      </c>
      <c r="Q422" s="4" t="str">
        <f>IFERROR(INDEX(样本到样信息汇总统计!Q$2:Q$500,MATCH(421,样本到样信息汇总统计!$Z$2:$Z$500,0)),"")</f>
        <v/>
      </c>
      <c r="R422" s="4" t="str">
        <f>IFERROR(INDEX(样本到样信息汇总统计!R$2:R$500,MATCH(421,样本到样信息汇总统计!$Z$2:$Z$500,0)),"")</f>
        <v/>
      </c>
      <c r="S422" s="4" t="str">
        <f>IFERROR(INDEX(样本到样信息汇总统计!S$2:S$500,MATCH(421,样本到样信息汇总统计!$Z$2:$Z$500,0)),"")</f>
        <v/>
      </c>
      <c r="T422" s="4" t="str">
        <f>IFERROR(INDEX(样本到样信息汇总统计!T$2:T$500,MATCH(421,样本到样信息汇总统计!$Z$2:$Z$500,0)),"")</f>
        <v/>
      </c>
      <c r="U422" s="4" t="str">
        <f>IFERROR(INDEX(样本到样信息汇总统计!U$2:U$500,MATCH(421,样本到样信息汇总统计!$Z$2:$Z$500,0)),"")</f>
        <v/>
      </c>
      <c r="V422" s="4" t="str">
        <f>IFERROR(INDEX(样本到样信息汇总统计!V$2:V$500,MATCH(421,样本到样信息汇总统计!$Z$2:$Z$500,0)),"")</f>
        <v/>
      </c>
      <c r="W422" s="4" t="str">
        <f>IFERROR(INDEX(样本到样信息汇总统计!W$2:W$500,MATCH(421,样本到样信息汇总统计!$Z$2:$Z$500,0)),"")</f>
        <v/>
      </c>
    </row>
    <row r="423" ht="14.5" spans="1:23">
      <c r="A423" s="8" t="str">
        <f>IFERROR(INDEX(样本到样信息汇总统计!A$2:A$500,MATCH(422,样本到样信息汇总统计!$Z$2:$Z$500,0)),"")</f>
        <v/>
      </c>
      <c r="B423" s="8" t="str">
        <f>IFERROR(INDEX(样本到样信息汇总统计!B$2:B$500,MATCH(422,样本到样信息汇总统计!$Z$2:$Z$500,0)),"")</f>
        <v/>
      </c>
      <c r="C423" s="8" t="str">
        <f>IFERROR(INDEX(样本到样信息汇总统计!C$2:C$500,MATCH(422,样本到样信息汇总统计!$Z$2:$Z$500,0)),"")</f>
        <v/>
      </c>
      <c r="D423" s="8" t="str">
        <f>IFERROR(INDEX(样本到样信息汇总统计!D$2:D$500,MATCH(422,样本到样信息汇总统计!$Z$2:$Z$500,0)),"")</f>
        <v/>
      </c>
      <c r="E423" s="8" t="str">
        <f>IFERROR(INDEX(样本到样信息汇总统计!E$2:E$500,MATCH(422,样本到样信息汇总统计!$Z$2:$Z$500,0)),"")</f>
        <v/>
      </c>
      <c r="F423" s="8" t="str">
        <f>IFERROR(INDEX(样本到样信息汇总统计!F$2:F$500,MATCH(422,样本到样信息汇总统计!$Z$2:$Z$500,0)),"")</f>
        <v/>
      </c>
      <c r="G423" s="8" t="str">
        <f>IFERROR(INDEX(样本到样信息汇总统计!G$2:G$500,MATCH(422,样本到样信息汇总统计!$Z$2:$Z$500,0)),"")</f>
        <v/>
      </c>
      <c r="H423" s="8" t="str">
        <f>IFERROR(INDEX(样本到样信息汇总统计!H$2:H$500,MATCH(422,样本到样信息汇总统计!$Z$2:$Z$500,0)),"")</f>
        <v/>
      </c>
      <c r="I423" s="8" t="str">
        <f>IFERROR(INDEX(样本到样信息汇总统计!I$2:I$500,MATCH(422,样本到样信息汇总统计!$Z$2:$Z$500,0)),"")</f>
        <v/>
      </c>
      <c r="J423" s="8" t="str">
        <f>IFERROR(INDEX(样本到样信息汇总统计!J$2:J$500,MATCH(422,样本到样信息汇总统计!$Z$2:$Z$500,0)),"")</f>
        <v/>
      </c>
      <c r="K423" s="8" t="str">
        <f>IFERROR(INDEX(样本到样信息汇总统计!K$2:K$500,MATCH(422,样本到样信息汇总统计!$Z$2:$Z$500,0)),"")</f>
        <v/>
      </c>
      <c r="L423" s="8" t="str">
        <f>IFERROR(INDEX(样本到样信息汇总统计!L$2:L$500,MATCH(422,样本到样信息汇总统计!$Z$2:$Z$500,0)),"")</f>
        <v/>
      </c>
      <c r="M423" s="8" t="str">
        <f>IFERROR(INDEX(样本到样信息汇总统计!M$2:M$500,MATCH(422,样本到样信息汇总统计!$Z$2:$Z$500,0)),"")</f>
        <v/>
      </c>
      <c r="N423" s="8" t="str">
        <f>IFERROR(INDEX(样本到样信息汇总统计!N$2:N$500,MATCH(422,样本到样信息汇总统计!$Z$2:$Z$500,0)),"")</f>
        <v/>
      </c>
      <c r="O423" s="8" t="str">
        <f>IFERROR(INDEX(样本到样信息汇总统计!O$2:O$500,MATCH(422,样本到样信息汇总统计!$Z$2:$Z$500,0)),"")</f>
        <v/>
      </c>
      <c r="P423" s="8" t="str">
        <f>IFERROR(INDEX(样本到样信息汇总统计!P$2:P$500,MATCH(422,样本到样信息汇总统计!$Z$2:$Z$500,0)),"")</f>
        <v/>
      </c>
      <c r="Q423" s="8" t="str">
        <f>IFERROR(INDEX(样本到样信息汇总统计!Q$2:Q$500,MATCH(422,样本到样信息汇总统计!$Z$2:$Z$500,0)),"")</f>
        <v/>
      </c>
      <c r="R423" s="8" t="str">
        <f>IFERROR(INDEX(样本到样信息汇总统计!R$2:R$500,MATCH(422,样本到样信息汇总统计!$Z$2:$Z$500,0)),"")</f>
        <v/>
      </c>
      <c r="S423" s="8" t="str">
        <f>IFERROR(INDEX(样本到样信息汇总统计!S$2:S$500,MATCH(422,样本到样信息汇总统计!$Z$2:$Z$500,0)),"")</f>
        <v/>
      </c>
      <c r="T423" s="8" t="str">
        <f>IFERROR(INDEX(样本到样信息汇总统计!T$2:T$500,MATCH(422,样本到样信息汇总统计!$Z$2:$Z$500,0)),"")</f>
        <v/>
      </c>
      <c r="U423" s="8" t="str">
        <f>IFERROR(INDEX(样本到样信息汇总统计!U$2:U$500,MATCH(422,样本到样信息汇总统计!$Z$2:$Z$500,0)),"")</f>
        <v/>
      </c>
      <c r="V423" s="8" t="str">
        <f>IFERROR(INDEX(样本到样信息汇总统计!V$2:V$500,MATCH(422,样本到样信息汇总统计!$Z$2:$Z$500,0)),"")</f>
        <v/>
      </c>
      <c r="W423" s="8" t="str">
        <f>IFERROR(INDEX(样本到样信息汇总统计!W$2:W$500,MATCH(422,样本到样信息汇总统计!$Z$2:$Z$500,0)),"")</f>
        <v/>
      </c>
    </row>
    <row r="424" ht="14.5" spans="1:23">
      <c r="A424" s="4" t="str">
        <f>IFERROR(INDEX(样本到样信息汇总统计!A$2:A$500,MATCH(423,样本到样信息汇总统计!$Z$2:$Z$500,0)),"")</f>
        <v/>
      </c>
      <c r="B424" s="4" t="str">
        <f>IFERROR(INDEX(样本到样信息汇总统计!B$2:B$500,MATCH(423,样本到样信息汇总统计!$Z$2:$Z$500,0)),"")</f>
        <v/>
      </c>
      <c r="C424" s="4" t="str">
        <f>IFERROR(INDEX(样本到样信息汇总统计!C$2:C$500,MATCH(423,样本到样信息汇总统计!$Z$2:$Z$500,0)),"")</f>
        <v/>
      </c>
      <c r="D424" s="4" t="str">
        <f>IFERROR(INDEX(样本到样信息汇总统计!D$2:D$500,MATCH(423,样本到样信息汇总统计!$Z$2:$Z$500,0)),"")</f>
        <v/>
      </c>
      <c r="E424" s="4" t="str">
        <f>IFERROR(INDEX(样本到样信息汇总统计!E$2:E$500,MATCH(423,样本到样信息汇总统计!$Z$2:$Z$500,0)),"")</f>
        <v/>
      </c>
      <c r="F424" s="4" t="str">
        <f>IFERROR(INDEX(样本到样信息汇总统计!F$2:F$500,MATCH(423,样本到样信息汇总统计!$Z$2:$Z$500,0)),"")</f>
        <v/>
      </c>
      <c r="G424" s="4" t="str">
        <f>IFERROR(INDEX(样本到样信息汇总统计!G$2:G$500,MATCH(423,样本到样信息汇总统计!$Z$2:$Z$500,0)),"")</f>
        <v/>
      </c>
      <c r="H424" s="4" t="str">
        <f>IFERROR(INDEX(样本到样信息汇总统计!H$2:H$500,MATCH(423,样本到样信息汇总统计!$Z$2:$Z$500,0)),"")</f>
        <v/>
      </c>
      <c r="I424" s="4" t="str">
        <f>IFERROR(INDEX(样本到样信息汇总统计!I$2:I$500,MATCH(423,样本到样信息汇总统计!$Z$2:$Z$500,0)),"")</f>
        <v/>
      </c>
      <c r="J424" s="4" t="str">
        <f>IFERROR(INDEX(样本到样信息汇总统计!J$2:J$500,MATCH(423,样本到样信息汇总统计!$Z$2:$Z$500,0)),"")</f>
        <v/>
      </c>
      <c r="K424" s="4" t="str">
        <f>IFERROR(INDEX(样本到样信息汇总统计!K$2:K$500,MATCH(423,样本到样信息汇总统计!$Z$2:$Z$500,0)),"")</f>
        <v/>
      </c>
      <c r="L424" s="4" t="str">
        <f>IFERROR(INDEX(样本到样信息汇总统计!L$2:L$500,MATCH(423,样本到样信息汇总统计!$Z$2:$Z$500,0)),"")</f>
        <v/>
      </c>
      <c r="M424" s="4" t="str">
        <f>IFERROR(INDEX(样本到样信息汇总统计!M$2:M$500,MATCH(423,样本到样信息汇总统计!$Z$2:$Z$500,0)),"")</f>
        <v/>
      </c>
      <c r="N424" s="4" t="str">
        <f>IFERROR(INDEX(样本到样信息汇总统计!N$2:N$500,MATCH(423,样本到样信息汇总统计!$Z$2:$Z$500,0)),"")</f>
        <v/>
      </c>
      <c r="O424" s="4" t="str">
        <f>IFERROR(INDEX(样本到样信息汇总统计!O$2:O$500,MATCH(423,样本到样信息汇总统计!$Z$2:$Z$500,0)),"")</f>
        <v/>
      </c>
      <c r="P424" s="4" t="str">
        <f>IFERROR(INDEX(样本到样信息汇总统计!P$2:P$500,MATCH(423,样本到样信息汇总统计!$Z$2:$Z$500,0)),"")</f>
        <v/>
      </c>
      <c r="Q424" s="4" t="str">
        <f>IFERROR(INDEX(样本到样信息汇总统计!Q$2:Q$500,MATCH(423,样本到样信息汇总统计!$Z$2:$Z$500,0)),"")</f>
        <v/>
      </c>
      <c r="R424" s="4" t="str">
        <f>IFERROR(INDEX(样本到样信息汇总统计!R$2:R$500,MATCH(423,样本到样信息汇总统计!$Z$2:$Z$500,0)),"")</f>
        <v/>
      </c>
      <c r="S424" s="4" t="str">
        <f>IFERROR(INDEX(样本到样信息汇总统计!S$2:S$500,MATCH(423,样本到样信息汇总统计!$Z$2:$Z$500,0)),"")</f>
        <v/>
      </c>
      <c r="T424" s="4" t="str">
        <f>IFERROR(INDEX(样本到样信息汇总统计!T$2:T$500,MATCH(423,样本到样信息汇总统计!$Z$2:$Z$500,0)),"")</f>
        <v/>
      </c>
      <c r="U424" s="4" t="str">
        <f>IFERROR(INDEX(样本到样信息汇总统计!U$2:U$500,MATCH(423,样本到样信息汇总统计!$Z$2:$Z$500,0)),"")</f>
        <v/>
      </c>
      <c r="V424" s="4" t="str">
        <f>IFERROR(INDEX(样本到样信息汇总统计!V$2:V$500,MATCH(423,样本到样信息汇总统计!$Z$2:$Z$500,0)),"")</f>
        <v/>
      </c>
      <c r="W424" s="4" t="str">
        <f>IFERROR(INDEX(样本到样信息汇总统计!W$2:W$500,MATCH(423,样本到样信息汇总统计!$Z$2:$Z$500,0)),"")</f>
        <v/>
      </c>
    </row>
    <row r="425" ht="14.5" spans="1:23">
      <c r="A425" s="8" t="str">
        <f>IFERROR(INDEX(样本到样信息汇总统计!A$2:A$500,MATCH(424,样本到样信息汇总统计!$Z$2:$Z$500,0)),"")</f>
        <v/>
      </c>
      <c r="B425" s="8" t="str">
        <f>IFERROR(INDEX(样本到样信息汇总统计!B$2:B$500,MATCH(424,样本到样信息汇总统计!$Z$2:$Z$500,0)),"")</f>
        <v/>
      </c>
      <c r="C425" s="8" t="str">
        <f>IFERROR(INDEX(样本到样信息汇总统计!C$2:C$500,MATCH(424,样本到样信息汇总统计!$Z$2:$Z$500,0)),"")</f>
        <v/>
      </c>
      <c r="D425" s="8" t="str">
        <f>IFERROR(INDEX(样本到样信息汇总统计!D$2:D$500,MATCH(424,样本到样信息汇总统计!$Z$2:$Z$500,0)),"")</f>
        <v/>
      </c>
      <c r="E425" s="8" t="str">
        <f>IFERROR(INDEX(样本到样信息汇总统计!E$2:E$500,MATCH(424,样本到样信息汇总统计!$Z$2:$Z$500,0)),"")</f>
        <v/>
      </c>
      <c r="F425" s="8" t="str">
        <f>IFERROR(INDEX(样本到样信息汇总统计!F$2:F$500,MATCH(424,样本到样信息汇总统计!$Z$2:$Z$500,0)),"")</f>
        <v/>
      </c>
      <c r="G425" s="8" t="str">
        <f>IFERROR(INDEX(样本到样信息汇总统计!G$2:G$500,MATCH(424,样本到样信息汇总统计!$Z$2:$Z$500,0)),"")</f>
        <v/>
      </c>
      <c r="H425" s="8" t="str">
        <f>IFERROR(INDEX(样本到样信息汇总统计!H$2:H$500,MATCH(424,样本到样信息汇总统计!$Z$2:$Z$500,0)),"")</f>
        <v/>
      </c>
      <c r="I425" s="8" t="str">
        <f>IFERROR(INDEX(样本到样信息汇总统计!I$2:I$500,MATCH(424,样本到样信息汇总统计!$Z$2:$Z$500,0)),"")</f>
        <v/>
      </c>
      <c r="J425" s="8" t="str">
        <f>IFERROR(INDEX(样本到样信息汇总统计!J$2:J$500,MATCH(424,样本到样信息汇总统计!$Z$2:$Z$500,0)),"")</f>
        <v/>
      </c>
      <c r="K425" s="8" t="str">
        <f>IFERROR(INDEX(样本到样信息汇总统计!K$2:K$500,MATCH(424,样本到样信息汇总统计!$Z$2:$Z$500,0)),"")</f>
        <v/>
      </c>
      <c r="L425" s="8" t="str">
        <f>IFERROR(INDEX(样本到样信息汇总统计!L$2:L$500,MATCH(424,样本到样信息汇总统计!$Z$2:$Z$500,0)),"")</f>
        <v/>
      </c>
      <c r="M425" s="8" t="str">
        <f>IFERROR(INDEX(样本到样信息汇总统计!M$2:M$500,MATCH(424,样本到样信息汇总统计!$Z$2:$Z$500,0)),"")</f>
        <v/>
      </c>
      <c r="N425" s="8" t="str">
        <f>IFERROR(INDEX(样本到样信息汇总统计!N$2:N$500,MATCH(424,样本到样信息汇总统计!$Z$2:$Z$500,0)),"")</f>
        <v/>
      </c>
      <c r="O425" s="8" t="str">
        <f>IFERROR(INDEX(样本到样信息汇总统计!O$2:O$500,MATCH(424,样本到样信息汇总统计!$Z$2:$Z$500,0)),"")</f>
        <v/>
      </c>
      <c r="P425" s="8" t="str">
        <f>IFERROR(INDEX(样本到样信息汇总统计!P$2:P$500,MATCH(424,样本到样信息汇总统计!$Z$2:$Z$500,0)),"")</f>
        <v/>
      </c>
      <c r="Q425" s="8" t="str">
        <f>IFERROR(INDEX(样本到样信息汇总统计!Q$2:Q$500,MATCH(424,样本到样信息汇总统计!$Z$2:$Z$500,0)),"")</f>
        <v/>
      </c>
      <c r="R425" s="8" t="str">
        <f>IFERROR(INDEX(样本到样信息汇总统计!R$2:R$500,MATCH(424,样本到样信息汇总统计!$Z$2:$Z$500,0)),"")</f>
        <v/>
      </c>
      <c r="S425" s="8" t="str">
        <f>IFERROR(INDEX(样本到样信息汇总统计!S$2:S$500,MATCH(424,样本到样信息汇总统计!$Z$2:$Z$500,0)),"")</f>
        <v/>
      </c>
      <c r="T425" s="8" t="str">
        <f>IFERROR(INDEX(样本到样信息汇总统计!T$2:T$500,MATCH(424,样本到样信息汇总统计!$Z$2:$Z$500,0)),"")</f>
        <v/>
      </c>
      <c r="U425" s="8" t="str">
        <f>IFERROR(INDEX(样本到样信息汇总统计!U$2:U$500,MATCH(424,样本到样信息汇总统计!$Z$2:$Z$500,0)),"")</f>
        <v/>
      </c>
      <c r="V425" s="8" t="str">
        <f>IFERROR(INDEX(样本到样信息汇总统计!V$2:V$500,MATCH(424,样本到样信息汇总统计!$Z$2:$Z$500,0)),"")</f>
        <v/>
      </c>
      <c r="W425" s="8" t="str">
        <f>IFERROR(INDEX(样本到样信息汇总统计!W$2:W$500,MATCH(424,样本到样信息汇总统计!$Z$2:$Z$500,0)),"")</f>
        <v/>
      </c>
    </row>
    <row r="426" ht="14.5" spans="1:23">
      <c r="A426" s="4" t="str">
        <f>IFERROR(INDEX(样本到样信息汇总统计!A$2:A$500,MATCH(425,样本到样信息汇总统计!$Z$2:$Z$500,0)),"")</f>
        <v/>
      </c>
      <c r="B426" s="4" t="str">
        <f>IFERROR(INDEX(样本到样信息汇总统计!B$2:B$500,MATCH(425,样本到样信息汇总统计!$Z$2:$Z$500,0)),"")</f>
        <v/>
      </c>
      <c r="C426" s="4" t="str">
        <f>IFERROR(INDEX(样本到样信息汇总统计!C$2:C$500,MATCH(425,样本到样信息汇总统计!$Z$2:$Z$500,0)),"")</f>
        <v/>
      </c>
      <c r="D426" s="4" t="str">
        <f>IFERROR(INDEX(样本到样信息汇总统计!D$2:D$500,MATCH(425,样本到样信息汇总统计!$Z$2:$Z$500,0)),"")</f>
        <v/>
      </c>
      <c r="E426" s="4" t="str">
        <f>IFERROR(INDEX(样本到样信息汇总统计!E$2:E$500,MATCH(425,样本到样信息汇总统计!$Z$2:$Z$500,0)),"")</f>
        <v/>
      </c>
      <c r="F426" s="4" t="str">
        <f>IFERROR(INDEX(样本到样信息汇总统计!F$2:F$500,MATCH(425,样本到样信息汇总统计!$Z$2:$Z$500,0)),"")</f>
        <v/>
      </c>
      <c r="G426" s="4" t="str">
        <f>IFERROR(INDEX(样本到样信息汇总统计!G$2:G$500,MATCH(425,样本到样信息汇总统计!$Z$2:$Z$500,0)),"")</f>
        <v/>
      </c>
      <c r="H426" s="4" t="str">
        <f>IFERROR(INDEX(样本到样信息汇总统计!H$2:H$500,MATCH(425,样本到样信息汇总统计!$Z$2:$Z$500,0)),"")</f>
        <v/>
      </c>
      <c r="I426" s="4" t="str">
        <f>IFERROR(INDEX(样本到样信息汇总统计!I$2:I$500,MATCH(425,样本到样信息汇总统计!$Z$2:$Z$500,0)),"")</f>
        <v/>
      </c>
      <c r="J426" s="4" t="str">
        <f>IFERROR(INDEX(样本到样信息汇总统计!J$2:J$500,MATCH(425,样本到样信息汇总统计!$Z$2:$Z$500,0)),"")</f>
        <v/>
      </c>
      <c r="K426" s="4" t="str">
        <f>IFERROR(INDEX(样本到样信息汇总统计!K$2:K$500,MATCH(425,样本到样信息汇总统计!$Z$2:$Z$500,0)),"")</f>
        <v/>
      </c>
      <c r="L426" s="4" t="str">
        <f>IFERROR(INDEX(样本到样信息汇总统计!L$2:L$500,MATCH(425,样本到样信息汇总统计!$Z$2:$Z$500,0)),"")</f>
        <v/>
      </c>
      <c r="M426" s="4" t="str">
        <f>IFERROR(INDEX(样本到样信息汇总统计!M$2:M$500,MATCH(425,样本到样信息汇总统计!$Z$2:$Z$500,0)),"")</f>
        <v/>
      </c>
      <c r="N426" s="4" t="str">
        <f>IFERROR(INDEX(样本到样信息汇总统计!N$2:N$500,MATCH(425,样本到样信息汇总统计!$Z$2:$Z$500,0)),"")</f>
        <v/>
      </c>
      <c r="O426" s="4" t="str">
        <f>IFERROR(INDEX(样本到样信息汇总统计!O$2:O$500,MATCH(425,样本到样信息汇总统计!$Z$2:$Z$500,0)),"")</f>
        <v/>
      </c>
      <c r="P426" s="4" t="str">
        <f>IFERROR(INDEX(样本到样信息汇总统计!P$2:P$500,MATCH(425,样本到样信息汇总统计!$Z$2:$Z$500,0)),"")</f>
        <v/>
      </c>
      <c r="Q426" s="4" t="str">
        <f>IFERROR(INDEX(样本到样信息汇总统计!Q$2:Q$500,MATCH(425,样本到样信息汇总统计!$Z$2:$Z$500,0)),"")</f>
        <v/>
      </c>
      <c r="R426" s="4" t="str">
        <f>IFERROR(INDEX(样本到样信息汇总统计!R$2:R$500,MATCH(425,样本到样信息汇总统计!$Z$2:$Z$500,0)),"")</f>
        <v/>
      </c>
      <c r="S426" s="4" t="str">
        <f>IFERROR(INDEX(样本到样信息汇总统计!S$2:S$500,MATCH(425,样本到样信息汇总统计!$Z$2:$Z$500,0)),"")</f>
        <v/>
      </c>
      <c r="T426" s="4" t="str">
        <f>IFERROR(INDEX(样本到样信息汇总统计!T$2:T$500,MATCH(425,样本到样信息汇总统计!$Z$2:$Z$500,0)),"")</f>
        <v/>
      </c>
      <c r="U426" s="4" t="str">
        <f>IFERROR(INDEX(样本到样信息汇总统计!U$2:U$500,MATCH(425,样本到样信息汇总统计!$Z$2:$Z$500,0)),"")</f>
        <v/>
      </c>
      <c r="V426" s="4" t="str">
        <f>IFERROR(INDEX(样本到样信息汇总统计!V$2:V$500,MATCH(425,样本到样信息汇总统计!$Z$2:$Z$500,0)),"")</f>
        <v/>
      </c>
      <c r="W426" s="4" t="str">
        <f>IFERROR(INDEX(样本到样信息汇总统计!W$2:W$500,MATCH(425,样本到样信息汇总统计!$Z$2:$Z$500,0)),"")</f>
        <v/>
      </c>
    </row>
    <row r="427" ht="14.5" spans="1:23">
      <c r="A427" s="8" t="str">
        <f>IFERROR(INDEX(样本到样信息汇总统计!A$2:A$500,MATCH(426,样本到样信息汇总统计!$Z$2:$Z$500,0)),"")</f>
        <v/>
      </c>
      <c r="B427" s="8" t="str">
        <f>IFERROR(INDEX(样本到样信息汇总统计!B$2:B$500,MATCH(426,样本到样信息汇总统计!$Z$2:$Z$500,0)),"")</f>
        <v/>
      </c>
      <c r="C427" s="8" t="str">
        <f>IFERROR(INDEX(样本到样信息汇总统计!C$2:C$500,MATCH(426,样本到样信息汇总统计!$Z$2:$Z$500,0)),"")</f>
        <v/>
      </c>
      <c r="D427" s="8" t="str">
        <f>IFERROR(INDEX(样本到样信息汇总统计!D$2:D$500,MATCH(426,样本到样信息汇总统计!$Z$2:$Z$500,0)),"")</f>
        <v/>
      </c>
      <c r="E427" s="8" t="str">
        <f>IFERROR(INDEX(样本到样信息汇总统计!E$2:E$500,MATCH(426,样本到样信息汇总统计!$Z$2:$Z$500,0)),"")</f>
        <v/>
      </c>
      <c r="F427" s="8" t="str">
        <f>IFERROR(INDEX(样本到样信息汇总统计!F$2:F$500,MATCH(426,样本到样信息汇总统计!$Z$2:$Z$500,0)),"")</f>
        <v/>
      </c>
      <c r="G427" s="8" t="str">
        <f>IFERROR(INDEX(样本到样信息汇总统计!G$2:G$500,MATCH(426,样本到样信息汇总统计!$Z$2:$Z$500,0)),"")</f>
        <v/>
      </c>
      <c r="H427" s="8" t="str">
        <f>IFERROR(INDEX(样本到样信息汇总统计!H$2:H$500,MATCH(426,样本到样信息汇总统计!$Z$2:$Z$500,0)),"")</f>
        <v/>
      </c>
      <c r="I427" s="8" t="str">
        <f>IFERROR(INDEX(样本到样信息汇总统计!I$2:I$500,MATCH(426,样本到样信息汇总统计!$Z$2:$Z$500,0)),"")</f>
        <v/>
      </c>
      <c r="J427" s="8" t="str">
        <f>IFERROR(INDEX(样本到样信息汇总统计!J$2:J$500,MATCH(426,样本到样信息汇总统计!$Z$2:$Z$500,0)),"")</f>
        <v/>
      </c>
      <c r="K427" s="8" t="str">
        <f>IFERROR(INDEX(样本到样信息汇总统计!K$2:K$500,MATCH(426,样本到样信息汇总统计!$Z$2:$Z$500,0)),"")</f>
        <v/>
      </c>
      <c r="L427" s="8" t="str">
        <f>IFERROR(INDEX(样本到样信息汇总统计!L$2:L$500,MATCH(426,样本到样信息汇总统计!$Z$2:$Z$500,0)),"")</f>
        <v/>
      </c>
      <c r="M427" s="8" t="str">
        <f>IFERROR(INDEX(样本到样信息汇总统计!M$2:M$500,MATCH(426,样本到样信息汇总统计!$Z$2:$Z$500,0)),"")</f>
        <v/>
      </c>
      <c r="N427" s="8" t="str">
        <f>IFERROR(INDEX(样本到样信息汇总统计!N$2:N$500,MATCH(426,样本到样信息汇总统计!$Z$2:$Z$500,0)),"")</f>
        <v/>
      </c>
      <c r="O427" s="8" t="str">
        <f>IFERROR(INDEX(样本到样信息汇总统计!O$2:O$500,MATCH(426,样本到样信息汇总统计!$Z$2:$Z$500,0)),"")</f>
        <v/>
      </c>
      <c r="P427" s="8" t="str">
        <f>IFERROR(INDEX(样本到样信息汇总统计!P$2:P$500,MATCH(426,样本到样信息汇总统计!$Z$2:$Z$500,0)),"")</f>
        <v/>
      </c>
      <c r="Q427" s="8" t="str">
        <f>IFERROR(INDEX(样本到样信息汇总统计!Q$2:Q$500,MATCH(426,样本到样信息汇总统计!$Z$2:$Z$500,0)),"")</f>
        <v/>
      </c>
      <c r="R427" s="8" t="str">
        <f>IFERROR(INDEX(样本到样信息汇总统计!R$2:R$500,MATCH(426,样本到样信息汇总统计!$Z$2:$Z$500,0)),"")</f>
        <v/>
      </c>
      <c r="S427" s="8" t="str">
        <f>IFERROR(INDEX(样本到样信息汇总统计!S$2:S$500,MATCH(426,样本到样信息汇总统计!$Z$2:$Z$500,0)),"")</f>
        <v/>
      </c>
      <c r="T427" s="8" t="str">
        <f>IFERROR(INDEX(样本到样信息汇总统计!T$2:T$500,MATCH(426,样本到样信息汇总统计!$Z$2:$Z$500,0)),"")</f>
        <v/>
      </c>
      <c r="U427" s="8" t="str">
        <f>IFERROR(INDEX(样本到样信息汇总统计!U$2:U$500,MATCH(426,样本到样信息汇总统计!$Z$2:$Z$500,0)),"")</f>
        <v/>
      </c>
      <c r="V427" s="8" t="str">
        <f>IFERROR(INDEX(样本到样信息汇总统计!V$2:V$500,MATCH(426,样本到样信息汇总统计!$Z$2:$Z$500,0)),"")</f>
        <v/>
      </c>
      <c r="W427" s="8" t="str">
        <f>IFERROR(INDEX(样本到样信息汇总统计!W$2:W$500,MATCH(426,样本到样信息汇总统计!$Z$2:$Z$500,0)),"")</f>
        <v/>
      </c>
    </row>
    <row r="428" ht="14.5" spans="1:23">
      <c r="A428" s="4" t="str">
        <f>IFERROR(INDEX(样本到样信息汇总统计!A$2:A$500,MATCH(427,样本到样信息汇总统计!$Z$2:$Z$500,0)),"")</f>
        <v/>
      </c>
      <c r="B428" s="4" t="str">
        <f>IFERROR(INDEX(样本到样信息汇总统计!B$2:B$500,MATCH(427,样本到样信息汇总统计!$Z$2:$Z$500,0)),"")</f>
        <v/>
      </c>
      <c r="C428" s="4" t="str">
        <f>IFERROR(INDEX(样本到样信息汇总统计!C$2:C$500,MATCH(427,样本到样信息汇总统计!$Z$2:$Z$500,0)),"")</f>
        <v/>
      </c>
      <c r="D428" s="4" t="str">
        <f>IFERROR(INDEX(样本到样信息汇总统计!D$2:D$500,MATCH(427,样本到样信息汇总统计!$Z$2:$Z$500,0)),"")</f>
        <v/>
      </c>
      <c r="E428" s="4" t="str">
        <f>IFERROR(INDEX(样本到样信息汇总统计!E$2:E$500,MATCH(427,样本到样信息汇总统计!$Z$2:$Z$500,0)),"")</f>
        <v/>
      </c>
      <c r="F428" s="4" t="str">
        <f>IFERROR(INDEX(样本到样信息汇总统计!F$2:F$500,MATCH(427,样本到样信息汇总统计!$Z$2:$Z$500,0)),"")</f>
        <v/>
      </c>
      <c r="G428" s="4" t="str">
        <f>IFERROR(INDEX(样本到样信息汇总统计!G$2:G$500,MATCH(427,样本到样信息汇总统计!$Z$2:$Z$500,0)),"")</f>
        <v/>
      </c>
      <c r="H428" s="4" t="str">
        <f>IFERROR(INDEX(样本到样信息汇总统计!H$2:H$500,MATCH(427,样本到样信息汇总统计!$Z$2:$Z$500,0)),"")</f>
        <v/>
      </c>
      <c r="I428" s="4" t="str">
        <f>IFERROR(INDEX(样本到样信息汇总统计!I$2:I$500,MATCH(427,样本到样信息汇总统计!$Z$2:$Z$500,0)),"")</f>
        <v/>
      </c>
      <c r="J428" s="4" t="str">
        <f>IFERROR(INDEX(样本到样信息汇总统计!J$2:J$500,MATCH(427,样本到样信息汇总统计!$Z$2:$Z$500,0)),"")</f>
        <v/>
      </c>
      <c r="K428" s="4" t="str">
        <f>IFERROR(INDEX(样本到样信息汇总统计!K$2:K$500,MATCH(427,样本到样信息汇总统计!$Z$2:$Z$500,0)),"")</f>
        <v/>
      </c>
      <c r="L428" s="4" t="str">
        <f>IFERROR(INDEX(样本到样信息汇总统计!L$2:L$500,MATCH(427,样本到样信息汇总统计!$Z$2:$Z$500,0)),"")</f>
        <v/>
      </c>
      <c r="M428" s="4" t="str">
        <f>IFERROR(INDEX(样本到样信息汇总统计!M$2:M$500,MATCH(427,样本到样信息汇总统计!$Z$2:$Z$500,0)),"")</f>
        <v/>
      </c>
      <c r="N428" s="4" t="str">
        <f>IFERROR(INDEX(样本到样信息汇总统计!N$2:N$500,MATCH(427,样本到样信息汇总统计!$Z$2:$Z$500,0)),"")</f>
        <v/>
      </c>
      <c r="O428" s="4" t="str">
        <f>IFERROR(INDEX(样本到样信息汇总统计!O$2:O$500,MATCH(427,样本到样信息汇总统计!$Z$2:$Z$500,0)),"")</f>
        <v/>
      </c>
      <c r="P428" s="4" t="str">
        <f>IFERROR(INDEX(样本到样信息汇总统计!P$2:P$500,MATCH(427,样本到样信息汇总统计!$Z$2:$Z$500,0)),"")</f>
        <v/>
      </c>
      <c r="Q428" s="4" t="str">
        <f>IFERROR(INDEX(样本到样信息汇总统计!Q$2:Q$500,MATCH(427,样本到样信息汇总统计!$Z$2:$Z$500,0)),"")</f>
        <v/>
      </c>
      <c r="R428" s="4" t="str">
        <f>IFERROR(INDEX(样本到样信息汇总统计!R$2:R$500,MATCH(427,样本到样信息汇总统计!$Z$2:$Z$500,0)),"")</f>
        <v/>
      </c>
      <c r="S428" s="4" t="str">
        <f>IFERROR(INDEX(样本到样信息汇总统计!S$2:S$500,MATCH(427,样本到样信息汇总统计!$Z$2:$Z$500,0)),"")</f>
        <v/>
      </c>
      <c r="T428" s="4" t="str">
        <f>IFERROR(INDEX(样本到样信息汇总统计!T$2:T$500,MATCH(427,样本到样信息汇总统计!$Z$2:$Z$500,0)),"")</f>
        <v/>
      </c>
      <c r="U428" s="4" t="str">
        <f>IFERROR(INDEX(样本到样信息汇总统计!U$2:U$500,MATCH(427,样本到样信息汇总统计!$Z$2:$Z$500,0)),"")</f>
        <v/>
      </c>
      <c r="V428" s="4" t="str">
        <f>IFERROR(INDEX(样本到样信息汇总统计!V$2:V$500,MATCH(427,样本到样信息汇总统计!$Z$2:$Z$500,0)),"")</f>
        <v/>
      </c>
      <c r="W428" s="4" t="str">
        <f>IFERROR(INDEX(样本到样信息汇总统计!W$2:W$500,MATCH(427,样本到样信息汇总统计!$Z$2:$Z$500,0)),"")</f>
        <v/>
      </c>
    </row>
    <row r="429" ht="14.5" spans="1:23">
      <c r="A429" s="8" t="str">
        <f>IFERROR(INDEX(样本到样信息汇总统计!A$2:A$500,MATCH(428,样本到样信息汇总统计!$Z$2:$Z$500,0)),"")</f>
        <v/>
      </c>
      <c r="B429" s="8" t="str">
        <f>IFERROR(INDEX(样本到样信息汇总统计!B$2:B$500,MATCH(428,样本到样信息汇总统计!$Z$2:$Z$500,0)),"")</f>
        <v/>
      </c>
      <c r="C429" s="8" t="str">
        <f>IFERROR(INDEX(样本到样信息汇总统计!C$2:C$500,MATCH(428,样本到样信息汇总统计!$Z$2:$Z$500,0)),"")</f>
        <v/>
      </c>
      <c r="D429" s="8" t="str">
        <f>IFERROR(INDEX(样本到样信息汇总统计!D$2:D$500,MATCH(428,样本到样信息汇总统计!$Z$2:$Z$500,0)),"")</f>
        <v/>
      </c>
      <c r="E429" s="8" t="str">
        <f>IFERROR(INDEX(样本到样信息汇总统计!E$2:E$500,MATCH(428,样本到样信息汇总统计!$Z$2:$Z$500,0)),"")</f>
        <v/>
      </c>
      <c r="F429" s="8" t="str">
        <f>IFERROR(INDEX(样本到样信息汇总统计!F$2:F$500,MATCH(428,样本到样信息汇总统计!$Z$2:$Z$500,0)),"")</f>
        <v/>
      </c>
      <c r="G429" s="8" t="str">
        <f>IFERROR(INDEX(样本到样信息汇总统计!G$2:G$500,MATCH(428,样本到样信息汇总统计!$Z$2:$Z$500,0)),"")</f>
        <v/>
      </c>
      <c r="H429" s="8" t="str">
        <f>IFERROR(INDEX(样本到样信息汇总统计!H$2:H$500,MATCH(428,样本到样信息汇总统计!$Z$2:$Z$500,0)),"")</f>
        <v/>
      </c>
      <c r="I429" s="8" t="str">
        <f>IFERROR(INDEX(样本到样信息汇总统计!I$2:I$500,MATCH(428,样本到样信息汇总统计!$Z$2:$Z$500,0)),"")</f>
        <v/>
      </c>
      <c r="J429" s="8" t="str">
        <f>IFERROR(INDEX(样本到样信息汇总统计!J$2:J$500,MATCH(428,样本到样信息汇总统计!$Z$2:$Z$500,0)),"")</f>
        <v/>
      </c>
      <c r="K429" s="8" t="str">
        <f>IFERROR(INDEX(样本到样信息汇总统计!K$2:K$500,MATCH(428,样本到样信息汇总统计!$Z$2:$Z$500,0)),"")</f>
        <v/>
      </c>
      <c r="L429" s="8" t="str">
        <f>IFERROR(INDEX(样本到样信息汇总统计!L$2:L$500,MATCH(428,样本到样信息汇总统计!$Z$2:$Z$500,0)),"")</f>
        <v/>
      </c>
      <c r="M429" s="8" t="str">
        <f>IFERROR(INDEX(样本到样信息汇总统计!M$2:M$500,MATCH(428,样本到样信息汇总统计!$Z$2:$Z$500,0)),"")</f>
        <v/>
      </c>
      <c r="N429" s="8" t="str">
        <f>IFERROR(INDEX(样本到样信息汇总统计!N$2:N$500,MATCH(428,样本到样信息汇总统计!$Z$2:$Z$500,0)),"")</f>
        <v/>
      </c>
      <c r="O429" s="8" t="str">
        <f>IFERROR(INDEX(样本到样信息汇总统计!O$2:O$500,MATCH(428,样本到样信息汇总统计!$Z$2:$Z$500,0)),"")</f>
        <v/>
      </c>
      <c r="P429" s="8" t="str">
        <f>IFERROR(INDEX(样本到样信息汇总统计!P$2:P$500,MATCH(428,样本到样信息汇总统计!$Z$2:$Z$500,0)),"")</f>
        <v/>
      </c>
      <c r="Q429" s="8" t="str">
        <f>IFERROR(INDEX(样本到样信息汇总统计!Q$2:Q$500,MATCH(428,样本到样信息汇总统计!$Z$2:$Z$500,0)),"")</f>
        <v/>
      </c>
      <c r="R429" s="8" t="str">
        <f>IFERROR(INDEX(样本到样信息汇总统计!R$2:R$500,MATCH(428,样本到样信息汇总统计!$Z$2:$Z$500,0)),"")</f>
        <v/>
      </c>
      <c r="S429" s="8" t="str">
        <f>IFERROR(INDEX(样本到样信息汇总统计!S$2:S$500,MATCH(428,样本到样信息汇总统计!$Z$2:$Z$500,0)),"")</f>
        <v/>
      </c>
      <c r="T429" s="8" t="str">
        <f>IFERROR(INDEX(样本到样信息汇总统计!T$2:T$500,MATCH(428,样本到样信息汇总统计!$Z$2:$Z$500,0)),"")</f>
        <v/>
      </c>
      <c r="U429" s="8" t="str">
        <f>IFERROR(INDEX(样本到样信息汇总统计!U$2:U$500,MATCH(428,样本到样信息汇总统计!$Z$2:$Z$500,0)),"")</f>
        <v/>
      </c>
      <c r="V429" s="8" t="str">
        <f>IFERROR(INDEX(样本到样信息汇总统计!V$2:V$500,MATCH(428,样本到样信息汇总统计!$Z$2:$Z$500,0)),"")</f>
        <v/>
      </c>
      <c r="W429" s="8" t="str">
        <f>IFERROR(INDEX(样本到样信息汇总统计!W$2:W$500,MATCH(428,样本到样信息汇总统计!$Z$2:$Z$500,0)),"")</f>
        <v/>
      </c>
    </row>
    <row r="430" ht="14.5" spans="1:23">
      <c r="A430" s="4" t="str">
        <f>IFERROR(INDEX(样本到样信息汇总统计!A$2:A$500,MATCH(429,样本到样信息汇总统计!$Z$2:$Z$500,0)),"")</f>
        <v/>
      </c>
      <c r="B430" s="4" t="str">
        <f>IFERROR(INDEX(样本到样信息汇总统计!B$2:B$500,MATCH(429,样本到样信息汇总统计!$Z$2:$Z$500,0)),"")</f>
        <v/>
      </c>
      <c r="C430" s="4" t="str">
        <f>IFERROR(INDEX(样本到样信息汇总统计!C$2:C$500,MATCH(429,样本到样信息汇总统计!$Z$2:$Z$500,0)),"")</f>
        <v/>
      </c>
      <c r="D430" s="4" t="str">
        <f>IFERROR(INDEX(样本到样信息汇总统计!D$2:D$500,MATCH(429,样本到样信息汇总统计!$Z$2:$Z$500,0)),"")</f>
        <v/>
      </c>
      <c r="E430" s="4" t="str">
        <f>IFERROR(INDEX(样本到样信息汇总统计!E$2:E$500,MATCH(429,样本到样信息汇总统计!$Z$2:$Z$500,0)),"")</f>
        <v/>
      </c>
      <c r="F430" s="4" t="str">
        <f>IFERROR(INDEX(样本到样信息汇总统计!F$2:F$500,MATCH(429,样本到样信息汇总统计!$Z$2:$Z$500,0)),"")</f>
        <v/>
      </c>
      <c r="G430" s="4" t="str">
        <f>IFERROR(INDEX(样本到样信息汇总统计!G$2:G$500,MATCH(429,样本到样信息汇总统计!$Z$2:$Z$500,0)),"")</f>
        <v/>
      </c>
      <c r="H430" s="4" t="str">
        <f>IFERROR(INDEX(样本到样信息汇总统计!H$2:H$500,MATCH(429,样本到样信息汇总统计!$Z$2:$Z$500,0)),"")</f>
        <v/>
      </c>
      <c r="I430" s="4" t="str">
        <f>IFERROR(INDEX(样本到样信息汇总统计!I$2:I$500,MATCH(429,样本到样信息汇总统计!$Z$2:$Z$500,0)),"")</f>
        <v/>
      </c>
      <c r="J430" s="4" t="str">
        <f>IFERROR(INDEX(样本到样信息汇总统计!J$2:J$500,MATCH(429,样本到样信息汇总统计!$Z$2:$Z$500,0)),"")</f>
        <v/>
      </c>
      <c r="K430" s="4" t="str">
        <f>IFERROR(INDEX(样本到样信息汇总统计!K$2:K$500,MATCH(429,样本到样信息汇总统计!$Z$2:$Z$500,0)),"")</f>
        <v/>
      </c>
      <c r="L430" s="4" t="str">
        <f>IFERROR(INDEX(样本到样信息汇总统计!L$2:L$500,MATCH(429,样本到样信息汇总统计!$Z$2:$Z$500,0)),"")</f>
        <v/>
      </c>
      <c r="M430" s="4" t="str">
        <f>IFERROR(INDEX(样本到样信息汇总统计!M$2:M$500,MATCH(429,样本到样信息汇总统计!$Z$2:$Z$500,0)),"")</f>
        <v/>
      </c>
      <c r="N430" s="4" t="str">
        <f>IFERROR(INDEX(样本到样信息汇总统计!N$2:N$500,MATCH(429,样本到样信息汇总统计!$Z$2:$Z$500,0)),"")</f>
        <v/>
      </c>
      <c r="O430" s="4" t="str">
        <f>IFERROR(INDEX(样本到样信息汇总统计!O$2:O$500,MATCH(429,样本到样信息汇总统计!$Z$2:$Z$500,0)),"")</f>
        <v/>
      </c>
      <c r="P430" s="4" t="str">
        <f>IFERROR(INDEX(样本到样信息汇总统计!P$2:P$500,MATCH(429,样本到样信息汇总统计!$Z$2:$Z$500,0)),"")</f>
        <v/>
      </c>
      <c r="Q430" s="4" t="str">
        <f>IFERROR(INDEX(样本到样信息汇总统计!Q$2:Q$500,MATCH(429,样本到样信息汇总统计!$Z$2:$Z$500,0)),"")</f>
        <v/>
      </c>
      <c r="R430" s="4" t="str">
        <f>IFERROR(INDEX(样本到样信息汇总统计!R$2:R$500,MATCH(429,样本到样信息汇总统计!$Z$2:$Z$500,0)),"")</f>
        <v/>
      </c>
      <c r="S430" s="4" t="str">
        <f>IFERROR(INDEX(样本到样信息汇总统计!S$2:S$500,MATCH(429,样本到样信息汇总统计!$Z$2:$Z$500,0)),"")</f>
        <v/>
      </c>
      <c r="T430" s="4" t="str">
        <f>IFERROR(INDEX(样本到样信息汇总统计!T$2:T$500,MATCH(429,样本到样信息汇总统计!$Z$2:$Z$500,0)),"")</f>
        <v/>
      </c>
      <c r="U430" s="4" t="str">
        <f>IFERROR(INDEX(样本到样信息汇总统计!U$2:U$500,MATCH(429,样本到样信息汇总统计!$Z$2:$Z$500,0)),"")</f>
        <v/>
      </c>
      <c r="V430" s="4" t="str">
        <f>IFERROR(INDEX(样本到样信息汇总统计!V$2:V$500,MATCH(429,样本到样信息汇总统计!$Z$2:$Z$500,0)),"")</f>
        <v/>
      </c>
      <c r="W430" s="4" t="str">
        <f>IFERROR(INDEX(样本到样信息汇总统计!W$2:W$500,MATCH(429,样本到样信息汇总统计!$Z$2:$Z$500,0)),"")</f>
        <v/>
      </c>
    </row>
    <row r="431" ht="14.5" spans="1:23">
      <c r="A431" s="8" t="str">
        <f>IFERROR(INDEX(样本到样信息汇总统计!A$2:A$500,MATCH(430,样本到样信息汇总统计!$Z$2:$Z$500,0)),"")</f>
        <v/>
      </c>
      <c r="B431" s="8" t="str">
        <f>IFERROR(INDEX(样本到样信息汇总统计!B$2:B$500,MATCH(430,样本到样信息汇总统计!$Z$2:$Z$500,0)),"")</f>
        <v/>
      </c>
      <c r="C431" s="8" t="str">
        <f>IFERROR(INDEX(样本到样信息汇总统计!C$2:C$500,MATCH(430,样本到样信息汇总统计!$Z$2:$Z$500,0)),"")</f>
        <v/>
      </c>
      <c r="D431" s="8" t="str">
        <f>IFERROR(INDEX(样本到样信息汇总统计!D$2:D$500,MATCH(430,样本到样信息汇总统计!$Z$2:$Z$500,0)),"")</f>
        <v/>
      </c>
      <c r="E431" s="8" t="str">
        <f>IFERROR(INDEX(样本到样信息汇总统计!E$2:E$500,MATCH(430,样本到样信息汇总统计!$Z$2:$Z$500,0)),"")</f>
        <v/>
      </c>
      <c r="F431" s="8" t="str">
        <f>IFERROR(INDEX(样本到样信息汇总统计!F$2:F$500,MATCH(430,样本到样信息汇总统计!$Z$2:$Z$500,0)),"")</f>
        <v/>
      </c>
      <c r="G431" s="8" t="str">
        <f>IFERROR(INDEX(样本到样信息汇总统计!G$2:G$500,MATCH(430,样本到样信息汇总统计!$Z$2:$Z$500,0)),"")</f>
        <v/>
      </c>
      <c r="H431" s="8" t="str">
        <f>IFERROR(INDEX(样本到样信息汇总统计!H$2:H$500,MATCH(430,样本到样信息汇总统计!$Z$2:$Z$500,0)),"")</f>
        <v/>
      </c>
      <c r="I431" s="8" t="str">
        <f>IFERROR(INDEX(样本到样信息汇总统计!I$2:I$500,MATCH(430,样本到样信息汇总统计!$Z$2:$Z$500,0)),"")</f>
        <v/>
      </c>
      <c r="J431" s="8" t="str">
        <f>IFERROR(INDEX(样本到样信息汇总统计!J$2:J$500,MATCH(430,样本到样信息汇总统计!$Z$2:$Z$500,0)),"")</f>
        <v/>
      </c>
      <c r="K431" s="8" t="str">
        <f>IFERROR(INDEX(样本到样信息汇总统计!K$2:K$500,MATCH(430,样本到样信息汇总统计!$Z$2:$Z$500,0)),"")</f>
        <v/>
      </c>
      <c r="L431" s="8" t="str">
        <f>IFERROR(INDEX(样本到样信息汇总统计!L$2:L$500,MATCH(430,样本到样信息汇总统计!$Z$2:$Z$500,0)),"")</f>
        <v/>
      </c>
      <c r="M431" s="8" t="str">
        <f>IFERROR(INDEX(样本到样信息汇总统计!M$2:M$500,MATCH(430,样本到样信息汇总统计!$Z$2:$Z$500,0)),"")</f>
        <v/>
      </c>
      <c r="N431" s="8" t="str">
        <f>IFERROR(INDEX(样本到样信息汇总统计!N$2:N$500,MATCH(430,样本到样信息汇总统计!$Z$2:$Z$500,0)),"")</f>
        <v/>
      </c>
      <c r="O431" s="8" t="str">
        <f>IFERROR(INDEX(样本到样信息汇总统计!O$2:O$500,MATCH(430,样本到样信息汇总统计!$Z$2:$Z$500,0)),"")</f>
        <v/>
      </c>
      <c r="P431" s="8" t="str">
        <f>IFERROR(INDEX(样本到样信息汇总统计!P$2:P$500,MATCH(430,样本到样信息汇总统计!$Z$2:$Z$500,0)),"")</f>
        <v/>
      </c>
      <c r="Q431" s="8" t="str">
        <f>IFERROR(INDEX(样本到样信息汇总统计!Q$2:Q$500,MATCH(430,样本到样信息汇总统计!$Z$2:$Z$500,0)),"")</f>
        <v/>
      </c>
      <c r="R431" s="8" t="str">
        <f>IFERROR(INDEX(样本到样信息汇总统计!R$2:R$500,MATCH(430,样本到样信息汇总统计!$Z$2:$Z$500,0)),"")</f>
        <v/>
      </c>
      <c r="S431" s="8" t="str">
        <f>IFERROR(INDEX(样本到样信息汇总统计!S$2:S$500,MATCH(430,样本到样信息汇总统计!$Z$2:$Z$500,0)),"")</f>
        <v/>
      </c>
      <c r="T431" s="8" t="str">
        <f>IFERROR(INDEX(样本到样信息汇总统计!T$2:T$500,MATCH(430,样本到样信息汇总统计!$Z$2:$Z$500,0)),"")</f>
        <v/>
      </c>
      <c r="U431" s="8" t="str">
        <f>IFERROR(INDEX(样本到样信息汇总统计!U$2:U$500,MATCH(430,样本到样信息汇总统计!$Z$2:$Z$500,0)),"")</f>
        <v/>
      </c>
      <c r="V431" s="8" t="str">
        <f>IFERROR(INDEX(样本到样信息汇总统计!V$2:V$500,MATCH(430,样本到样信息汇总统计!$Z$2:$Z$500,0)),"")</f>
        <v/>
      </c>
      <c r="W431" s="8" t="str">
        <f>IFERROR(INDEX(样本到样信息汇总统计!W$2:W$500,MATCH(430,样本到样信息汇总统计!$Z$2:$Z$500,0)),"")</f>
        <v/>
      </c>
    </row>
    <row r="432" ht="14.5" spans="1:23">
      <c r="A432" s="4" t="str">
        <f>IFERROR(INDEX(样本到样信息汇总统计!A$2:A$500,MATCH(431,样本到样信息汇总统计!$Z$2:$Z$500,0)),"")</f>
        <v/>
      </c>
      <c r="B432" s="4" t="str">
        <f>IFERROR(INDEX(样本到样信息汇总统计!B$2:B$500,MATCH(431,样本到样信息汇总统计!$Z$2:$Z$500,0)),"")</f>
        <v/>
      </c>
      <c r="C432" s="4" t="str">
        <f>IFERROR(INDEX(样本到样信息汇总统计!C$2:C$500,MATCH(431,样本到样信息汇总统计!$Z$2:$Z$500,0)),"")</f>
        <v/>
      </c>
      <c r="D432" s="4" t="str">
        <f>IFERROR(INDEX(样本到样信息汇总统计!D$2:D$500,MATCH(431,样本到样信息汇总统计!$Z$2:$Z$500,0)),"")</f>
        <v/>
      </c>
      <c r="E432" s="4" t="str">
        <f>IFERROR(INDEX(样本到样信息汇总统计!E$2:E$500,MATCH(431,样本到样信息汇总统计!$Z$2:$Z$500,0)),"")</f>
        <v/>
      </c>
      <c r="F432" s="4" t="str">
        <f>IFERROR(INDEX(样本到样信息汇总统计!F$2:F$500,MATCH(431,样本到样信息汇总统计!$Z$2:$Z$500,0)),"")</f>
        <v/>
      </c>
      <c r="G432" s="4" t="str">
        <f>IFERROR(INDEX(样本到样信息汇总统计!G$2:G$500,MATCH(431,样本到样信息汇总统计!$Z$2:$Z$500,0)),"")</f>
        <v/>
      </c>
      <c r="H432" s="4" t="str">
        <f>IFERROR(INDEX(样本到样信息汇总统计!H$2:H$500,MATCH(431,样本到样信息汇总统计!$Z$2:$Z$500,0)),"")</f>
        <v/>
      </c>
      <c r="I432" s="4" t="str">
        <f>IFERROR(INDEX(样本到样信息汇总统计!I$2:I$500,MATCH(431,样本到样信息汇总统计!$Z$2:$Z$500,0)),"")</f>
        <v/>
      </c>
      <c r="J432" s="4" t="str">
        <f>IFERROR(INDEX(样本到样信息汇总统计!J$2:J$500,MATCH(431,样本到样信息汇总统计!$Z$2:$Z$500,0)),"")</f>
        <v/>
      </c>
      <c r="K432" s="4" t="str">
        <f>IFERROR(INDEX(样本到样信息汇总统计!K$2:K$500,MATCH(431,样本到样信息汇总统计!$Z$2:$Z$500,0)),"")</f>
        <v/>
      </c>
      <c r="L432" s="4" t="str">
        <f>IFERROR(INDEX(样本到样信息汇总统计!L$2:L$500,MATCH(431,样本到样信息汇总统计!$Z$2:$Z$500,0)),"")</f>
        <v/>
      </c>
      <c r="M432" s="4" t="str">
        <f>IFERROR(INDEX(样本到样信息汇总统计!M$2:M$500,MATCH(431,样本到样信息汇总统计!$Z$2:$Z$500,0)),"")</f>
        <v/>
      </c>
      <c r="N432" s="4" t="str">
        <f>IFERROR(INDEX(样本到样信息汇总统计!N$2:N$500,MATCH(431,样本到样信息汇总统计!$Z$2:$Z$500,0)),"")</f>
        <v/>
      </c>
      <c r="O432" s="4" t="str">
        <f>IFERROR(INDEX(样本到样信息汇总统计!O$2:O$500,MATCH(431,样本到样信息汇总统计!$Z$2:$Z$500,0)),"")</f>
        <v/>
      </c>
      <c r="P432" s="4" t="str">
        <f>IFERROR(INDEX(样本到样信息汇总统计!P$2:P$500,MATCH(431,样本到样信息汇总统计!$Z$2:$Z$500,0)),"")</f>
        <v/>
      </c>
      <c r="Q432" s="4" t="str">
        <f>IFERROR(INDEX(样本到样信息汇总统计!Q$2:Q$500,MATCH(431,样本到样信息汇总统计!$Z$2:$Z$500,0)),"")</f>
        <v/>
      </c>
      <c r="R432" s="4" t="str">
        <f>IFERROR(INDEX(样本到样信息汇总统计!R$2:R$500,MATCH(431,样本到样信息汇总统计!$Z$2:$Z$500,0)),"")</f>
        <v/>
      </c>
      <c r="S432" s="4" t="str">
        <f>IFERROR(INDEX(样本到样信息汇总统计!S$2:S$500,MATCH(431,样本到样信息汇总统计!$Z$2:$Z$500,0)),"")</f>
        <v/>
      </c>
      <c r="T432" s="4" t="str">
        <f>IFERROR(INDEX(样本到样信息汇总统计!T$2:T$500,MATCH(431,样本到样信息汇总统计!$Z$2:$Z$500,0)),"")</f>
        <v/>
      </c>
      <c r="U432" s="4" t="str">
        <f>IFERROR(INDEX(样本到样信息汇总统计!U$2:U$500,MATCH(431,样本到样信息汇总统计!$Z$2:$Z$500,0)),"")</f>
        <v/>
      </c>
      <c r="V432" s="4" t="str">
        <f>IFERROR(INDEX(样本到样信息汇总统计!V$2:V$500,MATCH(431,样本到样信息汇总统计!$Z$2:$Z$500,0)),"")</f>
        <v/>
      </c>
      <c r="W432" s="4" t="str">
        <f>IFERROR(INDEX(样本到样信息汇总统计!W$2:W$500,MATCH(431,样本到样信息汇总统计!$Z$2:$Z$500,0)),"")</f>
        <v/>
      </c>
    </row>
    <row r="433" ht="14.5" spans="1:23">
      <c r="A433" s="8" t="str">
        <f>IFERROR(INDEX(样本到样信息汇总统计!A$2:A$500,MATCH(432,样本到样信息汇总统计!$Z$2:$Z$500,0)),"")</f>
        <v/>
      </c>
      <c r="B433" s="8" t="str">
        <f>IFERROR(INDEX(样本到样信息汇总统计!B$2:B$500,MATCH(432,样本到样信息汇总统计!$Z$2:$Z$500,0)),"")</f>
        <v/>
      </c>
      <c r="C433" s="8" t="str">
        <f>IFERROR(INDEX(样本到样信息汇总统计!C$2:C$500,MATCH(432,样本到样信息汇总统计!$Z$2:$Z$500,0)),"")</f>
        <v/>
      </c>
      <c r="D433" s="8" t="str">
        <f>IFERROR(INDEX(样本到样信息汇总统计!D$2:D$500,MATCH(432,样本到样信息汇总统计!$Z$2:$Z$500,0)),"")</f>
        <v/>
      </c>
      <c r="E433" s="8" t="str">
        <f>IFERROR(INDEX(样本到样信息汇总统计!E$2:E$500,MATCH(432,样本到样信息汇总统计!$Z$2:$Z$500,0)),"")</f>
        <v/>
      </c>
      <c r="F433" s="8" t="str">
        <f>IFERROR(INDEX(样本到样信息汇总统计!F$2:F$500,MATCH(432,样本到样信息汇总统计!$Z$2:$Z$500,0)),"")</f>
        <v/>
      </c>
      <c r="G433" s="8" t="str">
        <f>IFERROR(INDEX(样本到样信息汇总统计!G$2:G$500,MATCH(432,样本到样信息汇总统计!$Z$2:$Z$500,0)),"")</f>
        <v/>
      </c>
      <c r="H433" s="8" t="str">
        <f>IFERROR(INDEX(样本到样信息汇总统计!H$2:H$500,MATCH(432,样本到样信息汇总统计!$Z$2:$Z$500,0)),"")</f>
        <v/>
      </c>
      <c r="I433" s="8" t="str">
        <f>IFERROR(INDEX(样本到样信息汇总统计!I$2:I$500,MATCH(432,样本到样信息汇总统计!$Z$2:$Z$500,0)),"")</f>
        <v/>
      </c>
      <c r="J433" s="8" t="str">
        <f>IFERROR(INDEX(样本到样信息汇总统计!J$2:J$500,MATCH(432,样本到样信息汇总统计!$Z$2:$Z$500,0)),"")</f>
        <v/>
      </c>
      <c r="K433" s="8" t="str">
        <f>IFERROR(INDEX(样本到样信息汇总统计!K$2:K$500,MATCH(432,样本到样信息汇总统计!$Z$2:$Z$500,0)),"")</f>
        <v/>
      </c>
      <c r="L433" s="8" t="str">
        <f>IFERROR(INDEX(样本到样信息汇总统计!L$2:L$500,MATCH(432,样本到样信息汇总统计!$Z$2:$Z$500,0)),"")</f>
        <v/>
      </c>
      <c r="M433" s="8" t="str">
        <f>IFERROR(INDEX(样本到样信息汇总统计!M$2:M$500,MATCH(432,样本到样信息汇总统计!$Z$2:$Z$500,0)),"")</f>
        <v/>
      </c>
      <c r="N433" s="8" t="str">
        <f>IFERROR(INDEX(样本到样信息汇总统计!N$2:N$500,MATCH(432,样本到样信息汇总统计!$Z$2:$Z$500,0)),"")</f>
        <v/>
      </c>
      <c r="O433" s="8" t="str">
        <f>IFERROR(INDEX(样本到样信息汇总统计!O$2:O$500,MATCH(432,样本到样信息汇总统计!$Z$2:$Z$500,0)),"")</f>
        <v/>
      </c>
      <c r="P433" s="8" t="str">
        <f>IFERROR(INDEX(样本到样信息汇总统计!P$2:P$500,MATCH(432,样本到样信息汇总统计!$Z$2:$Z$500,0)),"")</f>
        <v/>
      </c>
      <c r="Q433" s="8" t="str">
        <f>IFERROR(INDEX(样本到样信息汇总统计!Q$2:Q$500,MATCH(432,样本到样信息汇总统计!$Z$2:$Z$500,0)),"")</f>
        <v/>
      </c>
      <c r="R433" s="8" t="str">
        <f>IFERROR(INDEX(样本到样信息汇总统计!R$2:R$500,MATCH(432,样本到样信息汇总统计!$Z$2:$Z$500,0)),"")</f>
        <v/>
      </c>
      <c r="S433" s="8" t="str">
        <f>IFERROR(INDEX(样本到样信息汇总统计!S$2:S$500,MATCH(432,样本到样信息汇总统计!$Z$2:$Z$500,0)),"")</f>
        <v/>
      </c>
      <c r="T433" s="8" t="str">
        <f>IFERROR(INDEX(样本到样信息汇总统计!T$2:T$500,MATCH(432,样本到样信息汇总统计!$Z$2:$Z$500,0)),"")</f>
        <v/>
      </c>
      <c r="U433" s="8" t="str">
        <f>IFERROR(INDEX(样本到样信息汇总统计!U$2:U$500,MATCH(432,样本到样信息汇总统计!$Z$2:$Z$500,0)),"")</f>
        <v/>
      </c>
      <c r="V433" s="8" t="str">
        <f>IFERROR(INDEX(样本到样信息汇总统计!V$2:V$500,MATCH(432,样本到样信息汇总统计!$Z$2:$Z$500,0)),"")</f>
        <v/>
      </c>
      <c r="W433" s="8" t="str">
        <f>IFERROR(INDEX(样本到样信息汇总统计!W$2:W$500,MATCH(432,样本到样信息汇总统计!$Z$2:$Z$500,0)),"")</f>
        <v/>
      </c>
    </row>
    <row r="434" ht="14.5" spans="1:23">
      <c r="A434" s="4" t="str">
        <f>IFERROR(INDEX(样本到样信息汇总统计!A$2:A$500,MATCH(433,样本到样信息汇总统计!$Z$2:$Z$500,0)),"")</f>
        <v/>
      </c>
      <c r="B434" s="4" t="str">
        <f>IFERROR(INDEX(样本到样信息汇总统计!B$2:B$500,MATCH(433,样本到样信息汇总统计!$Z$2:$Z$500,0)),"")</f>
        <v/>
      </c>
      <c r="C434" s="4" t="str">
        <f>IFERROR(INDEX(样本到样信息汇总统计!C$2:C$500,MATCH(433,样本到样信息汇总统计!$Z$2:$Z$500,0)),"")</f>
        <v/>
      </c>
      <c r="D434" s="4" t="str">
        <f>IFERROR(INDEX(样本到样信息汇总统计!D$2:D$500,MATCH(433,样本到样信息汇总统计!$Z$2:$Z$500,0)),"")</f>
        <v/>
      </c>
      <c r="E434" s="4" t="str">
        <f>IFERROR(INDEX(样本到样信息汇总统计!E$2:E$500,MATCH(433,样本到样信息汇总统计!$Z$2:$Z$500,0)),"")</f>
        <v/>
      </c>
      <c r="F434" s="4" t="str">
        <f>IFERROR(INDEX(样本到样信息汇总统计!F$2:F$500,MATCH(433,样本到样信息汇总统计!$Z$2:$Z$500,0)),"")</f>
        <v/>
      </c>
      <c r="G434" s="4" t="str">
        <f>IFERROR(INDEX(样本到样信息汇总统计!G$2:G$500,MATCH(433,样本到样信息汇总统计!$Z$2:$Z$500,0)),"")</f>
        <v/>
      </c>
      <c r="H434" s="4" t="str">
        <f>IFERROR(INDEX(样本到样信息汇总统计!H$2:H$500,MATCH(433,样本到样信息汇总统计!$Z$2:$Z$500,0)),"")</f>
        <v/>
      </c>
      <c r="I434" s="4" t="str">
        <f>IFERROR(INDEX(样本到样信息汇总统计!I$2:I$500,MATCH(433,样本到样信息汇总统计!$Z$2:$Z$500,0)),"")</f>
        <v/>
      </c>
      <c r="J434" s="4" t="str">
        <f>IFERROR(INDEX(样本到样信息汇总统计!J$2:J$500,MATCH(433,样本到样信息汇总统计!$Z$2:$Z$500,0)),"")</f>
        <v/>
      </c>
      <c r="K434" s="4" t="str">
        <f>IFERROR(INDEX(样本到样信息汇总统计!K$2:K$500,MATCH(433,样本到样信息汇总统计!$Z$2:$Z$500,0)),"")</f>
        <v/>
      </c>
      <c r="L434" s="4" t="str">
        <f>IFERROR(INDEX(样本到样信息汇总统计!L$2:L$500,MATCH(433,样本到样信息汇总统计!$Z$2:$Z$500,0)),"")</f>
        <v/>
      </c>
      <c r="M434" s="4" t="str">
        <f>IFERROR(INDEX(样本到样信息汇总统计!M$2:M$500,MATCH(433,样本到样信息汇总统计!$Z$2:$Z$500,0)),"")</f>
        <v/>
      </c>
      <c r="N434" s="4" t="str">
        <f>IFERROR(INDEX(样本到样信息汇总统计!N$2:N$500,MATCH(433,样本到样信息汇总统计!$Z$2:$Z$500,0)),"")</f>
        <v/>
      </c>
      <c r="O434" s="4" t="str">
        <f>IFERROR(INDEX(样本到样信息汇总统计!O$2:O$500,MATCH(433,样本到样信息汇总统计!$Z$2:$Z$500,0)),"")</f>
        <v/>
      </c>
      <c r="P434" s="4" t="str">
        <f>IFERROR(INDEX(样本到样信息汇总统计!P$2:P$500,MATCH(433,样本到样信息汇总统计!$Z$2:$Z$500,0)),"")</f>
        <v/>
      </c>
      <c r="Q434" s="4" t="str">
        <f>IFERROR(INDEX(样本到样信息汇总统计!Q$2:Q$500,MATCH(433,样本到样信息汇总统计!$Z$2:$Z$500,0)),"")</f>
        <v/>
      </c>
      <c r="R434" s="4" t="str">
        <f>IFERROR(INDEX(样本到样信息汇总统计!R$2:R$500,MATCH(433,样本到样信息汇总统计!$Z$2:$Z$500,0)),"")</f>
        <v/>
      </c>
      <c r="S434" s="4" t="str">
        <f>IFERROR(INDEX(样本到样信息汇总统计!S$2:S$500,MATCH(433,样本到样信息汇总统计!$Z$2:$Z$500,0)),"")</f>
        <v/>
      </c>
      <c r="T434" s="4" t="str">
        <f>IFERROR(INDEX(样本到样信息汇总统计!T$2:T$500,MATCH(433,样本到样信息汇总统计!$Z$2:$Z$500,0)),"")</f>
        <v/>
      </c>
      <c r="U434" s="4" t="str">
        <f>IFERROR(INDEX(样本到样信息汇总统计!U$2:U$500,MATCH(433,样本到样信息汇总统计!$Z$2:$Z$500,0)),"")</f>
        <v/>
      </c>
      <c r="V434" s="4" t="str">
        <f>IFERROR(INDEX(样本到样信息汇总统计!V$2:V$500,MATCH(433,样本到样信息汇总统计!$Z$2:$Z$500,0)),"")</f>
        <v/>
      </c>
      <c r="W434" s="4" t="str">
        <f>IFERROR(INDEX(样本到样信息汇总统计!W$2:W$500,MATCH(433,样本到样信息汇总统计!$Z$2:$Z$500,0)),"")</f>
        <v/>
      </c>
    </row>
    <row r="435" ht="14.5" spans="1:23">
      <c r="A435" s="8" t="str">
        <f>IFERROR(INDEX(样本到样信息汇总统计!A$2:A$500,MATCH(434,样本到样信息汇总统计!$Z$2:$Z$500,0)),"")</f>
        <v/>
      </c>
      <c r="B435" s="8" t="str">
        <f>IFERROR(INDEX(样本到样信息汇总统计!B$2:B$500,MATCH(434,样本到样信息汇总统计!$Z$2:$Z$500,0)),"")</f>
        <v/>
      </c>
      <c r="C435" s="8" t="str">
        <f>IFERROR(INDEX(样本到样信息汇总统计!C$2:C$500,MATCH(434,样本到样信息汇总统计!$Z$2:$Z$500,0)),"")</f>
        <v/>
      </c>
      <c r="D435" s="8" t="str">
        <f>IFERROR(INDEX(样本到样信息汇总统计!D$2:D$500,MATCH(434,样本到样信息汇总统计!$Z$2:$Z$500,0)),"")</f>
        <v/>
      </c>
      <c r="E435" s="8" t="str">
        <f>IFERROR(INDEX(样本到样信息汇总统计!E$2:E$500,MATCH(434,样本到样信息汇总统计!$Z$2:$Z$500,0)),"")</f>
        <v/>
      </c>
      <c r="F435" s="8" t="str">
        <f>IFERROR(INDEX(样本到样信息汇总统计!F$2:F$500,MATCH(434,样本到样信息汇总统计!$Z$2:$Z$500,0)),"")</f>
        <v/>
      </c>
      <c r="G435" s="8" t="str">
        <f>IFERROR(INDEX(样本到样信息汇总统计!G$2:G$500,MATCH(434,样本到样信息汇总统计!$Z$2:$Z$500,0)),"")</f>
        <v/>
      </c>
      <c r="H435" s="8" t="str">
        <f>IFERROR(INDEX(样本到样信息汇总统计!H$2:H$500,MATCH(434,样本到样信息汇总统计!$Z$2:$Z$500,0)),"")</f>
        <v/>
      </c>
      <c r="I435" s="8" t="str">
        <f>IFERROR(INDEX(样本到样信息汇总统计!I$2:I$500,MATCH(434,样本到样信息汇总统计!$Z$2:$Z$500,0)),"")</f>
        <v/>
      </c>
      <c r="J435" s="8" t="str">
        <f>IFERROR(INDEX(样本到样信息汇总统计!J$2:J$500,MATCH(434,样本到样信息汇总统计!$Z$2:$Z$500,0)),"")</f>
        <v/>
      </c>
      <c r="K435" s="8" t="str">
        <f>IFERROR(INDEX(样本到样信息汇总统计!K$2:K$500,MATCH(434,样本到样信息汇总统计!$Z$2:$Z$500,0)),"")</f>
        <v/>
      </c>
      <c r="L435" s="8" t="str">
        <f>IFERROR(INDEX(样本到样信息汇总统计!L$2:L$500,MATCH(434,样本到样信息汇总统计!$Z$2:$Z$500,0)),"")</f>
        <v/>
      </c>
      <c r="M435" s="8" t="str">
        <f>IFERROR(INDEX(样本到样信息汇总统计!M$2:M$500,MATCH(434,样本到样信息汇总统计!$Z$2:$Z$500,0)),"")</f>
        <v/>
      </c>
      <c r="N435" s="8" t="str">
        <f>IFERROR(INDEX(样本到样信息汇总统计!N$2:N$500,MATCH(434,样本到样信息汇总统计!$Z$2:$Z$500,0)),"")</f>
        <v/>
      </c>
      <c r="O435" s="8" t="str">
        <f>IFERROR(INDEX(样本到样信息汇总统计!O$2:O$500,MATCH(434,样本到样信息汇总统计!$Z$2:$Z$500,0)),"")</f>
        <v/>
      </c>
      <c r="P435" s="8" t="str">
        <f>IFERROR(INDEX(样本到样信息汇总统计!P$2:P$500,MATCH(434,样本到样信息汇总统计!$Z$2:$Z$500,0)),"")</f>
        <v/>
      </c>
      <c r="Q435" s="8" t="str">
        <f>IFERROR(INDEX(样本到样信息汇总统计!Q$2:Q$500,MATCH(434,样本到样信息汇总统计!$Z$2:$Z$500,0)),"")</f>
        <v/>
      </c>
      <c r="R435" s="8" t="str">
        <f>IFERROR(INDEX(样本到样信息汇总统计!R$2:R$500,MATCH(434,样本到样信息汇总统计!$Z$2:$Z$500,0)),"")</f>
        <v/>
      </c>
      <c r="S435" s="8" t="str">
        <f>IFERROR(INDEX(样本到样信息汇总统计!S$2:S$500,MATCH(434,样本到样信息汇总统计!$Z$2:$Z$500,0)),"")</f>
        <v/>
      </c>
      <c r="T435" s="8" t="str">
        <f>IFERROR(INDEX(样本到样信息汇总统计!T$2:T$500,MATCH(434,样本到样信息汇总统计!$Z$2:$Z$500,0)),"")</f>
        <v/>
      </c>
      <c r="U435" s="8" t="str">
        <f>IFERROR(INDEX(样本到样信息汇总统计!U$2:U$500,MATCH(434,样本到样信息汇总统计!$Z$2:$Z$500,0)),"")</f>
        <v/>
      </c>
      <c r="V435" s="8" t="str">
        <f>IFERROR(INDEX(样本到样信息汇总统计!V$2:V$500,MATCH(434,样本到样信息汇总统计!$Z$2:$Z$500,0)),"")</f>
        <v/>
      </c>
      <c r="W435" s="8" t="str">
        <f>IFERROR(INDEX(样本到样信息汇总统计!W$2:W$500,MATCH(434,样本到样信息汇总统计!$Z$2:$Z$500,0)),"")</f>
        <v/>
      </c>
    </row>
    <row r="436" ht="14.5" spans="1:23">
      <c r="A436" s="4" t="str">
        <f>IFERROR(INDEX(样本到样信息汇总统计!A$2:A$500,MATCH(435,样本到样信息汇总统计!$Z$2:$Z$500,0)),"")</f>
        <v/>
      </c>
      <c r="B436" s="4" t="str">
        <f>IFERROR(INDEX(样本到样信息汇总统计!B$2:B$500,MATCH(435,样本到样信息汇总统计!$Z$2:$Z$500,0)),"")</f>
        <v/>
      </c>
      <c r="C436" s="4" t="str">
        <f>IFERROR(INDEX(样本到样信息汇总统计!C$2:C$500,MATCH(435,样本到样信息汇总统计!$Z$2:$Z$500,0)),"")</f>
        <v/>
      </c>
      <c r="D436" s="4" t="str">
        <f>IFERROR(INDEX(样本到样信息汇总统计!D$2:D$500,MATCH(435,样本到样信息汇总统计!$Z$2:$Z$500,0)),"")</f>
        <v/>
      </c>
      <c r="E436" s="4" t="str">
        <f>IFERROR(INDEX(样本到样信息汇总统计!E$2:E$500,MATCH(435,样本到样信息汇总统计!$Z$2:$Z$500,0)),"")</f>
        <v/>
      </c>
      <c r="F436" s="4" t="str">
        <f>IFERROR(INDEX(样本到样信息汇总统计!F$2:F$500,MATCH(435,样本到样信息汇总统计!$Z$2:$Z$500,0)),"")</f>
        <v/>
      </c>
      <c r="G436" s="4" t="str">
        <f>IFERROR(INDEX(样本到样信息汇总统计!G$2:G$500,MATCH(435,样本到样信息汇总统计!$Z$2:$Z$500,0)),"")</f>
        <v/>
      </c>
      <c r="H436" s="4" t="str">
        <f>IFERROR(INDEX(样本到样信息汇总统计!H$2:H$500,MATCH(435,样本到样信息汇总统计!$Z$2:$Z$500,0)),"")</f>
        <v/>
      </c>
      <c r="I436" s="4" t="str">
        <f>IFERROR(INDEX(样本到样信息汇总统计!I$2:I$500,MATCH(435,样本到样信息汇总统计!$Z$2:$Z$500,0)),"")</f>
        <v/>
      </c>
      <c r="J436" s="4" t="str">
        <f>IFERROR(INDEX(样本到样信息汇总统计!J$2:J$500,MATCH(435,样本到样信息汇总统计!$Z$2:$Z$500,0)),"")</f>
        <v/>
      </c>
      <c r="K436" s="4" t="str">
        <f>IFERROR(INDEX(样本到样信息汇总统计!K$2:K$500,MATCH(435,样本到样信息汇总统计!$Z$2:$Z$500,0)),"")</f>
        <v/>
      </c>
      <c r="L436" s="4" t="str">
        <f>IFERROR(INDEX(样本到样信息汇总统计!L$2:L$500,MATCH(435,样本到样信息汇总统计!$Z$2:$Z$500,0)),"")</f>
        <v/>
      </c>
      <c r="M436" s="4" t="str">
        <f>IFERROR(INDEX(样本到样信息汇总统计!M$2:M$500,MATCH(435,样本到样信息汇总统计!$Z$2:$Z$500,0)),"")</f>
        <v/>
      </c>
      <c r="N436" s="4" t="str">
        <f>IFERROR(INDEX(样本到样信息汇总统计!N$2:N$500,MATCH(435,样本到样信息汇总统计!$Z$2:$Z$500,0)),"")</f>
        <v/>
      </c>
      <c r="O436" s="4" t="str">
        <f>IFERROR(INDEX(样本到样信息汇总统计!O$2:O$500,MATCH(435,样本到样信息汇总统计!$Z$2:$Z$500,0)),"")</f>
        <v/>
      </c>
      <c r="P436" s="4" t="str">
        <f>IFERROR(INDEX(样本到样信息汇总统计!P$2:P$500,MATCH(435,样本到样信息汇总统计!$Z$2:$Z$500,0)),"")</f>
        <v/>
      </c>
      <c r="Q436" s="4" t="str">
        <f>IFERROR(INDEX(样本到样信息汇总统计!Q$2:Q$500,MATCH(435,样本到样信息汇总统计!$Z$2:$Z$500,0)),"")</f>
        <v/>
      </c>
      <c r="R436" s="4" t="str">
        <f>IFERROR(INDEX(样本到样信息汇总统计!R$2:R$500,MATCH(435,样本到样信息汇总统计!$Z$2:$Z$500,0)),"")</f>
        <v/>
      </c>
      <c r="S436" s="4" t="str">
        <f>IFERROR(INDEX(样本到样信息汇总统计!S$2:S$500,MATCH(435,样本到样信息汇总统计!$Z$2:$Z$500,0)),"")</f>
        <v/>
      </c>
      <c r="T436" s="4" t="str">
        <f>IFERROR(INDEX(样本到样信息汇总统计!T$2:T$500,MATCH(435,样本到样信息汇总统计!$Z$2:$Z$500,0)),"")</f>
        <v/>
      </c>
      <c r="U436" s="4" t="str">
        <f>IFERROR(INDEX(样本到样信息汇总统计!U$2:U$500,MATCH(435,样本到样信息汇总统计!$Z$2:$Z$500,0)),"")</f>
        <v/>
      </c>
      <c r="V436" s="4" t="str">
        <f>IFERROR(INDEX(样本到样信息汇总统计!V$2:V$500,MATCH(435,样本到样信息汇总统计!$Z$2:$Z$500,0)),"")</f>
        <v/>
      </c>
      <c r="W436" s="4" t="str">
        <f>IFERROR(INDEX(样本到样信息汇总统计!W$2:W$500,MATCH(435,样本到样信息汇总统计!$Z$2:$Z$500,0)),"")</f>
        <v/>
      </c>
    </row>
    <row r="437" ht="14.5" spans="1:23">
      <c r="A437" s="8" t="str">
        <f>IFERROR(INDEX(样本到样信息汇总统计!A$2:A$500,MATCH(436,样本到样信息汇总统计!$Z$2:$Z$500,0)),"")</f>
        <v/>
      </c>
      <c r="B437" s="8" t="str">
        <f>IFERROR(INDEX(样本到样信息汇总统计!B$2:B$500,MATCH(436,样本到样信息汇总统计!$Z$2:$Z$500,0)),"")</f>
        <v/>
      </c>
      <c r="C437" s="8" t="str">
        <f>IFERROR(INDEX(样本到样信息汇总统计!C$2:C$500,MATCH(436,样本到样信息汇总统计!$Z$2:$Z$500,0)),"")</f>
        <v/>
      </c>
      <c r="D437" s="8" t="str">
        <f>IFERROR(INDEX(样本到样信息汇总统计!D$2:D$500,MATCH(436,样本到样信息汇总统计!$Z$2:$Z$500,0)),"")</f>
        <v/>
      </c>
      <c r="E437" s="8" t="str">
        <f>IFERROR(INDEX(样本到样信息汇总统计!E$2:E$500,MATCH(436,样本到样信息汇总统计!$Z$2:$Z$500,0)),"")</f>
        <v/>
      </c>
      <c r="F437" s="8" t="str">
        <f>IFERROR(INDEX(样本到样信息汇总统计!F$2:F$500,MATCH(436,样本到样信息汇总统计!$Z$2:$Z$500,0)),"")</f>
        <v/>
      </c>
      <c r="G437" s="8" t="str">
        <f>IFERROR(INDEX(样本到样信息汇总统计!G$2:G$500,MATCH(436,样本到样信息汇总统计!$Z$2:$Z$500,0)),"")</f>
        <v/>
      </c>
      <c r="H437" s="8" t="str">
        <f>IFERROR(INDEX(样本到样信息汇总统计!H$2:H$500,MATCH(436,样本到样信息汇总统计!$Z$2:$Z$500,0)),"")</f>
        <v/>
      </c>
      <c r="I437" s="8" t="str">
        <f>IFERROR(INDEX(样本到样信息汇总统计!I$2:I$500,MATCH(436,样本到样信息汇总统计!$Z$2:$Z$500,0)),"")</f>
        <v/>
      </c>
      <c r="J437" s="8" t="str">
        <f>IFERROR(INDEX(样本到样信息汇总统计!J$2:J$500,MATCH(436,样本到样信息汇总统计!$Z$2:$Z$500,0)),"")</f>
        <v/>
      </c>
      <c r="K437" s="8" t="str">
        <f>IFERROR(INDEX(样本到样信息汇总统计!K$2:K$500,MATCH(436,样本到样信息汇总统计!$Z$2:$Z$500,0)),"")</f>
        <v/>
      </c>
      <c r="L437" s="8" t="str">
        <f>IFERROR(INDEX(样本到样信息汇总统计!L$2:L$500,MATCH(436,样本到样信息汇总统计!$Z$2:$Z$500,0)),"")</f>
        <v/>
      </c>
      <c r="M437" s="8" t="str">
        <f>IFERROR(INDEX(样本到样信息汇总统计!M$2:M$500,MATCH(436,样本到样信息汇总统计!$Z$2:$Z$500,0)),"")</f>
        <v/>
      </c>
      <c r="N437" s="8" t="str">
        <f>IFERROR(INDEX(样本到样信息汇总统计!N$2:N$500,MATCH(436,样本到样信息汇总统计!$Z$2:$Z$500,0)),"")</f>
        <v/>
      </c>
      <c r="O437" s="8" t="str">
        <f>IFERROR(INDEX(样本到样信息汇总统计!O$2:O$500,MATCH(436,样本到样信息汇总统计!$Z$2:$Z$500,0)),"")</f>
        <v/>
      </c>
      <c r="P437" s="8" t="str">
        <f>IFERROR(INDEX(样本到样信息汇总统计!P$2:P$500,MATCH(436,样本到样信息汇总统计!$Z$2:$Z$500,0)),"")</f>
        <v/>
      </c>
      <c r="Q437" s="8" t="str">
        <f>IFERROR(INDEX(样本到样信息汇总统计!Q$2:Q$500,MATCH(436,样本到样信息汇总统计!$Z$2:$Z$500,0)),"")</f>
        <v/>
      </c>
      <c r="R437" s="8" t="str">
        <f>IFERROR(INDEX(样本到样信息汇总统计!R$2:R$500,MATCH(436,样本到样信息汇总统计!$Z$2:$Z$500,0)),"")</f>
        <v/>
      </c>
      <c r="S437" s="8" t="str">
        <f>IFERROR(INDEX(样本到样信息汇总统计!S$2:S$500,MATCH(436,样本到样信息汇总统计!$Z$2:$Z$500,0)),"")</f>
        <v/>
      </c>
      <c r="T437" s="8" t="str">
        <f>IFERROR(INDEX(样本到样信息汇总统计!T$2:T$500,MATCH(436,样本到样信息汇总统计!$Z$2:$Z$500,0)),"")</f>
        <v/>
      </c>
      <c r="U437" s="8" t="str">
        <f>IFERROR(INDEX(样本到样信息汇总统计!U$2:U$500,MATCH(436,样本到样信息汇总统计!$Z$2:$Z$500,0)),"")</f>
        <v/>
      </c>
      <c r="V437" s="8" t="str">
        <f>IFERROR(INDEX(样本到样信息汇总统计!V$2:V$500,MATCH(436,样本到样信息汇总统计!$Z$2:$Z$500,0)),"")</f>
        <v/>
      </c>
      <c r="W437" s="8" t="str">
        <f>IFERROR(INDEX(样本到样信息汇总统计!W$2:W$500,MATCH(436,样本到样信息汇总统计!$Z$2:$Z$500,0)),"")</f>
        <v/>
      </c>
    </row>
    <row r="438" ht="14.5" spans="1:23">
      <c r="A438" s="4" t="str">
        <f>IFERROR(INDEX(样本到样信息汇总统计!A$2:A$500,MATCH(437,样本到样信息汇总统计!$Z$2:$Z$500,0)),"")</f>
        <v/>
      </c>
      <c r="B438" s="4" t="str">
        <f>IFERROR(INDEX(样本到样信息汇总统计!B$2:B$500,MATCH(437,样本到样信息汇总统计!$Z$2:$Z$500,0)),"")</f>
        <v/>
      </c>
      <c r="C438" s="4" t="str">
        <f>IFERROR(INDEX(样本到样信息汇总统计!C$2:C$500,MATCH(437,样本到样信息汇总统计!$Z$2:$Z$500,0)),"")</f>
        <v/>
      </c>
      <c r="D438" s="4" t="str">
        <f>IFERROR(INDEX(样本到样信息汇总统计!D$2:D$500,MATCH(437,样本到样信息汇总统计!$Z$2:$Z$500,0)),"")</f>
        <v/>
      </c>
      <c r="E438" s="4" t="str">
        <f>IFERROR(INDEX(样本到样信息汇总统计!E$2:E$500,MATCH(437,样本到样信息汇总统计!$Z$2:$Z$500,0)),"")</f>
        <v/>
      </c>
      <c r="F438" s="4" t="str">
        <f>IFERROR(INDEX(样本到样信息汇总统计!F$2:F$500,MATCH(437,样本到样信息汇总统计!$Z$2:$Z$500,0)),"")</f>
        <v/>
      </c>
      <c r="G438" s="4" t="str">
        <f>IFERROR(INDEX(样本到样信息汇总统计!G$2:G$500,MATCH(437,样本到样信息汇总统计!$Z$2:$Z$500,0)),"")</f>
        <v/>
      </c>
      <c r="H438" s="4" t="str">
        <f>IFERROR(INDEX(样本到样信息汇总统计!H$2:H$500,MATCH(437,样本到样信息汇总统计!$Z$2:$Z$500,0)),"")</f>
        <v/>
      </c>
      <c r="I438" s="4" t="str">
        <f>IFERROR(INDEX(样本到样信息汇总统计!I$2:I$500,MATCH(437,样本到样信息汇总统计!$Z$2:$Z$500,0)),"")</f>
        <v/>
      </c>
      <c r="J438" s="4" t="str">
        <f>IFERROR(INDEX(样本到样信息汇总统计!J$2:J$500,MATCH(437,样本到样信息汇总统计!$Z$2:$Z$500,0)),"")</f>
        <v/>
      </c>
      <c r="K438" s="4" t="str">
        <f>IFERROR(INDEX(样本到样信息汇总统计!K$2:K$500,MATCH(437,样本到样信息汇总统计!$Z$2:$Z$500,0)),"")</f>
        <v/>
      </c>
      <c r="L438" s="4" t="str">
        <f>IFERROR(INDEX(样本到样信息汇总统计!L$2:L$500,MATCH(437,样本到样信息汇总统计!$Z$2:$Z$500,0)),"")</f>
        <v/>
      </c>
      <c r="M438" s="4" t="str">
        <f>IFERROR(INDEX(样本到样信息汇总统计!M$2:M$500,MATCH(437,样本到样信息汇总统计!$Z$2:$Z$500,0)),"")</f>
        <v/>
      </c>
      <c r="N438" s="4" t="str">
        <f>IFERROR(INDEX(样本到样信息汇总统计!N$2:N$500,MATCH(437,样本到样信息汇总统计!$Z$2:$Z$500,0)),"")</f>
        <v/>
      </c>
      <c r="O438" s="4" t="str">
        <f>IFERROR(INDEX(样本到样信息汇总统计!O$2:O$500,MATCH(437,样本到样信息汇总统计!$Z$2:$Z$500,0)),"")</f>
        <v/>
      </c>
      <c r="P438" s="4" t="str">
        <f>IFERROR(INDEX(样本到样信息汇总统计!P$2:P$500,MATCH(437,样本到样信息汇总统计!$Z$2:$Z$500,0)),"")</f>
        <v/>
      </c>
      <c r="Q438" s="4" t="str">
        <f>IFERROR(INDEX(样本到样信息汇总统计!Q$2:Q$500,MATCH(437,样本到样信息汇总统计!$Z$2:$Z$500,0)),"")</f>
        <v/>
      </c>
      <c r="R438" s="4" t="str">
        <f>IFERROR(INDEX(样本到样信息汇总统计!R$2:R$500,MATCH(437,样本到样信息汇总统计!$Z$2:$Z$500,0)),"")</f>
        <v/>
      </c>
      <c r="S438" s="4" t="str">
        <f>IFERROR(INDEX(样本到样信息汇总统计!S$2:S$500,MATCH(437,样本到样信息汇总统计!$Z$2:$Z$500,0)),"")</f>
        <v/>
      </c>
      <c r="T438" s="4" t="str">
        <f>IFERROR(INDEX(样本到样信息汇总统计!T$2:T$500,MATCH(437,样本到样信息汇总统计!$Z$2:$Z$500,0)),"")</f>
        <v/>
      </c>
      <c r="U438" s="4" t="str">
        <f>IFERROR(INDEX(样本到样信息汇总统计!U$2:U$500,MATCH(437,样本到样信息汇总统计!$Z$2:$Z$500,0)),"")</f>
        <v/>
      </c>
      <c r="V438" s="4" t="str">
        <f>IFERROR(INDEX(样本到样信息汇总统计!V$2:V$500,MATCH(437,样本到样信息汇总统计!$Z$2:$Z$500,0)),"")</f>
        <v/>
      </c>
      <c r="W438" s="4" t="str">
        <f>IFERROR(INDEX(样本到样信息汇总统计!W$2:W$500,MATCH(437,样本到样信息汇总统计!$Z$2:$Z$500,0)),"")</f>
        <v/>
      </c>
    </row>
    <row r="439" ht="14.5" spans="1:23">
      <c r="A439" s="8" t="str">
        <f>IFERROR(INDEX(样本到样信息汇总统计!A$2:A$500,MATCH(438,样本到样信息汇总统计!$Z$2:$Z$500,0)),"")</f>
        <v/>
      </c>
      <c r="B439" s="8" t="str">
        <f>IFERROR(INDEX(样本到样信息汇总统计!B$2:B$500,MATCH(438,样本到样信息汇总统计!$Z$2:$Z$500,0)),"")</f>
        <v/>
      </c>
      <c r="C439" s="8" t="str">
        <f>IFERROR(INDEX(样本到样信息汇总统计!C$2:C$500,MATCH(438,样本到样信息汇总统计!$Z$2:$Z$500,0)),"")</f>
        <v/>
      </c>
      <c r="D439" s="8" t="str">
        <f>IFERROR(INDEX(样本到样信息汇总统计!D$2:D$500,MATCH(438,样本到样信息汇总统计!$Z$2:$Z$500,0)),"")</f>
        <v/>
      </c>
      <c r="E439" s="8" t="str">
        <f>IFERROR(INDEX(样本到样信息汇总统计!E$2:E$500,MATCH(438,样本到样信息汇总统计!$Z$2:$Z$500,0)),"")</f>
        <v/>
      </c>
      <c r="F439" s="8" t="str">
        <f>IFERROR(INDEX(样本到样信息汇总统计!F$2:F$500,MATCH(438,样本到样信息汇总统计!$Z$2:$Z$500,0)),"")</f>
        <v/>
      </c>
      <c r="G439" s="8" t="str">
        <f>IFERROR(INDEX(样本到样信息汇总统计!G$2:G$500,MATCH(438,样本到样信息汇总统计!$Z$2:$Z$500,0)),"")</f>
        <v/>
      </c>
      <c r="H439" s="8" t="str">
        <f>IFERROR(INDEX(样本到样信息汇总统计!H$2:H$500,MATCH(438,样本到样信息汇总统计!$Z$2:$Z$500,0)),"")</f>
        <v/>
      </c>
      <c r="I439" s="8" t="str">
        <f>IFERROR(INDEX(样本到样信息汇总统计!I$2:I$500,MATCH(438,样本到样信息汇总统计!$Z$2:$Z$500,0)),"")</f>
        <v/>
      </c>
      <c r="J439" s="8" t="str">
        <f>IFERROR(INDEX(样本到样信息汇总统计!J$2:J$500,MATCH(438,样本到样信息汇总统计!$Z$2:$Z$500,0)),"")</f>
        <v/>
      </c>
      <c r="K439" s="8" t="str">
        <f>IFERROR(INDEX(样本到样信息汇总统计!K$2:K$500,MATCH(438,样本到样信息汇总统计!$Z$2:$Z$500,0)),"")</f>
        <v/>
      </c>
      <c r="L439" s="8" t="str">
        <f>IFERROR(INDEX(样本到样信息汇总统计!L$2:L$500,MATCH(438,样本到样信息汇总统计!$Z$2:$Z$500,0)),"")</f>
        <v/>
      </c>
      <c r="M439" s="8" t="str">
        <f>IFERROR(INDEX(样本到样信息汇总统计!M$2:M$500,MATCH(438,样本到样信息汇总统计!$Z$2:$Z$500,0)),"")</f>
        <v/>
      </c>
      <c r="N439" s="8" t="str">
        <f>IFERROR(INDEX(样本到样信息汇总统计!N$2:N$500,MATCH(438,样本到样信息汇总统计!$Z$2:$Z$500,0)),"")</f>
        <v/>
      </c>
      <c r="O439" s="8" t="str">
        <f>IFERROR(INDEX(样本到样信息汇总统计!O$2:O$500,MATCH(438,样本到样信息汇总统计!$Z$2:$Z$500,0)),"")</f>
        <v/>
      </c>
      <c r="P439" s="8" t="str">
        <f>IFERROR(INDEX(样本到样信息汇总统计!P$2:P$500,MATCH(438,样本到样信息汇总统计!$Z$2:$Z$500,0)),"")</f>
        <v/>
      </c>
      <c r="Q439" s="8" t="str">
        <f>IFERROR(INDEX(样本到样信息汇总统计!Q$2:Q$500,MATCH(438,样本到样信息汇总统计!$Z$2:$Z$500,0)),"")</f>
        <v/>
      </c>
      <c r="R439" s="8" t="str">
        <f>IFERROR(INDEX(样本到样信息汇总统计!R$2:R$500,MATCH(438,样本到样信息汇总统计!$Z$2:$Z$500,0)),"")</f>
        <v/>
      </c>
      <c r="S439" s="8" t="str">
        <f>IFERROR(INDEX(样本到样信息汇总统计!S$2:S$500,MATCH(438,样本到样信息汇总统计!$Z$2:$Z$500,0)),"")</f>
        <v/>
      </c>
      <c r="T439" s="8" t="str">
        <f>IFERROR(INDEX(样本到样信息汇总统计!T$2:T$500,MATCH(438,样本到样信息汇总统计!$Z$2:$Z$500,0)),"")</f>
        <v/>
      </c>
      <c r="U439" s="8" t="str">
        <f>IFERROR(INDEX(样本到样信息汇总统计!U$2:U$500,MATCH(438,样本到样信息汇总统计!$Z$2:$Z$500,0)),"")</f>
        <v/>
      </c>
      <c r="V439" s="8" t="str">
        <f>IFERROR(INDEX(样本到样信息汇总统计!V$2:V$500,MATCH(438,样本到样信息汇总统计!$Z$2:$Z$500,0)),"")</f>
        <v/>
      </c>
      <c r="W439" s="8" t="str">
        <f>IFERROR(INDEX(样本到样信息汇总统计!W$2:W$500,MATCH(438,样本到样信息汇总统计!$Z$2:$Z$500,0)),"")</f>
        <v/>
      </c>
    </row>
    <row r="440" ht="14.5" spans="1:23">
      <c r="A440" s="4" t="str">
        <f>IFERROR(INDEX(样本到样信息汇总统计!A$2:A$500,MATCH(439,样本到样信息汇总统计!$Z$2:$Z$500,0)),"")</f>
        <v/>
      </c>
      <c r="B440" s="4" t="str">
        <f>IFERROR(INDEX(样本到样信息汇总统计!B$2:B$500,MATCH(439,样本到样信息汇总统计!$Z$2:$Z$500,0)),"")</f>
        <v/>
      </c>
      <c r="C440" s="4" t="str">
        <f>IFERROR(INDEX(样本到样信息汇总统计!C$2:C$500,MATCH(439,样本到样信息汇总统计!$Z$2:$Z$500,0)),"")</f>
        <v/>
      </c>
      <c r="D440" s="4" t="str">
        <f>IFERROR(INDEX(样本到样信息汇总统计!D$2:D$500,MATCH(439,样本到样信息汇总统计!$Z$2:$Z$500,0)),"")</f>
        <v/>
      </c>
      <c r="E440" s="4" t="str">
        <f>IFERROR(INDEX(样本到样信息汇总统计!E$2:E$500,MATCH(439,样本到样信息汇总统计!$Z$2:$Z$500,0)),"")</f>
        <v/>
      </c>
      <c r="F440" s="4" t="str">
        <f>IFERROR(INDEX(样本到样信息汇总统计!F$2:F$500,MATCH(439,样本到样信息汇总统计!$Z$2:$Z$500,0)),"")</f>
        <v/>
      </c>
      <c r="G440" s="4" t="str">
        <f>IFERROR(INDEX(样本到样信息汇总统计!G$2:G$500,MATCH(439,样本到样信息汇总统计!$Z$2:$Z$500,0)),"")</f>
        <v/>
      </c>
      <c r="H440" s="4" t="str">
        <f>IFERROR(INDEX(样本到样信息汇总统计!H$2:H$500,MATCH(439,样本到样信息汇总统计!$Z$2:$Z$500,0)),"")</f>
        <v/>
      </c>
      <c r="I440" s="4" t="str">
        <f>IFERROR(INDEX(样本到样信息汇总统计!I$2:I$500,MATCH(439,样本到样信息汇总统计!$Z$2:$Z$500,0)),"")</f>
        <v/>
      </c>
      <c r="J440" s="4" t="str">
        <f>IFERROR(INDEX(样本到样信息汇总统计!J$2:J$500,MATCH(439,样本到样信息汇总统计!$Z$2:$Z$500,0)),"")</f>
        <v/>
      </c>
      <c r="K440" s="4" t="str">
        <f>IFERROR(INDEX(样本到样信息汇总统计!K$2:K$500,MATCH(439,样本到样信息汇总统计!$Z$2:$Z$500,0)),"")</f>
        <v/>
      </c>
      <c r="L440" s="4" t="str">
        <f>IFERROR(INDEX(样本到样信息汇总统计!L$2:L$500,MATCH(439,样本到样信息汇总统计!$Z$2:$Z$500,0)),"")</f>
        <v/>
      </c>
      <c r="M440" s="4" t="str">
        <f>IFERROR(INDEX(样本到样信息汇总统计!M$2:M$500,MATCH(439,样本到样信息汇总统计!$Z$2:$Z$500,0)),"")</f>
        <v/>
      </c>
      <c r="N440" s="4" t="str">
        <f>IFERROR(INDEX(样本到样信息汇总统计!N$2:N$500,MATCH(439,样本到样信息汇总统计!$Z$2:$Z$500,0)),"")</f>
        <v/>
      </c>
      <c r="O440" s="4" t="str">
        <f>IFERROR(INDEX(样本到样信息汇总统计!O$2:O$500,MATCH(439,样本到样信息汇总统计!$Z$2:$Z$500,0)),"")</f>
        <v/>
      </c>
      <c r="P440" s="4" t="str">
        <f>IFERROR(INDEX(样本到样信息汇总统计!P$2:P$500,MATCH(439,样本到样信息汇总统计!$Z$2:$Z$500,0)),"")</f>
        <v/>
      </c>
      <c r="Q440" s="4" t="str">
        <f>IFERROR(INDEX(样本到样信息汇总统计!Q$2:Q$500,MATCH(439,样本到样信息汇总统计!$Z$2:$Z$500,0)),"")</f>
        <v/>
      </c>
      <c r="R440" s="4" t="str">
        <f>IFERROR(INDEX(样本到样信息汇总统计!R$2:R$500,MATCH(439,样本到样信息汇总统计!$Z$2:$Z$500,0)),"")</f>
        <v/>
      </c>
      <c r="S440" s="4" t="str">
        <f>IFERROR(INDEX(样本到样信息汇总统计!S$2:S$500,MATCH(439,样本到样信息汇总统计!$Z$2:$Z$500,0)),"")</f>
        <v/>
      </c>
      <c r="T440" s="4" t="str">
        <f>IFERROR(INDEX(样本到样信息汇总统计!T$2:T$500,MATCH(439,样本到样信息汇总统计!$Z$2:$Z$500,0)),"")</f>
        <v/>
      </c>
      <c r="U440" s="4" t="str">
        <f>IFERROR(INDEX(样本到样信息汇总统计!U$2:U$500,MATCH(439,样本到样信息汇总统计!$Z$2:$Z$500,0)),"")</f>
        <v/>
      </c>
      <c r="V440" s="4" t="str">
        <f>IFERROR(INDEX(样本到样信息汇总统计!V$2:V$500,MATCH(439,样本到样信息汇总统计!$Z$2:$Z$500,0)),"")</f>
        <v/>
      </c>
      <c r="W440" s="4" t="str">
        <f>IFERROR(INDEX(样本到样信息汇总统计!W$2:W$500,MATCH(439,样本到样信息汇总统计!$Z$2:$Z$500,0)),"")</f>
        <v/>
      </c>
    </row>
    <row r="441" ht="14.5" spans="1:23">
      <c r="A441" s="8" t="str">
        <f>IFERROR(INDEX(样本到样信息汇总统计!A$2:A$500,MATCH(440,样本到样信息汇总统计!$Z$2:$Z$500,0)),"")</f>
        <v/>
      </c>
      <c r="B441" s="8" t="str">
        <f>IFERROR(INDEX(样本到样信息汇总统计!B$2:B$500,MATCH(440,样本到样信息汇总统计!$Z$2:$Z$500,0)),"")</f>
        <v/>
      </c>
      <c r="C441" s="8" t="str">
        <f>IFERROR(INDEX(样本到样信息汇总统计!C$2:C$500,MATCH(440,样本到样信息汇总统计!$Z$2:$Z$500,0)),"")</f>
        <v/>
      </c>
      <c r="D441" s="8" t="str">
        <f>IFERROR(INDEX(样本到样信息汇总统计!D$2:D$500,MATCH(440,样本到样信息汇总统计!$Z$2:$Z$500,0)),"")</f>
        <v/>
      </c>
      <c r="E441" s="8" t="str">
        <f>IFERROR(INDEX(样本到样信息汇总统计!E$2:E$500,MATCH(440,样本到样信息汇总统计!$Z$2:$Z$500,0)),"")</f>
        <v/>
      </c>
      <c r="F441" s="8" t="str">
        <f>IFERROR(INDEX(样本到样信息汇总统计!F$2:F$500,MATCH(440,样本到样信息汇总统计!$Z$2:$Z$500,0)),"")</f>
        <v/>
      </c>
      <c r="G441" s="8" t="str">
        <f>IFERROR(INDEX(样本到样信息汇总统计!G$2:G$500,MATCH(440,样本到样信息汇总统计!$Z$2:$Z$500,0)),"")</f>
        <v/>
      </c>
      <c r="H441" s="8" t="str">
        <f>IFERROR(INDEX(样本到样信息汇总统计!H$2:H$500,MATCH(440,样本到样信息汇总统计!$Z$2:$Z$500,0)),"")</f>
        <v/>
      </c>
      <c r="I441" s="8" t="str">
        <f>IFERROR(INDEX(样本到样信息汇总统计!I$2:I$500,MATCH(440,样本到样信息汇总统计!$Z$2:$Z$500,0)),"")</f>
        <v/>
      </c>
      <c r="J441" s="8" t="str">
        <f>IFERROR(INDEX(样本到样信息汇总统计!J$2:J$500,MATCH(440,样本到样信息汇总统计!$Z$2:$Z$500,0)),"")</f>
        <v/>
      </c>
      <c r="K441" s="8" t="str">
        <f>IFERROR(INDEX(样本到样信息汇总统计!K$2:K$500,MATCH(440,样本到样信息汇总统计!$Z$2:$Z$500,0)),"")</f>
        <v/>
      </c>
      <c r="L441" s="8" t="str">
        <f>IFERROR(INDEX(样本到样信息汇总统计!L$2:L$500,MATCH(440,样本到样信息汇总统计!$Z$2:$Z$500,0)),"")</f>
        <v/>
      </c>
      <c r="M441" s="8" t="str">
        <f>IFERROR(INDEX(样本到样信息汇总统计!M$2:M$500,MATCH(440,样本到样信息汇总统计!$Z$2:$Z$500,0)),"")</f>
        <v/>
      </c>
      <c r="N441" s="8" t="str">
        <f>IFERROR(INDEX(样本到样信息汇总统计!N$2:N$500,MATCH(440,样本到样信息汇总统计!$Z$2:$Z$500,0)),"")</f>
        <v/>
      </c>
      <c r="O441" s="8" t="str">
        <f>IFERROR(INDEX(样本到样信息汇总统计!O$2:O$500,MATCH(440,样本到样信息汇总统计!$Z$2:$Z$500,0)),"")</f>
        <v/>
      </c>
      <c r="P441" s="8" t="str">
        <f>IFERROR(INDEX(样本到样信息汇总统计!P$2:P$500,MATCH(440,样本到样信息汇总统计!$Z$2:$Z$500,0)),"")</f>
        <v/>
      </c>
      <c r="Q441" s="8" t="str">
        <f>IFERROR(INDEX(样本到样信息汇总统计!Q$2:Q$500,MATCH(440,样本到样信息汇总统计!$Z$2:$Z$500,0)),"")</f>
        <v/>
      </c>
      <c r="R441" s="8" t="str">
        <f>IFERROR(INDEX(样本到样信息汇总统计!R$2:R$500,MATCH(440,样本到样信息汇总统计!$Z$2:$Z$500,0)),"")</f>
        <v/>
      </c>
      <c r="S441" s="8" t="str">
        <f>IFERROR(INDEX(样本到样信息汇总统计!S$2:S$500,MATCH(440,样本到样信息汇总统计!$Z$2:$Z$500,0)),"")</f>
        <v/>
      </c>
      <c r="T441" s="8" t="str">
        <f>IFERROR(INDEX(样本到样信息汇总统计!T$2:T$500,MATCH(440,样本到样信息汇总统计!$Z$2:$Z$500,0)),"")</f>
        <v/>
      </c>
      <c r="U441" s="8" t="str">
        <f>IFERROR(INDEX(样本到样信息汇总统计!U$2:U$500,MATCH(440,样本到样信息汇总统计!$Z$2:$Z$500,0)),"")</f>
        <v/>
      </c>
      <c r="V441" s="8" t="str">
        <f>IFERROR(INDEX(样本到样信息汇总统计!V$2:V$500,MATCH(440,样本到样信息汇总统计!$Z$2:$Z$500,0)),"")</f>
        <v/>
      </c>
      <c r="W441" s="8" t="str">
        <f>IFERROR(INDEX(样本到样信息汇总统计!W$2:W$500,MATCH(440,样本到样信息汇总统计!$Z$2:$Z$500,0)),"")</f>
        <v/>
      </c>
    </row>
    <row r="442" ht="14.5" spans="1:23">
      <c r="A442" s="4" t="str">
        <f>IFERROR(INDEX(样本到样信息汇总统计!A$2:A$500,MATCH(441,样本到样信息汇总统计!$Z$2:$Z$500,0)),"")</f>
        <v/>
      </c>
      <c r="B442" s="4" t="str">
        <f>IFERROR(INDEX(样本到样信息汇总统计!B$2:B$500,MATCH(441,样本到样信息汇总统计!$Z$2:$Z$500,0)),"")</f>
        <v/>
      </c>
      <c r="C442" s="4" t="str">
        <f>IFERROR(INDEX(样本到样信息汇总统计!C$2:C$500,MATCH(441,样本到样信息汇总统计!$Z$2:$Z$500,0)),"")</f>
        <v/>
      </c>
      <c r="D442" s="4" t="str">
        <f>IFERROR(INDEX(样本到样信息汇总统计!D$2:D$500,MATCH(441,样本到样信息汇总统计!$Z$2:$Z$500,0)),"")</f>
        <v/>
      </c>
      <c r="E442" s="4" t="str">
        <f>IFERROR(INDEX(样本到样信息汇总统计!E$2:E$500,MATCH(441,样本到样信息汇总统计!$Z$2:$Z$500,0)),"")</f>
        <v/>
      </c>
      <c r="F442" s="4" t="str">
        <f>IFERROR(INDEX(样本到样信息汇总统计!F$2:F$500,MATCH(441,样本到样信息汇总统计!$Z$2:$Z$500,0)),"")</f>
        <v/>
      </c>
      <c r="G442" s="4" t="str">
        <f>IFERROR(INDEX(样本到样信息汇总统计!G$2:G$500,MATCH(441,样本到样信息汇总统计!$Z$2:$Z$500,0)),"")</f>
        <v/>
      </c>
      <c r="H442" s="4" t="str">
        <f>IFERROR(INDEX(样本到样信息汇总统计!H$2:H$500,MATCH(441,样本到样信息汇总统计!$Z$2:$Z$500,0)),"")</f>
        <v/>
      </c>
      <c r="I442" s="4" t="str">
        <f>IFERROR(INDEX(样本到样信息汇总统计!I$2:I$500,MATCH(441,样本到样信息汇总统计!$Z$2:$Z$500,0)),"")</f>
        <v/>
      </c>
      <c r="J442" s="4" t="str">
        <f>IFERROR(INDEX(样本到样信息汇总统计!J$2:J$500,MATCH(441,样本到样信息汇总统计!$Z$2:$Z$500,0)),"")</f>
        <v/>
      </c>
      <c r="K442" s="4" t="str">
        <f>IFERROR(INDEX(样本到样信息汇总统计!K$2:K$500,MATCH(441,样本到样信息汇总统计!$Z$2:$Z$500,0)),"")</f>
        <v/>
      </c>
      <c r="L442" s="4" t="str">
        <f>IFERROR(INDEX(样本到样信息汇总统计!L$2:L$500,MATCH(441,样本到样信息汇总统计!$Z$2:$Z$500,0)),"")</f>
        <v/>
      </c>
      <c r="M442" s="4" t="str">
        <f>IFERROR(INDEX(样本到样信息汇总统计!M$2:M$500,MATCH(441,样本到样信息汇总统计!$Z$2:$Z$500,0)),"")</f>
        <v/>
      </c>
      <c r="N442" s="4" t="str">
        <f>IFERROR(INDEX(样本到样信息汇总统计!N$2:N$500,MATCH(441,样本到样信息汇总统计!$Z$2:$Z$500,0)),"")</f>
        <v/>
      </c>
      <c r="O442" s="4" t="str">
        <f>IFERROR(INDEX(样本到样信息汇总统计!O$2:O$500,MATCH(441,样本到样信息汇总统计!$Z$2:$Z$500,0)),"")</f>
        <v/>
      </c>
      <c r="P442" s="4" t="str">
        <f>IFERROR(INDEX(样本到样信息汇总统计!P$2:P$500,MATCH(441,样本到样信息汇总统计!$Z$2:$Z$500,0)),"")</f>
        <v/>
      </c>
      <c r="Q442" s="4" t="str">
        <f>IFERROR(INDEX(样本到样信息汇总统计!Q$2:Q$500,MATCH(441,样本到样信息汇总统计!$Z$2:$Z$500,0)),"")</f>
        <v/>
      </c>
      <c r="R442" s="4" t="str">
        <f>IFERROR(INDEX(样本到样信息汇总统计!R$2:R$500,MATCH(441,样本到样信息汇总统计!$Z$2:$Z$500,0)),"")</f>
        <v/>
      </c>
      <c r="S442" s="4" t="str">
        <f>IFERROR(INDEX(样本到样信息汇总统计!S$2:S$500,MATCH(441,样本到样信息汇总统计!$Z$2:$Z$500,0)),"")</f>
        <v/>
      </c>
      <c r="T442" s="4" t="str">
        <f>IFERROR(INDEX(样本到样信息汇总统计!T$2:T$500,MATCH(441,样本到样信息汇总统计!$Z$2:$Z$500,0)),"")</f>
        <v/>
      </c>
      <c r="U442" s="4" t="str">
        <f>IFERROR(INDEX(样本到样信息汇总统计!U$2:U$500,MATCH(441,样本到样信息汇总统计!$Z$2:$Z$500,0)),"")</f>
        <v/>
      </c>
      <c r="V442" s="4" t="str">
        <f>IFERROR(INDEX(样本到样信息汇总统计!V$2:V$500,MATCH(441,样本到样信息汇总统计!$Z$2:$Z$500,0)),"")</f>
        <v/>
      </c>
      <c r="W442" s="4" t="str">
        <f>IFERROR(INDEX(样本到样信息汇总统计!W$2:W$500,MATCH(441,样本到样信息汇总统计!$Z$2:$Z$500,0)),"")</f>
        <v/>
      </c>
    </row>
    <row r="443" ht="14.5" spans="1:23">
      <c r="A443" s="8" t="str">
        <f>IFERROR(INDEX(样本到样信息汇总统计!A$2:A$500,MATCH(442,样本到样信息汇总统计!$Z$2:$Z$500,0)),"")</f>
        <v/>
      </c>
      <c r="B443" s="8" t="str">
        <f>IFERROR(INDEX(样本到样信息汇总统计!B$2:B$500,MATCH(442,样本到样信息汇总统计!$Z$2:$Z$500,0)),"")</f>
        <v/>
      </c>
      <c r="C443" s="8" t="str">
        <f>IFERROR(INDEX(样本到样信息汇总统计!C$2:C$500,MATCH(442,样本到样信息汇总统计!$Z$2:$Z$500,0)),"")</f>
        <v/>
      </c>
      <c r="D443" s="8" t="str">
        <f>IFERROR(INDEX(样本到样信息汇总统计!D$2:D$500,MATCH(442,样本到样信息汇总统计!$Z$2:$Z$500,0)),"")</f>
        <v/>
      </c>
      <c r="E443" s="8" t="str">
        <f>IFERROR(INDEX(样本到样信息汇总统计!E$2:E$500,MATCH(442,样本到样信息汇总统计!$Z$2:$Z$500,0)),"")</f>
        <v/>
      </c>
      <c r="F443" s="8" t="str">
        <f>IFERROR(INDEX(样本到样信息汇总统计!F$2:F$500,MATCH(442,样本到样信息汇总统计!$Z$2:$Z$500,0)),"")</f>
        <v/>
      </c>
      <c r="G443" s="8" t="str">
        <f>IFERROR(INDEX(样本到样信息汇总统计!G$2:G$500,MATCH(442,样本到样信息汇总统计!$Z$2:$Z$500,0)),"")</f>
        <v/>
      </c>
      <c r="H443" s="8" t="str">
        <f>IFERROR(INDEX(样本到样信息汇总统计!H$2:H$500,MATCH(442,样本到样信息汇总统计!$Z$2:$Z$500,0)),"")</f>
        <v/>
      </c>
      <c r="I443" s="8" t="str">
        <f>IFERROR(INDEX(样本到样信息汇总统计!I$2:I$500,MATCH(442,样本到样信息汇总统计!$Z$2:$Z$500,0)),"")</f>
        <v/>
      </c>
      <c r="J443" s="8" t="str">
        <f>IFERROR(INDEX(样本到样信息汇总统计!J$2:J$500,MATCH(442,样本到样信息汇总统计!$Z$2:$Z$500,0)),"")</f>
        <v/>
      </c>
      <c r="K443" s="8" t="str">
        <f>IFERROR(INDEX(样本到样信息汇总统计!K$2:K$500,MATCH(442,样本到样信息汇总统计!$Z$2:$Z$500,0)),"")</f>
        <v/>
      </c>
      <c r="L443" s="8" t="str">
        <f>IFERROR(INDEX(样本到样信息汇总统计!L$2:L$500,MATCH(442,样本到样信息汇总统计!$Z$2:$Z$500,0)),"")</f>
        <v/>
      </c>
      <c r="M443" s="8" t="str">
        <f>IFERROR(INDEX(样本到样信息汇总统计!M$2:M$500,MATCH(442,样本到样信息汇总统计!$Z$2:$Z$500,0)),"")</f>
        <v/>
      </c>
      <c r="N443" s="8" t="str">
        <f>IFERROR(INDEX(样本到样信息汇总统计!N$2:N$500,MATCH(442,样本到样信息汇总统计!$Z$2:$Z$500,0)),"")</f>
        <v/>
      </c>
      <c r="O443" s="8" t="str">
        <f>IFERROR(INDEX(样本到样信息汇总统计!O$2:O$500,MATCH(442,样本到样信息汇总统计!$Z$2:$Z$500,0)),"")</f>
        <v/>
      </c>
      <c r="P443" s="8" t="str">
        <f>IFERROR(INDEX(样本到样信息汇总统计!P$2:P$500,MATCH(442,样本到样信息汇总统计!$Z$2:$Z$500,0)),"")</f>
        <v/>
      </c>
      <c r="Q443" s="8" t="str">
        <f>IFERROR(INDEX(样本到样信息汇总统计!Q$2:Q$500,MATCH(442,样本到样信息汇总统计!$Z$2:$Z$500,0)),"")</f>
        <v/>
      </c>
      <c r="R443" s="8" t="str">
        <f>IFERROR(INDEX(样本到样信息汇总统计!R$2:R$500,MATCH(442,样本到样信息汇总统计!$Z$2:$Z$500,0)),"")</f>
        <v/>
      </c>
      <c r="S443" s="8" t="str">
        <f>IFERROR(INDEX(样本到样信息汇总统计!S$2:S$500,MATCH(442,样本到样信息汇总统计!$Z$2:$Z$500,0)),"")</f>
        <v/>
      </c>
      <c r="T443" s="8" t="str">
        <f>IFERROR(INDEX(样本到样信息汇总统计!T$2:T$500,MATCH(442,样本到样信息汇总统计!$Z$2:$Z$500,0)),"")</f>
        <v/>
      </c>
      <c r="U443" s="8" t="str">
        <f>IFERROR(INDEX(样本到样信息汇总统计!U$2:U$500,MATCH(442,样本到样信息汇总统计!$Z$2:$Z$500,0)),"")</f>
        <v/>
      </c>
      <c r="V443" s="8" t="str">
        <f>IFERROR(INDEX(样本到样信息汇总统计!V$2:V$500,MATCH(442,样本到样信息汇总统计!$Z$2:$Z$500,0)),"")</f>
        <v/>
      </c>
      <c r="W443" s="8" t="str">
        <f>IFERROR(INDEX(样本到样信息汇总统计!W$2:W$500,MATCH(442,样本到样信息汇总统计!$Z$2:$Z$500,0)),"")</f>
        <v/>
      </c>
    </row>
    <row r="444" ht="14.5" spans="1:23">
      <c r="A444" s="4" t="str">
        <f>IFERROR(INDEX(样本到样信息汇总统计!A$2:A$500,MATCH(443,样本到样信息汇总统计!$Z$2:$Z$500,0)),"")</f>
        <v/>
      </c>
      <c r="B444" s="4" t="str">
        <f>IFERROR(INDEX(样本到样信息汇总统计!B$2:B$500,MATCH(443,样本到样信息汇总统计!$Z$2:$Z$500,0)),"")</f>
        <v/>
      </c>
      <c r="C444" s="4" t="str">
        <f>IFERROR(INDEX(样本到样信息汇总统计!C$2:C$500,MATCH(443,样本到样信息汇总统计!$Z$2:$Z$500,0)),"")</f>
        <v/>
      </c>
      <c r="D444" s="4" t="str">
        <f>IFERROR(INDEX(样本到样信息汇总统计!D$2:D$500,MATCH(443,样本到样信息汇总统计!$Z$2:$Z$500,0)),"")</f>
        <v/>
      </c>
      <c r="E444" s="4" t="str">
        <f>IFERROR(INDEX(样本到样信息汇总统计!E$2:E$500,MATCH(443,样本到样信息汇总统计!$Z$2:$Z$500,0)),"")</f>
        <v/>
      </c>
      <c r="F444" s="4" t="str">
        <f>IFERROR(INDEX(样本到样信息汇总统计!F$2:F$500,MATCH(443,样本到样信息汇总统计!$Z$2:$Z$500,0)),"")</f>
        <v/>
      </c>
      <c r="G444" s="4" t="str">
        <f>IFERROR(INDEX(样本到样信息汇总统计!G$2:G$500,MATCH(443,样本到样信息汇总统计!$Z$2:$Z$500,0)),"")</f>
        <v/>
      </c>
      <c r="H444" s="4" t="str">
        <f>IFERROR(INDEX(样本到样信息汇总统计!H$2:H$500,MATCH(443,样本到样信息汇总统计!$Z$2:$Z$500,0)),"")</f>
        <v/>
      </c>
      <c r="I444" s="4" t="str">
        <f>IFERROR(INDEX(样本到样信息汇总统计!I$2:I$500,MATCH(443,样本到样信息汇总统计!$Z$2:$Z$500,0)),"")</f>
        <v/>
      </c>
      <c r="J444" s="4" t="str">
        <f>IFERROR(INDEX(样本到样信息汇总统计!J$2:J$500,MATCH(443,样本到样信息汇总统计!$Z$2:$Z$500,0)),"")</f>
        <v/>
      </c>
      <c r="K444" s="4" t="str">
        <f>IFERROR(INDEX(样本到样信息汇总统计!K$2:K$500,MATCH(443,样本到样信息汇总统计!$Z$2:$Z$500,0)),"")</f>
        <v/>
      </c>
      <c r="L444" s="4" t="str">
        <f>IFERROR(INDEX(样本到样信息汇总统计!L$2:L$500,MATCH(443,样本到样信息汇总统计!$Z$2:$Z$500,0)),"")</f>
        <v/>
      </c>
      <c r="M444" s="4" t="str">
        <f>IFERROR(INDEX(样本到样信息汇总统计!M$2:M$500,MATCH(443,样本到样信息汇总统计!$Z$2:$Z$500,0)),"")</f>
        <v/>
      </c>
      <c r="N444" s="4" t="str">
        <f>IFERROR(INDEX(样本到样信息汇总统计!N$2:N$500,MATCH(443,样本到样信息汇总统计!$Z$2:$Z$500,0)),"")</f>
        <v/>
      </c>
      <c r="O444" s="4" t="str">
        <f>IFERROR(INDEX(样本到样信息汇总统计!O$2:O$500,MATCH(443,样本到样信息汇总统计!$Z$2:$Z$500,0)),"")</f>
        <v/>
      </c>
      <c r="P444" s="4" t="str">
        <f>IFERROR(INDEX(样本到样信息汇总统计!P$2:P$500,MATCH(443,样本到样信息汇总统计!$Z$2:$Z$500,0)),"")</f>
        <v/>
      </c>
      <c r="Q444" s="4" t="str">
        <f>IFERROR(INDEX(样本到样信息汇总统计!Q$2:Q$500,MATCH(443,样本到样信息汇总统计!$Z$2:$Z$500,0)),"")</f>
        <v/>
      </c>
      <c r="R444" s="4" t="str">
        <f>IFERROR(INDEX(样本到样信息汇总统计!R$2:R$500,MATCH(443,样本到样信息汇总统计!$Z$2:$Z$500,0)),"")</f>
        <v/>
      </c>
      <c r="S444" s="4" t="str">
        <f>IFERROR(INDEX(样本到样信息汇总统计!S$2:S$500,MATCH(443,样本到样信息汇总统计!$Z$2:$Z$500,0)),"")</f>
        <v/>
      </c>
      <c r="T444" s="4" t="str">
        <f>IFERROR(INDEX(样本到样信息汇总统计!T$2:T$500,MATCH(443,样本到样信息汇总统计!$Z$2:$Z$500,0)),"")</f>
        <v/>
      </c>
      <c r="U444" s="4" t="str">
        <f>IFERROR(INDEX(样本到样信息汇总统计!U$2:U$500,MATCH(443,样本到样信息汇总统计!$Z$2:$Z$500,0)),"")</f>
        <v/>
      </c>
      <c r="V444" s="4" t="str">
        <f>IFERROR(INDEX(样本到样信息汇总统计!V$2:V$500,MATCH(443,样本到样信息汇总统计!$Z$2:$Z$500,0)),"")</f>
        <v/>
      </c>
      <c r="W444" s="4" t="str">
        <f>IFERROR(INDEX(样本到样信息汇总统计!W$2:W$500,MATCH(443,样本到样信息汇总统计!$Z$2:$Z$500,0)),"")</f>
        <v/>
      </c>
    </row>
    <row r="445" ht="14.5" spans="1:23">
      <c r="A445" s="8" t="str">
        <f>IFERROR(INDEX(样本到样信息汇总统计!A$2:A$500,MATCH(444,样本到样信息汇总统计!$Z$2:$Z$500,0)),"")</f>
        <v/>
      </c>
      <c r="B445" s="8" t="str">
        <f>IFERROR(INDEX(样本到样信息汇总统计!B$2:B$500,MATCH(444,样本到样信息汇总统计!$Z$2:$Z$500,0)),"")</f>
        <v/>
      </c>
      <c r="C445" s="8" t="str">
        <f>IFERROR(INDEX(样本到样信息汇总统计!C$2:C$500,MATCH(444,样本到样信息汇总统计!$Z$2:$Z$500,0)),"")</f>
        <v/>
      </c>
      <c r="D445" s="8" t="str">
        <f>IFERROR(INDEX(样本到样信息汇总统计!D$2:D$500,MATCH(444,样本到样信息汇总统计!$Z$2:$Z$500,0)),"")</f>
        <v/>
      </c>
      <c r="E445" s="8" t="str">
        <f>IFERROR(INDEX(样本到样信息汇总统计!E$2:E$500,MATCH(444,样本到样信息汇总统计!$Z$2:$Z$500,0)),"")</f>
        <v/>
      </c>
      <c r="F445" s="8" t="str">
        <f>IFERROR(INDEX(样本到样信息汇总统计!F$2:F$500,MATCH(444,样本到样信息汇总统计!$Z$2:$Z$500,0)),"")</f>
        <v/>
      </c>
      <c r="G445" s="8" t="str">
        <f>IFERROR(INDEX(样本到样信息汇总统计!G$2:G$500,MATCH(444,样本到样信息汇总统计!$Z$2:$Z$500,0)),"")</f>
        <v/>
      </c>
      <c r="H445" s="8" t="str">
        <f>IFERROR(INDEX(样本到样信息汇总统计!H$2:H$500,MATCH(444,样本到样信息汇总统计!$Z$2:$Z$500,0)),"")</f>
        <v/>
      </c>
      <c r="I445" s="8" t="str">
        <f>IFERROR(INDEX(样本到样信息汇总统计!I$2:I$500,MATCH(444,样本到样信息汇总统计!$Z$2:$Z$500,0)),"")</f>
        <v/>
      </c>
      <c r="J445" s="8" t="str">
        <f>IFERROR(INDEX(样本到样信息汇总统计!J$2:J$500,MATCH(444,样本到样信息汇总统计!$Z$2:$Z$500,0)),"")</f>
        <v/>
      </c>
      <c r="K445" s="8" t="str">
        <f>IFERROR(INDEX(样本到样信息汇总统计!K$2:K$500,MATCH(444,样本到样信息汇总统计!$Z$2:$Z$500,0)),"")</f>
        <v/>
      </c>
      <c r="L445" s="8" t="str">
        <f>IFERROR(INDEX(样本到样信息汇总统计!L$2:L$500,MATCH(444,样本到样信息汇总统计!$Z$2:$Z$500,0)),"")</f>
        <v/>
      </c>
      <c r="M445" s="8" t="str">
        <f>IFERROR(INDEX(样本到样信息汇总统计!M$2:M$500,MATCH(444,样本到样信息汇总统计!$Z$2:$Z$500,0)),"")</f>
        <v/>
      </c>
      <c r="N445" s="8" t="str">
        <f>IFERROR(INDEX(样本到样信息汇总统计!N$2:N$500,MATCH(444,样本到样信息汇总统计!$Z$2:$Z$500,0)),"")</f>
        <v/>
      </c>
      <c r="O445" s="8" t="str">
        <f>IFERROR(INDEX(样本到样信息汇总统计!O$2:O$500,MATCH(444,样本到样信息汇总统计!$Z$2:$Z$500,0)),"")</f>
        <v/>
      </c>
      <c r="P445" s="8" t="str">
        <f>IFERROR(INDEX(样本到样信息汇总统计!P$2:P$500,MATCH(444,样本到样信息汇总统计!$Z$2:$Z$500,0)),"")</f>
        <v/>
      </c>
      <c r="Q445" s="8" t="str">
        <f>IFERROR(INDEX(样本到样信息汇总统计!Q$2:Q$500,MATCH(444,样本到样信息汇总统计!$Z$2:$Z$500,0)),"")</f>
        <v/>
      </c>
      <c r="R445" s="8" t="str">
        <f>IFERROR(INDEX(样本到样信息汇总统计!R$2:R$500,MATCH(444,样本到样信息汇总统计!$Z$2:$Z$500,0)),"")</f>
        <v/>
      </c>
      <c r="S445" s="8" t="str">
        <f>IFERROR(INDEX(样本到样信息汇总统计!S$2:S$500,MATCH(444,样本到样信息汇总统计!$Z$2:$Z$500,0)),"")</f>
        <v/>
      </c>
      <c r="T445" s="8" t="str">
        <f>IFERROR(INDEX(样本到样信息汇总统计!T$2:T$500,MATCH(444,样本到样信息汇总统计!$Z$2:$Z$500,0)),"")</f>
        <v/>
      </c>
      <c r="U445" s="8" t="str">
        <f>IFERROR(INDEX(样本到样信息汇总统计!U$2:U$500,MATCH(444,样本到样信息汇总统计!$Z$2:$Z$500,0)),"")</f>
        <v/>
      </c>
      <c r="V445" s="8" t="str">
        <f>IFERROR(INDEX(样本到样信息汇总统计!V$2:V$500,MATCH(444,样本到样信息汇总统计!$Z$2:$Z$500,0)),"")</f>
        <v/>
      </c>
      <c r="W445" s="8" t="str">
        <f>IFERROR(INDEX(样本到样信息汇总统计!W$2:W$500,MATCH(444,样本到样信息汇总统计!$Z$2:$Z$500,0)),"")</f>
        <v/>
      </c>
    </row>
    <row r="446" ht="14.5" spans="1:23">
      <c r="A446" s="4" t="str">
        <f>IFERROR(INDEX(样本到样信息汇总统计!A$2:A$500,MATCH(445,样本到样信息汇总统计!$Z$2:$Z$500,0)),"")</f>
        <v/>
      </c>
      <c r="B446" s="4" t="str">
        <f>IFERROR(INDEX(样本到样信息汇总统计!B$2:B$500,MATCH(445,样本到样信息汇总统计!$Z$2:$Z$500,0)),"")</f>
        <v/>
      </c>
      <c r="C446" s="4" t="str">
        <f>IFERROR(INDEX(样本到样信息汇总统计!C$2:C$500,MATCH(445,样本到样信息汇总统计!$Z$2:$Z$500,0)),"")</f>
        <v/>
      </c>
      <c r="D446" s="4" t="str">
        <f>IFERROR(INDEX(样本到样信息汇总统计!D$2:D$500,MATCH(445,样本到样信息汇总统计!$Z$2:$Z$500,0)),"")</f>
        <v/>
      </c>
      <c r="E446" s="4" t="str">
        <f>IFERROR(INDEX(样本到样信息汇总统计!E$2:E$500,MATCH(445,样本到样信息汇总统计!$Z$2:$Z$500,0)),"")</f>
        <v/>
      </c>
      <c r="F446" s="4" t="str">
        <f>IFERROR(INDEX(样本到样信息汇总统计!F$2:F$500,MATCH(445,样本到样信息汇总统计!$Z$2:$Z$500,0)),"")</f>
        <v/>
      </c>
      <c r="G446" s="4" t="str">
        <f>IFERROR(INDEX(样本到样信息汇总统计!G$2:G$500,MATCH(445,样本到样信息汇总统计!$Z$2:$Z$500,0)),"")</f>
        <v/>
      </c>
      <c r="H446" s="4" t="str">
        <f>IFERROR(INDEX(样本到样信息汇总统计!H$2:H$500,MATCH(445,样本到样信息汇总统计!$Z$2:$Z$500,0)),"")</f>
        <v/>
      </c>
      <c r="I446" s="4" t="str">
        <f>IFERROR(INDEX(样本到样信息汇总统计!I$2:I$500,MATCH(445,样本到样信息汇总统计!$Z$2:$Z$500,0)),"")</f>
        <v/>
      </c>
      <c r="J446" s="4" t="str">
        <f>IFERROR(INDEX(样本到样信息汇总统计!J$2:J$500,MATCH(445,样本到样信息汇总统计!$Z$2:$Z$500,0)),"")</f>
        <v/>
      </c>
      <c r="K446" s="4" t="str">
        <f>IFERROR(INDEX(样本到样信息汇总统计!K$2:K$500,MATCH(445,样本到样信息汇总统计!$Z$2:$Z$500,0)),"")</f>
        <v/>
      </c>
      <c r="L446" s="4" t="str">
        <f>IFERROR(INDEX(样本到样信息汇总统计!L$2:L$500,MATCH(445,样本到样信息汇总统计!$Z$2:$Z$500,0)),"")</f>
        <v/>
      </c>
      <c r="M446" s="4" t="str">
        <f>IFERROR(INDEX(样本到样信息汇总统计!M$2:M$500,MATCH(445,样本到样信息汇总统计!$Z$2:$Z$500,0)),"")</f>
        <v/>
      </c>
      <c r="N446" s="4" t="str">
        <f>IFERROR(INDEX(样本到样信息汇总统计!N$2:N$500,MATCH(445,样本到样信息汇总统计!$Z$2:$Z$500,0)),"")</f>
        <v/>
      </c>
      <c r="O446" s="4" t="str">
        <f>IFERROR(INDEX(样本到样信息汇总统计!O$2:O$500,MATCH(445,样本到样信息汇总统计!$Z$2:$Z$500,0)),"")</f>
        <v/>
      </c>
      <c r="P446" s="4" t="str">
        <f>IFERROR(INDEX(样本到样信息汇总统计!P$2:P$500,MATCH(445,样本到样信息汇总统计!$Z$2:$Z$500,0)),"")</f>
        <v/>
      </c>
      <c r="Q446" s="4" t="str">
        <f>IFERROR(INDEX(样本到样信息汇总统计!Q$2:Q$500,MATCH(445,样本到样信息汇总统计!$Z$2:$Z$500,0)),"")</f>
        <v/>
      </c>
      <c r="R446" s="4" t="str">
        <f>IFERROR(INDEX(样本到样信息汇总统计!R$2:R$500,MATCH(445,样本到样信息汇总统计!$Z$2:$Z$500,0)),"")</f>
        <v/>
      </c>
      <c r="S446" s="4" t="str">
        <f>IFERROR(INDEX(样本到样信息汇总统计!S$2:S$500,MATCH(445,样本到样信息汇总统计!$Z$2:$Z$500,0)),"")</f>
        <v/>
      </c>
      <c r="T446" s="4" t="str">
        <f>IFERROR(INDEX(样本到样信息汇总统计!T$2:T$500,MATCH(445,样本到样信息汇总统计!$Z$2:$Z$500,0)),"")</f>
        <v/>
      </c>
      <c r="U446" s="4" t="str">
        <f>IFERROR(INDEX(样本到样信息汇总统计!U$2:U$500,MATCH(445,样本到样信息汇总统计!$Z$2:$Z$500,0)),"")</f>
        <v/>
      </c>
      <c r="V446" s="4" t="str">
        <f>IFERROR(INDEX(样本到样信息汇总统计!V$2:V$500,MATCH(445,样本到样信息汇总统计!$Z$2:$Z$500,0)),"")</f>
        <v/>
      </c>
      <c r="W446" s="4" t="str">
        <f>IFERROR(INDEX(样本到样信息汇总统计!W$2:W$500,MATCH(445,样本到样信息汇总统计!$Z$2:$Z$500,0)),"")</f>
        <v/>
      </c>
    </row>
    <row r="447" ht="14.5" spans="1:23">
      <c r="A447" s="8" t="str">
        <f>IFERROR(INDEX(样本到样信息汇总统计!A$2:A$500,MATCH(446,样本到样信息汇总统计!$Z$2:$Z$500,0)),"")</f>
        <v/>
      </c>
      <c r="B447" s="8" t="str">
        <f>IFERROR(INDEX(样本到样信息汇总统计!B$2:B$500,MATCH(446,样本到样信息汇总统计!$Z$2:$Z$500,0)),"")</f>
        <v/>
      </c>
      <c r="C447" s="8" t="str">
        <f>IFERROR(INDEX(样本到样信息汇总统计!C$2:C$500,MATCH(446,样本到样信息汇总统计!$Z$2:$Z$500,0)),"")</f>
        <v/>
      </c>
      <c r="D447" s="8" t="str">
        <f>IFERROR(INDEX(样本到样信息汇总统计!D$2:D$500,MATCH(446,样本到样信息汇总统计!$Z$2:$Z$500,0)),"")</f>
        <v/>
      </c>
      <c r="E447" s="8" t="str">
        <f>IFERROR(INDEX(样本到样信息汇总统计!E$2:E$500,MATCH(446,样本到样信息汇总统计!$Z$2:$Z$500,0)),"")</f>
        <v/>
      </c>
      <c r="F447" s="8" t="str">
        <f>IFERROR(INDEX(样本到样信息汇总统计!F$2:F$500,MATCH(446,样本到样信息汇总统计!$Z$2:$Z$500,0)),"")</f>
        <v/>
      </c>
      <c r="G447" s="8" t="str">
        <f>IFERROR(INDEX(样本到样信息汇总统计!G$2:G$500,MATCH(446,样本到样信息汇总统计!$Z$2:$Z$500,0)),"")</f>
        <v/>
      </c>
      <c r="H447" s="8" t="str">
        <f>IFERROR(INDEX(样本到样信息汇总统计!H$2:H$500,MATCH(446,样本到样信息汇总统计!$Z$2:$Z$500,0)),"")</f>
        <v/>
      </c>
      <c r="I447" s="8" t="str">
        <f>IFERROR(INDEX(样本到样信息汇总统计!I$2:I$500,MATCH(446,样本到样信息汇总统计!$Z$2:$Z$500,0)),"")</f>
        <v/>
      </c>
      <c r="J447" s="8" t="str">
        <f>IFERROR(INDEX(样本到样信息汇总统计!J$2:J$500,MATCH(446,样本到样信息汇总统计!$Z$2:$Z$500,0)),"")</f>
        <v/>
      </c>
      <c r="K447" s="8" t="str">
        <f>IFERROR(INDEX(样本到样信息汇总统计!K$2:K$500,MATCH(446,样本到样信息汇总统计!$Z$2:$Z$500,0)),"")</f>
        <v/>
      </c>
      <c r="L447" s="8" t="str">
        <f>IFERROR(INDEX(样本到样信息汇总统计!L$2:L$500,MATCH(446,样本到样信息汇总统计!$Z$2:$Z$500,0)),"")</f>
        <v/>
      </c>
      <c r="M447" s="8" t="str">
        <f>IFERROR(INDEX(样本到样信息汇总统计!M$2:M$500,MATCH(446,样本到样信息汇总统计!$Z$2:$Z$500,0)),"")</f>
        <v/>
      </c>
      <c r="N447" s="8" t="str">
        <f>IFERROR(INDEX(样本到样信息汇总统计!N$2:N$500,MATCH(446,样本到样信息汇总统计!$Z$2:$Z$500,0)),"")</f>
        <v/>
      </c>
      <c r="O447" s="8" t="str">
        <f>IFERROR(INDEX(样本到样信息汇总统计!O$2:O$500,MATCH(446,样本到样信息汇总统计!$Z$2:$Z$500,0)),"")</f>
        <v/>
      </c>
      <c r="P447" s="8" t="str">
        <f>IFERROR(INDEX(样本到样信息汇总统计!P$2:P$500,MATCH(446,样本到样信息汇总统计!$Z$2:$Z$500,0)),"")</f>
        <v/>
      </c>
      <c r="Q447" s="8" t="str">
        <f>IFERROR(INDEX(样本到样信息汇总统计!Q$2:Q$500,MATCH(446,样本到样信息汇总统计!$Z$2:$Z$500,0)),"")</f>
        <v/>
      </c>
      <c r="R447" s="8" t="str">
        <f>IFERROR(INDEX(样本到样信息汇总统计!R$2:R$500,MATCH(446,样本到样信息汇总统计!$Z$2:$Z$500,0)),"")</f>
        <v/>
      </c>
      <c r="S447" s="8" t="str">
        <f>IFERROR(INDEX(样本到样信息汇总统计!S$2:S$500,MATCH(446,样本到样信息汇总统计!$Z$2:$Z$500,0)),"")</f>
        <v/>
      </c>
      <c r="T447" s="8" t="str">
        <f>IFERROR(INDEX(样本到样信息汇总统计!T$2:T$500,MATCH(446,样本到样信息汇总统计!$Z$2:$Z$500,0)),"")</f>
        <v/>
      </c>
      <c r="U447" s="8" t="str">
        <f>IFERROR(INDEX(样本到样信息汇总统计!U$2:U$500,MATCH(446,样本到样信息汇总统计!$Z$2:$Z$500,0)),"")</f>
        <v/>
      </c>
      <c r="V447" s="8" t="str">
        <f>IFERROR(INDEX(样本到样信息汇总统计!V$2:V$500,MATCH(446,样本到样信息汇总统计!$Z$2:$Z$500,0)),"")</f>
        <v/>
      </c>
      <c r="W447" s="8" t="str">
        <f>IFERROR(INDEX(样本到样信息汇总统计!W$2:W$500,MATCH(446,样本到样信息汇总统计!$Z$2:$Z$500,0)),"")</f>
        <v/>
      </c>
    </row>
    <row r="448" ht="14.5" spans="1:23">
      <c r="A448" s="4" t="str">
        <f>IFERROR(INDEX(样本到样信息汇总统计!A$2:A$500,MATCH(447,样本到样信息汇总统计!$Z$2:$Z$500,0)),"")</f>
        <v/>
      </c>
      <c r="B448" s="4" t="str">
        <f>IFERROR(INDEX(样本到样信息汇总统计!B$2:B$500,MATCH(447,样本到样信息汇总统计!$Z$2:$Z$500,0)),"")</f>
        <v/>
      </c>
      <c r="C448" s="4" t="str">
        <f>IFERROR(INDEX(样本到样信息汇总统计!C$2:C$500,MATCH(447,样本到样信息汇总统计!$Z$2:$Z$500,0)),"")</f>
        <v/>
      </c>
      <c r="D448" s="4" t="str">
        <f>IFERROR(INDEX(样本到样信息汇总统计!D$2:D$500,MATCH(447,样本到样信息汇总统计!$Z$2:$Z$500,0)),"")</f>
        <v/>
      </c>
      <c r="E448" s="4" t="str">
        <f>IFERROR(INDEX(样本到样信息汇总统计!E$2:E$500,MATCH(447,样本到样信息汇总统计!$Z$2:$Z$500,0)),"")</f>
        <v/>
      </c>
      <c r="F448" s="4" t="str">
        <f>IFERROR(INDEX(样本到样信息汇总统计!F$2:F$500,MATCH(447,样本到样信息汇总统计!$Z$2:$Z$500,0)),"")</f>
        <v/>
      </c>
      <c r="G448" s="4" t="str">
        <f>IFERROR(INDEX(样本到样信息汇总统计!G$2:G$500,MATCH(447,样本到样信息汇总统计!$Z$2:$Z$500,0)),"")</f>
        <v/>
      </c>
      <c r="H448" s="4" t="str">
        <f>IFERROR(INDEX(样本到样信息汇总统计!H$2:H$500,MATCH(447,样本到样信息汇总统计!$Z$2:$Z$500,0)),"")</f>
        <v/>
      </c>
      <c r="I448" s="4" t="str">
        <f>IFERROR(INDEX(样本到样信息汇总统计!I$2:I$500,MATCH(447,样本到样信息汇总统计!$Z$2:$Z$500,0)),"")</f>
        <v/>
      </c>
      <c r="J448" s="4" t="str">
        <f>IFERROR(INDEX(样本到样信息汇总统计!J$2:J$500,MATCH(447,样本到样信息汇总统计!$Z$2:$Z$500,0)),"")</f>
        <v/>
      </c>
      <c r="K448" s="4" t="str">
        <f>IFERROR(INDEX(样本到样信息汇总统计!K$2:K$500,MATCH(447,样本到样信息汇总统计!$Z$2:$Z$500,0)),"")</f>
        <v/>
      </c>
      <c r="L448" s="4" t="str">
        <f>IFERROR(INDEX(样本到样信息汇总统计!L$2:L$500,MATCH(447,样本到样信息汇总统计!$Z$2:$Z$500,0)),"")</f>
        <v/>
      </c>
      <c r="M448" s="4" t="str">
        <f>IFERROR(INDEX(样本到样信息汇总统计!M$2:M$500,MATCH(447,样本到样信息汇总统计!$Z$2:$Z$500,0)),"")</f>
        <v/>
      </c>
      <c r="N448" s="4" t="str">
        <f>IFERROR(INDEX(样本到样信息汇总统计!N$2:N$500,MATCH(447,样本到样信息汇总统计!$Z$2:$Z$500,0)),"")</f>
        <v/>
      </c>
      <c r="O448" s="4" t="str">
        <f>IFERROR(INDEX(样本到样信息汇总统计!O$2:O$500,MATCH(447,样本到样信息汇总统计!$Z$2:$Z$500,0)),"")</f>
        <v/>
      </c>
      <c r="P448" s="4" t="str">
        <f>IFERROR(INDEX(样本到样信息汇总统计!P$2:P$500,MATCH(447,样本到样信息汇总统计!$Z$2:$Z$500,0)),"")</f>
        <v/>
      </c>
      <c r="Q448" s="4" t="str">
        <f>IFERROR(INDEX(样本到样信息汇总统计!Q$2:Q$500,MATCH(447,样本到样信息汇总统计!$Z$2:$Z$500,0)),"")</f>
        <v/>
      </c>
      <c r="R448" s="4" t="str">
        <f>IFERROR(INDEX(样本到样信息汇总统计!R$2:R$500,MATCH(447,样本到样信息汇总统计!$Z$2:$Z$500,0)),"")</f>
        <v/>
      </c>
      <c r="S448" s="4" t="str">
        <f>IFERROR(INDEX(样本到样信息汇总统计!S$2:S$500,MATCH(447,样本到样信息汇总统计!$Z$2:$Z$500,0)),"")</f>
        <v/>
      </c>
      <c r="T448" s="4" t="str">
        <f>IFERROR(INDEX(样本到样信息汇总统计!T$2:T$500,MATCH(447,样本到样信息汇总统计!$Z$2:$Z$500,0)),"")</f>
        <v/>
      </c>
      <c r="U448" s="4" t="str">
        <f>IFERROR(INDEX(样本到样信息汇总统计!U$2:U$500,MATCH(447,样本到样信息汇总统计!$Z$2:$Z$500,0)),"")</f>
        <v/>
      </c>
      <c r="V448" s="4" t="str">
        <f>IFERROR(INDEX(样本到样信息汇总统计!V$2:V$500,MATCH(447,样本到样信息汇总统计!$Z$2:$Z$500,0)),"")</f>
        <v/>
      </c>
      <c r="W448" s="4" t="str">
        <f>IFERROR(INDEX(样本到样信息汇总统计!W$2:W$500,MATCH(447,样本到样信息汇总统计!$Z$2:$Z$500,0)),"")</f>
        <v/>
      </c>
    </row>
    <row r="449" ht="14.5" spans="1:23">
      <c r="A449" s="8" t="str">
        <f>IFERROR(INDEX(样本到样信息汇总统计!A$2:A$500,MATCH(448,样本到样信息汇总统计!$Z$2:$Z$500,0)),"")</f>
        <v/>
      </c>
      <c r="B449" s="8" t="str">
        <f>IFERROR(INDEX(样本到样信息汇总统计!B$2:B$500,MATCH(448,样本到样信息汇总统计!$Z$2:$Z$500,0)),"")</f>
        <v/>
      </c>
      <c r="C449" s="8" t="str">
        <f>IFERROR(INDEX(样本到样信息汇总统计!C$2:C$500,MATCH(448,样本到样信息汇总统计!$Z$2:$Z$500,0)),"")</f>
        <v/>
      </c>
      <c r="D449" s="8" t="str">
        <f>IFERROR(INDEX(样本到样信息汇总统计!D$2:D$500,MATCH(448,样本到样信息汇总统计!$Z$2:$Z$500,0)),"")</f>
        <v/>
      </c>
      <c r="E449" s="8" t="str">
        <f>IFERROR(INDEX(样本到样信息汇总统计!E$2:E$500,MATCH(448,样本到样信息汇总统计!$Z$2:$Z$500,0)),"")</f>
        <v/>
      </c>
      <c r="F449" s="8" t="str">
        <f>IFERROR(INDEX(样本到样信息汇总统计!F$2:F$500,MATCH(448,样本到样信息汇总统计!$Z$2:$Z$500,0)),"")</f>
        <v/>
      </c>
      <c r="G449" s="8" t="str">
        <f>IFERROR(INDEX(样本到样信息汇总统计!G$2:G$500,MATCH(448,样本到样信息汇总统计!$Z$2:$Z$500,0)),"")</f>
        <v/>
      </c>
      <c r="H449" s="8" t="str">
        <f>IFERROR(INDEX(样本到样信息汇总统计!H$2:H$500,MATCH(448,样本到样信息汇总统计!$Z$2:$Z$500,0)),"")</f>
        <v/>
      </c>
      <c r="I449" s="8" t="str">
        <f>IFERROR(INDEX(样本到样信息汇总统计!I$2:I$500,MATCH(448,样本到样信息汇总统计!$Z$2:$Z$500,0)),"")</f>
        <v/>
      </c>
      <c r="J449" s="8" t="str">
        <f>IFERROR(INDEX(样本到样信息汇总统计!J$2:J$500,MATCH(448,样本到样信息汇总统计!$Z$2:$Z$500,0)),"")</f>
        <v/>
      </c>
      <c r="K449" s="8" t="str">
        <f>IFERROR(INDEX(样本到样信息汇总统计!K$2:K$500,MATCH(448,样本到样信息汇总统计!$Z$2:$Z$500,0)),"")</f>
        <v/>
      </c>
      <c r="L449" s="8" t="str">
        <f>IFERROR(INDEX(样本到样信息汇总统计!L$2:L$500,MATCH(448,样本到样信息汇总统计!$Z$2:$Z$500,0)),"")</f>
        <v/>
      </c>
      <c r="M449" s="8" t="str">
        <f>IFERROR(INDEX(样本到样信息汇总统计!M$2:M$500,MATCH(448,样本到样信息汇总统计!$Z$2:$Z$500,0)),"")</f>
        <v/>
      </c>
      <c r="N449" s="8" t="str">
        <f>IFERROR(INDEX(样本到样信息汇总统计!N$2:N$500,MATCH(448,样本到样信息汇总统计!$Z$2:$Z$500,0)),"")</f>
        <v/>
      </c>
      <c r="O449" s="8" t="str">
        <f>IFERROR(INDEX(样本到样信息汇总统计!O$2:O$500,MATCH(448,样本到样信息汇总统计!$Z$2:$Z$500,0)),"")</f>
        <v/>
      </c>
      <c r="P449" s="8" t="str">
        <f>IFERROR(INDEX(样本到样信息汇总统计!P$2:P$500,MATCH(448,样本到样信息汇总统计!$Z$2:$Z$500,0)),"")</f>
        <v/>
      </c>
      <c r="Q449" s="8" t="str">
        <f>IFERROR(INDEX(样本到样信息汇总统计!Q$2:Q$500,MATCH(448,样本到样信息汇总统计!$Z$2:$Z$500,0)),"")</f>
        <v/>
      </c>
      <c r="R449" s="8" t="str">
        <f>IFERROR(INDEX(样本到样信息汇总统计!R$2:R$500,MATCH(448,样本到样信息汇总统计!$Z$2:$Z$500,0)),"")</f>
        <v/>
      </c>
      <c r="S449" s="8" t="str">
        <f>IFERROR(INDEX(样本到样信息汇总统计!S$2:S$500,MATCH(448,样本到样信息汇总统计!$Z$2:$Z$500,0)),"")</f>
        <v/>
      </c>
      <c r="T449" s="8" t="str">
        <f>IFERROR(INDEX(样本到样信息汇总统计!T$2:T$500,MATCH(448,样本到样信息汇总统计!$Z$2:$Z$500,0)),"")</f>
        <v/>
      </c>
      <c r="U449" s="8" t="str">
        <f>IFERROR(INDEX(样本到样信息汇总统计!U$2:U$500,MATCH(448,样本到样信息汇总统计!$Z$2:$Z$500,0)),"")</f>
        <v/>
      </c>
      <c r="V449" s="8" t="str">
        <f>IFERROR(INDEX(样本到样信息汇总统计!V$2:V$500,MATCH(448,样本到样信息汇总统计!$Z$2:$Z$500,0)),"")</f>
        <v/>
      </c>
      <c r="W449" s="8" t="str">
        <f>IFERROR(INDEX(样本到样信息汇总统计!W$2:W$500,MATCH(448,样本到样信息汇总统计!$Z$2:$Z$500,0)),"")</f>
        <v/>
      </c>
    </row>
    <row r="450" ht="14.5" spans="1:23">
      <c r="A450" s="4" t="str">
        <f>IFERROR(INDEX(样本到样信息汇总统计!A$2:A$500,MATCH(449,样本到样信息汇总统计!$Z$2:$Z$500,0)),"")</f>
        <v/>
      </c>
      <c r="B450" s="4" t="str">
        <f>IFERROR(INDEX(样本到样信息汇总统计!B$2:B$500,MATCH(449,样本到样信息汇总统计!$Z$2:$Z$500,0)),"")</f>
        <v/>
      </c>
      <c r="C450" s="4" t="str">
        <f>IFERROR(INDEX(样本到样信息汇总统计!C$2:C$500,MATCH(449,样本到样信息汇总统计!$Z$2:$Z$500,0)),"")</f>
        <v/>
      </c>
      <c r="D450" s="4" t="str">
        <f>IFERROR(INDEX(样本到样信息汇总统计!D$2:D$500,MATCH(449,样本到样信息汇总统计!$Z$2:$Z$500,0)),"")</f>
        <v/>
      </c>
      <c r="E450" s="4" t="str">
        <f>IFERROR(INDEX(样本到样信息汇总统计!E$2:E$500,MATCH(449,样本到样信息汇总统计!$Z$2:$Z$500,0)),"")</f>
        <v/>
      </c>
      <c r="F450" s="4" t="str">
        <f>IFERROR(INDEX(样本到样信息汇总统计!F$2:F$500,MATCH(449,样本到样信息汇总统计!$Z$2:$Z$500,0)),"")</f>
        <v/>
      </c>
      <c r="G450" s="4" t="str">
        <f>IFERROR(INDEX(样本到样信息汇总统计!G$2:G$500,MATCH(449,样本到样信息汇总统计!$Z$2:$Z$500,0)),"")</f>
        <v/>
      </c>
      <c r="H450" s="4" t="str">
        <f>IFERROR(INDEX(样本到样信息汇总统计!H$2:H$500,MATCH(449,样本到样信息汇总统计!$Z$2:$Z$500,0)),"")</f>
        <v/>
      </c>
      <c r="I450" s="4" t="str">
        <f>IFERROR(INDEX(样本到样信息汇总统计!I$2:I$500,MATCH(449,样本到样信息汇总统计!$Z$2:$Z$500,0)),"")</f>
        <v/>
      </c>
      <c r="J450" s="4" t="str">
        <f>IFERROR(INDEX(样本到样信息汇总统计!J$2:J$500,MATCH(449,样本到样信息汇总统计!$Z$2:$Z$500,0)),"")</f>
        <v/>
      </c>
      <c r="K450" s="4" t="str">
        <f>IFERROR(INDEX(样本到样信息汇总统计!K$2:K$500,MATCH(449,样本到样信息汇总统计!$Z$2:$Z$500,0)),"")</f>
        <v/>
      </c>
      <c r="L450" s="4" t="str">
        <f>IFERROR(INDEX(样本到样信息汇总统计!L$2:L$500,MATCH(449,样本到样信息汇总统计!$Z$2:$Z$500,0)),"")</f>
        <v/>
      </c>
      <c r="M450" s="4" t="str">
        <f>IFERROR(INDEX(样本到样信息汇总统计!M$2:M$500,MATCH(449,样本到样信息汇总统计!$Z$2:$Z$500,0)),"")</f>
        <v/>
      </c>
      <c r="N450" s="4" t="str">
        <f>IFERROR(INDEX(样本到样信息汇总统计!N$2:N$500,MATCH(449,样本到样信息汇总统计!$Z$2:$Z$500,0)),"")</f>
        <v/>
      </c>
      <c r="O450" s="4" t="str">
        <f>IFERROR(INDEX(样本到样信息汇总统计!O$2:O$500,MATCH(449,样本到样信息汇总统计!$Z$2:$Z$500,0)),"")</f>
        <v/>
      </c>
      <c r="P450" s="4" t="str">
        <f>IFERROR(INDEX(样本到样信息汇总统计!P$2:P$500,MATCH(449,样本到样信息汇总统计!$Z$2:$Z$500,0)),"")</f>
        <v/>
      </c>
      <c r="Q450" s="4" t="str">
        <f>IFERROR(INDEX(样本到样信息汇总统计!Q$2:Q$500,MATCH(449,样本到样信息汇总统计!$Z$2:$Z$500,0)),"")</f>
        <v/>
      </c>
      <c r="R450" s="4" t="str">
        <f>IFERROR(INDEX(样本到样信息汇总统计!R$2:R$500,MATCH(449,样本到样信息汇总统计!$Z$2:$Z$500,0)),"")</f>
        <v/>
      </c>
      <c r="S450" s="4" t="str">
        <f>IFERROR(INDEX(样本到样信息汇总统计!S$2:S$500,MATCH(449,样本到样信息汇总统计!$Z$2:$Z$500,0)),"")</f>
        <v/>
      </c>
      <c r="T450" s="4" t="str">
        <f>IFERROR(INDEX(样本到样信息汇总统计!T$2:T$500,MATCH(449,样本到样信息汇总统计!$Z$2:$Z$500,0)),"")</f>
        <v/>
      </c>
      <c r="U450" s="4" t="str">
        <f>IFERROR(INDEX(样本到样信息汇总统计!U$2:U$500,MATCH(449,样本到样信息汇总统计!$Z$2:$Z$500,0)),"")</f>
        <v/>
      </c>
      <c r="V450" s="4" t="str">
        <f>IFERROR(INDEX(样本到样信息汇总统计!V$2:V$500,MATCH(449,样本到样信息汇总统计!$Z$2:$Z$500,0)),"")</f>
        <v/>
      </c>
      <c r="W450" s="4" t="str">
        <f>IFERROR(INDEX(样本到样信息汇总统计!W$2:W$500,MATCH(449,样本到样信息汇总统计!$Z$2:$Z$500,0)),"")</f>
        <v/>
      </c>
    </row>
    <row r="451" ht="14.5" spans="1:23">
      <c r="A451" s="8" t="str">
        <f>IFERROR(INDEX(样本到样信息汇总统计!A$2:A$500,MATCH(450,样本到样信息汇总统计!$Z$2:$Z$500,0)),"")</f>
        <v/>
      </c>
      <c r="B451" s="8" t="str">
        <f>IFERROR(INDEX(样本到样信息汇总统计!B$2:B$500,MATCH(450,样本到样信息汇总统计!$Z$2:$Z$500,0)),"")</f>
        <v/>
      </c>
      <c r="C451" s="8" t="str">
        <f>IFERROR(INDEX(样本到样信息汇总统计!C$2:C$500,MATCH(450,样本到样信息汇总统计!$Z$2:$Z$500,0)),"")</f>
        <v/>
      </c>
      <c r="D451" s="8" t="str">
        <f>IFERROR(INDEX(样本到样信息汇总统计!D$2:D$500,MATCH(450,样本到样信息汇总统计!$Z$2:$Z$500,0)),"")</f>
        <v/>
      </c>
      <c r="E451" s="8" t="str">
        <f>IFERROR(INDEX(样本到样信息汇总统计!E$2:E$500,MATCH(450,样本到样信息汇总统计!$Z$2:$Z$500,0)),"")</f>
        <v/>
      </c>
      <c r="F451" s="8" t="str">
        <f>IFERROR(INDEX(样本到样信息汇总统计!F$2:F$500,MATCH(450,样本到样信息汇总统计!$Z$2:$Z$500,0)),"")</f>
        <v/>
      </c>
      <c r="G451" s="8" t="str">
        <f>IFERROR(INDEX(样本到样信息汇总统计!G$2:G$500,MATCH(450,样本到样信息汇总统计!$Z$2:$Z$500,0)),"")</f>
        <v/>
      </c>
      <c r="H451" s="8" t="str">
        <f>IFERROR(INDEX(样本到样信息汇总统计!H$2:H$500,MATCH(450,样本到样信息汇总统计!$Z$2:$Z$500,0)),"")</f>
        <v/>
      </c>
      <c r="I451" s="8" t="str">
        <f>IFERROR(INDEX(样本到样信息汇总统计!I$2:I$500,MATCH(450,样本到样信息汇总统计!$Z$2:$Z$500,0)),"")</f>
        <v/>
      </c>
      <c r="J451" s="8" t="str">
        <f>IFERROR(INDEX(样本到样信息汇总统计!J$2:J$500,MATCH(450,样本到样信息汇总统计!$Z$2:$Z$500,0)),"")</f>
        <v/>
      </c>
      <c r="K451" s="8" t="str">
        <f>IFERROR(INDEX(样本到样信息汇总统计!K$2:K$500,MATCH(450,样本到样信息汇总统计!$Z$2:$Z$500,0)),"")</f>
        <v/>
      </c>
      <c r="L451" s="8" t="str">
        <f>IFERROR(INDEX(样本到样信息汇总统计!L$2:L$500,MATCH(450,样本到样信息汇总统计!$Z$2:$Z$500,0)),"")</f>
        <v/>
      </c>
      <c r="M451" s="8" t="str">
        <f>IFERROR(INDEX(样本到样信息汇总统计!M$2:M$500,MATCH(450,样本到样信息汇总统计!$Z$2:$Z$500,0)),"")</f>
        <v/>
      </c>
      <c r="N451" s="8" t="str">
        <f>IFERROR(INDEX(样本到样信息汇总统计!N$2:N$500,MATCH(450,样本到样信息汇总统计!$Z$2:$Z$500,0)),"")</f>
        <v/>
      </c>
      <c r="O451" s="8" t="str">
        <f>IFERROR(INDEX(样本到样信息汇总统计!O$2:O$500,MATCH(450,样本到样信息汇总统计!$Z$2:$Z$500,0)),"")</f>
        <v/>
      </c>
      <c r="P451" s="8" t="str">
        <f>IFERROR(INDEX(样本到样信息汇总统计!P$2:P$500,MATCH(450,样本到样信息汇总统计!$Z$2:$Z$500,0)),"")</f>
        <v/>
      </c>
      <c r="Q451" s="8" t="str">
        <f>IFERROR(INDEX(样本到样信息汇总统计!Q$2:Q$500,MATCH(450,样本到样信息汇总统计!$Z$2:$Z$500,0)),"")</f>
        <v/>
      </c>
      <c r="R451" s="8" t="str">
        <f>IFERROR(INDEX(样本到样信息汇总统计!R$2:R$500,MATCH(450,样本到样信息汇总统计!$Z$2:$Z$500,0)),"")</f>
        <v/>
      </c>
      <c r="S451" s="8" t="str">
        <f>IFERROR(INDEX(样本到样信息汇总统计!S$2:S$500,MATCH(450,样本到样信息汇总统计!$Z$2:$Z$500,0)),"")</f>
        <v/>
      </c>
      <c r="T451" s="8" t="str">
        <f>IFERROR(INDEX(样本到样信息汇总统计!T$2:T$500,MATCH(450,样本到样信息汇总统计!$Z$2:$Z$500,0)),"")</f>
        <v/>
      </c>
      <c r="U451" s="8" t="str">
        <f>IFERROR(INDEX(样本到样信息汇总统计!U$2:U$500,MATCH(450,样本到样信息汇总统计!$Z$2:$Z$500,0)),"")</f>
        <v/>
      </c>
      <c r="V451" s="8" t="str">
        <f>IFERROR(INDEX(样本到样信息汇总统计!V$2:V$500,MATCH(450,样本到样信息汇总统计!$Z$2:$Z$500,0)),"")</f>
        <v/>
      </c>
      <c r="W451" s="8" t="str">
        <f>IFERROR(INDEX(样本到样信息汇总统计!W$2:W$500,MATCH(450,样本到样信息汇总统计!$Z$2:$Z$500,0)),"")</f>
        <v/>
      </c>
    </row>
    <row r="452" ht="14.5" spans="1:23">
      <c r="A452" s="4" t="str">
        <f>IFERROR(INDEX(样本到样信息汇总统计!A$2:A$500,MATCH(451,样本到样信息汇总统计!$Z$2:$Z$500,0)),"")</f>
        <v/>
      </c>
      <c r="B452" s="4" t="str">
        <f>IFERROR(INDEX(样本到样信息汇总统计!B$2:B$500,MATCH(451,样本到样信息汇总统计!$Z$2:$Z$500,0)),"")</f>
        <v/>
      </c>
      <c r="C452" s="4" t="str">
        <f>IFERROR(INDEX(样本到样信息汇总统计!C$2:C$500,MATCH(451,样本到样信息汇总统计!$Z$2:$Z$500,0)),"")</f>
        <v/>
      </c>
      <c r="D452" s="4" t="str">
        <f>IFERROR(INDEX(样本到样信息汇总统计!D$2:D$500,MATCH(451,样本到样信息汇总统计!$Z$2:$Z$500,0)),"")</f>
        <v/>
      </c>
      <c r="E452" s="4" t="str">
        <f>IFERROR(INDEX(样本到样信息汇总统计!E$2:E$500,MATCH(451,样本到样信息汇总统计!$Z$2:$Z$500,0)),"")</f>
        <v/>
      </c>
      <c r="F452" s="4" t="str">
        <f>IFERROR(INDEX(样本到样信息汇总统计!F$2:F$500,MATCH(451,样本到样信息汇总统计!$Z$2:$Z$500,0)),"")</f>
        <v/>
      </c>
      <c r="G452" s="4" t="str">
        <f>IFERROR(INDEX(样本到样信息汇总统计!G$2:G$500,MATCH(451,样本到样信息汇总统计!$Z$2:$Z$500,0)),"")</f>
        <v/>
      </c>
      <c r="H452" s="4" t="str">
        <f>IFERROR(INDEX(样本到样信息汇总统计!H$2:H$500,MATCH(451,样本到样信息汇总统计!$Z$2:$Z$500,0)),"")</f>
        <v/>
      </c>
      <c r="I452" s="4" t="str">
        <f>IFERROR(INDEX(样本到样信息汇总统计!I$2:I$500,MATCH(451,样本到样信息汇总统计!$Z$2:$Z$500,0)),"")</f>
        <v/>
      </c>
      <c r="J452" s="4" t="str">
        <f>IFERROR(INDEX(样本到样信息汇总统计!J$2:J$500,MATCH(451,样本到样信息汇总统计!$Z$2:$Z$500,0)),"")</f>
        <v/>
      </c>
      <c r="K452" s="4" t="str">
        <f>IFERROR(INDEX(样本到样信息汇总统计!K$2:K$500,MATCH(451,样本到样信息汇总统计!$Z$2:$Z$500,0)),"")</f>
        <v/>
      </c>
      <c r="L452" s="4" t="str">
        <f>IFERROR(INDEX(样本到样信息汇总统计!L$2:L$500,MATCH(451,样本到样信息汇总统计!$Z$2:$Z$500,0)),"")</f>
        <v/>
      </c>
      <c r="M452" s="4" t="str">
        <f>IFERROR(INDEX(样本到样信息汇总统计!M$2:M$500,MATCH(451,样本到样信息汇总统计!$Z$2:$Z$500,0)),"")</f>
        <v/>
      </c>
      <c r="N452" s="4" t="str">
        <f>IFERROR(INDEX(样本到样信息汇总统计!N$2:N$500,MATCH(451,样本到样信息汇总统计!$Z$2:$Z$500,0)),"")</f>
        <v/>
      </c>
      <c r="O452" s="4" t="str">
        <f>IFERROR(INDEX(样本到样信息汇总统计!O$2:O$500,MATCH(451,样本到样信息汇总统计!$Z$2:$Z$500,0)),"")</f>
        <v/>
      </c>
      <c r="P452" s="4" t="str">
        <f>IFERROR(INDEX(样本到样信息汇总统计!P$2:P$500,MATCH(451,样本到样信息汇总统计!$Z$2:$Z$500,0)),"")</f>
        <v/>
      </c>
      <c r="Q452" s="4" t="str">
        <f>IFERROR(INDEX(样本到样信息汇总统计!Q$2:Q$500,MATCH(451,样本到样信息汇总统计!$Z$2:$Z$500,0)),"")</f>
        <v/>
      </c>
      <c r="R452" s="4" t="str">
        <f>IFERROR(INDEX(样本到样信息汇总统计!R$2:R$500,MATCH(451,样本到样信息汇总统计!$Z$2:$Z$500,0)),"")</f>
        <v/>
      </c>
      <c r="S452" s="4" t="str">
        <f>IFERROR(INDEX(样本到样信息汇总统计!S$2:S$500,MATCH(451,样本到样信息汇总统计!$Z$2:$Z$500,0)),"")</f>
        <v/>
      </c>
      <c r="T452" s="4" t="str">
        <f>IFERROR(INDEX(样本到样信息汇总统计!T$2:T$500,MATCH(451,样本到样信息汇总统计!$Z$2:$Z$500,0)),"")</f>
        <v/>
      </c>
      <c r="U452" s="4" t="str">
        <f>IFERROR(INDEX(样本到样信息汇总统计!U$2:U$500,MATCH(451,样本到样信息汇总统计!$Z$2:$Z$500,0)),"")</f>
        <v/>
      </c>
      <c r="V452" s="4" t="str">
        <f>IFERROR(INDEX(样本到样信息汇总统计!V$2:V$500,MATCH(451,样本到样信息汇总统计!$Z$2:$Z$500,0)),"")</f>
        <v/>
      </c>
      <c r="W452" s="4" t="str">
        <f>IFERROR(INDEX(样本到样信息汇总统计!W$2:W$500,MATCH(451,样本到样信息汇总统计!$Z$2:$Z$500,0)),"")</f>
        <v/>
      </c>
    </row>
    <row r="453" ht="14.5" spans="1:23">
      <c r="A453" s="8" t="str">
        <f>IFERROR(INDEX(样本到样信息汇总统计!A$2:A$500,MATCH(452,样本到样信息汇总统计!$Z$2:$Z$500,0)),"")</f>
        <v/>
      </c>
      <c r="B453" s="8" t="str">
        <f>IFERROR(INDEX(样本到样信息汇总统计!B$2:B$500,MATCH(452,样本到样信息汇总统计!$Z$2:$Z$500,0)),"")</f>
        <v/>
      </c>
      <c r="C453" s="8" t="str">
        <f>IFERROR(INDEX(样本到样信息汇总统计!C$2:C$500,MATCH(452,样本到样信息汇总统计!$Z$2:$Z$500,0)),"")</f>
        <v/>
      </c>
      <c r="D453" s="8" t="str">
        <f>IFERROR(INDEX(样本到样信息汇总统计!D$2:D$500,MATCH(452,样本到样信息汇总统计!$Z$2:$Z$500,0)),"")</f>
        <v/>
      </c>
      <c r="E453" s="8" t="str">
        <f>IFERROR(INDEX(样本到样信息汇总统计!E$2:E$500,MATCH(452,样本到样信息汇总统计!$Z$2:$Z$500,0)),"")</f>
        <v/>
      </c>
      <c r="F453" s="8" t="str">
        <f>IFERROR(INDEX(样本到样信息汇总统计!F$2:F$500,MATCH(452,样本到样信息汇总统计!$Z$2:$Z$500,0)),"")</f>
        <v/>
      </c>
      <c r="G453" s="8" t="str">
        <f>IFERROR(INDEX(样本到样信息汇总统计!G$2:G$500,MATCH(452,样本到样信息汇总统计!$Z$2:$Z$500,0)),"")</f>
        <v/>
      </c>
      <c r="H453" s="8" t="str">
        <f>IFERROR(INDEX(样本到样信息汇总统计!H$2:H$500,MATCH(452,样本到样信息汇总统计!$Z$2:$Z$500,0)),"")</f>
        <v/>
      </c>
      <c r="I453" s="8" t="str">
        <f>IFERROR(INDEX(样本到样信息汇总统计!I$2:I$500,MATCH(452,样本到样信息汇总统计!$Z$2:$Z$500,0)),"")</f>
        <v/>
      </c>
      <c r="J453" s="8" t="str">
        <f>IFERROR(INDEX(样本到样信息汇总统计!J$2:J$500,MATCH(452,样本到样信息汇总统计!$Z$2:$Z$500,0)),"")</f>
        <v/>
      </c>
      <c r="K453" s="8" t="str">
        <f>IFERROR(INDEX(样本到样信息汇总统计!K$2:K$500,MATCH(452,样本到样信息汇总统计!$Z$2:$Z$500,0)),"")</f>
        <v/>
      </c>
      <c r="L453" s="8" t="str">
        <f>IFERROR(INDEX(样本到样信息汇总统计!L$2:L$500,MATCH(452,样本到样信息汇总统计!$Z$2:$Z$500,0)),"")</f>
        <v/>
      </c>
      <c r="M453" s="8" t="str">
        <f>IFERROR(INDEX(样本到样信息汇总统计!M$2:M$500,MATCH(452,样本到样信息汇总统计!$Z$2:$Z$500,0)),"")</f>
        <v/>
      </c>
      <c r="N453" s="8" t="str">
        <f>IFERROR(INDEX(样本到样信息汇总统计!N$2:N$500,MATCH(452,样本到样信息汇总统计!$Z$2:$Z$500,0)),"")</f>
        <v/>
      </c>
      <c r="O453" s="8" t="str">
        <f>IFERROR(INDEX(样本到样信息汇总统计!O$2:O$500,MATCH(452,样本到样信息汇总统计!$Z$2:$Z$500,0)),"")</f>
        <v/>
      </c>
      <c r="P453" s="8" t="str">
        <f>IFERROR(INDEX(样本到样信息汇总统计!P$2:P$500,MATCH(452,样本到样信息汇总统计!$Z$2:$Z$500,0)),"")</f>
        <v/>
      </c>
      <c r="Q453" s="8" t="str">
        <f>IFERROR(INDEX(样本到样信息汇总统计!Q$2:Q$500,MATCH(452,样本到样信息汇总统计!$Z$2:$Z$500,0)),"")</f>
        <v/>
      </c>
      <c r="R453" s="8" t="str">
        <f>IFERROR(INDEX(样本到样信息汇总统计!R$2:R$500,MATCH(452,样本到样信息汇总统计!$Z$2:$Z$500,0)),"")</f>
        <v/>
      </c>
      <c r="S453" s="8" t="str">
        <f>IFERROR(INDEX(样本到样信息汇总统计!S$2:S$500,MATCH(452,样本到样信息汇总统计!$Z$2:$Z$500,0)),"")</f>
        <v/>
      </c>
      <c r="T453" s="8" t="str">
        <f>IFERROR(INDEX(样本到样信息汇总统计!T$2:T$500,MATCH(452,样本到样信息汇总统计!$Z$2:$Z$500,0)),"")</f>
        <v/>
      </c>
      <c r="U453" s="8" t="str">
        <f>IFERROR(INDEX(样本到样信息汇总统计!U$2:U$500,MATCH(452,样本到样信息汇总统计!$Z$2:$Z$500,0)),"")</f>
        <v/>
      </c>
      <c r="V453" s="8" t="str">
        <f>IFERROR(INDEX(样本到样信息汇总统计!V$2:V$500,MATCH(452,样本到样信息汇总统计!$Z$2:$Z$500,0)),"")</f>
        <v/>
      </c>
      <c r="W453" s="8" t="str">
        <f>IFERROR(INDEX(样本到样信息汇总统计!W$2:W$500,MATCH(452,样本到样信息汇总统计!$Z$2:$Z$500,0)),"")</f>
        <v/>
      </c>
    </row>
    <row r="454" ht="14.5" spans="1:23">
      <c r="A454" s="4" t="str">
        <f>IFERROR(INDEX(样本到样信息汇总统计!A$2:A$500,MATCH(453,样本到样信息汇总统计!$Z$2:$Z$500,0)),"")</f>
        <v/>
      </c>
      <c r="B454" s="4" t="str">
        <f>IFERROR(INDEX(样本到样信息汇总统计!B$2:B$500,MATCH(453,样本到样信息汇总统计!$Z$2:$Z$500,0)),"")</f>
        <v/>
      </c>
      <c r="C454" s="4" t="str">
        <f>IFERROR(INDEX(样本到样信息汇总统计!C$2:C$500,MATCH(453,样本到样信息汇总统计!$Z$2:$Z$500,0)),"")</f>
        <v/>
      </c>
      <c r="D454" s="4" t="str">
        <f>IFERROR(INDEX(样本到样信息汇总统计!D$2:D$500,MATCH(453,样本到样信息汇总统计!$Z$2:$Z$500,0)),"")</f>
        <v/>
      </c>
      <c r="E454" s="4" t="str">
        <f>IFERROR(INDEX(样本到样信息汇总统计!E$2:E$500,MATCH(453,样本到样信息汇总统计!$Z$2:$Z$500,0)),"")</f>
        <v/>
      </c>
      <c r="F454" s="4" t="str">
        <f>IFERROR(INDEX(样本到样信息汇总统计!F$2:F$500,MATCH(453,样本到样信息汇总统计!$Z$2:$Z$500,0)),"")</f>
        <v/>
      </c>
      <c r="G454" s="4" t="str">
        <f>IFERROR(INDEX(样本到样信息汇总统计!G$2:G$500,MATCH(453,样本到样信息汇总统计!$Z$2:$Z$500,0)),"")</f>
        <v/>
      </c>
      <c r="H454" s="4" t="str">
        <f>IFERROR(INDEX(样本到样信息汇总统计!H$2:H$500,MATCH(453,样本到样信息汇总统计!$Z$2:$Z$500,0)),"")</f>
        <v/>
      </c>
      <c r="I454" s="4" t="str">
        <f>IFERROR(INDEX(样本到样信息汇总统计!I$2:I$500,MATCH(453,样本到样信息汇总统计!$Z$2:$Z$500,0)),"")</f>
        <v/>
      </c>
      <c r="J454" s="4" t="str">
        <f>IFERROR(INDEX(样本到样信息汇总统计!J$2:J$500,MATCH(453,样本到样信息汇总统计!$Z$2:$Z$500,0)),"")</f>
        <v/>
      </c>
      <c r="K454" s="4" t="str">
        <f>IFERROR(INDEX(样本到样信息汇总统计!K$2:K$500,MATCH(453,样本到样信息汇总统计!$Z$2:$Z$500,0)),"")</f>
        <v/>
      </c>
      <c r="L454" s="4" t="str">
        <f>IFERROR(INDEX(样本到样信息汇总统计!L$2:L$500,MATCH(453,样本到样信息汇总统计!$Z$2:$Z$500,0)),"")</f>
        <v/>
      </c>
      <c r="M454" s="4" t="str">
        <f>IFERROR(INDEX(样本到样信息汇总统计!M$2:M$500,MATCH(453,样本到样信息汇总统计!$Z$2:$Z$500,0)),"")</f>
        <v/>
      </c>
      <c r="N454" s="4" t="str">
        <f>IFERROR(INDEX(样本到样信息汇总统计!N$2:N$500,MATCH(453,样本到样信息汇总统计!$Z$2:$Z$500,0)),"")</f>
        <v/>
      </c>
      <c r="O454" s="4" t="str">
        <f>IFERROR(INDEX(样本到样信息汇总统计!O$2:O$500,MATCH(453,样本到样信息汇总统计!$Z$2:$Z$500,0)),"")</f>
        <v/>
      </c>
      <c r="P454" s="4" t="str">
        <f>IFERROR(INDEX(样本到样信息汇总统计!P$2:P$500,MATCH(453,样本到样信息汇总统计!$Z$2:$Z$500,0)),"")</f>
        <v/>
      </c>
      <c r="Q454" s="4" t="str">
        <f>IFERROR(INDEX(样本到样信息汇总统计!Q$2:Q$500,MATCH(453,样本到样信息汇总统计!$Z$2:$Z$500,0)),"")</f>
        <v/>
      </c>
      <c r="R454" s="4" t="str">
        <f>IFERROR(INDEX(样本到样信息汇总统计!R$2:R$500,MATCH(453,样本到样信息汇总统计!$Z$2:$Z$500,0)),"")</f>
        <v/>
      </c>
      <c r="S454" s="4" t="str">
        <f>IFERROR(INDEX(样本到样信息汇总统计!S$2:S$500,MATCH(453,样本到样信息汇总统计!$Z$2:$Z$500,0)),"")</f>
        <v/>
      </c>
      <c r="T454" s="4" t="str">
        <f>IFERROR(INDEX(样本到样信息汇总统计!T$2:T$500,MATCH(453,样本到样信息汇总统计!$Z$2:$Z$500,0)),"")</f>
        <v/>
      </c>
      <c r="U454" s="4" t="str">
        <f>IFERROR(INDEX(样本到样信息汇总统计!U$2:U$500,MATCH(453,样本到样信息汇总统计!$Z$2:$Z$500,0)),"")</f>
        <v/>
      </c>
      <c r="V454" s="4" t="str">
        <f>IFERROR(INDEX(样本到样信息汇总统计!V$2:V$500,MATCH(453,样本到样信息汇总统计!$Z$2:$Z$500,0)),"")</f>
        <v/>
      </c>
      <c r="W454" s="4" t="str">
        <f>IFERROR(INDEX(样本到样信息汇总统计!W$2:W$500,MATCH(453,样本到样信息汇总统计!$Z$2:$Z$500,0)),"")</f>
        <v/>
      </c>
    </row>
    <row r="455" ht="14.5" spans="1:23">
      <c r="A455" s="8" t="str">
        <f>IFERROR(INDEX(样本到样信息汇总统计!A$2:A$500,MATCH(454,样本到样信息汇总统计!$Z$2:$Z$500,0)),"")</f>
        <v/>
      </c>
      <c r="B455" s="8" t="str">
        <f>IFERROR(INDEX(样本到样信息汇总统计!B$2:B$500,MATCH(454,样本到样信息汇总统计!$Z$2:$Z$500,0)),"")</f>
        <v/>
      </c>
      <c r="C455" s="8" t="str">
        <f>IFERROR(INDEX(样本到样信息汇总统计!C$2:C$500,MATCH(454,样本到样信息汇总统计!$Z$2:$Z$500,0)),"")</f>
        <v/>
      </c>
      <c r="D455" s="8" t="str">
        <f>IFERROR(INDEX(样本到样信息汇总统计!D$2:D$500,MATCH(454,样本到样信息汇总统计!$Z$2:$Z$500,0)),"")</f>
        <v/>
      </c>
      <c r="E455" s="8" t="str">
        <f>IFERROR(INDEX(样本到样信息汇总统计!E$2:E$500,MATCH(454,样本到样信息汇总统计!$Z$2:$Z$500,0)),"")</f>
        <v/>
      </c>
      <c r="F455" s="8" t="str">
        <f>IFERROR(INDEX(样本到样信息汇总统计!F$2:F$500,MATCH(454,样本到样信息汇总统计!$Z$2:$Z$500,0)),"")</f>
        <v/>
      </c>
      <c r="G455" s="8" t="str">
        <f>IFERROR(INDEX(样本到样信息汇总统计!G$2:G$500,MATCH(454,样本到样信息汇总统计!$Z$2:$Z$500,0)),"")</f>
        <v/>
      </c>
      <c r="H455" s="8" t="str">
        <f>IFERROR(INDEX(样本到样信息汇总统计!H$2:H$500,MATCH(454,样本到样信息汇总统计!$Z$2:$Z$500,0)),"")</f>
        <v/>
      </c>
      <c r="I455" s="8" t="str">
        <f>IFERROR(INDEX(样本到样信息汇总统计!I$2:I$500,MATCH(454,样本到样信息汇总统计!$Z$2:$Z$500,0)),"")</f>
        <v/>
      </c>
      <c r="J455" s="8" t="str">
        <f>IFERROR(INDEX(样本到样信息汇总统计!J$2:J$500,MATCH(454,样本到样信息汇总统计!$Z$2:$Z$500,0)),"")</f>
        <v/>
      </c>
      <c r="K455" s="8" t="str">
        <f>IFERROR(INDEX(样本到样信息汇总统计!K$2:K$500,MATCH(454,样本到样信息汇总统计!$Z$2:$Z$500,0)),"")</f>
        <v/>
      </c>
      <c r="L455" s="8" t="str">
        <f>IFERROR(INDEX(样本到样信息汇总统计!L$2:L$500,MATCH(454,样本到样信息汇总统计!$Z$2:$Z$500,0)),"")</f>
        <v/>
      </c>
      <c r="M455" s="8" t="str">
        <f>IFERROR(INDEX(样本到样信息汇总统计!M$2:M$500,MATCH(454,样本到样信息汇总统计!$Z$2:$Z$500,0)),"")</f>
        <v/>
      </c>
      <c r="N455" s="8" t="str">
        <f>IFERROR(INDEX(样本到样信息汇总统计!N$2:N$500,MATCH(454,样本到样信息汇总统计!$Z$2:$Z$500,0)),"")</f>
        <v/>
      </c>
      <c r="O455" s="8" t="str">
        <f>IFERROR(INDEX(样本到样信息汇总统计!O$2:O$500,MATCH(454,样本到样信息汇总统计!$Z$2:$Z$500,0)),"")</f>
        <v/>
      </c>
      <c r="P455" s="8" t="str">
        <f>IFERROR(INDEX(样本到样信息汇总统计!P$2:P$500,MATCH(454,样本到样信息汇总统计!$Z$2:$Z$500,0)),"")</f>
        <v/>
      </c>
      <c r="Q455" s="8" t="str">
        <f>IFERROR(INDEX(样本到样信息汇总统计!Q$2:Q$500,MATCH(454,样本到样信息汇总统计!$Z$2:$Z$500,0)),"")</f>
        <v/>
      </c>
      <c r="R455" s="8" t="str">
        <f>IFERROR(INDEX(样本到样信息汇总统计!R$2:R$500,MATCH(454,样本到样信息汇总统计!$Z$2:$Z$500,0)),"")</f>
        <v/>
      </c>
      <c r="S455" s="8" t="str">
        <f>IFERROR(INDEX(样本到样信息汇总统计!S$2:S$500,MATCH(454,样本到样信息汇总统计!$Z$2:$Z$500,0)),"")</f>
        <v/>
      </c>
      <c r="T455" s="8" t="str">
        <f>IFERROR(INDEX(样本到样信息汇总统计!T$2:T$500,MATCH(454,样本到样信息汇总统计!$Z$2:$Z$500,0)),"")</f>
        <v/>
      </c>
      <c r="U455" s="8" t="str">
        <f>IFERROR(INDEX(样本到样信息汇总统计!U$2:U$500,MATCH(454,样本到样信息汇总统计!$Z$2:$Z$500,0)),"")</f>
        <v/>
      </c>
      <c r="V455" s="8" t="str">
        <f>IFERROR(INDEX(样本到样信息汇总统计!V$2:V$500,MATCH(454,样本到样信息汇总统计!$Z$2:$Z$500,0)),"")</f>
        <v/>
      </c>
      <c r="W455" s="8" t="str">
        <f>IFERROR(INDEX(样本到样信息汇总统计!W$2:W$500,MATCH(454,样本到样信息汇总统计!$Z$2:$Z$500,0)),"")</f>
        <v/>
      </c>
    </row>
    <row r="456" ht="14.5" spans="1:23">
      <c r="A456" s="4" t="str">
        <f>IFERROR(INDEX(样本到样信息汇总统计!A$2:A$500,MATCH(455,样本到样信息汇总统计!$Z$2:$Z$500,0)),"")</f>
        <v/>
      </c>
      <c r="B456" s="4" t="str">
        <f>IFERROR(INDEX(样本到样信息汇总统计!B$2:B$500,MATCH(455,样本到样信息汇总统计!$Z$2:$Z$500,0)),"")</f>
        <v/>
      </c>
      <c r="C456" s="4" t="str">
        <f>IFERROR(INDEX(样本到样信息汇总统计!C$2:C$500,MATCH(455,样本到样信息汇总统计!$Z$2:$Z$500,0)),"")</f>
        <v/>
      </c>
      <c r="D456" s="4" t="str">
        <f>IFERROR(INDEX(样本到样信息汇总统计!D$2:D$500,MATCH(455,样本到样信息汇总统计!$Z$2:$Z$500,0)),"")</f>
        <v/>
      </c>
      <c r="E456" s="4" t="str">
        <f>IFERROR(INDEX(样本到样信息汇总统计!E$2:E$500,MATCH(455,样本到样信息汇总统计!$Z$2:$Z$500,0)),"")</f>
        <v/>
      </c>
      <c r="F456" s="4" t="str">
        <f>IFERROR(INDEX(样本到样信息汇总统计!F$2:F$500,MATCH(455,样本到样信息汇总统计!$Z$2:$Z$500,0)),"")</f>
        <v/>
      </c>
      <c r="G456" s="4" t="str">
        <f>IFERROR(INDEX(样本到样信息汇总统计!G$2:G$500,MATCH(455,样本到样信息汇总统计!$Z$2:$Z$500,0)),"")</f>
        <v/>
      </c>
      <c r="H456" s="4" t="str">
        <f>IFERROR(INDEX(样本到样信息汇总统计!H$2:H$500,MATCH(455,样本到样信息汇总统计!$Z$2:$Z$500,0)),"")</f>
        <v/>
      </c>
      <c r="I456" s="4" t="str">
        <f>IFERROR(INDEX(样本到样信息汇总统计!I$2:I$500,MATCH(455,样本到样信息汇总统计!$Z$2:$Z$500,0)),"")</f>
        <v/>
      </c>
      <c r="J456" s="4" t="str">
        <f>IFERROR(INDEX(样本到样信息汇总统计!J$2:J$500,MATCH(455,样本到样信息汇总统计!$Z$2:$Z$500,0)),"")</f>
        <v/>
      </c>
      <c r="K456" s="4" t="str">
        <f>IFERROR(INDEX(样本到样信息汇总统计!K$2:K$500,MATCH(455,样本到样信息汇总统计!$Z$2:$Z$500,0)),"")</f>
        <v/>
      </c>
      <c r="L456" s="4" t="str">
        <f>IFERROR(INDEX(样本到样信息汇总统计!L$2:L$500,MATCH(455,样本到样信息汇总统计!$Z$2:$Z$500,0)),"")</f>
        <v/>
      </c>
      <c r="M456" s="4" t="str">
        <f>IFERROR(INDEX(样本到样信息汇总统计!M$2:M$500,MATCH(455,样本到样信息汇总统计!$Z$2:$Z$500,0)),"")</f>
        <v/>
      </c>
      <c r="N456" s="4" t="str">
        <f>IFERROR(INDEX(样本到样信息汇总统计!N$2:N$500,MATCH(455,样本到样信息汇总统计!$Z$2:$Z$500,0)),"")</f>
        <v/>
      </c>
      <c r="O456" s="4" t="str">
        <f>IFERROR(INDEX(样本到样信息汇总统计!O$2:O$500,MATCH(455,样本到样信息汇总统计!$Z$2:$Z$500,0)),"")</f>
        <v/>
      </c>
      <c r="P456" s="4" t="str">
        <f>IFERROR(INDEX(样本到样信息汇总统计!P$2:P$500,MATCH(455,样本到样信息汇总统计!$Z$2:$Z$500,0)),"")</f>
        <v/>
      </c>
      <c r="Q456" s="4" t="str">
        <f>IFERROR(INDEX(样本到样信息汇总统计!Q$2:Q$500,MATCH(455,样本到样信息汇总统计!$Z$2:$Z$500,0)),"")</f>
        <v/>
      </c>
      <c r="R456" s="4" t="str">
        <f>IFERROR(INDEX(样本到样信息汇总统计!R$2:R$500,MATCH(455,样本到样信息汇总统计!$Z$2:$Z$500,0)),"")</f>
        <v/>
      </c>
      <c r="S456" s="4" t="str">
        <f>IFERROR(INDEX(样本到样信息汇总统计!S$2:S$500,MATCH(455,样本到样信息汇总统计!$Z$2:$Z$500,0)),"")</f>
        <v/>
      </c>
      <c r="T456" s="4" t="str">
        <f>IFERROR(INDEX(样本到样信息汇总统计!T$2:T$500,MATCH(455,样本到样信息汇总统计!$Z$2:$Z$500,0)),"")</f>
        <v/>
      </c>
      <c r="U456" s="4" t="str">
        <f>IFERROR(INDEX(样本到样信息汇总统计!U$2:U$500,MATCH(455,样本到样信息汇总统计!$Z$2:$Z$500,0)),"")</f>
        <v/>
      </c>
      <c r="V456" s="4" t="str">
        <f>IFERROR(INDEX(样本到样信息汇总统计!V$2:V$500,MATCH(455,样本到样信息汇总统计!$Z$2:$Z$500,0)),"")</f>
        <v/>
      </c>
      <c r="W456" s="4" t="str">
        <f>IFERROR(INDEX(样本到样信息汇总统计!W$2:W$500,MATCH(455,样本到样信息汇总统计!$Z$2:$Z$500,0)),"")</f>
        <v/>
      </c>
    </row>
    <row r="457" ht="14.5" spans="1:23">
      <c r="A457" s="8" t="str">
        <f>IFERROR(INDEX(样本到样信息汇总统计!A$2:A$500,MATCH(456,样本到样信息汇总统计!$Z$2:$Z$500,0)),"")</f>
        <v/>
      </c>
      <c r="B457" s="8" t="str">
        <f>IFERROR(INDEX(样本到样信息汇总统计!B$2:B$500,MATCH(456,样本到样信息汇总统计!$Z$2:$Z$500,0)),"")</f>
        <v/>
      </c>
      <c r="C457" s="8" t="str">
        <f>IFERROR(INDEX(样本到样信息汇总统计!C$2:C$500,MATCH(456,样本到样信息汇总统计!$Z$2:$Z$500,0)),"")</f>
        <v/>
      </c>
      <c r="D457" s="8" t="str">
        <f>IFERROR(INDEX(样本到样信息汇总统计!D$2:D$500,MATCH(456,样本到样信息汇总统计!$Z$2:$Z$500,0)),"")</f>
        <v/>
      </c>
      <c r="E457" s="8" t="str">
        <f>IFERROR(INDEX(样本到样信息汇总统计!E$2:E$500,MATCH(456,样本到样信息汇总统计!$Z$2:$Z$500,0)),"")</f>
        <v/>
      </c>
      <c r="F457" s="8" t="str">
        <f>IFERROR(INDEX(样本到样信息汇总统计!F$2:F$500,MATCH(456,样本到样信息汇总统计!$Z$2:$Z$500,0)),"")</f>
        <v/>
      </c>
      <c r="G457" s="8" t="str">
        <f>IFERROR(INDEX(样本到样信息汇总统计!G$2:G$500,MATCH(456,样本到样信息汇总统计!$Z$2:$Z$500,0)),"")</f>
        <v/>
      </c>
      <c r="H457" s="8" t="str">
        <f>IFERROR(INDEX(样本到样信息汇总统计!H$2:H$500,MATCH(456,样本到样信息汇总统计!$Z$2:$Z$500,0)),"")</f>
        <v/>
      </c>
      <c r="I457" s="8" t="str">
        <f>IFERROR(INDEX(样本到样信息汇总统计!I$2:I$500,MATCH(456,样本到样信息汇总统计!$Z$2:$Z$500,0)),"")</f>
        <v/>
      </c>
      <c r="J457" s="8" t="str">
        <f>IFERROR(INDEX(样本到样信息汇总统计!J$2:J$500,MATCH(456,样本到样信息汇总统计!$Z$2:$Z$500,0)),"")</f>
        <v/>
      </c>
      <c r="K457" s="8" t="str">
        <f>IFERROR(INDEX(样本到样信息汇总统计!K$2:K$500,MATCH(456,样本到样信息汇总统计!$Z$2:$Z$500,0)),"")</f>
        <v/>
      </c>
      <c r="L457" s="8" t="str">
        <f>IFERROR(INDEX(样本到样信息汇总统计!L$2:L$500,MATCH(456,样本到样信息汇总统计!$Z$2:$Z$500,0)),"")</f>
        <v/>
      </c>
      <c r="M457" s="8" t="str">
        <f>IFERROR(INDEX(样本到样信息汇总统计!M$2:M$500,MATCH(456,样本到样信息汇总统计!$Z$2:$Z$500,0)),"")</f>
        <v/>
      </c>
      <c r="N457" s="8" t="str">
        <f>IFERROR(INDEX(样本到样信息汇总统计!N$2:N$500,MATCH(456,样本到样信息汇总统计!$Z$2:$Z$500,0)),"")</f>
        <v/>
      </c>
      <c r="O457" s="8" t="str">
        <f>IFERROR(INDEX(样本到样信息汇总统计!O$2:O$500,MATCH(456,样本到样信息汇总统计!$Z$2:$Z$500,0)),"")</f>
        <v/>
      </c>
      <c r="P457" s="8" t="str">
        <f>IFERROR(INDEX(样本到样信息汇总统计!P$2:P$500,MATCH(456,样本到样信息汇总统计!$Z$2:$Z$500,0)),"")</f>
        <v/>
      </c>
      <c r="Q457" s="8" t="str">
        <f>IFERROR(INDEX(样本到样信息汇总统计!Q$2:Q$500,MATCH(456,样本到样信息汇总统计!$Z$2:$Z$500,0)),"")</f>
        <v/>
      </c>
      <c r="R457" s="8" t="str">
        <f>IFERROR(INDEX(样本到样信息汇总统计!R$2:R$500,MATCH(456,样本到样信息汇总统计!$Z$2:$Z$500,0)),"")</f>
        <v/>
      </c>
      <c r="S457" s="8" t="str">
        <f>IFERROR(INDEX(样本到样信息汇总统计!S$2:S$500,MATCH(456,样本到样信息汇总统计!$Z$2:$Z$500,0)),"")</f>
        <v/>
      </c>
      <c r="T457" s="8" t="str">
        <f>IFERROR(INDEX(样本到样信息汇总统计!T$2:T$500,MATCH(456,样本到样信息汇总统计!$Z$2:$Z$500,0)),"")</f>
        <v/>
      </c>
      <c r="U457" s="8" t="str">
        <f>IFERROR(INDEX(样本到样信息汇总统计!U$2:U$500,MATCH(456,样本到样信息汇总统计!$Z$2:$Z$500,0)),"")</f>
        <v/>
      </c>
      <c r="V457" s="8" t="str">
        <f>IFERROR(INDEX(样本到样信息汇总统计!V$2:V$500,MATCH(456,样本到样信息汇总统计!$Z$2:$Z$500,0)),"")</f>
        <v/>
      </c>
      <c r="W457" s="8" t="str">
        <f>IFERROR(INDEX(样本到样信息汇总统计!W$2:W$500,MATCH(456,样本到样信息汇总统计!$Z$2:$Z$500,0)),"")</f>
        <v/>
      </c>
    </row>
    <row r="458" ht="14.5" spans="1:23">
      <c r="A458" s="4" t="str">
        <f>IFERROR(INDEX(样本到样信息汇总统计!A$2:A$500,MATCH(457,样本到样信息汇总统计!$Z$2:$Z$500,0)),"")</f>
        <v/>
      </c>
      <c r="B458" s="4" t="str">
        <f>IFERROR(INDEX(样本到样信息汇总统计!B$2:B$500,MATCH(457,样本到样信息汇总统计!$Z$2:$Z$500,0)),"")</f>
        <v/>
      </c>
      <c r="C458" s="4" t="str">
        <f>IFERROR(INDEX(样本到样信息汇总统计!C$2:C$500,MATCH(457,样本到样信息汇总统计!$Z$2:$Z$500,0)),"")</f>
        <v/>
      </c>
      <c r="D458" s="4" t="str">
        <f>IFERROR(INDEX(样本到样信息汇总统计!D$2:D$500,MATCH(457,样本到样信息汇总统计!$Z$2:$Z$500,0)),"")</f>
        <v/>
      </c>
      <c r="E458" s="4" t="str">
        <f>IFERROR(INDEX(样本到样信息汇总统计!E$2:E$500,MATCH(457,样本到样信息汇总统计!$Z$2:$Z$500,0)),"")</f>
        <v/>
      </c>
      <c r="F458" s="4" t="str">
        <f>IFERROR(INDEX(样本到样信息汇总统计!F$2:F$500,MATCH(457,样本到样信息汇总统计!$Z$2:$Z$500,0)),"")</f>
        <v/>
      </c>
      <c r="G458" s="4" t="str">
        <f>IFERROR(INDEX(样本到样信息汇总统计!G$2:G$500,MATCH(457,样本到样信息汇总统计!$Z$2:$Z$500,0)),"")</f>
        <v/>
      </c>
      <c r="H458" s="4" t="str">
        <f>IFERROR(INDEX(样本到样信息汇总统计!H$2:H$500,MATCH(457,样本到样信息汇总统计!$Z$2:$Z$500,0)),"")</f>
        <v/>
      </c>
      <c r="I458" s="4" t="str">
        <f>IFERROR(INDEX(样本到样信息汇总统计!I$2:I$500,MATCH(457,样本到样信息汇总统计!$Z$2:$Z$500,0)),"")</f>
        <v/>
      </c>
      <c r="J458" s="4" t="str">
        <f>IFERROR(INDEX(样本到样信息汇总统计!J$2:J$500,MATCH(457,样本到样信息汇总统计!$Z$2:$Z$500,0)),"")</f>
        <v/>
      </c>
      <c r="K458" s="4" t="str">
        <f>IFERROR(INDEX(样本到样信息汇总统计!K$2:K$500,MATCH(457,样本到样信息汇总统计!$Z$2:$Z$500,0)),"")</f>
        <v/>
      </c>
      <c r="L458" s="4" t="str">
        <f>IFERROR(INDEX(样本到样信息汇总统计!L$2:L$500,MATCH(457,样本到样信息汇总统计!$Z$2:$Z$500,0)),"")</f>
        <v/>
      </c>
      <c r="M458" s="4" t="str">
        <f>IFERROR(INDEX(样本到样信息汇总统计!M$2:M$500,MATCH(457,样本到样信息汇总统计!$Z$2:$Z$500,0)),"")</f>
        <v/>
      </c>
      <c r="N458" s="4" t="str">
        <f>IFERROR(INDEX(样本到样信息汇总统计!N$2:N$500,MATCH(457,样本到样信息汇总统计!$Z$2:$Z$500,0)),"")</f>
        <v/>
      </c>
      <c r="O458" s="4" t="str">
        <f>IFERROR(INDEX(样本到样信息汇总统计!O$2:O$500,MATCH(457,样本到样信息汇总统计!$Z$2:$Z$500,0)),"")</f>
        <v/>
      </c>
      <c r="P458" s="4" t="str">
        <f>IFERROR(INDEX(样本到样信息汇总统计!P$2:P$500,MATCH(457,样本到样信息汇总统计!$Z$2:$Z$500,0)),"")</f>
        <v/>
      </c>
      <c r="Q458" s="4" t="str">
        <f>IFERROR(INDEX(样本到样信息汇总统计!Q$2:Q$500,MATCH(457,样本到样信息汇总统计!$Z$2:$Z$500,0)),"")</f>
        <v/>
      </c>
      <c r="R458" s="4" t="str">
        <f>IFERROR(INDEX(样本到样信息汇总统计!R$2:R$500,MATCH(457,样本到样信息汇总统计!$Z$2:$Z$500,0)),"")</f>
        <v/>
      </c>
      <c r="S458" s="4" t="str">
        <f>IFERROR(INDEX(样本到样信息汇总统计!S$2:S$500,MATCH(457,样本到样信息汇总统计!$Z$2:$Z$500,0)),"")</f>
        <v/>
      </c>
      <c r="T458" s="4" t="str">
        <f>IFERROR(INDEX(样本到样信息汇总统计!T$2:T$500,MATCH(457,样本到样信息汇总统计!$Z$2:$Z$500,0)),"")</f>
        <v/>
      </c>
      <c r="U458" s="4" t="str">
        <f>IFERROR(INDEX(样本到样信息汇总统计!U$2:U$500,MATCH(457,样本到样信息汇总统计!$Z$2:$Z$500,0)),"")</f>
        <v/>
      </c>
      <c r="V458" s="4" t="str">
        <f>IFERROR(INDEX(样本到样信息汇总统计!V$2:V$500,MATCH(457,样本到样信息汇总统计!$Z$2:$Z$500,0)),"")</f>
        <v/>
      </c>
      <c r="W458" s="4" t="str">
        <f>IFERROR(INDEX(样本到样信息汇总统计!W$2:W$500,MATCH(457,样本到样信息汇总统计!$Z$2:$Z$500,0)),"")</f>
        <v/>
      </c>
    </row>
    <row r="459" ht="14.5" spans="1:23">
      <c r="A459" s="8" t="str">
        <f>IFERROR(INDEX(样本到样信息汇总统计!A$2:A$500,MATCH(458,样本到样信息汇总统计!$Z$2:$Z$500,0)),"")</f>
        <v/>
      </c>
      <c r="B459" s="8" t="str">
        <f>IFERROR(INDEX(样本到样信息汇总统计!B$2:B$500,MATCH(458,样本到样信息汇总统计!$Z$2:$Z$500,0)),"")</f>
        <v/>
      </c>
      <c r="C459" s="8" t="str">
        <f>IFERROR(INDEX(样本到样信息汇总统计!C$2:C$500,MATCH(458,样本到样信息汇总统计!$Z$2:$Z$500,0)),"")</f>
        <v/>
      </c>
      <c r="D459" s="8" t="str">
        <f>IFERROR(INDEX(样本到样信息汇总统计!D$2:D$500,MATCH(458,样本到样信息汇总统计!$Z$2:$Z$500,0)),"")</f>
        <v/>
      </c>
      <c r="E459" s="8" t="str">
        <f>IFERROR(INDEX(样本到样信息汇总统计!E$2:E$500,MATCH(458,样本到样信息汇总统计!$Z$2:$Z$500,0)),"")</f>
        <v/>
      </c>
      <c r="F459" s="8" t="str">
        <f>IFERROR(INDEX(样本到样信息汇总统计!F$2:F$500,MATCH(458,样本到样信息汇总统计!$Z$2:$Z$500,0)),"")</f>
        <v/>
      </c>
      <c r="G459" s="8" t="str">
        <f>IFERROR(INDEX(样本到样信息汇总统计!G$2:G$500,MATCH(458,样本到样信息汇总统计!$Z$2:$Z$500,0)),"")</f>
        <v/>
      </c>
      <c r="H459" s="8" t="str">
        <f>IFERROR(INDEX(样本到样信息汇总统计!H$2:H$500,MATCH(458,样本到样信息汇总统计!$Z$2:$Z$500,0)),"")</f>
        <v/>
      </c>
      <c r="I459" s="8" t="str">
        <f>IFERROR(INDEX(样本到样信息汇总统计!I$2:I$500,MATCH(458,样本到样信息汇总统计!$Z$2:$Z$500,0)),"")</f>
        <v/>
      </c>
      <c r="J459" s="8" t="str">
        <f>IFERROR(INDEX(样本到样信息汇总统计!J$2:J$500,MATCH(458,样本到样信息汇总统计!$Z$2:$Z$500,0)),"")</f>
        <v/>
      </c>
      <c r="K459" s="8" t="str">
        <f>IFERROR(INDEX(样本到样信息汇总统计!K$2:K$500,MATCH(458,样本到样信息汇总统计!$Z$2:$Z$500,0)),"")</f>
        <v/>
      </c>
      <c r="L459" s="8" t="str">
        <f>IFERROR(INDEX(样本到样信息汇总统计!L$2:L$500,MATCH(458,样本到样信息汇总统计!$Z$2:$Z$500,0)),"")</f>
        <v/>
      </c>
      <c r="M459" s="8" t="str">
        <f>IFERROR(INDEX(样本到样信息汇总统计!M$2:M$500,MATCH(458,样本到样信息汇总统计!$Z$2:$Z$500,0)),"")</f>
        <v/>
      </c>
      <c r="N459" s="8" t="str">
        <f>IFERROR(INDEX(样本到样信息汇总统计!N$2:N$500,MATCH(458,样本到样信息汇总统计!$Z$2:$Z$500,0)),"")</f>
        <v/>
      </c>
      <c r="O459" s="8" t="str">
        <f>IFERROR(INDEX(样本到样信息汇总统计!O$2:O$500,MATCH(458,样本到样信息汇总统计!$Z$2:$Z$500,0)),"")</f>
        <v/>
      </c>
      <c r="P459" s="8" t="str">
        <f>IFERROR(INDEX(样本到样信息汇总统计!P$2:P$500,MATCH(458,样本到样信息汇总统计!$Z$2:$Z$500,0)),"")</f>
        <v/>
      </c>
      <c r="Q459" s="8" t="str">
        <f>IFERROR(INDEX(样本到样信息汇总统计!Q$2:Q$500,MATCH(458,样本到样信息汇总统计!$Z$2:$Z$500,0)),"")</f>
        <v/>
      </c>
      <c r="R459" s="8" t="str">
        <f>IFERROR(INDEX(样本到样信息汇总统计!R$2:R$500,MATCH(458,样本到样信息汇总统计!$Z$2:$Z$500,0)),"")</f>
        <v/>
      </c>
      <c r="S459" s="8" t="str">
        <f>IFERROR(INDEX(样本到样信息汇总统计!S$2:S$500,MATCH(458,样本到样信息汇总统计!$Z$2:$Z$500,0)),"")</f>
        <v/>
      </c>
      <c r="T459" s="8" t="str">
        <f>IFERROR(INDEX(样本到样信息汇总统计!T$2:T$500,MATCH(458,样本到样信息汇总统计!$Z$2:$Z$500,0)),"")</f>
        <v/>
      </c>
      <c r="U459" s="8" t="str">
        <f>IFERROR(INDEX(样本到样信息汇总统计!U$2:U$500,MATCH(458,样本到样信息汇总统计!$Z$2:$Z$500,0)),"")</f>
        <v/>
      </c>
      <c r="V459" s="8" t="str">
        <f>IFERROR(INDEX(样本到样信息汇总统计!V$2:V$500,MATCH(458,样本到样信息汇总统计!$Z$2:$Z$500,0)),"")</f>
        <v/>
      </c>
      <c r="W459" s="8" t="str">
        <f>IFERROR(INDEX(样本到样信息汇总统计!W$2:W$500,MATCH(458,样本到样信息汇总统计!$Z$2:$Z$500,0)),"")</f>
        <v/>
      </c>
    </row>
    <row r="460" ht="14.5" spans="1:23">
      <c r="A460" s="4" t="str">
        <f>IFERROR(INDEX(样本到样信息汇总统计!A$2:A$500,MATCH(459,样本到样信息汇总统计!$Z$2:$Z$500,0)),"")</f>
        <v/>
      </c>
      <c r="B460" s="4" t="str">
        <f>IFERROR(INDEX(样本到样信息汇总统计!B$2:B$500,MATCH(459,样本到样信息汇总统计!$Z$2:$Z$500,0)),"")</f>
        <v/>
      </c>
      <c r="C460" s="4" t="str">
        <f>IFERROR(INDEX(样本到样信息汇总统计!C$2:C$500,MATCH(459,样本到样信息汇总统计!$Z$2:$Z$500,0)),"")</f>
        <v/>
      </c>
      <c r="D460" s="4" t="str">
        <f>IFERROR(INDEX(样本到样信息汇总统计!D$2:D$500,MATCH(459,样本到样信息汇总统计!$Z$2:$Z$500,0)),"")</f>
        <v/>
      </c>
      <c r="E460" s="4" t="str">
        <f>IFERROR(INDEX(样本到样信息汇总统计!E$2:E$500,MATCH(459,样本到样信息汇总统计!$Z$2:$Z$500,0)),"")</f>
        <v/>
      </c>
      <c r="F460" s="4" t="str">
        <f>IFERROR(INDEX(样本到样信息汇总统计!F$2:F$500,MATCH(459,样本到样信息汇总统计!$Z$2:$Z$500,0)),"")</f>
        <v/>
      </c>
      <c r="G460" s="4" t="str">
        <f>IFERROR(INDEX(样本到样信息汇总统计!G$2:G$500,MATCH(459,样本到样信息汇总统计!$Z$2:$Z$500,0)),"")</f>
        <v/>
      </c>
      <c r="H460" s="4" t="str">
        <f>IFERROR(INDEX(样本到样信息汇总统计!H$2:H$500,MATCH(459,样本到样信息汇总统计!$Z$2:$Z$500,0)),"")</f>
        <v/>
      </c>
      <c r="I460" s="4" t="str">
        <f>IFERROR(INDEX(样本到样信息汇总统计!I$2:I$500,MATCH(459,样本到样信息汇总统计!$Z$2:$Z$500,0)),"")</f>
        <v/>
      </c>
      <c r="J460" s="4" t="str">
        <f>IFERROR(INDEX(样本到样信息汇总统计!J$2:J$500,MATCH(459,样本到样信息汇总统计!$Z$2:$Z$500,0)),"")</f>
        <v/>
      </c>
      <c r="K460" s="4" t="str">
        <f>IFERROR(INDEX(样本到样信息汇总统计!K$2:K$500,MATCH(459,样本到样信息汇总统计!$Z$2:$Z$500,0)),"")</f>
        <v/>
      </c>
      <c r="L460" s="4" t="str">
        <f>IFERROR(INDEX(样本到样信息汇总统计!L$2:L$500,MATCH(459,样本到样信息汇总统计!$Z$2:$Z$500,0)),"")</f>
        <v/>
      </c>
      <c r="M460" s="4" t="str">
        <f>IFERROR(INDEX(样本到样信息汇总统计!M$2:M$500,MATCH(459,样本到样信息汇总统计!$Z$2:$Z$500,0)),"")</f>
        <v/>
      </c>
      <c r="N460" s="4" t="str">
        <f>IFERROR(INDEX(样本到样信息汇总统计!N$2:N$500,MATCH(459,样本到样信息汇总统计!$Z$2:$Z$500,0)),"")</f>
        <v/>
      </c>
      <c r="O460" s="4" t="str">
        <f>IFERROR(INDEX(样本到样信息汇总统计!O$2:O$500,MATCH(459,样本到样信息汇总统计!$Z$2:$Z$500,0)),"")</f>
        <v/>
      </c>
      <c r="P460" s="4" t="str">
        <f>IFERROR(INDEX(样本到样信息汇总统计!P$2:P$500,MATCH(459,样本到样信息汇总统计!$Z$2:$Z$500,0)),"")</f>
        <v/>
      </c>
      <c r="Q460" s="4" t="str">
        <f>IFERROR(INDEX(样本到样信息汇总统计!Q$2:Q$500,MATCH(459,样本到样信息汇总统计!$Z$2:$Z$500,0)),"")</f>
        <v/>
      </c>
      <c r="R460" s="4" t="str">
        <f>IFERROR(INDEX(样本到样信息汇总统计!R$2:R$500,MATCH(459,样本到样信息汇总统计!$Z$2:$Z$500,0)),"")</f>
        <v/>
      </c>
      <c r="S460" s="4" t="str">
        <f>IFERROR(INDEX(样本到样信息汇总统计!S$2:S$500,MATCH(459,样本到样信息汇总统计!$Z$2:$Z$500,0)),"")</f>
        <v/>
      </c>
      <c r="T460" s="4" t="str">
        <f>IFERROR(INDEX(样本到样信息汇总统计!T$2:T$500,MATCH(459,样本到样信息汇总统计!$Z$2:$Z$500,0)),"")</f>
        <v/>
      </c>
      <c r="U460" s="4" t="str">
        <f>IFERROR(INDEX(样本到样信息汇总统计!U$2:U$500,MATCH(459,样本到样信息汇总统计!$Z$2:$Z$500,0)),"")</f>
        <v/>
      </c>
      <c r="V460" s="4" t="str">
        <f>IFERROR(INDEX(样本到样信息汇总统计!V$2:V$500,MATCH(459,样本到样信息汇总统计!$Z$2:$Z$500,0)),"")</f>
        <v/>
      </c>
      <c r="W460" s="4" t="str">
        <f>IFERROR(INDEX(样本到样信息汇总统计!W$2:W$500,MATCH(459,样本到样信息汇总统计!$Z$2:$Z$500,0)),"")</f>
        <v/>
      </c>
    </row>
    <row r="461" ht="14.5" spans="1:23">
      <c r="A461" s="8" t="str">
        <f>IFERROR(INDEX(样本到样信息汇总统计!A$2:A$500,MATCH(460,样本到样信息汇总统计!$Z$2:$Z$500,0)),"")</f>
        <v/>
      </c>
      <c r="B461" s="8" t="str">
        <f>IFERROR(INDEX(样本到样信息汇总统计!B$2:B$500,MATCH(460,样本到样信息汇总统计!$Z$2:$Z$500,0)),"")</f>
        <v/>
      </c>
      <c r="C461" s="8" t="str">
        <f>IFERROR(INDEX(样本到样信息汇总统计!C$2:C$500,MATCH(460,样本到样信息汇总统计!$Z$2:$Z$500,0)),"")</f>
        <v/>
      </c>
      <c r="D461" s="8" t="str">
        <f>IFERROR(INDEX(样本到样信息汇总统计!D$2:D$500,MATCH(460,样本到样信息汇总统计!$Z$2:$Z$500,0)),"")</f>
        <v/>
      </c>
      <c r="E461" s="8" t="str">
        <f>IFERROR(INDEX(样本到样信息汇总统计!E$2:E$500,MATCH(460,样本到样信息汇总统计!$Z$2:$Z$500,0)),"")</f>
        <v/>
      </c>
      <c r="F461" s="8" t="str">
        <f>IFERROR(INDEX(样本到样信息汇总统计!F$2:F$500,MATCH(460,样本到样信息汇总统计!$Z$2:$Z$500,0)),"")</f>
        <v/>
      </c>
      <c r="G461" s="8" t="str">
        <f>IFERROR(INDEX(样本到样信息汇总统计!G$2:G$500,MATCH(460,样本到样信息汇总统计!$Z$2:$Z$500,0)),"")</f>
        <v/>
      </c>
      <c r="H461" s="8" t="str">
        <f>IFERROR(INDEX(样本到样信息汇总统计!H$2:H$500,MATCH(460,样本到样信息汇总统计!$Z$2:$Z$500,0)),"")</f>
        <v/>
      </c>
      <c r="I461" s="8" t="str">
        <f>IFERROR(INDEX(样本到样信息汇总统计!I$2:I$500,MATCH(460,样本到样信息汇总统计!$Z$2:$Z$500,0)),"")</f>
        <v/>
      </c>
      <c r="J461" s="8" t="str">
        <f>IFERROR(INDEX(样本到样信息汇总统计!J$2:J$500,MATCH(460,样本到样信息汇总统计!$Z$2:$Z$500,0)),"")</f>
        <v/>
      </c>
      <c r="K461" s="8" t="str">
        <f>IFERROR(INDEX(样本到样信息汇总统计!K$2:K$500,MATCH(460,样本到样信息汇总统计!$Z$2:$Z$500,0)),"")</f>
        <v/>
      </c>
      <c r="L461" s="8" t="str">
        <f>IFERROR(INDEX(样本到样信息汇总统计!L$2:L$500,MATCH(460,样本到样信息汇总统计!$Z$2:$Z$500,0)),"")</f>
        <v/>
      </c>
      <c r="M461" s="8" t="str">
        <f>IFERROR(INDEX(样本到样信息汇总统计!M$2:M$500,MATCH(460,样本到样信息汇总统计!$Z$2:$Z$500,0)),"")</f>
        <v/>
      </c>
      <c r="N461" s="8" t="str">
        <f>IFERROR(INDEX(样本到样信息汇总统计!N$2:N$500,MATCH(460,样本到样信息汇总统计!$Z$2:$Z$500,0)),"")</f>
        <v/>
      </c>
      <c r="O461" s="8" t="str">
        <f>IFERROR(INDEX(样本到样信息汇总统计!O$2:O$500,MATCH(460,样本到样信息汇总统计!$Z$2:$Z$500,0)),"")</f>
        <v/>
      </c>
      <c r="P461" s="8" t="str">
        <f>IFERROR(INDEX(样本到样信息汇总统计!P$2:P$500,MATCH(460,样本到样信息汇总统计!$Z$2:$Z$500,0)),"")</f>
        <v/>
      </c>
      <c r="Q461" s="8" t="str">
        <f>IFERROR(INDEX(样本到样信息汇总统计!Q$2:Q$500,MATCH(460,样本到样信息汇总统计!$Z$2:$Z$500,0)),"")</f>
        <v/>
      </c>
      <c r="R461" s="8" t="str">
        <f>IFERROR(INDEX(样本到样信息汇总统计!R$2:R$500,MATCH(460,样本到样信息汇总统计!$Z$2:$Z$500,0)),"")</f>
        <v/>
      </c>
      <c r="S461" s="8" t="str">
        <f>IFERROR(INDEX(样本到样信息汇总统计!S$2:S$500,MATCH(460,样本到样信息汇总统计!$Z$2:$Z$500,0)),"")</f>
        <v/>
      </c>
      <c r="T461" s="8" t="str">
        <f>IFERROR(INDEX(样本到样信息汇总统计!T$2:T$500,MATCH(460,样本到样信息汇总统计!$Z$2:$Z$500,0)),"")</f>
        <v/>
      </c>
      <c r="U461" s="8" t="str">
        <f>IFERROR(INDEX(样本到样信息汇总统计!U$2:U$500,MATCH(460,样本到样信息汇总统计!$Z$2:$Z$500,0)),"")</f>
        <v/>
      </c>
      <c r="V461" s="8" t="str">
        <f>IFERROR(INDEX(样本到样信息汇总统计!V$2:V$500,MATCH(460,样本到样信息汇总统计!$Z$2:$Z$500,0)),"")</f>
        <v/>
      </c>
      <c r="W461" s="8" t="str">
        <f>IFERROR(INDEX(样本到样信息汇总统计!W$2:W$500,MATCH(460,样本到样信息汇总统计!$Z$2:$Z$500,0)),"")</f>
        <v/>
      </c>
    </row>
    <row r="462" ht="14.5" spans="1:23">
      <c r="A462" s="4" t="str">
        <f>IFERROR(INDEX(样本到样信息汇总统计!A$2:A$500,MATCH(461,样本到样信息汇总统计!$Z$2:$Z$500,0)),"")</f>
        <v/>
      </c>
      <c r="B462" s="4" t="str">
        <f>IFERROR(INDEX(样本到样信息汇总统计!B$2:B$500,MATCH(461,样本到样信息汇总统计!$Z$2:$Z$500,0)),"")</f>
        <v/>
      </c>
      <c r="C462" s="4" t="str">
        <f>IFERROR(INDEX(样本到样信息汇总统计!C$2:C$500,MATCH(461,样本到样信息汇总统计!$Z$2:$Z$500,0)),"")</f>
        <v/>
      </c>
      <c r="D462" s="4" t="str">
        <f>IFERROR(INDEX(样本到样信息汇总统计!D$2:D$500,MATCH(461,样本到样信息汇总统计!$Z$2:$Z$500,0)),"")</f>
        <v/>
      </c>
      <c r="E462" s="4" t="str">
        <f>IFERROR(INDEX(样本到样信息汇总统计!E$2:E$500,MATCH(461,样本到样信息汇总统计!$Z$2:$Z$500,0)),"")</f>
        <v/>
      </c>
      <c r="F462" s="4" t="str">
        <f>IFERROR(INDEX(样本到样信息汇总统计!F$2:F$500,MATCH(461,样本到样信息汇总统计!$Z$2:$Z$500,0)),"")</f>
        <v/>
      </c>
      <c r="G462" s="4" t="str">
        <f>IFERROR(INDEX(样本到样信息汇总统计!G$2:G$500,MATCH(461,样本到样信息汇总统计!$Z$2:$Z$500,0)),"")</f>
        <v/>
      </c>
      <c r="H462" s="4" t="str">
        <f>IFERROR(INDEX(样本到样信息汇总统计!H$2:H$500,MATCH(461,样本到样信息汇总统计!$Z$2:$Z$500,0)),"")</f>
        <v/>
      </c>
      <c r="I462" s="4" t="str">
        <f>IFERROR(INDEX(样本到样信息汇总统计!I$2:I$500,MATCH(461,样本到样信息汇总统计!$Z$2:$Z$500,0)),"")</f>
        <v/>
      </c>
      <c r="J462" s="4" t="str">
        <f>IFERROR(INDEX(样本到样信息汇总统计!J$2:J$500,MATCH(461,样本到样信息汇总统计!$Z$2:$Z$500,0)),"")</f>
        <v/>
      </c>
      <c r="K462" s="4" t="str">
        <f>IFERROR(INDEX(样本到样信息汇总统计!K$2:K$500,MATCH(461,样本到样信息汇总统计!$Z$2:$Z$500,0)),"")</f>
        <v/>
      </c>
      <c r="L462" s="4" t="str">
        <f>IFERROR(INDEX(样本到样信息汇总统计!L$2:L$500,MATCH(461,样本到样信息汇总统计!$Z$2:$Z$500,0)),"")</f>
        <v/>
      </c>
      <c r="M462" s="4" t="str">
        <f>IFERROR(INDEX(样本到样信息汇总统计!M$2:M$500,MATCH(461,样本到样信息汇总统计!$Z$2:$Z$500,0)),"")</f>
        <v/>
      </c>
      <c r="N462" s="4" t="str">
        <f>IFERROR(INDEX(样本到样信息汇总统计!N$2:N$500,MATCH(461,样本到样信息汇总统计!$Z$2:$Z$500,0)),"")</f>
        <v/>
      </c>
      <c r="O462" s="4" t="str">
        <f>IFERROR(INDEX(样本到样信息汇总统计!O$2:O$500,MATCH(461,样本到样信息汇总统计!$Z$2:$Z$500,0)),"")</f>
        <v/>
      </c>
      <c r="P462" s="4" t="str">
        <f>IFERROR(INDEX(样本到样信息汇总统计!P$2:P$500,MATCH(461,样本到样信息汇总统计!$Z$2:$Z$500,0)),"")</f>
        <v/>
      </c>
      <c r="Q462" s="4" t="str">
        <f>IFERROR(INDEX(样本到样信息汇总统计!Q$2:Q$500,MATCH(461,样本到样信息汇总统计!$Z$2:$Z$500,0)),"")</f>
        <v/>
      </c>
      <c r="R462" s="4" t="str">
        <f>IFERROR(INDEX(样本到样信息汇总统计!R$2:R$500,MATCH(461,样本到样信息汇总统计!$Z$2:$Z$500,0)),"")</f>
        <v/>
      </c>
      <c r="S462" s="4" t="str">
        <f>IFERROR(INDEX(样本到样信息汇总统计!S$2:S$500,MATCH(461,样本到样信息汇总统计!$Z$2:$Z$500,0)),"")</f>
        <v/>
      </c>
      <c r="T462" s="4" t="str">
        <f>IFERROR(INDEX(样本到样信息汇总统计!T$2:T$500,MATCH(461,样本到样信息汇总统计!$Z$2:$Z$500,0)),"")</f>
        <v/>
      </c>
      <c r="U462" s="4" t="str">
        <f>IFERROR(INDEX(样本到样信息汇总统计!U$2:U$500,MATCH(461,样本到样信息汇总统计!$Z$2:$Z$500,0)),"")</f>
        <v/>
      </c>
      <c r="V462" s="4" t="str">
        <f>IFERROR(INDEX(样本到样信息汇总统计!V$2:V$500,MATCH(461,样本到样信息汇总统计!$Z$2:$Z$500,0)),"")</f>
        <v/>
      </c>
      <c r="W462" s="4" t="str">
        <f>IFERROR(INDEX(样本到样信息汇总统计!W$2:W$500,MATCH(461,样本到样信息汇总统计!$Z$2:$Z$500,0)),"")</f>
        <v/>
      </c>
    </row>
    <row r="463" ht="14.5" spans="1:23">
      <c r="A463" s="8" t="str">
        <f>IFERROR(INDEX(样本到样信息汇总统计!A$2:A$500,MATCH(462,样本到样信息汇总统计!$Z$2:$Z$500,0)),"")</f>
        <v/>
      </c>
      <c r="B463" s="8" t="str">
        <f>IFERROR(INDEX(样本到样信息汇总统计!B$2:B$500,MATCH(462,样本到样信息汇总统计!$Z$2:$Z$500,0)),"")</f>
        <v/>
      </c>
      <c r="C463" s="8" t="str">
        <f>IFERROR(INDEX(样本到样信息汇总统计!C$2:C$500,MATCH(462,样本到样信息汇总统计!$Z$2:$Z$500,0)),"")</f>
        <v/>
      </c>
      <c r="D463" s="8" t="str">
        <f>IFERROR(INDEX(样本到样信息汇总统计!D$2:D$500,MATCH(462,样本到样信息汇总统计!$Z$2:$Z$500,0)),"")</f>
        <v/>
      </c>
      <c r="E463" s="8" t="str">
        <f>IFERROR(INDEX(样本到样信息汇总统计!E$2:E$500,MATCH(462,样本到样信息汇总统计!$Z$2:$Z$500,0)),"")</f>
        <v/>
      </c>
      <c r="F463" s="8" t="str">
        <f>IFERROR(INDEX(样本到样信息汇总统计!F$2:F$500,MATCH(462,样本到样信息汇总统计!$Z$2:$Z$500,0)),"")</f>
        <v/>
      </c>
      <c r="G463" s="8" t="str">
        <f>IFERROR(INDEX(样本到样信息汇总统计!G$2:G$500,MATCH(462,样本到样信息汇总统计!$Z$2:$Z$500,0)),"")</f>
        <v/>
      </c>
      <c r="H463" s="8" t="str">
        <f>IFERROR(INDEX(样本到样信息汇总统计!H$2:H$500,MATCH(462,样本到样信息汇总统计!$Z$2:$Z$500,0)),"")</f>
        <v/>
      </c>
      <c r="I463" s="8" t="str">
        <f>IFERROR(INDEX(样本到样信息汇总统计!I$2:I$500,MATCH(462,样本到样信息汇总统计!$Z$2:$Z$500,0)),"")</f>
        <v/>
      </c>
      <c r="J463" s="8" t="str">
        <f>IFERROR(INDEX(样本到样信息汇总统计!J$2:J$500,MATCH(462,样本到样信息汇总统计!$Z$2:$Z$500,0)),"")</f>
        <v/>
      </c>
      <c r="K463" s="8" t="str">
        <f>IFERROR(INDEX(样本到样信息汇总统计!K$2:K$500,MATCH(462,样本到样信息汇总统计!$Z$2:$Z$500,0)),"")</f>
        <v/>
      </c>
      <c r="L463" s="8" t="str">
        <f>IFERROR(INDEX(样本到样信息汇总统计!L$2:L$500,MATCH(462,样本到样信息汇总统计!$Z$2:$Z$500,0)),"")</f>
        <v/>
      </c>
      <c r="M463" s="8" t="str">
        <f>IFERROR(INDEX(样本到样信息汇总统计!M$2:M$500,MATCH(462,样本到样信息汇总统计!$Z$2:$Z$500,0)),"")</f>
        <v/>
      </c>
      <c r="N463" s="8" t="str">
        <f>IFERROR(INDEX(样本到样信息汇总统计!N$2:N$500,MATCH(462,样本到样信息汇总统计!$Z$2:$Z$500,0)),"")</f>
        <v/>
      </c>
      <c r="O463" s="8" t="str">
        <f>IFERROR(INDEX(样本到样信息汇总统计!O$2:O$500,MATCH(462,样本到样信息汇总统计!$Z$2:$Z$500,0)),"")</f>
        <v/>
      </c>
      <c r="P463" s="8" t="str">
        <f>IFERROR(INDEX(样本到样信息汇总统计!P$2:P$500,MATCH(462,样本到样信息汇总统计!$Z$2:$Z$500,0)),"")</f>
        <v/>
      </c>
      <c r="Q463" s="8" t="str">
        <f>IFERROR(INDEX(样本到样信息汇总统计!Q$2:Q$500,MATCH(462,样本到样信息汇总统计!$Z$2:$Z$500,0)),"")</f>
        <v/>
      </c>
      <c r="R463" s="8" t="str">
        <f>IFERROR(INDEX(样本到样信息汇总统计!R$2:R$500,MATCH(462,样本到样信息汇总统计!$Z$2:$Z$500,0)),"")</f>
        <v/>
      </c>
      <c r="S463" s="8" t="str">
        <f>IFERROR(INDEX(样本到样信息汇总统计!S$2:S$500,MATCH(462,样本到样信息汇总统计!$Z$2:$Z$500,0)),"")</f>
        <v/>
      </c>
      <c r="T463" s="8" t="str">
        <f>IFERROR(INDEX(样本到样信息汇总统计!T$2:T$500,MATCH(462,样本到样信息汇总统计!$Z$2:$Z$500,0)),"")</f>
        <v/>
      </c>
      <c r="U463" s="8" t="str">
        <f>IFERROR(INDEX(样本到样信息汇总统计!U$2:U$500,MATCH(462,样本到样信息汇总统计!$Z$2:$Z$500,0)),"")</f>
        <v/>
      </c>
      <c r="V463" s="8" t="str">
        <f>IFERROR(INDEX(样本到样信息汇总统计!V$2:V$500,MATCH(462,样本到样信息汇总统计!$Z$2:$Z$500,0)),"")</f>
        <v/>
      </c>
      <c r="W463" s="8" t="str">
        <f>IFERROR(INDEX(样本到样信息汇总统计!W$2:W$500,MATCH(462,样本到样信息汇总统计!$Z$2:$Z$500,0)),"")</f>
        <v/>
      </c>
    </row>
    <row r="464" ht="14.5" spans="1:23">
      <c r="A464" s="4" t="str">
        <f>IFERROR(INDEX(样本到样信息汇总统计!A$2:A$500,MATCH(463,样本到样信息汇总统计!$Z$2:$Z$500,0)),"")</f>
        <v/>
      </c>
      <c r="B464" s="4" t="str">
        <f>IFERROR(INDEX(样本到样信息汇总统计!B$2:B$500,MATCH(463,样本到样信息汇总统计!$Z$2:$Z$500,0)),"")</f>
        <v/>
      </c>
      <c r="C464" s="4" t="str">
        <f>IFERROR(INDEX(样本到样信息汇总统计!C$2:C$500,MATCH(463,样本到样信息汇总统计!$Z$2:$Z$500,0)),"")</f>
        <v/>
      </c>
      <c r="D464" s="4" t="str">
        <f>IFERROR(INDEX(样本到样信息汇总统计!D$2:D$500,MATCH(463,样本到样信息汇总统计!$Z$2:$Z$500,0)),"")</f>
        <v/>
      </c>
      <c r="E464" s="4" t="str">
        <f>IFERROR(INDEX(样本到样信息汇总统计!E$2:E$500,MATCH(463,样本到样信息汇总统计!$Z$2:$Z$500,0)),"")</f>
        <v/>
      </c>
      <c r="F464" s="4" t="str">
        <f>IFERROR(INDEX(样本到样信息汇总统计!F$2:F$500,MATCH(463,样本到样信息汇总统计!$Z$2:$Z$500,0)),"")</f>
        <v/>
      </c>
      <c r="G464" s="4" t="str">
        <f>IFERROR(INDEX(样本到样信息汇总统计!G$2:G$500,MATCH(463,样本到样信息汇总统计!$Z$2:$Z$500,0)),"")</f>
        <v/>
      </c>
      <c r="H464" s="4" t="str">
        <f>IFERROR(INDEX(样本到样信息汇总统计!H$2:H$500,MATCH(463,样本到样信息汇总统计!$Z$2:$Z$500,0)),"")</f>
        <v/>
      </c>
      <c r="I464" s="4" t="str">
        <f>IFERROR(INDEX(样本到样信息汇总统计!I$2:I$500,MATCH(463,样本到样信息汇总统计!$Z$2:$Z$500,0)),"")</f>
        <v/>
      </c>
      <c r="J464" s="4" t="str">
        <f>IFERROR(INDEX(样本到样信息汇总统计!J$2:J$500,MATCH(463,样本到样信息汇总统计!$Z$2:$Z$500,0)),"")</f>
        <v/>
      </c>
      <c r="K464" s="4" t="str">
        <f>IFERROR(INDEX(样本到样信息汇总统计!K$2:K$500,MATCH(463,样本到样信息汇总统计!$Z$2:$Z$500,0)),"")</f>
        <v/>
      </c>
      <c r="L464" s="4" t="str">
        <f>IFERROR(INDEX(样本到样信息汇总统计!L$2:L$500,MATCH(463,样本到样信息汇总统计!$Z$2:$Z$500,0)),"")</f>
        <v/>
      </c>
      <c r="M464" s="4" t="str">
        <f>IFERROR(INDEX(样本到样信息汇总统计!M$2:M$500,MATCH(463,样本到样信息汇总统计!$Z$2:$Z$500,0)),"")</f>
        <v/>
      </c>
      <c r="N464" s="4" t="str">
        <f>IFERROR(INDEX(样本到样信息汇总统计!N$2:N$500,MATCH(463,样本到样信息汇总统计!$Z$2:$Z$500,0)),"")</f>
        <v/>
      </c>
      <c r="O464" s="4" t="str">
        <f>IFERROR(INDEX(样本到样信息汇总统计!O$2:O$500,MATCH(463,样本到样信息汇总统计!$Z$2:$Z$500,0)),"")</f>
        <v/>
      </c>
      <c r="P464" s="4" t="str">
        <f>IFERROR(INDEX(样本到样信息汇总统计!P$2:P$500,MATCH(463,样本到样信息汇总统计!$Z$2:$Z$500,0)),"")</f>
        <v/>
      </c>
      <c r="Q464" s="4" t="str">
        <f>IFERROR(INDEX(样本到样信息汇总统计!Q$2:Q$500,MATCH(463,样本到样信息汇总统计!$Z$2:$Z$500,0)),"")</f>
        <v/>
      </c>
      <c r="R464" s="4" t="str">
        <f>IFERROR(INDEX(样本到样信息汇总统计!R$2:R$500,MATCH(463,样本到样信息汇总统计!$Z$2:$Z$500,0)),"")</f>
        <v/>
      </c>
      <c r="S464" s="4" t="str">
        <f>IFERROR(INDEX(样本到样信息汇总统计!S$2:S$500,MATCH(463,样本到样信息汇总统计!$Z$2:$Z$500,0)),"")</f>
        <v/>
      </c>
      <c r="T464" s="4" t="str">
        <f>IFERROR(INDEX(样本到样信息汇总统计!T$2:T$500,MATCH(463,样本到样信息汇总统计!$Z$2:$Z$500,0)),"")</f>
        <v/>
      </c>
      <c r="U464" s="4" t="str">
        <f>IFERROR(INDEX(样本到样信息汇总统计!U$2:U$500,MATCH(463,样本到样信息汇总统计!$Z$2:$Z$500,0)),"")</f>
        <v/>
      </c>
      <c r="V464" s="4" t="str">
        <f>IFERROR(INDEX(样本到样信息汇总统计!V$2:V$500,MATCH(463,样本到样信息汇总统计!$Z$2:$Z$500,0)),"")</f>
        <v/>
      </c>
      <c r="W464" s="4" t="str">
        <f>IFERROR(INDEX(样本到样信息汇总统计!W$2:W$500,MATCH(463,样本到样信息汇总统计!$Z$2:$Z$500,0)),"")</f>
        <v/>
      </c>
    </row>
    <row r="465" ht="14.5" spans="1:23">
      <c r="A465" s="8" t="str">
        <f>IFERROR(INDEX(样本到样信息汇总统计!A$2:A$500,MATCH(464,样本到样信息汇总统计!$Z$2:$Z$500,0)),"")</f>
        <v/>
      </c>
      <c r="B465" s="8" t="str">
        <f>IFERROR(INDEX(样本到样信息汇总统计!B$2:B$500,MATCH(464,样本到样信息汇总统计!$Z$2:$Z$500,0)),"")</f>
        <v/>
      </c>
      <c r="C465" s="8" t="str">
        <f>IFERROR(INDEX(样本到样信息汇总统计!C$2:C$500,MATCH(464,样本到样信息汇总统计!$Z$2:$Z$500,0)),"")</f>
        <v/>
      </c>
      <c r="D465" s="8" t="str">
        <f>IFERROR(INDEX(样本到样信息汇总统计!D$2:D$500,MATCH(464,样本到样信息汇总统计!$Z$2:$Z$500,0)),"")</f>
        <v/>
      </c>
      <c r="E465" s="8" t="str">
        <f>IFERROR(INDEX(样本到样信息汇总统计!E$2:E$500,MATCH(464,样本到样信息汇总统计!$Z$2:$Z$500,0)),"")</f>
        <v/>
      </c>
      <c r="F465" s="8" t="str">
        <f>IFERROR(INDEX(样本到样信息汇总统计!F$2:F$500,MATCH(464,样本到样信息汇总统计!$Z$2:$Z$500,0)),"")</f>
        <v/>
      </c>
      <c r="G465" s="8" t="str">
        <f>IFERROR(INDEX(样本到样信息汇总统计!G$2:G$500,MATCH(464,样本到样信息汇总统计!$Z$2:$Z$500,0)),"")</f>
        <v/>
      </c>
      <c r="H465" s="8" t="str">
        <f>IFERROR(INDEX(样本到样信息汇总统计!H$2:H$500,MATCH(464,样本到样信息汇总统计!$Z$2:$Z$500,0)),"")</f>
        <v/>
      </c>
      <c r="I465" s="8" t="str">
        <f>IFERROR(INDEX(样本到样信息汇总统计!I$2:I$500,MATCH(464,样本到样信息汇总统计!$Z$2:$Z$500,0)),"")</f>
        <v/>
      </c>
      <c r="J465" s="8" t="str">
        <f>IFERROR(INDEX(样本到样信息汇总统计!J$2:J$500,MATCH(464,样本到样信息汇总统计!$Z$2:$Z$500,0)),"")</f>
        <v/>
      </c>
      <c r="K465" s="8" t="str">
        <f>IFERROR(INDEX(样本到样信息汇总统计!K$2:K$500,MATCH(464,样本到样信息汇总统计!$Z$2:$Z$500,0)),"")</f>
        <v/>
      </c>
      <c r="L465" s="8" t="str">
        <f>IFERROR(INDEX(样本到样信息汇总统计!L$2:L$500,MATCH(464,样本到样信息汇总统计!$Z$2:$Z$500,0)),"")</f>
        <v/>
      </c>
      <c r="M465" s="8" t="str">
        <f>IFERROR(INDEX(样本到样信息汇总统计!M$2:M$500,MATCH(464,样本到样信息汇总统计!$Z$2:$Z$500,0)),"")</f>
        <v/>
      </c>
      <c r="N465" s="8" t="str">
        <f>IFERROR(INDEX(样本到样信息汇总统计!N$2:N$500,MATCH(464,样本到样信息汇总统计!$Z$2:$Z$500,0)),"")</f>
        <v/>
      </c>
      <c r="O465" s="8" t="str">
        <f>IFERROR(INDEX(样本到样信息汇总统计!O$2:O$500,MATCH(464,样本到样信息汇总统计!$Z$2:$Z$500,0)),"")</f>
        <v/>
      </c>
      <c r="P465" s="8" t="str">
        <f>IFERROR(INDEX(样本到样信息汇总统计!P$2:P$500,MATCH(464,样本到样信息汇总统计!$Z$2:$Z$500,0)),"")</f>
        <v/>
      </c>
      <c r="Q465" s="8" t="str">
        <f>IFERROR(INDEX(样本到样信息汇总统计!Q$2:Q$500,MATCH(464,样本到样信息汇总统计!$Z$2:$Z$500,0)),"")</f>
        <v/>
      </c>
      <c r="R465" s="8" t="str">
        <f>IFERROR(INDEX(样本到样信息汇总统计!R$2:R$500,MATCH(464,样本到样信息汇总统计!$Z$2:$Z$500,0)),"")</f>
        <v/>
      </c>
      <c r="S465" s="8" t="str">
        <f>IFERROR(INDEX(样本到样信息汇总统计!S$2:S$500,MATCH(464,样本到样信息汇总统计!$Z$2:$Z$500,0)),"")</f>
        <v/>
      </c>
      <c r="T465" s="8" t="str">
        <f>IFERROR(INDEX(样本到样信息汇总统计!T$2:T$500,MATCH(464,样本到样信息汇总统计!$Z$2:$Z$500,0)),"")</f>
        <v/>
      </c>
      <c r="U465" s="8" t="str">
        <f>IFERROR(INDEX(样本到样信息汇总统计!U$2:U$500,MATCH(464,样本到样信息汇总统计!$Z$2:$Z$500,0)),"")</f>
        <v/>
      </c>
      <c r="V465" s="8" t="str">
        <f>IFERROR(INDEX(样本到样信息汇总统计!V$2:V$500,MATCH(464,样本到样信息汇总统计!$Z$2:$Z$500,0)),"")</f>
        <v/>
      </c>
      <c r="W465" s="8" t="str">
        <f>IFERROR(INDEX(样本到样信息汇总统计!W$2:W$500,MATCH(464,样本到样信息汇总统计!$Z$2:$Z$500,0)),"")</f>
        <v/>
      </c>
    </row>
    <row r="466" ht="14.5" spans="1:23">
      <c r="A466" s="4" t="str">
        <f>IFERROR(INDEX(样本到样信息汇总统计!A$2:A$500,MATCH(465,样本到样信息汇总统计!$Z$2:$Z$500,0)),"")</f>
        <v/>
      </c>
      <c r="B466" s="4" t="str">
        <f>IFERROR(INDEX(样本到样信息汇总统计!B$2:B$500,MATCH(465,样本到样信息汇总统计!$Z$2:$Z$500,0)),"")</f>
        <v/>
      </c>
      <c r="C466" s="4" t="str">
        <f>IFERROR(INDEX(样本到样信息汇总统计!C$2:C$500,MATCH(465,样本到样信息汇总统计!$Z$2:$Z$500,0)),"")</f>
        <v/>
      </c>
      <c r="D466" s="4" t="str">
        <f>IFERROR(INDEX(样本到样信息汇总统计!D$2:D$500,MATCH(465,样本到样信息汇总统计!$Z$2:$Z$500,0)),"")</f>
        <v/>
      </c>
      <c r="E466" s="4" t="str">
        <f>IFERROR(INDEX(样本到样信息汇总统计!E$2:E$500,MATCH(465,样本到样信息汇总统计!$Z$2:$Z$500,0)),"")</f>
        <v/>
      </c>
      <c r="F466" s="4" t="str">
        <f>IFERROR(INDEX(样本到样信息汇总统计!F$2:F$500,MATCH(465,样本到样信息汇总统计!$Z$2:$Z$500,0)),"")</f>
        <v/>
      </c>
      <c r="G466" s="4" t="str">
        <f>IFERROR(INDEX(样本到样信息汇总统计!G$2:G$500,MATCH(465,样本到样信息汇总统计!$Z$2:$Z$500,0)),"")</f>
        <v/>
      </c>
      <c r="H466" s="4" t="str">
        <f>IFERROR(INDEX(样本到样信息汇总统计!H$2:H$500,MATCH(465,样本到样信息汇总统计!$Z$2:$Z$500,0)),"")</f>
        <v/>
      </c>
      <c r="I466" s="4" t="str">
        <f>IFERROR(INDEX(样本到样信息汇总统计!I$2:I$500,MATCH(465,样本到样信息汇总统计!$Z$2:$Z$500,0)),"")</f>
        <v/>
      </c>
      <c r="J466" s="4" t="str">
        <f>IFERROR(INDEX(样本到样信息汇总统计!J$2:J$500,MATCH(465,样本到样信息汇总统计!$Z$2:$Z$500,0)),"")</f>
        <v/>
      </c>
      <c r="K466" s="4" t="str">
        <f>IFERROR(INDEX(样本到样信息汇总统计!K$2:K$500,MATCH(465,样本到样信息汇总统计!$Z$2:$Z$500,0)),"")</f>
        <v/>
      </c>
      <c r="L466" s="4" t="str">
        <f>IFERROR(INDEX(样本到样信息汇总统计!L$2:L$500,MATCH(465,样本到样信息汇总统计!$Z$2:$Z$500,0)),"")</f>
        <v/>
      </c>
      <c r="M466" s="4" t="str">
        <f>IFERROR(INDEX(样本到样信息汇总统计!M$2:M$500,MATCH(465,样本到样信息汇总统计!$Z$2:$Z$500,0)),"")</f>
        <v/>
      </c>
      <c r="N466" s="4" t="str">
        <f>IFERROR(INDEX(样本到样信息汇总统计!N$2:N$500,MATCH(465,样本到样信息汇总统计!$Z$2:$Z$500,0)),"")</f>
        <v/>
      </c>
      <c r="O466" s="4" t="str">
        <f>IFERROR(INDEX(样本到样信息汇总统计!O$2:O$500,MATCH(465,样本到样信息汇总统计!$Z$2:$Z$500,0)),"")</f>
        <v/>
      </c>
      <c r="P466" s="4" t="str">
        <f>IFERROR(INDEX(样本到样信息汇总统计!P$2:P$500,MATCH(465,样本到样信息汇总统计!$Z$2:$Z$500,0)),"")</f>
        <v/>
      </c>
      <c r="Q466" s="4" t="str">
        <f>IFERROR(INDEX(样本到样信息汇总统计!Q$2:Q$500,MATCH(465,样本到样信息汇总统计!$Z$2:$Z$500,0)),"")</f>
        <v/>
      </c>
      <c r="R466" s="4" t="str">
        <f>IFERROR(INDEX(样本到样信息汇总统计!R$2:R$500,MATCH(465,样本到样信息汇总统计!$Z$2:$Z$500,0)),"")</f>
        <v/>
      </c>
      <c r="S466" s="4" t="str">
        <f>IFERROR(INDEX(样本到样信息汇总统计!S$2:S$500,MATCH(465,样本到样信息汇总统计!$Z$2:$Z$500,0)),"")</f>
        <v/>
      </c>
      <c r="T466" s="4" t="str">
        <f>IFERROR(INDEX(样本到样信息汇总统计!T$2:T$500,MATCH(465,样本到样信息汇总统计!$Z$2:$Z$500,0)),"")</f>
        <v/>
      </c>
      <c r="U466" s="4" t="str">
        <f>IFERROR(INDEX(样本到样信息汇总统计!U$2:U$500,MATCH(465,样本到样信息汇总统计!$Z$2:$Z$500,0)),"")</f>
        <v/>
      </c>
      <c r="V466" s="4" t="str">
        <f>IFERROR(INDEX(样本到样信息汇总统计!V$2:V$500,MATCH(465,样本到样信息汇总统计!$Z$2:$Z$500,0)),"")</f>
        <v/>
      </c>
      <c r="W466" s="4" t="str">
        <f>IFERROR(INDEX(样本到样信息汇总统计!W$2:W$500,MATCH(465,样本到样信息汇总统计!$Z$2:$Z$500,0)),"")</f>
        <v/>
      </c>
    </row>
    <row r="467" ht="14.5" spans="1:23">
      <c r="A467" s="8" t="str">
        <f>IFERROR(INDEX(样本到样信息汇总统计!A$2:A$500,MATCH(466,样本到样信息汇总统计!$Z$2:$Z$500,0)),"")</f>
        <v/>
      </c>
      <c r="B467" s="8" t="str">
        <f>IFERROR(INDEX(样本到样信息汇总统计!B$2:B$500,MATCH(466,样本到样信息汇总统计!$Z$2:$Z$500,0)),"")</f>
        <v/>
      </c>
      <c r="C467" s="8" t="str">
        <f>IFERROR(INDEX(样本到样信息汇总统计!C$2:C$500,MATCH(466,样本到样信息汇总统计!$Z$2:$Z$500,0)),"")</f>
        <v/>
      </c>
      <c r="D467" s="8" t="str">
        <f>IFERROR(INDEX(样本到样信息汇总统计!D$2:D$500,MATCH(466,样本到样信息汇总统计!$Z$2:$Z$500,0)),"")</f>
        <v/>
      </c>
      <c r="E467" s="8" t="str">
        <f>IFERROR(INDEX(样本到样信息汇总统计!E$2:E$500,MATCH(466,样本到样信息汇总统计!$Z$2:$Z$500,0)),"")</f>
        <v/>
      </c>
      <c r="F467" s="8" t="str">
        <f>IFERROR(INDEX(样本到样信息汇总统计!F$2:F$500,MATCH(466,样本到样信息汇总统计!$Z$2:$Z$500,0)),"")</f>
        <v/>
      </c>
      <c r="G467" s="8" t="str">
        <f>IFERROR(INDEX(样本到样信息汇总统计!G$2:G$500,MATCH(466,样本到样信息汇总统计!$Z$2:$Z$500,0)),"")</f>
        <v/>
      </c>
      <c r="H467" s="8" t="str">
        <f>IFERROR(INDEX(样本到样信息汇总统计!H$2:H$500,MATCH(466,样本到样信息汇总统计!$Z$2:$Z$500,0)),"")</f>
        <v/>
      </c>
      <c r="I467" s="8" t="str">
        <f>IFERROR(INDEX(样本到样信息汇总统计!I$2:I$500,MATCH(466,样本到样信息汇总统计!$Z$2:$Z$500,0)),"")</f>
        <v/>
      </c>
      <c r="J467" s="8" t="str">
        <f>IFERROR(INDEX(样本到样信息汇总统计!J$2:J$500,MATCH(466,样本到样信息汇总统计!$Z$2:$Z$500,0)),"")</f>
        <v/>
      </c>
      <c r="K467" s="8" t="str">
        <f>IFERROR(INDEX(样本到样信息汇总统计!K$2:K$500,MATCH(466,样本到样信息汇总统计!$Z$2:$Z$500,0)),"")</f>
        <v/>
      </c>
      <c r="L467" s="8" t="str">
        <f>IFERROR(INDEX(样本到样信息汇总统计!L$2:L$500,MATCH(466,样本到样信息汇总统计!$Z$2:$Z$500,0)),"")</f>
        <v/>
      </c>
      <c r="M467" s="8" t="str">
        <f>IFERROR(INDEX(样本到样信息汇总统计!M$2:M$500,MATCH(466,样本到样信息汇总统计!$Z$2:$Z$500,0)),"")</f>
        <v/>
      </c>
      <c r="N467" s="8" t="str">
        <f>IFERROR(INDEX(样本到样信息汇总统计!N$2:N$500,MATCH(466,样本到样信息汇总统计!$Z$2:$Z$500,0)),"")</f>
        <v/>
      </c>
      <c r="O467" s="8" t="str">
        <f>IFERROR(INDEX(样本到样信息汇总统计!O$2:O$500,MATCH(466,样本到样信息汇总统计!$Z$2:$Z$500,0)),"")</f>
        <v/>
      </c>
      <c r="P467" s="8" t="str">
        <f>IFERROR(INDEX(样本到样信息汇总统计!P$2:P$500,MATCH(466,样本到样信息汇总统计!$Z$2:$Z$500,0)),"")</f>
        <v/>
      </c>
      <c r="Q467" s="8" t="str">
        <f>IFERROR(INDEX(样本到样信息汇总统计!Q$2:Q$500,MATCH(466,样本到样信息汇总统计!$Z$2:$Z$500,0)),"")</f>
        <v/>
      </c>
      <c r="R467" s="8" t="str">
        <f>IFERROR(INDEX(样本到样信息汇总统计!R$2:R$500,MATCH(466,样本到样信息汇总统计!$Z$2:$Z$500,0)),"")</f>
        <v/>
      </c>
      <c r="S467" s="8" t="str">
        <f>IFERROR(INDEX(样本到样信息汇总统计!S$2:S$500,MATCH(466,样本到样信息汇总统计!$Z$2:$Z$500,0)),"")</f>
        <v/>
      </c>
      <c r="T467" s="8" t="str">
        <f>IFERROR(INDEX(样本到样信息汇总统计!T$2:T$500,MATCH(466,样本到样信息汇总统计!$Z$2:$Z$500,0)),"")</f>
        <v/>
      </c>
      <c r="U467" s="8" t="str">
        <f>IFERROR(INDEX(样本到样信息汇总统计!U$2:U$500,MATCH(466,样本到样信息汇总统计!$Z$2:$Z$500,0)),"")</f>
        <v/>
      </c>
      <c r="V467" s="8" t="str">
        <f>IFERROR(INDEX(样本到样信息汇总统计!V$2:V$500,MATCH(466,样本到样信息汇总统计!$Z$2:$Z$500,0)),"")</f>
        <v/>
      </c>
      <c r="W467" s="8" t="str">
        <f>IFERROR(INDEX(样本到样信息汇总统计!W$2:W$500,MATCH(466,样本到样信息汇总统计!$Z$2:$Z$500,0)),"")</f>
        <v/>
      </c>
    </row>
    <row r="468" ht="14.5" spans="1:23">
      <c r="A468" s="4" t="str">
        <f>IFERROR(INDEX(样本到样信息汇总统计!A$2:A$500,MATCH(467,样本到样信息汇总统计!$Z$2:$Z$500,0)),"")</f>
        <v/>
      </c>
      <c r="B468" s="4" t="str">
        <f>IFERROR(INDEX(样本到样信息汇总统计!B$2:B$500,MATCH(467,样本到样信息汇总统计!$Z$2:$Z$500,0)),"")</f>
        <v/>
      </c>
      <c r="C468" s="4" t="str">
        <f>IFERROR(INDEX(样本到样信息汇总统计!C$2:C$500,MATCH(467,样本到样信息汇总统计!$Z$2:$Z$500,0)),"")</f>
        <v/>
      </c>
      <c r="D468" s="4" t="str">
        <f>IFERROR(INDEX(样本到样信息汇总统计!D$2:D$500,MATCH(467,样本到样信息汇总统计!$Z$2:$Z$500,0)),"")</f>
        <v/>
      </c>
      <c r="E468" s="4" t="str">
        <f>IFERROR(INDEX(样本到样信息汇总统计!E$2:E$500,MATCH(467,样本到样信息汇总统计!$Z$2:$Z$500,0)),"")</f>
        <v/>
      </c>
      <c r="F468" s="4" t="str">
        <f>IFERROR(INDEX(样本到样信息汇总统计!F$2:F$500,MATCH(467,样本到样信息汇总统计!$Z$2:$Z$500,0)),"")</f>
        <v/>
      </c>
      <c r="G468" s="4" t="str">
        <f>IFERROR(INDEX(样本到样信息汇总统计!G$2:G$500,MATCH(467,样本到样信息汇总统计!$Z$2:$Z$500,0)),"")</f>
        <v/>
      </c>
      <c r="H468" s="4" t="str">
        <f>IFERROR(INDEX(样本到样信息汇总统计!H$2:H$500,MATCH(467,样本到样信息汇总统计!$Z$2:$Z$500,0)),"")</f>
        <v/>
      </c>
      <c r="I468" s="4" t="str">
        <f>IFERROR(INDEX(样本到样信息汇总统计!I$2:I$500,MATCH(467,样本到样信息汇总统计!$Z$2:$Z$500,0)),"")</f>
        <v/>
      </c>
      <c r="J468" s="4" t="str">
        <f>IFERROR(INDEX(样本到样信息汇总统计!J$2:J$500,MATCH(467,样本到样信息汇总统计!$Z$2:$Z$500,0)),"")</f>
        <v/>
      </c>
      <c r="K468" s="4" t="str">
        <f>IFERROR(INDEX(样本到样信息汇总统计!K$2:K$500,MATCH(467,样本到样信息汇总统计!$Z$2:$Z$500,0)),"")</f>
        <v/>
      </c>
      <c r="L468" s="4" t="str">
        <f>IFERROR(INDEX(样本到样信息汇总统计!L$2:L$500,MATCH(467,样本到样信息汇总统计!$Z$2:$Z$500,0)),"")</f>
        <v/>
      </c>
      <c r="M468" s="4" t="str">
        <f>IFERROR(INDEX(样本到样信息汇总统计!M$2:M$500,MATCH(467,样本到样信息汇总统计!$Z$2:$Z$500,0)),"")</f>
        <v/>
      </c>
      <c r="N468" s="4" t="str">
        <f>IFERROR(INDEX(样本到样信息汇总统计!N$2:N$500,MATCH(467,样本到样信息汇总统计!$Z$2:$Z$500,0)),"")</f>
        <v/>
      </c>
      <c r="O468" s="4" t="str">
        <f>IFERROR(INDEX(样本到样信息汇总统计!O$2:O$500,MATCH(467,样本到样信息汇总统计!$Z$2:$Z$500,0)),"")</f>
        <v/>
      </c>
      <c r="P468" s="4" t="str">
        <f>IFERROR(INDEX(样本到样信息汇总统计!P$2:P$500,MATCH(467,样本到样信息汇总统计!$Z$2:$Z$500,0)),"")</f>
        <v/>
      </c>
      <c r="Q468" s="4" t="str">
        <f>IFERROR(INDEX(样本到样信息汇总统计!Q$2:Q$500,MATCH(467,样本到样信息汇总统计!$Z$2:$Z$500,0)),"")</f>
        <v/>
      </c>
      <c r="R468" s="4" t="str">
        <f>IFERROR(INDEX(样本到样信息汇总统计!R$2:R$500,MATCH(467,样本到样信息汇总统计!$Z$2:$Z$500,0)),"")</f>
        <v/>
      </c>
      <c r="S468" s="4" t="str">
        <f>IFERROR(INDEX(样本到样信息汇总统计!S$2:S$500,MATCH(467,样本到样信息汇总统计!$Z$2:$Z$500,0)),"")</f>
        <v/>
      </c>
      <c r="T468" s="4" t="str">
        <f>IFERROR(INDEX(样本到样信息汇总统计!T$2:T$500,MATCH(467,样本到样信息汇总统计!$Z$2:$Z$500,0)),"")</f>
        <v/>
      </c>
      <c r="U468" s="4" t="str">
        <f>IFERROR(INDEX(样本到样信息汇总统计!U$2:U$500,MATCH(467,样本到样信息汇总统计!$Z$2:$Z$500,0)),"")</f>
        <v/>
      </c>
      <c r="V468" s="4" t="str">
        <f>IFERROR(INDEX(样本到样信息汇总统计!V$2:V$500,MATCH(467,样本到样信息汇总统计!$Z$2:$Z$500,0)),"")</f>
        <v/>
      </c>
      <c r="W468" s="4" t="str">
        <f>IFERROR(INDEX(样本到样信息汇总统计!W$2:W$500,MATCH(467,样本到样信息汇总统计!$Z$2:$Z$500,0)),"")</f>
        <v/>
      </c>
    </row>
    <row r="469" ht="14.5" spans="1:23">
      <c r="A469" s="8" t="str">
        <f>IFERROR(INDEX(样本到样信息汇总统计!A$2:A$500,MATCH(468,样本到样信息汇总统计!$Z$2:$Z$500,0)),"")</f>
        <v/>
      </c>
      <c r="B469" s="8" t="str">
        <f>IFERROR(INDEX(样本到样信息汇总统计!B$2:B$500,MATCH(468,样本到样信息汇总统计!$Z$2:$Z$500,0)),"")</f>
        <v/>
      </c>
      <c r="C469" s="8" t="str">
        <f>IFERROR(INDEX(样本到样信息汇总统计!C$2:C$500,MATCH(468,样本到样信息汇总统计!$Z$2:$Z$500,0)),"")</f>
        <v/>
      </c>
      <c r="D469" s="8" t="str">
        <f>IFERROR(INDEX(样本到样信息汇总统计!D$2:D$500,MATCH(468,样本到样信息汇总统计!$Z$2:$Z$500,0)),"")</f>
        <v/>
      </c>
      <c r="E469" s="8" t="str">
        <f>IFERROR(INDEX(样本到样信息汇总统计!E$2:E$500,MATCH(468,样本到样信息汇总统计!$Z$2:$Z$500,0)),"")</f>
        <v/>
      </c>
      <c r="F469" s="8" t="str">
        <f>IFERROR(INDEX(样本到样信息汇总统计!F$2:F$500,MATCH(468,样本到样信息汇总统计!$Z$2:$Z$500,0)),"")</f>
        <v/>
      </c>
      <c r="G469" s="8" t="str">
        <f>IFERROR(INDEX(样本到样信息汇总统计!G$2:G$500,MATCH(468,样本到样信息汇总统计!$Z$2:$Z$500,0)),"")</f>
        <v/>
      </c>
      <c r="H469" s="8" t="str">
        <f>IFERROR(INDEX(样本到样信息汇总统计!H$2:H$500,MATCH(468,样本到样信息汇总统计!$Z$2:$Z$500,0)),"")</f>
        <v/>
      </c>
      <c r="I469" s="8" t="str">
        <f>IFERROR(INDEX(样本到样信息汇总统计!I$2:I$500,MATCH(468,样本到样信息汇总统计!$Z$2:$Z$500,0)),"")</f>
        <v/>
      </c>
      <c r="J469" s="8" t="str">
        <f>IFERROR(INDEX(样本到样信息汇总统计!J$2:J$500,MATCH(468,样本到样信息汇总统计!$Z$2:$Z$500,0)),"")</f>
        <v/>
      </c>
      <c r="K469" s="8" t="str">
        <f>IFERROR(INDEX(样本到样信息汇总统计!K$2:K$500,MATCH(468,样本到样信息汇总统计!$Z$2:$Z$500,0)),"")</f>
        <v/>
      </c>
      <c r="L469" s="8" t="str">
        <f>IFERROR(INDEX(样本到样信息汇总统计!L$2:L$500,MATCH(468,样本到样信息汇总统计!$Z$2:$Z$500,0)),"")</f>
        <v/>
      </c>
      <c r="M469" s="8" t="str">
        <f>IFERROR(INDEX(样本到样信息汇总统计!M$2:M$500,MATCH(468,样本到样信息汇总统计!$Z$2:$Z$500,0)),"")</f>
        <v/>
      </c>
      <c r="N469" s="8" t="str">
        <f>IFERROR(INDEX(样本到样信息汇总统计!N$2:N$500,MATCH(468,样本到样信息汇总统计!$Z$2:$Z$500,0)),"")</f>
        <v/>
      </c>
      <c r="O469" s="8" t="str">
        <f>IFERROR(INDEX(样本到样信息汇总统计!O$2:O$500,MATCH(468,样本到样信息汇总统计!$Z$2:$Z$500,0)),"")</f>
        <v/>
      </c>
      <c r="P469" s="8" t="str">
        <f>IFERROR(INDEX(样本到样信息汇总统计!P$2:P$500,MATCH(468,样本到样信息汇总统计!$Z$2:$Z$500,0)),"")</f>
        <v/>
      </c>
      <c r="Q469" s="8" t="str">
        <f>IFERROR(INDEX(样本到样信息汇总统计!Q$2:Q$500,MATCH(468,样本到样信息汇总统计!$Z$2:$Z$500,0)),"")</f>
        <v/>
      </c>
      <c r="R469" s="8" t="str">
        <f>IFERROR(INDEX(样本到样信息汇总统计!R$2:R$500,MATCH(468,样本到样信息汇总统计!$Z$2:$Z$500,0)),"")</f>
        <v/>
      </c>
      <c r="S469" s="8" t="str">
        <f>IFERROR(INDEX(样本到样信息汇总统计!S$2:S$500,MATCH(468,样本到样信息汇总统计!$Z$2:$Z$500,0)),"")</f>
        <v/>
      </c>
      <c r="T469" s="8" t="str">
        <f>IFERROR(INDEX(样本到样信息汇总统计!T$2:T$500,MATCH(468,样本到样信息汇总统计!$Z$2:$Z$500,0)),"")</f>
        <v/>
      </c>
      <c r="U469" s="8" t="str">
        <f>IFERROR(INDEX(样本到样信息汇总统计!U$2:U$500,MATCH(468,样本到样信息汇总统计!$Z$2:$Z$500,0)),"")</f>
        <v/>
      </c>
      <c r="V469" s="8" t="str">
        <f>IFERROR(INDEX(样本到样信息汇总统计!V$2:V$500,MATCH(468,样本到样信息汇总统计!$Z$2:$Z$500,0)),"")</f>
        <v/>
      </c>
      <c r="W469" s="8" t="str">
        <f>IFERROR(INDEX(样本到样信息汇总统计!W$2:W$500,MATCH(468,样本到样信息汇总统计!$Z$2:$Z$500,0)),"")</f>
        <v/>
      </c>
    </row>
    <row r="470" ht="14.5" spans="1:23">
      <c r="A470" s="4" t="str">
        <f>IFERROR(INDEX(样本到样信息汇总统计!A$2:A$500,MATCH(469,样本到样信息汇总统计!$Z$2:$Z$500,0)),"")</f>
        <v/>
      </c>
      <c r="B470" s="4" t="str">
        <f>IFERROR(INDEX(样本到样信息汇总统计!B$2:B$500,MATCH(469,样本到样信息汇总统计!$Z$2:$Z$500,0)),"")</f>
        <v/>
      </c>
      <c r="C470" s="4" t="str">
        <f>IFERROR(INDEX(样本到样信息汇总统计!C$2:C$500,MATCH(469,样本到样信息汇总统计!$Z$2:$Z$500,0)),"")</f>
        <v/>
      </c>
      <c r="D470" s="4" t="str">
        <f>IFERROR(INDEX(样本到样信息汇总统计!D$2:D$500,MATCH(469,样本到样信息汇总统计!$Z$2:$Z$500,0)),"")</f>
        <v/>
      </c>
      <c r="E470" s="4" t="str">
        <f>IFERROR(INDEX(样本到样信息汇总统计!E$2:E$500,MATCH(469,样本到样信息汇总统计!$Z$2:$Z$500,0)),"")</f>
        <v/>
      </c>
      <c r="F470" s="4" t="str">
        <f>IFERROR(INDEX(样本到样信息汇总统计!F$2:F$500,MATCH(469,样本到样信息汇总统计!$Z$2:$Z$500,0)),"")</f>
        <v/>
      </c>
      <c r="G470" s="4" t="str">
        <f>IFERROR(INDEX(样本到样信息汇总统计!G$2:G$500,MATCH(469,样本到样信息汇总统计!$Z$2:$Z$500,0)),"")</f>
        <v/>
      </c>
      <c r="H470" s="4" t="str">
        <f>IFERROR(INDEX(样本到样信息汇总统计!H$2:H$500,MATCH(469,样本到样信息汇总统计!$Z$2:$Z$500,0)),"")</f>
        <v/>
      </c>
      <c r="I470" s="4" t="str">
        <f>IFERROR(INDEX(样本到样信息汇总统计!I$2:I$500,MATCH(469,样本到样信息汇总统计!$Z$2:$Z$500,0)),"")</f>
        <v/>
      </c>
      <c r="J470" s="4" t="str">
        <f>IFERROR(INDEX(样本到样信息汇总统计!J$2:J$500,MATCH(469,样本到样信息汇总统计!$Z$2:$Z$500,0)),"")</f>
        <v/>
      </c>
      <c r="K470" s="4" t="str">
        <f>IFERROR(INDEX(样本到样信息汇总统计!K$2:K$500,MATCH(469,样本到样信息汇总统计!$Z$2:$Z$500,0)),"")</f>
        <v/>
      </c>
      <c r="L470" s="4" t="str">
        <f>IFERROR(INDEX(样本到样信息汇总统计!L$2:L$500,MATCH(469,样本到样信息汇总统计!$Z$2:$Z$500,0)),"")</f>
        <v/>
      </c>
      <c r="M470" s="4" t="str">
        <f>IFERROR(INDEX(样本到样信息汇总统计!M$2:M$500,MATCH(469,样本到样信息汇总统计!$Z$2:$Z$500,0)),"")</f>
        <v/>
      </c>
      <c r="N470" s="4" t="str">
        <f>IFERROR(INDEX(样本到样信息汇总统计!N$2:N$500,MATCH(469,样本到样信息汇总统计!$Z$2:$Z$500,0)),"")</f>
        <v/>
      </c>
      <c r="O470" s="4" t="str">
        <f>IFERROR(INDEX(样本到样信息汇总统计!O$2:O$500,MATCH(469,样本到样信息汇总统计!$Z$2:$Z$500,0)),"")</f>
        <v/>
      </c>
      <c r="P470" s="4" t="str">
        <f>IFERROR(INDEX(样本到样信息汇总统计!P$2:P$500,MATCH(469,样本到样信息汇总统计!$Z$2:$Z$500,0)),"")</f>
        <v/>
      </c>
      <c r="Q470" s="4" t="str">
        <f>IFERROR(INDEX(样本到样信息汇总统计!Q$2:Q$500,MATCH(469,样本到样信息汇总统计!$Z$2:$Z$500,0)),"")</f>
        <v/>
      </c>
      <c r="R470" s="4" t="str">
        <f>IFERROR(INDEX(样本到样信息汇总统计!R$2:R$500,MATCH(469,样本到样信息汇总统计!$Z$2:$Z$500,0)),"")</f>
        <v/>
      </c>
      <c r="S470" s="4" t="str">
        <f>IFERROR(INDEX(样本到样信息汇总统计!S$2:S$500,MATCH(469,样本到样信息汇总统计!$Z$2:$Z$500,0)),"")</f>
        <v/>
      </c>
      <c r="T470" s="4" t="str">
        <f>IFERROR(INDEX(样本到样信息汇总统计!T$2:T$500,MATCH(469,样本到样信息汇总统计!$Z$2:$Z$500,0)),"")</f>
        <v/>
      </c>
      <c r="U470" s="4" t="str">
        <f>IFERROR(INDEX(样本到样信息汇总统计!U$2:U$500,MATCH(469,样本到样信息汇总统计!$Z$2:$Z$500,0)),"")</f>
        <v/>
      </c>
      <c r="V470" s="4" t="str">
        <f>IFERROR(INDEX(样本到样信息汇总统计!V$2:V$500,MATCH(469,样本到样信息汇总统计!$Z$2:$Z$500,0)),"")</f>
        <v/>
      </c>
      <c r="W470" s="4" t="str">
        <f>IFERROR(INDEX(样本到样信息汇总统计!W$2:W$500,MATCH(469,样本到样信息汇总统计!$Z$2:$Z$500,0)),"")</f>
        <v/>
      </c>
    </row>
    <row r="471" ht="14.5" spans="1:23">
      <c r="A471" s="8" t="str">
        <f>IFERROR(INDEX(样本到样信息汇总统计!A$2:A$500,MATCH(470,样本到样信息汇总统计!$Z$2:$Z$500,0)),"")</f>
        <v/>
      </c>
      <c r="B471" s="8" t="str">
        <f>IFERROR(INDEX(样本到样信息汇总统计!B$2:B$500,MATCH(470,样本到样信息汇总统计!$Z$2:$Z$500,0)),"")</f>
        <v/>
      </c>
      <c r="C471" s="8" t="str">
        <f>IFERROR(INDEX(样本到样信息汇总统计!C$2:C$500,MATCH(470,样本到样信息汇总统计!$Z$2:$Z$500,0)),"")</f>
        <v/>
      </c>
      <c r="D471" s="8" t="str">
        <f>IFERROR(INDEX(样本到样信息汇总统计!D$2:D$500,MATCH(470,样本到样信息汇总统计!$Z$2:$Z$500,0)),"")</f>
        <v/>
      </c>
      <c r="E471" s="8" t="str">
        <f>IFERROR(INDEX(样本到样信息汇总统计!E$2:E$500,MATCH(470,样本到样信息汇总统计!$Z$2:$Z$500,0)),"")</f>
        <v/>
      </c>
      <c r="F471" s="8" t="str">
        <f>IFERROR(INDEX(样本到样信息汇总统计!F$2:F$500,MATCH(470,样本到样信息汇总统计!$Z$2:$Z$500,0)),"")</f>
        <v/>
      </c>
      <c r="G471" s="8" t="str">
        <f>IFERROR(INDEX(样本到样信息汇总统计!G$2:G$500,MATCH(470,样本到样信息汇总统计!$Z$2:$Z$500,0)),"")</f>
        <v/>
      </c>
      <c r="H471" s="8" t="str">
        <f>IFERROR(INDEX(样本到样信息汇总统计!H$2:H$500,MATCH(470,样本到样信息汇总统计!$Z$2:$Z$500,0)),"")</f>
        <v/>
      </c>
      <c r="I471" s="8" t="str">
        <f>IFERROR(INDEX(样本到样信息汇总统计!I$2:I$500,MATCH(470,样本到样信息汇总统计!$Z$2:$Z$500,0)),"")</f>
        <v/>
      </c>
      <c r="J471" s="8" t="str">
        <f>IFERROR(INDEX(样本到样信息汇总统计!J$2:J$500,MATCH(470,样本到样信息汇总统计!$Z$2:$Z$500,0)),"")</f>
        <v/>
      </c>
      <c r="K471" s="8" t="str">
        <f>IFERROR(INDEX(样本到样信息汇总统计!K$2:K$500,MATCH(470,样本到样信息汇总统计!$Z$2:$Z$500,0)),"")</f>
        <v/>
      </c>
      <c r="L471" s="8" t="str">
        <f>IFERROR(INDEX(样本到样信息汇总统计!L$2:L$500,MATCH(470,样本到样信息汇总统计!$Z$2:$Z$500,0)),"")</f>
        <v/>
      </c>
      <c r="M471" s="8" t="str">
        <f>IFERROR(INDEX(样本到样信息汇总统计!M$2:M$500,MATCH(470,样本到样信息汇总统计!$Z$2:$Z$500,0)),"")</f>
        <v/>
      </c>
      <c r="N471" s="8" t="str">
        <f>IFERROR(INDEX(样本到样信息汇总统计!N$2:N$500,MATCH(470,样本到样信息汇总统计!$Z$2:$Z$500,0)),"")</f>
        <v/>
      </c>
      <c r="O471" s="8" t="str">
        <f>IFERROR(INDEX(样本到样信息汇总统计!O$2:O$500,MATCH(470,样本到样信息汇总统计!$Z$2:$Z$500,0)),"")</f>
        <v/>
      </c>
      <c r="P471" s="8" t="str">
        <f>IFERROR(INDEX(样本到样信息汇总统计!P$2:P$500,MATCH(470,样本到样信息汇总统计!$Z$2:$Z$500,0)),"")</f>
        <v/>
      </c>
      <c r="Q471" s="8" t="str">
        <f>IFERROR(INDEX(样本到样信息汇总统计!Q$2:Q$500,MATCH(470,样本到样信息汇总统计!$Z$2:$Z$500,0)),"")</f>
        <v/>
      </c>
      <c r="R471" s="8" t="str">
        <f>IFERROR(INDEX(样本到样信息汇总统计!R$2:R$500,MATCH(470,样本到样信息汇总统计!$Z$2:$Z$500,0)),"")</f>
        <v/>
      </c>
      <c r="S471" s="8" t="str">
        <f>IFERROR(INDEX(样本到样信息汇总统计!S$2:S$500,MATCH(470,样本到样信息汇总统计!$Z$2:$Z$500,0)),"")</f>
        <v/>
      </c>
      <c r="T471" s="8" t="str">
        <f>IFERROR(INDEX(样本到样信息汇总统计!T$2:T$500,MATCH(470,样本到样信息汇总统计!$Z$2:$Z$500,0)),"")</f>
        <v/>
      </c>
      <c r="U471" s="8" t="str">
        <f>IFERROR(INDEX(样本到样信息汇总统计!U$2:U$500,MATCH(470,样本到样信息汇总统计!$Z$2:$Z$500,0)),"")</f>
        <v/>
      </c>
      <c r="V471" s="8" t="str">
        <f>IFERROR(INDEX(样本到样信息汇总统计!V$2:V$500,MATCH(470,样本到样信息汇总统计!$Z$2:$Z$500,0)),"")</f>
        <v/>
      </c>
      <c r="W471" s="8" t="str">
        <f>IFERROR(INDEX(样本到样信息汇总统计!W$2:W$500,MATCH(470,样本到样信息汇总统计!$Z$2:$Z$500,0)),"")</f>
        <v/>
      </c>
    </row>
    <row r="472" ht="14.5" spans="1:23">
      <c r="A472" s="4" t="str">
        <f>IFERROR(INDEX(样本到样信息汇总统计!A$2:A$500,MATCH(471,样本到样信息汇总统计!$Z$2:$Z$500,0)),"")</f>
        <v/>
      </c>
      <c r="B472" s="4" t="str">
        <f>IFERROR(INDEX(样本到样信息汇总统计!B$2:B$500,MATCH(471,样本到样信息汇总统计!$Z$2:$Z$500,0)),"")</f>
        <v/>
      </c>
      <c r="C472" s="4" t="str">
        <f>IFERROR(INDEX(样本到样信息汇总统计!C$2:C$500,MATCH(471,样本到样信息汇总统计!$Z$2:$Z$500,0)),"")</f>
        <v/>
      </c>
      <c r="D472" s="4" t="str">
        <f>IFERROR(INDEX(样本到样信息汇总统计!D$2:D$500,MATCH(471,样本到样信息汇总统计!$Z$2:$Z$500,0)),"")</f>
        <v/>
      </c>
      <c r="E472" s="4" t="str">
        <f>IFERROR(INDEX(样本到样信息汇总统计!E$2:E$500,MATCH(471,样本到样信息汇总统计!$Z$2:$Z$500,0)),"")</f>
        <v/>
      </c>
      <c r="F472" s="4" t="str">
        <f>IFERROR(INDEX(样本到样信息汇总统计!F$2:F$500,MATCH(471,样本到样信息汇总统计!$Z$2:$Z$500,0)),"")</f>
        <v/>
      </c>
      <c r="G472" s="4" t="str">
        <f>IFERROR(INDEX(样本到样信息汇总统计!G$2:G$500,MATCH(471,样本到样信息汇总统计!$Z$2:$Z$500,0)),"")</f>
        <v/>
      </c>
      <c r="H472" s="4" t="str">
        <f>IFERROR(INDEX(样本到样信息汇总统计!H$2:H$500,MATCH(471,样本到样信息汇总统计!$Z$2:$Z$500,0)),"")</f>
        <v/>
      </c>
      <c r="I472" s="4" t="str">
        <f>IFERROR(INDEX(样本到样信息汇总统计!I$2:I$500,MATCH(471,样本到样信息汇总统计!$Z$2:$Z$500,0)),"")</f>
        <v/>
      </c>
      <c r="J472" s="4" t="str">
        <f>IFERROR(INDEX(样本到样信息汇总统计!J$2:J$500,MATCH(471,样本到样信息汇总统计!$Z$2:$Z$500,0)),"")</f>
        <v/>
      </c>
      <c r="K472" s="4" t="str">
        <f>IFERROR(INDEX(样本到样信息汇总统计!K$2:K$500,MATCH(471,样本到样信息汇总统计!$Z$2:$Z$500,0)),"")</f>
        <v/>
      </c>
      <c r="L472" s="4" t="str">
        <f>IFERROR(INDEX(样本到样信息汇总统计!L$2:L$500,MATCH(471,样本到样信息汇总统计!$Z$2:$Z$500,0)),"")</f>
        <v/>
      </c>
      <c r="M472" s="4" t="str">
        <f>IFERROR(INDEX(样本到样信息汇总统计!M$2:M$500,MATCH(471,样本到样信息汇总统计!$Z$2:$Z$500,0)),"")</f>
        <v/>
      </c>
      <c r="N472" s="4" t="str">
        <f>IFERROR(INDEX(样本到样信息汇总统计!N$2:N$500,MATCH(471,样本到样信息汇总统计!$Z$2:$Z$500,0)),"")</f>
        <v/>
      </c>
      <c r="O472" s="4" t="str">
        <f>IFERROR(INDEX(样本到样信息汇总统计!O$2:O$500,MATCH(471,样本到样信息汇总统计!$Z$2:$Z$500,0)),"")</f>
        <v/>
      </c>
      <c r="P472" s="4" t="str">
        <f>IFERROR(INDEX(样本到样信息汇总统计!P$2:P$500,MATCH(471,样本到样信息汇总统计!$Z$2:$Z$500,0)),"")</f>
        <v/>
      </c>
      <c r="Q472" s="4" t="str">
        <f>IFERROR(INDEX(样本到样信息汇总统计!Q$2:Q$500,MATCH(471,样本到样信息汇总统计!$Z$2:$Z$500,0)),"")</f>
        <v/>
      </c>
      <c r="R472" s="4" t="str">
        <f>IFERROR(INDEX(样本到样信息汇总统计!R$2:R$500,MATCH(471,样本到样信息汇总统计!$Z$2:$Z$500,0)),"")</f>
        <v/>
      </c>
      <c r="S472" s="4" t="str">
        <f>IFERROR(INDEX(样本到样信息汇总统计!S$2:S$500,MATCH(471,样本到样信息汇总统计!$Z$2:$Z$500,0)),"")</f>
        <v/>
      </c>
      <c r="T472" s="4" t="str">
        <f>IFERROR(INDEX(样本到样信息汇总统计!T$2:T$500,MATCH(471,样本到样信息汇总统计!$Z$2:$Z$500,0)),"")</f>
        <v/>
      </c>
      <c r="U472" s="4" t="str">
        <f>IFERROR(INDEX(样本到样信息汇总统计!U$2:U$500,MATCH(471,样本到样信息汇总统计!$Z$2:$Z$500,0)),"")</f>
        <v/>
      </c>
      <c r="V472" s="4" t="str">
        <f>IFERROR(INDEX(样本到样信息汇总统计!V$2:V$500,MATCH(471,样本到样信息汇总统计!$Z$2:$Z$500,0)),"")</f>
        <v/>
      </c>
      <c r="W472" s="4" t="str">
        <f>IFERROR(INDEX(样本到样信息汇总统计!W$2:W$500,MATCH(471,样本到样信息汇总统计!$Z$2:$Z$500,0)),"")</f>
        <v/>
      </c>
    </row>
    <row r="473" ht="14.5" spans="1:23">
      <c r="A473" s="8" t="str">
        <f>IFERROR(INDEX(样本到样信息汇总统计!A$2:A$500,MATCH(472,样本到样信息汇总统计!$Z$2:$Z$500,0)),"")</f>
        <v/>
      </c>
      <c r="B473" s="8" t="str">
        <f>IFERROR(INDEX(样本到样信息汇总统计!B$2:B$500,MATCH(472,样本到样信息汇总统计!$Z$2:$Z$500,0)),"")</f>
        <v/>
      </c>
      <c r="C473" s="8" t="str">
        <f>IFERROR(INDEX(样本到样信息汇总统计!C$2:C$500,MATCH(472,样本到样信息汇总统计!$Z$2:$Z$500,0)),"")</f>
        <v/>
      </c>
      <c r="D473" s="8" t="str">
        <f>IFERROR(INDEX(样本到样信息汇总统计!D$2:D$500,MATCH(472,样本到样信息汇总统计!$Z$2:$Z$500,0)),"")</f>
        <v/>
      </c>
      <c r="E473" s="8" t="str">
        <f>IFERROR(INDEX(样本到样信息汇总统计!E$2:E$500,MATCH(472,样本到样信息汇总统计!$Z$2:$Z$500,0)),"")</f>
        <v/>
      </c>
      <c r="F473" s="8" t="str">
        <f>IFERROR(INDEX(样本到样信息汇总统计!F$2:F$500,MATCH(472,样本到样信息汇总统计!$Z$2:$Z$500,0)),"")</f>
        <v/>
      </c>
      <c r="G473" s="8" t="str">
        <f>IFERROR(INDEX(样本到样信息汇总统计!G$2:G$500,MATCH(472,样本到样信息汇总统计!$Z$2:$Z$500,0)),"")</f>
        <v/>
      </c>
      <c r="H473" s="8" t="str">
        <f>IFERROR(INDEX(样本到样信息汇总统计!H$2:H$500,MATCH(472,样本到样信息汇总统计!$Z$2:$Z$500,0)),"")</f>
        <v/>
      </c>
      <c r="I473" s="8" t="str">
        <f>IFERROR(INDEX(样本到样信息汇总统计!I$2:I$500,MATCH(472,样本到样信息汇总统计!$Z$2:$Z$500,0)),"")</f>
        <v/>
      </c>
      <c r="J473" s="8" t="str">
        <f>IFERROR(INDEX(样本到样信息汇总统计!J$2:J$500,MATCH(472,样本到样信息汇总统计!$Z$2:$Z$500,0)),"")</f>
        <v/>
      </c>
      <c r="K473" s="8" t="str">
        <f>IFERROR(INDEX(样本到样信息汇总统计!K$2:K$500,MATCH(472,样本到样信息汇总统计!$Z$2:$Z$500,0)),"")</f>
        <v/>
      </c>
      <c r="L473" s="8" t="str">
        <f>IFERROR(INDEX(样本到样信息汇总统计!L$2:L$500,MATCH(472,样本到样信息汇总统计!$Z$2:$Z$500,0)),"")</f>
        <v/>
      </c>
      <c r="M473" s="8" t="str">
        <f>IFERROR(INDEX(样本到样信息汇总统计!M$2:M$500,MATCH(472,样本到样信息汇总统计!$Z$2:$Z$500,0)),"")</f>
        <v/>
      </c>
      <c r="N473" s="8" t="str">
        <f>IFERROR(INDEX(样本到样信息汇总统计!N$2:N$500,MATCH(472,样本到样信息汇总统计!$Z$2:$Z$500,0)),"")</f>
        <v/>
      </c>
      <c r="O473" s="8" t="str">
        <f>IFERROR(INDEX(样本到样信息汇总统计!O$2:O$500,MATCH(472,样本到样信息汇总统计!$Z$2:$Z$500,0)),"")</f>
        <v/>
      </c>
      <c r="P473" s="8" t="str">
        <f>IFERROR(INDEX(样本到样信息汇总统计!P$2:P$500,MATCH(472,样本到样信息汇总统计!$Z$2:$Z$500,0)),"")</f>
        <v/>
      </c>
      <c r="Q473" s="8" t="str">
        <f>IFERROR(INDEX(样本到样信息汇总统计!Q$2:Q$500,MATCH(472,样本到样信息汇总统计!$Z$2:$Z$500,0)),"")</f>
        <v/>
      </c>
      <c r="R473" s="8" t="str">
        <f>IFERROR(INDEX(样本到样信息汇总统计!R$2:R$500,MATCH(472,样本到样信息汇总统计!$Z$2:$Z$500,0)),"")</f>
        <v/>
      </c>
      <c r="S473" s="8" t="str">
        <f>IFERROR(INDEX(样本到样信息汇总统计!S$2:S$500,MATCH(472,样本到样信息汇总统计!$Z$2:$Z$500,0)),"")</f>
        <v/>
      </c>
      <c r="T473" s="8" t="str">
        <f>IFERROR(INDEX(样本到样信息汇总统计!T$2:T$500,MATCH(472,样本到样信息汇总统计!$Z$2:$Z$500,0)),"")</f>
        <v/>
      </c>
      <c r="U473" s="8" t="str">
        <f>IFERROR(INDEX(样本到样信息汇总统计!U$2:U$500,MATCH(472,样本到样信息汇总统计!$Z$2:$Z$500,0)),"")</f>
        <v/>
      </c>
      <c r="V473" s="8" t="str">
        <f>IFERROR(INDEX(样本到样信息汇总统计!V$2:V$500,MATCH(472,样本到样信息汇总统计!$Z$2:$Z$500,0)),"")</f>
        <v/>
      </c>
      <c r="W473" s="8" t="str">
        <f>IFERROR(INDEX(样本到样信息汇总统计!W$2:W$500,MATCH(472,样本到样信息汇总统计!$Z$2:$Z$500,0)),"")</f>
        <v/>
      </c>
    </row>
    <row r="474" ht="14.5" spans="1:23">
      <c r="A474" s="4" t="str">
        <f>IFERROR(INDEX(样本到样信息汇总统计!A$2:A$500,MATCH(473,样本到样信息汇总统计!$Z$2:$Z$500,0)),"")</f>
        <v/>
      </c>
      <c r="B474" s="4" t="str">
        <f>IFERROR(INDEX(样本到样信息汇总统计!B$2:B$500,MATCH(473,样本到样信息汇总统计!$Z$2:$Z$500,0)),"")</f>
        <v/>
      </c>
      <c r="C474" s="4" t="str">
        <f>IFERROR(INDEX(样本到样信息汇总统计!C$2:C$500,MATCH(473,样本到样信息汇总统计!$Z$2:$Z$500,0)),"")</f>
        <v/>
      </c>
      <c r="D474" s="4" t="str">
        <f>IFERROR(INDEX(样本到样信息汇总统计!D$2:D$500,MATCH(473,样本到样信息汇总统计!$Z$2:$Z$500,0)),"")</f>
        <v/>
      </c>
      <c r="E474" s="4" t="str">
        <f>IFERROR(INDEX(样本到样信息汇总统计!E$2:E$500,MATCH(473,样本到样信息汇总统计!$Z$2:$Z$500,0)),"")</f>
        <v/>
      </c>
      <c r="F474" s="4" t="str">
        <f>IFERROR(INDEX(样本到样信息汇总统计!F$2:F$500,MATCH(473,样本到样信息汇总统计!$Z$2:$Z$500,0)),"")</f>
        <v/>
      </c>
      <c r="G474" s="4" t="str">
        <f>IFERROR(INDEX(样本到样信息汇总统计!G$2:G$500,MATCH(473,样本到样信息汇总统计!$Z$2:$Z$500,0)),"")</f>
        <v/>
      </c>
      <c r="H474" s="4" t="str">
        <f>IFERROR(INDEX(样本到样信息汇总统计!H$2:H$500,MATCH(473,样本到样信息汇总统计!$Z$2:$Z$500,0)),"")</f>
        <v/>
      </c>
      <c r="I474" s="4" t="str">
        <f>IFERROR(INDEX(样本到样信息汇总统计!I$2:I$500,MATCH(473,样本到样信息汇总统计!$Z$2:$Z$500,0)),"")</f>
        <v/>
      </c>
      <c r="J474" s="4" t="str">
        <f>IFERROR(INDEX(样本到样信息汇总统计!J$2:J$500,MATCH(473,样本到样信息汇总统计!$Z$2:$Z$500,0)),"")</f>
        <v/>
      </c>
      <c r="K474" s="4" t="str">
        <f>IFERROR(INDEX(样本到样信息汇总统计!K$2:K$500,MATCH(473,样本到样信息汇总统计!$Z$2:$Z$500,0)),"")</f>
        <v/>
      </c>
      <c r="L474" s="4" t="str">
        <f>IFERROR(INDEX(样本到样信息汇总统计!L$2:L$500,MATCH(473,样本到样信息汇总统计!$Z$2:$Z$500,0)),"")</f>
        <v/>
      </c>
      <c r="M474" s="4" t="str">
        <f>IFERROR(INDEX(样本到样信息汇总统计!M$2:M$500,MATCH(473,样本到样信息汇总统计!$Z$2:$Z$500,0)),"")</f>
        <v/>
      </c>
      <c r="N474" s="4" t="str">
        <f>IFERROR(INDEX(样本到样信息汇总统计!N$2:N$500,MATCH(473,样本到样信息汇总统计!$Z$2:$Z$500,0)),"")</f>
        <v/>
      </c>
      <c r="O474" s="4" t="str">
        <f>IFERROR(INDEX(样本到样信息汇总统计!O$2:O$500,MATCH(473,样本到样信息汇总统计!$Z$2:$Z$500,0)),"")</f>
        <v/>
      </c>
      <c r="P474" s="4" t="str">
        <f>IFERROR(INDEX(样本到样信息汇总统计!P$2:P$500,MATCH(473,样本到样信息汇总统计!$Z$2:$Z$500,0)),"")</f>
        <v/>
      </c>
      <c r="Q474" s="4" t="str">
        <f>IFERROR(INDEX(样本到样信息汇总统计!Q$2:Q$500,MATCH(473,样本到样信息汇总统计!$Z$2:$Z$500,0)),"")</f>
        <v/>
      </c>
      <c r="R474" s="4" t="str">
        <f>IFERROR(INDEX(样本到样信息汇总统计!R$2:R$500,MATCH(473,样本到样信息汇总统计!$Z$2:$Z$500,0)),"")</f>
        <v/>
      </c>
      <c r="S474" s="4" t="str">
        <f>IFERROR(INDEX(样本到样信息汇总统计!S$2:S$500,MATCH(473,样本到样信息汇总统计!$Z$2:$Z$500,0)),"")</f>
        <v/>
      </c>
      <c r="T474" s="4" t="str">
        <f>IFERROR(INDEX(样本到样信息汇总统计!T$2:T$500,MATCH(473,样本到样信息汇总统计!$Z$2:$Z$500,0)),"")</f>
        <v/>
      </c>
      <c r="U474" s="4" t="str">
        <f>IFERROR(INDEX(样本到样信息汇总统计!U$2:U$500,MATCH(473,样本到样信息汇总统计!$Z$2:$Z$500,0)),"")</f>
        <v/>
      </c>
      <c r="V474" s="4" t="str">
        <f>IFERROR(INDEX(样本到样信息汇总统计!V$2:V$500,MATCH(473,样本到样信息汇总统计!$Z$2:$Z$500,0)),"")</f>
        <v/>
      </c>
      <c r="W474" s="4" t="str">
        <f>IFERROR(INDEX(样本到样信息汇总统计!W$2:W$500,MATCH(473,样本到样信息汇总统计!$Z$2:$Z$500,0)),"")</f>
        <v/>
      </c>
    </row>
    <row r="475" ht="14.5" spans="1:23">
      <c r="A475" s="8" t="str">
        <f>IFERROR(INDEX(样本到样信息汇总统计!A$2:A$500,MATCH(474,样本到样信息汇总统计!$Z$2:$Z$500,0)),"")</f>
        <v/>
      </c>
      <c r="B475" s="8" t="str">
        <f>IFERROR(INDEX(样本到样信息汇总统计!B$2:B$500,MATCH(474,样本到样信息汇总统计!$Z$2:$Z$500,0)),"")</f>
        <v/>
      </c>
      <c r="C475" s="8" t="str">
        <f>IFERROR(INDEX(样本到样信息汇总统计!C$2:C$500,MATCH(474,样本到样信息汇总统计!$Z$2:$Z$500,0)),"")</f>
        <v/>
      </c>
      <c r="D475" s="8" t="str">
        <f>IFERROR(INDEX(样本到样信息汇总统计!D$2:D$500,MATCH(474,样本到样信息汇总统计!$Z$2:$Z$500,0)),"")</f>
        <v/>
      </c>
      <c r="E475" s="8" t="str">
        <f>IFERROR(INDEX(样本到样信息汇总统计!E$2:E$500,MATCH(474,样本到样信息汇总统计!$Z$2:$Z$500,0)),"")</f>
        <v/>
      </c>
      <c r="F475" s="8" t="str">
        <f>IFERROR(INDEX(样本到样信息汇总统计!F$2:F$500,MATCH(474,样本到样信息汇总统计!$Z$2:$Z$500,0)),"")</f>
        <v/>
      </c>
      <c r="G475" s="8" t="str">
        <f>IFERROR(INDEX(样本到样信息汇总统计!G$2:G$500,MATCH(474,样本到样信息汇总统计!$Z$2:$Z$500,0)),"")</f>
        <v/>
      </c>
      <c r="H475" s="8" t="str">
        <f>IFERROR(INDEX(样本到样信息汇总统计!H$2:H$500,MATCH(474,样本到样信息汇总统计!$Z$2:$Z$500,0)),"")</f>
        <v/>
      </c>
      <c r="I475" s="8" t="str">
        <f>IFERROR(INDEX(样本到样信息汇总统计!I$2:I$500,MATCH(474,样本到样信息汇总统计!$Z$2:$Z$500,0)),"")</f>
        <v/>
      </c>
      <c r="J475" s="8" t="str">
        <f>IFERROR(INDEX(样本到样信息汇总统计!J$2:J$500,MATCH(474,样本到样信息汇总统计!$Z$2:$Z$500,0)),"")</f>
        <v/>
      </c>
      <c r="K475" s="8" t="str">
        <f>IFERROR(INDEX(样本到样信息汇总统计!K$2:K$500,MATCH(474,样本到样信息汇总统计!$Z$2:$Z$500,0)),"")</f>
        <v/>
      </c>
      <c r="L475" s="8" t="str">
        <f>IFERROR(INDEX(样本到样信息汇总统计!L$2:L$500,MATCH(474,样本到样信息汇总统计!$Z$2:$Z$500,0)),"")</f>
        <v/>
      </c>
      <c r="M475" s="8" t="str">
        <f>IFERROR(INDEX(样本到样信息汇总统计!M$2:M$500,MATCH(474,样本到样信息汇总统计!$Z$2:$Z$500,0)),"")</f>
        <v/>
      </c>
      <c r="N475" s="8" t="str">
        <f>IFERROR(INDEX(样本到样信息汇总统计!N$2:N$500,MATCH(474,样本到样信息汇总统计!$Z$2:$Z$500,0)),"")</f>
        <v/>
      </c>
      <c r="O475" s="8" t="str">
        <f>IFERROR(INDEX(样本到样信息汇总统计!O$2:O$500,MATCH(474,样本到样信息汇总统计!$Z$2:$Z$500,0)),"")</f>
        <v/>
      </c>
      <c r="P475" s="8" t="str">
        <f>IFERROR(INDEX(样本到样信息汇总统计!P$2:P$500,MATCH(474,样本到样信息汇总统计!$Z$2:$Z$500,0)),"")</f>
        <v/>
      </c>
      <c r="Q475" s="8" t="str">
        <f>IFERROR(INDEX(样本到样信息汇总统计!Q$2:Q$500,MATCH(474,样本到样信息汇总统计!$Z$2:$Z$500,0)),"")</f>
        <v/>
      </c>
      <c r="R475" s="8" t="str">
        <f>IFERROR(INDEX(样本到样信息汇总统计!R$2:R$500,MATCH(474,样本到样信息汇总统计!$Z$2:$Z$500,0)),"")</f>
        <v/>
      </c>
      <c r="S475" s="8" t="str">
        <f>IFERROR(INDEX(样本到样信息汇总统计!S$2:S$500,MATCH(474,样本到样信息汇总统计!$Z$2:$Z$500,0)),"")</f>
        <v/>
      </c>
      <c r="T475" s="8" t="str">
        <f>IFERROR(INDEX(样本到样信息汇总统计!T$2:T$500,MATCH(474,样本到样信息汇总统计!$Z$2:$Z$500,0)),"")</f>
        <v/>
      </c>
      <c r="U475" s="8" t="str">
        <f>IFERROR(INDEX(样本到样信息汇总统计!U$2:U$500,MATCH(474,样本到样信息汇总统计!$Z$2:$Z$500,0)),"")</f>
        <v/>
      </c>
      <c r="V475" s="8" t="str">
        <f>IFERROR(INDEX(样本到样信息汇总统计!V$2:V$500,MATCH(474,样本到样信息汇总统计!$Z$2:$Z$500,0)),"")</f>
        <v/>
      </c>
      <c r="W475" s="8" t="str">
        <f>IFERROR(INDEX(样本到样信息汇总统计!W$2:W$500,MATCH(474,样本到样信息汇总统计!$Z$2:$Z$500,0)),"")</f>
        <v/>
      </c>
    </row>
    <row r="476" ht="14.5" spans="1:23">
      <c r="A476" s="4" t="str">
        <f>IFERROR(INDEX(样本到样信息汇总统计!A$2:A$500,MATCH(475,样本到样信息汇总统计!$Z$2:$Z$500,0)),"")</f>
        <v/>
      </c>
      <c r="B476" s="4" t="str">
        <f>IFERROR(INDEX(样本到样信息汇总统计!B$2:B$500,MATCH(475,样本到样信息汇总统计!$Z$2:$Z$500,0)),"")</f>
        <v/>
      </c>
      <c r="C476" s="4" t="str">
        <f>IFERROR(INDEX(样本到样信息汇总统计!C$2:C$500,MATCH(475,样本到样信息汇总统计!$Z$2:$Z$500,0)),"")</f>
        <v/>
      </c>
      <c r="D476" s="4" t="str">
        <f>IFERROR(INDEX(样本到样信息汇总统计!D$2:D$500,MATCH(475,样本到样信息汇总统计!$Z$2:$Z$500,0)),"")</f>
        <v/>
      </c>
      <c r="E476" s="4" t="str">
        <f>IFERROR(INDEX(样本到样信息汇总统计!E$2:E$500,MATCH(475,样本到样信息汇总统计!$Z$2:$Z$500,0)),"")</f>
        <v/>
      </c>
      <c r="F476" s="4" t="str">
        <f>IFERROR(INDEX(样本到样信息汇总统计!F$2:F$500,MATCH(475,样本到样信息汇总统计!$Z$2:$Z$500,0)),"")</f>
        <v/>
      </c>
      <c r="G476" s="4" t="str">
        <f>IFERROR(INDEX(样本到样信息汇总统计!G$2:G$500,MATCH(475,样本到样信息汇总统计!$Z$2:$Z$500,0)),"")</f>
        <v/>
      </c>
      <c r="H476" s="4" t="str">
        <f>IFERROR(INDEX(样本到样信息汇总统计!H$2:H$500,MATCH(475,样本到样信息汇总统计!$Z$2:$Z$500,0)),"")</f>
        <v/>
      </c>
      <c r="I476" s="4" t="str">
        <f>IFERROR(INDEX(样本到样信息汇总统计!I$2:I$500,MATCH(475,样本到样信息汇总统计!$Z$2:$Z$500,0)),"")</f>
        <v/>
      </c>
      <c r="J476" s="4" t="str">
        <f>IFERROR(INDEX(样本到样信息汇总统计!J$2:J$500,MATCH(475,样本到样信息汇总统计!$Z$2:$Z$500,0)),"")</f>
        <v/>
      </c>
      <c r="K476" s="4" t="str">
        <f>IFERROR(INDEX(样本到样信息汇总统计!K$2:K$500,MATCH(475,样本到样信息汇总统计!$Z$2:$Z$500,0)),"")</f>
        <v/>
      </c>
      <c r="L476" s="4" t="str">
        <f>IFERROR(INDEX(样本到样信息汇总统计!L$2:L$500,MATCH(475,样本到样信息汇总统计!$Z$2:$Z$500,0)),"")</f>
        <v/>
      </c>
      <c r="M476" s="4" t="str">
        <f>IFERROR(INDEX(样本到样信息汇总统计!M$2:M$500,MATCH(475,样本到样信息汇总统计!$Z$2:$Z$500,0)),"")</f>
        <v/>
      </c>
      <c r="N476" s="4" t="str">
        <f>IFERROR(INDEX(样本到样信息汇总统计!N$2:N$500,MATCH(475,样本到样信息汇总统计!$Z$2:$Z$500,0)),"")</f>
        <v/>
      </c>
      <c r="O476" s="4" t="str">
        <f>IFERROR(INDEX(样本到样信息汇总统计!O$2:O$500,MATCH(475,样本到样信息汇总统计!$Z$2:$Z$500,0)),"")</f>
        <v/>
      </c>
      <c r="P476" s="4" t="str">
        <f>IFERROR(INDEX(样本到样信息汇总统计!P$2:P$500,MATCH(475,样本到样信息汇总统计!$Z$2:$Z$500,0)),"")</f>
        <v/>
      </c>
      <c r="Q476" s="4" t="str">
        <f>IFERROR(INDEX(样本到样信息汇总统计!Q$2:Q$500,MATCH(475,样本到样信息汇总统计!$Z$2:$Z$500,0)),"")</f>
        <v/>
      </c>
      <c r="R476" s="4" t="str">
        <f>IFERROR(INDEX(样本到样信息汇总统计!R$2:R$500,MATCH(475,样本到样信息汇总统计!$Z$2:$Z$500,0)),"")</f>
        <v/>
      </c>
      <c r="S476" s="4" t="str">
        <f>IFERROR(INDEX(样本到样信息汇总统计!S$2:S$500,MATCH(475,样本到样信息汇总统计!$Z$2:$Z$500,0)),"")</f>
        <v/>
      </c>
      <c r="T476" s="4" t="str">
        <f>IFERROR(INDEX(样本到样信息汇总统计!T$2:T$500,MATCH(475,样本到样信息汇总统计!$Z$2:$Z$500,0)),"")</f>
        <v/>
      </c>
      <c r="U476" s="4" t="str">
        <f>IFERROR(INDEX(样本到样信息汇总统计!U$2:U$500,MATCH(475,样本到样信息汇总统计!$Z$2:$Z$500,0)),"")</f>
        <v/>
      </c>
      <c r="V476" s="4" t="str">
        <f>IFERROR(INDEX(样本到样信息汇总统计!V$2:V$500,MATCH(475,样本到样信息汇总统计!$Z$2:$Z$500,0)),"")</f>
        <v/>
      </c>
      <c r="W476" s="4" t="str">
        <f>IFERROR(INDEX(样本到样信息汇总统计!W$2:W$500,MATCH(475,样本到样信息汇总统计!$Z$2:$Z$500,0)),"")</f>
        <v/>
      </c>
    </row>
    <row r="477" ht="14.5" spans="1:23">
      <c r="A477" s="8" t="str">
        <f>IFERROR(INDEX(样本到样信息汇总统计!A$2:A$500,MATCH(476,样本到样信息汇总统计!$Z$2:$Z$500,0)),"")</f>
        <v/>
      </c>
      <c r="B477" s="8" t="str">
        <f>IFERROR(INDEX(样本到样信息汇总统计!B$2:B$500,MATCH(476,样本到样信息汇总统计!$Z$2:$Z$500,0)),"")</f>
        <v/>
      </c>
      <c r="C477" s="8" t="str">
        <f>IFERROR(INDEX(样本到样信息汇总统计!C$2:C$500,MATCH(476,样本到样信息汇总统计!$Z$2:$Z$500,0)),"")</f>
        <v/>
      </c>
      <c r="D477" s="8" t="str">
        <f>IFERROR(INDEX(样本到样信息汇总统计!D$2:D$500,MATCH(476,样本到样信息汇总统计!$Z$2:$Z$500,0)),"")</f>
        <v/>
      </c>
      <c r="E477" s="8" t="str">
        <f>IFERROR(INDEX(样本到样信息汇总统计!E$2:E$500,MATCH(476,样本到样信息汇总统计!$Z$2:$Z$500,0)),"")</f>
        <v/>
      </c>
      <c r="F477" s="8" t="str">
        <f>IFERROR(INDEX(样本到样信息汇总统计!F$2:F$500,MATCH(476,样本到样信息汇总统计!$Z$2:$Z$500,0)),"")</f>
        <v/>
      </c>
      <c r="G477" s="8" t="str">
        <f>IFERROR(INDEX(样本到样信息汇总统计!G$2:G$500,MATCH(476,样本到样信息汇总统计!$Z$2:$Z$500,0)),"")</f>
        <v/>
      </c>
      <c r="H477" s="8" t="str">
        <f>IFERROR(INDEX(样本到样信息汇总统计!H$2:H$500,MATCH(476,样本到样信息汇总统计!$Z$2:$Z$500,0)),"")</f>
        <v/>
      </c>
      <c r="I477" s="8" t="str">
        <f>IFERROR(INDEX(样本到样信息汇总统计!I$2:I$500,MATCH(476,样本到样信息汇总统计!$Z$2:$Z$500,0)),"")</f>
        <v/>
      </c>
      <c r="J477" s="8" t="str">
        <f>IFERROR(INDEX(样本到样信息汇总统计!J$2:J$500,MATCH(476,样本到样信息汇总统计!$Z$2:$Z$500,0)),"")</f>
        <v/>
      </c>
      <c r="K477" s="8" t="str">
        <f>IFERROR(INDEX(样本到样信息汇总统计!K$2:K$500,MATCH(476,样本到样信息汇总统计!$Z$2:$Z$500,0)),"")</f>
        <v/>
      </c>
      <c r="L477" s="8" t="str">
        <f>IFERROR(INDEX(样本到样信息汇总统计!L$2:L$500,MATCH(476,样本到样信息汇总统计!$Z$2:$Z$500,0)),"")</f>
        <v/>
      </c>
      <c r="M477" s="8" t="str">
        <f>IFERROR(INDEX(样本到样信息汇总统计!M$2:M$500,MATCH(476,样本到样信息汇总统计!$Z$2:$Z$500,0)),"")</f>
        <v/>
      </c>
      <c r="N477" s="8" t="str">
        <f>IFERROR(INDEX(样本到样信息汇总统计!N$2:N$500,MATCH(476,样本到样信息汇总统计!$Z$2:$Z$500,0)),"")</f>
        <v/>
      </c>
      <c r="O477" s="8" t="str">
        <f>IFERROR(INDEX(样本到样信息汇总统计!O$2:O$500,MATCH(476,样本到样信息汇总统计!$Z$2:$Z$500,0)),"")</f>
        <v/>
      </c>
      <c r="P477" s="8" t="str">
        <f>IFERROR(INDEX(样本到样信息汇总统计!P$2:P$500,MATCH(476,样本到样信息汇总统计!$Z$2:$Z$500,0)),"")</f>
        <v/>
      </c>
      <c r="Q477" s="8" t="str">
        <f>IFERROR(INDEX(样本到样信息汇总统计!Q$2:Q$500,MATCH(476,样本到样信息汇总统计!$Z$2:$Z$500,0)),"")</f>
        <v/>
      </c>
      <c r="R477" s="8" t="str">
        <f>IFERROR(INDEX(样本到样信息汇总统计!R$2:R$500,MATCH(476,样本到样信息汇总统计!$Z$2:$Z$500,0)),"")</f>
        <v/>
      </c>
      <c r="S477" s="8" t="str">
        <f>IFERROR(INDEX(样本到样信息汇总统计!S$2:S$500,MATCH(476,样本到样信息汇总统计!$Z$2:$Z$500,0)),"")</f>
        <v/>
      </c>
      <c r="T477" s="8" t="str">
        <f>IFERROR(INDEX(样本到样信息汇总统计!T$2:T$500,MATCH(476,样本到样信息汇总统计!$Z$2:$Z$500,0)),"")</f>
        <v/>
      </c>
      <c r="U477" s="8" t="str">
        <f>IFERROR(INDEX(样本到样信息汇总统计!U$2:U$500,MATCH(476,样本到样信息汇总统计!$Z$2:$Z$500,0)),"")</f>
        <v/>
      </c>
      <c r="V477" s="8" t="str">
        <f>IFERROR(INDEX(样本到样信息汇总统计!V$2:V$500,MATCH(476,样本到样信息汇总统计!$Z$2:$Z$500,0)),"")</f>
        <v/>
      </c>
      <c r="W477" s="8" t="str">
        <f>IFERROR(INDEX(样本到样信息汇总统计!W$2:W$500,MATCH(476,样本到样信息汇总统计!$Z$2:$Z$500,0)),"")</f>
        <v/>
      </c>
    </row>
    <row r="478" ht="14.5" spans="1:23">
      <c r="A478" s="4" t="str">
        <f>IFERROR(INDEX(样本到样信息汇总统计!A$2:A$500,MATCH(477,样本到样信息汇总统计!$Z$2:$Z$500,0)),"")</f>
        <v/>
      </c>
      <c r="B478" s="4" t="str">
        <f>IFERROR(INDEX(样本到样信息汇总统计!B$2:B$500,MATCH(477,样本到样信息汇总统计!$Z$2:$Z$500,0)),"")</f>
        <v/>
      </c>
      <c r="C478" s="4" t="str">
        <f>IFERROR(INDEX(样本到样信息汇总统计!C$2:C$500,MATCH(477,样本到样信息汇总统计!$Z$2:$Z$500,0)),"")</f>
        <v/>
      </c>
      <c r="D478" s="4" t="str">
        <f>IFERROR(INDEX(样本到样信息汇总统计!D$2:D$500,MATCH(477,样本到样信息汇总统计!$Z$2:$Z$500,0)),"")</f>
        <v/>
      </c>
      <c r="E478" s="4" t="str">
        <f>IFERROR(INDEX(样本到样信息汇总统计!E$2:E$500,MATCH(477,样本到样信息汇总统计!$Z$2:$Z$500,0)),"")</f>
        <v/>
      </c>
      <c r="F478" s="4" t="str">
        <f>IFERROR(INDEX(样本到样信息汇总统计!F$2:F$500,MATCH(477,样本到样信息汇总统计!$Z$2:$Z$500,0)),"")</f>
        <v/>
      </c>
      <c r="G478" s="4" t="str">
        <f>IFERROR(INDEX(样本到样信息汇总统计!G$2:G$500,MATCH(477,样本到样信息汇总统计!$Z$2:$Z$500,0)),"")</f>
        <v/>
      </c>
      <c r="H478" s="4" t="str">
        <f>IFERROR(INDEX(样本到样信息汇总统计!H$2:H$500,MATCH(477,样本到样信息汇总统计!$Z$2:$Z$500,0)),"")</f>
        <v/>
      </c>
      <c r="I478" s="4" t="str">
        <f>IFERROR(INDEX(样本到样信息汇总统计!I$2:I$500,MATCH(477,样本到样信息汇总统计!$Z$2:$Z$500,0)),"")</f>
        <v/>
      </c>
      <c r="J478" s="4" t="str">
        <f>IFERROR(INDEX(样本到样信息汇总统计!J$2:J$500,MATCH(477,样本到样信息汇总统计!$Z$2:$Z$500,0)),"")</f>
        <v/>
      </c>
      <c r="K478" s="4" t="str">
        <f>IFERROR(INDEX(样本到样信息汇总统计!K$2:K$500,MATCH(477,样本到样信息汇总统计!$Z$2:$Z$500,0)),"")</f>
        <v/>
      </c>
      <c r="L478" s="4" t="str">
        <f>IFERROR(INDEX(样本到样信息汇总统计!L$2:L$500,MATCH(477,样本到样信息汇总统计!$Z$2:$Z$500,0)),"")</f>
        <v/>
      </c>
      <c r="M478" s="4" t="str">
        <f>IFERROR(INDEX(样本到样信息汇总统计!M$2:M$500,MATCH(477,样本到样信息汇总统计!$Z$2:$Z$500,0)),"")</f>
        <v/>
      </c>
      <c r="N478" s="4" t="str">
        <f>IFERROR(INDEX(样本到样信息汇总统计!N$2:N$500,MATCH(477,样本到样信息汇总统计!$Z$2:$Z$500,0)),"")</f>
        <v/>
      </c>
      <c r="O478" s="4" t="str">
        <f>IFERROR(INDEX(样本到样信息汇总统计!O$2:O$500,MATCH(477,样本到样信息汇总统计!$Z$2:$Z$500,0)),"")</f>
        <v/>
      </c>
      <c r="P478" s="4" t="str">
        <f>IFERROR(INDEX(样本到样信息汇总统计!P$2:P$500,MATCH(477,样本到样信息汇总统计!$Z$2:$Z$500,0)),"")</f>
        <v/>
      </c>
      <c r="Q478" s="4" t="str">
        <f>IFERROR(INDEX(样本到样信息汇总统计!Q$2:Q$500,MATCH(477,样本到样信息汇总统计!$Z$2:$Z$500,0)),"")</f>
        <v/>
      </c>
      <c r="R478" s="4" t="str">
        <f>IFERROR(INDEX(样本到样信息汇总统计!R$2:R$500,MATCH(477,样本到样信息汇总统计!$Z$2:$Z$500,0)),"")</f>
        <v/>
      </c>
      <c r="S478" s="4" t="str">
        <f>IFERROR(INDEX(样本到样信息汇总统计!S$2:S$500,MATCH(477,样本到样信息汇总统计!$Z$2:$Z$500,0)),"")</f>
        <v/>
      </c>
      <c r="T478" s="4" t="str">
        <f>IFERROR(INDEX(样本到样信息汇总统计!T$2:T$500,MATCH(477,样本到样信息汇总统计!$Z$2:$Z$500,0)),"")</f>
        <v/>
      </c>
      <c r="U478" s="4" t="str">
        <f>IFERROR(INDEX(样本到样信息汇总统计!U$2:U$500,MATCH(477,样本到样信息汇总统计!$Z$2:$Z$500,0)),"")</f>
        <v/>
      </c>
      <c r="V478" s="4" t="str">
        <f>IFERROR(INDEX(样本到样信息汇总统计!V$2:V$500,MATCH(477,样本到样信息汇总统计!$Z$2:$Z$500,0)),"")</f>
        <v/>
      </c>
      <c r="W478" s="4" t="str">
        <f>IFERROR(INDEX(样本到样信息汇总统计!W$2:W$500,MATCH(477,样本到样信息汇总统计!$Z$2:$Z$500,0)),"")</f>
        <v/>
      </c>
    </row>
    <row r="479" ht="14.5" spans="1:23">
      <c r="A479" s="8" t="str">
        <f>IFERROR(INDEX(样本到样信息汇总统计!A$2:A$500,MATCH(478,样本到样信息汇总统计!$Z$2:$Z$500,0)),"")</f>
        <v/>
      </c>
      <c r="B479" s="8" t="str">
        <f>IFERROR(INDEX(样本到样信息汇总统计!B$2:B$500,MATCH(478,样本到样信息汇总统计!$Z$2:$Z$500,0)),"")</f>
        <v/>
      </c>
      <c r="C479" s="8" t="str">
        <f>IFERROR(INDEX(样本到样信息汇总统计!C$2:C$500,MATCH(478,样本到样信息汇总统计!$Z$2:$Z$500,0)),"")</f>
        <v/>
      </c>
      <c r="D479" s="8" t="str">
        <f>IFERROR(INDEX(样本到样信息汇总统计!D$2:D$500,MATCH(478,样本到样信息汇总统计!$Z$2:$Z$500,0)),"")</f>
        <v/>
      </c>
      <c r="E479" s="8" t="str">
        <f>IFERROR(INDEX(样本到样信息汇总统计!E$2:E$500,MATCH(478,样本到样信息汇总统计!$Z$2:$Z$500,0)),"")</f>
        <v/>
      </c>
      <c r="F479" s="8" t="str">
        <f>IFERROR(INDEX(样本到样信息汇总统计!F$2:F$500,MATCH(478,样本到样信息汇总统计!$Z$2:$Z$500,0)),"")</f>
        <v/>
      </c>
      <c r="G479" s="8" t="str">
        <f>IFERROR(INDEX(样本到样信息汇总统计!G$2:G$500,MATCH(478,样本到样信息汇总统计!$Z$2:$Z$500,0)),"")</f>
        <v/>
      </c>
      <c r="H479" s="8" t="str">
        <f>IFERROR(INDEX(样本到样信息汇总统计!H$2:H$500,MATCH(478,样本到样信息汇总统计!$Z$2:$Z$500,0)),"")</f>
        <v/>
      </c>
      <c r="I479" s="8" t="str">
        <f>IFERROR(INDEX(样本到样信息汇总统计!I$2:I$500,MATCH(478,样本到样信息汇总统计!$Z$2:$Z$500,0)),"")</f>
        <v/>
      </c>
      <c r="J479" s="8" t="str">
        <f>IFERROR(INDEX(样本到样信息汇总统计!J$2:J$500,MATCH(478,样本到样信息汇总统计!$Z$2:$Z$500,0)),"")</f>
        <v/>
      </c>
      <c r="K479" s="8" t="str">
        <f>IFERROR(INDEX(样本到样信息汇总统计!K$2:K$500,MATCH(478,样本到样信息汇总统计!$Z$2:$Z$500,0)),"")</f>
        <v/>
      </c>
      <c r="L479" s="8" t="str">
        <f>IFERROR(INDEX(样本到样信息汇总统计!L$2:L$500,MATCH(478,样本到样信息汇总统计!$Z$2:$Z$500,0)),"")</f>
        <v/>
      </c>
      <c r="M479" s="8" t="str">
        <f>IFERROR(INDEX(样本到样信息汇总统计!M$2:M$500,MATCH(478,样本到样信息汇总统计!$Z$2:$Z$500,0)),"")</f>
        <v/>
      </c>
      <c r="N479" s="8" t="str">
        <f>IFERROR(INDEX(样本到样信息汇总统计!N$2:N$500,MATCH(478,样本到样信息汇总统计!$Z$2:$Z$500,0)),"")</f>
        <v/>
      </c>
      <c r="O479" s="8" t="str">
        <f>IFERROR(INDEX(样本到样信息汇总统计!O$2:O$500,MATCH(478,样本到样信息汇总统计!$Z$2:$Z$500,0)),"")</f>
        <v/>
      </c>
      <c r="P479" s="8" t="str">
        <f>IFERROR(INDEX(样本到样信息汇总统计!P$2:P$500,MATCH(478,样本到样信息汇总统计!$Z$2:$Z$500,0)),"")</f>
        <v/>
      </c>
      <c r="Q479" s="8" t="str">
        <f>IFERROR(INDEX(样本到样信息汇总统计!Q$2:Q$500,MATCH(478,样本到样信息汇总统计!$Z$2:$Z$500,0)),"")</f>
        <v/>
      </c>
      <c r="R479" s="8" t="str">
        <f>IFERROR(INDEX(样本到样信息汇总统计!R$2:R$500,MATCH(478,样本到样信息汇总统计!$Z$2:$Z$500,0)),"")</f>
        <v/>
      </c>
      <c r="S479" s="8" t="str">
        <f>IFERROR(INDEX(样本到样信息汇总统计!S$2:S$500,MATCH(478,样本到样信息汇总统计!$Z$2:$Z$500,0)),"")</f>
        <v/>
      </c>
      <c r="T479" s="8" t="str">
        <f>IFERROR(INDEX(样本到样信息汇总统计!T$2:T$500,MATCH(478,样本到样信息汇总统计!$Z$2:$Z$500,0)),"")</f>
        <v/>
      </c>
      <c r="U479" s="8" t="str">
        <f>IFERROR(INDEX(样本到样信息汇总统计!U$2:U$500,MATCH(478,样本到样信息汇总统计!$Z$2:$Z$500,0)),"")</f>
        <v/>
      </c>
      <c r="V479" s="8" t="str">
        <f>IFERROR(INDEX(样本到样信息汇总统计!V$2:V$500,MATCH(478,样本到样信息汇总统计!$Z$2:$Z$500,0)),"")</f>
        <v/>
      </c>
      <c r="W479" s="8" t="str">
        <f>IFERROR(INDEX(样本到样信息汇总统计!W$2:W$500,MATCH(478,样本到样信息汇总统计!$Z$2:$Z$500,0)),"")</f>
        <v/>
      </c>
    </row>
    <row r="480" ht="14.5" spans="1:23">
      <c r="A480" s="4" t="str">
        <f>IFERROR(INDEX(样本到样信息汇总统计!A$2:A$500,MATCH(479,样本到样信息汇总统计!$Z$2:$Z$500,0)),"")</f>
        <v/>
      </c>
      <c r="B480" s="4" t="str">
        <f>IFERROR(INDEX(样本到样信息汇总统计!B$2:B$500,MATCH(479,样本到样信息汇总统计!$Z$2:$Z$500,0)),"")</f>
        <v/>
      </c>
      <c r="C480" s="4" t="str">
        <f>IFERROR(INDEX(样本到样信息汇总统计!C$2:C$500,MATCH(479,样本到样信息汇总统计!$Z$2:$Z$500,0)),"")</f>
        <v/>
      </c>
      <c r="D480" s="4" t="str">
        <f>IFERROR(INDEX(样本到样信息汇总统计!D$2:D$500,MATCH(479,样本到样信息汇总统计!$Z$2:$Z$500,0)),"")</f>
        <v/>
      </c>
      <c r="E480" s="4" t="str">
        <f>IFERROR(INDEX(样本到样信息汇总统计!E$2:E$500,MATCH(479,样本到样信息汇总统计!$Z$2:$Z$500,0)),"")</f>
        <v/>
      </c>
      <c r="F480" s="4" t="str">
        <f>IFERROR(INDEX(样本到样信息汇总统计!F$2:F$500,MATCH(479,样本到样信息汇总统计!$Z$2:$Z$500,0)),"")</f>
        <v/>
      </c>
      <c r="G480" s="4" t="str">
        <f>IFERROR(INDEX(样本到样信息汇总统计!G$2:G$500,MATCH(479,样本到样信息汇总统计!$Z$2:$Z$500,0)),"")</f>
        <v/>
      </c>
      <c r="H480" s="4" t="str">
        <f>IFERROR(INDEX(样本到样信息汇总统计!H$2:H$500,MATCH(479,样本到样信息汇总统计!$Z$2:$Z$500,0)),"")</f>
        <v/>
      </c>
      <c r="I480" s="4" t="str">
        <f>IFERROR(INDEX(样本到样信息汇总统计!I$2:I$500,MATCH(479,样本到样信息汇总统计!$Z$2:$Z$500,0)),"")</f>
        <v/>
      </c>
      <c r="J480" s="4" t="str">
        <f>IFERROR(INDEX(样本到样信息汇总统计!J$2:J$500,MATCH(479,样本到样信息汇总统计!$Z$2:$Z$500,0)),"")</f>
        <v/>
      </c>
      <c r="K480" s="4" t="str">
        <f>IFERROR(INDEX(样本到样信息汇总统计!K$2:K$500,MATCH(479,样本到样信息汇总统计!$Z$2:$Z$500,0)),"")</f>
        <v/>
      </c>
      <c r="L480" s="4" t="str">
        <f>IFERROR(INDEX(样本到样信息汇总统计!L$2:L$500,MATCH(479,样本到样信息汇总统计!$Z$2:$Z$500,0)),"")</f>
        <v/>
      </c>
      <c r="M480" s="4" t="str">
        <f>IFERROR(INDEX(样本到样信息汇总统计!M$2:M$500,MATCH(479,样本到样信息汇总统计!$Z$2:$Z$500,0)),"")</f>
        <v/>
      </c>
      <c r="N480" s="4" t="str">
        <f>IFERROR(INDEX(样本到样信息汇总统计!N$2:N$500,MATCH(479,样本到样信息汇总统计!$Z$2:$Z$500,0)),"")</f>
        <v/>
      </c>
      <c r="O480" s="4" t="str">
        <f>IFERROR(INDEX(样本到样信息汇总统计!O$2:O$500,MATCH(479,样本到样信息汇总统计!$Z$2:$Z$500,0)),"")</f>
        <v/>
      </c>
      <c r="P480" s="4" t="str">
        <f>IFERROR(INDEX(样本到样信息汇总统计!P$2:P$500,MATCH(479,样本到样信息汇总统计!$Z$2:$Z$500,0)),"")</f>
        <v/>
      </c>
      <c r="Q480" s="4" t="str">
        <f>IFERROR(INDEX(样本到样信息汇总统计!Q$2:Q$500,MATCH(479,样本到样信息汇总统计!$Z$2:$Z$500,0)),"")</f>
        <v/>
      </c>
      <c r="R480" s="4" t="str">
        <f>IFERROR(INDEX(样本到样信息汇总统计!R$2:R$500,MATCH(479,样本到样信息汇总统计!$Z$2:$Z$500,0)),"")</f>
        <v/>
      </c>
      <c r="S480" s="4" t="str">
        <f>IFERROR(INDEX(样本到样信息汇总统计!S$2:S$500,MATCH(479,样本到样信息汇总统计!$Z$2:$Z$500,0)),"")</f>
        <v/>
      </c>
      <c r="T480" s="4" t="str">
        <f>IFERROR(INDEX(样本到样信息汇总统计!T$2:T$500,MATCH(479,样本到样信息汇总统计!$Z$2:$Z$500,0)),"")</f>
        <v/>
      </c>
      <c r="U480" s="4" t="str">
        <f>IFERROR(INDEX(样本到样信息汇总统计!U$2:U$500,MATCH(479,样本到样信息汇总统计!$Z$2:$Z$500,0)),"")</f>
        <v/>
      </c>
      <c r="V480" s="4" t="str">
        <f>IFERROR(INDEX(样本到样信息汇总统计!V$2:V$500,MATCH(479,样本到样信息汇总统计!$Z$2:$Z$500,0)),"")</f>
        <v/>
      </c>
      <c r="W480" s="4" t="str">
        <f>IFERROR(INDEX(样本到样信息汇总统计!W$2:W$500,MATCH(479,样本到样信息汇总统计!$Z$2:$Z$500,0)),"")</f>
        <v/>
      </c>
    </row>
    <row r="481" ht="14.5" spans="1:23">
      <c r="A481" s="8" t="str">
        <f>IFERROR(INDEX(样本到样信息汇总统计!A$2:A$500,MATCH(480,样本到样信息汇总统计!$Z$2:$Z$500,0)),"")</f>
        <v/>
      </c>
      <c r="B481" s="8" t="str">
        <f>IFERROR(INDEX(样本到样信息汇总统计!B$2:B$500,MATCH(480,样本到样信息汇总统计!$Z$2:$Z$500,0)),"")</f>
        <v/>
      </c>
      <c r="C481" s="8" t="str">
        <f>IFERROR(INDEX(样本到样信息汇总统计!C$2:C$500,MATCH(480,样本到样信息汇总统计!$Z$2:$Z$500,0)),"")</f>
        <v/>
      </c>
      <c r="D481" s="8" t="str">
        <f>IFERROR(INDEX(样本到样信息汇总统计!D$2:D$500,MATCH(480,样本到样信息汇总统计!$Z$2:$Z$500,0)),"")</f>
        <v/>
      </c>
      <c r="E481" s="8" t="str">
        <f>IFERROR(INDEX(样本到样信息汇总统计!E$2:E$500,MATCH(480,样本到样信息汇总统计!$Z$2:$Z$500,0)),"")</f>
        <v/>
      </c>
      <c r="F481" s="8" t="str">
        <f>IFERROR(INDEX(样本到样信息汇总统计!F$2:F$500,MATCH(480,样本到样信息汇总统计!$Z$2:$Z$500,0)),"")</f>
        <v/>
      </c>
      <c r="G481" s="8" t="str">
        <f>IFERROR(INDEX(样本到样信息汇总统计!G$2:G$500,MATCH(480,样本到样信息汇总统计!$Z$2:$Z$500,0)),"")</f>
        <v/>
      </c>
      <c r="H481" s="8" t="str">
        <f>IFERROR(INDEX(样本到样信息汇总统计!H$2:H$500,MATCH(480,样本到样信息汇总统计!$Z$2:$Z$500,0)),"")</f>
        <v/>
      </c>
      <c r="I481" s="8" t="str">
        <f>IFERROR(INDEX(样本到样信息汇总统计!I$2:I$500,MATCH(480,样本到样信息汇总统计!$Z$2:$Z$500,0)),"")</f>
        <v/>
      </c>
      <c r="J481" s="8" t="str">
        <f>IFERROR(INDEX(样本到样信息汇总统计!J$2:J$500,MATCH(480,样本到样信息汇总统计!$Z$2:$Z$500,0)),"")</f>
        <v/>
      </c>
      <c r="K481" s="8" t="str">
        <f>IFERROR(INDEX(样本到样信息汇总统计!K$2:K$500,MATCH(480,样本到样信息汇总统计!$Z$2:$Z$500,0)),"")</f>
        <v/>
      </c>
      <c r="L481" s="8" t="str">
        <f>IFERROR(INDEX(样本到样信息汇总统计!L$2:L$500,MATCH(480,样本到样信息汇总统计!$Z$2:$Z$500,0)),"")</f>
        <v/>
      </c>
      <c r="M481" s="8" t="str">
        <f>IFERROR(INDEX(样本到样信息汇总统计!M$2:M$500,MATCH(480,样本到样信息汇总统计!$Z$2:$Z$500,0)),"")</f>
        <v/>
      </c>
      <c r="N481" s="8" t="str">
        <f>IFERROR(INDEX(样本到样信息汇总统计!N$2:N$500,MATCH(480,样本到样信息汇总统计!$Z$2:$Z$500,0)),"")</f>
        <v/>
      </c>
      <c r="O481" s="8" t="str">
        <f>IFERROR(INDEX(样本到样信息汇总统计!O$2:O$500,MATCH(480,样本到样信息汇总统计!$Z$2:$Z$500,0)),"")</f>
        <v/>
      </c>
      <c r="P481" s="8" t="str">
        <f>IFERROR(INDEX(样本到样信息汇总统计!P$2:P$500,MATCH(480,样本到样信息汇总统计!$Z$2:$Z$500,0)),"")</f>
        <v/>
      </c>
      <c r="Q481" s="8" t="str">
        <f>IFERROR(INDEX(样本到样信息汇总统计!Q$2:Q$500,MATCH(480,样本到样信息汇总统计!$Z$2:$Z$500,0)),"")</f>
        <v/>
      </c>
      <c r="R481" s="8" t="str">
        <f>IFERROR(INDEX(样本到样信息汇总统计!R$2:R$500,MATCH(480,样本到样信息汇总统计!$Z$2:$Z$500,0)),"")</f>
        <v/>
      </c>
      <c r="S481" s="8" t="str">
        <f>IFERROR(INDEX(样本到样信息汇总统计!S$2:S$500,MATCH(480,样本到样信息汇总统计!$Z$2:$Z$500,0)),"")</f>
        <v/>
      </c>
      <c r="T481" s="8" t="str">
        <f>IFERROR(INDEX(样本到样信息汇总统计!T$2:T$500,MATCH(480,样本到样信息汇总统计!$Z$2:$Z$500,0)),"")</f>
        <v/>
      </c>
      <c r="U481" s="8" t="str">
        <f>IFERROR(INDEX(样本到样信息汇总统计!U$2:U$500,MATCH(480,样本到样信息汇总统计!$Z$2:$Z$500,0)),"")</f>
        <v/>
      </c>
      <c r="V481" s="8" t="str">
        <f>IFERROR(INDEX(样本到样信息汇总统计!V$2:V$500,MATCH(480,样本到样信息汇总统计!$Z$2:$Z$500,0)),"")</f>
        <v/>
      </c>
      <c r="W481" s="8" t="str">
        <f>IFERROR(INDEX(样本到样信息汇总统计!W$2:W$500,MATCH(480,样本到样信息汇总统计!$Z$2:$Z$500,0)),"")</f>
        <v/>
      </c>
    </row>
    <row r="482" ht="14.5" spans="1:23">
      <c r="A482" s="4" t="str">
        <f>IFERROR(INDEX(样本到样信息汇总统计!A$2:A$500,MATCH(481,样本到样信息汇总统计!$Z$2:$Z$500,0)),"")</f>
        <v/>
      </c>
      <c r="B482" s="4" t="str">
        <f>IFERROR(INDEX(样本到样信息汇总统计!B$2:B$500,MATCH(481,样本到样信息汇总统计!$Z$2:$Z$500,0)),"")</f>
        <v/>
      </c>
      <c r="C482" s="4" t="str">
        <f>IFERROR(INDEX(样本到样信息汇总统计!C$2:C$500,MATCH(481,样本到样信息汇总统计!$Z$2:$Z$500,0)),"")</f>
        <v/>
      </c>
      <c r="D482" s="4" t="str">
        <f>IFERROR(INDEX(样本到样信息汇总统计!D$2:D$500,MATCH(481,样本到样信息汇总统计!$Z$2:$Z$500,0)),"")</f>
        <v/>
      </c>
      <c r="E482" s="4" t="str">
        <f>IFERROR(INDEX(样本到样信息汇总统计!E$2:E$500,MATCH(481,样本到样信息汇总统计!$Z$2:$Z$500,0)),"")</f>
        <v/>
      </c>
      <c r="F482" s="4" t="str">
        <f>IFERROR(INDEX(样本到样信息汇总统计!F$2:F$500,MATCH(481,样本到样信息汇总统计!$Z$2:$Z$500,0)),"")</f>
        <v/>
      </c>
      <c r="G482" s="4" t="str">
        <f>IFERROR(INDEX(样本到样信息汇总统计!G$2:G$500,MATCH(481,样本到样信息汇总统计!$Z$2:$Z$500,0)),"")</f>
        <v/>
      </c>
      <c r="H482" s="4" t="str">
        <f>IFERROR(INDEX(样本到样信息汇总统计!H$2:H$500,MATCH(481,样本到样信息汇总统计!$Z$2:$Z$500,0)),"")</f>
        <v/>
      </c>
      <c r="I482" s="4" t="str">
        <f>IFERROR(INDEX(样本到样信息汇总统计!I$2:I$500,MATCH(481,样本到样信息汇总统计!$Z$2:$Z$500,0)),"")</f>
        <v/>
      </c>
      <c r="J482" s="4" t="str">
        <f>IFERROR(INDEX(样本到样信息汇总统计!J$2:J$500,MATCH(481,样本到样信息汇总统计!$Z$2:$Z$500,0)),"")</f>
        <v/>
      </c>
      <c r="K482" s="4" t="str">
        <f>IFERROR(INDEX(样本到样信息汇总统计!K$2:K$500,MATCH(481,样本到样信息汇总统计!$Z$2:$Z$500,0)),"")</f>
        <v/>
      </c>
      <c r="L482" s="4" t="str">
        <f>IFERROR(INDEX(样本到样信息汇总统计!L$2:L$500,MATCH(481,样本到样信息汇总统计!$Z$2:$Z$500,0)),"")</f>
        <v/>
      </c>
      <c r="M482" s="4" t="str">
        <f>IFERROR(INDEX(样本到样信息汇总统计!M$2:M$500,MATCH(481,样本到样信息汇总统计!$Z$2:$Z$500,0)),"")</f>
        <v/>
      </c>
      <c r="N482" s="4" t="str">
        <f>IFERROR(INDEX(样本到样信息汇总统计!N$2:N$500,MATCH(481,样本到样信息汇总统计!$Z$2:$Z$500,0)),"")</f>
        <v/>
      </c>
      <c r="O482" s="4" t="str">
        <f>IFERROR(INDEX(样本到样信息汇总统计!O$2:O$500,MATCH(481,样本到样信息汇总统计!$Z$2:$Z$500,0)),"")</f>
        <v/>
      </c>
      <c r="P482" s="4" t="str">
        <f>IFERROR(INDEX(样本到样信息汇总统计!P$2:P$500,MATCH(481,样本到样信息汇总统计!$Z$2:$Z$500,0)),"")</f>
        <v/>
      </c>
      <c r="Q482" s="4" t="str">
        <f>IFERROR(INDEX(样本到样信息汇总统计!Q$2:Q$500,MATCH(481,样本到样信息汇总统计!$Z$2:$Z$500,0)),"")</f>
        <v/>
      </c>
      <c r="R482" s="4" t="str">
        <f>IFERROR(INDEX(样本到样信息汇总统计!R$2:R$500,MATCH(481,样本到样信息汇总统计!$Z$2:$Z$500,0)),"")</f>
        <v/>
      </c>
      <c r="S482" s="4" t="str">
        <f>IFERROR(INDEX(样本到样信息汇总统计!S$2:S$500,MATCH(481,样本到样信息汇总统计!$Z$2:$Z$500,0)),"")</f>
        <v/>
      </c>
      <c r="T482" s="4" t="str">
        <f>IFERROR(INDEX(样本到样信息汇总统计!T$2:T$500,MATCH(481,样本到样信息汇总统计!$Z$2:$Z$500,0)),"")</f>
        <v/>
      </c>
      <c r="U482" s="4" t="str">
        <f>IFERROR(INDEX(样本到样信息汇总统计!U$2:U$500,MATCH(481,样本到样信息汇总统计!$Z$2:$Z$500,0)),"")</f>
        <v/>
      </c>
      <c r="V482" s="4" t="str">
        <f>IFERROR(INDEX(样本到样信息汇总统计!V$2:V$500,MATCH(481,样本到样信息汇总统计!$Z$2:$Z$500,0)),"")</f>
        <v/>
      </c>
      <c r="W482" s="4" t="str">
        <f>IFERROR(INDEX(样本到样信息汇总统计!W$2:W$500,MATCH(481,样本到样信息汇总统计!$Z$2:$Z$500,0)),"")</f>
        <v/>
      </c>
    </row>
    <row r="483" ht="14.5" spans="1:23">
      <c r="A483" s="8" t="str">
        <f>IFERROR(INDEX(样本到样信息汇总统计!A$2:A$500,MATCH(482,样本到样信息汇总统计!$Z$2:$Z$500,0)),"")</f>
        <v/>
      </c>
      <c r="B483" s="8" t="str">
        <f>IFERROR(INDEX(样本到样信息汇总统计!B$2:B$500,MATCH(482,样本到样信息汇总统计!$Z$2:$Z$500,0)),"")</f>
        <v/>
      </c>
      <c r="C483" s="8" t="str">
        <f>IFERROR(INDEX(样本到样信息汇总统计!C$2:C$500,MATCH(482,样本到样信息汇总统计!$Z$2:$Z$500,0)),"")</f>
        <v/>
      </c>
      <c r="D483" s="8" t="str">
        <f>IFERROR(INDEX(样本到样信息汇总统计!D$2:D$500,MATCH(482,样本到样信息汇总统计!$Z$2:$Z$500,0)),"")</f>
        <v/>
      </c>
      <c r="E483" s="8" t="str">
        <f>IFERROR(INDEX(样本到样信息汇总统计!E$2:E$500,MATCH(482,样本到样信息汇总统计!$Z$2:$Z$500,0)),"")</f>
        <v/>
      </c>
      <c r="F483" s="8" t="str">
        <f>IFERROR(INDEX(样本到样信息汇总统计!F$2:F$500,MATCH(482,样本到样信息汇总统计!$Z$2:$Z$500,0)),"")</f>
        <v/>
      </c>
      <c r="G483" s="8" t="str">
        <f>IFERROR(INDEX(样本到样信息汇总统计!G$2:G$500,MATCH(482,样本到样信息汇总统计!$Z$2:$Z$500,0)),"")</f>
        <v/>
      </c>
      <c r="H483" s="8" t="str">
        <f>IFERROR(INDEX(样本到样信息汇总统计!H$2:H$500,MATCH(482,样本到样信息汇总统计!$Z$2:$Z$500,0)),"")</f>
        <v/>
      </c>
      <c r="I483" s="8" t="str">
        <f>IFERROR(INDEX(样本到样信息汇总统计!I$2:I$500,MATCH(482,样本到样信息汇总统计!$Z$2:$Z$500,0)),"")</f>
        <v/>
      </c>
      <c r="J483" s="8" t="str">
        <f>IFERROR(INDEX(样本到样信息汇总统计!J$2:J$500,MATCH(482,样本到样信息汇总统计!$Z$2:$Z$500,0)),"")</f>
        <v/>
      </c>
      <c r="K483" s="8" t="str">
        <f>IFERROR(INDEX(样本到样信息汇总统计!K$2:K$500,MATCH(482,样本到样信息汇总统计!$Z$2:$Z$500,0)),"")</f>
        <v/>
      </c>
      <c r="L483" s="8" t="str">
        <f>IFERROR(INDEX(样本到样信息汇总统计!L$2:L$500,MATCH(482,样本到样信息汇总统计!$Z$2:$Z$500,0)),"")</f>
        <v/>
      </c>
      <c r="M483" s="8" t="str">
        <f>IFERROR(INDEX(样本到样信息汇总统计!M$2:M$500,MATCH(482,样本到样信息汇总统计!$Z$2:$Z$500,0)),"")</f>
        <v/>
      </c>
      <c r="N483" s="8" t="str">
        <f>IFERROR(INDEX(样本到样信息汇总统计!N$2:N$500,MATCH(482,样本到样信息汇总统计!$Z$2:$Z$500,0)),"")</f>
        <v/>
      </c>
      <c r="O483" s="8" t="str">
        <f>IFERROR(INDEX(样本到样信息汇总统计!O$2:O$500,MATCH(482,样本到样信息汇总统计!$Z$2:$Z$500,0)),"")</f>
        <v/>
      </c>
      <c r="P483" s="8" t="str">
        <f>IFERROR(INDEX(样本到样信息汇总统计!P$2:P$500,MATCH(482,样本到样信息汇总统计!$Z$2:$Z$500,0)),"")</f>
        <v/>
      </c>
      <c r="Q483" s="8" t="str">
        <f>IFERROR(INDEX(样本到样信息汇总统计!Q$2:Q$500,MATCH(482,样本到样信息汇总统计!$Z$2:$Z$500,0)),"")</f>
        <v/>
      </c>
      <c r="R483" s="8" t="str">
        <f>IFERROR(INDEX(样本到样信息汇总统计!R$2:R$500,MATCH(482,样本到样信息汇总统计!$Z$2:$Z$500,0)),"")</f>
        <v/>
      </c>
      <c r="S483" s="8" t="str">
        <f>IFERROR(INDEX(样本到样信息汇总统计!S$2:S$500,MATCH(482,样本到样信息汇总统计!$Z$2:$Z$500,0)),"")</f>
        <v/>
      </c>
      <c r="T483" s="8" t="str">
        <f>IFERROR(INDEX(样本到样信息汇总统计!T$2:T$500,MATCH(482,样本到样信息汇总统计!$Z$2:$Z$500,0)),"")</f>
        <v/>
      </c>
      <c r="U483" s="8" t="str">
        <f>IFERROR(INDEX(样本到样信息汇总统计!U$2:U$500,MATCH(482,样本到样信息汇总统计!$Z$2:$Z$500,0)),"")</f>
        <v/>
      </c>
      <c r="V483" s="8" t="str">
        <f>IFERROR(INDEX(样本到样信息汇总统计!V$2:V$500,MATCH(482,样本到样信息汇总统计!$Z$2:$Z$500,0)),"")</f>
        <v/>
      </c>
      <c r="W483" s="8" t="str">
        <f>IFERROR(INDEX(样本到样信息汇总统计!W$2:W$500,MATCH(482,样本到样信息汇总统计!$Z$2:$Z$500,0)),"")</f>
        <v/>
      </c>
    </row>
    <row r="484" ht="14.5" spans="1:23">
      <c r="A484" s="4" t="str">
        <f>IFERROR(INDEX(样本到样信息汇总统计!A$2:A$500,MATCH(483,样本到样信息汇总统计!$Z$2:$Z$500,0)),"")</f>
        <v/>
      </c>
      <c r="B484" s="4" t="str">
        <f>IFERROR(INDEX(样本到样信息汇总统计!B$2:B$500,MATCH(483,样本到样信息汇总统计!$Z$2:$Z$500,0)),"")</f>
        <v/>
      </c>
      <c r="C484" s="4" t="str">
        <f>IFERROR(INDEX(样本到样信息汇总统计!C$2:C$500,MATCH(483,样本到样信息汇总统计!$Z$2:$Z$500,0)),"")</f>
        <v/>
      </c>
      <c r="D484" s="4" t="str">
        <f>IFERROR(INDEX(样本到样信息汇总统计!D$2:D$500,MATCH(483,样本到样信息汇总统计!$Z$2:$Z$500,0)),"")</f>
        <v/>
      </c>
      <c r="E484" s="4" t="str">
        <f>IFERROR(INDEX(样本到样信息汇总统计!E$2:E$500,MATCH(483,样本到样信息汇总统计!$Z$2:$Z$500,0)),"")</f>
        <v/>
      </c>
      <c r="F484" s="4" t="str">
        <f>IFERROR(INDEX(样本到样信息汇总统计!F$2:F$500,MATCH(483,样本到样信息汇总统计!$Z$2:$Z$500,0)),"")</f>
        <v/>
      </c>
      <c r="G484" s="4" t="str">
        <f>IFERROR(INDEX(样本到样信息汇总统计!G$2:G$500,MATCH(483,样本到样信息汇总统计!$Z$2:$Z$500,0)),"")</f>
        <v/>
      </c>
      <c r="H484" s="4" t="str">
        <f>IFERROR(INDEX(样本到样信息汇总统计!H$2:H$500,MATCH(483,样本到样信息汇总统计!$Z$2:$Z$500,0)),"")</f>
        <v/>
      </c>
      <c r="I484" s="4" t="str">
        <f>IFERROR(INDEX(样本到样信息汇总统计!I$2:I$500,MATCH(483,样本到样信息汇总统计!$Z$2:$Z$500,0)),"")</f>
        <v/>
      </c>
      <c r="J484" s="4" t="str">
        <f>IFERROR(INDEX(样本到样信息汇总统计!J$2:J$500,MATCH(483,样本到样信息汇总统计!$Z$2:$Z$500,0)),"")</f>
        <v/>
      </c>
      <c r="K484" s="4" t="str">
        <f>IFERROR(INDEX(样本到样信息汇总统计!K$2:K$500,MATCH(483,样本到样信息汇总统计!$Z$2:$Z$500,0)),"")</f>
        <v/>
      </c>
      <c r="L484" s="4" t="str">
        <f>IFERROR(INDEX(样本到样信息汇总统计!L$2:L$500,MATCH(483,样本到样信息汇总统计!$Z$2:$Z$500,0)),"")</f>
        <v/>
      </c>
      <c r="M484" s="4" t="str">
        <f>IFERROR(INDEX(样本到样信息汇总统计!M$2:M$500,MATCH(483,样本到样信息汇总统计!$Z$2:$Z$500,0)),"")</f>
        <v/>
      </c>
      <c r="N484" s="4" t="str">
        <f>IFERROR(INDEX(样本到样信息汇总统计!N$2:N$500,MATCH(483,样本到样信息汇总统计!$Z$2:$Z$500,0)),"")</f>
        <v/>
      </c>
      <c r="O484" s="4" t="str">
        <f>IFERROR(INDEX(样本到样信息汇总统计!O$2:O$500,MATCH(483,样本到样信息汇总统计!$Z$2:$Z$500,0)),"")</f>
        <v/>
      </c>
      <c r="P484" s="4" t="str">
        <f>IFERROR(INDEX(样本到样信息汇总统计!P$2:P$500,MATCH(483,样本到样信息汇总统计!$Z$2:$Z$500,0)),"")</f>
        <v/>
      </c>
      <c r="Q484" s="4" t="str">
        <f>IFERROR(INDEX(样本到样信息汇总统计!Q$2:Q$500,MATCH(483,样本到样信息汇总统计!$Z$2:$Z$500,0)),"")</f>
        <v/>
      </c>
      <c r="R484" s="4" t="str">
        <f>IFERROR(INDEX(样本到样信息汇总统计!R$2:R$500,MATCH(483,样本到样信息汇总统计!$Z$2:$Z$500,0)),"")</f>
        <v/>
      </c>
      <c r="S484" s="4" t="str">
        <f>IFERROR(INDEX(样本到样信息汇总统计!S$2:S$500,MATCH(483,样本到样信息汇总统计!$Z$2:$Z$500,0)),"")</f>
        <v/>
      </c>
      <c r="T484" s="4" t="str">
        <f>IFERROR(INDEX(样本到样信息汇总统计!T$2:T$500,MATCH(483,样本到样信息汇总统计!$Z$2:$Z$500,0)),"")</f>
        <v/>
      </c>
      <c r="U484" s="4" t="str">
        <f>IFERROR(INDEX(样本到样信息汇总统计!U$2:U$500,MATCH(483,样本到样信息汇总统计!$Z$2:$Z$500,0)),"")</f>
        <v/>
      </c>
      <c r="V484" s="4" t="str">
        <f>IFERROR(INDEX(样本到样信息汇总统计!V$2:V$500,MATCH(483,样本到样信息汇总统计!$Z$2:$Z$500,0)),"")</f>
        <v/>
      </c>
      <c r="W484" s="4" t="str">
        <f>IFERROR(INDEX(样本到样信息汇总统计!W$2:W$500,MATCH(483,样本到样信息汇总统计!$Z$2:$Z$500,0)),"")</f>
        <v/>
      </c>
    </row>
    <row r="485" ht="14.5" spans="1:23">
      <c r="A485" s="8" t="str">
        <f>IFERROR(INDEX(样本到样信息汇总统计!A$2:A$500,MATCH(484,样本到样信息汇总统计!$Z$2:$Z$500,0)),"")</f>
        <v/>
      </c>
      <c r="B485" s="8" t="str">
        <f>IFERROR(INDEX(样本到样信息汇总统计!B$2:B$500,MATCH(484,样本到样信息汇总统计!$Z$2:$Z$500,0)),"")</f>
        <v/>
      </c>
      <c r="C485" s="8" t="str">
        <f>IFERROR(INDEX(样本到样信息汇总统计!C$2:C$500,MATCH(484,样本到样信息汇总统计!$Z$2:$Z$500,0)),"")</f>
        <v/>
      </c>
      <c r="D485" s="8" t="str">
        <f>IFERROR(INDEX(样本到样信息汇总统计!D$2:D$500,MATCH(484,样本到样信息汇总统计!$Z$2:$Z$500,0)),"")</f>
        <v/>
      </c>
      <c r="E485" s="8" t="str">
        <f>IFERROR(INDEX(样本到样信息汇总统计!E$2:E$500,MATCH(484,样本到样信息汇总统计!$Z$2:$Z$500,0)),"")</f>
        <v/>
      </c>
      <c r="F485" s="8" t="str">
        <f>IFERROR(INDEX(样本到样信息汇总统计!F$2:F$500,MATCH(484,样本到样信息汇总统计!$Z$2:$Z$500,0)),"")</f>
        <v/>
      </c>
      <c r="G485" s="8" t="str">
        <f>IFERROR(INDEX(样本到样信息汇总统计!G$2:G$500,MATCH(484,样本到样信息汇总统计!$Z$2:$Z$500,0)),"")</f>
        <v/>
      </c>
      <c r="H485" s="8" t="str">
        <f>IFERROR(INDEX(样本到样信息汇总统计!H$2:H$500,MATCH(484,样本到样信息汇总统计!$Z$2:$Z$500,0)),"")</f>
        <v/>
      </c>
      <c r="I485" s="8" t="str">
        <f>IFERROR(INDEX(样本到样信息汇总统计!I$2:I$500,MATCH(484,样本到样信息汇总统计!$Z$2:$Z$500,0)),"")</f>
        <v/>
      </c>
      <c r="J485" s="8" t="str">
        <f>IFERROR(INDEX(样本到样信息汇总统计!J$2:J$500,MATCH(484,样本到样信息汇总统计!$Z$2:$Z$500,0)),"")</f>
        <v/>
      </c>
      <c r="K485" s="8" t="str">
        <f>IFERROR(INDEX(样本到样信息汇总统计!K$2:K$500,MATCH(484,样本到样信息汇总统计!$Z$2:$Z$500,0)),"")</f>
        <v/>
      </c>
      <c r="L485" s="8" t="str">
        <f>IFERROR(INDEX(样本到样信息汇总统计!L$2:L$500,MATCH(484,样本到样信息汇总统计!$Z$2:$Z$500,0)),"")</f>
        <v/>
      </c>
      <c r="M485" s="8" t="str">
        <f>IFERROR(INDEX(样本到样信息汇总统计!M$2:M$500,MATCH(484,样本到样信息汇总统计!$Z$2:$Z$500,0)),"")</f>
        <v/>
      </c>
      <c r="N485" s="8" t="str">
        <f>IFERROR(INDEX(样本到样信息汇总统计!N$2:N$500,MATCH(484,样本到样信息汇总统计!$Z$2:$Z$500,0)),"")</f>
        <v/>
      </c>
      <c r="O485" s="8" t="str">
        <f>IFERROR(INDEX(样本到样信息汇总统计!O$2:O$500,MATCH(484,样本到样信息汇总统计!$Z$2:$Z$500,0)),"")</f>
        <v/>
      </c>
      <c r="P485" s="8" t="str">
        <f>IFERROR(INDEX(样本到样信息汇总统计!P$2:P$500,MATCH(484,样本到样信息汇总统计!$Z$2:$Z$500,0)),"")</f>
        <v/>
      </c>
      <c r="Q485" s="8" t="str">
        <f>IFERROR(INDEX(样本到样信息汇总统计!Q$2:Q$500,MATCH(484,样本到样信息汇总统计!$Z$2:$Z$500,0)),"")</f>
        <v/>
      </c>
      <c r="R485" s="8" t="str">
        <f>IFERROR(INDEX(样本到样信息汇总统计!R$2:R$500,MATCH(484,样本到样信息汇总统计!$Z$2:$Z$500,0)),"")</f>
        <v/>
      </c>
      <c r="S485" s="8" t="str">
        <f>IFERROR(INDEX(样本到样信息汇总统计!S$2:S$500,MATCH(484,样本到样信息汇总统计!$Z$2:$Z$500,0)),"")</f>
        <v/>
      </c>
      <c r="T485" s="8" t="str">
        <f>IFERROR(INDEX(样本到样信息汇总统计!T$2:T$500,MATCH(484,样本到样信息汇总统计!$Z$2:$Z$500,0)),"")</f>
        <v/>
      </c>
      <c r="U485" s="8" t="str">
        <f>IFERROR(INDEX(样本到样信息汇总统计!U$2:U$500,MATCH(484,样本到样信息汇总统计!$Z$2:$Z$500,0)),"")</f>
        <v/>
      </c>
      <c r="V485" s="8" t="str">
        <f>IFERROR(INDEX(样本到样信息汇总统计!V$2:V$500,MATCH(484,样本到样信息汇总统计!$Z$2:$Z$500,0)),"")</f>
        <v/>
      </c>
      <c r="W485" s="8" t="str">
        <f>IFERROR(INDEX(样本到样信息汇总统计!W$2:W$500,MATCH(484,样本到样信息汇总统计!$Z$2:$Z$500,0)),"")</f>
        <v/>
      </c>
    </row>
    <row r="486" ht="14.5" spans="1:23">
      <c r="A486" s="4" t="str">
        <f>IFERROR(INDEX(样本到样信息汇总统计!A$2:A$500,MATCH(485,样本到样信息汇总统计!$Z$2:$Z$500,0)),"")</f>
        <v/>
      </c>
      <c r="B486" s="4" t="str">
        <f>IFERROR(INDEX(样本到样信息汇总统计!B$2:B$500,MATCH(485,样本到样信息汇总统计!$Z$2:$Z$500,0)),"")</f>
        <v/>
      </c>
      <c r="C486" s="4" t="str">
        <f>IFERROR(INDEX(样本到样信息汇总统计!C$2:C$500,MATCH(485,样本到样信息汇总统计!$Z$2:$Z$500,0)),"")</f>
        <v/>
      </c>
      <c r="D486" s="4" t="str">
        <f>IFERROR(INDEX(样本到样信息汇总统计!D$2:D$500,MATCH(485,样本到样信息汇总统计!$Z$2:$Z$500,0)),"")</f>
        <v/>
      </c>
      <c r="E486" s="4" t="str">
        <f>IFERROR(INDEX(样本到样信息汇总统计!E$2:E$500,MATCH(485,样本到样信息汇总统计!$Z$2:$Z$500,0)),"")</f>
        <v/>
      </c>
      <c r="F486" s="4" t="str">
        <f>IFERROR(INDEX(样本到样信息汇总统计!F$2:F$500,MATCH(485,样本到样信息汇总统计!$Z$2:$Z$500,0)),"")</f>
        <v/>
      </c>
      <c r="G486" s="4" t="str">
        <f>IFERROR(INDEX(样本到样信息汇总统计!G$2:G$500,MATCH(485,样本到样信息汇总统计!$Z$2:$Z$500,0)),"")</f>
        <v/>
      </c>
      <c r="H486" s="4" t="str">
        <f>IFERROR(INDEX(样本到样信息汇总统计!H$2:H$500,MATCH(485,样本到样信息汇总统计!$Z$2:$Z$500,0)),"")</f>
        <v/>
      </c>
      <c r="I486" s="4" t="str">
        <f>IFERROR(INDEX(样本到样信息汇总统计!I$2:I$500,MATCH(485,样本到样信息汇总统计!$Z$2:$Z$500,0)),"")</f>
        <v/>
      </c>
      <c r="J486" s="4" t="str">
        <f>IFERROR(INDEX(样本到样信息汇总统计!J$2:J$500,MATCH(485,样本到样信息汇总统计!$Z$2:$Z$500,0)),"")</f>
        <v/>
      </c>
      <c r="K486" s="4" t="str">
        <f>IFERROR(INDEX(样本到样信息汇总统计!K$2:K$500,MATCH(485,样本到样信息汇总统计!$Z$2:$Z$500,0)),"")</f>
        <v/>
      </c>
      <c r="L486" s="4" t="str">
        <f>IFERROR(INDEX(样本到样信息汇总统计!L$2:L$500,MATCH(485,样本到样信息汇总统计!$Z$2:$Z$500,0)),"")</f>
        <v/>
      </c>
      <c r="M486" s="4" t="str">
        <f>IFERROR(INDEX(样本到样信息汇总统计!M$2:M$500,MATCH(485,样本到样信息汇总统计!$Z$2:$Z$500,0)),"")</f>
        <v/>
      </c>
      <c r="N486" s="4" t="str">
        <f>IFERROR(INDEX(样本到样信息汇总统计!N$2:N$500,MATCH(485,样本到样信息汇总统计!$Z$2:$Z$500,0)),"")</f>
        <v/>
      </c>
      <c r="O486" s="4" t="str">
        <f>IFERROR(INDEX(样本到样信息汇总统计!O$2:O$500,MATCH(485,样本到样信息汇总统计!$Z$2:$Z$500,0)),"")</f>
        <v/>
      </c>
      <c r="P486" s="4" t="str">
        <f>IFERROR(INDEX(样本到样信息汇总统计!P$2:P$500,MATCH(485,样本到样信息汇总统计!$Z$2:$Z$500,0)),"")</f>
        <v/>
      </c>
      <c r="Q486" s="4" t="str">
        <f>IFERROR(INDEX(样本到样信息汇总统计!Q$2:Q$500,MATCH(485,样本到样信息汇总统计!$Z$2:$Z$500,0)),"")</f>
        <v/>
      </c>
      <c r="R486" s="4" t="str">
        <f>IFERROR(INDEX(样本到样信息汇总统计!R$2:R$500,MATCH(485,样本到样信息汇总统计!$Z$2:$Z$500,0)),"")</f>
        <v/>
      </c>
      <c r="S486" s="4" t="str">
        <f>IFERROR(INDEX(样本到样信息汇总统计!S$2:S$500,MATCH(485,样本到样信息汇总统计!$Z$2:$Z$500,0)),"")</f>
        <v/>
      </c>
      <c r="T486" s="4" t="str">
        <f>IFERROR(INDEX(样本到样信息汇总统计!T$2:T$500,MATCH(485,样本到样信息汇总统计!$Z$2:$Z$500,0)),"")</f>
        <v/>
      </c>
      <c r="U486" s="4" t="str">
        <f>IFERROR(INDEX(样本到样信息汇总统计!U$2:U$500,MATCH(485,样本到样信息汇总统计!$Z$2:$Z$500,0)),"")</f>
        <v/>
      </c>
      <c r="V486" s="4" t="str">
        <f>IFERROR(INDEX(样本到样信息汇总统计!V$2:V$500,MATCH(485,样本到样信息汇总统计!$Z$2:$Z$500,0)),"")</f>
        <v/>
      </c>
      <c r="W486" s="4" t="str">
        <f>IFERROR(INDEX(样本到样信息汇总统计!W$2:W$500,MATCH(485,样本到样信息汇总统计!$Z$2:$Z$500,0)),"")</f>
        <v/>
      </c>
    </row>
    <row r="487" ht="14.5" spans="1:23">
      <c r="A487" s="8" t="str">
        <f>IFERROR(INDEX(样本到样信息汇总统计!A$2:A$500,MATCH(486,样本到样信息汇总统计!$Z$2:$Z$500,0)),"")</f>
        <v/>
      </c>
      <c r="B487" s="8" t="str">
        <f>IFERROR(INDEX(样本到样信息汇总统计!B$2:B$500,MATCH(486,样本到样信息汇总统计!$Z$2:$Z$500,0)),"")</f>
        <v/>
      </c>
      <c r="C487" s="8" t="str">
        <f>IFERROR(INDEX(样本到样信息汇总统计!C$2:C$500,MATCH(486,样本到样信息汇总统计!$Z$2:$Z$500,0)),"")</f>
        <v/>
      </c>
      <c r="D487" s="8" t="str">
        <f>IFERROR(INDEX(样本到样信息汇总统计!D$2:D$500,MATCH(486,样本到样信息汇总统计!$Z$2:$Z$500,0)),"")</f>
        <v/>
      </c>
      <c r="E487" s="8" t="str">
        <f>IFERROR(INDEX(样本到样信息汇总统计!E$2:E$500,MATCH(486,样本到样信息汇总统计!$Z$2:$Z$500,0)),"")</f>
        <v/>
      </c>
      <c r="F487" s="8" t="str">
        <f>IFERROR(INDEX(样本到样信息汇总统计!F$2:F$500,MATCH(486,样本到样信息汇总统计!$Z$2:$Z$500,0)),"")</f>
        <v/>
      </c>
      <c r="G487" s="8" t="str">
        <f>IFERROR(INDEX(样本到样信息汇总统计!G$2:G$500,MATCH(486,样本到样信息汇总统计!$Z$2:$Z$500,0)),"")</f>
        <v/>
      </c>
      <c r="H487" s="8" t="str">
        <f>IFERROR(INDEX(样本到样信息汇总统计!H$2:H$500,MATCH(486,样本到样信息汇总统计!$Z$2:$Z$500,0)),"")</f>
        <v/>
      </c>
      <c r="I487" s="8" t="str">
        <f>IFERROR(INDEX(样本到样信息汇总统计!I$2:I$500,MATCH(486,样本到样信息汇总统计!$Z$2:$Z$500,0)),"")</f>
        <v/>
      </c>
      <c r="J487" s="8" t="str">
        <f>IFERROR(INDEX(样本到样信息汇总统计!J$2:J$500,MATCH(486,样本到样信息汇总统计!$Z$2:$Z$500,0)),"")</f>
        <v/>
      </c>
      <c r="K487" s="8" t="str">
        <f>IFERROR(INDEX(样本到样信息汇总统计!K$2:K$500,MATCH(486,样本到样信息汇总统计!$Z$2:$Z$500,0)),"")</f>
        <v/>
      </c>
      <c r="L487" s="8" t="str">
        <f>IFERROR(INDEX(样本到样信息汇总统计!L$2:L$500,MATCH(486,样本到样信息汇总统计!$Z$2:$Z$500,0)),"")</f>
        <v/>
      </c>
      <c r="M487" s="8" t="str">
        <f>IFERROR(INDEX(样本到样信息汇总统计!M$2:M$500,MATCH(486,样本到样信息汇总统计!$Z$2:$Z$500,0)),"")</f>
        <v/>
      </c>
      <c r="N487" s="8" t="str">
        <f>IFERROR(INDEX(样本到样信息汇总统计!N$2:N$500,MATCH(486,样本到样信息汇总统计!$Z$2:$Z$500,0)),"")</f>
        <v/>
      </c>
      <c r="O487" s="8" t="str">
        <f>IFERROR(INDEX(样本到样信息汇总统计!O$2:O$500,MATCH(486,样本到样信息汇总统计!$Z$2:$Z$500,0)),"")</f>
        <v/>
      </c>
      <c r="P487" s="8" t="str">
        <f>IFERROR(INDEX(样本到样信息汇总统计!P$2:P$500,MATCH(486,样本到样信息汇总统计!$Z$2:$Z$500,0)),"")</f>
        <v/>
      </c>
      <c r="Q487" s="8" t="str">
        <f>IFERROR(INDEX(样本到样信息汇总统计!Q$2:Q$500,MATCH(486,样本到样信息汇总统计!$Z$2:$Z$500,0)),"")</f>
        <v/>
      </c>
      <c r="R487" s="8" t="str">
        <f>IFERROR(INDEX(样本到样信息汇总统计!R$2:R$500,MATCH(486,样本到样信息汇总统计!$Z$2:$Z$500,0)),"")</f>
        <v/>
      </c>
      <c r="S487" s="8" t="str">
        <f>IFERROR(INDEX(样本到样信息汇总统计!S$2:S$500,MATCH(486,样本到样信息汇总统计!$Z$2:$Z$500,0)),"")</f>
        <v/>
      </c>
      <c r="T487" s="8" t="str">
        <f>IFERROR(INDEX(样本到样信息汇总统计!T$2:T$500,MATCH(486,样本到样信息汇总统计!$Z$2:$Z$500,0)),"")</f>
        <v/>
      </c>
      <c r="U487" s="8" t="str">
        <f>IFERROR(INDEX(样本到样信息汇总统计!U$2:U$500,MATCH(486,样本到样信息汇总统计!$Z$2:$Z$500,0)),"")</f>
        <v/>
      </c>
      <c r="V487" s="8" t="str">
        <f>IFERROR(INDEX(样本到样信息汇总统计!V$2:V$500,MATCH(486,样本到样信息汇总统计!$Z$2:$Z$500,0)),"")</f>
        <v/>
      </c>
      <c r="W487" s="8" t="str">
        <f>IFERROR(INDEX(样本到样信息汇总统计!W$2:W$500,MATCH(486,样本到样信息汇总统计!$Z$2:$Z$500,0)),"")</f>
        <v/>
      </c>
    </row>
    <row r="488" ht="14.5" spans="1:23">
      <c r="A488" s="4" t="str">
        <f>IFERROR(INDEX(样本到样信息汇总统计!A$2:A$500,MATCH(487,样本到样信息汇总统计!$Z$2:$Z$500,0)),"")</f>
        <v/>
      </c>
      <c r="B488" s="4" t="str">
        <f>IFERROR(INDEX(样本到样信息汇总统计!B$2:B$500,MATCH(487,样本到样信息汇总统计!$Z$2:$Z$500,0)),"")</f>
        <v/>
      </c>
      <c r="C488" s="4" t="str">
        <f>IFERROR(INDEX(样本到样信息汇总统计!C$2:C$500,MATCH(487,样本到样信息汇总统计!$Z$2:$Z$500,0)),"")</f>
        <v/>
      </c>
      <c r="D488" s="4" t="str">
        <f>IFERROR(INDEX(样本到样信息汇总统计!D$2:D$500,MATCH(487,样本到样信息汇总统计!$Z$2:$Z$500,0)),"")</f>
        <v/>
      </c>
      <c r="E488" s="4" t="str">
        <f>IFERROR(INDEX(样本到样信息汇总统计!E$2:E$500,MATCH(487,样本到样信息汇总统计!$Z$2:$Z$500,0)),"")</f>
        <v/>
      </c>
      <c r="F488" s="4" t="str">
        <f>IFERROR(INDEX(样本到样信息汇总统计!F$2:F$500,MATCH(487,样本到样信息汇总统计!$Z$2:$Z$500,0)),"")</f>
        <v/>
      </c>
      <c r="G488" s="4" t="str">
        <f>IFERROR(INDEX(样本到样信息汇总统计!G$2:G$500,MATCH(487,样本到样信息汇总统计!$Z$2:$Z$500,0)),"")</f>
        <v/>
      </c>
      <c r="H488" s="4" t="str">
        <f>IFERROR(INDEX(样本到样信息汇总统计!H$2:H$500,MATCH(487,样本到样信息汇总统计!$Z$2:$Z$500,0)),"")</f>
        <v/>
      </c>
      <c r="I488" s="4" t="str">
        <f>IFERROR(INDEX(样本到样信息汇总统计!I$2:I$500,MATCH(487,样本到样信息汇总统计!$Z$2:$Z$500,0)),"")</f>
        <v/>
      </c>
      <c r="J488" s="4" t="str">
        <f>IFERROR(INDEX(样本到样信息汇总统计!J$2:J$500,MATCH(487,样本到样信息汇总统计!$Z$2:$Z$500,0)),"")</f>
        <v/>
      </c>
      <c r="K488" s="4" t="str">
        <f>IFERROR(INDEX(样本到样信息汇总统计!K$2:K$500,MATCH(487,样本到样信息汇总统计!$Z$2:$Z$500,0)),"")</f>
        <v/>
      </c>
      <c r="L488" s="4" t="str">
        <f>IFERROR(INDEX(样本到样信息汇总统计!L$2:L$500,MATCH(487,样本到样信息汇总统计!$Z$2:$Z$500,0)),"")</f>
        <v/>
      </c>
      <c r="M488" s="4" t="str">
        <f>IFERROR(INDEX(样本到样信息汇总统计!M$2:M$500,MATCH(487,样本到样信息汇总统计!$Z$2:$Z$500,0)),"")</f>
        <v/>
      </c>
      <c r="N488" s="4" t="str">
        <f>IFERROR(INDEX(样本到样信息汇总统计!N$2:N$500,MATCH(487,样本到样信息汇总统计!$Z$2:$Z$500,0)),"")</f>
        <v/>
      </c>
      <c r="O488" s="4" t="str">
        <f>IFERROR(INDEX(样本到样信息汇总统计!O$2:O$500,MATCH(487,样本到样信息汇总统计!$Z$2:$Z$500,0)),"")</f>
        <v/>
      </c>
      <c r="P488" s="4" t="str">
        <f>IFERROR(INDEX(样本到样信息汇总统计!P$2:P$500,MATCH(487,样本到样信息汇总统计!$Z$2:$Z$500,0)),"")</f>
        <v/>
      </c>
      <c r="Q488" s="4" t="str">
        <f>IFERROR(INDEX(样本到样信息汇总统计!Q$2:Q$500,MATCH(487,样本到样信息汇总统计!$Z$2:$Z$500,0)),"")</f>
        <v/>
      </c>
      <c r="R488" s="4" t="str">
        <f>IFERROR(INDEX(样本到样信息汇总统计!R$2:R$500,MATCH(487,样本到样信息汇总统计!$Z$2:$Z$500,0)),"")</f>
        <v/>
      </c>
      <c r="S488" s="4" t="str">
        <f>IFERROR(INDEX(样本到样信息汇总统计!S$2:S$500,MATCH(487,样本到样信息汇总统计!$Z$2:$Z$500,0)),"")</f>
        <v/>
      </c>
      <c r="T488" s="4" t="str">
        <f>IFERROR(INDEX(样本到样信息汇总统计!T$2:T$500,MATCH(487,样本到样信息汇总统计!$Z$2:$Z$500,0)),"")</f>
        <v/>
      </c>
      <c r="U488" s="4" t="str">
        <f>IFERROR(INDEX(样本到样信息汇总统计!U$2:U$500,MATCH(487,样本到样信息汇总统计!$Z$2:$Z$500,0)),"")</f>
        <v/>
      </c>
      <c r="V488" s="4" t="str">
        <f>IFERROR(INDEX(样本到样信息汇总统计!V$2:V$500,MATCH(487,样本到样信息汇总统计!$Z$2:$Z$500,0)),"")</f>
        <v/>
      </c>
      <c r="W488" s="4" t="str">
        <f>IFERROR(INDEX(样本到样信息汇总统计!W$2:W$500,MATCH(487,样本到样信息汇总统计!$Z$2:$Z$500,0)),"")</f>
        <v/>
      </c>
    </row>
    <row r="489" ht="14.5" spans="1:23">
      <c r="A489" s="8" t="str">
        <f>IFERROR(INDEX(样本到样信息汇总统计!A$2:A$500,MATCH(488,样本到样信息汇总统计!$Z$2:$Z$500,0)),"")</f>
        <v/>
      </c>
      <c r="B489" s="8" t="str">
        <f>IFERROR(INDEX(样本到样信息汇总统计!B$2:B$500,MATCH(488,样本到样信息汇总统计!$Z$2:$Z$500,0)),"")</f>
        <v/>
      </c>
      <c r="C489" s="8" t="str">
        <f>IFERROR(INDEX(样本到样信息汇总统计!C$2:C$500,MATCH(488,样本到样信息汇总统计!$Z$2:$Z$500,0)),"")</f>
        <v/>
      </c>
      <c r="D489" s="8" t="str">
        <f>IFERROR(INDEX(样本到样信息汇总统计!D$2:D$500,MATCH(488,样本到样信息汇总统计!$Z$2:$Z$500,0)),"")</f>
        <v/>
      </c>
      <c r="E489" s="8" t="str">
        <f>IFERROR(INDEX(样本到样信息汇总统计!E$2:E$500,MATCH(488,样本到样信息汇总统计!$Z$2:$Z$500,0)),"")</f>
        <v/>
      </c>
      <c r="F489" s="8" t="str">
        <f>IFERROR(INDEX(样本到样信息汇总统计!F$2:F$500,MATCH(488,样本到样信息汇总统计!$Z$2:$Z$500,0)),"")</f>
        <v/>
      </c>
      <c r="G489" s="8" t="str">
        <f>IFERROR(INDEX(样本到样信息汇总统计!G$2:G$500,MATCH(488,样本到样信息汇总统计!$Z$2:$Z$500,0)),"")</f>
        <v/>
      </c>
      <c r="H489" s="8" t="str">
        <f>IFERROR(INDEX(样本到样信息汇总统计!H$2:H$500,MATCH(488,样本到样信息汇总统计!$Z$2:$Z$500,0)),"")</f>
        <v/>
      </c>
      <c r="I489" s="8" t="str">
        <f>IFERROR(INDEX(样本到样信息汇总统计!I$2:I$500,MATCH(488,样本到样信息汇总统计!$Z$2:$Z$500,0)),"")</f>
        <v/>
      </c>
      <c r="J489" s="8" t="str">
        <f>IFERROR(INDEX(样本到样信息汇总统计!J$2:J$500,MATCH(488,样本到样信息汇总统计!$Z$2:$Z$500,0)),"")</f>
        <v/>
      </c>
      <c r="K489" s="8" t="str">
        <f>IFERROR(INDEX(样本到样信息汇总统计!K$2:K$500,MATCH(488,样本到样信息汇总统计!$Z$2:$Z$500,0)),"")</f>
        <v/>
      </c>
      <c r="L489" s="8" t="str">
        <f>IFERROR(INDEX(样本到样信息汇总统计!L$2:L$500,MATCH(488,样本到样信息汇总统计!$Z$2:$Z$500,0)),"")</f>
        <v/>
      </c>
      <c r="M489" s="8" t="str">
        <f>IFERROR(INDEX(样本到样信息汇总统计!M$2:M$500,MATCH(488,样本到样信息汇总统计!$Z$2:$Z$500,0)),"")</f>
        <v/>
      </c>
      <c r="N489" s="8" t="str">
        <f>IFERROR(INDEX(样本到样信息汇总统计!N$2:N$500,MATCH(488,样本到样信息汇总统计!$Z$2:$Z$500,0)),"")</f>
        <v/>
      </c>
      <c r="O489" s="8" t="str">
        <f>IFERROR(INDEX(样本到样信息汇总统计!O$2:O$500,MATCH(488,样本到样信息汇总统计!$Z$2:$Z$500,0)),"")</f>
        <v/>
      </c>
      <c r="P489" s="8" t="str">
        <f>IFERROR(INDEX(样本到样信息汇总统计!P$2:P$500,MATCH(488,样本到样信息汇总统计!$Z$2:$Z$500,0)),"")</f>
        <v/>
      </c>
      <c r="Q489" s="8" t="str">
        <f>IFERROR(INDEX(样本到样信息汇总统计!Q$2:Q$500,MATCH(488,样本到样信息汇总统计!$Z$2:$Z$500,0)),"")</f>
        <v/>
      </c>
      <c r="R489" s="8" t="str">
        <f>IFERROR(INDEX(样本到样信息汇总统计!R$2:R$500,MATCH(488,样本到样信息汇总统计!$Z$2:$Z$500,0)),"")</f>
        <v/>
      </c>
      <c r="S489" s="8" t="str">
        <f>IFERROR(INDEX(样本到样信息汇总统计!S$2:S$500,MATCH(488,样本到样信息汇总统计!$Z$2:$Z$500,0)),"")</f>
        <v/>
      </c>
      <c r="T489" s="8" t="str">
        <f>IFERROR(INDEX(样本到样信息汇总统计!T$2:T$500,MATCH(488,样本到样信息汇总统计!$Z$2:$Z$500,0)),"")</f>
        <v/>
      </c>
      <c r="U489" s="8" t="str">
        <f>IFERROR(INDEX(样本到样信息汇总统计!U$2:U$500,MATCH(488,样本到样信息汇总统计!$Z$2:$Z$500,0)),"")</f>
        <v/>
      </c>
      <c r="V489" s="8" t="str">
        <f>IFERROR(INDEX(样本到样信息汇总统计!V$2:V$500,MATCH(488,样本到样信息汇总统计!$Z$2:$Z$500,0)),"")</f>
        <v/>
      </c>
      <c r="W489" s="8" t="str">
        <f>IFERROR(INDEX(样本到样信息汇总统计!W$2:W$500,MATCH(488,样本到样信息汇总统计!$Z$2:$Z$500,0)),"")</f>
        <v/>
      </c>
    </row>
    <row r="490" ht="14.5" spans="1:23">
      <c r="A490" s="4" t="str">
        <f>IFERROR(INDEX(样本到样信息汇总统计!A$2:A$500,MATCH(489,样本到样信息汇总统计!$Z$2:$Z$500,0)),"")</f>
        <v/>
      </c>
      <c r="B490" s="4" t="str">
        <f>IFERROR(INDEX(样本到样信息汇总统计!B$2:B$500,MATCH(489,样本到样信息汇总统计!$Z$2:$Z$500,0)),"")</f>
        <v/>
      </c>
      <c r="C490" s="4" t="str">
        <f>IFERROR(INDEX(样本到样信息汇总统计!C$2:C$500,MATCH(489,样本到样信息汇总统计!$Z$2:$Z$500,0)),"")</f>
        <v/>
      </c>
      <c r="D490" s="4" t="str">
        <f>IFERROR(INDEX(样本到样信息汇总统计!D$2:D$500,MATCH(489,样本到样信息汇总统计!$Z$2:$Z$500,0)),"")</f>
        <v/>
      </c>
      <c r="E490" s="4" t="str">
        <f>IFERROR(INDEX(样本到样信息汇总统计!E$2:E$500,MATCH(489,样本到样信息汇总统计!$Z$2:$Z$500,0)),"")</f>
        <v/>
      </c>
      <c r="F490" s="4" t="str">
        <f>IFERROR(INDEX(样本到样信息汇总统计!F$2:F$500,MATCH(489,样本到样信息汇总统计!$Z$2:$Z$500,0)),"")</f>
        <v/>
      </c>
      <c r="G490" s="4" t="str">
        <f>IFERROR(INDEX(样本到样信息汇总统计!G$2:G$500,MATCH(489,样本到样信息汇总统计!$Z$2:$Z$500,0)),"")</f>
        <v/>
      </c>
      <c r="H490" s="4" t="str">
        <f>IFERROR(INDEX(样本到样信息汇总统计!H$2:H$500,MATCH(489,样本到样信息汇总统计!$Z$2:$Z$500,0)),"")</f>
        <v/>
      </c>
      <c r="I490" s="4" t="str">
        <f>IFERROR(INDEX(样本到样信息汇总统计!I$2:I$500,MATCH(489,样本到样信息汇总统计!$Z$2:$Z$500,0)),"")</f>
        <v/>
      </c>
      <c r="J490" s="4" t="str">
        <f>IFERROR(INDEX(样本到样信息汇总统计!J$2:J$500,MATCH(489,样本到样信息汇总统计!$Z$2:$Z$500,0)),"")</f>
        <v/>
      </c>
      <c r="K490" s="4" t="str">
        <f>IFERROR(INDEX(样本到样信息汇总统计!K$2:K$500,MATCH(489,样本到样信息汇总统计!$Z$2:$Z$500,0)),"")</f>
        <v/>
      </c>
      <c r="L490" s="4" t="str">
        <f>IFERROR(INDEX(样本到样信息汇总统计!L$2:L$500,MATCH(489,样本到样信息汇总统计!$Z$2:$Z$500,0)),"")</f>
        <v/>
      </c>
      <c r="M490" s="4" t="str">
        <f>IFERROR(INDEX(样本到样信息汇总统计!M$2:M$500,MATCH(489,样本到样信息汇总统计!$Z$2:$Z$500,0)),"")</f>
        <v/>
      </c>
      <c r="N490" s="4" t="str">
        <f>IFERROR(INDEX(样本到样信息汇总统计!N$2:N$500,MATCH(489,样本到样信息汇总统计!$Z$2:$Z$500,0)),"")</f>
        <v/>
      </c>
      <c r="O490" s="4" t="str">
        <f>IFERROR(INDEX(样本到样信息汇总统计!O$2:O$500,MATCH(489,样本到样信息汇总统计!$Z$2:$Z$500,0)),"")</f>
        <v/>
      </c>
      <c r="P490" s="4" t="str">
        <f>IFERROR(INDEX(样本到样信息汇总统计!P$2:P$500,MATCH(489,样本到样信息汇总统计!$Z$2:$Z$500,0)),"")</f>
        <v/>
      </c>
      <c r="Q490" s="4" t="str">
        <f>IFERROR(INDEX(样本到样信息汇总统计!Q$2:Q$500,MATCH(489,样本到样信息汇总统计!$Z$2:$Z$500,0)),"")</f>
        <v/>
      </c>
      <c r="R490" s="4" t="str">
        <f>IFERROR(INDEX(样本到样信息汇总统计!R$2:R$500,MATCH(489,样本到样信息汇总统计!$Z$2:$Z$500,0)),"")</f>
        <v/>
      </c>
      <c r="S490" s="4" t="str">
        <f>IFERROR(INDEX(样本到样信息汇总统计!S$2:S$500,MATCH(489,样本到样信息汇总统计!$Z$2:$Z$500,0)),"")</f>
        <v/>
      </c>
      <c r="T490" s="4" t="str">
        <f>IFERROR(INDEX(样本到样信息汇总统计!T$2:T$500,MATCH(489,样本到样信息汇总统计!$Z$2:$Z$500,0)),"")</f>
        <v/>
      </c>
      <c r="U490" s="4" t="str">
        <f>IFERROR(INDEX(样本到样信息汇总统计!U$2:U$500,MATCH(489,样本到样信息汇总统计!$Z$2:$Z$500,0)),"")</f>
        <v/>
      </c>
      <c r="V490" s="4" t="str">
        <f>IFERROR(INDEX(样本到样信息汇总统计!V$2:V$500,MATCH(489,样本到样信息汇总统计!$Z$2:$Z$500,0)),"")</f>
        <v/>
      </c>
      <c r="W490" s="4" t="str">
        <f>IFERROR(INDEX(样本到样信息汇总统计!W$2:W$500,MATCH(489,样本到样信息汇总统计!$Z$2:$Z$500,0)),"")</f>
        <v/>
      </c>
    </row>
    <row r="491" ht="14.5" spans="1:23">
      <c r="A491" s="8" t="str">
        <f>IFERROR(INDEX(样本到样信息汇总统计!A$2:A$500,MATCH(490,样本到样信息汇总统计!$Z$2:$Z$500,0)),"")</f>
        <v/>
      </c>
      <c r="B491" s="8" t="str">
        <f>IFERROR(INDEX(样本到样信息汇总统计!B$2:B$500,MATCH(490,样本到样信息汇总统计!$Z$2:$Z$500,0)),"")</f>
        <v/>
      </c>
      <c r="C491" s="8" t="str">
        <f>IFERROR(INDEX(样本到样信息汇总统计!C$2:C$500,MATCH(490,样本到样信息汇总统计!$Z$2:$Z$500,0)),"")</f>
        <v/>
      </c>
      <c r="D491" s="8" t="str">
        <f>IFERROR(INDEX(样本到样信息汇总统计!D$2:D$500,MATCH(490,样本到样信息汇总统计!$Z$2:$Z$500,0)),"")</f>
        <v/>
      </c>
      <c r="E491" s="8" t="str">
        <f>IFERROR(INDEX(样本到样信息汇总统计!E$2:E$500,MATCH(490,样本到样信息汇总统计!$Z$2:$Z$500,0)),"")</f>
        <v/>
      </c>
      <c r="F491" s="8" t="str">
        <f>IFERROR(INDEX(样本到样信息汇总统计!F$2:F$500,MATCH(490,样本到样信息汇总统计!$Z$2:$Z$500,0)),"")</f>
        <v/>
      </c>
      <c r="G491" s="8" t="str">
        <f>IFERROR(INDEX(样本到样信息汇总统计!G$2:G$500,MATCH(490,样本到样信息汇总统计!$Z$2:$Z$500,0)),"")</f>
        <v/>
      </c>
      <c r="H491" s="8" t="str">
        <f>IFERROR(INDEX(样本到样信息汇总统计!H$2:H$500,MATCH(490,样本到样信息汇总统计!$Z$2:$Z$500,0)),"")</f>
        <v/>
      </c>
      <c r="I491" s="8" t="str">
        <f>IFERROR(INDEX(样本到样信息汇总统计!I$2:I$500,MATCH(490,样本到样信息汇总统计!$Z$2:$Z$500,0)),"")</f>
        <v/>
      </c>
      <c r="J491" s="8" t="str">
        <f>IFERROR(INDEX(样本到样信息汇总统计!J$2:J$500,MATCH(490,样本到样信息汇总统计!$Z$2:$Z$500,0)),"")</f>
        <v/>
      </c>
      <c r="K491" s="8" t="str">
        <f>IFERROR(INDEX(样本到样信息汇总统计!K$2:K$500,MATCH(490,样本到样信息汇总统计!$Z$2:$Z$500,0)),"")</f>
        <v/>
      </c>
      <c r="L491" s="8" t="str">
        <f>IFERROR(INDEX(样本到样信息汇总统计!L$2:L$500,MATCH(490,样本到样信息汇总统计!$Z$2:$Z$500,0)),"")</f>
        <v/>
      </c>
      <c r="M491" s="8" t="str">
        <f>IFERROR(INDEX(样本到样信息汇总统计!M$2:M$500,MATCH(490,样本到样信息汇总统计!$Z$2:$Z$500,0)),"")</f>
        <v/>
      </c>
      <c r="N491" s="8" t="str">
        <f>IFERROR(INDEX(样本到样信息汇总统计!N$2:N$500,MATCH(490,样本到样信息汇总统计!$Z$2:$Z$500,0)),"")</f>
        <v/>
      </c>
      <c r="O491" s="8" t="str">
        <f>IFERROR(INDEX(样本到样信息汇总统计!O$2:O$500,MATCH(490,样本到样信息汇总统计!$Z$2:$Z$500,0)),"")</f>
        <v/>
      </c>
      <c r="P491" s="8" t="str">
        <f>IFERROR(INDEX(样本到样信息汇总统计!P$2:P$500,MATCH(490,样本到样信息汇总统计!$Z$2:$Z$500,0)),"")</f>
        <v/>
      </c>
      <c r="Q491" s="8" t="str">
        <f>IFERROR(INDEX(样本到样信息汇总统计!Q$2:Q$500,MATCH(490,样本到样信息汇总统计!$Z$2:$Z$500,0)),"")</f>
        <v/>
      </c>
      <c r="R491" s="8" t="str">
        <f>IFERROR(INDEX(样本到样信息汇总统计!R$2:R$500,MATCH(490,样本到样信息汇总统计!$Z$2:$Z$500,0)),"")</f>
        <v/>
      </c>
      <c r="S491" s="8" t="str">
        <f>IFERROR(INDEX(样本到样信息汇总统计!S$2:S$500,MATCH(490,样本到样信息汇总统计!$Z$2:$Z$500,0)),"")</f>
        <v/>
      </c>
      <c r="T491" s="8" t="str">
        <f>IFERROR(INDEX(样本到样信息汇总统计!T$2:T$500,MATCH(490,样本到样信息汇总统计!$Z$2:$Z$500,0)),"")</f>
        <v/>
      </c>
      <c r="U491" s="8" t="str">
        <f>IFERROR(INDEX(样本到样信息汇总统计!U$2:U$500,MATCH(490,样本到样信息汇总统计!$Z$2:$Z$500,0)),"")</f>
        <v/>
      </c>
      <c r="V491" s="8" t="str">
        <f>IFERROR(INDEX(样本到样信息汇总统计!V$2:V$500,MATCH(490,样本到样信息汇总统计!$Z$2:$Z$500,0)),"")</f>
        <v/>
      </c>
      <c r="W491" s="8" t="str">
        <f>IFERROR(INDEX(样本到样信息汇总统计!W$2:W$500,MATCH(490,样本到样信息汇总统计!$Z$2:$Z$500,0)),"")</f>
        <v/>
      </c>
    </row>
    <row r="492" ht="14.5" spans="1:23">
      <c r="A492" s="4" t="str">
        <f>IFERROR(INDEX(样本到样信息汇总统计!A$2:A$500,MATCH(491,样本到样信息汇总统计!$Z$2:$Z$500,0)),"")</f>
        <v/>
      </c>
      <c r="B492" s="4" t="str">
        <f>IFERROR(INDEX(样本到样信息汇总统计!B$2:B$500,MATCH(491,样本到样信息汇总统计!$Z$2:$Z$500,0)),"")</f>
        <v/>
      </c>
      <c r="C492" s="4" t="str">
        <f>IFERROR(INDEX(样本到样信息汇总统计!C$2:C$500,MATCH(491,样本到样信息汇总统计!$Z$2:$Z$500,0)),"")</f>
        <v/>
      </c>
      <c r="D492" s="4" t="str">
        <f>IFERROR(INDEX(样本到样信息汇总统计!D$2:D$500,MATCH(491,样本到样信息汇总统计!$Z$2:$Z$500,0)),"")</f>
        <v/>
      </c>
      <c r="E492" s="4" t="str">
        <f>IFERROR(INDEX(样本到样信息汇总统计!E$2:E$500,MATCH(491,样本到样信息汇总统计!$Z$2:$Z$500,0)),"")</f>
        <v/>
      </c>
      <c r="F492" s="4" t="str">
        <f>IFERROR(INDEX(样本到样信息汇总统计!F$2:F$500,MATCH(491,样本到样信息汇总统计!$Z$2:$Z$500,0)),"")</f>
        <v/>
      </c>
      <c r="G492" s="4" t="str">
        <f>IFERROR(INDEX(样本到样信息汇总统计!G$2:G$500,MATCH(491,样本到样信息汇总统计!$Z$2:$Z$500,0)),"")</f>
        <v/>
      </c>
      <c r="H492" s="4" t="str">
        <f>IFERROR(INDEX(样本到样信息汇总统计!H$2:H$500,MATCH(491,样本到样信息汇总统计!$Z$2:$Z$500,0)),"")</f>
        <v/>
      </c>
      <c r="I492" s="4" t="str">
        <f>IFERROR(INDEX(样本到样信息汇总统计!I$2:I$500,MATCH(491,样本到样信息汇总统计!$Z$2:$Z$500,0)),"")</f>
        <v/>
      </c>
      <c r="J492" s="4" t="str">
        <f>IFERROR(INDEX(样本到样信息汇总统计!J$2:J$500,MATCH(491,样本到样信息汇总统计!$Z$2:$Z$500,0)),"")</f>
        <v/>
      </c>
      <c r="K492" s="4" t="str">
        <f>IFERROR(INDEX(样本到样信息汇总统计!K$2:K$500,MATCH(491,样本到样信息汇总统计!$Z$2:$Z$500,0)),"")</f>
        <v/>
      </c>
      <c r="L492" s="4" t="str">
        <f>IFERROR(INDEX(样本到样信息汇总统计!L$2:L$500,MATCH(491,样本到样信息汇总统计!$Z$2:$Z$500,0)),"")</f>
        <v/>
      </c>
      <c r="M492" s="4" t="str">
        <f>IFERROR(INDEX(样本到样信息汇总统计!M$2:M$500,MATCH(491,样本到样信息汇总统计!$Z$2:$Z$500,0)),"")</f>
        <v/>
      </c>
      <c r="N492" s="4" t="str">
        <f>IFERROR(INDEX(样本到样信息汇总统计!N$2:N$500,MATCH(491,样本到样信息汇总统计!$Z$2:$Z$500,0)),"")</f>
        <v/>
      </c>
      <c r="O492" s="4" t="str">
        <f>IFERROR(INDEX(样本到样信息汇总统计!O$2:O$500,MATCH(491,样本到样信息汇总统计!$Z$2:$Z$500,0)),"")</f>
        <v/>
      </c>
      <c r="P492" s="4" t="str">
        <f>IFERROR(INDEX(样本到样信息汇总统计!P$2:P$500,MATCH(491,样本到样信息汇总统计!$Z$2:$Z$500,0)),"")</f>
        <v/>
      </c>
      <c r="Q492" s="4" t="str">
        <f>IFERROR(INDEX(样本到样信息汇总统计!Q$2:Q$500,MATCH(491,样本到样信息汇总统计!$Z$2:$Z$500,0)),"")</f>
        <v/>
      </c>
      <c r="R492" s="4" t="str">
        <f>IFERROR(INDEX(样本到样信息汇总统计!R$2:R$500,MATCH(491,样本到样信息汇总统计!$Z$2:$Z$500,0)),"")</f>
        <v/>
      </c>
      <c r="S492" s="4" t="str">
        <f>IFERROR(INDEX(样本到样信息汇总统计!S$2:S$500,MATCH(491,样本到样信息汇总统计!$Z$2:$Z$500,0)),"")</f>
        <v/>
      </c>
      <c r="T492" s="4" t="str">
        <f>IFERROR(INDEX(样本到样信息汇总统计!T$2:T$500,MATCH(491,样本到样信息汇总统计!$Z$2:$Z$500,0)),"")</f>
        <v/>
      </c>
      <c r="U492" s="4" t="str">
        <f>IFERROR(INDEX(样本到样信息汇总统计!U$2:U$500,MATCH(491,样本到样信息汇总统计!$Z$2:$Z$500,0)),"")</f>
        <v/>
      </c>
      <c r="V492" s="4" t="str">
        <f>IFERROR(INDEX(样本到样信息汇总统计!V$2:V$500,MATCH(491,样本到样信息汇总统计!$Z$2:$Z$500,0)),"")</f>
        <v/>
      </c>
      <c r="W492" s="4" t="str">
        <f>IFERROR(INDEX(样本到样信息汇总统计!W$2:W$500,MATCH(491,样本到样信息汇总统计!$Z$2:$Z$500,0)),"")</f>
        <v/>
      </c>
    </row>
    <row r="493" ht="14.5" spans="1:23">
      <c r="A493" s="8" t="str">
        <f>IFERROR(INDEX(样本到样信息汇总统计!A$2:A$500,MATCH(492,样本到样信息汇总统计!$Z$2:$Z$500,0)),"")</f>
        <v/>
      </c>
      <c r="B493" s="8" t="str">
        <f>IFERROR(INDEX(样本到样信息汇总统计!B$2:B$500,MATCH(492,样本到样信息汇总统计!$Z$2:$Z$500,0)),"")</f>
        <v/>
      </c>
      <c r="C493" s="8" t="str">
        <f>IFERROR(INDEX(样本到样信息汇总统计!C$2:C$500,MATCH(492,样本到样信息汇总统计!$Z$2:$Z$500,0)),"")</f>
        <v/>
      </c>
      <c r="D493" s="8" t="str">
        <f>IFERROR(INDEX(样本到样信息汇总统计!D$2:D$500,MATCH(492,样本到样信息汇总统计!$Z$2:$Z$500,0)),"")</f>
        <v/>
      </c>
      <c r="E493" s="8" t="str">
        <f>IFERROR(INDEX(样本到样信息汇总统计!E$2:E$500,MATCH(492,样本到样信息汇总统计!$Z$2:$Z$500,0)),"")</f>
        <v/>
      </c>
      <c r="F493" s="8" t="str">
        <f>IFERROR(INDEX(样本到样信息汇总统计!F$2:F$500,MATCH(492,样本到样信息汇总统计!$Z$2:$Z$500,0)),"")</f>
        <v/>
      </c>
      <c r="G493" s="8" t="str">
        <f>IFERROR(INDEX(样本到样信息汇总统计!G$2:G$500,MATCH(492,样本到样信息汇总统计!$Z$2:$Z$500,0)),"")</f>
        <v/>
      </c>
      <c r="H493" s="8" t="str">
        <f>IFERROR(INDEX(样本到样信息汇总统计!H$2:H$500,MATCH(492,样本到样信息汇总统计!$Z$2:$Z$500,0)),"")</f>
        <v/>
      </c>
      <c r="I493" s="8" t="str">
        <f>IFERROR(INDEX(样本到样信息汇总统计!I$2:I$500,MATCH(492,样本到样信息汇总统计!$Z$2:$Z$500,0)),"")</f>
        <v/>
      </c>
      <c r="J493" s="8" t="str">
        <f>IFERROR(INDEX(样本到样信息汇总统计!J$2:J$500,MATCH(492,样本到样信息汇总统计!$Z$2:$Z$500,0)),"")</f>
        <v/>
      </c>
      <c r="K493" s="8" t="str">
        <f>IFERROR(INDEX(样本到样信息汇总统计!K$2:K$500,MATCH(492,样本到样信息汇总统计!$Z$2:$Z$500,0)),"")</f>
        <v/>
      </c>
      <c r="L493" s="8" t="str">
        <f>IFERROR(INDEX(样本到样信息汇总统计!L$2:L$500,MATCH(492,样本到样信息汇总统计!$Z$2:$Z$500,0)),"")</f>
        <v/>
      </c>
      <c r="M493" s="8" t="str">
        <f>IFERROR(INDEX(样本到样信息汇总统计!M$2:M$500,MATCH(492,样本到样信息汇总统计!$Z$2:$Z$500,0)),"")</f>
        <v/>
      </c>
      <c r="N493" s="8" t="str">
        <f>IFERROR(INDEX(样本到样信息汇总统计!N$2:N$500,MATCH(492,样本到样信息汇总统计!$Z$2:$Z$500,0)),"")</f>
        <v/>
      </c>
      <c r="O493" s="8" t="str">
        <f>IFERROR(INDEX(样本到样信息汇总统计!O$2:O$500,MATCH(492,样本到样信息汇总统计!$Z$2:$Z$500,0)),"")</f>
        <v/>
      </c>
      <c r="P493" s="8" t="str">
        <f>IFERROR(INDEX(样本到样信息汇总统计!P$2:P$500,MATCH(492,样本到样信息汇总统计!$Z$2:$Z$500,0)),"")</f>
        <v/>
      </c>
      <c r="Q493" s="8" t="str">
        <f>IFERROR(INDEX(样本到样信息汇总统计!Q$2:Q$500,MATCH(492,样本到样信息汇总统计!$Z$2:$Z$500,0)),"")</f>
        <v/>
      </c>
      <c r="R493" s="8" t="str">
        <f>IFERROR(INDEX(样本到样信息汇总统计!R$2:R$500,MATCH(492,样本到样信息汇总统计!$Z$2:$Z$500,0)),"")</f>
        <v/>
      </c>
      <c r="S493" s="8" t="str">
        <f>IFERROR(INDEX(样本到样信息汇总统计!S$2:S$500,MATCH(492,样本到样信息汇总统计!$Z$2:$Z$500,0)),"")</f>
        <v/>
      </c>
      <c r="T493" s="8" t="str">
        <f>IFERROR(INDEX(样本到样信息汇总统计!T$2:T$500,MATCH(492,样本到样信息汇总统计!$Z$2:$Z$500,0)),"")</f>
        <v/>
      </c>
      <c r="U493" s="8" t="str">
        <f>IFERROR(INDEX(样本到样信息汇总统计!U$2:U$500,MATCH(492,样本到样信息汇总统计!$Z$2:$Z$500,0)),"")</f>
        <v/>
      </c>
      <c r="V493" s="8" t="str">
        <f>IFERROR(INDEX(样本到样信息汇总统计!V$2:V$500,MATCH(492,样本到样信息汇总统计!$Z$2:$Z$500,0)),"")</f>
        <v/>
      </c>
      <c r="W493" s="8" t="str">
        <f>IFERROR(INDEX(样本到样信息汇总统计!W$2:W$500,MATCH(492,样本到样信息汇总统计!$Z$2:$Z$500,0)),"")</f>
        <v/>
      </c>
    </row>
    <row r="494" ht="14.5" spans="1:23">
      <c r="A494" s="4" t="str">
        <f>IFERROR(INDEX(样本到样信息汇总统计!A$2:A$500,MATCH(493,样本到样信息汇总统计!$Z$2:$Z$500,0)),"")</f>
        <v/>
      </c>
      <c r="B494" s="4" t="str">
        <f>IFERROR(INDEX(样本到样信息汇总统计!B$2:B$500,MATCH(493,样本到样信息汇总统计!$Z$2:$Z$500,0)),"")</f>
        <v/>
      </c>
      <c r="C494" s="4" t="str">
        <f>IFERROR(INDEX(样本到样信息汇总统计!C$2:C$500,MATCH(493,样本到样信息汇总统计!$Z$2:$Z$500,0)),"")</f>
        <v/>
      </c>
      <c r="D494" s="4" t="str">
        <f>IFERROR(INDEX(样本到样信息汇总统计!D$2:D$500,MATCH(493,样本到样信息汇总统计!$Z$2:$Z$500,0)),"")</f>
        <v/>
      </c>
      <c r="E494" s="4" t="str">
        <f>IFERROR(INDEX(样本到样信息汇总统计!E$2:E$500,MATCH(493,样本到样信息汇总统计!$Z$2:$Z$500,0)),"")</f>
        <v/>
      </c>
      <c r="F494" s="4" t="str">
        <f>IFERROR(INDEX(样本到样信息汇总统计!F$2:F$500,MATCH(493,样本到样信息汇总统计!$Z$2:$Z$500,0)),"")</f>
        <v/>
      </c>
      <c r="G494" s="4" t="str">
        <f>IFERROR(INDEX(样本到样信息汇总统计!G$2:G$500,MATCH(493,样本到样信息汇总统计!$Z$2:$Z$500,0)),"")</f>
        <v/>
      </c>
      <c r="H494" s="4" t="str">
        <f>IFERROR(INDEX(样本到样信息汇总统计!H$2:H$500,MATCH(493,样本到样信息汇总统计!$Z$2:$Z$500,0)),"")</f>
        <v/>
      </c>
      <c r="I494" s="4" t="str">
        <f>IFERROR(INDEX(样本到样信息汇总统计!I$2:I$500,MATCH(493,样本到样信息汇总统计!$Z$2:$Z$500,0)),"")</f>
        <v/>
      </c>
      <c r="J494" s="4" t="str">
        <f>IFERROR(INDEX(样本到样信息汇总统计!J$2:J$500,MATCH(493,样本到样信息汇总统计!$Z$2:$Z$500,0)),"")</f>
        <v/>
      </c>
      <c r="K494" s="4" t="str">
        <f>IFERROR(INDEX(样本到样信息汇总统计!K$2:K$500,MATCH(493,样本到样信息汇总统计!$Z$2:$Z$500,0)),"")</f>
        <v/>
      </c>
      <c r="L494" s="4" t="str">
        <f>IFERROR(INDEX(样本到样信息汇总统计!L$2:L$500,MATCH(493,样本到样信息汇总统计!$Z$2:$Z$500,0)),"")</f>
        <v/>
      </c>
      <c r="M494" s="4" t="str">
        <f>IFERROR(INDEX(样本到样信息汇总统计!M$2:M$500,MATCH(493,样本到样信息汇总统计!$Z$2:$Z$500,0)),"")</f>
        <v/>
      </c>
      <c r="N494" s="4" t="str">
        <f>IFERROR(INDEX(样本到样信息汇总统计!N$2:N$500,MATCH(493,样本到样信息汇总统计!$Z$2:$Z$500,0)),"")</f>
        <v/>
      </c>
      <c r="O494" s="4" t="str">
        <f>IFERROR(INDEX(样本到样信息汇总统计!O$2:O$500,MATCH(493,样本到样信息汇总统计!$Z$2:$Z$500,0)),"")</f>
        <v/>
      </c>
      <c r="P494" s="4" t="str">
        <f>IFERROR(INDEX(样本到样信息汇总统计!P$2:P$500,MATCH(493,样本到样信息汇总统计!$Z$2:$Z$500,0)),"")</f>
        <v/>
      </c>
      <c r="Q494" s="4" t="str">
        <f>IFERROR(INDEX(样本到样信息汇总统计!Q$2:Q$500,MATCH(493,样本到样信息汇总统计!$Z$2:$Z$500,0)),"")</f>
        <v/>
      </c>
      <c r="R494" s="4" t="str">
        <f>IFERROR(INDEX(样本到样信息汇总统计!R$2:R$500,MATCH(493,样本到样信息汇总统计!$Z$2:$Z$500,0)),"")</f>
        <v/>
      </c>
      <c r="S494" s="4" t="str">
        <f>IFERROR(INDEX(样本到样信息汇总统计!S$2:S$500,MATCH(493,样本到样信息汇总统计!$Z$2:$Z$500,0)),"")</f>
        <v/>
      </c>
      <c r="T494" s="4" t="str">
        <f>IFERROR(INDEX(样本到样信息汇总统计!T$2:T$500,MATCH(493,样本到样信息汇总统计!$Z$2:$Z$500,0)),"")</f>
        <v/>
      </c>
      <c r="U494" s="4" t="str">
        <f>IFERROR(INDEX(样本到样信息汇总统计!U$2:U$500,MATCH(493,样本到样信息汇总统计!$Z$2:$Z$500,0)),"")</f>
        <v/>
      </c>
      <c r="V494" s="4" t="str">
        <f>IFERROR(INDEX(样本到样信息汇总统计!V$2:V$500,MATCH(493,样本到样信息汇总统计!$Z$2:$Z$500,0)),"")</f>
        <v/>
      </c>
      <c r="W494" s="4" t="str">
        <f>IFERROR(INDEX(样本到样信息汇总统计!W$2:W$500,MATCH(493,样本到样信息汇总统计!$Z$2:$Z$500,0)),"")</f>
        <v/>
      </c>
    </row>
    <row r="495" ht="14.5" spans="1:23">
      <c r="A495" s="8" t="str">
        <f>IFERROR(INDEX(样本到样信息汇总统计!A$2:A$500,MATCH(494,样本到样信息汇总统计!$Z$2:$Z$500,0)),"")</f>
        <v/>
      </c>
      <c r="B495" s="8" t="str">
        <f>IFERROR(INDEX(样本到样信息汇总统计!B$2:B$500,MATCH(494,样本到样信息汇总统计!$Z$2:$Z$500,0)),"")</f>
        <v/>
      </c>
      <c r="C495" s="8" t="str">
        <f>IFERROR(INDEX(样本到样信息汇总统计!C$2:C$500,MATCH(494,样本到样信息汇总统计!$Z$2:$Z$500,0)),"")</f>
        <v/>
      </c>
      <c r="D495" s="8" t="str">
        <f>IFERROR(INDEX(样本到样信息汇总统计!D$2:D$500,MATCH(494,样本到样信息汇总统计!$Z$2:$Z$500,0)),"")</f>
        <v/>
      </c>
      <c r="E495" s="8" t="str">
        <f>IFERROR(INDEX(样本到样信息汇总统计!E$2:E$500,MATCH(494,样本到样信息汇总统计!$Z$2:$Z$500,0)),"")</f>
        <v/>
      </c>
      <c r="F495" s="8" t="str">
        <f>IFERROR(INDEX(样本到样信息汇总统计!F$2:F$500,MATCH(494,样本到样信息汇总统计!$Z$2:$Z$500,0)),"")</f>
        <v/>
      </c>
      <c r="G495" s="8" t="str">
        <f>IFERROR(INDEX(样本到样信息汇总统计!G$2:G$500,MATCH(494,样本到样信息汇总统计!$Z$2:$Z$500,0)),"")</f>
        <v/>
      </c>
      <c r="H495" s="8" t="str">
        <f>IFERROR(INDEX(样本到样信息汇总统计!H$2:H$500,MATCH(494,样本到样信息汇总统计!$Z$2:$Z$500,0)),"")</f>
        <v/>
      </c>
      <c r="I495" s="8" t="str">
        <f>IFERROR(INDEX(样本到样信息汇总统计!I$2:I$500,MATCH(494,样本到样信息汇总统计!$Z$2:$Z$500,0)),"")</f>
        <v/>
      </c>
      <c r="J495" s="8" t="str">
        <f>IFERROR(INDEX(样本到样信息汇总统计!J$2:J$500,MATCH(494,样本到样信息汇总统计!$Z$2:$Z$500,0)),"")</f>
        <v/>
      </c>
      <c r="K495" s="8" t="str">
        <f>IFERROR(INDEX(样本到样信息汇总统计!K$2:K$500,MATCH(494,样本到样信息汇总统计!$Z$2:$Z$500,0)),"")</f>
        <v/>
      </c>
      <c r="L495" s="8" t="str">
        <f>IFERROR(INDEX(样本到样信息汇总统计!L$2:L$500,MATCH(494,样本到样信息汇总统计!$Z$2:$Z$500,0)),"")</f>
        <v/>
      </c>
      <c r="M495" s="8" t="str">
        <f>IFERROR(INDEX(样本到样信息汇总统计!M$2:M$500,MATCH(494,样本到样信息汇总统计!$Z$2:$Z$500,0)),"")</f>
        <v/>
      </c>
      <c r="N495" s="8" t="str">
        <f>IFERROR(INDEX(样本到样信息汇总统计!N$2:N$500,MATCH(494,样本到样信息汇总统计!$Z$2:$Z$500,0)),"")</f>
        <v/>
      </c>
      <c r="O495" s="8" t="str">
        <f>IFERROR(INDEX(样本到样信息汇总统计!O$2:O$500,MATCH(494,样本到样信息汇总统计!$Z$2:$Z$500,0)),"")</f>
        <v/>
      </c>
      <c r="P495" s="8" t="str">
        <f>IFERROR(INDEX(样本到样信息汇总统计!P$2:P$500,MATCH(494,样本到样信息汇总统计!$Z$2:$Z$500,0)),"")</f>
        <v/>
      </c>
      <c r="Q495" s="8" t="str">
        <f>IFERROR(INDEX(样本到样信息汇总统计!Q$2:Q$500,MATCH(494,样本到样信息汇总统计!$Z$2:$Z$500,0)),"")</f>
        <v/>
      </c>
      <c r="R495" s="8" t="str">
        <f>IFERROR(INDEX(样本到样信息汇总统计!R$2:R$500,MATCH(494,样本到样信息汇总统计!$Z$2:$Z$500,0)),"")</f>
        <v/>
      </c>
      <c r="S495" s="8" t="str">
        <f>IFERROR(INDEX(样本到样信息汇总统计!S$2:S$500,MATCH(494,样本到样信息汇总统计!$Z$2:$Z$500,0)),"")</f>
        <v/>
      </c>
      <c r="T495" s="8" t="str">
        <f>IFERROR(INDEX(样本到样信息汇总统计!T$2:T$500,MATCH(494,样本到样信息汇总统计!$Z$2:$Z$500,0)),"")</f>
        <v/>
      </c>
      <c r="U495" s="8" t="str">
        <f>IFERROR(INDEX(样本到样信息汇总统计!U$2:U$500,MATCH(494,样本到样信息汇总统计!$Z$2:$Z$500,0)),"")</f>
        <v/>
      </c>
      <c r="V495" s="8" t="str">
        <f>IFERROR(INDEX(样本到样信息汇总统计!V$2:V$500,MATCH(494,样本到样信息汇总统计!$Z$2:$Z$500,0)),"")</f>
        <v/>
      </c>
      <c r="W495" s="8" t="str">
        <f>IFERROR(INDEX(样本到样信息汇总统计!W$2:W$500,MATCH(494,样本到样信息汇总统计!$Z$2:$Z$500,0)),"")</f>
        <v/>
      </c>
    </row>
    <row r="496" ht="14.5" spans="1:23">
      <c r="A496" s="4" t="str">
        <f>IFERROR(INDEX(样本到样信息汇总统计!A$2:A$500,MATCH(495,样本到样信息汇总统计!$Z$2:$Z$500,0)),"")</f>
        <v/>
      </c>
      <c r="B496" s="4" t="str">
        <f>IFERROR(INDEX(样本到样信息汇总统计!B$2:B$500,MATCH(495,样本到样信息汇总统计!$Z$2:$Z$500,0)),"")</f>
        <v/>
      </c>
      <c r="C496" s="4" t="str">
        <f>IFERROR(INDEX(样本到样信息汇总统计!C$2:C$500,MATCH(495,样本到样信息汇总统计!$Z$2:$Z$500,0)),"")</f>
        <v/>
      </c>
      <c r="D496" s="4" t="str">
        <f>IFERROR(INDEX(样本到样信息汇总统计!D$2:D$500,MATCH(495,样本到样信息汇总统计!$Z$2:$Z$500,0)),"")</f>
        <v/>
      </c>
      <c r="E496" s="4" t="str">
        <f>IFERROR(INDEX(样本到样信息汇总统计!E$2:E$500,MATCH(495,样本到样信息汇总统计!$Z$2:$Z$500,0)),"")</f>
        <v/>
      </c>
      <c r="F496" s="4" t="str">
        <f>IFERROR(INDEX(样本到样信息汇总统计!F$2:F$500,MATCH(495,样本到样信息汇总统计!$Z$2:$Z$500,0)),"")</f>
        <v/>
      </c>
      <c r="G496" s="4" t="str">
        <f>IFERROR(INDEX(样本到样信息汇总统计!G$2:G$500,MATCH(495,样本到样信息汇总统计!$Z$2:$Z$500,0)),"")</f>
        <v/>
      </c>
      <c r="H496" s="4" t="str">
        <f>IFERROR(INDEX(样本到样信息汇总统计!H$2:H$500,MATCH(495,样本到样信息汇总统计!$Z$2:$Z$500,0)),"")</f>
        <v/>
      </c>
      <c r="I496" s="4" t="str">
        <f>IFERROR(INDEX(样本到样信息汇总统计!I$2:I$500,MATCH(495,样本到样信息汇总统计!$Z$2:$Z$500,0)),"")</f>
        <v/>
      </c>
      <c r="J496" s="4" t="str">
        <f>IFERROR(INDEX(样本到样信息汇总统计!J$2:J$500,MATCH(495,样本到样信息汇总统计!$Z$2:$Z$500,0)),"")</f>
        <v/>
      </c>
      <c r="K496" s="4" t="str">
        <f>IFERROR(INDEX(样本到样信息汇总统计!K$2:K$500,MATCH(495,样本到样信息汇总统计!$Z$2:$Z$500,0)),"")</f>
        <v/>
      </c>
      <c r="L496" s="4" t="str">
        <f>IFERROR(INDEX(样本到样信息汇总统计!L$2:L$500,MATCH(495,样本到样信息汇总统计!$Z$2:$Z$500,0)),"")</f>
        <v/>
      </c>
      <c r="M496" s="4" t="str">
        <f>IFERROR(INDEX(样本到样信息汇总统计!M$2:M$500,MATCH(495,样本到样信息汇总统计!$Z$2:$Z$500,0)),"")</f>
        <v/>
      </c>
      <c r="N496" s="4" t="str">
        <f>IFERROR(INDEX(样本到样信息汇总统计!N$2:N$500,MATCH(495,样本到样信息汇总统计!$Z$2:$Z$500,0)),"")</f>
        <v/>
      </c>
      <c r="O496" s="4" t="str">
        <f>IFERROR(INDEX(样本到样信息汇总统计!O$2:O$500,MATCH(495,样本到样信息汇总统计!$Z$2:$Z$500,0)),"")</f>
        <v/>
      </c>
      <c r="P496" s="4" t="str">
        <f>IFERROR(INDEX(样本到样信息汇总统计!P$2:P$500,MATCH(495,样本到样信息汇总统计!$Z$2:$Z$500,0)),"")</f>
        <v/>
      </c>
      <c r="Q496" s="4" t="str">
        <f>IFERROR(INDEX(样本到样信息汇总统计!Q$2:Q$500,MATCH(495,样本到样信息汇总统计!$Z$2:$Z$500,0)),"")</f>
        <v/>
      </c>
      <c r="R496" s="4" t="str">
        <f>IFERROR(INDEX(样本到样信息汇总统计!R$2:R$500,MATCH(495,样本到样信息汇总统计!$Z$2:$Z$500,0)),"")</f>
        <v/>
      </c>
      <c r="S496" s="4" t="str">
        <f>IFERROR(INDEX(样本到样信息汇总统计!S$2:S$500,MATCH(495,样本到样信息汇总统计!$Z$2:$Z$500,0)),"")</f>
        <v/>
      </c>
      <c r="T496" s="4" t="str">
        <f>IFERROR(INDEX(样本到样信息汇总统计!T$2:T$500,MATCH(495,样本到样信息汇总统计!$Z$2:$Z$500,0)),"")</f>
        <v/>
      </c>
      <c r="U496" s="4" t="str">
        <f>IFERROR(INDEX(样本到样信息汇总统计!U$2:U$500,MATCH(495,样本到样信息汇总统计!$Z$2:$Z$500,0)),"")</f>
        <v/>
      </c>
      <c r="V496" s="4" t="str">
        <f>IFERROR(INDEX(样本到样信息汇总统计!V$2:V$500,MATCH(495,样本到样信息汇总统计!$Z$2:$Z$500,0)),"")</f>
        <v/>
      </c>
      <c r="W496" s="4" t="str">
        <f>IFERROR(INDEX(样本到样信息汇总统计!W$2:W$500,MATCH(495,样本到样信息汇总统计!$Z$2:$Z$500,0)),"")</f>
        <v/>
      </c>
    </row>
    <row r="497" ht="14.5" spans="1:23">
      <c r="A497" s="8" t="str">
        <f>IFERROR(INDEX(样本到样信息汇总统计!A$2:A$500,MATCH(496,样本到样信息汇总统计!$Z$2:$Z$500,0)),"")</f>
        <v/>
      </c>
      <c r="B497" s="8" t="str">
        <f>IFERROR(INDEX(样本到样信息汇总统计!B$2:B$500,MATCH(496,样本到样信息汇总统计!$Z$2:$Z$500,0)),"")</f>
        <v/>
      </c>
      <c r="C497" s="8" t="str">
        <f>IFERROR(INDEX(样本到样信息汇总统计!C$2:C$500,MATCH(496,样本到样信息汇总统计!$Z$2:$Z$500,0)),"")</f>
        <v/>
      </c>
      <c r="D497" s="8" t="str">
        <f>IFERROR(INDEX(样本到样信息汇总统计!D$2:D$500,MATCH(496,样本到样信息汇总统计!$Z$2:$Z$500,0)),"")</f>
        <v/>
      </c>
      <c r="E497" s="8" t="str">
        <f>IFERROR(INDEX(样本到样信息汇总统计!E$2:E$500,MATCH(496,样本到样信息汇总统计!$Z$2:$Z$500,0)),"")</f>
        <v/>
      </c>
      <c r="F497" s="8" t="str">
        <f>IFERROR(INDEX(样本到样信息汇总统计!F$2:F$500,MATCH(496,样本到样信息汇总统计!$Z$2:$Z$500,0)),"")</f>
        <v/>
      </c>
      <c r="G497" s="8" t="str">
        <f>IFERROR(INDEX(样本到样信息汇总统计!G$2:G$500,MATCH(496,样本到样信息汇总统计!$Z$2:$Z$500,0)),"")</f>
        <v/>
      </c>
      <c r="H497" s="8" t="str">
        <f>IFERROR(INDEX(样本到样信息汇总统计!H$2:H$500,MATCH(496,样本到样信息汇总统计!$Z$2:$Z$500,0)),"")</f>
        <v/>
      </c>
      <c r="I497" s="8" t="str">
        <f>IFERROR(INDEX(样本到样信息汇总统计!I$2:I$500,MATCH(496,样本到样信息汇总统计!$Z$2:$Z$500,0)),"")</f>
        <v/>
      </c>
      <c r="J497" s="8" t="str">
        <f>IFERROR(INDEX(样本到样信息汇总统计!J$2:J$500,MATCH(496,样本到样信息汇总统计!$Z$2:$Z$500,0)),"")</f>
        <v/>
      </c>
      <c r="K497" s="8" t="str">
        <f>IFERROR(INDEX(样本到样信息汇总统计!K$2:K$500,MATCH(496,样本到样信息汇总统计!$Z$2:$Z$500,0)),"")</f>
        <v/>
      </c>
      <c r="L497" s="8" t="str">
        <f>IFERROR(INDEX(样本到样信息汇总统计!L$2:L$500,MATCH(496,样本到样信息汇总统计!$Z$2:$Z$500,0)),"")</f>
        <v/>
      </c>
      <c r="M497" s="8" t="str">
        <f>IFERROR(INDEX(样本到样信息汇总统计!M$2:M$500,MATCH(496,样本到样信息汇总统计!$Z$2:$Z$500,0)),"")</f>
        <v/>
      </c>
      <c r="N497" s="8" t="str">
        <f>IFERROR(INDEX(样本到样信息汇总统计!N$2:N$500,MATCH(496,样本到样信息汇总统计!$Z$2:$Z$500,0)),"")</f>
        <v/>
      </c>
      <c r="O497" s="8" t="str">
        <f>IFERROR(INDEX(样本到样信息汇总统计!O$2:O$500,MATCH(496,样本到样信息汇总统计!$Z$2:$Z$500,0)),"")</f>
        <v/>
      </c>
      <c r="P497" s="8" t="str">
        <f>IFERROR(INDEX(样本到样信息汇总统计!P$2:P$500,MATCH(496,样本到样信息汇总统计!$Z$2:$Z$500,0)),"")</f>
        <v/>
      </c>
      <c r="Q497" s="8" t="str">
        <f>IFERROR(INDEX(样本到样信息汇总统计!Q$2:Q$500,MATCH(496,样本到样信息汇总统计!$Z$2:$Z$500,0)),"")</f>
        <v/>
      </c>
      <c r="R497" s="8" t="str">
        <f>IFERROR(INDEX(样本到样信息汇总统计!R$2:R$500,MATCH(496,样本到样信息汇总统计!$Z$2:$Z$500,0)),"")</f>
        <v/>
      </c>
      <c r="S497" s="8" t="str">
        <f>IFERROR(INDEX(样本到样信息汇总统计!S$2:S$500,MATCH(496,样本到样信息汇总统计!$Z$2:$Z$500,0)),"")</f>
        <v/>
      </c>
      <c r="T497" s="8" t="str">
        <f>IFERROR(INDEX(样本到样信息汇总统计!T$2:T$500,MATCH(496,样本到样信息汇总统计!$Z$2:$Z$500,0)),"")</f>
        <v/>
      </c>
      <c r="U497" s="8" t="str">
        <f>IFERROR(INDEX(样本到样信息汇总统计!U$2:U$500,MATCH(496,样本到样信息汇总统计!$Z$2:$Z$500,0)),"")</f>
        <v/>
      </c>
      <c r="V497" s="8" t="str">
        <f>IFERROR(INDEX(样本到样信息汇总统计!V$2:V$500,MATCH(496,样本到样信息汇总统计!$Z$2:$Z$500,0)),"")</f>
        <v/>
      </c>
      <c r="W497" s="8" t="str">
        <f>IFERROR(INDEX(样本到样信息汇总统计!W$2:W$500,MATCH(496,样本到样信息汇总统计!$Z$2:$Z$500,0)),"")</f>
        <v/>
      </c>
    </row>
    <row r="498" ht="14.5" spans="1:23">
      <c r="A498" s="4" t="str">
        <f>IFERROR(INDEX(样本到样信息汇总统计!A$2:A$500,MATCH(497,样本到样信息汇总统计!$Z$2:$Z$500,0)),"")</f>
        <v/>
      </c>
      <c r="B498" s="4" t="str">
        <f>IFERROR(INDEX(样本到样信息汇总统计!B$2:B$500,MATCH(497,样本到样信息汇总统计!$Z$2:$Z$500,0)),"")</f>
        <v/>
      </c>
      <c r="C498" s="4" t="str">
        <f>IFERROR(INDEX(样本到样信息汇总统计!C$2:C$500,MATCH(497,样本到样信息汇总统计!$Z$2:$Z$500,0)),"")</f>
        <v/>
      </c>
      <c r="D498" s="4" t="str">
        <f>IFERROR(INDEX(样本到样信息汇总统计!D$2:D$500,MATCH(497,样本到样信息汇总统计!$Z$2:$Z$500,0)),"")</f>
        <v/>
      </c>
      <c r="E498" s="4" t="str">
        <f>IFERROR(INDEX(样本到样信息汇总统计!E$2:E$500,MATCH(497,样本到样信息汇总统计!$Z$2:$Z$500,0)),"")</f>
        <v/>
      </c>
      <c r="F498" s="4" t="str">
        <f>IFERROR(INDEX(样本到样信息汇总统计!F$2:F$500,MATCH(497,样本到样信息汇总统计!$Z$2:$Z$500,0)),"")</f>
        <v/>
      </c>
      <c r="G498" s="4" t="str">
        <f>IFERROR(INDEX(样本到样信息汇总统计!G$2:G$500,MATCH(497,样本到样信息汇总统计!$Z$2:$Z$500,0)),"")</f>
        <v/>
      </c>
      <c r="H498" s="4" t="str">
        <f>IFERROR(INDEX(样本到样信息汇总统计!H$2:H$500,MATCH(497,样本到样信息汇总统计!$Z$2:$Z$500,0)),"")</f>
        <v/>
      </c>
      <c r="I498" s="4" t="str">
        <f>IFERROR(INDEX(样本到样信息汇总统计!I$2:I$500,MATCH(497,样本到样信息汇总统计!$Z$2:$Z$500,0)),"")</f>
        <v/>
      </c>
      <c r="J498" s="4" t="str">
        <f>IFERROR(INDEX(样本到样信息汇总统计!J$2:J$500,MATCH(497,样本到样信息汇总统计!$Z$2:$Z$500,0)),"")</f>
        <v/>
      </c>
      <c r="K498" s="4" t="str">
        <f>IFERROR(INDEX(样本到样信息汇总统计!K$2:K$500,MATCH(497,样本到样信息汇总统计!$Z$2:$Z$500,0)),"")</f>
        <v/>
      </c>
      <c r="L498" s="4" t="str">
        <f>IFERROR(INDEX(样本到样信息汇总统计!L$2:L$500,MATCH(497,样本到样信息汇总统计!$Z$2:$Z$500,0)),"")</f>
        <v/>
      </c>
      <c r="M498" s="4" t="str">
        <f>IFERROR(INDEX(样本到样信息汇总统计!M$2:M$500,MATCH(497,样本到样信息汇总统计!$Z$2:$Z$500,0)),"")</f>
        <v/>
      </c>
      <c r="N498" s="4" t="str">
        <f>IFERROR(INDEX(样本到样信息汇总统计!N$2:N$500,MATCH(497,样本到样信息汇总统计!$Z$2:$Z$500,0)),"")</f>
        <v/>
      </c>
      <c r="O498" s="4" t="str">
        <f>IFERROR(INDEX(样本到样信息汇总统计!O$2:O$500,MATCH(497,样本到样信息汇总统计!$Z$2:$Z$500,0)),"")</f>
        <v/>
      </c>
      <c r="P498" s="4" t="str">
        <f>IFERROR(INDEX(样本到样信息汇总统计!P$2:P$500,MATCH(497,样本到样信息汇总统计!$Z$2:$Z$500,0)),"")</f>
        <v/>
      </c>
      <c r="Q498" s="4" t="str">
        <f>IFERROR(INDEX(样本到样信息汇总统计!Q$2:Q$500,MATCH(497,样本到样信息汇总统计!$Z$2:$Z$500,0)),"")</f>
        <v/>
      </c>
      <c r="R498" s="4" t="str">
        <f>IFERROR(INDEX(样本到样信息汇总统计!R$2:R$500,MATCH(497,样本到样信息汇总统计!$Z$2:$Z$500,0)),"")</f>
        <v/>
      </c>
      <c r="S498" s="4" t="str">
        <f>IFERROR(INDEX(样本到样信息汇总统计!S$2:S$500,MATCH(497,样本到样信息汇总统计!$Z$2:$Z$500,0)),"")</f>
        <v/>
      </c>
      <c r="T498" s="4" t="str">
        <f>IFERROR(INDEX(样本到样信息汇总统计!T$2:T$500,MATCH(497,样本到样信息汇总统计!$Z$2:$Z$500,0)),"")</f>
        <v/>
      </c>
      <c r="U498" s="4" t="str">
        <f>IFERROR(INDEX(样本到样信息汇总统计!U$2:U$500,MATCH(497,样本到样信息汇总统计!$Z$2:$Z$500,0)),"")</f>
        <v/>
      </c>
      <c r="V498" s="4" t="str">
        <f>IFERROR(INDEX(样本到样信息汇总统计!V$2:V$500,MATCH(497,样本到样信息汇总统计!$Z$2:$Z$500,0)),"")</f>
        <v/>
      </c>
      <c r="W498" s="4" t="str">
        <f>IFERROR(INDEX(样本到样信息汇总统计!W$2:W$500,MATCH(497,样本到样信息汇总统计!$Z$2:$Z$500,0)),"")</f>
        <v/>
      </c>
    </row>
    <row r="499" ht="14.5" spans="1:23">
      <c r="A499" s="8" t="str">
        <f>IFERROR(INDEX(样本到样信息汇总统计!A$2:A$500,MATCH(498,样本到样信息汇总统计!$Z$2:$Z$500,0)),"")</f>
        <v/>
      </c>
      <c r="B499" s="8" t="str">
        <f>IFERROR(INDEX(样本到样信息汇总统计!B$2:B$500,MATCH(498,样本到样信息汇总统计!$Z$2:$Z$500,0)),"")</f>
        <v/>
      </c>
      <c r="C499" s="8" t="str">
        <f>IFERROR(INDEX(样本到样信息汇总统计!C$2:C$500,MATCH(498,样本到样信息汇总统计!$Z$2:$Z$500,0)),"")</f>
        <v/>
      </c>
      <c r="D499" s="8" t="str">
        <f>IFERROR(INDEX(样本到样信息汇总统计!D$2:D$500,MATCH(498,样本到样信息汇总统计!$Z$2:$Z$500,0)),"")</f>
        <v/>
      </c>
      <c r="E499" s="8" t="str">
        <f>IFERROR(INDEX(样本到样信息汇总统计!E$2:E$500,MATCH(498,样本到样信息汇总统计!$Z$2:$Z$500,0)),"")</f>
        <v/>
      </c>
      <c r="F499" s="8" t="str">
        <f>IFERROR(INDEX(样本到样信息汇总统计!F$2:F$500,MATCH(498,样本到样信息汇总统计!$Z$2:$Z$500,0)),"")</f>
        <v/>
      </c>
      <c r="G499" s="8" t="str">
        <f>IFERROR(INDEX(样本到样信息汇总统计!G$2:G$500,MATCH(498,样本到样信息汇总统计!$Z$2:$Z$500,0)),"")</f>
        <v/>
      </c>
      <c r="H499" s="8" t="str">
        <f>IFERROR(INDEX(样本到样信息汇总统计!H$2:H$500,MATCH(498,样本到样信息汇总统计!$Z$2:$Z$500,0)),"")</f>
        <v/>
      </c>
      <c r="I499" s="8" t="str">
        <f>IFERROR(INDEX(样本到样信息汇总统计!I$2:I$500,MATCH(498,样本到样信息汇总统计!$Z$2:$Z$500,0)),"")</f>
        <v/>
      </c>
      <c r="J499" s="8" t="str">
        <f>IFERROR(INDEX(样本到样信息汇总统计!J$2:J$500,MATCH(498,样本到样信息汇总统计!$Z$2:$Z$500,0)),"")</f>
        <v/>
      </c>
      <c r="K499" s="8" t="str">
        <f>IFERROR(INDEX(样本到样信息汇总统计!K$2:K$500,MATCH(498,样本到样信息汇总统计!$Z$2:$Z$500,0)),"")</f>
        <v/>
      </c>
      <c r="L499" s="8" t="str">
        <f>IFERROR(INDEX(样本到样信息汇总统计!L$2:L$500,MATCH(498,样本到样信息汇总统计!$Z$2:$Z$500,0)),"")</f>
        <v/>
      </c>
      <c r="M499" s="8" t="str">
        <f>IFERROR(INDEX(样本到样信息汇总统计!M$2:M$500,MATCH(498,样本到样信息汇总统计!$Z$2:$Z$500,0)),"")</f>
        <v/>
      </c>
      <c r="N499" s="8" t="str">
        <f>IFERROR(INDEX(样本到样信息汇总统计!N$2:N$500,MATCH(498,样本到样信息汇总统计!$Z$2:$Z$500,0)),"")</f>
        <v/>
      </c>
      <c r="O499" s="8" t="str">
        <f>IFERROR(INDEX(样本到样信息汇总统计!O$2:O$500,MATCH(498,样本到样信息汇总统计!$Z$2:$Z$500,0)),"")</f>
        <v/>
      </c>
      <c r="P499" s="8" t="str">
        <f>IFERROR(INDEX(样本到样信息汇总统计!P$2:P$500,MATCH(498,样本到样信息汇总统计!$Z$2:$Z$500,0)),"")</f>
        <v/>
      </c>
      <c r="Q499" s="8" t="str">
        <f>IFERROR(INDEX(样本到样信息汇总统计!Q$2:Q$500,MATCH(498,样本到样信息汇总统计!$Z$2:$Z$500,0)),"")</f>
        <v/>
      </c>
      <c r="R499" s="8" t="str">
        <f>IFERROR(INDEX(样本到样信息汇总统计!R$2:R$500,MATCH(498,样本到样信息汇总统计!$Z$2:$Z$500,0)),"")</f>
        <v/>
      </c>
      <c r="S499" s="8" t="str">
        <f>IFERROR(INDEX(样本到样信息汇总统计!S$2:S$500,MATCH(498,样本到样信息汇总统计!$Z$2:$Z$500,0)),"")</f>
        <v/>
      </c>
      <c r="T499" s="8" t="str">
        <f>IFERROR(INDEX(样本到样信息汇总统计!T$2:T$500,MATCH(498,样本到样信息汇总统计!$Z$2:$Z$500,0)),"")</f>
        <v/>
      </c>
      <c r="U499" s="8" t="str">
        <f>IFERROR(INDEX(样本到样信息汇总统计!U$2:U$500,MATCH(498,样本到样信息汇总统计!$Z$2:$Z$500,0)),"")</f>
        <v/>
      </c>
      <c r="V499" s="8" t="str">
        <f>IFERROR(INDEX(样本到样信息汇总统计!V$2:V$500,MATCH(498,样本到样信息汇总统计!$Z$2:$Z$500,0)),"")</f>
        <v/>
      </c>
      <c r="W499" s="8" t="str">
        <f>IFERROR(INDEX(样本到样信息汇总统计!W$2:W$500,MATCH(498,样本到样信息汇总统计!$Z$2:$Z$500,0)),"")</f>
        <v/>
      </c>
    </row>
    <row r="500" ht="14.5" spans="1:23">
      <c r="A500" s="4" t="str">
        <f>IFERROR(INDEX(样本到样信息汇总统计!A$2:A$500,MATCH(499,样本到样信息汇总统计!$Z$2:$Z$500,0)),"")</f>
        <v/>
      </c>
      <c r="B500" s="4" t="str">
        <f>IFERROR(INDEX(样本到样信息汇总统计!B$2:B$500,MATCH(499,样本到样信息汇总统计!$Z$2:$Z$500,0)),"")</f>
        <v/>
      </c>
      <c r="C500" s="4" t="str">
        <f>IFERROR(INDEX(样本到样信息汇总统计!C$2:C$500,MATCH(499,样本到样信息汇总统计!$Z$2:$Z$500,0)),"")</f>
        <v/>
      </c>
      <c r="D500" s="4" t="str">
        <f>IFERROR(INDEX(样本到样信息汇总统计!D$2:D$500,MATCH(499,样本到样信息汇总统计!$Z$2:$Z$500,0)),"")</f>
        <v/>
      </c>
      <c r="E500" s="4" t="str">
        <f>IFERROR(INDEX(样本到样信息汇总统计!E$2:E$500,MATCH(499,样本到样信息汇总统计!$Z$2:$Z$500,0)),"")</f>
        <v/>
      </c>
      <c r="F500" s="4" t="str">
        <f>IFERROR(INDEX(样本到样信息汇总统计!F$2:F$500,MATCH(499,样本到样信息汇总统计!$Z$2:$Z$500,0)),"")</f>
        <v/>
      </c>
      <c r="G500" s="4" t="str">
        <f>IFERROR(INDEX(样本到样信息汇总统计!G$2:G$500,MATCH(499,样本到样信息汇总统计!$Z$2:$Z$500,0)),"")</f>
        <v/>
      </c>
      <c r="H500" s="4" t="str">
        <f>IFERROR(INDEX(样本到样信息汇总统计!H$2:H$500,MATCH(499,样本到样信息汇总统计!$Z$2:$Z$500,0)),"")</f>
        <v/>
      </c>
      <c r="I500" s="4" t="str">
        <f>IFERROR(INDEX(样本到样信息汇总统计!I$2:I$500,MATCH(499,样本到样信息汇总统计!$Z$2:$Z$500,0)),"")</f>
        <v/>
      </c>
      <c r="J500" s="4" t="str">
        <f>IFERROR(INDEX(样本到样信息汇总统计!J$2:J$500,MATCH(499,样本到样信息汇总统计!$Z$2:$Z$500,0)),"")</f>
        <v/>
      </c>
      <c r="K500" s="4" t="str">
        <f>IFERROR(INDEX(样本到样信息汇总统计!K$2:K$500,MATCH(499,样本到样信息汇总统计!$Z$2:$Z$500,0)),"")</f>
        <v/>
      </c>
      <c r="L500" s="4" t="str">
        <f>IFERROR(INDEX(样本到样信息汇总统计!L$2:L$500,MATCH(499,样本到样信息汇总统计!$Z$2:$Z$500,0)),"")</f>
        <v/>
      </c>
      <c r="M500" s="4" t="str">
        <f>IFERROR(INDEX(样本到样信息汇总统计!M$2:M$500,MATCH(499,样本到样信息汇总统计!$Z$2:$Z$500,0)),"")</f>
        <v/>
      </c>
      <c r="N500" s="4" t="str">
        <f>IFERROR(INDEX(样本到样信息汇总统计!N$2:N$500,MATCH(499,样本到样信息汇总统计!$Z$2:$Z$500,0)),"")</f>
        <v/>
      </c>
      <c r="O500" s="4" t="str">
        <f>IFERROR(INDEX(样本到样信息汇总统计!O$2:O$500,MATCH(499,样本到样信息汇总统计!$Z$2:$Z$500,0)),"")</f>
        <v/>
      </c>
      <c r="P500" s="4" t="str">
        <f>IFERROR(INDEX(样本到样信息汇总统计!P$2:P$500,MATCH(499,样本到样信息汇总统计!$Z$2:$Z$500,0)),"")</f>
        <v/>
      </c>
      <c r="Q500" s="4" t="str">
        <f>IFERROR(INDEX(样本到样信息汇总统计!Q$2:Q$500,MATCH(499,样本到样信息汇总统计!$Z$2:$Z$500,0)),"")</f>
        <v/>
      </c>
      <c r="R500" s="4" t="str">
        <f>IFERROR(INDEX(样本到样信息汇总统计!R$2:R$500,MATCH(499,样本到样信息汇总统计!$Z$2:$Z$500,0)),"")</f>
        <v/>
      </c>
      <c r="S500" s="4" t="str">
        <f>IFERROR(INDEX(样本到样信息汇总统计!S$2:S$500,MATCH(499,样本到样信息汇总统计!$Z$2:$Z$500,0)),"")</f>
        <v/>
      </c>
      <c r="T500" s="4" t="str">
        <f>IFERROR(INDEX(样本到样信息汇总统计!T$2:T$500,MATCH(499,样本到样信息汇总统计!$Z$2:$Z$500,0)),"")</f>
        <v/>
      </c>
      <c r="U500" s="4" t="str">
        <f>IFERROR(INDEX(样本到样信息汇总统计!U$2:U$500,MATCH(499,样本到样信息汇总统计!$Z$2:$Z$500,0)),"")</f>
        <v/>
      </c>
      <c r="V500" s="4" t="str">
        <f>IFERROR(INDEX(样本到样信息汇总统计!V$2:V$500,MATCH(499,样本到样信息汇总统计!$Z$2:$Z$500,0)),"")</f>
        <v/>
      </c>
      <c r="W500" s="4" t="str">
        <f>IFERROR(INDEX(样本到样信息汇总统计!W$2:W$500,MATCH(499,样本到样信息汇总统计!$Z$2:$Z$500,0)),"")</f>
        <v/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00"/>
  <sheetViews>
    <sheetView showGridLines="0" workbookViewId="0">
      <pane ySplit="1" topLeftCell="A11" activePane="bottomLeft" state="frozen"/>
      <selection/>
      <selection pane="bottomLeft" activeCell="A21" sqref="A21"/>
    </sheetView>
  </sheetViews>
  <sheetFormatPr defaultColWidth="9" defaultRowHeight="14"/>
  <cols>
    <col min="1" max="1" width="14" customWidth="1"/>
    <col min="2" max="2" width="12" customWidth="1"/>
    <col min="3" max="3" width="10" customWidth="1"/>
    <col min="4" max="5" width="14" customWidth="1"/>
    <col min="6" max="7" width="10" customWidth="1"/>
    <col min="8" max="8" width="12" customWidth="1"/>
    <col min="9" max="9" width="14" customWidth="1"/>
    <col min="10" max="11" width="12" customWidth="1"/>
    <col min="12" max="12" width="24" customWidth="1"/>
    <col min="13" max="13" width="16" customWidth="1"/>
    <col min="14" max="14" width="10" customWidth="1"/>
    <col min="15" max="15" width="12" customWidth="1"/>
    <col min="16" max="18" width="14" customWidth="1"/>
    <col min="19" max="19" width="10" customWidth="1"/>
    <col min="20" max="20" width="14" customWidth="1"/>
    <col min="21" max="21" width="20" customWidth="1"/>
    <col min="22" max="22" width="10" customWidth="1"/>
    <col min="23" max="23" width="14" customWidth="1"/>
  </cols>
  <sheetData>
    <row r="1" ht="24.75" customHeight="1" spans="1:23">
      <c r="A1" s="12" t="s">
        <v>0</v>
      </c>
      <c r="B1" s="12" t="s">
        <v>1</v>
      </c>
      <c r="C1" s="12" t="s">
        <v>2</v>
      </c>
      <c r="D1" s="13" t="s">
        <v>124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</row>
    <row r="2" ht="21.75" customHeight="1" spans="1:23">
      <c r="A2" s="4" t="str">
        <f>IFERROR(INDEX(样本到样信息汇总统计!A$2:A$500,MATCH(1,样本到样信息汇总统计!$AA$2:$AA$500,0)),"")</f>
        <v/>
      </c>
      <c r="B2" s="4" t="str">
        <f>IFERROR(INDEX(样本到样信息汇总统计!B$2:B$500,MATCH(1,样本到样信息汇总统计!$AA$2:$AA$500,0)),"")</f>
        <v/>
      </c>
      <c r="C2" s="4" t="str">
        <f>IFERROR(INDEX(样本到样信息汇总统计!C$2:C$500,MATCH(1,样本到样信息汇总统计!$AA$2:$AA$500,0)),"")</f>
        <v/>
      </c>
      <c r="D2" s="4" t="str">
        <f>IFERROR(INDEX(样本到样信息汇总统计!D$2:D$500,MATCH(1,样本到样信息汇总统计!$AA$2:$AA$500,0)),"")</f>
        <v/>
      </c>
      <c r="E2" s="4" t="str">
        <f>IFERROR(INDEX(样本到样信息汇总统计!E$2:E$500,MATCH(1,样本到样信息汇总统计!$AA$2:$AA$500,0)),"")</f>
        <v/>
      </c>
      <c r="F2" s="4" t="str">
        <f>IFERROR(INDEX(样本到样信息汇总统计!F$2:F$500,MATCH(1,样本到样信息汇总统计!$AA$2:$AA$500,0)),"")</f>
        <v/>
      </c>
      <c r="G2" s="4" t="str">
        <f>IFERROR(INDEX(样本到样信息汇总统计!G$2:G$500,MATCH(1,样本到样信息汇总统计!$AA$2:$AA$500,0)),"")</f>
        <v/>
      </c>
      <c r="H2" s="4" t="str">
        <f>IFERROR(INDEX(样本到样信息汇总统计!H$2:H$500,MATCH(1,样本到样信息汇总统计!$AA$2:$AA$500,0)),"")</f>
        <v/>
      </c>
      <c r="I2" s="4" t="str">
        <f>IFERROR(INDEX(样本到样信息汇总统计!I$2:I$500,MATCH(1,样本到样信息汇总统计!$AA$2:$AA$500,0)),"")</f>
        <v/>
      </c>
      <c r="J2" s="4" t="str">
        <f>IFERROR(INDEX(样本到样信息汇总统计!J$2:J$500,MATCH(1,样本到样信息汇总统计!$AA$2:$AA$500,0)),"")</f>
        <v/>
      </c>
      <c r="K2" s="4" t="str">
        <f>IFERROR(INDEX(样本到样信息汇总统计!K$2:K$500,MATCH(1,样本到样信息汇总统计!$AA$2:$AA$500,0)),"")</f>
        <v/>
      </c>
      <c r="L2" s="4" t="str">
        <f>IFERROR(INDEX(样本到样信息汇总统计!L$2:L$500,MATCH(1,样本到样信息汇总统计!$AA$2:$AA$500,0)),"")</f>
        <v/>
      </c>
      <c r="M2" s="4" t="str">
        <f>IFERROR(INDEX(样本到样信息汇总统计!M$2:M$500,MATCH(1,样本到样信息汇总统计!$AA$2:$AA$500,0)),"")</f>
        <v/>
      </c>
      <c r="N2" s="4" t="str">
        <f>IFERROR(INDEX(样本到样信息汇总统计!N$2:N$500,MATCH(1,样本到样信息汇总统计!$AA$2:$AA$500,0)),"")</f>
        <v/>
      </c>
      <c r="O2" s="4" t="str">
        <f>IFERROR(INDEX(样本到样信息汇总统计!O$2:O$500,MATCH(1,样本到样信息汇总统计!$AA$2:$AA$500,0)),"")</f>
        <v/>
      </c>
      <c r="P2" s="4" t="str">
        <f>IFERROR(INDEX(样本到样信息汇总统计!P$2:P$500,MATCH(1,样本到样信息汇总统计!$AA$2:$AA$500,0)),"")</f>
        <v/>
      </c>
      <c r="Q2" s="4" t="str">
        <f>IFERROR(INDEX(样本到样信息汇总统计!Q$2:Q$500,MATCH(1,样本到样信息汇总统计!$AA$2:$AA$500,0)),"")</f>
        <v/>
      </c>
      <c r="R2" s="4" t="str">
        <f>IFERROR(INDEX(样本到样信息汇总统计!R$2:R$500,MATCH(1,样本到样信息汇总统计!$AA$2:$AA$500,0)),"")</f>
        <v/>
      </c>
      <c r="S2" s="4" t="str">
        <f>IFERROR(INDEX(样本到样信息汇总统计!S$2:S$500,MATCH(1,样本到样信息汇总统计!$AA$2:$AA$500,0)),"")</f>
        <v/>
      </c>
      <c r="T2" s="4" t="str">
        <f>IFERROR(INDEX(样本到样信息汇总统计!T$2:T$500,MATCH(1,样本到样信息汇总统计!$AA$2:$AA$500,0)),"")</f>
        <v/>
      </c>
      <c r="U2" s="4" t="str">
        <f>IFERROR(INDEX(样本到样信息汇总统计!U$2:U$500,MATCH(1,样本到样信息汇总统计!$AA$2:$AA$500,0)),"")</f>
        <v/>
      </c>
      <c r="V2" s="4" t="str">
        <f>IFERROR(INDEX(样本到样信息汇总统计!V$2:V$500,MATCH(1,样本到样信息汇总统计!$AA$2:$AA$500,0)),"")</f>
        <v/>
      </c>
      <c r="W2" s="4" t="str">
        <f>IFERROR(INDEX(样本到样信息汇总统计!W$2:W$500,MATCH(1,样本到样信息汇总统计!$AA$2:$AA$500,0)),"")</f>
        <v/>
      </c>
    </row>
    <row r="3" ht="21.75" customHeight="1" spans="1:23">
      <c r="A3" s="8" t="str">
        <f>IFERROR(INDEX(样本到样信息汇总统计!A$2:A$500,MATCH(2,样本到样信息汇总统计!$AA$2:$AA$500,0)),"")</f>
        <v/>
      </c>
      <c r="B3" s="8" t="str">
        <f>IFERROR(INDEX(样本到样信息汇总统计!B$2:B$500,MATCH(2,样本到样信息汇总统计!$AA$2:$AA$500,0)),"")</f>
        <v/>
      </c>
      <c r="C3" s="8" t="str">
        <f>IFERROR(INDEX(样本到样信息汇总统计!C$2:C$500,MATCH(2,样本到样信息汇总统计!$AA$2:$AA$500,0)),"")</f>
        <v/>
      </c>
      <c r="D3" s="8" t="str">
        <f>IFERROR(INDEX(样本到样信息汇总统计!D$2:D$500,MATCH(2,样本到样信息汇总统计!$AA$2:$AA$500,0)),"")</f>
        <v/>
      </c>
      <c r="E3" s="8" t="str">
        <f>IFERROR(INDEX(样本到样信息汇总统计!E$2:E$500,MATCH(2,样本到样信息汇总统计!$AA$2:$AA$500,0)),"")</f>
        <v/>
      </c>
      <c r="F3" s="8" t="str">
        <f>IFERROR(INDEX(样本到样信息汇总统计!F$2:F$500,MATCH(2,样本到样信息汇总统计!$AA$2:$AA$500,0)),"")</f>
        <v/>
      </c>
      <c r="G3" s="8" t="str">
        <f>IFERROR(INDEX(样本到样信息汇总统计!G$2:G$500,MATCH(2,样本到样信息汇总统计!$AA$2:$AA$500,0)),"")</f>
        <v/>
      </c>
      <c r="H3" s="8" t="str">
        <f>IFERROR(INDEX(样本到样信息汇总统计!H$2:H$500,MATCH(2,样本到样信息汇总统计!$AA$2:$AA$500,0)),"")</f>
        <v/>
      </c>
      <c r="I3" s="8" t="str">
        <f>IFERROR(INDEX(样本到样信息汇总统计!I$2:I$500,MATCH(2,样本到样信息汇总统计!$AA$2:$AA$500,0)),"")</f>
        <v/>
      </c>
      <c r="J3" s="8" t="str">
        <f>IFERROR(INDEX(样本到样信息汇总统计!J$2:J$500,MATCH(2,样本到样信息汇总统计!$AA$2:$AA$500,0)),"")</f>
        <v/>
      </c>
      <c r="K3" s="8" t="str">
        <f>IFERROR(INDEX(样本到样信息汇总统计!K$2:K$500,MATCH(2,样本到样信息汇总统计!$AA$2:$AA$500,0)),"")</f>
        <v/>
      </c>
      <c r="L3" s="8" t="str">
        <f>IFERROR(INDEX(样本到样信息汇总统计!L$2:L$500,MATCH(2,样本到样信息汇总统计!$AA$2:$AA$500,0)),"")</f>
        <v/>
      </c>
      <c r="M3" s="8" t="str">
        <f>IFERROR(INDEX(样本到样信息汇总统计!M$2:M$500,MATCH(2,样本到样信息汇总统计!$AA$2:$AA$500,0)),"")</f>
        <v/>
      </c>
      <c r="N3" s="8" t="str">
        <f>IFERROR(INDEX(样本到样信息汇总统计!N$2:N$500,MATCH(2,样本到样信息汇总统计!$AA$2:$AA$500,0)),"")</f>
        <v/>
      </c>
      <c r="O3" s="8" t="str">
        <f>IFERROR(INDEX(样本到样信息汇总统计!O$2:O$500,MATCH(2,样本到样信息汇总统计!$AA$2:$AA$500,0)),"")</f>
        <v/>
      </c>
      <c r="P3" s="8" t="str">
        <f>IFERROR(INDEX(样本到样信息汇总统计!P$2:P$500,MATCH(2,样本到样信息汇总统计!$AA$2:$AA$500,0)),"")</f>
        <v/>
      </c>
      <c r="Q3" s="8" t="str">
        <f>IFERROR(INDEX(样本到样信息汇总统计!Q$2:Q$500,MATCH(2,样本到样信息汇总统计!$AA$2:$AA$500,0)),"")</f>
        <v/>
      </c>
      <c r="R3" s="8" t="str">
        <f>IFERROR(INDEX(样本到样信息汇总统计!R$2:R$500,MATCH(2,样本到样信息汇总统计!$AA$2:$AA$500,0)),"")</f>
        <v/>
      </c>
      <c r="S3" s="8" t="str">
        <f>IFERROR(INDEX(样本到样信息汇总统计!S$2:S$500,MATCH(2,样本到样信息汇总统计!$AA$2:$AA$500,0)),"")</f>
        <v/>
      </c>
      <c r="T3" s="8" t="str">
        <f>IFERROR(INDEX(样本到样信息汇总统计!T$2:T$500,MATCH(2,样本到样信息汇总统计!$AA$2:$AA$500,0)),"")</f>
        <v/>
      </c>
      <c r="U3" s="8" t="str">
        <f>IFERROR(INDEX(样本到样信息汇总统计!U$2:U$500,MATCH(2,样本到样信息汇总统计!$AA$2:$AA$500,0)),"")</f>
        <v/>
      </c>
      <c r="V3" s="8" t="str">
        <f>IFERROR(INDEX(样本到样信息汇总统计!V$2:V$500,MATCH(2,样本到样信息汇总统计!$AA$2:$AA$500,0)),"")</f>
        <v/>
      </c>
      <c r="W3" s="8" t="str">
        <f>IFERROR(INDEX(样本到样信息汇总统计!W$2:W$500,MATCH(2,样本到样信息汇总统计!$AA$2:$AA$500,0)),"")</f>
        <v/>
      </c>
    </row>
    <row r="4" ht="21.75" customHeight="1" spans="1:23">
      <c r="A4" s="4" t="str">
        <f>IFERROR(INDEX(样本到样信息汇总统计!A$2:A$500,MATCH(3,样本到样信息汇总统计!$AA$2:$AA$500,0)),"")</f>
        <v/>
      </c>
      <c r="B4" s="4" t="str">
        <f>IFERROR(INDEX(样本到样信息汇总统计!B$2:B$500,MATCH(3,样本到样信息汇总统计!$AA$2:$AA$500,0)),"")</f>
        <v/>
      </c>
      <c r="C4" s="4" t="str">
        <f>IFERROR(INDEX(样本到样信息汇总统计!C$2:C$500,MATCH(3,样本到样信息汇总统计!$AA$2:$AA$500,0)),"")</f>
        <v/>
      </c>
      <c r="D4" s="4" t="str">
        <f>IFERROR(INDEX(样本到样信息汇总统计!D$2:D$500,MATCH(3,样本到样信息汇总统计!$AA$2:$AA$500,0)),"")</f>
        <v/>
      </c>
      <c r="E4" s="4" t="str">
        <f>IFERROR(INDEX(样本到样信息汇总统计!E$2:E$500,MATCH(3,样本到样信息汇总统计!$AA$2:$AA$500,0)),"")</f>
        <v/>
      </c>
      <c r="F4" s="4" t="str">
        <f>IFERROR(INDEX(样本到样信息汇总统计!F$2:F$500,MATCH(3,样本到样信息汇总统计!$AA$2:$AA$500,0)),"")</f>
        <v/>
      </c>
      <c r="G4" s="4" t="str">
        <f>IFERROR(INDEX(样本到样信息汇总统计!G$2:G$500,MATCH(3,样本到样信息汇总统计!$AA$2:$AA$500,0)),"")</f>
        <v/>
      </c>
      <c r="H4" s="4" t="str">
        <f>IFERROR(INDEX(样本到样信息汇总统计!H$2:H$500,MATCH(3,样本到样信息汇总统计!$AA$2:$AA$500,0)),"")</f>
        <v/>
      </c>
      <c r="I4" s="4" t="str">
        <f>IFERROR(INDEX(样本到样信息汇总统计!I$2:I$500,MATCH(3,样本到样信息汇总统计!$AA$2:$AA$500,0)),"")</f>
        <v/>
      </c>
      <c r="J4" s="4" t="str">
        <f>IFERROR(INDEX(样本到样信息汇总统计!J$2:J$500,MATCH(3,样本到样信息汇总统计!$AA$2:$AA$500,0)),"")</f>
        <v/>
      </c>
      <c r="K4" s="4" t="str">
        <f>IFERROR(INDEX(样本到样信息汇总统计!K$2:K$500,MATCH(3,样本到样信息汇总统计!$AA$2:$AA$500,0)),"")</f>
        <v/>
      </c>
      <c r="L4" s="4" t="str">
        <f>IFERROR(INDEX(样本到样信息汇总统计!L$2:L$500,MATCH(3,样本到样信息汇总统计!$AA$2:$AA$500,0)),"")</f>
        <v/>
      </c>
      <c r="M4" s="4" t="str">
        <f>IFERROR(INDEX(样本到样信息汇总统计!M$2:M$500,MATCH(3,样本到样信息汇总统计!$AA$2:$AA$500,0)),"")</f>
        <v/>
      </c>
      <c r="N4" s="4" t="str">
        <f>IFERROR(INDEX(样本到样信息汇总统计!N$2:N$500,MATCH(3,样本到样信息汇总统计!$AA$2:$AA$500,0)),"")</f>
        <v/>
      </c>
      <c r="O4" s="4" t="str">
        <f>IFERROR(INDEX(样本到样信息汇总统计!O$2:O$500,MATCH(3,样本到样信息汇总统计!$AA$2:$AA$500,0)),"")</f>
        <v/>
      </c>
      <c r="P4" s="4" t="str">
        <f>IFERROR(INDEX(样本到样信息汇总统计!P$2:P$500,MATCH(3,样本到样信息汇总统计!$AA$2:$AA$500,0)),"")</f>
        <v/>
      </c>
      <c r="Q4" s="4" t="str">
        <f>IFERROR(INDEX(样本到样信息汇总统计!Q$2:Q$500,MATCH(3,样本到样信息汇总统计!$AA$2:$AA$500,0)),"")</f>
        <v/>
      </c>
      <c r="R4" s="4" t="str">
        <f>IFERROR(INDEX(样本到样信息汇总统计!R$2:R$500,MATCH(3,样本到样信息汇总统计!$AA$2:$AA$500,0)),"")</f>
        <v/>
      </c>
      <c r="S4" s="4" t="str">
        <f>IFERROR(INDEX(样本到样信息汇总统计!S$2:S$500,MATCH(3,样本到样信息汇总统计!$AA$2:$AA$500,0)),"")</f>
        <v/>
      </c>
      <c r="T4" s="4" t="str">
        <f>IFERROR(INDEX(样本到样信息汇总统计!T$2:T$500,MATCH(3,样本到样信息汇总统计!$AA$2:$AA$500,0)),"")</f>
        <v/>
      </c>
      <c r="U4" s="4" t="str">
        <f>IFERROR(INDEX(样本到样信息汇总统计!U$2:U$500,MATCH(3,样本到样信息汇总统计!$AA$2:$AA$500,0)),"")</f>
        <v/>
      </c>
      <c r="V4" s="4" t="str">
        <f>IFERROR(INDEX(样本到样信息汇总统计!V$2:V$500,MATCH(3,样本到样信息汇总统计!$AA$2:$AA$500,0)),"")</f>
        <v/>
      </c>
      <c r="W4" s="4" t="str">
        <f>IFERROR(INDEX(样本到样信息汇总统计!W$2:W$500,MATCH(3,样本到样信息汇总统计!$AA$2:$AA$500,0)),"")</f>
        <v/>
      </c>
    </row>
    <row r="5" ht="21.75" customHeight="1" spans="1:23">
      <c r="A5" s="8" t="str">
        <f>IFERROR(INDEX(样本到样信息汇总统计!A$2:A$500,MATCH(4,样本到样信息汇总统计!$AA$2:$AA$500,0)),"")</f>
        <v/>
      </c>
      <c r="B5" s="8" t="str">
        <f>IFERROR(INDEX(样本到样信息汇总统计!B$2:B$500,MATCH(4,样本到样信息汇总统计!$AA$2:$AA$500,0)),"")</f>
        <v/>
      </c>
      <c r="C5" s="8" t="str">
        <f>IFERROR(INDEX(样本到样信息汇总统计!C$2:C$500,MATCH(4,样本到样信息汇总统计!$AA$2:$AA$500,0)),"")</f>
        <v/>
      </c>
      <c r="D5" s="8" t="str">
        <f>IFERROR(INDEX(样本到样信息汇总统计!D$2:D$500,MATCH(4,样本到样信息汇总统计!$AA$2:$AA$500,0)),"")</f>
        <v/>
      </c>
      <c r="E5" s="8" t="str">
        <f>IFERROR(INDEX(样本到样信息汇总统计!E$2:E$500,MATCH(4,样本到样信息汇总统计!$AA$2:$AA$500,0)),"")</f>
        <v/>
      </c>
      <c r="F5" s="8" t="str">
        <f>IFERROR(INDEX(样本到样信息汇总统计!F$2:F$500,MATCH(4,样本到样信息汇总统计!$AA$2:$AA$500,0)),"")</f>
        <v/>
      </c>
      <c r="G5" s="8" t="str">
        <f>IFERROR(INDEX(样本到样信息汇总统计!G$2:G$500,MATCH(4,样本到样信息汇总统计!$AA$2:$AA$500,0)),"")</f>
        <v/>
      </c>
      <c r="H5" s="8" t="str">
        <f>IFERROR(INDEX(样本到样信息汇总统计!H$2:H$500,MATCH(4,样本到样信息汇总统计!$AA$2:$AA$500,0)),"")</f>
        <v/>
      </c>
      <c r="I5" s="8" t="str">
        <f>IFERROR(INDEX(样本到样信息汇总统计!I$2:I$500,MATCH(4,样本到样信息汇总统计!$AA$2:$AA$500,0)),"")</f>
        <v/>
      </c>
      <c r="J5" s="8" t="str">
        <f>IFERROR(INDEX(样本到样信息汇总统计!J$2:J$500,MATCH(4,样本到样信息汇总统计!$AA$2:$AA$500,0)),"")</f>
        <v/>
      </c>
      <c r="K5" s="8" t="str">
        <f>IFERROR(INDEX(样本到样信息汇总统计!K$2:K$500,MATCH(4,样本到样信息汇总统计!$AA$2:$AA$500,0)),"")</f>
        <v/>
      </c>
      <c r="L5" s="8" t="str">
        <f>IFERROR(INDEX(样本到样信息汇总统计!L$2:L$500,MATCH(4,样本到样信息汇总统计!$AA$2:$AA$500,0)),"")</f>
        <v/>
      </c>
      <c r="M5" s="8" t="str">
        <f>IFERROR(INDEX(样本到样信息汇总统计!M$2:M$500,MATCH(4,样本到样信息汇总统计!$AA$2:$AA$500,0)),"")</f>
        <v/>
      </c>
      <c r="N5" s="8" t="str">
        <f>IFERROR(INDEX(样本到样信息汇总统计!N$2:N$500,MATCH(4,样本到样信息汇总统计!$AA$2:$AA$500,0)),"")</f>
        <v/>
      </c>
      <c r="O5" s="8" t="str">
        <f>IFERROR(INDEX(样本到样信息汇总统计!O$2:O$500,MATCH(4,样本到样信息汇总统计!$AA$2:$AA$500,0)),"")</f>
        <v/>
      </c>
      <c r="P5" s="8" t="str">
        <f>IFERROR(INDEX(样本到样信息汇总统计!P$2:P$500,MATCH(4,样本到样信息汇总统计!$AA$2:$AA$500,0)),"")</f>
        <v/>
      </c>
      <c r="Q5" s="8" t="str">
        <f>IFERROR(INDEX(样本到样信息汇总统计!Q$2:Q$500,MATCH(4,样本到样信息汇总统计!$AA$2:$AA$500,0)),"")</f>
        <v/>
      </c>
      <c r="R5" s="8" t="str">
        <f>IFERROR(INDEX(样本到样信息汇总统计!R$2:R$500,MATCH(4,样本到样信息汇总统计!$AA$2:$AA$500,0)),"")</f>
        <v/>
      </c>
      <c r="S5" s="8" t="str">
        <f>IFERROR(INDEX(样本到样信息汇总统计!S$2:S$500,MATCH(4,样本到样信息汇总统计!$AA$2:$AA$500,0)),"")</f>
        <v/>
      </c>
      <c r="T5" s="8" t="str">
        <f>IFERROR(INDEX(样本到样信息汇总统计!T$2:T$500,MATCH(4,样本到样信息汇总统计!$AA$2:$AA$500,0)),"")</f>
        <v/>
      </c>
      <c r="U5" s="8" t="str">
        <f>IFERROR(INDEX(样本到样信息汇总统计!U$2:U$500,MATCH(4,样本到样信息汇总统计!$AA$2:$AA$500,0)),"")</f>
        <v/>
      </c>
      <c r="V5" s="8" t="str">
        <f>IFERROR(INDEX(样本到样信息汇总统计!V$2:V$500,MATCH(4,样本到样信息汇总统计!$AA$2:$AA$500,0)),"")</f>
        <v/>
      </c>
      <c r="W5" s="8" t="str">
        <f>IFERROR(INDEX(样本到样信息汇总统计!W$2:W$500,MATCH(4,样本到样信息汇总统计!$AA$2:$AA$500,0)),"")</f>
        <v/>
      </c>
    </row>
    <row r="6" ht="21.75" customHeight="1" spans="1:23">
      <c r="A6" s="4" t="str">
        <f>IFERROR(INDEX(样本到样信息汇总统计!A$2:A$500,MATCH(5,样本到样信息汇总统计!$AA$2:$AA$500,0)),"")</f>
        <v/>
      </c>
      <c r="B6" s="4" t="str">
        <f>IFERROR(INDEX(样本到样信息汇总统计!B$2:B$500,MATCH(5,样本到样信息汇总统计!$AA$2:$AA$500,0)),"")</f>
        <v/>
      </c>
      <c r="C6" s="4" t="str">
        <f>IFERROR(INDEX(样本到样信息汇总统计!C$2:C$500,MATCH(5,样本到样信息汇总统计!$AA$2:$AA$500,0)),"")</f>
        <v/>
      </c>
      <c r="D6" s="4" t="str">
        <f>IFERROR(INDEX(样本到样信息汇总统计!D$2:D$500,MATCH(5,样本到样信息汇总统计!$AA$2:$AA$500,0)),"")</f>
        <v/>
      </c>
      <c r="E6" s="4" t="str">
        <f>IFERROR(INDEX(样本到样信息汇总统计!E$2:E$500,MATCH(5,样本到样信息汇总统计!$AA$2:$AA$500,0)),"")</f>
        <v/>
      </c>
      <c r="F6" s="4" t="str">
        <f>IFERROR(INDEX(样本到样信息汇总统计!F$2:F$500,MATCH(5,样本到样信息汇总统计!$AA$2:$AA$500,0)),"")</f>
        <v/>
      </c>
      <c r="G6" s="4" t="str">
        <f>IFERROR(INDEX(样本到样信息汇总统计!G$2:G$500,MATCH(5,样本到样信息汇总统计!$AA$2:$AA$500,0)),"")</f>
        <v/>
      </c>
      <c r="H6" s="4" t="str">
        <f>IFERROR(INDEX(样本到样信息汇总统计!H$2:H$500,MATCH(5,样本到样信息汇总统计!$AA$2:$AA$500,0)),"")</f>
        <v/>
      </c>
      <c r="I6" s="4" t="str">
        <f>IFERROR(INDEX(样本到样信息汇总统计!I$2:I$500,MATCH(5,样本到样信息汇总统计!$AA$2:$AA$500,0)),"")</f>
        <v/>
      </c>
      <c r="J6" s="4" t="str">
        <f>IFERROR(INDEX(样本到样信息汇总统计!J$2:J$500,MATCH(5,样本到样信息汇总统计!$AA$2:$AA$500,0)),"")</f>
        <v/>
      </c>
      <c r="K6" s="4" t="str">
        <f>IFERROR(INDEX(样本到样信息汇总统计!K$2:K$500,MATCH(5,样本到样信息汇总统计!$AA$2:$AA$500,0)),"")</f>
        <v/>
      </c>
      <c r="L6" s="4" t="str">
        <f>IFERROR(INDEX(样本到样信息汇总统计!L$2:L$500,MATCH(5,样本到样信息汇总统计!$AA$2:$AA$500,0)),"")</f>
        <v/>
      </c>
      <c r="M6" s="4" t="str">
        <f>IFERROR(INDEX(样本到样信息汇总统计!M$2:M$500,MATCH(5,样本到样信息汇总统计!$AA$2:$AA$500,0)),"")</f>
        <v/>
      </c>
      <c r="N6" s="4" t="str">
        <f>IFERROR(INDEX(样本到样信息汇总统计!N$2:N$500,MATCH(5,样本到样信息汇总统计!$AA$2:$AA$500,0)),"")</f>
        <v/>
      </c>
      <c r="O6" s="4" t="str">
        <f>IFERROR(INDEX(样本到样信息汇总统计!O$2:O$500,MATCH(5,样本到样信息汇总统计!$AA$2:$AA$500,0)),"")</f>
        <v/>
      </c>
      <c r="P6" s="4" t="str">
        <f>IFERROR(INDEX(样本到样信息汇总统计!P$2:P$500,MATCH(5,样本到样信息汇总统计!$AA$2:$AA$500,0)),"")</f>
        <v/>
      </c>
      <c r="Q6" s="4" t="str">
        <f>IFERROR(INDEX(样本到样信息汇总统计!Q$2:Q$500,MATCH(5,样本到样信息汇总统计!$AA$2:$AA$500,0)),"")</f>
        <v/>
      </c>
      <c r="R6" s="4" t="str">
        <f>IFERROR(INDEX(样本到样信息汇总统计!R$2:R$500,MATCH(5,样本到样信息汇总统计!$AA$2:$AA$500,0)),"")</f>
        <v/>
      </c>
      <c r="S6" s="4" t="str">
        <f>IFERROR(INDEX(样本到样信息汇总统计!S$2:S$500,MATCH(5,样本到样信息汇总统计!$AA$2:$AA$500,0)),"")</f>
        <v/>
      </c>
      <c r="T6" s="4" t="str">
        <f>IFERROR(INDEX(样本到样信息汇总统计!T$2:T$500,MATCH(5,样本到样信息汇总统计!$AA$2:$AA$500,0)),"")</f>
        <v/>
      </c>
      <c r="U6" s="4" t="str">
        <f>IFERROR(INDEX(样本到样信息汇总统计!U$2:U$500,MATCH(5,样本到样信息汇总统计!$AA$2:$AA$500,0)),"")</f>
        <v/>
      </c>
      <c r="V6" s="4" t="str">
        <f>IFERROR(INDEX(样本到样信息汇总统计!V$2:V$500,MATCH(5,样本到样信息汇总统计!$AA$2:$AA$500,0)),"")</f>
        <v/>
      </c>
      <c r="W6" s="4" t="str">
        <f>IFERROR(INDEX(样本到样信息汇总统计!W$2:W$500,MATCH(5,样本到样信息汇总统计!$AA$2:$AA$500,0)),"")</f>
        <v/>
      </c>
    </row>
    <row r="7" ht="21.75" customHeight="1" spans="1:23">
      <c r="A7" s="8" t="str">
        <f>IFERROR(INDEX(样本到样信息汇总统计!A$2:A$500,MATCH(6,样本到样信息汇总统计!$AA$2:$AA$500,0)),"")</f>
        <v/>
      </c>
      <c r="B7" s="8" t="str">
        <f>IFERROR(INDEX(样本到样信息汇总统计!B$2:B$500,MATCH(6,样本到样信息汇总统计!$AA$2:$AA$500,0)),"")</f>
        <v/>
      </c>
      <c r="C7" s="8" t="str">
        <f>IFERROR(INDEX(样本到样信息汇总统计!C$2:C$500,MATCH(6,样本到样信息汇总统计!$AA$2:$AA$500,0)),"")</f>
        <v/>
      </c>
      <c r="D7" s="8" t="str">
        <f>IFERROR(INDEX(样本到样信息汇总统计!D$2:D$500,MATCH(6,样本到样信息汇总统计!$AA$2:$AA$500,0)),"")</f>
        <v/>
      </c>
      <c r="E7" s="8" t="str">
        <f>IFERROR(INDEX(样本到样信息汇总统计!E$2:E$500,MATCH(6,样本到样信息汇总统计!$AA$2:$AA$500,0)),"")</f>
        <v/>
      </c>
      <c r="F7" s="8" t="str">
        <f>IFERROR(INDEX(样本到样信息汇总统计!F$2:F$500,MATCH(6,样本到样信息汇总统计!$AA$2:$AA$500,0)),"")</f>
        <v/>
      </c>
      <c r="G7" s="8" t="str">
        <f>IFERROR(INDEX(样本到样信息汇总统计!G$2:G$500,MATCH(6,样本到样信息汇总统计!$AA$2:$AA$500,0)),"")</f>
        <v/>
      </c>
      <c r="H7" s="8" t="str">
        <f>IFERROR(INDEX(样本到样信息汇总统计!H$2:H$500,MATCH(6,样本到样信息汇总统计!$AA$2:$AA$500,0)),"")</f>
        <v/>
      </c>
      <c r="I7" s="8" t="str">
        <f>IFERROR(INDEX(样本到样信息汇总统计!I$2:I$500,MATCH(6,样本到样信息汇总统计!$AA$2:$AA$500,0)),"")</f>
        <v/>
      </c>
      <c r="J7" s="8" t="str">
        <f>IFERROR(INDEX(样本到样信息汇总统计!J$2:J$500,MATCH(6,样本到样信息汇总统计!$AA$2:$AA$500,0)),"")</f>
        <v/>
      </c>
      <c r="K7" s="8" t="str">
        <f>IFERROR(INDEX(样本到样信息汇总统计!K$2:K$500,MATCH(6,样本到样信息汇总统计!$AA$2:$AA$500,0)),"")</f>
        <v/>
      </c>
      <c r="L7" s="8" t="str">
        <f>IFERROR(INDEX(样本到样信息汇总统计!L$2:L$500,MATCH(6,样本到样信息汇总统计!$AA$2:$AA$500,0)),"")</f>
        <v/>
      </c>
      <c r="M7" s="8" t="str">
        <f>IFERROR(INDEX(样本到样信息汇总统计!M$2:M$500,MATCH(6,样本到样信息汇总统计!$AA$2:$AA$500,0)),"")</f>
        <v/>
      </c>
      <c r="N7" s="8" t="str">
        <f>IFERROR(INDEX(样本到样信息汇总统计!N$2:N$500,MATCH(6,样本到样信息汇总统计!$AA$2:$AA$500,0)),"")</f>
        <v/>
      </c>
      <c r="O7" s="8" t="str">
        <f>IFERROR(INDEX(样本到样信息汇总统计!O$2:O$500,MATCH(6,样本到样信息汇总统计!$AA$2:$AA$500,0)),"")</f>
        <v/>
      </c>
      <c r="P7" s="8" t="str">
        <f>IFERROR(INDEX(样本到样信息汇总统计!P$2:P$500,MATCH(6,样本到样信息汇总统计!$AA$2:$AA$500,0)),"")</f>
        <v/>
      </c>
      <c r="Q7" s="8" t="str">
        <f>IFERROR(INDEX(样本到样信息汇总统计!Q$2:Q$500,MATCH(6,样本到样信息汇总统计!$AA$2:$AA$500,0)),"")</f>
        <v/>
      </c>
      <c r="R7" s="8" t="str">
        <f>IFERROR(INDEX(样本到样信息汇总统计!R$2:R$500,MATCH(6,样本到样信息汇总统计!$AA$2:$AA$500,0)),"")</f>
        <v/>
      </c>
      <c r="S7" s="8" t="str">
        <f>IFERROR(INDEX(样本到样信息汇总统计!S$2:S$500,MATCH(6,样本到样信息汇总统计!$AA$2:$AA$500,0)),"")</f>
        <v/>
      </c>
      <c r="T7" s="8" t="str">
        <f>IFERROR(INDEX(样本到样信息汇总统计!T$2:T$500,MATCH(6,样本到样信息汇总统计!$AA$2:$AA$500,0)),"")</f>
        <v/>
      </c>
      <c r="U7" s="8" t="str">
        <f>IFERROR(INDEX(样本到样信息汇总统计!U$2:U$500,MATCH(6,样本到样信息汇总统计!$AA$2:$AA$500,0)),"")</f>
        <v/>
      </c>
      <c r="V7" s="8" t="str">
        <f>IFERROR(INDEX(样本到样信息汇总统计!V$2:V$500,MATCH(6,样本到样信息汇总统计!$AA$2:$AA$500,0)),"")</f>
        <v/>
      </c>
      <c r="W7" s="8" t="str">
        <f>IFERROR(INDEX(样本到样信息汇总统计!W$2:W$500,MATCH(6,样本到样信息汇总统计!$AA$2:$AA$500,0)),"")</f>
        <v/>
      </c>
    </row>
    <row r="8" ht="21.75" customHeight="1" spans="1:23">
      <c r="A8" s="4" t="str">
        <f>IFERROR(INDEX(样本到样信息汇总统计!A$2:A$500,MATCH(7,样本到样信息汇总统计!$AA$2:$AA$500,0)),"")</f>
        <v/>
      </c>
      <c r="B8" s="4" t="str">
        <f>IFERROR(INDEX(样本到样信息汇总统计!B$2:B$500,MATCH(7,样本到样信息汇总统计!$AA$2:$AA$500,0)),"")</f>
        <v/>
      </c>
      <c r="C8" s="4" t="str">
        <f>IFERROR(INDEX(样本到样信息汇总统计!C$2:C$500,MATCH(7,样本到样信息汇总统计!$AA$2:$AA$500,0)),"")</f>
        <v/>
      </c>
      <c r="D8" s="4" t="str">
        <f>IFERROR(INDEX(样本到样信息汇总统计!D$2:D$500,MATCH(7,样本到样信息汇总统计!$AA$2:$AA$500,0)),"")</f>
        <v/>
      </c>
      <c r="E8" s="4" t="str">
        <f>IFERROR(INDEX(样本到样信息汇总统计!E$2:E$500,MATCH(7,样本到样信息汇总统计!$AA$2:$AA$500,0)),"")</f>
        <v/>
      </c>
      <c r="F8" s="4" t="str">
        <f>IFERROR(INDEX(样本到样信息汇总统计!F$2:F$500,MATCH(7,样本到样信息汇总统计!$AA$2:$AA$500,0)),"")</f>
        <v/>
      </c>
      <c r="G8" s="4" t="str">
        <f>IFERROR(INDEX(样本到样信息汇总统计!G$2:G$500,MATCH(7,样本到样信息汇总统计!$AA$2:$AA$500,0)),"")</f>
        <v/>
      </c>
      <c r="H8" s="4" t="str">
        <f>IFERROR(INDEX(样本到样信息汇总统计!H$2:H$500,MATCH(7,样本到样信息汇总统计!$AA$2:$AA$500,0)),"")</f>
        <v/>
      </c>
      <c r="I8" s="4" t="str">
        <f>IFERROR(INDEX(样本到样信息汇总统计!I$2:I$500,MATCH(7,样本到样信息汇总统计!$AA$2:$AA$500,0)),"")</f>
        <v/>
      </c>
      <c r="J8" s="4" t="str">
        <f>IFERROR(INDEX(样本到样信息汇总统计!J$2:J$500,MATCH(7,样本到样信息汇总统计!$AA$2:$AA$500,0)),"")</f>
        <v/>
      </c>
      <c r="K8" s="4" t="str">
        <f>IFERROR(INDEX(样本到样信息汇总统计!K$2:K$500,MATCH(7,样本到样信息汇总统计!$AA$2:$AA$500,0)),"")</f>
        <v/>
      </c>
      <c r="L8" s="4" t="str">
        <f>IFERROR(INDEX(样本到样信息汇总统计!L$2:L$500,MATCH(7,样本到样信息汇总统计!$AA$2:$AA$500,0)),"")</f>
        <v/>
      </c>
      <c r="M8" s="4" t="str">
        <f>IFERROR(INDEX(样本到样信息汇总统计!M$2:M$500,MATCH(7,样本到样信息汇总统计!$AA$2:$AA$500,0)),"")</f>
        <v/>
      </c>
      <c r="N8" s="4" t="str">
        <f>IFERROR(INDEX(样本到样信息汇总统计!N$2:N$500,MATCH(7,样本到样信息汇总统计!$AA$2:$AA$500,0)),"")</f>
        <v/>
      </c>
      <c r="O8" s="4" t="str">
        <f>IFERROR(INDEX(样本到样信息汇总统计!O$2:O$500,MATCH(7,样本到样信息汇总统计!$AA$2:$AA$500,0)),"")</f>
        <v/>
      </c>
      <c r="P8" s="4" t="str">
        <f>IFERROR(INDEX(样本到样信息汇总统计!P$2:P$500,MATCH(7,样本到样信息汇总统计!$AA$2:$AA$500,0)),"")</f>
        <v/>
      </c>
      <c r="Q8" s="4" t="str">
        <f>IFERROR(INDEX(样本到样信息汇总统计!Q$2:Q$500,MATCH(7,样本到样信息汇总统计!$AA$2:$AA$500,0)),"")</f>
        <v/>
      </c>
      <c r="R8" s="4" t="str">
        <f>IFERROR(INDEX(样本到样信息汇总统计!R$2:R$500,MATCH(7,样本到样信息汇总统计!$AA$2:$AA$500,0)),"")</f>
        <v/>
      </c>
      <c r="S8" s="4" t="str">
        <f>IFERROR(INDEX(样本到样信息汇总统计!S$2:S$500,MATCH(7,样本到样信息汇总统计!$AA$2:$AA$500,0)),"")</f>
        <v/>
      </c>
      <c r="T8" s="4" t="str">
        <f>IFERROR(INDEX(样本到样信息汇总统计!T$2:T$500,MATCH(7,样本到样信息汇总统计!$AA$2:$AA$500,0)),"")</f>
        <v/>
      </c>
      <c r="U8" s="4" t="str">
        <f>IFERROR(INDEX(样本到样信息汇总统计!U$2:U$500,MATCH(7,样本到样信息汇总统计!$AA$2:$AA$500,0)),"")</f>
        <v/>
      </c>
      <c r="V8" s="4" t="str">
        <f>IFERROR(INDEX(样本到样信息汇总统计!V$2:V$500,MATCH(7,样本到样信息汇总统计!$AA$2:$AA$500,0)),"")</f>
        <v/>
      </c>
      <c r="W8" s="4" t="str">
        <f>IFERROR(INDEX(样本到样信息汇总统计!W$2:W$500,MATCH(7,样本到样信息汇总统计!$AA$2:$AA$500,0)),"")</f>
        <v/>
      </c>
    </row>
    <row r="9" ht="21.75" customHeight="1" spans="1:23">
      <c r="A9" s="8" t="str">
        <f>IFERROR(INDEX(样本到样信息汇总统计!A$2:A$500,MATCH(8,样本到样信息汇总统计!$AA$2:$AA$500,0)),"")</f>
        <v/>
      </c>
      <c r="B9" s="8" t="str">
        <f>IFERROR(INDEX(样本到样信息汇总统计!B$2:B$500,MATCH(8,样本到样信息汇总统计!$AA$2:$AA$500,0)),"")</f>
        <v/>
      </c>
      <c r="C9" s="8" t="str">
        <f>IFERROR(INDEX(样本到样信息汇总统计!C$2:C$500,MATCH(8,样本到样信息汇总统计!$AA$2:$AA$500,0)),"")</f>
        <v/>
      </c>
      <c r="D9" s="8" t="str">
        <f>IFERROR(INDEX(样本到样信息汇总统计!D$2:D$500,MATCH(8,样本到样信息汇总统计!$AA$2:$AA$500,0)),"")</f>
        <v/>
      </c>
      <c r="E9" s="8" t="str">
        <f>IFERROR(INDEX(样本到样信息汇总统计!E$2:E$500,MATCH(8,样本到样信息汇总统计!$AA$2:$AA$500,0)),"")</f>
        <v/>
      </c>
      <c r="F9" s="8" t="str">
        <f>IFERROR(INDEX(样本到样信息汇总统计!F$2:F$500,MATCH(8,样本到样信息汇总统计!$AA$2:$AA$500,0)),"")</f>
        <v/>
      </c>
      <c r="G9" s="8" t="str">
        <f>IFERROR(INDEX(样本到样信息汇总统计!G$2:G$500,MATCH(8,样本到样信息汇总统计!$AA$2:$AA$500,0)),"")</f>
        <v/>
      </c>
      <c r="H9" s="8" t="str">
        <f>IFERROR(INDEX(样本到样信息汇总统计!H$2:H$500,MATCH(8,样本到样信息汇总统计!$AA$2:$AA$500,0)),"")</f>
        <v/>
      </c>
      <c r="I9" s="8" t="str">
        <f>IFERROR(INDEX(样本到样信息汇总统计!I$2:I$500,MATCH(8,样本到样信息汇总统计!$AA$2:$AA$500,0)),"")</f>
        <v/>
      </c>
      <c r="J9" s="8" t="str">
        <f>IFERROR(INDEX(样本到样信息汇总统计!J$2:J$500,MATCH(8,样本到样信息汇总统计!$AA$2:$AA$500,0)),"")</f>
        <v/>
      </c>
      <c r="K9" s="8" t="str">
        <f>IFERROR(INDEX(样本到样信息汇总统计!K$2:K$500,MATCH(8,样本到样信息汇总统计!$AA$2:$AA$500,0)),"")</f>
        <v/>
      </c>
      <c r="L9" s="8" t="str">
        <f>IFERROR(INDEX(样本到样信息汇总统计!L$2:L$500,MATCH(8,样本到样信息汇总统计!$AA$2:$AA$500,0)),"")</f>
        <v/>
      </c>
      <c r="M9" s="8" t="str">
        <f>IFERROR(INDEX(样本到样信息汇总统计!M$2:M$500,MATCH(8,样本到样信息汇总统计!$AA$2:$AA$500,0)),"")</f>
        <v/>
      </c>
      <c r="N9" s="8" t="str">
        <f>IFERROR(INDEX(样本到样信息汇总统计!N$2:N$500,MATCH(8,样本到样信息汇总统计!$AA$2:$AA$500,0)),"")</f>
        <v/>
      </c>
      <c r="O9" s="8" t="str">
        <f>IFERROR(INDEX(样本到样信息汇总统计!O$2:O$500,MATCH(8,样本到样信息汇总统计!$AA$2:$AA$500,0)),"")</f>
        <v/>
      </c>
      <c r="P9" s="8" t="str">
        <f>IFERROR(INDEX(样本到样信息汇总统计!P$2:P$500,MATCH(8,样本到样信息汇总统计!$AA$2:$AA$500,0)),"")</f>
        <v/>
      </c>
      <c r="Q9" s="8" t="str">
        <f>IFERROR(INDEX(样本到样信息汇总统计!Q$2:Q$500,MATCH(8,样本到样信息汇总统计!$AA$2:$AA$500,0)),"")</f>
        <v/>
      </c>
      <c r="R9" s="8" t="str">
        <f>IFERROR(INDEX(样本到样信息汇总统计!R$2:R$500,MATCH(8,样本到样信息汇总统计!$AA$2:$AA$500,0)),"")</f>
        <v/>
      </c>
      <c r="S9" s="8" t="str">
        <f>IFERROR(INDEX(样本到样信息汇总统计!S$2:S$500,MATCH(8,样本到样信息汇总统计!$AA$2:$AA$500,0)),"")</f>
        <v/>
      </c>
      <c r="T9" s="8" t="str">
        <f>IFERROR(INDEX(样本到样信息汇总统计!T$2:T$500,MATCH(8,样本到样信息汇总统计!$AA$2:$AA$500,0)),"")</f>
        <v/>
      </c>
      <c r="U9" s="8" t="str">
        <f>IFERROR(INDEX(样本到样信息汇总统计!U$2:U$500,MATCH(8,样本到样信息汇总统计!$AA$2:$AA$500,0)),"")</f>
        <v/>
      </c>
      <c r="V9" s="8" t="str">
        <f>IFERROR(INDEX(样本到样信息汇总统计!V$2:V$500,MATCH(8,样本到样信息汇总统计!$AA$2:$AA$500,0)),"")</f>
        <v/>
      </c>
      <c r="W9" s="8" t="str">
        <f>IFERROR(INDEX(样本到样信息汇总统计!W$2:W$500,MATCH(8,样本到样信息汇总统计!$AA$2:$AA$500,0)),"")</f>
        <v/>
      </c>
    </row>
    <row r="10" ht="21.75" customHeight="1" spans="1:23">
      <c r="A10" s="4" t="str">
        <f>IFERROR(INDEX(样本到样信息汇总统计!A$2:A$500,MATCH(9,样本到样信息汇总统计!$AA$2:$AA$500,0)),"")</f>
        <v/>
      </c>
      <c r="B10" s="4" t="str">
        <f>IFERROR(INDEX(样本到样信息汇总统计!B$2:B$500,MATCH(9,样本到样信息汇总统计!$AA$2:$AA$500,0)),"")</f>
        <v/>
      </c>
      <c r="C10" s="4" t="str">
        <f>IFERROR(INDEX(样本到样信息汇总统计!C$2:C$500,MATCH(9,样本到样信息汇总统计!$AA$2:$AA$500,0)),"")</f>
        <v/>
      </c>
      <c r="D10" s="4" t="str">
        <f>IFERROR(INDEX(样本到样信息汇总统计!D$2:D$500,MATCH(9,样本到样信息汇总统计!$AA$2:$AA$500,0)),"")</f>
        <v/>
      </c>
      <c r="E10" s="4" t="str">
        <f>IFERROR(INDEX(样本到样信息汇总统计!E$2:E$500,MATCH(9,样本到样信息汇总统计!$AA$2:$AA$500,0)),"")</f>
        <v/>
      </c>
      <c r="F10" s="4" t="str">
        <f>IFERROR(INDEX(样本到样信息汇总统计!F$2:F$500,MATCH(9,样本到样信息汇总统计!$AA$2:$AA$500,0)),"")</f>
        <v/>
      </c>
      <c r="G10" s="4" t="str">
        <f>IFERROR(INDEX(样本到样信息汇总统计!G$2:G$500,MATCH(9,样本到样信息汇总统计!$AA$2:$AA$500,0)),"")</f>
        <v/>
      </c>
      <c r="H10" s="4" t="str">
        <f>IFERROR(INDEX(样本到样信息汇总统计!H$2:H$500,MATCH(9,样本到样信息汇总统计!$AA$2:$AA$500,0)),"")</f>
        <v/>
      </c>
      <c r="I10" s="4" t="str">
        <f>IFERROR(INDEX(样本到样信息汇总统计!I$2:I$500,MATCH(9,样本到样信息汇总统计!$AA$2:$AA$500,0)),"")</f>
        <v/>
      </c>
      <c r="J10" s="4" t="str">
        <f>IFERROR(INDEX(样本到样信息汇总统计!J$2:J$500,MATCH(9,样本到样信息汇总统计!$AA$2:$AA$500,0)),"")</f>
        <v/>
      </c>
      <c r="K10" s="4" t="str">
        <f>IFERROR(INDEX(样本到样信息汇总统计!K$2:K$500,MATCH(9,样本到样信息汇总统计!$AA$2:$AA$500,0)),"")</f>
        <v/>
      </c>
      <c r="L10" s="4" t="str">
        <f>IFERROR(INDEX(样本到样信息汇总统计!L$2:L$500,MATCH(9,样本到样信息汇总统计!$AA$2:$AA$500,0)),"")</f>
        <v/>
      </c>
      <c r="M10" s="4" t="str">
        <f>IFERROR(INDEX(样本到样信息汇总统计!M$2:M$500,MATCH(9,样本到样信息汇总统计!$AA$2:$AA$500,0)),"")</f>
        <v/>
      </c>
      <c r="N10" s="4" t="str">
        <f>IFERROR(INDEX(样本到样信息汇总统计!N$2:N$500,MATCH(9,样本到样信息汇总统计!$AA$2:$AA$500,0)),"")</f>
        <v/>
      </c>
      <c r="O10" s="4" t="str">
        <f>IFERROR(INDEX(样本到样信息汇总统计!O$2:O$500,MATCH(9,样本到样信息汇总统计!$AA$2:$AA$500,0)),"")</f>
        <v/>
      </c>
      <c r="P10" s="4" t="str">
        <f>IFERROR(INDEX(样本到样信息汇总统计!P$2:P$500,MATCH(9,样本到样信息汇总统计!$AA$2:$AA$500,0)),"")</f>
        <v/>
      </c>
      <c r="Q10" s="4" t="str">
        <f>IFERROR(INDEX(样本到样信息汇总统计!Q$2:Q$500,MATCH(9,样本到样信息汇总统计!$AA$2:$AA$500,0)),"")</f>
        <v/>
      </c>
      <c r="R10" s="4" t="str">
        <f>IFERROR(INDEX(样本到样信息汇总统计!R$2:R$500,MATCH(9,样本到样信息汇总统计!$AA$2:$AA$500,0)),"")</f>
        <v/>
      </c>
      <c r="S10" s="4" t="str">
        <f>IFERROR(INDEX(样本到样信息汇总统计!S$2:S$500,MATCH(9,样本到样信息汇总统计!$AA$2:$AA$500,0)),"")</f>
        <v/>
      </c>
      <c r="T10" s="4" t="str">
        <f>IFERROR(INDEX(样本到样信息汇总统计!T$2:T$500,MATCH(9,样本到样信息汇总统计!$AA$2:$AA$500,0)),"")</f>
        <v/>
      </c>
      <c r="U10" s="4" t="str">
        <f>IFERROR(INDEX(样本到样信息汇总统计!U$2:U$500,MATCH(9,样本到样信息汇总统计!$AA$2:$AA$500,0)),"")</f>
        <v/>
      </c>
      <c r="V10" s="4" t="str">
        <f>IFERROR(INDEX(样本到样信息汇总统计!V$2:V$500,MATCH(9,样本到样信息汇总统计!$AA$2:$AA$500,0)),"")</f>
        <v/>
      </c>
      <c r="W10" s="4" t="str">
        <f>IFERROR(INDEX(样本到样信息汇总统计!W$2:W$500,MATCH(9,样本到样信息汇总统计!$AA$2:$AA$500,0)),"")</f>
        <v/>
      </c>
    </row>
    <row r="11" ht="21.75" customHeight="1" spans="1:23">
      <c r="A11" s="8" t="str">
        <f>IFERROR(INDEX(样本到样信息汇总统计!A$2:A$500,MATCH(10,样本到样信息汇总统计!$AA$2:$AA$500,0)),"")</f>
        <v/>
      </c>
      <c r="B11" s="8" t="str">
        <f>IFERROR(INDEX(样本到样信息汇总统计!B$2:B$500,MATCH(10,样本到样信息汇总统计!$AA$2:$AA$500,0)),"")</f>
        <v/>
      </c>
      <c r="C11" s="8" t="str">
        <f>IFERROR(INDEX(样本到样信息汇总统计!C$2:C$500,MATCH(10,样本到样信息汇总统计!$AA$2:$AA$500,0)),"")</f>
        <v/>
      </c>
      <c r="D11" s="8" t="str">
        <f>IFERROR(INDEX(样本到样信息汇总统计!D$2:D$500,MATCH(10,样本到样信息汇总统计!$AA$2:$AA$500,0)),"")</f>
        <v/>
      </c>
      <c r="E11" s="8" t="str">
        <f>IFERROR(INDEX(样本到样信息汇总统计!E$2:E$500,MATCH(10,样本到样信息汇总统计!$AA$2:$AA$500,0)),"")</f>
        <v/>
      </c>
      <c r="F11" s="8" t="str">
        <f>IFERROR(INDEX(样本到样信息汇总统计!F$2:F$500,MATCH(10,样本到样信息汇总统计!$AA$2:$AA$500,0)),"")</f>
        <v/>
      </c>
      <c r="G11" s="8" t="str">
        <f>IFERROR(INDEX(样本到样信息汇总统计!G$2:G$500,MATCH(10,样本到样信息汇总统计!$AA$2:$AA$500,0)),"")</f>
        <v/>
      </c>
      <c r="H11" s="8" t="str">
        <f>IFERROR(INDEX(样本到样信息汇总统计!H$2:H$500,MATCH(10,样本到样信息汇总统计!$AA$2:$AA$500,0)),"")</f>
        <v/>
      </c>
      <c r="I11" s="8" t="str">
        <f>IFERROR(INDEX(样本到样信息汇总统计!I$2:I$500,MATCH(10,样本到样信息汇总统计!$AA$2:$AA$500,0)),"")</f>
        <v/>
      </c>
      <c r="J11" s="8" t="str">
        <f>IFERROR(INDEX(样本到样信息汇总统计!J$2:J$500,MATCH(10,样本到样信息汇总统计!$AA$2:$AA$500,0)),"")</f>
        <v/>
      </c>
      <c r="K11" s="8" t="str">
        <f>IFERROR(INDEX(样本到样信息汇总统计!K$2:K$500,MATCH(10,样本到样信息汇总统计!$AA$2:$AA$500,0)),"")</f>
        <v/>
      </c>
      <c r="L11" s="8" t="str">
        <f>IFERROR(INDEX(样本到样信息汇总统计!L$2:L$500,MATCH(10,样本到样信息汇总统计!$AA$2:$AA$500,0)),"")</f>
        <v/>
      </c>
      <c r="M11" s="8" t="str">
        <f>IFERROR(INDEX(样本到样信息汇总统计!M$2:M$500,MATCH(10,样本到样信息汇总统计!$AA$2:$AA$500,0)),"")</f>
        <v/>
      </c>
      <c r="N11" s="8" t="str">
        <f>IFERROR(INDEX(样本到样信息汇总统计!N$2:N$500,MATCH(10,样本到样信息汇总统计!$AA$2:$AA$500,0)),"")</f>
        <v/>
      </c>
      <c r="O11" s="8" t="str">
        <f>IFERROR(INDEX(样本到样信息汇总统计!O$2:O$500,MATCH(10,样本到样信息汇总统计!$AA$2:$AA$500,0)),"")</f>
        <v/>
      </c>
      <c r="P11" s="8" t="str">
        <f>IFERROR(INDEX(样本到样信息汇总统计!P$2:P$500,MATCH(10,样本到样信息汇总统计!$AA$2:$AA$500,0)),"")</f>
        <v/>
      </c>
      <c r="Q11" s="8" t="str">
        <f>IFERROR(INDEX(样本到样信息汇总统计!Q$2:Q$500,MATCH(10,样本到样信息汇总统计!$AA$2:$AA$500,0)),"")</f>
        <v/>
      </c>
      <c r="R11" s="8" t="str">
        <f>IFERROR(INDEX(样本到样信息汇总统计!R$2:R$500,MATCH(10,样本到样信息汇总统计!$AA$2:$AA$500,0)),"")</f>
        <v/>
      </c>
      <c r="S11" s="8" t="str">
        <f>IFERROR(INDEX(样本到样信息汇总统计!S$2:S$500,MATCH(10,样本到样信息汇总统计!$AA$2:$AA$500,0)),"")</f>
        <v/>
      </c>
      <c r="T11" s="8" t="str">
        <f>IFERROR(INDEX(样本到样信息汇总统计!T$2:T$500,MATCH(10,样本到样信息汇总统计!$AA$2:$AA$500,0)),"")</f>
        <v/>
      </c>
      <c r="U11" s="8" t="str">
        <f>IFERROR(INDEX(样本到样信息汇总统计!U$2:U$500,MATCH(10,样本到样信息汇总统计!$AA$2:$AA$500,0)),"")</f>
        <v/>
      </c>
      <c r="V11" s="8" t="str">
        <f>IFERROR(INDEX(样本到样信息汇总统计!V$2:V$500,MATCH(10,样本到样信息汇总统计!$AA$2:$AA$500,0)),"")</f>
        <v/>
      </c>
      <c r="W11" s="8" t="str">
        <f>IFERROR(INDEX(样本到样信息汇总统计!W$2:W$500,MATCH(10,样本到样信息汇总统计!$AA$2:$AA$500,0)),"")</f>
        <v/>
      </c>
    </row>
    <row r="12" ht="21.75" customHeight="1" spans="1:23">
      <c r="A12" s="4" t="str">
        <f>IFERROR(INDEX(样本到样信息汇总统计!A$2:A$500,MATCH(11,样本到样信息汇总统计!$AA$2:$AA$500,0)),"")</f>
        <v/>
      </c>
      <c r="B12" s="4" t="str">
        <f>IFERROR(INDEX(样本到样信息汇总统计!B$2:B$500,MATCH(11,样本到样信息汇总统计!$AA$2:$AA$500,0)),"")</f>
        <v/>
      </c>
      <c r="C12" s="4" t="str">
        <f>IFERROR(INDEX(样本到样信息汇总统计!C$2:C$500,MATCH(11,样本到样信息汇总统计!$AA$2:$AA$500,0)),"")</f>
        <v/>
      </c>
      <c r="D12" s="4" t="str">
        <f>IFERROR(INDEX(样本到样信息汇总统计!D$2:D$500,MATCH(11,样本到样信息汇总统计!$AA$2:$AA$500,0)),"")</f>
        <v/>
      </c>
      <c r="E12" s="4" t="str">
        <f>IFERROR(INDEX(样本到样信息汇总统计!E$2:E$500,MATCH(11,样本到样信息汇总统计!$AA$2:$AA$500,0)),"")</f>
        <v/>
      </c>
      <c r="F12" s="4" t="str">
        <f>IFERROR(INDEX(样本到样信息汇总统计!F$2:F$500,MATCH(11,样本到样信息汇总统计!$AA$2:$AA$500,0)),"")</f>
        <v/>
      </c>
      <c r="G12" s="4" t="str">
        <f>IFERROR(INDEX(样本到样信息汇总统计!G$2:G$500,MATCH(11,样本到样信息汇总统计!$AA$2:$AA$500,0)),"")</f>
        <v/>
      </c>
      <c r="H12" s="4" t="str">
        <f>IFERROR(INDEX(样本到样信息汇总统计!H$2:H$500,MATCH(11,样本到样信息汇总统计!$AA$2:$AA$500,0)),"")</f>
        <v/>
      </c>
      <c r="I12" s="4" t="str">
        <f>IFERROR(INDEX(样本到样信息汇总统计!I$2:I$500,MATCH(11,样本到样信息汇总统计!$AA$2:$AA$500,0)),"")</f>
        <v/>
      </c>
      <c r="J12" s="4" t="str">
        <f>IFERROR(INDEX(样本到样信息汇总统计!J$2:J$500,MATCH(11,样本到样信息汇总统计!$AA$2:$AA$500,0)),"")</f>
        <v/>
      </c>
      <c r="K12" s="4" t="str">
        <f>IFERROR(INDEX(样本到样信息汇总统计!K$2:K$500,MATCH(11,样本到样信息汇总统计!$AA$2:$AA$500,0)),"")</f>
        <v/>
      </c>
      <c r="L12" s="4" t="str">
        <f>IFERROR(INDEX(样本到样信息汇总统计!L$2:L$500,MATCH(11,样本到样信息汇总统计!$AA$2:$AA$500,0)),"")</f>
        <v/>
      </c>
      <c r="M12" s="4" t="str">
        <f>IFERROR(INDEX(样本到样信息汇总统计!M$2:M$500,MATCH(11,样本到样信息汇总统计!$AA$2:$AA$500,0)),"")</f>
        <v/>
      </c>
      <c r="N12" s="4" t="str">
        <f>IFERROR(INDEX(样本到样信息汇总统计!N$2:N$500,MATCH(11,样本到样信息汇总统计!$AA$2:$AA$500,0)),"")</f>
        <v/>
      </c>
      <c r="O12" s="4" t="str">
        <f>IFERROR(INDEX(样本到样信息汇总统计!O$2:O$500,MATCH(11,样本到样信息汇总统计!$AA$2:$AA$500,0)),"")</f>
        <v/>
      </c>
      <c r="P12" s="4" t="str">
        <f>IFERROR(INDEX(样本到样信息汇总统计!P$2:P$500,MATCH(11,样本到样信息汇总统计!$AA$2:$AA$500,0)),"")</f>
        <v/>
      </c>
      <c r="Q12" s="4" t="str">
        <f>IFERROR(INDEX(样本到样信息汇总统计!Q$2:Q$500,MATCH(11,样本到样信息汇总统计!$AA$2:$AA$500,0)),"")</f>
        <v/>
      </c>
      <c r="R12" s="4" t="str">
        <f>IFERROR(INDEX(样本到样信息汇总统计!R$2:R$500,MATCH(11,样本到样信息汇总统计!$AA$2:$AA$500,0)),"")</f>
        <v/>
      </c>
      <c r="S12" s="4" t="str">
        <f>IFERROR(INDEX(样本到样信息汇总统计!S$2:S$500,MATCH(11,样本到样信息汇总统计!$AA$2:$AA$500,0)),"")</f>
        <v/>
      </c>
      <c r="T12" s="4" t="str">
        <f>IFERROR(INDEX(样本到样信息汇总统计!T$2:T$500,MATCH(11,样本到样信息汇总统计!$AA$2:$AA$500,0)),"")</f>
        <v/>
      </c>
      <c r="U12" s="4" t="str">
        <f>IFERROR(INDEX(样本到样信息汇总统计!U$2:U$500,MATCH(11,样本到样信息汇总统计!$AA$2:$AA$500,0)),"")</f>
        <v/>
      </c>
      <c r="V12" s="4" t="str">
        <f>IFERROR(INDEX(样本到样信息汇总统计!V$2:V$500,MATCH(11,样本到样信息汇总统计!$AA$2:$AA$500,0)),"")</f>
        <v/>
      </c>
      <c r="W12" s="4" t="str">
        <f>IFERROR(INDEX(样本到样信息汇总统计!W$2:W$500,MATCH(11,样本到样信息汇总统计!$AA$2:$AA$500,0)),"")</f>
        <v/>
      </c>
    </row>
    <row r="13" ht="21.75" customHeight="1" spans="1:23">
      <c r="A13" s="8" t="str">
        <f>IFERROR(INDEX(样本到样信息汇总统计!A$2:A$500,MATCH(12,样本到样信息汇总统计!$AA$2:$AA$500,0)),"")</f>
        <v/>
      </c>
      <c r="B13" s="8" t="str">
        <f>IFERROR(INDEX(样本到样信息汇总统计!B$2:B$500,MATCH(12,样本到样信息汇总统计!$AA$2:$AA$500,0)),"")</f>
        <v/>
      </c>
      <c r="C13" s="8" t="str">
        <f>IFERROR(INDEX(样本到样信息汇总统计!C$2:C$500,MATCH(12,样本到样信息汇总统计!$AA$2:$AA$500,0)),"")</f>
        <v/>
      </c>
      <c r="D13" s="8" t="str">
        <f>IFERROR(INDEX(样本到样信息汇总统计!D$2:D$500,MATCH(12,样本到样信息汇总统计!$AA$2:$AA$500,0)),"")</f>
        <v/>
      </c>
      <c r="E13" s="8" t="str">
        <f>IFERROR(INDEX(样本到样信息汇总统计!E$2:E$500,MATCH(12,样本到样信息汇总统计!$AA$2:$AA$500,0)),"")</f>
        <v/>
      </c>
      <c r="F13" s="8" t="str">
        <f>IFERROR(INDEX(样本到样信息汇总统计!F$2:F$500,MATCH(12,样本到样信息汇总统计!$AA$2:$AA$500,0)),"")</f>
        <v/>
      </c>
      <c r="G13" s="8" t="str">
        <f>IFERROR(INDEX(样本到样信息汇总统计!G$2:G$500,MATCH(12,样本到样信息汇总统计!$AA$2:$AA$500,0)),"")</f>
        <v/>
      </c>
      <c r="H13" s="8" t="str">
        <f>IFERROR(INDEX(样本到样信息汇总统计!H$2:H$500,MATCH(12,样本到样信息汇总统计!$AA$2:$AA$500,0)),"")</f>
        <v/>
      </c>
      <c r="I13" s="8" t="str">
        <f>IFERROR(INDEX(样本到样信息汇总统计!I$2:I$500,MATCH(12,样本到样信息汇总统计!$AA$2:$AA$500,0)),"")</f>
        <v/>
      </c>
      <c r="J13" s="8" t="str">
        <f>IFERROR(INDEX(样本到样信息汇总统计!J$2:J$500,MATCH(12,样本到样信息汇总统计!$AA$2:$AA$500,0)),"")</f>
        <v/>
      </c>
      <c r="K13" s="8" t="str">
        <f>IFERROR(INDEX(样本到样信息汇总统计!K$2:K$500,MATCH(12,样本到样信息汇总统计!$AA$2:$AA$500,0)),"")</f>
        <v/>
      </c>
      <c r="L13" s="8" t="str">
        <f>IFERROR(INDEX(样本到样信息汇总统计!L$2:L$500,MATCH(12,样本到样信息汇总统计!$AA$2:$AA$500,0)),"")</f>
        <v/>
      </c>
      <c r="M13" s="8" t="str">
        <f>IFERROR(INDEX(样本到样信息汇总统计!M$2:M$500,MATCH(12,样本到样信息汇总统计!$AA$2:$AA$500,0)),"")</f>
        <v/>
      </c>
      <c r="N13" s="8" t="str">
        <f>IFERROR(INDEX(样本到样信息汇总统计!N$2:N$500,MATCH(12,样本到样信息汇总统计!$AA$2:$AA$500,0)),"")</f>
        <v/>
      </c>
      <c r="O13" s="8" t="str">
        <f>IFERROR(INDEX(样本到样信息汇总统计!O$2:O$500,MATCH(12,样本到样信息汇总统计!$AA$2:$AA$500,0)),"")</f>
        <v/>
      </c>
      <c r="P13" s="8" t="str">
        <f>IFERROR(INDEX(样本到样信息汇总统计!P$2:P$500,MATCH(12,样本到样信息汇总统计!$AA$2:$AA$500,0)),"")</f>
        <v/>
      </c>
      <c r="Q13" s="8" t="str">
        <f>IFERROR(INDEX(样本到样信息汇总统计!Q$2:Q$500,MATCH(12,样本到样信息汇总统计!$AA$2:$AA$500,0)),"")</f>
        <v/>
      </c>
      <c r="R13" s="8" t="str">
        <f>IFERROR(INDEX(样本到样信息汇总统计!R$2:R$500,MATCH(12,样本到样信息汇总统计!$AA$2:$AA$500,0)),"")</f>
        <v/>
      </c>
      <c r="S13" s="8" t="str">
        <f>IFERROR(INDEX(样本到样信息汇总统计!S$2:S$500,MATCH(12,样本到样信息汇总统计!$AA$2:$AA$500,0)),"")</f>
        <v/>
      </c>
      <c r="T13" s="8" t="str">
        <f>IFERROR(INDEX(样本到样信息汇总统计!T$2:T$500,MATCH(12,样本到样信息汇总统计!$AA$2:$AA$500,0)),"")</f>
        <v/>
      </c>
      <c r="U13" s="8" t="str">
        <f>IFERROR(INDEX(样本到样信息汇总统计!U$2:U$500,MATCH(12,样本到样信息汇总统计!$AA$2:$AA$500,0)),"")</f>
        <v/>
      </c>
      <c r="V13" s="8" t="str">
        <f>IFERROR(INDEX(样本到样信息汇总统计!V$2:V$500,MATCH(12,样本到样信息汇总统计!$AA$2:$AA$500,0)),"")</f>
        <v/>
      </c>
      <c r="W13" s="8" t="str">
        <f>IFERROR(INDEX(样本到样信息汇总统计!W$2:W$500,MATCH(12,样本到样信息汇总统计!$AA$2:$AA$500,0)),"")</f>
        <v/>
      </c>
    </row>
    <row r="14" ht="21.75" customHeight="1" spans="1:23">
      <c r="A14" s="4" t="str">
        <f>IFERROR(INDEX(样本到样信息汇总统计!A$2:A$500,MATCH(13,样本到样信息汇总统计!$AA$2:$AA$500,0)),"")</f>
        <v/>
      </c>
      <c r="B14" s="4" t="str">
        <f>IFERROR(INDEX(样本到样信息汇总统计!B$2:B$500,MATCH(13,样本到样信息汇总统计!$AA$2:$AA$500,0)),"")</f>
        <v/>
      </c>
      <c r="C14" s="4" t="str">
        <f>IFERROR(INDEX(样本到样信息汇总统计!C$2:C$500,MATCH(13,样本到样信息汇总统计!$AA$2:$AA$500,0)),"")</f>
        <v/>
      </c>
      <c r="D14" s="4" t="str">
        <f>IFERROR(INDEX(样本到样信息汇总统计!D$2:D$500,MATCH(13,样本到样信息汇总统计!$AA$2:$AA$500,0)),"")</f>
        <v/>
      </c>
      <c r="E14" s="4" t="str">
        <f>IFERROR(INDEX(样本到样信息汇总统计!E$2:E$500,MATCH(13,样本到样信息汇总统计!$AA$2:$AA$500,0)),"")</f>
        <v/>
      </c>
      <c r="F14" s="4" t="str">
        <f>IFERROR(INDEX(样本到样信息汇总统计!F$2:F$500,MATCH(13,样本到样信息汇总统计!$AA$2:$AA$500,0)),"")</f>
        <v/>
      </c>
      <c r="G14" s="4" t="str">
        <f>IFERROR(INDEX(样本到样信息汇总统计!G$2:G$500,MATCH(13,样本到样信息汇总统计!$AA$2:$AA$500,0)),"")</f>
        <v/>
      </c>
      <c r="H14" s="4" t="str">
        <f>IFERROR(INDEX(样本到样信息汇总统计!H$2:H$500,MATCH(13,样本到样信息汇总统计!$AA$2:$AA$500,0)),"")</f>
        <v/>
      </c>
      <c r="I14" s="4" t="str">
        <f>IFERROR(INDEX(样本到样信息汇总统计!I$2:I$500,MATCH(13,样本到样信息汇总统计!$AA$2:$AA$500,0)),"")</f>
        <v/>
      </c>
      <c r="J14" s="4" t="str">
        <f>IFERROR(INDEX(样本到样信息汇总统计!J$2:J$500,MATCH(13,样本到样信息汇总统计!$AA$2:$AA$500,0)),"")</f>
        <v/>
      </c>
      <c r="K14" s="4" t="str">
        <f>IFERROR(INDEX(样本到样信息汇总统计!K$2:K$500,MATCH(13,样本到样信息汇总统计!$AA$2:$AA$500,0)),"")</f>
        <v/>
      </c>
      <c r="L14" s="4" t="str">
        <f>IFERROR(INDEX(样本到样信息汇总统计!L$2:L$500,MATCH(13,样本到样信息汇总统计!$AA$2:$AA$500,0)),"")</f>
        <v/>
      </c>
      <c r="M14" s="4" t="str">
        <f>IFERROR(INDEX(样本到样信息汇总统计!M$2:M$500,MATCH(13,样本到样信息汇总统计!$AA$2:$AA$500,0)),"")</f>
        <v/>
      </c>
      <c r="N14" s="4" t="str">
        <f>IFERROR(INDEX(样本到样信息汇总统计!N$2:N$500,MATCH(13,样本到样信息汇总统计!$AA$2:$AA$500,0)),"")</f>
        <v/>
      </c>
      <c r="O14" s="4" t="str">
        <f>IFERROR(INDEX(样本到样信息汇总统计!O$2:O$500,MATCH(13,样本到样信息汇总统计!$AA$2:$AA$500,0)),"")</f>
        <v/>
      </c>
      <c r="P14" s="4" t="str">
        <f>IFERROR(INDEX(样本到样信息汇总统计!P$2:P$500,MATCH(13,样本到样信息汇总统计!$AA$2:$AA$500,0)),"")</f>
        <v/>
      </c>
      <c r="Q14" s="4" t="str">
        <f>IFERROR(INDEX(样本到样信息汇总统计!Q$2:Q$500,MATCH(13,样本到样信息汇总统计!$AA$2:$AA$500,0)),"")</f>
        <v/>
      </c>
      <c r="R14" s="4" t="str">
        <f>IFERROR(INDEX(样本到样信息汇总统计!R$2:R$500,MATCH(13,样本到样信息汇总统计!$AA$2:$AA$500,0)),"")</f>
        <v/>
      </c>
      <c r="S14" s="4" t="str">
        <f>IFERROR(INDEX(样本到样信息汇总统计!S$2:S$500,MATCH(13,样本到样信息汇总统计!$AA$2:$AA$500,0)),"")</f>
        <v/>
      </c>
      <c r="T14" s="4" t="str">
        <f>IFERROR(INDEX(样本到样信息汇总统计!T$2:T$500,MATCH(13,样本到样信息汇总统计!$AA$2:$AA$500,0)),"")</f>
        <v/>
      </c>
      <c r="U14" s="4" t="str">
        <f>IFERROR(INDEX(样本到样信息汇总统计!U$2:U$500,MATCH(13,样本到样信息汇总统计!$AA$2:$AA$500,0)),"")</f>
        <v/>
      </c>
      <c r="V14" s="4" t="str">
        <f>IFERROR(INDEX(样本到样信息汇总统计!V$2:V$500,MATCH(13,样本到样信息汇总统计!$AA$2:$AA$500,0)),"")</f>
        <v/>
      </c>
      <c r="W14" s="4" t="str">
        <f>IFERROR(INDEX(样本到样信息汇总统计!W$2:W$500,MATCH(13,样本到样信息汇总统计!$AA$2:$AA$500,0)),"")</f>
        <v/>
      </c>
    </row>
    <row r="15" ht="21.75" customHeight="1" spans="1:23">
      <c r="A15" s="8" t="str">
        <f>IFERROR(INDEX(样本到样信息汇总统计!A$2:A$500,MATCH(14,样本到样信息汇总统计!$AA$2:$AA$500,0)),"")</f>
        <v/>
      </c>
      <c r="B15" s="8" t="str">
        <f>IFERROR(INDEX(样本到样信息汇总统计!B$2:B$500,MATCH(14,样本到样信息汇总统计!$AA$2:$AA$500,0)),"")</f>
        <v/>
      </c>
      <c r="C15" s="8" t="str">
        <f>IFERROR(INDEX(样本到样信息汇总统计!C$2:C$500,MATCH(14,样本到样信息汇总统计!$AA$2:$AA$500,0)),"")</f>
        <v/>
      </c>
      <c r="D15" s="8" t="str">
        <f>IFERROR(INDEX(样本到样信息汇总统计!D$2:D$500,MATCH(14,样本到样信息汇总统计!$AA$2:$AA$500,0)),"")</f>
        <v/>
      </c>
      <c r="E15" s="8" t="str">
        <f>IFERROR(INDEX(样本到样信息汇总统计!E$2:E$500,MATCH(14,样本到样信息汇总统计!$AA$2:$AA$500,0)),"")</f>
        <v/>
      </c>
      <c r="F15" s="8" t="str">
        <f>IFERROR(INDEX(样本到样信息汇总统计!F$2:F$500,MATCH(14,样本到样信息汇总统计!$AA$2:$AA$500,0)),"")</f>
        <v/>
      </c>
      <c r="G15" s="8" t="str">
        <f>IFERROR(INDEX(样本到样信息汇总统计!G$2:G$500,MATCH(14,样本到样信息汇总统计!$AA$2:$AA$500,0)),"")</f>
        <v/>
      </c>
      <c r="H15" s="8" t="str">
        <f>IFERROR(INDEX(样本到样信息汇总统计!H$2:H$500,MATCH(14,样本到样信息汇总统计!$AA$2:$AA$500,0)),"")</f>
        <v/>
      </c>
      <c r="I15" s="8" t="str">
        <f>IFERROR(INDEX(样本到样信息汇总统计!I$2:I$500,MATCH(14,样本到样信息汇总统计!$AA$2:$AA$500,0)),"")</f>
        <v/>
      </c>
      <c r="J15" s="8" t="str">
        <f>IFERROR(INDEX(样本到样信息汇总统计!J$2:J$500,MATCH(14,样本到样信息汇总统计!$AA$2:$AA$500,0)),"")</f>
        <v/>
      </c>
      <c r="K15" s="8" t="str">
        <f>IFERROR(INDEX(样本到样信息汇总统计!K$2:K$500,MATCH(14,样本到样信息汇总统计!$AA$2:$AA$500,0)),"")</f>
        <v/>
      </c>
      <c r="L15" s="8" t="str">
        <f>IFERROR(INDEX(样本到样信息汇总统计!L$2:L$500,MATCH(14,样本到样信息汇总统计!$AA$2:$AA$500,0)),"")</f>
        <v/>
      </c>
      <c r="M15" s="8" t="str">
        <f>IFERROR(INDEX(样本到样信息汇总统计!M$2:M$500,MATCH(14,样本到样信息汇总统计!$AA$2:$AA$500,0)),"")</f>
        <v/>
      </c>
      <c r="N15" s="8" t="str">
        <f>IFERROR(INDEX(样本到样信息汇总统计!N$2:N$500,MATCH(14,样本到样信息汇总统计!$AA$2:$AA$500,0)),"")</f>
        <v/>
      </c>
      <c r="O15" s="8" t="str">
        <f>IFERROR(INDEX(样本到样信息汇总统计!O$2:O$500,MATCH(14,样本到样信息汇总统计!$AA$2:$AA$500,0)),"")</f>
        <v/>
      </c>
      <c r="P15" s="8" t="str">
        <f>IFERROR(INDEX(样本到样信息汇总统计!P$2:P$500,MATCH(14,样本到样信息汇总统计!$AA$2:$AA$500,0)),"")</f>
        <v/>
      </c>
      <c r="Q15" s="8" t="str">
        <f>IFERROR(INDEX(样本到样信息汇总统计!Q$2:Q$500,MATCH(14,样本到样信息汇总统计!$AA$2:$AA$500,0)),"")</f>
        <v/>
      </c>
      <c r="R15" s="8" t="str">
        <f>IFERROR(INDEX(样本到样信息汇总统计!R$2:R$500,MATCH(14,样本到样信息汇总统计!$AA$2:$AA$500,0)),"")</f>
        <v/>
      </c>
      <c r="S15" s="8" t="str">
        <f>IFERROR(INDEX(样本到样信息汇总统计!S$2:S$500,MATCH(14,样本到样信息汇总统计!$AA$2:$AA$500,0)),"")</f>
        <v/>
      </c>
      <c r="T15" s="8" t="str">
        <f>IFERROR(INDEX(样本到样信息汇总统计!T$2:T$500,MATCH(14,样本到样信息汇总统计!$AA$2:$AA$500,0)),"")</f>
        <v/>
      </c>
      <c r="U15" s="8" t="str">
        <f>IFERROR(INDEX(样本到样信息汇总统计!U$2:U$500,MATCH(14,样本到样信息汇总统计!$AA$2:$AA$500,0)),"")</f>
        <v/>
      </c>
      <c r="V15" s="8" t="str">
        <f>IFERROR(INDEX(样本到样信息汇总统计!V$2:V$500,MATCH(14,样本到样信息汇总统计!$AA$2:$AA$500,0)),"")</f>
        <v/>
      </c>
      <c r="W15" s="8" t="str">
        <f>IFERROR(INDEX(样本到样信息汇总统计!W$2:W$500,MATCH(14,样本到样信息汇总统计!$AA$2:$AA$500,0)),"")</f>
        <v/>
      </c>
    </row>
    <row r="16" ht="21.75" customHeight="1" spans="1:23">
      <c r="A16" s="4" t="str">
        <f>IFERROR(INDEX(样本到样信息汇总统计!A$2:A$500,MATCH(15,样本到样信息汇总统计!$AA$2:$AA$500,0)),"")</f>
        <v/>
      </c>
      <c r="B16" s="4" t="str">
        <f>IFERROR(INDEX(样本到样信息汇总统计!B$2:B$500,MATCH(15,样本到样信息汇总统计!$AA$2:$AA$500,0)),"")</f>
        <v/>
      </c>
      <c r="C16" s="4" t="str">
        <f>IFERROR(INDEX(样本到样信息汇总统计!C$2:C$500,MATCH(15,样本到样信息汇总统计!$AA$2:$AA$500,0)),"")</f>
        <v/>
      </c>
      <c r="D16" s="4" t="str">
        <f>IFERROR(INDEX(样本到样信息汇总统计!D$2:D$500,MATCH(15,样本到样信息汇总统计!$AA$2:$AA$500,0)),"")</f>
        <v/>
      </c>
      <c r="E16" s="4" t="str">
        <f>IFERROR(INDEX(样本到样信息汇总统计!E$2:E$500,MATCH(15,样本到样信息汇总统计!$AA$2:$AA$500,0)),"")</f>
        <v/>
      </c>
      <c r="F16" s="4" t="str">
        <f>IFERROR(INDEX(样本到样信息汇总统计!F$2:F$500,MATCH(15,样本到样信息汇总统计!$AA$2:$AA$500,0)),"")</f>
        <v/>
      </c>
      <c r="G16" s="4" t="str">
        <f>IFERROR(INDEX(样本到样信息汇总统计!G$2:G$500,MATCH(15,样本到样信息汇总统计!$AA$2:$AA$500,0)),"")</f>
        <v/>
      </c>
      <c r="H16" s="4" t="str">
        <f>IFERROR(INDEX(样本到样信息汇总统计!H$2:H$500,MATCH(15,样本到样信息汇总统计!$AA$2:$AA$500,0)),"")</f>
        <v/>
      </c>
      <c r="I16" s="4" t="str">
        <f>IFERROR(INDEX(样本到样信息汇总统计!I$2:I$500,MATCH(15,样本到样信息汇总统计!$AA$2:$AA$500,0)),"")</f>
        <v/>
      </c>
      <c r="J16" s="4" t="str">
        <f>IFERROR(INDEX(样本到样信息汇总统计!J$2:J$500,MATCH(15,样本到样信息汇总统计!$AA$2:$AA$500,0)),"")</f>
        <v/>
      </c>
      <c r="K16" s="4" t="str">
        <f>IFERROR(INDEX(样本到样信息汇总统计!K$2:K$500,MATCH(15,样本到样信息汇总统计!$AA$2:$AA$500,0)),"")</f>
        <v/>
      </c>
      <c r="L16" s="4" t="str">
        <f>IFERROR(INDEX(样本到样信息汇总统计!L$2:L$500,MATCH(15,样本到样信息汇总统计!$AA$2:$AA$500,0)),"")</f>
        <v/>
      </c>
      <c r="M16" s="4" t="str">
        <f>IFERROR(INDEX(样本到样信息汇总统计!M$2:M$500,MATCH(15,样本到样信息汇总统计!$AA$2:$AA$500,0)),"")</f>
        <v/>
      </c>
      <c r="N16" s="4" t="str">
        <f>IFERROR(INDEX(样本到样信息汇总统计!N$2:N$500,MATCH(15,样本到样信息汇总统计!$AA$2:$AA$500,0)),"")</f>
        <v/>
      </c>
      <c r="O16" s="4" t="str">
        <f>IFERROR(INDEX(样本到样信息汇总统计!O$2:O$500,MATCH(15,样本到样信息汇总统计!$AA$2:$AA$500,0)),"")</f>
        <v/>
      </c>
      <c r="P16" s="4" t="str">
        <f>IFERROR(INDEX(样本到样信息汇总统计!P$2:P$500,MATCH(15,样本到样信息汇总统计!$AA$2:$AA$500,0)),"")</f>
        <v/>
      </c>
      <c r="Q16" s="4" t="str">
        <f>IFERROR(INDEX(样本到样信息汇总统计!Q$2:Q$500,MATCH(15,样本到样信息汇总统计!$AA$2:$AA$500,0)),"")</f>
        <v/>
      </c>
      <c r="R16" s="4" t="str">
        <f>IFERROR(INDEX(样本到样信息汇总统计!R$2:R$500,MATCH(15,样本到样信息汇总统计!$AA$2:$AA$500,0)),"")</f>
        <v/>
      </c>
      <c r="S16" s="4" t="str">
        <f>IFERROR(INDEX(样本到样信息汇总统计!S$2:S$500,MATCH(15,样本到样信息汇总统计!$AA$2:$AA$500,0)),"")</f>
        <v/>
      </c>
      <c r="T16" s="4" t="str">
        <f>IFERROR(INDEX(样本到样信息汇总统计!T$2:T$500,MATCH(15,样本到样信息汇总统计!$AA$2:$AA$500,0)),"")</f>
        <v/>
      </c>
      <c r="U16" s="4" t="str">
        <f>IFERROR(INDEX(样本到样信息汇总统计!U$2:U$500,MATCH(15,样本到样信息汇总统计!$AA$2:$AA$500,0)),"")</f>
        <v/>
      </c>
      <c r="V16" s="4" t="str">
        <f>IFERROR(INDEX(样本到样信息汇总统计!V$2:V$500,MATCH(15,样本到样信息汇总统计!$AA$2:$AA$500,0)),"")</f>
        <v/>
      </c>
      <c r="W16" s="4" t="str">
        <f>IFERROR(INDEX(样本到样信息汇总统计!W$2:W$500,MATCH(15,样本到样信息汇总统计!$AA$2:$AA$500,0)),"")</f>
        <v/>
      </c>
    </row>
    <row r="17" ht="21.75" customHeight="1" spans="1:23">
      <c r="A17" s="8" t="str">
        <f>IFERROR(INDEX(样本到样信息汇总统计!A$2:A$500,MATCH(16,样本到样信息汇总统计!$AA$2:$AA$500,0)),"")</f>
        <v/>
      </c>
      <c r="B17" s="8" t="str">
        <f>IFERROR(INDEX(样本到样信息汇总统计!B$2:B$500,MATCH(16,样本到样信息汇总统计!$AA$2:$AA$500,0)),"")</f>
        <v/>
      </c>
      <c r="C17" s="8" t="str">
        <f>IFERROR(INDEX(样本到样信息汇总统计!C$2:C$500,MATCH(16,样本到样信息汇总统计!$AA$2:$AA$500,0)),"")</f>
        <v/>
      </c>
      <c r="D17" s="8" t="str">
        <f>IFERROR(INDEX(样本到样信息汇总统计!D$2:D$500,MATCH(16,样本到样信息汇总统计!$AA$2:$AA$500,0)),"")</f>
        <v/>
      </c>
      <c r="E17" s="8" t="str">
        <f>IFERROR(INDEX(样本到样信息汇总统计!E$2:E$500,MATCH(16,样本到样信息汇总统计!$AA$2:$AA$500,0)),"")</f>
        <v/>
      </c>
      <c r="F17" s="8" t="str">
        <f>IFERROR(INDEX(样本到样信息汇总统计!F$2:F$500,MATCH(16,样本到样信息汇总统计!$AA$2:$AA$500,0)),"")</f>
        <v/>
      </c>
      <c r="G17" s="8" t="str">
        <f>IFERROR(INDEX(样本到样信息汇总统计!G$2:G$500,MATCH(16,样本到样信息汇总统计!$AA$2:$AA$500,0)),"")</f>
        <v/>
      </c>
      <c r="H17" s="8" t="str">
        <f>IFERROR(INDEX(样本到样信息汇总统计!H$2:H$500,MATCH(16,样本到样信息汇总统计!$AA$2:$AA$500,0)),"")</f>
        <v/>
      </c>
      <c r="I17" s="8" t="str">
        <f>IFERROR(INDEX(样本到样信息汇总统计!I$2:I$500,MATCH(16,样本到样信息汇总统计!$AA$2:$AA$500,0)),"")</f>
        <v/>
      </c>
      <c r="J17" s="8" t="str">
        <f>IFERROR(INDEX(样本到样信息汇总统计!J$2:J$500,MATCH(16,样本到样信息汇总统计!$AA$2:$AA$500,0)),"")</f>
        <v/>
      </c>
      <c r="K17" s="8" t="str">
        <f>IFERROR(INDEX(样本到样信息汇总统计!K$2:K$500,MATCH(16,样本到样信息汇总统计!$AA$2:$AA$500,0)),"")</f>
        <v/>
      </c>
      <c r="L17" s="8" t="str">
        <f>IFERROR(INDEX(样本到样信息汇总统计!L$2:L$500,MATCH(16,样本到样信息汇总统计!$AA$2:$AA$500,0)),"")</f>
        <v/>
      </c>
      <c r="M17" s="8" t="str">
        <f>IFERROR(INDEX(样本到样信息汇总统计!M$2:M$500,MATCH(16,样本到样信息汇总统计!$AA$2:$AA$500,0)),"")</f>
        <v/>
      </c>
      <c r="N17" s="8" t="str">
        <f>IFERROR(INDEX(样本到样信息汇总统计!N$2:N$500,MATCH(16,样本到样信息汇总统计!$AA$2:$AA$500,0)),"")</f>
        <v/>
      </c>
      <c r="O17" s="8" t="str">
        <f>IFERROR(INDEX(样本到样信息汇总统计!O$2:O$500,MATCH(16,样本到样信息汇总统计!$AA$2:$AA$500,0)),"")</f>
        <v/>
      </c>
      <c r="P17" s="8" t="str">
        <f>IFERROR(INDEX(样本到样信息汇总统计!P$2:P$500,MATCH(16,样本到样信息汇总统计!$AA$2:$AA$500,0)),"")</f>
        <v/>
      </c>
      <c r="Q17" s="8" t="str">
        <f>IFERROR(INDEX(样本到样信息汇总统计!Q$2:Q$500,MATCH(16,样本到样信息汇总统计!$AA$2:$AA$500,0)),"")</f>
        <v/>
      </c>
      <c r="R17" s="8" t="str">
        <f>IFERROR(INDEX(样本到样信息汇总统计!R$2:R$500,MATCH(16,样本到样信息汇总统计!$AA$2:$AA$500,0)),"")</f>
        <v/>
      </c>
      <c r="S17" s="8" t="str">
        <f>IFERROR(INDEX(样本到样信息汇总统计!S$2:S$500,MATCH(16,样本到样信息汇总统计!$AA$2:$AA$500,0)),"")</f>
        <v/>
      </c>
      <c r="T17" s="8" t="str">
        <f>IFERROR(INDEX(样本到样信息汇总统计!T$2:T$500,MATCH(16,样本到样信息汇总统计!$AA$2:$AA$500,0)),"")</f>
        <v/>
      </c>
      <c r="U17" s="8" t="str">
        <f>IFERROR(INDEX(样本到样信息汇总统计!U$2:U$500,MATCH(16,样本到样信息汇总统计!$AA$2:$AA$500,0)),"")</f>
        <v/>
      </c>
      <c r="V17" s="8" t="str">
        <f>IFERROR(INDEX(样本到样信息汇总统计!V$2:V$500,MATCH(16,样本到样信息汇总统计!$AA$2:$AA$500,0)),"")</f>
        <v/>
      </c>
      <c r="W17" s="8" t="str">
        <f>IFERROR(INDEX(样本到样信息汇总统计!W$2:W$500,MATCH(16,样本到样信息汇总统计!$AA$2:$AA$500,0)),"")</f>
        <v/>
      </c>
    </row>
    <row r="18" ht="21.75" customHeight="1" spans="1:23">
      <c r="A18" s="4" t="str">
        <f>IFERROR(INDEX(样本到样信息汇总统计!A$2:A$500,MATCH(17,样本到样信息汇总统计!$AA$2:$AA$500,0)),"")</f>
        <v/>
      </c>
      <c r="B18" s="4" t="str">
        <f>IFERROR(INDEX(样本到样信息汇总统计!B$2:B$500,MATCH(17,样本到样信息汇总统计!$AA$2:$AA$500,0)),"")</f>
        <v/>
      </c>
      <c r="C18" s="4" t="str">
        <f>IFERROR(INDEX(样本到样信息汇总统计!C$2:C$500,MATCH(17,样本到样信息汇总统计!$AA$2:$AA$500,0)),"")</f>
        <v/>
      </c>
      <c r="D18" s="4" t="str">
        <f>IFERROR(INDEX(样本到样信息汇总统计!D$2:D$500,MATCH(17,样本到样信息汇总统计!$AA$2:$AA$500,0)),"")</f>
        <v/>
      </c>
      <c r="E18" s="4" t="str">
        <f>IFERROR(INDEX(样本到样信息汇总统计!E$2:E$500,MATCH(17,样本到样信息汇总统计!$AA$2:$AA$500,0)),"")</f>
        <v/>
      </c>
      <c r="F18" s="4" t="str">
        <f>IFERROR(INDEX(样本到样信息汇总统计!F$2:F$500,MATCH(17,样本到样信息汇总统计!$AA$2:$AA$500,0)),"")</f>
        <v/>
      </c>
      <c r="G18" s="4" t="str">
        <f>IFERROR(INDEX(样本到样信息汇总统计!G$2:G$500,MATCH(17,样本到样信息汇总统计!$AA$2:$AA$500,0)),"")</f>
        <v/>
      </c>
      <c r="H18" s="4" t="str">
        <f>IFERROR(INDEX(样本到样信息汇总统计!H$2:H$500,MATCH(17,样本到样信息汇总统计!$AA$2:$AA$500,0)),"")</f>
        <v/>
      </c>
      <c r="I18" s="4" t="str">
        <f>IFERROR(INDEX(样本到样信息汇总统计!I$2:I$500,MATCH(17,样本到样信息汇总统计!$AA$2:$AA$500,0)),"")</f>
        <v/>
      </c>
      <c r="J18" s="4" t="str">
        <f>IFERROR(INDEX(样本到样信息汇总统计!J$2:J$500,MATCH(17,样本到样信息汇总统计!$AA$2:$AA$500,0)),"")</f>
        <v/>
      </c>
      <c r="K18" s="4" t="str">
        <f>IFERROR(INDEX(样本到样信息汇总统计!K$2:K$500,MATCH(17,样本到样信息汇总统计!$AA$2:$AA$500,0)),"")</f>
        <v/>
      </c>
      <c r="L18" s="4" t="str">
        <f>IFERROR(INDEX(样本到样信息汇总统计!L$2:L$500,MATCH(17,样本到样信息汇总统计!$AA$2:$AA$500,0)),"")</f>
        <v/>
      </c>
      <c r="M18" s="4" t="str">
        <f>IFERROR(INDEX(样本到样信息汇总统计!M$2:M$500,MATCH(17,样本到样信息汇总统计!$AA$2:$AA$500,0)),"")</f>
        <v/>
      </c>
      <c r="N18" s="4" t="str">
        <f>IFERROR(INDEX(样本到样信息汇总统计!N$2:N$500,MATCH(17,样本到样信息汇总统计!$AA$2:$AA$500,0)),"")</f>
        <v/>
      </c>
      <c r="O18" s="4" t="str">
        <f>IFERROR(INDEX(样本到样信息汇总统计!O$2:O$500,MATCH(17,样本到样信息汇总统计!$AA$2:$AA$500,0)),"")</f>
        <v/>
      </c>
      <c r="P18" s="4" t="str">
        <f>IFERROR(INDEX(样本到样信息汇总统计!P$2:P$500,MATCH(17,样本到样信息汇总统计!$AA$2:$AA$500,0)),"")</f>
        <v/>
      </c>
      <c r="Q18" s="4" t="str">
        <f>IFERROR(INDEX(样本到样信息汇总统计!Q$2:Q$500,MATCH(17,样本到样信息汇总统计!$AA$2:$AA$500,0)),"")</f>
        <v/>
      </c>
      <c r="R18" s="4" t="str">
        <f>IFERROR(INDEX(样本到样信息汇总统计!R$2:R$500,MATCH(17,样本到样信息汇总统计!$AA$2:$AA$500,0)),"")</f>
        <v/>
      </c>
      <c r="S18" s="4" t="str">
        <f>IFERROR(INDEX(样本到样信息汇总统计!S$2:S$500,MATCH(17,样本到样信息汇总统计!$AA$2:$AA$500,0)),"")</f>
        <v/>
      </c>
      <c r="T18" s="4" t="str">
        <f>IFERROR(INDEX(样本到样信息汇总统计!T$2:T$500,MATCH(17,样本到样信息汇总统计!$AA$2:$AA$500,0)),"")</f>
        <v/>
      </c>
      <c r="U18" s="4" t="str">
        <f>IFERROR(INDEX(样本到样信息汇总统计!U$2:U$500,MATCH(17,样本到样信息汇总统计!$AA$2:$AA$500,0)),"")</f>
        <v/>
      </c>
      <c r="V18" s="4" t="str">
        <f>IFERROR(INDEX(样本到样信息汇总统计!V$2:V$500,MATCH(17,样本到样信息汇总统计!$AA$2:$AA$500,0)),"")</f>
        <v/>
      </c>
      <c r="W18" s="4" t="str">
        <f>IFERROR(INDEX(样本到样信息汇总统计!W$2:W$500,MATCH(17,样本到样信息汇总统计!$AA$2:$AA$500,0)),"")</f>
        <v/>
      </c>
    </row>
    <row r="19" ht="21.75" customHeight="1" spans="1:23">
      <c r="A19" s="8" t="str">
        <f>IFERROR(INDEX(样本到样信息汇总统计!A$2:A$500,MATCH(18,样本到样信息汇总统计!$AA$2:$AA$500,0)),"")</f>
        <v/>
      </c>
      <c r="B19" s="8" t="str">
        <f>IFERROR(INDEX(样本到样信息汇总统计!B$2:B$500,MATCH(18,样本到样信息汇总统计!$AA$2:$AA$500,0)),"")</f>
        <v/>
      </c>
      <c r="C19" s="8" t="str">
        <f>IFERROR(INDEX(样本到样信息汇总统计!C$2:C$500,MATCH(18,样本到样信息汇总统计!$AA$2:$AA$500,0)),"")</f>
        <v/>
      </c>
      <c r="D19" s="8" t="str">
        <f>IFERROR(INDEX(样本到样信息汇总统计!D$2:D$500,MATCH(18,样本到样信息汇总统计!$AA$2:$AA$500,0)),"")</f>
        <v/>
      </c>
      <c r="E19" s="8" t="str">
        <f>IFERROR(INDEX(样本到样信息汇总统计!E$2:E$500,MATCH(18,样本到样信息汇总统计!$AA$2:$AA$500,0)),"")</f>
        <v/>
      </c>
      <c r="F19" s="8" t="str">
        <f>IFERROR(INDEX(样本到样信息汇总统计!F$2:F$500,MATCH(18,样本到样信息汇总统计!$AA$2:$AA$500,0)),"")</f>
        <v/>
      </c>
      <c r="G19" s="8" t="str">
        <f>IFERROR(INDEX(样本到样信息汇总统计!G$2:G$500,MATCH(18,样本到样信息汇总统计!$AA$2:$AA$500,0)),"")</f>
        <v/>
      </c>
      <c r="H19" s="8" t="str">
        <f>IFERROR(INDEX(样本到样信息汇总统计!H$2:H$500,MATCH(18,样本到样信息汇总统计!$AA$2:$AA$500,0)),"")</f>
        <v/>
      </c>
      <c r="I19" s="8" t="str">
        <f>IFERROR(INDEX(样本到样信息汇总统计!I$2:I$500,MATCH(18,样本到样信息汇总统计!$AA$2:$AA$500,0)),"")</f>
        <v/>
      </c>
      <c r="J19" s="8" t="str">
        <f>IFERROR(INDEX(样本到样信息汇总统计!J$2:J$500,MATCH(18,样本到样信息汇总统计!$AA$2:$AA$500,0)),"")</f>
        <v/>
      </c>
      <c r="K19" s="8" t="str">
        <f>IFERROR(INDEX(样本到样信息汇总统计!K$2:K$500,MATCH(18,样本到样信息汇总统计!$AA$2:$AA$500,0)),"")</f>
        <v/>
      </c>
      <c r="L19" s="8" t="str">
        <f>IFERROR(INDEX(样本到样信息汇总统计!L$2:L$500,MATCH(18,样本到样信息汇总统计!$AA$2:$AA$500,0)),"")</f>
        <v/>
      </c>
      <c r="M19" s="8" t="str">
        <f>IFERROR(INDEX(样本到样信息汇总统计!M$2:M$500,MATCH(18,样本到样信息汇总统计!$AA$2:$AA$500,0)),"")</f>
        <v/>
      </c>
      <c r="N19" s="8" t="str">
        <f>IFERROR(INDEX(样本到样信息汇总统计!N$2:N$500,MATCH(18,样本到样信息汇总统计!$AA$2:$AA$500,0)),"")</f>
        <v/>
      </c>
      <c r="O19" s="8" t="str">
        <f>IFERROR(INDEX(样本到样信息汇总统计!O$2:O$500,MATCH(18,样本到样信息汇总统计!$AA$2:$AA$500,0)),"")</f>
        <v/>
      </c>
      <c r="P19" s="8" t="str">
        <f>IFERROR(INDEX(样本到样信息汇总统计!P$2:P$500,MATCH(18,样本到样信息汇总统计!$AA$2:$AA$500,0)),"")</f>
        <v/>
      </c>
      <c r="Q19" s="8" t="str">
        <f>IFERROR(INDEX(样本到样信息汇总统计!Q$2:Q$500,MATCH(18,样本到样信息汇总统计!$AA$2:$AA$500,0)),"")</f>
        <v/>
      </c>
      <c r="R19" s="8" t="str">
        <f>IFERROR(INDEX(样本到样信息汇总统计!R$2:R$500,MATCH(18,样本到样信息汇总统计!$AA$2:$AA$500,0)),"")</f>
        <v/>
      </c>
      <c r="S19" s="8" t="str">
        <f>IFERROR(INDEX(样本到样信息汇总统计!S$2:S$500,MATCH(18,样本到样信息汇总统计!$AA$2:$AA$500,0)),"")</f>
        <v/>
      </c>
      <c r="T19" s="8" t="str">
        <f>IFERROR(INDEX(样本到样信息汇总统计!T$2:T$500,MATCH(18,样本到样信息汇总统计!$AA$2:$AA$500,0)),"")</f>
        <v/>
      </c>
      <c r="U19" s="8" t="str">
        <f>IFERROR(INDEX(样本到样信息汇总统计!U$2:U$500,MATCH(18,样本到样信息汇总统计!$AA$2:$AA$500,0)),"")</f>
        <v/>
      </c>
      <c r="V19" s="8" t="str">
        <f>IFERROR(INDEX(样本到样信息汇总统计!V$2:V$500,MATCH(18,样本到样信息汇总统计!$AA$2:$AA$500,0)),"")</f>
        <v/>
      </c>
      <c r="W19" s="8" t="str">
        <f>IFERROR(INDEX(样本到样信息汇总统计!W$2:W$500,MATCH(18,样本到样信息汇总统计!$AA$2:$AA$500,0)),"")</f>
        <v/>
      </c>
    </row>
    <row r="20" ht="21.75" customHeight="1" spans="1:23">
      <c r="A20" s="4" t="str">
        <f>IFERROR(INDEX(样本到样信息汇总统计!A$2:A$500,MATCH(19,样本到样信息汇总统计!$AA$2:$AA$500,0)),"")</f>
        <v/>
      </c>
      <c r="B20" s="4" t="str">
        <f>IFERROR(INDEX(样本到样信息汇总统计!B$2:B$500,MATCH(19,样本到样信息汇总统计!$AA$2:$AA$500,0)),"")</f>
        <v/>
      </c>
      <c r="C20" s="4" t="str">
        <f>IFERROR(INDEX(样本到样信息汇总统计!C$2:C$500,MATCH(19,样本到样信息汇总统计!$AA$2:$AA$500,0)),"")</f>
        <v/>
      </c>
      <c r="D20" s="4" t="str">
        <f>IFERROR(INDEX(样本到样信息汇总统计!D$2:D$500,MATCH(19,样本到样信息汇总统计!$AA$2:$AA$500,0)),"")</f>
        <v/>
      </c>
      <c r="E20" s="4" t="str">
        <f>IFERROR(INDEX(样本到样信息汇总统计!E$2:E$500,MATCH(19,样本到样信息汇总统计!$AA$2:$AA$500,0)),"")</f>
        <v/>
      </c>
      <c r="F20" s="4" t="str">
        <f>IFERROR(INDEX(样本到样信息汇总统计!F$2:F$500,MATCH(19,样本到样信息汇总统计!$AA$2:$AA$500,0)),"")</f>
        <v/>
      </c>
      <c r="G20" s="4" t="str">
        <f>IFERROR(INDEX(样本到样信息汇总统计!G$2:G$500,MATCH(19,样本到样信息汇总统计!$AA$2:$AA$500,0)),"")</f>
        <v/>
      </c>
      <c r="H20" s="4" t="str">
        <f>IFERROR(INDEX(样本到样信息汇总统计!H$2:H$500,MATCH(19,样本到样信息汇总统计!$AA$2:$AA$500,0)),"")</f>
        <v/>
      </c>
      <c r="I20" s="4" t="str">
        <f>IFERROR(INDEX(样本到样信息汇总统计!I$2:I$500,MATCH(19,样本到样信息汇总统计!$AA$2:$AA$500,0)),"")</f>
        <v/>
      </c>
      <c r="J20" s="4" t="str">
        <f>IFERROR(INDEX(样本到样信息汇总统计!J$2:J$500,MATCH(19,样本到样信息汇总统计!$AA$2:$AA$500,0)),"")</f>
        <v/>
      </c>
      <c r="K20" s="4" t="str">
        <f>IFERROR(INDEX(样本到样信息汇总统计!K$2:K$500,MATCH(19,样本到样信息汇总统计!$AA$2:$AA$500,0)),"")</f>
        <v/>
      </c>
      <c r="L20" s="4" t="str">
        <f>IFERROR(INDEX(样本到样信息汇总统计!L$2:L$500,MATCH(19,样本到样信息汇总统计!$AA$2:$AA$500,0)),"")</f>
        <v/>
      </c>
      <c r="M20" s="4" t="str">
        <f>IFERROR(INDEX(样本到样信息汇总统计!M$2:M$500,MATCH(19,样本到样信息汇总统计!$AA$2:$AA$500,0)),"")</f>
        <v/>
      </c>
      <c r="N20" s="4" t="str">
        <f>IFERROR(INDEX(样本到样信息汇总统计!N$2:N$500,MATCH(19,样本到样信息汇总统计!$AA$2:$AA$500,0)),"")</f>
        <v/>
      </c>
      <c r="O20" s="4" t="str">
        <f>IFERROR(INDEX(样本到样信息汇总统计!O$2:O$500,MATCH(19,样本到样信息汇总统计!$AA$2:$AA$500,0)),"")</f>
        <v/>
      </c>
      <c r="P20" s="4" t="str">
        <f>IFERROR(INDEX(样本到样信息汇总统计!P$2:P$500,MATCH(19,样本到样信息汇总统计!$AA$2:$AA$500,0)),"")</f>
        <v/>
      </c>
      <c r="Q20" s="4" t="str">
        <f>IFERROR(INDEX(样本到样信息汇总统计!Q$2:Q$500,MATCH(19,样本到样信息汇总统计!$AA$2:$AA$500,0)),"")</f>
        <v/>
      </c>
      <c r="R20" s="4" t="str">
        <f>IFERROR(INDEX(样本到样信息汇总统计!R$2:R$500,MATCH(19,样本到样信息汇总统计!$AA$2:$AA$500,0)),"")</f>
        <v/>
      </c>
      <c r="S20" s="4" t="str">
        <f>IFERROR(INDEX(样本到样信息汇总统计!S$2:S$500,MATCH(19,样本到样信息汇总统计!$AA$2:$AA$500,0)),"")</f>
        <v/>
      </c>
      <c r="T20" s="4" t="str">
        <f>IFERROR(INDEX(样本到样信息汇总统计!T$2:T$500,MATCH(19,样本到样信息汇总统计!$AA$2:$AA$500,0)),"")</f>
        <v/>
      </c>
      <c r="U20" s="4" t="str">
        <f>IFERROR(INDEX(样本到样信息汇总统计!U$2:U$500,MATCH(19,样本到样信息汇总统计!$AA$2:$AA$500,0)),"")</f>
        <v/>
      </c>
      <c r="V20" s="4" t="str">
        <f>IFERROR(INDEX(样本到样信息汇总统计!V$2:V$500,MATCH(19,样本到样信息汇总统计!$AA$2:$AA$500,0)),"")</f>
        <v/>
      </c>
      <c r="W20" s="4" t="str">
        <f>IFERROR(INDEX(样本到样信息汇总统计!W$2:W$500,MATCH(19,样本到样信息汇总统计!$AA$2:$AA$500,0)),"")</f>
        <v/>
      </c>
    </row>
    <row r="21" ht="14.5" spans="1:23">
      <c r="A21" s="8" t="str">
        <f>IFERROR(INDEX(样本到样信息汇总统计!A$2:A$500,MATCH(20,样本到样信息汇总统计!$AA$2:$AA$500,0)),"")</f>
        <v/>
      </c>
      <c r="B21" s="8" t="str">
        <f>IFERROR(INDEX(样本到样信息汇总统计!B$2:B$500,MATCH(20,样本到样信息汇总统计!$AA$2:$AA$500,0)),"")</f>
        <v/>
      </c>
      <c r="C21" s="8" t="str">
        <f>IFERROR(INDEX(样本到样信息汇总统计!C$2:C$500,MATCH(20,样本到样信息汇总统计!$AA$2:$AA$500,0)),"")</f>
        <v/>
      </c>
      <c r="D21" s="8" t="str">
        <f>IFERROR(INDEX(样本到样信息汇总统计!D$2:D$500,MATCH(20,样本到样信息汇总统计!$AA$2:$AA$500,0)),"")</f>
        <v/>
      </c>
      <c r="E21" s="8" t="str">
        <f>IFERROR(INDEX(样本到样信息汇总统计!E$2:E$500,MATCH(20,样本到样信息汇总统计!$AA$2:$AA$500,0)),"")</f>
        <v/>
      </c>
      <c r="F21" s="8" t="str">
        <f>IFERROR(INDEX(样本到样信息汇总统计!F$2:F$500,MATCH(20,样本到样信息汇总统计!$AA$2:$AA$500,0)),"")</f>
        <v/>
      </c>
      <c r="G21" s="8" t="str">
        <f>IFERROR(INDEX(样本到样信息汇总统计!G$2:G$500,MATCH(20,样本到样信息汇总统计!$AA$2:$AA$500,0)),"")</f>
        <v/>
      </c>
      <c r="H21" s="8" t="str">
        <f>IFERROR(INDEX(样本到样信息汇总统计!H$2:H$500,MATCH(20,样本到样信息汇总统计!$AA$2:$AA$500,0)),"")</f>
        <v/>
      </c>
      <c r="I21" s="8" t="str">
        <f>IFERROR(INDEX(样本到样信息汇总统计!I$2:I$500,MATCH(20,样本到样信息汇总统计!$AA$2:$AA$500,0)),"")</f>
        <v/>
      </c>
      <c r="J21" s="8" t="str">
        <f>IFERROR(INDEX(样本到样信息汇总统计!J$2:J$500,MATCH(20,样本到样信息汇总统计!$AA$2:$AA$500,0)),"")</f>
        <v/>
      </c>
      <c r="K21" s="8" t="str">
        <f>IFERROR(INDEX(样本到样信息汇总统计!K$2:K$500,MATCH(20,样本到样信息汇总统计!$AA$2:$AA$500,0)),"")</f>
        <v/>
      </c>
      <c r="L21" s="8" t="str">
        <f>IFERROR(INDEX(样本到样信息汇总统计!L$2:L$500,MATCH(20,样本到样信息汇总统计!$AA$2:$AA$500,0)),"")</f>
        <v/>
      </c>
      <c r="M21" s="8" t="str">
        <f>IFERROR(INDEX(样本到样信息汇总统计!M$2:M$500,MATCH(20,样本到样信息汇总统计!$AA$2:$AA$500,0)),"")</f>
        <v/>
      </c>
      <c r="N21" s="8" t="str">
        <f>IFERROR(INDEX(样本到样信息汇总统计!N$2:N$500,MATCH(20,样本到样信息汇总统计!$AA$2:$AA$500,0)),"")</f>
        <v/>
      </c>
      <c r="O21" s="8" t="str">
        <f>IFERROR(INDEX(样本到样信息汇总统计!O$2:O$500,MATCH(20,样本到样信息汇总统计!$AA$2:$AA$500,0)),"")</f>
        <v/>
      </c>
      <c r="P21" s="8" t="str">
        <f>IFERROR(INDEX(样本到样信息汇总统计!P$2:P$500,MATCH(20,样本到样信息汇总统计!$AA$2:$AA$500,0)),"")</f>
        <v/>
      </c>
      <c r="Q21" s="8" t="str">
        <f>IFERROR(INDEX(样本到样信息汇总统计!Q$2:Q$500,MATCH(20,样本到样信息汇总统计!$AA$2:$AA$500,0)),"")</f>
        <v/>
      </c>
      <c r="R21" s="8" t="str">
        <f>IFERROR(INDEX(样本到样信息汇总统计!R$2:R$500,MATCH(20,样本到样信息汇总统计!$AA$2:$AA$500,0)),"")</f>
        <v/>
      </c>
      <c r="S21" s="8" t="str">
        <f>IFERROR(INDEX(样本到样信息汇总统计!S$2:S$500,MATCH(20,样本到样信息汇总统计!$AA$2:$AA$500,0)),"")</f>
        <v/>
      </c>
      <c r="T21" s="8" t="str">
        <f>IFERROR(INDEX(样本到样信息汇总统计!T$2:T$500,MATCH(20,样本到样信息汇总统计!$AA$2:$AA$500,0)),"")</f>
        <v/>
      </c>
      <c r="U21" s="8" t="str">
        <f>IFERROR(INDEX(样本到样信息汇总统计!U$2:U$500,MATCH(20,样本到样信息汇总统计!$AA$2:$AA$500,0)),"")</f>
        <v/>
      </c>
      <c r="V21" s="8" t="str">
        <f>IFERROR(INDEX(样本到样信息汇总统计!V$2:V$500,MATCH(20,样本到样信息汇总统计!$AA$2:$AA$500,0)),"")</f>
        <v/>
      </c>
      <c r="W21" s="8" t="str">
        <f>IFERROR(INDEX(样本到样信息汇总统计!W$2:W$500,MATCH(20,样本到样信息汇总统计!$AA$2:$AA$500,0)),"")</f>
        <v/>
      </c>
    </row>
    <row r="22" ht="14.5" spans="1:23">
      <c r="A22" s="4" t="str">
        <f>IFERROR(INDEX(样本到样信息汇总统计!A$2:A$500,MATCH(21,样本到样信息汇总统计!$AA$2:$AA$500,0)),"")</f>
        <v/>
      </c>
      <c r="B22" s="4" t="str">
        <f>IFERROR(INDEX(样本到样信息汇总统计!B$2:B$500,MATCH(21,样本到样信息汇总统计!$AA$2:$AA$500,0)),"")</f>
        <v/>
      </c>
      <c r="C22" s="4" t="str">
        <f>IFERROR(INDEX(样本到样信息汇总统计!C$2:C$500,MATCH(21,样本到样信息汇总统计!$AA$2:$AA$500,0)),"")</f>
        <v/>
      </c>
      <c r="D22" s="4" t="str">
        <f>IFERROR(INDEX(样本到样信息汇总统计!D$2:D$500,MATCH(21,样本到样信息汇总统计!$AA$2:$AA$500,0)),"")</f>
        <v/>
      </c>
      <c r="E22" s="4" t="str">
        <f>IFERROR(INDEX(样本到样信息汇总统计!E$2:E$500,MATCH(21,样本到样信息汇总统计!$AA$2:$AA$500,0)),"")</f>
        <v/>
      </c>
      <c r="F22" s="4" t="str">
        <f>IFERROR(INDEX(样本到样信息汇总统计!F$2:F$500,MATCH(21,样本到样信息汇总统计!$AA$2:$AA$500,0)),"")</f>
        <v/>
      </c>
      <c r="G22" s="4" t="str">
        <f>IFERROR(INDEX(样本到样信息汇总统计!G$2:G$500,MATCH(21,样本到样信息汇总统计!$AA$2:$AA$500,0)),"")</f>
        <v/>
      </c>
      <c r="H22" s="4" t="str">
        <f>IFERROR(INDEX(样本到样信息汇总统计!H$2:H$500,MATCH(21,样本到样信息汇总统计!$AA$2:$AA$500,0)),"")</f>
        <v/>
      </c>
      <c r="I22" s="4" t="str">
        <f>IFERROR(INDEX(样本到样信息汇总统计!I$2:I$500,MATCH(21,样本到样信息汇总统计!$AA$2:$AA$500,0)),"")</f>
        <v/>
      </c>
      <c r="J22" s="4" t="str">
        <f>IFERROR(INDEX(样本到样信息汇总统计!J$2:J$500,MATCH(21,样本到样信息汇总统计!$AA$2:$AA$500,0)),"")</f>
        <v/>
      </c>
      <c r="K22" s="4" t="str">
        <f>IFERROR(INDEX(样本到样信息汇总统计!K$2:K$500,MATCH(21,样本到样信息汇总统计!$AA$2:$AA$500,0)),"")</f>
        <v/>
      </c>
      <c r="L22" s="4" t="str">
        <f>IFERROR(INDEX(样本到样信息汇总统计!L$2:L$500,MATCH(21,样本到样信息汇总统计!$AA$2:$AA$500,0)),"")</f>
        <v/>
      </c>
      <c r="M22" s="4" t="str">
        <f>IFERROR(INDEX(样本到样信息汇总统计!M$2:M$500,MATCH(21,样本到样信息汇总统计!$AA$2:$AA$500,0)),"")</f>
        <v/>
      </c>
      <c r="N22" s="4" t="str">
        <f>IFERROR(INDEX(样本到样信息汇总统计!N$2:N$500,MATCH(21,样本到样信息汇总统计!$AA$2:$AA$500,0)),"")</f>
        <v/>
      </c>
      <c r="O22" s="4" t="str">
        <f>IFERROR(INDEX(样本到样信息汇总统计!O$2:O$500,MATCH(21,样本到样信息汇总统计!$AA$2:$AA$500,0)),"")</f>
        <v/>
      </c>
      <c r="P22" s="4" t="str">
        <f>IFERROR(INDEX(样本到样信息汇总统计!P$2:P$500,MATCH(21,样本到样信息汇总统计!$AA$2:$AA$500,0)),"")</f>
        <v/>
      </c>
      <c r="Q22" s="4" t="str">
        <f>IFERROR(INDEX(样本到样信息汇总统计!Q$2:Q$500,MATCH(21,样本到样信息汇总统计!$AA$2:$AA$500,0)),"")</f>
        <v/>
      </c>
      <c r="R22" s="4" t="str">
        <f>IFERROR(INDEX(样本到样信息汇总统计!R$2:R$500,MATCH(21,样本到样信息汇总统计!$AA$2:$AA$500,0)),"")</f>
        <v/>
      </c>
      <c r="S22" s="4" t="str">
        <f>IFERROR(INDEX(样本到样信息汇总统计!S$2:S$500,MATCH(21,样本到样信息汇总统计!$AA$2:$AA$500,0)),"")</f>
        <v/>
      </c>
      <c r="T22" s="4" t="str">
        <f>IFERROR(INDEX(样本到样信息汇总统计!T$2:T$500,MATCH(21,样本到样信息汇总统计!$AA$2:$AA$500,0)),"")</f>
        <v/>
      </c>
      <c r="U22" s="4" t="str">
        <f>IFERROR(INDEX(样本到样信息汇总统计!U$2:U$500,MATCH(21,样本到样信息汇总统计!$AA$2:$AA$500,0)),"")</f>
        <v/>
      </c>
      <c r="V22" s="4" t="str">
        <f>IFERROR(INDEX(样本到样信息汇总统计!V$2:V$500,MATCH(21,样本到样信息汇总统计!$AA$2:$AA$500,0)),"")</f>
        <v/>
      </c>
      <c r="W22" s="4" t="str">
        <f>IFERROR(INDEX(样本到样信息汇总统计!W$2:W$500,MATCH(21,样本到样信息汇总统计!$AA$2:$AA$500,0)),"")</f>
        <v/>
      </c>
    </row>
    <row r="23" ht="14.5" spans="1:23">
      <c r="A23" s="8" t="str">
        <f>IFERROR(INDEX(样本到样信息汇总统计!A$2:A$500,MATCH(22,样本到样信息汇总统计!$AA$2:$AA$500,0)),"")</f>
        <v/>
      </c>
      <c r="B23" s="8" t="str">
        <f>IFERROR(INDEX(样本到样信息汇总统计!B$2:B$500,MATCH(22,样本到样信息汇总统计!$AA$2:$AA$500,0)),"")</f>
        <v/>
      </c>
      <c r="C23" s="8" t="str">
        <f>IFERROR(INDEX(样本到样信息汇总统计!C$2:C$500,MATCH(22,样本到样信息汇总统计!$AA$2:$AA$500,0)),"")</f>
        <v/>
      </c>
      <c r="D23" s="8" t="str">
        <f>IFERROR(INDEX(样本到样信息汇总统计!D$2:D$500,MATCH(22,样本到样信息汇总统计!$AA$2:$AA$500,0)),"")</f>
        <v/>
      </c>
      <c r="E23" s="8" t="str">
        <f>IFERROR(INDEX(样本到样信息汇总统计!E$2:E$500,MATCH(22,样本到样信息汇总统计!$AA$2:$AA$500,0)),"")</f>
        <v/>
      </c>
      <c r="F23" s="8" t="str">
        <f>IFERROR(INDEX(样本到样信息汇总统计!F$2:F$500,MATCH(22,样本到样信息汇总统计!$AA$2:$AA$500,0)),"")</f>
        <v/>
      </c>
      <c r="G23" s="8" t="str">
        <f>IFERROR(INDEX(样本到样信息汇总统计!G$2:G$500,MATCH(22,样本到样信息汇总统计!$AA$2:$AA$500,0)),"")</f>
        <v/>
      </c>
      <c r="H23" s="8" t="str">
        <f>IFERROR(INDEX(样本到样信息汇总统计!H$2:H$500,MATCH(22,样本到样信息汇总统计!$AA$2:$AA$500,0)),"")</f>
        <v/>
      </c>
      <c r="I23" s="8" t="str">
        <f>IFERROR(INDEX(样本到样信息汇总统计!I$2:I$500,MATCH(22,样本到样信息汇总统计!$AA$2:$AA$500,0)),"")</f>
        <v/>
      </c>
      <c r="J23" s="8" t="str">
        <f>IFERROR(INDEX(样本到样信息汇总统计!J$2:J$500,MATCH(22,样本到样信息汇总统计!$AA$2:$AA$500,0)),"")</f>
        <v/>
      </c>
      <c r="K23" s="8" t="str">
        <f>IFERROR(INDEX(样本到样信息汇总统计!K$2:K$500,MATCH(22,样本到样信息汇总统计!$AA$2:$AA$500,0)),"")</f>
        <v/>
      </c>
      <c r="L23" s="8" t="str">
        <f>IFERROR(INDEX(样本到样信息汇总统计!L$2:L$500,MATCH(22,样本到样信息汇总统计!$AA$2:$AA$500,0)),"")</f>
        <v/>
      </c>
      <c r="M23" s="8" t="str">
        <f>IFERROR(INDEX(样本到样信息汇总统计!M$2:M$500,MATCH(22,样本到样信息汇总统计!$AA$2:$AA$500,0)),"")</f>
        <v/>
      </c>
      <c r="N23" s="8" t="str">
        <f>IFERROR(INDEX(样本到样信息汇总统计!N$2:N$500,MATCH(22,样本到样信息汇总统计!$AA$2:$AA$500,0)),"")</f>
        <v/>
      </c>
      <c r="O23" s="8" t="str">
        <f>IFERROR(INDEX(样本到样信息汇总统计!O$2:O$500,MATCH(22,样本到样信息汇总统计!$AA$2:$AA$500,0)),"")</f>
        <v/>
      </c>
      <c r="P23" s="8" t="str">
        <f>IFERROR(INDEX(样本到样信息汇总统计!P$2:P$500,MATCH(22,样本到样信息汇总统计!$AA$2:$AA$500,0)),"")</f>
        <v/>
      </c>
      <c r="Q23" s="8" t="str">
        <f>IFERROR(INDEX(样本到样信息汇总统计!Q$2:Q$500,MATCH(22,样本到样信息汇总统计!$AA$2:$AA$500,0)),"")</f>
        <v/>
      </c>
      <c r="R23" s="8" t="str">
        <f>IFERROR(INDEX(样本到样信息汇总统计!R$2:R$500,MATCH(22,样本到样信息汇总统计!$AA$2:$AA$500,0)),"")</f>
        <v/>
      </c>
      <c r="S23" s="8" t="str">
        <f>IFERROR(INDEX(样本到样信息汇总统计!S$2:S$500,MATCH(22,样本到样信息汇总统计!$AA$2:$AA$500,0)),"")</f>
        <v/>
      </c>
      <c r="T23" s="8" t="str">
        <f>IFERROR(INDEX(样本到样信息汇总统计!T$2:T$500,MATCH(22,样本到样信息汇总统计!$AA$2:$AA$500,0)),"")</f>
        <v/>
      </c>
      <c r="U23" s="8" t="str">
        <f>IFERROR(INDEX(样本到样信息汇总统计!U$2:U$500,MATCH(22,样本到样信息汇总统计!$AA$2:$AA$500,0)),"")</f>
        <v/>
      </c>
      <c r="V23" s="8" t="str">
        <f>IFERROR(INDEX(样本到样信息汇总统计!V$2:V$500,MATCH(22,样本到样信息汇总统计!$AA$2:$AA$500,0)),"")</f>
        <v/>
      </c>
      <c r="W23" s="8" t="str">
        <f>IFERROR(INDEX(样本到样信息汇总统计!W$2:W$500,MATCH(22,样本到样信息汇总统计!$AA$2:$AA$500,0)),"")</f>
        <v/>
      </c>
    </row>
    <row r="24" ht="14.5" spans="1:23">
      <c r="A24" s="4" t="str">
        <f>IFERROR(INDEX(样本到样信息汇总统计!A$2:A$500,MATCH(23,样本到样信息汇总统计!$AA$2:$AA$500,0)),"")</f>
        <v/>
      </c>
      <c r="B24" s="4" t="str">
        <f>IFERROR(INDEX(样本到样信息汇总统计!B$2:B$500,MATCH(23,样本到样信息汇总统计!$AA$2:$AA$500,0)),"")</f>
        <v/>
      </c>
      <c r="C24" s="4" t="str">
        <f>IFERROR(INDEX(样本到样信息汇总统计!C$2:C$500,MATCH(23,样本到样信息汇总统计!$AA$2:$AA$500,0)),"")</f>
        <v/>
      </c>
      <c r="D24" s="4" t="str">
        <f>IFERROR(INDEX(样本到样信息汇总统计!D$2:D$500,MATCH(23,样本到样信息汇总统计!$AA$2:$AA$500,0)),"")</f>
        <v/>
      </c>
      <c r="E24" s="4" t="str">
        <f>IFERROR(INDEX(样本到样信息汇总统计!E$2:E$500,MATCH(23,样本到样信息汇总统计!$AA$2:$AA$500,0)),"")</f>
        <v/>
      </c>
      <c r="F24" s="4" t="str">
        <f>IFERROR(INDEX(样本到样信息汇总统计!F$2:F$500,MATCH(23,样本到样信息汇总统计!$AA$2:$AA$500,0)),"")</f>
        <v/>
      </c>
      <c r="G24" s="4" t="str">
        <f>IFERROR(INDEX(样本到样信息汇总统计!G$2:G$500,MATCH(23,样本到样信息汇总统计!$AA$2:$AA$500,0)),"")</f>
        <v/>
      </c>
      <c r="H24" s="4" t="str">
        <f>IFERROR(INDEX(样本到样信息汇总统计!H$2:H$500,MATCH(23,样本到样信息汇总统计!$AA$2:$AA$500,0)),"")</f>
        <v/>
      </c>
      <c r="I24" s="4" t="str">
        <f>IFERROR(INDEX(样本到样信息汇总统计!I$2:I$500,MATCH(23,样本到样信息汇总统计!$AA$2:$AA$500,0)),"")</f>
        <v/>
      </c>
      <c r="J24" s="4" t="str">
        <f>IFERROR(INDEX(样本到样信息汇总统计!J$2:J$500,MATCH(23,样本到样信息汇总统计!$AA$2:$AA$500,0)),"")</f>
        <v/>
      </c>
      <c r="K24" s="4" t="str">
        <f>IFERROR(INDEX(样本到样信息汇总统计!K$2:K$500,MATCH(23,样本到样信息汇总统计!$AA$2:$AA$500,0)),"")</f>
        <v/>
      </c>
      <c r="L24" s="4" t="str">
        <f>IFERROR(INDEX(样本到样信息汇总统计!L$2:L$500,MATCH(23,样本到样信息汇总统计!$AA$2:$AA$500,0)),"")</f>
        <v/>
      </c>
      <c r="M24" s="4" t="str">
        <f>IFERROR(INDEX(样本到样信息汇总统计!M$2:M$500,MATCH(23,样本到样信息汇总统计!$AA$2:$AA$500,0)),"")</f>
        <v/>
      </c>
      <c r="N24" s="4" t="str">
        <f>IFERROR(INDEX(样本到样信息汇总统计!N$2:N$500,MATCH(23,样本到样信息汇总统计!$AA$2:$AA$500,0)),"")</f>
        <v/>
      </c>
      <c r="O24" s="4" t="str">
        <f>IFERROR(INDEX(样本到样信息汇总统计!O$2:O$500,MATCH(23,样本到样信息汇总统计!$AA$2:$AA$500,0)),"")</f>
        <v/>
      </c>
      <c r="P24" s="4" t="str">
        <f>IFERROR(INDEX(样本到样信息汇总统计!P$2:P$500,MATCH(23,样本到样信息汇总统计!$AA$2:$AA$500,0)),"")</f>
        <v/>
      </c>
      <c r="Q24" s="4" t="str">
        <f>IFERROR(INDEX(样本到样信息汇总统计!Q$2:Q$500,MATCH(23,样本到样信息汇总统计!$AA$2:$AA$500,0)),"")</f>
        <v/>
      </c>
      <c r="R24" s="4" t="str">
        <f>IFERROR(INDEX(样本到样信息汇总统计!R$2:R$500,MATCH(23,样本到样信息汇总统计!$AA$2:$AA$500,0)),"")</f>
        <v/>
      </c>
      <c r="S24" s="4" t="str">
        <f>IFERROR(INDEX(样本到样信息汇总统计!S$2:S$500,MATCH(23,样本到样信息汇总统计!$AA$2:$AA$500,0)),"")</f>
        <v/>
      </c>
      <c r="T24" s="4" t="str">
        <f>IFERROR(INDEX(样本到样信息汇总统计!T$2:T$500,MATCH(23,样本到样信息汇总统计!$AA$2:$AA$500,0)),"")</f>
        <v/>
      </c>
      <c r="U24" s="4" t="str">
        <f>IFERROR(INDEX(样本到样信息汇总统计!U$2:U$500,MATCH(23,样本到样信息汇总统计!$AA$2:$AA$500,0)),"")</f>
        <v/>
      </c>
      <c r="V24" s="4" t="str">
        <f>IFERROR(INDEX(样本到样信息汇总统计!V$2:V$500,MATCH(23,样本到样信息汇总统计!$AA$2:$AA$500,0)),"")</f>
        <v/>
      </c>
      <c r="W24" s="4" t="str">
        <f>IFERROR(INDEX(样本到样信息汇总统计!W$2:W$500,MATCH(23,样本到样信息汇总统计!$AA$2:$AA$500,0)),"")</f>
        <v/>
      </c>
    </row>
    <row r="25" ht="14.5" spans="1:23">
      <c r="A25" s="8" t="str">
        <f>IFERROR(INDEX(样本到样信息汇总统计!A$2:A$500,MATCH(24,样本到样信息汇总统计!$AA$2:$AA$500,0)),"")</f>
        <v/>
      </c>
      <c r="B25" s="8" t="str">
        <f>IFERROR(INDEX(样本到样信息汇总统计!B$2:B$500,MATCH(24,样本到样信息汇总统计!$AA$2:$AA$500,0)),"")</f>
        <v/>
      </c>
      <c r="C25" s="8" t="str">
        <f>IFERROR(INDEX(样本到样信息汇总统计!C$2:C$500,MATCH(24,样本到样信息汇总统计!$AA$2:$AA$500,0)),"")</f>
        <v/>
      </c>
      <c r="D25" s="8" t="str">
        <f>IFERROR(INDEX(样本到样信息汇总统计!D$2:D$500,MATCH(24,样本到样信息汇总统计!$AA$2:$AA$500,0)),"")</f>
        <v/>
      </c>
      <c r="E25" s="8" t="str">
        <f>IFERROR(INDEX(样本到样信息汇总统计!E$2:E$500,MATCH(24,样本到样信息汇总统计!$AA$2:$AA$500,0)),"")</f>
        <v/>
      </c>
      <c r="F25" s="8" t="str">
        <f>IFERROR(INDEX(样本到样信息汇总统计!F$2:F$500,MATCH(24,样本到样信息汇总统计!$AA$2:$AA$500,0)),"")</f>
        <v/>
      </c>
      <c r="G25" s="8" t="str">
        <f>IFERROR(INDEX(样本到样信息汇总统计!G$2:G$500,MATCH(24,样本到样信息汇总统计!$AA$2:$AA$500,0)),"")</f>
        <v/>
      </c>
      <c r="H25" s="8" t="str">
        <f>IFERROR(INDEX(样本到样信息汇总统计!H$2:H$500,MATCH(24,样本到样信息汇总统计!$AA$2:$AA$500,0)),"")</f>
        <v/>
      </c>
      <c r="I25" s="8" t="str">
        <f>IFERROR(INDEX(样本到样信息汇总统计!I$2:I$500,MATCH(24,样本到样信息汇总统计!$AA$2:$AA$500,0)),"")</f>
        <v/>
      </c>
      <c r="J25" s="8" t="str">
        <f>IFERROR(INDEX(样本到样信息汇总统计!J$2:J$500,MATCH(24,样本到样信息汇总统计!$AA$2:$AA$500,0)),"")</f>
        <v/>
      </c>
      <c r="K25" s="8" t="str">
        <f>IFERROR(INDEX(样本到样信息汇总统计!K$2:K$500,MATCH(24,样本到样信息汇总统计!$AA$2:$AA$500,0)),"")</f>
        <v/>
      </c>
      <c r="L25" s="8" t="str">
        <f>IFERROR(INDEX(样本到样信息汇总统计!L$2:L$500,MATCH(24,样本到样信息汇总统计!$AA$2:$AA$500,0)),"")</f>
        <v/>
      </c>
      <c r="M25" s="8" t="str">
        <f>IFERROR(INDEX(样本到样信息汇总统计!M$2:M$500,MATCH(24,样本到样信息汇总统计!$AA$2:$AA$500,0)),"")</f>
        <v/>
      </c>
      <c r="N25" s="8" t="str">
        <f>IFERROR(INDEX(样本到样信息汇总统计!N$2:N$500,MATCH(24,样本到样信息汇总统计!$AA$2:$AA$500,0)),"")</f>
        <v/>
      </c>
      <c r="O25" s="8" t="str">
        <f>IFERROR(INDEX(样本到样信息汇总统计!O$2:O$500,MATCH(24,样本到样信息汇总统计!$AA$2:$AA$500,0)),"")</f>
        <v/>
      </c>
      <c r="P25" s="8" t="str">
        <f>IFERROR(INDEX(样本到样信息汇总统计!P$2:P$500,MATCH(24,样本到样信息汇总统计!$AA$2:$AA$500,0)),"")</f>
        <v/>
      </c>
      <c r="Q25" s="8" t="str">
        <f>IFERROR(INDEX(样本到样信息汇总统计!Q$2:Q$500,MATCH(24,样本到样信息汇总统计!$AA$2:$AA$500,0)),"")</f>
        <v/>
      </c>
      <c r="R25" s="8" t="str">
        <f>IFERROR(INDEX(样本到样信息汇总统计!R$2:R$500,MATCH(24,样本到样信息汇总统计!$AA$2:$AA$500,0)),"")</f>
        <v/>
      </c>
      <c r="S25" s="8" t="str">
        <f>IFERROR(INDEX(样本到样信息汇总统计!S$2:S$500,MATCH(24,样本到样信息汇总统计!$AA$2:$AA$500,0)),"")</f>
        <v/>
      </c>
      <c r="T25" s="8" t="str">
        <f>IFERROR(INDEX(样本到样信息汇总统计!T$2:T$500,MATCH(24,样本到样信息汇总统计!$AA$2:$AA$500,0)),"")</f>
        <v/>
      </c>
      <c r="U25" s="8" t="str">
        <f>IFERROR(INDEX(样本到样信息汇总统计!U$2:U$500,MATCH(24,样本到样信息汇总统计!$AA$2:$AA$500,0)),"")</f>
        <v/>
      </c>
      <c r="V25" s="8" t="str">
        <f>IFERROR(INDEX(样本到样信息汇总统计!V$2:V$500,MATCH(24,样本到样信息汇总统计!$AA$2:$AA$500,0)),"")</f>
        <v/>
      </c>
      <c r="W25" s="8" t="str">
        <f>IFERROR(INDEX(样本到样信息汇总统计!W$2:W$500,MATCH(24,样本到样信息汇总统计!$AA$2:$AA$500,0)),"")</f>
        <v/>
      </c>
    </row>
    <row r="26" ht="14.5" spans="1:23">
      <c r="A26" s="4" t="str">
        <f>IFERROR(INDEX(样本到样信息汇总统计!A$2:A$500,MATCH(25,样本到样信息汇总统计!$AA$2:$AA$500,0)),"")</f>
        <v/>
      </c>
      <c r="B26" s="4" t="str">
        <f>IFERROR(INDEX(样本到样信息汇总统计!B$2:B$500,MATCH(25,样本到样信息汇总统计!$AA$2:$AA$500,0)),"")</f>
        <v/>
      </c>
      <c r="C26" s="4" t="str">
        <f>IFERROR(INDEX(样本到样信息汇总统计!C$2:C$500,MATCH(25,样本到样信息汇总统计!$AA$2:$AA$500,0)),"")</f>
        <v/>
      </c>
      <c r="D26" s="4" t="str">
        <f>IFERROR(INDEX(样本到样信息汇总统计!D$2:D$500,MATCH(25,样本到样信息汇总统计!$AA$2:$AA$500,0)),"")</f>
        <v/>
      </c>
      <c r="E26" s="4" t="str">
        <f>IFERROR(INDEX(样本到样信息汇总统计!E$2:E$500,MATCH(25,样本到样信息汇总统计!$AA$2:$AA$500,0)),"")</f>
        <v/>
      </c>
      <c r="F26" s="4" t="str">
        <f>IFERROR(INDEX(样本到样信息汇总统计!F$2:F$500,MATCH(25,样本到样信息汇总统计!$AA$2:$AA$500,0)),"")</f>
        <v/>
      </c>
      <c r="G26" s="4" t="str">
        <f>IFERROR(INDEX(样本到样信息汇总统计!G$2:G$500,MATCH(25,样本到样信息汇总统计!$AA$2:$AA$500,0)),"")</f>
        <v/>
      </c>
      <c r="H26" s="4" t="str">
        <f>IFERROR(INDEX(样本到样信息汇总统计!H$2:H$500,MATCH(25,样本到样信息汇总统计!$AA$2:$AA$500,0)),"")</f>
        <v/>
      </c>
      <c r="I26" s="4" t="str">
        <f>IFERROR(INDEX(样本到样信息汇总统计!I$2:I$500,MATCH(25,样本到样信息汇总统计!$AA$2:$AA$500,0)),"")</f>
        <v/>
      </c>
      <c r="J26" s="4" t="str">
        <f>IFERROR(INDEX(样本到样信息汇总统计!J$2:J$500,MATCH(25,样本到样信息汇总统计!$AA$2:$AA$500,0)),"")</f>
        <v/>
      </c>
      <c r="K26" s="4" t="str">
        <f>IFERROR(INDEX(样本到样信息汇总统计!K$2:K$500,MATCH(25,样本到样信息汇总统计!$AA$2:$AA$500,0)),"")</f>
        <v/>
      </c>
      <c r="L26" s="4" t="str">
        <f>IFERROR(INDEX(样本到样信息汇总统计!L$2:L$500,MATCH(25,样本到样信息汇总统计!$AA$2:$AA$500,0)),"")</f>
        <v/>
      </c>
      <c r="M26" s="4" t="str">
        <f>IFERROR(INDEX(样本到样信息汇总统计!M$2:M$500,MATCH(25,样本到样信息汇总统计!$AA$2:$AA$500,0)),"")</f>
        <v/>
      </c>
      <c r="N26" s="4" t="str">
        <f>IFERROR(INDEX(样本到样信息汇总统计!N$2:N$500,MATCH(25,样本到样信息汇总统计!$AA$2:$AA$500,0)),"")</f>
        <v/>
      </c>
      <c r="O26" s="4" t="str">
        <f>IFERROR(INDEX(样本到样信息汇总统计!O$2:O$500,MATCH(25,样本到样信息汇总统计!$AA$2:$AA$500,0)),"")</f>
        <v/>
      </c>
      <c r="P26" s="4" t="str">
        <f>IFERROR(INDEX(样本到样信息汇总统计!P$2:P$500,MATCH(25,样本到样信息汇总统计!$AA$2:$AA$500,0)),"")</f>
        <v/>
      </c>
      <c r="Q26" s="4" t="str">
        <f>IFERROR(INDEX(样本到样信息汇总统计!Q$2:Q$500,MATCH(25,样本到样信息汇总统计!$AA$2:$AA$500,0)),"")</f>
        <v/>
      </c>
      <c r="R26" s="4" t="str">
        <f>IFERROR(INDEX(样本到样信息汇总统计!R$2:R$500,MATCH(25,样本到样信息汇总统计!$AA$2:$AA$500,0)),"")</f>
        <v/>
      </c>
      <c r="S26" s="4" t="str">
        <f>IFERROR(INDEX(样本到样信息汇总统计!S$2:S$500,MATCH(25,样本到样信息汇总统计!$AA$2:$AA$500,0)),"")</f>
        <v/>
      </c>
      <c r="T26" s="4" t="str">
        <f>IFERROR(INDEX(样本到样信息汇总统计!T$2:T$500,MATCH(25,样本到样信息汇总统计!$AA$2:$AA$500,0)),"")</f>
        <v/>
      </c>
      <c r="U26" s="4" t="str">
        <f>IFERROR(INDEX(样本到样信息汇总统计!U$2:U$500,MATCH(25,样本到样信息汇总统计!$AA$2:$AA$500,0)),"")</f>
        <v/>
      </c>
      <c r="V26" s="4" t="str">
        <f>IFERROR(INDEX(样本到样信息汇总统计!V$2:V$500,MATCH(25,样本到样信息汇总统计!$AA$2:$AA$500,0)),"")</f>
        <v/>
      </c>
      <c r="W26" s="4" t="str">
        <f>IFERROR(INDEX(样本到样信息汇总统计!W$2:W$500,MATCH(25,样本到样信息汇总统计!$AA$2:$AA$500,0)),"")</f>
        <v/>
      </c>
    </row>
    <row r="27" ht="14.5" spans="1:23">
      <c r="A27" s="8" t="str">
        <f>IFERROR(INDEX(样本到样信息汇总统计!A$2:A$500,MATCH(26,样本到样信息汇总统计!$AA$2:$AA$500,0)),"")</f>
        <v/>
      </c>
      <c r="B27" s="8" t="str">
        <f>IFERROR(INDEX(样本到样信息汇总统计!B$2:B$500,MATCH(26,样本到样信息汇总统计!$AA$2:$AA$500,0)),"")</f>
        <v/>
      </c>
      <c r="C27" s="8" t="str">
        <f>IFERROR(INDEX(样本到样信息汇总统计!C$2:C$500,MATCH(26,样本到样信息汇总统计!$AA$2:$AA$500,0)),"")</f>
        <v/>
      </c>
      <c r="D27" s="8" t="str">
        <f>IFERROR(INDEX(样本到样信息汇总统计!D$2:D$500,MATCH(26,样本到样信息汇总统计!$AA$2:$AA$500,0)),"")</f>
        <v/>
      </c>
      <c r="E27" s="8" t="str">
        <f>IFERROR(INDEX(样本到样信息汇总统计!E$2:E$500,MATCH(26,样本到样信息汇总统计!$AA$2:$AA$500,0)),"")</f>
        <v/>
      </c>
      <c r="F27" s="8" t="str">
        <f>IFERROR(INDEX(样本到样信息汇总统计!F$2:F$500,MATCH(26,样本到样信息汇总统计!$AA$2:$AA$500,0)),"")</f>
        <v/>
      </c>
      <c r="G27" s="8" t="str">
        <f>IFERROR(INDEX(样本到样信息汇总统计!G$2:G$500,MATCH(26,样本到样信息汇总统计!$AA$2:$AA$500,0)),"")</f>
        <v/>
      </c>
      <c r="H27" s="8" t="str">
        <f>IFERROR(INDEX(样本到样信息汇总统计!H$2:H$500,MATCH(26,样本到样信息汇总统计!$AA$2:$AA$500,0)),"")</f>
        <v/>
      </c>
      <c r="I27" s="8" t="str">
        <f>IFERROR(INDEX(样本到样信息汇总统计!I$2:I$500,MATCH(26,样本到样信息汇总统计!$AA$2:$AA$500,0)),"")</f>
        <v/>
      </c>
      <c r="J27" s="8" t="str">
        <f>IFERROR(INDEX(样本到样信息汇总统计!J$2:J$500,MATCH(26,样本到样信息汇总统计!$AA$2:$AA$500,0)),"")</f>
        <v/>
      </c>
      <c r="K27" s="8" t="str">
        <f>IFERROR(INDEX(样本到样信息汇总统计!K$2:K$500,MATCH(26,样本到样信息汇总统计!$AA$2:$AA$500,0)),"")</f>
        <v/>
      </c>
      <c r="L27" s="8" t="str">
        <f>IFERROR(INDEX(样本到样信息汇总统计!L$2:L$500,MATCH(26,样本到样信息汇总统计!$AA$2:$AA$500,0)),"")</f>
        <v/>
      </c>
      <c r="M27" s="8" t="str">
        <f>IFERROR(INDEX(样本到样信息汇总统计!M$2:M$500,MATCH(26,样本到样信息汇总统计!$AA$2:$AA$500,0)),"")</f>
        <v/>
      </c>
      <c r="N27" s="8" t="str">
        <f>IFERROR(INDEX(样本到样信息汇总统计!N$2:N$500,MATCH(26,样本到样信息汇总统计!$AA$2:$AA$500,0)),"")</f>
        <v/>
      </c>
      <c r="O27" s="8" t="str">
        <f>IFERROR(INDEX(样本到样信息汇总统计!O$2:O$500,MATCH(26,样本到样信息汇总统计!$AA$2:$AA$500,0)),"")</f>
        <v/>
      </c>
      <c r="P27" s="8" t="str">
        <f>IFERROR(INDEX(样本到样信息汇总统计!P$2:P$500,MATCH(26,样本到样信息汇总统计!$AA$2:$AA$500,0)),"")</f>
        <v/>
      </c>
      <c r="Q27" s="8" t="str">
        <f>IFERROR(INDEX(样本到样信息汇总统计!Q$2:Q$500,MATCH(26,样本到样信息汇总统计!$AA$2:$AA$500,0)),"")</f>
        <v/>
      </c>
      <c r="R27" s="8" t="str">
        <f>IFERROR(INDEX(样本到样信息汇总统计!R$2:R$500,MATCH(26,样本到样信息汇总统计!$AA$2:$AA$500,0)),"")</f>
        <v/>
      </c>
      <c r="S27" s="8" t="str">
        <f>IFERROR(INDEX(样本到样信息汇总统计!S$2:S$500,MATCH(26,样本到样信息汇总统计!$AA$2:$AA$500,0)),"")</f>
        <v/>
      </c>
      <c r="T27" s="8" t="str">
        <f>IFERROR(INDEX(样本到样信息汇总统计!T$2:T$500,MATCH(26,样本到样信息汇总统计!$AA$2:$AA$500,0)),"")</f>
        <v/>
      </c>
      <c r="U27" s="8" t="str">
        <f>IFERROR(INDEX(样本到样信息汇总统计!U$2:U$500,MATCH(26,样本到样信息汇总统计!$AA$2:$AA$500,0)),"")</f>
        <v/>
      </c>
      <c r="V27" s="8" t="str">
        <f>IFERROR(INDEX(样本到样信息汇总统计!V$2:V$500,MATCH(26,样本到样信息汇总统计!$AA$2:$AA$500,0)),"")</f>
        <v/>
      </c>
      <c r="W27" s="8" t="str">
        <f>IFERROR(INDEX(样本到样信息汇总统计!W$2:W$500,MATCH(26,样本到样信息汇总统计!$AA$2:$AA$500,0)),"")</f>
        <v/>
      </c>
    </row>
    <row r="28" ht="14.5" spans="1:23">
      <c r="A28" s="4" t="str">
        <f>IFERROR(INDEX(样本到样信息汇总统计!A$2:A$500,MATCH(27,样本到样信息汇总统计!$AA$2:$AA$500,0)),"")</f>
        <v/>
      </c>
      <c r="B28" s="4" t="str">
        <f>IFERROR(INDEX(样本到样信息汇总统计!B$2:B$500,MATCH(27,样本到样信息汇总统计!$AA$2:$AA$500,0)),"")</f>
        <v/>
      </c>
      <c r="C28" s="4" t="str">
        <f>IFERROR(INDEX(样本到样信息汇总统计!C$2:C$500,MATCH(27,样本到样信息汇总统计!$AA$2:$AA$500,0)),"")</f>
        <v/>
      </c>
      <c r="D28" s="4" t="str">
        <f>IFERROR(INDEX(样本到样信息汇总统计!D$2:D$500,MATCH(27,样本到样信息汇总统计!$AA$2:$AA$500,0)),"")</f>
        <v/>
      </c>
      <c r="E28" s="4" t="str">
        <f>IFERROR(INDEX(样本到样信息汇总统计!E$2:E$500,MATCH(27,样本到样信息汇总统计!$AA$2:$AA$500,0)),"")</f>
        <v/>
      </c>
      <c r="F28" s="4" t="str">
        <f>IFERROR(INDEX(样本到样信息汇总统计!F$2:F$500,MATCH(27,样本到样信息汇总统计!$AA$2:$AA$500,0)),"")</f>
        <v/>
      </c>
      <c r="G28" s="4" t="str">
        <f>IFERROR(INDEX(样本到样信息汇总统计!G$2:G$500,MATCH(27,样本到样信息汇总统计!$AA$2:$AA$500,0)),"")</f>
        <v/>
      </c>
      <c r="H28" s="4" t="str">
        <f>IFERROR(INDEX(样本到样信息汇总统计!H$2:H$500,MATCH(27,样本到样信息汇总统计!$AA$2:$AA$500,0)),"")</f>
        <v/>
      </c>
      <c r="I28" s="4" t="str">
        <f>IFERROR(INDEX(样本到样信息汇总统计!I$2:I$500,MATCH(27,样本到样信息汇总统计!$AA$2:$AA$500,0)),"")</f>
        <v/>
      </c>
      <c r="J28" s="4" t="str">
        <f>IFERROR(INDEX(样本到样信息汇总统计!J$2:J$500,MATCH(27,样本到样信息汇总统计!$AA$2:$AA$500,0)),"")</f>
        <v/>
      </c>
      <c r="K28" s="4" t="str">
        <f>IFERROR(INDEX(样本到样信息汇总统计!K$2:K$500,MATCH(27,样本到样信息汇总统计!$AA$2:$AA$500,0)),"")</f>
        <v/>
      </c>
      <c r="L28" s="4" t="str">
        <f>IFERROR(INDEX(样本到样信息汇总统计!L$2:L$500,MATCH(27,样本到样信息汇总统计!$AA$2:$AA$500,0)),"")</f>
        <v/>
      </c>
      <c r="M28" s="4" t="str">
        <f>IFERROR(INDEX(样本到样信息汇总统计!M$2:M$500,MATCH(27,样本到样信息汇总统计!$AA$2:$AA$500,0)),"")</f>
        <v/>
      </c>
      <c r="N28" s="4" t="str">
        <f>IFERROR(INDEX(样本到样信息汇总统计!N$2:N$500,MATCH(27,样本到样信息汇总统计!$AA$2:$AA$500,0)),"")</f>
        <v/>
      </c>
      <c r="O28" s="4" t="str">
        <f>IFERROR(INDEX(样本到样信息汇总统计!O$2:O$500,MATCH(27,样本到样信息汇总统计!$AA$2:$AA$500,0)),"")</f>
        <v/>
      </c>
      <c r="P28" s="4" t="str">
        <f>IFERROR(INDEX(样本到样信息汇总统计!P$2:P$500,MATCH(27,样本到样信息汇总统计!$AA$2:$AA$500,0)),"")</f>
        <v/>
      </c>
      <c r="Q28" s="4" t="str">
        <f>IFERROR(INDEX(样本到样信息汇总统计!Q$2:Q$500,MATCH(27,样本到样信息汇总统计!$AA$2:$AA$500,0)),"")</f>
        <v/>
      </c>
      <c r="R28" s="4" t="str">
        <f>IFERROR(INDEX(样本到样信息汇总统计!R$2:R$500,MATCH(27,样本到样信息汇总统计!$AA$2:$AA$500,0)),"")</f>
        <v/>
      </c>
      <c r="S28" s="4" t="str">
        <f>IFERROR(INDEX(样本到样信息汇总统计!S$2:S$500,MATCH(27,样本到样信息汇总统计!$AA$2:$AA$500,0)),"")</f>
        <v/>
      </c>
      <c r="T28" s="4" t="str">
        <f>IFERROR(INDEX(样本到样信息汇总统计!T$2:T$500,MATCH(27,样本到样信息汇总统计!$AA$2:$AA$500,0)),"")</f>
        <v/>
      </c>
      <c r="U28" s="4" t="str">
        <f>IFERROR(INDEX(样本到样信息汇总统计!U$2:U$500,MATCH(27,样本到样信息汇总统计!$AA$2:$AA$500,0)),"")</f>
        <v/>
      </c>
      <c r="V28" s="4" t="str">
        <f>IFERROR(INDEX(样本到样信息汇总统计!V$2:V$500,MATCH(27,样本到样信息汇总统计!$AA$2:$AA$500,0)),"")</f>
        <v/>
      </c>
      <c r="W28" s="4" t="str">
        <f>IFERROR(INDEX(样本到样信息汇总统计!W$2:W$500,MATCH(27,样本到样信息汇总统计!$AA$2:$AA$500,0)),"")</f>
        <v/>
      </c>
    </row>
    <row r="29" ht="14.5" spans="1:23">
      <c r="A29" s="8" t="str">
        <f>IFERROR(INDEX(样本到样信息汇总统计!A$2:A$500,MATCH(28,样本到样信息汇总统计!$AA$2:$AA$500,0)),"")</f>
        <v/>
      </c>
      <c r="B29" s="8" t="str">
        <f>IFERROR(INDEX(样本到样信息汇总统计!B$2:B$500,MATCH(28,样本到样信息汇总统计!$AA$2:$AA$500,0)),"")</f>
        <v/>
      </c>
      <c r="C29" s="8" t="str">
        <f>IFERROR(INDEX(样本到样信息汇总统计!C$2:C$500,MATCH(28,样本到样信息汇总统计!$AA$2:$AA$500,0)),"")</f>
        <v/>
      </c>
      <c r="D29" s="8" t="str">
        <f>IFERROR(INDEX(样本到样信息汇总统计!D$2:D$500,MATCH(28,样本到样信息汇总统计!$AA$2:$AA$500,0)),"")</f>
        <v/>
      </c>
      <c r="E29" s="8" t="str">
        <f>IFERROR(INDEX(样本到样信息汇总统计!E$2:E$500,MATCH(28,样本到样信息汇总统计!$AA$2:$AA$500,0)),"")</f>
        <v/>
      </c>
      <c r="F29" s="8" t="str">
        <f>IFERROR(INDEX(样本到样信息汇总统计!F$2:F$500,MATCH(28,样本到样信息汇总统计!$AA$2:$AA$500,0)),"")</f>
        <v/>
      </c>
      <c r="G29" s="8" t="str">
        <f>IFERROR(INDEX(样本到样信息汇总统计!G$2:G$500,MATCH(28,样本到样信息汇总统计!$AA$2:$AA$500,0)),"")</f>
        <v/>
      </c>
      <c r="H29" s="8" t="str">
        <f>IFERROR(INDEX(样本到样信息汇总统计!H$2:H$500,MATCH(28,样本到样信息汇总统计!$AA$2:$AA$500,0)),"")</f>
        <v/>
      </c>
      <c r="I29" s="8" t="str">
        <f>IFERROR(INDEX(样本到样信息汇总统计!I$2:I$500,MATCH(28,样本到样信息汇总统计!$AA$2:$AA$500,0)),"")</f>
        <v/>
      </c>
      <c r="J29" s="8" t="str">
        <f>IFERROR(INDEX(样本到样信息汇总统计!J$2:J$500,MATCH(28,样本到样信息汇总统计!$AA$2:$AA$500,0)),"")</f>
        <v/>
      </c>
      <c r="K29" s="8" t="str">
        <f>IFERROR(INDEX(样本到样信息汇总统计!K$2:K$500,MATCH(28,样本到样信息汇总统计!$AA$2:$AA$500,0)),"")</f>
        <v/>
      </c>
      <c r="L29" s="8" t="str">
        <f>IFERROR(INDEX(样本到样信息汇总统计!L$2:L$500,MATCH(28,样本到样信息汇总统计!$AA$2:$AA$500,0)),"")</f>
        <v/>
      </c>
      <c r="M29" s="8" t="str">
        <f>IFERROR(INDEX(样本到样信息汇总统计!M$2:M$500,MATCH(28,样本到样信息汇总统计!$AA$2:$AA$500,0)),"")</f>
        <v/>
      </c>
      <c r="N29" s="8" t="str">
        <f>IFERROR(INDEX(样本到样信息汇总统计!N$2:N$500,MATCH(28,样本到样信息汇总统计!$AA$2:$AA$500,0)),"")</f>
        <v/>
      </c>
      <c r="O29" s="8" t="str">
        <f>IFERROR(INDEX(样本到样信息汇总统计!O$2:O$500,MATCH(28,样本到样信息汇总统计!$AA$2:$AA$500,0)),"")</f>
        <v/>
      </c>
      <c r="P29" s="8" t="str">
        <f>IFERROR(INDEX(样本到样信息汇总统计!P$2:P$500,MATCH(28,样本到样信息汇总统计!$AA$2:$AA$500,0)),"")</f>
        <v/>
      </c>
      <c r="Q29" s="8" t="str">
        <f>IFERROR(INDEX(样本到样信息汇总统计!Q$2:Q$500,MATCH(28,样本到样信息汇总统计!$AA$2:$AA$500,0)),"")</f>
        <v/>
      </c>
      <c r="R29" s="8" t="str">
        <f>IFERROR(INDEX(样本到样信息汇总统计!R$2:R$500,MATCH(28,样本到样信息汇总统计!$AA$2:$AA$500,0)),"")</f>
        <v/>
      </c>
      <c r="S29" s="8" t="str">
        <f>IFERROR(INDEX(样本到样信息汇总统计!S$2:S$500,MATCH(28,样本到样信息汇总统计!$AA$2:$AA$500,0)),"")</f>
        <v/>
      </c>
      <c r="T29" s="8" t="str">
        <f>IFERROR(INDEX(样本到样信息汇总统计!T$2:T$500,MATCH(28,样本到样信息汇总统计!$AA$2:$AA$500,0)),"")</f>
        <v/>
      </c>
      <c r="U29" s="8" t="str">
        <f>IFERROR(INDEX(样本到样信息汇总统计!U$2:U$500,MATCH(28,样本到样信息汇总统计!$AA$2:$AA$500,0)),"")</f>
        <v/>
      </c>
      <c r="V29" s="8" t="str">
        <f>IFERROR(INDEX(样本到样信息汇总统计!V$2:V$500,MATCH(28,样本到样信息汇总统计!$AA$2:$AA$500,0)),"")</f>
        <v/>
      </c>
      <c r="W29" s="8" t="str">
        <f>IFERROR(INDEX(样本到样信息汇总统计!W$2:W$500,MATCH(28,样本到样信息汇总统计!$AA$2:$AA$500,0)),"")</f>
        <v/>
      </c>
    </row>
    <row r="30" ht="14.5" spans="1:23">
      <c r="A30" s="4" t="str">
        <f>IFERROR(INDEX(样本到样信息汇总统计!A$2:A$500,MATCH(29,样本到样信息汇总统计!$AA$2:$AA$500,0)),"")</f>
        <v/>
      </c>
      <c r="B30" s="4" t="str">
        <f>IFERROR(INDEX(样本到样信息汇总统计!B$2:B$500,MATCH(29,样本到样信息汇总统计!$AA$2:$AA$500,0)),"")</f>
        <v/>
      </c>
      <c r="C30" s="4" t="str">
        <f>IFERROR(INDEX(样本到样信息汇总统计!C$2:C$500,MATCH(29,样本到样信息汇总统计!$AA$2:$AA$500,0)),"")</f>
        <v/>
      </c>
      <c r="D30" s="4" t="str">
        <f>IFERROR(INDEX(样本到样信息汇总统计!D$2:D$500,MATCH(29,样本到样信息汇总统计!$AA$2:$AA$500,0)),"")</f>
        <v/>
      </c>
      <c r="E30" s="4" t="str">
        <f>IFERROR(INDEX(样本到样信息汇总统计!E$2:E$500,MATCH(29,样本到样信息汇总统计!$AA$2:$AA$500,0)),"")</f>
        <v/>
      </c>
      <c r="F30" s="4" t="str">
        <f>IFERROR(INDEX(样本到样信息汇总统计!F$2:F$500,MATCH(29,样本到样信息汇总统计!$AA$2:$AA$500,0)),"")</f>
        <v/>
      </c>
      <c r="G30" s="4" t="str">
        <f>IFERROR(INDEX(样本到样信息汇总统计!G$2:G$500,MATCH(29,样本到样信息汇总统计!$AA$2:$AA$500,0)),"")</f>
        <v/>
      </c>
      <c r="H30" s="4" t="str">
        <f>IFERROR(INDEX(样本到样信息汇总统计!H$2:H$500,MATCH(29,样本到样信息汇总统计!$AA$2:$AA$500,0)),"")</f>
        <v/>
      </c>
      <c r="I30" s="4" t="str">
        <f>IFERROR(INDEX(样本到样信息汇总统计!I$2:I$500,MATCH(29,样本到样信息汇总统计!$AA$2:$AA$500,0)),"")</f>
        <v/>
      </c>
      <c r="J30" s="4" t="str">
        <f>IFERROR(INDEX(样本到样信息汇总统计!J$2:J$500,MATCH(29,样本到样信息汇总统计!$AA$2:$AA$500,0)),"")</f>
        <v/>
      </c>
      <c r="K30" s="4" t="str">
        <f>IFERROR(INDEX(样本到样信息汇总统计!K$2:K$500,MATCH(29,样本到样信息汇总统计!$AA$2:$AA$500,0)),"")</f>
        <v/>
      </c>
      <c r="L30" s="4" t="str">
        <f>IFERROR(INDEX(样本到样信息汇总统计!L$2:L$500,MATCH(29,样本到样信息汇总统计!$AA$2:$AA$500,0)),"")</f>
        <v/>
      </c>
      <c r="M30" s="4" t="str">
        <f>IFERROR(INDEX(样本到样信息汇总统计!M$2:M$500,MATCH(29,样本到样信息汇总统计!$AA$2:$AA$500,0)),"")</f>
        <v/>
      </c>
      <c r="N30" s="4" t="str">
        <f>IFERROR(INDEX(样本到样信息汇总统计!N$2:N$500,MATCH(29,样本到样信息汇总统计!$AA$2:$AA$500,0)),"")</f>
        <v/>
      </c>
      <c r="O30" s="4" t="str">
        <f>IFERROR(INDEX(样本到样信息汇总统计!O$2:O$500,MATCH(29,样本到样信息汇总统计!$AA$2:$AA$500,0)),"")</f>
        <v/>
      </c>
      <c r="P30" s="4" t="str">
        <f>IFERROR(INDEX(样本到样信息汇总统计!P$2:P$500,MATCH(29,样本到样信息汇总统计!$AA$2:$AA$500,0)),"")</f>
        <v/>
      </c>
      <c r="Q30" s="4" t="str">
        <f>IFERROR(INDEX(样本到样信息汇总统计!Q$2:Q$500,MATCH(29,样本到样信息汇总统计!$AA$2:$AA$500,0)),"")</f>
        <v/>
      </c>
      <c r="R30" s="4" t="str">
        <f>IFERROR(INDEX(样本到样信息汇总统计!R$2:R$500,MATCH(29,样本到样信息汇总统计!$AA$2:$AA$500,0)),"")</f>
        <v/>
      </c>
      <c r="S30" s="4" t="str">
        <f>IFERROR(INDEX(样本到样信息汇总统计!S$2:S$500,MATCH(29,样本到样信息汇总统计!$AA$2:$AA$500,0)),"")</f>
        <v/>
      </c>
      <c r="T30" s="4" t="str">
        <f>IFERROR(INDEX(样本到样信息汇总统计!T$2:T$500,MATCH(29,样本到样信息汇总统计!$AA$2:$AA$500,0)),"")</f>
        <v/>
      </c>
      <c r="U30" s="4" t="str">
        <f>IFERROR(INDEX(样本到样信息汇总统计!U$2:U$500,MATCH(29,样本到样信息汇总统计!$AA$2:$AA$500,0)),"")</f>
        <v/>
      </c>
      <c r="V30" s="4" t="str">
        <f>IFERROR(INDEX(样本到样信息汇总统计!V$2:V$500,MATCH(29,样本到样信息汇总统计!$AA$2:$AA$500,0)),"")</f>
        <v/>
      </c>
      <c r="W30" s="4" t="str">
        <f>IFERROR(INDEX(样本到样信息汇总统计!W$2:W$500,MATCH(29,样本到样信息汇总统计!$AA$2:$AA$500,0)),"")</f>
        <v/>
      </c>
    </row>
    <row r="31" ht="14.5" spans="1:23">
      <c r="A31" s="8" t="str">
        <f>IFERROR(INDEX(样本到样信息汇总统计!A$2:A$500,MATCH(30,样本到样信息汇总统计!$AA$2:$AA$500,0)),"")</f>
        <v/>
      </c>
      <c r="B31" s="8" t="str">
        <f>IFERROR(INDEX(样本到样信息汇总统计!B$2:B$500,MATCH(30,样本到样信息汇总统计!$AA$2:$AA$500,0)),"")</f>
        <v/>
      </c>
      <c r="C31" s="8" t="str">
        <f>IFERROR(INDEX(样本到样信息汇总统计!C$2:C$500,MATCH(30,样本到样信息汇总统计!$AA$2:$AA$500,0)),"")</f>
        <v/>
      </c>
      <c r="D31" s="8" t="str">
        <f>IFERROR(INDEX(样本到样信息汇总统计!D$2:D$500,MATCH(30,样本到样信息汇总统计!$AA$2:$AA$500,0)),"")</f>
        <v/>
      </c>
      <c r="E31" s="8" t="str">
        <f>IFERROR(INDEX(样本到样信息汇总统计!E$2:E$500,MATCH(30,样本到样信息汇总统计!$AA$2:$AA$500,0)),"")</f>
        <v/>
      </c>
      <c r="F31" s="8" t="str">
        <f>IFERROR(INDEX(样本到样信息汇总统计!F$2:F$500,MATCH(30,样本到样信息汇总统计!$AA$2:$AA$500,0)),"")</f>
        <v/>
      </c>
      <c r="G31" s="8" t="str">
        <f>IFERROR(INDEX(样本到样信息汇总统计!G$2:G$500,MATCH(30,样本到样信息汇总统计!$AA$2:$AA$500,0)),"")</f>
        <v/>
      </c>
      <c r="H31" s="8" t="str">
        <f>IFERROR(INDEX(样本到样信息汇总统计!H$2:H$500,MATCH(30,样本到样信息汇总统计!$AA$2:$AA$500,0)),"")</f>
        <v/>
      </c>
      <c r="I31" s="8" t="str">
        <f>IFERROR(INDEX(样本到样信息汇总统计!I$2:I$500,MATCH(30,样本到样信息汇总统计!$AA$2:$AA$500,0)),"")</f>
        <v/>
      </c>
      <c r="J31" s="8" t="str">
        <f>IFERROR(INDEX(样本到样信息汇总统计!J$2:J$500,MATCH(30,样本到样信息汇总统计!$AA$2:$AA$500,0)),"")</f>
        <v/>
      </c>
      <c r="K31" s="8" t="str">
        <f>IFERROR(INDEX(样本到样信息汇总统计!K$2:K$500,MATCH(30,样本到样信息汇总统计!$AA$2:$AA$500,0)),"")</f>
        <v/>
      </c>
      <c r="L31" s="8" t="str">
        <f>IFERROR(INDEX(样本到样信息汇总统计!L$2:L$500,MATCH(30,样本到样信息汇总统计!$AA$2:$AA$500,0)),"")</f>
        <v/>
      </c>
      <c r="M31" s="8" t="str">
        <f>IFERROR(INDEX(样本到样信息汇总统计!M$2:M$500,MATCH(30,样本到样信息汇总统计!$AA$2:$AA$500,0)),"")</f>
        <v/>
      </c>
      <c r="N31" s="8" t="str">
        <f>IFERROR(INDEX(样本到样信息汇总统计!N$2:N$500,MATCH(30,样本到样信息汇总统计!$AA$2:$AA$500,0)),"")</f>
        <v/>
      </c>
      <c r="O31" s="8" t="str">
        <f>IFERROR(INDEX(样本到样信息汇总统计!O$2:O$500,MATCH(30,样本到样信息汇总统计!$AA$2:$AA$500,0)),"")</f>
        <v/>
      </c>
      <c r="P31" s="8" t="str">
        <f>IFERROR(INDEX(样本到样信息汇总统计!P$2:P$500,MATCH(30,样本到样信息汇总统计!$AA$2:$AA$500,0)),"")</f>
        <v/>
      </c>
      <c r="Q31" s="8" t="str">
        <f>IFERROR(INDEX(样本到样信息汇总统计!Q$2:Q$500,MATCH(30,样本到样信息汇总统计!$AA$2:$AA$500,0)),"")</f>
        <v/>
      </c>
      <c r="R31" s="8" t="str">
        <f>IFERROR(INDEX(样本到样信息汇总统计!R$2:R$500,MATCH(30,样本到样信息汇总统计!$AA$2:$AA$500,0)),"")</f>
        <v/>
      </c>
      <c r="S31" s="8" t="str">
        <f>IFERROR(INDEX(样本到样信息汇总统计!S$2:S$500,MATCH(30,样本到样信息汇总统计!$AA$2:$AA$500,0)),"")</f>
        <v/>
      </c>
      <c r="T31" s="8" t="str">
        <f>IFERROR(INDEX(样本到样信息汇总统计!T$2:T$500,MATCH(30,样本到样信息汇总统计!$AA$2:$AA$500,0)),"")</f>
        <v/>
      </c>
      <c r="U31" s="8" t="str">
        <f>IFERROR(INDEX(样本到样信息汇总统计!U$2:U$500,MATCH(30,样本到样信息汇总统计!$AA$2:$AA$500,0)),"")</f>
        <v/>
      </c>
      <c r="V31" s="8" t="str">
        <f>IFERROR(INDEX(样本到样信息汇总统计!V$2:V$500,MATCH(30,样本到样信息汇总统计!$AA$2:$AA$500,0)),"")</f>
        <v/>
      </c>
      <c r="W31" s="8" t="str">
        <f>IFERROR(INDEX(样本到样信息汇总统计!W$2:W$500,MATCH(30,样本到样信息汇总统计!$AA$2:$AA$500,0)),"")</f>
        <v/>
      </c>
    </row>
    <row r="32" ht="14.5" spans="1:23">
      <c r="A32" s="4" t="str">
        <f>IFERROR(INDEX(样本到样信息汇总统计!A$2:A$500,MATCH(31,样本到样信息汇总统计!$AA$2:$AA$500,0)),"")</f>
        <v/>
      </c>
      <c r="B32" s="4" t="str">
        <f>IFERROR(INDEX(样本到样信息汇总统计!B$2:B$500,MATCH(31,样本到样信息汇总统计!$AA$2:$AA$500,0)),"")</f>
        <v/>
      </c>
      <c r="C32" s="4" t="str">
        <f>IFERROR(INDEX(样本到样信息汇总统计!C$2:C$500,MATCH(31,样本到样信息汇总统计!$AA$2:$AA$500,0)),"")</f>
        <v/>
      </c>
      <c r="D32" s="4" t="str">
        <f>IFERROR(INDEX(样本到样信息汇总统计!D$2:D$500,MATCH(31,样本到样信息汇总统计!$AA$2:$AA$500,0)),"")</f>
        <v/>
      </c>
      <c r="E32" s="4" t="str">
        <f>IFERROR(INDEX(样本到样信息汇总统计!E$2:E$500,MATCH(31,样本到样信息汇总统计!$AA$2:$AA$500,0)),"")</f>
        <v/>
      </c>
      <c r="F32" s="4" t="str">
        <f>IFERROR(INDEX(样本到样信息汇总统计!F$2:F$500,MATCH(31,样本到样信息汇总统计!$AA$2:$AA$500,0)),"")</f>
        <v/>
      </c>
      <c r="G32" s="4" t="str">
        <f>IFERROR(INDEX(样本到样信息汇总统计!G$2:G$500,MATCH(31,样本到样信息汇总统计!$AA$2:$AA$500,0)),"")</f>
        <v/>
      </c>
      <c r="H32" s="4" t="str">
        <f>IFERROR(INDEX(样本到样信息汇总统计!H$2:H$500,MATCH(31,样本到样信息汇总统计!$AA$2:$AA$500,0)),"")</f>
        <v/>
      </c>
      <c r="I32" s="4" t="str">
        <f>IFERROR(INDEX(样本到样信息汇总统计!I$2:I$500,MATCH(31,样本到样信息汇总统计!$AA$2:$AA$500,0)),"")</f>
        <v/>
      </c>
      <c r="J32" s="4" t="str">
        <f>IFERROR(INDEX(样本到样信息汇总统计!J$2:J$500,MATCH(31,样本到样信息汇总统计!$AA$2:$AA$500,0)),"")</f>
        <v/>
      </c>
      <c r="K32" s="4" t="str">
        <f>IFERROR(INDEX(样本到样信息汇总统计!K$2:K$500,MATCH(31,样本到样信息汇总统计!$AA$2:$AA$500,0)),"")</f>
        <v/>
      </c>
      <c r="L32" s="4" t="str">
        <f>IFERROR(INDEX(样本到样信息汇总统计!L$2:L$500,MATCH(31,样本到样信息汇总统计!$AA$2:$AA$500,0)),"")</f>
        <v/>
      </c>
      <c r="M32" s="4" t="str">
        <f>IFERROR(INDEX(样本到样信息汇总统计!M$2:M$500,MATCH(31,样本到样信息汇总统计!$AA$2:$AA$500,0)),"")</f>
        <v/>
      </c>
      <c r="N32" s="4" t="str">
        <f>IFERROR(INDEX(样本到样信息汇总统计!N$2:N$500,MATCH(31,样本到样信息汇总统计!$AA$2:$AA$500,0)),"")</f>
        <v/>
      </c>
      <c r="O32" s="4" t="str">
        <f>IFERROR(INDEX(样本到样信息汇总统计!O$2:O$500,MATCH(31,样本到样信息汇总统计!$AA$2:$AA$500,0)),"")</f>
        <v/>
      </c>
      <c r="P32" s="4" t="str">
        <f>IFERROR(INDEX(样本到样信息汇总统计!P$2:P$500,MATCH(31,样本到样信息汇总统计!$AA$2:$AA$500,0)),"")</f>
        <v/>
      </c>
      <c r="Q32" s="4" t="str">
        <f>IFERROR(INDEX(样本到样信息汇总统计!Q$2:Q$500,MATCH(31,样本到样信息汇总统计!$AA$2:$AA$500,0)),"")</f>
        <v/>
      </c>
      <c r="R32" s="4" t="str">
        <f>IFERROR(INDEX(样本到样信息汇总统计!R$2:R$500,MATCH(31,样本到样信息汇总统计!$AA$2:$AA$500,0)),"")</f>
        <v/>
      </c>
      <c r="S32" s="4" t="str">
        <f>IFERROR(INDEX(样本到样信息汇总统计!S$2:S$500,MATCH(31,样本到样信息汇总统计!$AA$2:$AA$500,0)),"")</f>
        <v/>
      </c>
      <c r="T32" s="4" t="str">
        <f>IFERROR(INDEX(样本到样信息汇总统计!T$2:T$500,MATCH(31,样本到样信息汇总统计!$AA$2:$AA$500,0)),"")</f>
        <v/>
      </c>
      <c r="U32" s="4" t="str">
        <f>IFERROR(INDEX(样本到样信息汇总统计!U$2:U$500,MATCH(31,样本到样信息汇总统计!$AA$2:$AA$500,0)),"")</f>
        <v/>
      </c>
      <c r="V32" s="4" t="str">
        <f>IFERROR(INDEX(样本到样信息汇总统计!V$2:V$500,MATCH(31,样本到样信息汇总统计!$AA$2:$AA$500,0)),"")</f>
        <v/>
      </c>
      <c r="W32" s="4" t="str">
        <f>IFERROR(INDEX(样本到样信息汇总统计!W$2:W$500,MATCH(31,样本到样信息汇总统计!$AA$2:$AA$500,0)),"")</f>
        <v/>
      </c>
    </row>
    <row r="33" ht="14.5" spans="1:23">
      <c r="A33" s="8" t="str">
        <f>IFERROR(INDEX(样本到样信息汇总统计!A$2:A$500,MATCH(32,样本到样信息汇总统计!$AA$2:$AA$500,0)),"")</f>
        <v/>
      </c>
      <c r="B33" s="8" t="str">
        <f>IFERROR(INDEX(样本到样信息汇总统计!B$2:B$500,MATCH(32,样本到样信息汇总统计!$AA$2:$AA$500,0)),"")</f>
        <v/>
      </c>
      <c r="C33" s="8" t="str">
        <f>IFERROR(INDEX(样本到样信息汇总统计!C$2:C$500,MATCH(32,样本到样信息汇总统计!$AA$2:$AA$500,0)),"")</f>
        <v/>
      </c>
      <c r="D33" s="8" t="str">
        <f>IFERROR(INDEX(样本到样信息汇总统计!D$2:D$500,MATCH(32,样本到样信息汇总统计!$AA$2:$AA$500,0)),"")</f>
        <v/>
      </c>
      <c r="E33" s="8" t="str">
        <f>IFERROR(INDEX(样本到样信息汇总统计!E$2:E$500,MATCH(32,样本到样信息汇总统计!$AA$2:$AA$500,0)),"")</f>
        <v/>
      </c>
      <c r="F33" s="8" t="str">
        <f>IFERROR(INDEX(样本到样信息汇总统计!F$2:F$500,MATCH(32,样本到样信息汇总统计!$AA$2:$AA$500,0)),"")</f>
        <v/>
      </c>
      <c r="G33" s="8" t="str">
        <f>IFERROR(INDEX(样本到样信息汇总统计!G$2:G$500,MATCH(32,样本到样信息汇总统计!$AA$2:$AA$500,0)),"")</f>
        <v/>
      </c>
      <c r="H33" s="8" t="str">
        <f>IFERROR(INDEX(样本到样信息汇总统计!H$2:H$500,MATCH(32,样本到样信息汇总统计!$AA$2:$AA$500,0)),"")</f>
        <v/>
      </c>
      <c r="I33" s="8" t="str">
        <f>IFERROR(INDEX(样本到样信息汇总统计!I$2:I$500,MATCH(32,样本到样信息汇总统计!$AA$2:$AA$500,0)),"")</f>
        <v/>
      </c>
      <c r="J33" s="8" t="str">
        <f>IFERROR(INDEX(样本到样信息汇总统计!J$2:J$500,MATCH(32,样本到样信息汇总统计!$AA$2:$AA$500,0)),"")</f>
        <v/>
      </c>
      <c r="K33" s="8" t="str">
        <f>IFERROR(INDEX(样本到样信息汇总统计!K$2:K$500,MATCH(32,样本到样信息汇总统计!$AA$2:$AA$500,0)),"")</f>
        <v/>
      </c>
      <c r="L33" s="8" t="str">
        <f>IFERROR(INDEX(样本到样信息汇总统计!L$2:L$500,MATCH(32,样本到样信息汇总统计!$AA$2:$AA$500,0)),"")</f>
        <v/>
      </c>
      <c r="M33" s="8" t="str">
        <f>IFERROR(INDEX(样本到样信息汇总统计!M$2:M$500,MATCH(32,样本到样信息汇总统计!$AA$2:$AA$500,0)),"")</f>
        <v/>
      </c>
      <c r="N33" s="8" t="str">
        <f>IFERROR(INDEX(样本到样信息汇总统计!N$2:N$500,MATCH(32,样本到样信息汇总统计!$AA$2:$AA$500,0)),"")</f>
        <v/>
      </c>
      <c r="O33" s="8" t="str">
        <f>IFERROR(INDEX(样本到样信息汇总统计!O$2:O$500,MATCH(32,样本到样信息汇总统计!$AA$2:$AA$500,0)),"")</f>
        <v/>
      </c>
      <c r="P33" s="8" t="str">
        <f>IFERROR(INDEX(样本到样信息汇总统计!P$2:P$500,MATCH(32,样本到样信息汇总统计!$AA$2:$AA$500,0)),"")</f>
        <v/>
      </c>
      <c r="Q33" s="8" t="str">
        <f>IFERROR(INDEX(样本到样信息汇总统计!Q$2:Q$500,MATCH(32,样本到样信息汇总统计!$AA$2:$AA$500,0)),"")</f>
        <v/>
      </c>
      <c r="R33" s="8" t="str">
        <f>IFERROR(INDEX(样本到样信息汇总统计!R$2:R$500,MATCH(32,样本到样信息汇总统计!$AA$2:$AA$500,0)),"")</f>
        <v/>
      </c>
      <c r="S33" s="8" t="str">
        <f>IFERROR(INDEX(样本到样信息汇总统计!S$2:S$500,MATCH(32,样本到样信息汇总统计!$AA$2:$AA$500,0)),"")</f>
        <v/>
      </c>
      <c r="T33" s="8" t="str">
        <f>IFERROR(INDEX(样本到样信息汇总统计!T$2:T$500,MATCH(32,样本到样信息汇总统计!$AA$2:$AA$500,0)),"")</f>
        <v/>
      </c>
      <c r="U33" s="8" t="str">
        <f>IFERROR(INDEX(样本到样信息汇总统计!U$2:U$500,MATCH(32,样本到样信息汇总统计!$AA$2:$AA$500,0)),"")</f>
        <v/>
      </c>
      <c r="V33" s="8" t="str">
        <f>IFERROR(INDEX(样本到样信息汇总统计!V$2:V$500,MATCH(32,样本到样信息汇总统计!$AA$2:$AA$500,0)),"")</f>
        <v/>
      </c>
      <c r="W33" s="8" t="str">
        <f>IFERROR(INDEX(样本到样信息汇总统计!W$2:W$500,MATCH(32,样本到样信息汇总统计!$AA$2:$AA$500,0)),"")</f>
        <v/>
      </c>
    </row>
    <row r="34" ht="14.5" spans="1:23">
      <c r="A34" s="4" t="str">
        <f>IFERROR(INDEX(样本到样信息汇总统计!A$2:A$500,MATCH(33,样本到样信息汇总统计!$AA$2:$AA$500,0)),"")</f>
        <v/>
      </c>
      <c r="B34" s="4" t="str">
        <f>IFERROR(INDEX(样本到样信息汇总统计!B$2:B$500,MATCH(33,样本到样信息汇总统计!$AA$2:$AA$500,0)),"")</f>
        <v/>
      </c>
      <c r="C34" s="4" t="str">
        <f>IFERROR(INDEX(样本到样信息汇总统计!C$2:C$500,MATCH(33,样本到样信息汇总统计!$AA$2:$AA$500,0)),"")</f>
        <v/>
      </c>
      <c r="D34" s="4" t="str">
        <f>IFERROR(INDEX(样本到样信息汇总统计!D$2:D$500,MATCH(33,样本到样信息汇总统计!$AA$2:$AA$500,0)),"")</f>
        <v/>
      </c>
      <c r="E34" s="4" t="str">
        <f>IFERROR(INDEX(样本到样信息汇总统计!E$2:E$500,MATCH(33,样本到样信息汇总统计!$AA$2:$AA$500,0)),"")</f>
        <v/>
      </c>
      <c r="F34" s="4" t="str">
        <f>IFERROR(INDEX(样本到样信息汇总统计!F$2:F$500,MATCH(33,样本到样信息汇总统计!$AA$2:$AA$500,0)),"")</f>
        <v/>
      </c>
      <c r="G34" s="4" t="str">
        <f>IFERROR(INDEX(样本到样信息汇总统计!G$2:G$500,MATCH(33,样本到样信息汇总统计!$AA$2:$AA$500,0)),"")</f>
        <v/>
      </c>
      <c r="H34" s="4" t="str">
        <f>IFERROR(INDEX(样本到样信息汇总统计!H$2:H$500,MATCH(33,样本到样信息汇总统计!$AA$2:$AA$500,0)),"")</f>
        <v/>
      </c>
      <c r="I34" s="4" t="str">
        <f>IFERROR(INDEX(样本到样信息汇总统计!I$2:I$500,MATCH(33,样本到样信息汇总统计!$AA$2:$AA$500,0)),"")</f>
        <v/>
      </c>
      <c r="J34" s="4" t="str">
        <f>IFERROR(INDEX(样本到样信息汇总统计!J$2:J$500,MATCH(33,样本到样信息汇总统计!$AA$2:$AA$500,0)),"")</f>
        <v/>
      </c>
      <c r="K34" s="4" t="str">
        <f>IFERROR(INDEX(样本到样信息汇总统计!K$2:K$500,MATCH(33,样本到样信息汇总统计!$AA$2:$AA$500,0)),"")</f>
        <v/>
      </c>
      <c r="L34" s="4" t="str">
        <f>IFERROR(INDEX(样本到样信息汇总统计!L$2:L$500,MATCH(33,样本到样信息汇总统计!$AA$2:$AA$500,0)),"")</f>
        <v/>
      </c>
      <c r="M34" s="4" t="str">
        <f>IFERROR(INDEX(样本到样信息汇总统计!M$2:M$500,MATCH(33,样本到样信息汇总统计!$AA$2:$AA$500,0)),"")</f>
        <v/>
      </c>
      <c r="N34" s="4" t="str">
        <f>IFERROR(INDEX(样本到样信息汇总统计!N$2:N$500,MATCH(33,样本到样信息汇总统计!$AA$2:$AA$500,0)),"")</f>
        <v/>
      </c>
      <c r="O34" s="4" t="str">
        <f>IFERROR(INDEX(样本到样信息汇总统计!O$2:O$500,MATCH(33,样本到样信息汇总统计!$AA$2:$AA$500,0)),"")</f>
        <v/>
      </c>
      <c r="P34" s="4" t="str">
        <f>IFERROR(INDEX(样本到样信息汇总统计!P$2:P$500,MATCH(33,样本到样信息汇总统计!$AA$2:$AA$500,0)),"")</f>
        <v/>
      </c>
      <c r="Q34" s="4" t="str">
        <f>IFERROR(INDEX(样本到样信息汇总统计!Q$2:Q$500,MATCH(33,样本到样信息汇总统计!$AA$2:$AA$500,0)),"")</f>
        <v/>
      </c>
      <c r="R34" s="4" t="str">
        <f>IFERROR(INDEX(样本到样信息汇总统计!R$2:R$500,MATCH(33,样本到样信息汇总统计!$AA$2:$AA$500,0)),"")</f>
        <v/>
      </c>
      <c r="S34" s="4" t="str">
        <f>IFERROR(INDEX(样本到样信息汇总统计!S$2:S$500,MATCH(33,样本到样信息汇总统计!$AA$2:$AA$500,0)),"")</f>
        <v/>
      </c>
      <c r="T34" s="4" t="str">
        <f>IFERROR(INDEX(样本到样信息汇总统计!T$2:T$500,MATCH(33,样本到样信息汇总统计!$AA$2:$AA$500,0)),"")</f>
        <v/>
      </c>
      <c r="U34" s="4" t="str">
        <f>IFERROR(INDEX(样本到样信息汇总统计!U$2:U$500,MATCH(33,样本到样信息汇总统计!$AA$2:$AA$500,0)),"")</f>
        <v/>
      </c>
      <c r="V34" s="4" t="str">
        <f>IFERROR(INDEX(样本到样信息汇总统计!V$2:V$500,MATCH(33,样本到样信息汇总统计!$AA$2:$AA$500,0)),"")</f>
        <v/>
      </c>
      <c r="W34" s="4" t="str">
        <f>IFERROR(INDEX(样本到样信息汇总统计!W$2:W$500,MATCH(33,样本到样信息汇总统计!$AA$2:$AA$500,0)),"")</f>
        <v/>
      </c>
    </row>
    <row r="35" ht="14.5" spans="1:23">
      <c r="A35" s="8" t="str">
        <f>IFERROR(INDEX(样本到样信息汇总统计!A$2:A$500,MATCH(34,样本到样信息汇总统计!$AA$2:$AA$500,0)),"")</f>
        <v/>
      </c>
      <c r="B35" s="8" t="str">
        <f>IFERROR(INDEX(样本到样信息汇总统计!B$2:B$500,MATCH(34,样本到样信息汇总统计!$AA$2:$AA$500,0)),"")</f>
        <v/>
      </c>
      <c r="C35" s="8" t="str">
        <f>IFERROR(INDEX(样本到样信息汇总统计!C$2:C$500,MATCH(34,样本到样信息汇总统计!$AA$2:$AA$500,0)),"")</f>
        <v/>
      </c>
      <c r="D35" s="8" t="str">
        <f>IFERROR(INDEX(样本到样信息汇总统计!D$2:D$500,MATCH(34,样本到样信息汇总统计!$AA$2:$AA$500,0)),"")</f>
        <v/>
      </c>
      <c r="E35" s="8" t="str">
        <f>IFERROR(INDEX(样本到样信息汇总统计!E$2:E$500,MATCH(34,样本到样信息汇总统计!$AA$2:$AA$500,0)),"")</f>
        <v/>
      </c>
      <c r="F35" s="8" t="str">
        <f>IFERROR(INDEX(样本到样信息汇总统计!F$2:F$500,MATCH(34,样本到样信息汇总统计!$AA$2:$AA$500,0)),"")</f>
        <v/>
      </c>
      <c r="G35" s="8" t="str">
        <f>IFERROR(INDEX(样本到样信息汇总统计!G$2:G$500,MATCH(34,样本到样信息汇总统计!$AA$2:$AA$500,0)),"")</f>
        <v/>
      </c>
      <c r="H35" s="8" t="str">
        <f>IFERROR(INDEX(样本到样信息汇总统计!H$2:H$500,MATCH(34,样本到样信息汇总统计!$AA$2:$AA$500,0)),"")</f>
        <v/>
      </c>
      <c r="I35" s="8" t="str">
        <f>IFERROR(INDEX(样本到样信息汇总统计!I$2:I$500,MATCH(34,样本到样信息汇总统计!$AA$2:$AA$500,0)),"")</f>
        <v/>
      </c>
      <c r="J35" s="8" t="str">
        <f>IFERROR(INDEX(样本到样信息汇总统计!J$2:J$500,MATCH(34,样本到样信息汇总统计!$AA$2:$AA$500,0)),"")</f>
        <v/>
      </c>
      <c r="K35" s="8" t="str">
        <f>IFERROR(INDEX(样本到样信息汇总统计!K$2:K$500,MATCH(34,样本到样信息汇总统计!$AA$2:$AA$500,0)),"")</f>
        <v/>
      </c>
      <c r="L35" s="8" t="str">
        <f>IFERROR(INDEX(样本到样信息汇总统计!L$2:L$500,MATCH(34,样本到样信息汇总统计!$AA$2:$AA$500,0)),"")</f>
        <v/>
      </c>
      <c r="M35" s="8" t="str">
        <f>IFERROR(INDEX(样本到样信息汇总统计!M$2:M$500,MATCH(34,样本到样信息汇总统计!$AA$2:$AA$500,0)),"")</f>
        <v/>
      </c>
      <c r="N35" s="8" t="str">
        <f>IFERROR(INDEX(样本到样信息汇总统计!N$2:N$500,MATCH(34,样本到样信息汇总统计!$AA$2:$AA$500,0)),"")</f>
        <v/>
      </c>
      <c r="O35" s="8" t="str">
        <f>IFERROR(INDEX(样本到样信息汇总统计!O$2:O$500,MATCH(34,样本到样信息汇总统计!$AA$2:$AA$500,0)),"")</f>
        <v/>
      </c>
      <c r="P35" s="8" t="str">
        <f>IFERROR(INDEX(样本到样信息汇总统计!P$2:P$500,MATCH(34,样本到样信息汇总统计!$AA$2:$AA$500,0)),"")</f>
        <v/>
      </c>
      <c r="Q35" s="8" t="str">
        <f>IFERROR(INDEX(样本到样信息汇总统计!Q$2:Q$500,MATCH(34,样本到样信息汇总统计!$AA$2:$AA$500,0)),"")</f>
        <v/>
      </c>
      <c r="R35" s="8" t="str">
        <f>IFERROR(INDEX(样本到样信息汇总统计!R$2:R$500,MATCH(34,样本到样信息汇总统计!$AA$2:$AA$500,0)),"")</f>
        <v/>
      </c>
      <c r="S35" s="8" t="str">
        <f>IFERROR(INDEX(样本到样信息汇总统计!S$2:S$500,MATCH(34,样本到样信息汇总统计!$AA$2:$AA$500,0)),"")</f>
        <v/>
      </c>
      <c r="T35" s="8" t="str">
        <f>IFERROR(INDEX(样本到样信息汇总统计!T$2:T$500,MATCH(34,样本到样信息汇总统计!$AA$2:$AA$500,0)),"")</f>
        <v/>
      </c>
      <c r="U35" s="8" t="str">
        <f>IFERROR(INDEX(样本到样信息汇总统计!U$2:U$500,MATCH(34,样本到样信息汇总统计!$AA$2:$AA$500,0)),"")</f>
        <v/>
      </c>
      <c r="V35" s="8" t="str">
        <f>IFERROR(INDEX(样本到样信息汇总统计!V$2:V$500,MATCH(34,样本到样信息汇总统计!$AA$2:$AA$500,0)),"")</f>
        <v/>
      </c>
      <c r="W35" s="8" t="str">
        <f>IFERROR(INDEX(样本到样信息汇总统计!W$2:W$500,MATCH(34,样本到样信息汇总统计!$AA$2:$AA$500,0)),"")</f>
        <v/>
      </c>
    </row>
    <row r="36" ht="14.5" spans="1:23">
      <c r="A36" s="4" t="str">
        <f>IFERROR(INDEX(样本到样信息汇总统计!A$2:A$500,MATCH(35,样本到样信息汇总统计!$AA$2:$AA$500,0)),"")</f>
        <v/>
      </c>
      <c r="B36" s="4" t="str">
        <f>IFERROR(INDEX(样本到样信息汇总统计!B$2:B$500,MATCH(35,样本到样信息汇总统计!$AA$2:$AA$500,0)),"")</f>
        <v/>
      </c>
      <c r="C36" s="4" t="str">
        <f>IFERROR(INDEX(样本到样信息汇总统计!C$2:C$500,MATCH(35,样本到样信息汇总统计!$AA$2:$AA$500,0)),"")</f>
        <v/>
      </c>
      <c r="D36" s="4" t="str">
        <f>IFERROR(INDEX(样本到样信息汇总统计!D$2:D$500,MATCH(35,样本到样信息汇总统计!$AA$2:$AA$500,0)),"")</f>
        <v/>
      </c>
      <c r="E36" s="4" t="str">
        <f>IFERROR(INDEX(样本到样信息汇总统计!E$2:E$500,MATCH(35,样本到样信息汇总统计!$AA$2:$AA$500,0)),"")</f>
        <v/>
      </c>
      <c r="F36" s="4" t="str">
        <f>IFERROR(INDEX(样本到样信息汇总统计!F$2:F$500,MATCH(35,样本到样信息汇总统计!$AA$2:$AA$500,0)),"")</f>
        <v/>
      </c>
      <c r="G36" s="4" t="str">
        <f>IFERROR(INDEX(样本到样信息汇总统计!G$2:G$500,MATCH(35,样本到样信息汇总统计!$AA$2:$AA$500,0)),"")</f>
        <v/>
      </c>
      <c r="H36" s="4" t="str">
        <f>IFERROR(INDEX(样本到样信息汇总统计!H$2:H$500,MATCH(35,样本到样信息汇总统计!$AA$2:$AA$500,0)),"")</f>
        <v/>
      </c>
      <c r="I36" s="4" t="str">
        <f>IFERROR(INDEX(样本到样信息汇总统计!I$2:I$500,MATCH(35,样本到样信息汇总统计!$AA$2:$AA$500,0)),"")</f>
        <v/>
      </c>
      <c r="J36" s="4" t="str">
        <f>IFERROR(INDEX(样本到样信息汇总统计!J$2:J$500,MATCH(35,样本到样信息汇总统计!$AA$2:$AA$500,0)),"")</f>
        <v/>
      </c>
      <c r="K36" s="4" t="str">
        <f>IFERROR(INDEX(样本到样信息汇总统计!K$2:K$500,MATCH(35,样本到样信息汇总统计!$AA$2:$AA$500,0)),"")</f>
        <v/>
      </c>
      <c r="L36" s="4" t="str">
        <f>IFERROR(INDEX(样本到样信息汇总统计!L$2:L$500,MATCH(35,样本到样信息汇总统计!$AA$2:$AA$500,0)),"")</f>
        <v/>
      </c>
      <c r="M36" s="4" t="str">
        <f>IFERROR(INDEX(样本到样信息汇总统计!M$2:M$500,MATCH(35,样本到样信息汇总统计!$AA$2:$AA$500,0)),"")</f>
        <v/>
      </c>
      <c r="N36" s="4" t="str">
        <f>IFERROR(INDEX(样本到样信息汇总统计!N$2:N$500,MATCH(35,样本到样信息汇总统计!$AA$2:$AA$500,0)),"")</f>
        <v/>
      </c>
      <c r="O36" s="4" t="str">
        <f>IFERROR(INDEX(样本到样信息汇总统计!O$2:O$500,MATCH(35,样本到样信息汇总统计!$AA$2:$AA$500,0)),"")</f>
        <v/>
      </c>
      <c r="P36" s="4" t="str">
        <f>IFERROR(INDEX(样本到样信息汇总统计!P$2:P$500,MATCH(35,样本到样信息汇总统计!$AA$2:$AA$500,0)),"")</f>
        <v/>
      </c>
      <c r="Q36" s="4" t="str">
        <f>IFERROR(INDEX(样本到样信息汇总统计!Q$2:Q$500,MATCH(35,样本到样信息汇总统计!$AA$2:$AA$500,0)),"")</f>
        <v/>
      </c>
      <c r="R36" s="4" t="str">
        <f>IFERROR(INDEX(样本到样信息汇总统计!R$2:R$500,MATCH(35,样本到样信息汇总统计!$AA$2:$AA$500,0)),"")</f>
        <v/>
      </c>
      <c r="S36" s="4" t="str">
        <f>IFERROR(INDEX(样本到样信息汇总统计!S$2:S$500,MATCH(35,样本到样信息汇总统计!$AA$2:$AA$500,0)),"")</f>
        <v/>
      </c>
      <c r="T36" s="4" t="str">
        <f>IFERROR(INDEX(样本到样信息汇总统计!T$2:T$500,MATCH(35,样本到样信息汇总统计!$AA$2:$AA$500,0)),"")</f>
        <v/>
      </c>
      <c r="U36" s="4" t="str">
        <f>IFERROR(INDEX(样本到样信息汇总统计!U$2:U$500,MATCH(35,样本到样信息汇总统计!$AA$2:$AA$500,0)),"")</f>
        <v/>
      </c>
      <c r="V36" s="4" t="str">
        <f>IFERROR(INDEX(样本到样信息汇总统计!V$2:V$500,MATCH(35,样本到样信息汇总统计!$AA$2:$AA$500,0)),"")</f>
        <v/>
      </c>
      <c r="W36" s="4" t="str">
        <f>IFERROR(INDEX(样本到样信息汇总统计!W$2:W$500,MATCH(35,样本到样信息汇总统计!$AA$2:$AA$500,0)),"")</f>
        <v/>
      </c>
    </row>
    <row r="37" ht="14.5" spans="1:23">
      <c r="A37" s="8" t="str">
        <f>IFERROR(INDEX(样本到样信息汇总统计!A$2:A$500,MATCH(36,样本到样信息汇总统计!$AA$2:$AA$500,0)),"")</f>
        <v/>
      </c>
      <c r="B37" s="8" t="str">
        <f>IFERROR(INDEX(样本到样信息汇总统计!B$2:B$500,MATCH(36,样本到样信息汇总统计!$AA$2:$AA$500,0)),"")</f>
        <v/>
      </c>
      <c r="C37" s="8" t="str">
        <f>IFERROR(INDEX(样本到样信息汇总统计!C$2:C$500,MATCH(36,样本到样信息汇总统计!$AA$2:$AA$500,0)),"")</f>
        <v/>
      </c>
      <c r="D37" s="8" t="str">
        <f>IFERROR(INDEX(样本到样信息汇总统计!D$2:D$500,MATCH(36,样本到样信息汇总统计!$AA$2:$AA$500,0)),"")</f>
        <v/>
      </c>
      <c r="E37" s="8" t="str">
        <f>IFERROR(INDEX(样本到样信息汇总统计!E$2:E$500,MATCH(36,样本到样信息汇总统计!$AA$2:$AA$500,0)),"")</f>
        <v/>
      </c>
      <c r="F37" s="8" t="str">
        <f>IFERROR(INDEX(样本到样信息汇总统计!F$2:F$500,MATCH(36,样本到样信息汇总统计!$AA$2:$AA$500,0)),"")</f>
        <v/>
      </c>
      <c r="G37" s="8" t="str">
        <f>IFERROR(INDEX(样本到样信息汇总统计!G$2:G$500,MATCH(36,样本到样信息汇总统计!$AA$2:$AA$500,0)),"")</f>
        <v/>
      </c>
      <c r="H37" s="8" t="str">
        <f>IFERROR(INDEX(样本到样信息汇总统计!H$2:H$500,MATCH(36,样本到样信息汇总统计!$AA$2:$AA$500,0)),"")</f>
        <v/>
      </c>
      <c r="I37" s="8" t="str">
        <f>IFERROR(INDEX(样本到样信息汇总统计!I$2:I$500,MATCH(36,样本到样信息汇总统计!$AA$2:$AA$500,0)),"")</f>
        <v/>
      </c>
      <c r="J37" s="8" t="str">
        <f>IFERROR(INDEX(样本到样信息汇总统计!J$2:J$500,MATCH(36,样本到样信息汇总统计!$AA$2:$AA$500,0)),"")</f>
        <v/>
      </c>
      <c r="K37" s="8" t="str">
        <f>IFERROR(INDEX(样本到样信息汇总统计!K$2:K$500,MATCH(36,样本到样信息汇总统计!$AA$2:$AA$500,0)),"")</f>
        <v/>
      </c>
      <c r="L37" s="8" t="str">
        <f>IFERROR(INDEX(样本到样信息汇总统计!L$2:L$500,MATCH(36,样本到样信息汇总统计!$AA$2:$AA$500,0)),"")</f>
        <v/>
      </c>
      <c r="M37" s="8" t="str">
        <f>IFERROR(INDEX(样本到样信息汇总统计!M$2:M$500,MATCH(36,样本到样信息汇总统计!$AA$2:$AA$500,0)),"")</f>
        <v/>
      </c>
      <c r="N37" s="8" t="str">
        <f>IFERROR(INDEX(样本到样信息汇总统计!N$2:N$500,MATCH(36,样本到样信息汇总统计!$AA$2:$AA$500,0)),"")</f>
        <v/>
      </c>
      <c r="O37" s="8" t="str">
        <f>IFERROR(INDEX(样本到样信息汇总统计!O$2:O$500,MATCH(36,样本到样信息汇总统计!$AA$2:$AA$500,0)),"")</f>
        <v/>
      </c>
      <c r="P37" s="8" t="str">
        <f>IFERROR(INDEX(样本到样信息汇总统计!P$2:P$500,MATCH(36,样本到样信息汇总统计!$AA$2:$AA$500,0)),"")</f>
        <v/>
      </c>
      <c r="Q37" s="8" t="str">
        <f>IFERROR(INDEX(样本到样信息汇总统计!Q$2:Q$500,MATCH(36,样本到样信息汇总统计!$AA$2:$AA$500,0)),"")</f>
        <v/>
      </c>
      <c r="R37" s="8" t="str">
        <f>IFERROR(INDEX(样本到样信息汇总统计!R$2:R$500,MATCH(36,样本到样信息汇总统计!$AA$2:$AA$500,0)),"")</f>
        <v/>
      </c>
      <c r="S37" s="8" t="str">
        <f>IFERROR(INDEX(样本到样信息汇总统计!S$2:S$500,MATCH(36,样本到样信息汇总统计!$AA$2:$AA$500,0)),"")</f>
        <v/>
      </c>
      <c r="T37" s="8" t="str">
        <f>IFERROR(INDEX(样本到样信息汇总统计!T$2:T$500,MATCH(36,样本到样信息汇总统计!$AA$2:$AA$500,0)),"")</f>
        <v/>
      </c>
      <c r="U37" s="8" t="str">
        <f>IFERROR(INDEX(样本到样信息汇总统计!U$2:U$500,MATCH(36,样本到样信息汇总统计!$AA$2:$AA$500,0)),"")</f>
        <v/>
      </c>
      <c r="V37" s="8" t="str">
        <f>IFERROR(INDEX(样本到样信息汇总统计!V$2:V$500,MATCH(36,样本到样信息汇总统计!$AA$2:$AA$500,0)),"")</f>
        <v/>
      </c>
      <c r="W37" s="8" t="str">
        <f>IFERROR(INDEX(样本到样信息汇总统计!W$2:W$500,MATCH(36,样本到样信息汇总统计!$AA$2:$AA$500,0)),"")</f>
        <v/>
      </c>
    </row>
    <row r="38" ht="14.5" spans="1:23">
      <c r="A38" s="4" t="str">
        <f>IFERROR(INDEX(样本到样信息汇总统计!A$2:A$500,MATCH(37,样本到样信息汇总统计!$AA$2:$AA$500,0)),"")</f>
        <v/>
      </c>
      <c r="B38" s="4" t="str">
        <f>IFERROR(INDEX(样本到样信息汇总统计!B$2:B$500,MATCH(37,样本到样信息汇总统计!$AA$2:$AA$500,0)),"")</f>
        <v/>
      </c>
      <c r="C38" s="4" t="str">
        <f>IFERROR(INDEX(样本到样信息汇总统计!C$2:C$500,MATCH(37,样本到样信息汇总统计!$AA$2:$AA$500,0)),"")</f>
        <v/>
      </c>
      <c r="D38" s="4" t="str">
        <f>IFERROR(INDEX(样本到样信息汇总统计!D$2:D$500,MATCH(37,样本到样信息汇总统计!$AA$2:$AA$500,0)),"")</f>
        <v/>
      </c>
      <c r="E38" s="4" t="str">
        <f>IFERROR(INDEX(样本到样信息汇总统计!E$2:E$500,MATCH(37,样本到样信息汇总统计!$AA$2:$AA$500,0)),"")</f>
        <v/>
      </c>
      <c r="F38" s="4" t="str">
        <f>IFERROR(INDEX(样本到样信息汇总统计!F$2:F$500,MATCH(37,样本到样信息汇总统计!$AA$2:$AA$500,0)),"")</f>
        <v/>
      </c>
      <c r="G38" s="4" t="str">
        <f>IFERROR(INDEX(样本到样信息汇总统计!G$2:G$500,MATCH(37,样本到样信息汇总统计!$AA$2:$AA$500,0)),"")</f>
        <v/>
      </c>
      <c r="H38" s="4" t="str">
        <f>IFERROR(INDEX(样本到样信息汇总统计!H$2:H$500,MATCH(37,样本到样信息汇总统计!$AA$2:$AA$500,0)),"")</f>
        <v/>
      </c>
      <c r="I38" s="4" t="str">
        <f>IFERROR(INDEX(样本到样信息汇总统计!I$2:I$500,MATCH(37,样本到样信息汇总统计!$AA$2:$AA$500,0)),"")</f>
        <v/>
      </c>
      <c r="J38" s="4" t="str">
        <f>IFERROR(INDEX(样本到样信息汇总统计!J$2:J$500,MATCH(37,样本到样信息汇总统计!$AA$2:$AA$500,0)),"")</f>
        <v/>
      </c>
      <c r="K38" s="4" t="str">
        <f>IFERROR(INDEX(样本到样信息汇总统计!K$2:K$500,MATCH(37,样本到样信息汇总统计!$AA$2:$AA$500,0)),"")</f>
        <v/>
      </c>
      <c r="L38" s="4" t="str">
        <f>IFERROR(INDEX(样本到样信息汇总统计!L$2:L$500,MATCH(37,样本到样信息汇总统计!$AA$2:$AA$500,0)),"")</f>
        <v/>
      </c>
      <c r="M38" s="4" t="str">
        <f>IFERROR(INDEX(样本到样信息汇总统计!M$2:M$500,MATCH(37,样本到样信息汇总统计!$AA$2:$AA$500,0)),"")</f>
        <v/>
      </c>
      <c r="N38" s="4" t="str">
        <f>IFERROR(INDEX(样本到样信息汇总统计!N$2:N$500,MATCH(37,样本到样信息汇总统计!$AA$2:$AA$500,0)),"")</f>
        <v/>
      </c>
      <c r="O38" s="4" t="str">
        <f>IFERROR(INDEX(样本到样信息汇总统计!O$2:O$500,MATCH(37,样本到样信息汇总统计!$AA$2:$AA$500,0)),"")</f>
        <v/>
      </c>
      <c r="P38" s="4" t="str">
        <f>IFERROR(INDEX(样本到样信息汇总统计!P$2:P$500,MATCH(37,样本到样信息汇总统计!$AA$2:$AA$500,0)),"")</f>
        <v/>
      </c>
      <c r="Q38" s="4" t="str">
        <f>IFERROR(INDEX(样本到样信息汇总统计!Q$2:Q$500,MATCH(37,样本到样信息汇总统计!$AA$2:$AA$500,0)),"")</f>
        <v/>
      </c>
      <c r="R38" s="4" t="str">
        <f>IFERROR(INDEX(样本到样信息汇总统计!R$2:R$500,MATCH(37,样本到样信息汇总统计!$AA$2:$AA$500,0)),"")</f>
        <v/>
      </c>
      <c r="S38" s="4" t="str">
        <f>IFERROR(INDEX(样本到样信息汇总统计!S$2:S$500,MATCH(37,样本到样信息汇总统计!$AA$2:$AA$500,0)),"")</f>
        <v/>
      </c>
      <c r="T38" s="4" t="str">
        <f>IFERROR(INDEX(样本到样信息汇总统计!T$2:T$500,MATCH(37,样本到样信息汇总统计!$AA$2:$AA$500,0)),"")</f>
        <v/>
      </c>
      <c r="U38" s="4" t="str">
        <f>IFERROR(INDEX(样本到样信息汇总统计!U$2:U$500,MATCH(37,样本到样信息汇总统计!$AA$2:$AA$500,0)),"")</f>
        <v/>
      </c>
      <c r="V38" s="4" t="str">
        <f>IFERROR(INDEX(样本到样信息汇总统计!V$2:V$500,MATCH(37,样本到样信息汇总统计!$AA$2:$AA$500,0)),"")</f>
        <v/>
      </c>
      <c r="W38" s="4" t="str">
        <f>IFERROR(INDEX(样本到样信息汇总统计!W$2:W$500,MATCH(37,样本到样信息汇总统计!$AA$2:$AA$500,0)),"")</f>
        <v/>
      </c>
    </row>
    <row r="39" ht="14.5" spans="1:23">
      <c r="A39" s="8" t="str">
        <f>IFERROR(INDEX(样本到样信息汇总统计!A$2:A$500,MATCH(38,样本到样信息汇总统计!$AA$2:$AA$500,0)),"")</f>
        <v/>
      </c>
      <c r="B39" s="8" t="str">
        <f>IFERROR(INDEX(样本到样信息汇总统计!B$2:B$500,MATCH(38,样本到样信息汇总统计!$AA$2:$AA$500,0)),"")</f>
        <v/>
      </c>
      <c r="C39" s="8" t="str">
        <f>IFERROR(INDEX(样本到样信息汇总统计!C$2:C$500,MATCH(38,样本到样信息汇总统计!$AA$2:$AA$500,0)),"")</f>
        <v/>
      </c>
      <c r="D39" s="8" t="str">
        <f>IFERROR(INDEX(样本到样信息汇总统计!D$2:D$500,MATCH(38,样本到样信息汇总统计!$AA$2:$AA$500,0)),"")</f>
        <v/>
      </c>
      <c r="E39" s="8" t="str">
        <f>IFERROR(INDEX(样本到样信息汇总统计!E$2:E$500,MATCH(38,样本到样信息汇总统计!$AA$2:$AA$500,0)),"")</f>
        <v/>
      </c>
      <c r="F39" s="8" t="str">
        <f>IFERROR(INDEX(样本到样信息汇总统计!F$2:F$500,MATCH(38,样本到样信息汇总统计!$AA$2:$AA$500,0)),"")</f>
        <v/>
      </c>
      <c r="G39" s="8" t="str">
        <f>IFERROR(INDEX(样本到样信息汇总统计!G$2:G$500,MATCH(38,样本到样信息汇总统计!$AA$2:$AA$500,0)),"")</f>
        <v/>
      </c>
      <c r="H39" s="8" t="str">
        <f>IFERROR(INDEX(样本到样信息汇总统计!H$2:H$500,MATCH(38,样本到样信息汇总统计!$AA$2:$AA$500,0)),"")</f>
        <v/>
      </c>
      <c r="I39" s="8" t="str">
        <f>IFERROR(INDEX(样本到样信息汇总统计!I$2:I$500,MATCH(38,样本到样信息汇总统计!$AA$2:$AA$500,0)),"")</f>
        <v/>
      </c>
      <c r="J39" s="8" t="str">
        <f>IFERROR(INDEX(样本到样信息汇总统计!J$2:J$500,MATCH(38,样本到样信息汇总统计!$AA$2:$AA$500,0)),"")</f>
        <v/>
      </c>
      <c r="K39" s="8" t="str">
        <f>IFERROR(INDEX(样本到样信息汇总统计!K$2:K$500,MATCH(38,样本到样信息汇总统计!$AA$2:$AA$500,0)),"")</f>
        <v/>
      </c>
      <c r="L39" s="8" t="str">
        <f>IFERROR(INDEX(样本到样信息汇总统计!L$2:L$500,MATCH(38,样本到样信息汇总统计!$AA$2:$AA$500,0)),"")</f>
        <v/>
      </c>
      <c r="M39" s="8" t="str">
        <f>IFERROR(INDEX(样本到样信息汇总统计!M$2:M$500,MATCH(38,样本到样信息汇总统计!$AA$2:$AA$500,0)),"")</f>
        <v/>
      </c>
      <c r="N39" s="8" t="str">
        <f>IFERROR(INDEX(样本到样信息汇总统计!N$2:N$500,MATCH(38,样本到样信息汇总统计!$AA$2:$AA$500,0)),"")</f>
        <v/>
      </c>
      <c r="O39" s="8" t="str">
        <f>IFERROR(INDEX(样本到样信息汇总统计!O$2:O$500,MATCH(38,样本到样信息汇总统计!$AA$2:$AA$500,0)),"")</f>
        <v/>
      </c>
      <c r="P39" s="8" t="str">
        <f>IFERROR(INDEX(样本到样信息汇总统计!P$2:P$500,MATCH(38,样本到样信息汇总统计!$AA$2:$AA$500,0)),"")</f>
        <v/>
      </c>
      <c r="Q39" s="8" t="str">
        <f>IFERROR(INDEX(样本到样信息汇总统计!Q$2:Q$500,MATCH(38,样本到样信息汇总统计!$AA$2:$AA$500,0)),"")</f>
        <v/>
      </c>
      <c r="R39" s="8" t="str">
        <f>IFERROR(INDEX(样本到样信息汇总统计!R$2:R$500,MATCH(38,样本到样信息汇总统计!$AA$2:$AA$500,0)),"")</f>
        <v/>
      </c>
      <c r="S39" s="8" t="str">
        <f>IFERROR(INDEX(样本到样信息汇总统计!S$2:S$500,MATCH(38,样本到样信息汇总统计!$AA$2:$AA$500,0)),"")</f>
        <v/>
      </c>
      <c r="T39" s="8" t="str">
        <f>IFERROR(INDEX(样本到样信息汇总统计!T$2:T$500,MATCH(38,样本到样信息汇总统计!$AA$2:$AA$500,0)),"")</f>
        <v/>
      </c>
      <c r="U39" s="8" t="str">
        <f>IFERROR(INDEX(样本到样信息汇总统计!U$2:U$500,MATCH(38,样本到样信息汇总统计!$AA$2:$AA$500,0)),"")</f>
        <v/>
      </c>
      <c r="V39" s="8" t="str">
        <f>IFERROR(INDEX(样本到样信息汇总统计!V$2:V$500,MATCH(38,样本到样信息汇总统计!$AA$2:$AA$500,0)),"")</f>
        <v/>
      </c>
      <c r="W39" s="8" t="str">
        <f>IFERROR(INDEX(样本到样信息汇总统计!W$2:W$500,MATCH(38,样本到样信息汇总统计!$AA$2:$AA$500,0)),"")</f>
        <v/>
      </c>
    </row>
    <row r="40" ht="14.5" spans="1:23">
      <c r="A40" s="4" t="str">
        <f>IFERROR(INDEX(样本到样信息汇总统计!A$2:A$500,MATCH(39,样本到样信息汇总统计!$AA$2:$AA$500,0)),"")</f>
        <v/>
      </c>
      <c r="B40" s="4" t="str">
        <f>IFERROR(INDEX(样本到样信息汇总统计!B$2:B$500,MATCH(39,样本到样信息汇总统计!$AA$2:$AA$500,0)),"")</f>
        <v/>
      </c>
      <c r="C40" s="4" t="str">
        <f>IFERROR(INDEX(样本到样信息汇总统计!C$2:C$500,MATCH(39,样本到样信息汇总统计!$AA$2:$AA$500,0)),"")</f>
        <v/>
      </c>
      <c r="D40" s="4" t="str">
        <f>IFERROR(INDEX(样本到样信息汇总统计!D$2:D$500,MATCH(39,样本到样信息汇总统计!$AA$2:$AA$500,0)),"")</f>
        <v/>
      </c>
      <c r="E40" s="4" t="str">
        <f>IFERROR(INDEX(样本到样信息汇总统计!E$2:E$500,MATCH(39,样本到样信息汇总统计!$AA$2:$AA$500,0)),"")</f>
        <v/>
      </c>
      <c r="F40" s="4" t="str">
        <f>IFERROR(INDEX(样本到样信息汇总统计!F$2:F$500,MATCH(39,样本到样信息汇总统计!$AA$2:$AA$500,0)),"")</f>
        <v/>
      </c>
      <c r="G40" s="4" t="str">
        <f>IFERROR(INDEX(样本到样信息汇总统计!G$2:G$500,MATCH(39,样本到样信息汇总统计!$AA$2:$AA$500,0)),"")</f>
        <v/>
      </c>
      <c r="H40" s="4" t="str">
        <f>IFERROR(INDEX(样本到样信息汇总统计!H$2:H$500,MATCH(39,样本到样信息汇总统计!$AA$2:$AA$500,0)),"")</f>
        <v/>
      </c>
      <c r="I40" s="4" t="str">
        <f>IFERROR(INDEX(样本到样信息汇总统计!I$2:I$500,MATCH(39,样本到样信息汇总统计!$AA$2:$AA$500,0)),"")</f>
        <v/>
      </c>
      <c r="J40" s="4" t="str">
        <f>IFERROR(INDEX(样本到样信息汇总统计!J$2:J$500,MATCH(39,样本到样信息汇总统计!$AA$2:$AA$500,0)),"")</f>
        <v/>
      </c>
      <c r="K40" s="4" t="str">
        <f>IFERROR(INDEX(样本到样信息汇总统计!K$2:K$500,MATCH(39,样本到样信息汇总统计!$AA$2:$AA$500,0)),"")</f>
        <v/>
      </c>
      <c r="L40" s="4" t="str">
        <f>IFERROR(INDEX(样本到样信息汇总统计!L$2:L$500,MATCH(39,样本到样信息汇总统计!$AA$2:$AA$500,0)),"")</f>
        <v/>
      </c>
      <c r="M40" s="4" t="str">
        <f>IFERROR(INDEX(样本到样信息汇总统计!M$2:M$500,MATCH(39,样本到样信息汇总统计!$AA$2:$AA$500,0)),"")</f>
        <v/>
      </c>
      <c r="N40" s="4" t="str">
        <f>IFERROR(INDEX(样本到样信息汇总统计!N$2:N$500,MATCH(39,样本到样信息汇总统计!$AA$2:$AA$500,0)),"")</f>
        <v/>
      </c>
      <c r="O40" s="4" t="str">
        <f>IFERROR(INDEX(样本到样信息汇总统计!O$2:O$500,MATCH(39,样本到样信息汇总统计!$AA$2:$AA$500,0)),"")</f>
        <v/>
      </c>
      <c r="P40" s="4" t="str">
        <f>IFERROR(INDEX(样本到样信息汇总统计!P$2:P$500,MATCH(39,样本到样信息汇总统计!$AA$2:$AA$500,0)),"")</f>
        <v/>
      </c>
      <c r="Q40" s="4" t="str">
        <f>IFERROR(INDEX(样本到样信息汇总统计!Q$2:Q$500,MATCH(39,样本到样信息汇总统计!$AA$2:$AA$500,0)),"")</f>
        <v/>
      </c>
      <c r="R40" s="4" t="str">
        <f>IFERROR(INDEX(样本到样信息汇总统计!R$2:R$500,MATCH(39,样本到样信息汇总统计!$AA$2:$AA$500,0)),"")</f>
        <v/>
      </c>
      <c r="S40" s="4" t="str">
        <f>IFERROR(INDEX(样本到样信息汇总统计!S$2:S$500,MATCH(39,样本到样信息汇总统计!$AA$2:$AA$500,0)),"")</f>
        <v/>
      </c>
      <c r="T40" s="4" t="str">
        <f>IFERROR(INDEX(样本到样信息汇总统计!T$2:T$500,MATCH(39,样本到样信息汇总统计!$AA$2:$AA$500,0)),"")</f>
        <v/>
      </c>
      <c r="U40" s="4" t="str">
        <f>IFERROR(INDEX(样本到样信息汇总统计!U$2:U$500,MATCH(39,样本到样信息汇总统计!$AA$2:$AA$500,0)),"")</f>
        <v/>
      </c>
      <c r="V40" s="4" t="str">
        <f>IFERROR(INDEX(样本到样信息汇总统计!V$2:V$500,MATCH(39,样本到样信息汇总统计!$AA$2:$AA$500,0)),"")</f>
        <v/>
      </c>
      <c r="W40" s="4" t="str">
        <f>IFERROR(INDEX(样本到样信息汇总统计!W$2:W$500,MATCH(39,样本到样信息汇总统计!$AA$2:$AA$500,0)),"")</f>
        <v/>
      </c>
    </row>
    <row r="41" ht="14.5" spans="1:23">
      <c r="A41" s="8" t="str">
        <f>IFERROR(INDEX(样本到样信息汇总统计!A$2:A$500,MATCH(40,样本到样信息汇总统计!$AA$2:$AA$500,0)),"")</f>
        <v/>
      </c>
      <c r="B41" s="8" t="str">
        <f>IFERROR(INDEX(样本到样信息汇总统计!B$2:B$500,MATCH(40,样本到样信息汇总统计!$AA$2:$AA$500,0)),"")</f>
        <v/>
      </c>
      <c r="C41" s="8" t="str">
        <f>IFERROR(INDEX(样本到样信息汇总统计!C$2:C$500,MATCH(40,样本到样信息汇总统计!$AA$2:$AA$500,0)),"")</f>
        <v/>
      </c>
      <c r="D41" s="8" t="str">
        <f>IFERROR(INDEX(样本到样信息汇总统计!D$2:D$500,MATCH(40,样本到样信息汇总统计!$AA$2:$AA$500,0)),"")</f>
        <v/>
      </c>
      <c r="E41" s="8" t="str">
        <f>IFERROR(INDEX(样本到样信息汇总统计!E$2:E$500,MATCH(40,样本到样信息汇总统计!$AA$2:$AA$500,0)),"")</f>
        <v/>
      </c>
      <c r="F41" s="8" t="str">
        <f>IFERROR(INDEX(样本到样信息汇总统计!F$2:F$500,MATCH(40,样本到样信息汇总统计!$AA$2:$AA$500,0)),"")</f>
        <v/>
      </c>
      <c r="G41" s="8" t="str">
        <f>IFERROR(INDEX(样本到样信息汇总统计!G$2:G$500,MATCH(40,样本到样信息汇总统计!$AA$2:$AA$500,0)),"")</f>
        <v/>
      </c>
      <c r="H41" s="8" t="str">
        <f>IFERROR(INDEX(样本到样信息汇总统计!H$2:H$500,MATCH(40,样本到样信息汇总统计!$AA$2:$AA$500,0)),"")</f>
        <v/>
      </c>
      <c r="I41" s="8" t="str">
        <f>IFERROR(INDEX(样本到样信息汇总统计!I$2:I$500,MATCH(40,样本到样信息汇总统计!$AA$2:$AA$500,0)),"")</f>
        <v/>
      </c>
      <c r="J41" s="8" t="str">
        <f>IFERROR(INDEX(样本到样信息汇总统计!J$2:J$500,MATCH(40,样本到样信息汇总统计!$AA$2:$AA$500,0)),"")</f>
        <v/>
      </c>
      <c r="K41" s="8" t="str">
        <f>IFERROR(INDEX(样本到样信息汇总统计!K$2:K$500,MATCH(40,样本到样信息汇总统计!$AA$2:$AA$500,0)),"")</f>
        <v/>
      </c>
      <c r="L41" s="8" t="str">
        <f>IFERROR(INDEX(样本到样信息汇总统计!L$2:L$500,MATCH(40,样本到样信息汇总统计!$AA$2:$AA$500,0)),"")</f>
        <v/>
      </c>
      <c r="M41" s="8" t="str">
        <f>IFERROR(INDEX(样本到样信息汇总统计!M$2:M$500,MATCH(40,样本到样信息汇总统计!$AA$2:$AA$500,0)),"")</f>
        <v/>
      </c>
      <c r="N41" s="8" t="str">
        <f>IFERROR(INDEX(样本到样信息汇总统计!N$2:N$500,MATCH(40,样本到样信息汇总统计!$AA$2:$AA$500,0)),"")</f>
        <v/>
      </c>
      <c r="O41" s="8" t="str">
        <f>IFERROR(INDEX(样本到样信息汇总统计!O$2:O$500,MATCH(40,样本到样信息汇总统计!$AA$2:$AA$500,0)),"")</f>
        <v/>
      </c>
      <c r="P41" s="8" t="str">
        <f>IFERROR(INDEX(样本到样信息汇总统计!P$2:P$500,MATCH(40,样本到样信息汇总统计!$AA$2:$AA$500,0)),"")</f>
        <v/>
      </c>
      <c r="Q41" s="8" t="str">
        <f>IFERROR(INDEX(样本到样信息汇总统计!Q$2:Q$500,MATCH(40,样本到样信息汇总统计!$AA$2:$AA$500,0)),"")</f>
        <v/>
      </c>
      <c r="R41" s="8" t="str">
        <f>IFERROR(INDEX(样本到样信息汇总统计!R$2:R$500,MATCH(40,样本到样信息汇总统计!$AA$2:$AA$500,0)),"")</f>
        <v/>
      </c>
      <c r="S41" s="8" t="str">
        <f>IFERROR(INDEX(样本到样信息汇总统计!S$2:S$500,MATCH(40,样本到样信息汇总统计!$AA$2:$AA$500,0)),"")</f>
        <v/>
      </c>
      <c r="T41" s="8" t="str">
        <f>IFERROR(INDEX(样本到样信息汇总统计!T$2:T$500,MATCH(40,样本到样信息汇总统计!$AA$2:$AA$500,0)),"")</f>
        <v/>
      </c>
      <c r="U41" s="8" t="str">
        <f>IFERROR(INDEX(样本到样信息汇总统计!U$2:U$500,MATCH(40,样本到样信息汇总统计!$AA$2:$AA$500,0)),"")</f>
        <v/>
      </c>
      <c r="V41" s="8" t="str">
        <f>IFERROR(INDEX(样本到样信息汇总统计!V$2:V$500,MATCH(40,样本到样信息汇总统计!$AA$2:$AA$500,0)),"")</f>
        <v/>
      </c>
      <c r="W41" s="8" t="str">
        <f>IFERROR(INDEX(样本到样信息汇总统计!W$2:W$500,MATCH(40,样本到样信息汇总统计!$AA$2:$AA$500,0)),"")</f>
        <v/>
      </c>
    </row>
    <row r="42" ht="14.5" spans="1:23">
      <c r="A42" s="4" t="str">
        <f>IFERROR(INDEX(样本到样信息汇总统计!A$2:A$500,MATCH(41,样本到样信息汇总统计!$AA$2:$AA$500,0)),"")</f>
        <v/>
      </c>
      <c r="B42" s="4" t="str">
        <f>IFERROR(INDEX(样本到样信息汇总统计!B$2:B$500,MATCH(41,样本到样信息汇总统计!$AA$2:$AA$500,0)),"")</f>
        <v/>
      </c>
      <c r="C42" s="4" t="str">
        <f>IFERROR(INDEX(样本到样信息汇总统计!C$2:C$500,MATCH(41,样本到样信息汇总统计!$AA$2:$AA$500,0)),"")</f>
        <v/>
      </c>
      <c r="D42" s="4" t="str">
        <f>IFERROR(INDEX(样本到样信息汇总统计!D$2:D$500,MATCH(41,样本到样信息汇总统计!$AA$2:$AA$500,0)),"")</f>
        <v/>
      </c>
      <c r="E42" s="4" t="str">
        <f>IFERROR(INDEX(样本到样信息汇总统计!E$2:E$500,MATCH(41,样本到样信息汇总统计!$AA$2:$AA$500,0)),"")</f>
        <v/>
      </c>
      <c r="F42" s="4" t="str">
        <f>IFERROR(INDEX(样本到样信息汇总统计!F$2:F$500,MATCH(41,样本到样信息汇总统计!$AA$2:$AA$500,0)),"")</f>
        <v/>
      </c>
      <c r="G42" s="4" t="str">
        <f>IFERROR(INDEX(样本到样信息汇总统计!G$2:G$500,MATCH(41,样本到样信息汇总统计!$AA$2:$AA$500,0)),"")</f>
        <v/>
      </c>
      <c r="H42" s="4" t="str">
        <f>IFERROR(INDEX(样本到样信息汇总统计!H$2:H$500,MATCH(41,样本到样信息汇总统计!$AA$2:$AA$500,0)),"")</f>
        <v/>
      </c>
      <c r="I42" s="4" t="str">
        <f>IFERROR(INDEX(样本到样信息汇总统计!I$2:I$500,MATCH(41,样本到样信息汇总统计!$AA$2:$AA$500,0)),"")</f>
        <v/>
      </c>
      <c r="J42" s="4" t="str">
        <f>IFERROR(INDEX(样本到样信息汇总统计!J$2:J$500,MATCH(41,样本到样信息汇总统计!$AA$2:$AA$500,0)),"")</f>
        <v/>
      </c>
      <c r="K42" s="4" t="str">
        <f>IFERROR(INDEX(样本到样信息汇总统计!K$2:K$500,MATCH(41,样本到样信息汇总统计!$AA$2:$AA$500,0)),"")</f>
        <v/>
      </c>
      <c r="L42" s="4" t="str">
        <f>IFERROR(INDEX(样本到样信息汇总统计!L$2:L$500,MATCH(41,样本到样信息汇总统计!$AA$2:$AA$500,0)),"")</f>
        <v/>
      </c>
      <c r="M42" s="4" t="str">
        <f>IFERROR(INDEX(样本到样信息汇总统计!M$2:M$500,MATCH(41,样本到样信息汇总统计!$AA$2:$AA$500,0)),"")</f>
        <v/>
      </c>
      <c r="N42" s="4" t="str">
        <f>IFERROR(INDEX(样本到样信息汇总统计!N$2:N$500,MATCH(41,样本到样信息汇总统计!$AA$2:$AA$500,0)),"")</f>
        <v/>
      </c>
      <c r="O42" s="4" t="str">
        <f>IFERROR(INDEX(样本到样信息汇总统计!O$2:O$500,MATCH(41,样本到样信息汇总统计!$AA$2:$AA$500,0)),"")</f>
        <v/>
      </c>
      <c r="P42" s="4" t="str">
        <f>IFERROR(INDEX(样本到样信息汇总统计!P$2:P$500,MATCH(41,样本到样信息汇总统计!$AA$2:$AA$500,0)),"")</f>
        <v/>
      </c>
      <c r="Q42" s="4" t="str">
        <f>IFERROR(INDEX(样本到样信息汇总统计!Q$2:Q$500,MATCH(41,样本到样信息汇总统计!$AA$2:$AA$500,0)),"")</f>
        <v/>
      </c>
      <c r="R42" s="4" t="str">
        <f>IFERROR(INDEX(样本到样信息汇总统计!R$2:R$500,MATCH(41,样本到样信息汇总统计!$AA$2:$AA$500,0)),"")</f>
        <v/>
      </c>
      <c r="S42" s="4" t="str">
        <f>IFERROR(INDEX(样本到样信息汇总统计!S$2:S$500,MATCH(41,样本到样信息汇总统计!$AA$2:$AA$500,0)),"")</f>
        <v/>
      </c>
      <c r="T42" s="4" t="str">
        <f>IFERROR(INDEX(样本到样信息汇总统计!T$2:T$500,MATCH(41,样本到样信息汇总统计!$AA$2:$AA$500,0)),"")</f>
        <v/>
      </c>
      <c r="U42" s="4" t="str">
        <f>IFERROR(INDEX(样本到样信息汇总统计!U$2:U$500,MATCH(41,样本到样信息汇总统计!$AA$2:$AA$500,0)),"")</f>
        <v/>
      </c>
      <c r="V42" s="4" t="str">
        <f>IFERROR(INDEX(样本到样信息汇总统计!V$2:V$500,MATCH(41,样本到样信息汇总统计!$AA$2:$AA$500,0)),"")</f>
        <v/>
      </c>
      <c r="W42" s="4" t="str">
        <f>IFERROR(INDEX(样本到样信息汇总统计!W$2:W$500,MATCH(41,样本到样信息汇总统计!$AA$2:$AA$500,0)),"")</f>
        <v/>
      </c>
    </row>
    <row r="43" ht="14.5" spans="1:23">
      <c r="A43" s="8" t="str">
        <f>IFERROR(INDEX(样本到样信息汇总统计!A$2:A$500,MATCH(42,样本到样信息汇总统计!$AA$2:$AA$500,0)),"")</f>
        <v/>
      </c>
      <c r="B43" s="8" t="str">
        <f>IFERROR(INDEX(样本到样信息汇总统计!B$2:B$500,MATCH(42,样本到样信息汇总统计!$AA$2:$AA$500,0)),"")</f>
        <v/>
      </c>
      <c r="C43" s="8" t="str">
        <f>IFERROR(INDEX(样本到样信息汇总统计!C$2:C$500,MATCH(42,样本到样信息汇总统计!$AA$2:$AA$500,0)),"")</f>
        <v/>
      </c>
      <c r="D43" s="8" t="str">
        <f>IFERROR(INDEX(样本到样信息汇总统计!D$2:D$500,MATCH(42,样本到样信息汇总统计!$AA$2:$AA$500,0)),"")</f>
        <v/>
      </c>
      <c r="E43" s="8" t="str">
        <f>IFERROR(INDEX(样本到样信息汇总统计!E$2:E$500,MATCH(42,样本到样信息汇总统计!$AA$2:$AA$500,0)),"")</f>
        <v/>
      </c>
      <c r="F43" s="8" t="str">
        <f>IFERROR(INDEX(样本到样信息汇总统计!F$2:F$500,MATCH(42,样本到样信息汇总统计!$AA$2:$AA$500,0)),"")</f>
        <v/>
      </c>
      <c r="G43" s="8" t="str">
        <f>IFERROR(INDEX(样本到样信息汇总统计!G$2:G$500,MATCH(42,样本到样信息汇总统计!$AA$2:$AA$500,0)),"")</f>
        <v/>
      </c>
      <c r="H43" s="8" t="str">
        <f>IFERROR(INDEX(样本到样信息汇总统计!H$2:H$500,MATCH(42,样本到样信息汇总统计!$AA$2:$AA$500,0)),"")</f>
        <v/>
      </c>
      <c r="I43" s="8" t="str">
        <f>IFERROR(INDEX(样本到样信息汇总统计!I$2:I$500,MATCH(42,样本到样信息汇总统计!$AA$2:$AA$500,0)),"")</f>
        <v/>
      </c>
      <c r="J43" s="8" t="str">
        <f>IFERROR(INDEX(样本到样信息汇总统计!J$2:J$500,MATCH(42,样本到样信息汇总统计!$AA$2:$AA$500,0)),"")</f>
        <v/>
      </c>
      <c r="K43" s="8" t="str">
        <f>IFERROR(INDEX(样本到样信息汇总统计!K$2:K$500,MATCH(42,样本到样信息汇总统计!$AA$2:$AA$500,0)),"")</f>
        <v/>
      </c>
      <c r="L43" s="8" t="str">
        <f>IFERROR(INDEX(样本到样信息汇总统计!L$2:L$500,MATCH(42,样本到样信息汇总统计!$AA$2:$AA$500,0)),"")</f>
        <v/>
      </c>
      <c r="M43" s="8" t="str">
        <f>IFERROR(INDEX(样本到样信息汇总统计!M$2:M$500,MATCH(42,样本到样信息汇总统计!$AA$2:$AA$500,0)),"")</f>
        <v/>
      </c>
      <c r="N43" s="8" t="str">
        <f>IFERROR(INDEX(样本到样信息汇总统计!N$2:N$500,MATCH(42,样本到样信息汇总统计!$AA$2:$AA$500,0)),"")</f>
        <v/>
      </c>
      <c r="O43" s="8" t="str">
        <f>IFERROR(INDEX(样本到样信息汇总统计!O$2:O$500,MATCH(42,样本到样信息汇总统计!$AA$2:$AA$500,0)),"")</f>
        <v/>
      </c>
      <c r="P43" s="8" t="str">
        <f>IFERROR(INDEX(样本到样信息汇总统计!P$2:P$500,MATCH(42,样本到样信息汇总统计!$AA$2:$AA$500,0)),"")</f>
        <v/>
      </c>
      <c r="Q43" s="8" t="str">
        <f>IFERROR(INDEX(样本到样信息汇总统计!Q$2:Q$500,MATCH(42,样本到样信息汇总统计!$AA$2:$AA$500,0)),"")</f>
        <v/>
      </c>
      <c r="R43" s="8" t="str">
        <f>IFERROR(INDEX(样本到样信息汇总统计!R$2:R$500,MATCH(42,样本到样信息汇总统计!$AA$2:$AA$500,0)),"")</f>
        <v/>
      </c>
      <c r="S43" s="8" t="str">
        <f>IFERROR(INDEX(样本到样信息汇总统计!S$2:S$500,MATCH(42,样本到样信息汇总统计!$AA$2:$AA$500,0)),"")</f>
        <v/>
      </c>
      <c r="T43" s="8" t="str">
        <f>IFERROR(INDEX(样本到样信息汇总统计!T$2:T$500,MATCH(42,样本到样信息汇总统计!$AA$2:$AA$500,0)),"")</f>
        <v/>
      </c>
      <c r="U43" s="8" t="str">
        <f>IFERROR(INDEX(样本到样信息汇总统计!U$2:U$500,MATCH(42,样本到样信息汇总统计!$AA$2:$AA$500,0)),"")</f>
        <v/>
      </c>
      <c r="V43" s="8" t="str">
        <f>IFERROR(INDEX(样本到样信息汇总统计!V$2:V$500,MATCH(42,样本到样信息汇总统计!$AA$2:$AA$500,0)),"")</f>
        <v/>
      </c>
      <c r="W43" s="8" t="str">
        <f>IFERROR(INDEX(样本到样信息汇总统计!W$2:W$500,MATCH(42,样本到样信息汇总统计!$AA$2:$AA$500,0)),"")</f>
        <v/>
      </c>
    </row>
    <row r="44" ht="14.5" spans="1:23">
      <c r="A44" s="4" t="str">
        <f>IFERROR(INDEX(样本到样信息汇总统计!A$2:A$500,MATCH(43,样本到样信息汇总统计!$AA$2:$AA$500,0)),"")</f>
        <v/>
      </c>
      <c r="B44" s="4" t="str">
        <f>IFERROR(INDEX(样本到样信息汇总统计!B$2:B$500,MATCH(43,样本到样信息汇总统计!$AA$2:$AA$500,0)),"")</f>
        <v/>
      </c>
      <c r="C44" s="4" t="str">
        <f>IFERROR(INDEX(样本到样信息汇总统计!C$2:C$500,MATCH(43,样本到样信息汇总统计!$AA$2:$AA$500,0)),"")</f>
        <v/>
      </c>
      <c r="D44" s="4" t="str">
        <f>IFERROR(INDEX(样本到样信息汇总统计!D$2:D$500,MATCH(43,样本到样信息汇总统计!$AA$2:$AA$500,0)),"")</f>
        <v/>
      </c>
      <c r="E44" s="4" t="str">
        <f>IFERROR(INDEX(样本到样信息汇总统计!E$2:E$500,MATCH(43,样本到样信息汇总统计!$AA$2:$AA$500,0)),"")</f>
        <v/>
      </c>
      <c r="F44" s="4" t="str">
        <f>IFERROR(INDEX(样本到样信息汇总统计!F$2:F$500,MATCH(43,样本到样信息汇总统计!$AA$2:$AA$500,0)),"")</f>
        <v/>
      </c>
      <c r="G44" s="4" t="str">
        <f>IFERROR(INDEX(样本到样信息汇总统计!G$2:G$500,MATCH(43,样本到样信息汇总统计!$AA$2:$AA$500,0)),"")</f>
        <v/>
      </c>
      <c r="H44" s="4" t="str">
        <f>IFERROR(INDEX(样本到样信息汇总统计!H$2:H$500,MATCH(43,样本到样信息汇总统计!$AA$2:$AA$500,0)),"")</f>
        <v/>
      </c>
      <c r="I44" s="4" t="str">
        <f>IFERROR(INDEX(样本到样信息汇总统计!I$2:I$500,MATCH(43,样本到样信息汇总统计!$AA$2:$AA$500,0)),"")</f>
        <v/>
      </c>
      <c r="J44" s="4" t="str">
        <f>IFERROR(INDEX(样本到样信息汇总统计!J$2:J$500,MATCH(43,样本到样信息汇总统计!$AA$2:$AA$500,0)),"")</f>
        <v/>
      </c>
      <c r="K44" s="4" t="str">
        <f>IFERROR(INDEX(样本到样信息汇总统计!K$2:K$500,MATCH(43,样本到样信息汇总统计!$AA$2:$AA$500,0)),"")</f>
        <v/>
      </c>
      <c r="L44" s="4" t="str">
        <f>IFERROR(INDEX(样本到样信息汇总统计!L$2:L$500,MATCH(43,样本到样信息汇总统计!$AA$2:$AA$500,0)),"")</f>
        <v/>
      </c>
      <c r="M44" s="4" t="str">
        <f>IFERROR(INDEX(样本到样信息汇总统计!M$2:M$500,MATCH(43,样本到样信息汇总统计!$AA$2:$AA$500,0)),"")</f>
        <v/>
      </c>
      <c r="N44" s="4" t="str">
        <f>IFERROR(INDEX(样本到样信息汇总统计!N$2:N$500,MATCH(43,样本到样信息汇总统计!$AA$2:$AA$500,0)),"")</f>
        <v/>
      </c>
      <c r="O44" s="4" t="str">
        <f>IFERROR(INDEX(样本到样信息汇总统计!O$2:O$500,MATCH(43,样本到样信息汇总统计!$AA$2:$AA$500,0)),"")</f>
        <v/>
      </c>
      <c r="P44" s="4" t="str">
        <f>IFERROR(INDEX(样本到样信息汇总统计!P$2:P$500,MATCH(43,样本到样信息汇总统计!$AA$2:$AA$500,0)),"")</f>
        <v/>
      </c>
      <c r="Q44" s="4" t="str">
        <f>IFERROR(INDEX(样本到样信息汇总统计!Q$2:Q$500,MATCH(43,样本到样信息汇总统计!$AA$2:$AA$500,0)),"")</f>
        <v/>
      </c>
      <c r="R44" s="4" t="str">
        <f>IFERROR(INDEX(样本到样信息汇总统计!R$2:R$500,MATCH(43,样本到样信息汇总统计!$AA$2:$AA$500,0)),"")</f>
        <v/>
      </c>
      <c r="S44" s="4" t="str">
        <f>IFERROR(INDEX(样本到样信息汇总统计!S$2:S$500,MATCH(43,样本到样信息汇总统计!$AA$2:$AA$500,0)),"")</f>
        <v/>
      </c>
      <c r="T44" s="4" t="str">
        <f>IFERROR(INDEX(样本到样信息汇总统计!T$2:T$500,MATCH(43,样本到样信息汇总统计!$AA$2:$AA$500,0)),"")</f>
        <v/>
      </c>
      <c r="U44" s="4" t="str">
        <f>IFERROR(INDEX(样本到样信息汇总统计!U$2:U$500,MATCH(43,样本到样信息汇总统计!$AA$2:$AA$500,0)),"")</f>
        <v/>
      </c>
      <c r="V44" s="4" t="str">
        <f>IFERROR(INDEX(样本到样信息汇总统计!V$2:V$500,MATCH(43,样本到样信息汇总统计!$AA$2:$AA$500,0)),"")</f>
        <v/>
      </c>
      <c r="W44" s="4" t="str">
        <f>IFERROR(INDEX(样本到样信息汇总统计!W$2:W$500,MATCH(43,样本到样信息汇总统计!$AA$2:$AA$500,0)),"")</f>
        <v/>
      </c>
    </row>
    <row r="45" ht="14.5" spans="1:23">
      <c r="A45" s="8" t="str">
        <f>IFERROR(INDEX(样本到样信息汇总统计!A$2:A$500,MATCH(44,样本到样信息汇总统计!$AA$2:$AA$500,0)),"")</f>
        <v/>
      </c>
      <c r="B45" s="8" t="str">
        <f>IFERROR(INDEX(样本到样信息汇总统计!B$2:B$500,MATCH(44,样本到样信息汇总统计!$AA$2:$AA$500,0)),"")</f>
        <v/>
      </c>
      <c r="C45" s="8" t="str">
        <f>IFERROR(INDEX(样本到样信息汇总统计!C$2:C$500,MATCH(44,样本到样信息汇总统计!$AA$2:$AA$500,0)),"")</f>
        <v/>
      </c>
      <c r="D45" s="8" t="str">
        <f>IFERROR(INDEX(样本到样信息汇总统计!D$2:D$500,MATCH(44,样本到样信息汇总统计!$AA$2:$AA$500,0)),"")</f>
        <v/>
      </c>
      <c r="E45" s="8" t="str">
        <f>IFERROR(INDEX(样本到样信息汇总统计!E$2:E$500,MATCH(44,样本到样信息汇总统计!$AA$2:$AA$500,0)),"")</f>
        <v/>
      </c>
      <c r="F45" s="8" t="str">
        <f>IFERROR(INDEX(样本到样信息汇总统计!F$2:F$500,MATCH(44,样本到样信息汇总统计!$AA$2:$AA$500,0)),"")</f>
        <v/>
      </c>
      <c r="G45" s="8" t="str">
        <f>IFERROR(INDEX(样本到样信息汇总统计!G$2:G$500,MATCH(44,样本到样信息汇总统计!$AA$2:$AA$500,0)),"")</f>
        <v/>
      </c>
      <c r="H45" s="8" t="str">
        <f>IFERROR(INDEX(样本到样信息汇总统计!H$2:H$500,MATCH(44,样本到样信息汇总统计!$AA$2:$AA$500,0)),"")</f>
        <v/>
      </c>
      <c r="I45" s="8" t="str">
        <f>IFERROR(INDEX(样本到样信息汇总统计!I$2:I$500,MATCH(44,样本到样信息汇总统计!$AA$2:$AA$500,0)),"")</f>
        <v/>
      </c>
      <c r="J45" s="8" t="str">
        <f>IFERROR(INDEX(样本到样信息汇总统计!J$2:J$500,MATCH(44,样本到样信息汇总统计!$AA$2:$AA$500,0)),"")</f>
        <v/>
      </c>
      <c r="K45" s="8" t="str">
        <f>IFERROR(INDEX(样本到样信息汇总统计!K$2:K$500,MATCH(44,样本到样信息汇总统计!$AA$2:$AA$500,0)),"")</f>
        <v/>
      </c>
      <c r="L45" s="8" t="str">
        <f>IFERROR(INDEX(样本到样信息汇总统计!L$2:L$500,MATCH(44,样本到样信息汇总统计!$AA$2:$AA$500,0)),"")</f>
        <v/>
      </c>
      <c r="M45" s="8" t="str">
        <f>IFERROR(INDEX(样本到样信息汇总统计!M$2:M$500,MATCH(44,样本到样信息汇总统计!$AA$2:$AA$500,0)),"")</f>
        <v/>
      </c>
      <c r="N45" s="8" t="str">
        <f>IFERROR(INDEX(样本到样信息汇总统计!N$2:N$500,MATCH(44,样本到样信息汇总统计!$AA$2:$AA$500,0)),"")</f>
        <v/>
      </c>
      <c r="O45" s="8" t="str">
        <f>IFERROR(INDEX(样本到样信息汇总统计!O$2:O$500,MATCH(44,样本到样信息汇总统计!$AA$2:$AA$500,0)),"")</f>
        <v/>
      </c>
      <c r="P45" s="8" t="str">
        <f>IFERROR(INDEX(样本到样信息汇总统计!P$2:P$500,MATCH(44,样本到样信息汇总统计!$AA$2:$AA$500,0)),"")</f>
        <v/>
      </c>
      <c r="Q45" s="8" t="str">
        <f>IFERROR(INDEX(样本到样信息汇总统计!Q$2:Q$500,MATCH(44,样本到样信息汇总统计!$AA$2:$AA$500,0)),"")</f>
        <v/>
      </c>
      <c r="R45" s="8" t="str">
        <f>IFERROR(INDEX(样本到样信息汇总统计!R$2:R$500,MATCH(44,样本到样信息汇总统计!$AA$2:$AA$500,0)),"")</f>
        <v/>
      </c>
      <c r="S45" s="8" t="str">
        <f>IFERROR(INDEX(样本到样信息汇总统计!S$2:S$500,MATCH(44,样本到样信息汇总统计!$AA$2:$AA$500,0)),"")</f>
        <v/>
      </c>
      <c r="T45" s="8" t="str">
        <f>IFERROR(INDEX(样本到样信息汇总统计!T$2:T$500,MATCH(44,样本到样信息汇总统计!$AA$2:$AA$500,0)),"")</f>
        <v/>
      </c>
      <c r="U45" s="8" t="str">
        <f>IFERROR(INDEX(样本到样信息汇总统计!U$2:U$500,MATCH(44,样本到样信息汇总统计!$AA$2:$AA$500,0)),"")</f>
        <v/>
      </c>
      <c r="V45" s="8" t="str">
        <f>IFERROR(INDEX(样本到样信息汇总统计!V$2:V$500,MATCH(44,样本到样信息汇总统计!$AA$2:$AA$500,0)),"")</f>
        <v/>
      </c>
      <c r="W45" s="8" t="str">
        <f>IFERROR(INDEX(样本到样信息汇总统计!W$2:W$500,MATCH(44,样本到样信息汇总统计!$AA$2:$AA$500,0)),"")</f>
        <v/>
      </c>
    </row>
    <row r="46" ht="14.5" spans="1:23">
      <c r="A46" s="4" t="str">
        <f>IFERROR(INDEX(样本到样信息汇总统计!A$2:A$500,MATCH(45,样本到样信息汇总统计!$AA$2:$AA$500,0)),"")</f>
        <v/>
      </c>
      <c r="B46" s="4" t="str">
        <f>IFERROR(INDEX(样本到样信息汇总统计!B$2:B$500,MATCH(45,样本到样信息汇总统计!$AA$2:$AA$500,0)),"")</f>
        <v/>
      </c>
      <c r="C46" s="4" t="str">
        <f>IFERROR(INDEX(样本到样信息汇总统计!C$2:C$500,MATCH(45,样本到样信息汇总统计!$AA$2:$AA$500,0)),"")</f>
        <v/>
      </c>
      <c r="D46" s="4" t="str">
        <f>IFERROR(INDEX(样本到样信息汇总统计!D$2:D$500,MATCH(45,样本到样信息汇总统计!$AA$2:$AA$500,0)),"")</f>
        <v/>
      </c>
      <c r="E46" s="4" t="str">
        <f>IFERROR(INDEX(样本到样信息汇总统计!E$2:E$500,MATCH(45,样本到样信息汇总统计!$AA$2:$AA$500,0)),"")</f>
        <v/>
      </c>
      <c r="F46" s="4" t="str">
        <f>IFERROR(INDEX(样本到样信息汇总统计!F$2:F$500,MATCH(45,样本到样信息汇总统计!$AA$2:$AA$500,0)),"")</f>
        <v/>
      </c>
      <c r="G46" s="4" t="str">
        <f>IFERROR(INDEX(样本到样信息汇总统计!G$2:G$500,MATCH(45,样本到样信息汇总统计!$AA$2:$AA$500,0)),"")</f>
        <v/>
      </c>
      <c r="H46" s="4" t="str">
        <f>IFERROR(INDEX(样本到样信息汇总统计!H$2:H$500,MATCH(45,样本到样信息汇总统计!$AA$2:$AA$500,0)),"")</f>
        <v/>
      </c>
      <c r="I46" s="4" t="str">
        <f>IFERROR(INDEX(样本到样信息汇总统计!I$2:I$500,MATCH(45,样本到样信息汇总统计!$AA$2:$AA$500,0)),"")</f>
        <v/>
      </c>
      <c r="J46" s="4" t="str">
        <f>IFERROR(INDEX(样本到样信息汇总统计!J$2:J$500,MATCH(45,样本到样信息汇总统计!$AA$2:$AA$500,0)),"")</f>
        <v/>
      </c>
      <c r="K46" s="4" t="str">
        <f>IFERROR(INDEX(样本到样信息汇总统计!K$2:K$500,MATCH(45,样本到样信息汇总统计!$AA$2:$AA$500,0)),"")</f>
        <v/>
      </c>
      <c r="L46" s="4" t="str">
        <f>IFERROR(INDEX(样本到样信息汇总统计!L$2:L$500,MATCH(45,样本到样信息汇总统计!$AA$2:$AA$500,0)),"")</f>
        <v/>
      </c>
      <c r="M46" s="4" t="str">
        <f>IFERROR(INDEX(样本到样信息汇总统计!M$2:M$500,MATCH(45,样本到样信息汇总统计!$AA$2:$AA$500,0)),"")</f>
        <v/>
      </c>
      <c r="N46" s="4" t="str">
        <f>IFERROR(INDEX(样本到样信息汇总统计!N$2:N$500,MATCH(45,样本到样信息汇总统计!$AA$2:$AA$500,0)),"")</f>
        <v/>
      </c>
      <c r="O46" s="4" t="str">
        <f>IFERROR(INDEX(样本到样信息汇总统计!O$2:O$500,MATCH(45,样本到样信息汇总统计!$AA$2:$AA$500,0)),"")</f>
        <v/>
      </c>
      <c r="P46" s="4" t="str">
        <f>IFERROR(INDEX(样本到样信息汇总统计!P$2:P$500,MATCH(45,样本到样信息汇总统计!$AA$2:$AA$500,0)),"")</f>
        <v/>
      </c>
      <c r="Q46" s="4" t="str">
        <f>IFERROR(INDEX(样本到样信息汇总统计!Q$2:Q$500,MATCH(45,样本到样信息汇总统计!$AA$2:$AA$500,0)),"")</f>
        <v/>
      </c>
      <c r="R46" s="4" t="str">
        <f>IFERROR(INDEX(样本到样信息汇总统计!R$2:R$500,MATCH(45,样本到样信息汇总统计!$AA$2:$AA$500,0)),"")</f>
        <v/>
      </c>
      <c r="S46" s="4" t="str">
        <f>IFERROR(INDEX(样本到样信息汇总统计!S$2:S$500,MATCH(45,样本到样信息汇总统计!$AA$2:$AA$500,0)),"")</f>
        <v/>
      </c>
      <c r="T46" s="4" t="str">
        <f>IFERROR(INDEX(样本到样信息汇总统计!T$2:T$500,MATCH(45,样本到样信息汇总统计!$AA$2:$AA$500,0)),"")</f>
        <v/>
      </c>
      <c r="U46" s="4" t="str">
        <f>IFERROR(INDEX(样本到样信息汇总统计!U$2:U$500,MATCH(45,样本到样信息汇总统计!$AA$2:$AA$500,0)),"")</f>
        <v/>
      </c>
      <c r="V46" s="4" t="str">
        <f>IFERROR(INDEX(样本到样信息汇总统计!V$2:V$500,MATCH(45,样本到样信息汇总统计!$AA$2:$AA$500,0)),"")</f>
        <v/>
      </c>
      <c r="W46" s="4" t="str">
        <f>IFERROR(INDEX(样本到样信息汇总统计!W$2:W$500,MATCH(45,样本到样信息汇总统计!$AA$2:$AA$500,0)),"")</f>
        <v/>
      </c>
    </row>
    <row r="47" ht="14.5" spans="1:23">
      <c r="A47" s="8" t="str">
        <f>IFERROR(INDEX(样本到样信息汇总统计!A$2:A$500,MATCH(46,样本到样信息汇总统计!$AA$2:$AA$500,0)),"")</f>
        <v/>
      </c>
      <c r="B47" s="8" t="str">
        <f>IFERROR(INDEX(样本到样信息汇总统计!B$2:B$500,MATCH(46,样本到样信息汇总统计!$AA$2:$AA$500,0)),"")</f>
        <v/>
      </c>
      <c r="C47" s="8" t="str">
        <f>IFERROR(INDEX(样本到样信息汇总统计!C$2:C$500,MATCH(46,样本到样信息汇总统计!$AA$2:$AA$500,0)),"")</f>
        <v/>
      </c>
      <c r="D47" s="8" t="str">
        <f>IFERROR(INDEX(样本到样信息汇总统计!D$2:D$500,MATCH(46,样本到样信息汇总统计!$AA$2:$AA$500,0)),"")</f>
        <v/>
      </c>
      <c r="E47" s="8" t="str">
        <f>IFERROR(INDEX(样本到样信息汇总统计!E$2:E$500,MATCH(46,样本到样信息汇总统计!$AA$2:$AA$500,0)),"")</f>
        <v/>
      </c>
      <c r="F47" s="8" t="str">
        <f>IFERROR(INDEX(样本到样信息汇总统计!F$2:F$500,MATCH(46,样本到样信息汇总统计!$AA$2:$AA$500,0)),"")</f>
        <v/>
      </c>
      <c r="G47" s="8" t="str">
        <f>IFERROR(INDEX(样本到样信息汇总统计!G$2:G$500,MATCH(46,样本到样信息汇总统计!$AA$2:$AA$500,0)),"")</f>
        <v/>
      </c>
      <c r="H47" s="8" t="str">
        <f>IFERROR(INDEX(样本到样信息汇总统计!H$2:H$500,MATCH(46,样本到样信息汇总统计!$AA$2:$AA$500,0)),"")</f>
        <v/>
      </c>
      <c r="I47" s="8" t="str">
        <f>IFERROR(INDEX(样本到样信息汇总统计!I$2:I$500,MATCH(46,样本到样信息汇总统计!$AA$2:$AA$500,0)),"")</f>
        <v/>
      </c>
      <c r="J47" s="8" t="str">
        <f>IFERROR(INDEX(样本到样信息汇总统计!J$2:J$500,MATCH(46,样本到样信息汇总统计!$AA$2:$AA$500,0)),"")</f>
        <v/>
      </c>
      <c r="K47" s="8" t="str">
        <f>IFERROR(INDEX(样本到样信息汇总统计!K$2:K$500,MATCH(46,样本到样信息汇总统计!$AA$2:$AA$500,0)),"")</f>
        <v/>
      </c>
      <c r="L47" s="8" t="str">
        <f>IFERROR(INDEX(样本到样信息汇总统计!L$2:L$500,MATCH(46,样本到样信息汇总统计!$AA$2:$AA$500,0)),"")</f>
        <v/>
      </c>
      <c r="M47" s="8" t="str">
        <f>IFERROR(INDEX(样本到样信息汇总统计!M$2:M$500,MATCH(46,样本到样信息汇总统计!$AA$2:$AA$500,0)),"")</f>
        <v/>
      </c>
      <c r="N47" s="8" t="str">
        <f>IFERROR(INDEX(样本到样信息汇总统计!N$2:N$500,MATCH(46,样本到样信息汇总统计!$AA$2:$AA$500,0)),"")</f>
        <v/>
      </c>
      <c r="O47" s="8" t="str">
        <f>IFERROR(INDEX(样本到样信息汇总统计!O$2:O$500,MATCH(46,样本到样信息汇总统计!$AA$2:$AA$500,0)),"")</f>
        <v/>
      </c>
      <c r="P47" s="8" t="str">
        <f>IFERROR(INDEX(样本到样信息汇总统计!P$2:P$500,MATCH(46,样本到样信息汇总统计!$AA$2:$AA$500,0)),"")</f>
        <v/>
      </c>
      <c r="Q47" s="8" t="str">
        <f>IFERROR(INDEX(样本到样信息汇总统计!Q$2:Q$500,MATCH(46,样本到样信息汇总统计!$AA$2:$AA$500,0)),"")</f>
        <v/>
      </c>
      <c r="R47" s="8" t="str">
        <f>IFERROR(INDEX(样本到样信息汇总统计!R$2:R$500,MATCH(46,样本到样信息汇总统计!$AA$2:$AA$500,0)),"")</f>
        <v/>
      </c>
      <c r="S47" s="8" t="str">
        <f>IFERROR(INDEX(样本到样信息汇总统计!S$2:S$500,MATCH(46,样本到样信息汇总统计!$AA$2:$AA$500,0)),"")</f>
        <v/>
      </c>
      <c r="T47" s="8" t="str">
        <f>IFERROR(INDEX(样本到样信息汇总统计!T$2:T$500,MATCH(46,样本到样信息汇总统计!$AA$2:$AA$500,0)),"")</f>
        <v/>
      </c>
      <c r="U47" s="8" t="str">
        <f>IFERROR(INDEX(样本到样信息汇总统计!U$2:U$500,MATCH(46,样本到样信息汇总统计!$AA$2:$AA$500,0)),"")</f>
        <v/>
      </c>
      <c r="V47" s="8" t="str">
        <f>IFERROR(INDEX(样本到样信息汇总统计!V$2:V$500,MATCH(46,样本到样信息汇总统计!$AA$2:$AA$500,0)),"")</f>
        <v/>
      </c>
      <c r="W47" s="8" t="str">
        <f>IFERROR(INDEX(样本到样信息汇总统计!W$2:W$500,MATCH(46,样本到样信息汇总统计!$AA$2:$AA$500,0)),"")</f>
        <v/>
      </c>
    </row>
    <row r="48" ht="14.5" spans="1:23">
      <c r="A48" s="4" t="str">
        <f>IFERROR(INDEX(样本到样信息汇总统计!A$2:A$500,MATCH(47,样本到样信息汇总统计!$AA$2:$AA$500,0)),"")</f>
        <v/>
      </c>
      <c r="B48" s="4" t="str">
        <f>IFERROR(INDEX(样本到样信息汇总统计!B$2:B$500,MATCH(47,样本到样信息汇总统计!$AA$2:$AA$500,0)),"")</f>
        <v/>
      </c>
      <c r="C48" s="4" t="str">
        <f>IFERROR(INDEX(样本到样信息汇总统计!C$2:C$500,MATCH(47,样本到样信息汇总统计!$AA$2:$AA$500,0)),"")</f>
        <v/>
      </c>
      <c r="D48" s="4" t="str">
        <f>IFERROR(INDEX(样本到样信息汇总统计!D$2:D$500,MATCH(47,样本到样信息汇总统计!$AA$2:$AA$500,0)),"")</f>
        <v/>
      </c>
      <c r="E48" s="4" t="str">
        <f>IFERROR(INDEX(样本到样信息汇总统计!E$2:E$500,MATCH(47,样本到样信息汇总统计!$AA$2:$AA$500,0)),"")</f>
        <v/>
      </c>
      <c r="F48" s="4" t="str">
        <f>IFERROR(INDEX(样本到样信息汇总统计!F$2:F$500,MATCH(47,样本到样信息汇总统计!$AA$2:$AA$500,0)),"")</f>
        <v/>
      </c>
      <c r="G48" s="4" t="str">
        <f>IFERROR(INDEX(样本到样信息汇总统计!G$2:G$500,MATCH(47,样本到样信息汇总统计!$AA$2:$AA$500,0)),"")</f>
        <v/>
      </c>
      <c r="H48" s="4" t="str">
        <f>IFERROR(INDEX(样本到样信息汇总统计!H$2:H$500,MATCH(47,样本到样信息汇总统计!$AA$2:$AA$500,0)),"")</f>
        <v/>
      </c>
      <c r="I48" s="4" t="str">
        <f>IFERROR(INDEX(样本到样信息汇总统计!I$2:I$500,MATCH(47,样本到样信息汇总统计!$AA$2:$AA$500,0)),"")</f>
        <v/>
      </c>
      <c r="J48" s="4" t="str">
        <f>IFERROR(INDEX(样本到样信息汇总统计!J$2:J$500,MATCH(47,样本到样信息汇总统计!$AA$2:$AA$500,0)),"")</f>
        <v/>
      </c>
      <c r="K48" s="4" t="str">
        <f>IFERROR(INDEX(样本到样信息汇总统计!K$2:K$500,MATCH(47,样本到样信息汇总统计!$AA$2:$AA$500,0)),"")</f>
        <v/>
      </c>
      <c r="L48" s="4" t="str">
        <f>IFERROR(INDEX(样本到样信息汇总统计!L$2:L$500,MATCH(47,样本到样信息汇总统计!$AA$2:$AA$500,0)),"")</f>
        <v/>
      </c>
      <c r="M48" s="4" t="str">
        <f>IFERROR(INDEX(样本到样信息汇总统计!M$2:M$500,MATCH(47,样本到样信息汇总统计!$AA$2:$AA$500,0)),"")</f>
        <v/>
      </c>
      <c r="N48" s="4" t="str">
        <f>IFERROR(INDEX(样本到样信息汇总统计!N$2:N$500,MATCH(47,样本到样信息汇总统计!$AA$2:$AA$500,0)),"")</f>
        <v/>
      </c>
      <c r="O48" s="4" t="str">
        <f>IFERROR(INDEX(样本到样信息汇总统计!O$2:O$500,MATCH(47,样本到样信息汇总统计!$AA$2:$AA$500,0)),"")</f>
        <v/>
      </c>
      <c r="P48" s="4" t="str">
        <f>IFERROR(INDEX(样本到样信息汇总统计!P$2:P$500,MATCH(47,样本到样信息汇总统计!$AA$2:$AA$500,0)),"")</f>
        <v/>
      </c>
      <c r="Q48" s="4" t="str">
        <f>IFERROR(INDEX(样本到样信息汇总统计!Q$2:Q$500,MATCH(47,样本到样信息汇总统计!$AA$2:$AA$500,0)),"")</f>
        <v/>
      </c>
      <c r="R48" s="4" t="str">
        <f>IFERROR(INDEX(样本到样信息汇总统计!R$2:R$500,MATCH(47,样本到样信息汇总统计!$AA$2:$AA$500,0)),"")</f>
        <v/>
      </c>
      <c r="S48" s="4" t="str">
        <f>IFERROR(INDEX(样本到样信息汇总统计!S$2:S$500,MATCH(47,样本到样信息汇总统计!$AA$2:$AA$500,0)),"")</f>
        <v/>
      </c>
      <c r="T48" s="4" t="str">
        <f>IFERROR(INDEX(样本到样信息汇总统计!T$2:T$500,MATCH(47,样本到样信息汇总统计!$AA$2:$AA$500,0)),"")</f>
        <v/>
      </c>
      <c r="U48" s="4" t="str">
        <f>IFERROR(INDEX(样本到样信息汇总统计!U$2:U$500,MATCH(47,样本到样信息汇总统计!$AA$2:$AA$500,0)),"")</f>
        <v/>
      </c>
      <c r="V48" s="4" t="str">
        <f>IFERROR(INDEX(样本到样信息汇总统计!V$2:V$500,MATCH(47,样本到样信息汇总统计!$AA$2:$AA$500,0)),"")</f>
        <v/>
      </c>
      <c r="W48" s="4" t="str">
        <f>IFERROR(INDEX(样本到样信息汇总统计!W$2:W$500,MATCH(47,样本到样信息汇总统计!$AA$2:$AA$500,0)),"")</f>
        <v/>
      </c>
    </row>
    <row r="49" ht="14.5" spans="1:23">
      <c r="A49" s="8" t="str">
        <f>IFERROR(INDEX(样本到样信息汇总统计!A$2:A$500,MATCH(48,样本到样信息汇总统计!$AA$2:$AA$500,0)),"")</f>
        <v/>
      </c>
      <c r="B49" s="8" t="str">
        <f>IFERROR(INDEX(样本到样信息汇总统计!B$2:B$500,MATCH(48,样本到样信息汇总统计!$AA$2:$AA$500,0)),"")</f>
        <v/>
      </c>
      <c r="C49" s="8" t="str">
        <f>IFERROR(INDEX(样本到样信息汇总统计!C$2:C$500,MATCH(48,样本到样信息汇总统计!$AA$2:$AA$500,0)),"")</f>
        <v/>
      </c>
      <c r="D49" s="8" t="str">
        <f>IFERROR(INDEX(样本到样信息汇总统计!D$2:D$500,MATCH(48,样本到样信息汇总统计!$AA$2:$AA$500,0)),"")</f>
        <v/>
      </c>
      <c r="E49" s="8" t="str">
        <f>IFERROR(INDEX(样本到样信息汇总统计!E$2:E$500,MATCH(48,样本到样信息汇总统计!$AA$2:$AA$500,0)),"")</f>
        <v/>
      </c>
      <c r="F49" s="8" t="str">
        <f>IFERROR(INDEX(样本到样信息汇总统计!F$2:F$500,MATCH(48,样本到样信息汇总统计!$AA$2:$AA$500,0)),"")</f>
        <v/>
      </c>
      <c r="G49" s="8" t="str">
        <f>IFERROR(INDEX(样本到样信息汇总统计!G$2:G$500,MATCH(48,样本到样信息汇总统计!$AA$2:$AA$500,0)),"")</f>
        <v/>
      </c>
      <c r="H49" s="8" t="str">
        <f>IFERROR(INDEX(样本到样信息汇总统计!H$2:H$500,MATCH(48,样本到样信息汇总统计!$AA$2:$AA$500,0)),"")</f>
        <v/>
      </c>
      <c r="I49" s="8" t="str">
        <f>IFERROR(INDEX(样本到样信息汇总统计!I$2:I$500,MATCH(48,样本到样信息汇总统计!$AA$2:$AA$500,0)),"")</f>
        <v/>
      </c>
      <c r="J49" s="8" t="str">
        <f>IFERROR(INDEX(样本到样信息汇总统计!J$2:J$500,MATCH(48,样本到样信息汇总统计!$AA$2:$AA$500,0)),"")</f>
        <v/>
      </c>
      <c r="K49" s="8" t="str">
        <f>IFERROR(INDEX(样本到样信息汇总统计!K$2:K$500,MATCH(48,样本到样信息汇总统计!$AA$2:$AA$500,0)),"")</f>
        <v/>
      </c>
      <c r="L49" s="8" t="str">
        <f>IFERROR(INDEX(样本到样信息汇总统计!L$2:L$500,MATCH(48,样本到样信息汇总统计!$AA$2:$AA$500,0)),"")</f>
        <v/>
      </c>
      <c r="M49" s="8" t="str">
        <f>IFERROR(INDEX(样本到样信息汇总统计!M$2:M$500,MATCH(48,样本到样信息汇总统计!$AA$2:$AA$500,0)),"")</f>
        <v/>
      </c>
      <c r="N49" s="8" t="str">
        <f>IFERROR(INDEX(样本到样信息汇总统计!N$2:N$500,MATCH(48,样本到样信息汇总统计!$AA$2:$AA$500,0)),"")</f>
        <v/>
      </c>
      <c r="O49" s="8" t="str">
        <f>IFERROR(INDEX(样本到样信息汇总统计!O$2:O$500,MATCH(48,样本到样信息汇总统计!$AA$2:$AA$500,0)),"")</f>
        <v/>
      </c>
      <c r="P49" s="8" t="str">
        <f>IFERROR(INDEX(样本到样信息汇总统计!P$2:P$500,MATCH(48,样本到样信息汇总统计!$AA$2:$AA$500,0)),"")</f>
        <v/>
      </c>
      <c r="Q49" s="8" t="str">
        <f>IFERROR(INDEX(样本到样信息汇总统计!Q$2:Q$500,MATCH(48,样本到样信息汇总统计!$AA$2:$AA$500,0)),"")</f>
        <v/>
      </c>
      <c r="R49" s="8" t="str">
        <f>IFERROR(INDEX(样本到样信息汇总统计!R$2:R$500,MATCH(48,样本到样信息汇总统计!$AA$2:$AA$500,0)),"")</f>
        <v/>
      </c>
      <c r="S49" s="8" t="str">
        <f>IFERROR(INDEX(样本到样信息汇总统计!S$2:S$500,MATCH(48,样本到样信息汇总统计!$AA$2:$AA$500,0)),"")</f>
        <v/>
      </c>
      <c r="T49" s="8" t="str">
        <f>IFERROR(INDEX(样本到样信息汇总统计!T$2:T$500,MATCH(48,样本到样信息汇总统计!$AA$2:$AA$500,0)),"")</f>
        <v/>
      </c>
      <c r="U49" s="8" t="str">
        <f>IFERROR(INDEX(样本到样信息汇总统计!U$2:U$500,MATCH(48,样本到样信息汇总统计!$AA$2:$AA$500,0)),"")</f>
        <v/>
      </c>
      <c r="V49" s="8" t="str">
        <f>IFERROR(INDEX(样本到样信息汇总统计!V$2:V$500,MATCH(48,样本到样信息汇总统计!$AA$2:$AA$500,0)),"")</f>
        <v/>
      </c>
      <c r="W49" s="8" t="str">
        <f>IFERROR(INDEX(样本到样信息汇总统计!W$2:W$500,MATCH(48,样本到样信息汇总统计!$AA$2:$AA$500,0)),"")</f>
        <v/>
      </c>
    </row>
    <row r="50" ht="14.5" spans="1:23">
      <c r="A50" s="4" t="str">
        <f>IFERROR(INDEX(样本到样信息汇总统计!A$2:A$500,MATCH(49,样本到样信息汇总统计!$AA$2:$AA$500,0)),"")</f>
        <v/>
      </c>
      <c r="B50" s="4" t="str">
        <f>IFERROR(INDEX(样本到样信息汇总统计!B$2:B$500,MATCH(49,样本到样信息汇总统计!$AA$2:$AA$500,0)),"")</f>
        <v/>
      </c>
      <c r="C50" s="4" t="str">
        <f>IFERROR(INDEX(样本到样信息汇总统计!C$2:C$500,MATCH(49,样本到样信息汇总统计!$AA$2:$AA$500,0)),"")</f>
        <v/>
      </c>
      <c r="D50" s="4" t="str">
        <f>IFERROR(INDEX(样本到样信息汇总统计!D$2:D$500,MATCH(49,样本到样信息汇总统计!$AA$2:$AA$500,0)),"")</f>
        <v/>
      </c>
      <c r="E50" s="4" t="str">
        <f>IFERROR(INDEX(样本到样信息汇总统计!E$2:E$500,MATCH(49,样本到样信息汇总统计!$AA$2:$AA$500,0)),"")</f>
        <v/>
      </c>
      <c r="F50" s="4" t="str">
        <f>IFERROR(INDEX(样本到样信息汇总统计!F$2:F$500,MATCH(49,样本到样信息汇总统计!$AA$2:$AA$500,0)),"")</f>
        <v/>
      </c>
      <c r="G50" s="4" t="str">
        <f>IFERROR(INDEX(样本到样信息汇总统计!G$2:G$500,MATCH(49,样本到样信息汇总统计!$AA$2:$AA$500,0)),"")</f>
        <v/>
      </c>
      <c r="H50" s="4" t="str">
        <f>IFERROR(INDEX(样本到样信息汇总统计!H$2:H$500,MATCH(49,样本到样信息汇总统计!$AA$2:$AA$500,0)),"")</f>
        <v/>
      </c>
      <c r="I50" s="4" t="str">
        <f>IFERROR(INDEX(样本到样信息汇总统计!I$2:I$500,MATCH(49,样本到样信息汇总统计!$AA$2:$AA$500,0)),"")</f>
        <v/>
      </c>
      <c r="J50" s="4" t="str">
        <f>IFERROR(INDEX(样本到样信息汇总统计!J$2:J$500,MATCH(49,样本到样信息汇总统计!$AA$2:$AA$500,0)),"")</f>
        <v/>
      </c>
      <c r="K50" s="4" t="str">
        <f>IFERROR(INDEX(样本到样信息汇总统计!K$2:K$500,MATCH(49,样本到样信息汇总统计!$AA$2:$AA$500,0)),"")</f>
        <v/>
      </c>
      <c r="L50" s="4" t="str">
        <f>IFERROR(INDEX(样本到样信息汇总统计!L$2:L$500,MATCH(49,样本到样信息汇总统计!$AA$2:$AA$500,0)),"")</f>
        <v/>
      </c>
      <c r="M50" s="4" t="str">
        <f>IFERROR(INDEX(样本到样信息汇总统计!M$2:M$500,MATCH(49,样本到样信息汇总统计!$AA$2:$AA$500,0)),"")</f>
        <v/>
      </c>
      <c r="N50" s="4" t="str">
        <f>IFERROR(INDEX(样本到样信息汇总统计!N$2:N$500,MATCH(49,样本到样信息汇总统计!$AA$2:$AA$500,0)),"")</f>
        <v/>
      </c>
      <c r="O50" s="4" t="str">
        <f>IFERROR(INDEX(样本到样信息汇总统计!O$2:O$500,MATCH(49,样本到样信息汇总统计!$AA$2:$AA$500,0)),"")</f>
        <v/>
      </c>
      <c r="P50" s="4" t="str">
        <f>IFERROR(INDEX(样本到样信息汇总统计!P$2:P$500,MATCH(49,样本到样信息汇总统计!$AA$2:$AA$500,0)),"")</f>
        <v/>
      </c>
      <c r="Q50" s="4" t="str">
        <f>IFERROR(INDEX(样本到样信息汇总统计!Q$2:Q$500,MATCH(49,样本到样信息汇总统计!$AA$2:$AA$500,0)),"")</f>
        <v/>
      </c>
      <c r="R50" s="4" t="str">
        <f>IFERROR(INDEX(样本到样信息汇总统计!R$2:R$500,MATCH(49,样本到样信息汇总统计!$AA$2:$AA$500,0)),"")</f>
        <v/>
      </c>
      <c r="S50" s="4" t="str">
        <f>IFERROR(INDEX(样本到样信息汇总统计!S$2:S$500,MATCH(49,样本到样信息汇总统计!$AA$2:$AA$500,0)),"")</f>
        <v/>
      </c>
      <c r="T50" s="4" t="str">
        <f>IFERROR(INDEX(样本到样信息汇总统计!T$2:T$500,MATCH(49,样本到样信息汇总统计!$AA$2:$AA$500,0)),"")</f>
        <v/>
      </c>
      <c r="U50" s="4" t="str">
        <f>IFERROR(INDEX(样本到样信息汇总统计!U$2:U$500,MATCH(49,样本到样信息汇总统计!$AA$2:$AA$500,0)),"")</f>
        <v/>
      </c>
      <c r="V50" s="4" t="str">
        <f>IFERROR(INDEX(样本到样信息汇总统计!V$2:V$500,MATCH(49,样本到样信息汇总统计!$AA$2:$AA$500,0)),"")</f>
        <v/>
      </c>
      <c r="W50" s="4" t="str">
        <f>IFERROR(INDEX(样本到样信息汇总统计!W$2:W$500,MATCH(49,样本到样信息汇总统计!$AA$2:$AA$500,0)),"")</f>
        <v/>
      </c>
    </row>
    <row r="51" ht="14.5" spans="1:23">
      <c r="A51" s="8" t="str">
        <f>IFERROR(INDEX(样本到样信息汇总统计!A$2:A$500,MATCH(50,样本到样信息汇总统计!$AA$2:$AA$500,0)),"")</f>
        <v/>
      </c>
      <c r="B51" s="8" t="str">
        <f>IFERROR(INDEX(样本到样信息汇总统计!B$2:B$500,MATCH(50,样本到样信息汇总统计!$AA$2:$AA$500,0)),"")</f>
        <v/>
      </c>
      <c r="C51" s="8" t="str">
        <f>IFERROR(INDEX(样本到样信息汇总统计!C$2:C$500,MATCH(50,样本到样信息汇总统计!$AA$2:$AA$500,0)),"")</f>
        <v/>
      </c>
      <c r="D51" s="8" t="str">
        <f>IFERROR(INDEX(样本到样信息汇总统计!D$2:D$500,MATCH(50,样本到样信息汇总统计!$AA$2:$AA$500,0)),"")</f>
        <v/>
      </c>
      <c r="E51" s="8" t="str">
        <f>IFERROR(INDEX(样本到样信息汇总统计!E$2:E$500,MATCH(50,样本到样信息汇总统计!$AA$2:$AA$500,0)),"")</f>
        <v/>
      </c>
      <c r="F51" s="8" t="str">
        <f>IFERROR(INDEX(样本到样信息汇总统计!F$2:F$500,MATCH(50,样本到样信息汇总统计!$AA$2:$AA$500,0)),"")</f>
        <v/>
      </c>
      <c r="G51" s="8" t="str">
        <f>IFERROR(INDEX(样本到样信息汇总统计!G$2:G$500,MATCH(50,样本到样信息汇总统计!$AA$2:$AA$500,0)),"")</f>
        <v/>
      </c>
      <c r="H51" s="8" t="str">
        <f>IFERROR(INDEX(样本到样信息汇总统计!H$2:H$500,MATCH(50,样本到样信息汇总统计!$AA$2:$AA$500,0)),"")</f>
        <v/>
      </c>
      <c r="I51" s="8" t="str">
        <f>IFERROR(INDEX(样本到样信息汇总统计!I$2:I$500,MATCH(50,样本到样信息汇总统计!$AA$2:$AA$500,0)),"")</f>
        <v/>
      </c>
      <c r="J51" s="8" t="str">
        <f>IFERROR(INDEX(样本到样信息汇总统计!J$2:J$500,MATCH(50,样本到样信息汇总统计!$AA$2:$AA$500,0)),"")</f>
        <v/>
      </c>
      <c r="K51" s="8" t="str">
        <f>IFERROR(INDEX(样本到样信息汇总统计!K$2:K$500,MATCH(50,样本到样信息汇总统计!$AA$2:$AA$500,0)),"")</f>
        <v/>
      </c>
      <c r="L51" s="8" t="str">
        <f>IFERROR(INDEX(样本到样信息汇总统计!L$2:L$500,MATCH(50,样本到样信息汇总统计!$AA$2:$AA$500,0)),"")</f>
        <v/>
      </c>
      <c r="M51" s="8" t="str">
        <f>IFERROR(INDEX(样本到样信息汇总统计!M$2:M$500,MATCH(50,样本到样信息汇总统计!$AA$2:$AA$500,0)),"")</f>
        <v/>
      </c>
      <c r="N51" s="8" t="str">
        <f>IFERROR(INDEX(样本到样信息汇总统计!N$2:N$500,MATCH(50,样本到样信息汇总统计!$AA$2:$AA$500,0)),"")</f>
        <v/>
      </c>
      <c r="O51" s="8" t="str">
        <f>IFERROR(INDEX(样本到样信息汇总统计!O$2:O$500,MATCH(50,样本到样信息汇总统计!$AA$2:$AA$500,0)),"")</f>
        <v/>
      </c>
      <c r="P51" s="8" t="str">
        <f>IFERROR(INDEX(样本到样信息汇总统计!P$2:P$500,MATCH(50,样本到样信息汇总统计!$AA$2:$AA$500,0)),"")</f>
        <v/>
      </c>
      <c r="Q51" s="8" t="str">
        <f>IFERROR(INDEX(样本到样信息汇总统计!Q$2:Q$500,MATCH(50,样本到样信息汇总统计!$AA$2:$AA$500,0)),"")</f>
        <v/>
      </c>
      <c r="R51" s="8" t="str">
        <f>IFERROR(INDEX(样本到样信息汇总统计!R$2:R$500,MATCH(50,样本到样信息汇总统计!$AA$2:$AA$500,0)),"")</f>
        <v/>
      </c>
      <c r="S51" s="8" t="str">
        <f>IFERROR(INDEX(样本到样信息汇总统计!S$2:S$500,MATCH(50,样本到样信息汇总统计!$AA$2:$AA$500,0)),"")</f>
        <v/>
      </c>
      <c r="T51" s="8" t="str">
        <f>IFERROR(INDEX(样本到样信息汇总统计!T$2:T$500,MATCH(50,样本到样信息汇总统计!$AA$2:$AA$500,0)),"")</f>
        <v/>
      </c>
      <c r="U51" s="8" t="str">
        <f>IFERROR(INDEX(样本到样信息汇总统计!U$2:U$500,MATCH(50,样本到样信息汇总统计!$AA$2:$AA$500,0)),"")</f>
        <v/>
      </c>
      <c r="V51" s="8" t="str">
        <f>IFERROR(INDEX(样本到样信息汇总统计!V$2:V$500,MATCH(50,样本到样信息汇总统计!$AA$2:$AA$500,0)),"")</f>
        <v/>
      </c>
      <c r="W51" s="8" t="str">
        <f>IFERROR(INDEX(样本到样信息汇总统计!W$2:W$500,MATCH(50,样本到样信息汇总统计!$AA$2:$AA$500,0)),"")</f>
        <v/>
      </c>
    </row>
    <row r="52" ht="14.5" spans="1:23">
      <c r="A52" s="4" t="str">
        <f>IFERROR(INDEX(样本到样信息汇总统计!A$2:A$500,MATCH(51,样本到样信息汇总统计!$AA$2:$AA$500,0)),"")</f>
        <v/>
      </c>
      <c r="B52" s="4" t="str">
        <f>IFERROR(INDEX(样本到样信息汇总统计!B$2:B$500,MATCH(51,样本到样信息汇总统计!$AA$2:$AA$500,0)),"")</f>
        <v/>
      </c>
      <c r="C52" s="4" t="str">
        <f>IFERROR(INDEX(样本到样信息汇总统计!C$2:C$500,MATCH(51,样本到样信息汇总统计!$AA$2:$AA$500,0)),"")</f>
        <v/>
      </c>
      <c r="D52" s="4" t="str">
        <f>IFERROR(INDEX(样本到样信息汇总统计!D$2:D$500,MATCH(51,样本到样信息汇总统计!$AA$2:$AA$500,0)),"")</f>
        <v/>
      </c>
      <c r="E52" s="4" t="str">
        <f>IFERROR(INDEX(样本到样信息汇总统计!E$2:E$500,MATCH(51,样本到样信息汇总统计!$AA$2:$AA$500,0)),"")</f>
        <v/>
      </c>
      <c r="F52" s="4" t="str">
        <f>IFERROR(INDEX(样本到样信息汇总统计!F$2:F$500,MATCH(51,样本到样信息汇总统计!$AA$2:$AA$500,0)),"")</f>
        <v/>
      </c>
      <c r="G52" s="4" t="str">
        <f>IFERROR(INDEX(样本到样信息汇总统计!G$2:G$500,MATCH(51,样本到样信息汇总统计!$AA$2:$AA$500,0)),"")</f>
        <v/>
      </c>
      <c r="H52" s="4" t="str">
        <f>IFERROR(INDEX(样本到样信息汇总统计!H$2:H$500,MATCH(51,样本到样信息汇总统计!$AA$2:$AA$500,0)),"")</f>
        <v/>
      </c>
      <c r="I52" s="4" t="str">
        <f>IFERROR(INDEX(样本到样信息汇总统计!I$2:I$500,MATCH(51,样本到样信息汇总统计!$AA$2:$AA$500,0)),"")</f>
        <v/>
      </c>
      <c r="J52" s="4" t="str">
        <f>IFERROR(INDEX(样本到样信息汇总统计!J$2:J$500,MATCH(51,样本到样信息汇总统计!$AA$2:$AA$500,0)),"")</f>
        <v/>
      </c>
      <c r="K52" s="4" t="str">
        <f>IFERROR(INDEX(样本到样信息汇总统计!K$2:K$500,MATCH(51,样本到样信息汇总统计!$AA$2:$AA$500,0)),"")</f>
        <v/>
      </c>
      <c r="L52" s="4" t="str">
        <f>IFERROR(INDEX(样本到样信息汇总统计!L$2:L$500,MATCH(51,样本到样信息汇总统计!$AA$2:$AA$500,0)),"")</f>
        <v/>
      </c>
      <c r="M52" s="4" t="str">
        <f>IFERROR(INDEX(样本到样信息汇总统计!M$2:M$500,MATCH(51,样本到样信息汇总统计!$AA$2:$AA$500,0)),"")</f>
        <v/>
      </c>
      <c r="N52" s="4" t="str">
        <f>IFERROR(INDEX(样本到样信息汇总统计!N$2:N$500,MATCH(51,样本到样信息汇总统计!$AA$2:$AA$500,0)),"")</f>
        <v/>
      </c>
      <c r="O52" s="4" t="str">
        <f>IFERROR(INDEX(样本到样信息汇总统计!O$2:O$500,MATCH(51,样本到样信息汇总统计!$AA$2:$AA$500,0)),"")</f>
        <v/>
      </c>
      <c r="P52" s="4" t="str">
        <f>IFERROR(INDEX(样本到样信息汇总统计!P$2:P$500,MATCH(51,样本到样信息汇总统计!$AA$2:$AA$500,0)),"")</f>
        <v/>
      </c>
      <c r="Q52" s="4" t="str">
        <f>IFERROR(INDEX(样本到样信息汇总统计!Q$2:Q$500,MATCH(51,样本到样信息汇总统计!$AA$2:$AA$500,0)),"")</f>
        <v/>
      </c>
      <c r="R52" s="4" t="str">
        <f>IFERROR(INDEX(样本到样信息汇总统计!R$2:R$500,MATCH(51,样本到样信息汇总统计!$AA$2:$AA$500,0)),"")</f>
        <v/>
      </c>
      <c r="S52" s="4" t="str">
        <f>IFERROR(INDEX(样本到样信息汇总统计!S$2:S$500,MATCH(51,样本到样信息汇总统计!$AA$2:$AA$500,0)),"")</f>
        <v/>
      </c>
      <c r="T52" s="4" t="str">
        <f>IFERROR(INDEX(样本到样信息汇总统计!T$2:T$500,MATCH(51,样本到样信息汇总统计!$AA$2:$AA$500,0)),"")</f>
        <v/>
      </c>
      <c r="U52" s="4" t="str">
        <f>IFERROR(INDEX(样本到样信息汇总统计!U$2:U$500,MATCH(51,样本到样信息汇总统计!$AA$2:$AA$500,0)),"")</f>
        <v/>
      </c>
      <c r="V52" s="4" t="str">
        <f>IFERROR(INDEX(样本到样信息汇总统计!V$2:V$500,MATCH(51,样本到样信息汇总统计!$AA$2:$AA$500,0)),"")</f>
        <v/>
      </c>
      <c r="W52" s="4" t="str">
        <f>IFERROR(INDEX(样本到样信息汇总统计!W$2:W$500,MATCH(51,样本到样信息汇总统计!$AA$2:$AA$500,0)),"")</f>
        <v/>
      </c>
    </row>
    <row r="53" ht="14.5" spans="1:23">
      <c r="A53" s="8" t="str">
        <f>IFERROR(INDEX(样本到样信息汇总统计!A$2:A$500,MATCH(52,样本到样信息汇总统计!$AA$2:$AA$500,0)),"")</f>
        <v/>
      </c>
      <c r="B53" s="8" t="str">
        <f>IFERROR(INDEX(样本到样信息汇总统计!B$2:B$500,MATCH(52,样本到样信息汇总统计!$AA$2:$AA$500,0)),"")</f>
        <v/>
      </c>
      <c r="C53" s="8" t="str">
        <f>IFERROR(INDEX(样本到样信息汇总统计!C$2:C$500,MATCH(52,样本到样信息汇总统计!$AA$2:$AA$500,0)),"")</f>
        <v/>
      </c>
      <c r="D53" s="8" t="str">
        <f>IFERROR(INDEX(样本到样信息汇总统计!D$2:D$500,MATCH(52,样本到样信息汇总统计!$AA$2:$AA$500,0)),"")</f>
        <v/>
      </c>
      <c r="E53" s="8" t="str">
        <f>IFERROR(INDEX(样本到样信息汇总统计!E$2:E$500,MATCH(52,样本到样信息汇总统计!$AA$2:$AA$500,0)),"")</f>
        <v/>
      </c>
      <c r="F53" s="8" t="str">
        <f>IFERROR(INDEX(样本到样信息汇总统计!F$2:F$500,MATCH(52,样本到样信息汇总统计!$AA$2:$AA$500,0)),"")</f>
        <v/>
      </c>
      <c r="G53" s="8" t="str">
        <f>IFERROR(INDEX(样本到样信息汇总统计!G$2:G$500,MATCH(52,样本到样信息汇总统计!$AA$2:$AA$500,0)),"")</f>
        <v/>
      </c>
      <c r="H53" s="8" t="str">
        <f>IFERROR(INDEX(样本到样信息汇总统计!H$2:H$500,MATCH(52,样本到样信息汇总统计!$AA$2:$AA$500,0)),"")</f>
        <v/>
      </c>
      <c r="I53" s="8" t="str">
        <f>IFERROR(INDEX(样本到样信息汇总统计!I$2:I$500,MATCH(52,样本到样信息汇总统计!$AA$2:$AA$500,0)),"")</f>
        <v/>
      </c>
      <c r="J53" s="8" t="str">
        <f>IFERROR(INDEX(样本到样信息汇总统计!J$2:J$500,MATCH(52,样本到样信息汇总统计!$AA$2:$AA$500,0)),"")</f>
        <v/>
      </c>
      <c r="K53" s="8" t="str">
        <f>IFERROR(INDEX(样本到样信息汇总统计!K$2:K$500,MATCH(52,样本到样信息汇总统计!$AA$2:$AA$500,0)),"")</f>
        <v/>
      </c>
      <c r="L53" s="8" t="str">
        <f>IFERROR(INDEX(样本到样信息汇总统计!L$2:L$500,MATCH(52,样本到样信息汇总统计!$AA$2:$AA$500,0)),"")</f>
        <v/>
      </c>
      <c r="M53" s="8" t="str">
        <f>IFERROR(INDEX(样本到样信息汇总统计!M$2:M$500,MATCH(52,样本到样信息汇总统计!$AA$2:$AA$500,0)),"")</f>
        <v/>
      </c>
      <c r="N53" s="8" t="str">
        <f>IFERROR(INDEX(样本到样信息汇总统计!N$2:N$500,MATCH(52,样本到样信息汇总统计!$AA$2:$AA$500,0)),"")</f>
        <v/>
      </c>
      <c r="O53" s="8" t="str">
        <f>IFERROR(INDEX(样本到样信息汇总统计!O$2:O$500,MATCH(52,样本到样信息汇总统计!$AA$2:$AA$500,0)),"")</f>
        <v/>
      </c>
      <c r="P53" s="8" t="str">
        <f>IFERROR(INDEX(样本到样信息汇总统计!P$2:P$500,MATCH(52,样本到样信息汇总统计!$AA$2:$AA$500,0)),"")</f>
        <v/>
      </c>
      <c r="Q53" s="8" t="str">
        <f>IFERROR(INDEX(样本到样信息汇总统计!Q$2:Q$500,MATCH(52,样本到样信息汇总统计!$AA$2:$AA$500,0)),"")</f>
        <v/>
      </c>
      <c r="R53" s="8" t="str">
        <f>IFERROR(INDEX(样本到样信息汇总统计!R$2:R$500,MATCH(52,样本到样信息汇总统计!$AA$2:$AA$500,0)),"")</f>
        <v/>
      </c>
      <c r="S53" s="8" t="str">
        <f>IFERROR(INDEX(样本到样信息汇总统计!S$2:S$500,MATCH(52,样本到样信息汇总统计!$AA$2:$AA$500,0)),"")</f>
        <v/>
      </c>
      <c r="T53" s="8" t="str">
        <f>IFERROR(INDEX(样本到样信息汇总统计!T$2:T$500,MATCH(52,样本到样信息汇总统计!$AA$2:$AA$500,0)),"")</f>
        <v/>
      </c>
      <c r="U53" s="8" t="str">
        <f>IFERROR(INDEX(样本到样信息汇总统计!U$2:U$500,MATCH(52,样本到样信息汇总统计!$AA$2:$AA$500,0)),"")</f>
        <v/>
      </c>
      <c r="V53" s="8" t="str">
        <f>IFERROR(INDEX(样本到样信息汇总统计!V$2:V$500,MATCH(52,样本到样信息汇总统计!$AA$2:$AA$500,0)),"")</f>
        <v/>
      </c>
      <c r="W53" s="8" t="str">
        <f>IFERROR(INDEX(样本到样信息汇总统计!W$2:W$500,MATCH(52,样本到样信息汇总统计!$AA$2:$AA$500,0)),"")</f>
        <v/>
      </c>
    </row>
    <row r="54" ht="14.5" spans="1:23">
      <c r="A54" s="4" t="str">
        <f>IFERROR(INDEX(样本到样信息汇总统计!A$2:A$500,MATCH(53,样本到样信息汇总统计!$AA$2:$AA$500,0)),"")</f>
        <v/>
      </c>
      <c r="B54" s="4" t="str">
        <f>IFERROR(INDEX(样本到样信息汇总统计!B$2:B$500,MATCH(53,样本到样信息汇总统计!$AA$2:$AA$500,0)),"")</f>
        <v/>
      </c>
      <c r="C54" s="4" t="str">
        <f>IFERROR(INDEX(样本到样信息汇总统计!C$2:C$500,MATCH(53,样本到样信息汇总统计!$AA$2:$AA$500,0)),"")</f>
        <v/>
      </c>
      <c r="D54" s="4" t="str">
        <f>IFERROR(INDEX(样本到样信息汇总统计!D$2:D$500,MATCH(53,样本到样信息汇总统计!$AA$2:$AA$500,0)),"")</f>
        <v/>
      </c>
      <c r="E54" s="4" t="str">
        <f>IFERROR(INDEX(样本到样信息汇总统计!E$2:E$500,MATCH(53,样本到样信息汇总统计!$AA$2:$AA$500,0)),"")</f>
        <v/>
      </c>
      <c r="F54" s="4" t="str">
        <f>IFERROR(INDEX(样本到样信息汇总统计!F$2:F$500,MATCH(53,样本到样信息汇总统计!$AA$2:$AA$500,0)),"")</f>
        <v/>
      </c>
      <c r="G54" s="4" t="str">
        <f>IFERROR(INDEX(样本到样信息汇总统计!G$2:G$500,MATCH(53,样本到样信息汇总统计!$AA$2:$AA$500,0)),"")</f>
        <v/>
      </c>
      <c r="H54" s="4" t="str">
        <f>IFERROR(INDEX(样本到样信息汇总统计!H$2:H$500,MATCH(53,样本到样信息汇总统计!$AA$2:$AA$500,0)),"")</f>
        <v/>
      </c>
      <c r="I54" s="4" t="str">
        <f>IFERROR(INDEX(样本到样信息汇总统计!I$2:I$500,MATCH(53,样本到样信息汇总统计!$AA$2:$AA$500,0)),"")</f>
        <v/>
      </c>
      <c r="J54" s="4" t="str">
        <f>IFERROR(INDEX(样本到样信息汇总统计!J$2:J$500,MATCH(53,样本到样信息汇总统计!$AA$2:$AA$500,0)),"")</f>
        <v/>
      </c>
      <c r="K54" s="4" t="str">
        <f>IFERROR(INDEX(样本到样信息汇总统计!K$2:K$500,MATCH(53,样本到样信息汇总统计!$AA$2:$AA$500,0)),"")</f>
        <v/>
      </c>
      <c r="L54" s="4" t="str">
        <f>IFERROR(INDEX(样本到样信息汇总统计!L$2:L$500,MATCH(53,样本到样信息汇总统计!$AA$2:$AA$500,0)),"")</f>
        <v/>
      </c>
      <c r="M54" s="4" t="str">
        <f>IFERROR(INDEX(样本到样信息汇总统计!M$2:M$500,MATCH(53,样本到样信息汇总统计!$AA$2:$AA$500,0)),"")</f>
        <v/>
      </c>
      <c r="N54" s="4" t="str">
        <f>IFERROR(INDEX(样本到样信息汇总统计!N$2:N$500,MATCH(53,样本到样信息汇总统计!$AA$2:$AA$500,0)),"")</f>
        <v/>
      </c>
      <c r="O54" s="4" t="str">
        <f>IFERROR(INDEX(样本到样信息汇总统计!O$2:O$500,MATCH(53,样本到样信息汇总统计!$AA$2:$AA$500,0)),"")</f>
        <v/>
      </c>
      <c r="P54" s="4" t="str">
        <f>IFERROR(INDEX(样本到样信息汇总统计!P$2:P$500,MATCH(53,样本到样信息汇总统计!$AA$2:$AA$500,0)),"")</f>
        <v/>
      </c>
      <c r="Q54" s="4" t="str">
        <f>IFERROR(INDEX(样本到样信息汇总统计!Q$2:Q$500,MATCH(53,样本到样信息汇总统计!$AA$2:$AA$500,0)),"")</f>
        <v/>
      </c>
      <c r="R54" s="4" t="str">
        <f>IFERROR(INDEX(样本到样信息汇总统计!R$2:R$500,MATCH(53,样本到样信息汇总统计!$AA$2:$AA$500,0)),"")</f>
        <v/>
      </c>
      <c r="S54" s="4" t="str">
        <f>IFERROR(INDEX(样本到样信息汇总统计!S$2:S$500,MATCH(53,样本到样信息汇总统计!$AA$2:$AA$500,0)),"")</f>
        <v/>
      </c>
      <c r="T54" s="4" t="str">
        <f>IFERROR(INDEX(样本到样信息汇总统计!T$2:T$500,MATCH(53,样本到样信息汇总统计!$AA$2:$AA$500,0)),"")</f>
        <v/>
      </c>
      <c r="U54" s="4" t="str">
        <f>IFERROR(INDEX(样本到样信息汇总统计!U$2:U$500,MATCH(53,样本到样信息汇总统计!$AA$2:$AA$500,0)),"")</f>
        <v/>
      </c>
      <c r="V54" s="4" t="str">
        <f>IFERROR(INDEX(样本到样信息汇总统计!V$2:V$500,MATCH(53,样本到样信息汇总统计!$AA$2:$AA$500,0)),"")</f>
        <v/>
      </c>
      <c r="W54" s="4" t="str">
        <f>IFERROR(INDEX(样本到样信息汇总统计!W$2:W$500,MATCH(53,样本到样信息汇总统计!$AA$2:$AA$500,0)),"")</f>
        <v/>
      </c>
    </row>
    <row r="55" ht="14.5" spans="1:23">
      <c r="A55" s="8" t="str">
        <f>IFERROR(INDEX(样本到样信息汇总统计!A$2:A$500,MATCH(54,样本到样信息汇总统计!$AA$2:$AA$500,0)),"")</f>
        <v/>
      </c>
      <c r="B55" s="8" t="str">
        <f>IFERROR(INDEX(样本到样信息汇总统计!B$2:B$500,MATCH(54,样本到样信息汇总统计!$AA$2:$AA$500,0)),"")</f>
        <v/>
      </c>
      <c r="C55" s="8" t="str">
        <f>IFERROR(INDEX(样本到样信息汇总统计!C$2:C$500,MATCH(54,样本到样信息汇总统计!$AA$2:$AA$500,0)),"")</f>
        <v/>
      </c>
      <c r="D55" s="8" t="str">
        <f>IFERROR(INDEX(样本到样信息汇总统计!D$2:D$500,MATCH(54,样本到样信息汇总统计!$AA$2:$AA$500,0)),"")</f>
        <v/>
      </c>
      <c r="E55" s="8" t="str">
        <f>IFERROR(INDEX(样本到样信息汇总统计!E$2:E$500,MATCH(54,样本到样信息汇总统计!$AA$2:$AA$500,0)),"")</f>
        <v/>
      </c>
      <c r="F55" s="8" t="str">
        <f>IFERROR(INDEX(样本到样信息汇总统计!F$2:F$500,MATCH(54,样本到样信息汇总统计!$AA$2:$AA$500,0)),"")</f>
        <v/>
      </c>
      <c r="G55" s="8" t="str">
        <f>IFERROR(INDEX(样本到样信息汇总统计!G$2:G$500,MATCH(54,样本到样信息汇总统计!$AA$2:$AA$500,0)),"")</f>
        <v/>
      </c>
      <c r="H55" s="8" t="str">
        <f>IFERROR(INDEX(样本到样信息汇总统计!H$2:H$500,MATCH(54,样本到样信息汇总统计!$AA$2:$AA$500,0)),"")</f>
        <v/>
      </c>
      <c r="I55" s="8" t="str">
        <f>IFERROR(INDEX(样本到样信息汇总统计!I$2:I$500,MATCH(54,样本到样信息汇总统计!$AA$2:$AA$500,0)),"")</f>
        <v/>
      </c>
      <c r="J55" s="8" t="str">
        <f>IFERROR(INDEX(样本到样信息汇总统计!J$2:J$500,MATCH(54,样本到样信息汇总统计!$AA$2:$AA$500,0)),"")</f>
        <v/>
      </c>
      <c r="K55" s="8" t="str">
        <f>IFERROR(INDEX(样本到样信息汇总统计!K$2:K$500,MATCH(54,样本到样信息汇总统计!$AA$2:$AA$500,0)),"")</f>
        <v/>
      </c>
      <c r="L55" s="8" t="str">
        <f>IFERROR(INDEX(样本到样信息汇总统计!L$2:L$500,MATCH(54,样本到样信息汇总统计!$AA$2:$AA$500,0)),"")</f>
        <v/>
      </c>
      <c r="M55" s="8" t="str">
        <f>IFERROR(INDEX(样本到样信息汇总统计!M$2:M$500,MATCH(54,样本到样信息汇总统计!$AA$2:$AA$500,0)),"")</f>
        <v/>
      </c>
      <c r="N55" s="8" t="str">
        <f>IFERROR(INDEX(样本到样信息汇总统计!N$2:N$500,MATCH(54,样本到样信息汇总统计!$AA$2:$AA$500,0)),"")</f>
        <v/>
      </c>
      <c r="O55" s="8" t="str">
        <f>IFERROR(INDEX(样本到样信息汇总统计!O$2:O$500,MATCH(54,样本到样信息汇总统计!$AA$2:$AA$500,0)),"")</f>
        <v/>
      </c>
      <c r="P55" s="8" t="str">
        <f>IFERROR(INDEX(样本到样信息汇总统计!P$2:P$500,MATCH(54,样本到样信息汇总统计!$AA$2:$AA$500,0)),"")</f>
        <v/>
      </c>
      <c r="Q55" s="8" t="str">
        <f>IFERROR(INDEX(样本到样信息汇总统计!Q$2:Q$500,MATCH(54,样本到样信息汇总统计!$AA$2:$AA$500,0)),"")</f>
        <v/>
      </c>
      <c r="R55" s="8" t="str">
        <f>IFERROR(INDEX(样本到样信息汇总统计!R$2:R$500,MATCH(54,样本到样信息汇总统计!$AA$2:$AA$500,0)),"")</f>
        <v/>
      </c>
      <c r="S55" s="8" t="str">
        <f>IFERROR(INDEX(样本到样信息汇总统计!S$2:S$500,MATCH(54,样本到样信息汇总统计!$AA$2:$AA$500,0)),"")</f>
        <v/>
      </c>
      <c r="T55" s="8" t="str">
        <f>IFERROR(INDEX(样本到样信息汇总统计!T$2:T$500,MATCH(54,样本到样信息汇总统计!$AA$2:$AA$500,0)),"")</f>
        <v/>
      </c>
      <c r="U55" s="8" t="str">
        <f>IFERROR(INDEX(样本到样信息汇总统计!U$2:U$500,MATCH(54,样本到样信息汇总统计!$AA$2:$AA$500,0)),"")</f>
        <v/>
      </c>
      <c r="V55" s="8" t="str">
        <f>IFERROR(INDEX(样本到样信息汇总统计!V$2:V$500,MATCH(54,样本到样信息汇总统计!$AA$2:$AA$500,0)),"")</f>
        <v/>
      </c>
      <c r="W55" s="8" t="str">
        <f>IFERROR(INDEX(样本到样信息汇总统计!W$2:W$500,MATCH(54,样本到样信息汇总统计!$AA$2:$AA$500,0)),"")</f>
        <v/>
      </c>
    </row>
    <row r="56" ht="14.5" spans="1:23">
      <c r="A56" s="4" t="str">
        <f>IFERROR(INDEX(样本到样信息汇总统计!A$2:A$500,MATCH(55,样本到样信息汇总统计!$AA$2:$AA$500,0)),"")</f>
        <v/>
      </c>
      <c r="B56" s="4" t="str">
        <f>IFERROR(INDEX(样本到样信息汇总统计!B$2:B$500,MATCH(55,样本到样信息汇总统计!$AA$2:$AA$500,0)),"")</f>
        <v/>
      </c>
      <c r="C56" s="4" t="str">
        <f>IFERROR(INDEX(样本到样信息汇总统计!C$2:C$500,MATCH(55,样本到样信息汇总统计!$AA$2:$AA$500,0)),"")</f>
        <v/>
      </c>
      <c r="D56" s="4" t="str">
        <f>IFERROR(INDEX(样本到样信息汇总统计!D$2:D$500,MATCH(55,样本到样信息汇总统计!$AA$2:$AA$500,0)),"")</f>
        <v/>
      </c>
      <c r="E56" s="4" t="str">
        <f>IFERROR(INDEX(样本到样信息汇总统计!E$2:E$500,MATCH(55,样本到样信息汇总统计!$AA$2:$AA$500,0)),"")</f>
        <v/>
      </c>
      <c r="F56" s="4" t="str">
        <f>IFERROR(INDEX(样本到样信息汇总统计!F$2:F$500,MATCH(55,样本到样信息汇总统计!$AA$2:$AA$500,0)),"")</f>
        <v/>
      </c>
      <c r="G56" s="4" t="str">
        <f>IFERROR(INDEX(样本到样信息汇总统计!G$2:G$500,MATCH(55,样本到样信息汇总统计!$AA$2:$AA$500,0)),"")</f>
        <v/>
      </c>
      <c r="H56" s="4" t="str">
        <f>IFERROR(INDEX(样本到样信息汇总统计!H$2:H$500,MATCH(55,样本到样信息汇总统计!$AA$2:$AA$500,0)),"")</f>
        <v/>
      </c>
      <c r="I56" s="4" t="str">
        <f>IFERROR(INDEX(样本到样信息汇总统计!I$2:I$500,MATCH(55,样本到样信息汇总统计!$AA$2:$AA$500,0)),"")</f>
        <v/>
      </c>
      <c r="J56" s="4" t="str">
        <f>IFERROR(INDEX(样本到样信息汇总统计!J$2:J$500,MATCH(55,样本到样信息汇总统计!$AA$2:$AA$500,0)),"")</f>
        <v/>
      </c>
      <c r="K56" s="4" t="str">
        <f>IFERROR(INDEX(样本到样信息汇总统计!K$2:K$500,MATCH(55,样本到样信息汇总统计!$AA$2:$AA$500,0)),"")</f>
        <v/>
      </c>
      <c r="L56" s="4" t="str">
        <f>IFERROR(INDEX(样本到样信息汇总统计!L$2:L$500,MATCH(55,样本到样信息汇总统计!$AA$2:$AA$500,0)),"")</f>
        <v/>
      </c>
      <c r="M56" s="4" t="str">
        <f>IFERROR(INDEX(样本到样信息汇总统计!M$2:M$500,MATCH(55,样本到样信息汇总统计!$AA$2:$AA$500,0)),"")</f>
        <v/>
      </c>
      <c r="N56" s="4" t="str">
        <f>IFERROR(INDEX(样本到样信息汇总统计!N$2:N$500,MATCH(55,样本到样信息汇总统计!$AA$2:$AA$500,0)),"")</f>
        <v/>
      </c>
      <c r="O56" s="4" t="str">
        <f>IFERROR(INDEX(样本到样信息汇总统计!O$2:O$500,MATCH(55,样本到样信息汇总统计!$AA$2:$AA$500,0)),"")</f>
        <v/>
      </c>
      <c r="P56" s="4" t="str">
        <f>IFERROR(INDEX(样本到样信息汇总统计!P$2:P$500,MATCH(55,样本到样信息汇总统计!$AA$2:$AA$500,0)),"")</f>
        <v/>
      </c>
      <c r="Q56" s="4" t="str">
        <f>IFERROR(INDEX(样本到样信息汇总统计!Q$2:Q$500,MATCH(55,样本到样信息汇总统计!$AA$2:$AA$500,0)),"")</f>
        <v/>
      </c>
      <c r="R56" s="4" t="str">
        <f>IFERROR(INDEX(样本到样信息汇总统计!R$2:R$500,MATCH(55,样本到样信息汇总统计!$AA$2:$AA$500,0)),"")</f>
        <v/>
      </c>
      <c r="S56" s="4" t="str">
        <f>IFERROR(INDEX(样本到样信息汇总统计!S$2:S$500,MATCH(55,样本到样信息汇总统计!$AA$2:$AA$500,0)),"")</f>
        <v/>
      </c>
      <c r="T56" s="4" t="str">
        <f>IFERROR(INDEX(样本到样信息汇总统计!T$2:T$500,MATCH(55,样本到样信息汇总统计!$AA$2:$AA$500,0)),"")</f>
        <v/>
      </c>
      <c r="U56" s="4" t="str">
        <f>IFERROR(INDEX(样本到样信息汇总统计!U$2:U$500,MATCH(55,样本到样信息汇总统计!$AA$2:$AA$500,0)),"")</f>
        <v/>
      </c>
      <c r="V56" s="4" t="str">
        <f>IFERROR(INDEX(样本到样信息汇总统计!V$2:V$500,MATCH(55,样本到样信息汇总统计!$AA$2:$AA$500,0)),"")</f>
        <v/>
      </c>
      <c r="W56" s="4" t="str">
        <f>IFERROR(INDEX(样本到样信息汇总统计!W$2:W$500,MATCH(55,样本到样信息汇总统计!$AA$2:$AA$500,0)),"")</f>
        <v/>
      </c>
    </row>
    <row r="57" ht="14.5" spans="1:23">
      <c r="A57" s="8" t="str">
        <f>IFERROR(INDEX(样本到样信息汇总统计!A$2:A$500,MATCH(56,样本到样信息汇总统计!$AA$2:$AA$500,0)),"")</f>
        <v/>
      </c>
      <c r="B57" s="8" t="str">
        <f>IFERROR(INDEX(样本到样信息汇总统计!B$2:B$500,MATCH(56,样本到样信息汇总统计!$AA$2:$AA$500,0)),"")</f>
        <v/>
      </c>
      <c r="C57" s="8" t="str">
        <f>IFERROR(INDEX(样本到样信息汇总统计!C$2:C$500,MATCH(56,样本到样信息汇总统计!$AA$2:$AA$500,0)),"")</f>
        <v/>
      </c>
      <c r="D57" s="8" t="str">
        <f>IFERROR(INDEX(样本到样信息汇总统计!D$2:D$500,MATCH(56,样本到样信息汇总统计!$AA$2:$AA$500,0)),"")</f>
        <v/>
      </c>
      <c r="E57" s="8" t="str">
        <f>IFERROR(INDEX(样本到样信息汇总统计!E$2:E$500,MATCH(56,样本到样信息汇总统计!$AA$2:$AA$500,0)),"")</f>
        <v/>
      </c>
      <c r="F57" s="8" t="str">
        <f>IFERROR(INDEX(样本到样信息汇总统计!F$2:F$500,MATCH(56,样本到样信息汇总统计!$AA$2:$AA$500,0)),"")</f>
        <v/>
      </c>
      <c r="G57" s="8" t="str">
        <f>IFERROR(INDEX(样本到样信息汇总统计!G$2:G$500,MATCH(56,样本到样信息汇总统计!$AA$2:$AA$500,0)),"")</f>
        <v/>
      </c>
      <c r="H57" s="8" t="str">
        <f>IFERROR(INDEX(样本到样信息汇总统计!H$2:H$500,MATCH(56,样本到样信息汇总统计!$AA$2:$AA$500,0)),"")</f>
        <v/>
      </c>
      <c r="I57" s="8" t="str">
        <f>IFERROR(INDEX(样本到样信息汇总统计!I$2:I$500,MATCH(56,样本到样信息汇总统计!$AA$2:$AA$500,0)),"")</f>
        <v/>
      </c>
      <c r="J57" s="8" t="str">
        <f>IFERROR(INDEX(样本到样信息汇总统计!J$2:J$500,MATCH(56,样本到样信息汇总统计!$AA$2:$AA$500,0)),"")</f>
        <v/>
      </c>
      <c r="K57" s="8" t="str">
        <f>IFERROR(INDEX(样本到样信息汇总统计!K$2:K$500,MATCH(56,样本到样信息汇总统计!$AA$2:$AA$500,0)),"")</f>
        <v/>
      </c>
      <c r="L57" s="8" t="str">
        <f>IFERROR(INDEX(样本到样信息汇总统计!L$2:L$500,MATCH(56,样本到样信息汇总统计!$AA$2:$AA$500,0)),"")</f>
        <v/>
      </c>
      <c r="M57" s="8" t="str">
        <f>IFERROR(INDEX(样本到样信息汇总统计!M$2:M$500,MATCH(56,样本到样信息汇总统计!$AA$2:$AA$500,0)),"")</f>
        <v/>
      </c>
      <c r="N57" s="8" t="str">
        <f>IFERROR(INDEX(样本到样信息汇总统计!N$2:N$500,MATCH(56,样本到样信息汇总统计!$AA$2:$AA$500,0)),"")</f>
        <v/>
      </c>
      <c r="O57" s="8" t="str">
        <f>IFERROR(INDEX(样本到样信息汇总统计!O$2:O$500,MATCH(56,样本到样信息汇总统计!$AA$2:$AA$500,0)),"")</f>
        <v/>
      </c>
      <c r="P57" s="8" t="str">
        <f>IFERROR(INDEX(样本到样信息汇总统计!P$2:P$500,MATCH(56,样本到样信息汇总统计!$AA$2:$AA$500,0)),"")</f>
        <v/>
      </c>
      <c r="Q57" s="8" t="str">
        <f>IFERROR(INDEX(样本到样信息汇总统计!Q$2:Q$500,MATCH(56,样本到样信息汇总统计!$AA$2:$AA$500,0)),"")</f>
        <v/>
      </c>
      <c r="R57" s="8" t="str">
        <f>IFERROR(INDEX(样本到样信息汇总统计!R$2:R$500,MATCH(56,样本到样信息汇总统计!$AA$2:$AA$500,0)),"")</f>
        <v/>
      </c>
      <c r="S57" s="8" t="str">
        <f>IFERROR(INDEX(样本到样信息汇总统计!S$2:S$500,MATCH(56,样本到样信息汇总统计!$AA$2:$AA$500,0)),"")</f>
        <v/>
      </c>
      <c r="T57" s="8" t="str">
        <f>IFERROR(INDEX(样本到样信息汇总统计!T$2:T$500,MATCH(56,样本到样信息汇总统计!$AA$2:$AA$500,0)),"")</f>
        <v/>
      </c>
      <c r="U57" s="8" t="str">
        <f>IFERROR(INDEX(样本到样信息汇总统计!U$2:U$500,MATCH(56,样本到样信息汇总统计!$AA$2:$AA$500,0)),"")</f>
        <v/>
      </c>
      <c r="V57" s="8" t="str">
        <f>IFERROR(INDEX(样本到样信息汇总统计!V$2:V$500,MATCH(56,样本到样信息汇总统计!$AA$2:$AA$500,0)),"")</f>
        <v/>
      </c>
      <c r="W57" s="8" t="str">
        <f>IFERROR(INDEX(样本到样信息汇总统计!W$2:W$500,MATCH(56,样本到样信息汇总统计!$AA$2:$AA$500,0)),"")</f>
        <v/>
      </c>
    </row>
    <row r="58" ht="14.5" spans="1:23">
      <c r="A58" s="4" t="str">
        <f>IFERROR(INDEX(样本到样信息汇总统计!A$2:A$500,MATCH(57,样本到样信息汇总统计!$AA$2:$AA$500,0)),"")</f>
        <v/>
      </c>
      <c r="B58" s="4" t="str">
        <f>IFERROR(INDEX(样本到样信息汇总统计!B$2:B$500,MATCH(57,样本到样信息汇总统计!$AA$2:$AA$500,0)),"")</f>
        <v/>
      </c>
      <c r="C58" s="4" t="str">
        <f>IFERROR(INDEX(样本到样信息汇总统计!C$2:C$500,MATCH(57,样本到样信息汇总统计!$AA$2:$AA$500,0)),"")</f>
        <v/>
      </c>
      <c r="D58" s="4" t="str">
        <f>IFERROR(INDEX(样本到样信息汇总统计!D$2:D$500,MATCH(57,样本到样信息汇总统计!$AA$2:$AA$500,0)),"")</f>
        <v/>
      </c>
      <c r="E58" s="4" t="str">
        <f>IFERROR(INDEX(样本到样信息汇总统计!E$2:E$500,MATCH(57,样本到样信息汇总统计!$AA$2:$AA$500,0)),"")</f>
        <v/>
      </c>
      <c r="F58" s="4" t="str">
        <f>IFERROR(INDEX(样本到样信息汇总统计!F$2:F$500,MATCH(57,样本到样信息汇总统计!$AA$2:$AA$500,0)),"")</f>
        <v/>
      </c>
      <c r="G58" s="4" t="str">
        <f>IFERROR(INDEX(样本到样信息汇总统计!G$2:G$500,MATCH(57,样本到样信息汇总统计!$AA$2:$AA$500,0)),"")</f>
        <v/>
      </c>
      <c r="H58" s="4" t="str">
        <f>IFERROR(INDEX(样本到样信息汇总统计!H$2:H$500,MATCH(57,样本到样信息汇总统计!$AA$2:$AA$500,0)),"")</f>
        <v/>
      </c>
      <c r="I58" s="4" t="str">
        <f>IFERROR(INDEX(样本到样信息汇总统计!I$2:I$500,MATCH(57,样本到样信息汇总统计!$AA$2:$AA$500,0)),"")</f>
        <v/>
      </c>
      <c r="J58" s="4" t="str">
        <f>IFERROR(INDEX(样本到样信息汇总统计!J$2:J$500,MATCH(57,样本到样信息汇总统计!$AA$2:$AA$500,0)),"")</f>
        <v/>
      </c>
      <c r="K58" s="4" t="str">
        <f>IFERROR(INDEX(样本到样信息汇总统计!K$2:K$500,MATCH(57,样本到样信息汇总统计!$AA$2:$AA$500,0)),"")</f>
        <v/>
      </c>
      <c r="L58" s="4" t="str">
        <f>IFERROR(INDEX(样本到样信息汇总统计!L$2:L$500,MATCH(57,样本到样信息汇总统计!$AA$2:$AA$500,0)),"")</f>
        <v/>
      </c>
      <c r="M58" s="4" t="str">
        <f>IFERROR(INDEX(样本到样信息汇总统计!M$2:M$500,MATCH(57,样本到样信息汇总统计!$AA$2:$AA$500,0)),"")</f>
        <v/>
      </c>
      <c r="N58" s="4" t="str">
        <f>IFERROR(INDEX(样本到样信息汇总统计!N$2:N$500,MATCH(57,样本到样信息汇总统计!$AA$2:$AA$500,0)),"")</f>
        <v/>
      </c>
      <c r="O58" s="4" t="str">
        <f>IFERROR(INDEX(样本到样信息汇总统计!O$2:O$500,MATCH(57,样本到样信息汇总统计!$AA$2:$AA$500,0)),"")</f>
        <v/>
      </c>
      <c r="P58" s="4" t="str">
        <f>IFERROR(INDEX(样本到样信息汇总统计!P$2:P$500,MATCH(57,样本到样信息汇总统计!$AA$2:$AA$500,0)),"")</f>
        <v/>
      </c>
      <c r="Q58" s="4" t="str">
        <f>IFERROR(INDEX(样本到样信息汇总统计!Q$2:Q$500,MATCH(57,样本到样信息汇总统计!$AA$2:$AA$500,0)),"")</f>
        <v/>
      </c>
      <c r="R58" s="4" t="str">
        <f>IFERROR(INDEX(样本到样信息汇总统计!R$2:R$500,MATCH(57,样本到样信息汇总统计!$AA$2:$AA$500,0)),"")</f>
        <v/>
      </c>
      <c r="S58" s="4" t="str">
        <f>IFERROR(INDEX(样本到样信息汇总统计!S$2:S$500,MATCH(57,样本到样信息汇总统计!$AA$2:$AA$500,0)),"")</f>
        <v/>
      </c>
      <c r="T58" s="4" t="str">
        <f>IFERROR(INDEX(样本到样信息汇总统计!T$2:T$500,MATCH(57,样本到样信息汇总统计!$AA$2:$AA$500,0)),"")</f>
        <v/>
      </c>
      <c r="U58" s="4" t="str">
        <f>IFERROR(INDEX(样本到样信息汇总统计!U$2:U$500,MATCH(57,样本到样信息汇总统计!$AA$2:$AA$500,0)),"")</f>
        <v/>
      </c>
      <c r="V58" s="4" t="str">
        <f>IFERROR(INDEX(样本到样信息汇总统计!V$2:V$500,MATCH(57,样本到样信息汇总统计!$AA$2:$AA$500,0)),"")</f>
        <v/>
      </c>
      <c r="W58" s="4" t="str">
        <f>IFERROR(INDEX(样本到样信息汇总统计!W$2:W$500,MATCH(57,样本到样信息汇总统计!$AA$2:$AA$500,0)),"")</f>
        <v/>
      </c>
    </row>
    <row r="59" ht="14.5" spans="1:23">
      <c r="A59" s="8" t="str">
        <f>IFERROR(INDEX(样本到样信息汇总统计!A$2:A$500,MATCH(58,样本到样信息汇总统计!$AA$2:$AA$500,0)),"")</f>
        <v/>
      </c>
      <c r="B59" s="8" t="str">
        <f>IFERROR(INDEX(样本到样信息汇总统计!B$2:B$500,MATCH(58,样本到样信息汇总统计!$AA$2:$AA$500,0)),"")</f>
        <v/>
      </c>
      <c r="C59" s="8" t="str">
        <f>IFERROR(INDEX(样本到样信息汇总统计!C$2:C$500,MATCH(58,样本到样信息汇总统计!$AA$2:$AA$500,0)),"")</f>
        <v/>
      </c>
      <c r="D59" s="8" t="str">
        <f>IFERROR(INDEX(样本到样信息汇总统计!D$2:D$500,MATCH(58,样本到样信息汇总统计!$AA$2:$AA$500,0)),"")</f>
        <v/>
      </c>
      <c r="E59" s="8" t="str">
        <f>IFERROR(INDEX(样本到样信息汇总统计!E$2:E$500,MATCH(58,样本到样信息汇总统计!$AA$2:$AA$500,0)),"")</f>
        <v/>
      </c>
      <c r="F59" s="8" t="str">
        <f>IFERROR(INDEX(样本到样信息汇总统计!F$2:F$500,MATCH(58,样本到样信息汇总统计!$AA$2:$AA$500,0)),"")</f>
        <v/>
      </c>
      <c r="G59" s="8" t="str">
        <f>IFERROR(INDEX(样本到样信息汇总统计!G$2:G$500,MATCH(58,样本到样信息汇总统计!$AA$2:$AA$500,0)),"")</f>
        <v/>
      </c>
      <c r="H59" s="8" t="str">
        <f>IFERROR(INDEX(样本到样信息汇总统计!H$2:H$500,MATCH(58,样本到样信息汇总统计!$AA$2:$AA$500,0)),"")</f>
        <v/>
      </c>
      <c r="I59" s="8" t="str">
        <f>IFERROR(INDEX(样本到样信息汇总统计!I$2:I$500,MATCH(58,样本到样信息汇总统计!$AA$2:$AA$500,0)),"")</f>
        <v/>
      </c>
      <c r="J59" s="8" t="str">
        <f>IFERROR(INDEX(样本到样信息汇总统计!J$2:J$500,MATCH(58,样本到样信息汇总统计!$AA$2:$AA$500,0)),"")</f>
        <v/>
      </c>
      <c r="K59" s="8" t="str">
        <f>IFERROR(INDEX(样本到样信息汇总统计!K$2:K$500,MATCH(58,样本到样信息汇总统计!$AA$2:$AA$500,0)),"")</f>
        <v/>
      </c>
      <c r="L59" s="8" t="str">
        <f>IFERROR(INDEX(样本到样信息汇总统计!L$2:L$500,MATCH(58,样本到样信息汇总统计!$AA$2:$AA$500,0)),"")</f>
        <v/>
      </c>
      <c r="M59" s="8" t="str">
        <f>IFERROR(INDEX(样本到样信息汇总统计!M$2:M$500,MATCH(58,样本到样信息汇总统计!$AA$2:$AA$500,0)),"")</f>
        <v/>
      </c>
      <c r="N59" s="8" t="str">
        <f>IFERROR(INDEX(样本到样信息汇总统计!N$2:N$500,MATCH(58,样本到样信息汇总统计!$AA$2:$AA$500,0)),"")</f>
        <v/>
      </c>
      <c r="O59" s="8" t="str">
        <f>IFERROR(INDEX(样本到样信息汇总统计!O$2:O$500,MATCH(58,样本到样信息汇总统计!$AA$2:$AA$500,0)),"")</f>
        <v/>
      </c>
      <c r="P59" s="8" t="str">
        <f>IFERROR(INDEX(样本到样信息汇总统计!P$2:P$500,MATCH(58,样本到样信息汇总统计!$AA$2:$AA$500,0)),"")</f>
        <v/>
      </c>
      <c r="Q59" s="8" t="str">
        <f>IFERROR(INDEX(样本到样信息汇总统计!Q$2:Q$500,MATCH(58,样本到样信息汇总统计!$AA$2:$AA$500,0)),"")</f>
        <v/>
      </c>
      <c r="R59" s="8" t="str">
        <f>IFERROR(INDEX(样本到样信息汇总统计!R$2:R$500,MATCH(58,样本到样信息汇总统计!$AA$2:$AA$500,0)),"")</f>
        <v/>
      </c>
      <c r="S59" s="8" t="str">
        <f>IFERROR(INDEX(样本到样信息汇总统计!S$2:S$500,MATCH(58,样本到样信息汇总统计!$AA$2:$AA$500,0)),"")</f>
        <v/>
      </c>
      <c r="T59" s="8" t="str">
        <f>IFERROR(INDEX(样本到样信息汇总统计!T$2:T$500,MATCH(58,样本到样信息汇总统计!$AA$2:$AA$500,0)),"")</f>
        <v/>
      </c>
      <c r="U59" s="8" t="str">
        <f>IFERROR(INDEX(样本到样信息汇总统计!U$2:U$500,MATCH(58,样本到样信息汇总统计!$AA$2:$AA$500,0)),"")</f>
        <v/>
      </c>
      <c r="V59" s="8" t="str">
        <f>IFERROR(INDEX(样本到样信息汇总统计!V$2:V$500,MATCH(58,样本到样信息汇总统计!$AA$2:$AA$500,0)),"")</f>
        <v/>
      </c>
      <c r="W59" s="8" t="str">
        <f>IFERROR(INDEX(样本到样信息汇总统计!W$2:W$500,MATCH(58,样本到样信息汇总统计!$AA$2:$AA$500,0)),"")</f>
        <v/>
      </c>
    </row>
    <row r="60" ht="14.5" spans="1:23">
      <c r="A60" s="4" t="str">
        <f>IFERROR(INDEX(样本到样信息汇总统计!A$2:A$500,MATCH(59,样本到样信息汇总统计!$AA$2:$AA$500,0)),"")</f>
        <v/>
      </c>
      <c r="B60" s="4" t="str">
        <f>IFERROR(INDEX(样本到样信息汇总统计!B$2:B$500,MATCH(59,样本到样信息汇总统计!$AA$2:$AA$500,0)),"")</f>
        <v/>
      </c>
      <c r="C60" s="4" t="str">
        <f>IFERROR(INDEX(样本到样信息汇总统计!C$2:C$500,MATCH(59,样本到样信息汇总统计!$AA$2:$AA$500,0)),"")</f>
        <v/>
      </c>
      <c r="D60" s="4" t="str">
        <f>IFERROR(INDEX(样本到样信息汇总统计!D$2:D$500,MATCH(59,样本到样信息汇总统计!$AA$2:$AA$500,0)),"")</f>
        <v/>
      </c>
      <c r="E60" s="4" t="str">
        <f>IFERROR(INDEX(样本到样信息汇总统计!E$2:E$500,MATCH(59,样本到样信息汇总统计!$AA$2:$AA$500,0)),"")</f>
        <v/>
      </c>
      <c r="F60" s="4" t="str">
        <f>IFERROR(INDEX(样本到样信息汇总统计!F$2:F$500,MATCH(59,样本到样信息汇总统计!$AA$2:$AA$500,0)),"")</f>
        <v/>
      </c>
      <c r="G60" s="4" t="str">
        <f>IFERROR(INDEX(样本到样信息汇总统计!G$2:G$500,MATCH(59,样本到样信息汇总统计!$AA$2:$AA$500,0)),"")</f>
        <v/>
      </c>
      <c r="H60" s="4" t="str">
        <f>IFERROR(INDEX(样本到样信息汇总统计!H$2:H$500,MATCH(59,样本到样信息汇总统计!$AA$2:$AA$500,0)),"")</f>
        <v/>
      </c>
      <c r="I60" s="4" t="str">
        <f>IFERROR(INDEX(样本到样信息汇总统计!I$2:I$500,MATCH(59,样本到样信息汇总统计!$AA$2:$AA$500,0)),"")</f>
        <v/>
      </c>
      <c r="J60" s="4" t="str">
        <f>IFERROR(INDEX(样本到样信息汇总统计!J$2:J$500,MATCH(59,样本到样信息汇总统计!$AA$2:$AA$500,0)),"")</f>
        <v/>
      </c>
      <c r="K60" s="4" t="str">
        <f>IFERROR(INDEX(样本到样信息汇总统计!K$2:K$500,MATCH(59,样本到样信息汇总统计!$AA$2:$AA$500,0)),"")</f>
        <v/>
      </c>
      <c r="L60" s="4" t="str">
        <f>IFERROR(INDEX(样本到样信息汇总统计!L$2:L$500,MATCH(59,样本到样信息汇总统计!$AA$2:$AA$500,0)),"")</f>
        <v/>
      </c>
      <c r="M60" s="4" t="str">
        <f>IFERROR(INDEX(样本到样信息汇总统计!M$2:M$500,MATCH(59,样本到样信息汇总统计!$AA$2:$AA$500,0)),"")</f>
        <v/>
      </c>
      <c r="N60" s="4" t="str">
        <f>IFERROR(INDEX(样本到样信息汇总统计!N$2:N$500,MATCH(59,样本到样信息汇总统计!$AA$2:$AA$500,0)),"")</f>
        <v/>
      </c>
      <c r="O60" s="4" t="str">
        <f>IFERROR(INDEX(样本到样信息汇总统计!O$2:O$500,MATCH(59,样本到样信息汇总统计!$AA$2:$AA$500,0)),"")</f>
        <v/>
      </c>
      <c r="P60" s="4" t="str">
        <f>IFERROR(INDEX(样本到样信息汇总统计!P$2:P$500,MATCH(59,样本到样信息汇总统计!$AA$2:$AA$500,0)),"")</f>
        <v/>
      </c>
      <c r="Q60" s="4" t="str">
        <f>IFERROR(INDEX(样本到样信息汇总统计!Q$2:Q$500,MATCH(59,样本到样信息汇总统计!$AA$2:$AA$500,0)),"")</f>
        <v/>
      </c>
      <c r="R60" s="4" t="str">
        <f>IFERROR(INDEX(样本到样信息汇总统计!R$2:R$500,MATCH(59,样本到样信息汇总统计!$AA$2:$AA$500,0)),"")</f>
        <v/>
      </c>
      <c r="S60" s="4" t="str">
        <f>IFERROR(INDEX(样本到样信息汇总统计!S$2:S$500,MATCH(59,样本到样信息汇总统计!$AA$2:$AA$500,0)),"")</f>
        <v/>
      </c>
      <c r="T60" s="4" t="str">
        <f>IFERROR(INDEX(样本到样信息汇总统计!T$2:T$500,MATCH(59,样本到样信息汇总统计!$AA$2:$AA$500,0)),"")</f>
        <v/>
      </c>
      <c r="U60" s="4" t="str">
        <f>IFERROR(INDEX(样本到样信息汇总统计!U$2:U$500,MATCH(59,样本到样信息汇总统计!$AA$2:$AA$500,0)),"")</f>
        <v/>
      </c>
      <c r="V60" s="4" t="str">
        <f>IFERROR(INDEX(样本到样信息汇总统计!V$2:V$500,MATCH(59,样本到样信息汇总统计!$AA$2:$AA$500,0)),"")</f>
        <v/>
      </c>
      <c r="W60" s="4" t="str">
        <f>IFERROR(INDEX(样本到样信息汇总统计!W$2:W$500,MATCH(59,样本到样信息汇总统计!$AA$2:$AA$500,0)),"")</f>
        <v/>
      </c>
    </row>
    <row r="61" ht="14.5" spans="1:23">
      <c r="A61" s="8" t="str">
        <f>IFERROR(INDEX(样本到样信息汇总统计!A$2:A$500,MATCH(60,样本到样信息汇总统计!$AA$2:$AA$500,0)),"")</f>
        <v/>
      </c>
      <c r="B61" s="8" t="str">
        <f>IFERROR(INDEX(样本到样信息汇总统计!B$2:B$500,MATCH(60,样本到样信息汇总统计!$AA$2:$AA$500,0)),"")</f>
        <v/>
      </c>
      <c r="C61" s="8" t="str">
        <f>IFERROR(INDEX(样本到样信息汇总统计!C$2:C$500,MATCH(60,样本到样信息汇总统计!$AA$2:$AA$500,0)),"")</f>
        <v/>
      </c>
      <c r="D61" s="8" t="str">
        <f>IFERROR(INDEX(样本到样信息汇总统计!D$2:D$500,MATCH(60,样本到样信息汇总统计!$AA$2:$AA$500,0)),"")</f>
        <v/>
      </c>
      <c r="E61" s="8" t="str">
        <f>IFERROR(INDEX(样本到样信息汇总统计!E$2:E$500,MATCH(60,样本到样信息汇总统计!$AA$2:$AA$500,0)),"")</f>
        <v/>
      </c>
      <c r="F61" s="8" t="str">
        <f>IFERROR(INDEX(样本到样信息汇总统计!F$2:F$500,MATCH(60,样本到样信息汇总统计!$AA$2:$AA$500,0)),"")</f>
        <v/>
      </c>
      <c r="G61" s="8" t="str">
        <f>IFERROR(INDEX(样本到样信息汇总统计!G$2:G$500,MATCH(60,样本到样信息汇总统计!$AA$2:$AA$500,0)),"")</f>
        <v/>
      </c>
      <c r="H61" s="8" t="str">
        <f>IFERROR(INDEX(样本到样信息汇总统计!H$2:H$500,MATCH(60,样本到样信息汇总统计!$AA$2:$AA$500,0)),"")</f>
        <v/>
      </c>
      <c r="I61" s="8" t="str">
        <f>IFERROR(INDEX(样本到样信息汇总统计!I$2:I$500,MATCH(60,样本到样信息汇总统计!$AA$2:$AA$500,0)),"")</f>
        <v/>
      </c>
      <c r="J61" s="8" t="str">
        <f>IFERROR(INDEX(样本到样信息汇总统计!J$2:J$500,MATCH(60,样本到样信息汇总统计!$AA$2:$AA$500,0)),"")</f>
        <v/>
      </c>
      <c r="K61" s="8" t="str">
        <f>IFERROR(INDEX(样本到样信息汇总统计!K$2:K$500,MATCH(60,样本到样信息汇总统计!$AA$2:$AA$500,0)),"")</f>
        <v/>
      </c>
      <c r="L61" s="8" t="str">
        <f>IFERROR(INDEX(样本到样信息汇总统计!L$2:L$500,MATCH(60,样本到样信息汇总统计!$AA$2:$AA$500,0)),"")</f>
        <v/>
      </c>
      <c r="M61" s="8" t="str">
        <f>IFERROR(INDEX(样本到样信息汇总统计!M$2:M$500,MATCH(60,样本到样信息汇总统计!$AA$2:$AA$500,0)),"")</f>
        <v/>
      </c>
      <c r="N61" s="8" t="str">
        <f>IFERROR(INDEX(样本到样信息汇总统计!N$2:N$500,MATCH(60,样本到样信息汇总统计!$AA$2:$AA$500,0)),"")</f>
        <v/>
      </c>
      <c r="O61" s="8" t="str">
        <f>IFERROR(INDEX(样本到样信息汇总统计!O$2:O$500,MATCH(60,样本到样信息汇总统计!$AA$2:$AA$500,0)),"")</f>
        <v/>
      </c>
      <c r="P61" s="8" t="str">
        <f>IFERROR(INDEX(样本到样信息汇总统计!P$2:P$500,MATCH(60,样本到样信息汇总统计!$AA$2:$AA$500,0)),"")</f>
        <v/>
      </c>
      <c r="Q61" s="8" t="str">
        <f>IFERROR(INDEX(样本到样信息汇总统计!Q$2:Q$500,MATCH(60,样本到样信息汇总统计!$AA$2:$AA$500,0)),"")</f>
        <v/>
      </c>
      <c r="R61" s="8" t="str">
        <f>IFERROR(INDEX(样本到样信息汇总统计!R$2:R$500,MATCH(60,样本到样信息汇总统计!$AA$2:$AA$500,0)),"")</f>
        <v/>
      </c>
      <c r="S61" s="8" t="str">
        <f>IFERROR(INDEX(样本到样信息汇总统计!S$2:S$500,MATCH(60,样本到样信息汇总统计!$AA$2:$AA$500,0)),"")</f>
        <v/>
      </c>
      <c r="T61" s="8" t="str">
        <f>IFERROR(INDEX(样本到样信息汇总统计!T$2:T$500,MATCH(60,样本到样信息汇总统计!$AA$2:$AA$500,0)),"")</f>
        <v/>
      </c>
      <c r="U61" s="8" t="str">
        <f>IFERROR(INDEX(样本到样信息汇总统计!U$2:U$500,MATCH(60,样本到样信息汇总统计!$AA$2:$AA$500,0)),"")</f>
        <v/>
      </c>
      <c r="V61" s="8" t="str">
        <f>IFERROR(INDEX(样本到样信息汇总统计!V$2:V$500,MATCH(60,样本到样信息汇总统计!$AA$2:$AA$500,0)),"")</f>
        <v/>
      </c>
      <c r="W61" s="8" t="str">
        <f>IFERROR(INDEX(样本到样信息汇总统计!W$2:W$500,MATCH(60,样本到样信息汇总统计!$AA$2:$AA$500,0)),"")</f>
        <v/>
      </c>
    </row>
    <row r="62" ht="14.5" spans="1:23">
      <c r="A62" s="4" t="str">
        <f>IFERROR(INDEX(样本到样信息汇总统计!A$2:A$500,MATCH(61,样本到样信息汇总统计!$AA$2:$AA$500,0)),"")</f>
        <v/>
      </c>
      <c r="B62" s="4" t="str">
        <f>IFERROR(INDEX(样本到样信息汇总统计!B$2:B$500,MATCH(61,样本到样信息汇总统计!$AA$2:$AA$500,0)),"")</f>
        <v/>
      </c>
      <c r="C62" s="4" t="str">
        <f>IFERROR(INDEX(样本到样信息汇总统计!C$2:C$500,MATCH(61,样本到样信息汇总统计!$AA$2:$AA$500,0)),"")</f>
        <v/>
      </c>
      <c r="D62" s="4" t="str">
        <f>IFERROR(INDEX(样本到样信息汇总统计!D$2:D$500,MATCH(61,样本到样信息汇总统计!$AA$2:$AA$500,0)),"")</f>
        <v/>
      </c>
      <c r="E62" s="4" t="str">
        <f>IFERROR(INDEX(样本到样信息汇总统计!E$2:E$500,MATCH(61,样本到样信息汇总统计!$AA$2:$AA$500,0)),"")</f>
        <v/>
      </c>
      <c r="F62" s="4" t="str">
        <f>IFERROR(INDEX(样本到样信息汇总统计!F$2:F$500,MATCH(61,样本到样信息汇总统计!$AA$2:$AA$500,0)),"")</f>
        <v/>
      </c>
      <c r="G62" s="4" t="str">
        <f>IFERROR(INDEX(样本到样信息汇总统计!G$2:G$500,MATCH(61,样本到样信息汇总统计!$AA$2:$AA$500,0)),"")</f>
        <v/>
      </c>
      <c r="H62" s="4" t="str">
        <f>IFERROR(INDEX(样本到样信息汇总统计!H$2:H$500,MATCH(61,样本到样信息汇总统计!$AA$2:$AA$500,0)),"")</f>
        <v/>
      </c>
      <c r="I62" s="4" t="str">
        <f>IFERROR(INDEX(样本到样信息汇总统计!I$2:I$500,MATCH(61,样本到样信息汇总统计!$AA$2:$AA$500,0)),"")</f>
        <v/>
      </c>
      <c r="J62" s="4" t="str">
        <f>IFERROR(INDEX(样本到样信息汇总统计!J$2:J$500,MATCH(61,样本到样信息汇总统计!$AA$2:$AA$500,0)),"")</f>
        <v/>
      </c>
      <c r="K62" s="4" t="str">
        <f>IFERROR(INDEX(样本到样信息汇总统计!K$2:K$500,MATCH(61,样本到样信息汇总统计!$AA$2:$AA$500,0)),"")</f>
        <v/>
      </c>
      <c r="L62" s="4" t="str">
        <f>IFERROR(INDEX(样本到样信息汇总统计!L$2:L$500,MATCH(61,样本到样信息汇总统计!$AA$2:$AA$500,0)),"")</f>
        <v/>
      </c>
      <c r="M62" s="4" t="str">
        <f>IFERROR(INDEX(样本到样信息汇总统计!M$2:M$500,MATCH(61,样本到样信息汇总统计!$AA$2:$AA$500,0)),"")</f>
        <v/>
      </c>
      <c r="N62" s="4" t="str">
        <f>IFERROR(INDEX(样本到样信息汇总统计!N$2:N$500,MATCH(61,样本到样信息汇总统计!$AA$2:$AA$500,0)),"")</f>
        <v/>
      </c>
      <c r="O62" s="4" t="str">
        <f>IFERROR(INDEX(样本到样信息汇总统计!O$2:O$500,MATCH(61,样本到样信息汇总统计!$AA$2:$AA$500,0)),"")</f>
        <v/>
      </c>
      <c r="P62" s="4" t="str">
        <f>IFERROR(INDEX(样本到样信息汇总统计!P$2:P$500,MATCH(61,样本到样信息汇总统计!$AA$2:$AA$500,0)),"")</f>
        <v/>
      </c>
      <c r="Q62" s="4" t="str">
        <f>IFERROR(INDEX(样本到样信息汇总统计!Q$2:Q$500,MATCH(61,样本到样信息汇总统计!$AA$2:$AA$500,0)),"")</f>
        <v/>
      </c>
      <c r="R62" s="4" t="str">
        <f>IFERROR(INDEX(样本到样信息汇总统计!R$2:R$500,MATCH(61,样本到样信息汇总统计!$AA$2:$AA$500,0)),"")</f>
        <v/>
      </c>
      <c r="S62" s="4" t="str">
        <f>IFERROR(INDEX(样本到样信息汇总统计!S$2:S$500,MATCH(61,样本到样信息汇总统计!$AA$2:$AA$500,0)),"")</f>
        <v/>
      </c>
      <c r="T62" s="4" t="str">
        <f>IFERROR(INDEX(样本到样信息汇总统计!T$2:T$500,MATCH(61,样本到样信息汇总统计!$AA$2:$AA$500,0)),"")</f>
        <v/>
      </c>
      <c r="U62" s="4" t="str">
        <f>IFERROR(INDEX(样本到样信息汇总统计!U$2:U$500,MATCH(61,样本到样信息汇总统计!$AA$2:$AA$500,0)),"")</f>
        <v/>
      </c>
      <c r="V62" s="4" t="str">
        <f>IFERROR(INDEX(样本到样信息汇总统计!V$2:V$500,MATCH(61,样本到样信息汇总统计!$AA$2:$AA$500,0)),"")</f>
        <v/>
      </c>
      <c r="W62" s="4" t="str">
        <f>IFERROR(INDEX(样本到样信息汇总统计!W$2:W$500,MATCH(61,样本到样信息汇总统计!$AA$2:$AA$500,0)),"")</f>
        <v/>
      </c>
    </row>
    <row r="63" ht="14.5" spans="1:23">
      <c r="A63" s="8" t="str">
        <f>IFERROR(INDEX(样本到样信息汇总统计!A$2:A$500,MATCH(62,样本到样信息汇总统计!$AA$2:$AA$500,0)),"")</f>
        <v/>
      </c>
      <c r="B63" s="8" t="str">
        <f>IFERROR(INDEX(样本到样信息汇总统计!B$2:B$500,MATCH(62,样本到样信息汇总统计!$AA$2:$AA$500,0)),"")</f>
        <v/>
      </c>
      <c r="C63" s="8" t="str">
        <f>IFERROR(INDEX(样本到样信息汇总统计!C$2:C$500,MATCH(62,样本到样信息汇总统计!$AA$2:$AA$500,0)),"")</f>
        <v/>
      </c>
      <c r="D63" s="8" t="str">
        <f>IFERROR(INDEX(样本到样信息汇总统计!D$2:D$500,MATCH(62,样本到样信息汇总统计!$AA$2:$AA$500,0)),"")</f>
        <v/>
      </c>
      <c r="E63" s="8" t="str">
        <f>IFERROR(INDEX(样本到样信息汇总统计!E$2:E$500,MATCH(62,样本到样信息汇总统计!$AA$2:$AA$500,0)),"")</f>
        <v/>
      </c>
      <c r="F63" s="8" t="str">
        <f>IFERROR(INDEX(样本到样信息汇总统计!F$2:F$500,MATCH(62,样本到样信息汇总统计!$AA$2:$AA$500,0)),"")</f>
        <v/>
      </c>
      <c r="G63" s="8" t="str">
        <f>IFERROR(INDEX(样本到样信息汇总统计!G$2:G$500,MATCH(62,样本到样信息汇总统计!$AA$2:$AA$500,0)),"")</f>
        <v/>
      </c>
      <c r="H63" s="8" t="str">
        <f>IFERROR(INDEX(样本到样信息汇总统计!H$2:H$500,MATCH(62,样本到样信息汇总统计!$AA$2:$AA$500,0)),"")</f>
        <v/>
      </c>
      <c r="I63" s="8" t="str">
        <f>IFERROR(INDEX(样本到样信息汇总统计!I$2:I$500,MATCH(62,样本到样信息汇总统计!$AA$2:$AA$500,0)),"")</f>
        <v/>
      </c>
      <c r="J63" s="8" t="str">
        <f>IFERROR(INDEX(样本到样信息汇总统计!J$2:J$500,MATCH(62,样本到样信息汇总统计!$AA$2:$AA$500,0)),"")</f>
        <v/>
      </c>
      <c r="K63" s="8" t="str">
        <f>IFERROR(INDEX(样本到样信息汇总统计!K$2:K$500,MATCH(62,样本到样信息汇总统计!$AA$2:$AA$500,0)),"")</f>
        <v/>
      </c>
      <c r="L63" s="8" t="str">
        <f>IFERROR(INDEX(样本到样信息汇总统计!L$2:L$500,MATCH(62,样本到样信息汇总统计!$AA$2:$AA$500,0)),"")</f>
        <v/>
      </c>
      <c r="M63" s="8" t="str">
        <f>IFERROR(INDEX(样本到样信息汇总统计!M$2:M$500,MATCH(62,样本到样信息汇总统计!$AA$2:$AA$500,0)),"")</f>
        <v/>
      </c>
      <c r="N63" s="8" t="str">
        <f>IFERROR(INDEX(样本到样信息汇总统计!N$2:N$500,MATCH(62,样本到样信息汇总统计!$AA$2:$AA$500,0)),"")</f>
        <v/>
      </c>
      <c r="O63" s="8" t="str">
        <f>IFERROR(INDEX(样本到样信息汇总统计!O$2:O$500,MATCH(62,样本到样信息汇总统计!$AA$2:$AA$500,0)),"")</f>
        <v/>
      </c>
      <c r="P63" s="8" t="str">
        <f>IFERROR(INDEX(样本到样信息汇总统计!P$2:P$500,MATCH(62,样本到样信息汇总统计!$AA$2:$AA$500,0)),"")</f>
        <v/>
      </c>
      <c r="Q63" s="8" t="str">
        <f>IFERROR(INDEX(样本到样信息汇总统计!Q$2:Q$500,MATCH(62,样本到样信息汇总统计!$AA$2:$AA$500,0)),"")</f>
        <v/>
      </c>
      <c r="R63" s="8" t="str">
        <f>IFERROR(INDEX(样本到样信息汇总统计!R$2:R$500,MATCH(62,样本到样信息汇总统计!$AA$2:$AA$500,0)),"")</f>
        <v/>
      </c>
      <c r="S63" s="8" t="str">
        <f>IFERROR(INDEX(样本到样信息汇总统计!S$2:S$500,MATCH(62,样本到样信息汇总统计!$AA$2:$AA$500,0)),"")</f>
        <v/>
      </c>
      <c r="T63" s="8" t="str">
        <f>IFERROR(INDEX(样本到样信息汇总统计!T$2:T$500,MATCH(62,样本到样信息汇总统计!$AA$2:$AA$500,0)),"")</f>
        <v/>
      </c>
      <c r="U63" s="8" t="str">
        <f>IFERROR(INDEX(样本到样信息汇总统计!U$2:U$500,MATCH(62,样本到样信息汇总统计!$AA$2:$AA$500,0)),"")</f>
        <v/>
      </c>
      <c r="V63" s="8" t="str">
        <f>IFERROR(INDEX(样本到样信息汇总统计!V$2:V$500,MATCH(62,样本到样信息汇总统计!$AA$2:$AA$500,0)),"")</f>
        <v/>
      </c>
      <c r="W63" s="8" t="str">
        <f>IFERROR(INDEX(样本到样信息汇总统计!W$2:W$500,MATCH(62,样本到样信息汇总统计!$AA$2:$AA$500,0)),"")</f>
        <v/>
      </c>
    </row>
    <row r="64" ht="14.5" spans="1:23">
      <c r="A64" s="4" t="str">
        <f>IFERROR(INDEX(样本到样信息汇总统计!A$2:A$500,MATCH(63,样本到样信息汇总统计!$AA$2:$AA$500,0)),"")</f>
        <v/>
      </c>
      <c r="B64" s="4" t="str">
        <f>IFERROR(INDEX(样本到样信息汇总统计!B$2:B$500,MATCH(63,样本到样信息汇总统计!$AA$2:$AA$500,0)),"")</f>
        <v/>
      </c>
      <c r="C64" s="4" t="str">
        <f>IFERROR(INDEX(样本到样信息汇总统计!C$2:C$500,MATCH(63,样本到样信息汇总统计!$AA$2:$AA$500,0)),"")</f>
        <v/>
      </c>
      <c r="D64" s="4" t="str">
        <f>IFERROR(INDEX(样本到样信息汇总统计!D$2:D$500,MATCH(63,样本到样信息汇总统计!$AA$2:$AA$500,0)),"")</f>
        <v/>
      </c>
      <c r="E64" s="4" t="str">
        <f>IFERROR(INDEX(样本到样信息汇总统计!E$2:E$500,MATCH(63,样本到样信息汇总统计!$AA$2:$AA$500,0)),"")</f>
        <v/>
      </c>
      <c r="F64" s="4" t="str">
        <f>IFERROR(INDEX(样本到样信息汇总统计!F$2:F$500,MATCH(63,样本到样信息汇总统计!$AA$2:$AA$500,0)),"")</f>
        <v/>
      </c>
      <c r="G64" s="4" t="str">
        <f>IFERROR(INDEX(样本到样信息汇总统计!G$2:G$500,MATCH(63,样本到样信息汇总统计!$AA$2:$AA$500,0)),"")</f>
        <v/>
      </c>
      <c r="H64" s="4" t="str">
        <f>IFERROR(INDEX(样本到样信息汇总统计!H$2:H$500,MATCH(63,样本到样信息汇总统计!$AA$2:$AA$500,0)),"")</f>
        <v/>
      </c>
      <c r="I64" s="4" t="str">
        <f>IFERROR(INDEX(样本到样信息汇总统计!I$2:I$500,MATCH(63,样本到样信息汇总统计!$AA$2:$AA$500,0)),"")</f>
        <v/>
      </c>
      <c r="J64" s="4" t="str">
        <f>IFERROR(INDEX(样本到样信息汇总统计!J$2:J$500,MATCH(63,样本到样信息汇总统计!$AA$2:$AA$500,0)),"")</f>
        <v/>
      </c>
      <c r="K64" s="4" t="str">
        <f>IFERROR(INDEX(样本到样信息汇总统计!K$2:K$500,MATCH(63,样本到样信息汇总统计!$AA$2:$AA$500,0)),"")</f>
        <v/>
      </c>
      <c r="L64" s="4" t="str">
        <f>IFERROR(INDEX(样本到样信息汇总统计!L$2:L$500,MATCH(63,样本到样信息汇总统计!$AA$2:$AA$500,0)),"")</f>
        <v/>
      </c>
      <c r="M64" s="4" t="str">
        <f>IFERROR(INDEX(样本到样信息汇总统计!M$2:M$500,MATCH(63,样本到样信息汇总统计!$AA$2:$AA$500,0)),"")</f>
        <v/>
      </c>
      <c r="N64" s="4" t="str">
        <f>IFERROR(INDEX(样本到样信息汇总统计!N$2:N$500,MATCH(63,样本到样信息汇总统计!$AA$2:$AA$500,0)),"")</f>
        <v/>
      </c>
      <c r="O64" s="4" t="str">
        <f>IFERROR(INDEX(样本到样信息汇总统计!O$2:O$500,MATCH(63,样本到样信息汇总统计!$AA$2:$AA$500,0)),"")</f>
        <v/>
      </c>
      <c r="P64" s="4" t="str">
        <f>IFERROR(INDEX(样本到样信息汇总统计!P$2:P$500,MATCH(63,样本到样信息汇总统计!$AA$2:$AA$500,0)),"")</f>
        <v/>
      </c>
      <c r="Q64" s="4" t="str">
        <f>IFERROR(INDEX(样本到样信息汇总统计!Q$2:Q$500,MATCH(63,样本到样信息汇总统计!$AA$2:$AA$500,0)),"")</f>
        <v/>
      </c>
      <c r="R64" s="4" t="str">
        <f>IFERROR(INDEX(样本到样信息汇总统计!R$2:R$500,MATCH(63,样本到样信息汇总统计!$AA$2:$AA$500,0)),"")</f>
        <v/>
      </c>
      <c r="S64" s="4" t="str">
        <f>IFERROR(INDEX(样本到样信息汇总统计!S$2:S$500,MATCH(63,样本到样信息汇总统计!$AA$2:$AA$500,0)),"")</f>
        <v/>
      </c>
      <c r="T64" s="4" t="str">
        <f>IFERROR(INDEX(样本到样信息汇总统计!T$2:T$500,MATCH(63,样本到样信息汇总统计!$AA$2:$AA$500,0)),"")</f>
        <v/>
      </c>
      <c r="U64" s="4" t="str">
        <f>IFERROR(INDEX(样本到样信息汇总统计!U$2:U$500,MATCH(63,样本到样信息汇总统计!$AA$2:$AA$500,0)),"")</f>
        <v/>
      </c>
      <c r="V64" s="4" t="str">
        <f>IFERROR(INDEX(样本到样信息汇总统计!V$2:V$500,MATCH(63,样本到样信息汇总统计!$AA$2:$AA$500,0)),"")</f>
        <v/>
      </c>
      <c r="W64" s="4" t="str">
        <f>IFERROR(INDEX(样本到样信息汇总统计!W$2:W$500,MATCH(63,样本到样信息汇总统计!$AA$2:$AA$500,0)),"")</f>
        <v/>
      </c>
    </row>
    <row r="65" ht="14.5" spans="1:23">
      <c r="A65" s="8" t="str">
        <f>IFERROR(INDEX(样本到样信息汇总统计!A$2:A$500,MATCH(64,样本到样信息汇总统计!$AA$2:$AA$500,0)),"")</f>
        <v/>
      </c>
      <c r="B65" s="8" t="str">
        <f>IFERROR(INDEX(样本到样信息汇总统计!B$2:B$500,MATCH(64,样本到样信息汇总统计!$AA$2:$AA$500,0)),"")</f>
        <v/>
      </c>
      <c r="C65" s="8" t="str">
        <f>IFERROR(INDEX(样本到样信息汇总统计!C$2:C$500,MATCH(64,样本到样信息汇总统计!$AA$2:$AA$500,0)),"")</f>
        <v/>
      </c>
      <c r="D65" s="8" t="str">
        <f>IFERROR(INDEX(样本到样信息汇总统计!D$2:D$500,MATCH(64,样本到样信息汇总统计!$AA$2:$AA$500,0)),"")</f>
        <v/>
      </c>
      <c r="E65" s="8" t="str">
        <f>IFERROR(INDEX(样本到样信息汇总统计!E$2:E$500,MATCH(64,样本到样信息汇总统计!$AA$2:$AA$500,0)),"")</f>
        <v/>
      </c>
      <c r="F65" s="8" t="str">
        <f>IFERROR(INDEX(样本到样信息汇总统计!F$2:F$500,MATCH(64,样本到样信息汇总统计!$AA$2:$AA$500,0)),"")</f>
        <v/>
      </c>
      <c r="G65" s="8" t="str">
        <f>IFERROR(INDEX(样本到样信息汇总统计!G$2:G$500,MATCH(64,样本到样信息汇总统计!$AA$2:$AA$500,0)),"")</f>
        <v/>
      </c>
      <c r="H65" s="8" t="str">
        <f>IFERROR(INDEX(样本到样信息汇总统计!H$2:H$500,MATCH(64,样本到样信息汇总统计!$AA$2:$AA$500,0)),"")</f>
        <v/>
      </c>
      <c r="I65" s="8" t="str">
        <f>IFERROR(INDEX(样本到样信息汇总统计!I$2:I$500,MATCH(64,样本到样信息汇总统计!$AA$2:$AA$500,0)),"")</f>
        <v/>
      </c>
      <c r="J65" s="8" t="str">
        <f>IFERROR(INDEX(样本到样信息汇总统计!J$2:J$500,MATCH(64,样本到样信息汇总统计!$AA$2:$AA$500,0)),"")</f>
        <v/>
      </c>
      <c r="K65" s="8" t="str">
        <f>IFERROR(INDEX(样本到样信息汇总统计!K$2:K$500,MATCH(64,样本到样信息汇总统计!$AA$2:$AA$500,0)),"")</f>
        <v/>
      </c>
      <c r="L65" s="8" t="str">
        <f>IFERROR(INDEX(样本到样信息汇总统计!L$2:L$500,MATCH(64,样本到样信息汇总统计!$AA$2:$AA$500,0)),"")</f>
        <v/>
      </c>
      <c r="M65" s="8" t="str">
        <f>IFERROR(INDEX(样本到样信息汇总统计!M$2:M$500,MATCH(64,样本到样信息汇总统计!$AA$2:$AA$500,0)),"")</f>
        <v/>
      </c>
      <c r="N65" s="8" t="str">
        <f>IFERROR(INDEX(样本到样信息汇总统计!N$2:N$500,MATCH(64,样本到样信息汇总统计!$AA$2:$AA$500,0)),"")</f>
        <v/>
      </c>
      <c r="O65" s="8" t="str">
        <f>IFERROR(INDEX(样本到样信息汇总统计!O$2:O$500,MATCH(64,样本到样信息汇总统计!$AA$2:$AA$500,0)),"")</f>
        <v/>
      </c>
      <c r="P65" s="8" t="str">
        <f>IFERROR(INDEX(样本到样信息汇总统计!P$2:P$500,MATCH(64,样本到样信息汇总统计!$AA$2:$AA$500,0)),"")</f>
        <v/>
      </c>
      <c r="Q65" s="8" t="str">
        <f>IFERROR(INDEX(样本到样信息汇总统计!Q$2:Q$500,MATCH(64,样本到样信息汇总统计!$AA$2:$AA$500,0)),"")</f>
        <v/>
      </c>
      <c r="R65" s="8" t="str">
        <f>IFERROR(INDEX(样本到样信息汇总统计!R$2:R$500,MATCH(64,样本到样信息汇总统计!$AA$2:$AA$500,0)),"")</f>
        <v/>
      </c>
      <c r="S65" s="8" t="str">
        <f>IFERROR(INDEX(样本到样信息汇总统计!S$2:S$500,MATCH(64,样本到样信息汇总统计!$AA$2:$AA$500,0)),"")</f>
        <v/>
      </c>
      <c r="T65" s="8" t="str">
        <f>IFERROR(INDEX(样本到样信息汇总统计!T$2:T$500,MATCH(64,样本到样信息汇总统计!$AA$2:$AA$500,0)),"")</f>
        <v/>
      </c>
      <c r="U65" s="8" t="str">
        <f>IFERROR(INDEX(样本到样信息汇总统计!U$2:U$500,MATCH(64,样本到样信息汇总统计!$AA$2:$AA$500,0)),"")</f>
        <v/>
      </c>
      <c r="V65" s="8" t="str">
        <f>IFERROR(INDEX(样本到样信息汇总统计!V$2:V$500,MATCH(64,样本到样信息汇总统计!$AA$2:$AA$500,0)),"")</f>
        <v/>
      </c>
      <c r="W65" s="8" t="str">
        <f>IFERROR(INDEX(样本到样信息汇总统计!W$2:W$500,MATCH(64,样本到样信息汇总统计!$AA$2:$AA$500,0)),"")</f>
        <v/>
      </c>
    </row>
    <row r="66" ht="14.5" spans="1:23">
      <c r="A66" s="4" t="str">
        <f>IFERROR(INDEX(样本到样信息汇总统计!A$2:A$500,MATCH(65,样本到样信息汇总统计!$AA$2:$AA$500,0)),"")</f>
        <v/>
      </c>
      <c r="B66" s="4" t="str">
        <f>IFERROR(INDEX(样本到样信息汇总统计!B$2:B$500,MATCH(65,样本到样信息汇总统计!$AA$2:$AA$500,0)),"")</f>
        <v/>
      </c>
      <c r="C66" s="4" t="str">
        <f>IFERROR(INDEX(样本到样信息汇总统计!C$2:C$500,MATCH(65,样本到样信息汇总统计!$AA$2:$AA$500,0)),"")</f>
        <v/>
      </c>
      <c r="D66" s="4" t="str">
        <f>IFERROR(INDEX(样本到样信息汇总统计!D$2:D$500,MATCH(65,样本到样信息汇总统计!$AA$2:$AA$500,0)),"")</f>
        <v/>
      </c>
      <c r="E66" s="4" t="str">
        <f>IFERROR(INDEX(样本到样信息汇总统计!E$2:E$500,MATCH(65,样本到样信息汇总统计!$AA$2:$AA$500,0)),"")</f>
        <v/>
      </c>
      <c r="F66" s="4" t="str">
        <f>IFERROR(INDEX(样本到样信息汇总统计!F$2:F$500,MATCH(65,样本到样信息汇总统计!$AA$2:$AA$500,0)),"")</f>
        <v/>
      </c>
      <c r="G66" s="4" t="str">
        <f>IFERROR(INDEX(样本到样信息汇总统计!G$2:G$500,MATCH(65,样本到样信息汇总统计!$AA$2:$AA$500,0)),"")</f>
        <v/>
      </c>
      <c r="H66" s="4" t="str">
        <f>IFERROR(INDEX(样本到样信息汇总统计!H$2:H$500,MATCH(65,样本到样信息汇总统计!$AA$2:$AA$500,0)),"")</f>
        <v/>
      </c>
      <c r="I66" s="4" t="str">
        <f>IFERROR(INDEX(样本到样信息汇总统计!I$2:I$500,MATCH(65,样本到样信息汇总统计!$AA$2:$AA$500,0)),"")</f>
        <v/>
      </c>
      <c r="J66" s="4" t="str">
        <f>IFERROR(INDEX(样本到样信息汇总统计!J$2:J$500,MATCH(65,样本到样信息汇总统计!$AA$2:$AA$500,0)),"")</f>
        <v/>
      </c>
      <c r="K66" s="4" t="str">
        <f>IFERROR(INDEX(样本到样信息汇总统计!K$2:K$500,MATCH(65,样本到样信息汇总统计!$AA$2:$AA$500,0)),"")</f>
        <v/>
      </c>
      <c r="L66" s="4" t="str">
        <f>IFERROR(INDEX(样本到样信息汇总统计!L$2:L$500,MATCH(65,样本到样信息汇总统计!$AA$2:$AA$500,0)),"")</f>
        <v/>
      </c>
      <c r="M66" s="4" t="str">
        <f>IFERROR(INDEX(样本到样信息汇总统计!M$2:M$500,MATCH(65,样本到样信息汇总统计!$AA$2:$AA$500,0)),"")</f>
        <v/>
      </c>
      <c r="N66" s="4" t="str">
        <f>IFERROR(INDEX(样本到样信息汇总统计!N$2:N$500,MATCH(65,样本到样信息汇总统计!$AA$2:$AA$500,0)),"")</f>
        <v/>
      </c>
      <c r="O66" s="4" t="str">
        <f>IFERROR(INDEX(样本到样信息汇总统计!O$2:O$500,MATCH(65,样本到样信息汇总统计!$AA$2:$AA$500,0)),"")</f>
        <v/>
      </c>
      <c r="P66" s="4" t="str">
        <f>IFERROR(INDEX(样本到样信息汇总统计!P$2:P$500,MATCH(65,样本到样信息汇总统计!$AA$2:$AA$500,0)),"")</f>
        <v/>
      </c>
      <c r="Q66" s="4" t="str">
        <f>IFERROR(INDEX(样本到样信息汇总统计!Q$2:Q$500,MATCH(65,样本到样信息汇总统计!$AA$2:$AA$500,0)),"")</f>
        <v/>
      </c>
      <c r="R66" s="4" t="str">
        <f>IFERROR(INDEX(样本到样信息汇总统计!R$2:R$500,MATCH(65,样本到样信息汇总统计!$AA$2:$AA$500,0)),"")</f>
        <v/>
      </c>
      <c r="S66" s="4" t="str">
        <f>IFERROR(INDEX(样本到样信息汇总统计!S$2:S$500,MATCH(65,样本到样信息汇总统计!$AA$2:$AA$500,0)),"")</f>
        <v/>
      </c>
      <c r="T66" s="4" t="str">
        <f>IFERROR(INDEX(样本到样信息汇总统计!T$2:T$500,MATCH(65,样本到样信息汇总统计!$AA$2:$AA$500,0)),"")</f>
        <v/>
      </c>
      <c r="U66" s="4" t="str">
        <f>IFERROR(INDEX(样本到样信息汇总统计!U$2:U$500,MATCH(65,样本到样信息汇总统计!$AA$2:$AA$500,0)),"")</f>
        <v/>
      </c>
      <c r="V66" s="4" t="str">
        <f>IFERROR(INDEX(样本到样信息汇总统计!V$2:V$500,MATCH(65,样本到样信息汇总统计!$AA$2:$AA$500,0)),"")</f>
        <v/>
      </c>
      <c r="W66" s="4" t="str">
        <f>IFERROR(INDEX(样本到样信息汇总统计!W$2:W$500,MATCH(65,样本到样信息汇总统计!$AA$2:$AA$500,0)),"")</f>
        <v/>
      </c>
    </row>
    <row r="67" ht="14.5" spans="1:23">
      <c r="A67" s="8" t="str">
        <f>IFERROR(INDEX(样本到样信息汇总统计!A$2:A$500,MATCH(66,样本到样信息汇总统计!$AA$2:$AA$500,0)),"")</f>
        <v/>
      </c>
      <c r="B67" s="8" t="str">
        <f>IFERROR(INDEX(样本到样信息汇总统计!B$2:B$500,MATCH(66,样本到样信息汇总统计!$AA$2:$AA$500,0)),"")</f>
        <v/>
      </c>
      <c r="C67" s="8" t="str">
        <f>IFERROR(INDEX(样本到样信息汇总统计!C$2:C$500,MATCH(66,样本到样信息汇总统计!$AA$2:$AA$500,0)),"")</f>
        <v/>
      </c>
      <c r="D67" s="8" t="str">
        <f>IFERROR(INDEX(样本到样信息汇总统计!D$2:D$500,MATCH(66,样本到样信息汇总统计!$AA$2:$AA$500,0)),"")</f>
        <v/>
      </c>
      <c r="E67" s="8" t="str">
        <f>IFERROR(INDEX(样本到样信息汇总统计!E$2:E$500,MATCH(66,样本到样信息汇总统计!$AA$2:$AA$500,0)),"")</f>
        <v/>
      </c>
      <c r="F67" s="8" t="str">
        <f>IFERROR(INDEX(样本到样信息汇总统计!F$2:F$500,MATCH(66,样本到样信息汇总统计!$AA$2:$AA$500,0)),"")</f>
        <v/>
      </c>
      <c r="G67" s="8" t="str">
        <f>IFERROR(INDEX(样本到样信息汇总统计!G$2:G$500,MATCH(66,样本到样信息汇总统计!$AA$2:$AA$500,0)),"")</f>
        <v/>
      </c>
      <c r="H67" s="8" t="str">
        <f>IFERROR(INDEX(样本到样信息汇总统计!H$2:H$500,MATCH(66,样本到样信息汇总统计!$AA$2:$AA$500,0)),"")</f>
        <v/>
      </c>
      <c r="I67" s="8" t="str">
        <f>IFERROR(INDEX(样本到样信息汇总统计!I$2:I$500,MATCH(66,样本到样信息汇总统计!$AA$2:$AA$500,0)),"")</f>
        <v/>
      </c>
      <c r="J67" s="8" t="str">
        <f>IFERROR(INDEX(样本到样信息汇总统计!J$2:J$500,MATCH(66,样本到样信息汇总统计!$AA$2:$AA$500,0)),"")</f>
        <v/>
      </c>
      <c r="K67" s="8" t="str">
        <f>IFERROR(INDEX(样本到样信息汇总统计!K$2:K$500,MATCH(66,样本到样信息汇总统计!$AA$2:$AA$500,0)),"")</f>
        <v/>
      </c>
      <c r="L67" s="8" t="str">
        <f>IFERROR(INDEX(样本到样信息汇总统计!L$2:L$500,MATCH(66,样本到样信息汇总统计!$AA$2:$AA$500,0)),"")</f>
        <v/>
      </c>
      <c r="M67" s="8" t="str">
        <f>IFERROR(INDEX(样本到样信息汇总统计!M$2:M$500,MATCH(66,样本到样信息汇总统计!$AA$2:$AA$500,0)),"")</f>
        <v/>
      </c>
      <c r="N67" s="8" t="str">
        <f>IFERROR(INDEX(样本到样信息汇总统计!N$2:N$500,MATCH(66,样本到样信息汇总统计!$AA$2:$AA$500,0)),"")</f>
        <v/>
      </c>
      <c r="O67" s="8" t="str">
        <f>IFERROR(INDEX(样本到样信息汇总统计!O$2:O$500,MATCH(66,样本到样信息汇总统计!$AA$2:$AA$500,0)),"")</f>
        <v/>
      </c>
      <c r="P67" s="8" t="str">
        <f>IFERROR(INDEX(样本到样信息汇总统计!P$2:P$500,MATCH(66,样本到样信息汇总统计!$AA$2:$AA$500,0)),"")</f>
        <v/>
      </c>
      <c r="Q67" s="8" t="str">
        <f>IFERROR(INDEX(样本到样信息汇总统计!Q$2:Q$500,MATCH(66,样本到样信息汇总统计!$AA$2:$AA$500,0)),"")</f>
        <v/>
      </c>
      <c r="R67" s="8" t="str">
        <f>IFERROR(INDEX(样本到样信息汇总统计!R$2:R$500,MATCH(66,样本到样信息汇总统计!$AA$2:$AA$500,0)),"")</f>
        <v/>
      </c>
      <c r="S67" s="8" t="str">
        <f>IFERROR(INDEX(样本到样信息汇总统计!S$2:S$500,MATCH(66,样本到样信息汇总统计!$AA$2:$AA$500,0)),"")</f>
        <v/>
      </c>
      <c r="T67" s="8" t="str">
        <f>IFERROR(INDEX(样本到样信息汇总统计!T$2:T$500,MATCH(66,样本到样信息汇总统计!$AA$2:$AA$500,0)),"")</f>
        <v/>
      </c>
      <c r="U67" s="8" t="str">
        <f>IFERROR(INDEX(样本到样信息汇总统计!U$2:U$500,MATCH(66,样本到样信息汇总统计!$AA$2:$AA$500,0)),"")</f>
        <v/>
      </c>
      <c r="V67" s="8" t="str">
        <f>IFERROR(INDEX(样本到样信息汇总统计!V$2:V$500,MATCH(66,样本到样信息汇总统计!$AA$2:$AA$500,0)),"")</f>
        <v/>
      </c>
      <c r="W67" s="8" t="str">
        <f>IFERROR(INDEX(样本到样信息汇总统计!W$2:W$500,MATCH(66,样本到样信息汇总统计!$AA$2:$AA$500,0)),"")</f>
        <v/>
      </c>
    </row>
    <row r="68" ht="14.5" spans="1:23">
      <c r="A68" s="4" t="str">
        <f>IFERROR(INDEX(样本到样信息汇总统计!A$2:A$500,MATCH(67,样本到样信息汇总统计!$AA$2:$AA$500,0)),"")</f>
        <v/>
      </c>
      <c r="B68" s="4" t="str">
        <f>IFERROR(INDEX(样本到样信息汇总统计!B$2:B$500,MATCH(67,样本到样信息汇总统计!$AA$2:$AA$500,0)),"")</f>
        <v/>
      </c>
      <c r="C68" s="4" t="str">
        <f>IFERROR(INDEX(样本到样信息汇总统计!C$2:C$500,MATCH(67,样本到样信息汇总统计!$AA$2:$AA$500,0)),"")</f>
        <v/>
      </c>
      <c r="D68" s="4" t="str">
        <f>IFERROR(INDEX(样本到样信息汇总统计!D$2:D$500,MATCH(67,样本到样信息汇总统计!$AA$2:$AA$500,0)),"")</f>
        <v/>
      </c>
      <c r="E68" s="4" t="str">
        <f>IFERROR(INDEX(样本到样信息汇总统计!E$2:E$500,MATCH(67,样本到样信息汇总统计!$AA$2:$AA$500,0)),"")</f>
        <v/>
      </c>
      <c r="F68" s="4" t="str">
        <f>IFERROR(INDEX(样本到样信息汇总统计!F$2:F$500,MATCH(67,样本到样信息汇总统计!$AA$2:$AA$500,0)),"")</f>
        <v/>
      </c>
      <c r="G68" s="4" t="str">
        <f>IFERROR(INDEX(样本到样信息汇总统计!G$2:G$500,MATCH(67,样本到样信息汇总统计!$AA$2:$AA$500,0)),"")</f>
        <v/>
      </c>
      <c r="H68" s="4" t="str">
        <f>IFERROR(INDEX(样本到样信息汇总统计!H$2:H$500,MATCH(67,样本到样信息汇总统计!$AA$2:$AA$500,0)),"")</f>
        <v/>
      </c>
      <c r="I68" s="4" t="str">
        <f>IFERROR(INDEX(样本到样信息汇总统计!I$2:I$500,MATCH(67,样本到样信息汇总统计!$AA$2:$AA$500,0)),"")</f>
        <v/>
      </c>
      <c r="J68" s="4" t="str">
        <f>IFERROR(INDEX(样本到样信息汇总统计!J$2:J$500,MATCH(67,样本到样信息汇总统计!$AA$2:$AA$500,0)),"")</f>
        <v/>
      </c>
      <c r="K68" s="4" t="str">
        <f>IFERROR(INDEX(样本到样信息汇总统计!K$2:K$500,MATCH(67,样本到样信息汇总统计!$AA$2:$AA$500,0)),"")</f>
        <v/>
      </c>
      <c r="L68" s="4" t="str">
        <f>IFERROR(INDEX(样本到样信息汇总统计!L$2:L$500,MATCH(67,样本到样信息汇总统计!$AA$2:$AA$500,0)),"")</f>
        <v/>
      </c>
      <c r="M68" s="4" t="str">
        <f>IFERROR(INDEX(样本到样信息汇总统计!M$2:M$500,MATCH(67,样本到样信息汇总统计!$AA$2:$AA$500,0)),"")</f>
        <v/>
      </c>
      <c r="N68" s="4" t="str">
        <f>IFERROR(INDEX(样本到样信息汇总统计!N$2:N$500,MATCH(67,样本到样信息汇总统计!$AA$2:$AA$500,0)),"")</f>
        <v/>
      </c>
      <c r="O68" s="4" t="str">
        <f>IFERROR(INDEX(样本到样信息汇总统计!O$2:O$500,MATCH(67,样本到样信息汇总统计!$AA$2:$AA$500,0)),"")</f>
        <v/>
      </c>
      <c r="P68" s="4" t="str">
        <f>IFERROR(INDEX(样本到样信息汇总统计!P$2:P$500,MATCH(67,样本到样信息汇总统计!$AA$2:$AA$500,0)),"")</f>
        <v/>
      </c>
      <c r="Q68" s="4" t="str">
        <f>IFERROR(INDEX(样本到样信息汇总统计!Q$2:Q$500,MATCH(67,样本到样信息汇总统计!$AA$2:$AA$500,0)),"")</f>
        <v/>
      </c>
      <c r="R68" s="4" t="str">
        <f>IFERROR(INDEX(样本到样信息汇总统计!R$2:R$500,MATCH(67,样本到样信息汇总统计!$AA$2:$AA$500,0)),"")</f>
        <v/>
      </c>
      <c r="S68" s="4" t="str">
        <f>IFERROR(INDEX(样本到样信息汇总统计!S$2:S$500,MATCH(67,样本到样信息汇总统计!$AA$2:$AA$500,0)),"")</f>
        <v/>
      </c>
      <c r="T68" s="4" t="str">
        <f>IFERROR(INDEX(样本到样信息汇总统计!T$2:T$500,MATCH(67,样本到样信息汇总统计!$AA$2:$AA$500,0)),"")</f>
        <v/>
      </c>
      <c r="U68" s="4" t="str">
        <f>IFERROR(INDEX(样本到样信息汇总统计!U$2:U$500,MATCH(67,样本到样信息汇总统计!$AA$2:$AA$500,0)),"")</f>
        <v/>
      </c>
      <c r="V68" s="4" t="str">
        <f>IFERROR(INDEX(样本到样信息汇总统计!V$2:V$500,MATCH(67,样本到样信息汇总统计!$AA$2:$AA$500,0)),"")</f>
        <v/>
      </c>
      <c r="W68" s="4" t="str">
        <f>IFERROR(INDEX(样本到样信息汇总统计!W$2:W$500,MATCH(67,样本到样信息汇总统计!$AA$2:$AA$500,0)),"")</f>
        <v/>
      </c>
    </row>
    <row r="69" ht="14.5" spans="1:23">
      <c r="A69" s="8" t="str">
        <f>IFERROR(INDEX(样本到样信息汇总统计!A$2:A$500,MATCH(68,样本到样信息汇总统计!$AA$2:$AA$500,0)),"")</f>
        <v/>
      </c>
      <c r="B69" s="8" t="str">
        <f>IFERROR(INDEX(样本到样信息汇总统计!B$2:B$500,MATCH(68,样本到样信息汇总统计!$AA$2:$AA$500,0)),"")</f>
        <v/>
      </c>
      <c r="C69" s="8" t="str">
        <f>IFERROR(INDEX(样本到样信息汇总统计!C$2:C$500,MATCH(68,样本到样信息汇总统计!$AA$2:$AA$500,0)),"")</f>
        <v/>
      </c>
      <c r="D69" s="8" t="str">
        <f>IFERROR(INDEX(样本到样信息汇总统计!D$2:D$500,MATCH(68,样本到样信息汇总统计!$AA$2:$AA$500,0)),"")</f>
        <v/>
      </c>
      <c r="E69" s="8" t="str">
        <f>IFERROR(INDEX(样本到样信息汇总统计!E$2:E$500,MATCH(68,样本到样信息汇总统计!$AA$2:$AA$500,0)),"")</f>
        <v/>
      </c>
      <c r="F69" s="8" t="str">
        <f>IFERROR(INDEX(样本到样信息汇总统计!F$2:F$500,MATCH(68,样本到样信息汇总统计!$AA$2:$AA$500,0)),"")</f>
        <v/>
      </c>
      <c r="G69" s="8" t="str">
        <f>IFERROR(INDEX(样本到样信息汇总统计!G$2:G$500,MATCH(68,样本到样信息汇总统计!$AA$2:$AA$500,0)),"")</f>
        <v/>
      </c>
      <c r="H69" s="8" t="str">
        <f>IFERROR(INDEX(样本到样信息汇总统计!H$2:H$500,MATCH(68,样本到样信息汇总统计!$AA$2:$AA$500,0)),"")</f>
        <v/>
      </c>
      <c r="I69" s="8" t="str">
        <f>IFERROR(INDEX(样本到样信息汇总统计!I$2:I$500,MATCH(68,样本到样信息汇总统计!$AA$2:$AA$500,0)),"")</f>
        <v/>
      </c>
      <c r="J69" s="8" t="str">
        <f>IFERROR(INDEX(样本到样信息汇总统计!J$2:J$500,MATCH(68,样本到样信息汇总统计!$AA$2:$AA$500,0)),"")</f>
        <v/>
      </c>
      <c r="K69" s="8" t="str">
        <f>IFERROR(INDEX(样本到样信息汇总统计!K$2:K$500,MATCH(68,样本到样信息汇总统计!$AA$2:$AA$500,0)),"")</f>
        <v/>
      </c>
      <c r="L69" s="8" t="str">
        <f>IFERROR(INDEX(样本到样信息汇总统计!L$2:L$500,MATCH(68,样本到样信息汇总统计!$AA$2:$AA$500,0)),"")</f>
        <v/>
      </c>
      <c r="M69" s="8" t="str">
        <f>IFERROR(INDEX(样本到样信息汇总统计!M$2:M$500,MATCH(68,样本到样信息汇总统计!$AA$2:$AA$500,0)),"")</f>
        <v/>
      </c>
      <c r="N69" s="8" t="str">
        <f>IFERROR(INDEX(样本到样信息汇总统计!N$2:N$500,MATCH(68,样本到样信息汇总统计!$AA$2:$AA$500,0)),"")</f>
        <v/>
      </c>
      <c r="O69" s="8" t="str">
        <f>IFERROR(INDEX(样本到样信息汇总统计!O$2:O$500,MATCH(68,样本到样信息汇总统计!$AA$2:$AA$500,0)),"")</f>
        <v/>
      </c>
      <c r="P69" s="8" t="str">
        <f>IFERROR(INDEX(样本到样信息汇总统计!P$2:P$500,MATCH(68,样本到样信息汇总统计!$AA$2:$AA$500,0)),"")</f>
        <v/>
      </c>
      <c r="Q69" s="8" t="str">
        <f>IFERROR(INDEX(样本到样信息汇总统计!Q$2:Q$500,MATCH(68,样本到样信息汇总统计!$AA$2:$AA$500,0)),"")</f>
        <v/>
      </c>
      <c r="R69" s="8" t="str">
        <f>IFERROR(INDEX(样本到样信息汇总统计!R$2:R$500,MATCH(68,样本到样信息汇总统计!$AA$2:$AA$500,0)),"")</f>
        <v/>
      </c>
      <c r="S69" s="8" t="str">
        <f>IFERROR(INDEX(样本到样信息汇总统计!S$2:S$500,MATCH(68,样本到样信息汇总统计!$AA$2:$AA$500,0)),"")</f>
        <v/>
      </c>
      <c r="T69" s="8" t="str">
        <f>IFERROR(INDEX(样本到样信息汇总统计!T$2:T$500,MATCH(68,样本到样信息汇总统计!$AA$2:$AA$500,0)),"")</f>
        <v/>
      </c>
      <c r="U69" s="8" t="str">
        <f>IFERROR(INDEX(样本到样信息汇总统计!U$2:U$500,MATCH(68,样本到样信息汇总统计!$AA$2:$AA$500,0)),"")</f>
        <v/>
      </c>
      <c r="V69" s="8" t="str">
        <f>IFERROR(INDEX(样本到样信息汇总统计!V$2:V$500,MATCH(68,样本到样信息汇总统计!$AA$2:$AA$500,0)),"")</f>
        <v/>
      </c>
      <c r="W69" s="8" t="str">
        <f>IFERROR(INDEX(样本到样信息汇总统计!W$2:W$500,MATCH(68,样本到样信息汇总统计!$AA$2:$AA$500,0)),"")</f>
        <v/>
      </c>
    </row>
    <row r="70" ht="14.5" spans="1:23">
      <c r="A70" s="4" t="str">
        <f>IFERROR(INDEX(样本到样信息汇总统计!A$2:A$500,MATCH(69,样本到样信息汇总统计!$AA$2:$AA$500,0)),"")</f>
        <v/>
      </c>
      <c r="B70" s="4" t="str">
        <f>IFERROR(INDEX(样本到样信息汇总统计!B$2:B$500,MATCH(69,样本到样信息汇总统计!$AA$2:$AA$500,0)),"")</f>
        <v/>
      </c>
      <c r="C70" s="4" t="str">
        <f>IFERROR(INDEX(样本到样信息汇总统计!C$2:C$500,MATCH(69,样本到样信息汇总统计!$AA$2:$AA$500,0)),"")</f>
        <v/>
      </c>
      <c r="D70" s="4" t="str">
        <f>IFERROR(INDEX(样本到样信息汇总统计!D$2:D$500,MATCH(69,样本到样信息汇总统计!$AA$2:$AA$500,0)),"")</f>
        <v/>
      </c>
      <c r="E70" s="4" t="str">
        <f>IFERROR(INDEX(样本到样信息汇总统计!E$2:E$500,MATCH(69,样本到样信息汇总统计!$AA$2:$AA$500,0)),"")</f>
        <v/>
      </c>
      <c r="F70" s="4" t="str">
        <f>IFERROR(INDEX(样本到样信息汇总统计!F$2:F$500,MATCH(69,样本到样信息汇总统计!$AA$2:$AA$500,0)),"")</f>
        <v/>
      </c>
      <c r="G70" s="4" t="str">
        <f>IFERROR(INDEX(样本到样信息汇总统计!G$2:G$500,MATCH(69,样本到样信息汇总统计!$AA$2:$AA$500,0)),"")</f>
        <v/>
      </c>
      <c r="H70" s="4" t="str">
        <f>IFERROR(INDEX(样本到样信息汇总统计!H$2:H$500,MATCH(69,样本到样信息汇总统计!$AA$2:$AA$500,0)),"")</f>
        <v/>
      </c>
      <c r="I70" s="4" t="str">
        <f>IFERROR(INDEX(样本到样信息汇总统计!I$2:I$500,MATCH(69,样本到样信息汇总统计!$AA$2:$AA$500,0)),"")</f>
        <v/>
      </c>
      <c r="J70" s="4" t="str">
        <f>IFERROR(INDEX(样本到样信息汇总统计!J$2:J$500,MATCH(69,样本到样信息汇总统计!$AA$2:$AA$500,0)),"")</f>
        <v/>
      </c>
      <c r="K70" s="4" t="str">
        <f>IFERROR(INDEX(样本到样信息汇总统计!K$2:K$500,MATCH(69,样本到样信息汇总统计!$AA$2:$AA$500,0)),"")</f>
        <v/>
      </c>
      <c r="L70" s="4" t="str">
        <f>IFERROR(INDEX(样本到样信息汇总统计!L$2:L$500,MATCH(69,样本到样信息汇总统计!$AA$2:$AA$500,0)),"")</f>
        <v/>
      </c>
      <c r="M70" s="4" t="str">
        <f>IFERROR(INDEX(样本到样信息汇总统计!M$2:M$500,MATCH(69,样本到样信息汇总统计!$AA$2:$AA$500,0)),"")</f>
        <v/>
      </c>
      <c r="N70" s="4" t="str">
        <f>IFERROR(INDEX(样本到样信息汇总统计!N$2:N$500,MATCH(69,样本到样信息汇总统计!$AA$2:$AA$500,0)),"")</f>
        <v/>
      </c>
      <c r="O70" s="4" t="str">
        <f>IFERROR(INDEX(样本到样信息汇总统计!O$2:O$500,MATCH(69,样本到样信息汇总统计!$AA$2:$AA$500,0)),"")</f>
        <v/>
      </c>
      <c r="P70" s="4" t="str">
        <f>IFERROR(INDEX(样本到样信息汇总统计!P$2:P$500,MATCH(69,样本到样信息汇总统计!$AA$2:$AA$500,0)),"")</f>
        <v/>
      </c>
      <c r="Q70" s="4" t="str">
        <f>IFERROR(INDEX(样本到样信息汇总统计!Q$2:Q$500,MATCH(69,样本到样信息汇总统计!$AA$2:$AA$500,0)),"")</f>
        <v/>
      </c>
      <c r="R70" s="4" t="str">
        <f>IFERROR(INDEX(样本到样信息汇总统计!R$2:R$500,MATCH(69,样本到样信息汇总统计!$AA$2:$AA$500,0)),"")</f>
        <v/>
      </c>
      <c r="S70" s="4" t="str">
        <f>IFERROR(INDEX(样本到样信息汇总统计!S$2:S$500,MATCH(69,样本到样信息汇总统计!$AA$2:$AA$500,0)),"")</f>
        <v/>
      </c>
      <c r="T70" s="4" t="str">
        <f>IFERROR(INDEX(样本到样信息汇总统计!T$2:T$500,MATCH(69,样本到样信息汇总统计!$AA$2:$AA$500,0)),"")</f>
        <v/>
      </c>
      <c r="U70" s="4" t="str">
        <f>IFERROR(INDEX(样本到样信息汇总统计!U$2:U$500,MATCH(69,样本到样信息汇总统计!$AA$2:$AA$500,0)),"")</f>
        <v/>
      </c>
      <c r="V70" s="4" t="str">
        <f>IFERROR(INDEX(样本到样信息汇总统计!V$2:V$500,MATCH(69,样本到样信息汇总统计!$AA$2:$AA$500,0)),"")</f>
        <v/>
      </c>
      <c r="W70" s="4" t="str">
        <f>IFERROR(INDEX(样本到样信息汇总统计!W$2:W$500,MATCH(69,样本到样信息汇总统计!$AA$2:$AA$500,0)),"")</f>
        <v/>
      </c>
    </row>
    <row r="71" ht="14.5" spans="1:23">
      <c r="A71" s="8" t="str">
        <f>IFERROR(INDEX(样本到样信息汇总统计!A$2:A$500,MATCH(70,样本到样信息汇总统计!$AA$2:$AA$500,0)),"")</f>
        <v/>
      </c>
      <c r="B71" s="8" t="str">
        <f>IFERROR(INDEX(样本到样信息汇总统计!B$2:B$500,MATCH(70,样本到样信息汇总统计!$AA$2:$AA$500,0)),"")</f>
        <v/>
      </c>
      <c r="C71" s="8" t="str">
        <f>IFERROR(INDEX(样本到样信息汇总统计!C$2:C$500,MATCH(70,样本到样信息汇总统计!$AA$2:$AA$500,0)),"")</f>
        <v/>
      </c>
      <c r="D71" s="8" t="str">
        <f>IFERROR(INDEX(样本到样信息汇总统计!D$2:D$500,MATCH(70,样本到样信息汇总统计!$AA$2:$AA$500,0)),"")</f>
        <v/>
      </c>
      <c r="E71" s="8" t="str">
        <f>IFERROR(INDEX(样本到样信息汇总统计!E$2:E$500,MATCH(70,样本到样信息汇总统计!$AA$2:$AA$500,0)),"")</f>
        <v/>
      </c>
      <c r="F71" s="8" t="str">
        <f>IFERROR(INDEX(样本到样信息汇总统计!F$2:F$500,MATCH(70,样本到样信息汇总统计!$AA$2:$AA$500,0)),"")</f>
        <v/>
      </c>
      <c r="G71" s="8" t="str">
        <f>IFERROR(INDEX(样本到样信息汇总统计!G$2:G$500,MATCH(70,样本到样信息汇总统计!$AA$2:$AA$500,0)),"")</f>
        <v/>
      </c>
      <c r="H71" s="8" t="str">
        <f>IFERROR(INDEX(样本到样信息汇总统计!H$2:H$500,MATCH(70,样本到样信息汇总统计!$AA$2:$AA$500,0)),"")</f>
        <v/>
      </c>
      <c r="I71" s="8" t="str">
        <f>IFERROR(INDEX(样本到样信息汇总统计!I$2:I$500,MATCH(70,样本到样信息汇总统计!$AA$2:$AA$500,0)),"")</f>
        <v/>
      </c>
      <c r="J71" s="8" t="str">
        <f>IFERROR(INDEX(样本到样信息汇总统计!J$2:J$500,MATCH(70,样本到样信息汇总统计!$AA$2:$AA$500,0)),"")</f>
        <v/>
      </c>
      <c r="K71" s="8" t="str">
        <f>IFERROR(INDEX(样本到样信息汇总统计!K$2:K$500,MATCH(70,样本到样信息汇总统计!$AA$2:$AA$500,0)),"")</f>
        <v/>
      </c>
      <c r="L71" s="8" t="str">
        <f>IFERROR(INDEX(样本到样信息汇总统计!L$2:L$500,MATCH(70,样本到样信息汇总统计!$AA$2:$AA$500,0)),"")</f>
        <v/>
      </c>
      <c r="M71" s="8" t="str">
        <f>IFERROR(INDEX(样本到样信息汇总统计!M$2:M$500,MATCH(70,样本到样信息汇总统计!$AA$2:$AA$500,0)),"")</f>
        <v/>
      </c>
      <c r="N71" s="8" t="str">
        <f>IFERROR(INDEX(样本到样信息汇总统计!N$2:N$500,MATCH(70,样本到样信息汇总统计!$AA$2:$AA$500,0)),"")</f>
        <v/>
      </c>
      <c r="O71" s="8" t="str">
        <f>IFERROR(INDEX(样本到样信息汇总统计!O$2:O$500,MATCH(70,样本到样信息汇总统计!$AA$2:$AA$500,0)),"")</f>
        <v/>
      </c>
      <c r="P71" s="8" t="str">
        <f>IFERROR(INDEX(样本到样信息汇总统计!P$2:P$500,MATCH(70,样本到样信息汇总统计!$AA$2:$AA$500,0)),"")</f>
        <v/>
      </c>
      <c r="Q71" s="8" t="str">
        <f>IFERROR(INDEX(样本到样信息汇总统计!Q$2:Q$500,MATCH(70,样本到样信息汇总统计!$AA$2:$AA$500,0)),"")</f>
        <v/>
      </c>
      <c r="R71" s="8" t="str">
        <f>IFERROR(INDEX(样本到样信息汇总统计!R$2:R$500,MATCH(70,样本到样信息汇总统计!$AA$2:$AA$500,0)),"")</f>
        <v/>
      </c>
      <c r="S71" s="8" t="str">
        <f>IFERROR(INDEX(样本到样信息汇总统计!S$2:S$500,MATCH(70,样本到样信息汇总统计!$AA$2:$AA$500,0)),"")</f>
        <v/>
      </c>
      <c r="T71" s="8" t="str">
        <f>IFERROR(INDEX(样本到样信息汇总统计!T$2:T$500,MATCH(70,样本到样信息汇总统计!$AA$2:$AA$500,0)),"")</f>
        <v/>
      </c>
      <c r="U71" s="8" t="str">
        <f>IFERROR(INDEX(样本到样信息汇总统计!U$2:U$500,MATCH(70,样本到样信息汇总统计!$AA$2:$AA$500,0)),"")</f>
        <v/>
      </c>
      <c r="V71" s="8" t="str">
        <f>IFERROR(INDEX(样本到样信息汇总统计!V$2:V$500,MATCH(70,样本到样信息汇总统计!$AA$2:$AA$500,0)),"")</f>
        <v/>
      </c>
      <c r="W71" s="8" t="str">
        <f>IFERROR(INDEX(样本到样信息汇总统计!W$2:W$500,MATCH(70,样本到样信息汇总统计!$AA$2:$AA$500,0)),"")</f>
        <v/>
      </c>
    </row>
    <row r="72" ht="14.5" spans="1:23">
      <c r="A72" s="4" t="str">
        <f>IFERROR(INDEX(样本到样信息汇总统计!A$2:A$500,MATCH(71,样本到样信息汇总统计!$AA$2:$AA$500,0)),"")</f>
        <v/>
      </c>
      <c r="B72" s="4" t="str">
        <f>IFERROR(INDEX(样本到样信息汇总统计!B$2:B$500,MATCH(71,样本到样信息汇总统计!$AA$2:$AA$500,0)),"")</f>
        <v/>
      </c>
      <c r="C72" s="4" t="str">
        <f>IFERROR(INDEX(样本到样信息汇总统计!C$2:C$500,MATCH(71,样本到样信息汇总统计!$AA$2:$AA$500,0)),"")</f>
        <v/>
      </c>
      <c r="D72" s="4" t="str">
        <f>IFERROR(INDEX(样本到样信息汇总统计!D$2:D$500,MATCH(71,样本到样信息汇总统计!$AA$2:$AA$500,0)),"")</f>
        <v/>
      </c>
      <c r="E72" s="4" t="str">
        <f>IFERROR(INDEX(样本到样信息汇总统计!E$2:E$500,MATCH(71,样本到样信息汇总统计!$AA$2:$AA$500,0)),"")</f>
        <v/>
      </c>
      <c r="F72" s="4" t="str">
        <f>IFERROR(INDEX(样本到样信息汇总统计!F$2:F$500,MATCH(71,样本到样信息汇总统计!$AA$2:$AA$500,0)),"")</f>
        <v/>
      </c>
      <c r="G72" s="4" t="str">
        <f>IFERROR(INDEX(样本到样信息汇总统计!G$2:G$500,MATCH(71,样本到样信息汇总统计!$AA$2:$AA$500,0)),"")</f>
        <v/>
      </c>
      <c r="H72" s="4" t="str">
        <f>IFERROR(INDEX(样本到样信息汇总统计!H$2:H$500,MATCH(71,样本到样信息汇总统计!$AA$2:$AA$500,0)),"")</f>
        <v/>
      </c>
      <c r="I72" s="4" t="str">
        <f>IFERROR(INDEX(样本到样信息汇总统计!I$2:I$500,MATCH(71,样本到样信息汇总统计!$AA$2:$AA$500,0)),"")</f>
        <v/>
      </c>
      <c r="J72" s="4" t="str">
        <f>IFERROR(INDEX(样本到样信息汇总统计!J$2:J$500,MATCH(71,样本到样信息汇总统计!$AA$2:$AA$500,0)),"")</f>
        <v/>
      </c>
      <c r="K72" s="4" t="str">
        <f>IFERROR(INDEX(样本到样信息汇总统计!K$2:K$500,MATCH(71,样本到样信息汇总统计!$AA$2:$AA$500,0)),"")</f>
        <v/>
      </c>
      <c r="L72" s="4" t="str">
        <f>IFERROR(INDEX(样本到样信息汇总统计!L$2:L$500,MATCH(71,样本到样信息汇总统计!$AA$2:$AA$500,0)),"")</f>
        <v/>
      </c>
      <c r="M72" s="4" t="str">
        <f>IFERROR(INDEX(样本到样信息汇总统计!M$2:M$500,MATCH(71,样本到样信息汇总统计!$AA$2:$AA$500,0)),"")</f>
        <v/>
      </c>
      <c r="N72" s="4" t="str">
        <f>IFERROR(INDEX(样本到样信息汇总统计!N$2:N$500,MATCH(71,样本到样信息汇总统计!$AA$2:$AA$500,0)),"")</f>
        <v/>
      </c>
      <c r="O72" s="4" t="str">
        <f>IFERROR(INDEX(样本到样信息汇总统计!O$2:O$500,MATCH(71,样本到样信息汇总统计!$AA$2:$AA$500,0)),"")</f>
        <v/>
      </c>
      <c r="P72" s="4" t="str">
        <f>IFERROR(INDEX(样本到样信息汇总统计!P$2:P$500,MATCH(71,样本到样信息汇总统计!$AA$2:$AA$500,0)),"")</f>
        <v/>
      </c>
      <c r="Q72" s="4" t="str">
        <f>IFERROR(INDEX(样本到样信息汇总统计!Q$2:Q$500,MATCH(71,样本到样信息汇总统计!$AA$2:$AA$500,0)),"")</f>
        <v/>
      </c>
      <c r="R72" s="4" t="str">
        <f>IFERROR(INDEX(样本到样信息汇总统计!R$2:R$500,MATCH(71,样本到样信息汇总统计!$AA$2:$AA$500,0)),"")</f>
        <v/>
      </c>
      <c r="S72" s="4" t="str">
        <f>IFERROR(INDEX(样本到样信息汇总统计!S$2:S$500,MATCH(71,样本到样信息汇总统计!$AA$2:$AA$500,0)),"")</f>
        <v/>
      </c>
      <c r="T72" s="4" t="str">
        <f>IFERROR(INDEX(样本到样信息汇总统计!T$2:T$500,MATCH(71,样本到样信息汇总统计!$AA$2:$AA$500,0)),"")</f>
        <v/>
      </c>
      <c r="U72" s="4" t="str">
        <f>IFERROR(INDEX(样本到样信息汇总统计!U$2:U$500,MATCH(71,样本到样信息汇总统计!$AA$2:$AA$500,0)),"")</f>
        <v/>
      </c>
      <c r="V72" s="4" t="str">
        <f>IFERROR(INDEX(样本到样信息汇总统计!V$2:V$500,MATCH(71,样本到样信息汇总统计!$AA$2:$AA$500,0)),"")</f>
        <v/>
      </c>
      <c r="W72" s="4" t="str">
        <f>IFERROR(INDEX(样本到样信息汇总统计!W$2:W$500,MATCH(71,样本到样信息汇总统计!$AA$2:$AA$500,0)),"")</f>
        <v/>
      </c>
    </row>
    <row r="73" ht="14.5" spans="1:23">
      <c r="A73" s="8" t="str">
        <f>IFERROR(INDEX(样本到样信息汇总统计!A$2:A$500,MATCH(72,样本到样信息汇总统计!$AA$2:$AA$500,0)),"")</f>
        <v/>
      </c>
      <c r="B73" s="8" t="str">
        <f>IFERROR(INDEX(样本到样信息汇总统计!B$2:B$500,MATCH(72,样本到样信息汇总统计!$AA$2:$AA$500,0)),"")</f>
        <v/>
      </c>
      <c r="C73" s="8" t="str">
        <f>IFERROR(INDEX(样本到样信息汇总统计!C$2:C$500,MATCH(72,样本到样信息汇总统计!$AA$2:$AA$500,0)),"")</f>
        <v/>
      </c>
      <c r="D73" s="8" t="str">
        <f>IFERROR(INDEX(样本到样信息汇总统计!D$2:D$500,MATCH(72,样本到样信息汇总统计!$AA$2:$AA$500,0)),"")</f>
        <v/>
      </c>
      <c r="E73" s="8" t="str">
        <f>IFERROR(INDEX(样本到样信息汇总统计!E$2:E$500,MATCH(72,样本到样信息汇总统计!$AA$2:$AA$500,0)),"")</f>
        <v/>
      </c>
      <c r="F73" s="8" t="str">
        <f>IFERROR(INDEX(样本到样信息汇总统计!F$2:F$500,MATCH(72,样本到样信息汇总统计!$AA$2:$AA$500,0)),"")</f>
        <v/>
      </c>
      <c r="G73" s="8" t="str">
        <f>IFERROR(INDEX(样本到样信息汇总统计!G$2:G$500,MATCH(72,样本到样信息汇总统计!$AA$2:$AA$500,0)),"")</f>
        <v/>
      </c>
      <c r="H73" s="8" t="str">
        <f>IFERROR(INDEX(样本到样信息汇总统计!H$2:H$500,MATCH(72,样本到样信息汇总统计!$AA$2:$AA$500,0)),"")</f>
        <v/>
      </c>
      <c r="I73" s="8" t="str">
        <f>IFERROR(INDEX(样本到样信息汇总统计!I$2:I$500,MATCH(72,样本到样信息汇总统计!$AA$2:$AA$500,0)),"")</f>
        <v/>
      </c>
      <c r="J73" s="8" t="str">
        <f>IFERROR(INDEX(样本到样信息汇总统计!J$2:J$500,MATCH(72,样本到样信息汇总统计!$AA$2:$AA$500,0)),"")</f>
        <v/>
      </c>
      <c r="K73" s="8" t="str">
        <f>IFERROR(INDEX(样本到样信息汇总统计!K$2:K$500,MATCH(72,样本到样信息汇总统计!$AA$2:$AA$500,0)),"")</f>
        <v/>
      </c>
      <c r="L73" s="8" t="str">
        <f>IFERROR(INDEX(样本到样信息汇总统计!L$2:L$500,MATCH(72,样本到样信息汇总统计!$AA$2:$AA$500,0)),"")</f>
        <v/>
      </c>
      <c r="M73" s="8" t="str">
        <f>IFERROR(INDEX(样本到样信息汇总统计!M$2:M$500,MATCH(72,样本到样信息汇总统计!$AA$2:$AA$500,0)),"")</f>
        <v/>
      </c>
      <c r="N73" s="8" t="str">
        <f>IFERROR(INDEX(样本到样信息汇总统计!N$2:N$500,MATCH(72,样本到样信息汇总统计!$AA$2:$AA$500,0)),"")</f>
        <v/>
      </c>
      <c r="O73" s="8" t="str">
        <f>IFERROR(INDEX(样本到样信息汇总统计!O$2:O$500,MATCH(72,样本到样信息汇总统计!$AA$2:$AA$500,0)),"")</f>
        <v/>
      </c>
      <c r="P73" s="8" t="str">
        <f>IFERROR(INDEX(样本到样信息汇总统计!P$2:P$500,MATCH(72,样本到样信息汇总统计!$AA$2:$AA$500,0)),"")</f>
        <v/>
      </c>
      <c r="Q73" s="8" t="str">
        <f>IFERROR(INDEX(样本到样信息汇总统计!Q$2:Q$500,MATCH(72,样本到样信息汇总统计!$AA$2:$AA$500,0)),"")</f>
        <v/>
      </c>
      <c r="R73" s="8" t="str">
        <f>IFERROR(INDEX(样本到样信息汇总统计!R$2:R$500,MATCH(72,样本到样信息汇总统计!$AA$2:$AA$500,0)),"")</f>
        <v/>
      </c>
      <c r="S73" s="8" t="str">
        <f>IFERROR(INDEX(样本到样信息汇总统计!S$2:S$500,MATCH(72,样本到样信息汇总统计!$AA$2:$AA$500,0)),"")</f>
        <v/>
      </c>
      <c r="T73" s="8" t="str">
        <f>IFERROR(INDEX(样本到样信息汇总统计!T$2:T$500,MATCH(72,样本到样信息汇总统计!$AA$2:$AA$500,0)),"")</f>
        <v/>
      </c>
      <c r="U73" s="8" t="str">
        <f>IFERROR(INDEX(样本到样信息汇总统计!U$2:U$500,MATCH(72,样本到样信息汇总统计!$AA$2:$AA$500,0)),"")</f>
        <v/>
      </c>
      <c r="V73" s="8" t="str">
        <f>IFERROR(INDEX(样本到样信息汇总统计!V$2:V$500,MATCH(72,样本到样信息汇总统计!$AA$2:$AA$500,0)),"")</f>
        <v/>
      </c>
      <c r="W73" s="8" t="str">
        <f>IFERROR(INDEX(样本到样信息汇总统计!W$2:W$500,MATCH(72,样本到样信息汇总统计!$AA$2:$AA$500,0)),"")</f>
        <v/>
      </c>
    </row>
    <row r="74" ht="14.5" spans="1:23">
      <c r="A74" s="4" t="str">
        <f>IFERROR(INDEX(样本到样信息汇总统计!A$2:A$500,MATCH(73,样本到样信息汇总统计!$AA$2:$AA$500,0)),"")</f>
        <v/>
      </c>
      <c r="B74" s="4" t="str">
        <f>IFERROR(INDEX(样本到样信息汇总统计!B$2:B$500,MATCH(73,样本到样信息汇总统计!$AA$2:$AA$500,0)),"")</f>
        <v/>
      </c>
      <c r="C74" s="4" t="str">
        <f>IFERROR(INDEX(样本到样信息汇总统计!C$2:C$500,MATCH(73,样本到样信息汇总统计!$AA$2:$AA$500,0)),"")</f>
        <v/>
      </c>
      <c r="D74" s="4" t="str">
        <f>IFERROR(INDEX(样本到样信息汇总统计!D$2:D$500,MATCH(73,样本到样信息汇总统计!$AA$2:$AA$500,0)),"")</f>
        <v/>
      </c>
      <c r="E74" s="4" t="str">
        <f>IFERROR(INDEX(样本到样信息汇总统计!E$2:E$500,MATCH(73,样本到样信息汇总统计!$AA$2:$AA$500,0)),"")</f>
        <v/>
      </c>
      <c r="F74" s="4" t="str">
        <f>IFERROR(INDEX(样本到样信息汇总统计!F$2:F$500,MATCH(73,样本到样信息汇总统计!$AA$2:$AA$500,0)),"")</f>
        <v/>
      </c>
      <c r="G74" s="4" t="str">
        <f>IFERROR(INDEX(样本到样信息汇总统计!G$2:G$500,MATCH(73,样本到样信息汇总统计!$AA$2:$AA$500,0)),"")</f>
        <v/>
      </c>
      <c r="H74" s="4" t="str">
        <f>IFERROR(INDEX(样本到样信息汇总统计!H$2:H$500,MATCH(73,样本到样信息汇总统计!$AA$2:$AA$500,0)),"")</f>
        <v/>
      </c>
      <c r="I74" s="4" t="str">
        <f>IFERROR(INDEX(样本到样信息汇总统计!I$2:I$500,MATCH(73,样本到样信息汇总统计!$AA$2:$AA$500,0)),"")</f>
        <v/>
      </c>
      <c r="J74" s="4" t="str">
        <f>IFERROR(INDEX(样本到样信息汇总统计!J$2:J$500,MATCH(73,样本到样信息汇总统计!$AA$2:$AA$500,0)),"")</f>
        <v/>
      </c>
      <c r="K74" s="4" t="str">
        <f>IFERROR(INDEX(样本到样信息汇总统计!K$2:K$500,MATCH(73,样本到样信息汇总统计!$AA$2:$AA$500,0)),"")</f>
        <v/>
      </c>
      <c r="L74" s="4" t="str">
        <f>IFERROR(INDEX(样本到样信息汇总统计!L$2:L$500,MATCH(73,样本到样信息汇总统计!$AA$2:$AA$500,0)),"")</f>
        <v/>
      </c>
      <c r="M74" s="4" t="str">
        <f>IFERROR(INDEX(样本到样信息汇总统计!M$2:M$500,MATCH(73,样本到样信息汇总统计!$AA$2:$AA$500,0)),"")</f>
        <v/>
      </c>
      <c r="N74" s="4" t="str">
        <f>IFERROR(INDEX(样本到样信息汇总统计!N$2:N$500,MATCH(73,样本到样信息汇总统计!$AA$2:$AA$500,0)),"")</f>
        <v/>
      </c>
      <c r="O74" s="4" t="str">
        <f>IFERROR(INDEX(样本到样信息汇总统计!O$2:O$500,MATCH(73,样本到样信息汇总统计!$AA$2:$AA$500,0)),"")</f>
        <v/>
      </c>
      <c r="P74" s="4" t="str">
        <f>IFERROR(INDEX(样本到样信息汇总统计!P$2:P$500,MATCH(73,样本到样信息汇总统计!$AA$2:$AA$500,0)),"")</f>
        <v/>
      </c>
      <c r="Q74" s="4" t="str">
        <f>IFERROR(INDEX(样本到样信息汇总统计!Q$2:Q$500,MATCH(73,样本到样信息汇总统计!$AA$2:$AA$500,0)),"")</f>
        <v/>
      </c>
      <c r="R74" s="4" t="str">
        <f>IFERROR(INDEX(样本到样信息汇总统计!R$2:R$500,MATCH(73,样本到样信息汇总统计!$AA$2:$AA$500,0)),"")</f>
        <v/>
      </c>
      <c r="S74" s="4" t="str">
        <f>IFERROR(INDEX(样本到样信息汇总统计!S$2:S$500,MATCH(73,样本到样信息汇总统计!$AA$2:$AA$500,0)),"")</f>
        <v/>
      </c>
      <c r="T74" s="4" t="str">
        <f>IFERROR(INDEX(样本到样信息汇总统计!T$2:T$500,MATCH(73,样本到样信息汇总统计!$AA$2:$AA$500,0)),"")</f>
        <v/>
      </c>
      <c r="U74" s="4" t="str">
        <f>IFERROR(INDEX(样本到样信息汇总统计!U$2:U$500,MATCH(73,样本到样信息汇总统计!$AA$2:$AA$500,0)),"")</f>
        <v/>
      </c>
      <c r="V74" s="4" t="str">
        <f>IFERROR(INDEX(样本到样信息汇总统计!V$2:V$500,MATCH(73,样本到样信息汇总统计!$AA$2:$AA$500,0)),"")</f>
        <v/>
      </c>
      <c r="W74" s="4" t="str">
        <f>IFERROR(INDEX(样本到样信息汇总统计!W$2:W$500,MATCH(73,样本到样信息汇总统计!$AA$2:$AA$500,0)),"")</f>
        <v/>
      </c>
    </row>
    <row r="75" ht="14.5" spans="1:23">
      <c r="A75" s="8" t="str">
        <f>IFERROR(INDEX(样本到样信息汇总统计!A$2:A$500,MATCH(74,样本到样信息汇总统计!$AA$2:$AA$500,0)),"")</f>
        <v/>
      </c>
      <c r="B75" s="8" t="str">
        <f>IFERROR(INDEX(样本到样信息汇总统计!B$2:B$500,MATCH(74,样本到样信息汇总统计!$AA$2:$AA$500,0)),"")</f>
        <v/>
      </c>
      <c r="C75" s="8" t="str">
        <f>IFERROR(INDEX(样本到样信息汇总统计!C$2:C$500,MATCH(74,样本到样信息汇总统计!$AA$2:$AA$500,0)),"")</f>
        <v/>
      </c>
      <c r="D75" s="8" t="str">
        <f>IFERROR(INDEX(样本到样信息汇总统计!D$2:D$500,MATCH(74,样本到样信息汇总统计!$AA$2:$AA$500,0)),"")</f>
        <v/>
      </c>
      <c r="E75" s="8" t="str">
        <f>IFERROR(INDEX(样本到样信息汇总统计!E$2:E$500,MATCH(74,样本到样信息汇总统计!$AA$2:$AA$500,0)),"")</f>
        <v/>
      </c>
      <c r="F75" s="8" t="str">
        <f>IFERROR(INDEX(样本到样信息汇总统计!F$2:F$500,MATCH(74,样本到样信息汇总统计!$AA$2:$AA$500,0)),"")</f>
        <v/>
      </c>
      <c r="G75" s="8" t="str">
        <f>IFERROR(INDEX(样本到样信息汇总统计!G$2:G$500,MATCH(74,样本到样信息汇总统计!$AA$2:$AA$500,0)),"")</f>
        <v/>
      </c>
      <c r="H75" s="8" t="str">
        <f>IFERROR(INDEX(样本到样信息汇总统计!H$2:H$500,MATCH(74,样本到样信息汇总统计!$AA$2:$AA$500,0)),"")</f>
        <v/>
      </c>
      <c r="I75" s="8" t="str">
        <f>IFERROR(INDEX(样本到样信息汇总统计!I$2:I$500,MATCH(74,样本到样信息汇总统计!$AA$2:$AA$500,0)),"")</f>
        <v/>
      </c>
      <c r="J75" s="8" t="str">
        <f>IFERROR(INDEX(样本到样信息汇总统计!J$2:J$500,MATCH(74,样本到样信息汇总统计!$AA$2:$AA$500,0)),"")</f>
        <v/>
      </c>
      <c r="K75" s="8" t="str">
        <f>IFERROR(INDEX(样本到样信息汇总统计!K$2:K$500,MATCH(74,样本到样信息汇总统计!$AA$2:$AA$500,0)),"")</f>
        <v/>
      </c>
      <c r="L75" s="8" t="str">
        <f>IFERROR(INDEX(样本到样信息汇总统计!L$2:L$500,MATCH(74,样本到样信息汇总统计!$AA$2:$AA$500,0)),"")</f>
        <v/>
      </c>
      <c r="M75" s="8" t="str">
        <f>IFERROR(INDEX(样本到样信息汇总统计!M$2:M$500,MATCH(74,样本到样信息汇总统计!$AA$2:$AA$500,0)),"")</f>
        <v/>
      </c>
      <c r="N75" s="8" t="str">
        <f>IFERROR(INDEX(样本到样信息汇总统计!N$2:N$500,MATCH(74,样本到样信息汇总统计!$AA$2:$AA$500,0)),"")</f>
        <v/>
      </c>
      <c r="O75" s="8" t="str">
        <f>IFERROR(INDEX(样本到样信息汇总统计!O$2:O$500,MATCH(74,样本到样信息汇总统计!$AA$2:$AA$500,0)),"")</f>
        <v/>
      </c>
      <c r="P75" s="8" t="str">
        <f>IFERROR(INDEX(样本到样信息汇总统计!P$2:P$500,MATCH(74,样本到样信息汇总统计!$AA$2:$AA$500,0)),"")</f>
        <v/>
      </c>
      <c r="Q75" s="8" t="str">
        <f>IFERROR(INDEX(样本到样信息汇总统计!Q$2:Q$500,MATCH(74,样本到样信息汇总统计!$AA$2:$AA$500,0)),"")</f>
        <v/>
      </c>
      <c r="R75" s="8" t="str">
        <f>IFERROR(INDEX(样本到样信息汇总统计!R$2:R$500,MATCH(74,样本到样信息汇总统计!$AA$2:$AA$500,0)),"")</f>
        <v/>
      </c>
      <c r="S75" s="8" t="str">
        <f>IFERROR(INDEX(样本到样信息汇总统计!S$2:S$500,MATCH(74,样本到样信息汇总统计!$AA$2:$AA$500,0)),"")</f>
        <v/>
      </c>
      <c r="T75" s="8" t="str">
        <f>IFERROR(INDEX(样本到样信息汇总统计!T$2:T$500,MATCH(74,样本到样信息汇总统计!$AA$2:$AA$500,0)),"")</f>
        <v/>
      </c>
      <c r="U75" s="8" t="str">
        <f>IFERROR(INDEX(样本到样信息汇总统计!U$2:U$500,MATCH(74,样本到样信息汇总统计!$AA$2:$AA$500,0)),"")</f>
        <v/>
      </c>
      <c r="V75" s="8" t="str">
        <f>IFERROR(INDEX(样本到样信息汇总统计!V$2:V$500,MATCH(74,样本到样信息汇总统计!$AA$2:$AA$500,0)),"")</f>
        <v/>
      </c>
      <c r="W75" s="8" t="str">
        <f>IFERROR(INDEX(样本到样信息汇总统计!W$2:W$500,MATCH(74,样本到样信息汇总统计!$AA$2:$AA$500,0)),"")</f>
        <v/>
      </c>
    </row>
    <row r="76" ht="14.5" spans="1:23">
      <c r="A76" s="4" t="str">
        <f>IFERROR(INDEX(样本到样信息汇总统计!A$2:A$500,MATCH(75,样本到样信息汇总统计!$AA$2:$AA$500,0)),"")</f>
        <v/>
      </c>
      <c r="B76" s="4" t="str">
        <f>IFERROR(INDEX(样本到样信息汇总统计!B$2:B$500,MATCH(75,样本到样信息汇总统计!$AA$2:$AA$500,0)),"")</f>
        <v/>
      </c>
      <c r="C76" s="4" t="str">
        <f>IFERROR(INDEX(样本到样信息汇总统计!C$2:C$500,MATCH(75,样本到样信息汇总统计!$AA$2:$AA$500,0)),"")</f>
        <v/>
      </c>
      <c r="D76" s="4" t="str">
        <f>IFERROR(INDEX(样本到样信息汇总统计!D$2:D$500,MATCH(75,样本到样信息汇总统计!$AA$2:$AA$500,0)),"")</f>
        <v/>
      </c>
      <c r="E76" s="4" t="str">
        <f>IFERROR(INDEX(样本到样信息汇总统计!E$2:E$500,MATCH(75,样本到样信息汇总统计!$AA$2:$AA$500,0)),"")</f>
        <v/>
      </c>
      <c r="F76" s="4" t="str">
        <f>IFERROR(INDEX(样本到样信息汇总统计!F$2:F$500,MATCH(75,样本到样信息汇总统计!$AA$2:$AA$500,0)),"")</f>
        <v/>
      </c>
      <c r="G76" s="4" t="str">
        <f>IFERROR(INDEX(样本到样信息汇总统计!G$2:G$500,MATCH(75,样本到样信息汇总统计!$AA$2:$AA$500,0)),"")</f>
        <v/>
      </c>
      <c r="H76" s="4" t="str">
        <f>IFERROR(INDEX(样本到样信息汇总统计!H$2:H$500,MATCH(75,样本到样信息汇总统计!$AA$2:$AA$500,0)),"")</f>
        <v/>
      </c>
      <c r="I76" s="4" t="str">
        <f>IFERROR(INDEX(样本到样信息汇总统计!I$2:I$500,MATCH(75,样本到样信息汇总统计!$AA$2:$AA$500,0)),"")</f>
        <v/>
      </c>
      <c r="J76" s="4" t="str">
        <f>IFERROR(INDEX(样本到样信息汇总统计!J$2:J$500,MATCH(75,样本到样信息汇总统计!$AA$2:$AA$500,0)),"")</f>
        <v/>
      </c>
      <c r="K76" s="4" t="str">
        <f>IFERROR(INDEX(样本到样信息汇总统计!K$2:K$500,MATCH(75,样本到样信息汇总统计!$AA$2:$AA$500,0)),"")</f>
        <v/>
      </c>
      <c r="L76" s="4" t="str">
        <f>IFERROR(INDEX(样本到样信息汇总统计!L$2:L$500,MATCH(75,样本到样信息汇总统计!$AA$2:$AA$500,0)),"")</f>
        <v/>
      </c>
      <c r="M76" s="4" t="str">
        <f>IFERROR(INDEX(样本到样信息汇总统计!M$2:M$500,MATCH(75,样本到样信息汇总统计!$AA$2:$AA$500,0)),"")</f>
        <v/>
      </c>
      <c r="N76" s="4" t="str">
        <f>IFERROR(INDEX(样本到样信息汇总统计!N$2:N$500,MATCH(75,样本到样信息汇总统计!$AA$2:$AA$500,0)),"")</f>
        <v/>
      </c>
      <c r="O76" s="4" t="str">
        <f>IFERROR(INDEX(样本到样信息汇总统计!O$2:O$500,MATCH(75,样本到样信息汇总统计!$AA$2:$AA$500,0)),"")</f>
        <v/>
      </c>
      <c r="P76" s="4" t="str">
        <f>IFERROR(INDEX(样本到样信息汇总统计!P$2:P$500,MATCH(75,样本到样信息汇总统计!$AA$2:$AA$500,0)),"")</f>
        <v/>
      </c>
      <c r="Q76" s="4" t="str">
        <f>IFERROR(INDEX(样本到样信息汇总统计!Q$2:Q$500,MATCH(75,样本到样信息汇总统计!$AA$2:$AA$500,0)),"")</f>
        <v/>
      </c>
      <c r="R76" s="4" t="str">
        <f>IFERROR(INDEX(样本到样信息汇总统计!R$2:R$500,MATCH(75,样本到样信息汇总统计!$AA$2:$AA$500,0)),"")</f>
        <v/>
      </c>
      <c r="S76" s="4" t="str">
        <f>IFERROR(INDEX(样本到样信息汇总统计!S$2:S$500,MATCH(75,样本到样信息汇总统计!$AA$2:$AA$500,0)),"")</f>
        <v/>
      </c>
      <c r="T76" s="4" t="str">
        <f>IFERROR(INDEX(样本到样信息汇总统计!T$2:T$500,MATCH(75,样本到样信息汇总统计!$AA$2:$AA$500,0)),"")</f>
        <v/>
      </c>
      <c r="U76" s="4" t="str">
        <f>IFERROR(INDEX(样本到样信息汇总统计!U$2:U$500,MATCH(75,样本到样信息汇总统计!$AA$2:$AA$500,0)),"")</f>
        <v/>
      </c>
      <c r="V76" s="4" t="str">
        <f>IFERROR(INDEX(样本到样信息汇总统计!V$2:V$500,MATCH(75,样本到样信息汇总统计!$AA$2:$AA$500,0)),"")</f>
        <v/>
      </c>
      <c r="W76" s="4" t="str">
        <f>IFERROR(INDEX(样本到样信息汇总统计!W$2:W$500,MATCH(75,样本到样信息汇总统计!$AA$2:$AA$500,0)),"")</f>
        <v/>
      </c>
    </row>
    <row r="77" ht="14.5" spans="1:23">
      <c r="A77" s="8" t="str">
        <f>IFERROR(INDEX(样本到样信息汇总统计!A$2:A$500,MATCH(76,样本到样信息汇总统计!$AA$2:$AA$500,0)),"")</f>
        <v/>
      </c>
      <c r="B77" s="8" t="str">
        <f>IFERROR(INDEX(样本到样信息汇总统计!B$2:B$500,MATCH(76,样本到样信息汇总统计!$AA$2:$AA$500,0)),"")</f>
        <v/>
      </c>
      <c r="C77" s="8" t="str">
        <f>IFERROR(INDEX(样本到样信息汇总统计!C$2:C$500,MATCH(76,样本到样信息汇总统计!$AA$2:$AA$500,0)),"")</f>
        <v/>
      </c>
      <c r="D77" s="8" t="str">
        <f>IFERROR(INDEX(样本到样信息汇总统计!D$2:D$500,MATCH(76,样本到样信息汇总统计!$AA$2:$AA$500,0)),"")</f>
        <v/>
      </c>
      <c r="E77" s="8" t="str">
        <f>IFERROR(INDEX(样本到样信息汇总统计!E$2:E$500,MATCH(76,样本到样信息汇总统计!$AA$2:$AA$500,0)),"")</f>
        <v/>
      </c>
      <c r="F77" s="8" t="str">
        <f>IFERROR(INDEX(样本到样信息汇总统计!F$2:F$500,MATCH(76,样本到样信息汇总统计!$AA$2:$AA$500,0)),"")</f>
        <v/>
      </c>
      <c r="G77" s="8" t="str">
        <f>IFERROR(INDEX(样本到样信息汇总统计!G$2:G$500,MATCH(76,样本到样信息汇总统计!$AA$2:$AA$500,0)),"")</f>
        <v/>
      </c>
      <c r="H77" s="8" t="str">
        <f>IFERROR(INDEX(样本到样信息汇总统计!H$2:H$500,MATCH(76,样本到样信息汇总统计!$AA$2:$AA$500,0)),"")</f>
        <v/>
      </c>
      <c r="I77" s="8" t="str">
        <f>IFERROR(INDEX(样本到样信息汇总统计!I$2:I$500,MATCH(76,样本到样信息汇总统计!$AA$2:$AA$500,0)),"")</f>
        <v/>
      </c>
      <c r="J77" s="8" t="str">
        <f>IFERROR(INDEX(样本到样信息汇总统计!J$2:J$500,MATCH(76,样本到样信息汇总统计!$AA$2:$AA$500,0)),"")</f>
        <v/>
      </c>
      <c r="K77" s="8" t="str">
        <f>IFERROR(INDEX(样本到样信息汇总统计!K$2:K$500,MATCH(76,样本到样信息汇总统计!$AA$2:$AA$500,0)),"")</f>
        <v/>
      </c>
      <c r="L77" s="8" t="str">
        <f>IFERROR(INDEX(样本到样信息汇总统计!L$2:L$500,MATCH(76,样本到样信息汇总统计!$AA$2:$AA$500,0)),"")</f>
        <v/>
      </c>
      <c r="M77" s="8" t="str">
        <f>IFERROR(INDEX(样本到样信息汇总统计!M$2:M$500,MATCH(76,样本到样信息汇总统计!$AA$2:$AA$500,0)),"")</f>
        <v/>
      </c>
      <c r="N77" s="8" t="str">
        <f>IFERROR(INDEX(样本到样信息汇总统计!N$2:N$500,MATCH(76,样本到样信息汇总统计!$AA$2:$AA$500,0)),"")</f>
        <v/>
      </c>
      <c r="O77" s="8" t="str">
        <f>IFERROR(INDEX(样本到样信息汇总统计!O$2:O$500,MATCH(76,样本到样信息汇总统计!$AA$2:$AA$500,0)),"")</f>
        <v/>
      </c>
      <c r="P77" s="8" t="str">
        <f>IFERROR(INDEX(样本到样信息汇总统计!P$2:P$500,MATCH(76,样本到样信息汇总统计!$AA$2:$AA$500,0)),"")</f>
        <v/>
      </c>
      <c r="Q77" s="8" t="str">
        <f>IFERROR(INDEX(样本到样信息汇总统计!Q$2:Q$500,MATCH(76,样本到样信息汇总统计!$AA$2:$AA$500,0)),"")</f>
        <v/>
      </c>
      <c r="R77" s="8" t="str">
        <f>IFERROR(INDEX(样本到样信息汇总统计!R$2:R$500,MATCH(76,样本到样信息汇总统计!$AA$2:$AA$500,0)),"")</f>
        <v/>
      </c>
      <c r="S77" s="8" t="str">
        <f>IFERROR(INDEX(样本到样信息汇总统计!S$2:S$500,MATCH(76,样本到样信息汇总统计!$AA$2:$AA$500,0)),"")</f>
        <v/>
      </c>
      <c r="T77" s="8" t="str">
        <f>IFERROR(INDEX(样本到样信息汇总统计!T$2:T$500,MATCH(76,样本到样信息汇总统计!$AA$2:$AA$500,0)),"")</f>
        <v/>
      </c>
      <c r="U77" s="8" t="str">
        <f>IFERROR(INDEX(样本到样信息汇总统计!U$2:U$500,MATCH(76,样本到样信息汇总统计!$AA$2:$AA$500,0)),"")</f>
        <v/>
      </c>
      <c r="V77" s="8" t="str">
        <f>IFERROR(INDEX(样本到样信息汇总统计!V$2:V$500,MATCH(76,样本到样信息汇总统计!$AA$2:$AA$500,0)),"")</f>
        <v/>
      </c>
      <c r="W77" s="8" t="str">
        <f>IFERROR(INDEX(样本到样信息汇总统计!W$2:W$500,MATCH(76,样本到样信息汇总统计!$AA$2:$AA$500,0)),"")</f>
        <v/>
      </c>
    </row>
    <row r="78" ht="14.5" spans="1:23">
      <c r="A78" s="4" t="str">
        <f>IFERROR(INDEX(样本到样信息汇总统计!A$2:A$500,MATCH(77,样本到样信息汇总统计!$AA$2:$AA$500,0)),"")</f>
        <v/>
      </c>
      <c r="B78" s="4" t="str">
        <f>IFERROR(INDEX(样本到样信息汇总统计!B$2:B$500,MATCH(77,样本到样信息汇总统计!$AA$2:$AA$500,0)),"")</f>
        <v/>
      </c>
      <c r="C78" s="4" t="str">
        <f>IFERROR(INDEX(样本到样信息汇总统计!C$2:C$500,MATCH(77,样本到样信息汇总统计!$AA$2:$AA$500,0)),"")</f>
        <v/>
      </c>
      <c r="D78" s="4" t="str">
        <f>IFERROR(INDEX(样本到样信息汇总统计!D$2:D$500,MATCH(77,样本到样信息汇总统计!$AA$2:$AA$500,0)),"")</f>
        <v/>
      </c>
      <c r="E78" s="4" t="str">
        <f>IFERROR(INDEX(样本到样信息汇总统计!E$2:E$500,MATCH(77,样本到样信息汇总统计!$AA$2:$AA$500,0)),"")</f>
        <v/>
      </c>
      <c r="F78" s="4" t="str">
        <f>IFERROR(INDEX(样本到样信息汇总统计!F$2:F$500,MATCH(77,样本到样信息汇总统计!$AA$2:$AA$500,0)),"")</f>
        <v/>
      </c>
      <c r="G78" s="4" t="str">
        <f>IFERROR(INDEX(样本到样信息汇总统计!G$2:G$500,MATCH(77,样本到样信息汇总统计!$AA$2:$AA$500,0)),"")</f>
        <v/>
      </c>
      <c r="H78" s="4" t="str">
        <f>IFERROR(INDEX(样本到样信息汇总统计!H$2:H$500,MATCH(77,样本到样信息汇总统计!$AA$2:$AA$500,0)),"")</f>
        <v/>
      </c>
      <c r="I78" s="4" t="str">
        <f>IFERROR(INDEX(样本到样信息汇总统计!I$2:I$500,MATCH(77,样本到样信息汇总统计!$AA$2:$AA$500,0)),"")</f>
        <v/>
      </c>
      <c r="J78" s="4" t="str">
        <f>IFERROR(INDEX(样本到样信息汇总统计!J$2:J$500,MATCH(77,样本到样信息汇总统计!$AA$2:$AA$500,0)),"")</f>
        <v/>
      </c>
      <c r="K78" s="4" t="str">
        <f>IFERROR(INDEX(样本到样信息汇总统计!K$2:K$500,MATCH(77,样本到样信息汇总统计!$AA$2:$AA$500,0)),"")</f>
        <v/>
      </c>
      <c r="L78" s="4" t="str">
        <f>IFERROR(INDEX(样本到样信息汇总统计!L$2:L$500,MATCH(77,样本到样信息汇总统计!$AA$2:$AA$500,0)),"")</f>
        <v/>
      </c>
      <c r="M78" s="4" t="str">
        <f>IFERROR(INDEX(样本到样信息汇总统计!M$2:M$500,MATCH(77,样本到样信息汇总统计!$AA$2:$AA$500,0)),"")</f>
        <v/>
      </c>
      <c r="N78" s="4" t="str">
        <f>IFERROR(INDEX(样本到样信息汇总统计!N$2:N$500,MATCH(77,样本到样信息汇总统计!$AA$2:$AA$500,0)),"")</f>
        <v/>
      </c>
      <c r="O78" s="4" t="str">
        <f>IFERROR(INDEX(样本到样信息汇总统计!O$2:O$500,MATCH(77,样本到样信息汇总统计!$AA$2:$AA$500,0)),"")</f>
        <v/>
      </c>
      <c r="P78" s="4" t="str">
        <f>IFERROR(INDEX(样本到样信息汇总统计!P$2:P$500,MATCH(77,样本到样信息汇总统计!$AA$2:$AA$500,0)),"")</f>
        <v/>
      </c>
      <c r="Q78" s="4" t="str">
        <f>IFERROR(INDEX(样本到样信息汇总统计!Q$2:Q$500,MATCH(77,样本到样信息汇总统计!$AA$2:$AA$500,0)),"")</f>
        <v/>
      </c>
      <c r="R78" s="4" t="str">
        <f>IFERROR(INDEX(样本到样信息汇总统计!R$2:R$500,MATCH(77,样本到样信息汇总统计!$AA$2:$AA$500,0)),"")</f>
        <v/>
      </c>
      <c r="S78" s="4" t="str">
        <f>IFERROR(INDEX(样本到样信息汇总统计!S$2:S$500,MATCH(77,样本到样信息汇总统计!$AA$2:$AA$500,0)),"")</f>
        <v/>
      </c>
      <c r="T78" s="4" t="str">
        <f>IFERROR(INDEX(样本到样信息汇总统计!T$2:T$500,MATCH(77,样本到样信息汇总统计!$AA$2:$AA$500,0)),"")</f>
        <v/>
      </c>
      <c r="U78" s="4" t="str">
        <f>IFERROR(INDEX(样本到样信息汇总统计!U$2:U$500,MATCH(77,样本到样信息汇总统计!$AA$2:$AA$500,0)),"")</f>
        <v/>
      </c>
      <c r="V78" s="4" t="str">
        <f>IFERROR(INDEX(样本到样信息汇总统计!V$2:V$500,MATCH(77,样本到样信息汇总统计!$AA$2:$AA$500,0)),"")</f>
        <v/>
      </c>
      <c r="W78" s="4" t="str">
        <f>IFERROR(INDEX(样本到样信息汇总统计!W$2:W$500,MATCH(77,样本到样信息汇总统计!$AA$2:$AA$500,0)),"")</f>
        <v/>
      </c>
    </row>
    <row r="79" ht="14.5" spans="1:23">
      <c r="A79" s="8" t="str">
        <f>IFERROR(INDEX(样本到样信息汇总统计!A$2:A$500,MATCH(78,样本到样信息汇总统计!$AA$2:$AA$500,0)),"")</f>
        <v/>
      </c>
      <c r="B79" s="8" t="str">
        <f>IFERROR(INDEX(样本到样信息汇总统计!B$2:B$500,MATCH(78,样本到样信息汇总统计!$AA$2:$AA$500,0)),"")</f>
        <v/>
      </c>
      <c r="C79" s="8" t="str">
        <f>IFERROR(INDEX(样本到样信息汇总统计!C$2:C$500,MATCH(78,样本到样信息汇总统计!$AA$2:$AA$500,0)),"")</f>
        <v/>
      </c>
      <c r="D79" s="8" t="str">
        <f>IFERROR(INDEX(样本到样信息汇总统计!D$2:D$500,MATCH(78,样本到样信息汇总统计!$AA$2:$AA$500,0)),"")</f>
        <v/>
      </c>
      <c r="E79" s="8" t="str">
        <f>IFERROR(INDEX(样本到样信息汇总统计!E$2:E$500,MATCH(78,样本到样信息汇总统计!$AA$2:$AA$500,0)),"")</f>
        <v/>
      </c>
      <c r="F79" s="8" t="str">
        <f>IFERROR(INDEX(样本到样信息汇总统计!F$2:F$500,MATCH(78,样本到样信息汇总统计!$AA$2:$AA$500,0)),"")</f>
        <v/>
      </c>
      <c r="G79" s="8" t="str">
        <f>IFERROR(INDEX(样本到样信息汇总统计!G$2:G$500,MATCH(78,样本到样信息汇总统计!$AA$2:$AA$500,0)),"")</f>
        <v/>
      </c>
      <c r="H79" s="8" t="str">
        <f>IFERROR(INDEX(样本到样信息汇总统计!H$2:H$500,MATCH(78,样本到样信息汇总统计!$AA$2:$AA$500,0)),"")</f>
        <v/>
      </c>
      <c r="I79" s="8" t="str">
        <f>IFERROR(INDEX(样本到样信息汇总统计!I$2:I$500,MATCH(78,样本到样信息汇总统计!$AA$2:$AA$500,0)),"")</f>
        <v/>
      </c>
      <c r="J79" s="8" t="str">
        <f>IFERROR(INDEX(样本到样信息汇总统计!J$2:J$500,MATCH(78,样本到样信息汇总统计!$AA$2:$AA$500,0)),"")</f>
        <v/>
      </c>
      <c r="K79" s="8" t="str">
        <f>IFERROR(INDEX(样本到样信息汇总统计!K$2:K$500,MATCH(78,样本到样信息汇总统计!$AA$2:$AA$500,0)),"")</f>
        <v/>
      </c>
      <c r="L79" s="8" t="str">
        <f>IFERROR(INDEX(样本到样信息汇总统计!L$2:L$500,MATCH(78,样本到样信息汇总统计!$AA$2:$AA$500,0)),"")</f>
        <v/>
      </c>
      <c r="M79" s="8" t="str">
        <f>IFERROR(INDEX(样本到样信息汇总统计!M$2:M$500,MATCH(78,样本到样信息汇总统计!$AA$2:$AA$500,0)),"")</f>
        <v/>
      </c>
      <c r="N79" s="8" t="str">
        <f>IFERROR(INDEX(样本到样信息汇总统计!N$2:N$500,MATCH(78,样本到样信息汇总统计!$AA$2:$AA$500,0)),"")</f>
        <v/>
      </c>
      <c r="O79" s="8" t="str">
        <f>IFERROR(INDEX(样本到样信息汇总统计!O$2:O$500,MATCH(78,样本到样信息汇总统计!$AA$2:$AA$500,0)),"")</f>
        <v/>
      </c>
      <c r="P79" s="8" t="str">
        <f>IFERROR(INDEX(样本到样信息汇总统计!P$2:P$500,MATCH(78,样本到样信息汇总统计!$AA$2:$AA$500,0)),"")</f>
        <v/>
      </c>
      <c r="Q79" s="8" t="str">
        <f>IFERROR(INDEX(样本到样信息汇总统计!Q$2:Q$500,MATCH(78,样本到样信息汇总统计!$AA$2:$AA$500,0)),"")</f>
        <v/>
      </c>
      <c r="R79" s="8" t="str">
        <f>IFERROR(INDEX(样本到样信息汇总统计!R$2:R$500,MATCH(78,样本到样信息汇总统计!$AA$2:$AA$500,0)),"")</f>
        <v/>
      </c>
      <c r="S79" s="8" t="str">
        <f>IFERROR(INDEX(样本到样信息汇总统计!S$2:S$500,MATCH(78,样本到样信息汇总统计!$AA$2:$AA$500,0)),"")</f>
        <v/>
      </c>
      <c r="T79" s="8" t="str">
        <f>IFERROR(INDEX(样本到样信息汇总统计!T$2:T$500,MATCH(78,样本到样信息汇总统计!$AA$2:$AA$500,0)),"")</f>
        <v/>
      </c>
      <c r="U79" s="8" t="str">
        <f>IFERROR(INDEX(样本到样信息汇总统计!U$2:U$500,MATCH(78,样本到样信息汇总统计!$AA$2:$AA$500,0)),"")</f>
        <v/>
      </c>
      <c r="V79" s="8" t="str">
        <f>IFERROR(INDEX(样本到样信息汇总统计!V$2:V$500,MATCH(78,样本到样信息汇总统计!$AA$2:$AA$500,0)),"")</f>
        <v/>
      </c>
      <c r="W79" s="8" t="str">
        <f>IFERROR(INDEX(样本到样信息汇总统计!W$2:W$500,MATCH(78,样本到样信息汇总统计!$AA$2:$AA$500,0)),"")</f>
        <v/>
      </c>
    </row>
    <row r="80" ht="14.5" spans="1:23">
      <c r="A80" s="4" t="str">
        <f>IFERROR(INDEX(样本到样信息汇总统计!A$2:A$500,MATCH(79,样本到样信息汇总统计!$AA$2:$AA$500,0)),"")</f>
        <v/>
      </c>
      <c r="B80" s="4" t="str">
        <f>IFERROR(INDEX(样本到样信息汇总统计!B$2:B$500,MATCH(79,样本到样信息汇总统计!$AA$2:$AA$500,0)),"")</f>
        <v/>
      </c>
      <c r="C80" s="4" t="str">
        <f>IFERROR(INDEX(样本到样信息汇总统计!C$2:C$500,MATCH(79,样本到样信息汇总统计!$AA$2:$AA$500,0)),"")</f>
        <v/>
      </c>
      <c r="D80" s="4" t="str">
        <f>IFERROR(INDEX(样本到样信息汇总统计!D$2:D$500,MATCH(79,样本到样信息汇总统计!$AA$2:$AA$500,0)),"")</f>
        <v/>
      </c>
      <c r="E80" s="4" t="str">
        <f>IFERROR(INDEX(样本到样信息汇总统计!E$2:E$500,MATCH(79,样本到样信息汇总统计!$AA$2:$AA$500,0)),"")</f>
        <v/>
      </c>
      <c r="F80" s="4" t="str">
        <f>IFERROR(INDEX(样本到样信息汇总统计!F$2:F$500,MATCH(79,样本到样信息汇总统计!$AA$2:$AA$500,0)),"")</f>
        <v/>
      </c>
      <c r="G80" s="4" t="str">
        <f>IFERROR(INDEX(样本到样信息汇总统计!G$2:G$500,MATCH(79,样本到样信息汇总统计!$AA$2:$AA$500,0)),"")</f>
        <v/>
      </c>
      <c r="H80" s="4" t="str">
        <f>IFERROR(INDEX(样本到样信息汇总统计!H$2:H$500,MATCH(79,样本到样信息汇总统计!$AA$2:$AA$500,0)),"")</f>
        <v/>
      </c>
      <c r="I80" s="4" t="str">
        <f>IFERROR(INDEX(样本到样信息汇总统计!I$2:I$500,MATCH(79,样本到样信息汇总统计!$AA$2:$AA$500,0)),"")</f>
        <v/>
      </c>
      <c r="J80" s="4" t="str">
        <f>IFERROR(INDEX(样本到样信息汇总统计!J$2:J$500,MATCH(79,样本到样信息汇总统计!$AA$2:$AA$500,0)),"")</f>
        <v/>
      </c>
      <c r="K80" s="4" t="str">
        <f>IFERROR(INDEX(样本到样信息汇总统计!K$2:K$500,MATCH(79,样本到样信息汇总统计!$AA$2:$AA$500,0)),"")</f>
        <v/>
      </c>
      <c r="L80" s="4" t="str">
        <f>IFERROR(INDEX(样本到样信息汇总统计!L$2:L$500,MATCH(79,样本到样信息汇总统计!$AA$2:$AA$500,0)),"")</f>
        <v/>
      </c>
      <c r="M80" s="4" t="str">
        <f>IFERROR(INDEX(样本到样信息汇总统计!M$2:M$500,MATCH(79,样本到样信息汇总统计!$AA$2:$AA$500,0)),"")</f>
        <v/>
      </c>
      <c r="N80" s="4" t="str">
        <f>IFERROR(INDEX(样本到样信息汇总统计!N$2:N$500,MATCH(79,样本到样信息汇总统计!$AA$2:$AA$500,0)),"")</f>
        <v/>
      </c>
      <c r="O80" s="4" t="str">
        <f>IFERROR(INDEX(样本到样信息汇总统计!O$2:O$500,MATCH(79,样本到样信息汇总统计!$AA$2:$AA$500,0)),"")</f>
        <v/>
      </c>
      <c r="P80" s="4" t="str">
        <f>IFERROR(INDEX(样本到样信息汇总统计!P$2:P$500,MATCH(79,样本到样信息汇总统计!$AA$2:$AA$500,0)),"")</f>
        <v/>
      </c>
      <c r="Q80" s="4" t="str">
        <f>IFERROR(INDEX(样本到样信息汇总统计!Q$2:Q$500,MATCH(79,样本到样信息汇总统计!$AA$2:$AA$500,0)),"")</f>
        <v/>
      </c>
      <c r="R80" s="4" t="str">
        <f>IFERROR(INDEX(样本到样信息汇总统计!R$2:R$500,MATCH(79,样本到样信息汇总统计!$AA$2:$AA$500,0)),"")</f>
        <v/>
      </c>
      <c r="S80" s="4" t="str">
        <f>IFERROR(INDEX(样本到样信息汇总统计!S$2:S$500,MATCH(79,样本到样信息汇总统计!$AA$2:$AA$500,0)),"")</f>
        <v/>
      </c>
      <c r="T80" s="4" t="str">
        <f>IFERROR(INDEX(样本到样信息汇总统计!T$2:T$500,MATCH(79,样本到样信息汇总统计!$AA$2:$AA$500,0)),"")</f>
        <v/>
      </c>
      <c r="U80" s="4" t="str">
        <f>IFERROR(INDEX(样本到样信息汇总统计!U$2:U$500,MATCH(79,样本到样信息汇总统计!$AA$2:$AA$500,0)),"")</f>
        <v/>
      </c>
      <c r="V80" s="4" t="str">
        <f>IFERROR(INDEX(样本到样信息汇总统计!V$2:V$500,MATCH(79,样本到样信息汇总统计!$AA$2:$AA$500,0)),"")</f>
        <v/>
      </c>
      <c r="W80" s="4" t="str">
        <f>IFERROR(INDEX(样本到样信息汇总统计!W$2:W$500,MATCH(79,样本到样信息汇总统计!$AA$2:$AA$500,0)),"")</f>
        <v/>
      </c>
    </row>
    <row r="81" ht="14.5" spans="1:23">
      <c r="A81" s="8" t="str">
        <f>IFERROR(INDEX(样本到样信息汇总统计!A$2:A$500,MATCH(80,样本到样信息汇总统计!$AA$2:$AA$500,0)),"")</f>
        <v/>
      </c>
      <c r="B81" s="8" t="str">
        <f>IFERROR(INDEX(样本到样信息汇总统计!B$2:B$500,MATCH(80,样本到样信息汇总统计!$AA$2:$AA$500,0)),"")</f>
        <v/>
      </c>
      <c r="C81" s="8" t="str">
        <f>IFERROR(INDEX(样本到样信息汇总统计!C$2:C$500,MATCH(80,样本到样信息汇总统计!$AA$2:$AA$500,0)),"")</f>
        <v/>
      </c>
      <c r="D81" s="8" t="str">
        <f>IFERROR(INDEX(样本到样信息汇总统计!D$2:D$500,MATCH(80,样本到样信息汇总统计!$AA$2:$AA$500,0)),"")</f>
        <v/>
      </c>
      <c r="E81" s="8" t="str">
        <f>IFERROR(INDEX(样本到样信息汇总统计!E$2:E$500,MATCH(80,样本到样信息汇总统计!$AA$2:$AA$500,0)),"")</f>
        <v/>
      </c>
      <c r="F81" s="8" t="str">
        <f>IFERROR(INDEX(样本到样信息汇总统计!F$2:F$500,MATCH(80,样本到样信息汇总统计!$AA$2:$AA$500,0)),"")</f>
        <v/>
      </c>
      <c r="G81" s="8" t="str">
        <f>IFERROR(INDEX(样本到样信息汇总统计!G$2:G$500,MATCH(80,样本到样信息汇总统计!$AA$2:$AA$500,0)),"")</f>
        <v/>
      </c>
      <c r="H81" s="8" t="str">
        <f>IFERROR(INDEX(样本到样信息汇总统计!H$2:H$500,MATCH(80,样本到样信息汇总统计!$AA$2:$AA$500,0)),"")</f>
        <v/>
      </c>
      <c r="I81" s="8" t="str">
        <f>IFERROR(INDEX(样本到样信息汇总统计!I$2:I$500,MATCH(80,样本到样信息汇总统计!$AA$2:$AA$500,0)),"")</f>
        <v/>
      </c>
      <c r="J81" s="8" t="str">
        <f>IFERROR(INDEX(样本到样信息汇总统计!J$2:J$500,MATCH(80,样本到样信息汇总统计!$AA$2:$AA$500,0)),"")</f>
        <v/>
      </c>
      <c r="K81" s="8" t="str">
        <f>IFERROR(INDEX(样本到样信息汇总统计!K$2:K$500,MATCH(80,样本到样信息汇总统计!$AA$2:$AA$500,0)),"")</f>
        <v/>
      </c>
      <c r="L81" s="8" t="str">
        <f>IFERROR(INDEX(样本到样信息汇总统计!L$2:L$500,MATCH(80,样本到样信息汇总统计!$AA$2:$AA$500,0)),"")</f>
        <v/>
      </c>
      <c r="M81" s="8" t="str">
        <f>IFERROR(INDEX(样本到样信息汇总统计!M$2:M$500,MATCH(80,样本到样信息汇总统计!$AA$2:$AA$500,0)),"")</f>
        <v/>
      </c>
      <c r="N81" s="8" t="str">
        <f>IFERROR(INDEX(样本到样信息汇总统计!N$2:N$500,MATCH(80,样本到样信息汇总统计!$AA$2:$AA$500,0)),"")</f>
        <v/>
      </c>
      <c r="O81" s="8" t="str">
        <f>IFERROR(INDEX(样本到样信息汇总统计!O$2:O$500,MATCH(80,样本到样信息汇总统计!$AA$2:$AA$500,0)),"")</f>
        <v/>
      </c>
      <c r="P81" s="8" t="str">
        <f>IFERROR(INDEX(样本到样信息汇总统计!P$2:P$500,MATCH(80,样本到样信息汇总统计!$AA$2:$AA$500,0)),"")</f>
        <v/>
      </c>
      <c r="Q81" s="8" t="str">
        <f>IFERROR(INDEX(样本到样信息汇总统计!Q$2:Q$500,MATCH(80,样本到样信息汇总统计!$AA$2:$AA$500,0)),"")</f>
        <v/>
      </c>
      <c r="R81" s="8" t="str">
        <f>IFERROR(INDEX(样本到样信息汇总统计!R$2:R$500,MATCH(80,样本到样信息汇总统计!$AA$2:$AA$500,0)),"")</f>
        <v/>
      </c>
      <c r="S81" s="8" t="str">
        <f>IFERROR(INDEX(样本到样信息汇总统计!S$2:S$500,MATCH(80,样本到样信息汇总统计!$AA$2:$AA$500,0)),"")</f>
        <v/>
      </c>
      <c r="T81" s="8" t="str">
        <f>IFERROR(INDEX(样本到样信息汇总统计!T$2:T$500,MATCH(80,样本到样信息汇总统计!$AA$2:$AA$500,0)),"")</f>
        <v/>
      </c>
      <c r="U81" s="8" t="str">
        <f>IFERROR(INDEX(样本到样信息汇总统计!U$2:U$500,MATCH(80,样本到样信息汇总统计!$AA$2:$AA$500,0)),"")</f>
        <v/>
      </c>
      <c r="V81" s="8" t="str">
        <f>IFERROR(INDEX(样本到样信息汇总统计!V$2:V$500,MATCH(80,样本到样信息汇总统计!$AA$2:$AA$500,0)),"")</f>
        <v/>
      </c>
      <c r="W81" s="8" t="str">
        <f>IFERROR(INDEX(样本到样信息汇总统计!W$2:W$500,MATCH(80,样本到样信息汇总统计!$AA$2:$AA$500,0)),"")</f>
        <v/>
      </c>
    </row>
    <row r="82" ht="14.5" spans="1:23">
      <c r="A82" s="4" t="str">
        <f>IFERROR(INDEX(样本到样信息汇总统计!A$2:A$500,MATCH(81,样本到样信息汇总统计!$AA$2:$AA$500,0)),"")</f>
        <v/>
      </c>
      <c r="B82" s="4" t="str">
        <f>IFERROR(INDEX(样本到样信息汇总统计!B$2:B$500,MATCH(81,样本到样信息汇总统计!$AA$2:$AA$500,0)),"")</f>
        <v/>
      </c>
      <c r="C82" s="4" t="str">
        <f>IFERROR(INDEX(样本到样信息汇总统计!C$2:C$500,MATCH(81,样本到样信息汇总统计!$AA$2:$AA$500,0)),"")</f>
        <v/>
      </c>
      <c r="D82" s="4" t="str">
        <f>IFERROR(INDEX(样本到样信息汇总统计!D$2:D$500,MATCH(81,样本到样信息汇总统计!$AA$2:$AA$500,0)),"")</f>
        <v/>
      </c>
      <c r="E82" s="4" t="str">
        <f>IFERROR(INDEX(样本到样信息汇总统计!E$2:E$500,MATCH(81,样本到样信息汇总统计!$AA$2:$AA$500,0)),"")</f>
        <v/>
      </c>
      <c r="F82" s="4" t="str">
        <f>IFERROR(INDEX(样本到样信息汇总统计!F$2:F$500,MATCH(81,样本到样信息汇总统计!$AA$2:$AA$500,0)),"")</f>
        <v/>
      </c>
      <c r="G82" s="4" t="str">
        <f>IFERROR(INDEX(样本到样信息汇总统计!G$2:G$500,MATCH(81,样本到样信息汇总统计!$AA$2:$AA$500,0)),"")</f>
        <v/>
      </c>
      <c r="H82" s="4" t="str">
        <f>IFERROR(INDEX(样本到样信息汇总统计!H$2:H$500,MATCH(81,样本到样信息汇总统计!$AA$2:$AA$500,0)),"")</f>
        <v/>
      </c>
      <c r="I82" s="4" t="str">
        <f>IFERROR(INDEX(样本到样信息汇总统计!I$2:I$500,MATCH(81,样本到样信息汇总统计!$AA$2:$AA$500,0)),"")</f>
        <v/>
      </c>
      <c r="J82" s="4" t="str">
        <f>IFERROR(INDEX(样本到样信息汇总统计!J$2:J$500,MATCH(81,样本到样信息汇总统计!$AA$2:$AA$500,0)),"")</f>
        <v/>
      </c>
      <c r="K82" s="4" t="str">
        <f>IFERROR(INDEX(样本到样信息汇总统计!K$2:K$500,MATCH(81,样本到样信息汇总统计!$AA$2:$AA$500,0)),"")</f>
        <v/>
      </c>
      <c r="L82" s="4" t="str">
        <f>IFERROR(INDEX(样本到样信息汇总统计!L$2:L$500,MATCH(81,样本到样信息汇总统计!$AA$2:$AA$500,0)),"")</f>
        <v/>
      </c>
      <c r="M82" s="4" t="str">
        <f>IFERROR(INDEX(样本到样信息汇总统计!M$2:M$500,MATCH(81,样本到样信息汇总统计!$AA$2:$AA$500,0)),"")</f>
        <v/>
      </c>
      <c r="N82" s="4" t="str">
        <f>IFERROR(INDEX(样本到样信息汇总统计!N$2:N$500,MATCH(81,样本到样信息汇总统计!$AA$2:$AA$500,0)),"")</f>
        <v/>
      </c>
      <c r="O82" s="4" t="str">
        <f>IFERROR(INDEX(样本到样信息汇总统计!O$2:O$500,MATCH(81,样本到样信息汇总统计!$AA$2:$AA$500,0)),"")</f>
        <v/>
      </c>
      <c r="P82" s="4" t="str">
        <f>IFERROR(INDEX(样本到样信息汇总统计!P$2:P$500,MATCH(81,样本到样信息汇总统计!$AA$2:$AA$500,0)),"")</f>
        <v/>
      </c>
      <c r="Q82" s="4" t="str">
        <f>IFERROR(INDEX(样本到样信息汇总统计!Q$2:Q$500,MATCH(81,样本到样信息汇总统计!$AA$2:$AA$500,0)),"")</f>
        <v/>
      </c>
      <c r="R82" s="4" t="str">
        <f>IFERROR(INDEX(样本到样信息汇总统计!R$2:R$500,MATCH(81,样本到样信息汇总统计!$AA$2:$AA$500,0)),"")</f>
        <v/>
      </c>
      <c r="S82" s="4" t="str">
        <f>IFERROR(INDEX(样本到样信息汇总统计!S$2:S$500,MATCH(81,样本到样信息汇总统计!$AA$2:$AA$500,0)),"")</f>
        <v/>
      </c>
      <c r="T82" s="4" t="str">
        <f>IFERROR(INDEX(样本到样信息汇总统计!T$2:T$500,MATCH(81,样本到样信息汇总统计!$AA$2:$AA$500,0)),"")</f>
        <v/>
      </c>
      <c r="U82" s="4" t="str">
        <f>IFERROR(INDEX(样本到样信息汇总统计!U$2:U$500,MATCH(81,样本到样信息汇总统计!$AA$2:$AA$500,0)),"")</f>
        <v/>
      </c>
      <c r="V82" s="4" t="str">
        <f>IFERROR(INDEX(样本到样信息汇总统计!V$2:V$500,MATCH(81,样本到样信息汇总统计!$AA$2:$AA$500,0)),"")</f>
        <v/>
      </c>
      <c r="W82" s="4" t="str">
        <f>IFERROR(INDEX(样本到样信息汇总统计!W$2:W$500,MATCH(81,样本到样信息汇总统计!$AA$2:$AA$500,0)),"")</f>
        <v/>
      </c>
    </row>
    <row r="83" ht="14.5" spans="1:23">
      <c r="A83" s="8" t="str">
        <f>IFERROR(INDEX(样本到样信息汇总统计!A$2:A$500,MATCH(82,样本到样信息汇总统计!$AA$2:$AA$500,0)),"")</f>
        <v/>
      </c>
      <c r="B83" s="8" t="str">
        <f>IFERROR(INDEX(样本到样信息汇总统计!B$2:B$500,MATCH(82,样本到样信息汇总统计!$AA$2:$AA$500,0)),"")</f>
        <v/>
      </c>
      <c r="C83" s="8" t="str">
        <f>IFERROR(INDEX(样本到样信息汇总统计!C$2:C$500,MATCH(82,样本到样信息汇总统计!$AA$2:$AA$500,0)),"")</f>
        <v/>
      </c>
      <c r="D83" s="8" t="str">
        <f>IFERROR(INDEX(样本到样信息汇总统计!D$2:D$500,MATCH(82,样本到样信息汇总统计!$AA$2:$AA$500,0)),"")</f>
        <v/>
      </c>
      <c r="E83" s="8" t="str">
        <f>IFERROR(INDEX(样本到样信息汇总统计!E$2:E$500,MATCH(82,样本到样信息汇总统计!$AA$2:$AA$500,0)),"")</f>
        <v/>
      </c>
      <c r="F83" s="8" t="str">
        <f>IFERROR(INDEX(样本到样信息汇总统计!F$2:F$500,MATCH(82,样本到样信息汇总统计!$AA$2:$AA$500,0)),"")</f>
        <v/>
      </c>
      <c r="G83" s="8" t="str">
        <f>IFERROR(INDEX(样本到样信息汇总统计!G$2:G$500,MATCH(82,样本到样信息汇总统计!$AA$2:$AA$500,0)),"")</f>
        <v/>
      </c>
      <c r="H83" s="8" t="str">
        <f>IFERROR(INDEX(样本到样信息汇总统计!H$2:H$500,MATCH(82,样本到样信息汇总统计!$AA$2:$AA$500,0)),"")</f>
        <v/>
      </c>
      <c r="I83" s="8" t="str">
        <f>IFERROR(INDEX(样本到样信息汇总统计!I$2:I$500,MATCH(82,样本到样信息汇总统计!$AA$2:$AA$500,0)),"")</f>
        <v/>
      </c>
      <c r="J83" s="8" t="str">
        <f>IFERROR(INDEX(样本到样信息汇总统计!J$2:J$500,MATCH(82,样本到样信息汇总统计!$AA$2:$AA$500,0)),"")</f>
        <v/>
      </c>
      <c r="K83" s="8" t="str">
        <f>IFERROR(INDEX(样本到样信息汇总统计!K$2:K$500,MATCH(82,样本到样信息汇总统计!$AA$2:$AA$500,0)),"")</f>
        <v/>
      </c>
      <c r="L83" s="8" t="str">
        <f>IFERROR(INDEX(样本到样信息汇总统计!L$2:L$500,MATCH(82,样本到样信息汇总统计!$AA$2:$AA$500,0)),"")</f>
        <v/>
      </c>
      <c r="M83" s="8" t="str">
        <f>IFERROR(INDEX(样本到样信息汇总统计!M$2:M$500,MATCH(82,样本到样信息汇总统计!$AA$2:$AA$500,0)),"")</f>
        <v/>
      </c>
      <c r="N83" s="8" t="str">
        <f>IFERROR(INDEX(样本到样信息汇总统计!N$2:N$500,MATCH(82,样本到样信息汇总统计!$AA$2:$AA$500,0)),"")</f>
        <v/>
      </c>
      <c r="O83" s="8" t="str">
        <f>IFERROR(INDEX(样本到样信息汇总统计!O$2:O$500,MATCH(82,样本到样信息汇总统计!$AA$2:$AA$500,0)),"")</f>
        <v/>
      </c>
      <c r="P83" s="8" t="str">
        <f>IFERROR(INDEX(样本到样信息汇总统计!P$2:P$500,MATCH(82,样本到样信息汇总统计!$AA$2:$AA$500,0)),"")</f>
        <v/>
      </c>
      <c r="Q83" s="8" t="str">
        <f>IFERROR(INDEX(样本到样信息汇总统计!Q$2:Q$500,MATCH(82,样本到样信息汇总统计!$AA$2:$AA$500,0)),"")</f>
        <v/>
      </c>
      <c r="R83" s="8" t="str">
        <f>IFERROR(INDEX(样本到样信息汇总统计!R$2:R$500,MATCH(82,样本到样信息汇总统计!$AA$2:$AA$500,0)),"")</f>
        <v/>
      </c>
      <c r="S83" s="8" t="str">
        <f>IFERROR(INDEX(样本到样信息汇总统计!S$2:S$500,MATCH(82,样本到样信息汇总统计!$AA$2:$AA$500,0)),"")</f>
        <v/>
      </c>
      <c r="T83" s="8" t="str">
        <f>IFERROR(INDEX(样本到样信息汇总统计!T$2:T$500,MATCH(82,样本到样信息汇总统计!$AA$2:$AA$500,0)),"")</f>
        <v/>
      </c>
      <c r="U83" s="8" t="str">
        <f>IFERROR(INDEX(样本到样信息汇总统计!U$2:U$500,MATCH(82,样本到样信息汇总统计!$AA$2:$AA$500,0)),"")</f>
        <v/>
      </c>
      <c r="V83" s="8" t="str">
        <f>IFERROR(INDEX(样本到样信息汇总统计!V$2:V$500,MATCH(82,样本到样信息汇总统计!$AA$2:$AA$500,0)),"")</f>
        <v/>
      </c>
      <c r="W83" s="8" t="str">
        <f>IFERROR(INDEX(样本到样信息汇总统计!W$2:W$500,MATCH(82,样本到样信息汇总统计!$AA$2:$AA$500,0)),"")</f>
        <v/>
      </c>
    </row>
    <row r="84" ht="14.5" spans="1:23">
      <c r="A84" s="4" t="str">
        <f>IFERROR(INDEX(样本到样信息汇总统计!A$2:A$500,MATCH(83,样本到样信息汇总统计!$AA$2:$AA$500,0)),"")</f>
        <v/>
      </c>
      <c r="B84" s="4" t="str">
        <f>IFERROR(INDEX(样本到样信息汇总统计!B$2:B$500,MATCH(83,样本到样信息汇总统计!$AA$2:$AA$500,0)),"")</f>
        <v/>
      </c>
      <c r="C84" s="4" t="str">
        <f>IFERROR(INDEX(样本到样信息汇总统计!C$2:C$500,MATCH(83,样本到样信息汇总统计!$AA$2:$AA$500,0)),"")</f>
        <v/>
      </c>
      <c r="D84" s="4" t="str">
        <f>IFERROR(INDEX(样本到样信息汇总统计!D$2:D$500,MATCH(83,样本到样信息汇总统计!$AA$2:$AA$500,0)),"")</f>
        <v/>
      </c>
      <c r="E84" s="4" t="str">
        <f>IFERROR(INDEX(样本到样信息汇总统计!E$2:E$500,MATCH(83,样本到样信息汇总统计!$AA$2:$AA$500,0)),"")</f>
        <v/>
      </c>
      <c r="F84" s="4" t="str">
        <f>IFERROR(INDEX(样本到样信息汇总统计!F$2:F$500,MATCH(83,样本到样信息汇总统计!$AA$2:$AA$500,0)),"")</f>
        <v/>
      </c>
      <c r="G84" s="4" t="str">
        <f>IFERROR(INDEX(样本到样信息汇总统计!G$2:G$500,MATCH(83,样本到样信息汇总统计!$AA$2:$AA$500,0)),"")</f>
        <v/>
      </c>
      <c r="H84" s="4" t="str">
        <f>IFERROR(INDEX(样本到样信息汇总统计!H$2:H$500,MATCH(83,样本到样信息汇总统计!$AA$2:$AA$500,0)),"")</f>
        <v/>
      </c>
      <c r="I84" s="4" t="str">
        <f>IFERROR(INDEX(样本到样信息汇总统计!I$2:I$500,MATCH(83,样本到样信息汇总统计!$AA$2:$AA$500,0)),"")</f>
        <v/>
      </c>
      <c r="J84" s="4" t="str">
        <f>IFERROR(INDEX(样本到样信息汇总统计!J$2:J$500,MATCH(83,样本到样信息汇总统计!$AA$2:$AA$500,0)),"")</f>
        <v/>
      </c>
      <c r="K84" s="4" t="str">
        <f>IFERROR(INDEX(样本到样信息汇总统计!K$2:K$500,MATCH(83,样本到样信息汇总统计!$AA$2:$AA$500,0)),"")</f>
        <v/>
      </c>
      <c r="L84" s="4" t="str">
        <f>IFERROR(INDEX(样本到样信息汇总统计!L$2:L$500,MATCH(83,样本到样信息汇总统计!$AA$2:$AA$500,0)),"")</f>
        <v/>
      </c>
      <c r="M84" s="4" t="str">
        <f>IFERROR(INDEX(样本到样信息汇总统计!M$2:M$500,MATCH(83,样本到样信息汇总统计!$AA$2:$AA$500,0)),"")</f>
        <v/>
      </c>
      <c r="N84" s="4" t="str">
        <f>IFERROR(INDEX(样本到样信息汇总统计!N$2:N$500,MATCH(83,样本到样信息汇总统计!$AA$2:$AA$500,0)),"")</f>
        <v/>
      </c>
      <c r="O84" s="4" t="str">
        <f>IFERROR(INDEX(样本到样信息汇总统计!O$2:O$500,MATCH(83,样本到样信息汇总统计!$AA$2:$AA$500,0)),"")</f>
        <v/>
      </c>
      <c r="P84" s="4" t="str">
        <f>IFERROR(INDEX(样本到样信息汇总统计!P$2:P$500,MATCH(83,样本到样信息汇总统计!$AA$2:$AA$500,0)),"")</f>
        <v/>
      </c>
      <c r="Q84" s="4" t="str">
        <f>IFERROR(INDEX(样本到样信息汇总统计!Q$2:Q$500,MATCH(83,样本到样信息汇总统计!$AA$2:$AA$500,0)),"")</f>
        <v/>
      </c>
      <c r="R84" s="4" t="str">
        <f>IFERROR(INDEX(样本到样信息汇总统计!R$2:R$500,MATCH(83,样本到样信息汇总统计!$AA$2:$AA$500,0)),"")</f>
        <v/>
      </c>
      <c r="S84" s="4" t="str">
        <f>IFERROR(INDEX(样本到样信息汇总统计!S$2:S$500,MATCH(83,样本到样信息汇总统计!$AA$2:$AA$500,0)),"")</f>
        <v/>
      </c>
      <c r="T84" s="4" t="str">
        <f>IFERROR(INDEX(样本到样信息汇总统计!T$2:T$500,MATCH(83,样本到样信息汇总统计!$AA$2:$AA$500,0)),"")</f>
        <v/>
      </c>
      <c r="U84" s="4" t="str">
        <f>IFERROR(INDEX(样本到样信息汇总统计!U$2:U$500,MATCH(83,样本到样信息汇总统计!$AA$2:$AA$500,0)),"")</f>
        <v/>
      </c>
      <c r="V84" s="4" t="str">
        <f>IFERROR(INDEX(样本到样信息汇总统计!V$2:V$500,MATCH(83,样本到样信息汇总统计!$AA$2:$AA$500,0)),"")</f>
        <v/>
      </c>
      <c r="W84" s="4" t="str">
        <f>IFERROR(INDEX(样本到样信息汇总统计!W$2:W$500,MATCH(83,样本到样信息汇总统计!$AA$2:$AA$500,0)),"")</f>
        <v/>
      </c>
    </row>
    <row r="85" ht="14.5" spans="1:23">
      <c r="A85" s="8" t="str">
        <f>IFERROR(INDEX(样本到样信息汇总统计!A$2:A$500,MATCH(84,样本到样信息汇总统计!$AA$2:$AA$500,0)),"")</f>
        <v/>
      </c>
      <c r="B85" s="8" t="str">
        <f>IFERROR(INDEX(样本到样信息汇总统计!B$2:B$500,MATCH(84,样本到样信息汇总统计!$AA$2:$AA$500,0)),"")</f>
        <v/>
      </c>
      <c r="C85" s="8" t="str">
        <f>IFERROR(INDEX(样本到样信息汇总统计!C$2:C$500,MATCH(84,样本到样信息汇总统计!$AA$2:$AA$500,0)),"")</f>
        <v/>
      </c>
      <c r="D85" s="8" t="str">
        <f>IFERROR(INDEX(样本到样信息汇总统计!D$2:D$500,MATCH(84,样本到样信息汇总统计!$AA$2:$AA$500,0)),"")</f>
        <v/>
      </c>
      <c r="E85" s="8" t="str">
        <f>IFERROR(INDEX(样本到样信息汇总统计!E$2:E$500,MATCH(84,样本到样信息汇总统计!$AA$2:$AA$500,0)),"")</f>
        <v/>
      </c>
      <c r="F85" s="8" t="str">
        <f>IFERROR(INDEX(样本到样信息汇总统计!F$2:F$500,MATCH(84,样本到样信息汇总统计!$AA$2:$AA$500,0)),"")</f>
        <v/>
      </c>
      <c r="G85" s="8" t="str">
        <f>IFERROR(INDEX(样本到样信息汇总统计!G$2:G$500,MATCH(84,样本到样信息汇总统计!$AA$2:$AA$500,0)),"")</f>
        <v/>
      </c>
      <c r="H85" s="8" t="str">
        <f>IFERROR(INDEX(样本到样信息汇总统计!H$2:H$500,MATCH(84,样本到样信息汇总统计!$AA$2:$AA$500,0)),"")</f>
        <v/>
      </c>
      <c r="I85" s="8" t="str">
        <f>IFERROR(INDEX(样本到样信息汇总统计!I$2:I$500,MATCH(84,样本到样信息汇总统计!$AA$2:$AA$500,0)),"")</f>
        <v/>
      </c>
      <c r="J85" s="8" t="str">
        <f>IFERROR(INDEX(样本到样信息汇总统计!J$2:J$500,MATCH(84,样本到样信息汇总统计!$AA$2:$AA$500,0)),"")</f>
        <v/>
      </c>
      <c r="K85" s="8" t="str">
        <f>IFERROR(INDEX(样本到样信息汇总统计!K$2:K$500,MATCH(84,样本到样信息汇总统计!$AA$2:$AA$500,0)),"")</f>
        <v/>
      </c>
      <c r="L85" s="8" t="str">
        <f>IFERROR(INDEX(样本到样信息汇总统计!L$2:L$500,MATCH(84,样本到样信息汇总统计!$AA$2:$AA$500,0)),"")</f>
        <v/>
      </c>
      <c r="M85" s="8" t="str">
        <f>IFERROR(INDEX(样本到样信息汇总统计!M$2:M$500,MATCH(84,样本到样信息汇总统计!$AA$2:$AA$500,0)),"")</f>
        <v/>
      </c>
      <c r="N85" s="8" t="str">
        <f>IFERROR(INDEX(样本到样信息汇总统计!N$2:N$500,MATCH(84,样本到样信息汇总统计!$AA$2:$AA$500,0)),"")</f>
        <v/>
      </c>
      <c r="O85" s="8" t="str">
        <f>IFERROR(INDEX(样本到样信息汇总统计!O$2:O$500,MATCH(84,样本到样信息汇总统计!$AA$2:$AA$500,0)),"")</f>
        <v/>
      </c>
      <c r="P85" s="8" t="str">
        <f>IFERROR(INDEX(样本到样信息汇总统计!P$2:P$500,MATCH(84,样本到样信息汇总统计!$AA$2:$AA$500,0)),"")</f>
        <v/>
      </c>
      <c r="Q85" s="8" t="str">
        <f>IFERROR(INDEX(样本到样信息汇总统计!Q$2:Q$500,MATCH(84,样本到样信息汇总统计!$AA$2:$AA$500,0)),"")</f>
        <v/>
      </c>
      <c r="R85" s="8" t="str">
        <f>IFERROR(INDEX(样本到样信息汇总统计!R$2:R$500,MATCH(84,样本到样信息汇总统计!$AA$2:$AA$500,0)),"")</f>
        <v/>
      </c>
      <c r="S85" s="8" t="str">
        <f>IFERROR(INDEX(样本到样信息汇总统计!S$2:S$500,MATCH(84,样本到样信息汇总统计!$AA$2:$AA$500,0)),"")</f>
        <v/>
      </c>
      <c r="T85" s="8" t="str">
        <f>IFERROR(INDEX(样本到样信息汇总统计!T$2:T$500,MATCH(84,样本到样信息汇总统计!$AA$2:$AA$500,0)),"")</f>
        <v/>
      </c>
      <c r="U85" s="8" t="str">
        <f>IFERROR(INDEX(样本到样信息汇总统计!U$2:U$500,MATCH(84,样本到样信息汇总统计!$AA$2:$AA$500,0)),"")</f>
        <v/>
      </c>
      <c r="V85" s="8" t="str">
        <f>IFERROR(INDEX(样本到样信息汇总统计!V$2:V$500,MATCH(84,样本到样信息汇总统计!$AA$2:$AA$500,0)),"")</f>
        <v/>
      </c>
      <c r="W85" s="8" t="str">
        <f>IFERROR(INDEX(样本到样信息汇总统计!W$2:W$500,MATCH(84,样本到样信息汇总统计!$AA$2:$AA$500,0)),"")</f>
        <v/>
      </c>
    </row>
    <row r="86" ht="14.5" spans="1:23">
      <c r="A86" s="4" t="str">
        <f>IFERROR(INDEX(样本到样信息汇总统计!A$2:A$500,MATCH(85,样本到样信息汇总统计!$AA$2:$AA$500,0)),"")</f>
        <v/>
      </c>
      <c r="B86" s="4" t="str">
        <f>IFERROR(INDEX(样本到样信息汇总统计!B$2:B$500,MATCH(85,样本到样信息汇总统计!$AA$2:$AA$500,0)),"")</f>
        <v/>
      </c>
      <c r="C86" s="4" t="str">
        <f>IFERROR(INDEX(样本到样信息汇总统计!C$2:C$500,MATCH(85,样本到样信息汇总统计!$AA$2:$AA$500,0)),"")</f>
        <v/>
      </c>
      <c r="D86" s="4" t="str">
        <f>IFERROR(INDEX(样本到样信息汇总统计!D$2:D$500,MATCH(85,样本到样信息汇总统计!$AA$2:$AA$500,0)),"")</f>
        <v/>
      </c>
      <c r="E86" s="4" t="str">
        <f>IFERROR(INDEX(样本到样信息汇总统计!E$2:E$500,MATCH(85,样本到样信息汇总统计!$AA$2:$AA$500,0)),"")</f>
        <v/>
      </c>
      <c r="F86" s="4" t="str">
        <f>IFERROR(INDEX(样本到样信息汇总统计!F$2:F$500,MATCH(85,样本到样信息汇总统计!$AA$2:$AA$500,0)),"")</f>
        <v/>
      </c>
      <c r="G86" s="4" t="str">
        <f>IFERROR(INDEX(样本到样信息汇总统计!G$2:G$500,MATCH(85,样本到样信息汇总统计!$AA$2:$AA$500,0)),"")</f>
        <v/>
      </c>
      <c r="H86" s="4" t="str">
        <f>IFERROR(INDEX(样本到样信息汇总统计!H$2:H$500,MATCH(85,样本到样信息汇总统计!$AA$2:$AA$500,0)),"")</f>
        <v/>
      </c>
      <c r="I86" s="4" t="str">
        <f>IFERROR(INDEX(样本到样信息汇总统计!I$2:I$500,MATCH(85,样本到样信息汇总统计!$AA$2:$AA$500,0)),"")</f>
        <v/>
      </c>
      <c r="J86" s="4" t="str">
        <f>IFERROR(INDEX(样本到样信息汇总统计!J$2:J$500,MATCH(85,样本到样信息汇总统计!$AA$2:$AA$500,0)),"")</f>
        <v/>
      </c>
      <c r="K86" s="4" t="str">
        <f>IFERROR(INDEX(样本到样信息汇总统计!K$2:K$500,MATCH(85,样本到样信息汇总统计!$AA$2:$AA$500,0)),"")</f>
        <v/>
      </c>
      <c r="L86" s="4" t="str">
        <f>IFERROR(INDEX(样本到样信息汇总统计!L$2:L$500,MATCH(85,样本到样信息汇总统计!$AA$2:$AA$500,0)),"")</f>
        <v/>
      </c>
      <c r="M86" s="4" t="str">
        <f>IFERROR(INDEX(样本到样信息汇总统计!M$2:M$500,MATCH(85,样本到样信息汇总统计!$AA$2:$AA$500,0)),"")</f>
        <v/>
      </c>
      <c r="N86" s="4" t="str">
        <f>IFERROR(INDEX(样本到样信息汇总统计!N$2:N$500,MATCH(85,样本到样信息汇总统计!$AA$2:$AA$500,0)),"")</f>
        <v/>
      </c>
      <c r="O86" s="4" t="str">
        <f>IFERROR(INDEX(样本到样信息汇总统计!O$2:O$500,MATCH(85,样本到样信息汇总统计!$AA$2:$AA$500,0)),"")</f>
        <v/>
      </c>
      <c r="P86" s="4" t="str">
        <f>IFERROR(INDEX(样本到样信息汇总统计!P$2:P$500,MATCH(85,样本到样信息汇总统计!$AA$2:$AA$500,0)),"")</f>
        <v/>
      </c>
      <c r="Q86" s="4" t="str">
        <f>IFERROR(INDEX(样本到样信息汇总统计!Q$2:Q$500,MATCH(85,样本到样信息汇总统计!$AA$2:$AA$500,0)),"")</f>
        <v/>
      </c>
      <c r="R86" s="4" t="str">
        <f>IFERROR(INDEX(样本到样信息汇总统计!R$2:R$500,MATCH(85,样本到样信息汇总统计!$AA$2:$AA$500,0)),"")</f>
        <v/>
      </c>
      <c r="S86" s="4" t="str">
        <f>IFERROR(INDEX(样本到样信息汇总统计!S$2:S$500,MATCH(85,样本到样信息汇总统计!$AA$2:$AA$500,0)),"")</f>
        <v/>
      </c>
      <c r="T86" s="4" t="str">
        <f>IFERROR(INDEX(样本到样信息汇总统计!T$2:T$500,MATCH(85,样本到样信息汇总统计!$AA$2:$AA$500,0)),"")</f>
        <v/>
      </c>
      <c r="U86" s="4" t="str">
        <f>IFERROR(INDEX(样本到样信息汇总统计!U$2:U$500,MATCH(85,样本到样信息汇总统计!$AA$2:$AA$500,0)),"")</f>
        <v/>
      </c>
      <c r="V86" s="4" t="str">
        <f>IFERROR(INDEX(样本到样信息汇总统计!V$2:V$500,MATCH(85,样本到样信息汇总统计!$AA$2:$AA$500,0)),"")</f>
        <v/>
      </c>
      <c r="W86" s="4" t="str">
        <f>IFERROR(INDEX(样本到样信息汇总统计!W$2:W$500,MATCH(85,样本到样信息汇总统计!$AA$2:$AA$500,0)),"")</f>
        <v/>
      </c>
    </row>
    <row r="87" ht="14.5" spans="1:23">
      <c r="A87" s="8" t="str">
        <f>IFERROR(INDEX(样本到样信息汇总统计!A$2:A$500,MATCH(86,样本到样信息汇总统计!$AA$2:$AA$500,0)),"")</f>
        <v/>
      </c>
      <c r="B87" s="8" t="str">
        <f>IFERROR(INDEX(样本到样信息汇总统计!B$2:B$500,MATCH(86,样本到样信息汇总统计!$AA$2:$AA$500,0)),"")</f>
        <v/>
      </c>
      <c r="C87" s="8" t="str">
        <f>IFERROR(INDEX(样本到样信息汇总统计!C$2:C$500,MATCH(86,样本到样信息汇总统计!$AA$2:$AA$500,0)),"")</f>
        <v/>
      </c>
      <c r="D87" s="8" t="str">
        <f>IFERROR(INDEX(样本到样信息汇总统计!D$2:D$500,MATCH(86,样本到样信息汇总统计!$AA$2:$AA$500,0)),"")</f>
        <v/>
      </c>
      <c r="E87" s="8" t="str">
        <f>IFERROR(INDEX(样本到样信息汇总统计!E$2:E$500,MATCH(86,样本到样信息汇总统计!$AA$2:$AA$500,0)),"")</f>
        <v/>
      </c>
      <c r="F87" s="8" t="str">
        <f>IFERROR(INDEX(样本到样信息汇总统计!F$2:F$500,MATCH(86,样本到样信息汇总统计!$AA$2:$AA$500,0)),"")</f>
        <v/>
      </c>
      <c r="G87" s="8" t="str">
        <f>IFERROR(INDEX(样本到样信息汇总统计!G$2:G$500,MATCH(86,样本到样信息汇总统计!$AA$2:$AA$500,0)),"")</f>
        <v/>
      </c>
      <c r="H87" s="8" t="str">
        <f>IFERROR(INDEX(样本到样信息汇总统计!H$2:H$500,MATCH(86,样本到样信息汇总统计!$AA$2:$AA$500,0)),"")</f>
        <v/>
      </c>
      <c r="I87" s="8" t="str">
        <f>IFERROR(INDEX(样本到样信息汇总统计!I$2:I$500,MATCH(86,样本到样信息汇总统计!$AA$2:$AA$500,0)),"")</f>
        <v/>
      </c>
      <c r="J87" s="8" t="str">
        <f>IFERROR(INDEX(样本到样信息汇总统计!J$2:J$500,MATCH(86,样本到样信息汇总统计!$AA$2:$AA$500,0)),"")</f>
        <v/>
      </c>
      <c r="K87" s="8" t="str">
        <f>IFERROR(INDEX(样本到样信息汇总统计!K$2:K$500,MATCH(86,样本到样信息汇总统计!$AA$2:$AA$500,0)),"")</f>
        <v/>
      </c>
      <c r="L87" s="8" t="str">
        <f>IFERROR(INDEX(样本到样信息汇总统计!L$2:L$500,MATCH(86,样本到样信息汇总统计!$AA$2:$AA$500,0)),"")</f>
        <v/>
      </c>
      <c r="M87" s="8" t="str">
        <f>IFERROR(INDEX(样本到样信息汇总统计!M$2:M$500,MATCH(86,样本到样信息汇总统计!$AA$2:$AA$500,0)),"")</f>
        <v/>
      </c>
      <c r="N87" s="8" t="str">
        <f>IFERROR(INDEX(样本到样信息汇总统计!N$2:N$500,MATCH(86,样本到样信息汇总统计!$AA$2:$AA$500,0)),"")</f>
        <v/>
      </c>
      <c r="O87" s="8" t="str">
        <f>IFERROR(INDEX(样本到样信息汇总统计!O$2:O$500,MATCH(86,样本到样信息汇总统计!$AA$2:$AA$500,0)),"")</f>
        <v/>
      </c>
      <c r="P87" s="8" t="str">
        <f>IFERROR(INDEX(样本到样信息汇总统计!P$2:P$500,MATCH(86,样本到样信息汇总统计!$AA$2:$AA$500,0)),"")</f>
        <v/>
      </c>
      <c r="Q87" s="8" t="str">
        <f>IFERROR(INDEX(样本到样信息汇总统计!Q$2:Q$500,MATCH(86,样本到样信息汇总统计!$AA$2:$AA$500,0)),"")</f>
        <v/>
      </c>
      <c r="R87" s="8" t="str">
        <f>IFERROR(INDEX(样本到样信息汇总统计!R$2:R$500,MATCH(86,样本到样信息汇总统计!$AA$2:$AA$500,0)),"")</f>
        <v/>
      </c>
      <c r="S87" s="8" t="str">
        <f>IFERROR(INDEX(样本到样信息汇总统计!S$2:S$500,MATCH(86,样本到样信息汇总统计!$AA$2:$AA$500,0)),"")</f>
        <v/>
      </c>
      <c r="T87" s="8" t="str">
        <f>IFERROR(INDEX(样本到样信息汇总统计!T$2:T$500,MATCH(86,样本到样信息汇总统计!$AA$2:$AA$500,0)),"")</f>
        <v/>
      </c>
      <c r="U87" s="8" t="str">
        <f>IFERROR(INDEX(样本到样信息汇总统计!U$2:U$500,MATCH(86,样本到样信息汇总统计!$AA$2:$AA$500,0)),"")</f>
        <v/>
      </c>
      <c r="V87" s="8" t="str">
        <f>IFERROR(INDEX(样本到样信息汇总统计!V$2:V$500,MATCH(86,样本到样信息汇总统计!$AA$2:$AA$500,0)),"")</f>
        <v/>
      </c>
      <c r="W87" s="8" t="str">
        <f>IFERROR(INDEX(样本到样信息汇总统计!W$2:W$500,MATCH(86,样本到样信息汇总统计!$AA$2:$AA$500,0)),"")</f>
        <v/>
      </c>
    </row>
    <row r="88" ht="14.5" spans="1:23">
      <c r="A88" s="4" t="str">
        <f>IFERROR(INDEX(样本到样信息汇总统计!A$2:A$500,MATCH(87,样本到样信息汇总统计!$AA$2:$AA$500,0)),"")</f>
        <v/>
      </c>
      <c r="B88" s="4" t="str">
        <f>IFERROR(INDEX(样本到样信息汇总统计!B$2:B$500,MATCH(87,样本到样信息汇总统计!$AA$2:$AA$500,0)),"")</f>
        <v/>
      </c>
      <c r="C88" s="4" t="str">
        <f>IFERROR(INDEX(样本到样信息汇总统计!C$2:C$500,MATCH(87,样本到样信息汇总统计!$AA$2:$AA$500,0)),"")</f>
        <v/>
      </c>
      <c r="D88" s="4" t="str">
        <f>IFERROR(INDEX(样本到样信息汇总统计!D$2:D$500,MATCH(87,样本到样信息汇总统计!$AA$2:$AA$500,0)),"")</f>
        <v/>
      </c>
      <c r="E88" s="4" t="str">
        <f>IFERROR(INDEX(样本到样信息汇总统计!E$2:E$500,MATCH(87,样本到样信息汇总统计!$AA$2:$AA$500,0)),"")</f>
        <v/>
      </c>
      <c r="F88" s="4" t="str">
        <f>IFERROR(INDEX(样本到样信息汇总统计!F$2:F$500,MATCH(87,样本到样信息汇总统计!$AA$2:$AA$500,0)),"")</f>
        <v/>
      </c>
      <c r="G88" s="4" t="str">
        <f>IFERROR(INDEX(样本到样信息汇总统计!G$2:G$500,MATCH(87,样本到样信息汇总统计!$AA$2:$AA$500,0)),"")</f>
        <v/>
      </c>
      <c r="H88" s="4" t="str">
        <f>IFERROR(INDEX(样本到样信息汇总统计!H$2:H$500,MATCH(87,样本到样信息汇总统计!$AA$2:$AA$500,0)),"")</f>
        <v/>
      </c>
      <c r="I88" s="4" t="str">
        <f>IFERROR(INDEX(样本到样信息汇总统计!I$2:I$500,MATCH(87,样本到样信息汇总统计!$AA$2:$AA$500,0)),"")</f>
        <v/>
      </c>
      <c r="J88" s="4" t="str">
        <f>IFERROR(INDEX(样本到样信息汇总统计!J$2:J$500,MATCH(87,样本到样信息汇总统计!$AA$2:$AA$500,0)),"")</f>
        <v/>
      </c>
      <c r="K88" s="4" t="str">
        <f>IFERROR(INDEX(样本到样信息汇总统计!K$2:K$500,MATCH(87,样本到样信息汇总统计!$AA$2:$AA$500,0)),"")</f>
        <v/>
      </c>
      <c r="L88" s="4" t="str">
        <f>IFERROR(INDEX(样本到样信息汇总统计!L$2:L$500,MATCH(87,样本到样信息汇总统计!$AA$2:$AA$500,0)),"")</f>
        <v/>
      </c>
      <c r="M88" s="4" t="str">
        <f>IFERROR(INDEX(样本到样信息汇总统计!M$2:M$500,MATCH(87,样本到样信息汇总统计!$AA$2:$AA$500,0)),"")</f>
        <v/>
      </c>
      <c r="N88" s="4" t="str">
        <f>IFERROR(INDEX(样本到样信息汇总统计!N$2:N$500,MATCH(87,样本到样信息汇总统计!$AA$2:$AA$500,0)),"")</f>
        <v/>
      </c>
      <c r="O88" s="4" t="str">
        <f>IFERROR(INDEX(样本到样信息汇总统计!O$2:O$500,MATCH(87,样本到样信息汇总统计!$AA$2:$AA$500,0)),"")</f>
        <v/>
      </c>
      <c r="P88" s="4" t="str">
        <f>IFERROR(INDEX(样本到样信息汇总统计!P$2:P$500,MATCH(87,样本到样信息汇总统计!$AA$2:$AA$500,0)),"")</f>
        <v/>
      </c>
      <c r="Q88" s="4" t="str">
        <f>IFERROR(INDEX(样本到样信息汇总统计!Q$2:Q$500,MATCH(87,样本到样信息汇总统计!$AA$2:$AA$500,0)),"")</f>
        <v/>
      </c>
      <c r="R88" s="4" t="str">
        <f>IFERROR(INDEX(样本到样信息汇总统计!R$2:R$500,MATCH(87,样本到样信息汇总统计!$AA$2:$AA$500,0)),"")</f>
        <v/>
      </c>
      <c r="S88" s="4" t="str">
        <f>IFERROR(INDEX(样本到样信息汇总统计!S$2:S$500,MATCH(87,样本到样信息汇总统计!$AA$2:$AA$500,0)),"")</f>
        <v/>
      </c>
      <c r="T88" s="4" t="str">
        <f>IFERROR(INDEX(样本到样信息汇总统计!T$2:T$500,MATCH(87,样本到样信息汇总统计!$AA$2:$AA$500,0)),"")</f>
        <v/>
      </c>
      <c r="U88" s="4" t="str">
        <f>IFERROR(INDEX(样本到样信息汇总统计!U$2:U$500,MATCH(87,样本到样信息汇总统计!$AA$2:$AA$500,0)),"")</f>
        <v/>
      </c>
      <c r="V88" s="4" t="str">
        <f>IFERROR(INDEX(样本到样信息汇总统计!V$2:V$500,MATCH(87,样本到样信息汇总统计!$AA$2:$AA$500,0)),"")</f>
        <v/>
      </c>
      <c r="W88" s="4" t="str">
        <f>IFERROR(INDEX(样本到样信息汇总统计!W$2:W$500,MATCH(87,样本到样信息汇总统计!$AA$2:$AA$500,0)),"")</f>
        <v/>
      </c>
    </row>
    <row r="89" ht="14.5" spans="1:23">
      <c r="A89" s="8" t="str">
        <f>IFERROR(INDEX(样本到样信息汇总统计!A$2:A$500,MATCH(88,样本到样信息汇总统计!$AA$2:$AA$500,0)),"")</f>
        <v/>
      </c>
      <c r="B89" s="8" t="str">
        <f>IFERROR(INDEX(样本到样信息汇总统计!B$2:B$500,MATCH(88,样本到样信息汇总统计!$AA$2:$AA$500,0)),"")</f>
        <v/>
      </c>
      <c r="C89" s="8" t="str">
        <f>IFERROR(INDEX(样本到样信息汇总统计!C$2:C$500,MATCH(88,样本到样信息汇总统计!$AA$2:$AA$500,0)),"")</f>
        <v/>
      </c>
      <c r="D89" s="8" t="str">
        <f>IFERROR(INDEX(样本到样信息汇总统计!D$2:D$500,MATCH(88,样本到样信息汇总统计!$AA$2:$AA$500,0)),"")</f>
        <v/>
      </c>
      <c r="E89" s="8" t="str">
        <f>IFERROR(INDEX(样本到样信息汇总统计!E$2:E$500,MATCH(88,样本到样信息汇总统计!$AA$2:$AA$500,0)),"")</f>
        <v/>
      </c>
      <c r="F89" s="8" t="str">
        <f>IFERROR(INDEX(样本到样信息汇总统计!F$2:F$500,MATCH(88,样本到样信息汇总统计!$AA$2:$AA$500,0)),"")</f>
        <v/>
      </c>
      <c r="G89" s="8" t="str">
        <f>IFERROR(INDEX(样本到样信息汇总统计!G$2:G$500,MATCH(88,样本到样信息汇总统计!$AA$2:$AA$500,0)),"")</f>
        <v/>
      </c>
      <c r="H89" s="8" t="str">
        <f>IFERROR(INDEX(样本到样信息汇总统计!H$2:H$500,MATCH(88,样本到样信息汇总统计!$AA$2:$AA$500,0)),"")</f>
        <v/>
      </c>
      <c r="I89" s="8" t="str">
        <f>IFERROR(INDEX(样本到样信息汇总统计!I$2:I$500,MATCH(88,样本到样信息汇总统计!$AA$2:$AA$500,0)),"")</f>
        <v/>
      </c>
      <c r="J89" s="8" t="str">
        <f>IFERROR(INDEX(样本到样信息汇总统计!J$2:J$500,MATCH(88,样本到样信息汇总统计!$AA$2:$AA$500,0)),"")</f>
        <v/>
      </c>
      <c r="K89" s="8" t="str">
        <f>IFERROR(INDEX(样本到样信息汇总统计!K$2:K$500,MATCH(88,样本到样信息汇总统计!$AA$2:$AA$500,0)),"")</f>
        <v/>
      </c>
      <c r="L89" s="8" t="str">
        <f>IFERROR(INDEX(样本到样信息汇总统计!L$2:L$500,MATCH(88,样本到样信息汇总统计!$AA$2:$AA$500,0)),"")</f>
        <v/>
      </c>
      <c r="M89" s="8" t="str">
        <f>IFERROR(INDEX(样本到样信息汇总统计!M$2:M$500,MATCH(88,样本到样信息汇总统计!$AA$2:$AA$500,0)),"")</f>
        <v/>
      </c>
      <c r="N89" s="8" t="str">
        <f>IFERROR(INDEX(样本到样信息汇总统计!N$2:N$500,MATCH(88,样本到样信息汇总统计!$AA$2:$AA$500,0)),"")</f>
        <v/>
      </c>
      <c r="O89" s="8" t="str">
        <f>IFERROR(INDEX(样本到样信息汇总统计!O$2:O$500,MATCH(88,样本到样信息汇总统计!$AA$2:$AA$500,0)),"")</f>
        <v/>
      </c>
      <c r="P89" s="8" t="str">
        <f>IFERROR(INDEX(样本到样信息汇总统计!P$2:P$500,MATCH(88,样本到样信息汇总统计!$AA$2:$AA$500,0)),"")</f>
        <v/>
      </c>
      <c r="Q89" s="8" t="str">
        <f>IFERROR(INDEX(样本到样信息汇总统计!Q$2:Q$500,MATCH(88,样本到样信息汇总统计!$AA$2:$AA$500,0)),"")</f>
        <v/>
      </c>
      <c r="R89" s="8" t="str">
        <f>IFERROR(INDEX(样本到样信息汇总统计!R$2:R$500,MATCH(88,样本到样信息汇总统计!$AA$2:$AA$500,0)),"")</f>
        <v/>
      </c>
      <c r="S89" s="8" t="str">
        <f>IFERROR(INDEX(样本到样信息汇总统计!S$2:S$500,MATCH(88,样本到样信息汇总统计!$AA$2:$AA$500,0)),"")</f>
        <v/>
      </c>
      <c r="T89" s="8" t="str">
        <f>IFERROR(INDEX(样本到样信息汇总统计!T$2:T$500,MATCH(88,样本到样信息汇总统计!$AA$2:$AA$500,0)),"")</f>
        <v/>
      </c>
      <c r="U89" s="8" t="str">
        <f>IFERROR(INDEX(样本到样信息汇总统计!U$2:U$500,MATCH(88,样本到样信息汇总统计!$AA$2:$AA$500,0)),"")</f>
        <v/>
      </c>
      <c r="V89" s="8" t="str">
        <f>IFERROR(INDEX(样本到样信息汇总统计!V$2:V$500,MATCH(88,样本到样信息汇总统计!$AA$2:$AA$500,0)),"")</f>
        <v/>
      </c>
      <c r="W89" s="8" t="str">
        <f>IFERROR(INDEX(样本到样信息汇总统计!W$2:W$500,MATCH(88,样本到样信息汇总统计!$AA$2:$AA$500,0)),"")</f>
        <v/>
      </c>
    </row>
    <row r="90" ht="14.5" spans="1:23">
      <c r="A90" s="4" t="str">
        <f>IFERROR(INDEX(样本到样信息汇总统计!A$2:A$500,MATCH(89,样本到样信息汇总统计!$AA$2:$AA$500,0)),"")</f>
        <v/>
      </c>
      <c r="B90" s="4" t="str">
        <f>IFERROR(INDEX(样本到样信息汇总统计!B$2:B$500,MATCH(89,样本到样信息汇总统计!$AA$2:$AA$500,0)),"")</f>
        <v/>
      </c>
      <c r="C90" s="4" t="str">
        <f>IFERROR(INDEX(样本到样信息汇总统计!C$2:C$500,MATCH(89,样本到样信息汇总统计!$AA$2:$AA$500,0)),"")</f>
        <v/>
      </c>
      <c r="D90" s="4" t="str">
        <f>IFERROR(INDEX(样本到样信息汇总统计!D$2:D$500,MATCH(89,样本到样信息汇总统计!$AA$2:$AA$500,0)),"")</f>
        <v/>
      </c>
      <c r="E90" s="4" t="str">
        <f>IFERROR(INDEX(样本到样信息汇总统计!E$2:E$500,MATCH(89,样本到样信息汇总统计!$AA$2:$AA$500,0)),"")</f>
        <v/>
      </c>
      <c r="F90" s="4" t="str">
        <f>IFERROR(INDEX(样本到样信息汇总统计!F$2:F$500,MATCH(89,样本到样信息汇总统计!$AA$2:$AA$500,0)),"")</f>
        <v/>
      </c>
      <c r="G90" s="4" t="str">
        <f>IFERROR(INDEX(样本到样信息汇总统计!G$2:G$500,MATCH(89,样本到样信息汇总统计!$AA$2:$AA$500,0)),"")</f>
        <v/>
      </c>
      <c r="H90" s="4" t="str">
        <f>IFERROR(INDEX(样本到样信息汇总统计!H$2:H$500,MATCH(89,样本到样信息汇总统计!$AA$2:$AA$500,0)),"")</f>
        <v/>
      </c>
      <c r="I90" s="4" t="str">
        <f>IFERROR(INDEX(样本到样信息汇总统计!I$2:I$500,MATCH(89,样本到样信息汇总统计!$AA$2:$AA$500,0)),"")</f>
        <v/>
      </c>
      <c r="J90" s="4" t="str">
        <f>IFERROR(INDEX(样本到样信息汇总统计!J$2:J$500,MATCH(89,样本到样信息汇总统计!$AA$2:$AA$500,0)),"")</f>
        <v/>
      </c>
      <c r="K90" s="4" t="str">
        <f>IFERROR(INDEX(样本到样信息汇总统计!K$2:K$500,MATCH(89,样本到样信息汇总统计!$AA$2:$AA$500,0)),"")</f>
        <v/>
      </c>
      <c r="L90" s="4" t="str">
        <f>IFERROR(INDEX(样本到样信息汇总统计!L$2:L$500,MATCH(89,样本到样信息汇总统计!$AA$2:$AA$500,0)),"")</f>
        <v/>
      </c>
      <c r="M90" s="4" t="str">
        <f>IFERROR(INDEX(样本到样信息汇总统计!M$2:M$500,MATCH(89,样本到样信息汇总统计!$AA$2:$AA$500,0)),"")</f>
        <v/>
      </c>
      <c r="N90" s="4" t="str">
        <f>IFERROR(INDEX(样本到样信息汇总统计!N$2:N$500,MATCH(89,样本到样信息汇总统计!$AA$2:$AA$500,0)),"")</f>
        <v/>
      </c>
      <c r="O90" s="4" t="str">
        <f>IFERROR(INDEX(样本到样信息汇总统计!O$2:O$500,MATCH(89,样本到样信息汇总统计!$AA$2:$AA$500,0)),"")</f>
        <v/>
      </c>
      <c r="P90" s="4" t="str">
        <f>IFERROR(INDEX(样本到样信息汇总统计!P$2:P$500,MATCH(89,样本到样信息汇总统计!$AA$2:$AA$500,0)),"")</f>
        <v/>
      </c>
      <c r="Q90" s="4" t="str">
        <f>IFERROR(INDEX(样本到样信息汇总统计!Q$2:Q$500,MATCH(89,样本到样信息汇总统计!$AA$2:$AA$500,0)),"")</f>
        <v/>
      </c>
      <c r="R90" s="4" t="str">
        <f>IFERROR(INDEX(样本到样信息汇总统计!R$2:R$500,MATCH(89,样本到样信息汇总统计!$AA$2:$AA$500,0)),"")</f>
        <v/>
      </c>
      <c r="S90" s="4" t="str">
        <f>IFERROR(INDEX(样本到样信息汇总统计!S$2:S$500,MATCH(89,样本到样信息汇总统计!$AA$2:$AA$500,0)),"")</f>
        <v/>
      </c>
      <c r="T90" s="4" t="str">
        <f>IFERROR(INDEX(样本到样信息汇总统计!T$2:T$500,MATCH(89,样本到样信息汇总统计!$AA$2:$AA$500,0)),"")</f>
        <v/>
      </c>
      <c r="U90" s="4" t="str">
        <f>IFERROR(INDEX(样本到样信息汇总统计!U$2:U$500,MATCH(89,样本到样信息汇总统计!$AA$2:$AA$500,0)),"")</f>
        <v/>
      </c>
      <c r="V90" s="4" t="str">
        <f>IFERROR(INDEX(样本到样信息汇总统计!V$2:V$500,MATCH(89,样本到样信息汇总统计!$AA$2:$AA$500,0)),"")</f>
        <v/>
      </c>
      <c r="W90" s="4" t="str">
        <f>IFERROR(INDEX(样本到样信息汇总统计!W$2:W$500,MATCH(89,样本到样信息汇总统计!$AA$2:$AA$500,0)),"")</f>
        <v/>
      </c>
    </row>
    <row r="91" ht="14.5" spans="1:23">
      <c r="A91" s="8" t="str">
        <f>IFERROR(INDEX(样本到样信息汇总统计!A$2:A$500,MATCH(90,样本到样信息汇总统计!$AA$2:$AA$500,0)),"")</f>
        <v/>
      </c>
      <c r="B91" s="8" t="str">
        <f>IFERROR(INDEX(样本到样信息汇总统计!B$2:B$500,MATCH(90,样本到样信息汇总统计!$AA$2:$AA$500,0)),"")</f>
        <v/>
      </c>
      <c r="C91" s="8" t="str">
        <f>IFERROR(INDEX(样本到样信息汇总统计!C$2:C$500,MATCH(90,样本到样信息汇总统计!$AA$2:$AA$500,0)),"")</f>
        <v/>
      </c>
      <c r="D91" s="8" t="str">
        <f>IFERROR(INDEX(样本到样信息汇总统计!D$2:D$500,MATCH(90,样本到样信息汇总统计!$AA$2:$AA$500,0)),"")</f>
        <v/>
      </c>
      <c r="E91" s="8" t="str">
        <f>IFERROR(INDEX(样本到样信息汇总统计!E$2:E$500,MATCH(90,样本到样信息汇总统计!$AA$2:$AA$500,0)),"")</f>
        <v/>
      </c>
      <c r="F91" s="8" t="str">
        <f>IFERROR(INDEX(样本到样信息汇总统计!F$2:F$500,MATCH(90,样本到样信息汇总统计!$AA$2:$AA$500,0)),"")</f>
        <v/>
      </c>
      <c r="G91" s="8" t="str">
        <f>IFERROR(INDEX(样本到样信息汇总统计!G$2:G$500,MATCH(90,样本到样信息汇总统计!$AA$2:$AA$500,0)),"")</f>
        <v/>
      </c>
      <c r="H91" s="8" t="str">
        <f>IFERROR(INDEX(样本到样信息汇总统计!H$2:H$500,MATCH(90,样本到样信息汇总统计!$AA$2:$AA$500,0)),"")</f>
        <v/>
      </c>
      <c r="I91" s="8" t="str">
        <f>IFERROR(INDEX(样本到样信息汇总统计!I$2:I$500,MATCH(90,样本到样信息汇总统计!$AA$2:$AA$500,0)),"")</f>
        <v/>
      </c>
      <c r="J91" s="8" t="str">
        <f>IFERROR(INDEX(样本到样信息汇总统计!J$2:J$500,MATCH(90,样本到样信息汇总统计!$AA$2:$AA$500,0)),"")</f>
        <v/>
      </c>
      <c r="K91" s="8" t="str">
        <f>IFERROR(INDEX(样本到样信息汇总统计!K$2:K$500,MATCH(90,样本到样信息汇总统计!$AA$2:$AA$500,0)),"")</f>
        <v/>
      </c>
      <c r="L91" s="8" t="str">
        <f>IFERROR(INDEX(样本到样信息汇总统计!L$2:L$500,MATCH(90,样本到样信息汇总统计!$AA$2:$AA$500,0)),"")</f>
        <v/>
      </c>
      <c r="M91" s="8" t="str">
        <f>IFERROR(INDEX(样本到样信息汇总统计!M$2:M$500,MATCH(90,样本到样信息汇总统计!$AA$2:$AA$500,0)),"")</f>
        <v/>
      </c>
      <c r="N91" s="8" t="str">
        <f>IFERROR(INDEX(样本到样信息汇总统计!N$2:N$500,MATCH(90,样本到样信息汇总统计!$AA$2:$AA$500,0)),"")</f>
        <v/>
      </c>
      <c r="O91" s="8" t="str">
        <f>IFERROR(INDEX(样本到样信息汇总统计!O$2:O$500,MATCH(90,样本到样信息汇总统计!$AA$2:$AA$500,0)),"")</f>
        <v/>
      </c>
      <c r="P91" s="8" t="str">
        <f>IFERROR(INDEX(样本到样信息汇总统计!P$2:P$500,MATCH(90,样本到样信息汇总统计!$AA$2:$AA$500,0)),"")</f>
        <v/>
      </c>
      <c r="Q91" s="8" t="str">
        <f>IFERROR(INDEX(样本到样信息汇总统计!Q$2:Q$500,MATCH(90,样本到样信息汇总统计!$AA$2:$AA$500,0)),"")</f>
        <v/>
      </c>
      <c r="R91" s="8" t="str">
        <f>IFERROR(INDEX(样本到样信息汇总统计!R$2:R$500,MATCH(90,样本到样信息汇总统计!$AA$2:$AA$500,0)),"")</f>
        <v/>
      </c>
      <c r="S91" s="8" t="str">
        <f>IFERROR(INDEX(样本到样信息汇总统计!S$2:S$500,MATCH(90,样本到样信息汇总统计!$AA$2:$AA$500,0)),"")</f>
        <v/>
      </c>
      <c r="T91" s="8" t="str">
        <f>IFERROR(INDEX(样本到样信息汇总统计!T$2:T$500,MATCH(90,样本到样信息汇总统计!$AA$2:$AA$500,0)),"")</f>
        <v/>
      </c>
      <c r="U91" s="8" t="str">
        <f>IFERROR(INDEX(样本到样信息汇总统计!U$2:U$500,MATCH(90,样本到样信息汇总统计!$AA$2:$AA$500,0)),"")</f>
        <v/>
      </c>
      <c r="V91" s="8" t="str">
        <f>IFERROR(INDEX(样本到样信息汇总统计!V$2:V$500,MATCH(90,样本到样信息汇总统计!$AA$2:$AA$500,0)),"")</f>
        <v/>
      </c>
      <c r="W91" s="8" t="str">
        <f>IFERROR(INDEX(样本到样信息汇总统计!W$2:W$500,MATCH(90,样本到样信息汇总统计!$AA$2:$AA$500,0)),"")</f>
        <v/>
      </c>
    </row>
    <row r="92" ht="14.5" spans="1:23">
      <c r="A92" s="4" t="str">
        <f>IFERROR(INDEX(样本到样信息汇总统计!A$2:A$500,MATCH(91,样本到样信息汇总统计!$AA$2:$AA$500,0)),"")</f>
        <v/>
      </c>
      <c r="B92" s="4" t="str">
        <f>IFERROR(INDEX(样本到样信息汇总统计!B$2:B$500,MATCH(91,样本到样信息汇总统计!$AA$2:$AA$500,0)),"")</f>
        <v/>
      </c>
      <c r="C92" s="4" t="str">
        <f>IFERROR(INDEX(样本到样信息汇总统计!C$2:C$500,MATCH(91,样本到样信息汇总统计!$AA$2:$AA$500,0)),"")</f>
        <v/>
      </c>
      <c r="D92" s="4" t="str">
        <f>IFERROR(INDEX(样本到样信息汇总统计!D$2:D$500,MATCH(91,样本到样信息汇总统计!$AA$2:$AA$500,0)),"")</f>
        <v/>
      </c>
      <c r="E92" s="4" t="str">
        <f>IFERROR(INDEX(样本到样信息汇总统计!E$2:E$500,MATCH(91,样本到样信息汇总统计!$AA$2:$AA$500,0)),"")</f>
        <v/>
      </c>
      <c r="F92" s="4" t="str">
        <f>IFERROR(INDEX(样本到样信息汇总统计!F$2:F$500,MATCH(91,样本到样信息汇总统计!$AA$2:$AA$500,0)),"")</f>
        <v/>
      </c>
      <c r="G92" s="4" t="str">
        <f>IFERROR(INDEX(样本到样信息汇总统计!G$2:G$500,MATCH(91,样本到样信息汇总统计!$AA$2:$AA$500,0)),"")</f>
        <v/>
      </c>
      <c r="H92" s="4" t="str">
        <f>IFERROR(INDEX(样本到样信息汇总统计!H$2:H$500,MATCH(91,样本到样信息汇总统计!$AA$2:$AA$500,0)),"")</f>
        <v/>
      </c>
      <c r="I92" s="4" t="str">
        <f>IFERROR(INDEX(样本到样信息汇总统计!I$2:I$500,MATCH(91,样本到样信息汇总统计!$AA$2:$AA$500,0)),"")</f>
        <v/>
      </c>
      <c r="J92" s="4" t="str">
        <f>IFERROR(INDEX(样本到样信息汇总统计!J$2:J$500,MATCH(91,样本到样信息汇总统计!$AA$2:$AA$500,0)),"")</f>
        <v/>
      </c>
      <c r="K92" s="4" t="str">
        <f>IFERROR(INDEX(样本到样信息汇总统计!K$2:K$500,MATCH(91,样本到样信息汇总统计!$AA$2:$AA$500,0)),"")</f>
        <v/>
      </c>
      <c r="L92" s="4" t="str">
        <f>IFERROR(INDEX(样本到样信息汇总统计!L$2:L$500,MATCH(91,样本到样信息汇总统计!$AA$2:$AA$500,0)),"")</f>
        <v/>
      </c>
      <c r="M92" s="4" t="str">
        <f>IFERROR(INDEX(样本到样信息汇总统计!M$2:M$500,MATCH(91,样本到样信息汇总统计!$AA$2:$AA$500,0)),"")</f>
        <v/>
      </c>
      <c r="N92" s="4" t="str">
        <f>IFERROR(INDEX(样本到样信息汇总统计!N$2:N$500,MATCH(91,样本到样信息汇总统计!$AA$2:$AA$500,0)),"")</f>
        <v/>
      </c>
      <c r="O92" s="4" t="str">
        <f>IFERROR(INDEX(样本到样信息汇总统计!O$2:O$500,MATCH(91,样本到样信息汇总统计!$AA$2:$AA$500,0)),"")</f>
        <v/>
      </c>
      <c r="P92" s="4" t="str">
        <f>IFERROR(INDEX(样本到样信息汇总统计!P$2:P$500,MATCH(91,样本到样信息汇总统计!$AA$2:$AA$500,0)),"")</f>
        <v/>
      </c>
      <c r="Q92" s="4" t="str">
        <f>IFERROR(INDEX(样本到样信息汇总统计!Q$2:Q$500,MATCH(91,样本到样信息汇总统计!$AA$2:$AA$500,0)),"")</f>
        <v/>
      </c>
      <c r="R92" s="4" t="str">
        <f>IFERROR(INDEX(样本到样信息汇总统计!R$2:R$500,MATCH(91,样本到样信息汇总统计!$AA$2:$AA$500,0)),"")</f>
        <v/>
      </c>
      <c r="S92" s="4" t="str">
        <f>IFERROR(INDEX(样本到样信息汇总统计!S$2:S$500,MATCH(91,样本到样信息汇总统计!$AA$2:$AA$500,0)),"")</f>
        <v/>
      </c>
      <c r="T92" s="4" t="str">
        <f>IFERROR(INDEX(样本到样信息汇总统计!T$2:T$500,MATCH(91,样本到样信息汇总统计!$AA$2:$AA$500,0)),"")</f>
        <v/>
      </c>
      <c r="U92" s="4" t="str">
        <f>IFERROR(INDEX(样本到样信息汇总统计!U$2:U$500,MATCH(91,样本到样信息汇总统计!$AA$2:$AA$500,0)),"")</f>
        <v/>
      </c>
      <c r="V92" s="4" t="str">
        <f>IFERROR(INDEX(样本到样信息汇总统计!V$2:V$500,MATCH(91,样本到样信息汇总统计!$AA$2:$AA$500,0)),"")</f>
        <v/>
      </c>
      <c r="W92" s="4" t="str">
        <f>IFERROR(INDEX(样本到样信息汇总统计!W$2:W$500,MATCH(91,样本到样信息汇总统计!$AA$2:$AA$500,0)),"")</f>
        <v/>
      </c>
    </row>
    <row r="93" ht="14.5" spans="1:23">
      <c r="A93" s="8" t="str">
        <f>IFERROR(INDEX(样本到样信息汇总统计!A$2:A$500,MATCH(92,样本到样信息汇总统计!$AA$2:$AA$500,0)),"")</f>
        <v/>
      </c>
      <c r="B93" s="8" t="str">
        <f>IFERROR(INDEX(样本到样信息汇总统计!B$2:B$500,MATCH(92,样本到样信息汇总统计!$AA$2:$AA$500,0)),"")</f>
        <v/>
      </c>
      <c r="C93" s="8" t="str">
        <f>IFERROR(INDEX(样本到样信息汇总统计!C$2:C$500,MATCH(92,样本到样信息汇总统计!$AA$2:$AA$500,0)),"")</f>
        <v/>
      </c>
      <c r="D93" s="8" t="str">
        <f>IFERROR(INDEX(样本到样信息汇总统计!D$2:D$500,MATCH(92,样本到样信息汇总统计!$AA$2:$AA$500,0)),"")</f>
        <v/>
      </c>
      <c r="E93" s="8" t="str">
        <f>IFERROR(INDEX(样本到样信息汇总统计!E$2:E$500,MATCH(92,样本到样信息汇总统计!$AA$2:$AA$500,0)),"")</f>
        <v/>
      </c>
      <c r="F93" s="8" t="str">
        <f>IFERROR(INDEX(样本到样信息汇总统计!F$2:F$500,MATCH(92,样本到样信息汇总统计!$AA$2:$AA$500,0)),"")</f>
        <v/>
      </c>
      <c r="G93" s="8" t="str">
        <f>IFERROR(INDEX(样本到样信息汇总统计!G$2:G$500,MATCH(92,样本到样信息汇总统计!$AA$2:$AA$500,0)),"")</f>
        <v/>
      </c>
      <c r="H93" s="8" t="str">
        <f>IFERROR(INDEX(样本到样信息汇总统计!H$2:H$500,MATCH(92,样本到样信息汇总统计!$AA$2:$AA$500,0)),"")</f>
        <v/>
      </c>
      <c r="I93" s="8" t="str">
        <f>IFERROR(INDEX(样本到样信息汇总统计!I$2:I$500,MATCH(92,样本到样信息汇总统计!$AA$2:$AA$500,0)),"")</f>
        <v/>
      </c>
      <c r="J93" s="8" t="str">
        <f>IFERROR(INDEX(样本到样信息汇总统计!J$2:J$500,MATCH(92,样本到样信息汇总统计!$AA$2:$AA$500,0)),"")</f>
        <v/>
      </c>
      <c r="K93" s="8" t="str">
        <f>IFERROR(INDEX(样本到样信息汇总统计!K$2:K$500,MATCH(92,样本到样信息汇总统计!$AA$2:$AA$500,0)),"")</f>
        <v/>
      </c>
      <c r="L93" s="8" t="str">
        <f>IFERROR(INDEX(样本到样信息汇总统计!L$2:L$500,MATCH(92,样本到样信息汇总统计!$AA$2:$AA$500,0)),"")</f>
        <v/>
      </c>
      <c r="M93" s="8" t="str">
        <f>IFERROR(INDEX(样本到样信息汇总统计!M$2:M$500,MATCH(92,样本到样信息汇总统计!$AA$2:$AA$500,0)),"")</f>
        <v/>
      </c>
      <c r="N93" s="8" t="str">
        <f>IFERROR(INDEX(样本到样信息汇总统计!N$2:N$500,MATCH(92,样本到样信息汇总统计!$AA$2:$AA$500,0)),"")</f>
        <v/>
      </c>
      <c r="O93" s="8" t="str">
        <f>IFERROR(INDEX(样本到样信息汇总统计!O$2:O$500,MATCH(92,样本到样信息汇总统计!$AA$2:$AA$500,0)),"")</f>
        <v/>
      </c>
      <c r="P93" s="8" t="str">
        <f>IFERROR(INDEX(样本到样信息汇总统计!P$2:P$500,MATCH(92,样本到样信息汇总统计!$AA$2:$AA$500,0)),"")</f>
        <v/>
      </c>
      <c r="Q93" s="8" t="str">
        <f>IFERROR(INDEX(样本到样信息汇总统计!Q$2:Q$500,MATCH(92,样本到样信息汇总统计!$AA$2:$AA$500,0)),"")</f>
        <v/>
      </c>
      <c r="R93" s="8" t="str">
        <f>IFERROR(INDEX(样本到样信息汇总统计!R$2:R$500,MATCH(92,样本到样信息汇总统计!$AA$2:$AA$500,0)),"")</f>
        <v/>
      </c>
      <c r="S93" s="8" t="str">
        <f>IFERROR(INDEX(样本到样信息汇总统计!S$2:S$500,MATCH(92,样本到样信息汇总统计!$AA$2:$AA$500,0)),"")</f>
        <v/>
      </c>
      <c r="T93" s="8" t="str">
        <f>IFERROR(INDEX(样本到样信息汇总统计!T$2:T$500,MATCH(92,样本到样信息汇总统计!$AA$2:$AA$500,0)),"")</f>
        <v/>
      </c>
      <c r="U93" s="8" t="str">
        <f>IFERROR(INDEX(样本到样信息汇总统计!U$2:U$500,MATCH(92,样本到样信息汇总统计!$AA$2:$AA$500,0)),"")</f>
        <v/>
      </c>
      <c r="V93" s="8" t="str">
        <f>IFERROR(INDEX(样本到样信息汇总统计!V$2:V$500,MATCH(92,样本到样信息汇总统计!$AA$2:$AA$500,0)),"")</f>
        <v/>
      </c>
      <c r="W93" s="8" t="str">
        <f>IFERROR(INDEX(样本到样信息汇总统计!W$2:W$500,MATCH(92,样本到样信息汇总统计!$AA$2:$AA$500,0)),"")</f>
        <v/>
      </c>
    </row>
    <row r="94" ht="14.5" spans="1:23">
      <c r="A94" s="4" t="str">
        <f>IFERROR(INDEX(样本到样信息汇总统计!A$2:A$500,MATCH(93,样本到样信息汇总统计!$AA$2:$AA$500,0)),"")</f>
        <v/>
      </c>
      <c r="B94" s="4" t="str">
        <f>IFERROR(INDEX(样本到样信息汇总统计!B$2:B$500,MATCH(93,样本到样信息汇总统计!$AA$2:$AA$500,0)),"")</f>
        <v/>
      </c>
      <c r="C94" s="4" t="str">
        <f>IFERROR(INDEX(样本到样信息汇总统计!C$2:C$500,MATCH(93,样本到样信息汇总统计!$AA$2:$AA$500,0)),"")</f>
        <v/>
      </c>
      <c r="D94" s="4" t="str">
        <f>IFERROR(INDEX(样本到样信息汇总统计!D$2:D$500,MATCH(93,样本到样信息汇总统计!$AA$2:$AA$500,0)),"")</f>
        <v/>
      </c>
      <c r="E94" s="4" t="str">
        <f>IFERROR(INDEX(样本到样信息汇总统计!E$2:E$500,MATCH(93,样本到样信息汇总统计!$AA$2:$AA$500,0)),"")</f>
        <v/>
      </c>
      <c r="F94" s="4" t="str">
        <f>IFERROR(INDEX(样本到样信息汇总统计!F$2:F$500,MATCH(93,样本到样信息汇总统计!$AA$2:$AA$500,0)),"")</f>
        <v/>
      </c>
      <c r="G94" s="4" t="str">
        <f>IFERROR(INDEX(样本到样信息汇总统计!G$2:G$500,MATCH(93,样本到样信息汇总统计!$AA$2:$AA$500,0)),"")</f>
        <v/>
      </c>
      <c r="H94" s="4" t="str">
        <f>IFERROR(INDEX(样本到样信息汇总统计!H$2:H$500,MATCH(93,样本到样信息汇总统计!$AA$2:$AA$500,0)),"")</f>
        <v/>
      </c>
      <c r="I94" s="4" t="str">
        <f>IFERROR(INDEX(样本到样信息汇总统计!I$2:I$500,MATCH(93,样本到样信息汇总统计!$AA$2:$AA$500,0)),"")</f>
        <v/>
      </c>
      <c r="J94" s="4" t="str">
        <f>IFERROR(INDEX(样本到样信息汇总统计!J$2:J$500,MATCH(93,样本到样信息汇总统计!$AA$2:$AA$500,0)),"")</f>
        <v/>
      </c>
      <c r="K94" s="4" t="str">
        <f>IFERROR(INDEX(样本到样信息汇总统计!K$2:K$500,MATCH(93,样本到样信息汇总统计!$AA$2:$AA$500,0)),"")</f>
        <v/>
      </c>
      <c r="L94" s="4" t="str">
        <f>IFERROR(INDEX(样本到样信息汇总统计!L$2:L$500,MATCH(93,样本到样信息汇总统计!$AA$2:$AA$500,0)),"")</f>
        <v/>
      </c>
      <c r="M94" s="4" t="str">
        <f>IFERROR(INDEX(样本到样信息汇总统计!M$2:M$500,MATCH(93,样本到样信息汇总统计!$AA$2:$AA$500,0)),"")</f>
        <v/>
      </c>
      <c r="N94" s="4" t="str">
        <f>IFERROR(INDEX(样本到样信息汇总统计!N$2:N$500,MATCH(93,样本到样信息汇总统计!$AA$2:$AA$500,0)),"")</f>
        <v/>
      </c>
      <c r="O94" s="4" t="str">
        <f>IFERROR(INDEX(样本到样信息汇总统计!O$2:O$500,MATCH(93,样本到样信息汇总统计!$AA$2:$AA$500,0)),"")</f>
        <v/>
      </c>
      <c r="P94" s="4" t="str">
        <f>IFERROR(INDEX(样本到样信息汇总统计!P$2:P$500,MATCH(93,样本到样信息汇总统计!$AA$2:$AA$500,0)),"")</f>
        <v/>
      </c>
      <c r="Q94" s="4" t="str">
        <f>IFERROR(INDEX(样本到样信息汇总统计!Q$2:Q$500,MATCH(93,样本到样信息汇总统计!$AA$2:$AA$500,0)),"")</f>
        <v/>
      </c>
      <c r="R94" s="4" t="str">
        <f>IFERROR(INDEX(样本到样信息汇总统计!R$2:R$500,MATCH(93,样本到样信息汇总统计!$AA$2:$AA$500,0)),"")</f>
        <v/>
      </c>
      <c r="S94" s="4" t="str">
        <f>IFERROR(INDEX(样本到样信息汇总统计!S$2:S$500,MATCH(93,样本到样信息汇总统计!$AA$2:$AA$500,0)),"")</f>
        <v/>
      </c>
      <c r="T94" s="4" t="str">
        <f>IFERROR(INDEX(样本到样信息汇总统计!T$2:T$500,MATCH(93,样本到样信息汇总统计!$AA$2:$AA$500,0)),"")</f>
        <v/>
      </c>
      <c r="U94" s="4" t="str">
        <f>IFERROR(INDEX(样本到样信息汇总统计!U$2:U$500,MATCH(93,样本到样信息汇总统计!$AA$2:$AA$500,0)),"")</f>
        <v/>
      </c>
      <c r="V94" s="4" t="str">
        <f>IFERROR(INDEX(样本到样信息汇总统计!V$2:V$500,MATCH(93,样本到样信息汇总统计!$AA$2:$AA$500,0)),"")</f>
        <v/>
      </c>
      <c r="W94" s="4" t="str">
        <f>IFERROR(INDEX(样本到样信息汇总统计!W$2:W$500,MATCH(93,样本到样信息汇总统计!$AA$2:$AA$500,0)),"")</f>
        <v/>
      </c>
    </row>
    <row r="95" ht="14.5" spans="1:23">
      <c r="A95" s="8" t="str">
        <f>IFERROR(INDEX(样本到样信息汇总统计!A$2:A$500,MATCH(94,样本到样信息汇总统计!$AA$2:$AA$500,0)),"")</f>
        <v/>
      </c>
      <c r="B95" s="8" t="str">
        <f>IFERROR(INDEX(样本到样信息汇总统计!B$2:B$500,MATCH(94,样本到样信息汇总统计!$AA$2:$AA$500,0)),"")</f>
        <v/>
      </c>
      <c r="C95" s="8" t="str">
        <f>IFERROR(INDEX(样本到样信息汇总统计!C$2:C$500,MATCH(94,样本到样信息汇总统计!$AA$2:$AA$500,0)),"")</f>
        <v/>
      </c>
      <c r="D95" s="8" t="str">
        <f>IFERROR(INDEX(样本到样信息汇总统计!D$2:D$500,MATCH(94,样本到样信息汇总统计!$AA$2:$AA$500,0)),"")</f>
        <v/>
      </c>
      <c r="E95" s="8" t="str">
        <f>IFERROR(INDEX(样本到样信息汇总统计!E$2:E$500,MATCH(94,样本到样信息汇总统计!$AA$2:$AA$500,0)),"")</f>
        <v/>
      </c>
      <c r="F95" s="8" t="str">
        <f>IFERROR(INDEX(样本到样信息汇总统计!F$2:F$500,MATCH(94,样本到样信息汇总统计!$AA$2:$AA$500,0)),"")</f>
        <v/>
      </c>
      <c r="G95" s="8" t="str">
        <f>IFERROR(INDEX(样本到样信息汇总统计!G$2:G$500,MATCH(94,样本到样信息汇总统计!$AA$2:$AA$500,0)),"")</f>
        <v/>
      </c>
      <c r="H95" s="8" t="str">
        <f>IFERROR(INDEX(样本到样信息汇总统计!H$2:H$500,MATCH(94,样本到样信息汇总统计!$AA$2:$AA$500,0)),"")</f>
        <v/>
      </c>
      <c r="I95" s="8" t="str">
        <f>IFERROR(INDEX(样本到样信息汇总统计!I$2:I$500,MATCH(94,样本到样信息汇总统计!$AA$2:$AA$500,0)),"")</f>
        <v/>
      </c>
      <c r="J95" s="8" t="str">
        <f>IFERROR(INDEX(样本到样信息汇总统计!J$2:J$500,MATCH(94,样本到样信息汇总统计!$AA$2:$AA$500,0)),"")</f>
        <v/>
      </c>
      <c r="K95" s="8" t="str">
        <f>IFERROR(INDEX(样本到样信息汇总统计!K$2:K$500,MATCH(94,样本到样信息汇总统计!$AA$2:$AA$500,0)),"")</f>
        <v/>
      </c>
      <c r="L95" s="8" t="str">
        <f>IFERROR(INDEX(样本到样信息汇总统计!L$2:L$500,MATCH(94,样本到样信息汇总统计!$AA$2:$AA$500,0)),"")</f>
        <v/>
      </c>
      <c r="M95" s="8" t="str">
        <f>IFERROR(INDEX(样本到样信息汇总统计!M$2:M$500,MATCH(94,样本到样信息汇总统计!$AA$2:$AA$500,0)),"")</f>
        <v/>
      </c>
      <c r="N95" s="8" t="str">
        <f>IFERROR(INDEX(样本到样信息汇总统计!N$2:N$500,MATCH(94,样本到样信息汇总统计!$AA$2:$AA$500,0)),"")</f>
        <v/>
      </c>
      <c r="O95" s="8" t="str">
        <f>IFERROR(INDEX(样本到样信息汇总统计!O$2:O$500,MATCH(94,样本到样信息汇总统计!$AA$2:$AA$500,0)),"")</f>
        <v/>
      </c>
      <c r="P95" s="8" t="str">
        <f>IFERROR(INDEX(样本到样信息汇总统计!P$2:P$500,MATCH(94,样本到样信息汇总统计!$AA$2:$AA$500,0)),"")</f>
        <v/>
      </c>
      <c r="Q95" s="8" t="str">
        <f>IFERROR(INDEX(样本到样信息汇总统计!Q$2:Q$500,MATCH(94,样本到样信息汇总统计!$AA$2:$AA$500,0)),"")</f>
        <v/>
      </c>
      <c r="R95" s="8" t="str">
        <f>IFERROR(INDEX(样本到样信息汇总统计!R$2:R$500,MATCH(94,样本到样信息汇总统计!$AA$2:$AA$500,0)),"")</f>
        <v/>
      </c>
      <c r="S95" s="8" t="str">
        <f>IFERROR(INDEX(样本到样信息汇总统计!S$2:S$500,MATCH(94,样本到样信息汇总统计!$AA$2:$AA$500,0)),"")</f>
        <v/>
      </c>
      <c r="T95" s="8" t="str">
        <f>IFERROR(INDEX(样本到样信息汇总统计!T$2:T$500,MATCH(94,样本到样信息汇总统计!$AA$2:$AA$500,0)),"")</f>
        <v/>
      </c>
      <c r="U95" s="8" t="str">
        <f>IFERROR(INDEX(样本到样信息汇总统计!U$2:U$500,MATCH(94,样本到样信息汇总统计!$AA$2:$AA$500,0)),"")</f>
        <v/>
      </c>
      <c r="V95" s="8" t="str">
        <f>IFERROR(INDEX(样本到样信息汇总统计!V$2:V$500,MATCH(94,样本到样信息汇总统计!$AA$2:$AA$500,0)),"")</f>
        <v/>
      </c>
      <c r="W95" s="8" t="str">
        <f>IFERROR(INDEX(样本到样信息汇总统计!W$2:W$500,MATCH(94,样本到样信息汇总统计!$AA$2:$AA$500,0)),"")</f>
        <v/>
      </c>
    </row>
    <row r="96" ht="14.5" spans="1:23">
      <c r="A96" s="4" t="str">
        <f>IFERROR(INDEX(样本到样信息汇总统计!A$2:A$500,MATCH(95,样本到样信息汇总统计!$AA$2:$AA$500,0)),"")</f>
        <v/>
      </c>
      <c r="B96" s="4" t="str">
        <f>IFERROR(INDEX(样本到样信息汇总统计!B$2:B$500,MATCH(95,样本到样信息汇总统计!$AA$2:$AA$500,0)),"")</f>
        <v/>
      </c>
      <c r="C96" s="4" t="str">
        <f>IFERROR(INDEX(样本到样信息汇总统计!C$2:C$500,MATCH(95,样本到样信息汇总统计!$AA$2:$AA$500,0)),"")</f>
        <v/>
      </c>
      <c r="D96" s="4" t="str">
        <f>IFERROR(INDEX(样本到样信息汇总统计!D$2:D$500,MATCH(95,样本到样信息汇总统计!$AA$2:$AA$500,0)),"")</f>
        <v/>
      </c>
      <c r="E96" s="4" t="str">
        <f>IFERROR(INDEX(样本到样信息汇总统计!E$2:E$500,MATCH(95,样本到样信息汇总统计!$AA$2:$AA$500,0)),"")</f>
        <v/>
      </c>
      <c r="F96" s="4" t="str">
        <f>IFERROR(INDEX(样本到样信息汇总统计!F$2:F$500,MATCH(95,样本到样信息汇总统计!$AA$2:$AA$500,0)),"")</f>
        <v/>
      </c>
      <c r="G96" s="4" t="str">
        <f>IFERROR(INDEX(样本到样信息汇总统计!G$2:G$500,MATCH(95,样本到样信息汇总统计!$AA$2:$AA$500,0)),"")</f>
        <v/>
      </c>
      <c r="H96" s="4" t="str">
        <f>IFERROR(INDEX(样本到样信息汇总统计!H$2:H$500,MATCH(95,样本到样信息汇总统计!$AA$2:$AA$500,0)),"")</f>
        <v/>
      </c>
      <c r="I96" s="4" t="str">
        <f>IFERROR(INDEX(样本到样信息汇总统计!I$2:I$500,MATCH(95,样本到样信息汇总统计!$AA$2:$AA$500,0)),"")</f>
        <v/>
      </c>
      <c r="J96" s="4" t="str">
        <f>IFERROR(INDEX(样本到样信息汇总统计!J$2:J$500,MATCH(95,样本到样信息汇总统计!$AA$2:$AA$500,0)),"")</f>
        <v/>
      </c>
      <c r="K96" s="4" t="str">
        <f>IFERROR(INDEX(样本到样信息汇总统计!K$2:K$500,MATCH(95,样本到样信息汇总统计!$AA$2:$AA$500,0)),"")</f>
        <v/>
      </c>
      <c r="L96" s="4" t="str">
        <f>IFERROR(INDEX(样本到样信息汇总统计!L$2:L$500,MATCH(95,样本到样信息汇总统计!$AA$2:$AA$500,0)),"")</f>
        <v/>
      </c>
      <c r="M96" s="4" t="str">
        <f>IFERROR(INDEX(样本到样信息汇总统计!M$2:M$500,MATCH(95,样本到样信息汇总统计!$AA$2:$AA$500,0)),"")</f>
        <v/>
      </c>
      <c r="N96" s="4" t="str">
        <f>IFERROR(INDEX(样本到样信息汇总统计!N$2:N$500,MATCH(95,样本到样信息汇总统计!$AA$2:$AA$500,0)),"")</f>
        <v/>
      </c>
      <c r="O96" s="4" t="str">
        <f>IFERROR(INDEX(样本到样信息汇总统计!O$2:O$500,MATCH(95,样本到样信息汇总统计!$AA$2:$AA$500,0)),"")</f>
        <v/>
      </c>
      <c r="P96" s="4" t="str">
        <f>IFERROR(INDEX(样本到样信息汇总统计!P$2:P$500,MATCH(95,样本到样信息汇总统计!$AA$2:$AA$500,0)),"")</f>
        <v/>
      </c>
      <c r="Q96" s="4" t="str">
        <f>IFERROR(INDEX(样本到样信息汇总统计!Q$2:Q$500,MATCH(95,样本到样信息汇总统计!$AA$2:$AA$500,0)),"")</f>
        <v/>
      </c>
      <c r="R96" s="4" t="str">
        <f>IFERROR(INDEX(样本到样信息汇总统计!R$2:R$500,MATCH(95,样本到样信息汇总统计!$AA$2:$AA$500,0)),"")</f>
        <v/>
      </c>
      <c r="S96" s="4" t="str">
        <f>IFERROR(INDEX(样本到样信息汇总统计!S$2:S$500,MATCH(95,样本到样信息汇总统计!$AA$2:$AA$500,0)),"")</f>
        <v/>
      </c>
      <c r="T96" s="4" t="str">
        <f>IFERROR(INDEX(样本到样信息汇总统计!T$2:T$500,MATCH(95,样本到样信息汇总统计!$AA$2:$AA$500,0)),"")</f>
        <v/>
      </c>
      <c r="U96" s="4" t="str">
        <f>IFERROR(INDEX(样本到样信息汇总统计!U$2:U$500,MATCH(95,样本到样信息汇总统计!$AA$2:$AA$500,0)),"")</f>
        <v/>
      </c>
      <c r="V96" s="4" t="str">
        <f>IFERROR(INDEX(样本到样信息汇总统计!V$2:V$500,MATCH(95,样本到样信息汇总统计!$AA$2:$AA$500,0)),"")</f>
        <v/>
      </c>
      <c r="W96" s="4" t="str">
        <f>IFERROR(INDEX(样本到样信息汇总统计!W$2:W$500,MATCH(95,样本到样信息汇总统计!$AA$2:$AA$500,0)),"")</f>
        <v/>
      </c>
    </row>
    <row r="97" ht="14.5" spans="1:23">
      <c r="A97" s="8" t="str">
        <f>IFERROR(INDEX(样本到样信息汇总统计!A$2:A$500,MATCH(96,样本到样信息汇总统计!$AA$2:$AA$500,0)),"")</f>
        <v/>
      </c>
      <c r="B97" s="8" t="str">
        <f>IFERROR(INDEX(样本到样信息汇总统计!B$2:B$500,MATCH(96,样本到样信息汇总统计!$AA$2:$AA$500,0)),"")</f>
        <v/>
      </c>
      <c r="C97" s="8" t="str">
        <f>IFERROR(INDEX(样本到样信息汇总统计!C$2:C$500,MATCH(96,样本到样信息汇总统计!$AA$2:$AA$500,0)),"")</f>
        <v/>
      </c>
      <c r="D97" s="8" t="str">
        <f>IFERROR(INDEX(样本到样信息汇总统计!D$2:D$500,MATCH(96,样本到样信息汇总统计!$AA$2:$AA$500,0)),"")</f>
        <v/>
      </c>
      <c r="E97" s="8" t="str">
        <f>IFERROR(INDEX(样本到样信息汇总统计!E$2:E$500,MATCH(96,样本到样信息汇总统计!$AA$2:$AA$500,0)),"")</f>
        <v/>
      </c>
      <c r="F97" s="8" t="str">
        <f>IFERROR(INDEX(样本到样信息汇总统计!F$2:F$500,MATCH(96,样本到样信息汇总统计!$AA$2:$AA$500,0)),"")</f>
        <v/>
      </c>
      <c r="G97" s="8" t="str">
        <f>IFERROR(INDEX(样本到样信息汇总统计!G$2:G$500,MATCH(96,样本到样信息汇总统计!$AA$2:$AA$500,0)),"")</f>
        <v/>
      </c>
      <c r="H97" s="8" t="str">
        <f>IFERROR(INDEX(样本到样信息汇总统计!H$2:H$500,MATCH(96,样本到样信息汇总统计!$AA$2:$AA$500,0)),"")</f>
        <v/>
      </c>
      <c r="I97" s="8" t="str">
        <f>IFERROR(INDEX(样本到样信息汇总统计!I$2:I$500,MATCH(96,样本到样信息汇总统计!$AA$2:$AA$500,0)),"")</f>
        <v/>
      </c>
      <c r="J97" s="8" t="str">
        <f>IFERROR(INDEX(样本到样信息汇总统计!J$2:J$500,MATCH(96,样本到样信息汇总统计!$AA$2:$AA$500,0)),"")</f>
        <v/>
      </c>
      <c r="K97" s="8" t="str">
        <f>IFERROR(INDEX(样本到样信息汇总统计!K$2:K$500,MATCH(96,样本到样信息汇总统计!$AA$2:$AA$500,0)),"")</f>
        <v/>
      </c>
      <c r="L97" s="8" t="str">
        <f>IFERROR(INDEX(样本到样信息汇总统计!L$2:L$500,MATCH(96,样本到样信息汇总统计!$AA$2:$AA$500,0)),"")</f>
        <v/>
      </c>
      <c r="M97" s="8" t="str">
        <f>IFERROR(INDEX(样本到样信息汇总统计!M$2:M$500,MATCH(96,样本到样信息汇总统计!$AA$2:$AA$500,0)),"")</f>
        <v/>
      </c>
      <c r="N97" s="8" t="str">
        <f>IFERROR(INDEX(样本到样信息汇总统计!N$2:N$500,MATCH(96,样本到样信息汇总统计!$AA$2:$AA$500,0)),"")</f>
        <v/>
      </c>
      <c r="O97" s="8" t="str">
        <f>IFERROR(INDEX(样本到样信息汇总统计!O$2:O$500,MATCH(96,样本到样信息汇总统计!$AA$2:$AA$500,0)),"")</f>
        <v/>
      </c>
      <c r="P97" s="8" t="str">
        <f>IFERROR(INDEX(样本到样信息汇总统计!P$2:P$500,MATCH(96,样本到样信息汇总统计!$AA$2:$AA$500,0)),"")</f>
        <v/>
      </c>
      <c r="Q97" s="8" t="str">
        <f>IFERROR(INDEX(样本到样信息汇总统计!Q$2:Q$500,MATCH(96,样本到样信息汇总统计!$AA$2:$AA$500,0)),"")</f>
        <v/>
      </c>
      <c r="R97" s="8" t="str">
        <f>IFERROR(INDEX(样本到样信息汇总统计!R$2:R$500,MATCH(96,样本到样信息汇总统计!$AA$2:$AA$500,0)),"")</f>
        <v/>
      </c>
      <c r="S97" s="8" t="str">
        <f>IFERROR(INDEX(样本到样信息汇总统计!S$2:S$500,MATCH(96,样本到样信息汇总统计!$AA$2:$AA$500,0)),"")</f>
        <v/>
      </c>
      <c r="T97" s="8" t="str">
        <f>IFERROR(INDEX(样本到样信息汇总统计!T$2:T$500,MATCH(96,样本到样信息汇总统计!$AA$2:$AA$500,0)),"")</f>
        <v/>
      </c>
      <c r="U97" s="8" t="str">
        <f>IFERROR(INDEX(样本到样信息汇总统计!U$2:U$500,MATCH(96,样本到样信息汇总统计!$AA$2:$AA$500,0)),"")</f>
        <v/>
      </c>
      <c r="V97" s="8" t="str">
        <f>IFERROR(INDEX(样本到样信息汇总统计!V$2:V$500,MATCH(96,样本到样信息汇总统计!$AA$2:$AA$500,0)),"")</f>
        <v/>
      </c>
      <c r="W97" s="8" t="str">
        <f>IFERROR(INDEX(样本到样信息汇总统计!W$2:W$500,MATCH(96,样本到样信息汇总统计!$AA$2:$AA$500,0)),"")</f>
        <v/>
      </c>
    </row>
    <row r="98" ht="14.5" spans="1:23">
      <c r="A98" s="4" t="str">
        <f>IFERROR(INDEX(样本到样信息汇总统计!A$2:A$500,MATCH(97,样本到样信息汇总统计!$AA$2:$AA$500,0)),"")</f>
        <v/>
      </c>
      <c r="B98" s="4" t="str">
        <f>IFERROR(INDEX(样本到样信息汇总统计!B$2:B$500,MATCH(97,样本到样信息汇总统计!$AA$2:$AA$500,0)),"")</f>
        <v/>
      </c>
      <c r="C98" s="4" t="str">
        <f>IFERROR(INDEX(样本到样信息汇总统计!C$2:C$500,MATCH(97,样本到样信息汇总统计!$AA$2:$AA$500,0)),"")</f>
        <v/>
      </c>
      <c r="D98" s="4" t="str">
        <f>IFERROR(INDEX(样本到样信息汇总统计!D$2:D$500,MATCH(97,样本到样信息汇总统计!$AA$2:$AA$500,0)),"")</f>
        <v/>
      </c>
      <c r="E98" s="4" t="str">
        <f>IFERROR(INDEX(样本到样信息汇总统计!E$2:E$500,MATCH(97,样本到样信息汇总统计!$AA$2:$AA$500,0)),"")</f>
        <v/>
      </c>
      <c r="F98" s="4" t="str">
        <f>IFERROR(INDEX(样本到样信息汇总统计!F$2:F$500,MATCH(97,样本到样信息汇总统计!$AA$2:$AA$500,0)),"")</f>
        <v/>
      </c>
      <c r="G98" s="4" t="str">
        <f>IFERROR(INDEX(样本到样信息汇总统计!G$2:G$500,MATCH(97,样本到样信息汇总统计!$AA$2:$AA$500,0)),"")</f>
        <v/>
      </c>
      <c r="H98" s="4" t="str">
        <f>IFERROR(INDEX(样本到样信息汇总统计!H$2:H$500,MATCH(97,样本到样信息汇总统计!$AA$2:$AA$500,0)),"")</f>
        <v/>
      </c>
      <c r="I98" s="4" t="str">
        <f>IFERROR(INDEX(样本到样信息汇总统计!I$2:I$500,MATCH(97,样本到样信息汇总统计!$AA$2:$AA$500,0)),"")</f>
        <v/>
      </c>
      <c r="J98" s="4" t="str">
        <f>IFERROR(INDEX(样本到样信息汇总统计!J$2:J$500,MATCH(97,样本到样信息汇总统计!$AA$2:$AA$500,0)),"")</f>
        <v/>
      </c>
      <c r="K98" s="4" t="str">
        <f>IFERROR(INDEX(样本到样信息汇总统计!K$2:K$500,MATCH(97,样本到样信息汇总统计!$AA$2:$AA$500,0)),"")</f>
        <v/>
      </c>
      <c r="L98" s="4" t="str">
        <f>IFERROR(INDEX(样本到样信息汇总统计!L$2:L$500,MATCH(97,样本到样信息汇总统计!$AA$2:$AA$500,0)),"")</f>
        <v/>
      </c>
      <c r="M98" s="4" t="str">
        <f>IFERROR(INDEX(样本到样信息汇总统计!M$2:M$500,MATCH(97,样本到样信息汇总统计!$AA$2:$AA$500,0)),"")</f>
        <v/>
      </c>
      <c r="N98" s="4" t="str">
        <f>IFERROR(INDEX(样本到样信息汇总统计!N$2:N$500,MATCH(97,样本到样信息汇总统计!$AA$2:$AA$500,0)),"")</f>
        <v/>
      </c>
      <c r="O98" s="4" t="str">
        <f>IFERROR(INDEX(样本到样信息汇总统计!O$2:O$500,MATCH(97,样本到样信息汇总统计!$AA$2:$AA$500,0)),"")</f>
        <v/>
      </c>
      <c r="P98" s="4" t="str">
        <f>IFERROR(INDEX(样本到样信息汇总统计!P$2:P$500,MATCH(97,样本到样信息汇总统计!$AA$2:$AA$500,0)),"")</f>
        <v/>
      </c>
      <c r="Q98" s="4" t="str">
        <f>IFERROR(INDEX(样本到样信息汇总统计!Q$2:Q$500,MATCH(97,样本到样信息汇总统计!$AA$2:$AA$500,0)),"")</f>
        <v/>
      </c>
      <c r="R98" s="4" t="str">
        <f>IFERROR(INDEX(样本到样信息汇总统计!R$2:R$500,MATCH(97,样本到样信息汇总统计!$AA$2:$AA$500,0)),"")</f>
        <v/>
      </c>
      <c r="S98" s="4" t="str">
        <f>IFERROR(INDEX(样本到样信息汇总统计!S$2:S$500,MATCH(97,样本到样信息汇总统计!$AA$2:$AA$500,0)),"")</f>
        <v/>
      </c>
      <c r="T98" s="4" t="str">
        <f>IFERROR(INDEX(样本到样信息汇总统计!T$2:T$500,MATCH(97,样本到样信息汇总统计!$AA$2:$AA$500,0)),"")</f>
        <v/>
      </c>
      <c r="U98" s="4" t="str">
        <f>IFERROR(INDEX(样本到样信息汇总统计!U$2:U$500,MATCH(97,样本到样信息汇总统计!$AA$2:$AA$500,0)),"")</f>
        <v/>
      </c>
      <c r="V98" s="4" t="str">
        <f>IFERROR(INDEX(样本到样信息汇总统计!V$2:V$500,MATCH(97,样本到样信息汇总统计!$AA$2:$AA$500,0)),"")</f>
        <v/>
      </c>
      <c r="W98" s="4" t="str">
        <f>IFERROR(INDEX(样本到样信息汇总统计!W$2:W$500,MATCH(97,样本到样信息汇总统计!$AA$2:$AA$500,0)),"")</f>
        <v/>
      </c>
    </row>
    <row r="99" ht="14.5" spans="1:23">
      <c r="A99" s="8" t="str">
        <f>IFERROR(INDEX(样本到样信息汇总统计!A$2:A$500,MATCH(98,样本到样信息汇总统计!$AA$2:$AA$500,0)),"")</f>
        <v/>
      </c>
      <c r="B99" s="8" t="str">
        <f>IFERROR(INDEX(样本到样信息汇总统计!B$2:B$500,MATCH(98,样本到样信息汇总统计!$AA$2:$AA$500,0)),"")</f>
        <v/>
      </c>
      <c r="C99" s="8" t="str">
        <f>IFERROR(INDEX(样本到样信息汇总统计!C$2:C$500,MATCH(98,样本到样信息汇总统计!$AA$2:$AA$500,0)),"")</f>
        <v/>
      </c>
      <c r="D99" s="8" t="str">
        <f>IFERROR(INDEX(样本到样信息汇总统计!D$2:D$500,MATCH(98,样本到样信息汇总统计!$AA$2:$AA$500,0)),"")</f>
        <v/>
      </c>
      <c r="E99" s="8" t="str">
        <f>IFERROR(INDEX(样本到样信息汇总统计!E$2:E$500,MATCH(98,样本到样信息汇总统计!$AA$2:$AA$500,0)),"")</f>
        <v/>
      </c>
      <c r="F99" s="8" t="str">
        <f>IFERROR(INDEX(样本到样信息汇总统计!F$2:F$500,MATCH(98,样本到样信息汇总统计!$AA$2:$AA$500,0)),"")</f>
        <v/>
      </c>
      <c r="G99" s="8" t="str">
        <f>IFERROR(INDEX(样本到样信息汇总统计!G$2:G$500,MATCH(98,样本到样信息汇总统计!$AA$2:$AA$500,0)),"")</f>
        <v/>
      </c>
      <c r="H99" s="8" t="str">
        <f>IFERROR(INDEX(样本到样信息汇总统计!H$2:H$500,MATCH(98,样本到样信息汇总统计!$AA$2:$AA$500,0)),"")</f>
        <v/>
      </c>
      <c r="I99" s="8" t="str">
        <f>IFERROR(INDEX(样本到样信息汇总统计!I$2:I$500,MATCH(98,样本到样信息汇总统计!$AA$2:$AA$500,0)),"")</f>
        <v/>
      </c>
      <c r="J99" s="8" t="str">
        <f>IFERROR(INDEX(样本到样信息汇总统计!J$2:J$500,MATCH(98,样本到样信息汇总统计!$AA$2:$AA$500,0)),"")</f>
        <v/>
      </c>
      <c r="K99" s="8" t="str">
        <f>IFERROR(INDEX(样本到样信息汇总统计!K$2:K$500,MATCH(98,样本到样信息汇总统计!$AA$2:$AA$500,0)),"")</f>
        <v/>
      </c>
      <c r="L99" s="8" t="str">
        <f>IFERROR(INDEX(样本到样信息汇总统计!L$2:L$500,MATCH(98,样本到样信息汇总统计!$AA$2:$AA$500,0)),"")</f>
        <v/>
      </c>
      <c r="M99" s="8" t="str">
        <f>IFERROR(INDEX(样本到样信息汇总统计!M$2:M$500,MATCH(98,样本到样信息汇总统计!$AA$2:$AA$500,0)),"")</f>
        <v/>
      </c>
      <c r="N99" s="8" t="str">
        <f>IFERROR(INDEX(样本到样信息汇总统计!N$2:N$500,MATCH(98,样本到样信息汇总统计!$AA$2:$AA$500,0)),"")</f>
        <v/>
      </c>
      <c r="O99" s="8" t="str">
        <f>IFERROR(INDEX(样本到样信息汇总统计!O$2:O$500,MATCH(98,样本到样信息汇总统计!$AA$2:$AA$500,0)),"")</f>
        <v/>
      </c>
      <c r="P99" s="8" t="str">
        <f>IFERROR(INDEX(样本到样信息汇总统计!P$2:P$500,MATCH(98,样本到样信息汇总统计!$AA$2:$AA$500,0)),"")</f>
        <v/>
      </c>
      <c r="Q99" s="8" t="str">
        <f>IFERROR(INDEX(样本到样信息汇总统计!Q$2:Q$500,MATCH(98,样本到样信息汇总统计!$AA$2:$AA$500,0)),"")</f>
        <v/>
      </c>
      <c r="R99" s="8" t="str">
        <f>IFERROR(INDEX(样本到样信息汇总统计!R$2:R$500,MATCH(98,样本到样信息汇总统计!$AA$2:$AA$500,0)),"")</f>
        <v/>
      </c>
      <c r="S99" s="8" t="str">
        <f>IFERROR(INDEX(样本到样信息汇总统计!S$2:S$500,MATCH(98,样本到样信息汇总统计!$AA$2:$AA$500,0)),"")</f>
        <v/>
      </c>
      <c r="T99" s="8" t="str">
        <f>IFERROR(INDEX(样本到样信息汇总统计!T$2:T$500,MATCH(98,样本到样信息汇总统计!$AA$2:$AA$500,0)),"")</f>
        <v/>
      </c>
      <c r="U99" s="8" t="str">
        <f>IFERROR(INDEX(样本到样信息汇总统计!U$2:U$500,MATCH(98,样本到样信息汇总统计!$AA$2:$AA$500,0)),"")</f>
        <v/>
      </c>
      <c r="V99" s="8" t="str">
        <f>IFERROR(INDEX(样本到样信息汇总统计!V$2:V$500,MATCH(98,样本到样信息汇总统计!$AA$2:$AA$500,0)),"")</f>
        <v/>
      </c>
      <c r="W99" s="8" t="str">
        <f>IFERROR(INDEX(样本到样信息汇总统计!W$2:W$500,MATCH(98,样本到样信息汇总统计!$AA$2:$AA$500,0)),"")</f>
        <v/>
      </c>
    </row>
    <row r="100" ht="14.5" spans="1:23">
      <c r="A100" s="4" t="str">
        <f>IFERROR(INDEX(样本到样信息汇总统计!A$2:A$500,MATCH(99,样本到样信息汇总统计!$AA$2:$AA$500,0)),"")</f>
        <v/>
      </c>
      <c r="B100" s="4" t="str">
        <f>IFERROR(INDEX(样本到样信息汇总统计!B$2:B$500,MATCH(99,样本到样信息汇总统计!$AA$2:$AA$500,0)),"")</f>
        <v/>
      </c>
      <c r="C100" s="4" t="str">
        <f>IFERROR(INDEX(样本到样信息汇总统计!C$2:C$500,MATCH(99,样本到样信息汇总统计!$AA$2:$AA$500,0)),"")</f>
        <v/>
      </c>
      <c r="D100" s="4" t="str">
        <f>IFERROR(INDEX(样本到样信息汇总统计!D$2:D$500,MATCH(99,样本到样信息汇总统计!$AA$2:$AA$500,0)),"")</f>
        <v/>
      </c>
      <c r="E100" s="4" t="str">
        <f>IFERROR(INDEX(样本到样信息汇总统计!E$2:E$500,MATCH(99,样本到样信息汇总统计!$AA$2:$AA$500,0)),"")</f>
        <v/>
      </c>
      <c r="F100" s="4" t="str">
        <f>IFERROR(INDEX(样本到样信息汇总统计!F$2:F$500,MATCH(99,样本到样信息汇总统计!$AA$2:$AA$500,0)),"")</f>
        <v/>
      </c>
      <c r="G100" s="4" t="str">
        <f>IFERROR(INDEX(样本到样信息汇总统计!G$2:G$500,MATCH(99,样本到样信息汇总统计!$AA$2:$AA$500,0)),"")</f>
        <v/>
      </c>
      <c r="H100" s="4" t="str">
        <f>IFERROR(INDEX(样本到样信息汇总统计!H$2:H$500,MATCH(99,样本到样信息汇总统计!$AA$2:$AA$500,0)),"")</f>
        <v/>
      </c>
      <c r="I100" s="4" t="str">
        <f>IFERROR(INDEX(样本到样信息汇总统计!I$2:I$500,MATCH(99,样本到样信息汇总统计!$AA$2:$AA$500,0)),"")</f>
        <v/>
      </c>
      <c r="J100" s="4" t="str">
        <f>IFERROR(INDEX(样本到样信息汇总统计!J$2:J$500,MATCH(99,样本到样信息汇总统计!$AA$2:$AA$500,0)),"")</f>
        <v/>
      </c>
      <c r="K100" s="4" t="str">
        <f>IFERROR(INDEX(样本到样信息汇总统计!K$2:K$500,MATCH(99,样本到样信息汇总统计!$AA$2:$AA$500,0)),"")</f>
        <v/>
      </c>
      <c r="L100" s="4" t="str">
        <f>IFERROR(INDEX(样本到样信息汇总统计!L$2:L$500,MATCH(99,样本到样信息汇总统计!$AA$2:$AA$500,0)),"")</f>
        <v/>
      </c>
      <c r="M100" s="4" t="str">
        <f>IFERROR(INDEX(样本到样信息汇总统计!M$2:M$500,MATCH(99,样本到样信息汇总统计!$AA$2:$AA$500,0)),"")</f>
        <v/>
      </c>
      <c r="N100" s="4" t="str">
        <f>IFERROR(INDEX(样本到样信息汇总统计!N$2:N$500,MATCH(99,样本到样信息汇总统计!$AA$2:$AA$500,0)),"")</f>
        <v/>
      </c>
      <c r="O100" s="4" t="str">
        <f>IFERROR(INDEX(样本到样信息汇总统计!O$2:O$500,MATCH(99,样本到样信息汇总统计!$AA$2:$AA$500,0)),"")</f>
        <v/>
      </c>
      <c r="P100" s="4" t="str">
        <f>IFERROR(INDEX(样本到样信息汇总统计!P$2:P$500,MATCH(99,样本到样信息汇总统计!$AA$2:$AA$500,0)),"")</f>
        <v/>
      </c>
      <c r="Q100" s="4" t="str">
        <f>IFERROR(INDEX(样本到样信息汇总统计!Q$2:Q$500,MATCH(99,样本到样信息汇总统计!$AA$2:$AA$500,0)),"")</f>
        <v/>
      </c>
      <c r="R100" s="4" t="str">
        <f>IFERROR(INDEX(样本到样信息汇总统计!R$2:R$500,MATCH(99,样本到样信息汇总统计!$AA$2:$AA$500,0)),"")</f>
        <v/>
      </c>
      <c r="S100" s="4" t="str">
        <f>IFERROR(INDEX(样本到样信息汇总统计!S$2:S$500,MATCH(99,样本到样信息汇总统计!$AA$2:$AA$500,0)),"")</f>
        <v/>
      </c>
      <c r="T100" s="4" t="str">
        <f>IFERROR(INDEX(样本到样信息汇总统计!T$2:T$500,MATCH(99,样本到样信息汇总统计!$AA$2:$AA$500,0)),"")</f>
        <v/>
      </c>
      <c r="U100" s="4" t="str">
        <f>IFERROR(INDEX(样本到样信息汇总统计!U$2:U$500,MATCH(99,样本到样信息汇总统计!$AA$2:$AA$500,0)),"")</f>
        <v/>
      </c>
      <c r="V100" s="4" t="str">
        <f>IFERROR(INDEX(样本到样信息汇总统计!V$2:V$500,MATCH(99,样本到样信息汇总统计!$AA$2:$AA$500,0)),"")</f>
        <v/>
      </c>
      <c r="W100" s="4" t="str">
        <f>IFERROR(INDEX(样本到样信息汇总统计!W$2:W$500,MATCH(99,样本到样信息汇总统计!$AA$2:$AA$500,0)),"")</f>
        <v/>
      </c>
    </row>
    <row r="101" ht="14.5" spans="1:23">
      <c r="A101" s="8" t="str">
        <f>IFERROR(INDEX(样本到样信息汇总统计!A$2:A$500,MATCH(100,样本到样信息汇总统计!$AA$2:$AA$500,0)),"")</f>
        <v/>
      </c>
      <c r="B101" s="8" t="str">
        <f>IFERROR(INDEX(样本到样信息汇总统计!B$2:B$500,MATCH(100,样本到样信息汇总统计!$AA$2:$AA$500,0)),"")</f>
        <v/>
      </c>
      <c r="C101" s="8" t="str">
        <f>IFERROR(INDEX(样本到样信息汇总统计!C$2:C$500,MATCH(100,样本到样信息汇总统计!$AA$2:$AA$500,0)),"")</f>
        <v/>
      </c>
      <c r="D101" s="8" t="str">
        <f>IFERROR(INDEX(样本到样信息汇总统计!D$2:D$500,MATCH(100,样本到样信息汇总统计!$AA$2:$AA$500,0)),"")</f>
        <v/>
      </c>
      <c r="E101" s="8" t="str">
        <f>IFERROR(INDEX(样本到样信息汇总统计!E$2:E$500,MATCH(100,样本到样信息汇总统计!$AA$2:$AA$500,0)),"")</f>
        <v/>
      </c>
      <c r="F101" s="8" t="str">
        <f>IFERROR(INDEX(样本到样信息汇总统计!F$2:F$500,MATCH(100,样本到样信息汇总统计!$AA$2:$AA$500,0)),"")</f>
        <v/>
      </c>
      <c r="G101" s="8" t="str">
        <f>IFERROR(INDEX(样本到样信息汇总统计!G$2:G$500,MATCH(100,样本到样信息汇总统计!$AA$2:$AA$500,0)),"")</f>
        <v/>
      </c>
      <c r="H101" s="8" t="str">
        <f>IFERROR(INDEX(样本到样信息汇总统计!H$2:H$500,MATCH(100,样本到样信息汇总统计!$AA$2:$AA$500,0)),"")</f>
        <v/>
      </c>
      <c r="I101" s="8" t="str">
        <f>IFERROR(INDEX(样本到样信息汇总统计!I$2:I$500,MATCH(100,样本到样信息汇总统计!$AA$2:$AA$500,0)),"")</f>
        <v/>
      </c>
      <c r="J101" s="8" t="str">
        <f>IFERROR(INDEX(样本到样信息汇总统计!J$2:J$500,MATCH(100,样本到样信息汇总统计!$AA$2:$AA$500,0)),"")</f>
        <v/>
      </c>
      <c r="K101" s="8" t="str">
        <f>IFERROR(INDEX(样本到样信息汇总统计!K$2:K$500,MATCH(100,样本到样信息汇总统计!$AA$2:$AA$500,0)),"")</f>
        <v/>
      </c>
      <c r="L101" s="8" t="str">
        <f>IFERROR(INDEX(样本到样信息汇总统计!L$2:L$500,MATCH(100,样本到样信息汇总统计!$AA$2:$AA$500,0)),"")</f>
        <v/>
      </c>
      <c r="M101" s="8" t="str">
        <f>IFERROR(INDEX(样本到样信息汇总统计!M$2:M$500,MATCH(100,样本到样信息汇总统计!$AA$2:$AA$500,0)),"")</f>
        <v/>
      </c>
      <c r="N101" s="8" t="str">
        <f>IFERROR(INDEX(样本到样信息汇总统计!N$2:N$500,MATCH(100,样本到样信息汇总统计!$AA$2:$AA$500,0)),"")</f>
        <v/>
      </c>
      <c r="O101" s="8" t="str">
        <f>IFERROR(INDEX(样本到样信息汇总统计!O$2:O$500,MATCH(100,样本到样信息汇总统计!$AA$2:$AA$500,0)),"")</f>
        <v/>
      </c>
      <c r="P101" s="8" t="str">
        <f>IFERROR(INDEX(样本到样信息汇总统计!P$2:P$500,MATCH(100,样本到样信息汇总统计!$AA$2:$AA$500,0)),"")</f>
        <v/>
      </c>
      <c r="Q101" s="8" t="str">
        <f>IFERROR(INDEX(样本到样信息汇总统计!Q$2:Q$500,MATCH(100,样本到样信息汇总统计!$AA$2:$AA$500,0)),"")</f>
        <v/>
      </c>
      <c r="R101" s="8" t="str">
        <f>IFERROR(INDEX(样本到样信息汇总统计!R$2:R$500,MATCH(100,样本到样信息汇总统计!$AA$2:$AA$500,0)),"")</f>
        <v/>
      </c>
      <c r="S101" s="8" t="str">
        <f>IFERROR(INDEX(样本到样信息汇总统计!S$2:S$500,MATCH(100,样本到样信息汇总统计!$AA$2:$AA$500,0)),"")</f>
        <v/>
      </c>
      <c r="T101" s="8" t="str">
        <f>IFERROR(INDEX(样本到样信息汇总统计!T$2:T$500,MATCH(100,样本到样信息汇总统计!$AA$2:$AA$500,0)),"")</f>
        <v/>
      </c>
      <c r="U101" s="8" t="str">
        <f>IFERROR(INDEX(样本到样信息汇总统计!U$2:U$500,MATCH(100,样本到样信息汇总统计!$AA$2:$AA$500,0)),"")</f>
        <v/>
      </c>
      <c r="V101" s="8" t="str">
        <f>IFERROR(INDEX(样本到样信息汇总统计!V$2:V$500,MATCH(100,样本到样信息汇总统计!$AA$2:$AA$500,0)),"")</f>
        <v/>
      </c>
      <c r="W101" s="8" t="str">
        <f>IFERROR(INDEX(样本到样信息汇总统计!W$2:W$500,MATCH(100,样本到样信息汇总统计!$AA$2:$AA$500,0)),"")</f>
        <v/>
      </c>
    </row>
    <row r="102" ht="14.5" spans="1:23">
      <c r="A102" s="4" t="str">
        <f>IFERROR(INDEX(样本到样信息汇总统计!A$2:A$500,MATCH(101,样本到样信息汇总统计!$AA$2:$AA$500,0)),"")</f>
        <v/>
      </c>
      <c r="B102" s="4" t="str">
        <f>IFERROR(INDEX(样本到样信息汇总统计!B$2:B$500,MATCH(101,样本到样信息汇总统计!$AA$2:$AA$500,0)),"")</f>
        <v/>
      </c>
      <c r="C102" s="4" t="str">
        <f>IFERROR(INDEX(样本到样信息汇总统计!C$2:C$500,MATCH(101,样本到样信息汇总统计!$AA$2:$AA$500,0)),"")</f>
        <v/>
      </c>
      <c r="D102" s="4" t="str">
        <f>IFERROR(INDEX(样本到样信息汇总统计!D$2:D$500,MATCH(101,样本到样信息汇总统计!$AA$2:$AA$500,0)),"")</f>
        <v/>
      </c>
      <c r="E102" s="4" t="str">
        <f>IFERROR(INDEX(样本到样信息汇总统计!E$2:E$500,MATCH(101,样本到样信息汇总统计!$AA$2:$AA$500,0)),"")</f>
        <v/>
      </c>
      <c r="F102" s="4" t="str">
        <f>IFERROR(INDEX(样本到样信息汇总统计!F$2:F$500,MATCH(101,样本到样信息汇总统计!$AA$2:$AA$500,0)),"")</f>
        <v/>
      </c>
      <c r="G102" s="4" t="str">
        <f>IFERROR(INDEX(样本到样信息汇总统计!G$2:G$500,MATCH(101,样本到样信息汇总统计!$AA$2:$AA$500,0)),"")</f>
        <v/>
      </c>
      <c r="H102" s="4" t="str">
        <f>IFERROR(INDEX(样本到样信息汇总统计!H$2:H$500,MATCH(101,样本到样信息汇总统计!$AA$2:$AA$500,0)),"")</f>
        <v/>
      </c>
      <c r="I102" s="4" t="str">
        <f>IFERROR(INDEX(样本到样信息汇总统计!I$2:I$500,MATCH(101,样本到样信息汇总统计!$AA$2:$AA$500,0)),"")</f>
        <v/>
      </c>
      <c r="J102" s="4" t="str">
        <f>IFERROR(INDEX(样本到样信息汇总统计!J$2:J$500,MATCH(101,样本到样信息汇总统计!$AA$2:$AA$500,0)),"")</f>
        <v/>
      </c>
      <c r="K102" s="4" t="str">
        <f>IFERROR(INDEX(样本到样信息汇总统计!K$2:K$500,MATCH(101,样本到样信息汇总统计!$AA$2:$AA$500,0)),"")</f>
        <v/>
      </c>
      <c r="L102" s="4" t="str">
        <f>IFERROR(INDEX(样本到样信息汇总统计!L$2:L$500,MATCH(101,样本到样信息汇总统计!$AA$2:$AA$500,0)),"")</f>
        <v/>
      </c>
      <c r="M102" s="4" t="str">
        <f>IFERROR(INDEX(样本到样信息汇总统计!M$2:M$500,MATCH(101,样本到样信息汇总统计!$AA$2:$AA$500,0)),"")</f>
        <v/>
      </c>
      <c r="N102" s="4" t="str">
        <f>IFERROR(INDEX(样本到样信息汇总统计!N$2:N$500,MATCH(101,样本到样信息汇总统计!$AA$2:$AA$500,0)),"")</f>
        <v/>
      </c>
      <c r="O102" s="4" t="str">
        <f>IFERROR(INDEX(样本到样信息汇总统计!O$2:O$500,MATCH(101,样本到样信息汇总统计!$AA$2:$AA$500,0)),"")</f>
        <v/>
      </c>
      <c r="P102" s="4" t="str">
        <f>IFERROR(INDEX(样本到样信息汇总统计!P$2:P$500,MATCH(101,样本到样信息汇总统计!$AA$2:$AA$500,0)),"")</f>
        <v/>
      </c>
      <c r="Q102" s="4" t="str">
        <f>IFERROR(INDEX(样本到样信息汇总统计!Q$2:Q$500,MATCH(101,样本到样信息汇总统计!$AA$2:$AA$500,0)),"")</f>
        <v/>
      </c>
      <c r="R102" s="4" t="str">
        <f>IFERROR(INDEX(样本到样信息汇总统计!R$2:R$500,MATCH(101,样本到样信息汇总统计!$AA$2:$AA$500,0)),"")</f>
        <v/>
      </c>
      <c r="S102" s="4" t="str">
        <f>IFERROR(INDEX(样本到样信息汇总统计!S$2:S$500,MATCH(101,样本到样信息汇总统计!$AA$2:$AA$500,0)),"")</f>
        <v/>
      </c>
      <c r="T102" s="4" t="str">
        <f>IFERROR(INDEX(样本到样信息汇总统计!T$2:T$500,MATCH(101,样本到样信息汇总统计!$AA$2:$AA$500,0)),"")</f>
        <v/>
      </c>
      <c r="U102" s="4" t="str">
        <f>IFERROR(INDEX(样本到样信息汇总统计!U$2:U$500,MATCH(101,样本到样信息汇总统计!$AA$2:$AA$500,0)),"")</f>
        <v/>
      </c>
      <c r="V102" s="4" t="str">
        <f>IFERROR(INDEX(样本到样信息汇总统计!V$2:V$500,MATCH(101,样本到样信息汇总统计!$AA$2:$AA$500,0)),"")</f>
        <v/>
      </c>
      <c r="W102" s="4" t="str">
        <f>IFERROR(INDEX(样本到样信息汇总统计!W$2:W$500,MATCH(101,样本到样信息汇总统计!$AA$2:$AA$500,0)),"")</f>
        <v/>
      </c>
    </row>
    <row r="103" ht="14.5" spans="1:23">
      <c r="A103" s="8" t="str">
        <f>IFERROR(INDEX(样本到样信息汇总统计!A$2:A$500,MATCH(102,样本到样信息汇总统计!$AA$2:$AA$500,0)),"")</f>
        <v/>
      </c>
      <c r="B103" s="8" t="str">
        <f>IFERROR(INDEX(样本到样信息汇总统计!B$2:B$500,MATCH(102,样本到样信息汇总统计!$AA$2:$AA$500,0)),"")</f>
        <v/>
      </c>
      <c r="C103" s="8" t="str">
        <f>IFERROR(INDEX(样本到样信息汇总统计!C$2:C$500,MATCH(102,样本到样信息汇总统计!$AA$2:$AA$500,0)),"")</f>
        <v/>
      </c>
      <c r="D103" s="8" t="str">
        <f>IFERROR(INDEX(样本到样信息汇总统计!D$2:D$500,MATCH(102,样本到样信息汇总统计!$AA$2:$AA$500,0)),"")</f>
        <v/>
      </c>
      <c r="E103" s="8" t="str">
        <f>IFERROR(INDEX(样本到样信息汇总统计!E$2:E$500,MATCH(102,样本到样信息汇总统计!$AA$2:$AA$500,0)),"")</f>
        <v/>
      </c>
      <c r="F103" s="8" t="str">
        <f>IFERROR(INDEX(样本到样信息汇总统计!F$2:F$500,MATCH(102,样本到样信息汇总统计!$AA$2:$AA$500,0)),"")</f>
        <v/>
      </c>
      <c r="G103" s="8" t="str">
        <f>IFERROR(INDEX(样本到样信息汇总统计!G$2:G$500,MATCH(102,样本到样信息汇总统计!$AA$2:$AA$500,0)),"")</f>
        <v/>
      </c>
      <c r="H103" s="8" t="str">
        <f>IFERROR(INDEX(样本到样信息汇总统计!H$2:H$500,MATCH(102,样本到样信息汇总统计!$AA$2:$AA$500,0)),"")</f>
        <v/>
      </c>
      <c r="I103" s="8" t="str">
        <f>IFERROR(INDEX(样本到样信息汇总统计!I$2:I$500,MATCH(102,样本到样信息汇总统计!$AA$2:$AA$500,0)),"")</f>
        <v/>
      </c>
      <c r="J103" s="8" t="str">
        <f>IFERROR(INDEX(样本到样信息汇总统计!J$2:J$500,MATCH(102,样本到样信息汇总统计!$AA$2:$AA$500,0)),"")</f>
        <v/>
      </c>
      <c r="K103" s="8" t="str">
        <f>IFERROR(INDEX(样本到样信息汇总统计!K$2:K$500,MATCH(102,样本到样信息汇总统计!$AA$2:$AA$500,0)),"")</f>
        <v/>
      </c>
      <c r="L103" s="8" t="str">
        <f>IFERROR(INDEX(样本到样信息汇总统计!L$2:L$500,MATCH(102,样本到样信息汇总统计!$AA$2:$AA$500,0)),"")</f>
        <v/>
      </c>
      <c r="M103" s="8" t="str">
        <f>IFERROR(INDEX(样本到样信息汇总统计!M$2:M$500,MATCH(102,样本到样信息汇总统计!$AA$2:$AA$500,0)),"")</f>
        <v/>
      </c>
      <c r="N103" s="8" t="str">
        <f>IFERROR(INDEX(样本到样信息汇总统计!N$2:N$500,MATCH(102,样本到样信息汇总统计!$AA$2:$AA$500,0)),"")</f>
        <v/>
      </c>
      <c r="O103" s="8" t="str">
        <f>IFERROR(INDEX(样本到样信息汇总统计!O$2:O$500,MATCH(102,样本到样信息汇总统计!$AA$2:$AA$500,0)),"")</f>
        <v/>
      </c>
      <c r="P103" s="8" t="str">
        <f>IFERROR(INDEX(样本到样信息汇总统计!P$2:P$500,MATCH(102,样本到样信息汇总统计!$AA$2:$AA$500,0)),"")</f>
        <v/>
      </c>
      <c r="Q103" s="8" t="str">
        <f>IFERROR(INDEX(样本到样信息汇总统计!Q$2:Q$500,MATCH(102,样本到样信息汇总统计!$AA$2:$AA$500,0)),"")</f>
        <v/>
      </c>
      <c r="R103" s="8" t="str">
        <f>IFERROR(INDEX(样本到样信息汇总统计!R$2:R$500,MATCH(102,样本到样信息汇总统计!$AA$2:$AA$500,0)),"")</f>
        <v/>
      </c>
      <c r="S103" s="8" t="str">
        <f>IFERROR(INDEX(样本到样信息汇总统计!S$2:S$500,MATCH(102,样本到样信息汇总统计!$AA$2:$AA$500,0)),"")</f>
        <v/>
      </c>
      <c r="T103" s="8" t="str">
        <f>IFERROR(INDEX(样本到样信息汇总统计!T$2:T$500,MATCH(102,样本到样信息汇总统计!$AA$2:$AA$500,0)),"")</f>
        <v/>
      </c>
      <c r="U103" s="8" t="str">
        <f>IFERROR(INDEX(样本到样信息汇总统计!U$2:U$500,MATCH(102,样本到样信息汇总统计!$AA$2:$AA$500,0)),"")</f>
        <v/>
      </c>
      <c r="V103" s="8" t="str">
        <f>IFERROR(INDEX(样本到样信息汇总统计!V$2:V$500,MATCH(102,样本到样信息汇总统计!$AA$2:$AA$500,0)),"")</f>
        <v/>
      </c>
      <c r="W103" s="8" t="str">
        <f>IFERROR(INDEX(样本到样信息汇总统计!W$2:W$500,MATCH(102,样本到样信息汇总统计!$AA$2:$AA$500,0)),"")</f>
        <v/>
      </c>
    </row>
    <row r="104" ht="14.5" spans="1:23">
      <c r="A104" s="4" t="str">
        <f>IFERROR(INDEX(样本到样信息汇总统计!A$2:A$500,MATCH(103,样本到样信息汇总统计!$AA$2:$AA$500,0)),"")</f>
        <v/>
      </c>
      <c r="B104" s="4" t="str">
        <f>IFERROR(INDEX(样本到样信息汇总统计!B$2:B$500,MATCH(103,样本到样信息汇总统计!$AA$2:$AA$500,0)),"")</f>
        <v/>
      </c>
      <c r="C104" s="4" t="str">
        <f>IFERROR(INDEX(样本到样信息汇总统计!C$2:C$500,MATCH(103,样本到样信息汇总统计!$AA$2:$AA$500,0)),"")</f>
        <v/>
      </c>
      <c r="D104" s="4" t="str">
        <f>IFERROR(INDEX(样本到样信息汇总统计!D$2:D$500,MATCH(103,样本到样信息汇总统计!$AA$2:$AA$500,0)),"")</f>
        <v/>
      </c>
      <c r="E104" s="4" t="str">
        <f>IFERROR(INDEX(样本到样信息汇总统计!E$2:E$500,MATCH(103,样本到样信息汇总统计!$AA$2:$AA$500,0)),"")</f>
        <v/>
      </c>
      <c r="F104" s="4" t="str">
        <f>IFERROR(INDEX(样本到样信息汇总统计!F$2:F$500,MATCH(103,样本到样信息汇总统计!$AA$2:$AA$500,0)),"")</f>
        <v/>
      </c>
      <c r="G104" s="4" t="str">
        <f>IFERROR(INDEX(样本到样信息汇总统计!G$2:G$500,MATCH(103,样本到样信息汇总统计!$AA$2:$AA$500,0)),"")</f>
        <v/>
      </c>
      <c r="H104" s="4" t="str">
        <f>IFERROR(INDEX(样本到样信息汇总统计!H$2:H$500,MATCH(103,样本到样信息汇总统计!$AA$2:$AA$500,0)),"")</f>
        <v/>
      </c>
      <c r="I104" s="4" t="str">
        <f>IFERROR(INDEX(样本到样信息汇总统计!I$2:I$500,MATCH(103,样本到样信息汇总统计!$AA$2:$AA$500,0)),"")</f>
        <v/>
      </c>
      <c r="J104" s="4" t="str">
        <f>IFERROR(INDEX(样本到样信息汇总统计!J$2:J$500,MATCH(103,样本到样信息汇总统计!$AA$2:$AA$500,0)),"")</f>
        <v/>
      </c>
      <c r="K104" s="4" t="str">
        <f>IFERROR(INDEX(样本到样信息汇总统计!K$2:K$500,MATCH(103,样本到样信息汇总统计!$AA$2:$AA$500,0)),"")</f>
        <v/>
      </c>
      <c r="L104" s="4" t="str">
        <f>IFERROR(INDEX(样本到样信息汇总统计!L$2:L$500,MATCH(103,样本到样信息汇总统计!$AA$2:$AA$500,0)),"")</f>
        <v/>
      </c>
      <c r="M104" s="4" t="str">
        <f>IFERROR(INDEX(样本到样信息汇总统计!M$2:M$500,MATCH(103,样本到样信息汇总统计!$AA$2:$AA$500,0)),"")</f>
        <v/>
      </c>
      <c r="N104" s="4" t="str">
        <f>IFERROR(INDEX(样本到样信息汇总统计!N$2:N$500,MATCH(103,样本到样信息汇总统计!$AA$2:$AA$500,0)),"")</f>
        <v/>
      </c>
      <c r="O104" s="4" t="str">
        <f>IFERROR(INDEX(样本到样信息汇总统计!O$2:O$500,MATCH(103,样本到样信息汇总统计!$AA$2:$AA$500,0)),"")</f>
        <v/>
      </c>
      <c r="P104" s="4" t="str">
        <f>IFERROR(INDEX(样本到样信息汇总统计!P$2:P$500,MATCH(103,样本到样信息汇总统计!$AA$2:$AA$500,0)),"")</f>
        <v/>
      </c>
      <c r="Q104" s="4" t="str">
        <f>IFERROR(INDEX(样本到样信息汇总统计!Q$2:Q$500,MATCH(103,样本到样信息汇总统计!$AA$2:$AA$500,0)),"")</f>
        <v/>
      </c>
      <c r="R104" s="4" t="str">
        <f>IFERROR(INDEX(样本到样信息汇总统计!R$2:R$500,MATCH(103,样本到样信息汇总统计!$AA$2:$AA$500,0)),"")</f>
        <v/>
      </c>
      <c r="S104" s="4" t="str">
        <f>IFERROR(INDEX(样本到样信息汇总统计!S$2:S$500,MATCH(103,样本到样信息汇总统计!$AA$2:$AA$500,0)),"")</f>
        <v/>
      </c>
      <c r="T104" s="4" t="str">
        <f>IFERROR(INDEX(样本到样信息汇总统计!T$2:T$500,MATCH(103,样本到样信息汇总统计!$AA$2:$AA$500,0)),"")</f>
        <v/>
      </c>
      <c r="U104" s="4" t="str">
        <f>IFERROR(INDEX(样本到样信息汇总统计!U$2:U$500,MATCH(103,样本到样信息汇总统计!$AA$2:$AA$500,0)),"")</f>
        <v/>
      </c>
      <c r="V104" s="4" t="str">
        <f>IFERROR(INDEX(样本到样信息汇总统计!V$2:V$500,MATCH(103,样本到样信息汇总统计!$AA$2:$AA$500,0)),"")</f>
        <v/>
      </c>
      <c r="W104" s="4" t="str">
        <f>IFERROR(INDEX(样本到样信息汇总统计!W$2:W$500,MATCH(103,样本到样信息汇总统计!$AA$2:$AA$500,0)),"")</f>
        <v/>
      </c>
    </row>
    <row r="105" ht="14.5" spans="1:23">
      <c r="A105" s="8" t="str">
        <f>IFERROR(INDEX(样本到样信息汇总统计!A$2:A$500,MATCH(104,样本到样信息汇总统计!$AA$2:$AA$500,0)),"")</f>
        <v/>
      </c>
      <c r="B105" s="8" t="str">
        <f>IFERROR(INDEX(样本到样信息汇总统计!B$2:B$500,MATCH(104,样本到样信息汇总统计!$AA$2:$AA$500,0)),"")</f>
        <v/>
      </c>
      <c r="C105" s="8" t="str">
        <f>IFERROR(INDEX(样本到样信息汇总统计!C$2:C$500,MATCH(104,样本到样信息汇总统计!$AA$2:$AA$500,0)),"")</f>
        <v/>
      </c>
      <c r="D105" s="8" t="str">
        <f>IFERROR(INDEX(样本到样信息汇总统计!D$2:D$500,MATCH(104,样本到样信息汇总统计!$AA$2:$AA$500,0)),"")</f>
        <v/>
      </c>
      <c r="E105" s="8" t="str">
        <f>IFERROR(INDEX(样本到样信息汇总统计!E$2:E$500,MATCH(104,样本到样信息汇总统计!$AA$2:$AA$500,0)),"")</f>
        <v/>
      </c>
      <c r="F105" s="8" t="str">
        <f>IFERROR(INDEX(样本到样信息汇总统计!F$2:F$500,MATCH(104,样本到样信息汇总统计!$AA$2:$AA$500,0)),"")</f>
        <v/>
      </c>
      <c r="G105" s="8" t="str">
        <f>IFERROR(INDEX(样本到样信息汇总统计!G$2:G$500,MATCH(104,样本到样信息汇总统计!$AA$2:$AA$500,0)),"")</f>
        <v/>
      </c>
      <c r="H105" s="8" t="str">
        <f>IFERROR(INDEX(样本到样信息汇总统计!H$2:H$500,MATCH(104,样本到样信息汇总统计!$AA$2:$AA$500,0)),"")</f>
        <v/>
      </c>
      <c r="I105" s="8" t="str">
        <f>IFERROR(INDEX(样本到样信息汇总统计!I$2:I$500,MATCH(104,样本到样信息汇总统计!$AA$2:$AA$500,0)),"")</f>
        <v/>
      </c>
      <c r="J105" s="8" t="str">
        <f>IFERROR(INDEX(样本到样信息汇总统计!J$2:J$500,MATCH(104,样本到样信息汇总统计!$AA$2:$AA$500,0)),"")</f>
        <v/>
      </c>
      <c r="K105" s="8" t="str">
        <f>IFERROR(INDEX(样本到样信息汇总统计!K$2:K$500,MATCH(104,样本到样信息汇总统计!$AA$2:$AA$500,0)),"")</f>
        <v/>
      </c>
      <c r="L105" s="8" t="str">
        <f>IFERROR(INDEX(样本到样信息汇总统计!L$2:L$500,MATCH(104,样本到样信息汇总统计!$AA$2:$AA$500,0)),"")</f>
        <v/>
      </c>
      <c r="M105" s="8" t="str">
        <f>IFERROR(INDEX(样本到样信息汇总统计!M$2:M$500,MATCH(104,样本到样信息汇总统计!$AA$2:$AA$500,0)),"")</f>
        <v/>
      </c>
      <c r="N105" s="8" t="str">
        <f>IFERROR(INDEX(样本到样信息汇总统计!N$2:N$500,MATCH(104,样本到样信息汇总统计!$AA$2:$AA$500,0)),"")</f>
        <v/>
      </c>
      <c r="O105" s="8" t="str">
        <f>IFERROR(INDEX(样本到样信息汇总统计!O$2:O$500,MATCH(104,样本到样信息汇总统计!$AA$2:$AA$500,0)),"")</f>
        <v/>
      </c>
      <c r="P105" s="8" t="str">
        <f>IFERROR(INDEX(样本到样信息汇总统计!P$2:P$500,MATCH(104,样本到样信息汇总统计!$AA$2:$AA$500,0)),"")</f>
        <v/>
      </c>
      <c r="Q105" s="8" t="str">
        <f>IFERROR(INDEX(样本到样信息汇总统计!Q$2:Q$500,MATCH(104,样本到样信息汇总统计!$AA$2:$AA$500,0)),"")</f>
        <v/>
      </c>
      <c r="R105" s="8" t="str">
        <f>IFERROR(INDEX(样本到样信息汇总统计!R$2:R$500,MATCH(104,样本到样信息汇总统计!$AA$2:$AA$500,0)),"")</f>
        <v/>
      </c>
      <c r="S105" s="8" t="str">
        <f>IFERROR(INDEX(样本到样信息汇总统计!S$2:S$500,MATCH(104,样本到样信息汇总统计!$AA$2:$AA$500,0)),"")</f>
        <v/>
      </c>
      <c r="T105" s="8" t="str">
        <f>IFERROR(INDEX(样本到样信息汇总统计!T$2:T$500,MATCH(104,样本到样信息汇总统计!$AA$2:$AA$500,0)),"")</f>
        <v/>
      </c>
      <c r="U105" s="8" t="str">
        <f>IFERROR(INDEX(样本到样信息汇总统计!U$2:U$500,MATCH(104,样本到样信息汇总统计!$AA$2:$AA$500,0)),"")</f>
        <v/>
      </c>
      <c r="V105" s="8" t="str">
        <f>IFERROR(INDEX(样本到样信息汇总统计!V$2:V$500,MATCH(104,样本到样信息汇总统计!$AA$2:$AA$500,0)),"")</f>
        <v/>
      </c>
      <c r="W105" s="8" t="str">
        <f>IFERROR(INDEX(样本到样信息汇总统计!W$2:W$500,MATCH(104,样本到样信息汇总统计!$AA$2:$AA$500,0)),"")</f>
        <v/>
      </c>
    </row>
    <row r="106" ht="14.5" spans="1:23">
      <c r="A106" s="4" t="str">
        <f>IFERROR(INDEX(样本到样信息汇总统计!A$2:A$500,MATCH(105,样本到样信息汇总统计!$AA$2:$AA$500,0)),"")</f>
        <v/>
      </c>
      <c r="B106" s="4" t="str">
        <f>IFERROR(INDEX(样本到样信息汇总统计!B$2:B$500,MATCH(105,样本到样信息汇总统计!$AA$2:$AA$500,0)),"")</f>
        <v/>
      </c>
      <c r="C106" s="4" t="str">
        <f>IFERROR(INDEX(样本到样信息汇总统计!C$2:C$500,MATCH(105,样本到样信息汇总统计!$AA$2:$AA$500,0)),"")</f>
        <v/>
      </c>
      <c r="D106" s="4" t="str">
        <f>IFERROR(INDEX(样本到样信息汇总统计!D$2:D$500,MATCH(105,样本到样信息汇总统计!$AA$2:$AA$500,0)),"")</f>
        <v/>
      </c>
      <c r="E106" s="4" t="str">
        <f>IFERROR(INDEX(样本到样信息汇总统计!E$2:E$500,MATCH(105,样本到样信息汇总统计!$AA$2:$AA$500,0)),"")</f>
        <v/>
      </c>
      <c r="F106" s="4" t="str">
        <f>IFERROR(INDEX(样本到样信息汇总统计!F$2:F$500,MATCH(105,样本到样信息汇总统计!$AA$2:$AA$500,0)),"")</f>
        <v/>
      </c>
      <c r="G106" s="4" t="str">
        <f>IFERROR(INDEX(样本到样信息汇总统计!G$2:G$500,MATCH(105,样本到样信息汇总统计!$AA$2:$AA$500,0)),"")</f>
        <v/>
      </c>
      <c r="H106" s="4" t="str">
        <f>IFERROR(INDEX(样本到样信息汇总统计!H$2:H$500,MATCH(105,样本到样信息汇总统计!$AA$2:$AA$500,0)),"")</f>
        <v/>
      </c>
      <c r="I106" s="4" t="str">
        <f>IFERROR(INDEX(样本到样信息汇总统计!I$2:I$500,MATCH(105,样本到样信息汇总统计!$AA$2:$AA$500,0)),"")</f>
        <v/>
      </c>
      <c r="J106" s="4" t="str">
        <f>IFERROR(INDEX(样本到样信息汇总统计!J$2:J$500,MATCH(105,样本到样信息汇总统计!$AA$2:$AA$500,0)),"")</f>
        <v/>
      </c>
      <c r="K106" s="4" t="str">
        <f>IFERROR(INDEX(样本到样信息汇总统计!K$2:K$500,MATCH(105,样本到样信息汇总统计!$AA$2:$AA$500,0)),"")</f>
        <v/>
      </c>
      <c r="L106" s="4" t="str">
        <f>IFERROR(INDEX(样本到样信息汇总统计!L$2:L$500,MATCH(105,样本到样信息汇总统计!$AA$2:$AA$500,0)),"")</f>
        <v/>
      </c>
      <c r="M106" s="4" t="str">
        <f>IFERROR(INDEX(样本到样信息汇总统计!M$2:M$500,MATCH(105,样本到样信息汇总统计!$AA$2:$AA$500,0)),"")</f>
        <v/>
      </c>
      <c r="N106" s="4" t="str">
        <f>IFERROR(INDEX(样本到样信息汇总统计!N$2:N$500,MATCH(105,样本到样信息汇总统计!$AA$2:$AA$500,0)),"")</f>
        <v/>
      </c>
      <c r="O106" s="4" t="str">
        <f>IFERROR(INDEX(样本到样信息汇总统计!O$2:O$500,MATCH(105,样本到样信息汇总统计!$AA$2:$AA$500,0)),"")</f>
        <v/>
      </c>
      <c r="P106" s="4" t="str">
        <f>IFERROR(INDEX(样本到样信息汇总统计!P$2:P$500,MATCH(105,样本到样信息汇总统计!$AA$2:$AA$500,0)),"")</f>
        <v/>
      </c>
      <c r="Q106" s="4" t="str">
        <f>IFERROR(INDEX(样本到样信息汇总统计!Q$2:Q$500,MATCH(105,样本到样信息汇总统计!$AA$2:$AA$500,0)),"")</f>
        <v/>
      </c>
      <c r="R106" s="4" t="str">
        <f>IFERROR(INDEX(样本到样信息汇总统计!R$2:R$500,MATCH(105,样本到样信息汇总统计!$AA$2:$AA$500,0)),"")</f>
        <v/>
      </c>
      <c r="S106" s="4" t="str">
        <f>IFERROR(INDEX(样本到样信息汇总统计!S$2:S$500,MATCH(105,样本到样信息汇总统计!$AA$2:$AA$500,0)),"")</f>
        <v/>
      </c>
      <c r="T106" s="4" t="str">
        <f>IFERROR(INDEX(样本到样信息汇总统计!T$2:T$500,MATCH(105,样本到样信息汇总统计!$AA$2:$AA$500,0)),"")</f>
        <v/>
      </c>
      <c r="U106" s="4" t="str">
        <f>IFERROR(INDEX(样本到样信息汇总统计!U$2:U$500,MATCH(105,样本到样信息汇总统计!$AA$2:$AA$500,0)),"")</f>
        <v/>
      </c>
      <c r="V106" s="4" t="str">
        <f>IFERROR(INDEX(样本到样信息汇总统计!V$2:V$500,MATCH(105,样本到样信息汇总统计!$AA$2:$AA$500,0)),"")</f>
        <v/>
      </c>
      <c r="W106" s="4" t="str">
        <f>IFERROR(INDEX(样本到样信息汇总统计!W$2:W$500,MATCH(105,样本到样信息汇总统计!$AA$2:$AA$500,0)),"")</f>
        <v/>
      </c>
    </row>
    <row r="107" ht="14.5" spans="1:23">
      <c r="A107" s="8" t="str">
        <f>IFERROR(INDEX(样本到样信息汇总统计!A$2:A$500,MATCH(106,样本到样信息汇总统计!$AA$2:$AA$500,0)),"")</f>
        <v/>
      </c>
      <c r="B107" s="8" t="str">
        <f>IFERROR(INDEX(样本到样信息汇总统计!B$2:B$500,MATCH(106,样本到样信息汇总统计!$AA$2:$AA$500,0)),"")</f>
        <v/>
      </c>
      <c r="C107" s="8" t="str">
        <f>IFERROR(INDEX(样本到样信息汇总统计!C$2:C$500,MATCH(106,样本到样信息汇总统计!$AA$2:$AA$500,0)),"")</f>
        <v/>
      </c>
      <c r="D107" s="8" t="str">
        <f>IFERROR(INDEX(样本到样信息汇总统计!D$2:D$500,MATCH(106,样本到样信息汇总统计!$AA$2:$AA$500,0)),"")</f>
        <v/>
      </c>
      <c r="E107" s="8" t="str">
        <f>IFERROR(INDEX(样本到样信息汇总统计!E$2:E$500,MATCH(106,样本到样信息汇总统计!$AA$2:$AA$500,0)),"")</f>
        <v/>
      </c>
      <c r="F107" s="8" t="str">
        <f>IFERROR(INDEX(样本到样信息汇总统计!F$2:F$500,MATCH(106,样本到样信息汇总统计!$AA$2:$AA$500,0)),"")</f>
        <v/>
      </c>
      <c r="G107" s="8" t="str">
        <f>IFERROR(INDEX(样本到样信息汇总统计!G$2:G$500,MATCH(106,样本到样信息汇总统计!$AA$2:$AA$500,0)),"")</f>
        <v/>
      </c>
      <c r="H107" s="8" t="str">
        <f>IFERROR(INDEX(样本到样信息汇总统计!H$2:H$500,MATCH(106,样本到样信息汇总统计!$AA$2:$AA$500,0)),"")</f>
        <v/>
      </c>
      <c r="I107" s="8" t="str">
        <f>IFERROR(INDEX(样本到样信息汇总统计!I$2:I$500,MATCH(106,样本到样信息汇总统计!$AA$2:$AA$500,0)),"")</f>
        <v/>
      </c>
      <c r="J107" s="8" t="str">
        <f>IFERROR(INDEX(样本到样信息汇总统计!J$2:J$500,MATCH(106,样本到样信息汇总统计!$AA$2:$AA$500,0)),"")</f>
        <v/>
      </c>
      <c r="K107" s="8" t="str">
        <f>IFERROR(INDEX(样本到样信息汇总统计!K$2:K$500,MATCH(106,样本到样信息汇总统计!$AA$2:$AA$500,0)),"")</f>
        <v/>
      </c>
      <c r="L107" s="8" t="str">
        <f>IFERROR(INDEX(样本到样信息汇总统计!L$2:L$500,MATCH(106,样本到样信息汇总统计!$AA$2:$AA$500,0)),"")</f>
        <v/>
      </c>
      <c r="M107" s="8" t="str">
        <f>IFERROR(INDEX(样本到样信息汇总统计!M$2:M$500,MATCH(106,样本到样信息汇总统计!$AA$2:$AA$500,0)),"")</f>
        <v/>
      </c>
      <c r="N107" s="8" t="str">
        <f>IFERROR(INDEX(样本到样信息汇总统计!N$2:N$500,MATCH(106,样本到样信息汇总统计!$AA$2:$AA$500,0)),"")</f>
        <v/>
      </c>
      <c r="O107" s="8" t="str">
        <f>IFERROR(INDEX(样本到样信息汇总统计!O$2:O$500,MATCH(106,样本到样信息汇总统计!$AA$2:$AA$500,0)),"")</f>
        <v/>
      </c>
      <c r="P107" s="8" t="str">
        <f>IFERROR(INDEX(样本到样信息汇总统计!P$2:P$500,MATCH(106,样本到样信息汇总统计!$AA$2:$AA$500,0)),"")</f>
        <v/>
      </c>
      <c r="Q107" s="8" t="str">
        <f>IFERROR(INDEX(样本到样信息汇总统计!Q$2:Q$500,MATCH(106,样本到样信息汇总统计!$AA$2:$AA$500,0)),"")</f>
        <v/>
      </c>
      <c r="R107" s="8" t="str">
        <f>IFERROR(INDEX(样本到样信息汇总统计!R$2:R$500,MATCH(106,样本到样信息汇总统计!$AA$2:$AA$500,0)),"")</f>
        <v/>
      </c>
      <c r="S107" s="8" t="str">
        <f>IFERROR(INDEX(样本到样信息汇总统计!S$2:S$500,MATCH(106,样本到样信息汇总统计!$AA$2:$AA$500,0)),"")</f>
        <v/>
      </c>
      <c r="T107" s="8" t="str">
        <f>IFERROR(INDEX(样本到样信息汇总统计!T$2:T$500,MATCH(106,样本到样信息汇总统计!$AA$2:$AA$500,0)),"")</f>
        <v/>
      </c>
      <c r="U107" s="8" t="str">
        <f>IFERROR(INDEX(样本到样信息汇总统计!U$2:U$500,MATCH(106,样本到样信息汇总统计!$AA$2:$AA$500,0)),"")</f>
        <v/>
      </c>
      <c r="V107" s="8" t="str">
        <f>IFERROR(INDEX(样本到样信息汇总统计!V$2:V$500,MATCH(106,样本到样信息汇总统计!$AA$2:$AA$500,0)),"")</f>
        <v/>
      </c>
      <c r="W107" s="8" t="str">
        <f>IFERROR(INDEX(样本到样信息汇总统计!W$2:W$500,MATCH(106,样本到样信息汇总统计!$AA$2:$AA$500,0)),"")</f>
        <v/>
      </c>
    </row>
    <row r="108" ht="14.5" spans="1:23">
      <c r="A108" s="4" t="str">
        <f>IFERROR(INDEX(样本到样信息汇总统计!A$2:A$500,MATCH(107,样本到样信息汇总统计!$AA$2:$AA$500,0)),"")</f>
        <v/>
      </c>
      <c r="B108" s="4" t="str">
        <f>IFERROR(INDEX(样本到样信息汇总统计!B$2:B$500,MATCH(107,样本到样信息汇总统计!$AA$2:$AA$500,0)),"")</f>
        <v/>
      </c>
      <c r="C108" s="4" t="str">
        <f>IFERROR(INDEX(样本到样信息汇总统计!C$2:C$500,MATCH(107,样本到样信息汇总统计!$AA$2:$AA$500,0)),"")</f>
        <v/>
      </c>
      <c r="D108" s="4" t="str">
        <f>IFERROR(INDEX(样本到样信息汇总统计!D$2:D$500,MATCH(107,样本到样信息汇总统计!$AA$2:$AA$500,0)),"")</f>
        <v/>
      </c>
      <c r="E108" s="4" t="str">
        <f>IFERROR(INDEX(样本到样信息汇总统计!E$2:E$500,MATCH(107,样本到样信息汇总统计!$AA$2:$AA$500,0)),"")</f>
        <v/>
      </c>
      <c r="F108" s="4" t="str">
        <f>IFERROR(INDEX(样本到样信息汇总统计!F$2:F$500,MATCH(107,样本到样信息汇总统计!$AA$2:$AA$500,0)),"")</f>
        <v/>
      </c>
      <c r="G108" s="4" t="str">
        <f>IFERROR(INDEX(样本到样信息汇总统计!G$2:G$500,MATCH(107,样本到样信息汇总统计!$AA$2:$AA$500,0)),"")</f>
        <v/>
      </c>
      <c r="H108" s="4" t="str">
        <f>IFERROR(INDEX(样本到样信息汇总统计!H$2:H$500,MATCH(107,样本到样信息汇总统计!$AA$2:$AA$500,0)),"")</f>
        <v/>
      </c>
      <c r="I108" s="4" t="str">
        <f>IFERROR(INDEX(样本到样信息汇总统计!I$2:I$500,MATCH(107,样本到样信息汇总统计!$AA$2:$AA$500,0)),"")</f>
        <v/>
      </c>
      <c r="J108" s="4" t="str">
        <f>IFERROR(INDEX(样本到样信息汇总统计!J$2:J$500,MATCH(107,样本到样信息汇总统计!$AA$2:$AA$500,0)),"")</f>
        <v/>
      </c>
      <c r="K108" s="4" t="str">
        <f>IFERROR(INDEX(样本到样信息汇总统计!K$2:K$500,MATCH(107,样本到样信息汇总统计!$AA$2:$AA$500,0)),"")</f>
        <v/>
      </c>
      <c r="L108" s="4" t="str">
        <f>IFERROR(INDEX(样本到样信息汇总统计!L$2:L$500,MATCH(107,样本到样信息汇总统计!$AA$2:$AA$500,0)),"")</f>
        <v/>
      </c>
      <c r="M108" s="4" t="str">
        <f>IFERROR(INDEX(样本到样信息汇总统计!M$2:M$500,MATCH(107,样本到样信息汇总统计!$AA$2:$AA$500,0)),"")</f>
        <v/>
      </c>
      <c r="N108" s="4" t="str">
        <f>IFERROR(INDEX(样本到样信息汇总统计!N$2:N$500,MATCH(107,样本到样信息汇总统计!$AA$2:$AA$500,0)),"")</f>
        <v/>
      </c>
      <c r="O108" s="4" t="str">
        <f>IFERROR(INDEX(样本到样信息汇总统计!O$2:O$500,MATCH(107,样本到样信息汇总统计!$AA$2:$AA$500,0)),"")</f>
        <v/>
      </c>
      <c r="P108" s="4" t="str">
        <f>IFERROR(INDEX(样本到样信息汇总统计!P$2:P$500,MATCH(107,样本到样信息汇总统计!$AA$2:$AA$500,0)),"")</f>
        <v/>
      </c>
      <c r="Q108" s="4" t="str">
        <f>IFERROR(INDEX(样本到样信息汇总统计!Q$2:Q$500,MATCH(107,样本到样信息汇总统计!$AA$2:$AA$500,0)),"")</f>
        <v/>
      </c>
      <c r="R108" s="4" t="str">
        <f>IFERROR(INDEX(样本到样信息汇总统计!R$2:R$500,MATCH(107,样本到样信息汇总统计!$AA$2:$AA$500,0)),"")</f>
        <v/>
      </c>
      <c r="S108" s="4" t="str">
        <f>IFERROR(INDEX(样本到样信息汇总统计!S$2:S$500,MATCH(107,样本到样信息汇总统计!$AA$2:$AA$500,0)),"")</f>
        <v/>
      </c>
      <c r="T108" s="4" t="str">
        <f>IFERROR(INDEX(样本到样信息汇总统计!T$2:T$500,MATCH(107,样本到样信息汇总统计!$AA$2:$AA$500,0)),"")</f>
        <v/>
      </c>
      <c r="U108" s="4" t="str">
        <f>IFERROR(INDEX(样本到样信息汇总统计!U$2:U$500,MATCH(107,样本到样信息汇总统计!$AA$2:$AA$500,0)),"")</f>
        <v/>
      </c>
      <c r="V108" s="4" t="str">
        <f>IFERROR(INDEX(样本到样信息汇总统计!V$2:V$500,MATCH(107,样本到样信息汇总统计!$AA$2:$AA$500,0)),"")</f>
        <v/>
      </c>
      <c r="W108" s="4" t="str">
        <f>IFERROR(INDEX(样本到样信息汇总统计!W$2:W$500,MATCH(107,样本到样信息汇总统计!$AA$2:$AA$500,0)),"")</f>
        <v/>
      </c>
    </row>
    <row r="109" ht="14.5" spans="1:23">
      <c r="A109" s="8" t="str">
        <f>IFERROR(INDEX(样本到样信息汇总统计!A$2:A$500,MATCH(108,样本到样信息汇总统计!$AA$2:$AA$500,0)),"")</f>
        <v/>
      </c>
      <c r="B109" s="8" t="str">
        <f>IFERROR(INDEX(样本到样信息汇总统计!B$2:B$500,MATCH(108,样本到样信息汇总统计!$AA$2:$AA$500,0)),"")</f>
        <v/>
      </c>
      <c r="C109" s="8" t="str">
        <f>IFERROR(INDEX(样本到样信息汇总统计!C$2:C$500,MATCH(108,样本到样信息汇总统计!$AA$2:$AA$500,0)),"")</f>
        <v/>
      </c>
      <c r="D109" s="8" t="str">
        <f>IFERROR(INDEX(样本到样信息汇总统计!D$2:D$500,MATCH(108,样本到样信息汇总统计!$AA$2:$AA$500,0)),"")</f>
        <v/>
      </c>
      <c r="E109" s="8" t="str">
        <f>IFERROR(INDEX(样本到样信息汇总统计!E$2:E$500,MATCH(108,样本到样信息汇总统计!$AA$2:$AA$500,0)),"")</f>
        <v/>
      </c>
      <c r="F109" s="8" t="str">
        <f>IFERROR(INDEX(样本到样信息汇总统计!F$2:F$500,MATCH(108,样本到样信息汇总统计!$AA$2:$AA$500,0)),"")</f>
        <v/>
      </c>
      <c r="G109" s="8" t="str">
        <f>IFERROR(INDEX(样本到样信息汇总统计!G$2:G$500,MATCH(108,样本到样信息汇总统计!$AA$2:$AA$500,0)),"")</f>
        <v/>
      </c>
      <c r="H109" s="8" t="str">
        <f>IFERROR(INDEX(样本到样信息汇总统计!H$2:H$500,MATCH(108,样本到样信息汇总统计!$AA$2:$AA$500,0)),"")</f>
        <v/>
      </c>
      <c r="I109" s="8" t="str">
        <f>IFERROR(INDEX(样本到样信息汇总统计!I$2:I$500,MATCH(108,样本到样信息汇总统计!$AA$2:$AA$500,0)),"")</f>
        <v/>
      </c>
      <c r="J109" s="8" t="str">
        <f>IFERROR(INDEX(样本到样信息汇总统计!J$2:J$500,MATCH(108,样本到样信息汇总统计!$AA$2:$AA$500,0)),"")</f>
        <v/>
      </c>
      <c r="K109" s="8" t="str">
        <f>IFERROR(INDEX(样本到样信息汇总统计!K$2:K$500,MATCH(108,样本到样信息汇总统计!$AA$2:$AA$500,0)),"")</f>
        <v/>
      </c>
      <c r="L109" s="8" t="str">
        <f>IFERROR(INDEX(样本到样信息汇总统计!L$2:L$500,MATCH(108,样本到样信息汇总统计!$AA$2:$AA$500,0)),"")</f>
        <v/>
      </c>
      <c r="M109" s="8" t="str">
        <f>IFERROR(INDEX(样本到样信息汇总统计!M$2:M$500,MATCH(108,样本到样信息汇总统计!$AA$2:$AA$500,0)),"")</f>
        <v/>
      </c>
      <c r="N109" s="8" t="str">
        <f>IFERROR(INDEX(样本到样信息汇总统计!N$2:N$500,MATCH(108,样本到样信息汇总统计!$AA$2:$AA$500,0)),"")</f>
        <v/>
      </c>
      <c r="O109" s="8" t="str">
        <f>IFERROR(INDEX(样本到样信息汇总统计!O$2:O$500,MATCH(108,样本到样信息汇总统计!$AA$2:$AA$500,0)),"")</f>
        <v/>
      </c>
      <c r="P109" s="8" t="str">
        <f>IFERROR(INDEX(样本到样信息汇总统计!P$2:P$500,MATCH(108,样本到样信息汇总统计!$AA$2:$AA$500,0)),"")</f>
        <v/>
      </c>
      <c r="Q109" s="8" t="str">
        <f>IFERROR(INDEX(样本到样信息汇总统计!Q$2:Q$500,MATCH(108,样本到样信息汇总统计!$AA$2:$AA$500,0)),"")</f>
        <v/>
      </c>
      <c r="R109" s="8" t="str">
        <f>IFERROR(INDEX(样本到样信息汇总统计!R$2:R$500,MATCH(108,样本到样信息汇总统计!$AA$2:$AA$500,0)),"")</f>
        <v/>
      </c>
      <c r="S109" s="8" t="str">
        <f>IFERROR(INDEX(样本到样信息汇总统计!S$2:S$500,MATCH(108,样本到样信息汇总统计!$AA$2:$AA$500,0)),"")</f>
        <v/>
      </c>
      <c r="T109" s="8" t="str">
        <f>IFERROR(INDEX(样本到样信息汇总统计!T$2:T$500,MATCH(108,样本到样信息汇总统计!$AA$2:$AA$500,0)),"")</f>
        <v/>
      </c>
      <c r="U109" s="8" t="str">
        <f>IFERROR(INDEX(样本到样信息汇总统计!U$2:U$500,MATCH(108,样本到样信息汇总统计!$AA$2:$AA$500,0)),"")</f>
        <v/>
      </c>
      <c r="V109" s="8" t="str">
        <f>IFERROR(INDEX(样本到样信息汇总统计!V$2:V$500,MATCH(108,样本到样信息汇总统计!$AA$2:$AA$500,0)),"")</f>
        <v/>
      </c>
      <c r="W109" s="8" t="str">
        <f>IFERROR(INDEX(样本到样信息汇总统计!W$2:W$500,MATCH(108,样本到样信息汇总统计!$AA$2:$AA$500,0)),"")</f>
        <v/>
      </c>
    </row>
    <row r="110" ht="14.5" spans="1:23">
      <c r="A110" s="4" t="str">
        <f>IFERROR(INDEX(样本到样信息汇总统计!A$2:A$500,MATCH(109,样本到样信息汇总统计!$AA$2:$AA$500,0)),"")</f>
        <v/>
      </c>
      <c r="B110" s="4" t="str">
        <f>IFERROR(INDEX(样本到样信息汇总统计!B$2:B$500,MATCH(109,样本到样信息汇总统计!$AA$2:$AA$500,0)),"")</f>
        <v/>
      </c>
      <c r="C110" s="4" t="str">
        <f>IFERROR(INDEX(样本到样信息汇总统计!C$2:C$500,MATCH(109,样本到样信息汇总统计!$AA$2:$AA$500,0)),"")</f>
        <v/>
      </c>
      <c r="D110" s="4" t="str">
        <f>IFERROR(INDEX(样本到样信息汇总统计!D$2:D$500,MATCH(109,样本到样信息汇总统计!$AA$2:$AA$500,0)),"")</f>
        <v/>
      </c>
      <c r="E110" s="4" t="str">
        <f>IFERROR(INDEX(样本到样信息汇总统计!E$2:E$500,MATCH(109,样本到样信息汇总统计!$AA$2:$AA$500,0)),"")</f>
        <v/>
      </c>
      <c r="F110" s="4" t="str">
        <f>IFERROR(INDEX(样本到样信息汇总统计!F$2:F$500,MATCH(109,样本到样信息汇总统计!$AA$2:$AA$500,0)),"")</f>
        <v/>
      </c>
      <c r="G110" s="4" t="str">
        <f>IFERROR(INDEX(样本到样信息汇总统计!G$2:G$500,MATCH(109,样本到样信息汇总统计!$AA$2:$AA$500,0)),"")</f>
        <v/>
      </c>
      <c r="H110" s="4" t="str">
        <f>IFERROR(INDEX(样本到样信息汇总统计!H$2:H$500,MATCH(109,样本到样信息汇总统计!$AA$2:$AA$500,0)),"")</f>
        <v/>
      </c>
      <c r="I110" s="4" t="str">
        <f>IFERROR(INDEX(样本到样信息汇总统计!I$2:I$500,MATCH(109,样本到样信息汇总统计!$AA$2:$AA$500,0)),"")</f>
        <v/>
      </c>
      <c r="J110" s="4" t="str">
        <f>IFERROR(INDEX(样本到样信息汇总统计!J$2:J$500,MATCH(109,样本到样信息汇总统计!$AA$2:$AA$500,0)),"")</f>
        <v/>
      </c>
      <c r="K110" s="4" t="str">
        <f>IFERROR(INDEX(样本到样信息汇总统计!K$2:K$500,MATCH(109,样本到样信息汇总统计!$AA$2:$AA$500,0)),"")</f>
        <v/>
      </c>
      <c r="L110" s="4" t="str">
        <f>IFERROR(INDEX(样本到样信息汇总统计!L$2:L$500,MATCH(109,样本到样信息汇总统计!$AA$2:$AA$500,0)),"")</f>
        <v/>
      </c>
      <c r="M110" s="4" t="str">
        <f>IFERROR(INDEX(样本到样信息汇总统计!M$2:M$500,MATCH(109,样本到样信息汇总统计!$AA$2:$AA$500,0)),"")</f>
        <v/>
      </c>
      <c r="N110" s="4" t="str">
        <f>IFERROR(INDEX(样本到样信息汇总统计!N$2:N$500,MATCH(109,样本到样信息汇总统计!$AA$2:$AA$500,0)),"")</f>
        <v/>
      </c>
      <c r="O110" s="4" t="str">
        <f>IFERROR(INDEX(样本到样信息汇总统计!O$2:O$500,MATCH(109,样本到样信息汇总统计!$AA$2:$AA$500,0)),"")</f>
        <v/>
      </c>
      <c r="P110" s="4" t="str">
        <f>IFERROR(INDEX(样本到样信息汇总统计!P$2:P$500,MATCH(109,样本到样信息汇总统计!$AA$2:$AA$500,0)),"")</f>
        <v/>
      </c>
      <c r="Q110" s="4" t="str">
        <f>IFERROR(INDEX(样本到样信息汇总统计!Q$2:Q$500,MATCH(109,样本到样信息汇总统计!$AA$2:$AA$500,0)),"")</f>
        <v/>
      </c>
      <c r="R110" s="4" t="str">
        <f>IFERROR(INDEX(样本到样信息汇总统计!R$2:R$500,MATCH(109,样本到样信息汇总统计!$AA$2:$AA$500,0)),"")</f>
        <v/>
      </c>
      <c r="S110" s="4" t="str">
        <f>IFERROR(INDEX(样本到样信息汇总统计!S$2:S$500,MATCH(109,样本到样信息汇总统计!$AA$2:$AA$500,0)),"")</f>
        <v/>
      </c>
      <c r="T110" s="4" t="str">
        <f>IFERROR(INDEX(样本到样信息汇总统计!T$2:T$500,MATCH(109,样本到样信息汇总统计!$AA$2:$AA$500,0)),"")</f>
        <v/>
      </c>
      <c r="U110" s="4" t="str">
        <f>IFERROR(INDEX(样本到样信息汇总统计!U$2:U$500,MATCH(109,样本到样信息汇总统计!$AA$2:$AA$500,0)),"")</f>
        <v/>
      </c>
      <c r="V110" s="4" t="str">
        <f>IFERROR(INDEX(样本到样信息汇总统计!V$2:V$500,MATCH(109,样本到样信息汇总统计!$AA$2:$AA$500,0)),"")</f>
        <v/>
      </c>
      <c r="W110" s="4" t="str">
        <f>IFERROR(INDEX(样本到样信息汇总统计!W$2:W$500,MATCH(109,样本到样信息汇总统计!$AA$2:$AA$500,0)),"")</f>
        <v/>
      </c>
    </row>
    <row r="111" ht="14.5" spans="1:23">
      <c r="A111" s="8" t="str">
        <f>IFERROR(INDEX(样本到样信息汇总统计!A$2:A$500,MATCH(110,样本到样信息汇总统计!$AA$2:$AA$500,0)),"")</f>
        <v/>
      </c>
      <c r="B111" s="8" t="str">
        <f>IFERROR(INDEX(样本到样信息汇总统计!B$2:B$500,MATCH(110,样本到样信息汇总统计!$AA$2:$AA$500,0)),"")</f>
        <v/>
      </c>
      <c r="C111" s="8" t="str">
        <f>IFERROR(INDEX(样本到样信息汇总统计!C$2:C$500,MATCH(110,样本到样信息汇总统计!$AA$2:$AA$500,0)),"")</f>
        <v/>
      </c>
      <c r="D111" s="8" t="str">
        <f>IFERROR(INDEX(样本到样信息汇总统计!D$2:D$500,MATCH(110,样本到样信息汇总统计!$AA$2:$AA$500,0)),"")</f>
        <v/>
      </c>
      <c r="E111" s="8" t="str">
        <f>IFERROR(INDEX(样本到样信息汇总统计!E$2:E$500,MATCH(110,样本到样信息汇总统计!$AA$2:$AA$500,0)),"")</f>
        <v/>
      </c>
      <c r="F111" s="8" t="str">
        <f>IFERROR(INDEX(样本到样信息汇总统计!F$2:F$500,MATCH(110,样本到样信息汇总统计!$AA$2:$AA$500,0)),"")</f>
        <v/>
      </c>
      <c r="G111" s="8" t="str">
        <f>IFERROR(INDEX(样本到样信息汇总统计!G$2:G$500,MATCH(110,样本到样信息汇总统计!$AA$2:$AA$500,0)),"")</f>
        <v/>
      </c>
      <c r="H111" s="8" t="str">
        <f>IFERROR(INDEX(样本到样信息汇总统计!H$2:H$500,MATCH(110,样本到样信息汇总统计!$AA$2:$AA$500,0)),"")</f>
        <v/>
      </c>
      <c r="I111" s="8" t="str">
        <f>IFERROR(INDEX(样本到样信息汇总统计!I$2:I$500,MATCH(110,样本到样信息汇总统计!$AA$2:$AA$500,0)),"")</f>
        <v/>
      </c>
      <c r="J111" s="8" t="str">
        <f>IFERROR(INDEX(样本到样信息汇总统计!J$2:J$500,MATCH(110,样本到样信息汇总统计!$AA$2:$AA$500,0)),"")</f>
        <v/>
      </c>
      <c r="K111" s="8" t="str">
        <f>IFERROR(INDEX(样本到样信息汇总统计!K$2:K$500,MATCH(110,样本到样信息汇总统计!$AA$2:$AA$500,0)),"")</f>
        <v/>
      </c>
      <c r="L111" s="8" t="str">
        <f>IFERROR(INDEX(样本到样信息汇总统计!L$2:L$500,MATCH(110,样本到样信息汇总统计!$AA$2:$AA$500,0)),"")</f>
        <v/>
      </c>
      <c r="M111" s="8" t="str">
        <f>IFERROR(INDEX(样本到样信息汇总统计!M$2:M$500,MATCH(110,样本到样信息汇总统计!$AA$2:$AA$500,0)),"")</f>
        <v/>
      </c>
      <c r="N111" s="8" t="str">
        <f>IFERROR(INDEX(样本到样信息汇总统计!N$2:N$500,MATCH(110,样本到样信息汇总统计!$AA$2:$AA$500,0)),"")</f>
        <v/>
      </c>
      <c r="O111" s="8" t="str">
        <f>IFERROR(INDEX(样本到样信息汇总统计!O$2:O$500,MATCH(110,样本到样信息汇总统计!$AA$2:$AA$500,0)),"")</f>
        <v/>
      </c>
      <c r="P111" s="8" t="str">
        <f>IFERROR(INDEX(样本到样信息汇总统计!P$2:P$500,MATCH(110,样本到样信息汇总统计!$AA$2:$AA$500,0)),"")</f>
        <v/>
      </c>
      <c r="Q111" s="8" t="str">
        <f>IFERROR(INDEX(样本到样信息汇总统计!Q$2:Q$500,MATCH(110,样本到样信息汇总统计!$AA$2:$AA$500,0)),"")</f>
        <v/>
      </c>
      <c r="R111" s="8" t="str">
        <f>IFERROR(INDEX(样本到样信息汇总统计!R$2:R$500,MATCH(110,样本到样信息汇总统计!$AA$2:$AA$500,0)),"")</f>
        <v/>
      </c>
      <c r="S111" s="8" t="str">
        <f>IFERROR(INDEX(样本到样信息汇总统计!S$2:S$500,MATCH(110,样本到样信息汇总统计!$AA$2:$AA$500,0)),"")</f>
        <v/>
      </c>
      <c r="T111" s="8" t="str">
        <f>IFERROR(INDEX(样本到样信息汇总统计!T$2:T$500,MATCH(110,样本到样信息汇总统计!$AA$2:$AA$500,0)),"")</f>
        <v/>
      </c>
      <c r="U111" s="8" t="str">
        <f>IFERROR(INDEX(样本到样信息汇总统计!U$2:U$500,MATCH(110,样本到样信息汇总统计!$AA$2:$AA$500,0)),"")</f>
        <v/>
      </c>
      <c r="V111" s="8" t="str">
        <f>IFERROR(INDEX(样本到样信息汇总统计!V$2:V$500,MATCH(110,样本到样信息汇总统计!$AA$2:$AA$500,0)),"")</f>
        <v/>
      </c>
      <c r="W111" s="8" t="str">
        <f>IFERROR(INDEX(样本到样信息汇总统计!W$2:W$500,MATCH(110,样本到样信息汇总统计!$AA$2:$AA$500,0)),"")</f>
        <v/>
      </c>
    </row>
    <row r="112" ht="14.5" spans="1:23">
      <c r="A112" s="4" t="str">
        <f>IFERROR(INDEX(样本到样信息汇总统计!A$2:A$500,MATCH(111,样本到样信息汇总统计!$AA$2:$AA$500,0)),"")</f>
        <v/>
      </c>
      <c r="B112" s="4" t="str">
        <f>IFERROR(INDEX(样本到样信息汇总统计!B$2:B$500,MATCH(111,样本到样信息汇总统计!$AA$2:$AA$500,0)),"")</f>
        <v/>
      </c>
      <c r="C112" s="4" t="str">
        <f>IFERROR(INDEX(样本到样信息汇总统计!C$2:C$500,MATCH(111,样本到样信息汇总统计!$AA$2:$AA$500,0)),"")</f>
        <v/>
      </c>
      <c r="D112" s="4" t="str">
        <f>IFERROR(INDEX(样本到样信息汇总统计!D$2:D$500,MATCH(111,样本到样信息汇总统计!$AA$2:$AA$500,0)),"")</f>
        <v/>
      </c>
      <c r="E112" s="4" t="str">
        <f>IFERROR(INDEX(样本到样信息汇总统计!E$2:E$500,MATCH(111,样本到样信息汇总统计!$AA$2:$AA$500,0)),"")</f>
        <v/>
      </c>
      <c r="F112" s="4" t="str">
        <f>IFERROR(INDEX(样本到样信息汇总统计!F$2:F$500,MATCH(111,样本到样信息汇总统计!$AA$2:$AA$500,0)),"")</f>
        <v/>
      </c>
      <c r="G112" s="4" t="str">
        <f>IFERROR(INDEX(样本到样信息汇总统计!G$2:G$500,MATCH(111,样本到样信息汇总统计!$AA$2:$AA$500,0)),"")</f>
        <v/>
      </c>
      <c r="H112" s="4" t="str">
        <f>IFERROR(INDEX(样本到样信息汇总统计!H$2:H$500,MATCH(111,样本到样信息汇总统计!$AA$2:$AA$500,0)),"")</f>
        <v/>
      </c>
      <c r="I112" s="4" t="str">
        <f>IFERROR(INDEX(样本到样信息汇总统计!I$2:I$500,MATCH(111,样本到样信息汇总统计!$AA$2:$AA$500,0)),"")</f>
        <v/>
      </c>
      <c r="J112" s="4" t="str">
        <f>IFERROR(INDEX(样本到样信息汇总统计!J$2:J$500,MATCH(111,样本到样信息汇总统计!$AA$2:$AA$500,0)),"")</f>
        <v/>
      </c>
      <c r="K112" s="4" t="str">
        <f>IFERROR(INDEX(样本到样信息汇总统计!K$2:K$500,MATCH(111,样本到样信息汇总统计!$AA$2:$AA$500,0)),"")</f>
        <v/>
      </c>
      <c r="L112" s="4" t="str">
        <f>IFERROR(INDEX(样本到样信息汇总统计!L$2:L$500,MATCH(111,样本到样信息汇总统计!$AA$2:$AA$500,0)),"")</f>
        <v/>
      </c>
      <c r="M112" s="4" t="str">
        <f>IFERROR(INDEX(样本到样信息汇总统计!M$2:M$500,MATCH(111,样本到样信息汇总统计!$AA$2:$AA$500,0)),"")</f>
        <v/>
      </c>
      <c r="N112" s="4" t="str">
        <f>IFERROR(INDEX(样本到样信息汇总统计!N$2:N$500,MATCH(111,样本到样信息汇总统计!$AA$2:$AA$500,0)),"")</f>
        <v/>
      </c>
      <c r="O112" s="4" t="str">
        <f>IFERROR(INDEX(样本到样信息汇总统计!O$2:O$500,MATCH(111,样本到样信息汇总统计!$AA$2:$AA$500,0)),"")</f>
        <v/>
      </c>
      <c r="P112" s="4" t="str">
        <f>IFERROR(INDEX(样本到样信息汇总统计!P$2:P$500,MATCH(111,样本到样信息汇总统计!$AA$2:$AA$500,0)),"")</f>
        <v/>
      </c>
      <c r="Q112" s="4" t="str">
        <f>IFERROR(INDEX(样本到样信息汇总统计!Q$2:Q$500,MATCH(111,样本到样信息汇总统计!$AA$2:$AA$500,0)),"")</f>
        <v/>
      </c>
      <c r="R112" s="4" t="str">
        <f>IFERROR(INDEX(样本到样信息汇总统计!R$2:R$500,MATCH(111,样本到样信息汇总统计!$AA$2:$AA$500,0)),"")</f>
        <v/>
      </c>
      <c r="S112" s="4" t="str">
        <f>IFERROR(INDEX(样本到样信息汇总统计!S$2:S$500,MATCH(111,样本到样信息汇总统计!$AA$2:$AA$500,0)),"")</f>
        <v/>
      </c>
      <c r="T112" s="4" t="str">
        <f>IFERROR(INDEX(样本到样信息汇总统计!T$2:T$500,MATCH(111,样本到样信息汇总统计!$AA$2:$AA$500,0)),"")</f>
        <v/>
      </c>
      <c r="U112" s="4" t="str">
        <f>IFERROR(INDEX(样本到样信息汇总统计!U$2:U$500,MATCH(111,样本到样信息汇总统计!$AA$2:$AA$500,0)),"")</f>
        <v/>
      </c>
      <c r="V112" s="4" t="str">
        <f>IFERROR(INDEX(样本到样信息汇总统计!V$2:V$500,MATCH(111,样本到样信息汇总统计!$AA$2:$AA$500,0)),"")</f>
        <v/>
      </c>
      <c r="W112" s="4" t="str">
        <f>IFERROR(INDEX(样本到样信息汇总统计!W$2:W$500,MATCH(111,样本到样信息汇总统计!$AA$2:$AA$500,0)),"")</f>
        <v/>
      </c>
    </row>
    <row r="113" ht="14.5" spans="1:23">
      <c r="A113" s="8" t="str">
        <f>IFERROR(INDEX(样本到样信息汇总统计!A$2:A$500,MATCH(112,样本到样信息汇总统计!$AA$2:$AA$500,0)),"")</f>
        <v/>
      </c>
      <c r="B113" s="8" t="str">
        <f>IFERROR(INDEX(样本到样信息汇总统计!B$2:B$500,MATCH(112,样本到样信息汇总统计!$AA$2:$AA$500,0)),"")</f>
        <v/>
      </c>
      <c r="C113" s="8" t="str">
        <f>IFERROR(INDEX(样本到样信息汇总统计!C$2:C$500,MATCH(112,样本到样信息汇总统计!$AA$2:$AA$500,0)),"")</f>
        <v/>
      </c>
      <c r="D113" s="8" t="str">
        <f>IFERROR(INDEX(样本到样信息汇总统计!D$2:D$500,MATCH(112,样本到样信息汇总统计!$AA$2:$AA$500,0)),"")</f>
        <v/>
      </c>
      <c r="E113" s="8" t="str">
        <f>IFERROR(INDEX(样本到样信息汇总统计!E$2:E$500,MATCH(112,样本到样信息汇总统计!$AA$2:$AA$500,0)),"")</f>
        <v/>
      </c>
      <c r="F113" s="8" t="str">
        <f>IFERROR(INDEX(样本到样信息汇总统计!F$2:F$500,MATCH(112,样本到样信息汇总统计!$AA$2:$AA$500,0)),"")</f>
        <v/>
      </c>
      <c r="G113" s="8" t="str">
        <f>IFERROR(INDEX(样本到样信息汇总统计!G$2:G$500,MATCH(112,样本到样信息汇总统计!$AA$2:$AA$500,0)),"")</f>
        <v/>
      </c>
      <c r="H113" s="8" t="str">
        <f>IFERROR(INDEX(样本到样信息汇总统计!H$2:H$500,MATCH(112,样本到样信息汇总统计!$AA$2:$AA$500,0)),"")</f>
        <v/>
      </c>
      <c r="I113" s="8" t="str">
        <f>IFERROR(INDEX(样本到样信息汇总统计!I$2:I$500,MATCH(112,样本到样信息汇总统计!$AA$2:$AA$500,0)),"")</f>
        <v/>
      </c>
      <c r="J113" s="8" t="str">
        <f>IFERROR(INDEX(样本到样信息汇总统计!J$2:J$500,MATCH(112,样本到样信息汇总统计!$AA$2:$AA$500,0)),"")</f>
        <v/>
      </c>
      <c r="K113" s="8" t="str">
        <f>IFERROR(INDEX(样本到样信息汇总统计!K$2:K$500,MATCH(112,样本到样信息汇总统计!$AA$2:$AA$500,0)),"")</f>
        <v/>
      </c>
      <c r="L113" s="8" t="str">
        <f>IFERROR(INDEX(样本到样信息汇总统计!L$2:L$500,MATCH(112,样本到样信息汇总统计!$AA$2:$AA$500,0)),"")</f>
        <v/>
      </c>
      <c r="M113" s="8" t="str">
        <f>IFERROR(INDEX(样本到样信息汇总统计!M$2:M$500,MATCH(112,样本到样信息汇总统计!$AA$2:$AA$500,0)),"")</f>
        <v/>
      </c>
      <c r="N113" s="8" t="str">
        <f>IFERROR(INDEX(样本到样信息汇总统计!N$2:N$500,MATCH(112,样本到样信息汇总统计!$AA$2:$AA$500,0)),"")</f>
        <v/>
      </c>
      <c r="O113" s="8" t="str">
        <f>IFERROR(INDEX(样本到样信息汇总统计!O$2:O$500,MATCH(112,样本到样信息汇总统计!$AA$2:$AA$500,0)),"")</f>
        <v/>
      </c>
      <c r="P113" s="8" t="str">
        <f>IFERROR(INDEX(样本到样信息汇总统计!P$2:P$500,MATCH(112,样本到样信息汇总统计!$AA$2:$AA$500,0)),"")</f>
        <v/>
      </c>
      <c r="Q113" s="8" t="str">
        <f>IFERROR(INDEX(样本到样信息汇总统计!Q$2:Q$500,MATCH(112,样本到样信息汇总统计!$AA$2:$AA$500,0)),"")</f>
        <v/>
      </c>
      <c r="R113" s="8" t="str">
        <f>IFERROR(INDEX(样本到样信息汇总统计!R$2:R$500,MATCH(112,样本到样信息汇总统计!$AA$2:$AA$500,0)),"")</f>
        <v/>
      </c>
      <c r="S113" s="8" t="str">
        <f>IFERROR(INDEX(样本到样信息汇总统计!S$2:S$500,MATCH(112,样本到样信息汇总统计!$AA$2:$AA$500,0)),"")</f>
        <v/>
      </c>
      <c r="T113" s="8" t="str">
        <f>IFERROR(INDEX(样本到样信息汇总统计!T$2:T$500,MATCH(112,样本到样信息汇总统计!$AA$2:$AA$500,0)),"")</f>
        <v/>
      </c>
      <c r="U113" s="8" t="str">
        <f>IFERROR(INDEX(样本到样信息汇总统计!U$2:U$500,MATCH(112,样本到样信息汇总统计!$AA$2:$AA$500,0)),"")</f>
        <v/>
      </c>
      <c r="V113" s="8" t="str">
        <f>IFERROR(INDEX(样本到样信息汇总统计!V$2:V$500,MATCH(112,样本到样信息汇总统计!$AA$2:$AA$500,0)),"")</f>
        <v/>
      </c>
      <c r="W113" s="8" t="str">
        <f>IFERROR(INDEX(样本到样信息汇总统计!W$2:W$500,MATCH(112,样本到样信息汇总统计!$AA$2:$AA$500,0)),"")</f>
        <v/>
      </c>
    </row>
    <row r="114" ht="14.5" spans="1:23">
      <c r="A114" s="4" t="str">
        <f>IFERROR(INDEX(样本到样信息汇总统计!A$2:A$500,MATCH(113,样本到样信息汇总统计!$AA$2:$AA$500,0)),"")</f>
        <v/>
      </c>
      <c r="B114" s="4" t="str">
        <f>IFERROR(INDEX(样本到样信息汇总统计!B$2:B$500,MATCH(113,样本到样信息汇总统计!$AA$2:$AA$500,0)),"")</f>
        <v/>
      </c>
      <c r="C114" s="4" t="str">
        <f>IFERROR(INDEX(样本到样信息汇总统计!C$2:C$500,MATCH(113,样本到样信息汇总统计!$AA$2:$AA$500,0)),"")</f>
        <v/>
      </c>
      <c r="D114" s="4" t="str">
        <f>IFERROR(INDEX(样本到样信息汇总统计!D$2:D$500,MATCH(113,样本到样信息汇总统计!$AA$2:$AA$500,0)),"")</f>
        <v/>
      </c>
      <c r="E114" s="4" t="str">
        <f>IFERROR(INDEX(样本到样信息汇总统计!E$2:E$500,MATCH(113,样本到样信息汇总统计!$AA$2:$AA$500,0)),"")</f>
        <v/>
      </c>
      <c r="F114" s="4" t="str">
        <f>IFERROR(INDEX(样本到样信息汇总统计!F$2:F$500,MATCH(113,样本到样信息汇总统计!$AA$2:$AA$500,0)),"")</f>
        <v/>
      </c>
      <c r="G114" s="4" t="str">
        <f>IFERROR(INDEX(样本到样信息汇总统计!G$2:G$500,MATCH(113,样本到样信息汇总统计!$AA$2:$AA$500,0)),"")</f>
        <v/>
      </c>
      <c r="H114" s="4" t="str">
        <f>IFERROR(INDEX(样本到样信息汇总统计!H$2:H$500,MATCH(113,样本到样信息汇总统计!$AA$2:$AA$500,0)),"")</f>
        <v/>
      </c>
      <c r="I114" s="4" t="str">
        <f>IFERROR(INDEX(样本到样信息汇总统计!I$2:I$500,MATCH(113,样本到样信息汇总统计!$AA$2:$AA$500,0)),"")</f>
        <v/>
      </c>
      <c r="J114" s="4" t="str">
        <f>IFERROR(INDEX(样本到样信息汇总统计!J$2:J$500,MATCH(113,样本到样信息汇总统计!$AA$2:$AA$500,0)),"")</f>
        <v/>
      </c>
      <c r="K114" s="4" t="str">
        <f>IFERROR(INDEX(样本到样信息汇总统计!K$2:K$500,MATCH(113,样本到样信息汇总统计!$AA$2:$AA$500,0)),"")</f>
        <v/>
      </c>
      <c r="L114" s="4" t="str">
        <f>IFERROR(INDEX(样本到样信息汇总统计!L$2:L$500,MATCH(113,样本到样信息汇总统计!$AA$2:$AA$500,0)),"")</f>
        <v/>
      </c>
      <c r="M114" s="4" t="str">
        <f>IFERROR(INDEX(样本到样信息汇总统计!M$2:M$500,MATCH(113,样本到样信息汇总统计!$AA$2:$AA$500,0)),"")</f>
        <v/>
      </c>
      <c r="N114" s="4" t="str">
        <f>IFERROR(INDEX(样本到样信息汇总统计!N$2:N$500,MATCH(113,样本到样信息汇总统计!$AA$2:$AA$500,0)),"")</f>
        <v/>
      </c>
      <c r="O114" s="4" t="str">
        <f>IFERROR(INDEX(样本到样信息汇总统计!O$2:O$500,MATCH(113,样本到样信息汇总统计!$AA$2:$AA$500,0)),"")</f>
        <v/>
      </c>
      <c r="P114" s="4" t="str">
        <f>IFERROR(INDEX(样本到样信息汇总统计!P$2:P$500,MATCH(113,样本到样信息汇总统计!$AA$2:$AA$500,0)),"")</f>
        <v/>
      </c>
      <c r="Q114" s="4" t="str">
        <f>IFERROR(INDEX(样本到样信息汇总统计!Q$2:Q$500,MATCH(113,样本到样信息汇总统计!$AA$2:$AA$500,0)),"")</f>
        <v/>
      </c>
      <c r="R114" s="4" t="str">
        <f>IFERROR(INDEX(样本到样信息汇总统计!R$2:R$500,MATCH(113,样本到样信息汇总统计!$AA$2:$AA$500,0)),"")</f>
        <v/>
      </c>
      <c r="S114" s="4" t="str">
        <f>IFERROR(INDEX(样本到样信息汇总统计!S$2:S$500,MATCH(113,样本到样信息汇总统计!$AA$2:$AA$500,0)),"")</f>
        <v/>
      </c>
      <c r="T114" s="4" t="str">
        <f>IFERROR(INDEX(样本到样信息汇总统计!T$2:T$500,MATCH(113,样本到样信息汇总统计!$AA$2:$AA$500,0)),"")</f>
        <v/>
      </c>
      <c r="U114" s="4" t="str">
        <f>IFERROR(INDEX(样本到样信息汇总统计!U$2:U$500,MATCH(113,样本到样信息汇总统计!$AA$2:$AA$500,0)),"")</f>
        <v/>
      </c>
      <c r="V114" s="4" t="str">
        <f>IFERROR(INDEX(样本到样信息汇总统计!V$2:V$500,MATCH(113,样本到样信息汇总统计!$AA$2:$AA$500,0)),"")</f>
        <v/>
      </c>
      <c r="W114" s="4" t="str">
        <f>IFERROR(INDEX(样本到样信息汇总统计!W$2:W$500,MATCH(113,样本到样信息汇总统计!$AA$2:$AA$500,0)),"")</f>
        <v/>
      </c>
    </row>
    <row r="115" ht="14.5" spans="1:23">
      <c r="A115" s="8" t="str">
        <f>IFERROR(INDEX(样本到样信息汇总统计!A$2:A$500,MATCH(114,样本到样信息汇总统计!$AA$2:$AA$500,0)),"")</f>
        <v/>
      </c>
      <c r="B115" s="8" t="str">
        <f>IFERROR(INDEX(样本到样信息汇总统计!B$2:B$500,MATCH(114,样本到样信息汇总统计!$AA$2:$AA$500,0)),"")</f>
        <v/>
      </c>
      <c r="C115" s="8" t="str">
        <f>IFERROR(INDEX(样本到样信息汇总统计!C$2:C$500,MATCH(114,样本到样信息汇总统计!$AA$2:$AA$500,0)),"")</f>
        <v/>
      </c>
      <c r="D115" s="8" t="str">
        <f>IFERROR(INDEX(样本到样信息汇总统计!D$2:D$500,MATCH(114,样本到样信息汇总统计!$AA$2:$AA$500,0)),"")</f>
        <v/>
      </c>
      <c r="E115" s="8" t="str">
        <f>IFERROR(INDEX(样本到样信息汇总统计!E$2:E$500,MATCH(114,样本到样信息汇总统计!$AA$2:$AA$500,0)),"")</f>
        <v/>
      </c>
      <c r="F115" s="8" t="str">
        <f>IFERROR(INDEX(样本到样信息汇总统计!F$2:F$500,MATCH(114,样本到样信息汇总统计!$AA$2:$AA$500,0)),"")</f>
        <v/>
      </c>
      <c r="G115" s="8" t="str">
        <f>IFERROR(INDEX(样本到样信息汇总统计!G$2:G$500,MATCH(114,样本到样信息汇总统计!$AA$2:$AA$500,0)),"")</f>
        <v/>
      </c>
      <c r="H115" s="8" t="str">
        <f>IFERROR(INDEX(样本到样信息汇总统计!H$2:H$500,MATCH(114,样本到样信息汇总统计!$AA$2:$AA$500,0)),"")</f>
        <v/>
      </c>
      <c r="I115" s="8" t="str">
        <f>IFERROR(INDEX(样本到样信息汇总统计!I$2:I$500,MATCH(114,样本到样信息汇总统计!$AA$2:$AA$500,0)),"")</f>
        <v/>
      </c>
      <c r="J115" s="8" t="str">
        <f>IFERROR(INDEX(样本到样信息汇总统计!J$2:J$500,MATCH(114,样本到样信息汇总统计!$AA$2:$AA$500,0)),"")</f>
        <v/>
      </c>
      <c r="K115" s="8" t="str">
        <f>IFERROR(INDEX(样本到样信息汇总统计!K$2:K$500,MATCH(114,样本到样信息汇总统计!$AA$2:$AA$500,0)),"")</f>
        <v/>
      </c>
      <c r="L115" s="8" t="str">
        <f>IFERROR(INDEX(样本到样信息汇总统计!L$2:L$500,MATCH(114,样本到样信息汇总统计!$AA$2:$AA$500,0)),"")</f>
        <v/>
      </c>
      <c r="M115" s="8" t="str">
        <f>IFERROR(INDEX(样本到样信息汇总统计!M$2:M$500,MATCH(114,样本到样信息汇总统计!$AA$2:$AA$500,0)),"")</f>
        <v/>
      </c>
      <c r="N115" s="8" t="str">
        <f>IFERROR(INDEX(样本到样信息汇总统计!N$2:N$500,MATCH(114,样本到样信息汇总统计!$AA$2:$AA$500,0)),"")</f>
        <v/>
      </c>
      <c r="O115" s="8" t="str">
        <f>IFERROR(INDEX(样本到样信息汇总统计!O$2:O$500,MATCH(114,样本到样信息汇总统计!$AA$2:$AA$500,0)),"")</f>
        <v/>
      </c>
      <c r="P115" s="8" t="str">
        <f>IFERROR(INDEX(样本到样信息汇总统计!P$2:P$500,MATCH(114,样本到样信息汇总统计!$AA$2:$AA$500,0)),"")</f>
        <v/>
      </c>
      <c r="Q115" s="8" t="str">
        <f>IFERROR(INDEX(样本到样信息汇总统计!Q$2:Q$500,MATCH(114,样本到样信息汇总统计!$AA$2:$AA$500,0)),"")</f>
        <v/>
      </c>
      <c r="R115" s="8" t="str">
        <f>IFERROR(INDEX(样本到样信息汇总统计!R$2:R$500,MATCH(114,样本到样信息汇总统计!$AA$2:$AA$500,0)),"")</f>
        <v/>
      </c>
      <c r="S115" s="8" t="str">
        <f>IFERROR(INDEX(样本到样信息汇总统计!S$2:S$500,MATCH(114,样本到样信息汇总统计!$AA$2:$AA$500,0)),"")</f>
        <v/>
      </c>
      <c r="T115" s="8" t="str">
        <f>IFERROR(INDEX(样本到样信息汇总统计!T$2:T$500,MATCH(114,样本到样信息汇总统计!$AA$2:$AA$500,0)),"")</f>
        <v/>
      </c>
      <c r="U115" s="8" t="str">
        <f>IFERROR(INDEX(样本到样信息汇总统计!U$2:U$500,MATCH(114,样本到样信息汇总统计!$AA$2:$AA$500,0)),"")</f>
        <v/>
      </c>
      <c r="V115" s="8" t="str">
        <f>IFERROR(INDEX(样本到样信息汇总统计!V$2:V$500,MATCH(114,样本到样信息汇总统计!$AA$2:$AA$500,0)),"")</f>
        <v/>
      </c>
      <c r="W115" s="8" t="str">
        <f>IFERROR(INDEX(样本到样信息汇总统计!W$2:W$500,MATCH(114,样本到样信息汇总统计!$AA$2:$AA$500,0)),"")</f>
        <v/>
      </c>
    </row>
    <row r="116" ht="14.5" spans="1:23">
      <c r="A116" s="4" t="str">
        <f>IFERROR(INDEX(样本到样信息汇总统计!A$2:A$500,MATCH(115,样本到样信息汇总统计!$AA$2:$AA$500,0)),"")</f>
        <v/>
      </c>
      <c r="B116" s="4" t="str">
        <f>IFERROR(INDEX(样本到样信息汇总统计!B$2:B$500,MATCH(115,样本到样信息汇总统计!$AA$2:$AA$500,0)),"")</f>
        <v/>
      </c>
      <c r="C116" s="4" t="str">
        <f>IFERROR(INDEX(样本到样信息汇总统计!C$2:C$500,MATCH(115,样本到样信息汇总统计!$AA$2:$AA$500,0)),"")</f>
        <v/>
      </c>
      <c r="D116" s="4" t="str">
        <f>IFERROR(INDEX(样本到样信息汇总统计!D$2:D$500,MATCH(115,样本到样信息汇总统计!$AA$2:$AA$500,0)),"")</f>
        <v/>
      </c>
      <c r="E116" s="4" t="str">
        <f>IFERROR(INDEX(样本到样信息汇总统计!E$2:E$500,MATCH(115,样本到样信息汇总统计!$AA$2:$AA$500,0)),"")</f>
        <v/>
      </c>
      <c r="F116" s="4" t="str">
        <f>IFERROR(INDEX(样本到样信息汇总统计!F$2:F$500,MATCH(115,样本到样信息汇总统计!$AA$2:$AA$500,0)),"")</f>
        <v/>
      </c>
      <c r="G116" s="4" t="str">
        <f>IFERROR(INDEX(样本到样信息汇总统计!G$2:G$500,MATCH(115,样本到样信息汇总统计!$AA$2:$AA$500,0)),"")</f>
        <v/>
      </c>
      <c r="H116" s="4" t="str">
        <f>IFERROR(INDEX(样本到样信息汇总统计!H$2:H$500,MATCH(115,样本到样信息汇总统计!$AA$2:$AA$500,0)),"")</f>
        <v/>
      </c>
      <c r="I116" s="4" t="str">
        <f>IFERROR(INDEX(样本到样信息汇总统计!I$2:I$500,MATCH(115,样本到样信息汇总统计!$AA$2:$AA$500,0)),"")</f>
        <v/>
      </c>
      <c r="J116" s="4" t="str">
        <f>IFERROR(INDEX(样本到样信息汇总统计!J$2:J$500,MATCH(115,样本到样信息汇总统计!$AA$2:$AA$500,0)),"")</f>
        <v/>
      </c>
      <c r="K116" s="4" t="str">
        <f>IFERROR(INDEX(样本到样信息汇总统计!K$2:K$500,MATCH(115,样本到样信息汇总统计!$AA$2:$AA$500,0)),"")</f>
        <v/>
      </c>
      <c r="L116" s="4" t="str">
        <f>IFERROR(INDEX(样本到样信息汇总统计!L$2:L$500,MATCH(115,样本到样信息汇总统计!$AA$2:$AA$500,0)),"")</f>
        <v/>
      </c>
      <c r="M116" s="4" t="str">
        <f>IFERROR(INDEX(样本到样信息汇总统计!M$2:M$500,MATCH(115,样本到样信息汇总统计!$AA$2:$AA$500,0)),"")</f>
        <v/>
      </c>
      <c r="N116" s="4" t="str">
        <f>IFERROR(INDEX(样本到样信息汇总统计!N$2:N$500,MATCH(115,样本到样信息汇总统计!$AA$2:$AA$500,0)),"")</f>
        <v/>
      </c>
      <c r="O116" s="4" t="str">
        <f>IFERROR(INDEX(样本到样信息汇总统计!O$2:O$500,MATCH(115,样本到样信息汇总统计!$AA$2:$AA$500,0)),"")</f>
        <v/>
      </c>
      <c r="P116" s="4" t="str">
        <f>IFERROR(INDEX(样本到样信息汇总统计!P$2:P$500,MATCH(115,样本到样信息汇总统计!$AA$2:$AA$500,0)),"")</f>
        <v/>
      </c>
      <c r="Q116" s="4" t="str">
        <f>IFERROR(INDEX(样本到样信息汇总统计!Q$2:Q$500,MATCH(115,样本到样信息汇总统计!$AA$2:$AA$500,0)),"")</f>
        <v/>
      </c>
      <c r="R116" s="4" t="str">
        <f>IFERROR(INDEX(样本到样信息汇总统计!R$2:R$500,MATCH(115,样本到样信息汇总统计!$AA$2:$AA$500,0)),"")</f>
        <v/>
      </c>
      <c r="S116" s="4" t="str">
        <f>IFERROR(INDEX(样本到样信息汇总统计!S$2:S$500,MATCH(115,样本到样信息汇总统计!$AA$2:$AA$500,0)),"")</f>
        <v/>
      </c>
      <c r="T116" s="4" t="str">
        <f>IFERROR(INDEX(样本到样信息汇总统计!T$2:T$500,MATCH(115,样本到样信息汇总统计!$AA$2:$AA$500,0)),"")</f>
        <v/>
      </c>
      <c r="U116" s="4" t="str">
        <f>IFERROR(INDEX(样本到样信息汇总统计!U$2:U$500,MATCH(115,样本到样信息汇总统计!$AA$2:$AA$500,0)),"")</f>
        <v/>
      </c>
      <c r="V116" s="4" t="str">
        <f>IFERROR(INDEX(样本到样信息汇总统计!V$2:V$500,MATCH(115,样本到样信息汇总统计!$AA$2:$AA$500,0)),"")</f>
        <v/>
      </c>
      <c r="W116" s="4" t="str">
        <f>IFERROR(INDEX(样本到样信息汇总统计!W$2:W$500,MATCH(115,样本到样信息汇总统计!$AA$2:$AA$500,0)),"")</f>
        <v/>
      </c>
    </row>
    <row r="117" ht="14.5" spans="1:23">
      <c r="A117" s="8" t="str">
        <f>IFERROR(INDEX(样本到样信息汇总统计!A$2:A$500,MATCH(116,样本到样信息汇总统计!$AA$2:$AA$500,0)),"")</f>
        <v/>
      </c>
      <c r="B117" s="8" t="str">
        <f>IFERROR(INDEX(样本到样信息汇总统计!B$2:B$500,MATCH(116,样本到样信息汇总统计!$AA$2:$AA$500,0)),"")</f>
        <v/>
      </c>
      <c r="C117" s="8" t="str">
        <f>IFERROR(INDEX(样本到样信息汇总统计!C$2:C$500,MATCH(116,样本到样信息汇总统计!$AA$2:$AA$500,0)),"")</f>
        <v/>
      </c>
      <c r="D117" s="8" t="str">
        <f>IFERROR(INDEX(样本到样信息汇总统计!D$2:D$500,MATCH(116,样本到样信息汇总统计!$AA$2:$AA$500,0)),"")</f>
        <v/>
      </c>
      <c r="E117" s="8" t="str">
        <f>IFERROR(INDEX(样本到样信息汇总统计!E$2:E$500,MATCH(116,样本到样信息汇总统计!$AA$2:$AA$500,0)),"")</f>
        <v/>
      </c>
      <c r="F117" s="8" t="str">
        <f>IFERROR(INDEX(样本到样信息汇总统计!F$2:F$500,MATCH(116,样本到样信息汇总统计!$AA$2:$AA$500,0)),"")</f>
        <v/>
      </c>
      <c r="G117" s="8" t="str">
        <f>IFERROR(INDEX(样本到样信息汇总统计!G$2:G$500,MATCH(116,样本到样信息汇总统计!$AA$2:$AA$500,0)),"")</f>
        <v/>
      </c>
      <c r="H117" s="8" t="str">
        <f>IFERROR(INDEX(样本到样信息汇总统计!H$2:H$500,MATCH(116,样本到样信息汇总统计!$AA$2:$AA$500,0)),"")</f>
        <v/>
      </c>
      <c r="I117" s="8" t="str">
        <f>IFERROR(INDEX(样本到样信息汇总统计!I$2:I$500,MATCH(116,样本到样信息汇总统计!$AA$2:$AA$500,0)),"")</f>
        <v/>
      </c>
      <c r="J117" s="8" t="str">
        <f>IFERROR(INDEX(样本到样信息汇总统计!J$2:J$500,MATCH(116,样本到样信息汇总统计!$AA$2:$AA$500,0)),"")</f>
        <v/>
      </c>
      <c r="K117" s="8" t="str">
        <f>IFERROR(INDEX(样本到样信息汇总统计!K$2:K$500,MATCH(116,样本到样信息汇总统计!$AA$2:$AA$500,0)),"")</f>
        <v/>
      </c>
      <c r="L117" s="8" t="str">
        <f>IFERROR(INDEX(样本到样信息汇总统计!L$2:L$500,MATCH(116,样本到样信息汇总统计!$AA$2:$AA$500,0)),"")</f>
        <v/>
      </c>
      <c r="M117" s="8" t="str">
        <f>IFERROR(INDEX(样本到样信息汇总统计!M$2:M$500,MATCH(116,样本到样信息汇总统计!$AA$2:$AA$500,0)),"")</f>
        <v/>
      </c>
      <c r="N117" s="8" t="str">
        <f>IFERROR(INDEX(样本到样信息汇总统计!N$2:N$500,MATCH(116,样本到样信息汇总统计!$AA$2:$AA$500,0)),"")</f>
        <v/>
      </c>
      <c r="O117" s="8" t="str">
        <f>IFERROR(INDEX(样本到样信息汇总统计!O$2:O$500,MATCH(116,样本到样信息汇总统计!$AA$2:$AA$500,0)),"")</f>
        <v/>
      </c>
      <c r="P117" s="8" t="str">
        <f>IFERROR(INDEX(样本到样信息汇总统计!P$2:P$500,MATCH(116,样本到样信息汇总统计!$AA$2:$AA$500,0)),"")</f>
        <v/>
      </c>
      <c r="Q117" s="8" t="str">
        <f>IFERROR(INDEX(样本到样信息汇总统计!Q$2:Q$500,MATCH(116,样本到样信息汇总统计!$AA$2:$AA$500,0)),"")</f>
        <v/>
      </c>
      <c r="R117" s="8" t="str">
        <f>IFERROR(INDEX(样本到样信息汇总统计!R$2:R$500,MATCH(116,样本到样信息汇总统计!$AA$2:$AA$500,0)),"")</f>
        <v/>
      </c>
      <c r="S117" s="8" t="str">
        <f>IFERROR(INDEX(样本到样信息汇总统计!S$2:S$500,MATCH(116,样本到样信息汇总统计!$AA$2:$AA$500,0)),"")</f>
        <v/>
      </c>
      <c r="T117" s="8" t="str">
        <f>IFERROR(INDEX(样本到样信息汇总统计!T$2:T$500,MATCH(116,样本到样信息汇总统计!$AA$2:$AA$500,0)),"")</f>
        <v/>
      </c>
      <c r="U117" s="8" t="str">
        <f>IFERROR(INDEX(样本到样信息汇总统计!U$2:U$500,MATCH(116,样本到样信息汇总统计!$AA$2:$AA$500,0)),"")</f>
        <v/>
      </c>
      <c r="V117" s="8" t="str">
        <f>IFERROR(INDEX(样本到样信息汇总统计!V$2:V$500,MATCH(116,样本到样信息汇总统计!$AA$2:$AA$500,0)),"")</f>
        <v/>
      </c>
      <c r="W117" s="8" t="str">
        <f>IFERROR(INDEX(样本到样信息汇总统计!W$2:W$500,MATCH(116,样本到样信息汇总统计!$AA$2:$AA$500,0)),"")</f>
        <v/>
      </c>
    </row>
    <row r="118" ht="14.5" spans="1:23">
      <c r="A118" s="4" t="str">
        <f>IFERROR(INDEX(样本到样信息汇总统计!A$2:A$500,MATCH(117,样本到样信息汇总统计!$AA$2:$AA$500,0)),"")</f>
        <v/>
      </c>
      <c r="B118" s="4" t="str">
        <f>IFERROR(INDEX(样本到样信息汇总统计!B$2:B$500,MATCH(117,样本到样信息汇总统计!$AA$2:$AA$500,0)),"")</f>
        <v/>
      </c>
      <c r="C118" s="4" t="str">
        <f>IFERROR(INDEX(样本到样信息汇总统计!C$2:C$500,MATCH(117,样本到样信息汇总统计!$AA$2:$AA$500,0)),"")</f>
        <v/>
      </c>
      <c r="D118" s="4" t="str">
        <f>IFERROR(INDEX(样本到样信息汇总统计!D$2:D$500,MATCH(117,样本到样信息汇总统计!$AA$2:$AA$500,0)),"")</f>
        <v/>
      </c>
      <c r="E118" s="4" t="str">
        <f>IFERROR(INDEX(样本到样信息汇总统计!E$2:E$500,MATCH(117,样本到样信息汇总统计!$AA$2:$AA$500,0)),"")</f>
        <v/>
      </c>
      <c r="F118" s="4" t="str">
        <f>IFERROR(INDEX(样本到样信息汇总统计!F$2:F$500,MATCH(117,样本到样信息汇总统计!$AA$2:$AA$500,0)),"")</f>
        <v/>
      </c>
      <c r="G118" s="4" t="str">
        <f>IFERROR(INDEX(样本到样信息汇总统计!G$2:G$500,MATCH(117,样本到样信息汇总统计!$AA$2:$AA$500,0)),"")</f>
        <v/>
      </c>
      <c r="H118" s="4" t="str">
        <f>IFERROR(INDEX(样本到样信息汇总统计!H$2:H$500,MATCH(117,样本到样信息汇总统计!$AA$2:$AA$500,0)),"")</f>
        <v/>
      </c>
      <c r="I118" s="4" t="str">
        <f>IFERROR(INDEX(样本到样信息汇总统计!I$2:I$500,MATCH(117,样本到样信息汇总统计!$AA$2:$AA$500,0)),"")</f>
        <v/>
      </c>
      <c r="J118" s="4" t="str">
        <f>IFERROR(INDEX(样本到样信息汇总统计!J$2:J$500,MATCH(117,样本到样信息汇总统计!$AA$2:$AA$500,0)),"")</f>
        <v/>
      </c>
      <c r="K118" s="4" t="str">
        <f>IFERROR(INDEX(样本到样信息汇总统计!K$2:K$500,MATCH(117,样本到样信息汇总统计!$AA$2:$AA$500,0)),"")</f>
        <v/>
      </c>
      <c r="L118" s="4" t="str">
        <f>IFERROR(INDEX(样本到样信息汇总统计!L$2:L$500,MATCH(117,样本到样信息汇总统计!$AA$2:$AA$500,0)),"")</f>
        <v/>
      </c>
      <c r="M118" s="4" t="str">
        <f>IFERROR(INDEX(样本到样信息汇总统计!M$2:M$500,MATCH(117,样本到样信息汇总统计!$AA$2:$AA$500,0)),"")</f>
        <v/>
      </c>
      <c r="N118" s="4" t="str">
        <f>IFERROR(INDEX(样本到样信息汇总统计!N$2:N$500,MATCH(117,样本到样信息汇总统计!$AA$2:$AA$500,0)),"")</f>
        <v/>
      </c>
      <c r="O118" s="4" t="str">
        <f>IFERROR(INDEX(样本到样信息汇总统计!O$2:O$500,MATCH(117,样本到样信息汇总统计!$AA$2:$AA$500,0)),"")</f>
        <v/>
      </c>
      <c r="P118" s="4" t="str">
        <f>IFERROR(INDEX(样本到样信息汇总统计!P$2:P$500,MATCH(117,样本到样信息汇总统计!$AA$2:$AA$500,0)),"")</f>
        <v/>
      </c>
      <c r="Q118" s="4" t="str">
        <f>IFERROR(INDEX(样本到样信息汇总统计!Q$2:Q$500,MATCH(117,样本到样信息汇总统计!$AA$2:$AA$500,0)),"")</f>
        <v/>
      </c>
      <c r="R118" s="4" t="str">
        <f>IFERROR(INDEX(样本到样信息汇总统计!R$2:R$500,MATCH(117,样本到样信息汇总统计!$AA$2:$AA$500,0)),"")</f>
        <v/>
      </c>
      <c r="S118" s="4" t="str">
        <f>IFERROR(INDEX(样本到样信息汇总统计!S$2:S$500,MATCH(117,样本到样信息汇总统计!$AA$2:$AA$500,0)),"")</f>
        <v/>
      </c>
      <c r="T118" s="4" t="str">
        <f>IFERROR(INDEX(样本到样信息汇总统计!T$2:T$500,MATCH(117,样本到样信息汇总统计!$AA$2:$AA$500,0)),"")</f>
        <v/>
      </c>
      <c r="U118" s="4" t="str">
        <f>IFERROR(INDEX(样本到样信息汇总统计!U$2:U$500,MATCH(117,样本到样信息汇总统计!$AA$2:$AA$500,0)),"")</f>
        <v/>
      </c>
      <c r="V118" s="4" t="str">
        <f>IFERROR(INDEX(样本到样信息汇总统计!V$2:V$500,MATCH(117,样本到样信息汇总统计!$AA$2:$AA$500,0)),"")</f>
        <v/>
      </c>
      <c r="W118" s="4" t="str">
        <f>IFERROR(INDEX(样本到样信息汇总统计!W$2:W$500,MATCH(117,样本到样信息汇总统计!$AA$2:$AA$500,0)),"")</f>
        <v/>
      </c>
    </row>
    <row r="119" ht="14.5" spans="1:23">
      <c r="A119" s="8" t="str">
        <f>IFERROR(INDEX(样本到样信息汇总统计!A$2:A$500,MATCH(118,样本到样信息汇总统计!$AA$2:$AA$500,0)),"")</f>
        <v/>
      </c>
      <c r="B119" s="8" t="str">
        <f>IFERROR(INDEX(样本到样信息汇总统计!B$2:B$500,MATCH(118,样本到样信息汇总统计!$AA$2:$AA$500,0)),"")</f>
        <v/>
      </c>
      <c r="C119" s="8" t="str">
        <f>IFERROR(INDEX(样本到样信息汇总统计!C$2:C$500,MATCH(118,样本到样信息汇总统计!$AA$2:$AA$500,0)),"")</f>
        <v/>
      </c>
      <c r="D119" s="8" t="str">
        <f>IFERROR(INDEX(样本到样信息汇总统计!D$2:D$500,MATCH(118,样本到样信息汇总统计!$AA$2:$AA$500,0)),"")</f>
        <v/>
      </c>
      <c r="E119" s="8" t="str">
        <f>IFERROR(INDEX(样本到样信息汇总统计!E$2:E$500,MATCH(118,样本到样信息汇总统计!$AA$2:$AA$500,0)),"")</f>
        <v/>
      </c>
      <c r="F119" s="8" t="str">
        <f>IFERROR(INDEX(样本到样信息汇总统计!F$2:F$500,MATCH(118,样本到样信息汇总统计!$AA$2:$AA$500,0)),"")</f>
        <v/>
      </c>
      <c r="G119" s="8" t="str">
        <f>IFERROR(INDEX(样本到样信息汇总统计!G$2:G$500,MATCH(118,样本到样信息汇总统计!$AA$2:$AA$500,0)),"")</f>
        <v/>
      </c>
      <c r="H119" s="8" t="str">
        <f>IFERROR(INDEX(样本到样信息汇总统计!H$2:H$500,MATCH(118,样本到样信息汇总统计!$AA$2:$AA$500,0)),"")</f>
        <v/>
      </c>
      <c r="I119" s="8" t="str">
        <f>IFERROR(INDEX(样本到样信息汇总统计!I$2:I$500,MATCH(118,样本到样信息汇总统计!$AA$2:$AA$500,0)),"")</f>
        <v/>
      </c>
      <c r="J119" s="8" t="str">
        <f>IFERROR(INDEX(样本到样信息汇总统计!J$2:J$500,MATCH(118,样本到样信息汇总统计!$AA$2:$AA$500,0)),"")</f>
        <v/>
      </c>
      <c r="K119" s="8" t="str">
        <f>IFERROR(INDEX(样本到样信息汇总统计!K$2:K$500,MATCH(118,样本到样信息汇总统计!$AA$2:$AA$500,0)),"")</f>
        <v/>
      </c>
      <c r="L119" s="8" t="str">
        <f>IFERROR(INDEX(样本到样信息汇总统计!L$2:L$500,MATCH(118,样本到样信息汇总统计!$AA$2:$AA$500,0)),"")</f>
        <v/>
      </c>
      <c r="M119" s="8" t="str">
        <f>IFERROR(INDEX(样本到样信息汇总统计!M$2:M$500,MATCH(118,样本到样信息汇总统计!$AA$2:$AA$500,0)),"")</f>
        <v/>
      </c>
      <c r="N119" s="8" t="str">
        <f>IFERROR(INDEX(样本到样信息汇总统计!N$2:N$500,MATCH(118,样本到样信息汇总统计!$AA$2:$AA$500,0)),"")</f>
        <v/>
      </c>
      <c r="O119" s="8" t="str">
        <f>IFERROR(INDEX(样本到样信息汇总统计!O$2:O$500,MATCH(118,样本到样信息汇总统计!$AA$2:$AA$500,0)),"")</f>
        <v/>
      </c>
      <c r="P119" s="8" t="str">
        <f>IFERROR(INDEX(样本到样信息汇总统计!P$2:P$500,MATCH(118,样本到样信息汇总统计!$AA$2:$AA$500,0)),"")</f>
        <v/>
      </c>
      <c r="Q119" s="8" t="str">
        <f>IFERROR(INDEX(样本到样信息汇总统计!Q$2:Q$500,MATCH(118,样本到样信息汇总统计!$AA$2:$AA$500,0)),"")</f>
        <v/>
      </c>
      <c r="R119" s="8" t="str">
        <f>IFERROR(INDEX(样本到样信息汇总统计!R$2:R$500,MATCH(118,样本到样信息汇总统计!$AA$2:$AA$500,0)),"")</f>
        <v/>
      </c>
      <c r="S119" s="8" t="str">
        <f>IFERROR(INDEX(样本到样信息汇总统计!S$2:S$500,MATCH(118,样本到样信息汇总统计!$AA$2:$AA$500,0)),"")</f>
        <v/>
      </c>
      <c r="T119" s="8" t="str">
        <f>IFERROR(INDEX(样本到样信息汇总统计!T$2:T$500,MATCH(118,样本到样信息汇总统计!$AA$2:$AA$500,0)),"")</f>
        <v/>
      </c>
      <c r="U119" s="8" t="str">
        <f>IFERROR(INDEX(样本到样信息汇总统计!U$2:U$500,MATCH(118,样本到样信息汇总统计!$AA$2:$AA$500,0)),"")</f>
        <v/>
      </c>
      <c r="V119" s="8" t="str">
        <f>IFERROR(INDEX(样本到样信息汇总统计!V$2:V$500,MATCH(118,样本到样信息汇总统计!$AA$2:$AA$500,0)),"")</f>
        <v/>
      </c>
      <c r="W119" s="8" t="str">
        <f>IFERROR(INDEX(样本到样信息汇总统计!W$2:W$500,MATCH(118,样本到样信息汇总统计!$AA$2:$AA$500,0)),"")</f>
        <v/>
      </c>
    </row>
    <row r="120" ht="14.5" spans="1:23">
      <c r="A120" s="4" t="str">
        <f>IFERROR(INDEX(样本到样信息汇总统计!A$2:A$500,MATCH(119,样本到样信息汇总统计!$AA$2:$AA$500,0)),"")</f>
        <v/>
      </c>
      <c r="B120" s="4" t="str">
        <f>IFERROR(INDEX(样本到样信息汇总统计!B$2:B$500,MATCH(119,样本到样信息汇总统计!$AA$2:$AA$500,0)),"")</f>
        <v/>
      </c>
      <c r="C120" s="4" t="str">
        <f>IFERROR(INDEX(样本到样信息汇总统计!C$2:C$500,MATCH(119,样本到样信息汇总统计!$AA$2:$AA$500,0)),"")</f>
        <v/>
      </c>
      <c r="D120" s="4" t="str">
        <f>IFERROR(INDEX(样本到样信息汇总统计!D$2:D$500,MATCH(119,样本到样信息汇总统计!$AA$2:$AA$500,0)),"")</f>
        <v/>
      </c>
      <c r="E120" s="4" t="str">
        <f>IFERROR(INDEX(样本到样信息汇总统计!E$2:E$500,MATCH(119,样本到样信息汇总统计!$AA$2:$AA$500,0)),"")</f>
        <v/>
      </c>
      <c r="F120" s="4" t="str">
        <f>IFERROR(INDEX(样本到样信息汇总统计!F$2:F$500,MATCH(119,样本到样信息汇总统计!$AA$2:$AA$500,0)),"")</f>
        <v/>
      </c>
      <c r="G120" s="4" t="str">
        <f>IFERROR(INDEX(样本到样信息汇总统计!G$2:G$500,MATCH(119,样本到样信息汇总统计!$AA$2:$AA$500,0)),"")</f>
        <v/>
      </c>
      <c r="H120" s="4" t="str">
        <f>IFERROR(INDEX(样本到样信息汇总统计!H$2:H$500,MATCH(119,样本到样信息汇总统计!$AA$2:$AA$500,0)),"")</f>
        <v/>
      </c>
      <c r="I120" s="4" t="str">
        <f>IFERROR(INDEX(样本到样信息汇总统计!I$2:I$500,MATCH(119,样本到样信息汇总统计!$AA$2:$AA$500,0)),"")</f>
        <v/>
      </c>
      <c r="J120" s="4" t="str">
        <f>IFERROR(INDEX(样本到样信息汇总统计!J$2:J$500,MATCH(119,样本到样信息汇总统计!$AA$2:$AA$500,0)),"")</f>
        <v/>
      </c>
      <c r="K120" s="4" t="str">
        <f>IFERROR(INDEX(样本到样信息汇总统计!K$2:K$500,MATCH(119,样本到样信息汇总统计!$AA$2:$AA$500,0)),"")</f>
        <v/>
      </c>
      <c r="L120" s="4" t="str">
        <f>IFERROR(INDEX(样本到样信息汇总统计!L$2:L$500,MATCH(119,样本到样信息汇总统计!$AA$2:$AA$500,0)),"")</f>
        <v/>
      </c>
      <c r="M120" s="4" t="str">
        <f>IFERROR(INDEX(样本到样信息汇总统计!M$2:M$500,MATCH(119,样本到样信息汇总统计!$AA$2:$AA$500,0)),"")</f>
        <v/>
      </c>
      <c r="N120" s="4" t="str">
        <f>IFERROR(INDEX(样本到样信息汇总统计!N$2:N$500,MATCH(119,样本到样信息汇总统计!$AA$2:$AA$500,0)),"")</f>
        <v/>
      </c>
      <c r="O120" s="4" t="str">
        <f>IFERROR(INDEX(样本到样信息汇总统计!O$2:O$500,MATCH(119,样本到样信息汇总统计!$AA$2:$AA$500,0)),"")</f>
        <v/>
      </c>
      <c r="P120" s="4" t="str">
        <f>IFERROR(INDEX(样本到样信息汇总统计!P$2:P$500,MATCH(119,样本到样信息汇总统计!$AA$2:$AA$500,0)),"")</f>
        <v/>
      </c>
      <c r="Q120" s="4" t="str">
        <f>IFERROR(INDEX(样本到样信息汇总统计!Q$2:Q$500,MATCH(119,样本到样信息汇总统计!$AA$2:$AA$500,0)),"")</f>
        <v/>
      </c>
      <c r="R120" s="4" t="str">
        <f>IFERROR(INDEX(样本到样信息汇总统计!R$2:R$500,MATCH(119,样本到样信息汇总统计!$AA$2:$AA$500,0)),"")</f>
        <v/>
      </c>
      <c r="S120" s="4" t="str">
        <f>IFERROR(INDEX(样本到样信息汇总统计!S$2:S$500,MATCH(119,样本到样信息汇总统计!$AA$2:$AA$500,0)),"")</f>
        <v/>
      </c>
      <c r="T120" s="4" t="str">
        <f>IFERROR(INDEX(样本到样信息汇总统计!T$2:T$500,MATCH(119,样本到样信息汇总统计!$AA$2:$AA$500,0)),"")</f>
        <v/>
      </c>
      <c r="U120" s="4" t="str">
        <f>IFERROR(INDEX(样本到样信息汇总统计!U$2:U$500,MATCH(119,样本到样信息汇总统计!$AA$2:$AA$500,0)),"")</f>
        <v/>
      </c>
      <c r="V120" s="4" t="str">
        <f>IFERROR(INDEX(样本到样信息汇总统计!V$2:V$500,MATCH(119,样本到样信息汇总统计!$AA$2:$AA$500,0)),"")</f>
        <v/>
      </c>
      <c r="W120" s="4" t="str">
        <f>IFERROR(INDEX(样本到样信息汇总统计!W$2:W$500,MATCH(119,样本到样信息汇总统计!$AA$2:$AA$500,0)),"")</f>
        <v/>
      </c>
    </row>
    <row r="121" ht="14.5" spans="1:23">
      <c r="A121" s="8" t="str">
        <f>IFERROR(INDEX(样本到样信息汇总统计!A$2:A$500,MATCH(120,样本到样信息汇总统计!$AA$2:$AA$500,0)),"")</f>
        <v/>
      </c>
      <c r="B121" s="8" t="str">
        <f>IFERROR(INDEX(样本到样信息汇总统计!B$2:B$500,MATCH(120,样本到样信息汇总统计!$AA$2:$AA$500,0)),"")</f>
        <v/>
      </c>
      <c r="C121" s="8" t="str">
        <f>IFERROR(INDEX(样本到样信息汇总统计!C$2:C$500,MATCH(120,样本到样信息汇总统计!$AA$2:$AA$500,0)),"")</f>
        <v/>
      </c>
      <c r="D121" s="8" t="str">
        <f>IFERROR(INDEX(样本到样信息汇总统计!D$2:D$500,MATCH(120,样本到样信息汇总统计!$AA$2:$AA$500,0)),"")</f>
        <v/>
      </c>
      <c r="E121" s="8" t="str">
        <f>IFERROR(INDEX(样本到样信息汇总统计!E$2:E$500,MATCH(120,样本到样信息汇总统计!$AA$2:$AA$500,0)),"")</f>
        <v/>
      </c>
      <c r="F121" s="8" t="str">
        <f>IFERROR(INDEX(样本到样信息汇总统计!F$2:F$500,MATCH(120,样本到样信息汇总统计!$AA$2:$AA$500,0)),"")</f>
        <v/>
      </c>
      <c r="G121" s="8" t="str">
        <f>IFERROR(INDEX(样本到样信息汇总统计!G$2:G$500,MATCH(120,样本到样信息汇总统计!$AA$2:$AA$500,0)),"")</f>
        <v/>
      </c>
      <c r="H121" s="8" t="str">
        <f>IFERROR(INDEX(样本到样信息汇总统计!H$2:H$500,MATCH(120,样本到样信息汇总统计!$AA$2:$AA$500,0)),"")</f>
        <v/>
      </c>
      <c r="I121" s="8" t="str">
        <f>IFERROR(INDEX(样本到样信息汇总统计!I$2:I$500,MATCH(120,样本到样信息汇总统计!$AA$2:$AA$500,0)),"")</f>
        <v/>
      </c>
      <c r="J121" s="8" t="str">
        <f>IFERROR(INDEX(样本到样信息汇总统计!J$2:J$500,MATCH(120,样本到样信息汇总统计!$AA$2:$AA$500,0)),"")</f>
        <v/>
      </c>
      <c r="K121" s="8" t="str">
        <f>IFERROR(INDEX(样本到样信息汇总统计!K$2:K$500,MATCH(120,样本到样信息汇总统计!$AA$2:$AA$500,0)),"")</f>
        <v/>
      </c>
      <c r="L121" s="8" t="str">
        <f>IFERROR(INDEX(样本到样信息汇总统计!L$2:L$500,MATCH(120,样本到样信息汇总统计!$AA$2:$AA$500,0)),"")</f>
        <v/>
      </c>
      <c r="M121" s="8" t="str">
        <f>IFERROR(INDEX(样本到样信息汇总统计!M$2:M$500,MATCH(120,样本到样信息汇总统计!$AA$2:$AA$500,0)),"")</f>
        <v/>
      </c>
      <c r="N121" s="8" t="str">
        <f>IFERROR(INDEX(样本到样信息汇总统计!N$2:N$500,MATCH(120,样本到样信息汇总统计!$AA$2:$AA$500,0)),"")</f>
        <v/>
      </c>
      <c r="O121" s="8" t="str">
        <f>IFERROR(INDEX(样本到样信息汇总统计!O$2:O$500,MATCH(120,样本到样信息汇总统计!$AA$2:$AA$500,0)),"")</f>
        <v/>
      </c>
      <c r="P121" s="8" t="str">
        <f>IFERROR(INDEX(样本到样信息汇总统计!P$2:P$500,MATCH(120,样本到样信息汇总统计!$AA$2:$AA$500,0)),"")</f>
        <v/>
      </c>
      <c r="Q121" s="8" t="str">
        <f>IFERROR(INDEX(样本到样信息汇总统计!Q$2:Q$500,MATCH(120,样本到样信息汇总统计!$AA$2:$AA$500,0)),"")</f>
        <v/>
      </c>
      <c r="R121" s="8" t="str">
        <f>IFERROR(INDEX(样本到样信息汇总统计!R$2:R$500,MATCH(120,样本到样信息汇总统计!$AA$2:$AA$500,0)),"")</f>
        <v/>
      </c>
      <c r="S121" s="8" t="str">
        <f>IFERROR(INDEX(样本到样信息汇总统计!S$2:S$500,MATCH(120,样本到样信息汇总统计!$AA$2:$AA$500,0)),"")</f>
        <v/>
      </c>
      <c r="T121" s="8" t="str">
        <f>IFERROR(INDEX(样本到样信息汇总统计!T$2:T$500,MATCH(120,样本到样信息汇总统计!$AA$2:$AA$500,0)),"")</f>
        <v/>
      </c>
      <c r="U121" s="8" t="str">
        <f>IFERROR(INDEX(样本到样信息汇总统计!U$2:U$500,MATCH(120,样本到样信息汇总统计!$AA$2:$AA$500,0)),"")</f>
        <v/>
      </c>
      <c r="V121" s="8" t="str">
        <f>IFERROR(INDEX(样本到样信息汇总统计!V$2:V$500,MATCH(120,样本到样信息汇总统计!$AA$2:$AA$500,0)),"")</f>
        <v/>
      </c>
      <c r="W121" s="8" t="str">
        <f>IFERROR(INDEX(样本到样信息汇总统计!W$2:W$500,MATCH(120,样本到样信息汇总统计!$AA$2:$AA$500,0)),"")</f>
        <v/>
      </c>
    </row>
    <row r="122" ht="14.5" spans="1:23">
      <c r="A122" s="4" t="str">
        <f>IFERROR(INDEX(样本到样信息汇总统计!A$2:A$500,MATCH(121,样本到样信息汇总统计!$AA$2:$AA$500,0)),"")</f>
        <v/>
      </c>
      <c r="B122" s="4" t="str">
        <f>IFERROR(INDEX(样本到样信息汇总统计!B$2:B$500,MATCH(121,样本到样信息汇总统计!$AA$2:$AA$500,0)),"")</f>
        <v/>
      </c>
      <c r="C122" s="4" t="str">
        <f>IFERROR(INDEX(样本到样信息汇总统计!C$2:C$500,MATCH(121,样本到样信息汇总统计!$AA$2:$AA$500,0)),"")</f>
        <v/>
      </c>
      <c r="D122" s="4" t="str">
        <f>IFERROR(INDEX(样本到样信息汇总统计!D$2:D$500,MATCH(121,样本到样信息汇总统计!$AA$2:$AA$500,0)),"")</f>
        <v/>
      </c>
      <c r="E122" s="4" t="str">
        <f>IFERROR(INDEX(样本到样信息汇总统计!E$2:E$500,MATCH(121,样本到样信息汇总统计!$AA$2:$AA$500,0)),"")</f>
        <v/>
      </c>
      <c r="F122" s="4" t="str">
        <f>IFERROR(INDEX(样本到样信息汇总统计!F$2:F$500,MATCH(121,样本到样信息汇总统计!$AA$2:$AA$500,0)),"")</f>
        <v/>
      </c>
      <c r="G122" s="4" t="str">
        <f>IFERROR(INDEX(样本到样信息汇总统计!G$2:G$500,MATCH(121,样本到样信息汇总统计!$AA$2:$AA$500,0)),"")</f>
        <v/>
      </c>
      <c r="H122" s="4" t="str">
        <f>IFERROR(INDEX(样本到样信息汇总统计!H$2:H$500,MATCH(121,样本到样信息汇总统计!$AA$2:$AA$500,0)),"")</f>
        <v/>
      </c>
      <c r="I122" s="4" t="str">
        <f>IFERROR(INDEX(样本到样信息汇总统计!I$2:I$500,MATCH(121,样本到样信息汇总统计!$AA$2:$AA$500,0)),"")</f>
        <v/>
      </c>
      <c r="J122" s="4" t="str">
        <f>IFERROR(INDEX(样本到样信息汇总统计!J$2:J$500,MATCH(121,样本到样信息汇总统计!$AA$2:$AA$500,0)),"")</f>
        <v/>
      </c>
      <c r="K122" s="4" t="str">
        <f>IFERROR(INDEX(样本到样信息汇总统计!K$2:K$500,MATCH(121,样本到样信息汇总统计!$AA$2:$AA$500,0)),"")</f>
        <v/>
      </c>
      <c r="L122" s="4" t="str">
        <f>IFERROR(INDEX(样本到样信息汇总统计!L$2:L$500,MATCH(121,样本到样信息汇总统计!$AA$2:$AA$500,0)),"")</f>
        <v/>
      </c>
      <c r="M122" s="4" t="str">
        <f>IFERROR(INDEX(样本到样信息汇总统计!M$2:M$500,MATCH(121,样本到样信息汇总统计!$AA$2:$AA$500,0)),"")</f>
        <v/>
      </c>
      <c r="N122" s="4" t="str">
        <f>IFERROR(INDEX(样本到样信息汇总统计!N$2:N$500,MATCH(121,样本到样信息汇总统计!$AA$2:$AA$500,0)),"")</f>
        <v/>
      </c>
      <c r="O122" s="4" t="str">
        <f>IFERROR(INDEX(样本到样信息汇总统计!O$2:O$500,MATCH(121,样本到样信息汇总统计!$AA$2:$AA$500,0)),"")</f>
        <v/>
      </c>
      <c r="P122" s="4" t="str">
        <f>IFERROR(INDEX(样本到样信息汇总统计!P$2:P$500,MATCH(121,样本到样信息汇总统计!$AA$2:$AA$500,0)),"")</f>
        <v/>
      </c>
      <c r="Q122" s="4" t="str">
        <f>IFERROR(INDEX(样本到样信息汇总统计!Q$2:Q$500,MATCH(121,样本到样信息汇总统计!$AA$2:$AA$500,0)),"")</f>
        <v/>
      </c>
      <c r="R122" s="4" t="str">
        <f>IFERROR(INDEX(样本到样信息汇总统计!R$2:R$500,MATCH(121,样本到样信息汇总统计!$AA$2:$AA$500,0)),"")</f>
        <v/>
      </c>
      <c r="S122" s="4" t="str">
        <f>IFERROR(INDEX(样本到样信息汇总统计!S$2:S$500,MATCH(121,样本到样信息汇总统计!$AA$2:$AA$500,0)),"")</f>
        <v/>
      </c>
      <c r="T122" s="4" t="str">
        <f>IFERROR(INDEX(样本到样信息汇总统计!T$2:T$500,MATCH(121,样本到样信息汇总统计!$AA$2:$AA$500,0)),"")</f>
        <v/>
      </c>
      <c r="U122" s="4" t="str">
        <f>IFERROR(INDEX(样本到样信息汇总统计!U$2:U$500,MATCH(121,样本到样信息汇总统计!$AA$2:$AA$500,0)),"")</f>
        <v/>
      </c>
      <c r="V122" s="4" t="str">
        <f>IFERROR(INDEX(样本到样信息汇总统计!V$2:V$500,MATCH(121,样本到样信息汇总统计!$AA$2:$AA$500,0)),"")</f>
        <v/>
      </c>
      <c r="W122" s="4" t="str">
        <f>IFERROR(INDEX(样本到样信息汇总统计!W$2:W$500,MATCH(121,样本到样信息汇总统计!$AA$2:$AA$500,0)),"")</f>
        <v/>
      </c>
    </row>
    <row r="123" ht="14.5" spans="1:23">
      <c r="A123" s="8" t="str">
        <f>IFERROR(INDEX(样本到样信息汇总统计!A$2:A$500,MATCH(122,样本到样信息汇总统计!$AA$2:$AA$500,0)),"")</f>
        <v/>
      </c>
      <c r="B123" s="8" t="str">
        <f>IFERROR(INDEX(样本到样信息汇总统计!B$2:B$500,MATCH(122,样本到样信息汇总统计!$AA$2:$AA$500,0)),"")</f>
        <v/>
      </c>
      <c r="C123" s="8" t="str">
        <f>IFERROR(INDEX(样本到样信息汇总统计!C$2:C$500,MATCH(122,样本到样信息汇总统计!$AA$2:$AA$500,0)),"")</f>
        <v/>
      </c>
      <c r="D123" s="8" t="str">
        <f>IFERROR(INDEX(样本到样信息汇总统计!D$2:D$500,MATCH(122,样本到样信息汇总统计!$AA$2:$AA$500,0)),"")</f>
        <v/>
      </c>
      <c r="E123" s="8" t="str">
        <f>IFERROR(INDEX(样本到样信息汇总统计!E$2:E$500,MATCH(122,样本到样信息汇总统计!$AA$2:$AA$500,0)),"")</f>
        <v/>
      </c>
      <c r="F123" s="8" t="str">
        <f>IFERROR(INDEX(样本到样信息汇总统计!F$2:F$500,MATCH(122,样本到样信息汇总统计!$AA$2:$AA$500,0)),"")</f>
        <v/>
      </c>
      <c r="G123" s="8" t="str">
        <f>IFERROR(INDEX(样本到样信息汇总统计!G$2:G$500,MATCH(122,样本到样信息汇总统计!$AA$2:$AA$500,0)),"")</f>
        <v/>
      </c>
      <c r="H123" s="8" t="str">
        <f>IFERROR(INDEX(样本到样信息汇总统计!H$2:H$500,MATCH(122,样本到样信息汇总统计!$AA$2:$AA$500,0)),"")</f>
        <v/>
      </c>
      <c r="I123" s="8" t="str">
        <f>IFERROR(INDEX(样本到样信息汇总统计!I$2:I$500,MATCH(122,样本到样信息汇总统计!$AA$2:$AA$500,0)),"")</f>
        <v/>
      </c>
      <c r="J123" s="8" t="str">
        <f>IFERROR(INDEX(样本到样信息汇总统计!J$2:J$500,MATCH(122,样本到样信息汇总统计!$AA$2:$AA$500,0)),"")</f>
        <v/>
      </c>
      <c r="K123" s="8" t="str">
        <f>IFERROR(INDEX(样本到样信息汇总统计!K$2:K$500,MATCH(122,样本到样信息汇总统计!$AA$2:$AA$500,0)),"")</f>
        <v/>
      </c>
      <c r="L123" s="8" t="str">
        <f>IFERROR(INDEX(样本到样信息汇总统计!L$2:L$500,MATCH(122,样本到样信息汇总统计!$AA$2:$AA$500,0)),"")</f>
        <v/>
      </c>
      <c r="M123" s="8" t="str">
        <f>IFERROR(INDEX(样本到样信息汇总统计!M$2:M$500,MATCH(122,样本到样信息汇总统计!$AA$2:$AA$500,0)),"")</f>
        <v/>
      </c>
      <c r="N123" s="8" t="str">
        <f>IFERROR(INDEX(样本到样信息汇总统计!N$2:N$500,MATCH(122,样本到样信息汇总统计!$AA$2:$AA$500,0)),"")</f>
        <v/>
      </c>
      <c r="O123" s="8" t="str">
        <f>IFERROR(INDEX(样本到样信息汇总统计!O$2:O$500,MATCH(122,样本到样信息汇总统计!$AA$2:$AA$500,0)),"")</f>
        <v/>
      </c>
      <c r="P123" s="8" t="str">
        <f>IFERROR(INDEX(样本到样信息汇总统计!P$2:P$500,MATCH(122,样本到样信息汇总统计!$AA$2:$AA$500,0)),"")</f>
        <v/>
      </c>
      <c r="Q123" s="8" t="str">
        <f>IFERROR(INDEX(样本到样信息汇总统计!Q$2:Q$500,MATCH(122,样本到样信息汇总统计!$AA$2:$AA$500,0)),"")</f>
        <v/>
      </c>
      <c r="R123" s="8" t="str">
        <f>IFERROR(INDEX(样本到样信息汇总统计!R$2:R$500,MATCH(122,样本到样信息汇总统计!$AA$2:$AA$500,0)),"")</f>
        <v/>
      </c>
      <c r="S123" s="8" t="str">
        <f>IFERROR(INDEX(样本到样信息汇总统计!S$2:S$500,MATCH(122,样本到样信息汇总统计!$AA$2:$AA$500,0)),"")</f>
        <v/>
      </c>
      <c r="T123" s="8" t="str">
        <f>IFERROR(INDEX(样本到样信息汇总统计!T$2:T$500,MATCH(122,样本到样信息汇总统计!$AA$2:$AA$500,0)),"")</f>
        <v/>
      </c>
      <c r="U123" s="8" t="str">
        <f>IFERROR(INDEX(样本到样信息汇总统计!U$2:U$500,MATCH(122,样本到样信息汇总统计!$AA$2:$AA$500,0)),"")</f>
        <v/>
      </c>
      <c r="V123" s="8" t="str">
        <f>IFERROR(INDEX(样本到样信息汇总统计!V$2:V$500,MATCH(122,样本到样信息汇总统计!$AA$2:$AA$500,0)),"")</f>
        <v/>
      </c>
      <c r="W123" s="8" t="str">
        <f>IFERROR(INDEX(样本到样信息汇总统计!W$2:W$500,MATCH(122,样本到样信息汇总统计!$AA$2:$AA$500,0)),"")</f>
        <v/>
      </c>
    </row>
    <row r="124" ht="14.5" spans="1:23">
      <c r="A124" s="4" t="str">
        <f>IFERROR(INDEX(样本到样信息汇总统计!A$2:A$500,MATCH(123,样本到样信息汇总统计!$AA$2:$AA$500,0)),"")</f>
        <v/>
      </c>
      <c r="B124" s="4" t="str">
        <f>IFERROR(INDEX(样本到样信息汇总统计!B$2:B$500,MATCH(123,样本到样信息汇总统计!$AA$2:$AA$500,0)),"")</f>
        <v/>
      </c>
      <c r="C124" s="4" t="str">
        <f>IFERROR(INDEX(样本到样信息汇总统计!C$2:C$500,MATCH(123,样本到样信息汇总统计!$AA$2:$AA$500,0)),"")</f>
        <v/>
      </c>
      <c r="D124" s="4" t="str">
        <f>IFERROR(INDEX(样本到样信息汇总统计!D$2:D$500,MATCH(123,样本到样信息汇总统计!$AA$2:$AA$500,0)),"")</f>
        <v/>
      </c>
      <c r="E124" s="4" t="str">
        <f>IFERROR(INDEX(样本到样信息汇总统计!E$2:E$500,MATCH(123,样本到样信息汇总统计!$AA$2:$AA$500,0)),"")</f>
        <v/>
      </c>
      <c r="F124" s="4" t="str">
        <f>IFERROR(INDEX(样本到样信息汇总统计!F$2:F$500,MATCH(123,样本到样信息汇总统计!$AA$2:$AA$500,0)),"")</f>
        <v/>
      </c>
      <c r="G124" s="4" t="str">
        <f>IFERROR(INDEX(样本到样信息汇总统计!G$2:G$500,MATCH(123,样本到样信息汇总统计!$AA$2:$AA$500,0)),"")</f>
        <v/>
      </c>
      <c r="H124" s="4" t="str">
        <f>IFERROR(INDEX(样本到样信息汇总统计!H$2:H$500,MATCH(123,样本到样信息汇总统计!$AA$2:$AA$500,0)),"")</f>
        <v/>
      </c>
      <c r="I124" s="4" t="str">
        <f>IFERROR(INDEX(样本到样信息汇总统计!I$2:I$500,MATCH(123,样本到样信息汇总统计!$AA$2:$AA$500,0)),"")</f>
        <v/>
      </c>
      <c r="J124" s="4" t="str">
        <f>IFERROR(INDEX(样本到样信息汇总统计!J$2:J$500,MATCH(123,样本到样信息汇总统计!$AA$2:$AA$500,0)),"")</f>
        <v/>
      </c>
      <c r="K124" s="4" t="str">
        <f>IFERROR(INDEX(样本到样信息汇总统计!K$2:K$500,MATCH(123,样本到样信息汇总统计!$AA$2:$AA$500,0)),"")</f>
        <v/>
      </c>
      <c r="L124" s="4" t="str">
        <f>IFERROR(INDEX(样本到样信息汇总统计!L$2:L$500,MATCH(123,样本到样信息汇总统计!$AA$2:$AA$500,0)),"")</f>
        <v/>
      </c>
      <c r="M124" s="4" t="str">
        <f>IFERROR(INDEX(样本到样信息汇总统计!M$2:M$500,MATCH(123,样本到样信息汇总统计!$AA$2:$AA$500,0)),"")</f>
        <v/>
      </c>
      <c r="N124" s="4" t="str">
        <f>IFERROR(INDEX(样本到样信息汇总统计!N$2:N$500,MATCH(123,样本到样信息汇总统计!$AA$2:$AA$500,0)),"")</f>
        <v/>
      </c>
      <c r="O124" s="4" t="str">
        <f>IFERROR(INDEX(样本到样信息汇总统计!O$2:O$500,MATCH(123,样本到样信息汇总统计!$AA$2:$AA$500,0)),"")</f>
        <v/>
      </c>
      <c r="P124" s="4" t="str">
        <f>IFERROR(INDEX(样本到样信息汇总统计!P$2:P$500,MATCH(123,样本到样信息汇总统计!$AA$2:$AA$500,0)),"")</f>
        <v/>
      </c>
      <c r="Q124" s="4" t="str">
        <f>IFERROR(INDEX(样本到样信息汇总统计!Q$2:Q$500,MATCH(123,样本到样信息汇总统计!$AA$2:$AA$500,0)),"")</f>
        <v/>
      </c>
      <c r="R124" s="4" t="str">
        <f>IFERROR(INDEX(样本到样信息汇总统计!R$2:R$500,MATCH(123,样本到样信息汇总统计!$AA$2:$AA$500,0)),"")</f>
        <v/>
      </c>
      <c r="S124" s="4" t="str">
        <f>IFERROR(INDEX(样本到样信息汇总统计!S$2:S$500,MATCH(123,样本到样信息汇总统计!$AA$2:$AA$500,0)),"")</f>
        <v/>
      </c>
      <c r="T124" s="4" t="str">
        <f>IFERROR(INDEX(样本到样信息汇总统计!T$2:T$500,MATCH(123,样本到样信息汇总统计!$AA$2:$AA$500,0)),"")</f>
        <v/>
      </c>
      <c r="U124" s="4" t="str">
        <f>IFERROR(INDEX(样本到样信息汇总统计!U$2:U$500,MATCH(123,样本到样信息汇总统计!$AA$2:$AA$500,0)),"")</f>
        <v/>
      </c>
      <c r="V124" s="4" t="str">
        <f>IFERROR(INDEX(样本到样信息汇总统计!V$2:V$500,MATCH(123,样本到样信息汇总统计!$AA$2:$AA$500,0)),"")</f>
        <v/>
      </c>
      <c r="W124" s="4" t="str">
        <f>IFERROR(INDEX(样本到样信息汇总统计!W$2:W$500,MATCH(123,样本到样信息汇总统计!$AA$2:$AA$500,0)),"")</f>
        <v/>
      </c>
    </row>
    <row r="125" ht="14.5" spans="1:23">
      <c r="A125" s="8" t="str">
        <f>IFERROR(INDEX(样本到样信息汇总统计!A$2:A$500,MATCH(124,样本到样信息汇总统计!$AA$2:$AA$500,0)),"")</f>
        <v/>
      </c>
      <c r="B125" s="8" t="str">
        <f>IFERROR(INDEX(样本到样信息汇总统计!B$2:B$500,MATCH(124,样本到样信息汇总统计!$AA$2:$AA$500,0)),"")</f>
        <v/>
      </c>
      <c r="C125" s="8" t="str">
        <f>IFERROR(INDEX(样本到样信息汇总统计!C$2:C$500,MATCH(124,样本到样信息汇总统计!$AA$2:$AA$500,0)),"")</f>
        <v/>
      </c>
      <c r="D125" s="8" t="str">
        <f>IFERROR(INDEX(样本到样信息汇总统计!D$2:D$500,MATCH(124,样本到样信息汇总统计!$AA$2:$AA$500,0)),"")</f>
        <v/>
      </c>
      <c r="E125" s="8" t="str">
        <f>IFERROR(INDEX(样本到样信息汇总统计!E$2:E$500,MATCH(124,样本到样信息汇总统计!$AA$2:$AA$500,0)),"")</f>
        <v/>
      </c>
      <c r="F125" s="8" t="str">
        <f>IFERROR(INDEX(样本到样信息汇总统计!F$2:F$500,MATCH(124,样本到样信息汇总统计!$AA$2:$AA$500,0)),"")</f>
        <v/>
      </c>
      <c r="G125" s="8" t="str">
        <f>IFERROR(INDEX(样本到样信息汇总统计!G$2:G$500,MATCH(124,样本到样信息汇总统计!$AA$2:$AA$500,0)),"")</f>
        <v/>
      </c>
      <c r="H125" s="8" t="str">
        <f>IFERROR(INDEX(样本到样信息汇总统计!H$2:H$500,MATCH(124,样本到样信息汇总统计!$AA$2:$AA$500,0)),"")</f>
        <v/>
      </c>
      <c r="I125" s="8" t="str">
        <f>IFERROR(INDEX(样本到样信息汇总统计!I$2:I$500,MATCH(124,样本到样信息汇总统计!$AA$2:$AA$500,0)),"")</f>
        <v/>
      </c>
      <c r="J125" s="8" t="str">
        <f>IFERROR(INDEX(样本到样信息汇总统计!J$2:J$500,MATCH(124,样本到样信息汇总统计!$AA$2:$AA$500,0)),"")</f>
        <v/>
      </c>
      <c r="K125" s="8" t="str">
        <f>IFERROR(INDEX(样本到样信息汇总统计!K$2:K$500,MATCH(124,样本到样信息汇总统计!$AA$2:$AA$500,0)),"")</f>
        <v/>
      </c>
      <c r="L125" s="8" t="str">
        <f>IFERROR(INDEX(样本到样信息汇总统计!L$2:L$500,MATCH(124,样本到样信息汇总统计!$AA$2:$AA$500,0)),"")</f>
        <v/>
      </c>
      <c r="M125" s="8" t="str">
        <f>IFERROR(INDEX(样本到样信息汇总统计!M$2:M$500,MATCH(124,样本到样信息汇总统计!$AA$2:$AA$500,0)),"")</f>
        <v/>
      </c>
      <c r="N125" s="8" t="str">
        <f>IFERROR(INDEX(样本到样信息汇总统计!N$2:N$500,MATCH(124,样本到样信息汇总统计!$AA$2:$AA$500,0)),"")</f>
        <v/>
      </c>
      <c r="O125" s="8" t="str">
        <f>IFERROR(INDEX(样本到样信息汇总统计!O$2:O$500,MATCH(124,样本到样信息汇总统计!$AA$2:$AA$500,0)),"")</f>
        <v/>
      </c>
      <c r="P125" s="8" t="str">
        <f>IFERROR(INDEX(样本到样信息汇总统计!P$2:P$500,MATCH(124,样本到样信息汇总统计!$AA$2:$AA$500,0)),"")</f>
        <v/>
      </c>
      <c r="Q125" s="8" t="str">
        <f>IFERROR(INDEX(样本到样信息汇总统计!Q$2:Q$500,MATCH(124,样本到样信息汇总统计!$AA$2:$AA$500,0)),"")</f>
        <v/>
      </c>
      <c r="R125" s="8" t="str">
        <f>IFERROR(INDEX(样本到样信息汇总统计!R$2:R$500,MATCH(124,样本到样信息汇总统计!$AA$2:$AA$500,0)),"")</f>
        <v/>
      </c>
      <c r="S125" s="8" t="str">
        <f>IFERROR(INDEX(样本到样信息汇总统计!S$2:S$500,MATCH(124,样本到样信息汇总统计!$AA$2:$AA$500,0)),"")</f>
        <v/>
      </c>
      <c r="T125" s="8" t="str">
        <f>IFERROR(INDEX(样本到样信息汇总统计!T$2:T$500,MATCH(124,样本到样信息汇总统计!$AA$2:$AA$500,0)),"")</f>
        <v/>
      </c>
      <c r="U125" s="8" t="str">
        <f>IFERROR(INDEX(样本到样信息汇总统计!U$2:U$500,MATCH(124,样本到样信息汇总统计!$AA$2:$AA$500,0)),"")</f>
        <v/>
      </c>
      <c r="V125" s="8" t="str">
        <f>IFERROR(INDEX(样本到样信息汇总统计!V$2:V$500,MATCH(124,样本到样信息汇总统计!$AA$2:$AA$500,0)),"")</f>
        <v/>
      </c>
      <c r="W125" s="8" t="str">
        <f>IFERROR(INDEX(样本到样信息汇总统计!W$2:W$500,MATCH(124,样本到样信息汇总统计!$AA$2:$AA$500,0)),"")</f>
        <v/>
      </c>
    </row>
    <row r="126" ht="14.5" spans="1:23">
      <c r="A126" s="4" t="str">
        <f>IFERROR(INDEX(样本到样信息汇总统计!A$2:A$500,MATCH(125,样本到样信息汇总统计!$AA$2:$AA$500,0)),"")</f>
        <v/>
      </c>
      <c r="B126" s="4" t="str">
        <f>IFERROR(INDEX(样本到样信息汇总统计!B$2:B$500,MATCH(125,样本到样信息汇总统计!$AA$2:$AA$500,0)),"")</f>
        <v/>
      </c>
      <c r="C126" s="4" t="str">
        <f>IFERROR(INDEX(样本到样信息汇总统计!C$2:C$500,MATCH(125,样本到样信息汇总统计!$AA$2:$AA$500,0)),"")</f>
        <v/>
      </c>
      <c r="D126" s="4" t="str">
        <f>IFERROR(INDEX(样本到样信息汇总统计!D$2:D$500,MATCH(125,样本到样信息汇总统计!$AA$2:$AA$500,0)),"")</f>
        <v/>
      </c>
      <c r="E126" s="4" t="str">
        <f>IFERROR(INDEX(样本到样信息汇总统计!E$2:E$500,MATCH(125,样本到样信息汇总统计!$AA$2:$AA$500,0)),"")</f>
        <v/>
      </c>
      <c r="F126" s="4" t="str">
        <f>IFERROR(INDEX(样本到样信息汇总统计!F$2:F$500,MATCH(125,样本到样信息汇总统计!$AA$2:$AA$500,0)),"")</f>
        <v/>
      </c>
      <c r="G126" s="4" t="str">
        <f>IFERROR(INDEX(样本到样信息汇总统计!G$2:G$500,MATCH(125,样本到样信息汇总统计!$AA$2:$AA$500,0)),"")</f>
        <v/>
      </c>
      <c r="H126" s="4" t="str">
        <f>IFERROR(INDEX(样本到样信息汇总统计!H$2:H$500,MATCH(125,样本到样信息汇总统计!$AA$2:$AA$500,0)),"")</f>
        <v/>
      </c>
      <c r="I126" s="4" t="str">
        <f>IFERROR(INDEX(样本到样信息汇总统计!I$2:I$500,MATCH(125,样本到样信息汇总统计!$AA$2:$AA$500,0)),"")</f>
        <v/>
      </c>
      <c r="J126" s="4" t="str">
        <f>IFERROR(INDEX(样本到样信息汇总统计!J$2:J$500,MATCH(125,样本到样信息汇总统计!$AA$2:$AA$500,0)),"")</f>
        <v/>
      </c>
      <c r="K126" s="4" t="str">
        <f>IFERROR(INDEX(样本到样信息汇总统计!K$2:K$500,MATCH(125,样本到样信息汇总统计!$AA$2:$AA$500,0)),"")</f>
        <v/>
      </c>
      <c r="L126" s="4" t="str">
        <f>IFERROR(INDEX(样本到样信息汇总统计!L$2:L$500,MATCH(125,样本到样信息汇总统计!$AA$2:$AA$500,0)),"")</f>
        <v/>
      </c>
      <c r="M126" s="4" t="str">
        <f>IFERROR(INDEX(样本到样信息汇总统计!M$2:M$500,MATCH(125,样本到样信息汇总统计!$AA$2:$AA$500,0)),"")</f>
        <v/>
      </c>
      <c r="N126" s="4" t="str">
        <f>IFERROR(INDEX(样本到样信息汇总统计!N$2:N$500,MATCH(125,样本到样信息汇总统计!$AA$2:$AA$500,0)),"")</f>
        <v/>
      </c>
      <c r="O126" s="4" t="str">
        <f>IFERROR(INDEX(样本到样信息汇总统计!O$2:O$500,MATCH(125,样本到样信息汇总统计!$AA$2:$AA$500,0)),"")</f>
        <v/>
      </c>
      <c r="P126" s="4" t="str">
        <f>IFERROR(INDEX(样本到样信息汇总统计!P$2:P$500,MATCH(125,样本到样信息汇总统计!$AA$2:$AA$500,0)),"")</f>
        <v/>
      </c>
      <c r="Q126" s="4" t="str">
        <f>IFERROR(INDEX(样本到样信息汇总统计!Q$2:Q$500,MATCH(125,样本到样信息汇总统计!$AA$2:$AA$500,0)),"")</f>
        <v/>
      </c>
      <c r="R126" s="4" t="str">
        <f>IFERROR(INDEX(样本到样信息汇总统计!R$2:R$500,MATCH(125,样本到样信息汇总统计!$AA$2:$AA$500,0)),"")</f>
        <v/>
      </c>
      <c r="S126" s="4" t="str">
        <f>IFERROR(INDEX(样本到样信息汇总统计!S$2:S$500,MATCH(125,样本到样信息汇总统计!$AA$2:$AA$500,0)),"")</f>
        <v/>
      </c>
      <c r="T126" s="4" t="str">
        <f>IFERROR(INDEX(样本到样信息汇总统计!T$2:T$500,MATCH(125,样本到样信息汇总统计!$AA$2:$AA$500,0)),"")</f>
        <v/>
      </c>
      <c r="U126" s="4" t="str">
        <f>IFERROR(INDEX(样本到样信息汇总统计!U$2:U$500,MATCH(125,样本到样信息汇总统计!$AA$2:$AA$500,0)),"")</f>
        <v/>
      </c>
      <c r="V126" s="4" t="str">
        <f>IFERROR(INDEX(样本到样信息汇总统计!V$2:V$500,MATCH(125,样本到样信息汇总统计!$AA$2:$AA$500,0)),"")</f>
        <v/>
      </c>
      <c r="W126" s="4" t="str">
        <f>IFERROR(INDEX(样本到样信息汇总统计!W$2:W$500,MATCH(125,样本到样信息汇总统计!$AA$2:$AA$500,0)),"")</f>
        <v/>
      </c>
    </row>
    <row r="127" ht="14.5" spans="1:23">
      <c r="A127" s="8" t="str">
        <f>IFERROR(INDEX(样本到样信息汇总统计!A$2:A$500,MATCH(126,样本到样信息汇总统计!$AA$2:$AA$500,0)),"")</f>
        <v/>
      </c>
      <c r="B127" s="8" t="str">
        <f>IFERROR(INDEX(样本到样信息汇总统计!B$2:B$500,MATCH(126,样本到样信息汇总统计!$AA$2:$AA$500,0)),"")</f>
        <v/>
      </c>
      <c r="C127" s="8" t="str">
        <f>IFERROR(INDEX(样本到样信息汇总统计!C$2:C$500,MATCH(126,样本到样信息汇总统计!$AA$2:$AA$500,0)),"")</f>
        <v/>
      </c>
      <c r="D127" s="8" t="str">
        <f>IFERROR(INDEX(样本到样信息汇总统计!D$2:D$500,MATCH(126,样本到样信息汇总统计!$AA$2:$AA$500,0)),"")</f>
        <v/>
      </c>
      <c r="E127" s="8" t="str">
        <f>IFERROR(INDEX(样本到样信息汇总统计!E$2:E$500,MATCH(126,样本到样信息汇总统计!$AA$2:$AA$500,0)),"")</f>
        <v/>
      </c>
      <c r="F127" s="8" t="str">
        <f>IFERROR(INDEX(样本到样信息汇总统计!F$2:F$500,MATCH(126,样本到样信息汇总统计!$AA$2:$AA$500,0)),"")</f>
        <v/>
      </c>
      <c r="G127" s="8" t="str">
        <f>IFERROR(INDEX(样本到样信息汇总统计!G$2:G$500,MATCH(126,样本到样信息汇总统计!$AA$2:$AA$500,0)),"")</f>
        <v/>
      </c>
      <c r="H127" s="8" t="str">
        <f>IFERROR(INDEX(样本到样信息汇总统计!H$2:H$500,MATCH(126,样本到样信息汇总统计!$AA$2:$AA$500,0)),"")</f>
        <v/>
      </c>
      <c r="I127" s="8" t="str">
        <f>IFERROR(INDEX(样本到样信息汇总统计!I$2:I$500,MATCH(126,样本到样信息汇总统计!$AA$2:$AA$500,0)),"")</f>
        <v/>
      </c>
      <c r="J127" s="8" t="str">
        <f>IFERROR(INDEX(样本到样信息汇总统计!J$2:J$500,MATCH(126,样本到样信息汇总统计!$AA$2:$AA$500,0)),"")</f>
        <v/>
      </c>
      <c r="K127" s="8" t="str">
        <f>IFERROR(INDEX(样本到样信息汇总统计!K$2:K$500,MATCH(126,样本到样信息汇总统计!$AA$2:$AA$500,0)),"")</f>
        <v/>
      </c>
      <c r="L127" s="8" t="str">
        <f>IFERROR(INDEX(样本到样信息汇总统计!L$2:L$500,MATCH(126,样本到样信息汇总统计!$AA$2:$AA$500,0)),"")</f>
        <v/>
      </c>
      <c r="M127" s="8" t="str">
        <f>IFERROR(INDEX(样本到样信息汇总统计!M$2:M$500,MATCH(126,样本到样信息汇总统计!$AA$2:$AA$500,0)),"")</f>
        <v/>
      </c>
      <c r="N127" s="8" t="str">
        <f>IFERROR(INDEX(样本到样信息汇总统计!N$2:N$500,MATCH(126,样本到样信息汇总统计!$AA$2:$AA$500,0)),"")</f>
        <v/>
      </c>
      <c r="O127" s="8" t="str">
        <f>IFERROR(INDEX(样本到样信息汇总统计!O$2:O$500,MATCH(126,样本到样信息汇总统计!$AA$2:$AA$500,0)),"")</f>
        <v/>
      </c>
      <c r="P127" s="8" t="str">
        <f>IFERROR(INDEX(样本到样信息汇总统计!P$2:P$500,MATCH(126,样本到样信息汇总统计!$AA$2:$AA$500,0)),"")</f>
        <v/>
      </c>
      <c r="Q127" s="8" t="str">
        <f>IFERROR(INDEX(样本到样信息汇总统计!Q$2:Q$500,MATCH(126,样本到样信息汇总统计!$AA$2:$AA$500,0)),"")</f>
        <v/>
      </c>
      <c r="R127" s="8" t="str">
        <f>IFERROR(INDEX(样本到样信息汇总统计!R$2:R$500,MATCH(126,样本到样信息汇总统计!$AA$2:$AA$500,0)),"")</f>
        <v/>
      </c>
      <c r="S127" s="8" t="str">
        <f>IFERROR(INDEX(样本到样信息汇总统计!S$2:S$500,MATCH(126,样本到样信息汇总统计!$AA$2:$AA$500,0)),"")</f>
        <v/>
      </c>
      <c r="T127" s="8" t="str">
        <f>IFERROR(INDEX(样本到样信息汇总统计!T$2:T$500,MATCH(126,样本到样信息汇总统计!$AA$2:$AA$500,0)),"")</f>
        <v/>
      </c>
      <c r="U127" s="8" t="str">
        <f>IFERROR(INDEX(样本到样信息汇总统计!U$2:U$500,MATCH(126,样本到样信息汇总统计!$AA$2:$AA$500,0)),"")</f>
        <v/>
      </c>
      <c r="V127" s="8" t="str">
        <f>IFERROR(INDEX(样本到样信息汇总统计!V$2:V$500,MATCH(126,样本到样信息汇总统计!$AA$2:$AA$500,0)),"")</f>
        <v/>
      </c>
      <c r="W127" s="8" t="str">
        <f>IFERROR(INDEX(样本到样信息汇总统计!W$2:W$500,MATCH(126,样本到样信息汇总统计!$AA$2:$AA$500,0)),"")</f>
        <v/>
      </c>
    </row>
    <row r="128" ht="14.5" spans="1:23">
      <c r="A128" s="4" t="str">
        <f>IFERROR(INDEX(样本到样信息汇总统计!A$2:A$500,MATCH(127,样本到样信息汇总统计!$AA$2:$AA$500,0)),"")</f>
        <v/>
      </c>
      <c r="B128" s="4" t="str">
        <f>IFERROR(INDEX(样本到样信息汇总统计!B$2:B$500,MATCH(127,样本到样信息汇总统计!$AA$2:$AA$500,0)),"")</f>
        <v/>
      </c>
      <c r="C128" s="4" t="str">
        <f>IFERROR(INDEX(样本到样信息汇总统计!C$2:C$500,MATCH(127,样本到样信息汇总统计!$AA$2:$AA$500,0)),"")</f>
        <v/>
      </c>
      <c r="D128" s="4" t="str">
        <f>IFERROR(INDEX(样本到样信息汇总统计!D$2:D$500,MATCH(127,样本到样信息汇总统计!$AA$2:$AA$500,0)),"")</f>
        <v/>
      </c>
      <c r="E128" s="4" t="str">
        <f>IFERROR(INDEX(样本到样信息汇总统计!E$2:E$500,MATCH(127,样本到样信息汇总统计!$AA$2:$AA$500,0)),"")</f>
        <v/>
      </c>
      <c r="F128" s="4" t="str">
        <f>IFERROR(INDEX(样本到样信息汇总统计!F$2:F$500,MATCH(127,样本到样信息汇总统计!$AA$2:$AA$500,0)),"")</f>
        <v/>
      </c>
      <c r="G128" s="4" t="str">
        <f>IFERROR(INDEX(样本到样信息汇总统计!G$2:G$500,MATCH(127,样本到样信息汇总统计!$AA$2:$AA$500,0)),"")</f>
        <v/>
      </c>
      <c r="H128" s="4" t="str">
        <f>IFERROR(INDEX(样本到样信息汇总统计!H$2:H$500,MATCH(127,样本到样信息汇总统计!$AA$2:$AA$500,0)),"")</f>
        <v/>
      </c>
      <c r="I128" s="4" t="str">
        <f>IFERROR(INDEX(样本到样信息汇总统计!I$2:I$500,MATCH(127,样本到样信息汇总统计!$AA$2:$AA$500,0)),"")</f>
        <v/>
      </c>
      <c r="J128" s="4" t="str">
        <f>IFERROR(INDEX(样本到样信息汇总统计!J$2:J$500,MATCH(127,样本到样信息汇总统计!$AA$2:$AA$500,0)),"")</f>
        <v/>
      </c>
      <c r="K128" s="4" t="str">
        <f>IFERROR(INDEX(样本到样信息汇总统计!K$2:K$500,MATCH(127,样本到样信息汇总统计!$AA$2:$AA$500,0)),"")</f>
        <v/>
      </c>
      <c r="L128" s="4" t="str">
        <f>IFERROR(INDEX(样本到样信息汇总统计!L$2:L$500,MATCH(127,样本到样信息汇总统计!$AA$2:$AA$500,0)),"")</f>
        <v/>
      </c>
      <c r="M128" s="4" t="str">
        <f>IFERROR(INDEX(样本到样信息汇总统计!M$2:M$500,MATCH(127,样本到样信息汇总统计!$AA$2:$AA$500,0)),"")</f>
        <v/>
      </c>
      <c r="N128" s="4" t="str">
        <f>IFERROR(INDEX(样本到样信息汇总统计!N$2:N$500,MATCH(127,样本到样信息汇总统计!$AA$2:$AA$500,0)),"")</f>
        <v/>
      </c>
      <c r="O128" s="4" t="str">
        <f>IFERROR(INDEX(样本到样信息汇总统计!O$2:O$500,MATCH(127,样本到样信息汇总统计!$AA$2:$AA$500,0)),"")</f>
        <v/>
      </c>
      <c r="P128" s="4" t="str">
        <f>IFERROR(INDEX(样本到样信息汇总统计!P$2:P$500,MATCH(127,样本到样信息汇总统计!$AA$2:$AA$500,0)),"")</f>
        <v/>
      </c>
      <c r="Q128" s="4" t="str">
        <f>IFERROR(INDEX(样本到样信息汇总统计!Q$2:Q$500,MATCH(127,样本到样信息汇总统计!$AA$2:$AA$500,0)),"")</f>
        <v/>
      </c>
      <c r="R128" s="4" t="str">
        <f>IFERROR(INDEX(样本到样信息汇总统计!R$2:R$500,MATCH(127,样本到样信息汇总统计!$AA$2:$AA$500,0)),"")</f>
        <v/>
      </c>
      <c r="S128" s="4" t="str">
        <f>IFERROR(INDEX(样本到样信息汇总统计!S$2:S$500,MATCH(127,样本到样信息汇总统计!$AA$2:$AA$500,0)),"")</f>
        <v/>
      </c>
      <c r="T128" s="4" t="str">
        <f>IFERROR(INDEX(样本到样信息汇总统计!T$2:T$500,MATCH(127,样本到样信息汇总统计!$AA$2:$AA$500,0)),"")</f>
        <v/>
      </c>
      <c r="U128" s="4" t="str">
        <f>IFERROR(INDEX(样本到样信息汇总统计!U$2:U$500,MATCH(127,样本到样信息汇总统计!$AA$2:$AA$500,0)),"")</f>
        <v/>
      </c>
      <c r="V128" s="4" t="str">
        <f>IFERROR(INDEX(样本到样信息汇总统计!V$2:V$500,MATCH(127,样本到样信息汇总统计!$AA$2:$AA$500,0)),"")</f>
        <v/>
      </c>
      <c r="W128" s="4" t="str">
        <f>IFERROR(INDEX(样本到样信息汇总统计!W$2:W$500,MATCH(127,样本到样信息汇总统计!$AA$2:$AA$500,0)),"")</f>
        <v/>
      </c>
    </row>
    <row r="129" ht="14.5" spans="1:23">
      <c r="A129" s="8" t="str">
        <f>IFERROR(INDEX(样本到样信息汇总统计!A$2:A$500,MATCH(128,样本到样信息汇总统计!$AA$2:$AA$500,0)),"")</f>
        <v/>
      </c>
      <c r="B129" s="8" t="str">
        <f>IFERROR(INDEX(样本到样信息汇总统计!B$2:B$500,MATCH(128,样本到样信息汇总统计!$AA$2:$AA$500,0)),"")</f>
        <v/>
      </c>
      <c r="C129" s="8" t="str">
        <f>IFERROR(INDEX(样本到样信息汇总统计!C$2:C$500,MATCH(128,样本到样信息汇总统计!$AA$2:$AA$500,0)),"")</f>
        <v/>
      </c>
      <c r="D129" s="8" t="str">
        <f>IFERROR(INDEX(样本到样信息汇总统计!D$2:D$500,MATCH(128,样本到样信息汇总统计!$AA$2:$AA$500,0)),"")</f>
        <v/>
      </c>
      <c r="E129" s="8" t="str">
        <f>IFERROR(INDEX(样本到样信息汇总统计!E$2:E$500,MATCH(128,样本到样信息汇总统计!$AA$2:$AA$500,0)),"")</f>
        <v/>
      </c>
      <c r="F129" s="8" t="str">
        <f>IFERROR(INDEX(样本到样信息汇总统计!F$2:F$500,MATCH(128,样本到样信息汇总统计!$AA$2:$AA$500,0)),"")</f>
        <v/>
      </c>
      <c r="G129" s="8" t="str">
        <f>IFERROR(INDEX(样本到样信息汇总统计!G$2:G$500,MATCH(128,样本到样信息汇总统计!$AA$2:$AA$500,0)),"")</f>
        <v/>
      </c>
      <c r="H129" s="8" t="str">
        <f>IFERROR(INDEX(样本到样信息汇总统计!H$2:H$500,MATCH(128,样本到样信息汇总统计!$AA$2:$AA$500,0)),"")</f>
        <v/>
      </c>
      <c r="I129" s="8" t="str">
        <f>IFERROR(INDEX(样本到样信息汇总统计!I$2:I$500,MATCH(128,样本到样信息汇总统计!$AA$2:$AA$500,0)),"")</f>
        <v/>
      </c>
      <c r="J129" s="8" t="str">
        <f>IFERROR(INDEX(样本到样信息汇总统计!J$2:J$500,MATCH(128,样本到样信息汇总统计!$AA$2:$AA$500,0)),"")</f>
        <v/>
      </c>
      <c r="K129" s="8" t="str">
        <f>IFERROR(INDEX(样本到样信息汇总统计!K$2:K$500,MATCH(128,样本到样信息汇总统计!$AA$2:$AA$500,0)),"")</f>
        <v/>
      </c>
      <c r="L129" s="8" t="str">
        <f>IFERROR(INDEX(样本到样信息汇总统计!L$2:L$500,MATCH(128,样本到样信息汇总统计!$AA$2:$AA$500,0)),"")</f>
        <v/>
      </c>
      <c r="M129" s="8" t="str">
        <f>IFERROR(INDEX(样本到样信息汇总统计!M$2:M$500,MATCH(128,样本到样信息汇总统计!$AA$2:$AA$500,0)),"")</f>
        <v/>
      </c>
      <c r="N129" s="8" t="str">
        <f>IFERROR(INDEX(样本到样信息汇总统计!N$2:N$500,MATCH(128,样本到样信息汇总统计!$AA$2:$AA$500,0)),"")</f>
        <v/>
      </c>
      <c r="O129" s="8" t="str">
        <f>IFERROR(INDEX(样本到样信息汇总统计!O$2:O$500,MATCH(128,样本到样信息汇总统计!$AA$2:$AA$500,0)),"")</f>
        <v/>
      </c>
      <c r="P129" s="8" t="str">
        <f>IFERROR(INDEX(样本到样信息汇总统计!P$2:P$500,MATCH(128,样本到样信息汇总统计!$AA$2:$AA$500,0)),"")</f>
        <v/>
      </c>
      <c r="Q129" s="8" t="str">
        <f>IFERROR(INDEX(样本到样信息汇总统计!Q$2:Q$500,MATCH(128,样本到样信息汇总统计!$AA$2:$AA$500,0)),"")</f>
        <v/>
      </c>
      <c r="R129" s="8" t="str">
        <f>IFERROR(INDEX(样本到样信息汇总统计!R$2:R$500,MATCH(128,样本到样信息汇总统计!$AA$2:$AA$500,0)),"")</f>
        <v/>
      </c>
      <c r="S129" s="8" t="str">
        <f>IFERROR(INDEX(样本到样信息汇总统计!S$2:S$500,MATCH(128,样本到样信息汇总统计!$AA$2:$AA$500,0)),"")</f>
        <v/>
      </c>
      <c r="T129" s="8" t="str">
        <f>IFERROR(INDEX(样本到样信息汇总统计!T$2:T$500,MATCH(128,样本到样信息汇总统计!$AA$2:$AA$500,0)),"")</f>
        <v/>
      </c>
      <c r="U129" s="8" t="str">
        <f>IFERROR(INDEX(样本到样信息汇总统计!U$2:U$500,MATCH(128,样本到样信息汇总统计!$AA$2:$AA$500,0)),"")</f>
        <v/>
      </c>
      <c r="V129" s="8" t="str">
        <f>IFERROR(INDEX(样本到样信息汇总统计!V$2:V$500,MATCH(128,样本到样信息汇总统计!$AA$2:$AA$500,0)),"")</f>
        <v/>
      </c>
      <c r="W129" s="8" t="str">
        <f>IFERROR(INDEX(样本到样信息汇总统计!W$2:W$500,MATCH(128,样本到样信息汇总统计!$AA$2:$AA$500,0)),"")</f>
        <v/>
      </c>
    </row>
    <row r="130" ht="14.5" spans="1:23">
      <c r="A130" s="4" t="str">
        <f>IFERROR(INDEX(样本到样信息汇总统计!A$2:A$500,MATCH(129,样本到样信息汇总统计!$AA$2:$AA$500,0)),"")</f>
        <v/>
      </c>
      <c r="B130" s="4" t="str">
        <f>IFERROR(INDEX(样本到样信息汇总统计!B$2:B$500,MATCH(129,样本到样信息汇总统计!$AA$2:$AA$500,0)),"")</f>
        <v/>
      </c>
      <c r="C130" s="4" t="str">
        <f>IFERROR(INDEX(样本到样信息汇总统计!C$2:C$500,MATCH(129,样本到样信息汇总统计!$AA$2:$AA$500,0)),"")</f>
        <v/>
      </c>
      <c r="D130" s="4" t="str">
        <f>IFERROR(INDEX(样本到样信息汇总统计!D$2:D$500,MATCH(129,样本到样信息汇总统计!$AA$2:$AA$500,0)),"")</f>
        <v/>
      </c>
      <c r="E130" s="4" t="str">
        <f>IFERROR(INDEX(样本到样信息汇总统计!E$2:E$500,MATCH(129,样本到样信息汇总统计!$AA$2:$AA$500,0)),"")</f>
        <v/>
      </c>
      <c r="F130" s="4" t="str">
        <f>IFERROR(INDEX(样本到样信息汇总统计!F$2:F$500,MATCH(129,样本到样信息汇总统计!$AA$2:$AA$500,0)),"")</f>
        <v/>
      </c>
      <c r="G130" s="4" t="str">
        <f>IFERROR(INDEX(样本到样信息汇总统计!G$2:G$500,MATCH(129,样本到样信息汇总统计!$AA$2:$AA$500,0)),"")</f>
        <v/>
      </c>
      <c r="H130" s="4" t="str">
        <f>IFERROR(INDEX(样本到样信息汇总统计!H$2:H$500,MATCH(129,样本到样信息汇总统计!$AA$2:$AA$500,0)),"")</f>
        <v/>
      </c>
      <c r="I130" s="4" t="str">
        <f>IFERROR(INDEX(样本到样信息汇总统计!I$2:I$500,MATCH(129,样本到样信息汇总统计!$AA$2:$AA$500,0)),"")</f>
        <v/>
      </c>
      <c r="J130" s="4" t="str">
        <f>IFERROR(INDEX(样本到样信息汇总统计!J$2:J$500,MATCH(129,样本到样信息汇总统计!$AA$2:$AA$500,0)),"")</f>
        <v/>
      </c>
      <c r="K130" s="4" t="str">
        <f>IFERROR(INDEX(样本到样信息汇总统计!K$2:K$500,MATCH(129,样本到样信息汇总统计!$AA$2:$AA$500,0)),"")</f>
        <v/>
      </c>
      <c r="L130" s="4" t="str">
        <f>IFERROR(INDEX(样本到样信息汇总统计!L$2:L$500,MATCH(129,样本到样信息汇总统计!$AA$2:$AA$500,0)),"")</f>
        <v/>
      </c>
      <c r="M130" s="4" t="str">
        <f>IFERROR(INDEX(样本到样信息汇总统计!M$2:M$500,MATCH(129,样本到样信息汇总统计!$AA$2:$AA$500,0)),"")</f>
        <v/>
      </c>
      <c r="N130" s="4" t="str">
        <f>IFERROR(INDEX(样本到样信息汇总统计!N$2:N$500,MATCH(129,样本到样信息汇总统计!$AA$2:$AA$500,0)),"")</f>
        <v/>
      </c>
      <c r="O130" s="4" t="str">
        <f>IFERROR(INDEX(样本到样信息汇总统计!O$2:O$500,MATCH(129,样本到样信息汇总统计!$AA$2:$AA$500,0)),"")</f>
        <v/>
      </c>
      <c r="P130" s="4" t="str">
        <f>IFERROR(INDEX(样本到样信息汇总统计!P$2:P$500,MATCH(129,样本到样信息汇总统计!$AA$2:$AA$500,0)),"")</f>
        <v/>
      </c>
      <c r="Q130" s="4" t="str">
        <f>IFERROR(INDEX(样本到样信息汇总统计!Q$2:Q$500,MATCH(129,样本到样信息汇总统计!$AA$2:$AA$500,0)),"")</f>
        <v/>
      </c>
      <c r="R130" s="4" t="str">
        <f>IFERROR(INDEX(样本到样信息汇总统计!R$2:R$500,MATCH(129,样本到样信息汇总统计!$AA$2:$AA$500,0)),"")</f>
        <v/>
      </c>
      <c r="S130" s="4" t="str">
        <f>IFERROR(INDEX(样本到样信息汇总统计!S$2:S$500,MATCH(129,样本到样信息汇总统计!$AA$2:$AA$500,0)),"")</f>
        <v/>
      </c>
      <c r="T130" s="4" t="str">
        <f>IFERROR(INDEX(样本到样信息汇总统计!T$2:T$500,MATCH(129,样本到样信息汇总统计!$AA$2:$AA$500,0)),"")</f>
        <v/>
      </c>
      <c r="U130" s="4" t="str">
        <f>IFERROR(INDEX(样本到样信息汇总统计!U$2:U$500,MATCH(129,样本到样信息汇总统计!$AA$2:$AA$500,0)),"")</f>
        <v/>
      </c>
      <c r="V130" s="4" t="str">
        <f>IFERROR(INDEX(样本到样信息汇总统计!V$2:V$500,MATCH(129,样本到样信息汇总统计!$AA$2:$AA$500,0)),"")</f>
        <v/>
      </c>
      <c r="W130" s="4" t="str">
        <f>IFERROR(INDEX(样本到样信息汇总统计!W$2:W$500,MATCH(129,样本到样信息汇总统计!$AA$2:$AA$500,0)),"")</f>
        <v/>
      </c>
    </row>
    <row r="131" ht="14.5" spans="1:23">
      <c r="A131" s="8" t="str">
        <f>IFERROR(INDEX(样本到样信息汇总统计!A$2:A$500,MATCH(130,样本到样信息汇总统计!$AA$2:$AA$500,0)),"")</f>
        <v/>
      </c>
      <c r="B131" s="8" t="str">
        <f>IFERROR(INDEX(样本到样信息汇总统计!B$2:B$500,MATCH(130,样本到样信息汇总统计!$AA$2:$AA$500,0)),"")</f>
        <v/>
      </c>
      <c r="C131" s="8" t="str">
        <f>IFERROR(INDEX(样本到样信息汇总统计!C$2:C$500,MATCH(130,样本到样信息汇总统计!$AA$2:$AA$500,0)),"")</f>
        <v/>
      </c>
      <c r="D131" s="8" t="str">
        <f>IFERROR(INDEX(样本到样信息汇总统计!D$2:D$500,MATCH(130,样本到样信息汇总统计!$AA$2:$AA$500,0)),"")</f>
        <v/>
      </c>
      <c r="E131" s="8" t="str">
        <f>IFERROR(INDEX(样本到样信息汇总统计!E$2:E$500,MATCH(130,样本到样信息汇总统计!$AA$2:$AA$500,0)),"")</f>
        <v/>
      </c>
      <c r="F131" s="8" t="str">
        <f>IFERROR(INDEX(样本到样信息汇总统计!F$2:F$500,MATCH(130,样本到样信息汇总统计!$AA$2:$AA$500,0)),"")</f>
        <v/>
      </c>
      <c r="G131" s="8" t="str">
        <f>IFERROR(INDEX(样本到样信息汇总统计!G$2:G$500,MATCH(130,样本到样信息汇总统计!$AA$2:$AA$500,0)),"")</f>
        <v/>
      </c>
      <c r="H131" s="8" t="str">
        <f>IFERROR(INDEX(样本到样信息汇总统计!H$2:H$500,MATCH(130,样本到样信息汇总统计!$AA$2:$AA$500,0)),"")</f>
        <v/>
      </c>
      <c r="I131" s="8" t="str">
        <f>IFERROR(INDEX(样本到样信息汇总统计!I$2:I$500,MATCH(130,样本到样信息汇总统计!$AA$2:$AA$500,0)),"")</f>
        <v/>
      </c>
      <c r="J131" s="8" t="str">
        <f>IFERROR(INDEX(样本到样信息汇总统计!J$2:J$500,MATCH(130,样本到样信息汇总统计!$AA$2:$AA$500,0)),"")</f>
        <v/>
      </c>
      <c r="K131" s="8" t="str">
        <f>IFERROR(INDEX(样本到样信息汇总统计!K$2:K$500,MATCH(130,样本到样信息汇总统计!$AA$2:$AA$500,0)),"")</f>
        <v/>
      </c>
      <c r="L131" s="8" t="str">
        <f>IFERROR(INDEX(样本到样信息汇总统计!L$2:L$500,MATCH(130,样本到样信息汇总统计!$AA$2:$AA$500,0)),"")</f>
        <v/>
      </c>
      <c r="M131" s="8" t="str">
        <f>IFERROR(INDEX(样本到样信息汇总统计!M$2:M$500,MATCH(130,样本到样信息汇总统计!$AA$2:$AA$500,0)),"")</f>
        <v/>
      </c>
      <c r="N131" s="8" t="str">
        <f>IFERROR(INDEX(样本到样信息汇总统计!N$2:N$500,MATCH(130,样本到样信息汇总统计!$AA$2:$AA$500,0)),"")</f>
        <v/>
      </c>
      <c r="O131" s="8" t="str">
        <f>IFERROR(INDEX(样本到样信息汇总统计!O$2:O$500,MATCH(130,样本到样信息汇总统计!$AA$2:$AA$500,0)),"")</f>
        <v/>
      </c>
      <c r="P131" s="8" t="str">
        <f>IFERROR(INDEX(样本到样信息汇总统计!P$2:P$500,MATCH(130,样本到样信息汇总统计!$AA$2:$AA$500,0)),"")</f>
        <v/>
      </c>
      <c r="Q131" s="8" t="str">
        <f>IFERROR(INDEX(样本到样信息汇总统计!Q$2:Q$500,MATCH(130,样本到样信息汇总统计!$AA$2:$AA$500,0)),"")</f>
        <v/>
      </c>
      <c r="R131" s="8" t="str">
        <f>IFERROR(INDEX(样本到样信息汇总统计!R$2:R$500,MATCH(130,样本到样信息汇总统计!$AA$2:$AA$500,0)),"")</f>
        <v/>
      </c>
      <c r="S131" s="8" t="str">
        <f>IFERROR(INDEX(样本到样信息汇总统计!S$2:S$500,MATCH(130,样本到样信息汇总统计!$AA$2:$AA$500,0)),"")</f>
        <v/>
      </c>
      <c r="T131" s="8" t="str">
        <f>IFERROR(INDEX(样本到样信息汇总统计!T$2:T$500,MATCH(130,样本到样信息汇总统计!$AA$2:$AA$500,0)),"")</f>
        <v/>
      </c>
      <c r="U131" s="8" t="str">
        <f>IFERROR(INDEX(样本到样信息汇总统计!U$2:U$500,MATCH(130,样本到样信息汇总统计!$AA$2:$AA$500,0)),"")</f>
        <v/>
      </c>
      <c r="V131" s="8" t="str">
        <f>IFERROR(INDEX(样本到样信息汇总统计!V$2:V$500,MATCH(130,样本到样信息汇总统计!$AA$2:$AA$500,0)),"")</f>
        <v/>
      </c>
      <c r="W131" s="8" t="str">
        <f>IFERROR(INDEX(样本到样信息汇总统计!W$2:W$500,MATCH(130,样本到样信息汇总统计!$AA$2:$AA$500,0)),"")</f>
        <v/>
      </c>
    </row>
    <row r="132" ht="14.5" spans="1:23">
      <c r="A132" s="4" t="str">
        <f>IFERROR(INDEX(样本到样信息汇总统计!A$2:A$500,MATCH(131,样本到样信息汇总统计!$AA$2:$AA$500,0)),"")</f>
        <v/>
      </c>
      <c r="B132" s="4" t="str">
        <f>IFERROR(INDEX(样本到样信息汇总统计!B$2:B$500,MATCH(131,样本到样信息汇总统计!$AA$2:$AA$500,0)),"")</f>
        <v/>
      </c>
      <c r="C132" s="4" t="str">
        <f>IFERROR(INDEX(样本到样信息汇总统计!C$2:C$500,MATCH(131,样本到样信息汇总统计!$AA$2:$AA$500,0)),"")</f>
        <v/>
      </c>
      <c r="D132" s="4" t="str">
        <f>IFERROR(INDEX(样本到样信息汇总统计!D$2:D$500,MATCH(131,样本到样信息汇总统计!$AA$2:$AA$500,0)),"")</f>
        <v/>
      </c>
      <c r="E132" s="4" t="str">
        <f>IFERROR(INDEX(样本到样信息汇总统计!E$2:E$500,MATCH(131,样本到样信息汇总统计!$AA$2:$AA$500,0)),"")</f>
        <v/>
      </c>
      <c r="F132" s="4" t="str">
        <f>IFERROR(INDEX(样本到样信息汇总统计!F$2:F$500,MATCH(131,样本到样信息汇总统计!$AA$2:$AA$500,0)),"")</f>
        <v/>
      </c>
      <c r="G132" s="4" t="str">
        <f>IFERROR(INDEX(样本到样信息汇总统计!G$2:G$500,MATCH(131,样本到样信息汇总统计!$AA$2:$AA$500,0)),"")</f>
        <v/>
      </c>
      <c r="H132" s="4" t="str">
        <f>IFERROR(INDEX(样本到样信息汇总统计!H$2:H$500,MATCH(131,样本到样信息汇总统计!$AA$2:$AA$500,0)),"")</f>
        <v/>
      </c>
      <c r="I132" s="4" t="str">
        <f>IFERROR(INDEX(样本到样信息汇总统计!I$2:I$500,MATCH(131,样本到样信息汇总统计!$AA$2:$AA$500,0)),"")</f>
        <v/>
      </c>
      <c r="J132" s="4" t="str">
        <f>IFERROR(INDEX(样本到样信息汇总统计!J$2:J$500,MATCH(131,样本到样信息汇总统计!$AA$2:$AA$500,0)),"")</f>
        <v/>
      </c>
      <c r="K132" s="4" t="str">
        <f>IFERROR(INDEX(样本到样信息汇总统计!K$2:K$500,MATCH(131,样本到样信息汇总统计!$AA$2:$AA$500,0)),"")</f>
        <v/>
      </c>
      <c r="L132" s="4" t="str">
        <f>IFERROR(INDEX(样本到样信息汇总统计!L$2:L$500,MATCH(131,样本到样信息汇总统计!$AA$2:$AA$500,0)),"")</f>
        <v/>
      </c>
      <c r="M132" s="4" t="str">
        <f>IFERROR(INDEX(样本到样信息汇总统计!M$2:M$500,MATCH(131,样本到样信息汇总统计!$AA$2:$AA$500,0)),"")</f>
        <v/>
      </c>
      <c r="N132" s="4" t="str">
        <f>IFERROR(INDEX(样本到样信息汇总统计!N$2:N$500,MATCH(131,样本到样信息汇总统计!$AA$2:$AA$500,0)),"")</f>
        <v/>
      </c>
      <c r="O132" s="4" t="str">
        <f>IFERROR(INDEX(样本到样信息汇总统计!O$2:O$500,MATCH(131,样本到样信息汇总统计!$AA$2:$AA$500,0)),"")</f>
        <v/>
      </c>
      <c r="P132" s="4" t="str">
        <f>IFERROR(INDEX(样本到样信息汇总统计!P$2:P$500,MATCH(131,样本到样信息汇总统计!$AA$2:$AA$500,0)),"")</f>
        <v/>
      </c>
      <c r="Q132" s="4" t="str">
        <f>IFERROR(INDEX(样本到样信息汇总统计!Q$2:Q$500,MATCH(131,样本到样信息汇总统计!$AA$2:$AA$500,0)),"")</f>
        <v/>
      </c>
      <c r="R132" s="4" t="str">
        <f>IFERROR(INDEX(样本到样信息汇总统计!R$2:R$500,MATCH(131,样本到样信息汇总统计!$AA$2:$AA$500,0)),"")</f>
        <v/>
      </c>
      <c r="S132" s="4" t="str">
        <f>IFERROR(INDEX(样本到样信息汇总统计!S$2:S$500,MATCH(131,样本到样信息汇总统计!$AA$2:$AA$500,0)),"")</f>
        <v/>
      </c>
      <c r="T132" s="4" t="str">
        <f>IFERROR(INDEX(样本到样信息汇总统计!T$2:T$500,MATCH(131,样本到样信息汇总统计!$AA$2:$AA$500,0)),"")</f>
        <v/>
      </c>
      <c r="U132" s="4" t="str">
        <f>IFERROR(INDEX(样本到样信息汇总统计!U$2:U$500,MATCH(131,样本到样信息汇总统计!$AA$2:$AA$500,0)),"")</f>
        <v/>
      </c>
      <c r="V132" s="4" t="str">
        <f>IFERROR(INDEX(样本到样信息汇总统计!V$2:V$500,MATCH(131,样本到样信息汇总统计!$AA$2:$AA$500,0)),"")</f>
        <v/>
      </c>
      <c r="W132" s="4" t="str">
        <f>IFERROR(INDEX(样本到样信息汇总统计!W$2:W$500,MATCH(131,样本到样信息汇总统计!$AA$2:$AA$500,0)),"")</f>
        <v/>
      </c>
    </row>
    <row r="133" ht="14.5" spans="1:23">
      <c r="A133" s="8" t="str">
        <f>IFERROR(INDEX(样本到样信息汇总统计!A$2:A$500,MATCH(132,样本到样信息汇总统计!$AA$2:$AA$500,0)),"")</f>
        <v/>
      </c>
      <c r="B133" s="8" t="str">
        <f>IFERROR(INDEX(样本到样信息汇总统计!B$2:B$500,MATCH(132,样本到样信息汇总统计!$AA$2:$AA$500,0)),"")</f>
        <v/>
      </c>
      <c r="C133" s="8" t="str">
        <f>IFERROR(INDEX(样本到样信息汇总统计!C$2:C$500,MATCH(132,样本到样信息汇总统计!$AA$2:$AA$500,0)),"")</f>
        <v/>
      </c>
      <c r="D133" s="8" t="str">
        <f>IFERROR(INDEX(样本到样信息汇总统计!D$2:D$500,MATCH(132,样本到样信息汇总统计!$AA$2:$AA$500,0)),"")</f>
        <v/>
      </c>
      <c r="E133" s="8" t="str">
        <f>IFERROR(INDEX(样本到样信息汇总统计!E$2:E$500,MATCH(132,样本到样信息汇总统计!$AA$2:$AA$500,0)),"")</f>
        <v/>
      </c>
      <c r="F133" s="8" t="str">
        <f>IFERROR(INDEX(样本到样信息汇总统计!F$2:F$500,MATCH(132,样本到样信息汇总统计!$AA$2:$AA$500,0)),"")</f>
        <v/>
      </c>
      <c r="G133" s="8" t="str">
        <f>IFERROR(INDEX(样本到样信息汇总统计!G$2:G$500,MATCH(132,样本到样信息汇总统计!$AA$2:$AA$500,0)),"")</f>
        <v/>
      </c>
      <c r="H133" s="8" t="str">
        <f>IFERROR(INDEX(样本到样信息汇总统计!H$2:H$500,MATCH(132,样本到样信息汇总统计!$AA$2:$AA$500,0)),"")</f>
        <v/>
      </c>
      <c r="I133" s="8" t="str">
        <f>IFERROR(INDEX(样本到样信息汇总统计!I$2:I$500,MATCH(132,样本到样信息汇总统计!$AA$2:$AA$500,0)),"")</f>
        <v/>
      </c>
      <c r="J133" s="8" t="str">
        <f>IFERROR(INDEX(样本到样信息汇总统计!J$2:J$500,MATCH(132,样本到样信息汇总统计!$AA$2:$AA$500,0)),"")</f>
        <v/>
      </c>
      <c r="K133" s="8" t="str">
        <f>IFERROR(INDEX(样本到样信息汇总统计!K$2:K$500,MATCH(132,样本到样信息汇总统计!$AA$2:$AA$500,0)),"")</f>
        <v/>
      </c>
      <c r="L133" s="8" t="str">
        <f>IFERROR(INDEX(样本到样信息汇总统计!L$2:L$500,MATCH(132,样本到样信息汇总统计!$AA$2:$AA$500,0)),"")</f>
        <v/>
      </c>
      <c r="M133" s="8" t="str">
        <f>IFERROR(INDEX(样本到样信息汇总统计!M$2:M$500,MATCH(132,样本到样信息汇总统计!$AA$2:$AA$500,0)),"")</f>
        <v/>
      </c>
      <c r="N133" s="8" t="str">
        <f>IFERROR(INDEX(样本到样信息汇总统计!N$2:N$500,MATCH(132,样本到样信息汇总统计!$AA$2:$AA$500,0)),"")</f>
        <v/>
      </c>
      <c r="O133" s="8" t="str">
        <f>IFERROR(INDEX(样本到样信息汇总统计!O$2:O$500,MATCH(132,样本到样信息汇总统计!$AA$2:$AA$500,0)),"")</f>
        <v/>
      </c>
      <c r="P133" s="8" t="str">
        <f>IFERROR(INDEX(样本到样信息汇总统计!P$2:P$500,MATCH(132,样本到样信息汇总统计!$AA$2:$AA$500,0)),"")</f>
        <v/>
      </c>
      <c r="Q133" s="8" t="str">
        <f>IFERROR(INDEX(样本到样信息汇总统计!Q$2:Q$500,MATCH(132,样本到样信息汇总统计!$AA$2:$AA$500,0)),"")</f>
        <v/>
      </c>
      <c r="R133" s="8" t="str">
        <f>IFERROR(INDEX(样本到样信息汇总统计!R$2:R$500,MATCH(132,样本到样信息汇总统计!$AA$2:$AA$500,0)),"")</f>
        <v/>
      </c>
      <c r="S133" s="8" t="str">
        <f>IFERROR(INDEX(样本到样信息汇总统计!S$2:S$500,MATCH(132,样本到样信息汇总统计!$AA$2:$AA$500,0)),"")</f>
        <v/>
      </c>
      <c r="T133" s="8" t="str">
        <f>IFERROR(INDEX(样本到样信息汇总统计!T$2:T$500,MATCH(132,样本到样信息汇总统计!$AA$2:$AA$500,0)),"")</f>
        <v/>
      </c>
      <c r="U133" s="8" t="str">
        <f>IFERROR(INDEX(样本到样信息汇总统计!U$2:U$500,MATCH(132,样本到样信息汇总统计!$AA$2:$AA$500,0)),"")</f>
        <v/>
      </c>
      <c r="V133" s="8" t="str">
        <f>IFERROR(INDEX(样本到样信息汇总统计!V$2:V$500,MATCH(132,样本到样信息汇总统计!$AA$2:$AA$500,0)),"")</f>
        <v/>
      </c>
      <c r="W133" s="8" t="str">
        <f>IFERROR(INDEX(样本到样信息汇总统计!W$2:W$500,MATCH(132,样本到样信息汇总统计!$AA$2:$AA$500,0)),"")</f>
        <v/>
      </c>
    </row>
    <row r="134" ht="14.5" spans="1:23">
      <c r="A134" s="4" t="str">
        <f>IFERROR(INDEX(样本到样信息汇总统计!A$2:A$500,MATCH(133,样本到样信息汇总统计!$AA$2:$AA$500,0)),"")</f>
        <v/>
      </c>
      <c r="B134" s="4" t="str">
        <f>IFERROR(INDEX(样本到样信息汇总统计!B$2:B$500,MATCH(133,样本到样信息汇总统计!$AA$2:$AA$500,0)),"")</f>
        <v/>
      </c>
      <c r="C134" s="4" t="str">
        <f>IFERROR(INDEX(样本到样信息汇总统计!C$2:C$500,MATCH(133,样本到样信息汇总统计!$AA$2:$AA$500,0)),"")</f>
        <v/>
      </c>
      <c r="D134" s="4" t="str">
        <f>IFERROR(INDEX(样本到样信息汇总统计!D$2:D$500,MATCH(133,样本到样信息汇总统计!$AA$2:$AA$500,0)),"")</f>
        <v/>
      </c>
      <c r="E134" s="4" t="str">
        <f>IFERROR(INDEX(样本到样信息汇总统计!E$2:E$500,MATCH(133,样本到样信息汇总统计!$AA$2:$AA$500,0)),"")</f>
        <v/>
      </c>
      <c r="F134" s="4" t="str">
        <f>IFERROR(INDEX(样本到样信息汇总统计!F$2:F$500,MATCH(133,样本到样信息汇总统计!$AA$2:$AA$500,0)),"")</f>
        <v/>
      </c>
      <c r="G134" s="4" t="str">
        <f>IFERROR(INDEX(样本到样信息汇总统计!G$2:G$500,MATCH(133,样本到样信息汇总统计!$AA$2:$AA$500,0)),"")</f>
        <v/>
      </c>
      <c r="H134" s="4" t="str">
        <f>IFERROR(INDEX(样本到样信息汇总统计!H$2:H$500,MATCH(133,样本到样信息汇总统计!$AA$2:$AA$500,0)),"")</f>
        <v/>
      </c>
      <c r="I134" s="4" t="str">
        <f>IFERROR(INDEX(样本到样信息汇总统计!I$2:I$500,MATCH(133,样本到样信息汇总统计!$AA$2:$AA$500,0)),"")</f>
        <v/>
      </c>
      <c r="J134" s="4" t="str">
        <f>IFERROR(INDEX(样本到样信息汇总统计!J$2:J$500,MATCH(133,样本到样信息汇总统计!$AA$2:$AA$500,0)),"")</f>
        <v/>
      </c>
      <c r="K134" s="4" t="str">
        <f>IFERROR(INDEX(样本到样信息汇总统计!K$2:K$500,MATCH(133,样本到样信息汇总统计!$AA$2:$AA$500,0)),"")</f>
        <v/>
      </c>
      <c r="L134" s="4" t="str">
        <f>IFERROR(INDEX(样本到样信息汇总统计!L$2:L$500,MATCH(133,样本到样信息汇总统计!$AA$2:$AA$500,0)),"")</f>
        <v/>
      </c>
      <c r="M134" s="4" t="str">
        <f>IFERROR(INDEX(样本到样信息汇总统计!M$2:M$500,MATCH(133,样本到样信息汇总统计!$AA$2:$AA$500,0)),"")</f>
        <v/>
      </c>
      <c r="N134" s="4" t="str">
        <f>IFERROR(INDEX(样本到样信息汇总统计!N$2:N$500,MATCH(133,样本到样信息汇总统计!$AA$2:$AA$500,0)),"")</f>
        <v/>
      </c>
      <c r="O134" s="4" t="str">
        <f>IFERROR(INDEX(样本到样信息汇总统计!O$2:O$500,MATCH(133,样本到样信息汇总统计!$AA$2:$AA$500,0)),"")</f>
        <v/>
      </c>
      <c r="P134" s="4" t="str">
        <f>IFERROR(INDEX(样本到样信息汇总统计!P$2:P$500,MATCH(133,样本到样信息汇总统计!$AA$2:$AA$500,0)),"")</f>
        <v/>
      </c>
      <c r="Q134" s="4" t="str">
        <f>IFERROR(INDEX(样本到样信息汇总统计!Q$2:Q$500,MATCH(133,样本到样信息汇总统计!$AA$2:$AA$500,0)),"")</f>
        <v/>
      </c>
      <c r="R134" s="4" t="str">
        <f>IFERROR(INDEX(样本到样信息汇总统计!R$2:R$500,MATCH(133,样本到样信息汇总统计!$AA$2:$AA$500,0)),"")</f>
        <v/>
      </c>
      <c r="S134" s="4" t="str">
        <f>IFERROR(INDEX(样本到样信息汇总统计!S$2:S$500,MATCH(133,样本到样信息汇总统计!$AA$2:$AA$500,0)),"")</f>
        <v/>
      </c>
      <c r="T134" s="4" t="str">
        <f>IFERROR(INDEX(样本到样信息汇总统计!T$2:T$500,MATCH(133,样本到样信息汇总统计!$AA$2:$AA$500,0)),"")</f>
        <v/>
      </c>
      <c r="U134" s="4" t="str">
        <f>IFERROR(INDEX(样本到样信息汇总统计!U$2:U$500,MATCH(133,样本到样信息汇总统计!$AA$2:$AA$500,0)),"")</f>
        <v/>
      </c>
      <c r="V134" s="4" t="str">
        <f>IFERROR(INDEX(样本到样信息汇总统计!V$2:V$500,MATCH(133,样本到样信息汇总统计!$AA$2:$AA$500,0)),"")</f>
        <v/>
      </c>
      <c r="W134" s="4" t="str">
        <f>IFERROR(INDEX(样本到样信息汇总统计!W$2:W$500,MATCH(133,样本到样信息汇总统计!$AA$2:$AA$500,0)),"")</f>
        <v/>
      </c>
    </row>
    <row r="135" ht="14.5" spans="1:23">
      <c r="A135" s="8" t="str">
        <f>IFERROR(INDEX(样本到样信息汇总统计!A$2:A$500,MATCH(134,样本到样信息汇总统计!$AA$2:$AA$500,0)),"")</f>
        <v/>
      </c>
      <c r="B135" s="8" t="str">
        <f>IFERROR(INDEX(样本到样信息汇总统计!B$2:B$500,MATCH(134,样本到样信息汇总统计!$AA$2:$AA$500,0)),"")</f>
        <v/>
      </c>
      <c r="C135" s="8" t="str">
        <f>IFERROR(INDEX(样本到样信息汇总统计!C$2:C$500,MATCH(134,样本到样信息汇总统计!$AA$2:$AA$500,0)),"")</f>
        <v/>
      </c>
      <c r="D135" s="8" t="str">
        <f>IFERROR(INDEX(样本到样信息汇总统计!D$2:D$500,MATCH(134,样本到样信息汇总统计!$AA$2:$AA$500,0)),"")</f>
        <v/>
      </c>
      <c r="E135" s="8" t="str">
        <f>IFERROR(INDEX(样本到样信息汇总统计!E$2:E$500,MATCH(134,样本到样信息汇总统计!$AA$2:$AA$500,0)),"")</f>
        <v/>
      </c>
      <c r="F135" s="8" t="str">
        <f>IFERROR(INDEX(样本到样信息汇总统计!F$2:F$500,MATCH(134,样本到样信息汇总统计!$AA$2:$AA$500,0)),"")</f>
        <v/>
      </c>
      <c r="G135" s="8" t="str">
        <f>IFERROR(INDEX(样本到样信息汇总统计!G$2:G$500,MATCH(134,样本到样信息汇总统计!$AA$2:$AA$500,0)),"")</f>
        <v/>
      </c>
      <c r="H135" s="8" t="str">
        <f>IFERROR(INDEX(样本到样信息汇总统计!H$2:H$500,MATCH(134,样本到样信息汇总统计!$AA$2:$AA$500,0)),"")</f>
        <v/>
      </c>
      <c r="I135" s="8" t="str">
        <f>IFERROR(INDEX(样本到样信息汇总统计!I$2:I$500,MATCH(134,样本到样信息汇总统计!$AA$2:$AA$500,0)),"")</f>
        <v/>
      </c>
      <c r="J135" s="8" t="str">
        <f>IFERROR(INDEX(样本到样信息汇总统计!J$2:J$500,MATCH(134,样本到样信息汇总统计!$AA$2:$AA$500,0)),"")</f>
        <v/>
      </c>
      <c r="K135" s="8" t="str">
        <f>IFERROR(INDEX(样本到样信息汇总统计!K$2:K$500,MATCH(134,样本到样信息汇总统计!$AA$2:$AA$500,0)),"")</f>
        <v/>
      </c>
      <c r="L135" s="8" t="str">
        <f>IFERROR(INDEX(样本到样信息汇总统计!L$2:L$500,MATCH(134,样本到样信息汇总统计!$AA$2:$AA$500,0)),"")</f>
        <v/>
      </c>
      <c r="M135" s="8" t="str">
        <f>IFERROR(INDEX(样本到样信息汇总统计!M$2:M$500,MATCH(134,样本到样信息汇总统计!$AA$2:$AA$500,0)),"")</f>
        <v/>
      </c>
      <c r="N135" s="8" t="str">
        <f>IFERROR(INDEX(样本到样信息汇总统计!N$2:N$500,MATCH(134,样本到样信息汇总统计!$AA$2:$AA$500,0)),"")</f>
        <v/>
      </c>
      <c r="O135" s="8" t="str">
        <f>IFERROR(INDEX(样本到样信息汇总统计!O$2:O$500,MATCH(134,样本到样信息汇总统计!$AA$2:$AA$500,0)),"")</f>
        <v/>
      </c>
      <c r="P135" s="8" t="str">
        <f>IFERROR(INDEX(样本到样信息汇总统计!P$2:P$500,MATCH(134,样本到样信息汇总统计!$AA$2:$AA$500,0)),"")</f>
        <v/>
      </c>
      <c r="Q135" s="8" t="str">
        <f>IFERROR(INDEX(样本到样信息汇总统计!Q$2:Q$500,MATCH(134,样本到样信息汇总统计!$AA$2:$AA$500,0)),"")</f>
        <v/>
      </c>
      <c r="R135" s="8" t="str">
        <f>IFERROR(INDEX(样本到样信息汇总统计!R$2:R$500,MATCH(134,样本到样信息汇总统计!$AA$2:$AA$500,0)),"")</f>
        <v/>
      </c>
      <c r="S135" s="8" t="str">
        <f>IFERROR(INDEX(样本到样信息汇总统计!S$2:S$500,MATCH(134,样本到样信息汇总统计!$AA$2:$AA$500,0)),"")</f>
        <v/>
      </c>
      <c r="T135" s="8" t="str">
        <f>IFERROR(INDEX(样本到样信息汇总统计!T$2:T$500,MATCH(134,样本到样信息汇总统计!$AA$2:$AA$500,0)),"")</f>
        <v/>
      </c>
      <c r="U135" s="8" t="str">
        <f>IFERROR(INDEX(样本到样信息汇总统计!U$2:U$500,MATCH(134,样本到样信息汇总统计!$AA$2:$AA$500,0)),"")</f>
        <v/>
      </c>
      <c r="V135" s="8" t="str">
        <f>IFERROR(INDEX(样本到样信息汇总统计!V$2:V$500,MATCH(134,样本到样信息汇总统计!$AA$2:$AA$500,0)),"")</f>
        <v/>
      </c>
      <c r="W135" s="8" t="str">
        <f>IFERROR(INDEX(样本到样信息汇总统计!W$2:W$500,MATCH(134,样本到样信息汇总统计!$AA$2:$AA$500,0)),"")</f>
        <v/>
      </c>
    </row>
    <row r="136" ht="14.5" spans="1:23">
      <c r="A136" s="4" t="str">
        <f>IFERROR(INDEX(样本到样信息汇总统计!A$2:A$500,MATCH(135,样本到样信息汇总统计!$AA$2:$AA$500,0)),"")</f>
        <v/>
      </c>
      <c r="B136" s="4" t="str">
        <f>IFERROR(INDEX(样本到样信息汇总统计!B$2:B$500,MATCH(135,样本到样信息汇总统计!$AA$2:$AA$500,0)),"")</f>
        <v/>
      </c>
      <c r="C136" s="4" t="str">
        <f>IFERROR(INDEX(样本到样信息汇总统计!C$2:C$500,MATCH(135,样本到样信息汇总统计!$AA$2:$AA$500,0)),"")</f>
        <v/>
      </c>
      <c r="D136" s="4" t="str">
        <f>IFERROR(INDEX(样本到样信息汇总统计!D$2:D$500,MATCH(135,样本到样信息汇总统计!$AA$2:$AA$500,0)),"")</f>
        <v/>
      </c>
      <c r="E136" s="4" t="str">
        <f>IFERROR(INDEX(样本到样信息汇总统计!E$2:E$500,MATCH(135,样本到样信息汇总统计!$AA$2:$AA$500,0)),"")</f>
        <v/>
      </c>
      <c r="F136" s="4" t="str">
        <f>IFERROR(INDEX(样本到样信息汇总统计!F$2:F$500,MATCH(135,样本到样信息汇总统计!$AA$2:$AA$500,0)),"")</f>
        <v/>
      </c>
      <c r="G136" s="4" t="str">
        <f>IFERROR(INDEX(样本到样信息汇总统计!G$2:G$500,MATCH(135,样本到样信息汇总统计!$AA$2:$AA$500,0)),"")</f>
        <v/>
      </c>
      <c r="H136" s="4" t="str">
        <f>IFERROR(INDEX(样本到样信息汇总统计!H$2:H$500,MATCH(135,样本到样信息汇总统计!$AA$2:$AA$500,0)),"")</f>
        <v/>
      </c>
      <c r="I136" s="4" t="str">
        <f>IFERROR(INDEX(样本到样信息汇总统计!I$2:I$500,MATCH(135,样本到样信息汇总统计!$AA$2:$AA$500,0)),"")</f>
        <v/>
      </c>
      <c r="J136" s="4" t="str">
        <f>IFERROR(INDEX(样本到样信息汇总统计!J$2:J$500,MATCH(135,样本到样信息汇总统计!$AA$2:$AA$500,0)),"")</f>
        <v/>
      </c>
      <c r="K136" s="4" t="str">
        <f>IFERROR(INDEX(样本到样信息汇总统计!K$2:K$500,MATCH(135,样本到样信息汇总统计!$AA$2:$AA$500,0)),"")</f>
        <v/>
      </c>
      <c r="L136" s="4" t="str">
        <f>IFERROR(INDEX(样本到样信息汇总统计!L$2:L$500,MATCH(135,样本到样信息汇总统计!$AA$2:$AA$500,0)),"")</f>
        <v/>
      </c>
      <c r="M136" s="4" t="str">
        <f>IFERROR(INDEX(样本到样信息汇总统计!M$2:M$500,MATCH(135,样本到样信息汇总统计!$AA$2:$AA$500,0)),"")</f>
        <v/>
      </c>
      <c r="N136" s="4" t="str">
        <f>IFERROR(INDEX(样本到样信息汇总统计!N$2:N$500,MATCH(135,样本到样信息汇总统计!$AA$2:$AA$500,0)),"")</f>
        <v/>
      </c>
      <c r="O136" s="4" t="str">
        <f>IFERROR(INDEX(样本到样信息汇总统计!O$2:O$500,MATCH(135,样本到样信息汇总统计!$AA$2:$AA$500,0)),"")</f>
        <v/>
      </c>
      <c r="P136" s="4" t="str">
        <f>IFERROR(INDEX(样本到样信息汇总统计!P$2:P$500,MATCH(135,样本到样信息汇总统计!$AA$2:$AA$500,0)),"")</f>
        <v/>
      </c>
      <c r="Q136" s="4" t="str">
        <f>IFERROR(INDEX(样本到样信息汇总统计!Q$2:Q$500,MATCH(135,样本到样信息汇总统计!$AA$2:$AA$500,0)),"")</f>
        <v/>
      </c>
      <c r="R136" s="4" t="str">
        <f>IFERROR(INDEX(样本到样信息汇总统计!R$2:R$500,MATCH(135,样本到样信息汇总统计!$AA$2:$AA$500,0)),"")</f>
        <v/>
      </c>
      <c r="S136" s="4" t="str">
        <f>IFERROR(INDEX(样本到样信息汇总统计!S$2:S$500,MATCH(135,样本到样信息汇总统计!$AA$2:$AA$500,0)),"")</f>
        <v/>
      </c>
      <c r="T136" s="4" t="str">
        <f>IFERROR(INDEX(样本到样信息汇总统计!T$2:T$500,MATCH(135,样本到样信息汇总统计!$AA$2:$AA$500,0)),"")</f>
        <v/>
      </c>
      <c r="U136" s="4" t="str">
        <f>IFERROR(INDEX(样本到样信息汇总统计!U$2:U$500,MATCH(135,样本到样信息汇总统计!$AA$2:$AA$500,0)),"")</f>
        <v/>
      </c>
      <c r="V136" s="4" t="str">
        <f>IFERROR(INDEX(样本到样信息汇总统计!V$2:V$500,MATCH(135,样本到样信息汇总统计!$AA$2:$AA$500,0)),"")</f>
        <v/>
      </c>
      <c r="W136" s="4" t="str">
        <f>IFERROR(INDEX(样本到样信息汇总统计!W$2:W$500,MATCH(135,样本到样信息汇总统计!$AA$2:$AA$500,0)),"")</f>
        <v/>
      </c>
    </row>
    <row r="137" ht="14.5" spans="1:23">
      <c r="A137" s="8" t="str">
        <f>IFERROR(INDEX(样本到样信息汇总统计!A$2:A$500,MATCH(136,样本到样信息汇总统计!$AA$2:$AA$500,0)),"")</f>
        <v/>
      </c>
      <c r="B137" s="8" t="str">
        <f>IFERROR(INDEX(样本到样信息汇总统计!B$2:B$500,MATCH(136,样本到样信息汇总统计!$AA$2:$AA$500,0)),"")</f>
        <v/>
      </c>
      <c r="C137" s="8" t="str">
        <f>IFERROR(INDEX(样本到样信息汇总统计!C$2:C$500,MATCH(136,样本到样信息汇总统计!$AA$2:$AA$500,0)),"")</f>
        <v/>
      </c>
      <c r="D137" s="8" t="str">
        <f>IFERROR(INDEX(样本到样信息汇总统计!D$2:D$500,MATCH(136,样本到样信息汇总统计!$AA$2:$AA$500,0)),"")</f>
        <v/>
      </c>
      <c r="E137" s="8" t="str">
        <f>IFERROR(INDEX(样本到样信息汇总统计!E$2:E$500,MATCH(136,样本到样信息汇总统计!$AA$2:$AA$500,0)),"")</f>
        <v/>
      </c>
      <c r="F137" s="8" t="str">
        <f>IFERROR(INDEX(样本到样信息汇总统计!F$2:F$500,MATCH(136,样本到样信息汇总统计!$AA$2:$AA$500,0)),"")</f>
        <v/>
      </c>
      <c r="G137" s="8" t="str">
        <f>IFERROR(INDEX(样本到样信息汇总统计!G$2:G$500,MATCH(136,样本到样信息汇总统计!$AA$2:$AA$500,0)),"")</f>
        <v/>
      </c>
      <c r="H137" s="8" t="str">
        <f>IFERROR(INDEX(样本到样信息汇总统计!H$2:H$500,MATCH(136,样本到样信息汇总统计!$AA$2:$AA$500,0)),"")</f>
        <v/>
      </c>
      <c r="I137" s="8" t="str">
        <f>IFERROR(INDEX(样本到样信息汇总统计!I$2:I$500,MATCH(136,样本到样信息汇总统计!$AA$2:$AA$500,0)),"")</f>
        <v/>
      </c>
      <c r="J137" s="8" t="str">
        <f>IFERROR(INDEX(样本到样信息汇总统计!J$2:J$500,MATCH(136,样本到样信息汇总统计!$AA$2:$AA$500,0)),"")</f>
        <v/>
      </c>
      <c r="K137" s="8" t="str">
        <f>IFERROR(INDEX(样本到样信息汇总统计!K$2:K$500,MATCH(136,样本到样信息汇总统计!$AA$2:$AA$500,0)),"")</f>
        <v/>
      </c>
      <c r="L137" s="8" t="str">
        <f>IFERROR(INDEX(样本到样信息汇总统计!L$2:L$500,MATCH(136,样本到样信息汇总统计!$AA$2:$AA$500,0)),"")</f>
        <v/>
      </c>
      <c r="M137" s="8" t="str">
        <f>IFERROR(INDEX(样本到样信息汇总统计!M$2:M$500,MATCH(136,样本到样信息汇总统计!$AA$2:$AA$500,0)),"")</f>
        <v/>
      </c>
      <c r="N137" s="8" t="str">
        <f>IFERROR(INDEX(样本到样信息汇总统计!N$2:N$500,MATCH(136,样本到样信息汇总统计!$AA$2:$AA$500,0)),"")</f>
        <v/>
      </c>
      <c r="O137" s="8" t="str">
        <f>IFERROR(INDEX(样本到样信息汇总统计!O$2:O$500,MATCH(136,样本到样信息汇总统计!$AA$2:$AA$500,0)),"")</f>
        <v/>
      </c>
      <c r="P137" s="8" t="str">
        <f>IFERROR(INDEX(样本到样信息汇总统计!P$2:P$500,MATCH(136,样本到样信息汇总统计!$AA$2:$AA$500,0)),"")</f>
        <v/>
      </c>
      <c r="Q137" s="8" t="str">
        <f>IFERROR(INDEX(样本到样信息汇总统计!Q$2:Q$500,MATCH(136,样本到样信息汇总统计!$AA$2:$AA$500,0)),"")</f>
        <v/>
      </c>
      <c r="R137" s="8" t="str">
        <f>IFERROR(INDEX(样本到样信息汇总统计!R$2:R$500,MATCH(136,样本到样信息汇总统计!$AA$2:$AA$500,0)),"")</f>
        <v/>
      </c>
      <c r="S137" s="8" t="str">
        <f>IFERROR(INDEX(样本到样信息汇总统计!S$2:S$500,MATCH(136,样本到样信息汇总统计!$AA$2:$AA$500,0)),"")</f>
        <v/>
      </c>
      <c r="T137" s="8" t="str">
        <f>IFERROR(INDEX(样本到样信息汇总统计!T$2:T$500,MATCH(136,样本到样信息汇总统计!$AA$2:$AA$500,0)),"")</f>
        <v/>
      </c>
      <c r="U137" s="8" t="str">
        <f>IFERROR(INDEX(样本到样信息汇总统计!U$2:U$500,MATCH(136,样本到样信息汇总统计!$AA$2:$AA$500,0)),"")</f>
        <v/>
      </c>
      <c r="V137" s="8" t="str">
        <f>IFERROR(INDEX(样本到样信息汇总统计!V$2:V$500,MATCH(136,样本到样信息汇总统计!$AA$2:$AA$500,0)),"")</f>
        <v/>
      </c>
      <c r="W137" s="8" t="str">
        <f>IFERROR(INDEX(样本到样信息汇总统计!W$2:W$500,MATCH(136,样本到样信息汇总统计!$AA$2:$AA$500,0)),"")</f>
        <v/>
      </c>
    </row>
    <row r="138" ht="14.5" spans="1:23">
      <c r="A138" s="4" t="str">
        <f>IFERROR(INDEX(样本到样信息汇总统计!A$2:A$500,MATCH(137,样本到样信息汇总统计!$AA$2:$AA$500,0)),"")</f>
        <v/>
      </c>
      <c r="B138" s="4" t="str">
        <f>IFERROR(INDEX(样本到样信息汇总统计!B$2:B$500,MATCH(137,样本到样信息汇总统计!$AA$2:$AA$500,0)),"")</f>
        <v/>
      </c>
      <c r="C138" s="4" t="str">
        <f>IFERROR(INDEX(样本到样信息汇总统计!C$2:C$500,MATCH(137,样本到样信息汇总统计!$AA$2:$AA$500,0)),"")</f>
        <v/>
      </c>
      <c r="D138" s="4" t="str">
        <f>IFERROR(INDEX(样本到样信息汇总统计!D$2:D$500,MATCH(137,样本到样信息汇总统计!$AA$2:$AA$500,0)),"")</f>
        <v/>
      </c>
      <c r="E138" s="4" t="str">
        <f>IFERROR(INDEX(样本到样信息汇总统计!E$2:E$500,MATCH(137,样本到样信息汇总统计!$AA$2:$AA$500,0)),"")</f>
        <v/>
      </c>
      <c r="F138" s="4" t="str">
        <f>IFERROR(INDEX(样本到样信息汇总统计!F$2:F$500,MATCH(137,样本到样信息汇总统计!$AA$2:$AA$500,0)),"")</f>
        <v/>
      </c>
      <c r="G138" s="4" t="str">
        <f>IFERROR(INDEX(样本到样信息汇总统计!G$2:G$500,MATCH(137,样本到样信息汇总统计!$AA$2:$AA$500,0)),"")</f>
        <v/>
      </c>
      <c r="H138" s="4" t="str">
        <f>IFERROR(INDEX(样本到样信息汇总统计!H$2:H$500,MATCH(137,样本到样信息汇总统计!$AA$2:$AA$500,0)),"")</f>
        <v/>
      </c>
      <c r="I138" s="4" t="str">
        <f>IFERROR(INDEX(样本到样信息汇总统计!I$2:I$500,MATCH(137,样本到样信息汇总统计!$AA$2:$AA$500,0)),"")</f>
        <v/>
      </c>
      <c r="J138" s="4" t="str">
        <f>IFERROR(INDEX(样本到样信息汇总统计!J$2:J$500,MATCH(137,样本到样信息汇总统计!$AA$2:$AA$500,0)),"")</f>
        <v/>
      </c>
      <c r="K138" s="4" t="str">
        <f>IFERROR(INDEX(样本到样信息汇总统计!K$2:K$500,MATCH(137,样本到样信息汇总统计!$AA$2:$AA$500,0)),"")</f>
        <v/>
      </c>
      <c r="L138" s="4" t="str">
        <f>IFERROR(INDEX(样本到样信息汇总统计!L$2:L$500,MATCH(137,样本到样信息汇总统计!$AA$2:$AA$500,0)),"")</f>
        <v/>
      </c>
      <c r="M138" s="4" t="str">
        <f>IFERROR(INDEX(样本到样信息汇总统计!M$2:M$500,MATCH(137,样本到样信息汇总统计!$AA$2:$AA$500,0)),"")</f>
        <v/>
      </c>
      <c r="N138" s="4" t="str">
        <f>IFERROR(INDEX(样本到样信息汇总统计!N$2:N$500,MATCH(137,样本到样信息汇总统计!$AA$2:$AA$500,0)),"")</f>
        <v/>
      </c>
      <c r="O138" s="4" t="str">
        <f>IFERROR(INDEX(样本到样信息汇总统计!O$2:O$500,MATCH(137,样本到样信息汇总统计!$AA$2:$AA$500,0)),"")</f>
        <v/>
      </c>
      <c r="P138" s="4" t="str">
        <f>IFERROR(INDEX(样本到样信息汇总统计!P$2:P$500,MATCH(137,样本到样信息汇总统计!$AA$2:$AA$500,0)),"")</f>
        <v/>
      </c>
      <c r="Q138" s="4" t="str">
        <f>IFERROR(INDEX(样本到样信息汇总统计!Q$2:Q$500,MATCH(137,样本到样信息汇总统计!$AA$2:$AA$500,0)),"")</f>
        <v/>
      </c>
      <c r="R138" s="4" t="str">
        <f>IFERROR(INDEX(样本到样信息汇总统计!R$2:R$500,MATCH(137,样本到样信息汇总统计!$AA$2:$AA$500,0)),"")</f>
        <v/>
      </c>
      <c r="S138" s="4" t="str">
        <f>IFERROR(INDEX(样本到样信息汇总统计!S$2:S$500,MATCH(137,样本到样信息汇总统计!$AA$2:$AA$500,0)),"")</f>
        <v/>
      </c>
      <c r="T138" s="4" t="str">
        <f>IFERROR(INDEX(样本到样信息汇总统计!T$2:T$500,MATCH(137,样本到样信息汇总统计!$AA$2:$AA$500,0)),"")</f>
        <v/>
      </c>
      <c r="U138" s="4" t="str">
        <f>IFERROR(INDEX(样本到样信息汇总统计!U$2:U$500,MATCH(137,样本到样信息汇总统计!$AA$2:$AA$500,0)),"")</f>
        <v/>
      </c>
      <c r="V138" s="4" t="str">
        <f>IFERROR(INDEX(样本到样信息汇总统计!V$2:V$500,MATCH(137,样本到样信息汇总统计!$AA$2:$AA$500,0)),"")</f>
        <v/>
      </c>
      <c r="W138" s="4" t="str">
        <f>IFERROR(INDEX(样本到样信息汇总统计!W$2:W$500,MATCH(137,样本到样信息汇总统计!$AA$2:$AA$500,0)),"")</f>
        <v/>
      </c>
    </row>
    <row r="139" ht="14.5" spans="1:23">
      <c r="A139" s="8" t="str">
        <f>IFERROR(INDEX(样本到样信息汇总统计!A$2:A$500,MATCH(138,样本到样信息汇总统计!$AA$2:$AA$500,0)),"")</f>
        <v/>
      </c>
      <c r="B139" s="8" t="str">
        <f>IFERROR(INDEX(样本到样信息汇总统计!B$2:B$500,MATCH(138,样本到样信息汇总统计!$AA$2:$AA$500,0)),"")</f>
        <v/>
      </c>
      <c r="C139" s="8" t="str">
        <f>IFERROR(INDEX(样本到样信息汇总统计!C$2:C$500,MATCH(138,样本到样信息汇总统计!$AA$2:$AA$500,0)),"")</f>
        <v/>
      </c>
      <c r="D139" s="8" t="str">
        <f>IFERROR(INDEX(样本到样信息汇总统计!D$2:D$500,MATCH(138,样本到样信息汇总统计!$AA$2:$AA$500,0)),"")</f>
        <v/>
      </c>
      <c r="E139" s="8" t="str">
        <f>IFERROR(INDEX(样本到样信息汇总统计!E$2:E$500,MATCH(138,样本到样信息汇总统计!$AA$2:$AA$500,0)),"")</f>
        <v/>
      </c>
      <c r="F139" s="8" t="str">
        <f>IFERROR(INDEX(样本到样信息汇总统计!F$2:F$500,MATCH(138,样本到样信息汇总统计!$AA$2:$AA$500,0)),"")</f>
        <v/>
      </c>
      <c r="G139" s="8" t="str">
        <f>IFERROR(INDEX(样本到样信息汇总统计!G$2:G$500,MATCH(138,样本到样信息汇总统计!$AA$2:$AA$500,0)),"")</f>
        <v/>
      </c>
      <c r="H139" s="8" t="str">
        <f>IFERROR(INDEX(样本到样信息汇总统计!H$2:H$500,MATCH(138,样本到样信息汇总统计!$AA$2:$AA$500,0)),"")</f>
        <v/>
      </c>
      <c r="I139" s="8" t="str">
        <f>IFERROR(INDEX(样本到样信息汇总统计!I$2:I$500,MATCH(138,样本到样信息汇总统计!$AA$2:$AA$500,0)),"")</f>
        <v/>
      </c>
      <c r="J139" s="8" t="str">
        <f>IFERROR(INDEX(样本到样信息汇总统计!J$2:J$500,MATCH(138,样本到样信息汇总统计!$AA$2:$AA$500,0)),"")</f>
        <v/>
      </c>
      <c r="K139" s="8" t="str">
        <f>IFERROR(INDEX(样本到样信息汇总统计!K$2:K$500,MATCH(138,样本到样信息汇总统计!$AA$2:$AA$500,0)),"")</f>
        <v/>
      </c>
      <c r="L139" s="8" t="str">
        <f>IFERROR(INDEX(样本到样信息汇总统计!L$2:L$500,MATCH(138,样本到样信息汇总统计!$AA$2:$AA$500,0)),"")</f>
        <v/>
      </c>
      <c r="M139" s="8" t="str">
        <f>IFERROR(INDEX(样本到样信息汇总统计!M$2:M$500,MATCH(138,样本到样信息汇总统计!$AA$2:$AA$500,0)),"")</f>
        <v/>
      </c>
      <c r="N139" s="8" t="str">
        <f>IFERROR(INDEX(样本到样信息汇总统计!N$2:N$500,MATCH(138,样本到样信息汇总统计!$AA$2:$AA$500,0)),"")</f>
        <v/>
      </c>
      <c r="O139" s="8" t="str">
        <f>IFERROR(INDEX(样本到样信息汇总统计!O$2:O$500,MATCH(138,样本到样信息汇总统计!$AA$2:$AA$500,0)),"")</f>
        <v/>
      </c>
      <c r="P139" s="8" t="str">
        <f>IFERROR(INDEX(样本到样信息汇总统计!P$2:P$500,MATCH(138,样本到样信息汇总统计!$AA$2:$AA$500,0)),"")</f>
        <v/>
      </c>
      <c r="Q139" s="8" t="str">
        <f>IFERROR(INDEX(样本到样信息汇总统计!Q$2:Q$500,MATCH(138,样本到样信息汇总统计!$AA$2:$AA$500,0)),"")</f>
        <v/>
      </c>
      <c r="R139" s="8" t="str">
        <f>IFERROR(INDEX(样本到样信息汇总统计!R$2:R$500,MATCH(138,样本到样信息汇总统计!$AA$2:$AA$500,0)),"")</f>
        <v/>
      </c>
      <c r="S139" s="8" t="str">
        <f>IFERROR(INDEX(样本到样信息汇总统计!S$2:S$500,MATCH(138,样本到样信息汇总统计!$AA$2:$AA$500,0)),"")</f>
        <v/>
      </c>
      <c r="T139" s="8" t="str">
        <f>IFERROR(INDEX(样本到样信息汇总统计!T$2:T$500,MATCH(138,样本到样信息汇总统计!$AA$2:$AA$500,0)),"")</f>
        <v/>
      </c>
      <c r="U139" s="8" t="str">
        <f>IFERROR(INDEX(样本到样信息汇总统计!U$2:U$500,MATCH(138,样本到样信息汇总统计!$AA$2:$AA$500,0)),"")</f>
        <v/>
      </c>
      <c r="V139" s="8" t="str">
        <f>IFERROR(INDEX(样本到样信息汇总统计!V$2:V$500,MATCH(138,样本到样信息汇总统计!$AA$2:$AA$500,0)),"")</f>
        <v/>
      </c>
      <c r="W139" s="8" t="str">
        <f>IFERROR(INDEX(样本到样信息汇总统计!W$2:W$500,MATCH(138,样本到样信息汇总统计!$AA$2:$AA$500,0)),"")</f>
        <v/>
      </c>
    </row>
    <row r="140" ht="14.5" spans="1:23">
      <c r="A140" s="4" t="str">
        <f>IFERROR(INDEX(样本到样信息汇总统计!A$2:A$500,MATCH(139,样本到样信息汇总统计!$AA$2:$AA$500,0)),"")</f>
        <v/>
      </c>
      <c r="B140" s="4" t="str">
        <f>IFERROR(INDEX(样本到样信息汇总统计!B$2:B$500,MATCH(139,样本到样信息汇总统计!$AA$2:$AA$500,0)),"")</f>
        <v/>
      </c>
      <c r="C140" s="4" t="str">
        <f>IFERROR(INDEX(样本到样信息汇总统计!C$2:C$500,MATCH(139,样本到样信息汇总统计!$AA$2:$AA$500,0)),"")</f>
        <v/>
      </c>
      <c r="D140" s="4" t="str">
        <f>IFERROR(INDEX(样本到样信息汇总统计!D$2:D$500,MATCH(139,样本到样信息汇总统计!$AA$2:$AA$500,0)),"")</f>
        <v/>
      </c>
      <c r="E140" s="4" t="str">
        <f>IFERROR(INDEX(样本到样信息汇总统计!E$2:E$500,MATCH(139,样本到样信息汇总统计!$AA$2:$AA$500,0)),"")</f>
        <v/>
      </c>
      <c r="F140" s="4" t="str">
        <f>IFERROR(INDEX(样本到样信息汇总统计!F$2:F$500,MATCH(139,样本到样信息汇总统计!$AA$2:$AA$500,0)),"")</f>
        <v/>
      </c>
      <c r="G140" s="4" t="str">
        <f>IFERROR(INDEX(样本到样信息汇总统计!G$2:G$500,MATCH(139,样本到样信息汇总统计!$AA$2:$AA$500,0)),"")</f>
        <v/>
      </c>
      <c r="H140" s="4" t="str">
        <f>IFERROR(INDEX(样本到样信息汇总统计!H$2:H$500,MATCH(139,样本到样信息汇总统计!$AA$2:$AA$500,0)),"")</f>
        <v/>
      </c>
      <c r="I140" s="4" t="str">
        <f>IFERROR(INDEX(样本到样信息汇总统计!I$2:I$500,MATCH(139,样本到样信息汇总统计!$AA$2:$AA$500,0)),"")</f>
        <v/>
      </c>
      <c r="J140" s="4" t="str">
        <f>IFERROR(INDEX(样本到样信息汇总统计!J$2:J$500,MATCH(139,样本到样信息汇总统计!$AA$2:$AA$500,0)),"")</f>
        <v/>
      </c>
      <c r="K140" s="4" t="str">
        <f>IFERROR(INDEX(样本到样信息汇总统计!K$2:K$500,MATCH(139,样本到样信息汇总统计!$AA$2:$AA$500,0)),"")</f>
        <v/>
      </c>
      <c r="L140" s="4" t="str">
        <f>IFERROR(INDEX(样本到样信息汇总统计!L$2:L$500,MATCH(139,样本到样信息汇总统计!$AA$2:$AA$500,0)),"")</f>
        <v/>
      </c>
      <c r="M140" s="4" t="str">
        <f>IFERROR(INDEX(样本到样信息汇总统计!M$2:M$500,MATCH(139,样本到样信息汇总统计!$AA$2:$AA$500,0)),"")</f>
        <v/>
      </c>
      <c r="N140" s="4" t="str">
        <f>IFERROR(INDEX(样本到样信息汇总统计!N$2:N$500,MATCH(139,样本到样信息汇总统计!$AA$2:$AA$500,0)),"")</f>
        <v/>
      </c>
      <c r="O140" s="4" t="str">
        <f>IFERROR(INDEX(样本到样信息汇总统计!O$2:O$500,MATCH(139,样本到样信息汇总统计!$AA$2:$AA$500,0)),"")</f>
        <v/>
      </c>
      <c r="P140" s="4" t="str">
        <f>IFERROR(INDEX(样本到样信息汇总统计!P$2:P$500,MATCH(139,样本到样信息汇总统计!$AA$2:$AA$500,0)),"")</f>
        <v/>
      </c>
      <c r="Q140" s="4" t="str">
        <f>IFERROR(INDEX(样本到样信息汇总统计!Q$2:Q$500,MATCH(139,样本到样信息汇总统计!$AA$2:$AA$500,0)),"")</f>
        <v/>
      </c>
      <c r="R140" s="4" t="str">
        <f>IFERROR(INDEX(样本到样信息汇总统计!R$2:R$500,MATCH(139,样本到样信息汇总统计!$AA$2:$AA$500,0)),"")</f>
        <v/>
      </c>
      <c r="S140" s="4" t="str">
        <f>IFERROR(INDEX(样本到样信息汇总统计!S$2:S$500,MATCH(139,样本到样信息汇总统计!$AA$2:$AA$500,0)),"")</f>
        <v/>
      </c>
      <c r="T140" s="4" t="str">
        <f>IFERROR(INDEX(样本到样信息汇总统计!T$2:T$500,MATCH(139,样本到样信息汇总统计!$AA$2:$AA$500,0)),"")</f>
        <v/>
      </c>
      <c r="U140" s="4" t="str">
        <f>IFERROR(INDEX(样本到样信息汇总统计!U$2:U$500,MATCH(139,样本到样信息汇总统计!$AA$2:$AA$500,0)),"")</f>
        <v/>
      </c>
      <c r="V140" s="4" t="str">
        <f>IFERROR(INDEX(样本到样信息汇总统计!V$2:V$500,MATCH(139,样本到样信息汇总统计!$AA$2:$AA$500,0)),"")</f>
        <v/>
      </c>
      <c r="W140" s="4" t="str">
        <f>IFERROR(INDEX(样本到样信息汇总统计!W$2:W$500,MATCH(139,样本到样信息汇总统计!$AA$2:$AA$500,0)),"")</f>
        <v/>
      </c>
    </row>
    <row r="141" ht="14.5" spans="1:23">
      <c r="A141" s="8" t="str">
        <f>IFERROR(INDEX(样本到样信息汇总统计!A$2:A$500,MATCH(140,样本到样信息汇总统计!$AA$2:$AA$500,0)),"")</f>
        <v/>
      </c>
      <c r="B141" s="8" t="str">
        <f>IFERROR(INDEX(样本到样信息汇总统计!B$2:B$500,MATCH(140,样本到样信息汇总统计!$AA$2:$AA$500,0)),"")</f>
        <v/>
      </c>
      <c r="C141" s="8" t="str">
        <f>IFERROR(INDEX(样本到样信息汇总统计!C$2:C$500,MATCH(140,样本到样信息汇总统计!$AA$2:$AA$500,0)),"")</f>
        <v/>
      </c>
      <c r="D141" s="8" t="str">
        <f>IFERROR(INDEX(样本到样信息汇总统计!D$2:D$500,MATCH(140,样本到样信息汇总统计!$AA$2:$AA$500,0)),"")</f>
        <v/>
      </c>
      <c r="E141" s="8" t="str">
        <f>IFERROR(INDEX(样本到样信息汇总统计!E$2:E$500,MATCH(140,样本到样信息汇总统计!$AA$2:$AA$500,0)),"")</f>
        <v/>
      </c>
      <c r="F141" s="8" t="str">
        <f>IFERROR(INDEX(样本到样信息汇总统计!F$2:F$500,MATCH(140,样本到样信息汇总统计!$AA$2:$AA$500,0)),"")</f>
        <v/>
      </c>
      <c r="G141" s="8" t="str">
        <f>IFERROR(INDEX(样本到样信息汇总统计!G$2:G$500,MATCH(140,样本到样信息汇总统计!$AA$2:$AA$500,0)),"")</f>
        <v/>
      </c>
      <c r="H141" s="8" t="str">
        <f>IFERROR(INDEX(样本到样信息汇总统计!H$2:H$500,MATCH(140,样本到样信息汇总统计!$AA$2:$AA$500,0)),"")</f>
        <v/>
      </c>
      <c r="I141" s="8" t="str">
        <f>IFERROR(INDEX(样本到样信息汇总统计!I$2:I$500,MATCH(140,样本到样信息汇总统计!$AA$2:$AA$500,0)),"")</f>
        <v/>
      </c>
      <c r="J141" s="8" t="str">
        <f>IFERROR(INDEX(样本到样信息汇总统计!J$2:J$500,MATCH(140,样本到样信息汇总统计!$AA$2:$AA$500,0)),"")</f>
        <v/>
      </c>
      <c r="K141" s="8" t="str">
        <f>IFERROR(INDEX(样本到样信息汇总统计!K$2:K$500,MATCH(140,样本到样信息汇总统计!$AA$2:$AA$500,0)),"")</f>
        <v/>
      </c>
      <c r="L141" s="8" t="str">
        <f>IFERROR(INDEX(样本到样信息汇总统计!L$2:L$500,MATCH(140,样本到样信息汇总统计!$AA$2:$AA$500,0)),"")</f>
        <v/>
      </c>
      <c r="M141" s="8" t="str">
        <f>IFERROR(INDEX(样本到样信息汇总统计!M$2:M$500,MATCH(140,样本到样信息汇总统计!$AA$2:$AA$500,0)),"")</f>
        <v/>
      </c>
      <c r="N141" s="8" t="str">
        <f>IFERROR(INDEX(样本到样信息汇总统计!N$2:N$500,MATCH(140,样本到样信息汇总统计!$AA$2:$AA$500,0)),"")</f>
        <v/>
      </c>
      <c r="O141" s="8" t="str">
        <f>IFERROR(INDEX(样本到样信息汇总统计!O$2:O$500,MATCH(140,样本到样信息汇总统计!$AA$2:$AA$500,0)),"")</f>
        <v/>
      </c>
      <c r="P141" s="8" t="str">
        <f>IFERROR(INDEX(样本到样信息汇总统计!P$2:P$500,MATCH(140,样本到样信息汇总统计!$AA$2:$AA$500,0)),"")</f>
        <v/>
      </c>
      <c r="Q141" s="8" t="str">
        <f>IFERROR(INDEX(样本到样信息汇总统计!Q$2:Q$500,MATCH(140,样本到样信息汇总统计!$AA$2:$AA$500,0)),"")</f>
        <v/>
      </c>
      <c r="R141" s="8" t="str">
        <f>IFERROR(INDEX(样本到样信息汇总统计!R$2:R$500,MATCH(140,样本到样信息汇总统计!$AA$2:$AA$500,0)),"")</f>
        <v/>
      </c>
      <c r="S141" s="8" t="str">
        <f>IFERROR(INDEX(样本到样信息汇总统计!S$2:S$500,MATCH(140,样本到样信息汇总统计!$AA$2:$AA$500,0)),"")</f>
        <v/>
      </c>
      <c r="T141" s="8" t="str">
        <f>IFERROR(INDEX(样本到样信息汇总统计!T$2:T$500,MATCH(140,样本到样信息汇总统计!$AA$2:$AA$500,0)),"")</f>
        <v/>
      </c>
      <c r="U141" s="8" t="str">
        <f>IFERROR(INDEX(样本到样信息汇总统计!U$2:U$500,MATCH(140,样本到样信息汇总统计!$AA$2:$AA$500,0)),"")</f>
        <v/>
      </c>
      <c r="V141" s="8" t="str">
        <f>IFERROR(INDEX(样本到样信息汇总统计!V$2:V$500,MATCH(140,样本到样信息汇总统计!$AA$2:$AA$500,0)),"")</f>
        <v/>
      </c>
      <c r="W141" s="8" t="str">
        <f>IFERROR(INDEX(样本到样信息汇总统计!W$2:W$500,MATCH(140,样本到样信息汇总统计!$AA$2:$AA$500,0)),"")</f>
        <v/>
      </c>
    </row>
    <row r="142" ht="14.5" spans="1:23">
      <c r="A142" s="4" t="str">
        <f>IFERROR(INDEX(样本到样信息汇总统计!A$2:A$500,MATCH(141,样本到样信息汇总统计!$AA$2:$AA$500,0)),"")</f>
        <v/>
      </c>
      <c r="B142" s="4" t="str">
        <f>IFERROR(INDEX(样本到样信息汇总统计!B$2:B$500,MATCH(141,样本到样信息汇总统计!$AA$2:$AA$500,0)),"")</f>
        <v/>
      </c>
      <c r="C142" s="4" t="str">
        <f>IFERROR(INDEX(样本到样信息汇总统计!C$2:C$500,MATCH(141,样本到样信息汇总统计!$AA$2:$AA$500,0)),"")</f>
        <v/>
      </c>
      <c r="D142" s="4" t="str">
        <f>IFERROR(INDEX(样本到样信息汇总统计!D$2:D$500,MATCH(141,样本到样信息汇总统计!$AA$2:$AA$500,0)),"")</f>
        <v/>
      </c>
      <c r="E142" s="4" t="str">
        <f>IFERROR(INDEX(样本到样信息汇总统计!E$2:E$500,MATCH(141,样本到样信息汇总统计!$AA$2:$AA$500,0)),"")</f>
        <v/>
      </c>
      <c r="F142" s="4" t="str">
        <f>IFERROR(INDEX(样本到样信息汇总统计!F$2:F$500,MATCH(141,样本到样信息汇总统计!$AA$2:$AA$500,0)),"")</f>
        <v/>
      </c>
      <c r="G142" s="4" t="str">
        <f>IFERROR(INDEX(样本到样信息汇总统计!G$2:G$500,MATCH(141,样本到样信息汇总统计!$AA$2:$AA$500,0)),"")</f>
        <v/>
      </c>
      <c r="H142" s="4" t="str">
        <f>IFERROR(INDEX(样本到样信息汇总统计!H$2:H$500,MATCH(141,样本到样信息汇总统计!$AA$2:$AA$500,0)),"")</f>
        <v/>
      </c>
      <c r="I142" s="4" t="str">
        <f>IFERROR(INDEX(样本到样信息汇总统计!I$2:I$500,MATCH(141,样本到样信息汇总统计!$AA$2:$AA$500,0)),"")</f>
        <v/>
      </c>
      <c r="J142" s="4" t="str">
        <f>IFERROR(INDEX(样本到样信息汇总统计!J$2:J$500,MATCH(141,样本到样信息汇总统计!$AA$2:$AA$500,0)),"")</f>
        <v/>
      </c>
      <c r="K142" s="4" t="str">
        <f>IFERROR(INDEX(样本到样信息汇总统计!K$2:K$500,MATCH(141,样本到样信息汇总统计!$AA$2:$AA$500,0)),"")</f>
        <v/>
      </c>
      <c r="L142" s="4" t="str">
        <f>IFERROR(INDEX(样本到样信息汇总统计!L$2:L$500,MATCH(141,样本到样信息汇总统计!$AA$2:$AA$500,0)),"")</f>
        <v/>
      </c>
      <c r="M142" s="4" t="str">
        <f>IFERROR(INDEX(样本到样信息汇总统计!M$2:M$500,MATCH(141,样本到样信息汇总统计!$AA$2:$AA$500,0)),"")</f>
        <v/>
      </c>
      <c r="N142" s="4" t="str">
        <f>IFERROR(INDEX(样本到样信息汇总统计!N$2:N$500,MATCH(141,样本到样信息汇总统计!$AA$2:$AA$500,0)),"")</f>
        <v/>
      </c>
      <c r="O142" s="4" t="str">
        <f>IFERROR(INDEX(样本到样信息汇总统计!O$2:O$500,MATCH(141,样本到样信息汇总统计!$AA$2:$AA$500,0)),"")</f>
        <v/>
      </c>
      <c r="P142" s="4" t="str">
        <f>IFERROR(INDEX(样本到样信息汇总统计!P$2:P$500,MATCH(141,样本到样信息汇总统计!$AA$2:$AA$500,0)),"")</f>
        <v/>
      </c>
      <c r="Q142" s="4" t="str">
        <f>IFERROR(INDEX(样本到样信息汇总统计!Q$2:Q$500,MATCH(141,样本到样信息汇总统计!$AA$2:$AA$500,0)),"")</f>
        <v/>
      </c>
      <c r="R142" s="4" t="str">
        <f>IFERROR(INDEX(样本到样信息汇总统计!R$2:R$500,MATCH(141,样本到样信息汇总统计!$AA$2:$AA$500,0)),"")</f>
        <v/>
      </c>
      <c r="S142" s="4" t="str">
        <f>IFERROR(INDEX(样本到样信息汇总统计!S$2:S$500,MATCH(141,样本到样信息汇总统计!$AA$2:$AA$500,0)),"")</f>
        <v/>
      </c>
      <c r="T142" s="4" t="str">
        <f>IFERROR(INDEX(样本到样信息汇总统计!T$2:T$500,MATCH(141,样本到样信息汇总统计!$AA$2:$AA$500,0)),"")</f>
        <v/>
      </c>
      <c r="U142" s="4" t="str">
        <f>IFERROR(INDEX(样本到样信息汇总统计!U$2:U$500,MATCH(141,样本到样信息汇总统计!$AA$2:$AA$500,0)),"")</f>
        <v/>
      </c>
      <c r="V142" s="4" t="str">
        <f>IFERROR(INDEX(样本到样信息汇总统计!V$2:V$500,MATCH(141,样本到样信息汇总统计!$AA$2:$AA$500,0)),"")</f>
        <v/>
      </c>
      <c r="W142" s="4" t="str">
        <f>IFERROR(INDEX(样本到样信息汇总统计!W$2:W$500,MATCH(141,样本到样信息汇总统计!$AA$2:$AA$500,0)),"")</f>
        <v/>
      </c>
    </row>
    <row r="143" ht="14.5" spans="1:23">
      <c r="A143" s="8" t="str">
        <f>IFERROR(INDEX(样本到样信息汇总统计!A$2:A$500,MATCH(142,样本到样信息汇总统计!$AA$2:$AA$500,0)),"")</f>
        <v/>
      </c>
      <c r="B143" s="8" t="str">
        <f>IFERROR(INDEX(样本到样信息汇总统计!B$2:B$500,MATCH(142,样本到样信息汇总统计!$AA$2:$AA$500,0)),"")</f>
        <v/>
      </c>
      <c r="C143" s="8" t="str">
        <f>IFERROR(INDEX(样本到样信息汇总统计!C$2:C$500,MATCH(142,样本到样信息汇总统计!$AA$2:$AA$500,0)),"")</f>
        <v/>
      </c>
      <c r="D143" s="8" t="str">
        <f>IFERROR(INDEX(样本到样信息汇总统计!D$2:D$500,MATCH(142,样本到样信息汇总统计!$AA$2:$AA$500,0)),"")</f>
        <v/>
      </c>
      <c r="E143" s="8" t="str">
        <f>IFERROR(INDEX(样本到样信息汇总统计!E$2:E$500,MATCH(142,样本到样信息汇总统计!$AA$2:$AA$500,0)),"")</f>
        <v/>
      </c>
      <c r="F143" s="8" t="str">
        <f>IFERROR(INDEX(样本到样信息汇总统计!F$2:F$500,MATCH(142,样本到样信息汇总统计!$AA$2:$AA$500,0)),"")</f>
        <v/>
      </c>
      <c r="G143" s="8" t="str">
        <f>IFERROR(INDEX(样本到样信息汇总统计!G$2:G$500,MATCH(142,样本到样信息汇总统计!$AA$2:$AA$500,0)),"")</f>
        <v/>
      </c>
      <c r="H143" s="8" t="str">
        <f>IFERROR(INDEX(样本到样信息汇总统计!H$2:H$500,MATCH(142,样本到样信息汇总统计!$AA$2:$AA$500,0)),"")</f>
        <v/>
      </c>
      <c r="I143" s="8" t="str">
        <f>IFERROR(INDEX(样本到样信息汇总统计!I$2:I$500,MATCH(142,样本到样信息汇总统计!$AA$2:$AA$500,0)),"")</f>
        <v/>
      </c>
      <c r="J143" s="8" t="str">
        <f>IFERROR(INDEX(样本到样信息汇总统计!J$2:J$500,MATCH(142,样本到样信息汇总统计!$AA$2:$AA$500,0)),"")</f>
        <v/>
      </c>
      <c r="K143" s="8" t="str">
        <f>IFERROR(INDEX(样本到样信息汇总统计!K$2:K$500,MATCH(142,样本到样信息汇总统计!$AA$2:$AA$500,0)),"")</f>
        <v/>
      </c>
      <c r="L143" s="8" t="str">
        <f>IFERROR(INDEX(样本到样信息汇总统计!L$2:L$500,MATCH(142,样本到样信息汇总统计!$AA$2:$AA$500,0)),"")</f>
        <v/>
      </c>
      <c r="M143" s="8" t="str">
        <f>IFERROR(INDEX(样本到样信息汇总统计!M$2:M$500,MATCH(142,样本到样信息汇总统计!$AA$2:$AA$500,0)),"")</f>
        <v/>
      </c>
      <c r="N143" s="8" t="str">
        <f>IFERROR(INDEX(样本到样信息汇总统计!N$2:N$500,MATCH(142,样本到样信息汇总统计!$AA$2:$AA$500,0)),"")</f>
        <v/>
      </c>
      <c r="O143" s="8" t="str">
        <f>IFERROR(INDEX(样本到样信息汇总统计!O$2:O$500,MATCH(142,样本到样信息汇总统计!$AA$2:$AA$500,0)),"")</f>
        <v/>
      </c>
      <c r="P143" s="8" t="str">
        <f>IFERROR(INDEX(样本到样信息汇总统计!P$2:P$500,MATCH(142,样本到样信息汇总统计!$AA$2:$AA$500,0)),"")</f>
        <v/>
      </c>
      <c r="Q143" s="8" t="str">
        <f>IFERROR(INDEX(样本到样信息汇总统计!Q$2:Q$500,MATCH(142,样本到样信息汇总统计!$AA$2:$AA$500,0)),"")</f>
        <v/>
      </c>
      <c r="R143" s="8" t="str">
        <f>IFERROR(INDEX(样本到样信息汇总统计!R$2:R$500,MATCH(142,样本到样信息汇总统计!$AA$2:$AA$500,0)),"")</f>
        <v/>
      </c>
      <c r="S143" s="8" t="str">
        <f>IFERROR(INDEX(样本到样信息汇总统计!S$2:S$500,MATCH(142,样本到样信息汇总统计!$AA$2:$AA$500,0)),"")</f>
        <v/>
      </c>
      <c r="T143" s="8" t="str">
        <f>IFERROR(INDEX(样本到样信息汇总统计!T$2:T$500,MATCH(142,样本到样信息汇总统计!$AA$2:$AA$500,0)),"")</f>
        <v/>
      </c>
      <c r="U143" s="8" t="str">
        <f>IFERROR(INDEX(样本到样信息汇总统计!U$2:U$500,MATCH(142,样本到样信息汇总统计!$AA$2:$AA$500,0)),"")</f>
        <v/>
      </c>
      <c r="V143" s="8" t="str">
        <f>IFERROR(INDEX(样本到样信息汇总统计!V$2:V$500,MATCH(142,样本到样信息汇总统计!$AA$2:$AA$500,0)),"")</f>
        <v/>
      </c>
      <c r="W143" s="8" t="str">
        <f>IFERROR(INDEX(样本到样信息汇总统计!W$2:W$500,MATCH(142,样本到样信息汇总统计!$AA$2:$AA$500,0)),"")</f>
        <v/>
      </c>
    </row>
    <row r="144" ht="14.5" spans="1:23">
      <c r="A144" s="4" t="str">
        <f>IFERROR(INDEX(样本到样信息汇总统计!A$2:A$500,MATCH(143,样本到样信息汇总统计!$AA$2:$AA$500,0)),"")</f>
        <v/>
      </c>
      <c r="B144" s="4" t="str">
        <f>IFERROR(INDEX(样本到样信息汇总统计!B$2:B$500,MATCH(143,样本到样信息汇总统计!$AA$2:$AA$500,0)),"")</f>
        <v/>
      </c>
      <c r="C144" s="4" t="str">
        <f>IFERROR(INDEX(样本到样信息汇总统计!C$2:C$500,MATCH(143,样本到样信息汇总统计!$AA$2:$AA$500,0)),"")</f>
        <v/>
      </c>
      <c r="D144" s="4" t="str">
        <f>IFERROR(INDEX(样本到样信息汇总统计!D$2:D$500,MATCH(143,样本到样信息汇总统计!$AA$2:$AA$500,0)),"")</f>
        <v/>
      </c>
      <c r="E144" s="4" t="str">
        <f>IFERROR(INDEX(样本到样信息汇总统计!E$2:E$500,MATCH(143,样本到样信息汇总统计!$AA$2:$AA$500,0)),"")</f>
        <v/>
      </c>
      <c r="F144" s="4" t="str">
        <f>IFERROR(INDEX(样本到样信息汇总统计!F$2:F$500,MATCH(143,样本到样信息汇总统计!$AA$2:$AA$500,0)),"")</f>
        <v/>
      </c>
      <c r="G144" s="4" t="str">
        <f>IFERROR(INDEX(样本到样信息汇总统计!G$2:G$500,MATCH(143,样本到样信息汇总统计!$AA$2:$AA$500,0)),"")</f>
        <v/>
      </c>
      <c r="H144" s="4" t="str">
        <f>IFERROR(INDEX(样本到样信息汇总统计!H$2:H$500,MATCH(143,样本到样信息汇总统计!$AA$2:$AA$500,0)),"")</f>
        <v/>
      </c>
      <c r="I144" s="4" t="str">
        <f>IFERROR(INDEX(样本到样信息汇总统计!I$2:I$500,MATCH(143,样本到样信息汇总统计!$AA$2:$AA$500,0)),"")</f>
        <v/>
      </c>
      <c r="J144" s="4" t="str">
        <f>IFERROR(INDEX(样本到样信息汇总统计!J$2:J$500,MATCH(143,样本到样信息汇总统计!$AA$2:$AA$500,0)),"")</f>
        <v/>
      </c>
      <c r="K144" s="4" t="str">
        <f>IFERROR(INDEX(样本到样信息汇总统计!K$2:K$500,MATCH(143,样本到样信息汇总统计!$AA$2:$AA$500,0)),"")</f>
        <v/>
      </c>
      <c r="L144" s="4" t="str">
        <f>IFERROR(INDEX(样本到样信息汇总统计!L$2:L$500,MATCH(143,样本到样信息汇总统计!$AA$2:$AA$500,0)),"")</f>
        <v/>
      </c>
      <c r="M144" s="4" t="str">
        <f>IFERROR(INDEX(样本到样信息汇总统计!M$2:M$500,MATCH(143,样本到样信息汇总统计!$AA$2:$AA$500,0)),"")</f>
        <v/>
      </c>
      <c r="N144" s="4" t="str">
        <f>IFERROR(INDEX(样本到样信息汇总统计!N$2:N$500,MATCH(143,样本到样信息汇总统计!$AA$2:$AA$500,0)),"")</f>
        <v/>
      </c>
      <c r="O144" s="4" t="str">
        <f>IFERROR(INDEX(样本到样信息汇总统计!O$2:O$500,MATCH(143,样本到样信息汇总统计!$AA$2:$AA$500,0)),"")</f>
        <v/>
      </c>
      <c r="P144" s="4" t="str">
        <f>IFERROR(INDEX(样本到样信息汇总统计!P$2:P$500,MATCH(143,样本到样信息汇总统计!$AA$2:$AA$500,0)),"")</f>
        <v/>
      </c>
      <c r="Q144" s="4" t="str">
        <f>IFERROR(INDEX(样本到样信息汇总统计!Q$2:Q$500,MATCH(143,样本到样信息汇总统计!$AA$2:$AA$500,0)),"")</f>
        <v/>
      </c>
      <c r="R144" s="4" t="str">
        <f>IFERROR(INDEX(样本到样信息汇总统计!R$2:R$500,MATCH(143,样本到样信息汇总统计!$AA$2:$AA$500,0)),"")</f>
        <v/>
      </c>
      <c r="S144" s="4" t="str">
        <f>IFERROR(INDEX(样本到样信息汇总统计!S$2:S$500,MATCH(143,样本到样信息汇总统计!$AA$2:$AA$500,0)),"")</f>
        <v/>
      </c>
      <c r="T144" s="4" t="str">
        <f>IFERROR(INDEX(样本到样信息汇总统计!T$2:T$500,MATCH(143,样本到样信息汇总统计!$AA$2:$AA$500,0)),"")</f>
        <v/>
      </c>
      <c r="U144" s="4" t="str">
        <f>IFERROR(INDEX(样本到样信息汇总统计!U$2:U$500,MATCH(143,样本到样信息汇总统计!$AA$2:$AA$500,0)),"")</f>
        <v/>
      </c>
      <c r="V144" s="4" t="str">
        <f>IFERROR(INDEX(样本到样信息汇总统计!V$2:V$500,MATCH(143,样本到样信息汇总统计!$AA$2:$AA$500,0)),"")</f>
        <v/>
      </c>
      <c r="W144" s="4" t="str">
        <f>IFERROR(INDEX(样本到样信息汇总统计!W$2:W$500,MATCH(143,样本到样信息汇总统计!$AA$2:$AA$500,0)),"")</f>
        <v/>
      </c>
    </row>
    <row r="145" ht="14.5" spans="1:23">
      <c r="A145" s="8" t="str">
        <f>IFERROR(INDEX(样本到样信息汇总统计!A$2:A$500,MATCH(144,样本到样信息汇总统计!$AA$2:$AA$500,0)),"")</f>
        <v/>
      </c>
      <c r="B145" s="8" t="str">
        <f>IFERROR(INDEX(样本到样信息汇总统计!B$2:B$500,MATCH(144,样本到样信息汇总统计!$AA$2:$AA$500,0)),"")</f>
        <v/>
      </c>
      <c r="C145" s="8" t="str">
        <f>IFERROR(INDEX(样本到样信息汇总统计!C$2:C$500,MATCH(144,样本到样信息汇总统计!$AA$2:$AA$500,0)),"")</f>
        <v/>
      </c>
      <c r="D145" s="8" t="str">
        <f>IFERROR(INDEX(样本到样信息汇总统计!D$2:D$500,MATCH(144,样本到样信息汇总统计!$AA$2:$AA$500,0)),"")</f>
        <v/>
      </c>
      <c r="E145" s="8" t="str">
        <f>IFERROR(INDEX(样本到样信息汇总统计!E$2:E$500,MATCH(144,样本到样信息汇总统计!$AA$2:$AA$500,0)),"")</f>
        <v/>
      </c>
      <c r="F145" s="8" t="str">
        <f>IFERROR(INDEX(样本到样信息汇总统计!F$2:F$500,MATCH(144,样本到样信息汇总统计!$AA$2:$AA$500,0)),"")</f>
        <v/>
      </c>
      <c r="G145" s="8" t="str">
        <f>IFERROR(INDEX(样本到样信息汇总统计!G$2:G$500,MATCH(144,样本到样信息汇总统计!$AA$2:$AA$500,0)),"")</f>
        <v/>
      </c>
      <c r="H145" s="8" t="str">
        <f>IFERROR(INDEX(样本到样信息汇总统计!H$2:H$500,MATCH(144,样本到样信息汇总统计!$AA$2:$AA$500,0)),"")</f>
        <v/>
      </c>
      <c r="I145" s="8" t="str">
        <f>IFERROR(INDEX(样本到样信息汇总统计!I$2:I$500,MATCH(144,样本到样信息汇总统计!$AA$2:$AA$500,0)),"")</f>
        <v/>
      </c>
      <c r="J145" s="8" t="str">
        <f>IFERROR(INDEX(样本到样信息汇总统计!J$2:J$500,MATCH(144,样本到样信息汇总统计!$AA$2:$AA$500,0)),"")</f>
        <v/>
      </c>
      <c r="K145" s="8" t="str">
        <f>IFERROR(INDEX(样本到样信息汇总统计!K$2:K$500,MATCH(144,样本到样信息汇总统计!$AA$2:$AA$500,0)),"")</f>
        <v/>
      </c>
      <c r="L145" s="8" t="str">
        <f>IFERROR(INDEX(样本到样信息汇总统计!L$2:L$500,MATCH(144,样本到样信息汇总统计!$AA$2:$AA$500,0)),"")</f>
        <v/>
      </c>
      <c r="M145" s="8" t="str">
        <f>IFERROR(INDEX(样本到样信息汇总统计!M$2:M$500,MATCH(144,样本到样信息汇总统计!$AA$2:$AA$500,0)),"")</f>
        <v/>
      </c>
      <c r="N145" s="8" t="str">
        <f>IFERROR(INDEX(样本到样信息汇总统计!N$2:N$500,MATCH(144,样本到样信息汇总统计!$AA$2:$AA$500,0)),"")</f>
        <v/>
      </c>
      <c r="O145" s="8" t="str">
        <f>IFERROR(INDEX(样本到样信息汇总统计!O$2:O$500,MATCH(144,样本到样信息汇总统计!$AA$2:$AA$500,0)),"")</f>
        <v/>
      </c>
      <c r="P145" s="8" t="str">
        <f>IFERROR(INDEX(样本到样信息汇总统计!P$2:P$500,MATCH(144,样本到样信息汇总统计!$AA$2:$AA$500,0)),"")</f>
        <v/>
      </c>
      <c r="Q145" s="8" t="str">
        <f>IFERROR(INDEX(样本到样信息汇总统计!Q$2:Q$500,MATCH(144,样本到样信息汇总统计!$AA$2:$AA$500,0)),"")</f>
        <v/>
      </c>
      <c r="R145" s="8" t="str">
        <f>IFERROR(INDEX(样本到样信息汇总统计!R$2:R$500,MATCH(144,样本到样信息汇总统计!$AA$2:$AA$500,0)),"")</f>
        <v/>
      </c>
      <c r="S145" s="8" t="str">
        <f>IFERROR(INDEX(样本到样信息汇总统计!S$2:S$500,MATCH(144,样本到样信息汇总统计!$AA$2:$AA$500,0)),"")</f>
        <v/>
      </c>
      <c r="T145" s="8" t="str">
        <f>IFERROR(INDEX(样本到样信息汇总统计!T$2:T$500,MATCH(144,样本到样信息汇总统计!$AA$2:$AA$500,0)),"")</f>
        <v/>
      </c>
      <c r="U145" s="8" t="str">
        <f>IFERROR(INDEX(样本到样信息汇总统计!U$2:U$500,MATCH(144,样本到样信息汇总统计!$AA$2:$AA$500,0)),"")</f>
        <v/>
      </c>
      <c r="V145" s="8" t="str">
        <f>IFERROR(INDEX(样本到样信息汇总统计!V$2:V$500,MATCH(144,样本到样信息汇总统计!$AA$2:$AA$500,0)),"")</f>
        <v/>
      </c>
      <c r="W145" s="8" t="str">
        <f>IFERROR(INDEX(样本到样信息汇总统计!W$2:W$500,MATCH(144,样本到样信息汇总统计!$AA$2:$AA$500,0)),"")</f>
        <v/>
      </c>
    </row>
    <row r="146" ht="14.5" spans="1:23">
      <c r="A146" s="4" t="str">
        <f>IFERROR(INDEX(样本到样信息汇总统计!A$2:A$500,MATCH(145,样本到样信息汇总统计!$AA$2:$AA$500,0)),"")</f>
        <v/>
      </c>
      <c r="B146" s="4" t="str">
        <f>IFERROR(INDEX(样本到样信息汇总统计!B$2:B$500,MATCH(145,样本到样信息汇总统计!$AA$2:$AA$500,0)),"")</f>
        <v/>
      </c>
      <c r="C146" s="4" t="str">
        <f>IFERROR(INDEX(样本到样信息汇总统计!C$2:C$500,MATCH(145,样本到样信息汇总统计!$AA$2:$AA$500,0)),"")</f>
        <v/>
      </c>
      <c r="D146" s="4" t="str">
        <f>IFERROR(INDEX(样本到样信息汇总统计!D$2:D$500,MATCH(145,样本到样信息汇总统计!$AA$2:$AA$500,0)),"")</f>
        <v/>
      </c>
      <c r="E146" s="4" t="str">
        <f>IFERROR(INDEX(样本到样信息汇总统计!E$2:E$500,MATCH(145,样本到样信息汇总统计!$AA$2:$AA$500,0)),"")</f>
        <v/>
      </c>
      <c r="F146" s="4" t="str">
        <f>IFERROR(INDEX(样本到样信息汇总统计!F$2:F$500,MATCH(145,样本到样信息汇总统计!$AA$2:$AA$500,0)),"")</f>
        <v/>
      </c>
      <c r="G146" s="4" t="str">
        <f>IFERROR(INDEX(样本到样信息汇总统计!G$2:G$500,MATCH(145,样本到样信息汇总统计!$AA$2:$AA$500,0)),"")</f>
        <v/>
      </c>
      <c r="H146" s="4" t="str">
        <f>IFERROR(INDEX(样本到样信息汇总统计!H$2:H$500,MATCH(145,样本到样信息汇总统计!$AA$2:$AA$500,0)),"")</f>
        <v/>
      </c>
      <c r="I146" s="4" t="str">
        <f>IFERROR(INDEX(样本到样信息汇总统计!I$2:I$500,MATCH(145,样本到样信息汇总统计!$AA$2:$AA$500,0)),"")</f>
        <v/>
      </c>
      <c r="J146" s="4" t="str">
        <f>IFERROR(INDEX(样本到样信息汇总统计!J$2:J$500,MATCH(145,样本到样信息汇总统计!$AA$2:$AA$500,0)),"")</f>
        <v/>
      </c>
      <c r="K146" s="4" t="str">
        <f>IFERROR(INDEX(样本到样信息汇总统计!K$2:K$500,MATCH(145,样本到样信息汇总统计!$AA$2:$AA$500,0)),"")</f>
        <v/>
      </c>
      <c r="L146" s="4" t="str">
        <f>IFERROR(INDEX(样本到样信息汇总统计!L$2:L$500,MATCH(145,样本到样信息汇总统计!$AA$2:$AA$500,0)),"")</f>
        <v/>
      </c>
      <c r="M146" s="4" t="str">
        <f>IFERROR(INDEX(样本到样信息汇总统计!M$2:M$500,MATCH(145,样本到样信息汇总统计!$AA$2:$AA$500,0)),"")</f>
        <v/>
      </c>
      <c r="N146" s="4" t="str">
        <f>IFERROR(INDEX(样本到样信息汇总统计!N$2:N$500,MATCH(145,样本到样信息汇总统计!$AA$2:$AA$500,0)),"")</f>
        <v/>
      </c>
      <c r="O146" s="4" t="str">
        <f>IFERROR(INDEX(样本到样信息汇总统计!O$2:O$500,MATCH(145,样本到样信息汇总统计!$AA$2:$AA$500,0)),"")</f>
        <v/>
      </c>
      <c r="P146" s="4" t="str">
        <f>IFERROR(INDEX(样本到样信息汇总统计!P$2:P$500,MATCH(145,样本到样信息汇总统计!$AA$2:$AA$500,0)),"")</f>
        <v/>
      </c>
      <c r="Q146" s="4" t="str">
        <f>IFERROR(INDEX(样本到样信息汇总统计!Q$2:Q$500,MATCH(145,样本到样信息汇总统计!$AA$2:$AA$500,0)),"")</f>
        <v/>
      </c>
      <c r="R146" s="4" t="str">
        <f>IFERROR(INDEX(样本到样信息汇总统计!R$2:R$500,MATCH(145,样本到样信息汇总统计!$AA$2:$AA$500,0)),"")</f>
        <v/>
      </c>
      <c r="S146" s="4" t="str">
        <f>IFERROR(INDEX(样本到样信息汇总统计!S$2:S$500,MATCH(145,样本到样信息汇总统计!$AA$2:$AA$500,0)),"")</f>
        <v/>
      </c>
      <c r="T146" s="4" t="str">
        <f>IFERROR(INDEX(样本到样信息汇总统计!T$2:T$500,MATCH(145,样本到样信息汇总统计!$AA$2:$AA$500,0)),"")</f>
        <v/>
      </c>
      <c r="U146" s="4" t="str">
        <f>IFERROR(INDEX(样本到样信息汇总统计!U$2:U$500,MATCH(145,样本到样信息汇总统计!$AA$2:$AA$500,0)),"")</f>
        <v/>
      </c>
      <c r="V146" s="4" t="str">
        <f>IFERROR(INDEX(样本到样信息汇总统计!V$2:V$500,MATCH(145,样本到样信息汇总统计!$AA$2:$AA$500,0)),"")</f>
        <v/>
      </c>
      <c r="W146" s="4" t="str">
        <f>IFERROR(INDEX(样本到样信息汇总统计!W$2:W$500,MATCH(145,样本到样信息汇总统计!$AA$2:$AA$500,0)),"")</f>
        <v/>
      </c>
    </row>
    <row r="147" ht="14.5" spans="1:23">
      <c r="A147" s="8" t="str">
        <f>IFERROR(INDEX(样本到样信息汇总统计!A$2:A$500,MATCH(146,样本到样信息汇总统计!$AA$2:$AA$500,0)),"")</f>
        <v/>
      </c>
      <c r="B147" s="8" t="str">
        <f>IFERROR(INDEX(样本到样信息汇总统计!B$2:B$500,MATCH(146,样本到样信息汇总统计!$AA$2:$AA$500,0)),"")</f>
        <v/>
      </c>
      <c r="C147" s="8" t="str">
        <f>IFERROR(INDEX(样本到样信息汇总统计!C$2:C$500,MATCH(146,样本到样信息汇总统计!$AA$2:$AA$500,0)),"")</f>
        <v/>
      </c>
      <c r="D147" s="8" t="str">
        <f>IFERROR(INDEX(样本到样信息汇总统计!D$2:D$500,MATCH(146,样本到样信息汇总统计!$AA$2:$AA$500,0)),"")</f>
        <v/>
      </c>
      <c r="E147" s="8" t="str">
        <f>IFERROR(INDEX(样本到样信息汇总统计!E$2:E$500,MATCH(146,样本到样信息汇总统计!$AA$2:$AA$500,0)),"")</f>
        <v/>
      </c>
      <c r="F147" s="8" t="str">
        <f>IFERROR(INDEX(样本到样信息汇总统计!F$2:F$500,MATCH(146,样本到样信息汇总统计!$AA$2:$AA$500,0)),"")</f>
        <v/>
      </c>
      <c r="G147" s="8" t="str">
        <f>IFERROR(INDEX(样本到样信息汇总统计!G$2:G$500,MATCH(146,样本到样信息汇总统计!$AA$2:$AA$500,0)),"")</f>
        <v/>
      </c>
      <c r="H147" s="8" t="str">
        <f>IFERROR(INDEX(样本到样信息汇总统计!H$2:H$500,MATCH(146,样本到样信息汇总统计!$AA$2:$AA$500,0)),"")</f>
        <v/>
      </c>
      <c r="I147" s="8" t="str">
        <f>IFERROR(INDEX(样本到样信息汇总统计!I$2:I$500,MATCH(146,样本到样信息汇总统计!$AA$2:$AA$500,0)),"")</f>
        <v/>
      </c>
      <c r="J147" s="8" t="str">
        <f>IFERROR(INDEX(样本到样信息汇总统计!J$2:J$500,MATCH(146,样本到样信息汇总统计!$AA$2:$AA$500,0)),"")</f>
        <v/>
      </c>
      <c r="K147" s="8" t="str">
        <f>IFERROR(INDEX(样本到样信息汇总统计!K$2:K$500,MATCH(146,样本到样信息汇总统计!$AA$2:$AA$500,0)),"")</f>
        <v/>
      </c>
      <c r="L147" s="8" t="str">
        <f>IFERROR(INDEX(样本到样信息汇总统计!L$2:L$500,MATCH(146,样本到样信息汇总统计!$AA$2:$AA$500,0)),"")</f>
        <v/>
      </c>
      <c r="M147" s="8" t="str">
        <f>IFERROR(INDEX(样本到样信息汇总统计!M$2:M$500,MATCH(146,样本到样信息汇总统计!$AA$2:$AA$500,0)),"")</f>
        <v/>
      </c>
      <c r="N147" s="8" t="str">
        <f>IFERROR(INDEX(样本到样信息汇总统计!N$2:N$500,MATCH(146,样本到样信息汇总统计!$AA$2:$AA$500,0)),"")</f>
        <v/>
      </c>
      <c r="O147" s="8" t="str">
        <f>IFERROR(INDEX(样本到样信息汇总统计!O$2:O$500,MATCH(146,样本到样信息汇总统计!$AA$2:$AA$500,0)),"")</f>
        <v/>
      </c>
      <c r="P147" s="8" t="str">
        <f>IFERROR(INDEX(样本到样信息汇总统计!P$2:P$500,MATCH(146,样本到样信息汇总统计!$AA$2:$AA$500,0)),"")</f>
        <v/>
      </c>
      <c r="Q147" s="8" t="str">
        <f>IFERROR(INDEX(样本到样信息汇总统计!Q$2:Q$500,MATCH(146,样本到样信息汇总统计!$AA$2:$AA$500,0)),"")</f>
        <v/>
      </c>
      <c r="R147" s="8" t="str">
        <f>IFERROR(INDEX(样本到样信息汇总统计!R$2:R$500,MATCH(146,样本到样信息汇总统计!$AA$2:$AA$500,0)),"")</f>
        <v/>
      </c>
      <c r="S147" s="8" t="str">
        <f>IFERROR(INDEX(样本到样信息汇总统计!S$2:S$500,MATCH(146,样本到样信息汇总统计!$AA$2:$AA$500,0)),"")</f>
        <v/>
      </c>
      <c r="T147" s="8" t="str">
        <f>IFERROR(INDEX(样本到样信息汇总统计!T$2:T$500,MATCH(146,样本到样信息汇总统计!$AA$2:$AA$500,0)),"")</f>
        <v/>
      </c>
      <c r="U147" s="8" t="str">
        <f>IFERROR(INDEX(样本到样信息汇总统计!U$2:U$500,MATCH(146,样本到样信息汇总统计!$AA$2:$AA$500,0)),"")</f>
        <v/>
      </c>
      <c r="V147" s="8" t="str">
        <f>IFERROR(INDEX(样本到样信息汇总统计!V$2:V$500,MATCH(146,样本到样信息汇总统计!$AA$2:$AA$500,0)),"")</f>
        <v/>
      </c>
      <c r="W147" s="8" t="str">
        <f>IFERROR(INDEX(样本到样信息汇总统计!W$2:W$500,MATCH(146,样本到样信息汇总统计!$AA$2:$AA$500,0)),"")</f>
        <v/>
      </c>
    </row>
    <row r="148" ht="14.5" spans="1:23">
      <c r="A148" s="4" t="str">
        <f>IFERROR(INDEX(样本到样信息汇总统计!A$2:A$500,MATCH(147,样本到样信息汇总统计!$AA$2:$AA$500,0)),"")</f>
        <v/>
      </c>
      <c r="B148" s="4" t="str">
        <f>IFERROR(INDEX(样本到样信息汇总统计!B$2:B$500,MATCH(147,样本到样信息汇总统计!$AA$2:$AA$500,0)),"")</f>
        <v/>
      </c>
      <c r="C148" s="4" t="str">
        <f>IFERROR(INDEX(样本到样信息汇总统计!C$2:C$500,MATCH(147,样本到样信息汇总统计!$AA$2:$AA$500,0)),"")</f>
        <v/>
      </c>
      <c r="D148" s="4" t="str">
        <f>IFERROR(INDEX(样本到样信息汇总统计!D$2:D$500,MATCH(147,样本到样信息汇总统计!$AA$2:$AA$500,0)),"")</f>
        <v/>
      </c>
      <c r="E148" s="4" t="str">
        <f>IFERROR(INDEX(样本到样信息汇总统计!E$2:E$500,MATCH(147,样本到样信息汇总统计!$AA$2:$AA$500,0)),"")</f>
        <v/>
      </c>
      <c r="F148" s="4" t="str">
        <f>IFERROR(INDEX(样本到样信息汇总统计!F$2:F$500,MATCH(147,样本到样信息汇总统计!$AA$2:$AA$500,0)),"")</f>
        <v/>
      </c>
      <c r="G148" s="4" t="str">
        <f>IFERROR(INDEX(样本到样信息汇总统计!G$2:G$500,MATCH(147,样本到样信息汇总统计!$AA$2:$AA$500,0)),"")</f>
        <v/>
      </c>
      <c r="H148" s="4" t="str">
        <f>IFERROR(INDEX(样本到样信息汇总统计!H$2:H$500,MATCH(147,样本到样信息汇总统计!$AA$2:$AA$500,0)),"")</f>
        <v/>
      </c>
      <c r="I148" s="4" t="str">
        <f>IFERROR(INDEX(样本到样信息汇总统计!I$2:I$500,MATCH(147,样本到样信息汇总统计!$AA$2:$AA$500,0)),"")</f>
        <v/>
      </c>
      <c r="J148" s="4" t="str">
        <f>IFERROR(INDEX(样本到样信息汇总统计!J$2:J$500,MATCH(147,样本到样信息汇总统计!$AA$2:$AA$500,0)),"")</f>
        <v/>
      </c>
      <c r="K148" s="4" t="str">
        <f>IFERROR(INDEX(样本到样信息汇总统计!K$2:K$500,MATCH(147,样本到样信息汇总统计!$AA$2:$AA$500,0)),"")</f>
        <v/>
      </c>
      <c r="L148" s="4" t="str">
        <f>IFERROR(INDEX(样本到样信息汇总统计!L$2:L$500,MATCH(147,样本到样信息汇总统计!$AA$2:$AA$500,0)),"")</f>
        <v/>
      </c>
      <c r="M148" s="4" t="str">
        <f>IFERROR(INDEX(样本到样信息汇总统计!M$2:M$500,MATCH(147,样本到样信息汇总统计!$AA$2:$AA$500,0)),"")</f>
        <v/>
      </c>
      <c r="N148" s="4" t="str">
        <f>IFERROR(INDEX(样本到样信息汇总统计!N$2:N$500,MATCH(147,样本到样信息汇总统计!$AA$2:$AA$500,0)),"")</f>
        <v/>
      </c>
      <c r="O148" s="4" t="str">
        <f>IFERROR(INDEX(样本到样信息汇总统计!O$2:O$500,MATCH(147,样本到样信息汇总统计!$AA$2:$AA$500,0)),"")</f>
        <v/>
      </c>
      <c r="P148" s="4" t="str">
        <f>IFERROR(INDEX(样本到样信息汇总统计!P$2:P$500,MATCH(147,样本到样信息汇总统计!$AA$2:$AA$500,0)),"")</f>
        <v/>
      </c>
      <c r="Q148" s="4" t="str">
        <f>IFERROR(INDEX(样本到样信息汇总统计!Q$2:Q$500,MATCH(147,样本到样信息汇总统计!$AA$2:$AA$500,0)),"")</f>
        <v/>
      </c>
      <c r="R148" s="4" t="str">
        <f>IFERROR(INDEX(样本到样信息汇总统计!R$2:R$500,MATCH(147,样本到样信息汇总统计!$AA$2:$AA$500,0)),"")</f>
        <v/>
      </c>
      <c r="S148" s="4" t="str">
        <f>IFERROR(INDEX(样本到样信息汇总统计!S$2:S$500,MATCH(147,样本到样信息汇总统计!$AA$2:$AA$500,0)),"")</f>
        <v/>
      </c>
      <c r="T148" s="4" t="str">
        <f>IFERROR(INDEX(样本到样信息汇总统计!T$2:T$500,MATCH(147,样本到样信息汇总统计!$AA$2:$AA$500,0)),"")</f>
        <v/>
      </c>
      <c r="U148" s="4" t="str">
        <f>IFERROR(INDEX(样本到样信息汇总统计!U$2:U$500,MATCH(147,样本到样信息汇总统计!$AA$2:$AA$500,0)),"")</f>
        <v/>
      </c>
      <c r="V148" s="4" t="str">
        <f>IFERROR(INDEX(样本到样信息汇总统计!V$2:V$500,MATCH(147,样本到样信息汇总统计!$AA$2:$AA$500,0)),"")</f>
        <v/>
      </c>
      <c r="W148" s="4" t="str">
        <f>IFERROR(INDEX(样本到样信息汇总统计!W$2:W$500,MATCH(147,样本到样信息汇总统计!$AA$2:$AA$500,0)),"")</f>
        <v/>
      </c>
    </row>
    <row r="149" ht="14.5" spans="1:23">
      <c r="A149" s="8" t="str">
        <f>IFERROR(INDEX(样本到样信息汇总统计!A$2:A$500,MATCH(148,样本到样信息汇总统计!$AA$2:$AA$500,0)),"")</f>
        <v/>
      </c>
      <c r="B149" s="8" t="str">
        <f>IFERROR(INDEX(样本到样信息汇总统计!B$2:B$500,MATCH(148,样本到样信息汇总统计!$AA$2:$AA$500,0)),"")</f>
        <v/>
      </c>
      <c r="C149" s="8" t="str">
        <f>IFERROR(INDEX(样本到样信息汇总统计!C$2:C$500,MATCH(148,样本到样信息汇总统计!$AA$2:$AA$500,0)),"")</f>
        <v/>
      </c>
      <c r="D149" s="8" t="str">
        <f>IFERROR(INDEX(样本到样信息汇总统计!D$2:D$500,MATCH(148,样本到样信息汇总统计!$AA$2:$AA$500,0)),"")</f>
        <v/>
      </c>
      <c r="E149" s="8" t="str">
        <f>IFERROR(INDEX(样本到样信息汇总统计!E$2:E$500,MATCH(148,样本到样信息汇总统计!$AA$2:$AA$500,0)),"")</f>
        <v/>
      </c>
      <c r="F149" s="8" t="str">
        <f>IFERROR(INDEX(样本到样信息汇总统计!F$2:F$500,MATCH(148,样本到样信息汇总统计!$AA$2:$AA$500,0)),"")</f>
        <v/>
      </c>
      <c r="G149" s="8" t="str">
        <f>IFERROR(INDEX(样本到样信息汇总统计!G$2:G$500,MATCH(148,样本到样信息汇总统计!$AA$2:$AA$500,0)),"")</f>
        <v/>
      </c>
      <c r="H149" s="8" t="str">
        <f>IFERROR(INDEX(样本到样信息汇总统计!H$2:H$500,MATCH(148,样本到样信息汇总统计!$AA$2:$AA$500,0)),"")</f>
        <v/>
      </c>
      <c r="I149" s="8" t="str">
        <f>IFERROR(INDEX(样本到样信息汇总统计!I$2:I$500,MATCH(148,样本到样信息汇总统计!$AA$2:$AA$500,0)),"")</f>
        <v/>
      </c>
      <c r="J149" s="8" t="str">
        <f>IFERROR(INDEX(样本到样信息汇总统计!J$2:J$500,MATCH(148,样本到样信息汇总统计!$AA$2:$AA$500,0)),"")</f>
        <v/>
      </c>
      <c r="K149" s="8" t="str">
        <f>IFERROR(INDEX(样本到样信息汇总统计!K$2:K$500,MATCH(148,样本到样信息汇总统计!$AA$2:$AA$500,0)),"")</f>
        <v/>
      </c>
      <c r="L149" s="8" t="str">
        <f>IFERROR(INDEX(样本到样信息汇总统计!L$2:L$500,MATCH(148,样本到样信息汇总统计!$AA$2:$AA$500,0)),"")</f>
        <v/>
      </c>
      <c r="M149" s="8" t="str">
        <f>IFERROR(INDEX(样本到样信息汇总统计!M$2:M$500,MATCH(148,样本到样信息汇总统计!$AA$2:$AA$500,0)),"")</f>
        <v/>
      </c>
      <c r="N149" s="8" t="str">
        <f>IFERROR(INDEX(样本到样信息汇总统计!N$2:N$500,MATCH(148,样本到样信息汇总统计!$AA$2:$AA$500,0)),"")</f>
        <v/>
      </c>
      <c r="O149" s="8" t="str">
        <f>IFERROR(INDEX(样本到样信息汇总统计!O$2:O$500,MATCH(148,样本到样信息汇总统计!$AA$2:$AA$500,0)),"")</f>
        <v/>
      </c>
      <c r="P149" s="8" t="str">
        <f>IFERROR(INDEX(样本到样信息汇总统计!P$2:P$500,MATCH(148,样本到样信息汇总统计!$AA$2:$AA$500,0)),"")</f>
        <v/>
      </c>
      <c r="Q149" s="8" t="str">
        <f>IFERROR(INDEX(样本到样信息汇总统计!Q$2:Q$500,MATCH(148,样本到样信息汇总统计!$AA$2:$AA$500,0)),"")</f>
        <v/>
      </c>
      <c r="R149" s="8" t="str">
        <f>IFERROR(INDEX(样本到样信息汇总统计!R$2:R$500,MATCH(148,样本到样信息汇总统计!$AA$2:$AA$500,0)),"")</f>
        <v/>
      </c>
      <c r="S149" s="8" t="str">
        <f>IFERROR(INDEX(样本到样信息汇总统计!S$2:S$500,MATCH(148,样本到样信息汇总统计!$AA$2:$AA$500,0)),"")</f>
        <v/>
      </c>
      <c r="T149" s="8" t="str">
        <f>IFERROR(INDEX(样本到样信息汇总统计!T$2:T$500,MATCH(148,样本到样信息汇总统计!$AA$2:$AA$500,0)),"")</f>
        <v/>
      </c>
      <c r="U149" s="8" t="str">
        <f>IFERROR(INDEX(样本到样信息汇总统计!U$2:U$500,MATCH(148,样本到样信息汇总统计!$AA$2:$AA$500,0)),"")</f>
        <v/>
      </c>
      <c r="V149" s="8" t="str">
        <f>IFERROR(INDEX(样本到样信息汇总统计!V$2:V$500,MATCH(148,样本到样信息汇总统计!$AA$2:$AA$500,0)),"")</f>
        <v/>
      </c>
      <c r="W149" s="8" t="str">
        <f>IFERROR(INDEX(样本到样信息汇总统计!W$2:W$500,MATCH(148,样本到样信息汇总统计!$AA$2:$AA$500,0)),"")</f>
        <v/>
      </c>
    </row>
    <row r="150" ht="14.5" spans="1:23">
      <c r="A150" s="4" t="str">
        <f>IFERROR(INDEX(样本到样信息汇总统计!A$2:A$500,MATCH(149,样本到样信息汇总统计!$AA$2:$AA$500,0)),"")</f>
        <v/>
      </c>
      <c r="B150" s="4" t="str">
        <f>IFERROR(INDEX(样本到样信息汇总统计!B$2:B$500,MATCH(149,样本到样信息汇总统计!$AA$2:$AA$500,0)),"")</f>
        <v/>
      </c>
      <c r="C150" s="4" t="str">
        <f>IFERROR(INDEX(样本到样信息汇总统计!C$2:C$500,MATCH(149,样本到样信息汇总统计!$AA$2:$AA$500,0)),"")</f>
        <v/>
      </c>
      <c r="D150" s="4" t="str">
        <f>IFERROR(INDEX(样本到样信息汇总统计!D$2:D$500,MATCH(149,样本到样信息汇总统计!$AA$2:$AA$500,0)),"")</f>
        <v/>
      </c>
      <c r="E150" s="4" t="str">
        <f>IFERROR(INDEX(样本到样信息汇总统计!E$2:E$500,MATCH(149,样本到样信息汇总统计!$AA$2:$AA$500,0)),"")</f>
        <v/>
      </c>
      <c r="F150" s="4" t="str">
        <f>IFERROR(INDEX(样本到样信息汇总统计!F$2:F$500,MATCH(149,样本到样信息汇总统计!$AA$2:$AA$500,0)),"")</f>
        <v/>
      </c>
      <c r="G150" s="4" t="str">
        <f>IFERROR(INDEX(样本到样信息汇总统计!G$2:G$500,MATCH(149,样本到样信息汇总统计!$AA$2:$AA$500,0)),"")</f>
        <v/>
      </c>
      <c r="H150" s="4" t="str">
        <f>IFERROR(INDEX(样本到样信息汇总统计!H$2:H$500,MATCH(149,样本到样信息汇总统计!$AA$2:$AA$500,0)),"")</f>
        <v/>
      </c>
      <c r="I150" s="4" t="str">
        <f>IFERROR(INDEX(样本到样信息汇总统计!I$2:I$500,MATCH(149,样本到样信息汇总统计!$AA$2:$AA$500,0)),"")</f>
        <v/>
      </c>
      <c r="J150" s="4" t="str">
        <f>IFERROR(INDEX(样本到样信息汇总统计!J$2:J$500,MATCH(149,样本到样信息汇总统计!$AA$2:$AA$500,0)),"")</f>
        <v/>
      </c>
      <c r="K150" s="4" t="str">
        <f>IFERROR(INDEX(样本到样信息汇总统计!K$2:K$500,MATCH(149,样本到样信息汇总统计!$AA$2:$AA$500,0)),"")</f>
        <v/>
      </c>
      <c r="L150" s="4" t="str">
        <f>IFERROR(INDEX(样本到样信息汇总统计!L$2:L$500,MATCH(149,样本到样信息汇总统计!$AA$2:$AA$500,0)),"")</f>
        <v/>
      </c>
      <c r="M150" s="4" t="str">
        <f>IFERROR(INDEX(样本到样信息汇总统计!M$2:M$500,MATCH(149,样本到样信息汇总统计!$AA$2:$AA$500,0)),"")</f>
        <v/>
      </c>
      <c r="N150" s="4" t="str">
        <f>IFERROR(INDEX(样本到样信息汇总统计!N$2:N$500,MATCH(149,样本到样信息汇总统计!$AA$2:$AA$500,0)),"")</f>
        <v/>
      </c>
      <c r="O150" s="4" t="str">
        <f>IFERROR(INDEX(样本到样信息汇总统计!O$2:O$500,MATCH(149,样本到样信息汇总统计!$AA$2:$AA$500,0)),"")</f>
        <v/>
      </c>
      <c r="P150" s="4" t="str">
        <f>IFERROR(INDEX(样本到样信息汇总统计!P$2:P$500,MATCH(149,样本到样信息汇总统计!$AA$2:$AA$500,0)),"")</f>
        <v/>
      </c>
      <c r="Q150" s="4" t="str">
        <f>IFERROR(INDEX(样本到样信息汇总统计!Q$2:Q$500,MATCH(149,样本到样信息汇总统计!$AA$2:$AA$500,0)),"")</f>
        <v/>
      </c>
      <c r="R150" s="4" t="str">
        <f>IFERROR(INDEX(样本到样信息汇总统计!R$2:R$500,MATCH(149,样本到样信息汇总统计!$AA$2:$AA$500,0)),"")</f>
        <v/>
      </c>
      <c r="S150" s="4" t="str">
        <f>IFERROR(INDEX(样本到样信息汇总统计!S$2:S$500,MATCH(149,样本到样信息汇总统计!$AA$2:$AA$500,0)),"")</f>
        <v/>
      </c>
      <c r="T150" s="4" t="str">
        <f>IFERROR(INDEX(样本到样信息汇总统计!T$2:T$500,MATCH(149,样本到样信息汇总统计!$AA$2:$AA$500,0)),"")</f>
        <v/>
      </c>
      <c r="U150" s="4" t="str">
        <f>IFERROR(INDEX(样本到样信息汇总统计!U$2:U$500,MATCH(149,样本到样信息汇总统计!$AA$2:$AA$500,0)),"")</f>
        <v/>
      </c>
      <c r="V150" s="4" t="str">
        <f>IFERROR(INDEX(样本到样信息汇总统计!V$2:V$500,MATCH(149,样本到样信息汇总统计!$AA$2:$AA$500,0)),"")</f>
        <v/>
      </c>
      <c r="W150" s="4" t="str">
        <f>IFERROR(INDEX(样本到样信息汇总统计!W$2:W$500,MATCH(149,样本到样信息汇总统计!$AA$2:$AA$500,0)),"")</f>
        <v/>
      </c>
    </row>
    <row r="151" ht="14.5" spans="1:23">
      <c r="A151" s="8" t="str">
        <f>IFERROR(INDEX(样本到样信息汇总统计!A$2:A$500,MATCH(150,样本到样信息汇总统计!$AA$2:$AA$500,0)),"")</f>
        <v/>
      </c>
      <c r="B151" s="8" t="str">
        <f>IFERROR(INDEX(样本到样信息汇总统计!B$2:B$500,MATCH(150,样本到样信息汇总统计!$AA$2:$AA$500,0)),"")</f>
        <v/>
      </c>
      <c r="C151" s="8" t="str">
        <f>IFERROR(INDEX(样本到样信息汇总统计!C$2:C$500,MATCH(150,样本到样信息汇总统计!$AA$2:$AA$500,0)),"")</f>
        <v/>
      </c>
      <c r="D151" s="8" t="str">
        <f>IFERROR(INDEX(样本到样信息汇总统计!D$2:D$500,MATCH(150,样本到样信息汇总统计!$AA$2:$AA$500,0)),"")</f>
        <v/>
      </c>
      <c r="E151" s="8" t="str">
        <f>IFERROR(INDEX(样本到样信息汇总统计!E$2:E$500,MATCH(150,样本到样信息汇总统计!$AA$2:$AA$500,0)),"")</f>
        <v/>
      </c>
      <c r="F151" s="8" t="str">
        <f>IFERROR(INDEX(样本到样信息汇总统计!F$2:F$500,MATCH(150,样本到样信息汇总统计!$AA$2:$AA$500,0)),"")</f>
        <v/>
      </c>
      <c r="G151" s="8" t="str">
        <f>IFERROR(INDEX(样本到样信息汇总统计!G$2:G$500,MATCH(150,样本到样信息汇总统计!$AA$2:$AA$500,0)),"")</f>
        <v/>
      </c>
      <c r="H151" s="8" t="str">
        <f>IFERROR(INDEX(样本到样信息汇总统计!H$2:H$500,MATCH(150,样本到样信息汇总统计!$AA$2:$AA$500,0)),"")</f>
        <v/>
      </c>
      <c r="I151" s="8" t="str">
        <f>IFERROR(INDEX(样本到样信息汇总统计!I$2:I$500,MATCH(150,样本到样信息汇总统计!$AA$2:$AA$500,0)),"")</f>
        <v/>
      </c>
      <c r="J151" s="8" t="str">
        <f>IFERROR(INDEX(样本到样信息汇总统计!J$2:J$500,MATCH(150,样本到样信息汇总统计!$AA$2:$AA$500,0)),"")</f>
        <v/>
      </c>
      <c r="K151" s="8" t="str">
        <f>IFERROR(INDEX(样本到样信息汇总统计!K$2:K$500,MATCH(150,样本到样信息汇总统计!$AA$2:$AA$500,0)),"")</f>
        <v/>
      </c>
      <c r="L151" s="8" t="str">
        <f>IFERROR(INDEX(样本到样信息汇总统计!L$2:L$500,MATCH(150,样本到样信息汇总统计!$AA$2:$AA$500,0)),"")</f>
        <v/>
      </c>
      <c r="M151" s="8" t="str">
        <f>IFERROR(INDEX(样本到样信息汇总统计!M$2:M$500,MATCH(150,样本到样信息汇总统计!$AA$2:$AA$500,0)),"")</f>
        <v/>
      </c>
      <c r="N151" s="8" t="str">
        <f>IFERROR(INDEX(样本到样信息汇总统计!N$2:N$500,MATCH(150,样本到样信息汇总统计!$AA$2:$AA$500,0)),"")</f>
        <v/>
      </c>
      <c r="O151" s="8" t="str">
        <f>IFERROR(INDEX(样本到样信息汇总统计!O$2:O$500,MATCH(150,样本到样信息汇总统计!$AA$2:$AA$500,0)),"")</f>
        <v/>
      </c>
      <c r="P151" s="8" t="str">
        <f>IFERROR(INDEX(样本到样信息汇总统计!P$2:P$500,MATCH(150,样本到样信息汇总统计!$AA$2:$AA$500,0)),"")</f>
        <v/>
      </c>
      <c r="Q151" s="8" t="str">
        <f>IFERROR(INDEX(样本到样信息汇总统计!Q$2:Q$500,MATCH(150,样本到样信息汇总统计!$AA$2:$AA$500,0)),"")</f>
        <v/>
      </c>
      <c r="R151" s="8" t="str">
        <f>IFERROR(INDEX(样本到样信息汇总统计!R$2:R$500,MATCH(150,样本到样信息汇总统计!$AA$2:$AA$500,0)),"")</f>
        <v/>
      </c>
      <c r="S151" s="8" t="str">
        <f>IFERROR(INDEX(样本到样信息汇总统计!S$2:S$500,MATCH(150,样本到样信息汇总统计!$AA$2:$AA$500,0)),"")</f>
        <v/>
      </c>
      <c r="T151" s="8" t="str">
        <f>IFERROR(INDEX(样本到样信息汇总统计!T$2:T$500,MATCH(150,样本到样信息汇总统计!$AA$2:$AA$500,0)),"")</f>
        <v/>
      </c>
      <c r="U151" s="8" t="str">
        <f>IFERROR(INDEX(样本到样信息汇总统计!U$2:U$500,MATCH(150,样本到样信息汇总统计!$AA$2:$AA$500,0)),"")</f>
        <v/>
      </c>
      <c r="V151" s="8" t="str">
        <f>IFERROR(INDEX(样本到样信息汇总统计!V$2:V$500,MATCH(150,样本到样信息汇总统计!$AA$2:$AA$500,0)),"")</f>
        <v/>
      </c>
      <c r="W151" s="8" t="str">
        <f>IFERROR(INDEX(样本到样信息汇总统计!W$2:W$500,MATCH(150,样本到样信息汇总统计!$AA$2:$AA$500,0)),"")</f>
        <v/>
      </c>
    </row>
    <row r="152" ht="14.5" spans="1:23">
      <c r="A152" s="4" t="str">
        <f>IFERROR(INDEX(样本到样信息汇总统计!A$2:A$500,MATCH(151,样本到样信息汇总统计!$AA$2:$AA$500,0)),"")</f>
        <v/>
      </c>
      <c r="B152" s="4" t="str">
        <f>IFERROR(INDEX(样本到样信息汇总统计!B$2:B$500,MATCH(151,样本到样信息汇总统计!$AA$2:$AA$500,0)),"")</f>
        <v/>
      </c>
      <c r="C152" s="4" t="str">
        <f>IFERROR(INDEX(样本到样信息汇总统计!C$2:C$500,MATCH(151,样本到样信息汇总统计!$AA$2:$AA$500,0)),"")</f>
        <v/>
      </c>
      <c r="D152" s="4" t="str">
        <f>IFERROR(INDEX(样本到样信息汇总统计!D$2:D$500,MATCH(151,样本到样信息汇总统计!$AA$2:$AA$500,0)),"")</f>
        <v/>
      </c>
      <c r="E152" s="4" t="str">
        <f>IFERROR(INDEX(样本到样信息汇总统计!E$2:E$500,MATCH(151,样本到样信息汇总统计!$AA$2:$AA$500,0)),"")</f>
        <v/>
      </c>
      <c r="F152" s="4" t="str">
        <f>IFERROR(INDEX(样本到样信息汇总统计!F$2:F$500,MATCH(151,样本到样信息汇总统计!$AA$2:$AA$500,0)),"")</f>
        <v/>
      </c>
      <c r="G152" s="4" t="str">
        <f>IFERROR(INDEX(样本到样信息汇总统计!G$2:G$500,MATCH(151,样本到样信息汇总统计!$AA$2:$AA$500,0)),"")</f>
        <v/>
      </c>
      <c r="H152" s="4" t="str">
        <f>IFERROR(INDEX(样本到样信息汇总统计!H$2:H$500,MATCH(151,样本到样信息汇总统计!$AA$2:$AA$500,0)),"")</f>
        <v/>
      </c>
      <c r="I152" s="4" t="str">
        <f>IFERROR(INDEX(样本到样信息汇总统计!I$2:I$500,MATCH(151,样本到样信息汇总统计!$AA$2:$AA$500,0)),"")</f>
        <v/>
      </c>
      <c r="J152" s="4" t="str">
        <f>IFERROR(INDEX(样本到样信息汇总统计!J$2:J$500,MATCH(151,样本到样信息汇总统计!$AA$2:$AA$500,0)),"")</f>
        <v/>
      </c>
      <c r="K152" s="4" t="str">
        <f>IFERROR(INDEX(样本到样信息汇总统计!K$2:K$500,MATCH(151,样本到样信息汇总统计!$AA$2:$AA$500,0)),"")</f>
        <v/>
      </c>
      <c r="L152" s="4" t="str">
        <f>IFERROR(INDEX(样本到样信息汇总统计!L$2:L$500,MATCH(151,样本到样信息汇总统计!$AA$2:$AA$500,0)),"")</f>
        <v/>
      </c>
      <c r="M152" s="4" t="str">
        <f>IFERROR(INDEX(样本到样信息汇总统计!M$2:M$500,MATCH(151,样本到样信息汇总统计!$AA$2:$AA$500,0)),"")</f>
        <v/>
      </c>
      <c r="N152" s="4" t="str">
        <f>IFERROR(INDEX(样本到样信息汇总统计!N$2:N$500,MATCH(151,样本到样信息汇总统计!$AA$2:$AA$500,0)),"")</f>
        <v/>
      </c>
      <c r="O152" s="4" t="str">
        <f>IFERROR(INDEX(样本到样信息汇总统计!O$2:O$500,MATCH(151,样本到样信息汇总统计!$AA$2:$AA$500,0)),"")</f>
        <v/>
      </c>
      <c r="P152" s="4" t="str">
        <f>IFERROR(INDEX(样本到样信息汇总统计!P$2:P$500,MATCH(151,样本到样信息汇总统计!$AA$2:$AA$500,0)),"")</f>
        <v/>
      </c>
      <c r="Q152" s="4" t="str">
        <f>IFERROR(INDEX(样本到样信息汇总统计!Q$2:Q$500,MATCH(151,样本到样信息汇总统计!$AA$2:$AA$500,0)),"")</f>
        <v/>
      </c>
      <c r="R152" s="4" t="str">
        <f>IFERROR(INDEX(样本到样信息汇总统计!R$2:R$500,MATCH(151,样本到样信息汇总统计!$AA$2:$AA$500,0)),"")</f>
        <v/>
      </c>
      <c r="S152" s="4" t="str">
        <f>IFERROR(INDEX(样本到样信息汇总统计!S$2:S$500,MATCH(151,样本到样信息汇总统计!$AA$2:$AA$500,0)),"")</f>
        <v/>
      </c>
      <c r="T152" s="4" t="str">
        <f>IFERROR(INDEX(样本到样信息汇总统计!T$2:T$500,MATCH(151,样本到样信息汇总统计!$AA$2:$AA$500,0)),"")</f>
        <v/>
      </c>
      <c r="U152" s="4" t="str">
        <f>IFERROR(INDEX(样本到样信息汇总统计!U$2:U$500,MATCH(151,样本到样信息汇总统计!$AA$2:$AA$500,0)),"")</f>
        <v/>
      </c>
      <c r="V152" s="4" t="str">
        <f>IFERROR(INDEX(样本到样信息汇总统计!V$2:V$500,MATCH(151,样本到样信息汇总统计!$AA$2:$AA$500,0)),"")</f>
        <v/>
      </c>
      <c r="W152" s="4" t="str">
        <f>IFERROR(INDEX(样本到样信息汇总统计!W$2:W$500,MATCH(151,样本到样信息汇总统计!$AA$2:$AA$500,0)),"")</f>
        <v/>
      </c>
    </row>
    <row r="153" ht="14.5" spans="1:23">
      <c r="A153" s="8" t="str">
        <f>IFERROR(INDEX(样本到样信息汇总统计!A$2:A$500,MATCH(152,样本到样信息汇总统计!$AA$2:$AA$500,0)),"")</f>
        <v/>
      </c>
      <c r="B153" s="8" t="str">
        <f>IFERROR(INDEX(样本到样信息汇总统计!B$2:B$500,MATCH(152,样本到样信息汇总统计!$AA$2:$AA$500,0)),"")</f>
        <v/>
      </c>
      <c r="C153" s="8" t="str">
        <f>IFERROR(INDEX(样本到样信息汇总统计!C$2:C$500,MATCH(152,样本到样信息汇总统计!$AA$2:$AA$500,0)),"")</f>
        <v/>
      </c>
      <c r="D153" s="8" t="str">
        <f>IFERROR(INDEX(样本到样信息汇总统计!D$2:D$500,MATCH(152,样本到样信息汇总统计!$AA$2:$AA$500,0)),"")</f>
        <v/>
      </c>
      <c r="E153" s="8" t="str">
        <f>IFERROR(INDEX(样本到样信息汇总统计!E$2:E$500,MATCH(152,样本到样信息汇总统计!$AA$2:$AA$500,0)),"")</f>
        <v/>
      </c>
      <c r="F153" s="8" t="str">
        <f>IFERROR(INDEX(样本到样信息汇总统计!F$2:F$500,MATCH(152,样本到样信息汇总统计!$AA$2:$AA$500,0)),"")</f>
        <v/>
      </c>
      <c r="G153" s="8" t="str">
        <f>IFERROR(INDEX(样本到样信息汇总统计!G$2:G$500,MATCH(152,样本到样信息汇总统计!$AA$2:$AA$500,0)),"")</f>
        <v/>
      </c>
      <c r="H153" s="8" t="str">
        <f>IFERROR(INDEX(样本到样信息汇总统计!H$2:H$500,MATCH(152,样本到样信息汇总统计!$AA$2:$AA$500,0)),"")</f>
        <v/>
      </c>
      <c r="I153" s="8" t="str">
        <f>IFERROR(INDEX(样本到样信息汇总统计!I$2:I$500,MATCH(152,样本到样信息汇总统计!$AA$2:$AA$500,0)),"")</f>
        <v/>
      </c>
      <c r="J153" s="8" t="str">
        <f>IFERROR(INDEX(样本到样信息汇总统计!J$2:J$500,MATCH(152,样本到样信息汇总统计!$AA$2:$AA$500,0)),"")</f>
        <v/>
      </c>
      <c r="K153" s="8" t="str">
        <f>IFERROR(INDEX(样本到样信息汇总统计!K$2:K$500,MATCH(152,样本到样信息汇总统计!$AA$2:$AA$500,0)),"")</f>
        <v/>
      </c>
      <c r="L153" s="8" t="str">
        <f>IFERROR(INDEX(样本到样信息汇总统计!L$2:L$500,MATCH(152,样本到样信息汇总统计!$AA$2:$AA$500,0)),"")</f>
        <v/>
      </c>
      <c r="M153" s="8" t="str">
        <f>IFERROR(INDEX(样本到样信息汇总统计!M$2:M$500,MATCH(152,样本到样信息汇总统计!$AA$2:$AA$500,0)),"")</f>
        <v/>
      </c>
      <c r="N153" s="8" t="str">
        <f>IFERROR(INDEX(样本到样信息汇总统计!N$2:N$500,MATCH(152,样本到样信息汇总统计!$AA$2:$AA$500,0)),"")</f>
        <v/>
      </c>
      <c r="O153" s="8" t="str">
        <f>IFERROR(INDEX(样本到样信息汇总统计!O$2:O$500,MATCH(152,样本到样信息汇总统计!$AA$2:$AA$500,0)),"")</f>
        <v/>
      </c>
      <c r="P153" s="8" t="str">
        <f>IFERROR(INDEX(样本到样信息汇总统计!P$2:P$500,MATCH(152,样本到样信息汇总统计!$AA$2:$AA$500,0)),"")</f>
        <v/>
      </c>
      <c r="Q153" s="8" t="str">
        <f>IFERROR(INDEX(样本到样信息汇总统计!Q$2:Q$500,MATCH(152,样本到样信息汇总统计!$AA$2:$AA$500,0)),"")</f>
        <v/>
      </c>
      <c r="R153" s="8" t="str">
        <f>IFERROR(INDEX(样本到样信息汇总统计!R$2:R$500,MATCH(152,样本到样信息汇总统计!$AA$2:$AA$500,0)),"")</f>
        <v/>
      </c>
      <c r="S153" s="8" t="str">
        <f>IFERROR(INDEX(样本到样信息汇总统计!S$2:S$500,MATCH(152,样本到样信息汇总统计!$AA$2:$AA$500,0)),"")</f>
        <v/>
      </c>
      <c r="T153" s="8" t="str">
        <f>IFERROR(INDEX(样本到样信息汇总统计!T$2:T$500,MATCH(152,样本到样信息汇总统计!$AA$2:$AA$500,0)),"")</f>
        <v/>
      </c>
      <c r="U153" s="8" t="str">
        <f>IFERROR(INDEX(样本到样信息汇总统计!U$2:U$500,MATCH(152,样本到样信息汇总统计!$AA$2:$AA$500,0)),"")</f>
        <v/>
      </c>
      <c r="V153" s="8" t="str">
        <f>IFERROR(INDEX(样本到样信息汇总统计!V$2:V$500,MATCH(152,样本到样信息汇总统计!$AA$2:$AA$500,0)),"")</f>
        <v/>
      </c>
      <c r="W153" s="8" t="str">
        <f>IFERROR(INDEX(样本到样信息汇总统计!W$2:W$500,MATCH(152,样本到样信息汇总统计!$AA$2:$AA$500,0)),"")</f>
        <v/>
      </c>
    </row>
    <row r="154" ht="14.5" spans="1:23">
      <c r="A154" s="4" t="str">
        <f>IFERROR(INDEX(样本到样信息汇总统计!A$2:A$500,MATCH(153,样本到样信息汇总统计!$AA$2:$AA$500,0)),"")</f>
        <v/>
      </c>
      <c r="B154" s="4" t="str">
        <f>IFERROR(INDEX(样本到样信息汇总统计!B$2:B$500,MATCH(153,样本到样信息汇总统计!$AA$2:$AA$500,0)),"")</f>
        <v/>
      </c>
      <c r="C154" s="4" t="str">
        <f>IFERROR(INDEX(样本到样信息汇总统计!C$2:C$500,MATCH(153,样本到样信息汇总统计!$AA$2:$AA$500,0)),"")</f>
        <v/>
      </c>
      <c r="D154" s="4" t="str">
        <f>IFERROR(INDEX(样本到样信息汇总统计!D$2:D$500,MATCH(153,样本到样信息汇总统计!$AA$2:$AA$500,0)),"")</f>
        <v/>
      </c>
      <c r="E154" s="4" t="str">
        <f>IFERROR(INDEX(样本到样信息汇总统计!E$2:E$500,MATCH(153,样本到样信息汇总统计!$AA$2:$AA$500,0)),"")</f>
        <v/>
      </c>
      <c r="F154" s="4" t="str">
        <f>IFERROR(INDEX(样本到样信息汇总统计!F$2:F$500,MATCH(153,样本到样信息汇总统计!$AA$2:$AA$500,0)),"")</f>
        <v/>
      </c>
      <c r="G154" s="4" t="str">
        <f>IFERROR(INDEX(样本到样信息汇总统计!G$2:G$500,MATCH(153,样本到样信息汇总统计!$AA$2:$AA$500,0)),"")</f>
        <v/>
      </c>
      <c r="H154" s="4" t="str">
        <f>IFERROR(INDEX(样本到样信息汇总统计!H$2:H$500,MATCH(153,样本到样信息汇总统计!$AA$2:$AA$500,0)),"")</f>
        <v/>
      </c>
      <c r="I154" s="4" t="str">
        <f>IFERROR(INDEX(样本到样信息汇总统计!I$2:I$500,MATCH(153,样本到样信息汇总统计!$AA$2:$AA$500,0)),"")</f>
        <v/>
      </c>
      <c r="J154" s="4" t="str">
        <f>IFERROR(INDEX(样本到样信息汇总统计!J$2:J$500,MATCH(153,样本到样信息汇总统计!$AA$2:$AA$500,0)),"")</f>
        <v/>
      </c>
      <c r="K154" s="4" t="str">
        <f>IFERROR(INDEX(样本到样信息汇总统计!K$2:K$500,MATCH(153,样本到样信息汇总统计!$AA$2:$AA$500,0)),"")</f>
        <v/>
      </c>
      <c r="L154" s="4" t="str">
        <f>IFERROR(INDEX(样本到样信息汇总统计!L$2:L$500,MATCH(153,样本到样信息汇总统计!$AA$2:$AA$500,0)),"")</f>
        <v/>
      </c>
      <c r="M154" s="4" t="str">
        <f>IFERROR(INDEX(样本到样信息汇总统计!M$2:M$500,MATCH(153,样本到样信息汇总统计!$AA$2:$AA$500,0)),"")</f>
        <v/>
      </c>
      <c r="N154" s="4" t="str">
        <f>IFERROR(INDEX(样本到样信息汇总统计!N$2:N$500,MATCH(153,样本到样信息汇总统计!$AA$2:$AA$500,0)),"")</f>
        <v/>
      </c>
      <c r="O154" s="4" t="str">
        <f>IFERROR(INDEX(样本到样信息汇总统计!O$2:O$500,MATCH(153,样本到样信息汇总统计!$AA$2:$AA$500,0)),"")</f>
        <v/>
      </c>
      <c r="P154" s="4" t="str">
        <f>IFERROR(INDEX(样本到样信息汇总统计!P$2:P$500,MATCH(153,样本到样信息汇总统计!$AA$2:$AA$500,0)),"")</f>
        <v/>
      </c>
      <c r="Q154" s="4" t="str">
        <f>IFERROR(INDEX(样本到样信息汇总统计!Q$2:Q$500,MATCH(153,样本到样信息汇总统计!$AA$2:$AA$500,0)),"")</f>
        <v/>
      </c>
      <c r="R154" s="4" t="str">
        <f>IFERROR(INDEX(样本到样信息汇总统计!R$2:R$500,MATCH(153,样本到样信息汇总统计!$AA$2:$AA$500,0)),"")</f>
        <v/>
      </c>
      <c r="S154" s="4" t="str">
        <f>IFERROR(INDEX(样本到样信息汇总统计!S$2:S$500,MATCH(153,样本到样信息汇总统计!$AA$2:$AA$500,0)),"")</f>
        <v/>
      </c>
      <c r="T154" s="4" t="str">
        <f>IFERROR(INDEX(样本到样信息汇总统计!T$2:T$500,MATCH(153,样本到样信息汇总统计!$AA$2:$AA$500,0)),"")</f>
        <v/>
      </c>
      <c r="U154" s="4" t="str">
        <f>IFERROR(INDEX(样本到样信息汇总统计!U$2:U$500,MATCH(153,样本到样信息汇总统计!$AA$2:$AA$500,0)),"")</f>
        <v/>
      </c>
      <c r="V154" s="4" t="str">
        <f>IFERROR(INDEX(样本到样信息汇总统计!V$2:V$500,MATCH(153,样本到样信息汇总统计!$AA$2:$AA$500,0)),"")</f>
        <v/>
      </c>
      <c r="W154" s="4" t="str">
        <f>IFERROR(INDEX(样本到样信息汇总统计!W$2:W$500,MATCH(153,样本到样信息汇总统计!$AA$2:$AA$500,0)),"")</f>
        <v/>
      </c>
    </row>
    <row r="155" ht="14.5" spans="1:23">
      <c r="A155" s="8" t="str">
        <f>IFERROR(INDEX(样本到样信息汇总统计!A$2:A$500,MATCH(154,样本到样信息汇总统计!$AA$2:$AA$500,0)),"")</f>
        <v/>
      </c>
      <c r="B155" s="8" t="str">
        <f>IFERROR(INDEX(样本到样信息汇总统计!B$2:B$500,MATCH(154,样本到样信息汇总统计!$AA$2:$AA$500,0)),"")</f>
        <v/>
      </c>
      <c r="C155" s="8" t="str">
        <f>IFERROR(INDEX(样本到样信息汇总统计!C$2:C$500,MATCH(154,样本到样信息汇总统计!$AA$2:$AA$500,0)),"")</f>
        <v/>
      </c>
      <c r="D155" s="8" t="str">
        <f>IFERROR(INDEX(样本到样信息汇总统计!D$2:D$500,MATCH(154,样本到样信息汇总统计!$AA$2:$AA$500,0)),"")</f>
        <v/>
      </c>
      <c r="E155" s="8" t="str">
        <f>IFERROR(INDEX(样本到样信息汇总统计!E$2:E$500,MATCH(154,样本到样信息汇总统计!$AA$2:$AA$500,0)),"")</f>
        <v/>
      </c>
      <c r="F155" s="8" t="str">
        <f>IFERROR(INDEX(样本到样信息汇总统计!F$2:F$500,MATCH(154,样本到样信息汇总统计!$AA$2:$AA$500,0)),"")</f>
        <v/>
      </c>
      <c r="G155" s="8" t="str">
        <f>IFERROR(INDEX(样本到样信息汇总统计!G$2:G$500,MATCH(154,样本到样信息汇总统计!$AA$2:$AA$500,0)),"")</f>
        <v/>
      </c>
      <c r="H155" s="8" t="str">
        <f>IFERROR(INDEX(样本到样信息汇总统计!H$2:H$500,MATCH(154,样本到样信息汇总统计!$AA$2:$AA$500,0)),"")</f>
        <v/>
      </c>
      <c r="I155" s="8" t="str">
        <f>IFERROR(INDEX(样本到样信息汇总统计!I$2:I$500,MATCH(154,样本到样信息汇总统计!$AA$2:$AA$500,0)),"")</f>
        <v/>
      </c>
      <c r="J155" s="8" t="str">
        <f>IFERROR(INDEX(样本到样信息汇总统计!J$2:J$500,MATCH(154,样本到样信息汇总统计!$AA$2:$AA$500,0)),"")</f>
        <v/>
      </c>
      <c r="K155" s="8" t="str">
        <f>IFERROR(INDEX(样本到样信息汇总统计!K$2:K$500,MATCH(154,样本到样信息汇总统计!$AA$2:$AA$500,0)),"")</f>
        <v/>
      </c>
      <c r="L155" s="8" t="str">
        <f>IFERROR(INDEX(样本到样信息汇总统计!L$2:L$500,MATCH(154,样本到样信息汇总统计!$AA$2:$AA$500,0)),"")</f>
        <v/>
      </c>
      <c r="M155" s="8" t="str">
        <f>IFERROR(INDEX(样本到样信息汇总统计!M$2:M$500,MATCH(154,样本到样信息汇总统计!$AA$2:$AA$500,0)),"")</f>
        <v/>
      </c>
      <c r="N155" s="8" t="str">
        <f>IFERROR(INDEX(样本到样信息汇总统计!N$2:N$500,MATCH(154,样本到样信息汇总统计!$AA$2:$AA$500,0)),"")</f>
        <v/>
      </c>
      <c r="O155" s="8" t="str">
        <f>IFERROR(INDEX(样本到样信息汇总统计!O$2:O$500,MATCH(154,样本到样信息汇总统计!$AA$2:$AA$500,0)),"")</f>
        <v/>
      </c>
      <c r="P155" s="8" t="str">
        <f>IFERROR(INDEX(样本到样信息汇总统计!P$2:P$500,MATCH(154,样本到样信息汇总统计!$AA$2:$AA$500,0)),"")</f>
        <v/>
      </c>
      <c r="Q155" s="8" t="str">
        <f>IFERROR(INDEX(样本到样信息汇总统计!Q$2:Q$500,MATCH(154,样本到样信息汇总统计!$AA$2:$AA$500,0)),"")</f>
        <v/>
      </c>
      <c r="R155" s="8" t="str">
        <f>IFERROR(INDEX(样本到样信息汇总统计!R$2:R$500,MATCH(154,样本到样信息汇总统计!$AA$2:$AA$500,0)),"")</f>
        <v/>
      </c>
      <c r="S155" s="8" t="str">
        <f>IFERROR(INDEX(样本到样信息汇总统计!S$2:S$500,MATCH(154,样本到样信息汇总统计!$AA$2:$AA$500,0)),"")</f>
        <v/>
      </c>
      <c r="T155" s="8" t="str">
        <f>IFERROR(INDEX(样本到样信息汇总统计!T$2:T$500,MATCH(154,样本到样信息汇总统计!$AA$2:$AA$500,0)),"")</f>
        <v/>
      </c>
      <c r="U155" s="8" t="str">
        <f>IFERROR(INDEX(样本到样信息汇总统计!U$2:U$500,MATCH(154,样本到样信息汇总统计!$AA$2:$AA$500,0)),"")</f>
        <v/>
      </c>
      <c r="V155" s="8" t="str">
        <f>IFERROR(INDEX(样本到样信息汇总统计!V$2:V$500,MATCH(154,样本到样信息汇总统计!$AA$2:$AA$500,0)),"")</f>
        <v/>
      </c>
      <c r="W155" s="8" t="str">
        <f>IFERROR(INDEX(样本到样信息汇总统计!W$2:W$500,MATCH(154,样本到样信息汇总统计!$AA$2:$AA$500,0)),"")</f>
        <v/>
      </c>
    </row>
    <row r="156" ht="14.5" spans="1:23">
      <c r="A156" s="4" t="str">
        <f>IFERROR(INDEX(样本到样信息汇总统计!A$2:A$500,MATCH(155,样本到样信息汇总统计!$AA$2:$AA$500,0)),"")</f>
        <v/>
      </c>
      <c r="B156" s="4" t="str">
        <f>IFERROR(INDEX(样本到样信息汇总统计!B$2:B$500,MATCH(155,样本到样信息汇总统计!$AA$2:$AA$500,0)),"")</f>
        <v/>
      </c>
      <c r="C156" s="4" t="str">
        <f>IFERROR(INDEX(样本到样信息汇总统计!C$2:C$500,MATCH(155,样本到样信息汇总统计!$AA$2:$AA$500,0)),"")</f>
        <v/>
      </c>
      <c r="D156" s="4" t="str">
        <f>IFERROR(INDEX(样本到样信息汇总统计!D$2:D$500,MATCH(155,样本到样信息汇总统计!$AA$2:$AA$500,0)),"")</f>
        <v/>
      </c>
      <c r="E156" s="4" t="str">
        <f>IFERROR(INDEX(样本到样信息汇总统计!E$2:E$500,MATCH(155,样本到样信息汇总统计!$AA$2:$AA$500,0)),"")</f>
        <v/>
      </c>
      <c r="F156" s="4" t="str">
        <f>IFERROR(INDEX(样本到样信息汇总统计!F$2:F$500,MATCH(155,样本到样信息汇总统计!$AA$2:$AA$500,0)),"")</f>
        <v/>
      </c>
      <c r="G156" s="4" t="str">
        <f>IFERROR(INDEX(样本到样信息汇总统计!G$2:G$500,MATCH(155,样本到样信息汇总统计!$AA$2:$AA$500,0)),"")</f>
        <v/>
      </c>
      <c r="H156" s="4" t="str">
        <f>IFERROR(INDEX(样本到样信息汇总统计!H$2:H$500,MATCH(155,样本到样信息汇总统计!$AA$2:$AA$500,0)),"")</f>
        <v/>
      </c>
      <c r="I156" s="4" t="str">
        <f>IFERROR(INDEX(样本到样信息汇总统计!I$2:I$500,MATCH(155,样本到样信息汇总统计!$AA$2:$AA$500,0)),"")</f>
        <v/>
      </c>
      <c r="J156" s="4" t="str">
        <f>IFERROR(INDEX(样本到样信息汇总统计!J$2:J$500,MATCH(155,样本到样信息汇总统计!$AA$2:$AA$500,0)),"")</f>
        <v/>
      </c>
      <c r="K156" s="4" t="str">
        <f>IFERROR(INDEX(样本到样信息汇总统计!K$2:K$500,MATCH(155,样本到样信息汇总统计!$AA$2:$AA$500,0)),"")</f>
        <v/>
      </c>
      <c r="L156" s="4" t="str">
        <f>IFERROR(INDEX(样本到样信息汇总统计!L$2:L$500,MATCH(155,样本到样信息汇总统计!$AA$2:$AA$500,0)),"")</f>
        <v/>
      </c>
      <c r="M156" s="4" t="str">
        <f>IFERROR(INDEX(样本到样信息汇总统计!M$2:M$500,MATCH(155,样本到样信息汇总统计!$AA$2:$AA$500,0)),"")</f>
        <v/>
      </c>
      <c r="N156" s="4" t="str">
        <f>IFERROR(INDEX(样本到样信息汇总统计!N$2:N$500,MATCH(155,样本到样信息汇总统计!$AA$2:$AA$500,0)),"")</f>
        <v/>
      </c>
      <c r="O156" s="4" t="str">
        <f>IFERROR(INDEX(样本到样信息汇总统计!O$2:O$500,MATCH(155,样本到样信息汇总统计!$AA$2:$AA$500,0)),"")</f>
        <v/>
      </c>
      <c r="P156" s="4" t="str">
        <f>IFERROR(INDEX(样本到样信息汇总统计!P$2:P$500,MATCH(155,样本到样信息汇总统计!$AA$2:$AA$500,0)),"")</f>
        <v/>
      </c>
      <c r="Q156" s="4" t="str">
        <f>IFERROR(INDEX(样本到样信息汇总统计!Q$2:Q$500,MATCH(155,样本到样信息汇总统计!$AA$2:$AA$500,0)),"")</f>
        <v/>
      </c>
      <c r="R156" s="4" t="str">
        <f>IFERROR(INDEX(样本到样信息汇总统计!R$2:R$500,MATCH(155,样本到样信息汇总统计!$AA$2:$AA$500,0)),"")</f>
        <v/>
      </c>
      <c r="S156" s="4" t="str">
        <f>IFERROR(INDEX(样本到样信息汇总统计!S$2:S$500,MATCH(155,样本到样信息汇总统计!$AA$2:$AA$500,0)),"")</f>
        <v/>
      </c>
      <c r="T156" s="4" t="str">
        <f>IFERROR(INDEX(样本到样信息汇总统计!T$2:T$500,MATCH(155,样本到样信息汇总统计!$AA$2:$AA$500,0)),"")</f>
        <v/>
      </c>
      <c r="U156" s="4" t="str">
        <f>IFERROR(INDEX(样本到样信息汇总统计!U$2:U$500,MATCH(155,样本到样信息汇总统计!$AA$2:$AA$500,0)),"")</f>
        <v/>
      </c>
      <c r="V156" s="4" t="str">
        <f>IFERROR(INDEX(样本到样信息汇总统计!V$2:V$500,MATCH(155,样本到样信息汇总统计!$AA$2:$AA$500,0)),"")</f>
        <v/>
      </c>
      <c r="W156" s="4" t="str">
        <f>IFERROR(INDEX(样本到样信息汇总统计!W$2:W$500,MATCH(155,样本到样信息汇总统计!$AA$2:$AA$500,0)),"")</f>
        <v/>
      </c>
    </row>
    <row r="157" ht="14.5" spans="1:23">
      <c r="A157" s="8" t="str">
        <f>IFERROR(INDEX(样本到样信息汇总统计!A$2:A$500,MATCH(156,样本到样信息汇总统计!$AA$2:$AA$500,0)),"")</f>
        <v/>
      </c>
      <c r="B157" s="8" t="str">
        <f>IFERROR(INDEX(样本到样信息汇总统计!B$2:B$500,MATCH(156,样本到样信息汇总统计!$AA$2:$AA$500,0)),"")</f>
        <v/>
      </c>
      <c r="C157" s="8" t="str">
        <f>IFERROR(INDEX(样本到样信息汇总统计!C$2:C$500,MATCH(156,样本到样信息汇总统计!$AA$2:$AA$500,0)),"")</f>
        <v/>
      </c>
      <c r="D157" s="8" t="str">
        <f>IFERROR(INDEX(样本到样信息汇总统计!D$2:D$500,MATCH(156,样本到样信息汇总统计!$AA$2:$AA$500,0)),"")</f>
        <v/>
      </c>
      <c r="E157" s="8" t="str">
        <f>IFERROR(INDEX(样本到样信息汇总统计!E$2:E$500,MATCH(156,样本到样信息汇总统计!$AA$2:$AA$500,0)),"")</f>
        <v/>
      </c>
      <c r="F157" s="8" t="str">
        <f>IFERROR(INDEX(样本到样信息汇总统计!F$2:F$500,MATCH(156,样本到样信息汇总统计!$AA$2:$AA$500,0)),"")</f>
        <v/>
      </c>
      <c r="G157" s="8" t="str">
        <f>IFERROR(INDEX(样本到样信息汇总统计!G$2:G$500,MATCH(156,样本到样信息汇总统计!$AA$2:$AA$500,0)),"")</f>
        <v/>
      </c>
      <c r="H157" s="8" t="str">
        <f>IFERROR(INDEX(样本到样信息汇总统计!H$2:H$500,MATCH(156,样本到样信息汇总统计!$AA$2:$AA$500,0)),"")</f>
        <v/>
      </c>
      <c r="I157" s="8" t="str">
        <f>IFERROR(INDEX(样本到样信息汇总统计!I$2:I$500,MATCH(156,样本到样信息汇总统计!$AA$2:$AA$500,0)),"")</f>
        <v/>
      </c>
      <c r="J157" s="8" t="str">
        <f>IFERROR(INDEX(样本到样信息汇总统计!J$2:J$500,MATCH(156,样本到样信息汇总统计!$AA$2:$AA$500,0)),"")</f>
        <v/>
      </c>
      <c r="K157" s="8" t="str">
        <f>IFERROR(INDEX(样本到样信息汇总统计!K$2:K$500,MATCH(156,样本到样信息汇总统计!$AA$2:$AA$500,0)),"")</f>
        <v/>
      </c>
      <c r="L157" s="8" t="str">
        <f>IFERROR(INDEX(样本到样信息汇总统计!L$2:L$500,MATCH(156,样本到样信息汇总统计!$AA$2:$AA$500,0)),"")</f>
        <v/>
      </c>
      <c r="M157" s="8" t="str">
        <f>IFERROR(INDEX(样本到样信息汇总统计!M$2:M$500,MATCH(156,样本到样信息汇总统计!$AA$2:$AA$500,0)),"")</f>
        <v/>
      </c>
      <c r="N157" s="8" t="str">
        <f>IFERROR(INDEX(样本到样信息汇总统计!N$2:N$500,MATCH(156,样本到样信息汇总统计!$AA$2:$AA$500,0)),"")</f>
        <v/>
      </c>
      <c r="O157" s="8" t="str">
        <f>IFERROR(INDEX(样本到样信息汇总统计!O$2:O$500,MATCH(156,样本到样信息汇总统计!$AA$2:$AA$500,0)),"")</f>
        <v/>
      </c>
      <c r="P157" s="8" t="str">
        <f>IFERROR(INDEX(样本到样信息汇总统计!P$2:P$500,MATCH(156,样本到样信息汇总统计!$AA$2:$AA$500,0)),"")</f>
        <v/>
      </c>
      <c r="Q157" s="8" t="str">
        <f>IFERROR(INDEX(样本到样信息汇总统计!Q$2:Q$500,MATCH(156,样本到样信息汇总统计!$AA$2:$AA$500,0)),"")</f>
        <v/>
      </c>
      <c r="R157" s="8" t="str">
        <f>IFERROR(INDEX(样本到样信息汇总统计!R$2:R$500,MATCH(156,样本到样信息汇总统计!$AA$2:$AA$500,0)),"")</f>
        <v/>
      </c>
      <c r="S157" s="8" t="str">
        <f>IFERROR(INDEX(样本到样信息汇总统计!S$2:S$500,MATCH(156,样本到样信息汇总统计!$AA$2:$AA$500,0)),"")</f>
        <v/>
      </c>
      <c r="T157" s="8" t="str">
        <f>IFERROR(INDEX(样本到样信息汇总统计!T$2:T$500,MATCH(156,样本到样信息汇总统计!$AA$2:$AA$500,0)),"")</f>
        <v/>
      </c>
      <c r="U157" s="8" t="str">
        <f>IFERROR(INDEX(样本到样信息汇总统计!U$2:U$500,MATCH(156,样本到样信息汇总统计!$AA$2:$AA$500,0)),"")</f>
        <v/>
      </c>
      <c r="V157" s="8" t="str">
        <f>IFERROR(INDEX(样本到样信息汇总统计!V$2:V$500,MATCH(156,样本到样信息汇总统计!$AA$2:$AA$500,0)),"")</f>
        <v/>
      </c>
      <c r="W157" s="8" t="str">
        <f>IFERROR(INDEX(样本到样信息汇总统计!W$2:W$500,MATCH(156,样本到样信息汇总统计!$AA$2:$AA$500,0)),"")</f>
        <v/>
      </c>
    </row>
    <row r="158" ht="14.5" spans="1:23">
      <c r="A158" s="4" t="str">
        <f>IFERROR(INDEX(样本到样信息汇总统计!A$2:A$500,MATCH(157,样本到样信息汇总统计!$AA$2:$AA$500,0)),"")</f>
        <v/>
      </c>
      <c r="B158" s="4" t="str">
        <f>IFERROR(INDEX(样本到样信息汇总统计!B$2:B$500,MATCH(157,样本到样信息汇总统计!$AA$2:$AA$500,0)),"")</f>
        <v/>
      </c>
      <c r="C158" s="4" t="str">
        <f>IFERROR(INDEX(样本到样信息汇总统计!C$2:C$500,MATCH(157,样本到样信息汇总统计!$AA$2:$AA$500,0)),"")</f>
        <v/>
      </c>
      <c r="D158" s="4" t="str">
        <f>IFERROR(INDEX(样本到样信息汇总统计!D$2:D$500,MATCH(157,样本到样信息汇总统计!$AA$2:$AA$500,0)),"")</f>
        <v/>
      </c>
      <c r="E158" s="4" t="str">
        <f>IFERROR(INDEX(样本到样信息汇总统计!E$2:E$500,MATCH(157,样本到样信息汇总统计!$AA$2:$AA$500,0)),"")</f>
        <v/>
      </c>
      <c r="F158" s="4" t="str">
        <f>IFERROR(INDEX(样本到样信息汇总统计!F$2:F$500,MATCH(157,样本到样信息汇总统计!$AA$2:$AA$500,0)),"")</f>
        <v/>
      </c>
      <c r="G158" s="4" t="str">
        <f>IFERROR(INDEX(样本到样信息汇总统计!G$2:G$500,MATCH(157,样本到样信息汇总统计!$AA$2:$AA$500,0)),"")</f>
        <v/>
      </c>
      <c r="H158" s="4" t="str">
        <f>IFERROR(INDEX(样本到样信息汇总统计!H$2:H$500,MATCH(157,样本到样信息汇总统计!$AA$2:$AA$500,0)),"")</f>
        <v/>
      </c>
      <c r="I158" s="4" t="str">
        <f>IFERROR(INDEX(样本到样信息汇总统计!I$2:I$500,MATCH(157,样本到样信息汇总统计!$AA$2:$AA$500,0)),"")</f>
        <v/>
      </c>
      <c r="J158" s="4" t="str">
        <f>IFERROR(INDEX(样本到样信息汇总统计!J$2:J$500,MATCH(157,样本到样信息汇总统计!$AA$2:$AA$500,0)),"")</f>
        <v/>
      </c>
      <c r="K158" s="4" t="str">
        <f>IFERROR(INDEX(样本到样信息汇总统计!K$2:K$500,MATCH(157,样本到样信息汇总统计!$AA$2:$AA$500,0)),"")</f>
        <v/>
      </c>
      <c r="L158" s="4" t="str">
        <f>IFERROR(INDEX(样本到样信息汇总统计!L$2:L$500,MATCH(157,样本到样信息汇总统计!$AA$2:$AA$500,0)),"")</f>
        <v/>
      </c>
      <c r="M158" s="4" t="str">
        <f>IFERROR(INDEX(样本到样信息汇总统计!M$2:M$500,MATCH(157,样本到样信息汇总统计!$AA$2:$AA$500,0)),"")</f>
        <v/>
      </c>
      <c r="N158" s="4" t="str">
        <f>IFERROR(INDEX(样本到样信息汇总统计!N$2:N$500,MATCH(157,样本到样信息汇总统计!$AA$2:$AA$500,0)),"")</f>
        <v/>
      </c>
      <c r="O158" s="4" t="str">
        <f>IFERROR(INDEX(样本到样信息汇总统计!O$2:O$500,MATCH(157,样本到样信息汇总统计!$AA$2:$AA$500,0)),"")</f>
        <v/>
      </c>
      <c r="P158" s="4" t="str">
        <f>IFERROR(INDEX(样本到样信息汇总统计!P$2:P$500,MATCH(157,样本到样信息汇总统计!$AA$2:$AA$500,0)),"")</f>
        <v/>
      </c>
      <c r="Q158" s="4" t="str">
        <f>IFERROR(INDEX(样本到样信息汇总统计!Q$2:Q$500,MATCH(157,样本到样信息汇总统计!$AA$2:$AA$500,0)),"")</f>
        <v/>
      </c>
      <c r="R158" s="4" t="str">
        <f>IFERROR(INDEX(样本到样信息汇总统计!R$2:R$500,MATCH(157,样本到样信息汇总统计!$AA$2:$AA$500,0)),"")</f>
        <v/>
      </c>
      <c r="S158" s="4" t="str">
        <f>IFERROR(INDEX(样本到样信息汇总统计!S$2:S$500,MATCH(157,样本到样信息汇总统计!$AA$2:$AA$500,0)),"")</f>
        <v/>
      </c>
      <c r="T158" s="4" t="str">
        <f>IFERROR(INDEX(样本到样信息汇总统计!T$2:T$500,MATCH(157,样本到样信息汇总统计!$AA$2:$AA$500,0)),"")</f>
        <v/>
      </c>
      <c r="U158" s="4" t="str">
        <f>IFERROR(INDEX(样本到样信息汇总统计!U$2:U$500,MATCH(157,样本到样信息汇总统计!$AA$2:$AA$500,0)),"")</f>
        <v/>
      </c>
      <c r="V158" s="4" t="str">
        <f>IFERROR(INDEX(样本到样信息汇总统计!V$2:V$500,MATCH(157,样本到样信息汇总统计!$AA$2:$AA$500,0)),"")</f>
        <v/>
      </c>
      <c r="W158" s="4" t="str">
        <f>IFERROR(INDEX(样本到样信息汇总统计!W$2:W$500,MATCH(157,样本到样信息汇总统计!$AA$2:$AA$500,0)),"")</f>
        <v/>
      </c>
    </row>
    <row r="159" ht="14.5" spans="1:23">
      <c r="A159" s="8" t="str">
        <f>IFERROR(INDEX(样本到样信息汇总统计!A$2:A$500,MATCH(158,样本到样信息汇总统计!$AA$2:$AA$500,0)),"")</f>
        <v/>
      </c>
      <c r="B159" s="8" t="str">
        <f>IFERROR(INDEX(样本到样信息汇总统计!B$2:B$500,MATCH(158,样本到样信息汇总统计!$AA$2:$AA$500,0)),"")</f>
        <v/>
      </c>
      <c r="C159" s="8" t="str">
        <f>IFERROR(INDEX(样本到样信息汇总统计!C$2:C$500,MATCH(158,样本到样信息汇总统计!$AA$2:$AA$500,0)),"")</f>
        <v/>
      </c>
      <c r="D159" s="8" t="str">
        <f>IFERROR(INDEX(样本到样信息汇总统计!D$2:D$500,MATCH(158,样本到样信息汇总统计!$AA$2:$AA$500,0)),"")</f>
        <v/>
      </c>
      <c r="E159" s="8" t="str">
        <f>IFERROR(INDEX(样本到样信息汇总统计!E$2:E$500,MATCH(158,样本到样信息汇总统计!$AA$2:$AA$500,0)),"")</f>
        <v/>
      </c>
      <c r="F159" s="8" t="str">
        <f>IFERROR(INDEX(样本到样信息汇总统计!F$2:F$500,MATCH(158,样本到样信息汇总统计!$AA$2:$AA$500,0)),"")</f>
        <v/>
      </c>
      <c r="G159" s="8" t="str">
        <f>IFERROR(INDEX(样本到样信息汇总统计!G$2:G$500,MATCH(158,样本到样信息汇总统计!$AA$2:$AA$500,0)),"")</f>
        <v/>
      </c>
      <c r="H159" s="8" t="str">
        <f>IFERROR(INDEX(样本到样信息汇总统计!H$2:H$500,MATCH(158,样本到样信息汇总统计!$AA$2:$AA$500,0)),"")</f>
        <v/>
      </c>
      <c r="I159" s="8" t="str">
        <f>IFERROR(INDEX(样本到样信息汇总统计!I$2:I$500,MATCH(158,样本到样信息汇总统计!$AA$2:$AA$500,0)),"")</f>
        <v/>
      </c>
      <c r="J159" s="8" t="str">
        <f>IFERROR(INDEX(样本到样信息汇总统计!J$2:J$500,MATCH(158,样本到样信息汇总统计!$AA$2:$AA$500,0)),"")</f>
        <v/>
      </c>
      <c r="K159" s="8" t="str">
        <f>IFERROR(INDEX(样本到样信息汇总统计!K$2:K$500,MATCH(158,样本到样信息汇总统计!$AA$2:$AA$500,0)),"")</f>
        <v/>
      </c>
      <c r="L159" s="8" t="str">
        <f>IFERROR(INDEX(样本到样信息汇总统计!L$2:L$500,MATCH(158,样本到样信息汇总统计!$AA$2:$AA$500,0)),"")</f>
        <v/>
      </c>
      <c r="M159" s="8" t="str">
        <f>IFERROR(INDEX(样本到样信息汇总统计!M$2:M$500,MATCH(158,样本到样信息汇总统计!$AA$2:$AA$500,0)),"")</f>
        <v/>
      </c>
      <c r="N159" s="8" t="str">
        <f>IFERROR(INDEX(样本到样信息汇总统计!N$2:N$500,MATCH(158,样本到样信息汇总统计!$AA$2:$AA$500,0)),"")</f>
        <v/>
      </c>
      <c r="O159" s="8" t="str">
        <f>IFERROR(INDEX(样本到样信息汇总统计!O$2:O$500,MATCH(158,样本到样信息汇总统计!$AA$2:$AA$500,0)),"")</f>
        <v/>
      </c>
      <c r="P159" s="8" t="str">
        <f>IFERROR(INDEX(样本到样信息汇总统计!P$2:P$500,MATCH(158,样本到样信息汇总统计!$AA$2:$AA$500,0)),"")</f>
        <v/>
      </c>
      <c r="Q159" s="8" t="str">
        <f>IFERROR(INDEX(样本到样信息汇总统计!Q$2:Q$500,MATCH(158,样本到样信息汇总统计!$AA$2:$AA$500,0)),"")</f>
        <v/>
      </c>
      <c r="R159" s="8" t="str">
        <f>IFERROR(INDEX(样本到样信息汇总统计!R$2:R$500,MATCH(158,样本到样信息汇总统计!$AA$2:$AA$500,0)),"")</f>
        <v/>
      </c>
      <c r="S159" s="8" t="str">
        <f>IFERROR(INDEX(样本到样信息汇总统计!S$2:S$500,MATCH(158,样本到样信息汇总统计!$AA$2:$AA$500,0)),"")</f>
        <v/>
      </c>
      <c r="T159" s="8" t="str">
        <f>IFERROR(INDEX(样本到样信息汇总统计!T$2:T$500,MATCH(158,样本到样信息汇总统计!$AA$2:$AA$500,0)),"")</f>
        <v/>
      </c>
      <c r="U159" s="8" t="str">
        <f>IFERROR(INDEX(样本到样信息汇总统计!U$2:U$500,MATCH(158,样本到样信息汇总统计!$AA$2:$AA$500,0)),"")</f>
        <v/>
      </c>
      <c r="V159" s="8" t="str">
        <f>IFERROR(INDEX(样本到样信息汇总统计!V$2:V$500,MATCH(158,样本到样信息汇总统计!$AA$2:$AA$500,0)),"")</f>
        <v/>
      </c>
      <c r="W159" s="8" t="str">
        <f>IFERROR(INDEX(样本到样信息汇总统计!W$2:W$500,MATCH(158,样本到样信息汇总统计!$AA$2:$AA$500,0)),"")</f>
        <v/>
      </c>
    </row>
    <row r="160" ht="14.5" spans="1:23">
      <c r="A160" s="4" t="str">
        <f>IFERROR(INDEX(样本到样信息汇总统计!A$2:A$500,MATCH(159,样本到样信息汇总统计!$AA$2:$AA$500,0)),"")</f>
        <v/>
      </c>
      <c r="B160" s="4" t="str">
        <f>IFERROR(INDEX(样本到样信息汇总统计!B$2:B$500,MATCH(159,样本到样信息汇总统计!$AA$2:$AA$500,0)),"")</f>
        <v/>
      </c>
      <c r="C160" s="4" t="str">
        <f>IFERROR(INDEX(样本到样信息汇总统计!C$2:C$500,MATCH(159,样本到样信息汇总统计!$AA$2:$AA$500,0)),"")</f>
        <v/>
      </c>
      <c r="D160" s="4" t="str">
        <f>IFERROR(INDEX(样本到样信息汇总统计!D$2:D$500,MATCH(159,样本到样信息汇总统计!$AA$2:$AA$500,0)),"")</f>
        <v/>
      </c>
      <c r="E160" s="4" t="str">
        <f>IFERROR(INDEX(样本到样信息汇总统计!E$2:E$500,MATCH(159,样本到样信息汇总统计!$AA$2:$AA$500,0)),"")</f>
        <v/>
      </c>
      <c r="F160" s="4" t="str">
        <f>IFERROR(INDEX(样本到样信息汇总统计!F$2:F$500,MATCH(159,样本到样信息汇总统计!$AA$2:$AA$500,0)),"")</f>
        <v/>
      </c>
      <c r="G160" s="4" t="str">
        <f>IFERROR(INDEX(样本到样信息汇总统计!G$2:G$500,MATCH(159,样本到样信息汇总统计!$AA$2:$AA$500,0)),"")</f>
        <v/>
      </c>
      <c r="H160" s="4" t="str">
        <f>IFERROR(INDEX(样本到样信息汇总统计!H$2:H$500,MATCH(159,样本到样信息汇总统计!$AA$2:$AA$500,0)),"")</f>
        <v/>
      </c>
      <c r="I160" s="4" t="str">
        <f>IFERROR(INDEX(样本到样信息汇总统计!I$2:I$500,MATCH(159,样本到样信息汇总统计!$AA$2:$AA$500,0)),"")</f>
        <v/>
      </c>
      <c r="J160" s="4" t="str">
        <f>IFERROR(INDEX(样本到样信息汇总统计!J$2:J$500,MATCH(159,样本到样信息汇总统计!$AA$2:$AA$500,0)),"")</f>
        <v/>
      </c>
      <c r="K160" s="4" t="str">
        <f>IFERROR(INDEX(样本到样信息汇总统计!K$2:K$500,MATCH(159,样本到样信息汇总统计!$AA$2:$AA$500,0)),"")</f>
        <v/>
      </c>
      <c r="L160" s="4" t="str">
        <f>IFERROR(INDEX(样本到样信息汇总统计!L$2:L$500,MATCH(159,样本到样信息汇总统计!$AA$2:$AA$500,0)),"")</f>
        <v/>
      </c>
      <c r="M160" s="4" t="str">
        <f>IFERROR(INDEX(样本到样信息汇总统计!M$2:M$500,MATCH(159,样本到样信息汇总统计!$AA$2:$AA$500,0)),"")</f>
        <v/>
      </c>
      <c r="N160" s="4" t="str">
        <f>IFERROR(INDEX(样本到样信息汇总统计!N$2:N$500,MATCH(159,样本到样信息汇总统计!$AA$2:$AA$500,0)),"")</f>
        <v/>
      </c>
      <c r="O160" s="4" t="str">
        <f>IFERROR(INDEX(样本到样信息汇总统计!O$2:O$500,MATCH(159,样本到样信息汇总统计!$AA$2:$AA$500,0)),"")</f>
        <v/>
      </c>
      <c r="P160" s="4" t="str">
        <f>IFERROR(INDEX(样本到样信息汇总统计!P$2:P$500,MATCH(159,样本到样信息汇总统计!$AA$2:$AA$500,0)),"")</f>
        <v/>
      </c>
      <c r="Q160" s="4" t="str">
        <f>IFERROR(INDEX(样本到样信息汇总统计!Q$2:Q$500,MATCH(159,样本到样信息汇总统计!$AA$2:$AA$500,0)),"")</f>
        <v/>
      </c>
      <c r="R160" s="4" t="str">
        <f>IFERROR(INDEX(样本到样信息汇总统计!R$2:R$500,MATCH(159,样本到样信息汇总统计!$AA$2:$AA$500,0)),"")</f>
        <v/>
      </c>
      <c r="S160" s="4" t="str">
        <f>IFERROR(INDEX(样本到样信息汇总统计!S$2:S$500,MATCH(159,样本到样信息汇总统计!$AA$2:$AA$500,0)),"")</f>
        <v/>
      </c>
      <c r="T160" s="4" t="str">
        <f>IFERROR(INDEX(样本到样信息汇总统计!T$2:T$500,MATCH(159,样本到样信息汇总统计!$AA$2:$AA$500,0)),"")</f>
        <v/>
      </c>
      <c r="U160" s="4" t="str">
        <f>IFERROR(INDEX(样本到样信息汇总统计!U$2:U$500,MATCH(159,样本到样信息汇总统计!$AA$2:$AA$500,0)),"")</f>
        <v/>
      </c>
      <c r="V160" s="4" t="str">
        <f>IFERROR(INDEX(样本到样信息汇总统计!V$2:V$500,MATCH(159,样本到样信息汇总统计!$AA$2:$AA$500,0)),"")</f>
        <v/>
      </c>
      <c r="W160" s="4" t="str">
        <f>IFERROR(INDEX(样本到样信息汇总统计!W$2:W$500,MATCH(159,样本到样信息汇总统计!$AA$2:$AA$500,0)),"")</f>
        <v/>
      </c>
    </row>
    <row r="161" ht="14.5" spans="1:23">
      <c r="A161" s="8" t="str">
        <f>IFERROR(INDEX(样本到样信息汇总统计!A$2:A$500,MATCH(160,样本到样信息汇总统计!$AA$2:$AA$500,0)),"")</f>
        <v/>
      </c>
      <c r="B161" s="8" t="str">
        <f>IFERROR(INDEX(样本到样信息汇总统计!B$2:B$500,MATCH(160,样本到样信息汇总统计!$AA$2:$AA$500,0)),"")</f>
        <v/>
      </c>
      <c r="C161" s="8" t="str">
        <f>IFERROR(INDEX(样本到样信息汇总统计!C$2:C$500,MATCH(160,样本到样信息汇总统计!$AA$2:$AA$500,0)),"")</f>
        <v/>
      </c>
      <c r="D161" s="8" t="str">
        <f>IFERROR(INDEX(样本到样信息汇总统计!D$2:D$500,MATCH(160,样本到样信息汇总统计!$AA$2:$AA$500,0)),"")</f>
        <v/>
      </c>
      <c r="E161" s="8" t="str">
        <f>IFERROR(INDEX(样本到样信息汇总统计!E$2:E$500,MATCH(160,样本到样信息汇总统计!$AA$2:$AA$500,0)),"")</f>
        <v/>
      </c>
      <c r="F161" s="8" t="str">
        <f>IFERROR(INDEX(样本到样信息汇总统计!F$2:F$500,MATCH(160,样本到样信息汇总统计!$AA$2:$AA$500,0)),"")</f>
        <v/>
      </c>
      <c r="G161" s="8" t="str">
        <f>IFERROR(INDEX(样本到样信息汇总统计!G$2:G$500,MATCH(160,样本到样信息汇总统计!$AA$2:$AA$500,0)),"")</f>
        <v/>
      </c>
      <c r="H161" s="8" t="str">
        <f>IFERROR(INDEX(样本到样信息汇总统计!H$2:H$500,MATCH(160,样本到样信息汇总统计!$AA$2:$AA$500,0)),"")</f>
        <v/>
      </c>
      <c r="I161" s="8" t="str">
        <f>IFERROR(INDEX(样本到样信息汇总统计!I$2:I$500,MATCH(160,样本到样信息汇总统计!$AA$2:$AA$500,0)),"")</f>
        <v/>
      </c>
      <c r="J161" s="8" t="str">
        <f>IFERROR(INDEX(样本到样信息汇总统计!J$2:J$500,MATCH(160,样本到样信息汇总统计!$AA$2:$AA$500,0)),"")</f>
        <v/>
      </c>
      <c r="K161" s="8" t="str">
        <f>IFERROR(INDEX(样本到样信息汇总统计!K$2:K$500,MATCH(160,样本到样信息汇总统计!$AA$2:$AA$500,0)),"")</f>
        <v/>
      </c>
      <c r="L161" s="8" t="str">
        <f>IFERROR(INDEX(样本到样信息汇总统计!L$2:L$500,MATCH(160,样本到样信息汇总统计!$AA$2:$AA$500,0)),"")</f>
        <v/>
      </c>
      <c r="M161" s="8" t="str">
        <f>IFERROR(INDEX(样本到样信息汇总统计!M$2:M$500,MATCH(160,样本到样信息汇总统计!$AA$2:$AA$500,0)),"")</f>
        <v/>
      </c>
      <c r="N161" s="8" t="str">
        <f>IFERROR(INDEX(样本到样信息汇总统计!N$2:N$500,MATCH(160,样本到样信息汇总统计!$AA$2:$AA$500,0)),"")</f>
        <v/>
      </c>
      <c r="O161" s="8" t="str">
        <f>IFERROR(INDEX(样本到样信息汇总统计!O$2:O$500,MATCH(160,样本到样信息汇总统计!$AA$2:$AA$500,0)),"")</f>
        <v/>
      </c>
      <c r="P161" s="8" t="str">
        <f>IFERROR(INDEX(样本到样信息汇总统计!P$2:P$500,MATCH(160,样本到样信息汇总统计!$AA$2:$AA$500,0)),"")</f>
        <v/>
      </c>
      <c r="Q161" s="8" t="str">
        <f>IFERROR(INDEX(样本到样信息汇总统计!Q$2:Q$500,MATCH(160,样本到样信息汇总统计!$AA$2:$AA$500,0)),"")</f>
        <v/>
      </c>
      <c r="R161" s="8" t="str">
        <f>IFERROR(INDEX(样本到样信息汇总统计!R$2:R$500,MATCH(160,样本到样信息汇总统计!$AA$2:$AA$500,0)),"")</f>
        <v/>
      </c>
      <c r="S161" s="8" t="str">
        <f>IFERROR(INDEX(样本到样信息汇总统计!S$2:S$500,MATCH(160,样本到样信息汇总统计!$AA$2:$AA$500,0)),"")</f>
        <v/>
      </c>
      <c r="T161" s="8" t="str">
        <f>IFERROR(INDEX(样本到样信息汇总统计!T$2:T$500,MATCH(160,样本到样信息汇总统计!$AA$2:$AA$500,0)),"")</f>
        <v/>
      </c>
      <c r="U161" s="8" t="str">
        <f>IFERROR(INDEX(样本到样信息汇总统计!U$2:U$500,MATCH(160,样本到样信息汇总统计!$AA$2:$AA$500,0)),"")</f>
        <v/>
      </c>
      <c r="V161" s="8" t="str">
        <f>IFERROR(INDEX(样本到样信息汇总统计!V$2:V$500,MATCH(160,样本到样信息汇总统计!$AA$2:$AA$500,0)),"")</f>
        <v/>
      </c>
      <c r="W161" s="8" t="str">
        <f>IFERROR(INDEX(样本到样信息汇总统计!W$2:W$500,MATCH(160,样本到样信息汇总统计!$AA$2:$AA$500,0)),"")</f>
        <v/>
      </c>
    </row>
    <row r="162" ht="14.5" spans="1:23">
      <c r="A162" s="4" t="str">
        <f>IFERROR(INDEX(样本到样信息汇总统计!A$2:A$500,MATCH(161,样本到样信息汇总统计!$AA$2:$AA$500,0)),"")</f>
        <v/>
      </c>
      <c r="B162" s="4" t="str">
        <f>IFERROR(INDEX(样本到样信息汇总统计!B$2:B$500,MATCH(161,样本到样信息汇总统计!$AA$2:$AA$500,0)),"")</f>
        <v/>
      </c>
      <c r="C162" s="4" t="str">
        <f>IFERROR(INDEX(样本到样信息汇总统计!C$2:C$500,MATCH(161,样本到样信息汇总统计!$AA$2:$AA$500,0)),"")</f>
        <v/>
      </c>
      <c r="D162" s="4" t="str">
        <f>IFERROR(INDEX(样本到样信息汇总统计!D$2:D$500,MATCH(161,样本到样信息汇总统计!$AA$2:$AA$500,0)),"")</f>
        <v/>
      </c>
      <c r="E162" s="4" t="str">
        <f>IFERROR(INDEX(样本到样信息汇总统计!E$2:E$500,MATCH(161,样本到样信息汇总统计!$AA$2:$AA$500,0)),"")</f>
        <v/>
      </c>
      <c r="F162" s="4" t="str">
        <f>IFERROR(INDEX(样本到样信息汇总统计!F$2:F$500,MATCH(161,样本到样信息汇总统计!$AA$2:$AA$500,0)),"")</f>
        <v/>
      </c>
      <c r="G162" s="4" t="str">
        <f>IFERROR(INDEX(样本到样信息汇总统计!G$2:G$500,MATCH(161,样本到样信息汇总统计!$AA$2:$AA$500,0)),"")</f>
        <v/>
      </c>
      <c r="H162" s="4" t="str">
        <f>IFERROR(INDEX(样本到样信息汇总统计!H$2:H$500,MATCH(161,样本到样信息汇总统计!$AA$2:$AA$500,0)),"")</f>
        <v/>
      </c>
      <c r="I162" s="4" t="str">
        <f>IFERROR(INDEX(样本到样信息汇总统计!I$2:I$500,MATCH(161,样本到样信息汇总统计!$AA$2:$AA$500,0)),"")</f>
        <v/>
      </c>
      <c r="J162" s="4" t="str">
        <f>IFERROR(INDEX(样本到样信息汇总统计!J$2:J$500,MATCH(161,样本到样信息汇总统计!$AA$2:$AA$500,0)),"")</f>
        <v/>
      </c>
      <c r="K162" s="4" t="str">
        <f>IFERROR(INDEX(样本到样信息汇总统计!K$2:K$500,MATCH(161,样本到样信息汇总统计!$AA$2:$AA$500,0)),"")</f>
        <v/>
      </c>
      <c r="L162" s="4" t="str">
        <f>IFERROR(INDEX(样本到样信息汇总统计!L$2:L$500,MATCH(161,样本到样信息汇总统计!$AA$2:$AA$500,0)),"")</f>
        <v/>
      </c>
      <c r="M162" s="4" t="str">
        <f>IFERROR(INDEX(样本到样信息汇总统计!M$2:M$500,MATCH(161,样本到样信息汇总统计!$AA$2:$AA$500,0)),"")</f>
        <v/>
      </c>
      <c r="N162" s="4" t="str">
        <f>IFERROR(INDEX(样本到样信息汇总统计!N$2:N$500,MATCH(161,样本到样信息汇总统计!$AA$2:$AA$500,0)),"")</f>
        <v/>
      </c>
      <c r="O162" s="4" t="str">
        <f>IFERROR(INDEX(样本到样信息汇总统计!O$2:O$500,MATCH(161,样本到样信息汇总统计!$AA$2:$AA$500,0)),"")</f>
        <v/>
      </c>
      <c r="P162" s="4" t="str">
        <f>IFERROR(INDEX(样本到样信息汇总统计!P$2:P$500,MATCH(161,样本到样信息汇总统计!$AA$2:$AA$500,0)),"")</f>
        <v/>
      </c>
      <c r="Q162" s="4" t="str">
        <f>IFERROR(INDEX(样本到样信息汇总统计!Q$2:Q$500,MATCH(161,样本到样信息汇总统计!$AA$2:$AA$500,0)),"")</f>
        <v/>
      </c>
      <c r="R162" s="4" t="str">
        <f>IFERROR(INDEX(样本到样信息汇总统计!R$2:R$500,MATCH(161,样本到样信息汇总统计!$AA$2:$AA$500,0)),"")</f>
        <v/>
      </c>
      <c r="S162" s="4" t="str">
        <f>IFERROR(INDEX(样本到样信息汇总统计!S$2:S$500,MATCH(161,样本到样信息汇总统计!$AA$2:$AA$500,0)),"")</f>
        <v/>
      </c>
      <c r="T162" s="4" t="str">
        <f>IFERROR(INDEX(样本到样信息汇总统计!T$2:T$500,MATCH(161,样本到样信息汇总统计!$AA$2:$AA$500,0)),"")</f>
        <v/>
      </c>
      <c r="U162" s="4" t="str">
        <f>IFERROR(INDEX(样本到样信息汇总统计!U$2:U$500,MATCH(161,样本到样信息汇总统计!$AA$2:$AA$500,0)),"")</f>
        <v/>
      </c>
      <c r="V162" s="4" t="str">
        <f>IFERROR(INDEX(样本到样信息汇总统计!V$2:V$500,MATCH(161,样本到样信息汇总统计!$AA$2:$AA$500,0)),"")</f>
        <v/>
      </c>
      <c r="W162" s="4" t="str">
        <f>IFERROR(INDEX(样本到样信息汇总统计!W$2:W$500,MATCH(161,样本到样信息汇总统计!$AA$2:$AA$500,0)),"")</f>
        <v/>
      </c>
    </row>
    <row r="163" ht="14.5" spans="1:23">
      <c r="A163" s="8" t="str">
        <f>IFERROR(INDEX(样本到样信息汇总统计!A$2:A$500,MATCH(162,样本到样信息汇总统计!$AA$2:$AA$500,0)),"")</f>
        <v/>
      </c>
      <c r="B163" s="8" t="str">
        <f>IFERROR(INDEX(样本到样信息汇总统计!B$2:B$500,MATCH(162,样本到样信息汇总统计!$AA$2:$AA$500,0)),"")</f>
        <v/>
      </c>
      <c r="C163" s="8" t="str">
        <f>IFERROR(INDEX(样本到样信息汇总统计!C$2:C$500,MATCH(162,样本到样信息汇总统计!$AA$2:$AA$500,0)),"")</f>
        <v/>
      </c>
      <c r="D163" s="8" t="str">
        <f>IFERROR(INDEX(样本到样信息汇总统计!D$2:D$500,MATCH(162,样本到样信息汇总统计!$AA$2:$AA$500,0)),"")</f>
        <v/>
      </c>
      <c r="E163" s="8" t="str">
        <f>IFERROR(INDEX(样本到样信息汇总统计!E$2:E$500,MATCH(162,样本到样信息汇总统计!$AA$2:$AA$500,0)),"")</f>
        <v/>
      </c>
      <c r="F163" s="8" t="str">
        <f>IFERROR(INDEX(样本到样信息汇总统计!F$2:F$500,MATCH(162,样本到样信息汇总统计!$AA$2:$AA$500,0)),"")</f>
        <v/>
      </c>
      <c r="G163" s="8" t="str">
        <f>IFERROR(INDEX(样本到样信息汇总统计!G$2:G$500,MATCH(162,样本到样信息汇总统计!$AA$2:$AA$500,0)),"")</f>
        <v/>
      </c>
      <c r="H163" s="8" t="str">
        <f>IFERROR(INDEX(样本到样信息汇总统计!H$2:H$500,MATCH(162,样本到样信息汇总统计!$AA$2:$AA$500,0)),"")</f>
        <v/>
      </c>
      <c r="I163" s="8" t="str">
        <f>IFERROR(INDEX(样本到样信息汇总统计!I$2:I$500,MATCH(162,样本到样信息汇总统计!$AA$2:$AA$500,0)),"")</f>
        <v/>
      </c>
      <c r="J163" s="8" t="str">
        <f>IFERROR(INDEX(样本到样信息汇总统计!J$2:J$500,MATCH(162,样本到样信息汇总统计!$AA$2:$AA$500,0)),"")</f>
        <v/>
      </c>
      <c r="K163" s="8" t="str">
        <f>IFERROR(INDEX(样本到样信息汇总统计!K$2:K$500,MATCH(162,样本到样信息汇总统计!$AA$2:$AA$500,0)),"")</f>
        <v/>
      </c>
      <c r="L163" s="8" t="str">
        <f>IFERROR(INDEX(样本到样信息汇总统计!L$2:L$500,MATCH(162,样本到样信息汇总统计!$AA$2:$AA$500,0)),"")</f>
        <v/>
      </c>
      <c r="M163" s="8" t="str">
        <f>IFERROR(INDEX(样本到样信息汇总统计!M$2:M$500,MATCH(162,样本到样信息汇总统计!$AA$2:$AA$500,0)),"")</f>
        <v/>
      </c>
      <c r="N163" s="8" t="str">
        <f>IFERROR(INDEX(样本到样信息汇总统计!N$2:N$500,MATCH(162,样本到样信息汇总统计!$AA$2:$AA$500,0)),"")</f>
        <v/>
      </c>
      <c r="O163" s="8" t="str">
        <f>IFERROR(INDEX(样本到样信息汇总统计!O$2:O$500,MATCH(162,样本到样信息汇总统计!$AA$2:$AA$500,0)),"")</f>
        <v/>
      </c>
      <c r="P163" s="8" t="str">
        <f>IFERROR(INDEX(样本到样信息汇总统计!P$2:P$500,MATCH(162,样本到样信息汇总统计!$AA$2:$AA$500,0)),"")</f>
        <v/>
      </c>
      <c r="Q163" s="8" t="str">
        <f>IFERROR(INDEX(样本到样信息汇总统计!Q$2:Q$500,MATCH(162,样本到样信息汇总统计!$AA$2:$AA$500,0)),"")</f>
        <v/>
      </c>
      <c r="R163" s="8" t="str">
        <f>IFERROR(INDEX(样本到样信息汇总统计!R$2:R$500,MATCH(162,样本到样信息汇总统计!$AA$2:$AA$500,0)),"")</f>
        <v/>
      </c>
      <c r="S163" s="8" t="str">
        <f>IFERROR(INDEX(样本到样信息汇总统计!S$2:S$500,MATCH(162,样本到样信息汇总统计!$AA$2:$AA$500,0)),"")</f>
        <v/>
      </c>
      <c r="T163" s="8" t="str">
        <f>IFERROR(INDEX(样本到样信息汇总统计!T$2:T$500,MATCH(162,样本到样信息汇总统计!$AA$2:$AA$500,0)),"")</f>
        <v/>
      </c>
      <c r="U163" s="8" t="str">
        <f>IFERROR(INDEX(样本到样信息汇总统计!U$2:U$500,MATCH(162,样本到样信息汇总统计!$AA$2:$AA$500,0)),"")</f>
        <v/>
      </c>
      <c r="V163" s="8" t="str">
        <f>IFERROR(INDEX(样本到样信息汇总统计!V$2:V$500,MATCH(162,样本到样信息汇总统计!$AA$2:$AA$500,0)),"")</f>
        <v/>
      </c>
      <c r="W163" s="8" t="str">
        <f>IFERROR(INDEX(样本到样信息汇总统计!W$2:W$500,MATCH(162,样本到样信息汇总统计!$AA$2:$AA$500,0)),"")</f>
        <v/>
      </c>
    </row>
    <row r="164" ht="14.5" spans="1:23">
      <c r="A164" s="4" t="str">
        <f>IFERROR(INDEX(样本到样信息汇总统计!A$2:A$500,MATCH(163,样本到样信息汇总统计!$AA$2:$AA$500,0)),"")</f>
        <v/>
      </c>
      <c r="B164" s="4" t="str">
        <f>IFERROR(INDEX(样本到样信息汇总统计!B$2:B$500,MATCH(163,样本到样信息汇总统计!$AA$2:$AA$500,0)),"")</f>
        <v/>
      </c>
      <c r="C164" s="4" t="str">
        <f>IFERROR(INDEX(样本到样信息汇总统计!C$2:C$500,MATCH(163,样本到样信息汇总统计!$AA$2:$AA$500,0)),"")</f>
        <v/>
      </c>
      <c r="D164" s="4" t="str">
        <f>IFERROR(INDEX(样本到样信息汇总统计!D$2:D$500,MATCH(163,样本到样信息汇总统计!$AA$2:$AA$500,0)),"")</f>
        <v/>
      </c>
      <c r="E164" s="4" t="str">
        <f>IFERROR(INDEX(样本到样信息汇总统计!E$2:E$500,MATCH(163,样本到样信息汇总统计!$AA$2:$AA$500,0)),"")</f>
        <v/>
      </c>
      <c r="F164" s="4" t="str">
        <f>IFERROR(INDEX(样本到样信息汇总统计!F$2:F$500,MATCH(163,样本到样信息汇总统计!$AA$2:$AA$500,0)),"")</f>
        <v/>
      </c>
      <c r="G164" s="4" t="str">
        <f>IFERROR(INDEX(样本到样信息汇总统计!G$2:G$500,MATCH(163,样本到样信息汇总统计!$AA$2:$AA$500,0)),"")</f>
        <v/>
      </c>
      <c r="H164" s="4" t="str">
        <f>IFERROR(INDEX(样本到样信息汇总统计!H$2:H$500,MATCH(163,样本到样信息汇总统计!$AA$2:$AA$500,0)),"")</f>
        <v/>
      </c>
      <c r="I164" s="4" t="str">
        <f>IFERROR(INDEX(样本到样信息汇总统计!I$2:I$500,MATCH(163,样本到样信息汇总统计!$AA$2:$AA$500,0)),"")</f>
        <v/>
      </c>
      <c r="J164" s="4" t="str">
        <f>IFERROR(INDEX(样本到样信息汇总统计!J$2:J$500,MATCH(163,样本到样信息汇总统计!$AA$2:$AA$500,0)),"")</f>
        <v/>
      </c>
      <c r="K164" s="4" t="str">
        <f>IFERROR(INDEX(样本到样信息汇总统计!K$2:K$500,MATCH(163,样本到样信息汇总统计!$AA$2:$AA$500,0)),"")</f>
        <v/>
      </c>
      <c r="L164" s="4" t="str">
        <f>IFERROR(INDEX(样本到样信息汇总统计!L$2:L$500,MATCH(163,样本到样信息汇总统计!$AA$2:$AA$500,0)),"")</f>
        <v/>
      </c>
      <c r="M164" s="4" t="str">
        <f>IFERROR(INDEX(样本到样信息汇总统计!M$2:M$500,MATCH(163,样本到样信息汇总统计!$AA$2:$AA$500,0)),"")</f>
        <v/>
      </c>
      <c r="N164" s="4" t="str">
        <f>IFERROR(INDEX(样本到样信息汇总统计!N$2:N$500,MATCH(163,样本到样信息汇总统计!$AA$2:$AA$500,0)),"")</f>
        <v/>
      </c>
      <c r="O164" s="4" t="str">
        <f>IFERROR(INDEX(样本到样信息汇总统计!O$2:O$500,MATCH(163,样本到样信息汇总统计!$AA$2:$AA$500,0)),"")</f>
        <v/>
      </c>
      <c r="P164" s="4" t="str">
        <f>IFERROR(INDEX(样本到样信息汇总统计!P$2:P$500,MATCH(163,样本到样信息汇总统计!$AA$2:$AA$500,0)),"")</f>
        <v/>
      </c>
      <c r="Q164" s="4" t="str">
        <f>IFERROR(INDEX(样本到样信息汇总统计!Q$2:Q$500,MATCH(163,样本到样信息汇总统计!$AA$2:$AA$500,0)),"")</f>
        <v/>
      </c>
      <c r="R164" s="4" t="str">
        <f>IFERROR(INDEX(样本到样信息汇总统计!R$2:R$500,MATCH(163,样本到样信息汇总统计!$AA$2:$AA$500,0)),"")</f>
        <v/>
      </c>
      <c r="S164" s="4" t="str">
        <f>IFERROR(INDEX(样本到样信息汇总统计!S$2:S$500,MATCH(163,样本到样信息汇总统计!$AA$2:$AA$500,0)),"")</f>
        <v/>
      </c>
      <c r="T164" s="4" t="str">
        <f>IFERROR(INDEX(样本到样信息汇总统计!T$2:T$500,MATCH(163,样本到样信息汇总统计!$AA$2:$AA$500,0)),"")</f>
        <v/>
      </c>
      <c r="U164" s="4" t="str">
        <f>IFERROR(INDEX(样本到样信息汇总统计!U$2:U$500,MATCH(163,样本到样信息汇总统计!$AA$2:$AA$500,0)),"")</f>
        <v/>
      </c>
      <c r="V164" s="4" t="str">
        <f>IFERROR(INDEX(样本到样信息汇总统计!V$2:V$500,MATCH(163,样本到样信息汇总统计!$AA$2:$AA$500,0)),"")</f>
        <v/>
      </c>
      <c r="W164" s="4" t="str">
        <f>IFERROR(INDEX(样本到样信息汇总统计!W$2:W$500,MATCH(163,样本到样信息汇总统计!$AA$2:$AA$500,0)),"")</f>
        <v/>
      </c>
    </row>
    <row r="165" ht="14.5" spans="1:23">
      <c r="A165" s="8" t="str">
        <f>IFERROR(INDEX(样本到样信息汇总统计!A$2:A$500,MATCH(164,样本到样信息汇总统计!$AA$2:$AA$500,0)),"")</f>
        <v/>
      </c>
      <c r="B165" s="8" t="str">
        <f>IFERROR(INDEX(样本到样信息汇总统计!B$2:B$500,MATCH(164,样本到样信息汇总统计!$AA$2:$AA$500,0)),"")</f>
        <v/>
      </c>
      <c r="C165" s="8" t="str">
        <f>IFERROR(INDEX(样本到样信息汇总统计!C$2:C$500,MATCH(164,样本到样信息汇总统计!$AA$2:$AA$500,0)),"")</f>
        <v/>
      </c>
      <c r="D165" s="8" t="str">
        <f>IFERROR(INDEX(样本到样信息汇总统计!D$2:D$500,MATCH(164,样本到样信息汇总统计!$AA$2:$AA$500,0)),"")</f>
        <v/>
      </c>
      <c r="E165" s="8" t="str">
        <f>IFERROR(INDEX(样本到样信息汇总统计!E$2:E$500,MATCH(164,样本到样信息汇总统计!$AA$2:$AA$500,0)),"")</f>
        <v/>
      </c>
      <c r="F165" s="8" t="str">
        <f>IFERROR(INDEX(样本到样信息汇总统计!F$2:F$500,MATCH(164,样本到样信息汇总统计!$AA$2:$AA$500,0)),"")</f>
        <v/>
      </c>
      <c r="G165" s="8" t="str">
        <f>IFERROR(INDEX(样本到样信息汇总统计!G$2:G$500,MATCH(164,样本到样信息汇总统计!$AA$2:$AA$500,0)),"")</f>
        <v/>
      </c>
      <c r="H165" s="8" t="str">
        <f>IFERROR(INDEX(样本到样信息汇总统计!H$2:H$500,MATCH(164,样本到样信息汇总统计!$AA$2:$AA$500,0)),"")</f>
        <v/>
      </c>
      <c r="I165" s="8" t="str">
        <f>IFERROR(INDEX(样本到样信息汇总统计!I$2:I$500,MATCH(164,样本到样信息汇总统计!$AA$2:$AA$500,0)),"")</f>
        <v/>
      </c>
      <c r="J165" s="8" t="str">
        <f>IFERROR(INDEX(样本到样信息汇总统计!J$2:J$500,MATCH(164,样本到样信息汇总统计!$AA$2:$AA$500,0)),"")</f>
        <v/>
      </c>
      <c r="K165" s="8" t="str">
        <f>IFERROR(INDEX(样本到样信息汇总统计!K$2:K$500,MATCH(164,样本到样信息汇总统计!$AA$2:$AA$500,0)),"")</f>
        <v/>
      </c>
      <c r="L165" s="8" t="str">
        <f>IFERROR(INDEX(样本到样信息汇总统计!L$2:L$500,MATCH(164,样本到样信息汇总统计!$AA$2:$AA$500,0)),"")</f>
        <v/>
      </c>
      <c r="M165" s="8" t="str">
        <f>IFERROR(INDEX(样本到样信息汇总统计!M$2:M$500,MATCH(164,样本到样信息汇总统计!$AA$2:$AA$500,0)),"")</f>
        <v/>
      </c>
      <c r="N165" s="8" t="str">
        <f>IFERROR(INDEX(样本到样信息汇总统计!N$2:N$500,MATCH(164,样本到样信息汇总统计!$AA$2:$AA$500,0)),"")</f>
        <v/>
      </c>
      <c r="O165" s="8" t="str">
        <f>IFERROR(INDEX(样本到样信息汇总统计!O$2:O$500,MATCH(164,样本到样信息汇总统计!$AA$2:$AA$500,0)),"")</f>
        <v/>
      </c>
      <c r="P165" s="8" t="str">
        <f>IFERROR(INDEX(样本到样信息汇总统计!P$2:P$500,MATCH(164,样本到样信息汇总统计!$AA$2:$AA$500,0)),"")</f>
        <v/>
      </c>
      <c r="Q165" s="8" t="str">
        <f>IFERROR(INDEX(样本到样信息汇总统计!Q$2:Q$500,MATCH(164,样本到样信息汇总统计!$AA$2:$AA$500,0)),"")</f>
        <v/>
      </c>
      <c r="R165" s="8" t="str">
        <f>IFERROR(INDEX(样本到样信息汇总统计!R$2:R$500,MATCH(164,样本到样信息汇总统计!$AA$2:$AA$500,0)),"")</f>
        <v/>
      </c>
      <c r="S165" s="8" t="str">
        <f>IFERROR(INDEX(样本到样信息汇总统计!S$2:S$500,MATCH(164,样本到样信息汇总统计!$AA$2:$AA$500,0)),"")</f>
        <v/>
      </c>
      <c r="T165" s="8" t="str">
        <f>IFERROR(INDEX(样本到样信息汇总统计!T$2:T$500,MATCH(164,样本到样信息汇总统计!$AA$2:$AA$500,0)),"")</f>
        <v/>
      </c>
      <c r="U165" s="8" t="str">
        <f>IFERROR(INDEX(样本到样信息汇总统计!U$2:U$500,MATCH(164,样本到样信息汇总统计!$AA$2:$AA$500,0)),"")</f>
        <v/>
      </c>
      <c r="V165" s="8" t="str">
        <f>IFERROR(INDEX(样本到样信息汇总统计!V$2:V$500,MATCH(164,样本到样信息汇总统计!$AA$2:$AA$500,0)),"")</f>
        <v/>
      </c>
      <c r="W165" s="8" t="str">
        <f>IFERROR(INDEX(样本到样信息汇总统计!W$2:W$500,MATCH(164,样本到样信息汇总统计!$AA$2:$AA$500,0)),"")</f>
        <v/>
      </c>
    </row>
    <row r="166" ht="14.5" spans="1:23">
      <c r="A166" s="4" t="str">
        <f>IFERROR(INDEX(样本到样信息汇总统计!A$2:A$500,MATCH(165,样本到样信息汇总统计!$AA$2:$AA$500,0)),"")</f>
        <v/>
      </c>
      <c r="B166" s="4" t="str">
        <f>IFERROR(INDEX(样本到样信息汇总统计!B$2:B$500,MATCH(165,样本到样信息汇总统计!$AA$2:$AA$500,0)),"")</f>
        <v/>
      </c>
      <c r="C166" s="4" t="str">
        <f>IFERROR(INDEX(样本到样信息汇总统计!C$2:C$500,MATCH(165,样本到样信息汇总统计!$AA$2:$AA$500,0)),"")</f>
        <v/>
      </c>
      <c r="D166" s="4" t="str">
        <f>IFERROR(INDEX(样本到样信息汇总统计!D$2:D$500,MATCH(165,样本到样信息汇总统计!$AA$2:$AA$500,0)),"")</f>
        <v/>
      </c>
      <c r="E166" s="4" t="str">
        <f>IFERROR(INDEX(样本到样信息汇总统计!E$2:E$500,MATCH(165,样本到样信息汇总统计!$AA$2:$AA$500,0)),"")</f>
        <v/>
      </c>
      <c r="F166" s="4" t="str">
        <f>IFERROR(INDEX(样本到样信息汇总统计!F$2:F$500,MATCH(165,样本到样信息汇总统计!$AA$2:$AA$500,0)),"")</f>
        <v/>
      </c>
      <c r="G166" s="4" t="str">
        <f>IFERROR(INDEX(样本到样信息汇总统计!G$2:G$500,MATCH(165,样本到样信息汇总统计!$AA$2:$AA$500,0)),"")</f>
        <v/>
      </c>
      <c r="H166" s="4" t="str">
        <f>IFERROR(INDEX(样本到样信息汇总统计!H$2:H$500,MATCH(165,样本到样信息汇总统计!$AA$2:$AA$500,0)),"")</f>
        <v/>
      </c>
      <c r="I166" s="4" t="str">
        <f>IFERROR(INDEX(样本到样信息汇总统计!I$2:I$500,MATCH(165,样本到样信息汇总统计!$AA$2:$AA$500,0)),"")</f>
        <v/>
      </c>
      <c r="J166" s="4" t="str">
        <f>IFERROR(INDEX(样本到样信息汇总统计!J$2:J$500,MATCH(165,样本到样信息汇总统计!$AA$2:$AA$500,0)),"")</f>
        <v/>
      </c>
      <c r="K166" s="4" t="str">
        <f>IFERROR(INDEX(样本到样信息汇总统计!K$2:K$500,MATCH(165,样本到样信息汇总统计!$AA$2:$AA$500,0)),"")</f>
        <v/>
      </c>
      <c r="L166" s="4" t="str">
        <f>IFERROR(INDEX(样本到样信息汇总统计!L$2:L$500,MATCH(165,样本到样信息汇总统计!$AA$2:$AA$500,0)),"")</f>
        <v/>
      </c>
      <c r="M166" s="4" t="str">
        <f>IFERROR(INDEX(样本到样信息汇总统计!M$2:M$500,MATCH(165,样本到样信息汇总统计!$AA$2:$AA$500,0)),"")</f>
        <v/>
      </c>
      <c r="N166" s="4" t="str">
        <f>IFERROR(INDEX(样本到样信息汇总统计!N$2:N$500,MATCH(165,样本到样信息汇总统计!$AA$2:$AA$500,0)),"")</f>
        <v/>
      </c>
      <c r="O166" s="4" t="str">
        <f>IFERROR(INDEX(样本到样信息汇总统计!O$2:O$500,MATCH(165,样本到样信息汇总统计!$AA$2:$AA$500,0)),"")</f>
        <v/>
      </c>
      <c r="P166" s="4" t="str">
        <f>IFERROR(INDEX(样本到样信息汇总统计!P$2:P$500,MATCH(165,样本到样信息汇总统计!$AA$2:$AA$500,0)),"")</f>
        <v/>
      </c>
      <c r="Q166" s="4" t="str">
        <f>IFERROR(INDEX(样本到样信息汇总统计!Q$2:Q$500,MATCH(165,样本到样信息汇总统计!$AA$2:$AA$500,0)),"")</f>
        <v/>
      </c>
      <c r="R166" s="4" t="str">
        <f>IFERROR(INDEX(样本到样信息汇总统计!R$2:R$500,MATCH(165,样本到样信息汇总统计!$AA$2:$AA$500,0)),"")</f>
        <v/>
      </c>
      <c r="S166" s="4" t="str">
        <f>IFERROR(INDEX(样本到样信息汇总统计!S$2:S$500,MATCH(165,样本到样信息汇总统计!$AA$2:$AA$500,0)),"")</f>
        <v/>
      </c>
      <c r="T166" s="4" t="str">
        <f>IFERROR(INDEX(样本到样信息汇总统计!T$2:T$500,MATCH(165,样本到样信息汇总统计!$AA$2:$AA$500,0)),"")</f>
        <v/>
      </c>
      <c r="U166" s="4" t="str">
        <f>IFERROR(INDEX(样本到样信息汇总统计!U$2:U$500,MATCH(165,样本到样信息汇总统计!$AA$2:$AA$500,0)),"")</f>
        <v/>
      </c>
      <c r="V166" s="4" t="str">
        <f>IFERROR(INDEX(样本到样信息汇总统计!V$2:V$500,MATCH(165,样本到样信息汇总统计!$AA$2:$AA$500,0)),"")</f>
        <v/>
      </c>
      <c r="W166" s="4" t="str">
        <f>IFERROR(INDEX(样本到样信息汇总统计!W$2:W$500,MATCH(165,样本到样信息汇总统计!$AA$2:$AA$500,0)),"")</f>
        <v/>
      </c>
    </row>
    <row r="167" ht="14.5" spans="1:23">
      <c r="A167" s="8" t="str">
        <f>IFERROR(INDEX(样本到样信息汇总统计!A$2:A$500,MATCH(166,样本到样信息汇总统计!$AA$2:$AA$500,0)),"")</f>
        <v/>
      </c>
      <c r="B167" s="8" t="str">
        <f>IFERROR(INDEX(样本到样信息汇总统计!B$2:B$500,MATCH(166,样本到样信息汇总统计!$AA$2:$AA$500,0)),"")</f>
        <v/>
      </c>
      <c r="C167" s="8" t="str">
        <f>IFERROR(INDEX(样本到样信息汇总统计!C$2:C$500,MATCH(166,样本到样信息汇总统计!$AA$2:$AA$500,0)),"")</f>
        <v/>
      </c>
      <c r="D167" s="8" t="str">
        <f>IFERROR(INDEX(样本到样信息汇总统计!D$2:D$500,MATCH(166,样本到样信息汇总统计!$AA$2:$AA$500,0)),"")</f>
        <v/>
      </c>
      <c r="E167" s="8" t="str">
        <f>IFERROR(INDEX(样本到样信息汇总统计!E$2:E$500,MATCH(166,样本到样信息汇总统计!$AA$2:$AA$500,0)),"")</f>
        <v/>
      </c>
      <c r="F167" s="8" t="str">
        <f>IFERROR(INDEX(样本到样信息汇总统计!F$2:F$500,MATCH(166,样本到样信息汇总统计!$AA$2:$AA$500,0)),"")</f>
        <v/>
      </c>
      <c r="G167" s="8" t="str">
        <f>IFERROR(INDEX(样本到样信息汇总统计!G$2:G$500,MATCH(166,样本到样信息汇总统计!$AA$2:$AA$500,0)),"")</f>
        <v/>
      </c>
      <c r="H167" s="8" t="str">
        <f>IFERROR(INDEX(样本到样信息汇总统计!H$2:H$500,MATCH(166,样本到样信息汇总统计!$AA$2:$AA$500,0)),"")</f>
        <v/>
      </c>
      <c r="I167" s="8" t="str">
        <f>IFERROR(INDEX(样本到样信息汇总统计!I$2:I$500,MATCH(166,样本到样信息汇总统计!$AA$2:$AA$500,0)),"")</f>
        <v/>
      </c>
      <c r="J167" s="8" t="str">
        <f>IFERROR(INDEX(样本到样信息汇总统计!J$2:J$500,MATCH(166,样本到样信息汇总统计!$AA$2:$AA$500,0)),"")</f>
        <v/>
      </c>
      <c r="K167" s="8" t="str">
        <f>IFERROR(INDEX(样本到样信息汇总统计!K$2:K$500,MATCH(166,样本到样信息汇总统计!$AA$2:$AA$500,0)),"")</f>
        <v/>
      </c>
      <c r="L167" s="8" t="str">
        <f>IFERROR(INDEX(样本到样信息汇总统计!L$2:L$500,MATCH(166,样本到样信息汇总统计!$AA$2:$AA$500,0)),"")</f>
        <v/>
      </c>
      <c r="M167" s="8" t="str">
        <f>IFERROR(INDEX(样本到样信息汇总统计!M$2:M$500,MATCH(166,样本到样信息汇总统计!$AA$2:$AA$500,0)),"")</f>
        <v/>
      </c>
      <c r="N167" s="8" t="str">
        <f>IFERROR(INDEX(样本到样信息汇总统计!N$2:N$500,MATCH(166,样本到样信息汇总统计!$AA$2:$AA$500,0)),"")</f>
        <v/>
      </c>
      <c r="O167" s="8" t="str">
        <f>IFERROR(INDEX(样本到样信息汇总统计!O$2:O$500,MATCH(166,样本到样信息汇总统计!$AA$2:$AA$500,0)),"")</f>
        <v/>
      </c>
      <c r="P167" s="8" t="str">
        <f>IFERROR(INDEX(样本到样信息汇总统计!P$2:P$500,MATCH(166,样本到样信息汇总统计!$AA$2:$AA$500,0)),"")</f>
        <v/>
      </c>
      <c r="Q167" s="8" t="str">
        <f>IFERROR(INDEX(样本到样信息汇总统计!Q$2:Q$500,MATCH(166,样本到样信息汇总统计!$AA$2:$AA$500,0)),"")</f>
        <v/>
      </c>
      <c r="R167" s="8" t="str">
        <f>IFERROR(INDEX(样本到样信息汇总统计!R$2:R$500,MATCH(166,样本到样信息汇总统计!$AA$2:$AA$500,0)),"")</f>
        <v/>
      </c>
      <c r="S167" s="8" t="str">
        <f>IFERROR(INDEX(样本到样信息汇总统计!S$2:S$500,MATCH(166,样本到样信息汇总统计!$AA$2:$AA$500,0)),"")</f>
        <v/>
      </c>
      <c r="T167" s="8" t="str">
        <f>IFERROR(INDEX(样本到样信息汇总统计!T$2:T$500,MATCH(166,样本到样信息汇总统计!$AA$2:$AA$500,0)),"")</f>
        <v/>
      </c>
      <c r="U167" s="8" t="str">
        <f>IFERROR(INDEX(样本到样信息汇总统计!U$2:U$500,MATCH(166,样本到样信息汇总统计!$AA$2:$AA$500,0)),"")</f>
        <v/>
      </c>
      <c r="V167" s="8" t="str">
        <f>IFERROR(INDEX(样本到样信息汇总统计!V$2:V$500,MATCH(166,样本到样信息汇总统计!$AA$2:$AA$500,0)),"")</f>
        <v/>
      </c>
      <c r="W167" s="8" t="str">
        <f>IFERROR(INDEX(样本到样信息汇总统计!W$2:W$500,MATCH(166,样本到样信息汇总统计!$AA$2:$AA$500,0)),"")</f>
        <v/>
      </c>
    </row>
    <row r="168" ht="14.5" spans="1:23">
      <c r="A168" s="4" t="str">
        <f>IFERROR(INDEX(样本到样信息汇总统计!A$2:A$500,MATCH(167,样本到样信息汇总统计!$AA$2:$AA$500,0)),"")</f>
        <v/>
      </c>
      <c r="B168" s="4" t="str">
        <f>IFERROR(INDEX(样本到样信息汇总统计!B$2:B$500,MATCH(167,样本到样信息汇总统计!$AA$2:$AA$500,0)),"")</f>
        <v/>
      </c>
      <c r="C168" s="4" t="str">
        <f>IFERROR(INDEX(样本到样信息汇总统计!C$2:C$500,MATCH(167,样本到样信息汇总统计!$AA$2:$AA$500,0)),"")</f>
        <v/>
      </c>
      <c r="D168" s="4" t="str">
        <f>IFERROR(INDEX(样本到样信息汇总统计!D$2:D$500,MATCH(167,样本到样信息汇总统计!$AA$2:$AA$500,0)),"")</f>
        <v/>
      </c>
      <c r="E168" s="4" t="str">
        <f>IFERROR(INDEX(样本到样信息汇总统计!E$2:E$500,MATCH(167,样本到样信息汇总统计!$AA$2:$AA$500,0)),"")</f>
        <v/>
      </c>
      <c r="F168" s="4" t="str">
        <f>IFERROR(INDEX(样本到样信息汇总统计!F$2:F$500,MATCH(167,样本到样信息汇总统计!$AA$2:$AA$500,0)),"")</f>
        <v/>
      </c>
      <c r="G168" s="4" t="str">
        <f>IFERROR(INDEX(样本到样信息汇总统计!G$2:G$500,MATCH(167,样本到样信息汇总统计!$AA$2:$AA$500,0)),"")</f>
        <v/>
      </c>
      <c r="H168" s="4" t="str">
        <f>IFERROR(INDEX(样本到样信息汇总统计!H$2:H$500,MATCH(167,样本到样信息汇总统计!$AA$2:$AA$500,0)),"")</f>
        <v/>
      </c>
      <c r="I168" s="4" t="str">
        <f>IFERROR(INDEX(样本到样信息汇总统计!I$2:I$500,MATCH(167,样本到样信息汇总统计!$AA$2:$AA$500,0)),"")</f>
        <v/>
      </c>
      <c r="J168" s="4" t="str">
        <f>IFERROR(INDEX(样本到样信息汇总统计!J$2:J$500,MATCH(167,样本到样信息汇总统计!$AA$2:$AA$500,0)),"")</f>
        <v/>
      </c>
      <c r="K168" s="4" t="str">
        <f>IFERROR(INDEX(样本到样信息汇总统计!K$2:K$500,MATCH(167,样本到样信息汇总统计!$AA$2:$AA$500,0)),"")</f>
        <v/>
      </c>
      <c r="L168" s="4" t="str">
        <f>IFERROR(INDEX(样本到样信息汇总统计!L$2:L$500,MATCH(167,样本到样信息汇总统计!$AA$2:$AA$500,0)),"")</f>
        <v/>
      </c>
      <c r="M168" s="4" t="str">
        <f>IFERROR(INDEX(样本到样信息汇总统计!M$2:M$500,MATCH(167,样本到样信息汇总统计!$AA$2:$AA$500,0)),"")</f>
        <v/>
      </c>
      <c r="N168" s="4" t="str">
        <f>IFERROR(INDEX(样本到样信息汇总统计!N$2:N$500,MATCH(167,样本到样信息汇总统计!$AA$2:$AA$500,0)),"")</f>
        <v/>
      </c>
      <c r="O168" s="4" t="str">
        <f>IFERROR(INDEX(样本到样信息汇总统计!O$2:O$500,MATCH(167,样本到样信息汇总统计!$AA$2:$AA$500,0)),"")</f>
        <v/>
      </c>
      <c r="P168" s="4" t="str">
        <f>IFERROR(INDEX(样本到样信息汇总统计!P$2:P$500,MATCH(167,样本到样信息汇总统计!$AA$2:$AA$500,0)),"")</f>
        <v/>
      </c>
      <c r="Q168" s="4" t="str">
        <f>IFERROR(INDEX(样本到样信息汇总统计!Q$2:Q$500,MATCH(167,样本到样信息汇总统计!$AA$2:$AA$500,0)),"")</f>
        <v/>
      </c>
      <c r="R168" s="4" t="str">
        <f>IFERROR(INDEX(样本到样信息汇总统计!R$2:R$500,MATCH(167,样本到样信息汇总统计!$AA$2:$AA$500,0)),"")</f>
        <v/>
      </c>
      <c r="S168" s="4" t="str">
        <f>IFERROR(INDEX(样本到样信息汇总统计!S$2:S$500,MATCH(167,样本到样信息汇总统计!$AA$2:$AA$500,0)),"")</f>
        <v/>
      </c>
      <c r="T168" s="4" t="str">
        <f>IFERROR(INDEX(样本到样信息汇总统计!T$2:T$500,MATCH(167,样本到样信息汇总统计!$AA$2:$AA$500,0)),"")</f>
        <v/>
      </c>
      <c r="U168" s="4" t="str">
        <f>IFERROR(INDEX(样本到样信息汇总统计!U$2:U$500,MATCH(167,样本到样信息汇总统计!$AA$2:$AA$500,0)),"")</f>
        <v/>
      </c>
      <c r="V168" s="4" t="str">
        <f>IFERROR(INDEX(样本到样信息汇总统计!V$2:V$500,MATCH(167,样本到样信息汇总统计!$AA$2:$AA$500,0)),"")</f>
        <v/>
      </c>
      <c r="W168" s="4" t="str">
        <f>IFERROR(INDEX(样本到样信息汇总统计!W$2:W$500,MATCH(167,样本到样信息汇总统计!$AA$2:$AA$500,0)),"")</f>
        <v/>
      </c>
    </row>
    <row r="169" ht="14.5" spans="1:23">
      <c r="A169" s="8" t="str">
        <f>IFERROR(INDEX(样本到样信息汇总统计!A$2:A$500,MATCH(168,样本到样信息汇总统计!$AA$2:$AA$500,0)),"")</f>
        <v/>
      </c>
      <c r="B169" s="8" t="str">
        <f>IFERROR(INDEX(样本到样信息汇总统计!B$2:B$500,MATCH(168,样本到样信息汇总统计!$AA$2:$AA$500,0)),"")</f>
        <v/>
      </c>
      <c r="C169" s="8" t="str">
        <f>IFERROR(INDEX(样本到样信息汇总统计!C$2:C$500,MATCH(168,样本到样信息汇总统计!$AA$2:$AA$500,0)),"")</f>
        <v/>
      </c>
      <c r="D169" s="8" t="str">
        <f>IFERROR(INDEX(样本到样信息汇总统计!D$2:D$500,MATCH(168,样本到样信息汇总统计!$AA$2:$AA$500,0)),"")</f>
        <v/>
      </c>
      <c r="E169" s="8" t="str">
        <f>IFERROR(INDEX(样本到样信息汇总统计!E$2:E$500,MATCH(168,样本到样信息汇总统计!$AA$2:$AA$500,0)),"")</f>
        <v/>
      </c>
      <c r="F169" s="8" t="str">
        <f>IFERROR(INDEX(样本到样信息汇总统计!F$2:F$500,MATCH(168,样本到样信息汇总统计!$AA$2:$AA$500,0)),"")</f>
        <v/>
      </c>
      <c r="G169" s="8" t="str">
        <f>IFERROR(INDEX(样本到样信息汇总统计!G$2:G$500,MATCH(168,样本到样信息汇总统计!$AA$2:$AA$500,0)),"")</f>
        <v/>
      </c>
      <c r="H169" s="8" t="str">
        <f>IFERROR(INDEX(样本到样信息汇总统计!H$2:H$500,MATCH(168,样本到样信息汇总统计!$AA$2:$AA$500,0)),"")</f>
        <v/>
      </c>
      <c r="I169" s="8" t="str">
        <f>IFERROR(INDEX(样本到样信息汇总统计!I$2:I$500,MATCH(168,样本到样信息汇总统计!$AA$2:$AA$500,0)),"")</f>
        <v/>
      </c>
      <c r="J169" s="8" t="str">
        <f>IFERROR(INDEX(样本到样信息汇总统计!J$2:J$500,MATCH(168,样本到样信息汇总统计!$AA$2:$AA$500,0)),"")</f>
        <v/>
      </c>
      <c r="K169" s="8" t="str">
        <f>IFERROR(INDEX(样本到样信息汇总统计!K$2:K$500,MATCH(168,样本到样信息汇总统计!$AA$2:$AA$500,0)),"")</f>
        <v/>
      </c>
      <c r="L169" s="8" t="str">
        <f>IFERROR(INDEX(样本到样信息汇总统计!L$2:L$500,MATCH(168,样本到样信息汇总统计!$AA$2:$AA$500,0)),"")</f>
        <v/>
      </c>
      <c r="M169" s="8" t="str">
        <f>IFERROR(INDEX(样本到样信息汇总统计!M$2:M$500,MATCH(168,样本到样信息汇总统计!$AA$2:$AA$500,0)),"")</f>
        <v/>
      </c>
      <c r="N169" s="8" t="str">
        <f>IFERROR(INDEX(样本到样信息汇总统计!N$2:N$500,MATCH(168,样本到样信息汇总统计!$AA$2:$AA$500,0)),"")</f>
        <v/>
      </c>
      <c r="O169" s="8" t="str">
        <f>IFERROR(INDEX(样本到样信息汇总统计!O$2:O$500,MATCH(168,样本到样信息汇总统计!$AA$2:$AA$500,0)),"")</f>
        <v/>
      </c>
      <c r="P169" s="8" t="str">
        <f>IFERROR(INDEX(样本到样信息汇总统计!P$2:P$500,MATCH(168,样本到样信息汇总统计!$AA$2:$AA$500,0)),"")</f>
        <v/>
      </c>
      <c r="Q169" s="8" t="str">
        <f>IFERROR(INDEX(样本到样信息汇总统计!Q$2:Q$500,MATCH(168,样本到样信息汇总统计!$AA$2:$AA$500,0)),"")</f>
        <v/>
      </c>
      <c r="R169" s="8" t="str">
        <f>IFERROR(INDEX(样本到样信息汇总统计!R$2:R$500,MATCH(168,样本到样信息汇总统计!$AA$2:$AA$500,0)),"")</f>
        <v/>
      </c>
      <c r="S169" s="8" t="str">
        <f>IFERROR(INDEX(样本到样信息汇总统计!S$2:S$500,MATCH(168,样本到样信息汇总统计!$AA$2:$AA$500,0)),"")</f>
        <v/>
      </c>
      <c r="T169" s="8" t="str">
        <f>IFERROR(INDEX(样本到样信息汇总统计!T$2:T$500,MATCH(168,样本到样信息汇总统计!$AA$2:$AA$500,0)),"")</f>
        <v/>
      </c>
      <c r="U169" s="8" t="str">
        <f>IFERROR(INDEX(样本到样信息汇总统计!U$2:U$500,MATCH(168,样本到样信息汇总统计!$AA$2:$AA$500,0)),"")</f>
        <v/>
      </c>
      <c r="V169" s="8" t="str">
        <f>IFERROR(INDEX(样本到样信息汇总统计!V$2:V$500,MATCH(168,样本到样信息汇总统计!$AA$2:$AA$500,0)),"")</f>
        <v/>
      </c>
      <c r="W169" s="8" t="str">
        <f>IFERROR(INDEX(样本到样信息汇总统计!W$2:W$500,MATCH(168,样本到样信息汇总统计!$AA$2:$AA$500,0)),"")</f>
        <v/>
      </c>
    </row>
    <row r="170" ht="14.5" spans="1:23">
      <c r="A170" s="4" t="str">
        <f>IFERROR(INDEX(样本到样信息汇总统计!A$2:A$500,MATCH(169,样本到样信息汇总统计!$AA$2:$AA$500,0)),"")</f>
        <v/>
      </c>
      <c r="B170" s="4" t="str">
        <f>IFERROR(INDEX(样本到样信息汇总统计!B$2:B$500,MATCH(169,样本到样信息汇总统计!$AA$2:$AA$500,0)),"")</f>
        <v/>
      </c>
      <c r="C170" s="4" t="str">
        <f>IFERROR(INDEX(样本到样信息汇总统计!C$2:C$500,MATCH(169,样本到样信息汇总统计!$AA$2:$AA$500,0)),"")</f>
        <v/>
      </c>
      <c r="D170" s="4" t="str">
        <f>IFERROR(INDEX(样本到样信息汇总统计!D$2:D$500,MATCH(169,样本到样信息汇总统计!$AA$2:$AA$500,0)),"")</f>
        <v/>
      </c>
      <c r="E170" s="4" t="str">
        <f>IFERROR(INDEX(样本到样信息汇总统计!E$2:E$500,MATCH(169,样本到样信息汇总统计!$AA$2:$AA$500,0)),"")</f>
        <v/>
      </c>
      <c r="F170" s="4" t="str">
        <f>IFERROR(INDEX(样本到样信息汇总统计!F$2:F$500,MATCH(169,样本到样信息汇总统计!$AA$2:$AA$500,0)),"")</f>
        <v/>
      </c>
      <c r="G170" s="4" t="str">
        <f>IFERROR(INDEX(样本到样信息汇总统计!G$2:G$500,MATCH(169,样本到样信息汇总统计!$AA$2:$AA$500,0)),"")</f>
        <v/>
      </c>
      <c r="H170" s="4" t="str">
        <f>IFERROR(INDEX(样本到样信息汇总统计!H$2:H$500,MATCH(169,样本到样信息汇总统计!$AA$2:$AA$500,0)),"")</f>
        <v/>
      </c>
      <c r="I170" s="4" t="str">
        <f>IFERROR(INDEX(样本到样信息汇总统计!I$2:I$500,MATCH(169,样本到样信息汇总统计!$AA$2:$AA$500,0)),"")</f>
        <v/>
      </c>
      <c r="J170" s="4" t="str">
        <f>IFERROR(INDEX(样本到样信息汇总统计!J$2:J$500,MATCH(169,样本到样信息汇总统计!$AA$2:$AA$500,0)),"")</f>
        <v/>
      </c>
      <c r="K170" s="4" t="str">
        <f>IFERROR(INDEX(样本到样信息汇总统计!K$2:K$500,MATCH(169,样本到样信息汇总统计!$AA$2:$AA$500,0)),"")</f>
        <v/>
      </c>
      <c r="L170" s="4" t="str">
        <f>IFERROR(INDEX(样本到样信息汇总统计!L$2:L$500,MATCH(169,样本到样信息汇总统计!$AA$2:$AA$500,0)),"")</f>
        <v/>
      </c>
      <c r="M170" s="4" t="str">
        <f>IFERROR(INDEX(样本到样信息汇总统计!M$2:M$500,MATCH(169,样本到样信息汇总统计!$AA$2:$AA$500,0)),"")</f>
        <v/>
      </c>
      <c r="N170" s="4" t="str">
        <f>IFERROR(INDEX(样本到样信息汇总统计!N$2:N$500,MATCH(169,样本到样信息汇总统计!$AA$2:$AA$500,0)),"")</f>
        <v/>
      </c>
      <c r="O170" s="4" t="str">
        <f>IFERROR(INDEX(样本到样信息汇总统计!O$2:O$500,MATCH(169,样本到样信息汇总统计!$AA$2:$AA$500,0)),"")</f>
        <v/>
      </c>
      <c r="P170" s="4" t="str">
        <f>IFERROR(INDEX(样本到样信息汇总统计!P$2:P$500,MATCH(169,样本到样信息汇总统计!$AA$2:$AA$500,0)),"")</f>
        <v/>
      </c>
      <c r="Q170" s="4" t="str">
        <f>IFERROR(INDEX(样本到样信息汇总统计!Q$2:Q$500,MATCH(169,样本到样信息汇总统计!$AA$2:$AA$500,0)),"")</f>
        <v/>
      </c>
      <c r="R170" s="4" t="str">
        <f>IFERROR(INDEX(样本到样信息汇总统计!R$2:R$500,MATCH(169,样本到样信息汇总统计!$AA$2:$AA$500,0)),"")</f>
        <v/>
      </c>
      <c r="S170" s="4" t="str">
        <f>IFERROR(INDEX(样本到样信息汇总统计!S$2:S$500,MATCH(169,样本到样信息汇总统计!$AA$2:$AA$500,0)),"")</f>
        <v/>
      </c>
      <c r="T170" s="4" t="str">
        <f>IFERROR(INDEX(样本到样信息汇总统计!T$2:T$500,MATCH(169,样本到样信息汇总统计!$AA$2:$AA$500,0)),"")</f>
        <v/>
      </c>
      <c r="U170" s="4" t="str">
        <f>IFERROR(INDEX(样本到样信息汇总统计!U$2:U$500,MATCH(169,样本到样信息汇总统计!$AA$2:$AA$500,0)),"")</f>
        <v/>
      </c>
      <c r="V170" s="4" t="str">
        <f>IFERROR(INDEX(样本到样信息汇总统计!V$2:V$500,MATCH(169,样本到样信息汇总统计!$AA$2:$AA$500,0)),"")</f>
        <v/>
      </c>
      <c r="W170" s="4" t="str">
        <f>IFERROR(INDEX(样本到样信息汇总统计!W$2:W$500,MATCH(169,样本到样信息汇总统计!$AA$2:$AA$500,0)),"")</f>
        <v/>
      </c>
    </row>
    <row r="171" ht="14.5" spans="1:23">
      <c r="A171" s="8" t="str">
        <f>IFERROR(INDEX(样本到样信息汇总统计!A$2:A$500,MATCH(170,样本到样信息汇总统计!$AA$2:$AA$500,0)),"")</f>
        <v/>
      </c>
      <c r="B171" s="8" t="str">
        <f>IFERROR(INDEX(样本到样信息汇总统计!B$2:B$500,MATCH(170,样本到样信息汇总统计!$AA$2:$AA$500,0)),"")</f>
        <v/>
      </c>
      <c r="C171" s="8" t="str">
        <f>IFERROR(INDEX(样本到样信息汇总统计!C$2:C$500,MATCH(170,样本到样信息汇总统计!$AA$2:$AA$500,0)),"")</f>
        <v/>
      </c>
      <c r="D171" s="8" t="str">
        <f>IFERROR(INDEX(样本到样信息汇总统计!D$2:D$500,MATCH(170,样本到样信息汇总统计!$AA$2:$AA$500,0)),"")</f>
        <v/>
      </c>
      <c r="E171" s="8" t="str">
        <f>IFERROR(INDEX(样本到样信息汇总统计!E$2:E$500,MATCH(170,样本到样信息汇总统计!$AA$2:$AA$500,0)),"")</f>
        <v/>
      </c>
      <c r="F171" s="8" t="str">
        <f>IFERROR(INDEX(样本到样信息汇总统计!F$2:F$500,MATCH(170,样本到样信息汇总统计!$AA$2:$AA$500,0)),"")</f>
        <v/>
      </c>
      <c r="G171" s="8" t="str">
        <f>IFERROR(INDEX(样本到样信息汇总统计!G$2:G$500,MATCH(170,样本到样信息汇总统计!$AA$2:$AA$500,0)),"")</f>
        <v/>
      </c>
      <c r="H171" s="8" t="str">
        <f>IFERROR(INDEX(样本到样信息汇总统计!H$2:H$500,MATCH(170,样本到样信息汇总统计!$AA$2:$AA$500,0)),"")</f>
        <v/>
      </c>
      <c r="I171" s="8" t="str">
        <f>IFERROR(INDEX(样本到样信息汇总统计!I$2:I$500,MATCH(170,样本到样信息汇总统计!$AA$2:$AA$500,0)),"")</f>
        <v/>
      </c>
      <c r="J171" s="8" t="str">
        <f>IFERROR(INDEX(样本到样信息汇总统计!J$2:J$500,MATCH(170,样本到样信息汇总统计!$AA$2:$AA$500,0)),"")</f>
        <v/>
      </c>
      <c r="K171" s="8" t="str">
        <f>IFERROR(INDEX(样本到样信息汇总统计!K$2:K$500,MATCH(170,样本到样信息汇总统计!$AA$2:$AA$500,0)),"")</f>
        <v/>
      </c>
      <c r="L171" s="8" t="str">
        <f>IFERROR(INDEX(样本到样信息汇总统计!L$2:L$500,MATCH(170,样本到样信息汇总统计!$AA$2:$AA$500,0)),"")</f>
        <v/>
      </c>
      <c r="M171" s="8" t="str">
        <f>IFERROR(INDEX(样本到样信息汇总统计!M$2:M$500,MATCH(170,样本到样信息汇总统计!$AA$2:$AA$500,0)),"")</f>
        <v/>
      </c>
      <c r="N171" s="8" t="str">
        <f>IFERROR(INDEX(样本到样信息汇总统计!N$2:N$500,MATCH(170,样本到样信息汇总统计!$AA$2:$AA$500,0)),"")</f>
        <v/>
      </c>
      <c r="O171" s="8" t="str">
        <f>IFERROR(INDEX(样本到样信息汇总统计!O$2:O$500,MATCH(170,样本到样信息汇总统计!$AA$2:$AA$500,0)),"")</f>
        <v/>
      </c>
      <c r="P171" s="8" t="str">
        <f>IFERROR(INDEX(样本到样信息汇总统计!P$2:P$500,MATCH(170,样本到样信息汇总统计!$AA$2:$AA$500,0)),"")</f>
        <v/>
      </c>
      <c r="Q171" s="8" t="str">
        <f>IFERROR(INDEX(样本到样信息汇总统计!Q$2:Q$500,MATCH(170,样本到样信息汇总统计!$AA$2:$AA$500,0)),"")</f>
        <v/>
      </c>
      <c r="R171" s="8" t="str">
        <f>IFERROR(INDEX(样本到样信息汇总统计!R$2:R$500,MATCH(170,样本到样信息汇总统计!$AA$2:$AA$500,0)),"")</f>
        <v/>
      </c>
      <c r="S171" s="8" t="str">
        <f>IFERROR(INDEX(样本到样信息汇总统计!S$2:S$500,MATCH(170,样本到样信息汇总统计!$AA$2:$AA$500,0)),"")</f>
        <v/>
      </c>
      <c r="T171" s="8" t="str">
        <f>IFERROR(INDEX(样本到样信息汇总统计!T$2:T$500,MATCH(170,样本到样信息汇总统计!$AA$2:$AA$500,0)),"")</f>
        <v/>
      </c>
      <c r="U171" s="8" t="str">
        <f>IFERROR(INDEX(样本到样信息汇总统计!U$2:U$500,MATCH(170,样本到样信息汇总统计!$AA$2:$AA$500,0)),"")</f>
        <v/>
      </c>
      <c r="V171" s="8" t="str">
        <f>IFERROR(INDEX(样本到样信息汇总统计!V$2:V$500,MATCH(170,样本到样信息汇总统计!$AA$2:$AA$500,0)),"")</f>
        <v/>
      </c>
      <c r="W171" s="8" t="str">
        <f>IFERROR(INDEX(样本到样信息汇总统计!W$2:W$500,MATCH(170,样本到样信息汇总统计!$AA$2:$AA$500,0)),"")</f>
        <v/>
      </c>
    </row>
    <row r="172" ht="14.5" spans="1:23">
      <c r="A172" s="4" t="str">
        <f>IFERROR(INDEX(样本到样信息汇总统计!A$2:A$500,MATCH(171,样本到样信息汇总统计!$AA$2:$AA$500,0)),"")</f>
        <v/>
      </c>
      <c r="B172" s="4" t="str">
        <f>IFERROR(INDEX(样本到样信息汇总统计!B$2:B$500,MATCH(171,样本到样信息汇总统计!$AA$2:$AA$500,0)),"")</f>
        <v/>
      </c>
      <c r="C172" s="4" t="str">
        <f>IFERROR(INDEX(样本到样信息汇总统计!C$2:C$500,MATCH(171,样本到样信息汇总统计!$AA$2:$AA$500,0)),"")</f>
        <v/>
      </c>
      <c r="D172" s="4" t="str">
        <f>IFERROR(INDEX(样本到样信息汇总统计!D$2:D$500,MATCH(171,样本到样信息汇总统计!$AA$2:$AA$500,0)),"")</f>
        <v/>
      </c>
      <c r="E172" s="4" t="str">
        <f>IFERROR(INDEX(样本到样信息汇总统计!E$2:E$500,MATCH(171,样本到样信息汇总统计!$AA$2:$AA$500,0)),"")</f>
        <v/>
      </c>
      <c r="F172" s="4" t="str">
        <f>IFERROR(INDEX(样本到样信息汇总统计!F$2:F$500,MATCH(171,样本到样信息汇总统计!$AA$2:$AA$500,0)),"")</f>
        <v/>
      </c>
      <c r="G172" s="4" t="str">
        <f>IFERROR(INDEX(样本到样信息汇总统计!G$2:G$500,MATCH(171,样本到样信息汇总统计!$AA$2:$AA$500,0)),"")</f>
        <v/>
      </c>
      <c r="H172" s="4" t="str">
        <f>IFERROR(INDEX(样本到样信息汇总统计!H$2:H$500,MATCH(171,样本到样信息汇总统计!$AA$2:$AA$500,0)),"")</f>
        <v/>
      </c>
      <c r="I172" s="4" t="str">
        <f>IFERROR(INDEX(样本到样信息汇总统计!I$2:I$500,MATCH(171,样本到样信息汇总统计!$AA$2:$AA$500,0)),"")</f>
        <v/>
      </c>
      <c r="J172" s="4" t="str">
        <f>IFERROR(INDEX(样本到样信息汇总统计!J$2:J$500,MATCH(171,样本到样信息汇总统计!$AA$2:$AA$500,0)),"")</f>
        <v/>
      </c>
      <c r="K172" s="4" t="str">
        <f>IFERROR(INDEX(样本到样信息汇总统计!K$2:K$500,MATCH(171,样本到样信息汇总统计!$AA$2:$AA$500,0)),"")</f>
        <v/>
      </c>
      <c r="L172" s="4" t="str">
        <f>IFERROR(INDEX(样本到样信息汇总统计!L$2:L$500,MATCH(171,样本到样信息汇总统计!$AA$2:$AA$500,0)),"")</f>
        <v/>
      </c>
      <c r="M172" s="4" t="str">
        <f>IFERROR(INDEX(样本到样信息汇总统计!M$2:M$500,MATCH(171,样本到样信息汇总统计!$AA$2:$AA$500,0)),"")</f>
        <v/>
      </c>
      <c r="N172" s="4" t="str">
        <f>IFERROR(INDEX(样本到样信息汇总统计!N$2:N$500,MATCH(171,样本到样信息汇总统计!$AA$2:$AA$500,0)),"")</f>
        <v/>
      </c>
      <c r="O172" s="4" t="str">
        <f>IFERROR(INDEX(样本到样信息汇总统计!O$2:O$500,MATCH(171,样本到样信息汇总统计!$AA$2:$AA$500,0)),"")</f>
        <v/>
      </c>
      <c r="P172" s="4" t="str">
        <f>IFERROR(INDEX(样本到样信息汇总统计!P$2:P$500,MATCH(171,样本到样信息汇总统计!$AA$2:$AA$500,0)),"")</f>
        <v/>
      </c>
      <c r="Q172" s="4" t="str">
        <f>IFERROR(INDEX(样本到样信息汇总统计!Q$2:Q$500,MATCH(171,样本到样信息汇总统计!$AA$2:$AA$500,0)),"")</f>
        <v/>
      </c>
      <c r="R172" s="4" t="str">
        <f>IFERROR(INDEX(样本到样信息汇总统计!R$2:R$500,MATCH(171,样本到样信息汇总统计!$AA$2:$AA$500,0)),"")</f>
        <v/>
      </c>
      <c r="S172" s="4" t="str">
        <f>IFERROR(INDEX(样本到样信息汇总统计!S$2:S$500,MATCH(171,样本到样信息汇总统计!$AA$2:$AA$500,0)),"")</f>
        <v/>
      </c>
      <c r="T172" s="4" t="str">
        <f>IFERROR(INDEX(样本到样信息汇总统计!T$2:T$500,MATCH(171,样本到样信息汇总统计!$AA$2:$AA$500,0)),"")</f>
        <v/>
      </c>
      <c r="U172" s="4" t="str">
        <f>IFERROR(INDEX(样本到样信息汇总统计!U$2:U$500,MATCH(171,样本到样信息汇总统计!$AA$2:$AA$500,0)),"")</f>
        <v/>
      </c>
      <c r="V172" s="4" t="str">
        <f>IFERROR(INDEX(样本到样信息汇总统计!V$2:V$500,MATCH(171,样本到样信息汇总统计!$AA$2:$AA$500,0)),"")</f>
        <v/>
      </c>
      <c r="W172" s="4" t="str">
        <f>IFERROR(INDEX(样本到样信息汇总统计!W$2:W$500,MATCH(171,样本到样信息汇总统计!$AA$2:$AA$500,0)),"")</f>
        <v/>
      </c>
    </row>
    <row r="173" ht="14.5" spans="1:23">
      <c r="A173" s="8" t="str">
        <f>IFERROR(INDEX(样本到样信息汇总统计!A$2:A$500,MATCH(172,样本到样信息汇总统计!$AA$2:$AA$500,0)),"")</f>
        <v/>
      </c>
      <c r="B173" s="8" t="str">
        <f>IFERROR(INDEX(样本到样信息汇总统计!B$2:B$500,MATCH(172,样本到样信息汇总统计!$AA$2:$AA$500,0)),"")</f>
        <v/>
      </c>
      <c r="C173" s="8" t="str">
        <f>IFERROR(INDEX(样本到样信息汇总统计!C$2:C$500,MATCH(172,样本到样信息汇总统计!$AA$2:$AA$500,0)),"")</f>
        <v/>
      </c>
      <c r="D173" s="8" t="str">
        <f>IFERROR(INDEX(样本到样信息汇总统计!D$2:D$500,MATCH(172,样本到样信息汇总统计!$AA$2:$AA$500,0)),"")</f>
        <v/>
      </c>
      <c r="E173" s="8" t="str">
        <f>IFERROR(INDEX(样本到样信息汇总统计!E$2:E$500,MATCH(172,样本到样信息汇总统计!$AA$2:$AA$500,0)),"")</f>
        <v/>
      </c>
      <c r="F173" s="8" t="str">
        <f>IFERROR(INDEX(样本到样信息汇总统计!F$2:F$500,MATCH(172,样本到样信息汇总统计!$AA$2:$AA$500,0)),"")</f>
        <v/>
      </c>
      <c r="G173" s="8" t="str">
        <f>IFERROR(INDEX(样本到样信息汇总统计!G$2:G$500,MATCH(172,样本到样信息汇总统计!$AA$2:$AA$500,0)),"")</f>
        <v/>
      </c>
      <c r="H173" s="8" t="str">
        <f>IFERROR(INDEX(样本到样信息汇总统计!H$2:H$500,MATCH(172,样本到样信息汇总统计!$AA$2:$AA$500,0)),"")</f>
        <v/>
      </c>
      <c r="I173" s="8" t="str">
        <f>IFERROR(INDEX(样本到样信息汇总统计!I$2:I$500,MATCH(172,样本到样信息汇总统计!$AA$2:$AA$500,0)),"")</f>
        <v/>
      </c>
      <c r="J173" s="8" t="str">
        <f>IFERROR(INDEX(样本到样信息汇总统计!J$2:J$500,MATCH(172,样本到样信息汇总统计!$AA$2:$AA$500,0)),"")</f>
        <v/>
      </c>
      <c r="K173" s="8" t="str">
        <f>IFERROR(INDEX(样本到样信息汇总统计!K$2:K$500,MATCH(172,样本到样信息汇总统计!$AA$2:$AA$500,0)),"")</f>
        <v/>
      </c>
      <c r="L173" s="8" t="str">
        <f>IFERROR(INDEX(样本到样信息汇总统计!L$2:L$500,MATCH(172,样本到样信息汇总统计!$AA$2:$AA$500,0)),"")</f>
        <v/>
      </c>
      <c r="M173" s="8" t="str">
        <f>IFERROR(INDEX(样本到样信息汇总统计!M$2:M$500,MATCH(172,样本到样信息汇总统计!$AA$2:$AA$500,0)),"")</f>
        <v/>
      </c>
      <c r="N173" s="8" t="str">
        <f>IFERROR(INDEX(样本到样信息汇总统计!N$2:N$500,MATCH(172,样本到样信息汇总统计!$AA$2:$AA$500,0)),"")</f>
        <v/>
      </c>
      <c r="O173" s="8" t="str">
        <f>IFERROR(INDEX(样本到样信息汇总统计!O$2:O$500,MATCH(172,样本到样信息汇总统计!$AA$2:$AA$500,0)),"")</f>
        <v/>
      </c>
      <c r="P173" s="8" t="str">
        <f>IFERROR(INDEX(样本到样信息汇总统计!P$2:P$500,MATCH(172,样本到样信息汇总统计!$AA$2:$AA$500,0)),"")</f>
        <v/>
      </c>
      <c r="Q173" s="8" t="str">
        <f>IFERROR(INDEX(样本到样信息汇总统计!Q$2:Q$500,MATCH(172,样本到样信息汇总统计!$AA$2:$AA$500,0)),"")</f>
        <v/>
      </c>
      <c r="R173" s="8" t="str">
        <f>IFERROR(INDEX(样本到样信息汇总统计!R$2:R$500,MATCH(172,样本到样信息汇总统计!$AA$2:$AA$500,0)),"")</f>
        <v/>
      </c>
      <c r="S173" s="8" t="str">
        <f>IFERROR(INDEX(样本到样信息汇总统计!S$2:S$500,MATCH(172,样本到样信息汇总统计!$AA$2:$AA$500,0)),"")</f>
        <v/>
      </c>
      <c r="T173" s="8" t="str">
        <f>IFERROR(INDEX(样本到样信息汇总统计!T$2:T$500,MATCH(172,样本到样信息汇总统计!$AA$2:$AA$500,0)),"")</f>
        <v/>
      </c>
      <c r="U173" s="8" t="str">
        <f>IFERROR(INDEX(样本到样信息汇总统计!U$2:U$500,MATCH(172,样本到样信息汇总统计!$AA$2:$AA$500,0)),"")</f>
        <v/>
      </c>
      <c r="V173" s="8" t="str">
        <f>IFERROR(INDEX(样本到样信息汇总统计!V$2:V$500,MATCH(172,样本到样信息汇总统计!$AA$2:$AA$500,0)),"")</f>
        <v/>
      </c>
      <c r="W173" s="8" t="str">
        <f>IFERROR(INDEX(样本到样信息汇总统计!W$2:W$500,MATCH(172,样本到样信息汇总统计!$AA$2:$AA$500,0)),"")</f>
        <v/>
      </c>
    </row>
    <row r="174" ht="14.5" spans="1:23">
      <c r="A174" s="4" t="str">
        <f>IFERROR(INDEX(样本到样信息汇总统计!A$2:A$500,MATCH(173,样本到样信息汇总统计!$AA$2:$AA$500,0)),"")</f>
        <v/>
      </c>
      <c r="B174" s="4" t="str">
        <f>IFERROR(INDEX(样本到样信息汇总统计!B$2:B$500,MATCH(173,样本到样信息汇总统计!$AA$2:$AA$500,0)),"")</f>
        <v/>
      </c>
      <c r="C174" s="4" t="str">
        <f>IFERROR(INDEX(样本到样信息汇总统计!C$2:C$500,MATCH(173,样本到样信息汇总统计!$AA$2:$AA$500,0)),"")</f>
        <v/>
      </c>
      <c r="D174" s="4" t="str">
        <f>IFERROR(INDEX(样本到样信息汇总统计!D$2:D$500,MATCH(173,样本到样信息汇总统计!$AA$2:$AA$500,0)),"")</f>
        <v/>
      </c>
      <c r="E174" s="4" t="str">
        <f>IFERROR(INDEX(样本到样信息汇总统计!E$2:E$500,MATCH(173,样本到样信息汇总统计!$AA$2:$AA$500,0)),"")</f>
        <v/>
      </c>
      <c r="F174" s="4" t="str">
        <f>IFERROR(INDEX(样本到样信息汇总统计!F$2:F$500,MATCH(173,样本到样信息汇总统计!$AA$2:$AA$500,0)),"")</f>
        <v/>
      </c>
      <c r="G174" s="4" t="str">
        <f>IFERROR(INDEX(样本到样信息汇总统计!G$2:G$500,MATCH(173,样本到样信息汇总统计!$AA$2:$AA$500,0)),"")</f>
        <v/>
      </c>
      <c r="H174" s="4" t="str">
        <f>IFERROR(INDEX(样本到样信息汇总统计!H$2:H$500,MATCH(173,样本到样信息汇总统计!$AA$2:$AA$500,0)),"")</f>
        <v/>
      </c>
      <c r="I174" s="4" t="str">
        <f>IFERROR(INDEX(样本到样信息汇总统计!I$2:I$500,MATCH(173,样本到样信息汇总统计!$AA$2:$AA$500,0)),"")</f>
        <v/>
      </c>
      <c r="J174" s="4" t="str">
        <f>IFERROR(INDEX(样本到样信息汇总统计!J$2:J$500,MATCH(173,样本到样信息汇总统计!$AA$2:$AA$500,0)),"")</f>
        <v/>
      </c>
      <c r="K174" s="4" t="str">
        <f>IFERROR(INDEX(样本到样信息汇总统计!K$2:K$500,MATCH(173,样本到样信息汇总统计!$AA$2:$AA$500,0)),"")</f>
        <v/>
      </c>
      <c r="L174" s="4" t="str">
        <f>IFERROR(INDEX(样本到样信息汇总统计!L$2:L$500,MATCH(173,样本到样信息汇总统计!$AA$2:$AA$500,0)),"")</f>
        <v/>
      </c>
      <c r="M174" s="4" t="str">
        <f>IFERROR(INDEX(样本到样信息汇总统计!M$2:M$500,MATCH(173,样本到样信息汇总统计!$AA$2:$AA$500,0)),"")</f>
        <v/>
      </c>
      <c r="N174" s="4" t="str">
        <f>IFERROR(INDEX(样本到样信息汇总统计!N$2:N$500,MATCH(173,样本到样信息汇总统计!$AA$2:$AA$500,0)),"")</f>
        <v/>
      </c>
      <c r="O174" s="4" t="str">
        <f>IFERROR(INDEX(样本到样信息汇总统计!O$2:O$500,MATCH(173,样本到样信息汇总统计!$AA$2:$AA$500,0)),"")</f>
        <v/>
      </c>
      <c r="P174" s="4" t="str">
        <f>IFERROR(INDEX(样本到样信息汇总统计!P$2:P$500,MATCH(173,样本到样信息汇总统计!$AA$2:$AA$500,0)),"")</f>
        <v/>
      </c>
      <c r="Q174" s="4" t="str">
        <f>IFERROR(INDEX(样本到样信息汇总统计!Q$2:Q$500,MATCH(173,样本到样信息汇总统计!$AA$2:$AA$500,0)),"")</f>
        <v/>
      </c>
      <c r="R174" s="4" t="str">
        <f>IFERROR(INDEX(样本到样信息汇总统计!R$2:R$500,MATCH(173,样本到样信息汇总统计!$AA$2:$AA$500,0)),"")</f>
        <v/>
      </c>
      <c r="S174" s="4" t="str">
        <f>IFERROR(INDEX(样本到样信息汇总统计!S$2:S$500,MATCH(173,样本到样信息汇总统计!$AA$2:$AA$500,0)),"")</f>
        <v/>
      </c>
      <c r="T174" s="4" t="str">
        <f>IFERROR(INDEX(样本到样信息汇总统计!T$2:T$500,MATCH(173,样本到样信息汇总统计!$AA$2:$AA$500,0)),"")</f>
        <v/>
      </c>
      <c r="U174" s="4" t="str">
        <f>IFERROR(INDEX(样本到样信息汇总统计!U$2:U$500,MATCH(173,样本到样信息汇总统计!$AA$2:$AA$500,0)),"")</f>
        <v/>
      </c>
      <c r="V174" s="4" t="str">
        <f>IFERROR(INDEX(样本到样信息汇总统计!V$2:V$500,MATCH(173,样本到样信息汇总统计!$AA$2:$AA$500,0)),"")</f>
        <v/>
      </c>
      <c r="W174" s="4" t="str">
        <f>IFERROR(INDEX(样本到样信息汇总统计!W$2:W$500,MATCH(173,样本到样信息汇总统计!$AA$2:$AA$500,0)),"")</f>
        <v/>
      </c>
    </row>
    <row r="175" ht="14.5" spans="1:23">
      <c r="A175" s="8" t="str">
        <f>IFERROR(INDEX(样本到样信息汇总统计!A$2:A$500,MATCH(174,样本到样信息汇总统计!$AA$2:$AA$500,0)),"")</f>
        <v/>
      </c>
      <c r="B175" s="8" t="str">
        <f>IFERROR(INDEX(样本到样信息汇总统计!B$2:B$500,MATCH(174,样本到样信息汇总统计!$AA$2:$AA$500,0)),"")</f>
        <v/>
      </c>
      <c r="C175" s="8" t="str">
        <f>IFERROR(INDEX(样本到样信息汇总统计!C$2:C$500,MATCH(174,样本到样信息汇总统计!$AA$2:$AA$500,0)),"")</f>
        <v/>
      </c>
      <c r="D175" s="8" t="str">
        <f>IFERROR(INDEX(样本到样信息汇总统计!D$2:D$500,MATCH(174,样本到样信息汇总统计!$AA$2:$AA$500,0)),"")</f>
        <v/>
      </c>
      <c r="E175" s="8" t="str">
        <f>IFERROR(INDEX(样本到样信息汇总统计!E$2:E$500,MATCH(174,样本到样信息汇总统计!$AA$2:$AA$500,0)),"")</f>
        <v/>
      </c>
      <c r="F175" s="8" t="str">
        <f>IFERROR(INDEX(样本到样信息汇总统计!F$2:F$500,MATCH(174,样本到样信息汇总统计!$AA$2:$AA$500,0)),"")</f>
        <v/>
      </c>
      <c r="G175" s="8" t="str">
        <f>IFERROR(INDEX(样本到样信息汇总统计!G$2:G$500,MATCH(174,样本到样信息汇总统计!$AA$2:$AA$500,0)),"")</f>
        <v/>
      </c>
      <c r="H175" s="8" t="str">
        <f>IFERROR(INDEX(样本到样信息汇总统计!H$2:H$500,MATCH(174,样本到样信息汇总统计!$AA$2:$AA$500,0)),"")</f>
        <v/>
      </c>
      <c r="I175" s="8" t="str">
        <f>IFERROR(INDEX(样本到样信息汇总统计!I$2:I$500,MATCH(174,样本到样信息汇总统计!$AA$2:$AA$500,0)),"")</f>
        <v/>
      </c>
      <c r="J175" s="8" t="str">
        <f>IFERROR(INDEX(样本到样信息汇总统计!J$2:J$500,MATCH(174,样本到样信息汇总统计!$AA$2:$AA$500,0)),"")</f>
        <v/>
      </c>
      <c r="K175" s="8" t="str">
        <f>IFERROR(INDEX(样本到样信息汇总统计!K$2:K$500,MATCH(174,样本到样信息汇总统计!$AA$2:$AA$500,0)),"")</f>
        <v/>
      </c>
      <c r="L175" s="8" t="str">
        <f>IFERROR(INDEX(样本到样信息汇总统计!L$2:L$500,MATCH(174,样本到样信息汇总统计!$AA$2:$AA$500,0)),"")</f>
        <v/>
      </c>
      <c r="M175" s="8" t="str">
        <f>IFERROR(INDEX(样本到样信息汇总统计!M$2:M$500,MATCH(174,样本到样信息汇总统计!$AA$2:$AA$500,0)),"")</f>
        <v/>
      </c>
      <c r="N175" s="8" t="str">
        <f>IFERROR(INDEX(样本到样信息汇总统计!N$2:N$500,MATCH(174,样本到样信息汇总统计!$AA$2:$AA$500,0)),"")</f>
        <v/>
      </c>
      <c r="O175" s="8" t="str">
        <f>IFERROR(INDEX(样本到样信息汇总统计!O$2:O$500,MATCH(174,样本到样信息汇总统计!$AA$2:$AA$500,0)),"")</f>
        <v/>
      </c>
      <c r="P175" s="8" t="str">
        <f>IFERROR(INDEX(样本到样信息汇总统计!P$2:P$500,MATCH(174,样本到样信息汇总统计!$AA$2:$AA$500,0)),"")</f>
        <v/>
      </c>
      <c r="Q175" s="8" t="str">
        <f>IFERROR(INDEX(样本到样信息汇总统计!Q$2:Q$500,MATCH(174,样本到样信息汇总统计!$AA$2:$AA$500,0)),"")</f>
        <v/>
      </c>
      <c r="R175" s="8" t="str">
        <f>IFERROR(INDEX(样本到样信息汇总统计!R$2:R$500,MATCH(174,样本到样信息汇总统计!$AA$2:$AA$500,0)),"")</f>
        <v/>
      </c>
      <c r="S175" s="8" t="str">
        <f>IFERROR(INDEX(样本到样信息汇总统计!S$2:S$500,MATCH(174,样本到样信息汇总统计!$AA$2:$AA$500,0)),"")</f>
        <v/>
      </c>
      <c r="T175" s="8" t="str">
        <f>IFERROR(INDEX(样本到样信息汇总统计!T$2:T$500,MATCH(174,样本到样信息汇总统计!$AA$2:$AA$500,0)),"")</f>
        <v/>
      </c>
      <c r="U175" s="8" t="str">
        <f>IFERROR(INDEX(样本到样信息汇总统计!U$2:U$500,MATCH(174,样本到样信息汇总统计!$AA$2:$AA$500,0)),"")</f>
        <v/>
      </c>
      <c r="V175" s="8" t="str">
        <f>IFERROR(INDEX(样本到样信息汇总统计!V$2:V$500,MATCH(174,样本到样信息汇总统计!$AA$2:$AA$500,0)),"")</f>
        <v/>
      </c>
      <c r="W175" s="8" t="str">
        <f>IFERROR(INDEX(样本到样信息汇总统计!W$2:W$500,MATCH(174,样本到样信息汇总统计!$AA$2:$AA$500,0)),"")</f>
        <v/>
      </c>
    </row>
    <row r="176" ht="14.5" spans="1:23">
      <c r="A176" s="4" t="str">
        <f>IFERROR(INDEX(样本到样信息汇总统计!A$2:A$500,MATCH(175,样本到样信息汇总统计!$AA$2:$AA$500,0)),"")</f>
        <v/>
      </c>
      <c r="B176" s="4" t="str">
        <f>IFERROR(INDEX(样本到样信息汇总统计!B$2:B$500,MATCH(175,样本到样信息汇总统计!$AA$2:$AA$500,0)),"")</f>
        <v/>
      </c>
      <c r="C176" s="4" t="str">
        <f>IFERROR(INDEX(样本到样信息汇总统计!C$2:C$500,MATCH(175,样本到样信息汇总统计!$AA$2:$AA$500,0)),"")</f>
        <v/>
      </c>
      <c r="D176" s="4" t="str">
        <f>IFERROR(INDEX(样本到样信息汇总统计!D$2:D$500,MATCH(175,样本到样信息汇总统计!$AA$2:$AA$500,0)),"")</f>
        <v/>
      </c>
      <c r="E176" s="4" t="str">
        <f>IFERROR(INDEX(样本到样信息汇总统计!E$2:E$500,MATCH(175,样本到样信息汇总统计!$AA$2:$AA$500,0)),"")</f>
        <v/>
      </c>
      <c r="F176" s="4" t="str">
        <f>IFERROR(INDEX(样本到样信息汇总统计!F$2:F$500,MATCH(175,样本到样信息汇总统计!$AA$2:$AA$500,0)),"")</f>
        <v/>
      </c>
      <c r="G176" s="4" t="str">
        <f>IFERROR(INDEX(样本到样信息汇总统计!G$2:G$500,MATCH(175,样本到样信息汇总统计!$AA$2:$AA$500,0)),"")</f>
        <v/>
      </c>
      <c r="H176" s="4" t="str">
        <f>IFERROR(INDEX(样本到样信息汇总统计!H$2:H$500,MATCH(175,样本到样信息汇总统计!$AA$2:$AA$500,0)),"")</f>
        <v/>
      </c>
      <c r="I176" s="4" t="str">
        <f>IFERROR(INDEX(样本到样信息汇总统计!I$2:I$500,MATCH(175,样本到样信息汇总统计!$AA$2:$AA$500,0)),"")</f>
        <v/>
      </c>
      <c r="J176" s="4" t="str">
        <f>IFERROR(INDEX(样本到样信息汇总统计!J$2:J$500,MATCH(175,样本到样信息汇总统计!$AA$2:$AA$500,0)),"")</f>
        <v/>
      </c>
      <c r="K176" s="4" t="str">
        <f>IFERROR(INDEX(样本到样信息汇总统计!K$2:K$500,MATCH(175,样本到样信息汇总统计!$AA$2:$AA$500,0)),"")</f>
        <v/>
      </c>
      <c r="L176" s="4" t="str">
        <f>IFERROR(INDEX(样本到样信息汇总统计!L$2:L$500,MATCH(175,样本到样信息汇总统计!$AA$2:$AA$500,0)),"")</f>
        <v/>
      </c>
      <c r="M176" s="4" t="str">
        <f>IFERROR(INDEX(样本到样信息汇总统计!M$2:M$500,MATCH(175,样本到样信息汇总统计!$AA$2:$AA$500,0)),"")</f>
        <v/>
      </c>
      <c r="N176" s="4" t="str">
        <f>IFERROR(INDEX(样本到样信息汇总统计!N$2:N$500,MATCH(175,样本到样信息汇总统计!$AA$2:$AA$500,0)),"")</f>
        <v/>
      </c>
      <c r="O176" s="4" t="str">
        <f>IFERROR(INDEX(样本到样信息汇总统计!O$2:O$500,MATCH(175,样本到样信息汇总统计!$AA$2:$AA$500,0)),"")</f>
        <v/>
      </c>
      <c r="P176" s="4" t="str">
        <f>IFERROR(INDEX(样本到样信息汇总统计!P$2:P$500,MATCH(175,样本到样信息汇总统计!$AA$2:$AA$500,0)),"")</f>
        <v/>
      </c>
      <c r="Q176" s="4" t="str">
        <f>IFERROR(INDEX(样本到样信息汇总统计!Q$2:Q$500,MATCH(175,样本到样信息汇总统计!$AA$2:$AA$500,0)),"")</f>
        <v/>
      </c>
      <c r="R176" s="4" t="str">
        <f>IFERROR(INDEX(样本到样信息汇总统计!R$2:R$500,MATCH(175,样本到样信息汇总统计!$AA$2:$AA$500,0)),"")</f>
        <v/>
      </c>
      <c r="S176" s="4" t="str">
        <f>IFERROR(INDEX(样本到样信息汇总统计!S$2:S$500,MATCH(175,样本到样信息汇总统计!$AA$2:$AA$500,0)),"")</f>
        <v/>
      </c>
      <c r="T176" s="4" t="str">
        <f>IFERROR(INDEX(样本到样信息汇总统计!T$2:T$500,MATCH(175,样本到样信息汇总统计!$AA$2:$AA$500,0)),"")</f>
        <v/>
      </c>
      <c r="U176" s="4" t="str">
        <f>IFERROR(INDEX(样本到样信息汇总统计!U$2:U$500,MATCH(175,样本到样信息汇总统计!$AA$2:$AA$500,0)),"")</f>
        <v/>
      </c>
      <c r="V176" s="4" t="str">
        <f>IFERROR(INDEX(样本到样信息汇总统计!V$2:V$500,MATCH(175,样本到样信息汇总统计!$AA$2:$AA$500,0)),"")</f>
        <v/>
      </c>
      <c r="W176" s="4" t="str">
        <f>IFERROR(INDEX(样本到样信息汇总统计!W$2:W$500,MATCH(175,样本到样信息汇总统计!$AA$2:$AA$500,0)),"")</f>
        <v/>
      </c>
    </row>
    <row r="177" ht="14.5" spans="1:23">
      <c r="A177" s="8" t="str">
        <f>IFERROR(INDEX(样本到样信息汇总统计!A$2:A$500,MATCH(176,样本到样信息汇总统计!$AA$2:$AA$500,0)),"")</f>
        <v/>
      </c>
      <c r="B177" s="8" t="str">
        <f>IFERROR(INDEX(样本到样信息汇总统计!B$2:B$500,MATCH(176,样本到样信息汇总统计!$AA$2:$AA$500,0)),"")</f>
        <v/>
      </c>
      <c r="C177" s="8" t="str">
        <f>IFERROR(INDEX(样本到样信息汇总统计!C$2:C$500,MATCH(176,样本到样信息汇总统计!$AA$2:$AA$500,0)),"")</f>
        <v/>
      </c>
      <c r="D177" s="8" t="str">
        <f>IFERROR(INDEX(样本到样信息汇总统计!D$2:D$500,MATCH(176,样本到样信息汇总统计!$AA$2:$AA$500,0)),"")</f>
        <v/>
      </c>
      <c r="E177" s="8" t="str">
        <f>IFERROR(INDEX(样本到样信息汇总统计!E$2:E$500,MATCH(176,样本到样信息汇总统计!$AA$2:$AA$500,0)),"")</f>
        <v/>
      </c>
      <c r="F177" s="8" t="str">
        <f>IFERROR(INDEX(样本到样信息汇总统计!F$2:F$500,MATCH(176,样本到样信息汇总统计!$AA$2:$AA$500,0)),"")</f>
        <v/>
      </c>
      <c r="G177" s="8" t="str">
        <f>IFERROR(INDEX(样本到样信息汇总统计!G$2:G$500,MATCH(176,样本到样信息汇总统计!$AA$2:$AA$500,0)),"")</f>
        <v/>
      </c>
      <c r="H177" s="8" t="str">
        <f>IFERROR(INDEX(样本到样信息汇总统计!H$2:H$500,MATCH(176,样本到样信息汇总统计!$AA$2:$AA$500,0)),"")</f>
        <v/>
      </c>
      <c r="I177" s="8" t="str">
        <f>IFERROR(INDEX(样本到样信息汇总统计!I$2:I$500,MATCH(176,样本到样信息汇总统计!$AA$2:$AA$500,0)),"")</f>
        <v/>
      </c>
      <c r="J177" s="8" t="str">
        <f>IFERROR(INDEX(样本到样信息汇总统计!J$2:J$500,MATCH(176,样本到样信息汇总统计!$AA$2:$AA$500,0)),"")</f>
        <v/>
      </c>
      <c r="K177" s="8" t="str">
        <f>IFERROR(INDEX(样本到样信息汇总统计!K$2:K$500,MATCH(176,样本到样信息汇总统计!$AA$2:$AA$500,0)),"")</f>
        <v/>
      </c>
      <c r="L177" s="8" t="str">
        <f>IFERROR(INDEX(样本到样信息汇总统计!L$2:L$500,MATCH(176,样本到样信息汇总统计!$AA$2:$AA$500,0)),"")</f>
        <v/>
      </c>
      <c r="M177" s="8" t="str">
        <f>IFERROR(INDEX(样本到样信息汇总统计!M$2:M$500,MATCH(176,样本到样信息汇总统计!$AA$2:$AA$500,0)),"")</f>
        <v/>
      </c>
      <c r="N177" s="8" t="str">
        <f>IFERROR(INDEX(样本到样信息汇总统计!N$2:N$500,MATCH(176,样本到样信息汇总统计!$AA$2:$AA$500,0)),"")</f>
        <v/>
      </c>
      <c r="O177" s="8" t="str">
        <f>IFERROR(INDEX(样本到样信息汇总统计!O$2:O$500,MATCH(176,样本到样信息汇总统计!$AA$2:$AA$500,0)),"")</f>
        <v/>
      </c>
      <c r="P177" s="8" t="str">
        <f>IFERROR(INDEX(样本到样信息汇总统计!P$2:P$500,MATCH(176,样本到样信息汇总统计!$AA$2:$AA$500,0)),"")</f>
        <v/>
      </c>
      <c r="Q177" s="8" t="str">
        <f>IFERROR(INDEX(样本到样信息汇总统计!Q$2:Q$500,MATCH(176,样本到样信息汇总统计!$AA$2:$AA$500,0)),"")</f>
        <v/>
      </c>
      <c r="R177" s="8" t="str">
        <f>IFERROR(INDEX(样本到样信息汇总统计!R$2:R$500,MATCH(176,样本到样信息汇总统计!$AA$2:$AA$500,0)),"")</f>
        <v/>
      </c>
      <c r="S177" s="8" t="str">
        <f>IFERROR(INDEX(样本到样信息汇总统计!S$2:S$500,MATCH(176,样本到样信息汇总统计!$AA$2:$AA$500,0)),"")</f>
        <v/>
      </c>
      <c r="T177" s="8" t="str">
        <f>IFERROR(INDEX(样本到样信息汇总统计!T$2:T$500,MATCH(176,样本到样信息汇总统计!$AA$2:$AA$500,0)),"")</f>
        <v/>
      </c>
      <c r="U177" s="8" t="str">
        <f>IFERROR(INDEX(样本到样信息汇总统计!U$2:U$500,MATCH(176,样本到样信息汇总统计!$AA$2:$AA$500,0)),"")</f>
        <v/>
      </c>
      <c r="V177" s="8" t="str">
        <f>IFERROR(INDEX(样本到样信息汇总统计!V$2:V$500,MATCH(176,样本到样信息汇总统计!$AA$2:$AA$500,0)),"")</f>
        <v/>
      </c>
      <c r="W177" s="8" t="str">
        <f>IFERROR(INDEX(样本到样信息汇总统计!W$2:W$500,MATCH(176,样本到样信息汇总统计!$AA$2:$AA$500,0)),"")</f>
        <v/>
      </c>
    </row>
    <row r="178" ht="14.5" spans="1:23">
      <c r="A178" s="4" t="str">
        <f>IFERROR(INDEX(样本到样信息汇总统计!A$2:A$500,MATCH(177,样本到样信息汇总统计!$AA$2:$AA$500,0)),"")</f>
        <v/>
      </c>
      <c r="B178" s="4" t="str">
        <f>IFERROR(INDEX(样本到样信息汇总统计!B$2:B$500,MATCH(177,样本到样信息汇总统计!$AA$2:$AA$500,0)),"")</f>
        <v/>
      </c>
      <c r="C178" s="4" t="str">
        <f>IFERROR(INDEX(样本到样信息汇总统计!C$2:C$500,MATCH(177,样本到样信息汇总统计!$AA$2:$AA$500,0)),"")</f>
        <v/>
      </c>
      <c r="D178" s="4" t="str">
        <f>IFERROR(INDEX(样本到样信息汇总统计!D$2:D$500,MATCH(177,样本到样信息汇总统计!$AA$2:$AA$500,0)),"")</f>
        <v/>
      </c>
      <c r="E178" s="4" t="str">
        <f>IFERROR(INDEX(样本到样信息汇总统计!E$2:E$500,MATCH(177,样本到样信息汇总统计!$AA$2:$AA$500,0)),"")</f>
        <v/>
      </c>
      <c r="F178" s="4" t="str">
        <f>IFERROR(INDEX(样本到样信息汇总统计!F$2:F$500,MATCH(177,样本到样信息汇总统计!$AA$2:$AA$500,0)),"")</f>
        <v/>
      </c>
      <c r="G178" s="4" t="str">
        <f>IFERROR(INDEX(样本到样信息汇总统计!G$2:G$500,MATCH(177,样本到样信息汇总统计!$AA$2:$AA$500,0)),"")</f>
        <v/>
      </c>
      <c r="H178" s="4" t="str">
        <f>IFERROR(INDEX(样本到样信息汇总统计!H$2:H$500,MATCH(177,样本到样信息汇总统计!$AA$2:$AA$500,0)),"")</f>
        <v/>
      </c>
      <c r="I178" s="4" t="str">
        <f>IFERROR(INDEX(样本到样信息汇总统计!I$2:I$500,MATCH(177,样本到样信息汇总统计!$AA$2:$AA$500,0)),"")</f>
        <v/>
      </c>
      <c r="J178" s="4" t="str">
        <f>IFERROR(INDEX(样本到样信息汇总统计!J$2:J$500,MATCH(177,样本到样信息汇总统计!$AA$2:$AA$500,0)),"")</f>
        <v/>
      </c>
      <c r="K178" s="4" t="str">
        <f>IFERROR(INDEX(样本到样信息汇总统计!K$2:K$500,MATCH(177,样本到样信息汇总统计!$AA$2:$AA$500,0)),"")</f>
        <v/>
      </c>
      <c r="L178" s="4" t="str">
        <f>IFERROR(INDEX(样本到样信息汇总统计!L$2:L$500,MATCH(177,样本到样信息汇总统计!$AA$2:$AA$500,0)),"")</f>
        <v/>
      </c>
      <c r="M178" s="4" t="str">
        <f>IFERROR(INDEX(样本到样信息汇总统计!M$2:M$500,MATCH(177,样本到样信息汇总统计!$AA$2:$AA$500,0)),"")</f>
        <v/>
      </c>
      <c r="N178" s="4" t="str">
        <f>IFERROR(INDEX(样本到样信息汇总统计!N$2:N$500,MATCH(177,样本到样信息汇总统计!$AA$2:$AA$500,0)),"")</f>
        <v/>
      </c>
      <c r="O178" s="4" t="str">
        <f>IFERROR(INDEX(样本到样信息汇总统计!O$2:O$500,MATCH(177,样本到样信息汇总统计!$AA$2:$AA$500,0)),"")</f>
        <v/>
      </c>
      <c r="P178" s="4" t="str">
        <f>IFERROR(INDEX(样本到样信息汇总统计!P$2:P$500,MATCH(177,样本到样信息汇总统计!$AA$2:$AA$500,0)),"")</f>
        <v/>
      </c>
      <c r="Q178" s="4" t="str">
        <f>IFERROR(INDEX(样本到样信息汇总统计!Q$2:Q$500,MATCH(177,样本到样信息汇总统计!$AA$2:$AA$500,0)),"")</f>
        <v/>
      </c>
      <c r="R178" s="4" t="str">
        <f>IFERROR(INDEX(样本到样信息汇总统计!R$2:R$500,MATCH(177,样本到样信息汇总统计!$AA$2:$AA$500,0)),"")</f>
        <v/>
      </c>
      <c r="S178" s="4" t="str">
        <f>IFERROR(INDEX(样本到样信息汇总统计!S$2:S$500,MATCH(177,样本到样信息汇总统计!$AA$2:$AA$500,0)),"")</f>
        <v/>
      </c>
      <c r="T178" s="4" t="str">
        <f>IFERROR(INDEX(样本到样信息汇总统计!T$2:T$500,MATCH(177,样本到样信息汇总统计!$AA$2:$AA$500,0)),"")</f>
        <v/>
      </c>
      <c r="U178" s="4" t="str">
        <f>IFERROR(INDEX(样本到样信息汇总统计!U$2:U$500,MATCH(177,样本到样信息汇总统计!$AA$2:$AA$500,0)),"")</f>
        <v/>
      </c>
      <c r="V178" s="4" t="str">
        <f>IFERROR(INDEX(样本到样信息汇总统计!V$2:V$500,MATCH(177,样本到样信息汇总统计!$AA$2:$AA$500,0)),"")</f>
        <v/>
      </c>
      <c r="W178" s="4" t="str">
        <f>IFERROR(INDEX(样本到样信息汇总统计!W$2:W$500,MATCH(177,样本到样信息汇总统计!$AA$2:$AA$500,0)),"")</f>
        <v/>
      </c>
    </row>
    <row r="179" ht="14.5" spans="1:23">
      <c r="A179" s="8" t="str">
        <f>IFERROR(INDEX(样本到样信息汇总统计!A$2:A$500,MATCH(178,样本到样信息汇总统计!$AA$2:$AA$500,0)),"")</f>
        <v/>
      </c>
      <c r="B179" s="8" t="str">
        <f>IFERROR(INDEX(样本到样信息汇总统计!B$2:B$500,MATCH(178,样本到样信息汇总统计!$AA$2:$AA$500,0)),"")</f>
        <v/>
      </c>
      <c r="C179" s="8" t="str">
        <f>IFERROR(INDEX(样本到样信息汇总统计!C$2:C$500,MATCH(178,样本到样信息汇总统计!$AA$2:$AA$500,0)),"")</f>
        <v/>
      </c>
      <c r="D179" s="8" t="str">
        <f>IFERROR(INDEX(样本到样信息汇总统计!D$2:D$500,MATCH(178,样本到样信息汇总统计!$AA$2:$AA$500,0)),"")</f>
        <v/>
      </c>
      <c r="E179" s="8" t="str">
        <f>IFERROR(INDEX(样本到样信息汇总统计!E$2:E$500,MATCH(178,样本到样信息汇总统计!$AA$2:$AA$500,0)),"")</f>
        <v/>
      </c>
      <c r="F179" s="8" t="str">
        <f>IFERROR(INDEX(样本到样信息汇总统计!F$2:F$500,MATCH(178,样本到样信息汇总统计!$AA$2:$AA$500,0)),"")</f>
        <v/>
      </c>
      <c r="G179" s="8" t="str">
        <f>IFERROR(INDEX(样本到样信息汇总统计!G$2:G$500,MATCH(178,样本到样信息汇总统计!$AA$2:$AA$500,0)),"")</f>
        <v/>
      </c>
      <c r="H179" s="8" t="str">
        <f>IFERROR(INDEX(样本到样信息汇总统计!H$2:H$500,MATCH(178,样本到样信息汇总统计!$AA$2:$AA$500,0)),"")</f>
        <v/>
      </c>
      <c r="I179" s="8" t="str">
        <f>IFERROR(INDEX(样本到样信息汇总统计!I$2:I$500,MATCH(178,样本到样信息汇总统计!$AA$2:$AA$500,0)),"")</f>
        <v/>
      </c>
      <c r="J179" s="8" t="str">
        <f>IFERROR(INDEX(样本到样信息汇总统计!J$2:J$500,MATCH(178,样本到样信息汇总统计!$AA$2:$AA$500,0)),"")</f>
        <v/>
      </c>
      <c r="K179" s="8" t="str">
        <f>IFERROR(INDEX(样本到样信息汇总统计!K$2:K$500,MATCH(178,样本到样信息汇总统计!$AA$2:$AA$500,0)),"")</f>
        <v/>
      </c>
      <c r="L179" s="8" t="str">
        <f>IFERROR(INDEX(样本到样信息汇总统计!L$2:L$500,MATCH(178,样本到样信息汇总统计!$AA$2:$AA$500,0)),"")</f>
        <v/>
      </c>
      <c r="M179" s="8" t="str">
        <f>IFERROR(INDEX(样本到样信息汇总统计!M$2:M$500,MATCH(178,样本到样信息汇总统计!$AA$2:$AA$500,0)),"")</f>
        <v/>
      </c>
      <c r="N179" s="8" t="str">
        <f>IFERROR(INDEX(样本到样信息汇总统计!N$2:N$500,MATCH(178,样本到样信息汇总统计!$AA$2:$AA$500,0)),"")</f>
        <v/>
      </c>
      <c r="O179" s="8" t="str">
        <f>IFERROR(INDEX(样本到样信息汇总统计!O$2:O$500,MATCH(178,样本到样信息汇总统计!$AA$2:$AA$500,0)),"")</f>
        <v/>
      </c>
      <c r="P179" s="8" t="str">
        <f>IFERROR(INDEX(样本到样信息汇总统计!P$2:P$500,MATCH(178,样本到样信息汇总统计!$AA$2:$AA$500,0)),"")</f>
        <v/>
      </c>
      <c r="Q179" s="8" t="str">
        <f>IFERROR(INDEX(样本到样信息汇总统计!Q$2:Q$500,MATCH(178,样本到样信息汇总统计!$AA$2:$AA$500,0)),"")</f>
        <v/>
      </c>
      <c r="R179" s="8" t="str">
        <f>IFERROR(INDEX(样本到样信息汇总统计!R$2:R$500,MATCH(178,样本到样信息汇总统计!$AA$2:$AA$500,0)),"")</f>
        <v/>
      </c>
      <c r="S179" s="8" t="str">
        <f>IFERROR(INDEX(样本到样信息汇总统计!S$2:S$500,MATCH(178,样本到样信息汇总统计!$AA$2:$AA$500,0)),"")</f>
        <v/>
      </c>
      <c r="T179" s="8" t="str">
        <f>IFERROR(INDEX(样本到样信息汇总统计!T$2:T$500,MATCH(178,样本到样信息汇总统计!$AA$2:$AA$500,0)),"")</f>
        <v/>
      </c>
      <c r="U179" s="8" t="str">
        <f>IFERROR(INDEX(样本到样信息汇总统计!U$2:U$500,MATCH(178,样本到样信息汇总统计!$AA$2:$AA$500,0)),"")</f>
        <v/>
      </c>
      <c r="V179" s="8" t="str">
        <f>IFERROR(INDEX(样本到样信息汇总统计!V$2:V$500,MATCH(178,样本到样信息汇总统计!$AA$2:$AA$500,0)),"")</f>
        <v/>
      </c>
      <c r="W179" s="8" t="str">
        <f>IFERROR(INDEX(样本到样信息汇总统计!W$2:W$500,MATCH(178,样本到样信息汇总统计!$AA$2:$AA$500,0)),"")</f>
        <v/>
      </c>
    </row>
    <row r="180" ht="14.5" spans="1:23">
      <c r="A180" s="4" t="str">
        <f>IFERROR(INDEX(样本到样信息汇总统计!A$2:A$500,MATCH(179,样本到样信息汇总统计!$AA$2:$AA$500,0)),"")</f>
        <v/>
      </c>
      <c r="B180" s="4" t="str">
        <f>IFERROR(INDEX(样本到样信息汇总统计!B$2:B$500,MATCH(179,样本到样信息汇总统计!$AA$2:$AA$500,0)),"")</f>
        <v/>
      </c>
      <c r="C180" s="4" t="str">
        <f>IFERROR(INDEX(样本到样信息汇总统计!C$2:C$500,MATCH(179,样本到样信息汇总统计!$AA$2:$AA$500,0)),"")</f>
        <v/>
      </c>
      <c r="D180" s="4" t="str">
        <f>IFERROR(INDEX(样本到样信息汇总统计!D$2:D$500,MATCH(179,样本到样信息汇总统计!$AA$2:$AA$500,0)),"")</f>
        <v/>
      </c>
      <c r="E180" s="4" t="str">
        <f>IFERROR(INDEX(样本到样信息汇总统计!E$2:E$500,MATCH(179,样本到样信息汇总统计!$AA$2:$AA$500,0)),"")</f>
        <v/>
      </c>
      <c r="F180" s="4" t="str">
        <f>IFERROR(INDEX(样本到样信息汇总统计!F$2:F$500,MATCH(179,样本到样信息汇总统计!$AA$2:$AA$500,0)),"")</f>
        <v/>
      </c>
      <c r="G180" s="4" t="str">
        <f>IFERROR(INDEX(样本到样信息汇总统计!G$2:G$500,MATCH(179,样本到样信息汇总统计!$AA$2:$AA$500,0)),"")</f>
        <v/>
      </c>
      <c r="H180" s="4" t="str">
        <f>IFERROR(INDEX(样本到样信息汇总统计!H$2:H$500,MATCH(179,样本到样信息汇总统计!$AA$2:$AA$500,0)),"")</f>
        <v/>
      </c>
      <c r="I180" s="4" t="str">
        <f>IFERROR(INDEX(样本到样信息汇总统计!I$2:I$500,MATCH(179,样本到样信息汇总统计!$AA$2:$AA$500,0)),"")</f>
        <v/>
      </c>
      <c r="J180" s="4" t="str">
        <f>IFERROR(INDEX(样本到样信息汇总统计!J$2:J$500,MATCH(179,样本到样信息汇总统计!$AA$2:$AA$500,0)),"")</f>
        <v/>
      </c>
      <c r="K180" s="4" t="str">
        <f>IFERROR(INDEX(样本到样信息汇总统计!K$2:K$500,MATCH(179,样本到样信息汇总统计!$AA$2:$AA$500,0)),"")</f>
        <v/>
      </c>
      <c r="L180" s="4" t="str">
        <f>IFERROR(INDEX(样本到样信息汇总统计!L$2:L$500,MATCH(179,样本到样信息汇总统计!$AA$2:$AA$500,0)),"")</f>
        <v/>
      </c>
      <c r="M180" s="4" t="str">
        <f>IFERROR(INDEX(样本到样信息汇总统计!M$2:M$500,MATCH(179,样本到样信息汇总统计!$AA$2:$AA$500,0)),"")</f>
        <v/>
      </c>
      <c r="N180" s="4" t="str">
        <f>IFERROR(INDEX(样本到样信息汇总统计!N$2:N$500,MATCH(179,样本到样信息汇总统计!$AA$2:$AA$500,0)),"")</f>
        <v/>
      </c>
      <c r="O180" s="4" t="str">
        <f>IFERROR(INDEX(样本到样信息汇总统计!O$2:O$500,MATCH(179,样本到样信息汇总统计!$AA$2:$AA$500,0)),"")</f>
        <v/>
      </c>
      <c r="P180" s="4" t="str">
        <f>IFERROR(INDEX(样本到样信息汇总统计!P$2:P$500,MATCH(179,样本到样信息汇总统计!$AA$2:$AA$500,0)),"")</f>
        <v/>
      </c>
      <c r="Q180" s="4" t="str">
        <f>IFERROR(INDEX(样本到样信息汇总统计!Q$2:Q$500,MATCH(179,样本到样信息汇总统计!$AA$2:$AA$500,0)),"")</f>
        <v/>
      </c>
      <c r="R180" s="4" t="str">
        <f>IFERROR(INDEX(样本到样信息汇总统计!R$2:R$500,MATCH(179,样本到样信息汇总统计!$AA$2:$AA$500,0)),"")</f>
        <v/>
      </c>
      <c r="S180" s="4" t="str">
        <f>IFERROR(INDEX(样本到样信息汇总统计!S$2:S$500,MATCH(179,样本到样信息汇总统计!$AA$2:$AA$500,0)),"")</f>
        <v/>
      </c>
      <c r="T180" s="4" t="str">
        <f>IFERROR(INDEX(样本到样信息汇总统计!T$2:T$500,MATCH(179,样本到样信息汇总统计!$AA$2:$AA$500,0)),"")</f>
        <v/>
      </c>
      <c r="U180" s="4" t="str">
        <f>IFERROR(INDEX(样本到样信息汇总统计!U$2:U$500,MATCH(179,样本到样信息汇总统计!$AA$2:$AA$500,0)),"")</f>
        <v/>
      </c>
      <c r="V180" s="4" t="str">
        <f>IFERROR(INDEX(样本到样信息汇总统计!V$2:V$500,MATCH(179,样本到样信息汇总统计!$AA$2:$AA$500,0)),"")</f>
        <v/>
      </c>
      <c r="W180" s="4" t="str">
        <f>IFERROR(INDEX(样本到样信息汇总统计!W$2:W$500,MATCH(179,样本到样信息汇总统计!$AA$2:$AA$500,0)),"")</f>
        <v/>
      </c>
    </row>
    <row r="181" ht="14.5" spans="1:23">
      <c r="A181" s="8" t="str">
        <f>IFERROR(INDEX(样本到样信息汇总统计!A$2:A$500,MATCH(180,样本到样信息汇总统计!$AA$2:$AA$500,0)),"")</f>
        <v/>
      </c>
      <c r="B181" s="8" t="str">
        <f>IFERROR(INDEX(样本到样信息汇总统计!B$2:B$500,MATCH(180,样本到样信息汇总统计!$AA$2:$AA$500,0)),"")</f>
        <v/>
      </c>
      <c r="C181" s="8" t="str">
        <f>IFERROR(INDEX(样本到样信息汇总统计!C$2:C$500,MATCH(180,样本到样信息汇总统计!$AA$2:$AA$500,0)),"")</f>
        <v/>
      </c>
      <c r="D181" s="8" t="str">
        <f>IFERROR(INDEX(样本到样信息汇总统计!D$2:D$500,MATCH(180,样本到样信息汇总统计!$AA$2:$AA$500,0)),"")</f>
        <v/>
      </c>
      <c r="E181" s="8" t="str">
        <f>IFERROR(INDEX(样本到样信息汇总统计!E$2:E$500,MATCH(180,样本到样信息汇总统计!$AA$2:$AA$500,0)),"")</f>
        <v/>
      </c>
      <c r="F181" s="8" t="str">
        <f>IFERROR(INDEX(样本到样信息汇总统计!F$2:F$500,MATCH(180,样本到样信息汇总统计!$AA$2:$AA$500,0)),"")</f>
        <v/>
      </c>
      <c r="G181" s="8" t="str">
        <f>IFERROR(INDEX(样本到样信息汇总统计!G$2:G$500,MATCH(180,样本到样信息汇总统计!$AA$2:$AA$500,0)),"")</f>
        <v/>
      </c>
      <c r="H181" s="8" t="str">
        <f>IFERROR(INDEX(样本到样信息汇总统计!H$2:H$500,MATCH(180,样本到样信息汇总统计!$AA$2:$AA$500,0)),"")</f>
        <v/>
      </c>
      <c r="I181" s="8" t="str">
        <f>IFERROR(INDEX(样本到样信息汇总统计!I$2:I$500,MATCH(180,样本到样信息汇总统计!$AA$2:$AA$500,0)),"")</f>
        <v/>
      </c>
      <c r="J181" s="8" t="str">
        <f>IFERROR(INDEX(样本到样信息汇总统计!J$2:J$500,MATCH(180,样本到样信息汇总统计!$AA$2:$AA$500,0)),"")</f>
        <v/>
      </c>
      <c r="K181" s="8" t="str">
        <f>IFERROR(INDEX(样本到样信息汇总统计!K$2:K$500,MATCH(180,样本到样信息汇总统计!$AA$2:$AA$500,0)),"")</f>
        <v/>
      </c>
      <c r="L181" s="8" t="str">
        <f>IFERROR(INDEX(样本到样信息汇总统计!L$2:L$500,MATCH(180,样本到样信息汇总统计!$AA$2:$AA$500,0)),"")</f>
        <v/>
      </c>
      <c r="M181" s="8" t="str">
        <f>IFERROR(INDEX(样本到样信息汇总统计!M$2:M$500,MATCH(180,样本到样信息汇总统计!$AA$2:$AA$500,0)),"")</f>
        <v/>
      </c>
      <c r="N181" s="8" t="str">
        <f>IFERROR(INDEX(样本到样信息汇总统计!N$2:N$500,MATCH(180,样本到样信息汇总统计!$AA$2:$AA$500,0)),"")</f>
        <v/>
      </c>
      <c r="O181" s="8" t="str">
        <f>IFERROR(INDEX(样本到样信息汇总统计!O$2:O$500,MATCH(180,样本到样信息汇总统计!$AA$2:$AA$500,0)),"")</f>
        <v/>
      </c>
      <c r="P181" s="8" t="str">
        <f>IFERROR(INDEX(样本到样信息汇总统计!P$2:P$500,MATCH(180,样本到样信息汇总统计!$AA$2:$AA$500,0)),"")</f>
        <v/>
      </c>
      <c r="Q181" s="8" t="str">
        <f>IFERROR(INDEX(样本到样信息汇总统计!Q$2:Q$500,MATCH(180,样本到样信息汇总统计!$AA$2:$AA$500,0)),"")</f>
        <v/>
      </c>
      <c r="R181" s="8" t="str">
        <f>IFERROR(INDEX(样本到样信息汇总统计!R$2:R$500,MATCH(180,样本到样信息汇总统计!$AA$2:$AA$500,0)),"")</f>
        <v/>
      </c>
      <c r="S181" s="8" t="str">
        <f>IFERROR(INDEX(样本到样信息汇总统计!S$2:S$500,MATCH(180,样本到样信息汇总统计!$AA$2:$AA$500,0)),"")</f>
        <v/>
      </c>
      <c r="T181" s="8" t="str">
        <f>IFERROR(INDEX(样本到样信息汇总统计!T$2:T$500,MATCH(180,样本到样信息汇总统计!$AA$2:$AA$500,0)),"")</f>
        <v/>
      </c>
      <c r="U181" s="8" t="str">
        <f>IFERROR(INDEX(样本到样信息汇总统计!U$2:U$500,MATCH(180,样本到样信息汇总统计!$AA$2:$AA$500,0)),"")</f>
        <v/>
      </c>
      <c r="V181" s="8" t="str">
        <f>IFERROR(INDEX(样本到样信息汇总统计!V$2:V$500,MATCH(180,样本到样信息汇总统计!$AA$2:$AA$500,0)),"")</f>
        <v/>
      </c>
      <c r="W181" s="8" t="str">
        <f>IFERROR(INDEX(样本到样信息汇总统计!W$2:W$500,MATCH(180,样本到样信息汇总统计!$AA$2:$AA$500,0)),"")</f>
        <v/>
      </c>
    </row>
    <row r="182" ht="14.5" spans="1:23">
      <c r="A182" s="4" t="str">
        <f>IFERROR(INDEX(样本到样信息汇总统计!A$2:A$500,MATCH(181,样本到样信息汇总统计!$AA$2:$AA$500,0)),"")</f>
        <v/>
      </c>
      <c r="B182" s="4" t="str">
        <f>IFERROR(INDEX(样本到样信息汇总统计!B$2:B$500,MATCH(181,样本到样信息汇总统计!$AA$2:$AA$500,0)),"")</f>
        <v/>
      </c>
      <c r="C182" s="4" t="str">
        <f>IFERROR(INDEX(样本到样信息汇总统计!C$2:C$500,MATCH(181,样本到样信息汇总统计!$AA$2:$AA$500,0)),"")</f>
        <v/>
      </c>
      <c r="D182" s="4" t="str">
        <f>IFERROR(INDEX(样本到样信息汇总统计!D$2:D$500,MATCH(181,样本到样信息汇总统计!$AA$2:$AA$500,0)),"")</f>
        <v/>
      </c>
      <c r="E182" s="4" t="str">
        <f>IFERROR(INDEX(样本到样信息汇总统计!E$2:E$500,MATCH(181,样本到样信息汇总统计!$AA$2:$AA$500,0)),"")</f>
        <v/>
      </c>
      <c r="F182" s="4" t="str">
        <f>IFERROR(INDEX(样本到样信息汇总统计!F$2:F$500,MATCH(181,样本到样信息汇总统计!$AA$2:$AA$500,0)),"")</f>
        <v/>
      </c>
      <c r="G182" s="4" t="str">
        <f>IFERROR(INDEX(样本到样信息汇总统计!G$2:G$500,MATCH(181,样本到样信息汇总统计!$AA$2:$AA$500,0)),"")</f>
        <v/>
      </c>
      <c r="H182" s="4" t="str">
        <f>IFERROR(INDEX(样本到样信息汇总统计!H$2:H$500,MATCH(181,样本到样信息汇总统计!$AA$2:$AA$500,0)),"")</f>
        <v/>
      </c>
      <c r="I182" s="4" t="str">
        <f>IFERROR(INDEX(样本到样信息汇总统计!I$2:I$500,MATCH(181,样本到样信息汇总统计!$AA$2:$AA$500,0)),"")</f>
        <v/>
      </c>
      <c r="J182" s="4" t="str">
        <f>IFERROR(INDEX(样本到样信息汇总统计!J$2:J$500,MATCH(181,样本到样信息汇总统计!$AA$2:$AA$500,0)),"")</f>
        <v/>
      </c>
      <c r="K182" s="4" t="str">
        <f>IFERROR(INDEX(样本到样信息汇总统计!K$2:K$500,MATCH(181,样本到样信息汇总统计!$AA$2:$AA$500,0)),"")</f>
        <v/>
      </c>
      <c r="L182" s="4" t="str">
        <f>IFERROR(INDEX(样本到样信息汇总统计!L$2:L$500,MATCH(181,样本到样信息汇总统计!$AA$2:$AA$500,0)),"")</f>
        <v/>
      </c>
      <c r="M182" s="4" t="str">
        <f>IFERROR(INDEX(样本到样信息汇总统计!M$2:M$500,MATCH(181,样本到样信息汇总统计!$AA$2:$AA$500,0)),"")</f>
        <v/>
      </c>
      <c r="N182" s="4" t="str">
        <f>IFERROR(INDEX(样本到样信息汇总统计!N$2:N$500,MATCH(181,样本到样信息汇总统计!$AA$2:$AA$500,0)),"")</f>
        <v/>
      </c>
      <c r="O182" s="4" t="str">
        <f>IFERROR(INDEX(样本到样信息汇总统计!O$2:O$500,MATCH(181,样本到样信息汇总统计!$AA$2:$AA$500,0)),"")</f>
        <v/>
      </c>
      <c r="P182" s="4" t="str">
        <f>IFERROR(INDEX(样本到样信息汇总统计!P$2:P$500,MATCH(181,样本到样信息汇总统计!$AA$2:$AA$500,0)),"")</f>
        <v/>
      </c>
      <c r="Q182" s="4" t="str">
        <f>IFERROR(INDEX(样本到样信息汇总统计!Q$2:Q$500,MATCH(181,样本到样信息汇总统计!$AA$2:$AA$500,0)),"")</f>
        <v/>
      </c>
      <c r="R182" s="4" t="str">
        <f>IFERROR(INDEX(样本到样信息汇总统计!R$2:R$500,MATCH(181,样本到样信息汇总统计!$AA$2:$AA$500,0)),"")</f>
        <v/>
      </c>
      <c r="S182" s="4" t="str">
        <f>IFERROR(INDEX(样本到样信息汇总统计!S$2:S$500,MATCH(181,样本到样信息汇总统计!$AA$2:$AA$500,0)),"")</f>
        <v/>
      </c>
      <c r="T182" s="4" t="str">
        <f>IFERROR(INDEX(样本到样信息汇总统计!T$2:T$500,MATCH(181,样本到样信息汇总统计!$AA$2:$AA$500,0)),"")</f>
        <v/>
      </c>
      <c r="U182" s="4" t="str">
        <f>IFERROR(INDEX(样本到样信息汇总统计!U$2:U$500,MATCH(181,样本到样信息汇总统计!$AA$2:$AA$500,0)),"")</f>
        <v/>
      </c>
      <c r="V182" s="4" t="str">
        <f>IFERROR(INDEX(样本到样信息汇总统计!V$2:V$500,MATCH(181,样本到样信息汇总统计!$AA$2:$AA$500,0)),"")</f>
        <v/>
      </c>
      <c r="W182" s="4" t="str">
        <f>IFERROR(INDEX(样本到样信息汇总统计!W$2:W$500,MATCH(181,样本到样信息汇总统计!$AA$2:$AA$500,0)),"")</f>
        <v/>
      </c>
    </row>
    <row r="183" ht="14.5" spans="1:23">
      <c r="A183" s="8" t="str">
        <f>IFERROR(INDEX(样本到样信息汇总统计!A$2:A$500,MATCH(182,样本到样信息汇总统计!$AA$2:$AA$500,0)),"")</f>
        <v/>
      </c>
      <c r="B183" s="8" t="str">
        <f>IFERROR(INDEX(样本到样信息汇总统计!B$2:B$500,MATCH(182,样本到样信息汇总统计!$AA$2:$AA$500,0)),"")</f>
        <v/>
      </c>
      <c r="C183" s="8" t="str">
        <f>IFERROR(INDEX(样本到样信息汇总统计!C$2:C$500,MATCH(182,样本到样信息汇总统计!$AA$2:$AA$500,0)),"")</f>
        <v/>
      </c>
      <c r="D183" s="8" t="str">
        <f>IFERROR(INDEX(样本到样信息汇总统计!D$2:D$500,MATCH(182,样本到样信息汇总统计!$AA$2:$AA$500,0)),"")</f>
        <v/>
      </c>
      <c r="E183" s="8" t="str">
        <f>IFERROR(INDEX(样本到样信息汇总统计!E$2:E$500,MATCH(182,样本到样信息汇总统计!$AA$2:$AA$500,0)),"")</f>
        <v/>
      </c>
      <c r="F183" s="8" t="str">
        <f>IFERROR(INDEX(样本到样信息汇总统计!F$2:F$500,MATCH(182,样本到样信息汇总统计!$AA$2:$AA$500,0)),"")</f>
        <v/>
      </c>
      <c r="G183" s="8" t="str">
        <f>IFERROR(INDEX(样本到样信息汇总统计!G$2:G$500,MATCH(182,样本到样信息汇总统计!$AA$2:$AA$500,0)),"")</f>
        <v/>
      </c>
      <c r="H183" s="8" t="str">
        <f>IFERROR(INDEX(样本到样信息汇总统计!H$2:H$500,MATCH(182,样本到样信息汇总统计!$AA$2:$AA$500,0)),"")</f>
        <v/>
      </c>
      <c r="I183" s="8" t="str">
        <f>IFERROR(INDEX(样本到样信息汇总统计!I$2:I$500,MATCH(182,样本到样信息汇总统计!$AA$2:$AA$500,0)),"")</f>
        <v/>
      </c>
      <c r="J183" s="8" t="str">
        <f>IFERROR(INDEX(样本到样信息汇总统计!J$2:J$500,MATCH(182,样本到样信息汇总统计!$AA$2:$AA$500,0)),"")</f>
        <v/>
      </c>
      <c r="K183" s="8" t="str">
        <f>IFERROR(INDEX(样本到样信息汇总统计!K$2:K$500,MATCH(182,样本到样信息汇总统计!$AA$2:$AA$500,0)),"")</f>
        <v/>
      </c>
      <c r="L183" s="8" t="str">
        <f>IFERROR(INDEX(样本到样信息汇总统计!L$2:L$500,MATCH(182,样本到样信息汇总统计!$AA$2:$AA$500,0)),"")</f>
        <v/>
      </c>
      <c r="M183" s="8" t="str">
        <f>IFERROR(INDEX(样本到样信息汇总统计!M$2:M$500,MATCH(182,样本到样信息汇总统计!$AA$2:$AA$500,0)),"")</f>
        <v/>
      </c>
      <c r="N183" s="8" t="str">
        <f>IFERROR(INDEX(样本到样信息汇总统计!N$2:N$500,MATCH(182,样本到样信息汇总统计!$AA$2:$AA$500,0)),"")</f>
        <v/>
      </c>
      <c r="O183" s="8" t="str">
        <f>IFERROR(INDEX(样本到样信息汇总统计!O$2:O$500,MATCH(182,样本到样信息汇总统计!$AA$2:$AA$500,0)),"")</f>
        <v/>
      </c>
      <c r="P183" s="8" t="str">
        <f>IFERROR(INDEX(样本到样信息汇总统计!P$2:P$500,MATCH(182,样本到样信息汇总统计!$AA$2:$AA$500,0)),"")</f>
        <v/>
      </c>
      <c r="Q183" s="8" t="str">
        <f>IFERROR(INDEX(样本到样信息汇总统计!Q$2:Q$500,MATCH(182,样本到样信息汇总统计!$AA$2:$AA$500,0)),"")</f>
        <v/>
      </c>
      <c r="R183" s="8" t="str">
        <f>IFERROR(INDEX(样本到样信息汇总统计!R$2:R$500,MATCH(182,样本到样信息汇总统计!$AA$2:$AA$500,0)),"")</f>
        <v/>
      </c>
      <c r="S183" s="8" t="str">
        <f>IFERROR(INDEX(样本到样信息汇总统计!S$2:S$500,MATCH(182,样本到样信息汇总统计!$AA$2:$AA$500,0)),"")</f>
        <v/>
      </c>
      <c r="T183" s="8" t="str">
        <f>IFERROR(INDEX(样本到样信息汇总统计!T$2:T$500,MATCH(182,样本到样信息汇总统计!$AA$2:$AA$500,0)),"")</f>
        <v/>
      </c>
      <c r="U183" s="8" t="str">
        <f>IFERROR(INDEX(样本到样信息汇总统计!U$2:U$500,MATCH(182,样本到样信息汇总统计!$AA$2:$AA$500,0)),"")</f>
        <v/>
      </c>
      <c r="V183" s="8" t="str">
        <f>IFERROR(INDEX(样本到样信息汇总统计!V$2:V$500,MATCH(182,样本到样信息汇总统计!$AA$2:$AA$500,0)),"")</f>
        <v/>
      </c>
      <c r="W183" s="8" t="str">
        <f>IFERROR(INDEX(样本到样信息汇总统计!W$2:W$500,MATCH(182,样本到样信息汇总统计!$AA$2:$AA$500,0)),"")</f>
        <v/>
      </c>
    </row>
    <row r="184" ht="14.5" spans="1:23">
      <c r="A184" s="4" t="str">
        <f>IFERROR(INDEX(样本到样信息汇总统计!A$2:A$500,MATCH(183,样本到样信息汇总统计!$AA$2:$AA$500,0)),"")</f>
        <v/>
      </c>
      <c r="B184" s="4" t="str">
        <f>IFERROR(INDEX(样本到样信息汇总统计!B$2:B$500,MATCH(183,样本到样信息汇总统计!$AA$2:$AA$500,0)),"")</f>
        <v/>
      </c>
      <c r="C184" s="4" t="str">
        <f>IFERROR(INDEX(样本到样信息汇总统计!C$2:C$500,MATCH(183,样本到样信息汇总统计!$AA$2:$AA$500,0)),"")</f>
        <v/>
      </c>
      <c r="D184" s="4" t="str">
        <f>IFERROR(INDEX(样本到样信息汇总统计!D$2:D$500,MATCH(183,样本到样信息汇总统计!$AA$2:$AA$500,0)),"")</f>
        <v/>
      </c>
      <c r="E184" s="4" t="str">
        <f>IFERROR(INDEX(样本到样信息汇总统计!E$2:E$500,MATCH(183,样本到样信息汇总统计!$AA$2:$AA$500,0)),"")</f>
        <v/>
      </c>
      <c r="F184" s="4" t="str">
        <f>IFERROR(INDEX(样本到样信息汇总统计!F$2:F$500,MATCH(183,样本到样信息汇总统计!$AA$2:$AA$500,0)),"")</f>
        <v/>
      </c>
      <c r="G184" s="4" t="str">
        <f>IFERROR(INDEX(样本到样信息汇总统计!G$2:G$500,MATCH(183,样本到样信息汇总统计!$AA$2:$AA$500,0)),"")</f>
        <v/>
      </c>
      <c r="H184" s="4" t="str">
        <f>IFERROR(INDEX(样本到样信息汇总统计!H$2:H$500,MATCH(183,样本到样信息汇总统计!$AA$2:$AA$500,0)),"")</f>
        <v/>
      </c>
      <c r="I184" s="4" t="str">
        <f>IFERROR(INDEX(样本到样信息汇总统计!I$2:I$500,MATCH(183,样本到样信息汇总统计!$AA$2:$AA$500,0)),"")</f>
        <v/>
      </c>
      <c r="J184" s="4" t="str">
        <f>IFERROR(INDEX(样本到样信息汇总统计!J$2:J$500,MATCH(183,样本到样信息汇总统计!$AA$2:$AA$500,0)),"")</f>
        <v/>
      </c>
      <c r="K184" s="4" t="str">
        <f>IFERROR(INDEX(样本到样信息汇总统计!K$2:K$500,MATCH(183,样本到样信息汇总统计!$AA$2:$AA$500,0)),"")</f>
        <v/>
      </c>
      <c r="L184" s="4" t="str">
        <f>IFERROR(INDEX(样本到样信息汇总统计!L$2:L$500,MATCH(183,样本到样信息汇总统计!$AA$2:$AA$500,0)),"")</f>
        <v/>
      </c>
      <c r="M184" s="4" t="str">
        <f>IFERROR(INDEX(样本到样信息汇总统计!M$2:M$500,MATCH(183,样本到样信息汇总统计!$AA$2:$AA$500,0)),"")</f>
        <v/>
      </c>
      <c r="N184" s="4" t="str">
        <f>IFERROR(INDEX(样本到样信息汇总统计!N$2:N$500,MATCH(183,样本到样信息汇总统计!$AA$2:$AA$500,0)),"")</f>
        <v/>
      </c>
      <c r="O184" s="4" t="str">
        <f>IFERROR(INDEX(样本到样信息汇总统计!O$2:O$500,MATCH(183,样本到样信息汇总统计!$AA$2:$AA$500,0)),"")</f>
        <v/>
      </c>
      <c r="P184" s="4" t="str">
        <f>IFERROR(INDEX(样本到样信息汇总统计!P$2:P$500,MATCH(183,样本到样信息汇总统计!$AA$2:$AA$500,0)),"")</f>
        <v/>
      </c>
      <c r="Q184" s="4" t="str">
        <f>IFERROR(INDEX(样本到样信息汇总统计!Q$2:Q$500,MATCH(183,样本到样信息汇总统计!$AA$2:$AA$500,0)),"")</f>
        <v/>
      </c>
      <c r="R184" s="4" t="str">
        <f>IFERROR(INDEX(样本到样信息汇总统计!R$2:R$500,MATCH(183,样本到样信息汇总统计!$AA$2:$AA$500,0)),"")</f>
        <v/>
      </c>
      <c r="S184" s="4" t="str">
        <f>IFERROR(INDEX(样本到样信息汇总统计!S$2:S$500,MATCH(183,样本到样信息汇总统计!$AA$2:$AA$500,0)),"")</f>
        <v/>
      </c>
      <c r="T184" s="4" t="str">
        <f>IFERROR(INDEX(样本到样信息汇总统计!T$2:T$500,MATCH(183,样本到样信息汇总统计!$AA$2:$AA$500,0)),"")</f>
        <v/>
      </c>
      <c r="U184" s="4" t="str">
        <f>IFERROR(INDEX(样本到样信息汇总统计!U$2:U$500,MATCH(183,样本到样信息汇总统计!$AA$2:$AA$500,0)),"")</f>
        <v/>
      </c>
      <c r="V184" s="4" t="str">
        <f>IFERROR(INDEX(样本到样信息汇总统计!V$2:V$500,MATCH(183,样本到样信息汇总统计!$AA$2:$AA$500,0)),"")</f>
        <v/>
      </c>
      <c r="W184" s="4" t="str">
        <f>IFERROR(INDEX(样本到样信息汇总统计!W$2:W$500,MATCH(183,样本到样信息汇总统计!$AA$2:$AA$500,0)),"")</f>
        <v/>
      </c>
    </row>
    <row r="185" ht="14.5" spans="1:23">
      <c r="A185" s="8" t="str">
        <f>IFERROR(INDEX(样本到样信息汇总统计!A$2:A$500,MATCH(184,样本到样信息汇总统计!$AA$2:$AA$500,0)),"")</f>
        <v/>
      </c>
      <c r="B185" s="8" t="str">
        <f>IFERROR(INDEX(样本到样信息汇总统计!B$2:B$500,MATCH(184,样本到样信息汇总统计!$AA$2:$AA$500,0)),"")</f>
        <v/>
      </c>
      <c r="C185" s="8" t="str">
        <f>IFERROR(INDEX(样本到样信息汇总统计!C$2:C$500,MATCH(184,样本到样信息汇总统计!$AA$2:$AA$500,0)),"")</f>
        <v/>
      </c>
      <c r="D185" s="8" t="str">
        <f>IFERROR(INDEX(样本到样信息汇总统计!D$2:D$500,MATCH(184,样本到样信息汇总统计!$AA$2:$AA$500,0)),"")</f>
        <v/>
      </c>
      <c r="E185" s="8" t="str">
        <f>IFERROR(INDEX(样本到样信息汇总统计!E$2:E$500,MATCH(184,样本到样信息汇总统计!$AA$2:$AA$500,0)),"")</f>
        <v/>
      </c>
      <c r="F185" s="8" t="str">
        <f>IFERROR(INDEX(样本到样信息汇总统计!F$2:F$500,MATCH(184,样本到样信息汇总统计!$AA$2:$AA$500,0)),"")</f>
        <v/>
      </c>
      <c r="G185" s="8" t="str">
        <f>IFERROR(INDEX(样本到样信息汇总统计!G$2:G$500,MATCH(184,样本到样信息汇总统计!$AA$2:$AA$500,0)),"")</f>
        <v/>
      </c>
      <c r="H185" s="8" t="str">
        <f>IFERROR(INDEX(样本到样信息汇总统计!H$2:H$500,MATCH(184,样本到样信息汇总统计!$AA$2:$AA$500,0)),"")</f>
        <v/>
      </c>
      <c r="I185" s="8" t="str">
        <f>IFERROR(INDEX(样本到样信息汇总统计!I$2:I$500,MATCH(184,样本到样信息汇总统计!$AA$2:$AA$500,0)),"")</f>
        <v/>
      </c>
      <c r="J185" s="8" t="str">
        <f>IFERROR(INDEX(样本到样信息汇总统计!J$2:J$500,MATCH(184,样本到样信息汇总统计!$AA$2:$AA$500,0)),"")</f>
        <v/>
      </c>
      <c r="K185" s="8" t="str">
        <f>IFERROR(INDEX(样本到样信息汇总统计!K$2:K$500,MATCH(184,样本到样信息汇总统计!$AA$2:$AA$500,0)),"")</f>
        <v/>
      </c>
      <c r="L185" s="8" t="str">
        <f>IFERROR(INDEX(样本到样信息汇总统计!L$2:L$500,MATCH(184,样本到样信息汇总统计!$AA$2:$AA$500,0)),"")</f>
        <v/>
      </c>
      <c r="M185" s="8" t="str">
        <f>IFERROR(INDEX(样本到样信息汇总统计!M$2:M$500,MATCH(184,样本到样信息汇总统计!$AA$2:$AA$500,0)),"")</f>
        <v/>
      </c>
      <c r="N185" s="8" t="str">
        <f>IFERROR(INDEX(样本到样信息汇总统计!N$2:N$500,MATCH(184,样本到样信息汇总统计!$AA$2:$AA$500,0)),"")</f>
        <v/>
      </c>
      <c r="O185" s="8" t="str">
        <f>IFERROR(INDEX(样本到样信息汇总统计!O$2:O$500,MATCH(184,样本到样信息汇总统计!$AA$2:$AA$500,0)),"")</f>
        <v/>
      </c>
      <c r="P185" s="8" t="str">
        <f>IFERROR(INDEX(样本到样信息汇总统计!P$2:P$500,MATCH(184,样本到样信息汇总统计!$AA$2:$AA$500,0)),"")</f>
        <v/>
      </c>
      <c r="Q185" s="8" t="str">
        <f>IFERROR(INDEX(样本到样信息汇总统计!Q$2:Q$500,MATCH(184,样本到样信息汇总统计!$AA$2:$AA$500,0)),"")</f>
        <v/>
      </c>
      <c r="R185" s="8" t="str">
        <f>IFERROR(INDEX(样本到样信息汇总统计!R$2:R$500,MATCH(184,样本到样信息汇总统计!$AA$2:$AA$500,0)),"")</f>
        <v/>
      </c>
      <c r="S185" s="8" t="str">
        <f>IFERROR(INDEX(样本到样信息汇总统计!S$2:S$500,MATCH(184,样本到样信息汇总统计!$AA$2:$AA$500,0)),"")</f>
        <v/>
      </c>
      <c r="T185" s="8" t="str">
        <f>IFERROR(INDEX(样本到样信息汇总统计!T$2:T$500,MATCH(184,样本到样信息汇总统计!$AA$2:$AA$500,0)),"")</f>
        <v/>
      </c>
      <c r="U185" s="8" t="str">
        <f>IFERROR(INDEX(样本到样信息汇总统计!U$2:U$500,MATCH(184,样本到样信息汇总统计!$AA$2:$AA$500,0)),"")</f>
        <v/>
      </c>
      <c r="V185" s="8" t="str">
        <f>IFERROR(INDEX(样本到样信息汇总统计!V$2:V$500,MATCH(184,样本到样信息汇总统计!$AA$2:$AA$500,0)),"")</f>
        <v/>
      </c>
      <c r="W185" s="8" t="str">
        <f>IFERROR(INDEX(样本到样信息汇总统计!W$2:W$500,MATCH(184,样本到样信息汇总统计!$AA$2:$AA$500,0)),"")</f>
        <v/>
      </c>
    </row>
    <row r="186" ht="14.5" spans="1:23">
      <c r="A186" s="4" t="str">
        <f>IFERROR(INDEX(样本到样信息汇总统计!A$2:A$500,MATCH(185,样本到样信息汇总统计!$AA$2:$AA$500,0)),"")</f>
        <v/>
      </c>
      <c r="B186" s="4" t="str">
        <f>IFERROR(INDEX(样本到样信息汇总统计!B$2:B$500,MATCH(185,样本到样信息汇总统计!$AA$2:$AA$500,0)),"")</f>
        <v/>
      </c>
      <c r="C186" s="4" t="str">
        <f>IFERROR(INDEX(样本到样信息汇总统计!C$2:C$500,MATCH(185,样本到样信息汇总统计!$AA$2:$AA$500,0)),"")</f>
        <v/>
      </c>
      <c r="D186" s="4" t="str">
        <f>IFERROR(INDEX(样本到样信息汇总统计!D$2:D$500,MATCH(185,样本到样信息汇总统计!$AA$2:$AA$500,0)),"")</f>
        <v/>
      </c>
      <c r="E186" s="4" t="str">
        <f>IFERROR(INDEX(样本到样信息汇总统计!E$2:E$500,MATCH(185,样本到样信息汇总统计!$AA$2:$AA$500,0)),"")</f>
        <v/>
      </c>
      <c r="F186" s="4" t="str">
        <f>IFERROR(INDEX(样本到样信息汇总统计!F$2:F$500,MATCH(185,样本到样信息汇总统计!$AA$2:$AA$500,0)),"")</f>
        <v/>
      </c>
      <c r="G186" s="4" t="str">
        <f>IFERROR(INDEX(样本到样信息汇总统计!G$2:G$500,MATCH(185,样本到样信息汇总统计!$AA$2:$AA$500,0)),"")</f>
        <v/>
      </c>
      <c r="H186" s="4" t="str">
        <f>IFERROR(INDEX(样本到样信息汇总统计!H$2:H$500,MATCH(185,样本到样信息汇总统计!$AA$2:$AA$500,0)),"")</f>
        <v/>
      </c>
      <c r="I186" s="4" t="str">
        <f>IFERROR(INDEX(样本到样信息汇总统计!I$2:I$500,MATCH(185,样本到样信息汇总统计!$AA$2:$AA$500,0)),"")</f>
        <v/>
      </c>
      <c r="J186" s="4" t="str">
        <f>IFERROR(INDEX(样本到样信息汇总统计!J$2:J$500,MATCH(185,样本到样信息汇总统计!$AA$2:$AA$500,0)),"")</f>
        <v/>
      </c>
      <c r="K186" s="4" t="str">
        <f>IFERROR(INDEX(样本到样信息汇总统计!K$2:K$500,MATCH(185,样本到样信息汇总统计!$AA$2:$AA$500,0)),"")</f>
        <v/>
      </c>
      <c r="L186" s="4" t="str">
        <f>IFERROR(INDEX(样本到样信息汇总统计!L$2:L$500,MATCH(185,样本到样信息汇总统计!$AA$2:$AA$500,0)),"")</f>
        <v/>
      </c>
      <c r="M186" s="4" t="str">
        <f>IFERROR(INDEX(样本到样信息汇总统计!M$2:M$500,MATCH(185,样本到样信息汇总统计!$AA$2:$AA$500,0)),"")</f>
        <v/>
      </c>
      <c r="N186" s="4" t="str">
        <f>IFERROR(INDEX(样本到样信息汇总统计!N$2:N$500,MATCH(185,样本到样信息汇总统计!$AA$2:$AA$500,0)),"")</f>
        <v/>
      </c>
      <c r="O186" s="4" t="str">
        <f>IFERROR(INDEX(样本到样信息汇总统计!O$2:O$500,MATCH(185,样本到样信息汇总统计!$AA$2:$AA$500,0)),"")</f>
        <v/>
      </c>
      <c r="P186" s="4" t="str">
        <f>IFERROR(INDEX(样本到样信息汇总统计!P$2:P$500,MATCH(185,样本到样信息汇总统计!$AA$2:$AA$500,0)),"")</f>
        <v/>
      </c>
      <c r="Q186" s="4" t="str">
        <f>IFERROR(INDEX(样本到样信息汇总统计!Q$2:Q$500,MATCH(185,样本到样信息汇总统计!$AA$2:$AA$500,0)),"")</f>
        <v/>
      </c>
      <c r="R186" s="4" t="str">
        <f>IFERROR(INDEX(样本到样信息汇总统计!R$2:R$500,MATCH(185,样本到样信息汇总统计!$AA$2:$AA$500,0)),"")</f>
        <v/>
      </c>
      <c r="S186" s="4" t="str">
        <f>IFERROR(INDEX(样本到样信息汇总统计!S$2:S$500,MATCH(185,样本到样信息汇总统计!$AA$2:$AA$500,0)),"")</f>
        <v/>
      </c>
      <c r="T186" s="4" t="str">
        <f>IFERROR(INDEX(样本到样信息汇总统计!T$2:T$500,MATCH(185,样本到样信息汇总统计!$AA$2:$AA$500,0)),"")</f>
        <v/>
      </c>
      <c r="U186" s="4" t="str">
        <f>IFERROR(INDEX(样本到样信息汇总统计!U$2:U$500,MATCH(185,样本到样信息汇总统计!$AA$2:$AA$500,0)),"")</f>
        <v/>
      </c>
      <c r="V186" s="4" t="str">
        <f>IFERROR(INDEX(样本到样信息汇总统计!V$2:V$500,MATCH(185,样本到样信息汇总统计!$AA$2:$AA$500,0)),"")</f>
        <v/>
      </c>
      <c r="W186" s="4" t="str">
        <f>IFERROR(INDEX(样本到样信息汇总统计!W$2:W$500,MATCH(185,样本到样信息汇总统计!$AA$2:$AA$500,0)),"")</f>
        <v/>
      </c>
    </row>
    <row r="187" ht="14.5" spans="1:23">
      <c r="A187" s="8" t="str">
        <f>IFERROR(INDEX(样本到样信息汇总统计!A$2:A$500,MATCH(186,样本到样信息汇总统计!$AA$2:$AA$500,0)),"")</f>
        <v/>
      </c>
      <c r="B187" s="8" t="str">
        <f>IFERROR(INDEX(样本到样信息汇总统计!B$2:B$500,MATCH(186,样本到样信息汇总统计!$AA$2:$AA$500,0)),"")</f>
        <v/>
      </c>
      <c r="C187" s="8" t="str">
        <f>IFERROR(INDEX(样本到样信息汇总统计!C$2:C$500,MATCH(186,样本到样信息汇总统计!$AA$2:$AA$500,0)),"")</f>
        <v/>
      </c>
      <c r="D187" s="8" t="str">
        <f>IFERROR(INDEX(样本到样信息汇总统计!D$2:D$500,MATCH(186,样本到样信息汇总统计!$AA$2:$AA$500,0)),"")</f>
        <v/>
      </c>
      <c r="E187" s="8" t="str">
        <f>IFERROR(INDEX(样本到样信息汇总统计!E$2:E$500,MATCH(186,样本到样信息汇总统计!$AA$2:$AA$500,0)),"")</f>
        <v/>
      </c>
      <c r="F187" s="8" t="str">
        <f>IFERROR(INDEX(样本到样信息汇总统计!F$2:F$500,MATCH(186,样本到样信息汇总统计!$AA$2:$AA$500,0)),"")</f>
        <v/>
      </c>
      <c r="G187" s="8" t="str">
        <f>IFERROR(INDEX(样本到样信息汇总统计!G$2:G$500,MATCH(186,样本到样信息汇总统计!$AA$2:$AA$500,0)),"")</f>
        <v/>
      </c>
      <c r="H187" s="8" t="str">
        <f>IFERROR(INDEX(样本到样信息汇总统计!H$2:H$500,MATCH(186,样本到样信息汇总统计!$AA$2:$AA$500,0)),"")</f>
        <v/>
      </c>
      <c r="I187" s="8" t="str">
        <f>IFERROR(INDEX(样本到样信息汇总统计!I$2:I$500,MATCH(186,样本到样信息汇总统计!$AA$2:$AA$500,0)),"")</f>
        <v/>
      </c>
      <c r="J187" s="8" t="str">
        <f>IFERROR(INDEX(样本到样信息汇总统计!J$2:J$500,MATCH(186,样本到样信息汇总统计!$AA$2:$AA$500,0)),"")</f>
        <v/>
      </c>
      <c r="K187" s="8" t="str">
        <f>IFERROR(INDEX(样本到样信息汇总统计!K$2:K$500,MATCH(186,样本到样信息汇总统计!$AA$2:$AA$500,0)),"")</f>
        <v/>
      </c>
      <c r="L187" s="8" t="str">
        <f>IFERROR(INDEX(样本到样信息汇总统计!L$2:L$500,MATCH(186,样本到样信息汇总统计!$AA$2:$AA$500,0)),"")</f>
        <v/>
      </c>
      <c r="M187" s="8" t="str">
        <f>IFERROR(INDEX(样本到样信息汇总统计!M$2:M$500,MATCH(186,样本到样信息汇总统计!$AA$2:$AA$500,0)),"")</f>
        <v/>
      </c>
      <c r="N187" s="8" t="str">
        <f>IFERROR(INDEX(样本到样信息汇总统计!N$2:N$500,MATCH(186,样本到样信息汇总统计!$AA$2:$AA$500,0)),"")</f>
        <v/>
      </c>
      <c r="O187" s="8" t="str">
        <f>IFERROR(INDEX(样本到样信息汇总统计!O$2:O$500,MATCH(186,样本到样信息汇总统计!$AA$2:$AA$500,0)),"")</f>
        <v/>
      </c>
      <c r="P187" s="8" t="str">
        <f>IFERROR(INDEX(样本到样信息汇总统计!P$2:P$500,MATCH(186,样本到样信息汇总统计!$AA$2:$AA$500,0)),"")</f>
        <v/>
      </c>
      <c r="Q187" s="8" t="str">
        <f>IFERROR(INDEX(样本到样信息汇总统计!Q$2:Q$500,MATCH(186,样本到样信息汇总统计!$AA$2:$AA$500,0)),"")</f>
        <v/>
      </c>
      <c r="R187" s="8" t="str">
        <f>IFERROR(INDEX(样本到样信息汇总统计!R$2:R$500,MATCH(186,样本到样信息汇总统计!$AA$2:$AA$500,0)),"")</f>
        <v/>
      </c>
      <c r="S187" s="8" t="str">
        <f>IFERROR(INDEX(样本到样信息汇总统计!S$2:S$500,MATCH(186,样本到样信息汇总统计!$AA$2:$AA$500,0)),"")</f>
        <v/>
      </c>
      <c r="T187" s="8" t="str">
        <f>IFERROR(INDEX(样本到样信息汇总统计!T$2:T$500,MATCH(186,样本到样信息汇总统计!$AA$2:$AA$500,0)),"")</f>
        <v/>
      </c>
      <c r="U187" s="8" t="str">
        <f>IFERROR(INDEX(样本到样信息汇总统计!U$2:U$500,MATCH(186,样本到样信息汇总统计!$AA$2:$AA$500,0)),"")</f>
        <v/>
      </c>
      <c r="V187" s="8" t="str">
        <f>IFERROR(INDEX(样本到样信息汇总统计!V$2:V$500,MATCH(186,样本到样信息汇总统计!$AA$2:$AA$500,0)),"")</f>
        <v/>
      </c>
      <c r="W187" s="8" t="str">
        <f>IFERROR(INDEX(样本到样信息汇总统计!W$2:W$500,MATCH(186,样本到样信息汇总统计!$AA$2:$AA$500,0)),"")</f>
        <v/>
      </c>
    </row>
    <row r="188" ht="14.5" spans="1:23">
      <c r="A188" s="4" t="str">
        <f>IFERROR(INDEX(样本到样信息汇总统计!A$2:A$500,MATCH(187,样本到样信息汇总统计!$AA$2:$AA$500,0)),"")</f>
        <v/>
      </c>
      <c r="B188" s="4" t="str">
        <f>IFERROR(INDEX(样本到样信息汇总统计!B$2:B$500,MATCH(187,样本到样信息汇总统计!$AA$2:$AA$500,0)),"")</f>
        <v/>
      </c>
      <c r="C188" s="4" t="str">
        <f>IFERROR(INDEX(样本到样信息汇总统计!C$2:C$500,MATCH(187,样本到样信息汇总统计!$AA$2:$AA$500,0)),"")</f>
        <v/>
      </c>
      <c r="D188" s="4" t="str">
        <f>IFERROR(INDEX(样本到样信息汇总统计!D$2:D$500,MATCH(187,样本到样信息汇总统计!$AA$2:$AA$500,0)),"")</f>
        <v/>
      </c>
      <c r="E188" s="4" t="str">
        <f>IFERROR(INDEX(样本到样信息汇总统计!E$2:E$500,MATCH(187,样本到样信息汇总统计!$AA$2:$AA$500,0)),"")</f>
        <v/>
      </c>
      <c r="F188" s="4" t="str">
        <f>IFERROR(INDEX(样本到样信息汇总统计!F$2:F$500,MATCH(187,样本到样信息汇总统计!$AA$2:$AA$500,0)),"")</f>
        <v/>
      </c>
      <c r="G188" s="4" t="str">
        <f>IFERROR(INDEX(样本到样信息汇总统计!G$2:G$500,MATCH(187,样本到样信息汇总统计!$AA$2:$AA$500,0)),"")</f>
        <v/>
      </c>
      <c r="H188" s="4" t="str">
        <f>IFERROR(INDEX(样本到样信息汇总统计!H$2:H$500,MATCH(187,样本到样信息汇总统计!$AA$2:$AA$500,0)),"")</f>
        <v/>
      </c>
      <c r="I188" s="4" t="str">
        <f>IFERROR(INDEX(样本到样信息汇总统计!I$2:I$500,MATCH(187,样本到样信息汇总统计!$AA$2:$AA$500,0)),"")</f>
        <v/>
      </c>
      <c r="J188" s="4" t="str">
        <f>IFERROR(INDEX(样本到样信息汇总统计!J$2:J$500,MATCH(187,样本到样信息汇总统计!$AA$2:$AA$500,0)),"")</f>
        <v/>
      </c>
      <c r="K188" s="4" t="str">
        <f>IFERROR(INDEX(样本到样信息汇总统计!K$2:K$500,MATCH(187,样本到样信息汇总统计!$AA$2:$AA$500,0)),"")</f>
        <v/>
      </c>
      <c r="L188" s="4" t="str">
        <f>IFERROR(INDEX(样本到样信息汇总统计!L$2:L$500,MATCH(187,样本到样信息汇总统计!$AA$2:$AA$500,0)),"")</f>
        <v/>
      </c>
      <c r="M188" s="4" t="str">
        <f>IFERROR(INDEX(样本到样信息汇总统计!M$2:M$500,MATCH(187,样本到样信息汇总统计!$AA$2:$AA$500,0)),"")</f>
        <v/>
      </c>
      <c r="N188" s="4" t="str">
        <f>IFERROR(INDEX(样本到样信息汇总统计!N$2:N$500,MATCH(187,样本到样信息汇总统计!$AA$2:$AA$500,0)),"")</f>
        <v/>
      </c>
      <c r="O188" s="4" t="str">
        <f>IFERROR(INDEX(样本到样信息汇总统计!O$2:O$500,MATCH(187,样本到样信息汇总统计!$AA$2:$AA$500,0)),"")</f>
        <v/>
      </c>
      <c r="P188" s="4" t="str">
        <f>IFERROR(INDEX(样本到样信息汇总统计!P$2:P$500,MATCH(187,样本到样信息汇总统计!$AA$2:$AA$500,0)),"")</f>
        <v/>
      </c>
      <c r="Q188" s="4" t="str">
        <f>IFERROR(INDEX(样本到样信息汇总统计!Q$2:Q$500,MATCH(187,样本到样信息汇总统计!$AA$2:$AA$500,0)),"")</f>
        <v/>
      </c>
      <c r="R188" s="4" t="str">
        <f>IFERROR(INDEX(样本到样信息汇总统计!R$2:R$500,MATCH(187,样本到样信息汇总统计!$AA$2:$AA$500,0)),"")</f>
        <v/>
      </c>
      <c r="S188" s="4" t="str">
        <f>IFERROR(INDEX(样本到样信息汇总统计!S$2:S$500,MATCH(187,样本到样信息汇总统计!$AA$2:$AA$500,0)),"")</f>
        <v/>
      </c>
      <c r="T188" s="4" t="str">
        <f>IFERROR(INDEX(样本到样信息汇总统计!T$2:T$500,MATCH(187,样本到样信息汇总统计!$AA$2:$AA$500,0)),"")</f>
        <v/>
      </c>
      <c r="U188" s="4" t="str">
        <f>IFERROR(INDEX(样本到样信息汇总统计!U$2:U$500,MATCH(187,样本到样信息汇总统计!$AA$2:$AA$500,0)),"")</f>
        <v/>
      </c>
      <c r="V188" s="4" t="str">
        <f>IFERROR(INDEX(样本到样信息汇总统计!V$2:V$500,MATCH(187,样本到样信息汇总统计!$AA$2:$AA$500,0)),"")</f>
        <v/>
      </c>
      <c r="W188" s="4" t="str">
        <f>IFERROR(INDEX(样本到样信息汇总统计!W$2:W$500,MATCH(187,样本到样信息汇总统计!$AA$2:$AA$500,0)),"")</f>
        <v/>
      </c>
    </row>
    <row r="189" ht="14.5" spans="1:23">
      <c r="A189" s="8" t="str">
        <f>IFERROR(INDEX(样本到样信息汇总统计!A$2:A$500,MATCH(188,样本到样信息汇总统计!$AA$2:$AA$500,0)),"")</f>
        <v/>
      </c>
      <c r="B189" s="8" t="str">
        <f>IFERROR(INDEX(样本到样信息汇总统计!B$2:B$500,MATCH(188,样本到样信息汇总统计!$AA$2:$AA$500,0)),"")</f>
        <v/>
      </c>
      <c r="C189" s="8" t="str">
        <f>IFERROR(INDEX(样本到样信息汇总统计!C$2:C$500,MATCH(188,样本到样信息汇总统计!$AA$2:$AA$500,0)),"")</f>
        <v/>
      </c>
      <c r="D189" s="8" t="str">
        <f>IFERROR(INDEX(样本到样信息汇总统计!D$2:D$500,MATCH(188,样本到样信息汇总统计!$AA$2:$AA$500,0)),"")</f>
        <v/>
      </c>
      <c r="E189" s="8" t="str">
        <f>IFERROR(INDEX(样本到样信息汇总统计!E$2:E$500,MATCH(188,样本到样信息汇总统计!$AA$2:$AA$500,0)),"")</f>
        <v/>
      </c>
      <c r="F189" s="8" t="str">
        <f>IFERROR(INDEX(样本到样信息汇总统计!F$2:F$500,MATCH(188,样本到样信息汇总统计!$AA$2:$AA$500,0)),"")</f>
        <v/>
      </c>
      <c r="G189" s="8" t="str">
        <f>IFERROR(INDEX(样本到样信息汇总统计!G$2:G$500,MATCH(188,样本到样信息汇总统计!$AA$2:$AA$500,0)),"")</f>
        <v/>
      </c>
      <c r="H189" s="8" t="str">
        <f>IFERROR(INDEX(样本到样信息汇总统计!H$2:H$500,MATCH(188,样本到样信息汇总统计!$AA$2:$AA$500,0)),"")</f>
        <v/>
      </c>
      <c r="I189" s="8" t="str">
        <f>IFERROR(INDEX(样本到样信息汇总统计!I$2:I$500,MATCH(188,样本到样信息汇总统计!$AA$2:$AA$500,0)),"")</f>
        <v/>
      </c>
      <c r="J189" s="8" t="str">
        <f>IFERROR(INDEX(样本到样信息汇总统计!J$2:J$500,MATCH(188,样本到样信息汇总统计!$AA$2:$AA$500,0)),"")</f>
        <v/>
      </c>
      <c r="K189" s="8" t="str">
        <f>IFERROR(INDEX(样本到样信息汇总统计!K$2:K$500,MATCH(188,样本到样信息汇总统计!$AA$2:$AA$500,0)),"")</f>
        <v/>
      </c>
      <c r="L189" s="8" t="str">
        <f>IFERROR(INDEX(样本到样信息汇总统计!L$2:L$500,MATCH(188,样本到样信息汇总统计!$AA$2:$AA$500,0)),"")</f>
        <v/>
      </c>
      <c r="M189" s="8" t="str">
        <f>IFERROR(INDEX(样本到样信息汇总统计!M$2:M$500,MATCH(188,样本到样信息汇总统计!$AA$2:$AA$500,0)),"")</f>
        <v/>
      </c>
      <c r="N189" s="8" t="str">
        <f>IFERROR(INDEX(样本到样信息汇总统计!N$2:N$500,MATCH(188,样本到样信息汇总统计!$AA$2:$AA$500,0)),"")</f>
        <v/>
      </c>
      <c r="O189" s="8" t="str">
        <f>IFERROR(INDEX(样本到样信息汇总统计!O$2:O$500,MATCH(188,样本到样信息汇总统计!$AA$2:$AA$500,0)),"")</f>
        <v/>
      </c>
      <c r="P189" s="8" t="str">
        <f>IFERROR(INDEX(样本到样信息汇总统计!P$2:P$500,MATCH(188,样本到样信息汇总统计!$AA$2:$AA$500,0)),"")</f>
        <v/>
      </c>
      <c r="Q189" s="8" t="str">
        <f>IFERROR(INDEX(样本到样信息汇总统计!Q$2:Q$500,MATCH(188,样本到样信息汇总统计!$AA$2:$AA$500,0)),"")</f>
        <v/>
      </c>
      <c r="R189" s="8" t="str">
        <f>IFERROR(INDEX(样本到样信息汇总统计!R$2:R$500,MATCH(188,样本到样信息汇总统计!$AA$2:$AA$500,0)),"")</f>
        <v/>
      </c>
      <c r="S189" s="8" t="str">
        <f>IFERROR(INDEX(样本到样信息汇总统计!S$2:S$500,MATCH(188,样本到样信息汇总统计!$AA$2:$AA$500,0)),"")</f>
        <v/>
      </c>
      <c r="T189" s="8" t="str">
        <f>IFERROR(INDEX(样本到样信息汇总统计!T$2:T$500,MATCH(188,样本到样信息汇总统计!$AA$2:$AA$500,0)),"")</f>
        <v/>
      </c>
      <c r="U189" s="8" t="str">
        <f>IFERROR(INDEX(样本到样信息汇总统计!U$2:U$500,MATCH(188,样本到样信息汇总统计!$AA$2:$AA$500,0)),"")</f>
        <v/>
      </c>
      <c r="V189" s="8" t="str">
        <f>IFERROR(INDEX(样本到样信息汇总统计!V$2:V$500,MATCH(188,样本到样信息汇总统计!$AA$2:$AA$500,0)),"")</f>
        <v/>
      </c>
      <c r="W189" s="8" t="str">
        <f>IFERROR(INDEX(样本到样信息汇总统计!W$2:W$500,MATCH(188,样本到样信息汇总统计!$AA$2:$AA$500,0)),"")</f>
        <v/>
      </c>
    </row>
    <row r="190" ht="14.5" spans="1:23">
      <c r="A190" s="4" t="str">
        <f>IFERROR(INDEX(样本到样信息汇总统计!A$2:A$500,MATCH(189,样本到样信息汇总统计!$AA$2:$AA$500,0)),"")</f>
        <v/>
      </c>
      <c r="B190" s="4" t="str">
        <f>IFERROR(INDEX(样本到样信息汇总统计!B$2:B$500,MATCH(189,样本到样信息汇总统计!$AA$2:$AA$500,0)),"")</f>
        <v/>
      </c>
      <c r="C190" s="4" t="str">
        <f>IFERROR(INDEX(样本到样信息汇总统计!C$2:C$500,MATCH(189,样本到样信息汇总统计!$AA$2:$AA$500,0)),"")</f>
        <v/>
      </c>
      <c r="D190" s="4" t="str">
        <f>IFERROR(INDEX(样本到样信息汇总统计!D$2:D$500,MATCH(189,样本到样信息汇总统计!$AA$2:$AA$500,0)),"")</f>
        <v/>
      </c>
      <c r="E190" s="4" t="str">
        <f>IFERROR(INDEX(样本到样信息汇总统计!E$2:E$500,MATCH(189,样本到样信息汇总统计!$AA$2:$AA$500,0)),"")</f>
        <v/>
      </c>
      <c r="F190" s="4" t="str">
        <f>IFERROR(INDEX(样本到样信息汇总统计!F$2:F$500,MATCH(189,样本到样信息汇总统计!$AA$2:$AA$500,0)),"")</f>
        <v/>
      </c>
      <c r="G190" s="4" t="str">
        <f>IFERROR(INDEX(样本到样信息汇总统计!G$2:G$500,MATCH(189,样本到样信息汇总统计!$AA$2:$AA$500,0)),"")</f>
        <v/>
      </c>
      <c r="H190" s="4" t="str">
        <f>IFERROR(INDEX(样本到样信息汇总统计!H$2:H$500,MATCH(189,样本到样信息汇总统计!$AA$2:$AA$500,0)),"")</f>
        <v/>
      </c>
      <c r="I190" s="4" t="str">
        <f>IFERROR(INDEX(样本到样信息汇总统计!I$2:I$500,MATCH(189,样本到样信息汇总统计!$AA$2:$AA$500,0)),"")</f>
        <v/>
      </c>
      <c r="J190" s="4" t="str">
        <f>IFERROR(INDEX(样本到样信息汇总统计!J$2:J$500,MATCH(189,样本到样信息汇总统计!$AA$2:$AA$500,0)),"")</f>
        <v/>
      </c>
      <c r="K190" s="4" t="str">
        <f>IFERROR(INDEX(样本到样信息汇总统计!K$2:K$500,MATCH(189,样本到样信息汇总统计!$AA$2:$AA$500,0)),"")</f>
        <v/>
      </c>
      <c r="L190" s="4" t="str">
        <f>IFERROR(INDEX(样本到样信息汇总统计!L$2:L$500,MATCH(189,样本到样信息汇总统计!$AA$2:$AA$500,0)),"")</f>
        <v/>
      </c>
      <c r="M190" s="4" t="str">
        <f>IFERROR(INDEX(样本到样信息汇总统计!M$2:M$500,MATCH(189,样本到样信息汇总统计!$AA$2:$AA$500,0)),"")</f>
        <v/>
      </c>
      <c r="N190" s="4" t="str">
        <f>IFERROR(INDEX(样本到样信息汇总统计!N$2:N$500,MATCH(189,样本到样信息汇总统计!$AA$2:$AA$500,0)),"")</f>
        <v/>
      </c>
      <c r="O190" s="4" t="str">
        <f>IFERROR(INDEX(样本到样信息汇总统计!O$2:O$500,MATCH(189,样本到样信息汇总统计!$AA$2:$AA$500,0)),"")</f>
        <v/>
      </c>
      <c r="P190" s="4" t="str">
        <f>IFERROR(INDEX(样本到样信息汇总统计!P$2:P$500,MATCH(189,样本到样信息汇总统计!$AA$2:$AA$500,0)),"")</f>
        <v/>
      </c>
      <c r="Q190" s="4" t="str">
        <f>IFERROR(INDEX(样本到样信息汇总统计!Q$2:Q$500,MATCH(189,样本到样信息汇总统计!$AA$2:$AA$500,0)),"")</f>
        <v/>
      </c>
      <c r="R190" s="4" t="str">
        <f>IFERROR(INDEX(样本到样信息汇总统计!R$2:R$500,MATCH(189,样本到样信息汇总统计!$AA$2:$AA$500,0)),"")</f>
        <v/>
      </c>
      <c r="S190" s="4" t="str">
        <f>IFERROR(INDEX(样本到样信息汇总统计!S$2:S$500,MATCH(189,样本到样信息汇总统计!$AA$2:$AA$500,0)),"")</f>
        <v/>
      </c>
      <c r="T190" s="4" t="str">
        <f>IFERROR(INDEX(样本到样信息汇总统计!T$2:T$500,MATCH(189,样本到样信息汇总统计!$AA$2:$AA$500,0)),"")</f>
        <v/>
      </c>
      <c r="U190" s="4" t="str">
        <f>IFERROR(INDEX(样本到样信息汇总统计!U$2:U$500,MATCH(189,样本到样信息汇总统计!$AA$2:$AA$500,0)),"")</f>
        <v/>
      </c>
      <c r="V190" s="4" t="str">
        <f>IFERROR(INDEX(样本到样信息汇总统计!V$2:V$500,MATCH(189,样本到样信息汇总统计!$AA$2:$AA$500,0)),"")</f>
        <v/>
      </c>
      <c r="W190" s="4" t="str">
        <f>IFERROR(INDEX(样本到样信息汇总统计!W$2:W$500,MATCH(189,样本到样信息汇总统计!$AA$2:$AA$500,0)),"")</f>
        <v/>
      </c>
    </row>
    <row r="191" ht="14.5" spans="1:23">
      <c r="A191" s="8" t="str">
        <f>IFERROR(INDEX(样本到样信息汇总统计!A$2:A$500,MATCH(190,样本到样信息汇总统计!$AA$2:$AA$500,0)),"")</f>
        <v/>
      </c>
      <c r="B191" s="8" t="str">
        <f>IFERROR(INDEX(样本到样信息汇总统计!B$2:B$500,MATCH(190,样本到样信息汇总统计!$AA$2:$AA$500,0)),"")</f>
        <v/>
      </c>
      <c r="C191" s="8" t="str">
        <f>IFERROR(INDEX(样本到样信息汇总统计!C$2:C$500,MATCH(190,样本到样信息汇总统计!$AA$2:$AA$500,0)),"")</f>
        <v/>
      </c>
      <c r="D191" s="8" t="str">
        <f>IFERROR(INDEX(样本到样信息汇总统计!D$2:D$500,MATCH(190,样本到样信息汇总统计!$AA$2:$AA$500,0)),"")</f>
        <v/>
      </c>
      <c r="E191" s="8" t="str">
        <f>IFERROR(INDEX(样本到样信息汇总统计!E$2:E$500,MATCH(190,样本到样信息汇总统计!$AA$2:$AA$500,0)),"")</f>
        <v/>
      </c>
      <c r="F191" s="8" t="str">
        <f>IFERROR(INDEX(样本到样信息汇总统计!F$2:F$500,MATCH(190,样本到样信息汇总统计!$AA$2:$AA$500,0)),"")</f>
        <v/>
      </c>
      <c r="G191" s="8" t="str">
        <f>IFERROR(INDEX(样本到样信息汇总统计!G$2:G$500,MATCH(190,样本到样信息汇总统计!$AA$2:$AA$500,0)),"")</f>
        <v/>
      </c>
      <c r="H191" s="8" t="str">
        <f>IFERROR(INDEX(样本到样信息汇总统计!H$2:H$500,MATCH(190,样本到样信息汇总统计!$AA$2:$AA$500,0)),"")</f>
        <v/>
      </c>
      <c r="I191" s="8" t="str">
        <f>IFERROR(INDEX(样本到样信息汇总统计!I$2:I$500,MATCH(190,样本到样信息汇总统计!$AA$2:$AA$500,0)),"")</f>
        <v/>
      </c>
      <c r="J191" s="8" t="str">
        <f>IFERROR(INDEX(样本到样信息汇总统计!J$2:J$500,MATCH(190,样本到样信息汇总统计!$AA$2:$AA$500,0)),"")</f>
        <v/>
      </c>
      <c r="K191" s="8" t="str">
        <f>IFERROR(INDEX(样本到样信息汇总统计!K$2:K$500,MATCH(190,样本到样信息汇总统计!$AA$2:$AA$500,0)),"")</f>
        <v/>
      </c>
      <c r="L191" s="8" t="str">
        <f>IFERROR(INDEX(样本到样信息汇总统计!L$2:L$500,MATCH(190,样本到样信息汇总统计!$AA$2:$AA$500,0)),"")</f>
        <v/>
      </c>
      <c r="M191" s="8" t="str">
        <f>IFERROR(INDEX(样本到样信息汇总统计!M$2:M$500,MATCH(190,样本到样信息汇总统计!$AA$2:$AA$500,0)),"")</f>
        <v/>
      </c>
      <c r="N191" s="8" t="str">
        <f>IFERROR(INDEX(样本到样信息汇总统计!N$2:N$500,MATCH(190,样本到样信息汇总统计!$AA$2:$AA$500,0)),"")</f>
        <v/>
      </c>
      <c r="O191" s="8" t="str">
        <f>IFERROR(INDEX(样本到样信息汇总统计!O$2:O$500,MATCH(190,样本到样信息汇总统计!$AA$2:$AA$500,0)),"")</f>
        <v/>
      </c>
      <c r="P191" s="8" t="str">
        <f>IFERROR(INDEX(样本到样信息汇总统计!P$2:P$500,MATCH(190,样本到样信息汇总统计!$AA$2:$AA$500,0)),"")</f>
        <v/>
      </c>
      <c r="Q191" s="8" t="str">
        <f>IFERROR(INDEX(样本到样信息汇总统计!Q$2:Q$500,MATCH(190,样本到样信息汇总统计!$AA$2:$AA$500,0)),"")</f>
        <v/>
      </c>
      <c r="R191" s="8" t="str">
        <f>IFERROR(INDEX(样本到样信息汇总统计!R$2:R$500,MATCH(190,样本到样信息汇总统计!$AA$2:$AA$500,0)),"")</f>
        <v/>
      </c>
      <c r="S191" s="8" t="str">
        <f>IFERROR(INDEX(样本到样信息汇总统计!S$2:S$500,MATCH(190,样本到样信息汇总统计!$AA$2:$AA$500,0)),"")</f>
        <v/>
      </c>
      <c r="T191" s="8" t="str">
        <f>IFERROR(INDEX(样本到样信息汇总统计!T$2:T$500,MATCH(190,样本到样信息汇总统计!$AA$2:$AA$500,0)),"")</f>
        <v/>
      </c>
      <c r="U191" s="8" t="str">
        <f>IFERROR(INDEX(样本到样信息汇总统计!U$2:U$500,MATCH(190,样本到样信息汇总统计!$AA$2:$AA$500,0)),"")</f>
        <v/>
      </c>
      <c r="V191" s="8" t="str">
        <f>IFERROR(INDEX(样本到样信息汇总统计!V$2:V$500,MATCH(190,样本到样信息汇总统计!$AA$2:$AA$500,0)),"")</f>
        <v/>
      </c>
      <c r="W191" s="8" t="str">
        <f>IFERROR(INDEX(样本到样信息汇总统计!W$2:W$500,MATCH(190,样本到样信息汇总统计!$AA$2:$AA$500,0)),"")</f>
        <v/>
      </c>
    </row>
    <row r="192" ht="14.5" spans="1:23">
      <c r="A192" s="4" t="str">
        <f>IFERROR(INDEX(样本到样信息汇总统计!A$2:A$500,MATCH(191,样本到样信息汇总统计!$AA$2:$AA$500,0)),"")</f>
        <v/>
      </c>
      <c r="B192" s="4" t="str">
        <f>IFERROR(INDEX(样本到样信息汇总统计!B$2:B$500,MATCH(191,样本到样信息汇总统计!$AA$2:$AA$500,0)),"")</f>
        <v/>
      </c>
      <c r="C192" s="4" t="str">
        <f>IFERROR(INDEX(样本到样信息汇总统计!C$2:C$500,MATCH(191,样本到样信息汇总统计!$AA$2:$AA$500,0)),"")</f>
        <v/>
      </c>
      <c r="D192" s="4" t="str">
        <f>IFERROR(INDEX(样本到样信息汇总统计!D$2:D$500,MATCH(191,样本到样信息汇总统计!$AA$2:$AA$500,0)),"")</f>
        <v/>
      </c>
      <c r="E192" s="4" t="str">
        <f>IFERROR(INDEX(样本到样信息汇总统计!E$2:E$500,MATCH(191,样本到样信息汇总统计!$AA$2:$AA$500,0)),"")</f>
        <v/>
      </c>
      <c r="F192" s="4" t="str">
        <f>IFERROR(INDEX(样本到样信息汇总统计!F$2:F$500,MATCH(191,样本到样信息汇总统计!$AA$2:$AA$500,0)),"")</f>
        <v/>
      </c>
      <c r="G192" s="4" t="str">
        <f>IFERROR(INDEX(样本到样信息汇总统计!G$2:G$500,MATCH(191,样本到样信息汇总统计!$AA$2:$AA$500,0)),"")</f>
        <v/>
      </c>
      <c r="H192" s="4" t="str">
        <f>IFERROR(INDEX(样本到样信息汇总统计!H$2:H$500,MATCH(191,样本到样信息汇总统计!$AA$2:$AA$500,0)),"")</f>
        <v/>
      </c>
      <c r="I192" s="4" t="str">
        <f>IFERROR(INDEX(样本到样信息汇总统计!I$2:I$500,MATCH(191,样本到样信息汇总统计!$AA$2:$AA$500,0)),"")</f>
        <v/>
      </c>
      <c r="J192" s="4" t="str">
        <f>IFERROR(INDEX(样本到样信息汇总统计!J$2:J$500,MATCH(191,样本到样信息汇总统计!$AA$2:$AA$500,0)),"")</f>
        <v/>
      </c>
      <c r="K192" s="4" t="str">
        <f>IFERROR(INDEX(样本到样信息汇总统计!K$2:K$500,MATCH(191,样本到样信息汇总统计!$AA$2:$AA$500,0)),"")</f>
        <v/>
      </c>
      <c r="L192" s="4" t="str">
        <f>IFERROR(INDEX(样本到样信息汇总统计!L$2:L$500,MATCH(191,样本到样信息汇总统计!$AA$2:$AA$500,0)),"")</f>
        <v/>
      </c>
      <c r="M192" s="4" t="str">
        <f>IFERROR(INDEX(样本到样信息汇总统计!M$2:M$500,MATCH(191,样本到样信息汇总统计!$AA$2:$AA$500,0)),"")</f>
        <v/>
      </c>
      <c r="N192" s="4" t="str">
        <f>IFERROR(INDEX(样本到样信息汇总统计!N$2:N$500,MATCH(191,样本到样信息汇总统计!$AA$2:$AA$500,0)),"")</f>
        <v/>
      </c>
      <c r="O192" s="4" t="str">
        <f>IFERROR(INDEX(样本到样信息汇总统计!O$2:O$500,MATCH(191,样本到样信息汇总统计!$AA$2:$AA$500,0)),"")</f>
        <v/>
      </c>
      <c r="P192" s="4" t="str">
        <f>IFERROR(INDEX(样本到样信息汇总统计!P$2:P$500,MATCH(191,样本到样信息汇总统计!$AA$2:$AA$500,0)),"")</f>
        <v/>
      </c>
      <c r="Q192" s="4" t="str">
        <f>IFERROR(INDEX(样本到样信息汇总统计!Q$2:Q$500,MATCH(191,样本到样信息汇总统计!$AA$2:$AA$500,0)),"")</f>
        <v/>
      </c>
      <c r="R192" s="4" t="str">
        <f>IFERROR(INDEX(样本到样信息汇总统计!R$2:R$500,MATCH(191,样本到样信息汇总统计!$AA$2:$AA$500,0)),"")</f>
        <v/>
      </c>
      <c r="S192" s="4" t="str">
        <f>IFERROR(INDEX(样本到样信息汇总统计!S$2:S$500,MATCH(191,样本到样信息汇总统计!$AA$2:$AA$500,0)),"")</f>
        <v/>
      </c>
      <c r="T192" s="4" t="str">
        <f>IFERROR(INDEX(样本到样信息汇总统计!T$2:T$500,MATCH(191,样本到样信息汇总统计!$AA$2:$AA$500,0)),"")</f>
        <v/>
      </c>
      <c r="U192" s="4" t="str">
        <f>IFERROR(INDEX(样本到样信息汇总统计!U$2:U$500,MATCH(191,样本到样信息汇总统计!$AA$2:$AA$500,0)),"")</f>
        <v/>
      </c>
      <c r="V192" s="4" t="str">
        <f>IFERROR(INDEX(样本到样信息汇总统计!V$2:V$500,MATCH(191,样本到样信息汇总统计!$AA$2:$AA$500,0)),"")</f>
        <v/>
      </c>
      <c r="W192" s="4" t="str">
        <f>IFERROR(INDEX(样本到样信息汇总统计!W$2:W$500,MATCH(191,样本到样信息汇总统计!$AA$2:$AA$500,0)),"")</f>
        <v/>
      </c>
    </row>
    <row r="193" ht="14.5" spans="1:23">
      <c r="A193" s="8" t="str">
        <f>IFERROR(INDEX(样本到样信息汇总统计!A$2:A$500,MATCH(192,样本到样信息汇总统计!$AA$2:$AA$500,0)),"")</f>
        <v/>
      </c>
      <c r="B193" s="8" t="str">
        <f>IFERROR(INDEX(样本到样信息汇总统计!B$2:B$500,MATCH(192,样本到样信息汇总统计!$AA$2:$AA$500,0)),"")</f>
        <v/>
      </c>
      <c r="C193" s="8" t="str">
        <f>IFERROR(INDEX(样本到样信息汇总统计!C$2:C$500,MATCH(192,样本到样信息汇总统计!$AA$2:$AA$500,0)),"")</f>
        <v/>
      </c>
      <c r="D193" s="8" t="str">
        <f>IFERROR(INDEX(样本到样信息汇总统计!D$2:D$500,MATCH(192,样本到样信息汇总统计!$AA$2:$AA$500,0)),"")</f>
        <v/>
      </c>
      <c r="E193" s="8" t="str">
        <f>IFERROR(INDEX(样本到样信息汇总统计!E$2:E$500,MATCH(192,样本到样信息汇总统计!$AA$2:$AA$500,0)),"")</f>
        <v/>
      </c>
      <c r="F193" s="8" t="str">
        <f>IFERROR(INDEX(样本到样信息汇总统计!F$2:F$500,MATCH(192,样本到样信息汇总统计!$AA$2:$AA$500,0)),"")</f>
        <v/>
      </c>
      <c r="G193" s="8" t="str">
        <f>IFERROR(INDEX(样本到样信息汇总统计!G$2:G$500,MATCH(192,样本到样信息汇总统计!$AA$2:$AA$500,0)),"")</f>
        <v/>
      </c>
      <c r="H193" s="8" t="str">
        <f>IFERROR(INDEX(样本到样信息汇总统计!H$2:H$500,MATCH(192,样本到样信息汇总统计!$AA$2:$AA$500,0)),"")</f>
        <v/>
      </c>
      <c r="I193" s="8" t="str">
        <f>IFERROR(INDEX(样本到样信息汇总统计!I$2:I$500,MATCH(192,样本到样信息汇总统计!$AA$2:$AA$500,0)),"")</f>
        <v/>
      </c>
      <c r="J193" s="8" t="str">
        <f>IFERROR(INDEX(样本到样信息汇总统计!J$2:J$500,MATCH(192,样本到样信息汇总统计!$AA$2:$AA$500,0)),"")</f>
        <v/>
      </c>
      <c r="K193" s="8" t="str">
        <f>IFERROR(INDEX(样本到样信息汇总统计!K$2:K$500,MATCH(192,样本到样信息汇总统计!$AA$2:$AA$500,0)),"")</f>
        <v/>
      </c>
      <c r="L193" s="8" t="str">
        <f>IFERROR(INDEX(样本到样信息汇总统计!L$2:L$500,MATCH(192,样本到样信息汇总统计!$AA$2:$AA$500,0)),"")</f>
        <v/>
      </c>
      <c r="M193" s="8" t="str">
        <f>IFERROR(INDEX(样本到样信息汇总统计!M$2:M$500,MATCH(192,样本到样信息汇总统计!$AA$2:$AA$500,0)),"")</f>
        <v/>
      </c>
      <c r="N193" s="8" t="str">
        <f>IFERROR(INDEX(样本到样信息汇总统计!N$2:N$500,MATCH(192,样本到样信息汇总统计!$AA$2:$AA$500,0)),"")</f>
        <v/>
      </c>
      <c r="O193" s="8" t="str">
        <f>IFERROR(INDEX(样本到样信息汇总统计!O$2:O$500,MATCH(192,样本到样信息汇总统计!$AA$2:$AA$500,0)),"")</f>
        <v/>
      </c>
      <c r="P193" s="8" t="str">
        <f>IFERROR(INDEX(样本到样信息汇总统计!P$2:P$500,MATCH(192,样本到样信息汇总统计!$AA$2:$AA$500,0)),"")</f>
        <v/>
      </c>
      <c r="Q193" s="8" t="str">
        <f>IFERROR(INDEX(样本到样信息汇总统计!Q$2:Q$500,MATCH(192,样本到样信息汇总统计!$AA$2:$AA$500,0)),"")</f>
        <v/>
      </c>
      <c r="R193" s="8" t="str">
        <f>IFERROR(INDEX(样本到样信息汇总统计!R$2:R$500,MATCH(192,样本到样信息汇总统计!$AA$2:$AA$500,0)),"")</f>
        <v/>
      </c>
      <c r="S193" s="8" t="str">
        <f>IFERROR(INDEX(样本到样信息汇总统计!S$2:S$500,MATCH(192,样本到样信息汇总统计!$AA$2:$AA$500,0)),"")</f>
        <v/>
      </c>
      <c r="T193" s="8" t="str">
        <f>IFERROR(INDEX(样本到样信息汇总统计!T$2:T$500,MATCH(192,样本到样信息汇总统计!$AA$2:$AA$500,0)),"")</f>
        <v/>
      </c>
      <c r="U193" s="8" t="str">
        <f>IFERROR(INDEX(样本到样信息汇总统计!U$2:U$500,MATCH(192,样本到样信息汇总统计!$AA$2:$AA$500,0)),"")</f>
        <v/>
      </c>
      <c r="V193" s="8" t="str">
        <f>IFERROR(INDEX(样本到样信息汇总统计!V$2:V$500,MATCH(192,样本到样信息汇总统计!$AA$2:$AA$500,0)),"")</f>
        <v/>
      </c>
      <c r="W193" s="8" t="str">
        <f>IFERROR(INDEX(样本到样信息汇总统计!W$2:W$500,MATCH(192,样本到样信息汇总统计!$AA$2:$AA$500,0)),"")</f>
        <v/>
      </c>
    </row>
    <row r="194" ht="14.5" spans="1:23">
      <c r="A194" s="4" t="str">
        <f>IFERROR(INDEX(样本到样信息汇总统计!A$2:A$500,MATCH(193,样本到样信息汇总统计!$AA$2:$AA$500,0)),"")</f>
        <v/>
      </c>
      <c r="B194" s="4" t="str">
        <f>IFERROR(INDEX(样本到样信息汇总统计!B$2:B$500,MATCH(193,样本到样信息汇总统计!$AA$2:$AA$500,0)),"")</f>
        <v/>
      </c>
      <c r="C194" s="4" t="str">
        <f>IFERROR(INDEX(样本到样信息汇总统计!C$2:C$500,MATCH(193,样本到样信息汇总统计!$AA$2:$AA$500,0)),"")</f>
        <v/>
      </c>
      <c r="D194" s="4" t="str">
        <f>IFERROR(INDEX(样本到样信息汇总统计!D$2:D$500,MATCH(193,样本到样信息汇总统计!$AA$2:$AA$500,0)),"")</f>
        <v/>
      </c>
      <c r="E194" s="4" t="str">
        <f>IFERROR(INDEX(样本到样信息汇总统计!E$2:E$500,MATCH(193,样本到样信息汇总统计!$AA$2:$AA$500,0)),"")</f>
        <v/>
      </c>
      <c r="F194" s="4" t="str">
        <f>IFERROR(INDEX(样本到样信息汇总统计!F$2:F$500,MATCH(193,样本到样信息汇总统计!$AA$2:$AA$500,0)),"")</f>
        <v/>
      </c>
      <c r="G194" s="4" t="str">
        <f>IFERROR(INDEX(样本到样信息汇总统计!G$2:G$500,MATCH(193,样本到样信息汇总统计!$AA$2:$AA$500,0)),"")</f>
        <v/>
      </c>
      <c r="H194" s="4" t="str">
        <f>IFERROR(INDEX(样本到样信息汇总统计!H$2:H$500,MATCH(193,样本到样信息汇总统计!$AA$2:$AA$500,0)),"")</f>
        <v/>
      </c>
      <c r="I194" s="4" t="str">
        <f>IFERROR(INDEX(样本到样信息汇总统计!I$2:I$500,MATCH(193,样本到样信息汇总统计!$AA$2:$AA$500,0)),"")</f>
        <v/>
      </c>
      <c r="J194" s="4" t="str">
        <f>IFERROR(INDEX(样本到样信息汇总统计!J$2:J$500,MATCH(193,样本到样信息汇总统计!$AA$2:$AA$500,0)),"")</f>
        <v/>
      </c>
      <c r="K194" s="4" t="str">
        <f>IFERROR(INDEX(样本到样信息汇总统计!K$2:K$500,MATCH(193,样本到样信息汇总统计!$AA$2:$AA$500,0)),"")</f>
        <v/>
      </c>
      <c r="L194" s="4" t="str">
        <f>IFERROR(INDEX(样本到样信息汇总统计!L$2:L$500,MATCH(193,样本到样信息汇总统计!$AA$2:$AA$500,0)),"")</f>
        <v/>
      </c>
      <c r="M194" s="4" t="str">
        <f>IFERROR(INDEX(样本到样信息汇总统计!M$2:M$500,MATCH(193,样本到样信息汇总统计!$AA$2:$AA$500,0)),"")</f>
        <v/>
      </c>
      <c r="N194" s="4" t="str">
        <f>IFERROR(INDEX(样本到样信息汇总统计!N$2:N$500,MATCH(193,样本到样信息汇总统计!$AA$2:$AA$500,0)),"")</f>
        <v/>
      </c>
      <c r="O194" s="4" t="str">
        <f>IFERROR(INDEX(样本到样信息汇总统计!O$2:O$500,MATCH(193,样本到样信息汇总统计!$AA$2:$AA$500,0)),"")</f>
        <v/>
      </c>
      <c r="P194" s="4" t="str">
        <f>IFERROR(INDEX(样本到样信息汇总统计!P$2:P$500,MATCH(193,样本到样信息汇总统计!$AA$2:$AA$500,0)),"")</f>
        <v/>
      </c>
      <c r="Q194" s="4" t="str">
        <f>IFERROR(INDEX(样本到样信息汇总统计!Q$2:Q$500,MATCH(193,样本到样信息汇总统计!$AA$2:$AA$500,0)),"")</f>
        <v/>
      </c>
      <c r="R194" s="4" t="str">
        <f>IFERROR(INDEX(样本到样信息汇总统计!R$2:R$500,MATCH(193,样本到样信息汇总统计!$AA$2:$AA$500,0)),"")</f>
        <v/>
      </c>
      <c r="S194" s="4" t="str">
        <f>IFERROR(INDEX(样本到样信息汇总统计!S$2:S$500,MATCH(193,样本到样信息汇总统计!$AA$2:$AA$500,0)),"")</f>
        <v/>
      </c>
      <c r="T194" s="4" t="str">
        <f>IFERROR(INDEX(样本到样信息汇总统计!T$2:T$500,MATCH(193,样本到样信息汇总统计!$AA$2:$AA$500,0)),"")</f>
        <v/>
      </c>
      <c r="U194" s="4" t="str">
        <f>IFERROR(INDEX(样本到样信息汇总统计!U$2:U$500,MATCH(193,样本到样信息汇总统计!$AA$2:$AA$500,0)),"")</f>
        <v/>
      </c>
      <c r="V194" s="4" t="str">
        <f>IFERROR(INDEX(样本到样信息汇总统计!V$2:V$500,MATCH(193,样本到样信息汇总统计!$AA$2:$AA$500,0)),"")</f>
        <v/>
      </c>
      <c r="W194" s="4" t="str">
        <f>IFERROR(INDEX(样本到样信息汇总统计!W$2:W$500,MATCH(193,样本到样信息汇总统计!$AA$2:$AA$500,0)),"")</f>
        <v/>
      </c>
    </row>
    <row r="195" ht="14.5" spans="1:23">
      <c r="A195" s="8" t="str">
        <f>IFERROR(INDEX(样本到样信息汇总统计!A$2:A$500,MATCH(194,样本到样信息汇总统计!$AA$2:$AA$500,0)),"")</f>
        <v/>
      </c>
      <c r="B195" s="8" t="str">
        <f>IFERROR(INDEX(样本到样信息汇总统计!B$2:B$500,MATCH(194,样本到样信息汇总统计!$AA$2:$AA$500,0)),"")</f>
        <v/>
      </c>
      <c r="C195" s="8" t="str">
        <f>IFERROR(INDEX(样本到样信息汇总统计!C$2:C$500,MATCH(194,样本到样信息汇总统计!$AA$2:$AA$500,0)),"")</f>
        <v/>
      </c>
      <c r="D195" s="8" t="str">
        <f>IFERROR(INDEX(样本到样信息汇总统计!D$2:D$500,MATCH(194,样本到样信息汇总统计!$AA$2:$AA$500,0)),"")</f>
        <v/>
      </c>
      <c r="E195" s="8" t="str">
        <f>IFERROR(INDEX(样本到样信息汇总统计!E$2:E$500,MATCH(194,样本到样信息汇总统计!$AA$2:$AA$500,0)),"")</f>
        <v/>
      </c>
      <c r="F195" s="8" t="str">
        <f>IFERROR(INDEX(样本到样信息汇总统计!F$2:F$500,MATCH(194,样本到样信息汇总统计!$AA$2:$AA$500,0)),"")</f>
        <v/>
      </c>
      <c r="G195" s="8" t="str">
        <f>IFERROR(INDEX(样本到样信息汇总统计!G$2:G$500,MATCH(194,样本到样信息汇总统计!$AA$2:$AA$500,0)),"")</f>
        <v/>
      </c>
      <c r="H195" s="8" t="str">
        <f>IFERROR(INDEX(样本到样信息汇总统计!H$2:H$500,MATCH(194,样本到样信息汇总统计!$AA$2:$AA$500,0)),"")</f>
        <v/>
      </c>
      <c r="I195" s="8" t="str">
        <f>IFERROR(INDEX(样本到样信息汇总统计!I$2:I$500,MATCH(194,样本到样信息汇总统计!$AA$2:$AA$500,0)),"")</f>
        <v/>
      </c>
      <c r="J195" s="8" t="str">
        <f>IFERROR(INDEX(样本到样信息汇总统计!J$2:J$500,MATCH(194,样本到样信息汇总统计!$AA$2:$AA$500,0)),"")</f>
        <v/>
      </c>
      <c r="K195" s="8" t="str">
        <f>IFERROR(INDEX(样本到样信息汇总统计!K$2:K$500,MATCH(194,样本到样信息汇总统计!$AA$2:$AA$500,0)),"")</f>
        <v/>
      </c>
      <c r="L195" s="8" t="str">
        <f>IFERROR(INDEX(样本到样信息汇总统计!L$2:L$500,MATCH(194,样本到样信息汇总统计!$AA$2:$AA$500,0)),"")</f>
        <v/>
      </c>
      <c r="M195" s="8" t="str">
        <f>IFERROR(INDEX(样本到样信息汇总统计!M$2:M$500,MATCH(194,样本到样信息汇总统计!$AA$2:$AA$500,0)),"")</f>
        <v/>
      </c>
      <c r="N195" s="8" t="str">
        <f>IFERROR(INDEX(样本到样信息汇总统计!N$2:N$500,MATCH(194,样本到样信息汇总统计!$AA$2:$AA$500,0)),"")</f>
        <v/>
      </c>
      <c r="O195" s="8" t="str">
        <f>IFERROR(INDEX(样本到样信息汇总统计!O$2:O$500,MATCH(194,样本到样信息汇总统计!$AA$2:$AA$500,0)),"")</f>
        <v/>
      </c>
      <c r="P195" s="8" t="str">
        <f>IFERROR(INDEX(样本到样信息汇总统计!P$2:P$500,MATCH(194,样本到样信息汇总统计!$AA$2:$AA$500,0)),"")</f>
        <v/>
      </c>
      <c r="Q195" s="8" t="str">
        <f>IFERROR(INDEX(样本到样信息汇总统计!Q$2:Q$500,MATCH(194,样本到样信息汇总统计!$AA$2:$AA$500,0)),"")</f>
        <v/>
      </c>
      <c r="R195" s="8" t="str">
        <f>IFERROR(INDEX(样本到样信息汇总统计!R$2:R$500,MATCH(194,样本到样信息汇总统计!$AA$2:$AA$500,0)),"")</f>
        <v/>
      </c>
      <c r="S195" s="8" t="str">
        <f>IFERROR(INDEX(样本到样信息汇总统计!S$2:S$500,MATCH(194,样本到样信息汇总统计!$AA$2:$AA$500,0)),"")</f>
        <v/>
      </c>
      <c r="T195" s="8" t="str">
        <f>IFERROR(INDEX(样本到样信息汇总统计!T$2:T$500,MATCH(194,样本到样信息汇总统计!$AA$2:$AA$500,0)),"")</f>
        <v/>
      </c>
      <c r="U195" s="8" t="str">
        <f>IFERROR(INDEX(样本到样信息汇总统计!U$2:U$500,MATCH(194,样本到样信息汇总统计!$AA$2:$AA$500,0)),"")</f>
        <v/>
      </c>
      <c r="V195" s="8" t="str">
        <f>IFERROR(INDEX(样本到样信息汇总统计!V$2:V$500,MATCH(194,样本到样信息汇总统计!$AA$2:$AA$500,0)),"")</f>
        <v/>
      </c>
      <c r="W195" s="8" t="str">
        <f>IFERROR(INDEX(样本到样信息汇总统计!W$2:W$500,MATCH(194,样本到样信息汇总统计!$AA$2:$AA$500,0)),"")</f>
        <v/>
      </c>
    </row>
    <row r="196" ht="14.5" spans="1:23">
      <c r="A196" s="4" t="str">
        <f>IFERROR(INDEX(样本到样信息汇总统计!A$2:A$500,MATCH(195,样本到样信息汇总统计!$AA$2:$AA$500,0)),"")</f>
        <v/>
      </c>
      <c r="B196" s="4" t="str">
        <f>IFERROR(INDEX(样本到样信息汇总统计!B$2:B$500,MATCH(195,样本到样信息汇总统计!$AA$2:$AA$500,0)),"")</f>
        <v/>
      </c>
      <c r="C196" s="4" t="str">
        <f>IFERROR(INDEX(样本到样信息汇总统计!C$2:C$500,MATCH(195,样本到样信息汇总统计!$AA$2:$AA$500,0)),"")</f>
        <v/>
      </c>
      <c r="D196" s="4" t="str">
        <f>IFERROR(INDEX(样本到样信息汇总统计!D$2:D$500,MATCH(195,样本到样信息汇总统计!$AA$2:$AA$500,0)),"")</f>
        <v/>
      </c>
      <c r="E196" s="4" t="str">
        <f>IFERROR(INDEX(样本到样信息汇总统计!E$2:E$500,MATCH(195,样本到样信息汇总统计!$AA$2:$AA$500,0)),"")</f>
        <v/>
      </c>
      <c r="F196" s="4" t="str">
        <f>IFERROR(INDEX(样本到样信息汇总统计!F$2:F$500,MATCH(195,样本到样信息汇总统计!$AA$2:$AA$500,0)),"")</f>
        <v/>
      </c>
      <c r="G196" s="4" t="str">
        <f>IFERROR(INDEX(样本到样信息汇总统计!G$2:G$500,MATCH(195,样本到样信息汇总统计!$AA$2:$AA$500,0)),"")</f>
        <v/>
      </c>
      <c r="H196" s="4" t="str">
        <f>IFERROR(INDEX(样本到样信息汇总统计!H$2:H$500,MATCH(195,样本到样信息汇总统计!$AA$2:$AA$500,0)),"")</f>
        <v/>
      </c>
      <c r="I196" s="4" t="str">
        <f>IFERROR(INDEX(样本到样信息汇总统计!I$2:I$500,MATCH(195,样本到样信息汇总统计!$AA$2:$AA$500,0)),"")</f>
        <v/>
      </c>
      <c r="J196" s="4" t="str">
        <f>IFERROR(INDEX(样本到样信息汇总统计!J$2:J$500,MATCH(195,样本到样信息汇总统计!$AA$2:$AA$500,0)),"")</f>
        <v/>
      </c>
      <c r="K196" s="4" t="str">
        <f>IFERROR(INDEX(样本到样信息汇总统计!K$2:K$500,MATCH(195,样本到样信息汇总统计!$AA$2:$AA$500,0)),"")</f>
        <v/>
      </c>
      <c r="L196" s="4" t="str">
        <f>IFERROR(INDEX(样本到样信息汇总统计!L$2:L$500,MATCH(195,样本到样信息汇总统计!$AA$2:$AA$500,0)),"")</f>
        <v/>
      </c>
      <c r="M196" s="4" t="str">
        <f>IFERROR(INDEX(样本到样信息汇总统计!M$2:M$500,MATCH(195,样本到样信息汇总统计!$AA$2:$AA$500,0)),"")</f>
        <v/>
      </c>
      <c r="N196" s="4" t="str">
        <f>IFERROR(INDEX(样本到样信息汇总统计!N$2:N$500,MATCH(195,样本到样信息汇总统计!$AA$2:$AA$500,0)),"")</f>
        <v/>
      </c>
      <c r="O196" s="4" t="str">
        <f>IFERROR(INDEX(样本到样信息汇总统计!O$2:O$500,MATCH(195,样本到样信息汇总统计!$AA$2:$AA$500,0)),"")</f>
        <v/>
      </c>
      <c r="P196" s="4" t="str">
        <f>IFERROR(INDEX(样本到样信息汇总统计!P$2:P$500,MATCH(195,样本到样信息汇总统计!$AA$2:$AA$500,0)),"")</f>
        <v/>
      </c>
      <c r="Q196" s="4" t="str">
        <f>IFERROR(INDEX(样本到样信息汇总统计!Q$2:Q$500,MATCH(195,样本到样信息汇总统计!$AA$2:$AA$500,0)),"")</f>
        <v/>
      </c>
      <c r="R196" s="4" t="str">
        <f>IFERROR(INDEX(样本到样信息汇总统计!R$2:R$500,MATCH(195,样本到样信息汇总统计!$AA$2:$AA$500,0)),"")</f>
        <v/>
      </c>
      <c r="S196" s="4" t="str">
        <f>IFERROR(INDEX(样本到样信息汇总统计!S$2:S$500,MATCH(195,样本到样信息汇总统计!$AA$2:$AA$500,0)),"")</f>
        <v/>
      </c>
      <c r="T196" s="4" t="str">
        <f>IFERROR(INDEX(样本到样信息汇总统计!T$2:T$500,MATCH(195,样本到样信息汇总统计!$AA$2:$AA$500,0)),"")</f>
        <v/>
      </c>
      <c r="U196" s="4" t="str">
        <f>IFERROR(INDEX(样本到样信息汇总统计!U$2:U$500,MATCH(195,样本到样信息汇总统计!$AA$2:$AA$500,0)),"")</f>
        <v/>
      </c>
      <c r="V196" s="4" t="str">
        <f>IFERROR(INDEX(样本到样信息汇总统计!V$2:V$500,MATCH(195,样本到样信息汇总统计!$AA$2:$AA$500,0)),"")</f>
        <v/>
      </c>
      <c r="W196" s="4" t="str">
        <f>IFERROR(INDEX(样本到样信息汇总统计!W$2:W$500,MATCH(195,样本到样信息汇总统计!$AA$2:$AA$500,0)),"")</f>
        <v/>
      </c>
    </row>
    <row r="197" ht="14.5" spans="1:23">
      <c r="A197" s="8" t="str">
        <f>IFERROR(INDEX(样本到样信息汇总统计!A$2:A$500,MATCH(196,样本到样信息汇总统计!$AA$2:$AA$500,0)),"")</f>
        <v/>
      </c>
      <c r="B197" s="8" t="str">
        <f>IFERROR(INDEX(样本到样信息汇总统计!B$2:B$500,MATCH(196,样本到样信息汇总统计!$AA$2:$AA$500,0)),"")</f>
        <v/>
      </c>
      <c r="C197" s="8" t="str">
        <f>IFERROR(INDEX(样本到样信息汇总统计!C$2:C$500,MATCH(196,样本到样信息汇总统计!$AA$2:$AA$500,0)),"")</f>
        <v/>
      </c>
      <c r="D197" s="8" t="str">
        <f>IFERROR(INDEX(样本到样信息汇总统计!D$2:D$500,MATCH(196,样本到样信息汇总统计!$AA$2:$AA$500,0)),"")</f>
        <v/>
      </c>
      <c r="E197" s="8" t="str">
        <f>IFERROR(INDEX(样本到样信息汇总统计!E$2:E$500,MATCH(196,样本到样信息汇总统计!$AA$2:$AA$500,0)),"")</f>
        <v/>
      </c>
      <c r="F197" s="8" t="str">
        <f>IFERROR(INDEX(样本到样信息汇总统计!F$2:F$500,MATCH(196,样本到样信息汇总统计!$AA$2:$AA$500,0)),"")</f>
        <v/>
      </c>
      <c r="G197" s="8" t="str">
        <f>IFERROR(INDEX(样本到样信息汇总统计!G$2:G$500,MATCH(196,样本到样信息汇总统计!$AA$2:$AA$500,0)),"")</f>
        <v/>
      </c>
      <c r="H197" s="8" t="str">
        <f>IFERROR(INDEX(样本到样信息汇总统计!H$2:H$500,MATCH(196,样本到样信息汇总统计!$AA$2:$AA$500,0)),"")</f>
        <v/>
      </c>
      <c r="I197" s="8" t="str">
        <f>IFERROR(INDEX(样本到样信息汇总统计!I$2:I$500,MATCH(196,样本到样信息汇总统计!$AA$2:$AA$500,0)),"")</f>
        <v/>
      </c>
      <c r="J197" s="8" t="str">
        <f>IFERROR(INDEX(样本到样信息汇总统计!J$2:J$500,MATCH(196,样本到样信息汇总统计!$AA$2:$AA$500,0)),"")</f>
        <v/>
      </c>
      <c r="K197" s="8" t="str">
        <f>IFERROR(INDEX(样本到样信息汇总统计!K$2:K$500,MATCH(196,样本到样信息汇总统计!$AA$2:$AA$500,0)),"")</f>
        <v/>
      </c>
      <c r="L197" s="8" t="str">
        <f>IFERROR(INDEX(样本到样信息汇总统计!L$2:L$500,MATCH(196,样本到样信息汇总统计!$AA$2:$AA$500,0)),"")</f>
        <v/>
      </c>
      <c r="M197" s="8" t="str">
        <f>IFERROR(INDEX(样本到样信息汇总统计!M$2:M$500,MATCH(196,样本到样信息汇总统计!$AA$2:$AA$500,0)),"")</f>
        <v/>
      </c>
      <c r="N197" s="8" t="str">
        <f>IFERROR(INDEX(样本到样信息汇总统计!N$2:N$500,MATCH(196,样本到样信息汇总统计!$AA$2:$AA$500,0)),"")</f>
        <v/>
      </c>
      <c r="O197" s="8" t="str">
        <f>IFERROR(INDEX(样本到样信息汇总统计!O$2:O$500,MATCH(196,样本到样信息汇总统计!$AA$2:$AA$500,0)),"")</f>
        <v/>
      </c>
      <c r="P197" s="8" t="str">
        <f>IFERROR(INDEX(样本到样信息汇总统计!P$2:P$500,MATCH(196,样本到样信息汇总统计!$AA$2:$AA$500,0)),"")</f>
        <v/>
      </c>
      <c r="Q197" s="8" t="str">
        <f>IFERROR(INDEX(样本到样信息汇总统计!Q$2:Q$500,MATCH(196,样本到样信息汇总统计!$AA$2:$AA$500,0)),"")</f>
        <v/>
      </c>
      <c r="R197" s="8" t="str">
        <f>IFERROR(INDEX(样本到样信息汇总统计!R$2:R$500,MATCH(196,样本到样信息汇总统计!$AA$2:$AA$500,0)),"")</f>
        <v/>
      </c>
      <c r="S197" s="8" t="str">
        <f>IFERROR(INDEX(样本到样信息汇总统计!S$2:S$500,MATCH(196,样本到样信息汇总统计!$AA$2:$AA$500,0)),"")</f>
        <v/>
      </c>
      <c r="T197" s="8" t="str">
        <f>IFERROR(INDEX(样本到样信息汇总统计!T$2:T$500,MATCH(196,样本到样信息汇总统计!$AA$2:$AA$500,0)),"")</f>
        <v/>
      </c>
      <c r="U197" s="8" t="str">
        <f>IFERROR(INDEX(样本到样信息汇总统计!U$2:U$500,MATCH(196,样本到样信息汇总统计!$AA$2:$AA$500,0)),"")</f>
        <v/>
      </c>
      <c r="V197" s="8" t="str">
        <f>IFERROR(INDEX(样本到样信息汇总统计!V$2:V$500,MATCH(196,样本到样信息汇总统计!$AA$2:$AA$500,0)),"")</f>
        <v/>
      </c>
      <c r="W197" s="8" t="str">
        <f>IFERROR(INDEX(样本到样信息汇总统计!W$2:W$500,MATCH(196,样本到样信息汇总统计!$AA$2:$AA$500,0)),"")</f>
        <v/>
      </c>
    </row>
    <row r="198" ht="14.5" spans="1:23">
      <c r="A198" s="4" t="str">
        <f>IFERROR(INDEX(样本到样信息汇总统计!A$2:A$500,MATCH(197,样本到样信息汇总统计!$AA$2:$AA$500,0)),"")</f>
        <v/>
      </c>
      <c r="B198" s="4" t="str">
        <f>IFERROR(INDEX(样本到样信息汇总统计!B$2:B$500,MATCH(197,样本到样信息汇总统计!$AA$2:$AA$500,0)),"")</f>
        <v/>
      </c>
      <c r="C198" s="4" t="str">
        <f>IFERROR(INDEX(样本到样信息汇总统计!C$2:C$500,MATCH(197,样本到样信息汇总统计!$AA$2:$AA$500,0)),"")</f>
        <v/>
      </c>
      <c r="D198" s="4" t="str">
        <f>IFERROR(INDEX(样本到样信息汇总统计!D$2:D$500,MATCH(197,样本到样信息汇总统计!$AA$2:$AA$500,0)),"")</f>
        <v/>
      </c>
      <c r="E198" s="4" t="str">
        <f>IFERROR(INDEX(样本到样信息汇总统计!E$2:E$500,MATCH(197,样本到样信息汇总统计!$AA$2:$AA$500,0)),"")</f>
        <v/>
      </c>
      <c r="F198" s="4" t="str">
        <f>IFERROR(INDEX(样本到样信息汇总统计!F$2:F$500,MATCH(197,样本到样信息汇总统计!$AA$2:$AA$500,0)),"")</f>
        <v/>
      </c>
      <c r="G198" s="4" t="str">
        <f>IFERROR(INDEX(样本到样信息汇总统计!G$2:G$500,MATCH(197,样本到样信息汇总统计!$AA$2:$AA$500,0)),"")</f>
        <v/>
      </c>
      <c r="H198" s="4" t="str">
        <f>IFERROR(INDEX(样本到样信息汇总统计!H$2:H$500,MATCH(197,样本到样信息汇总统计!$AA$2:$AA$500,0)),"")</f>
        <v/>
      </c>
      <c r="I198" s="4" t="str">
        <f>IFERROR(INDEX(样本到样信息汇总统计!I$2:I$500,MATCH(197,样本到样信息汇总统计!$AA$2:$AA$500,0)),"")</f>
        <v/>
      </c>
      <c r="J198" s="4" t="str">
        <f>IFERROR(INDEX(样本到样信息汇总统计!J$2:J$500,MATCH(197,样本到样信息汇总统计!$AA$2:$AA$500,0)),"")</f>
        <v/>
      </c>
      <c r="K198" s="4" t="str">
        <f>IFERROR(INDEX(样本到样信息汇总统计!K$2:K$500,MATCH(197,样本到样信息汇总统计!$AA$2:$AA$500,0)),"")</f>
        <v/>
      </c>
      <c r="L198" s="4" t="str">
        <f>IFERROR(INDEX(样本到样信息汇总统计!L$2:L$500,MATCH(197,样本到样信息汇总统计!$AA$2:$AA$500,0)),"")</f>
        <v/>
      </c>
      <c r="M198" s="4" t="str">
        <f>IFERROR(INDEX(样本到样信息汇总统计!M$2:M$500,MATCH(197,样本到样信息汇总统计!$AA$2:$AA$500,0)),"")</f>
        <v/>
      </c>
      <c r="N198" s="4" t="str">
        <f>IFERROR(INDEX(样本到样信息汇总统计!N$2:N$500,MATCH(197,样本到样信息汇总统计!$AA$2:$AA$500,0)),"")</f>
        <v/>
      </c>
      <c r="O198" s="4" t="str">
        <f>IFERROR(INDEX(样本到样信息汇总统计!O$2:O$500,MATCH(197,样本到样信息汇总统计!$AA$2:$AA$500,0)),"")</f>
        <v/>
      </c>
      <c r="P198" s="4" t="str">
        <f>IFERROR(INDEX(样本到样信息汇总统计!P$2:P$500,MATCH(197,样本到样信息汇总统计!$AA$2:$AA$500,0)),"")</f>
        <v/>
      </c>
      <c r="Q198" s="4" t="str">
        <f>IFERROR(INDEX(样本到样信息汇总统计!Q$2:Q$500,MATCH(197,样本到样信息汇总统计!$AA$2:$AA$500,0)),"")</f>
        <v/>
      </c>
      <c r="R198" s="4" t="str">
        <f>IFERROR(INDEX(样本到样信息汇总统计!R$2:R$500,MATCH(197,样本到样信息汇总统计!$AA$2:$AA$500,0)),"")</f>
        <v/>
      </c>
      <c r="S198" s="4" t="str">
        <f>IFERROR(INDEX(样本到样信息汇总统计!S$2:S$500,MATCH(197,样本到样信息汇总统计!$AA$2:$AA$500,0)),"")</f>
        <v/>
      </c>
      <c r="T198" s="4" t="str">
        <f>IFERROR(INDEX(样本到样信息汇总统计!T$2:T$500,MATCH(197,样本到样信息汇总统计!$AA$2:$AA$500,0)),"")</f>
        <v/>
      </c>
      <c r="U198" s="4" t="str">
        <f>IFERROR(INDEX(样本到样信息汇总统计!U$2:U$500,MATCH(197,样本到样信息汇总统计!$AA$2:$AA$500,0)),"")</f>
        <v/>
      </c>
      <c r="V198" s="4" t="str">
        <f>IFERROR(INDEX(样本到样信息汇总统计!V$2:V$500,MATCH(197,样本到样信息汇总统计!$AA$2:$AA$500,0)),"")</f>
        <v/>
      </c>
      <c r="W198" s="4" t="str">
        <f>IFERROR(INDEX(样本到样信息汇总统计!W$2:W$500,MATCH(197,样本到样信息汇总统计!$AA$2:$AA$500,0)),"")</f>
        <v/>
      </c>
    </row>
    <row r="199" ht="14.5" spans="1:23">
      <c r="A199" s="8" t="str">
        <f>IFERROR(INDEX(样本到样信息汇总统计!A$2:A$500,MATCH(198,样本到样信息汇总统计!$AA$2:$AA$500,0)),"")</f>
        <v/>
      </c>
      <c r="B199" s="8" t="str">
        <f>IFERROR(INDEX(样本到样信息汇总统计!B$2:B$500,MATCH(198,样本到样信息汇总统计!$AA$2:$AA$500,0)),"")</f>
        <v/>
      </c>
      <c r="C199" s="8" t="str">
        <f>IFERROR(INDEX(样本到样信息汇总统计!C$2:C$500,MATCH(198,样本到样信息汇总统计!$AA$2:$AA$500,0)),"")</f>
        <v/>
      </c>
      <c r="D199" s="8" t="str">
        <f>IFERROR(INDEX(样本到样信息汇总统计!D$2:D$500,MATCH(198,样本到样信息汇总统计!$AA$2:$AA$500,0)),"")</f>
        <v/>
      </c>
      <c r="E199" s="8" t="str">
        <f>IFERROR(INDEX(样本到样信息汇总统计!E$2:E$500,MATCH(198,样本到样信息汇总统计!$AA$2:$AA$500,0)),"")</f>
        <v/>
      </c>
      <c r="F199" s="8" t="str">
        <f>IFERROR(INDEX(样本到样信息汇总统计!F$2:F$500,MATCH(198,样本到样信息汇总统计!$AA$2:$AA$500,0)),"")</f>
        <v/>
      </c>
      <c r="G199" s="8" t="str">
        <f>IFERROR(INDEX(样本到样信息汇总统计!G$2:G$500,MATCH(198,样本到样信息汇总统计!$AA$2:$AA$500,0)),"")</f>
        <v/>
      </c>
      <c r="H199" s="8" t="str">
        <f>IFERROR(INDEX(样本到样信息汇总统计!H$2:H$500,MATCH(198,样本到样信息汇总统计!$AA$2:$AA$500,0)),"")</f>
        <v/>
      </c>
      <c r="I199" s="8" t="str">
        <f>IFERROR(INDEX(样本到样信息汇总统计!I$2:I$500,MATCH(198,样本到样信息汇总统计!$AA$2:$AA$500,0)),"")</f>
        <v/>
      </c>
      <c r="J199" s="8" t="str">
        <f>IFERROR(INDEX(样本到样信息汇总统计!J$2:J$500,MATCH(198,样本到样信息汇总统计!$AA$2:$AA$500,0)),"")</f>
        <v/>
      </c>
      <c r="K199" s="8" t="str">
        <f>IFERROR(INDEX(样本到样信息汇总统计!K$2:K$500,MATCH(198,样本到样信息汇总统计!$AA$2:$AA$500,0)),"")</f>
        <v/>
      </c>
      <c r="L199" s="8" t="str">
        <f>IFERROR(INDEX(样本到样信息汇总统计!L$2:L$500,MATCH(198,样本到样信息汇总统计!$AA$2:$AA$500,0)),"")</f>
        <v/>
      </c>
      <c r="M199" s="8" t="str">
        <f>IFERROR(INDEX(样本到样信息汇总统计!M$2:M$500,MATCH(198,样本到样信息汇总统计!$AA$2:$AA$500,0)),"")</f>
        <v/>
      </c>
      <c r="N199" s="8" t="str">
        <f>IFERROR(INDEX(样本到样信息汇总统计!N$2:N$500,MATCH(198,样本到样信息汇总统计!$AA$2:$AA$500,0)),"")</f>
        <v/>
      </c>
      <c r="O199" s="8" t="str">
        <f>IFERROR(INDEX(样本到样信息汇总统计!O$2:O$500,MATCH(198,样本到样信息汇总统计!$AA$2:$AA$500,0)),"")</f>
        <v/>
      </c>
      <c r="P199" s="8" t="str">
        <f>IFERROR(INDEX(样本到样信息汇总统计!P$2:P$500,MATCH(198,样本到样信息汇总统计!$AA$2:$AA$500,0)),"")</f>
        <v/>
      </c>
      <c r="Q199" s="8" t="str">
        <f>IFERROR(INDEX(样本到样信息汇总统计!Q$2:Q$500,MATCH(198,样本到样信息汇总统计!$AA$2:$AA$500,0)),"")</f>
        <v/>
      </c>
      <c r="R199" s="8" t="str">
        <f>IFERROR(INDEX(样本到样信息汇总统计!R$2:R$500,MATCH(198,样本到样信息汇总统计!$AA$2:$AA$500,0)),"")</f>
        <v/>
      </c>
      <c r="S199" s="8" t="str">
        <f>IFERROR(INDEX(样本到样信息汇总统计!S$2:S$500,MATCH(198,样本到样信息汇总统计!$AA$2:$AA$500,0)),"")</f>
        <v/>
      </c>
      <c r="T199" s="8" t="str">
        <f>IFERROR(INDEX(样本到样信息汇总统计!T$2:T$500,MATCH(198,样本到样信息汇总统计!$AA$2:$AA$500,0)),"")</f>
        <v/>
      </c>
      <c r="U199" s="8" t="str">
        <f>IFERROR(INDEX(样本到样信息汇总统计!U$2:U$500,MATCH(198,样本到样信息汇总统计!$AA$2:$AA$500,0)),"")</f>
        <v/>
      </c>
      <c r="V199" s="8" t="str">
        <f>IFERROR(INDEX(样本到样信息汇总统计!V$2:V$500,MATCH(198,样本到样信息汇总统计!$AA$2:$AA$500,0)),"")</f>
        <v/>
      </c>
      <c r="W199" s="8" t="str">
        <f>IFERROR(INDEX(样本到样信息汇总统计!W$2:W$500,MATCH(198,样本到样信息汇总统计!$AA$2:$AA$500,0)),"")</f>
        <v/>
      </c>
    </row>
    <row r="200" ht="14.5" spans="1:23">
      <c r="A200" s="4" t="str">
        <f>IFERROR(INDEX(样本到样信息汇总统计!A$2:A$500,MATCH(199,样本到样信息汇总统计!$AA$2:$AA$500,0)),"")</f>
        <v/>
      </c>
      <c r="B200" s="4" t="str">
        <f>IFERROR(INDEX(样本到样信息汇总统计!B$2:B$500,MATCH(199,样本到样信息汇总统计!$AA$2:$AA$500,0)),"")</f>
        <v/>
      </c>
      <c r="C200" s="4" t="str">
        <f>IFERROR(INDEX(样本到样信息汇总统计!C$2:C$500,MATCH(199,样本到样信息汇总统计!$AA$2:$AA$500,0)),"")</f>
        <v/>
      </c>
      <c r="D200" s="4" t="str">
        <f>IFERROR(INDEX(样本到样信息汇总统计!D$2:D$500,MATCH(199,样本到样信息汇总统计!$AA$2:$AA$500,0)),"")</f>
        <v/>
      </c>
      <c r="E200" s="4" t="str">
        <f>IFERROR(INDEX(样本到样信息汇总统计!E$2:E$500,MATCH(199,样本到样信息汇总统计!$AA$2:$AA$500,0)),"")</f>
        <v/>
      </c>
      <c r="F200" s="4" t="str">
        <f>IFERROR(INDEX(样本到样信息汇总统计!F$2:F$500,MATCH(199,样本到样信息汇总统计!$AA$2:$AA$500,0)),"")</f>
        <v/>
      </c>
      <c r="G200" s="4" t="str">
        <f>IFERROR(INDEX(样本到样信息汇总统计!G$2:G$500,MATCH(199,样本到样信息汇总统计!$AA$2:$AA$500,0)),"")</f>
        <v/>
      </c>
      <c r="H200" s="4" t="str">
        <f>IFERROR(INDEX(样本到样信息汇总统计!H$2:H$500,MATCH(199,样本到样信息汇总统计!$AA$2:$AA$500,0)),"")</f>
        <v/>
      </c>
      <c r="I200" s="4" t="str">
        <f>IFERROR(INDEX(样本到样信息汇总统计!I$2:I$500,MATCH(199,样本到样信息汇总统计!$AA$2:$AA$500,0)),"")</f>
        <v/>
      </c>
      <c r="J200" s="4" t="str">
        <f>IFERROR(INDEX(样本到样信息汇总统计!J$2:J$500,MATCH(199,样本到样信息汇总统计!$AA$2:$AA$500,0)),"")</f>
        <v/>
      </c>
      <c r="K200" s="4" t="str">
        <f>IFERROR(INDEX(样本到样信息汇总统计!K$2:K$500,MATCH(199,样本到样信息汇总统计!$AA$2:$AA$500,0)),"")</f>
        <v/>
      </c>
      <c r="L200" s="4" t="str">
        <f>IFERROR(INDEX(样本到样信息汇总统计!L$2:L$500,MATCH(199,样本到样信息汇总统计!$AA$2:$AA$500,0)),"")</f>
        <v/>
      </c>
      <c r="M200" s="4" t="str">
        <f>IFERROR(INDEX(样本到样信息汇总统计!M$2:M$500,MATCH(199,样本到样信息汇总统计!$AA$2:$AA$500,0)),"")</f>
        <v/>
      </c>
      <c r="N200" s="4" t="str">
        <f>IFERROR(INDEX(样本到样信息汇总统计!N$2:N$500,MATCH(199,样本到样信息汇总统计!$AA$2:$AA$500,0)),"")</f>
        <v/>
      </c>
      <c r="O200" s="4" t="str">
        <f>IFERROR(INDEX(样本到样信息汇总统计!O$2:O$500,MATCH(199,样本到样信息汇总统计!$AA$2:$AA$500,0)),"")</f>
        <v/>
      </c>
      <c r="P200" s="4" t="str">
        <f>IFERROR(INDEX(样本到样信息汇总统计!P$2:P$500,MATCH(199,样本到样信息汇总统计!$AA$2:$AA$500,0)),"")</f>
        <v/>
      </c>
      <c r="Q200" s="4" t="str">
        <f>IFERROR(INDEX(样本到样信息汇总统计!Q$2:Q$500,MATCH(199,样本到样信息汇总统计!$AA$2:$AA$500,0)),"")</f>
        <v/>
      </c>
      <c r="R200" s="4" t="str">
        <f>IFERROR(INDEX(样本到样信息汇总统计!R$2:R$500,MATCH(199,样本到样信息汇总统计!$AA$2:$AA$500,0)),"")</f>
        <v/>
      </c>
      <c r="S200" s="4" t="str">
        <f>IFERROR(INDEX(样本到样信息汇总统计!S$2:S$500,MATCH(199,样本到样信息汇总统计!$AA$2:$AA$500,0)),"")</f>
        <v/>
      </c>
      <c r="T200" s="4" t="str">
        <f>IFERROR(INDEX(样本到样信息汇总统计!T$2:T$500,MATCH(199,样本到样信息汇总统计!$AA$2:$AA$500,0)),"")</f>
        <v/>
      </c>
      <c r="U200" s="4" t="str">
        <f>IFERROR(INDEX(样本到样信息汇总统计!U$2:U$500,MATCH(199,样本到样信息汇总统计!$AA$2:$AA$500,0)),"")</f>
        <v/>
      </c>
      <c r="V200" s="4" t="str">
        <f>IFERROR(INDEX(样本到样信息汇总统计!V$2:V$500,MATCH(199,样本到样信息汇总统计!$AA$2:$AA$500,0)),"")</f>
        <v/>
      </c>
      <c r="W200" s="4" t="str">
        <f>IFERROR(INDEX(样本到样信息汇总统计!W$2:W$500,MATCH(199,样本到样信息汇总统计!$AA$2:$AA$500,0)),"")</f>
        <v/>
      </c>
    </row>
    <row r="201" ht="14.5" spans="1:23">
      <c r="A201" s="8" t="str">
        <f>IFERROR(INDEX(样本到样信息汇总统计!A$2:A$500,MATCH(200,样本到样信息汇总统计!$AA$2:$AA$500,0)),"")</f>
        <v/>
      </c>
      <c r="B201" s="8" t="str">
        <f>IFERROR(INDEX(样本到样信息汇总统计!B$2:B$500,MATCH(200,样本到样信息汇总统计!$AA$2:$AA$500,0)),"")</f>
        <v/>
      </c>
      <c r="C201" s="8" t="str">
        <f>IFERROR(INDEX(样本到样信息汇总统计!C$2:C$500,MATCH(200,样本到样信息汇总统计!$AA$2:$AA$500,0)),"")</f>
        <v/>
      </c>
      <c r="D201" s="8" t="str">
        <f>IFERROR(INDEX(样本到样信息汇总统计!D$2:D$500,MATCH(200,样本到样信息汇总统计!$AA$2:$AA$500,0)),"")</f>
        <v/>
      </c>
      <c r="E201" s="8" t="str">
        <f>IFERROR(INDEX(样本到样信息汇总统计!E$2:E$500,MATCH(200,样本到样信息汇总统计!$AA$2:$AA$500,0)),"")</f>
        <v/>
      </c>
      <c r="F201" s="8" t="str">
        <f>IFERROR(INDEX(样本到样信息汇总统计!F$2:F$500,MATCH(200,样本到样信息汇总统计!$AA$2:$AA$500,0)),"")</f>
        <v/>
      </c>
      <c r="G201" s="8" t="str">
        <f>IFERROR(INDEX(样本到样信息汇总统计!G$2:G$500,MATCH(200,样本到样信息汇总统计!$AA$2:$AA$500,0)),"")</f>
        <v/>
      </c>
      <c r="H201" s="8" t="str">
        <f>IFERROR(INDEX(样本到样信息汇总统计!H$2:H$500,MATCH(200,样本到样信息汇总统计!$AA$2:$AA$500,0)),"")</f>
        <v/>
      </c>
      <c r="I201" s="8" t="str">
        <f>IFERROR(INDEX(样本到样信息汇总统计!I$2:I$500,MATCH(200,样本到样信息汇总统计!$AA$2:$AA$500,0)),"")</f>
        <v/>
      </c>
      <c r="J201" s="8" t="str">
        <f>IFERROR(INDEX(样本到样信息汇总统计!J$2:J$500,MATCH(200,样本到样信息汇总统计!$AA$2:$AA$500,0)),"")</f>
        <v/>
      </c>
      <c r="K201" s="8" t="str">
        <f>IFERROR(INDEX(样本到样信息汇总统计!K$2:K$500,MATCH(200,样本到样信息汇总统计!$AA$2:$AA$500,0)),"")</f>
        <v/>
      </c>
      <c r="L201" s="8" t="str">
        <f>IFERROR(INDEX(样本到样信息汇总统计!L$2:L$500,MATCH(200,样本到样信息汇总统计!$AA$2:$AA$500,0)),"")</f>
        <v/>
      </c>
      <c r="M201" s="8" t="str">
        <f>IFERROR(INDEX(样本到样信息汇总统计!M$2:M$500,MATCH(200,样本到样信息汇总统计!$AA$2:$AA$500,0)),"")</f>
        <v/>
      </c>
      <c r="N201" s="8" t="str">
        <f>IFERROR(INDEX(样本到样信息汇总统计!N$2:N$500,MATCH(200,样本到样信息汇总统计!$AA$2:$AA$500,0)),"")</f>
        <v/>
      </c>
      <c r="O201" s="8" t="str">
        <f>IFERROR(INDEX(样本到样信息汇总统计!O$2:O$500,MATCH(200,样本到样信息汇总统计!$AA$2:$AA$500,0)),"")</f>
        <v/>
      </c>
      <c r="P201" s="8" t="str">
        <f>IFERROR(INDEX(样本到样信息汇总统计!P$2:P$500,MATCH(200,样本到样信息汇总统计!$AA$2:$AA$500,0)),"")</f>
        <v/>
      </c>
      <c r="Q201" s="8" t="str">
        <f>IFERROR(INDEX(样本到样信息汇总统计!Q$2:Q$500,MATCH(200,样本到样信息汇总统计!$AA$2:$AA$500,0)),"")</f>
        <v/>
      </c>
      <c r="R201" s="8" t="str">
        <f>IFERROR(INDEX(样本到样信息汇总统计!R$2:R$500,MATCH(200,样本到样信息汇总统计!$AA$2:$AA$500,0)),"")</f>
        <v/>
      </c>
      <c r="S201" s="8" t="str">
        <f>IFERROR(INDEX(样本到样信息汇总统计!S$2:S$500,MATCH(200,样本到样信息汇总统计!$AA$2:$AA$500,0)),"")</f>
        <v/>
      </c>
      <c r="T201" s="8" t="str">
        <f>IFERROR(INDEX(样本到样信息汇总统计!T$2:T$500,MATCH(200,样本到样信息汇总统计!$AA$2:$AA$500,0)),"")</f>
        <v/>
      </c>
      <c r="U201" s="8" t="str">
        <f>IFERROR(INDEX(样本到样信息汇总统计!U$2:U$500,MATCH(200,样本到样信息汇总统计!$AA$2:$AA$500,0)),"")</f>
        <v/>
      </c>
      <c r="V201" s="8" t="str">
        <f>IFERROR(INDEX(样本到样信息汇总统计!V$2:V$500,MATCH(200,样本到样信息汇总统计!$AA$2:$AA$500,0)),"")</f>
        <v/>
      </c>
      <c r="W201" s="8" t="str">
        <f>IFERROR(INDEX(样本到样信息汇总统计!W$2:W$500,MATCH(200,样本到样信息汇总统计!$AA$2:$AA$500,0)),"")</f>
        <v/>
      </c>
    </row>
    <row r="202" ht="14.5" spans="1:23">
      <c r="A202" s="4" t="str">
        <f>IFERROR(INDEX(样本到样信息汇总统计!A$2:A$500,MATCH(201,样本到样信息汇总统计!$AA$2:$AA$500,0)),"")</f>
        <v/>
      </c>
      <c r="B202" s="4" t="str">
        <f>IFERROR(INDEX(样本到样信息汇总统计!B$2:B$500,MATCH(201,样本到样信息汇总统计!$AA$2:$AA$500,0)),"")</f>
        <v/>
      </c>
      <c r="C202" s="4" t="str">
        <f>IFERROR(INDEX(样本到样信息汇总统计!C$2:C$500,MATCH(201,样本到样信息汇总统计!$AA$2:$AA$500,0)),"")</f>
        <v/>
      </c>
      <c r="D202" s="4" t="str">
        <f>IFERROR(INDEX(样本到样信息汇总统计!D$2:D$500,MATCH(201,样本到样信息汇总统计!$AA$2:$AA$500,0)),"")</f>
        <v/>
      </c>
      <c r="E202" s="4" t="str">
        <f>IFERROR(INDEX(样本到样信息汇总统计!E$2:E$500,MATCH(201,样本到样信息汇总统计!$AA$2:$AA$500,0)),"")</f>
        <v/>
      </c>
      <c r="F202" s="4" t="str">
        <f>IFERROR(INDEX(样本到样信息汇总统计!F$2:F$500,MATCH(201,样本到样信息汇总统计!$AA$2:$AA$500,0)),"")</f>
        <v/>
      </c>
      <c r="G202" s="4" t="str">
        <f>IFERROR(INDEX(样本到样信息汇总统计!G$2:G$500,MATCH(201,样本到样信息汇总统计!$AA$2:$AA$500,0)),"")</f>
        <v/>
      </c>
      <c r="H202" s="4" t="str">
        <f>IFERROR(INDEX(样本到样信息汇总统计!H$2:H$500,MATCH(201,样本到样信息汇总统计!$AA$2:$AA$500,0)),"")</f>
        <v/>
      </c>
      <c r="I202" s="4" t="str">
        <f>IFERROR(INDEX(样本到样信息汇总统计!I$2:I$500,MATCH(201,样本到样信息汇总统计!$AA$2:$AA$500,0)),"")</f>
        <v/>
      </c>
      <c r="J202" s="4" t="str">
        <f>IFERROR(INDEX(样本到样信息汇总统计!J$2:J$500,MATCH(201,样本到样信息汇总统计!$AA$2:$AA$500,0)),"")</f>
        <v/>
      </c>
      <c r="K202" s="4" t="str">
        <f>IFERROR(INDEX(样本到样信息汇总统计!K$2:K$500,MATCH(201,样本到样信息汇总统计!$AA$2:$AA$500,0)),"")</f>
        <v/>
      </c>
      <c r="L202" s="4" t="str">
        <f>IFERROR(INDEX(样本到样信息汇总统计!L$2:L$500,MATCH(201,样本到样信息汇总统计!$AA$2:$AA$500,0)),"")</f>
        <v/>
      </c>
      <c r="M202" s="4" t="str">
        <f>IFERROR(INDEX(样本到样信息汇总统计!M$2:M$500,MATCH(201,样本到样信息汇总统计!$AA$2:$AA$500,0)),"")</f>
        <v/>
      </c>
      <c r="N202" s="4" t="str">
        <f>IFERROR(INDEX(样本到样信息汇总统计!N$2:N$500,MATCH(201,样本到样信息汇总统计!$AA$2:$AA$500,0)),"")</f>
        <v/>
      </c>
      <c r="O202" s="4" t="str">
        <f>IFERROR(INDEX(样本到样信息汇总统计!O$2:O$500,MATCH(201,样本到样信息汇总统计!$AA$2:$AA$500,0)),"")</f>
        <v/>
      </c>
      <c r="P202" s="4" t="str">
        <f>IFERROR(INDEX(样本到样信息汇总统计!P$2:P$500,MATCH(201,样本到样信息汇总统计!$AA$2:$AA$500,0)),"")</f>
        <v/>
      </c>
      <c r="Q202" s="4" t="str">
        <f>IFERROR(INDEX(样本到样信息汇总统计!Q$2:Q$500,MATCH(201,样本到样信息汇总统计!$AA$2:$AA$500,0)),"")</f>
        <v/>
      </c>
      <c r="R202" s="4" t="str">
        <f>IFERROR(INDEX(样本到样信息汇总统计!R$2:R$500,MATCH(201,样本到样信息汇总统计!$AA$2:$AA$500,0)),"")</f>
        <v/>
      </c>
      <c r="S202" s="4" t="str">
        <f>IFERROR(INDEX(样本到样信息汇总统计!S$2:S$500,MATCH(201,样本到样信息汇总统计!$AA$2:$AA$500,0)),"")</f>
        <v/>
      </c>
      <c r="T202" s="4" t="str">
        <f>IFERROR(INDEX(样本到样信息汇总统计!T$2:T$500,MATCH(201,样本到样信息汇总统计!$AA$2:$AA$500,0)),"")</f>
        <v/>
      </c>
      <c r="U202" s="4" t="str">
        <f>IFERROR(INDEX(样本到样信息汇总统计!U$2:U$500,MATCH(201,样本到样信息汇总统计!$AA$2:$AA$500,0)),"")</f>
        <v/>
      </c>
      <c r="V202" s="4" t="str">
        <f>IFERROR(INDEX(样本到样信息汇总统计!V$2:V$500,MATCH(201,样本到样信息汇总统计!$AA$2:$AA$500,0)),"")</f>
        <v/>
      </c>
      <c r="W202" s="4" t="str">
        <f>IFERROR(INDEX(样本到样信息汇总统计!W$2:W$500,MATCH(201,样本到样信息汇总统计!$AA$2:$AA$500,0)),"")</f>
        <v/>
      </c>
    </row>
    <row r="203" ht="14.5" spans="1:23">
      <c r="A203" s="8" t="str">
        <f>IFERROR(INDEX(样本到样信息汇总统计!A$2:A$500,MATCH(202,样本到样信息汇总统计!$AA$2:$AA$500,0)),"")</f>
        <v/>
      </c>
      <c r="B203" s="8" t="str">
        <f>IFERROR(INDEX(样本到样信息汇总统计!B$2:B$500,MATCH(202,样本到样信息汇总统计!$AA$2:$AA$500,0)),"")</f>
        <v/>
      </c>
      <c r="C203" s="8" t="str">
        <f>IFERROR(INDEX(样本到样信息汇总统计!C$2:C$500,MATCH(202,样本到样信息汇总统计!$AA$2:$AA$500,0)),"")</f>
        <v/>
      </c>
      <c r="D203" s="8" t="str">
        <f>IFERROR(INDEX(样本到样信息汇总统计!D$2:D$500,MATCH(202,样本到样信息汇总统计!$AA$2:$AA$500,0)),"")</f>
        <v/>
      </c>
      <c r="E203" s="8" t="str">
        <f>IFERROR(INDEX(样本到样信息汇总统计!E$2:E$500,MATCH(202,样本到样信息汇总统计!$AA$2:$AA$500,0)),"")</f>
        <v/>
      </c>
      <c r="F203" s="8" t="str">
        <f>IFERROR(INDEX(样本到样信息汇总统计!F$2:F$500,MATCH(202,样本到样信息汇总统计!$AA$2:$AA$500,0)),"")</f>
        <v/>
      </c>
      <c r="G203" s="8" t="str">
        <f>IFERROR(INDEX(样本到样信息汇总统计!G$2:G$500,MATCH(202,样本到样信息汇总统计!$AA$2:$AA$500,0)),"")</f>
        <v/>
      </c>
      <c r="H203" s="8" t="str">
        <f>IFERROR(INDEX(样本到样信息汇总统计!H$2:H$500,MATCH(202,样本到样信息汇总统计!$AA$2:$AA$500,0)),"")</f>
        <v/>
      </c>
      <c r="I203" s="8" t="str">
        <f>IFERROR(INDEX(样本到样信息汇总统计!I$2:I$500,MATCH(202,样本到样信息汇总统计!$AA$2:$AA$500,0)),"")</f>
        <v/>
      </c>
      <c r="J203" s="8" t="str">
        <f>IFERROR(INDEX(样本到样信息汇总统计!J$2:J$500,MATCH(202,样本到样信息汇总统计!$AA$2:$AA$500,0)),"")</f>
        <v/>
      </c>
      <c r="K203" s="8" t="str">
        <f>IFERROR(INDEX(样本到样信息汇总统计!K$2:K$500,MATCH(202,样本到样信息汇总统计!$AA$2:$AA$500,0)),"")</f>
        <v/>
      </c>
      <c r="L203" s="8" t="str">
        <f>IFERROR(INDEX(样本到样信息汇总统计!L$2:L$500,MATCH(202,样本到样信息汇总统计!$AA$2:$AA$500,0)),"")</f>
        <v/>
      </c>
      <c r="M203" s="8" t="str">
        <f>IFERROR(INDEX(样本到样信息汇总统计!M$2:M$500,MATCH(202,样本到样信息汇总统计!$AA$2:$AA$500,0)),"")</f>
        <v/>
      </c>
      <c r="N203" s="8" t="str">
        <f>IFERROR(INDEX(样本到样信息汇总统计!N$2:N$500,MATCH(202,样本到样信息汇总统计!$AA$2:$AA$500,0)),"")</f>
        <v/>
      </c>
      <c r="O203" s="8" t="str">
        <f>IFERROR(INDEX(样本到样信息汇总统计!O$2:O$500,MATCH(202,样本到样信息汇总统计!$AA$2:$AA$500,0)),"")</f>
        <v/>
      </c>
      <c r="P203" s="8" t="str">
        <f>IFERROR(INDEX(样本到样信息汇总统计!P$2:P$500,MATCH(202,样本到样信息汇总统计!$AA$2:$AA$500,0)),"")</f>
        <v/>
      </c>
      <c r="Q203" s="8" t="str">
        <f>IFERROR(INDEX(样本到样信息汇总统计!Q$2:Q$500,MATCH(202,样本到样信息汇总统计!$AA$2:$AA$500,0)),"")</f>
        <v/>
      </c>
      <c r="R203" s="8" t="str">
        <f>IFERROR(INDEX(样本到样信息汇总统计!R$2:R$500,MATCH(202,样本到样信息汇总统计!$AA$2:$AA$500,0)),"")</f>
        <v/>
      </c>
      <c r="S203" s="8" t="str">
        <f>IFERROR(INDEX(样本到样信息汇总统计!S$2:S$500,MATCH(202,样本到样信息汇总统计!$AA$2:$AA$500,0)),"")</f>
        <v/>
      </c>
      <c r="T203" s="8" t="str">
        <f>IFERROR(INDEX(样本到样信息汇总统计!T$2:T$500,MATCH(202,样本到样信息汇总统计!$AA$2:$AA$500,0)),"")</f>
        <v/>
      </c>
      <c r="U203" s="8" t="str">
        <f>IFERROR(INDEX(样本到样信息汇总统计!U$2:U$500,MATCH(202,样本到样信息汇总统计!$AA$2:$AA$500,0)),"")</f>
        <v/>
      </c>
      <c r="V203" s="8" t="str">
        <f>IFERROR(INDEX(样本到样信息汇总统计!V$2:V$500,MATCH(202,样本到样信息汇总统计!$AA$2:$AA$500,0)),"")</f>
        <v/>
      </c>
      <c r="W203" s="8" t="str">
        <f>IFERROR(INDEX(样本到样信息汇总统计!W$2:W$500,MATCH(202,样本到样信息汇总统计!$AA$2:$AA$500,0)),"")</f>
        <v/>
      </c>
    </row>
    <row r="204" ht="14.5" spans="1:23">
      <c r="A204" s="4" t="str">
        <f>IFERROR(INDEX(样本到样信息汇总统计!A$2:A$500,MATCH(203,样本到样信息汇总统计!$AA$2:$AA$500,0)),"")</f>
        <v/>
      </c>
      <c r="B204" s="4" t="str">
        <f>IFERROR(INDEX(样本到样信息汇总统计!B$2:B$500,MATCH(203,样本到样信息汇总统计!$AA$2:$AA$500,0)),"")</f>
        <v/>
      </c>
      <c r="C204" s="4" t="str">
        <f>IFERROR(INDEX(样本到样信息汇总统计!C$2:C$500,MATCH(203,样本到样信息汇总统计!$AA$2:$AA$500,0)),"")</f>
        <v/>
      </c>
      <c r="D204" s="4" t="str">
        <f>IFERROR(INDEX(样本到样信息汇总统计!D$2:D$500,MATCH(203,样本到样信息汇总统计!$AA$2:$AA$500,0)),"")</f>
        <v/>
      </c>
      <c r="E204" s="4" t="str">
        <f>IFERROR(INDEX(样本到样信息汇总统计!E$2:E$500,MATCH(203,样本到样信息汇总统计!$AA$2:$AA$500,0)),"")</f>
        <v/>
      </c>
      <c r="F204" s="4" t="str">
        <f>IFERROR(INDEX(样本到样信息汇总统计!F$2:F$500,MATCH(203,样本到样信息汇总统计!$AA$2:$AA$500,0)),"")</f>
        <v/>
      </c>
      <c r="G204" s="4" t="str">
        <f>IFERROR(INDEX(样本到样信息汇总统计!G$2:G$500,MATCH(203,样本到样信息汇总统计!$AA$2:$AA$500,0)),"")</f>
        <v/>
      </c>
      <c r="H204" s="4" t="str">
        <f>IFERROR(INDEX(样本到样信息汇总统计!H$2:H$500,MATCH(203,样本到样信息汇总统计!$AA$2:$AA$500,0)),"")</f>
        <v/>
      </c>
      <c r="I204" s="4" t="str">
        <f>IFERROR(INDEX(样本到样信息汇总统计!I$2:I$500,MATCH(203,样本到样信息汇总统计!$AA$2:$AA$500,0)),"")</f>
        <v/>
      </c>
      <c r="J204" s="4" t="str">
        <f>IFERROR(INDEX(样本到样信息汇总统计!J$2:J$500,MATCH(203,样本到样信息汇总统计!$AA$2:$AA$500,0)),"")</f>
        <v/>
      </c>
      <c r="K204" s="4" t="str">
        <f>IFERROR(INDEX(样本到样信息汇总统计!K$2:K$500,MATCH(203,样本到样信息汇总统计!$AA$2:$AA$500,0)),"")</f>
        <v/>
      </c>
      <c r="L204" s="4" t="str">
        <f>IFERROR(INDEX(样本到样信息汇总统计!L$2:L$500,MATCH(203,样本到样信息汇总统计!$AA$2:$AA$500,0)),"")</f>
        <v/>
      </c>
      <c r="M204" s="4" t="str">
        <f>IFERROR(INDEX(样本到样信息汇总统计!M$2:M$500,MATCH(203,样本到样信息汇总统计!$AA$2:$AA$500,0)),"")</f>
        <v/>
      </c>
      <c r="N204" s="4" t="str">
        <f>IFERROR(INDEX(样本到样信息汇总统计!N$2:N$500,MATCH(203,样本到样信息汇总统计!$AA$2:$AA$500,0)),"")</f>
        <v/>
      </c>
      <c r="O204" s="4" t="str">
        <f>IFERROR(INDEX(样本到样信息汇总统计!O$2:O$500,MATCH(203,样本到样信息汇总统计!$AA$2:$AA$500,0)),"")</f>
        <v/>
      </c>
      <c r="P204" s="4" t="str">
        <f>IFERROR(INDEX(样本到样信息汇总统计!P$2:P$500,MATCH(203,样本到样信息汇总统计!$AA$2:$AA$500,0)),"")</f>
        <v/>
      </c>
      <c r="Q204" s="4" t="str">
        <f>IFERROR(INDEX(样本到样信息汇总统计!Q$2:Q$500,MATCH(203,样本到样信息汇总统计!$AA$2:$AA$500,0)),"")</f>
        <v/>
      </c>
      <c r="R204" s="4" t="str">
        <f>IFERROR(INDEX(样本到样信息汇总统计!R$2:R$500,MATCH(203,样本到样信息汇总统计!$AA$2:$AA$500,0)),"")</f>
        <v/>
      </c>
      <c r="S204" s="4" t="str">
        <f>IFERROR(INDEX(样本到样信息汇总统计!S$2:S$500,MATCH(203,样本到样信息汇总统计!$AA$2:$AA$500,0)),"")</f>
        <v/>
      </c>
      <c r="T204" s="4" t="str">
        <f>IFERROR(INDEX(样本到样信息汇总统计!T$2:T$500,MATCH(203,样本到样信息汇总统计!$AA$2:$AA$500,0)),"")</f>
        <v/>
      </c>
      <c r="U204" s="4" t="str">
        <f>IFERROR(INDEX(样本到样信息汇总统计!U$2:U$500,MATCH(203,样本到样信息汇总统计!$AA$2:$AA$500,0)),"")</f>
        <v/>
      </c>
      <c r="V204" s="4" t="str">
        <f>IFERROR(INDEX(样本到样信息汇总统计!V$2:V$500,MATCH(203,样本到样信息汇总统计!$AA$2:$AA$500,0)),"")</f>
        <v/>
      </c>
      <c r="W204" s="4" t="str">
        <f>IFERROR(INDEX(样本到样信息汇总统计!W$2:W$500,MATCH(203,样本到样信息汇总统计!$AA$2:$AA$500,0)),"")</f>
        <v/>
      </c>
    </row>
    <row r="205" ht="14.5" spans="1:23">
      <c r="A205" s="8" t="str">
        <f>IFERROR(INDEX(样本到样信息汇总统计!A$2:A$500,MATCH(204,样本到样信息汇总统计!$AA$2:$AA$500,0)),"")</f>
        <v/>
      </c>
      <c r="B205" s="8" t="str">
        <f>IFERROR(INDEX(样本到样信息汇总统计!B$2:B$500,MATCH(204,样本到样信息汇总统计!$AA$2:$AA$500,0)),"")</f>
        <v/>
      </c>
      <c r="C205" s="8" t="str">
        <f>IFERROR(INDEX(样本到样信息汇总统计!C$2:C$500,MATCH(204,样本到样信息汇总统计!$AA$2:$AA$500,0)),"")</f>
        <v/>
      </c>
      <c r="D205" s="8" t="str">
        <f>IFERROR(INDEX(样本到样信息汇总统计!D$2:D$500,MATCH(204,样本到样信息汇总统计!$AA$2:$AA$500,0)),"")</f>
        <v/>
      </c>
      <c r="E205" s="8" t="str">
        <f>IFERROR(INDEX(样本到样信息汇总统计!E$2:E$500,MATCH(204,样本到样信息汇总统计!$AA$2:$AA$500,0)),"")</f>
        <v/>
      </c>
      <c r="F205" s="8" t="str">
        <f>IFERROR(INDEX(样本到样信息汇总统计!F$2:F$500,MATCH(204,样本到样信息汇总统计!$AA$2:$AA$500,0)),"")</f>
        <v/>
      </c>
      <c r="G205" s="8" t="str">
        <f>IFERROR(INDEX(样本到样信息汇总统计!G$2:G$500,MATCH(204,样本到样信息汇总统计!$AA$2:$AA$500,0)),"")</f>
        <v/>
      </c>
      <c r="H205" s="8" t="str">
        <f>IFERROR(INDEX(样本到样信息汇总统计!H$2:H$500,MATCH(204,样本到样信息汇总统计!$AA$2:$AA$500,0)),"")</f>
        <v/>
      </c>
      <c r="I205" s="8" t="str">
        <f>IFERROR(INDEX(样本到样信息汇总统计!I$2:I$500,MATCH(204,样本到样信息汇总统计!$AA$2:$AA$500,0)),"")</f>
        <v/>
      </c>
      <c r="J205" s="8" t="str">
        <f>IFERROR(INDEX(样本到样信息汇总统计!J$2:J$500,MATCH(204,样本到样信息汇总统计!$AA$2:$AA$500,0)),"")</f>
        <v/>
      </c>
      <c r="K205" s="8" t="str">
        <f>IFERROR(INDEX(样本到样信息汇总统计!K$2:K$500,MATCH(204,样本到样信息汇总统计!$AA$2:$AA$500,0)),"")</f>
        <v/>
      </c>
      <c r="L205" s="8" t="str">
        <f>IFERROR(INDEX(样本到样信息汇总统计!L$2:L$500,MATCH(204,样本到样信息汇总统计!$AA$2:$AA$500,0)),"")</f>
        <v/>
      </c>
      <c r="M205" s="8" t="str">
        <f>IFERROR(INDEX(样本到样信息汇总统计!M$2:M$500,MATCH(204,样本到样信息汇总统计!$AA$2:$AA$500,0)),"")</f>
        <v/>
      </c>
      <c r="N205" s="8" t="str">
        <f>IFERROR(INDEX(样本到样信息汇总统计!N$2:N$500,MATCH(204,样本到样信息汇总统计!$AA$2:$AA$500,0)),"")</f>
        <v/>
      </c>
      <c r="O205" s="8" t="str">
        <f>IFERROR(INDEX(样本到样信息汇总统计!O$2:O$500,MATCH(204,样本到样信息汇总统计!$AA$2:$AA$500,0)),"")</f>
        <v/>
      </c>
      <c r="P205" s="8" t="str">
        <f>IFERROR(INDEX(样本到样信息汇总统计!P$2:P$500,MATCH(204,样本到样信息汇总统计!$AA$2:$AA$500,0)),"")</f>
        <v/>
      </c>
      <c r="Q205" s="8" t="str">
        <f>IFERROR(INDEX(样本到样信息汇总统计!Q$2:Q$500,MATCH(204,样本到样信息汇总统计!$AA$2:$AA$500,0)),"")</f>
        <v/>
      </c>
      <c r="R205" s="8" t="str">
        <f>IFERROR(INDEX(样本到样信息汇总统计!R$2:R$500,MATCH(204,样本到样信息汇总统计!$AA$2:$AA$500,0)),"")</f>
        <v/>
      </c>
      <c r="S205" s="8" t="str">
        <f>IFERROR(INDEX(样本到样信息汇总统计!S$2:S$500,MATCH(204,样本到样信息汇总统计!$AA$2:$AA$500,0)),"")</f>
        <v/>
      </c>
      <c r="T205" s="8" t="str">
        <f>IFERROR(INDEX(样本到样信息汇总统计!T$2:T$500,MATCH(204,样本到样信息汇总统计!$AA$2:$AA$500,0)),"")</f>
        <v/>
      </c>
      <c r="U205" s="8" t="str">
        <f>IFERROR(INDEX(样本到样信息汇总统计!U$2:U$500,MATCH(204,样本到样信息汇总统计!$AA$2:$AA$500,0)),"")</f>
        <v/>
      </c>
      <c r="V205" s="8" t="str">
        <f>IFERROR(INDEX(样本到样信息汇总统计!V$2:V$500,MATCH(204,样本到样信息汇总统计!$AA$2:$AA$500,0)),"")</f>
        <v/>
      </c>
      <c r="W205" s="8" t="str">
        <f>IFERROR(INDEX(样本到样信息汇总统计!W$2:W$500,MATCH(204,样本到样信息汇总统计!$AA$2:$AA$500,0)),"")</f>
        <v/>
      </c>
    </row>
    <row r="206" ht="14.5" spans="1:23">
      <c r="A206" s="4" t="str">
        <f>IFERROR(INDEX(样本到样信息汇总统计!A$2:A$500,MATCH(205,样本到样信息汇总统计!$AA$2:$AA$500,0)),"")</f>
        <v/>
      </c>
      <c r="B206" s="4" t="str">
        <f>IFERROR(INDEX(样本到样信息汇总统计!B$2:B$500,MATCH(205,样本到样信息汇总统计!$AA$2:$AA$500,0)),"")</f>
        <v/>
      </c>
      <c r="C206" s="4" t="str">
        <f>IFERROR(INDEX(样本到样信息汇总统计!C$2:C$500,MATCH(205,样本到样信息汇总统计!$AA$2:$AA$500,0)),"")</f>
        <v/>
      </c>
      <c r="D206" s="4" t="str">
        <f>IFERROR(INDEX(样本到样信息汇总统计!D$2:D$500,MATCH(205,样本到样信息汇总统计!$AA$2:$AA$500,0)),"")</f>
        <v/>
      </c>
      <c r="E206" s="4" t="str">
        <f>IFERROR(INDEX(样本到样信息汇总统计!E$2:E$500,MATCH(205,样本到样信息汇总统计!$AA$2:$AA$500,0)),"")</f>
        <v/>
      </c>
      <c r="F206" s="4" t="str">
        <f>IFERROR(INDEX(样本到样信息汇总统计!F$2:F$500,MATCH(205,样本到样信息汇总统计!$AA$2:$AA$500,0)),"")</f>
        <v/>
      </c>
      <c r="G206" s="4" t="str">
        <f>IFERROR(INDEX(样本到样信息汇总统计!G$2:G$500,MATCH(205,样本到样信息汇总统计!$AA$2:$AA$500,0)),"")</f>
        <v/>
      </c>
      <c r="H206" s="4" t="str">
        <f>IFERROR(INDEX(样本到样信息汇总统计!H$2:H$500,MATCH(205,样本到样信息汇总统计!$AA$2:$AA$500,0)),"")</f>
        <v/>
      </c>
      <c r="I206" s="4" t="str">
        <f>IFERROR(INDEX(样本到样信息汇总统计!I$2:I$500,MATCH(205,样本到样信息汇总统计!$AA$2:$AA$500,0)),"")</f>
        <v/>
      </c>
      <c r="J206" s="4" t="str">
        <f>IFERROR(INDEX(样本到样信息汇总统计!J$2:J$500,MATCH(205,样本到样信息汇总统计!$AA$2:$AA$500,0)),"")</f>
        <v/>
      </c>
      <c r="K206" s="4" t="str">
        <f>IFERROR(INDEX(样本到样信息汇总统计!K$2:K$500,MATCH(205,样本到样信息汇总统计!$AA$2:$AA$500,0)),"")</f>
        <v/>
      </c>
      <c r="L206" s="4" t="str">
        <f>IFERROR(INDEX(样本到样信息汇总统计!L$2:L$500,MATCH(205,样本到样信息汇总统计!$AA$2:$AA$500,0)),"")</f>
        <v/>
      </c>
      <c r="M206" s="4" t="str">
        <f>IFERROR(INDEX(样本到样信息汇总统计!M$2:M$500,MATCH(205,样本到样信息汇总统计!$AA$2:$AA$500,0)),"")</f>
        <v/>
      </c>
      <c r="N206" s="4" t="str">
        <f>IFERROR(INDEX(样本到样信息汇总统计!N$2:N$500,MATCH(205,样本到样信息汇总统计!$AA$2:$AA$500,0)),"")</f>
        <v/>
      </c>
      <c r="O206" s="4" t="str">
        <f>IFERROR(INDEX(样本到样信息汇总统计!O$2:O$500,MATCH(205,样本到样信息汇总统计!$AA$2:$AA$500,0)),"")</f>
        <v/>
      </c>
      <c r="P206" s="4" t="str">
        <f>IFERROR(INDEX(样本到样信息汇总统计!P$2:P$500,MATCH(205,样本到样信息汇总统计!$AA$2:$AA$500,0)),"")</f>
        <v/>
      </c>
      <c r="Q206" s="4" t="str">
        <f>IFERROR(INDEX(样本到样信息汇总统计!Q$2:Q$500,MATCH(205,样本到样信息汇总统计!$AA$2:$AA$500,0)),"")</f>
        <v/>
      </c>
      <c r="R206" s="4" t="str">
        <f>IFERROR(INDEX(样本到样信息汇总统计!R$2:R$500,MATCH(205,样本到样信息汇总统计!$AA$2:$AA$500,0)),"")</f>
        <v/>
      </c>
      <c r="S206" s="4" t="str">
        <f>IFERROR(INDEX(样本到样信息汇总统计!S$2:S$500,MATCH(205,样本到样信息汇总统计!$AA$2:$AA$500,0)),"")</f>
        <v/>
      </c>
      <c r="T206" s="4" t="str">
        <f>IFERROR(INDEX(样本到样信息汇总统计!T$2:T$500,MATCH(205,样本到样信息汇总统计!$AA$2:$AA$500,0)),"")</f>
        <v/>
      </c>
      <c r="U206" s="4" t="str">
        <f>IFERROR(INDEX(样本到样信息汇总统计!U$2:U$500,MATCH(205,样本到样信息汇总统计!$AA$2:$AA$500,0)),"")</f>
        <v/>
      </c>
      <c r="V206" s="4" t="str">
        <f>IFERROR(INDEX(样本到样信息汇总统计!V$2:V$500,MATCH(205,样本到样信息汇总统计!$AA$2:$AA$500,0)),"")</f>
        <v/>
      </c>
      <c r="W206" s="4" t="str">
        <f>IFERROR(INDEX(样本到样信息汇总统计!W$2:W$500,MATCH(205,样本到样信息汇总统计!$AA$2:$AA$500,0)),"")</f>
        <v/>
      </c>
    </row>
    <row r="207" ht="14.5" spans="1:23">
      <c r="A207" s="8" t="str">
        <f>IFERROR(INDEX(样本到样信息汇总统计!A$2:A$500,MATCH(206,样本到样信息汇总统计!$AA$2:$AA$500,0)),"")</f>
        <v/>
      </c>
      <c r="B207" s="8" t="str">
        <f>IFERROR(INDEX(样本到样信息汇总统计!B$2:B$500,MATCH(206,样本到样信息汇总统计!$AA$2:$AA$500,0)),"")</f>
        <v/>
      </c>
      <c r="C207" s="8" t="str">
        <f>IFERROR(INDEX(样本到样信息汇总统计!C$2:C$500,MATCH(206,样本到样信息汇总统计!$AA$2:$AA$500,0)),"")</f>
        <v/>
      </c>
      <c r="D207" s="8" t="str">
        <f>IFERROR(INDEX(样本到样信息汇总统计!D$2:D$500,MATCH(206,样本到样信息汇总统计!$AA$2:$AA$500,0)),"")</f>
        <v/>
      </c>
      <c r="E207" s="8" t="str">
        <f>IFERROR(INDEX(样本到样信息汇总统计!E$2:E$500,MATCH(206,样本到样信息汇总统计!$AA$2:$AA$500,0)),"")</f>
        <v/>
      </c>
      <c r="F207" s="8" t="str">
        <f>IFERROR(INDEX(样本到样信息汇总统计!F$2:F$500,MATCH(206,样本到样信息汇总统计!$AA$2:$AA$500,0)),"")</f>
        <v/>
      </c>
      <c r="G207" s="8" t="str">
        <f>IFERROR(INDEX(样本到样信息汇总统计!G$2:G$500,MATCH(206,样本到样信息汇总统计!$AA$2:$AA$500,0)),"")</f>
        <v/>
      </c>
      <c r="H207" s="8" t="str">
        <f>IFERROR(INDEX(样本到样信息汇总统计!H$2:H$500,MATCH(206,样本到样信息汇总统计!$AA$2:$AA$500,0)),"")</f>
        <v/>
      </c>
      <c r="I207" s="8" t="str">
        <f>IFERROR(INDEX(样本到样信息汇总统计!I$2:I$500,MATCH(206,样本到样信息汇总统计!$AA$2:$AA$500,0)),"")</f>
        <v/>
      </c>
      <c r="J207" s="8" t="str">
        <f>IFERROR(INDEX(样本到样信息汇总统计!J$2:J$500,MATCH(206,样本到样信息汇总统计!$AA$2:$AA$500,0)),"")</f>
        <v/>
      </c>
      <c r="K207" s="8" t="str">
        <f>IFERROR(INDEX(样本到样信息汇总统计!K$2:K$500,MATCH(206,样本到样信息汇总统计!$AA$2:$AA$500,0)),"")</f>
        <v/>
      </c>
      <c r="L207" s="8" t="str">
        <f>IFERROR(INDEX(样本到样信息汇总统计!L$2:L$500,MATCH(206,样本到样信息汇总统计!$AA$2:$AA$500,0)),"")</f>
        <v/>
      </c>
      <c r="M207" s="8" t="str">
        <f>IFERROR(INDEX(样本到样信息汇总统计!M$2:M$500,MATCH(206,样本到样信息汇总统计!$AA$2:$AA$500,0)),"")</f>
        <v/>
      </c>
      <c r="N207" s="8" t="str">
        <f>IFERROR(INDEX(样本到样信息汇总统计!N$2:N$500,MATCH(206,样本到样信息汇总统计!$AA$2:$AA$500,0)),"")</f>
        <v/>
      </c>
      <c r="O207" s="8" t="str">
        <f>IFERROR(INDEX(样本到样信息汇总统计!O$2:O$500,MATCH(206,样本到样信息汇总统计!$AA$2:$AA$500,0)),"")</f>
        <v/>
      </c>
      <c r="P207" s="8" t="str">
        <f>IFERROR(INDEX(样本到样信息汇总统计!P$2:P$500,MATCH(206,样本到样信息汇总统计!$AA$2:$AA$500,0)),"")</f>
        <v/>
      </c>
      <c r="Q207" s="8" t="str">
        <f>IFERROR(INDEX(样本到样信息汇总统计!Q$2:Q$500,MATCH(206,样本到样信息汇总统计!$AA$2:$AA$500,0)),"")</f>
        <v/>
      </c>
      <c r="R207" s="8" t="str">
        <f>IFERROR(INDEX(样本到样信息汇总统计!R$2:R$500,MATCH(206,样本到样信息汇总统计!$AA$2:$AA$500,0)),"")</f>
        <v/>
      </c>
      <c r="S207" s="8" t="str">
        <f>IFERROR(INDEX(样本到样信息汇总统计!S$2:S$500,MATCH(206,样本到样信息汇总统计!$AA$2:$AA$500,0)),"")</f>
        <v/>
      </c>
      <c r="T207" s="8" t="str">
        <f>IFERROR(INDEX(样本到样信息汇总统计!T$2:T$500,MATCH(206,样本到样信息汇总统计!$AA$2:$AA$500,0)),"")</f>
        <v/>
      </c>
      <c r="U207" s="8" t="str">
        <f>IFERROR(INDEX(样本到样信息汇总统计!U$2:U$500,MATCH(206,样本到样信息汇总统计!$AA$2:$AA$500,0)),"")</f>
        <v/>
      </c>
      <c r="V207" s="8" t="str">
        <f>IFERROR(INDEX(样本到样信息汇总统计!V$2:V$500,MATCH(206,样本到样信息汇总统计!$AA$2:$AA$500,0)),"")</f>
        <v/>
      </c>
      <c r="W207" s="8" t="str">
        <f>IFERROR(INDEX(样本到样信息汇总统计!W$2:W$500,MATCH(206,样本到样信息汇总统计!$AA$2:$AA$500,0)),"")</f>
        <v/>
      </c>
    </row>
    <row r="208" ht="14.5" spans="1:23">
      <c r="A208" s="4" t="str">
        <f>IFERROR(INDEX(样本到样信息汇总统计!A$2:A$500,MATCH(207,样本到样信息汇总统计!$AA$2:$AA$500,0)),"")</f>
        <v/>
      </c>
      <c r="B208" s="4" t="str">
        <f>IFERROR(INDEX(样本到样信息汇总统计!B$2:B$500,MATCH(207,样本到样信息汇总统计!$AA$2:$AA$500,0)),"")</f>
        <v/>
      </c>
      <c r="C208" s="4" t="str">
        <f>IFERROR(INDEX(样本到样信息汇总统计!C$2:C$500,MATCH(207,样本到样信息汇总统计!$AA$2:$AA$500,0)),"")</f>
        <v/>
      </c>
      <c r="D208" s="4" t="str">
        <f>IFERROR(INDEX(样本到样信息汇总统计!D$2:D$500,MATCH(207,样本到样信息汇总统计!$AA$2:$AA$500,0)),"")</f>
        <v/>
      </c>
      <c r="E208" s="4" t="str">
        <f>IFERROR(INDEX(样本到样信息汇总统计!E$2:E$500,MATCH(207,样本到样信息汇总统计!$AA$2:$AA$500,0)),"")</f>
        <v/>
      </c>
      <c r="F208" s="4" t="str">
        <f>IFERROR(INDEX(样本到样信息汇总统计!F$2:F$500,MATCH(207,样本到样信息汇总统计!$AA$2:$AA$500,0)),"")</f>
        <v/>
      </c>
      <c r="G208" s="4" t="str">
        <f>IFERROR(INDEX(样本到样信息汇总统计!G$2:G$500,MATCH(207,样本到样信息汇总统计!$AA$2:$AA$500,0)),"")</f>
        <v/>
      </c>
      <c r="H208" s="4" t="str">
        <f>IFERROR(INDEX(样本到样信息汇总统计!H$2:H$500,MATCH(207,样本到样信息汇总统计!$AA$2:$AA$500,0)),"")</f>
        <v/>
      </c>
      <c r="I208" s="4" t="str">
        <f>IFERROR(INDEX(样本到样信息汇总统计!I$2:I$500,MATCH(207,样本到样信息汇总统计!$AA$2:$AA$500,0)),"")</f>
        <v/>
      </c>
      <c r="J208" s="4" t="str">
        <f>IFERROR(INDEX(样本到样信息汇总统计!J$2:J$500,MATCH(207,样本到样信息汇总统计!$AA$2:$AA$500,0)),"")</f>
        <v/>
      </c>
      <c r="K208" s="4" t="str">
        <f>IFERROR(INDEX(样本到样信息汇总统计!K$2:K$500,MATCH(207,样本到样信息汇总统计!$AA$2:$AA$500,0)),"")</f>
        <v/>
      </c>
      <c r="L208" s="4" t="str">
        <f>IFERROR(INDEX(样本到样信息汇总统计!L$2:L$500,MATCH(207,样本到样信息汇总统计!$AA$2:$AA$500,0)),"")</f>
        <v/>
      </c>
      <c r="M208" s="4" t="str">
        <f>IFERROR(INDEX(样本到样信息汇总统计!M$2:M$500,MATCH(207,样本到样信息汇总统计!$AA$2:$AA$500,0)),"")</f>
        <v/>
      </c>
      <c r="N208" s="4" t="str">
        <f>IFERROR(INDEX(样本到样信息汇总统计!N$2:N$500,MATCH(207,样本到样信息汇总统计!$AA$2:$AA$500,0)),"")</f>
        <v/>
      </c>
      <c r="O208" s="4" t="str">
        <f>IFERROR(INDEX(样本到样信息汇总统计!O$2:O$500,MATCH(207,样本到样信息汇总统计!$AA$2:$AA$500,0)),"")</f>
        <v/>
      </c>
      <c r="P208" s="4" t="str">
        <f>IFERROR(INDEX(样本到样信息汇总统计!P$2:P$500,MATCH(207,样本到样信息汇总统计!$AA$2:$AA$500,0)),"")</f>
        <v/>
      </c>
      <c r="Q208" s="4" t="str">
        <f>IFERROR(INDEX(样本到样信息汇总统计!Q$2:Q$500,MATCH(207,样本到样信息汇总统计!$AA$2:$AA$500,0)),"")</f>
        <v/>
      </c>
      <c r="R208" s="4" t="str">
        <f>IFERROR(INDEX(样本到样信息汇总统计!R$2:R$500,MATCH(207,样本到样信息汇总统计!$AA$2:$AA$500,0)),"")</f>
        <v/>
      </c>
      <c r="S208" s="4" t="str">
        <f>IFERROR(INDEX(样本到样信息汇总统计!S$2:S$500,MATCH(207,样本到样信息汇总统计!$AA$2:$AA$500,0)),"")</f>
        <v/>
      </c>
      <c r="T208" s="4" t="str">
        <f>IFERROR(INDEX(样本到样信息汇总统计!T$2:T$500,MATCH(207,样本到样信息汇总统计!$AA$2:$AA$500,0)),"")</f>
        <v/>
      </c>
      <c r="U208" s="4" t="str">
        <f>IFERROR(INDEX(样本到样信息汇总统计!U$2:U$500,MATCH(207,样本到样信息汇总统计!$AA$2:$AA$500,0)),"")</f>
        <v/>
      </c>
      <c r="V208" s="4" t="str">
        <f>IFERROR(INDEX(样本到样信息汇总统计!V$2:V$500,MATCH(207,样本到样信息汇总统计!$AA$2:$AA$500,0)),"")</f>
        <v/>
      </c>
      <c r="W208" s="4" t="str">
        <f>IFERROR(INDEX(样本到样信息汇总统计!W$2:W$500,MATCH(207,样本到样信息汇总统计!$AA$2:$AA$500,0)),"")</f>
        <v/>
      </c>
    </row>
    <row r="209" ht="14.5" spans="1:23">
      <c r="A209" s="8" t="str">
        <f>IFERROR(INDEX(样本到样信息汇总统计!A$2:A$500,MATCH(208,样本到样信息汇总统计!$AA$2:$AA$500,0)),"")</f>
        <v/>
      </c>
      <c r="B209" s="8" t="str">
        <f>IFERROR(INDEX(样本到样信息汇总统计!B$2:B$500,MATCH(208,样本到样信息汇总统计!$AA$2:$AA$500,0)),"")</f>
        <v/>
      </c>
      <c r="C209" s="8" t="str">
        <f>IFERROR(INDEX(样本到样信息汇总统计!C$2:C$500,MATCH(208,样本到样信息汇总统计!$AA$2:$AA$500,0)),"")</f>
        <v/>
      </c>
      <c r="D209" s="8" t="str">
        <f>IFERROR(INDEX(样本到样信息汇总统计!D$2:D$500,MATCH(208,样本到样信息汇总统计!$AA$2:$AA$500,0)),"")</f>
        <v/>
      </c>
      <c r="E209" s="8" t="str">
        <f>IFERROR(INDEX(样本到样信息汇总统计!E$2:E$500,MATCH(208,样本到样信息汇总统计!$AA$2:$AA$500,0)),"")</f>
        <v/>
      </c>
      <c r="F209" s="8" t="str">
        <f>IFERROR(INDEX(样本到样信息汇总统计!F$2:F$500,MATCH(208,样本到样信息汇总统计!$AA$2:$AA$500,0)),"")</f>
        <v/>
      </c>
      <c r="G209" s="8" t="str">
        <f>IFERROR(INDEX(样本到样信息汇总统计!G$2:G$500,MATCH(208,样本到样信息汇总统计!$AA$2:$AA$500,0)),"")</f>
        <v/>
      </c>
      <c r="H209" s="8" t="str">
        <f>IFERROR(INDEX(样本到样信息汇总统计!H$2:H$500,MATCH(208,样本到样信息汇总统计!$AA$2:$AA$500,0)),"")</f>
        <v/>
      </c>
      <c r="I209" s="8" t="str">
        <f>IFERROR(INDEX(样本到样信息汇总统计!I$2:I$500,MATCH(208,样本到样信息汇总统计!$AA$2:$AA$500,0)),"")</f>
        <v/>
      </c>
      <c r="J209" s="8" t="str">
        <f>IFERROR(INDEX(样本到样信息汇总统计!J$2:J$500,MATCH(208,样本到样信息汇总统计!$AA$2:$AA$500,0)),"")</f>
        <v/>
      </c>
      <c r="K209" s="8" t="str">
        <f>IFERROR(INDEX(样本到样信息汇总统计!K$2:K$500,MATCH(208,样本到样信息汇总统计!$AA$2:$AA$500,0)),"")</f>
        <v/>
      </c>
      <c r="L209" s="8" t="str">
        <f>IFERROR(INDEX(样本到样信息汇总统计!L$2:L$500,MATCH(208,样本到样信息汇总统计!$AA$2:$AA$500,0)),"")</f>
        <v/>
      </c>
      <c r="M209" s="8" t="str">
        <f>IFERROR(INDEX(样本到样信息汇总统计!M$2:M$500,MATCH(208,样本到样信息汇总统计!$AA$2:$AA$500,0)),"")</f>
        <v/>
      </c>
      <c r="N209" s="8" t="str">
        <f>IFERROR(INDEX(样本到样信息汇总统计!N$2:N$500,MATCH(208,样本到样信息汇总统计!$AA$2:$AA$500,0)),"")</f>
        <v/>
      </c>
      <c r="O209" s="8" t="str">
        <f>IFERROR(INDEX(样本到样信息汇总统计!O$2:O$500,MATCH(208,样本到样信息汇总统计!$AA$2:$AA$500,0)),"")</f>
        <v/>
      </c>
      <c r="P209" s="8" t="str">
        <f>IFERROR(INDEX(样本到样信息汇总统计!P$2:P$500,MATCH(208,样本到样信息汇总统计!$AA$2:$AA$500,0)),"")</f>
        <v/>
      </c>
      <c r="Q209" s="8" t="str">
        <f>IFERROR(INDEX(样本到样信息汇总统计!Q$2:Q$500,MATCH(208,样本到样信息汇总统计!$AA$2:$AA$500,0)),"")</f>
        <v/>
      </c>
      <c r="R209" s="8" t="str">
        <f>IFERROR(INDEX(样本到样信息汇总统计!R$2:R$500,MATCH(208,样本到样信息汇总统计!$AA$2:$AA$500,0)),"")</f>
        <v/>
      </c>
      <c r="S209" s="8" t="str">
        <f>IFERROR(INDEX(样本到样信息汇总统计!S$2:S$500,MATCH(208,样本到样信息汇总统计!$AA$2:$AA$500,0)),"")</f>
        <v/>
      </c>
      <c r="T209" s="8" t="str">
        <f>IFERROR(INDEX(样本到样信息汇总统计!T$2:T$500,MATCH(208,样本到样信息汇总统计!$AA$2:$AA$500,0)),"")</f>
        <v/>
      </c>
      <c r="U209" s="8" t="str">
        <f>IFERROR(INDEX(样本到样信息汇总统计!U$2:U$500,MATCH(208,样本到样信息汇总统计!$AA$2:$AA$500,0)),"")</f>
        <v/>
      </c>
      <c r="V209" s="8" t="str">
        <f>IFERROR(INDEX(样本到样信息汇总统计!V$2:V$500,MATCH(208,样本到样信息汇总统计!$AA$2:$AA$500,0)),"")</f>
        <v/>
      </c>
      <c r="W209" s="8" t="str">
        <f>IFERROR(INDEX(样本到样信息汇总统计!W$2:W$500,MATCH(208,样本到样信息汇总统计!$AA$2:$AA$500,0)),"")</f>
        <v/>
      </c>
    </row>
    <row r="210" ht="14.5" spans="1:23">
      <c r="A210" s="4" t="str">
        <f>IFERROR(INDEX(样本到样信息汇总统计!A$2:A$500,MATCH(209,样本到样信息汇总统计!$AA$2:$AA$500,0)),"")</f>
        <v/>
      </c>
      <c r="B210" s="4" t="str">
        <f>IFERROR(INDEX(样本到样信息汇总统计!B$2:B$500,MATCH(209,样本到样信息汇总统计!$AA$2:$AA$500,0)),"")</f>
        <v/>
      </c>
      <c r="C210" s="4" t="str">
        <f>IFERROR(INDEX(样本到样信息汇总统计!C$2:C$500,MATCH(209,样本到样信息汇总统计!$AA$2:$AA$500,0)),"")</f>
        <v/>
      </c>
      <c r="D210" s="4" t="str">
        <f>IFERROR(INDEX(样本到样信息汇总统计!D$2:D$500,MATCH(209,样本到样信息汇总统计!$AA$2:$AA$500,0)),"")</f>
        <v/>
      </c>
      <c r="E210" s="4" t="str">
        <f>IFERROR(INDEX(样本到样信息汇总统计!E$2:E$500,MATCH(209,样本到样信息汇总统计!$AA$2:$AA$500,0)),"")</f>
        <v/>
      </c>
      <c r="F210" s="4" t="str">
        <f>IFERROR(INDEX(样本到样信息汇总统计!F$2:F$500,MATCH(209,样本到样信息汇总统计!$AA$2:$AA$500,0)),"")</f>
        <v/>
      </c>
      <c r="G210" s="4" t="str">
        <f>IFERROR(INDEX(样本到样信息汇总统计!G$2:G$500,MATCH(209,样本到样信息汇总统计!$AA$2:$AA$500,0)),"")</f>
        <v/>
      </c>
      <c r="H210" s="4" t="str">
        <f>IFERROR(INDEX(样本到样信息汇总统计!H$2:H$500,MATCH(209,样本到样信息汇总统计!$AA$2:$AA$500,0)),"")</f>
        <v/>
      </c>
      <c r="I210" s="4" t="str">
        <f>IFERROR(INDEX(样本到样信息汇总统计!I$2:I$500,MATCH(209,样本到样信息汇总统计!$AA$2:$AA$500,0)),"")</f>
        <v/>
      </c>
      <c r="J210" s="4" t="str">
        <f>IFERROR(INDEX(样本到样信息汇总统计!J$2:J$500,MATCH(209,样本到样信息汇总统计!$AA$2:$AA$500,0)),"")</f>
        <v/>
      </c>
      <c r="K210" s="4" t="str">
        <f>IFERROR(INDEX(样本到样信息汇总统计!K$2:K$500,MATCH(209,样本到样信息汇总统计!$AA$2:$AA$500,0)),"")</f>
        <v/>
      </c>
      <c r="L210" s="4" t="str">
        <f>IFERROR(INDEX(样本到样信息汇总统计!L$2:L$500,MATCH(209,样本到样信息汇总统计!$AA$2:$AA$500,0)),"")</f>
        <v/>
      </c>
      <c r="M210" s="4" t="str">
        <f>IFERROR(INDEX(样本到样信息汇总统计!M$2:M$500,MATCH(209,样本到样信息汇总统计!$AA$2:$AA$500,0)),"")</f>
        <v/>
      </c>
      <c r="N210" s="4" t="str">
        <f>IFERROR(INDEX(样本到样信息汇总统计!N$2:N$500,MATCH(209,样本到样信息汇总统计!$AA$2:$AA$500,0)),"")</f>
        <v/>
      </c>
      <c r="O210" s="4" t="str">
        <f>IFERROR(INDEX(样本到样信息汇总统计!O$2:O$500,MATCH(209,样本到样信息汇总统计!$AA$2:$AA$500,0)),"")</f>
        <v/>
      </c>
      <c r="P210" s="4" t="str">
        <f>IFERROR(INDEX(样本到样信息汇总统计!P$2:P$500,MATCH(209,样本到样信息汇总统计!$AA$2:$AA$500,0)),"")</f>
        <v/>
      </c>
      <c r="Q210" s="4" t="str">
        <f>IFERROR(INDEX(样本到样信息汇总统计!Q$2:Q$500,MATCH(209,样本到样信息汇总统计!$AA$2:$AA$500,0)),"")</f>
        <v/>
      </c>
      <c r="R210" s="4" t="str">
        <f>IFERROR(INDEX(样本到样信息汇总统计!R$2:R$500,MATCH(209,样本到样信息汇总统计!$AA$2:$AA$500,0)),"")</f>
        <v/>
      </c>
      <c r="S210" s="4" t="str">
        <f>IFERROR(INDEX(样本到样信息汇总统计!S$2:S$500,MATCH(209,样本到样信息汇总统计!$AA$2:$AA$500,0)),"")</f>
        <v/>
      </c>
      <c r="T210" s="4" t="str">
        <f>IFERROR(INDEX(样本到样信息汇总统计!T$2:T$500,MATCH(209,样本到样信息汇总统计!$AA$2:$AA$500,0)),"")</f>
        <v/>
      </c>
      <c r="U210" s="4" t="str">
        <f>IFERROR(INDEX(样本到样信息汇总统计!U$2:U$500,MATCH(209,样本到样信息汇总统计!$AA$2:$AA$500,0)),"")</f>
        <v/>
      </c>
      <c r="V210" s="4" t="str">
        <f>IFERROR(INDEX(样本到样信息汇总统计!V$2:V$500,MATCH(209,样本到样信息汇总统计!$AA$2:$AA$500,0)),"")</f>
        <v/>
      </c>
      <c r="W210" s="4" t="str">
        <f>IFERROR(INDEX(样本到样信息汇总统计!W$2:W$500,MATCH(209,样本到样信息汇总统计!$AA$2:$AA$500,0)),"")</f>
        <v/>
      </c>
    </row>
    <row r="211" ht="14.5" spans="1:23">
      <c r="A211" s="8" t="str">
        <f>IFERROR(INDEX(样本到样信息汇总统计!A$2:A$500,MATCH(210,样本到样信息汇总统计!$AA$2:$AA$500,0)),"")</f>
        <v/>
      </c>
      <c r="B211" s="8" t="str">
        <f>IFERROR(INDEX(样本到样信息汇总统计!B$2:B$500,MATCH(210,样本到样信息汇总统计!$AA$2:$AA$500,0)),"")</f>
        <v/>
      </c>
      <c r="C211" s="8" t="str">
        <f>IFERROR(INDEX(样本到样信息汇总统计!C$2:C$500,MATCH(210,样本到样信息汇总统计!$AA$2:$AA$500,0)),"")</f>
        <v/>
      </c>
      <c r="D211" s="8" t="str">
        <f>IFERROR(INDEX(样本到样信息汇总统计!D$2:D$500,MATCH(210,样本到样信息汇总统计!$AA$2:$AA$500,0)),"")</f>
        <v/>
      </c>
      <c r="E211" s="8" t="str">
        <f>IFERROR(INDEX(样本到样信息汇总统计!E$2:E$500,MATCH(210,样本到样信息汇总统计!$AA$2:$AA$500,0)),"")</f>
        <v/>
      </c>
      <c r="F211" s="8" t="str">
        <f>IFERROR(INDEX(样本到样信息汇总统计!F$2:F$500,MATCH(210,样本到样信息汇总统计!$AA$2:$AA$500,0)),"")</f>
        <v/>
      </c>
      <c r="G211" s="8" t="str">
        <f>IFERROR(INDEX(样本到样信息汇总统计!G$2:G$500,MATCH(210,样本到样信息汇总统计!$AA$2:$AA$500,0)),"")</f>
        <v/>
      </c>
      <c r="H211" s="8" t="str">
        <f>IFERROR(INDEX(样本到样信息汇总统计!H$2:H$500,MATCH(210,样本到样信息汇总统计!$AA$2:$AA$500,0)),"")</f>
        <v/>
      </c>
      <c r="I211" s="8" t="str">
        <f>IFERROR(INDEX(样本到样信息汇总统计!I$2:I$500,MATCH(210,样本到样信息汇总统计!$AA$2:$AA$500,0)),"")</f>
        <v/>
      </c>
      <c r="J211" s="8" t="str">
        <f>IFERROR(INDEX(样本到样信息汇总统计!J$2:J$500,MATCH(210,样本到样信息汇总统计!$AA$2:$AA$500,0)),"")</f>
        <v/>
      </c>
      <c r="K211" s="8" t="str">
        <f>IFERROR(INDEX(样本到样信息汇总统计!K$2:K$500,MATCH(210,样本到样信息汇总统计!$AA$2:$AA$500,0)),"")</f>
        <v/>
      </c>
      <c r="L211" s="8" t="str">
        <f>IFERROR(INDEX(样本到样信息汇总统计!L$2:L$500,MATCH(210,样本到样信息汇总统计!$AA$2:$AA$500,0)),"")</f>
        <v/>
      </c>
      <c r="M211" s="8" t="str">
        <f>IFERROR(INDEX(样本到样信息汇总统计!M$2:M$500,MATCH(210,样本到样信息汇总统计!$AA$2:$AA$500,0)),"")</f>
        <v/>
      </c>
      <c r="N211" s="8" t="str">
        <f>IFERROR(INDEX(样本到样信息汇总统计!N$2:N$500,MATCH(210,样本到样信息汇总统计!$AA$2:$AA$500,0)),"")</f>
        <v/>
      </c>
      <c r="O211" s="8" t="str">
        <f>IFERROR(INDEX(样本到样信息汇总统计!O$2:O$500,MATCH(210,样本到样信息汇总统计!$AA$2:$AA$500,0)),"")</f>
        <v/>
      </c>
      <c r="P211" s="8" t="str">
        <f>IFERROR(INDEX(样本到样信息汇总统计!P$2:P$500,MATCH(210,样本到样信息汇总统计!$AA$2:$AA$500,0)),"")</f>
        <v/>
      </c>
      <c r="Q211" s="8" t="str">
        <f>IFERROR(INDEX(样本到样信息汇总统计!Q$2:Q$500,MATCH(210,样本到样信息汇总统计!$AA$2:$AA$500,0)),"")</f>
        <v/>
      </c>
      <c r="R211" s="8" t="str">
        <f>IFERROR(INDEX(样本到样信息汇总统计!R$2:R$500,MATCH(210,样本到样信息汇总统计!$AA$2:$AA$500,0)),"")</f>
        <v/>
      </c>
      <c r="S211" s="8" t="str">
        <f>IFERROR(INDEX(样本到样信息汇总统计!S$2:S$500,MATCH(210,样本到样信息汇总统计!$AA$2:$AA$500,0)),"")</f>
        <v/>
      </c>
      <c r="T211" s="8" t="str">
        <f>IFERROR(INDEX(样本到样信息汇总统计!T$2:T$500,MATCH(210,样本到样信息汇总统计!$AA$2:$AA$500,0)),"")</f>
        <v/>
      </c>
      <c r="U211" s="8" t="str">
        <f>IFERROR(INDEX(样本到样信息汇总统计!U$2:U$500,MATCH(210,样本到样信息汇总统计!$AA$2:$AA$500,0)),"")</f>
        <v/>
      </c>
      <c r="V211" s="8" t="str">
        <f>IFERROR(INDEX(样本到样信息汇总统计!V$2:V$500,MATCH(210,样本到样信息汇总统计!$AA$2:$AA$500,0)),"")</f>
        <v/>
      </c>
      <c r="W211" s="8" t="str">
        <f>IFERROR(INDEX(样本到样信息汇总统计!W$2:W$500,MATCH(210,样本到样信息汇总统计!$AA$2:$AA$500,0)),"")</f>
        <v/>
      </c>
    </row>
    <row r="212" ht="14.5" spans="1:23">
      <c r="A212" s="4" t="str">
        <f>IFERROR(INDEX(样本到样信息汇总统计!A$2:A$500,MATCH(211,样本到样信息汇总统计!$AA$2:$AA$500,0)),"")</f>
        <v/>
      </c>
      <c r="B212" s="4" t="str">
        <f>IFERROR(INDEX(样本到样信息汇总统计!B$2:B$500,MATCH(211,样本到样信息汇总统计!$AA$2:$AA$500,0)),"")</f>
        <v/>
      </c>
      <c r="C212" s="4" t="str">
        <f>IFERROR(INDEX(样本到样信息汇总统计!C$2:C$500,MATCH(211,样本到样信息汇总统计!$AA$2:$AA$500,0)),"")</f>
        <v/>
      </c>
      <c r="D212" s="4" t="str">
        <f>IFERROR(INDEX(样本到样信息汇总统计!D$2:D$500,MATCH(211,样本到样信息汇总统计!$AA$2:$AA$500,0)),"")</f>
        <v/>
      </c>
      <c r="E212" s="4" t="str">
        <f>IFERROR(INDEX(样本到样信息汇总统计!E$2:E$500,MATCH(211,样本到样信息汇总统计!$AA$2:$AA$500,0)),"")</f>
        <v/>
      </c>
      <c r="F212" s="4" t="str">
        <f>IFERROR(INDEX(样本到样信息汇总统计!F$2:F$500,MATCH(211,样本到样信息汇总统计!$AA$2:$AA$500,0)),"")</f>
        <v/>
      </c>
      <c r="G212" s="4" t="str">
        <f>IFERROR(INDEX(样本到样信息汇总统计!G$2:G$500,MATCH(211,样本到样信息汇总统计!$AA$2:$AA$500,0)),"")</f>
        <v/>
      </c>
      <c r="H212" s="4" t="str">
        <f>IFERROR(INDEX(样本到样信息汇总统计!H$2:H$500,MATCH(211,样本到样信息汇总统计!$AA$2:$AA$500,0)),"")</f>
        <v/>
      </c>
      <c r="I212" s="4" t="str">
        <f>IFERROR(INDEX(样本到样信息汇总统计!I$2:I$500,MATCH(211,样本到样信息汇总统计!$AA$2:$AA$500,0)),"")</f>
        <v/>
      </c>
      <c r="J212" s="4" t="str">
        <f>IFERROR(INDEX(样本到样信息汇总统计!J$2:J$500,MATCH(211,样本到样信息汇总统计!$AA$2:$AA$500,0)),"")</f>
        <v/>
      </c>
      <c r="K212" s="4" t="str">
        <f>IFERROR(INDEX(样本到样信息汇总统计!K$2:K$500,MATCH(211,样本到样信息汇总统计!$AA$2:$AA$500,0)),"")</f>
        <v/>
      </c>
      <c r="L212" s="4" t="str">
        <f>IFERROR(INDEX(样本到样信息汇总统计!L$2:L$500,MATCH(211,样本到样信息汇总统计!$AA$2:$AA$500,0)),"")</f>
        <v/>
      </c>
      <c r="M212" s="4" t="str">
        <f>IFERROR(INDEX(样本到样信息汇总统计!M$2:M$500,MATCH(211,样本到样信息汇总统计!$AA$2:$AA$500,0)),"")</f>
        <v/>
      </c>
      <c r="N212" s="4" t="str">
        <f>IFERROR(INDEX(样本到样信息汇总统计!N$2:N$500,MATCH(211,样本到样信息汇总统计!$AA$2:$AA$500,0)),"")</f>
        <v/>
      </c>
      <c r="O212" s="4" t="str">
        <f>IFERROR(INDEX(样本到样信息汇总统计!O$2:O$500,MATCH(211,样本到样信息汇总统计!$AA$2:$AA$500,0)),"")</f>
        <v/>
      </c>
      <c r="P212" s="4" t="str">
        <f>IFERROR(INDEX(样本到样信息汇总统计!P$2:P$500,MATCH(211,样本到样信息汇总统计!$AA$2:$AA$500,0)),"")</f>
        <v/>
      </c>
      <c r="Q212" s="4" t="str">
        <f>IFERROR(INDEX(样本到样信息汇总统计!Q$2:Q$500,MATCH(211,样本到样信息汇总统计!$AA$2:$AA$500,0)),"")</f>
        <v/>
      </c>
      <c r="R212" s="4" t="str">
        <f>IFERROR(INDEX(样本到样信息汇总统计!R$2:R$500,MATCH(211,样本到样信息汇总统计!$AA$2:$AA$500,0)),"")</f>
        <v/>
      </c>
      <c r="S212" s="4" t="str">
        <f>IFERROR(INDEX(样本到样信息汇总统计!S$2:S$500,MATCH(211,样本到样信息汇总统计!$AA$2:$AA$500,0)),"")</f>
        <v/>
      </c>
      <c r="T212" s="4" t="str">
        <f>IFERROR(INDEX(样本到样信息汇总统计!T$2:T$500,MATCH(211,样本到样信息汇总统计!$AA$2:$AA$500,0)),"")</f>
        <v/>
      </c>
      <c r="U212" s="4" t="str">
        <f>IFERROR(INDEX(样本到样信息汇总统计!U$2:U$500,MATCH(211,样本到样信息汇总统计!$AA$2:$AA$500,0)),"")</f>
        <v/>
      </c>
      <c r="V212" s="4" t="str">
        <f>IFERROR(INDEX(样本到样信息汇总统计!V$2:V$500,MATCH(211,样本到样信息汇总统计!$AA$2:$AA$500,0)),"")</f>
        <v/>
      </c>
      <c r="W212" s="4" t="str">
        <f>IFERROR(INDEX(样本到样信息汇总统计!W$2:W$500,MATCH(211,样本到样信息汇总统计!$AA$2:$AA$500,0)),"")</f>
        <v/>
      </c>
    </row>
    <row r="213" ht="14.5" spans="1:23">
      <c r="A213" s="8" t="str">
        <f>IFERROR(INDEX(样本到样信息汇总统计!A$2:A$500,MATCH(212,样本到样信息汇总统计!$AA$2:$AA$500,0)),"")</f>
        <v/>
      </c>
      <c r="B213" s="8" t="str">
        <f>IFERROR(INDEX(样本到样信息汇总统计!B$2:B$500,MATCH(212,样本到样信息汇总统计!$AA$2:$AA$500,0)),"")</f>
        <v/>
      </c>
      <c r="C213" s="8" t="str">
        <f>IFERROR(INDEX(样本到样信息汇总统计!C$2:C$500,MATCH(212,样本到样信息汇总统计!$AA$2:$AA$500,0)),"")</f>
        <v/>
      </c>
      <c r="D213" s="8" t="str">
        <f>IFERROR(INDEX(样本到样信息汇总统计!D$2:D$500,MATCH(212,样本到样信息汇总统计!$AA$2:$AA$500,0)),"")</f>
        <v/>
      </c>
      <c r="E213" s="8" t="str">
        <f>IFERROR(INDEX(样本到样信息汇总统计!E$2:E$500,MATCH(212,样本到样信息汇总统计!$AA$2:$AA$500,0)),"")</f>
        <v/>
      </c>
      <c r="F213" s="8" t="str">
        <f>IFERROR(INDEX(样本到样信息汇总统计!F$2:F$500,MATCH(212,样本到样信息汇总统计!$AA$2:$AA$500,0)),"")</f>
        <v/>
      </c>
      <c r="G213" s="8" t="str">
        <f>IFERROR(INDEX(样本到样信息汇总统计!G$2:G$500,MATCH(212,样本到样信息汇总统计!$AA$2:$AA$500,0)),"")</f>
        <v/>
      </c>
      <c r="H213" s="8" t="str">
        <f>IFERROR(INDEX(样本到样信息汇总统计!H$2:H$500,MATCH(212,样本到样信息汇总统计!$AA$2:$AA$500,0)),"")</f>
        <v/>
      </c>
      <c r="I213" s="8" t="str">
        <f>IFERROR(INDEX(样本到样信息汇总统计!I$2:I$500,MATCH(212,样本到样信息汇总统计!$AA$2:$AA$500,0)),"")</f>
        <v/>
      </c>
      <c r="J213" s="8" t="str">
        <f>IFERROR(INDEX(样本到样信息汇总统计!J$2:J$500,MATCH(212,样本到样信息汇总统计!$AA$2:$AA$500,0)),"")</f>
        <v/>
      </c>
      <c r="K213" s="8" t="str">
        <f>IFERROR(INDEX(样本到样信息汇总统计!K$2:K$500,MATCH(212,样本到样信息汇总统计!$AA$2:$AA$500,0)),"")</f>
        <v/>
      </c>
      <c r="L213" s="8" t="str">
        <f>IFERROR(INDEX(样本到样信息汇总统计!L$2:L$500,MATCH(212,样本到样信息汇总统计!$AA$2:$AA$500,0)),"")</f>
        <v/>
      </c>
      <c r="M213" s="8" t="str">
        <f>IFERROR(INDEX(样本到样信息汇总统计!M$2:M$500,MATCH(212,样本到样信息汇总统计!$AA$2:$AA$500,0)),"")</f>
        <v/>
      </c>
      <c r="N213" s="8" t="str">
        <f>IFERROR(INDEX(样本到样信息汇总统计!N$2:N$500,MATCH(212,样本到样信息汇总统计!$AA$2:$AA$500,0)),"")</f>
        <v/>
      </c>
      <c r="O213" s="8" t="str">
        <f>IFERROR(INDEX(样本到样信息汇总统计!O$2:O$500,MATCH(212,样本到样信息汇总统计!$AA$2:$AA$500,0)),"")</f>
        <v/>
      </c>
      <c r="P213" s="8" t="str">
        <f>IFERROR(INDEX(样本到样信息汇总统计!P$2:P$500,MATCH(212,样本到样信息汇总统计!$AA$2:$AA$500,0)),"")</f>
        <v/>
      </c>
      <c r="Q213" s="8" t="str">
        <f>IFERROR(INDEX(样本到样信息汇总统计!Q$2:Q$500,MATCH(212,样本到样信息汇总统计!$AA$2:$AA$500,0)),"")</f>
        <v/>
      </c>
      <c r="R213" s="8" t="str">
        <f>IFERROR(INDEX(样本到样信息汇总统计!R$2:R$500,MATCH(212,样本到样信息汇总统计!$AA$2:$AA$500,0)),"")</f>
        <v/>
      </c>
      <c r="S213" s="8" t="str">
        <f>IFERROR(INDEX(样本到样信息汇总统计!S$2:S$500,MATCH(212,样本到样信息汇总统计!$AA$2:$AA$500,0)),"")</f>
        <v/>
      </c>
      <c r="T213" s="8" t="str">
        <f>IFERROR(INDEX(样本到样信息汇总统计!T$2:T$500,MATCH(212,样本到样信息汇总统计!$AA$2:$AA$500,0)),"")</f>
        <v/>
      </c>
      <c r="U213" s="8" t="str">
        <f>IFERROR(INDEX(样本到样信息汇总统计!U$2:U$500,MATCH(212,样本到样信息汇总统计!$AA$2:$AA$500,0)),"")</f>
        <v/>
      </c>
      <c r="V213" s="8" t="str">
        <f>IFERROR(INDEX(样本到样信息汇总统计!V$2:V$500,MATCH(212,样本到样信息汇总统计!$AA$2:$AA$500,0)),"")</f>
        <v/>
      </c>
      <c r="W213" s="8" t="str">
        <f>IFERROR(INDEX(样本到样信息汇总统计!W$2:W$500,MATCH(212,样本到样信息汇总统计!$AA$2:$AA$500,0)),"")</f>
        <v/>
      </c>
    </row>
    <row r="214" ht="14.5" spans="1:23">
      <c r="A214" s="4" t="str">
        <f>IFERROR(INDEX(样本到样信息汇总统计!A$2:A$500,MATCH(213,样本到样信息汇总统计!$AA$2:$AA$500,0)),"")</f>
        <v/>
      </c>
      <c r="B214" s="4" t="str">
        <f>IFERROR(INDEX(样本到样信息汇总统计!B$2:B$500,MATCH(213,样本到样信息汇总统计!$AA$2:$AA$500,0)),"")</f>
        <v/>
      </c>
      <c r="C214" s="4" t="str">
        <f>IFERROR(INDEX(样本到样信息汇总统计!C$2:C$500,MATCH(213,样本到样信息汇总统计!$AA$2:$AA$500,0)),"")</f>
        <v/>
      </c>
      <c r="D214" s="4" t="str">
        <f>IFERROR(INDEX(样本到样信息汇总统计!D$2:D$500,MATCH(213,样本到样信息汇总统计!$AA$2:$AA$500,0)),"")</f>
        <v/>
      </c>
      <c r="E214" s="4" t="str">
        <f>IFERROR(INDEX(样本到样信息汇总统计!E$2:E$500,MATCH(213,样本到样信息汇总统计!$AA$2:$AA$500,0)),"")</f>
        <v/>
      </c>
      <c r="F214" s="4" t="str">
        <f>IFERROR(INDEX(样本到样信息汇总统计!F$2:F$500,MATCH(213,样本到样信息汇总统计!$AA$2:$AA$500,0)),"")</f>
        <v/>
      </c>
      <c r="G214" s="4" t="str">
        <f>IFERROR(INDEX(样本到样信息汇总统计!G$2:G$500,MATCH(213,样本到样信息汇总统计!$AA$2:$AA$500,0)),"")</f>
        <v/>
      </c>
      <c r="H214" s="4" t="str">
        <f>IFERROR(INDEX(样本到样信息汇总统计!H$2:H$500,MATCH(213,样本到样信息汇总统计!$AA$2:$AA$500,0)),"")</f>
        <v/>
      </c>
      <c r="I214" s="4" t="str">
        <f>IFERROR(INDEX(样本到样信息汇总统计!I$2:I$500,MATCH(213,样本到样信息汇总统计!$AA$2:$AA$500,0)),"")</f>
        <v/>
      </c>
      <c r="J214" s="4" t="str">
        <f>IFERROR(INDEX(样本到样信息汇总统计!J$2:J$500,MATCH(213,样本到样信息汇总统计!$AA$2:$AA$500,0)),"")</f>
        <v/>
      </c>
      <c r="K214" s="4" t="str">
        <f>IFERROR(INDEX(样本到样信息汇总统计!K$2:K$500,MATCH(213,样本到样信息汇总统计!$AA$2:$AA$500,0)),"")</f>
        <v/>
      </c>
      <c r="L214" s="4" t="str">
        <f>IFERROR(INDEX(样本到样信息汇总统计!L$2:L$500,MATCH(213,样本到样信息汇总统计!$AA$2:$AA$500,0)),"")</f>
        <v/>
      </c>
      <c r="M214" s="4" t="str">
        <f>IFERROR(INDEX(样本到样信息汇总统计!M$2:M$500,MATCH(213,样本到样信息汇总统计!$AA$2:$AA$500,0)),"")</f>
        <v/>
      </c>
      <c r="N214" s="4" t="str">
        <f>IFERROR(INDEX(样本到样信息汇总统计!N$2:N$500,MATCH(213,样本到样信息汇总统计!$AA$2:$AA$500,0)),"")</f>
        <v/>
      </c>
      <c r="O214" s="4" t="str">
        <f>IFERROR(INDEX(样本到样信息汇总统计!O$2:O$500,MATCH(213,样本到样信息汇总统计!$AA$2:$AA$500,0)),"")</f>
        <v/>
      </c>
      <c r="P214" s="4" t="str">
        <f>IFERROR(INDEX(样本到样信息汇总统计!P$2:P$500,MATCH(213,样本到样信息汇总统计!$AA$2:$AA$500,0)),"")</f>
        <v/>
      </c>
      <c r="Q214" s="4" t="str">
        <f>IFERROR(INDEX(样本到样信息汇总统计!Q$2:Q$500,MATCH(213,样本到样信息汇总统计!$AA$2:$AA$500,0)),"")</f>
        <v/>
      </c>
      <c r="R214" s="4" t="str">
        <f>IFERROR(INDEX(样本到样信息汇总统计!R$2:R$500,MATCH(213,样本到样信息汇总统计!$AA$2:$AA$500,0)),"")</f>
        <v/>
      </c>
      <c r="S214" s="4" t="str">
        <f>IFERROR(INDEX(样本到样信息汇总统计!S$2:S$500,MATCH(213,样本到样信息汇总统计!$AA$2:$AA$500,0)),"")</f>
        <v/>
      </c>
      <c r="T214" s="4" t="str">
        <f>IFERROR(INDEX(样本到样信息汇总统计!T$2:T$500,MATCH(213,样本到样信息汇总统计!$AA$2:$AA$500,0)),"")</f>
        <v/>
      </c>
      <c r="U214" s="4" t="str">
        <f>IFERROR(INDEX(样本到样信息汇总统计!U$2:U$500,MATCH(213,样本到样信息汇总统计!$AA$2:$AA$500,0)),"")</f>
        <v/>
      </c>
      <c r="V214" s="4" t="str">
        <f>IFERROR(INDEX(样本到样信息汇总统计!V$2:V$500,MATCH(213,样本到样信息汇总统计!$AA$2:$AA$500,0)),"")</f>
        <v/>
      </c>
      <c r="W214" s="4" t="str">
        <f>IFERROR(INDEX(样本到样信息汇总统计!W$2:W$500,MATCH(213,样本到样信息汇总统计!$AA$2:$AA$500,0)),"")</f>
        <v/>
      </c>
    </row>
    <row r="215" ht="14.5" spans="1:23">
      <c r="A215" s="8" t="str">
        <f>IFERROR(INDEX(样本到样信息汇总统计!A$2:A$500,MATCH(214,样本到样信息汇总统计!$AA$2:$AA$500,0)),"")</f>
        <v/>
      </c>
      <c r="B215" s="8" t="str">
        <f>IFERROR(INDEX(样本到样信息汇总统计!B$2:B$500,MATCH(214,样本到样信息汇总统计!$AA$2:$AA$500,0)),"")</f>
        <v/>
      </c>
      <c r="C215" s="8" t="str">
        <f>IFERROR(INDEX(样本到样信息汇总统计!C$2:C$500,MATCH(214,样本到样信息汇总统计!$AA$2:$AA$500,0)),"")</f>
        <v/>
      </c>
      <c r="D215" s="8" t="str">
        <f>IFERROR(INDEX(样本到样信息汇总统计!D$2:D$500,MATCH(214,样本到样信息汇总统计!$AA$2:$AA$500,0)),"")</f>
        <v/>
      </c>
      <c r="E215" s="8" t="str">
        <f>IFERROR(INDEX(样本到样信息汇总统计!E$2:E$500,MATCH(214,样本到样信息汇总统计!$AA$2:$AA$500,0)),"")</f>
        <v/>
      </c>
      <c r="F215" s="8" t="str">
        <f>IFERROR(INDEX(样本到样信息汇总统计!F$2:F$500,MATCH(214,样本到样信息汇总统计!$AA$2:$AA$500,0)),"")</f>
        <v/>
      </c>
      <c r="G215" s="8" t="str">
        <f>IFERROR(INDEX(样本到样信息汇总统计!G$2:G$500,MATCH(214,样本到样信息汇总统计!$AA$2:$AA$500,0)),"")</f>
        <v/>
      </c>
      <c r="H215" s="8" t="str">
        <f>IFERROR(INDEX(样本到样信息汇总统计!H$2:H$500,MATCH(214,样本到样信息汇总统计!$AA$2:$AA$500,0)),"")</f>
        <v/>
      </c>
      <c r="I215" s="8" t="str">
        <f>IFERROR(INDEX(样本到样信息汇总统计!I$2:I$500,MATCH(214,样本到样信息汇总统计!$AA$2:$AA$500,0)),"")</f>
        <v/>
      </c>
      <c r="J215" s="8" t="str">
        <f>IFERROR(INDEX(样本到样信息汇总统计!J$2:J$500,MATCH(214,样本到样信息汇总统计!$AA$2:$AA$500,0)),"")</f>
        <v/>
      </c>
      <c r="K215" s="8" t="str">
        <f>IFERROR(INDEX(样本到样信息汇总统计!K$2:K$500,MATCH(214,样本到样信息汇总统计!$AA$2:$AA$500,0)),"")</f>
        <v/>
      </c>
      <c r="L215" s="8" t="str">
        <f>IFERROR(INDEX(样本到样信息汇总统计!L$2:L$500,MATCH(214,样本到样信息汇总统计!$AA$2:$AA$500,0)),"")</f>
        <v/>
      </c>
      <c r="M215" s="8" t="str">
        <f>IFERROR(INDEX(样本到样信息汇总统计!M$2:M$500,MATCH(214,样本到样信息汇总统计!$AA$2:$AA$500,0)),"")</f>
        <v/>
      </c>
      <c r="N215" s="8" t="str">
        <f>IFERROR(INDEX(样本到样信息汇总统计!N$2:N$500,MATCH(214,样本到样信息汇总统计!$AA$2:$AA$500,0)),"")</f>
        <v/>
      </c>
      <c r="O215" s="8" t="str">
        <f>IFERROR(INDEX(样本到样信息汇总统计!O$2:O$500,MATCH(214,样本到样信息汇总统计!$AA$2:$AA$500,0)),"")</f>
        <v/>
      </c>
      <c r="P215" s="8" t="str">
        <f>IFERROR(INDEX(样本到样信息汇总统计!P$2:P$500,MATCH(214,样本到样信息汇总统计!$AA$2:$AA$500,0)),"")</f>
        <v/>
      </c>
      <c r="Q215" s="8" t="str">
        <f>IFERROR(INDEX(样本到样信息汇总统计!Q$2:Q$500,MATCH(214,样本到样信息汇总统计!$AA$2:$AA$500,0)),"")</f>
        <v/>
      </c>
      <c r="R215" s="8" t="str">
        <f>IFERROR(INDEX(样本到样信息汇总统计!R$2:R$500,MATCH(214,样本到样信息汇总统计!$AA$2:$AA$500,0)),"")</f>
        <v/>
      </c>
      <c r="S215" s="8" t="str">
        <f>IFERROR(INDEX(样本到样信息汇总统计!S$2:S$500,MATCH(214,样本到样信息汇总统计!$AA$2:$AA$500,0)),"")</f>
        <v/>
      </c>
      <c r="T215" s="8" t="str">
        <f>IFERROR(INDEX(样本到样信息汇总统计!T$2:T$500,MATCH(214,样本到样信息汇总统计!$AA$2:$AA$500,0)),"")</f>
        <v/>
      </c>
      <c r="U215" s="8" t="str">
        <f>IFERROR(INDEX(样本到样信息汇总统计!U$2:U$500,MATCH(214,样本到样信息汇总统计!$AA$2:$AA$500,0)),"")</f>
        <v/>
      </c>
      <c r="V215" s="8" t="str">
        <f>IFERROR(INDEX(样本到样信息汇总统计!V$2:V$500,MATCH(214,样本到样信息汇总统计!$AA$2:$AA$500,0)),"")</f>
        <v/>
      </c>
      <c r="W215" s="8" t="str">
        <f>IFERROR(INDEX(样本到样信息汇总统计!W$2:W$500,MATCH(214,样本到样信息汇总统计!$AA$2:$AA$500,0)),"")</f>
        <v/>
      </c>
    </row>
    <row r="216" ht="14.5" spans="1:23">
      <c r="A216" s="4" t="str">
        <f>IFERROR(INDEX(样本到样信息汇总统计!A$2:A$500,MATCH(215,样本到样信息汇总统计!$AA$2:$AA$500,0)),"")</f>
        <v/>
      </c>
      <c r="B216" s="4" t="str">
        <f>IFERROR(INDEX(样本到样信息汇总统计!B$2:B$500,MATCH(215,样本到样信息汇总统计!$AA$2:$AA$500,0)),"")</f>
        <v/>
      </c>
      <c r="C216" s="4" t="str">
        <f>IFERROR(INDEX(样本到样信息汇总统计!C$2:C$500,MATCH(215,样本到样信息汇总统计!$AA$2:$AA$500,0)),"")</f>
        <v/>
      </c>
      <c r="D216" s="4" t="str">
        <f>IFERROR(INDEX(样本到样信息汇总统计!D$2:D$500,MATCH(215,样本到样信息汇总统计!$AA$2:$AA$500,0)),"")</f>
        <v/>
      </c>
      <c r="E216" s="4" t="str">
        <f>IFERROR(INDEX(样本到样信息汇总统计!E$2:E$500,MATCH(215,样本到样信息汇总统计!$AA$2:$AA$500,0)),"")</f>
        <v/>
      </c>
      <c r="F216" s="4" t="str">
        <f>IFERROR(INDEX(样本到样信息汇总统计!F$2:F$500,MATCH(215,样本到样信息汇总统计!$AA$2:$AA$500,0)),"")</f>
        <v/>
      </c>
      <c r="G216" s="4" t="str">
        <f>IFERROR(INDEX(样本到样信息汇总统计!G$2:G$500,MATCH(215,样本到样信息汇总统计!$AA$2:$AA$500,0)),"")</f>
        <v/>
      </c>
      <c r="H216" s="4" t="str">
        <f>IFERROR(INDEX(样本到样信息汇总统计!H$2:H$500,MATCH(215,样本到样信息汇总统计!$AA$2:$AA$500,0)),"")</f>
        <v/>
      </c>
      <c r="I216" s="4" t="str">
        <f>IFERROR(INDEX(样本到样信息汇总统计!I$2:I$500,MATCH(215,样本到样信息汇总统计!$AA$2:$AA$500,0)),"")</f>
        <v/>
      </c>
      <c r="J216" s="4" t="str">
        <f>IFERROR(INDEX(样本到样信息汇总统计!J$2:J$500,MATCH(215,样本到样信息汇总统计!$AA$2:$AA$500,0)),"")</f>
        <v/>
      </c>
      <c r="K216" s="4" t="str">
        <f>IFERROR(INDEX(样本到样信息汇总统计!K$2:K$500,MATCH(215,样本到样信息汇总统计!$AA$2:$AA$500,0)),"")</f>
        <v/>
      </c>
      <c r="L216" s="4" t="str">
        <f>IFERROR(INDEX(样本到样信息汇总统计!L$2:L$500,MATCH(215,样本到样信息汇总统计!$AA$2:$AA$500,0)),"")</f>
        <v/>
      </c>
      <c r="M216" s="4" t="str">
        <f>IFERROR(INDEX(样本到样信息汇总统计!M$2:M$500,MATCH(215,样本到样信息汇总统计!$AA$2:$AA$500,0)),"")</f>
        <v/>
      </c>
      <c r="N216" s="4" t="str">
        <f>IFERROR(INDEX(样本到样信息汇总统计!N$2:N$500,MATCH(215,样本到样信息汇总统计!$AA$2:$AA$500,0)),"")</f>
        <v/>
      </c>
      <c r="O216" s="4" t="str">
        <f>IFERROR(INDEX(样本到样信息汇总统计!O$2:O$500,MATCH(215,样本到样信息汇总统计!$AA$2:$AA$500,0)),"")</f>
        <v/>
      </c>
      <c r="P216" s="4" t="str">
        <f>IFERROR(INDEX(样本到样信息汇总统计!P$2:P$500,MATCH(215,样本到样信息汇总统计!$AA$2:$AA$500,0)),"")</f>
        <v/>
      </c>
      <c r="Q216" s="4" t="str">
        <f>IFERROR(INDEX(样本到样信息汇总统计!Q$2:Q$500,MATCH(215,样本到样信息汇总统计!$AA$2:$AA$500,0)),"")</f>
        <v/>
      </c>
      <c r="R216" s="4" t="str">
        <f>IFERROR(INDEX(样本到样信息汇总统计!R$2:R$500,MATCH(215,样本到样信息汇总统计!$AA$2:$AA$500,0)),"")</f>
        <v/>
      </c>
      <c r="S216" s="4" t="str">
        <f>IFERROR(INDEX(样本到样信息汇总统计!S$2:S$500,MATCH(215,样本到样信息汇总统计!$AA$2:$AA$500,0)),"")</f>
        <v/>
      </c>
      <c r="T216" s="4" t="str">
        <f>IFERROR(INDEX(样本到样信息汇总统计!T$2:T$500,MATCH(215,样本到样信息汇总统计!$AA$2:$AA$500,0)),"")</f>
        <v/>
      </c>
      <c r="U216" s="4" t="str">
        <f>IFERROR(INDEX(样本到样信息汇总统计!U$2:U$500,MATCH(215,样本到样信息汇总统计!$AA$2:$AA$500,0)),"")</f>
        <v/>
      </c>
      <c r="V216" s="4" t="str">
        <f>IFERROR(INDEX(样本到样信息汇总统计!V$2:V$500,MATCH(215,样本到样信息汇总统计!$AA$2:$AA$500,0)),"")</f>
        <v/>
      </c>
      <c r="W216" s="4" t="str">
        <f>IFERROR(INDEX(样本到样信息汇总统计!W$2:W$500,MATCH(215,样本到样信息汇总统计!$AA$2:$AA$500,0)),"")</f>
        <v/>
      </c>
    </row>
    <row r="217" ht="14.5" spans="1:23">
      <c r="A217" s="8" t="str">
        <f>IFERROR(INDEX(样本到样信息汇总统计!A$2:A$500,MATCH(216,样本到样信息汇总统计!$AA$2:$AA$500,0)),"")</f>
        <v/>
      </c>
      <c r="B217" s="8" t="str">
        <f>IFERROR(INDEX(样本到样信息汇总统计!B$2:B$500,MATCH(216,样本到样信息汇总统计!$AA$2:$AA$500,0)),"")</f>
        <v/>
      </c>
      <c r="C217" s="8" t="str">
        <f>IFERROR(INDEX(样本到样信息汇总统计!C$2:C$500,MATCH(216,样本到样信息汇总统计!$AA$2:$AA$500,0)),"")</f>
        <v/>
      </c>
      <c r="D217" s="8" t="str">
        <f>IFERROR(INDEX(样本到样信息汇总统计!D$2:D$500,MATCH(216,样本到样信息汇总统计!$AA$2:$AA$500,0)),"")</f>
        <v/>
      </c>
      <c r="E217" s="8" t="str">
        <f>IFERROR(INDEX(样本到样信息汇总统计!E$2:E$500,MATCH(216,样本到样信息汇总统计!$AA$2:$AA$500,0)),"")</f>
        <v/>
      </c>
      <c r="F217" s="8" t="str">
        <f>IFERROR(INDEX(样本到样信息汇总统计!F$2:F$500,MATCH(216,样本到样信息汇总统计!$AA$2:$AA$500,0)),"")</f>
        <v/>
      </c>
      <c r="G217" s="8" t="str">
        <f>IFERROR(INDEX(样本到样信息汇总统计!G$2:G$500,MATCH(216,样本到样信息汇总统计!$AA$2:$AA$500,0)),"")</f>
        <v/>
      </c>
      <c r="H217" s="8" t="str">
        <f>IFERROR(INDEX(样本到样信息汇总统计!H$2:H$500,MATCH(216,样本到样信息汇总统计!$AA$2:$AA$500,0)),"")</f>
        <v/>
      </c>
      <c r="I217" s="8" t="str">
        <f>IFERROR(INDEX(样本到样信息汇总统计!I$2:I$500,MATCH(216,样本到样信息汇总统计!$AA$2:$AA$500,0)),"")</f>
        <v/>
      </c>
      <c r="J217" s="8" t="str">
        <f>IFERROR(INDEX(样本到样信息汇总统计!J$2:J$500,MATCH(216,样本到样信息汇总统计!$AA$2:$AA$500,0)),"")</f>
        <v/>
      </c>
      <c r="K217" s="8" t="str">
        <f>IFERROR(INDEX(样本到样信息汇总统计!K$2:K$500,MATCH(216,样本到样信息汇总统计!$AA$2:$AA$500,0)),"")</f>
        <v/>
      </c>
      <c r="L217" s="8" t="str">
        <f>IFERROR(INDEX(样本到样信息汇总统计!L$2:L$500,MATCH(216,样本到样信息汇总统计!$AA$2:$AA$500,0)),"")</f>
        <v/>
      </c>
      <c r="M217" s="8" t="str">
        <f>IFERROR(INDEX(样本到样信息汇总统计!M$2:M$500,MATCH(216,样本到样信息汇总统计!$AA$2:$AA$500,0)),"")</f>
        <v/>
      </c>
      <c r="N217" s="8" t="str">
        <f>IFERROR(INDEX(样本到样信息汇总统计!N$2:N$500,MATCH(216,样本到样信息汇总统计!$AA$2:$AA$500,0)),"")</f>
        <v/>
      </c>
      <c r="O217" s="8" t="str">
        <f>IFERROR(INDEX(样本到样信息汇总统计!O$2:O$500,MATCH(216,样本到样信息汇总统计!$AA$2:$AA$500,0)),"")</f>
        <v/>
      </c>
      <c r="P217" s="8" t="str">
        <f>IFERROR(INDEX(样本到样信息汇总统计!P$2:P$500,MATCH(216,样本到样信息汇总统计!$AA$2:$AA$500,0)),"")</f>
        <v/>
      </c>
      <c r="Q217" s="8" t="str">
        <f>IFERROR(INDEX(样本到样信息汇总统计!Q$2:Q$500,MATCH(216,样本到样信息汇总统计!$AA$2:$AA$500,0)),"")</f>
        <v/>
      </c>
      <c r="R217" s="8" t="str">
        <f>IFERROR(INDEX(样本到样信息汇总统计!R$2:R$500,MATCH(216,样本到样信息汇总统计!$AA$2:$AA$500,0)),"")</f>
        <v/>
      </c>
      <c r="S217" s="8" t="str">
        <f>IFERROR(INDEX(样本到样信息汇总统计!S$2:S$500,MATCH(216,样本到样信息汇总统计!$AA$2:$AA$500,0)),"")</f>
        <v/>
      </c>
      <c r="T217" s="8" t="str">
        <f>IFERROR(INDEX(样本到样信息汇总统计!T$2:T$500,MATCH(216,样本到样信息汇总统计!$AA$2:$AA$500,0)),"")</f>
        <v/>
      </c>
      <c r="U217" s="8" t="str">
        <f>IFERROR(INDEX(样本到样信息汇总统计!U$2:U$500,MATCH(216,样本到样信息汇总统计!$AA$2:$AA$500,0)),"")</f>
        <v/>
      </c>
      <c r="V217" s="8" t="str">
        <f>IFERROR(INDEX(样本到样信息汇总统计!V$2:V$500,MATCH(216,样本到样信息汇总统计!$AA$2:$AA$500,0)),"")</f>
        <v/>
      </c>
      <c r="W217" s="8" t="str">
        <f>IFERROR(INDEX(样本到样信息汇总统计!W$2:W$500,MATCH(216,样本到样信息汇总统计!$AA$2:$AA$500,0)),"")</f>
        <v/>
      </c>
    </row>
    <row r="218" ht="14.5" spans="1:23">
      <c r="A218" s="4" t="str">
        <f>IFERROR(INDEX(样本到样信息汇总统计!A$2:A$500,MATCH(217,样本到样信息汇总统计!$AA$2:$AA$500,0)),"")</f>
        <v/>
      </c>
      <c r="B218" s="4" t="str">
        <f>IFERROR(INDEX(样本到样信息汇总统计!B$2:B$500,MATCH(217,样本到样信息汇总统计!$AA$2:$AA$500,0)),"")</f>
        <v/>
      </c>
      <c r="C218" s="4" t="str">
        <f>IFERROR(INDEX(样本到样信息汇总统计!C$2:C$500,MATCH(217,样本到样信息汇总统计!$AA$2:$AA$500,0)),"")</f>
        <v/>
      </c>
      <c r="D218" s="4" t="str">
        <f>IFERROR(INDEX(样本到样信息汇总统计!D$2:D$500,MATCH(217,样本到样信息汇总统计!$AA$2:$AA$500,0)),"")</f>
        <v/>
      </c>
      <c r="E218" s="4" t="str">
        <f>IFERROR(INDEX(样本到样信息汇总统计!E$2:E$500,MATCH(217,样本到样信息汇总统计!$AA$2:$AA$500,0)),"")</f>
        <v/>
      </c>
      <c r="F218" s="4" t="str">
        <f>IFERROR(INDEX(样本到样信息汇总统计!F$2:F$500,MATCH(217,样本到样信息汇总统计!$AA$2:$AA$500,0)),"")</f>
        <v/>
      </c>
      <c r="G218" s="4" t="str">
        <f>IFERROR(INDEX(样本到样信息汇总统计!G$2:G$500,MATCH(217,样本到样信息汇总统计!$AA$2:$AA$500,0)),"")</f>
        <v/>
      </c>
      <c r="H218" s="4" t="str">
        <f>IFERROR(INDEX(样本到样信息汇总统计!H$2:H$500,MATCH(217,样本到样信息汇总统计!$AA$2:$AA$500,0)),"")</f>
        <v/>
      </c>
      <c r="I218" s="4" t="str">
        <f>IFERROR(INDEX(样本到样信息汇总统计!I$2:I$500,MATCH(217,样本到样信息汇总统计!$AA$2:$AA$500,0)),"")</f>
        <v/>
      </c>
      <c r="J218" s="4" t="str">
        <f>IFERROR(INDEX(样本到样信息汇总统计!J$2:J$500,MATCH(217,样本到样信息汇总统计!$AA$2:$AA$500,0)),"")</f>
        <v/>
      </c>
      <c r="K218" s="4" t="str">
        <f>IFERROR(INDEX(样本到样信息汇总统计!K$2:K$500,MATCH(217,样本到样信息汇总统计!$AA$2:$AA$500,0)),"")</f>
        <v/>
      </c>
      <c r="L218" s="4" t="str">
        <f>IFERROR(INDEX(样本到样信息汇总统计!L$2:L$500,MATCH(217,样本到样信息汇总统计!$AA$2:$AA$500,0)),"")</f>
        <v/>
      </c>
      <c r="M218" s="4" t="str">
        <f>IFERROR(INDEX(样本到样信息汇总统计!M$2:M$500,MATCH(217,样本到样信息汇总统计!$AA$2:$AA$500,0)),"")</f>
        <v/>
      </c>
      <c r="N218" s="4" t="str">
        <f>IFERROR(INDEX(样本到样信息汇总统计!N$2:N$500,MATCH(217,样本到样信息汇总统计!$AA$2:$AA$500,0)),"")</f>
        <v/>
      </c>
      <c r="O218" s="4" t="str">
        <f>IFERROR(INDEX(样本到样信息汇总统计!O$2:O$500,MATCH(217,样本到样信息汇总统计!$AA$2:$AA$500,0)),"")</f>
        <v/>
      </c>
      <c r="P218" s="4" t="str">
        <f>IFERROR(INDEX(样本到样信息汇总统计!P$2:P$500,MATCH(217,样本到样信息汇总统计!$AA$2:$AA$500,0)),"")</f>
        <v/>
      </c>
      <c r="Q218" s="4" t="str">
        <f>IFERROR(INDEX(样本到样信息汇总统计!Q$2:Q$500,MATCH(217,样本到样信息汇总统计!$AA$2:$AA$500,0)),"")</f>
        <v/>
      </c>
      <c r="R218" s="4" t="str">
        <f>IFERROR(INDEX(样本到样信息汇总统计!R$2:R$500,MATCH(217,样本到样信息汇总统计!$AA$2:$AA$500,0)),"")</f>
        <v/>
      </c>
      <c r="S218" s="4" t="str">
        <f>IFERROR(INDEX(样本到样信息汇总统计!S$2:S$500,MATCH(217,样本到样信息汇总统计!$AA$2:$AA$500,0)),"")</f>
        <v/>
      </c>
      <c r="T218" s="4" t="str">
        <f>IFERROR(INDEX(样本到样信息汇总统计!T$2:T$500,MATCH(217,样本到样信息汇总统计!$AA$2:$AA$500,0)),"")</f>
        <v/>
      </c>
      <c r="U218" s="4" t="str">
        <f>IFERROR(INDEX(样本到样信息汇总统计!U$2:U$500,MATCH(217,样本到样信息汇总统计!$AA$2:$AA$500,0)),"")</f>
        <v/>
      </c>
      <c r="V218" s="4" t="str">
        <f>IFERROR(INDEX(样本到样信息汇总统计!V$2:V$500,MATCH(217,样本到样信息汇总统计!$AA$2:$AA$500,0)),"")</f>
        <v/>
      </c>
      <c r="W218" s="4" t="str">
        <f>IFERROR(INDEX(样本到样信息汇总统计!W$2:W$500,MATCH(217,样本到样信息汇总统计!$AA$2:$AA$500,0)),"")</f>
        <v/>
      </c>
    </row>
    <row r="219" ht="14.5" spans="1:23">
      <c r="A219" s="8" t="str">
        <f>IFERROR(INDEX(样本到样信息汇总统计!A$2:A$500,MATCH(218,样本到样信息汇总统计!$AA$2:$AA$500,0)),"")</f>
        <v/>
      </c>
      <c r="B219" s="8" t="str">
        <f>IFERROR(INDEX(样本到样信息汇总统计!B$2:B$500,MATCH(218,样本到样信息汇总统计!$AA$2:$AA$500,0)),"")</f>
        <v/>
      </c>
      <c r="C219" s="8" t="str">
        <f>IFERROR(INDEX(样本到样信息汇总统计!C$2:C$500,MATCH(218,样本到样信息汇总统计!$AA$2:$AA$500,0)),"")</f>
        <v/>
      </c>
      <c r="D219" s="8" t="str">
        <f>IFERROR(INDEX(样本到样信息汇总统计!D$2:D$500,MATCH(218,样本到样信息汇总统计!$AA$2:$AA$500,0)),"")</f>
        <v/>
      </c>
      <c r="E219" s="8" t="str">
        <f>IFERROR(INDEX(样本到样信息汇总统计!E$2:E$500,MATCH(218,样本到样信息汇总统计!$AA$2:$AA$500,0)),"")</f>
        <v/>
      </c>
      <c r="F219" s="8" t="str">
        <f>IFERROR(INDEX(样本到样信息汇总统计!F$2:F$500,MATCH(218,样本到样信息汇总统计!$AA$2:$AA$500,0)),"")</f>
        <v/>
      </c>
      <c r="G219" s="8" t="str">
        <f>IFERROR(INDEX(样本到样信息汇总统计!G$2:G$500,MATCH(218,样本到样信息汇总统计!$AA$2:$AA$500,0)),"")</f>
        <v/>
      </c>
      <c r="H219" s="8" t="str">
        <f>IFERROR(INDEX(样本到样信息汇总统计!H$2:H$500,MATCH(218,样本到样信息汇总统计!$AA$2:$AA$500,0)),"")</f>
        <v/>
      </c>
      <c r="I219" s="8" t="str">
        <f>IFERROR(INDEX(样本到样信息汇总统计!I$2:I$500,MATCH(218,样本到样信息汇总统计!$AA$2:$AA$500,0)),"")</f>
        <v/>
      </c>
      <c r="J219" s="8" t="str">
        <f>IFERROR(INDEX(样本到样信息汇总统计!J$2:J$500,MATCH(218,样本到样信息汇总统计!$AA$2:$AA$500,0)),"")</f>
        <v/>
      </c>
      <c r="K219" s="8" t="str">
        <f>IFERROR(INDEX(样本到样信息汇总统计!K$2:K$500,MATCH(218,样本到样信息汇总统计!$AA$2:$AA$500,0)),"")</f>
        <v/>
      </c>
      <c r="L219" s="8" t="str">
        <f>IFERROR(INDEX(样本到样信息汇总统计!L$2:L$500,MATCH(218,样本到样信息汇总统计!$AA$2:$AA$500,0)),"")</f>
        <v/>
      </c>
      <c r="M219" s="8" t="str">
        <f>IFERROR(INDEX(样本到样信息汇总统计!M$2:M$500,MATCH(218,样本到样信息汇总统计!$AA$2:$AA$500,0)),"")</f>
        <v/>
      </c>
      <c r="N219" s="8" t="str">
        <f>IFERROR(INDEX(样本到样信息汇总统计!N$2:N$500,MATCH(218,样本到样信息汇总统计!$AA$2:$AA$500,0)),"")</f>
        <v/>
      </c>
      <c r="O219" s="8" t="str">
        <f>IFERROR(INDEX(样本到样信息汇总统计!O$2:O$500,MATCH(218,样本到样信息汇总统计!$AA$2:$AA$500,0)),"")</f>
        <v/>
      </c>
      <c r="P219" s="8" t="str">
        <f>IFERROR(INDEX(样本到样信息汇总统计!P$2:P$500,MATCH(218,样本到样信息汇总统计!$AA$2:$AA$500,0)),"")</f>
        <v/>
      </c>
      <c r="Q219" s="8" t="str">
        <f>IFERROR(INDEX(样本到样信息汇总统计!Q$2:Q$500,MATCH(218,样本到样信息汇总统计!$AA$2:$AA$500,0)),"")</f>
        <v/>
      </c>
      <c r="R219" s="8" t="str">
        <f>IFERROR(INDEX(样本到样信息汇总统计!R$2:R$500,MATCH(218,样本到样信息汇总统计!$AA$2:$AA$500,0)),"")</f>
        <v/>
      </c>
      <c r="S219" s="8" t="str">
        <f>IFERROR(INDEX(样本到样信息汇总统计!S$2:S$500,MATCH(218,样本到样信息汇总统计!$AA$2:$AA$500,0)),"")</f>
        <v/>
      </c>
      <c r="T219" s="8" t="str">
        <f>IFERROR(INDEX(样本到样信息汇总统计!T$2:T$500,MATCH(218,样本到样信息汇总统计!$AA$2:$AA$500,0)),"")</f>
        <v/>
      </c>
      <c r="U219" s="8" t="str">
        <f>IFERROR(INDEX(样本到样信息汇总统计!U$2:U$500,MATCH(218,样本到样信息汇总统计!$AA$2:$AA$500,0)),"")</f>
        <v/>
      </c>
      <c r="V219" s="8" t="str">
        <f>IFERROR(INDEX(样本到样信息汇总统计!V$2:V$500,MATCH(218,样本到样信息汇总统计!$AA$2:$AA$500,0)),"")</f>
        <v/>
      </c>
      <c r="W219" s="8" t="str">
        <f>IFERROR(INDEX(样本到样信息汇总统计!W$2:W$500,MATCH(218,样本到样信息汇总统计!$AA$2:$AA$500,0)),"")</f>
        <v/>
      </c>
    </row>
    <row r="220" ht="14.5" spans="1:23">
      <c r="A220" s="4" t="str">
        <f>IFERROR(INDEX(样本到样信息汇总统计!A$2:A$500,MATCH(219,样本到样信息汇总统计!$AA$2:$AA$500,0)),"")</f>
        <v/>
      </c>
      <c r="B220" s="4" t="str">
        <f>IFERROR(INDEX(样本到样信息汇总统计!B$2:B$500,MATCH(219,样本到样信息汇总统计!$AA$2:$AA$500,0)),"")</f>
        <v/>
      </c>
      <c r="C220" s="4" t="str">
        <f>IFERROR(INDEX(样本到样信息汇总统计!C$2:C$500,MATCH(219,样本到样信息汇总统计!$AA$2:$AA$500,0)),"")</f>
        <v/>
      </c>
      <c r="D220" s="4" t="str">
        <f>IFERROR(INDEX(样本到样信息汇总统计!D$2:D$500,MATCH(219,样本到样信息汇总统计!$AA$2:$AA$500,0)),"")</f>
        <v/>
      </c>
      <c r="E220" s="4" t="str">
        <f>IFERROR(INDEX(样本到样信息汇总统计!E$2:E$500,MATCH(219,样本到样信息汇总统计!$AA$2:$AA$500,0)),"")</f>
        <v/>
      </c>
      <c r="F220" s="4" t="str">
        <f>IFERROR(INDEX(样本到样信息汇总统计!F$2:F$500,MATCH(219,样本到样信息汇总统计!$AA$2:$AA$500,0)),"")</f>
        <v/>
      </c>
      <c r="G220" s="4" t="str">
        <f>IFERROR(INDEX(样本到样信息汇总统计!G$2:G$500,MATCH(219,样本到样信息汇总统计!$AA$2:$AA$500,0)),"")</f>
        <v/>
      </c>
      <c r="H220" s="4" t="str">
        <f>IFERROR(INDEX(样本到样信息汇总统计!H$2:H$500,MATCH(219,样本到样信息汇总统计!$AA$2:$AA$500,0)),"")</f>
        <v/>
      </c>
      <c r="I220" s="4" t="str">
        <f>IFERROR(INDEX(样本到样信息汇总统计!I$2:I$500,MATCH(219,样本到样信息汇总统计!$AA$2:$AA$500,0)),"")</f>
        <v/>
      </c>
      <c r="J220" s="4" t="str">
        <f>IFERROR(INDEX(样本到样信息汇总统计!J$2:J$500,MATCH(219,样本到样信息汇总统计!$AA$2:$AA$500,0)),"")</f>
        <v/>
      </c>
      <c r="K220" s="4" t="str">
        <f>IFERROR(INDEX(样本到样信息汇总统计!K$2:K$500,MATCH(219,样本到样信息汇总统计!$AA$2:$AA$500,0)),"")</f>
        <v/>
      </c>
      <c r="L220" s="4" t="str">
        <f>IFERROR(INDEX(样本到样信息汇总统计!L$2:L$500,MATCH(219,样本到样信息汇总统计!$AA$2:$AA$500,0)),"")</f>
        <v/>
      </c>
      <c r="M220" s="4" t="str">
        <f>IFERROR(INDEX(样本到样信息汇总统计!M$2:M$500,MATCH(219,样本到样信息汇总统计!$AA$2:$AA$500,0)),"")</f>
        <v/>
      </c>
      <c r="N220" s="4" t="str">
        <f>IFERROR(INDEX(样本到样信息汇总统计!N$2:N$500,MATCH(219,样本到样信息汇总统计!$AA$2:$AA$500,0)),"")</f>
        <v/>
      </c>
      <c r="O220" s="4" t="str">
        <f>IFERROR(INDEX(样本到样信息汇总统计!O$2:O$500,MATCH(219,样本到样信息汇总统计!$AA$2:$AA$500,0)),"")</f>
        <v/>
      </c>
      <c r="P220" s="4" t="str">
        <f>IFERROR(INDEX(样本到样信息汇总统计!P$2:P$500,MATCH(219,样本到样信息汇总统计!$AA$2:$AA$500,0)),"")</f>
        <v/>
      </c>
      <c r="Q220" s="4" t="str">
        <f>IFERROR(INDEX(样本到样信息汇总统计!Q$2:Q$500,MATCH(219,样本到样信息汇总统计!$AA$2:$AA$500,0)),"")</f>
        <v/>
      </c>
      <c r="R220" s="4" t="str">
        <f>IFERROR(INDEX(样本到样信息汇总统计!R$2:R$500,MATCH(219,样本到样信息汇总统计!$AA$2:$AA$500,0)),"")</f>
        <v/>
      </c>
      <c r="S220" s="4" t="str">
        <f>IFERROR(INDEX(样本到样信息汇总统计!S$2:S$500,MATCH(219,样本到样信息汇总统计!$AA$2:$AA$500,0)),"")</f>
        <v/>
      </c>
      <c r="T220" s="4" t="str">
        <f>IFERROR(INDEX(样本到样信息汇总统计!T$2:T$500,MATCH(219,样本到样信息汇总统计!$AA$2:$AA$500,0)),"")</f>
        <v/>
      </c>
      <c r="U220" s="4" t="str">
        <f>IFERROR(INDEX(样本到样信息汇总统计!U$2:U$500,MATCH(219,样本到样信息汇总统计!$AA$2:$AA$500,0)),"")</f>
        <v/>
      </c>
      <c r="V220" s="4" t="str">
        <f>IFERROR(INDEX(样本到样信息汇总统计!V$2:V$500,MATCH(219,样本到样信息汇总统计!$AA$2:$AA$500,0)),"")</f>
        <v/>
      </c>
      <c r="W220" s="4" t="str">
        <f>IFERROR(INDEX(样本到样信息汇总统计!W$2:W$500,MATCH(219,样本到样信息汇总统计!$AA$2:$AA$500,0)),"")</f>
        <v/>
      </c>
    </row>
    <row r="221" ht="14.5" spans="1:23">
      <c r="A221" s="8" t="str">
        <f>IFERROR(INDEX(样本到样信息汇总统计!A$2:A$500,MATCH(220,样本到样信息汇总统计!$AA$2:$AA$500,0)),"")</f>
        <v/>
      </c>
      <c r="B221" s="8" t="str">
        <f>IFERROR(INDEX(样本到样信息汇总统计!B$2:B$500,MATCH(220,样本到样信息汇总统计!$AA$2:$AA$500,0)),"")</f>
        <v/>
      </c>
      <c r="C221" s="8" t="str">
        <f>IFERROR(INDEX(样本到样信息汇总统计!C$2:C$500,MATCH(220,样本到样信息汇总统计!$AA$2:$AA$500,0)),"")</f>
        <v/>
      </c>
      <c r="D221" s="8" t="str">
        <f>IFERROR(INDEX(样本到样信息汇总统计!D$2:D$500,MATCH(220,样本到样信息汇总统计!$AA$2:$AA$500,0)),"")</f>
        <v/>
      </c>
      <c r="E221" s="8" t="str">
        <f>IFERROR(INDEX(样本到样信息汇总统计!E$2:E$500,MATCH(220,样本到样信息汇总统计!$AA$2:$AA$500,0)),"")</f>
        <v/>
      </c>
      <c r="F221" s="8" t="str">
        <f>IFERROR(INDEX(样本到样信息汇总统计!F$2:F$500,MATCH(220,样本到样信息汇总统计!$AA$2:$AA$500,0)),"")</f>
        <v/>
      </c>
      <c r="G221" s="8" t="str">
        <f>IFERROR(INDEX(样本到样信息汇总统计!G$2:G$500,MATCH(220,样本到样信息汇总统计!$AA$2:$AA$500,0)),"")</f>
        <v/>
      </c>
      <c r="H221" s="8" t="str">
        <f>IFERROR(INDEX(样本到样信息汇总统计!H$2:H$500,MATCH(220,样本到样信息汇总统计!$AA$2:$AA$500,0)),"")</f>
        <v/>
      </c>
      <c r="I221" s="8" t="str">
        <f>IFERROR(INDEX(样本到样信息汇总统计!I$2:I$500,MATCH(220,样本到样信息汇总统计!$AA$2:$AA$500,0)),"")</f>
        <v/>
      </c>
      <c r="J221" s="8" t="str">
        <f>IFERROR(INDEX(样本到样信息汇总统计!J$2:J$500,MATCH(220,样本到样信息汇总统计!$AA$2:$AA$500,0)),"")</f>
        <v/>
      </c>
      <c r="K221" s="8" t="str">
        <f>IFERROR(INDEX(样本到样信息汇总统计!K$2:K$500,MATCH(220,样本到样信息汇总统计!$AA$2:$AA$500,0)),"")</f>
        <v/>
      </c>
      <c r="L221" s="8" t="str">
        <f>IFERROR(INDEX(样本到样信息汇总统计!L$2:L$500,MATCH(220,样本到样信息汇总统计!$AA$2:$AA$500,0)),"")</f>
        <v/>
      </c>
      <c r="M221" s="8" t="str">
        <f>IFERROR(INDEX(样本到样信息汇总统计!M$2:M$500,MATCH(220,样本到样信息汇总统计!$AA$2:$AA$500,0)),"")</f>
        <v/>
      </c>
      <c r="N221" s="8" t="str">
        <f>IFERROR(INDEX(样本到样信息汇总统计!N$2:N$500,MATCH(220,样本到样信息汇总统计!$AA$2:$AA$500,0)),"")</f>
        <v/>
      </c>
      <c r="O221" s="8" t="str">
        <f>IFERROR(INDEX(样本到样信息汇总统计!O$2:O$500,MATCH(220,样本到样信息汇总统计!$AA$2:$AA$500,0)),"")</f>
        <v/>
      </c>
      <c r="P221" s="8" t="str">
        <f>IFERROR(INDEX(样本到样信息汇总统计!P$2:P$500,MATCH(220,样本到样信息汇总统计!$AA$2:$AA$500,0)),"")</f>
        <v/>
      </c>
      <c r="Q221" s="8" t="str">
        <f>IFERROR(INDEX(样本到样信息汇总统计!Q$2:Q$500,MATCH(220,样本到样信息汇总统计!$AA$2:$AA$500,0)),"")</f>
        <v/>
      </c>
      <c r="R221" s="8" t="str">
        <f>IFERROR(INDEX(样本到样信息汇总统计!R$2:R$500,MATCH(220,样本到样信息汇总统计!$AA$2:$AA$500,0)),"")</f>
        <v/>
      </c>
      <c r="S221" s="8" t="str">
        <f>IFERROR(INDEX(样本到样信息汇总统计!S$2:S$500,MATCH(220,样本到样信息汇总统计!$AA$2:$AA$500,0)),"")</f>
        <v/>
      </c>
      <c r="T221" s="8" t="str">
        <f>IFERROR(INDEX(样本到样信息汇总统计!T$2:T$500,MATCH(220,样本到样信息汇总统计!$AA$2:$AA$500,0)),"")</f>
        <v/>
      </c>
      <c r="U221" s="8" t="str">
        <f>IFERROR(INDEX(样本到样信息汇总统计!U$2:U$500,MATCH(220,样本到样信息汇总统计!$AA$2:$AA$500,0)),"")</f>
        <v/>
      </c>
      <c r="V221" s="8" t="str">
        <f>IFERROR(INDEX(样本到样信息汇总统计!V$2:V$500,MATCH(220,样本到样信息汇总统计!$AA$2:$AA$500,0)),"")</f>
        <v/>
      </c>
      <c r="W221" s="8" t="str">
        <f>IFERROR(INDEX(样本到样信息汇总统计!W$2:W$500,MATCH(220,样本到样信息汇总统计!$AA$2:$AA$500,0)),"")</f>
        <v/>
      </c>
    </row>
    <row r="222" ht="14.5" spans="1:23">
      <c r="A222" s="4" t="str">
        <f>IFERROR(INDEX(样本到样信息汇总统计!A$2:A$500,MATCH(221,样本到样信息汇总统计!$AA$2:$AA$500,0)),"")</f>
        <v/>
      </c>
      <c r="B222" s="4" t="str">
        <f>IFERROR(INDEX(样本到样信息汇总统计!B$2:B$500,MATCH(221,样本到样信息汇总统计!$AA$2:$AA$500,0)),"")</f>
        <v/>
      </c>
      <c r="C222" s="4" t="str">
        <f>IFERROR(INDEX(样本到样信息汇总统计!C$2:C$500,MATCH(221,样本到样信息汇总统计!$AA$2:$AA$500,0)),"")</f>
        <v/>
      </c>
      <c r="D222" s="4" t="str">
        <f>IFERROR(INDEX(样本到样信息汇总统计!D$2:D$500,MATCH(221,样本到样信息汇总统计!$AA$2:$AA$500,0)),"")</f>
        <v/>
      </c>
      <c r="E222" s="4" t="str">
        <f>IFERROR(INDEX(样本到样信息汇总统计!E$2:E$500,MATCH(221,样本到样信息汇总统计!$AA$2:$AA$500,0)),"")</f>
        <v/>
      </c>
      <c r="F222" s="4" t="str">
        <f>IFERROR(INDEX(样本到样信息汇总统计!F$2:F$500,MATCH(221,样本到样信息汇总统计!$AA$2:$AA$500,0)),"")</f>
        <v/>
      </c>
      <c r="G222" s="4" t="str">
        <f>IFERROR(INDEX(样本到样信息汇总统计!G$2:G$500,MATCH(221,样本到样信息汇总统计!$AA$2:$AA$500,0)),"")</f>
        <v/>
      </c>
      <c r="H222" s="4" t="str">
        <f>IFERROR(INDEX(样本到样信息汇总统计!H$2:H$500,MATCH(221,样本到样信息汇总统计!$AA$2:$AA$500,0)),"")</f>
        <v/>
      </c>
      <c r="I222" s="4" t="str">
        <f>IFERROR(INDEX(样本到样信息汇总统计!I$2:I$500,MATCH(221,样本到样信息汇总统计!$AA$2:$AA$500,0)),"")</f>
        <v/>
      </c>
      <c r="J222" s="4" t="str">
        <f>IFERROR(INDEX(样本到样信息汇总统计!J$2:J$500,MATCH(221,样本到样信息汇总统计!$AA$2:$AA$500,0)),"")</f>
        <v/>
      </c>
      <c r="K222" s="4" t="str">
        <f>IFERROR(INDEX(样本到样信息汇总统计!K$2:K$500,MATCH(221,样本到样信息汇总统计!$AA$2:$AA$500,0)),"")</f>
        <v/>
      </c>
      <c r="L222" s="4" t="str">
        <f>IFERROR(INDEX(样本到样信息汇总统计!L$2:L$500,MATCH(221,样本到样信息汇总统计!$AA$2:$AA$500,0)),"")</f>
        <v/>
      </c>
      <c r="M222" s="4" t="str">
        <f>IFERROR(INDEX(样本到样信息汇总统计!M$2:M$500,MATCH(221,样本到样信息汇总统计!$AA$2:$AA$500,0)),"")</f>
        <v/>
      </c>
      <c r="N222" s="4" t="str">
        <f>IFERROR(INDEX(样本到样信息汇总统计!N$2:N$500,MATCH(221,样本到样信息汇总统计!$AA$2:$AA$500,0)),"")</f>
        <v/>
      </c>
      <c r="O222" s="4" t="str">
        <f>IFERROR(INDEX(样本到样信息汇总统计!O$2:O$500,MATCH(221,样本到样信息汇总统计!$AA$2:$AA$500,0)),"")</f>
        <v/>
      </c>
      <c r="P222" s="4" t="str">
        <f>IFERROR(INDEX(样本到样信息汇总统计!P$2:P$500,MATCH(221,样本到样信息汇总统计!$AA$2:$AA$500,0)),"")</f>
        <v/>
      </c>
      <c r="Q222" s="4" t="str">
        <f>IFERROR(INDEX(样本到样信息汇总统计!Q$2:Q$500,MATCH(221,样本到样信息汇总统计!$AA$2:$AA$500,0)),"")</f>
        <v/>
      </c>
      <c r="R222" s="4" t="str">
        <f>IFERROR(INDEX(样本到样信息汇总统计!R$2:R$500,MATCH(221,样本到样信息汇总统计!$AA$2:$AA$500,0)),"")</f>
        <v/>
      </c>
      <c r="S222" s="4" t="str">
        <f>IFERROR(INDEX(样本到样信息汇总统计!S$2:S$500,MATCH(221,样本到样信息汇总统计!$AA$2:$AA$500,0)),"")</f>
        <v/>
      </c>
      <c r="T222" s="4" t="str">
        <f>IFERROR(INDEX(样本到样信息汇总统计!T$2:T$500,MATCH(221,样本到样信息汇总统计!$AA$2:$AA$500,0)),"")</f>
        <v/>
      </c>
      <c r="U222" s="4" t="str">
        <f>IFERROR(INDEX(样本到样信息汇总统计!U$2:U$500,MATCH(221,样本到样信息汇总统计!$AA$2:$AA$500,0)),"")</f>
        <v/>
      </c>
      <c r="V222" s="4" t="str">
        <f>IFERROR(INDEX(样本到样信息汇总统计!V$2:V$500,MATCH(221,样本到样信息汇总统计!$AA$2:$AA$500,0)),"")</f>
        <v/>
      </c>
      <c r="W222" s="4" t="str">
        <f>IFERROR(INDEX(样本到样信息汇总统计!W$2:W$500,MATCH(221,样本到样信息汇总统计!$AA$2:$AA$500,0)),"")</f>
        <v/>
      </c>
    </row>
    <row r="223" ht="14.5" spans="1:23">
      <c r="A223" s="8" t="str">
        <f>IFERROR(INDEX(样本到样信息汇总统计!A$2:A$500,MATCH(222,样本到样信息汇总统计!$AA$2:$AA$500,0)),"")</f>
        <v/>
      </c>
      <c r="B223" s="8" t="str">
        <f>IFERROR(INDEX(样本到样信息汇总统计!B$2:B$500,MATCH(222,样本到样信息汇总统计!$AA$2:$AA$500,0)),"")</f>
        <v/>
      </c>
      <c r="C223" s="8" t="str">
        <f>IFERROR(INDEX(样本到样信息汇总统计!C$2:C$500,MATCH(222,样本到样信息汇总统计!$AA$2:$AA$500,0)),"")</f>
        <v/>
      </c>
      <c r="D223" s="8" t="str">
        <f>IFERROR(INDEX(样本到样信息汇总统计!D$2:D$500,MATCH(222,样本到样信息汇总统计!$AA$2:$AA$500,0)),"")</f>
        <v/>
      </c>
      <c r="E223" s="8" t="str">
        <f>IFERROR(INDEX(样本到样信息汇总统计!E$2:E$500,MATCH(222,样本到样信息汇总统计!$AA$2:$AA$500,0)),"")</f>
        <v/>
      </c>
      <c r="F223" s="8" t="str">
        <f>IFERROR(INDEX(样本到样信息汇总统计!F$2:F$500,MATCH(222,样本到样信息汇总统计!$AA$2:$AA$500,0)),"")</f>
        <v/>
      </c>
      <c r="G223" s="8" t="str">
        <f>IFERROR(INDEX(样本到样信息汇总统计!G$2:G$500,MATCH(222,样本到样信息汇总统计!$AA$2:$AA$500,0)),"")</f>
        <v/>
      </c>
      <c r="H223" s="8" t="str">
        <f>IFERROR(INDEX(样本到样信息汇总统计!H$2:H$500,MATCH(222,样本到样信息汇总统计!$AA$2:$AA$500,0)),"")</f>
        <v/>
      </c>
      <c r="I223" s="8" t="str">
        <f>IFERROR(INDEX(样本到样信息汇总统计!I$2:I$500,MATCH(222,样本到样信息汇总统计!$AA$2:$AA$500,0)),"")</f>
        <v/>
      </c>
      <c r="J223" s="8" t="str">
        <f>IFERROR(INDEX(样本到样信息汇总统计!J$2:J$500,MATCH(222,样本到样信息汇总统计!$AA$2:$AA$500,0)),"")</f>
        <v/>
      </c>
      <c r="K223" s="8" t="str">
        <f>IFERROR(INDEX(样本到样信息汇总统计!K$2:K$500,MATCH(222,样本到样信息汇总统计!$AA$2:$AA$500,0)),"")</f>
        <v/>
      </c>
      <c r="L223" s="8" t="str">
        <f>IFERROR(INDEX(样本到样信息汇总统计!L$2:L$500,MATCH(222,样本到样信息汇总统计!$AA$2:$AA$500,0)),"")</f>
        <v/>
      </c>
      <c r="M223" s="8" t="str">
        <f>IFERROR(INDEX(样本到样信息汇总统计!M$2:M$500,MATCH(222,样本到样信息汇总统计!$AA$2:$AA$500,0)),"")</f>
        <v/>
      </c>
      <c r="N223" s="8" t="str">
        <f>IFERROR(INDEX(样本到样信息汇总统计!N$2:N$500,MATCH(222,样本到样信息汇总统计!$AA$2:$AA$500,0)),"")</f>
        <v/>
      </c>
      <c r="O223" s="8" t="str">
        <f>IFERROR(INDEX(样本到样信息汇总统计!O$2:O$500,MATCH(222,样本到样信息汇总统计!$AA$2:$AA$500,0)),"")</f>
        <v/>
      </c>
      <c r="P223" s="8" t="str">
        <f>IFERROR(INDEX(样本到样信息汇总统计!P$2:P$500,MATCH(222,样本到样信息汇总统计!$AA$2:$AA$500,0)),"")</f>
        <v/>
      </c>
      <c r="Q223" s="8" t="str">
        <f>IFERROR(INDEX(样本到样信息汇总统计!Q$2:Q$500,MATCH(222,样本到样信息汇总统计!$AA$2:$AA$500,0)),"")</f>
        <v/>
      </c>
      <c r="R223" s="8" t="str">
        <f>IFERROR(INDEX(样本到样信息汇总统计!R$2:R$500,MATCH(222,样本到样信息汇总统计!$AA$2:$AA$500,0)),"")</f>
        <v/>
      </c>
      <c r="S223" s="8" t="str">
        <f>IFERROR(INDEX(样本到样信息汇总统计!S$2:S$500,MATCH(222,样本到样信息汇总统计!$AA$2:$AA$500,0)),"")</f>
        <v/>
      </c>
      <c r="T223" s="8" t="str">
        <f>IFERROR(INDEX(样本到样信息汇总统计!T$2:T$500,MATCH(222,样本到样信息汇总统计!$AA$2:$AA$500,0)),"")</f>
        <v/>
      </c>
      <c r="U223" s="8" t="str">
        <f>IFERROR(INDEX(样本到样信息汇总统计!U$2:U$500,MATCH(222,样本到样信息汇总统计!$AA$2:$AA$500,0)),"")</f>
        <v/>
      </c>
      <c r="V223" s="8" t="str">
        <f>IFERROR(INDEX(样本到样信息汇总统计!V$2:V$500,MATCH(222,样本到样信息汇总统计!$AA$2:$AA$500,0)),"")</f>
        <v/>
      </c>
      <c r="W223" s="8" t="str">
        <f>IFERROR(INDEX(样本到样信息汇总统计!W$2:W$500,MATCH(222,样本到样信息汇总统计!$AA$2:$AA$500,0)),"")</f>
        <v/>
      </c>
    </row>
    <row r="224" ht="14.5" spans="1:23">
      <c r="A224" s="4" t="str">
        <f>IFERROR(INDEX(样本到样信息汇总统计!A$2:A$500,MATCH(223,样本到样信息汇总统计!$AA$2:$AA$500,0)),"")</f>
        <v/>
      </c>
      <c r="B224" s="4" t="str">
        <f>IFERROR(INDEX(样本到样信息汇总统计!B$2:B$500,MATCH(223,样本到样信息汇总统计!$AA$2:$AA$500,0)),"")</f>
        <v/>
      </c>
      <c r="C224" s="4" t="str">
        <f>IFERROR(INDEX(样本到样信息汇总统计!C$2:C$500,MATCH(223,样本到样信息汇总统计!$AA$2:$AA$500,0)),"")</f>
        <v/>
      </c>
      <c r="D224" s="4" t="str">
        <f>IFERROR(INDEX(样本到样信息汇总统计!D$2:D$500,MATCH(223,样本到样信息汇总统计!$AA$2:$AA$500,0)),"")</f>
        <v/>
      </c>
      <c r="E224" s="4" t="str">
        <f>IFERROR(INDEX(样本到样信息汇总统计!E$2:E$500,MATCH(223,样本到样信息汇总统计!$AA$2:$AA$500,0)),"")</f>
        <v/>
      </c>
      <c r="F224" s="4" t="str">
        <f>IFERROR(INDEX(样本到样信息汇总统计!F$2:F$500,MATCH(223,样本到样信息汇总统计!$AA$2:$AA$500,0)),"")</f>
        <v/>
      </c>
      <c r="G224" s="4" t="str">
        <f>IFERROR(INDEX(样本到样信息汇总统计!G$2:G$500,MATCH(223,样本到样信息汇总统计!$AA$2:$AA$500,0)),"")</f>
        <v/>
      </c>
      <c r="H224" s="4" t="str">
        <f>IFERROR(INDEX(样本到样信息汇总统计!H$2:H$500,MATCH(223,样本到样信息汇总统计!$AA$2:$AA$500,0)),"")</f>
        <v/>
      </c>
      <c r="I224" s="4" t="str">
        <f>IFERROR(INDEX(样本到样信息汇总统计!I$2:I$500,MATCH(223,样本到样信息汇总统计!$AA$2:$AA$500,0)),"")</f>
        <v/>
      </c>
      <c r="J224" s="4" t="str">
        <f>IFERROR(INDEX(样本到样信息汇总统计!J$2:J$500,MATCH(223,样本到样信息汇总统计!$AA$2:$AA$500,0)),"")</f>
        <v/>
      </c>
      <c r="K224" s="4" t="str">
        <f>IFERROR(INDEX(样本到样信息汇总统计!K$2:K$500,MATCH(223,样本到样信息汇总统计!$AA$2:$AA$500,0)),"")</f>
        <v/>
      </c>
      <c r="L224" s="4" t="str">
        <f>IFERROR(INDEX(样本到样信息汇总统计!L$2:L$500,MATCH(223,样本到样信息汇总统计!$AA$2:$AA$500,0)),"")</f>
        <v/>
      </c>
      <c r="M224" s="4" t="str">
        <f>IFERROR(INDEX(样本到样信息汇总统计!M$2:M$500,MATCH(223,样本到样信息汇总统计!$AA$2:$AA$500,0)),"")</f>
        <v/>
      </c>
      <c r="N224" s="4" t="str">
        <f>IFERROR(INDEX(样本到样信息汇总统计!N$2:N$500,MATCH(223,样本到样信息汇总统计!$AA$2:$AA$500,0)),"")</f>
        <v/>
      </c>
      <c r="O224" s="4" t="str">
        <f>IFERROR(INDEX(样本到样信息汇总统计!O$2:O$500,MATCH(223,样本到样信息汇总统计!$AA$2:$AA$500,0)),"")</f>
        <v/>
      </c>
      <c r="P224" s="4" t="str">
        <f>IFERROR(INDEX(样本到样信息汇总统计!P$2:P$500,MATCH(223,样本到样信息汇总统计!$AA$2:$AA$500,0)),"")</f>
        <v/>
      </c>
      <c r="Q224" s="4" t="str">
        <f>IFERROR(INDEX(样本到样信息汇总统计!Q$2:Q$500,MATCH(223,样本到样信息汇总统计!$AA$2:$AA$500,0)),"")</f>
        <v/>
      </c>
      <c r="R224" s="4" t="str">
        <f>IFERROR(INDEX(样本到样信息汇总统计!R$2:R$500,MATCH(223,样本到样信息汇总统计!$AA$2:$AA$500,0)),"")</f>
        <v/>
      </c>
      <c r="S224" s="4" t="str">
        <f>IFERROR(INDEX(样本到样信息汇总统计!S$2:S$500,MATCH(223,样本到样信息汇总统计!$AA$2:$AA$500,0)),"")</f>
        <v/>
      </c>
      <c r="T224" s="4" t="str">
        <f>IFERROR(INDEX(样本到样信息汇总统计!T$2:T$500,MATCH(223,样本到样信息汇总统计!$AA$2:$AA$500,0)),"")</f>
        <v/>
      </c>
      <c r="U224" s="4" t="str">
        <f>IFERROR(INDEX(样本到样信息汇总统计!U$2:U$500,MATCH(223,样本到样信息汇总统计!$AA$2:$AA$500,0)),"")</f>
        <v/>
      </c>
      <c r="V224" s="4" t="str">
        <f>IFERROR(INDEX(样本到样信息汇总统计!V$2:V$500,MATCH(223,样本到样信息汇总统计!$AA$2:$AA$500,0)),"")</f>
        <v/>
      </c>
      <c r="W224" s="4" t="str">
        <f>IFERROR(INDEX(样本到样信息汇总统计!W$2:W$500,MATCH(223,样本到样信息汇总统计!$AA$2:$AA$500,0)),"")</f>
        <v/>
      </c>
    </row>
    <row r="225" ht="14.5" spans="1:23">
      <c r="A225" s="8" t="str">
        <f>IFERROR(INDEX(样本到样信息汇总统计!A$2:A$500,MATCH(224,样本到样信息汇总统计!$AA$2:$AA$500,0)),"")</f>
        <v/>
      </c>
      <c r="B225" s="8" t="str">
        <f>IFERROR(INDEX(样本到样信息汇总统计!B$2:B$500,MATCH(224,样本到样信息汇总统计!$AA$2:$AA$500,0)),"")</f>
        <v/>
      </c>
      <c r="C225" s="8" t="str">
        <f>IFERROR(INDEX(样本到样信息汇总统计!C$2:C$500,MATCH(224,样本到样信息汇总统计!$AA$2:$AA$500,0)),"")</f>
        <v/>
      </c>
      <c r="D225" s="8" t="str">
        <f>IFERROR(INDEX(样本到样信息汇总统计!D$2:D$500,MATCH(224,样本到样信息汇总统计!$AA$2:$AA$500,0)),"")</f>
        <v/>
      </c>
      <c r="E225" s="8" t="str">
        <f>IFERROR(INDEX(样本到样信息汇总统计!E$2:E$500,MATCH(224,样本到样信息汇总统计!$AA$2:$AA$500,0)),"")</f>
        <v/>
      </c>
      <c r="F225" s="8" t="str">
        <f>IFERROR(INDEX(样本到样信息汇总统计!F$2:F$500,MATCH(224,样本到样信息汇总统计!$AA$2:$AA$500,0)),"")</f>
        <v/>
      </c>
      <c r="G225" s="8" t="str">
        <f>IFERROR(INDEX(样本到样信息汇总统计!G$2:G$500,MATCH(224,样本到样信息汇总统计!$AA$2:$AA$500,0)),"")</f>
        <v/>
      </c>
      <c r="H225" s="8" t="str">
        <f>IFERROR(INDEX(样本到样信息汇总统计!H$2:H$500,MATCH(224,样本到样信息汇总统计!$AA$2:$AA$500,0)),"")</f>
        <v/>
      </c>
      <c r="I225" s="8" t="str">
        <f>IFERROR(INDEX(样本到样信息汇总统计!I$2:I$500,MATCH(224,样本到样信息汇总统计!$AA$2:$AA$500,0)),"")</f>
        <v/>
      </c>
      <c r="J225" s="8" t="str">
        <f>IFERROR(INDEX(样本到样信息汇总统计!J$2:J$500,MATCH(224,样本到样信息汇总统计!$AA$2:$AA$500,0)),"")</f>
        <v/>
      </c>
      <c r="K225" s="8" t="str">
        <f>IFERROR(INDEX(样本到样信息汇总统计!K$2:K$500,MATCH(224,样本到样信息汇总统计!$AA$2:$AA$500,0)),"")</f>
        <v/>
      </c>
      <c r="L225" s="8" t="str">
        <f>IFERROR(INDEX(样本到样信息汇总统计!L$2:L$500,MATCH(224,样本到样信息汇总统计!$AA$2:$AA$500,0)),"")</f>
        <v/>
      </c>
      <c r="M225" s="8" t="str">
        <f>IFERROR(INDEX(样本到样信息汇总统计!M$2:M$500,MATCH(224,样本到样信息汇总统计!$AA$2:$AA$500,0)),"")</f>
        <v/>
      </c>
      <c r="N225" s="8" t="str">
        <f>IFERROR(INDEX(样本到样信息汇总统计!N$2:N$500,MATCH(224,样本到样信息汇总统计!$AA$2:$AA$500,0)),"")</f>
        <v/>
      </c>
      <c r="O225" s="8" t="str">
        <f>IFERROR(INDEX(样本到样信息汇总统计!O$2:O$500,MATCH(224,样本到样信息汇总统计!$AA$2:$AA$500,0)),"")</f>
        <v/>
      </c>
      <c r="P225" s="8" t="str">
        <f>IFERROR(INDEX(样本到样信息汇总统计!P$2:P$500,MATCH(224,样本到样信息汇总统计!$AA$2:$AA$500,0)),"")</f>
        <v/>
      </c>
      <c r="Q225" s="8" t="str">
        <f>IFERROR(INDEX(样本到样信息汇总统计!Q$2:Q$500,MATCH(224,样本到样信息汇总统计!$AA$2:$AA$500,0)),"")</f>
        <v/>
      </c>
      <c r="R225" s="8" t="str">
        <f>IFERROR(INDEX(样本到样信息汇总统计!R$2:R$500,MATCH(224,样本到样信息汇总统计!$AA$2:$AA$500,0)),"")</f>
        <v/>
      </c>
      <c r="S225" s="8" t="str">
        <f>IFERROR(INDEX(样本到样信息汇总统计!S$2:S$500,MATCH(224,样本到样信息汇总统计!$AA$2:$AA$500,0)),"")</f>
        <v/>
      </c>
      <c r="T225" s="8" t="str">
        <f>IFERROR(INDEX(样本到样信息汇总统计!T$2:T$500,MATCH(224,样本到样信息汇总统计!$AA$2:$AA$500,0)),"")</f>
        <v/>
      </c>
      <c r="U225" s="8" t="str">
        <f>IFERROR(INDEX(样本到样信息汇总统计!U$2:U$500,MATCH(224,样本到样信息汇总统计!$AA$2:$AA$500,0)),"")</f>
        <v/>
      </c>
      <c r="V225" s="8" t="str">
        <f>IFERROR(INDEX(样本到样信息汇总统计!V$2:V$500,MATCH(224,样本到样信息汇总统计!$AA$2:$AA$500,0)),"")</f>
        <v/>
      </c>
      <c r="W225" s="8" t="str">
        <f>IFERROR(INDEX(样本到样信息汇总统计!W$2:W$500,MATCH(224,样本到样信息汇总统计!$AA$2:$AA$500,0)),"")</f>
        <v/>
      </c>
    </row>
    <row r="226" ht="14.5" spans="1:23">
      <c r="A226" s="4" t="str">
        <f>IFERROR(INDEX(样本到样信息汇总统计!A$2:A$500,MATCH(225,样本到样信息汇总统计!$AA$2:$AA$500,0)),"")</f>
        <v/>
      </c>
      <c r="B226" s="4" t="str">
        <f>IFERROR(INDEX(样本到样信息汇总统计!B$2:B$500,MATCH(225,样本到样信息汇总统计!$AA$2:$AA$500,0)),"")</f>
        <v/>
      </c>
      <c r="C226" s="4" t="str">
        <f>IFERROR(INDEX(样本到样信息汇总统计!C$2:C$500,MATCH(225,样本到样信息汇总统计!$AA$2:$AA$500,0)),"")</f>
        <v/>
      </c>
      <c r="D226" s="4" t="str">
        <f>IFERROR(INDEX(样本到样信息汇总统计!D$2:D$500,MATCH(225,样本到样信息汇总统计!$AA$2:$AA$500,0)),"")</f>
        <v/>
      </c>
      <c r="E226" s="4" t="str">
        <f>IFERROR(INDEX(样本到样信息汇总统计!E$2:E$500,MATCH(225,样本到样信息汇总统计!$AA$2:$AA$500,0)),"")</f>
        <v/>
      </c>
      <c r="F226" s="4" t="str">
        <f>IFERROR(INDEX(样本到样信息汇总统计!F$2:F$500,MATCH(225,样本到样信息汇总统计!$AA$2:$AA$500,0)),"")</f>
        <v/>
      </c>
      <c r="G226" s="4" t="str">
        <f>IFERROR(INDEX(样本到样信息汇总统计!G$2:G$500,MATCH(225,样本到样信息汇总统计!$AA$2:$AA$500,0)),"")</f>
        <v/>
      </c>
      <c r="H226" s="4" t="str">
        <f>IFERROR(INDEX(样本到样信息汇总统计!H$2:H$500,MATCH(225,样本到样信息汇总统计!$AA$2:$AA$500,0)),"")</f>
        <v/>
      </c>
      <c r="I226" s="4" t="str">
        <f>IFERROR(INDEX(样本到样信息汇总统计!I$2:I$500,MATCH(225,样本到样信息汇总统计!$AA$2:$AA$500,0)),"")</f>
        <v/>
      </c>
      <c r="J226" s="4" t="str">
        <f>IFERROR(INDEX(样本到样信息汇总统计!J$2:J$500,MATCH(225,样本到样信息汇总统计!$AA$2:$AA$500,0)),"")</f>
        <v/>
      </c>
      <c r="K226" s="4" t="str">
        <f>IFERROR(INDEX(样本到样信息汇总统计!K$2:K$500,MATCH(225,样本到样信息汇总统计!$AA$2:$AA$500,0)),"")</f>
        <v/>
      </c>
      <c r="L226" s="4" t="str">
        <f>IFERROR(INDEX(样本到样信息汇总统计!L$2:L$500,MATCH(225,样本到样信息汇总统计!$AA$2:$AA$500,0)),"")</f>
        <v/>
      </c>
      <c r="M226" s="4" t="str">
        <f>IFERROR(INDEX(样本到样信息汇总统计!M$2:M$500,MATCH(225,样本到样信息汇总统计!$AA$2:$AA$500,0)),"")</f>
        <v/>
      </c>
      <c r="N226" s="4" t="str">
        <f>IFERROR(INDEX(样本到样信息汇总统计!N$2:N$500,MATCH(225,样本到样信息汇总统计!$AA$2:$AA$500,0)),"")</f>
        <v/>
      </c>
      <c r="O226" s="4" t="str">
        <f>IFERROR(INDEX(样本到样信息汇总统计!O$2:O$500,MATCH(225,样本到样信息汇总统计!$AA$2:$AA$500,0)),"")</f>
        <v/>
      </c>
      <c r="P226" s="4" t="str">
        <f>IFERROR(INDEX(样本到样信息汇总统计!P$2:P$500,MATCH(225,样本到样信息汇总统计!$AA$2:$AA$500,0)),"")</f>
        <v/>
      </c>
      <c r="Q226" s="4" t="str">
        <f>IFERROR(INDEX(样本到样信息汇总统计!Q$2:Q$500,MATCH(225,样本到样信息汇总统计!$AA$2:$AA$500,0)),"")</f>
        <v/>
      </c>
      <c r="R226" s="4" t="str">
        <f>IFERROR(INDEX(样本到样信息汇总统计!R$2:R$500,MATCH(225,样本到样信息汇总统计!$AA$2:$AA$500,0)),"")</f>
        <v/>
      </c>
      <c r="S226" s="4" t="str">
        <f>IFERROR(INDEX(样本到样信息汇总统计!S$2:S$500,MATCH(225,样本到样信息汇总统计!$AA$2:$AA$500,0)),"")</f>
        <v/>
      </c>
      <c r="T226" s="4" t="str">
        <f>IFERROR(INDEX(样本到样信息汇总统计!T$2:T$500,MATCH(225,样本到样信息汇总统计!$AA$2:$AA$500,0)),"")</f>
        <v/>
      </c>
      <c r="U226" s="4" t="str">
        <f>IFERROR(INDEX(样本到样信息汇总统计!U$2:U$500,MATCH(225,样本到样信息汇总统计!$AA$2:$AA$500,0)),"")</f>
        <v/>
      </c>
      <c r="V226" s="4" t="str">
        <f>IFERROR(INDEX(样本到样信息汇总统计!V$2:V$500,MATCH(225,样本到样信息汇总统计!$AA$2:$AA$500,0)),"")</f>
        <v/>
      </c>
      <c r="W226" s="4" t="str">
        <f>IFERROR(INDEX(样本到样信息汇总统计!W$2:W$500,MATCH(225,样本到样信息汇总统计!$AA$2:$AA$500,0)),"")</f>
        <v/>
      </c>
    </row>
    <row r="227" ht="14.5" spans="1:23">
      <c r="A227" s="8" t="str">
        <f>IFERROR(INDEX(样本到样信息汇总统计!A$2:A$500,MATCH(226,样本到样信息汇总统计!$AA$2:$AA$500,0)),"")</f>
        <v/>
      </c>
      <c r="B227" s="8" t="str">
        <f>IFERROR(INDEX(样本到样信息汇总统计!B$2:B$500,MATCH(226,样本到样信息汇总统计!$AA$2:$AA$500,0)),"")</f>
        <v/>
      </c>
      <c r="C227" s="8" t="str">
        <f>IFERROR(INDEX(样本到样信息汇总统计!C$2:C$500,MATCH(226,样本到样信息汇总统计!$AA$2:$AA$500,0)),"")</f>
        <v/>
      </c>
      <c r="D227" s="8" t="str">
        <f>IFERROR(INDEX(样本到样信息汇总统计!D$2:D$500,MATCH(226,样本到样信息汇总统计!$AA$2:$AA$500,0)),"")</f>
        <v/>
      </c>
      <c r="E227" s="8" t="str">
        <f>IFERROR(INDEX(样本到样信息汇总统计!E$2:E$500,MATCH(226,样本到样信息汇总统计!$AA$2:$AA$500,0)),"")</f>
        <v/>
      </c>
      <c r="F227" s="8" t="str">
        <f>IFERROR(INDEX(样本到样信息汇总统计!F$2:F$500,MATCH(226,样本到样信息汇总统计!$AA$2:$AA$500,0)),"")</f>
        <v/>
      </c>
      <c r="G227" s="8" t="str">
        <f>IFERROR(INDEX(样本到样信息汇总统计!G$2:G$500,MATCH(226,样本到样信息汇总统计!$AA$2:$AA$500,0)),"")</f>
        <v/>
      </c>
      <c r="H227" s="8" t="str">
        <f>IFERROR(INDEX(样本到样信息汇总统计!H$2:H$500,MATCH(226,样本到样信息汇总统计!$AA$2:$AA$500,0)),"")</f>
        <v/>
      </c>
      <c r="I227" s="8" t="str">
        <f>IFERROR(INDEX(样本到样信息汇总统计!I$2:I$500,MATCH(226,样本到样信息汇总统计!$AA$2:$AA$500,0)),"")</f>
        <v/>
      </c>
      <c r="J227" s="8" t="str">
        <f>IFERROR(INDEX(样本到样信息汇总统计!J$2:J$500,MATCH(226,样本到样信息汇总统计!$AA$2:$AA$500,0)),"")</f>
        <v/>
      </c>
      <c r="K227" s="8" t="str">
        <f>IFERROR(INDEX(样本到样信息汇总统计!K$2:K$500,MATCH(226,样本到样信息汇总统计!$AA$2:$AA$500,0)),"")</f>
        <v/>
      </c>
      <c r="L227" s="8" t="str">
        <f>IFERROR(INDEX(样本到样信息汇总统计!L$2:L$500,MATCH(226,样本到样信息汇总统计!$AA$2:$AA$500,0)),"")</f>
        <v/>
      </c>
      <c r="M227" s="8" t="str">
        <f>IFERROR(INDEX(样本到样信息汇总统计!M$2:M$500,MATCH(226,样本到样信息汇总统计!$AA$2:$AA$500,0)),"")</f>
        <v/>
      </c>
      <c r="N227" s="8" t="str">
        <f>IFERROR(INDEX(样本到样信息汇总统计!N$2:N$500,MATCH(226,样本到样信息汇总统计!$AA$2:$AA$500,0)),"")</f>
        <v/>
      </c>
      <c r="O227" s="8" t="str">
        <f>IFERROR(INDEX(样本到样信息汇总统计!O$2:O$500,MATCH(226,样本到样信息汇总统计!$AA$2:$AA$500,0)),"")</f>
        <v/>
      </c>
      <c r="P227" s="8" t="str">
        <f>IFERROR(INDEX(样本到样信息汇总统计!P$2:P$500,MATCH(226,样本到样信息汇总统计!$AA$2:$AA$500,0)),"")</f>
        <v/>
      </c>
      <c r="Q227" s="8" t="str">
        <f>IFERROR(INDEX(样本到样信息汇总统计!Q$2:Q$500,MATCH(226,样本到样信息汇总统计!$AA$2:$AA$500,0)),"")</f>
        <v/>
      </c>
      <c r="R227" s="8" t="str">
        <f>IFERROR(INDEX(样本到样信息汇总统计!R$2:R$500,MATCH(226,样本到样信息汇总统计!$AA$2:$AA$500,0)),"")</f>
        <v/>
      </c>
      <c r="S227" s="8" t="str">
        <f>IFERROR(INDEX(样本到样信息汇总统计!S$2:S$500,MATCH(226,样本到样信息汇总统计!$AA$2:$AA$500,0)),"")</f>
        <v/>
      </c>
      <c r="T227" s="8" t="str">
        <f>IFERROR(INDEX(样本到样信息汇总统计!T$2:T$500,MATCH(226,样本到样信息汇总统计!$AA$2:$AA$500,0)),"")</f>
        <v/>
      </c>
      <c r="U227" s="8" t="str">
        <f>IFERROR(INDEX(样本到样信息汇总统计!U$2:U$500,MATCH(226,样本到样信息汇总统计!$AA$2:$AA$500,0)),"")</f>
        <v/>
      </c>
      <c r="V227" s="8" t="str">
        <f>IFERROR(INDEX(样本到样信息汇总统计!V$2:V$500,MATCH(226,样本到样信息汇总统计!$AA$2:$AA$500,0)),"")</f>
        <v/>
      </c>
      <c r="W227" s="8" t="str">
        <f>IFERROR(INDEX(样本到样信息汇总统计!W$2:W$500,MATCH(226,样本到样信息汇总统计!$AA$2:$AA$500,0)),"")</f>
        <v/>
      </c>
    </row>
    <row r="228" ht="14.5" spans="1:23">
      <c r="A228" s="4" t="str">
        <f>IFERROR(INDEX(样本到样信息汇总统计!A$2:A$500,MATCH(227,样本到样信息汇总统计!$AA$2:$AA$500,0)),"")</f>
        <v/>
      </c>
      <c r="B228" s="4" t="str">
        <f>IFERROR(INDEX(样本到样信息汇总统计!B$2:B$500,MATCH(227,样本到样信息汇总统计!$AA$2:$AA$500,0)),"")</f>
        <v/>
      </c>
      <c r="C228" s="4" t="str">
        <f>IFERROR(INDEX(样本到样信息汇总统计!C$2:C$500,MATCH(227,样本到样信息汇总统计!$AA$2:$AA$500,0)),"")</f>
        <v/>
      </c>
      <c r="D228" s="4" t="str">
        <f>IFERROR(INDEX(样本到样信息汇总统计!D$2:D$500,MATCH(227,样本到样信息汇总统计!$AA$2:$AA$500,0)),"")</f>
        <v/>
      </c>
      <c r="E228" s="4" t="str">
        <f>IFERROR(INDEX(样本到样信息汇总统计!E$2:E$500,MATCH(227,样本到样信息汇总统计!$AA$2:$AA$500,0)),"")</f>
        <v/>
      </c>
      <c r="F228" s="4" t="str">
        <f>IFERROR(INDEX(样本到样信息汇总统计!F$2:F$500,MATCH(227,样本到样信息汇总统计!$AA$2:$AA$500,0)),"")</f>
        <v/>
      </c>
      <c r="G228" s="4" t="str">
        <f>IFERROR(INDEX(样本到样信息汇总统计!G$2:G$500,MATCH(227,样本到样信息汇总统计!$AA$2:$AA$500,0)),"")</f>
        <v/>
      </c>
      <c r="H228" s="4" t="str">
        <f>IFERROR(INDEX(样本到样信息汇总统计!H$2:H$500,MATCH(227,样本到样信息汇总统计!$AA$2:$AA$500,0)),"")</f>
        <v/>
      </c>
      <c r="I228" s="4" t="str">
        <f>IFERROR(INDEX(样本到样信息汇总统计!I$2:I$500,MATCH(227,样本到样信息汇总统计!$AA$2:$AA$500,0)),"")</f>
        <v/>
      </c>
      <c r="J228" s="4" t="str">
        <f>IFERROR(INDEX(样本到样信息汇总统计!J$2:J$500,MATCH(227,样本到样信息汇总统计!$AA$2:$AA$500,0)),"")</f>
        <v/>
      </c>
      <c r="K228" s="4" t="str">
        <f>IFERROR(INDEX(样本到样信息汇总统计!K$2:K$500,MATCH(227,样本到样信息汇总统计!$AA$2:$AA$500,0)),"")</f>
        <v/>
      </c>
      <c r="L228" s="4" t="str">
        <f>IFERROR(INDEX(样本到样信息汇总统计!L$2:L$500,MATCH(227,样本到样信息汇总统计!$AA$2:$AA$500,0)),"")</f>
        <v/>
      </c>
      <c r="M228" s="4" t="str">
        <f>IFERROR(INDEX(样本到样信息汇总统计!M$2:M$500,MATCH(227,样本到样信息汇总统计!$AA$2:$AA$500,0)),"")</f>
        <v/>
      </c>
      <c r="N228" s="4" t="str">
        <f>IFERROR(INDEX(样本到样信息汇总统计!N$2:N$500,MATCH(227,样本到样信息汇总统计!$AA$2:$AA$500,0)),"")</f>
        <v/>
      </c>
      <c r="O228" s="4" t="str">
        <f>IFERROR(INDEX(样本到样信息汇总统计!O$2:O$500,MATCH(227,样本到样信息汇总统计!$AA$2:$AA$500,0)),"")</f>
        <v/>
      </c>
      <c r="P228" s="4" t="str">
        <f>IFERROR(INDEX(样本到样信息汇总统计!P$2:P$500,MATCH(227,样本到样信息汇总统计!$AA$2:$AA$500,0)),"")</f>
        <v/>
      </c>
      <c r="Q228" s="4" t="str">
        <f>IFERROR(INDEX(样本到样信息汇总统计!Q$2:Q$500,MATCH(227,样本到样信息汇总统计!$AA$2:$AA$500,0)),"")</f>
        <v/>
      </c>
      <c r="R228" s="4" t="str">
        <f>IFERROR(INDEX(样本到样信息汇总统计!R$2:R$500,MATCH(227,样本到样信息汇总统计!$AA$2:$AA$500,0)),"")</f>
        <v/>
      </c>
      <c r="S228" s="4" t="str">
        <f>IFERROR(INDEX(样本到样信息汇总统计!S$2:S$500,MATCH(227,样本到样信息汇总统计!$AA$2:$AA$500,0)),"")</f>
        <v/>
      </c>
      <c r="T228" s="4" t="str">
        <f>IFERROR(INDEX(样本到样信息汇总统计!T$2:T$500,MATCH(227,样本到样信息汇总统计!$AA$2:$AA$500,0)),"")</f>
        <v/>
      </c>
      <c r="U228" s="4" t="str">
        <f>IFERROR(INDEX(样本到样信息汇总统计!U$2:U$500,MATCH(227,样本到样信息汇总统计!$AA$2:$AA$500,0)),"")</f>
        <v/>
      </c>
      <c r="V228" s="4" t="str">
        <f>IFERROR(INDEX(样本到样信息汇总统计!V$2:V$500,MATCH(227,样本到样信息汇总统计!$AA$2:$AA$500,0)),"")</f>
        <v/>
      </c>
      <c r="W228" s="4" t="str">
        <f>IFERROR(INDEX(样本到样信息汇总统计!W$2:W$500,MATCH(227,样本到样信息汇总统计!$AA$2:$AA$500,0)),"")</f>
        <v/>
      </c>
    </row>
    <row r="229" ht="14.5" spans="1:23">
      <c r="A229" s="8" t="str">
        <f>IFERROR(INDEX(样本到样信息汇总统计!A$2:A$500,MATCH(228,样本到样信息汇总统计!$AA$2:$AA$500,0)),"")</f>
        <v/>
      </c>
      <c r="B229" s="8" t="str">
        <f>IFERROR(INDEX(样本到样信息汇总统计!B$2:B$500,MATCH(228,样本到样信息汇总统计!$AA$2:$AA$500,0)),"")</f>
        <v/>
      </c>
      <c r="C229" s="8" t="str">
        <f>IFERROR(INDEX(样本到样信息汇总统计!C$2:C$500,MATCH(228,样本到样信息汇总统计!$AA$2:$AA$500,0)),"")</f>
        <v/>
      </c>
      <c r="D229" s="8" t="str">
        <f>IFERROR(INDEX(样本到样信息汇总统计!D$2:D$500,MATCH(228,样本到样信息汇总统计!$AA$2:$AA$500,0)),"")</f>
        <v/>
      </c>
      <c r="E229" s="8" t="str">
        <f>IFERROR(INDEX(样本到样信息汇总统计!E$2:E$500,MATCH(228,样本到样信息汇总统计!$AA$2:$AA$500,0)),"")</f>
        <v/>
      </c>
      <c r="F229" s="8" t="str">
        <f>IFERROR(INDEX(样本到样信息汇总统计!F$2:F$500,MATCH(228,样本到样信息汇总统计!$AA$2:$AA$500,0)),"")</f>
        <v/>
      </c>
      <c r="G229" s="8" t="str">
        <f>IFERROR(INDEX(样本到样信息汇总统计!G$2:G$500,MATCH(228,样本到样信息汇总统计!$AA$2:$AA$500,0)),"")</f>
        <v/>
      </c>
      <c r="H229" s="8" t="str">
        <f>IFERROR(INDEX(样本到样信息汇总统计!H$2:H$500,MATCH(228,样本到样信息汇总统计!$AA$2:$AA$500,0)),"")</f>
        <v/>
      </c>
      <c r="I229" s="8" t="str">
        <f>IFERROR(INDEX(样本到样信息汇总统计!I$2:I$500,MATCH(228,样本到样信息汇总统计!$AA$2:$AA$500,0)),"")</f>
        <v/>
      </c>
      <c r="J229" s="8" t="str">
        <f>IFERROR(INDEX(样本到样信息汇总统计!J$2:J$500,MATCH(228,样本到样信息汇总统计!$AA$2:$AA$500,0)),"")</f>
        <v/>
      </c>
      <c r="K229" s="8" t="str">
        <f>IFERROR(INDEX(样本到样信息汇总统计!K$2:K$500,MATCH(228,样本到样信息汇总统计!$AA$2:$AA$500,0)),"")</f>
        <v/>
      </c>
      <c r="L229" s="8" t="str">
        <f>IFERROR(INDEX(样本到样信息汇总统计!L$2:L$500,MATCH(228,样本到样信息汇总统计!$AA$2:$AA$500,0)),"")</f>
        <v/>
      </c>
      <c r="M229" s="8" t="str">
        <f>IFERROR(INDEX(样本到样信息汇总统计!M$2:M$500,MATCH(228,样本到样信息汇总统计!$AA$2:$AA$500,0)),"")</f>
        <v/>
      </c>
      <c r="N229" s="8" t="str">
        <f>IFERROR(INDEX(样本到样信息汇总统计!N$2:N$500,MATCH(228,样本到样信息汇总统计!$AA$2:$AA$500,0)),"")</f>
        <v/>
      </c>
      <c r="O229" s="8" t="str">
        <f>IFERROR(INDEX(样本到样信息汇总统计!O$2:O$500,MATCH(228,样本到样信息汇总统计!$AA$2:$AA$500,0)),"")</f>
        <v/>
      </c>
      <c r="P229" s="8" t="str">
        <f>IFERROR(INDEX(样本到样信息汇总统计!P$2:P$500,MATCH(228,样本到样信息汇总统计!$AA$2:$AA$500,0)),"")</f>
        <v/>
      </c>
      <c r="Q229" s="8" t="str">
        <f>IFERROR(INDEX(样本到样信息汇总统计!Q$2:Q$500,MATCH(228,样本到样信息汇总统计!$AA$2:$AA$500,0)),"")</f>
        <v/>
      </c>
      <c r="R229" s="8" t="str">
        <f>IFERROR(INDEX(样本到样信息汇总统计!R$2:R$500,MATCH(228,样本到样信息汇总统计!$AA$2:$AA$500,0)),"")</f>
        <v/>
      </c>
      <c r="S229" s="8" t="str">
        <f>IFERROR(INDEX(样本到样信息汇总统计!S$2:S$500,MATCH(228,样本到样信息汇总统计!$AA$2:$AA$500,0)),"")</f>
        <v/>
      </c>
      <c r="T229" s="8" t="str">
        <f>IFERROR(INDEX(样本到样信息汇总统计!T$2:T$500,MATCH(228,样本到样信息汇总统计!$AA$2:$AA$500,0)),"")</f>
        <v/>
      </c>
      <c r="U229" s="8" t="str">
        <f>IFERROR(INDEX(样本到样信息汇总统计!U$2:U$500,MATCH(228,样本到样信息汇总统计!$AA$2:$AA$500,0)),"")</f>
        <v/>
      </c>
      <c r="V229" s="8" t="str">
        <f>IFERROR(INDEX(样本到样信息汇总统计!V$2:V$500,MATCH(228,样本到样信息汇总统计!$AA$2:$AA$500,0)),"")</f>
        <v/>
      </c>
      <c r="W229" s="8" t="str">
        <f>IFERROR(INDEX(样本到样信息汇总统计!W$2:W$500,MATCH(228,样本到样信息汇总统计!$AA$2:$AA$500,0)),"")</f>
        <v/>
      </c>
    </row>
    <row r="230" ht="14.5" spans="1:23">
      <c r="A230" s="4" t="str">
        <f>IFERROR(INDEX(样本到样信息汇总统计!A$2:A$500,MATCH(229,样本到样信息汇总统计!$AA$2:$AA$500,0)),"")</f>
        <v/>
      </c>
      <c r="B230" s="4" t="str">
        <f>IFERROR(INDEX(样本到样信息汇总统计!B$2:B$500,MATCH(229,样本到样信息汇总统计!$AA$2:$AA$500,0)),"")</f>
        <v/>
      </c>
      <c r="C230" s="4" t="str">
        <f>IFERROR(INDEX(样本到样信息汇总统计!C$2:C$500,MATCH(229,样本到样信息汇总统计!$AA$2:$AA$500,0)),"")</f>
        <v/>
      </c>
      <c r="D230" s="4" t="str">
        <f>IFERROR(INDEX(样本到样信息汇总统计!D$2:D$500,MATCH(229,样本到样信息汇总统计!$AA$2:$AA$500,0)),"")</f>
        <v/>
      </c>
      <c r="E230" s="4" t="str">
        <f>IFERROR(INDEX(样本到样信息汇总统计!E$2:E$500,MATCH(229,样本到样信息汇总统计!$AA$2:$AA$500,0)),"")</f>
        <v/>
      </c>
      <c r="F230" s="4" t="str">
        <f>IFERROR(INDEX(样本到样信息汇总统计!F$2:F$500,MATCH(229,样本到样信息汇总统计!$AA$2:$AA$500,0)),"")</f>
        <v/>
      </c>
      <c r="G230" s="4" t="str">
        <f>IFERROR(INDEX(样本到样信息汇总统计!G$2:G$500,MATCH(229,样本到样信息汇总统计!$AA$2:$AA$500,0)),"")</f>
        <v/>
      </c>
      <c r="H230" s="4" t="str">
        <f>IFERROR(INDEX(样本到样信息汇总统计!H$2:H$500,MATCH(229,样本到样信息汇总统计!$AA$2:$AA$500,0)),"")</f>
        <v/>
      </c>
      <c r="I230" s="4" t="str">
        <f>IFERROR(INDEX(样本到样信息汇总统计!I$2:I$500,MATCH(229,样本到样信息汇总统计!$AA$2:$AA$500,0)),"")</f>
        <v/>
      </c>
      <c r="J230" s="4" t="str">
        <f>IFERROR(INDEX(样本到样信息汇总统计!J$2:J$500,MATCH(229,样本到样信息汇总统计!$AA$2:$AA$500,0)),"")</f>
        <v/>
      </c>
      <c r="K230" s="4" t="str">
        <f>IFERROR(INDEX(样本到样信息汇总统计!K$2:K$500,MATCH(229,样本到样信息汇总统计!$AA$2:$AA$500,0)),"")</f>
        <v/>
      </c>
      <c r="L230" s="4" t="str">
        <f>IFERROR(INDEX(样本到样信息汇总统计!L$2:L$500,MATCH(229,样本到样信息汇总统计!$AA$2:$AA$500,0)),"")</f>
        <v/>
      </c>
      <c r="M230" s="4" t="str">
        <f>IFERROR(INDEX(样本到样信息汇总统计!M$2:M$500,MATCH(229,样本到样信息汇总统计!$AA$2:$AA$500,0)),"")</f>
        <v/>
      </c>
      <c r="N230" s="4" t="str">
        <f>IFERROR(INDEX(样本到样信息汇总统计!N$2:N$500,MATCH(229,样本到样信息汇总统计!$AA$2:$AA$500,0)),"")</f>
        <v/>
      </c>
      <c r="O230" s="4" t="str">
        <f>IFERROR(INDEX(样本到样信息汇总统计!O$2:O$500,MATCH(229,样本到样信息汇总统计!$AA$2:$AA$500,0)),"")</f>
        <v/>
      </c>
      <c r="P230" s="4" t="str">
        <f>IFERROR(INDEX(样本到样信息汇总统计!P$2:P$500,MATCH(229,样本到样信息汇总统计!$AA$2:$AA$500,0)),"")</f>
        <v/>
      </c>
      <c r="Q230" s="4" t="str">
        <f>IFERROR(INDEX(样本到样信息汇总统计!Q$2:Q$500,MATCH(229,样本到样信息汇总统计!$AA$2:$AA$500,0)),"")</f>
        <v/>
      </c>
      <c r="R230" s="4" t="str">
        <f>IFERROR(INDEX(样本到样信息汇总统计!R$2:R$500,MATCH(229,样本到样信息汇总统计!$AA$2:$AA$500,0)),"")</f>
        <v/>
      </c>
      <c r="S230" s="4" t="str">
        <f>IFERROR(INDEX(样本到样信息汇总统计!S$2:S$500,MATCH(229,样本到样信息汇总统计!$AA$2:$AA$500,0)),"")</f>
        <v/>
      </c>
      <c r="T230" s="4" t="str">
        <f>IFERROR(INDEX(样本到样信息汇总统计!T$2:T$500,MATCH(229,样本到样信息汇总统计!$AA$2:$AA$500,0)),"")</f>
        <v/>
      </c>
      <c r="U230" s="4" t="str">
        <f>IFERROR(INDEX(样本到样信息汇总统计!U$2:U$500,MATCH(229,样本到样信息汇总统计!$AA$2:$AA$500,0)),"")</f>
        <v/>
      </c>
      <c r="V230" s="4" t="str">
        <f>IFERROR(INDEX(样本到样信息汇总统计!V$2:V$500,MATCH(229,样本到样信息汇总统计!$AA$2:$AA$500,0)),"")</f>
        <v/>
      </c>
      <c r="W230" s="4" t="str">
        <f>IFERROR(INDEX(样本到样信息汇总统计!W$2:W$500,MATCH(229,样本到样信息汇总统计!$AA$2:$AA$500,0)),"")</f>
        <v/>
      </c>
    </row>
    <row r="231" ht="14.5" spans="1:23">
      <c r="A231" s="8" t="str">
        <f>IFERROR(INDEX(样本到样信息汇总统计!A$2:A$500,MATCH(230,样本到样信息汇总统计!$AA$2:$AA$500,0)),"")</f>
        <v/>
      </c>
      <c r="B231" s="8" t="str">
        <f>IFERROR(INDEX(样本到样信息汇总统计!B$2:B$500,MATCH(230,样本到样信息汇总统计!$AA$2:$AA$500,0)),"")</f>
        <v/>
      </c>
      <c r="C231" s="8" t="str">
        <f>IFERROR(INDEX(样本到样信息汇总统计!C$2:C$500,MATCH(230,样本到样信息汇总统计!$AA$2:$AA$500,0)),"")</f>
        <v/>
      </c>
      <c r="D231" s="8" t="str">
        <f>IFERROR(INDEX(样本到样信息汇总统计!D$2:D$500,MATCH(230,样本到样信息汇总统计!$AA$2:$AA$500,0)),"")</f>
        <v/>
      </c>
      <c r="E231" s="8" t="str">
        <f>IFERROR(INDEX(样本到样信息汇总统计!E$2:E$500,MATCH(230,样本到样信息汇总统计!$AA$2:$AA$500,0)),"")</f>
        <v/>
      </c>
      <c r="F231" s="8" t="str">
        <f>IFERROR(INDEX(样本到样信息汇总统计!F$2:F$500,MATCH(230,样本到样信息汇总统计!$AA$2:$AA$500,0)),"")</f>
        <v/>
      </c>
      <c r="G231" s="8" t="str">
        <f>IFERROR(INDEX(样本到样信息汇总统计!G$2:G$500,MATCH(230,样本到样信息汇总统计!$AA$2:$AA$500,0)),"")</f>
        <v/>
      </c>
      <c r="H231" s="8" t="str">
        <f>IFERROR(INDEX(样本到样信息汇总统计!H$2:H$500,MATCH(230,样本到样信息汇总统计!$AA$2:$AA$500,0)),"")</f>
        <v/>
      </c>
      <c r="I231" s="8" t="str">
        <f>IFERROR(INDEX(样本到样信息汇总统计!I$2:I$500,MATCH(230,样本到样信息汇总统计!$AA$2:$AA$500,0)),"")</f>
        <v/>
      </c>
      <c r="J231" s="8" t="str">
        <f>IFERROR(INDEX(样本到样信息汇总统计!J$2:J$500,MATCH(230,样本到样信息汇总统计!$AA$2:$AA$500,0)),"")</f>
        <v/>
      </c>
      <c r="K231" s="8" t="str">
        <f>IFERROR(INDEX(样本到样信息汇总统计!K$2:K$500,MATCH(230,样本到样信息汇总统计!$AA$2:$AA$500,0)),"")</f>
        <v/>
      </c>
      <c r="L231" s="8" t="str">
        <f>IFERROR(INDEX(样本到样信息汇总统计!L$2:L$500,MATCH(230,样本到样信息汇总统计!$AA$2:$AA$500,0)),"")</f>
        <v/>
      </c>
      <c r="M231" s="8" t="str">
        <f>IFERROR(INDEX(样本到样信息汇总统计!M$2:M$500,MATCH(230,样本到样信息汇总统计!$AA$2:$AA$500,0)),"")</f>
        <v/>
      </c>
      <c r="N231" s="8" t="str">
        <f>IFERROR(INDEX(样本到样信息汇总统计!N$2:N$500,MATCH(230,样本到样信息汇总统计!$AA$2:$AA$500,0)),"")</f>
        <v/>
      </c>
      <c r="O231" s="8" t="str">
        <f>IFERROR(INDEX(样本到样信息汇总统计!O$2:O$500,MATCH(230,样本到样信息汇总统计!$AA$2:$AA$500,0)),"")</f>
        <v/>
      </c>
      <c r="P231" s="8" t="str">
        <f>IFERROR(INDEX(样本到样信息汇总统计!P$2:P$500,MATCH(230,样本到样信息汇总统计!$AA$2:$AA$500,0)),"")</f>
        <v/>
      </c>
      <c r="Q231" s="8" t="str">
        <f>IFERROR(INDEX(样本到样信息汇总统计!Q$2:Q$500,MATCH(230,样本到样信息汇总统计!$AA$2:$AA$500,0)),"")</f>
        <v/>
      </c>
      <c r="R231" s="8" t="str">
        <f>IFERROR(INDEX(样本到样信息汇总统计!R$2:R$500,MATCH(230,样本到样信息汇总统计!$AA$2:$AA$500,0)),"")</f>
        <v/>
      </c>
      <c r="S231" s="8" t="str">
        <f>IFERROR(INDEX(样本到样信息汇总统计!S$2:S$500,MATCH(230,样本到样信息汇总统计!$AA$2:$AA$500,0)),"")</f>
        <v/>
      </c>
      <c r="T231" s="8" t="str">
        <f>IFERROR(INDEX(样本到样信息汇总统计!T$2:T$500,MATCH(230,样本到样信息汇总统计!$AA$2:$AA$500,0)),"")</f>
        <v/>
      </c>
      <c r="U231" s="8" t="str">
        <f>IFERROR(INDEX(样本到样信息汇总统计!U$2:U$500,MATCH(230,样本到样信息汇总统计!$AA$2:$AA$500,0)),"")</f>
        <v/>
      </c>
      <c r="V231" s="8" t="str">
        <f>IFERROR(INDEX(样本到样信息汇总统计!V$2:V$500,MATCH(230,样本到样信息汇总统计!$AA$2:$AA$500,0)),"")</f>
        <v/>
      </c>
      <c r="W231" s="8" t="str">
        <f>IFERROR(INDEX(样本到样信息汇总统计!W$2:W$500,MATCH(230,样本到样信息汇总统计!$AA$2:$AA$500,0)),"")</f>
        <v/>
      </c>
    </row>
    <row r="232" ht="14.5" spans="1:23">
      <c r="A232" s="4" t="str">
        <f>IFERROR(INDEX(样本到样信息汇总统计!A$2:A$500,MATCH(231,样本到样信息汇总统计!$AA$2:$AA$500,0)),"")</f>
        <v/>
      </c>
      <c r="B232" s="4" t="str">
        <f>IFERROR(INDEX(样本到样信息汇总统计!B$2:B$500,MATCH(231,样本到样信息汇总统计!$AA$2:$AA$500,0)),"")</f>
        <v/>
      </c>
      <c r="C232" s="4" t="str">
        <f>IFERROR(INDEX(样本到样信息汇总统计!C$2:C$500,MATCH(231,样本到样信息汇总统计!$AA$2:$AA$500,0)),"")</f>
        <v/>
      </c>
      <c r="D232" s="4" t="str">
        <f>IFERROR(INDEX(样本到样信息汇总统计!D$2:D$500,MATCH(231,样本到样信息汇总统计!$AA$2:$AA$500,0)),"")</f>
        <v/>
      </c>
      <c r="E232" s="4" t="str">
        <f>IFERROR(INDEX(样本到样信息汇总统计!E$2:E$500,MATCH(231,样本到样信息汇总统计!$AA$2:$AA$500,0)),"")</f>
        <v/>
      </c>
      <c r="F232" s="4" t="str">
        <f>IFERROR(INDEX(样本到样信息汇总统计!F$2:F$500,MATCH(231,样本到样信息汇总统计!$AA$2:$AA$500,0)),"")</f>
        <v/>
      </c>
      <c r="G232" s="4" t="str">
        <f>IFERROR(INDEX(样本到样信息汇总统计!G$2:G$500,MATCH(231,样本到样信息汇总统计!$AA$2:$AA$500,0)),"")</f>
        <v/>
      </c>
      <c r="H232" s="4" t="str">
        <f>IFERROR(INDEX(样本到样信息汇总统计!H$2:H$500,MATCH(231,样本到样信息汇总统计!$AA$2:$AA$500,0)),"")</f>
        <v/>
      </c>
      <c r="I232" s="4" t="str">
        <f>IFERROR(INDEX(样本到样信息汇总统计!I$2:I$500,MATCH(231,样本到样信息汇总统计!$AA$2:$AA$500,0)),"")</f>
        <v/>
      </c>
      <c r="J232" s="4" t="str">
        <f>IFERROR(INDEX(样本到样信息汇总统计!J$2:J$500,MATCH(231,样本到样信息汇总统计!$AA$2:$AA$500,0)),"")</f>
        <v/>
      </c>
      <c r="K232" s="4" t="str">
        <f>IFERROR(INDEX(样本到样信息汇总统计!K$2:K$500,MATCH(231,样本到样信息汇总统计!$AA$2:$AA$500,0)),"")</f>
        <v/>
      </c>
      <c r="L232" s="4" t="str">
        <f>IFERROR(INDEX(样本到样信息汇总统计!L$2:L$500,MATCH(231,样本到样信息汇总统计!$AA$2:$AA$500,0)),"")</f>
        <v/>
      </c>
      <c r="M232" s="4" t="str">
        <f>IFERROR(INDEX(样本到样信息汇总统计!M$2:M$500,MATCH(231,样本到样信息汇总统计!$AA$2:$AA$500,0)),"")</f>
        <v/>
      </c>
      <c r="N232" s="4" t="str">
        <f>IFERROR(INDEX(样本到样信息汇总统计!N$2:N$500,MATCH(231,样本到样信息汇总统计!$AA$2:$AA$500,0)),"")</f>
        <v/>
      </c>
      <c r="O232" s="4" t="str">
        <f>IFERROR(INDEX(样本到样信息汇总统计!O$2:O$500,MATCH(231,样本到样信息汇总统计!$AA$2:$AA$500,0)),"")</f>
        <v/>
      </c>
      <c r="P232" s="4" t="str">
        <f>IFERROR(INDEX(样本到样信息汇总统计!P$2:P$500,MATCH(231,样本到样信息汇总统计!$AA$2:$AA$500,0)),"")</f>
        <v/>
      </c>
      <c r="Q232" s="4" t="str">
        <f>IFERROR(INDEX(样本到样信息汇总统计!Q$2:Q$500,MATCH(231,样本到样信息汇总统计!$AA$2:$AA$500,0)),"")</f>
        <v/>
      </c>
      <c r="R232" s="4" t="str">
        <f>IFERROR(INDEX(样本到样信息汇总统计!R$2:R$500,MATCH(231,样本到样信息汇总统计!$AA$2:$AA$500,0)),"")</f>
        <v/>
      </c>
      <c r="S232" s="4" t="str">
        <f>IFERROR(INDEX(样本到样信息汇总统计!S$2:S$500,MATCH(231,样本到样信息汇总统计!$AA$2:$AA$500,0)),"")</f>
        <v/>
      </c>
      <c r="T232" s="4" t="str">
        <f>IFERROR(INDEX(样本到样信息汇总统计!T$2:T$500,MATCH(231,样本到样信息汇总统计!$AA$2:$AA$500,0)),"")</f>
        <v/>
      </c>
      <c r="U232" s="4" t="str">
        <f>IFERROR(INDEX(样本到样信息汇总统计!U$2:U$500,MATCH(231,样本到样信息汇总统计!$AA$2:$AA$500,0)),"")</f>
        <v/>
      </c>
      <c r="V232" s="4" t="str">
        <f>IFERROR(INDEX(样本到样信息汇总统计!V$2:V$500,MATCH(231,样本到样信息汇总统计!$AA$2:$AA$500,0)),"")</f>
        <v/>
      </c>
      <c r="W232" s="4" t="str">
        <f>IFERROR(INDEX(样本到样信息汇总统计!W$2:W$500,MATCH(231,样本到样信息汇总统计!$AA$2:$AA$500,0)),"")</f>
        <v/>
      </c>
    </row>
    <row r="233" ht="14.5" spans="1:23">
      <c r="A233" s="8" t="str">
        <f>IFERROR(INDEX(样本到样信息汇总统计!A$2:A$500,MATCH(232,样本到样信息汇总统计!$AA$2:$AA$500,0)),"")</f>
        <v/>
      </c>
      <c r="B233" s="8" t="str">
        <f>IFERROR(INDEX(样本到样信息汇总统计!B$2:B$500,MATCH(232,样本到样信息汇总统计!$AA$2:$AA$500,0)),"")</f>
        <v/>
      </c>
      <c r="C233" s="8" t="str">
        <f>IFERROR(INDEX(样本到样信息汇总统计!C$2:C$500,MATCH(232,样本到样信息汇总统计!$AA$2:$AA$500,0)),"")</f>
        <v/>
      </c>
      <c r="D233" s="8" t="str">
        <f>IFERROR(INDEX(样本到样信息汇总统计!D$2:D$500,MATCH(232,样本到样信息汇总统计!$AA$2:$AA$500,0)),"")</f>
        <v/>
      </c>
      <c r="E233" s="8" t="str">
        <f>IFERROR(INDEX(样本到样信息汇总统计!E$2:E$500,MATCH(232,样本到样信息汇总统计!$AA$2:$AA$500,0)),"")</f>
        <v/>
      </c>
      <c r="F233" s="8" t="str">
        <f>IFERROR(INDEX(样本到样信息汇总统计!F$2:F$500,MATCH(232,样本到样信息汇总统计!$AA$2:$AA$500,0)),"")</f>
        <v/>
      </c>
      <c r="G233" s="8" t="str">
        <f>IFERROR(INDEX(样本到样信息汇总统计!G$2:G$500,MATCH(232,样本到样信息汇总统计!$AA$2:$AA$500,0)),"")</f>
        <v/>
      </c>
      <c r="H233" s="8" t="str">
        <f>IFERROR(INDEX(样本到样信息汇总统计!H$2:H$500,MATCH(232,样本到样信息汇总统计!$AA$2:$AA$500,0)),"")</f>
        <v/>
      </c>
      <c r="I233" s="8" t="str">
        <f>IFERROR(INDEX(样本到样信息汇总统计!I$2:I$500,MATCH(232,样本到样信息汇总统计!$AA$2:$AA$500,0)),"")</f>
        <v/>
      </c>
      <c r="J233" s="8" t="str">
        <f>IFERROR(INDEX(样本到样信息汇总统计!J$2:J$500,MATCH(232,样本到样信息汇总统计!$AA$2:$AA$500,0)),"")</f>
        <v/>
      </c>
      <c r="K233" s="8" t="str">
        <f>IFERROR(INDEX(样本到样信息汇总统计!K$2:K$500,MATCH(232,样本到样信息汇总统计!$AA$2:$AA$500,0)),"")</f>
        <v/>
      </c>
      <c r="L233" s="8" t="str">
        <f>IFERROR(INDEX(样本到样信息汇总统计!L$2:L$500,MATCH(232,样本到样信息汇总统计!$AA$2:$AA$500,0)),"")</f>
        <v/>
      </c>
      <c r="M233" s="8" t="str">
        <f>IFERROR(INDEX(样本到样信息汇总统计!M$2:M$500,MATCH(232,样本到样信息汇总统计!$AA$2:$AA$500,0)),"")</f>
        <v/>
      </c>
      <c r="N233" s="8" t="str">
        <f>IFERROR(INDEX(样本到样信息汇总统计!N$2:N$500,MATCH(232,样本到样信息汇总统计!$AA$2:$AA$500,0)),"")</f>
        <v/>
      </c>
      <c r="O233" s="8" t="str">
        <f>IFERROR(INDEX(样本到样信息汇总统计!O$2:O$500,MATCH(232,样本到样信息汇总统计!$AA$2:$AA$500,0)),"")</f>
        <v/>
      </c>
      <c r="P233" s="8" t="str">
        <f>IFERROR(INDEX(样本到样信息汇总统计!P$2:P$500,MATCH(232,样本到样信息汇总统计!$AA$2:$AA$500,0)),"")</f>
        <v/>
      </c>
      <c r="Q233" s="8" t="str">
        <f>IFERROR(INDEX(样本到样信息汇总统计!Q$2:Q$500,MATCH(232,样本到样信息汇总统计!$AA$2:$AA$500,0)),"")</f>
        <v/>
      </c>
      <c r="R233" s="8" t="str">
        <f>IFERROR(INDEX(样本到样信息汇总统计!R$2:R$500,MATCH(232,样本到样信息汇总统计!$AA$2:$AA$500,0)),"")</f>
        <v/>
      </c>
      <c r="S233" s="8" t="str">
        <f>IFERROR(INDEX(样本到样信息汇总统计!S$2:S$500,MATCH(232,样本到样信息汇总统计!$AA$2:$AA$500,0)),"")</f>
        <v/>
      </c>
      <c r="T233" s="8" t="str">
        <f>IFERROR(INDEX(样本到样信息汇总统计!T$2:T$500,MATCH(232,样本到样信息汇总统计!$AA$2:$AA$500,0)),"")</f>
        <v/>
      </c>
      <c r="U233" s="8" t="str">
        <f>IFERROR(INDEX(样本到样信息汇总统计!U$2:U$500,MATCH(232,样本到样信息汇总统计!$AA$2:$AA$500,0)),"")</f>
        <v/>
      </c>
      <c r="V233" s="8" t="str">
        <f>IFERROR(INDEX(样本到样信息汇总统计!V$2:V$500,MATCH(232,样本到样信息汇总统计!$AA$2:$AA$500,0)),"")</f>
        <v/>
      </c>
      <c r="W233" s="8" t="str">
        <f>IFERROR(INDEX(样本到样信息汇总统计!W$2:W$500,MATCH(232,样本到样信息汇总统计!$AA$2:$AA$500,0)),"")</f>
        <v/>
      </c>
    </row>
    <row r="234" ht="14.5" spans="1:23">
      <c r="A234" s="4" t="str">
        <f>IFERROR(INDEX(样本到样信息汇总统计!A$2:A$500,MATCH(233,样本到样信息汇总统计!$AA$2:$AA$500,0)),"")</f>
        <v/>
      </c>
      <c r="B234" s="4" t="str">
        <f>IFERROR(INDEX(样本到样信息汇总统计!B$2:B$500,MATCH(233,样本到样信息汇总统计!$AA$2:$AA$500,0)),"")</f>
        <v/>
      </c>
      <c r="C234" s="4" t="str">
        <f>IFERROR(INDEX(样本到样信息汇总统计!C$2:C$500,MATCH(233,样本到样信息汇总统计!$AA$2:$AA$500,0)),"")</f>
        <v/>
      </c>
      <c r="D234" s="4" t="str">
        <f>IFERROR(INDEX(样本到样信息汇总统计!D$2:D$500,MATCH(233,样本到样信息汇总统计!$AA$2:$AA$500,0)),"")</f>
        <v/>
      </c>
      <c r="E234" s="4" t="str">
        <f>IFERROR(INDEX(样本到样信息汇总统计!E$2:E$500,MATCH(233,样本到样信息汇总统计!$AA$2:$AA$500,0)),"")</f>
        <v/>
      </c>
      <c r="F234" s="4" t="str">
        <f>IFERROR(INDEX(样本到样信息汇总统计!F$2:F$500,MATCH(233,样本到样信息汇总统计!$AA$2:$AA$500,0)),"")</f>
        <v/>
      </c>
      <c r="G234" s="4" t="str">
        <f>IFERROR(INDEX(样本到样信息汇总统计!G$2:G$500,MATCH(233,样本到样信息汇总统计!$AA$2:$AA$500,0)),"")</f>
        <v/>
      </c>
      <c r="H234" s="4" t="str">
        <f>IFERROR(INDEX(样本到样信息汇总统计!H$2:H$500,MATCH(233,样本到样信息汇总统计!$AA$2:$AA$500,0)),"")</f>
        <v/>
      </c>
      <c r="I234" s="4" t="str">
        <f>IFERROR(INDEX(样本到样信息汇总统计!I$2:I$500,MATCH(233,样本到样信息汇总统计!$AA$2:$AA$500,0)),"")</f>
        <v/>
      </c>
      <c r="J234" s="4" t="str">
        <f>IFERROR(INDEX(样本到样信息汇总统计!J$2:J$500,MATCH(233,样本到样信息汇总统计!$AA$2:$AA$500,0)),"")</f>
        <v/>
      </c>
      <c r="K234" s="4" t="str">
        <f>IFERROR(INDEX(样本到样信息汇总统计!K$2:K$500,MATCH(233,样本到样信息汇总统计!$AA$2:$AA$500,0)),"")</f>
        <v/>
      </c>
      <c r="L234" s="4" t="str">
        <f>IFERROR(INDEX(样本到样信息汇总统计!L$2:L$500,MATCH(233,样本到样信息汇总统计!$AA$2:$AA$500,0)),"")</f>
        <v/>
      </c>
      <c r="M234" s="4" t="str">
        <f>IFERROR(INDEX(样本到样信息汇总统计!M$2:M$500,MATCH(233,样本到样信息汇总统计!$AA$2:$AA$500,0)),"")</f>
        <v/>
      </c>
      <c r="N234" s="4" t="str">
        <f>IFERROR(INDEX(样本到样信息汇总统计!N$2:N$500,MATCH(233,样本到样信息汇总统计!$AA$2:$AA$500,0)),"")</f>
        <v/>
      </c>
      <c r="O234" s="4" t="str">
        <f>IFERROR(INDEX(样本到样信息汇总统计!O$2:O$500,MATCH(233,样本到样信息汇总统计!$AA$2:$AA$500,0)),"")</f>
        <v/>
      </c>
      <c r="P234" s="4" t="str">
        <f>IFERROR(INDEX(样本到样信息汇总统计!P$2:P$500,MATCH(233,样本到样信息汇总统计!$AA$2:$AA$500,0)),"")</f>
        <v/>
      </c>
      <c r="Q234" s="4" t="str">
        <f>IFERROR(INDEX(样本到样信息汇总统计!Q$2:Q$500,MATCH(233,样本到样信息汇总统计!$AA$2:$AA$500,0)),"")</f>
        <v/>
      </c>
      <c r="R234" s="4" t="str">
        <f>IFERROR(INDEX(样本到样信息汇总统计!R$2:R$500,MATCH(233,样本到样信息汇总统计!$AA$2:$AA$500,0)),"")</f>
        <v/>
      </c>
      <c r="S234" s="4" t="str">
        <f>IFERROR(INDEX(样本到样信息汇总统计!S$2:S$500,MATCH(233,样本到样信息汇总统计!$AA$2:$AA$500,0)),"")</f>
        <v/>
      </c>
      <c r="T234" s="4" t="str">
        <f>IFERROR(INDEX(样本到样信息汇总统计!T$2:T$500,MATCH(233,样本到样信息汇总统计!$AA$2:$AA$500,0)),"")</f>
        <v/>
      </c>
      <c r="U234" s="4" t="str">
        <f>IFERROR(INDEX(样本到样信息汇总统计!U$2:U$500,MATCH(233,样本到样信息汇总统计!$AA$2:$AA$500,0)),"")</f>
        <v/>
      </c>
      <c r="V234" s="4" t="str">
        <f>IFERROR(INDEX(样本到样信息汇总统计!V$2:V$500,MATCH(233,样本到样信息汇总统计!$AA$2:$AA$500,0)),"")</f>
        <v/>
      </c>
      <c r="W234" s="4" t="str">
        <f>IFERROR(INDEX(样本到样信息汇总统计!W$2:W$500,MATCH(233,样本到样信息汇总统计!$AA$2:$AA$500,0)),"")</f>
        <v/>
      </c>
    </row>
    <row r="235" ht="14.5" spans="1:23">
      <c r="A235" s="8" t="str">
        <f>IFERROR(INDEX(样本到样信息汇总统计!A$2:A$500,MATCH(234,样本到样信息汇总统计!$AA$2:$AA$500,0)),"")</f>
        <v/>
      </c>
      <c r="B235" s="8" t="str">
        <f>IFERROR(INDEX(样本到样信息汇总统计!B$2:B$500,MATCH(234,样本到样信息汇总统计!$AA$2:$AA$500,0)),"")</f>
        <v/>
      </c>
      <c r="C235" s="8" t="str">
        <f>IFERROR(INDEX(样本到样信息汇总统计!C$2:C$500,MATCH(234,样本到样信息汇总统计!$AA$2:$AA$500,0)),"")</f>
        <v/>
      </c>
      <c r="D235" s="8" t="str">
        <f>IFERROR(INDEX(样本到样信息汇总统计!D$2:D$500,MATCH(234,样本到样信息汇总统计!$AA$2:$AA$500,0)),"")</f>
        <v/>
      </c>
      <c r="E235" s="8" t="str">
        <f>IFERROR(INDEX(样本到样信息汇总统计!E$2:E$500,MATCH(234,样本到样信息汇总统计!$AA$2:$AA$500,0)),"")</f>
        <v/>
      </c>
      <c r="F235" s="8" t="str">
        <f>IFERROR(INDEX(样本到样信息汇总统计!F$2:F$500,MATCH(234,样本到样信息汇总统计!$AA$2:$AA$500,0)),"")</f>
        <v/>
      </c>
      <c r="G235" s="8" t="str">
        <f>IFERROR(INDEX(样本到样信息汇总统计!G$2:G$500,MATCH(234,样本到样信息汇总统计!$AA$2:$AA$500,0)),"")</f>
        <v/>
      </c>
      <c r="H235" s="8" t="str">
        <f>IFERROR(INDEX(样本到样信息汇总统计!H$2:H$500,MATCH(234,样本到样信息汇总统计!$AA$2:$AA$500,0)),"")</f>
        <v/>
      </c>
      <c r="I235" s="8" t="str">
        <f>IFERROR(INDEX(样本到样信息汇总统计!I$2:I$500,MATCH(234,样本到样信息汇总统计!$AA$2:$AA$500,0)),"")</f>
        <v/>
      </c>
      <c r="J235" s="8" t="str">
        <f>IFERROR(INDEX(样本到样信息汇总统计!J$2:J$500,MATCH(234,样本到样信息汇总统计!$AA$2:$AA$500,0)),"")</f>
        <v/>
      </c>
      <c r="K235" s="8" t="str">
        <f>IFERROR(INDEX(样本到样信息汇总统计!K$2:K$500,MATCH(234,样本到样信息汇总统计!$AA$2:$AA$500,0)),"")</f>
        <v/>
      </c>
      <c r="L235" s="8" t="str">
        <f>IFERROR(INDEX(样本到样信息汇总统计!L$2:L$500,MATCH(234,样本到样信息汇总统计!$AA$2:$AA$500,0)),"")</f>
        <v/>
      </c>
      <c r="M235" s="8" t="str">
        <f>IFERROR(INDEX(样本到样信息汇总统计!M$2:M$500,MATCH(234,样本到样信息汇总统计!$AA$2:$AA$500,0)),"")</f>
        <v/>
      </c>
      <c r="N235" s="8" t="str">
        <f>IFERROR(INDEX(样本到样信息汇总统计!N$2:N$500,MATCH(234,样本到样信息汇总统计!$AA$2:$AA$500,0)),"")</f>
        <v/>
      </c>
      <c r="O235" s="8" t="str">
        <f>IFERROR(INDEX(样本到样信息汇总统计!O$2:O$500,MATCH(234,样本到样信息汇总统计!$AA$2:$AA$500,0)),"")</f>
        <v/>
      </c>
      <c r="P235" s="8" t="str">
        <f>IFERROR(INDEX(样本到样信息汇总统计!P$2:P$500,MATCH(234,样本到样信息汇总统计!$AA$2:$AA$500,0)),"")</f>
        <v/>
      </c>
      <c r="Q235" s="8" t="str">
        <f>IFERROR(INDEX(样本到样信息汇总统计!Q$2:Q$500,MATCH(234,样本到样信息汇总统计!$AA$2:$AA$500,0)),"")</f>
        <v/>
      </c>
      <c r="R235" s="8" t="str">
        <f>IFERROR(INDEX(样本到样信息汇总统计!R$2:R$500,MATCH(234,样本到样信息汇总统计!$AA$2:$AA$500,0)),"")</f>
        <v/>
      </c>
      <c r="S235" s="8" t="str">
        <f>IFERROR(INDEX(样本到样信息汇总统计!S$2:S$500,MATCH(234,样本到样信息汇总统计!$AA$2:$AA$500,0)),"")</f>
        <v/>
      </c>
      <c r="T235" s="8" t="str">
        <f>IFERROR(INDEX(样本到样信息汇总统计!T$2:T$500,MATCH(234,样本到样信息汇总统计!$AA$2:$AA$500,0)),"")</f>
        <v/>
      </c>
      <c r="U235" s="8" t="str">
        <f>IFERROR(INDEX(样本到样信息汇总统计!U$2:U$500,MATCH(234,样本到样信息汇总统计!$AA$2:$AA$500,0)),"")</f>
        <v/>
      </c>
      <c r="V235" s="8" t="str">
        <f>IFERROR(INDEX(样本到样信息汇总统计!V$2:V$500,MATCH(234,样本到样信息汇总统计!$AA$2:$AA$500,0)),"")</f>
        <v/>
      </c>
      <c r="W235" s="8" t="str">
        <f>IFERROR(INDEX(样本到样信息汇总统计!W$2:W$500,MATCH(234,样本到样信息汇总统计!$AA$2:$AA$500,0)),"")</f>
        <v/>
      </c>
    </row>
    <row r="236" ht="14.5" spans="1:23">
      <c r="A236" s="4" t="str">
        <f>IFERROR(INDEX(样本到样信息汇总统计!A$2:A$500,MATCH(235,样本到样信息汇总统计!$AA$2:$AA$500,0)),"")</f>
        <v/>
      </c>
      <c r="B236" s="4" t="str">
        <f>IFERROR(INDEX(样本到样信息汇总统计!B$2:B$500,MATCH(235,样本到样信息汇总统计!$AA$2:$AA$500,0)),"")</f>
        <v/>
      </c>
      <c r="C236" s="4" t="str">
        <f>IFERROR(INDEX(样本到样信息汇总统计!C$2:C$500,MATCH(235,样本到样信息汇总统计!$AA$2:$AA$500,0)),"")</f>
        <v/>
      </c>
      <c r="D236" s="4" t="str">
        <f>IFERROR(INDEX(样本到样信息汇总统计!D$2:D$500,MATCH(235,样本到样信息汇总统计!$AA$2:$AA$500,0)),"")</f>
        <v/>
      </c>
      <c r="E236" s="4" t="str">
        <f>IFERROR(INDEX(样本到样信息汇总统计!E$2:E$500,MATCH(235,样本到样信息汇总统计!$AA$2:$AA$500,0)),"")</f>
        <v/>
      </c>
      <c r="F236" s="4" t="str">
        <f>IFERROR(INDEX(样本到样信息汇总统计!F$2:F$500,MATCH(235,样本到样信息汇总统计!$AA$2:$AA$500,0)),"")</f>
        <v/>
      </c>
      <c r="G236" s="4" t="str">
        <f>IFERROR(INDEX(样本到样信息汇总统计!G$2:G$500,MATCH(235,样本到样信息汇总统计!$AA$2:$AA$500,0)),"")</f>
        <v/>
      </c>
      <c r="H236" s="4" t="str">
        <f>IFERROR(INDEX(样本到样信息汇总统计!H$2:H$500,MATCH(235,样本到样信息汇总统计!$AA$2:$AA$500,0)),"")</f>
        <v/>
      </c>
      <c r="I236" s="4" t="str">
        <f>IFERROR(INDEX(样本到样信息汇总统计!I$2:I$500,MATCH(235,样本到样信息汇总统计!$AA$2:$AA$500,0)),"")</f>
        <v/>
      </c>
      <c r="J236" s="4" t="str">
        <f>IFERROR(INDEX(样本到样信息汇总统计!J$2:J$500,MATCH(235,样本到样信息汇总统计!$AA$2:$AA$500,0)),"")</f>
        <v/>
      </c>
      <c r="K236" s="4" t="str">
        <f>IFERROR(INDEX(样本到样信息汇总统计!K$2:K$500,MATCH(235,样本到样信息汇总统计!$AA$2:$AA$500,0)),"")</f>
        <v/>
      </c>
      <c r="L236" s="4" t="str">
        <f>IFERROR(INDEX(样本到样信息汇总统计!L$2:L$500,MATCH(235,样本到样信息汇总统计!$AA$2:$AA$500,0)),"")</f>
        <v/>
      </c>
      <c r="M236" s="4" t="str">
        <f>IFERROR(INDEX(样本到样信息汇总统计!M$2:M$500,MATCH(235,样本到样信息汇总统计!$AA$2:$AA$500,0)),"")</f>
        <v/>
      </c>
      <c r="N236" s="4" t="str">
        <f>IFERROR(INDEX(样本到样信息汇总统计!N$2:N$500,MATCH(235,样本到样信息汇总统计!$AA$2:$AA$500,0)),"")</f>
        <v/>
      </c>
      <c r="O236" s="4" t="str">
        <f>IFERROR(INDEX(样本到样信息汇总统计!O$2:O$500,MATCH(235,样本到样信息汇总统计!$AA$2:$AA$500,0)),"")</f>
        <v/>
      </c>
      <c r="P236" s="4" t="str">
        <f>IFERROR(INDEX(样本到样信息汇总统计!P$2:P$500,MATCH(235,样本到样信息汇总统计!$AA$2:$AA$500,0)),"")</f>
        <v/>
      </c>
      <c r="Q236" s="4" t="str">
        <f>IFERROR(INDEX(样本到样信息汇总统计!Q$2:Q$500,MATCH(235,样本到样信息汇总统计!$AA$2:$AA$500,0)),"")</f>
        <v/>
      </c>
      <c r="R236" s="4" t="str">
        <f>IFERROR(INDEX(样本到样信息汇总统计!R$2:R$500,MATCH(235,样本到样信息汇总统计!$AA$2:$AA$500,0)),"")</f>
        <v/>
      </c>
      <c r="S236" s="4" t="str">
        <f>IFERROR(INDEX(样本到样信息汇总统计!S$2:S$500,MATCH(235,样本到样信息汇总统计!$AA$2:$AA$500,0)),"")</f>
        <v/>
      </c>
      <c r="T236" s="4" t="str">
        <f>IFERROR(INDEX(样本到样信息汇总统计!T$2:T$500,MATCH(235,样本到样信息汇总统计!$AA$2:$AA$500,0)),"")</f>
        <v/>
      </c>
      <c r="U236" s="4" t="str">
        <f>IFERROR(INDEX(样本到样信息汇总统计!U$2:U$500,MATCH(235,样本到样信息汇总统计!$AA$2:$AA$500,0)),"")</f>
        <v/>
      </c>
      <c r="V236" s="4" t="str">
        <f>IFERROR(INDEX(样本到样信息汇总统计!V$2:V$500,MATCH(235,样本到样信息汇总统计!$AA$2:$AA$500,0)),"")</f>
        <v/>
      </c>
      <c r="W236" s="4" t="str">
        <f>IFERROR(INDEX(样本到样信息汇总统计!W$2:W$500,MATCH(235,样本到样信息汇总统计!$AA$2:$AA$500,0)),"")</f>
        <v/>
      </c>
    </row>
    <row r="237" ht="14.5" spans="1:23">
      <c r="A237" s="8" t="str">
        <f>IFERROR(INDEX(样本到样信息汇总统计!A$2:A$500,MATCH(236,样本到样信息汇总统计!$AA$2:$AA$500,0)),"")</f>
        <v/>
      </c>
      <c r="B237" s="8" t="str">
        <f>IFERROR(INDEX(样本到样信息汇总统计!B$2:B$500,MATCH(236,样本到样信息汇总统计!$AA$2:$AA$500,0)),"")</f>
        <v/>
      </c>
      <c r="C237" s="8" t="str">
        <f>IFERROR(INDEX(样本到样信息汇总统计!C$2:C$500,MATCH(236,样本到样信息汇总统计!$AA$2:$AA$500,0)),"")</f>
        <v/>
      </c>
      <c r="D237" s="8" t="str">
        <f>IFERROR(INDEX(样本到样信息汇总统计!D$2:D$500,MATCH(236,样本到样信息汇总统计!$AA$2:$AA$500,0)),"")</f>
        <v/>
      </c>
      <c r="E237" s="8" t="str">
        <f>IFERROR(INDEX(样本到样信息汇总统计!E$2:E$500,MATCH(236,样本到样信息汇总统计!$AA$2:$AA$500,0)),"")</f>
        <v/>
      </c>
      <c r="F237" s="8" t="str">
        <f>IFERROR(INDEX(样本到样信息汇总统计!F$2:F$500,MATCH(236,样本到样信息汇总统计!$AA$2:$AA$500,0)),"")</f>
        <v/>
      </c>
      <c r="G237" s="8" t="str">
        <f>IFERROR(INDEX(样本到样信息汇总统计!G$2:G$500,MATCH(236,样本到样信息汇总统计!$AA$2:$AA$500,0)),"")</f>
        <v/>
      </c>
      <c r="H237" s="8" t="str">
        <f>IFERROR(INDEX(样本到样信息汇总统计!H$2:H$500,MATCH(236,样本到样信息汇总统计!$AA$2:$AA$500,0)),"")</f>
        <v/>
      </c>
      <c r="I237" s="8" t="str">
        <f>IFERROR(INDEX(样本到样信息汇总统计!I$2:I$500,MATCH(236,样本到样信息汇总统计!$AA$2:$AA$500,0)),"")</f>
        <v/>
      </c>
      <c r="J237" s="8" t="str">
        <f>IFERROR(INDEX(样本到样信息汇总统计!J$2:J$500,MATCH(236,样本到样信息汇总统计!$AA$2:$AA$500,0)),"")</f>
        <v/>
      </c>
      <c r="K237" s="8" t="str">
        <f>IFERROR(INDEX(样本到样信息汇总统计!K$2:K$500,MATCH(236,样本到样信息汇总统计!$AA$2:$AA$500,0)),"")</f>
        <v/>
      </c>
      <c r="L237" s="8" t="str">
        <f>IFERROR(INDEX(样本到样信息汇总统计!L$2:L$500,MATCH(236,样本到样信息汇总统计!$AA$2:$AA$500,0)),"")</f>
        <v/>
      </c>
      <c r="M237" s="8" t="str">
        <f>IFERROR(INDEX(样本到样信息汇总统计!M$2:M$500,MATCH(236,样本到样信息汇总统计!$AA$2:$AA$500,0)),"")</f>
        <v/>
      </c>
      <c r="N237" s="8" t="str">
        <f>IFERROR(INDEX(样本到样信息汇总统计!N$2:N$500,MATCH(236,样本到样信息汇总统计!$AA$2:$AA$500,0)),"")</f>
        <v/>
      </c>
      <c r="O237" s="8" t="str">
        <f>IFERROR(INDEX(样本到样信息汇总统计!O$2:O$500,MATCH(236,样本到样信息汇总统计!$AA$2:$AA$500,0)),"")</f>
        <v/>
      </c>
      <c r="P237" s="8" t="str">
        <f>IFERROR(INDEX(样本到样信息汇总统计!P$2:P$500,MATCH(236,样本到样信息汇总统计!$AA$2:$AA$500,0)),"")</f>
        <v/>
      </c>
      <c r="Q237" s="8" t="str">
        <f>IFERROR(INDEX(样本到样信息汇总统计!Q$2:Q$500,MATCH(236,样本到样信息汇总统计!$AA$2:$AA$500,0)),"")</f>
        <v/>
      </c>
      <c r="R237" s="8" t="str">
        <f>IFERROR(INDEX(样本到样信息汇总统计!R$2:R$500,MATCH(236,样本到样信息汇总统计!$AA$2:$AA$500,0)),"")</f>
        <v/>
      </c>
      <c r="S237" s="8" t="str">
        <f>IFERROR(INDEX(样本到样信息汇总统计!S$2:S$500,MATCH(236,样本到样信息汇总统计!$AA$2:$AA$500,0)),"")</f>
        <v/>
      </c>
      <c r="T237" s="8" t="str">
        <f>IFERROR(INDEX(样本到样信息汇总统计!T$2:T$500,MATCH(236,样本到样信息汇总统计!$AA$2:$AA$500,0)),"")</f>
        <v/>
      </c>
      <c r="U237" s="8" t="str">
        <f>IFERROR(INDEX(样本到样信息汇总统计!U$2:U$500,MATCH(236,样本到样信息汇总统计!$AA$2:$AA$500,0)),"")</f>
        <v/>
      </c>
      <c r="V237" s="8" t="str">
        <f>IFERROR(INDEX(样本到样信息汇总统计!V$2:V$500,MATCH(236,样本到样信息汇总统计!$AA$2:$AA$500,0)),"")</f>
        <v/>
      </c>
      <c r="W237" s="8" t="str">
        <f>IFERROR(INDEX(样本到样信息汇总统计!W$2:W$500,MATCH(236,样本到样信息汇总统计!$AA$2:$AA$500,0)),"")</f>
        <v/>
      </c>
    </row>
    <row r="238" ht="14.5" spans="1:23">
      <c r="A238" s="4" t="str">
        <f>IFERROR(INDEX(样本到样信息汇总统计!A$2:A$500,MATCH(237,样本到样信息汇总统计!$AA$2:$AA$500,0)),"")</f>
        <v/>
      </c>
      <c r="B238" s="4" t="str">
        <f>IFERROR(INDEX(样本到样信息汇总统计!B$2:B$500,MATCH(237,样本到样信息汇总统计!$AA$2:$AA$500,0)),"")</f>
        <v/>
      </c>
      <c r="C238" s="4" t="str">
        <f>IFERROR(INDEX(样本到样信息汇总统计!C$2:C$500,MATCH(237,样本到样信息汇总统计!$AA$2:$AA$500,0)),"")</f>
        <v/>
      </c>
      <c r="D238" s="4" t="str">
        <f>IFERROR(INDEX(样本到样信息汇总统计!D$2:D$500,MATCH(237,样本到样信息汇总统计!$AA$2:$AA$500,0)),"")</f>
        <v/>
      </c>
      <c r="E238" s="4" t="str">
        <f>IFERROR(INDEX(样本到样信息汇总统计!E$2:E$500,MATCH(237,样本到样信息汇总统计!$AA$2:$AA$500,0)),"")</f>
        <v/>
      </c>
      <c r="F238" s="4" t="str">
        <f>IFERROR(INDEX(样本到样信息汇总统计!F$2:F$500,MATCH(237,样本到样信息汇总统计!$AA$2:$AA$500,0)),"")</f>
        <v/>
      </c>
      <c r="G238" s="4" t="str">
        <f>IFERROR(INDEX(样本到样信息汇总统计!G$2:G$500,MATCH(237,样本到样信息汇总统计!$AA$2:$AA$500,0)),"")</f>
        <v/>
      </c>
      <c r="H238" s="4" t="str">
        <f>IFERROR(INDEX(样本到样信息汇总统计!H$2:H$500,MATCH(237,样本到样信息汇总统计!$AA$2:$AA$500,0)),"")</f>
        <v/>
      </c>
      <c r="I238" s="4" t="str">
        <f>IFERROR(INDEX(样本到样信息汇总统计!I$2:I$500,MATCH(237,样本到样信息汇总统计!$AA$2:$AA$500,0)),"")</f>
        <v/>
      </c>
      <c r="J238" s="4" t="str">
        <f>IFERROR(INDEX(样本到样信息汇总统计!J$2:J$500,MATCH(237,样本到样信息汇总统计!$AA$2:$AA$500,0)),"")</f>
        <v/>
      </c>
      <c r="K238" s="4" t="str">
        <f>IFERROR(INDEX(样本到样信息汇总统计!K$2:K$500,MATCH(237,样本到样信息汇总统计!$AA$2:$AA$500,0)),"")</f>
        <v/>
      </c>
      <c r="L238" s="4" t="str">
        <f>IFERROR(INDEX(样本到样信息汇总统计!L$2:L$500,MATCH(237,样本到样信息汇总统计!$AA$2:$AA$500,0)),"")</f>
        <v/>
      </c>
      <c r="M238" s="4" t="str">
        <f>IFERROR(INDEX(样本到样信息汇总统计!M$2:M$500,MATCH(237,样本到样信息汇总统计!$AA$2:$AA$500,0)),"")</f>
        <v/>
      </c>
      <c r="N238" s="4" t="str">
        <f>IFERROR(INDEX(样本到样信息汇总统计!N$2:N$500,MATCH(237,样本到样信息汇总统计!$AA$2:$AA$500,0)),"")</f>
        <v/>
      </c>
      <c r="O238" s="4" t="str">
        <f>IFERROR(INDEX(样本到样信息汇总统计!O$2:O$500,MATCH(237,样本到样信息汇总统计!$AA$2:$AA$500,0)),"")</f>
        <v/>
      </c>
      <c r="P238" s="4" t="str">
        <f>IFERROR(INDEX(样本到样信息汇总统计!P$2:P$500,MATCH(237,样本到样信息汇总统计!$AA$2:$AA$500,0)),"")</f>
        <v/>
      </c>
      <c r="Q238" s="4" t="str">
        <f>IFERROR(INDEX(样本到样信息汇总统计!Q$2:Q$500,MATCH(237,样本到样信息汇总统计!$AA$2:$AA$500,0)),"")</f>
        <v/>
      </c>
      <c r="R238" s="4" t="str">
        <f>IFERROR(INDEX(样本到样信息汇总统计!R$2:R$500,MATCH(237,样本到样信息汇总统计!$AA$2:$AA$500,0)),"")</f>
        <v/>
      </c>
      <c r="S238" s="4" t="str">
        <f>IFERROR(INDEX(样本到样信息汇总统计!S$2:S$500,MATCH(237,样本到样信息汇总统计!$AA$2:$AA$500,0)),"")</f>
        <v/>
      </c>
      <c r="T238" s="4" t="str">
        <f>IFERROR(INDEX(样本到样信息汇总统计!T$2:T$500,MATCH(237,样本到样信息汇总统计!$AA$2:$AA$500,0)),"")</f>
        <v/>
      </c>
      <c r="U238" s="4" t="str">
        <f>IFERROR(INDEX(样本到样信息汇总统计!U$2:U$500,MATCH(237,样本到样信息汇总统计!$AA$2:$AA$500,0)),"")</f>
        <v/>
      </c>
      <c r="V238" s="4" t="str">
        <f>IFERROR(INDEX(样本到样信息汇总统计!V$2:V$500,MATCH(237,样本到样信息汇总统计!$AA$2:$AA$500,0)),"")</f>
        <v/>
      </c>
      <c r="W238" s="4" t="str">
        <f>IFERROR(INDEX(样本到样信息汇总统计!W$2:W$500,MATCH(237,样本到样信息汇总统计!$AA$2:$AA$500,0)),"")</f>
        <v/>
      </c>
    </row>
    <row r="239" ht="14.5" spans="1:23">
      <c r="A239" s="8" t="str">
        <f>IFERROR(INDEX(样本到样信息汇总统计!A$2:A$500,MATCH(238,样本到样信息汇总统计!$AA$2:$AA$500,0)),"")</f>
        <v/>
      </c>
      <c r="B239" s="8" t="str">
        <f>IFERROR(INDEX(样本到样信息汇总统计!B$2:B$500,MATCH(238,样本到样信息汇总统计!$AA$2:$AA$500,0)),"")</f>
        <v/>
      </c>
      <c r="C239" s="8" t="str">
        <f>IFERROR(INDEX(样本到样信息汇总统计!C$2:C$500,MATCH(238,样本到样信息汇总统计!$AA$2:$AA$500,0)),"")</f>
        <v/>
      </c>
      <c r="D239" s="8" t="str">
        <f>IFERROR(INDEX(样本到样信息汇总统计!D$2:D$500,MATCH(238,样本到样信息汇总统计!$AA$2:$AA$500,0)),"")</f>
        <v/>
      </c>
      <c r="E239" s="8" t="str">
        <f>IFERROR(INDEX(样本到样信息汇总统计!E$2:E$500,MATCH(238,样本到样信息汇总统计!$AA$2:$AA$500,0)),"")</f>
        <v/>
      </c>
      <c r="F239" s="8" t="str">
        <f>IFERROR(INDEX(样本到样信息汇总统计!F$2:F$500,MATCH(238,样本到样信息汇总统计!$AA$2:$AA$500,0)),"")</f>
        <v/>
      </c>
      <c r="G239" s="8" t="str">
        <f>IFERROR(INDEX(样本到样信息汇总统计!G$2:G$500,MATCH(238,样本到样信息汇总统计!$AA$2:$AA$500,0)),"")</f>
        <v/>
      </c>
      <c r="H239" s="8" t="str">
        <f>IFERROR(INDEX(样本到样信息汇总统计!H$2:H$500,MATCH(238,样本到样信息汇总统计!$AA$2:$AA$500,0)),"")</f>
        <v/>
      </c>
      <c r="I239" s="8" t="str">
        <f>IFERROR(INDEX(样本到样信息汇总统计!I$2:I$500,MATCH(238,样本到样信息汇总统计!$AA$2:$AA$500,0)),"")</f>
        <v/>
      </c>
      <c r="J239" s="8" t="str">
        <f>IFERROR(INDEX(样本到样信息汇总统计!J$2:J$500,MATCH(238,样本到样信息汇总统计!$AA$2:$AA$500,0)),"")</f>
        <v/>
      </c>
      <c r="K239" s="8" t="str">
        <f>IFERROR(INDEX(样本到样信息汇总统计!K$2:K$500,MATCH(238,样本到样信息汇总统计!$AA$2:$AA$500,0)),"")</f>
        <v/>
      </c>
      <c r="L239" s="8" t="str">
        <f>IFERROR(INDEX(样本到样信息汇总统计!L$2:L$500,MATCH(238,样本到样信息汇总统计!$AA$2:$AA$500,0)),"")</f>
        <v/>
      </c>
      <c r="M239" s="8" t="str">
        <f>IFERROR(INDEX(样本到样信息汇总统计!M$2:M$500,MATCH(238,样本到样信息汇总统计!$AA$2:$AA$500,0)),"")</f>
        <v/>
      </c>
      <c r="N239" s="8" t="str">
        <f>IFERROR(INDEX(样本到样信息汇总统计!N$2:N$500,MATCH(238,样本到样信息汇总统计!$AA$2:$AA$500,0)),"")</f>
        <v/>
      </c>
      <c r="O239" s="8" t="str">
        <f>IFERROR(INDEX(样本到样信息汇总统计!O$2:O$500,MATCH(238,样本到样信息汇总统计!$AA$2:$AA$500,0)),"")</f>
        <v/>
      </c>
      <c r="P239" s="8" t="str">
        <f>IFERROR(INDEX(样本到样信息汇总统计!P$2:P$500,MATCH(238,样本到样信息汇总统计!$AA$2:$AA$500,0)),"")</f>
        <v/>
      </c>
      <c r="Q239" s="8" t="str">
        <f>IFERROR(INDEX(样本到样信息汇总统计!Q$2:Q$500,MATCH(238,样本到样信息汇总统计!$AA$2:$AA$500,0)),"")</f>
        <v/>
      </c>
      <c r="R239" s="8" t="str">
        <f>IFERROR(INDEX(样本到样信息汇总统计!R$2:R$500,MATCH(238,样本到样信息汇总统计!$AA$2:$AA$500,0)),"")</f>
        <v/>
      </c>
      <c r="S239" s="8" t="str">
        <f>IFERROR(INDEX(样本到样信息汇总统计!S$2:S$500,MATCH(238,样本到样信息汇总统计!$AA$2:$AA$500,0)),"")</f>
        <v/>
      </c>
      <c r="T239" s="8" t="str">
        <f>IFERROR(INDEX(样本到样信息汇总统计!T$2:T$500,MATCH(238,样本到样信息汇总统计!$AA$2:$AA$500,0)),"")</f>
        <v/>
      </c>
      <c r="U239" s="8" t="str">
        <f>IFERROR(INDEX(样本到样信息汇总统计!U$2:U$500,MATCH(238,样本到样信息汇总统计!$AA$2:$AA$500,0)),"")</f>
        <v/>
      </c>
      <c r="V239" s="8" t="str">
        <f>IFERROR(INDEX(样本到样信息汇总统计!V$2:V$500,MATCH(238,样本到样信息汇总统计!$AA$2:$AA$500,0)),"")</f>
        <v/>
      </c>
      <c r="W239" s="8" t="str">
        <f>IFERROR(INDEX(样本到样信息汇总统计!W$2:W$500,MATCH(238,样本到样信息汇总统计!$AA$2:$AA$500,0)),"")</f>
        <v/>
      </c>
    </row>
    <row r="240" ht="14.5" spans="1:23">
      <c r="A240" s="4" t="str">
        <f>IFERROR(INDEX(样本到样信息汇总统计!A$2:A$500,MATCH(239,样本到样信息汇总统计!$AA$2:$AA$500,0)),"")</f>
        <v/>
      </c>
      <c r="B240" s="4" t="str">
        <f>IFERROR(INDEX(样本到样信息汇总统计!B$2:B$500,MATCH(239,样本到样信息汇总统计!$AA$2:$AA$500,0)),"")</f>
        <v/>
      </c>
      <c r="C240" s="4" t="str">
        <f>IFERROR(INDEX(样本到样信息汇总统计!C$2:C$500,MATCH(239,样本到样信息汇总统计!$AA$2:$AA$500,0)),"")</f>
        <v/>
      </c>
      <c r="D240" s="4" t="str">
        <f>IFERROR(INDEX(样本到样信息汇总统计!D$2:D$500,MATCH(239,样本到样信息汇总统计!$AA$2:$AA$500,0)),"")</f>
        <v/>
      </c>
      <c r="E240" s="4" t="str">
        <f>IFERROR(INDEX(样本到样信息汇总统计!E$2:E$500,MATCH(239,样本到样信息汇总统计!$AA$2:$AA$500,0)),"")</f>
        <v/>
      </c>
      <c r="F240" s="4" t="str">
        <f>IFERROR(INDEX(样本到样信息汇总统计!F$2:F$500,MATCH(239,样本到样信息汇总统计!$AA$2:$AA$500,0)),"")</f>
        <v/>
      </c>
      <c r="G240" s="4" t="str">
        <f>IFERROR(INDEX(样本到样信息汇总统计!G$2:G$500,MATCH(239,样本到样信息汇总统计!$AA$2:$AA$500,0)),"")</f>
        <v/>
      </c>
      <c r="H240" s="4" t="str">
        <f>IFERROR(INDEX(样本到样信息汇总统计!H$2:H$500,MATCH(239,样本到样信息汇总统计!$AA$2:$AA$500,0)),"")</f>
        <v/>
      </c>
      <c r="I240" s="4" t="str">
        <f>IFERROR(INDEX(样本到样信息汇总统计!I$2:I$500,MATCH(239,样本到样信息汇总统计!$AA$2:$AA$500,0)),"")</f>
        <v/>
      </c>
      <c r="J240" s="4" t="str">
        <f>IFERROR(INDEX(样本到样信息汇总统计!J$2:J$500,MATCH(239,样本到样信息汇总统计!$AA$2:$AA$500,0)),"")</f>
        <v/>
      </c>
      <c r="K240" s="4" t="str">
        <f>IFERROR(INDEX(样本到样信息汇总统计!K$2:K$500,MATCH(239,样本到样信息汇总统计!$AA$2:$AA$500,0)),"")</f>
        <v/>
      </c>
      <c r="L240" s="4" t="str">
        <f>IFERROR(INDEX(样本到样信息汇总统计!L$2:L$500,MATCH(239,样本到样信息汇总统计!$AA$2:$AA$500,0)),"")</f>
        <v/>
      </c>
      <c r="M240" s="4" t="str">
        <f>IFERROR(INDEX(样本到样信息汇总统计!M$2:M$500,MATCH(239,样本到样信息汇总统计!$AA$2:$AA$500,0)),"")</f>
        <v/>
      </c>
      <c r="N240" s="4" t="str">
        <f>IFERROR(INDEX(样本到样信息汇总统计!N$2:N$500,MATCH(239,样本到样信息汇总统计!$AA$2:$AA$500,0)),"")</f>
        <v/>
      </c>
      <c r="O240" s="4" t="str">
        <f>IFERROR(INDEX(样本到样信息汇总统计!O$2:O$500,MATCH(239,样本到样信息汇总统计!$AA$2:$AA$500,0)),"")</f>
        <v/>
      </c>
      <c r="P240" s="4" t="str">
        <f>IFERROR(INDEX(样本到样信息汇总统计!P$2:P$500,MATCH(239,样本到样信息汇总统计!$AA$2:$AA$500,0)),"")</f>
        <v/>
      </c>
      <c r="Q240" s="4" t="str">
        <f>IFERROR(INDEX(样本到样信息汇总统计!Q$2:Q$500,MATCH(239,样本到样信息汇总统计!$AA$2:$AA$500,0)),"")</f>
        <v/>
      </c>
      <c r="R240" s="4" t="str">
        <f>IFERROR(INDEX(样本到样信息汇总统计!R$2:R$500,MATCH(239,样本到样信息汇总统计!$AA$2:$AA$500,0)),"")</f>
        <v/>
      </c>
      <c r="S240" s="4" t="str">
        <f>IFERROR(INDEX(样本到样信息汇总统计!S$2:S$500,MATCH(239,样本到样信息汇总统计!$AA$2:$AA$500,0)),"")</f>
        <v/>
      </c>
      <c r="T240" s="4" t="str">
        <f>IFERROR(INDEX(样本到样信息汇总统计!T$2:T$500,MATCH(239,样本到样信息汇总统计!$AA$2:$AA$500,0)),"")</f>
        <v/>
      </c>
      <c r="U240" s="4" t="str">
        <f>IFERROR(INDEX(样本到样信息汇总统计!U$2:U$500,MATCH(239,样本到样信息汇总统计!$AA$2:$AA$500,0)),"")</f>
        <v/>
      </c>
      <c r="V240" s="4" t="str">
        <f>IFERROR(INDEX(样本到样信息汇总统计!V$2:V$500,MATCH(239,样本到样信息汇总统计!$AA$2:$AA$500,0)),"")</f>
        <v/>
      </c>
      <c r="W240" s="4" t="str">
        <f>IFERROR(INDEX(样本到样信息汇总统计!W$2:W$500,MATCH(239,样本到样信息汇总统计!$AA$2:$AA$500,0)),"")</f>
        <v/>
      </c>
    </row>
    <row r="241" ht="14.5" spans="1:23">
      <c r="A241" s="8" t="str">
        <f>IFERROR(INDEX(样本到样信息汇总统计!A$2:A$500,MATCH(240,样本到样信息汇总统计!$AA$2:$AA$500,0)),"")</f>
        <v/>
      </c>
      <c r="B241" s="8" t="str">
        <f>IFERROR(INDEX(样本到样信息汇总统计!B$2:B$500,MATCH(240,样本到样信息汇总统计!$AA$2:$AA$500,0)),"")</f>
        <v/>
      </c>
      <c r="C241" s="8" t="str">
        <f>IFERROR(INDEX(样本到样信息汇总统计!C$2:C$500,MATCH(240,样本到样信息汇总统计!$AA$2:$AA$500,0)),"")</f>
        <v/>
      </c>
      <c r="D241" s="8" t="str">
        <f>IFERROR(INDEX(样本到样信息汇总统计!D$2:D$500,MATCH(240,样本到样信息汇总统计!$AA$2:$AA$500,0)),"")</f>
        <v/>
      </c>
      <c r="E241" s="8" t="str">
        <f>IFERROR(INDEX(样本到样信息汇总统计!E$2:E$500,MATCH(240,样本到样信息汇总统计!$AA$2:$AA$500,0)),"")</f>
        <v/>
      </c>
      <c r="F241" s="8" t="str">
        <f>IFERROR(INDEX(样本到样信息汇总统计!F$2:F$500,MATCH(240,样本到样信息汇总统计!$AA$2:$AA$500,0)),"")</f>
        <v/>
      </c>
      <c r="G241" s="8" t="str">
        <f>IFERROR(INDEX(样本到样信息汇总统计!G$2:G$500,MATCH(240,样本到样信息汇总统计!$AA$2:$AA$500,0)),"")</f>
        <v/>
      </c>
      <c r="H241" s="8" t="str">
        <f>IFERROR(INDEX(样本到样信息汇总统计!H$2:H$500,MATCH(240,样本到样信息汇总统计!$AA$2:$AA$500,0)),"")</f>
        <v/>
      </c>
      <c r="I241" s="8" t="str">
        <f>IFERROR(INDEX(样本到样信息汇总统计!I$2:I$500,MATCH(240,样本到样信息汇总统计!$AA$2:$AA$500,0)),"")</f>
        <v/>
      </c>
      <c r="J241" s="8" t="str">
        <f>IFERROR(INDEX(样本到样信息汇总统计!J$2:J$500,MATCH(240,样本到样信息汇总统计!$AA$2:$AA$500,0)),"")</f>
        <v/>
      </c>
      <c r="K241" s="8" t="str">
        <f>IFERROR(INDEX(样本到样信息汇总统计!K$2:K$500,MATCH(240,样本到样信息汇总统计!$AA$2:$AA$500,0)),"")</f>
        <v/>
      </c>
      <c r="L241" s="8" t="str">
        <f>IFERROR(INDEX(样本到样信息汇总统计!L$2:L$500,MATCH(240,样本到样信息汇总统计!$AA$2:$AA$500,0)),"")</f>
        <v/>
      </c>
      <c r="M241" s="8" t="str">
        <f>IFERROR(INDEX(样本到样信息汇总统计!M$2:M$500,MATCH(240,样本到样信息汇总统计!$AA$2:$AA$500,0)),"")</f>
        <v/>
      </c>
      <c r="N241" s="8" t="str">
        <f>IFERROR(INDEX(样本到样信息汇总统计!N$2:N$500,MATCH(240,样本到样信息汇总统计!$AA$2:$AA$500,0)),"")</f>
        <v/>
      </c>
      <c r="O241" s="8" t="str">
        <f>IFERROR(INDEX(样本到样信息汇总统计!O$2:O$500,MATCH(240,样本到样信息汇总统计!$AA$2:$AA$500,0)),"")</f>
        <v/>
      </c>
      <c r="P241" s="8" t="str">
        <f>IFERROR(INDEX(样本到样信息汇总统计!P$2:P$500,MATCH(240,样本到样信息汇总统计!$AA$2:$AA$500,0)),"")</f>
        <v/>
      </c>
      <c r="Q241" s="8" t="str">
        <f>IFERROR(INDEX(样本到样信息汇总统计!Q$2:Q$500,MATCH(240,样本到样信息汇总统计!$AA$2:$AA$500,0)),"")</f>
        <v/>
      </c>
      <c r="R241" s="8" t="str">
        <f>IFERROR(INDEX(样本到样信息汇总统计!R$2:R$500,MATCH(240,样本到样信息汇总统计!$AA$2:$AA$500,0)),"")</f>
        <v/>
      </c>
      <c r="S241" s="8" t="str">
        <f>IFERROR(INDEX(样本到样信息汇总统计!S$2:S$500,MATCH(240,样本到样信息汇总统计!$AA$2:$AA$500,0)),"")</f>
        <v/>
      </c>
      <c r="T241" s="8" t="str">
        <f>IFERROR(INDEX(样本到样信息汇总统计!T$2:T$500,MATCH(240,样本到样信息汇总统计!$AA$2:$AA$500,0)),"")</f>
        <v/>
      </c>
      <c r="U241" s="8" t="str">
        <f>IFERROR(INDEX(样本到样信息汇总统计!U$2:U$500,MATCH(240,样本到样信息汇总统计!$AA$2:$AA$500,0)),"")</f>
        <v/>
      </c>
      <c r="V241" s="8" t="str">
        <f>IFERROR(INDEX(样本到样信息汇总统计!V$2:V$500,MATCH(240,样本到样信息汇总统计!$AA$2:$AA$500,0)),"")</f>
        <v/>
      </c>
      <c r="W241" s="8" t="str">
        <f>IFERROR(INDEX(样本到样信息汇总统计!W$2:W$500,MATCH(240,样本到样信息汇总统计!$AA$2:$AA$500,0)),"")</f>
        <v/>
      </c>
    </row>
    <row r="242" ht="14.5" spans="1:23">
      <c r="A242" s="4" t="str">
        <f>IFERROR(INDEX(样本到样信息汇总统计!A$2:A$500,MATCH(241,样本到样信息汇总统计!$AA$2:$AA$500,0)),"")</f>
        <v/>
      </c>
      <c r="B242" s="4" t="str">
        <f>IFERROR(INDEX(样本到样信息汇总统计!B$2:B$500,MATCH(241,样本到样信息汇总统计!$AA$2:$AA$500,0)),"")</f>
        <v/>
      </c>
      <c r="C242" s="4" t="str">
        <f>IFERROR(INDEX(样本到样信息汇总统计!C$2:C$500,MATCH(241,样本到样信息汇总统计!$AA$2:$AA$500,0)),"")</f>
        <v/>
      </c>
      <c r="D242" s="4" t="str">
        <f>IFERROR(INDEX(样本到样信息汇总统计!D$2:D$500,MATCH(241,样本到样信息汇总统计!$AA$2:$AA$500,0)),"")</f>
        <v/>
      </c>
      <c r="E242" s="4" t="str">
        <f>IFERROR(INDEX(样本到样信息汇总统计!E$2:E$500,MATCH(241,样本到样信息汇总统计!$AA$2:$AA$500,0)),"")</f>
        <v/>
      </c>
      <c r="F242" s="4" t="str">
        <f>IFERROR(INDEX(样本到样信息汇总统计!F$2:F$500,MATCH(241,样本到样信息汇总统计!$AA$2:$AA$500,0)),"")</f>
        <v/>
      </c>
      <c r="G242" s="4" t="str">
        <f>IFERROR(INDEX(样本到样信息汇总统计!G$2:G$500,MATCH(241,样本到样信息汇总统计!$AA$2:$AA$500,0)),"")</f>
        <v/>
      </c>
      <c r="H242" s="4" t="str">
        <f>IFERROR(INDEX(样本到样信息汇总统计!H$2:H$500,MATCH(241,样本到样信息汇总统计!$AA$2:$AA$500,0)),"")</f>
        <v/>
      </c>
      <c r="I242" s="4" t="str">
        <f>IFERROR(INDEX(样本到样信息汇总统计!I$2:I$500,MATCH(241,样本到样信息汇总统计!$AA$2:$AA$500,0)),"")</f>
        <v/>
      </c>
      <c r="J242" s="4" t="str">
        <f>IFERROR(INDEX(样本到样信息汇总统计!J$2:J$500,MATCH(241,样本到样信息汇总统计!$AA$2:$AA$500,0)),"")</f>
        <v/>
      </c>
      <c r="K242" s="4" t="str">
        <f>IFERROR(INDEX(样本到样信息汇总统计!K$2:K$500,MATCH(241,样本到样信息汇总统计!$AA$2:$AA$500,0)),"")</f>
        <v/>
      </c>
      <c r="L242" s="4" t="str">
        <f>IFERROR(INDEX(样本到样信息汇总统计!L$2:L$500,MATCH(241,样本到样信息汇总统计!$AA$2:$AA$500,0)),"")</f>
        <v/>
      </c>
      <c r="M242" s="4" t="str">
        <f>IFERROR(INDEX(样本到样信息汇总统计!M$2:M$500,MATCH(241,样本到样信息汇总统计!$AA$2:$AA$500,0)),"")</f>
        <v/>
      </c>
      <c r="N242" s="4" t="str">
        <f>IFERROR(INDEX(样本到样信息汇总统计!N$2:N$500,MATCH(241,样本到样信息汇总统计!$AA$2:$AA$500,0)),"")</f>
        <v/>
      </c>
      <c r="O242" s="4" t="str">
        <f>IFERROR(INDEX(样本到样信息汇总统计!O$2:O$500,MATCH(241,样本到样信息汇总统计!$AA$2:$AA$500,0)),"")</f>
        <v/>
      </c>
      <c r="P242" s="4" t="str">
        <f>IFERROR(INDEX(样本到样信息汇总统计!P$2:P$500,MATCH(241,样本到样信息汇总统计!$AA$2:$AA$500,0)),"")</f>
        <v/>
      </c>
      <c r="Q242" s="4" t="str">
        <f>IFERROR(INDEX(样本到样信息汇总统计!Q$2:Q$500,MATCH(241,样本到样信息汇总统计!$AA$2:$AA$500,0)),"")</f>
        <v/>
      </c>
      <c r="R242" s="4" t="str">
        <f>IFERROR(INDEX(样本到样信息汇总统计!R$2:R$500,MATCH(241,样本到样信息汇总统计!$AA$2:$AA$500,0)),"")</f>
        <v/>
      </c>
      <c r="S242" s="4" t="str">
        <f>IFERROR(INDEX(样本到样信息汇总统计!S$2:S$500,MATCH(241,样本到样信息汇总统计!$AA$2:$AA$500,0)),"")</f>
        <v/>
      </c>
      <c r="T242" s="4" t="str">
        <f>IFERROR(INDEX(样本到样信息汇总统计!T$2:T$500,MATCH(241,样本到样信息汇总统计!$AA$2:$AA$500,0)),"")</f>
        <v/>
      </c>
      <c r="U242" s="4" t="str">
        <f>IFERROR(INDEX(样本到样信息汇总统计!U$2:U$500,MATCH(241,样本到样信息汇总统计!$AA$2:$AA$500,0)),"")</f>
        <v/>
      </c>
      <c r="V242" s="4" t="str">
        <f>IFERROR(INDEX(样本到样信息汇总统计!V$2:V$500,MATCH(241,样本到样信息汇总统计!$AA$2:$AA$500,0)),"")</f>
        <v/>
      </c>
      <c r="W242" s="4" t="str">
        <f>IFERROR(INDEX(样本到样信息汇总统计!W$2:W$500,MATCH(241,样本到样信息汇总统计!$AA$2:$AA$500,0)),"")</f>
        <v/>
      </c>
    </row>
    <row r="243" ht="14.5" spans="1:23">
      <c r="A243" s="8" t="str">
        <f>IFERROR(INDEX(样本到样信息汇总统计!A$2:A$500,MATCH(242,样本到样信息汇总统计!$AA$2:$AA$500,0)),"")</f>
        <v/>
      </c>
      <c r="B243" s="8" t="str">
        <f>IFERROR(INDEX(样本到样信息汇总统计!B$2:B$500,MATCH(242,样本到样信息汇总统计!$AA$2:$AA$500,0)),"")</f>
        <v/>
      </c>
      <c r="C243" s="8" t="str">
        <f>IFERROR(INDEX(样本到样信息汇总统计!C$2:C$500,MATCH(242,样本到样信息汇总统计!$AA$2:$AA$500,0)),"")</f>
        <v/>
      </c>
      <c r="D243" s="8" t="str">
        <f>IFERROR(INDEX(样本到样信息汇总统计!D$2:D$500,MATCH(242,样本到样信息汇总统计!$AA$2:$AA$500,0)),"")</f>
        <v/>
      </c>
      <c r="E243" s="8" t="str">
        <f>IFERROR(INDEX(样本到样信息汇总统计!E$2:E$500,MATCH(242,样本到样信息汇总统计!$AA$2:$AA$500,0)),"")</f>
        <v/>
      </c>
      <c r="F243" s="8" t="str">
        <f>IFERROR(INDEX(样本到样信息汇总统计!F$2:F$500,MATCH(242,样本到样信息汇总统计!$AA$2:$AA$500,0)),"")</f>
        <v/>
      </c>
      <c r="G243" s="8" t="str">
        <f>IFERROR(INDEX(样本到样信息汇总统计!G$2:G$500,MATCH(242,样本到样信息汇总统计!$AA$2:$AA$500,0)),"")</f>
        <v/>
      </c>
      <c r="H243" s="8" t="str">
        <f>IFERROR(INDEX(样本到样信息汇总统计!H$2:H$500,MATCH(242,样本到样信息汇总统计!$AA$2:$AA$500,0)),"")</f>
        <v/>
      </c>
      <c r="I243" s="8" t="str">
        <f>IFERROR(INDEX(样本到样信息汇总统计!I$2:I$500,MATCH(242,样本到样信息汇总统计!$AA$2:$AA$500,0)),"")</f>
        <v/>
      </c>
      <c r="J243" s="8" t="str">
        <f>IFERROR(INDEX(样本到样信息汇总统计!J$2:J$500,MATCH(242,样本到样信息汇总统计!$AA$2:$AA$500,0)),"")</f>
        <v/>
      </c>
      <c r="K243" s="8" t="str">
        <f>IFERROR(INDEX(样本到样信息汇总统计!K$2:K$500,MATCH(242,样本到样信息汇总统计!$AA$2:$AA$500,0)),"")</f>
        <v/>
      </c>
      <c r="L243" s="8" t="str">
        <f>IFERROR(INDEX(样本到样信息汇总统计!L$2:L$500,MATCH(242,样本到样信息汇总统计!$AA$2:$AA$500,0)),"")</f>
        <v/>
      </c>
      <c r="M243" s="8" t="str">
        <f>IFERROR(INDEX(样本到样信息汇总统计!M$2:M$500,MATCH(242,样本到样信息汇总统计!$AA$2:$AA$500,0)),"")</f>
        <v/>
      </c>
      <c r="N243" s="8" t="str">
        <f>IFERROR(INDEX(样本到样信息汇总统计!N$2:N$500,MATCH(242,样本到样信息汇总统计!$AA$2:$AA$500,0)),"")</f>
        <v/>
      </c>
      <c r="O243" s="8" t="str">
        <f>IFERROR(INDEX(样本到样信息汇总统计!O$2:O$500,MATCH(242,样本到样信息汇总统计!$AA$2:$AA$500,0)),"")</f>
        <v/>
      </c>
      <c r="P243" s="8" t="str">
        <f>IFERROR(INDEX(样本到样信息汇总统计!P$2:P$500,MATCH(242,样本到样信息汇总统计!$AA$2:$AA$500,0)),"")</f>
        <v/>
      </c>
      <c r="Q243" s="8" t="str">
        <f>IFERROR(INDEX(样本到样信息汇总统计!Q$2:Q$500,MATCH(242,样本到样信息汇总统计!$AA$2:$AA$500,0)),"")</f>
        <v/>
      </c>
      <c r="R243" s="8" t="str">
        <f>IFERROR(INDEX(样本到样信息汇总统计!R$2:R$500,MATCH(242,样本到样信息汇总统计!$AA$2:$AA$500,0)),"")</f>
        <v/>
      </c>
      <c r="S243" s="8" t="str">
        <f>IFERROR(INDEX(样本到样信息汇总统计!S$2:S$500,MATCH(242,样本到样信息汇总统计!$AA$2:$AA$500,0)),"")</f>
        <v/>
      </c>
      <c r="T243" s="8" t="str">
        <f>IFERROR(INDEX(样本到样信息汇总统计!T$2:T$500,MATCH(242,样本到样信息汇总统计!$AA$2:$AA$500,0)),"")</f>
        <v/>
      </c>
      <c r="U243" s="8" t="str">
        <f>IFERROR(INDEX(样本到样信息汇总统计!U$2:U$500,MATCH(242,样本到样信息汇总统计!$AA$2:$AA$500,0)),"")</f>
        <v/>
      </c>
      <c r="V243" s="8" t="str">
        <f>IFERROR(INDEX(样本到样信息汇总统计!V$2:V$500,MATCH(242,样本到样信息汇总统计!$AA$2:$AA$500,0)),"")</f>
        <v/>
      </c>
      <c r="W243" s="8" t="str">
        <f>IFERROR(INDEX(样本到样信息汇总统计!W$2:W$500,MATCH(242,样本到样信息汇总统计!$AA$2:$AA$500,0)),"")</f>
        <v/>
      </c>
    </row>
    <row r="244" ht="14.5" spans="1:23">
      <c r="A244" s="4" t="str">
        <f>IFERROR(INDEX(样本到样信息汇总统计!A$2:A$500,MATCH(243,样本到样信息汇总统计!$AA$2:$AA$500,0)),"")</f>
        <v/>
      </c>
      <c r="B244" s="4" t="str">
        <f>IFERROR(INDEX(样本到样信息汇总统计!B$2:B$500,MATCH(243,样本到样信息汇总统计!$AA$2:$AA$500,0)),"")</f>
        <v/>
      </c>
      <c r="C244" s="4" t="str">
        <f>IFERROR(INDEX(样本到样信息汇总统计!C$2:C$500,MATCH(243,样本到样信息汇总统计!$AA$2:$AA$500,0)),"")</f>
        <v/>
      </c>
      <c r="D244" s="4" t="str">
        <f>IFERROR(INDEX(样本到样信息汇总统计!D$2:D$500,MATCH(243,样本到样信息汇总统计!$AA$2:$AA$500,0)),"")</f>
        <v/>
      </c>
      <c r="E244" s="4" t="str">
        <f>IFERROR(INDEX(样本到样信息汇总统计!E$2:E$500,MATCH(243,样本到样信息汇总统计!$AA$2:$AA$500,0)),"")</f>
        <v/>
      </c>
      <c r="F244" s="4" t="str">
        <f>IFERROR(INDEX(样本到样信息汇总统计!F$2:F$500,MATCH(243,样本到样信息汇总统计!$AA$2:$AA$500,0)),"")</f>
        <v/>
      </c>
      <c r="G244" s="4" t="str">
        <f>IFERROR(INDEX(样本到样信息汇总统计!G$2:G$500,MATCH(243,样本到样信息汇总统计!$AA$2:$AA$500,0)),"")</f>
        <v/>
      </c>
      <c r="H244" s="4" t="str">
        <f>IFERROR(INDEX(样本到样信息汇总统计!H$2:H$500,MATCH(243,样本到样信息汇总统计!$AA$2:$AA$500,0)),"")</f>
        <v/>
      </c>
      <c r="I244" s="4" t="str">
        <f>IFERROR(INDEX(样本到样信息汇总统计!I$2:I$500,MATCH(243,样本到样信息汇总统计!$AA$2:$AA$500,0)),"")</f>
        <v/>
      </c>
      <c r="J244" s="4" t="str">
        <f>IFERROR(INDEX(样本到样信息汇总统计!J$2:J$500,MATCH(243,样本到样信息汇总统计!$AA$2:$AA$500,0)),"")</f>
        <v/>
      </c>
      <c r="K244" s="4" t="str">
        <f>IFERROR(INDEX(样本到样信息汇总统计!K$2:K$500,MATCH(243,样本到样信息汇总统计!$AA$2:$AA$500,0)),"")</f>
        <v/>
      </c>
      <c r="L244" s="4" t="str">
        <f>IFERROR(INDEX(样本到样信息汇总统计!L$2:L$500,MATCH(243,样本到样信息汇总统计!$AA$2:$AA$500,0)),"")</f>
        <v/>
      </c>
      <c r="M244" s="4" t="str">
        <f>IFERROR(INDEX(样本到样信息汇总统计!M$2:M$500,MATCH(243,样本到样信息汇总统计!$AA$2:$AA$500,0)),"")</f>
        <v/>
      </c>
      <c r="N244" s="4" t="str">
        <f>IFERROR(INDEX(样本到样信息汇总统计!N$2:N$500,MATCH(243,样本到样信息汇总统计!$AA$2:$AA$500,0)),"")</f>
        <v/>
      </c>
      <c r="O244" s="4" t="str">
        <f>IFERROR(INDEX(样本到样信息汇总统计!O$2:O$500,MATCH(243,样本到样信息汇总统计!$AA$2:$AA$500,0)),"")</f>
        <v/>
      </c>
      <c r="P244" s="4" t="str">
        <f>IFERROR(INDEX(样本到样信息汇总统计!P$2:P$500,MATCH(243,样本到样信息汇总统计!$AA$2:$AA$500,0)),"")</f>
        <v/>
      </c>
      <c r="Q244" s="4" t="str">
        <f>IFERROR(INDEX(样本到样信息汇总统计!Q$2:Q$500,MATCH(243,样本到样信息汇总统计!$AA$2:$AA$500,0)),"")</f>
        <v/>
      </c>
      <c r="R244" s="4" t="str">
        <f>IFERROR(INDEX(样本到样信息汇总统计!R$2:R$500,MATCH(243,样本到样信息汇总统计!$AA$2:$AA$500,0)),"")</f>
        <v/>
      </c>
      <c r="S244" s="4" t="str">
        <f>IFERROR(INDEX(样本到样信息汇总统计!S$2:S$500,MATCH(243,样本到样信息汇总统计!$AA$2:$AA$500,0)),"")</f>
        <v/>
      </c>
      <c r="T244" s="4" t="str">
        <f>IFERROR(INDEX(样本到样信息汇总统计!T$2:T$500,MATCH(243,样本到样信息汇总统计!$AA$2:$AA$500,0)),"")</f>
        <v/>
      </c>
      <c r="U244" s="4" t="str">
        <f>IFERROR(INDEX(样本到样信息汇总统计!U$2:U$500,MATCH(243,样本到样信息汇总统计!$AA$2:$AA$500,0)),"")</f>
        <v/>
      </c>
      <c r="V244" s="4" t="str">
        <f>IFERROR(INDEX(样本到样信息汇总统计!V$2:V$500,MATCH(243,样本到样信息汇总统计!$AA$2:$AA$500,0)),"")</f>
        <v/>
      </c>
      <c r="W244" s="4" t="str">
        <f>IFERROR(INDEX(样本到样信息汇总统计!W$2:W$500,MATCH(243,样本到样信息汇总统计!$AA$2:$AA$500,0)),"")</f>
        <v/>
      </c>
    </row>
    <row r="245" ht="14.5" spans="1:23">
      <c r="A245" s="8" t="str">
        <f>IFERROR(INDEX(样本到样信息汇总统计!A$2:A$500,MATCH(244,样本到样信息汇总统计!$AA$2:$AA$500,0)),"")</f>
        <v/>
      </c>
      <c r="B245" s="8" t="str">
        <f>IFERROR(INDEX(样本到样信息汇总统计!B$2:B$500,MATCH(244,样本到样信息汇总统计!$AA$2:$AA$500,0)),"")</f>
        <v/>
      </c>
      <c r="C245" s="8" t="str">
        <f>IFERROR(INDEX(样本到样信息汇总统计!C$2:C$500,MATCH(244,样本到样信息汇总统计!$AA$2:$AA$500,0)),"")</f>
        <v/>
      </c>
      <c r="D245" s="8" t="str">
        <f>IFERROR(INDEX(样本到样信息汇总统计!D$2:D$500,MATCH(244,样本到样信息汇总统计!$AA$2:$AA$500,0)),"")</f>
        <v/>
      </c>
      <c r="E245" s="8" t="str">
        <f>IFERROR(INDEX(样本到样信息汇总统计!E$2:E$500,MATCH(244,样本到样信息汇总统计!$AA$2:$AA$500,0)),"")</f>
        <v/>
      </c>
      <c r="F245" s="8" t="str">
        <f>IFERROR(INDEX(样本到样信息汇总统计!F$2:F$500,MATCH(244,样本到样信息汇总统计!$AA$2:$AA$500,0)),"")</f>
        <v/>
      </c>
      <c r="G245" s="8" t="str">
        <f>IFERROR(INDEX(样本到样信息汇总统计!G$2:G$500,MATCH(244,样本到样信息汇总统计!$AA$2:$AA$500,0)),"")</f>
        <v/>
      </c>
      <c r="H245" s="8" t="str">
        <f>IFERROR(INDEX(样本到样信息汇总统计!H$2:H$500,MATCH(244,样本到样信息汇总统计!$AA$2:$AA$500,0)),"")</f>
        <v/>
      </c>
      <c r="I245" s="8" t="str">
        <f>IFERROR(INDEX(样本到样信息汇总统计!I$2:I$500,MATCH(244,样本到样信息汇总统计!$AA$2:$AA$500,0)),"")</f>
        <v/>
      </c>
      <c r="J245" s="8" t="str">
        <f>IFERROR(INDEX(样本到样信息汇总统计!J$2:J$500,MATCH(244,样本到样信息汇总统计!$AA$2:$AA$500,0)),"")</f>
        <v/>
      </c>
      <c r="K245" s="8" t="str">
        <f>IFERROR(INDEX(样本到样信息汇总统计!K$2:K$500,MATCH(244,样本到样信息汇总统计!$AA$2:$AA$500,0)),"")</f>
        <v/>
      </c>
      <c r="L245" s="8" t="str">
        <f>IFERROR(INDEX(样本到样信息汇总统计!L$2:L$500,MATCH(244,样本到样信息汇总统计!$AA$2:$AA$500,0)),"")</f>
        <v/>
      </c>
      <c r="M245" s="8" t="str">
        <f>IFERROR(INDEX(样本到样信息汇总统计!M$2:M$500,MATCH(244,样本到样信息汇总统计!$AA$2:$AA$500,0)),"")</f>
        <v/>
      </c>
      <c r="N245" s="8" t="str">
        <f>IFERROR(INDEX(样本到样信息汇总统计!N$2:N$500,MATCH(244,样本到样信息汇总统计!$AA$2:$AA$500,0)),"")</f>
        <v/>
      </c>
      <c r="O245" s="8" t="str">
        <f>IFERROR(INDEX(样本到样信息汇总统计!O$2:O$500,MATCH(244,样本到样信息汇总统计!$AA$2:$AA$500,0)),"")</f>
        <v/>
      </c>
      <c r="P245" s="8" t="str">
        <f>IFERROR(INDEX(样本到样信息汇总统计!P$2:P$500,MATCH(244,样本到样信息汇总统计!$AA$2:$AA$500,0)),"")</f>
        <v/>
      </c>
      <c r="Q245" s="8" t="str">
        <f>IFERROR(INDEX(样本到样信息汇总统计!Q$2:Q$500,MATCH(244,样本到样信息汇总统计!$AA$2:$AA$500,0)),"")</f>
        <v/>
      </c>
      <c r="R245" s="8" t="str">
        <f>IFERROR(INDEX(样本到样信息汇总统计!R$2:R$500,MATCH(244,样本到样信息汇总统计!$AA$2:$AA$500,0)),"")</f>
        <v/>
      </c>
      <c r="S245" s="8" t="str">
        <f>IFERROR(INDEX(样本到样信息汇总统计!S$2:S$500,MATCH(244,样本到样信息汇总统计!$AA$2:$AA$500,0)),"")</f>
        <v/>
      </c>
      <c r="T245" s="8" t="str">
        <f>IFERROR(INDEX(样本到样信息汇总统计!T$2:T$500,MATCH(244,样本到样信息汇总统计!$AA$2:$AA$500,0)),"")</f>
        <v/>
      </c>
      <c r="U245" s="8" t="str">
        <f>IFERROR(INDEX(样本到样信息汇总统计!U$2:U$500,MATCH(244,样本到样信息汇总统计!$AA$2:$AA$500,0)),"")</f>
        <v/>
      </c>
      <c r="V245" s="8" t="str">
        <f>IFERROR(INDEX(样本到样信息汇总统计!V$2:V$500,MATCH(244,样本到样信息汇总统计!$AA$2:$AA$500,0)),"")</f>
        <v/>
      </c>
      <c r="W245" s="8" t="str">
        <f>IFERROR(INDEX(样本到样信息汇总统计!W$2:W$500,MATCH(244,样本到样信息汇总统计!$AA$2:$AA$500,0)),"")</f>
        <v/>
      </c>
    </row>
    <row r="246" ht="14.5" spans="1:23">
      <c r="A246" s="4" t="str">
        <f>IFERROR(INDEX(样本到样信息汇总统计!A$2:A$500,MATCH(245,样本到样信息汇总统计!$AA$2:$AA$500,0)),"")</f>
        <v/>
      </c>
      <c r="B246" s="4" t="str">
        <f>IFERROR(INDEX(样本到样信息汇总统计!B$2:B$500,MATCH(245,样本到样信息汇总统计!$AA$2:$AA$500,0)),"")</f>
        <v/>
      </c>
      <c r="C246" s="4" t="str">
        <f>IFERROR(INDEX(样本到样信息汇总统计!C$2:C$500,MATCH(245,样本到样信息汇总统计!$AA$2:$AA$500,0)),"")</f>
        <v/>
      </c>
      <c r="D246" s="4" t="str">
        <f>IFERROR(INDEX(样本到样信息汇总统计!D$2:D$500,MATCH(245,样本到样信息汇总统计!$AA$2:$AA$500,0)),"")</f>
        <v/>
      </c>
      <c r="E246" s="4" t="str">
        <f>IFERROR(INDEX(样本到样信息汇总统计!E$2:E$500,MATCH(245,样本到样信息汇总统计!$AA$2:$AA$500,0)),"")</f>
        <v/>
      </c>
      <c r="F246" s="4" t="str">
        <f>IFERROR(INDEX(样本到样信息汇总统计!F$2:F$500,MATCH(245,样本到样信息汇总统计!$AA$2:$AA$500,0)),"")</f>
        <v/>
      </c>
      <c r="G246" s="4" t="str">
        <f>IFERROR(INDEX(样本到样信息汇总统计!G$2:G$500,MATCH(245,样本到样信息汇总统计!$AA$2:$AA$500,0)),"")</f>
        <v/>
      </c>
      <c r="H246" s="4" t="str">
        <f>IFERROR(INDEX(样本到样信息汇总统计!H$2:H$500,MATCH(245,样本到样信息汇总统计!$AA$2:$AA$500,0)),"")</f>
        <v/>
      </c>
      <c r="I246" s="4" t="str">
        <f>IFERROR(INDEX(样本到样信息汇总统计!I$2:I$500,MATCH(245,样本到样信息汇总统计!$AA$2:$AA$500,0)),"")</f>
        <v/>
      </c>
      <c r="J246" s="4" t="str">
        <f>IFERROR(INDEX(样本到样信息汇总统计!J$2:J$500,MATCH(245,样本到样信息汇总统计!$AA$2:$AA$500,0)),"")</f>
        <v/>
      </c>
      <c r="K246" s="4" t="str">
        <f>IFERROR(INDEX(样本到样信息汇总统计!K$2:K$500,MATCH(245,样本到样信息汇总统计!$AA$2:$AA$500,0)),"")</f>
        <v/>
      </c>
      <c r="L246" s="4" t="str">
        <f>IFERROR(INDEX(样本到样信息汇总统计!L$2:L$500,MATCH(245,样本到样信息汇总统计!$AA$2:$AA$500,0)),"")</f>
        <v/>
      </c>
      <c r="M246" s="4" t="str">
        <f>IFERROR(INDEX(样本到样信息汇总统计!M$2:M$500,MATCH(245,样本到样信息汇总统计!$AA$2:$AA$500,0)),"")</f>
        <v/>
      </c>
      <c r="N246" s="4" t="str">
        <f>IFERROR(INDEX(样本到样信息汇总统计!N$2:N$500,MATCH(245,样本到样信息汇总统计!$AA$2:$AA$500,0)),"")</f>
        <v/>
      </c>
      <c r="O246" s="4" t="str">
        <f>IFERROR(INDEX(样本到样信息汇总统计!O$2:O$500,MATCH(245,样本到样信息汇总统计!$AA$2:$AA$500,0)),"")</f>
        <v/>
      </c>
      <c r="P246" s="4" t="str">
        <f>IFERROR(INDEX(样本到样信息汇总统计!P$2:P$500,MATCH(245,样本到样信息汇总统计!$AA$2:$AA$500,0)),"")</f>
        <v/>
      </c>
      <c r="Q246" s="4" t="str">
        <f>IFERROR(INDEX(样本到样信息汇总统计!Q$2:Q$500,MATCH(245,样本到样信息汇总统计!$AA$2:$AA$500,0)),"")</f>
        <v/>
      </c>
      <c r="R246" s="4" t="str">
        <f>IFERROR(INDEX(样本到样信息汇总统计!R$2:R$500,MATCH(245,样本到样信息汇总统计!$AA$2:$AA$500,0)),"")</f>
        <v/>
      </c>
      <c r="S246" s="4" t="str">
        <f>IFERROR(INDEX(样本到样信息汇总统计!S$2:S$500,MATCH(245,样本到样信息汇总统计!$AA$2:$AA$500,0)),"")</f>
        <v/>
      </c>
      <c r="T246" s="4" t="str">
        <f>IFERROR(INDEX(样本到样信息汇总统计!T$2:T$500,MATCH(245,样本到样信息汇总统计!$AA$2:$AA$500,0)),"")</f>
        <v/>
      </c>
      <c r="U246" s="4" t="str">
        <f>IFERROR(INDEX(样本到样信息汇总统计!U$2:U$500,MATCH(245,样本到样信息汇总统计!$AA$2:$AA$500,0)),"")</f>
        <v/>
      </c>
      <c r="V246" s="4" t="str">
        <f>IFERROR(INDEX(样本到样信息汇总统计!V$2:V$500,MATCH(245,样本到样信息汇总统计!$AA$2:$AA$500,0)),"")</f>
        <v/>
      </c>
      <c r="W246" s="4" t="str">
        <f>IFERROR(INDEX(样本到样信息汇总统计!W$2:W$500,MATCH(245,样本到样信息汇总统计!$AA$2:$AA$500,0)),"")</f>
        <v/>
      </c>
    </row>
    <row r="247" ht="14.5" spans="1:23">
      <c r="A247" s="8" t="str">
        <f>IFERROR(INDEX(样本到样信息汇总统计!A$2:A$500,MATCH(246,样本到样信息汇总统计!$AA$2:$AA$500,0)),"")</f>
        <v/>
      </c>
      <c r="B247" s="8" t="str">
        <f>IFERROR(INDEX(样本到样信息汇总统计!B$2:B$500,MATCH(246,样本到样信息汇总统计!$AA$2:$AA$500,0)),"")</f>
        <v/>
      </c>
      <c r="C247" s="8" t="str">
        <f>IFERROR(INDEX(样本到样信息汇总统计!C$2:C$500,MATCH(246,样本到样信息汇总统计!$AA$2:$AA$500,0)),"")</f>
        <v/>
      </c>
      <c r="D247" s="8" t="str">
        <f>IFERROR(INDEX(样本到样信息汇总统计!D$2:D$500,MATCH(246,样本到样信息汇总统计!$AA$2:$AA$500,0)),"")</f>
        <v/>
      </c>
      <c r="E247" s="8" t="str">
        <f>IFERROR(INDEX(样本到样信息汇总统计!E$2:E$500,MATCH(246,样本到样信息汇总统计!$AA$2:$AA$500,0)),"")</f>
        <v/>
      </c>
      <c r="F247" s="8" t="str">
        <f>IFERROR(INDEX(样本到样信息汇总统计!F$2:F$500,MATCH(246,样本到样信息汇总统计!$AA$2:$AA$500,0)),"")</f>
        <v/>
      </c>
      <c r="G247" s="8" t="str">
        <f>IFERROR(INDEX(样本到样信息汇总统计!G$2:G$500,MATCH(246,样本到样信息汇总统计!$AA$2:$AA$500,0)),"")</f>
        <v/>
      </c>
      <c r="H247" s="8" t="str">
        <f>IFERROR(INDEX(样本到样信息汇总统计!H$2:H$500,MATCH(246,样本到样信息汇总统计!$AA$2:$AA$500,0)),"")</f>
        <v/>
      </c>
      <c r="I247" s="8" t="str">
        <f>IFERROR(INDEX(样本到样信息汇总统计!I$2:I$500,MATCH(246,样本到样信息汇总统计!$AA$2:$AA$500,0)),"")</f>
        <v/>
      </c>
      <c r="J247" s="8" t="str">
        <f>IFERROR(INDEX(样本到样信息汇总统计!J$2:J$500,MATCH(246,样本到样信息汇总统计!$AA$2:$AA$500,0)),"")</f>
        <v/>
      </c>
      <c r="K247" s="8" t="str">
        <f>IFERROR(INDEX(样本到样信息汇总统计!K$2:K$500,MATCH(246,样本到样信息汇总统计!$AA$2:$AA$500,0)),"")</f>
        <v/>
      </c>
      <c r="L247" s="8" t="str">
        <f>IFERROR(INDEX(样本到样信息汇总统计!L$2:L$500,MATCH(246,样本到样信息汇总统计!$AA$2:$AA$500,0)),"")</f>
        <v/>
      </c>
      <c r="M247" s="8" t="str">
        <f>IFERROR(INDEX(样本到样信息汇总统计!M$2:M$500,MATCH(246,样本到样信息汇总统计!$AA$2:$AA$500,0)),"")</f>
        <v/>
      </c>
      <c r="N247" s="8" t="str">
        <f>IFERROR(INDEX(样本到样信息汇总统计!N$2:N$500,MATCH(246,样本到样信息汇总统计!$AA$2:$AA$500,0)),"")</f>
        <v/>
      </c>
      <c r="O247" s="8" t="str">
        <f>IFERROR(INDEX(样本到样信息汇总统计!O$2:O$500,MATCH(246,样本到样信息汇总统计!$AA$2:$AA$500,0)),"")</f>
        <v/>
      </c>
      <c r="P247" s="8" t="str">
        <f>IFERROR(INDEX(样本到样信息汇总统计!P$2:P$500,MATCH(246,样本到样信息汇总统计!$AA$2:$AA$500,0)),"")</f>
        <v/>
      </c>
      <c r="Q247" s="8" t="str">
        <f>IFERROR(INDEX(样本到样信息汇总统计!Q$2:Q$500,MATCH(246,样本到样信息汇总统计!$AA$2:$AA$500,0)),"")</f>
        <v/>
      </c>
      <c r="R247" s="8" t="str">
        <f>IFERROR(INDEX(样本到样信息汇总统计!R$2:R$500,MATCH(246,样本到样信息汇总统计!$AA$2:$AA$500,0)),"")</f>
        <v/>
      </c>
      <c r="S247" s="8" t="str">
        <f>IFERROR(INDEX(样本到样信息汇总统计!S$2:S$500,MATCH(246,样本到样信息汇总统计!$AA$2:$AA$500,0)),"")</f>
        <v/>
      </c>
      <c r="T247" s="8" t="str">
        <f>IFERROR(INDEX(样本到样信息汇总统计!T$2:T$500,MATCH(246,样本到样信息汇总统计!$AA$2:$AA$500,0)),"")</f>
        <v/>
      </c>
      <c r="U247" s="8" t="str">
        <f>IFERROR(INDEX(样本到样信息汇总统计!U$2:U$500,MATCH(246,样本到样信息汇总统计!$AA$2:$AA$500,0)),"")</f>
        <v/>
      </c>
      <c r="V247" s="8" t="str">
        <f>IFERROR(INDEX(样本到样信息汇总统计!V$2:V$500,MATCH(246,样本到样信息汇总统计!$AA$2:$AA$500,0)),"")</f>
        <v/>
      </c>
      <c r="W247" s="8" t="str">
        <f>IFERROR(INDEX(样本到样信息汇总统计!W$2:W$500,MATCH(246,样本到样信息汇总统计!$AA$2:$AA$500,0)),"")</f>
        <v/>
      </c>
    </row>
    <row r="248" ht="14.5" spans="1:23">
      <c r="A248" s="4" t="str">
        <f>IFERROR(INDEX(样本到样信息汇总统计!A$2:A$500,MATCH(247,样本到样信息汇总统计!$AA$2:$AA$500,0)),"")</f>
        <v/>
      </c>
      <c r="B248" s="4" t="str">
        <f>IFERROR(INDEX(样本到样信息汇总统计!B$2:B$500,MATCH(247,样本到样信息汇总统计!$AA$2:$AA$500,0)),"")</f>
        <v/>
      </c>
      <c r="C248" s="4" t="str">
        <f>IFERROR(INDEX(样本到样信息汇总统计!C$2:C$500,MATCH(247,样本到样信息汇总统计!$AA$2:$AA$500,0)),"")</f>
        <v/>
      </c>
      <c r="D248" s="4" t="str">
        <f>IFERROR(INDEX(样本到样信息汇总统计!D$2:D$500,MATCH(247,样本到样信息汇总统计!$AA$2:$AA$500,0)),"")</f>
        <v/>
      </c>
      <c r="E248" s="4" t="str">
        <f>IFERROR(INDEX(样本到样信息汇总统计!E$2:E$500,MATCH(247,样本到样信息汇总统计!$AA$2:$AA$500,0)),"")</f>
        <v/>
      </c>
      <c r="F248" s="4" t="str">
        <f>IFERROR(INDEX(样本到样信息汇总统计!F$2:F$500,MATCH(247,样本到样信息汇总统计!$AA$2:$AA$500,0)),"")</f>
        <v/>
      </c>
      <c r="G248" s="4" t="str">
        <f>IFERROR(INDEX(样本到样信息汇总统计!G$2:G$500,MATCH(247,样本到样信息汇总统计!$AA$2:$AA$500,0)),"")</f>
        <v/>
      </c>
      <c r="H248" s="4" t="str">
        <f>IFERROR(INDEX(样本到样信息汇总统计!H$2:H$500,MATCH(247,样本到样信息汇总统计!$AA$2:$AA$500,0)),"")</f>
        <v/>
      </c>
      <c r="I248" s="4" t="str">
        <f>IFERROR(INDEX(样本到样信息汇总统计!I$2:I$500,MATCH(247,样本到样信息汇总统计!$AA$2:$AA$500,0)),"")</f>
        <v/>
      </c>
      <c r="J248" s="4" t="str">
        <f>IFERROR(INDEX(样本到样信息汇总统计!J$2:J$500,MATCH(247,样本到样信息汇总统计!$AA$2:$AA$500,0)),"")</f>
        <v/>
      </c>
      <c r="K248" s="4" t="str">
        <f>IFERROR(INDEX(样本到样信息汇总统计!K$2:K$500,MATCH(247,样本到样信息汇总统计!$AA$2:$AA$500,0)),"")</f>
        <v/>
      </c>
      <c r="L248" s="4" t="str">
        <f>IFERROR(INDEX(样本到样信息汇总统计!L$2:L$500,MATCH(247,样本到样信息汇总统计!$AA$2:$AA$500,0)),"")</f>
        <v/>
      </c>
      <c r="M248" s="4" t="str">
        <f>IFERROR(INDEX(样本到样信息汇总统计!M$2:M$500,MATCH(247,样本到样信息汇总统计!$AA$2:$AA$500,0)),"")</f>
        <v/>
      </c>
      <c r="N248" s="4" t="str">
        <f>IFERROR(INDEX(样本到样信息汇总统计!N$2:N$500,MATCH(247,样本到样信息汇总统计!$AA$2:$AA$500,0)),"")</f>
        <v/>
      </c>
      <c r="O248" s="4" t="str">
        <f>IFERROR(INDEX(样本到样信息汇总统计!O$2:O$500,MATCH(247,样本到样信息汇总统计!$AA$2:$AA$500,0)),"")</f>
        <v/>
      </c>
      <c r="P248" s="4" t="str">
        <f>IFERROR(INDEX(样本到样信息汇总统计!P$2:P$500,MATCH(247,样本到样信息汇总统计!$AA$2:$AA$500,0)),"")</f>
        <v/>
      </c>
      <c r="Q248" s="4" t="str">
        <f>IFERROR(INDEX(样本到样信息汇总统计!Q$2:Q$500,MATCH(247,样本到样信息汇总统计!$AA$2:$AA$500,0)),"")</f>
        <v/>
      </c>
      <c r="R248" s="4" t="str">
        <f>IFERROR(INDEX(样本到样信息汇总统计!R$2:R$500,MATCH(247,样本到样信息汇总统计!$AA$2:$AA$500,0)),"")</f>
        <v/>
      </c>
      <c r="S248" s="4" t="str">
        <f>IFERROR(INDEX(样本到样信息汇总统计!S$2:S$500,MATCH(247,样本到样信息汇总统计!$AA$2:$AA$500,0)),"")</f>
        <v/>
      </c>
      <c r="T248" s="4" t="str">
        <f>IFERROR(INDEX(样本到样信息汇总统计!T$2:T$500,MATCH(247,样本到样信息汇总统计!$AA$2:$AA$500,0)),"")</f>
        <v/>
      </c>
      <c r="U248" s="4" t="str">
        <f>IFERROR(INDEX(样本到样信息汇总统计!U$2:U$500,MATCH(247,样本到样信息汇总统计!$AA$2:$AA$500,0)),"")</f>
        <v/>
      </c>
      <c r="V248" s="4" t="str">
        <f>IFERROR(INDEX(样本到样信息汇总统计!V$2:V$500,MATCH(247,样本到样信息汇总统计!$AA$2:$AA$500,0)),"")</f>
        <v/>
      </c>
      <c r="W248" s="4" t="str">
        <f>IFERROR(INDEX(样本到样信息汇总统计!W$2:W$500,MATCH(247,样本到样信息汇总统计!$AA$2:$AA$500,0)),"")</f>
        <v/>
      </c>
    </row>
    <row r="249" ht="14.5" spans="1:23">
      <c r="A249" s="8" t="str">
        <f>IFERROR(INDEX(样本到样信息汇总统计!A$2:A$500,MATCH(248,样本到样信息汇总统计!$AA$2:$AA$500,0)),"")</f>
        <v/>
      </c>
      <c r="B249" s="8" t="str">
        <f>IFERROR(INDEX(样本到样信息汇总统计!B$2:B$500,MATCH(248,样本到样信息汇总统计!$AA$2:$AA$500,0)),"")</f>
        <v/>
      </c>
      <c r="C249" s="8" t="str">
        <f>IFERROR(INDEX(样本到样信息汇总统计!C$2:C$500,MATCH(248,样本到样信息汇总统计!$AA$2:$AA$500,0)),"")</f>
        <v/>
      </c>
      <c r="D249" s="8" t="str">
        <f>IFERROR(INDEX(样本到样信息汇总统计!D$2:D$500,MATCH(248,样本到样信息汇总统计!$AA$2:$AA$500,0)),"")</f>
        <v/>
      </c>
      <c r="E249" s="8" t="str">
        <f>IFERROR(INDEX(样本到样信息汇总统计!E$2:E$500,MATCH(248,样本到样信息汇总统计!$AA$2:$AA$500,0)),"")</f>
        <v/>
      </c>
      <c r="F249" s="8" t="str">
        <f>IFERROR(INDEX(样本到样信息汇总统计!F$2:F$500,MATCH(248,样本到样信息汇总统计!$AA$2:$AA$500,0)),"")</f>
        <v/>
      </c>
      <c r="G249" s="8" t="str">
        <f>IFERROR(INDEX(样本到样信息汇总统计!G$2:G$500,MATCH(248,样本到样信息汇总统计!$AA$2:$AA$500,0)),"")</f>
        <v/>
      </c>
      <c r="H249" s="8" t="str">
        <f>IFERROR(INDEX(样本到样信息汇总统计!H$2:H$500,MATCH(248,样本到样信息汇总统计!$AA$2:$AA$500,0)),"")</f>
        <v/>
      </c>
      <c r="I249" s="8" t="str">
        <f>IFERROR(INDEX(样本到样信息汇总统计!I$2:I$500,MATCH(248,样本到样信息汇总统计!$AA$2:$AA$500,0)),"")</f>
        <v/>
      </c>
      <c r="J249" s="8" t="str">
        <f>IFERROR(INDEX(样本到样信息汇总统计!J$2:J$500,MATCH(248,样本到样信息汇总统计!$AA$2:$AA$500,0)),"")</f>
        <v/>
      </c>
      <c r="K249" s="8" t="str">
        <f>IFERROR(INDEX(样本到样信息汇总统计!K$2:K$500,MATCH(248,样本到样信息汇总统计!$AA$2:$AA$500,0)),"")</f>
        <v/>
      </c>
      <c r="L249" s="8" t="str">
        <f>IFERROR(INDEX(样本到样信息汇总统计!L$2:L$500,MATCH(248,样本到样信息汇总统计!$AA$2:$AA$500,0)),"")</f>
        <v/>
      </c>
      <c r="M249" s="8" t="str">
        <f>IFERROR(INDEX(样本到样信息汇总统计!M$2:M$500,MATCH(248,样本到样信息汇总统计!$AA$2:$AA$500,0)),"")</f>
        <v/>
      </c>
      <c r="N249" s="8" t="str">
        <f>IFERROR(INDEX(样本到样信息汇总统计!N$2:N$500,MATCH(248,样本到样信息汇总统计!$AA$2:$AA$500,0)),"")</f>
        <v/>
      </c>
      <c r="O249" s="8" t="str">
        <f>IFERROR(INDEX(样本到样信息汇总统计!O$2:O$500,MATCH(248,样本到样信息汇总统计!$AA$2:$AA$500,0)),"")</f>
        <v/>
      </c>
      <c r="P249" s="8" t="str">
        <f>IFERROR(INDEX(样本到样信息汇总统计!P$2:P$500,MATCH(248,样本到样信息汇总统计!$AA$2:$AA$500,0)),"")</f>
        <v/>
      </c>
      <c r="Q249" s="8" t="str">
        <f>IFERROR(INDEX(样本到样信息汇总统计!Q$2:Q$500,MATCH(248,样本到样信息汇总统计!$AA$2:$AA$500,0)),"")</f>
        <v/>
      </c>
      <c r="R249" s="8" t="str">
        <f>IFERROR(INDEX(样本到样信息汇总统计!R$2:R$500,MATCH(248,样本到样信息汇总统计!$AA$2:$AA$500,0)),"")</f>
        <v/>
      </c>
      <c r="S249" s="8" t="str">
        <f>IFERROR(INDEX(样本到样信息汇总统计!S$2:S$500,MATCH(248,样本到样信息汇总统计!$AA$2:$AA$500,0)),"")</f>
        <v/>
      </c>
      <c r="T249" s="8" t="str">
        <f>IFERROR(INDEX(样本到样信息汇总统计!T$2:T$500,MATCH(248,样本到样信息汇总统计!$AA$2:$AA$500,0)),"")</f>
        <v/>
      </c>
      <c r="U249" s="8" t="str">
        <f>IFERROR(INDEX(样本到样信息汇总统计!U$2:U$500,MATCH(248,样本到样信息汇总统计!$AA$2:$AA$500,0)),"")</f>
        <v/>
      </c>
      <c r="V249" s="8" t="str">
        <f>IFERROR(INDEX(样本到样信息汇总统计!V$2:V$500,MATCH(248,样本到样信息汇总统计!$AA$2:$AA$500,0)),"")</f>
        <v/>
      </c>
      <c r="W249" s="8" t="str">
        <f>IFERROR(INDEX(样本到样信息汇总统计!W$2:W$500,MATCH(248,样本到样信息汇总统计!$AA$2:$AA$500,0)),"")</f>
        <v/>
      </c>
    </row>
    <row r="250" ht="14.5" spans="1:23">
      <c r="A250" s="4" t="str">
        <f>IFERROR(INDEX(样本到样信息汇总统计!A$2:A$500,MATCH(249,样本到样信息汇总统计!$AA$2:$AA$500,0)),"")</f>
        <v/>
      </c>
      <c r="B250" s="4" t="str">
        <f>IFERROR(INDEX(样本到样信息汇总统计!B$2:B$500,MATCH(249,样本到样信息汇总统计!$AA$2:$AA$500,0)),"")</f>
        <v/>
      </c>
      <c r="C250" s="4" t="str">
        <f>IFERROR(INDEX(样本到样信息汇总统计!C$2:C$500,MATCH(249,样本到样信息汇总统计!$AA$2:$AA$500,0)),"")</f>
        <v/>
      </c>
      <c r="D250" s="4" t="str">
        <f>IFERROR(INDEX(样本到样信息汇总统计!D$2:D$500,MATCH(249,样本到样信息汇总统计!$AA$2:$AA$500,0)),"")</f>
        <v/>
      </c>
      <c r="E250" s="4" t="str">
        <f>IFERROR(INDEX(样本到样信息汇总统计!E$2:E$500,MATCH(249,样本到样信息汇总统计!$AA$2:$AA$500,0)),"")</f>
        <v/>
      </c>
      <c r="F250" s="4" t="str">
        <f>IFERROR(INDEX(样本到样信息汇总统计!F$2:F$500,MATCH(249,样本到样信息汇总统计!$AA$2:$AA$500,0)),"")</f>
        <v/>
      </c>
      <c r="G250" s="4" t="str">
        <f>IFERROR(INDEX(样本到样信息汇总统计!G$2:G$500,MATCH(249,样本到样信息汇总统计!$AA$2:$AA$500,0)),"")</f>
        <v/>
      </c>
      <c r="H250" s="4" t="str">
        <f>IFERROR(INDEX(样本到样信息汇总统计!H$2:H$500,MATCH(249,样本到样信息汇总统计!$AA$2:$AA$500,0)),"")</f>
        <v/>
      </c>
      <c r="I250" s="4" t="str">
        <f>IFERROR(INDEX(样本到样信息汇总统计!I$2:I$500,MATCH(249,样本到样信息汇总统计!$AA$2:$AA$500,0)),"")</f>
        <v/>
      </c>
      <c r="J250" s="4" t="str">
        <f>IFERROR(INDEX(样本到样信息汇总统计!J$2:J$500,MATCH(249,样本到样信息汇总统计!$AA$2:$AA$500,0)),"")</f>
        <v/>
      </c>
      <c r="K250" s="4" t="str">
        <f>IFERROR(INDEX(样本到样信息汇总统计!K$2:K$500,MATCH(249,样本到样信息汇总统计!$AA$2:$AA$500,0)),"")</f>
        <v/>
      </c>
      <c r="L250" s="4" t="str">
        <f>IFERROR(INDEX(样本到样信息汇总统计!L$2:L$500,MATCH(249,样本到样信息汇总统计!$AA$2:$AA$500,0)),"")</f>
        <v/>
      </c>
      <c r="M250" s="4" t="str">
        <f>IFERROR(INDEX(样本到样信息汇总统计!M$2:M$500,MATCH(249,样本到样信息汇总统计!$AA$2:$AA$500,0)),"")</f>
        <v/>
      </c>
      <c r="N250" s="4" t="str">
        <f>IFERROR(INDEX(样本到样信息汇总统计!N$2:N$500,MATCH(249,样本到样信息汇总统计!$AA$2:$AA$500,0)),"")</f>
        <v/>
      </c>
      <c r="O250" s="4" t="str">
        <f>IFERROR(INDEX(样本到样信息汇总统计!O$2:O$500,MATCH(249,样本到样信息汇总统计!$AA$2:$AA$500,0)),"")</f>
        <v/>
      </c>
      <c r="P250" s="4" t="str">
        <f>IFERROR(INDEX(样本到样信息汇总统计!P$2:P$500,MATCH(249,样本到样信息汇总统计!$AA$2:$AA$500,0)),"")</f>
        <v/>
      </c>
      <c r="Q250" s="4" t="str">
        <f>IFERROR(INDEX(样本到样信息汇总统计!Q$2:Q$500,MATCH(249,样本到样信息汇总统计!$AA$2:$AA$500,0)),"")</f>
        <v/>
      </c>
      <c r="R250" s="4" t="str">
        <f>IFERROR(INDEX(样本到样信息汇总统计!R$2:R$500,MATCH(249,样本到样信息汇总统计!$AA$2:$AA$500,0)),"")</f>
        <v/>
      </c>
      <c r="S250" s="4" t="str">
        <f>IFERROR(INDEX(样本到样信息汇总统计!S$2:S$500,MATCH(249,样本到样信息汇总统计!$AA$2:$AA$500,0)),"")</f>
        <v/>
      </c>
      <c r="T250" s="4" t="str">
        <f>IFERROR(INDEX(样本到样信息汇总统计!T$2:T$500,MATCH(249,样本到样信息汇总统计!$AA$2:$AA$500,0)),"")</f>
        <v/>
      </c>
      <c r="U250" s="4" t="str">
        <f>IFERROR(INDEX(样本到样信息汇总统计!U$2:U$500,MATCH(249,样本到样信息汇总统计!$AA$2:$AA$500,0)),"")</f>
        <v/>
      </c>
      <c r="V250" s="4" t="str">
        <f>IFERROR(INDEX(样本到样信息汇总统计!V$2:V$500,MATCH(249,样本到样信息汇总统计!$AA$2:$AA$500,0)),"")</f>
        <v/>
      </c>
      <c r="W250" s="4" t="str">
        <f>IFERROR(INDEX(样本到样信息汇总统计!W$2:W$500,MATCH(249,样本到样信息汇总统计!$AA$2:$AA$500,0)),"")</f>
        <v/>
      </c>
    </row>
    <row r="251" ht="14.5" spans="1:23">
      <c r="A251" s="8" t="str">
        <f>IFERROR(INDEX(样本到样信息汇总统计!A$2:A$500,MATCH(250,样本到样信息汇总统计!$AA$2:$AA$500,0)),"")</f>
        <v/>
      </c>
      <c r="B251" s="8" t="str">
        <f>IFERROR(INDEX(样本到样信息汇总统计!B$2:B$500,MATCH(250,样本到样信息汇总统计!$AA$2:$AA$500,0)),"")</f>
        <v/>
      </c>
      <c r="C251" s="8" t="str">
        <f>IFERROR(INDEX(样本到样信息汇总统计!C$2:C$500,MATCH(250,样本到样信息汇总统计!$AA$2:$AA$500,0)),"")</f>
        <v/>
      </c>
      <c r="D251" s="8" t="str">
        <f>IFERROR(INDEX(样本到样信息汇总统计!D$2:D$500,MATCH(250,样本到样信息汇总统计!$AA$2:$AA$500,0)),"")</f>
        <v/>
      </c>
      <c r="E251" s="8" t="str">
        <f>IFERROR(INDEX(样本到样信息汇总统计!E$2:E$500,MATCH(250,样本到样信息汇总统计!$AA$2:$AA$500,0)),"")</f>
        <v/>
      </c>
      <c r="F251" s="8" t="str">
        <f>IFERROR(INDEX(样本到样信息汇总统计!F$2:F$500,MATCH(250,样本到样信息汇总统计!$AA$2:$AA$500,0)),"")</f>
        <v/>
      </c>
      <c r="G251" s="8" t="str">
        <f>IFERROR(INDEX(样本到样信息汇总统计!G$2:G$500,MATCH(250,样本到样信息汇总统计!$AA$2:$AA$500,0)),"")</f>
        <v/>
      </c>
      <c r="H251" s="8" t="str">
        <f>IFERROR(INDEX(样本到样信息汇总统计!H$2:H$500,MATCH(250,样本到样信息汇总统计!$AA$2:$AA$500,0)),"")</f>
        <v/>
      </c>
      <c r="I251" s="8" t="str">
        <f>IFERROR(INDEX(样本到样信息汇总统计!I$2:I$500,MATCH(250,样本到样信息汇总统计!$AA$2:$AA$500,0)),"")</f>
        <v/>
      </c>
      <c r="J251" s="8" t="str">
        <f>IFERROR(INDEX(样本到样信息汇总统计!J$2:J$500,MATCH(250,样本到样信息汇总统计!$AA$2:$AA$500,0)),"")</f>
        <v/>
      </c>
      <c r="K251" s="8" t="str">
        <f>IFERROR(INDEX(样本到样信息汇总统计!K$2:K$500,MATCH(250,样本到样信息汇总统计!$AA$2:$AA$500,0)),"")</f>
        <v/>
      </c>
      <c r="L251" s="8" t="str">
        <f>IFERROR(INDEX(样本到样信息汇总统计!L$2:L$500,MATCH(250,样本到样信息汇总统计!$AA$2:$AA$500,0)),"")</f>
        <v/>
      </c>
      <c r="M251" s="8" t="str">
        <f>IFERROR(INDEX(样本到样信息汇总统计!M$2:M$500,MATCH(250,样本到样信息汇总统计!$AA$2:$AA$500,0)),"")</f>
        <v/>
      </c>
      <c r="N251" s="8" t="str">
        <f>IFERROR(INDEX(样本到样信息汇总统计!N$2:N$500,MATCH(250,样本到样信息汇总统计!$AA$2:$AA$500,0)),"")</f>
        <v/>
      </c>
      <c r="O251" s="8" t="str">
        <f>IFERROR(INDEX(样本到样信息汇总统计!O$2:O$500,MATCH(250,样本到样信息汇总统计!$AA$2:$AA$500,0)),"")</f>
        <v/>
      </c>
      <c r="P251" s="8" t="str">
        <f>IFERROR(INDEX(样本到样信息汇总统计!P$2:P$500,MATCH(250,样本到样信息汇总统计!$AA$2:$AA$500,0)),"")</f>
        <v/>
      </c>
      <c r="Q251" s="8" t="str">
        <f>IFERROR(INDEX(样本到样信息汇总统计!Q$2:Q$500,MATCH(250,样本到样信息汇总统计!$AA$2:$AA$500,0)),"")</f>
        <v/>
      </c>
      <c r="R251" s="8" t="str">
        <f>IFERROR(INDEX(样本到样信息汇总统计!R$2:R$500,MATCH(250,样本到样信息汇总统计!$AA$2:$AA$500,0)),"")</f>
        <v/>
      </c>
      <c r="S251" s="8" t="str">
        <f>IFERROR(INDEX(样本到样信息汇总统计!S$2:S$500,MATCH(250,样本到样信息汇总统计!$AA$2:$AA$500,0)),"")</f>
        <v/>
      </c>
      <c r="T251" s="8" t="str">
        <f>IFERROR(INDEX(样本到样信息汇总统计!T$2:T$500,MATCH(250,样本到样信息汇总统计!$AA$2:$AA$500,0)),"")</f>
        <v/>
      </c>
      <c r="U251" s="8" t="str">
        <f>IFERROR(INDEX(样本到样信息汇总统计!U$2:U$500,MATCH(250,样本到样信息汇总统计!$AA$2:$AA$500,0)),"")</f>
        <v/>
      </c>
      <c r="V251" s="8" t="str">
        <f>IFERROR(INDEX(样本到样信息汇总统计!V$2:V$500,MATCH(250,样本到样信息汇总统计!$AA$2:$AA$500,0)),"")</f>
        <v/>
      </c>
      <c r="W251" s="8" t="str">
        <f>IFERROR(INDEX(样本到样信息汇总统计!W$2:W$500,MATCH(250,样本到样信息汇总统计!$AA$2:$AA$500,0)),"")</f>
        <v/>
      </c>
    </row>
    <row r="252" ht="14.5" spans="1:23">
      <c r="A252" s="4" t="str">
        <f>IFERROR(INDEX(样本到样信息汇总统计!A$2:A$500,MATCH(251,样本到样信息汇总统计!$AA$2:$AA$500,0)),"")</f>
        <v/>
      </c>
      <c r="B252" s="4" t="str">
        <f>IFERROR(INDEX(样本到样信息汇总统计!B$2:B$500,MATCH(251,样本到样信息汇总统计!$AA$2:$AA$500,0)),"")</f>
        <v/>
      </c>
      <c r="C252" s="4" t="str">
        <f>IFERROR(INDEX(样本到样信息汇总统计!C$2:C$500,MATCH(251,样本到样信息汇总统计!$AA$2:$AA$500,0)),"")</f>
        <v/>
      </c>
      <c r="D252" s="4" t="str">
        <f>IFERROR(INDEX(样本到样信息汇总统计!D$2:D$500,MATCH(251,样本到样信息汇总统计!$AA$2:$AA$500,0)),"")</f>
        <v/>
      </c>
      <c r="E252" s="4" t="str">
        <f>IFERROR(INDEX(样本到样信息汇总统计!E$2:E$500,MATCH(251,样本到样信息汇总统计!$AA$2:$AA$500,0)),"")</f>
        <v/>
      </c>
      <c r="F252" s="4" t="str">
        <f>IFERROR(INDEX(样本到样信息汇总统计!F$2:F$500,MATCH(251,样本到样信息汇总统计!$AA$2:$AA$500,0)),"")</f>
        <v/>
      </c>
      <c r="G252" s="4" t="str">
        <f>IFERROR(INDEX(样本到样信息汇总统计!G$2:G$500,MATCH(251,样本到样信息汇总统计!$AA$2:$AA$500,0)),"")</f>
        <v/>
      </c>
      <c r="H252" s="4" t="str">
        <f>IFERROR(INDEX(样本到样信息汇总统计!H$2:H$500,MATCH(251,样本到样信息汇总统计!$AA$2:$AA$500,0)),"")</f>
        <v/>
      </c>
      <c r="I252" s="4" t="str">
        <f>IFERROR(INDEX(样本到样信息汇总统计!I$2:I$500,MATCH(251,样本到样信息汇总统计!$AA$2:$AA$500,0)),"")</f>
        <v/>
      </c>
      <c r="J252" s="4" t="str">
        <f>IFERROR(INDEX(样本到样信息汇总统计!J$2:J$500,MATCH(251,样本到样信息汇总统计!$AA$2:$AA$500,0)),"")</f>
        <v/>
      </c>
      <c r="K252" s="4" t="str">
        <f>IFERROR(INDEX(样本到样信息汇总统计!K$2:K$500,MATCH(251,样本到样信息汇总统计!$AA$2:$AA$500,0)),"")</f>
        <v/>
      </c>
      <c r="L252" s="4" t="str">
        <f>IFERROR(INDEX(样本到样信息汇总统计!L$2:L$500,MATCH(251,样本到样信息汇总统计!$AA$2:$AA$500,0)),"")</f>
        <v/>
      </c>
      <c r="M252" s="4" t="str">
        <f>IFERROR(INDEX(样本到样信息汇总统计!M$2:M$500,MATCH(251,样本到样信息汇总统计!$AA$2:$AA$500,0)),"")</f>
        <v/>
      </c>
      <c r="N252" s="4" t="str">
        <f>IFERROR(INDEX(样本到样信息汇总统计!N$2:N$500,MATCH(251,样本到样信息汇总统计!$AA$2:$AA$500,0)),"")</f>
        <v/>
      </c>
      <c r="O252" s="4" t="str">
        <f>IFERROR(INDEX(样本到样信息汇总统计!O$2:O$500,MATCH(251,样本到样信息汇总统计!$AA$2:$AA$500,0)),"")</f>
        <v/>
      </c>
      <c r="P252" s="4" t="str">
        <f>IFERROR(INDEX(样本到样信息汇总统计!P$2:P$500,MATCH(251,样本到样信息汇总统计!$AA$2:$AA$500,0)),"")</f>
        <v/>
      </c>
      <c r="Q252" s="4" t="str">
        <f>IFERROR(INDEX(样本到样信息汇总统计!Q$2:Q$500,MATCH(251,样本到样信息汇总统计!$AA$2:$AA$500,0)),"")</f>
        <v/>
      </c>
      <c r="R252" s="4" t="str">
        <f>IFERROR(INDEX(样本到样信息汇总统计!R$2:R$500,MATCH(251,样本到样信息汇总统计!$AA$2:$AA$500,0)),"")</f>
        <v/>
      </c>
      <c r="S252" s="4" t="str">
        <f>IFERROR(INDEX(样本到样信息汇总统计!S$2:S$500,MATCH(251,样本到样信息汇总统计!$AA$2:$AA$500,0)),"")</f>
        <v/>
      </c>
      <c r="T252" s="4" t="str">
        <f>IFERROR(INDEX(样本到样信息汇总统计!T$2:T$500,MATCH(251,样本到样信息汇总统计!$AA$2:$AA$500,0)),"")</f>
        <v/>
      </c>
      <c r="U252" s="4" t="str">
        <f>IFERROR(INDEX(样本到样信息汇总统计!U$2:U$500,MATCH(251,样本到样信息汇总统计!$AA$2:$AA$500,0)),"")</f>
        <v/>
      </c>
      <c r="V252" s="4" t="str">
        <f>IFERROR(INDEX(样本到样信息汇总统计!V$2:V$500,MATCH(251,样本到样信息汇总统计!$AA$2:$AA$500,0)),"")</f>
        <v/>
      </c>
      <c r="W252" s="4" t="str">
        <f>IFERROR(INDEX(样本到样信息汇总统计!W$2:W$500,MATCH(251,样本到样信息汇总统计!$AA$2:$AA$500,0)),"")</f>
        <v/>
      </c>
    </row>
    <row r="253" ht="14.5" spans="1:23">
      <c r="A253" s="8" t="str">
        <f>IFERROR(INDEX(样本到样信息汇总统计!A$2:A$500,MATCH(252,样本到样信息汇总统计!$AA$2:$AA$500,0)),"")</f>
        <v/>
      </c>
      <c r="B253" s="8" t="str">
        <f>IFERROR(INDEX(样本到样信息汇总统计!B$2:B$500,MATCH(252,样本到样信息汇总统计!$AA$2:$AA$500,0)),"")</f>
        <v/>
      </c>
      <c r="C253" s="8" t="str">
        <f>IFERROR(INDEX(样本到样信息汇总统计!C$2:C$500,MATCH(252,样本到样信息汇总统计!$AA$2:$AA$500,0)),"")</f>
        <v/>
      </c>
      <c r="D253" s="8" t="str">
        <f>IFERROR(INDEX(样本到样信息汇总统计!D$2:D$500,MATCH(252,样本到样信息汇总统计!$AA$2:$AA$500,0)),"")</f>
        <v/>
      </c>
      <c r="E253" s="8" t="str">
        <f>IFERROR(INDEX(样本到样信息汇总统计!E$2:E$500,MATCH(252,样本到样信息汇总统计!$AA$2:$AA$500,0)),"")</f>
        <v/>
      </c>
      <c r="F253" s="8" t="str">
        <f>IFERROR(INDEX(样本到样信息汇总统计!F$2:F$500,MATCH(252,样本到样信息汇总统计!$AA$2:$AA$500,0)),"")</f>
        <v/>
      </c>
      <c r="G253" s="8" t="str">
        <f>IFERROR(INDEX(样本到样信息汇总统计!G$2:G$500,MATCH(252,样本到样信息汇总统计!$AA$2:$AA$500,0)),"")</f>
        <v/>
      </c>
      <c r="H253" s="8" t="str">
        <f>IFERROR(INDEX(样本到样信息汇总统计!H$2:H$500,MATCH(252,样本到样信息汇总统计!$AA$2:$AA$500,0)),"")</f>
        <v/>
      </c>
      <c r="I253" s="8" t="str">
        <f>IFERROR(INDEX(样本到样信息汇总统计!I$2:I$500,MATCH(252,样本到样信息汇总统计!$AA$2:$AA$500,0)),"")</f>
        <v/>
      </c>
      <c r="J253" s="8" t="str">
        <f>IFERROR(INDEX(样本到样信息汇总统计!J$2:J$500,MATCH(252,样本到样信息汇总统计!$AA$2:$AA$500,0)),"")</f>
        <v/>
      </c>
      <c r="K253" s="8" t="str">
        <f>IFERROR(INDEX(样本到样信息汇总统计!K$2:K$500,MATCH(252,样本到样信息汇总统计!$AA$2:$AA$500,0)),"")</f>
        <v/>
      </c>
      <c r="L253" s="8" t="str">
        <f>IFERROR(INDEX(样本到样信息汇总统计!L$2:L$500,MATCH(252,样本到样信息汇总统计!$AA$2:$AA$500,0)),"")</f>
        <v/>
      </c>
      <c r="M253" s="8" t="str">
        <f>IFERROR(INDEX(样本到样信息汇总统计!M$2:M$500,MATCH(252,样本到样信息汇总统计!$AA$2:$AA$500,0)),"")</f>
        <v/>
      </c>
      <c r="N253" s="8" t="str">
        <f>IFERROR(INDEX(样本到样信息汇总统计!N$2:N$500,MATCH(252,样本到样信息汇总统计!$AA$2:$AA$500,0)),"")</f>
        <v/>
      </c>
      <c r="O253" s="8" t="str">
        <f>IFERROR(INDEX(样本到样信息汇总统计!O$2:O$500,MATCH(252,样本到样信息汇总统计!$AA$2:$AA$500,0)),"")</f>
        <v/>
      </c>
      <c r="P253" s="8" t="str">
        <f>IFERROR(INDEX(样本到样信息汇总统计!P$2:P$500,MATCH(252,样本到样信息汇总统计!$AA$2:$AA$500,0)),"")</f>
        <v/>
      </c>
      <c r="Q253" s="8" t="str">
        <f>IFERROR(INDEX(样本到样信息汇总统计!Q$2:Q$500,MATCH(252,样本到样信息汇总统计!$AA$2:$AA$500,0)),"")</f>
        <v/>
      </c>
      <c r="R253" s="8" t="str">
        <f>IFERROR(INDEX(样本到样信息汇总统计!R$2:R$500,MATCH(252,样本到样信息汇总统计!$AA$2:$AA$500,0)),"")</f>
        <v/>
      </c>
      <c r="S253" s="8" t="str">
        <f>IFERROR(INDEX(样本到样信息汇总统计!S$2:S$500,MATCH(252,样本到样信息汇总统计!$AA$2:$AA$500,0)),"")</f>
        <v/>
      </c>
      <c r="T253" s="8" t="str">
        <f>IFERROR(INDEX(样本到样信息汇总统计!T$2:T$500,MATCH(252,样本到样信息汇总统计!$AA$2:$AA$500,0)),"")</f>
        <v/>
      </c>
      <c r="U253" s="8" t="str">
        <f>IFERROR(INDEX(样本到样信息汇总统计!U$2:U$500,MATCH(252,样本到样信息汇总统计!$AA$2:$AA$500,0)),"")</f>
        <v/>
      </c>
      <c r="V253" s="8" t="str">
        <f>IFERROR(INDEX(样本到样信息汇总统计!V$2:V$500,MATCH(252,样本到样信息汇总统计!$AA$2:$AA$500,0)),"")</f>
        <v/>
      </c>
      <c r="W253" s="8" t="str">
        <f>IFERROR(INDEX(样本到样信息汇总统计!W$2:W$500,MATCH(252,样本到样信息汇总统计!$AA$2:$AA$500,0)),"")</f>
        <v/>
      </c>
    </row>
    <row r="254" ht="14.5" spans="1:23">
      <c r="A254" s="4" t="str">
        <f>IFERROR(INDEX(样本到样信息汇总统计!A$2:A$500,MATCH(253,样本到样信息汇总统计!$AA$2:$AA$500,0)),"")</f>
        <v/>
      </c>
      <c r="B254" s="4" t="str">
        <f>IFERROR(INDEX(样本到样信息汇总统计!B$2:B$500,MATCH(253,样本到样信息汇总统计!$AA$2:$AA$500,0)),"")</f>
        <v/>
      </c>
      <c r="C254" s="4" t="str">
        <f>IFERROR(INDEX(样本到样信息汇总统计!C$2:C$500,MATCH(253,样本到样信息汇总统计!$AA$2:$AA$500,0)),"")</f>
        <v/>
      </c>
      <c r="D254" s="4" t="str">
        <f>IFERROR(INDEX(样本到样信息汇总统计!D$2:D$500,MATCH(253,样本到样信息汇总统计!$AA$2:$AA$500,0)),"")</f>
        <v/>
      </c>
      <c r="E254" s="4" t="str">
        <f>IFERROR(INDEX(样本到样信息汇总统计!E$2:E$500,MATCH(253,样本到样信息汇总统计!$AA$2:$AA$500,0)),"")</f>
        <v/>
      </c>
      <c r="F254" s="4" t="str">
        <f>IFERROR(INDEX(样本到样信息汇总统计!F$2:F$500,MATCH(253,样本到样信息汇总统计!$AA$2:$AA$500,0)),"")</f>
        <v/>
      </c>
      <c r="G254" s="4" t="str">
        <f>IFERROR(INDEX(样本到样信息汇总统计!G$2:G$500,MATCH(253,样本到样信息汇总统计!$AA$2:$AA$500,0)),"")</f>
        <v/>
      </c>
      <c r="H254" s="4" t="str">
        <f>IFERROR(INDEX(样本到样信息汇总统计!H$2:H$500,MATCH(253,样本到样信息汇总统计!$AA$2:$AA$500,0)),"")</f>
        <v/>
      </c>
      <c r="I254" s="4" t="str">
        <f>IFERROR(INDEX(样本到样信息汇总统计!I$2:I$500,MATCH(253,样本到样信息汇总统计!$AA$2:$AA$500,0)),"")</f>
        <v/>
      </c>
      <c r="J254" s="4" t="str">
        <f>IFERROR(INDEX(样本到样信息汇总统计!J$2:J$500,MATCH(253,样本到样信息汇总统计!$AA$2:$AA$500,0)),"")</f>
        <v/>
      </c>
      <c r="K254" s="4" t="str">
        <f>IFERROR(INDEX(样本到样信息汇总统计!K$2:K$500,MATCH(253,样本到样信息汇总统计!$AA$2:$AA$500,0)),"")</f>
        <v/>
      </c>
      <c r="L254" s="4" t="str">
        <f>IFERROR(INDEX(样本到样信息汇总统计!L$2:L$500,MATCH(253,样本到样信息汇总统计!$AA$2:$AA$500,0)),"")</f>
        <v/>
      </c>
      <c r="M254" s="4" t="str">
        <f>IFERROR(INDEX(样本到样信息汇总统计!M$2:M$500,MATCH(253,样本到样信息汇总统计!$AA$2:$AA$500,0)),"")</f>
        <v/>
      </c>
      <c r="N254" s="4" t="str">
        <f>IFERROR(INDEX(样本到样信息汇总统计!N$2:N$500,MATCH(253,样本到样信息汇总统计!$AA$2:$AA$500,0)),"")</f>
        <v/>
      </c>
      <c r="O254" s="4" t="str">
        <f>IFERROR(INDEX(样本到样信息汇总统计!O$2:O$500,MATCH(253,样本到样信息汇总统计!$AA$2:$AA$500,0)),"")</f>
        <v/>
      </c>
      <c r="P254" s="4" t="str">
        <f>IFERROR(INDEX(样本到样信息汇总统计!P$2:P$500,MATCH(253,样本到样信息汇总统计!$AA$2:$AA$500,0)),"")</f>
        <v/>
      </c>
      <c r="Q254" s="4" t="str">
        <f>IFERROR(INDEX(样本到样信息汇总统计!Q$2:Q$500,MATCH(253,样本到样信息汇总统计!$AA$2:$AA$500,0)),"")</f>
        <v/>
      </c>
      <c r="R254" s="4" t="str">
        <f>IFERROR(INDEX(样本到样信息汇总统计!R$2:R$500,MATCH(253,样本到样信息汇总统计!$AA$2:$AA$500,0)),"")</f>
        <v/>
      </c>
      <c r="S254" s="4" t="str">
        <f>IFERROR(INDEX(样本到样信息汇总统计!S$2:S$500,MATCH(253,样本到样信息汇总统计!$AA$2:$AA$500,0)),"")</f>
        <v/>
      </c>
      <c r="T254" s="4" t="str">
        <f>IFERROR(INDEX(样本到样信息汇总统计!T$2:T$500,MATCH(253,样本到样信息汇总统计!$AA$2:$AA$500,0)),"")</f>
        <v/>
      </c>
      <c r="U254" s="4" t="str">
        <f>IFERROR(INDEX(样本到样信息汇总统计!U$2:U$500,MATCH(253,样本到样信息汇总统计!$AA$2:$AA$500,0)),"")</f>
        <v/>
      </c>
      <c r="V254" s="4" t="str">
        <f>IFERROR(INDEX(样本到样信息汇总统计!V$2:V$500,MATCH(253,样本到样信息汇总统计!$AA$2:$AA$500,0)),"")</f>
        <v/>
      </c>
      <c r="W254" s="4" t="str">
        <f>IFERROR(INDEX(样本到样信息汇总统计!W$2:W$500,MATCH(253,样本到样信息汇总统计!$AA$2:$AA$500,0)),"")</f>
        <v/>
      </c>
    </row>
    <row r="255" ht="14.5" spans="1:23">
      <c r="A255" s="8" t="str">
        <f>IFERROR(INDEX(样本到样信息汇总统计!A$2:A$500,MATCH(254,样本到样信息汇总统计!$AA$2:$AA$500,0)),"")</f>
        <v/>
      </c>
      <c r="B255" s="8" t="str">
        <f>IFERROR(INDEX(样本到样信息汇总统计!B$2:B$500,MATCH(254,样本到样信息汇总统计!$AA$2:$AA$500,0)),"")</f>
        <v/>
      </c>
      <c r="C255" s="8" t="str">
        <f>IFERROR(INDEX(样本到样信息汇总统计!C$2:C$500,MATCH(254,样本到样信息汇总统计!$AA$2:$AA$500,0)),"")</f>
        <v/>
      </c>
      <c r="D255" s="8" t="str">
        <f>IFERROR(INDEX(样本到样信息汇总统计!D$2:D$500,MATCH(254,样本到样信息汇总统计!$AA$2:$AA$500,0)),"")</f>
        <v/>
      </c>
      <c r="E255" s="8" t="str">
        <f>IFERROR(INDEX(样本到样信息汇总统计!E$2:E$500,MATCH(254,样本到样信息汇总统计!$AA$2:$AA$500,0)),"")</f>
        <v/>
      </c>
      <c r="F255" s="8" t="str">
        <f>IFERROR(INDEX(样本到样信息汇总统计!F$2:F$500,MATCH(254,样本到样信息汇总统计!$AA$2:$AA$500,0)),"")</f>
        <v/>
      </c>
      <c r="G255" s="8" t="str">
        <f>IFERROR(INDEX(样本到样信息汇总统计!G$2:G$500,MATCH(254,样本到样信息汇总统计!$AA$2:$AA$500,0)),"")</f>
        <v/>
      </c>
      <c r="H255" s="8" t="str">
        <f>IFERROR(INDEX(样本到样信息汇总统计!H$2:H$500,MATCH(254,样本到样信息汇总统计!$AA$2:$AA$500,0)),"")</f>
        <v/>
      </c>
      <c r="I255" s="8" t="str">
        <f>IFERROR(INDEX(样本到样信息汇总统计!I$2:I$500,MATCH(254,样本到样信息汇总统计!$AA$2:$AA$500,0)),"")</f>
        <v/>
      </c>
      <c r="J255" s="8" t="str">
        <f>IFERROR(INDEX(样本到样信息汇总统计!J$2:J$500,MATCH(254,样本到样信息汇总统计!$AA$2:$AA$500,0)),"")</f>
        <v/>
      </c>
      <c r="K255" s="8" t="str">
        <f>IFERROR(INDEX(样本到样信息汇总统计!K$2:K$500,MATCH(254,样本到样信息汇总统计!$AA$2:$AA$500,0)),"")</f>
        <v/>
      </c>
      <c r="L255" s="8" t="str">
        <f>IFERROR(INDEX(样本到样信息汇总统计!L$2:L$500,MATCH(254,样本到样信息汇总统计!$AA$2:$AA$500,0)),"")</f>
        <v/>
      </c>
      <c r="M255" s="8" t="str">
        <f>IFERROR(INDEX(样本到样信息汇总统计!M$2:M$500,MATCH(254,样本到样信息汇总统计!$AA$2:$AA$500,0)),"")</f>
        <v/>
      </c>
      <c r="N255" s="8" t="str">
        <f>IFERROR(INDEX(样本到样信息汇总统计!N$2:N$500,MATCH(254,样本到样信息汇总统计!$AA$2:$AA$500,0)),"")</f>
        <v/>
      </c>
      <c r="O255" s="8" t="str">
        <f>IFERROR(INDEX(样本到样信息汇总统计!O$2:O$500,MATCH(254,样本到样信息汇总统计!$AA$2:$AA$500,0)),"")</f>
        <v/>
      </c>
      <c r="P255" s="8" t="str">
        <f>IFERROR(INDEX(样本到样信息汇总统计!P$2:P$500,MATCH(254,样本到样信息汇总统计!$AA$2:$AA$500,0)),"")</f>
        <v/>
      </c>
      <c r="Q255" s="8" t="str">
        <f>IFERROR(INDEX(样本到样信息汇总统计!Q$2:Q$500,MATCH(254,样本到样信息汇总统计!$AA$2:$AA$500,0)),"")</f>
        <v/>
      </c>
      <c r="R255" s="8" t="str">
        <f>IFERROR(INDEX(样本到样信息汇总统计!R$2:R$500,MATCH(254,样本到样信息汇总统计!$AA$2:$AA$500,0)),"")</f>
        <v/>
      </c>
      <c r="S255" s="8" t="str">
        <f>IFERROR(INDEX(样本到样信息汇总统计!S$2:S$500,MATCH(254,样本到样信息汇总统计!$AA$2:$AA$500,0)),"")</f>
        <v/>
      </c>
      <c r="T255" s="8" t="str">
        <f>IFERROR(INDEX(样本到样信息汇总统计!T$2:T$500,MATCH(254,样本到样信息汇总统计!$AA$2:$AA$500,0)),"")</f>
        <v/>
      </c>
      <c r="U255" s="8" t="str">
        <f>IFERROR(INDEX(样本到样信息汇总统计!U$2:U$500,MATCH(254,样本到样信息汇总统计!$AA$2:$AA$500,0)),"")</f>
        <v/>
      </c>
      <c r="V255" s="8" t="str">
        <f>IFERROR(INDEX(样本到样信息汇总统计!V$2:V$500,MATCH(254,样本到样信息汇总统计!$AA$2:$AA$500,0)),"")</f>
        <v/>
      </c>
      <c r="W255" s="8" t="str">
        <f>IFERROR(INDEX(样本到样信息汇总统计!W$2:W$500,MATCH(254,样本到样信息汇总统计!$AA$2:$AA$500,0)),"")</f>
        <v/>
      </c>
    </row>
    <row r="256" ht="14.5" spans="1:23">
      <c r="A256" s="4" t="str">
        <f>IFERROR(INDEX(样本到样信息汇总统计!A$2:A$500,MATCH(255,样本到样信息汇总统计!$AA$2:$AA$500,0)),"")</f>
        <v/>
      </c>
      <c r="B256" s="4" t="str">
        <f>IFERROR(INDEX(样本到样信息汇总统计!B$2:B$500,MATCH(255,样本到样信息汇总统计!$AA$2:$AA$500,0)),"")</f>
        <v/>
      </c>
      <c r="C256" s="4" t="str">
        <f>IFERROR(INDEX(样本到样信息汇总统计!C$2:C$500,MATCH(255,样本到样信息汇总统计!$AA$2:$AA$500,0)),"")</f>
        <v/>
      </c>
      <c r="D256" s="4" t="str">
        <f>IFERROR(INDEX(样本到样信息汇总统计!D$2:D$500,MATCH(255,样本到样信息汇总统计!$AA$2:$AA$500,0)),"")</f>
        <v/>
      </c>
      <c r="E256" s="4" t="str">
        <f>IFERROR(INDEX(样本到样信息汇总统计!E$2:E$500,MATCH(255,样本到样信息汇总统计!$AA$2:$AA$500,0)),"")</f>
        <v/>
      </c>
      <c r="F256" s="4" t="str">
        <f>IFERROR(INDEX(样本到样信息汇总统计!F$2:F$500,MATCH(255,样本到样信息汇总统计!$AA$2:$AA$500,0)),"")</f>
        <v/>
      </c>
      <c r="G256" s="4" t="str">
        <f>IFERROR(INDEX(样本到样信息汇总统计!G$2:G$500,MATCH(255,样本到样信息汇总统计!$AA$2:$AA$500,0)),"")</f>
        <v/>
      </c>
      <c r="H256" s="4" t="str">
        <f>IFERROR(INDEX(样本到样信息汇总统计!H$2:H$500,MATCH(255,样本到样信息汇总统计!$AA$2:$AA$500,0)),"")</f>
        <v/>
      </c>
      <c r="I256" s="4" t="str">
        <f>IFERROR(INDEX(样本到样信息汇总统计!I$2:I$500,MATCH(255,样本到样信息汇总统计!$AA$2:$AA$500,0)),"")</f>
        <v/>
      </c>
      <c r="J256" s="4" t="str">
        <f>IFERROR(INDEX(样本到样信息汇总统计!J$2:J$500,MATCH(255,样本到样信息汇总统计!$AA$2:$AA$500,0)),"")</f>
        <v/>
      </c>
      <c r="K256" s="4" t="str">
        <f>IFERROR(INDEX(样本到样信息汇总统计!K$2:K$500,MATCH(255,样本到样信息汇总统计!$AA$2:$AA$500,0)),"")</f>
        <v/>
      </c>
      <c r="L256" s="4" t="str">
        <f>IFERROR(INDEX(样本到样信息汇总统计!L$2:L$500,MATCH(255,样本到样信息汇总统计!$AA$2:$AA$500,0)),"")</f>
        <v/>
      </c>
      <c r="M256" s="4" t="str">
        <f>IFERROR(INDEX(样本到样信息汇总统计!M$2:M$500,MATCH(255,样本到样信息汇总统计!$AA$2:$AA$500,0)),"")</f>
        <v/>
      </c>
      <c r="N256" s="4" t="str">
        <f>IFERROR(INDEX(样本到样信息汇总统计!N$2:N$500,MATCH(255,样本到样信息汇总统计!$AA$2:$AA$500,0)),"")</f>
        <v/>
      </c>
      <c r="O256" s="4" t="str">
        <f>IFERROR(INDEX(样本到样信息汇总统计!O$2:O$500,MATCH(255,样本到样信息汇总统计!$AA$2:$AA$500,0)),"")</f>
        <v/>
      </c>
      <c r="P256" s="4" t="str">
        <f>IFERROR(INDEX(样本到样信息汇总统计!P$2:P$500,MATCH(255,样本到样信息汇总统计!$AA$2:$AA$500,0)),"")</f>
        <v/>
      </c>
      <c r="Q256" s="4" t="str">
        <f>IFERROR(INDEX(样本到样信息汇总统计!Q$2:Q$500,MATCH(255,样本到样信息汇总统计!$AA$2:$AA$500,0)),"")</f>
        <v/>
      </c>
      <c r="R256" s="4" t="str">
        <f>IFERROR(INDEX(样本到样信息汇总统计!R$2:R$500,MATCH(255,样本到样信息汇总统计!$AA$2:$AA$500,0)),"")</f>
        <v/>
      </c>
      <c r="S256" s="4" t="str">
        <f>IFERROR(INDEX(样本到样信息汇总统计!S$2:S$500,MATCH(255,样本到样信息汇总统计!$AA$2:$AA$500,0)),"")</f>
        <v/>
      </c>
      <c r="T256" s="4" t="str">
        <f>IFERROR(INDEX(样本到样信息汇总统计!T$2:T$500,MATCH(255,样本到样信息汇总统计!$AA$2:$AA$500,0)),"")</f>
        <v/>
      </c>
      <c r="U256" s="4" t="str">
        <f>IFERROR(INDEX(样本到样信息汇总统计!U$2:U$500,MATCH(255,样本到样信息汇总统计!$AA$2:$AA$500,0)),"")</f>
        <v/>
      </c>
      <c r="V256" s="4" t="str">
        <f>IFERROR(INDEX(样本到样信息汇总统计!V$2:V$500,MATCH(255,样本到样信息汇总统计!$AA$2:$AA$500,0)),"")</f>
        <v/>
      </c>
      <c r="W256" s="4" t="str">
        <f>IFERROR(INDEX(样本到样信息汇总统计!W$2:W$500,MATCH(255,样本到样信息汇总统计!$AA$2:$AA$500,0)),"")</f>
        <v/>
      </c>
    </row>
    <row r="257" ht="14.5" spans="1:23">
      <c r="A257" s="8" t="str">
        <f>IFERROR(INDEX(样本到样信息汇总统计!A$2:A$500,MATCH(256,样本到样信息汇总统计!$AA$2:$AA$500,0)),"")</f>
        <v/>
      </c>
      <c r="B257" s="8" t="str">
        <f>IFERROR(INDEX(样本到样信息汇总统计!B$2:B$500,MATCH(256,样本到样信息汇总统计!$AA$2:$AA$500,0)),"")</f>
        <v/>
      </c>
      <c r="C257" s="8" t="str">
        <f>IFERROR(INDEX(样本到样信息汇总统计!C$2:C$500,MATCH(256,样本到样信息汇总统计!$AA$2:$AA$500,0)),"")</f>
        <v/>
      </c>
      <c r="D257" s="8" t="str">
        <f>IFERROR(INDEX(样本到样信息汇总统计!D$2:D$500,MATCH(256,样本到样信息汇总统计!$AA$2:$AA$500,0)),"")</f>
        <v/>
      </c>
      <c r="E257" s="8" t="str">
        <f>IFERROR(INDEX(样本到样信息汇总统计!E$2:E$500,MATCH(256,样本到样信息汇总统计!$AA$2:$AA$500,0)),"")</f>
        <v/>
      </c>
      <c r="F257" s="8" t="str">
        <f>IFERROR(INDEX(样本到样信息汇总统计!F$2:F$500,MATCH(256,样本到样信息汇总统计!$AA$2:$AA$500,0)),"")</f>
        <v/>
      </c>
      <c r="G257" s="8" t="str">
        <f>IFERROR(INDEX(样本到样信息汇总统计!G$2:G$500,MATCH(256,样本到样信息汇总统计!$AA$2:$AA$500,0)),"")</f>
        <v/>
      </c>
      <c r="H257" s="8" t="str">
        <f>IFERROR(INDEX(样本到样信息汇总统计!H$2:H$500,MATCH(256,样本到样信息汇总统计!$AA$2:$AA$500,0)),"")</f>
        <v/>
      </c>
      <c r="I257" s="8" t="str">
        <f>IFERROR(INDEX(样本到样信息汇总统计!I$2:I$500,MATCH(256,样本到样信息汇总统计!$AA$2:$AA$500,0)),"")</f>
        <v/>
      </c>
      <c r="J257" s="8" t="str">
        <f>IFERROR(INDEX(样本到样信息汇总统计!J$2:J$500,MATCH(256,样本到样信息汇总统计!$AA$2:$AA$500,0)),"")</f>
        <v/>
      </c>
      <c r="K257" s="8" t="str">
        <f>IFERROR(INDEX(样本到样信息汇总统计!K$2:K$500,MATCH(256,样本到样信息汇总统计!$AA$2:$AA$500,0)),"")</f>
        <v/>
      </c>
      <c r="L257" s="8" t="str">
        <f>IFERROR(INDEX(样本到样信息汇总统计!L$2:L$500,MATCH(256,样本到样信息汇总统计!$AA$2:$AA$500,0)),"")</f>
        <v/>
      </c>
      <c r="M257" s="8" t="str">
        <f>IFERROR(INDEX(样本到样信息汇总统计!M$2:M$500,MATCH(256,样本到样信息汇总统计!$AA$2:$AA$500,0)),"")</f>
        <v/>
      </c>
      <c r="N257" s="8" t="str">
        <f>IFERROR(INDEX(样本到样信息汇总统计!N$2:N$500,MATCH(256,样本到样信息汇总统计!$AA$2:$AA$500,0)),"")</f>
        <v/>
      </c>
      <c r="O257" s="8" t="str">
        <f>IFERROR(INDEX(样本到样信息汇总统计!O$2:O$500,MATCH(256,样本到样信息汇总统计!$AA$2:$AA$500,0)),"")</f>
        <v/>
      </c>
      <c r="P257" s="8" t="str">
        <f>IFERROR(INDEX(样本到样信息汇总统计!P$2:P$500,MATCH(256,样本到样信息汇总统计!$AA$2:$AA$500,0)),"")</f>
        <v/>
      </c>
      <c r="Q257" s="8" t="str">
        <f>IFERROR(INDEX(样本到样信息汇总统计!Q$2:Q$500,MATCH(256,样本到样信息汇总统计!$AA$2:$AA$500,0)),"")</f>
        <v/>
      </c>
      <c r="R257" s="8" t="str">
        <f>IFERROR(INDEX(样本到样信息汇总统计!R$2:R$500,MATCH(256,样本到样信息汇总统计!$AA$2:$AA$500,0)),"")</f>
        <v/>
      </c>
      <c r="S257" s="8" t="str">
        <f>IFERROR(INDEX(样本到样信息汇总统计!S$2:S$500,MATCH(256,样本到样信息汇总统计!$AA$2:$AA$500,0)),"")</f>
        <v/>
      </c>
      <c r="T257" s="8" t="str">
        <f>IFERROR(INDEX(样本到样信息汇总统计!T$2:T$500,MATCH(256,样本到样信息汇总统计!$AA$2:$AA$500,0)),"")</f>
        <v/>
      </c>
      <c r="U257" s="8" t="str">
        <f>IFERROR(INDEX(样本到样信息汇总统计!U$2:U$500,MATCH(256,样本到样信息汇总统计!$AA$2:$AA$500,0)),"")</f>
        <v/>
      </c>
      <c r="V257" s="8" t="str">
        <f>IFERROR(INDEX(样本到样信息汇总统计!V$2:V$500,MATCH(256,样本到样信息汇总统计!$AA$2:$AA$500,0)),"")</f>
        <v/>
      </c>
      <c r="W257" s="8" t="str">
        <f>IFERROR(INDEX(样本到样信息汇总统计!W$2:W$500,MATCH(256,样本到样信息汇总统计!$AA$2:$AA$500,0)),"")</f>
        <v/>
      </c>
    </row>
    <row r="258" ht="14.5" spans="1:23">
      <c r="A258" s="4" t="str">
        <f>IFERROR(INDEX(样本到样信息汇总统计!A$2:A$500,MATCH(257,样本到样信息汇总统计!$AA$2:$AA$500,0)),"")</f>
        <v/>
      </c>
      <c r="B258" s="4" t="str">
        <f>IFERROR(INDEX(样本到样信息汇总统计!B$2:B$500,MATCH(257,样本到样信息汇总统计!$AA$2:$AA$500,0)),"")</f>
        <v/>
      </c>
      <c r="C258" s="4" t="str">
        <f>IFERROR(INDEX(样本到样信息汇总统计!C$2:C$500,MATCH(257,样本到样信息汇总统计!$AA$2:$AA$500,0)),"")</f>
        <v/>
      </c>
      <c r="D258" s="4" t="str">
        <f>IFERROR(INDEX(样本到样信息汇总统计!D$2:D$500,MATCH(257,样本到样信息汇总统计!$AA$2:$AA$500,0)),"")</f>
        <v/>
      </c>
      <c r="E258" s="4" t="str">
        <f>IFERROR(INDEX(样本到样信息汇总统计!E$2:E$500,MATCH(257,样本到样信息汇总统计!$AA$2:$AA$500,0)),"")</f>
        <v/>
      </c>
      <c r="F258" s="4" t="str">
        <f>IFERROR(INDEX(样本到样信息汇总统计!F$2:F$500,MATCH(257,样本到样信息汇总统计!$AA$2:$AA$500,0)),"")</f>
        <v/>
      </c>
      <c r="G258" s="4" t="str">
        <f>IFERROR(INDEX(样本到样信息汇总统计!G$2:G$500,MATCH(257,样本到样信息汇总统计!$AA$2:$AA$500,0)),"")</f>
        <v/>
      </c>
      <c r="H258" s="4" t="str">
        <f>IFERROR(INDEX(样本到样信息汇总统计!H$2:H$500,MATCH(257,样本到样信息汇总统计!$AA$2:$AA$500,0)),"")</f>
        <v/>
      </c>
      <c r="I258" s="4" t="str">
        <f>IFERROR(INDEX(样本到样信息汇总统计!I$2:I$500,MATCH(257,样本到样信息汇总统计!$AA$2:$AA$500,0)),"")</f>
        <v/>
      </c>
      <c r="J258" s="4" t="str">
        <f>IFERROR(INDEX(样本到样信息汇总统计!J$2:J$500,MATCH(257,样本到样信息汇总统计!$AA$2:$AA$500,0)),"")</f>
        <v/>
      </c>
      <c r="K258" s="4" t="str">
        <f>IFERROR(INDEX(样本到样信息汇总统计!K$2:K$500,MATCH(257,样本到样信息汇总统计!$AA$2:$AA$500,0)),"")</f>
        <v/>
      </c>
      <c r="L258" s="4" t="str">
        <f>IFERROR(INDEX(样本到样信息汇总统计!L$2:L$500,MATCH(257,样本到样信息汇总统计!$AA$2:$AA$500,0)),"")</f>
        <v/>
      </c>
      <c r="M258" s="4" t="str">
        <f>IFERROR(INDEX(样本到样信息汇总统计!M$2:M$500,MATCH(257,样本到样信息汇总统计!$AA$2:$AA$500,0)),"")</f>
        <v/>
      </c>
      <c r="N258" s="4" t="str">
        <f>IFERROR(INDEX(样本到样信息汇总统计!N$2:N$500,MATCH(257,样本到样信息汇总统计!$AA$2:$AA$500,0)),"")</f>
        <v/>
      </c>
      <c r="O258" s="4" t="str">
        <f>IFERROR(INDEX(样本到样信息汇总统计!O$2:O$500,MATCH(257,样本到样信息汇总统计!$AA$2:$AA$500,0)),"")</f>
        <v/>
      </c>
      <c r="P258" s="4" t="str">
        <f>IFERROR(INDEX(样本到样信息汇总统计!P$2:P$500,MATCH(257,样本到样信息汇总统计!$AA$2:$AA$500,0)),"")</f>
        <v/>
      </c>
      <c r="Q258" s="4" t="str">
        <f>IFERROR(INDEX(样本到样信息汇总统计!Q$2:Q$500,MATCH(257,样本到样信息汇总统计!$AA$2:$AA$500,0)),"")</f>
        <v/>
      </c>
      <c r="R258" s="4" t="str">
        <f>IFERROR(INDEX(样本到样信息汇总统计!R$2:R$500,MATCH(257,样本到样信息汇总统计!$AA$2:$AA$500,0)),"")</f>
        <v/>
      </c>
      <c r="S258" s="4" t="str">
        <f>IFERROR(INDEX(样本到样信息汇总统计!S$2:S$500,MATCH(257,样本到样信息汇总统计!$AA$2:$AA$500,0)),"")</f>
        <v/>
      </c>
      <c r="T258" s="4" t="str">
        <f>IFERROR(INDEX(样本到样信息汇总统计!T$2:T$500,MATCH(257,样本到样信息汇总统计!$AA$2:$AA$500,0)),"")</f>
        <v/>
      </c>
      <c r="U258" s="4" t="str">
        <f>IFERROR(INDEX(样本到样信息汇总统计!U$2:U$500,MATCH(257,样本到样信息汇总统计!$AA$2:$AA$500,0)),"")</f>
        <v/>
      </c>
      <c r="V258" s="4" t="str">
        <f>IFERROR(INDEX(样本到样信息汇总统计!V$2:V$500,MATCH(257,样本到样信息汇总统计!$AA$2:$AA$500,0)),"")</f>
        <v/>
      </c>
      <c r="W258" s="4" t="str">
        <f>IFERROR(INDEX(样本到样信息汇总统计!W$2:W$500,MATCH(257,样本到样信息汇总统计!$AA$2:$AA$500,0)),"")</f>
        <v/>
      </c>
    </row>
    <row r="259" ht="14.5" spans="1:23">
      <c r="A259" s="8" t="str">
        <f>IFERROR(INDEX(样本到样信息汇总统计!A$2:A$500,MATCH(258,样本到样信息汇总统计!$AA$2:$AA$500,0)),"")</f>
        <v/>
      </c>
      <c r="B259" s="8" t="str">
        <f>IFERROR(INDEX(样本到样信息汇总统计!B$2:B$500,MATCH(258,样本到样信息汇总统计!$AA$2:$AA$500,0)),"")</f>
        <v/>
      </c>
      <c r="C259" s="8" t="str">
        <f>IFERROR(INDEX(样本到样信息汇总统计!C$2:C$500,MATCH(258,样本到样信息汇总统计!$AA$2:$AA$500,0)),"")</f>
        <v/>
      </c>
      <c r="D259" s="8" t="str">
        <f>IFERROR(INDEX(样本到样信息汇总统计!D$2:D$500,MATCH(258,样本到样信息汇总统计!$AA$2:$AA$500,0)),"")</f>
        <v/>
      </c>
      <c r="E259" s="8" t="str">
        <f>IFERROR(INDEX(样本到样信息汇总统计!E$2:E$500,MATCH(258,样本到样信息汇总统计!$AA$2:$AA$500,0)),"")</f>
        <v/>
      </c>
      <c r="F259" s="8" t="str">
        <f>IFERROR(INDEX(样本到样信息汇总统计!F$2:F$500,MATCH(258,样本到样信息汇总统计!$AA$2:$AA$500,0)),"")</f>
        <v/>
      </c>
      <c r="G259" s="8" t="str">
        <f>IFERROR(INDEX(样本到样信息汇总统计!G$2:G$500,MATCH(258,样本到样信息汇总统计!$AA$2:$AA$500,0)),"")</f>
        <v/>
      </c>
      <c r="H259" s="8" t="str">
        <f>IFERROR(INDEX(样本到样信息汇总统计!H$2:H$500,MATCH(258,样本到样信息汇总统计!$AA$2:$AA$500,0)),"")</f>
        <v/>
      </c>
      <c r="I259" s="8" t="str">
        <f>IFERROR(INDEX(样本到样信息汇总统计!I$2:I$500,MATCH(258,样本到样信息汇总统计!$AA$2:$AA$500,0)),"")</f>
        <v/>
      </c>
      <c r="J259" s="8" t="str">
        <f>IFERROR(INDEX(样本到样信息汇总统计!J$2:J$500,MATCH(258,样本到样信息汇总统计!$AA$2:$AA$500,0)),"")</f>
        <v/>
      </c>
      <c r="K259" s="8" t="str">
        <f>IFERROR(INDEX(样本到样信息汇总统计!K$2:K$500,MATCH(258,样本到样信息汇总统计!$AA$2:$AA$500,0)),"")</f>
        <v/>
      </c>
      <c r="L259" s="8" t="str">
        <f>IFERROR(INDEX(样本到样信息汇总统计!L$2:L$500,MATCH(258,样本到样信息汇总统计!$AA$2:$AA$500,0)),"")</f>
        <v/>
      </c>
      <c r="M259" s="8" t="str">
        <f>IFERROR(INDEX(样本到样信息汇总统计!M$2:M$500,MATCH(258,样本到样信息汇总统计!$AA$2:$AA$500,0)),"")</f>
        <v/>
      </c>
      <c r="N259" s="8" t="str">
        <f>IFERROR(INDEX(样本到样信息汇总统计!N$2:N$500,MATCH(258,样本到样信息汇总统计!$AA$2:$AA$500,0)),"")</f>
        <v/>
      </c>
      <c r="O259" s="8" t="str">
        <f>IFERROR(INDEX(样本到样信息汇总统计!O$2:O$500,MATCH(258,样本到样信息汇总统计!$AA$2:$AA$500,0)),"")</f>
        <v/>
      </c>
      <c r="P259" s="8" t="str">
        <f>IFERROR(INDEX(样本到样信息汇总统计!P$2:P$500,MATCH(258,样本到样信息汇总统计!$AA$2:$AA$500,0)),"")</f>
        <v/>
      </c>
      <c r="Q259" s="8" t="str">
        <f>IFERROR(INDEX(样本到样信息汇总统计!Q$2:Q$500,MATCH(258,样本到样信息汇总统计!$AA$2:$AA$500,0)),"")</f>
        <v/>
      </c>
      <c r="R259" s="8" t="str">
        <f>IFERROR(INDEX(样本到样信息汇总统计!R$2:R$500,MATCH(258,样本到样信息汇总统计!$AA$2:$AA$500,0)),"")</f>
        <v/>
      </c>
      <c r="S259" s="8" t="str">
        <f>IFERROR(INDEX(样本到样信息汇总统计!S$2:S$500,MATCH(258,样本到样信息汇总统计!$AA$2:$AA$500,0)),"")</f>
        <v/>
      </c>
      <c r="T259" s="8" t="str">
        <f>IFERROR(INDEX(样本到样信息汇总统计!T$2:T$500,MATCH(258,样本到样信息汇总统计!$AA$2:$AA$500,0)),"")</f>
        <v/>
      </c>
      <c r="U259" s="8" t="str">
        <f>IFERROR(INDEX(样本到样信息汇总统计!U$2:U$500,MATCH(258,样本到样信息汇总统计!$AA$2:$AA$500,0)),"")</f>
        <v/>
      </c>
      <c r="V259" s="8" t="str">
        <f>IFERROR(INDEX(样本到样信息汇总统计!V$2:V$500,MATCH(258,样本到样信息汇总统计!$AA$2:$AA$500,0)),"")</f>
        <v/>
      </c>
      <c r="W259" s="8" t="str">
        <f>IFERROR(INDEX(样本到样信息汇总统计!W$2:W$500,MATCH(258,样本到样信息汇总统计!$AA$2:$AA$500,0)),"")</f>
        <v/>
      </c>
    </row>
    <row r="260" ht="14.5" spans="1:23">
      <c r="A260" s="4" t="str">
        <f>IFERROR(INDEX(样本到样信息汇总统计!A$2:A$500,MATCH(259,样本到样信息汇总统计!$AA$2:$AA$500,0)),"")</f>
        <v/>
      </c>
      <c r="B260" s="4" t="str">
        <f>IFERROR(INDEX(样本到样信息汇总统计!B$2:B$500,MATCH(259,样本到样信息汇总统计!$AA$2:$AA$500,0)),"")</f>
        <v/>
      </c>
      <c r="C260" s="4" t="str">
        <f>IFERROR(INDEX(样本到样信息汇总统计!C$2:C$500,MATCH(259,样本到样信息汇总统计!$AA$2:$AA$500,0)),"")</f>
        <v/>
      </c>
      <c r="D260" s="4" t="str">
        <f>IFERROR(INDEX(样本到样信息汇总统计!D$2:D$500,MATCH(259,样本到样信息汇总统计!$AA$2:$AA$500,0)),"")</f>
        <v/>
      </c>
      <c r="E260" s="4" t="str">
        <f>IFERROR(INDEX(样本到样信息汇总统计!E$2:E$500,MATCH(259,样本到样信息汇总统计!$AA$2:$AA$500,0)),"")</f>
        <v/>
      </c>
      <c r="F260" s="4" t="str">
        <f>IFERROR(INDEX(样本到样信息汇总统计!F$2:F$500,MATCH(259,样本到样信息汇总统计!$AA$2:$AA$500,0)),"")</f>
        <v/>
      </c>
      <c r="G260" s="4" t="str">
        <f>IFERROR(INDEX(样本到样信息汇总统计!G$2:G$500,MATCH(259,样本到样信息汇总统计!$AA$2:$AA$500,0)),"")</f>
        <v/>
      </c>
      <c r="H260" s="4" t="str">
        <f>IFERROR(INDEX(样本到样信息汇总统计!H$2:H$500,MATCH(259,样本到样信息汇总统计!$AA$2:$AA$500,0)),"")</f>
        <v/>
      </c>
      <c r="I260" s="4" t="str">
        <f>IFERROR(INDEX(样本到样信息汇总统计!I$2:I$500,MATCH(259,样本到样信息汇总统计!$AA$2:$AA$500,0)),"")</f>
        <v/>
      </c>
      <c r="J260" s="4" t="str">
        <f>IFERROR(INDEX(样本到样信息汇总统计!J$2:J$500,MATCH(259,样本到样信息汇总统计!$AA$2:$AA$500,0)),"")</f>
        <v/>
      </c>
      <c r="K260" s="4" t="str">
        <f>IFERROR(INDEX(样本到样信息汇总统计!K$2:K$500,MATCH(259,样本到样信息汇总统计!$AA$2:$AA$500,0)),"")</f>
        <v/>
      </c>
      <c r="L260" s="4" t="str">
        <f>IFERROR(INDEX(样本到样信息汇总统计!L$2:L$500,MATCH(259,样本到样信息汇总统计!$AA$2:$AA$500,0)),"")</f>
        <v/>
      </c>
      <c r="M260" s="4" t="str">
        <f>IFERROR(INDEX(样本到样信息汇总统计!M$2:M$500,MATCH(259,样本到样信息汇总统计!$AA$2:$AA$500,0)),"")</f>
        <v/>
      </c>
      <c r="N260" s="4" t="str">
        <f>IFERROR(INDEX(样本到样信息汇总统计!N$2:N$500,MATCH(259,样本到样信息汇总统计!$AA$2:$AA$500,0)),"")</f>
        <v/>
      </c>
      <c r="O260" s="4" t="str">
        <f>IFERROR(INDEX(样本到样信息汇总统计!O$2:O$500,MATCH(259,样本到样信息汇总统计!$AA$2:$AA$500,0)),"")</f>
        <v/>
      </c>
      <c r="P260" s="4" t="str">
        <f>IFERROR(INDEX(样本到样信息汇总统计!P$2:P$500,MATCH(259,样本到样信息汇总统计!$AA$2:$AA$500,0)),"")</f>
        <v/>
      </c>
      <c r="Q260" s="4" t="str">
        <f>IFERROR(INDEX(样本到样信息汇总统计!Q$2:Q$500,MATCH(259,样本到样信息汇总统计!$AA$2:$AA$500,0)),"")</f>
        <v/>
      </c>
      <c r="R260" s="4" t="str">
        <f>IFERROR(INDEX(样本到样信息汇总统计!R$2:R$500,MATCH(259,样本到样信息汇总统计!$AA$2:$AA$500,0)),"")</f>
        <v/>
      </c>
      <c r="S260" s="4" t="str">
        <f>IFERROR(INDEX(样本到样信息汇总统计!S$2:S$500,MATCH(259,样本到样信息汇总统计!$AA$2:$AA$500,0)),"")</f>
        <v/>
      </c>
      <c r="T260" s="4" t="str">
        <f>IFERROR(INDEX(样本到样信息汇总统计!T$2:T$500,MATCH(259,样本到样信息汇总统计!$AA$2:$AA$500,0)),"")</f>
        <v/>
      </c>
      <c r="U260" s="4" t="str">
        <f>IFERROR(INDEX(样本到样信息汇总统计!U$2:U$500,MATCH(259,样本到样信息汇总统计!$AA$2:$AA$500,0)),"")</f>
        <v/>
      </c>
      <c r="V260" s="4" t="str">
        <f>IFERROR(INDEX(样本到样信息汇总统计!V$2:V$500,MATCH(259,样本到样信息汇总统计!$AA$2:$AA$500,0)),"")</f>
        <v/>
      </c>
      <c r="W260" s="4" t="str">
        <f>IFERROR(INDEX(样本到样信息汇总统计!W$2:W$500,MATCH(259,样本到样信息汇总统计!$AA$2:$AA$500,0)),"")</f>
        <v/>
      </c>
    </row>
    <row r="261" ht="14.5" spans="1:23">
      <c r="A261" s="8" t="str">
        <f>IFERROR(INDEX(样本到样信息汇总统计!A$2:A$500,MATCH(260,样本到样信息汇总统计!$AA$2:$AA$500,0)),"")</f>
        <v/>
      </c>
      <c r="B261" s="8" t="str">
        <f>IFERROR(INDEX(样本到样信息汇总统计!B$2:B$500,MATCH(260,样本到样信息汇总统计!$AA$2:$AA$500,0)),"")</f>
        <v/>
      </c>
      <c r="C261" s="8" t="str">
        <f>IFERROR(INDEX(样本到样信息汇总统计!C$2:C$500,MATCH(260,样本到样信息汇总统计!$AA$2:$AA$500,0)),"")</f>
        <v/>
      </c>
      <c r="D261" s="8" t="str">
        <f>IFERROR(INDEX(样本到样信息汇总统计!D$2:D$500,MATCH(260,样本到样信息汇总统计!$AA$2:$AA$500,0)),"")</f>
        <v/>
      </c>
      <c r="E261" s="8" t="str">
        <f>IFERROR(INDEX(样本到样信息汇总统计!E$2:E$500,MATCH(260,样本到样信息汇总统计!$AA$2:$AA$500,0)),"")</f>
        <v/>
      </c>
      <c r="F261" s="8" t="str">
        <f>IFERROR(INDEX(样本到样信息汇总统计!F$2:F$500,MATCH(260,样本到样信息汇总统计!$AA$2:$AA$500,0)),"")</f>
        <v/>
      </c>
      <c r="G261" s="8" t="str">
        <f>IFERROR(INDEX(样本到样信息汇总统计!G$2:G$500,MATCH(260,样本到样信息汇总统计!$AA$2:$AA$500,0)),"")</f>
        <v/>
      </c>
      <c r="H261" s="8" t="str">
        <f>IFERROR(INDEX(样本到样信息汇总统计!H$2:H$500,MATCH(260,样本到样信息汇总统计!$AA$2:$AA$500,0)),"")</f>
        <v/>
      </c>
      <c r="I261" s="8" t="str">
        <f>IFERROR(INDEX(样本到样信息汇总统计!I$2:I$500,MATCH(260,样本到样信息汇总统计!$AA$2:$AA$500,0)),"")</f>
        <v/>
      </c>
      <c r="J261" s="8" t="str">
        <f>IFERROR(INDEX(样本到样信息汇总统计!J$2:J$500,MATCH(260,样本到样信息汇总统计!$AA$2:$AA$500,0)),"")</f>
        <v/>
      </c>
      <c r="K261" s="8" t="str">
        <f>IFERROR(INDEX(样本到样信息汇总统计!K$2:K$500,MATCH(260,样本到样信息汇总统计!$AA$2:$AA$500,0)),"")</f>
        <v/>
      </c>
      <c r="L261" s="8" t="str">
        <f>IFERROR(INDEX(样本到样信息汇总统计!L$2:L$500,MATCH(260,样本到样信息汇总统计!$AA$2:$AA$500,0)),"")</f>
        <v/>
      </c>
      <c r="M261" s="8" t="str">
        <f>IFERROR(INDEX(样本到样信息汇总统计!M$2:M$500,MATCH(260,样本到样信息汇总统计!$AA$2:$AA$500,0)),"")</f>
        <v/>
      </c>
      <c r="N261" s="8" t="str">
        <f>IFERROR(INDEX(样本到样信息汇总统计!N$2:N$500,MATCH(260,样本到样信息汇总统计!$AA$2:$AA$500,0)),"")</f>
        <v/>
      </c>
      <c r="O261" s="8" t="str">
        <f>IFERROR(INDEX(样本到样信息汇总统计!O$2:O$500,MATCH(260,样本到样信息汇总统计!$AA$2:$AA$500,0)),"")</f>
        <v/>
      </c>
      <c r="P261" s="8" t="str">
        <f>IFERROR(INDEX(样本到样信息汇总统计!P$2:P$500,MATCH(260,样本到样信息汇总统计!$AA$2:$AA$500,0)),"")</f>
        <v/>
      </c>
      <c r="Q261" s="8" t="str">
        <f>IFERROR(INDEX(样本到样信息汇总统计!Q$2:Q$500,MATCH(260,样本到样信息汇总统计!$AA$2:$AA$500,0)),"")</f>
        <v/>
      </c>
      <c r="R261" s="8" t="str">
        <f>IFERROR(INDEX(样本到样信息汇总统计!R$2:R$500,MATCH(260,样本到样信息汇总统计!$AA$2:$AA$500,0)),"")</f>
        <v/>
      </c>
      <c r="S261" s="8" t="str">
        <f>IFERROR(INDEX(样本到样信息汇总统计!S$2:S$500,MATCH(260,样本到样信息汇总统计!$AA$2:$AA$500,0)),"")</f>
        <v/>
      </c>
      <c r="T261" s="8" t="str">
        <f>IFERROR(INDEX(样本到样信息汇总统计!T$2:T$500,MATCH(260,样本到样信息汇总统计!$AA$2:$AA$500,0)),"")</f>
        <v/>
      </c>
      <c r="U261" s="8" t="str">
        <f>IFERROR(INDEX(样本到样信息汇总统计!U$2:U$500,MATCH(260,样本到样信息汇总统计!$AA$2:$AA$500,0)),"")</f>
        <v/>
      </c>
      <c r="V261" s="8" t="str">
        <f>IFERROR(INDEX(样本到样信息汇总统计!V$2:V$500,MATCH(260,样本到样信息汇总统计!$AA$2:$AA$500,0)),"")</f>
        <v/>
      </c>
      <c r="W261" s="8" t="str">
        <f>IFERROR(INDEX(样本到样信息汇总统计!W$2:W$500,MATCH(260,样本到样信息汇总统计!$AA$2:$AA$500,0)),"")</f>
        <v/>
      </c>
    </row>
    <row r="262" ht="14.5" spans="1:23">
      <c r="A262" s="4" t="str">
        <f>IFERROR(INDEX(样本到样信息汇总统计!A$2:A$500,MATCH(261,样本到样信息汇总统计!$AA$2:$AA$500,0)),"")</f>
        <v/>
      </c>
      <c r="B262" s="4" t="str">
        <f>IFERROR(INDEX(样本到样信息汇总统计!B$2:B$500,MATCH(261,样本到样信息汇总统计!$AA$2:$AA$500,0)),"")</f>
        <v/>
      </c>
      <c r="C262" s="4" t="str">
        <f>IFERROR(INDEX(样本到样信息汇总统计!C$2:C$500,MATCH(261,样本到样信息汇总统计!$AA$2:$AA$500,0)),"")</f>
        <v/>
      </c>
      <c r="D262" s="4" t="str">
        <f>IFERROR(INDEX(样本到样信息汇总统计!D$2:D$500,MATCH(261,样本到样信息汇总统计!$AA$2:$AA$500,0)),"")</f>
        <v/>
      </c>
      <c r="E262" s="4" t="str">
        <f>IFERROR(INDEX(样本到样信息汇总统计!E$2:E$500,MATCH(261,样本到样信息汇总统计!$AA$2:$AA$500,0)),"")</f>
        <v/>
      </c>
      <c r="F262" s="4" t="str">
        <f>IFERROR(INDEX(样本到样信息汇总统计!F$2:F$500,MATCH(261,样本到样信息汇总统计!$AA$2:$AA$500,0)),"")</f>
        <v/>
      </c>
      <c r="G262" s="4" t="str">
        <f>IFERROR(INDEX(样本到样信息汇总统计!G$2:G$500,MATCH(261,样本到样信息汇总统计!$AA$2:$AA$500,0)),"")</f>
        <v/>
      </c>
      <c r="H262" s="4" t="str">
        <f>IFERROR(INDEX(样本到样信息汇总统计!H$2:H$500,MATCH(261,样本到样信息汇总统计!$AA$2:$AA$500,0)),"")</f>
        <v/>
      </c>
      <c r="I262" s="4" t="str">
        <f>IFERROR(INDEX(样本到样信息汇总统计!I$2:I$500,MATCH(261,样本到样信息汇总统计!$AA$2:$AA$500,0)),"")</f>
        <v/>
      </c>
      <c r="J262" s="4" t="str">
        <f>IFERROR(INDEX(样本到样信息汇总统计!J$2:J$500,MATCH(261,样本到样信息汇总统计!$AA$2:$AA$500,0)),"")</f>
        <v/>
      </c>
      <c r="K262" s="4" t="str">
        <f>IFERROR(INDEX(样本到样信息汇总统计!K$2:K$500,MATCH(261,样本到样信息汇总统计!$AA$2:$AA$500,0)),"")</f>
        <v/>
      </c>
      <c r="L262" s="4" t="str">
        <f>IFERROR(INDEX(样本到样信息汇总统计!L$2:L$500,MATCH(261,样本到样信息汇总统计!$AA$2:$AA$500,0)),"")</f>
        <v/>
      </c>
      <c r="M262" s="4" t="str">
        <f>IFERROR(INDEX(样本到样信息汇总统计!M$2:M$500,MATCH(261,样本到样信息汇总统计!$AA$2:$AA$500,0)),"")</f>
        <v/>
      </c>
      <c r="N262" s="4" t="str">
        <f>IFERROR(INDEX(样本到样信息汇总统计!N$2:N$500,MATCH(261,样本到样信息汇总统计!$AA$2:$AA$500,0)),"")</f>
        <v/>
      </c>
      <c r="O262" s="4" t="str">
        <f>IFERROR(INDEX(样本到样信息汇总统计!O$2:O$500,MATCH(261,样本到样信息汇总统计!$AA$2:$AA$500,0)),"")</f>
        <v/>
      </c>
      <c r="P262" s="4" t="str">
        <f>IFERROR(INDEX(样本到样信息汇总统计!P$2:P$500,MATCH(261,样本到样信息汇总统计!$AA$2:$AA$500,0)),"")</f>
        <v/>
      </c>
      <c r="Q262" s="4" t="str">
        <f>IFERROR(INDEX(样本到样信息汇总统计!Q$2:Q$500,MATCH(261,样本到样信息汇总统计!$AA$2:$AA$500,0)),"")</f>
        <v/>
      </c>
      <c r="R262" s="4" t="str">
        <f>IFERROR(INDEX(样本到样信息汇总统计!R$2:R$500,MATCH(261,样本到样信息汇总统计!$AA$2:$AA$500,0)),"")</f>
        <v/>
      </c>
      <c r="S262" s="4" t="str">
        <f>IFERROR(INDEX(样本到样信息汇总统计!S$2:S$500,MATCH(261,样本到样信息汇总统计!$AA$2:$AA$500,0)),"")</f>
        <v/>
      </c>
      <c r="T262" s="4" t="str">
        <f>IFERROR(INDEX(样本到样信息汇总统计!T$2:T$500,MATCH(261,样本到样信息汇总统计!$AA$2:$AA$500,0)),"")</f>
        <v/>
      </c>
      <c r="U262" s="4" t="str">
        <f>IFERROR(INDEX(样本到样信息汇总统计!U$2:U$500,MATCH(261,样本到样信息汇总统计!$AA$2:$AA$500,0)),"")</f>
        <v/>
      </c>
      <c r="V262" s="4" t="str">
        <f>IFERROR(INDEX(样本到样信息汇总统计!V$2:V$500,MATCH(261,样本到样信息汇总统计!$AA$2:$AA$500,0)),"")</f>
        <v/>
      </c>
      <c r="W262" s="4" t="str">
        <f>IFERROR(INDEX(样本到样信息汇总统计!W$2:W$500,MATCH(261,样本到样信息汇总统计!$AA$2:$AA$500,0)),"")</f>
        <v/>
      </c>
    </row>
    <row r="263" ht="14.5" spans="1:23">
      <c r="A263" s="8" t="str">
        <f>IFERROR(INDEX(样本到样信息汇总统计!A$2:A$500,MATCH(262,样本到样信息汇总统计!$AA$2:$AA$500,0)),"")</f>
        <v/>
      </c>
      <c r="B263" s="8" t="str">
        <f>IFERROR(INDEX(样本到样信息汇总统计!B$2:B$500,MATCH(262,样本到样信息汇总统计!$AA$2:$AA$500,0)),"")</f>
        <v/>
      </c>
      <c r="C263" s="8" t="str">
        <f>IFERROR(INDEX(样本到样信息汇总统计!C$2:C$500,MATCH(262,样本到样信息汇总统计!$AA$2:$AA$500,0)),"")</f>
        <v/>
      </c>
      <c r="D263" s="8" t="str">
        <f>IFERROR(INDEX(样本到样信息汇总统计!D$2:D$500,MATCH(262,样本到样信息汇总统计!$AA$2:$AA$500,0)),"")</f>
        <v/>
      </c>
      <c r="E263" s="8" t="str">
        <f>IFERROR(INDEX(样本到样信息汇总统计!E$2:E$500,MATCH(262,样本到样信息汇总统计!$AA$2:$AA$500,0)),"")</f>
        <v/>
      </c>
      <c r="F263" s="8" t="str">
        <f>IFERROR(INDEX(样本到样信息汇总统计!F$2:F$500,MATCH(262,样本到样信息汇总统计!$AA$2:$AA$500,0)),"")</f>
        <v/>
      </c>
      <c r="G263" s="8" t="str">
        <f>IFERROR(INDEX(样本到样信息汇总统计!G$2:G$500,MATCH(262,样本到样信息汇总统计!$AA$2:$AA$500,0)),"")</f>
        <v/>
      </c>
      <c r="H263" s="8" t="str">
        <f>IFERROR(INDEX(样本到样信息汇总统计!H$2:H$500,MATCH(262,样本到样信息汇总统计!$AA$2:$AA$500,0)),"")</f>
        <v/>
      </c>
      <c r="I263" s="8" t="str">
        <f>IFERROR(INDEX(样本到样信息汇总统计!I$2:I$500,MATCH(262,样本到样信息汇总统计!$AA$2:$AA$500,0)),"")</f>
        <v/>
      </c>
      <c r="J263" s="8" t="str">
        <f>IFERROR(INDEX(样本到样信息汇总统计!J$2:J$500,MATCH(262,样本到样信息汇总统计!$AA$2:$AA$500,0)),"")</f>
        <v/>
      </c>
      <c r="K263" s="8" t="str">
        <f>IFERROR(INDEX(样本到样信息汇总统计!K$2:K$500,MATCH(262,样本到样信息汇总统计!$AA$2:$AA$500,0)),"")</f>
        <v/>
      </c>
      <c r="L263" s="8" t="str">
        <f>IFERROR(INDEX(样本到样信息汇总统计!L$2:L$500,MATCH(262,样本到样信息汇总统计!$AA$2:$AA$500,0)),"")</f>
        <v/>
      </c>
      <c r="M263" s="8" t="str">
        <f>IFERROR(INDEX(样本到样信息汇总统计!M$2:M$500,MATCH(262,样本到样信息汇总统计!$AA$2:$AA$500,0)),"")</f>
        <v/>
      </c>
      <c r="N263" s="8" t="str">
        <f>IFERROR(INDEX(样本到样信息汇总统计!N$2:N$500,MATCH(262,样本到样信息汇总统计!$AA$2:$AA$500,0)),"")</f>
        <v/>
      </c>
      <c r="O263" s="8" t="str">
        <f>IFERROR(INDEX(样本到样信息汇总统计!O$2:O$500,MATCH(262,样本到样信息汇总统计!$AA$2:$AA$500,0)),"")</f>
        <v/>
      </c>
      <c r="P263" s="8" t="str">
        <f>IFERROR(INDEX(样本到样信息汇总统计!P$2:P$500,MATCH(262,样本到样信息汇总统计!$AA$2:$AA$500,0)),"")</f>
        <v/>
      </c>
      <c r="Q263" s="8" t="str">
        <f>IFERROR(INDEX(样本到样信息汇总统计!Q$2:Q$500,MATCH(262,样本到样信息汇总统计!$AA$2:$AA$500,0)),"")</f>
        <v/>
      </c>
      <c r="R263" s="8" t="str">
        <f>IFERROR(INDEX(样本到样信息汇总统计!R$2:R$500,MATCH(262,样本到样信息汇总统计!$AA$2:$AA$500,0)),"")</f>
        <v/>
      </c>
      <c r="S263" s="8" t="str">
        <f>IFERROR(INDEX(样本到样信息汇总统计!S$2:S$500,MATCH(262,样本到样信息汇总统计!$AA$2:$AA$500,0)),"")</f>
        <v/>
      </c>
      <c r="T263" s="8" t="str">
        <f>IFERROR(INDEX(样本到样信息汇总统计!T$2:T$500,MATCH(262,样本到样信息汇总统计!$AA$2:$AA$500,0)),"")</f>
        <v/>
      </c>
      <c r="U263" s="8" t="str">
        <f>IFERROR(INDEX(样本到样信息汇总统计!U$2:U$500,MATCH(262,样本到样信息汇总统计!$AA$2:$AA$500,0)),"")</f>
        <v/>
      </c>
      <c r="V263" s="8" t="str">
        <f>IFERROR(INDEX(样本到样信息汇总统计!V$2:V$500,MATCH(262,样本到样信息汇总统计!$AA$2:$AA$500,0)),"")</f>
        <v/>
      </c>
      <c r="W263" s="8" t="str">
        <f>IFERROR(INDEX(样本到样信息汇总统计!W$2:W$500,MATCH(262,样本到样信息汇总统计!$AA$2:$AA$500,0)),"")</f>
        <v/>
      </c>
    </row>
    <row r="264" ht="14.5" spans="1:23">
      <c r="A264" s="4" t="str">
        <f>IFERROR(INDEX(样本到样信息汇总统计!A$2:A$500,MATCH(263,样本到样信息汇总统计!$AA$2:$AA$500,0)),"")</f>
        <v/>
      </c>
      <c r="B264" s="4" t="str">
        <f>IFERROR(INDEX(样本到样信息汇总统计!B$2:B$500,MATCH(263,样本到样信息汇总统计!$AA$2:$AA$500,0)),"")</f>
        <v/>
      </c>
      <c r="C264" s="4" t="str">
        <f>IFERROR(INDEX(样本到样信息汇总统计!C$2:C$500,MATCH(263,样本到样信息汇总统计!$AA$2:$AA$500,0)),"")</f>
        <v/>
      </c>
      <c r="D264" s="4" t="str">
        <f>IFERROR(INDEX(样本到样信息汇总统计!D$2:D$500,MATCH(263,样本到样信息汇总统计!$AA$2:$AA$500,0)),"")</f>
        <v/>
      </c>
      <c r="E264" s="4" t="str">
        <f>IFERROR(INDEX(样本到样信息汇总统计!E$2:E$500,MATCH(263,样本到样信息汇总统计!$AA$2:$AA$500,0)),"")</f>
        <v/>
      </c>
      <c r="F264" s="4" t="str">
        <f>IFERROR(INDEX(样本到样信息汇总统计!F$2:F$500,MATCH(263,样本到样信息汇总统计!$AA$2:$AA$500,0)),"")</f>
        <v/>
      </c>
      <c r="G264" s="4" t="str">
        <f>IFERROR(INDEX(样本到样信息汇总统计!G$2:G$500,MATCH(263,样本到样信息汇总统计!$AA$2:$AA$500,0)),"")</f>
        <v/>
      </c>
      <c r="H264" s="4" t="str">
        <f>IFERROR(INDEX(样本到样信息汇总统计!H$2:H$500,MATCH(263,样本到样信息汇总统计!$AA$2:$AA$500,0)),"")</f>
        <v/>
      </c>
      <c r="I264" s="4" t="str">
        <f>IFERROR(INDEX(样本到样信息汇总统计!I$2:I$500,MATCH(263,样本到样信息汇总统计!$AA$2:$AA$500,0)),"")</f>
        <v/>
      </c>
      <c r="J264" s="4" t="str">
        <f>IFERROR(INDEX(样本到样信息汇总统计!J$2:J$500,MATCH(263,样本到样信息汇总统计!$AA$2:$AA$500,0)),"")</f>
        <v/>
      </c>
      <c r="K264" s="4" t="str">
        <f>IFERROR(INDEX(样本到样信息汇总统计!K$2:K$500,MATCH(263,样本到样信息汇总统计!$AA$2:$AA$500,0)),"")</f>
        <v/>
      </c>
      <c r="L264" s="4" t="str">
        <f>IFERROR(INDEX(样本到样信息汇总统计!L$2:L$500,MATCH(263,样本到样信息汇总统计!$AA$2:$AA$500,0)),"")</f>
        <v/>
      </c>
      <c r="M264" s="4" t="str">
        <f>IFERROR(INDEX(样本到样信息汇总统计!M$2:M$500,MATCH(263,样本到样信息汇总统计!$AA$2:$AA$500,0)),"")</f>
        <v/>
      </c>
      <c r="N264" s="4" t="str">
        <f>IFERROR(INDEX(样本到样信息汇总统计!N$2:N$500,MATCH(263,样本到样信息汇总统计!$AA$2:$AA$500,0)),"")</f>
        <v/>
      </c>
      <c r="O264" s="4" t="str">
        <f>IFERROR(INDEX(样本到样信息汇总统计!O$2:O$500,MATCH(263,样本到样信息汇总统计!$AA$2:$AA$500,0)),"")</f>
        <v/>
      </c>
      <c r="P264" s="4" t="str">
        <f>IFERROR(INDEX(样本到样信息汇总统计!P$2:P$500,MATCH(263,样本到样信息汇总统计!$AA$2:$AA$500,0)),"")</f>
        <v/>
      </c>
      <c r="Q264" s="4" t="str">
        <f>IFERROR(INDEX(样本到样信息汇总统计!Q$2:Q$500,MATCH(263,样本到样信息汇总统计!$AA$2:$AA$500,0)),"")</f>
        <v/>
      </c>
      <c r="R264" s="4" t="str">
        <f>IFERROR(INDEX(样本到样信息汇总统计!R$2:R$500,MATCH(263,样本到样信息汇总统计!$AA$2:$AA$500,0)),"")</f>
        <v/>
      </c>
      <c r="S264" s="4" t="str">
        <f>IFERROR(INDEX(样本到样信息汇总统计!S$2:S$500,MATCH(263,样本到样信息汇总统计!$AA$2:$AA$500,0)),"")</f>
        <v/>
      </c>
      <c r="T264" s="4" t="str">
        <f>IFERROR(INDEX(样本到样信息汇总统计!T$2:T$500,MATCH(263,样本到样信息汇总统计!$AA$2:$AA$500,0)),"")</f>
        <v/>
      </c>
      <c r="U264" s="4" t="str">
        <f>IFERROR(INDEX(样本到样信息汇总统计!U$2:U$500,MATCH(263,样本到样信息汇总统计!$AA$2:$AA$500,0)),"")</f>
        <v/>
      </c>
      <c r="V264" s="4" t="str">
        <f>IFERROR(INDEX(样本到样信息汇总统计!V$2:V$500,MATCH(263,样本到样信息汇总统计!$AA$2:$AA$500,0)),"")</f>
        <v/>
      </c>
      <c r="W264" s="4" t="str">
        <f>IFERROR(INDEX(样本到样信息汇总统计!W$2:W$500,MATCH(263,样本到样信息汇总统计!$AA$2:$AA$500,0)),"")</f>
        <v/>
      </c>
    </row>
    <row r="265" ht="14.5" spans="1:23">
      <c r="A265" s="8" t="str">
        <f>IFERROR(INDEX(样本到样信息汇总统计!A$2:A$500,MATCH(264,样本到样信息汇总统计!$AA$2:$AA$500,0)),"")</f>
        <v/>
      </c>
      <c r="B265" s="8" t="str">
        <f>IFERROR(INDEX(样本到样信息汇总统计!B$2:B$500,MATCH(264,样本到样信息汇总统计!$AA$2:$AA$500,0)),"")</f>
        <v/>
      </c>
      <c r="C265" s="8" t="str">
        <f>IFERROR(INDEX(样本到样信息汇总统计!C$2:C$500,MATCH(264,样本到样信息汇总统计!$AA$2:$AA$500,0)),"")</f>
        <v/>
      </c>
      <c r="D265" s="8" t="str">
        <f>IFERROR(INDEX(样本到样信息汇总统计!D$2:D$500,MATCH(264,样本到样信息汇总统计!$AA$2:$AA$500,0)),"")</f>
        <v/>
      </c>
      <c r="E265" s="8" t="str">
        <f>IFERROR(INDEX(样本到样信息汇总统计!E$2:E$500,MATCH(264,样本到样信息汇总统计!$AA$2:$AA$500,0)),"")</f>
        <v/>
      </c>
      <c r="F265" s="8" t="str">
        <f>IFERROR(INDEX(样本到样信息汇总统计!F$2:F$500,MATCH(264,样本到样信息汇总统计!$AA$2:$AA$500,0)),"")</f>
        <v/>
      </c>
      <c r="G265" s="8" t="str">
        <f>IFERROR(INDEX(样本到样信息汇总统计!G$2:G$500,MATCH(264,样本到样信息汇总统计!$AA$2:$AA$500,0)),"")</f>
        <v/>
      </c>
      <c r="H265" s="8" t="str">
        <f>IFERROR(INDEX(样本到样信息汇总统计!H$2:H$500,MATCH(264,样本到样信息汇总统计!$AA$2:$AA$500,0)),"")</f>
        <v/>
      </c>
      <c r="I265" s="8" t="str">
        <f>IFERROR(INDEX(样本到样信息汇总统计!I$2:I$500,MATCH(264,样本到样信息汇总统计!$AA$2:$AA$500,0)),"")</f>
        <v/>
      </c>
      <c r="J265" s="8" t="str">
        <f>IFERROR(INDEX(样本到样信息汇总统计!J$2:J$500,MATCH(264,样本到样信息汇总统计!$AA$2:$AA$500,0)),"")</f>
        <v/>
      </c>
      <c r="K265" s="8" t="str">
        <f>IFERROR(INDEX(样本到样信息汇总统计!K$2:K$500,MATCH(264,样本到样信息汇总统计!$AA$2:$AA$500,0)),"")</f>
        <v/>
      </c>
      <c r="L265" s="8" t="str">
        <f>IFERROR(INDEX(样本到样信息汇总统计!L$2:L$500,MATCH(264,样本到样信息汇总统计!$AA$2:$AA$500,0)),"")</f>
        <v/>
      </c>
      <c r="M265" s="8" t="str">
        <f>IFERROR(INDEX(样本到样信息汇总统计!M$2:M$500,MATCH(264,样本到样信息汇总统计!$AA$2:$AA$500,0)),"")</f>
        <v/>
      </c>
      <c r="N265" s="8" t="str">
        <f>IFERROR(INDEX(样本到样信息汇总统计!N$2:N$500,MATCH(264,样本到样信息汇总统计!$AA$2:$AA$500,0)),"")</f>
        <v/>
      </c>
      <c r="O265" s="8" t="str">
        <f>IFERROR(INDEX(样本到样信息汇总统计!O$2:O$500,MATCH(264,样本到样信息汇总统计!$AA$2:$AA$500,0)),"")</f>
        <v/>
      </c>
      <c r="P265" s="8" t="str">
        <f>IFERROR(INDEX(样本到样信息汇总统计!P$2:P$500,MATCH(264,样本到样信息汇总统计!$AA$2:$AA$500,0)),"")</f>
        <v/>
      </c>
      <c r="Q265" s="8" t="str">
        <f>IFERROR(INDEX(样本到样信息汇总统计!Q$2:Q$500,MATCH(264,样本到样信息汇总统计!$AA$2:$AA$500,0)),"")</f>
        <v/>
      </c>
      <c r="R265" s="8" t="str">
        <f>IFERROR(INDEX(样本到样信息汇总统计!R$2:R$500,MATCH(264,样本到样信息汇总统计!$AA$2:$AA$500,0)),"")</f>
        <v/>
      </c>
      <c r="S265" s="8" t="str">
        <f>IFERROR(INDEX(样本到样信息汇总统计!S$2:S$500,MATCH(264,样本到样信息汇总统计!$AA$2:$AA$500,0)),"")</f>
        <v/>
      </c>
      <c r="T265" s="8" t="str">
        <f>IFERROR(INDEX(样本到样信息汇总统计!T$2:T$500,MATCH(264,样本到样信息汇总统计!$AA$2:$AA$500,0)),"")</f>
        <v/>
      </c>
      <c r="U265" s="8" t="str">
        <f>IFERROR(INDEX(样本到样信息汇总统计!U$2:U$500,MATCH(264,样本到样信息汇总统计!$AA$2:$AA$500,0)),"")</f>
        <v/>
      </c>
      <c r="V265" s="8" t="str">
        <f>IFERROR(INDEX(样本到样信息汇总统计!V$2:V$500,MATCH(264,样本到样信息汇总统计!$AA$2:$AA$500,0)),"")</f>
        <v/>
      </c>
      <c r="W265" s="8" t="str">
        <f>IFERROR(INDEX(样本到样信息汇总统计!W$2:W$500,MATCH(264,样本到样信息汇总统计!$AA$2:$AA$500,0)),"")</f>
        <v/>
      </c>
    </row>
    <row r="266" ht="14.5" spans="1:23">
      <c r="A266" s="4" t="str">
        <f>IFERROR(INDEX(样本到样信息汇总统计!A$2:A$500,MATCH(265,样本到样信息汇总统计!$AA$2:$AA$500,0)),"")</f>
        <v/>
      </c>
      <c r="B266" s="4" t="str">
        <f>IFERROR(INDEX(样本到样信息汇总统计!B$2:B$500,MATCH(265,样本到样信息汇总统计!$AA$2:$AA$500,0)),"")</f>
        <v/>
      </c>
      <c r="C266" s="4" t="str">
        <f>IFERROR(INDEX(样本到样信息汇总统计!C$2:C$500,MATCH(265,样本到样信息汇总统计!$AA$2:$AA$500,0)),"")</f>
        <v/>
      </c>
      <c r="D266" s="4" t="str">
        <f>IFERROR(INDEX(样本到样信息汇总统计!D$2:D$500,MATCH(265,样本到样信息汇总统计!$AA$2:$AA$500,0)),"")</f>
        <v/>
      </c>
      <c r="E266" s="4" t="str">
        <f>IFERROR(INDEX(样本到样信息汇总统计!E$2:E$500,MATCH(265,样本到样信息汇总统计!$AA$2:$AA$500,0)),"")</f>
        <v/>
      </c>
      <c r="F266" s="4" t="str">
        <f>IFERROR(INDEX(样本到样信息汇总统计!F$2:F$500,MATCH(265,样本到样信息汇总统计!$AA$2:$AA$500,0)),"")</f>
        <v/>
      </c>
      <c r="G266" s="4" t="str">
        <f>IFERROR(INDEX(样本到样信息汇总统计!G$2:G$500,MATCH(265,样本到样信息汇总统计!$AA$2:$AA$500,0)),"")</f>
        <v/>
      </c>
      <c r="H266" s="4" t="str">
        <f>IFERROR(INDEX(样本到样信息汇总统计!H$2:H$500,MATCH(265,样本到样信息汇总统计!$AA$2:$AA$500,0)),"")</f>
        <v/>
      </c>
      <c r="I266" s="4" t="str">
        <f>IFERROR(INDEX(样本到样信息汇总统计!I$2:I$500,MATCH(265,样本到样信息汇总统计!$AA$2:$AA$500,0)),"")</f>
        <v/>
      </c>
      <c r="J266" s="4" t="str">
        <f>IFERROR(INDEX(样本到样信息汇总统计!J$2:J$500,MATCH(265,样本到样信息汇总统计!$AA$2:$AA$500,0)),"")</f>
        <v/>
      </c>
      <c r="K266" s="4" t="str">
        <f>IFERROR(INDEX(样本到样信息汇总统计!K$2:K$500,MATCH(265,样本到样信息汇总统计!$AA$2:$AA$500,0)),"")</f>
        <v/>
      </c>
      <c r="L266" s="4" t="str">
        <f>IFERROR(INDEX(样本到样信息汇总统计!L$2:L$500,MATCH(265,样本到样信息汇总统计!$AA$2:$AA$500,0)),"")</f>
        <v/>
      </c>
      <c r="M266" s="4" t="str">
        <f>IFERROR(INDEX(样本到样信息汇总统计!M$2:M$500,MATCH(265,样本到样信息汇总统计!$AA$2:$AA$500,0)),"")</f>
        <v/>
      </c>
      <c r="N266" s="4" t="str">
        <f>IFERROR(INDEX(样本到样信息汇总统计!N$2:N$500,MATCH(265,样本到样信息汇总统计!$AA$2:$AA$500,0)),"")</f>
        <v/>
      </c>
      <c r="O266" s="4" t="str">
        <f>IFERROR(INDEX(样本到样信息汇总统计!O$2:O$500,MATCH(265,样本到样信息汇总统计!$AA$2:$AA$500,0)),"")</f>
        <v/>
      </c>
      <c r="P266" s="4" t="str">
        <f>IFERROR(INDEX(样本到样信息汇总统计!P$2:P$500,MATCH(265,样本到样信息汇总统计!$AA$2:$AA$500,0)),"")</f>
        <v/>
      </c>
      <c r="Q266" s="4" t="str">
        <f>IFERROR(INDEX(样本到样信息汇总统计!Q$2:Q$500,MATCH(265,样本到样信息汇总统计!$AA$2:$AA$500,0)),"")</f>
        <v/>
      </c>
      <c r="R266" s="4" t="str">
        <f>IFERROR(INDEX(样本到样信息汇总统计!R$2:R$500,MATCH(265,样本到样信息汇总统计!$AA$2:$AA$500,0)),"")</f>
        <v/>
      </c>
      <c r="S266" s="4" t="str">
        <f>IFERROR(INDEX(样本到样信息汇总统计!S$2:S$500,MATCH(265,样本到样信息汇总统计!$AA$2:$AA$500,0)),"")</f>
        <v/>
      </c>
      <c r="T266" s="4" t="str">
        <f>IFERROR(INDEX(样本到样信息汇总统计!T$2:T$500,MATCH(265,样本到样信息汇总统计!$AA$2:$AA$500,0)),"")</f>
        <v/>
      </c>
      <c r="U266" s="4" t="str">
        <f>IFERROR(INDEX(样本到样信息汇总统计!U$2:U$500,MATCH(265,样本到样信息汇总统计!$AA$2:$AA$500,0)),"")</f>
        <v/>
      </c>
      <c r="V266" s="4" t="str">
        <f>IFERROR(INDEX(样本到样信息汇总统计!V$2:V$500,MATCH(265,样本到样信息汇总统计!$AA$2:$AA$500,0)),"")</f>
        <v/>
      </c>
      <c r="W266" s="4" t="str">
        <f>IFERROR(INDEX(样本到样信息汇总统计!W$2:W$500,MATCH(265,样本到样信息汇总统计!$AA$2:$AA$500,0)),"")</f>
        <v/>
      </c>
    </row>
    <row r="267" ht="14.5" spans="1:23">
      <c r="A267" s="8" t="str">
        <f>IFERROR(INDEX(样本到样信息汇总统计!A$2:A$500,MATCH(266,样本到样信息汇总统计!$AA$2:$AA$500,0)),"")</f>
        <v/>
      </c>
      <c r="B267" s="8" t="str">
        <f>IFERROR(INDEX(样本到样信息汇总统计!B$2:B$500,MATCH(266,样本到样信息汇总统计!$AA$2:$AA$500,0)),"")</f>
        <v/>
      </c>
      <c r="C267" s="8" t="str">
        <f>IFERROR(INDEX(样本到样信息汇总统计!C$2:C$500,MATCH(266,样本到样信息汇总统计!$AA$2:$AA$500,0)),"")</f>
        <v/>
      </c>
      <c r="D267" s="8" t="str">
        <f>IFERROR(INDEX(样本到样信息汇总统计!D$2:D$500,MATCH(266,样本到样信息汇总统计!$AA$2:$AA$500,0)),"")</f>
        <v/>
      </c>
      <c r="E267" s="8" t="str">
        <f>IFERROR(INDEX(样本到样信息汇总统计!E$2:E$500,MATCH(266,样本到样信息汇总统计!$AA$2:$AA$500,0)),"")</f>
        <v/>
      </c>
      <c r="F267" s="8" t="str">
        <f>IFERROR(INDEX(样本到样信息汇总统计!F$2:F$500,MATCH(266,样本到样信息汇总统计!$AA$2:$AA$500,0)),"")</f>
        <v/>
      </c>
      <c r="G267" s="8" t="str">
        <f>IFERROR(INDEX(样本到样信息汇总统计!G$2:G$500,MATCH(266,样本到样信息汇总统计!$AA$2:$AA$500,0)),"")</f>
        <v/>
      </c>
      <c r="H267" s="8" t="str">
        <f>IFERROR(INDEX(样本到样信息汇总统计!H$2:H$500,MATCH(266,样本到样信息汇总统计!$AA$2:$AA$500,0)),"")</f>
        <v/>
      </c>
      <c r="I267" s="8" t="str">
        <f>IFERROR(INDEX(样本到样信息汇总统计!I$2:I$500,MATCH(266,样本到样信息汇总统计!$AA$2:$AA$500,0)),"")</f>
        <v/>
      </c>
      <c r="J267" s="8" t="str">
        <f>IFERROR(INDEX(样本到样信息汇总统计!J$2:J$500,MATCH(266,样本到样信息汇总统计!$AA$2:$AA$500,0)),"")</f>
        <v/>
      </c>
      <c r="K267" s="8" t="str">
        <f>IFERROR(INDEX(样本到样信息汇总统计!K$2:K$500,MATCH(266,样本到样信息汇总统计!$AA$2:$AA$500,0)),"")</f>
        <v/>
      </c>
      <c r="L267" s="8" t="str">
        <f>IFERROR(INDEX(样本到样信息汇总统计!L$2:L$500,MATCH(266,样本到样信息汇总统计!$AA$2:$AA$500,0)),"")</f>
        <v/>
      </c>
      <c r="M267" s="8" t="str">
        <f>IFERROR(INDEX(样本到样信息汇总统计!M$2:M$500,MATCH(266,样本到样信息汇总统计!$AA$2:$AA$500,0)),"")</f>
        <v/>
      </c>
      <c r="N267" s="8" t="str">
        <f>IFERROR(INDEX(样本到样信息汇总统计!N$2:N$500,MATCH(266,样本到样信息汇总统计!$AA$2:$AA$500,0)),"")</f>
        <v/>
      </c>
      <c r="O267" s="8" t="str">
        <f>IFERROR(INDEX(样本到样信息汇总统计!O$2:O$500,MATCH(266,样本到样信息汇总统计!$AA$2:$AA$500,0)),"")</f>
        <v/>
      </c>
      <c r="P267" s="8" t="str">
        <f>IFERROR(INDEX(样本到样信息汇总统计!P$2:P$500,MATCH(266,样本到样信息汇总统计!$AA$2:$AA$500,0)),"")</f>
        <v/>
      </c>
      <c r="Q267" s="8" t="str">
        <f>IFERROR(INDEX(样本到样信息汇总统计!Q$2:Q$500,MATCH(266,样本到样信息汇总统计!$AA$2:$AA$500,0)),"")</f>
        <v/>
      </c>
      <c r="R267" s="8" t="str">
        <f>IFERROR(INDEX(样本到样信息汇总统计!R$2:R$500,MATCH(266,样本到样信息汇总统计!$AA$2:$AA$500,0)),"")</f>
        <v/>
      </c>
      <c r="S267" s="8" t="str">
        <f>IFERROR(INDEX(样本到样信息汇总统计!S$2:S$500,MATCH(266,样本到样信息汇总统计!$AA$2:$AA$500,0)),"")</f>
        <v/>
      </c>
      <c r="T267" s="8" t="str">
        <f>IFERROR(INDEX(样本到样信息汇总统计!T$2:T$500,MATCH(266,样本到样信息汇总统计!$AA$2:$AA$500,0)),"")</f>
        <v/>
      </c>
      <c r="U267" s="8" t="str">
        <f>IFERROR(INDEX(样本到样信息汇总统计!U$2:U$500,MATCH(266,样本到样信息汇总统计!$AA$2:$AA$500,0)),"")</f>
        <v/>
      </c>
      <c r="V267" s="8" t="str">
        <f>IFERROR(INDEX(样本到样信息汇总统计!V$2:V$500,MATCH(266,样本到样信息汇总统计!$AA$2:$AA$500,0)),"")</f>
        <v/>
      </c>
      <c r="W267" s="8" t="str">
        <f>IFERROR(INDEX(样本到样信息汇总统计!W$2:W$500,MATCH(266,样本到样信息汇总统计!$AA$2:$AA$500,0)),"")</f>
        <v/>
      </c>
    </row>
    <row r="268" ht="14.5" spans="1:23">
      <c r="A268" s="4" t="str">
        <f>IFERROR(INDEX(样本到样信息汇总统计!A$2:A$500,MATCH(267,样本到样信息汇总统计!$AA$2:$AA$500,0)),"")</f>
        <v/>
      </c>
      <c r="B268" s="4" t="str">
        <f>IFERROR(INDEX(样本到样信息汇总统计!B$2:B$500,MATCH(267,样本到样信息汇总统计!$AA$2:$AA$500,0)),"")</f>
        <v/>
      </c>
      <c r="C268" s="4" t="str">
        <f>IFERROR(INDEX(样本到样信息汇总统计!C$2:C$500,MATCH(267,样本到样信息汇总统计!$AA$2:$AA$500,0)),"")</f>
        <v/>
      </c>
      <c r="D268" s="4" t="str">
        <f>IFERROR(INDEX(样本到样信息汇总统计!D$2:D$500,MATCH(267,样本到样信息汇总统计!$AA$2:$AA$500,0)),"")</f>
        <v/>
      </c>
      <c r="E268" s="4" t="str">
        <f>IFERROR(INDEX(样本到样信息汇总统计!E$2:E$500,MATCH(267,样本到样信息汇总统计!$AA$2:$AA$500,0)),"")</f>
        <v/>
      </c>
      <c r="F268" s="4" t="str">
        <f>IFERROR(INDEX(样本到样信息汇总统计!F$2:F$500,MATCH(267,样本到样信息汇总统计!$AA$2:$AA$500,0)),"")</f>
        <v/>
      </c>
      <c r="G268" s="4" t="str">
        <f>IFERROR(INDEX(样本到样信息汇总统计!G$2:G$500,MATCH(267,样本到样信息汇总统计!$AA$2:$AA$500,0)),"")</f>
        <v/>
      </c>
      <c r="H268" s="4" t="str">
        <f>IFERROR(INDEX(样本到样信息汇总统计!H$2:H$500,MATCH(267,样本到样信息汇总统计!$AA$2:$AA$500,0)),"")</f>
        <v/>
      </c>
      <c r="I268" s="4" t="str">
        <f>IFERROR(INDEX(样本到样信息汇总统计!I$2:I$500,MATCH(267,样本到样信息汇总统计!$AA$2:$AA$500,0)),"")</f>
        <v/>
      </c>
      <c r="J268" s="4" t="str">
        <f>IFERROR(INDEX(样本到样信息汇总统计!J$2:J$500,MATCH(267,样本到样信息汇总统计!$AA$2:$AA$500,0)),"")</f>
        <v/>
      </c>
      <c r="K268" s="4" t="str">
        <f>IFERROR(INDEX(样本到样信息汇总统计!K$2:K$500,MATCH(267,样本到样信息汇总统计!$AA$2:$AA$500,0)),"")</f>
        <v/>
      </c>
      <c r="L268" s="4" t="str">
        <f>IFERROR(INDEX(样本到样信息汇总统计!L$2:L$500,MATCH(267,样本到样信息汇总统计!$AA$2:$AA$500,0)),"")</f>
        <v/>
      </c>
      <c r="M268" s="4" t="str">
        <f>IFERROR(INDEX(样本到样信息汇总统计!M$2:M$500,MATCH(267,样本到样信息汇总统计!$AA$2:$AA$500,0)),"")</f>
        <v/>
      </c>
      <c r="N268" s="4" t="str">
        <f>IFERROR(INDEX(样本到样信息汇总统计!N$2:N$500,MATCH(267,样本到样信息汇总统计!$AA$2:$AA$500,0)),"")</f>
        <v/>
      </c>
      <c r="O268" s="4" t="str">
        <f>IFERROR(INDEX(样本到样信息汇总统计!O$2:O$500,MATCH(267,样本到样信息汇总统计!$AA$2:$AA$500,0)),"")</f>
        <v/>
      </c>
      <c r="P268" s="4" t="str">
        <f>IFERROR(INDEX(样本到样信息汇总统计!P$2:P$500,MATCH(267,样本到样信息汇总统计!$AA$2:$AA$500,0)),"")</f>
        <v/>
      </c>
      <c r="Q268" s="4" t="str">
        <f>IFERROR(INDEX(样本到样信息汇总统计!Q$2:Q$500,MATCH(267,样本到样信息汇总统计!$AA$2:$AA$500,0)),"")</f>
        <v/>
      </c>
      <c r="R268" s="4" t="str">
        <f>IFERROR(INDEX(样本到样信息汇总统计!R$2:R$500,MATCH(267,样本到样信息汇总统计!$AA$2:$AA$500,0)),"")</f>
        <v/>
      </c>
      <c r="S268" s="4" t="str">
        <f>IFERROR(INDEX(样本到样信息汇总统计!S$2:S$500,MATCH(267,样本到样信息汇总统计!$AA$2:$AA$500,0)),"")</f>
        <v/>
      </c>
      <c r="T268" s="4" t="str">
        <f>IFERROR(INDEX(样本到样信息汇总统计!T$2:T$500,MATCH(267,样本到样信息汇总统计!$AA$2:$AA$500,0)),"")</f>
        <v/>
      </c>
      <c r="U268" s="4" t="str">
        <f>IFERROR(INDEX(样本到样信息汇总统计!U$2:U$500,MATCH(267,样本到样信息汇总统计!$AA$2:$AA$500,0)),"")</f>
        <v/>
      </c>
      <c r="V268" s="4" t="str">
        <f>IFERROR(INDEX(样本到样信息汇总统计!V$2:V$500,MATCH(267,样本到样信息汇总统计!$AA$2:$AA$500,0)),"")</f>
        <v/>
      </c>
      <c r="W268" s="4" t="str">
        <f>IFERROR(INDEX(样本到样信息汇总统计!W$2:W$500,MATCH(267,样本到样信息汇总统计!$AA$2:$AA$500,0)),"")</f>
        <v/>
      </c>
    </row>
    <row r="269" ht="14.5" spans="1:23">
      <c r="A269" s="8" t="str">
        <f>IFERROR(INDEX(样本到样信息汇总统计!A$2:A$500,MATCH(268,样本到样信息汇总统计!$AA$2:$AA$500,0)),"")</f>
        <v/>
      </c>
      <c r="B269" s="8" t="str">
        <f>IFERROR(INDEX(样本到样信息汇总统计!B$2:B$500,MATCH(268,样本到样信息汇总统计!$AA$2:$AA$500,0)),"")</f>
        <v/>
      </c>
      <c r="C269" s="8" t="str">
        <f>IFERROR(INDEX(样本到样信息汇总统计!C$2:C$500,MATCH(268,样本到样信息汇总统计!$AA$2:$AA$500,0)),"")</f>
        <v/>
      </c>
      <c r="D269" s="8" t="str">
        <f>IFERROR(INDEX(样本到样信息汇总统计!D$2:D$500,MATCH(268,样本到样信息汇总统计!$AA$2:$AA$500,0)),"")</f>
        <v/>
      </c>
      <c r="E269" s="8" t="str">
        <f>IFERROR(INDEX(样本到样信息汇总统计!E$2:E$500,MATCH(268,样本到样信息汇总统计!$AA$2:$AA$500,0)),"")</f>
        <v/>
      </c>
      <c r="F269" s="8" t="str">
        <f>IFERROR(INDEX(样本到样信息汇总统计!F$2:F$500,MATCH(268,样本到样信息汇总统计!$AA$2:$AA$500,0)),"")</f>
        <v/>
      </c>
      <c r="G269" s="8" t="str">
        <f>IFERROR(INDEX(样本到样信息汇总统计!G$2:G$500,MATCH(268,样本到样信息汇总统计!$AA$2:$AA$500,0)),"")</f>
        <v/>
      </c>
      <c r="H269" s="8" t="str">
        <f>IFERROR(INDEX(样本到样信息汇总统计!H$2:H$500,MATCH(268,样本到样信息汇总统计!$AA$2:$AA$500,0)),"")</f>
        <v/>
      </c>
      <c r="I269" s="8" t="str">
        <f>IFERROR(INDEX(样本到样信息汇总统计!I$2:I$500,MATCH(268,样本到样信息汇总统计!$AA$2:$AA$500,0)),"")</f>
        <v/>
      </c>
      <c r="J269" s="8" t="str">
        <f>IFERROR(INDEX(样本到样信息汇总统计!J$2:J$500,MATCH(268,样本到样信息汇总统计!$AA$2:$AA$500,0)),"")</f>
        <v/>
      </c>
      <c r="K269" s="8" t="str">
        <f>IFERROR(INDEX(样本到样信息汇总统计!K$2:K$500,MATCH(268,样本到样信息汇总统计!$AA$2:$AA$500,0)),"")</f>
        <v/>
      </c>
      <c r="L269" s="8" t="str">
        <f>IFERROR(INDEX(样本到样信息汇总统计!L$2:L$500,MATCH(268,样本到样信息汇总统计!$AA$2:$AA$500,0)),"")</f>
        <v/>
      </c>
      <c r="M269" s="8" t="str">
        <f>IFERROR(INDEX(样本到样信息汇总统计!M$2:M$500,MATCH(268,样本到样信息汇总统计!$AA$2:$AA$500,0)),"")</f>
        <v/>
      </c>
      <c r="N269" s="8" t="str">
        <f>IFERROR(INDEX(样本到样信息汇总统计!N$2:N$500,MATCH(268,样本到样信息汇总统计!$AA$2:$AA$500,0)),"")</f>
        <v/>
      </c>
      <c r="O269" s="8" t="str">
        <f>IFERROR(INDEX(样本到样信息汇总统计!O$2:O$500,MATCH(268,样本到样信息汇总统计!$AA$2:$AA$500,0)),"")</f>
        <v/>
      </c>
      <c r="P269" s="8" t="str">
        <f>IFERROR(INDEX(样本到样信息汇总统计!P$2:P$500,MATCH(268,样本到样信息汇总统计!$AA$2:$AA$500,0)),"")</f>
        <v/>
      </c>
      <c r="Q269" s="8" t="str">
        <f>IFERROR(INDEX(样本到样信息汇总统计!Q$2:Q$500,MATCH(268,样本到样信息汇总统计!$AA$2:$AA$500,0)),"")</f>
        <v/>
      </c>
      <c r="R269" s="8" t="str">
        <f>IFERROR(INDEX(样本到样信息汇总统计!R$2:R$500,MATCH(268,样本到样信息汇总统计!$AA$2:$AA$500,0)),"")</f>
        <v/>
      </c>
      <c r="S269" s="8" t="str">
        <f>IFERROR(INDEX(样本到样信息汇总统计!S$2:S$500,MATCH(268,样本到样信息汇总统计!$AA$2:$AA$500,0)),"")</f>
        <v/>
      </c>
      <c r="T269" s="8" t="str">
        <f>IFERROR(INDEX(样本到样信息汇总统计!T$2:T$500,MATCH(268,样本到样信息汇总统计!$AA$2:$AA$500,0)),"")</f>
        <v/>
      </c>
      <c r="U269" s="8" t="str">
        <f>IFERROR(INDEX(样本到样信息汇总统计!U$2:U$500,MATCH(268,样本到样信息汇总统计!$AA$2:$AA$500,0)),"")</f>
        <v/>
      </c>
      <c r="V269" s="8" t="str">
        <f>IFERROR(INDEX(样本到样信息汇总统计!V$2:V$500,MATCH(268,样本到样信息汇总统计!$AA$2:$AA$500,0)),"")</f>
        <v/>
      </c>
      <c r="W269" s="8" t="str">
        <f>IFERROR(INDEX(样本到样信息汇总统计!W$2:W$500,MATCH(268,样本到样信息汇总统计!$AA$2:$AA$500,0)),"")</f>
        <v/>
      </c>
    </row>
    <row r="270" ht="14.5" spans="1:23">
      <c r="A270" s="4" t="str">
        <f>IFERROR(INDEX(样本到样信息汇总统计!A$2:A$500,MATCH(269,样本到样信息汇总统计!$AA$2:$AA$500,0)),"")</f>
        <v/>
      </c>
      <c r="B270" s="4" t="str">
        <f>IFERROR(INDEX(样本到样信息汇总统计!B$2:B$500,MATCH(269,样本到样信息汇总统计!$AA$2:$AA$500,0)),"")</f>
        <v/>
      </c>
      <c r="C270" s="4" t="str">
        <f>IFERROR(INDEX(样本到样信息汇总统计!C$2:C$500,MATCH(269,样本到样信息汇总统计!$AA$2:$AA$500,0)),"")</f>
        <v/>
      </c>
      <c r="D270" s="4" t="str">
        <f>IFERROR(INDEX(样本到样信息汇总统计!D$2:D$500,MATCH(269,样本到样信息汇总统计!$AA$2:$AA$500,0)),"")</f>
        <v/>
      </c>
      <c r="E270" s="4" t="str">
        <f>IFERROR(INDEX(样本到样信息汇总统计!E$2:E$500,MATCH(269,样本到样信息汇总统计!$AA$2:$AA$500,0)),"")</f>
        <v/>
      </c>
      <c r="F270" s="4" t="str">
        <f>IFERROR(INDEX(样本到样信息汇总统计!F$2:F$500,MATCH(269,样本到样信息汇总统计!$AA$2:$AA$500,0)),"")</f>
        <v/>
      </c>
      <c r="G270" s="4" t="str">
        <f>IFERROR(INDEX(样本到样信息汇总统计!G$2:G$500,MATCH(269,样本到样信息汇总统计!$AA$2:$AA$500,0)),"")</f>
        <v/>
      </c>
      <c r="H270" s="4" t="str">
        <f>IFERROR(INDEX(样本到样信息汇总统计!H$2:H$500,MATCH(269,样本到样信息汇总统计!$AA$2:$AA$500,0)),"")</f>
        <v/>
      </c>
      <c r="I270" s="4" t="str">
        <f>IFERROR(INDEX(样本到样信息汇总统计!I$2:I$500,MATCH(269,样本到样信息汇总统计!$AA$2:$AA$500,0)),"")</f>
        <v/>
      </c>
      <c r="J270" s="4" t="str">
        <f>IFERROR(INDEX(样本到样信息汇总统计!J$2:J$500,MATCH(269,样本到样信息汇总统计!$AA$2:$AA$500,0)),"")</f>
        <v/>
      </c>
      <c r="K270" s="4" t="str">
        <f>IFERROR(INDEX(样本到样信息汇总统计!K$2:K$500,MATCH(269,样本到样信息汇总统计!$AA$2:$AA$500,0)),"")</f>
        <v/>
      </c>
      <c r="L270" s="4" t="str">
        <f>IFERROR(INDEX(样本到样信息汇总统计!L$2:L$500,MATCH(269,样本到样信息汇总统计!$AA$2:$AA$500,0)),"")</f>
        <v/>
      </c>
      <c r="M270" s="4" t="str">
        <f>IFERROR(INDEX(样本到样信息汇总统计!M$2:M$500,MATCH(269,样本到样信息汇总统计!$AA$2:$AA$500,0)),"")</f>
        <v/>
      </c>
      <c r="N270" s="4" t="str">
        <f>IFERROR(INDEX(样本到样信息汇总统计!N$2:N$500,MATCH(269,样本到样信息汇总统计!$AA$2:$AA$500,0)),"")</f>
        <v/>
      </c>
      <c r="O270" s="4" t="str">
        <f>IFERROR(INDEX(样本到样信息汇总统计!O$2:O$500,MATCH(269,样本到样信息汇总统计!$AA$2:$AA$500,0)),"")</f>
        <v/>
      </c>
      <c r="P270" s="4" t="str">
        <f>IFERROR(INDEX(样本到样信息汇总统计!P$2:P$500,MATCH(269,样本到样信息汇总统计!$AA$2:$AA$500,0)),"")</f>
        <v/>
      </c>
      <c r="Q270" s="4" t="str">
        <f>IFERROR(INDEX(样本到样信息汇总统计!Q$2:Q$500,MATCH(269,样本到样信息汇总统计!$AA$2:$AA$500,0)),"")</f>
        <v/>
      </c>
      <c r="R270" s="4" t="str">
        <f>IFERROR(INDEX(样本到样信息汇总统计!R$2:R$500,MATCH(269,样本到样信息汇总统计!$AA$2:$AA$500,0)),"")</f>
        <v/>
      </c>
      <c r="S270" s="4" t="str">
        <f>IFERROR(INDEX(样本到样信息汇总统计!S$2:S$500,MATCH(269,样本到样信息汇总统计!$AA$2:$AA$500,0)),"")</f>
        <v/>
      </c>
      <c r="T270" s="4" t="str">
        <f>IFERROR(INDEX(样本到样信息汇总统计!T$2:T$500,MATCH(269,样本到样信息汇总统计!$AA$2:$AA$500,0)),"")</f>
        <v/>
      </c>
      <c r="U270" s="4" t="str">
        <f>IFERROR(INDEX(样本到样信息汇总统计!U$2:U$500,MATCH(269,样本到样信息汇总统计!$AA$2:$AA$500,0)),"")</f>
        <v/>
      </c>
      <c r="V270" s="4" t="str">
        <f>IFERROR(INDEX(样本到样信息汇总统计!V$2:V$500,MATCH(269,样本到样信息汇总统计!$AA$2:$AA$500,0)),"")</f>
        <v/>
      </c>
      <c r="W270" s="4" t="str">
        <f>IFERROR(INDEX(样本到样信息汇总统计!W$2:W$500,MATCH(269,样本到样信息汇总统计!$AA$2:$AA$500,0)),"")</f>
        <v/>
      </c>
    </row>
    <row r="271" ht="14.5" spans="1:23">
      <c r="A271" s="8" t="str">
        <f>IFERROR(INDEX(样本到样信息汇总统计!A$2:A$500,MATCH(270,样本到样信息汇总统计!$AA$2:$AA$500,0)),"")</f>
        <v/>
      </c>
      <c r="B271" s="8" t="str">
        <f>IFERROR(INDEX(样本到样信息汇总统计!B$2:B$500,MATCH(270,样本到样信息汇总统计!$AA$2:$AA$500,0)),"")</f>
        <v/>
      </c>
      <c r="C271" s="8" t="str">
        <f>IFERROR(INDEX(样本到样信息汇总统计!C$2:C$500,MATCH(270,样本到样信息汇总统计!$AA$2:$AA$500,0)),"")</f>
        <v/>
      </c>
      <c r="D271" s="8" t="str">
        <f>IFERROR(INDEX(样本到样信息汇总统计!D$2:D$500,MATCH(270,样本到样信息汇总统计!$AA$2:$AA$500,0)),"")</f>
        <v/>
      </c>
      <c r="E271" s="8" t="str">
        <f>IFERROR(INDEX(样本到样信息汇总统计!E$2:E$500,MATCH(270,样本到样信息汇总统计!$AA$2:$AA$500,0)),"")</f>
        <v/>
      </c>
      <c r="F271" s="8" t="str">
        <f>IFERROR(INDEX(样本到样信息汇总统计!F$2:F$500,MATCH(270,样本到样信息汇总统计!$AA$2:$AA$500,0)),"")</f>
        <v/>
      </c>
      <c r="G271" s="8" t="str">
        <f>IFERROR(INDEX(样本到样信息汇总统计!G$2:G$500,MATCH(270,样本到样信息汇总统计!$AA$2:$AA$500,0)),"")</f>
        <v/>
      </c>
      <c r="H271" s="8" t="str">
        <f>IFERROR(INDEX(样本到样信息汇总统计!H$2:H$500,MATCH(270,样本到样信息汇总统计!$AA$2:$AA$500,0)),"")</f>
        <v/>
      </c>
      <c r="I271" s="8" t="str">
        <f>IFERROR(INDEX(样本到样信息汇总统计!I$2:I$500,MATCH(270,样本到样信息汇总统计!$AA$2:$AA$500,0)),"")</f>
        <v/>
      </c>
      <c r="J271" s="8" t="str">
        <f>IFERROR(INDEX(样本到样信息汇总统计!J$2:J$500,MATCH(270,样本到样信息汇总统计!$AA$2:$AA$500,0)),"")</f>
        <v/>
      </c>
      <c r="K271" s="8" t="str">
        <f>IFERROR(INDEX(样本到样信息汇总统计!K$2:K$500,MATCH(270,样本到样信息汇总统计!$AA$2:$AA$500,0)),"")</f>
        <v/>
      </c>
      <c r="L271" s="8" t="str">
        <f>IFERROR(INDEX(样本到样信息汇总统计!L$2:L$500,MATCH(270,样本到样信息汇总统计!$AA$2:$AA$500,0)),"")</f>
        <v/>
      </c>
      <c r="M271" s="8" t="str">
        <f>IFERROR(INDEX(样本到样信息汇总统计!M$2:M$500,MATCH(270,样本到样信息汇总统计!$AA$2:$AA$500,0)),"")</f>
        <v/>
      </c>
      <c r="N271" s="8" t="str">
        <f>IFERROR(INDEX(样本到样信息汇总统计!N$2:N$500,MATCH(270,样本到样信息汇总统计!$AA$2:$AA$500,0)),"")</f>
        <v/>
      </c>
      <c r="O271" s="8" t="str">
        <f>IFERROR(INDEX(样本到样信息汇总统计!O$2:O$500,MATCH(270,样本到样信息汇总统计!$AA$2:$AA$500,0)),"")</f>
        <v/>
      </c>
      <c r="P271" s="8" t="str">
        <f>IFERROR(INDEX(样本到样信息汇总统计!P$2:P$500,MATCH(270,样本到样信息汇总统计!$AA$2:$AA$500,0)),"")</f>
        <v/>
      </c>
      <c r="Q271" s="8" t="str">
        <f>IFERROR(INDEX(样本到样信息汇总统计!Q$2:Q$500,MATCH(270,样本到样信息汇总统计!$AA$2:$AA$500,0)),"")</f>
        <v/>
      </c>
      <c r="R271" s="8" t="str">
        <f>IFERROR(INDEX(样本到样信息汇总统计!R$2:R$500,MATCH(270,样本到样信息汇总统计!$AA$2:$AA$500,0)),"")</f>
        <v/>
      </c>
      <c r="S271" s="8" t="str">
        <f>IFERROR(INDEX(样本到样信息汇总统计!S$2:S$500,MATCH(270,样本到样信息汇总统计!$AA$2:$AA$500,0)),"")</f>
        <v/>
      </c>
      <c r="T271" s="8" t="str">
        <f>IFERROR(INDEX(样本到样信息汇总统计!T$2:T$500,MATCH(270,样本到样信息汇总统计!$AA$2:$AA$500,0)),"")</f>
        <v/>
      </c>
      <c r="U271" s="8" t="str">
        <f>IFERROR(INDEX(样本到样信息汇总统计!U$2:U$500,MATCH(270,样本到样信息汇总统计!$AA$2:$AA$500,0)),"")</f>
        <v/>
      </c>
      <c r="V271" s="8" t="str">
        <f>IFERROR(INDEX(样本到样信息汇总统计!V$2:V$500,MATCH(270,样本到样信息汇总统计!$AA$2:$AA$500,0)),"")</f>
        <v/>
      </c>
      <c r="W271" s="8" t="str">
        <f>IFERROR(INDEX(样本到样信息汇总统计!W$2:W$500,MATCH(270,样本到样信息汇总统计!$AA$2:$AA$500,0)),"")</f>
        <v/>
      </c>
    </row>
    <row r="272" ht="14.5" spans="1:23">
      <c r="A272" s="4" t="str">
        <f>IFERROR(INDEX(样本到样信息汇总统计!A$2:A$500,MATCH(271,样本到样信息汇总统计!$AA$2:$AA$500,0)),"")</f>
        <v/>
      </c>
      <c r="B272" s="4" t="str">
        <f>IFERROR(INDEX(样本到样信息汇总统计!B$2:B$500,MATCH(271,样本到样信息汇总统计!$AA$2:$AA$500,0)),"")</f>
        <v/>
      </c>
      <c r="C272" s="4" t="str">
        <f>IFERROR(INDEX(样本到样信息汇总统计!C$2:C$500,MATCH(271,样本到样信息汇总统计!$AA$2:$AA$500,0)),"")</f>
        <v/>
      </c>
      <c r="D272" s="4" t="str">
        <f>IFERROR(INDEX(样本到样信息汇总统计!D$2:D$500,MATCH(271,样本到样信息汇总统计!$AA$2:$AA$500,0)),"")</f>
        <v/>
      </c>
      <c r="E272" s="4" t="str">
        <f>IFERROR(INDEX(样本到样信息汇总统计!E$2:E$500,MATCH(271,样本到样信息汇总统计!$AA$2:$AA$500,0)),"")</f>
        <v/>
      </c>
      <c r="F272" s="4" t="str">
        <f>IFERROR(INDEX(样本到样信息汇总统计!F$2:F$500,MATCH(271,样本到样信息汇总统计!$AA$2:$AA$500,0)),"")</f>
        <v/>
      </c>
      <c r="G272" s="4" t="str">
        <f>IFERROR(INDEX(样本到样信息汇总统计!G$2:G$500,MATCH(271,样本到样信息汇总统计!$AA$2:$AA$500,0)),"")</f>
        <v/>
      </c>
      <c r="H272" s="4" t="str">
        <f>IFERROR(INDEX(样本到样信息汇总统计!H$2:H$500,MATCH(271,样本到样信息汇总统计!$AA$2:$AA$500,0)),"")</f>
        <v/>
      </c>
      <c r="I272" s="4" t="str">
        <f>IFERROR(INDEX(样本到样信息汇总统计!I$2:I$500,MATCH(271,样本到样信息汇总统计!$AA$2:$AA$500,0)),"")</f>
        <v/>
      </c>
      <c r="J272" s="4" t="str">
        <f>IFERROR(INDEX(样本到样信息汇总统计!J$2:J$500,MATCH(271,样本到样信息汇总统计!$AA$2:$AA$500,0)),"")</f>
        <v/>
      </c>
      <c r="K272" s="4" t="str">
        <f>IFERROR(INDEX(样本到样信息汇总统计!K$2:K$500,MATCH(271,样本到样信息汇总统计!$AA$2:$AA$500,0)),"")</f>
        <v/>
      </c>
      <c r="L272" s="4" t="str">
        <f>IFERROR(INDEX(样本到样信息汇总统计!L$2:L$500,MATCH(271,样本到样信息汇总统计!$AA$2:$AA$500,0)),"")</f>
        <v/>
      </c>
      <c r="M272" s="4" t="str">
        <f>IFERROR(INDEX(样本到样信息汇总统计!M$2:M$500,MATCH(271,样本到样信息汇总统计!$AA$2:$AA$500,0)),"")</f>
        <v/>
      </c>
      <c r="N272" s="4" t="str">
        <f>IFERROR(INDEX(样本到样信息汇总统计!N$2:N$500,MATCH(271,样本到样信息汇总统计!$AA$2:$AA$500,0)),"")</f>
        <v/>
      </c>
      <c r="O272" s="4" t="str">
        <f>IFERROR(INDEX(样本到样信息汇总统计!O$2:O$500,MATCH(271,样本到样信息汇总统计!$AA$2:$AA$500,0)),"")</f>
        <v/>
      </c>
      <c r="P272" s="4" t="str">
        <f>IFERROR(INDEX(样本到样信息汇总统计!P$2:P$500,MATCH(271,样本到样信息汇总统计!$AA$2:$AA$500,0)),"")</f>
        <v/>
      </c>
      <c r="Q272" s="4" t="str">
        <f>IFERROR(INDEX(样本到样信息汇总统计!Q$2:Q$500,MATCH(271,样本到样信息汇总统计!$AA$2:$AA$500,0)),"")</f>
        <v/>
      </c>
      <c r="R272" s="4" t="str">
        <f>IFERROR(INDEX(样本到样信息汇总统计!R$2:R$500,MATCH(271,样本到样信息汇总统计!$AA$2:$AA$500,0)),"")</f>
        <v/>
      </c>
      <c r="S272" s="4" t="str">
        <f>IFERROR(INDEX(样本到样信息汇总统计!S$2:S$500,MATCH(271,样本到样信息汇总统计!$AA$2:$AA$500,0)),"")</f>
        <v/>
      </c>
      <c r="T272" s="4" t="str">
        <f>IFERROR(INDEX(样本到样信息汇总统计!T$2:T$500,MATCH(271,样本到样信息汇总统计!$AA$2:$AA$500,0)),"")</f>
        <v/>
      </c>
      <c r="U272" s="4" t="str">
        <f>IFERROR(INDEX(样本到样信息汇总统计!U$2:U$500,MATCH(271,样本到样信息汇总统计!$AA$2:$AA$500,0)),"")</f>
        <v/>
      </c>
      <c r="V272" s="4" t="str">
        <f>IFERROR(INDEX(样本到样信息汇总统计!V$2:V$500,MATCH(271,样本到样信息汇总统计!$AA$2:$AA$500,0)),"")</f>
        <v/>
      </c>
      <c r="W272" s="4" t="str">
        <f>IFERROR(INDEX(样本到样信息汇总统计!W$2:W$500,MATCH(271,样本到样信息汇总统计!$AA$2:$AA$500,0)),"")</f>
        <v/>
      </c>
    </row>
    <row r="273" ht="14.5" spans="1:23">
      <c r="A273" s="8" t="str">
        <f>IFERROR(INDEX(样本到样信息汇总统计!A$2:A$500,MATCH(272,样本到样信息汇总统计!$AA$2:$AA$500,0)),"")</f>
        <v/>
      </c>
      <c r="B273" s="8" t="str">
        <f>IFERROR(INDEX(样本到样信息汇总统计!B$2:B$500,MATCH(272,样本到样信息汇总统计!$AA$2:$AA$500,0)),"")</f>
        <v/>
      </c>
      <c r="C273" s="8" t="str">
        <f>IFERROR(INDEX(样本到样信息汇总统计!C$2:C$500,MATCH(272,样本到样信息汇总统计!$AA$2:$AA$500,0)),"")</f>
        <v/>
      </c>
      <c r="D273" s="8" t="str">
        <f>IFERROR(INDEX(样本到样信息汇总统计!D$2:D$500,MATCH(272,样本到样信息汇总统计!$AA$2:$AA$500,0)),"")</f>
        <v/>
      </c>
      <c r="E273" s="8" t="str">
        <f>IFERROR(INDEX(样本到样信息汇总统计!E$2:E$500,MATCH(272,样本到样信息汇总统计!$AA$2:$AA$500,0)),"")</f>
        <v/>
      </c>
      <c r="F273" s="8" t="str">
        <f>IFERROR(INDEX(样本到样信息汇总统计!F$2:F$500,MATCH(272,样本到样信息汇总统计!$AA$2:$AA$500,0)),"")</f>
        <v/>
      </c>
      <c r="G273" s="8" t="str">
        <f>IFERROR(INDEX(样本到样信息汇总统计!G$2:G$500,MATCH(272,样本到样信息汇总统计!$AA$2:$AA$500,0)),"")</f>
        <v/>
      </c>
      <c r="H273" s="8" t="str">
        <f>IFERROR(INDEX(样本到样信息汇总统计!H$2:H$500,MATCH(272,样本到样信息汇总统计!$AA$2:$AA$500,0)),"")</f>
        <v/>
      </c>
      <c r="I273" s="8" t="str">
        <f>IFERROR(INDEX(样本到样信息汇总统计!I$2:I$500,MATCH(272,样本到样信息汇总统计!$AA$2:$AA$500,0)),"")</f>
        <v/>
      </c>
      <c r="J273" s="8" t="str">
        <f>IFERROR(INDEX(样本到样信息汇总统计!J$2:J$500,MATCH(272,样本到样信息汇总统计!$AA$2:$AA$500,0)),"")</f>
        <v/>
      </c>
      <c r="K273" s="8" t="str">
        <f>IFERROR(INDEX(样本到样信息汇总统计!K$2:K$500,MATCH(272,样本到样信息汇总统计!$AA$2:$AA$500,0)),"")</f>
        <v/>
      </c>
      <c r="L273" s="8" t="str">
        <f>IFERROR(INDEX(样本到样信息汇总统计!L$2:L$500,MATCH(272,样本到样信息汇总统计!$AA$2:$AA$500,0)),"")</f>
        <v/>
      </c>
      <c r="M273" s="8" t="str">
        <f>IFERROR(INDEX(样本到样信息汇总统计!M$2:M$500,MATCH(272,样本到样信息汇总统计!$AA$2:$AA$500,0)),"")</f>
        <v/>
      </c>
      <c r="N273" s="8" t="str">
        <f>IFERROR(INDEX(样本到样信息汇总统计!N$2:N$500,MATCH(272,样本到样信息汇总统计!$AA$2:$AA$500,0)),"")</f>
        <v/>
      </c>
      <c r="O273" s="8" t="str">
        <f>IFERROR(INDEX(样本到样信息汇总统计!O$2:O$500,MATCH(272,样本到样信息汇总统计!$AA$2:$AA$500,0)),"")</f>
        <v/>
      </c>
      <c r="P273" s="8" t="str">
        <f>IFERROR(INDEX(样本到样信息汇总统计!P$2:P$500,MATCH(272,样本到样信息汇总统计!$AA$2:$AA$500,0)),"")</f>
        <v/>
      </c>
      <c r="Q273" s="8" t="str">
        <f>IFERROR(INDEX(样本到样信息汇总统计!Q$2:Q$500,MATCH(272,样本到样信息汇总统计!$AA$2:$AA$500,0)),"")</f>
        <v/>
      </c>
      <c r="R273" s="8" t="str">
        <f>IFERROR(INDEX(样本到样信息汇总统计!R$2:R$500,MATCH(272,样本到样信息汇总统计!$AA$2:$AA$500,0)),"")</f>
        <v/>
      </c>
      <c r="S273" s="8" t="str">
        <f>IFERROR(INDEX(样本到样信息汇总统计!S$2:S$500,MATCH(272,样本到样信息汇总统计!$AA$2:$AA$500,0)),"")</f>
        <v/>
      </c>
      <c r="T273" s="8" t="str">
        <f>IFERROR(INDEX(样本到样信息汇总统计!T$2:T$500,MATCH(272,样本到样信息汇总统计!$AA$2:$AA$500,0)),"")</f>
        <v/>
      </c>
      <c r="U273" s="8" t="str">
        <f>IFERROR(INDEX(样本到样信息汇总统计!U$2:U$500,MATCH(272,样本到样信息汇总统计!$AA$2:$AA$500,0)),"")</f>
        <v/>
      </c>
      <c r="V273" s="8" t="str">
        <f>IFERROR(INDEX(样本到样信息汇总统计!V$2:V$500,MATCH(272,样本到样信息汇总统计!$AA$2:$AA$500,0)),"")</f>
        <v/>
      </c>
      <c r="W273" s="8" t="str">
        <f>IFERROR(INDEX(样本到样信息汇总统计!W$2:W$500,MATCH(272,样本到样信息汇总统计!$AA$2:$AA$500,0)),"")</f>
        <v/>
      </c>
    </row>
    <row r="274" ht="14.5" spans="1:23">
      <c r="A274" s="4" t="str">
        <f>IFERROR(INDEX(样本到样信息汇总统计!A$2:A$500,MATCH(273,样本到样信息汇总统计!$AA$2:$AA$500,0)),"")</f>
        <v/>
      </c>
      <c r="B274" s="4" t="str">
        <f>IFERROR(INDEX(样本到样信息汇总统计!B$2:B$500,MATCH(273,样本到样信息汇总统计!$AA$2:$AA$500,0)),"")</f>
        <v/>
      </c>
      <c r="C274" s="4" t="str">
        <f>IFERROR(INDEX(样本到样信息汇总统计!C$2:C$500,MATCH(273,样本到样信息汇总统计!$AA$2:$AA$500,0)),"")</f>
        <v/>
      </c>
      <c r="D274" s="4" t="str">
        <f>IFERROR(INDEX(样本到样信息汇总统计!D$2:D$500,MATCH(273,样本到样信息汇总统计!$AA$2:$AA$500,0)),"")</f>
        <v/>
      </c>
      <c r="E274" s="4" t="str">
        <f>IFERROR(INDEX(样本到样信息汇总统计!E$2:E$500,MATCH(273,样本到样信息汇总统计!$AA$2:$AA$500,0)),"")</f>
        <v/>
      </c>
      <c r="F274" s="4" t="str">
        <f>IFERROR(INDEX(样本到样信息汇总统计!F$2:F$500,MATCH(273,样本到样信息汇总统计!$AA$2:$AA$500,0)),"")</f>
        <v/>
      </c>
      <c r="G274" s="4" t="str">
        <f>IFERROR(INDEX(样本到样信息汇总统计!G$2:G$500,MATCH(273,样本到样信息汇总统计!$AA$2:$AA$500,0)),"")</f>
        <v/>
      </c>
      <c r="H274" s="4" t="str">
        <f>IFERROR(INDEX(样本到样信息汇总统计!H$2:H$500,MATCH(273,样本到样信息汇总统计!$AA$2:$AA$500,0)),"")</f>
        <v/>
      </c>
      <c r="I274" s="4" t="str">
        <f>IFERROR(INDEX(样本到样信息汇总统计!I$2:I$500,MATCH(273,样本到样信息汇总统计!$AA$2:$AA$500,0)),"")</f>
        <v/>
      </c>
      <c r="J274" s="4" t="str">
        <f>IFERROR(INDEX(样本到样信息汇总统计!J$2:J$500,MATCH(273,样本到样信息汇总统计!$AA$2:$AA$500,0)),"")</f>
        <v/>
      </c>
      <c r="K274" s="4" t="str">
        <f>IFERROR(INDEX(样本到样信息汇总统计!K$2:K$500,MATCH(273,样本到样信息汇总统计!$AA$2:$AA$500,0)),"")</f>
        <v/>
      </c>
      <c r="L274" s="4" t="str">
        <f>IFERROR(INDEX(样本到样信息汇总统计!L$2:L$500,MATCH(273,样本到样信息汇总统计!$AA$2:$AA$500,0)),"")</f>
        <v/>
      </c>
      <c r="M274" s="4" t="str">
        <f>IFERROR(INDEX(样本到样信息汇总统计!M$2:M$500,MATCH(273,样本到样信息汇总统计!$AA$2:$AA$500,0)),"")</f>
        <v/>
      </c>
      <c r="N274" s="4" t="str">
        <f>IFERROR(INDEX(样本到样信息汇总统计!N$2:N$500,MATCH(273,样本到样信息汇总统计!$AA$2:$AA$500,0)),"")</f>
        <v/>
      </c>
      <c r="O274" s="4" t="str">
        <f>IFERROR(INDEX(样本到样信息汇总统计!O$2:O$500,MATCH(273,样本到样信息汇总统计!$AA$2:$AA$500,0)),"")</f>
        <v/>
      </c>
      <c r="P274" s="4" t="str">
        <f>IFERROR(INDEX(样本到样信息汇总统计!P$2:P$500,MATCH(273,样本到样信息汇总统计!$AA$2:$AA$500,0)),"")</f>
        <v/>
      </c>
      <c r="Q274" s="4" t="str">
        <f>IFERROR(INDEX(样本到样信息汇总统计!Q$2:Q$500,MATCH(273,样本到样信息汇总统计!$AA$2:$AA$500,0)),"")</f>
        <v/>
      </c>
      <c r="R274" s="4" t="str">
        <f>IFERROR(INDEX(样本到样信息汇总统计!R$2:R$500,MATCH(273,样本到样信息汇总统计!$AA$2:$AA$500,0)),"")</f>
        <v/>
      </c>
      <c r="S274" s="4" t="str">
        <f>IFERROR(INDEX(样本到样信息汇总统计!S$2:S$500,MATCH(273,样本到样信息汇总统计!$AA$2:$AA$500,0)),"")</f>
        <v/>
      </c>
      <c r="T274" s="4" t="str">
        <f>IFERROR(INDEX(样本到样信息汇总统计!T$2:T$500,MATCH(273,样本到样信息汇总统计!$AA$2:$AA$500,0)),"")</f>
        <v/>
      </c>
      <c r="U274" s="4" t="str">
        <f>IFERROR(INDEX(样本到样信息汇总统计!U$2:U$500,MATCH(273,样本到样信息汇总统计!$AA$2:$AA$500,0)),"")</f>
        <v/>
      </c>
      <c r="V274" s="4" t="str">
        <f>IFERROR(INDEX(样本到样信息汇总统计!V$2:V$500,MATCH(273,样本到样信息汇总统计!$AA$2:$AA$500,0)),"")</f>
        <v/>
      </c>
      <c r="W274" s="4" t="str">
        <f>IFERROR(INDEX(样本到样信息汇总统计!W$2:W$500,MATCH(273,样本到样信息汇总统计!$AA$2:$AA$500,0)),"")</f>
        <v/>
      </c>
    </row>
    <row r="275" ht="14.5" spans="1:23">
      <c r="A275" s="8" t="str">
        <f>IFERROR(INDEX(样本到样信息汇总统计!A$2:A$500,MATCH(274,样本到样信息汇总统计!$AA$2:$AA$500,0)),"")</f>
        <v/>
      </c>
      <c r="B275" s="8" t="str">
        <f>IFERROR(INDEX(样本到样信息汇总统计!B$2:B$500,MATCH(274,样本到样信息汇总统计!$AA$2:$AA$500,0)),"")</f>
        <v/>
      </c>
      <c r="C275" s="8" t="str">
        <f>IFERROR(INDEX(样本到样信息汇总统计!C$2:C$500,MATCH(274,样本到样信息汇总统计!$AA$2:$AA$500,0)),"")</f>
        <v/>
      </c>
      <c r="D275" s="8" t="str">
        <f>IFERROR(INDEX(样本到样信息汇总统计!D$2:D$500,MATCH(274,样本到样信息汇总统计!$AA$2:$AA$500,0)),"")</f>
        <v/>
      </c>
      <c r="E275" s="8" t="str">
        <f>IFERROR(INDEX(样本到样信息汇总统计!E$2:E$500,MATCH(274,样本到样信息汇总统计!$AA$2:$AA$500,0)),"")</f>
        <v/>
      </c>
      <c r="F275" s="8" t="str">
        <f>IFERROR(INDEX(样本到样信息汇总统计!F$2:F$500,MATCH(274,样本到样信息汇总统计!$AA$2:$AA$500,0)),"")</f>
        <v/>
      </c>
      <c r="G275" s="8" t="str">
        <f>IFERROR(INDEX(样本到样信息汇总统计!G$2:G$500,MATCH(274,样本到样信息汇总统计!$AA$2:$AA$500,0)),"")</f>
        <v/>
      </c>
      <c r="H275" s="8" t="str">
        <f>IFERROR(INDEX(样本到样信息汇总统计!H$2:H$500,MATCH(274,样本到样信息汇总统计!$AA$2:$AA$500,0)),"")</f>
        <v/>
      </c>
      <c r="I275" s="8" t="str">
        <f>IFERROR(INDEX(样本到样信息汇总统计!I$2:I$500,MATCH(274,样本到样信息汇总统计!$AA$2:$AA$500,0)),"")</f>
        <v/>
      </c>
      <c r="J275" s="8" t="str">
        <f>IFERROR(INDEX(样本到样信息汇总统计!J$2:J$500,MATCH(274,样本到样信息汇总统计!$AA$2:$AA$500,0)),"")</f>
        <v/>
      </c>
      <c r="K275" s="8" t="str">
        <f>IFERROR(INDEX(样本到样信息汇总统计!K$2:K$500,MATCH(274,样本到样信息汇总统计!$AA$2:$AA$500,0)),"")</f>
        <v/>
      </c>
      <c r="L275" s="8" t="str">
        <f>IFERROR(INDEX(样本到样信息汇总统计!L$2:L$500,MATCH(274,样本到样信息汇总统计!$AA$2:$AA$500,0)),"")</f>
        <v/>
      </c>
      <c r="M275" s="8" t="str">
        <f>IFERROR(INDEX(样本到样信息汇总统计!M$2:M$500,MATCH(274,样本到样信息汇总统计!$AA$2:$AA$500,0)),"")</f>
        <v/>
      </c>
      <c r="N275" s="8" t="str">
        <f>IFERROR(INDEX(样本到样信息汇总统计!N$2:N$500,MATCH(274,样本到样信息汇总统计!$AA$2:$AA$500,0)),"")</f>
        <v/>
      </c>
      <c r="O275" s="8" t="str">
        <f>IFERROR(INDEX(样本到样信息汇总统计!O$2:O$500,MATCH(274,样本到样信息汇总统计!$AA$2:$AA$500,0)),"")</f>
        <v/>
      </c>
      <c r="P275" s="8" t="str">
        <f>IFERROR(INDEX(样本到样信息汇总统计!P$2:P$500,MATCH(274,样本到样信息汇总统计!$AA$2:$AA$500,0)),"")</f>
        <v/>
      </c>
      <c r="Q275" s="8" t="str">
        <f>IFERROR(INDEX(样本到样信息汇总统计!Q$2:Q$500,MATCH(274,样本到样信息汇总统计!$AA$2:$AA$500,0)),"")</f>
        <v/>
      </c>
      <c r="R275" s="8" t="str">
        <f>IFERROR(INDEX(样本到样信息汇总统计!R$2:R$500,MATCH(274,样本到样信息汇总统计!$AA$2:$AA$500,0)),"")</f>
        <v/>
      </c>
      <c r="S275" s="8" t="str">
        <f>IFERROR(INDEX(样本到样信息汇总统计!S$2:S$500,MATCH(274,样本到样信息汇总统计!$AA$2:$AA$500,0)),"")</f>
        <v/>
      </c>
      <c r="T275" s="8" t="str">
        <f>IFERROR(INDEX(样本到样信息汇总统计!T$2:T$500,MATCH(274,样本到样信息汇总统计!$AA$2:$AA$500,0)),"")</f>
        <v/>
      </c>
      <c r="U275" s="8" t="str">
        <f>IFERROR(INDEX(样本到样信息汇总统计!U$2:U$500,MATCH(274,样本到样信息汇总统计!$AA$2:$AA$500,0)),"")</f>
        <v/>
      </c>
      <c r="V275" s="8" t="str">
        <f>IFERROR(INDEX(样本到样信息汇总统计!V$2:V$500,MATCH(274,样本到样信息汇总统计!$AA$2:$AA$500,0)),"")</f>
        <v/>
      </c>
      <c r="W275" s="8" t="str">
        <f>IFERROR(INDEX(样本到样信息汇总统计!W$2:W$500,MATCH(274,样本到样信息汇总统计!$AA$2:$AA$500,0)),"")</f>
        <v/>
      </c>
    </row>
    <row r="276" ht="14.5" spans="1:23">
      <c r="A276" s="4" t="str">
        <f>IFERROR(INDEX(样本到样信息汇总统计!A$2:A$500,MATCH(275,样本到样信息汇总统计!$AA$2:$AA$500,0)),"")</f>
        <v/>
      </c>
      <c r="B276" s="4" t="str">
        <f>IFERROR(INDEX(样本到样信息汇总统计!B$2:B$500,MATCH(275,样本到样信息汇总统计!$AA$2:$AA$500,0)),"")</f>
        <v/>
      </c>
      <c r="C276" s="4" t="str">
        <f>IFERROR(INDEX(样本到样信息汇总统计!C$2:C$500,MATCH(275,样本到样信息汇总统计!$AA$2:$AA$500,0)),"")</f>
        <v/>
      </c>
      <c r="D276" s="4" t="str">
        <f>IFERROR(INDEX(样本到样信息汇总统计!D$2:D$500,MATCH(275,样本到样信息汇总统计!$AA$2:$AA$500,0)),"")</f>
        <v/>
      </c>
      <c r="E276" s="4" t="str">
        <f>IFERROR(INDEX(样本到样信息汇总统计!E$2:E$500,MATCH(275,样本到样信息汇总统计!$AA$2:$AA$500,0)),"")</f>
        <v/>
      </c>
      <c r="F276" s="4" t="str">
        <f>IFERROR(INDEX(样本到样信息汇总统计!F$2:F$500,MATCH(275,样本到样信息汇总统计!$AA$2:$AA$500,0)),"")</f>
        <v/>
      </c>
      <c r="G276" s="4" t="str">
        <f>IFERROR(INDEX(样本到样信息汇总统计!G$2:G$500,MATCH(275,样本到样信息汇总统计!$AA$2:$AA$500,0)),"")</f>
        <v/>
      </c>
      <c r="H276" s="4" t="str">
        <f>IFERROR(INDEX(样本到样信息汇总统计!H$2:H$500,MATCH(275,样本到样信息汇总统计!$AA$2:$AA$500,0)),"")</f>
        <v/>
      </c>
      <c r="I276" s="4" t="str">
        <f>IFERROR(INDEX(样本到样信息汇总统计!I$2:I$500,MATCH(275,样本到样信息汇总统计!$AA$2:$AA$500,0)),"")</f>
        <v/>
      </c>
      <c r="J276" s="4" t="str">
        <f>IFERROR(INDEX(样本到样信息汇总统计!J$2:J$500,MATCH(275,样本到样信息汇总统计!$AA$2:$AA$500,0)),"")</f>
        <v/>
      </c>
      <c r="K276" s="4" t="str">
        <f>IFERROR(INDEX(样本到样信息汇总统计!K$2:K$500,MATCH(275,样本到样信息汇总统计!$AA$2:$AA$500,0)),"")</f>
        <v/>
      </c>
      <c r="L276" s="4" t="str">
        <f>IFERROR(INDEX(样本到样信息汇总统计!L$2:L$500,MATCH(275,样本到样信息汇总统计!$AA$2:$AA$500,0)),"")</f>
        <v/>
      </c>
      <c r="M276" s="4" t="str">
        <f>IFERROR(INDEX(样本到样信息汇总统计!M$2:M$500,MATCH(275,样本到样信息汇总统计!$AA$2:$AA$500,0)),"")</f>
        <v/>
      </c>
      <c r="N276" s="4" t="str">
        <f>IFERROR(INDEX(样本到样信息汇总统计!N$2:N$500,MATCH(275,样本到样信息汇总统计!$AA$2:$AA$500,0)),"")</f>
        <v/>
      </c>
      <c r="O276" s="4" t="str">
        <f>IFERROR(INDEX(样本到样信息汇总统计!O$2:O$500,MATCH(275,样本到样信息汇总统计!$AA$2:$AA$500,0)),"")</f>
        <v/>
      </c>
      <c r="P276" s="4" t="str">
        <f>IFERROR(INDEX(样本到样信息汇总统计!P$2:P$500,MATCH(275,样本到样信息汇总统计!$AA$2:$AA$500,0)),"")</f>
        <v/>
      </c>
      <c r="Q276" s="4" t="str">
        <f>IFERROR(INDEX(样本到样信息汇总统计!Q$2:Q$500,MATCH(275,样本到样信息汇总统计!$AA$2:$AA$500,0)),"")</f>
        <v/>
      </c>
      <c r="R276" s="4" t="str">
        <f>IFERROR(INDEX(样本到样信息汇总统计!R$2:R$500,MATCH(275,样本到样信息汇总统计!$AA$2:$AA$500,0)),"")</f>
        <v/>
      </c>
      <c r="S276" s="4" t="str">
        <f>IFERROR(INDEX(样本到样信息汇总统计!S$2:S$500,MATCH(275,样本到样信息汇总统计!$AA$2:$AA$500,0)),"")</f>
        <v/>
      </c>
      <c r="T276" s="4" t="str">
        <f>IFERROR(INDEX(样本到样信息汇总统计!T$2:T$500,MATCH(275,样本到样信息汇总统计!$AA$2:$AA$500,0)),"")</f>
        <v/>
      </c>
      <c r="U276" s="4" t="str">
        <f>IFERROR(INDEX(样本到样信息汇总统计!U$2:U$500,MATCH(275,样本到样信息汇总统计!$AA$2:$AA$500,0)),"")</f>
        <v/>
      </c>
      <c r="V276" s="4" t="str">
        <f>IFERROR(INDEX(样本到样信息汇总统计!V$2:V$500,MATCH(275,样本到样信息汇总统计!$AA$2:$AA$500,0)),"")</f>
        <v/>
      </c>
      <c r="W276" s="4" t="str">
        <f>IFERROR(INDEX(样本到样信息汇总统计!W$2:W$500,MATCH(275,样本到样信息汇总统计!$AA$2:$AA$500,0)),"")</f>
        <v/>
      </c>
    </row>
    <row r="277" ht="14.5" spans="1:23">
      <c r="A277" s="8" t="str">
        <f>IFERROR(INDEX(样本到样信息汇总统计!A$2:A$500,MATCH(276,样本到样信息汇总统计!$AA$2:$AA$500,0)),"")</f>
        <v/>
      </c>
      <c r="B277" s="8" t="str">
        <f>IFERROR(INDEX(样本到样信息汇总统计!B$2:B$500,MATCH(276,样本到样信息汇总统计!$AA$2:$AA$500,0)),"")</f>
        <v/>
      </c>
      <c r="C277" s="8" t="str">
        <f>IFERROR(INDEX(样本到样信息汇总统计!C$2:C$500,MATCH(276,样本到样信息汇总统计!$AA$2:$AA$500,0)),"")</f>
        <v/>
      </c>
      <c r="D277" s="8" t="str">
        <f>IFERROR(INDEX(样本到样信息汇总统计!D$2:D$500,MATCH(276,样本到样信息汇总统计!$AA$2:$AA$500,0)),"")</f>
        <v/>
      </c>
      <c r="E277" s="8" t="str">
        <f>IFERROR(INDEX(样本到样信息汇总统计!E$2:E$500,MATCH(276,样本到样信息汇总统计!$AA$2:$AA$500,0)),"")</f>
        <v/>
      </c>
      <c r="F277" s="8" t="str">
        <f>IFERROR(INDEX(样本到样信息汇总统计!F$2:F$500,MATCH(276,样本到样信息汇总统计!$AA$2:$AA$500,0)),"")</f>
        <v/>
      </c>
      <c r="G277" s="8" t="str">
        <f>IFERROR(INDEX(样本到样信息汇总统计!G$2:G$500,MATCH(276,样本到样信息汇总统计!$AA$2:$AA$500,0)),"")</f>
        <v/>
      </c>
      <c r="H277" s="8" t="str">
        <f>IFERROR(INDEX(样本到样信息汇总统计!H$2:H$500,MATCH(276,样本到样信息汇总统计!$AA$2:$AA$500,0)),"")</f>
        <v/>
      </c>
      <c r="I277" s="8" t="str">
        <f>IFERROR(INDEX(样本到样信息汇总统计!I$2:I$500,MATCH(276,样本到样信息汇总统计!$AA$2:$AA$500,0)),"")</f>
        <v/>
      </c>
      <c r="J277" s="8" t="str">
        <f>IFERROR(INDEX(样本到样信息汇总统计!J$2:J$500,MATCH(276,样本到样信息汇总统计!$AA$2:$AA$500,0)),"")</f>
        <v/>
      </c>
      <c r="K277" s="8" t="str">
        <f>IFERROR(INDEX(样本到样信息汇总统计!K$2:K$500,MATCH(276,样本到样信息汇总统计!$AA$2:$AA$500,0)),"")</f>
        <v/>
      </c>
      <c r="L277" s="8" t="str">
        <f>IFERROR(INDEX(样本到样信息汇总统计!L$2:L$500,MATCH(276,样本到样信息汇总统计!$AA$2:$AA$500,0)),"")</f>
        <v/>
      </c>
      <c r="M277" s="8" t="str">
        <f>IFERROR(INDEX(样本到样信息汇总统计!M$2:M$500,MATCH(276,样本到样信息汇总统计!$AA$2:$AA$500,0)),"")</f>
        <v/>
      </c>
      <c r="N277" s="8" t="str">
        <f>IFERROR(INDEX(样本到样信息汇总统计!N$2:N$500,MATCH(276,样本到样信息汇总统计!$AA$2:$AA$500,0)),"")</f>
        <v/>
      </c>
      <c r="O277" s="8" t="str">
        <f>IFERROR(INDEX(样本到样信息汇总统计!O$2:O$500,MATCH(276,样本到样信息汇总统计!$AA$2:$AA$500,0)),"")</f>
        <v/>
      </c>
      <c r="P277" s="8" t="str">
        <f>IFERROR(INDEX(样本到样信息汇总统计!P$2:P$500,MATCH(276,样本到样信息汇总统计!$AA$2:$AA$500,0)),"")</f>
        <v/>
      </c>
      <c r="Q277" s="8" t="str">
        <f>IFERROR(INDEX(样本到样信息汇总统计!Q$2:Q$500,MATCH(276,样本到样信息汇总统计!$AA$2:$AA$500,0)),"")</f>
        <v/>
      </c>
      <c r="R277" s="8" t="str">
        <f>IFERROR(INDEX(样本到样信息汇总统计!R$2:R$500,MATCH(276,样本到样信息汇总统计!$AA$2:$AA$500,0)),"")</f>
        <v/>
      </c>
      <c r="S277" s="8" t="str">
        <f>IFERROR(INDEX(样本到样信息汇总统计!S$2:S$500,MATCH(276,样本到样信息汇总统计!$AA$2:$AA$500,0)),"")</f>
        <v/>
      </c>
      <c r="T277" s="8" t="str">
        <f>IFERROR(INDEX(样本到样信息汇总统计!T$2:T$500,MATCH(276,样本到样信息汇总统计!$AA$2:$AA$500,0)),"")</f>
        <v/>
      </c>
      <c r="U277" s="8" t="str">
        <f>IFERROR(INDEX(样本到样信息汇总统计!U$2:U$500,MATCH(276,样本到样信息汇总统计!$AA$2:$AA$500,0)),"")</f>
        <v/>
      </c>
      <c r="V277" s="8" t="str">
        <f>IFERROR(INDEX(样本到样信息汇总统计!V$2:V$500,MATCH(276,样本到样信息汇总统计!$AA$2:$AA$500,0)),"")</f>
        <v/>
      </c>
      <c r="W277" s="8" t="str">
        <f>IFERROR(INDEX(样本到样信息汇总统计!W$2:W$500,MATCH(276,样本到样信息汇总统计!$AA$2:$AA$500,0)),"")</f>
        <v/>
      </c>
    </row>
    <row r="278" ht="14.5" spans="1:23">
      <c r="A278" s="4" t="str">
        <f>IFERROR(INDEX(样本到样信息汇总统计!A$2:A$500,MATCH(277,样本到样信息汇总统计!$AA$2:$AA$500,0)),"")</f>
        <v/>
      </c>
      <c r="B278" s="4" t="str">
        <f>IFERROR(INDEX(样本到样信息汇总统计!B$2:B$500,MATCH(277,样本到样信息汇总统计!$AA$2:$AA$500,0)),"")</f>
        <v/>
      </c>
      <c r="C278" s="4" t="str">
        <f>IFERROR(INDEX(样本到样信息汇总统计!C$2:C$500,MATCH(277,样本到样信息汇总统计!$AA$2:$AA$500,0)),"")</f>
        <v/>
      </c>
      <c r="D278" s="4" t="str">
        <f>IFERROR(INDEX(样本到样信息汇总统计!D$2:D$500,MATCH(277,样本到样信息汇总统计!$AA$2:$AA$500,0)),"")</f>
        <v/>
      </c>
      <c r="E278" s="4" t="str">
        <f>IFERROR(INDEX(样本到样信息汇总统计!E$2:E$500,MATCH(277,样本到样信息汇总统计!$AA$2:$AA$500,0)),"")</f>
        <v/>
      </c>
      <c r="F278" s="4" t="str">
        <f>IFERROR(INDEX(样本到样信息汇总统计!F$2:F$500,MATCH(277,样本到样信息汇总统计!$AA$2:$AA$500,0)),"")</f>
        <v/>
      </c>
      <c r="G278" s="4" t="str">
        <f>IFERROR(INDEX(样本到样信息汇总统计!G$2:G$500,MATCH(277,样本到样信息汇总统计!$AA$2:$AA$500,0)),"")</f>
        <v/>
      </c>
      <c r="H278" s="4" t="str">
        <f>IFERROR(INDEX(样本到样信息汇总统计!H$2:H$500,MATCH(277,样本到样信息汇总统计!$AA$2:$AA$500,0)),"")</f>
        <v/>
      </c>
      <c r="I278" s="4" t="str">
        <f>IFERROR(INDEX(样本到样信息汇总统计!I$2:I$500,MATCH(277,样本到样信息汇总统计!$AA$2:$AA$500,0)),"")</f>
        <v/>
      </c>
      <c r="J278" s="4" t="str">
        <f>IFERROR(INDEX(样本到样信息汇总统计!J$2:J$500,MATCH(277,样本到样信息汇总统计!$AA$2:$AA$500,0)),"")</f>
        <v/>
      </c>
      <c r="K278" s="4" t="str">
        <f>IFERROR(INDEX(样本到样信息汇总统计!K$2:K$500,MATCH(277,样本到样信息汇总统计!$AA$2:$AA$500,0)),"")</f>
        <v/>
      </c>
      <c r="L278" s="4" t="str">
        <f>IFERROR(INDEX(样本到样信息汇总统计!L$2:L$500,MATCH(277,样本到样信息汇总统计!$AA$2:$AA$500,0)),"")</f>
        <v/>
      </c>
      <c r="M278" s="4" t="str">
        <f>IFERROR(INDEX(样本到样信息汇总统计!M$2:M$500,MATCH(277,样本到样信息汇总统计!$AA$2:$AA$500,0)),"")</f>
        <v/>
      </c>
      <c r="N278" s="4" t="str">
        <f>IFERROR(INDEX(样本到样信息汇总统计!N$2:N$500,MATCH(277,样本到样信息汇总统计!$AA$2:$AA$500,0)),"")</f>
        <v/>
      </c>
      <c r="O278" s="4" t="str">
        <f>IFERROR(INDEX(样本到样信息汇总统计!O$2:O$500,MATCH(277,样本到样信息汇总统计!$AA$2:$AA$500,0)),"")</f>
        <v/>
      </c>
      <c r="P278" s="4" t="str">
        <f>IFERROR(INDEX(样本到样信息汇总统计!P$2:P$500,MATCH(277,样本到样信息汇总统计!$AA$2:$AA$500,0)),"")</f>
        <v/>
      </c>
      <c r="Q278" s="4" t="str">
        <f>IFERROR(INDEX(样本到样信息汇总统计!Q$2:Q$500,MATCH(277,样本到样信息汇总统计!$AA$2:$AA$500,0)),"")</f>
        <v/>
      </c>
      <c r="R278" s="4" t="str">
        <f>IFERROR(INDEX(样本到样信息汇总统计!R$2:R$500,MATCH(277,样本到样信息汇总统计!$AA$2:$AA$500,0)),"")</f>
        <v/>
      </c>
      <c r="S278" s="4" t="str">
        <f>IFERROR(INDEX(样本到样信息汇总统计!S$2:S$500,MATCH(277,样本到样信息汇总统计!$AA$2:$AA$500,0)),"")</f>
        <v/>
      </c>
      <c r="T278" s="4" t="str">
        <f>IFERROR(INDEX(样本到样信息汇总统计!T$2:T$500,MATCH(277,样本到样信息汇总统计!$AA$2:$AA$500,0)),"")</f>
        <v/>
      </c>
      <c r="U278" s="4" t="str">
        <f>IFERROR(INDEX(样本到样信息汇总统计!U$2:U$500,MATCH(277,样本到样信息汇总统计!$AA$2:$AA$500,0)),"")</f>
        <v/>
      </c>
      <c r="V278" s="4" t="str">
        <f>IFERROR(INDEX(样本到样信息汇总统计!V$2:V$500,MATCH(277,样本到样信息汇总统计!$AA$2:$AA$500,0)),"")</f>
        <v/>
      </c>
      <c r="W278" s="4" t="str">
        <f>IFERROR(INDEX(样本到样信息汇总统计!W$2:W$500,MATCH(277,样本到样信息汇总统计!$AA$2:$AA$500,0)),"")</f>
        <v/>
      </c>
    </row>
    <row r="279" ht="14.5" spans="1:23">
      <c r="A279" s="8" t="str">
        <f>IFERROR(INDEX(样本到样信息汇总统计!A$2:A$500,MATCH(278,样本到样信息汇总统计!$AA$2:$AA$500,0)),"")</f>
        <v/>
      </c>
      <c r="B279" s="8" t="str">
        <f>IFERROR(INDEX(样本到样信息汇总统计!B$2:B$500,MATCH(278,样本到样信息汇总统计!$AA$2:$AA$500,0)),"")</f>
        <v/>
      </c>
      <c r="C279" s="8" t="str">
        <f>IFERROR(INDEX(样本到样信息汇总统计!C$2:C$500,MATCH(278,样本到样信息汇总统计!$AA$2:$AA$500,0)),"")</f>
        <v/>
      </c>
      <c r="D279" s="8" t="str">
        <f>IFERROR(INDEX(样本到样信息汇总统计!D$2:D$500,MATCH(278,样本到样信息汇总统计!$AA$2:$AA$500,0)),"")</f>
        <v/>
      </c>
      <c r="E279" s="8" t="str">
        <f>IFERROR(INDEX(样本到样信息汇总统计!E$2:E$500,MATCH(278,样本到样信息汇总统计!$AA$2:$AA$500,0)),"")</f>
        <v/>
      </c>
      <c r="F279" s="8" t="str">
        <f>IFERROR(INDEX(样本到样信息汇总统计!F$2:F$500,MATCH(278,样本到样信息汇总统计!$AA$2:$AA$500,0)),"")</f>
        <v/>
      </c>
      <c r="G279" s="8" t="str">
        <f>IFERROR(INDEX(样本到样信息汇总统计!G$2:G$500,MATCH(278,样本到样信息汇总统计!$AA$2:$AA$500,0)),"")</f>
        <v/>
      </c>
      <c r="H279" s="8" t="str">
        <f>IFERROR(INDEX(样本到样信息汇总统计!H$2:H$500,MATCH(278,样本到样信息汇总统计!$AA$2:$AA$500,0)),"")</f>
        <v/>
      </c>
      <c r="I279" s="8" t="str">
        <f>IFERROR(INDEX(样本到样信息汇总统计!I$2:I$500,MATCH(278,样本到样信息汇总统计!$AA$2:$AA$500,0)),"")</f>
        <v/>
      </c>
      <c r="J279" s="8" t="str">
        <f>IFERROR(INDEX(样本到样信息汇总统计!J$2:J$500,MATCH(278,样本到样信息汇总统计!$AA$2:$AA$500,0)),"")</f>
        <v/>
      </c>
      <c r="K279" s="8" t="str">
        <f>IFERROR(INDEX(样本到样信息汇总统计!K$2:K$500,MATCH(278,样本到样信息汇总统计!$AA$2:$AA$500,0)),"")</f>
        <v/>
      </c>
      <c r="L279" s="8" t="str">
        <f>IFERROR(INDEX(样本到样信息汇总统计!L$2:L$500,MATCH(278,样本到样信息汇总统计!$AA$2:$AA$500,0)),"")</f>
        <v/>
      </c>
      <c r="M279" s="8" t="str">
        <f>IFERROR(INDEX(样本到样信息汇总统计!M$2:M$500,MATCH(278,样本到样信息汇总统计!$AA$2:$AA$500,0)),"")</f>
        <v/>
      </c>
      <c r="N279" s="8" t="str">
        <f>IFERROR(INDEX(样本到样信息汇总统计!N$2:N$500,MATCH(278,样本到样信息汇总统计!$AA$2:$AA$500,0)),"")</f>
        <v/>
      </c>
      <c r="O279" s="8" t="str">
        <f>IFERROR(INDEX(样本到样信息汇总统计!O$2:O$500,MATCH(278,样本到样信息汇总统计!$AA$2:$AA$500,0)),"")</f>
        <v/>
      </c>
      <c r="P279" s="8" t="str">
        <f>IFERROR(INDEX(样本到样信息汇总统计!P$2:P$500,MATCH(278,样本到样信息汇总统计!$AA$2:$AA$500,0)),"")</f>
        <v/>
      </c>
      <c r="Q279" s="8" t="str">
        <f>IFERROR(INDEX(样本到样信息汇总统计!Q$2:Q$500,MATCH(278,样本到样信息汇总统计!$AA$2:$AA$500,0)),"")</f>
        <v/>
      </c>
      <c r="R279" s="8" t="str">
        <f>IFERROR(INDEX(样本到样信息汇总统计!R$2:R$500,MATCH(278,样本到样信息汇总统计!$AA$2:$AA$500,0)),"")</f>
        <v/>
      </c>
      <c r="S279" s="8" t="str">
        <f>IFERROR(INDEX(样本到样信息汇总统计!S$2:S$500,MATCH(278,样本到样信息汇总统计!$AA$2:$AA$500,0)),"")</f>
        <v/>
      </c>
      <c r="T279" s="8" t="str">
        <f>IFERROR(INDEX(样本到样信息汇总统计!T$2:T$500,MATCH(278,样本到样信息汇总统计!$AA$2:$AA$500,0)),"")</f>
        <v/>
      </c>
      <c r="U279" s="8" t="str">
        <f>IFERROR(INDEX(样本到样信息汇总统计!U$2:U$500,MATCH(278,样本到样信息汇总统计!$AA$2:$AA$500,0)),"")</f>
        <v/>
      </c>
      <c r="V279" s="8" t="str">
        <f>IFERROR(INDEX(样本到样信息汇总统计!V$2:V$500,MATCH(278,样本到样信息汇总统计!$AA$2:$AA$500,0)),"")</f>
        <v/>
      </c>
      <c r="W279" s="8" t="str">
        <f>IFERROR(INDEX(样本到样信息汇总统计!W$2:W$500,MATCH(278,样本到样信息汇总统计!$AA$2:$AA$500,0)),"")</f>
        <v/>
      </c>
    </row>
    <row r="280" ht="14.5" spans="1:23">
      <c r="A280" s="4" t="str">
        <f>IFERROR(INDEX(样本到样信息汇总统计!A$2:A$500,MATCH(279,样本到样信息汇总统计!$AA$2:$AA$500,0)),"")</f>
        <v/>
      </c>
      <c r="B280" s="4" t="str">
        <f>IFERROR(INDEX(样本到样信息汇总统计!B$2:B$500,MATCH(279,样本到样信息汇总统计!$AA$2:$AA$500,0)),"")</f>
        <v/>
      </c>
      <c r="C280" s="4" t="str">
        <f>IFERROR(INDEX(样本到样信息汇总统计!C$2:C$500,MATCH(279,样本到样信息汇总统计!$AA$2:$AA$500,0)),"")</f>
        <v/>
      </c>
      <c r="D280" s="4" t="str">
        <f>IFERROR(INDEX(样本到样信息汇总统计!D$2:D$500,MATCH(279,样本到样信息汇总统计!$AA$2:$AA$500,0)),"")</f>
        <v/>
      </c>
      <c r="E280" s="4" t="str">
        <f>IFERROR(INDEX(样本到样信息汇总统计!E$2:E$500,MATCH(279,样本到样信息汇总统计!$AA$2:$AA$500,0)),"")</f>
        <v/>
      </c>
      <c r="F280" s="4" t="str">
        <f>IFERROR(INDEX(样本到样信息汇总统计!F$2:F$500,MATCH(279,样本到样信息汇总统计!$AA$2:$AA$500,0)),"")</f>
        <v/>
      </c>
      <c r="G280" s="4" t="str">
        <f>IFERROR(INDEX(样本到样信息汇总统计!G$2:G$500,MATCH(279,样本到样信息汇总统计!$AA$2:$AA$500,0)),"")</f>
        <v/>
      </c>
      <c r="H280" s="4" t="str">
        <f>IFERROR(INDEX(样本到样信息汇总统计!H$2:H$500,MATCH(279,样本到样信息汇总统计!$AA$2:$AA$500,0)),"")</f>
        <v/>
      </c>
      <c r="I280" s="4" t="str">
        <f>IFERROR(INDEX(样本到样信息汇总统计!I$2:I$500,MATCH(279,样本到样信息汇总统计!$AA$2:$AA$500,0)),"")</f>
        <v/>
      </c>
      <c r="J280" s="4" t="str">
        <f>IFERROR(INDEX(样本到样信息汇总统计!J$2:J$500,MATCH(279,样本到样信息汇总统计!$AA$2:$AA$500,0)),"")</f>
        <v/>
      </c>
      <c r="K280" s="4" t="str">
        <f>IFERROR(INDEX(样本到样信息汇总统计!K$2:K$500,MATCH(279,样本到样信息汇总统计!$AA$2:$AA$500,0)),"")</f>
        <v/>
      </c>
      <c r="L280" s="4" t="str">
        <f>IFERROR(INDEX(样本到样信息汇总统计!L$2:L$500,MATCH(279,样本到样信息汇总统计!$AA$2:$AA$500,0)),"")</f>
        <v/>
      </c>
      <c r="M280" s="4" t="str">
        <f>IFERROR(INDEX(样本到样信息汇总统计!M$2:M$500,MATCH(279,样本到样信息汇总统计!$AA$2:$AA$500,0)),"")</f>
        <v/>
      </c>
      <c r="N280" s="4" t="str">
        <f>IFERROR(INDEX(样本到样信息汇总统计!N$2:N$500,MATCH(279,样本到样信息汇总统计!$AA$2:$AA$500,0)),"")</f>
        <v/>
      </c>
      <c r="O280" s="4" t="str">
        <f>IFERROR(INDEX(样本到样信息汇总统计!O$2:O$500,MATCH(279,样本到样信息汇总统计!$AA$2:$AA$500,0)),"")</f>
        <v/>
      </c>
      <c r="P280" s="4" t="str">
        <f>IFERROR(INDEX(样本到样信息汇总统计!P$2:P$500,MATCH(279,样本到样信息汇总统计!$AA$2:$AA$500,0)),"")</f>
        <v/>
      </c>
      <c r="Q280" s="4" t="str">
        <f>IFERROR(INDEX(样本到样信息汇总统计!Q$2:Q$500,MATCH(279,样本到样信息汇总统计!$AA$2:$AA$500,0)),"")</f>
        <v/>
      </c>
      <c r="R280" s="4" t="str">
        <f>IFERROR(INDEX(样本到样信息汇总统计!R$2:R$500,MATCH(279,样本到样信息汇总统计!$AA$2:$AA$500,0)),"")</f>
        <v/>
      </c>
      <c r="S280" s="4" t="str">
        <f>IFERROR(INDEX(样本到样信息汇总统计!S$2:S$500,MATCH(279,样本到样信息汇总统计!$AA$2:$AA$500,0)),"")</f>
        <v/>
      </c>
      <c r="T280" s="4" t="str">
        <f>IFERROR(INDEX(样本到样信息汇总统计!T$2:T$500,MATCH(279,样本到样信息汇总统计!$AA$2:$AA$500,0)),"")</f>
        <v/>
      </c>
      <c r="U280" s="4" t="str">
        <f>IFERROR(INDEX(样本到样信息汇总统计!U$2:U$500,MATCH(279,样本到样信息汇总统计!$AA$2:$AA$500,0)),"")</f>
        <v/>
      </c>
      <c r="V280" s="4" t="str">
        <f>IFERROR(INDEX(样本到样信息汇总统计!V$2:V$500,MATCH(279,样本到样信息汇总统计!$AA$2:$AA$500,0)),"")</f>
        <v/>
      </c>
      <c r="W280" s="4" t="str">
        <f>IFERROR(INDEX(样本到样信息汇总统计!W$2:W$500,MATCH(279,样本到样信息汇总统计!$AA$2:$AA$500,0)),"")</f>
        <v/>
      </c>
    </row>
    <row r="281" ht="14.5" spans="1:23">
      <c r="A281" s="8" t="str">
        <f>IFERROR(INDEX(样本到样信息汇总统计!A$2:A$500,MATCH(280,样本到样信息汇总统计!$AA$2:$AA$500,0)),"")</f>
        <v/>
      </c>
      <c r="B281" s="8" t="str">
        <f>IFERROR(INDEX(样本到样信息汇总统计!B$2:B$500,MATCH(280,样本到样信息汇总统计!$AA$2:$AA$500,0)),"")</f>
        <v/>
      </c>
      <c r="C281" s="8" t="str">
        <f>IFERROR(INDEX(样本到样信息汇总统计!C$2:C$500,MATCH(280,样本到样信息汇总统计!$AA$2:$AA$500,0)),"")</f>
        <v/>
      </c>
      <c r="D281" s="8" t="str">
        <f>IFERROR(INDEX(样本到样信息汇总统计!D$2:D$500,MATCH(280,样本到样信息汇总统计!$AA$2:$AA$500,0)),"")</f>
        <v/>
      </c>
      <c r="E281" s="8" t="str">
        <f>IFERROR(INDEX(样本到样信息汇总统计!E$2:E$500,MATCH(280,样本到样信息汇总统计!$AA$2:$AA$500,0)),"")</f>
        <v/>
      </c>
      <c r="F281" s="8" t="str">
        <f>IFERROR(INDEX(样本到样信息汇总统计!F$2:F$500,MATCH(280,样本到样信息汇总统计!$AA$2:$AA$500,0)),"")</f>
        <v/>
      </c>
      <c r="G281" s="8" t="str">
        <f>IFERROR(INDEX(样本到样信息汇总统计!G$2:G$500,MATCH(280,样本到样信息汇总统计!$AA$2:$AA$500,0)),"")</f>
        <v/>
      </c>
      <c r="H281" s="8" t="str">
        <f>IFERROR(INDEX(样本到样信息汇总统计!H$2:H$500,MATCH(280,样本到样信息汇总统计!$AA$2:$AA$500,0)),"")</f>
        <v/>
      </c>
      <c r="I281" s="8" t="str">
        <f>IFERROR(INDEX(样本到样信息汇总统计!I$2:I$500,MATCH(280,样本到样信息汇总统计!$AA$2:$AA$500,0)),"")</f>
        <v/>
      </c>
      <c r="J281" s="8" t="str">
        <f>IFERROR(INDEX(样本到样信息汇总统计!J$2:J$500,MATCH(280,样本到样信息汇总统计!$AA$2:$AA$500,0)),"")</f>
        <v/>
      </c>
      <c r="K281" s="8" t="str">
        <f>IFERROR(INDEX(样本到样信息汇总统计!K$2:K$500,MATCH(280,样本到样信息汇总统计!$AA$2:$AA$500,0)),"")</f>
        <v/>
      </c>
      <c r="L281" s="8" t="str">
        <f>IFERROR(INDEX(样本到样信息汇总统计!L$2:L$500,MATCH(280,样本到样信息汇总统计!$AA$2:$AA$500,0)),"")</f>
        <v/>
      </c>
      <c r="M281" s="8" t="str">
        <f>IFERROR(INDEX(样本到样信息汇总统计!M$2:M$500,MATCH(280,样本到样信息汇总统计!$AA$2:$AA$500,0)),"")</f>
        <v/>
      </c>
      <c r="N281" s="8" t="str">
        <f>IFERROR(INDEX(样本到样信息汇总统计!N$2:N$500,MATCH(280,样本到样信息汇总统计!$AA$2:$AA$500,0)),"")</f>
        <v/>
      </c>
      <c r="O281" s="8" t="str">
        <f>IFERROR(INDEX(样本到样信息汇总统计!O$2:O$500,MATCH(280,样本到样信息汇总统计!$AA$2:$AA$500,0)),"")</f>
        <v/>
      </c>
      <c r="P281" s="8" t="str">
        <f>IFERROR(INDEX(样本到样信息汇总统计!P$2:P$500,MATCH(280,样本到样信息汇总统计!$AA$2:$AA$500,0)),"")</f>
        <v/>
      </c>
      <c r="Q281" s="8" t="str">
        <f>IFERROR(INDEX(样本到样信息汇总统计!Q$2:Q$500,MATCH(280,样本到样信息汇总统计!$AA$2:$AA$500,0)),"")</f>
        <v/>
      </c>
      <c r="R281" s="8" t="str">
        <f>IFERROR(INDEX(样本到样信息汇总统计!R$2:R$500,MATCH(280,样本到样信息汇总统计!$AA$2:$AA$500,0)),"")</f>
        <v/>
      </c>
      <c r="S281" s="8" t="str">
        <f>IFERROR(INDEX(样本到样信息汇总统计!S$2:S$500,MATCH(280,样本到样信息汇总统计!$AA$2:$AA$500,0)),"")</f>
        <v/>
      </c>
      <c r="T281" s="8" t="str">
        <f>IFERROR(INDEX(样本到样信息汇总统计!T$2:T$500,MATCH(280,样本到样信息汇总统计!$AA$2:$AA$500,0)),"")</f>
        <v/>
      </c>
      <c r="U281" s="8" t="str">
        <f>IFERROR(INDEX(样本到样信息汇总统计!U$2:U$500,MATCH(280,样本到样信息汇总统计!$AA$2:$AA$500,0)),"")</f>
        <v/>
      </c>
      <c r="V281" s="8" t="str">
        <f>IFERROR(INDEX(样本到样信息汇总统计!V$2:V$500,MATCH(280,样本到样信息汇总统计!$AA$2:$AA$500,0)),"")</f>
        <v/>
      </c>
      <c r="W281" s="8" t="str">
        <f>IFERROR(INDEX(样本到样信息汇总统计!W$2:W$500,MATCH(280,样本到样信息汇总统计!$AA$2:$AA$500,0)),"")</f>
        <v/>
      </c>
    </row>
    <row r="282" ht="14.5" spans="1:23">
      <c r="A282" s="4" t="str">
        <f>IFERROR(INDEX(样本到样信息汇总统计!A$2:A$500,MATCH(281,样本到样信息汇总统计!$AA$2:$AA$500,0)),"")</f>
        <v/>
      </c>
      <c r="B282" s="4" t="str">
        <f>IFERROR(INDEX(样本到样信息汇总统计!B$2:B$500,MATCH(281,样本到样信息汇总统计!$AA$2:$AA$500,0)),"")</f>
        <v/>
      </c>
      <c r="C282" s="4" t="str">
        <f>IFERROR(INDEX(样本到样信息汇总统计!C$2:C$500,MATCH(281,样本到样信息汇总统计!$AA$2:$AA$500,0)),"")</f>
        <v/>
      </c>
      <c r="D282" s="4" t="str">
        <f>IFERROR(INDEX(样本到样信息汇总统计!D$2:D$500,MATCH(281,样本到样信息汇总统计!$AA$2:$AA$500,0)),"")</f>
        <v/>
      </c>
      <c r="E282" s="4" t="str">
        <f>IFERROR(INDEX(样本到样信息汇总统计!E$2:E$500,MATCH(281,样本到样信息汇总统计!$AA$2:$AA$500,0)),"")</f>
        <v/>
      </c>
      <c r="F282" s="4" t="str">
        <f>IFERROR(INDEX(样本到样信息汇总统计!F$2:F$500,MATCH(281,样本到样信息汇总统计!$AA$2:$AA$500,0)),"")</f>
        <v/>
      </c>
      <c r="G282" s="4" t="str">
        <f>IFERROR(INDEX(样本到样信息汇总统计!G$2:G$500,MATCH(281,样本到样信息汇总统计!$AA$2:$AA$500,0)),"")</f>
        <v/>
      </c>
      <c r="H282" s="4" t="str">
        <f>IFERROR(INDEX(样本到样信息汇总统计!H$2:H$500,MATCH(281,样本到样信息汇总统计!$AA$2:$AA$500,0)),"")</f>
        <v/>
      </c>
      <c r="I282" s="4" t="str">
        <f>IFERROR(INDEX(样本到样信息汇总统计!I$2:I$500,MATCH(281,样本到样信息汇总统计!$AA$2:$AA$500,0)),"")</f>
        <v/>
      </c>
      <c r="J282" s="4" t="str">
        <f>IFERROR(INDEX(样本到样信息汇总统计!J$2:J$500,MATCH(281,样本到样信息汇总统计!$AA$2:$AA$500,0)),"")</f>
        <v/>
      </c>
      <c r="K282" s="4" t="str">
        <f>IFERROR(INDEX(样本到样信息汇总统计!K$2:K$500,MATCH(281,样本到样信息汇总统计!$AA$2:$AA$500,0)),"")</f>
        <v/>
      </c>
      <c r="L282" s="4" t="str">
        <f>IFERROR(INDEX(样本到样信息汇总统计!L$2:L$500,MATCH(281,样本到样信息汇总统计!$AA$2:$AA$500,0)),"")</f>
        <v/>
      </c>
      <c r="M282" s="4" t="str">
        <f>IFERROR(INDEX(样本到样信息汇总统计!M$2:M$500,MATCH(281,样本到样信息汇总统计!$AA$2:$AA$500,0)),"")</f>
        <v/>
      </c>
      <c r="N282" s="4" t="str">
        <f>IFERROR(INDEX(样本到样信息汇总统计!N$2:N$500,MATCH(281,样本到样信息汇总统计!$AA$2:$AA$500,0)),"")</f>
        <v/>
      </c>
      <c r="O282" s="4" t="str">
        <f>IFERROR(INDEX(样本到样信息汇总统计!O$2:O$500,MATCH(281,样本到样信息汇总统计!$AA$2:$AA$500,0)),"")</f>
        <v/>
      </c>
      <c r="P282" s="4" t="str">
        <f>IFERROR(INDEX(样本到样信息汇总统计!P$2:P$500,MATCH(281,样本到样信息汇总统计!$AA$2:$AA$500,0)),"")</f>
        <v/>
      </c>
      <c r="Q282" s="4" t="str">
        <f>IFERROR(INDEX(样本到样信息汇总统计!Q$2:Q$500,MATCH(281,样本到样信息汇总统计!$AA$2:$AA$500,0)),"")</f>
        <v/>
      </c>
      <c r="R282" s="4" t="str">
        <f>IFERROR(INDEX(样本到样信息汇总统计!R$2:R$500,MATCH(281,样本到样信息汇总统计!$AA$2:$AA$500,0)),"")</f>
        <v/>
      </c>
      <c r="S282" s="4" t="str">
        <f>IFERROR(INDEX(样本到样信息汇总统计!S$2:S$500,MATCH(281,样本到样信息汇总统计!$AA$2:$AA$500,0)),"")</f>
        <v/>
      </c>
      <c r="T282" s="4" t="str">
        <f>IFERROR(INDEX(样本到样信息汇总统计!T$2:T$500,MATCH(281,样本到样信息汇总统计!$AA$2:$AA$500,0)),"")</f>
        <v/>
      </c>
      <c r="U282" s="4" t="str">
        <f>IFERROR(INDEX(样本到样信息汇总统计!U$2:U$500,MATCH(281,样本到样信息汇总统计!$AA$2:$AA$500,0)),"")</f>
        <v/>
      </c>
      <c r="V282" s="4" t="str">
        <f>IFERROR(INDEX(样本到样信息汇总统计!V$2:V$500,MATCH(281,样本到样信息汇总统计!$AA$2:$AA$500,0)),"")</f>
        <v/>
      </c>
      <c r="W282" s="4" t="str">
        <f>IFERROR(INDEX(样本到样信息汇总统计!W$2:W$500,MATCH(281,样本到样信息汇总统计!$AA$2:$AA$500,0)),"")</f>
        <v/>
      </c>
    </row>
    <row r="283" ht="14.5" spans="1:23">
      <c r="A283" s="8" t="str">
        <f>IFERROR(INDEX(样本到样信息汇总统计!A$2:A$500,MATCH(282,样本到样信息汇总统计!$AA$2:$AA$500,0)),"")</f>
        <v/>
      </c>
      <c r="B283" s="8" t="str">
        <f>IFERROR(INDEX(样本到样信息汇总统计!B$2:B$500,MATCH(282,样本到样信息汇总统计!$AA$2:$AA$500,0)),"")</f>
        <v/>
      </c>
      <c r="C283" s="8" t="str">
        <f>IFERROR(INDEX(样本到样信息汇总统计!C$2:C$500,MATCH(282,样本到样信息汇总统计!$AA$2:$AA$500,0)),"")</f>
        <v/>
      </c>
      <c r="D283" s="8" t="str">
        <f>IFERROR(INDEX(样本到样信息汇总统计!D$2:D$500,MATCH(282,样本到样信息汇总统计!$AA$2:$AA$500,0)),"")</f>
        <v/>
      </c>
      <c r="E283" s="8" t="str">
        <f>IFERROR(INDEX(样本到样信息汇总统计!E$2:E$500,MATCH(282,样本到样信息汇总统计!$AA$2:$AA$500,0)),"")</f>
        <v/>
      </c>
      <c r="F283" s="8" t="str">
        <f>IFERROR(INDEX(样本到样信息汇总统计!F$2:F$500,MATCH(282,样本到样信息汇总统计!$AA$2:$AA$500,0)),"")</f>
        <v/>
      </c>
      <c r="G283" s="8" t="str">
        <f>IFERROR(INDEX(样本到样信息汇总统计!G$2:G$500,MATCH(282,样本到样信息汇总统计!$AA$2:$AA$500,0)),"")</f>
        <v/>
      </c>
      <c r="H283" s="8" t="str">
        <f>IFERROR(INDEX(样本到样信息汇总统计!H$2:H$500,MATCH(282,样本到样信息汇总统计!$AA$2:$AA$500,0)),"")</f>
        <v/>
      </c>
      <c r="I283" s="8" t="str">
        <f>IFERROR(INDEX(样本到样信息汇总统计!I$2:I$500,MATCH(282,样本到样信息汇总统计!$AA$2:$AA$500,0)),"")</f>
        <v/>
      </c>
      <c r="J283" s="8" t="str">
        <f>IFERROR(INDEX(样本到样信息汇总统计!J$2:J$500,MATCH(282,样本到样信息汇总统计!$AA$2:$AA$500,0)),"")</f>
        <v/>
      </c>
      <c r="K283" s="8" t="str">
        <f>IFERROR(INDEX(样本到样信息汇总统计!K$2:K$500,MATCH(282,样本到样信息汇总统计!$AA$2:$AA$500,0)),"")</f>
        <v/>
      </c>
      <c r="L283" s="8" t="str">
        <f>IFERROR(INDEX(样本到样信息汇总统计!L$2:L$500,MATCH(282,样本到样信息汇总统计!$AA$2:$AA$500,0)),"")</f>
        <v/>
      </c>
      <c r="M283" s="8" t="str">
        <f>IFERROR(INDEX(样本到样信息汇总统计!M$2:M$500,MATCH(282,样本到样信息汇总统计!$AA$2:$AA$500,0)),"")</f>
        <v/>
      </c>
      <c r="N283" s="8" t="str">
        <f>IFERROR(INDEX(样本到样信息汇总统计!N$2:N$500,MATCH(282,样本到样信息汇总统计!$AA$2:$AA$500,0)),"")</f>
        <v/>
      </c>
      <c r="O283" s="8" t="str">
        <f>IFERROR(INDEX(样本到样信息汇总统计!O$2:O$500,MATCH(282,样本到样信息汇总统计!$AA$2:$AA$500,0)),"")</f>
        <v/>
      </c>
      <c r="P283" s="8" t="str">
        <f>IFERROR(INDEX(样本到样信息汇总统计!P$2:P$500,MATCH(282,样本到样信息汇总统计!$AA$2:$AA$500,0)),"")</f>
        <v/>
      </c>
      <c r="Q283" s="8" t="str">
        <f>IFERROR(INDEX(样本到样信息汇总统计!Q$2:Q$500,MATCH(282,样本到样信息汇总统计!$AA$2:$AA$500,0)),"")</f>
        <v/>
      </c>
      <c r="R283" s="8" t="str">
        <f>IFERROR(INDEX(样本到样信息汇总统计!R$2:R$500,MATCH(282,样本到样信息汇总统计!$AA$2:$AA$500,0)),"")</f>
        <v/>
      </c>
      <c r="S283" s="8" t="str">
        <f>IFERROR(INDEX(样本到样信息汇总统计!S$2:S$500,MATCH(282,样本到样信息汇总统计!$AA$2:$AA$500,0)),"")</f>
        <v/>
      </c>
      <c r="T283" s="8" t="str">
        <f>IFERROR(INDEX(样本到样信息汇总统计!T$2:T$500,MATCH(282,样本到样信息汇总统计!$AA$2:$AA$500,0)),"")</f>
        <v/>
      </c>
      <c r="U283" s="8" t="str">
        <f>IFERROR(INDEX(样本到样信息汇总统计!U$2:U$500,MATCH(282,样本到样信息汇总统计!$AA$2:$AA$500,0)),"")</f>
        <v/>
      </c>
      <c r="V283" s="8" t="str">
        <f>IFERROR(INDEX(样本到样信息汇总统计!V$2:V$500,MATCH(282,样本到样信息汇总统计!$AA$2:$AA$500,0)),"")</f>
        <v/>
      </c>
      <c r="W283" s="8" t="str">
        <f>IFERROR(INDEX(样本到样信息汇总统计!W$2:W$500,MATCH(282,样本到样信息汇总统计!$AA$2:$AA$500,0)),"")</f>
        <v/>
      </c>
    </row>
    <row r="284" ht="14.5" spans="1:23">
      <c r="A284" s="4" t="str">
        <f>IFERROR(INDEX(样本到样信息汇总统计!A$2:A$500,MATCH(283,样本到样信息汇总统计!$AA$2:$AA$500,0)),"")</f>
        <v/>
      </c>
      <c r="B284" s="4" t="str">
        <f>IFERROR(INDEX(样本到样信息汇总统计!B$2:B$500,MATCH(283,样本到样信息汇总统计!$AA$2:$AA$500,0)),"")</f>
        <v/>
      </c>
      <c r="C284" s="4" t="str">
        <f>IFERROR(INDEX(样本到样信息汇总统计!C$2:C$500,MATCH(283,样本到样信息汇总统计!$AA$2:$AA$500,0)),"")</f>
        <v/>
      </c>
      <c r="D284" s="4" t="str">
        <f>IFERROR(INDEX(样本到样信息汇总统计!D$2:D$500,MATCH(283,样本到样信息汇总统计!$AA$2:$AA$500,0)),"")</f>
        <v/>
      </c>
      <c r="E284" s="4" t="str">
        <f>IFERROR(INDEX(样本到样信息汇总统计!E$2:E$500,MATCH(283,样本到样信息汇总统计!$AA$2:$AA$500,0)),"")</f>
        <v/>
      </c>
      <c r="F284" s="4" t="str">
        <f>IFERROR(INDEX(样本到样信息汇总统计!F$2:F$500,MATCH(283,样本到样信息汇总统计!$AA$2:$AA$500,0)),"")</f>
        <v/>
      </c>
      <c r="G284" s="4" t="str">
        <f>IFERROR(INDEX(样本到样信息汇总统计!G$2:G$500,MATCH(283,样本到样信息汇总统计!$AA$2:$AA$500,0)),"")</f>
        <v/>
      </c>
      <c r="H284" s="4" t="str">
        <f>IFERROR(INDEX(样本到样信息汇总统计!H$2:H$500,MATCH(283,样本到样信息汇总统计!$AA$2:$AA$500,0)),"")</f>
        <v/>
      </c>
      <c r="I284" s="4" t="str">
        <f>IFERROR(INDEX(样本到样信息汇总统计!I$2:I$500,MATCH(283,样本到样信息汇总统计!$AA$2:$AA$500,0)),"")</f>
        <v/>
      </c>
      <c r="J284" s="4" t="str">
        <f>IFERROR(INDEX(样本到样信息汇总统计!J$2:J$500,MATCH(283,样本到样信息汇总统计!$AA$2:$AA$500,0)),"")</f>
        <v/>
      </c>
      <c r="K284" s="4" t="str">
        <f>IFERROR(INDEX(样本到样信息汇总统计!K$2:K$500,MATCH(283,样本到样信息汇总统计!$AA$2:$AA$500,0)),"")</f>
        <v/>
      </c>
      <c r="L284" s="4" t="str">
        <f>IFERROR(INDEX(样本到样信息汇总统计!L$2:L$500,MATCH(283,样本到样信息汇总统计!$AA$2:$AA$500,0)),"")</f>
        <v/>
      </c>
      <c r="M284" s="4" t="str">
        <f>IFERROR(INDEX(样本到样信息汇总统计!M$2:M$500,MATCH(283,样本到样信息汇总统计!$AA$2:$AA$500,0)),"")</f>
        <v/>
      </c>
      <c r="N284" s="4" t="str">
        <f>IFERROR(INDEX(样本到样信息汇总统计!N$2:N$500,MATCH(283,样本到样信息汇总统计!$AA$2:$AA$500,0)),"")</f>
        <v/>
      </c>
      <c r="O284" s="4" t="str">
        <f>IFERROR(INDEX(样本到样信息汇总统计!O$2:O$500,MATCH(283,样本到样信息汇总统计!$AA$2:$AA$500,0)),"")</f>
        <v/>
      </c>
      <c r="P284" s="4" t="str">
        <f>IFERROR(INDEX(样本到样信息汇总统计!P$2:P$500,MATCH(283,样本到样信息汇总统计!$AA$2:$AA$500,0)),"")</f>
        <v/>
      </c>
      <c r="Q284" s="4" t="str">
        <f>IFERROR(INDEX(样本到样信息汇总统计!Q$2:Q$500,MATCH(283,样本到样信息汇总统计!$AA$2:$AA$500,0)),"")</f>
        <v/>
      </c>
      <c r="R284" s="4" t="str">
        <f>IFERROR(INDEX(样本到样信息汇总统计!R$2:R$500,MATCH(283,样本到样信息汇总统计!$AA$2:$AA$500,0)),"")</f>
        <v/>
      </c>
      <c r="S284" s="4" t="str">
        <f>IFERROR(INDEX(样本到样信息汇总统计!S$2:S$500,MATCH(283,样本到样信息汇总统计!$AA$2:$AA$500,0)),"")</f>
        <v/>
      </c>
      <c r="T284" s="4" t="str">
        <f>IFERROR(INDEX(样本到样信息汇总统计!T$2:T$500,MATCH(283,样本到样信息汇总统计!$AA$2:$AA$500,0)),"")</f>
        <v/>
      </c>
      <c r="U284" s="4" t="str">
        <f>IFERROR(INDEX(样本到样信息汇总统计!U$2:U$500,MATCH(283,样本到样信息汇总统计!$AA$2:$AA$500,0)),"")</f>
        <v/>
      </c>
      <c r="V284" s="4" t="str">
        <f>IFERROR(INDEX(样本到样信息汇总统计!V$2:V$500,MATCH(283,样本到样信息汇总统计!$AA$2:$AA$500,0)),"")</f>
        <v/>
      </c>
      <c r="W284" s="4" t="str">
        <f>IFERROR(INDEX(样本到样信息汇总统计!W$2:W$500,MATCH(283,样本到样信息汇总统计!$AA$2:$AA$500,0)),"")</f>
        <v/>
      </c>
    </row>
    <row r="285" ht="14.5" spans="1:23">
      <c r="A285" s="8" t="str">
        <f>IFERROR(INDEX(样本到样信息汇总统计!A$2:A$500,MATCH(284,样本到样信息汇总统计!$AA$2:$AA$500,0)),"")</f>
        <v/>
      </c>
      <c r="B285" s="8" t="str">
        <f>IFERROR(INDEX(样本到样信息汇总统计!B$2:B$500,MATCH(284,样本到样信息汇总统计!$AA$2:$AA$500,0)),"")</f>
        <v/>
      </c>
      <c r="C285" s="8" t="str">
        <f>IFERROR(INDEX(样本到样信息汇总统计!C$2:C$500,MATCH(284,样本到样信息汇总统计!$AA$2:$AA$500,0)),"")</f>
        <v/>
      </c>
      <c r="D285" s="8" t="str">
        <f>IFERROR(INDEX(样本到样信息汇总统计!D$2:D$500,MATCH(284,样本到样信息汇总统计!$AA$2:$AA$500,0)),"")</f>
        <v/>
      </c>
      <c r="E285" s="8" t="str">
        <f>IFERROR(INDEX(样本到样信息汇总统计!E$2:E$500,MATCH(284,样本到样信息汇总统计!$AA$2:$AA$500,0)),"")</f>
        <v/>
      </c>
      <c r="F285" s="8" t="str">
        <f>IFERROR(INDEX(样本到样信息汇总统计!F$2:F$500,MATCH(284,样本到样信息汇总统计!$AA$2:$AA$500,0)),"")</f>
        <v/>
      </c>
      <c r="G285" s="8" t="str">
        <f>IFERROR(INDEX(样本到样信息汇总统计!G$2:G$500,MATCH(284,样本到样信息汇总统计!$AA$2:$AA$500,0)),"")</f>
        <v/>
      </c>
      <c r="H285" s="8" t="str">
        <f>IFERROR(INDEX(样本到样信息汇总统计!H$2:H$500,MATCH(284,样本到样信息汇总统计!$AA$2:$AA$500,0)),"")</f>
        <v/>
      </c>
      <c r="I285" s="8" t="str">
        <f>IFERROR(INDEX(样本到样信息汇总统计!I$2:I$500,MATCH(284,样本到样信息汇总统计!$AA$2:$AA$500,0)),"")</f>
        <v/>
      </c>
      <c r="J285" s="8" t="str">
        <f>IFERROR(INDEX(样本到样信息汇总统计!J$2:J$500,MATCH(284,样本到样信息汇总统计!$AA$2:$AA$500,0)),"")</f>
        <v/>
      </c>
      <c r="K285" s="8" t="str">
        <f>IFERROR(INDEX(样本到样信息汇总统计!K$2:K$500,MATCH(284,样本到样信息汇总统计!$AA$2:$AA$500,0)),"")</f>
        <v/>
      </c>
      <c r="L285" s="8" t="str">
        <f>IFERROR(INDEX(样本到样信息汇总统计!L$2:L$500,MATCH(284,样本到样信息汇总统计!$AA$2:$AA$500,0)),"")</f>
        <v/>
      </c>
      <c r="M285" s="8" t="str">
        <f>IFERROR(INDEX(样本到样信息汇总统计!M$2:M$500,MATCH(284,样本到样信息汇总统计!$AA$2:$AA$500,0)),"")</f>
        <v/>
      </c>
      <c r="N285" s="8" t="str">
        <f>IFERROR(INDEX(样本到样信息汇总统计!N$2:N$500,MATCH(284,样本到样信息汇总统计!$AA$2:$AA$500,0)),"")</f>
        <v/>
      </c>
      <c r="O285" s="8" t="str">
        <f>IFERROR(INDEX(样本到样信息汇总统计!O$2:O$500,MATCH(284,样本到样信息汇总统计!$AA$2:$AA$500,0)),"")</f>
        <v/>
      </c>
      <c r="P285" s="8" t="str">
        <f>IFERROR(INDEX(样本到样信息汇总统计!P$2:P$500,MATCH(284,样本到样信息汇总统计!$AA$2:$AA$500,0)),"")</f>
        <v/>
      </c>
      <c r="Q285" s="8" t="str">
        <f>IFERROR(INDEX(样本到样信息汇总统计!Q$2:Q$500,MATCH(284,样本到样信息汇总统计!$AA$2:$AA$500,0)),"")</f>
        <v/>
      </c>
      <c r="R285" s="8" t="str">
        <f>IFERROR(INDEX(样本到样信息汇总统计!R$2:R$500,MATCH(284,样本到样信息汇总统计!$AA$2:$AA$500,0)),"")</f>
        <v/>
      </c>
      <c r="S285" s="8" t="str">
        <f>IFERROR(INDEX(样本到样信息汇总统计!S$2:S$500,MATCH(284,样本到样信息汇总统计!$AA$2:$AA$500,0)),"")</f>
        <v/>
      </c>
      <c r="T285" s="8" t="str">
        <f>IFERROR(INDEX(样本到样信息汇总统计!T$2:T$500,MATCH(284,样本到样信息汇总统计!$AA$2:$AA$500,0)),"")</f>
        <v/>
      </c>
      <c r="U285" s="8" t="str">
        <f>IFERROR(INDEX(样本到样信息汇总统计!U$2:U$500,MATCH(284,样本到样信息汇总统计!$AA$2:$AA$500,0)),"")</f>
        <v/>
      </c>
      <c r="V285" s="8" t="str">
        <f>IFERROR(INDEX(样本到样信息汇总统计!V$2:V$500,MATCH(284,样本到样信息汇总统计!$AA$2:$AA$500,0)),"")</f>
        <v/>
      </c>
      <c r="W285" s="8" t="str">
        <f>IFERROR(INDEX(样本到样信息汇总统计!W$2:W$500,MATCH(284,样本到样信息汇总统计!$AA$2:$AA$500,0)),"")</f>
        <v/>
      </c>
    </row>
    <row r="286" ht="14.5" spans="1:23">
      <c r="A286" s="4" t="str">
        <f>IFERROR(INDEX(样本到样信息汇总统计!A$2:A$500,MATCH(285,样本到样信息汇总统计!$AA$2:$AA$500,0)),"")</f>
        <v/>
      </c>
      <c r="B286" s="4" t="str">
        <f>IFERROR(INDEX(样本到样信息汇总统计!B$2:B$500,MATCH(285,样本到样信息汇总统计!$AA$2:$AA$500,0)),"")</f>
        <v/>
      </c>
      <c r="C286" s="4" t="str">
        <f>IFERROR(INDEX(样本到样信息汇总统计!C$2:C$500,MATCH(285,样本到样信息汇总统计!$AA$2:$AA$500,0)),"")</f>
        <v/>
      </c>
      <c r="D286" s="4" t="str">
        <f>IFERROR(INDEX(样本到样信息汇总统计!D$2:D$500,MATCH(285,样本到样信息汇总统计!$AA$2:$AA$500,0)),"")</f>
        <v/>
      </c>
      <c r="E286" s="4" t="str">
        <f>IFERROR(INDEX(样本到样信息汇总统计!E$2:E$500,MATCH(285,样本到样信息汇总统计!$AA$2:$AA$500,0)),"")</f>
        <v/>
      </c>
      <c r="F286" s="4" t="str">
        <f>IFERROR(INDEX(样本到样信息汇总统计!F$2:F$500,MATCH(285,样本到样信息汇总统计!$AA$2:$AA$500,0)),"")</f>
        <v/>
      </c>
      <c r="G286" s="4" t="str">
        <f>IFERROR(INDEX(样本到样信息汇总统计!G$2:G$500,MATCH(285,样本到样信息汇总统计!$AA$2:$AA$500,0)),"")</f>
        <v/>
      </c>
      <c r="H286" s="4" t="str">
        <f>IFERROR(INDEX(样本到样信息汇总统计!H$2:H$500,MATCH(285,样本到样信息汇总统计!$AA$2:$AA$500,0)),"")</f>
        <v/>
      </c>
      <c r="I286" s="4" t="str">
        <f>IFERROR(INDEX(样本到样信息汇总统计!I$2:I$500,MATCH(285,样本到样信息汇总统计!$AA$2:$AA$500,0)),"")</f>
        <v/>
      </c>
      <c r="J286" s="4" t="str">
        <f>IFERROR(INDEX(样本到样信息汇总统计!J$2:J$500,MATCH(285,样本到样信息汇总统计!$AA$2:$AA$500,0)),"")</f>
        <v/>
      </c>
      <c r="K286" s="4" t="str">
        <f>IFERROR(INDEX(样本到样信息汇总统计!K$2:K$500,MATCH(285,样本到样信息汇总统计!$AA$2:$AA$500,0)),"")</f>
        <v/>
      </c>
      <c r="L286" s="4" t="str">
        <f>IFERROR(INDEX(样本到样信息汇总统计!L$2:L$500,MATCH(285,样本到样信息汇总统计!$AA$2:$AA$500,0)),"")</f>
        <v/>
      </c>
      <c r="M286" s="4" t="str">
        <f>IFERROR(INDEX(样本到样信息汇总统计!M$2:M$500,MATCH(285,样本到样信息汇总统计!$AA$2:$AA$500,0)),"")</f>
        <v/>
      </c>
      <c r="N286" s="4" t="str">
        <f>IFERROR(INDEX(样本到样信息汇总统计!N$2:N$500,MATCH(285,样本到样信息汇总统计!$AA$2:$AA$500,0)),"")</f>
        <v/>
      </c>
      <c r="O286" s="4" t="str">
        <f>IFERROR(INDEX(样本到样信息汇总统计!O$2:O$500,MATCH(285,样本到样信息汇总统计!$AA$2:$AA$500,0)),"")</f>
        <v/>
      </c>
      <c r="P286" s="4" t="str">
        <f>IFERROR(INDEX(样本到样信息汇总统计!P$2:P$500,MATCH(285,样本到样信息汇总统计!$AA$2:$AA$500,0)),"")</f>
        <v/>
      </c>
      <c r="Q286" s="4" t="str">
        <f>IFERROR(INDEX(样本到样信息汇总统计!Q$2:Q$500,MATCH(285,样本到样信息汇总统计!$AA$2:$AA$500,0)),"")</f>
        <v/>
      </c>
      <c r="R286" s="4" t="str">
        <f>IFERROR(INDEX(样本到样信息汇总统计!R$2:R$500,MATCH(285,样本到样信息汇总统计!$AA$2:$AA$500,0)),"")</f>
        <v/>
      </c>
      <c r="S286" s="4" t="str">
        <f>IFERROR(INDEX(样本到样信息汇总统计!S$2:S$500,MATCH(285,样本到样信息汇总统计!$AA$2:$AA$500,0)),"")</f>
        <v/>
      </c>
      <c r="T286" s="4" t="str">
        <f>IFERROR(INDEX(样本到样信息汇总统计!T$2:T$500,MATCH(285,样本到样信息汇总统计!$AA$2:$AA$500,0)),"")</f>
        <v/>
      </c>
      <c r="U286" s="4" t="str">
        <f>IFERROR(INDEX(样本到样信息汇总统计!U$2:U$500,MATCH(285,样本到样信息汇总统计!$AA$2:$AA$500,0)),"")</f>
        <v/>
      </c>
      <c r="V286" s="4" t="str">
        <f>IFERROR(INDEX(样本到样信息汇总统计!V$2:V$500,MATCH(285,样本到样信息汇总统计!$AA$2:$AA$500,0)),"")</f>
        <v/>
      </c>
      <c r="W286" s="4" t="str">
        <f>IFERROR(INDEX(样本到样信息汇总统计!W$2:W$500,MATCH(285,样本到样信息汇总统计!$AA$2:$AA$500,0)),"")</f>
        <v/>
      </c>
    </row>
    <row r="287" ht="14.5" spans="1:23">
      <c r="A287" s="8" t="str">
        <f>IFERROR(INDEX(样本到样信息汇总统计!A$2:A$500,MATCH(286,样本到样信息汇总统计!$AA$2:$AA$500,0)),"")</f>
        <v/>
      </c>
      <c r="B287" s="8" t="str">
        <f>IFERROR(INDEX(样本到样信息汇总统计!B$2:B$500,MATCH(286,样本到样信息汇总统计!$AA$2:$AA$500,0)),"")</f>
        <v/>
      </c>
      <c r="C287" s="8" t="str">
        <f>IFERROR(INDEX(样本到样信息汇总统计!C$2:C$500,MATCH(286,样本到样信息汇总统计!$AA$2:$AA$500,0)),"")</f>
        <v/>
      </c>
      <c r="D287" s="8" t="str">
        <f>IFERROR(INDEX(样本到样信息汇总统计!D$2:D$500,MATCH(286,样本到样信息汇总统计!$AA$2:$AA$500,0)),"")</f>
        <v/>
      </c>
      <c r="E287" s="8" t="str">
        <f>IFERROR(INDEX(样本到样信息汇总统计!E$2:E$500,MATCH(286,样本到样信息汇总统计!$AA$2:$AA$500,0)),"")</f>
        <v/>
      </c>
      <c r="F287" s="8" t="str">
        <f>IFERROR(INDEX(样本到样信息汇总统计!F$2:F$500,MATCH(286,样本到样信息汇总统计!$AA$2:$AA$500,0)),"")</f>
        <v/>
      </c>
      <c r="G287" s="8" t="str">
        <f>IFERROR(INDEX(样本到样信息汇总统计!G$2:G$500,MATCH(286,样本到样信息汇总统计!$AA$2:$AA$500,0)),"")</f>
        <v/>
      </c>
      <c r="H287" s="8" t="str">
        <f>IFERROR(INDEX(样本到样信息汇总统计!H$2:H$500,MATCH(286,样本到样信息汇总统计!$AA$2:$AA$500,0)),"")</f>
        <v/>
      </c>
      <c r="I287" s="8" t="str">
        <f>IFERROR(INDEX(样本到样信息汇总统计!I$2:I$500,MATCH(286,样本到样信息汇总统计!$AA$2:$AA$500,0)),"")</f>
        <v/>
      </c>
      <c r="J287" s="8" t="str">
        <f>IFERROR(INDEX(样本到样信息汇总统计!J$2:J$500,MATCH(286,样本到样信息汇总统计!$AA$2:$AA$500,0)),"")</f>
        <v/>
      </c>
      <c r="K287" s="8" t="str">
        <f>IFERROR(INDEX(样本到样信息汇总统计!K$2:K$500,MATCH(286,样本到样信息汇总统计!$AA$2:$AA$500,0)),"")</f>
        <v/>
      </c>
      <c r="L287" s="8" t="str">
        <f>IFERROR(INDEX(样本到样信息汇总统计!L$2:L$500,MATCH(286,样本到样信息汇总统计!$AA$2:$AA$500,0)),"")</f>
        <v/>
      </c>
      <c r="M287" s="8" t="str">
        <f>IFERROR(INDEX(样本到样信息汇总统计!M$2:M$500,MATCH(286,样本到样信息汇总统计!$AA$2:$AA$500,0)),"")</f>
        <v/>
      </c>
      <c r="N287" s="8" t="str">
        <f>IFERROR(INDEX(样本到样信息汇总统计!N$2:N$500,MATCH(286,样本到样信息汇总统计!$AA$2:$AA$500,0)),"")</f>
        <v/>
      </c>
      <c r="O287" s="8" t="str">
        <f>IFERROR(INDEX(样本到样信息汇总统计!O$2:O$500,MATCH(286,样本到样信息汇总统计!$AA$2:$AA$500,0)),"")</f>
        <v/>
      </c>
      <c r="P287" s="8" t="str">
        <f>IFERROR(INDEX(样本到样信息汇总统计!P$2:P$500,MATCH(286,样本到样信息汇总统计!$AA$2:$AA$500,0)),"")</f>
        <v/>
      </c>
      <c r="Q287" s="8" t="str">
        <f>IFERROR(INDEX(样本到样信息汇总统计!Q$2:Q$500,MATCH(286,样本到样信息汇总统计!$AA$2:$AA$500,0)),"")</f>
        <v/>
      </c>
      <c r="R287" s="8" t="str">
        <f>IFERROR(INDEX(样本到样信息汇总统计!R$2:R$500,MATCH(286,样本到样信息汇总统计!$AA$2:$AA$500,0)),"")</f>
        <v/>
      </c>
      <c r="S287" s="8" t="str">
        <f>IFERROR(INDEX(样本到样信息汇总统计!S$2:S$500,MATCH(286,样本到样信息汇总统计!$AA$2:$AA$500,0)),"")</f>
        <v/>
      </c>
      <c r="T287" s="8" t="str">
        <f>IFERROR(INDEX(样本到样信息汇总统计!T$2:T$500,MATCH(286,样本到样信息汇总统计!$AA$2:$AA$500,0)),"")</f>
        <v/>
      </c>
      <c r="U287" s="8" t="str">
        <f>IFERROR(INDEX(样本到样信息汇总统计!U$2:U$500,MATCH(286,样本到样信息汇总统计!$AA$2:$AA$500,0)),"")</f>
        <v/>
      </c>
      <c r="V287" s="8" t="str">
        <f>IFERROR(INDEX(样本到样信息汇总统计!V$2:V$500,MATCH(286,样本到样信息汇总统计!$AA$2:$AA$500,0)),"")</f>
        <v/>
      </c>
      <c r="W287" s="8" t="str">
        <f>IFERROR(INDEX(样本到样信息汇总统计!W$2:W$500,MATCH(286,样本到样信息汇总统计!$AA$2:$AA$500,0)),"")</f>
        <v/>
      </c>
    </row>
    <row r="288" ht="14.5" spans="1:23">
      <c r="A288" s="4" t="str">
        <f>IFERROR(INDEX(样本到样信息汇总统计!A$2:A$500,MATCH(287,样本到样信息汇总统计!$AA$2:$AA$500,0)),"")</f>
        <v/>
      </c>
      <c r="B288" s="4" t="str">
        <f>IFERROR(INDEX(样本到样信息汇总统计!B$2:B$500,MATCH(287,样本到样信息汇总统计!$AA$2:$AA$500,0)),"")</f>
        <v/>
      </c>
      <c r="C288" s="4" t="str">
        <f>IFERROR(INDEX(样本到样信息汇总统计!C$2:C$500,MATCH(287,样本到样信息汇总统计!$AA$2:$AA$500,0)),"")</f>
        <v/>
      </c>
      <c r="D288" s="4" t="str">
        <f>IFERROR(INDEX(样本到样信息汇总统计!D$2:D$500,MATCH(287,样本到样信息汇总统计!$AA$2:$AA$500,0)),"")</f>
        <v/>
      </c>
      <c r="E288" s="4" t="str">
        <f>IFERROR(INDEX(样本到样信息汇总统计!E$2:E$500,MATCH(287,样本到样信息汇总统计!$AA$2:$AA$500,0)),"")</f>
        <v/>
      </c>
      <c r="F288" s="4" t="str">
        <f>IFERROR(INDEX(样本到样信息汇总统计!F$2:F$500,MATCH(287,样本到样信息汇总统计!$AA$2:$AA$500,0)),"")</f>
        <v/>
      </c>
      <c r="G288" s="4" t="str">
        <f>IFERROR(INDEX(样本到样信息汇总统计!G$2:G$500,MATCH(287,样本到样信息汇总统计!$AA$2:$AA$500,0)),"")</f>
        <v/>
      </c>
      <c r="H288" s="4" t="str">
        <f>IFERROR(INDEX(样本到样信息汇总统计!H$2:H$500,MATCH(287,样本到样信息汇总统计!$AA$2:$AA$500,0)),"")</f>
        <v/>
      </c>
      <c r="I288" s="4" t="str">
        <f>IFERROR(INDEX(样本到样信息汇总统计!I$2:I$500,MATCH(287,样本到样信息汇总统计!$AA$2:$AA$500,0)),"")</f>
        <v/>
      </c>
      <c r="J288" s="4" t="str">
        <f>IFERROR(INDEX(样本到样信息汇总统计!J$2:J$500,MATCH(287,样本到样信息汇总统计!$AA$2:$AA$500,0)),"")</f>
        <v/>
      </c>
      <c r="K288" s="4" t="str">
        <f>IFERROR(INDEX(样本到样信息汇总统计!K$2:K$500,MATCH(287,样本到样信息汇总统计!$AA$2:$AA$500,0)),"")</f>
        <v/>
      </c>
      <c r="L288" s="4" t="str">
        <f>IFERROR(INDEX(样本到样信息汇总统计!L$2:L$500,MATCH(287,样本到样信息汇总统计!$AA$2:$AA$500,0)),"")</f>
        <v/>
      </c>
      <c r="M288" s="4" t="str">
        <f>IFERROR(INDEX(样本到样信息汇总统计!M$2:M$500,MATCH(287,样本到样信息汇总统计!$AA$2:$AA$500,0)),"")</f>
        <v/>
      </c>
      <c r="N288" s="4" t="str">
        <f>IFERROR(INDEX(样本到样信息汇总统计!N$2:N$500,MATCH(287,样本到样信息汇总统计!$AA$2:$AA$500,0)),"")</f>
        <v/>
      </c>
      <c r="O288" s="4" t="str">
        <f>IFERROR(INDEX(样本到样信息汇总统计!O$2:O$500,MATCH(287,样本到样信息汇总统计!$AA$2:$AA$500,0)),"")</f>
        <v/>
      </c>
      <c r="P288" s="4" t="str">
        <f>IFERROR(INDEX(样本到样信息汇总统计!P$2:P$500,MATCH(287,样本到样信息汇总统计!$AA$2:$AA$500,0)),"")</f>
        <v/>
      </c>
      <c r="Q288" s="4" t="str">
        <f>IFERROR(INDEX(样本到样信息汇总统计!Q$2:Q$500,MATCH(287,样本到样信息汇总统计!$AA$2:$AA$500,0)),"")</f>
        <v/>
      </c>
      <c r="R288" s="4" t="str">
        <f>IFERROR(INDEX(样本到样信息汇总统计!R$2:R$500,MATCH(287,样本到样信息汇总统计!$AA$2:$AA$500,0)),"")</f>
        <v/>
      </c>
      <c r="S288" s="4" t="str">
        <f>IFERROR(INDEX(样本到样信息汇总统计!S$2:S$500,MATCH(287,样本到样信息汇总统计!$AA$2:$AA$500,0)),"")</f>
        <v/>
      </c>
      <c r="T288" s="4" t="str">
        <f>IFERROR(INDEX(样本到样信息汇总统计!T$2:T$500,MATCH(287,样本到样信息汇总统计!$AA$2:$AA$500,0)),"")</f>
        <v/>
      </c>
      <c r="U288" s="4" t="str">
        <f>IFERROR(INDEX(样本到样信息汇总统计!U$2:U$500,MATCH(287,样本到样信息汇总统计!$AA$2:$AA$500,0)),"")</f>
        <v/>
      </c>
      <c r="V288" s="4" t="str">
        <f>IFERROR(INDEX(样本到样信息汇总统计!V$2:V$500,MATCH(287,样本到样信息汇总统计!$AA$2:$AA$500,0)),"")</f>
        <v/>
      </c>
      <c r="W288" s="4" t="str">
        <f>IFERROR(INDEX(样本到样信息汇总统计!W$2:W$500,MATCH(287,样本到样信息汇总统计!$AA$2:$AA$500,0)),"")</f>
        <v/>
      </c>
    </row>
    <row r="289" ht="14.5" spans="1:23">
      <c r="A289" s="8" t="str">
        <f>IFERROR(INDEX(样本到样信息汇总统计!A$2:A$500,MATCH(288,样本到样信息汇总统计!$AA$2:$AA$500,0)),"")</f>
        <v/>
      </c>
      <c r="B289" s="8" t="str">
        <f>IFERROR(INDEX(样本到样信息汇总统计!B$2:B$500,MATCH(288,样本到样信息汇总统计!$AA$2:$AA$500,0)),"")</f>
        <v/>
      </c>
      <c r="C289" s="8" t="str">
        <f>IFERROR(INDEX(样本到样信息汇总统计!C$2:C$500,MATCH(288,样本到样信息汇总统计!$AA$2:$AA$500,0)),"")</f>
        <v/>
      </c>
      <c r="D289" s="8" t="str">
        <f>IFERROR(INDEX(样本到样信息汇总统计!D$2:D$500,MATCH(288,样本到样信息汇总统计!$AA$2:$AA$500,0)),"")</f>
        <v/>
      </c>
      <c r="E289" s="8" t="str">
        <f>IFERROR(INDEX(样本到样信息汇总统计!E$2:E$500,MATCH(288,样本到样信息汇总统计!$AA$2:$AA$500,0)),"")</f>
        <v/>
      </c>
      <c r="F289" s="8" t="str">
        <f>IFERROR(INDEX(样本到样信息汇总统计!F$2:F$500,MATCH(288,样本到样信息汇总统计!$AA$2:$AA$500,0)),"")</f>
        <v/>
      </c>
      <c r="G289" s="8" t="str">
        <f>IFERROR(INDEX(样本到样信息汇总统计!G$2:G$500,MATCH(288,样本到样信息汇总统计!$AA$2:$AA$500,0)),"")</f>
        <v/>
      </c>
      <c r="H289" s="8" t="str">
        <f>IFERROR(INDEX(样本到样信息汇总统计!H$2:H$500,MATCH(288,样本到样信息汇总统计!$AA$2:$AA$500,0)),"")</f>
        <v/>
      </c>
      <c r="I289" s="8" t="str">
        <f>IFERROR(INDEX(样本到样信息汇总统计!I$2:I$500,MATCH(288,样本到样信息汇总统计!$AA$2:$AA$500,0)),"")</f>
        <v/>
      </c>
      <c r="J289" s="8" t="str">
        <f>IFERROR(INDEX(样本到样信息汇总统计!J$2:J$500,MATCH(288,样本到样信息汇总统计!$AA$2:$AA$500,0)),"")</f>
        <v/>
      </c>
      <c r="K289" s="8" t="str">
        <f>IFERROR(INDEX(样本到样信息汇总统计!K$2:K$500,MATCH(288,样本到样信息汇总统计!$AA$2:$AA$500,0)),"")</f>
        <v/>
      </c>
      <c r="L289" s="8" t="str">
        <f>IFERROR(INDEX(样本到样信息汇总统计!L$2:L$500,MATCH(288,样本到样信息汇总统计!$AA$2:$AA$500,0)),"")</f>
        <v/>
      </c>
      <c r="M289" s="8" t="str">
        <f>IFERROR(INDEX(样本到样信息汇总统计!M$2:M$500,MATCH(288,样本到样信息汇总统计!$AA$2:$AA$500,0)),"")</f>
        <v/>
      </c>
      <c r="N289" s="8" t="str">
        <f>IFERROR(INDEX(样本到样信息汇总统计!N$2:N$500,MATCH(288,样本到样信息汇总统计!$AA$2:$AA$500,0)),"")</f>
        <v/>
      </c>
      <c r="O289" s="8" t="str">
        <f>IFERROR(INDEX(样本到样信息汇总统计!O$2:O$500,MATCH(288,样本到样信息汇总统计!$AA$2:$AA$500,0)),"")</f>
        <v/>
      </c>
      <c r="P289" s="8" t="str">
        <f>IFERROR(INDEX(样本到样信息汇总统计!P$2:P$500,MATCH(288,样本到样信息汇总统计!$AA$2:$AA$500,0)),"")</f>
        <v/>
      </c>
      <c r="Q289" s="8" t="str">
        <f>IFERROR(INDEX(样本到样信息汇总统计!Q$2:Q$500,MATCH(288,样本到样信息汇总统计!$AA$2:$AA$500,0)),"")</f>
        <v/>
      </c>
      <c r="R289" s="8" t="str">
        <f>IFERROR(INDEX(样本到样信息汇总统计!R$2:R$500,MATCH(288,样本到样信息汇总统计!$AA$2:$AA$500,0)),"")</f>
        <v/>
      </c>
      <c r="S289" s="8" t="str">
        <f>IFERROR(INDEX(样本到样信息汇总统计!S$2:S$500,MATCH(288,样本到样信息汇总统计!$AA$2:$AA$500,0)),"")</f>
        <v/>
      </c>
      <c r="T289" s="8" t="str">
        <f>IFERROR(INDEX(样本到样信息汇总统计!T$2:T$500,MATCH(288,样本到样信息汇总统计!$AA$2:$AA$500,0)),"")</f>
        <v/>
      </c>
      <c r="U289" s="8" t="str">
        <f>IFERROR(INDEX(样本到样信息汇总统计!U$2:U$500,MATCH(288,样本到样信息汇总统计!$AA$2:$AA$500,0)),"")</f>
        <v/>
      </c>
      <c r="V289" s="8" t="str">
        <f>IFERROR(INDEX(样本到样信息汇总统计!V$2:V$500,MATCH(288,样本到样信息汇总统计!$AA$2:$AA$500,0)),"")</f>
        <v/>
      </c>
      <c r="W289" s="8" t="str">
        <f>IFERROR(INDEX(样本到样信息汇总统计!W$2:W$500,MATCH(288,样本到样信息汇总统计!$AA$2:$AA$500,0)),"")</f>
        <v/>
      </c>
    </row>
    <row r="290" ht="14.5" spans="1:23">
      <c r="A290" s="4" t="str">
        <f>IFERROR(INDEX(样本到样信息汇总统计!A$2:A$500,MATCH(289,样本到样信息汇总统计!$AA$2:$AA$500,0)),"")</f>
        <v/>
      </c>
      <c r="B290" s="4" t="str">
        <f>IFERROR(INDEX(样本到样信息汇总统计!B$2:B$500,MATCH(289,样本到样信息汇总统计!$AA$2:$AA$500,0)),"")</f>
        <v/>
      </c>
      <c r="C290" s="4" t="str">
        <f>IFERROR(INDEX(样本到样信息汇总统计!C$2:C$500,MATCH(289,样本到样信息汇总统计!$AA$2:$AA$500,0)),"")</f>
        <v/>
      </c>
      <c r="D290" s="4" t="str">
        <f>IFERROR(INDEX(样本到样信息汇总统计!D$2:D$500,MATCH(289,样本到样信息汇总统计!$AA$2:$AA$500,0)),"")</f>
        <v/>
      </c>
      <c r="E290" s="4" t="str">
        <f>IFERROR(INDEX(样本到样信息汇总统计!E$2:E$500,MATCH(289,样本到样信息汇总统计!$AA$2:$AA$500,0)),"")</f>
        <v/>
      </c>
      <c r="F290" s="4" t="str">
        <f>IFERROR(INDEX(样本到样信息汇总统计!F$2:F$500,MATCH(289,样本到样信息汇总统计!$AA$2:$AA$500,0)),"")</f>
        <v/>
      </c>
      <c r="G290" s="4" t="str">
        <f>IFERROR(INDEX(样本到样信息汇总统计!G$2:G$500,MATCH(289,样本到样信息汇总统计!$AA$2:$AA$500,0)),"")</f>
        <v/>
      </c>
      <c r="H290" s="4" t="str">
        <f>IFERROR(INDEX(样本到样信息汇总统计!H$2:H$500,MATCH(289,样本到样信息汇总统计!$AA$2:$AA$500,0)),"")</f>
        <v/>
      </c>
      <c r="I290" s="4" t="str">
        <f>IFERROR(INDEX(样本到样信息汇总统计!I$2:I$500,MATCH(289,样本到样信息汇总统计!$AA$2:$AA$500,0)),"")</f>
        <v/>
      </c>
      <c r="J290" s="4" t="str">
        <f>IFERROR(INDEX(样本到样信息汇总统计!J$2:J$500,MATCH(289,样本到样信息汇总统计!$AA$2:$AA$500,0)),"")</f>
        <v/>
      </c>
      <c r="K290" s="4" t="str">
        <f>IFERROR(INDEX(样本到样信息汇总统计!K$2:K$500,MATCH(289,样本到样信息汇总统计!$AA$2:$AA$500,0)),"")</f>
        <v/>
      </c>
      <c r="L290" s="4" t="str">
        <f>IFERROR(INDEX(样本到样信息汇总统计!L$2:L$500,MATCH(289,样本到样信息汇总统计!$AA$2:$AA$500,0)),"")</f>
        <v/>
      </c>
      <c r="M290" s="4" t="str">
        <f>IFERROR(INDEX(样本到样信息汇总统计!M$2:M$500,MATCH(289,样本到样信息汇总统计!$AA$2:$AA$500,0)),"")</f>
        <v/>
      </c>
      <c r="N290" s="4" t="str">
        <f>IFERROR(INDEX(样本到样信息汇总统计!N$2:N$500,MATCH(289,样本到样信息汇总统计!$AA$2:$AA$500,0)),"")</f>
        <v/>
      </c>
      <c r="O290" s="4" t="str">
        <f>IFERROR(INDEX(样本到样信息汇总统计!O$2:O$500,MATCH(289,样本到样信息汇总统计!$AA$2:$AA$500,0)),"")</f>
        <v/>
      </c>
      <c r="P290" s="4" t="str">
        <f>IFERROR(INDEX(样本到样信息汇总统计!P$2:P$500,MATCH(289,样本到样信息汇总统计!$AA$2:$AA$500,0)),"")</f>
        <v/>
      </c>
      <c r="Q290" s="4" t="str">
        <f>IFERROR(INDEX(样本到样信息汇总统计!Q$2:Q$500,MATCH(289,样本到样信息汇总统计!$AA$2:$AA$500,0)),"")</f>
        <v/>
      </c>
      <c r="R290" s="4" t="str">
        <f>IFERROR(INDEX(样本到样信息汇总统计!R$2:R$500,MATCH(289,样本到样信息汇总统计!$AA$2:$AA$500,0)),"")</f>
        <v/>
      </c>
      <c r="S290" s="4" t="str">
        <f>IFERROR(INDEX(样本到样信息汇总统计!S$2:S$500,MATCH(289,样本到样信息汇总统计!$AA$2:$AA$500,0)),"")</f>
        <v/>
      </c>
      <c r="T290" s="4" t="str">
        <f>IFERROR(INDEX(样本到样信息汇总统计!T$2:T$500,MATCH(289,样本到样信息汇总统计!$AA$2:$AA$500,0)),"")</f>
        <v/>
      </c>
      <c r="U290" s="4" t="str">
        <f>IFERROR(INDEX(样本到样信息汇总统计!U$2:U$500,MATCH(289,样本到样信息汇总统计!$AA$2:$AA$500,0)),"")</f>
        <v/>
      </c>
      <c r="V290" s="4" t="str">
        <f>IFERROR(INDEX(样本到样信息汇总统计!V$2:V$500,MATCH(289,样本到样信息汇总统计!$AA$2:$AA$500,0)),"")</f>
        <v/>
      </c>
      <c r="W290" s="4" t="str">
        <f>IFERROR(INDEX(样本到样信息汇总统计!W$2:W$500,MATCH(289,样本到样信息汇总统计!$AA$2:$AA$500,0)),"")</f>
        <v/>
      </c>
    </row>
    <row r="291" ht="14.5" spans="1:23">
      <c r="A291" s="8" t="str">
        <f>IFERROR(INDEX(样本到样信息汇总统计!A$2:A$500,MATCH(290,样本到样信息汇总统计!$AA$2:$AA$500,0)),"")</f>
        <v/>
      </c>
      <c r="B291" s="8" t="str">
        <f>IFERROR(INDEX(样本到样信息汇总统计!B$2:B$500,MATCH(290,样本到样信息汇总统计!$AA$2:$AA$500,0)),"")</f>
        <v/>
      </c>
      <c r="C291" s="8" t="str">
        <f>IFERROR(INDEX(样本到样信息汇总统计!C$2:C$500,MATCH(290,样本到样信息汇总统计!$AA$2:$AA$500,0)),"")</f>
        <v/>
      </c>
      <c r="D291" s="8" t="str">
        <f>IFERROR(INDEX(样本到样信息汇总统计!D$2:D$500,MATCH(290,样本到样信息汇总统计!$AA$2:$AA$500,0)),"")</f>
        <v/>
      </c>
      <c r="E291" s="8" t="str">
        <f>IFERROR(INDEX(样本到样信息汇总统计!E$2:E$500,MATCH(290,样本到样信息汇总统计!$AA$2:$AA$500,0)),"")</f>
        <v/>
      </c>
      <c r="F291" s="8" t="str">
        <f>IFERROR(INDEX(样本到样信息汇总统计!F$2:F$500,MATCH(290,样本到样信息汇总统计!$AA$2:$AA$500,0)),"")</f>
        <v/>
      </c>
      <c r="G291" s="8" t="str">
        <f>IFERROR(INDEX(样本到样信息汇总统计!G$2:G$500,MATCH(290,样本到样信息汇总统计!$AA$2:$AA$500,0)),"")</f>
        <v/>
      </c>
      <c r="H291" s="8" t="str">
        <f>IFERROR(INDEX(样本到样信息汇总统计!H$2:H$500,MATCH(290,样本到样信息汇总统计!$AA$2:$AA$500,0)),"")</f>
        <v/>
      </c>
      <c r="I291" s="8" t="str">
        <f>IFERROR(INDEX(样本到样信息汇总统计!I$2:I$500,MATCH(290,样本到样信息汇总统计!$AA$2:$AA$500,0)),"")</f>
        <v/>
      </c>
      <c r="J291" s="8" t="str">
        <f>IFERROR(INDEX(样本到样信息汇总统计!J$2:J$500,MATCH(290,样本到样信息汇总统计!$AA$2:$AA$500,0)),"")</f>
        <v/>
      </c>
      <c r="K291" s="8" t="str">
        <f>IFERROR(INDEX(样本到样信息汇总统计!K$2:K$500,MATCH(290,样本到样信息汇总统计!$AA$2:$AA$500,0)),"")</f>
        <v/>
      </c>
      <c r="L291" s="8" t="str">
        <f>IFERROR(INDEX(样本到样信息汇总统计!L$2:L$500,MATCH(290,样本到样信息汇总统计!$AA$2:$AA$500,0)),"")</f>
        <v/>
      </c>
      <c r="M291" s="8" t="str">
        <f>IFERROR(INDEX(样本到样信息汇总统计!M$2:M$500,MATCH(290,样本到样信息汇总统计!$AA$2:$AA$500,0)),"")</f>
        <v/>
      </c>
      <c r="N291" s="8" t="str">
        <f>IFERROR(INDEX(样本到样信息汇总统计!N$2:N$500,MATCH(290,样本到样信息汇总统计!$AA$2:$AA$500,0)),"")</f>
        <v/>
      </c>
      <c r="O291" s="8" t="str">
        <f>IFERROR(INDEX(样本到样信息汇总统计!O$2:O$500,MATCH(290,样本到样信息汇总统计!$AA$2:$AA$500,0)),"")</f>
        <v/>
      </c>
      <c r="P291" s="8" t="str">
        <f>IFERROR(INDEX(样本到样信息汇总统计!P$2:P$500,MATCH(290,样本到样信息汇总统计!$AA$2:$AA$500,0)),"")</f>
        <v/>
      </c>
      <c r="Q291" s="8" t="str">
        <f>IFERROR(INDEX(样本到样信息汇总统计!Q$2:Q$500,MATCH(290,样本到样信息汇总统计!$AA$2:$AA$500,0)),"")</f>
        <v/>
      </c>
      <c r="R291" s="8" t="str">
        <f>IFERROR(INDEX(样本到样信息汇总统计!R$2:R$500,MATCH(290,样本到样信息汇总统计!$AA$2:$AA$500,0)),"")</f>
        <v/>
      </c>
      <c r="S291" s="8" t="str">
        <f>IFERROR(INDEX(样本到样信息汇总统计!S$2:S$500,MATCH(290,样本到样信息汇总统计!$AA$2:$AA$500,0)),"")</f>
        <v/>
      </c>
      <c r="T291" s="8" t="str">
        <f>IFERROR(INDEX(样本到样信息汇总统计!T$2:T$500,MATCH(290,样本到样信息汇总统计!$AA$2:$AA$500,0)),"")</f>
        <v/>
      </c>
      <c r="U291" s="8" t="str">
        <f>IFERROR(INDEX(样本到样信息汇总统计!U$2:U$500,MATCH(290,样本到样信息汇总统计!$AA$2:$AA$500,0)),"")</f>
        <v/>
      </c>
      <c r="V291" s="8" t="str">
        <f>IFERROR(INDEX(样本到样信息汇总统计!V$2:V$500,MATCH(290,样本到样信息汇总统计!$AA$2:$AA$500,0)),"")</f>
        <v/>
      </c>
      <c r="W291" s="8" t="str">
        <f>IFERROR(INDEX(样本到样信息汇总统计!W$2:W$500,MATCH(290,样本到样信息汇总统计!$AA$2:$AA$500,0)),"")</f>
        <v/>
      </c>
    </row>
    <row r="292" ht="14.5" spans="1:23">
      <c r="A292" s="4" t="str">
        <f>IFERROR(INDEX(样本到样信息汇总统计!A$2:A$500,MATCH(291,样本到样信息汇总统计!$AA$2:$AA$500,0)),"")</f>
        <v/>
      </c>
      <c r="B292" s="4" t="str">
        <f>IFERROR(INDEX(样本到样信息汇总统计!B$2:B$500,MATCH(291,样本到样信息汇总统计!$AA$2:$AA$500,0)),"")</f>
        <v/>
      </c>
      <c r="C292" s="4" t="str">
        <f>IFERROR(INDEX(样本到样信息汇总统计!C$2:C$500,MATCH(291,样本到样信息汇总统计!$AA$2:$AA$500,0)),"")</f>
        <v/>
      </c>
      <c r="D292" s="4" t="str">
        <f>IFERROR(INDEX(样本到样信息汇总统计!D$2:D$500,MATCH(291,样本到样信息汇总统计!$AA$2:$AA$500,0)),"")</f>
        <v/>
      </c>
      <c r="E292" s="4" t="str">
        <f>IFERROR(INDEX(样本到样信息汇总统计!E$2:E$500,MATCH(291,样本到样信息汇总统计!$AA$2:$AA$500,0)),"")</f>
        <v/>
      </c>
      <c r="F292" s="4" t="str">
        <f>IFERROR(INDEX(样本到样信息汇总统计!F$2:F$500,MATCH(291,样本到样信息汇总统计!$AA$2:$AA$500,0)),"")</f>
        <v/>
      </c>
      <c r="G292" s="4" t="str">
        <f>IFERROR(INDEX(样本到样信息汇总统计!G$2:G$500,MATCH(291,样本到样信息汇总统计!$AA$2:$AA$500,0)),"")</f>
        <v/>
      </c>
      <c r="H292" s="4" t="str">
        <f>IFERROR(INDEX(样本到样信息汇总统计!H$2:H$500,MATCH(291,样本到样信息汇总统计!$AA$2:$AA$500,0)),"")</f>
        <v/>
      </c>
      <c r="I292" s="4" t="str">
        <f>IFERROR(INDEX(样本到样信息汇总统计!I$2:I$500,MATCH(291,样本到样信息汇总统计!$AA$2:$AA$500,0)),"")</f>
        <v/>
      </c>
      <c r="J292" s="4" t="str">
        <f>IFERROR(INDEX(样本到样信息汇总统计!J$2:J$500,MATCH(291,样本到样信息汇总统计!$AA$2:$AA$500,0)),"")</f>
        <v/>
      </c>
      <c r="K292" s="4" t="str">
        <f>IFERROR(INDEX(样本到样信息汇总统计!K$2:K$500,MATCH(291,样本到样信息汇总统计!$AA$2:$AA$500,0)),"")</f>
        <v/>
      </c>
      <c r="L292" s="4" t="str">
        <f>IFERROR(INDEX(样本到样信息汇总统计!L$2:L$500,MATCH(291,样本到样信息汇总统计!$AA$2:$AA$500,0)),"")</f>
        <v/>
      </c>
      <c r="M292" s="4" t="str">
        <f>IFERROR(INDEX(样本到样信息汇总统计!M$2:M$500,MATCH(291,样本到样信息汇总统计!$AA$2:$AA$500,0)),"")</f>
        <v/>
      </c>
      <c r="N292" s="4" t="str">
        <f>IFERROR(INDEX(样本到样信息汇总统计!N$2:N$500,MATCH(291,样本到样信息汇总统计!$AA$2:$AA$500,0)),"")</f>
        <v/>
      </c>
      <c r="O292" s="4" t="str">
        <f>IFERROR(INDEX(样本到样信息汇总统计!O$2:O$500,MATCH(291,样本到样信息汇总统计!$AA$2:$AA$500,0)),"")</f>
        <v/>
      </c>
      <c r="P292" s="4" t="str">
        <f>IFERROR(INDEX(样本到样信息汇总统计!P$2:P$500,MATCH(291,样本到样信息汇总统计!$AA$2:$AA$500,0)),"")</f>
        <v/>
      </c>
      <c r="Q292" s="4" t="str">
        <f>IFERROR(INDEX(样本到样信息汇总统计!Q$2:Q$500,MATCH(291,样本到样信息汇总统计!$AA$2:$AA$500,0)),"")</f>
        <v/>
      </c>
      <c r="R292" s="4" t="str">
        <f>IFERROR(INDEX(样本到样信息汇总统计!R$2:R$500,MATCH(291,样本到样信息汇总统计!$AA$2:$AA$500,0)),"")</f>
        <v/>
      </c>
      <c r="S292" s="4" t="str">
        <f>IFERROR(INDEX(样本到样信息汇总统计!S$2:S$500,MATCH(291,样本到样信息汇总统计!$AA$2:$AA$500,0)),"")</f>
        <v/>
      </c>
      <c r="T292" s="4" t="str">
        <f>IFERROR(INDEX(样本到样信息汇总统计!T$2:T$500,MATCH(291,样本到样信息汇总统计!$AA$2:$AA$500,0)),"")</f>
        <v/>
      </c>
      <c r="U292" s="4" t="str">
        <f>IFERROR(INDEX(样本到样信息汇总统计!U$2:U$500,MATCH(291,样本到样信息汇总统计!$AA$2:$AA$500,0)),"")</f>
        <v/>
      </c>
      <c r="V292" s="4" t="str">
        <f>IFERROR(INDEX(样本到样信息汇总统计!V$2:V$500,MATCH(291,样本到样信息汇总统计!$AA$2:$AA$500,0)),"")</f>
        <v/>
      </c>
      <c r="W292" s="4" t="str">
        <f>IFERROR(INDEX(样本到样信息汇总统计!W$2:W$500,MATCH(291,样本到样信息汇总统计!$AA$2:$AA$500,0)),"")</f>
        <v/>
      </c>
    </row>
    <row r="293" ht="14.5" spans="1:23">
      <c r="A293" s="8" t="str">
        <f>IFERROR(INDEX(样本到样信息汇总统计!A$2:A$500,MATCH(292,样本到样信息汇总统计!$AA$2:$AA$500,0)),"")</f>
        <v/>
      </c>
      <c r="B293" s="8" t="str">
        <f>IFERROR(INDEX(样本到样信息汇总统计!B$2:B$500,MATCH(292,样本到样信息汇总统计!$AA$2:$AA$500,0)),"")</f>
        <v/>
      </c>
      <c r="C293" s="8" t="str">
        <f>IFERROR(INDEX(样本到样信息汇总统计!C$2:C$500,MATCH(292,样本到样信息汇总统计!$AA$2:$AA$500,0)),"")</f>
        <v/>
      </c>
      <c r="D293" s="8" t="str">
        <f>IFERROR(INDEX(样本到样信息汇总统计!D$2:D$500,MATCH(292,样本到样信息汇总统计!$AA$2:$AA$500,0)),"")</f>
        <v/>
      </c>
      <c r="E293" s="8" t="str">
        <f>IFERROR(INDEX(样本到样信息汇总统计!E$2:E$500,MATCH(292,样本到样信息汇总统计!$AA$2:$AA$500,0)),"")</f>
        <v/>
      </c>
      <c r="F293" s="8" t="str">
        <f>IFERROR(INDEX(样本到样信息汇总统计!F$2:F$500,MATCH(292,样本到样信息汇总统计!$AA$2:$AA$500,0)),"")</f>
        <v/>
      </c>
      <c r="G293" s="8" t="str">
        <f>IFERROR(INDEX(样本到样信息汇总统计!G$2:G$500,MATCH(292,样本到样信息汇总统计!$AA$2:$AA$500,0)),"")</f>
        <v/>
      </c>
      <c r="H293" s="8" t="str">
        <f>IFERROR(INDEX(样本到样信息汇总统计!H$2:H$500,MATCH(292,样本到样信息汇总统计!$AA$2:$AA$500,0)),"")</f>
        <v/>
      </c>
      <c r="I293" s="8" t="str">
        <f>IFERROR(INDEX(样本到样信息汇总统计!I$2:I$500,MATCH(292,样本到样信息汇总统计!$AA$2:$AA$500,0)),"")</f>
        <v/>
      </c>
      <c r="J293" s="8" t="str">
        <f>IFERROR(INDEX(样本到样信息汇总统计!J$2:J$500,MATCH(292,样本到样信息汇总统计!$AA$2:$AA$500,0)),"")</f>
        <v/>
      </c>
      <c r="K293" s="8" t="str">
        <f>IFERROR(INDEX(样本到样信息汇总统计!K$2:K$500,MATCH(292,样本到样信息汇总统计!$AA$2:$AA$500,0)),"")</f>
        <v/>
      </c>
      <c r="L293" s="8" t="str">
        <f>IFERROR(INDEX(样本到样信息汇总统计!L$2:L$500,MATCH(292,样本到样信息汇总统计!$AA$2:$AA$500,0)),"")</f>
        <v/>
      </c>
      <c r="M293" s="8" t="str">
        <f>IFERROR(INDEX(样本到样信息汇总统计!M$2:M$500,MATCH(292,样本到样信息汇总统计!$AA$2:$AA$500,0)),"")</f>
        <v/>
      </c>
      <c r="N293" s="8" t="str">
        <f>IFERROR(INDEX(样本到样信息汇总统计!N$2:N$500,MATCH(292,样本到样信息汇总统计!$AA$2:$AA$500,0)),"")</f>
        <v/>
      </c>
      <c r="O293" s="8" t="str">
        <f>IFERROR(INDEX(样本到样信息汇总统计!O$2:O$500,MATCH(292,样本到样信息汇总统计!$AA$2:$AA$500,0)),"")</f>
        <v/>
      </c>
      <c r="P293" s="8" t="str">
        <f>IFERROR(INDEX(样本到样信息汇总统计!P$2:P$500,MATCH(292,样本到样信息汇总统计!$AA$2:$AA$500,0)),"")</f>
        <v/>
      </c>
      <c r="Q293" s="8" t="str">
        <f>IFERROR(INDEX(样本到样信息汇总统计!Q$2:Q$500,MATCH(292,样本到样信息汇总统计!$AA$2:$AA$500,0)),"")</f>
        <v/>
      </c>
      <c r="R293" s="8" t="str">
        <f>IFERROR(INDEX(样本到样信息汇总统计!R$2:R$500,MATCH(292,样本到样信息汇总统计!$AA$2:$AA$500,0)),"")</f>
        <v/>
      </c>
      <c r="S293" s="8" t="str">
        <f>IFERROR(INDEX(样本到样信息汇总统计!S$2:S$500,MATCH(292,样本到样信息汇总统计!$AA$2:$AA$500,0)),"")</f>
        <v/>
      </c>
      <c r="T293" s="8" t="str">
        <f>IFERROR(INDEX(样本到样信息汇总统计!T$2:T$500,MATCH(292,样本到样信息汇总统计!$AA$2:$AA$500,0)),"")</f>
        <v/>
      </c>
      <c r="U293" s="8" t="str">
        <f>IFERROR(INDEX(样本到样信息汇总统计!U$2:U$500,MATCH(292,样本到样信息汇总统计!$AA$2:$AA$500,0)),"")</f>
        <v/>
      </c>
      <c r="V293" s="8" t="str">
        <f>IFERROR(INDEX(样本到样信息汇总统计!V$2:V$500,MATCH(292,样本到样信息汇总统计!$AA$2:$AA$500,0)),"")</f>
        <v/>
      </c>
      <c r="W293" s="8" t="str">
        <f>IFERROR(INDEX(样本到样信息汇总统计!W$2:W$500,MATCH(292,样本到样信息汇总统计!$AA$2:$AA$500,0)),"")</f>
        <v/>
      </c>
    </row>
    <row r="294" ht="14.5" spans="1:23">
      <c r="A294" s="4" t="str">
        <f>IFERROR(INDEX(样本到样信息汇总统计!A$2:A$500,MATCH(293,样本到样信息汇总统计!$AA$2:$AA$500,0)),"")</f>
        <v/>
      </c>
      <c r="B294" s="4" t="str">
        <f>IFERROR(INDEX(样本到样信息汇总统计!B$2:B$500,MATCH(293,样本到样信息汇总统计!$AA$2:$AA$500,0)),"")</f>
        <v/>
      </c>
      <c r="C294" s="4" t="str">
        <f>IFERROR(INDEX(样本到样信息汇总统计!C$2:C$500,MATCH(293,样本到样信息汇总统计!$AA$2:$AA$500,0)),"")</f>
        <v/>
      </c>
      <c r="D294" s="4" t="str">
        <f>IFERROR(INDEX(样本到样信息汇总统计!D$2:D$500,MATCH(293,样本到样信息汇总统计!$AA$2:$AA$500,0)),"")</f>
        <v/>
      </c>
      <c r="E294" s="4" t="str">
        <f>IFERROR(INDEX(样本到样信息汇总统计!E$2:E$500,MATCH(293,样本到样信息汇总统计!$AA$2:$AA$500,0)),"")</f>
        <v/>
      </c>
      <c r="F294" s="4" t="str">
        <f>IFERROR(INDEX(样本到样信息汇总统计!F$2:F$500,MATCH(293,样本到样信息汇总统计!$AA$2:$AA$500,0)),"")</f>
        <v/>
      </c>
      <c r="G294" s="4" t="str">
        <f>IFERROR(INDEX(样本到样信息汇总统计!G$2:G$500,MATCH(293,样本到样信息汇总统计!$AA$2:$AA$500,0)),"")</f>
        <v/>
      </c>
      <c r="H294" s="4" t="str">
        <f>IFERROR(INDEX(样本到样信息汇总统计!H$2:H$500,MATCH(293,样本到样信息汇总统计!$AA$2:$AA$500,0)),"")</f>
        <v/>
      </c>
      <c r="I294" s="4" t="str">
        <f>IFERROR(INDEX(样本到样信息汇总统计!I$2:I$500,MATCH(293,样本到样信息汇总统计!$AA$2:$AA$500,0)),"")</f>
        <v/>
      </c>
      <c r="J294" s="4" t="str">
        <f>IFERROR(INDEX(样本到样信息汇总统计!J$2:J$500,MATCH(293,样本到样信息汇总统计!$AA$2:$AA$500,0)),"")</f>
        <v/>
      </c>
      <c r="K294" s="4" t="str">
        <f>IFERROR(INDEX(样本到样信息汇总统计!K$2:K$500,MATCH(293,样本到样信息汇总统计!$AA$2:$AA$500,0)),"")</f>
        <v/>
      </c>
      <c r="L294" s="4" t="str">
        <f>IFERROR(INDEX(样本到样信息汇总统计!L$2:L$500,MATCH(293,样本到样信息汇总统计!$AA$2:$AA$500,0)),"")</f>
        <v/>
      </c>
      <c r="M294" s="4" t="str">
        <f>IFERROR(INDEX(样本到样信息汇总统计!M$2:M$500,MATCH(293,样本到样信息汇总统计!$AA$2:$AA$500,0)),"")</f>
        <v/>
      </c>
      <c r="N294" s="4" t="str">
        <f>IFERROR(INDEX(样本到样信息汇总统计!N$2:N$500,MATCH(293,样本到样信息汇总统计!$AA$2:$AA$500,0)),"")</f>
        <v/>
      </c>
      <c r="O294" s="4" t="str">
        <f>IFERROR(INDEX(样本到样信息汇总统计!O$2:O$500,MATCH(293,样本到样信息汇总统计!$AA$2:$AA$500,0)),"")</f>
        <v/>
      </c>
      <c r="P294" s="4" t="str">
        <f>IFERROR(INDEX(样本到样信息汇总统计!P$2:P$500,MATCH(293,样本到样信息汇总统计!$AA$2:$AA$500,0)),"")</f>
        <v/>
      </c>
      <c r="Q294" s="4" t="str">
        <f>IFERROR(INDEX(样本到样信息汇总统计!Q$2:Q$500,MATCH(293,样本到样信息汇总统计!$AA$2:$AA$500,0)),"")</f>
        <v/>
      </c>
      <c r="R294" s="4" t="str">
        <f>IFERROR(INDEX(样本到样信息汇总统计!R$2:R$500,MATCH(293,样本到样信息汇总统计!$AA$2:$AA$500,0)),"")</f>
        <v/>
      </c>
      <c r="S294" s="4" t="str">
        <f>IFERROR(INDEX(样本到样信息汇总统计!S$2:S$500,MATCH(293,样本到样信息汇总统计!$AA$2:$AA$500,0)),"")</f>
        <v/>
      </c>
      <c r="T294" s="4" t="str">
        <f>IFERROR(INDEX(样本到样信息汇总统计!T$2:T$500,MATCH(293,样本到样信息汇总统计!$AA$2:$AA$500,0)),"")</f>
        <v/>
      </c>
      <c r="U294" s="4" t="str">
        <f>IFERROR(INDEX(样本到样信息汇总统计!U$2:U$500,MATCH(293,样本到样信息汇总统计!$AA$2:$AA$500,0)),"")</f>
        <v/>
      </c>
      <c r="V294" s="4" t="str">
        <f>IFERROR(INDEX(样本到样信息汇总统计!V$2:V$500,MATCH(293,样本到样信息汇总统计!$AA$2:$AA$500,0)),"")</f>
        <v/>
      </c>
      <c r="W294" s="4" t="str">
        <f>IFERROR(INDEX(样本到样信息汇总统计!W$2:W$500,MATCH(293,样本到样信息汇总统计!$AA$2:$AA$500,0)),"")</f>
        <v/>
      </c>
    </row>
    <row r="295" ht="14.5" spans="1:23">
      <c r="A295" s="8" t="str">
        <f>IFERROR(INDEX(样本到样信息汇总统计!A$2:A$500,MATCH(294,样本到样信息汇总统计!$AA$2:$AA$500,0)),"")</f>
        <v/>
      </c>
      <c r="B295" s="8" t="str">
        <f>IFERROR(INDEX(样本到样信息汇总统计!B$2:B$500,MATCH(294,样本到样信息汇总统计!$AA$2:$AA$500,0)),"")</f>
        <v/>
      </c>
      <c r="C295" s="8" t="str">
        <f>IFERROR(INDEX(样本到样信息汇总统计!C$2:C$500,MATCH(294,样本到样信息汇总统计!$AA$2:$AA$500,0)),"")</f>
        <v/>
      </c>
      <c r="D295" s="8" t="str">
        <f>IFERROR(INDEX(样本到样信息汇总统计!D$2:D$500,MATCH(294,样本到样信息汇总统计!$AA$2:$AA$500,0)),"")</f>
        <v/>
      </c>
      <c r="E295" s="8" t="str">
        <f>IFERROR(INDEX(样本到样信息汇总统计!E$2:E$500,MATCH(294,样本到样信息汇总统计!$AA$2:$AA$500,0)),"")</f>
        <v/>
      </c>
      <c r="F295" s="8" t="str">
        <f>IFERROR(INDEX(样本到样信息汇总统计!F$2:F$500,MATCH(294,样本到样信息汇总统计!$AA$2:$AA$500,0)),"")</f>
        <v/>
      </c>
      <c r="G295" s="8" t="str">
        <f>IFERROR(INDEX(样本到样信息汇总统计!G$2:G$500,MATCH(294,样本到样信息汇总统计!$AA$2:$AA$500,0)),"")</f>
        <v/>
      </c>
      <c r="H295" s="8" t="str">
        <f>IFERROR(INDEX(样本到样信息汇总统计!H$2:H$500,MATCH(294,样本到样信息汇总统计!$AA$2:$AA$500,0)),"")</f>
        <v/>
      </c>
      <c r="I295" s="8" t="str">
        <f>IFERROR(INDEX(样本到样信息汇总统计!I$2:I$500,MATCH(294,样本到样信息汇总统计!$AA$2:$AA$500,0)),"")</f>
        <v/>
      </c>
      <c r="J295" s="8" t="str">
        <f>IFERROR(INDEX(样本到样信息汇总统计!J$2:J$500,MATCH(294,样本到样信息汇总统计!$AA$2:$AA$500,0)),"")</f>
        <v/>
      </c>
      <c r="K295" s="8" t="str">
        <f>IFERROR(INDEX(样本到样信息汇总统计!K$2:K$500,MATCH(294,样本到样信息汇总统计!$AA$2:$AA$500,0)),"")</f>
        <v/>
      </c>
      <c r="L295" s="8" t="str">
        <f>IFERROR(INDEX(样本到样信息汇总统计!L$2:L$500,MATCH(294,样本到样信息汇总统计!$AA$2:$AA$500,0)),"")</f>
        <v/>
      </c>
      <c r="M295" s="8" t="str">
        <f>IFERROR(INDEX(样本到样信息汇总统计!M$2:M$500,MATCH(294,样本到样信息汇总统计!$AA$2:$AA$500,0)),"")</f>
        <v/>
      </c>
      <c r="N295" s="8" t="str">
        <f>IFERROR(INDEX(样本到样信息汇总统计!N$2:N$500,MATCH(294,样本到样信息汇总统计!$AA$2:$AA$500,0)),"")</f>
        <v/>
      </c>
      <c r="O295" s="8" t="str">
        <f>IFERROR(INDEX(样本到样信息汇总统计!O$2:O$500,MATCH(294,样本到样信息汇总统计!$AA$2:$AA$500,0)),"")</f>
        <v/>
      </c>
      <c r="P295" s="8" t="str">
        <f>IFERROR(INDEX(样本到样信息汇总统计!P$2:P$500,MATCH(294,样本到样信息汇总统计!$AA$2:$AA$500,0)),"")</f>
        <v/>
      </c>
      <c r="Q295" s="8" t="str">
        <f>IFERROR(INDEX(样本到样信息汇总统计!Q$2:Q$500,MATCH(294,样本到样信息汇总统计!$AA$2:$AA$500,0)),"")</f>
        <v/>
      </c>
      <c r="R295" s="8" t="str">
        <f>IFERROR(INDEX(样本到样信息汇总统计!R$2:R$500,MATCH(294,样本到样信息汇总统计!$AA$2:$AA$500,0)),"")</f>
        <v/>
      </c>
      <c r="S295" s="8" t="str">
        <f>IFERROR(INDEX(样本到样信息汇总统计!S$2:S$500,MATCH(294,样本到样信息汇总统计!$AA$2:$AA$500,0)),"")</f>
        <v/>
      </c>
      <c r="T295" s="8" t="str">
        <f>IFERROR(INDEX(样本到样信息汇总统计!T$2:T$500,MATCH(294,样本到样信息汇总统计!$AA$2:$AA$500,0)),"")</f>
        <v/>
      </c>
      <c r="U295" s="8" t="str">
        <f>IFERROR(INDEX(样本到样信息汇总统计!U$2:U$500,MATCH(294,样本到样信息汇总统计!$AA$2:$AA$500,0)),"")</f>
        <v/>
      </c>
      <c r="V295" s="8" t="str">
        <f>IFERROR(INDEX(样本到样信息汇总统计!V$2:V$500,MATCH(294,样本到样信息汇总统计!$AA$2:$AA$500,0)),"")</f>
        <v/>
      </c>
      <c r="W295" s="8" t="str">
        <f>IFERROR(INDEX(样本到样信息汇总统计!W$2:W$500,MATCH(294,样本到样信息汇总统计!$AA$2:$AA$500,0)),"")</f>
        <v/>
      </c>
    </row>
    <row r="296" ht="14.5" spans="1:23">
      <c r="A296" s="4" t="str">
        <f>IFERROR(INDEX(样本到样信息汇总统计!A$2:A$500,MATCH(295,样本到样信息汇总统计!$AA$2:$AA$500,0)),"")</f>
        <v/>
      </c>
      <c r="B296" s="4" t="str">
        <f>IFERROR(INDEX(样本到样信息汇总统计!B$2:B$500,MATCH(295,样本到样信息汇总统计!$AA$2:$AA$500,0)),"")</f>
        <v/>
      </c>
      <c r="C296" s="4" t="str">
        <f>IFERROR(INDEX(样本到样信息汇总统计!C$2:C$500,MATCH(295,样本到样信息汇总统计!$AA$2:$AA$500,0)),"")</f>
        <v/>
      </c>
      <c r="D296" s="4" t="str">
        <f>IFERROR(INDEX(样本到样信息汇总统计!D$2:D$500,MATCH(295,样本到样信息汇总统计!$AA$2:$AA$500,0)),"")</f>
        <v/>
      </c>
      <c r="E296" s="4" t="str">
        <f>IFERROR(INDEX(样本到样信息汇总统计!E$2:E$500,MATCH(295,样本到样信息汇总统计!$AA$2:$AA$500,0)),"")</f>
        <v/>
      </c>
      <c r="F296" s="4" t="str">
        <f>IFERROR(INDEX(样本到样信息汇总统计!F$2:F$500,MATCH(295,样本到样信息汇总统计!$AA$2:$AA$500,0)),"")</f>
        <v/>
      </c>
      <c r="G296" s="4" t="str">
        <f>IFERROR(INDEX(样本到样信息汇总统计!G$2:G$500,MATCH(295,样本到样信息汇总统计!$AA$2:$AA$500,0)),"")</f>
        <v/>
      </c>
      <c r="H296" s="4" t="str">
        <f>IFERROR(INDEX(样本到样信息汇总统计!H$2:H$500,MATCH(295,样本到样信息汇总统计!$AA$2:$AA$500,0)),"")</f>
        <v/>
      </c>
      <c r="I296" s="4" t="str">
        <f>IFERROR(INDEX(样本到样信息汇总统计!I$2:I$500,MATCH(295,样本到样信息汇总统计!$AA$2:$AA$500,0)),"")</f>
        <v/>
      </c>
      <c r="J296" s="4" t="str">
        <f>IFERROR(INDEX(样本到样信息汇总统计!J$2:J$500,MATCH(295,样本到样信息汇总统计!$AA$2:$AA$500,0)),"")</f>
        <v/>
      </c>
      <c r="K296" s="4" t="str">
        <f>IFERROR(INDEX(样本到样信息汇总统计!K$2:K$500,MATCH(295,样本到样信息汇总统计!$AA$2:$AA$500,0)),"")</f>
        <v/>
      </c>
      <c r="L296" s="4" t="str">
        <f>IFERROR(INDEX(样本到样信息汇总统计!L$2:L$500,MATCH(295,样本到样信息汇总统计!$AA$2:$AA$500,0)),"")</f>
        <v/>
      </c>
      <c r="M296" s="4" t="str">
        <f>IFERROR(INDEX(样本到样信息汇总统计!M$2:M$500,MATCH(295,样本到样信息汇总统计!$AA$2:$AA$500,0)),"")</f>
        <v/>
      </c>
      <c r="N296" s="4" t="str">
        <f>IFERROR(INDEX(样本到样信息汇总统计!N$2:N$500,MATCH(295,样本到样信息汇总统计!$AA$2:$AA$500,0)),"")</f>
        <v/>
      </c>
      <c r="O296" s="4" t="str">
        <f>IFERROR(INDEX(样本到样信息汇总统计!O$2:O$500,MATCH(295,样本到样信息汇总统计!$AA$2:$AA$500,0)),"")</f>
        <v/>
      </c>
      <c r="P296" s="4" t="str">
        <f>IFERROR(INDEX(样本到样信息汇总统计!P$2:P$500,MATCH(295,样本到样信息汇总统计!$AA$2:$AA$500,0)),"")</f>
        <v/>
      </c>
      <c r="Q296" s="4" t="str">
        <f>IFERROR(INDEX(样本到样信息汇总统计!Q$2:Q$500,MATCH(295,样本到样信息汇总统计!$AA$2:$AA$500,0)),"")</f>
        <v/>
      </c>
      <c r="R296" s="4" t="str">
        <f>IFERROR(INDEX(样本到样信息汇总统计!R$2:R$500,MATCH(295,样本到样信息汇总统计!$AA$2:$AA$500,0)),"")</f>
        <v/>
      </c>
      <c r="S296" s="4" t="str">
        <f>IFERROR(INDEX(样本到样信息汇总统计!S$2:S$500,MATCH(295,样本到样信息汇总统计!$AA$2:$AA$500,0)),"")</f>
        <v/>
      </c>
      <c r="T296" s="4" t="str">
        <f>IFERROR(INDEX(样本到样信息汇总统计!T$2:T$500,MATCH(295,样本到样信息汇总统计!$AA$2:$AA$500,0)),"")</f>
        <v/>
      </c>
      <c r="U296" s="4" t="str">
        <f>IFERROR(INDEX(样本到样信息汇总统计!U$2:U$500,MATCH(295,样本到样信息汇总统计!$AA$2:$AA$500,0)),"")</f>
        <v/>
      </c>
      <c r="V296" s="4" t="str">
        <f>IFERROR(INDEX(样本到样信息汇总统计!V$2:V$500,MATCH(295,样本到样信息汇总统计!$AA$2:$AA$500,0)),"")</f>
        <v/>
      </c>
      <c r="W296" s="4" t="str">
        <f>IFERROR(INDEX(样本到样信息汇总统计!W$2:W$500,MATCH(295,样本到样信息汇总统计!$AA$2:$AA$500,0)),"")</f>
        <v/>
      </c>
    </row>
    <row r="297" ht="14.5" spans="1:23">
      <c r="A297" s="8" t="str">
        <f>IFERROR(INDEX(样本到样信息汇总统计!A$2:A$500,MATCH(296,样本到样信息汇总统计!$AA$2:$AA$500,0)),"")</f>
        <v/>
      </c>
      <c r="B297" s="8" t="str">
        <f>IFERROR(INDEX(样本到样信息汇总统计!B$2:B$500,MATCH(296,样本到样信息汇总统计!$AA$2:$AA$500,0)),"")</f>
        <v/>
      </c>
      <c r="C297" s="8" t="str">
        <f>IFERROR(INDEX(样本到样信息汇总统计!C$2:C$500,MATCH(296,样本到样信息汇总统计!$AA$2:$AA$500,0)),"")</f>
        <v/>
      </c>
      <c r="D297" s="8" t="str">
        <f>IFERROR(INDEX(样本到样信息汇总统计!D$2:D$500,MATCH(296,样本到样信息汇总统计!$AA$2:$AA$500,0)),"")</f>
        <v/>
      </c>
      <c r="E297" s="8" t="str">
        <f>IFERROR(INDEX(样本到样信息汇总统计!E$2:E$500,MATCH(296,样本到样信息汇总统计!$AA$2:$AA$500,0)),"")</f>
        <v/>
      </c>
      <c r="F297" s="8" t="str">
        <f>IFERROR(INDEX(样本到样信息汇总统计!F$2:F$500,MATCH(296,样本到样信息汇总统计!$AA$2:$AA$500,0)),"")</f>
        <v/>
      </c>
      <c r="G297" s="8" t="str">
        <f>IFERROR(INDEX(样本到样信息汇总统计!G$2:G$500,MATCH(296,样本到样信息汇总统计!$AA$2:$AA$500,0)),"")</f>
        <v/>
      </c>
      <c r="H297" s="8" t="str">
        <f>IFERROR(INDEX(样本到样信息汇总统计!H$2:H$500,MATCH(296,样本到样信息汇总统计!$AA$2:$AA$500,0)),"")</f>
        <v/>
      </c>
      <c r="I297" s="8" t="str">
        <f>IFERROR(INDEX(样本到样信息汇总统计!I$2:I$500,MATCH(296,样本到样信息汇总统计!$AA$2:$AA$500,0)),"")</f>
        <v/>
      </c>
      <c r="J297" s="8" t="str">
        <f>IFERROR(INDEX(样本到样信息汇总统计!J$2:J$500,MATCH(296,样本到样信息汇总统计!$AA$2:$AA$500,0)),"")</f>
        <v/>
      </c>
      <c r="K297" s="8" t="str">
        <f>IFERROR(INDEX(样本到样信息汇总统计!K$2:K$500,MATCH(296,样本到样信息汇总统计!$AA$2:$AA$500,0)),"")</f>
        <v/>
      </c>
      <c r="L297" s="8" t="str">
        <f>IFERROR(INDEX(样本到样信息汇总统计!L$2:L$500,MATCH(296,样本到样信息汇总统计!$AA$2:$AA$500,0)),"")</f>
        <v/>
      </c>
      <c r="M297" s="8" t="str">
        <f>IFERROR(INDEX(样本到样信息汇总统计!M$2:M$500,MATCH(296,样本到样信息汇总统计!$AA$2:$AA$500,0)),"")</f>
        <v/>
      </c>
      <c r="N297" s="8" t="str">
        <f>IFERROR(INDEX(样本到样信息汇总统计!N$2:N$500,MATCH(296,样本到样信息汇总统计!$AA$2:$AA$500,0)),"")</f>
        <v/>
      </c>
      <c r="O297" s="8" t="str">
        <f>IFERROR(INDEX(样本到样信息汇总统计!O$2:O$500,MATCH(296,样本到样信息汇总统计!$AA$2:$AA$500,0)),"")</f>
        <v/>
      </c>
      <c r="P297" s="8" t="str">
        <f>IFERROR(INDEX(样本到样信息汇总统计!P$2:P$500,MATCH(296,样本到样信息汇总统计!$AA$2:$AA$500,0)),"")</f>
        <v/>
      </c>
      <c r="Q297" s="8" t="str">
        <f>IFERROR(INDEX(样本到样信息汇总统计!Q$2:Q$500,MATCH(296,样本到样信息汇总统计!$AA$2:$AA$500,0)),"")</f>
        <v/>
      </c>
      <c r="R297" s="8" t="str">
        <f>IFERROR(INDEX(样本到样信息汇总统计!R$2:R$500,MATCH(296,样本到样信息汇总统计!$AA$2:$AA$500,0)),"")</f>
        <v/>
      </c>
      <c r="S297" s="8" t="str">
        <f>IFERROR(INDEX(样本到样信息汇总统计!S$2:S$500,MATCH(296,样本到样信息汇总统计!$AA$2:$AA$500,0)),"")</f>
        <v/>
      </c>
      <c r="T297" s="8" t="str">
        <f>IFERROR(INDEX(样本到样信息汇总统计!T$2:T$500,MATCH(296,样本到样信息汇总统计!$AA$2:$AA$500,0)),"")</f>
        <v/>
      </c>
      <c r="U297" s="8" t="str">
        <f>IFERROR(INDEX(样本到样信息汇总统计!U$2:U$500,MATCH(296,样本到样信息汇总统计!$AA$2:$AA$500,0)),"")</f>
        <v/>
      </c>
      <c r="V297" s="8" t="str">
        <f>IFERROR(INDEX(样本到样信息汇总统计!V$2:V$500,MATCH(296,样本到样信息汇总统计!$AA$2:$AA$500,0)),"")</f>
        <v/>
      </c>
      <c r="W297" s="8" t="str">
        <f>IFERROR(INDEX(样本到样信息汇总统计!W$2:W$500,MATCH(296,样本到样信息汇总统计!$AA$2:$AA$500,0)),"")</f>
        <v/>
      </c>
    </row>
    <row r="298" ht="14.5" spans="1:23">
      <c r="A298" s="4" t="str">
        <f>IFERROR(INDEX(样本到样信息汇总统计!A$2:A$500,MATCH(297,样本到样信息汇总统计!$AA$2:$AA$500,0)),"")</f>
        <v/>
      </c>
      <c r="B298" s="4" t="str">
        <f>IFERROR(INDEX(样本到样信息汇总统计!B$2:B$500,MATCH(297,样本到样信息汇总统计!$AA$2:$AA$500,0)),"")</f>
        <v/>
      </c>
      <c r="C298" s="4" t="str">
        <f>IFERROR(INDEX(样本到样信息汇总统计!C$2:C$500,MATCH(297,样本到样信息汇总统计!$AA$2:$AA$500,0)),"")</f>
        <v/>
      </c>
      <c r="D298" s="4" t="str">
        <f>IFERROR(INDEX(样本到样信息汇总统计!D$2:D$500,MATCH(297,样本到样信息汇总统计!$AA$2:$AA$500,0)),"")</f>
        <v/>
      </c>
      <c r="E298" s="4" t="str">
        <f>IFERROR(INDEX(样本到样信息汇总统计!E$2:E$500,MATCH(297,样本到样信息汇总统计!$AA$2:$AA$500,0)),"")</f>
        <v/>
      </c>
      <c r="F298" s="4" t="str">
        <f>IFERROR(INDEX(样本到样信息汇总统计!F$2:F$500,MATCH(297,样本到样信息汇总统计!$AA$2:$AA$500,0)),"")</f>
        <v/>
      </c>
      <c r="G298" s="4" t="str">
        <f>IFERROR(INDEX(样本到样信息汇总统计!G$2:G$500,MATCH(297,样本到样信息汇总统计!$AA$2:$AA$500,0)),"")</f>
        <v/>
      </c>
      <c r="H298" s="4" t="str">
        <f>IFERROR(INDEX(样本到样信息汇总统计!H$2:H$500,MATCH(297,样本到样信息汇总统计!$AA$2:$AA$500,0)),"")</f>
        <v/>
      </c>
      <c r="I298" s="4" t="str">
        <f>IFERROR(INDEX(样本到样信息汇总统计!I$2:I$500,MATCH(297,样本到样信息汇总统计!$AA$2:$AA$500,0)),"")</f>
        <v/>
      </c>
      <c r="J298" s="4" t="str">
        <f>IFERROR(INDEX(样本到样信息汇总统计!J$2:J$500,MATCH(297,样本到样信息汇总统计!$AA$2:$AA$500,0)),"")</f>
        <v/>
      </c>
      <c r="K298" s="4" t="str">
        <f>IFERROR(INDEX(样本到样信息汇总统计!K$2:K$500,MATCH(297,样本到样信息汇总统计!$AA$2:$AA$500,0)),"")</f>
        <v/>
      </c>
      <c r="L298" s="4" t="str">
        <f>IFERROR(INDEX(样本到样信息汇总统计!L$2:L$500,MATCH(297,样本到样信息汇总统计!$AA$2:$AA$500,0)),"")</f>
        <v/>
      </c>
      <c r="M298" s="4" t="str">
        <f>IFERROR(INDEX(样本到样信息汇总统计!M$2:M$500,MATCH(297,样本到样信息汇总统计!$AA$2:$AA$500,0)),"")</f>
        <v/>
      </c>
      <c r="N298" s="4" t="str">
        <f>IFERROR(INDEX(样本到样信息汇总统计!N$2:N$500,MATCH(297,样本到样信息汇总统计!$AA$2:$AA$500,0)),"")</f>
        <v/>
      </c>
      <c r="O298" s="4" t="str">
        <f>IFERROR(INDEX(样本到样信息汇总统计!O$2:O$500,MATCH(297,样本到样信息汇总统计!$AA$2:$AA$500,0)),"")</f>
        <v/>
      </c>
      <c r="P298" s="4" t="str">
        <f>IFERROR(INDEX(样本到样信息汇总统计!P$2:P$500,MATCH(297,样本到样信息汇总统计!$AA$2:$AA$500,0)),"")</f>
        <v/>
      </c>
      <c r="Q298" s="4" t="str">
        <f>IFERROR(INDEX(样本到样信息汇总统计!Q$2:Q$500,MATCH(297,样本到样信息汇总统计!$AA$2:$AA$500,0)),"")</f>
        <v/>
      </c>
      <c r="R298" s="4" t="str">
        <f>IFERROR(INDEX(样本到样信息汇总统计!R$2:R$500,MATCH(297,样本到样信息汇总统计!$AA$2:$AA$500,0)),"")</f>
        <v/>
      </c>
      <c r="S298" s="4" t="str">
        <f>IFERROR(INDEX(样本到样信息汇总统计!S$2:S$500,MATCH(297,样本到样信息汇总统计!$AA$2:$AA$500,0)),"")</f>
        <v/>
      </c>
      <c r="T298" s="4" t="str">
        <f>IFERROR(INDEX(样本到样信息汇总统计!T$2:T$500,MATCH(297,样本到样信息汇总统计!$AA$2:$AA$500,0)),"")</f>
        <v/>
      </c>
      <c r="U298" s="4" t="str">
        <f>IFERROR(INDEX(样本到样信息汇总统计!U$2:U$500,MATCH(297,样本到样信息汇总统计!$AA$2:$AA$500,0)),"")</f>
        <v/>
      </c>
      <c r="V298" s="4" t="str">
        <f>IFERROR(INDEX(样本到样信息汇总统计!V$2:V$500,MATCH(297,样本到样信息汇总统计!$AA$2:$AA$500,0)),"")</f>
        <v/>
      </c>
      <c r="W298" s="4" t="str">
        <f>IFERROR(INDEX(样本到样信息汇总统计!W$2:W$500,MATCH(297,样本到样信息汇总统计!$AA$2:$AA$500,0)),"")</f>
        <v/>
      </c>
    </row>
    <row r="299" ht="14.5" spans="1:23">
      <c r="A299" s="8" t="str">
        <f>IFERROR(INDEX(样本到样信息汇总统计!A$2:A$500,MATCH(298,样本到样信息汇总统计!$AA$2:$AA$500,0)),"")</f>
        <v/>
      </c>
      <c r="B299" s="8" t="str">
        <f>IFERROR(INDEX(样本到样信息汇总统计!B$2:B$500,MATCH(298,样本到样信息汇总统计!$AA$2:$AA$500,0)),"")</f>
        <v/>
      </c>
      <c r="C299" s="8" t="str">
        <f>IFERROR(INDEX(样本到样信息汇总统计!C$2:C$500,MATCH(298,样本到样信息汇总统计!$AA$2:$AA$500,0)),"")</f>
        <v/>
      </c>
      <c r="D299" s="8" t="str">
        <f>IFERROR(INDEX(样本到样信息汇总统计!D$2:D$500,MATCH(298,样本到样信息汇总统计!$AA$2:$AA$500,0)),"")</f>
        <v/>
      </c>
      <c r="E299" s="8" t="str">
        <f>IFERROR(INDEX(样本到样信息汇总统计!E$2:E$500,MATCH(298,样本到样信息汇总统计!$AA$2:$AA$500,0)),"")</f>
        <v/>
      </c>
      <c r="F299" s="8" t="str">
        <f>IFERROR(INDEX(样本到样信息汇总统计!F$2:F$500,MATCH(298,样本到样信息汇总统计!$AA$2:$AA$500,0)),"")</f>
        <v/>
      </c>
      <c r="G299" s="8" t="str">
        <f>IFERROR(INDEX(样本到样信息汇总统计!G$2:G$500,MATCH(298,样本到样信息汇总统计!$AA$2:$AA$500,0)),"")</f>
        <v/>
      </c>
      <c r="H299" s="8" t="str">
        <f>IFERROR(INDEX(样本到样信息汇总统计!H$2:H$500,MATCH(298,样本到样信息汇总统计!$AA$2:$AA$500,0)),"")</f>
        <v/>
      </c>
      <c r="I299" s="8" t="str">
        <f>IFERROR(INDEX(样本到样信息汇总统计!I$2:I$500,MATCH(298,样本到样信息汇总统计!$AA$2:$AA$500,0)),"")</f>
        <v/>
      </c>
      <c r="J299" s="8" t="str">
        <f>IFERROR(INDEX(样本到样信息汇总统计!J$2:J$500,MATCH(298,样本到样信息汇总统计!$AA$2:$AA$500,0)),"")</f>
        <v/>
      </c>
      <c r="K299" s="8" t="str">
        <f>IFERROR(INDEX(样本到样信息汇总统计!K$2:K$500,MATCH(298,样本到样信息汇总统计!$AA$2:$AA$500,0)),"")</f>
        <v/>
      </c>
      <c r="L299" s="8" t="str">
        <f>IFERROR(INDEX(样本到样信息汇总统计!L$2:L$500,MATCH(298,样本到样信息汇总统计!$AA$2:$AA$500,0)),"")</f>
        <v/>
      </c>
      <c r="M299" s="8" t="str">
        <f>IFERROR(INDEX(样本到样信息汇总统计!M$2:M$500,MATCH(298,样本到样信息汇总统计!$AA$2:$AA$500,0)),"")</f>
        <v/>
      </c>
      <c r="N299" s="8" t="str">
        <f>IFERROR(INDEX(样本到样信息汇总统计!N$2:N$500,MATCH(298,样本到样信息汇总统计!$AA$2:$AA$500,0)),"")</f>
        <v/>
      </c>
      <c r="O299" s="8" t="str">
        <f>IFERROR(INDEX(样本到样信息汇总统计!O$2:O$500,MATCH(298,样本到样信息汇总统计!$AA$2:$AA$500,0)),"")</f>
        <v/>
      </c>
      <c r="P299" s="8" t="str">
        <f>IFERROR(INDEX(样本到样信息汇总统计!P$2:P$500,MATCH(298,样本到样信息汇总统计!$AA$2:$AA$500,0)),"")</f>
        <v/>
      </c>
      <c r="Q299" s="8" t="str">
        <f>IFERROR(INDEX(样本到样信息汇总统计!Q$2:Q$500,MATCH(298,样本到样信息汇总统计!$AA$2:$AA$500,0)),"")</f>
        <v/>
      </c>
      <c r="R299" s="8" t="str">
        <f>IFERROR(INDEX(样本到样信息汇总统计!R$2:R$500,MATCH(298,样本到样信息汇总统计!$AA$2:$AA$500,0)),"")</f>
        <v/>
      </c>
      <c r="S299" s="8" t="str">
        <f>IFERROR(INDEX(样本到样信息汇总统计!S$2:S$500,MATCH(298,样本到样信息汇总统计!$AA$2:$AA$500,0)),"")</f>
        <v/>
      </c>
      <c r="T299" s="8" t="str">
        <f>IFERROR(INDEX(样本到样信息汇总统计!T$2:T$500,MATCH(298,样本到样信息汇总统计!$AA$2:$AA$500,0)),"")</f>
        <v/>
      </c>
      <c r="U299" s="8" t="str">
        <f>IFERROR(INDEX(样本到样信息汇总统计!U$2:U$500,MATCH(298,样本到样信息汇总统计!$AA$2:$AA$500,0)),"")</f>
        <v/>
      </c>
      <c r="V299" s="8" t="str">
        <f>IFERROR(INDEX(样本到样信息汇总统计!V$2:V$500,MATCH(298,样本到样信息汇总统计!$AA$2:$AA$500,0)),"")</f>
        <v/>
      </c>
      <c r="W299" s="8" t="str">
        <f>IFERROR(INDEX(样本到样信息汇总统计!W$2:W$500,MATCH(298,样本到样信息汇总统计!$AA$2:$AA$500,0)),"")</f>
        <v/>
      </c>
    </row>
    <row r="300" ht="14.5" spans="1:23">
      <c r="A300" s="4" t="str">
        <f>IFERROR(INDEX(样本到样信息汇总统计!A$2:A$500,MATCH(299,样本到样信息汇总统计!$AA$2:$AA$500,0)),"")</f>
        <v/>
      </c>
      <c r="B300" s="4" t="str">
        <f>IFERROR(INDEX(样本到样信息汇总统计!B$2:B$500,MATCH(299,样本到样信息汇总统计!$AA$2:$AA$500,0)),"")</f>
        <v/>
      </c>
      <c r="C300" s="4" t="str">
        <f>IFERROR(INDEX(样本到样信息汇总统计!C$2:C$500,MATCH(299,样本到样信息汇总统计!$AA$2:$AA$500,0)),"")</f>
        <v/>
      </c>
      <c r="D300" s="4" t="str">
        <f>IFERROR(INDEX(样本到样信息汇总统计!D$2:D$500,MATCH(299,样本到样信息汇总统计!$AA$2:$AA$500,0)),"")</f>
        <v/>
      </c>
      <c r="E300" s="4" t="str">
        <f>IFERROR(INDEX(样本到样信息汇总统计!E$2:E$500,MATCH(299,样本到样信息汇总统计!$AA$2:$AA$500,0)),"")</f>
        <v/>
      </c>
      <c r="F300" s="4" t="str">
        <f>IFERROR(INDEX(样本到样信息汇总统计!F$2:F$500,MATCH(299,样本到样信息汇总统计!$AA$2:$AA$500,0)),"")</f>
        <v/>
      </c>
      <c r="G300" s="4" t="str">
        <f>IFERROR(INDEX(样本到样信息汇总统计!G$2:G$500,MATCH(299,样本到样信息汇总统计!$AA$2:$AA$500,0)),"")</f>
        <v/>
      </c>
      <c r="H300" s="4" t="str">
        <f>IFERROR(INDEX(样本到样信息汇总统计!H$2:H$500,MATCH(299,样本到样信息汇总统计!$AA$2:$AA$500,0)),"")</f>
        <v/>
      </c>
      <c r="I300" s="4" t="str">
        <f>IFERROR(INDEX(样本到样信息汇总统计!I$2:I$500,MATCH(299,样本到样信息汇总统计!$AA$2:$AA$500,0)),"")</f>
        <v/>
      </c>
      <c r="J300" s="4" t="str">
        <f>IFERROR(INDEX(样本到样信息汇总统计!J$2:J$500,MATCH(299,样本到样信息汇总统计!$AA$2:$AA$500,0)),"")</f>
        <v/>
      </c>
      <c r="K300" s="4" t="str">
        <f>IFERROR(INDEX(样本到样信息汇总统计!K$2:K$500,MATCH(299,样本到样信息汇总统计!$AA$2:$AA$500,0)),"")</f>
        <v/>
      </c>
      <c r="L300" s="4" t="str">
        <f>IFERROR(INDEX(样本到样信息汇总统计!L$2:L$500,MATCH(299,样本到样信息汇总统计!$AA$2:$AA$500,0)),"")</f>
        <v/>
      </c>
      <c r="M300" s="4" t="str">
        <f>IFERROR(INDEX(样本到样信息汇总统计!M$2:M$500,MATCH(299,样本到样信息汇总统计!$AA$2:$AA$500,0)),"")</f>
        <v/>
      </c>
      <c r="N300" s="4" t="str">
        <f>IFERROR(INDEX(样本到样信息汇总统计!N$2:N$500,MATCH(299,样本到样信息汇总统计!$AA$2:$AA$500,0)),"")</f>
        <v/>
      </c>
      <c r="O300" s="4" t="str">
        <f>IFERROR(INDEX(样本到样信息汇总统计!O$2:O$500,MATCH(299,样本到样信息汇总统计!$AA$2:$AA$500,0)),"")</f>
        <v/>
      </c>
      <c r="P300" s="4" t="str">
        <f>IFERROR(INDEX(样本到样信息汇总统计!P$2:P$500,MATCH(299,样本到样信息汇总统计!$AA$2:$AA$500,0)),"")</f>
        <v/>
      </c>
      <c r="Q300" s="4" t="str">
        <f>IFERROR(INDEX(样本到样信息汇总统计!Q$2:Q$500,MATCH(299,样本到样信息汇总统计!$AA$2:$AA$500,0)),"")</f>
        <v/>
      </c>
      <c r="R300" s="4" t="str">
        <f>IFERROR(INDEX(样本到样信息汇总统计!R$2:R$500,MATCH(299,样本到样信息汇总统计!$AA$2:$AA$500,0)),"")</f>
        <v/>
      </c>
      <c r="S300" s="4" t="str">
        <f>IFERROR(INDEX(样本到样信息汇总统计!S$2:S$500,MATCH(299,样本到样信息汇总统计!$AA$2:$AA$500,0)),"")</f>
        <v/>
      </c>
      <c r="T300" s="4" t="str">
        <f>IFERROR(INDEX(样本到样信息汇总统计!T$2:T$500,MATCH(299,样本到样信息汇总统计!$AA$2:$AA$500,0)),"")</f>
        <v/>
      </c>
      <c r="U300" s="4" t="str">
        <f>IFERROR(INDEX(样本到样信息汇总统计!U$2:U$500,MATCH(299,样本到样信息汇总统计!$AA$2:$AA$500,0)),"")</f>
        <v/>
      </c>
      <c r="V300" s="4" t="str">
        <f>IFERROR(INDEX(样本到样信息汇总统计!V$2:V$500,MATCH(299,样本到样信息汇总统计!$AA$2:$AA$500,0)),"")</f>
        <v/>
      </c>
      <c r="W300" s="4" t="str">
        <f>IFERROR(INDEX(样本到样信息汇总统计!W$2:W$500,MATCH(299,样本到样信息汇总统计!$AA$2:$AA$500,0)),"")</f>
        <v/>
      </c>
    </row>
    <row r="301" ht="14.5" spans="1:23">
      <c r="A301" s="8" t="str">
        <f>IFERROR(INDEX(样本到样信息汇总统计!A$2:A$500,MATCH(300,样本到样信息汇总统计!$AA$2:$AA$500,0)),"")</f>
        <v/>
      </c>
      <c r="B301" s="8" t="str">
        <f>IFERROR(INDEX(样本到样信息汇总统计!B$2:B$500,MATCH(300,样本到样信息汇总统计!$AA$2:$AA$500,0)),"")</f>
        <v/>
      </c>
      <c r="C301" s="8" t="str">
        <f>IFERROR(INDEX(样本到样信息汇总统计!C$2:C$500,MATCH(300,样本到样信息汇总统计!$AA$2:$AA$500,0)),"")</f>
        <v/>
      </c>
      <c r="D301" s="8" t="str">
        <f>IFERROR(INDEX(样本到样信息汇总统计!D$2:D$500,MATCH(300,样本到样信息汇总统计!$AA$2:$AA$500,0)),"")</f>
        <v/>
      </c>
      <c r="E301" s="8" t="str">
        <f>IFERROR(INDEX(样本到样信息汇总统计!E$2:E$500,MATCH(300,样本到样信息汇总统计!$AA$2:$AA$500,0)),"")</f>
        <v/>
      </c>
      <c r="F301" s="8" t="str">
        <f>IFERROR(INDEX(样本到样信息汇总统计!F$2:F$500,MATCH(300,样本到样信息汇总统计!$AA$2:$AA$500,0)),"")</f>
        <v/>
      </c>
      <c r="G301" s="8" t="str">
        <f>IFERROR(INDEX(样本到样信息汇总统计!G$2:G$500,MATCH(300,样本到样信息汇总统计!$AA$2:$AA$500,0)),"")</f>
        <v/>
      </c>
      <c r="H301" s="8" t="str">
        <f>IFERROR(INDEX(样本到样信息汇总统计!H$2:H$500,MATCH(300,样本到样信息汇总统计!$AA$2:$AA$500,0)),"")</f>
        <v/>
      </c>
      <c r="I301" s="8" t="str">
        <f>IFERROR(INDEX(样本到样信息汇总统计!I$2:I$500,MATCH(300,样本到样信息汇总统计!$AA$2:$AA$500,0)),"")</f>
        <v/>
      </c>
      <c r="J301" s="8" t="str">
        <f>IFERROR(INDEX(样本到样信息汇总统计!J$2:J$500,MATCH(300,样本到样信息汇总统计!$AA$2:$AA$500,0)),"")</f>
        <v/>
      </c>
      <c r="K301" s="8" t="str">
        <f>IFERROR(INDEX(样本到样信息汇总统计!K$2:K$500,MATCH(300,样本到样信息汇总统计!$AA$2:$AA$500,0)),"")</f>
        <v/>
      </c>
      <c r="L301" s="8" t="str">
        <f>IFERROR(INDEX(样本到样信息汇总统计!L$2:L$500,MATCH(300,样本到样信息汇总统计!$AA$2:$AA$500,0)),"")</f>
        <v/>
      </c>
      <c r="M301" s="8" t="str">
        <f>IFERROR(INDEX(样本到样信息汇总统计!M$2:M$500,MATCH(300,样本到样信息汇总统计!$AA$2:$AA$500,0)),"")</f>
        <v/>
      </c>
      <c r="N301" s="8" t="str">
        <f>IFERROR(INDEX(样本到样信息汇总统计!N$2:N$500,MATCH(300,样本到样信息汇总统计!$AA$2:$AA$500,0)),"")</f>
        <v/>
      </c>
      <c r="O301" s="8" t="str">
        <f>IFERROR(INDEX(样本到样信息汇总统计!O$2:O$500,MATCH(300,样本到样信息汇总统计!$AA$2:$AA$500,0)),"")</f>
        <v/>
      </c>
      <c r="P301" s="8" t="str">
        <f>IFERROR(INDEX(样本到样信息汇总统计!P$2:P$500,MATCH(300,样本到样信息汇总统计!$AA$2:$AA$500,0)),"")</f>
        <v/>
      </c>
      <c r="Q301" s="8" t="str">
        <f>IFERROR(INDEX(样本到样信息汇总统计!Q$2:Q$500,MATCH(300,样本到样信息汇总统计!$AA$2:$AA$500,0)),"")</f>
        <v/>
      </c>
      <c r="R301" s="8" t="str">
        <f>IFERROR(INDEX(样本到样信息汇总统计!R$2:R$500,MATCH(300,样本到样信息汇总统计!$AA$2:$AA$500,0)),"")</f>
        <v/>
      </c>
      <c r="S301" s="8" t="str">
        <f>IFERROR(INDEX(样本到样信息汇总统计!S$2:S$500,MATCH(300,样本到样信息汇总统计!$AA$2:$AA$500,0)),"")</f>
        <v/>
      </c>
      <c r="T301" s="8" t="str">
        <f>IFERROR(INDEX(样本到样信息汇总统计!T$2:T$500,MATCH(300,样本到样信息汇总统计!$AA$2:$AA$500,0)),"")</f>
        <v/>
      </c>
      <c r="U301" s="8" t="str">
        <f>IFERROR(INDEX(样本到样信息汇总统计!U$2:U$500,MATCH(300,样本到样信息汇总统计!$AA$2:$AA$500,0)),"")</f>
        <v/>
      </c>
      <c r="V301" s="8" t="str">
        <f>IFERROR(INDEX(样本到样信息汇总统计!V$2:V$500,MATCH(300,样本到样信息汇总统计!$AA$2:$AA$500,0)),"")</f>
        <v/>
      </c>
      <c r="W301" s="8" t="str">
        <f>IFERROR(INDEX(样本到样信息汇总统计!W$2:W$500,MATCH(300,样本到样信息汇总统计!$AA$2:$AA$500,0)),"")</f>
        <v/>
      </c>
    </row>
    <row r="302" ht="14.5" spans="1:23">
      <c r="A302" s="4" t="str">
        <f>IFERROR(INDEX(样本到样信息汇总统计!A$2:A$500,MATCH(301,样本到样信息汇总统计!$AA$2:$AA$500,0)),"")</f>
        <v/>
      </c>
      <c r="B302" s="4" t="str">
        <f>IFERROR(INDEX(样本到样信息汇总统计!B$2:B$500,MATCH(301,样本到样信息汇总统计!$AA$2:$AA$500,0)),"")</f>
        <v/>
      </c>
      <c r="C302" s="4" t="str">
        <f>IFERROR(INDEX(样本到样信息汇总统计!C$2:C$500,MATCH(301,样本到样信息汇总统计!$AA$2:$AA$500,0)),"")</f>
        <v/>
      </c>
      <c r="D302" s="4" t="str">
        <f>IFERROR(INDEX(样本到样信息汇总统计!D$2:D$500,MATCH(301,样本到样信息汇总统计!$AA$2:$AA$500,0)),"")</f>
        <v/>
      </c>
      <c r="E302" s="4" t="str">
        <f>IFERROR(INDEX(样本到样信息汇总统计!E$2:E$500,MATCH(301,样本到样信息汇总统计!$AA$2:$AA$500,0)),"")</f>
        <v/>
      </c>
      <c r="F302" s="4" t="str">
        <f>IFERROR(INDEX(样本到样信息汇总统计!F$2:F$500,MATCH(301,样本到样信息汇总统计!$AA$2:$AA$500,0)),"")</f>
        <v/>
      </c>
      <c r="G302" s="4" t="str">
        <f>IFERROR(INDEX(样本到样信息汇总统计!G$2:G$500,MATCH(301,样本到样信息汇总统计!$AA$2:$AA$500,0)),"")</f>
        <v/>
      </c>
      <c r="H302" s="4" t="str">
        <f>IFERROR(INDEX(样本到样信息汇总统计!H$2:H$500,MATCH(301,样本到样信息汇总统计!$AA$2:$AA$500,0)),"")</f>
        <v/>
      </c>
      <c r="I302" s="4" t="str">
        <f>IFERROR(INDEX(样本到样信息汇总统计!I$2:I$500,MATCH(301,样本到样信息汇总统计!$AA$2:$AA$500,0)),"")</f>
        <v/>
      </c>
      <c r="J302" s="4" t="str">
        <f>IFERROR(INDEX(样本到样信息汇总统计!J$2:J$500,MATCH(301,样本到样信息汇总统计!$AA$2:$AA$500,0)),"")</f>
        <v/>
      </c>
      <c r="K302" s="4" t="str">
        <f>IFERROR(INDEX(样本到样信息汇总统计!K$2:K$500,MATCH(301,样本到样信息汇总统计!$AA$2:$AA$500,0)),"")</f>
        <v/>
      </c>
      <c r="L302" s="4" t="str">
        <f>IFERROR(INDEX(样本到样信息汇总统计!L$2:L$500,MATCH(301,样本到样信息汇总统计!$AA$2:$AA$500,0)),"")</f>
        <v/>
      </c>
      <c r="M302" s="4" t="str">
        <f>IFERROR(INDEX(样本到样信息汇总统计!M$2:M$500,MATCH(301,样本到样信息汇总统计!$AA$2:$AA$500,0)),"")</f>
        <v/>
      </c>
      <c r="N302" s="4" t="str">
        <f>IFERROR(INDEX(样本到样信息汇总统计!N$2:N$500,MATCH(301,样本到样信息汇总统计!$AA$2:$AA$500,0)),"")</f>
        <v/>
      </c>
      <c r="O302" s="4" t="str">
        <f>IFERROR(INDEX(样本到样信息汇总统计!O$2:O$500,MATCH(301,样本到样信息汇总统计!$AA$2:$AA$500,0)),"")</f>
        <v/>
      </c>
      <c r="P302" s="4" t="str">
        <f>IFERROR(INDEX(样本到样信息汇总统计!P$2:P$500,MATCH(301,样本到样信息汇总统计!$AA$2:$AA$500,0)),"")</f>
        <v/>
      </c>
      <c r="Q302" s="4" t="str">
        <f>IFERROR(INDEX(样本到样信息汇总统计!Q$2:Q$500,MATCH(301,样本到样信息汇总统计!$AA$2:$AA$500,0)),"")</f>
        <v/>
      </c>
      <c r="R302" s="4" t="str">
        <f>IFERROR(INDEX(样本到样信息汇总统计!R$2:R$500,MATCH(301,样本到样信息汇总统计!$AA$2:$AA$500,0)),"")</f>
        <v/>
      </c>
      <c r="S302" s="4" t="str">
        <f>IFERROR(INDEX(样本到样信息汇总统计!S$2:S$500,MATCH(301,样本到样信息汇总统计!$AA$2:$AA$500,0)),"")</f>
        <v/>
      </c>
      <c r="T302" s="4" t="str">
        <f>IFERROR(INDEX(样本到样信息汇总统计!T$2:T$500,MATCH(301,样本到样信息汇总统计!$AA$2:$AA$500,0)),"")</f>
        <v/>
      </c>
      <c r="U302" s="4" t="str">
        <f>IFERROR(INDEX(样本到样信息汇总统计!U$2:U$500,MATCH(301,样本到样信息汇总统计!$AA$2:$AA$500,0)),"")</f>
        <v/>
      </c>
      <c r="V302" s="4" t="str">
        <f>IFERROR(INDEX(样本到样信息汇总统计!V$2:V$500,MATCH(301,样本到样信息汇总统计!$AA$2:$AA$500,0)),"")</f>
        <v/>
      </c>
      <c r="W302" s="4" t="str">
        <f>IFERROR(INDEX(样本到样信息汇总统计!W$2:W$500,MATCH(301,样本到样信息汇总统计!$AA$2:$AA$500,0)),"")</f>
        <v/>
      </c>
    </row>
    <row r="303" ht="14.5" spans="1:23">
      <c r="A303" s="8" t="str">
        <f>IFERROR(INDEX(样本到样信息汇总统计!A$2:A$500,MATCH(302,样本到样信息汇总统计!$AA$2:$AA$500,0)),"")</f>
        <v/>
      </c>
      <c r="B303" s="8" t="str">
        <f>IFERROR(INDEX(样本到样信息汇总统计!B$2:B$500,MATCH(302,样本到样信息汇总统计!$AA$2:$AA$500,0)),"")</f>
        <v/>
      </c>
      <c r="C303" s="8" t="str">
        <f>IFERROR(INDEX(样本到样信息汇总统计!C$2:C$500,MATCH(302,样本到样信息汇总统计!$AA$2:$AA$500,0)),"")</f>
        <v/>
      </c>
      <c r="D303" s="8" t="str">
        <f>IFERROR(INDEX(样本到样信息汇总统计!D$2:D$500,MATCH(302,样本到样信息汇总统计!$AA$2:$AA$500,0)),"")</f>
        <v/>
      </c>
      <c r="E303" s="8" t="str">
        <f>IFERROR(INDEX(样本到样信息汇总统计!E$2:E$500,MATCH(302,样本到样信息汇总统计!$AA$2:$AA$500,0)),"")</f>
        <v/>
      </c>
      <c r="F303" s="8" t="str">
        <f>IFERROR(INDEX(样本到样信息汇总统计!F$2:F$500,MATCH(302,样本到样信息汇总统计!$AA$2:$AA$500,0)),"")</f>
        <v/>
      </c>
      <c r="G303" s="8" t="str">
        <f>IFERROR(INDEX(样本到样信息汇总统计!G$2:G$500,MATCH(302,样本到样信息汇总统计!$AA$2:$AA$500,0)),"")</f>
        <v/>
      </c>
      <c r="H303" s="8" t="str">
        <f>IFERROR(INDEX(样本到样信息汇总统计!H$2:H$500,MATCH(302,样本到样信息汇总统计!$AA$2:$AA$500,0)),"")</f>
        <v/>
      </c>
      <c r="I303" s="8" t="str">
        <f>IFERROR(INDEX(样本到样信息汇总统计!I$2:I$500,MATCH(302,样本到样信息汇总统计!$AA$2:$AA$500,0)),"")</f>
        <v/>
      </c>
      <c r="J303" s="8" t="str">
        <f>IFERROR(INDEX(样本到样信息汇总统计!J$2:J$500,MATCH(302,样本到样信息汇总统计!$AA$2:$AA$500,0)),"")</f>
        <v/>
      </c>
      <c r="K303" s="8" t="str">
        <f>IFERROR(INDEX(样本到样信息汇总统计!K$2:K$500,MATCH(302,样本到样信息汇总统计!$AA$2:$AA$500,0)),"")</f>
        <v/>
      </c>
      <c r="L303" s="8" t="str">
        <f>IFERROR(INDEX(样本到样信息汇总统计!L$2:L$500,MATCH(302,样本到样信息汇总统计!$AA$2:$AA$500,0)),"")</f>
        <v/>
      </c>
      <c r="M303" s="8" t="str">
        <f>IFERROR(INDEX(样本到样信息汇总统计!M$2:M$500,MATCH(302,样本到样信息汇总统计!$AA$2:$AA$500,0)),"")</f>
        <v/>
      </c>
      <c r="N303" s="8" t="str">
        <f>IFERROR(INDEX(样本到样信息汇总统计!N$2:N$500,MATCH(302,样本到样信息汇总统计!$AA$2:$AA$500,0)),"")</f>
        <v/>
      </c>
      <c r="O303" s="8" t="str">
        <f>IFERROR(INDEX(样本到样信息汇总统计!O$2:O$500,MATCH(302,样本到样信息汇总统计!$AA$2:$AA$500,0)),"")</f>
        <v/>
      </c>
      <c r="P303" s="8" t="str">
        <f>IFERROR(INDEX(样本到样信息汇总统计!P$2:P$500,MATCH(302,样本到样信息汇总统计!$AA$2:$AA$500,0)),"")</f>
        <v/>
      </c>
      <c r="Q303" s="8" t="str">
        <f>IFERROR(INDEX(样本到样信息汇总统计!Q$2:Q$500,MATCH(302,样本到样信息汇总统计!$AA$2:$AA$500,0)),"")</f>
        <v/>
      </c>
      <c r="R303" s="8" t="str">
        <f>IFERROR(INDEX(样本到样信息汇总统计!R$2:R$500,MATCH(302,样本到样信息汇总统计!$AA$2:$AA$500,0)),"")</f>
        <v/>
      </c>
      <c r="S303" s="8" t="str">
        <f>IFERROR(INDEX(样本到样信息汇总统计!S$2:S$500,MATCH(302,样本到样信息汇总统计!$AA$2:$AA$500,0)),"")</f>
        <v/>
      </c>
      <c r="T303" s="8" t="str">
        <f>IFERROR(INDEX(样本到样信息汇总统计!T$2:T$500,MATCH(302,样本到样信息汇总统计!$AA$2:$AA$500,0)),"")</f>
        <v/>
      </c>
      <c r="U303" s="8" t="str">
        <f>IFERROR(INDEX(样本到样信息汇总统计!U$2:U$500,MATCH(302,样本到样信息汇总统计!$AA$2:$AA$500,0)),"")</f>
        <v/>
      </c>
      <c r="V303" s="8" t="str">
        <f>IFERROR(INDEX(样本到样信息汇总统计!V$2:V$500,MATCH(302,样本到样信息汇总统计!$AA$2:$AA$500,0)),"")</f>
        <v/>
      </c>
      <c r="W303" s="8" t="str">
        <f>IFERROR(INDEX(样本到样信息汇总统计!W$2:W$500,MATCH(302,样本到样信息汇总统计!$AA$2:$AA$500,0)),"")</f>
        <v/>
      </c>
    </row>
    <row r="304" ht="14.5" spans="1:23">
      <c r="A304" s="4" t="str">
        <f>IFERROR(INDEX(样本到样信息汇总统计!A$2:A$500,MATCH(303,样本到样信息汇总统计!$AA$2:$AA$500,0)),"")</f>
        <v/>
      </c>
      <c r="B304" s="4" t="str">
        <f>IFERROR(INDEX(样本到样信息汇总统计!B$2:B$500,MATCH(303,样本到样信息汇总统计!$AA$2:$AA$500,0)),"")</f>
        <v/>
      </c>
      <c r="C304" s="4" t="str">
        <f>IFERROR(INDEX(样本到样信息汇总统计!C$2:C$500,MATCH(303,样本到样信息汇总统计!$AA$2:$AA$500,0)),"")</f>
        <v/>
      </c>
      <c r="D304" s="4" t="str">
        <f>IFERROR(INDEX(样本到样信息汇总统计!D$2:D$500,MATCH(303,样本到样信息汇总统计!$AA$2:$AA$500,0)),"")</f>
        <v/>
      </c>
      <c r="E304" s="4" t="str">
        <f>IFERROR(INDEX(样本到样信息汇总统计!E$2:E$500,MATCH(303,样本到样信息汇总统计!$AA$2:$AA$500,0)),"")</f>
        <v/>
      </c>
      <c r="F304" s="4" t="str">
        <f>IFERROR(INDEX(样本到样信息汇总统计!F$2:F$500,MATCH(303,样本到样信息汇总统计!$AA$2:$AA$500,0)),"")</f>
        <v/>
      </c>
      <c r="G304" s="4" t="str">
        <f>IFERROR(INDEX(样本到样信息汇总统计!G$2:G$500,MATCH(303,样本到样信息汇总统计!$AA$2:$AA$500,0)),"")</f>
        <v/>
      </c>
      <c r="H304" s="4" t="str">
        <f>IFERROR(INDEX(样本到样信息汇总统计!H$2:H$500,MATCH(303,样本到样信息汇总统计!$AA$2:$AA$500,0)),"")</f>
        <v/>
      </c>
      <c r="I304" s="4" t="str">
        <f>IFERROR(INDEX(样本到样信息汇总统计!I$2:I$500,MATCH(303,样本到样信息汇总统计!$AA$2:$AA$500,0)),"")</f>
        <v/>
      </c>
      <c r="J304" s="4" t="str">
        <f>IFERROR(INDEX(样本到样信息汇总统计!J$2:J$500,MATCH(303,样本到样信息汇总统计!$AA$2:$AA$500,0)),"")</f>
        <v/>
      </c>
      <c r="K304" s="4" t="str">
        <f>IFERROR(INDEX(样本到样信息汇总统计!K$2:K$500,MATCH(303,样本到样信息汇总统计!$AA$2:$AA$500,0)),"")</f>
        <v/>
      </c>
      <c r="L304" s="4" t="str">
        <f>IFERROR(INDEX(样本到样信息汇总统计!L$2:L$500,MATCH(303,样本到样信息汇总统计!$AA$2:$AA$500,0)),"")</f>
        <v/>
      </c>
      <c r="M304" s="4" t="str">
        <f>IFERROR(INDEX(样本到样信息汇总统计!M$2:M$500,MATCH(303,样本到样信息汇总统计!$AA$2:$AA$500,0)),"")</f>
        <v/>
      </c>
      <c r="N304" s="4" t="str">
        <f>IFERROR(INDEX(样本到样信息汇总统计!N$2:N$500,MATCH(303,样本到样信息汇总统计!$AA$2:$AA$500,0)),"")</f>
        <v/>
      </c>
      <c r="O304" s="4" t="str">
        <f>IFERROR(INDEX(样本到样信息汇总统计!O$2:O$500,MATCH(303,样本到样信息汇总统计!$AA$2:$AA$500,0)),"")</f>
        <v/>
      </c>
      <c r="P304" s="4" t="str">
        <f>IFERROR(INDEX(样本到样信息汇总统计!P$2:P$500,MATCH(303,样本到样信息汇总统计!$AA$2:$AA$500,0)),"")</f>
        <v/>
      </c>
      <c r="Q304" s="4" t="str">
        <f>IFERROR(INDEX(样本到样信息汇总统计!Q$2:Q$500,MATCH(303,样本到样信息汇总统计!$AA$2:$AA$500,0)),"")</f>
        <v/>
      </c>
      <c r="R304" s="4" t="str">
        <f>IFERROR(INDEX(样本到样信息汇总统计!R$2:R$500,MATCH(303,样本到样信息汇总统计!$AA$2:$AA$500,0)),"")</f>
        <v/>
      </c>
      <c r="S304" s="4" t="str">
        <f>IFERROR(INDEX(样本到样信息汇总统计!S$2:S$500,MATCH(303,样本到样信息汇总统计!$AA$2:$AA$500,0)),"")</f>
        <v/>
      </c>
      <c r="T304" s="4" t="str">
        <f>IFERROR(INDEX(样本到样信息汇总统计!T$2:T$500,MATCH(303,样本到样信息汇总统计!$AA$2:$AA$500,0)),"")</f>
        <v/>
      </c>
      <c r="U304" s="4" t="str">
        <f>IFERROR(INDEX(样本到样信息汇总统计!U$2:U$500,MATCH(303,样本到样信息汇总统计!$AA$2:$AA$500,0)),"")</f>
        <v/>
      </c>
      <c r="V304" s="4" t="str">
        <f>IFERROR(INDEX(样本到样信息汇总统计!V$2:V$500,MATCH(303,样本到样信息汇总统计!$AA$2:$AA$500,0)),"")</f>
        <v/>
      </c>
      <c r="W304" s="4" t="str">
        <f>IFERROR(INDEX(样本到样信息汇总统计!W$2:W$500,MATCH(303,样本到样信息汇总统计!$AA$2:$AA$500,0)),"")</f>
        <v/>
      </c>
    </row>
    <row r="305" ht="14.5" spans="1:23">
      <c r="A305" s="8" t="str">
        <f>IFERROR(INDEX(样本到样信息汇总统计!A$2:A$500,MATCH(304,样本到样信息汇总统计!$AA$2:$AA$500,0)),"")</f>
        <v/>
      </c>
      <c r="B305" s="8" t="str">
        <f>IFERROR(INDEX(样本到样信息汇总统计!B$2:B$500,MATCH(304,样本到样信息汇总统计!$AA$2:$AA$500,0)),"")</f>
        <v/>
      </c>
      <c r="C305" s="8" t="str">
        <f>IFERROR(INDEX(样本到样信息汇总统计!C$2:C$500,MATCH(304,样本到样信息汇总统计!$AA$2:$AA$500,0)),"")</f>
        <v/>
      </c>
      <c r="D305" s="8" t="str">
        <f>IFERROR(INDEX(样本到样信息汇总统计!D$2:D$500,MATCH(304,样本到样信息汇总统计!$AA$2:$AA$500,0)),"")</f>
        <v/>
      </c>
      <c r="E305" s="8" t="str">
        <f>IFERROR(INDEX(样本到样信息汇总统计!E$2:E$500,MATCH(304,样本到样信息汇总统计!$AA$2:$AA$500,0)),"")</f>
        <v/>
      </c>
      <c r="F305" s="8" t="str">
        <f>IFERROR(INDEX(样本到样信息汇总统计!F$2:F$500,MATCH(304,样本到样信息汇总统计!$AA$2:$AA$500,0)),"")</f>
        <v/>
      </c>
      <c r="G305" s="8" t="str">
        <f>IFERROR(INDEX(样本到样信息汇总统计!G$2:G$500,MATCH(304,样本到样信息汇总统计!$AA$2:$AA$500,0)),"")</f>
        <v/>
      </c>
      <c r="H305" s="8" t="str">
        <f>IFERROR(INDEX(样本到样信息汇总统计!H$2:H$500,MATCH(304,样本到样信息汇总统计!$AA$2:$AA$500,0)),"")</f>
        <v/>
      </c>
      <c r="I305" s="8" t="str">
        <f>IFERROR(INDEX(样本到样信息汇总统计!I$2:I$500,MATCH(304,样本到样信息汇总统计!$AA$2:$AA$500,0)),"")</f>
        <v/>
      </c>
      <c r="J305" s="8" t="str">
        <f>IFERROR(INDEX(样本到样信息汇总统计!J$2:J$500,MATCH(304,样本到样信息汇总统计!$AA$2:$AA$500,0)),"")</f>
        <v/>
      </c>
      <c r="K305" s="8" t="str">
        <f>IFERROR(INDEX(样本到样信息汇总统计!K$2:K$500,MATCH(304,样本到样信息汇总统计!$AA$2:$AA$500,0)),"")</f>
        <v/>
      </c>
      <c r="L305" s="8" t="str">
        <f>IFERROR(INDEX(样本到样信息汇总统计!L$2:L$500,MATCH(304,样本到样信息汇总统计!$AA$2:$AA$500,0)),"")</f>
        <v/>
      </c>
      <c r="M305" s="8" t="str">
        <f>IFERROR(INDEX(样本到样信息汇总统计!M$2:M$500,MATCH(304,样本到样信息汇总统计!$AA$2:$AA$500,0)),"")</f>
        <v/>
      </c>
      <c r="N305" s="8" t="str">
        <f>IFERROR(INDEX(样本到样信息汇总统计!N$2:N$500,MATCH(304,样本到样信息汇总统计!$AA$2:$AA$500,0)),"")</f>
        <v/>
      </c>
      <c r="O305" s="8" t="str">
        <f>IFERROR(INDEX(样本到样信息汇总统计!O$2:O$500,MATCH(304,样本到样信息汇总统计!$AA$2:$AA$500,0)),"")</f>
        <v/>
      </c>
      <c r="P305" s="8" t="str">
        <f>IFERROR(INDEX(样本到样信息汇总统计!P$2:P$500,MATCH(304,样本到样信息汇总统计!$AA$2:$AA$500,0)),"")</f>
        <v/>
      </c>
      <c r="Q305" s="8" t="str">
        <f>IFERROR(INDEX(样本到样信息汇总统计!Q$2:Q$500,MATCH(304,样本到样信息汇总统计!$AA$2:$AA$500,0)),"")</f>
        <v/>
      </c>
      <c r="R305" s="8" t="str">
        <f>IFERROR(INDEX(样本到样信息汇总统计!R$2:R$500,MATCH(304,样本到样信息汇总统计!$AA$2:$AA$500,0)),"")</f>
        <v/>
      </c>
      <c r="S305" s="8" t="str">
        <f>IFERROR(INDEX(样本到样信息汇总统计!S$2:S$500,MATCH(304,样本到样信息汇总统计!$AA$2:$AA$500,0)),"")</f>
        <v/>
      </c>
      <c r="T305" s="8" t="str">
        <f>IFERROR(INDEX(样本到样信息汇总统计!T$2:T$500,MATCH(304,样本到样信息汇总统计!$AA$2:$AA$500,0)),"")</f>
        <v/>
      </c>
      <c r="U305" s="8" t="str">
        <f>IFERROR(INDEX(样本到样信息汇总统计!U$2:U$500,MATCH(304,样本到样信息汇总统计!$AA$2:$AA$500,0)),"")</f>
        <v/>
      </c>
      <c r="V305" s="8" t="str">
        <f>IFERROR(INDEX(样本到样信息汇总统计!V$2:V$500,MATCH(304,样本到样信息汇总统计!$AA$2:$AA$500,0)),"")</f>
        <v/>
      </c>
      <c r="W305" s="8" t="str">
        <f>IFERROR(INDEX(样本到样信息汇总统计!W$2:W$500,MATCH(304,样本到样信息汇总统计!$AA$2:$AA$500,0)),"")</f>
        <v/>
      </c>
    </row>
    <row r="306" ht="14.5" spans="1:23">
      <c r="A306" s="4" t="str">
        <f>IFERROR(INDEX(样本到样信息汇总统计!A$2:A$500,MATCH(305,样本到样信息汇总统计!$AA$2:$AA$500,0)),"")</f>
        <v/>
      </c>
      <c r="B306" s="4" t="str">
        <f>IFERROR(INDEX(样本到样信息汇总统计!B$2:B$500,MATCH(305,样本到样信息汇总统计!$AA$2:$AA$500,0)),"")</f>
        <v/>
      </c>
      <c r="C306" s="4" t="str">
        <f>IFERROR(INDEX(样本到样信息汇总统计!C$2:C$500,MATCH(305,样本到样信息汇总统计!$AA$2:$AA$500,0)),"")</f>
        <v/>
      </c>
      <c r="D306" s="4" t="str">
        <f>IFERROR(INDEX(样本到样信息汇总统计!D$2:D$500,MATCH(305,样本到样信息汇总统计!$AA$2:$AA$500,0)),"")</f>
        <v/>
      </c>
      <c r="E306" s="4" t="str">
        <f>IFERROR(INDEX(样本到样信息汇总统计!E$2:E$500,MATCH(305,样本到样信息汇总统计!$AA$2:$AA$500,0)),"")</f>
        <v/>
      </c>
      <c r="F306" s="4" t="str">
        <f>IFERROR(INDEX(样本到样信息汇总统计!F$2:F$500,MATCH(305,样本到样信息汇总统计!$AA$2:$AA$500,0)),"")</f>
        <v/>
      </c>
      <c r="G306" s="4" t="str">
        <f>IFERROR(INDEX(样本到样信息汇总统计!G$2:G$500,MATCH(305,样本到样信息汇总统计!$AA$2:$AA$500,0)),"")</f>
        <v/>
      </c>
      <c r="H306" s="4" t="str">
        <f>IFERROR(INDEX(样本到样信息汇总统计!H$2:H$500,MATCH(305,样本到样信息汇总统计!$AA$2:$AA$500,0)),"")</f>
        <v/>
      </c>
      <c r="I306" s="4" t="str">
        <f>IFERROR(INDEX(样本到样信息汇总统计!I$2:I$500,MATCH(305,样本到样信息汇总统计!$AA$2:$AA$500,0)),"")</f>
        <v/>
      </c>
      <c r="J306" s="4" t="str">
        <f>IFERROR(INDEX(样本到样信息汇总统计!J$2:J$500,MATCH(305,样本到样信息汇总统计!$AA$2:$AA$500,0)),"")</f>
        <v/>
      </c>
      <c r="K306" s="4" t="str">
        <f>IFERROR(INDEX(样本到样信息汇总统计!K$2:K$500,MATCH(305,样本到样信息汇总统计!$AA$2:$AA$500,0)),"")</f>
        <v/>
      </c>
      <c r="L306" s="4" t="str">
        <f>IFERROR(INDEX(样本到样信息汇总统计!L$2:L$500,MATCH(305,样本到样信息汇总统计!$AA$2:$AA$500,0)),"")</f>
        <v/>
      </c>
      <c r="M306" s="4" t="str">
        <f>IFERROR(INDEX(样本到样信息汇总统计!M$2:M$500,MATCH(305,样本到样信息汇总统计!$AA$2:$AA$500,0)),"")</f>
        <v/>
      </c>
      <c r="N306" s="4" t="str">
        <f>IFERROR(INDEX(样本到样信息汇总统计!N$2:N$500,MATCH(305,样本到样信息汇总统计!$AA$2:$AA$500,0)),"")</f>
        <v/>
      </c>
      <c r="O306" s="4" t="str">
        <f>IFERROR(INDEX(样本到样信息汇总统计!O$2:O$500,MATCH(305,样本到样信息汇总统计!$AA$2:$AA$500,0)),"")</f>
        <v/>
      </c>
      <c r="P306" s="4" t="str">
        <f>IFERROR(INDEX(样本到样信息汇总统计!P$2:P$500,MATCH(305,样本到样信息汇总统计!$AA$2:$AA$500,0)),"")</f>
        <v/>
      </c>
      <c r="Q306" s="4" t="str">
        <f>IFERROR(INDEX(样本到样信息汇总统计!Q$2:Q$500,MATCH(305,样本到样信息汇总统计!$AA$2:$AA$500,0)),"")</f>
        <v/>
      </c>
      <c r="R306" s="4" t="str">
        <f>IFERROR(INDEX(样本到样信息汇总统计!R$2:R$500,MATCH(305,样本到样信息汇总统计!$AA$2:$AA$500,0)),"")</f>
        <v/>
      </c>
      <c r="S306" s="4" t="str">
        <f>IFERROR(INDEX(样本到样信息汇总统计!S$2:S$500,MATCH(305,样本到样信息汇总统计!$AA$2:$AA$500,0)),"")</f>
        <v/>
      </c>
      <c r="T306" s="4" t="str">
        <f>IFERROR(INDEX(样本到样信息汇总统计!T$2:T$500,MATCH(305,样本到样信息汇总统计!$AA$2:$AA$500,0)),"")</f>
        <v/>
      </c>
      <c r="U306" s="4" t="str">
        <f>IFERROR(INDEX(样本到样信息汇总统计!U$2:U$500,MATCH(305,样本到样信息汇总统计!$AA$2:$AA$500,0)),"")</f>
        <v/>
      </c>
      <c r="V306" s="4" t="str">
        <f>IFERROR(INDEX(样本到样信息汇总统计!V$2:V$500,MATCH(305,样本到样信息汇总统计!$AA$2:$AA$500,0)),"")</f>
        <v/>
      </c>
      <c r="W306" s="4" t="str">
        <f>IFERROR(INDEX(样本到样信息汇总统计!W$2:W$500,MATCH(305,样本到样信息汇总统计!$AA$2:$AA$500,0)),"")</f>
        <v/>
      </c>
    </row>
    <row r="307" ht="14.5" spans="1:23">
      <c r="A307" s="8" t="str">
        <f>IFERROR(INDEX(样本到样信息汇总统计!A$2:A$500,MATCH(306,样本到样信息汇总统计!$AA$2:$AA$500,0)),"")</f>
        <v/>
      </c>
      <c r="B307" s="8" t="str">
        <f>IFERROR(INDEX(样本到样信息汇总统计!B$2:B$500,MATCH(306,样本到样信息汇总统计!$AA$2:$AA$500,0)),"")</f>
        <v/>
      </c>
      <c r="C307" s="8" t="str">
        <f>IFERROR(INDEX(样本到样信息汇总统计!C$2:C$500,MATCH(306,样本到样信息汇总统计!$AA$2:$AA$500,0)),"")</f>
        <v/>
      </c>
      <c r="D307" s="8" t="str">
        <f>IFERROR(INDEX(样本到样信息汇总统计!D$2:D$500,MATCH(306,样本到样信息汇总统计!$AA$2:$AA$500,0)),"")</f>
        <v/>
      </c>
      <c r="E307" s="8" t="str">
        <f>IFERROR(INDEX(样本到样信息汇总统计!E$2:E$500,MATCH(306,样本到样信息汇总统计!$AA$2:$AA$500,0)),"")</f>
        <v/>
      </c>
      <c r="F307" s="8" t="str">
        <f>IFERROR(INDEX(样本到样信息汇总统计!F$2:F$500,MATCH(306,样本到样信息汇总统计!$AA$2:$AA$500,0)),"")</f>
        <v/>
      </c>
      <c r="G307" s="8" t="str">
        <f>IFERROR(INDEX(样本到样信息汇总统计!G$2:G$500,MATCH(306,样本到样信息汇总统计!$AA$2:$AA$500,0)),"")</f>
        <v/>
      </c>
      <c r="H307" s="8" t="str">
        <f>IFERROR(INDEX(样本到样信息汇总统计!H$2:H$500,MATCH(306,样本到样信息汇总统计!$AA$2:$AA$500,0)),"")</f>
        <v/>
      </c>
      <c r="I307" s="8" t="str">
        <f>IFERROR(INDEX(样本到样信息汇总统计!I$2:I$500,MATCH(306,样本到样信息汇总统计!$AA$2:$AA$500,0)),"")</f>
        <v/>
      </c>
      <c r="J307" s="8" t="str">
        <f>IFERROR(INDEX(样本到样信息汇总统计!J$2:J$500,MATCH(306,样本到样信息汇总统计!$AA$2:$AA$500,0)),"")</f>
        <v/>
      </c>
      <c r="K307" s="8" t="str">
        <f>IFERROR(INDEX(样本到样信息汇总统计!K$2:K$500,MATCH(306,样本到样信息汇总统计!$AA$2:$AA$500,0)),"")</f>
        <v/>
      </c>
      <c r="L307" s="8" t="str">
        <f>IFERROR(INDEX(样本到样信息汇总统计!L$2:L$500,MATCH(306,样本到样信息汇总统计!$AA$2:$AA$500,0)),"")</f>
        <v/>
      </c>
      <c r="M307" s="8" t="str">
        <f>IFERROR(INDEX(样本到样信息汇总统计!M$2:M$500,MATCH(306,样本到样信息汇总统计!$AA$2:$AA$500,0)),"")</f>
        <v/>
      </c>
      <c r="N307" s="8" t="str">
        <f>IFERROR(INDEX(样本到样信息汇总统计!N$2:N$500,MATCH(306,样本到样信息汇总统计!$AA$2:$AA$500,0)),"")</f>
        <v/>
      </c>
      <c r="O307" s="8" t="str">
        <f>IFERROR(INDEX(样本到样信息汇总统计!O$2:O$500,MATCH(306,样本到样信息汇总统计!$AA$2:$AA$500,0)),"")</f>
        <v/>
      </c>
      <c r="P307" s="8" t="str">
        <f>IFERROR(INDEX(样本到样信息汇总统计!P$2:P$500,MATCH(306,样本到样信息汇总统计!$AA$2:$AA$500,0)),"")</f>
        <v/>
      </c>
      <c r="Q307" s="8" t="str">
        <f>IFERROR(INDEX(样本到样信息汇总统计!Q$2:Q$500,MATCH(306,样本到样信息汇总统计!$AA$2:$AA$500,0)),"")</f>
        <v/>
      </c>
      <c r="R307" s="8" t="str">
        <f>IFERROR(INDEX(样本到样信息汇总统计!R$2:R$500,MATCH(306,样本到样信息汇总统计!$AA$2:$AA$500,0)),"")</f>
        <v/>
      </c>
      <c r="S307" s="8" t="str">
        <f>IFERROR(INDEX(样本到样信息汇总统计!S$2:S$500,MATCH(306,样本到样信息汇总统计!$AA$2:$AA$500,0)),"")</f>
        <v/>
      </c>
      <c r="T307" s="8" t="str">
        <f>IFERROR(INDEX(样本到样信息汇总统计!T$2:T$500,MATCH(306,样本到样信息汇总统计!$AA$2:$AA$500,0)),"")</f>
        <v/>
      </c>
      <c r="U307" s="8" t="str">
        <f>IFERROR(INDEX(样本到样信息汇总统计!U$2:U$500,MATCH(306,样本到样信息汇总统计!$AA$2:$AA$500,0)),"")</f>
        <v/>
      </c>
      <c r="V307" s="8" t="str">
        <f>IFERROR(INDEX(样本到样信息汇总统计!V$2:V$500,MATCH(306,样本到样信息汇总统计!$AA$2:$AA$500,0)),"")</f>
        <v/>
      </c>
      <c r="W307" s="8" t="str">
        <f>IFERROR(INDEX(样本到样信息汇总统计!W$2:W$500,MATCH(306,样本到样信息汇总统计!$AA$2:$AA$500,0)),"")</f>
        <v/>
      </c>
    </row>
    <row r="308" ht="14.5" spans="1:23">
      <c r="A308" s="4" t="str">
        <f>IFERROR(INDEX(样本到样信息汇总统计!A$2:A$500,MATCH(307,样本到样信息汇总统计!$AA$2:$AA$500,0)),"")</f>
        <v/>
      </c>
      <c r="B308" s="4" t="str">
        <f>IFERROR(INDEX(样本到样信息汇总统计!B$2:B$500,MATCH(307,样本到样信息汇总统计!$AA$2:$AA$500,0)),"")</f>
        <v/>
      </c>
      <c r="C308" s="4" t="str">
        <f>IFERROR(INDEX(样本到样信息汇总统计!C$2:C$500,MATCH(307,样本到样信息汇总统计!$AA$2:$AA$500,0)),"")</f>
        <v/>
      </c>
      <c r="D308" s="4" t="str">
        <f>IFERROR(INDEX(样本到样信息汇总统计!D$2:D$500,MATCH(307,样本到样信息汇总统计!$AA$2:$AA$500,0)),"")</f>
        <v/>
      </c>
      <c r="E308" s="4" t="str">
        <f>IFERROR(INDEX(样本到样信息汇总统计!E$2:E$500,MATCH(307,样本到样信息汇总统计!$AA$2:$AA$500,0)),"")</f>
        <v/>
      </c>
      <c r="F308" s="4" t="str">
        <f>IFERROR(INDEX(样本到样信息汇总统计!F$2:F$500,MATCH(307,样本到样信息汇总统计!$AA$2:$AA$500,0)),"")</f>
        <v/>
      </c>
      <c r="G308" s="4" t="str">
        <f>IFERROR(INDEX(样本到样信息汇总统计!G$2:G$500,MATCH(307,样本到样信息汇总统计!$AA$2:$AA$500,0)),"")</f>
        <v/>
      </c>
      <c r="H308" s="4" t="str">
        <f>IFERROR(INDEX(样本到样信息汇总统计!H$2:H$500,MATCH(307,样本到样信息汇总统计!$AA$2:$AA$500,0)),"")</f>
        <v/>
      </c>
      <c r="I308" s="4" t="str">
        <f>IFERROR(INDEX(样本到样信息汇总统计!I$2:I$500,MATCH(307,样本到样信息汇总统计!$AA$2:$AA$500,0)),"")</f>
        <v/>
      </c>
      <c r="J308" s="4" t="str">
        <f>IFERROR(INDEX(样本到样信息汇总统计!J$2:J$500,MATCH(307,样本到样信息汇总统计!$AA$2:$AA$500,0)),"")</f>
        <v/>
      </c>
      <c r="K308" s="4" t="str">
        <f>IFERROR(INDEX(样本到样信息汇总统计!K$2:K$500,MATCH(307,样本到样信息汇总统计!$AA$2:$AA$500,0)),"")</f>
        <v/>
      </c>
      <c r="L308" s="4" t="str">
        <f>IFERROR(INDEX(样本到样信息汇总统计!L$2:L$500,MATCH(307,样本到样信息汇总统计!$AA$2:$AA$500,0)),"")</f>
        <v/>
      </c>
      <c r="M308" s="4" t="str">
        <f>IFERROR(INDEX(样本到样信息汇总统计!M$2:M$500,MATCH(307,样本到样信息汇总统计!$AA$2:$AA$500,0)),"")</f>
        <v/>
      </c>
      <c r="N308" s="4" t="str">
        <f>IFERROR(INDEX(样本到样信息汇总统计!N$2:N$500,MATCH(307,样本到样信息汇总统计!$AA$2:$AA$500,0)),"")</f>
        <v/>
      </c>
      <c r="O308" s="4" t="str">
        <f>IFERROR(INDEX(样本到样信息汇总统计!O$2:O$500,MATCH(307,样本到样信息汇总统计!$AA$2:$AA$500,0)),"")</f>
        <v/>
      </c>
      <c r="P308" s="4" t="str">
        <f>IFERROR(INDEX(样本到样信息汇总统计!P$2:P$500,MATCH(307,样本到样信息汇总统计!$AA$2:$AA$500,0)),"")</f>
        <v/>
      </c>
      <c r="Q308" s="4" t="str">
        <f>IFERROR(INDEX(样本到样信息汇总统计!Q$2:Q$500,MATCH(307,样本到样信息汇总统计!$AA$2:$AA$500,0)),"")</f>
        <v/>
      </c>
      <c r="R308" s="4" t="str">
        <f>IFERROR(INDEX(样本到样信息汇总统计!R$2:R$500,MATCH(307,样本到样信息汇总统计!$AA$2:$AA$500,0)),"")</f>
        <v/>
      </c>
      <c r="S308" s="4" t="str">
        <f>IFERROR(INDEX(样本到样信息汇总统计!S$2:S$500,MATCH(307,样本到样信息汇总统计!$AA$2:$AA$500,0)),"")</f>
        <v/>
      </c>
      <c r="T308" s="4" t="str">
        <f>IFERROR(INDEX(样本到样信息汇总统计!T$2:T$500,MATCH(307,样本到样信息汇总统计!$AA$2:$AA$500,0)),"")</f>
        <v/>
      </c>
      <c r="U308" s="4" t="str">
        <f>IFERROR(INDEX(样本到样信息汇总统计!U$2:U$500,MATCH(307,样本到样信息汇总统计!$AA$2:$AA$500,0)),"")</f>
        <v/>
      </c>
      <c r="V308" s="4" t="str">
        <f>IFERROR(INDEX(样本到样信息汇总统计!V$2:V$500,MATCH(307,样本到样信息汇总统计!$AA$2:$AA$500,0)),"")</f>
        <v/>
      </c>
      <c r="W308" s="4" t="str">
        <f>IFERROR(INDEX(样本到样信息汇总统计!W$2:W$500,MATCH(307,样本到样信息汇总统计!$AA$2:$AA$500,0)),"")</f>
        <v/>
      </c>
    </row>
    <row r="309" ht="14.5" spans="1:23">
      <c r="A309" s="8" t="str">
        <f>IFERROR(INDEX(样本到样信息汇总统计!A$2:A$500,MATCH(308,样本到样信息汇总统计!$AA$2:$AA$500,0)),"")</f>
        <v/>
      </c>
      <c r="B309" s="8" t="str">
        <f>IFERROR(INDEX(样本到样信息汇总统计!B$2:B$500,MATCH(308,样本到样信息汇总统计!$AA$2:$AA$500,0)),"")</f>
        <v/>
      </c>
      <c r="C309" s="8" t="str">
        <f>IFERROR(INDEX(样本到样信息汇总统计!C$2:C$500,MATCH(308,样本到样信息汇总统计!$AA$2:$AA$500,0)),"")</f>
        <v/>
      </c>
      <c r="D309" s="8" t="str">
        <f>IFERROR(INDEX(样本到样信息汇总统计!D$2:D$500,MATCH(308,样本到样信息汇总统计!$AA$2:$AA$500,0)),"")</f>
        <v/>
      </c>
      <c r="E309" s="8" t="str">
        <f>IFERROR(INDEX(样本到样信息汇总统计!E$2:E$500,MATCH(308,样本到样信息汇总统计!$AA$2:$AA$500,0)),"")</f>
        <v/>
      </c>
      <c r="F309" s="8" t="str">
        <f>IFERROR(INDEX(样本到样信息汇总统计!F$2:F$500,MATCH(308,样本到样信息汇总统计!$AA$2:$AA$500,0)),"")</f>
        <v/>
      </c>
      <c r="G309" s="8" t="str">
        <f>IFERROR(INDEX(样本到样信息汇总统计!G$2:G$500,MATCH(308,样本到样信息汇总统计!$AA$2:$AA$500,0)),"")</f>
        <v/>
      </c>
      <c r="H309" s="8" t="str">
        <f>IFERROR(INDEX(样本到样信息汇总统计!H$2:H$500,MATCH(308,样本到样信息汇总统计!$AA$2:$AA$500,0)),"")</f>
        <v/>
      </c>
      <c r="I309" s="8" t="str">
        <f>IFERROR(INDEX(样本到样信息汇总统计!I$2:I$500,MATCH(308,样本到样信息汇总统计!$AA$2:$AA$500,0)),"")</f>
        <v/>
      </c>
      <c r="J309" s="8" t="str">
        <f>IFERROR(INDEX(样本到样信息汇总统计!J$2:J$500,MATCH(308,样本到样信息汇总统计!$AA$2:$AA$500,0)),"")</f>
        <v/>
      </c>
      <c r="K309" s="8" t="str">
        <f>IFERROR(INDEX(样本到样信息汇总统计!K$2:K$500,MATCH(308,样本到样信息汇总统计!$AA$2:$AA$500,0)),"")</f>
        <v/>
      </c>
      <c r="L309" s="8" t="str">
        <f>IFERROR(INDEX(样本到样信息汇总统计!L$2:L$500,MATCH(308,样本到样信息汇总统计!$AA$2:$AA$500,0)),"")</f>
        <v/>
      </c>
      <c r="M309" s="8" t="str">
        <f>IFERROR(INDEX(样本到样信息汇总统计!M$2:M$500,MATCH(308,样本到样信息汇总统计!$AA$2:$AA$500,0)),"")</f>
        <v/>
      </c>
      <c r="N309" s="8" t="str">
        <f>IFERROR(INDEX(样本到样信息汇总统计!N$2:N$500,MATCH(308,样本到样信息汇总统计!$AA$2:$AA$500,0)),"")</f>
        <v/>
      </c>
      <c r="O309" s="8" t="str">
        <f>IFERROR(INDEX(样本到样信息汇总统计!O$2:O$500,MATCH(308,样本到样信息汇总统计!$AA$2:$AA$500,0)),"")</f>
        <v/>
      </c>
      <c r="P309" s="8" t="str">
        <f>IFERROR(INDEX(样本到样信息汇总统计!P$2:P$500,MATCH(308,样本到样信息汇总统计!$AA$2:$AA$500,0)),"")</f>
        <v/>
      </c>
      <c r="Q309" s="8" t="str">
        <f>IFERROR(INDEX(样本到样信息汇总统计!Q$2:Q$500,MATCH(308,样本到样信息汇总统计!$AA$2:$AA$500,0)),"")</f>
        <v/>
      </c>
      <c r="R309" s="8" t="str">
        <f>IFERROR(INDEX(样本到样信息汇总统计!R$2:R$500,MATCH(308,样本到样信息汇总统计!$AA$2:$AA$500,0)),"")</f>
        <v/>
      </c>
      <c r="S309" s="8" t="str">
        <f>IFERROR(INDEX(样本到样信息汇总统计!S$2:S$500,MATCH(308,样本到样信息汇总统计!$AA$2:$AA$500,0)),"")</f>
        <v/>
      </c>
      <c r="T309" s="8" t="str">
        <f>IFERROR(INDEX(样本到样信息汇总统计!T$2:T$500,MATCH(308,样本到样信息汇总统计!$AA$2:$AA$500,0)),"")</f>
        <v/>
      </c>
      <c r="U309" s="8" t="str">
        <f>IFERROR(INDEX(样本到样信息汇总统计!U$2:U$500,MATCH(308,样本到样信息汇总统计!$AA$2:$AA$500,0)),"")</f>
        <v/>
      </c>
      <c r="V309" s="8" t="str">
        <f>IFERROR(INDEX(样本到样信息汇总统计!V$2:V$500,MATCH(308,样本到样信息汇总统计!$AA$2:$AA$500,0)),"")</f>
        <v/>
      </c>
      <c r="W309" s="8" t="str">
        <f>IFERROR(INDEX(样本到样信息汇总统计!W$2:W$500,MATCH(308,样本到样信息汇总统计!$AA$2:$AA$500,0)),"")</f>
        <v/>
      </c>
    </row>
    <row r="310" ht="14.5" spans="1:23">
      <c r="A310" s="4" t="str">
        <f>IFERROR(INDEX(样本到样信息汇总统计!A$2:A$500,MATCH(309,样本到样信息汇总统计!$AA$2:$AA$500,0)),"")</f>
        <v/>
      </c>
      <c r="B310" s="4" t="str">
        <f>IFERROR(INDEX(样本到样信息汇总统计!B$2:B$500,MATCH(309,样本到样信息汇总统计!$AA$2:$AA$500,0)),"")</f>
        <v/>
      </c>
      <c r="C310" s="4" t="str">
        <f>IFERROR(INDEX(样本到样信息汇总统计!C$2:C$500,MATCH(309,样本到样信息汇总统计!$AA$2:$AA$500,0)),"")</f>
        <v/>
      </c>
      <c r="D310" s="4" t="str">
        <f>IFERROR(INDEX(样本到样信息汇总统计!D$2:D$500,MATCH(309,样本到样信息汇总统计!$AA$2:$AA$500,0)),"")</f>
        <v/>
      </c>
      <c r="E310" s="4" t="str">
        <f>IFERROR(INDEX(样本到样信息汇总统计!E$2:E$500,MATCH(309,样本到样信息汇总统计!$AA$2:$AA$500,0)),"")</f>
        <v/>
      </c>
      <c r="F310" s="4" t="str">
        <f>IFERROR(INDEX(样本到样信息汇总统计!F$2:F$500,MATCH(309,样本到样信息汇总统计!$AA$2:$AA$500,0)),"")</f>
        <v/>
      </c>
      <c r="G310" s="4" t="str">
        <f>IFERROR(INDEX(样本到样信息汇总统计!G$2:G$500,MATCH(309,样本到样信息汇总统计!$AA$2:$AA$500,0)),"")</f>
        <v/>
      </c>
      <c r="H310" s="4" t="str">
        <f>IFERROR(INDEX(样本到样信息汇总统计!H$2:H$500,MATCH(309,样本到样信息汇总统计!$AA$2:$AA$500,0)),"")</f>
        <v/>
      </c>
      <c r="I310" s="4" t="str">
        <f>IFERROR(INDEX(样本到样信息汇总统计!I$2:I$500,MATCH(309,样本到样信息汇总统计!$AA$2:$AA$500,0)),"")</f>
        <v/>
      </c>
      <c r="J310" s="4" t="str">
        <f>IFERROR(INDEX(样本到样信息汇总统计!J$2:J$500,MATCH(309,样本到样信息汇总统计!$AA$2:$AA$500,0)),"")</f>
        <v/>
      </c>
      <c r="K310" s="4" t="str">
        <f>IFERROR(INDEX(样本到样信息汇总统计!K$2:K$500,MATCH(309,样本到样信息汇总统计!$AA$2:$AA$500,0)),"")</f>
        <v/>
      </c>
      <c r="L310" s="4" t="str">
        <f>IFERROR(INDEX(样本到样信息汇总统计!L$2:L$500,MATCH(309,样本到样信息汇总统计!$AA$2:$AA$500,0)),"")</f>
        <v/>
      </c>
      <c r="M310" s="4" t="str">
        <f>IFERROR(INDEX(样本到样信息汇总统计!M$2:M$500,MATCH(309,样本到样信息汇总统计!$AA$2:$AA$500,0)),"")</f>
        <v/>
      </c>
      <c r="N310" s="4" t="str">
        <f>IFERROR(INDEX(样本到样信息汇总统计!N$2:N$500,MATCH(309,样本到样信息汇总统计!$AA$2:$AA$500,0)),"")</f>
        <v/>
      </c>
      <c r="O310" s="4" t="str">
        <f>IFERROR(INDEX(样本到样信息汇总统计!O$2:O$500,MATCH(309,样本到样信息汇总统计!$AA$2:$AA$500,0)),"")</f>
        <v/>
      </c>
      <c r="P310" s="4" t="str">
        <f>IFERROR(INDEX(样本到样信息汇总统计!P$2:P$500,MATCH(309,样本到样信息汇总统计!$AA$2:$AA$500,0)),"")</f>
        <v/>
      </c>
      <c r="Q310" s="4" t="str">
        <f>IFERROR(INDEX(样本到样信息汇总统计!Q$2:Q$500,MATCH(309,样本到样信息汇总统计!$AA$2:$AA$500,0)),"")</f>
        <v/>
      </c>
      <c r="R310" s="4" t="str">
        <f>IFERROR(INDEX(样本到样信息汇总统计!R$2:R$500,MATCH(309,样本到样信息汇总统计!$AA$2:$AA$500,0)),"")</f>
        <v/>
      </c>
      <c r="S310" s="4" t="str">
        <f>IFERROR(INDEX(样本到样信息汇总统计!S$2:S$500,MATCH(309,样本到样信息汇总统计!$AA$2:$AA$500,0)),"")</f>
        <v/>
      </c>
      <c r="T310" s="4" t="str">
        <f>IFERROR(INDEX(样本到样信息汇总统计!T$2:T$500,MATCH(309,样本到样信息汇总统计!$AA$2:$AA$500,0)),"")</f>
        <v/>
      </c>
      <c r="U310" s="4" t="str">
        <f>IFERROR(INDEX(样本到样信息汇总统计!U$2:U$500,MATCH(309,样本到样信息汇总统计!$AA$2:$AA$500,0)),"")</f>
        <v/>
      </c>
      <c r="V310" s="4" t="str">
        <f>IFERROR(INDEX(样本到样信息汇总统计!V$2:V$500,MATCH(309,样本到样信息汇总统计!$AA$2:$AA$500,0)),"")</f>
        <v/>
      </c>
      <c r="W310" s="4" t="str">
        <f>IFERROR(INDEX(样本到样信息汇总统计!W$2:W$500,MATCH(309,样本到样信息汇总统计!$AA$2:$AA$500,0)),"")</f>
        <v/>
      </c>
    </row>
    <row r="311" ht="14.5" spans="1:23">
      <c r="A311" s="8" t="str">
        <f>IFERROR(INDEX(样本到样信息汇总统计!A$2:A$500,MATCH(310,样本到样信息汇总统计!$AA$2:$AA$500,0)),"")</f>
        <v/>
      </c>
      <c r="B311" s="8" t="str">
        <f>IFERROR(INDEX(样本到样信息汇总统计!B$2:B$500,MATCH(310,样本到样信息汇总统计!$AA$2:$AA$500,0)),"")</f>
        <v/>
      </c>
      <c r="C311" s="8" t="str">
        <f>IFERROR(INDEX(样本到样信息汇总统计!C$2:C$500,MATCH(310,样本到样信息汇总统计!$AA$2:$AA$500,0)),"")</f>
        <v/>
      </c>
      <c r="D311" s="8" t="str">
        <f>IFERROR(INDEX(样本到样信息汇总统计!D$2:D$500,MATCH(310,样本到样信息汇总统计!$AA$2:$AA$500,0)),"")</f>
        <v/>
      </c>
      <c r="E311" s="8" t="str">
        <f>IFERROR(INDEX(样本到样信息汇总统计!E$2:E$500,MATCH(310,样本到样信息汇总统计!$AA$2:$AA$500,0)),"")</f>
        <v/>
      </c>
      <c r="F311" s="8" t="str">
        <f>IFERROR(INDEX(样本到样信息汇总统计!F$2:F$500,MATCH(310,样本到样信息汇总统计!$AA$2:$AA$500,0)),"")</f>
        <v/>
      </c>
      <c r="G311" s="8" t="str">
        <f>IFERROR(INDEX(样本到样信息汇总统计!G$2:G$500,MATCH(310,样本到样信息汇总统计!$AA$2:$AA$500,0)),"")</f>
        <v/>
      </c>
      <c r="H311" s="8" t="str">
        <f>IFERROR(INDEX(样本到样信息汇总统计!H$2:H$500,MATCH(310,样本到样信息汇总统计!$AA$2:$AA$500,0)),"")</f>
        <v/>
      </c>
      <c r="I311" s="8" t="str">
        <f>IFERROR(INDEX(样本到样信息汇总统计!I$2:I$500,MATCH(310,样本到样信息汇总统计!$AA$2:$AA$500,0)),"")</f>
        <v/>
      </c>
      <c r="J311" s="8" t="str">
        <f>IFERROR(INDEX(样本到样信息汇总统计!J$2:J$500,MATCH(310,样本到样信息汇总统计!$AA$2:$AA$500,0)),"")</f>
        <v/>
      </c>
      <c r="K311" s="8" t="str">
        <f>IFERROR(INDEX(样本到样信息汇总统计!K$2:K$500,MATCH(310,样本到样信息汇总统计!$AA$2:$AA$500,0)),"")</f>
        <v/>
      </c>
      <c r="L311" s="8" t="str">
        <f>IFERROR(INDEX(样本到样信息汇总统计!L$2:L$500,MATCH(310,样本到样信息汇总统计!$AA$2:$AA$500,0)),"")</f>
        <v/>
      </c>
      <c r="M311" s="8" t="str">
        <f>IFERROR(INDEX(样本到样信息汇总统计!M$2:M$500,MATCH(310,样本到样信息汇总统计!$AA$2:$AA$500,0)),"")</f>
        <v/>
      </c>
      <c r="N311" s="8" t="str">
        <f>IFERROR(INDEX(样本到样信息汇总统计!N$2:N$500,MATCH(310,样本到样信息汇总统计!$AA$2:$AA$500,0)),"")</f>
        <v/>
      </c>
      <c r="O311" s="8" t="str">
        <f>IFERROR(INDEX(样本到样信息汇总统计!O$2:O$500,MATCH(310,样本到样信息汇总统计!$AA$2:$AA$500,0)),"")</f>
        <v/>
      </c>
      <c r="P311" s="8" t="str">
        <f>IFERROR(INDEX(样本到样信息汇总统计!P$2:P$500,MATCH(310,样本到样信息汇总统计!$AA$2:$AA$500,0)),"")</f>
        <v/>
      </c>
      <c r="Q311" s="8" t="str">
        <f>IFERROR(INDEX(样本到样信息汇总统计!Q$2:Q$500,MATCH(310,样本到样信息汇总统计!$AA$2:$AA$500,0)),"")</f>
        <v/>
      </c>
      <c r="R311" s="8" t="str">
        <f>IFERROR(INDEX(样本到样信息汇总统计!R$2:R$500,MATCH(310,样本到样信息汇总统计!$AA$2:$AA$500,0)),"")</f>
        <v/>
      </c>
      <c r="S311" s="8" t="str">
        <f>IFERROR(INDEX(样本到样信息汇总统计!S$2:S$500,MATCH(310,样本到样信息汇总统计!$AA$2:$AA$500,0)),"")</f>
        <v/>
      </c>
      <c r="T311" s="8" t="str">
        <f>IFERROR(INDEX(样本到样信息汇总统计!T$2:T$500,MATCH(310,样本到样信息汇总统计!$AA$2:$AA$500,0)),"")</f>
        <v/>
      </c>
      <c r="U311" s="8" t="str">
        <f>IFERROR(INDEX(样本到样信息汇总统计!U$2:U$500,MATCH(310,样本到样信息汇总统计!$AA$2:$AA$500,0)),"")</f>
        <v/>
      </c>
      <c r="V311" s="8" t="str">
        <f>IFERROR(INDEX(样本到样信息汇总统计!V$2:V$500,MATCH(310,样本到样信息汇总统计!$AA$2:$AA$500,0)),"")</f>
        <v/>
      </c>
      <c r="W311" s="8" t="str">
        <f>IFERROR(INDEX(样本到样信息汇总统计!W$2:W$500,MATCH(310,样本到样信息汇总统计!$AA$2:$AA$500,0)),"")</f>
        <v/>
      </c>
    </row>
    <row r="312" ht="14.5" spans="1:23">
      <c r="A312" s="4" t="str">
        <f>IFERROR(INDEX(样本到样信息汇总统计!A$2:A$500,MATCH(311,样本到样信息汇总统计!$AA$2:$AA$500,0)),"")</f>
        <v/>
      </c>
      <c r="B312" s="4" t="str">
        <f>IFERROR(INDEX(样本到样信息汇总统计!B$2:B$500,MATCH(311,样本到样信息汇总统计!$AA$2:$AA$500,0)),"")</f>
        <v/>
      </c>
      <c r="C312" s="4" t="str">
        <f>IFERROR(INDEX(样本到样信息汇总统计!C$2:C$500,MATCH(311,样本到样信息汇总统计!$AA$2:$AA$500,0)),"")</f>
        <v/>
      </c>
      <c r="D312" s="4" t="str">
        <f>IFERROR(INDEX(样本到样信息汇总统计!D$2:D$500,MATCH(311,样本到样信息汇总统计!$AA$2:$AA$500,0)),"")</f>
        <v/>
      </c>
      <c r="E312" s="4" t="str">
        <f>IFERROR(INDEX(样本到样信息汇总统计!E$2:E$500,MATCH(311,样本到样信息汇总统计!$AA$2:$AA$500,0)),"")</f>
        <v/>
      </c>
      <c r="F312" s="4" t="str">
        <f>IFERROR(INDEX(样本到样信息汇总统计!F$2:F$500,MATCH(311,样本到样信息汇总统计!$AA$2:$AA$500,0)),"")</f>
        <v/>
      </c>
      <c r="G312" s="4" t="str">
        <f>IFERROR(INDEX(样本到样信息汇总统计!G$2:G$500,MATCH(311,样本到样信息汇总统计!$AA$2:$AA$500,0)),"")</f>
        <v/>
      </c>
      <c r="H312" s="4" t="str">
        <f>IFERROR(INDEX(样本到样信息汇总统计!H$2:H$500,MATCH(311,样本到样信息汇总统计!$AA$2:$AA$500,0)),"")</f>
        <v/>
      </c>
      <c r="I312" s="4" t="str">
        <f>IFERROR(INDEX(样本到样信息汇总统计!I$2:I$500,MATCH(311,样本到样信息汇总统计!$AA$2:$AA$500,0)),"")</f>
        <v/>
      </c>
      <c r="J312" s="4" t="str">
        <f>IFERROR(INDEX(样本到样信息汇总统计!J$2:J$500,MATCH(311,样本到样信息汇总统计!$AA$2:$AA$500,0)),"")</f>
        <v/>
      </c>
      <c r="K312" s="4" t="str">
        <f>IFERROR(INDEX(样本到样信息汇总统计!K$2:K$500,MATCH(311,样本到样信息汇总统计!$AA$2:$AA$500,0)),"")</f>
        <v/>
      </c>
      <c r="L312" s="4" t="str">
        <f>IFERROR(INDEX(样本到样信息汇总统计!L$2:L$500,MATCH(311,样本到样信息汇总统计!$AA$2:$AA$500,0)),"")</f>
        <v/>
      </c>
      <c r="M312" s="4" t="str">
        <f>IFERROR(INDEX(样本到样信息汇总统计!M$2:M$500,MATCH(311,样本到样信息汇总统计!$AA$2:$AA$500,0)),"")</f>
        <v/>
      </c>
      <c r="N312" s="4" t="str">
        <f>IFERROR(INDEX(样本到样信息汇总统计!N$2:N$500,MATCH(311,样本到样信息汇总统计!$AA$2:$AA$500,0)),"")</f>
        <v/>
      </c>
      <c r="O312" s="4" t="str">
        <f>IFERROR(INDEX(样本到样信息汇总统计!O$2:O$500,MATCH(311,样本到样信息汇总统计!$AA$2:$AA$500,0)),"")</f>
        <v/>
      </c>
      <c r="P312" s="4" t="str">
        <f>IFERROR(INDEX(样本到样信息汇总统计!P$2:P$500,MATCH(311,样本到样信息汇总统计!$AA$2:$AA$500,0)),"")</f>
        <v/>
      </c>
      <c r="Q312" s="4" t="str">
        <f>IFERROR(INDEX(样本到样信息汇总统计!Q$2:Q$500,MATCH(311,样本到样信息汇总统计!$AA$2:$AA$500,0)),"")</f>
        <v/>
      </c>
      <c r="R312" s="4" t="str">
        <f>IFERROR(INDEX(样本到样信息汇总统计!R$2:R$500,MATCH(311,样本到样信息汇总统计!$AA$2:$AA$500,0)),"")</f>
        <v/>
      </c>
      <c r="S312" s="4" t="str">
        <f>IFERROR(INDEX(样本到样信息汇总统计!S$2:S$500,MATCH(311,样本到样信息汇总统计!$AA$2:$AA$500,0)),"")</f>
        <v/>
      </c>
      <c r="T312" s="4" t="str">
        <f>IFERROR(INDEX(样本到样信息汇总统计!T$2:T$500,MATCH(311,样本到样信息汇总统计!$AA$2:$AA$500,0)),"")</f>
        <v/>
      </c>
      <c r="U312" s="4" t="str">
        <f>IFERROR(INDEX(样本到样信息汇总统计!U$2:U$500,MATCH(311,样本到样信息汇总统计!$AA$2:$AA$500,0)),"")</f>
        <v/>
      </c>
      <c r="V312" s="4" t="str">
        <f>IFERROR(INDEX(样本到样信息汇总统计!V$2:V$500,MATCH(311,样本到样信息汇总统计!$AA$2:$AA$500,0)),"")</f>
        <v/>
      </c>
      <c r="W312" s="4" t="str">
        <f>IFERROR(INDEX(样本到样信息汇总统计!W$2:W$500,MATCH(311,样本到样信息汇总统计!$AA$2:$AA$500,0)),"")</f>
        <v/>
      </c>
    </row>
    <row r="313" ht="14.5" spans="1:23">
      <c r="A313" s="8" t="str">
        <f>IFERROR(INDEX(样本到样信息汇总统计!A$2:A$500,MATCH(312,样本到样信息汇总统计!$AA$2:$AA$500,0)),"")</f>
        <v/>
      </c>
      <c r="B313" s="8" t="str">
        <f>IFERROR(INDEX(样本到样信息汇总统计!B$2:B$500,MATCH(312,样本到样信息汇总统计!$AA$2:$AA$500,0)),"")</f>
        <v/>
      </c>
      <c r="C313" s="8" t="str">
        <f>IFERROR(INDEX(样本到样信息汇总统计!C$2:C$500,MATCH(312,样本到样信息汇总统计!$AA$2:$AA$500,0)),"")</f>
        <v/>
      </c>
      <c r="D313" s="8" t="str">
        <f>IFERROR(INDEX(样本到样信息汇总统计!D$2:D$500,MATCH(312,样本到样信息汇总统计!$AA$2:$AA$500,0)),"")</f>
        <v/>
      </c>
      <c r="E313" s="8" t="str">
        <f>IFERROR(INDEX(样本到样信息汇总统计!E$2:E$500,MATCH(312,样本到样信息汇总统计!$AA$2:$AA$500,0)),"")</f>
        <v/>
      </c>
      <c r="F313" s="8" t="str">
        <f>IFERROR(INDEX(样本到样信息汇总统计!F$2:F$500,MATCH(312,样本到样信息汇总统计!$AA$2:$AA$500,0)),"")</f>
        <v/>
      </c>
      <c r="G313" s="8" t="str">
        <f>IFERROR(INDEX(样本到样信息汇总统计!G$2:G$500,MATCH(312,样本到样信息汇总统计!$AA$2:$AA$500,0)),"")</f>
        <v/>
      </c>
      <c r="H313" s="8" t="str">
        <f>IFERROR(INDEX(样本到样信息汇总统计!H$2:H$500,MATCH(312,样本到样信息汇总统计!$AA$2:$AA$500,0)),"")</f>
        <v/>
      </c>
      <c r="I313" s="8" t="str">
        <f>IFERROR(INDEX(样本到样信息汇总统计!I$2:I$500,MATCH(312,样本到样信息汇总统计!$AA$2:$AA$500,0)),"")</f>
        <v/>
      </c>
      <c r="J313" s="8" t="str">
        <f>IFERROR(INDEX(样本到样信息汇总统计!J$2:J$500,MATCH(312,样本到样信息汇总统计!$AA$2:$AA$500,0)),"")</f>
        <v/>
      </c>
      <c r="K313" s="8" t="str">
        <f>IFERROR(INDEX(样本到样信息汇总统计!K$2:K$500,MATCH(312,样本到样信息汇总统计!$AA$2:$AA$500,0)),"")</f>
        <v/>
      </c>
      <c r="L313" s="8" t="str">
        <f>IFERROR(INDEX(样本到样信息汇总统计!L$2:L$500,MATCH(312,样本到样信息汇总统计!$AA$2:$AA$500,0)),"")</f>
        <v/>
      </c>
      <c r="M313" s="8" t="str">
        <f>IFERROR(INDEX(样本到样信息汇总统计!M$2:M$500,MATCH(312,样本到样信息汇总统计!$AA$2:$AA$500,0)),"")</f>
        <v/>
      </c>
      <c r="N313" s="8" t="str">
        <f>IFERROR(INDEX(样本到样信息汇总统计!N$2:N$500,MATCH(312,样本到样信息汇总统计!$AA$2:$AA$500,0)),"")</f>
        <v/>
      </c>
      <c r="O313" s="8" t="str">
        <f>IFERROR(INDEX(样本到样信息汇总统计!O$2:O$500,MATCH(312,样本到样信息汇总统计!$AA$2:$AA$500,0)),"")</f>
        <v/>
      </c>
      <c r="P313" s="8" t="str">
        <f>IFERROR(INDEX(样本到样信息汇总统计!P$2:P$500,MATCH(312,样本到样信息汇总统计!$AA$2:$AA$500,0)),"")</f>
        <v/>
      </c>
      <c r="Q313" s="8" t="str">
        <f>IFERROR(INDEX(样本到样信息汇总统计!Q$2:Q$500,MATCH(312,样本到样信息汇总统计!$AA$2:$AA$500,0)),"")</f>
        <v/>
      </c>
      <c r="R313" s="8" t="str">
        <f>IFERROR(INDEX(样本到样信息汇总统计!R$2:R$500,MATCH(312,样本到样信息汇总统计!$AA$2:$AA$500,0)),"")</f>
        <v/>
      </c>
      <c r="S313" s="8" t="str">
        <f>IFERROR(INDEX(样本到样信息汇总统计!S$2:S$500,MATCH(312,样本到样信息汇总统计!$AA$2:$AA$500,0)),"")</f>
        <v/>
      </c>
      <c r="T313" s="8" t="str">
        <f>IFERROR(INDEX(样本到样信息汇总统计!T$2:T$500,MATCH(312,样本到样信息汇总统计!$AA$2:$AA$500,0)),"")</f>
        <v/>
      </c>
      <c r="U313" s="8" t="str">
        <f>IFERROR(INDEX(样本到样信息汇总统计!U$2:U$500,MATCH(312,样本到样信息汇总统计!$AA$2:$AA$500,0)),"")</f>
        <v/>
      </c>
      <c r="V313" s="8" t="str">
        <f>IFERROR(INDEX(样本到样信息汇总统计!V$2:V$500,MATCH(312,样本到样信息汇总统计!$AA$2:$AA$500,0)),"")</f>
        <v/>
      </c>
      <c r="W313" s="8" t="str">
        <f>IFERROR(INDEX(样本到样信息汇总统计!W$2:W$500,MATCH(312,样本到样信息汇总统计!$AA$2:$AA$500,0)),"")</f>
        <v/>
      </c>
    </row>
    <row r="314" ht="14.5" spans="1:23">
      <c r="A314" s="4" t="str">
        <f>IFERROR(INDEX(样本到样信息汇总统计!A$2:A$500,MATCH(313,样本到样信息汇总统计!$AA$2:$AA$500,0)),"")</f>
        <v/>
      </c>
      <c r="B314" s="4" t="str">
        <f>IFERROR(INDEX(样本到样信息汇总统计!B$2:B$500,MATCH(313,样本到样信息汇总统计!$AA$2:$AA$500,0)),"")</f>
        <v/>
      </c>
      <c r="C314" s="4" t="str">
        <f>IFERROR(INDEX(样本到样信息汇总统计!C$2:C$500,MATCH(313,样本到样信息汇总统计!$AA$2:$AA$500,0)),"")</f>
        <v/>
      </c>
      <c r="D314" s="4" t="str">
        <f>IFERROR(INDEX(样本到样信息汇总统计!D$2:D$500,MATCH(313,样本到样信息汇总统计!$AA$2:$AA$500,0)),"")</f>
        <v/>
      </c>
      <c r="E314" s="4" t="str">
        <f>IFERROR(INDEX(样本到样信息汇总统计!E$2:E$500,MATCH(313,样本到样信息汇总统计!$AA$2:$AA$500,0)),"")</f>
        <v/>
      </c>
      <c r="F314" s="4" t="str">
        <f>IFERROR(INDEX(样本到样信息汇总统计!F$2:F$500,MATCH(313,样本到样信息汇总统计!$AA$2:$AA$500,0)),"")</f>
        <v/>
      </c>
      <c r="G314" s="4" t="str">
        <f>IFERROR(INDEX(样本到样信息汇总统计!G$2:G$500,MATCH(313,样本到样信息汇总统计!$AA$2:$AA$500,0)),"")</f>
        <v/>
      </c>
      <c r="H314" s="4" t="str">
        <f>IFERROR(INDEX(样本到样信息汇总统计!H$2:H$500,MATCH(313,样本到样信息汇总统计!$AA$2:$AA$500,0)),"")</f>
        <v/>
      </c>
      <c r="I314" s="4" t="str">
        <f>IFERROR(INDEX(样本到样信息汇总统计!I$2:I$500,MATCH(313,样本到样信息汇总统计!$AA$2:$AA$500,0)),"")</f>
        <v/>
      </c>
      <c r="J314" s="4" t="str">
        <f>IFERROR(INDEX(样本到样信息汇总统计!J$2:J$500,MATCH(313,样本到样信息汇总统计!$AA$2:$AA$500,0)),"")</f>
        <v/>
      </c>
      <c r="K314" s="4" t="str">
        <f>IFERROR(INDEX(样本到样信息汇总统计!K$2:K$500,MATCH(313,样本到样信息汇总统计!$AA$2:$AA$500,0)),"")</f>
        <v/>
      </c>
      <c r="L314" s="4" t="str">
        <f>IFERROR(INDEX(样本到样信息汇总统计!L$2:L$500,MATCH(313,样本到样信息汇总统计!$AA$2:$AA$500,0)),"")</f>
        <v/>
      </c>
      <c r="M314" s="4" t="str">
        <f>IFERROR(INDEX(样本到样信息汇总统计!M$2:M$500,MATCH(313,样本到样信息汇总统计!$AA$2:$AA$500,0)),"")</f>
        <v/>
      </c>
      <c r="N314" s="4" t="str">
        <f>IFERROR(INDEX(样本到样信息汇总统计!N$2:N$500,MATCH(313,样本到样信息汇总统计!$AA$2:$AA$500,0)),"")</f>
        <v/>
      </c>
      <c r="O314" s="4" t="str">
        <f>IFERROR(INDEX(样本到样信息汇总统计!O$2:O$500,MATCH(313,样本到样信息汇总统计!$AA$2:$AA$500,0)),"")</f>
        <v/>
      </c>
      <c r="P314" s="4" t="str">
        <f>IFERROR(INDEX(样本到样信息汇总统计!P$2:P$500,MATCH(313,样本到样信息汇总统计!$AA$2:$AA$500,0)),"")</f>
        <v/>
      </c>
      <c r="Q314" s="4" t="str">
        <f>IFERROR(INDEX(样本到样信息汇总统计!Q$2:Q$500,MATCH(313,样本到样信息汇总统计!$AA$2:$AA$500,0)),"")</f>
        <v/>
      </c>
      <c r="R314" s="4" t="str">
        <f>IFERROR(INDEX(样本到样信息汇总统计!R$2:R$500,MATCH(313,样本到样信息汇总统计!$AA$2:$AA$500,0)),"")</f>
        <v/>
      </c>
      <c r="S314" s="4" t="str">
        <f>IFERROR(INDEX(样本到样信息汇总统计!S$2:S$500,MATCH(313,样本到样信息汇总统计!$AA$2:$AA$500,0)),"")</f>
        <v/>
      </c>
      <c r="T314" s="4" t="str">
        <f>IFERROR(INDEX(样本到样信息汇总统计!T$2:T$500,MATCH(313,样本到样信息汇总统计!$AA$2:$AA$500,0)),"")</f>
        <v/>
      </c>
      <c r="U314" s="4" t="str">
        <f>IFERROR(INDEX(样本到样信息汇总统计!U$2:U$500,MATCH(313,样本到样信息汇总统计!$AA$2:$AA$500,0)),"")</f>
        <v/>
      </c>
      <c r="V314" s="4" t="str">
        <f>IFERROR(INDEX(样本到样信息汇总统计!V$2:V$500,MATCH(313,样本到样信息汇总统计!$AA$2:$AA$500,0)),"")</f>
        <v/>
      </c>
      <c r="W314" s="4" t="str">
        <f>IFERROR(INDEX(样本到样信息汇总统计!W$2:W$500,MATCH(313,样本到样信息汇总统计!$AA$2:$AA$500,0)),"")</f>
        <v/>
      </c>
    </row>
    <row r="315" ht="14.5" spans="1:23">
      <c r="A315" s="8" t="str">
        <f>IFERROR(INDEX(样本到样信息汇总统计!A$2:A$500,MATCH(314,样本到样信息汇总统计!$AA$2:$AA$500,0)),"")</f>
        <v/>
      </c>
      <c r="B315" s="8" t="str">
        <f>IFERROR(INDEX(样本到样信息汇总统计!B$2:B$500,MATCH(314,样本到样信息汇总统计!$AA$2:$AA$500,0)),"")</f>
        <v/>
      </c>
      <c r="C315" s="8" t="str">
        <f>IFERROR(INDEX(样本到样信息汇总统计!C$2:C$500,MATCH(314,样本到样信息汇总统计!$AA$2:$AA$500,0)),"")</f>
        <v/>
      </c>
      <c r="D315" s="8" t="str">
        <f>IFERROR(INDEX(样本到样信息汇总统计!D$2:D$500,MATCH(314,样本到样信息汇总统计!$AA$2:$AA$500,0)),"")</f>
        <v/>
      </c>
      <c r="E315" s="8" t="str">
        <f>IFERROR(INDEX(样本到样信息汇总统计!E$2:E$500,MATCH(314,样本到样信息汇总统计!$AA$2:$AA$500,0)),"")</f>
        <v/>
      </c>
      <c r="F315" s="8" t="str">
        <f>IFERROR(INDEX(样本到样信息汇总统计!F$2:F$500,MATCH(314,样本到样信息汇总统计!$AA$2:$AA$500,0)),"")</f>
        <v/>
      </c>
      <c r="G315" s="8" t="str">
        <f>IFERROR(INDEX(样本到样信息汇总统计!G$2:G$500,MATCH(314,样本到样信息汇总统计!$AA$2:$AA$500,0)),"")</f>
        <v/>
      </c>
      <c r="H315" s="8" t="str">
        <f>IFERROR(INDEX(样本到样信息汇总统计!H$2:H$500,MATCH(314,样本到样信息汇总统计!$AA$2:$AA$500,0)),"")</f>
        <v/>
      </c>
      <c r="I315" s="8" t="str">
        <f>IFERROR(INDEX(样本到样信息汇总统计!I$2:I$500,MATCH(314,样本到样信息汇总统计!$AA$2:$AA$500,0)),"")</f>
        <v/>
      </c>
      <c r="J315" s="8" t="str">
        <f>IFERROR(INDEX(样本到样信息汇总统计!J$2:J$500,MATCH(314,样本到样信息汇总统计!$AA$2:$AA$500,0)),"")</f>
        <v/>
      </c>
      <c r="K315" s="8" t="str">
        <f>IFERROR(INDEX(样本到样信息汇总统计!K$2:K$500,MATCH(314,样本到样信息汇总统计!$AA$2:$AA$500,0)),"")</f>
        <v/>
      </c>
      <c r="L315" s="8" t="str">
        <f>IFERROR(INDEX(样本到样信息汇总统计!L$2:L$500,MATCH(314,样本到样信息汇总统计!$AA$2:$AA$500,0)),"")</f>
        <v/>
      </c>
      <c r="M315" s="8" t="str">
        <f>IFERROR(INDEX(样本到样信息汇总统计!M$2:M$500,MATCH(314,样本到样信息汇总统计!$AA$2:$AA$500,0)),"")</f>
        <v/>
      </c>
      <c r="N315" s="8" t="str">
        <f>IFERROR(INDEX(样本到样信息汇总统计!N$2:N$500,MATCH(314,样本到样信息汇总统计!$AA$2:$AA$500,0)),"")</f>
        <v/>
      </c>
      <c r="O315" s="8" t="str">
        <f>IFERROR(INDEX(样本到样信息汇总统计!O$2:O$500,MATCH(314,样本到样信息汇总统计!$AA$2:$AA$500,0)),"")</f>
        <v/>
      </c>
      <c r="P315" s="8" t="str">
        <f>IFERROR(INDEX(样本到样信息汇总统计!P$2:P$500,MATCH(314,样本到样信息汇总统计!$AA$2:$AA$500,0)),"")</f>
        <v/>
      </c>
      <c r="Q315" s="8" t="str">
        <f>IFERROR(INDEX(样本到样信息汇总统计!Q$2:Q$500,MATCH(314,样本到样信息汇总统计!$AA$2:$AA$500,0)),"")</f>
        <v/>
      </c>
      <c r="R315" s="8" t="str">
        <f>IFERROR(INDEX(样本到样信息汇总统计!R$2:R$500,MATCH(314,样本到样信息汇总统计!$AA$2:$AA$500,0)),"")</f>
        <v/>
      </c>
      <c r="S315" s="8" t="str">
        <f>IFERROR(INDEX(样本到样信息汇总统计!S$2:S$500,MATCH(314,样本到样信息汇总统计!$AA$2:$AA$500,0)),"")</f>
        <v/>
      </c>
      <c r="T315" s="8" t="str">
        <f>IFERROR(INDEX(样本到样信息汇总统计!T$2:T$500,MATCH(314,样本到样信息汇总统计!$AA$2:$AA$500,0)),"")</f>
        <v/>
      </c>
      <c r="U315" s="8" t="str">
        <f>IFERROR(INDEX(样本到样信息汇总统计!U$2:U$500,MATCH(314,样本到样信息汇总统计!$AA$2:$AA$500,0)),"")</f>
        <v/>
      </c>
      <c r="V315" s="8" t="str">
        <f>IFERROR(INDEX(样本到样信息汇总统计!V$2:V$500,MATCH(314,样本到样信息汇总统计!$AA$2:$AA$500,0)),"")</f>
        <v/>
      </c>
      <c r="W315" s="8" t="str">
        <f>IFERROR(INDEX(样本到样信息汇总统计!W$2:W$500,MATCH(314,样本到样信息汇总统计!$AA$2:$AA$500,0)),"")</f>
        <v/>
      </c>
    </row>
    <row r="316" ht="14.5" spans="1:23">
      <c r="A316" s="4" t="str">
        <f>IFERROR(INDEX(样本到样信息汇总统计!A$2:A$500,MATCH(315,样本到样信息汇总统计!$AA$2:$AA$500,0)),"")</f>
        <v/>
      </c>
      <c r="B316" s="4" t="str">
        <f>IFERROR(INDEX(样本到样信息汇总统计!B$2:B$500,MATCH(315,样本到样信息汇总统计!$AA$2:$AA$500,0)),"")</f>
        <v/>
      </c>
      <c r="C316" s="4" t="str">
        <f>IFERROR(INDEX(样本到样信息汇总统计!C$2:C$500,MATCH(315,样本到样信息汇总统计!$AA$2:$AA$500,0)),"")</f>
        <v/>
      </c>
      <c r="D316" s="4" t="str">
        <f>IFERROR(INDEX(样本到样信息汇总统计!D$2:D$500,MATCH(315,样本到样信息汇总统计!$AA$2:$AA$500,0)),"")</f>
        <v/>
      </c>
      <c r="E316" s="4" t="str">
        <f>IFERROR(INDEX(样本到样信息汇总统计!E$2:E$500,MATCH(315,样本到样信息汇总统计!$AA$2:$AA$500,0)),"")</f>
        <v/>
      </c>
      <c r="F316" s="4" t="str">
        <f>IFERROR(INDEX(样本到样信息汇总统计!F$2:F$500,MATCH(315,样本到样信息汇总统计!$AA$2:$AA$500,0)),"")</f>
        <v/>
      </c>
      <c r="G316" s="4" t="str">
        <f>IFERROR(INDEX(样本到样信息汇总统计!G$2:G$500,MATCH(315,样本到样信息汇总统计!$AA$2:$AA$500,0)),"")</f>
        <v/>
      </c>
      <c r="H316" s="4" t="str">
        <f>IFERROR(INDEX(样本到样信息汇总统计!H$2:H$500,MATCH(315,样本到样信息汇总统计!$AA$2:$AA$500,0)),"")</f>
        <v/>
      </c>
      <c r="I316" s="4" t="str">
        <f>IFERROR(INDEX(样本到样信息汇总统计!I$2:I$500,MATCH(315,样本到样信息汇总统计!$AA$2:$AA$500,0)),"")</f>
        <v/>
      </c>
      <c r="J316" s="4" t="str">
        <f>IFERROR(INDEX(样本到样信息汇总统计!J$2:J$500,MATCH(315,样本到样信息汇总统计!$AA$2:$AA$500,0)),"")</f>
        <v/>
      </c>
      <c r="K316" s="4" t="str">
        <f>IFERROR(INDEX(样本到样信息汇总统计!K$2:K$500,MATCH(315,样本到样信息汇总统计!$AA$2:$AA$500,0)),"")</f>
        <v/>
      </c>
      <c r="L316" s="4" t="str">
        <f>IFERROR(INDEX(样本到样信息汇总统计!L$2:L$500,MATCH(315,样本到样信息汇总统计!$AA$2:$AA$500,0)),"")</f>
        <v/>
      </c>
      <c r="M316" s="4" t="str">
        <f>IFERROR(INDEX(样本到样信息汇总统计!M$2:M$500,MATCH(315,样本到样信息汇总统计!$AA$2:$AA$500,0)),"")</f>
        <v/>
      </c>
      <c r="N316" s="4" t="str">
        <f>IFERROR(INDEX(样本到样信息汇总统计!N$2:N$500,MATCH(315,样本到样信息汇总统计!$AA$2:$AA$500,0)),"")</f>
        <v/>
      </c>
      <c r="O316" s="4" t="str">
        <f>IFERROR(INDEX(样本到样信息汇总统计!O$2:O$500,MATCH(315,样本到样信息汇总统计!$AA$2:$AA$500,0)),"")</f>
        <v/>
      </c>
      <c r="P316" s="4" t="str">
        <f>IFERROR(INDEX(样本到样信息汇总统计!P$2:P$500,MATCH(315,样本到样信息汇总统计!$AA$2:$AA$500,0)),"")</f>
        <v/>
      </c>
      <c r="Q316" s="4" t="str">
        <f>IFERROR(INDEX(样本到样信息汇总统计!Q$2:Q$500,MATCH(315,样本到样信息汇总统计!$AA$2:$AA$500,0)),"")</f>
        <v/>
      </c>
      <c r="R316" s="4" t="str">
        <f>IFERROR(INDEX(样本到样信息汇总统计!R$2:R$500,MATCH(315,样本到样信息汇总统计!$AA$2:$AA$500,0)),"")</f>
        <v/>
      </c>
      <c r="S316" s="4" t="str">
        <f>IFERROR(INDEX(样本到样信息汇总统计!S$2:S$500,MATCH(315,样本到样信息汇总统计!$AA$2:$AA$500,0)),"")</f>
        <v/>
      </c>
      <c r="T316" s="4" t="str">
        <f>IFERROR(INDEX(样本到样信息汇总统计!T$2:T$500,MATCH(315,样本到样信息汇总统计!$AA$2:$AA$500,0)),"")</f>
        <v/>
      </c>
      <c r="U316" s="4" t="str">
        <f>IFERROR(INDEX(样本到样信息汇总统计!U$2:U$500,MATCH(315,样本到样信息汇总统计!$AA$2:$AA$500,0)),"")</f>
        <v/>
      </c>
      <c r="V316" s="4" t="str">
        <f>IFERROR(INDEX(样本到样信息汇总统计!V$2:V$500,MATCH(315,样本到样信息汇总统计!$AA$2:$AA$500,0)),"")</f>
        <v/>
      </c>
      <c r="W316" s="4" t="str">
        <f>IFERROR(INDEX(样本到样信息汇总统计!W$2:W$500,MATCH(315,样本到样信息汇总统计!$AA$2:$AA$500,0)),"")</f>
        <v/>
      </c>
    </row>
    <row r="317" ht="14.5" spans="1:23">
      <c r="A317" s="8" t="str">
        <f>IFERROR(INDEX(样本到样信息汇总统计!A$2:A$500,MATCH(316,样本到样信息汇总统计!$AA$2:$AA$500,0)),"")</f>
        <v/>
      </c>
      <c r="B317" s="8" t="str">
        <f>IFERROR(INDEX(样本到样信息汇总统计!B$2:B$500,MATCH(316,样本到样信息汇总统计!$AA$2:$AA$500,0)),"")</f>
        <v/>
      </c>
      <c r="C317" s="8" t="str">
        <f>IFERROR(INDEX(样本到样信息汇总统计!C$2:C$500,MATCH(316,样本到样信息汇总统计!$AA$2:$AA$500,0)),"")</f>
        <v/>
      </c>
      <c r="D317" s="8" t="str">
        <f>IFERROR(INDEX(样本到样信息汇总统计!D$2:D$500,MATCH(316,样本到样信息汇总统计!$AA$2:$AA$500,0)),"")</f>
        <v/>
      </c>
      <c r="E317" s="8" t="str">
        <f>IFERROR(INDEX(样本到样信息汇总统计!E$2:E$500,MATCH(316,样本到样信息汇总统计!$AA$2:$AA$500,0)),"")</f>
        <v/>
      </c>
      <c r="F317" s="8" t="str">
        <f>IFERROR(INDEX(样本到样信息汇总统计!F$2:F$500,MATCH(316,样本到样信息汇总统计!$AA$2:$AA$500,0)),"")</f>
        <v/>
      </c>
      <c r="G317" s="8" t="str">
        <f>IFERROR(INDEX(样本到样信息汇总统计!G$2:G$500,MATCH(316,样本到样信息汇总统计!$AA$2:$AA$500,0)),"")</f>
        <v/>
      </c>
      <c r="H317" s="8" t="str">
        <f>IFERROR(INDEX(样本到样信息汇总统计!H$2:H$500,MATCH(316,样本到样信息汇总统计!$AA$2:$AA$500,0)),"")</f>
        <v/>
      </c>
      <c r="I317" s="8" t="str">
        <f>IFERROR(INDEX(样本到样信息汇总统计!I$2:I$500,MATCH(316,样本到样信息汇总统计!$AA$2:$AA$500,0)),"")</f>
        <v/>
      </c>
      <c r="J317" s="8" t="str">
        <f>IFERROR(INDEX(样本到样信息汇总统计!J$2:J$500,MATCH(316,样本到样信息汇总统计!$AA$2:$AA$500,0)),"")</f>
        <v/>
      </c>
      <c r="K317" s="8" t="str">
        <f>IFERROR(INDEX(样本到样信息汇总统计!K$2:K$500,MATCH(316,样本到样信息汇总统计!$AA$2:$AA$500,0)),"")</f>
        <v/>
      </c>
      <c r="L317" s="8" t="str">
        <f>IFERROR(INDEX(样本到样信息汇总统计!L$2:L$500,MATCH(316,样本到样信息汇总统计!$AA$2:$AA$500,0)),"")</f>
        <v/>
      </c>
      <c r="M317" s="8" t="str">
        <f>IFERROR(INDEX(样本到样信息汇总统计!M$2:M$500,MATCH(316,样本到样信息汇总统计!$AA$2:$AA$500,0)),"")</f>
        <v/>
      </c>
      <c r="N317" s="8" t="str">
        <f>IFERROR(INDEX(样本到样信息汇总统计!N$2:N$500,MATCH(316,样本到样信息汇总统计!$AA$2:$AA$500,0)),"")</f>
        <v/>
      </c>
      <c r="O317" s="8" t="str">
        <f>IFERROR(INDEX(样本到样信息汇总统计!O$2:O$500,MATCH(316,样本到样信息汇总统计!$AA$2:$AA$500,0)),"")</f>
        <v/>
      </c>
      <c r="P317" s="8" t="str">
        <f>IFERROR(INDEX(样本到样信息汇总统计!P$2:P$500,MATCH(316,样本到样信息汇总统计!$AA$2:$AA$500,0)),"")</f>
        <v/>
      </c>
      <c r="Q317" s="8" t="str">
        <f>IFERROR(INDEX(样本到样信息汇总统计!Q$2:Q$500,MATCH(316,样本到样信息汇总统计!$AA$2:$AA$500,0)),"")</f>
        <v/>
      </c>
      <c r="R317" s="8" t="str">
        <f>IFERROR(INDEX(样本到样信息汇总统计!R$2:R$500,MATCH(316,样本到样信息汇总统计!$AA$2:$AA$500,0)),"")</f>
        <v/>
      </c>
      <c r="S317" s="8" t="str">
        <f>IFERROR(INDEX(样本到样信息汇总统计!S$2:S$500,MATCH(316,样本到样信息汇总统计!$AA$2:$AA$500,0)),"")</f>
        <v/>
      </c>
      <c r="T317" s="8" t="str">
        <f>IFERROR(INDEX(样本到样信息汇总统计!T$2:T$500,MATCH(316,样本到样信息汇总统计!$AA$2:$AA$500,0)),"")</f>
        <v/>
      </c>
      <c r="U317" s="8" t="str">
        <f>IFERROR(INDEX(样本到样信息汇总统计!U$2:U$500,MATCH(316,样本到样信息汇总统计!$AA$2:$AA$500,0)),"")</f>
        <v/>
      </c>
      <c r="V317" s="8" t="str">
        <f>IFERROR(INDEX(样本到样信息汇总统计!V$2:V$500,MATCH(316,样本到样信息汇总统计!$AA$2:$AA$500,0)),"")</f>
        <v/>
      </c>
      <c r="W317" s="8" t="str">
        <f>IFERROR(INDEX(样本到样信息汇总统计!W$2:W$500,MATCH(316,样本到样信息汇总统计!$AA$2:$AA$500,0)),"")</f>
        <v/>
      </c>
    </row>
    <row r="318" ht="14.5" spans="1:23">
      <c r="A318" s="4" t="str">
        <f>IFERROR(INDEX(样本到样信息汇总统计!A$2:A$500,MATCH(317,样本到样信息汇总统计!$AA$2:$AA$500,0)),"")</f>
        <v/>
      </c>
      <c r="B318" s="4" t="str">
        <f>IFERROR(INDEX(样本到样信息汇总统计!B$2:B$500,MATCH(317,样本到样信息汇总统计!$AA$2:$AA$500,0)),"")</f>
        <v/>
      </c>
      <c r="C318" s="4" t="str">
        <f>IFERROR(INDEX(样本到样信息汇总统计!C$2:C$500,MATCH(317,样本到样信息汇总统计!$AA$2:$AA$500,0)),"")</f>
        <v/>
      </c>
      <c r="D318" s="4" t="str">
        <f>IFERROR(INDEX(样本到样信息汇总统计!D$2:D$500,MATCH(317,样本到样信息汇总统计!$AA$2:$AA$500,0)),"")</f>
        <v/>
      </c>
      <c r="E318" s="4" t="str">
        <f>IFERROR(INDEX(样本到样信息汇总统计!E$2:E$500,MATCH(317,样本到样信息汇总统计!$AA$2:$AA$500,0)),"")</f>
        <v/>
      </c>
      <c r="F318" s="4" t="str">
        <f>IFERROR(INDEX(样本到样信息汇总统计!F$2:F$500,MATCH(317,样本到样信息汇总统计!$AA$2:$AA$500,0)),"")</f>
        <v/>
      </c>
      <c r="G318" s="4" t="str">
        <f>IFERROR(INDEX(样本到样信息汇总统计!G$2:G$500,MATCH(317,样本到样信息汇总统计!$AA$2:$AA$500,0)),"")</f>
        <v/>
      </c>
      <c r="H318" s="4" t="str">
        <f>IFERROR(INDEX(样本到样信息汇总统计!H$2:H$500,MATCH(317,样本到样信息汇总统计!$AA$2:$AA$500,0)),"")</f>
        <v/>
      </c>
      <c r="I318" s="4" t="str">
        <f>IFERROR(INDEX(样本到样信息汇总统计!I$2:I$500,MATCH(317,样本到样信息汇总统计!$AA$2:$AA$500,0)),"")</f>
        <v/>
      </c>
      <c r="J318" s="4" t="str">
        <f>IFERROR(INDEX(样本到样信息汇总统计!J$2:J$500,MATCH(317,样本到样信息汇总统计!$AA$2:$AA$500,0)),"")</f>
        <v/>
      </c>
      <c r="K318" s="4" t="str">
        <f>IFERROR(INDEX(样本到样信息汇总统计!K$2:K$500,MATCH(317,样本到样信息汇总统计!$AA$2:$AA$500,0)),"")</f>
        <v/>
      </c>
      <c r="L318" s="4" t="str">
        <f>IFERROR(INDEX(样本到样信息汇总统计!L$2:L$500,MATCH(317,样本到样信息汇总统计!$AA$2:$AA$500,0)),"")</f>
        <v/>
      </c>
      <c r="M318" s="4" t="str">
        <f>IFERROR(INDEX(样本到样信息汇总统计!M$2:M$500,MATCH(317,样本到样信息汇总统计!$AA$2:$AA$500,0)),"")</f>
        <v/>
      </c>
      <c r="N318" s="4" t="str">
        <f>IFERROR(INDEX(样本到样信息汇总统计!N$2:N$500,MATCH(317,样本到样信息汇总统计!$AA$2:$AA$500,0)),"")</f>
        <v/>
      </c>
      <c r="O318" s="4" t="str">
        <f>IFERROR(INDEX(样本到样信息汇总统计!O$2:O$500,MATCH(317,样本到样信息汇总统计!$AA$2:$AA$500,0)),"")</f>
        <v/>
      </c>
      <c r="P318" s="4" t="str">
        <f>IFERROR(INDEX(样本到样信息汇总统计!P$2:P$500,MATCH(317,样本到样信息汇总统计!$AA$2:$AA$500,0)),"")</f>
        <v/>
      </c>
      <c r="Q318" s="4" t="str">
        <f>IFERROR(INDEX(样本到样信息汇总统计!Q$2:Q$500,MATCH(317,样本到样信息汇总统计!$AA$2:$AA$500,0)),"")</f>
        <v/>
      </c>
      <c r="R318" s="4" t="str">
        <f>IFERROR(INDEX(样本到样信息汇总统计!R$2:R$500,MATCH(317,样本到样信息汇总统计!$AA$2:$AA$500,0)),"")</f>
        <v/>
      </c>
      <c r="S318" s="4" t="str">
        <f>IFERROR(INDEX(样本到样信息汇总统计!S$2:S$500,MATCH(317,样本到样信息汇总统计!$AA$2:$AA$500,0)),"")</f>
        <v/>
      </c>
      <c r="T318" s="4" t="str">
        <f>IFERROR(INDEX(样本到样信息汇总统计!T$2:T$500,MATCH(317,样本到样信息汇总统计!$AA$2:$AA$500,0)),"")</f>
        <v/>
      </c>
      <c r="U318" s="4" t="str">
        <f>IFERROR(INDEX(样本到样信息汇总统计!U$2:U$500,MATCH(317,样本到样信息汇总统计!$AA$2:$AA$500,0)),"")</f>
        <v/>
      </c>
      <c r="V318" s="4" t="str">
        <f>IFERROR(INDEX(样本到样信息汇总统计!V$2:V$500,MATCH(317,样本到样信息汇总统计!$AA$2:$AA$500,0)),"")</f>
        <v/>
      </c>
      <c r="W318" s="4" t="str">
        <f>IFERROR(INDEX(样本到样信息汇总统计!W$2:W$500,MATCH(317,样本到样信息汇总统计!$AA$2:$AA$500,0)),"")</f>
        <v/>
      </c>
    </row>
    <row r="319" ht="14.5" spans="1:23">
      <c r="A319" s="8" t="str">
        <f>IFERROR(INDEX(样本到样信息汇总统计!A$2:A$500,MATCH(318,样本到样信息汇总统计!$AA$2:$AA$500,0)),"")</f>
        <v/>
      </c>
      <c r="B319" s="8" t="str">
        <f>IFERROR(INDEX(样本到样信息汇总统计!B$2:B$500,MATCH(318,样本到样信息汇总统计!$AA$2:$AA$500,0)),"")</f>
        <v/>
      </c>
      <c r="C319" s="8" t="str">
        <f>IFERROR(INDEX(样本到样信息汇总统计!C$2:C$500,MATCH(318,样本到样信息汇总统计!$AA$2:$AA$500,0)),"")</f>
        <v/>
      </c>
      <c r="D319" s="8" t="str">
        <f>IFERROR(INDEX(样本到样信息汇总统计!D$2:D$500,MATCH(318,样本到样信息汇总统计!$AA$2:$AA$500,0)),"")</f>
        <v/>
      </c>
      <c r="E319" s="8" t="str">
        <f>IFERROR(INDEX(样本到样信息汇总统计!E$2:E$500,MATCH(318,样本到样信息汇总统计!$AA$2:$AA$500,0)),"")</f>
        <v/>
      </c>
      <c r="F319" s="8" t="str">
        <f>IFERROR(INDEX(样本到样信息汇总统计!F$2:F$500,MATCH(318,样本到样信息汇总统计!$AA$2:$AA$500,0)),"")</f>
        <v/>
      </c>
      <c r="G319" s="8" t="str">
        <f>IFERROR(INDEX(样本到样信息汇总统计!G$2:G$500,MATCH(318,样本到样信息汇总统计!$AA$2:$AA$500,0)),"")</f>
        <v/>
      </c>
      <c r="H319" s="8" t="str">
        <f>IFERROR(INDEX(样本到样信息汇总统计!H$2:H$500,MATCH(318,样本到样信息汇总统计!$AA$2:$AA$500,0)),"")</f>
        <v/>
      </c>
      <c r="I319" s="8" t="str">
        <f>IFERROR(INDEX(样本到样信息汇总统计!I$2:I$500,MATCH(318,样本到样信息汇总统计!$AA$2:$AA$500,0)),"")</f>
        <v/>
      </c>
      <c r="J319" s="8" t="str">
        <f>IFERROR(INDEX(样本到样信息汇总统计!J$2:J$500,MATCH(318,样本到样信息汇总统计!$AA$2:$AA$500,0)),"")</f>
        <v/>
      </c>
      <c r="K319" s="8" t="str">
        <f>IFERROR(INDEX(样本到样信息汇总统计!K$2:K$500,MATCH(318,样本到样信息汇总统计!$AA$2:$AA$500,0)),"")</f>
        <v/>
      </c>
      <c r="L319" s="8" t="str">
        <f>IFERROR(INDEX(样本到样信息汇总统计!L$2:L$500,MATCH(318,样本到样信息汇总统计!$AA$2:$AA$500,0)),"")</f>
        <v/>
      </c>
      <c r="M319" s="8" t="str">
        <f>IFERROR(INDEX(样本到样信息汇总统计!M$2:M$500,MATCH(318,样本到样信息汇总统计!$AA$2:$AA$500,0)),"")</f>
        <v/>
      </c>
      <c r="N319" s="8" t="str">
        <f>IFERROR(INDEX(样本到样信息汇总统计!N$2:N$500,MATCH(318,样本到样信息汇总统计!$AA$2:$AA$500,0)),"")</f>
        <v/>
      </c>
      <c r="O319" s="8" t="str">
        <f>IFERROR(INDEX(样本到样信息汇总统计!O$2:O$500,MATCH(318,样本到样信息汇总统计!$AA$2:$AA$500,0)),"")</f>
        <v/>
      </c>
      <c r="P319" s="8" t="str">
        <f>IFERROR(INDEX(样本到样信息汇总统计!P$2:P$500,MATCH(318,样本到样信息汇总统计!$AA$2:$AA$500,0)),"")</f>
        <v/>
      </c>
      <c r="Q319" s="8" t="str">
        <f>IFERROR(INDEX(样本到样信息汇总统计!Q$2:Q$500,MATCH(318,样本到样信息汇总统计!$AA$2:$AA$500,0)),"")</f>
        <v/>
      </c>
      <c r="R319" s="8" t="str">
        <f>IFERROR(INDEX(样本到样信息汇总统计!R$2:R$500,MATCH(318,样本到样信息汇总统计!$AA$2:$AA$500,0)),"")</f>
        <v/>
      </c>
      <c r="S319" s="8" t="str">
        <f>IFERROR(INDEX(样本到样信息汇总统计!S$2:S$500,MATCH(318,样本到样信息汇总统计!$AA$2:$AA$500,0)),"")</f>
        <v/>
      </c>
      <c r="T319" s="8" t="str">
        <f>IFERROR(INDEX(样本到样信息汇总统计!T$2:T$500,MATCH(318,样本到样信息汇总统计!$AA$2:$AA$500,0)),"")</f>
        <v/>
      </c>
      <c r="U319" s="8" t="str">
        <f>IFERROR(INDEX(样本到样信息汇总统计!U$2:U$500,MATCH(318,样本到样信息汇总统计!$AA$2:$AA$500,0)),"")</f>
        <v/>
      </c>
      <c r="V319" s="8" t="str">
        <f>IFERROR(INDEX(样本到样信息汇总统计!V$2:V$500,MATCH(318,样本到样信息汇总统计!$AA$2:$AA$500,0)),"")</f>
        <v/>
      </c>
      <c r="W319" s="8" t="str">
        <f>IFERROR(INDEX(样本到样信息汇总统计!W$2:W$500,MATCH(318,样本到样信息汇总统计!$AA$2:$AA$500,0)),"")</f>
        <v/>
      </c>
    </row>
    <row r="320" ht="14.5" spans="1:23">
      <c r="A320" s="4" t="str">
        <f>IFERROR(INDEX(样本到样信息汇总统计!A$2:A$500,MATCH(319,样本到样信息汇总统计!$AA$2:$AA$500,0)),"")</f>
        <v/>
      </c>
      <c r="B320" s="4" t="str">
        <f>IFERROR(INDEX(样本到样信息汇总统计!B$2:B$500,MATCH(319,样本到样信息汇总统计!$AA$2:$AA$500,0)),"")</f>
        <v/>
      </c>
      <c r="C320" s="4" t="str">
        <f>IFERROR(INDEX(样本到样信息汇总统计!C$2:C$500,MATCH(319,样本到样信息汇总统计!$AA$2:$AA$500,0)),"")</f>
        <v/>
      </c>
      <c r="D320" s="4" t="str">
        <f>IFERROR(INDEX(样本到样信息汇总统计!D$2:D$500,MATCH(319,样本到样信息汇总统计!$AA$2:$AA$500,0)),"")</f>
        <v/>
      </c>
      <c r="E320" s="4" t="str">
        <f>IFERROR(INDEX(样本到样信息汇总统计!E$2:E$500,MATCH(319,样本到样信息汇总统计!$AA$2:$AA$500,0)),"")</f>
        <v/>
      </c>
      <c r="F320" s="4" t="str">
        <f>IFERROR(INDEX(样本到样信息汇总统计!F$2:F$500,MATCH(319,样本到样信息汇总统计!$AA$2:$AA$500,0)),"")</f>
        <v/>
      </c>
      <c r="G320" s="4" t="str">
        <f>IFERROR(INDEX(样本到样信息汇总统计!G$2:G$500,MATCH(319,样本到样信息汇总统计!$AA$2:$AA$500,0)),"")</f>
        <v/>
      </c>
      <c r="H320" s="4" t="str">
        <f>IFERROR(INDEX(样本到样信息汇总统计!H$2:H$500,MATCH(319,样本到样信息汇总统计!$AA$2:$AA$500,0)),"")</f>
        <v/>
      </c>
      <c r="I320" s="4" t="str">
        <f>IFERROR(INDEX(样本到样信息汇总统计!I$2:I$500,MATCH(319,样本到样信息汇总统计!$AA$2:$AA$500,0)),"")</f>
        <v/>
      </c>
      <c r="J320" s="4" t="str">
        <f>IFERROR(INDEX(样本到样信息汇总统计!J$2:J$500,MATCH(319,样本到样信息汇总统计!$AA$2:$AA$500,0)),"")</f>
        <v/>
      </c>
      <c r="K320" s="4" t="str">
        <f>IFERROR(INDEX(样本到样信息汇总统计!K$2:K$500,MATCH(319,样本到样信息汇总统计!$AA$2:$AA$500,0)),"")</f>
        <v/>
      </c>
      <c r="L320" s="4" t="str">
        <f>IFERROR(INDEX(样本到样信息汇总统计!L$2:L$500,MATCH(319,样本到样信息汇总统计!$AA$2:$AA$500,0)),"")</f>
        <v/>
      </c>
      <c r="M320" s="4" t="str">
        <f>IFERROR(INDEX(样本到样信息汇总统计!M$2:M$500,MATCH(319,样本到样信息汇总统计!$AA$2:$AA$500,0)),"")</f>
        <v/>
      </c>
      <c r="N320" s="4" t="str">
        <f>IFERROR(INDEX(样本到样信息汇总统计!N$2:N$500,MATCH(319,样本到样信息汇总统计!$AA$2:$AA$500,0)),"")</f>
        <v/>
      </c>
      <c r="O320" s="4" t="str">
        <f>IFERROR(INDEX(样本到样信息汇总统计!O$2:O$500,MATCH(319,样本到样信息汇总统计!$AA$2:$AA$500,0)),"")</f>
        <v/>
      </c>
      <c r="P320" s="4" t="str">
        <f>IFERROR(INDEX(样本到样信息汇总统计!P$2:P$500,MATCH(319,样本到样信息汇总统计!$AA$2:$AA$500,0)),"")</f>
        <v/>
      </c>
      <c r="Q320" s="4" t="str">
        <f>IFERROR(INDEX(样本到样信息汇总统计!Q$2:Q$500,MATCH(319,样本到样信息汇总统计!$AA$2:$AA$500,0)),"")</f>
        <v/>
      </c>
      <c r="R320" s="4" t="str">
        <f>IFERROR(INDEX(样本到样信息汇总统计!R$2:R$500,MATCH(319,样本到样信息汇总统计!$AA$2:$AA$500,0)),"")</f>
        <v/>
      </c>
      <c r="S320" s="4" t="str">
        <f>IFERROR(INDEX(样本到样信息汇总统计!S$2:S$500,MATCH(319,样本到样信息汇总统计!$AA$2:$AA$500,0)),"")</f>
        <v/>
      </c>
      <c r="T320" s="4" t="str">
        <f>IFERROR(INDEX(样本到样信息汇总统计!T$2:T$500,MATCH(319,样本到样信息汇总统计!$AA$2:$AA$500,0)),"")</f>
        <v/>
      </c>
      <c r="U320" s="4" t="str">
        <f>IFERROR(INDEX(样本到样信息汇总统计!U$2:U$500,MATCH(319,样本到样信息汇总统计!$AA$2:$AA$500,0)),"")</f>
        <v/>
      </c>
      <c r="V320" s="4" t="str">
        <f>IFERROR(INDEX(样本到样信息汇总统计!V$2:V$500,MATCH(319,样本到样信息汇总统计!$AA$2:$AA$500,0)),"")</f>
        <v/>
      </c>
      <c r="W320" s="4" t="str">
        <f>IFERROR(INDEX(样本到样信息汇总统计!W$2:W$500,MATCH(319,样本到样信息汇总统计!$AA$2:$AA$500,0)),"")</f>
        <v/>
      </c>
    </row>
    <row r="321" ht="14.5" spans="1:23">
      <c r="A321" s="8" t="str">
        <f>IFERROR(INDEX(样本到样信息汇总统计!A$2:A$500,MATCH(320,样本到样信息汇总统计!$AA$2:$AA$500,0)),"")</f>
        <v/>
      </c>
      <c r="B321" s="8" t="str">
        <f>IFERROR(INDEX(样本到样信息汇总统计!B$2:B$500,MATCH(320,样本到样信息汇总统计!$AA$2:$AA$500,0)),"")</f>
        <v/>
      </c>
      <c r="C321" s="8" t="str">
        <f>IFERROR(INDEX(样本到样信息汇总统计!C$2:C$500,MATCH(320,样本到样信息汇总统计!$AA$2:$AA$500,0)),"")</f>
        <v/>
      </c>
      <c r="D321" s="8" t="str">
        <f>IFERROR(INDEX(样本到样信息汇总统计!D$2:D$500,MATCH(320,样本到样信息汇总统计!$AA$2:$AA$500,0)),"")</f>
        <v/>
      </c>
      <c r="E321" s="8" t="str">
        <f>IFERROR(INDEX(样本到样信息汇总统计!E$2:E$500,MATCH(320,样本到样信息汇总统计!$AA$2:$AA$500,0)),"")</f>
        <v/>
      </c>
      <c r="F321" s="8" t="str">
        <f>IFERROR(INDEX(样本到样信息汇总统计!F$2:F$500,MATCH(320,样本到样信息汇总统计!$AA$2:$AA$500,0)),"")</f>
        <v/>
      </c>
      <c r="G321" s="8" t="str">
        <f>IFERROR(INDEX(样本到样信息汇总统计!G$2:G$500,MATCH(320,样本到样信息汇总统计!$AA$2:$AA$500,0)),"")</f>
        <v/>
      </c>
      <c r="H321" s="8" t="str">
        <f>IFERROR(INDEX(样本到样信息汇总统计!H$2:H$500,MATCH(320,样本到样信息汇总统计!$AA$2:$AA$500,0)),"")</f>
        <v/>
      </c>
      <c r="I321" s="8" t="str">
        <f>IFERROR(INDEX(样本到样信息汇总统计!I$2:I$500,MATCH(320,样本到样信息汇总统计!$AA$2:$AA$500,0)),"")</f>
        <v/>
      </c>
      <c r="J321" s="8" t="str">
        <f>IFERROR(INDEX(样本到样信息汇总统计!J$2:J$500,MATCH(320,样本到样信息汇总统计!$AA$2:$AA$500,0)),"")</f>
        <v/>
      </c>
      <c r="K321" s="8" t="str">
        <f>IFERROR(INDEX(样本到样信息汇总统计!K$2:K$500,MATCH(320,样本到样信息汇总统计!$AA$2:$AA$500,0)),"")</f>
        <v/>
      </c>
      <c r="L321" s="8" t="str">
        <f>IFERROR(INDEX(样本到样信息汇总统计!L$2:L$500,MATCH(320,样本到样信息汇总统计!$AA$2:$AA$500,0)),"")</f>
        <v/>
      </c>
      <c r="M321" s="8" t="str">
        <f>IFERROR(INDEX(样本到样信息汇总统计!M$2:M$500,MATCH(320,样本到样信息汇总统计!$AA$2:$AA$500,0)),"")</f>
        <v/>
      </c>
      <c r="N321" s="8" t="str">
        <f>IFERROR(INDEX(样本到样信息汇总统计!N$2:N$500,MATCH(320,样本到样信息汇总统计!$AA$2:$AA$500,0)),"")</f>
        <v/>
      </c>
      <c r="O321" s="8" t="str">
        <f>IFERROR(INDEX(样本到样信息汇总统计!O$2:O$500,MATCH(320,样本到样信息汇总统计!$AA$2:$AA$500,0)),"")</f>
        <v/>
      </c>
      <c r="P321" s="8" t="str">
        <f>IFERROR(INDEX(样本到样信息汇总统计!P$2:P$500,MATCH(320,样本到样信息汇总统计!$AA$2:$AA$500,0)),"")</f>
        <v/>
      </c>
      <c r="Q321" s="8" t="str">
        <f>IFERROR(INDEX(样本到样信息汇总统计!Q$2:Q$500,MATCH(320,样本到样信息汇总统计!$AA$2:$AA$500,0)),"")</f>
        <v/>
      </c>
      <c r="R321" s="8" t="str">
        <f>IFERROR(INDEX(样本到样信息汇总统计!R$2:R$500,MATCH(320,样本到样信息汇总统计!$AA$2:$AA$500,0)),"")</f>
        <v/>
      </c>
      <c r="S321" s="8" t="str">
        <f>IFERROR(INDEX(样本到样信息汇总统计!S$2:S$500,MATCH(320,样本到样信息汇总统计!$AA$2:$AA$500,0)),"")</f>
        <v/>
      </c>
      <c r="T321" s="8" t="str">
        <f>IFERROR(INDEX(样本到样信息汇总统计!T$2:T$500,MATCH(320,样本到样信息汇总统计!$AA$2:$AA$500,0)),"")</f>
        <v/>
      </c>
      <c r="U321" s="8" t="str">
        <f>IFERROR(INDEX(样本到样信息汇总统计!U$2:U$500,MATCH(320,样本到样信息汇总统计!$AA$2:$AA$500,0)),"")</f>
        <v/>
      </c>
      <c r="V321" s="8" t="str">
        <f>IFERROR(INDEX(样本到样信息汇总统计!V$2:V$500,MATCH(320,样本到样信息汇总统计!$AA$2:$AA$500,0)),"")</f>
        <v/>
      </c>
      <c r="W321" s="8" t="str">
        <f>IFERROR(INDEX(样本到样信息汇总统计!W$2:W$500,MATCH(320,样本到样信息汇总统计!$AA$2:$AA$500,0)),"")</f>
        <v/>
      </c>
    </row>
    <row r="322" ht="14.5" spans="1:23">
      <c r="A322" s="4" t="str">
        <f>IFERROR(INDEX(样本到样信息汇总统计!A$2:A$500,MATCH(321,样本到样信息汇总统计!$AA$2:$AA$500,0)),"")</f>
        <v/>
      </c>
      <c r="B322" s="4" t="str">
        <f>IFERROR(INDEX(样本到样信息汇总统计!B$2:B$500,MATCH(321,样本到样信息汇总统计!$AA$2:$AA$500,0)),"")</f>
        <v/>
      </c>
      <c r="C322" s="4" t="str">
        <f>IFERROR(INDEX(样本到样信息汇总统计!C$2:C$500,MATCH(321,样本到样信息汇总统计!$AA$2:$AA$500,0)),"")</f>
        <v/>
      </c>
      <c r="D322" s="4" t="str">
        <f>IFERROR(INDEX(样本到样信息汇总统计!D$2:D$500,MATCH(321,样本到样信息汇总统计!$AA$2:$AA$500,0)),"")</f>
        <v/>
      </c>
      <c r="E322" s="4" t="str">
        <f>IFERROR(INDEX(样本到样信息汇总统计!E$2:E$500,MATCH(321,样本到样信息汇总统计!$AA$2:$AA$500,0)),"")</f>
        <v/>
      </c>
      <c r="F322" s="4" t="str">
        <f>IFERROR(INDEX(样本到样信息汇总统计!F$2:F$500,MATCH(321,样本到样信息汇总统计!$AA$2:$AA$500,0)),"")</f>
        <v/>
      </c>
      <c r="G322" s="4" t="str">
        <f>IFERROR(INDEX(样本到样信息汇总统计!G$2:G$500,MATCH(321,样本到样信息汇总统计!$AA$2:$AA$500,0)),"")</f>
        <v/>
      </c>
      <c r="H322" s="4" t="str">
        <f>IFERROR(INDEX(样本到样信息汇总统计!H$2:H$500,MATCH(321,样本到样信息汇总统计!$AA$2:$AA$500,0)),"")</f>
        <v/>
      </c>
      <c r="I322" s="4" t="str">
        <f>IFERROR(INDEX(样本到样信息汇总统计!I$2:I$500,MATCH(321,样本到样信息汇总统计!$AA$2:$AA$500,0)),"")</f>
        <v/>
      </c>
      <c r="J322" s="4" t="str">
        <f>IFERROR(INDEX(样本到样信息汇总统计!J$2:J$500,MATCH(321,样本到样信息汇总统计!$AA$2:$AA$500,0)),"")</f>
        <v/>
      </c>
      <c r="K322" s="4" t="str">
        <f>IFERROR(INDEX(样本到样信息汇总统计!K$2:K$500,MATCH(321,样本到样信息汇总统计!$AA$2:$AA$500,0)),"")</f>
        <v/>
      </c>
      <c r="L322" s="4" t="str">
        <f>IFERROR(INDEX(样本到样信息汇总统计!L$2:L$500,MATCH(321,样本到样信息汇总统计!$AA$2:$AA$500,0)),"")</f>
        <v/>
      </c>
      <c r="M322" s="4" t="str">
        <f>IFERROR(INDEX(样本到样信息汇总统计!M$2:M$500,MATCH(321,样本到样信息汇总统计!$AA$2:$AA$500,0)),"")</f>
        <v/>
      </c>
      <c r="N322" s="4" t="str">
        <f>IFERROR(INDEX(样本到样信息汇总统计!N$2:N$500,MATCH(321,样本到样信息汇总统计!$AA$2:$AA$500,0)),"")</f>
        <v/>
      </c>
      <c r="O322" s="4" t="str">
        <f>IFERROR(INDEX(样本到样信息汇总统计!O$2:O$500,MATCH(321,样本到样信息汇总统计!$AA$2:$AA$500,0)),"")</f>
        <v/>
      </c>
      <c r="P322" s="4" t="str">
        <f>IFERROR(INDEX(样本到样信息汇总统计!P$2:P$500,MATCH(321,样本到样信息汇总统计!$AA$2:$AA$500,0)),"")</f>
        <v/>
      </c>
      <c r="Q322" s="4" t="str">
        <f>IFERROR(INDEX(样本到样信息汇总统计!Q$2:Q$500,MATCH(321,样本到样信息汇总统计!$AA$2:$AA$500,0)),"")</f>
        <v/>
      </c>
      <c r="R322" s="4" t="str">
        <f>IFERROR(INDEX(样本到样信息汇总统计!R$2:R$500,MATCH(321,样本到样信息汇总统计!$AA$2:$AA$500,0)),"")</f>
        <v/>
      </c>
      <c r="S322" s="4" t="str">
        <f>IFERROR(INDEX(样本到样信息汇总统计!S$2:S$500,MATCH(321,样本到样信息汇总统计!$AA$2:$AA$500,0)),"")</f>
        <v/>
      </c>
      <c r="T322" s="4" t="str">
        <f>IFERROR(INDEX(样本到样信息汇总统计!T$2:T$500,MATCH(321,样本到样信息汇总统计!$AA$2:$AA$500,0)),"")</f>
        <v/>
      </c>
      <c r="U322" s="4" t="str">
        <f>IFERROR(INDEX(样本到样信息汇总统计!U$2:U$500,MATCH(321,样本到样信息汇总统计!$AA$2:$AA$500,0)),"")</f>
        <v/>
      </c>
      <c r="V322" s="4" t="str">
        <f>IFERROR(INDEX(样本到样信息汇总统计!V$2:V$500,MATCH(321,样本到样信息汇总统计!$AA$2:$AA$500,0)),"")</f>
        <v/>
      </c>
      <c r="W322" s="4" t="str">
        <f>IFERROR(INDEX(样本到样信息汇总统计!W$2:W$500,MATCH(321,样本到样信息汇总统计!$AA$2:$AA$500,0)),"")</f>
        <v/>
      </c>
    </row>
    <row r="323" ht="14.5" spans="1:23">
      <c r="A323" s="8" t="str">
        <f>IFERROR(INDEX(样本到样信息汇总统计!A$2:A$500,MATCH(322,样本到样信息汇总统计!$AA$2:$AA$500,0)),"")</f>
        <v/>
      </c>
      <c r="B323" s="8" t="str">
        <f>IFERROR(INDEX(样本到样信息汇总统计!B$2:B$500,MATCH(322,样本到样信息汇总统计!$AA$2:$AA$500,0)),"")</f>
        <v/>
      </c>
      <c r="C323" s="8" t="str">
        <f>IFERROR(INDEX(样本到样信息汇总统计!C$2:C$500,MATCH(322,样本到样信息汇总统计!$AA$2:$AA$500,0)),"")</f>
        <v/>
      </c>
      <c r="D323" s="8" t="str">
        <f>IFERROR(INDEX(样本到样信息汇总统计!D$2:D$500,MATCH(322,样本到样信息汇总统计!$AA$2:$AA$500,0)),"")</f>
        <v/>
      </c>
      <c r="E323" s="8" t="str">
        <f>IFERROR(INDEX(样本到样信息汇总统计!E$2:E$500,MATCH(322,样本到样信息汇总统计!$AA$2:$AA$500,0)),"")</f>
        <v/>
      </c>
      <c r="F323" s="8" t="str">
        <f>IFERROR(INDEX(样本到样信息汇总统计!F$2:F$500,MATCH(322,样本到样信息汇总统计!$AA$2:$AA$500,0)),"")</f>
        <v/>
      </c>
      <c r="G323" s="8" t="str">
        <f>IFERROR(INDEX(样本到样信息汇总统计!G$2:G$500,MATCH(322,样本到样信息汇总统计!$AA$2:$AA$500,0)),"")</f>
        <v/>
      </c>
      <c r="H323" s="8" t="str">
        <f>IFERROR(INDEX(样本到样信息汇总统计!H$2:H$500,MATCH(322,样本到样信息汇总统计!$AA$2:$AA$500,0)),"")</f>
        <v/>
      </c>
      <c r="I323" s="8" t="str">
        <f>IFERROR(INDEX(样本到样信息汇总统计!I$2:I$500,MATCH(322,样本到样信息汇总统计!$AA$2:$AA$500,0)),"")</f>
        <v/>
      </c>
      <c r="J323" s="8" t="str">
        <f>IFERROR(INDEX(样本到样信息汇总统计!J$2:J$500,MATCH(322,样本到样信息汇总统计!$AA$2:$AA$500,0)),"")</f>
        <v/>
      </c>
      <c r="K323" s="8" t="str">
        <f>IFERROR(INDEX(样本到样信息汇总统计!K$2:K$500,MATCH(322,样本到样信息汇总统计!$AA$2:$AA$500,0)),"")</f>
        <v/>
      </c>
      <c r="L323" s="8" t="str">
        <f>IFERROR(INDEX(样本到样信息汇总统计!L$2:L$500,MATCH(322,样本到样信息汇总统计!$AA$2:$AA$500,0)),"")</f>
        <v/>
      </c>
      <c r="M323" s="8" t="str">
        <f>IFERROR(INDEX(样本到样信息汇总统计!M$2:M$500,MATCH(322,样本到样信息汇总统计!$AA$2:$AA$500,0)),"")</f>
        <v/>
      </c>
      <c r="N323" s="8" t="str">
        <f>IFERROR(INDEX(样本到样信息汇总统计!N$2:N$500,MATCH(322,样本到样信息汇总统计!$AA$2:$AA$500,0)),"")</f>
        <v/>
      </c>
      <c r="O323" s="8" t="str">
        <f>IFERROR(INDEX(样本到样信息汇总统计!O$2:O$500,MATCH(322,样本到样信息汇总统计!$AA$2:$AA$500,0)),"")</f>
        <v/>
      </c>
      <c r="P323" s="8" t="str">
        <f>IFERROR(INDEX(样本到样信息汇总统计!P$2:P$500,MATCH(322,样本到样信息汇总统计!$AA$2:$AA$500,0)),"")</f>
        <v/>
      </c>
      <c r="Q323" s="8" t="str">
        <f>IFERROR(INDEX(样本到样信息汇总统计!Q$2:Q$500,MATCH(322,样本到样信息汇总统计!$AA$2:$AA$500,0)),"")</f>
        <v/>
      </c>
      <c r="R323" s="8" t="str">
        <f>IFERROR(INDEX(样本到样信息汇总统计!R$2:R$500,MATCH(322,样本到样信息汇总统计!$AA$2:$AA$500,0)),"")</f>
        <v/>
      </c>
      <c r="S323" s="8" t="str">
        <f>IFERROR(INDEX(样本到样信息汇总统计!S$2:S$500,MATCH(322,样本到样信息汇总统计!$AA$2:$AA$500,0)),"")</f>
        <v/>
      </c>
      <c r="T323" s="8" t="str">
        <f>IFERROR(INDEX(样本到样信息汇总统计!T$2:T$500,MATCH(322,样本到样信息汇总统计!$AA$2:$AA$500,0)),"")</f>
        <v/>
      </c>
      <c r="U323" s="8" t="str">
        <f>IFERROR(INDEX(样本到样信息汇总统计!U$2:U$500,MATCH(322,样本到样信息汇总统计!$AA$2:$AA$500,0)),"")</f>
        <v/>
      </c>
      <c r="V323" s="8" t="str">
        <f>IFERROR(INDEX(样本到样信息汇总统计!V$2:V$500,MATCH(322,样本到样信息汇总统计!$AA$2:$AA$500,0)),"")</f>
        <v/>
      </c>
      <c r="W323" s="8" t="str">
        <f>IFERROR(INDEX(样本到样信息汇总统计!W$2:W$500,MATCH(322,样本到样信息汇总统计!$AA$2:$AA$500,0)),"")</f>
        <v/>
      </c>
    </row>
    <row r="324" ht="14.5" spans="1:23">
      <c r="A324" s="4" t="str">
        <f>IFERROR(INDEX(样本到样信息汇总统计!A$2:A$500,MATCH(323,样本到样信息汇总统计!$AA$2:$AA$500,0)),"")</f>
        <v/>
      </c>
      <c r="B324" s="4" t="str">
        <f>IFERROR(INDEX(样本到样信息汇总统计!B$2:B$500,MATCH(323,样本到样信息汇总统计!$AA$2:$AA$500,0)),"")</f>
        <v/>
      </c>
      <c r="C324" s="4" t="str">
        <f>IFERROR(INDEX(样本到样信息汇总统计!C$2:C$500,MATCH(323,样本到样信息汇总统计!$AA$2:$AA$500,0)),"")</f>
        <v/>
      </c>
      <c r="D324" s="4" t="str">
        <f>IFERROR(INDEX(样本到样信息汇总统计!D$2:D$500,MATCH(323,样本到样信息汇总统计!$AA$2:$AA$500,0)),"")</f>
        <v/>
      </c>
      <c r="E324" s="4" t="str">
        <f>IFERROR(INDEX(样本到样信息汇总统计!E$2:E$500,MATCH(323,样本到样信息汇总统计!$AA$2:$AA$500,0)),"")</f>
        <v/>
      </c>
      <c r="F324" s="4" t="str">
        <f>IFERROR(INDEX(样本到样信息汇总统计!F$2:F$500,MATCH(323,样本到样信息汇总统计!$AA$2:$AA$500,0)),"")</f>
        <v/>
      </c>
      <c r="G324" s="4" t="str">
        <f>IFERROR(INDEX(样本到样信息汇总统计!G$2:G$500,MATCH(323,样本到样信息汇总统计!$AA$2:$AA$500,0)),"")</f>
        <v/>
      </c>
      <c r="H324" s="4" t="str">
        <f>IFERROR(INDEX(样本到样信息汇总统计!H$2:H$500,MATCH(323,样本到样信息汇总统计!$AA$2:$AA$500,0)),"")</f>
        <v/>
      </c>
      <c r="I324" s="4" t="str">
        <f>IFERROR(INDEX(样本到样信息汇总统计!I$2:I$500,MATCH(323,样本到样信息汇总统计!$AA$2:$AA$500,0)),"")</f>
        <v/>
      </c>
      <c r="J324" s="4" t="str">
        <f>IFERROR(INDEX(样本到样信息汇总统计!J$2:J$500,MATCH(323,样本到样信息汇总统计!$AA$2:$AA$500,0)),"")</f>
        <v/>
      </c>
      <c r="K324" s="4" t="str">
        <f>IFERROR(INDEX(样本到样信息汇总统计!K$2:K$500,MATCH(323,样本到样信息汇总统计!$AA$2:$AA$500,0)),"")</f>
        <v/>
      </c>
      <c r="L324" s="4" t="str">
        <f>IFERROR(INDEX(样本到样信息汇总统计!L$2:L$500,MATCH(323,样本到样信息汇总统计!$AA$2:$AA$500,0)),"")</f>
        <v/>
      </c>
      <c r="M324" s="4" t="str">
        <f>IFERROR(INDEX(样本到样信息汇总统计!M$2:M$500,MATCH(323,样本到样信息汇总统计!$AA$2:$AA$500,0)),"")</f>
        <v/>
      </c>
      <c r="N324" s="4" t="str">
        <f>IFERROR(INDEX(样本到样信息汇总统计!N$2:N$500,MATCH(323,样本到样信息汇总统计!$AA$2:$AA$500,0)),"")</f>
        <v/>
      </c>
      <c r="O324" s="4" t="str">
        <f>IFERROR(INDEX(样本到样信息汇总统计!O$2:O$500,MATCH(323,样本到样信息汇总统计!$AA$2:$AA$500,0)),"")</f>
        <v/>
      </c>
      <c r="P324" s="4" t="str">
        <f>IFERROR(INDEX(样本到样信息汇总统计!P$2:P$500,MATCH(323,样本到样信息汇总统计!$AA$2:$AA$500,0)),"")</f>
        <v/>
      </c>
      <c r="Q324" s="4" t="str">
        <f>IFERROR(INDEX(样本到样信息汇总统计!Q$2:Q$500,MATCH(323,样本到样信息汇总统计!$AA$2:$AA$500,0)),"")</f>
        <v/>
      </c>
      <c r="R324" s="4" t="str">
        <f>IFERROR(INDEX(样本到样信息汇总统计!R$2:R$500,MATCH(323,样本到样信息汇总统计!$AA$2:$AA$500,0)),"")</f>
        <v/>
      </c>
      <c r="S324" s="4" t="str">
        <f>IFERROR(INDEX(样本到样信息汇总统计!S$2:S$500,MATCH(323,样本到样信息汇总统计!$AA$2:$AA$500,0)),"")</f>
        <v/>
      </c>
      <c r="T324" s="4" t="str">
        <f>IFERROR(INDEX(样本到样信息汇总统计!T$2:T$500,MATCH(323,样本到样信息汇总统计!$AA$2:$AA$500,0)),"")</f>
        <v/>
      </c>
      <c r="U324" s="4" t="str">
        <f>IFERROR(INDEX(样本到样信息汇总统计!U$2:U$500,MATCH(323,样本到样信息汇总统计!$AA$2:$AA$500,0)),"")</f>
        <v/>
      </c>
      <c r="V324" s="4" t="str">
        <f>IFERROR(INDEX(样本到样信息汇总统计!V$2:V$500,MATCH(323,样本到样信息汇总统计!$AA$2:$AA$500,0)),"")</f>
        <v/>
      </c>
      <c r="W324" s="4" t="str">
        <f>IFERROR(INDEX(样本到样信息汇总统计!W$2:W$500,MATCH(323,样本到样信息汇总统计!$AA$2:$AA$500,0)),"")</f>
        <v/>
      </c>
    </row>
    <row r="325" ht="14.5" spans="1:23">
      <c r="A325" s="8" t="str">
        <f>IFERROR(INDEX(样本到样信息汇总统计!A$2:A$500,MATCH(324,样本到样信息汇总统计!$AA$2:$AA$500,0)),"")</f>
        <v/>
      </c>
      <c r="B325" s="8" t="str">
        <f>IFERROR(INDEX(样本到样信息汇总统计!B$2:B$500,MATCH(324,样本到样信息汇总统计!$AA$2:$AA$500,0)),"")</f>
        <v/>
      </c>
      <c r="C325" s="8" t="str">
        <f>IFERROR(INDEX(样本到样信息汇总统计!C$2:C$500,MATCH(324,样本到样信息汇总统计!$AA$2:$AA$500,0)),"")</f>
        <v/>
      </c>
      <c r="D325" s="8" t="str">
        <f>IFERROR(INDEX(样本到样信息汇总统计!D$2:D$500,MATCH(324,样本到样信息汇总统计!$AA$2:$AA$500,0)),"")</f>
        <v/>
      </c>
      <c r="E325" s="8" t="str">
        <f>IFERROR(INDEX(样本到样信息汇总统计!E$2:E$500,MATCH(324,样本到样信息汇总统计!$AA$2:$AA$500,0)),"")</f>
        <v/>
      </c>
      <c r="F325" s="8" t="str">
        <f>IFERROR(INDEX(样本到样信息汇总统计!F$2:F$500,MATCH(324,样本到样信息汇总统计!$AA$2:$AA$500,0)),"")</f>
        <v/>
      </c>
      <c r="G325" s="8" t="str">
        <f>IFERROR(INDEX(样本到样信息汇总统计!G$2:G$500,MATCH(324,样本到样信息汇总统计!$AA$2:$AA$500,0)),"")</f>
        <v/>
      </c>
      <c r="H325" s="8" t="str">
        <f>IFERROR(INDEX(样本到样信息汇总统计!H$2:H$500,MATCH(324,样本到样信息汇总统计!$AA$2:$AA$500,0)),"")</f>
        <v/>
      </c>
      <c r="I325" s="8" t="str">
        <f>IFERROR(INDEX(样本到样信息汇总统计!I$2:I$500,MATCH(324,样本到样信息汇总统计!$AA$2:$AA$500,0)),"")</f>
        <v/>
      </c>
      <c r="J325" s="8" t="str">
        <f>IFERROR(INDEX(样本到样信息汇总统计!J$2:J$500,MATCH(324,样本到样信息汇总统计!$AA$2:$AA$500,0)),"")</f>
        <v/>
      </c>
      <c r="K325" s="8" t="str">
        <f>IFERROR(INDEX(样本到样信息汇总统计!K$2:K$500,MATCH(324,样本到样信息汇总统计!$AA$2:$AA$500,0)),"")</f>
        <v/>
      </c>
      <c r="L325" s="8" t="str">
        <f>IFERROR(INDEX(样本到样信息汇总统计!L$2:L$500,MATCH(324,样本到样信息汇总统计!$AA$2:$AA$500,0)),"")</f>
        <v/>
      </c>
      <c r="M325" s="8" t="str">
        <f>IFERROR(INDEX(样本到样信息汇总统计!M$2:M$500,MATCH(324,样本到样信息汇总统计!$AA$2:$AA$500,0)),"")</f>
        <v/>
      </c>
      <c r="N325" s="8" t="str">
        <f>IFERROR(INDEX(样本到样信息汇总统计!N$2:N$500,MATCH(324,样本到样信息汇总统计!$AA$2:$AA$500,0)),"")</f>
        <v/>
      </c>
      <c r="O325" s="8" t="str">
        <f>IFERROR(INDEX(样本到样信息汇总统计!O$2:O$500,MATCH(324,样本到样信息汇总统计!$AA$2:$AA$500,0)),"")</f>
        <v/>
      </c>
      <c r="P325" s="8" t="str">
        <f>IFERROR(INDEX(样本到样信息汇总统计!P$2:P$500,MATCH(324,样本到样信息汇总统计!$AA$2:$AA$500,0)),"")</f>
        <v/>
      </c>
      <c r="Q325" s="8" t="str">
        <f>IFERROR(INDEX(样本到样信息汇总统计!Q$2:Q$500,MATCH(324,样本到样信息汇总统计!$AA$2:$AA$500,0)),"")</f>
        <v/>
      </c>
      <c r="R325" s="8" t="str">
        <f>IFERROR(INDEX(样本到样信息汇总统计!R$2:R$500,MATCH(324,样本到样信息汇总统计!$AA$2:$AA$500,0)),"")</f>
        <v/>
      </c>
      <c r="S325" s="8" t="str">
        <f>IFERROR(INDEX(样本到样信息汇总统计!S$2:S$500,MATCH(324,样本到样信息汇总统计!$AA$2:$AA$500,0)),"")</f>
        <v/>
      </c>
      <c r="T325" s="8" t="str">
        <f>IFERROR(INDEX(样本到样信息汇总统计!T$2:T$500,MATCH(324,样本到样信息汇总统计!$AA$2:$AA$500,0)),"")</f>
        <v/>
      </c>
      <c r="U325" s="8" t="str">
        <f>IFERROR(INDEX(样本到样信息汇总统计!U$2:U$500,MATCH(324,样本到样信息汇总统计!$AA$2:$AA$500,0)),"")</f>
        <v/>
      </c>
      <c r="V325" s="8" t="str">
        <f>IFERROR(INDEX(样本到样信息汇总统计!V$2:V$500,MATCH(324,样本到样信息汇总统计!$AA$2:$AA$500,0)),"")</f>
        <v/>
      </c>
      <c r="W325" s="8" t="str">
        <f>IFERROR(INDEX(样本到样信息汇总统计!W$2:W$500,MATCH(324,样本到样信息汇总统计!$AA$2:$AA$500,0)),"")</f>
        <v/>
      </c>
    </row>
    <row r="326" ht="14.5" spans="1:23">
      <c r="A326" s="4" t="str">
        <f>IFERROR(INDEX(样本到样信息汇总统计!A$2:A$500,MATCH(325,样本到样信息汇总统计!$AA$2:$AA$500,0)),"")</f>
        <v/>
      </c>
      <c r="B326" s="4" t="str">
        <f>IFERROR(INDEX(样本到样信息汇总统计!B$2:B$500,MATCH(325,样本到样信息汇总统计!$AA$2:$AA$500,0)),"")</f>
        <v/>
      </c>
      <c r="C326" s="4" t="str">
        <f>IFERROR(INDEX(样本到样信息汇总统计!C$2:C$500,MATCH(325,样本到样信息汇总统计!$AA$2:$AA$500,0)),"")</f>
        <v/>
      </c>
      <c r="D326" s="4" t="str">
        <f>IFERROR(INDEX(样本到样信息汇总统计!D$2:D$500,MATCH(325,样本到样信息汇总统计!$AA$2:$AA$500,0)),"")</f>
        <v/>
      </c>
      <c r="E326" s="4" t="str">
        <f>IFERROR(INDEX(样本到样信息汇总统计!E$2:E$500,MATCH(325,样本到样信息汇总统计!$AA$2:$AA$500,0)),"")</f>
        <v/>
      </c>
      <c r="F326" s="4" t="str">
        <f>IFERROR(INDEX(样本到样信息汇总统计!F$2:F$500,MATCH(325,样本到样信息汇总统计!$AA$2:$AA$500,0)),"")</f>
        <v/>
      </c>
      <c r="G326" s="4" t="str">
        <f>IFERROR(INDEX(样本到样信息汇总统计!G$2:G$500,MATCH(325,样本到样信息汇总统计!$AA$2:$AA$500,0)),"")</f>
        <v/>
      </c>
      <c r="H326" s="4" t="str">
        <f>IFERROR(INDEX(样本到样信息汇总统计!H$2:H$500,MATCH(325,样本到样信息汇总统计!$AA$2:$AA$500,0)),"")</f>
        <v/>
      </c>
      <c r="I326" s="4" t="str">
        <f>IFERROR(INDEX(样本到样信息汇总统计!I$2:I$500,MATCH(325,样本到样信息汇总统计!$AA$2:$AA$500,0)),"")</f>
        <v/>
      </c>
      <c r="J326" s="4" t="str">
        <f>IFERROR(INDEX(样本到样信息汇总统计!J$2:J$500,MATCH(325,样本到样信息汇总统计!$AA$2:$AA$500,0)),"")</f>
        <v/>
      </c>
      <c r="K326" s="4" t="str">
        <f>IFERROR(INDEX(样本到样信息汇总统计!K$2:K$500,MATCH(325,样本到样信息汇总统计!$AA$2:$AA$500,0)),"")</f>
        <v/>
      </c>
      <c r="L326" s="4" t="str">
        <f>IFERROR(INDEX(样本到样信息汇总统计!L$2:L$500,MATCH(325,样本到样信息汇总统计!$AA$2:$AA$500,0)),"")</f>
        <v/>
      </c>
      <c r="M326" s="4" t="str">
        <f>IFERROR(INDEX(样本到样信息汇总统计!M$2:M$500,MATCH(325,样本到样信息汇总统计!$AA$2:$AA$500,0)),"")</f>
        <v/>
      </c>
      <c r="N326" s="4" t="str">
        <f>IFERROR(INDEX(样本到样信息汇总统计!N$2:N$500,MATCH(325,样本到样信息汇总统计!$AA$2:$AA$500,0)),"")</f>
        <v/>
      </c>
      <c r="O326" s="4" t="str">
        <f>IFERROR(INDEX(样本到样信息汇总统计!O$2:O$500,MATCH(325,样本到样信息汇总统计!$AA$2:$AA$500,0)),"")</f>
        <v/>
      </c>
      <c r="P326" s="4" t="str">
        <f>IFERROR(INDEX(样本到样信息汇总统计!P$2:P$500,MATCH(325,样本到样信息汇总统计!$AA$2:$AA$500,0)),"")</f>
        <v/>
      </c>
      <c r="Q326" s="4" t="str">
        <f>IFERROR(INDEX(样本到样信息汇总统计!Q$2:Q$500,MATCH(325,样本到样信息汇总统计!$AA$2:$AA$500,0)),"")</f>
        <v/>
      </c>
      <c r="R326" s="4" t="str">
        <f>IFERROR(INDEX(样本到样信息汇总统计!R$2:R$500,MATCH(325,样本到样信息汇总统计!$AA$2:$AA$500,0)),"")</f>
        <v/>
      </c>
      <c r="S326" s="4" t="str">
        <f>IFERROR(INDEX(样本到样信息汇总统计!S$2:S$500,MATCH(325,样本到样信息汇总统计!$AA$2:$AA$500,0)),"")</f>
        <v/>
      </c>
      <c r="T326" s="4" t="str">
        <f>IFERROR(INDEX(样本到样信息汇总统计!T$2:T$500,MATCH(325,样本到样信息汇总统计!$AA$2:$AA$500,0)),"")</f>
        <v/>
      </c>
      <c r="U326" s="4" t="str">
        <f>IFERROR(INDEX(样本到样信息汇总统计!U$2:U$500,MATCH(325,样本到样信息汇总统计!$AA$2:$AA$500,0)),"")</f>
        <v/>
      </c>
      <c r="V326" s="4" t="str">
        <f>IFERROR(INDEX(样本到样信息汇总统计!V$2:V$500,MATCH(325,样本到样信息汇总统计!$AA$2:$AA$500,0)),"")</f>
        <v/>
      </c>
      <c r="W326" s="4" t="str">
        <f>IFERROR(INDEX(样本到样信息汇总统计!W$2:W$500,MATCH(325,样本到样信息汇总统计!$AA$2:$AA$500,0)),"")</f>
        <v/>
      </c>
    </row>
    <row r="327" ht="14.5" spans="1:23">
      <c r="A327" s="8" t="str">
        <f>IFERROR(INDEX(样本到样信息汇总统计!A$2:A$500,MATCH(326,样本到样信息汇总统计!$AA$2:$AA$500,0)),"")</f>
        <v/>
      </c>
      <c r="B327" s="8" t="str">
        <f>IFERROR(INDEX(样本到样信息汇总统计!B$2:B$500,MATCH(326,样本到样信息汇总统计!$AA$2:$AA$500,0)),"")</f>
        <v/>
      </c>
      <c r="C327" s="8" t="str">
        <f>IFERROR(INDEX(样本到样信息汇总统计!C$2:C$500,MATCH(326,样本到样信息汇总统计!$AA$2:$AA$500,0)),"")</f>
        <v/>
      </c>
      <c r="D327" s="8" t="str">
        <f>IFERROR(INDEX(样本到样信息汇总统计!D$2:D$500,MATCH(326,样本到样信息汇总统计!$AA$2:$AA$500,0)),"")</f>
        <v/>
      </c>
      <c r="E327" s="8" t="str">
        <f>IFERROR(INDEX(样本到样信息汇总统计!E$2:E$500,MATCH(326,样本到样信息汇总统计!$AA$2:$AA$500,0)),"")</f>
        <v/>
      </c>
      <c r="F327" s="8" t="str">
        <f>IFERROR(INDEX(样本到样信息汇总统计!F$2:F$500,MATCH(326,样本到样信息汇总统计!$AA$2:$AA$500,0)),"")</f>
        <v/>
      </c>
      <c r="G327" s="8" t="str">
        <f>IFERROR(INDEX(样本到样信息汇总统计!G$2:G$500,MATCH(326,样本到样信息汇总统计!$AA$2:$AA$500,0)),"")</f>
        <v/>
      </c>
      <c r="H327" s="8" t="str">
        <f>IFERROR(INDEX(样本到样信息汇总统计!H$2:H$500,MATCH(326,样本到样信息汇总统计!$AA$2:$AA$500,0)),"")</f>
        <v/>
      </c>
      <c r="I327" s="8" t="str">
        <f>IFERROR(INDEX(样本到样信息汇总统计!I$2:I$500,MATCH(326,样本到样信息汇总统计!$AA$2:$AA$500,0)),"")</f>
        <v/>
      </c>
      <c r="J327" s="8" t="str">
        <f>IFERROR(INDEX(样本到样信息汇总统计!J$2:J$500,MATCH(326,样本到样信息汇总统计!$AA$2:$AA$500,0)),"")</f>
        <v/>
      </c>
      <c r="K327" s="8" t="str">
        <f>IFERROR(INDEX(样本到样信息汇总统计!K$2:K$500,MATCH(326,样本到样信息汇总统计!$AA$2:$AA$500,0)),"")</f>
        <v/>
      </c>
      <c r="L327" s="8" t="str">
        <f>IFERROR(INDEX(样本到样信息汇总统计!L$2:L$500,MATCH(326,样本到样信息汇总统计!$AA$2:$AA$500,0)),"")</f>
        <v/>
      </c>
      <c r="M327" s="8" t="str">
        <f>IFERROR(INDEX(样本到样信息汇总统计!M$2:M$500,MATCH(326,样本到样信息汇总统计!$AA$2:$AA$500,0)),"")</f>
        <v/>
      </c>
      <c r="N327" s="8" t="str">
        <f>IFERROR(INDEX(样本到样信息汇总统计!N$2:N$500,MATCH(326,样本到样信息汇总统计!$AA$2:$AA$500,0)),"")</f>
        <v/>
      </c>
      <c r="O327" s="8" t="str">
        <f>IFERROR(INDEX(样本到样信息汇总统计!O$2:O$500,MATCH(326,样本到样信息汇总统计!$AA$2:$AA$500,0)),"")</f>
        <v/>
      </c>
      <c r="P327" s="8" t="str">
        <f>IFERROR(INDEX(样本到样信息汇总统计!P$2:P$500,MATCH(326,样本到样信息汇总统计!$AA$2:$AA$500,0)),"")</f>
        <v/>
      </c>
      <c r="Q327" s="8" t="str">
        <f>IFERROR(INDEX(样本到样信息汇总统计!Q$2:Q$500,MATCH(326,样本到样信息汇总统计!$AA$2:$AA$500,0)),"")</f>
        <v/>
      </c>
      <c r="R327" s="8" t="str">
        <f>IFERROR(INDEX(样本到样信息汇总统计!R$2:R$500,MATCH(326,样本到样信息汇总统计!$AA$2:$AA$500,0)),"")</f>
        <v/>
      </c>
      <c r="S327" s="8" t="str">
        <f>IFERROR(INDEX(样本到样信息汇总统计!S$2:S$500,MATCH(326,样本到样信息汇总统计!$AA$2:$AA$500,0)),"")</f>
        <v/>
      </c>
      <c r="T327" s="8" t="str">
        <f>IFERROR(INDEX(样本到样信息汇总统计!T$2:T$500,MATCH(326,样本到样信息汇总统计!$AA$2:$AA$500,0)),"")</f>
        <v/>
      </c>
      <c r="U327" s="8" t="str">
        <f>IFERROR(INDEX(样本到样信息汇总统计!U$2:U$500,MATCH(326,样本到样信息汇总统计!$AA$2:$AA$500,0)),"")</f>
        <v/>
      </c>
      <c r="V327" s="8" t="str">
        <f>IFERROR(INDEX(样本到样信息汇总统计!V$2:V$500,MATCH(326,样本到样信息汇总统计!$AA$2:$AA$500,0)),"")</f>
        <v/>
      </c>
      <c r="W327" s="8" t="str">
        <f>IFERROR(INDEX(样本到样信息汇总统计!W$2:W$500,MATCH(326,样本到样信息汇总统计!$AA$2:$AA$500,0)),"")</f>
        <v/>
      </c>
    </row>
    <row r="328" ht="14.5" spans="1:23">
      <c r="A328" s="4" t="str">
        <f>IFERROR(INDEX(样本到样信息汇总统计!A$2:A$500,MATCH(327,样本到样信息汇总统计!$AA$2:$AA$500,0)),"")</f>
        <v/>
      </c>
      <c r="B328" s="4" t="str">
        <f>IFERROR(INDEX(样本到样信息汇总统计!B$2:B$500,MATCH(327,样本到样信息汇总统计!$AA$2:$AA$500,0)),"")</f>
        <v/>
      </c>
      <c r="C328" s="4" t="str">
        <f>IFERROR(INDEX(样本到样信息汇总统计!C$2:C$500,MATCH(327,样本到样信息汇总统计!$AA$2:$AA$500,0)),"")</f>
        <v/>
      </c>
      <c r="D328" s="4" t="str">
        <f>IFERROR(INDEX(样本到样信息汇总统计!D$2:D$500,MATCH(327,样本到样信息汇总统计!$AA$2:$AA$500,0)),"")</f>
        <v/>
      </c>
      <c r="E328" s="4" t="str">
        <f>IFERROR(INDEX(样本到样信息汇总统计!E$2:E$500,MATCH(327,样本到样信息汇总统计!$AA$2:$AA$500,0)),"")</f>
        <v/>
      </c>
      <c r="F328" s="4" t="str">
        <f>IFERROR(INDEX(样本到样信息汇总统计!F$2:F$500,MATCH(327,样本到样信息汇总统计!$AA$2:$AA$500,0)),"")</f>
        <v/>
      </c>
      <c r="G328" s="4" t="str">
        <f>IFERROR(INDEX(样本到样信息汇总统计!G$2:G$500,MATCH(327,样本到样信息汇总统计!$AA$2:$AA$500,0)),"")</f>
        <v/>
      </c>
      <c r="H328" s="4" t="str">
        <f>IFERROR(INDEX(样本到样信息汇总统计!H$2:H$500,MATCH(327,样本到样信息汇总统计!$AA$2:$AA$500,0)),"")</f>
        <v/>
      </c>
      <c r="I328" s="4" t="str">
        <f>IFERROR(INDEX(样本到样信息汇总统计!I$2:I$500,MATCH(327,样本到样信息汇总统计!$AA$2:$AA$500,0)),"")</f>
        <v/>
      </c>
      <c r="J328" s="4" t="str">
        <f>IFERROR(INDEX(样本到样信息汇总统计!J$2:J$500,MATCH(327,样本到样信息汇总统计!$AA$2:$AA$500,0)),"")</f>
        <v/>
      </c>
      <c r="K328" s="4" t="str">
        <f>IFERROR(INDEX(样本到样信息汇总统计!K$2:K$500,MATCH(327,样本到样信息汇总统计!$AA$2:$AA$500,0)),"")</f>
        <v/>
      </c>
      <c r="L328" s="4" t="str">
        <f>IFERROR(INDEX(样本到样信息汇总统计!L$2:L$500,MATCH(327,样本到样信息汇总统计!$AA$2:$AA$500,0)),"")</f>
        <v/>
      </c>
      <c r="M328" s="4" t="str">
        <f>IFERROR(INDEX(样本到样信息汇总统计!M$2:M$500,MATCH(327,样本到样信息汇总统计!$AA$2:$AA$500,0)),"")</f>
        <v/>
      </c>
      <c r="N328" s="4" t="str">
        <f>IFERROR(INDEX(样本到样信息汇总统计!N$2:N$500,MATCH(327,样本到样信息汇总统计!$AA$2:$AA$500,0)),"")</f>
        <v/>
      </c>
      <c r="O328" s="4" t="str">
        <f>IFERROR(INDEX(样本到样信息汇总统计!O$2:O$500,MATCH(327,样本到样信息汇总统计!$AA$2:$AA$500,0)),"")</f>
        <v/>
      </c>
      <c r="P328" s="4" t="str">
        <f>IFERROR(INDEX(样本到样信息汇总统计!P$2:P$500,MATCH(327,样本到样信息汇总统计!$AA$2:$AA$500,0)),"")</f>
        <v/>
      </c>
      <c r="Q328" s="4" t="str">
        <f>IFERROR(INDEX(样本到样信息汇总统计!Q$2:Q$500,MATCH(327,样本到样信息汇总统计!$AA$2:$AA$500,0)),"")</f>
        <v/>
      </c>
      <c r="R328" s="4" t="str">
        <f>IFERROR(INDEX(样本到样信息汇总统计!R$2:R$500,MATCH(327,样本到样信息汇总统计!$AA$2:$AA$500,0)),"")</f>
        <v/>
      </c>
      <c r="S328" s="4" t="str">
        <f>IFERROR(INDEX(样本到样信息汇总统计!S$2:S$500,MATCH(327,样本到样信息汇总统计!$AA$2:$AA$500,0)),"")</f>
        <v/>
      </c>
      <c r="T328" s="4" t="str">
        <f>IFERROR(INDEX(样本到样信息汇总统计!T$2:T$500,MATCH(327,样本到样信息汇总统计!$AA$2:$AA$500,0)),"")</f>
        <v/>
      </c>
      <c r="U328" s="4" t="str">
        <f>IFERROR(INDEX(样本到样信息汇总统计!U$2:U$500,MATCH(327,样本到样信息汇总统计!$AA$2:$AA$500,0)),"")</f>
        <v/>
      </c>
      <c r="V328" s="4" t="str">
        <f>IFERROR(INDEX(样本到样信息汇总统计!V$2:V$500,MATCH(327,样本到样信息汇总统计!$AA$2:$AA$500,0)),"")</f>
        <v/>
      </c>
      <c r="W328" s="4" t="str">
        <f>IFERROR(INDEX(样本到样信息汇总统计!W$2:W$500,MATCH(327,样本到样信息汇总统计!$AA$2:$AA$500,0)),"")</f>
        <v/>
      </c>
    </row>
    <row r="329" ht="14.5" spans="1:23">
      <c r="A329" s="8" t="str">
        <f>IFERROR(INDEX(样本到样信息汇总统计!A$2:A$500,MATCH(328,样本到样信息汇总统计!$AA$2:$AA$500,0)),"")</f>
        <v/>
      </c>
      <c r="B329" s="8" t="str">
        <f>IFERROR(INDEX(样本到样信息汇总统计!B$2:B$500,MATCH(328,样本到样信息汇总统计!$AA$2:$AA$500,0)),"")</f>
        <v/>
      </c>
      <c r="C329" s="8" t="str">
        <f>IFERROR(INDEX(样本到样信息汇总统计!C$2:C$500,MATCH(328,样本到样信息汇总统计!$AA$2:$AA$500,0)),"")</f>
        <v/>
      </c>
      <c r="D329" s="8" t="str">
        <f>IFERROR(INDEX(样本到样信息汇总统计!D$2:D$500,MATCH(328,样本到样信息汇总统计!$AA$2:$AA$500,0)),"")</f>
        <v/>
      </c>
      <c r="E329" s="8" t="str">
        <f>IFERROR(INDEX(样本到样信息汇总统计!E$2:E$500,MATCH(328,样本到样信息汇总统计!$AA$2:$AA$500,0)),"")</f>
        <v/>
      </c>
      <c r="F329" s="8" t="str">
        <f>IFERROR(INDEX(样本到样信息汇总统计!F$2:F$500,MATCH(328,样本到样信息汇总统计!$AA$2:$AA$500,0)),"")</f>
        <v/>
      </c>
      <c r="G329" s="8" t="str">
        <f>IFERROR(INDEX(样本到样信息汇总统计!G$2:G$500,MATCH(328,样本到样信息汇总统计!$AA$2:$AA$500,0)),"")</f>
        <v/>
      </c>
      <c r="H329" s="8" t="str">
        <f>IFERROR(INDEX(样本到样信息汇总统计!H$2:H$500,MATCH(328,样本到样信息汇总统计!$AA$2:$AA$500,0)),"")</f>
        <v/>
      </c>
      <c r="I329" s="8" t="str">
        <f>IFERROR(INDEX(样本到样信息汇总统计!I$2:I$500,MATCH(328,样本到样信息汇总统计!$AA$2:$AA$500,0)),"")</f>
        <v/>
      </c>
      <c r="J329" s="8" t="str">
        <f>IFERROR(INDEX(样本到样信息汇总统计!J$2:J$500,MATCH(328,样本到样信息汇总统计!$AA$2:$AA$500,0)),"")</f>
        <v/>
      </c>
      <c r="K329" s="8" t="str">
        <f>IFERROR(INDEX(样本到样信息汇总统计!K$2:K$500,MATCH(328,样本到样信息汇总统计!$AA$2:$AA$500,0)),"")</f>
        <v/>
      </c>
      <c r="L329" s="8" t="str">
        <f>IFERROR(INDEX(样本到样信息汇总统计!L$2:L$500,MATCH(328,样本到样信息汇总统计!$AA$2:$AA$500,0)),"")</f>
        <v/>
      </c>
      <c r="M329" s="8" t="str">
        <f>IFERROR(INDEX(样本到样信息汇总统计!M$2:M$500,MATCH(328,样本到样信息汇总统计!$AA$2:$AA$500,0)),"")</f>
        <v/>
      </c>
      <c r="N329" s="8" t="str">
        <f>IFERROR(INDEX(样本到样信息汇总统计!N$2:N$500,MATCH(328,样本到样信息汇总统计!$AA$2:$AA$500,0)),"")</f>
        <v/>
      </c>
      <c r="O329" s="8" t="str">
        <f>IFERROR(INDEX(样本到样信息汇总统计!O$2:O$500,MATCH(328,样本到样信息汇总统计!$AA$2:$AA$500,0)),"")</f>
        <v/>
      </c>
      <c r="P329" s="8" t="str">
        <f>IFERROR(INDEX(样本到样信息汇总统计!P$2:P$500,MATCH(328,样本到样信息汇总统计!$AA$2:$AA$500,0)),"")</f>
        <v/>
      </c>
      <c r="Q329" s="8" t="str">
        <f>IFERROR(INDEX(样本到样信息汇总统计!Q$2:Q$500,MATCH(328,样本到样信息汇总统计!$AA$2:$AA$500,0)),"")</f>
        <v/>
      </c>
      <c r="R329" s="8" t="str">
        <f>IFERROR(INDEX(样本到样信息汇总统计!R$2:R$500,MATCH(328,样本到样信息汇总统计!$AA$2:$AA$500,0)),"")</f>
        <v/>
      </c>
      <c r="S329" s="8" t="str">
        <f>IFERROR(INDEX(样本到样信息汇总统计!S$2:S$500,MATCH(328,样本到样信息汇总统计!$AA$2:$AA$500,0)),"")</f>
        <v/>
      </c>
      <c r="T329" s="8" t="str">
        <f>IFERROR(INDEX(样本到样信息汇总统计!T$2:T$500,MATCH(328,样本到样信息汇总统计!$AA$2:$AA$500,0)),"")</f>
        <v/>
      </c>
      <c r="U329" s="8" t="str">
        <f>IFERROR(INDEX(样本到样信息汇总统计!U$2:U$500,MATCH(328,样本到样信息汇总统计!$AA$2:$AA$500,0)),"")</f>
        <v/>
      </c>
      <c r="V329" s="8" t="str">
        <f>IFERROR(INDEX(样本到样信息汇总统计!V$2:V$500,MATCH(328,样本到样信息汇总统计!$AA$2:$AA$500,0)),"")</f>
        <v/>
      </c>
      <c r="W329" s="8" t="str">
        <f>IFERROR(INDEX(样本到样信息汇总统计!W$2:W$500,MATCH(328,样本到样信息汇总统计!$AA$2:$AA$500,0)),"")</f>
        <v/>
      </c>
    </row>
    <row r="330" ht="14.5" spans="1:23">
      <c r="A330" s="4" t="str">
        <f>IFERROR(INDEX(样本到样信息汇总统计!A$2:A$500,MATCH(329,样本到样信息汇总统计!$AA$2:$AA$500,0)),"")</f>
        <v/>
      </c>
      <c r="B330" s="4" t="str">
        <f>IFERROR(INDEX(样本到样信息汇总统计!B$2:B$500,MATCH(329,样本到样信息汇总统计!$AA$2:$AA$500,0)),"")</f>
        <v/>
      </c>
      <c r="C330" s="4" t="str">
        <f>IFERROR(INDEX(样本到样信息汇总统计!C$2:C$500,MATCH(329,样本到样信息汇总统计!$AA$2:$AA$500,0)),"")</f>
        <v/>
      </c>
      <c r="D330" s="4" t="str">
        <f>IFERROR(INDEX(样本到样信息汇总统计!D$2:D$500,MATCH(329,样本到样信息汇总统计!$AA$2:$AA$500,0)),"")</f>
        <v/>
      </c>
      <c r="E330" s="4" t="str">
        <f>IFERROR(INDEX(样本到样信息汇总统计!E$2:E$500,MATCH(329,样本到样信息汇总统计!$AA$2:$AA$500,0)),"")</f>
        <v/>
      </c>
      <c r="F330" s="4" t="str">
        <f>IFERROR(INDEX(样本到样信息汇总统计!F$2:F$500,MATCH(329,样本到样信息汇总统计!$AA$2:$AA$500,0)),"")</f>
        <v/>
      </c>
      <c r="G330" s="4" t="str">
        <f>IFERROR(INDEX(样本到样信息汇总统计!G$2:G$500,MATCH(329,样本到样信息汇总统计!$AA$2:$AA$500,0)),"")</f>
        <v/>
      </c>
      <c r="H330" s="4" t="str">
        <f>IFERROR(INDEX(样本到样信息汇总统计!H$2:H$500,MATCH(329,样本到样信息汇总统计!$AA$2:$AA$500,0)),"")</f>
        <v/>
      </c>
      <c r="I330" s="4" t="str">
        <f>IFERROR(INDEX(样本到样信息汇总统计!I$2:I$500,MATCH(329,样本到样信息汇总统计!$AA$2:$AA$500,0)),"")</f>
        <v/>
      </c>
      <c r="J330" s="4" t="str">
        <f>IFERROR(INDEX(样本到样信息汇总统计!J$2:J$500,MATCH(329,样本到样信息汇总统计!$AA$2:$AA$500,0)),"")</f>
        <v/>
      </c>
      <c r="K330" s="4" t="str">
        <f>IFERROR(INDEX(样本到样信息汇总统计!K$2:K$500,MATCH(329,样本到样信息汇总统计!$AA$2:$AA$500,0)),"")</f>
        <v/>
      </c>
      <c r="L330" s="4" t="str">
        <f>IFERROR(INDEX(样本到样信息汇总统计!L$2:L$500,MATCH(329,样本到样信息汇总统计!$AA$2:$AA$500,0)),"")</f>
        <v/>
      </c>
      <c r="M330" s="4" t="str">
        <f>IFERROR(INDEX(样本到样信息汇总统计!M$2:M$500,MATCH(329,样本到样信息汇总统计!$AA$2:$AA$500,0)),"")</f>
        <v/>
      </c>
      <c r="N330" s="4" t="str">
        <f>IFERROR(INDEX(样本到样信息汇总统计!N$2:N$500,MATCH(329,样本到样信息汇总统计!$AA$2:$AA$500,0)),"")</f>
        <v/>
      </c>
      <c r="O330" s="4" t="str">
        <f>IFERROR(INDEX(样本到样信息汇总统计!O$2:O$500,MATCH(329,样本到样信息汇总统计!$AA$2:$AA$500,0)),"")</f>
        <v/>
      </c>
      <c r="P330" s="4" t="str">
        <f>IFERROR(INDEX(样本到样信息汇总统计!P$2:P$500,MATCH(329,样本到样信息汇总统计!$AA$2:$AA$500,0)),"")</f>
        <v/>
      </c>
      <c r="Q330" s="4" t="str">
        <f>IFERROR(INDEX(样本到样信息汇总统计!Q$2:Q$500,MATCH(329,样本到样信息汇总统计!$AA$2:$AA$500,0)),"")</f>
        <v/>
      </c>
      <c r="R330" s="4" t="str">
        <f>IFERROR(INDEX(样本到样信息汇总统计!R$2:R$500,MATCH(329,样本到样信息汇总统计!$AA$2:$AA$500,0)),"")</f>
        <v/>
      </c>
      <c r="S330" s="4" t="str">
        <f>IFERROR(INDEX(样本到样信息汇总统计!S$2:S$500,MATCH(329,样本到样信息汇总统计!$AA$2:$AA$500,0)),"")</f>
        <v/>
      </c>
      <c r="T330" s="4" t="str">
        <f>IFERROR(INDEX(样本到样信息汇总统计!T$2:T$500,MATCH(329,样本到样信息汇总统计!$AA$2:$AA$500,0)),"")</f>
        <v/>
      </c>
      <c r="U330" s="4" t="str">
        <f>IFERROR(INDEX(样本到样信息汇总统计!U$2:U$500,MATCH(329,样本到样信息汇总统计!$AA$2:$AA$500,0)),"")</f>
        <v/>
      </c>
      <c r="V330" s="4" t="str">
        <f>IFERROR(INDEX(样本到样信息汇总统计!V$2:V$500,MATCH(329,样本到样信息汇总统计!$AA$2:$AA$500,0)),"")</f>
        <v/>
      </c>
      <c r="W330" s="4" t="str">
        <f>IFERROR(INDEX(样本到样信息汇总统计!W$2:W$500,MATCH(329,样本到样信息汇总统计!$AA$2:$AA$500,0)),"")</f>
        <v/>
      </c>
    </row>
    <row r="331" ht="14.5" spans="1:23">
      <c r="A331" s="8" t="str">
        <f>IFERROR(INDEX(样本到样信息汇总统计!A$2:A$500,MATCH(330,样本到样信息汇总统计!$AA$2:$AA$500,0)),"")</f>
        <v/>
      </c>
      <c r="B331" s="8" t="str">
        <f>IFERROR(INDEX(样本到样信息汇总统计!B$2:B$500,MATCH(330,样本到样信息汇总统计!$AA$2:$AA$500,0)),"")</f>
        <v/>
      </c>
      <c r="C331" s="8" t="str">
        <f>IFERROR(INDEX(样本到样信息汇总统计!C$2:C$500,MATCH(330,样本到样信息汇总统计!$AA$2:$AA$500,0)),"")</f>
        <v/>
      </c>
      <c r="D331" s="8" t="str">
        <f>IFERROR(INDEX(样本到样信息汇总统计!D$2:D$500,MATCH(330,样本到样信息汇总统计!$AA$2:$AA$500,0)),"")</f>
        <v/>
      </c>
      <c r="E331" s="8" t="str">
        <f>IFERROR(INDEX(样本到样信息汇总统计!E$2:E$500,MATCH(330,样本到样信息汇总统计!$AA$2:$AA$500,0)),"")</f>
        <v/>
      </c>
      <c r="F331" s="8" t="str">
        <f>IFERROR(INDEX(样本到样信息汇总统计!F$2:F$500,MATCH(330,样本到样信息汇总统计!$AA$2:$AA$500,0)),"")</f>
        <v/>
      </c>
      <c r="G331" s="8" t="str">
        <f>IFERROR(INDEX(样本到样信息汇总统计!G$2:G$500,MATCH(330,样本到样信息汇总统计!$AA$2:$AA$500,0)),"")</f>
        <v/>
      </c>
      <c r="H331" s="8" t="str">
        <f>IFERROR(INDEX(样本到样信息汇总统计!H$2:H$500,MATCH(330,样本到样信息汇总统计!$AA$2:$AA$500,0)),"")</f>
        <v/>
      </c>
      <c r="I331" s="8" t="str">
        <f>IFERROR(INDEX(样本到样信息汇总统计!I$2:I$500,MATCH(330,样本到样信息汇总统计!$AA$2:$AA$500,0)),"")</f>
        <v/>
      </c>
      <c r="J331" s="8" t="str">
        <f>IFERROR(INDEX(样本到样信息汇总统计!J$2:J$500,MATCH(330,样本到样信息汇总统计!$AA$2:$AA$500,0)),"")</f>
        <v/>
      </c>
      <c r="K331" s="8" t="str">
        <f>IFERROR(INDEX(样本到样信息汇总统计!K$2:K$500,MATCH(330,样本到样信息汇总统计!$AA$2:$AA$500,0)),"")</f>
        <v/>
      </c>
      <c r="L331" s="8" t="str">
        <f>IFERROR(INDEX(样本到样信息汇总统计!L$2:L$500,MATCH(330,样本到样信息汇总统计!$AA$2:$AA$500,0)),"")</f>
        <v/>
      </c>
      <c r="M331" s="8" t="str">
        <f>IFERROR(INDEX(样本到样信息汇总统计!M$2:M$500,MATCH(330,样本到样信息汇总统计!$AA$2:$AA$500,0)),"")</f>
        <v/>
      </c>
      <c r="N331" s="8" t="str">
        <f>IFERROR(INDEX(样本到样信息汇总统计!N$2:N$500,MATCH(330,样本到样信息汇总统计!$AA$2:$AA$500,0)),"")</f>
        <v/>
      </c>
      <c r="O331" s="8" t="str">
        <f>IFERROR(INDEX(样本到样信息汇总统计!O$2:O$500,MATCH(330,样本到样信息汇总统计!$AA$2:$AA$500,0)),"")</f>
        <v/>
      </c>
      <c r="P331" s="8" t="str">
        <f>IFERROR(INDEX(样本到样信息汇总统计!P$2:P$500,MATCH(330,样本到样信息汇总统计!$AA$2:$AA$500,0)),"")</f>
        <v/>
      </c>
      <c r="Q331" s="8" t="str">
        <f>IFERROR(INDEX(样本到样信息汇总统计!Q$2:Q$500,MATCH(330,样本到样信息汇总统计!$AA$2:$AA$500,0)),"")</f>
        <v/>
      </c>
      <c r="R331" s="8" t="str">
        <f>IFERROR(INDEX(样本到样信息汇总统计!R$2:R$500,MATCH(330,样本到样信息汇总统计!$AA$2:$AA$500,0)),"")</f>
        <v/>
      </c>
      <c r="S331" s="8" t="str">
        <f>IFERROR(INDEX(样本到样信息汇总统计!S$2:S$500,MATCH(330,样本到样信息汇总统计!$AA$2:$AA$500,0)),"")</f>
        <v/>
      </c>
      <c r="T331" s="8" t="str">
        <f>IFERROR(INDEX(样本到样信息汇总统计!T$2:T$500,MATCH(330,样本到样信息汇总统计!$AA$2:$AA$500,0)),"")</f>
        <v/>
      </c>
      <c r="U331" s="8" t="str">
        <f>IFERROR(INDEX(样本到样信息汇总统计!U$2:U$500,MATCH(330,样本到样信息汇总统计!$AA$2:$AA$500,0)),"")</f>
        <v/>
      </c>
      <c r="V331" s="8" t="str">
        <f>IFERROR(INDEX(样本到样信息汇总统计!V$2:V$500,MATCH(330,样本到样信息汇总统计!$AA$2:$AA$500,0)),"")</f>
        <v/>
      </c>
      <c r="W331" s="8" t="str">
        <f>IFERROR(INDEX(样本到样信息汇总统计!W$2:W$500,MATCH(330,样本到样信息汇总统计!$AA$2:$AA$500,0)),"")</f>
        <v/>
      </c>
    </row>
    <row r="332" ht="14.5" spans="1:23">
      <c r="A332" s="4" t="str">
        <f>IFERROR(INDEX(样本到样信息汇总统计!A$2:A$500,MATCH(331,样本到样信息汇总统计!$AA$2:$AA$500,0)),"")</f>
        <v/>
      </c>
      <c r="B332" s="4" t="str">
        <f>IFERROR(INDEX(样本到样信息汇总统计!B$2:B$500,MATCH(331,样本到样信息汇总统计!$AA$2:$AA$500,0)),"")</f>
        <v/>
      </c>
      <c r="C332" s="4" t="str">
        <f>IFERROR(INDEX(样本到样信息汇总统计!C$2:C$500,MATCH(331,样本到样信息汇总统计!$AA$2:$AA$500,0)),"")</f>
        <v/>
      </c>
      <c r="D332" s="4" t="str">
        <f>IFERROR(INDEX(样本到样信息汇总统计!D$2:D$500,MATCH(331,样本到样信息汇总统计!$AA$2:$AA$500,0)),"")</f>
        <v/>
      </c>
      <c r="E332" s="4" t="str">
        <f>IFERROR(INDEX(样本到样信息汇总统计!E$2:E$500,MATCH(331,样本到样信息汇总统计!$AA$2:$AA$500,0)),"")</f>
        <v/>
      </c>
      <c r="F332" s="4" t="str">
        <f>IFERROR(INDEX(样本到样信息汇总统计!F$2:F$500,MATCH(331,样本到样信息汇总统计!$AA$2:$AA$500,0)),"")</f>
        <v/>
      </c>
      <c r="G332" s="4" t="str">
        <f>IFERROR(INDEX(样本到样信息汇总统计!G$2:G$500,MATCH(331,样本到样信息汇总统计!$AA$2:$AA$500,0)),"")</f>
        <v/>
      </c>
      <c r="H332" s="4" t="str">
        <f>IFERROR(INDEX(样本到样信息汇总统计!H$2:H$500,MATCH(331,样本到样信息汇总统计!$AA$2:$AA$500,0)),"")</f>
        <v/>
      </c>
      <c r="I332" s="4" t="str">
        <f>IFERROR(INDEX(样本到样信息汇总统计!I$2:I$500,MATCH(331,样本到样信息汇总统计!$AA$2:$AA$500,0)),"")</f>
        <v/>
      </c>
      <c r="J332" s="4" t="str">
        <f>IFERROR(INDEX(样本到样信息汇总统计!J$2:J$500,MATCH(331,样本到样信息汇总统计!$AA$2:$AA$500,0)),"")</f>
        <v/>
      </c>
      <c r="K332" s="4" t="str">
        <f>IFERROR(INDEX(样本到样信息汇总统计!K$2:K$500,MATCH(331,样本到样信息汇总统计!$AA$2:$AA$500,0)),"")</f>
        <v/>
      </c>
      <c r="L332" s="4" t="str">
        <f>IFERROR(INDEX(样本到样信息汇总统计!L$2:L$500,MATCH(331,样本到样信息汇总统计!$AA$2:$AA$500,0)),"")</f>
        <v/>
      </c>
      <c r="M332" s="4" t="str">
        <f>IFERROR(INDEX(样本到样信息汇总统计!M$2:M$500,MATCH(331,样本到样信息汇总统计!$AA$2:$AA$500,0)),"")</f>
        <v/>
      </c>
      <c r="N332" s="4" t="str">
        <f>IFERROR(INDEX(样本到样信息汇总统计!N$2:N$500,MATCH(331,样本到样信息汇总统计!$AA$2:$AA$500,0)),"")</f>
        <v/>
      </c>
      <c r="O332" s="4" t="str">
        <f>IFERROR(INDEX(样本到样信息汇总统计!O$2:O$500,MATCH(331,样本到样信息汇总统计!$AA$2:$AA$500,0)),"")</f>
        <v/>
      </c>
      <c r="P332" s="4" t="str">
        <f>IFERROR(INDEX(样本到样信息汇总统计!P$2:P$500,MATCH(331,样本到样信息汇总统计!$AA$2:$AA$500,0)),"")</f>
        <v/>
      </c>
      <c r="Q332" s="4" t="str">
        <f>IFERROR(INDEX(样本到样信息汇总统计!Q$2:Q$500,MATCH(331,样本到样信息汇总统计!$AA$2:$AA$500,0)),"")</f>
        <v/>
      </c>
      <c r="R332" s="4" t="str">
        <f>IFERROR(INDEX(样本到样信息汇总统计!R$2:R$500,MATCH(331,样本到样信息汇总统计!$AA$2:$AA$500,0)),"")</f>
        <v/>
      </c>
      <c r="S332" s="4" t="str">
        <f>IFERROR(INDEX(样本到样信息汇总统计!S$2:S$500,MATCH(331,样本到样信息汇总统计!$AA$2:$AA$500,0)),"")</f>
        <v/>
      </c>
      <c r="T332" s="4" t="str">
        <f>IFERROR(INDEX(样本到样信息汇总统计!T$2:T$500,MATCH(331,样本到样信息汇总统计!$AA$2:$AA$500,0)),"")</f>
        <v/>
      </c>
      <c r="U332" s="4" t="str">
        <f>IFERROR(INDEX(样本到样信息汇总统计!U$2:U$500,MATCH(331,样本到样信息汇总统计!$AA$2:$AA$500,0)),"")</f>
        <v/>
      </c>
      <c r="V332" s="4" t="str">
        <f>IFERROR(INDEX(样本到样信息汇总统计!V$2:V$500,MATCH(331,样本到样信息汇总统计!$AA$2:$AA$500,0)),"")</f>
        <v/>
      </c>
      <c r="W332" s="4" t="str">
        <f>IFERROR(INDEX(样本到样信息汇总统计!W$2:W$500,MATCH(331,样本到样信息汇总统计!$AA$2:$AA$500,0)),"")</f>
        <v/>
      </c>
    </row>
    <row r="333" ht="14.5" spans="1:23">
      <c r="A333" s="8" t="str">
        <f>IFERROR(INDEX(样本到样信息汇总统计!A$2:A$500,MATCH(332,样本到样信息汇总统计!$AA$2:$AA$500,0)),"")</f>
        <v/>
      </c>
      <c r="B333" s="8" t="str">
        <f>IFERROR(INDEX(样本到样信息汇总统计!B$2:B$500,MATCH(332,样本到样信息汇总统计!$AA$2:$AA$500,0)),"")</f>
        <v/>
      </c>
      <c r="C333" s="8" t="str">
        <f>IFERROR(INDEX(样本到样信息汇总统计!C$2:C$500,MATCH(332,样本到样信息汇总统计!$AA$2:$AA$500,0)),"")</f>
        <v/>
      </c>
      <c r="D333" s="8" t="str">
        <f>IFERROR(INDEX(样本到样信息汇总统计!D$2:D$500,MATCH(332,样本到样信息汇总统计!$AA$2:$AA$500,0)),"")</f>
        <v/>
      </c>
      <c r="E333" s="8" t="str">
        <f>IFERROR(INDEX(样本到样信息汇总统计!E$2:E$500,MATCH(332,样本到样信息汇总统计!$AA$2:$AA$500,0)),"")</f>
        <v/>
      </c>
      <c r="F333" s="8" t="str">
        <f>IFERROR(INDEX(样本到样信息汇总统计!F$2:F$500,MATCH(332,样本到样信息汇总统计!$AA$2:$AA$500,0)),"")</f>
        <v/>
      </c>
      <c r="G333" s="8" t="str">
        <f>IFERROR(INDEX(样本到样信息汇总统计!G$2:G$500,MATCH(332,样本到样信息汇总统计!$AA$2:$AA$500,0)),"")</f>
        <v/>
      </c>
      <c r="H333" s="8" t="str">
        <f>IFERROR(INDEX(样本到样信息汇总统计!H$2:H$500,MATCH(332,样本到样信息汇总统计!$AA$2:$AA$500,0)),"")</f>
        <v/>
      </c>
      <c r="I333" s="8" t="str">
        <f>IFERROR(INDEX(样本到样信息汇总统计!I$2:I$500,MATCH(332,样本到样信息汇总统计!$AA$2:$AA$500,0)),"")</f>
        <v/>
      </c>
      <c r="J333" s="8" t="str">
        <f>IFERROR(INDEX(样本到样信息汇总统计!J$2:J$500,MATCH(332,样本到样信息汇总统计!$AA$2:$AA$500,0)),"")</f>
        <v/>
      </c>
      <c r="K333" s="8" t="str">
        <f>IFERROR(INDEX(样本到样信息汇总统计!K$2:K$500,MATCH(332,样本到样信息汇总统计!$AA$2:$AA$500,0)),"")</f>
        <v/>
      </c>
      <c r="L333" s="8" t="str">
        <f>IFERROR(INDEX(样本到样信息汇总统计!L$2:L$500,MATCH(332,样本到样信息汇总统计!$AA$2:$AA$500,0)),"")</f>
        <v/>
      </c>
      <c r="M333" s="8" t="str">
        <f>IFERROR(INDEX(样本到样信息汇总统计!M$2:M$500,MATCH(332,样本到样信息汇总统计!$AA$2:$AA$500,0)),"")</f>
        <v/>
      </c>
      <c r="N333" s="8" t="str">
        <f>IFERROR(INDEX(样本到样信息汇总统计!N$2:N$500,MATCH(332,样本到样信息汇总统计!$AA$2:$AA$500,0)),"")</f>
        <v/>
      </c>
      <c r="O333" s="8" t="str">
        <f>IFERROR(INDEX(样本到样信息汇总统计!O$2:O$500,MATCH(332,样本到样信息汇总统计!$AA$2:$AA$500,0)),"")</f>
        <v/>
      </c>
      <c r="P333" s="8" t="str">
        <f>IFERROR(INDEX(样本到样信息汇总统计!P$2:P$500,MATCH(332,样本到样信息汇总统计!$AA$2:$AA$500,0)),"")</f>
        <v/>
      </c>
      <c r="Q333" s="8" t="str">
        <f>IFERROR(INDEX(样本到样信息汇总统计!Q$2:Q$500,MATCH(332,样本到样信息汇总统计!$AA$2:$AA$500,0)),"")</f>
        <v/>
      </c>
      <c r="R333" s="8" t="str">
        <f>IFERROR(INDEX(样本到样信息汇总统计!R$2:R$500,MATCH(332,样本到样信息汇总统计!$AA$2:$AA$500,0)),"")</f>
        <v/>
      </c>
      <c r="S333" s="8" t="str">
        <f>IFERROR(INDEX(样本到样信息汇总统计!S$2:S$500,MATCH(332,样本到样信息汇总统计!$AA$2:$AA$500,0)),"")</f>
        <v/>
      </c>
      <c r="T333" s="8" t="str">
        <f>IFERROR(INDEX(样本到样信息汇总统计!T$2:T$500,MATCH(332,样本到样信息汇总统计!$AA$2:$AA$500,0)),"")</f>
        <v/>
      </c>
      <c r="U333" s="8" t="str">
        <f>IFERROR(INDEX(样本到样信息汇总统计!U$2:U$500,MATCH(332,样本到样信息汇总统计!$AA$2:$AA$500,0)),"")</f>
        <v/>
      </c>
      <c r="V333" s="8" t="str">
        <f>IFERROR(INDEX(样本到样信息汇总统计!V$2:V$500,MATCH(332,样本到样信息汇总统计!$AA$2:$AA$500,0)),"")</f>
        <v/>
      </c>
      <c r="W333" s="8" t="str">
        <f>IFERROR(INDEX(样本到样信息汇总统计!W$2:W$500,MATCH(332,样本到样信息汇总统计!$AA$2:$AA$500,0)),"")</f>
        <v/>
      </c>
    </row>
    <row r="334" ht="14.5" spans="1:23">
      <c r="A334" s="4" t="str">
        <f>IFERROR(INDEX(样本到样信息汇总统计!A$2:A$500,MATCH(333,样本到样信息汇总统计!$AA$2:$AA$500,0)),"")</f>
        <v/>
      </c>
      <c r="B334" s="4" t="str">
        <f>IFERROR(INDEX(样本到样信息汇总统计!B$2:B$500,MATCH(333,样本到样信息汇总统计!$AA$2:$AA$500,0)),"")</f>
        <v/>
      </c>
      <c r="C334" s="4" t="str">
        <f>IFERROR(INDEX(样本到样信息汇总统计!C$2:C$500,MATCH(333,样本到样信息汇总统计!$AA$2:$AA$500,0)),"")</f>
        <v/>
      </c>
      <c r="D334" s="4" t="str">
        <f>IFERROR(INDEX(样本到样信息汇总统计!D$2:D$500,MATCH(333,样本到样信息汇总统计!$AA$2:$AA$500,0)),"")</f>
        <v/>
      </c>
      <c r="E334" s="4" t="str">
        <f>IFERROR(INDEX(样本到样信息汇总统计!E$2:E$500,MATCH(333,样本到样信息汇总统计!$AA$2:$AA$500,0)),"")</f>
        <v/>
      </c>
      <c r="F334" s="4" t="str">
        <f>IFERROR(INDEX(样本到样信息汇总统计!F$2:F$500,MATCH(333,样本到样信息汇总统计!$AA$2:$AA$500,0)),"")</f>
        <v/>
      </c>
      <c r="G334" s="4" t="str">
        <f>IFERROR(INDEX(样本到样信息汇总统计!G$2:G$500,MATCH(333,样本到样信息汇总统计!$AA$2:$AA$500,0)),"")</f>
        <v/>
      </c>
      <c r="H334" s="4" t="str">
        <f>IFERROR(INDEX(样本到样信息汇总统计!H$2:H$500,MATCH(333,样本到样信息汇总统计!$AA$2:$AA$500,0)),"")</f>
        <v/>
      </c>
      <c r="I334" s="4" t="str">
        <f>IFERROR(INDEX(样本到样信息汇总统计!I$2:I$500,MATCH(333,样本到样信息汇总统计!$AA$2:$AA$500,0)),"")</f>
        <v/>
      </c>
      <c r="J334" s="4" t="str">
        <f>IFERROR(INDEX(样本到样信息汇总统计!J$2:J$500,MATCH(333,样本到样信息汇总统计!$AA$2:$AA$500,0)),"")</f>
        <v/>
      </c>
      <c r="K334" s="4" t="str">
        <f>IFERROR(INDEX(样本到样信息汇总统计!K$2:K$500,MATCH(333,样本到样信息汇总统计!$AA$2:$AA$500,0)),"")</f>
        <v/>
      </c>
      <c r="L334" s="4" t="str">
        <f>IFERROR(INDEX(样本到样信息汇总统计!L$2:L$500,MATCH(333,样本到样信息汇总统计!$AA$2:$AA$500,0)),"")</f>
        <v/>
      </c>
      <c r="M334" s="4" t="str">
        <f>IFERROR(INDEX(样本到样信息汇总统计!M$2:M$500,MATCH(333,样本到样信息汇总统计!$AA$2:$AA$500,0)),"")</f>
        <v/>
      </c>
      <c r="N334" s="4" t="str">
        <f>IFERROR(INDEX(样本到样信息汇总统计!N$2:N$500,MATCH(333,样本到样信息汇总统计!$AA$2:$AA$500,0)),"")</f>
        <v/>
      </c>
      <c r="O334" s="4" t="str">
        <f>IFERROR(INDEX(样本到样信息汇总统计!O$2:O$500,MATCH(333,样本到样信息汇总统计!$AA$2:$AA$500,0)),"")</f>
        <v/>
      </c>
      <c r="P334" s="4" t="str">
        <f>IFERROR(INDEX(样本到样信息汇总统计!P$2:P$500,MATCH(333,样本到样信息汇总统计!$AA$2:$AA$500,0)),"")</f>
        <v/>
      </c>
      <c r="Q334" s="4" t="str">
        <f>IFERROR(INDEX(样本到样信息汇总统计!Q$2:Q$500,MATCH(333,样本到样信息汇总统计!$AA$2:$AA$500,0)),"")</f>
        <v/>
      </c>
      <c r="R334" s="4" t="str">
        <f>IFERROR(INDEX(样本到样信息汇总统计!R$2:R$500,MATCH(333,样本到样信息汇总统计!$AA$2:$AA$500,0)),"")</f>
        <v/>
      </c>
      <c r="S334" s="4" t="str">
        <f>IFERROR(INDEX(样本到样信息汇总统计!S$2:S$500,MATCH(333,样本到样信息汇总统计!$AA$2:$AA$500,0)),"")</f>
        <v/>
      </c>
      <c r="T334" s="4" t="str">
        <f>IFERROR(INDEX(样本到样信息汇总统计!T$2:T$500,MATCH(333,样本到样信息汇总统计!$AA$2:$AA$500,0)),"")</f>
        <v/>
      </c>
      <c r="U334" s="4" t="str">
        <f>IFERROR(INDEX(样本到样信息汇总统计!U$2:U$500,MATCH(333,样本到样信息汇总统计!$AA$2:$AA$500,0)),"")</f>
        <v/>
      </c>
      <c r="V334" s="4" t="str">
        <f>IFERROR(INDEX(样本到样信息汇总统计!V$2:V$500,MATCH(333,样本到样信息汇总统计!$AA$2:$AA$500,0)),"")</f>
        <v/>
      </c>
      <c r="W334" s="4" t="str">
        <f>IFERROR(INDEX(样本到样信息汇总统计!W$2:W$500,MATCH(333,样本到样信息汇总统计!$AA$2:$AA$500,0)),"")</f>
        <v/>
      </c>
    </row>
    <row r="335" ht="14.5" spans="1:23">
      <c r="A335" s="8" t="str">
        <f>IFERROR(INDEX(样本到样信息汇总统计!A$2:A$500,MATCH(334,样本到样信息汇总统计!$AA$2:$AA$500,0)),"")</f>
        <v/>
      </c>
      <c r="B335" s="8" t="str">
        <f>IFERROR(INDEX(样本到样信息汇总统计!B$2:B$500,MATCH(334,样本到样信息汇总统计!$AA$2:$AA$500,0)),"")</f>
        <v/>
      </c>
      <c r="C335" s="8" t="str">
        <f>IFERROR(INDEX(样本到样信息汇总统计!C$2:C$500,MATCH(334,样本到样信息汇总统计!$AA$2:$AA$500,0)),"")</f>
        <v/>
      </c>
      <c r="D335" s="8" t="str">
        <f>IFERROR(INDEX(样本到样信息汇总统计!D$2:D$500,MATCH(334,样本到样信息汇总统计!$AA$2:$AA$500,0)),"")</f>
        <v/>
      </c>
      <c r="E335" s="8" t="str">
        <f>IFERROR(INDEX(样本到样信息汇总统计!E$2:E$500,MATCH(334,样本到样信息汇总统计!$AA$2:$AA$500,0)),"")</f>
        <v/>
      </c>
      <c r="F335" s="8" t="str">
        <f>IFERROR(INDEX(样本到样信息汇总统计!F$2:F$500,MATCH(334,样本到样信息汇总统计!$AA$2:$AA$500,0)),"")</f>
        <v/>
      </c>
      <c r="G335" s="8" t="str">
        <f>IFERROR(INDEX(样本到样信息汇总统计!G$2:G$500,MATCH(334,样本到样信息汇总统计!$AA$2:$AA$500,0)),"")</f>
        <v/>
      </c>
      <c r="H335" s="8" t="str">
        <f>IFERROR(INDEX(样本到样信息汇总统计!H$2:H$500,MATCH(334,样本到样信息汇总统计!$AA$2:$AA$500,0)),"")</f>
        <v/>
      </c>
      <c r="I335" s="8" t="str">
        <f>IFERROR(INDEX(样本到样信息汇总统计!I$2:I$500,MATCH(334,样本到样信息汇总统计!$AA$2:$AA$500,0)),"")</f>
        <v/>
      </c>
      <c r="J335" s="8" t="str">
        <f>IFERROR(INDEX(样本到样信息汇总统计!J$2:J$500,MATCH(334,样本到样信息汇总统计!$AA$2:$AA$500,0)),"")</f>
        <v/>
      </c>
      <c r="K335" s="8" t="str">
        <f>IFERROR(INDEX(样本到样信息汇总统计!K$2:K$500,MATCH(334,样本到样信息汇总统计!$AA$2:$AA$500,0)),"")</f>
        <v/>
      </c>
      <c r="L335" s="8" t="str">
        <f>IFERROR(INDEX(样本到样信息汇总统计!L$2:L$500,MATCH(334,样本到样信息汇总统计!$AA$2:$AA$500,0)),"")</f>
        <v/>
      </c>
      <c r="M335" s="8" t="str">
        <f>IFERROR(INDEX(样本到样信息汇总统计!M$2:M$500,MATCH(334,样本到样信息汇总统计!$AA$2:$AA$500,0)),"")</f>
        <v/>
      </c>
      <c r="N335" s="8" t="str">
        <f>IFERROR(INDEX(样本到样信息汇总统计!N$2:N$500,MATCH(334,样本到样信息汇总统计!$AA$2:$AA$500,0)),"")</f>
        <v/>
      </c>
      <c r="O335" s="8" t="str">
        <f>IFERROR(INDEX(样本到样信息汇总统计!O$2:O$500,MATCH(334,样本到样信息汇总统计!$AA$2:$AA$500,0)),"")</f>
        <v/>
      </c>
      <c r="P335" s="8" t="str">
        <f>IFERROR(INDEX(样本到样信息汇总统计!P$2:P$500,MATCH(334,样本到样信息汇总统计!$AA$2:$AA$500,0)),"")</f>
        <v/>
      </c>
      <c r="Q335" s="8" t="str">
        <f>IFERROR(INDEX(样本到样信息汇总统计!Q$2:Q$500,MATCH(334,样本到样信息汇总统计!$AA$2:$AA$500,0)),"")</f>
        <v/>
      </c>
      <c r="R335" s="8" t="str">
        <f>IFERROR(INDEX(样本到样信息汇总统计!R$2:R$500,MATCH(334,样本到样信息汇总统计!$AA$2:$AA$500,0)),"")</f>
        <v/>
      </c>
      <c r="S335" s="8" t="str">
        <f>IFERROR(INDEX(样本到样信息汇总统计!S$2:S$500,MATCH(334,样本到样信息汇总统计!$AA$2:$AA$500,0)),"")</f>
        <v/>
      </c>
      <c r="T335" s="8" t="str">
        <f>IFERROR(INDEX(样本到样信息汇总统计!T$2:T$500,MATCH(334,样本到样信息汇总统计!$AA$2:$AA$500,0)),"")</f>
        <v/>
      </c>
      <c r="U335" s="8" t="str">
        <f>IFERROR(INDEX(样本到样信息汇总统计!U$2:U$500,MATCH(334,样本到样信息汇总统计!$AA$2:$AA$500,0)),"")</f>
        <v/>
      </c>
      <c r="V335" s="8" t="str">
        <f>IFERROR(INDEX(样本到样信息汇总统计!V$2:V$500,MATCH(334,样本到样信息汇总统计!$AA$2:$AA$500,0)),"")</f>
        <v/>
      </c>
      <c r="W335" s="8" t="str">
        <f>IFERROR(INDEX(样本到样信息汇总统计!W$2:W$500,MATCH(334,样本到样信息汇总统计!$AA$2:$AA$500,0)),"")</f>
        <v/>
      </c>
    </row>
    <row r="336" ht="14.5" spans="1:23">
      <c r="A336" s="4" t="str">
        <f>IFERROR(INDEX(样本到样信息汇总统计!A$2:A$500,MATCH(335,样本到样信息汇总统计!$AA$2:$AA$500,0)),"")</f>
        <v/>
      </c>
      <c r="B336" s="4" t="str">
        <f>IFERROR(INDEX(样本到样信息汇总统计!B$2:B$500,MATCH(335,样本到样信息汇总统计!$AA$2:$AA$500,0)),"")</f>
        <v/>
      </c>
      <c r="C336" s="4" t="str">
        <f>IFERROR(INDEX(样本到样信息汇总统计!C$2:C$500,MATCH(335,样本到样信息汇总统计!$AA$2:$AA$500,0)),"")</f>
        <v/>
      </c>
      <c r="D336" s="4" t="str">
        <f>IFERROR(INDEX(样本到样信息汇总统计!D$2:D$500,MATCH(335,样本到样信息汇总统计!$AA$2:$AA$500,0)),"")</f>
        <v/>
      </c>
      <c r="E336" s="4" t="str">
        <f>IFERROR(INDEX(样本到样信息汇总统计!E$2:E$500,MATCH(335,样本到样信息汇总统计!$AA$2:$AA$500,0)),"")</f>
        <v/>
      </c>
      <c r="F336" s="4" t="str">
        <f>IFERROR(INDEX(样本到样信息汇总统计!F$2:F$500,MATCH(335,样本到样信息汇总统计!$AA$2:$AA$500,0)),"")</f>
        <v/>
      </c>
      <c r="G336" s="4" t="str">
        <f>IFERROR(INDEX(样本到样信息汇总统计!G$2:G$500,MATCH(335,样本到样信息汇总统计!$AA$2:$AA$500,0)),"")</f>
        <v/>
      </c>
      <c r="H336" s="4" t="str">
        <f>IFERROR(INDEX(样本到样信息汇总统计!H$2:H$500,MATCH(335,样本到样信息汇总统计!$AA$2:$AA$500,0)),"")</f>
        <v/>
      </c>
      <c r="I336" s="4" t="str">
        <f>IFERROR(INDEX(样本到样信息汇总统计!I$2:I$500,MATCH(335,样本到样信息汇总统计!$AA$2:$AA$500,0)),"")</f>
        <v/>
      </c>
      <c r="J336" s="4" t="str">
        <f>IFERROR(INDEX(样本到样信息汇总统计!J$2:J$500,MATCH(335,样本到样信息汇总统计!$AA$2:$AA$500,0)),"")</f>
        <v/>
      </c>
      <c r="K336" s="4" t="str">
        <f>IFERROR(INDEX(样本到样信息汇总统计!K$2:K$500,MATCH(335,样本到样信息汇总统计!$AA$2:$AA$500,0)),"")</f>
        <v/>
      </c>
      <c r="L336" s="4" t="str">
        <f>IFERROR(INDEX(样本到样信息汇总统计!L$2:L$500,MATCH(335,样本到样信息汇总统计!$AA$2:$AA$500,0)),"")</f>
        <v/>
      </c>
      <c r="M336" s="4" t="str">
        <f>IFERROR(INDEX(样本到样信息汇总统计!M$2:M$500,MATCH(335,样本到样信息汇总统计!$AA$2:$AA$500,0)),"")</f>
        <v/>
      </c>
      <c r="N336" s="4" t="str">
        <f>IFERROR(INDEX(样本到样信息汇总统计!N$2:N$500,MATCH(335,样本到样信息汇总统计!$AA$2:$AA$500,0)),"")</f>
        <v/>
      </c>
      <c r="O336" s="4" t="str">
        <f>IFERROR(INDEX(样本到样信息汇总统计!O$2:O$500,MATCH(335,样本到样信息汇总统计!$AA$2:$AA$500,0)),"")</f>
        <v/>
      </c>
      <c r="P336" s="4" t="str">
        <f>IFERROR(INDEX(样本到样信息汇总统计!P$2:P$500,MATCH(335,样本到样信息汇总统计!$AA$2:$AA$500,0)),"")</f>
        <v/>
      </c>
      <c r="Q336" s="4" t="str">
        <f>IFERROR(INDEX(样本到样信息汇总统计!Q$2:Q$500,MATCH(335,样本到样信息汇总统计!$AA$2:$AA$500,0)),"")</f>
        <v/>
      </c>
      <c r="R336" s="4" t="str">
        <f>IFERROR(INDEX(样本到样信息汇总统计!R$2:R$500,MATCH(335,样本到样信息汇总统计!$AA$2:$AA$500,0)),"")</f>
        <v/>
      </c>
      <c r="S336" s="4" t="str">
        <f>IFERROR(INDEX(样本到样信息汇总统计!S$2:S$500,MATCH(335,样本到样信息汇总统计!$AA$2:$AA$500,0)),"")</f>
        <v/>
      </c>
      <c r="T336" s="4" t="str">
        <f>IFERROR(INDEX(样本到样信息汇总统计!T$2:T$500,MATCH(335,样本到样信息汇总统计!$AA$2:$AA$500,0)),"")</f>
        <v/>
      </c>
      <c r="U336" s="4" t="str">
        <f>IFERROR(INDEX(样本到样信息汇总统计!U$2:U$500,MATCH(335,样本到样信息汇总统计!$AA$2:$AA$500,0)),"")</f>
        <v/>
      </c>
      <c r="V336" s="4" t="str">
        <f>IFERROR(INDEX(样本到样信息汇总统计!V$2:V$500,MATCH(335,样本到样信息汇总统计!$AA$2:$AA$500,0)),"")</f>
        <v/>
      </c>
      <c r="W336" s="4" t="str">
        <f>IFERROR(INDEX(样本到样信息汇总统计!W$2:W$500,MATCH(335,样本到样信息汇总统计!$AA$2:$AA$500,0)),"")</f>
        <v/>
      </c>
    </row>
    <row r="337" ht="14.5" spans="1:23">
      <c r="A337" s="8" t="str">
        <f>IFERROR(INDEX(样本到样信息汇总统计!A$2:A$500,MATCH(336,样本到样信息汇总统计!$AA$2:$AA$500,0)),"")</f>
        <v/>
      </c>
      <c r="B337" s="8" t="str">
        <f>IFERROR(INDEX(样本到样信息汇总统计!B$2:B$500,MATCH(336,样本到样信息汇总统计!$AA$2:$AA$500,0)),"")</f>
        <v/>
      </c>
      <c r="C337" s="8" t="str">
        <f>IFERROR(INDEX(样本到样信息汇总统计!C$2:C$500,MATCH(336,样本到样信息汇总统计!$AA$2:$AA$500,0)),"")</f>
        <v/>
      </c>
      <c r="D337" s="8" t="str">
        <f>IFERROR(INDEX(样本到样信息汇总统计!D$2:D$500,MATCH(336,样本到样信息汇总统计!$AA$2:$AA$500,0)),"")</f>
        <v/>
      </c>
      <c r="E337" s="8" t="str">
        <f>IFERROR(INDEX(样本到样信息汇总统计!E$2:E$500,MATCH(336,样本到样信息汇总统计!$AA$2:$AA$500,0)),"")</f>
        <v/>
      </c>
      <c r="F337" s="8" t="str">
        <f>IFERROR(INDEX(样本到样信息汇总统计!F$2:F$500,MATCH(336,样本到样信息汇总统计!$AA$2:$AA$500,0)),"")</f>
        <v/>
      </c>
      <c r="G337" s="8" t="str">
        <f>IFERROR(INDEX(样本到样信息汇总统计!G$2:G$500,MATCH(336,样本到样信息汇总统计!$AA$2:$AA$500,0)),"")</f>
        <v/>
      </c>
      <c r="H337" s="8" t="str">
        <f>IFERROR(INDEX(样本到样信息汇总统计!H$2:H$500,MATCH(336,样本到样信息汇总统计!$AA$2:$AA$500,0)),"")</f>
        <v/>
      </c>
      <c r="I337" s="8" t="str">
        <f>IFERROR(INDEX(样本到样信息汇总统计!I$2:I$500,MATCH(336,样本到样信息汇总统计!$AA$2:$AA$500,0)),"")</f>
        <v/>
      </c>
      <c r="J337" s="8" t="str">
        <f>IFERROR(INDEX(样本到样信息汇总统计!J$2:J$500,MATCH(336,样本到样信息汇总统计!$AA$2:$AA$500,0)),"")</f>
        <v/>
      </c>
      <c r="K337" s="8" t="str">
        <f>IFERROR(INDEX(样本到样信息汇总统计!K$2:K$500,MATCH(336,样本到样信息汇总统计!$AA$2:$AA$500,0)),"")</f>
        <v/>
      </c>
      <c r="L337" s="8" t="str">
        <f>IFERROR(INDEX(样本到样信息汇总统计!L$2:L$500,MATCH(336,样本到样信息汇总统计!$AA$2:$AA$500,0)),"")</f>
        <v/>
      </c>
      <c r="M337" s="8" t="str">
        <f>IFERROR(INDEX(样本到样信息汇总统计!M$2:M$500,MATCH(336,样本到样信息汇总统计!$AA$2:$AA$500,0)),"")</f>
        <v/>
      </c>
      <c r="N337" s="8" t="str">
        <f>IFERROR(INDEX(样本到样信息汇总统计!N$2:N$500,MATCH(336,样本到样信息汇总统计!$AA$2:$AA$500,0)),"")</f>
        <v/>
      </c>
      <c r="O337" s="8" t="str">
        <f>IFERROR(INDEX(样本到样信息汇总统计!O$2:O$500,MATCH(336,样本到样信息汇总统计!$AA$2:$AA$500,0)),"")</f>
        <v/>
      </c>
      <c r="P337" s="8" t="str">
        <f>IFERROR(INDEX(样本到样信息汇总统计!P$2:P$500,MATCH(336,样本到样信息汇总统计!$AA$2:$AA$500,0)),"")</f>
        <v/>
      </c>
      <c r="Q337" s="8" t="str">
        <f>IFERROR(INDEX(样本到样信息汇总统计!Q$2:Q$500,MATCH(336,样本到样信息汇总统计!$AA$2:$AA$500,0)),"")</f>
        <v/>
      </c>
      <c r="R337" s="8" t="str">
        <f>IFERROR(INDEX(样本到样信息汇总统计!R$2:R$500,MATCH(336,样本到样信息汇总统计!$AA$2:$AA$500,0)),"")</f>
        <v/>
      </c>
      <c r="S337" s="8" t="str">
        <f>IFERROR(INDEX(样本到样信息汇总统计!S$2:S$500,MATCH(336,样本到样信息汇总统计!$AA$2:$AA$500,0)),"")</f>
        <v/>
      </c>
      <c r="T337" s="8" t="str">
        <f>IFERROR(INDEX(样本到样信息汇总统计!T$2:T$500,MATCH(336,样本到样信息汇总统计!$AA$2:$AA$500,0)),"")</f>
        <v/>
      </c>
      <c r="U337" s="8" t="str">
        <f>IFERROR(INDEX(样本到样信息汇总统计!U$2:U$500,MATCH(336,样本到样信息汇总统计!$AA$2:$AA$500,0)),"")</f>
        <v/>
      </c>
      <c r="V337" s="8" t="str">
        <f>IFERROR(INDEX(样本到样信息汇总统计!V$2:V$500,MATCH(336,样本到样信息汇总统计!$AA$2:$AA$500,0)),"")</f>
        <v/>
      </c>
      <c r="W337" s="8" t="str">
        <f>IFERROR(INDEX(样本到样信息汇总统计!W$2:W$500,MATCH(336,样本到样信息汇总统计!$AA$2:$AA$500,0)),"")</f>
        <v/>
      </c>
    </row>
    <row r="338" ht="14.5" spans="1:23">
      <c r="A338" s="4" t="str">
        <f>IFERROR(INDEX(样本到样信息汇总统计!A$2:A$500,MATCH(337,样本到样信息汇总统计!$AA$2:$AA$500,0)),"")</f>
        <v/>
      </c>
      <c r="B338" s="4" t="str">
        <f>IFERROR(INDEX(样本到样信息汇总统计!B$2:B$500,MATCH(337,样本到样信息汇总统计!$AA$2:$AA$500,0)),"")</f>
        <v/>
      </c>
      <c r="C338" s="4" t="str">
        <f>IFERROR(INDEX(样本到样信息汇总统计!C$2:C$500,MATCH(337,样本到样信息汇总统计!$AA$2:$AA$500,0)),"")</f>
        <v/>
      </c>
      <c r="D338" s="4" t="str">
        <f>IFERROR(INDEX(样本到样信息汇总统计!D$2:D$500,MATCH(337,样本到样信息汇总统计!$AA$2:$AA$500,0)),"")</f>
        <v/>
      </c>
      <c r="E338" s="4" t="str">
        <f>IFERROR(INDEX(样本到样信息汇总统计!E$2:E$500,MATCH(337,样本到样信息汇总统计!$AA$2:$AA$500,0)),"")</f>
        <v/>
      </c>
      <c r="F338" s="4" t="str">
        <f>IFERROR(INDEX(样本到样信息汇总统计!F$2:F$500,MATCH(337,样本到样信息汇总统计!$AA$2:$AA$500,0)),"")</f>
        <v/>
      </c>
      <c r="G338" s="4" t="str">
        <f>IFERROR(INDEX(样本到样信息汇总统计!G$2:G$500,MATCH(337,样本到样信息汇总统计!$AA$2:$AA$500,0)),"")</f>
        <v/>
      </c>
      <c r="H338" s="4" t="str">
        <f>IFERROR(INDEX(样本到样信息汇总统计!H$2:H$500,MATCH(337,样本到样信息汇总统计!$AA$2:$AA$500,0)),"")</f>
        <v/>
      </c>
      <c r="I338" s="4" t="str">
        <f>IFERROR(INDEX(样本到样信息汇总统计!I$2:I$500,MATCH(337,样本到样信息汇总统计!$AA$2:$AA$500,0)),"")</f>
        <v/>
      </c>
      <c r="J338" s="4" t="str">
        <f>IFERROR(INDEX(样本到样信息汇总统计!J$2:J$500,MATCH(337,样本到样信息汇总统计!$AA$2:$AA$500,0)),"")</f>
        <v/>
      </c>
      <c r="K338" s="4" t="str">
        <f>IFERROR(INDEX(样本到样信息汇总统计!K$2:K$500,MATCH(337,样本到样信息汇总统计!$AA$2:$AA$500,0)),"")</f>
        <v/>
      </c>
      <c r="L338" s="4" t="str">
        <f>IFERROR(INDEX(样本到样信息汇总统计!L$2:L$500,MATCH(337,样本到样信息汇总统计!$AA$2:$AA$500,0)),"")</f>
        <v/>
      </c>
      <c r="M338" s="4" t="str">
        <f>IFERROR(INDEX(样本到样信息汇总统计!M$2:M$500,MATCH(337,样本到样信息汇总统计!$AA$2:$AA$500,0)),"")</f>
        <v/>
      </c>
      <c r="N338" s="4" t="str">
        <f>IFERROR(INDEX(样本到样信息汇总统计!N$2:N$500,MATCH(337,样本到样信息汇总统计!$AA$2:$AA$500,0)),"")</f>
        <v/>
      </c>
      <c r="O338" s="4" t="str">
        <f>IFERROR(INDEX(样本到样信息汇总统计!O$2:O$500,MATCH(337,样本到样信息汇总统计!$AA$2:$AA$500,0)),"")</f>
        <v/>
      </c>
      <c r="P338" s="4" t="str">
        <f>IFERROR(INDEX(样本到样信息汇总统计!P$2:P$500,MATCH(337,样本到样信息汇总统计!$AA$2:$AA$500,0)),"")</f>
        <v/>
      </c>
      <c r="Q338" s="4" t="str">
        <f>IFERROR(INDEX(样本到样信息汇总统计!Q$2:Q$500,MATCH(337,样本到样信息汇总统计!$AA$2:$AA$500,0)),"")</f>
        <v/>
      </c>
      <c r="R338" s="4" t="str">
        <f>IFERROR(INDEX(样本到样信息汇总统计!R$2:R$500,MATCH(337,样本到样信息汇总统计!$AA$2:$AA$500,0)),"")</f>
        <v/>
      </c>
      <c r="S338" s="4" t="str">
        <f>IFERROR(INDEX(样本到样信息汇总统计!S$2:S$500,MATCH(337,样本到样信息汇总统计!$AA$2:$AA$500,0)),"")</f>
        <v/>
      </c>
      <c r="T338" s="4" t="str">
        <f>IFERROR(INDEX(样本到样信息汇总统计!T$2:T$500,MATCH(337,样本到样信息汇总统计!$AA$2:$AA$500,0)),"")</f>
        <v/>
      </c>
      <c r="U338" s="4" t="str">
        <f>IFERROR(INDEX(样本到样信息汇总统计!U$2:U$500,MATCH(337,样本到样信息汇总统计!$AA$2:$AA$500,0)),"")</f>
        <v/>
      </c>
      <c r="V338" s="4" t="str">
        <f>IFERROR(INDEX(样本到样信息汇总统计!V$2:V$500,MATCH(337,样本到样信息汇总统计!$AA$2:$AA$500,0)),"")</f>
        <v/>
      </c>
      <c r="W338" s="4" t="str">
        <f>IFERROR(INDEX(样本到样信息汇总统计!W$2:W$500,MATCH(337,样本到样信息汇总统计!$AA$2:$AA$500,0)),"")</f>
        <v/>
      </c>
    </row>
    <row r="339" ht="14.5" spans="1:23">
      <c r="A339" s="8" t="str">
        <f>IFERROR(INDEX(样本到样信息汇总统计!A$2:A$500,MATCH(338,样本到样信息汇总统计!$AA$2:$AA$500,0)),"")</f>
        <v/>
      </c>
      <c r="B339" s="8" t="str">
        <f>IFERROR(INDEX(样本到样信息汇总统计!B$2:B$500,MATCH(338,样本到样信息汇总统计!$AA$2:$AA$500,0)),"")</f>
        <v/>
      </c>
      <c r="C339" s="8" t="str">
        <f>IFERROR(INDEX(样本到样信息汇总统计!C$2:C$500,MATCH(338,样本到样信息汇总统计!$AA$2:$AA$500,0)),"")</f>
        <v/>
      </c>
      <c r="D339" s="8" t="str">
        <f>IFERROR(INDEX(样本到样信息汇总统计!D$2:D$500,MATCH(338,样本到样信息汇总统计!$AA$2:$AA$500,0)),"")</f>
        <v/>
      </c>
      <c r="E339" s="8" t="str">
        <f>IFERROR(INDEX(样本到样信息汇总统计!E$2:E$500,MATCH(338,样本到样信息汇总统计!$AA$2:$AA$500,0)),"")</f>
        <v/>
      </c>
      <c r="F339" s="8" t="str">
        <f>IFERROR(INDEX(样本到样信息汇总统计!F$2:F$500,MATCH(338,样本到样信息汇总统计!$AA$2:$AA$500,0)),"")</f>
        <v/>
      </c>
      <c r="G339" s="8" t="str">
        <f>IFERROR(INDEX(样本到样信息汇总统计!G$2:G$500,MATCH(338,样本到样信息汇总统计!$AA$2:$AA$500,0)),"")</f>
        <v/>
      </c>
      <c r="H339" s="8" t="str">
        <f>IFERROR(INDEX(样本到样信息汇总统计!H$2:H$500,MATCH(338,样本到样信息汇总统计!$AA$2:$AA$500,0)),"")</f>
        <v/>
      </c>
      <c r="I339" s="8" t="str">
        <f>IFERROR(INDEX(样本到样信息汇总统计!I$2:I$500,MATCH(338,样本到样信息汇总统计!$AA$2:$AA$500,0)),"")</f>
        <v/>
      </c>
      <c r="J339" s="8" t="str">
        <f>IFERROR(INDEX(样本到样信息汇总统计!J$2:J$500,MATCH(338,样本到样信息汇总统计!$AA$2:$AA$500,0)),"")</f>
        <v/>
      </c>
      <c r="K339" s="8" t="str">
        <f>IFERROR(INDEX(样本到样信息汇总统计!K$2:K$500,MATCH(338,样本到样信息汇总统计!$AA$2:$AA$500,0)),"")</f>
        <v/>
      </c>
      <c r="L339" s="8" t="str">
        <f>IFERROR(INDEX(样本到样信息汇总统计!L$2:L$500,MATCH(338,样本到样信息汇总统计!$AA$2:$AA$500,0)),"")</f>
        <v/>
      </c>
      <c r="M339" s="8" t="str">
        <f>IFERROR(INDEX(样本到样信息汇总统计!M$2:M$500,MATCH(338,样本到样信息汇总统计!$AA$2:$AA$500,0)),"")</f>
        <v/>
      </c>
      <c r="N339" s="8" t="str">
        <f>IFERROR(INDEX(样本到样信息汇总统计!N$2:N$500,MATCH(338,样本到样信息汇总统计!$AA$2:$AA$500,0)),"")</f>
        <v/>
      </c>
      <c r="O339" s="8" t="str">
        <f>IFERROR(INDEX(样本到样信息汇总统计!O$2:O$500,MATCH(338,样本到样信息汇总统计!$AA$2:$AA$500,0)),"")</f>
        <v/>
      </c>
      <c r="P339" s="8" t="str">
        <f>IFERROR(INDEX(样本到样信息汇总统计!P$2:P$500,MATCH(338,样本到样信息汇总统计!$AA$2:$AA$500,0)),"")</f>
        <v/>
      </c>
      <c r="Q339" s="8" t="str">
        <f>IFERROR(INDEX(样本到样信息汇总统计!Q$2:Q$500,MATCH(338,样本到样信息汇总统计!$AA$2:$AA$500,0)),"")</f>
        <v/>
      </c>
      <c r="R339" s="8" t="str">
        <f>IFERROR(INDEX(样本到样信息汇总统计!R$2:R$500,MATCH(338,样本到样信息汇总统计!$AA$2:$AA$500,0)),"")</f>
        <v/>
      </c>
      <c r="S339" s="8" t="str">
        <f>IFERROR(INDEX(样本到样信息汇总统计!S$2:S$500,MATCH(338,样本到样信息汇总统计!$AA$2:$AA$500,0)),"")</f>
        <v/>
      </c>
      <c r="T339" s="8" t="str">
        <f>IFERROR(INDEX(样本到样信息汇总统计!T$2:T$500,MATCH(338,样本到样信息汇总统计!$AA$2:$AA$500,0)),"")</f>
        <v/>
      </c>
      <c r="U339" s="8" t="str">
        <f>IFERROR(INDEX(样本到样信息汇总统计!U$2:U$500,MATCH(338,样本到样信息汇总统计!$AA$2:$AA$500,0)),"")</f>
        <v/>
      </c>
      <c r="V339" s="8" t="str">
        <f>IFERROR(INDEX(样本到样信息汇总统计!V$2:V$500,MATCH(338,样本到样信息汇总统计!$AA$2:$AA$500,0)),"")</f>
        <v/>
      </c>
      <c r="W339" s="8" t="str">
        <f>IFERROR(INDEX(样本到样信息汇总统计!W$2:W$500,MATCH(338,样本到样信息汇总统计!$AA$2:$AA$500,0)),"")</f>
        <v/>
      </c>
    </row>
    <row r="340" ht="14.5" spans="1:23">
      <c r="A340" s="4" t="str">
        <f>IFERROR(INDEX(样本到样信息汇总统计!A$2:A$500,MATCH(339,样本到样信息汇总统计!$AA$2:$AA$500,0)),"")</f>
        <v/>
      </c>
      <c r="B340" s="4" t="str">
        <f>IFERROR(INDEX(样本到样信息汇总统计!B$2:B$500,MATCH(339,样本到样信息汇总统计!$AA$2:$AA$500,0)),"")</f>
        <v/>
      </c>
      <c r="C340" s="4" t="str">
        <f>IFERROR(INDEX(样本到样信息汇总统计!C$2:C$500,MATCH(339,样本到样信息汇总统计!$AA$2:$AA$500,0)),"")</f>
        <v/>
      </c>
      <c r="D340" s="4" t="str">
        <f>IFERROR(INDEX(样本到样信息汇总统计!D$2:D$500,MATCH(339,样本到样信息汇总统计!$AA$2:$AA$500,0)),"")</f>
        <v/>
      </c>
      <c r="E340" s="4" t="str">
        <f>IFERROR(INDEX(样本到样信息汇总统计!E$2:E$500,MATCH(339,样本到样信息汇总统计!$AA$2:$AA$500,0)),"")</f>
        <v/>
      </c>
      <c r="F340" s="4" t="str">
        <f>IFERROR(INDEX(样本到样信息汇总统计!F$2:F$500,MATCH(339,样本到样信息汇总统计!$AA$2:$AA$500,0)),"")</f>
        <v/>
      </c>
      <c r="G340" s="4" t="str">
        <f>IFERROR(INDEX(样本到样信息汇总统计!G$2:G$500,MATCH(339,样本到样信息汇总统计!$AA$2:$AA$500,0)),"")</f>
        <v/>
      </c>
      <c r="H340" s="4" t="str">
        <f>IFERROR(INDEX(样本到样信息汇总统计!H$2:H$500,MATCH(339,样本到样信息汇总统计!$AA$2:$AA$500,0)),"")</f>
        <v/>
      </c>
      <c r="I340" s="4" t="str">
        <f>IFERROR(INDEX(样本到样信息汇总统计!I$2:I$500,MATCH(339,样本到样信息汇总统计!$AA$2:$AA$500,0)),"")</f>
        <v/>
      </c>
      <c r="J340" s="4" t="str">
        <f>IFERROR(INDEX(样本到样信息汇总统计!J$2:J$500,MATCH(339,样本到样信息汇总统计!$AA$2:$AA$500,0)),"")</f>
        <v/>
      </c>
      <c r="K340" s="4" t="str">
        <f>IFERROR(INDEX(样本到样信息汇总统计!K$2:K$500,MATCH(339,样本到样信息汇总统计!$AA$2:$AA$500,0)),"")</f>
        <v/>
      </c>
      <c r="L340" s="4" t="str">
        <f>IFERROR(INDEX(样本到样信息汇总统计!L$2:L$500,MATCH(339,样本到样信息汇总统计!$AA$2:$AA$500,0)),"")</f>
        <v/>
      </c>
      <c r="M340" s="4" t="str">
        <f>IFERROR(INDEX(样本到样信息汇总统计!M$2:M$500,MATCH(339,样本到样信息汇总统计!$AA$2:$AA$500,0)),"")</f>
        <v/>
      </c>
      <c r="N340" s="4" t="str">
        <f>IFERROR(INDEX(样本到样信息汇总统计!N$2:N$500,MATCH(339,样本到样信息汇总统计!$AA$2:$AA$500,0)),"")</f>
        <v/>
      </c>
      <c r="O340" s="4" t="str">
        <f>IFERROR(INDEX(样本到样信息汇总统计!O$2:O$500,MATCH(339,样本到样信息汇总统计!$AA$2:$AA$500,0)),"")</f>
        <v/>
      </c>
      <c r="P340" s="4" t="str">
        <f>IFERROR(INDEX(样本到样信息汇总统计!P$2:P$500,MATCH(339,样本到样信息汇总统计!$AA$2:$AA$500,0)),"")</f>
        <v/>
      </c>
      <c r="Q340" s="4" t="str">
        <f>IFERROR(INDEX(样本到样信息汇总统计!Q$2:Q$500,MATCH(339,样本到样信息汇总统计!$AA$2:$AA$500,0)),"")</f>
        <v/>
      </c>
      <c r="R340" s="4" t="str">
        <f>IFERROR(INDEX(样本到样信息汇总统计!R$2:R$500,MATCH(339,样本到样信息汇总统计!$AA$2:$AA$500,0)),"")</f>
        <v/>
      </c>
      <c r="S340" s="4" t="str">
        <f>IFERROR(INDEX(样本到样信息汇总统计!S$2:S$500,MATCH(339,样本到样信息汇总统计!$AA$2:$AA$500,0)),"")</f>
        <v/>
      </c>
      <c r="T340" s="4" t="str">
        <f>IFERROR(INDEX(样本到样信息汇总统计!T$2:T$500,MATCH(339,样本到样信息汇总统计!$AA$2:$AA$500,0)),"")</f>
        <v/>
      </c>
      <c r="U340" s="4" t="str">
        <f>IFERROR(INDEX(样本到样信息汇总统计!U$2:U$500,MATCH(339,样本到样信息汇总统计!$AA$2:$AA$500,0)),"")</f>
        <v/>
      </c>
      <c r="V340" s="4" t="str">
        <f>IFERROR(INDEX(样本到样信息汇总统计!V$2:V$500,MATCH(339,样本到样信息汇总统计!$AA$2:$AA$500,0)),"")</f>
        <v/>
      </c>
      <c r="W340" s="4" t="str">
        <f>IFERROR(INDEX(样本到样信息汇总统计!W$2:W$500,MATCH(339,样本到样信息汇总统计!$AA$2:$AA$500,0)),"")</f>
        <v/>
      </c>
    </row>
    <row r="341" ht="14.5" spans="1:23">
      <c r="A341" s="8" t="str">
        <f>IFERROR(INDEX(样本到样信息汇总统计!A$2:A$500,MATCH(340,样本到样信息汇总统计!$AA$2:$AA$500,0)),"")</f>
        <v/>
      </c>
      <c r="B341" s="8" t="str">
        <f>IFERROR(INDEX(样本到样信息汇总统计!B$2:B$500,MATCH(340,样本到样信息汇总统计!$AA$2:$AA$500,0)),"")</f>
        <v/>
      </c>
      <c r="C341" s="8" t="str">
        <f>IFERROR(INDEX(样本到样信息汇总统计!C$2:C$500,MATCH(340,样本到样信息汇总统计!$AA$2:$AA$500,0)),"")</f>
        <v/>
      </c>
      <c r="D341" s="8" t="str">
        <f>IFERROR(INDEX(样本到样信息汇总统计!D$2:D$500,MATCH(340,样本到样信息汇总统计!$AA$2:$AA$500,0)),"")</f>
        <v/>
      </c>
      <c r="E341" s="8" t="str">
        <f>IFERROR(INDEX(样本到样信息汇总统计!E$2:E$500,MATCH(340,样本到样信息汇总统计!$AA$2:$AA$500,0)),"")</f>
        <v/>
      </c>
      <c r="F341" s="8" t="str">
        <f>IFERROR(INDEX(样本到样信息汇总统计!F$2:F$500,MATCH(340,样本到样信息汇总统计!$AA$2:$AA$500,0)),"")</f>
        <v/>
      </c>
      <c r="G341" s="8" t="str">
        <f>IFERROR(INDEX(样本到样信息汇总统计!G$2:G$500,MATCH(340,样本到样信息汇总统计!$AA$2:$AA$500,0)),"")</f>
        <v/>
      </c>
      <c r="H341" s="8" t="str">
        <f>IFERROR(INDEX(样本到样信息汇总统计!H$2:H$500,MATCH(340,样本到样信息汇总统计!$AA$2:$AA$500,0)),"")</f>
        <v/>
      </c>
      <c r="I341" s="8" t="str">
        <f>IFERROR(INDEX(样本到样信息汇总统计!I$2:I$500,MATCH(340,样本到样信息汇总统计!$AA$2:$AA$500,0)),"")</f>
        <v/>
      </c>
      <c r="J341" s="8" t="str">
        <f>IFERROR(INDEX(样本到样信息汇总统计!J$2:J$500,MATCH(340,样本到样信息汇总统计!$AA$2:$AA$500,0)),"")</f>
        <v/>
      </c>
      <c r="K341" s="8" t="str">
        <f>IFERROR(INDEX(样本到样信息汇总统计!K$2:K$500,MATCH(340,样本到样信息汇总统计!$AA$2:$AA$500,0)),"")</f>
        <v/>
      </c>
      <c r="L341" s="8" t="str">
        <f>IFERROR(INDEX(样本到样信息汇总统计!L$2:L$500,MATCH(340,样本到样信息汇总统计!$AA$2:$AA$500,0)),"")</f>
        <v/>
      </c>
      <c r="M341" s="8" t="str">
        <f>IFERROR(INDEX(样本到样信息汇总统计!M$2:M$500,MATCH(340,样本到样信息汇总统计!$AA$2:$AA$500,0)),"")</f>
        <v/>
      </c>
      <c r="N341" s="8" t="str">
        <f>IFERROR(INDEX(样本到样信息汇总统计!N$2:N$500,MATCH(340,样本到样信息汇总统计!$AA$2:$AA$500,0)),"")</f>
        <v/>
      </c>
      <c r="O341" s="8" t="str">
        <f>IFERROR(INDEX(样本到样信息汇总统计!O$2:O$500,MATCH(340,样本到样信息汇总统计!$AA$2:$AA$500,0)),"")</f>
        <v/>
      </c>
      <c r="P341" s="8" t="str">
        <f>IFERROR(INDEX(样本到样信息汇总统计!P$2:P$500,MATCH(340,样本到样信息汇总统计!$AA$2:$AA$500,0)),"")</f>
        <v/>
      </c>
      <c r="Q341" s="8" t="str">
        <f>IFERROR(INDEX(样本到样信息汇总统计!Q$2:Q$500,MATCH(340,样本到样信息汇总统计!$AA$2:$AA$500,0)),"")</f>
        <v/>
      </c>
      <c r="R341" s="8" t="str">
        <f>IFERROR(INDEX(样本到样信息汇总统计!R$2:R$500,MATCH(340,样本到样信息汇总统计!$AA$2:$AA$500,0)),"")</f>
        <v/>
      </c>
      <c r="S341" s="8" t="str">
        <f>IFERROR(INDEX(样本到样信息汇总统计!S$2:S$500,MATCH(340,样本到样信息汇总统计!$AA$2:$AA$500,0)),"")</f>
        <v/>
      </c>
      <c r="T341" s="8" t="str">
        <f>IFERROR(INDEX(样本到样信息汇总统计!T$2:T$500,MATCH(340,样本到样信息汇总统计!$AA$2:$AA$500,0)),"")</f>
        <v/>
      </c>
      <c r="U341" s="8" t="str">
        <f>IFERROR(INDEX(样本到样信息汇总统计!U$2:U$500,MATCH(340,样本到样信息汇总统计!$AA$2:$AA$500,0)),"")</f>
        <v/>
      </c>
      <c r="V341" s="8" t="str">
        <f>IFERROR(INDEX(样本到样信息汇总统计!V$2:V$500,MATCH(340,样本到样信息汇总统计!$AA$2:$AA$500,0)),"")</f>
        <v/>
      </c>
      <c r="W341" s="8" t="str">
        <f>IFERROR(INDEX(样本到样信息汇总统计!W$2:W$500,MATCH(340,样本到样信息汇总统计!$AA$2:$AA$500,0)),"")</f>
        <v/>
      </c>
    </row>
    <row r="342" ht="14.5" spans="1:23">
      <c r="A342" s="4" t="str">
        <f>IFERROR(INDEX(样本到样信息汇总统计!A$2:A$500,MATCH(341,样本到样信息汇总统计!$AA$2:$AA$500,0)),"")</f>
        <v/>
      </c>
      <c r="B342" s="4" t="str">
        <f>IFERROR(INDEX(样本到样信息汇总统计!B$2:B$500,MATCH(341,样本到样信息汇总统计!$AA$2:$AA$500,0)),"")</f>
        <v/>
      </c>
      <c r="C342" s="4" t="str">
        <f>IFERROR(INDEX(样本到样信息汇总统计!C$2:C$500,MATCH(341,样本到样信息汇总统计!$AA$2:$AA$500,0)),"")</f>
        <v/>
      </c>
      <c r="D342" s="4" t="str">
        <f>IFERROR(INDEX(样本到样信息汇总统计!D$2:D$500,MATCH(341,样本到样信息汇总统计!$AA$2:$AA$500,0)),"")</f>
        <v/>
      </c>
      <c r="E342" s="4" t="str">
        <f>IFERROR(INDEX(样本到样信息汇总统计!E$2:E$500,MATCH(341,样本到样信息汇总统计!$AA$2:$AA$500,0)),"")</f>
        <v/>
      </c>
      <c r="F342" s="4" t="str">
        <f>IFERROR(INDEX(样本到样信息汇总统计!F$2:F$500,MATCH(341,样本到样信息汇总统计!$AA$2:$AA$500,0)),"")</f>
        <v/>
      </c>
      <c r="G342" s="4" t="str">
        <f>IFERROR(INDEX(样本到样信息汇总统计!G$2:G$500,MATCH(341,样本到样信息汇总统计!$AA$2:$AA$500,0)),"")</f>
        <v/>
      </c>
      <c r="H342" s="4" t="str">
        <f>IFERROR(INDEX(样本到样信息汇总统计!H$2:H$500,MATCH(341,样本到样信息汇总统计!$AA$2:$AA$500,0)),"")</f>
        <v/>
      </c>
      <c r="I342" s="4" t="str">
        <f>IFERROR(INDEX(样本到样信息汇总统计!I$2:I$500,MATCH(341,样本到样信息汇总统计!$AA$2:$AA$500,0)),"")</f>
        <v/>
      </c>
      <c r="J342" s="4" t="str">
        <f>IFERROR(INDEX(样本到样信息汇总统计!J$2:J$500,MATCH(341,样本到样信息汇总统计!$AA$2:$AA$500,0)),"")</f>
        <v/>
      </c>
      <c r="K342" s="4" t="str">
        <f>IFERROR(INDEX(样本到样信息汇总统计!K$2:K$500,MATCH(341,样本到样信息汇总统计!$AA$2:$AA$500,0)),"")</f>
        <v/>
      </c>
      <c r="L342" s="4" t="str">
        <f>IFERROR(INDEX(样本到样信息汇总统计!L$2:L$500,MATCH(341,样本到样信息汇总统计!$AA$2:$AA$500,0)),"")</f>
        <v/>
      </c>
      <c r="M342" s="4" t="str">
        <f>IFERROR(INDEX(样本到样信息汇总统计!M$2:M$500,MATCH(341,样本到样信息汇总统计!$AA$2:$AA$500,0)),"")</f>
        <v/>
      </c>
      <c r="N342" s="4" t="str">
        <f>IFERROR(INDEX(样本到样信息汇总统计!N$2:N$500,MATCH(341,样本到样信息汇总统计!$AA$2:$AA$500,0)),"")</f>
        <v/>
      </c>
      <c r="O342" s="4" t="str">
        <f>IFERROR(INDEX(样本到样信息汇总统计!O$2:O$500,MATCH(341,样本到样信息汇总统计!$AA$2:$AA$500,0)),"")</f>
        <v/>
      </c>
      <c r="P342" s="4" t="str">
        <f>IFERROR(INDEX(样本到样信息汇总统计!P$2:P$500,MATCH(341,样本到样信息汇总统计!$AA$2:$AA$500,0)),"")</f>
        <v/>
      </c>
      <c r="Q342" s="4" t="str">
        <f>IFERROR(INDEX(样本到样信息汇总统计!Q$2:Q$500,MATCH(341,样本到样信息汇总统计!$AA$2:$AA$500,0)),"")</f>
        <v/>
      </c>
      <c r="R342" s="4" t="str">
        <f>IFERROR(INDEX(样本到样信息汇总统计!R$2:R$500,MATCH(341,样本到样信息汇总统计!$AA$2:$AA$500,0)),"")</f>
        <v/>
      </c>
      <c r="S342" s="4" t="str">
        <f>IFERROR(INDEX(样本到样信息汇总统计!S$2:S$500,MATCH(341,样本到样信息汇总统计!$AA$2:$AA$500,0)),"")</f>
        <v/>
      </c>
      <c r="T342" s="4" t="str">
        <f>IFERROR(INDEX(样本到样信息汇总统计!T$2:T$500,MATCH(341,样本到样信息汇总统计!$AA$2:$AA$500,0)),"")</f>
        <v/>
      </c>
      <c r="U342" s="4" t="str">
        <f>IFERROR(INDEX(样本到样信息汇总统计!U$2:U$500,MATCH(341,样本到样信息汇总统计!$AA$2:$AA$500,0)),"")</f>
        <v/>
      </c>
      <c r="V342" s="4" t="str">
        <f>IFERROR(INDEX(样本到样信息汇总统计!V$2:V$500,MATCH(341,样本到样信息汇总统计!$AA$2:$AA$500,0)),"")</f>
        <v/>
      </c>
      <c r="W342" s="4" t="str">
        <f>IFERROR(INDEX(样本到样信息汇总统计!W$2:W$500,MATCH(341,样本到样信息汇总统计!$AA$2:$AA$500,0)),"")</f>
        <v/>
      </c>
    </row>
    <row r="343" ht="14.5" spans="1:23">
      <c r="A343" s="8" t="str">
        <f>IFERROR(INDEX(样本到样信息汇总统计!A$2:A$500,MATCH(342,样本到样信息汇总统计!$AA$2:$AA$500,0)),"")</f>
        <v/>
      </c>
      <c r="B343" s="8" t="str">
        <f>IFERROR(INDEX(样本到样信息汇总统计!B$2:B$500,MATCH(342,样本到样信息汇总统计!$AA$2:$AA$500,0)),"")</f>
        <v/>
      </c>
      <c r="C343" s="8" t="str">
        <f>IFERROR(INDEX(样本到样信息汇总统计!C$2:C$500,MATCH(342,样本到样信息汇总统计!$AA$2:$AA$500,0)),"")</f>
        <v/>
      </c>
      <c r="D343" s="8" t="str">
        <f>IFERROR(INDEX(样本到样信息汇总统计!D$2:D$500,MATCH(342,样本到样信息汇总统计!$AA$2:$AA$500,0)),"")</f>
        <v/>
      </c>
      <c r="E343" s="8" t="str">
        <f>IFERROR(INDEX(样本到样信息汇总统计!E$2:E$500,MATCH(342,样本到样信息汇总统计!$AA$2:$AA$500,0)),"")</f>
        <v/>
      </c>
      <c r="F343" s="8" t="str">
        <f>IFERROR(INDEX(样本到样信息汇总统计!F$2:F$500,MATCH(342,样本到样信息汇总统计!$AA$2:$AA$500,0)),"")</f>
        <v/>
      </c>
      <c r="G343" s="8" t="str">
        <f>IFERROR(INDEX(样本到样信息汇总统计!G$2:G$500,MATCH(342,样本到样信息汇总统计!$AA$2:$AA$500,0)),"")</f>
        <v/>
      </c>
      <c r="H343" s="8" t="str">
        <f>IFERROR(INDEX(样本到样信息汇总统计!H$2:H$500,MATCH(342,样本到样信息汇总统计!$AA$2:$AA$500,0)),"")</f>
        <v/>
      </c>
      <c r="I343" s="8" t="str">
        <f>IFERROR(INDEX(样本到样信息汇总统计!I$2:I$500,MATCH(342,样本到样信息汇总统计!$AA$2:$AA$500,0)),"")</f>
        <v/>
      </c>
      <c r="J343" s="8" t="str">
        <f>IFERROR(INDEX(样本到样信息汇总统计!J$2:J$500,MATCH(342,样本到样信息汇总统计!$AA$2:$AA$500,0)),"")</f>
        <v/>
      </c>
      <c r="K343" s="8" t="str">
        <f>IFERROR(INDEX(样本到样信息汇总统计!K$2:K$500,MATCH(342,样本到样信息汇总统计!$AA$2:$AA$500,0)),"")</f>
        <v/>
      </c>
      <c r="L343" s="8" t="str">
        <f>IFERROR(INDEX(样本到样信息汇总统计!L$2:L$500,MATCH(342,样本到样信息汇总统计!$AA$2:$AA$500,0)),"")</f>
        <v/>
      </c>
      <c r="M343" s="8" t="str">
        <f>IFERROR(INDEX(样本到样信息汇总统计!M$2:M$500,MATCH(342,样本到样信息汇总统计!$AA$2:$AA$500,0)),"")</f>
        <v/>
      </c>
      <c r="N343" s="8" t="str">
        <f>IFERROR(INDEX(样本到样信息汇总统计!N$2:N$500,MATCH(342,样本到样信息汇总统计!$AA$2:$AA$500,0)),"")</f>
        <v/>
      </c>
      <c r="O343" s="8" t="str">
        <f>IFERROR(INDEX(样本到样信息汇总统计!O$2:O$500,MATCH(342,样本到样信息汇总统计!$AA$2:$AA$500,0)),"")</f>
        <v/>
      </c>
      <c r="P343" s="8" t="str">
        <f>IFERROR(INDEX(样本到样信息汇总统计!P$2:P$500,MATCH(342,样本到样信息汇总统计!$AA$2:$AA$500,0)),"")</f>
        <v/>
      </c>
      <c r="Q343" s="8" t="str">
        <f>IFERROR(INDEX(样本到样信息汇总统计!Q$2:Q$500,MATCH(342,样本到样信息汇总统计!$AA$2:$AA$500,0)),"")</f>
        <v/>
      </c>
      <c r="R343" s="8" t="str">
        <f>IFERROR(INDEX(样本到样信息汇总统计!R$2:R$500,MATCH(342,样本到样信息汇总统计!$AA$2:$AA$500,0)),"")</f>
        <v/>
      </c>
      <c r="S343" s="8" t="str">
        <f>IFERROR(INDEX(样本到样信息汇总统计!S$2:S$500,MATCH(342,样本到样信息汇总统计!$AA$2:$AA$500,0)),"")</f>
        <v/>
      </c>
      <c r="T343" s="8" t="str">
        <f>IFERROR(INDEX(样本到样信息汇总统计!T$2:T$500,MATCH(342,样本到样信息汇总统计!$AA$2:$AA$500,0)),"")</f>
        <v/>
      </c>
      <c r="U343" s="8" t="str">
        <f>IFERROR(INDEX(样本到样信息汇总统计!U$2:U$500,MATCH(342,样本到样信息汇总统计!$AA$2:$AA$500,0)),"")</f>
        <v/>
      </c>
      <c r="V343" s="8" t="str">
        <f>IFERROR(INDEX(样本到样信息汇总统计!V$2:V$500,MATCH(342,样本到样信息汇总统计!$AA$2:$AA$500,0)),"")</f>
        <v/>
      </c>
      <c r="W343" s="8" t="str">
        <f>IFERROR(INDEX(样本到样信息汇总统计!W$2:W$500,MATCH(342,样本到样信息汇总统计!$AA$2:$AA$500,0)),"")</f>
        <v/>
      </c>
    </row>
    <row r="344" ht="14.5" spans="1:23">
      <c r="A344" s="4" t="str">
        <f>IFERROR(INDEX(样本到样信息汇总统计!A$2:A$500,MATCH(343,样本到样信息汇总统计!$AA$2:$AA$500,0)),"")</f>
        <v/>
      </c>
      <c r="B344" s="4" t="str">
        <f>IFERROR(INDEX(样本到样信息汇总统计!B$2:B$500,MATCH(343,样本到样信息汇总统计!$AA$2:$AA$500,0)),"")</f>
        <v/>
      </c>
      <c r="C344" s="4" t="str">
        <f>IFERROR(INDEX(样本到样信息汇总统计!C$2:C$500,MATCH(343,样本到样信息汇总统计!$AA$2:$AA$500,0)),"")</f>
        <v/>
      </c>
      <c r="D344" s="4" t="str">
        <f>IFERROR(INDEX(样本到样信息汇总统计!D$2:D$500,MATCH(343,样本到样信息汇总统计!$AA$2:$AA$500,0)),"")</f>
        <v/>
      </c>
      <c r="E344" s="4" t="str">
        <f>IFERROR(INDEX(样本到样信息汇总统计!E$2:E$500,MATCH(343,样本到样信息汇总统计!$AA$2:$AA$500,0)),"")</f>
        <v/>
      </c>
      <c r="F344" s="4" t="str">
        <f>IFERROR(INDEX(样本到样信息汇总统计!F$2:F$500,MATCH(343,样本到样信息汇总统计!$AA$2:$AA$500,0)),"")</f>
        <v/>
      </c>
      <c r="G344" s="4" t="str">
        <f>IFERROR(INDEX(样本到样信息汇总统计!G$2:G$500,MATCH(343,样本到样信息汇总统计!$AA$2:$AA$500,0)),"")</f>
        <v/>
      </c>
      <c r="H344" s="4" t="str">
        <f>IFERROR(INDEX(样本到样信息汇总统计!H$2:H$500,MATCH(343,样本到样信息汇总统计!$AA$2:$AA$500,0)),"")</f>
        <v/>
      </c>
      <c r="I344" s="4" t="str">
        <f>IFERROR(INDEX(样本到样信息汇总统计!I$2:I$500,MATCH(343,样本到样信息汇总统计!$AA$2:$AA$500,0)),"")</f>
        <v/>
      </c>
      <c r="J344" s="4" t="str">
        <f>IFERROR(INDEX(样本到样信息汇总统计!J$2:J$500,MATCH(343,样本到样信息汇总统计!$AA$2:$AA$500,0)),"")</f>
        <v/>
      </c>
      <c r="K344" s="4" t="str">
        <f>IFERROR(INDEX(样本到样信息汇总统计!K$2:K$500,MATCH(343,样本到样信息汇总统计!$AA$2:$AA$500,0)),"")</f>
        <v/>
      </c>
      <c r="L344" s="4" t="str">
        <f>IFERROR(INDEX(样本到样信息汇总统计!L$2:L$500,MATCH(343,样本到样信息汇总统计!$AA$2:$AA$500,0)),"")</f>
        <v/>
      </c>
      <c r="M344" s="4" t="str">
        <f>IFERROR(INDEX(样本到样信息汇总统计!M$2:M$500,MATCH(343,样本到样信息汇总统计!$AA$2:$AA$500,0)),"")</f>
        <v/>
      </c>
      <c r="N344" s="4" t="str">
        <f>IFERROR(INDEX(样本到样信息汇总统计!N$2:N$500,MATCH(343,样本到样信息汇总统计!$AA$2:$AA$500,0)),"")</f>
        <v/>
      </c>
      <c r="O344" s="4" t="str">
        <f>IFERROR(INDEX(样本到样信息汇总统计!O$2:O$500,MATCH(343,样本到样信息汇总统计!$AA$2:$AA$500,0)),"")</f>
        <v/>
      </c>
      <c r="P344" s="4" t="str">
        <f>IFERROR(INDEX(样本到样信息汇总统计!P$2:P$500,MATCH(343,样本到样信息汇总统计!$AA$2:$AA$500,0)),"")</f>
        <v/>
      </c>
      <c r="Q344" s="4" t="str">
        <f>IFERROR(INDEX(样本到样信息汇总统计!Q$2:Q$500,MATCH(343,样本到样信息汇总统计!$AA$2:$AA$500,0)),"")</f>
        <v/>
      </c>
      <c r="R344" s="4" t="str">
        <f>IFERROR(INDEX(样本到样信息汇总统计!R$2:R$500,MATCH(343,样本到样信息汇总统计!$AA$2:$AA$500,0)),"")</f>
        <v/>
      </c>
      <c r="S344" s="4" t="str">
        <f>IFERROR(INDEX(样本到样信息汇总统计!S$2:S$500,MATCH(343,样本到样信息汇总统计!$AA$2:$AA$500,0)),"")</f>
        <v/>
      </c>
      <c r="T344" s="4" t="str">
        <f>IFERROR(INDEX(样本到样信息汇总统计!T$2:T$500,MATCH(343,样本到样信息汇总统计!$AA$2:$AA$500,0)),"")</f>
        <v/>
      </c>
      <c r="U344" s="4" t="str">
        <f>IFERROR(INDEX(样本到样信息汇总统计!U$2:U$500,MATCH(343,样本到样信息汇总统计!$AA$2:$AA$500,0)),"")</f>
        <v/>
      </c>
      <c r="V344" s="4" t="str">
        <f>IFERROR(INDEX(样本到样信息汇总统计!V$2:V$500,MATCH(343,样本到样信息汇总统计!$AA$2:$AA$500,0)),"")</f>
        <v/>
      </c>
      <c r="W344" s="4" t="str">
        <f>IFERROR(INDEX(样本到样信息汇总统计!W$2:W$500,MATCH(343,样本到样信息汇总统计!$AA$2:$AA$500,0)),"")</f>
        <v/>
      </c>
    </row>
    <row r="345" ht="14.5" spans="1:23">
      <c r="A345" s="8" t="str">
        <f>IFERROR(INDEX(样本到样信息汇总统计!A$2:A$500,MATCH(344,样本到样信息汇总统计!$AA$2:$AA$500,0)),"")</f>
        <v/>
      </c>
      <c r="B345" s="8" t="str">
        <f>IFERROR(INDEX(样本到样信息汇总统计!B$2:B$500,MATCH(344,样本到样信息汇总统计!$AA$2:$AA$500,0)),"")</f>
        <v/>
      </c>
      <c r="C345" s="8" t="str">
        <f>IFERROR(INDEX(样本到样信息汇总统计!C$2:C$500,MATCH(344,样本到样信息汇总统计!$AA$2:$AA$500,0)),"")</f>
        <v/>
      </c>
      <c r="D345" s="8" t="str">
        <f>IFERROR(INDEX(样本到样信息汇总统计!D$2:D$500,MATCH(344,样本到样信息汇总统计!$AA$2:$AA$500,0)),"")</f>
        <v/>
      </c>
      <c r="E345" s="8" t="str">
        <f>IFERROR(INDEX(样本到样信息汇总统计!E$2:E$500,MATCH(344,样本到样信息汇总统计!$AA$2:$AA$500,0)),"")</f>
        <v/>
      </c>
      <c r="F345" s="8" t="str">
        <f>IFERROR(INDEX(样本到样信息汇总统计!F$2:F$500,MATCH(344,样本到样信息汇总统计!$AA$2:$AA$500,0)),"")</f>
        <v/>
      </c>
      <c r="G345" s="8" t="str">
        <f>IFERROR(INDEX(样本到样信息汇总统计!G$2:G$500,MATCH(344,样本到样信息汇总统计!$AA$2:$AA$500,0)),"")</f>
        <v/>
      </c>
      <c r="H345" s="8" t="str">
        <f>IFERROR(INDEX(样本到样信息汇总统计!H$2:H$500,MATCH(344,样本到样信息汇总统计!$AA$2:$AA$500,0)),"")</f>
        <v/>
      </c>
      <c r="I345" s="8" t="str">
        <f>IFERROR(INDEX(样本到样信息汇总统计!I$2:I$500,MATCH(344,样本到样信息汇总统计!$AA$2:$AA$500,0)),"")</f>
        <v/>
      </c>
      <c r="J345" s="8" t="str">
        <f>IFERROR(INDEX(样本到样信息汇总统计!J$2:J$500,MATCH(344,样本到样信息汇总统计!$AA$2:$AA$500,0)),"")</f>
        <v/>
      </c>
      <c r="K345" s="8" t="str">
        <f>IFERROR(INDEX(样本到样信息汇总统计!K$2:K$500,MATCH(344,样本到样信息汇总统计!$AA$2:$AA$500,0)),"")</f>
        <v/>
      </c>
      <c r="L345" s="8" t="str">
        <f>IFERROR(INDEX(样本到样信息汇总统计!L$2:L$500,MATCH(344,样本到样信息汇总统计!$AA$2:$AA$500,0)),"")</f>
        <v/>
      </c>
      <c r="M345" s="8" t="str">
        <f>IFERROR(INDEX(样本到样信息汇总统计!M$2:M$500,MATCH(344,样本到样信息汇总统计!$AA$2:$AA$500,0)),"")</f>
        <v/>
      </c>
      <c r="N345" s="8" t="str">
        <f>IFERROR(INDEX(样本到样信息汇总统计!N$2:N$500,MATCH(344,样本到样信息汇总统计!$AA$2:$AA$500,0)),"")</f>
        <v/>
      </c>
      <c r="O345" s="8" t="str">
        <f>IFERROR(INDEX(样本到样信息汇总统计!O$2:O$500,MATCH(344,样本到样信息汇总统计!$AA$2:$AA$500,0)),"")</f>
        <v/>
      </c>
      <c r="P345" s="8" t="str">
        <f>IFERROR(INDEX(样本到样信息汇总统计!P$2:P$500,MATCH(344,样本到样信息汇总统计!$AA$2:$AA$500,0)),"")</f>
        <v/>
      </c>
      <c r="Q345" s="8" t="str">
        <f>IFERROR(INDEX(样本到样信息汇总统计!Q$2:Q$500,MATCH(344,样本到样信息汇总统计!$AA$2:$AA$500,0)),"")</f>
        <v/>
      </c>
      <c r="R345" s="8" t="str">
        <f>IFERROR(INDEX(样本到样信息汇总统计!R$2:R$500,MATCH(344,样本到样信息汇总统计!$AA$2:$AA$500,0)),"")</f>
        <v/>
      </c>
      <c r="S345" s="8" t="str">
        <f>IFERROR(INDEX(样本到样信息汇总统计!S$2:S$500,MATCH(344,样本到样信息汇总统计!$AA$2:$AA$500,0)),"")</f>
        <v/>
      </c>
      <c r="T345" s="8" t="str">
        <f>IFERROR(INDEX(样本到样信息汇总统计!T$2:T$500,MATCH(344,样本到样信息汇总统计!$AA$2:$AA$500,0)),"")</f>
        <v/>
      </c>
      <c r="U345" s="8" t="str">
        <f>IFERROR(INDEX(样本到样信息汇总统计!U$2:U$500,MATCH(344,样本到样信息汇总统计!$AA$2:$AA$500,0)),"")</f>
        <v/>
      </c>
      <c r="V345" s="8" t="str">
        <f>IFERROR(INDEX(样本到样信息汇总统计!V$2:V$500,MATCH(344,样本到样信息汇总统计!$AA$2:$AA$500,0)),"")</f>
        <v/>
      </c>
      <c r="W345" s="8" t="str">
        <f>IFERROR(INDEX(样本到样信息汇总统计!W$2:W$500,MATCH(344,样本到样信息汇总统计!$AA$2:$AA$500,0)),"")</f>
        <v/>
      </c>
    </row>
    <row r="346" ht="14.5" spans="1:23">
      <c r="A346" s="4" t="str">
        <f>IFERROR(INDEX(样本到样信息汇总统计!A$2:A$500,MATCH(345,样本到样信息汇总统计!$AA$2:$AA$500,0)),"")</f>
        <v/>
      </c>
      <c r="B346" s="4" t="str">
        <f>IFERROR(INDEX(样本到样信息汇总统计!B$2:B$500,MATCH(345,样本到样信息汇总统计!$AA$2:$AA$500,0)),"")</f>
        <v/>
      </c>
      <c r="C346" s="4" t="str">
        <f>IFERROR(INDEX(样本到样信息汇总统计!C$2:C$500,MATCH(345,样本到样信息汇总统计!$AA$2:$AA$500,0)),"")</f>
        <v/>
      </c>
      <c r="D346" s="4" t="str">
        <f>IFERROR(INDEX(样本到样信息汇总统计!D$2:D$500,MATCH(345,样本到样信息汇总统计!$AA$2:$AA$500,0)),"")</f>
        <v/>
      </c>
      <c r="E346" s="4" t="str">
        <f>IFERROR(INDEX(样本到样信息汇总统计!E$2:E$500,MATCH(345,样本到样信息汇总统计!$AA$2:$AA$500,0)),"")</f>
        <v/>
      </c>
      <c r="F346" s="4" t="str">
        <f>IFERROR(INDEX(样本到样信息汇总统计!F$2:F$500,MATCH(345,样本到样信息汇总统计!$AA$2:$AA$500,0)),"")</f>
        <v/>
      </c>
      <c r="G346" s="4" t="str">
        <f>IFERROR(INDEX(样本到样信息汇总统计!G$2:G$500,MATCH(345,样本到样信息汇总统计!$AA$2:$AA$500,0)),"")</f>
        <v/>
      </c>
      <c r="H346" s="4" t="str">
        <f>IFERROR(INDEX(样本到样信息汇总统计!H$2:H$500,MATCH(345,样本到样信息汇总统计!$AA$2:$AA$500,0)),"")</f>
        <v/>
      </c>
      <c r="I346" s="4" t="str">
        <f>IFERROR(INDEX(样本到样信息汇总统计!I$2:I$500,MATCH(345,样本到样信息汇总统计!$AA$2:$AA$500,0)),"")</f>
        <v/>
      </c>
      <c r="J346" s="4" t="str">
        <f>IFERROR(INDEX(样本到样信息汇总统计!J$2:J$500,MATCH(345,样本到样信息汇总统计!$AA$2:$AA$500,0)),"")</f>
        <v/>
      </c>
      <c r="K346" s="4" t="str">
        <f>IFERROR(INDEX(样本到样信息汇总统计!K$2:K$500,MATCH(345,样本到样信息汇总统计!$AA$2:$AA$500,0)),"")</f>
        <v/>
      </c>
      <c r="L346" s="4" t="str">
        <f>IFERROR(INDEX(样本到样信息汇总统计!L$2:L$500,MATCH(345,样本到样信息汇总统计!$AA$2:$AA$500,0)),"")</f>
        <v/>
      </c>
      <c r="M346" s="4" t="str">
        <f>IFERROR(INDEX(样本到样信息汇总统计!M$2:M$500,MATCH(345,样本到样信息汇总统计!$AA$2:$AA$500,0)),"")</f>
        <v/>
      </c>
      <c r="N346" s="4" t="str">
        <f>IFERROR(INDEX(样本到样信息汇总统计!N$2:N$500,MATCH(345,样本到样信息汇总统计!$AA$2:$AA$500,0)),"")</f>
        <v/>
      </c>
      <c r="O346" s="4" t="str">
        <f>IFERROR(INDEX(样本到样信息汇总统计!O$2:O$500,MATCH(345,样本到样信息汇总统计!$AA$2:$AA$500,0)),"")</f>
        <v/>
      </c>
      <c r="P346" s="4" t="str">
        <f>IFERROR(INDEX(样本到样信息汇总统计!P$2:P$500,MATCH(345,样本到样信息汇总统计!$AA$2:$AA$500,0)),"")</f>
        <v/>
      </c>
      <c r="Q346" s="4" t="str">
        <f>IFERROR(INDEX(样本到样信息汇总统计!Q$2:Q$500,MATCH(345,样本到样信息汇总统计!$AA$2:$AA$500,0)),"")</f>
        <v/>
      </c>
      <c r="R346" s="4" t="str">
        <f>IFERROR(INDEX(样本到样信息汇总统计!R$2:R$500,MATCH(345,样本到样信息汇总统计!$AA$2:$AA$500,0)),"")</f>
        <v/>
      </c>
      <c r="S346" s="4" t="str">
        <f>IFERROR(INDEX(样本到样信息汇总统计!S$2:S$500,MATCH(345,样本到样信息汇总统计!$AA$2:$AA$500,0)),"")</f>
        <v/>
      </c>
      <c r="T346" s="4" t="str">
        <f>IFERROR(INDEX(样本到样信息汇总统计!T$2:T$500,MATCH(345,样本到样信息汇总统计!$AA$2:$AA$500,0)),"")</f>
        <v/>
      </c>
      <c r="U346" s="4" t="str">
        <f>IFERROR(INDEX(样本到样信息汇总统计!U$2:U$500,MATCH(345,样本到样信息汇总统计!$AA$2:$AA$500,0)),"")</f>
        <v/>
      </c>
      <c r="V346" s="4" t="str">
        <f>IFERROR(INDEX(样本到样信息汇总统计!V$2:V$500,MATCH(345,样本到样信息汇总统计!$AA$2:$AA$500,0)),"")</f>
        <v/>
      </c>
      <c r="W346" s="4" t="str">
        <f>IFERROR(INDEX(样本到样信息汇总统计!W$2:W$500,MATCH(345,样本到样信息汇总统计!$AA$2:$AA$500,0)),"")</f>
        <v/>
      </c>
    </row>
    <row r="347" ht="14.5" spans="1:23">
      <c r="A347" s="8" t="str">
        <f>IFERROR(INDEX(样本到样信息汇总统计!A$2:A$500,MATCH(346,样本到样信息汇总统计!$AA$2:$AA$500,0)),"")</f>
        <v/>
      </c>
      <c r="B347" s="8" t="str">
        <f>IFERROR(INDEX(样本到样信息汇总统计!B$2:B$500,MATCH(346,样本到样信息汇总统计!$AA$2:$AA$500,0)),"")</f>
        <v/>
      </c>
      <c r="C347" s="8" t="str">
        <f>IFERROR(INDEX(样本到样信息汇总统计!C$2:C$500,MATCH(346,样本到样信息汇总统计!$AA$2:$AA$500,0)),"")</f>
        <v/>
      </c>
      <c r="D347" s="8" t="str">
        <f>IFERROR(INDEX(样本到样信息汇总统计!D$2:D$500,MATCH(346,样本到样信息汇总统计!$AA$2:$AA$500,0)),"")</f>
        <v/>
      </c>
      <c r="E347" s="8" t="str">
        <f>IFERROR(INDEX(样本到样信息汇总统计!E$2:E$500,MATCH(346,样本到样信息汇总统计!$AA$2:$AA$500,0)),"")</f>
        <v/>
      </c>
      <c r="F347" s="8" t="str">
        <f>IFERROR(INDEX(样本到样信息汇总统计!F$2:F$500,MATCH(346,样本到样信息汇总统计!$AA$2:$AA$500,0)),"")</f>
        <v/>
      </c>
      <c r="G347" s="8" t="str">
        <f>IFERROR(INDEX(样本到样信息汇总统计!G$2:G$500,MATCH(346,样本到样信息汇总统计!$AA$2:$AA$500,0)),"")</f>
        <v/>
      </c>
      <c r="H347" s="8" t="str">
        <f>IFERROR(INDEX(样本到样信息汇总统计!H$2:H$500,MATCH(346,样本到样信息汇总统计!$AA$2:$AA$500,0)),"")</f>
        <v/>
      </c>
      <c r="I347" s="8" t="str">
        <f>IFERROR(INDEX(样本到样信息汇总统计!I$2:I$500,MATCH(346,样本到样信息汇总统计!$AA$2:$AA$500,0)),"")</f>
        <v/>
      </c>
      <c r="J347" s="8" t="str">
        <f>IFERROR(INDEX(样本到样信息汇总统计!J$2:J$500,MATCH(346,样本到样信息汇总统计!$AA$2:$AA$500,0)),"")</f>
        <v/>
      </c>
      <c r="K347" s="8" t="str">
        <f>IFERROR(INDEX(样本到样信息汇总统计!K$2:K$500,MATCH(346,样本到样信息汇总统计!$AA$2:$AA$500,0)),"")</f>
        <v/>
      </c>
      <c r="L347" s="8" t="str">
        <f>IFERROR(INDEX(样本到样信息汇总统计!L$2:L$500,MATCH(346,样本到样信息汇总统计!$AA$2:$AA$500,0)),"")</f>
        <v/>
      </c>
      <c r="M347" s="8" t="str">
        <f>IFERROR(INDEX(样本到样信息汇总统计!M$2:M$500,MATCH(346,样本到样信息汇总统计!$AA$2:$AA$500,0)),"")</f>
        <v/>
      </c>
      <c r="N347" s="8" t="str">
        <f>IFERROR(INDEX(样本到样信息汇总统计!N$2:N$500,MATCH(346,样本到样信息汇总统计!$AA$2:$AA$500,0)),"")</f>
        <v/>
      </c>
      <c r="O347" s="8" t="str">
        <f>IFERROR(INDEX(样本到样信息汇总统计!O$2:O$500,MATCH(346,样本到样信息汇总统计!$AA$2:$AA$500,0)),"")</f>
        <v/>
      </c>
      <c r="P347" s="8" t="str">
        <f>IFERROR(INDEX(样本到样信息汇总统计!P$2:P$500,MATCH(346,样本到样信息汇总统计!$AA$2:$AA$500,0)),"")</f>
        <v/>
      </c>
      <c r="Q347" s="8" t="str">
        <f>IFERROR(INDEX(样本到样信息汇总统计!Q$2:Q$500,MATCH(346,样本到样信息汇总统计!$AA$2:$AA$500,0)),"")</f>
        <v/>
      </c>
      <c r="R347" s="8" t="str">
        <f>IFERROR(INDEX(样本到样信息汇总统计!R$2:R$500,MATCH(346,样本到样信息汇总统计!$AA$2:$AA$500,0)),"")</f>
        <v/>
      </c>
      <c r="S347" s="8" t="str">
        <f>IFERROR(INDEX(样本到样信息汇总统计!S$2:S$500,MATCH(346,样本到样信息汇总统计!$AA$2:$AA$500,0)),"")</f>
        <v/>
      </c>
      <c r="T347" s="8" t="str">
        <f>IFERROR(INDEX(样本到样信息汇总统计!T$2:T$500,MATCH(346,样本到样信息汇总统计!$AA$2:$AA$500,0)),"")</f>
        <v/>
      </c>
      <c r="U347" s="8" t="str">
        <f>IFERROR(INDEX(样本到样信息汇总统计!U$2:U$500,MATCH(346,样本到样信息汇总统计!$AA$2:$AA$500,0)),"")</f>
        <v/>
      </c>
      <c r="V347" s="8" t="str">
        <f>IFERROR(INDEX(样本到样信息汇总统计!V$2:V$500,MATCH(346,样本到样信息汇总统计!$AA$2:$AA$500,0)),"")</f>
        <v/>
      </c>
      <c r="W347" s="8" t="str">
        <f>IFERROR(INDEX(样本到样信息汇总统计!W$2:W$500,MATCH(346,样本到样信息汇总统计!$AA$2:$AA$500,0)),"")</f>
        <v/>
      </c>
    </row>
    <row r="348" ht="14.5" spans="1:23">
      <c r="A348" s="4" t="str">
        <f>IFERROR(INDEX(样本到样信息汇总统计!A$2:A$500,MATCH(347,样本到样信息汇总统计!$AA$2:$AA$500,0)),"")</f>
        <v/>
      </c>
      <c r="B348" s="4" t="str">
        <f>IFERROR(INDEX(样本到样信息汇总统计!B$2:B$500,MATCH(347,样本到样信息汇总统计!$AA$2:$AA$500,0)),"")</f>
        <v/>
      </c>
      <c r="C348" s="4" t="str">
        <f>IFERROR(INDEX(样本到样信息汇总统计!C$2:C$500,MATCH(347,样本到样信息汇总统计!$AA$2:$AA$500,0)),"")</f>
        <v/>
      </c>
      <c r="D348" s="4" t="str">
        <f>IFERROR(INDEX(样本到样信息汇总统计!D$2:D$500,MATCH(347,样本到样信息汇总统计!$AA$2:$AA$500,0)),"")</f>
        <v/>
      </c>
      <c r="E348" s="4" t="str">
        <f>IFERROR(INDEX(样本到样信息汇总统计!E$2:E$500,MATCH(347,样本到样信息汇总统计!$AA$2:$AA$500,0)),"")</f>
        <v/>
      </c>
      <c r="F348" s="4" t="str">
        <f>IFERROR(INDEX(样本到样信息汇总统计!F$2:F$500,MATCH(347,样本到样信息汇总统计!$AA$2:$AA$500,0)),"")</f>
        <v/>
      </c>
      <c r="G348" s="4" t="str">
        <f>IFERROR(INDEX(样本到样信息汇总统计!G$2:G$500,MATCH(347,样本到样信息汇总统计!$AA$2:$AA$500,0)),"")</f>
        <v/>
      </c>
      <c r="H348" s="4" t="str">
        <f>IFERROR(INDEX(样本到样信息汇总统计!H$2:H$500,MATCH(347,样本到样信息汇总统计!$AA$2:$AA$500,0)),"")</f>
        <v/>
      </c>
      <c r="I348" s="4" t="str">
        <f>IFERROR(INDEX(样本到样信息汇总统计!I$2:I$500,MATCH(347,样本到样信息汇总统计!$AA$2:$AA$500,0)),"")</f>
        <v/>
      </c>
      <c r="J348" s="4" t="str">
        <f>IFERROR(INDEX(样本到样信息汇总统计!J$2:J$500,MATCH(347,样本到样信息汇总统计!$AA$2:$AA$500,0)),"")</f>
        <v/>
      </c>
      <c r="K348" s="4" t="str">
        <f>IFERROR(INDEX(样本到样信息汇总统计!K$2:K$500,MATCH(347,样本到样信息汇总统计!$AA$2:$AA$500,0)),"")</f>
        <v/>
      </c>
      <c r="L348" s="4" t="str">
        <f>IFERROR(INDEX(样本到样信息汇总统计!L$2:L$500,MATCH(347,样本到样信息汇总统计!$AA$2:$AA$500,0)),"")</f>
        <v/>
      </c>
      <c r="M348" s="4" t="str">
        <f>IFERROR(INDEX(样本到样信息汇总统计!M$2:M$500,MATCH(347,样本到样信息汇总统计!$AA$2:$AA$500,0)),"")</f>
        <v/>
      </c>
      <c r="N348" s="4" t="str">
        <f>IFERROR(INDEX(样本到样信息汇总统计!N$2:N$500,MATCH(347,样本到样信息汇总统计!$AA$2:$AA$500,0)),"")</f>
        <v/>
      </c>
      <c r="O348" s="4" t="str">
        <f>IFERROR(INDEX(样本到样信息汇总统计!O$2:O$500,MATCH(347,样本到样信息汇总统计!$AA$2:$AA$500,0)),"")</f>
        <v/>
      </c>
      <c r="P348" s="4" t="str">
        <f>IFERROR(INDEX(样本到样信息汇总统计!P$2:P$500,MATCH(347,样本到样信息汇总统计!$AA$2:$AA$500,0)),"")</f>
        <v/>
      </c>
      <c r="Q348" s="4" t="str">
        <f>IFERROR(INDEX(样本到样信息汇总统计!Q$2:Q$500,MATCH(347,样本到样信息汇总统计!$AA$2:$AA$500,0)),"")</f>
        <v/>
      </c>
      <c r="R348" s="4" t="str">
        <f>IFERROR(INDEX(样本到样信息汇总统计!R$2:R$500,MATCH(347,样本到样信息汇总统计!$AA$2:$AA$500,0)),"")</f>
        <v/>
      </c>
      <c r="S348" s="4" t="str">
        <f>IFERROR(INDEX(样本到样信息汇总统计!S$2:S$500,MATCH(347,样本到样信息汇总统计!$AA$2:$AA$500,0)),"")</f>
        <v/>
      </c>
      <c r="T348" s="4" t="str">
        <f>IFERROR(INDEX(样本到样信息汇总统计!T$2:T$500,MATCH(347,样本到样信息汇总统计!$AA$2:$AA$500,0)),"")</f>
        <v/>
      </c>
      <c r="U348" s="4" t="str">
        <f>IFERROR(INDEX(样本到样信息汇总统计!U$2:U$500,MATCH(347,样本到样信息汇总统计!$AA$2:$AA$500,0)),"")</f>
        <v/>
      </c>
      <c r="V348" s="4" t="str">
        <f>IFERROR(INDEX(样本到样信息汇总统计!V$2:V$500,MATCH(347,样本到样信息汇总统计!$AA$2:$AA$500,0)),"")</f>
        <v/>
      </c>
      <c r="W348" s="4" t="str">
        <f>IFERROR(INDEX(样本到样信息汇总统计!W$2:W$500,MATCH(347,样本到样信息汇总统计!$AA$2:$AA$500,0)),"")</f>
        <v/>
      </c>
    </row>
    <row r="349" ht="14.5" spans="1:23">
      <c r="A349" s="8" t="str">
        <f>IFERROR(INDEX(样本到样信息汇总统计!A$2:A$500,MATCH(348,样本到样信息汇总统计!$AA$2:$AA$500,0)),"")</f>
        <v/>
      </c>
      <c r="B349" s="8" t="str">
        <f>IFERROR(INDEX(样本到样信息汇总统计!B$2:B$500,MATCH(348,样本到样信息汇总统计!$AA$2:$AA$500,0)),"")</f>
        <v/>
      </c>
      <c r="C349" s="8" t="str">
        <f>IFERROR(INDEX(样本到样信息汇总统计!C$2:C$500,MATCH(348,样本到样信息汇总统计!$AA$2:$AA$500,0)),"")</f>
        <v/>
      </c>
      <c r="D349" s="8" t="str">
        <f>IFERROR(INDEX(样本到样信息汇总统计!D$2:D$500,MATCH(348,样本到样信息汇总统计!$AA$2:$AA$500,0)),"")</f>
        <v/>
      </c>
      <c r="E349" s="8" t="str">
        <f>IFERROR(INDEX(样本到样信息汇总统计!E$2:E$500,MATCH(348,样本到样信息汇总统计!$AA$2:$AA$500,0)),"")</f>
        <v/>
      </c>
      <c r="F349" s="8" t="str">
        <f>IFERROR(INDEX(样本到样信息汇总统计!F$2:F$500,MATCH(348,样本到样信息汇总统计!$AA$2:$AA$500,0)),"")</f>
        <v/>
      </c>
      <c r="G349" s="8" t="str">
        <f>IFERROR(INDEX(样本到样信息汇总统计!G$2:G$500,MATCH(348,样本到样信息汇总统计!$AA$2:$AA$500,0)),"")</f>
        <v/>
      </c>
      <c r="H349" s="8" t="str">
        <f>IFERROR(INDEX(样本到样信息汇总统计!H$2:H$500,MATCH(348,样本到样信息汇总统计!$AA$2:$AA$500,0)),"")</f>
        <v/>
      </c>
      <c r="I349" s="8" t="str">
        <f>IFERROR(INDEX(样本到样信息汇总统计!I$2:I$500,MATCH(348,样本到样信息汇总统计!$AA$2:$AA$500,0)),"")</f>
        <v/>
      </c>
      <c r="J349" s="8" t="str">
        <f>IFERROR(INDEX(样本到样信息汇总统计!J$2:J$500,MATCH(348,样本到样信息汇总统计!$AA$2:$AA$500,0)),"")</f>
        <v/>
      </c>
      <c r="K349" s="8" t="str">
        <f>IFERROR(INDEX(样本到样信息汇总统计!K$2:K$500,MATCH(348,样本到样信息汇总统计!$AA$2:$AA$500,0)),"")</f>
        <v/>
      </c>
      <c r="L349" s="8" t="str">
        <f>IFERROR(INDEX(样本到样信息汇总统计!L$2:L$500,MATCH(348,样本到样信息汇总统计!$AA$2:$AA$500,0)),"")</f>
        <v/>
      </c>
      <c r="M349" s="8" t="str">
        <f>IFERROR(INDEX(样本到样信息汇总统计!M$2:M$500,MATCH(348,样本到样信息汇总统计!$AA$2:$AA$500,0)),"")</f>
        <v/>
      </c>
      <c r="N349" s="8" t="str">
        <f>IFERROR(INDEX(样本到样信息汇总统计!N$2:N$500,MATCH(348,样本到样信息汇总统计!$AA$2:$AA$500,0)),"")</f>
        <v/>
      </c>
      <c r="O349" s="8" t="str">
        <f>IFERROR(INDEX(样本到样信息汇总统计!O$2:O$500,MATCH(348,样本到样信息汇总统计!$AA$2:$AA$500,0)),"")</f>
        <v/>
      </c>
      <c r="P349" s="8" t="str">
        <f>IFERROR(INDEX(样本到样信息汇总统计!P$2:P$500,MATCH(348,样本到样信息汇总统计!$AA$2:$AA$500,0)),"")</f>
        <v/>
      </c>
      <c r="Q349" s="8" t="str">
        <f>IFERROR(INDEX(样本到样信息汇总统计!Q$2:Q$500,MATCH(348,样本到样信息汇总统计!$AA$2:$AA$500,0)),"")</f>
        <v/>
      </c>
      <c r="R349" s="8" t="str">
        <f>IFERROR(INDEX(样本到样信息汇总统计!R$2:R$500,MATCH(348,样本到样信息汇总统计!$AA$2:$AA$500,0)),"")</f>
        <v/>
      </c>
      <c r="S349" s="8" t="str">
        <f>IFERROR(INDEX(样本到样信息汇总统计!S$2:S$500,MATCH(348,样本到样信息汇总统计!$AA$2:$AA$500,0)),"")</f>
        <v/>
      </c>
      <c r="T349" s="8" t="str">
        <f>IFERROR(INDEX(样本到样信息汇总统计!T$2:T$500,MATCH(348,样本到样信息汇总统计!$AA$2:$AA$500,0)),"")</f>
        <v/>
      </c>
      <c r="U349" s="8" t="str">
        <f>IFERROR(INDEX(样本到样信息汇总统计!U$2:U$500,MATCH(348,样本到样信息汇总统计!$AA$2:$AA$500,0)),"")</f>
        <v/>
      </c>
      <c r="V349" s="8" t="str">
        <f>IFERROR(INDEX(样本到样信息汇总统计!V$2:V$500,MATCH(348,样本到样信息汇总统计!$AA$2:$AA$500,0)),"")</f>
        <v/>
      </c>
      <c r="W349" s="8" t="str">
        <f>IFERROR(INDEX(样本到样信息汇总统计!W$2:W$500,MATCH(348,样本到样信息汇总统计!$AA$2:$AA$500,0)),"")</f>
        <v/>
      </c>
    </row>
    <row r="350" ht="14.5" spans="1:23">
      <c r="A350" s="4" t="str">
        <f>IFERROR(INDEX(样本到样信息汇总统计!A$2:A$500,MATCH(349,样本到样信息汇总统计!$AA$2:$AA$500,0)),"")</f>
        <v/>
      </c>
      <c r="B350" s="4" t="str">
        <f>IFERROR(INDEX(样本到样信息汇总统计!B$2:B$500,MATCH(349,样本到样信息汇总统计!$AA$2:$AA$500,0)),"")</f>
        <v/>
      </c>
      <c r="C350" s="4" t="str">
        <f>IFERROR(INDEX(样本到样信息汇总统计!C$2:C$500,MATCH(349,样本到样信息汇总统计!$AA$2:$AA$500,0)),"")</f>
        <v/>
      </c>
      <c r="D350" s="4" t="str">
        <f>IFERROR(INDEX(样本到样信息汇总统计!D$2:D$500,MATCH(349,样本到样信息汇总统计!$AA$2:$AA$500,0)),"")</f>
        <v/>
      </c>
      <c r="E350" s="4" t="str">
        <f>IFERROR(INDEX(样本到样信息汇总统计!E$2:E$500,MATCH(349,样本到样信息汇总统计!$AA$2:$AA$500,0)),"")</f>
        <v/>
      </c>
      <c r="F350" s="4" t="str">
        <f>IFERROR(INDEX(样本到样信息汇总统计!F$2:F$500,MATCH(349,样本到样信息汇总统计!$AA$2:$AA$500,0)),"")</f>
        <v/>
      </c>
      <c r="G350" s="4" t="str">
        <f>IFERROR(INDEX(样本到样信息汇总统计!G$2:G$500,MATCH(349,样本到样信息汇总统计!$AA$2:$AA$500,0)),"")</f>
        <v/>
      </c>
      <c r="H350" s="4" t="str">
        <f>IFERROR(INDEX(样本到样信息汇总统计!H$2:H$500,MATCH(349,样本到样信息汇总统计!$AA$2:$AA$500,0)),"")</f>
        <v/>
      </c>
      <c r="I350" s="4" t="str">
        <f>IFERROR(INDEX(样本到样信息汇总统计!I$2:I$500,MATCH(349,样本到样信息汇总统计!$AA$2:$AA$500,0)),"")</f>
        <v/>
      </c>
      <c r="J350" s="4" t="str">
        <f>IFERROR(INDEX(样本到样信息汇总统计!J$2:J$500,MATCH(349,样本到样信息汇总统计!$AA$2:$AA$500,0)),"")</f>
        <v/>
      </c>
      <c r="K350" s="4" t="str">
        <f>IFERROR(INDEX(样本到样信息汇总统计!K$2:K$500,MATCH(349,样本到样信息汇总统计!$AA$2:$AA$500,0)),"")</f>
        <v/>
      </c>
      <c r="L350" s="4" t="str">
        <f>IFERROR(INDEX(样本到样信息汇总统计!L$2:L$500,MATCH(349,样本到样信息汇总统计!$AA$2:$AA$500,0)),"")</f>
        <v/>
      </c>
      <c r="M350" s="4" t="str">
        <f>IFERROR(INDEX(样本到样信息汇总统计!M$2:M$500,MATCH(349,样本到样信息汇总统计!$AA$2:$AA$500,0)),"")</f>
        <v/>
      </c>
      <c r="N350" s="4" t="str">
        <f>IFERROR(INDEX(样本到样信息汇总统计!N$2:N$500,MATCH(349,样本到样信息汇总统计!$AA$2:$AA$500,0)),"")</f>
        <v/>
      </c>
      <c r="O350" s="4" t="str">
        <f>IFERROR(INDEX(样本到样信息汇总统计!O$2:O$500,MATCH(349,样本到样信息汇总统计!$AA$2:$AA$500,0)),"")</f>
        <v/>
      </c>
      <c r="P350" s="4" t="str">
        <f>IFERROR(INDEX(样本到样信息汇总统计!P$2:P$500,MATCH(349,样本到样信息汇总统计!$AA$2:$AA$500,0)),"")</f>
        <v/>
      </c>
      <c r="Q350" s="4" t="str">
        <f>IFERROR(INDEX(样本到样信息汇总统计!Q$2:Q$500,MATCH(349,样本到样信息汇总统计!$AA$2:$AA$500,0)),"")</f>
        <v/>
      </c>
      <c r="R350" s="4" t="str">
        <f>IFERROR(INDEX(样本到样信息汇总统计!R$2:R$500,MATCH(349,样本到样信息汇总统计!$AA$2:$AA$500,0)),"")</f>
        <v/>
      </c>
      <c r="S350" s="4" t="str">
        <f>IFERROR(INDEX(样本到样信息汇总统计!S$2:S$500,MATCH(349,样本到样信息汇总统计!$AA$2:$AA$500,0)),"")</f>
        <v/>
      </c>
      <c r="T350" s="4" t="str">
        <f>IFERROR(INDEX(样本到样信息汇总统计!T$2:T$500,MATCH(349,样本到样信息汇总统计!$AA$2:$AA$500,0)),"")</f>
        <v/>
      </c>
      <c r="U350" s="4" t="str">
        <f>IFERROR(INDEX(样本到样信息汇总统计!U$2:U$500,MATCH(349,样本到样信息汇总统计!$AA$2:$AA$500,0)),"")</f>
        <v/>
      </c>
      <c r="V350" s="4" t="str">
        <f>IFERROR(INDEX(样本到样信息汇总统计!V$2:V$500,MATCH(349,样本到样信息汇总统计!$AA$2:$AA$500,0)),"")</f>
        <v/>
      </c>
      <c r="W350" s="4" t="str">
        <f>IFERROR(INDEX(样本到样信息汇总统计!W$2:W$500,MATCH(349,样本到样信息汇总统计!$AA$2:$AA$500,0)),"")</f>
        <v/>
      </c>
    </row>
    <row r="351" ht="14.5" spans="1:23">
      <c r="A351" s="8" t="str">
        <f>IFERROR(INDEX(样本到样信息汇总统计!A$2:A$500,MATCH(350,样本到样信息汇总统计!$AA$2:$AA$500,0)),"")</f>
        <v/>
      </c>
      <c r="B351" s="8" t="str">
        <f>IFERROR(INDEX(样本到样信息汇总统计!B$2:B$500,MATCH(350,样本到样信息汇总统计!$AA$2:$AA$500,0)),"")</f>
        <v/>
      </c>
      <c r="C351" s="8" t="str">
        <f>IFERROR(INDEX(样本到样信息汇总统计!C$2:C$500,MATCH(350,样本到样信息汇总统计!$AA$2:$AA$500,0)),"")</f>
        <v/>
      </c>
      <c r="D351" s="8" t="str">
        <f>IFERROR(INDEX(样本到样信息汇总统计!D$2:D$500,MATCH(350,样本到样信息汇总统计!$AA$2:$AA$500,0)),"")</f>
        <v/>
      </c>
      <c r="E351" s="8" t="str">
        <f>IFERROR(INDEX(样本到样信息汇总统计!E$2:E$500,MATCH(350,样本到样信息汇总统计!$AA$2:$AA$500,0)),"")</f>
        <v/>
      </c>
      <c r="F351" s="8" t="str">
        <f>IFERROR(INDEX(样本到样信息汇总统计!F$2:F$500,MATCH(350,样本到样信息汇总统计!$AA$2:$AA$500,0)),"")</f>
        <v/>
      </c>
      <c r="G351" s="8" t="str">
        <f>IFERROR(INDEX(样本到样信息汇总统计!G$2:G$500,MATCH(350,样本到样信息汇总统计!$AA$2:$AA$500,0)),"")</f>
        <v/>
      </c>
      <c r="H351" s="8" t="str">
        <f>IFERROR(INDEX(样本到样信息汇总统计!H$2:H$500,MATCH(350,样本到样信息汇总统计!$AA$2:$AA$500,0)),"")</f>
        <v/>
      </c>
      <c r="I351" s="8" t="str">
        <f>IFERROR(INDEX(样本到样信息汇总统计!I$2:I$500,MATCH(350,样本到样信息汇总统计!$AA$2:$AA$500,0)),"")</f>
        <v/>
      </c>
      <c r="J351" s="8" t="str">
        <f>IFERROR(INDEX(样本到样信息汇总统计!J$2:J$500,MATCH(350,样本到样信息汇总统计!$AA$2:$AA$500,0)),"")</f>
        <v/>
      </c>
      <c r="K351" s="8" t="str">
        <f>IFERROR(INDEX(样本到样信息汇总统计!K$2:K$500,MATCH(350,样本到样信息汇总统计!$AA$2:$AA$500,0)),"")</f>
        <v/>
      </c>
      <c r="L351" s="8" t="str">
        <f>IFERROR(INDEX(样本到样信息汇总统计!L$2:L$500,MATCH(350,样本到样信息汇总统计!$AA$2:$AA$500,0)),"")</f>
        <v/>
      </c>
      <c r="M351" s="8" t="str">
        <f>IFERROR(INDEX(样本到样信息汇总统计!M$2:M$500,MATCH(350,样本到样信息汇总统计!$AA$2:$AA$500,0)),"")</f>
        <v/>
      </c>
      <c r="N351" s="8" t="str">
        <f>IFERROR(INDEX(样本到样信息汇总统计!N$2:N$500,MATCH(350,样本到样信息汇总统计!$AA$2:$AA$500,0)),"")</f>
        <v/>
      </c>
      <c r="O351" s="8" t="str">
        <f>IFERROR(INDEX(样本到样信息汇总统计!O$2:O$500,MATCH(350,样本到样信息汇总统计!$AA$2:$AA$500,0)),"")</f>
        <v/>
      </c>
      <c r="P351" s="8" t="str">
        <f>IFERROR(INDEX(样本到样信息汇总统计!P$2:P$500,MATCH(350,样本到样信息汇总统计!$AA$2:$AA$500,0)),"")</f>
        <v/>
      </c>
      <c r="Q351" s="8" t="str">
        <f>IFERROR(INDEX(样本到样信息汇总统计!Q$2:Q$500,MATCH(350,样本到样信息汇总统计!$AA$2:$AA$500,0)),"")</f>
        <v/>
      </c>
      <c r="R351" s="8" t="str">
        <f>IFERROR(INDEX(样本到样信息汇总统计!R$2:R$500,MATCH(350,样本到样信息汇总统计!$AA$2:$AA$500,0)),"")</f>
        <v/>
      </c>
      <c r="S351" s="8" t="str">
        <f>IFERROR(INDEX(样本到样信息汇总统计!S$2:S$500,MATCH(350,样本到样信息汇总统计!$AA$2:$AA$500,0)),"")</f>
        <v/>
      </c>
      <c r="T351" s="8" t="str">
        <f>IFERROR(INDEX(样本到样信息汇总统计!T$2:T$500,MATCH(350,样本到样信息汇总统计!$AA$2:$AA$500,0)),"")</f>
        <v/>
      </c>
      <c r="U351" s="8" t="str">
        <f>IFERROR(INDEX(样本到样信息汇总统计!U$2:U$500,MATCH(350,样本到样信息汇总统计!$AA$2:$AA$500,0)),"")</f>
        <v/>
      </c>
      <c r="V351" s="8" t="str">
        <f>IFERROR(INDEX(样本到样信息汇总统计!V$2:V$500,MATCH(350,样本到样信息汇总统计!$AA$2:$AA$500,0)),"")</f>
        <v/>
      </c>
      <c r="W351" s="8" t="str">
        <f>IFERROR(INDEX(样本到样信息汇总统计!W$2:W$500,MATCH(350,样本到样信息汇总统计!$AA$2:$AA$500,0)),"")</f>
        <v/>
      </c>
    </row>
    <row r="352" ht="14.5" spans="1:23">
      <c r="A352" s="4" t="str">
        <f>IFERROR(INDEX(样本到样信息汇总统计!A$2:A$500,MATCH(351,样本到样信息汇总统计!$AA$2:$AA$500,0)),"")</f>
        <v/>
      </c>
      <c r="B352" s="4" t="str">
        <f>IFERROR(INDEX(样本到样信息汇总统计!B$2:B$500,MATCH(351,样本到样信息汇总统计!$AA$2:$AA$500,0)),"")</f>
        <v/>
      </c>
      <c r="C352" s="4" t="str">
        <f>IFERROR(INDEX(样本到样信息汇总统计!C$2:C$500,MATCH(351,样本到样信息汇总统计!$AA$2:$AA$500,0)),"")</f>
        <v/>
      </c>
      <c r="D352" s="4" t="str">
        <f>IFERROR(INDEX(样本到样信息汇总统计!D$2:D$500,MATCH(351,样本到样信息汇总统计!$AA$2:$AA$500,0)),"")</f>
        <v/>
      </c>
      <c r="E352" s="4" t="str">
        <f>IFERROR(INDEX(样本到样信息汇总统计!E$2:E$500,MATCH(351,样本到样信息汇总统计!$AA$2:$AA$500,0)),"")</f>
        <v/>
      </c>
      <c r="F352" s="4" t="str">
        <f>IFERROR(INDEX(样本到样信息汇总统计!F$2:F$500,MATCH(351,样本到样信息汇总统计!$AA$2:$AA$500,0)),"")</f>
        <v/>
      </c>
      <c r="G352" s="4" t="str">
        <f>IFERROR(INDEX(样本到样信息汇总统计!G$2:G$500,MATCH(351,样本到样信息汇总统计!$AA$2:$AA$500,0)),"")</f>
        <v/>
      </c>
      <c r="H352" s="4" t="str">
        <f>IFERROR(INDEX(样本到样信息汇总统计!H$2:H$500,MATCH(351,样本到样信息汇总统计!$AA$2:$AA$500,0)),"")</f>
        <v/>
      </c>
      <c r="I352" s="4" t="str">
        <f>IFERROR(INDEX(样本到样信息汇总统计!I$2:I$500,MATCH(351,样本到样信息汇总统计!$AA$2:$AA$500,0)),"")</f>
        <v/>
      </c>
      <c r="J352" s="4" t="str">
        <f>IFERROR(INDEX(样本到样信息汇总统计!J$2:J$500,MATCH(351,样本到样信息汇总统计!$AA$2:$AA$500,0)),"")</f>
        <v/>
      </c>
      <c r="K352" s="4" t="str">
        <f>IFERROR(INDEX(样本到样信息汇总统计!K$2:K$500,MATCH(351,样本到样信息汇总统计!$AA$2:$AA$500,0)),"")</f>
        <v/>
      </c>
      <c r="L352" s="4" t="str">
        <f>IFERROR(INDEX(样本到样信息汇总统计!L$2:L$500,MATCH(351,样本到样信息汇总统计!$AA$2:$AA$500,0)),"")</f>
        <v/>
      </c>
      <c r="M352" s="4" t="str">
        <f>IFERROR(INDEX(样本到样信息汇总统计!M$2:M$500,MATCH(351,样本到样信息汇总统计!$AA$2:$AA$500,0)),"")</f>
        <v/>
      </c>
      <c r="N352" s="4" t="str">
        <f>IFERROR(INDEX(样本到样信息汇总统计!N$2:N$500,MATCH(351,样本到样信息汇总统计!$AA$2:$AA$500,0)),"")</f>
        <v/>
      </c>
      <c r="O352" s="4" t="str">
        <f>IFERROR(INDEX(样本到样信息汇总统计!O$2:O$500,MATCH(351,样本到样信息汇总统计!$AA$2:$AA$500,0)),"")</f>
        <v/>
      </c>
      <c r="P352" s="4" t="str">
        <f>IFERROR(INDEX(样本到样信息汇总统计!P$2:P$500,MATCH(351,样本到样信息汇总统计!$AA$2:$AA$500,0)),"")</f>
        <v/>
      </c>
      <c r="Q352" s="4" t="str">
        <f>IFERROR(INDEX(样本到样信息汇总统计!Q$2:Q$500,MATCH(351,样本到样信息汇总统计!$AA$2:$AA$500,0)),"")</f>
        <v/>
      </c>
      <c r="R352" s="4" t="str">
        <f>IFERROR(INDEX(样本到样信息汇总统计!R$2:R$500,MATCH(351,样本到样信息汇总统计!$AA$2:$AA$500,0)),"")</f>
        <v/>
      </c>
      <c r="S352" s="4" t="str">
        <f>IFERROR(INDEX(样本到样信息汇总统计!S$2:S$500,MATCH(351,样本到样信息汇总统计!$AA$2:$AA$500,0)),"")</f>
        <v/>
      </c>
      <c r="T352" s="4" t="str">
        <f>IFERROR(INDEX(样本到样信息汇总统计!T$2:T$500,MATCH(351,样本到样信息汇总统计!$AA$2:$AA$500,0)),"")</f>
        <v/>
      </c>
      <c r="U352" s="4" t="str">
        <f>IFERROR(INDEX(样本到样信息汇总统计!U$2:U$500,MATCH(351,样本到样信息汇总统计!$AA$2:$AA$500,0)),"")</f>
        <v/>
      </c>
      <c r="V352" s="4" t="str">
        <f>IFERROR(INDEX(样本到样信息汇总统计!V$2:V$500,MATCH(351,样本到样信息汇总统计!$AA$2:$AA$500,0)),"")</f>
        <v/>
      </c>
      <c r="W352" s="4" t="str">
        <f>IFERROR(INDEX(样本到样信息汇总统计!W$2:W$500,MATCH(351,样本到样信息汇总统计!$AA$2:$AA$500,0)),"")</f>
        <v/>
      </c>
    </row>
    <row r="353" ht="14.5" spans="1:23">
      <c r="A353" s="8" t="str">
        <f>IFERROR(INDEX(样本到样信息汇总统计!A$2:A$500,MATCH(352,样本到样信息汇总统计!$AA$2:$AA$500,0)),"")</f>
        <v/>
      </c>
      <c r="B353" s="8" t="str">
        <f>IFERROR(INDEX(样本到样信息汇总统计!B$2:B$500,MATCH(352,样本到样信息汇总统计!$AA$2:$AA$500,0)),"")</f>
        <v/>
      </c>
      <c r="C353" s="8" t="str">
        <f>IFERROR(INDEX(样本到样信息汇总统计!C$2:C$500,MATCH(352,样本到样信息汇总统计!$AA$2:$AA$500,0)),"")</f>
        <v/>
      </c>
      <c r="D353" s="8" t="str">
        <f>IFERROR(INDEX(样本到样信息汇总统计!D$2:D$500,MATCH(352,样本到样信息汇总统计!$AA$2:$AA$500,0)),"")</f>
        <v/>
      </c>
      <c r="E353" s="8" t="str">
        <f>IFERROR(INDEX(样本到样信息汇总统计!E$2:E$500,MATCH(352,样本到样信息汇总统计!$AA$2:$AA$500,0)),"")</f>
        <v/>
      </c>
      <c r="F353" s="8" t="str">
        <f>IFERROR(INDEX(样本到样信息汇总统计!F$2:F$500,MATCH(352,样本到样信息汇总统计!$AA$2:$AA$500,0)),"")</f>
        <v/>
      </c>
      <c r="G353" s="8" t="str">
        <f>IFERROR(INDEX(样本到样信息汇总统计!G$2:G$500,MATCH(352,样本到样信息汇总统计!$AA$2:$AA$500,0)),"")</f>
        <v/>
      </c>
      <c r="H353" s="8" t="str">
        <f>IFERROR(INDEX(样本到样信息汇总统计!H$2:H$500,MATCH(352,样本到样信息汇总统计!$AA$2:$AA$500,0)),"")</f>
        <v/>
      </c>
      <c r="I353" s="8" t="str">
        <f>IFERROR(INDEX(样本到样信息汇总统计!I$2:I$500,MATCH(352,样本到样信息汇总统计!$AA$2:$AA$500,0)),"")</f>
        <v/>
      </c>
      <c r="J353" s="8" t="str">
        <f>IFERROR(INDEX(样本到样信息汇总统计!J$2:J$500,MATCH(352,样本到样信息汇总统计!$AA$2:$AA$500,0)),"")</f>
        <v/>
      </c>
      <c r="K353" s="8" t="str">
        <f>IFERROR(INDEX(样本到样信息汇总统计!K$2:K$500,MATCH(352,样本到样信息汇总统计!$AA$2:$AA$500,0)),"")</f>
        <v/>
      </c>
      <c r="L353" s="8" t="str">
        <f>IFERROR(INDEX(样本到样信息汇总统计!L$2:L$500,MATCH(352,样本到样信息汇总统计!$AA$2:$AA$500,0)),"")</f>
        <v/>
      </c>
      <c r="M353" s="8" t="str">
        <f>IFERROR(INDEX(样本到样信息汇总统计!M$2:M$500,MATCH(352,样本到样信息汇总统计!$AA$2:$AA$500,0)),"")</f>
        <v/>
      </c>
      <c r="N353" s="8" t="str">
        <f>IFERROR(INDEX(样本到样信息汇总统计!N$2:N$500,MATCH(352,样本到样信息汇总统计!$AA$2:$AA$500,0)),"")</f>
        <v/>
      </c>
      <c r="O353" s="8" t="str">
        <f>IFERROR(INDEX(样本到样信息汇总统计!O$2:O$500,MATCH(352,样本到样信息汇总统计!$AA$2:$AA$500,0)),"")</f>
        <v/>
      </c>
      <c r="P353" s="8" t="str">
        <f>IFERROR(INDEX(样本到样信息汇总统计!P$2:P$500,MATCH(352,样本到样信息汇总统计!$AA$2:$AA$500,0)),"")</f>
        <v/>
      </c>
      <c r="Q353" s="8" t="str">
        <f>IFERROR(INDEX(样本到样信息汇总统计!Q$2:Q$500,MATCH(352,样本到样信息汇总统计!$AA$2:$AA$500,0)),"")</f>
        <v/>
      </c>
      <c r="R353" s="8" t="str">
        <f>IFERROR(INDEX(样本到样信息汇总统计!R$2:R$500,MATCH(352,样本到样信息汇总统计!$AA$2:$AA$500,0)),"")</f>
        <v/>
      </c>
      <c r="S353" s="8" t="str">
        <f>IFERROR(INDEX(样本到样信息汇总统计!S$2:S$500,MATCH(352,样本到样信息汇总统计!$AA$2:$AA$500,0)),"")</f>
        <v/>
      </c>
      <c r="T353" s="8" t="str">
        <f>IFERROR(INDEX(样本到样信息汇总统计!T$2:T$500,MATCH(352,样本到样信息汇总统计!$AA$2:$AA$500,0)),"")</f>
        <v/>
      </c>
      <c r="U353" s="8" t="str">
        <f>IFERROR(INDEX(样本到样信息汇总统计!U$2:U$500,MATCH(352,样本到样信息汇总统计!$AA$2:$AA$500,0)),"")</f>
        <v/>
      </c>
      <c r="V353" s="8" t="str">
        <f>IFERROR(INDEX(样本到样信息汇总统计!V$2:V$500,MATCH(352,样本到样信息汇总统计!$AA$2:$AA$500,0)),"")</f>
        <v/>
      </c>
      <c r="W353" s="8" t="str">
        <f>IFERROR(INDEX(样本到样信息汇总统计!W$2:W$500,MATCH(352,样本到样信息汇总统计!$AA$2:$AA$500,0)),"")</f>
        <v/>
      </c>
    </row>
    <row r="354" ht="14.5" spans="1:23">
      <c r="A354" s="4" t="str">
        <f>IFERROR(INDEX(样本到样信息汇总统计!A$2:A$500,MATCH(353,样本到样信息汇总统计!$AA$2:$AA$500,0)),"")</f>
        <v/>
      </c>
      <c r="B354" s="4" t="str">
        <f>IFERROR(INDEX(样本到样信息汇总统计!B$2:B$500,MATCH(353,样本到样信息汇总统计!$AA$2:$AA$500,0)),"")</f>
        <v/>
      </c>
      <c r="C354" s="4" t="str">
        <f>IFERROR(INDEX(样本到样信息汇总统计!C$2:C$500,MATCH(353,样本到样信息汇总统计!$AA$2:$AA$500,0)),"")</f>
        <v/>
      </c>
      <c r="D354" s="4" t="str">
        <f>IFERROR(INDEX(样本到样信息汇总统计!D$2:D$500,MATCH(353,样本到样信息汇总统计!$AA$2:$AA$500,0)),"")</f>
        <v/>
      </c>
      <c r="E354" s="4" t="str">
        <f>IFERROR(INDEX(样本到样信息汇总统计!E$2:E$500,MATCH(353,样本到样信息汇总统计!$AA$2:$AA$500,0)),"")</f>
        <v/>
      </c>
      <c r="F354" s="4" t="str">
        <f>IFERROR(INDEX(样本到样信息汇总统计!F$2:F$500,MATCH(353,样本到样信息汇总统计!$AA$2:$AA$500,0)),"")</f>
        <v/>
      </c>
      <c r="G354" s="4" t="str">
        <f>IFERROR(INDEX(样本到样信息汇总统计!G$2:G$500,MATCH(353,样本到样信息汇总统计!$AA$2:$AA$500,0)),"")</f>
        <v/>
      </c>
      <c r="H354" s="4" t="str">
        <f>IFERROR(INDEX(样本到样信息汇总统计!H$2:H$500,MATCH(353,样本到样信息汇总统计!$AA$2:$AA$500,0)),"")</f>
        <v/>
      </c>
      <c r="I354" s="4" t="str">
        <f>IFERROR(INDEX(样本到样信息汇总统计!I$2:I$500,MATCH(353,样本到样信息汇总统计!$AA$2:$AA$500,0)),"")</f>
        <v/>
      </c>
      <c r="J354" s="4" t="str">
        <f>IFERROR(INDEX(样本到样信息汇总统计!J$2:J$500,MATCH(353,样本到样信息汇总统计!$AA$2:$AA$500,0)),"")</f>
        <v/>
      </c>
      <c r="K354" s="4" t="str">
        <f>IFERROR(INDEX(样本到样信息汇总统计!K$2:K$500,MATCH(353,样本到样信息汇总统计!$AA$2:$AA$500,0)),"")</f>
        <v/>
      </c>
      <c r="L354" s="4" t="str">
        <f>IFERROR(INDEX(样本到样信息汇总统计!L$2:L$500,MATCH(353,样本到样信息汇总统计!$AA$2:$AA$500,0)),"")</f>
        <v/>
      </c>
      <c r="M354" s="4" t="str">
        <f>IFERROR(INDEX(样本到样信息汇总统计!M$2:M$500,MATCH(353,样本到样信息汇总统计!$AA$2:$AA$500,0)),"")</f>
        <v/>
      </c>
      <c r="N354" s="4" t="str">
        <f>IFERROR(INDEX(样本到样信息汇总统计!N$2:N$500,MATCH(353,样本到样信息汇总统计!$AA$2:$AA$500,0)),"")</f>
        <v/>
      </c>
      <c r="O354" s="4" t="str">
        <f>IFERROR(INDEX(样本到样信息汇总统计!O$2:O$500,MATCH(353,样本到样信息汇总统计!$AA$2:$AA$500,0)),"")</f>
        <v/>
      </c>
      <c r="P354" s="4" t="str">
        <f>IFERROR(INDEX(样本到样信息汇总统计!P$2:P$500,MATCH(353,样本到样信息汇总统计!$AA$2:$AA$500,0)),"")</f>
        <v/>
      </c>
      <c r="Q354" s="4" t="str">
        <f>IFERROR(INDEX(样本到样信息汇总统计!Q$2:Q$500,MATCH(353,样本到样信息汇总统计!$AA$2:$AA$500,0)),"")</f>
        <v/>
      </c>
      <c r="R354" s="4" t="str">
        <f>IFERROR(INDEX(样本到样信息汇总统计!R$2:R$500,MATCH(353,样本到样信息汇总统计!$AA$2:$AA$500,0)),"")</f>
        <v/>
      </c>
      <c r="S354" s="4" t="str">
        <f>IFERROR(INDEX(样本到样信息汇总统计!S$2:S$500,MATCH(353,样本到样信息汇总统计!$AA$2:$AA$500,0)),"")</f>
        <v/>
      </c>
      <c r="T354" s="4" t="str">
        <f>IFERROR(INDEX(样本到样信息汇总统计!T$2:T$500,MATCH(353,样本到样信息汇总统计!$AA$2:$AA$500,0)),"")</f>
        <v/>
      </c>
      <c r="U354" s="4" t="str">
        <f>IFERROR(INDEX(样本到样信息汇总统计!U$2:U$500,MATCH(353,样本到样信息汇总统计!$AA$2:$AA$500,0)),"")</f>
        <v/>
      </c>
      <c r="V354" s="4" t="str">
        <f>IFERROR(INDEX(样本到样信息汇总统计!V$2:V$500,MATCH(353,样本到样信息汇总统计!$AA$2:$AA$500,0)),"")</f>
        <v/>
      </c>
      <c r="W354" s="4" t="str">
        <f>IFERROR(INDEX(样本到样信息汇总统计!W$2:W$500,MATCH(353,样本到样信息汇总统计!$AA$2:$AA$500,0)),"")</f>
        <v/>
      </c>
    </row>
    <row r="355" ht="14.5" spans="1:23">
      <c r="A355" s="8" t="str">
        <f>IFERROR(INDEX(样本到样信息汇总统计!A$2:A$500,MATCH(354,样本到样信息汇总统计!$AA$2:$AA$500,0)),"")</f>
        <v/>
      </c>
      <c r="B355" s="8" t="str">
        <f>IFERROR(INDEX(样本到样信息汇总统计!B$2:B$500,MATCH(354,样本到样信息汇总统计!$AA$2:$AA$500,0)),"")</f>
        <v/>
      </c>
      <c r="C355" s="8" t="str">
        <f>IFERROR(INDEX(样本到样信息汇总统计!C$2:C$500,MATCH(354,样本到样信息汇总统计!$AA$2:$AA$500,0)),"")</f>
        <v/>
      </c>
      <c r="D355" s="8" t="str">
        <f>IFERROR(INDEX(样本到样信息汇总统计!D$2:D$500,MATCH(354,样本到样信息汇总统计!$AA$2:$AA$500,0)),"")</f>
        <v/>
      </c>
      <c r="E355" s="8" t="str">
        <f>IFERROR(INDEX(样本到样信息汇总统计!E$2:E$500,MATCH(354,样本到样信息汇总统计!$AA$2:$AA$500,0)),"")</f>
        <v/>
      </c>
      <c r="F355" s="8" t="str">
        <f>IFERROR(INDEX(样本到样信息汇总统计!F$2:F$500,MATCH(354,样本到样信息汇总统计!$AA$2:$AA$500,0)),"")</f>
        <v/>
      </c>
      <c r="G355" s="8" t="str">
        <f>IFERROR(INDEX(样本到样信息汇总统计!G$2:G$500,MATCH(354,样本到样信息汇总统计!$AA$2:$AA$500,0)),"")</f>
        <v/>
      </c>
      <c r="H355" s="8" t="str">
        <f>IFERROR(INDEX(样本到样信息汇总统计!H$2:H$500,MATCH(354,样本到样信息汇总统计!$AA$2:$AA$500,0)),"")</f>
        <v/>
      </c>
      <c r="I355" s="8" t="str">
        <f>IFERROR(INDEX(样本到样信息汇总统计!I$2:I$500,MATCH(354,样本到样信息汇总统计!$AA$2:$AA$500,0)),"")</f>
        <v/>
      </c>
      <c r="J355" s="8" t="str">
        <f>IFERROR(INDEX(样本到样信息汇总统计!J$2:J$500,MATCH(354,样本到样信息汇总统计!$AA$2:$AA$500,0)),"")</f>
        <v/>
      </c>
      <c r="K355" s="8" t="str">
        <f>IFERROR(INDEX(样本到样信息汇总统计!K$2:K$500,MATCH(354,样本到样信息汇总统计!$AA$2:$AA$500,0)),"")</f>
        <v/>
      </c>
      <c r="L355" s="8" t="str">
        <f>IFERROR(INDEX(样本到样信息汇总统计!L$2:L$500,MATCH(354,样本到样信息汇总统计!$AA$2:$AA$500,0)),"")</f>
        <v/>
      </c>
      <c r="M355" s="8" t="str">
        <f>IFERROR(INDEX(样本到样信息汇总统计!M$2:M$500,MATCH(354,样本到样信息汇总统计!$AA$2:$AA$500,0)),"")</f>
        <v/>
      </c>
      <c r="N355" s="8" t="str">
        <f>IFERROR(INDEX(样本到样信息汇总统计!N$2:N$500,MATCH(354,样本到样信息汇总统计!$AA$2:$AA$500,0)),"")</f>
        <v/>
      </c>
      <c r="O355" s="8" t="str">
        <f>IFERROR(INDEX(样本到样信息汇总统计!O$2:O$500,MATCH(354,样本到样信息汇总统计!$AA$2:$AA$500,0)),"")</f>
        <v/>
      </c>
      <c r="P355" s="8" t="str">
        <f>IFERROR(INDEX(样本到样信息汇总统计!P$2:P$500,MATCH(354,样本到样信息汇总统计!$AA$2:$AA$500,0)),"")</f>
        <v/>
      </c>
      <c r="Q355" s="8" t="str">
        <f>IFERROR(INDEX(样本到样信息汇总统计!Q$2:Q$500,MATCH(354,样本到样信息汇总统计!$AA$2:$AA$500,0)),"")</f>
        <v/>
      </c>
      <c r="R355" s="8" t="str">
        <f>IFERROR(INDEX(样本到样信息汇总统计!R$2:R$500,MATCH(354,样本到样信息汇总统计!$AA$2:$AA$500,0)),"")</f>
        <v/>
      </c>
      <c r="S355" s="8" t="str">
        <f>IFERROR(INDEX(样本到样信息汇总统计!S$2:S$500,MATCH(354,样本到样信息汇总统计!$AA$2:$AA$500,0)),"")</f>
        <v/>
      </c>
      <c r="T355" s="8" t="str">
        <f>IFERROR(INDEX(样本到样信息汇总统计!T$2:T$500,MATCH(354,样本到样信息汇总统计!$AA$2:$AA$500,0)),"")</f>
        <v/>
      </c>
      <c r="U355" s="8" t="str">
        <f>IFERROR(INDEX(样本到样信息汇总统计!U$2:U$500,MATCH(354,样本到样信息汇总统计!$AA$2:$AA$500,0)),"")</f>
        <v/>
      </c>
      <c r="V355" s="8" t="str">
        <f>IFERROR(INDEX(样本到样信息汇总统计!V$2:V$500,MATCH(354,样本到样信息汇总统计!$AA$2:$AA$500,0)),"")</f>
        <v/>
      </c>
      <c r="W355" s="8" t="str">
        <f>IFERROR(INDEX(样本到样信息汇总统计!W$2:W$500,MATCH(354,样本到样信息汇总统计!$AA$2:$AA$500,0)),"")</f>
        <v/>
      </c>
    </row>
    <row r="356" ht="14.5" spans="1:23">
      <c r="A356" s="4" t="str">
        <f>IFERROR(INDEX(样本到样信息汇总统计!A$2:A$500,MATCH(355,样本到样信息汇总统计!$AA$2:$AA$500,0)),"")</f>
        <v/>
      </c>
      <c r="B356" s="4" t="str">
        <f>IFERROR(INDEX(样本到样信息汇总统计!B$2:B$500,MATCH(355,样本到样信息汇总统计!$AA$2:$AA$500,0)),"")</f>
        <v/>
      </c>
      <c r="C356" s="4" t="str">
        <f>IFERROR(INDEX(样本到样信息汇总统计!C$2:C$500,MATCH(355,样本到样信息汇总统计!$AA$2:$AA$500,0)),"")</f>
        <v/>
      </c>
      <c r="D356" s="4" t="str">
        <f>IFERROR(INDEX(样本到样信息汇总统计!D$2:D$500,MATCH(355,样本到样信息汇总统计!$AA$2:$AA$500,0)),"")</f>
        <v/>
      </c>
      <c r="E356" s="4" t="str">
        <f>IFERROR(INDEX(样本到样信息汇总统计!E$2:E$500,MATCH(355,样本到样信息汇总统计!$AA$2:$AA$500,0)),"")</f>
        <v/>
      </c>
      <c r="F356" s="4" t="str">
        <f>IFERROR(INDEX(样本到样信息汇总统计!F$2:F$500,MATCH(355,样本到样信息汇总统计!$AA$2:$AA$500,0)),"")</f>
        <v/>
      </c>
      <c r="G356" s="4" t="str">
        <f>IFERROR(INDEX(样本到样信息汇总统计!G$2:G$500,MATCH(355,样本到样信息汇总统计!$AA$2:$AA$500,0)),"")</f>
        <v/>
      </c>
      <c r="H356" s="4" t="str">
        <f>IFERROR(INDEX(样本到样信息汇总统计!H$2:H$500,MATCH(355,样本到样信息汇总统计!$AA$2:$AA$500,0)),"")</f>
        <v/>
      </c>
      <c r="I356" s="4" t="str">
        <f>IFERROR(INDEX(样本到样信息汇总统计!I$2:I$500,MATCH(355,样本到样信息汇总统计!$AA$2:$AA$500,0)),"")</f>
        <v/>
      </c>
      <c r="J356" s="4" t="str">
        <f>IFERROR(INDEX(样本到样信息汇总统计!J$2:J$500,MATCH(355,样本到样信息汇总统计!$AA$2:$AA$500,0)),"")</f>
        <v/>
      </c>
      <c r="K356" s="4" t="str">
        <f>IFERROR(INDEX(样本到样信息汇总统计!K$2:K$500,MATCH(355,样本到样信息汇总统计!$AA$2:$AA$500,0)),"")</f>
        <v/>
      </c>
      <c r="L356" s="4" t="str">
        <f>IFERROR(INDEX(样本到样信息汇总统计!L$2:L$500,MATCH(355,样本到样信息汇总统计!$AA$2:$AA$500,0)),"")</f>
        <v/>
      </c>
      <c r="M356" s="4" t="str">
        <f>IFERROR(INDEX(样本到样信息汇总统计!M$2:M$500,MATCH(355,样本到样信息汇总统计!$AA$2:$AA$500,0)),"")</f>
        <v/>
      </c>
      <c r="N356" s="4" t="str">
        <f>IFERROR(INDEX(样本到样信息汇总统计!N$2:N$500,MATCH(355,样本到样信息汇总统计!$AA$2:$AA$500,0)),"")</f>
        <v/>
      </c>
      <c r="O356" s="4" t="str">
        <f>IFERROR(INDEX(样本到样信息汇总统计!O$2:O$500,MATCH(355,样本到样信息汇总统计!$AA$2:$AA$500,0)),"")</f>
        <v/>
      </c>
      <c r="P356" s="4" t="str">
        <f>IFERROR(INDEX(样本到样信息汇总统计!P$2:P$500,MATCH(355,样本到样信息汇总统计!$AA$2:$AA$500,0)),"")</f>
        <v/>
      </c>
      <c r="Q356" s="4" t="str">
        <f>IFERROR(INDEX(样本到样信息汇总统计!Q$2:Q$500,MATCH(355,样本到样信息汇总统计!$AA$2:$AA$500,0)),"")</f>
        <v/>
      </c>
      <c r="R356" s="4" t="str">
        <f>IFERROR(INDEX(样本到样信息汇总统计!R$2:R$500,MATCH(355,样本到样信息汇总统计!$AA$2:$AA$500,0)),"")</f>
        <v/>
      </c>
      <c r="S356" s="4" t="str">
        <f>IFERROR(INDEX(样本到样信息汇总统计!S$2:S$500,MATCH(355,样本到样信息汇总统计!$AA$2:$AA$500,0)),"")</f>
        <v/>
      </c>
      <c r="T356" s="4" t="str">
        <f>IFERROR(INDEX(样本到样信息汇总统计!T$2:T$500,MATCH(355,样本到样信息汇总统计!$AA$2:$AA$500,0)),"")</f>
        <v/>
      </c>
      <c r="U356" s="4" t="str">
        <f>IFERROR(INDEX(样本到样信息汇总统计!U$2:U$500,MATCH(355,样本到样信息汇总统计!$AA$2:$AA$500,0)),"")</f>
        <v/>
      </c>
      <c r="V356" s="4" t="str">
        <f>IFERROR(INDEX(样本到样信息汇总统计!V$2:V$500,MATCH(355,样本到样信息汇总统计!$AA$2:$AA$500,0)),"")</f>
        <v/>
      </c>
      <c r="W356" s="4" t="str">
        <f>IFERROR(INDEX(样本到样信息汇总统计!W$2:W$500,MATCH(355,样本到样信息汇总统计!$AA$2:$AA$500,0)),"")</f>
        <v/>
      </c>
    </row>
    <row r="357" ht="14.5" spans="1:23">
      <c r="A357" s="8" t="str">
        <f>IFERROR(INDEX(样本到样信息汇总统计!A$2:A$500,MATCH(356,样本到样信息汇总统计!$AA$2:$AA$500,0)),"")</f>
        <v/>
      </c>
      <c r="B357" s="8" t="str">
        <f>IFERROR(INDEX(样本到样信息汇总统计!B$2:B$500,MATCH(356,样本到样信息汇总统计!$AA$2:$AA$500,0)),"")</f>
        <v/>
      </c>
      <c r="C357" s="8" t="str">
        <f>IFERROR(INDEX(样本到样信息汇总统计!C$2:C$500,MATCH(356,样本到样信息汇总统计!$AA$2:$AA$500,0)),"")</f>
        <v/>
      </c>
      <c r="D357" s="8" t="str">
        <f>IFERROR(INDEX(样本到样信息汇总统计!D$2:D$500,MATCH(356,样本到样信息汇总统计!$AA$2:$AA$500,0)),"")</f>
        <v/>
      </c>
      <c r="E357" s="8" t="str">
        <f>IFERROR(INDEX(样本到样信息汇总统计!E$2:E$500,MATCH(356,样本到样信息汇总统计!$AA$2:$AA$500,0)),"")</f>
        <v/>
      </c>
      <c r="F357" s="8" t="str">
        <f>IFERROR(INDEX(样本到样信息汇总统计!F$2:F$500,MATCH(356,样本到样信息汇总统计!$AA$2:$AA$500,0)),"")</f>
        <v/>
      </c>
      <c r="G357" s="8" t="str">
        <f>IFERROR(INDEX(样本到样信息汇总统计!G$2:G$500,MATCH(356,样本到样信息汇总统计!$AA$2:$AA$500,0)),"")</f>
        <v/>
      </c>
      <c r="H357" s="8" t="str">
        <f>IFERROR(INDEX(样本到样信息汇总统计!H$2:H$500,MATCH(356,样本到样信息汇总统计!$AA$2:$AA$500,0)),"")</f>
        <v/>
      </c>
      <c r="I357" s="8" t="str">
        <f>IFERROR(INDEX(样本到样信息汇总统计!I$2:I$500,MATCH(356,样本到样信息汇总统计!$AA$2:$AA$500,0)),"")</f>
        <v/>
      </c>
      <c r="J357" s="8" t="str">
        <f>IFERROR(INDEX(样本到样信息汇总统计!J$2:J$500,MATCH(356,样本到样信息汇总统计!$AA$2:$AA$500,0)),"")</f>
        <v/>
      </c>
      <c r="K357" s="8" t="str">
        <f>IFERROR(INDEX(样本到样信息汇总统计!K$2:K$500,MATCH(356,样本到样信息汇总统计!$AA$2:$AA$500,0)),"")</f>
        <v/>
      </c>
      <c r="L357" s="8" t="str">
        <f>IFERROR(INDEX(样本到样信息汇总统计!L$2:L$500,MATCH(356,样本到样信息汇总统计!$AA$2:$AA$500,0)),"")</f>
        <v/>
      </c>
      <c r="M357" s="8" t="str">
        <f>IFERROR(INDEX(样本到样信息汇总统计!M$2:M$500,MATCH(356,样本到样信息汇总统计!$AA$2:$AA$500,0)),"")</f>
        <v/>
      </c>
      <c r="N357" s="8" t="str">
        <f>IFERROR(INDEX(样本到样信息汇总统计!N$2:N$500,MATCH(356,样本到样信息汇总统计!$AA$2:$AA$500,0)),"")</f>
        <v/>
      </c>
      <c r="O357" s="8" t="str">
        <f>IFERROR(INDEX(样本到样信息汇总统计!O$2:O$500,MATCH(356,样本到样信息汇总统计!$AA$2:$AA$500,0)),"")</f>
        <v/>
      </c>
      <c r="P357" s="8" t="str">
        <f>IFERROR(INDEX(样本到样信息汇总统计!P$2:P$500,MATCH(356,样本到样信息汇总统计!$AA$2:$AA$500,0)),"")</f>
        <v/>
      </c>
      <c r="Q357" s="8" t="str">
        <f>IFERROR(INDEX(样本到样信息汇总统计!Q$2:Q$500,MATCH(356,样本到样信息汇总统计!$AA$2:$AA$500,0)),"")</f>
        <v/>
      </c>
      <c r="R357" s="8" t="str">
        <f>IFERROR(INDEX(样本到样信息汇总统计!R$2:R$500,MATCH(356,样本到样信息汇总统计!$AA$2:$AA$500,0)),"")</f>
        <v/>
      </c>
      <c r="S357" s="8" t="str">
        <f>IFERROR(INDEX(样本到样信息汇总统计!S$2:S$500,MATCH(356,样本到样信息汇总统计!$AA$2:$AA$500,0)),"")</f>
        <v/>
      </c>
      <c r="T357" s="8" t="str">
        <f>IFERROR(INDEX(样本到样信息汇总统计!T$2:T$500,MATCH(356,样本到样信息汇总统计!$AA$2:$AA$500,0)),"")</f>
        <v/>
      </c>
      <c r="U357" s="8" t="str">
        <f>IFERROR(INDEX(样本到样信息汇总统计!U$2:U$500,MATCH(356,样本到样信息汇总统计!$AA$2:$AA$500,0)),"")</f>
        <v/>
      </c>
      <c r="V357" s="8" t="str">
        <f>IFERROR(INDEX(样本到样信息汇总统计!V$2:V$500,MATCH(356,样本到样信息汇总统计!$AA$2:$AA$500,0)),"")</f>
        <v/>
      </c>
      <c r="W357" s="8" t="str">
        <f>IFERROR(INDEX(样本到样信息汇总统计!W$2:W$500,MATCH(356,样本到样信息汇总统计!$AA$2:$AA$500,0)),"")</f>
        <v/>
      </c>
    </row>
    <row r="358" ht="14.5" spans="1:23">
      <c r="A358" s="4" t="str">
        <f>IFERROR(INDEX(样本到样信息汇总统计!A$2:A$500,MATCH(357,样本到样信息汇总统计!$AA$2:$AA$500,0)),"")</f>
        <v/>
      </c>
      <c r="B358" s="4" t="str">
        <f>IFERROR(INDEX(样本到样信息汇总统计!B$2:B$500,MATCH(357,样本到样信息汇总统计!$AA$2:$AA$500,0)),"")</f>
        <v/>
      </c>
      <c r="C358" s="4" t="str">
        <f>IFERROR(INDEX(样本到样信息汇总统计!C$2:C$500,MATCH(357,样本到样信息汇总统计!$AA$2:$AA$500,0)),"")</f>
        <v/>
      </c>
      <c r="D358" s="4" t="str">
        <f>IFERROR(INDEX(样本到样信息汇总统计!D$2:D$500,MATCH(357,样本到样信息汇总统计!$AA$2:$AA$500,0)),"")</f>
        <v/>
      </c>
      <c r="E358" s="4" t="str">
        <f>IFERROR(INDEX(样本到样信息汇总统计!E$2:E$500,MATCH(357,样本到样信息汇总统计!$AA$2:$AA$500,0)),"")</f>
        <v/>
      </c>
      <c r="F358" s="4" t="str">
        <f>IFERROR(INDEX(样本到样信息汇总统计!F$2:F$500,MATCH(357,样本到样信息汇总统计!$AA$2:$AA$500,0)),"")</f>
        <v/>
      </c>
      <c r="G358" s="4" t="str">
        <f>IFERROR(INDEX(样本到样信息汇总统计!G$2:G$500,MATCH(357,样本到样信息汇总统计!$AA$2:$AA$500,0)),"")</f>
        <v/>
      </c>
      <c r="H358" s="4" t="str">
        <f>IFERROR(INDEX(样本到样信息汇总统计!H$2:H$500,MATCH(357,样本到样信息汇总统计!$AA$2:$AA$500,0)),"")</f>
        <v/>
      </c>
      <c r="I358" s="4" t="str">
        <f>IFERROR(INDEX(样本到样信息汇总统计!I$2:I$500,MATCH(357,样本到样信息汇总统计!$AA$2:$AA$500,0)),"")</f>
        <v/>
      </c>
      <c r="J358" s="4" t="str">
        <f>IFERROR(INDEX(样本到样信息汇总统计!J$2:J$500,MATCH(357,样本到样信息汇总统计!$AA$2:$AA$500,0)),"")</f>
        <v/>
      </c>
      <c r="K358" s="4" t="str">
        <f>IFERROR(INDEX(样本到样信息汇总统计!K$2:K$500,MATCH(357,样本到样信息汇总统计!$AA$2:$AA$500,0)),"")</f>
        <v/>
      </c>
      <c r="L358" s="4" t="str">
        <f>IFERROR(INDEX(样本到样信息汇总统计!L$2:L$500,MATCH(357,样本到样信息汇总统计!$AA$2:$AA$500,0)),"")</f>
        <v/>
      </c>
      <c r="M358" s="4" t="str">
        <f>IFERROR(INDEX(样本到样信息汇总统计!M$2:M$500,MATCH(357,样本到样信息汇总统计!$AA$2:$AA$500,0)),"")</f>
        <v/>
      </c>
      <c r="N358" s="4" t="str">
        <f>IFERROR(INDEX(样本到样信息汇总统计!N$2:N$500,MATCH(357,样本到样信息汇总统计!$AA$2:$AA$500,0)),"")</f>
        <v/>
      </c>
      <c r="O358" s="4" t="str">
        <f>IFERROR(INDEX(样本到样信息汇总统计!O$2:O$500,MATCH(357,样本到样信息汇总统计!$AA$2:$AA$500,0)),"")</f>
        <v/>
      </c>
      <c r="P358" s="4" t="str">
        <f>IFERROR(INDEX(样本到样信息汇总统计!P$2:P$500,MATCH(357,样本到样信息汇总统计!$AA$2:$AA$500,0)),"")</f>
        <v/>
      </c>
      <c r="Q358" s="4" t="str">
        <f>IFERROR(INDEX(样本到样信息汇总统计!Q$2:Q$500,MATCH(357,样本到样信息汇总统计!$AA$2:$AA$500,0)),"")</f>
        <v/>
      </c>
      <c r="R358" s="4" t="str">
        <f>IFERROR(INDEX(样本到样信息汇总统计!R$2:R$500,MATCH(357,样本到样信息汇总统计!$AA$2:$AA$500,0)),"")</f>
        <v/>
      </c>
      <c r="S358" s="4" t="str">
        <f>IFERROR(INDEX(样本到样信息汇总统计!S$2:S$500,MATCH(357,样本到样信息汇总统计!$AA$2:$AA$500,0)),"")</f>
        <v/>
      </c>
      <c r="T358" s="4" t="str">
        <f>IFERROR(INDEX(样本到样信息汇总统计!T$2:T$500,MATCH(357,样本到样信息汇总统计!$AA$2:$AA$500,0)),"")</f>
        <v/>
      </c>
      <c r="U358" s="4" t="str">
        <f>IFERROR(INDEX(样本到样信息汇总统计!U$2:U$500,MATCH(357,样本到样信息汇总统计!$AA$2:$AA$500,0)),"")</f>
        <v/>
      </c>
      <c r="V358" s="4" t="str">
        <f>IFERROR(INDEX(样本到样信息汇总统计!V$2:V$500,MATCH(357,样本到样信息汇总统计!$AA$2:$AA$500,0)),"")</f>
        <v/>
      </c>
      <c r="W358" s="4" t="str">
        <f>IFERROR(INDEX(样本到样信息汇总统计!W$2:W$500,MATCH(357,样本到样信息汇总统计!$AA$2:$AA$500,0)),"")</f>
        <v/>
      </c>
    </row>
    <row r="359" ht="14.5" spans="1:23">
      <c r="A359" s="8" t="str">
        <f>IFERROR(INDEX(样本到样信息汇总统计!A$2:A$500,MATCH(358,样本到样信息汇总统计!$AA$2:$AA$500,0)),"")</f>
        <v/>
      </c>
      <c r="B359" s="8" t="str">
        <f>IFERROR(INDEX(样本到样信息汇总统计!B$2:B$500,MATCH(358,样本到样信息汇总统计!$AA$2:$AA$500,0)),"")</f>
        <v/>
      </c>
      <c r="C359" s="8" t="str">
        <f>IFERROR(INDEX(样本到样信息汇总统计!C$2:C$500,MATCH(358,样本到样信息汇总统计!$AA$2:$AA$500,0)),"")</f>
        <v/>
      </c>
      <c r="D359" s="8" t="str">
        <f>IFERROR(INDEX(样本到样信息汇总统计!D$2:D$500,MATCH(358,样本到样信息汇总统计!$AA$2:$AA$500,0)),"")</f>
        <v/>
      </c>
      <c r="E359" s="8" t="str">
        <f>IFERROR(INDEX(样本到样信息汇总统计!E$2:E$500,MATCH(358,样本到样信息汇总统计!$AA$2:$AA$500,0)),"")</f>
        <v/>
      </c>
      <c r="F359" s="8" t="str">
        <f>IFERROR(INDEX(样本到样信息汇总统计!F$2:F$500,MATCH(358,样本到样信息汇总统计!$AA$2:$AA$500,0)),"")</f>
        <v/>
      </c>
      <c r="G359" s="8" t="str">
        <f>IFERROR(INDEX(样本到样信息汇总统计!G$2:G$500,MATCH(358,样本到样信息汇总统计!$AA$2:$AA$500,0)),"")</f>
        <v/>
      </c>
      <c r="H359" s="8" t="str">
        <f>IFERROR(INDEX(样本到样信息汇总统计!H$2:H$500,MATCH(358,样本到样信息汇总统计!$AA$2:$AA$500,0)),"")</f>
        <v/>
      </c>
      <c r="I359" s="8" t="str">
        <f>IFERROR(INDEX(样本到样信息汇总统计!I$2:I$500,MATCH(358,样本到样信息汇总统计!$AA$2:$AA$500,0)),"")</f>
        <v/>
      </c>
      <c r="J359" s="8" t="str">
        <f>IFERROR(INDEX(样本到样信息汇总统计!J$2:J$500,MATCH(358,样本到样信息汇总统计!$AA$2:$AA$500,0)),"")</f>
        <v/>
      </c>
      <c r="K359" s="8" t="str">
        <f>IFERROR(INDEX(样本到样信息汇总统计!K$2:K$500,MATCH(358,样本到样信息汇总统计!$AA$2:$AA$500,0)),"")</f>
        <v/>
      </c>
      <c r="L359" s="8" t="str">
        <f>IFERROR(INDEX(样本到样信息汇总统计!L$2:L$500,MATCH(358,样本到样信息汇总统计!$AA$2:$AA$500,0)),"")</f>
        <v/>
      </c>
      <c r="M359" s="8" t="str">
        <f>IFERROR(INDEX(样本到样信息汇总统计!M$2:M$500,MATCH(358,样本到样信息汇总统计!$AA$2:$AA$500,0)),"")</f>
        <v/>
      </c>
      <c r="N359" s="8" t="str">
        <f>IFERROR(INDEX(样本到样信息汇总统计!N$2:N$500,MATCH(358,样本到样信息汇总统计!$AA$2:$AA$500,0)),"")</f>
        <v/>
      </c>
      <c r="O359" s="8" t="str">
        <f>IFERROR(INDEX(样本到样信息汇总统计!O$2:O$500,MATCH(358,样本到样信息汇总统计!$AA$2:$AA$500,0)),"")</f>
        <v/>
      </c>
      <c r="P359" s="8" t="str">
        <f>IFERROR(INDEX(样本到样信息汇总统计!P$2:P$500,MATCH(358,样本到样信息汇总统计!$AA$2:$AA$500,0)),"")</f>
        <v/>
      </c>
      <c r="Q359" s="8" t="str">
        <f>IFERROR(INDEX(样本到样信息汇总统计!Q$2:Q$500,MATCH(358,样本到样信息汇总统计!$AA$2:$AA$500,0)),"")</f>
        <v/>
      </c>
      <c r="R359" s="8" t="str">
        <f>IFERROR(INDEX(样本到样信息汇总统计!R$2:R$500,MATCH(358,样本到样信息汇总统计!$AA$2:$AA$500,0)),"")</f>
        <v/>
      </c>
      <c r="S359" s="8" t="str">
        <f>IFERROR(INDEX(样本到样信息汇总统计!S$2:S$500,MATCH(358,样本到样信息汇总统计!$AA$2:$AA$500,0)),"")</f>
        <v/>
      </c>
      <c r="T359" s="8" t="str">
        <f>IFERROR(INDEX(样本到样信息汇总统计!T$2:T$500,MATCH(358,样本到样信息汇总统计!$AA$2:$AA$500,0)),"")</f>
        <v/>
      </c>
      <c r="U359" s="8" t="str">
        <f>IFERROR(INDEX(样本到样信息汇总统计!U$2:U$500,MATCH(358,样本到样信息汇总统计!$AA$2:$AA$500,0)),"")</f>
        <v/>
      </c>
      <c r="V359" s="8" t="str">
        <f>IFERROR(INDEX(样本到样信息汇总统计!V$2:V$500,MATCH(358,样本到样信息汇总统计!$AA$2:$AA$500,0)),"")</f>
        <v/>
      </c>
      <c r="W359" s="8" t="str">
        <f>IFERROR(INDEX(样本到样信息汇总统计!W$2:W$500,MATCH(358,样本到样信息汇总统计!$AA$2:$AA$500,0)),"")</f>
        <v/>
      </c>
    </row>
    <row r="360" ht="14.5" spans="1:23">
      <c r="A360" s="4" t="str">
        <f>IFERROR(INDEX(样本到样信息汇总统计!A$2:A$500,MATCH(359,样本到样信息汇总统计!$AA$2:$AA$500,0)),"")</f>
        <v/>
      </c>
      <c r="B360" s="4" t="str">
        <f>IFERROR(INDEX(样本到样信息汇总统计!B$2:B$500,MATCH(359,样本到样信息汇总统计!$AA$2:$AA$500,0)),"")</f>
        <v/>
      </c>
      <c r="C360" s="4" t="str">
        <f>IFERROR(INDEX(样本到样信息汇总统计!C$2:C$500,MATCH(359,样本到样信息汇总统计!$AA$2:$AA$500,0)),"")</f>
        <v/>
      </c>
      <c r="D360" s="4" t="str">
        <f>IFERROR(INDEX(样本到样信息汇总统计!D$2:D$500,MATCH(359,样本到样信息汇总统计!$AA$2:$AA$500,0)),"")</f>
        <v/>
      </c>
      <c r="E360" s="4" t="str">
        <f>IFERROR(INDEX(样本到样信息汇总统计!E$2:E$500,MATCH(359,样本到样信息汇总统计!$AA$2:$AA$500,0)),"")</f>
        <v/>
      </c>
      <c r="F360" s="4" t="str">
        <f>IFERROR(INDEX(样本到样信息汇总统计!F$2:F$500,MATCH(359,样本到样信息汇总统计!$AA$2:$AA$500,0)),"")</f>
        <v/>
      </c>
      <c r="G360" s="4" t="str">
        <f>IFERROR(INDEX(样本到样信息汇总统计!G$2:G$500,MATCH(359,样本到样信息汇总统计!$AA$2:$AA$500,0)),"")</f>
        <v/>
      </c>
      <c r="H360" s="4" t="str">
        <f>IFERROR(INDEX(样本到样信息汇总统计!H$2:H$500,MATCH(359,样本到样信息汇总统计!$AA$2:$AA$500,0)),"")</f>
        <v/>
      </c>
      <c r="I360" s="4" t="str">
        <f>IFERROR(INDEX(样本到样信息汇总统计!I$2:I$500,MATCH(359,样本到样信息汇总统计!$AA$2:$AA$500,0)),"")</f>
        <v/>
      </c>
      <c r="J360" s="4" t="str">
        <f>IFERROR(INDEX(样本到样信息汇总统计!J$2:J$500,MATCH(359,样本到样信息汇总统计!$AA$2:$AA$500,0)),"")</f>
        <v/>
      </c>
      <c r="K360" s="4" t="str">
        <f>IFERROR(INDEX(样本到样信息汇总统计!K$2:K$500,MATCH(359,样本到样信息汇总统计!$AA$2:$AA$500,0)),"")</f>
        <v/>
      </c>
      <c r="L360" s="4" t="str">
        <f>IFERROR(INDEX(样本到样信息汇总统计!L$2:L$500,MATCH(359,样本到样信息汇总统计!$AA$2:$AA$500,0)),"")</f>
        <v/>
      </c>
      <c r="M360" s="4" t="str">
        <f>IFERROR(INDEX(样本到样信息汇总统计!M$2:M$500,MATCH(359,样本到样信息汇总统计!$AA$2:$AA$500,0)),"")</f>
        <v/>
      </c>
      <c r="N360" s="4" t="str">
        <f>IFERROR(INDEX(样本到样信息汇总统计!N$2:N$500,MATCH(359,样本到样信息汇总统计!$AA$2:$AA$500,0)),"")</f>
        <v/>
      </c>
      <c r="O360" s="4" t="str">
        <f>IFERROR(INDEX(样本到样信息汇总统计!O$2:O$500,MATCH(359,样本到样信息汇总统计!$AA$2:$AA$500,0)),"")</f>
        <v/>
      </c>
      <c r="P360" s="4" t="str">
        <f>IFERROR(INDEX(样本到样信息汇总统计!P$2:P$500,MATCH(359,样本到样信息汇总统计!$AA$2:$AA$500,0)),"")</f>
        <v/>
      </c>
      <c r="Q360" s="4" t="str">
        <f>IFERROR(INDEX(样本到样信息汇总统计!Q$2:Q$500,MATCH(359,样本到样信息汇总统计!$AA$2:$AA$500,0)),"")</f>
        <v/>
      </c>
      <c r="R360" s="4" t="str">
        <f>IFERROR(INDEX(样本到样信息汇总统计!R$2:R$500,MATCH(359,样本到样信息汇总统计!$AA$2:$AA$500,0)),"")</f>
        <v/>
      </c>
      <c r="S360" s="4" t="str">
        <f>IFERROR(INDEX(样本到样信息汇总统计!S$2:S$500,MATCH(359,样本到样信息汇总统计!$AA$2:$AA$500,0)),"")</f>
        <v/>
      </c>
      <c r="T360" s="4" t="str">
        <f>IFERROR(INDEX(样本到样信息汇总统计!T$2:T$500,MATCH(359,样本到样信息汇总统计!$AA$2:$AA$500,0)),"")</f>
        <v/>
      </c>
      <c r="U360" s="4" t="str">
        <f>IFERROR(INDEX(样本到样信息汇总统计!U$2:U$500,MATCH(359,样本到样信息汇总统计!$AA$2:$AA$500,0)),"")</f>
        <v/>
      </c>
      <c r="V360" s="4" t="str">
        <f>IFERROR(INDEX(样本到样信息汇总统计!V$2:V$500,MATCH(359,样本到样信息汇总统计!$AA$2:$AA$500,0)),"")</f>
        <v/>
      </c>
      <c r="W360" s="4" t="str">
        <f>IFERROR(INDEX(样本到样信息汇总统计!W$2:W$500,MATCH(359,样本到样信息汇总统计!$AA$2:$AA$500,0)),"")</f>
        <v/>
      </c>
    </row>
    <row r="361" ht="14.5" spans="1:23">
      <c r="A361" s="8" t="str">
        <f>IFERROR(INDEX(样本到样信息汇总统计!A$2:A$500,MATCH(360,样本到样信息汇总统计!$AA$2:$AA$500,0)),"")</f>
        <v/>
      </c>
      <c r="B361" s="8" t="str">
        <f>IFERROR(INDEX(样本到样信息汇总统计!B$2:B$500,MATCH(360,样本到样信息汇总统计!$AA$2:$AA$500,0)),"")</f>
        <v/>
      </c>
      <c r="C361" s="8" t="str">
        <f>IFERROR(INDEX(样本到样信息汇总统计!C$2:C$500,MATCH(360,样本到样信息汇总统计!$AA$2:$AA$500,0)),"")</f>
        <v/>
      </c>
      <c r="D361" s="8" t="str">
        <f>IFERROR(INDEX(样本到样信息汇总统计!D$2:D$500,MATCH(360,样本到样信息汇总统计!$AA$2:$AA$500,0)),"")</f>
        <v/>
      </c>
      <c r="E361" s="8" t="str">
        <f>IFERROR(INDEX(样本到样信息汇总统计!E$2:E$500,MATCH(360,样本到样信息汇总统计!$AA$2:$AA$500,0)),"")</f>
        <v/>
      </c>
      <c r="F361" s="8" t="str">
        <f>IFERROR(INDEX(样本到样信息汇总统计!F$2:F$500,MATCH(360,样本到样信息汇总统计!$AA$2:$AA$500,0)),"")</f>
        <v/>
      </c>
      <c r="G361" s="8" t="str">
        <f>IFERROR(INDEX(样本到样信息汇总统计!G$2:G$500,MATCH(360,样本到样信息汇总统计!$AA$2:$AA$500,0)),"")</f>
        <v/>
      </c>
      <c r="H361" s="8" t="str">
        <f>IFERROR(INDEX(样本到样信息汇总统计!H$2:H$500,MATCH(360,样本到样信息汇总统计!$AA$2:$AA$500,0)),"")</f>
        <v/>
      </c>
      <c r="I361" s="8" t="str">
        <f>IFERROR(INDEX(样本到样信息汇总统计!I$2:I$500,MATCH(360,样本到样信息汇总统计!$AA$2:$AA$500,0)),"")</f>
        <v/>
      </c>
      <c r="J361" s="8" t="str">
        <f>IFERROR(INDEX(样本到样信息汇总统计!J$2:J$500,MATCH(360,样本到样信息汇总统计!$AA$2:$AA$500,0)),"")</f>
        <v/>
      </c>
      <c r="K361" s="8" t="str">
        <f>IFERROR(INDEX(样本到样信息汇总统计!K$2:K$500,MATCH(360,样本到样信息汇总统计!$AA$2:$AA$500,0)),"")</f>
        <v/>
      </c>
      <c r="L361" s="8" t="str">
        <f>IFERROR(INDEX(样本到样信息汇总统计!L$2:L$500,MATCH(360,样本到样信息汇总统计!$AA$2:$AA$500,0)),"")</f>
        <v/>
      </c>
      <c r="M361" s="8" t="str">
        <f>IFERROR(INDEX(样本到样信息汇总统计!M$2:M$500,MATCH(360,样本到样信息汇总统计!$AA$2:$AA$500,0)),"")</f>
        <v/>
      </c>
      <c r="N361" s="8" t="str">
        <f>IFERROR(INDEX(样本到样信息汇总统计!N$2:N$500,MATCH(360,样本到样信息汇总统计!$AA$2:$AA$500,0)),"")</f>
        <v/>
      </c>
      <c r="O361" s="8" t="str">
        <f>IFERROR(INDEX(样本到样信息汇总统计!O$2:O$500,MATCH(360,样本到样信息汇总统计!$AA$2:$AA$500,0)),"")</f>
        <v/>
      </c>
      <c r="P361" s="8" t="str">
        <f>IFERROR(INDEX(样本到样信息汇总统计!P$2:P$500,MATCH(360,样本到样信息汇总统计!$AA$2:$AA$500,0)),"")</f>
        <v/>
      </c>
      <c r="Q361" s="8" t="str">
        <f>IFERROR(INDEX(样本到样信息汇总统计!Q$2:Q$500,MATCH(360,样本到样信息汇总统计!$AA$2:$AA$500,0)),"")</f>
        <v/>
      </c>
      <c r="R361" s="8" t="str">
        <f>IFERROR(INDEX(样本到样信息汇总统计!R$2:R$500,MATCH(360,样本到样信息汇总统计!$AA$2:$AA$500,0)),"")</f>
        <v/>
      </c>
      <c r="S361" s="8" t="str">
        <f>IFERROR(INDEX(样本到样信息汇总统计!S$2:S$500,MATCH(360,样本到样信息汇总统计!$AA$2:$AA$500,0)),"")</f>
        <v/>
      </c>
      <c r="T361" s="8" t="str">
        <f>IFERROR(INDEX(样本到样信息汇总统计!T$2:T$500,MATCH(360,样本到样信息汇总统计!$AA$2:$AA$500,0)),"")</f>
        <v/>
      </c>
      <c r="U361" s="8" t="str">
        <f>IFERROR(INDEX(样本到样信息汇总统计!U$2:U$500,MATCH(360,样本到样信息汇总统计!$AA$2:$AA$500,0)),"")</f>
        <v/>
      </c>
      <c r="V361" s="8" t="str">
        <f>IFERROR(INDEX(样本到样信息汇总统计!V$2:V$500,MATCH(360,样本到样信息汇总统计!$AA$2:$AA$500,0)),"")</f>
        <v/>
      </c>
      <c r="W361" s="8" t="str">
        <f>IFERROR(INDEX(样本到样信息汇总统计!W$2:W$500,MATCH(360,样本到样信息汇总统计!$AA$2:$AA$500,0)),"")</f>
        <v/>
      </c>
    </row>
    <row r="362" ht="14.5" spans="1:23">
      <c r="A362" s="4" t="str">
        <f>IFERROR(INDEX(样本到样信息汇总统计!A$2:A$500,MATCH(361,样本到样信息汇总统计!$AA$2:$AA$500,0)),"")</f>
        <v/>
      </c>
      <c r="B362" s="4" t="str">
        <f>IFERROR(INDEX(样本到样信息汇总统计!B$2:B$500,MATCH(361,样本到样信息汇总统计!$AA$2:$AA$500,0)),"")</f>
        <v/>
      </c>
      <c r="C362" s="4" t="str">
        <f>IFERROR(INDEX(样本到样信息汇总统计!C$2:C$500,MATCH(361,样本到样信息汇总统计!$AA$2:$AA$500,0)),"")</f>
        <v/>
      </c>
      <c r="D362" s="4" t="str">
        <f>IFERROR(INDEX(样本到样信息汇总统计!D$2:D$500,MATCH(361,样本到样信息汇总统计!$AA$2:$AA$500,0)),"")</f>
        <v/>
      </c>
      <c r="E362" s="4" t="str">
        <f>IFERROR(INDEX(样本到样信息汇总统计!E$2:E$500,MATCH(361,样本到样信息汇总统计!$AA$2:$AA$500,0)),"")</f>
        <v/>
      </c>
      <c r="F362" s="4" t="str">
        <f>IFERROR(INDEX(样本到样信息汇总统计!F$2:F$500,MATCH(361,样本到样信息汇总统计!$AA$2:$AA$500,0)),"")</f>
        <v/>
      </c>
      <c r="G362" s="4" t="str">
        <f>IFERROR(INDEX(样本到样信息汇总统计!G$2:G$500,MATCH(361,样本到样信息汇总统计!$AA$2:$AA$500,0)),"")</f>
        <v/>
      </c>
      <c r="H362" s="4" t="str">
        <f>IFERROR(INDEX(样本到样信息汇总统计!H$2:H$500,MATCH(361,样本到样信息汇总统计!$AA$2:$AA$500,0)),"")</f>
        <v/>
      </c>
      <c r="I362" s="4" t="str">
        <f>IFERROR(INDEX(样本到样信息汇总统计!I$2:I$500,MATCH(361,样本到样信息汇总统计!$AA$2:$AA$500,0)),"")</f>
        <v/>
      </c>
      <c r="J362" s="4" t="str">
        <f>IFERROR(INDEX(样本到样信息汇总统计!J$2:J$500,MATCH(361,样本到样信息汇总统计!$AA$2:$AA$500,0)),"")</f>
        <v/>
      </c>
      <c r="K362" s="4" t="str">
        <f>IFERROR(INDEX(样本到样信息汇总统计!K$2:K$500,MATCH(361,样本到样信息汇总统计!$AA$2:$AA$500,0)),"")</f>
        <v/>
      </c>
      <c r="L362" s="4" t="str">
        <f>IFERROR(INDEX(样本到样信息汇总统计!L$2:L$500,MATCH(361,样本到样信息汇总统计!$AA$2:$AA$500,0)),"")</f>
        <v/>
      </c>
      <c r="M362" s="4" t="str">
        <f>IFERROR(INDEX(样本到样信息汇总统计!M$2:M$500,MATCH(361,样本到样信息汇总统计!$AA$2:$AA$500,0)),"")</f>
        <v/>
      </c>
      <c r="N362" s="4" t="str">
        <f>IFERROR(INDEX(样本到样信息汇总统计!N$2:N$500,MATCH(361,样本到样信息汇总统计!$AA$2:$AA$500,0)),"")</f>
        <v/>
      </c>
      <c r="O362" s="4" t="str">
        <f>IFERROR(INDEX(样本到样信息汇总统计!O$2:O$500,MATCH(361,样本到样信息汇总统计!$AA$2:$AA$500,0)),"")</f>
        <v/>
      </c>
      <c r="P362" s="4" t="str">
        <f>IFERROR(INDEX(样本到样信息汇总统计!P$2:P$500,MATCH(361,样本到样信息汇总统计!$AA$2:$AA$500,0)),"")</f>
        <v/>
      </c>
      <c r="Q362" s="4" t="str">
        <f>IFERROR(INDEX(样本到样信息汇总统计!Q$2:Q$500,MATCH(361,样本到样信息汇总统计!$AA$2:$AA$500,0)),"")</f>
        <v/>
      </c>
      <c r="R362" s="4" t="str">
        <f>IFERROR(INDEX(样本到样信息汇总统计!R$2:R$500,MATCH(361,样本到样信息汇总统计!$AA$2:$AA$500,0)),"")</f>
        <v/>
      </c>
      <c r="S362" s="4" t="str">
        <f>IFERROR(INDEX(样本到样信息汇总统计!S$2:S$500,MATCH(361,样本到样信息汇总统计!$AA$2:$AA$500,0)),"")</f>
        <v/>
      </c>
      <c r="T362" s="4" t="str">
        <f>IFERROR(INDEX(样本到样信息汇总统计!T$2:T$500,MATCH(361,样本到样信息汇总统计!$AA$2:$AA$500,0)),"")</f>
        <v/>
      </c>
      <c r="U362" s="4" t="str">
        <f>IFERROR(INDEX(样本到样信息汇总统计!U$2:U$500,MATCH(361,样本到样信息汇总统计!$AA$2:$AA$500,0)),"")</f>
        <v/>
      </c>
      <c r="V362" s="4" t="str">
        <f>IFERROR(INDEX(样本到样信息汇总统计!V$2:V$500,MATCH(361,样本到样信息汇总统计!$AA$2:$AA$500,0)),"")</f>
        <v/>
      </c>
      <c r="W362" s="4" t="str">
        <f>IFERROR(INDEX(样本到样信息汇总统计!W$2:W$500,MATCH(361,样本到样信息汇总统计!$AA$2:$AA$500,0)),"")</f>
        <v/>
      </c>
    </row>
    <row r="363" ht="14.5" spans="1:23">
      <c r="A363" s="8" t="str">
        <f>IFERROR(INDEX(样本到样信息汇总统计!A$2:A$500,MATCH(362,样本到样信息汇总统计!$AA$2:$AA$500,0)),"")</f>
        <v/>
      </c>
      <c r="B363" s="8" t="str">
        <f>IFERROR(INDEX(样本到样信息汇总统计!B$2:B$500,MATCH(362,样本到样信息汇总统计!$AA$2:$AA$500,0)),"")</f>
        <v/>
      </c>
      <c r="C363" s="8" t="str">
        <f>IFERROR(INDEX(样本到样信息汇总统计!C$2:C$500,MATCH(362,样本到样信息汇总统计!$AA$2:$AA$500,0)),"")</f>
        <v/>
      </c>
      <c r="D363" s="8" t="str">
        <f>IFERROR(INDEX(样本到样信息汇总统计!D$2:D$500,MATCH(362,样本到样信息汇总统计!$AA$2:$AA$500,0)),"")</f>
        <v/>
      </c>
      <c r="E363" s="8" t="str">
        <f>IFERROR(INDEX(样本到样信息汇总统计!E$2:E$500,MATCH(362,样本到样信息汇总统计!$AA$2:$AA$500,0)),"")</f>
        <v/>
      </c>
      <c r="F363" s="8" t="str">
        <f>IFERROR(INDEX(样本到样信息汇总统计!F$2:F$500,MATCH(362,样本到样信息汇总统计!$AA$2:$AA$500,0)),"")</f>
        <v/>
      </c>
      <c r="G363" s="8" t="str">
        <f>IFERROR(INDEX(样本到样信息汇总统计!G$2:G$500,MATCH(362,样本到样信息汇总统计!$AA$2:$AA$500,0)),"")</f>
        <v/>
      </c>
      <c r="H363" s="8" t="str">
        <f>IFERROR(INDEX(样本到样信息汇总统计!H$2:H$500,MATCH(362,样本到样信息汇总统计!$AA$2:$AA$500,0)),"")</f>
        <v/>
      </c>
      <c r="I363" s="8" t="str">
        <f>IFERROR(INDEX(样本到样信息汇总统计!I$2:I$500,MATCH(362,样本到样信息汇总统计!$AA$2:$AA$500,0)),"")</f>
        <v/>
      </c>
      <c r="J363" s="8" t="str">
        <f>IFERROR(INDEX(样本到样信息汇总统计!J$2:J$500,MATCH(362,样本到样信息汇总统计!$AA$2:$AA$500,0)),"")</f>
        <v/>
      </c>
      <c r="K363" s="8" t="str">
        <f>IFERROR(INDEX(样本到样信息汇总统计!K$2:K$500,MATCH(362,样本到样信息汇总统计!$AA$2:$AA$500,0)),"")</f>
        <v/>
      </c>
      <c r="L363" s="8" t="str">
        <f>IFERROR(INDEX(样本到样信息汇总统计!L$2:L$500,MATCH(362,样本到样信息汇总统计!$AA$2:$AA$500,0)),"")</f>
        <v/>
      </c>
      <c r="M363" s="8" t="str">
        <f>IFERROR(INDEX(样本到样信息汇总统计!M$2:M$500,MATCH(362,样本到样信息汇总统计!$AA$2:$AA$500,0)),"")</f>
        <v/>
      </c>
      <c r="N363" s="8" t="str">
        <f>IFERROR(INDEX(样本到样信息汇总统计!N$2:N$500,MATCH(362,样本到样信息汇总统计!$AA$2:$AA$500,0)),"")</f>
        <v/>
      </c>
      <c r="O363" s="8" t="str">
        <f>IFERROR(INDEX(样本到样信息汇总统计!O$2:O$500,MATCH(362,样本到样信息汇总统计!$AA$2:$AA$500,0)),"")</f>
        <v/>
      </c>
      <c r="P363" s="8" t="str">
        <f>IFERROR(INDEX(样本到样信息汇总统计!P$2:P$500,MATCH(362,样本到样信息汇总统计!$AA$2:$AA$500,0)),"")</f>
        <v/>
      </c>
      <c r="Q363" s="8" t="str">
        <f>IFERROR(INDEX(样本到样信息汇总统计!Q$2:Q$500,MATCH(362,样本到样信息汇总统计!$AA$2:$AA$500,0)),"")</f>
        <v/>
      </c>
      <c r="R363" s="8" t="str">
        <f>IFERROR(INDEX(样本到样信息汇总统计!R$2:R$500,MATCH(362,样本到样信息汇总统计!$AA$2:$AA$500,0)),"")</f>
        <v/>
      </c>
      <c r="S363" s="8" t="str">
        <f>IFERROR(INDEX(样本到样信息汇总统计!S$2:S$500,MATCH(362,样本到样信息汇总统计!$AA$2:$AA$500,0)),"")</f>
        <v/>
      </c>
      <c r="T363" s="8" t="str">
        <f>IFERROR(INDEX(样本到样信息汇总统计!T$2:T$500,MATCH(362,样本到样信息汇总统计!$AA$2:$AA$500,0)),"")</f>
        <v/>
      </c>
      <c r="U363" s="8" t="str">
        <f>IFERROR(INDEX(样本到样信息汇总统计!U$2:U$500,MATCH(362,样本到样信息汇总统计!$AA$2:$AA$500,0)),"")</f>
        <v/>
      </c>
      <c r="V363" s="8" t="str">
        <f>IFERROR(INDEX(样本到样信息汇总统计!V$2:V$500,MATCH(362,样本到样信息汇总统计!$AA$2:$AA$500,0)),"")</f>
        <v/>
      </c>
      <c r="W363" s="8" t="str">
        <f>IFERROR(INDEX(样本到样信息汇总统计!W$2:W$500,MATCH(362,样本到样信息汇总统计!$AA$2:$AA$500,0)),"")</f>
        <v/>
      </c>
    </row>
    <row r="364" ht="14.5" spans="1:23">
      <c r="A364" s="4" t="str">
        <f>IFERROR(INDEX(样本到样信息汇总统计!A$2:A$500,MATCH(363,样本到样信息汇总统计!$AA$2:$AA$500,0)),"")</f>
        <v/>
      </c>
      <c r="B364" s="4" t="str">
        <f>IFERROR(INDEX(样本到样信息汇总统计!B$2:B$500,MATCH(363,样本到样信息汇总统计!$AA$2:$AA$500,0)),"")</f>
        <v/>
      </c>
      <c r="C364" s="4" t="str">
        <f>IFERROR(INDEX(样本到样信息汇总统计!C$2:C$500,MATCH(363,样本到样信息汇总统计!$AA$2:$AA$500,0)),"")</f>
        <v/>
      </c>
      <c r="D364" s="4" t="str">
        <f>IFERROR(INDEX(样本到样信息汇总统计!D$2:D$500,MATCH(363,样本到样信息汇总统计!$AA$2:$AA$500,0)),"")</f>
        <v/>
      </c>
      <c r="E364" s="4" t="str">
        <f>IFERROR(INDEX(样本到样信息汇总统计!E$2:E$500,MATCH(363,样本到样信息汇总统计!$AA$2:$AA$500,0)),"")</f>
        <v/>
      </c>
      <c r="F364" s="4" t="str">
        <f>IFERROR(INDEX(样本到样信息汇总统计!F$2:F$500,MATCH(363,样本到样信息汇总统计!$AA$2:$AA$500,0)),"")</f>
        <v/>
      </c>
      <c r="G364" s="4" t="str">
        <f>IFERROR(INDEX(样本到样信息汇总统计!G$2:G$500,MATCH(363,样本到样信息汇总统计!$AA$2:$AA$500,0)),"")</f>
        <v/>
      </c>
      <c r="H364" s="4" t="str">
        <f>IFERROR(INDEX(样本到样信息汇总统计!H$2:H$500,MATCH(363,样本到样信息汇总统计!$AA$2:$AA$500,0)),"")</f>
        <v/>
      </c>
      <c r="I364" s="4" t="str">
        <f>IFERROR(INDEX(样本到样信息汇总统计!I$2:I$500,MATCH(363,样本到样信息汇总统计!$AA$2:$AA$500,0)),"")</f>
        <v/>
      </c>
      <c r="J364" s="4" t="str">
        <f>IFERROR(INDEX(样本到样信息汇总统计!J$2:J$500,MATCH(363,样本到样信息汇总统计!$AA$2:$AA$500,0)),"")</f>
        <v/>
      </c>
      <c r="K364" s="4" t="str">
        <f>IFERROR(INDEX(样本到样信息汇总统计!K$2:K$500,MATCH(363,样本到样信息汇总统计!$AA$2:$AA$500,0)),"")</f>
        <v/>
      </c>
      <c r="L364" s="4" t="str">
        <f>IFERROR(INDEX(样本到样信息汇总统计!L$2:L$500,MATCH(363,样本到样信息汇总统计!$AA$2:$AA$500,0)),"")</f>
        <v/>
      </c>
      <c r="M364" s="4" t="str">
        <f>IFERROR(INDEX(样本到样信息汇总统计!M$2:M$500,MATCH(363,样本到样信息汇总统计!$AA$2:$AA$500,0)),"")</f>
        <v/>
      </c>
      <c r="N364" s="4" t="str">
        <f>IFERROR(INDEX(样本到样信息汇总统计!N$2:N$500,MATCH(363,样本到样信息汇总统计!$AA$2:$AA$500,0)),"")</f>
        <v/>
      </c>
      <c r="O364" s="4" t="str">
        <f>IFERROR(INDEX(样本到样信息汇总统计!O$2:O$500,MATCH(363,样本到样信息汇总统计!$AA$2:$AA$500,0)),"")</f>
        <v/>
      </c>
      <c r="P364" s="4" t="str">
        <f>IFERROR(INDEX(样本到样信息汇总统计!P$2:P$500,MATCH(363,样本到样信息汇总统计!$AA$2:$AA$500,0)),"")</f>
        <v/>
      </c>
      <c r="Q364" s="4" t="str">
        <f>IFERROR(INDEX(样本到样信息汇总统计!Q$2:Q$500,MATCH(363,样本到样信息汇总统计!$AA$2:$AA$500,0)),"")</f>
        <v/>
      </c>
      <c r="R364" s="4" t="str">
        <f>IFERROR(INDEX(样本到样信息汇总统计!R$2:R$500,MATCH(363,样本到样信息汇总统计!$AA$2:$AA$500,0)),"")</f>
        <v/>
      </c>
      <c r="S364" s="4" t="str">
        <f>IFERROR(INDEX(样本到样信息汇总统计!S$2:S$500,MATCH(363,样本到样信息汇总统计!$AA$2:$AA$500,0)),"")</f>
        <v/>
      </c>
      <c r="T364" s="4" t="str">
        <f>IFERROR(INDEX(样本到样信息汇总统计!T$2:T$500,MATCH(363,样本到样信息汇总统计!$AA$2:$AA$500,0)),"")</f>
        <v/>
      </c>
      <c r="U364" s="4" t="str">
        <f>IFERROR(INDEX(样本到样信息汇总统计!U$2:U$500,MATCH(363,样本到样信息汇总统计!$AA$2:$AA$500,0)),"")</f>
        <v/>
      </c>
      <c r="V364" s="4" t="str">
        <f>IFERROR(INDEX(样本到样信息汇总统计!V$2:V$500,MATCH(363,样本到样信息汇总统计!$AA$2:$AA$500,0)),"")</f>
        <v/>
      </c>
      <c r="W364" s="4" t="str">
        <f>IFERROR(INDEX(样本到样信息汇总统计!W$2:W$500,MATCH(363,样本到样信息汇总统计!$AA$2:$AA$500,0)),"")</f>
        <v/>
      </c>
    </row>
    <row r="365" ht="14.5" spans="1:23">
      <c r="A365" s="8" t="str">
        <f>IFERROR(INDEX(样本到样信息汇总统计!A$2:A$500,MATCH(364,样本到样信息汇总统计!$AA$2:$AA$500,0)),"")</f>
        <v/>
      </c>
      <c r="B365" s="8" t="str">
        <f>IFERROR(INDEX(样本到样信息汇总统计!B$2:B$500,MATCH(364,样本到样信息汇总统计!$AA$2:$AA$500,0)),"")</f>
        <v/>
      </c>
      <c r="C365" s="8" t="str">
        <f>IFERROR(INDEX(样本到样信息汇总统计!C$2:C$500,MATCH(364,样本到样信息汇总统计!$AA$2:$AA$500,0)),"")</f>
        <v/>
      </c>
      <c r="D365" s="8" t="str">
        <f>IFERROR(INDEX(样本到样信息汇总统计!D$2:D$500,MATCH(364,样本到样信息汇总统计!$AA$2:$AA$500,0)),"")</f>
        <v/>
      </c>
      <c r="E365" s="8" t="str">
        <f>IFERROR(INDEX(样本到样信息汇总统计!E$2:E$500,MATCH(364,样本到样信息汇总统计!$AA$2:$AA$500,0)),"")</f>
        <v/>
      </c>
      <c r="F365" s="8" t="str">
        <f>IFERROR(INDEX(样本到样信息汇总统计!F$2:F$500,MATCH(364,样本到样信息汇总统计!$AA$2:$AA$500,0)),"")</f>
        <v/>
      </c>
      <c r="G365" s="8" t="str">
        <f>IFERROR(INDEX(样本到样信息汇总统计!G$2:G$500,MATCH(364,样本到样信息汇总统计!$AA$2:$AA$500,0)),"")</f>
        <v/>
      </c>
      <c r="H365" s="8" t="str">
        <f>IFERROR(INDEX(样本到样信息汇总统计!H$2:H$500,MATCH(364,样本到样信息汇总统计!$AA$2:$AA$500,0)),"")</f>
        <v/>
      </c>
      <c r="I365" s="8" t="str">
        <f>IFERROR(INDEX(样本到样信息汇总统计!I$2:I$500,MATCH(364,样本到样信息汇总统计!$AA$2:$AA$500,0)),"")</f>
        <v/>
      </c>
      <c r="J365" s="8" t="str">
        <f>IFERROR(INDEX(样本到样信息汇总统计!J$2:J$500,MATCH(364,样本到样信息汇总统计!$AA$2:$AA$500,0)),"")</f>
        <v/>
      </c>
      <c r="K365" s="8" t="str">
        <f>IFERROR(INDEX(样本到样信息汇总统计!K$2:K$500,MATCH(364,样本到样信息汇总统计!$AA$2:$AA$500,0)),"")</f>
        <v/>
      </c>
      <c r="L365" s="8" t="str">
        <f>IFERROR(INDEX(样本到样信息汇总统计!L$2:L$500,MATCH(364,样本到样信息汇总统计!$AA$2:$AA$500,0)),"")</f>
        <v/>
      </c>
      <c r="M365" s="8" t="str">
        <f>IFERROR(INDEX(样本到样信息汇总统计!M$2:M$500,MATCH(364,样本到样信息汇总统计!$AA$2:$AA$500,0)),"")</f>
        <v/>
      </c>
      <c r="N365" s="8" t="str">
        <f>IFERROR(INDEX(样本到样信息汇总统计!N$2:N$500,MATCH(364,样本到样信息汇总统计!$AA$2:$AA$500,0)),"")</f>
        <v/>
      </c>
      <c r="O365" s="8" t="str">
        <f>IFERROR(INDEX(样本到样信息汇总统计!O$2:O$500,MATCH(364,样本到样信息汇总统计!$AA$2:$AA$500,0)),"")</f>
        <v/>
      </c>
      <c r="P365" s="8" t="str">
        <f>IFERROR(INDEX(样本到样信息汇总统计!P$2:P$500,MATCH(364,样本到样信息汇总统计!$AA$2:$AA$500,0)),"")</f>
        <v/>
      </c>
      <c r="Q365" s="8" t="str">
        <f>IFERROR(INDEX(样本到样信息汇总统计!Q$2:Q$500,MATCH(364,样本到样信息汇总统计!$AA$2:$AA$500,0)),"")</f>
        <v/>
      </c>
      <c r="R365" s="8" t="str">
        <f>IFERROR(INDEX(样本到样信息汇总统计!R$2:R$500,MATCH(364,样本到样信息汇总统计!$AA$2:$AA$500,0)),"")</f>
        <v/>
      </c>
      <c r="S365" s="8" t="str">
        <f>IFERROR(INDEX(样本到样信息汇总统计!S$2:S$500,MATCH(364,样本到样信息汇总统计!$AA$2:$AA$500,0)),"")</f>
        <v/>
      </c>
      <c r="T365" s="8" t="str">
        <f>IFERROR(INDEX(样本到样信息汇总统计!T$2:T$500,MATCH(364,样本到样信息汇总统计!$AA$2:$AA$500,0)),"")</f>
        <v/>
      </c>
      <c r="U365" s="8" t="str">
        <f>IFERROR(INDEX(样本到样信息汇总统计!U$2:U$500,MATCH(364,样本到样信息汇总统计!$AA$2:$AA$500,0)),"")</f>
        <v/>
      </c>
      <c r="V365" s="8" t="str">
        <f>IFERROR(INDEX(样本到样信息汇总统计!V$2:V$500,MATCH(364,样本到样信息汇总统计!$AA$2:$AA$500,0)),"")</f>
        <v/>
      </c>
      <c r="W365" s="8" t="str">
        <f>IFERROR(INDEX(样本到样信息汇总统计!W$2:W$500,MATCH(364,样本到样信息汇总统计!$AA$2:$AA$500,0)),"")</f>
        <v/>
      </c>
    </row>
    <row r="366" ht="14.5" spans="1:23">
      <c r="A366" s="4" t="str">
        <f>IFERROR(INDEX(样本到样信息汇总统计!A$2:A$500,MATCH(365,样本到样信息汇总统计!$AA$2:$AA$500,0)),"")</f>
        <v/>
      </c>
      <c r="B366" s="4" t="str">
        <f>IFERROR(INDEX(样本到样信息汇总统计!B$2:B$500,MATCH(365,样本到样信息汇总统计!$AA$2:$AA$500,0)),"")</f>
        <v/>
      </c>
      <c r="C366" s="4" t="str">
        <f>IFERROR(INDEX(样本到样信息汇总统计!C$2:C$500,MATCH(365,样本到样信息汇总统计!$AA$2:$AA$500,0)),"")</f>
        <v/>
      </c>
      <c r="D366" s="4" t="str">
        <f>IFERROR(INDEX(样本到样信息汇总统计!D$2:D$500,MATCH(365,样本到样信息汇总统计!$AA$2:$AA$500,0)),"")</f>
        <v/>
      </c>
      <c r="E366" s="4" t="str">
        <f>IFERROR(INDEX(样本到样信息汇总统计!E$2:E$500,MATCH(365,样本到样信息汇总统计!$AA$2:$AA$500,0)),"")</f>
        <v/>
      </c>
      <c r="F366" s="4" t="str">
        <f>IFERROR(INDEX(样本到样信息汇总统计!F$2:F$500,MATCH(365,样本到样信息汇总统计!$AA$2:$AA$500,0)),"")</f>
        <v/>
      </c>
      <c r="G366" s="4" t="str">
        <f>IFERROR(INDEX(样本到样信息汇总统计!G$2:G$500,MATCH(365,样本到样信息汇总统计!$AA$2:$AA$500,0)),"")</f>
        <v/>
      </c>
      <c r="H366" s="4" t="str">
        <f>IFERROR(INDEX(样本到样信息汇总统计!H$2:H$500,MATCH(365,样本到样信息汇总统计!$AA$2:$AA$500,0)),"")</f>
        <v/>
      </c>
      <c r="I366" s="4" t="str">
        <f>IFERROR(INDEX(样本到样信息汇总统计!I$2:I$500,MATCH(365,样本到样信息汇总统计!$AA$2:$AA$500,0)),"")</f>
        <v/>
      </c>
      <c r="J366" s="4" t="str">
        <f>IFERROR(INDEX(样本到样信息汇总统计!J$2:J$500,MATCH(365,样本到样信息汇总统计!$AA$2:$AA$500,0)),"")</f>
        <v/>
      </c>
      <c r="K366" s="4" t="str">
        <f>IFERROR(INDEX(样本到样信息汇总统计!K$2:K$500,MATCH(365,样本到样信息汇总统计!$AA$2:$AA$500,0)),"")</f>
        <v/>
      </c>
      <c r="L366" s="4" t="str">
        <f>IFERROR(INDEX(样本到样信息汇总统计!L$2:L$500,MATCH(365,样本到样信息汇总统计!$AA$2:$AA$500,0)),"")</f>
        <v/>
      </c>
      <c r="M366" s="4" t="str">
        <f>IFERROR(INDEX(样本到样信息汇总统计!M$2:M$500,MATCH(365,样本到样信息汇总统计!$AA$2:$AA$500,0)),"")</f>
        <v/>
      </c>
      <c r="N366" s="4" t="str">
        <f>IFERROR(INDEX(样本到样信息汇总统计!N$2:N$500,MATCH(365,样本到样信息汇总统计!$AA$2:$AA$500,0)),"")</f>
        <v/>
      </c>
      <c r="O366" s="4" t="str">
        <f>IFERROR(INDEX(样本到样信息汇总统计!O$2:O$500,MATCH(365,样本到样信息汇总统计!$AA$2:$AA$500,0)),"")</f>
        <v/>
      </c>
      <c r="P366" s="4" t="str">
        <f>IFERROR(INDEX(样本到样信息汇总统计!P$2:P$500,MATCH(365,样本到样信息汇总统计!$AA$2:$AA$500,0)),"")</f>
        <v/>
      </c>
      <c r="Q366" s="4" t="str">
        <f>IFERROR(INDEX(样本到样信息汇总统计!Q$2:Q$500,MATCH(365,样本到样信息汇总统计!$AA$2:$AA$500,0)),"")</f>
        <v/>
      </c>
      <c r="R366" s="4" t="str">
        <f>IFERROR(INDEX(样本到样信息汇总统计!R$2:R$500,MATCH(365,样本到样信息汇总统计!$AA$2:$AA$500,0)),"")</f>
        <v/>
      </c>
      <c r="S366" s="4" t="str">
        <f>IFERROR(INDEX(样本到样信息汇总统计!S$2:S$500,MATCH(365,样本到样信息汇总统计!$AA$2:$AA$500,0)),"")</f>
        <v/>
      </c>
      <c r="T366" s="4" t="str">
        <f>IFERROR(INDEX(样本到样信息汇总统计!T$2:T$500,MATCH(365,样本到样信息汇总统计!$AA$2:$AA$500,0)),"")</f>
        <v/>
      </c>
      <c r="U366" s="4" t="str">
        <f>IFERROR(INDEX(样本到样信息汇总统计!U$2:U$500,MATCH(365,样本到样信息汇总统计!$AA$2:$AA$500,0)),"")</f>
        <v/>
      </c>
      <c r="V366" s="4" t="str">
        <f>IFERROR(INDEX(样本到样信息汇总统计!V$2:V$500,MATCH(365,样本到样信息汇总统计!$AA$2:$AA$500,0)),"")</f>
        <v/>
      </c>
      <c r="W366" s="4" t="str">
        <f>IFERROR(INDEX(样本到样信息汇总统计!W$2:W$500,MATCH(365,样本到样信息汇总统计!$AA$2:$AA$500,0)),"")</f>
        <v/>
      </c>
    </row>
    <row r="367" ht="14.5" spans="1:23">
      <c r="A367" s="8" t="str">
        <f>IFERROR(INDEX(样本到样信息汇总统计!A$2:A$500,MATCH(366,样本到样信息汇总统计!$AA$2:$AA$500,0)),"")</f>
        <v/>
      </c>
      <c r="B367" s="8" t="str">
        <f>IFERROR(INDEX(样本到样信息汇总统计!B$2:B$500,MATCH(366,样本到样信息汇总统计!$AA$2:$AA$500,0)),"")</f>
        <v/>
      </c>
      <c r="C367" s="8" t="str">
        <f>IFERROR(INDEX(样本到样信息汇总统计!C$2:C$500,MATCH(366,样本到样信息汇总统计!$AA$2:$AA$500,0)),"")</f>
        <v/>
      </c>
      <c r="D367" s="8" t="str">
        <f>IFERROR(INDEX(样本到样信息汇总统计!D$2:D$500,MATCH(366,样本到样信息汇总统计!$AA$2:$AA$500,0)),"")</f>
        <v/>
      </c>
      <c r="E367" s="8" t="str">
        <f>IFERROR(INDEX(样本到样信息汇总统计!E$2:E$500,MATCH(366,样本到样信息汇总统计!$AA$2:$AA$500,0)),"")</f>
        <v/>
      </c>
      <c r="F367" s="8" t="str">
        <f>IFERROR(INDEX(样本到样信息汇总统计!F$2:F$500,MATCH(366,样本到样信息汇总统计!$AA$2:$AA$500,0)),"")</f>
        <v/>
      </c>
      <c r="G367" s="8" t="str">
        <f>IFERROR(INDEX(样本到样信息汇总统计!G$2:G$500,MATCH(366,样本到样信息汇总统计!$AA$2:$AA$500,0)),"")</f>
        <v/>
      </c>
      <c r="H367" s="8" t="str">
        <f>IFERROR(INDEX(样本到样信息汇总统计!H$2:H$500,MATCH(366,样本到样信息汇总统计!$AA$2:$AA$500,0)),"")</f>
        <v/>
      </c>
      <c r="I367" s="8" t="str">
        <f>IFERROR(INDEX(样本到样信息汇总统计!I$2:I$500,MATCH(366,样本到样信息汇总统计!$AA$2:$AA$500,0)),"")</f>
        <v/>
      </c>
      <c r="J367" s="8" t="str">
        <f>IFERROR(INDEX(样本到样信息汇总统计!J$2:J$500,MATCH(366,样本到样信息汇总统计!$AA$2:$AA$500,0)),"")</f>
        <v/>
      </c>
      <c r="K367" s="8" t="str">
        <f>IFERROR(INDEX(样本到样信息汇总统计!K$2:K$500,MATCH(366,样本到样信息汇总统计!$AA$2:$AA$500,0)),"")</f>
        <v/>
      </c>
      <c r="L367" s="8" t="str">
        <f>IFERROR(INDEX(样本到样信息汇总统计!L$2:L$500,MATCH(366,样本到样信息汇总统计!$AA$2:$AA$500,0)),"")</f>
        <v/>
      </c>
      <c r="M367" s="8" t="str">
        <f>IFERROR(INDEX(样本到样信息汇总统计!M$2:M$500,MATCH(366,样本到样信息汇总统计!$AA$2:$AA$500,0)),"")</f>
        <v/>
      </c>
      <c r="N367" s="8" t="str">
        <f>IFERROR(INDEX(样本到样信息汇总统计!N$2:N$500,MATCH(366,样本到样信息汇总统计!$AA$2:$AA$500,0)),"")</f>
        <v/>
      </c>
      <c r="O367" s="8" t="str">
        <f>IFERROR(INDEX(样本到样信息汇总统计!O$2:O$500,MATCH(366,样本到样信息汇总统计!$AA$2:$AA$500,0)),"")</f>
        <v/>
      </c>
      <c r="P367" s="8" t="str">
        <f>IFERROR(INDEX(样本到样信息汇总统计!P$2:P$500,MATCH(366,样本到样信息汇总统计!$AA$2:$AA$500,0)),"")</f>
        <v/>
      </c>
      <c r="Q367" s="8" t="str">
        <f>IFERROR(INDEX(样本到样信息汇总统计!Q$2:Q$500,MATCH(366,样本到样信息汇总统计!$AA$2:$AA$500,0)),"")</f>
        <v/>
      </c>
      <c r="R367" s="8" t="str">
        <f>IFERROR(INDEX(样本到样信息汇总统计!R$2:R$500,MATCH(366,样本到样信息汇总统计!$AA$2:$AA$500,0)),"")</f>
        <v/>
      </c>
      <c r="S367" s="8" t="str">
        <f>IFERROR(INDEX(样本到样信息汇总统计!S$2:S$500,MATCH(366,样本到样信息汇总统计!$AA$2:$AA$500,0)),"")</f>
        <v/>
      </c>
      <c r="T367" s="8" t="str">
        <f>IFERROR(INDEX(样本到样信息汇总统计!T$2:T$500,MATCH(366,样本到样信息汇总统计!$AA$2:$AA$500,0)),"")</f>
        <v/>
      </c>
      <c r="U367" s="8" t="str">
        <f>IFERROR(INDEX(样本到样信息汇总统计!U$2:U$500,MATCH(366,样本到样信息汇总统计!$AA$2:$AA$500,0)),"")</f>
        <v/>
      </c>
      <c r="V367" s="8" t="str">
        <f>IFERROR(INDEX(样本到样信息汇总统计!V$2:V$500,MATCH(366,样本到样信息汇总统计!$AA$2:$AA$500,0)),"")</f>
        <v/>
      </c>
      <c r="W367" s="8" t="str">
        <f>IFERROR(INDEX(样本到样信息汇总统计!W$2:W$500,MATCH(366,样本到样信息汇总统计!$AA$2:$AA$500,0)),"")</f>
        <v/>
      </c>
    </row>
    <row r="368" ht="14.5" spans="1:23">
      <c r="A368" s="4" t="str">
        <f>IFERROR(INDEX(样本到样信息汇总统计!A$2:A$500,MATCH(367,样本到样信息汇总统计!$AA$2:$AA$500,0)),"")</f>
        <v/>
      </c>
      <c r="B368" s="4" t="str">
        <f>IFERROR(INDEX(样本到样信息汇总统计!B$2:B$500,MATCH(367,样本到样信息汇总统计!$AA$2:$AA$500,0)),"")</f>
        <v/>
      </c>
      <c r="C368" s="4" t="str">
        <f>IFERROR(INDEX(样本到样信息汇总统计!C$2:C$500,MATCH(367,样本到样信息汇总统计!$AA$2:$AA$500,0)),"")</f>
        <v/>
      </c>
      <c r="D368" s="4" t="str">
        <f>IFERROR(INDEX(样本到样信息汇总统计!D$2:D$500,MATCH(367,样本到样信息汇总统计!$AA$2:$AA$500,0)),"")</f>
        <v/>
      </c>
      <c r="E368" s="4" t="str">
        <f>IFERROR(INDEX(样本到样信息汇总统计!E$2:E$500,MATCH(367,样本到样信息汇总统计!$AA$2:$AA$500,0)),"")</f>
        <v/>
      </c>
      <c r="F368" s="4" t="str">
        <f>IFERROR(INDEX(样本到样信息汇总统计!F$2:F$500,MATCH(367,样本到样信息汇总统计!$AA$2:$AA$500,0)),"")</f>
        <v/>
      </c>
      <c r="G368" s="4" t="str">
        <f>IFERROR(INDEX(样本到样信息汇总统计!G$2:G$500,MATCH(367,样本到样信息汇总统计!$AA$2:$AA$500,0)),"")</f>
        <v/>
      </c>
      <c r="H368" s="4" t="str">
        <f>IFERROR(INDEX(样本到样信息汇总统计!H$2:H$500,MATCH(367,样本到样信息汇总统计!$AA$2:$AA$500,0)),"")</f>
        <v/>
      </c>
      <c r="I368" s="4" t="str">
        <f>IFERROR(INDEX(样本到样信息汇总统计!I$2:I$500,MATCH(367,样本到样信息汇总统计!$AA$2:$AA$500,0)),"")</f>
        <v/>
      </c>
      <c r="J368" s="4" t="str">
        <f>IFERROR(INDEX(样本到样信息汇总统计!J$2:J$500,MATCH(367,样本到样信息汇总统计!$AA$2:$AA$500,0)),"")</f>
        <v/>
      </c>
      <c r="K368" s="4" t="str">
        <f>IFERROR(INDEX(样本到样信息汇总统计!K$2:K$500,MATCH(367,样本到样信息汇总统计!$AA$2:$AA$500,0)),"")</f>
        <v/>
      </c>
      <c r="L368" s="4" t="str">
        <f>IFERROR(INDEX(样本到样信息汇总统计!L$2:L$500,MATCH(367,样本到样信息汇总统计!$AA$2:$AA$500,0)),"")</f>
        <v/>
      </c>
      <c r="M368" s="4" t="str">
        <f>IFERROR(INDEX(样本到样信息汇总统计!M$2:M$500,MATCH(367,样本到样信息汇总统计!$AA$2:$AA$500,0)),"")</f>
        <v/>
      </c>
      <c r="N368" s="4" t="str">
        <f>IFERROR(INDEX(样本到样信息汇总统计!N$2:N$500,MATCH(367,样本到样信息汇总统计!$AA$2:$AA$500,0)),"")</f>
        <v/>
      </c>
      <c r="O368" s="4" t="str">
        <f>IFERROR(INDEX(样本到样信息汇总统计!O$2:O$500,MATCH(367,样本到样信息汇总统计!$AA$2:$AA$500,0)),"")</f>
        <v/>
      </c>
      <c r="P368" s="4" t="str">
        <f>IFERROR(INDEX(样本到样信息汇总统计!P$2:P$500,MATCH(367,样本到样信息汇总统计!$AA$2:$AA$500,0)),"")</f>
        <v/>
      </c>
      <c r="Q368" s="4" t="str">
        <f>IFERROR(INDEX(样本到样信息汇总统计!Q$2:Q$500,MATCH(367,样本到样信息汇总统计!$AA$2:$AA$500,0)),"")</f>
        <v/>
      </c>
      <c r="R368" s="4" t="str">
        <f>IFERROR(INDEX(样本到样信息汇总统计!R$2:R$500,MATCH(367,样本到样信息汇总统计!$AA$2:$AA$500,0)),"")</f>
        <v/>
      </c>
      <c r="S368" s="4" t="str">
        <f>IFERROR(INDEX(样本到样信息汇总统计!S$2:S$500,MATCH(367,样本到样信息汇总统计!$AA$2:$AA$500,0)),"")</f>
        <v/>
      </c>
      <c r="T368" s="4" t="str">
        <f>IFERROR(INDEX(样本到样信息汇总统计!T$2:T$500,MATCH(367,样本到样信息汇总统计!$AA$2:$AA$500,0)),"")</f>
        <v/>
      </c>
      <c r="U368" s="4" t="str">
        <f>IFERROR(INDEX(样本到样信息汇总统计!U$2:U$500,MATCH(367,样本到样信息汇总统计!$AA$2:$AA$500,0)),"")</f>
        <v/>
      </c>
      <c r="V368" s="4" t="str">
        <f>IFERROR(INDEX(样本到样信息汇总统计!V$2:V$500,MATCH(367,样本到样信息汇总统计!$AA$2:$AA$500,0)),"")</f>
        <v/>
      </c>
      <c r="W368" s="4" t="str">
        <f>IFERROR(INDEX(样本到样信息汇总统计!W$2:W$500,MATCH(367,样本到样信息汇总统计!$AA$2:$AA$500,0)),"")</f>
        <v/>
      </c>
    </row>
    <row r="369" ht="14.5" spans="1:23">
      <c r="A369" s="8" t="str">
        <f>IFERROR(INDEX(样本到样信息汇总统计!A$2:A$500,MATCH(368,样本到样信息汇总统计!$AA$2:$AA$500,0)),"")</f>
        <v/>
      </c>
      <c r="B369" s="8" t="str">
        <f>IFERROR(INDEX(样本到样信息汇总统计!B$2:B$500,MATCH(368,样本到样信息汇总统计!$AA$2:$AA$500,0)),"")</f>
        <v/>
      </c>
      <c r="C369" s="8" t="str">
        <f>IFERROR(INDEX(样本到样信息汇总统计!C$2:C$500,MATCH(368,样本到样信息汇总统计!$AA$2:$AA$500,0)),"")</f>
        <v/>
      </c>
      <c r="D369" s="8" t="str">
        <f>IFERROR(INDEX(样本到样信息汇总统计!D$2:D$500,MATCH(368,样本到样信息汇总统计!$AA$2:$AA$500,0)),"")</f>
        <v/>
      </c>
      <c r="E369" s="8" t="str">
        <f>IFERROR(INDEX(样本到样信息汇总统计!E$2:E$500,MATCH(368,样本到样信息汇总统计!$AA$2:$AA$500,0)),"")</f>
        <v/>
      </c>
      <c r="F369" s="8" t="str">
        <f>IFERROR(INDEX(样本到样信息汇总统计!F$2:F$500,MATCH(368,样本到样信息汇总统计!$AA$2:$AA$500,0)),"")</f>
        <v/>
      </c>
      <c r="G369" s="8" t="str">
        <f>IFERROR(INDEX(样本到样信息汇总统计!G$2:G$500,MATCH(368,样本到样信息汇总统计!$AA$2:$AA$500,0)),"")</f>
        <v/>
      </c>
      <c r="H369" s="8" t="str">
        <f>IFERROR(INDEX(样本到样信息汇总统计!H$2:H$500,MATCH(368,样本到样信息汇总统计!$AA$2:$AA$500,0)),"")</f>
        <v/>
      </c>
      <c r="I369" s="8" t="str">
        <f>IFERROR(INDEX(样本到样信息汇总统计!I$2:I$500,MATCH(368,样本到样信息汇总统计!$AA$2:$AA$500,0)),"")</f>
        <v/>
      </c>
      <c r="J369" s="8" t="str">
        <f>IFERROR(INDEX(样本到样信息汇总统计!J$2:J$500,MATCH(368,样本到样信息汇总统计!$AA$2:$AA$500,0)),"")</f>
        <v/>
      </c>
      <c r="K369" s="8" t="str">
        <f>IFERROR(INDEX(样本到样信息汇总统计!K$2:K$500,MATCH(368,样本到样信息汇总统计!$AA$2:$AA$500,0)),"")</f>
        <v/>
      </c>
      <c r="L369" s="8" t="str">
        <f>IFERROR(INDEX(样本到样信息汇总统计!L$2:L$500,MATCH(368,样本到样信息汇总统计!$AA$2:$AA$500,0)),"")</f>
        <v/>
      </c>
      <c r="M369" s="8" t="str">
        <f>IFERROR(INDEX(样本到样信息汇总统计!M$2:M$500,MATCH(368,样本到样信息汇总统计!$AA$2:$AA$500,0)),"")</f>
        <v/>
      </c>
      <c r="N369" s="8" t="str">
        <f>IFERROR(INDEX(样本到样信息汇总统计!N$2:N$500,MATCH(368,样本到样信息汇总统计!$AA$2:$AA$500,0)),"")</f>
        <v/>
      </c>
      <c r="O369" s="8" t="str">
        <f>IFERROR(INDEX(样本到样信息汇总统计!O$2:O$500,MATCH(368,样本到样信息汇总统计!$AA$2:$AA$500,0)),"")</f>
        <v/>
      </c>
      <c r="P369" s="8" t="str">
        <f>IFERROR(INDEX(样本到样信息汇总统计!P$2:P$500,MATCH(368,样本到样信息汇总统计!$AA$2:$AA$500,0)),"")</f>
        <v/>
      </c>
      <c r="Q369" s="8" t="str">
        <f>IFERROR(INDEX(样本到样信息汇总统计!Q$2:Q$500,MATCH(368,样本到样信息汇总统计!$AA$2:$AA$500,0)),"")</f>
        <v/>
      </c>
      <c r="R369" s="8" t="str">
        <f>IFERROR(INDEX(样本到样信息汇总统计!R$2:R$500,MATCH(368,样本到样信息汇总统计!$AA$2:$AA$500,0)),"")</f>
        <v/>
      </c>
      <c r="S369" s="8" t="str">
        <f>IFERROR(INDEX(样本到样信息汇总统计!S$2:S$500,MATCH(368,样本到样信息汇总统计!$AA$2:$AA$500,0)),"")</f>
        <v/>
      </c>
      <c r="T369" s="8" t="str">
        <f>IFERROR(INDEX(样本到样信息汇总统计!T$2:T$500,MATCH(368,样本到样信息汇总统计!$AA$2:$AA$500,0)),"")</f>
        <v/>
      </c>
      <c r="U369" s="8" t="str">
        <f>IFERROR(INDEX(样本到样信息汇总统计!U$2:U$500,MATCH(368,样本到样信息汇总统计!$AA$2:$AA$500,0)),"")</f>
        <v/>
      </c>
      <c r="V369" s="8" t="str">
        <f>IFERROR(INDEX(样本到样信息汇总统计!V$2:V$500,MATCH(368,样本到样信息汇总统计!$AA$2:$AA$500,0)),"")</f>
        <v/>
      </c>
      <c r="W369" s="8" t="str">
        <f>IFERROR(INDEX(样本到样信息汇总统计!W$2:W$500,MATCH(368,样本到样信息汇总统计!$AA$2:$AA$500,0)),"")</f>
        <v/>
      </c>
    </row>
    <row r="370" ht="14.5" spans="1:23">
      <c r="A370" s="4" t="str">
        <f>IFERROR(INDEX(样本到样信息汇总统计!A$2:A$500,MATCH(369,样本到样信息汇总统计!$AA$2:$AA$500,0)),"")</f>
        <v/>
      </c>
      <c r="B370" s="4" t="str">
        <f>IFERROR(INDEX(样本到样信息汇总统计!B$2:B$500,MATCH(369,样本到样信息汇总统计!$AA$2:$AA$500,0)),"")</f>
        <v/>
      </c>
      <c r="C370" s="4" t="str">
        <f>IFERROR(INDEX(样本到样信息汇总统计!C$2:C$500,MATCH(369,样本到样信息汇总统计!$AA$2:$AA$500,0)),"")</f>
        <v/>
      </c>
      <c r="D370" s="4" t="str">
        <f>IFERROR(INDEX(样本到样信息汇总统计!D$2:D$500,MATCH(369,样本到样信息汇总统计!$AA$2:$AA$500,0)),"")</f>
        <v/>
      </c>
      <c r="E370" s="4" t="str">
        <f>IFERROR(INDEX(样本到样信息汇总统计!E$2:E$500,MATCH(369,样本到样信息汇总统计!$AA$2:$AA$500,0)),"")</f>
        <v/>
      </c>
      <c r="F370" s="4" t="str">
        <f>IFERROR(INDEX(样本到样信息汇总统计!F$2:F$500,MATCH(369,样本到样信息汇总统计!$AA$2:$AA$500,0)),"")</f>
        <v/>
      </c>
      <c r="G370" s="4" t="str">
        <f>IFERROR(INDEX(样本到样信息汇总统计!G$2:G$500,MATCH(369,样本到样信息汇总统计!$AA$2:$AA$500,0)),"")</f>
        <v/>
      </c>
      <c r="H370" s="4" t="str">
        <f>IFERROR(INDEX(样本到样信息汇总统计!H$2:H$500,MATCH(369,样本到样信息汇总统计!$AA$2:$AA$500,0)),"")</f>
        <v/>
      </c>
      <c r="I370" s="4" t="str">
        <f>IFERROR(INDEX(样本到样信息汇总统计!I$2:I$500,MATCH(369,样本到样信息汇总统计!$AA$2:$AA$500,0)),"")</f>
        <v/>
      </c>
      <c r="J370" s="4" t="str">
        <f>IFERROR(INDEX(样本到样信息汇总统计!J$2:J$500,MATCH(369,样本到样信息汇总统计!$AA$2:$AA$500,0)),"")</f>
        <v/>
      </c>
      <c r="K370" s="4" t="str">
        <f>IFERROR(INDEX(样本到样信息汇总统计!K$2:K$500,MATCH(369,样本到样信息汇总统计!$AA$2:$AA$500,0)),"")</f>
        <v/>
      </c>
      <c r="L370" s="4" t="str">
        <f>IFERROR(INDEX(样本到样信息汇总统计!L$2:L$500,MATCH(369,样本到样信息汇总统计!$AA$2:$AA$500,0)),"")</f>
        <v/>
      </c>
      <c r="M370" s="4" t="str">
        <f>IFERROR(INDEX(样本到样信息汇总统计!M$2:M$500,MATCH(369,样本到样信息汇总统计!$AA$2:$AA$500,0)),"")</f>
        <v/>
      </c>
      <c r="N370" s="4" t="str">
        <f>IFERROR(INDEX(样本到样信息汇总统计!N$2:N$500,MATCH(369,样本到样信息汇总统计!$AA$2:$AA$500,0)),"")</f>
        <v/>
      </c>
      <c r="O370" s="4" t="str">
        <f>IFERROR(INDEX(样本到样信息汇总统计!O$2:O$500,MATCH(369,样本到样信息汇总统计!$AA$2:$AA$500,0)),"")</f>
        <v/>
      </c>
      <c r="P370" s="4" t="str">
        <f>IFERROR(INDEX(样本到样信息汇总统计!P$2:P$500,MATCH(369,样本到样信息汇总统计!$AA$2:$AA$500,0)),"")</f>
        <v/>
      </c>
      <c r="Q370" s="4" t="str">
        <f>IFERROR(INDEX(样本到样信息汇总统计!Q$2:Q$500,MATCH(369,样本到样信息汇总统计!$AA$2:$AA$500,0)),"")</f>
        <v/>
      </c>
      <c r="R370" s="4" t="str">
        <f>IFERROR(INDEX(样本到样信息汇总统计!R$2:R$500,MATCH(369,样本到样信息汇总统计!$AA$2:$AA$500,0)),"")</f>
        <v/>
      </c>
      <c r="S370" s="4" t="str">
        <f>IFERROR(INDEX(样本到样信息汇总统计!S$2:S$500,MATCH(369,样本到样信息汇总统计!$AA$2:$AA$500,0)),"")</f>
        <v/>
      </c>
      <c r="T370" s="4" t="str">
        <f>IFERROR(INDEX(样本到样信息汇总统计!T$2:T$500,MATCH(369,样本到样信息汇总统计!$AA$2:$AA$500,0)),"")</f>
        <v/>
      </c>
      <c r="U370" s="4" t="str">
        <f>IFERROR(INDEX(样本到样信息汇总统计!U$2:U$500,MATCH(369,样本到样信息汇总统计!$AA$2:$AA$500,0)),"")</f>
        <v/>
      </c>
      <c r="V370" s="4" t="str">
        <f>IFERROR(INDEX(样本到样信息汇总统计!V$2:V$500,MATCH(369,样本到样信息汇总统计!$AA$2:$AA$500,0)),"")</f>
        <v/>
      </c>
      <c r="W370" s="4" t="str">
        <f>IFERROR(INDEX(样本到样信息汇总统计!W$2:W$500,MATCH(369,样本到样信息汇总统计!$AA$2:$AA$500,0)),"")</f>
        <v/>
      </c>
    </row>
    <row r="371" ht="14.5" spans="1:23">
      <c r="A371" s="8" t="str">
        <f>IFERROR(INDEX(样本到样信息汇总统计!A$2:A$500,MATCH(370,样本到样信息汇总统计!$AA$2:$AA$500,0)),"")</f>
        <v/>
      </c>
      <c r="B371" s="8" t="str">
        <f>IFERROR(INDEX(样本到样信息汇总统计!B$2:B$500,MATCH(370,样本到样信息汇总统计!$AA$2:$AA$500,0)),"")</f>
        <v/>
      </c>
      <c r="C371" s="8" t="str">
        <f>IFERROR(INDEX(样本到样信息汇总统计!C$2:C$500,MATCH(370,样本到样信息汇总统计!$AA$2:$AA$500,0)),"")</f>
        <v/>
      </c>
      <c r="D371" s="8" t="str">
        <f>IFERROR(INDEX(样本到样信息汇总统计!D$2:D$500,MATCH(370,样本到样信息汇总统计!$AA$2:$AA$500,0)),"")</f>
        <v/>
      </c>
      <c r="E371" s="8" t="str">
        <f>IFERROR(INDEX(样本到样信息汇总统计!E$2:E$500,MATCH(370,样本到样信息汇总统计!$AA$2:$AA$500,0)),"")</f>
        <v/>
      </c>
      <c r="F371" s="8" t="str">
        <f>IFERROR(INDEX(样本到样信息汇总统计!F$2:F$500,MATCH(370,样本到样信息汇总统计!$AA$2:$AA$500,0)),"")</f>
        <v/>
      </c>
      <c r="G371" s="8" t="str">
        <f>IFERROR(INDEX(样本到样信息汇总统计!G$2:G$500,MATCH(370,样本到样信息汇总统计!$AA$2:$AA$500,0)),"")</f>
        <v/>
      </c>
      <c r="H371" s="8" t="str">
        <f>IFERROR(INDEX(样本到样信息汇总统计!H$2:H$500,MATCH(370,样本到样信息汇总统计!$AA$2:$AA$500,0)),"")</f>
        <v/>
      </c>
      <c r="I371" s="8" t="str">
        <f>IFERROR(INDEX(样本到样信息汇总统计!I$2:I$500,MATCH(370,样本到样信息汇总统计!$AA$2:$AA$500,0)),"")</f>
        <v/>
      </c>
      <c r="J371" s="8" t="str">
        <f>IFERROR(INDEX(样本到样信息汇总统计!J$2:J$500,MATCH(370,样本到样信息汇总统计!$AA$2:$AA$500,0)),"")</f>
        <v/>
      </c>
      <c r="K371" s="8" t="str">
        <f>IFERROR(INDEX(样本到样信息汇总统计!K$2:K$500,MATCH(370,样本到样信息汇总统计!$AA$2:$AA$500,0)),"")</f>
        <v/>
      </c>
      <c r="L371" s="8" t="str">
        <f>IFERROR(INDEX(样本到样信息汇总统计!L$2:L$500,MATCH(370,样本到样信息汇总统计!$AA$2:$AA$500,0)),"")</f>
        <v/>
      </c>
      <c r="M371" s="8" t="str">
        <f>IFERROR(INDEX(样本到样信息汇总统计!M$2:M$500,MATCH(370,样本到样信息汇总统计!$AA$2:$AA$500,0)),"")</f>
        <v/>
      </c>
      <c r="N371" s="8" t="str">
        <f>IFERROR(INDEX(样本到样信息汇总统计!N$2:N$500,MATCH(370,样本到样信息汇总统计!$AA$2:$AA$500,0)),"")</f>
        <v/>
      </c>
      <c r="O371" s="8" t="str">
        <f>IFERROR(INDEX(样本到样信息汇总统计!O$2:O$500,MATCH(370,样本到样信息汇总统计!$AA$2:$AA$500,0)),"")</f>
        <v/>
      </c>
      <c r="P371" s="8" t="str">
        <f>IFERROR(INDEX(样本到样信息汇总统计!P$2:P$500,MATCH(370,样本到样信息汇总统计!$AA$2:$AA$500,0)),"")</f>
        <v/>
      </c>
      <c r="Q371" s="8" t="str">
        <f>IFERROR(INDEX(样本到样信息汇总统计!Q$2:Q$500,MATCH(370,样本到样信息汇总统计!$AA$2:$AA$500,0)),"")</f>
        <v/>
      </c>
      <c r="R371" s="8" t="str">
        <f>IFERROR(INDEX(样本到样信息汇总统计!R$2:R$500,MATCH(370,样本到样信息汇总统计!$AA$2:$AA$500,0)),"")</f>
        <v/>
      </c>
      <c r="S371" s="8" t="str">
        <f>IFERROR(INDEX(样本到样信息汇总统计!S$2:S$500,MATCH(370,样本到样信息汇总统计!$AA$2:$AA$500,0)),"")</f>
        <v/>
      </c>
      <c r="T371" s="8" t="str">
        <f>IFERROR(INDEX(样本到样信息汇总统计!T$2:T$500,MATCH(370,样本到样信息汇总统计!$AA$2:$AA$500,0)),"")</f>
        <v/>
      </c>
      <c r="U371" s="8" t="str">
        <f>IFERROR(INDEX(样本到样信息汇总统计!U$2:U$500,MATCH(370,样本到样信息汇总统计!$AA$2:$AA$500,0)),"")</f>
        <v/>
      </c>
      <c r="V371" s="8" t="str">
        <f>IFERROR(INDEX(样本到样信息汇总统计!V$2:V$500,MATCH(370,样本到样信息汇总统计!$AA$2:$AA$500,0)),"")</f>
        <v/>
      </c>
      <c r="W371" s="8" t="str">
        <f>IFERROR(INDEX(样本到样信息汇总统计!W$2:W$500,MATCH(370,样本到样信息汇总统计!$AA$2:$AA$500,0)),"")</f>
        <v/>
      </c>
    </row>
    <row r="372" ht="14.5" spans="1:23">
      <c r="A372" s="4" t="str">
        <f>IFERROR(INDEX(样本到样信息汇总统计!A$2:A$500,MATCH(371,样本到样信息汇总统计!$AA$2:$AA$500,0)),"")</f>
        <v/>
      </c>
      <c r="B372" s="4" t="str">
        <f>IFERROR(INDEX(样本到样信息汇总统计!B$2:B$500,MATCH(371,样本到样信息汇总统计!$AA$2:$AA$500,0)),"")</f>
        <v/>
      </c>
      <c r="C372" s="4" t="str">
        <f>IFERROR(INDEX(样本到样信息汇总统计!C$2:C$500,MATCH(371,样本到样信息汇总统计!$AA$2:$AA$500,0)),"")</f>
        <v/>
      </c>
      <c r="D372" s="4" t="str">
        <f>IFERROR(INDEX(样本到样信息汇总统计!D$2:D$500,MATCH(371,样本到样信息汇总统计!$AA$2:$AA$500,0)),"")</f>
        <v/>
      </c>
      <c r="E372" s="4" t="str">
        <f>IFERROR(INDEX(样本到样信息汇总统计!E$2:E$500,MATCH(371,样本到样信息汇总统计!$AA$2:$AA$500,0)),"")</f>
        <v/>
      </c>
      <c r="F372" s="4" t="str">
        <f>IFERROR(INDEX(样本到样信息汇总统计!F$2:F$500,MATCH(371,样本到样信息汇总统计!$AA$2:$AA$500,0)),"")</f>
        <v/>
      </c>
      <c r="G372" s="4" t="str">
        <f>IFERROR(INDEX(样本到样信息汇总统计!G$2:G$500,MATCH(371,样本到样信息汇总统计!$AA$2:$AA$500,0)),"")</f>
        <v/>
      </c>
      <c r="H372" s="4" t="str">
        <f>IFERROR(INDEX(样本到样信息汇总统计!H$2:H$500,MATCH(371,样本到样信息汇总统计!$AA$2:$AA$500,0)),"")</f>
        <v/>
      </c>
      <c r="I372" s="4" t="str">
        <f>IFERROR(INDEX(样本到样信息汇总统计!I$2:I$500,MATCH(371,样本到样信息汇总统计!$AA$2:$AA$500,0)),"")</f>
        <v/>
      </c>
      <c r="J372" s="4" t="str">
        <f>IFERROR(INDEX(样本到样信息汇总统计!J$2:J$500,MATCH(371,样本到样信息汇总统计!$AA$2:$AA$500,0)),"")</f>
        <v/>
      </c>
      <c r="K372" s="4" t="str">
        <f>IFERROR(INDEX(样本到样信息汇总统计!K$2:K$500,MATCH(371,样本到样信息汇总统计!$AA$2:$AA$500,0)),"")</f>
        <v/>
      </c>
      <c r="L372" s="4" t="str">
        <f>IFERROR(INDEX(样本到样信息汇总统计!L$2:L$500,MATCH(371,样本到样信息汇总统计!$AA$2:$AA$500,0)),"")</f>
        <v/>
      </c>
      <c r="M372" s="4" t="str">
        <f>IFERROR(INDEX(样本到样信息汇总统计!M$2:M$500,MATCH(371,样本到样信息汇总统计!$AA$2:$AA$500,0)),"")</f>
        <v/>
      </c>
      <c r="N372" s="4" t="str">
        <f>IFERROR(INDEX(样本到样信息汇总统计!N$2:N$500,MATCH(371,样本到样信息汇总统计!$AA$2:$AA$500,0)),"")</f>
        <v/>
      </c>
      <c r="O372" s="4" t="str">
        <f>IFERROR(INDEX(样本到样信息汇总统计!O$2:O$500,MATCH(371,样本到样信息汇总统计!$AA$2:$AA$500,0)),"")</f>
        <v/>
      </c>
      <c r="P372" s="4" t="str">
        <f>IFERROR(INDEX(样本到样信息汇总统计!P$2:P$500,MATCH(371,样本到样信息汇总统计!$AA$2:$AA$500,0)),"")</f>
        <v/>
      </c>
      <c r="Q372" s="4" t="str">
        <f>IFERROR(INDEX(样本到样信息汇总统计!Q$2:Q$500,MATCH(371,样本到样信息汇总统计!$AA$2:$AA$500,0)),"")</f>
        <v/>
      </c>
      <c r="R372" s="4" t="str">
        <f>IFERROR(INDEX(样本到样信息汇总统计!R$2:R$500,MATCH(371,样本到样信息汇总统计!$AA$2:$AA$500,0)),"")</f>
        <v/>
      </c>
      <c r="S372" s="4" t="str">
        <f>IFERROR(INDEX(样本到样信息汇总统计!S$2:S$500,MATCH(371,样本到样信息汇总统计!$AA$2:$AA$500,0)),"")</f>
        <v/>
      </c>
      <c r="T372" s="4" t="str">
        <f>IFERROR(INDEX(样本到样信息汇总统计!T$2:T$500,MATCH(371,样本到样信息汇总统计!$AA$2:$AA$500,0)),"")</f>
        <v/>
      </c>
      <c r="U372" s="4" t="str">
        <f>IFERROR(INDEX(样本到样信息汇总统计!U$2:U$500,MATCH(371,样本到样信息汇总统计!$AA$2:$AA$500,0)),"")</f>
        <v/>
      </c>
      <c r="V372" s="4" t="str">
        <f>IFERROR(INDEX(样本到样信息汇总统计!V$2:V$500,MATCH(371,样本到样信息汇总统计!$AA$2:$AA$500,0)),"")</f>
        <v/>
      </c>
      <c r="W372" s="4" t="str">
        <f>IFERROR(INDEX(样本到样信息汇总统计!W$2:W$500,MATCH(371,样本到样信息汇总统计!$AA$2:$AA$500,0)),"")</f>
        <v/>
      </c>
    </row>
    <row r="373" ht="14.5" spans="1:23">
      <c r="A373" s="8" t="str">
        <f>IFERROR(INDEX(样本到样信息汇总统计!A$2:A$500,MATCH(372,样本到样信息汇总统计!$AA$2:$AA$500,0)),"")</f>
        <v/>
      </c>
      <c r="B373" s="8" t="str">
        <f>IFERROR(INDEX(样本到样信息汇总统计!B$2:B$500,MATCH(372,样本到样信息汇总统计!$AA$2:$AA$500,0)),"")</f>
        <v/>
      </c>
      <c r="C373" s="8" t="str">
        <f>IFERROR(INDEX(样本到样信息汇总统计!C$2:C$500,MATCH(372,样本到样信息汇总统计!$AA$2:$AA$500,0)),"")</f>
        <v/>
      </c>
      <c r="D373" s="8" t="str">
        <f>IFERROR(INDEX(样本到样信息汇总统计!D$2:D$500,MATCH(372,样本到样信息汇总统计!$AA$2:$AA$500,0)),"")</f>
        <v/>
      </c>
      <c r="E373" s="8" t="str">
        <f>IFERROR(INDEX(样本到样信息汇总统计!E$2:E$500,MATCH(372,样本到样信息汇总统计!$AA$2:$AA$500,0)),"")</f>
        <v/>
      </c>
      <c r="F373" s="8" t="str">
        <f>IFERROR(INDEX(样本到样信息汇总统计!F$2:F$500,MATCH(372,样本到样信息汇总统计!$AA$2:$AA$500,0)),"")</f>
        <v/>
      </c>
      <c r="G373" s="8" t="str">
        <f>IFERROR(INDEX(样本到样信息汇总统计!G$2:G$500,MATCH(372,样本到样信息汇总统计!$AA$2:$AA$500,0)),"")</f>
        <v/>
      </c>
      <c r="H373" s="8" t="str">
        <f>IFERROR(INDEX(样本到样信息汇总统计!H$2:H$500,MATCH(372,样本到样信息汇总统计!$AA$2:$AA$500,0)),"")</f>
        <v/>
      </c>
      <c r="I373" s="8" t="str">
        <f>IFERROR(INDEX(样本到样信息汇总统计!I$2:I$500,MATCH(372,样本到样信息汇总统计!$AA$2:$AA$500,0)),"")</f>
        <v/>
      </c>
      <c r="J373" s="8" t="str">
        <f>IFERROR(INDEX(样本到样信息汇总统计!J$2:J$500,MATCH(372,样本到样信息汇总统计!$AA$2:$AA$500,0)),"")</f>
        <v/>
      </c>
      <c r="K373" s="8" t="str">
        <f>IFERROR(INDEX(样本到样信息汇总统计!K$2:K$500,MATCH(372,样本到样信息汇总统计!$AA$2:$AA$500,0)),"")</f>
        <v/>
      </c>
      <c r="L373" s="8" t="str">
        <f>IFERROR(INDEX(样本到样信息汇总统计!L$2:L$500,MATCH(372,样本到样信息汇总统计!$AA$2:$AA$500,0)),"")</f>
        <v/>
      </c>
      <c r="M373" s="8" t="str">
        <f>IFERROR(INDEX(样本到样信息汇总统计!M$2:M$500,MATCH(372,样本到样信息汇总统计!$AA$2:$AA$500,0)),"")</f>
        <v/>
      </c>
      <c r="N373" s="8" t="str">
        <f>IFERROR(INDEX(样本到样信息汇总统计!N$2:N$500,MATCH(372,样本到样信息汇总统计!$AA$2:$AA$500,0)),"")</f>
        <v/>
      </c>
      <c r="O373" s="8" t="str">
        <f>IFERROR(INDEX(样本到样信息汇总统计!O$2:O$500,MATCH(372,样本到样信息汇总统计!$AA$2:$AA$500,0)),"")</f>
        <v/>
      </c>
      <c r="P373" s="8" t="str">
        <f>IFERROR(INDEX(样本到样信息汇总统计!P$2:P$500,MATCH(372,样本到样信息汇总统计!$AA$2:$AA$500,0)),"")</f>
        <v/>
      </c>
      <c r="Q373" s="8" t="str">
        <f>IFERROR(INDEX(样本到样信息汇总统计!Q$2:Q$500,MATCH(372,样本到样信息汇总统计!$AA$2:$AA$500,0)),"")</f>
        <v/>
      </c>
      <c r="R373" s="8" t="str">
        <f>IFERROR(INDEX(样本到样信息汇总统计!R$2:R$500,MATCH(372,样本到样信息汇总统计!$AA$2:$AA$500,0)),"")</f>
        <v/>
      </c>
      <c r="S373" s="8" t="str">
        <f>IFERROR(INDEX(样本到样信息汇总统计!S$2:S$500,MATCH(372,样本到样信息汇总统计!$AA$2:$AA$500,0)),"")</f>
        <v/>
      </c>
      <c r="T373" s="8" t="str">
        <f>IFERROR(INDEX(样本到样信息汇总统计!T$2:T$500,MATCH(372,样本到样信息汇总统计!$AA$2:$AA$500,0)),"")</f>
        <v/>
      </c>
      <c r="U373" s="8" t="str">
        <f>IFERROR(INDEX(样本到样信息汇总统计!U$2:U$500,MATCH(372,样本到样信息汇总统计!$AA$2:$AA$500,0)),"")</f>
        <v/>
      </c>
      <c r="V373" s="8" t="str">
        <f>IFERROR(INDEX(样本到样信息汇总统计!V$2:V$500,MATCH(372,样本到样信息汇总统计!$AA$2:$AA$500,0)),"")</f>
        <v/>
      </c>
      <c r="W373" s="8" t="str">
        <f>IFERROR(INDEX(样本到样信息汇总统计!W$2:W$500,MATCH(372,样本到样信息汇总统计!$AA$2:$AA$500,0)),"")</f>
        <v/>
      </c>
    </row>
    <row r="374" ht="14.5" spans="1:23">
      <c r="A374" s="4" t="str">
        <f>IFERROR(INDEX(样本到样信息汇总统计!A$2:A$500,MATCH(373,样本到样信息汇总统计!$AA$2:$AA$500,0)),"")</f>
        <v/>
      </c>
      <c r="B374" s="4" t="str">
        <f>IFERROR(INDEX(样本到样信息汇总统计!B$2:B$500,MATCH(373,样本到样信息汇总统计!$AA$2:$AA$500,0)),"")</f>
        <v/>
      </c>
      <c r="C374" s="4" t="str">
        <f>IFERROR(INDEX(样本到样信息汇总统计!C$2:C$500,MATCH(373,样本到样信息汇总统计!$AA$2:$AA$500,0)),"")</f>
        <v/>
      </c>
      <c r="D374" s="4" t="str">
        <f>IFERROR(INDEX(样本到样信息汇总统计!D$2:D$500,MATCH(373,样本到样信息汇总统计!$AA$2:$AA$500,0)),"")</f>
        <v/>
      </c>
      <c r="E374" s="4" t="str">
        <f>IFERROR(INDEX(样本到样信息汇总统计!E$2:E$500,MATCH(373,样本到样信息汇总统计!$AA$2:$AA$500,0)),"")</f>
        <v/>
      </c>
      <c r="F374" s="4" t="str">
        <f>IFERROR(INDEX(样本到样信息汇总统计!F$2:F$500,MATCH(373,样本到样信息汇总统计!$AA$2:$AA$500,0)),"")</f>
        <v/>
      </c>
      <c r="G374" s="4" t="str">
        <f>IFERROR(INDEX(样本到样信息汇总统计!G$2:G$500,MATCH(373,样本到样信息汇总统计!$AA$2:$AA$500,0)),"")</f>
        <v/>
      </c>
      <c r="H374" s="4" t="str">
        <f>IFERROR(INDEX(样本到样信息汇总统计!H$2:H$500,MATCH(373,样本到样信息汇总统计!$AA$2:$AA$500,0)),"")</f>
        <v/>
      </c>
      <c r="I374" s="4" t="str">
        <f>IFERROR(INDEX(样本到样信息汇总统计!I$2:I$500,MATCH(373,样本到样信息汇总统计!$AA$2:$AA$500,0)),"")</f>
        <v/>
      </c>
      <c r="J374" s="4" t="str">
        <f>IFERROR(INDEX(样本到样信息汇总统计!J$2:J$500,MATCH(373,样本到样信息汇总统计!$AA$2:$AA$500,0)),"")</f>
        <v/>
      </c>
      <c r="K374" s="4" t="str">
        <f>IFERROR(INDEX(样本到样信息汇总统计!K$2:K$500,MATCH(373,样本到样信息汇总统计!$AA$2:$AA$500,0)),"")</f>
        <v/>
      </c>
      <c r="L374" s="4" t="str">
        <f>IFERROR(INDEX(样本到样信息汇总统计!L$2:L$500,MATCH(373,样本到样信息汇总统计!$AA$2:$AA$500,0)),"")</f>
        <v/>
      </c>
      <c r="M374" s="4" t="str">
        <f>IFERROR(INDEX(样本到样信息汇总统计!M$2:M$500,MATCH(373,样本到样信息汇总统计!$AA$2:$AA$500,0)),"")</f>
        <v/>
      </c>
      <c r="N374" s="4" t="str">
        <f>IFERROR(INDEX(样本到样信息汇总统计!N$2:N$500,MATCH(373,样本到样信息汇总统计!$AA$2:$AA$500,0)),"")</f>
        <v/>
      </c>
      <c r="O374" s="4" t="str">
        <f>IFERROR(INDEX(样本到样信息汇总统计!O$2:O$500,MATCH(373,样本到样信息汇总统计!$AA$2:$AA$500,0)),"")</f>
        <v/>
      </c>
      <c r="P374" s="4" t="str">
        <f>IFERROR(INDEX(样本到样信息汇总统计!P$2:P$500,MATCH(373,样本到样信息汇总统计!$AA$2:$AA$500,0)),"")</f>
        <v/>
      </c>
      <c r="Q374" s="4" t="str">
        <f>IFERROR(INDEX(样本到样信息汇总统计!Q$2:Q$500,MATCH(373,样本到样信息汇总统计!$AA$2:$AA$500,0)),"")</f>
        <v/>
      </c>
      <c r="R374" s="4" t="str">
        <f>IFERROR(INDEX(样本到样信息汇总统计!R$2:R$500,MATCH(373,样本到样信息汇总统计!$AA$2:$AA$500,0)),"")</f>
        <v/>
      </c>
      <c r="S374" s="4" t="str">
        <f>IFERROR(INDEX(样本到样信息汇总统计!S$2:S$500,MATCH(373,样本到样信息汇总统计!$AA$2:$AA$500,0)),"")</f>
        <v/>
      </c>
      <c r="T374" s="4" t="str">
        <f>IFERROR(INDEX(样本到样信息汇总统计!T$2:T$500,MATCH(373,样本到样信息汇总统计!$AA$2:$AA$500,0)),"")</f>
        <v/>
      </c>
      <c r="U374" s="4" t="str">
        <f>IFERROR(INDEX(样本到样信息汇总统计!U$2:U$500,MATCH(373,样本到样信息汇总统计!$AA$2:$AA$500,0)),"")</f>
        <v/>
      </c>
      <c r="V374" s="4" t="str">
        <f>IFERROR(INDEX(样本到样信息汇总统计!V$2:V$500,MATCH(373,样本到样信息汇总统计!$AA$2:$AA$500,0)),"")</f>
        <v/>
      </c>
      <c r="W374" s="4" t="str">
        <f>IFERROR(INDEX(样本到样信息汇总统计!W$2:W$500,MATCH(373,样本到样信息汇总统计!$AA$2:$AA$500,0)),"")</f>
        <v/>
      </c>
    </row>
    <row r="375" ht="14.5" spans="1:23">
      <c r="A375" s="8" t="str">
        <f>IFERROR(INDEX(样本到样信息汇总统计!A$2:A$500,MATCH(374,样本到样信息汇总统计!$AA$2:$AA$500,0)),"")</f>
        <v/>
      </c>
      <c r="B375" s="8" t="str">
        <f>IFERROR(INDEX(样本到样信息汇总统计!B$2:B$500,MATCH(374,样本到样信息汇总统计!$AA$2:$AA$500,0)),"")</f>
        <v/>
      </c>
      <c r="C375" s="8" t="str">
        <f>IFERROR(INDEX(样本到样信息汇总统计!C$2:C$500,MATCH(374,样本到样信息汇总统计!$AA$2:$AA$500,0)),"")</f>
        <v/>
      </c>
      <c r="D375" s="8" t="str">
        <f>IFERROR(INDEX(样本到样信息汇总统计!D$2:D$500,MATCH(374,样本到样信息汇总统计!$AA$2:$AA$500,0)),"")</f>
        <v/>
      </c>
      <c r="E375" s="8" t="str">
        <f>IFERROR(INDEX(样本到样信息汇总统计!E$2:E$500,MATCH(374,样本到样信息汇总统计!$AA$2:$AA$500,0)),"")</f>
        <v/>
      </c>
      <c r="F375" s="8" t="str">
        <f>IFERROR(INDEX(样本到样信息汇总统计!F$2:F$500,MATCH(374,样本到样信息汇总统计!$AA$2:$AA$500,0)),"")</f>
        <v/>
      </c>
      <c r="G375" s="8" t="str">
        <f>IFERROR(INDEX(样本到样信息汇总统计!G$2:G$500,MATCH(374,样本到样信息汇总统计!$AA$2:$AA$500,0)),"")</f>
        <v/>
      </c>
      <c r="H375" s="8" t="str">
        <f>IFERROR(INDEX(样本到样信息汇总统计!H$2:H$500,MATCH(374,样本到样信息汇总统计!$AA$2:$AA$500,0)),"")</f>
        <v/>
      </c>
      <c r="I375" s="8" t="str">
        <f>IFERROR(INDEX(样本到样信息汇总统计!I$2:I$500,MATCH(374,样本到样信息汇总统计!$AA$2:$AA$500,0)),"")</f>
        <v/>
      </c>
      <c r="J375" s="8" t="str">
        <f>IFERROR(INDEX(样本到样信息汇总统计!J$2:J$500,MATCH(374,样本到样信息汇总统计!$AA$2:$AA$500,0)),"")</f>
        <v/>
      </c>
      <c r="K375" s="8" t="str">
        <f>IFERROR(INDEX(样本到样信息汇总统计!K$2:K$500,MATCH(374,样本到样信息汇总统计!$AA$2:$AA$500,0)),"")</f>
        <v/>
      </c>
      <c r="L375" s="8" t="str">
        <f>IFERROR(INDEX(样本到样信息汇总统计!L$2:L$500,MATCH(374,样本到样信息汇总统计!$AA$2:$AA$500,0)),"")</f>
        <v/>
      </c>
      <c r="M375" s="8" t="str">
        <f>IFERROR(INDEX(样本到样信息汇总统计!M$2:M$500,MATCH(374,样本到样信息汇总统计!$AA$2:$AA$500,0)),"")</f>
        <v/>
      </c>
      <c r="N375" s="8" t="str">
        <f>IFERROR(INDEX(样本到样信息汇总统计!N$2:N$500,MATCH(374,样本到样信息汇总统计!$AA$2:$AA$500,0)),"")</f>
        <v/>
      </c>
      <c r="O375" s="8" t="str">
        <f>IFERROR(INDEX(样本到样信息汇总统计!O$2:O$500,MATCH(374,样本到样信息汇总统计!$AA$2:$AA$500,0)),"")</f>
        <v/>
      </c>
      <c r="P375" s="8" t="str">
        <f>IFERROR(INDEX(样本到样信息汇总统计!P$2:P$500,MATCH(374,样本到样信息汇总统计!$AA$2:$AA$500,0)),"")</f>
        <v/>
      </c>
      <c r="Q375" s="8" t="str">
        <f>IFERROR(INDEX(样本到样信息汇总统计!Q$2:Q$500,MATCH(374,样本到样信息汇总统计!$AA$2:$AA$500,0)),"")</f>
        <v/>
      </c>
      <c r="R375" s="8" t="str">
        <f>IFERROR(INDEX(样本到样信息汇总统计!R$2:R$500,MATCH(374,样本到样信息汇总统计!$AA$2:$AA$500,0)),"")</f>
        <v/>
      </c>
      <c r="S375" s="8" t="str">
        <f>IFERROR(INDEX(样本到样信息汇总统计!S$2:S$500,MATCH(374,样本到样信息汇总统计!$AA$2:$AA$500,0)),"")</f>
        <v/>
      </c>
      <c r="T375" s="8" t="str">
        <f>IFERROR(INDEX(样本到样信息汇总统计!T$2:T$500,MATCH(374,样本到样信息汇总统计!$AA$2:$AA$500,0)),"")</f>
        <v/>
      </c>
      <c r="U375" s="8" t="str">
        <f>IFERROR(INDEX(样本到样信息汇总统计!U$2:U$500,MATCH(374,样本到样信息汇总统计!$AA$2:$AA$500,0)),"")</f>
        <v/>
      </c>
      <c r="V375" s="8" t="str">
        <f>IFERROR(INDEX(样本到样信息汇总统计!V$2:V$500,MATCH(374,样本到样信息汇总统计!$AA$2:$AA$500,0)),"")</f>
        <v/>
      </c>
      <c r="W375" s="8" t="str">
        <f>IFERROR(INDEX(样本到样信息汇总统计!W$2:W$500,MATCH(374,样本到样信息汇总统计!$AA$2:$AA$500,0)),"")</f>
        <v/>
      </c>
    </row>
    <row r="376" ht="14.5" spans="1:23">
      <c r="A376" s="4" t="str">
        <f>IFERROR(INDEX(样本到样信息汇总统计!A$2:A$500,MATCH(375,样本到样信息汇总统计!$AA$2:$AA$500,0)),"")</f>
        <v/>
      </c>
      <c r="B376" s="4" t="str">
        <f>IFERROR(INDEX(样本到样信息汇总统计!B$2:B$500,MATCH(375,样本到样信息汇总统计!$AA$2:$AA$500,0)),"")</f>
        <v/>
      </c>
      <c r="C376" s="4" t="str">
        <f>IFERROR(INDEX(样本到样信息汇总统计!C$2:C$500,MATCH(375,样本到样信息汇总统计!$AA$2:$AA$500,0)),"")</f>
        <v/>
      </c>
      <c r="D376" s="4" t="str">
        <f>IFERROR(INDEX(样本到样信息汇总统计!D$2:D$500,MATCH(375,样本到样信息汇总统计!$AA$2:$AA$500,0)),"")</f>
        <v/>
      </c>
      <c r="E376" s="4" t="str">
        <f>IFERROR(INDEX(样本到样信息汇总统计!E$2:E$500,MATCH(375,样本到样信息汇总统计!$AA$2:$AA$500,0)),"")</f>
        <v/>
      </c>
      <c r="F376" s="4" t="str">
        <f>IFERROR(INDEX(样本到样信息汇总统计!F$2:F$500,MATCH(375,样本到样信息汇总统计!$AA$2:$AA$500,0)),"")</f>
        <v/>
      </c>
      <c r="G376" s="4" t="str">
        <f>IFERROR(INDEX(样本到样信息汇总统计!G$2:G$500,MATCH(375,样本到样信息汇总统计!$AA$2:$AA$500,0)),"")</f>
        <v/>
      </c>
      <c r="H376" s="4" t="str">
        <f>IFERROR(INDEX(样本到样信息汇总统计!H$2:H$500,MATCH(375,样本到样信息汇总统计!$AA$2:$AA$500,0)),"")</f>
        <v/>
      </c>
      <c r="I376" s="4" t="str">
        <f>IFERROR(INDEX(样本到样信息汇总统计!I$2:I$500,MATCH(375,样本到样信息汇总统计!$AA$2:$AA$500,0)),"")</f>
        <v/>
      </c>
      <c r="J376" s="4" t="str">
        <f>IFERROR(INDEX(样本到样信息汇总统计!J$2:J$500,MATCH(375,样本到样信息汇总统计!$AA$2:$AA$500,0)),"")</f>
        <v/>
      </c>
      <c r="K376" s="4" t="str">
        <f>IFERROR(INDEX(样本到样信息汇总统计!K$2:K$500,MATCH(375,样本到样信息汇总统计!$AA$2:$AA$500,0)),"")</f>
        <v/>
      </c>
      <c r="L376" s="4" t="str">
        <f>IFERROR(INDEX(样本到样信息汇总统计!L$2:L$500,MATCH(375,样本到样信息汇总统计!$AA$2:$AA$500,0)),"")</f>
        <v/>
      </c>
      <c r="M376" s="4" t="str">
        <f>IFERROR(INDEX(样本到样信息汇总统计!M$2:M$500,MATCH(375,样本到样信息汇总统计!$AA$2:$AA$500,0)),"")</f>
        <v/>
      </c>
      <c r="N376" s="4" t="str">
        <f>IFERROR(INDEX(样本到样信息汇总统计!N$2:N$500,MATCH(375,样本到样信息汇总统计!$AA$2:$AA$500,0)),"")</f>
        <v/>
      </c>
      <c r="O376" s="4" t="str">
        <f>IFERROR(INDEX(样本到样信息汇总统计!O$2:O$500,MATCH(375,样本到样信息汇总统计!$AA$2:$AA$500,0)),"")</f>
        <v/>
      </c>
      <c r="P376" s="4" t="str">
        <f>IFERROR(INDEX(样本到样信息汇总统计!P$2:P$500,MATCH(375,样本到样信息汇总统计!$AA$2:$AA$500,0)),"")</f>
        <v/>
      </c>
      <c r="Q376" s="4" t="str">
        <f>IFERROR(INDEX(样本到样信息汇总统计!Q$2:Q$500,MATCH(375,样本到样信息汇总统计!$AA$2:$AA$500,0)),"")</f>
        <v/>
      </c>
      <c r="R376" s="4" t="str">
        <f>IFERROR(INDEX(样本到样信息汇总统计!R$2:R$500,MATCH(375,样本到样信息汇总统计!$AA$2:$AA$500,0)),"")</f>
        <v/>
      </c>
      <c r="S376" s="4" t="str">
        <f>IFERROR(INDEX(样本到样信息汇总统计!S$2:S$500,MATCH(375,样本到样信息汇总统计!$AA$2:$AA$500,0)),"")</f>
        <v/>
      </c>
      <c r="T376" s="4" t="str">
        <f>IFERROR(INDEX(样本到样信息汇总统计!T$2:T$500,MATCH(375,样本到样信息汇总统计!$AA$2:$AA$500,0)),"")</f>
        <v/>
      </c>
      <c r="U376" s="4" t="str">
        <f>IFERROR(INDEX(样本到样信息汇总统计!U$2:U$500,MATCH(375,样本到样信息汇总统计!$AA$2:$AA$500,0)),"")</f>
        <v/>
      </c>
      <c r="V376" s="4" t="str">
        <f>IFERROR(INDEX(样本到样信息汇总统计!V$2:V$500,MATCH(375,样本到样信息汇总统计!$AA$2:$AA$500,0)),"")</f>
        <v/>
      </c>
      <c r="W376" s="4" t="str">
        <f>IFERROR(INDEX(样本到样信息汇总统计!W$2:W$500,MATCH(375,样本到样信息汇总统计!$AA$2:$AA$500,0)),"")</f>
        <v/>
      </c>
    </row>
    <row r="377" ht="14.5" spans="1:23">
      <c r="A377" s="8" t="str">
        <f>IFERROR(INDEX(样本到样信息汇总统计!A$2:A$500,MATCH(376,样本到样信息汇总统计!$AA$2:$AA$500,0)),"")</f>
        <v/>
      </c>
      <c r="B377" s="8" t="str">
        <f>IFERROR(INDEX(样本到样信息汇总统计!B$2:B$500,MATCH(376,样本到样信息汇总统计!$AA$2:$AA$500,0)),"")</f>
        <v/>
      </c>
      <c r="C377" s="8" t="str">
        <f>IFERROR(INDEX(样本到样信息汇总统计!C$2:C$500,MATCH(376,样本到样信息汇总统计!$AA$2:$AA$500,0)),"")</f>
        <v/>
      </c>
      <c r="D377" s="8" t="str">
        <f>IFERROR(INDEX(样本到样信息汇总统计!D$2:D$500,MATCH(376,样本到样信息汇总统计!$AA$2:$AA$500,0)),"")</f>
        <v/>
      </c>
      <c r="E377" s="8" t="str">
        <f>IFERROR(INDEX(样本到样信息汇总统计!E$2:E$500,MATCH(376,样本到样信息汇总统计!$AA$2:$AA$500,0)),"")</f>
        <v/>
      </c>
      <c r="F377" s="8" t="str">
        <f>IFERROR(INDEX(样本到样信息汇总统计!F$2:F$500,MATCH(376,样本到样信息汇总统计!$AA$2:$AA$500,0)),"")</f>
        <v/>
      </c>
      <c r="G377" s="8" t="str">
        <f>IFERROR(INDEX(样本到样信息汇总统计!G$2:G$500,MATCH(376,样本到样信息汇总统计!$AA$2:$AA$500,0)),"")</f>
        <v/>
      </c>
      <c r="H377" s="8" t="str">
        <f>IFERROR(INDEX(样本到样信息汇总统计!H$2:H$500,MATCH(376,样本到样信息汇总统计!$AA$2:$AA$500,0)),"")</f>
        <v/>
      </c>
      <c r="I377" s="8" t="str">
        <f>IFERROR(INDEX(样本到样信息汇总统计!I$2:I$500,MATCH(376,样本到样信息汇总统计!$AA$2:$AA$500,0)),"")</f>
        <v/>
      </c>
      <c r="J377" s="8" t="str">
        <f>IFERROR(INDEX(样本到样信息汇总统计!J$2:J$500,MATCH(376,样本到样信息汇总统计!$AA$2:$AA$500,0)),"")</f>
        <v/>
      </c>
      <c r="K377" s="8" t="str">
        <f>IFERROR(INDEX(样本到样信息汇总统计!K$2:K$500,MATCH(376,样本到样信息汇总统计!$AA$2:$AA$500,0)),"")</f>
        <v/>
      </c>
      <c r="L377" s="8" t="str">
        <f>IFERROR(INDEX(样本到样信息汇总统计!L$2:L$500,MATCH(376,样本到样信息汇总统计!$AA$2:$AA$500,0)),"")</f>
        <v/>
      </c>
      <c r="M377" s="8" t="str">
        <f>IFERROR(INDEX(样本到样信息汇总统计!M$2:M$500,MATCH(376,样本到样信息汇总统计!$AA$2:$AA$500,0)),"")</f>
        <v/>
      </c>
      <c r="N377" s="8" t="str">
        <f>IFERROR(INDEX(样本到样信息汇总统计!N$2:N$500,MATCH(376,样本到样信息汇总统计!$AA$2:$AA$500,0)),"")</f>
        <v/>
      </c>
      <c r="O377" s="8" t="str">
        <f>IFERROR(INDEX(样本到样信息汇总统计!O$2:O$500,MATCH(376,样本到样信息汇总统计!$AA$2:$AA$500,0)),"")</f>
        <v/>
      </c>
      <c r="P377" s="8" t="str">
        <f>IFERROR(INDEX(样本到样信息汇总统计!P$2:P$500,MATCH(376,样本到样信息汇总统计!$AA$2:$AA$500,0)),"")</f>
        <v/>
      </c>
      <c r="Q377" s="8" t="str">
        <f>IFERROR(INDEX(样本到样信息汇总统计!Q$2:Q$500,MATCH(376,样本到样信息汇总统计!$AA$2:$AA$500,0)),"")</f>
        <v/>
      </c>
      <c r="R377" s="8" t="str">
        <f>IFERROR(INDEX(样本到样信息汇总统计!R$2:R$500,MATCH(376,样本到样信息汇总统计!$AA$2:$AA$500,0)),"")</f>
        <v/>
      </c>
      <c r="S377" s="8" t="str">
        <f>IFERROR(INDEX(样本到样信息汇总统计!S$2:S$500,MATCH(376,样本到样信息汇总统计!$AA$2:$AA$500,0)),"")</f>
        <v/>
      </c>
      <c r="T377" s="8" t="str">
        <f>IFERROR(INDEX(样本到样信息汇总统计!T$2:T$500,MATCH(376,样本到样信息汇总统计!$AA$2:$AA$500,0)),"")</f>
        <v/>
      </c>
      <c r="U377" s="8" t="str">
        <f>IFERROR(INDEX(样本到样信息汇总统计!U$2:U$500,MATCH(376,样本到样信息汇总统计!$AA$2:$AA$500,0)),"")</f>
        <v/>
      </c>
      <c r="V377" s="8" t="str">
        <f>IFERROR(INDEX(样本到样信息汇总统计!V$2:V$500,MATCH(376,样本到样信息汇总统计!$AA$2:$AA$500,0)),"")</f>
        <v/>
      </c>
      <c r="W377" s="8" t="str">
        <f>IFERROR(INDEX(样本到样信息汇总统计!W$2:W$500,MATCH(376,样本到样信息汇总统计!$AA$2:$AA$500,0)),"")</f>
        <v/>
      </c>
    </row>
    <row r="378" ht="14.5" spans="1:23">
      <c r="A378" s="4" t="str">
        <f>IFERROR(INDEX(样本到样信息汇总统计!A$2:A$500,MATCH(377,样本到样信息汇总统计!$AA$2:$AA$500,0)),"")</f>
        <v/>
      </c>
      <c r="B378" s="4" t="str">
        <f>IFERROR(INDEX(样本到样信息汇总统计!B$2:B$500,MATCH(377,样本到样信息汇总统计!$AA$2:$AA$500,0)),"")</f>
        <v/>
      </c>
      <c r="C378" s="4" t="str">
        <f>IFERROR(INDEX(样本到样信息汇总统计!C$2:C$500,MATCH(377,样本到样信息汇总统计!$AA$2:$AA$500,0)),"")</f>
        <v/>
      </c>
      <c r="D378" s="4" t="str">
        <f>IFERROR(INDEX(样本到样信息汇总统计!D$2:D$500,MATCH(377,样本到样信息汇总统计!$AA$2:$AA$500,0)),"")</f>
        <v/>
      </c>
      <c r="E378" s="4" t="str">
        <f>IFERROR(INDEX(样本到样信息汇总统计!E$2:E$500,MATCH(377,样本到样信息汇总统计!$AA$2:$AA$500,0)),"")</f>
        <v/>
      </c>
      <c r="F378" s="4" t="str">
        <f>IFERROR(INDEX(样本到样信息汇总统计!F$2:F$500,MATCH(377,样本到样信息汇总统计!$AA$2:$AA$500,0)),"")</f>
        <v/>
      </c>
      <c r="G378" s="4" t="str">
        <f>IFERROR(INDEX(样本到样信息汇总统计!G$2:G$500,MATCH(377,样本到样信息汇总统计!$AA$2:$AA$500,0)),"")</f>
        <v/>
      </c>
      <c r="H378" s="4" t="str">
        <f>IFERROR(INDEX(样本到样信息汇总统计!H$2:H$500,MATCH(377,样本到样信息汇总统计!$AA$2:$AA$500,0)),"")</f>
        <v/>
      </c>
      <c r="I378" s="4" t="str">
        <f>IFERROR(INDEX(样本到样信息汇总统计!I$2:I$500,MATCH(377,样本到样信息汇总统计!$AA$2:$AA$500,0)),"")</f>
        <v/>
      </c>
      <c r="J378" s="4" t="str">
        <f>IFERROR(INDEX(样本到样信息汇总统计!J$2:J$500,MATCH(377,样本到样信息汇总统计!$AA$2:$AA$500,0)),"")</f>
        <v/>
      </c>
      <c r="K378" s="4" t="str">
        <f>IFERROR(INDEX(样本到样信息汇总统计!K$2:K$500,MATCH(377,样本到样信息汇总统计!$AA$2:$AA$500,0)),"")</f>
        <v/>
      </c>
      <c r="L378" s="4" t="str">
        <f>IFERROR(INDEX(样本到样信息汇总统计!L$2:L$500,MATCH(377,样本到样信息汇总统计!$AA$2:$AA$500,0)),"")</f>
        <v/>
      </c>
      <c r="M378" s="4" t="str">
        <f>IFERROR(INDEX(样本到样信息汇总统计!M$2:M$500,MATCH(377,样本到样信息汇总统计!$AA$2:$AA$500,0)),"")</f>
        <v/>
      </c>
      <c r="N378" s="4" t="str">
        <f>IFERROR(INDEX(样本到样信息汇总统计!N$2:N$500,MATCH(377,样本到样信息汇总统计!$AA$2:$AA$500,0)),"")</f>
        <v/>
      </c>
      <c r="O378" s="4" t="str">
        <f>IFERROR(INDEX(样本到样信息汇总统计!O$2:O$500,MATCH(377,样本到样信息汇总统计!$AA$2:$AA$500,0)),"")</f>
        <v/>
      </c>
      <c r="P378" s="4" t="str">
        <f>IFERROR(INDEX(样本到样信息汇总统计!P$2:P$500,MATCH(377,样本到样信息汇总统计!$AA$2:$AA$500,0)),"")</f>
        <v/>
      </c>
      <c r="Q378" s="4" t="str">
        <f>IFERROR(INDEX(样本到样信息汇总统计!Q$2:Q$500,MATCH(377,样本到样信息汇总统计!$AA$2:$AA$500,0)),"")</f>
        <v/>
      </c>
      <c r="R378" s="4" t="str">
        <f>IFERROR(INDEX(样本到样信息汇总统计!R$2:R$500,MATCH(377,样本到样信息汇总统计!$AA$2:$AA$500,0)),"")</f>
        <v/>
      </c>
      <c r="S378" s="4" t="str">
        <f>IFERROR(INDEX(样本到样信息汇总统计!S$2:S$500,MATCH(377,样本到样信息汇总统计!$AA$2:$AA$500,0)),"")</f>
        <v/>
      </c>
      <c r="T378" s="4" t="str">
        <f>IFERROR(INDEX(样本到样信息汇总统计!T$2:T$500,MATCH(377,样本到样信息汇总统计!$AA$2:$AA$500,0)),"")</f>
        <v/>
      </c>
      <c r="U378" s="4" t="str">
        <f>IFERROR(INDEX(样本到样信息汇总统计!U$2:U$500,MATCH(377,样本到样信息汇总统计!$AA$2:$AA$500,0)),"")</f>
        <v/>
      </c>
      <c r="V378" s="4" t="str">
        <f>IFERROR(INDEX(样本到样信息汇总统计!V$2:V$500,MATCH(377,样本到样信息汇总统计!$AA$2:$AA$500,0)),"")</f>
        <v/>
      </c>
      <c r="W378" s="4" t="str">
        <f>IFERROR(INDEX(样本到样信息汇总统计!W$2:W$500,MATCH(377,样本到样信息汇总统计!$AA$2:$AA$500,0)),"")</f>
        <v/>
      </c>
    </row>
    <row r="379" ht="14.5" spans="1:23">
      <c r="A379" s="8" t="str">
        <f>IFERROR(INDEX(样本到样信息汇总统计!A$2:A$500,MATCH(378,样本到样信息汇总统计!$AA$2:$AA$500,0)),"")</f>
        <v/>
      </c>
      <c r="B379" s="8" t="str">
        <f>IFERROR(INDEX(样本到样信息汇总统计!B$2:B$500,MATCH(378,样本到样信息汇总统计!$AA$2:$AA$500,0)),"")</f>
        <v/>
      </c>
      <c r="C379" s="8" t="str">
        <f>IFERROR(INDEX(样本到样信息汇总统计!C$2:C$500,MATCH(378,样本到样信息汇总统计!$AA$2:$AA$500,0)),"")</f>
        <v/>
      </c>
      <c r="D379" s="8" t="str">
        <f>IFERROR(INDEX(样本到样信息汇总统计!D$2:D$500,MATCH(378,样本到样信息汇总统计!$AA$2:$AA$500,0)),"")</f>
        <v/>
      </c>
      <c r="E379" s="8" t="str">
        <f>IFERROR(INDEX(样本到样信息汇总统计!E$2:E$500,MATCH(378,样本到样信息汇总统计!$AA$2:$AA$500,0)),"")</f>
        <v/>
      </c>
      <c r="F379" s="8" t="str">
        <f>IFERROR(INDEX(样本到样信息汇总统计!F$2:F$500,MATCH(378,样本到样信息汇总统计!$AA$2:$AA$500,0)),"")</f>
        <v/>
      </c>
      <c r="G379" s="8" t="str">
        <f>IFERROR(INDEX(样本到样信息汇总统计!G$2:G$500,MATCH(378,样本到样信息汇总统计!$AA$2:$AA$500,0)),"")</f>
        <v/>
      </c>
      <c r="H379" s="8" t="str">
        <f>IFERROR(INDEX(样本到样信息汇总统计!H$2:H$500,MATCH(378,样本到样信息汇总统计!$AA$2:$AA$500,0)),"")</f>
        <v/>
      </c>
      <c r="I379" s="8" t="str">
        <f>IFERROR(INDEX(样本到样信息汇总统计!I$2:I$500,MATCH(378,样本到样信息汇总统计!$AA$2:$AA$500,0)),"")</f>
        <v/>
      </c>
      <c r="J379" s="8" t="str">
        <f>IFERROR(INDEX(样本到样信息汇总统计!J$2:J$500,MATCH(378,样本到样信息汇总统计!$AA$2:$AA$500,0)),"")</f>
        <v/>
      </c>
      <c r="K379" s="8" t="str">
        <f>IFERROR(INDEX(样本到样信息汇总统计!K$2:K$500,MATCH(378,样本到样信息汇总统计!$AA$2:$AA$500,0)),"")</f>
        <v/>
      </c>
      <c r="L379" s="8" t="str">
        <f>IFERROR(INDEX(样本到样信息汇总统计!L$2:L$500,MATCH(378,样本到样信息汇总统计!$AA$2:$AA$500,0)),"")</f>
        <v/>
      </c>
      <c r="M379" s="8" t="str">
        <f>IFERROR(INDEX(样本到样信息汇总统计!M$2:M$500,MATCH(378,样本到样信息汇总统计!$AA$2:$AA$500,0)),"")</f>
        <v/>
      </c>
      <c r="N379" s="8" t="str">
        <f>IFERROR(INDEX(样本到样信息汇总统计!N$2:N$500,MATCH(378,样本到样信息汇总统计!$AA$2:$AA$500,0)),"")</f>
        <v/>
      </c>
      <c r="O379" s="8" t="str">
        <f>IFERROR(INDEX(样本到样信息汇总统计!O$2:O$500,MATCH(378,样本到样信息汇总统计!$AA$2:$AA$500,0)),"")</f>
        <v/>
      </c>
      <c r="P379" s="8" t="str">
        <f>IFERROR(INDEX(样本到样信息汇总统计!P$2:P$500,MATCH(378,样本到样信息汇总统计!$AA$2:$AA$500,0)),"")</f>
        <v/>
      </c>
      <c r="Q379" s="8" t="str">
        <f>IFERROR(INDEX(样本到样信息汇总统计!Q$2:Q$500,MATCH(378,样本到样信息汇总统计!$AA$2:$AA$500,0)),"")</f>
        <v/>
      </c>
      <c r="R379" s="8" t="str">
        <f>IFERROR(INDEX(样本到样信息汇总统计!R$2:R$500,MATCH(378,样本到样信息汇总统计!$AA$2:$AA$500,0)),"")</f>
        <v/>
      </c>
      <c r="S379" s="8" t="str">
        <f>IFERROR(INDEX(样本到样信息汇总统计!S$2:S$500,MATCH(378,样本到样信息汇总统计!$AA$2:$AA$500,0)),"")</f>
        <v/>
      </c>
      <c r="T379" s="8" t="str">
        <f>IFERROR(INDEX(样本到样信息汇总统计!T$2:T$500,MATCH(378,样本到样信息汇总统计!$AA$2:$AA$500,0)),"")</f>
        <v/>
      </c>
      <c r="U379" s="8" t="str">
        <f>IFERROR(INDEX(样本到样信息汇总统计!U$2:U$500,MATCH(378,样本到样信息汇总统计!$AA$2:$AA$500,0)),"")</f>
        <v/>
      </c>
      <c r="V379" s="8" t="str">
        <f>IFERROR(INDEX(样本到样信息汇总统计!V$2:V$500,MATCH(378,样本到样信息汇总统计!$AA$2:$AA$500,0)),"")</f>
        <v/>
      </c>
      <c r="W379" s="8" t="str">
        <f>IFERROR(INDEX(样本到样信息汇总统计!W$2:W$500,MATCH(378,样本到样信息汇总统计!$AA$2:$AA$500,0)),"")</f>
        <v/>
      </c>
    </row>
    <row r="380" ht="14.5" spans="1:23">
      <c r="A380" s="4" t="str">
        <f>IFERROR(INDEX(样本到样信息汇总统计!A$2:A$500,MATCH(379,样本到样信息汇总统计!$AA$2:$AA$500,0)),"")</f>
        <v/>
      </c>
      <c r="B380" s="4" t="str">
        <f>IFERROR(INDEX(样本到样信息汇总统计!B$2:B$500,MATCH(379,样本到样信息汇总统计!$AA$2:$AA$500,0)),"")</f>
        <v/>
      </c>
      <c r="C380" s="4" t="str">
        <f>IFERROR(INDEX(样本到样信息汇总统计!C$2:C$500,MATCH(379,样本到样信息汇总统计!$AA$2:$AA$500,0)),"")</f>
        <v/>
      </c>
      <c r="D380" s="4" t="str">
        <f>IFERROR(INDEX(样本到样信息汇总统计!D$2:D$500,MATCH(379,样本到样信息汇总统计!$AA$2:$AA$500,0)),"")</f>
        <v/>
      </c>
      <c r="E380" s="4" t="str">
        <f>IFERROR(INDEX(样本到样信息汇总统计!E$2:E$500,MATCH(379,样本到样信息汇总统计!$AA$2:$AA$500,0)),"")</f>
        <v/>
      </c>
      <c r="F380" s="4" t="str">
        <f>IFERROR(INDEX(样本到样信息汇总统计!F$2:F$500,MATCH(379,样本到样信息汇总统计!$AA$2:$AA$500,0)),"")</f>
        <v/>
      </c>
      <c r="G380" s="4" t="str">
        <f>IFERROR(INDEX(样本到样信息汇总统计!G$2:G$500,MATCH(379,样本到样信息汇总统计!$AA$2:$AA$500,0)),"")</f>
        <v/>
      </c>
      <c r="H380" s="4" t="str">
        <f>IFERROR(INDEX(样本到样信息汇总统计!H$2:H$500,MATCH(379,样本到样信息汇总统计!$AA$2:$AA$500,0)),"")</f>
        <v/>
      </c>
      <c r="I380" s="4" t="str">
        <f>IFERROR(INDEX(样本到样信息汇总统计!I$2:I$500,MATCH(379,样本到样信息汇总统计!$AA$2:$AA$500,0)),"")</f>
        <v/>
      </c>
      <c r="J380" s="4" t="str">
        <f>IFERROR(INDEX(样本到样信息汇总统计!J$2:J$500,MATCH(379,样本到样信息汇总统计!$AA$2:$AA$500,0)),"")</f>
        <v/>
      </c>
      <c r="K380" s="4" t="str">
        <f>IFERROR(INDEX(样本到样信息汇总统计!K$2:K$500,MATCH(379,样本到样信息汇总统计!$AA$2:$AA$500,0)),"")</f>
        <v/>
      </c>
      <c r="L380" s="4" t="str">
        <f>IFERROR(INDEX(样本到样信息汇总统计!L$2:L$500,MATCH(379,样本到样信息汇总统计!$AA$2:$AA$500,0)),"")</f>
        <v/>
      </c>
      <c r="M380" s="4" t="str">
        <f>IFERROR(INDEX(样本到样信息汇总统计!M$2:M$500,MATCH(379,样本到样信息汇总统计!$AA$2:$AA$500,0)),"")</f>
        <v/>
      </c>
      <c r="N380" s="4" t="str">
        <f>IFERROR(INDEX(样本到样信息汇总统计!N$2:N$500,MATCH(379,样本到样信息汇总统计!$AA$2:$AA$500,0)),"")</f>
        <v/>
      </c>
      <c r="O380" s="4" t="str">
        <f>IFERROR(INDEX(样本到样信息汇总统计!O$2:O$500,MATCH(379,样本到样信息汇总统计!$AA$2:$AA$500,0)),"")</f>
        <v/>
      </c>
      <c r="P380" s="4" t="str">
        <f>IFERROR(INDEX(样本到样信息汇总统计!P$2:P$500,MATCH(379,样本到样信息汇总统计!$AA$2:$AA$500,0)),"")</f>
        <v/>
      </c>
      <c r="Q380" s="4" t="str">
        <f>IFERROR(INDEX(样本到样信息汇总统计!Q$2:Q$500,MATCH(379,样本到样信息汇总统计!$AA$2:$AA$500,0)),"")</f>
        <v/>
      </c>
      <c r="R380" s="4" t="str">
        <f>IFERROR(INDEX(样本到样信息汇总统计!R$2:R$500,MATCH(379,样本到样信息汇总统计!$AA$2:$AA$500,0)),"")</f>
        <v/>
      </c>
      <c r="S380" s="4" t="str">
        <f>IFERROR(INDEX(样本到样信息汇总统计!S$2:S$500,MATCH(379,样本到样信息汇总统计!$AA$2:$AA$500,0)),"")</f>
        <v/>
      </c>
      <c r="T380" s="4" t="str">
        <f>IFERROR(INDEX(样本到样信息汇总统计!T$2:T$500,MATCH(379,样本到样信息汇总统计!$AA$2:$AA$500,0)),"")</f>
        <v/>
      </c>
      <c r="U380" s="4" t="str">
        <f>IFERROR(INDEX(样本到样信息汇总统计!U$2:U$500,MATCH(379,样本到样信息汇总统计!$AA$2:$AA$500,0)),"")</f>
        <v/>
      </c>
      <c r="V380" s="4" t="str">
        <f>IFERROR(INDEX(样本到样信息汇总统计!V$2:V$500,MATCH(379,样本到样信息汇总统计!$AA$2:$AA$500,0)),"")</f>
        <v/>
      </c>
      <c r="W380" s="4" t="str">
        <f>IFERROR(INDEX(样本到样信息汇总统计!W$2:W$500,MATCH(379,样本到样信息汇总统计!$AA$2:$AA$500,0)),"")</f>
        <v/>
      </c>
    </row>
    <row r="381" ht="14.5" spans="1:23">
      <c r="A381" s="8" t="str">
        <f>IFERROR(INDEX(样本到样信息汇总统计!A$2:A$500,MATCH(380,样本到样信息汇总统计!$AA$2:$AA$500,0)),"")</f>
        <v/>
      </c>
      <c r="B381" s="8" t="str">
        <f>IFERROR(INDEX(样本到样信息汇总统计!B$2:B$500,MATCH(380,样本到样信息汇总统计!$AA$2:$AA$500,0)),"")</f>
        <v/>
      </c>
      <c r="C381" s="8" t="str">
        <f>IFERROR(INDEX(样本到样信息汇总统计!C$2:C$500,MATCH(380,样本到样信息汇总统计!$AA$2:$AA$500,0)),"")</f>
        <v/>
      </c>
      <c r="D381" s="8" t="str">
        <f>IFERROR(INDEX(样本到样信息汇总统计!D$2:D$500,MATCH(380,样本到样信息汇总统计!$AA$2:$AA$500,0)),"")</f>
        <v/>
      </c>
      <c r="E381" s="8" t="str">
        <f>IFERROR(INDEX(样本到样信息汇总统计!E$2:E$500,MATCH(380,样本到样信息汇总统计!$AA$2:$AA$500,0)),"")</f>
        <v/>
      </c>
      <c r="F381" s="8" t="str">
        <f>IFERROR(INDEX(样本到样信息汇总统计!F$2:F$500,MATCH(380,样本到样信息汇总统计!$AA$2:$AA$500,0)),"")</f>
        <v/>
      </c>
      <c r="G381" s="8" t="str">
        <f>IFERROR(INDEX(样本到样信息汇总统计!G$2:G$500,MATCH(380,样本到样信息汇总统计!$AA$2:$AA$500,0)),"")</f>
        <v/>
      </c>
      <c r="H381" s="8" t="str">
        <f>IFERROR(INDEX(样本到样信息汇总统计!H$2:H$500,MATCH(380,样本到样信息汇总统计!$AA$2:$AA$500,0)),"")</f>
        <v/>
      </c>
      <c r="I381" s="8" t="str">
        <f>IFERROR(INDEX(样本到样信息汇总统计!I$2:I$500,MATCH(380,样本到样信息汇总统计!$AA$2:$AA$500,0)),"")</f>
        <v/>
      </c>
      <c r="J381" s="8" t="str">
        <f>IFERROR(INDEX(样本到样信息汇总统计!J$2:J$500,MATCH(380,样本到样信息汇总统计!$AA$2:$AA$500,0)),"")</f>
        <v/>
      </c>
      <c r="K381" s="8" t="str">
        <f>IFERROR(INDEX(样本到样信息汇总统计!K$2:K$500,MATCH(380,样本到样信息汇总统计!$AA$2:$AA$500,0)),"")</f>
        <v/>
      </c>
      <c r="L381" s="8" t="str">
        <f>IFERROR(INDEX(样本到样信息汇总统计!L$2:L$500,MATCH(380,样本到样信息汇总统计!$AA$2:$AA$500,0)),"")</f>
        <v/>
      </c>
      <c r="M381" s="8" t="str">
        <f>IFERROR(INDEX(样本到样信息汇总统计!M$2:M$500,MATCH(380,样本到样信息汇总统计!$AA$2:$AA$500,0)),"")</f>
        <v/>
      </c>
      <c r="N381" s="8" t="str">
        <f>IFERROR(INDEX(样本到样信息汇总统计!N$2:N$500,MATCH(380,样本到样信息汇总统计!$AA$2:$AA$500,0)),"")</f>
        <v/>
      </c>
      <c r="O381" s="8" t="str">
        <f>IFERROR(INDEX(样本到样信息汇总统计!O$2:O$500,MATCH(380,样本到样信息汇总统计!$AA$2:$AA$500,0)),"")</f>
        <v/>
      </c>
      <c r="P381" s="8" t="str">
        <f>IFERROR(INDEX(样本到样信息汇总统计!P$2:P$500,MATCH(380,样本到样信息汇总统计!$AA$2:$AA$500,0)),"")</f>
        <v/>
      </c>
      <c r="Q381" s="8" t="str">
        <f>IFERROR(INDEX(样本到样信息汇总统计!Q$2:Q$500,MATCH(380,样本到样信息汇总统计!$AA$2:$AA$500,0)),"")</f>
        <v/>
      </c>
      <c r="R381" s="8" t="str">
        <f>IFERROR(INDEX(样本到样信息汇总统计!R$2:R$500,MATCH(380,样本到样信息汇总统计!$AA$2:$AA$500,0)),"")</f>
        <v/>
      </c>
      <c r="S381" s="8" t="str">
        <f>IFERROR(INDEX(样本到样信息汇总统计!S$2:S$500,MATCH(380,样本到样信息汇总统计!$AA$2:$AA$500,0)),"")</f>
        <v/>
      </c>
      <c r="T381" s="8" t="str">
        <f>IFERROR(INDEX(样本到样信息汇总统计!T$2:T$500,MATCH(380,样本到样信息汇总统计!$AA$2:$AA$500,0)),"")</f>
        <v/>
      </c>
      <c r="U381" s="8" t="str">
        <f>IFERROR(INDEX(样本到样信息汇总统计!U$2:U$500,MATCH(380,样本到样信息汇总统计!$AA$2:$AA$500,0)),"")</f>
        <v/>
      </c>
      <c r="V381" s="8" t="str">
        <f>IFERROR(INDEX(样本到样信息汇总统计!V$2:V$500,MATCH(380,样本到样信息汇总统计!$AA$2:$AA$500,0)),"")</f>
        <v/>
      </c>
      <c r="W381" s="8" t="str">
        <f>IFERROR(INDEX(样本到样信息汇总统计!W$2:W$500,MATCH(380,样本到样信息汇总统计!$AA$2:$AA$500,0)),"")</f>
        <v/>
      </c>
    </row>
    <row r="382" ht="14.5" spans="1:23">
      <c r="A382" s="4" t="str">
        <f>IFERROR(INDEX(样本到样信息汇总统计!A$2:A$500,MATCH(381,样本到样信息汇总统计!$AA$2:$AA$500,0)),"")</f>
        <v/>
      </c>
      <c r="B382" s="4" t="str">
        <f>IFERROR(INDEX(样本到样信息汇总统计!B$2:B$500,MATCH(381,样本到样信息汇总统计!$AA$2:$AA$500,0)),"")</f>
        <v/>
      </c>
      <c r="C382" s="4" t="str">
        <f>IFERROR(INDEX(样本到样信息汇总统计!C$2:C$500,MATCH(381,样本到样信息汇总统计!$AA$2:$AA$500,0)),"")</f>
        <v/>
      </c>
      <c r="D382" s="4" t="str">
        <f>IFERROR(INDEX(样本到样信息汇总统计!D$2:D$500,MATCH(381,样本到样信息汇总统计!$AA$2:$AA$500,0)),"")</f>
        <v/>
      </c>
      <c r="E382" s="4" t="str">
        <f>IFERROR(INDEX(样本到样信息汇总统计!E$2:E$500,MATCH(381,样本到样信息汇总统计!$AA$2:$AA$500,0)),"")</f>
        <v/>
      </c>
      <c r="F382" s="4" t="str">
        <f>IFERROR(INDEX(样本到样信息汇总统计!F$2:F$500,MATCH(381,样本到样信息汇总统计!$AA$2:$AA$500,0)),"")</f>
        <v/>
      </c>
      <c r="G382" s="4" t="str">
        <f>IFERROR(INDEX(样本到样信息汇总统计!G$2:G$500,MATCH(381,样本到样信息汇总统计!$AA$2:$AA$500,0)),"")</f>
        <v/>
      </c>
      <c r="H382" s="4" t="str">
        <f>IFERROR(INDEX(样本到样信息汇总统计!H$2:H$500,MATCH(381,样本到样信息汇总统计!$AA$2:$AA$500,0)),"")</f>
        <v/>
      </c>
      <c r="I382" s="4" t="str">
        <f>IFERROR(INDEX(样本到样信息汇总统计!I$2:I$500,MATCH(381,样本到样信息汇总统计!$AA$2:$AA$500,0)),"")</f>
        <v/>
      </c>
      <c r="J382" s="4" t="str">
        <f>IFERROR(INDEX(样本到样信息汇总统计!J$2:J$500,MATCH(381,样本到样信息汇总统计!$AA$2:$AA$500,0)),"")</f>
        <v/>
      </c>
      <c r="K382" s="4" t="str">
        <f>IFERROR(INDEX(样本到样信息汇总统计!K$2:K$500,MATCH(381,样本到样信息汇总统计!$AA$2:$AA$500,0)),"")</f>
        <v/>
      </c>
      <c r="L382" s="4" t="str">
        <f>IFERROR(INDEX(样本到样信息汇总统计!L$2:L$500,MATCH(381,样本到样信息汇总统计!$AA$2:$AA$500,0)),"")</f>
        <v/>
      </c>
      <c r="M382" s="4" t="str">
        <f>IFERROR(INDEX(样本到样信息汇总统计!M$2:M$500,MATCH(381,样本到样信息汇总统计!$AA$2:$AA$500,0)),"")</f>
        <v/>
      </c>
      <c r="N382" s="4" t="str">
        <f>IFERROR(INDEX(样本到样信息汇总统计!N$2:N$500,MATCH(381,样本到样信息汇总统计!$AA$2:$AA$500,0)),"")</f>
        <v/>
      </c>
      <c r="O382" s="4" t="str">
        <f>IFERROR(INDEX(样本到样信息汇总统计!O$2:O$500,MATCH(381,样本到样信息汇总统计!$AA$2:$AA$500,0)),"")</f>
        <v/>
      </c>
      <c r="P382" s="4" t="str">
        <f>IFERROR(INDEX(样本到样信息汇总统计!P$2:P$500,MATCH(381,样本到样信息汇总统计!$AA$2:$AA$500,0)),"")</f>
        <v/>
      </c>
      <c r="Q382" s="4" t="str">
        <f>IFERROR(INDEX(样本到样信息汇总统计!Q$2:Q$500,MATCH(381,样本到样信息汇总统计!$AA$2:$AA$500,0)),"")</f>
        <v/>
      </c>
      <c r="R382" s="4" t="str">
        <f>IFERROR(INDEX(样本到样信息汇总统计!R$2:R$500,MATCH(381,样本到样信息汇总统计!$AA$2:$AA$500,0)),"")</f>
        <v/>
      </c>
      <c r="S382" s="4" t="str">
        <f>IFERROR(INDEX(样本到样信息汇总统计!S$2:S$500,MATCH(381,样本到样信息汇总统计!$AA$2:$AA$500,0)),"")</f>
        <v/>
      </c>
      <c r="T382" s="4" t="str">
        <f>IFERROR(INDEX(样本到样信息汇总统计!T$2:T$500,MATCH(381,样本到样信息汇总统计!$AA$2:$AA$500,0)),"")</f>
        <v/>
      </c>
      <c r="U382" s="4" t="str">
        <f>IFERROR(INDEX(样本到样信息汇总统计!U$2:U$500,MATCH(381,样本到样信息汇总统计!$AA$2:$AA$500,0)),"")</f>
        <v/>
      </c>
      <c r="V382" s="4" t="str">
        <f>IFERROR(INDEX(样本到样信息汇总统计!V$2:V$500,MATCH(381,样本到样信息汇总统计!$AA$2:$AA$500,0)),"")</f>
        <v/>
      </c>
      <c r="W382" s="4" t="str">
        <f>IFERROR(INDEX(样本到样信息汇总统计!W$2:W$500,MATCH(381,样本到样信息汇总统计!$AA$2:$AA$500,0)),"")</f>
        <v/>
      </c>
    </row>
    <row r="383" ht="14.5" spans="1:23">
      <c r="A383" s="8" t="str">
        <f>IFERROR(INDEX(样本到样信息汇总统计!A$2:A$500,MATCH(382,样本到样信息汇总统计!$AA$2:$AA$500,0)),"")</f>
        <v/>
      </c>
      <c r="B383" s="8" t="str">
        <f>IFERROR(INDEX(样本到样信息汇总统计!B$2:B$500,MATCH(382,样本到样信息汇总统计!$AA$2:$AA$500,0)),"")</f>
        <v/>
      </c>
      <c r="C383" s="8" t="str">
        <f>IFERROR(INDEX(样本到样信息汇总统计!C$2:C$500,MATCH(382,样本到样信息汇总统计!$AA$2:$AA$500,0)),"")</f>
        <v/>
      </c>
      <c r="D383" s="8" t="str">
        <f>IFERROR(INDEX(样本到样信息汇总统计!D$2:D$500,MATCH(382,样本到样信息汇总统计!$AA$2:$AA$500,0)),"")</f>
        <v/>
      </c>
      <c r="E383" s="8" t="str">
        <f>IFERROR(INDEX(样本到样信息汇总统计!E$2:E$500,MATCH(382,样本到样信息汇总统计!$AA$2:$AA$500,0)),"")</f>
        <v/>
      </c>
      <c r="F383" s="8" t="str">
        <f>IFERROR(INDEX(样本到样信息汇总统计!F$2:F$500,MATCH(382,样本到样信息汇总统计!$AA$2:$AA$500,0)),"")</f>
        <v/>
      </c>
      <c r="G383" s="8" t="str">
        <f>IFERROR(INDEX(样本到样信息汇总统计!G$2:G$500,MATCH(382,样本到样信息汇总统计!$AA$2:$AA$500,0)),"")</f>
        <v/>
      </c>
      <c r="H383" s="8" t="str">
        <f>IFERROR(INDEX(样本到样信息汇总统计!H$2:H$500,MATCH(382,样本到样信息汇总统计!$AA$2:$AA$500,0)),"")</f>
        <v/>
      </c>
      <c r="I383" s="8" t="str">
        <f>IFERROR(INDEX(样本到样信息汇总统计!I$2:I$500,MATCH(382,样本到样信息汇总统计!$AA$2:$AA$500,0)),"")</f>
        <v/>
      </c>
      <c r="J383" s="8" t="str">
        <f>IFERROR(INDEX(样本到样信息汇总统计!J$2:J$500,MATCH(382,样本到样信息汇总统计!$AA$2:$AA$500,0)),"")</f>
        <v/>
      </c>
      <c r="K383" s="8" t="str">
        <f>IFERROR(INDEX(样本到样信息汇总统计!K$2:K$500,MATCH(382,样本到样信息汇总统计!$AA$2:$AA$500,0)),"")</f>
        <v/>
      </c>
      <c r="L383" s="8" t="str">
        <f>IFERROR(INDEX(样本到样信息汇总统计!L$2:L$500,MATCH(382,样本到样信息汇总统计!$AA$2:$AA$500,0)),"")</f>
        <v/>
      </c>
      <c r="M383" s="8" t="str">
        <f>IFERROR(INDEX(样本到样信息汇总统计!M$2:M$500,MATCH(382,样本到样信息汇总统计!$AA$2:$AA$500,0)),"")</f>
        <v/>
      </c>
      <c r="N383" s="8" t="str">
        <f>IFERROR(INDEX(样本到样信息汇总统计!N$2:N$500,MATCH(382,样本到样信息汇总统计!$AA$2:$AA$500,0)),"")</f>
        <v/>
      </c>
      <c r="O383" s="8" t="str">
        <f>IFERROR(INDEX(样本到样信息汇总统计!O$2:O$500,MATCH(382,样本到样信息汇总统计!$AA$2:$AA$500,0)),"")</f>
        <v/>
      </c>
      <c r="P383" s="8" t="str">
        <f>IFERROR(INDEX(样本到样信息汇总统计!P$2:P$500,MATCH(382,样本到样信息汇总统计!$AA$2:$AA$500,0)),"")</f>
        <v/>
      </c>
      <c r="Q383" s="8" t="str">
        <f>IFERROR(INDEX(样本到样信息汇总统计!Q$2:Q$500,MATCH(382,样本到样信息汇总统计!$AA$2:$AA$500,0)),"")</f>
        <v/>
      </c>
      <c r="R383" s="8" t="str">
        <f>IFERROR(INDEX(样本到样信息汇总统计!R$2:R$500,MATCH(382,样本到样信息汇总统计!$AA$2:$AA$500,0)),"")</f>
        <v/>
      </c>
      <c r="S383" s="8" t="str">
        <f>IFERROR(INDEX(样本到样信息汇总统计!S$2:S$500,MATCH(382,样本到样信息汇总统计!$AA$2:$AA$500,0)),"")</f>
        <v/>
      </c>
      <c r="T383" s="8" t="str">
        <f>IFERROR(INDEX(样本到样信息汇总统计!T$2:T$500,MATCH(382,样本到样信息汇总统计!$AA$2:$AA$500,0)),"")</f>
        <v/>
      </c>
      <c r="U383" s="8" t="str">
        <f>IFERROR(INDEX(样本到样信息汇总统计!U$2:U$500,MATCH(382,样本到样信息汇总统计!$AA$2:$AA$500,0)),"")</f>
        <v/>
      </c>
      <c r="V383" s="8" t="str">
        <f>IFERROR(INDEX(样本到样信息汇总统计!V$2:V$500,MATCH(382,样本到样信息汇总统计!$AA$2:$AA$500,0)),"")</f>
        <v/>
      </c>
      <c r="W383" s="8" t="str">
        <f>IFERROR(INDEX(样本到样信息汇总统计!W$2:W$500,MATCH(382,样本到样信息汇总统计!$AA$2:$AA$500,0)),"")</f>
        <v/>
      </c>
    </row>
    <row r="384" ht="14.5" spans="1:23">
      <c r="A384" s="4" t="str">
        <f>IFERROR(INDEX(样本到样信息汇总统计!A$2:A$500,MATCH(383,样本到样信息汇总统计!$AA$2:$AA$500,0)),"")</f>
        <v/>
      </c>
      <c r="B384" s="4" t="str">
        <f>IFERROR(INDEX(样本到样信息汇总统计!B$2:B$500,MATCH(383,样本到样信息汇总统计!$AA$2:$AA$500,0)),"")</f>
        <v/>
      </c>
      <c r="C384" s="4" t="str">
        <f>IFERROR(INDEX(样本到样信息汇总统计!C$2:C$500,MATCH(383,样本到样信息汇总统计!$AA$2:$AA$500,0)),"")</f>
        <v/>
      </c>
      <c r="D384" s="4" t="str">
        <f>IFERROR(INDEX(样本到样信息汇总统计!D$2:D$500,MATCH(383,样本到样信息汇总统计!$AA$2:$AA$500,0)),"")</f>
        <v/>
      </c>
      <c r="E384" s="4" t="str">
        <f>IFERROR(INDEX(样本到样信息汇总统计!E$2:E$500,MATCH(383,样本到样信息汇总统计!$AA$2:$AA$500,0)),"")</f>
        <v/>
      </c>
      <c r="F384" s="4" t="str">
        <f>IFERROR(INDEX(样本到样信息汇总统计!F$2:F$500,MATCH(383,样本到样信息汇总统计!$AA$2:$AA$500,0)),"")</f>
        <v/>
      </c>
      <c r="G384" s="4" t="str">
        <f>IFERROR(INDEX(样本到样信息汇总统计!G$2:G$500,MATCH(383,样本到样信息汇总统计!$AA$2:$AA$500,0)),"")</f>
        <v/>
      </c>
      <c r="H384" s="4" t="str">
        <f>IFERROR(INDEX(样本到样信息汇总统计!H$2:H$500,MATCH(383,样本到样信息汇总统计!$AA$2:$AA$500,0)),"")</f>
        <v/>
      </c>
      <c r="I384" s="4" t="str">
        <f>IFERROR(INDEX(样本到样信息汇总统计!I$2:I$500,MATCH(383,样本到样信息汇总统计!$AA$2:$AA$500,0)),"")</f>
        <v/>
      </c>
      <c r="J384" s="4" t="str">
        <f>IFERROR(INDEX(样本到样信息汇总统计!J$2:J$500,MATCH(383,样本到样信息汇总统计!$AA$2:$AA$500,0)),"")</f>
        <v/>
      </c>
      <c r="K384" s="4" t="str">
        <f>IFERROR(INDEX(样本到样信息汇总统计!K$2:K$500,MATCH(383,样本到样信息汇总统计!$AA$2:$AA$500,0)),"")</f>
        <v/>
      </c>
      <c r="L384" s="4" t="str">
        <f>IFERROR(INDEX(样本到样信息汇总统计!L$2:L$500,MATCH(383,样本到样信息汇总统计!$AA$2:$AA$500,0)),"")</f>
        <v/>
      </c>
      <c r="M384" s="4" t="str">
        <f>IFERROR(INDEX(样本到样信息汇总统计!M$2:M$500,MATCH(383,样本到样信息汇总统计!$AA$2:$AA$500,0)),"")</f>
        <v/>
      </c>
      <c r="N384" s="4" t="str">
        <f>IFERROR(INDEX(样本到样信息汇总统计!N$2:N$500,MATCH(383,样本到样信息汇总统计!$AA$2:$AA$500,0)),"")</f>
        <v/>
      </c>
      <c r="O384" s="4" t="str">
        <f>IFERROR(INDEX(样本到样信息汇总统计!O$2:O$500,MATCH(383,样本到样信息汇总统计!$AA$2:$AA$500,0)),"")</f>
        <v/>
      </c>
      <c r="P384" s="4" t="str">
        <f>IFERROR(INDEX(样本到样信息汇总统计!P$2:P$500,MATCH(383,样本到样信息汇总统计!$AA$2:$AA$500,0)),"")</f>
        <v/>
      </c>
      <c r="Q384" s="4" t="str">
        <f>IFERROR(INDEX(样本到样信息汇总统计!Q$2:Q$500,MATCH(383,样本到样信息汇总统计!$AA$2:$AA$500,0)),"")</f>
        <v/>
      </c>
      <c r="R384" s="4" t="str">
        <f>IFERROR(INDEX(样本到样信息汇总统计!R$2:R$500,MATCH(383,样本到样信息汇总统计!$AA$2:$AA$500,0)),"")</f>
        <v/>
      </c>
      <c r="S384" s="4" t="str">
        <f>IFERROR(INDEX(样本到样信息汇总统计!S$2:S$500,MATCH(383,样本到样信息汇总统计!$AA$2:$AA$500,0)),"")</f>
        <v/>
      </c>
      <c r="T384" s="4" t="str">
        <f>IFERROR(INDEX(样本到样信息汇总统计!T$2:T$500,MATCH(383,样本到样信息汇总统计!$AA$2:$AA$500,0)),"")</f>
        <v/>
      </c>
      <c r="U384" s="4" t="str">
        <f>IFERROR(INDEX(样本到样信息汇总统计!U$2:U$500,MATCH(383,样本到样信息汇总统计!$AA$2:$AA$500,0)),"")</f>
        <v/>
      </c>
      <c r="V384" s="4" t="str">
        <f>IFERROR(INDEX(样本到样信息汇总统计!V$2:V$500,MATCH(383,样本到样信息汇总统计!$AA$2:$AA$500,0)),"")</f>
        <v/>
      </c>
      <c r="W384" s="4" t="str">
        <f>IFERROR(INDEX(样本到样信息汇总统计!W$2:W$500,MATCH(383,样本到样信息汇总统计!$AA$2:$AA$500,0)),"")</f>
        <v/>
      </c>
    </row>
    <row r="385" ht="14.5" spans="1:23">
      <c r="A385" s="8" t="str">
        <f>IFERROR(INDEX(样本到样信息汇总统计!A$2:A$500,MATCH(384,样本到样信息汇总统计!$AA$2:$AA$500,0)),"")</f>
        <v/>
      </c>
      <c r="B385" s="8" t="str">
        <f>IFERROR(INDEX(样本到样信息汇总统计!B$2:B$500,MATCH(384,样本到样信息汇总统计!$AA$2:$AA$500,0)),"")</f>
        <v/>
      </c>
      <c r="C385" s="8" t="str">
        <f>IFERROR(INDEX(样本到样信息汇总统计!C$2:C$500,MATCH(384,样本到样信息汇总统计!$AA$2:$AA$500,0)),"")</f>
        <v/>
      </c>
      <c r="D385" s="8" t="str">
        <f>IFERROR(INDEX(样本到样信息汇总统计!D$2:D$500,MATCH(384,样本到样信息汇总统计!$AA$2:$AA$500,0)),"")</f>
        <v/>
      </c>
      <c r="E385" s="8" t="str">
        <f>IFERROR(INDEX(样本到样信息汇总统计!E$2:E$500,MATCH(384,样本到样信息汇总统计!$AA$2:$AA$500,0)),"")</f>
        <v/>
      </c>
      <c r="F385" s="8" t="str">
        <f>IFERROR(INDEX(样本到样信息汇总统计!F$2:F$500,MATCH(384,样本到样信息汇总统计!$AA$2:$AA$500,0)),"")</f>
        <v/>
      </c>
      <c r="G385" s="8" t="str">
        <f>IFERROR(INDEX(样本到样信息汇总统计!G$2:G$500,MATCH(384,样本到样信息汇总统计!$AA$2:$AA$500,0)),"")</f>
        <v/>
      </c>
      <c r="H385" s="8" t="str">
        <f>IFERROR(INDEX(样本到样信息汇总统计!H$2:H$500,MATCH(384,样本到样信息汇总统计!$AA$2:$AA$500,0)),"")</f>
        <v/>
      </c>
      <c r="I385" s="8" t="str">
        <f>IFERROR(INDEX(样本到样信息汇总统计!I$2:I$500,MATCH(384,样本到样信息汇总统计!$AA$2:$AA$500,0)),"")</f>
        <v/>
      </c>
      <c r="J385" s="8" t="str">
        <f>IFERROR(INDEX(样本到样信息汇总统计!J$2:J$500,MATCH(384,样本到样信息汇总统计!$AA$2:$AA$500,0)),"")</f>
        <v/>
      </c>
      <c r="K385" s="8" t="str">
        <f>IFERROR(INDEX(样本到样信息汇总统计!K$2:K$500,MATCH(384,样本到样信息汇总统计!$AA$2:$AA$500,0)),"")</f>
        <v/>
      </c>
      <c r="L385" s="8" t="str">
        <f>IFERROR(INDEX(样本到样信息汇总统计!L$2:L$500,MATCH(384,样本到样信息汇总统计!$AA$2:$AA$500,0)),"")</f>
        <v/>
      </c>
      <c r="M385" s="8" t="str">
        <f>IFERROR(INDEX(样本到样信息汇总统计!M$2:M$500,MATCH(384,样本到样信息汇总统计!$AA$2:$AA$500,0)),"")</f>
        <v/>
      </c>
      <c r="N385" s="8" t="str">
        <f>IFERROR(INDEX(样本到样信息汇总统计!N$2:N$500,MATCH(384,样本到样信息汇总统计!$AA$2:$AA$500,0)),"")</f>
        <v/>
      </c>
      <c r="O385" s="8" t="str">
        <f>IFERROR(INDEX(样本到样信息汇总统计!O$2:O$500,MATCH(384,样本到样信息汇总统计!$AA$2:$AA$500,0)),"")</f>
        <v/>
      </c>
      <c r="P385" s="8" t="str">
        <f>IFERROR(INDEX(样本到样信息汇总统计!P$2:P$500,MATCH(384,样本到样信息汇总统计!$AA$2:$AA$500,0)),"")</f>
        <v/>
      </c>
      <c r="Q385" s="8" t="str">
        <f>IFERROR(INDEX(样本到样信息汇总统计!Q$2:Q$500,MATCH(384,样本到样信息汇总统计!$AA$2:$AA$500,0)),"")</f>
        <v/>
      </c>
      <c r="R385" s="8" t="str">
        <f>IFERROR(INDEX(样本到样信息汇总统计!R$2:R$500,MATCH(384,样本到样信息汇总统计!$AA$2:$AA$500,0)),"")</f>
        <v/>
      </c>
      <c r="S385" s="8" t="str">
        <f>IFERROR(INDEX(样本到样信息汇总统计!S$2:S$500,MATCH(384,样本到样信息汇总统计!$AA$2:$AA$500,0)),"")</f>
        <v/>
      </c>
      <c r="T385" s="8" t="str">
        <f>IFERROR(INDEX(样本到样信息汇总统计!T$2:T$500,MATCH(384,样本到样信息汇总统计!$AA$2:$AA$500,0)),"")</f>
        <v/>
      </c>
      <c r="U385" s="8" t="str">
        <f>IFERROR(INDEX(样本到样信息汇总统计!U$2:U$500,MATCH(384,样本到样信息汇总统计!$AA$2:$AA$500,0)),"")</f>
        <v/>
      </c>
      <c r="V385" s="8" t="str">
        <f>IFERROR(INDEX(样本到样信息汇总统计!V$2:V$500,MATCH(384,样本到样信息汇总统计!$AA$2:$AA$500,0)),"")</f>
        <v/>
      </c>
      <c r="W385" s="8" t="str">
        <f>IFERROR(INDEX(样本到样信息汇总统计!W$2:W$500,MATCH(384,样本到样信息汇总统计!$AA$2:$AA$500,0)),"")</f>
        <v/>
      </c>
    </row>
    <row r="386" ht="14.5" spans="1:23">
      <c r="A386" s="4" t="str">
        <f>IFERROR(INDEX(样本到样信息汇总统计!A$2:A$500,MATCH(385,样本到样信息汇总统计!$AA$2:$AA$500,0)),"")</f>
        <v/>
      </c>
      <c r="B386" s="4" t="str">
        <f>IFERROR(INDEX(样本到样信息汇总统计!B$2:B$500,MATCH(385,样本到样信息汇总统计!$AA$2:$AA$500,0)),"")</f>
        <v/>
      </c>
      <c r="C386" s="4" t="str">
        <f>IFERROR(INDEX(样本到样信息汇总统计!C$2:C$500,MATCH(385,样本到样信息汇总统计!$AA$2:$AA$500,0)),"")</f>
        <v/>
      </c>
      <c r="D386" s="4" t="str">
        <f>IFERROR(INDEX(样本到样信息汇总统计!D$2:D$500,MATCH(385,样本到样信息汇总统计!$AA$2:$AA$500,0)),"")</f>
        <v/>
      </c>
      <c r="E386" s="4" t="str">
        <f>IFERROR(INDEX(样本到样信息汇总统计!E$2:E$500,MATCH(385,样本到样信息汇总统计!$AA$2:$AA$500,0)),"")</f>
        <v/>
      </c>
      <c r="F386" s="4" t="str">
        <f>IFERROR(INDEX(样本到样信息汇总统计!F$2:F$500,MATCH(385,样本到样信息汇总统计!$AA$2:$AA$500,0)),"")</f>
        <v/>
      </c>
      <c r="G386" s="4" t="str">
        <f>IFERROR(INDEX(样本到样信息汇总统计!G$2:G$500,MATCH(385,样本到样信息汇总统计!$AA$2:$AA$500,0)),"")</f>
        <v/>
      </c>
      <c r="H386" s="4" t="str">
        <f>IFERROR(INDEX(样本到样信息汇总统计!H$2:H$500,MATCH(385,样本到样信息汇总统计!$AA$2:$AA$500,0)),"")</f>
        <v/>
      </c>
      <c r="I386" s="4" t="str">
        <f>IFERROR(INDEX(样本到样信息汇总统计!I$2:I$500,MATCH(385,样本到样信息汇总统计!$AA$2:$AA$500,0)),"")</f>
        <v/>
      </c>
      <c r="J386" s="4" t="str">
        <f>IFERROR(INDEX(样本到样信息汇总统计!J$2:J$500,MATCH(385,样本到样信息汇总统计!$AA$2:$AA$500,0)),"")</f>
        <v/>
      </c>
      <c r="K386" s="4" t="str">
        <f>IFERROR(INDEX(样本到样信息汇总统计!K$2:K$500,MATCH(385,样本到样信息汇总统计!$AA$2:$AA$500,0)),"")</f>
        <v/>
      </c>
      <c r="L386" s="4" t="str">
        <f>IFERROR(INDEX(样本到样信息汇总统计!L$2:L$500,MATCH(385,样本到样信息汇总统计!$AA$2:$AA$500,0)),"")</f>
        <v/>
      </c>
      <c r="M386" s="4" t="str">
        <f>IFERROR(INDEX(样本到样信息汇总统计!M$2:M$500,MATCH(385,样本到样信息汇总统计!$AA$2:$AA$500,0)),"")</f>
        <v/>
      </c>
      <c r="N386" s="4" t="str">
        <f>IFERROR(INDEX(样本到样信息汇总统计!N$2:N$500,MATCH(385,样本到样信息汇总统计!$AA$2:$AA$500,0)),"")</f>
        <v/>
      </c>
      <c r="O386" s="4" t="str">
        <f>IFERROR(INDEX(样本到样信息汇总统计!O$2:O$500,MATCH(385,样本到样信息汇总统计!$AA$2:$AA$500,0)),"")</f>
        <v/>
      </c>
      <c r="P386" s="4" t="str">
        <f>IFERROR(INDEX(样本到样信息汇总统计!P$2:P$500,MATCH(385,样本到样信息汇总统计!$AA$2:$AA$500,0)),"")</f>
        <v/>
      </c>
      <c r="Q386" s="4" t="str">
        <f>IFERROR(INDEX(样本到样信息汇总统计!Q$2:Q$500,MATCH(385,样本到样信息汇总统计!$AA$2:$AA$500,0)),"")</f>
        <v/>
      </c>
      <c r="R386" s="4" t="str">
        <f>IFERROR(INDEX(样本到样信息汇总统计!R$2:R$500,MATCH(385,样本到样信息汇总统计!$AA$2:$AA$500,0)),"")</f>
        <v/>
      </c>
      <c r="S386" s="4" t="str">
        <f>IFERROR(INDEX(样本到样信息汇总统计!S$2:S$500,MATCH(385,样本到样信息汇总统计!$AA$2:$AA$500,0)),"")</f>
        <v/>
      </c>
      <c r="T386" s="4" t="str">
        <f>IFERROR(INDEX(样本到样信息汇总统计!T$2:T$500,MATCH(385,样本到样信息汇总统计!$AA$2:$AA$500,0)),"")</f>
        <v/>
      </c>
      <c r="U386" s="4" t="str">
        <f>IFERROR(INDEX(样本到样信息汇总统计!U$2:U$500,MATCH(385,样本到样信息汇总统计!$AA$2:$AA$500,0)),"")</f>
        <v/>
      </c>
      <c r="V386" s="4" t="str">
        <f>IFERROR(INDEX(样本到样信息汇总统计!V$2:V$500,MATCH(385,样本到样信息汇总统计!$AA$2:$AA$500,0)),"")</f>
        <v/>
      </c>
      <c r="W386" s="4" t="str">
        <f>IFERROR(INDEX(样本到样信息汇总统计!W$2:W$500,MATCH(385,样本到样信息汇总统计!$AA$2:$AA$500,0)),"")</f>
        <v/>
      </c>
    </row>
    <row r="387" ht="14.5" spans="1:23">
      <c r="A387" s="8" t="str">
        <f>IFERROR(INDEX(样本到样信息汇总统计!A$2:A$500,MATCH(386,样本到样信息汇总统计!$AA$2:$AA$500,0)),"")</f>
        <v/>
      </c>
      <c r="B387" s="8" t="str">
        <f>IFERROR(INDEX(样本到样信息汇总统计!B$2:B$500,MATCH(386,样本到样信息汇总统计!$AA$2:$AA$500,0)),"")</f>
        <v/>
      </c>
      <c r="C387" s="8" t="str">
        <f>IFERROR(INDEX(样本到样信息汇总统计!C$2:C$500,MATCH(386,样本到样信息汇总统计!$AA$2:$AA$500,0)),"")</f>
        <v/>
      </c>
      <c r="D387" s="8" t="str">
        <f>IFERROR(INDEX(样本到样信息汇总统计!D$2:D$500,MATCH(386,样本到样信息汇总统计!$AA$2:$AA$500,0)),"")</f>
        <v/>
      </c>
      <c r="E387" s="8" t="str">
        <f>IFERROR(INDEX(样本到样信息汇总统计!E$2:E$500,MATCH(386,样本到样信息汇总统计!$AA$2:$AA$500,0)),"")</f>
        <v/>
      </c>
      <c r="F387" s="8" t="str">
        <f>IFERROR(INDEX(样本到样信息汇总统计!F$2:F$500,MATCH(386,样本到样信息汇总统计!$AA$2:$AA$500,0)),"")</f>
        <v/>
      </c>
      <c r="G387" s="8" t="str">
        <f>IFERROR(INDEX(样本到样信息汇总统计!G$2:G$500,MATCH(386,样本到样信息汇总统计!$AA$2:$AA$500,0)),"")</f>
        <v/>
      </c>
      <c r="H387" s="8" t="str">
        <f>IFERROR(INDEX(样本到样信息汇总统计!H$2:H$500,MATCH(386,样本到样信息汇总统计!$AA$2:$AA$500,0)),"")</f>
        <v/>
      </c>
      <c r="I387" s="8" t="str">
        <f>IFERROR(INDEX(样本到样信息汇总统计!I$2:I$500,MATCH(386,样本到样信息汇总统计!$AA$2:$AA$500,0)),"")</f>
        <v/>
      </c>
      <c r="J387" s="8" t="str">
        <f>IFERROR(INDEX(样本到样信息汇总统计!J$2:J$500,MATCH(386,样本到样信息汇总统计!$AA$2:$AA$500,0)),"")</f>
        <v/>
      </c>
      <c r="K387" s="8" t="str">
        <f>IFERROR(INDEX(样本到样信息汇总统计!K$2:K$500,MATCH(386,样本到样信息汇总统计!$AA$2:$AA$500,0)),"")</f>
        <v/>
      </c>
      <c r="L387" s="8" t="str">
        <f>IFERROR(INDEX(样本到样信息汇总统计!L$2:L$500,MATCH(386,样本到样信息汇总统计!$AA$2:$AA$500,0)),"")</f>
        <v/>
      </c>
      <c r="M387" s="8" t="str">
        <f>IFERROR(INDEX(样本到样信息汇总统计!M$2:M$500,MATCH(386,样本到样信息汇总统计!$AA$2:$AA$500,0)),"")</f>
        <v/>
      </c>
      <c r="N387" s="8" t="str">
        <f>IFERROR(INDEX(样本到样信息汇总统计!N$2:N$500,MATCH(386,样本到样信息汇总统计!$AA$2:$AA$500,0)),"")</f>
        <v/>
      </c>
      <c r="O387" s="8" t="str">
        <f>IFERROR(INDEX(样本到样信息汇总统计!O$2:O$500,MATCH(386,样本到样信息汇总统计!$AA$2:$AA$500,0)),"")</f>
        <v/>
      </c>
      <c r="P387" s="8" t="str">
        <f>IFERROR(INDEX(样本到样信息汇总统计!P$2:P$500,MATCH(386,样本到样信息汇总统计!$AA$2:$AA$500,0)),"")</f>
        <v/>
      </c>
      <c r="Q387" s="8" t="str">
        <f>IFERROR(INDEX(样本到样信息汇总统计!Q$2:Q$500,MATCH(386,样本到样信息汇总统计!$AA$2:$AA$500,0)),"")</f>
        <v/>
      </c>
      <c r="R387" s="8" t="str">
        <f>IFERROR(INDEX(样本到样信息汇总统计!R$2:R$500,MATCH(386,样本到样信息汇总统计!$AA$2:$AA$500,0)),"")</f>
        <v/>
      </c>
      <c r="S387" s="8" t="str">
        <f>IFERROR(INDEX(样本到样信息汇总统计!S$2:S$500,MATCH(386,样本到样信息汇总统计!$AA$2:$AA$500,0)),"")</f>
        <v/>
      </c>
      <c r="T387" s="8" t="str">
        <f>IFERROR(INDEX(样本到样信息汇总统计!T$2:T$500,MATCH(386,样本到样信息汇总统计!$AA$2:$AA$500,0)),"")</f>
        <v/>
      </c>
      <c r="U387" s="8" t="str">
        <f>IFERROR(INDEX(样本到样信息汇总统计!U$2:U$500,MATCH(386,样本到样信息汇总统计!$AA$2:$AA$500,0)),"")</f>
        <v/>
      </c>
      <c r="V387" s="8" t="str">
        <f>IFERROR(INDEX(样本到样信息汇总统计!V$2:V$500,MATCH(386,样本到样信息汇总统计!$AA$2:$AA$500,0)),"")</f>
        <v/>
      </c>
      <c r="W387" s="8" t="str">
        <f>IFERROR(INDEX(样本到样信息汇总统计!W$2:W$500,MATCH(386,样本到样信息汇总统计!$AA$2:$AA$500,0)),"")</f>
        <v/>
      </c>
    </row>
    <row r="388" ht="14.5" spans="1:23">
      <c r="A388" s="4" t="str">
        <f>IFERROR(INDEX(样本到样信息汇总统计!A$2:A$500,MATCH(387,样本到样信息汇总统计!$AA$2:$AA$500,0)),"")</f>
        <v/>
      </c>
      <c r="B388" s="4" t="str">
        <f>IFERROR(INDEX(样本到样信息汇总统计!B$2:B$500,MATCH(387,样本到样信息汇总统计!$AA$2:$AA$500,0)),"")</f>
        <v/>
      </c>
      <c r="C388" s="4" t="str">
        <f>IFERROR(INDEX(样本到样信息汇总统计!C$2:C$500,MATCH(387,样本到样信息汇总统计!$AA$2:$AA$500,0)),"")</f>
        <v/>
      </c>
      <c r="D388" s="4" t="str">
        <f>IFERROR(INDEX(样本到样信息汇总统计!D$2:D$500,MATCH(387,样本到样信息汇总统计!$AA$2:$AA$500,0)),"")</f>
        <v/>
      </c>
      <c r="E388" s="4" t="str">
        <f>IFERROR(INDEX(样本到样信息汇总统计!E$2:E$500,MATCH(387,样本到样信息汇总统计!$AA$2:$AA$500,0)),"")</f>
        <v/>
      </c>
      <c r="F388" s="4" t="str">
        <f>IFERROR(INDEX(样本到样信息汇总统计!F$2:F$500,MATCH(387,样本到样信息汇总统计!$AA$2:$AA$500,0)),"")</f>
        <v/>
      </c>
      <c r="G388" s="4" t="str">
        <f>IFERROR(INDEX(样本到样信息汇总统计!G$2:G$500,MATCH(387,样本到样信息汇总统计!$AA$2:$AA$500,0)),"")</f>
        <v/>
      </c>
      <c r="H388" s="4" t="str">
        <f>IFERROR(INDEX(样本到样信息汇总统计!H$2:H$500,MATCH(387,样本到样信息汇总统计!$AA$2:$AA$500,0)),"")</f>
        <v/>
      </c>
      <c r="I388" s="4" t="str">
        <f>IFERROR(INDEX(样本到样信息汇总统计!I$2:I$500,MATCH(387,样本到样信息汇总统计!$AA$2:$AA$500,0)),"")</f>
        <v/>
      </c>
      <c r="J388" s="4" t="str">
        <f>IFERROR(INDEX(样本到样信息汇总统计!J$2:J$500,MATCH(387,样本到样信息汇总统计!$AA$2:$AA$500,0)),"")</f>
        <v/>
      </c>
      <c r="K388" s="4" t="str">
        <f>IFERROR(INDEX(样本到样信息汇总统计!K$2:K$500,MATCH(387,样本到样信息汇总统计!$AA$2:$AA$500,0)),"")</f>
        <v/>
      </c>
      <c r="L388" s="4" t="str">
        <f>IFERROR(INDEX(样本到样信息汇总统计!L$2:L$500,MATCH(387,样本到样信息汇总统计!$AA$2:$AA$500,0)),"")</f>
        <v/>
      </c>
      <c r="M388" s="4" t="str">
        <f>IFERROR(INDEX(样本到样信息汇总统计!M$2:M$500,MATCH(387,样本到样信息汇总统计!$AA$2:$AA$500,0)),"")</f>
        <v/>
      </c>
      <c r="N388" s="4" t="str">
        <f>IFERROR(INDEX(样本到样信息汇总统计!N$2:N$500,MATCH(387,样本到样信息汇总统计!$AA$2:$AA$500,0)),"")</f>
        <v/>
      </c>
      <c r="O388" s="4" t="str">
        <f>IFERROR(INDEX(样本到样信息汇总统计!O$2:O$500,MATCH(387,样本到样信息汇总统计!$AA$2:$AA$500,0)),"")</f>
        <v/>
      </c>
      <c r="P388" s="4" t="str">
        <f>IFERROR(INDEX(样本到样信息汇总统计!P$2:P$500,MATCH(387,样本到样信息汇总统计!$AA$2:$AA$500,0)),"")</f>
        <v/>
      </c>
      <c r="Q388" s="4" t="str">
        <f>IFERROR(INDEX(样本到样信息汇总统计!Q$2:Q$500,MATCH(387,样本到样信息汇总统计!$AA$2:$AA$500,0)),"")</f>
        <v/>
      </c>
      <c r="R388" s="4" t="str">
        <f>IFERROR(INDEX(样本到样信息汇总统计!R$2:R$500,MATCH(387,样本到样信息汇总统计!$AA$2:$AA$500,0)),"")</f>
        <v/>
      </c>
      <c r="S388" s="4" t="str">
        <f>IFERROR(INDEX(样本到样信息汇总统计!S$2:S$500,MATCH(387,样本到样信息汇总统计!$AA$2:$AA$500,0)),"")</f>
        <v/>
      </c>
      <c r="T388" s="4" t="str">
        <f>IFERROR(INDEX(样本到样信息汇总统计!T$2:T$500,MATCH(387,样本到样信息汇总统计!$AA$2:$AA$500,0)),"")</f>
        <v/>
      </c>
      <c r="U388" s="4" t="str">
        <f>IFERROR(INDEX(样本到样信息汇总统计!U$2:U$500,MATCH(387,样本到样信息汇总统计!$AA$2:$AA$500,0)),"")</f>
        <v/>
      </c>
      <c r="V388" s="4" t="str">
        <f>IFERROR(INDEX(样本到样信息汇总统计!V$2:V$500,MATCH(387,样本到样信息汇总统计!$AA$2:$AA$500,0)),"")</f>
        <v/>
      </c>
      <c r="W388" s="4" t="str">
        <f>IFERROR(INDEX(样本到样信息汇总统计!W$2:W$500,MATCH(387,样本到样信息汇总统计!$AA$2:$AA$500,0)),"")</f>
        <v/>
      </c>
    </row>
    <row r="389" ht="14.5" spans="1:23">
      <c r="A389" s="8" t="str">
        <f>IFERROR(INDEX(样本到样信息汇总统计!A$2:A$500,MATCH(388,样本到样信息汇总统计!$AA$2:$AA$500,0)),"")</f>
        <v/>
      </c>
      <c r="B389" s="8" t="str">
        <f>IFERROR(INDEX(样本到样信息汇总统计!B$2:B$500,MATCH(388,样本到样信息汇总统计!$AA$2:$AA$500,0)),"")</f>
        <v/>
      </c>
      <c r="C389" s="8" t="str">
        <f>IFERROR(INDEX(样本到样信息汇总统计!C$2:C$500,MATCH(388,样本到样信息汇总统计!$AA$2:$AA$500,0)),"")</f>
        <v/>
      </c>
      <c r="D389" s="8" t="str">
        <f>IFERROR(INDEX(样本到样信息汇总统计!D$2:D$500,MATCH(388,样本到样信息汇总统计!$AA$2:$AA$500,0)),"")</f>
        <v/>
      </c>
      <c r="E389" s="8" t="str">
        <f>IFERROR(INDEX(样本到样信息汇总统计!E$2:E$500,MATCH(388,样本到样信息汇总统计!$AA$2:$AA$500,0)),"")</f>
        <v/>
      </c>
      <c r="F389" s="8" t="str">
        <f>IFERROR(INDEX(样本到样信息汇总统计!F$2:F$500,MATCH(388,样本到样信息汇总统计!$AA$2:$AA$500,0)),"")</f>
        <v/>
      </c>
      <c r="G389" s="8" t="str">
        <f>IFERROR(INDEX(样本到样信息汇总统计!G$2:G$500,MATCH(388,样本到样信息汇总统计!$AA$2:$AA$500,0)),"")</f>
        <v/>
      </c>
      <c r="H389" s="8" t="str">
        <f>IFERROR(INDEX(样本到样信息汇总统计!H$2:H$500,MATCH(388,样本到样信息汇总统计!$AA$2:$AA$500,0)),"")</f>
        <v/>
      </c>
      <c r="I389" s="8" t="str">
        <f>IFERROR(INDEX(样本到样信息汇总统计!I$2:I$500,MATCH(388,样本到样信息汇总统计!$AA$2:$AA$500,0)),"")</f>
        <v/>
      </c>
      <c r="J389" s="8" t="str">
        <f>IFERROR(INDEX(样本到样信息汇总统计!J$2:J$500,MATCH(388,样本到样信息汇总统计!$AA$2:$AA$500,0)),"")</f>
        <v/>
      </c>
      <c r="K389" s="8" t="str">
        <f>IFERROR(INDEX(样本到样信息汇总统计!K$2:K$500,MATCH(388,样本到样信息汇总统计!$AA$2:$AA$500,0)),"")</f>
        <v/>
      </c>
      <c r="L389" s="8" t="str">
        <f>IFERROR(INDEX(样本到样信息汇总统计!L$2:L$500,MATCH(388,样本到样信息汇总统计!$AA$2:$AA$500,0)),"")</f>
        <v/>
      </c>
      <c r="M389" s="8" t="str">
        <f>IFERROR(INDEX(样本到样信息汇总统计!M$2:M$500,MATCH(388,样本到样信息汇总统计!$AA$2:$AA$500,0)),"")</f>
        <v/>
      </c>
      <c r="N389" s="8" t="str">
        <f>IFERROR(INDEX(样本到样信息汇总统计!N$2:N$500,MATCH(388,样本到样信息汇总统计!$AA$2:$AA$500,0)),"")</f>
        <v/>
      </c>
      <c r="O389" s="8" t="str">
        <f>IFERROR(INDEX(样本到样信息汇总统计!O$2:O$500,MATCH(388,样本到样信息汇总统计!$AA$2:$AA$500,0)),"")</f>
        <v/>
      </c>
      <c r="P389" s="8" t="str">
        <f>IFERROR(INDEX(样本到样信息汇总统计!P$2:P$500,MATCH(388,样本到样信息汇总统计!$AA$2:$AA$500,0)),"")</f>
        <v/>
      </c>
      <c r="Q389" s="8" t="str">
        <f>IFERROR(INDEX(样本到样信息汇总统计!Q$2:Q$500,MATCH(388,样本到样信息汇总统计!$AA$2:$AA$500,0)),"")</f>
        <v/>
      </c>
      <c r="R389" s="8" t="str">
        <f>IFERROR(INDEX(样本到样信息汇总统计!R$2:R$500,MATCH(388,样本到样信息汇总统计!$AA$2:$AA$500,0)),"")</f>
        <v/>
      </c>
      <c r="S389" s="8" t="str">
        <f>IFERROR(INDEX(样本到样信息汇总统计!S$2:S$500,MATCH(388,样本到样信息汇总统计!$AA$2:$AA$500,0)),"")</f>
        <v/>
      </c>
      <c r="T389" s="8" t="str">
        <f>IFERROR(INDEX(样本到样信息汇总统计!T$2:T$500,MATCH(388,样本到样信息汇总统计!$AA$2:$AA$500,0)),"")</f>
        <v/>
      </c>
      <c r="U389" s="8" t="str">
        <f>IFERROR(INDEX(样本到样信息汇总统计!U$2:U$500,MATCH(388,样本到样信息汇总统计!$AA$2:$AA$500,0)),"")</f>
        <v/>
      </c>
      <c r="V389" s="8" t="str">
        <f>IFERROR(INDEX(样本到样信息汇总统计!V$2:V$500,MATCH(388,样本到样信息汇总统计!$AA$2:$AA$500,0)),"")</f>
        <v/>
      </c>
      <c r="W389" s="8" t="str">
        <f>IFERROR(INDEX(样本到样信息汇总统计!W$2:W$500,MATCH(388,样本到样信息汇总统计!$AA$2:$AA$500,0)),"")</f>
        <v/>
      </c>
    </row>
    <row r="390" ht="14.5" spans="1:23">
      <c r="A390" s="4" t="str">
        <f>IFERROR(INDEX(样本到样信息汇总统计!A$2:A$500,MATCH(389,样本到样信息汇总统计!$AA$2:$AA$500,0)),"")</f>
        <v/>
      </c>
      <c r="B390" s="4" t="str">
        <f>IFERROR(INDEX(样本到样信息汇总统计!B$2:B$500,MATCH(389,样本到样信息汇总统计!$AA$2:$AA$500,0)),"")</f>
        <v/>
      </c>
      <c r="C390" s="4" t="str">
        <f>IFERROR(INDEX(样本到样信息汇总统计!C$2:C$500,MATCH(389,样本到样信息汇总统计!$AA$2:$AA$500,0)),"")</f>
        <v/>
      </c>
      <c r="D390" s="4" t="str">
        <f>IFERROR(INDEX(样本到样信息汇总统计!D$2:D$500,MATCH(389,样本到样信息汇总统计!$AA$2:$AA$500,0)),"")</f>
        <v/>
      </c>
      <c r="E390" s="4" t="str">
        <f>IFERROR(INDEX(样本到样信息汇总统计!E$2:E$500,MATCH(389,样本到样信息汇总统计!$AA$2:$AA$500,0)),"")</f>
        <v/>
      </c>
      <c r="F390" s="4" t="str">
        <f>IFERROR(INDEX(样本到样信息汇总统计!F$2:F$500,MATCH(389,样本到样信息汇总统计!$AA$2:$AA$500,0)),"")</f>
        <v/>
      </c>
      <c r="G390" s="4" t="str">
        <f>IFERROR(INDEX(样本到样信息汇总统计!G$2:G$500,MATCH(389,样本到样信息汇总统计!$AA$2:$AA$500,0)),"")</f>
        <v/>
      </c>
      <c r="H390" s="4" t="str">
        <f>IFERROR(INDEX(样本到样信息汇总统计!H$2:H$500,MATCH(389,样本到样信息汇总统计!$AA$2:$AA$500,0)),"")</f>
        <v/>
      </c>
      <c r="I390" s="4" t="str">
        <f>IFERROR(INDEX(样本到样信息汇总统计!I$2:I$500,MATCH(389,样本到样信息汇总统计!$AA$2:$AA$500,0)),"")</f>
        <v/>
      </c>
      <c r="J390" s="4" t="str">
        <f>IFERROR(INDEX(样本到样信息汇总统计!J$2:J$500,MATCH(389,样本到样信息汇总统计!$AA$2:$AA$500,0)),"")</f>
        <v/>
      </c>
      <c r="K390" s="4" t="str">
        <f>IFERROR(INDEX(样本到样信息汇总统计!K$2:K$500,MATCH(389,样本到样信息汇总统计!$AA$2:$AA$500,0)),"")</f>
        <v/>
      </c>
      <c r="L390" s="4" t="str">
        <f>IFERROR(INDEX(样本到样信息汇总统计!L$2:L$500,MATCH(389,样本到样信息汇总统计!$AA$2:$AA$500,0)),"")</f>
        <v/>
      </c>
      <c r="M390" s="4" t="str">
        <f>IFERROR(INDEX(样本到样信息汇总统计!M$2:M$500,MATCH(389,样本到样信息汇总统计!$AA$2:$AA$500,0)),"")</f>
        <v/>
      </c>
      <c r="N390" s="4" t="str">
        <f>IFERROR(INDEX(样本到样信息汇总统计!N$2:N$500,MATCH(389,样本到样信息汇总统计!$AA$2:$AA$500,0)),"")</f>
        <v/>
      </c>
      <c r="O390" s="4" t="str">
        <f>IFERROR(INDEX(样本到样信息汇总统计!O$2:O$500,MATCH(389,样本到样信息汇总统计!$AA$2:$AA$500,0)),"")</f>
        <v/>
      </c>
      <c r="P390" s="4" t="str">
        <f>IFERROR(INDEX(样本到样信息汇总统计!P$2:P$500,MATCH(389,样本到样信息汇总统计!$AA$2:$AA$500,0)),"")</f>
        <v/>
      </c>
      <c r="Q390" s="4" t="str">
        <f>IFERROR(INDEX(样本到样信息汇总统计!Q$2:Q$500,MATCH(389,样本到样信息汇总统计!$AA$2:$AA$500,0)),"")</f>
        <v/>
      </c>
      <c r="R390" s="4" t="str">
        <f>IFERROR(INDEX(样本到样信息汇总统计!R$2:R$500,MATCH(389,样本到样信息汇总统计!$AA$2:$AA$500,0)),"")</f>
        <v/>
      </c>
      <c r="S390" s="4" t="str">
        <f>IFERROR(INDEX(样本到样信息汇总统计!S$2:S$500,MATCH(389,样本到样信息汇总统计!$AA$2:$AA$500,0)),"")</f>
        <v/>
      </c>
      <c r="T390" s="4" t="str">
        <f>IFERROR(INDEX(样本到样信息汇总统计!T$2:T$500,MATCH(389,样本到样信息汇总统计!$AA$2:$AA$500,0)),"")</f>
        <v/>
      </c>
      <c r="U390" s="4" t="str">
        <f>IFERROR(INDEX(样本到样信息汇总统计!U$2:U$500,MATCH(389,样本到样信息汇总统计!$AA$2:$AA$500,0)),"")</f>
        <v/>
      </c>
      <c r="V390" s="4" t="str">
        <f>IFERROR(INDEX(样本到样信息汇总统计!V$2:V$500,MATCH(389,样本到样信息汇总统计!$AA$2:$AA$500,0)),"")</f>
        <v/>
      </c>
      <c r="W390" s="4" t="str">
        <f>IFERROR(INDEX(样本到样信息汇总统计!W$2:W$500,MATCH(389,样本到样信息汇总统计!$AA$2:$AA$500,0)),"")</f>
        <v/>
      </c>
    </row>
    <row r="391" ht="14.5" spans="1:23">
      <c r="A391" s="8" t="str">
        <f>IFERROR(INDEX(样本到样信息汇总统计!A$2:A$500,MATCH(390,样本到样信息汇总统计!$AA$2:$AA$500,0)),"")</f>
        <v/>
      </c>
      <c r="B391" s="8" t="str">
        <f>IFERROR(INDEX(样本到样信息汇总统计!B$2:B$500,MATCH(390,样本到样信息汇总统计!$AA$2:$AA$500,0)),"")</f>
        <v/>
      </c>
      <c r="C391" s="8" t="str">
        <f>IFERROR(INDEX(样本到样信息汇总统计!C$2:C$500,MATCH(390,样本到样信息汇总统计!$AA$2:$AA$500,0)),"")</f>
        <v/>
      </c>
      <c r="D391" s="8" t="str">
        <f>IFERROR(INDEX(样本到样信息汇总统计!D$2:D$500,MATCH(390,样本到样信息汇总统计!$AA$2:$AA$500,0)),"")</f>
        <v/>
      </c>
      <c r="E391" s="8" t="str">
        <f>IFERROR(INDEX(样本到样信息汇总统计!E$2:E$500,MATCH(390,样本到样信息汇总统计!$AA$2:$AA$500,0)),"")</f>
        <v/>
      </c>
      <c r="F391" s="8" t="str">
        <f>IFERROR(INDEX(样本到样信息汇总统计!F$2:F$500,MATCH(390,样本到样信息汇总统计!$AA$2:$AA$500,0)),"")</f>
        <v/>
      </c>
      <c r="G391" s="8" t="str">
        <f>IFERROR(INDEX(样本到样信息汇总统计!G$2:G$500,MATCH(390,样本到样信息汇总统计!$AA$2:$AA$500,0)),"")</f>
        <v/>
      </c>
      <c r="H391" s="8" t="str">
        <f>IFERROR(INDEX(样本到样信息汇总统计!H$2:H$500,MATCH(390,样本到样信息汇总统计!$AA$2:$AA$500,0)),"")</f>
        <v/>
      </c>
      <c r="I391" s="8" t="str">
        <f>IFERROR(INDEX(样本到样信息汇总统计!I$2:I$500,MATCH(390,样本到样信息汇总统计!$AA$2:$AA$500,0)),"")</f>
        <v/>
      </c>
      <c r="J391" s="8" t="str">
        <f>IFERROR(INDEX(样本到样信息汇总统计!J$2:J$500,MATCH(390,样本到样信息汇总统计!$AA$2:$AA$500,0)),"")</f>
        <v/>
      </c>
      <c r="K391" s="8" t="str">
        <f>IFERROR(INDEX(样本到样信息汇总统计!K$2:K$500,MATCH(390,样本到样信息汇总统计!$AA$2:$AA$500,0)),"")</f>
        <v/>
      </c>
      <c r="L391" s="8" t="str">
        <f>IFERROR(INDEX(样本到样信息汇总统计!L$2:L$500,MATCH(390,样本到样信息汇总统计!$AA$2:$AA$500,0)),"")</f>
        <v/>
      </c>
      <c r="M391" s="8" t="str">
        <f>IFERROR(INDEX(样本到样信息汇总统计!M$2:M$500,MATCH(390,样本到样信息汇总统计!$AA$2:$AA$500,0)),"")</f>
        <v/>
      </c>
      <c r="N391" s="8" t="str">
        <f>IFERROR(INDEX(样本到样信息汇总统计!N$2:N$500,MATCH(390,样本到样信息汇总统计!$AA$2:$AA$500,0)),"")</f>
        <v/>
      </c>
      <c r="O391" s="8" t="str">
        <f>IFERROR(INDEX(样本到样信息汇总统计!O$2:O$500,MATCH(390,样本到样信息汇总统计!$AA$2:$AA$500,0)),"")</f>
        <v/>
      </c>
      <c r="P391" s="8" t="str">
        <f>IFERROR(INDEX(样本到样信息汇总统计!P$2:P$500,MATCH(390,样本到样信息汇总统计!$AA$2:$AA$500,0)),"")</f>
        <v/>
      </c>
      <c r="Q391" s="8" t="str">
        <f>IFERROR(INDEX(样本到样信息汇总统计!Q$2:Q$500,MATCH(390,样本到样信息汇总统计!$AA$2:$AA$500,0)),"")</f>
        <v/>
      </c>
      <c r="R391" s="8" t="str">
        <f>IFERROR(INDEX(样本到样信息汇总统计!R$2:R$500,MATCH(390,样本到样信息汇总统计!$AA$2:$AA$500,0)),"")</f>
        <v/>
      </c>
      <c r="S391" s="8" t="str">
        <f>IFERROR(INDEX(样本到样信息汇总统计!S$2:S$500,MATCH(390,样本到样信息汇总统计!$AA$2:$AA$500,0)),"")</f>
        <v/>
      </c>
      <c r="T391" s="8" t="str">
        <f>IFERROR(INDEX(样本到样信息汇总统计!T$2:T$500,MATCH(390,样本到样信息汇总统计!$AA$2:$AA$500,0)),"")</f>
        <v/>
      </c>
      <c r="U391" s="8" t="str">
        <f>IFERROR(INDEX(样本到样信息汇总统计!U$2:U$500,MATCH(390,样本到样信息汇总统计!$AA$2:$AA$500,0)),"")</f>
        <v/>
      </c>
      <c r="V391" s="8" t="str">
        <f>IFERROR(INDEX(样本到样信息汇总统计!V$2:V$500,MATCH(390,样本到样信息汇总统计!$AA$2:$AA$500,0)),"")</f>
        <v/>
      </c>
      <c r="W391" s="8" t="str">
        <f>IFERROR(INDEX(样本到样信息汇总统计!W$2:W$500,MATCH(390,样本到样信息汇总统计!$AA$2:$AA$500,0)),"")</f>
        <v/>
      </c>
    </row>
    <row r="392" ht="14.5" spans="1:23">
      <c r="A392" s="4" t="str">
        <f>IFERROR(INDEX(样本到样信息汇总统计!A$2:A$500,MATCH(391,样本到样信息汇总统计!$AA$2:$AA$500,0)),"")</f>
        <v/>
      </c>
      <c r="B392" s="4" t="str">
        <f>IFERROR(INDEX(样本到样信息汇总统计!B$2:B$500,MATCH(391,样本到样信息汇总统计!$AA$2:$AA$500,0)),"")</f>
        <v/>
      </c>
      <c r="C392" s="4" t="str">
        <f>IFERROR(INDEX(样本到样信息汇总统计!C$2:C$500,MATCH(391,样本到样信息汇总统计!$AA$2:$AA$500,0)),"")</f>
        <v/>
      </c>
      <c r="D392" s="4" t="str">
        <f>IFERROR(INDEX(样本到样信息汇总统计!D$2:D$500,MATCH(391,样本到样信息汇总统计!$AA$2:$AA$500,0)),"")</f>
        <v/>
      </c>
      <c r="E392" s="4" t="str">
        <f>IFERROR(INDEX(样本到样信息汇总统计!E$2:E$500,MATCH(391,样本到样信息汇总统计!$AA$2:$AA$500,0)),"")</f>
        <v/>
      </c>
      <c r="F392" s="4" t="str">
        <f>IFERROR(INDEX(样本到样信息汇总统计!F$2:F$500,MATCH(391,样本到样信息汇总统计!$AA$2:$AA$500,0)),"")</f>
        <v/>
      </c>
      <c r="G392" s="4" t="str">
        <f>IFERROR(INDEX(样本到样信息汇总统计!G$2:G$500,MATCH(391,样本到样信息汇总统计!$AA$2:$AA$500,0)),"")</f>
        <v/>
      </c>
      <c r="H392" s="4" t="str">
        <f>IFERROR(INDEX(样本到样信息汇总统计!H$2:H$500,MATCH(391,样本到样信息汇总统计!$AA$2:$AA$500,0)),"")</f>
        <v/>
      </c>
      <c r="I392" s="4" t="str">
        <f>IFERROR(INDEX(样本到样信息汇总统计!I$2:I$500,MATCH(391,样本到样信息汇总统计!$AA$2:$AA$500,0)),"")</f>
        <v/>
      </c>
      <c r="J392" s="4" t="str">
        <f>IFERROR(INDEX(样本到样信息汇总统计!J$2:J$500,MATCH(391,样本到样信息汇总统计!$AA$2:$AA$500,0)),"")</f>
        <v/>
      </c>
      <c r="K392" s="4" t="str">
        <f>IFERROR(INDEX(样本到样信息汇总统计!K$2:K$500,MATCH(391,样本到样信息汇总统计!$AA$2:$AA$500,0)),"")</f>
        <v/>
      </c>
      <c r="L392" s="4" t="str">
        <f>IFERROR(INDEX(样本到样信息汇总统计!L$2:L$500,MATCH(391,样本到样信息汇总统计!$AA$2:$AA$500,0)),"")</f>
        <v/>
      </c>
      <c r="M392" s="4" t="str">
        <f>IFERROR(INDEX(样本到样信息汇总统计!M$2:M$500,MATCH(391,样本到样信息汇总统计!$AA$2:$AA$500,0)),"")</f>
        <v/>
      </c>
      <c r="N392" s="4" t="str">
        <f>IFERROR(INDEX(样本到样信息汇总统计!N$2:N$500,MATCH(391,样本到样信息汇总统计!$AA$2:$AA$500,0)),"")</f>
        <v/>
      </c>
      <c r="O392" s="4" t="str">
        <f>IFERROR(INDEX(样本到样信息汇总统计!O$2:O$500,MATCH(391,样本到样信息汇总统计!$AA$2:$AA$500,0)),"")</f>
        <v/>
      </c>
      <c r="P392" s="4" t="str">
        <f>IFERROR(INDEX(样本到样信息汇总统计!P$2:P$500,MATCH(391,样本到样信息汇总统计!$AA$2:$AA$500,0)),"")</f>
        <v/>
      </c>
      <c r="Q392" s="4" t="str">
        <f>IFERROR(INDEX(样本到样信息汇总统计!Q$2:Q$500,MATCH(391,样本到样信息汇总统计!$AA$2:$AA$500,0)),"")</f>
        <v/>
      </c>
      <c r="R392" s="4" t="str">
        <f>IFERROR(INDEX(样本到样信息汇总统计!R$2:R$500,MATCH(391,样本到样信息汇总统计!$AA$2:$AA$500,0)),"")</f>
        <v/>
      </c>
      <c r="S392" s="4" t="str">
        <f>IFERROR(INDEX(样本到样信息汇总统计!S$2:S$500,MATCH(391,样本到样信息汇总统计!$AA$2:$AA$500,0)),"")</f>
        <v/>
      </c>
      <c r="T392" s="4" t="str">
        <f>IFERROR(INDEX(样本到样信息汇总统计!T$2:T$500,MATCH(391,样本到样信息汇总统计!$AA$2:$AA$500,0)),"")</f>
        <v/>
      </c>
      <c r="U392" s="4" t="str">
        <f>IFERROR(INDEX(样本到样信息汇总统计!U$2:U$500,MATCH(391,样本到样信息汇总统计!$AA$2:$AA$500,0)),"")</f>
        <v/>
      </c>
      <c r="V392" s="4" t="str">
        <f>IFERROR(INDEX(样本到样信息汇总统计!V$2:V$500,MATCH(391,样本到样信息汇总统计!$AA$2:$AA$500,0)),"")</f>
        <v/>
      </c>
      <c r="W392" s="4" t="str">
        <f>IFERROR(INDEX(样本到样信息汇总统计!W$2:W$500,MATCH(391,样本到样信息汇总统计!$AA$2:$AA$500,0)),"")</f>
        <v/>
      </c>
    </row>
    <row r="393" ht="14.5" spans="1:23">
      <c r="A393" s="8" t="str">
        <f>IFERROR(INDEX(样本到样信息汇总统计!A$2:A$500,MATCH(392,样本到样信息汇总统计!$AA$2:$AA$500,0)),"")</f>
        <v/>
      </c>
      <c r="B393" s="8" t="str">
        <f>IFERROR(INDEX(样本到样信息汇总统计!B$2:B$500,MATCH(392,样本到样信息汇总统计!$AA$2:$AA$500,0)),"")</f>
        <v/>
      </c>
      <c r="C393" s="8" t="str">
        <f>IFERROR(INDEX(样本到样信息汇总统计!C$2:C$500,MATCH(392,样本到样信息汇总统计!$AA$2:$AA$500,0)),"")</f>
        <v/>
      </c>
      <c r="D393" s="8" t="str">
        <f>IFERROR(INDEX(样本到样信息汇总统计!D$2:D$500,MATCH(392,样本到样信息汇总统计!$AA$2:$AA$500,0)),"")</f>
        <v/>
      </c>
      <c r="E393" s="8" t="str">
        <f>IFERROR(INDEX(样本到样信息汇总统计!E$2:E$500,MATCH(392,样本到样信息汇总统计!$AA$2:$AA$500,0)),"")</f>
        <v/>
      </c>
      <c r="F393" s="8" t="str">
        <f>IFERROR(INDEX(样本到样信息汇总统计!F$2:F$500,MATCH(392,样本到样信息汇总统计!$AA$2:$AA$500,0)),"")</f>
        <v/>
      </c>
      <c r="G393" s="8" t="str">
        <f>IFERROR(INDEX(样本到样信息汇总统计!G$2:G$500,MATCH(392,样本到样信息汇总统计!$AA$2:$AA$500,0)),"")</f>
        <v/>
      </c>
      <c r="H393" s="8" t="str">
        <f>IFERROR(INDEX(样本到样信息汇总统计!H$2:H$500,MATCH(392,样本到样信息汇总统计!$AA$2:$AA$500,0)),"")</f>
        <v/>
      </c>
      <c r="I393" s="8" t="str">
        <f>IFERROR(INDEX(样本到样信息汇总统计!I$2:I$500,MATCH(392,样本到样信息汇总统计!$AA$2:$AA$500,0)),"")</f>
        <v/>
      </c>
      <c r="J393" s="8" t="str">
        <f>IFERROR(INDEX(样本到样信息汇总统计!J$2:J$500,MATCH(392,样本到样信息汇总统计!$AA$2:$AA$500,0)),"")</f>
        <v/>
      </c>
      <c r="K393" s="8" t="str">
        <f>IFERROR(INDEX(样本到样信息汇总统计!K$2:K$500,MATCH(392,样本到样信息汇总统计!$AA$2:$AA$500,0)),"")</f>
        <v/>
      </c>
      <c r="L393" s="8" t="str">
        <f>IFERROR(INDEX(样本到样信息汇总统计!L$2:L$500,MATCH(392,样本到样信息汇总统计!$AA$2:$AA$500,0)),"")</f>
        <v/>
      </c>
      <c r="M393" s="8" t="str">
        <f>IFERROR(INDEX(样本到样信息汇总统计!M$2:M$500,MATCH(392,样本到样信息汇总统计!$AA$2:$AA$500,0)),"")</f>
        <v/>
      </c>
      <c r="N393" s="8" t="str">
        <f>IFERROR(INDEX(样本到样信息汇总统计!N$2:N$500,MATCH(392,样本到样信息汇总统计!$AA$2:$AA$500,0)),"")</f>
        <v/>
      </c>
      <c r="O393" s="8" t="str">
        <f>IFERROR(INDEX(样本到样信息汇总统计!O$2:O$500,MATCH(392,样本到样信息汇总统计!$AA$2:$AA$500,0)),"")</f>
        <v/>
      </c>
      <c r="P393" s="8" t="str">
        <f>IFERROR(INDEX(样本到样信息汇总统计!P$2:P$500,MATCH(392,样本到样信息汇总统计!$AA$2:$AA$500,0)),"")</f>
        <v/>
      </c>
      <c r="Q393" s="8" t="str">
        <f>IFERROR(INDEX(样本到样信息汇总统计!Q$2:Q$500,MATCH(392,样本到样信息汇总统计!$AA$2:$AA$500,0)),"")</f>
        <v/>
      </c>
      <c r="R393" s="8" t="str">
        <f>IFERROR(INDEX(样本到样信息汇总统计!R$2:R$500,MATCH(392,样本到样信息汇总统计!$AA$2:$AA$500,0)),"")</f>
        <v/>
      </c>
      <c r="S393" s="8" t="str">
        <f>IFERROR(INDEX(样本到样信息汇总统计!S$2:S$500,MATCH(392,样本到样信息汇总统计!$AA$2:$AA$500,0)),"")</f>
        <v/>
      </c>
      <c r="T393" s="8" t="str">
        <f>IFERROR(INDEX(样本到样信息汇总统计!T$2:T$500,MATCH(392,样本到样信息汇总统计!$AA$2:$AA$500,0)),"")</f>
        <v/>
      </c>
      <c r="U393" s="8" t="str">
        <f>IFERROR(INDEX(样本到样信息汇总统计!U$2:U$500,MATCH(392,样本到样信息汇总统计!$AA$2:$AA$500,0)),"")</f>
        <v/>
      </c>
      <c r="V393" s="8" t="str">
        <f>IFERROR(INDEX(样本到样信息汇总统计!V$2:V$500,MATCH(392,样本到样信息汇总统计!$AA$2:$AA$500,0)),"")</f>
        <v/>
      </c>
      <c r="W393" s="8" t="str">
        <f>IFERROR(INDEX(样本到样信息汇总统计!W$2:W$500,MATCH(392,样本到样信息汇总统计!$AA$2:$AA$500,0)),"")</f>
        <v/>
      </c>
    </row>
    <row r="394" ht="14.5" spans="1:23">
      <c r="A394" s="4" t="str">
        <f>IFERROR(INDEX(样本到样信息汇总统计!A$2:A$500,MATCH(393,样本到样信息汇总统计!$AA$2:$AA$500,0)),"")</f>
        <v/>
      </c>
      <c r="B394" s="4" t="str">
        <f>IFERROR(INDEX(样本到样信息汇总统计!B$2:B$500,MATCH(393,样本到样信息汇总统计!$AA$2:$AA$500,0)),"")</f>
        <v/>
      </c>
      <c r="C394" s="4" t="str">
        <f>IFERROR(INDEX(样本到样信息汇总统计!C$2:C$500,MATCH(393,样本到样信息汇总统计!$AA$2:$AA$500,0)),"")</f>
        <v/>
      </c>
      <c r="D394" s="4" t="str">
        <f>IFERROR(INDEX(样本到样信息汇总统计!D$2:D$500,MATCH(393,样本到样信息汇总统计!$AA$2:$AA$500,0)),"")</f>
        <v/>
      </c>
      <c r="E394" s="4" t="str">
        <f>IFERROR(INDEX(样本到样信息汇总统计!E$2:E$500,MATCH(393,样本到样信息汇总统计!$AA$2:$AA$500,0)),"")</f>
        <v/>
      </c>
      <c r="F394" s="4" t="str">
        <f>IFERROR(INDEX(样本到样信息汇总统计!F$2:F$500,MATCH(393,样本到样信息汇总统计!$AA$2:$AA$500,0)),"")</f>
        <v/>
      </c>
      <c r="G394" s="4" t="str">
        <f>IFERROR(INDEX(样本到样信息汇总统计!G$2:G$500,MATCH(393,样本到样信息汇总统计!$AA$2:$AA$500,0)),"")</f>
        <v/>
      </c>
      <c r="H394" s="4" t="str">
        <f>IFERROR(INDEX(样本到样信息汇总统计!H$2:H$500,MATCH(393,样本到样信息汇总统计!$AA$2:$AA$500,0)),"")</f>
        <v/>
      </c>
      <c r="I394" s="4" t="str">
        <f>IFERROR(INDEX(样本到样信息汇总统计!I$2:I$500,MATCH(393,样本到样信息汇总统计!$AA$2:$AA$500,0)),"")</f>
        <v/>
      </c>
      <c r="J394" s="4" t="str">
        <f>IFERROR(INDEX(样本到样信息汇总统计!J$2:J$500,MATCH(393,样本到样信息汇总统计!$AA$2:$AA$500,0)),"")</f>
        <v/>
      </c>
      <c r="K394" s="4" t="str">
        <f>IFERROR(INDEX(样本到样信息汇总统计!K$2:K$500,MATCH(393,样本到样信息汇总统计!$AA$2:$AA$500,0)),"")</f>
        <v/>
      </c>
      <c r="L394" s="4" t="str">
        <f>IFERROR(INDEX(样本到样信息汇总统计!L$2:L$500,MATCH(393,样本到样信息汇总统计!$AA$2:$AA$500,0)),"")</f>
        <v/>
      </c>
      <c r="M394" s="4" t="str">
        <f>IFERROR(INDEX(样本到样信息汇总统计!M$2:M$500,MATCH(393,样本到样信息汇总统计!$AA$2:$AA$500,0)),"")</f>
        <v/>
      </c>
      <c r="N394" s="4" t="str">
        <f>IFERROR(INDEX(样本到样信息汇总统计!N$2:N$500,MATCH(393,样本到样信息汇总统计!$AA$2:$AA$500,0)),"")</f>
        <v/>
      </c>
      <c r="O394" s="4" t="str">
        <f>IFERROR(INDEX(样本到样信息汇总统计!O$2:O$500,MATCH(393,样本到样信息汇总统计!$AA$2:$AA$500,0)),"")</f>
        <v/>
      </c>
      <c r="P394" s="4" t="str">
        <f>IFERROR(INDEX(样本到样信息汇总统计!P$2:P$500,MATCH(393,样本到样信息汇总统计!$AA$2:$AA$500,0)),"")</f>
        <v/>
      </c>
      <c r="Q394" s="4" t="str">
        <f>IFERROR(INDEX(样本到样信息汇总统计!Q$2:Q$500,MATCH(393,样本到样信息汇总统计!$AA$2:$AA$500,0)),"")</f>
        <v/>
      </c>
      <c r="R394" s="4" t="str">
        <f>IFERROR(INDEX(样本到样信息汇总统计!R$2:R$500,MATCH(393,样本到样信息汇总统计!$AA$2:$AA$500,0)),"")</f>
        <v/>
      </c>
      <c r="S394" s="4" t="str">
        <f>IFERROR(INDEX(样本到样信息汇总统计!S$2:S$500,MATCH(393,样本到样信息汇总统计!$AA$2:$AA$500,0)),"")</f>
        <v/>
      </c>
      <c r="T394" s="4" t="str">
        <f>IFERROR(INDEX(样本到样信息汇总统计!T$2:T$500,MATCH(393,样本到样信息汇总统计!$AA$2:$AA$500,0)),"")</f>
        <v/>
      </c>
      <c r="U394" s="4" t="str">
        <f>IFERROR(INDEX(样本到样信息汇总统计!U$2:U$500,MATCH(393,样本到样信息汇总统计!$AA$2:$AA$500,0)),"")</f>
        <v/>
      </c>
      <c r="V394" s="4" t="str">
        <f>IFERROR(INDEX(样本到样信息汇总统计!V$2:V$500,MATCH(393,样本到样信息汇总统计!$AA$2:$AA$500,0)),"")</f>
        <v/>
      </c>
      <c r="W394" s="4" t="str">
        <f>IFERROR(INDEX(样本到样信息汇总统计!W$2:W$500,MATCH(393,样本到样信息汇总统计!$AA$2:$AA$500,0)),"")</f>
        <v/>
      </c>
    </row>
    <row r="395" ht="14.5" spans="1:23">
      <c r="A395" s="8" t="str">
        <f>IFERROR(INDEX(样本到样信息汇总统计!A$2:A$500,MATCH(394,样本到样信息汇总统计!$AA$2:$AA$500,0)),"")</f>
        <v/>
      </c>
      <c r="B395" s="8" t="str">
        <f>IFERROR(INDEX(样本到样信息汇总统计!B$2:B$500,MATCH(394,样本到样信息汇总统计!$AA$2:$AA$500,0)),"")</f>
        <v/>
      </c>
      <c r="C395" s="8" t="str">
        <f>IFERROR(INDEX(样本到样信息汇总统计!C$2:C$500,MATCH(394,样本到样信息汇总统计!$AA$2:$AA$500,0)),"")</f>
        <v/>
      </c>
      <c r="D395" s="8" t="str">
        <f>IFERROR(INDEX(样本到样信息汇总统计!D$2:D$500,MATCH(394,样本到样信息汇总统计!$AA$2:$AA$500,0)),"")</f>
        <v/>
      </c>
      <c r="E395" s="8" t="str">
        <f>IFERROR(INDEX(样本到样信息汇总统计!E$2:E$500,MATCH(394,样本到样信息汇总统计!$AA$2:$AA$500,0)),"")</f>
        <v/>
      </c>
      <c r="F395" s="8" t="str">
        <f>IFERROR(INDEX(样本到样信息汇总统计!F$2:F$500,MATCH(394,样本到样信息汇总统计!$AA$2:$AA$500,0)),"")</f>
        <v/>
      </c>
      <c r="G395" s="8" t="str">
        <f>IFERROR(INDEX(样本到样信息汇总统计!G$2:G$500,MATCH(394,样本到样信息汇总统计!$AA$2:$AA$500,0)),"")</f>
        <v/>
      </c>
      <c r="H395" s="8" t="str">
        <f>IFERROR(INDEX(样本到样信息汇总统计!H$2:H$500,MATCH(394,样本到样信息汇总统计!$AA$2:$AA$500,0)),"")</f>
        <v/>
      </c>
      <c r="I395" s="8" t="str">
        <f>IFERROR(INDEX(样本到样信息汇总统计!I$2:I$500,MATCH(394,样本到样信息汇总统计!$AA$2:$AA$500,0)),"")</f>
        <v/>
      </c>
      <c r="J395" s="8" t="str">
        <f>IFERROR(INDEX(样本到样信息汇总统计!J$2:J$500,MATCH(394,样本到样信息汇总统计!$AA$2:$AA$500,0)),"")</f>
        <v/>
      </c>
      <c r="K395" s="8" t="str">
        <f>IFERROR(INDEX(样本到样信息汇总统计!K$2:K$500,MATCH(394,样本到样信息汇总统计!$AA$2:$AA$500,0)),"")</f>
        <v/>
      </c>
      <c r="L395" s="8" t="str">
        <f>IFERROR(INDEX(样本到样信息汇总统计!L$2:L$500,MATCH(394,样本到样信息汇总统计!$AA$2:$AA$500,0)),"")</f>
        <v/>
      </c>
      <c r="M395" s="8" t="str">
        <f>IFERROR(INDEX(样本到样信息汇总统计!M$2:M$500,MATCH(394,样本到样信息汇总统计!$AA$2:$AA$500,0)),"")</f>
        <v/>
      </c>
      <c r="N395" s="8" t="str">
        <f>IFERROR(INDEX(样本到样信息汇总统计!N$2:N$500,MATCH(394,样本到样信息汇总统计!$AA$2:$AA$500,0)),"")</f>
        <v/>
      </c>
      <c r="O395" s="8" t="str">
        <f>IFERROR(INDEX(样本到样信息汇总统计!O$2:O$500,MATCH(394,样本到样信息汇总统计!$AA$2:$AA$500,0)),"")</f>
        <v/>
      </c>
      <c r="P395" s="8" t="str">
        <f>IFERROR(INDEX(样本到样信息汇总统计!P$2:P$500,MATCH(394,样本到样信息汇总统计!$AA$2:$AA$500,0)),"")</f>
        <v/>
      </c>
      <c r="Q395" s="8" t="str">
        <f>IFERROR(INDEX(样本到样信息汇总统计!Q$2:Q$500,MATCH(394,样本到样信息汇总统计!$AA$2:$AA$500,0)),"")</f>
        <v/>
      </c>
      <c r="R395" s="8" t="str">
        <f>IFERROR(INDEX(样本到样信息汇总统计!R$2:R$500,MATCH(394,样本到样信息汇总统计!$AA$2:$AA$500,0)),"")</f>
        <v/>
      </c>
      <c r="S395" s="8" t="str">
        <f>IFERROR(INDEX(样本到样信息汇总统计!S$2:S$500,MATCH(394,样本到样信息汇总统计!$AA$2:$AA$500,0)),"")</f>
        <v/>
      </c>
      <c r="T395" s="8" t="str">
        <f>IFERROR(INDEX(样本到样信息汇总统计!T$2:T$500,MATCH(394,样本到样信息汇总统计!$AA$2:$AA$500,0)),"")</f>
        <v/>
      </c>
      <c r="U395" s="8" t="str">
        <f>IFERROR(INDEX(样本到样信息汇总统计!U$2:U$500,MATCH(394,样本到样信息汇总统计!$AA$2:$AA$500,0)),"")</f>
        <v/>
      </c>
      <c r="V395" s="8" t="str">
        <f>IFERROR(INDEX(样本到样信息汇总统计!V$2:V$500,MATCH(394,样本到样信息汇总统计!$AA$2:$AA$500,0)),"")</f>
        <v/>
      </c>
      <c r="W395" s="8" t="str">
        <f>IFERROR(INDEX(样本到样信息汇总统计!W$2:W$500,MATCH(394,样本到样信息汇总统计!$AA$2:$AA$500,0)),"")</f>
        <v/>
      </c>
    </row>
    <row r="396" ht="14.5" spans="1:23">
      <c r="A396" s="4" t="str">
        <f>IFERROR(INDEX(样本到样信息汇总统计!A$2:A$500,MATCH(395,样本到样信息汇总统计!$AA$2:$AA$500,0)),"")</f>
        <v/>
      </c>
      <c r="B396" s="4" t="str">
        <f>IFERROR(INDEX(样本到样信息汇总统计!B$2:B$500,MATCH(395,样本到样信息汇总统计!$AA$2:$AA$500,0)),"")</f>
        <v/>
      </c>
      <c r="C396" s="4" t="str">
        <f>IFERROR(INDEX(样本到样信息汇总统计!C$2:C$500,MATCH(395,样本到样信息汇总统计!$AA$2:$AA$500,0)),"")</f>
        <v/>
      </c>
      <c r="D396" s="4" t="str">
        <f>IFERROR(INDEX(样本到样信息汇总统计!D$2:D$500,MATCH(395,样本到样信息汇总统计!$AA$2:$AA$500,0)),"")</f>
        <v/>
      </c>
      <c r="E396" s="4" t="str">
        <f>IFERROR(INDEX(样本到样信息汇总统计!E$2:E$500,MATCH(395,样本到样信息汇总统计!$AA$2:$AA$500,0)),"")</f>
        <v/>
      </c>
      <c r="F396" s="4" t="str">
        <f>IFERROR(INDEX(样本到样信息汇总统计!F$2:F$500,MATCH(395,样本到样信息汇总统计!$AA$2:$AA$500,0)),"")</f>
        <v/>
      </c>
      <c r="G396" s="4" t="str">
        <f>IFERROR(INDEX(样本到样信息汇总统计!G$2:G$500,MATCH(395,样本到样信息汇总统计!$AA$2:$AA$500,0)),"")</f>
        <v/>
      </c>
      <c r="H396" s="4" t="str">
        <f>IFERROR(INDEX(样本到样信息汇总统计!H$2:H$500,MATCH(395,样本到样信息汇总统计!$AA$2:$AA$500,0)),"")</f>
        <v/>
      </c>
      <c r="I396" s="4" t="str">
        <f>IFERROR(INDEX(样本到样信息汇总统计!I$2:I$500,MATCH(395,样本到样信息汇总统计!$AA$2:$AA$500,0)),"")</f>
        <v/>
      </c>
      <c r="J396" s="4" t="str">
        <f>IFERROR(INDEX(样本到样信息汇总统计!J$2:J$500,MATCH(395,样本到样信息汇总统计!$AA$2:$AA$500,0)),"")</f>
        <v/>
      </c>
      <c r="K396" s="4" t="str">
        <f>IFERROR(INDEX(样本到样信息汇总统计!K$2:K$500,MATCH(395,样本到样信息汇总统计!$AA$2:$AA$500,0)),"")</f>
        <v/>
      </c>
      <c r="L396" s="4" t="str">
        <f>IFERROR(INDEX(样本到样信息汇总统计!L$2:L$500,MATCH(395,样本到样信息汇总统计!$AA$2:$AA$500,0)),"")</f>
        <v/>
      </c>
      <c r="M396" s="4" t="str">
        <f>IFERROR(INDEX(样本到样信息汇总统计!M$2:M$500,MATCH(395,样本到样信息汇总统计!$AA$2:$AA$500,0)),"")</f>
        <v/>
      </c>
      <c r="N396" s="4" t="str">
        <f>IFERROR(INDEX(样本到样信息汇总统计!N$2:N$500,MATCH(395,样本到样信息汇总统计!$AA$2:$AA$500,0)),"")</f>
        <v/>
      </c>
      <c r="O396" s="4" t="str">
        <f>IFERROR(INDEX(样本到样信息汇总统计!O$2:O$500,MATCH(395,样本到样信息汇总统计!$AA$2:$AA$500,0)),"")</f>
        <v/>
      </c>
      <c r="P396" s="4" t="str">
        <f>IFERROR(INDEX(样本到样信息汇总统计!P$2:P$500,MATCH(395,样本到样信息汇总统计!$AA$2:$AA$500,0)),"")</f>
        <v/>
      </c>
      <c r="Q396" s="4" t="str">
        <f>IFERROR(INDEX(样本到样信息汇总统计!Q$2:Q$500,MATCH(395,样本到样信息汇总统计!$AA$2:$AA$500,0)),"")</f>
        <v/>
      </c>
      <c r="R396" s="4" t="str">
        <f>IFERROR(INDEX(样本到样信息汇总统计!R$2:R$500,MATCH(395,样本到样信息汇总统计!$AA$2:$AA$500,0)),"")</f>
        <v/>
      </c>
      <c r="S396" s="4" t="str">
        <f>IFERROR(INDEX(样本到样信息汇总统计!S$2:S$500,MATCH(395,样本到样信息汇总统计!$AA$2:$AA$500,0)),"")</f>
        <v/>
      </c>
      <c r="T396" s="4" t="str">
        <f>IFERROR(INDEX(样本到样信息汇总统计!T$2:T$500,MATCH(395,样本到样信息汇总统计!$AA$2:$AA$500,0)),"")</f>
        <v/>
      </c>
      <c r="U396" s="4" t="str">
        <f>IFERROR(INDEX(样本到样信息汇总统计!U$2:U$500,MATCH(395,样本到样信息汇总统计!$AA$2:$AA$500,0)),"")</f>
        <v/>
      </c>
      <c r="V396" s="4" t="str">
        <f>IFERROR(INDEX(样本到样信息汇总统计!V$2:V$500,MATCH(395,样本到样信息汇总统计!$AA$2:$AA$500,0)),"")</f>
        <v/>
      </c>
      <c r="W396" s="4" t="str">
        <f>IFERROR(INDEX(样本到样信息汇总统计!W$2:W$500,MATCH(395,样本到样信息汇总统计!$AA$2:$AA$500,0)),"")</f>
        <v/>
      </c>
    </row>
    <row r="397" ht="14.5" spans="1:23">
      <c r="A397" s="8" t="str">
        <f>IFERROR(INDEX(样本到样信息汇总统计!A$2:A$500,MATCH(396,样本到样信息汇总统计!$AA$2:$AA$500,0)),"")</f>
        <v/>
      </c>
      <c r="B397" s="8" t="str">
        <f>IFERROR(INDEX(样本到样信息汇总统计!B$2:B$500,MATCH(396,样本到样信息汇总统计!$AA$2:$AA$500,0)),"")</f>
        <v/>
      </c>
      <c r="C397" s="8" t="str">
        <f>IFERROR(INDEX(样本到样信息汇总统计!C$2:C$500,MATCH(396,样本到样信息汇总统计!$AA$2:$AA$500,0)),"")</f>
        <v/>
      </c>
      <c r="D397" s="8" t="str">
        <f>IFERROR(INDEX(样本到样信息汇总统计!D$2:D$500,MATCH(396,样本到样信息汇总统计!$AA$2:$AA$500,0)),"")</f>
        <v/>
      </c>
      <c r="E397" s="8" t="str">
        <f>IFERROR(INDEX(样本到样信息汇总统计!E$2:E$500,MATCH(396,样本到样信息汇总统计!$AA$2:$AA$500,0)),"")</f>
        <v/>
      </c>
      <c r="F397" s="8" t="str">
        <f>IFERROR(INDEX(样本到样信息汇总统计!F$2:F$500,MATCH(396,样本到样信息汇总统计!$AA$2:$AA$500,0)),"")</f>
        <v/>
      </c>
      <c r="G397" s="8" t="str">
        <f>IFERROR(INDEX(样本到样信息汇总统计!G$2:G$500,MATCH(396,样本到样信息汇总统计!$AA$2:$AA$500,0)),"")</f>
        <v/>
      </c>
      <c r="H397" s="8" t="str">
        <f>IFERROR(INDEX(样本到样信息汇总统计!H$2:H$500,MATCH(396,样本到样信息汇总统计!$AA$2:$AA$500,0)),"")</f>
        <v/>
      </c>
      <c r="I397" s="8" t="str">
        <f>IFERROR(INDEX(样本到样信息汇总统计!I$2:I$500,MATCH(396,样本到样信息汇总统计!$AA$2:$AA$500,0)),"")</f>
        <v/>
      </c>
      <c r="J397" s="8" t="str">
        <f>IFERROR(INDEX(样本到样信息汇总统计!J$2:J$500,MATCH(396,样本到样信息汇总统计!$AA$2:$AA$500,0)),"")</f>
        <v/>
      </c>
      <c r="K397" s="8" t="str">
        <f>IFERROR(INDEX(样本到样信息汇总统计!K$2:K$500,MATCH(396,样本到样信息汇总统计!$AA$2:$AA$500,0)),"")</f>
        <v/>
      </c>
      <c r="L397" s="8" t="str">
        <f>IFERROR(INDEX(样本到样信息汇总统计!L$2:L$500,MATCH(396,样本到样信息汇总统计!$AA$2:$AA$500,0)),"")</f>
        <v/>
      </c>
      <c r="M397" s="8" t="str">
        <f>IFERROR(INDEX(样本到样信息汇总统计!M$2:M$500,MATCH(396,样本到样信息汇总统计!$AA$2:$AA$500,0)),"")</f>
        <v/>
      </c>
      <c r="N397" s="8" t="str">
        <f>IFERROR(INDEX(样本到样信息汇总统计!N$2:N$500,MATCH(396,样本到样信息汇总统计!$AA$2:$AA$500,0)),"")</f>
        <v/>
      </c>
      <c r="O397" s="8" t="str">
        <f>IFERROR(INDEX(样本到样信息汇总统计!O$2:O$500,MATCH(396,样本到样信息汇总统计!$AA$2:$AA$500,0)),"")</f>
        <v/>
      </c>
      <c r="P397" s="8" t="str">
        <f>IFERROR(INDEX(样本到样信息汇总统计!P$2:P$500,MATCH(396,样本到样信息汇总统计!$AA$2:$AA$500,0)),"")</f>
        <v/>
      </c>
      <c r="Q397" s="8" t="str">
        <f>IFERROR(INDEX(样本到样信息汇总统计!Q$2:Q$500,MATCH(396,样本到样信息汇总统计!$AA$2:$AA$500,0)),"")</f>
        <v/>
      </c>
      <c r="R397" s="8" t="str">
        <f>IFERROR(INDEX(样本到样信息汇总统计!R$2:R$500,MATCH(396,样本到样信息汇总统计!$AA$2:$AA$500,0)),"")</f>
        <v/>
      </c>
      <c r="S397" s="8" t="str">
        <f>IFERROR(INDEX(样本到样信息汇总统计!S$2:S$500,MATCH(396,样本到样信息汇总统计!$AA$2:$AA$500,0)),"")</f>
        <v/>
      </c>
      <c r="T397" s="8" t="str">
        <f>IFERROR(INDEX(样本到样信息汇总统计!T$2:T$500,MATCH(396,样本到样信息汇总统计!$AA$2:$AA$500,0)),"")</f>
        <v/>
      </c>
      <c r="U397" s="8" t="str">
        <f>IFERROR(INDEX(样本到样信息汇总统计!U$2:U$500,MATCH(396,样本到样信息汇总统计!$AA$2:$AA$500,0)),"")</f>
        <v/>
      </c>
      <c r="V397" s="8" t="str">
        <f>IFERROR(INDEX(样本到样信息汇总统计!V$2:V$500,MATCH(396,样本到样信息汇总统计!$AA$2:$AA$500,0)),"")</f>
        <v/>
      </c>
      <c r="W397" s="8" t="str">
        <f>IFERROR(INDEX(样本到样信息汇总统计!W$2:W$500,MATCH(396,样本到样信息汇总统计!$AA$2:$AA$500,0)),"")</f>
        <v/>
      </c>
    </row>
    <row r="398" ht="14.5" spans="1:23">
      <c r="A398" s="4" t="str">
        <f>IFERROR(INDEX(样本到样信息汇总统计!A$2:A$500,MATCH(397,样本到样信息汇总统计!$AA$2:$AA$500,0)),"")</f>
        <v/>
      </c>
      <c r="B398" s="4" t="str">
        <f>IFERROR(INDEX(样本到样信息汇总统计!B$2:B$500,MATCH(397,样本到样信息汇总统计!$AA$2:$AA$500,0)),"")</f>
        <v/>
      </c>
      <c r="C398" s="4" t="str">
        <f>IFERROR(INDEX(样本到样信息汇总统计!C$2:C$500,MATCH(397,样本到样信息汇总统计!$AA$2:$AA$500,0)),"")</f>
        <v/>
      </c>
      <c r="D398" s="4" t="str">
        <f>IFERROR(INDEX(样本到样信息汇总统计!D$2:D$500,MATCH(397,样本到样信息汇总统计!$AA$2:$AA$500,0)),"")</f>
        <v/>
      </c>
      <c r="E398" s="4" t="str">
        <f>IFERROR(INDEX(样本到样信息汇总统计!E$2:E$500,MATCH(397,样本到样信息汇总统计!$AA$2:$AA$500,0)),"")</f>
        <v/>
      </c>
      <c r="F398" s="4" t="str">
        <f>IFERROR(INDEX(样本到样信息汇总统计!F$2:F$500,MATCH(397,样本到样信息汇总统计!$AA$2:$AA$500,0)),"")</f>
        <v/>
      </c>
      <c r="G398" s="4" t="str">
        <f>IFERROR(INDEX(样本到样信息汇总统计!G$2:G$500,MATCH(397,样本到样信息汇总统计!$AA$2:$AA$500,0)),"")</f>
        <v/>
      </c>
      <c r="H398" s="4" t="str">
        <f>IFERROR(INDEX(样本到样信息汇总统计!H$2:H$500,MATCH(397,样本到样信息汇总统计!$AA$2:$AA$500,0)),"")</f>
        <v/>
      </c>
      <c r="I398" s="4" t="str">
        <f>IFERROR(INDEX(样本到样信息汇总统计!I$2:I$500,MATCH(397,样本到样信息汇总统计!$AA$2:$AA$500,0)),"")</f>
        <v/>
      </c>
      <c r="J398" s="4" t="str">
        <f>IFERROR(INDEX(样本到样信息汇总统计!J$2:J$500,MATCH(397,样本到样信息汇总统计!$AA$2:$AA$500,0)),"")</f>
        <v/>
      </c>
      <c r="K398" s="4" t="str">
        <f>IFERROR(INDEX(样本到样信息汇总统计!K$2:K$500,MATCH(397,样本到样信息汇总统计!$AA$2:$AA$500,0)),"")</f>
        <v/>
      </c>
      <c r="L398" s="4" t="str">
        <f>IFERROR(INDEX(样本到样信息汇总统计!L$2:L$500,MATCH(397,样本到样信息汇总统计!$AA$2:$AA$500,0)),"")</f>
        <v/>
      </c>
      <c r="M398" s="4" t="str">
        <f>IFERROR(INDEX(样本到样信息汇总统计!M$2:M$500,MATCH(397,样本到样信息汇总统计!$AA$2:$AA$500,0)),"")</f>
        <v/>
      </c>
      <c r="N398" s="4" t="str">
        <f>IFERROR(INDEX(样本到样信息汇总统计!N$2:N$500,MATCH(397,样本到样信息汇总统计!$AA$2:$AA$500,0)),"")</f>
        <v/>
      </c>
      <c r="O398" s="4" t="str">
        <f>IFERROR(INDEX(样本到样信息汇总统计!O$2:O$500,MATCH(397,样本到样信息汇总统计!$AA$2:$AA$500,0)),"")</f>
        <v/>
      </c>
      <c r="P398" s="4" t="str">
        <f>IFERROR(INDEX(样本到样信息汇总统计!P$2:P$500,MATCH(397,样本到样信息汇总统计!$AA$2:$AA$500,0)),"")</f>
        <v/>
      </c>
      <c r="Q398" s="4" t="str">
        <f>IFERROR(INDEX(样本到样信息汇总统计!Q$2:Q$500,MATCH(397,样本到样信息汇总统计!$AA$2:$AA$500,0)),"")</f>
        <v/>
      </c>
      <c r="R398" s="4" t="str">
        <f>IFERROR(INDEX(样本到样信息汇总统计!R$2:R$500,MATCH(397,样本到样信息汇总统计!$AA$2:$AA$500,0)),"")</f>
        <v/>
      </c>
      <c r="S398" s="4" t="str">
        <f>IFERROR(INDEX(样本到样信息汇总统计!S$2:S$500,MATCH(397,样本到样信息汇总统计!$AA$2:$AA$500,0)),"")</f>
        <v/>
      </c>
      <c r="T398" s="4" t="str">
        <f>IFERROR(INDEX(样本到样信息汇总统计!T$2:T$500,MATCH(397,样本到样信息汇总统计!$AA$2:$AA$500,0)),"")</f>
        <v/>
      </c>
      <c r="U398" s="4" t="str">
        <f>IFERROR(INDEX(样本到样信息汇总统计!U$2:U$500,MATCH(397,样本到样信息汇总统计!$AA$2:$AA$500,0)),"")</f>
        <v/>
      </c>
      <c r="V398" s="4" t="str">
        <f>IFERROR(INDEX(样本到样信息汇总统计!V$2:V$500,MATCH(397,样本到样信息汇总统计!$AA$2:$AA$500,0)),"")</f>
        <v/>
      </c>
      <c r="W398" s="4" t="str">
        <f>IFERROR(INDEX(样本到样信息汇总统计!W$2:W$500,MATCH(397,样本到样信息汇总统计!$AA$2:$AA$500,0)),"")</f>
        <v/>
      </c>
    </row>
    <row r="399" ht="14.5" spans="1:23">
      <c r="A399" s="8" t="str">
        <f>IFERROR(INDEX(样本到样信息汇总统计!A$2:A$500,MATCH(398,样本到样信息汇总统计!$AA$2:$AA$500,0)),"")</f>
        <v/>
      </c>
      <c r="B399" s="8" t="str">
        <f>IFERROR(INDEX(样本到样信息汇总统计!B$2:B$500,MATCH(398,样本到样信息汇总统计!$AA$2:$AA$500,0)),"")</f>
        <v/>
      </c>
      <c r="C399" s="8" t="str">
        <f>IFERROR(INDEX(样本到样信息汇总统计!C$2:C$500,MATCH(398,样本到样信息汇总统计!$AA$2:$AA$500,0)),"")</f>
        <v/>
      </c>
      <c r="D399" s="8" t="str">
        <f>IFERROR(INDEX(样本到样信息汇总统计!D$2:D$500,MATCH(398,样本到样信息汇总统计!$AA$2:$AA$500,0)),"")</f>
        <v/>
      </c>
      <c r="E399" s="8" t="str">
        <f>IFERROR(INDEX(样本到样信息汇总统计!E$2:E$500,MATCH(398,样本到样信息汇总统计!$AA$2:$AA$500,0)),"")</f>
        <v/>
      </c>
      <c r="F399" s="8" t="str">
        <f>IFERROR(INDEX(样本到样信息汇总统计!F$2:F$500,MATCH(398,样本到样信息汇总统计!$AA$2:$AA$500,0)),"")</f>
        <v/>
      </c>
      <c r="G399" s="8" t="str">
        <f>IFERROR(INDEX(样本到样信息汇总统计!G$2:G$500,MATCH(398,样本到样信息汇总统计!$AA$2:$AA$500,0)),"")</f>
        <v/>
      </c>
      <c r="H399" s="8" t="str">
        <f>IFERROR(INDEX(样本到样信息汇总统计!H$2:H$500,MATCH(398,样本到样信息汇总统计!$AA$2:$AA$500,0)),"")</f>
        <v/>
      </c>
      <c r="I399" s="8" t="str">
        <f>IFERROR(INDEX(样本到样信息汇总统计!I$2:I$500,MATCH(398,样本到样信息汇总统计!$AA$2:$AA$500,0)),"")</f>
        <v/>
      </c>
      <c r="J399" s="8" t="str">
        <f>IFERROR(INDEX(样本到样信息汇总统计!J$2:J$500,MATCH(398,样本到样信息汇总统计!$AA$2:$AA$500,0)),"")</f>
        <v/>
      </c>
      <c r="K399" s="8" t="str">
        <f>IFERROR(INDEX(样本到样信息汇总统计!K$2:K$500,MATCH(398,样本到样信息汇总统计!$AA$2:$AA$500,0)),"")</f>
        <v/>
      </c>
      <c r="L399" s="8" t="str">
        <f>IFERROR(INDEX(样本到样信息汇总统计!L$2:L$500,MATCH(398,样本到样信息汇总统计!$AA$2:$AA$500,0)),"")</f>
        <v/>
      </c>
      <c r="M399" s="8" t="str">
        <f>IFERROR(INDEX(样本到样信息汇总统计!M$2:M$500,MATCH(398,样本到样信息汇总统计!$AA$2:$AA$500,0)),"")</f>
        <v/>
      </c>
      <c r="N399" s="8" t="str">
        <f>IFERROR(INDEX(样本到样信息汇总统计!N$2:N$500,MATCH(398,样本到样信息汇总统计!$AA$2:$AA$500,0)),"")</f>
        <v/>
      </c>
      <c r="O399" s="8" t="str">
        <f>IFERROR(INDEX(样本到样信息汇总统计!O$2:O$500,MATCH(398,样本到样信息汇总统计!$AA$2:$AA$500,0)),"")</f>
        <v/>
      </c>
      <c r="P399" s="8" t="str">
        <f>IFERROR(INDEX(样本到样信息汇总统计!P$2:P$500,MATCH(398,样本到样信息汇总统计!$AA$2:$AA$500,0)),"")</f>
        <v/>
      </c>
      <c r="Q399" s="8" t="str">
        <f>IFERROR(INDEX(样本到样信息汇总统计!Q$2:Q$500,MATCH(398,样本到样信息汇总统计!$AA$2:$AA$500,0)),"")</f>
        <v/>
      </c>
      <c r="R399" s="8" t="str">
        <f>IFERROR(INDEX(样本到样信息汇总统计!R$2:R$500,MATCH(398,样本到样信息汇总统计!$AA$2:$AA$500,0)),"")</f>
        <v/>
      </c>
      <c r="S399" s="8" t="str">
        <f>IFERROR(INDEX(样本到样信息汇总统计!S$2:S$500,MATCH(398,样本到样信息汇总统计!$AA$2:$AA$500,0)),"")</f>
        <v/>
      </c>
      <c r="T399" s="8" t="str">
        <f>IFERROR(INDEX(样本到样信息汇总统计!T$2:T$500,MATCH(398,样本到样信息汇总统计!$AA$2:$AA$500,0)),"")</f>
        <v/>
      </c>
      <c r="U399" s="8" t="str">
        <f>IFERROR(INDEX(样本到样信息汇总统计!U$2:U$500,MATCH(398,样本到样信息汇总统计!$AA$2:$AA$500,0)),"")</f>
        <v/>
      </c>
      <c r="V399" s="8" t="str">
        <f>IFERROR(INDEX(样本到样信息汇总统计!V$2:V$500,MATCH(398,样本到样信息汇总统计!$AA$2:$AA$500,0)),"")</f>
        <v/>
      </c>
      <c r="W399" s="8" t="str">
        <f>IFERROR(INDEX(样本到样信息汇总统计!W$2:W$500,MATCH(398,样本到样信息汇总统计!$AA$2:$AA$500,0)),"")</f>
        <v/>
      </c>
    </row>
    <row r="400" ht="14.5" spans="1:23">
      <c r="A400" s="4" t="str">
        <f>IFERROR(INDEX(样本到样信息汇总统计!A$2:A$500,MATCH(399,样本到样信息汇总统计!$AA$2:$AA$500,0)),"")</f>
        <v/>
      </c>
      <c r="B400" s="4" t="str">
        <f>IFERROR(INDEX(样本到样信息汇总统计!B$2:B$500,MATCH(399,样本到样信息汇总统计!$AA$2:$AA$500,0)),"")</f>
        <v/>
      </c>
      <c r="C400" s="4" t="str">
        <f>IFERROR(INDEX(样本到样信息汇总统计!C$2:C$500,MATCH(399,样本到样信息汇总统计!$AA$2:$AA$500,0)),"")</f>
        <v/>
      </c>
      <c r="D400" s="4" t="str">
        <f>IFERROR(INDEX(样本到样信息汇总统计!D$2:D$500,MATCH(399,样本到样信息汇总统计!$AA$2:$AA$500,0)),"")</f>
        <v/>
      </c>
      <c r="E400" s="4" t="str">
        <f>IFERROR(INDEX(样本到样信息汇总统计!E$2:E$500,MATCH(399,样本到样信息汇总统计!$AA$2:$AA$500,0)),"")</f>
        <v/>
      </c>
      <c r="F400" s="4" t="str">
        <f>IFERROR(INDEX(样本到样信息汇总统计!F$2:F$500,MATCH(399,样本到样信息汇总统计!$AA$2:$AA$500,0)),"")</f>
        <v/>
      </c>
      <c r="G400" s="4" t="str">
        <f>IFERROR(INDEX(样本到样信息汇总统计!G$2:G$500,MATCH(399,样本到样信息汇总统计!$AA$2:$AA$500,0)),"")</f>
        <v/>
      </c>
      <c r="H400" s="4" t="str">
        <f>IFERROR(INDEX(样本到样信息汇总统计!H$2:H$500,MATCH(399,样本到样信息汇总统计!$AA$2:$AA$500,0)),"")</f>
        <v/>
      </c>
      <c r="I400" s="4" t="str">
        <f>IFERROR(INDEX(样本到样信息汇总统计!I$2:I$500,MATCH(399,样本到样信息汇总统计!$AA$2:$AA$500,0)),"")</f>
        <v/>
      </c>
      <c r="J400" s="4" t="str">
        <f>IFERROR(INDEX(样本到样信息汇总统计!J$2:J$500,MATCH(399,样本到样信息汇总统计!$AA$2:$AA$500,0)),"")</f>
        <v/>
      </c>
      <c r="K400" s="4" t="str">
        <f>IFERROR(INDEX(样本到样信息汇总统计!K$2:K$500,MATCH(399,样本到样信息汇总统计!$AA$2:$AA$500,0)),"")</f>
        <v/>
      </c>
      <c r="L400" s="4" t="str">
        <f>IFERROR(INDEX(样本到样信息汇总统计!L$2:L$500,MATCH(399,样本到样信息汇总统计!$AA$2:$AA$500,0)),"")</f>
        <v/>
      </c>
      <c r="M400" s="4" t="str">
        <f>IFERROR(INDEX(样本到样信息汇总统计!M$2:M$500,MATCH(399,样本到样信息汇总统计!$AA$2:$AA$500,0)),"")</f>
        <v/>
      </c>
      <c r="N400" s="4" t="str">
        <f>IFERROR(INDEX(样本到样信息汇总统计!N$2:N$500,MATCH(399,样本到样信息汇总统计!$AA$2:$AA$500,0)),"")</f>
        <v/>
      </c>
      <c r="O400" s="4" t="str">
        <f>IFERROR(INDEX(样本到样信息汇总统计!O$2:O$500,MATCH(399,样本到样信息汇总统计!$AA$2:$AA$500,0)),"")</f>
        <v/>
      </c>
      <c r="P400" s="4" t="str">
        <f>IFERROR(INDEX(样本到样信息汇总统计!P$2:P$500,MATCH(399,样本到样信息汇总统计!$AA$2:$AA$500,0)),"")</f>
        <v/>
      </c>
      <c r="Q400" s="4" t="str">
        <f>IFERROR(INDEX(样本到样信息汇总统计!Q$2:Q$500,MATCH(399,样本到样信息汇总统计!$AA$2:$AA$500,0)),"")</f>
        <v/>
      </c>
      <c r="R400" s="4" t="str">
        <f>IFERROR(INDEX(样本到样信息汇总统计!R$2:R$500,MATCH(399,样本到样信息汇总统计!$AA$2:$AA$500,0)),"")</f>
        <v/>
      </c>
      <c r="S400" s="4" t="str">
        <f>IFERROR(INDEX(样本到样信息汇总统计!S$2:S$500,MATCH(399,样本到样信息汇总统计!$AA$2:$AA$500,0)),"")</f>
        <v/>
      </c>
      <c r="T400" s="4" t="str">
        <f>IFERROR(INDEX(样本到样信息汇总统计!T$2:T$500,MATCH(399,样本到样信息汇总统计!$AA$2:$AA$500,0)),"")</f>
        <v/>
      </c>
      <c r="U400" s="4" t="str">
        <f>IFERROR(INDEX(样本到样信息汇总统计!U$2:U$500,MATCH(399,样本到样信息汇总统计!$AA$2:$AA$500,0)),"")</f>
        <v/>
      </c>
      <c r="V400" s="4" t="str">
        <f>IFERROR(INDEX(样本到样信息汇总统计!V$2:V$500,MATCH(399,样本到样信息汇总统计!$AA$2:$AA$500,0)),"")</f>
        <v/>
      </c>
      <c r="W400" s="4" t="str">
        <f>IFERROR(INDEX(样本到样信息汇总统计!W$2:W$500,MATCH(399,样本到样信息汇总统计!$AA$2:$AA$500,0)),"")</f>
        <v/>
      </c>
    </row>
    <row r="401" ht="14.5" spans="1:23">
      <c r="A401" s="8" t="str">
        <f>IFERROR(INDEX(样本到样信息汇总统计!A$2:A$500,MATCH(400,样本到样信息汇总统计!$AA$2:$AA$500,0)),"")</f>
        <v/>
      </c>
      <c r="B401" s="8" t="str">
        <f>IFERROR(INDEX(样本到样信息汇总统计!B$2:B$500,MATCH(400,样本到样信息汇总统计!$AA$2:$AA$500,0)),"")</f>
        <v/>
      </c>
      <c r="C401" s="8" t="str">
        <f>IFERROR(INDEX(样本到样信息汇总统计!C$2:C$500,MATCH(400,样本到样信息汇总统计!$AA$2:$AA$500,0)),"")</f>
        <v/>
      </c>
      <c r="D401" s="8" t="str">
        <f>IFERROR(INDEX(样本到样信息汇总统计!D$2:D$500,MATCH(400,样本到样信息汇总统计!$AA$2:$AA$500,0)),"")</f>
        <v/>
      </c>
      <c r="E401" s="8" t="str">
        <f>IFERROR(INDEX(样本到样信息汇总统计!E$2:E$500,MATCH(400,样本到样信息汇总统计!$AA$2:$AA$500,0)),"")</f>
        <v/>
      </c>
      <c r="F401" s="8" t="str">
        <f>IFERROR(INDEX(样本到样信息汇总统计!F$2:F$500,MATCH(400,样本到样信息汇总统计!$AA$2:$AA$500,0)),"")</f>
        <v/>
      </c>
      <c r="G401" s="8" t="str">
        <f>IFERROR(INDEX(样本到样信息汇总统计!G$2:G$500,MATCH(400,样本到样信息汇总统计!$AA$2:$AA$500,0)),"")</f>
        <v/>
      </c>
      <c r="H401" s="8" t="str">
        <f>IFERROR(INDEX(样本到样信息汇总统计!H$2:H$500,MATCH(400,样本到样信息汇总统计!$AA$2:$AA$500,0)),"")</f>
        <v/>
      </c>
      <c r="I401" s="8" t="str">
        <f>IFERROR(INDEX(样本到样信息汇总统计!I$2:I$500,MATCH(400,样本到样信息汇总统计!$AA$2:$AA$500,0)),"")</f>
        <v/>
      </c>
      <c r="J401" s="8" t="str">
        <f>IFERROR(INDEX(样本到样信息汇总统计!J$2:J$500,MATCH(400,样本到样信息汇总统计!$AA$2:$AA$500,0)),"")</f>
        <v/>
      </c>
      <c r="K401" s="8" t="str">
        <f>IFERROR(INDEX(样本到样信息汇总统计!K$2:K$500,MATCH(400,样本到样信息汇总统计!$AA$2:$AA$500,0)),"")</f>
        <v/>
      </c>
      <c r="L401" s="8" t="str">
        <f>IFERROR(INDEX(样本到样信息汇总统计!L$2:L$500,MATCH(400,样本到样信息汇总统计!$AA$2:$AA$500,0)),"")</f>
        <v/>
      </c>
      <c r="M401" s="8" t="str">
        <f>IFERROR(INDEX(样本到样信息汇总统计!M$2:M$500,MATCH(400,样本到样信息汇总统计!$AA$2:$AA$500,0)),"")</f>
        <v/>
      </c>
      <c r="N401" s="8" t="str">
        <f>IFERROR(INDEX(样本到样信息汇总统计!N$2:N$500,MATCH(400,样本到样信息汇总统计!$AA$2:$AA$500,0)),"")</f>
        <v/>
      </c>
      <c r="O401" s="8" t="str">
        <f>IFERROR(INDEX(样本到样信息汇总统计!O$2:O$500,MATCH(400,样本到样信息汇总统计!$AA$2:$AA$500,0)),"")</f>
        <v/>
      </c>
      <c r="P401" s="8" t="str">
        <f>IFERROR(INDEX(样本到样信息汇总统计!P$2:P$500,MATCH(400,样本到样信息汇总统计!$AA$2:$AA$500,0)),"")</f>
        <v/>
      </c>
      <c r="Q401" s="8" t="str">
        <f>IFERROR(INDEX(样本到样信息汇总统计!Q$2:Q$500,MATCH(400,样本到样信息汇总统计!$AA$2:$AA$500,0)),"")</f>
        <v/>
      </c>
      <c r="R401" s="8" t="str">
        <f>IFERROR(INDEX(样本到样信息汇总统计!R$2:R$500,MATCH(400,样本到样信息汇总统计!$AA$2:$AA$500,0)),"")</f>
        <v/>
      </c>
      <c r="S401" s="8" t="str">
        <f>IFERROR(INDEX(样本到样信息汇总统计!S$2:S$500,MATCH(400,样本到样信息汇总统计!$AA$2:$AA$500,0)),"")</f>
        <v/>
      </c>
      <c r="T401" s="8" t="str">
        <f>IFERROR(INDEX(样本到样信息汇总统计!T$2:T$500,MATCH(400,样本到样信息汇总统计!$AA$2:$AA$500,0)),"")</f>
        <v/>
      </c>
      <c r="U401" s="8" t="str">
        <f>IFERROR(INDEX(样本到样信息汇总统计!U$2:U$500,MATCH(400,样本到样信息汇总统计!$AA$2:$AA$500,0)),"")</f>
        <v/>
      </c>
      <c r="V401" s="8" t="str">
        <f>IFERROR(INDEX(样本到样信息汇总统计!V$2:V$500,MATCH(400,样本到样信息汇总统计!$AA$2:$AA$500,0)),"")</f>
        <v/>
      </c>
      <c r="W401" s="8" t="str">
        <f>IFERROR(INDEX(样本到样信息汇总统计!W$2:W$500,MATCH(400,样本到样信息汇总统计!$AA$2:$AA$500,0)),"")</f>
        <v/>
      </c>
    </row>
    <row r="402" ht="14.5" spans="1:23">
      <c r="A402" s="4" t="str">
        <f>IFERROR(INDEX(样本到样信息汇总统计!A$2:A$500,MATCH(401,样本到样信息汇总统计!$AA$2:$AA$500,0)),"")</f>
        <v/>
      </c>
      <c r="B402" s="4" t="str">
        <f>IFERROR(INDEX(样本到样信息汇总统计!B$2:B$500,MATCH(401,样本到样信息汇总统计!$AA$2:$AA$500,0)),"")</f>
        <v/>
      </c>
      <c r="C402" s="4" t="str">
        <f>IFERROR(INDEX(样本到样信息汇总统计!C$2:C$500,MATCH(401,样本到样信息汇总统计!$AA$2:$AA$500,0)),"")</f>
        <v/>
      </c>
      <c r="D402" s="4" t="str">
        <f>IFERROR(INDEX(样本到样信息汇总统计!D$2:D$500,MATCH(401,样本到样信息汇总统计!$AA$2:$AA$500,0)),"")</f>
        <v/>
      </c>
      <c r="E402" s="4" t="str">
        <f>IFERROR(INDEX(样本到样信息汇总统计!E$2:E$500,MATCH(401,样本到样信息汇总统计!$AA$2:$AA$500,0)),"")</f>
        <v/>
      </c>
      <c r="F402" s="4" t="str">
        <f>IFERROR(INDEX(样本到样信息汇总统计!F$2:F$500,MATCH(401,样本到样信息汇总统计!$AA$2:$AA$500,0)),"")</f>
        <v/>
      </c>
      <c r="G402" s="4" t="str">
        <f>IFERROR(INDEX(样本到样信息汇总统计!G$2:G$500,MATCH(401,样本到样信息汇总统计!$AA$2:$AA$500,0)),"")</f>
        <v/>
      </c>
      <c r="H402" s="4" t="str">
        <f>IFERROR(INDEX(样本到样信息汇总统计!H$2:H$500,MATCH(401,样本到样信息汇总统计!$AA$2:$AA$500,0)),"")</f>
        <v/>
      </c>
      <c r="I402" s="4" t="str">
        <f>IFERROR(INDEX(样本到样信息汇总统计!I$2:I$500,MATCH(401,样本到样信息汇总统计!$AA$2:$AA$500,0)),"")</f>
        <v/>
      </c>
      <c r="J402" s="4" t="str">
        <f>IFERROR(INDEX(样本到样信息汇总统计!J$2:J$500,MATCH(401,样本到样信息汇总统计!$AA$2:$AA$500,0)),"")</f>
        <v/>
      </c>
      <c r="K402" s="4" t="str">
        <f>IFERROR(INDEX(样本到样信息汇总统计!K$2:K$500,MATCH(401,样本到样信息汇总统计!$AA$2:$AA$500,0)),"")</f>
        <v/>
      </c>
      <c r="L402" s="4" t="str">
        <f>IFERROR(INDEX(样本到样信息汇总统计!L$2:L$500,MATCH(401,样本到样信息汇总统计!$AA$2:$AA$500,0)),"")</f>
        <v/>
      </c>
      <c r="M402" s="4" t="str">
        <f>IFERROR(INDEX(样本到样信息汇总统计!M$2:M$500,MATCH(401,样本到样信息汇总统计!$AA$2:$AA$500,0)),"")</f>
        <v/>
      </c>
      <c r="N402" s="4" t="str">
        <f>IFERROR(INDEX(样本到样信息汇总统计!N$2:N$500,MATCH(401,样本到样信息汇总统计!$AA$2:$AA$500,0)),"")</f>
        <v/>
      </c>
      <c r="O402" s="4" t="str">
        <f>IFERROR(INDEX(样本到样信息汇总统计!O$2:O$500,MATCH(401,样本到样信息汇总统计!$AA$2:$AA$500,0)),"")</f>
        <v/>
      </c>
      <c r="P402" s="4" t="str">
        <f>IFERROR(INDEX(样本到样信息汇总统计!P$2:P$500,MATCH(401,样本到样信息汇总统计!$AA$2:$AA$500,0)),"")</f>
        <v/>
      </c>
      <c r="Q402" s="4" t="str">
        <f>IFERROR(INDEX(样本到样信息汇总统计!Q$2:Q$500,MATCH(401,样本到样信息汇总统计!$AA$2:$AA$500,0)),"")</f>
        <v/>
      </c>
      <c r="R402" s="4" t="str">
        <f>IFERROR(INDEX(样本到样信息汇总统计!R$2:R$500,MATCH(401,样本到样信息汇总统计!$AA$2:$AA$500,0)),"")</f>
        <v/>
      </c>
      <c r="S402" s="4" t="str">
        <f>IFERROR(INDEX(样本到样信息汇总统计!S$2:S$500,MATCH(401,样本到样信息汇总统计!$AA$2:$AA$500,0)),"")</f>
        <v/>
      </c>
      <c r="T402" s="4" t="str">
        <f>IFERROR(INDEX(样本到样信息汇总统计!T$2:T$500,MATCH(401,样本到样信息汇总统计!$AA$2:$AA$500,0)),"")</f>
        <v/>
      </c>
      <c r="U402" s="4" t="str">
        <f>IFERROR(INDEX(样本到样信息汇总统计!U$2:U$500,MATCH(401,样本到样信息汇总统计!$AA$2:$AA$500,0)),"")</f>
        <v/>
      </c>
      <c r="V402" s="4" t="str">
        <f>IFERROR(INDEX(样本到样信息汇总统计!V$2:V$500,MATCH(401,样本到样信息汇总统计!$AA$2:$AA$500,0)),"")</f>
        <v/>
      </c>
      <c r="W402" s="4" t="str">
        <f>IFERROR(INDEX(样本到样信息汇总统计!W$2:W$500,MATCH(401,样本到样信息汇总统计!$AA$2:$AA$500,0)),"")</f>
        <v/>
      </c>
    </row>
    <row r="403" ht="14.5" spans="1:23">
      <c r="A403" s="8" t="str">
        <f>IFERROR(INDEX(样本到样信息汇总统计!A$2:A$500,MATCH(402,样本到样信息汇总统计!$AA$2:$AA$500,0)),"")</f>
        <v/>
      </c>
      <c r="B403" s="8" t="str">
        <f>IFERROR(INDEX(样本到样信息汇总统计!B$2:B$500,MATCH(402,样本到样信息汇总统计!$AA$2:$AA$500,0)),"")</f>
        <v/>
      </c>
      <c r="C403" s="8" t="str">
        <f>IFERROR(INDEX(样本到样信息汇总统计!C$2:C$500,MATCH(402,样本到样信息汇总统计!$AA$2:$AA$500,0)),"")</f>
        <v/>
      </c>
      <c r="D403" s="8" t="str">
        <f>IFERROR(INDEX(样本到样信息汇总统计!D$2:D$500,MATCH(402,样本到样信息汇总统计!$AA$2:$AA$500,0)),"")</f>
        <v/>
      </c>
      <c r="E403" s="8" t="str">
        <f>IFERROR(INDEX(样本到样信息汇总统计!E$2:E$500,MATCH(402,样本到样信息汇总统计!$AA$2:$AA$500,0)),"")</f>
        <v/>
      </c>
      <c r="F403" s="8" t="str">
        <f>IFERROR(INDEX(样本到样信息汇总统计!F$2:F$500,MATCH(402,样本到样信息汇总统计!$AA$2:$AA$500,0)),"")</f>
        <v/>
      </c>
      <c r="G403" s="8" t="str">
        <f>IFERROR(INDEX(样本到样信息汇总统计!G$2:G$500,MATCH(402,样本到样信息汇总统计!$AA$2:$AA$500,0)),"")</f>
        <v/>
      </c>
      <c r="H403" s="8" t="str">
        <f>IFERROR(INDEX(样本到样信息汇总统计!H$2:H$500,MATCH(402,样本到样信息汇总统计!$AA$2:$AA$500,0)),"")</f>
        <v/>
      </c>
      <c r="I403" s="8" t="str">
        <f>IFERROR(INDEX(样本到样信息汇总统计!I$2:I$500,MATCH(402,样本到样信息汇总统计!$AA$2:$AA$500,0)),"")</f>
        <v/>
      </c>
      <c r="J403" s="8" t="str">
        <f>IFERROR(INDEX(样本到样信息汇总统计!J$2:J$500,MATCH(402,样本到样信息汇总统计!$AA$2:$AA$500,0)),"")</f>
        <v/>
      </c>
      <c r="K403" s="8" t="str">
        <f>IFERROR(INDEX(样本到样信息汇总统计!K$2:K$500,MATCH(402,样本到样信息汇总统计!$AA$2:$AA$500,0)),"")</f>
        <v/>
      </c>
      <c r="L403" s="8" t="str">
        <f>IFERROR(INDEX(样本到样信息汇总统计!L$2:L$500,MATCH(402,样本到样信息汇总统计!$AA$2:$AA$500,0)),"")</f>
        <v/>
      </c>
      <c r="M403" s="8" t="str">
        <f>IFERROR(INDEX(样本到样信息汇总统计!M$2:M$500,MATCH(402,样本到样信息汇总统计!$AA$2:$AA$500,0)),"")</f>
        <v/>
      </c>
      <c r="N403" s="8" t="str">
        <f>IFERROR(INDEX(样本到样信息汇总统计!N$2:N$500,MATCH(402,样本到样信息汇总统计!$AA$2:$AA$500,0)),"")</f>
        <v/>
      </c>
      <c r="O403" s="8" t="str">
        <f>IFERROR(INDEX(样本到样信息汇总统计!O$2:O$500,MATCH(402,样本到样信息汇总统计!$AA$2:$AA$500,0)),"")</f>
        <v/>
      </c>
      <c r="P403" s="8" t="str">
        <f>IFERROR(INDEX(样本到样信息汇总统计!P$2:P$500,MATCH(402,样本到样信息汇总统计!$AA$2:$AA$500,0)),"")</f>
        <v/>
      </c>
      <c r="Q403" s="8" t="str">
        <f>IFERROR(INDEX(样本到样信息汇总统计!Q$2:Q$500,MATCH(402,样本到样信息汇总统计!$AA$2:$AA$500,0)),"")</f>
        <v/>
      </c>
      <c r="R403" s="8" t="str">
        <f>IFERROR(INDEX(样本到样信息汇总统计!R$2:R$500,MATCH(402,样本到样信息汇总统计!$AA$2:$AA$500,0)),"")</f>
        <v/>
      </c>
      <c r="S403" s="8" t="str">
        <f>IFERROR(INDEX(样本到样信息汇总统计!S$2:S$500,MATCH(402,样本到样信息汇总统计!$AA$2:$AA$500,0)),"")</f>
        <v/>
      </c>
      <c r="T403" s="8" t="str">
        <f>IFERROR(INDEX(样本到样信息汇总统计!T$2:T$500,MATCH(402,样本到样信息汇总统计!$AA$2:$AA$500,0)),"")</f>
        <v/>
      </c>
      <c r="U403" s="8" t="str">
        <f>IFERROR(INDEX(样本到样信息汇总统计!U$2:U$500,MATCH(402,样本到样信息汇总统计!$AA$2:$AA$500,0)),"")</f>
        <v/>
      </c>
      <c r="V403" s="8" t="str">
        <f>IFERROR(INDEX(样本到样信息汇总统计!V$2:V$500,MATCH(402,样本到样信息汇总统计!$AA$2:$AA$500,0)),"")</f>
        <v/>
      </c>
      <c r="W403" s="8" t="str">
        <f>IFERROR(INDEX(样本到样信息汇总统计!W$2:W$500,MATCH(402,样本到样信息汇总统计!$AA$2:$AA$500,0)),"")</f>
        <v/>
      </c>
    </row>
    <row r="404" ht="14.5" spans="1:23">
      <c r="A404" s="4" t="str">
        <f>IFERROR(INDEX(样本到样信息汇总统计!A$2:A$500,MATCH(403,样本到样信息汇总统计!$AA$2:$AA$500,0)),"")</f>
        <v/>
      </c>
      <c r="B404" s="4" t="str">
        <f>IFERROR(INDEX(样本到样信息汇总统计!B$2:B$500,MATCH(403,样本到样信息汇总统计!$AA$2:$AA$500,0)),"")</f>
        <v/>
      </c>
      <c r="C404" s="4" t="str">
        <f>IFERROR(INDEX(样本到样信息汇总统计!C$2:C$500,MATCH(403,样本到样信息汇总统计!$AA$2:$AA$500,0)),"")</f>
        <v/>
      </c>
      <c r="D404" s="4" t="str">
        <f>IFERROR(INDEX(样本到样信息汇总统计!D$2:D$500,MATCH(403,样本到样信息汇总统计!$AA$2:$AA$500,0)),"")</f>
        <v/>
      </c>
      <c r="E404" s="4" t="str">
        <f>IFERROR(INDEX(样本到样信息汇总统计!E$2:E$500,MATCH(403,样本到样信息汇总统计!$AA$2:$AA$500,0)),"")</f>
        <v/>
      </c>
      <c r="F404" s="4" t="str">
        <f>IFERROR(INDEX(样本到样信息汇总统计!F$2:F$500,MATCH(403,样本到样信息汇总统计!$AA$2:$AA$500,0)),"")</f>
        <v/>
      </c>
      <c r="G404" s="4" t="str">
        <f>IFERROR(INDEX(样本到样信息汇总统计!G$2:G$500,MATCH(403,样本到样信息汇总统计!$AA$2:$AA$500,0)),"")</f>
        <v/>
      </c>
      <c r="H404" s="4" t="str">
        <f>IFERROR(INDEX(样本到样信息汇总统计!H$2:H$500,MATCH(403,样本到样信息汇总统计!$AA$2:$AA$500,0)),"")</f>
        <v/>
      </c>
      <c r="I404" s="4" t="str">
        <f>IFERROR(INDEX(样本到样信息汇总统计!I$2:I$500,MATCH(403,样本到样信息汇总统计!$AA$2:$AA$500,0)),"")</f>
        <v/>
      </c>
      <c r="J404" s="4" t="str">
        <f>IFERROR(INDEX(样本到样信息汇总统计!J$2:J$500,MATCH(403,样本到样信息汇总统计!$AA$2:$AA$500,0)),"")</f>
        <v/>
      </c>
      <c r="K404" s="4" t="str">
        <f>IFERROR(INDEX(样本到样信息汇总统计!K$2:K$500,MATCH(403,样本到样信息汇总统计!$AA$2:$AA$500,0)),"")</f>
        <v/>
      </c>
      <c r="L404" s="4" t="str">
        <f>IFERROR(INDEX(样本到样信息汇总统计!L$2:L$500,MATCH(403,样本到样信息汇总统计!$AA$2:$AA$500,0)),"")</f>
        <v/>
      </c>
      <c r="M404" s="4" t="str">
        <f>IFERROR(INDEX(样本到样信息汇总统计!M$2:M$500,MATCH(403,样本到样信息汇总统计!$AA$2:$AA$500,0)),"")</f>
        <v/>
      </c>
      <c r="N404" s="4" t="str">
        <f>IFERROR(INDEX(样本到样信息汇总统计!N$2:N$500,MATCH(403,样本到样信息汇总统计!$AA$2:$AA$500,0)),"")</f>
        <v/>
      </c>
      <c r="O404" s="4" t="str">
        <f>IFERROR(INDEX(样本到样信息汇总统计!O$2:O$500,MATCH(403,样本到样信息汇总统计!$AA$2:$AA$500,0)),"")</f>
        <v/>
      </c>
      <c r="P404" s="4" t="str">
        <f>IFERROR(INDEX(样本到样信息汇总统计!P$2:P$500,MATCH(403,样本到样信息汇总统计!$AA$2:$AA$500,0)),"")</f>
        <v/>
      </c>
      <c r="Q404" s="4" t="str">
        <f>IFERROR(INDEX(样本到样信息汇总统计!Q$2:Q$500,MATCH(403,样本到样信息汇总统计!$AA$2:$AA$500,0)),"")</f>
        <v/>
      </c>
      <c r="R404" s="4" t="str">
        <f>IFERROR(INDEX(样本到样信息汇总统计!R$2:R$500,MATCH(403,样本到样信息汇总统计!$AA$2:$AA$500,0)),"")</f>
        <v/>
      </c>
      <c r="S404" s="4" t="str">
        <f>IFERROR(INDEX(样本到样信息汇总统计!S$2:S$500,MATCH(403,样本到样信息汇总统计!$AA$2:$AA$500,0)),"")</f>
        <v/>
      </c>
      <c r="T404" s="4" t="str">
        <f>IFERROR(INDEX(样本到样信息汇总统计!T$2:T$500,MATCH(403,样本到样信息汇总统计!$AA$2:$AA$500,0)),"")</f>
        <v/>
      </c>
      <c r="U404" s="4" t="str">
        <f>IFERROR(INDEX(样本到样信息汇总统计!U$2:U$500,MATCH(403,样本到样信息汇总统计!$AA$2:$AA$500,0)),"")</f>
        <v/>
      </c>
      <c r="V404" s="4" t="str">
        <f>IFERROR(INDEX(样本到样信息汇总统计!V$2:V$500,MATCH(403,样本到样信息汇总统计!$AA$2:$AA$500,0)),"")</f>
        <v/>
      </c>
      <c r="W404" s="4" t="str">
        <f>IFERROR(INDEX(样本到样信息汇总统计!W$2:W$500,MATCH(403,样本到样信息汇总统计!$AA$2:$AA$500,0)),"")</f>
        <v/>
      </c>
    </row>
    <row r="405" ht="14.5" spans="1:23">
      <c r="A405" s="8" t="str">
        <f>IFERROR(INDEX(样本到样信息汇总统计!A$2:A$500,MATCH(404,样本到样信息汇总统计!$AA$2:$AA$500,0)),"")</f>
        <v/>
      </c>
      <c r="B405" s="8" t="str">
        <f>IFERROR(INDEX(样本到样信息汇总统计!B$2:B$500,MATCH(404,样本到样信息汇总统计!$AA$2:$AA$500,0)),"")</f>
        <v/>
      </c>
      <c r="C405" s="8" t="str">
        <f>IFERROR(INDEX(样本到样信息汇总统计!C$2:C$500,MATCH(404,样本到样信息汇总统计!$AA$2:$AA$500,0)),"")</f>
        <v/>
      </c>
      <c r="D405" s="8" t="str">
        <f>IFERROR(INDEX(样本到样信息汇总统计!D$2:D$500,MATCH(404,样本到样信息汇总统计!$AA$2:$AA$500,0)),"")</f>
        <v/>
      </c>
      <c r="E405" s="8" t="str">
        <f>IFERROR(INDEX(样本到样信息汇总统计!E$2:E$500,MATCH(404,样本到样信息汇总统计!$AA$2:$AA$500,0)),"")</f>
        <v/>
      </c>
      <c r="F405" s="8" t="str">
        <f>IFERROR(INDEX(样本到样信息汇总统计!F$2:F$500,MATCH(404,样本到样信息汇总统计!$AA$2:$AA$500,0)),"")</f>
        <v/>
      </c>
      <c r="G405" s="8" t="str">
        <f>IFERROR(INDEX(样本到样信息汇总统计!G$2:G$500,MATCH(404,样本到样信息汇总统计!$AA$2:$AA$500,0)),"")</f>
        <v/>
      </c>
      <c r="H405" s="8" t="str">
        <f>IFERROR(INDEX(样本到样信息汇总统计!H$2:H$500,MATCH(404,样本到样信息汇总统计!$AA$2:$AA$500,0)),"")</f>
        <v/>
      </c>
      <c r="I405" s="8" t="str">
        <f>IFERROR(INDEX(样本到样信息汇总统计!I$2:I$500,MATCH(404,样本到样信息汇总统计!$AA$2:$AA$500,0)),"")</f>
        <v/>
      </c>
      <c r="J405" s="8" t="str">
        <f>IFERROR(INDEX(样本到样信息汇总统计!J$2:J$500,MATCH(404,样本到样信息汇总统计!$AA$2:$AA$500,0)),"")</f>
        <v/>
      </c>
      <c r="K405" s="8" t="str">
        <f>IFERROR(INDEX(样本到样信息汇总统计!K$2:K$500,MATCH(404,样本到样信息汇总统计!$AA$2:$AA$500,0)),"")</f>
        <v/>
      </c>
      <c r="L405" s="8" t="str">
        <f>IFERROR(INDEX(样本到样信息汇总统计!L$2:L$500,MATCH(404,样本到样信息汇总统计!$AA$2:$AA$500,0)),"")</f>
        <v/>
      </c>
      <c r="M405" s="8" t="str">
        <f>IFERROR(INDEX(样本到样信息汇总统计!M$2:M$500,MATCH(404,样本到样信息汇总统计!$AA$2:$AA$500,0)),"")</f>
        <v/>
      </c>
      <c r="N405" s="8" t="str">
        <f>IFERROR(INDEX(样本到样信息汇总统计!N$2:N$500,MATCH(404,样本到样信息汇总统计!$AA$2:$AA$500,0)),"")</f>
        <v/>
      </c>
      <c r="O405" s="8" t="str">
        <f>IFERROR(INDEX(样本到样信息汇总统计!O$2:O$500,MATCH(404,样本到样信息汇总统计!$AA$2:$AA$500,0)),"")</f>
        <v/>
      </c>
      <c r="P405" s="8" t="str">
        <f>IFERROR(INDEX(样本到样信息汇总统计!P$2:P$500,MATCH(404,样本到样信息汇总统计!$AA$2:$AA$500,0)),"")</f>
        <v/>
      </c>
      <c r="Q405" s="8" t="str">
        <f>IFERROR(INDEX(样本到样信息汇总统计!Q$2:Q$500,MATCH(404,样本到样信息汇总统计!$AA$2:$AA$500,0)),"")</f>
        <v/>
      </c>
      <c r="R405" s="8" t="str">
        <f>IFERROR(INDEX(样本到样信息汇总统计!R$2:R$500,MATCH(404,样本到样信息汇总统计!$AA$2:$AA$500,0)),"")</f>
        <v/>
      </c>
      <c r="S405" s="8" t="str">
        <f>IFERROR(INDEX(样本到样信息汇总统计!S$2:S$500,MATCH(404,样本到样信息汇总统计!$AA$2:$AA$500,0)),"")</f>
        <v/>
      </c>
      <c r="T405" s="8" t="str">
        <f>IFERROR(INDEX(样本到样信息汇总统计!T$2:T$500,MATCH(404,样本到样信息汇总统计!$AA$2:$AA$500,0)),"")</f>
        <v/>
      </c>
      <c r="U405" s="8" t="str">
        <f>IFERROR(INDEX(样本到样信息汇总统计!U$2:U$500,MATCH(404,样本到样信息汇总统计!$AA$2:$AA$500,0)),"")</f>
        <v/>
      </c>
      <c r="V405" s="8" t="str">
        <f>IFERROR(INDEX(样本到样信息汇总统计!V$2:V$500,MATCH(404,样本到样信息汇总统计!$AA$2:$AA$500,0)),"")</f>
        <v/>
      </c>
      <c r="W405" s="8" t="str">
        <f>IFERROR(INDEX(样本到样信息汇总统计!W$2:W$500,MATCH(404,样本到样信息汇总统计!$AA$2:$AA$500,0)),"")</f>
        <v/>
      </c>
    </row>
    <row r="406" ht="14.5" spans="1:23">
      <c r="A406" s="4" t="str">
        <f>IFERROR(INDEX(样本到样信息汇总统计!A$2:A$500,MATCH(405,样本到样信息汇总统计!$AA$2:$AA$500,0)),"")</f>
        <v/>
      </c>
      <c r="B406" s="4" t="str">
        <f>IFERROR(INDEX(样本到样信息汇总统计!B$2:B$500,MATCH(405,样本到样信息汇总统计!$AA$2:$AA$500,0)),"")</f>
        <v/>
      </c>
      <c r="C406" s="4" t="str">
        <f>IFERROR(INDEX(样本到样信息汇总统计!C$2:C$500,MATCH(405,样本到样信息汇总统计!$AA$2:$AA$500,0)),"")</f>
        <v/>
      </c>
      <c r="D406" s="4" t="str">
        <f>IFERROR(INDEX(样本到样信息汇总统计!D$2:D$500,MATCH(405,样本到样信息汇总统计!$AA$2:$AA$500,0)),"")</f>
        <v/>
      </c>
      <c r="E406" s="4" t="str">
        <f>IFERROR(INDEX(样本到样信息汇总统计!E$2:E$500,MATCH(405,样本到样信息汇总统计!$AA$2:$AA$500,0)),"")</f>
        <v/>
      </c>
      <c r="F406" s="4" t="str">
        <f>IFERROR(INDEX(样本到样信息汇总统计!F$2:F$500,MATCH(405,样本到样信息汇总统计!$AA$2:$AA$500,0)),"")</f>
        <v/>
      </c>
      <c r="G406" s="4" t="str">
        <f>IFERROR(INDEX(样本到样信息汇总统计!G$2:G$500,MATCH(405,样本到样信息汇总统计!$AA$2:$AA$500,0)),"")</f>
        <v/>
      </c>
      <c r="H406" s="4" t="str">
        <f>IFERROR(INDEX(样本到样信息汇总统计!H$2:H$500,MATCH(405,样本到样信息汇总统计!$AA$2:$AA$500,0)),"")</f>
        <v/>
      </c>
      <c r="I406" s="4" t="str">
        <f>IFERROR(INDEX(样本到样信息汇总统计!I$2:I$500,MATCH(405,样本到样信息汇总统计!$AA$2:$AA$500,0)),"")</f>
        <v/>
      </c>
      <c r="J406" s="4" t="str">
        <f>IFERROR(INDEX(样本到样信息汇总统计!J$2:J$500,MATCH(405,样本到样信息汇总统计!$AA$2:$AA$500,0)),"")</f>
        <v/>
      </c>
      <c r="K406" s="4" t="str">
        <f>IFERROR(INDEX(样本到样信息汇总统计!K$2:K$500,MATCH(405,样本到样信息汇总统计!$AA$2:$AA$500,0)),"")</f>
        <v/>
      </c>
      <c r="L406" s="4" t="str">
        <f>IFERROR(INDEX(样本到样信息汇总统计!L$2:L$500,MATCH(405,样本到样信息汇总统计!$AA$2:$AA$500,0)),"")</f>
        <v/>
      </c>
      <c r="M406" s="4" t="str">
        <f>IFERROR(INDEX(样本到样信息汇总统计!M$2:M$500,MATCH(405,样本到样信息汇总统计!$AA$2:$AA$500,0)),"")</f>
        <v/>
      </c>
      <c r="N406" s="4" t="str">
        <f>IFERROR(INDEX(样本到样信息汇总统计!N$2:N$500,MATCH(405,样本到样信息汇总统计!$AA$2:$AA$500,0)),"")</f>
        <v/>
      </c>
      <c r="O406" s="4" t="str">
        <f>IFERROR(INDEX(样本到样信息汇总统计!O$2:O$500,MATCH(405,样本到样信息汇总统计!$AA$2:$AA$500,0)),"")</f>
        <v/>
      </c>
      <c r="P406" s="4" t="str">
        <f>IFERROR(INDEX(样本到样信息汇总统计!P$2:P$500,MATCH(405,样本到样信息汇总统计!$AA$2:$AA$500,0)),"")</f>
        <v/>
      </c>
      <c r="Q406" s="4" t="str">
        <f>IFERROR(INDEX(样本到样信息汇总统计!Q$2:Q$500,MATCH(405,样本到样信息汇总统计!$AA$2:$AA$500,0)),"")</f>
        <v/>
      </c>
      <c r="R406" s="4" t="str">
        <f>IFERROR(INDEX(样本到样信息汇总统计!R$2:R$500,MATCH(405,样本到样信息汇总统计!$AA$2:$AA$500,0)),"")</f>
        <v/>
      </c>
      <c r="S406" s="4" t="str">
        <f>IFERROR(INDEX(样本到样信息汇总统计!S$2:S$500,MATCH(405,样本到样信息汇总统计!$AA$2:$AA$500,0)),"")</f>
        <v/>
      </c>
      <c r="T406" s="4" t="str">
        <f>IFERROR(INDEX(样本到样信息汇总统计!T$2:T$500,MATCH(405,样本到样信息汇总统计!$AA$2:$AA$500,0)),"")</f>
        <v/>
      </c>
      <c r="U406" s="4" t="str">
        <f>IFERROR(INDEX(样本到样信息汇总统计!U$2:U$500,MATCH(405,样本到样信息汇总统计!$AA$2:$AA$500,0)),"")</f>
        <v/>
      </c>
      <c r="V406" s="4" t="str">
        <f>IFERROR(INDEX(样本到样信息汇总统计!V$2:V$500,MATCH(405,样本到样信息汇总统计!$AA$2:$AA$500,0)),"")</f>
        <v/>
      </c>
      <c r="W406" s="4" t="str">
        <f>IFERROR(INDEX(样本到样信息汇总统计!W$2:W$500,MATCH(405,样本到样信息汇总统计!$AA$2:$AA$500,0)),"")</f>
        <v/>
      </c>
    </row>
    <row r="407" ht="14.5" spans="1:23">
      <c r="A407" s="8" t="str">
        <f>IFERROR(INDEX(样本到样信息汇总统计!A$2:A$500,MATCH(406,样本到样信息汇总统计!$AA$2:$AA$500,0)),"")</f>
        <v/>
      </c>
      <c r="B407" s="8" t="str">
        <f>IFERROR(INDEX(样本到样信息汇总统计!B$2:B$500,MATCH(406,样本到样信息汇总统计!$AA$2:$AA$500,0)),"")</f>
        <v/>
      </c>
      <c r="C407" s="8" t="str">
        <f>IFERROR(INDEX(样本到样信息汇总统计!C$2:C$500,MATCH(406,样本到样信息汇总统计!$AA$2:$AA$500,0)),"")</f>
        <v/>
      </c>
      <c r="D407" s="8" t="str">
        <f>IFERROR(INDEX(样本到样信息汇总统计!D$2:D$500,MATCH(406,样本到样信息汇总统计!$AA$2:$AA$500,0)),"")</f>
        <v/>
      </c>
      <c r="E407" s="8" t="str">
        <f>IFERROR(INDEX(样本到样信息汇总统计!E$2:E$500,MATCH(406,样本到样信息汇总统计!$AA$2:$AA$500,0)),"")</f>
        <v/>
      </c>
      <c r="F407" s="8" t="str">
        <f>IFERROR(INDEX(样本到样信息汇总统计!F$2:F$500,MATCH(406,样本到样信息汇总统计!$AA$2:$AA$500,0)),"")</f>
        <v/>
      </c>
      <c r="G407" s="8" t="str">
        <f>IFERROR(INDEX(样本到样信息汇总统计!G$2:G$500,MATCH(406,样本到样信息汇总统计!$AA$2:$AA$500,0)),"")</f>
        <v/>
      </c>
      <c r="H407" s="8" t="str">
        <f>IFERROR(INDEX(样本到样信息汇总统计!H$2:H$500,MATCH(406,样本到样信息汇总统计!$AA$2:$AA$500,0)),"")</f>
        <v/>
      </c>
      <c r="I407" s="8" t="str">
        <f>IFERROR(INDEX(样本到样信息汇总统计!I$2:I$500,MATCH(406,样本到样信息汇总统计!$AA$2:$AA$500,0)),"")</f>
        <v/>
      </c>
      <c r="J407" s="8" t="str">
        <f>IFERROR(INDEX(样本到样信息汇总统计!J$2:J$500,MATCH(406,样本到样信息汇总统计!$AA$2:$AA$500,0)),"")</f>
        <v/>
      </c>
      <c r="K407" s="8" t="str">
        <f>IFERROR(INDEX(样本到样信息汇总统计!K$2:K$500,MATCH(406,样本到样信息汇总统计!$AA$2:$AA$500,0)),"")</f>
        <v/>
      </c>
      <c r="L407" s="8" t="str">
        <f>IFERROR(INDEX(样本到样信息汇总统计!L$2:L$500,MATCH(406,样本到样信息汇总统计!$AA$2:$AA$500,0)),"")</f>
        <v/>
      </c>
      <c r="M407" s="8" t="str">
        <f>IFERROR(INDEX(样本到样信息汇总统计!M$2:M$500,MATCH(406,样本到样信息汇总统计!$AA$2:$AA$500,0)),"")</f>
        <v/>
      </c>
      <c r="N407" s="8" t="str">
        <f>IFERROR(INDEX(样本到样信息汇总统计!N$2:N$500,MATCH(406,样本到样信息汇总统计!$AA$2:$AA$500,0)),"")</f>
        <v/>
      </c>
      <c r="O407" s="8" t="str">
        <f>IFERROR(INDEX(样本到样信息汇总统计!O$2:O$500,MATCH(406,样本到样信息汇总统计!$AA$2:$AA$500,0)),"")</f>
        <v/>
      </c>
      <c r="P407" s="8" t="str">
        <f>IFERROR(INDEX(样本到样信息汇总统计!P$2:P$500,MATCH(406,样本到样信息汇总统计!$AA$2:$AA$500,0)),"")</f>
        <v/>
      </c>
      <c r="Q407" s="8" t="str">
        <f>IFERROR(INDEX(样本到样信息汇总统计!Q$2:Q$500,MATCH(406,样本到样信息汇总统计!$AA$2:$AA$500,0)),"")</f>
        <v/>
      </c>
      <c r="R407" s="8" t="str">
        <f>IFERROR(INDEX(样本到样信息汇总统计!R$2:R$500,MATCH(406,样本到样信息汇总统计!$AA$2:$AA$500,0)),"")</f>
        <v/>
      </c>
      <c r="S407" s="8" t="str">
        <f>IFERROR(INDEX(样本到样信息汇总统计!S$2:S$500,MATCH(406,样本到样信息汇总统计!$AA$2:$AA$500,0)),"")</f>
        <v/>
      </c>
      <c r="T407" s="8" t="str">
        <f>IFERROR(INDEX(样本到样信息汇总统计!T$2:T$500,MATCH(406,样本到样信息汇总统计!$AA$2:$AA$500,0)),"")</f>
        <v/>
      </c>
      <c r="U407" s="8" t="str">
        <f>IFERROR(INDEX(样本到样信息汇总统计!U$2:U$500,MATCH(406,样本到样信息汇总统计!$AA$2:$AA$500,0)),"")</f>
        <v/>
      </c>
      <c r="V407" s="8" t="str">
        <f>IFERROR(INDEX(样本到样信息汇总统计!V$2:V$500,MATCH(406,样本到样信息汇总统计!$AA$2:$AA$500,0)),"")</f>
        <v/>
      </c>
      <c r="W407" s="8" t="str">
        <f>IFERROR(INDEX(样本到样信息汇总统计!W$2:W$500,MATCH(406,样本到样信息汇总统计!$AA$2:$AA$500,0)),"")</f>
        <v/>
      </c>
    </row>
    <row r="408" ht="14.5" spans="1:23">
      <c r="A408" s="4" t="str">
        <f>IFERROR(INDEX(样本到样信息汇总统计!A$2:A$500,MATCH(407,样本到样信息汇总统计!$AA$2:$AA$500,0)),"")</f>
        <v/>
      </c>
      <c r="B408" s="4" t="str">
        <f>IFERROR(INDEX(样本到样信息汇总统计!B$2:B$500,MATCH(407,样本到样信息汇总统计!$AA$2:$AA$500,0)),"")</f>
        <v/>
      </c>
      <c r="C408" s="4" t="str">
        <f>IFERROR(INDEX(样本到样信息汇总统计!C$2:C$500,MATCH(407,样本到样信息汇总统计!$AA$2:$AA$500,0)),"")</f>
        <v/>
      </c>
      <c r="D408" s="4" t="str">
        <f>IFERROR(INDEX(样本到样信息汇总统计!D$2:D$500,MATCH(407,样本到样信息汇总统计!$AA$2:$AA$500,0)),"")</f>
        <v/>
      </c>
      <c r="E408" s="4" t="str">
        <f>IFERROR(INDEX(样本到样信息汇总统计!E$2:E$500,MATCH(407,样本到样信息汇总统计!$AA$2:$AA$500,0)),"")</f>
        <v/>
      </c>
      <c r="F408" s="4" t="str">
        <f>IFERROR(INDEX(样本到样信息汇总统计!F$2:F$500,MATCH(407,样本到样信息汇总统计!$AA$2:$AA$500,0)),"")</f>
        <v/>
      </c>
      <c r="G408" s="4" t="str">
        <f>IFERROR(INDEX(样本到样信息汇总统计!G$2:G$500,MATCH(407,样本到样信息汇总统计!$AA$2:$AA$500,0)),"")</f>
        <v/>
      </c>
      <c r="H408" s="4" t="str">
        <f>IFERROR(INDEX(样本到样信息汇总统计!H$2:H$500,MATCH(407,样本到样信息汇总统计!$AA$2:$AA$500,0)),"")</f>
        <v/>
      </c>
      <c r="I408" s="4" t="str">
        <f>IFERROR(INDEX(样本到样信息汇总统计!I$2:I$500,MATCH(407,样本到样信息汇总统计!$AA$2:$AA$500,0)),"")</f>
        <v/>
      </c>
      <c r="J408" s="4" t="str">
        <f>IFERROR(INDEX(样本到样信息汇总统计!J$2:J$500,MATCH(407,样本到样信息汇总统计!$AA$2:$AA$500,0)),"")</f>
        <v/>
      </c>
      <c r="K408" s="4" t="str">
        <f>IFERROR(INDEX(样本到样信息汇总统计!K$2:K$500,MATCH(407,样本到样信息汇总统计!$AA$2:$AA$500,0)),"")</f>
        <v/>
      </c>
      <c r="L408" s="4" t="str">
        <f>IFERROR(INDEX(样本到样信息汇总统计!L$2:L$500,MATCH(407,样本到样信息汇总统计!$AA$2:$AA$500,0)),"")</f>
        <v/>
      </c>
      <c r="M408" s="4" t="str">
        <f>IFERROR(INDEX(样本到样信息汇总统计!M$2:M$500,MATCH(407,样本到样信息汇总统计!$AA$2:$AA$500,0)),"")</f>
        <v/>
      </c>
      <c r="N408" s="4" t="str">
        <f>IFERROR(INDEX(样本到样信息汇总统计!N$2:N$500,MATCH(407,样本到样信息汇总统计!$AA$2:$AA$500,0)),"")</f>
        <v/>
      </c>
      <c r="O408" s="4" t="str">
        <f>IFERROR(INDEX(样本到样信息汇总统计!O$2:O$500,MATCH(407,样本到样信息汇总统计!$AA$2:$AA$500,0)),"")</f>
        <v/>
      </c>
      <c r="P408" s="4" t="str">
        <f>IFERROR(INDEX(样本到样信息汇总统计!P$2:P$500,MATCH(407,样本到样信息汇总统计!$AA$2:$AA$500,0)),"")</f>
        <v/>
      </c>
      <c r="Q408" s="4" t="str">
        <f>IFERROR(INDEX(样本到样信息汇总统计!Q$2:Q$500,MATCH(407,样本到样信息汇总统计!$AA$2:$AA$500,0)),"")</f>
        <v/>
      </c>
      <c r="R408" s="4" t="str">
        <f>IFERROR(INDEX(样本到样信息汇总统计!R$2:R$500,MATCH(407,样本到样信息汇总统计!$AA$2:$AA$500,0)),"")</f>
        <v/>
      </c>
      <c r="S408" s="4" t="str">
        <f>IFERROR(INDEX(样本到样信息汇总统计!S$2:S$500,MATCH(407,样本到样信息汇总统计!$AA$2:$AA$500,0)),"")</f>
        <v/>
      </c>
      <c r="T408" s="4" t="str">
        <f>IFERROR(INDEX(样本到样信息汇总统计!T$2:T$500,MATCH(407,样本到样信息汇总统计!$AA$2:$AA$500,0)),"")</f>
        <v/>
      </c>
      <c r="U408" s="4" t="str">
        <f>IFERROR(INDEX(样本到样信息汇总统计!U$2:U$500,MATCH(407,样本到样信息汇总统计!$AA$2:$AA$500,0)),"")</f>
        <v/>
      </c>
      <c r="V408" s="4" t="str">
        <f>IFERROR(INDEX(样本到样信息汇总统计!V$2:V$500,MATCH(407,样本到样信息汇总统计!$AA$2:$AA$500,0)),"")</f>
        <v/>
      </c>
      <c r="W408" s="4" t="str">
        <f>IFERROR(INDEX(样本到样信息汇总统计!W$2:W$500,MATCH(407,样本到样信息汇总统计!$AA$2:$AA$500,0)),"")</f>
        <v/>
      </c>
    </row>
    <row r="409" ht="14.5" spans="1:23">
      <c r="A409" s="8" t="str">
        <f>IFERROR(INDEX(样本到样信息汇总统计!A$2:A$500,MATCH(408,样本到样信息汇总统计!$AA$2:$AA$500,0)),"")</f>
        <v/>
      </c>
      <c r="B409" s="8" t="str">
        <f>IFERROR(INDEX(样本到样信息汇总统计!B$2:B$500,MATCH(408,样本到样信息汇总统计!$AA$2:$AA$500,0)),"")</f>
        <v/>
      </c>
      <c r="C409" s="8" t="str">
        <f>IFERROR(INDEX(样本到样信息汇总统计!C$2:C$500,MATCH(408,样本到样信息汇总统计!$AA$2:$AA$500,0)),"")</f>
        <v/>
      </c>
      <c r="D409" s="8" t="str">
        <f>IFERROR(INDEX(样本到样信息汇总统计!D$2:D$500,MATCH(408,样本到样信息汇总统计!$AA$2:$AA$500,0)),"")</f>
        <v/>
      </c>
      <c r="E409" s="8" t="str">
        <f>IFERROR(INDEX(样本到样信息汇总统计!E$2:E$500,MATCH(408,样本到样信息汇总统计!$AA$2:$AA$500,0)),"")</f>
        <v/>
      </c>
      <c r="F409" s="8" t="str">
        <f>IFERROR(INDEX(样本到样信息汇总统计!F$2:F$500,MATCH(408,样本到样信息汇总统计!$AA$2:$AA$500,0)),"")</f>
        <v/>
      </c>
      <c r="G409" s="8" t="str">
        <f>IFERROR(INDEX(样本到样信息汇总统计!G$2:G$500,MATCH(408,样本到样信息汇总统计!$AA$2:$AA$500,0)),"")</f>
        <v/>
      </c>
      <c r="H409" s="8" t="str">
        <f>IFERROR(INDEX(样本到样信息汇总统计!H$2:H$500,MATCH(408,样本到样信息汇总统计!$AA$2:$AA$500,0)),"")</f>
        <v/>
      </c>
      <c r="I409" s="8" t="str">
        <f>IFERROR(INDEX(样本到样信息汇总统计!I$2:I$500,MATCH(408,样本到样信息汇总统计!$AA$2:$AA$500,0)),"")</f>
        <v/>
      </c>
      <c r="J409" s="8" t="str">
        <f>IFERROR(INDEX(样本到样信息汇总统计!J$2:J$500,MATCH(408,样本到样信息汇总统计!$AA$2:$AA$500,0)),"")</f>
        <v/>
      </c>
      <c r="K409" s="8" t="str">
        <f>IFERROR(INDEX(样本到样信息汇总统计!K$2:K$500,MATCH(408,样本到样信息汇总统计!$AA$2:$AA$500,0)),"")</f>
        <v/>
      </c>
      <c r="L409" s="8" t="str">
        <f>IFERROR(INDEX(样本到样信息汇总统计!L$2:L$500,MATCH(408,样本到样信息汇总统计!$AA$2:$AA$500,0)),"")</f>
        <v/>
      </c>
      <c r="M409" s="8" t="str">
        <f>IFERROR(INDEX(样本到样信息汇总统计!M$2:M$500,MATCH(408,样本到样信息汇总统计!$AA$2:$AA$500,0)),"")</f>
        <v/>
      </c>
      <c r="N409" s="8" t="str">
        <f>IFERROR(INDEX(样本到样信息汇总统计!N$2:N$500,MATCH(408,样本到样信息汇总统计!$AA$2:$AA$500,0)),"")</f>
        <v/>
      </c>
      <c r="O409" s="8" t="str">
        <f>IFERROR(INDEX(样本到样信息汇总统计!O$2:O$500,MATCH(408,样本到样信息汇总统计!$AA$2:$AA$500,0)),"")</f>
        <v/>
      </c>
      <c r="P409" s="8" t="str">
        <f>IFERROR(INDEX(样本到样信息汇总统计!P$2:P$500,MATCH(408,样本到样信息汇总统计!$AA$2:$AA$500,0)),"")</f>
        <v/>
      </c>
      <c r="Q409" s="8" t="str">
        <f>IFERROR(INDEX(样本到样信息汇总统计!Q$2:Q$500,MATCH(408,样本到样信息汇总统计!$AA$2:$AA$500,0)),"")</f>
        <v/>
      </c>
      <c r="R409" s="8" t="str">
        <f>IFERROR(INDEX(样本到样信息汇总统计!R$2:R$500,MATCH(408,样本到样信息汇总统计!$AA$2:$AA$500,0)),"")</f>
        <v/>
      </c>
      <c r="S409" s="8" t="str">
        <f>IFERROR(INDEX(样本到样信息汇总统计!S$2:S$500,MATCH(408,样本到样信息汇总统计!$AA$2:$AA$500,0)),"")</f>
        <v/>
      </c>
      <c r="T409" s="8" t="str">
        <f>IFERROR(INDEX(样本到样信息汇总统计!T$2:T$500,MATCH(408,样本到样信息汇总统计!$AA$2:$AA$500,0)),"")</f>
        <v/>
      </c>
      <c r="U409" s="8" t="str">
        <f>IFERROR(INDEX(样本到样信息汇总统计!U$2:U$500,MATCH(408,样本到样信息汇总统计!$AA$2:$AA$500,0)),"")</f>
        <v/>
      </c>
      <c r="V409" s="8" t="str">
        <f>IFERROR(INDEX(样本到样信息汇总统计!V$2:V$500,MATCH(408,样本到样信息汇总统计!$AA$2:$AA$500,0)),"")</f>
        <v/>
      </c>
      <c r="W409" s="8" t="str">
        <f>IFERROR(INDEX(样本到样信息汇总统计!W$2:W$500,MATCH(408,样本到样信息汇总统计!$AA$2:$AA$500,0)),"")</f>
        <v/>
      </c>
    </row>
    <row r="410" ht="14.5" spans="1:23">
      <c r="A410" s="4" t="str">
        <f>IFERROR(INDEX(样本到样信息汇总统计!A$2:A$500,MATCH(409,样本到样信息汇总统计!$AA$2:$AA$500,0)),"")</f>
        <v/>
      </c>
      <c r="B410" s="4" t="str">
        <f>IFERROR(INDEX(样本到样信息汇总统计!B$2:B$500,MATCH(409,样本到样信息汇总统计!$AA$2:$AA$500,0)),"")</f>
        <v/>
      </c>
      <c r="C410" s="4" t="str">
        <f>IFERROR(INDEX(样本到样信息汇总统计!C$2:C$500,MATCH(409,样本到样信息汇总统计!$AA$2:$AA$500,0)),"")</f>
        <v/>
      </c>
      <c r="D410" s="4" t="str">
        <f>IFERROR(INDEX(样本到样信息汇总统计!D$2:D$500,MATCH(409,样本到样信息汇总统计!$AA$2:$AA$500,0)),"")</f>
        <v/>
      </c>
      <c r="E410" s="4" t="str">
        <f>IFERROR(INDEX(样本到样信息汇总统计!E$2:E$500,MATCH(409,样本到样信息汇总统计!$AA$2:$AA$500,0)),"")</f>
        <v/>
      </c>
      <c r="F410" s="4" t="str">
        <f>IFERROR(INDEX(样本到样信息汇总统计!F$2:F$500,MATCH(409,样本到样信息汇总统计!$AA$2:$AA$500,0)),"")</f>
        <v/>
      </c>
      <c r="G410" s="4" t="str">
        <f>IFERROR(INDEX(样本到样信息汇总统计!G$2:G$500,MATCH(409,样本到样信息汇总统计!$AA$2:$AA$500,0)),"")</f>
        <v/>
      </c>
      <c r="H410" s="4" t="str">
        <f>IFERROR(INDEX(样本到样信息汇总统计!H$2:H$500,MATCH(409,样本到样信息汇总统计!$AA$2:$AA$500,0)),"")</f>
        <v/>
      </c>
      <c r="I410" s="4" t="str">
        <f>IFERROR(INDEX(样本到样信息汇总统计!I$2:I$500,MATCH(409,样本到样信息汇总统计!$AA$2:$AA$500,0)),"")</f>
        <v/>
      </c>
      <c r="J410" s="4" t="str">
        <f>IFERROR(INDEX(样本到样信息汇总统计!J$2:J$500,MATCH(409,样本到样信息汇总统计!$AA$2:$AA$500,0)),"")</f>
        <v/>
      </c>
      <c r="K410" s="4" t="str">
        <f>IFERROR(INDEX(样本到样信息汇总统计!K$2:K$500,MATCH(409,样本到样信息汇总统计!$AA$2:$AA$500,0)),"")</f>
        <v/>
      </c>
      <c r="L410" s="4" t="str">
        <f>IFERROR(INDEX(样本到样信息汇总统计!L$2:L$500,MATCH(409,样本到样信息汇总统计!$AA$2:$AA$500,0)),"")</f>
        <v/>
      </c>
      <c r="M410" s="4" t="str">
        <f>IFERROR(INDEX(样本到样信息汇总统计!M$2:M$500,MATCH(409,样本到样信息汇总统计!$AA$2:$AA$500,0)),"")</f>
        <v/>
      </c>
      <c r="N410" s="4" t="str">
        <f>IFERROR(INDEX(样本到样信息汇总统计!N$2:N$500,MATCH(409,样本到样信息汇总统计!$AA$2:$AA$500,0)),"")</f>
        <v/>
      </c>
      <c r="O410" s="4" t="str">
        <f>IFERROR(INDEX(样本到样信息汇总统计!O$2:O$500,MATCH(409,样本到样信息汇总统计!$AA$2:$AA$500,0)),"")</f>
        <v/>
      </c>
      <c r="P410" s="4" t="str">
        <f>IFERROR(INDEX(样本到样信息汇总统计!P$2:P$500,MATCH(409,样本到样信息汇总统计!$AA$2:$AA$500,0)),"")</f>
        <v/>
      </c>
      <c r="Q410" s="4" t="str">
        <f>IFERROR(INDEX(样本到样信息汇总统计!Q$2:Q$500,MATCH(409,样本到样信息汇总统计!$AA$2:$AA$500,0)),"")</f>
        <v/>
      </c>
      <c r="R410" s="4" t="str">
        <f>IFERROR(INDEX(样本到样信息汇总统计!R$2:R$500,MATCH(409,样本到样信息汇总统计!$AA$2:$AA$500,0)),"")</f>
        <v/>
      </c>
      <c r="S410" s="4" t="str">
        <f>IFERROR(INDEX(样本到样信息汇总统计!S$2:S$500,MATCH(409,样本到样信息汇总统计!$AA$2:$AA$500,0)),"")</f>
        <v/>
      </c>
      <c r="T410" s="4" t="str">
        <f>IFERROR(INDEX(样本到样信息汇总统计!T$2:T$500,MATCH(409,样本到样信息汇总统计!$AA$2:$AA$500,0)),"")</f>
        <v/>
      </c>
      <c r="U410" s="4" t="str">
        <f>IFERROR(INDEX(样本到样信息汇总统计!U$2:U$500,MATCH(409,样本到样信息汇总统计!$AA$2:$AA$500,0)),"")</f>
        <v/>
      </c>
      <c r="V410" s="4" t="str">
        <f>IFERROR(INDEX(样本到样信息汇总统计!V$2:V$500,MATCH(409,样本到样信息汇总统计!$AA$2:$AA$500,0)),"")</f>
        <v/>
      </c>
      <c r="W410" s="4" t="str">
        <f>IFERROR(INDEX(样本到样信息汇总统计!W$2:W$500,MATCH(409,样本到样信息汇总统计!$AA$2:$AA$500,0)),"")</f>
        <v/>
      </c>
    </row>
    <row r="411" ht="14.5" spans="1:23">
      <c r="A411" s="8" t="str">
        <f>IFERROR(INDEX(样本到样信息汇总统计!A$2:A$500,MATCH(410,样本到样信息汇总统计!$AA$2:$AA$500,0)),"")</f>
        <v/>
      </c>
      <c r="B411" s="8" t="str">
        <f>IFERROR(INDEX(样本到样信息汇总统计!B$2:B$500,MATCH(410,样本到样信息汇总统计!$AA$2:$AA$500,0)),"")</f>
        <v/>
      </c>
      <c r="C411" s="8" t="str">
        <f>IFERROR(INDEX(样本到样信息汇总统计!C$2:C$500,MATCH(410,样本到样信息汇总统计!$AA$2:$AA$500,0)),"")</f>
        <v/>
      </c>
      <c r="D411" s="8" t="str">
        <f>IFERROR(INDEX(样本到样信息汇总统计!D$2:D$500,MATCH(410,样本到样信息汇总统计!$AA$2:$AA$500,0)),"")</f>
        <v/>
      </c>
      <c r="E411" s="8" t="str">
        <f>IFERROR(INDEX(样本到样信息汇总统计!E$2:E$500,MATCH(410,样本到样信息汇总统计!$AA$2:$AA$500,0)),"")</f>
        <v/>
      </c>
      <c r="F411" s="8" t="str">
        <f>IFERROR(INDEX(样本到样信息汇总统计!F$2:F$500,MATCH(410,样本到样信息汇总统计!$AA$2:$AA$500,0)),"")</f>
        <v/>
      </c>
      <c r="G411" s="8" t="str">
        <f>IFERROR(INDEX(样本到样信息汇总统计!G$2:G$500,MATCH(410,样本到样信息汇总统计!$AA$2:$AA$500,0)),"")</f>
        <v/>
      </c>
      <c r="H411" s="8" t="str">
        <f>IFERROR(INDEX(样本到样信息汇总统计!H$2:H$500,MATCH(410,样本到样信息汇总统计!$AA$2:$AA$500,0)),"")</f>
        <v/>
      </c>
      <c r="I411" s="8" t="str">
        <f>IFERROR(INDEX(样本到样信息汇总统计!I$2:I$500,MATCH(410,样本到样信息汇总统计!$AA$2:$AA$500,0)),"")</f>
        <v/>
      </c>
      <c r="J411" s="8" t="str">
        <f>IFERROR(INDEX(样本到样信息汇总统计!J$2:J$500,MATCH(410,样本到样信息汇总统计!$AA$2:$AA$500,0)),"")</f>
        <v/>
      </c>
      <c r="K411" s="8" t="str">
        <f>IFERROR(INDEX(样本到样信息汇总统计!K$2:K$500,MATCH(410,样本到样信息汇总统计!$AA$2:$AA$500,0)),"")</f>
        <v/>
      </c>
      <c r="L411" s="8" t="str">
        <f>IFERROR(INDEX(样本到样信息汇总统计!L$2:L$500,MATCH(410,样本到样信息汇总统计!$AA$2:$AA$500,0)),"")</f>
        <v/>
      </c>
      <c r="M411" s="8" t="str">
        <f>IFERROR(INDEX(样本到样信息汇总统计!M$2:M$500,MATCH(410,样本到样信息汇总统计!$AA$2:$AA$500,0)),"")</f>
        <v/>
      </c>
      <c r="N411" s="8" t="str">
        <f>IFERROR(INDEX(样本到样信息汇总统计!N$2:N$500,MATCH(410,样本到样信息汇总统计!$AA$2:$AA$500,0)),"")</f>
        <v/>
      </c>
      <c r="O411" s="8" t="str">
        <f>IFERROR(INDEX(样本到样信息汇总统计!O$2:O$500,MATCH(410,样本到样信息汇总统计!$AA$2:$AA$500,0)),"")</f>
        <v/>
      </c>
      <c r="P411" s="8" t="str">
        <f>IFERROR(INDEX(样本到样信息汇总统计!P$2:P$500,MATCH(410,样本到样信息汇总统计!$AA$2:$AA$500,0)),"")</f>
        <v/>
      </c>
      <c r="Q411" s="8" t="str">
        <f>IFERROR(INDEX(样本到样信息汇总统计!Q$2:Q$500,MATCH(410,样本到样信息汇总统计!$AA$2:$AA$500,0)),"")</f>
        <v/>
      </c>
      <c r="R411" s="8" t="str">
        <f>IFERROR(INDEX(样本到样信息汇总统计!R$2:R$500,MATCH(410,样本到样信息汇总统计!$AA$2:$AA$500,0)),"")</f>
        <v/>
      </c>
      <c r="S411" s="8" t="str">
        <f>IFERROR(INDEX(样本到样信息汇总统计!S$2:S$500,MATCH(410,样本到样信息汇总统计!$AA$2:$AA$500,0)),"")</f>
        <v/>
      </c>
      <c r="T411" s="8" t="str">
        <f>IFERROR(INDEX(样本到样信息汇总统计!T$2:T$500,MATCH(410,样本到样信息汇总统计!$AA$2:$AA$500,0)),"")</f>
        <v/>
      </c>
      <c r="U411" s="8" t="str">
        <f>IFERROR(INDEX(样本到样信息汇总统计!U$2:U$500,MATCH(410,样本到样信息汇总统计!$AA$2:$AA$500,0)),"")</f>
        <v/>
      </c>
      <c r="V411" s="8" t="str">
        <f>IFERROR(INDEX(样本到样信息汇总统计!V$2:V$500,MATCH(410,样本到样信息汇总统计!$AA$2:$AA$500,0)),"")</f>
        <v/>
      </c>
      <c r="W411" s="8" t="str">
        <f>IFERROR(INDEX(样本到样信息汇总统计!W$2:W$500,MATCH(410,样本到样信息汇总统计!$AA$2:$AA$500,0)),"")</f>
        <v/>
      </c>
    </row>
    <row r="412" ht="14.5" spans="1:23">
      <c r="A412" s="4" t="str">
        <f>IFERROR(INDEX(样本到样信息汇总统计!A$2:A$500,MATCH(411,样本到样信息汇总统计!$AA$2:$AA$500,0)),"")</f>
        <v/>
      </c>
      <c r="B412" s="4" t="str">
        <f>IFERROR(INDEX(样本到样信息汇总统计!B$2:B$500,MATCH(411,样本到样信息汇总统计!$AA$2:$AA$500,0)),"")</f>
        <v/>
      </c>
      <c r="C412" s="4" t="str">
        <f>IFERROR(INDEX(样本到样信息汇总统计!C$2:C$500,MATCH(411,样本到样信息汇总统计!$AA$2:$AA$500,0)),"")</f>
        <v/>
      </c>
      <c r="D412" s="4" t="str">
        <f>IFERROR(INDEX(样本到样信息汇总统计!D$2:D$500,MATCH(411,样本到样信息汇总统计!$AA$2:$AA$500,0)),"")</f>
        <v/>
      </c>
      <c r="E412" s="4" t="str">
        <f>IFERROR(INDEX(样本到样信息汇总统计!E$2:E$500,MATCH(411,样本到样信息汇总统计!$AA$2:$AA$500,0)),"")</f>
        <v/>
      </c>
      <c r="F412" s="4" t="str">
        <f>IFERROR(INDEX(样本到样信息汇总统计!F$2:F$500,MATCH(411,样本到样信息汇总统计!$AA$2:$AA$500,0)),"")</f>
        <v/>
      </c>
      <c r="G412" s="4" t="str">
        <f>IFERROR(INDEX(样本到样信息汇总统计!G$2:G$500,MATCH(411,样本到样信息汇总统计!$AA$2:$AA$500,0)),"")</f>
        <v/>
      </c>
      <c r="H412" s="4" t="str">
        <f>IFERROR(INDEX(样本到样信息汇总统计!H$2:H$500,MATCH(411,样本到样信息汇总统计!$AA$2:$AA$500,0)),"")</f>
        <v/>
      </c>
      <c r="I412" s="4" t="str">
        <f>IFERROR(INDEX(样本到样信息汇总统计!I$2:I$500,MATCH(411,样本到样信息汇总统计!$AA$2:$AA$500,0)),"")</f>
        <v/>
      </c>
      <c r="J412" s="4" t="str">
        <f>IFERROR(INDEX(样本到样信息汇总统计!J$2:J$500,MATCH(411,样本到样信息汇总统计!$AA$2:$AA$500,0)),"")</f>
        <v/>
      </c>
      <c r="K412" s="4" t="str">
        <f>IFERROR(INDEX(样本到样信息汇总统计!K$2:K$500,MATCH(411,样本到样信息汇总统计!$AA$2:$AA$500,0)),"")</f>
        <v/>
      </c>
      <c r="L412" s="4" t="str">
        <f>IFERROR(INDEX(样本到样信息汇总统计!L$2:L$500,MATCH(411,样本到样信息汇总统计!$AA$2:$AA$500,0)),"")</f>
        <v/>
      </c>
      <c r="M412" s="4" t="str">
        <f>IFERROR(INDEX(样本到样信息汇总统计!M$2:M$500,MATCH(411,样本到样信息汇总统计!$AA$2:$AA$500,0)),"")</f>
        <v/>
      </c>
      <c r="N412" s="4" t="str">
        <f>IFERROR(INDEX(样本到样信息汇总统计!N$2:N$500,MATCH(411,样本到样信息汇总统计!$AA$2:$AA$500,0)),"")</f>
        <v/>
      </c>
      <c r="O412" s="4" t="str">
        <f>IFERROR(INDEX(样本到样信息汇总统计!O$2:O$500,MATCH(411,样本到样信息汇总统计!$AA$2:$AA$500,0)),"")</f>
        <v/>
      </c>
      <c r="P412" s="4" t="str">
        <f>IFERROR(INDEX(样本到样信息汇总统计!P$2:P$500,MATCH(411,样本到样信息汇总统计!$AA$2:$AA$500,0)),"")</f>
        <v/>
      </c>
      <c r="Q412" s="4" t="str">
        <f>IFERROR(INDEX(样本到样信息汇总统计!Q$2:Q$500,MATCH(411,样本到样信息汇总统计!$AA$2:$AA$500,0)),"")</f>
        <v/>
      </c>
      <c r="R412" s="4" t="str">
        <f>IFERROR(INDEX(样本到样信息汇总统计!R$2:R$500,MATCH(411,样本到样信息汇总统计!$AA$2:$AA$500,0)),"")</f>
        <v/>
      </c>
      <c r="S412" s="4" t="str">
        <f>IFERROR(INDEX(样本到样信息汇总统计!S$2:S$500,MATCH(411,样本到样信息汇总统计!$AA$2:$AA$500,0)),"")</f>
        <v/>
      </c>
      <c r="T412" s="4" t="str">
        <f>IFERROR(INDEX(样本到样信息汇总统计!T$2:T$500,MATCH(411,样本到样信息汇总统计!$AA$2:$AA$500,0)),"")</f>
        <v/>
      </c>
      <c r="U412" s="4" t="str">
        <f>IFERROR(INDEX(样本到样信息汇总统计!U$2:U$500,MATCH(411,样本到样信息汇总统计!$AA$2:$AA$500,0)),"")</f>
        <v/>
      </c>
      <c r="V412" s="4" t="str">
        <f>IFERROR(INDEX(样本到样信息汇总统计!V$2:V$500,MATCH(411,样本到样信息汇总统计!$AA$2:$AA$500,0)),"")</f>
        <v/>
      </c>
      <c r="W412" s="4" t="str">
        <f>IFERROR(INDEX(样本到样信息汇总统计!W$2:W$500,MATCH(411,样本到样信息汇总统计!$AA$2:$AA$500,0)),"")</f>
        <v/>
      </c>
    </row>
    <row r="413" ht="14.5" spans="1:23">
      <c r="A413" s="8" t="str">
        <f>IFERROR(INDEX(样本到样信息汇总统计!A$2:A$500,MATCH(412,样本到样信息汇总统计!$AA$2:$AA$500,0)),"")</f>
        <v/>
      </c>
      <c r="B413" s="8" t="str">
        <f>IFERROR(INDEX(样本到样信息汇总统计!B$2:B$500,MATCH(412,样本到样信息汇总统计!$AA$2:$AA$500,0)),"")</f>
        <v/>
      </c>
      <c r="C413" s="8" t="str">
        <f>IFERROR(INDEX(样本到样信息汇总统计!C$2:C$500,MATCH(412,样本到样信息汇总统计!$AA$2:$AA$500,0)),"")</f>
        <v/>
      </c>
      <c r="D413" s="8" t="str">
        <f>IFERROR(INDEX(样本到样信息汇总统计!D$2:D$500,MATCH(412,样本到样信息汇总统计!$AA$2:$AA$500,0)),"")</f>
        <v/>
      </c>
      <c r="E413" s="8" t="str">
        <f>IFERROR(INDEX(样本到样信息汇总统计!E$2:E$500,MATCH(412,样本到样信息汇总统计!$AA$2:$AA$500,0)),"")</f>
        <v/>
      </c>
      <c r="F413" s="8" t="str">
        <f>IFERROR(INDEX(样本到样信息汇总统计!F$2:F$500,MATCH(412,样本到样信息汇总统计!$AA$2:$AA$500,0)),"")</f>
        <v/>
      </c>
      <c r="G413" s="8" t="str">
        <f>IFERROR(INDEX(样本到样信息汇总统计!G$2:G$500,MATCH(412,样本到样信息汇总统计!$AA$2:$AA$500,0)),"")</f>
        <v/>
      </c>
      <c r="H413" s="8" t="str">
        <f>IFERROR(INDEX(样本到样信息汇总统计!H$2:H$500,MATCH(412,样本到样信息汇总统计!$AA$2:$AA$500,0)),"")</f>
        <v/>
      </c>
      <c r="I413" s="8" t="str">
        <f>IFERROR(INDEX(样本到样信息汇总统计!I$2:I$500,MATCH(412,样本到样信息汇总统计!$AA$2:$AA$500,0)),"")</f>
        <v/>
      </c>
      <c r="J413" s="8" t="str">
        <f>IFERROR(INDEX(样本到样信息汇总统计!J$2:J$500,MATCH(412,样本到样信息汇总统计!$AA$2:$AA$500,0)),"")</f>
        <v/>
      </c>
      <c r="K413" s="8" t="str">
        <f>IFERROR(INDEX(样本到样信息汇总统计!K$2:K$500,MATCH(412,样本到样信息汇总统计!$AA$2:$AA$500,0)),"")</f>
        <v/>
      </c>
      <c r="L413" s="8" t="str">
        <f>IFERROR(INDEX(样本到样信息汇总统计!L$2:L$500,MATCH(412,样本到样信息汇总统计!$AA$2:$AA$500,0)),"")</f>
        <v/>
      </c>
      <c r="M413" s="8" t="str">
        <f>IFERROR(INDEX(样本到样信息汇总统计!M$2:M$500,MATCH(412,样本到样信息汇总统计!$AA$2:$AA$500,0)),"")</f>
        <v/>
      </c>
      <c r="N413" s="8" t="str">
        <f>IFERROR(INDEX(样本到样信息汇总统计!N$2:N$500,MATCH(412,样本到样信息汇总统计!$AA$2:$AA$500,0)),"")</f>
        <v/>
      </c>
      <c r="O413" s="8" t="str">
        <f>IFERROR(INDEX(样本到样信息汇总统计!O$2:O$500,MATCH(412,样本到样信息汇总统计!$AA$2:$AA$500,0)),"")</f>
        <v/>
      </c>
      <c r="P413" s="8" t="str">
        <f>IFERROR(INDEX(样本到样信息汇总统计!P$2:P$500,MATCH(412,样本到样信息汇总统计!$AA$2:$AA$500,0)),"")</f>
        <v/>
      </c>
      <c r="Q413" s="8" t="str">
        <f>IFERROR(INDEX(样本到样信息汇总统计!Q$2:Q$500,MATCH(412,样本到样信息汇总统计!$AA$2:$AA$500,0)),"")</f>
        <v/>
      </c>
      <c r="R413" s="8" t="str">
        <f>IFERROR(INDEX(样本到样信息汇总统计!R$2:R$500,MATCH(412,样本到样信息汇总统计!$AA$2:$AA$500,0)),"")</f>
        <v/>
      </c>
      <c r="S413" s="8" t="str">
        <f>IFERROR(INDEX(样本到样信息汇总统计!S$2:S$500,MATCH(412,样本到样信息汇总统计!$AA$2:$AA$500,0)),"")</f>
        <v/>
      </c>
      <c r="T413" s="8" t="str">
        <f>IFERROR(INDEX(样本到样信息汇总统计!T$2:T$500,MATCH(412,样本到样信息汇总统计!$AA$2:$AA$500,0)),"")</f>
        <v/>
      </c>
      <c r="U413" s="8" t="str">
        <f>IFERROR(INDEX(样本到样信息汇总统计!U$2:U$500,MATCH(412,样本到样信息汇总统计!$AA$2:$AA$500,0)),"")</f>
        <v/>
      </c>
      <c r="V413" s="8" t="str">
        <f>IFERROR(INDEX(样本到样信息汇总统计!V$2:V$500,MATCH(412,样本到样信息汇总统计!$AA$2:$AA$500,0)),"")</f>
        <v/>
      </c>
      <c r="W413" s="8" t="str">
        <f>IFERROR(INDEX(样本到样信息汇总统计!W$2:W$500,MATCH(412,样本到样信息汇总统计!$AA$2:$AA$500,0)),"")</f>
        <v/>
      </c>
    </row>
    <row r="414" ht="14.5" spans="1:23">
      <c r="A414" s="4" t="str">
        <f>IFERROR(INDEX(样本到样信息汇总统计!A$2:A$500,MATCH(413,样本到样信息汇总统计!$AA$2:$AA$500,0)),"")</f>
        <v/>
      </c>
      <c r="B414" s="4" t="str">
        <f>IFERROR(INDEX(样本到样信息汇总统计!B$2:B$500,MATCH(413,样本到样信息汇总统计!$AA$2:$AA$500,0)),"")</f>
        <v/>
      </c>
      <c r="C414" s="4" t="str">
        <f>IFERROR(INDEX(样本到样信息汇总统计!C$2:C$500,MATCH(413,样本到样信息汇总统计!$AA$2:$AA$500,0)),"")</f>
        <v/>
      </c>
      <c r="D414" s="4" t="str">
        <f>IFERROR(INDEX(样本到样信息汇总统计!D$2:D$500,MATCH(413,样本到样信息汇总统计!$AA$2:$AA$500,0)),"")</f>
        <v/>
      </c>
      <c r="E414" s="4" t="str">
        <f>IFERROR(INDEX(样本到样信息汇总统计!E$2:E$500,MATCH(413,样本到样信息汇总统计!$AA$2:$AA$500,0)),"")</f>
        <v/>
      </c>
      <c r="F414" s="4" t="str">
        <f>IFERROR(INDEX(样本到样信息汇总统计!F$2:F$500,MATCH(413,样本到样信息汇总统计!$AA$2:$AA$500,0)),"")</f>
        <v/>
      </c>
      <c r="G414" s="4" t="str">
        <f>IFERROR(INDEX(样本到样信息汇总统计!G$2:G$500,MATCH(413,样本到样信息汇总统计!$AA$2:$AA$500,0)),"")</f>
        <v/>
      </c>
      <c r="H414" s="4" t="str">
        <f>IFERROR(INDEX(样本到样信息汇总统计!H$2:H$500,MATCH(413,样本到样信息汇总统计!$AA$2:$AA$500,0)),"")</f>
        <v/>
      </c>
      <c r="I414" s="4" t="str">
        <f>IFERROR(INDEX(样本到样信息汇总统计!I$2:I$500,MATCH(413,样本到样信息汇总统计!$AA$2:$AA$500,0)),"")</f>
        <v/>
      </c>
      <c r="J414" s="4" t="str">
        <f>IFERROR(INDEX(样本到样信息汇总统计!J$2:J$500,MATCH(413,样本到样信息汇总统计!$AA$2:$AA$500,0)),"")</f>
        <v/>
      </c>
      <c r="K414" s="4" t="str">
        <f>IFERROR(INDEX(样本到样信息汇总统计!K$2:K$500,MATCH(413,样本到样信息汇总统计!$AA$2:$AA$500,0)),"")</f>
        <v/>
      </c>
      <c r="L414" s="4" t="str">
        <f>IFERROR(INDEX(样本到样信息汇总统计!L$2:L$500,MATCH(413,样本到样信息汇总统计!$AA$2:$AA$500,0)),"")</f>
        <v/>
      </c>
      <c r="M414" s="4" t="str">
        <f>IFERROR(INDEX(样本到样信息汇总统计!M$2:M$500,MATCH(413,样本到样信息汇总统计!$AA$2:$AA$500,0)),"")</f>
        <v/>
      </c>
      <c r="N414" s="4" t="str">
        <f>IFERROR(INDEX(样本到样信息汇总统计!N$2:N$500,MATCH(413,样本到样信息汇总统计!$AA$2:$AA$500,0)),"")</f>
        <v/>
      </c>
      <c r="O414" s="4" t="str">
        <f>IFERROR(INDEX(样本到样信息汇总统计!O$2:O$500,MATCH(413,样本到样信息汇总统计!$AA$2:$AA$500,0)),"")</f>
        <v/>
      </c>
      <c r="P414" s="4" t="str">
        <f>IFERROR(INDEX(样本到样信息汇总统计!P$2:P$500,MATCH(413,样本到样信息汇总统计!$AA$2:$AA$500,0)),"")</f>
        <v/>
      </c>
      <c r="Q414" s="4" t="str">
        <f>IFERROR(INDEX(样本到样信息汇总统计!Q$2:Q$500,MATCH(413,样本到样信息汇总统计!$AA$2:$AA$500,0)),"")</f>
        <v/>
      </c>
      <c r="R414" s="4" t="str">
        <f>IFERROR(INDEX(样本到样信息汇总统计!R$2:R$500,MATCH(413,样本到样信息汇总统计!$AA$2:$AA$500,0)),"")</f>
        <v/>
      </c>
      <c r="S414" s="4" t="str">
        <f>IFERROR(INDEX(样本到样信息汇总统计!S$2:S$500,MATCH(413,样本到样信息汇总统计!$AA$2:$AA$500,0)),"")</f>
        <v/>
      </c>
      <c r="T414" s="4" t="str">
        <f>IFERROR(INDEX(样本到样信息汇总统计!T$2:T$500,MATCH(413,样本到样信息汇总统计!$AA$2:$AA$500,0)),"")</f>
        <v/>
      </c>
      <c r="U414" s="4" t="str">
        <f>IFERROR(INDEX(样本到样信息汇总统计!U$2:U$500,MATCH(413,样本到样信息汇总统计!$AA$2:$AA$500,0)),"")</f>
        <v/>
      </c>
      <c r="V414" s="4" t="str">
        <f>IFERROR(INDEX(样本到样信息汇总统计!V$2:V$500,MATCH(413,样本到样信息汇总统计!$AA$2:$AA$500,0)),"")</f>
        <v/>
      </c>
      <c r="W414" s="4" t="str">
        <f>IFERROR(INDEX(样本到样信息汇总统计!W$2:W$500,MATCH(413,样本到样信息汇总统计!$AA$2:$AA$500,0)),"")</f>
        <v/>
      </c>
    </row>
    <row r="415" ht="14.5" spans="1:23">
      <c r="A415" s="8" t="str">
        <f>IFERROR(INDEX(样本到样信息汇总统计!A$2:A$500,MATCH(414,样本到样信息汇总统计!$AA$2:$AA$500,0)),"")</f>
        <v/>
      </c>
      <c r="B415" s="8" t="str">
        <f>IFERROR(INDEX(样本到样信息汇总统计!B$2:B$500,MATCH(414,样本到样信息汇总统计!$AA$2:$AA$500,0)),"")</f>
        <v/>
      </c>
      <c r="C415" s="8" t="str">
        <f>IFERROR(INDEX(样本到样信息汇总统计!C$2:C$500,MATCH(414,样本到样信息汇总统计!$AA$2:$AA$500,0)),"")</f>
        <v/>
      </c>
      <c r="D415" s="8" t="str">
        <f>IFERROR(INDEX(样本到样信息汇总统计!D$2:D$500,MATCH(414,样本到样信息汇总统计!$AA$2:$AA$500,0)),"")</f>
        <v/>
      </c>
      <c r="E415" s="8" t="str">
        <f>IFERROR(INDEX(样本到样信息汇总统计!E$2:E$500,MATCH(414,样本到样信息汇总统计!$AA$2:$AA$500,0)),"")</f>
        <v/>
      </c>
      <c r="F415" s="8" t="str">
        <f>IFERROR(INDEX(样本到样信息汇总统计!F$2:F$500,MATCH(414,样本到样信息汇总统计!$AA$2:$AA$500,0)),"")</f>
        <v/>
      </c>
      <c r="G415" s="8" t="str">
        <f>IFERROR(INDEX(样本到样信息汇总统计!G$2:G$500,MATCH(414,样本到样信息汇总统计!$AA$2:$AA$500,0)),"")</f>
        <v/>
      </c>
      <c r="H415" s="8" t="str">
        <f>IFERROR(INDEX(样本到样信息汇总统计!H$2:H$500,MATCH(414,样本到样信息汇总统计!$AA$2:$AA$500,0)),"")</f>
        <v/>
      </c>
      <c r="I415" s="8" t="str">
        <f>IFERROR(INDEX(样本到样信息汇总统计!I$2:I$500,MATCH(414,样本到样信息汇总统计!$AA$2:$AA$500,0)),"")</f>
        <v/>
      </c>
      <c r="J415" s="8" t="str">
        <f>IFERROR(INDEX(样本到样信息汇总统计!J$2:J$500,MATCH(414,样本到样信息汇总统计!$AA$2:$AA$500,0)),"")</f>
        <v/>
      </c>
      <c r="K415" s="8" t="str">
        <f>IFERROR(INDEX(样本到样信息汇总统计!K$2:K$500,MATCH(414,样本到样信息汇总统计!$AA$2:$AA$500,0)),"")</f>
        <v/>
      </c>
      <c r="L415" s="8" t="str">
        <f>IFERROR(INDEX(样本到样信息汇总统计!L$2:L$500,MATCH(414,样本到样信息汇总统计!$AA$2:$AA$500,0)),"")</f>
        <v/>
      </c>
      <c r="M415" s="8" t="str">
        <f>IFERROR(INDEX(样本到样信息汇总统计!M$2:M$500,MATCH(414,样本到样信息汇总统计!$AA$2:$AA$500,0)),"")</f>
        <v/>
      </c>
      <c r="N415" s="8" t="str">
        <f>IFERROR(INDEX(样本到样信息汇总统计!N$2:N$500,MATCH(414,样本到样信息汇总统计!$AA$2:$AA$500,0)),"")</f>
        <v/>
      </c>
      <c r="O415" s="8" t="str">
        <f>IFERROR(INDEX(样本到样信息汇总统计!O$2:O$500,MATCH(414,样本到样信息汇总统计!$AA$2:$AA$500,0)),"")</f>
        <v/>
      </c>
      <c r="P415" s="8" t="str">
        <f>IFERROR(INDEX(样本到样信息汇总统计!P$2:P$500,MATCH(414,样本到样信息汇总统计!$AA$2:$AA$500,0)),"")</f>
        <v/>
      </c>
      <c r="Q415" s="8" t="str">
        <f>IFERROR(INDEX(样本到样信息汇总统计!Q$2:Q$500,MATCH(414,样本到样信息汇总统计!$AA$2:$AA$500,0)),"")</f>
        <v/>
      </c>
      <c r="R415" s="8" t="str">
        <f>IFERROR(INDEX(样本到样信息汇总统计!R$2:R$500,MATCH(414,样本到样信息汇总统计!$AA$2:$AA$500,0)),"")</f>
        <v/>
      </c>
      <c r="S415" s="8" t="str">
        <f>IFERROR(INDEX(样本到样信息汇总统计!S$2:S$500,MATCH(414,样本到样信息汇总统计!$AA$2:$AA$500,0)),"")</f>
        <v/>
      </c>
      <c r="T415" s="8" t="str">
        <f>IFERROR(INDEX(样本到样信息汇总统计!T$2:T$500,MATCH(414,样本到样信息汇总统计!$AA$2:$AA$500,0)),"")</f>
        <v/>
      </c>
      <c r="U415" s="8" t="str">
        <f>IFERROR(INDEX(样本到样信息汇总统计!U$2:U$500,MATCH(414,样本到样信息汇总统计!$AA$2:$AA$500,0)),"")</f>
        <v/>
      </c>
      <c r="V415" s="8" t="str">
        <f>IFERROR(INDEX(样本到样信息汇总统计!V$2:V$500,MATCH(414,样本到样信息汇总统计!$AA$2:$AA$500,0)),"")</f>
        <v/>
      </c>
      <c r="W415" s="8" t="str">
        <f>IFERROR(INDEX(样本到样信息汇总统计!W$2:W$500,MATCH(414,样本到样信息汇总统计!$AA$2:$AA$500,0)),"")</f>
        <v/>
      </c>
    </row>
    <row r="416" ht="14.5" spans="1:23">
      <c r="A416" s="4" t="str">
        <f>IFERROR(INDEX(样本到样信息汇总统计!A$2:A$500,MATCH(415,样本到样信息汇总统计!$AA$2:$AA$500,0)),"")</f>
        <v/>
      </c>
      <c r="B416" s="4" t="str">
        <f>IFERROR(INDEX(样本到样信息汇总统计!B$2:B$500,MATCH(415,样本到样信息汇总统计!$AA$2:$AA$500,0)),"")</f>
        <v/>
      </c>
      <c r="C416" s="4" t="str">
        <f>IFERROR(INDEX(样本到样信息汇总统计!C$2:C$500,MATCH(415,样本到样信息汇总统计!$AA$2:$AA$500,0)),"")</f>
        <v/>
      </c>
      <c r="D416" s="4" t="str">
        <f>IFERROR(INDEX(样本到样信息汇总统计!D$2:D$500,MATCH(415,样本到样信息汇总统计!$AA$2:$AA$500,0)),"")</f>
        <v/>
      </c>
      <c r="E416" s="4" t="str">
        <f>IFERROR(INDEX(样本到样信息汇总统计!E$2:E$500,MATCH(415,样本到样信息汇总统计!$AA$2:$AA$500,0)),"")</f>
        <v/>
      </c>
      <c r="F416" s="4" t="str">
        <f>IFERROR(INDEX(样本到样信息汇总统计!F$2:F$500,MATCH(415,样本到样信息汇总统计!$AA$2:$AA$500,0)),"")</f>
        <v/>
      </c>
      <c r="G416" s="4" t="str">
        <f>IFERROR(INDEX(样本到样信息汇总统计!G$2:G$500,MATCH(415,样本到样信息汇总统计!$AA$2:$AA$500,0)),"")</f>
        <v/>
      </c>
      <c r="H416" s="4" t="str">
        <f>IFERROR(INDEX(样本到样信息汇总统计!H$2:H$500,MATCH(415,样本到样信息汇总统计!$AA$2:$AA$500,0)),"")</f>
        <v/>
      </c>
      <c r="I416" s="4" t="str">
        <f>IFERROR(INDEX(样本到样信息汇总统计!I$2:I$500,MATCH(415,样本到样信息汇总统计!$AA$2:$AA$500,0)),"")</f>
        <v/>
      </c>
      <c r="J416" s="4" t="str">
        <f>IFERROR(INDEX(样本到样信息汇总统计!J$2:J$500,MATCH(415,样本到样信息汇总统计!$AA$2:$AA$500,0)),"")</f>
        <v/>
      </c>
      <c r="K416" s="4" t="str">
        <f>IFERROR(INDEX(样本到样信息汇总统计!K$2:K$500,MATCH(415,样本到样信息汇总统计!$AA$2:$AA$500,0)),"")</f>
        <v/>
      </c>
      <c r="L416" s="4" t="str">
        <f>IFERROR(INDEX(样本到样信息汇总统计!L$2:L$500,MATCH(415,样本到样信息汇总统计!$AA$2:$AA$500,0)),"")</f>
        <v/>
      </c>
      <c r="M416" s="4" t="str">
        <f>IFERROR(INDEX(样本到样信息汇总统计!M$2:M$500,MATCH(415,样本到样信息汇总统计!$AA$2:$AA$500,0)),"")</f>
        <v/>
      </c>
      <c r="N416" s="4" t="str">
        <f>IFERROR(INDEX(样本到样信息汇总统计!N$2:N$500,MATCH(415,样本到样信息汇总统计!$AA$2:$AA$500,0)),"")</f>
        <v/>
      </c>
      <c r="O416" s="4" t="str">
        <f>IFERROR(INDEX(样本到样信息汇总统计!O$2:O$500,MATCH(415,样本到样信息汇总统计!$AA$2:$AA$500,0)),"")</f>
        <v/>
      </c>
      <c r="P416" s="4" t="str">
        <f>IFERROR(INDEX(样本到样信息汇总统计!P$2:P$500,MATCH(415,样本到样信息汇总统计!$AA$2:$AA$500,0)),"")</f>
        <v/>
      </c>
      <c r="Q416" s="4" t="str">
        <f>IFERROR(INDEX(样本到样信息汇总统计!Q$2:Q$500,MATCH(415,样本到样信息汇总统计!$AA$2:$AA$500,0)),"")</f>
        <v/>
      </c>
      <c r="R416" s="4" t="str">
        <f>IFERROR(INDEX(样本到样信息汇总统计!R$2:R$500,MATCH(415,样本到样信息汇总统计!$AA$2:$AA$500,0)),"")</f>
        <v/>
      </c>
      <c r="S416" s="4" t="str">
        <f>IFERROR(INDEX(样本到样信息汇总统计!S$2:S$500,MATCH(415,样本到样信息汇总统计!$AA$2:$AA$500,0)),"")</f>
        <v/>
      </c>
      <c r="T416" s="4" t="str">
        <f>IFERROR(INDEX(样本到样信息汇总统计!T$2:T$500,MATCH(415,样本到样信息汇总统计!$AA$2:$AA$500,0)),"")</f>
        <v/>
      </c>
      <c r="U416" s="4" t="str">
        <f>IFERROR(INDEX(样本到样信息汇总统计!U$2:U$500,MATCH(415,样本到样信息汇总统计!$AA$2:$AA$500,0)),"")</f>
        <v/>
      </c>
      <c r="V416" s="4" t="str">
        <f>IFERROR(INDEX(样本到样信息汇总统计!V$2:V$500,MATCH(415,样本到样信息汇总统计!$AA$2:$AA$500,0)),"")</f>
        <v/>
      </c>
      <c r="W416" s="4" t="str">
        <f>IFERROR(INDEX(样本到样信息汇总统计!W$2:W$500,MATCH(415,样本到样信息汇总统计!$AA$2:$AA$500,0)),"")</f>
        <v/>
      </c>
    </row>
    <row r="417" ht="14.5" spans="1:23">
      <c r="A417" s="8" t="str">
        <f>IFERROR(INDEX(样本到样信息汇总统计!A$2:A$500,MATCH(416,样本到样信息汇总统计!$AA$2:$AA$500,0)),"")</f>
        <v/>
      </c>
      <c r="B417" s="8" t="str">
        <f>IFERROR(INDEX(样本到样信息汇总统计!B$2:B$500,MATCH(416,样本到样信息汇总统计!$AA$2:$AA$500,0)),"")</f>
        <v/>
      </c>
      <c r="C417" s="8" t="str">
        <f>IFERROR(INDEX(样本到样信息汇总统计!C$2:C$500,MATCH(416,样本到样信息汇总统计!$AA$2:$AA$500,0)),"")</f>
        <v/>
      </c>
      <c r="D417" s="8" t="str">
        <f>IFERROR(INDEX(样本到样信息汇总统计!D$2:D$500,MATCH(416,样本到样信息汇总统计!$AA$2:$AA$500,0)),"")</f>
        <v/>
      </c>
      <c r="E417" s="8" t="str">
        <f>IFERROR(INDEX(样本到样信息汇总统计!E$2:E$500,MATCH(416,样本到样信息汇总统计!$AA$2:$AA$500,0)),"")</f>
        <v/>
      </c>
      <c r="F417" s="8" t="str">
        <f>IFERROR(INDEX(样本到样信息汇总统计!F$2:F$500,MATCH(416,样本到样信息汇总统计!$AA$2:$AA$500,0)),"")</f>
        <v/>
      </c>
      <c r="G417" s="8" t="str">
        <f>IFERROR(INDEX(样本到样信息汇总统计!G$2:G$500,MATCH(416,样本到样信息汇总统计!$AA$2:$AA$500,0)),"")</f>
        <v/>
      </c>
      <c r="H417" s="8" t="str">
        <f>IFERROR(INDEX(样本到样信息汇总统计!H$2:H$500,MATCH(416,样本到样信息汇总统计!$AA$2:$AA$500,0)),"")</f>
        <v/>
      </c>
      <c r="I417" s="8" t="str">
        <f>IFERROR(INDEX(样本到样信息汇总统计!I$2:I$500,MATCH(416,样本到样信息汇总统计!$AA$2:$AA$500,0)),"")</f>
        <v/>
      </c>
      <c r="J417" s="8" t="str">
        <f>IFERROR(INDEX(样本到样信息汇总统计!J$2:J$500,MATCH(416,样本到样信息汇总统计!$AA$2:$AA$500,0)),"")</f>
        <v/>
      </c>
      <c r="K417" s="8" t="str">
        <f>IFERROR(INDEX(样本到样信息汇总统计!K$2:K$500,MATCH(416,样本到样信息汇总统计!$AA$2:$AA$500,0)),"")</f>
        <v/>
      </c>
      <c r="L417" s="8" t="str">
        <f>IFERROR(INDEX(样本到样信息汇总统计!L$2:L$500,MATCH(416,样本到样信息汇总统计!$AA$2:$AA$500,0)),"")</f>
        <v/>
      </c>
      <c r="M417" s="8" t="str">
        <f>IFERROR(INDEX(样本到样信息汇总统计!M$2:M$500,MATCH(416,样本到样信息汇总统计!$AA$2:$AA$500,0)),"")</f>
        <v/>
      </c>
      <c r="N417" s="8" t="str">
        <f>IFERROR(INDEX(样本到样信息汇总统计!N$2:N$500,MATCH(416,样本到样信息汇总统计!$AA$2:$AA$500,0)),"")</f>
        <v/>
      </c>
      <c r="O417" s="8" t="str">
        <f>IFERROR(INDEX(样本到样信息汇总统计!O$2:O$500,MATCH(416,样本到样信息汇总统计!$AA$2:$AA$500,0)),"")</f>
        <v/>
      </c>
      <c r="P417" s="8" t="str">
        <f>IFERROR(INDEX(样本到样信息汇总统计!P$2:P$500,MATCH(416,样本到样信息汇总统计!$AA$2:$AA$500,0)),"")</f>
        <v/>
      </c>
      <c r="Q417" s="8" t="str">
        <f>IFERROR(INDEX(样本到样信息汇总统计!Q$2:Q$500,MATCH(416,样本到样信息汇总统计!$AA$2:$AA$500,0)),"")</f>
        <v/>
      </c>
      <c r="R417" s="8" t="str">
        <f>IFERROR(INDEX(样本到样信息汇总统计!R$2:R$500,MATCH(416,样本到样信息汇总统计!$AA$2:$AA$500,0)),"")</f>
        <v/>
      </c>
      <c r="S417" s="8" t="str">
        <f>IFERROR(INDEX(样本到样信息汇总统计!S$2:S$500,MATCH(416,样本到样信息汇总统计!$AA$2:$AA$500,0)),"")</f>
        <v/>
      </c>
      <c r="T417" s="8" t="str">
        <f>IFERROR(INDEX(样本到样信息汇总统计!T$2:T$500,MATCH(416,样本到样信息汇总统计!$AA$2:$AA$500,0)),"")</f>
        <v/>
      </c>
      <c r="U417" s="8" t="str">
        <f>IFERROR(INDEX(样本到样信息汇总统计!U$2:U$500,MATCH(416,样本到样信息汇总统计!$AA$2:$AA$500,0)),"")</f>
        <v/>
      </c>
      <c r="V417" s="8" t="str">
        <f>IFERROR(INDEX(样本到样信息汇总统计!V$2:V$500,MATCH(416,样本到样信息汇总统计!$AA$2:$AA$500,0)),"")</f>
        <v/>
      </c>
      <c r="W417" s="8" t="str">
        <f>IFERROR(INDEX(样本到样信息汇总统计!W$2:W$500,MATCH(416,样本到样信息汇总统计!$AA$2:$AA$500,0)),"")</f>
        <v/>
      </c>
    </row>
    <row r="418" ht="14.5" spans="1:23">
      <c r="A418" s="4" t="str">
        <f>IFERROR(INDEX(样本到样信息汇总统计!A$2:A$500,MATCH(417,样本到样信息汇总统计!$AA$2:$AA$500,0)),"")</f>
        <v/>
      </c>
      <c r="B418" s="4" t="str">
        <f>IFERROR(INDEX(样本到样信息汇总统计!B$2:B$500,MATCH(417,样本到样信息汇总统计!$AA$2:$AA$500,0)),"")</f>
        <v/>
      </c>
      <c r="C418" s="4" t="str">
        <f>IFERROR(INDEX(样本到样信息汇总统计!C$2:C$500,MATCH(417,样本到样信息汇总统计!$AA$2:$AA$500,0)),"")</f>
        <v/>
      </c>
      <c r="D418" s="4" t="str">
        <f>IFERROR(INDEX(样本到样信息汇总统计!D$2:D$500,MATCH(417,样本到样信息汇总统计!$AA$2:$AA$500,0)),"")</f>
        <v/>
      </c>
      <c r="E418" s="4" t="str">
        <f>IFERROR(INDEX(样本到样信息汇总统计!E$2:E$500,MATCH(417,样本到样信息汇总统计!$AA$2:$AA$500,0)),"")</f>
        <v/>
      </c>
      <c r="F418" s="4" t="str">
        <f>IFERROR(INDEX(样本到样信息汇总统计!F$2:F$500,MATCH(417,样本到样信息汇总统计!$AA$2:$AA$500,0)),"")</f>
        <v/>
      </c>
      <c r="G418" s="4" t="str">
        <f>IFERROR(INDEX(样本到样信息汇总统计!G$2:G$500,MATCH(417,样本到样信息汇总统计!$AA$2:$AA$500,0)),"")</f>
        <v/>
      </c>
      <c r="H418" s="4" t="str">
        <f>IFERROR(INDEX(样本到样信息汇总统计!H$2:H$500,MATCH(417,样本到样信息汇总统计!$AA$2:$AA$500,0)),"")</f>
        <v/>
      </c>
      <c r="I418" s="4" t="str">
        <f>IFERROR(INDEX(样本到样信息汇总统计!I$2:I$500,MATCH(417,样本到样信息汇总统计!$AA$2:$AA$500,0)),"")</f>
        <v/>
      </c>
      <c r="J418" s="4" t="str">
        <f>IFERROR(INDEX(样本到样信息汇总统计!J$2:J$500,MATCH(417,样本到样信息汇总统计!$AA$2:$AA$500,0)),"")</f>
        <v/>
      </c>
      <c r="K418" s="4" t="str">
        <f>IFERROR(INDEX(样本到样信息汇总统计!K$2:K$500,MATCH(417,样本到样信息汇总统计!$AA$2:$AA$500,0)),"")</f>
        <v/>
      </c>
      <c r="L418" s="4" t="str">
        <f>IFERROR(INDEX(样本到样信息汇总统计!L$2:L$500,MATCH(417,样本到样信息汇总统计!$AA$2:$AA$500,0)),"")</f>
        <v/>
      </c>
      <c r="M418" s="4" t="str">
        <f>IFERROR(INDEX(样本到样信息汇总统计!M$2:M$500,MATCH(417,样本到样信息汇总统计!$AA$2:$AA$500,0)),"")</f>
        <v/>
      </c>
      <c r="N418" s="4" t="str">
        <f>IFERROR(INDEX(样本到样信息汇总统计!N$2:N$500,MATCH(417,样本到样信息汇总统计!$AA$2:$AA$500,0)),"")</f>
        <v/>
      </c>
      <c r="O418" s="4" t="str">
        <f>IFERROR(INDEX(样本到样信息汇总统计!O$2:O$500,MATCH(417,样本到样信息汇总统计!$AA$2:$AA$500,0)),"")</f>
        <v/>
      </c>
      <c r="P418" s="4" t="str">
        <f>IFERROR(INDEX(样本到样信息汇总统计!P$2:P$500,MATCH(417,样本到样信息汇总统计!$AA$2:$AA$500,0)),"")</f>
        <v/>
      </c>
      <c r="Q418" s="4" t="str">
        <f>IFERROR(INDEX(样本到样信息汇总统计!Q$2:Q$500,MATCH(417,样本到样信息汇总统计!$AA$2:$AA$500,0)),"")</f>
        <v/>
      </c>
      <c r="R418" s="4" t="str">
        <f>IFERROR(INDEX(样本到样信息汇总统计!R$2:R$500,MATCH(417,样本到样信息汇总统计!$AA$2:$AA$500,0)),"")</f>
        <v/>
      </c>
      <c r="S418" s="4" t="str">
        <f>IFERROR(INDEX(样本到样信息汇总统计!S$2:S$500,MATCH(417,样本到样信息汇总统计!$AA$2:$AA$500,0)),"")</f>
        <v/>
      </c>
      <c r="T418" s="4" t="str">
        <f>IFERROR(INDEX(样本到样信息汇总统计!T$2:T$500,MATCH(417,样本到样信息汇总统计!$AA$2:$AA$500,0)),"")</f>
        <v/>
      </c>
      <c r="U418" s="4" t="str">
        <f>IFERROR(INDEX(样本到样信息汇总统计!U$2:U$500,MATCH(417,样本到样信息汇总统计!$AA$2:$AA$500,0)),"")</f>
        <v/>
      </c>
      <c r="V418" s="4" t="str">
        <f>IFERROR(INDEX(样本到样信息汇总统计!V$2:V$500,MATCH(417,样本到样信息汇总统计!$AA$2:$AA$500,0)),"")</f>
        <v/>
      </c>
      <c r="W418" s="4" t="str">
        <f>IFERROR(INDEX(样本到样信息汇总统计!W$2:W$500,MATCH(417,样本到样信息汇总统计!$AA$2:$AA$500,0)),"")</f>
        <v/>
      </c>
    </row>
    <row r="419" ht="14.5" spans="1:23">
      <c r="A419" s="8" t="str">
        <f>IFERROR(INDEX(样本到样信息汇总统计!A$2:A$500,MATCH(418,样本到样信息汇总统计!$AA$2:$AA$500,0)),"")</f>
        <v/>
      </c>
      <c r="B419" s="8" t="str">
        <f>IFERROR(INDEX(样本到样信息汇总统计!B$2:B$500,MATCH(418,样本到样信息汇总统计!$AA$2:$AA$500,0)),"")</f>
        <v/>
      </c>
      <c r="C419" s="8" t="str">
        <f>IFERROR(INDEX(样本到样信息汇总统计!C$2:C$500,MATCH(418,样本到样信息汇总统计!$AA$2:$AA$500,0)),"")</f>
        <v/>
      </c>
      <c r="D419" s="8" t="str">
        <f>IFERROR(INDEX(样本到样信息汇总统计!D$2:D$500,MATCH(418,样本到样信息汇总统计!$AA$2:$AA$500,0)),"")</f>
        <v/>
      </c>
      <c r="E419" s="8" t="str">
        <f>IFERROR(INDEX(样本到样信息汇总统计!E$2:E$500,MATCH(418,样本到样信息汇总统计!$AA$2:$AA$500,0)),"")</f>
        <v/>
      </c>
      <c r="F419" s="8" t="str">
        <f>IFERROR(INDEX(样本到样信息汇总统计!F$2:F$500,MATCH(418,样本到样信息汇总统计!$AA$2:$AA$500,0)),"")</f>
        <v/>
      </c>
      <c r="G419" s="8" t="str">
        <f>IFERROR(INDEX(样本到样信息汇总统计!G$2:G$500,MATCH(418,样本到样信息汇总统计!$AA$2:$AA$500,0)),"")</f>
        <v/>
      </c>
      <c r="H419" s="8" t="str">
        <f>IFERROR(INDEX(样本到样信息汇总统计!H$2:H$500,MATCH(418,样本到样信息汇总统计!$AA$2:$AA$500,0)),"")</f>
        <v/>
      </c>
      <c r="I419" s="8" t="str">
        <f>IFERROR(INDEX(样本到样信息汇总统计!I$2:I$500,MATCH(418,样本到样信息汇总统计!$AA$2:$AA$500,0)),"")</f>
        <v/>
      </c>
      <c r="J419" s="8" t="str">
        <f>IFERROR(INDEX(样本到样信息汇总统计!J$2:J$500,MATCH(418,样本到样信息汇总统计!$AA$2:$AA$500,0)),"")</f>
        <v/>
      </c>
      <c r="K419" s="8" t="str">
        <f>IFERROR(INDEX(样本到样信息汇总统计!K$2:K$500,MATCH(418,样本到样信息汇总统计!$AA$2:$AA$500,0)),"")</f>
        <v/>
      </c>
      <c r="L419" s="8" t="str">
        <f>IFERROR(INDEX(样本到样信息汇总统计!L$2:L$500,MATCH(418,样本到样信息汇总统计!$AA$2:$AA$500,0)),"")</f>
        <v/>
      </c>
      <c r="M419" s="8" t="str">
        <f>IFERROR(INDEX(样本到样信息汇总统计!M$2:M$500,MATCH(418,样本到样信息汇总统计!$AA$2:$AA$500,0)),"")</f>
        <v/>
      </c>
      <c r="N419" s="8" t="str">
        <f>IFERROR(INDEX(样本到样信息汇总统计!N$2:N$500,MATCH(418,样本到样信息汇总统计!$AA$2:$AA$500,0)),"")</f>
        <v/>
      </c>
      <c r="O419" s="8" t="str">
        <f>IFERROR(INDEX(样本到样信息汇总统计!O$2:O$500,MATCH(418,样本到样信息汇总统计!$AA$2:$AA$500,0)),"")</f>
        <v/>
      </c>
      <c r="P419" s="8" t="str">
        <f>IFERROR(INDEX(样本到样信息汇总统计!P$2:P$500,MATCH(418,样本到样信息汇总统计!$AA$2:$AA$500,0)),"")</f>
        <v/>
      </c>
      <c r="Q419" s="8" t="str">
        <f>IFERROR(INDEX(样本到样信息汇总统计!Q$2:Q$500,MATCH(418,样本到样信息汇总统计!$AA$2:$AA$500,0)),"")</f>
        <v/>
      </c>
      <c r="R419" s="8" t="str">
        <f>IFERROR(INDEX(样本到样信息汇总统计!R$2:R$500,MATCH(418,样本到样信息汇总统计!$AA$2:$AA$500,0)),"")</f>
        <v/>
      </c>
      <c r="S419" s="8" t="str">
        <f>IFERROR(INDEX(样本到样信息汇总统计!S$2:S$500,MATCH(418,样本到样信息汇总统计!$AA$2:$AA$500,0)),"")</f>
        <v/>
      </c>
      <c r="T419" s="8" t="str">
        <f>IFERROR(INDEX(样本到样信息汇总统计!T$2:T$500,MATCH(418,样本到样信息汇总统计!$AA$2:$AA$500,0)),"")</f>
        <v/>
      </c>
      <c r="U419" s="8" t="str">
        <f>IFERROR(INDEX(样本到样信息汇总统计!U$2:U$500,MATCH(418,样本到样信息汇总统计!$AA$2:$AA$500,0)),"")</f>
        <v/>
      </c>
      <c r="V419" s="8" t="str">
        <f>IFERROR(INDEX(样本到样信息汇总统计!V$2:V$500,MATCH(418,样本到样信息汇总统计!$AA$2:$AA$500,0)),"")</f>
        <v/>
      </c>
      <c r="W419" s="8" t="str">
        <f>IFERROR(INDEX(样本到样信息汇总统计!W$2:W$500,MATCH(418,样本到样信息汇总统计!$AA$2:$AA$500,0)),"")</f>
        <v/>
      </c>
    </row>
    <row r="420" ht="14.5" spans="1:23">
      <c r="A420" s="4" t="str">
        <f>IFERROR(INDEX(样本到样信息汇总统计!A$2:A$500,MATCH(419,样本到样信息汇总统计!$AA$2:$AA$500,0)),"")</f>
        <v/>
      </c>
      <c r="B420" s="4" t="str">
        <f>IFERROR(INDEX(样本到样信息汇总统计!B$2:B$500,MATCH(419,样本到样信息汇总统计!$AA$2:$AA$500,0)),"")</f>
        <v/>
      </c>
      <c r="C420" s="4" t="str">
        <f>IFERROR(INDEX(样本到样信息汇总统计!C$2:C$500,MATCH(419,样本到样信息汇总统计!$AA$2:$AA$500,0)),"")</f>
        <v/>
      </c>
      <c r="D420" s="4" t="str">
        <f>IFERROR(INDEX(样本到样信息汇总统计!D$2:D$500,MATCH(419,样本到样信息汇总统计!$AA$2:$AA$500,0)),"")</f>
        <v/>
      </c>
      <c r="E420" s="4" t="str">
        <f>IFERROR(INDEX(样本到样信息汇总统计!E$2:E$500,MATCH(419,样本到样信息汇总统计!$AA$2:$AA$500,0)),"")</f>
        <v/>
      </c>
      <c r="F420" s="4" t="str">
        <f>IFERROR(INDEX(样本到样信息汇总统计!F$2:F$500,MATCH(419,样本到样信息汇总统计!$AA$2:$AA$500,0)),"")</f>
        <v/>
      </c>
      <c r="G420" s="4" t="str">
        <f>IFERROR(INDEX(样本到样信息汇总统计!G$2:G$500,MATCH(419,样本到样信息汇总统计!$AA$2:$AA$500,0)),"")</f>
        <v/>
      </c>
      <c r="H420" s="4" t="str">
        <f>IFERROR(INDEX(样本到样信息汇总统计!H$2:H$500,MATCH(419,样本到样信息汇总统计!$AA$2:$AA$500,0)),"")</f>
        <v/>
      </c>
      <c r="I420" s="4" t="str">
        <f>IFERROR(INDEX(样本到样信息汇总统计!I$2:I$500,MATCH(419,样本到样信息汇总统计!$AA$2:$AA$500,0)),"")</f>
        <v/>
      </c>
      <c r="J420" s="4" t="str">
        <f>IFERROR(INDEX(样本到样信息汇总统计!J$2:J$500,MATCH(419,样本到样信息汇总统计!$AA$2:$AA$500,0)),"")</f>
        <v/>
      </c>
      <c r="K420" s="4" t="str">
        <f>IFERROR(INDEX(样本到样信息汇总统计!K$2:K$500,MATCH(419,样本到样信息汇总统计!$AA$2:$AA$500,0)),"")</f>
        <v/>
      </c>
      <c r="L420" s="4" t="str">
        <f>IFERROR(INDEX(样本到样信息汇总统计!L$2:L$500,MATCH(419,样本到样信息汇总统计!$AA$2:$AA$500,0)),"")</f>
        <v/>
      </c>
      <c r="M420" s="4" t="str">
        <f>IFERROR(INDEX(样本到样信息汇总统计!M$2:M$500,MATCH(419,样本到样信息汇总统计!$AA$2:$AA$500,0)),"")</f>
        <v/>
      </c>
      <c r="N420" s="4" t="str">
        <f>IFERROR(INDEX(样本到样信息汇总统计!N$2:N$500,MATCH(419,样本到样信息汇总统计!$AA$2:$AA$500,0)),"")</f>
        <v/>
      </c>
      <c r="O420" s="4" t="str">
        <f>IFERROR(INDEX(样本到样信息汇总统计!O$2:O$500,MATCH(419,样本到样信息汇总统计!$AA$2:$AA$500,0)),"")</f>
        <v/>
      </c>
      <c r="P420" s="4" t="str">
        <f>IFERROR(INDEX(样本到样信息汇总统计!P$2:P$500,MATCH(419,样本到样信息汇总统计!$AA$2:$AA$500,0)),"")</f>
        <v/>
      </c>
      <c r="Q420" s="4" t="str">
        <f>IFERROR(INDEX(样本到样信息汇总统计!Q$2:Q$500,MATCH(419,样本到样信息汇总统计!$AA$2:$AA$500,0)),"")</f>
        <v/>
      </c>
      <c r="R420" s="4" t="str">
        <f>IFERROR(INDEX(样本到样信息汇总统计!R$2:R$500,MATCH(419,样本到样信息汇总统计!$AA$2:$AA$500,0)),"")</f>
        <v/>
      </c>
      <c r="S420" s="4" t="str">
        <f>IFERROR(INDEX(样本到样信息汇总统计!S$2:S$500,MATCH(419,样本到样信息汇总统计!$AA$2:$AA$500,0)),"")</f>
        <v/>
      </c>
      <c r="T420" s="4" t="str">
        <f>IFERROR(INDEX(样本到样信息汇总统计!T$2:T$500,MATCH(419,样本到样信息汇总统计!$AA$2:$AA$500,0)),"")</f>
        <v/>
      </c>
      <c r="U420" s="4" t="str">
        <f>IFERROR(INDEX(样本到样信息汇总统计!U$2:U$500,MATCH(419,样本到样信息汇总统计!$AA$2:$AA$500,0)),"")</f>
        <v/>
      </c>
      <c r="V420" s="4" t="str">
        <f>IFERROR(INDEX(样本到样信息汇总统计!V$2:V$500,MATCH(419,样本到样信息汇总统计!$AA$2:$AA$500,0)),"")</f>
        <v/>
      </c>
      <c r="W420" s="4" t="str">
        <f>IFERROR(INDEX(样本到样信息汇总统计!W$2:W$500,MATCH(419,样本到样信息汇总统计!$AA$2:$AA$500,0)),"")</f>
        <v/>
      </c>
    </row>
    <row r="421" ht="14.5" spans="1:23">
      <c r="A421" s="8" t="str">
        <f>IFERROR(INDEX(样本到样信息汇总统计!A$2:A$500,MATCH(420,样本到样信息汇总统计!$AA$2:$AA$500,0)),"")</f>
        <v/>
      </c>
      <c r="B421" s="8" t="str">
        <f>IFERROR(INDEX(样本到样信息汇总统计!B$2:B$500,MATCH(420,样本到样信息汇总统计!$AA$2:$AA$500,0)),"")</f>
        <v/>
      </c>
      <c r="C421" s="8" t="str">
        <f>IFERROR(INDEX(样本到样信息汇总统计!C$2:C$500,MATCH(420,样本到样信息汇总统计!$AA$2:$AA$500,0)),"")</f>
        <v/>
      </c>
      <c r="D421" s="8" t="str">
        <f>IFERROR(INDEX(样本到样信息汇总统计!D$2:D$500,MATCH(420,样本到样信息汇总统计!$AA$2:$AA$500,0)),"")</f>
        <v/>
      </c>
      <c r="E421" s="8" t="str">
        <f>IFERROR(INDEX(样本到样信息汇总统计!E$2:E$500,MATCH(420,样本到样信息汇总统计!$AA$2:$AA$500,0)),"")</f>
        <v/>
      </c>
      <c r="F421" s="8" t="str">
        <f>IFERROR(INDEX(样本到样信息汇总统计!F$2:F$500,MATCH(420,样本到样信息汇总统计!$AA$2:$AA$500,0)),"")</f>
        <v/>
      </c>
      <c r="G421" s="8" t="str">
        <f>IFERROR(INDEX(样本到样信息汇总统计!G$2:G$500,MATCH(420,样本到样信息汇总统计!$AA$2:$AA$500,0)),"")</f>
        <v/>
      </c>
      <c r="H421" s="8" t="str">
        <f>IFERROR(INDEX(样本到样信息汇总统计!H$2:H$500,MATCH(420,样本到样信息汇总统计!$AA$2:$AA$500,0)),"")</f>
        <v/>
      </c>
      <c r="I421" s="8" t="str">
        <f>IFERROR(INDEX(样本到样信息汇总统计!I$2:I$500,MATCH(420,样本到样信息汇总统计!$AA$2:$AA$500,0)),"")</f>
        <v/>
      </c>
      <c r="J421" s="8" t="str">
        <f>IFERROR(INDEX(样本到样信息汇总统计!J$2:J$500,MATCH(420,样本到样信息汇总统计!$AA$2:$AA$500,0)),"")</f>
        <v/>
      </c>
      <c r="K421" s="8" t="str">
        <f>IFERROR(INDEX(样本到样信息汇总统计!K$2:K$500,MATCH(420,样本到样信息汇总统计!$AA$2:$AA$500,0)),"")</f>
        <v/>
      </c>
      <c r="L421" s="8" t="str">
        <f>IFERROR(INDEX(样本到样信息汇总统计!L$2:L$500,MATCH(420,样本到样信息汇总统计!$AA$2:$AA$500,0)),"")</f>
        <v/>
      </c>
      <c r="M421" s="8" t="str">
        <f>IFERROR(INDEX(样本到样信息汇总统计!M$2:M$500,MATCH(420,样本到样信息汇总统计!$AA$2:$AA$500,0)),"")</f>
        <v/>
      </c>
      <c r="N421" s="8" t="str">
        <f>IFERROR(INDEX(样本到样信息汇总统计!N$2:N$500,MATCH(420,样本到样信息汇总统计!$AA$2:$AA$500,0)),"")</f>
        <v/>
      </c>
      <c r="O421" s="8" t="str">
        <f>IFERROR(INDEX(样本到样信息汇总统计!O$2:O$500,MATCH(420,样本到样信息汇总统计!$AA$2:$AA$500,0)),"")</f>
        <v/>
      </c>
      <c r="P421" s="8" t="str">
        <f>IFERROR(INDEX(样本到样信息汇总统计!P$2:P$500,MATCH(420,样本到样信息汇总统计!$AA$2:$AA$500,0)),"")</f>
        <v/>
      </c>
      <c r="Q421" s="8" t="str">
        <f>IFERROR(INDEX(样本到样信息汇总统计!Q$2:Q$500,MATCH(420,样本到样信息汇总统计!$AA$2:$AA$500,0)),"")</f>
        <v/>
      </c>
      <c r="R421" s="8" t="str">
        <f>IFERROR(INDEX(样本到样信息汇总统计!R$2:R$500,MATCH(420,样本到样信息汇总统计!$AA$2:$AA$500,0)),"")</f>
        <v/>
      </c>
      <c r="S421" s="8" t="str">
        <f>IFERROR(INDEX(样本到样信息汇总统计!S$2:S$500,MATCH(420,样本到样信息汇总统计!$AA$2:$AA$500,0)),"")</f>
        <v/>
      </c>
      <c r="T421" s="8" t="str">
        <f>IFERROR(INDEX(样本到样信息汇总统计!T$2:T$500,MATCH(420,样本到样信息汇总统计!$AA$2:$AA$500,0)),"")</f>
        <v/>
      </c>
      <c r="U421" s="8" t="str">
        <f>IFERROR(INDEX(样本到样信息汇总统计!U$2:U$500,MATCH(420,样本到样信息汇总统计!$AA$2:$AA$500,0)),"")</f>
        <v/>
      </c>
      <c r="V421" s="8" t="str">
        <f>IFERROR(INDEX(样本到样信息汇总统计!V$2:V$500,MATCH(420,样本到样信息汇总统计!$AA$2:$AA$500,0)),"")</f>
        <v/>
      </c>
      <c r="W421" s="8" t="str">
        <f>IFERROR(INDEX(样本到样信息汇总统计!W$2:W$500,MATCH(420,样本到样信息汇总统计!$AA$2:$AA$500,0)),"")</f>
        <v/>
      </c>
    </row>
    <row r="422" ht="14.5" spans="1:23">
      <c r="A422" s="4" t="str">
        <f>IFERROR(INDEX(样本到样信息汇总统计!A$2:A$500,MATCH(421,样本到样信息汇总统计!$AA$2:$AA$500,0)),"")</f>
        <v/>
      </c>
      <c r="B422" s="4" t="str">
        <f>IFERROR(INDEX(样本到样信息汇总统计!B$2:B$500,MATCH(421,样本到样信息汇总统计!$AA$2:$AA$500,0)),"")</f>
        <v/>
      </c>
      <c r="C422" s="4" t="str">
        <f>IFERROR(INDEX(样本到样信息汇总统计!C$2:C$500,MATCH(421,样本到样信息汇总统计!$AA$2:$AA$500,0)),"")</f>
        <v/>
      </c>
      <c r="D422" s="4" t="str">
        <f>IFERROR(INDEX(样本到样信息汇总统计!D$2:D$500,MATCH(421,样本到样信息汇总统计!$AA$2:$AA$500,0)),"")</f>
        <v/>
      </c>
      <c r="E422" s="4" t="str">
        <f>IFERROR(INDEX(样本到样信息汇总统计!E$2:E$500,MATCH(421,样本到样信息汇总统计!$AA$2:$AA$500,0)),"")</f>
        <v/>
      </c>
      <c r="F422" s="4" t="str">
        <f>IFERROR(INDEX(样本到样信息汇总统计!F$2:F$500,MATCH(421,样本到样信息汇总统计!$AA$2:$AA$500,0)),"")</f>
        <v/>
      </c>
      <c r="G422" s="4" t="str">
        <f>IFERROR(INDEX(样本到样信息汇总统计!G$2:G$500,MATCH(421,样本到样信息汇总统计!$AA$2:$AA$500,0)),"")</f>
        <v/>
      </c>
      <c r="H422" s="4" t="str">
        <f>IFERROR(INDEX(样本到样信息汇总统计!H$2:H$500,MATCH(421,样本到样信息汇总统计!$AA$2:$AA$500,0)),"")</f>
        <v/>
      </c>
      <c r="I422" s="4" t="str">
        <f>IFERROR(INDEX(样本到样信息汇总统计!I$2:I$500,MATCH(421,样本到样信息汇总统计!$AA$2:$AA$500,0)),"")</f>
        <v/>
      </c>
      <c r="J422" s="4" t="str">
        <f>IFERROR(INDEX(样本到样信息汇总统计!J$2:J$500,MATCH(421,样本到样信息汇总统计!$AA$2:$AA$500,0)),"")</f>
        <v/>
      </c>
      <c r="K422" s="4" t="str">
        <f>IFERROR(INDEX(样本到样信息汇总统计!K$2:K$500,MATCH(421,样本到样信息汇总统计!$AA$2:$AA$500,0)),"")</f>
        <v/>
      </c>
      <c r="L422" s="4" t="str">
        <f>IFERROR(INDEX(样本到样信息汇总统计!L$2:L$500,MATCH(421,样本到样信息汇总统计!$AA$2:$AA$500,0)),"")</f>
        <v/>
      </c>
      <c r="M422" s="4" t="str">
        <f>IFERROR(INDEX(样本到样信息汇总统计!M$2:M$500,MATCH(421,样本到样信息汇总统计!$AA$2:$AA$500,0)),"")</f>
        <v/>
      </c>
      <c r="N422" s="4" t="str">
        <f>IFERROR(INDEX(样本到样信息汇总统计!N$2:N$500,MATCH(421,样本到样信息汇总统计!$AA$2:$AA$500,0)),"")</f>
        <v/>
      </c>
      <c r="O422" s="4" t="str">
        <f>IFERROR(INDEX(样本到样信息汇总统计!O$2:O$500,MATCH(421,样本到样信息汇总统计!$AA$2:$AA$500,0)),"")</f>
        <v/>
      </c>
      <c r="P422" s="4" t="str">
        <f>IFERROR(INDEX(样本到样信息汇总统计!P$2:P$500,MATCH(421,样本到样信息汇总统计!$AA$2:$AA$500,0)),"")</f>
        <v/>
      </c>
      <c r="Q422" s="4" t="str">
        <f>IFERROR(INDEX(样本到样信息汇总统计!Q$2:Q$500,MATCH(421,样本到样信息汇总统计!$AA$2:$AA$500,0)),"")</f>
        <v/>
      </c>
      <c r="R422" s="4" t="str">
        <f>IFERROR(INDEX(样本到样信息汇总统计!R$2:R$500,MATCH(421,样本到样信息汇总统计!$AA$2:$AA$500,0)),"")</f>
        <v/>
      </c>
      <c r="S422" s="4" t="str">
        <f>IFERROR(INDEX(样本到样信息汇总统计!S$2:S$500,MATCH(421,样本到样信息汇总统计!$AA$2:$AA$500,0)),"")</f>
        <v/>
      </c>
      <c r="T422" s="4" t="str">
        <f>IFERROR(INDEX(样本到样信息汇总统计!T$2:T$500,MATCH(421,样本到样信息汇总统计!$AA$2:$AA$500,0)),"")</f>
        <v/>
      </c>
      <c r="U422" s="4" t="str">
        <f>IFERROR(INDEX(样本到样信息汇总统计!U$2:U$500,MATCH(421,样本到样信息汇总统计!$AA$2:$AA$500,0)),"")</f>
        <v/>
      </c>
      <c r="V422" s="4" t="str">
        <f>IFERROR(INDEX(样本到样信息汇总统计!V$2:V$500,MATCH(421,样本到样信息汇总统计!$AA$2:$AA$500,0)),"")</f>
        <v/>
      </c>
      <c r="W422" s="4" t="str">
        <f>IFERROR(INDEX(样本到样信息汇总统计!W$2:W$500,MATCH(421,样本到样信息汇总统计!$AA$2:$AA$500,0)),"")</f>
        <v/>
      </c>
    </row>
    <row r="423" ht="14.5" spans="1:23">
      <c r="A423" s="8" t="str">
        <f>IFERROR(INDEX(样本到样信息汇总统计!A$2:A$500,MATCH(422,样本到样信息汇总统计!$AA$2:$AA$500,0)),"")</f>
        <v/>
      </c>
      <c r="B423" s="8" t="str">
        <f>IFERROR(INDEX(样本到样信息汇总统计!B$2:B$500,MATCH(422,样本到样信息汇总统计!$AA$2:$AA$500,0)),"")</f>
        <v/>
      </c>
      <c r="C423" s="8" t="str">
        <f>IFERROR(INDEX(样本到样信息汇总统计!C$2:C$500,MATCH(422,样本到样信息汇总统计!$AA$2:$AA$500,0)),"")</f>
        <v/>
      </c>
      <c r="D423" s="8" t="str">
        <f>IFERROR(INDEX(样本到样信息汇总统计!D$2:D$500,MATCH(422,样本到样信息汇总统计!$AA$2:$AA$500,0)),"")</f>
        <v/>
      </c>
      <c r="E423" s="8" t="str">
        <f>IFERROR(INDEX(样本到样信息汇总统计!E$2:E$500,MATCH(422,样本到样信息汇总统计!$AA$2:$AA$500,0)),"")</f>
        <v/>
      </c>
      <c r="F423" s="8" t="str">
        <f>IFERROR(INDEX(样本到样信息汇总统计!F$2:F$500,MATCH(422,样本到样信息汇总统计!$AA$2:$AA$500,0)),"")</f>
        <v/>
      </c>
      <c r="G423" s="8" t="str">
        <f>IFERROR(INDEX(样本到样信息汇总统计!G$2:G$500,MATCH(422,样本到样信息汇总统计!$AA$2:$AA$500,0)),"")</f>
        <v/>
      </c>
      <c r="H423" s="8" t="str">
        <f>IFERROR(INDEX(样本到样信息汇总统计!H$2:H$500,MATCH(422,样本到样信息汇总统计!$AA$2:$AA$500,0)),"")</f>
        <v/>
      </c>
      <c r="I423" s="8" t="str">
        <f>IFERROR(INDEX(样本到样信息汇总统计!I$2:I$500,MATCH(422,样本到样信息汇总统计!$AA$2:$AA$500,0)),"")</f>
        <v/>
      </c>
      <c r="J423" s="8" t="str">
        <f>IFERROR(INDEX(样本到样信息汇总统计!J$2:J$500,MATCH(422,样本到样信息汇总统计!$AA$2:$AA$500,0)),"")</f>
        <v/>
      </c>
      <c r="K423" s="8" t="str">
        <f>IFERROR(INDEX(样本到样信息汇总统计!K$2:K$500,MATCH(422,样本到样信息汇总统计!$AA$2:$AA$500,0)),"")</f>
        <v/>
      </c>
      <c r="L423" s="8" t="str">
        <f>IFERROR(INDEX(样本到样信息汇总统计!L$2:L$500,MATCH(422,样本到样信息汇总统计!$AA$2:$AA$500,0)),"")</f>
        <v/>
      </c>
      <c r="M423" s="8" t="str">
        <f>IFERROR(INDEX(样本到样信息汇总统计!M$2:M$500,MATCH(422,样本到样信息汇总统计!$AA$2:$AA$500,0)),"")</f>
        <v/>
      </c>
      <c r="N423" s="8" t="str">
        <f>IFERROR(INDEX(样本到样信息汇总统计!N$2:N$500,MATCH(422,样本到样信息汇总统计!$AA$2:$AA$500,0)),"")</f>
        <v/>
      </c>
      <c r="O423" s="8" t="str">
        <f>IFERROR(INDEX(样本到样信息汇总统计!O$2:O$500,MATCH(422,样本到样信息汇总统计!$AA$2:$AA$500,0)),"")</f>
        <v/>
      </c>
      <c r="P423" s="8" t="str">
        <f>IFERROR(INDEX(样本到样信息汇总统计!P$2:P$500,MATCH(422,样本到样信息汇总统计!$AA$2:$AA$500,0)),"")</f>
        <v/>
      </c>
      <c r="Q423" s="8" t="str">
        <f>IFERROR(INDEX(样本到样信息汇总统计!Q$2:Q$500,MATCH(422,样本到样信息汇总统计!$AA$2:$AA$500,0)),"")</f>
        <v/>
      </c>
      <c r="R423" s="8" t="str">
        <f>IFERROR(INDEX(样本到样信息汇总统计!R$2:R$500,MATCH(422,样本到样信息汇总统计!$AA$2:$AA$500,0)),"")</f>
        <v/>
      </c>
      <c r="S423" s="8" t="str">
        <f>IFERROR(INDEX(样本到样信息汇总统计!S$2:S$500,MATCH(422,样本到样信息汇总统计!$AA$2:$AA$500,0)),"")</f>
        <v/>
      </c>
      <c r="T423" s="8" t="str">
        <f>IFERROR(INDEX(样本到样信息汇总统计!T$2:T$500,MATCH(422,样本到样信息汇总统计!$AA$2:$AA$500,0)),"")</f>
        <v/>
      </c>
      <c r="U423" s="8" t="str">
        <f>IFERROR(INDEX(样本到样信息汇总统计!U$2:U$500,MATCH(422,样本到样信息汇总统计!$AA$2:$AA$500,0)),"")</f>
        <v/>
      </c>
      <c r="V423" s="8" t="str">
        <f>IFERROR(INDEX(样本到样信息汇总统计!V$2:V$500,MATCH(422,样本到样信息汇总统计!$AA$2:$AA$500,0)),"")</f>
        <v/>
      </c>
      <c r="W423" s="8" t="str">
        <f>IFERROR(INDEX(样本到样信息汇总统计!W$2:W$500,MATCH(422,样本到样信息汇总统计!$AA$2:$AA$500,0)),"")</f>
        <v/>
      </c>
    </row>
    <row r="424" ht="14.5" spans="1:23">
      <c r="A424" s="4" t="str">
        <f>IFERROR(INDEX(样本到样信息汇总统计!A$2:A$500,MATCH(423,样本到样信息汇总统计!$AA$2:$AA$500,0)),"")</f>
        <v/>
      </c>
      <c r="B424" s="4" t="str">
        <f>IFERROR(INDEX(样本到样信息汇总统计!B$2:B$500,MATCH(423,样本到样信息汇总统计!$AA$2:$AA$500,0)),"")</f>
        <v/>
      </c>
      <c r="C424" s="4" t="str">
        <f>IFERROR(INDEX(样本到样信息汇总统计!C$2:C$500,MATCH(423,样本到样信息汇总统计!$AA$2:$AA$500,0)),"")</f>
        <v/>
      </c>
      <c r="D424" s="4" t="str">
        <f>IFERROR(INDEX(样本到样信息汇总统计!D$2:D$500,MATCH(423,样本到样信息汇总统计!$AA$2:$AA$500,0)),"")</f>
        <v/>
      </c>
      <c r="E424" s="4" t="str">
        <f>IFERROR(INDEX(样本到样信息汇总统计!E$2:E$500,MATCH(423,样本到样信息汇总统计!$AA$2:$AA$500,0)),"")</f>
        <v/>
      </c>
      <c r="F424" s="4" t="str">
        <f>IFERROR(INDEX(样本到样信息汇总统计!F$2:F$500,MATCH(423,样本到样信息汇总统计!$AA$2:$AA$500,0)),"")</f>
        <v/>
      </c>
      <c r="G424" s="4" t="str">
        <f>IFERROR(INDEX(样本到样信息汇总统计!G$2:G$500,MATCH(423,样本到样信息汇总统计!$AA$2:$AA$500,0)),"")</f>
        <v/>
      </c>
      <c r="H424" s="4" t="str">
        <f>IFERROR(INDEX(样本到样信息汇总统计!H$2:H$500,MATCH(423,样本到样信息汇总统计!$AA$2:$AA$500,0)),"")</f>
        <v/>
      </c>
      <c r="I424" s="4" t="str">
        <f>IFERROR(INDEX(样本到样信息汇总统计!I$2:I$500,MATCH(423,样本到样信息汇总统计!$AA$2:$AA$500,0)),"")</f>
        <v/>
      </c>
      <c r="J424" s="4" t="str">
        <f>IFERROR(INDEX(样本到样信息汇总统计!J$2:J$500,MATCH(423,样本到样信息汇总统计!$AA$2:$AA$500,0)),"")</f>
        <v/>
      </c>
      <c r="K424" s="4" t="str">
        <f>IFERROR(INDEX(样本到样信息汇总统计!K$2:K$500,MATCH(423,样本到样信息汇总统计!$AA$2:$AA$500,0)),"")</f>
        <v/>
      </c>
      <c r="L424" s="4" t="str">
        <f>IFERROR(INDEX(样本到样信息汇总统计!L$2:L$500,MATCH(423,样本到样信息汇总统计!$AA$2:$AA$500,0)),"")</f>
        <v/>
      </c>
      <c r="M424" s="4" t="str">
        <f>IFERROR(INDEX(样本到样信息汇总统计!M$2:M$500,MATCH(423,样本到样信息汇总统计!$AA$2:$AA$500,0)),"")</f>
        <v/>
      </c>
      <c r="N424" s="4" t="str">
        <f>IFERROR(INDEX(样本到样信息汇总统计!N$2:N$500,MATCH(423,样本到样信息汇总统计!$AA$2:$AA$500,0)),"")</f>
        <v/>
      </c>
      <c r="O424" s="4" t="str">
        <f>IFERROR(INDEX(样本到样信息汇总统计!O$2:O$500,MATCH(423,样本到样信息汇总统计!$AA$2:$AA$500,0)),"")</f>
        <v/>
      </c>
      <c r="P424" s="4" t="str">
        <f>IFERROR(INDEX(样本到样信息汇总统计!P$2:P$500,MATCH(423,样本到样信息汇总统计!$AA$2:$AA$500,0)),"")</f>
        <v/>
      </c>
      <c r="Q424" s="4" t="str">
        <f>IFERROR(INDEX(样本到样信息汇总统计!Q$2:Q$500,MATCH(423,样本到样信息汇总统计!$AA$2:$AA$500,0)),"")</f>
        <v/>
      </c>
      <c r="R424" s="4" t="str">
        <f>IFERROR(INDEX(样本到样信息汇总统计!R$2:R$500,MATCH(423,样本到样信息汇总统计!$AA$2:$AA$500,0)),"")</f>
        <v/>
      </c>
      <c r="S424" s="4" t="str">
        <f>IFERROR(INDEX(样本到样信息汇总统计!S$2:S$500,MATCH(423,样本到样信息汇总统计!$AA$2:$AA$500,0)),"")</f>
        <v/>
      </c>
      <c r="T424" s="4" t="str">
        <f>IFERROR(INDEX(样本到样信息汇总统计!T$2:T$500,MATCH(423,样本到样信息汇总统计!$AA$2:$AA$500,0)),"")</f>
        <v/>
      </c>
      <c r="U424" s="4" t="str">
        <f>IFERROR(INDEX(样本到样信息汇总统计!U$2:U$500,MATCH(423,样本到样信息汇总统计!$AA$2:$AA$500,0)),"")</f>
        <v/>
      </c>
      <c r="V424" s="4" t="str">
        <f>IFERROR(INDEX(样本到样信息汇总统计!V$2:V$500,MATCH(423,样本到样信息汇总统计!$AA$2:$AA$500,0)),"")</f>
        <v/>
      </c>
      <c r="W424" s="4" t="str">
        <f>IFERROR(INDEX(样本到样信息汇总统计!W$2:W$500,MATCH(423,样本到样信息汇总统计!$AA$2:$AA$500,0)),"")</f>
        <v/>
      </c>
    </row>
    <row r="425" ht="14.5" spans="1:23">
      <c r="A425" s="8" t="str">
        <f>IFERROR(INDEX(样本到样信息汇总统计!A$2:A$500,MATCH(424,样本到样信息汇总统计!$AA$2:$AA$500,0)),"")</f>
        <v/>
      </c>
      <c r="B425" s="8" t="str">
        <f>IFERROR(INDEX(样本到样信息汇总统计!B$2:B$500,MATCH(424,样本到样信息汇总统计!$AA$2:$AA$500,0)),"")</f>
        <v/>
      </c>
      <c r="C425" s="8" t="str">
        <f>IFERROR(INDEX(样本到样信息汇总统计!C$2:C$500,MATCH(424,样本到样信息汇总统计!$AA$2:$AA$500,0)),"")</f>
        <v/>
      </c>
      <c r="D425" s="8" t="str">
        <f>IFERROR(INDEX(样本到样信息汇总统计!D$2:D$500,MATCH(424,样本到样信息汇总统计!$AA$2:$AA$500,0)),"")</f>
        <v/>
      </c>
      <c r="E425" s="8" t="str">
        <f>IFERROR(INDEX(样本到样信息汇总统计!E$2:E$500,MATCH(424,样本到样信息汇总统计!$AA$2:$AA$500,0)),"")</f>
        <v/>
      </c>
      <c r="F425" s="8" t="str">
        <f>IFERROR(INDEX(样本到样信息汇总统计!F$2:F$500,MATCH(424,样本到样信息汇总统计!$AA$2:$AA$500,0)),"")</f>
        <v/>
      </c>
      <c r="G425" s="8" t="str">
        <f>IFERROR(INDEX(样本到样信息汇总统计!G$2:G$500,MATCH(424,样本到样信息汇总统计!$AA$2:$AA$500,0)),"")</f>
        <v/>
      </c>
      <c r="H425" s="8" t="str">
        <f>IFERROR(INDEX(样本到样信息汇总统计!H$2:H$500,MATCH(424,样本到样信息汇总统计!$AA$2:$AA$500,0)),"")</f>
        <v/>
      </c>
      <c r="I425" s="8" t="str">
        <f>IFERROR(INDEX(样本到样信息汇总统计!I$2:I$500,MATCH(424,样本到样信息汇总统计!$AA$2:$AA$500,0)),"")</f>
        <v/>
      </c>
      <c r="J425" s="8" t="str">
        <f>IFERROR(INDEX(样本到样信息汇总统计!J$2:J$500,MATCH(424,样本到样信息汇总统计!$AA$2:$AA$500,0)),"")</f>
        <v/>
      </c>
      <c r="K425" s="8" t="str">
        <f>IFERROR(INDEX(样本到样信息汇总统计!K$2:K$500,MATCH(424,样本到样信息汇总统计!$AA$2:$AA$500,0)),"")</f>
        <v/>
      </c>
      <c r="L425" s="8" t="str">
        <f>IFERROR(INDEX(样本到样信息汇总统计!L$2:L$500,MATCH(424,样本到样信息汇总统计!$AA$2:$AA$500,0)),"")</f>
        <v/>
      </c>
      <c r="M425" s="8" t="str">
        <f>IFERROR(INDEX(样本到样信息汇总统计!M$2:M$500,MATCH(424,样本到样信息汇总统计!$AA$2:$AA$500,0)),"")</f>
        <v/>
      </c>
      <c r="N425" s="8" t="str">
        <f>IFERROR(INDEX(样本到样信息汇总统计!N$2:N$500,MATCH(424,样本到样信息汇总统计!$AA$2:$AA$500,0)),"")</f>
        <v/>
      </c>
      <c r="O425" s="8" t="str">
        <f>IFERROR(INDEX(样本到样信息汇总统计!O$2:O$500,MATCH(424,样本到样信息汇总统计!$AA$2:$AA$500,0)),"")</f>
        <v/>
      </c>
      <c r="P425" s="8" t="str">
        <f>IFERROR(INDEX(样本到样信息汇总统计!P$2:P$500,MATCH(424,样本到样信息汇总统计!$AA$2:$AA$500,0)),"")</f>
        <v/>
      </c>
      <c r="Q425" s="8" t="str">
        <f>IFERROR(INDEX(样本到样信息汇总统计!Q$2:Q$500,MATCH(424,样本到样信息汇总统计!$AA$2:$AA$500,0)),"")</f>
        <v/>
      </c>
      <c r="R425" s="8" t="str">
        <f>IFERROR(INDEX(样本到样信息汇总统计!R$2:R$500,MATCH(424,样本到样信息汇总统计!$AA$2:$AA$500,0)),"")</f>
        <v/>
      </c>
      <c r="S425" s="8" t="str">
        <f>IFERROR(INDEX(样本到样信息汇总统计!S$2:S$500,MATCH(424,样本到样信息汇总统计!$AA$2:$AA$500,0)),"")</f>
        <v/>
      </c>
      <c r="T425" s="8" t="str">
        <f>IFERROR(INDEX(样本到样信息汇总统计!T$2:T$500,MATCH(424,样本到样信息汇总统计!$AA$2:$AA$500,0)),"")</f>
        <v/>
      </c>
      <c r="U425" s="8" t="str">
        <f>IFERROR(INDEX(样本到样信息汇总统计!U$2:U$500,MATCH(424,样本到样信息汇总统计!$AA$2:$AA$500,0)),"")</f>
        <v/>
      </c>
      <c r="V425" s="8" t="str">
        <f>IFERROR(INDEX(样本到样信息汇总统计!V$2:V$500,MATCH(424,样本到样信息汇总统计!$AA$2:$AA$500,0)),"")</f>
        <v/>
      </c>
      <c r="W425" s="8" t="str">
        <f>IFERROR(INDEX(样本到样信息汇总统计!W$2:W$500,MATCH(424,样本到样信息汇总统计!$AA$2:$AA$500,0)),"")</f>
        <v/>
      </c>
    </row>
    <row r="426" ht="14.5" spans="1:23">
      <c r="A426" s="4" t="str">
        <f>IFERROR(INDEX(样本到样信息汇总统计!A$2:A$500,MATCH(425,样本到样信息汇总统计!$AA$2:$AA$500,0)),"")</f>
        <v/>
      </c>
      <c r="B426" s="4" t="str">
        <f>IFERROR(INDEX(样本到样信息汇总统计!B$2:B$500,MATCH(425,样本到样信息汇总统计!$AA$2:$AA$500,0)),"")</f>
        <v/>
      </c>
      <c r="C426" s="4" t="str">
        <f>IFERROR(INDEX(样本到样信息汇总统计!C$2:C$500,MATCH(425,样本到样信息汇总统计!$AA$2:$AA$500,0)),"")</f>
        <v/>
      </c>
      <c r="D426" s="4" t="str">
        <f>IFERROR(INDEX(样本到样信息汇总统计!D$2:D$500,MATCH(425,样本到样信息汇总统计!$AA$2:$AA$500,0)),"")</f>
        <v/>
      </c>
      <c r="E426" s="4" t="str">
        <f>IFERROR(INDEX(样本到样信息汇总统计!E$2:E$500,MATCH(425,样本到样信息汇总统计!$AA$2:$AA$500,0)),"")</f>
        <v/>
      </c>
      <c r="F426" s="4" t="str">
        <f>IFERROR(INDEX(样本到样信息汇总统计!F$2:F$500,MATCH(425,样本到样信息汇总统计!$AA$2:$AA$500,0)),"")</f>
        <v/>
      </c>
      <c r="G426" s="4" t="str">
        <f>IFERROR(INDEX(样本到样信息汇总统计!G$2:G$500,MATCH(425,样本到样信息汇总统计!$AA$2:$AA$500,0)),"")</f>
        <v/>
      </c>
      <c r="H426" s="4" t="str">
        <f>IFERROR(INDEX(样本到样信息汇总统计!H$2:H$500,MATCH(425,样本到样信息汇总统计!$AA$2:$AA$500,0)),"")</f>
        <v/>
      </c>
      <c r="I426" s="4" t="str">
        <f>IFERROR(INDEX(样本到样信息汇总统计!I$2:I$500,MATCH(425,样本到样信息汇总统计!$AA$2:$AA$500,0)),"")</f>
        <v/>
      </c>
      <c r="J426" s="4" t="str">
        <f>IFERROR(INDEX(样本到样信息汇总统计!J$2:J$500,MATCH(425,样本到样信息汇总统计!$AA$2:$AA$500,0)),"")</f>
        <v/>
      </c>
      <c r="K426" s="4" t="str">
        <f>IFERROR(INDEX(样本到样信息汇总统计!K$2:K$500,MATCH(425,样本到样信息汇总统计!$AA$2:$AA$500,0)),"")</f>
        <v/>
      </c>
      <c r="L426" s="4" t="str">
        <f>IFERROR(INDEX(样本到样信息汇总统计!L$2:L$500,MATCH(425,样本到样信息汇总统计!$AA$2:$AA$500,0)),"")</f>
        <v/>
      </c>
      <c r="M426" s="4" t="str">
        <f>IFERROR(INDEX(样本到样信息汇总统计!M$2:M$500,MATCH(425,样本到样信息汇总统计!$AA$2:$AA$500,0)),"")</f>
        <v/>
      </c>
      <c r="N426" s="4" t="str">
        <f>IFERROR(INDEX(样本到样信息汇总统计!N$2:N$500,MATCH(425,样本到样信息汇总统计!$AA$2:$AA$500,0)),"")</f>
        <v/>
      </c>
      <c r="O426" s="4" t="str">
        <f>IFERROR(INDEX(样本到样信息汇总统计!O$2:O$500,MATCH(425,样本到样信息汇总统计!$AA$2:$AA$500,0)),"")</f>
        <v/>
      </c>
      <c r="P426" s="4" t="str">
        <f>IFERROR(INDEX(样本到样信息汇总统计!P$2:P$500,MATCH(425,样本到样信息汇总统计!$AA$2:$AA$500,0)),"")</f>
        <v/>
      </c>
      <c r="Q426" s="4" t="str">
        <f>IFERROR(INDEX(样本到样信息汇总统计!Q$2:Q$500,MATCH(425,样本到样信息汇总统计!$AA$2:$AA$500,0)),"")</f>
        <v/>
      </c>
      <c r="R426" s="4" t="str">
        <f>IFERROR(INDEX(样本到样信息汇总统计!R$2:R$500,MATCH(425,样本到样信息汇总统计!$AA$2:$AA$500,0)),"")</f>
        <v/>
      </c>
      <c r="S426" s="4" t="str">
        <f>IFERROR(INDEX(样本到样信息汇总统计!S$2:S$500,MATCH(425,样本到样信息汇总统计!$AA$2:$AA$500,0)),"")</f>
        <v/>
      </c>
      <c r="T426" s="4" t="str">
        <f>IFERROR(INDEX(样本到样信息汇总统计!T$2:T$500,MATCH(425,样本到样信息汇总统计!$AA$2:$AA$500,0)),"")</f>
        <v/>
      </c>
      <c r="U426" s="4" t="str">
        <f>IFERROR(INDEX(样本到样信息汇总统计!U$2:U$500,MATCH(425,样本到样信息汇总统计!$AA$2:$AA$500,0)),"")</f>
        <v/>
      </c>
      <c r="V426" s="4" t="str">
        <f>IFERROR(INDEX(样本到样信息汇总统计!V$2:V$500,MATCH(425,样本到样信息汇总统计!$AA$2:$AA$500,0)),"")</f>
        <v/>
      </c>
      <c r="W426" s="4" t="str">
        <f>IFERROR(INDEX(样本到样信息汇总统计!W$2:W$500,MATCH(425,样本到样信息汇总统计!$AA$2:$AA$500,0)),"")</f>
        <v/>
      </c>
    </row>
    <row r="427" ht="14.5" spans="1:23">
      <c r="A427" s="8" t="str">
        <f>IFERROR(INDEX(样本到样信息汇总统计!A$2:A$500,MATCH(426,样本到样信息汇总统计!$AA$2:$AA$500,0)),"")</f>
        <v/>
      </c>
      <c r="B427" s="8" t="str">
        <f>IFERROR(INDEX(样本到样信息汇总统计!B$2:B$500,MATCH(426,样本到样信息汇总统计!$AA$2:$AA$500,0)),"")</f>
        <v/>
      </c>
      <c r="C427" s="8" t="str">
        <f>IFERROR(INDEX(样本到样信息汇总统计!C$2:C$500,MATCH(426,样本到样信息汇总统计!$AA$2:$AA$500,0)),"")</f>
        <v/>
      </c>
      <c r="D427" s="8" t="str">
        <f>IFERROR(INDEX(样本到样信息汇总统计!D$2:D$500,MATCH(426,样本到样信息汇总统计!$AA$2:$AA$500,0)),"")</f>
        <v/>
      </c>
      <c r="E427" s="8" t="str">
        <f>IFERROR(INDEX(样本到样信息汇总统计!E$2:E$500,MATCH(426,样本到样信息汇总统计!$AA$2:$AA$500,0)),"")</f>
        <v/>
      </c>
      <c r="F427" s="8" t="str">
        <f>IFERROR(INDEX(样本到样信息汇总统计!F$2:F$500,MATCH(426,样本到样信息汇总统计!$AA$2:$AA$500,0)),"")</f>
        <v/>
      </c>
      <c r="G427" s="8" t="str">
        <f>IFERROR(INDEX(样本到样信息汇总统计!G$2:G$500,MATCH(426,样本到样信息汇总统计!$AA$2:$AA$500,0)),"")</f>
        <v/>
      </c>
      <c r="H427" s="8" t="str">
        <f>IFERROR(INDEX(样本到样信息汇总统计!H$2:H$500,MATCH(426,样本到样信息汇总统计!$AA$2:$AA$500,0)),"")</f>
        <v/>
      </c>
      <c r="I427" s="8" t="str">
        <f>IFERROR(INDEX(样本到样信息汇总统计!I$2:I$500,MATCH(426,样本到样信息汇总统计!$AA$2:$AA$500,0)),"")</f>
        <v/>
      </c>
      <c r="J427" s="8" t="str">
        <f>IFERROR(INDEX(样本到样信息汇总统计!J$2:J$500,MATCH(426,样本到样信息汇总统计!$AA$2:$AA$500,0)),"")</f>
        <v/>
      </c>
      <c r="K427" s="8" t="str">
        <f>IFERROR(INDEX(样本到样信息汇总统计!K$2:K$500,MATCH(426,样本到样信息汇总统计!$AA$2:$AA$500,0)),"")</f>
        <v/>
      </c>
      <c r="L427" s="8" t="str">
        <f>IFERROR(INDEX(样本到样信息汇总统计!L$2:L$500,MATCH(426,样本到样信息汇总统计!$AA$2:$AA$500,0)),"")</f>
        <v/>
      </c>
      <c r="M427" s="8" t="str">
        <f>IFERROR(INDEX(样本到样信息汇总统计!M$2:M$500,MATCH(426,样本到样信息汇总统计!$AA$2:$AA$500,0)),"")</f>
        <v/>
      </c>
      <c r="N427" s="8" t="str">
        <f>IFERROR(INDEX(样本到样信息汇总统计!N$2:N$500,MATCH(426,样本到样信息汇总统计!$AA$2:$AA$500,0)),"")</f>
        <v/>
      </c>
      <c r="O427" s="8" t="str">
        <f>IFERROR(INDEX(样本到样信息汇总统计!O$2:O$500,MATCH(426,样本到样信息汇总统计!$AA$2:$AA$500,0)),"")</f>
        <v/>
      </c>
      <c r="P427" s="8" t="str">
        <f>IFERROR(INDEX(样本到样信息汇总统计!P$2:P$500,MATCH(426,样本到样信息汇总统计!$AA$2:$AA$500,0)),"")</f>
        <v/>
      </c>
      <c r="Q427" s="8" t="str">
        <f>IFERROR(INDEX(样本到样信息汇总统计!Q$2:Q$500,MATCH(426,样本到样信息汇总统计!$AA$2:$AA$500,0)),"")</f>
        <v/>
      </c>
      <c r="R427" s="8" t="str">
        <f>IFERROR(INDEX(样本到样信息汇总统计!R$2:R$500,MATCH(426,样本到样信息汇总统计!$AA$2:$AA$500,0)),"")</f>
        <v/>
      </c>
      <c r="S427" s="8" t="str">
        <f>IFERROR(INDEX(样本到样信息汇总统计!S$2:S$500,MATCH(426,样本到样信息汇总统计!$AA$2:$AA$500,0)),"")</f>
        <v/>
      </c>
      <c r="T427" s="8" t="str">
        <f>IFERROR(INDEX(样本到样信息汇总统计!T$2:T$500,MATCH(426,样本到样信息汇总统计!$AA$2:$AA$500,0)),"")</f>
        <v/>
      </c>
      <c r="U427" s="8" t="str">
        <f>IFERROR(INDEX(样本到样信息汇总统计!U$2:U$500,MATCH(426,样本到样信息汇总统计!$AA$2:$AA$500,0)),"")</f>
        <v/>
      </c>
      <c r="V427" s="8" t="str">
        <f>IFERROR(INDEX(样本到样信息汇总统计!V$2:V$500,MATCH(426,样本到样信息汇总统计!$AA$2:$AA$500,0)),"")</f>
        <v/>
      </c>
      <c r="W427" s="8" t="str">
        <f>IFERROR(INDEX(样本到样信息汇总统计!W$2:W$500,MATCH(426,样本到样信息汇总统计!$AA$2:$AA$500,0)),"")</f>
        <v/>
      </c>
    </row>
    <row r="428" ht="14.5" spans="1:23">
      <c r="A428" s="4" t="str">
        <f>IFERROR(INDEX(样本到样信息汇总统计!A$2:A$500,MATCH(427,样本到样信息汇总统计!$AA$2:$AA$500,0)),"")</f>
        <v/>
      </c>
      <c r="B428" s="4" t="str">
        <f>IFERROR(INDEX(样本到样信息汇总统计!B$2:B$500,MATCH(427,样本到样信息汇总统计!$AA$2:$AA$500,0)),"")</f>
        <v/>
      </c>
      <c r="C428" s="4" t="str">
        <f>IFERROR(INDEX(样本到样信息汇总统计!C$2:C$500,MATCH(427,样本到样信息汇总统计!$AA$2:$AA$500,0)),"")</f>
        <v/>
      </c>
      <c r="D428" s="4" t="str">
        <f>IFERROR(INDEX(样本到样信息汇总统计!D$2:D$500,MATCH(427,样本到样信息汇总统计!$AA$2:$AA$500,0)),"")</f>
        <v/>
      </c>
      <c r="E428" s="4" t="str">
        <f>IFERROR(INDEX(样本到样信息汇总统计!E$2:E$500,MATCH(427,样本到样信息汇总统计!$AA$2:$AA$500,0)),"")</f>
        <v/>
      </c>
      <c r="F428" s="4" t="str">
        <f>IFERROR(INDEX(样本到样信息汇总统计!F$2:F$500,MATCH(427,样本到样信息汇总统计!$AA$2:$AA$500,0)),"")</f>
        <v/>
      </c>
      <c r="G428" s="4" t="str">
        <f>IFERROR(INDEX(样本到样信息汇总统计!G$2:G$500,MATCH(427,样本到样信息汇总统计!$AA$2:$AA$500,0)),"")</f>
        <v/>
      </c>
      <c r="H428" s="4" t="str">
        <f>IFERROR(INDEX(样本到样信息汇总统计!H$2:H$500,MATCH(427,样本到样信息汇总统计!$AA$2:$AA$500,0)),"")</f>
        <v/>
      </c>
      <c r="I428" s="4" t="str">
        <f>IFERROR(INDEX(样本到样信息汇总统计!I$2:I$500,MATCH(427,样本到样信息汇总统计!$AA$2:$AA$500,0)),"")</f>
        <v/>
      </c>
      <c r="J428" s="4" t="str">
        <f>IFERROR(INDEX(样本到样信息汇总统计!J$2:J$500,MATCH(427,样本到样信息汇总统计!$AA$2:$AA$500,0)),"")</f>
        <v/>
      </c>
      <c r="K428" s="4" t="str">
        <f>IFERROR(INDEX(样本到样信息汇总统计!K$2:K$500,MATCH(427,样本到样信息汇总统计!$AA$2:$AA$500,0)),"")</f>
        <v/>
      </c>
      <c r="L428" s="4" t="str">
        <f>IFERROR(INDEX(样本到样信息汇总统计!L$2:L$500,MATCH(427,样本到样信息汇总统计!$AA$2:$AA$500,0)),"")</f>
        <v/>
      </c>
      <c r="M428" s="4" t="str">
        <f>IFERROR(INDEX(样本到样信息汇总统计!M$2:M$500,MATCH(427,样本到样信息汇总统计!$AA$2:$AA$500,0)),"")</f>
        <v/>
      </c>
      <c r="N428" s="4" t="str">
        <f>IFERROR(INDEX(样本到样信息汇总统计!N$2:N$500,MATCH(427,样本到样信息汇总统计!$AA$2:$AA$500,0)),"")</f>
        <v/>
      </c>
      <c r="O428" s="4" t="str">
        <f>IFERROR(INDEX(样本到样信息汇总统计!O$2:O$500,MATCH(427,样本到样信息汇总统计!$AA$2:$AA$500,0)),"")</f>
        <v/>
      </c>
      <c r="P428" s="4" t="str">
        <f>IFERROR(INDEX(样本到样信息汇总统计!P$2:P$500,MATCH(427,样本到样信息汇总统计!$AA$2:$AA$500,0)),"")</f>
        <v/>
      </c>
      <c r="Q428" s="4" t="str">
        <f>IFERROR(INDEX(样本到样信息汇总统计!Q$2:Q$500,MATCH(427,样本到样信息汇总统计!$AA$2:$AA$500,0)),"")</f>
        <v/>
      </c>
      <c r="R428" s="4" t="str">
        <f>IFERROR(INDEX(样本到样信息汇总统计!R$2:R$500,MATCH(427,样本到样信息汇总统计!$AA$2:$AA$500,0)),"")</f>
        <v/>
      </c>
      <c r="S428" s="4" t="str">
        <f>IFERROR(INDEX(样本到样信息汇总统计!S$2:S$500,MATCH(427,样本到样信息汇总统计!$AA$2:$AA$500,0)),"")</f>
        <v/>
      </c>
      <c r="T428" s="4" t="str">
        <f>IFERROR(INDEX(样本到样信息汇总统计!T$2:T$500,MATCH(427,样本到样信息汇总统计!$AA$2:$AA$500,0)),"")</f>
        <v/>
      </c>
      <c r="U428" s="4" t="str">
        <f>IFERROR(INDEX(样本到样信息汇总统计!U$2:U$500,MATCH(427,样本到样信息汇总统计!$AA$2:$AA$500,0)),"")</f>
        <v/>
      </c>
      <c r="V428" s="4" t="str">
        <f>IFERROR(INDEX(样本到样信息汇总统计!V$2:V$500,MATCH(427,样本到样信息汇总统计!$AA$2:$AA$500,0)),"")</f>
        <v/>
      </c>
      <c r="W428" s="4" t="str">
        <f>IFERROR(INDEX(样本到样信息汇总统计!W$2:W$500,MATCH(427,样本到样信息汇总统计!$AA$2:$AA$500,0)),"")</f>
        <v/>
      </c>
    </row>
    <row r="429" ht="14.5" spans="1:23">
      <c r="A429" s="8" t="str">
        <f>IFERROR(INDEX(样本到样信息汇总统计!A$2:A$500,MATCH(428,样本到样信息汇总统计!$AA$2:$AA$500,0)),"")</f>
        <v/>
      </c>
      <c r="B429" s="8" t="str">
        <f>IFERROR(INDEX(样本到样信息汇总统计!B$2:B$500,MATCH(428,样本到样信息汇总统计!$AA$2:$AA$500,0)),"")</f>
        <v/>
      </c>
      <c r="C429" s="8" t="str">
        <f>IFERROR(INDEX(样本到样信息汇总统计!C$2:C$500,MATCH(428,样本到样信息汇总统计!$AA$2:$AA$500,0)),"")</f>
        <v/>
      </c>
      <c r="D429" s="8" t="str">
        <f>IFERROR(INDEX(样本到样信息汇总统计!D$2:D$500,MATCH(428,样本到样信息汇总统计!$AA$2:$AA$500,0)),"")</f>
        <v/>
      </c>
      <c r="E429" s="8" t="str">
        <f>IFERROR(INDEX(样本到样信息汇总统计!E$2:E$500,MATCH(428,样本到样信息汇总统计!$AA$2:$AA$500,0)),"")</f>
        <v/>
      </c>
      <c r="F429" s="8" t="str">
        <f>IFERROR(INDEX(样本到样信息汇总统计!F$2:F$500,MATCH(428,样本到样信息汇总统计!$AA$2:$AA$500,0)),"")</f>
        <v/>
      </c>
      <c r="G429" s="8" t="str">
        <f>IFERROR(INDEX(样本到样信息汇总统计!G$2:G$500,MATCH(428,样本到样信息汇总统计!$AA$2:$AA$500,0)),"")</f>
        <v/>
      </c>
      <c r="H429" s="8" t="str">
        <f>IFERROR(INDEX(样本到样信息汇总统计!H$2:H$500,MATCH(428,样本到样信息汇总统计!$AA$2:$AA$500,0)),"")</f>
        <v/>
      </c>
      <c r="I429" s="8" t="str">
        <f>IFERROR(INDEX(样本到样信息汇总统计!I$2:I$500,MATCH(428,样本到样信息汇总统计!$AA$2:$AA$500,0)),"")</f>
        <v/>
      </c>
      <c r="J429" s="8" t="str">
        <f>IFERROR(INDEX(样本到样信息汇总统计!J$2:J$500,MATCH(428,样本到样信息汇总统计!$AA$2:$AA$500,0)),"")</f>
        <v/>
      </c>
      <c r="K429" s="8" t="str">
        <f>IFERROR(INDEX(样本到样信息汇总统计!K$2:K$500,MATCH(428,样本到样信息汇总统计!$AA$2:$AA$500,0)),"")</f>
        <v/>
      </c>
      <c r="L429" s="8" t="str">
        <f>IFERROR(INDEX(样本到样信息汇总统计!L$2:L$500,MATCH(428,样本到样信息汇总统计!$AA$2:$AA$500,0)),"")</f>
        <v/>
      </c>
      <c r="M429" s="8" t="str">
        <f>IFERROR(INDEX(样本到样信息汇总统计!M$2:M$500,MATCH(428,样本到样信息汇总统计!$AA$2:$AA$500,0)),"")</f>
        <v/>
      </c>
      <c r="N429" s="8" t="str">
        <f>IFERROR(INDEX(样本到样信息汇总统计!N$2:N$500,MATCH(428,样本到样信息汇总统计!$AA$2:$AA$500,0)),"")</f>
        <v/>
      </c>
      <c r="O429" s="8" t="str">
        <f>IFERROR(INDEX(样本到样信息汇总统计!O$2:O$500,MATCH(428,样本到样信息汇总统计!$AA$2:$AA$500,0)),"")</f>
        <v/>
      </c>
      <c r="P429" s="8" t="str">
        <f>IFERROR(INDEX(样本到样信息汇总统计!P$2:P$500,MATCH(428,样本到样信息汇总统计!$AA$2:$AA$500,0)),"")</f>
        <v/>
      </c>
      <c r="Q429" s="8" t="str">
        <f>IFERROR(INDEX(样本到样信息汇总统计!Q$2:Q$500,MATCH(428,样本到样信息汇总统计!$AA$2:$AA$500,0)),"")</f>
        <v/>
      </c>
      <c r="R429" s="8" t="str">
        <f>IFERROR(INDEX(样本到样信息汇总统计!R$2:R$500,MATCH(428,样本到样信息汇总统计!$AA$2:$AA$500,0)),"")</f>
        <v/>
      </c>
      <c r="S429" s="8" t="str">
        <f>IFERROR(INDEX(样本到样信息汇总统计!S$2:S$500,MATCH(428,样本到样信息汇总统计!$AA$2:$AA$500,0)),"")</f>
        <v/>
      </c>
      <c r="T429" s="8" t="str">
        <f>IFERROR(INDEX(样本到样信息汇总统计!T$2:T$500,MATCH(428,样本到样信息汇总统计!$AA$2:$AA$500,0)),"")</f>
        <v/>
      </c>
      <c r="U429" s="8" t="str">
        <f>IFERROR(INDEX(样本到样信息汇总统计!U$2:U$500,MATCH(428,样本到样信息汇总统计!$AA$2:$AA$500,0)),"")</f>
        <v/>
      </c>
      <c r="V429" s="8" t="str">
        <f>IFERROR(INDEX(样本到样信息汇总统计!V$2:V$500,MATCH(428,样本到样信息汇总统计!$AA$2:$AA$500,0)),"")</f>
        <v/>
      </c>
      <c r="W429" s="8" t="str">
        <f>IFERROR(INDEX(样本到样信息汇总统计!W$2:W$500,MATCH(428,样本到样信息汇总统计!$AA$2:$AA$500,0)),"")</f>
        <v/>
      </c>
    </row>
    <row r="430" ht="14.5" spans="1:23">
      <c r="A430" s="4" t="str">
        <f>IFERROR(INDEX(样本到样信息汇总统计!A$2:A$500,MATCH(429,样本到样信息汇总统计!$AA$2:$AA$500,0)),"")</f>
        <v/>
      </c>
      <c r="B430" s="4" t="str">
        <f>IFERROR(INDEX(样本到样信息汇总统计!B$2:B$500,MATCH(429,样本到样信息汇总统计!$AA$2:$AA$500,0)),"")</f>
        <v/>
      </c>
      <c r="C430" s="4" t="str">
        <f>IFERROR(INDEX(样本到样信息汇总统计!C$2:C$500,MATCH(429,样本到样信息汇总统计!$AA$2:$AA$500,0)),"")</f>
        <v/>
      </c>
      <c r="D430" s="4" t="str">
        <f>IFERROR(INDEX(样本到样信息汇总统计!D$2:D$500,MATCH(429,样本到样信息汇总统计!$AA$2:$AA$500,0)),"")</f>
        <v/>
      </c>
      <c r="E430" s="4" t="str">
        <f>IFERROR(INDEX(样本到样信息汇总统计!E$2:E$500,MATCH(429,样本到样信息汇总统计!$AA$2:$AA$500,0)),"")</f>
        <v/>
      </c>
      <c r="F430" s="4" t="str">
        <f>IFERROR(INDEX(样本到样信息汇总统计!F$2:F$500,MATCH(429,样本到样信息汇总统计!$AA$2:$AA$500,0)),"")</f>
        <v/>
      </c>
      <c r="G430" s="4" t="str">
        <f>IFERROR(INDEX(样本到样信息汇总统计!G$2:G$500,MATCH(429,样本到样信息汇总统计!$AA$2:$AA$500,0)),"")</f>
        <v/>
      </c>
      <c r="H430" s="4" t="str">
        <f>IFERROR(INDEX(样本到样信息汇总统计!H$2:H$500,MATCH(429,样本到样信息汇总统计!$AA$2:$AA$500,0)),"")</f>
        <v/>
      </c>
      <c r="I430" s="4" t="str">
        <f>IFERROR(INDEX(样本到样信息汇总统计!I$2:I$500,MATCH(429,样本到样信息汇总统计!$AA$2:$AA$500,0)),"")</f>
        <v/>
      </c>
      <c r="J430" s="4" t="str">
        <f>IFERROR(INDEX(样本到样信息汇总统计!J$2:J$500,MATCH(429,样本到样信息汇总统计!$AA$2:$AA$500,0)),"")</f>
        <v/>
      </c>
      <c r="K430" s="4" t="str">
        <f>IFERROR(INDEX(样本到样信息汇总统计!K$2:K$500,MATCH(429,样本到样信息汇总统计!$AA$2:$AA$500,0)),"")</f>
        <v/>
      </c>
      <c r="L430" s="4" t="str">
        <f>IFERROR(INDEX(样本到样信息汇总统计!L$2:L$500,MATCH(429,样本到样信息汇总统计!$AA$2:$AA$500,0)),"")</f>
        <v/>
      </c>
      <c r="M430" s="4" t="str">
        <f>IFERROR(INDEX(样本到样信息汇总统计!M$2:M$500,MATCH(429,样本到样信息汇总统计!$AA$2:$AA$500,0)),"")</f>
        <v/>
      </c>
      <c r="N430" s="4" t="str">
        <f>IFERROR(INDEX(样本到样信息汇总统计!N$2:N$500,MATCH(429,样本到样信息汇总统计!$AA$2:$AA$500,0)),"")</f>
        <v/>
      </c>
      <c r="O430" s="4" t="str">
        <f>IFERROR(INDEX(样本到样信息汇总统计!O$2:O$500,MATCH(429,样本到样信息汇总统计!$AA$2:$AA$500,0)),"")</f>
        <v/>
      </c>
      <c r="P430" s="4" t="str">
        <f>IFERROR(INDEX(样本到样信息汇总统计!P$2:P$500,MATCH(429,样本到样信息汇总统计!$AA$2:$AA$500,0)),"")</f>
        <v/>
      </c>
      <c r="Q430" s="4" t="str">
        <f>IFERROR(INDEX(样本到样信息汇总统计!Q$2:Q$500,MATCH(429,样本到样信息汇总统计!$AA$2:$AA$500,0)),"")</f>
        <v/>
      </c>
      <c r="R430" s="4" t="str">
        <f>IFERROR(INDEX(样本到样信息汇总统计!R$2:R$500,MATCH(429,样本到样信息汇总统计!$AA$2:$AA$500,0)),"")</f>
        <v/>
      </c>
      <c r="S430" s="4" t="str">
        <f>IFERROR(INDEX(样本到样信息汇总统计!S$2:S$500,MATCH(429,样本到样信息汇总统计!$AA$2:$AA$500,0)),"")</f>
        <v/>
      </c>
      <c r="T430" s="4" t="str">
        <f>IFERROR(INDEX(样本到样信息汇总统计!T$2:T$500,MATCH(429,样本到样信息汇总统计!$AA$2:$AA$500,0)),"")</f>
        <v/>
      </c>
      <c r="U430" s="4" t="str">
        <f>IFERROR(INDEX(样本到样信息汇总统计!U$2:U$500,MATCH(429,样本到样信息汇总统计!$AA$2:$AA$500,0)),"")</f>
        <v/>
      </c>
      <c r="V430" s="4" t="str">
        <f>IFERROR(INDEX(样本到样信息汇总统计!V$2:V$500,MATCH(429,样本到样信息汇总统计!$AA$2:$AA$500,0)),"")</f>
        <v/>
      </c>
      <c r="W430" s="4" t="str">
        <f>IFERROR(INDEX(样本到样信息汇总统计!W$2:W$500,MATCH(429,样本到样信息汇总统计!$AA$2:$AA$500,0)),"")</f>
        <v/>
      </c>
    </row>
    <row r="431" ht="14.5" spans="1:23">
      <c r="A431" s="8" t="str">
        <f>IFERROR(INDEX(样本到样信息汇总统计!A$2:A$500,MATCH(430,样本到样信息汇总统计!$AA$2:$AA$500,0)),"")</f>
        <v/>
      </c>
      <c r="B431" s="8" t="str">
        <f>IFERROR(INDEX(样本到样信息汇总统计!B$2:B$500,MATCH(430,样本到样信息汇总统计!$AA$2:$AA$500,0)),"")</f>
        <v/>
      </c>
      <c r="C431" s="8" t="str">
        <f>IFERROR(INDEX(样本到样信息汇总统计!C$2:C$500,MATCH(430,样本到样信息汇总统计!$AA$2:$AA$500,0)),"")</f>
        <v/>
      </c>
      <c r="D431" s="8" t="str">
        <f>IFERROR(INDEX(样本到样信息汇总统计!D$2:D$500,MATCH(430,样本到样信息汇总统计!$AA$2:$AA$500,0)),"")</f>
        <v/>
      </c>
      <c r="E431" s="8" t="str">
        <f>IFERROR(INDEX(样本到样信息汇总统计!E$2:E$500,MATCH(430,样本到样信息汇总统计!$AA$2:$AA$500,0)),"")</f>
        <v/>
      </c>
      <c r="F431" s="8" t="str">
        <f>IFERROR(INDEX(样本到样信息汇总统计!F$2:F$500,MATCH(430,样本到样信息汇总统计!$AA$2:$AA$500,0)),"")</f>
        <v/>
      </c>
      <c r="G431" s="8" t="str">
        <f>IFERROR(INDEX(样本到样信息汇总统计!G$2:G$500,MATCH(430,样本到样信息汇总统计!$AA$2:$AA$500,0)),"")</f>
        <v/>
      </c>
      <c r="H431" s="8" t="str">
        <f>IFERROR(INDEX(样本到样信息汇总统计!H$2:H$500,MATCH(430,样本到样信息汇总统计!$AA$2:$AA$500,0)),"")</f>
        <v/>
      </c>
      <c r="I431" s="8" t="str">
        <f>IFERROR(INDEX(样本到样信息汇总统计!I$2:I$500,MATCH(430,样本到样信息汇总统计!$AA$2:$AA$500,0)),"")</f>
        <v/>
      </c>
      <c r="J431" s="8" t="str">
        <f>IFERROR(INDEX(样本到样信息汇总统计!J$2:J$500,MATCH(430,样本到样信息汇总统计!$AA$2:$AA$500,0)),"")</f>
        <v/>
      </c>
      <c r="K431" s="8" t="str">
        <f>IFERROR(INDEX(样本到样信息汇总统计!K$2:K$500,MATCH(430,样本到样信息汇总统计!$AA$2:$AA$500,0)),"")</f>
        <v/>
      </c>
      <c r="L431" s="8" t="str">
        <f>IFERROR(INDEX(样本到样信息汇总统计!L$2:L$500,MATCH(430,样本到样信息汇总统计!$AA$2:$AA$500,0)),"")</f>
        <v/>
      </c>
      <c r="M431" s="8" t="str">
        <f>IFERROR(INDEX(样本到样信息汇总统计!M$2:M$500,MATCH(430,样本到样信息汇总统计!$AA$2:$AA$500,0)),"")</f>
        <v/>
      </c>
      <c r="N431" s="8" t="str">
        <f>IFERROR(INDEX(样本到样信息汇总统计!N$2:N$500,MATCH(430,样本到样信息汇总统计!$AA$2:$AA$500,0)),"")</f>
        <v/>
      </c>
      <c r="O431" s="8" t="str">
        <f>IFERROR(INDEX(样本到样信息汇总统计!O$2:O$500,MATCH(430,样本到样信息汇总统计!$AA$2:$AA$500,0)),"")</f>
        <v/>
      </c>
      <c r="P431" s="8" t="str">
        <f>IFERROR(INDEX(样本到样信息汇总统计!P$2:P$500,MATCH(430,样本到样信息汇总统计!$AA$2:$AA$500,0)),"")</f>
        <v/>
      </c>
      <c r="Q431" s="8" t="str">
        <f>IFERROR(INDEX(样本到样信息汇总统计!Q$2:Q$500,MATCH(430,样本到样信息汇总统计!$AA$2:$AA$500,0)),"")</f>
        <v/>
      </c>
      <c r="R431" s="8" t="str">
        <f>IFERROR(INDEX(样本到样信息汇总统计!R$2:R$500,MATCH(430,样本到样信息汇总统计!$AA$2:$AA$500,0)),"")</f>
        <v/>
      </c>
      <c r="S431" s="8" t="str">
        <f>IFERROR(INDEX(样本到样信息汇总统计!S$2:S$500,MATCH(430,样本到样信息汇总统计!$AA$2:$AA$500,0)),"")</f>
        <v/>
      </c>
      <c r="T431" s="8" t="str">
        <f>IFERROR(INDEX(样本到样信息汇总统计!T$2:T$500,MATCH(430,样本到样信息汇总统计!$AA$2:$AA$500,0)),"")</f>
        <v/>
      </c>
      <c r="U431" s="8" t="str">
        <f>IFERROR(INDEX(样本到样信息汇总统计!U$2:U$500,MATCH(430,样本到样信息汇总统计!$AA$2:$AA$500,0)),"")</f>
        <v/>
      </c>
      <c r="V431" s="8" t="str">
        <f>IFERROR(INDEX(样本到样信息汇总统计!V$2:V$500,MATCH(430,样本到样信息汇总统计!$AA$2:$AA$500,0)),"")</f>
        <v/>
      </c>
      <c r="W431" s="8" t="str">
        <f>IFERROR(INDEX(样本到样信息汇总统计!W$2:W$500,MATCH(430,样本到样信息汇总统计!$AA$2:$AA$500,0)),"")</f>
        <v/>
      </c>
    </row>
    <row r="432" ht="14.5" spans="1:23">
      <c r="A432" s="4" t="str">
        <f>IFERROR(INDEX(样本到样信息汇总统计!A$2:A$500,MATCH(431,样本到样信息汇总统计!$AA$2:$AA$500,0)),"")</f>
        <v/>
      </c>
      <c r="B432" s="4" t="str">
        <f>IFERROR(INDEX(样本到样信息汇总统计!B$2:B$500,MATCH(431,样本到样信息汇总统计!$AA$2:$AA$500,0)),"")</f>
        <v/>
      </c>
      <c r="C432" s="4" t="str">
        <f>IFERROR(INDEX(样本到样信息汇总统计!C$2:C$500,MATCH(431,样本到样信息汇总统计!$AA$2:$AA$500,0)),"")</f>
        <v/>
      </c>
      <c r="D432" s="4" t="str">
        <f>IFERROR(INDEX(样本到样信息汇总统计!D$2:D$500,MATCH(431,样本到样信息汇总统计!$AA$2:$AA$500,0)),"")</f>
        <v/>
      </c>
      <c r="E432" s="4" t="str">
        <f>IFERROR(INDEX(样本到样信息汇总统计!E$2:E$500,MATCH(431,样本到样信息汇总统计!$AA$2:$AA$500,0)),"")</f>
        <v/>
      </c>
      <c r="F432" s="4" t="str">
        <f>IFERROR(INDEX(样本到样信息汇总统计!F$2:F$500,MATCH(431,样本到样信息汇总统计!$AA$2:$AA$500,0)),"")</f>
        <v/>
      </c>
      <c r="G432" s="4" t="str">
        <f>IFERROR(INDEX(样本到样信息汇总统计!G$2:G$500,MATCH(431,样本到样信息汇总统计!$AA$2:$AA$500,0)),"")</f>
        <v/>
      </c>
      <c r="H432" s="4" t="str">
        <f>IFERROR(INDEX(样本到样信息汇总统计!H$2:H$500,MATCH(431,样本到样信息汇总统计!$AA$2:$AA$500,0)),"")</f>
        <v/>
      </c>
      <c r="I432" s="4" t="str">
        <f>IFERROR(INDEX(样本到样信息汇总统计!I$2:I$500,MATCH(431,样本到样信息汇总统计!$AA$2:$AA$500,0)),"")</f>
        <v/>
      </c>
      <c r="J432" s="4" t="str">
        <f>IFERROR(INDEX(样本到样信息汇总统计!J$2:J$500,MATCH(431,样本到样信息汇总统计!$AA$2:$AA$500,0)),"")</f>
        <v/>
      </c>
      <c r="K432" s="4" t="str">
        <f>IFERROR(INDEX(样本到样信息汇总统计!K$2:K$500,MATCH(431,样本到样信息汇总统计!$AA$2:$AA$500,0)),"")</f>
        <v/>
      </c>
      <c r="L432" s="4" t="str">
        <f>IFERROR(INDEX(样本到样信息汇总统计!L$2:L$500,MATCH(431,样本到样信息汇总统计!$AA$2:$AA$500,0)),"")</f>
        <v/>
      </c>
      <c r="M432" s="4" t="str">
        <f>IFERROR(INDEX(样本到样信息汇总统计!M$2:M$500,MATCH(431,样本到样信息汇总统计!$AA$2:$AA$500,0)),"")</f>
        <v/>
      </c>
      <c r="N432" s="4" t="str">
        <f>IFERROR(INDEX(样本到样信息汇总统计!N$2:N$500,MATCH(431,样本到样信息汇总统计!$AA$2:$AA$500,0)),"")</f>
        <v/>
      </c>
      <c r="O432" s="4" t="str">
        <f>IFERROR(INDEX(样本到样信息汇总统计!O$2:O$500,MATCH(431,样本到样信息汇总统计!$AA$2:$AA$500,0)),"")</f>
        <v/>
      </c>
      <c r="P432" s="4" t="str">
        <f>IFERROR(INDEX(样本到样信息汇总统计!P$2:P$500,MATCH(431,样本到样信息汇总统计!$AA$2:$AA$500,0)),"")</f>
        <v/>
      </c>
      <c r="Q432" s="4" t="str">
        <f>IFERROR(INDEX(样本到样信息汇总统计!Q$2:Q$500,MATCH(431,样本到样信息汇总统计!$AA$2:$AA$500,0)),"")</f>
        <v/>
      </c>
      <c r="R432" s="4" t="str">
        <f>IFERROR(INDEX(样本到样信息汇总统计!R$2:R$500,MATCH(431,样本到样信息汇总统计!$AA$2:$AA$500,0)),"")</f>
        <v/>
      </c>
      <c r="S432" s="4" t="str">
        <f>IFERROR(INDEX(样本到样信息汇总统计!S$2:S$500,MATCH(431,样本到样信息汇总统计!$AA$2:$AA$500,0)),"")</f>
        <v/>
      </c>
      <c r="T432" s="4" t="str">
        <f>IFERROR(INDEX(样本到样信息汇总统计!T$2:T$500,MATCH(431,样本到样信息汇总统计!$AA$2:$AA$500,0)),"")</f>
        <v/>
      </c>
      <c r="U432" s="4" t="str">
        <f>IFERROR(INDEX(样本到样信息汇总统计!U$2:U$500,MATCH(431,样本到样信息汇总统计!$AA$2:$AA$500,0)),"")</f>
        <v/>
      </c>
      <c r="V432" s="4" t="str">
        <f>IFERROR(INDEX(样本到样信息汇总统计!V$2:V$500,MATCH(431,样本到样信息汇总统计!$AA$2:$AA$500,0)),"")</f>
        <v/>
      </c>
      <c r="W432" s="4" t="str">
        <f>IFERROR(INDEX(样本到样信息汇总统计!W$2:W$500,MATCH(431,样本到样信息汇总统计!$AA$2:$AA$500,0)),"")</f>
        <v/>
      </c>
    </row>
    <row r="433" ht="14.5" spans="1:23">
      <c r="A433" s="8" t="str">
        <f>IFERROR(INDEX(样本到样信息汇总统计!A$2:A$500,MATCH(432,样本到样信息汇总统计!$AA$2:$AA$500,0)),"")</f>
        <v/>
      </c>
      <c r="B433" s="8" t="str">
        <f>IFERROR(INDEX(样本到样信息汇总统计!B$2:B$500,MATCH(432,样本到样信息汇总统计!$AA$2:$AA$500,0)),"")</f>
        <v/>
      </c>
      <c r="C433" s="8" t="str">
        <f>IFERROR(INDEX(样本到样信息汇总统计!C$2:C$500,MATCH(432,样本到样信息汇总统计!$AA$2:$AA$500,0)),"")</f>
        <v/>
      </c>
      <c r="D433" s="8" t="str">
        <f>IFERROR(INDEX(样本到样信息汇总统计!D$2:D$500,MATCH(432,样本到样信息汇总统计!$AA$2:$AA$500,0)),"")</f>
        <v/>
      </c>
      <c r="E433" s="8" t="str">
        <f>IFERROR(INDEX(样本到样信息汇总统计!E$2:E$500,MATCH(432,样本到样信息汇总统计!$AA$2:$AA$500,0)),"")</f>
        <v/>
      </c>
      <c r="F433" s="8" t="str">
        <f>IFERROR(INDEX(样本到样信息汇总统计!F$2:F$500,MATCH(432,样本到样信息汇总统计!$AA$2:$AA$500,0)),"")</f>
        <v/>
      </c>
      <c r="G433" s="8" t="str">
        <f>IFERROR(INDEX(样本到样信息汇总统计!G$2:G$500,MATCH(432,样本到样信息汇总统计!$AA$2:$AA$500,0)),"")</f>
        <v/>
      </c>
      <c r="H433" s="8" t="str">
        <f>IFERROR(INDEX(样本到样信息汇总统计!H$2:H$500,MATCH(432,样本到样信息汇总统计!$AA$2:$AA$500,0)),"")</f>
        <v/>
      </c>
      <c r="I433" s="8" t="str">
        <f>IFERROR(INDEX(样本到样信息汇总统计!I$2:I$500,MATCH(432,样本到样信息汇总统计!$AA$2:$AA$500,0)),"")</f>
        <v/>
      </c>
      <c r="J433" s="8" t="str">
        <f>IFERROR(INDEX(样本到样信息汇总统计!J$2:J$500,MATCH(432,样本到样信息汇总统计!$AA$2:$AA$500,0)),"")</f>
        <v/>
      </c>
      <c r="K433" s="8" t="str">
        <f>IFERROR(INDEX(样本到样信息汇总统计!K$2:K$500,MATCH(432,样本到样信息汇总统计!$AA$2:$AA$500,0)),"")</f>
        <v/>
      </c>
      <c r="L433" s="8" t="str">
        <f>IFERROR(INDEX(样本到样信息汇总统计!L$2:L$500,MATCH(432,样本到样信息汇总统计!$AA$2:$AA$500,0)),"")</f>
        <v/>
      </c>
      <c r="M433" s="8" t="str">
        <f>IFERROR(INDEX(样本到样信息汇总统计!M$2:M$500,MATCH(432,样本到样信息汇总统计!$AA$2:$AA$500,0)),"")</f>
        <v/>
      </c>
      <c r="N433" s="8" t="str">
        <f>IFERROR(INDEX(样本到样信息汇总统计!N$2:N$500,MATCH(432,样本到样信息汇总统计!$AA$2:$AA$500,0)),"")</f>
        <v/>
      </c>
      <c r="O433" s="8" t="str">
        <f>IFERROR(INDEX(样本到样信息汇总统计!O$2:O$500,MATCH(432,样本到样信息汇总统计!$AA$2:$AA$500,0)),"")</f>
        <v/>
      </c>
      <c r="P433" s="8" t="str">
        <f>IFERROR(INDEX(样本到样信息汇总统计!P$2:P$500,MATCH(432,样本到样信息汇总统计!$AA$2:$AA$500,0)),"")</f>
        <v/>
      </c>
      <c r="Q433" s="8" t="str">
        <f>IFERROR(INDEX(样本到样信息汇总统计!Q$2:Q$500,MATCH(432,样本到样信息汇总统计!$AA$2:$AA$500,0)),"")</f>
        <v/>
      </c>
      <c r="R433" s="8" t="str">
        <f>IFERROR(INDEX(样本到样信息汇总统计!R$2:R$500,MATCH(432,样本到样信息汇总统计!$AA$2:$AA$500,0)),"")</f>
        <v/>
      </c>
      <c r="S433" s="8" t="str">
        <f>IFERROR(INDEX(样本到样信息汇总统计!S$2:S$500,MATCH(432,样本到样信息汇总统计!$AA$2:$AA$500,0)),"")</f>
        <v/>
      </c>
      <c r="T433" s="8" t="str">
        <f>IFERROR(INDEX(样本到样信息汇总统计!T$2:T$500,MATCH(432,样本到样信息汇总统计!$AA$2:$AA$500,0)),"")</f>
        <v/>
      </c>
      <c r="U433" s="8" t="str">
        <f>IFERROR(INDEX(样本到样信息汇总统计!U$2:U$500,MATCH(432,样本到样信息汇总统计!$AA$2:$AA$500,0)),"")</f>
        <v/>
      </c>
      <c r="V433" s="8" t="str">
        <f>IFERROR(INDEX(样本到样信息汇总统计!V$2:V$500,MATCH(432,样本到样信息汇总统计!$AA$2:$AA$500,0)),"")</f>
        <v/>
      </c>
      <c r="W433" s="8" t="str">
        <f>IFERROR(INDEX(样本到样信息汇总统计!W$2:W$500,MATCH(432,样本到样信息汇总统计!$AA$2:$AA$500,0)),"")</f>
        <v/>
      </c>
    </row>
    <row r="434" ht="14.5" spans="1:23">
      <c r="A434" s="4" t="str">
        <f>IFERROR(INDEX(样本到样信息汇总统计!A$2:A$500,MATCH(433,样本到样信息汇总统计!$AA$2:$AA$500,0)),"")</f>
        <v/>
      </c>
      <c r="B434" s="4" t="str">
        <f>IFERROR(INDEX(样本到样信息汇总统计!B$2:B$500,MATCH(433,样本到样信息汇总统计!$AA$2:$AA$500,0)),"")</f>
        <v/>
      </c>
      <c r="C434" s="4" t="str">
        <f>IFERROR(INDEX(样本到样信息汇总统计!C$2:C$500,MATCH(433,样本到样信息汇总统计!$AA$2:$AA$500,0)),"")</f>
        <v/>
      </c>
      <c r="D434" s="4" t="str">
        <f>IFERROR(INDEX(样本到样信息汇总统计!D$2:D$500,MATCH(433,样本到样信息汇总统计!$AA$2:$AA$500,0)),"")</f>
        <v/>
      </c>
      <c r="E434" s="4" t="str">
        <f>IFERROR(INDEX(样本到样信息汇总统计!E$2:E$500,MATCH(433,样本到样信息汇总统计!$AA$2:$AA$500,0)),"")</f>
        <v/>
      </c>
      <c r="F434" s="4" t="str">
        <f>IFERROR(INDEX(样本到样信息汇总统计!F$2:F$500,MATCH(433,样本到样信息汇总统计!$AA$2:$AA$500,0)),"")</f>
        <v/>
      </c>
      <c r="G434" s="4" t="str">
        <f>IFERROR(INDEX(样本到样信息汇总统计!G$2:G$500,MATCH(433,样本到样信息汇总统计!$AA$2:$AA$500,0)),"")</f>
        <v/>
      </c>
      <c r="H434" s="4" t="str">
        <f>IFERROR(INDEX(样本到样信息汇总统计!H$2:H$500,MATCH(433,样本到样信息汇总统计!$AA$2:$AA$500,0)),"")</f>
        <v/>
      </c>
      <c r="I434" s="4" t="str">
        <f>IFERROR(INDEX(样本到样信息汇总统计!I$2:I$500,MATCH(433,样本到样信息汇总统计!$AA$2:$AA$500,0)),"")</f>
        <v/>
      </c>
      <c r="J434" s="4" t="str">
        <f>IFERROR(INDEX(样本到样信息汇总统计!J$2:J$500,MATCH(433,样本到样信息汇总统计!$AA$2:$AA$500,0)),"")</f>
        <v/>
      </c>
      <c r="K434" s="4" t="str">
        <f>IFERROR(INDEX(样本到样信息汇总统计!K$2:K$500,MATCH(433,样本到样信息汇总统计!$AA$2:$AA$500,0)),"")</f>
        <v/>
      </c>
      <c r="L434" s="4" t="str">
        <f>IFERROR(INDEX(样本到样信息汇总统计!L$2:L$500,MATCH(433,样本到样信息汇总统计!$AA$2:$AA$500,0)),"")</f>
        <v/>
      </c>
      <c r="M434" s="4" t="str">
        <f>IFERROR(INDEX(样本到样信息汇总统计!M$2:M$500,MATCH(433,样本到样信息汇总统计!$AA$2:$AA$500,0)),"")</f>
        <v/>
      </c>
      <c r="N434" s="4" t="str">
        <f>IFERROR(INDEX(样本到样信息汇总统计!N$2:N$500,MATCH(433,样本到样信息汇总统计!$AA$2:$AA$500,0)),"")</f>
        <v/>
      </c>
      <c r="O434" s="4" t="str">
        <f>IFERROR(INDEX(样本到样信息汇总统计!O$2:O$500,MATCH(433,样本到样信息汇总统计!$AA$2:$AA$500,0)),"")</f>
        <v/>
      </c>
      <c r="P434" s="4" t="str">
        <f>IFERROR(INDEX(样本到样信息汇总统计!P$2:P$500,MATCH(433,样本到样信息汇总统计!$AA$2:$AA$500,0)),"")</f>
        <v/>
      </c>
      <c r="Q434" s="4" t="str">
        <f>IFERROR(INDEX(样本到样信息汇总统计!Q$2:Q$500,MATCH(433,样本到样信息汇总统计!$AA$2:$AA$500,0)),"")</f>
        <v/>
      </c>
      <c r="R434" s="4" t="str">
        <f>IFERROR(INDEX(样本到样信息汇总统计!R$2:R$500,MATCH(433,样本到样信息汇总统计!$AA$2:$AA$500,0)),"")</f>
        <v/>
      </c>
      <c r="S434" s="4" t="str">
        <f>IFERROR(INDEX(样本到样信息汇总统计!S$2:S$500,MATCH(433,样本到样信息汇总统计!$AA$2:$AA$500,0)),"")</f>
        <v/>
      </c>
      <c r="T434" s="4" t="str">
        <f>IFERROR(INDEX(样本到样信息汇总统计!T$2:T$500,MATCH(433,样本到样信息汇总统计!$AA$2:$AA$500,0)),"")</f>
        <v/>
      </c>
      <c r="U434" s="4" t="str">
        <f>IFERROR(INDEX(样本到样信息汇总统计!U$2:U$500,MATCH(433,样本到样信息汇总统计!$AA$2:$AA$500,0)),"")</f>
        <v/>
      </c>
      <c r="V434" s="4" t="str">
        <f>IFERROR(INDEX(样本到样信息汇总统计!V$2:V$500,MATCH(433,样本到样信息汇总统计!$AA$2:$AA$500,0)),"")</f>
        <v/>
      </c>
      <c r="W434" s="4" t="str">
        <f>IFERROR(INDEX(样本到样信息汇总统计!W$2:W$500,MATCH(433,样本到样信息汇总统计!$AA$2:$AA$500,0)),"")</f>
        <v/>
      </c>
    </row>
    <row r="435" ht="14.5" spans="1:23">
      <c r="A435" s="8" t="str">
        <f>IFERROR(INDEX(样本到样信息汇总统计!A$2:A$500,MATCH(434,样本到样信息汇总统计!$AA$2:$AA$500,0)),"")</f>
        <v/>
      </c>
      <c r="B435" s="8" t="str">
        <f>IFERROR(INDEX(样本到样信息汇总统计!B$2:B$500,MATCH(434,样本到样信息汇总统计!$AA$2:$AA$500,0)),"")</f>
        <v/>
      </c>
      <c r="C435" s="8" t="str">
        <f>IFERROR(INDEX(样本到样信息汇总统计!C$2:C$500,MATCH(434,样本到样信息汇总统计!$AA$2:$AA$500,0)),"")</f>
        <v/>
      </c>
      <c r="D435" s="8" t="str">
        <f>IFERROR(INDEX(样本到样信息汇总统计!D$2:D$500,MATCH(434,样本到样信息汇总统计!$AA$2:$AA$500,0)),"")</f>
        <v/>
      </c>
      <c r="E435" s="8" t="str">
        <f>IFERROR(INDEX(样本到样信息汇总统计!E$2:E$500,MATCH(434,样本到样信息汇总统计!$AA$2:$AA$500,0)),"")</f>
        <v/>
      </c>
      <c r="F435" s="8" t="str">
        <f>IFERROR(INDEX(样本到样信息汇总统计!F$2:F$500,MATCH(434,样本到样信息汇总统计!$AA$2:$AA$500,0)),"")</f>
        <v/>
      </c>
      <c r="G435" s="8" t="str">
        <f>IFERROR(INDEX(样本到样信息汇总统计!G$2:G$500,MATCH(434,样本到样信息汇总统计!$AA$2:$AA$500,0)),"")</f>
        <v/>
      </c>
      <c r="H435" s="8" t="str">
        <f>IFERROR(INDEX(样本到样信息汇总统计!H$2:H$500,MATCH(434,样本到样信息汇总统计!$AA$2:$AA$500,0)),"")</f>
        <v/>
      </c>
      <c r="I435" s="8" t="str">
        <f>IFERROR(INDEX(样本到样信息汇总统计!I$2:I$500,MATCH(434,样本到样信息汇总统计!$AA$2:$AA$500,0)),"")</f>
        <v/>
      </c>
      <c r="J435" s="8" t="str">
        <f>IFERROR(INDEX(样本到样信息汇总统计!J$2:J$500,MATCH(434,样本到样信息汇总统计!$AA$2:$AA$500,0)),"")</f>
        <v/>
      </c>
      <c r="K435" s="8" t="str">
        <f>IFERROR(INDEX(样本到样信息汇总统计!K$2:K$500,MATCH(434,样本到样信息汇总统计!$AA$2:$AA$500,0)),"")</f>
        <v/>
      </c>
      <c r="L435" s="8" t="str">
        <f>IFERROR(INDEX(样本到样信息汇总统计!L$2:L$500,MATCH(434,样本到样信息汇总统计!$AA$2:$AA$500,0)),"")</f>
        <v/>
      </c>
      <c r="M435" s="8" t="str">
        <f>IFERROR(INDEX(样本到样信息汇总统计!M$2:M$500,MATCH(434,样本到样信息汇总统计!$AA$2:$AA$500,0)),"")</f>
        <v/>
      </c>
      <c r="N435" s="8" t="str">
        <f>IFERROR(INDEX(样本到样信息汇总统计!N$2:N$500,MATCH(434,样本到样信息汇总统计!$AA$2:$AA$500,0)),"")</f>
        <v/>
      </c>
      <c r="O435" s="8" t="str">
        <f>IFERROR(INDEX(样本到样信息汇总统计!O$2:O$500,MATCH(434,样本到样信息汇总统计!$AA$2:$AA$500,0)),"")</f>
        <v/>
      </c>
      <c r="P435" s="8" t="str">
        <f>IFERROR(INDEX(样本到样信息汇总统计!P$2:P$500,MATCH(434,样本到样信息汇总统计!$AA$2:$AA$500,0)),"")</f>
        <v/>
      </c>
      <c r="Q435" s="8" t="str">
        <f>IFERROR(INDEX(样本到样信息汇总统计!Q$2:Q$500,MATCH(434,样本到样信息汇总统计!$AA$2:$AA$500,0)),"")</f>
        <v/>
      </c>
      <c r="R435" s="8" t="str">
        <f>IFERROR(INDEX(样本到样信息汇总统计!R$2:R$500,MATCH(434,样本到样信息汇总统计!$AA$2:$AA$500,0)),"")</f>
        <v/>
      </c>
      <c r="S435" s="8" t="str">
        <f>IFERROR(INDEX(样本到样信息汇总统计!S$2:S$500,MATCH(434,样本到样信息汇总统计!$AA$2:$AA$500,0)),"")</f>
        <v/>
      </c>
      <c r="T435" s="8" t="str">
        <f>IFERROR(INDEX(样本到样信息汇总统计!T$2:T$500,MATCH(434,样本到样信息汇总统计!$AA$2:$AA$500,0)),"")</f>
        <v/>
      </c>
      <c r="U435" s="8" t="str">
        <f>IFERROR(INDEX(样本到样信息汇总统计!U$2:U$500,MATCH(434,样本到样信息汇总统计!$AA$2:$AA$500,0)),"")</f>
        <v/>
      </c>
      <c r="V435" s="8" t="str">
        <f>IFERROR(INDEX(样本到样信息汇总统计!V$2:V$500,MATCH(434,样本到样信息汇总统计!$AA$2:$AA$500,0)),"")</f>
        <v/>
      </c>
      <c r="W435" s="8" t="str">
        <f>IFERROR(INDEX(样本到样信息汇总统计!W$2:W$500,MATCH(434,样本到样信息汇总统计!$AA$2:$AA$500,0)),"")</f>
        <v/>
      </c>
    </row>
    <row r="436" ht="14.5" spans="1:23">
      <c r="A436" s="4" t="str">
        <f>IFERROR(INDEX(样本到样信息汇总统计!A$2:A$500,MATCH(435,样本到样信息汇总统计!$AA$2:$AA$500,0)),"")</f>
        <v/>
      </c>
      <c r="B436" s="4" t="str">
        <f>IFERROR(INDEX(样本到样信息汇总统计!B$2:B$500,MATCH(435,样本到样信息汇总统计!$AA$2:$AA$500,0)),"")</f>
        <v/>
      </c>
      <c r="C436" s="4" t="str">
        <f>IFERROR(INDEX(样本到样信息汇总统计!C$2:C$500,MATCH(435,样本到样信息汇总统计!$AA$2:$AA$500,0)),"")</f>
        <v/>
      </c>
      <c r="D436" s="4" t="str">
        <f>IFERROR(INDEX(样本到样信息汇总统计!D$2:D$500,MATCH(435,样本到样信息汇总统计!$AA$2:$AA$500,0)),"")</f>
        <v/>
      </c>
      <c r="E436" s="4" t="str">
        <f>IFERROR(INDEX(样本到样信息汇总统计!E$2:E$500,MATCH(435,样本到样信息汇总统计!$AA$2:$AA$500,0)),"")</f>
        <v/>
      </c>
      <c r="F436" s="4" t="str">
        <f>IFERROR(INDEX(样本到样信息汇总统计!F$2:F$500,MATCH(435,样本到样信息汇总统计!$AA$2:$AA$500,0)),"")</f>
        <v/>
      </c>
      <c r="G436" s="4" t="str">
        <f>IFERROR(INDEX(样本到样信息汇总统计!G$2:G$500,MATCH(435,样本到样信息汇总统计!$AA$2:$AA$500,0)),"")</f>
        <v/>
      </c>
      <c r="H436" s="4" t="str">
        <f>IFERROR(INDEX(样本到样信息汇总统计!H$2:H$500,MATCH(435,样本到样信息汇总统计!$AA$2:$AA$500,0)),"")</f>
        <v/>
      </c>
      <c r="I436" s="4" t="str">
        <f>IFERROR(INDEX(样本到样信息汇总统计!I$2:I$500,MATCH(435,样本到样信息汇总统计!$AA$2:$AA$500,0)),"")</f>
        <v/>
      </c>
      <c r="J436" s="4" t="str">
        <f>IFERROR(INDEX(样本到样信息汇总统计!J$2:J$500,MATCH(435,样本到样信息汇总统计!$AA$2:$AA$500,0)),"")</f>
        <v/>
      </c>
      <c r="K436" s="4" t="str">
        <f>IFERROR(INDEX(样本到样信息汇总统计!K$2:K$500,MATCH(435,样本到样信息汇总统计!$AA$2:$AA$500,0)),"")</f>
        <v/>
      </c>
      <c r="L436" s="4" t="str">
        <f>IFERROR(INDEX(样本到样信息汇总统计!L$2:L$500,MATCH(435,样本到样信息汇总统计!$AA$2:$AA$500,0)),"")</f>
        <v/>
      </c>
      <c r="M436" s="4" t="str">
        <f>IFERROR(INDEX(样本到样信息汇总统计!M$2:M$500,MATCH(435,样本到样信息汇总统计!$AA$2:$AA$500,0)),"")</f>
        <v/>
      </c>
      <c r="N436" s="4" t="str">
        <f>IFERROR(INDEX(样本到样信息汇总统计!N$2:N$500,MATCH(435,样本到样信息汇总统计!$AA$2:$AA$500,0)),"")</f>
        <v/>
      </c>
      <c r="O436" s="4" t="str">
        <f>IFERROR(INDEX(样本到样信息汇总统计!O$2:O$500,MATCH(435,样本到样信息汇总统计!$AA$2:$AA$500,0)),"")</f>
        <v/>
      </c>
      <c r="P436" s="4" t="str">
        <f>IFERROR(INDEX(样本到样信息汇总统计!P$2:P$500,MATCH(435,样本到样信息汇总统计!$AA$2:$AA$500,0)),"")</f>
        <v/>
      </c>
      <c r="Q436" s="4" t="str">
        <f>IFERROR(INDEX(样本到样信息汇总统计!Q$2:Q$500,MATCH(435,样本到样信息汇总统计!$AA$2:$AA$500,0)),"")</f>
        <v/>
      </c>
      <c r="R436" s="4" t="str">
        <f>IFERROR(INDEX(样本到样信息汇总统计!R$2:R$500,MATCH(435,样本到样信息汇总统计!$AA$2:$AA$500,0)),"")</f>
        <v/>
      </c>
      <c r="S436" s="4" t="str">
        <f>IFERROR(INDEX(样本到样信息汇总统计!S$2:S$500,MATCH(435,样本到样信息汇总统计!$AA$2:$AA$500,0)),"")</f>
        <v/>
      </c>
      <c r="T436" s="4" t="str">
        <f>IFERROR(INDEX(样本到样信息汇总统计!T$2:T$500,MATCH(435,样本到样信息汇总统计!$AA$2:$AA$500,0)),"")</f>
        <v/>
      </c>
      <c r="U436" s="4" t="str">
        <f>IFERROR(INDEX(样本到样信息汇总统计!U$2:U$500,MATCH(435,样本到样信息汇总统计!$AA$2:$AA$500,0)),"")</f>
        <v/>
      </c>
      <c r="V436" s="4" t="str">
        <f>IFERROR(INDEX(样本到样信息汇总统计!V$2:V$500,MATCH(435,样本到样信息汇总统计!$AA$2:$AA$500,0)),"")</f>
        <v/>
      </c>
      <c r="W436" s="4" t="str">
        <f>IFERROR(INDEX(样本到样信息汇总统计!W$2:W$500,MATCH(435,样本到样信息汇总统计!$AA$2:$AA$500,0)),"")</f>
        <v/>
      </c>
    </row>
    <row r="437" ht="14.5" spans="1:23">
      <c r="A437" s="8" t="str">
        <f>IFERROR(INDEX(样本到样信息汇总统计!A$2:A$500,MATCH(436,样本到样信息汇总统计!$AA$2:$AA$500,0)),"")</f>
        <v/>
      </c>
      <c r="B437" s="8" t="str">
        <f>IFERROR(INDEX(样本到样信息汇总统计!B$2:B$500,MATCH(436,样本到样信息汇总统计!$AA$2:$AA$500,0)),"")</f>
        <v/>
      </c>
      <c r="C437" s="8" t="str">
        <f>IFERROR(INDEX(样本到样信息汇总统计!C$2:C$500,MATCH(436,样本到样信息汇总统计!$AA$2:$AA$500,0)),"")</f>
        <v/>
      </c>
      <c r="D437" s="8" t="str">
        <f>IFERROR(INDEX(样本到样信息汇总统计!D$2:D$500,MATCH(436,样本到样信息汇总统计!$AA$2:$AA$500,0)),"")</f>
        <v/>
      </c>
      <c r="E437" s="8" t="str">
        <f>IFERROR(INDEX(样本到样信息汇总统计!E$2:E$500,MATCH(436,样本到样信息汇总统计!$AA$2:$AA$500,0)),"")</f>
        <v/>
      </c>
      <c r="F437" s="8" t="str">
        <f>IFERROR(INDEX(样本到样信息汇总统计!F$2:F$500,MATCH(436,样本到样信息汇总统计!$AA$2:$AA$500,0)),"")</f>
        <v/>
      </c>
      <c r="G437" s="8" t="str">
        <f>IFERROR(INDEX(样本到样信息汇总统计!G$2:G$500,MATCH(436,样本到样信息汇总统计!$AA$2:$AA$500,0)),"")</f>
        <v/>
      </c>
      <c r="H437" s="8" t="str">
        <f>IFERROR(INDEX(样本到样信息汇总统计!H$2:H$500,MATCH(436,样本到样信息汇总统计!$AA$2:$AA$500,0)),"")</f>
        <v/>
      </c>
      <c r="I437" s="8" t="str">
        <f>IFERROR(INDEX(样本到样信息汇总统计!I$2:I$500,MATCH(436,样本到样信息汇总统计!$AA$2:$AA$500,0)),"")</f>
        <v/>
      </c>
      <c r="J437" s="8" t="str">
        <f>IFERROR(INDEX(样本到样信息汇总统计!J$2:J$500,MATCH(436,样本到样信息汇总统计!$AA$2:$AA$500,0)),"")</f>
        <v/>
      </c>
      <c r="K437" s="8" t="str">
        <f>IFERROR(INDEX(样本到样信息汇总统计!K$2:K$500,MATCH(436,样本到样信息汇总统计!$AA$2:$AA$500,0)),"")</f>
        <v/>
      </c>
      <c r="L437" s="8" t="str">
        <f>IFERROR(INDEX(样本到样信息汇总统计!L$2:L$500,MATCH(436,样本到样信息汇总统计!$AA$2:$AA$500,0)),"")</f>
        <v/>
      </c>
      <c r="M437" s="8" t="str">
        <f>IFERROR(INDEX(样本到样信息汇总统计!M$2:M$500,MATCH(436,样本到样信息汇总统计!$AA$2:$AA$500,0)),"")</f>
        <v/>
      </c>
      <c r="N437" s="8" t="str">
        <f>IFERROR(INDEX(样本到样信息汇总统计!N$2:N$500,MATCH(436,样本到样信息汇总统计!$AA$2:$AA$500,0)),"")</f>
        <v/>
      </c>
      <c r="O437" s="8" t="str">
        <f>IFERROR(INDEX(样本到样信息汇总统计!O$2:O$500,MATCH(436,样本到样信息汇总统计!$AA$2:$AA$500,0)),"")</f>
        <v/>
      </c>
      <c r="P437" s="8" t="str">
        <f>IFERROR(INDEX(样本到样信息汇总统计!P$2:P$500,MATCH(436,样本到样信息汇总统计!$AA$2:$AA$500,0)),"")</f>
        <v/>
      </c>
      <c r="Q437" s="8" t="str">
        <f>IFERROR(INDEX(样本到样信息汇总统计!Q$2:Q$500,MATCH(436,样本到样信息汇总统计!$AA$2:$AA$500,0)),"")</f>
        <v/>
      </c>
      <c r="R437" s="8" t="str">
        <f>IFERROR(INDEX(样本到样信息汇总统计!R$2:R$500,MATCH(436,样本到样信息汇总统计!$AA$2:$AA$500,0)),"")</f>
        <v/>
      </c>
      <c r="S437" s="8" t="str">
        <f>IFERROR(INDEX(样本到样信息汇总统计!S$2:S$500,MATCH(436,样本到样信息汇总统计!$AA$2:$AA$500,0)),"")</f>
        <v/>
      </c>
      <c r="T437" s="8" t="str">
        <f>IFERROR(INDEX(样本到样信息汇总统计!T$2:T$500,MATCH(436,样本到样信息汇总统计!$AA$2:$AA$500,0)),"")</f>
        <v/>
      </c>
      <c r="U437" s="8" t="str">
        <f>IFERROR(INDEX(样本到样信息汇总统计!U$2:U$500,MATCH(436,样本到样信息汇总统计!$AA$2:$AA$500,0)),"")</f>
        <v/>
      </c>
      <c r="V437" s="8" t="str">
        <f>IFERROR(INDEX(样本到样信息汇总统计!V$2:V$500,MATCH(436,样本到样信息汇总统计!$AA$2:$AA$500,0)),"")</f>
        <v/>
      </c>
      <c r="W437" s="8" t="str">
        <f>IFERROR(INDEX(样本到样信息汇总统计!W$2:W$500,MATCH(436,样本到样信息汇总统计!$AA$2:$AA$500,0)),"")</f>
        <v/>
      </c>
    </row>
    <row r="438" ht="14.5" spans="1:23">
      <c r="A438" s="4" t="str">
        <f>IFERROR(INDEX(样本到样信息汇总统计!A$2:A$500,MATCH(437,样本到样信息汇总统计!$AA$2:$AA$500,0)),"")</f>
        <v/>
      </c>
      <c r="B438" s="4" t="str">
        <f>IFERROR(INDEX(样本到样信息汇总统计!B$2:B$500,MATCH(437,样本到样信息汇总统计!$AA$2:$AA$500,0)),"")</f>
        <v/>
      </c>
      <c r="C438" s="4" t="str">
        <f>IFERROR(INDEX(样本到样信息汇总统计!C$2:C$500,MATCH(437,样本到样信息汇总统计!$AA$2:$AA$500,0)),"")</f>
        <v/>
      </c>
      <c r="D438" s="4" t="str">
        <f>IFERROR(INDEX(样本到样信息汇总统计!D$2:D$500,MATCH(437,样本到样信息汇总统计!$AA$2:$AA$500,0)),"")</f>
        <v/>
      </c>
      <c r="E438" s="4" t="str">
        <f>IFERROR(INDEX(样本到样信息汇总统计!E$2:E$500,MATCH(437,样本到样信息汇总统计!$AA$2:$AA$500,0)),"")</f>
        <v/>
      </c>
      <c r="F438" s="4" t="str">
        <f>IFERROR(INDEX(样本到样信息汇总统计!F$2:F$500,MATCH(437,样本到样信息汇总统计!$AA$2:$AA$500,0)),"")</f>
        <v/>
      </c>
      <c r="G438" s="4" t="str">
        <f>IFERROR(INDEX(样本到样信息汇总统计!G$2:G$500,MATCH(437,样本到样信息汇总统计!$AA$2:$AA$500,0)),"")</f>
        <v/>
      </c>
      <c r="H438" s="4" t="str">
        <f>IFERROR(INDEX(样本到样信息汇总统计!H$2:H$500,MATCH(437,样本到样信息汇总统计!$AA$2:$AA$500,0)),"")</f>
        <v/>
      </c>
      <c r="I438" s="4" t="str">
        <f>IFERROR(INDEX(样本到样信息汇总统计!I$2:I$500,MATCH(437,样本到样信息汇总统计!$AA$2:$AA$500,0)),"")</f>
        <v/>
      </c>
      <c r="J438" s="4" t="str">
        <f>IFERROR(INDEX(样本到样信息汇总统计!J$2:J$500,MATCH(437,样本到样信息汇总统计!$AA$2:$AA$500,0)),"")</f>
        <v/>
      </c>
      <c r="K438" s="4" t="str">
        <f>IFERROR(INDEX(样本到样信息汇总统计!K$2:K$500,MATCH(437,样本到样信息汇总统计!$AA$2:$AA$500,0)),"")</f>
        <v/>
      </c>
      <c r="L438" s="4" t="str">
        <f>IFERROR(INDEX(样本到样信息汇总统计!L$2:L$500,MATCH(437,样本到样信息汇总统计!$AA$2:$AA$500,0)),"")</f>
        <v/>
      </c>
      <c r="M438" s="4" t="str">
        <f>IFERROR(INDEX(样本到样信息汇总统计!M$2:M$500,MATCH(437,样本到样信息汇总统计!$AA$2:$AA$500,0)),"")</f>
        <v/>
      </c>
      <c r="N438" s="4" t="str">
        <f>IFERROR(INDEX(样本到样信息汇总统计!N$2:N$500,MATCH(437,样本到样信息汇总统计!$AA$2:$AA$500,0)),"")</f>
        <v/>
      </c>
      <c r="O438" s="4" t="str">
        <f>IFERROR(INDEX(样本到样信息汇总统计!O$2:O$500,MATCH(437,样本到样信息汇总统计!$AA$2:$AA$500,0)),"")</f>
        <v/>
      </c>
      <c r="P438" s="4" t="str">
        <f>IFERROR(INDEX(样本到样信息汇总统计!P$2:P$500,MATCH(437,样本到样信息汇总统计!$AA$2:$AA$500,0)),"")</f>
        <v/>
      </c>
      <c r="Q438" s="4" t="str">
        <f>IFERROR(INDEX(样本到样信息汇总统计!Q$2:Q$500,MATCH(437,样本到样信息汇总统计!$AA$2:$AA$500,0)),"")</f>
        <v/>
      </c>
      <c r="R438" s="4" t="str">
        <f>IFERROR(INDEX(样本到样信息汇总统计!R$2:R$500,MATCH(437,样本到样信息汇总统计!$AA$2:$AA$500,0)),"")</f>
        <v/>
      </c>
      <c r="S438" s="4" t="str">
        <f>IFERROR(INDEX(样本到样信息汇总统计!S$2:S$500,MATCH(437,样本到样信息汇总统计!$AA$2:$AA$500,0)),"")</f>
        <v/>
      </c>
      <c r="T438" s="4" t="str">
        <f>IFERROR(INDEX(样本到样信息汇总统计!T$2:T$500,MATCH(437,样本到样信息汇总统计!$AA$2:$AA$500,0)),"")</f>
        <v/>
      </c>
      <c r="U438" s="4" t="str">
        <f>IFERROR(INDEX(样本到样信息汇总统计!U$2:U$500,MATCH(437,样本到样信息汇总统计!$AA$2:$AA$500,0)),"")</f>
        <v/>
      </c>
      <c r="V438" s="4" t="str">
        <f>IFERROR(INDEX(样本到样信息汇总统计!V$2:V$500,MATCH(437,样本到样信息汇总统计!$AA$2:$AA$500,0)),"")</f>
        <v/>
      </c>
      <c r="W438" s="4" t="str">
        <f>IFERROR(INDEX(样本到样信息汇总统计!W$2:W$500,MATCH(437,样本到样信息汇总统计!$AA$2:$AA$500,0)),"")</f>
        <v/>
      </c>
    </row>
    <row r="439" ht="14.5" spans="1:23">
      <c r="A439" s="8" t="str">
        <f>IFERROR(INDEX(样本到样信息汇总统计!A$2:A$500,MATCH(438,样本到样信息汇总统计!$AA$2:$AA$500,0)),"")</f>
        <v/>
      </c>
      <c r="B439" s="8" t="str">
        <f>IFERROR(INDEX(样本到样信息汇总统计!B$2:B$500,MATCH(438,样本到样信息汇总统计!$AA$2:$AA$500,0)),"")</f>
        <v/>
      </c>
      <c r="C439" s="8" t="str">
        <f>IFERROR(INDEX(样本到样信息汇总统计!C$2:C$500,MATCH(438,样本到样信息汇总统计!$AA$2:$AA$500,0)),"")</f>
        <v/>
      </c>
      <c r="D439" s="8" t="str">
        <f>IFERROR(INDEX(样本到样信息汇总统计!D$2:D$500,MATCH(438,样本到样信息汇总统计!$AA$2:$AA$500,0)),"")</f>
        <v/>
      </c>
      <c r="E439" s="8" t="str">
        <f>IFERROR(INDEX(样本到样信息汇总统计!E$2:E$500,MATCH(438,样本到样信息汇总统计!$AA$2:$AA$500,0)),"")</f>
        <v/>
      </c>
      <c r="F439" s="8" t="str">
        <f>IFERROR(INDEX(样本到样信息汇总统计!F$2:F$500,MATCH(438,样本到样信息汇总统计!$AA$2:$AA$500,0)),"")</f>
        <v/>
      </c>
      <c r="G439" s="8" t="str">
        <f>IFERROR(INDEX(样本到样信息汇总统计!G$2:G$500,MATCH(438,样本到样信息汇总统计!$AA$2:$AA$500,0)),"")</f>
        <v/>
      </c>
      <c r="H439" s="8" t="str">
        <f>IFERROR(INDEX(样本到样信息汇总统计!H$2:H$500,MATCH(438,样本到样信息汇总统计!$AA$2:$AA$500,0)),"")</f>
        <v/>
      </c>
      <c r="I439" s="8" t="str">
        <f>IFERROR(INDEX(样本到样信息汇总统计!I$2:I$500,MATCH(438,样本到样信息汇总统计!$AA$2:$AA$500,0)),"")</f>
        <v/>
      </c>
      <c r="J439" s="8" t="str">
        <f>IFERROR(INDEX(样本到样信息汇总统计!J$2:J$500,MATCH(438,样本到样信息汇总统计!$AA$2:$AA$500,0)),"")</f>
        <v/>
      </c>
      <c r="K439" s="8" t="str">
        <f>IFERROR(INDEX(样本到样信息汇总统计!K$2:K$500,MATCH(438,样本到样信息汇总统计!$AA$2:$AA$500,0)),"")</f>
        <v/>
      </c>
      <c r="L439" s="8" t="str">
        <f>IFERROR(INDEX(样本到样信息汇总统计!L$2:L$500,MATCH(438,样本到样信息汇总统计!$AA$2:$AA$500,0)),"")</f>
        <v/>
      </c>
      <c r="M439" s="8" t="str">
        <f>IFERROR(INDEX(样本到样信息汇总统计!M$2:M$500,MATCH(438,样本到样信息汇总统计!$AA$2:$AA$500,0)),"")</f>
        <v/>
      </c>
      <c r="N439" s="8" t="str">
        <f>IFERROR(INDEX(样本到样信息汇总统计!N$2:N$500,MATCH(438,样本到样信息汇总统计!$AA$2:$AA$500,0)),"")</f>
        <v/>
      </c>
      <c r="O439" s="8" t="str">
        <f>IFERROR(INDEX(样本到样信息汇总统计!O$2:O$500,MATCH(438,样本到样信息汇总统计!$AA$2:$AA$500,0)),"")</f>
        <v/>
      </c>
      <c r="P439" s="8" t="str">
        <f>IFERROR(INDEX(样本到样信息汇总统计!P$2:P$500,MATCH(438,样本到样信息汇总统计!$AA$2:$AA$500,0)),"")</f>
        <v/>
      </c>
      <c r="Q439" s="8" t="str">
        <f>IFERROR(INDEX(样本到样信息汇总统计!Q$2:Q$500,MATCH(438,样本到样信息汇总统计!$AA$2:$AA$500,0)),"")</f>
        <v/>
      </c>
      <c r="R439" s="8" t="str">
        <f>IFERROR(INDEX(样本到样信息汇总统计!R$2:R$500,MATCH(438,样本到样信息汇总统计!$AA$2:$AA$500,0)),"")</f>
        <v/>
      </c>
      <c r="S439" s="8" t="str">
        <f>IFERROR(INDEX(样本到样信息汇总统计!S$2:S$500,MATCH(438,样本到样信息汇总统计!$AA$2:$AA$500,0)),"")</f>
        <v/>
      </c>
      <c r="T439" s="8" t="str">
        <f>IFERROR(INDEX(样本到样信息汇总统计!T$2:T$500,MATCH(438,样本到样信息汇总统计!$AA$2:$AA$500,0)),"")</f>
        <v/>
      </c>
      <c r="U439" s="8" t="str">
        <f>IFERROR(INDEX(样本到样信息汇总统计!U$2:U$500,MATCH(438,样本到样信息汇总统计!$AA$2:$AA$500,0)),"")</f>
        <v/>
      </c>
      <c r="V439" s="8" t="str">
        <f>IFERROR(INDEX(样本到样信息汇总统计!V$2:V$500,MATCH(438,样本到样信息汇总统计!$AA$2:$AA$500,0)),"")</f>
        <v/>
      </c>
      <c r="W439" s="8" t="str">
        <f>IFERROR(INDEX(样本到样信息汇总统计!W$2:W$500,MATCH(438,样本到样信息汇总统计!$AA$2:$AA$500,0)),"")</f>
        <v/>
      </c>
    </row>
    <row r="440" ht="14.5" spans="1:23">
      <c r="A440" s="4" t="str">
        <f>IFERROR(INDEX(样本到样信息汇总统计!A$2:A$500,MATCH(439,样本到样信息汇总统计!$AA$2:$AA$500,0)),"")</f>
        <v/>
      </c>
      <c r="B440" s="4" t="str">
        <f>IFERROR(INDEX(样本到样信息汇总统计!B$2:B$500,MATCH(439,样本到样信息汇总统计!$AA$2:$AA$500,0)),"")</f>
        <v/>
      </c>
      <c r="C440" s="4" t="str">
        <f>IFERROR(INDEX(样本到样信息汇总统计!C$2:C$500,MATCH(439,样本到样信息汇总统计!$AA$2:$AA$500,0)),"")</f>
        <v/>
      </c>
      <c r="D440" s="4" t="str">
        <f>IFERROR(INDEX(样本到样信息汇总统计!D$2:D$500,MATCH(439,样本到样信息汇总统计!$AA$2:$AA$500,0)),"")</f>
        <v/>
      </c>
      <c r="E440" s="4" t="str">
        <f>IFERROR(INDEX(样本到样信息汇总统计!E$2:E$500,MATCH(439,样本到样信息汇总统计!$AA$2:$AA$500,0)),"")</f>
        <v/>
      </c>
      <c r="F440" s="4" t="str">
        <f>IFERROR(INDEX(样本到样信息汇总统计!F$2:F$500,MATCH(439,样本到样信息汇总统计!$AA$2:$AA$500,0)),"")</f>
        <v/>
      </c>
      <c r="G440" s="4" t="str">
        <f>IFERROR(INDEX(样本到样信息汇总统计!G$2:G$500,MATCH(439,样本到样信息汇总统计!$AA$2:$AA$500,0)),"")</f>
        <v/>
      </c>
      <c r="H440" s="4" t="str">
        <f>IFERROR(INDEX(样本到样信息汇总统计!H$2:H$500,MATCH(439,样本到样信息汇总统计!$AA$2:$AA$500,0)),"")</f>
        <v/>
      </c>
      <c r="I440" s="4" t="str">
        <f>IFERROR(INDEX(样本到样信息汇总统计!I$2:I$500,MATCH(439,样本到样信息汇总统计!$AA$2:$AA$500,0)),"")</f>
        <v/>
      </c>
      <c r="J440" s="4" t="str">
        <f>IFERROR(INDEX(样本到样信息汇总统计!J$2:J$500,MATCH(439,样本到样信息汇总统计!$AA$2:$AA$500,0)),"")</f>
        <v/>
      </c>
      <c r="K440" s="4" t="str">
        <f>IFERROR(INDEX(样本到样信息汇总统计!K$2:K$500,MATCH(439,样本到样信息汇总统计!$AA$2:$AA$500,0)),"")</f>
        <v/>
      </c>
      <c r="L440" s="4" t="str">
        <f>IFERROR(INDEX(样本到样信息汇总统计!L$2:L$500,MATCH(439,样本到样信息汇总统计!$AA$2:$AA$500,0)),"")</f>
        <v/>
      </c>
      <c r="M440" s="4" t="str">
        <f>IFERROR(INDEX(样本到样信息汇总统计!M$2:M$500,MATCH(439,样本到样信息汇总统计!$AA$2:$AA$500,0)),"")</f>
        <v/>
      </c>
      <c r="N440" s="4" t="str">
        <f>IFERROR(INDEX(样本到样信息汇总统计!N$2:N$500,MATCH(439,样本到样信息汇总统计!$AA$2:$AA$500,0)),"")</f>
        <v/>
      </c>
      <c r="O440" s="4" t="str">
        <f>IFERROR(INDEX(样本到样信息汇总统计!O$2:O$500,MATCH(439,样本到样信息汇总统计!$AA$2:$AA$500,0)),"")</f>
        <v/>
      </c>
      <c r="P440" s="4" t="str">
        <f>IFERROR(INDEX(样本到样信息汇总统计!P$2:P$500,MATCH(439,样本到样信息汇总统计!$AA$2:$AA$500,0)),"")</f>
        <v/>
      </c>
      <c r="Q440" s="4" t="str">
        <f>IFERROR(INDEX(样本到样信息汇总统计!Q$2:Q$500,MATCH(439,样本到样信息汇总统计!$AA$2:$AA$500,0)),"")</f>
        <v/>
      </c>
      <c r="R440" s="4" t="str">
        <f>IFERROR(INDEX(样本到样信息汇总统计!R$2:R$500,MATCH(439,样本到样信息汇总统计!$AA$2:$AA$500,0)),"")</f>
        <v/>
      </c>
      <c r="S440" s="4" t="str">
        <f>IFERROR(INDEX(样本到样信息汇总统计!S$2:S$500,MATCH(439,样本到样信息汇总统计!$AA$2:$AA$500,0)),"")</f>
        <v/>
      </c>
      <c r="T440" s="4" t="str">
        <f>IFERROR(INDEX(样本到样信息汇总统计!T$2:T$500,MATCH(439,样本到样信息汇总统计!$AA$2:$AA$500,0)),"")</f>
        <v/>
      </c>
      <c r="U440" s="4" t="str">
        <f>IFERROR(INDEX(样本到样信息汇总统计!U$2:U$500,MATCH(439,样本到样信息汇总统计!$AA$2:$AA$500,0)),"")</f>
        <v/>
      </c>
      <c r="V440" s="4" t="str">
        <f>IFERROR(INDEX(样本到样信息汇总统计!V$2:V$500,MATCH(439,样本到样信息汇总统计!$AA$2:$AA$500,0)),"")</f>
        <v/>
      </c>
      <c r="W440" s="4" t="str">
        <f>IFERROR(INDEX(样本到样信息汇总统计!W$2:W$500,MATCH(439,样本到样信息汇总统计!$AA$2:$AA$500,0)),"")</f>
        <v/>
      </c>
    </row>
    <row r="441" ht="14.5" spans="1:23">
      <c r="A441" s="8" t="str">
        <f>IFERROR(INDEX(样本到样信息汇总统计!A$2:A$500,MATCH(440,样本到样信息汇总统计!$AA$2:$AA$500,0)),"")</f>
        <v/>
      </c>
      <c r="B441" s="8" t="str">
        <f>IFERROR(INDEX(样本到样信息汇总统计!B$2:B$500,MATCH(440,样本到样信息汇总统计!$AA$2:$AA$500,0)),"")</f>
        <v/>
      </c>
      <c r="C441" s="8" t="str">
        <f>IFERROR(INDEX(样本到样信息汇总统计!C$2:C$500,MATCH(440,样本到样信息汇总统计!$AA$2:$AA$500,0)),"")</f>
        <v/>
      </c>
      <c r="D441" s="8" t="str">
        <f>IFERROR(INDEX(样本到样信息汇总统计!D$2:D$500,MATCH(440,样本到样信息汇总统计!$AA$2:$AA$500,0)),"")</f>
        <v/>
      </c>
      <c r="E441" s="8" t="str">
        <f>IFERROR(INDEX(样本到样信息汇总统计!E$2:E$500,MATCH(440,样本到样信息汇总统计!$AA$2:$AA$500,0)),"")</f>
        <v/>
      </c>
      <c r="F441" s="8" t="str">
        <f>IFERROR(INDEX(样本到样信息汇总统计!F$2:F$500,MATCH(440,样本到样信息汇总统计!$AA$2:$AA$500,0)),"")</f>
        <v/>
      </c>
      <c r="G441" s="8" t="str">
        <f>IFERROR(INDEX(样本到样信息汇总统计!G$2:G$500,MATCH(440,样本到样信息汇总统计!$AA$2:$AA$500,0)),"")</f>
        <v/>
      </c>
      <c r="H441" s="8" t="str">
        <f>IFERROR(INDEX(样本到样信息汇总统计!H$2:H$500,MATCH(440,样本到样信息汇总统计!$AA$2:$AA$500,0)),"")</f>
        <v/>
      </c>
      <c r="I441" s="8" t="str">
        <f>IFERROR(INDEX(样本到样信息汇总统计!I$2:I$500,MATCH(440,样本到样信息汇总统计!$AA$2:$AA$500,0)),"")</f>
        <v/>
      </c>
      <c r="J441" s="8" t="str">
        <f>IFERROR(INDEX(样本到样信息汇总统计!J$2:J$500,MATCH(440,样本到样信息汇总统计!$AA$2:$AA$500,0)),"")</f>
        <v/>
      </c>
      <c r="K441" s="8" t="str">
        <f>IFERROR(INDEX(样本到样信息汇总统计!K$2:K$500,MATCH(440,样本到样信息汇总统计!$AA$2:$AA$500,0)),"")</f>
        <v/>
      </c>
      <c r="L441" s="8" t="str">
        <f>IFERROR(INDEX(样本到样信息汇总统计!L$2:L$500,MATCH(440,样本到样信息汇总统计!$AA$2:$AA$500,0)),"")</f>
        <v/>
      </c>
      <c r="M441" s="8" t="str">
        <f>IFERROR(INDEX(样本到样信息汇总统计!M$2:M$500,MATCH(440,样本到样信息汇总统计!$AA$2:$AA$500,0)),"")</f>
        <v/>
      </c>
      <c r="N441" s="8" t="str">
        <f>IFERROR(INDEX(样本到样信息汇总统计!N$2:N$500,MATCH(440,样本到样信息汇总统计!$AA$2:$AA$500,0)),"")</f>
        <v/>
      </c>
      <c r="O441" s="8" t="str">
        <f>IFERROR(INDEX(样本到样信息汇总统计!O$2:O$500,MATCH(440,样本到样信息汇总统计!$AA$2:$AA$500,0)),"")</f>
        <v/>
      </c>
      <c r="P441" s="8" t="str">
        <f>IFERROR(INDEX(样本到样信息汇总统计!P$2:P$500,MATCH(440,样本到样信息汇总统计!$AA$2:$AA$500,0)),"")</f>
        <v/>
      </c>
      <c r="Q441" s="8" t="str">
        <f>IFERROR(INDEX(样本到样信息汇总统计!Q$2:Q$500,MATCH(440,样本到样信息汇总统计!$AA$2:$AA$500,0)),"")</f>
        <v/>
      </c>
      <c r="R441" s="8" t="str">
        <f>IFERROR(INDEX(样本到样信息汇总统计!R$2:R$500,MATCH(440,样本到样信息汇总统计!$AA$2:$AA$500,0)),"")</f>
        <v/>
      </c>
      <c r="S441" s="8" t="str">
        <f>IFERROR(INDEX(样本到样信息汇总统计!S$2:S$500,MATCH(440,样本到样信息汇总统计!$AA$2:$AA$500,0)),"")</f>
        <v/>
      </c>
      <c r="T441" s="8" t="str">
        <f>IFERROR(INDEX(样本到样信息汇总统计!T$2:T$500,MATCH(440,样本到样信息汇总统计!$AA$2:$AA$500,0)),"")</f>
        <v/>
      </c>
      <c r="U441" s="8" t="str">
        <f>IFERROR(INDEX(样本到样信息汇总统计!U$2:U$500,MATCH(440,样本到样信息汇总统计!$AA$2:$AA$500,0)),"")</f>
        <v/>
      </c>
      <c r="V441" s="8" t="str">
        <f>IFERROR(INDEX(样本到样信息汇总统计!V$2:V$500,MATCH(440,样本到样信息汇总统计!$AA$2:$AA$500,0)),"")</f>
        <v/>
      </c>
      <c r="W441" s="8" t="str">
        <f>IFERROR(INDEX(样本到样信息汇总统计!W$2:W$500,MATCH(440,样本到样信息汇总统计!$AA$2:$AA$500,0)),"")</f>
        <v/>
      </c>
    </row>
    <row r="442" ht="14.5" spans="1:23">
      <c r="A442" s="4" t="str">
        <f>IFERROR(INDEX(样本到样信息汇总统计!A$2:A$500,MATCH(441,样本到样信息汇总统计!$AA$2:$AA$500,0)),"")</f>
        <v/>
      </c>
      <c r="B442" s="4" t="str">
        <f>IFERROR(INDEX(样本到样信息汇总统计!B$2:B$500,MATCH(441,样本到样信息汇总统计!$AA$2:$AA$500,0)),"")</f>
        <v/>
      </c>
      <c r="C442" s="4" t="str">
        <f>IFERROR(INDEX(样本到样信息汇总统计!C$2:C$500,MATCH(441,样本到样信息汇总统计!$AA$2:$AA$500,0)),"")</f>
        <v/>
      </c>
      <c r="D442" s="4" t="str">
        <f>IFERROR(INDEX(样本到样信息汇总统计!D$2:D$500,MATCH(441,样本到样信息汇总统计!$AA$2:$AA$500,0)),"")</f>
        <v/>
      </c>
      <c r="E442" s="4" t="str">
        <f>IFERROR(INDEX(样本到样信息汇总统计!E$2:E$500,MATCH(441,样本到样信息汇总统计!$AA$2:$AA$500,0)),"")</f>
        <v/>
      </c>
      <c r="F442" s="4" t="str">
        <f>IFERROR(INDEX(样本到样信息汇总统计!F$2:F$500,MATCH(441,样本到样信息汇总统计!$AA$2:$AA$500,0)),"")</f>
        <v/>
      </c>
      <c r="G442" s="4" t="str">
        <f>IFERROR(INDEX(样本到样信息汇总统计!G$2:G$500,MATCH(441,样本到样信息汇总统计!$AA$2:$AA$500,0)),"")</f>
        <v/>
      </c>
      <c r="H442" s="4" t="str">
        <f>IFERROR(INDEX(样本到样信息汇总统计!H$2:H$500,MATCH(441,样本到样信息汇总统计!$AA$2:$AA$500,0)),"")</f>
        <v/>
      </c>
      <c r="I442" s="4" t="str">
        <f>IFERROR(INDEX(样本到样信息汇总统计!I$2:I$500,MATCH(441,样本到样信息汇总统计!$AA$2:$AA$500,0)),"")</f>
        <v/>
      </c>
      <c r="J442" s="4" t="str">
        <f>IFERROR(INDEX(样本到样信息汇总统计!J$2:J$500,MATCH(441,样本到样信息汇总统计!$AA$2:$AA$500,0)),"")</f>
        <v/>
      </c>
      <c r="K442" s="4" t="str">
        <f>IFERROR(INDEX(样本到样信息汇总统计!K$2:K$500,MATCH(441,样本到样信息汇总统计!$AA$2:$AA$500,0)),"")</f>
        <v/>
      </c>
      <c r="L442" s="4" t="str">
        <f>IFERROR(INDEX(样本到样信息汇总统计!L$2:L$500,MATCH(441,样本到样信息汇总统计!$AA$2:$AA$500,0)),"")</f>
        <v/>
      </c>
      <c r="M442" s="4" t="str">
        <f>IFERROR(INDEX(样本到样信息汇总统计!M$2:M$500,MATCH(441,样本到样信息汇总统计!$AA$2:$AA$500,0)),"")</f>
        <v/>
      </c>
      <c r="N442" s="4" t="str">
        <f>IFERROR(INDEX(样本到样信息汇总统计!N$2:N$500,MATCH(441,样本到样信息汇总统计!$AA$2:$AA$500,0)),"")</f>
        <v/>
      </c>
      <c r="O442" s="4" t="str">
        <f>IFERROR(INDEX(样本到样信息汇总统计!O$2:O$500,MATCH(441,样本到样信息汇总统计!$AA$2:$AA$500,0)),"")</f>
        <v/>
      </c>
      <c r="P442" s="4" t="str">
        <f>IFERROR(INDEX(样本到样信息汇总统计!P$2:P$500,MATCH(441,样本到样信息汇总统计!$AA$2:$AA$500,0)),"")</f>
        <v/>
      </c>
      <c r="Q442" s="4" t="str">
        <f>IFERROR(INDEX(样本到样信息汇总统计!Q$2:Q$500,MATCH(441,样本到样信息汇总统计!$AA$2:$AA$500,0)),"")</f>
        <v/>
      </c>
      <c r="R442" s="4" t="str">
        <f>IFERROR(INDEX(样本到样信息汇总统计!R$2:R$500,MATCH(441,样本到样信息汇总统计!$AA$2:$AA$500,0)),"")</f>
        <v/>
      </c>
      <c r="S442" s="4" t="str">
        <f>IFERROR(INDEX(样本到样信息汇总统计!S$2:S$500,MATCH(441,样本到样信息汇总统计!$AA$2:$AA$500,0)),"")</f>
        <v/>
      </c>
      <c r="T442" s="4" t="str">
        <f>IFERROR(INDEX(样本到样信息汇总统计!T$2:T$500,MATCH(441,样本到样信息汇总统计!$AA$2:$AA$500,0)),"")</f>
        <v/>
      </c>
      <c r="U442" s="4" t="str">
        <f>IFERROR(INDEX(样本到样信息汇总统计!U$2:U$500,MATCH(441,样本到样信息汇总统计!$AA$2:$AA$500,0)),"")</f>
        <v/>
      </c>
      <c r="V442" s="4" t="str">
        <f>IFERROR(INDEX(样本到样信息汇总统计!V$2:V$500,MATCH(441,样本到样信息汇总统计!$AA$2:$AA$500,0)),"")</f>
        <v/>
      </c>
      <c r="W442" s="4" t="str">
        <f>IFERROR(INDEX(样本到样信息汇总统计!W$2:W$500,MATCH(441,样本到样信息汇总统计!$AA$2:$AA$500,0)),"")</f>
        <v/>
      </c>
    </row>
    <row r="443" ht="14.5" spans="1:23">
      <c r="A443" s="8" t="str">
        <f>IFERROR(INDEX(样本到样信息汇总统计!A$2:A$500,MATCH(442,样本到样信息汇总统计!$AA$2:$AA$500,0)),"")</f>
        <v/>
      </c>
      <c r="B443" s="8" t="str">
        <f>IFERROR(INDEX(样本到样信息汇总统计!B$2:B$500,MATCH(442,样本到样信息汇总统计!$AA$2:$AA$500,0)),"")</f>
        <v/>
      </c>
      <c r="C443" s="8" t="str">
        <f>IFERROR(INDEX(样本到样信息汇总统计!C$2:C$500,MATCH(442,样本到样信息汇总统计!$AA$2:$AA$500,0)),"")</f>
        <v/>
      </c>
      <c r="D443" s="8" t="str">
        <f>IFERROR(INDEX(样本到样信息汇总统计!D$2:D$500,MATCH(442,样本到样信息汇总统计!$AA$2:$AA$500,0)),"")</f>
        <v/>
      </c>
      <c r="E443" s="8" t="str">
        <f>IFERROR(INDEX(样本到样信息汇总统计!E$2:E$500,MATCH(442,样本到样信息汇总统计!$AA$2:$AA$500,0)),"")</f>
        <v/>
      </c>
      <c r="F443" s="8" t="str">
        <f>IFERROR(INDEX(样本到样信息汇总统计!F$2:F$500,MATCH(442,样本到样信息汇总统计!$AA$2:$AA$500,0)),"")</f>
        <v/>
      </c>
      <c r="G443" s="8" t="str">
        <f>IFERROR(INDEX(样本到样信息汇总统计!G$2:G$500,MATCH(442,样本到样信息汇总统计!$AA$2:$AA$500,0)),"")</f>
        <v/>
      </c>
      <c r="H443" s="8" t="str">
        <f>IFERROR(INDEX(样本到样信息汇总统计!H$2:H$500,MATCH(442,样本到样信息汇总统计!$AA$2:$AA$500,0)),"")</f>
        <v/>
      </c>
      <c r="I443" s="8" t="str">
        <f>IFERROR(INDEX(样本到样信息汇总统计!I$2:I$500,MATCH(442,样本到样信息汇总统计!$AA$2:$AA$500,0)),"")</f>
        <v/>
      </c>
      <c r="J443" s="8" t="str">
        <f>IFERROR(INDEX(样本到样信息汇总统计!J$2:J$500,MATCH(442,样本到样信息汇总统计!$AA$2:$AA$500,0)),"")</f>
        <v/>
      </c>
      <c r="K443" s="8" t="str">
        <f>IFERROR(INDEX(样本到样信息汇总统计!K$2:K$500,MATCH(442,样本到样信息汇总统计!$AA$2:$AA$500,0)),"")</f>
        <v/>
      </c>
      <c r="L443" s="8" t="str">
        <f>IFERROR(INDEX(样本到样信息汇总统计!L$2:L$500,MATCH(442,样本到样信息汇总统计!$AA$2:$AA$500,0)),"")</f>
        <v/>
      </c>
      <c r="M443" s="8" t="str">
        <f>IFERROR(INDEX(样本到样信息汇总统计!M$2:M$500,MATCH(442,样本到样信息汇总统计!$AA$2:$AA$500,0)),"")</f>
        <v/>
      </c>
      <c r="N443" s="8" t="str">
        <f>IFERROR(INDEX(样本到样信息汇总统计!N$2:N$500,MATCH(442,样本到样信息汇总统计!$AA$2:$AA$500,0)),"")</f>
        <v/>
      </c>
      <c r="O443" s="8" t="str">
        <f>IFERROR(INDEX(样本到样信息汇总统计!O$2:O$500,MATCH(442,样本到样信息汇总统计!$AA$2:$AA$500,0)),"")</f>
        <v/>
      </c>
      <c r="P443" s="8" t="str">
        <f>IFERROR(INDEX(样本到样信息汇总统计!P$2:P$500,MATCH(442,样本到样信息汇总统计!$AA$2:$AA$500,0)),"")</f>
        <v/>
      </c>
      <c r="Q443" s="8" t="str">
        <f>IFERROR(INDEX(样本到样信息汇总统计!Q$2:Q$500,MATCH(442,样本到样信息汇总统计!$AA$2:$AA$500,0)),"")</f>
        <v/>
      </c>
      <c r="R443" s="8" t="str">
        <f>IFERROR(INDEX(样本到样信息汇总统计!R$2:R$500,MATCH(442,样本到样信息汇总统计!$AA$2:$AA$500,0)),"")</f>
        <v/>
      </c>
      <c r="S443" s="8" t="str">
        <f>IFERROR(INDEX(样本到样信息汇总统计!S$2:S$500,MATCH(442,样本到样信息汇总统计!$AA$2:$AA$500,0)),"")</f>
        <v/>
      </c>
      <c r="T443" s="8" t="str">
        <f>IFERROR(INDEX(样本到样信息汇总统计!T$2:T$500,MATCH(442,样本到样信息汇总统计!$AA$2:$AA$500,0)),"")</f>
        <v/>
      </c>
      <c r="U443" s="8" t="str">
        <f>IFERROR(INDEX(样本到样信息汇总统计!U$2:U$500,MATCH(442,样本到样信息汇总统计!$AA$2:$AA$500,0)),"")</f>
        <v/>
      </c>
      <c r="V443" s="8" t="str">
        <f>IFERROR(INDEX(样本到样信息汇总统计!V$2:V$500,MATCH(442,样本到样信息汇总统计!$AA$2:$AA$500,0)),"")</f>
        <v/>
      </c>
      <c r="W443" s="8" t="str">
        <f>IFERROR(INDEX(样本到样信息汇总统计!W$2:W$500,MATCH(442,样本到样信息汇总统计!$AA$2:$AA$500,0)),"")</f>
        <v/>
      </c>
    </row>
    <row r="444" ht="14.5" spans="1:23">
      <c r="A444" s="4" t="str">
        <f>IFERROR(INDEX(样本到样信息汇总统计!A$2:A$500,MATCH(443,样本到样信息汇总统计!$AA$2:$AA$500,0)),"")</f>
        <v/>
      </c>
      <c r="B444" s="4" t="str">
        <f>IFERROR(INDEX(样本到样信息汇总统计!B$2:B$500,MATCH(443,样本到样信息汇总统计!$AA$2:$AA$500,0)),"")</f>
        <v/>
      </c>
      <c r="C444" s="4" t="str">
        <f>IFERROR(INDEX(样本到样信息汇总统计!C$2:C$500,MATCH(443,样本到样信息汇总统计!$AA$2:$AA$500,0)),"")</f>
        <v/>
      </c>
      <c r="D444" s="4" t="str">
        <f>IFERROR(INDEX(样本到样信息汇总统计!D$2:D$500,MATCH(443,样本到样信息汇总统计!$AA$2:$AA$500,0)),"")</f>
        <v/>
      </c>
      <c r="E444" s="4" t="str">
        <f>IFERROR(INDEX(样本到样信息汇总统计!E$2:E$500,MATCH(443,样本到样信息汇总统计!$AA$2:$AA$500,0)),"")</f>
        <v/>
      </c>
      <c r="F444" s="4" t="str">
        <f>IFERROR(INDEX(样本到样信息汇总统计!F$2:F$500,MATCH(443,样本到样信息汇总统计!$AA$2:$AA$500,0)),"")</f>
        <v/>
      </c>
      <c r="G444" s="4" t="str">
        <f>IFERROR(INDEX(样本到样信息汇总统计!G$2:G$500,MATCH(443,样本到样信息汇总统计!$AA$2:$AA$500,0)),"")</f>
        <v/>
      </c>
      <c r="H444" s="4" t="str">
        <f>IFERROR(INDEX(样本到样信息汇总统计!H$2:H$500,MATCH(443,样本到样信息汇总统计!$AA$2:$AA$500,0)),"")</f>
        <v/>
      </c>
      <c r="I444" s="4" t="str">
        <f>IFERROR(INDEX(样本到样信息汇总统计!I$2:I$500,MATCH(443,样本到样信息汇总统计!$AA$2:$AA$500,0)),"")</f>
        <v/>
      </c>
      <c r="J444" s="4" t="str">
        <f>IFERROR(INDEX(样本到样信息汇总统计!J$2:J$500,MATCH(443,样本到样信息汇总统计!$AA$2:$AA$500,0)),"")</f>
        <v/>
      </c>
      <c r="K444" s="4" t="str">
        <f>IFERROR(INDEX(样本到样信息汇总统计!K$2:K$500,MATCH(443,样本到样信息汇总统计!$AA$2:$AA$500,0)),"")</f>
        <v/>
      </c>
      <c r="L444" s="4" t="str">
        <f>IFERROR(INDEX(样本到样信息汇总统计!L$2:L$500,MATCH(443,样本到样信息汇总统计!$AA$2:$AA$500,0)),"")</f>
        <v/>
      </c>
      <c r="M444" s="4" t="str">
        <f>IFERROR(INDEX(样本到样信息汇总统计!M$2:M$500,MATCH(443,样本到样信息汇总统计!$AA$2:$AA$500,0)),"")</f>
        <v/>
      </c>
      <c r="N444" s="4" t="str">
        <f>IFERROR(INDEX(样本到样信息汇总统计!N$2:N$500,MATCH(443,样本到样信息汇总统计!$AA$2:$AA$500,0)),"")</f>
        <v/>
      </c>
      <c r="O444" s="4" t="str">
        <f>IFERROR(INDEX(样本到样信息汇总统计!O$2:O$500,MATCH(443,样本到样信息汇总统计!$AA$2:$AA$500,0)),"")</f>
        <v/>
      </c>
      <c r="P444" s="4" t="str">
        <f>IFERROR(INDEX(样本到样信息汇总统计!P$2:P$500,MATCH(443,样本到样信息汇总统计!$AA$2:$AA$500,0)),"")</f>
        <v/>
      </c>
      <c r="Q444" s="4" t="str">
        <f>IFERROR(INDEX(样本到样信息汇总统计!Q$2:Q$500,MATCH(443,样本到样信息汇总统计!$AA$2:$AA$500,0)),"")</f>
        <v/>
      </c>
      <c r="R444" s="4" t="str">
        <f>IFERROR(INDEX(样本到样信息汇总统计!R$2:R$500,MATCH(443,样本到样信息汇总统计!$AA$2:$AA$500,0)),"")</f>
        <v/>
      </c>
      <c r="S444" s="4" t="str">
        <f>IFERROR(INDEX(样本到样信息汇总统计!S$2:S$500,MATCH(443,样本到样信息汇总统计!$AA$2:$AA$500,0)),"")</f>
        <v/>
      </c>
      <c r="T444" s="4" t="str">
        <f>IFERROR(INDEX(样本到样信息汇总统计!T$2:T$500,MATCH(443,样本到样信息汇总统计!$AA$2:$AA$500,0)),"")</f>
        <v/>
      </c>
      <c r="U444" s="4" t="str">
        <f>IFERROR(INDEX(样本到样信息汇总统计!U$2:U$500,MATCH(443,样本到样信息汇总统计!$AA$2:$AA$500,0)),"")</f>
        <v/>
      </c>
      <c r="V444" s="4" t="str">
        <f>IFERROR(INDEX(样本到样信息汇总统计!V$2:V$500,MATCH(443,样本到样信息汇总统计!$AA$2:$AA$500,0)),"")</f>
        <v/>
      </c>
      <c r="W444" s="4" t="str">
        <f>IFERROR(INDEX(样本到样信息汇总统计!W$2:W$500,MATCH(443,样本到样信息汇总统计!$AA$2:$AA$500,0)),"")</f>
        <v/>
      </c>
    </row>
    <row r="445" ht="14.5" spans="1:23">
      <c r="A445" s="8" t="str">
        <f>IFERROR(INDEX(样本到样信息汇总统计!A$2:A$500,MATCH(444,样本到样信息汇总统计!$AA$2:$AA$500,0)),"")</f>
        <v/>
      </c>
      <c r="B445" s="8" t="str">
        <f>IFERROR(INDEX(样本到样信息汇总统计!B$2:B$500,MATCH(444,样本到样信息汇总统计!$AA$2:$AA$500,0)),"")</f>
        <v/>
      </c>
      <c r="C445" s="8" t="str">
        <f>IFERROR(INDEX(样本到样信息汇总统计!C$2:C$500,MATCH(444,样本到样信息汇总统计!$AA$2:$AA$500,0)),"")</f>
        <v/>
      </c>
      <c r="D445" s="8" t="str">
        <f>IFERROR(INDEX(样本到样信息汇总统计!D$2:D$500,MATCH(444,样本到样信息汇总统计!$AA$2:$AA$500,0)),"")</f>
        <v/>
      </c>
      <c r="E445" s="8" t="str">
        <f>IFERROR(INDEX(样本到样信息汇总统计!E$2:E$500,MATCH(444,样本到样信息汇总统计!$AA$2:$AA$500,0)),"")</f>
        <v/>
      </c>
      <c r="F445" s="8" t="str">
        <f>IFERROR(INDEX(样本到样信息汇总统计!F$2:F$500,MATCH(444,样本到样信息汇总统计!$AA$2:$AA$500,0)),"")</f>
        <v/>
      </c>
      <c r="G445" s="8" t="str">
        <f>IFERROR(INDEX(样本到样信息汇总统计!G$2:G$500,MATCH(444,样本到样信息汇总统计!$AA$2:$AA$500,0)),"")</f>
        <v/>
      </c>
      <c r="H445" s="8" t="str">
        <f>IFERROR(INDEX(样本到样信息汇总统计!H$2:H$500,MATCH(444,样本到样信息汇总统计!$AA$2:$AA$500,0)),"")</f>
        <v/>
      </c>
      <c r="I445" s="8" t="str">
        <f>IFERROR(INDEX(样本到样信息汇总统计!I$2:I$500,MATCH(444,样本到样信息汇总统计!$AA$2:$AA$500,0)),"")</f>
        <v/>
      </c>
      <c r="J445" s="8" t="str">
        <f>IFERROR(INDEX(样本到样信息汇总统计!J$2:J$500,MATCH(444,样本到样信息汇总统计!$AA$2:$AA$500,0)),"")</f>
        <v/>
      </c>
      <c r="K445" s="8" t="str">
        <f>IFERROR(INDEX(样本到样信息汇总统计!K$2:K$500,MATCH(444,样本到样信息汇总统计!$AA$2:$AA$500,0)),"")</f>
        <v/>
      </c>
      <c r="L445" s="8" t="str">
        <f>IFERROR(INDEX(样本到样信息汇总统计!L$2:L$500,MATCH(444,样本到样信息汇总统计!$AA$2:$AA$500,0)),"")</f>
        <v/>
      </c>
      <c r="M445" s="8" t="str">
        <f>IFERROR(INDEX(样本到样信息汇总统计!M$2:M$500,MATCH(444,样本到样信息汇总统计!$AA$2:$AA$500,0)),"")</f>
        <v/>
      </c>
      <c r="N445" s="8" t="str">
        <f>IFERROR(INDEX(样本到样信息汇总统计!N$2:N$500,MATCH(444,样本到样信息汇总统计!$AA$2:$AA$500,0)),"")</f>
        <v/>
      </c>
      <c r="O445" s="8" t="str">
        <f>IFERROR(INDEX(样本到样信息汇总统计!O$2:O$500,MATCH(444,样本到样信息汇总统计!$AA$2:$AA$500,0)),"")</f>
        <v/>
      </c>
      <c r="P445" s="8" t="str">
        <f>IFERROR(INDEX(样本到样信息汇总统计!P$2:P$500,MATCH(444,样本到样信息汇总统计!$AA$2:$AA$500,0)),"")</f>
        <v/>
      </c>
      <c r="Q445" s="8" t="str">
        <f>IFERROR(INDEX(样本到样信息汇总统计!Q$2:Q$500,MATCH(444,样本到样信息汇总统计!$AA$2:$AA$500,0)),"")</f>
        <v/>
      </c>
      <c r="R445" s="8" t="str">
        <f>IFERROR(INDEX(样本到样信息汇总统计!R$2:R$500,MATCH(444,样本到样信息汇总统计!$AA$2:$AA$500,0)),"")</f>
        <v/>
      </c>
      <c r="S445" s="8" t="str">
        <f>IFERROR(INDEX(样本到样信息汇总统计!S$2:S$500,MATCH(444,样本到样信息汇总统计!$AA$2:$AA$500,0)),"")</f>
        <v/>
      </c>
      <c r="T445" s="8" t="str">
        <f>IFERROR(INDEX(样本到样信息汇总统计!T$2:T$500,MATCH(444,样本到样信息汇总统计!$AA$2:$AA$500,0)),"")</f>
        <v/>
      </c>
      <c r="U445" s="8" t="str">
        <f>IFERROR(INDEX(样本到样信息汇总统计!U$2:U$500,MATCH(444,样本到样信息汇总统计!$AA$2:$AA$500,0)),"")</f>
        <v/>
      </c>
      <c r="V445" s="8" t="str">
        <f>IFERROR(INDEX(样本到样信息汇总统计!V$2:V$500,MATCH(444,样本到样信息汇总统计!$AA$2:$AA$500,0)),"")</f>
        <v/>
      </c>
      <c r="W445" s="8" t="str">
        <f>IFERROR(INDEX(样本到样信息汇总统计!W$2:W$500,MATCH(444,样本到样信息汇总统计!$AA$2:$AA$500,0)),"")</f>
        <v/>
      </c>
    </row>
    <row r="446" ht="14.5" spans="1:23">
      <c r="A446" s="4" t="str">
        <f>IFERROR(INDEX(样本到样信息汇总统计!A$2:A$500,MATCH(445,样本到样信息汇总统计!$AA$2:$AA$500,0)),"")</f>
        <v/>
      </c>
      <c r="B446" s="4" t="str">
        <f>IFERROR(INDEX(样本到样信息汇总统计!B$2:B$500,MATCH(445,样本到样信息汇总统计!$AA$2:$AA$500,0)),"")</f>
        <v/>
      </c>
      <c r="C446" s="4" t="str">
        <f>IFERROR(INDEX(样本到样信息汇总统计!C$2:C$500,MATCH(445,样本到样信息汇总统计!$AA$2:$AA$500,0)),"")</f>
        <v/>
      </c>
      <c r="D446" s="4" t="str">
        <f>IFERROR(INDEX(样本到样信息汇总统计!D$2:D$500,MATCH(445,样本到样信息汇总统计!$AA$2:$AA$500,0)),"")</f>
        <v/>
      </c>
      <c r="E446" s="4" t="str">
        <f>IFERROR(INDEX(样本到样信息汇总统计!E$2:E$500,MATCH(445,样本到样信息汇总统计!$AA$2:$AA$500,0)),"")</f>
        <v/>
      </c>
      <c r="F446" s="4" t="str">
        <f>IFERROR(INDEX(样本到样信息汇总统计!F$2:F$500,MATCH(445,样本到样信息汇总统计!$AA$2:$AA$500,0)),"")</f>
        <v/>
      </c>
      <c r="G446" s="4" t="str">
        <f>IFERROR(INDEX(样本到样信息汇总统计!G$2:G$500,MATCH(445,样本到样信息汇总统计!$AA$2:$AA$500,0)),"")</f>
        <v/>
      </c>
      <c r="H446" s="4" t="str">
        <f>IFERROR(INDEX(样本到样信息汇总统计!H$2:H$500,MATCH(445,样本到样信息汇总统计!$AA$2:$AA$500,0)),"")</f>
        <v/>
      </c>
      <c r="I446" s="4" t="str">
        <f>IFERROR(INDEX(样本到样信息汇总统计!I$2:I$500,MATCH(445,样本到样信息汇总统计!$AA$2:$AA$500,0)),"")</f>
        <v/>
      </c>
      <c r="J446" s="4" t="str">
        <f>IFERROR(INDEX(样本到样信息汇总统计!J$2:J$500,MATCH(445,样本到样信息汇总统计!$AA$2:$AA$500,0)),"")</f>
        <v/>
      </c>
      <c r="K446" s="4" t="str">
        <f>IFERROR(INDEX(样本到样信息汇总统计!K$2:K$500,MATCH(445,样本到样信息汇总统计!$AA$2:$AA$500,0)),"")</f>
        <v/>
      </c>
      <c r="L446" s="4" t="str">
        <f>IFERROR(INDEX(样本到样信息汇总统计!L$2:L$500,MATCH(445,样本到样信息汇总统计!$AA$2:$AA$500,0)),"")</f>
        <v/>
      </c>
      <c r="M446" s="4" t="str">
        <f>IFERROR(INDEX(样本到样信息汇总统计!M$2:M$500,MATCH(445,样本到样信息汇总统计!$AA$2:$AA$500,0)),"")</f>
        <v/>
      </c>
      <c r="N446" s="4" t="str">
        <f>IFERROR(INDEX(样本到样信息汇总统计!N$2:N$500,MATCH(445,样本到样信息汇总统计!$AA$2:$AA$500,0)),"")</f>
        <v/>
      </c>
      <c r="O446" s="4" t="str">
        <f>IFERROR(INDEX(样本到样信息汇总统计!O$2:O$500,MATCH(445,样本到样信息汇总统计!$AA$2:$AA$500,0)),"")</f>
        <v/>
      </c>
      <c r="P446" s="4" t="str">
        <f>IFERROR(INDEX(样本到样信息汇总统计!P$2:P$500,MATCH(445,样本到样信息汇总统计!$AA$2:$AA$500,0)),"")</f>
        <v/>
      </c>
      <c r="Q446" s="4" t="str">
        <f>IFERROR(INDEX(样本到样信息汇总统计!Q$2:Q$500,MATCH(445,样本到样信息汇总统计!$AA$2:$AA$500,0)),"")</f>
        <v/>
      </c>
      <c r="R446" s="4" t="str">
        <f>IFERROR(INDEX(样本到样信息汇总统计!R$2:R$500,MATCH(445,样本到样信息汇总统计!$AA$2:$AA$500,0)),"")</f>
        <v/>
      </c>
      <c r="S446" s="4" t="str">
        <f>IFERROR(INDEX(样本到样信息汇总统计!S$2:S$500,MATCH(445,样本到样信息汇总统计!$AA$2:$AA$500,0)),"")</f>
        <v/>
      </c>
      <c r="T446" s="4" t="str">
        <f>IFERROR(INDEX(样本到样信息汇总统计!T$2:T$500,MATCH(445,样本到样信息汇总统计!$AA$2:$AA$500,0)),"")</f>
        <v/>
      </c>
      <c r="U446" s="4" t="str">
        <f>IFERROR(INDEX(样本到样信息汇总统计!U$2:U$500,MATCH(445,样本到样信息汇总统计!$AA$2:$AA$500,0)),"")</f>
        <v/>
      </c>
      <c r="V446" s="4" t="str">
        <f>IFERROR(INDEX(样本到样信息汇总统计!V$2:V$500,MATCH(445,样本到样信息汇总统计!$AA$2:$AA$500,0)),"")</f>
        <v/>
      </c>
      <c r="W446" s="4" t="str">
        <f>IFERROR(INDEX(样本到样信息汇总统计!W$2:W$500,MATCH(445,样本到样信息汇总统计!$AA$2:$AA$500,0)),"")</f>
        <v/>
      </c>
    </row>
    <row r="447" ht="14.5" spans="1:23">
      <c r="A447" s="8" t="str">
        <f>IFERROR(INDEX(样本到样信息汇总统计!A$2:A$500,MATCH(446,样本到样信息汇总统计!$AA$2:$AA$500,0)),"")</f>
        <v/>
      </c>
      <c r="B447" s="8" t="str">
        <f>IFERROR(INDEX(样本到样信息汇总统计!B$2:B$500,MATCH(446,样本到样信息汇总统计!$AA$2:$AA$500,0)),"")</f>
        <v/>
      </c>
      <c r="C447" s="8" t="str">
        <f>IFERROR(INDEX(样本到样信息汇总统计!C$2:C$500,MATCH(446,样本到样信息汇总统计!$AA$2:$AA$500,0)),"")</f>
        <v/>
      </c>
      <c r="D447" s="8" t="str">
        <f>IFERROR(INDEX(样本到样信息汇总统计!D$2:D$500,MATCH(446,样本到样信息汇总统计!$AA$2:$AA$500,0)),"")</f>
        <v/>
      </c>
      <c r="E447" s="8" t="str">
        <f>IFERROR(INDEX(样本到样信息汇总统计!E$2:E$500,MATCH(446,样本到样信息汇总统计!$AA$2:$AA$500,0)),"")</f>
        <v/>
      </c>
      <c r="F447" s="8" t="str">
        <f>IFERROR(INDEX(样本到样信息汇总统计!F$2:F$500,MATCH(446,样本到样信息汇总统计!$AA$2:$AA$500,0)),"")</f>
        <v/>
      </c>
      <c r="G447" s="8" t="str">
        <f>IFERROR(INDEX(样本到样信息汇总统计!G$2:G$500,MATCH(446,样本到样信息汇总统计!$AA$2:$AA$500,0)),"")</f>
        <v/>
      </c>
      <c r="H447" s="8" t="str">
        <f>IFERROR(INDEX(样本到样信息汇总统计!H$2:H$500,MATCH(446,样本到样信息汇总统计!$AA$2:$AA$500,0)),"")</f>
        <v/>
      </c>
      <c r="I447" s="8" t="str">
        <f>IFERROR(INDEX(样本到样信息汇总统计!I$2:I$500,MATCH(446,样本到样信息汇总统计!$AA$2:$AA$500,0)),"")</f>
        <v/>
      </c>
      <c r="J447" s="8" t="str">
        <f>IFERROR(INDEX(样本到样信息汇总统计!J$2:J$500,MATCH(446,样本到样信息汇总统计!$AA$2:$AA$500,0)),"")</f>
        <v/>
      </c>
      <c r="K447" s="8" t="str">
        <f>IFERROR(INDEX(样本到样信息汇总统计!K$2:K$500,MATCH(446,样本到样信息汇总统计!$AA$2:$AA$500,0)),"")</f>
        <v/>
      </c>
      <c r="L447" s="8" t="str">
        <f>IFERROR(INDEX(样本到样信息汇总统计!L$2:L$500,MATCH(446,样本到样信息汇总统计!$AA$2:$AA$500,0)),"")</f>
        <v/>
      </c>
      <c r="M447" s="8" t="str">
        <f>IFERROR(INDEX(样本到样信息汇总统计!M$2:M$500,MATCH(446,样本到样信息汇总统计!$AA$2:$AA$500,0)),"")</f>
        <v/>
      </c>
      <c r="N447" s="8" t="str">
        <f>IFERROR(INDEX(样本到样信息汇总统计!N$2:N$500,MATCH(446,样本到样信息汇总统计!$AA$2:$AA$500,0)),"")</f>
        <v/>
      </c>
      <c r="O447" s="8" t="str">
        <f>IFERROR(INDEX(样本到样信息汇总统计!O$2:O$500,MATCH(446,样本到样信息汇总统计!$AA$2:$AA$500,0)),"")</f>
        <v/>
      </c>
      <c r="P447" s="8" t="str">
        <f>IFERROR(INDEX(样本到样信息汇总统计!P$2:P$500,MATCH(446,样本到样信息汇总统计!$AA$2:$AA$500,0)),"")</f>
        <v/>
      </c>
      <c r="Q447" s="8" t="str">
        <f>IFERROR(INDEX(样本到样信息汇总统计!Q$2:Q$500,MATCH(446,样本到样信息汇总统计!$AA$2:$AA$500,0)),"")</f>
        <v/>
      </c>
      <c r="R447" s="8" t="str">
        <f>IFERROR(INDEX(样本到样信息汇总统计!R$2:R$500,MATCH(446,样本到样信息汇总统计!$AA$2:$AA$500,0)),"")</f>
        <v/>
      </c>
      <c r="S447" s="8" t="str">
        <f>IFERROR(INDEX(样本到样信息汇总统计!S$2:S$500,MATCH(446,样本到样信息汇总统计!$AA$2:$AA$500,0)),"")</f>
        <v/>
      </c>
      <c r="T447" s="8" t="str">
        <f>IFERROR(INDEX(样本到样信息汇总统计!T$2:T$500,MATCH(446,样本到样信息汇总统计!$AA$2:$AA$500,0)),"")</f>
        <v/>
      </c>
      <c r="U447" s="8" t="str">
        <f>IFERROR(INDEX(样本到样信息汇总统计!U$2:U$500,MATCH(446,样本到样信息汇总统计!$AA$2:$AA$500,0)),"")</f>
        <v/>
      </c>
      <c r="V447" s="8" t="str">
        <f>IFERROR(INDEX(样本到样信息汇总统计!V$2:V$500,MATCH(446,样本到样信息汇总统计!$AA$2:$AA$500,0)),"")</f>
        <v/>
      </c>
      <c r="W447" s="8" t="str">
        <f>IFERROR(INDEX(样本到样信息汇总统计!W$2:W$500,MATCH(446,样本到样信息汇总统计!$AA$2:$AA$500,0)),"")</f>
        <v/>
      </c>
    </row>
    <row r="448" ht="14.5" spans="1:23">
      <c r="A448" s="4" t="str">
        <f>IFERROR(INDEX(样本到样信息汇总统计!A$2:A$500,MATCH(447,样本到样信息汇总统计!$AA$2:$AA$500,0)),"")</f>
        <v/>
      </c>
      <c r="B448" s="4" t="str">
        <f>IFERROR(INDEX(样本到样信息汇总统计!B$2:B$500,MATCH(447,样本到样信息汇总统计!$AA$2:$AA$500,0)),"")</f>
        <v/>
      </c>
      <c r="C448" s="4" t="str">
        <f>IFERROR(INDEX(样本到样信息汇总统计!C$2:C$500,MATCH(447,样本到样信息汇总统计!$AA$2:$AA$500,0)),"")</f>
        <v/>
      </c>
      <c r="D448" s="4" t="str">
        <f>IFERROR(INDEX(样本到样信息汇总统计!D$2:D$500,MATCH(447,样本到样信息汇总统计!$AA$2:$AA$500,0)),"")</f>
        <v/>
      </c>
      <c r="E448" s="4" t="str">
        <f>IFERROR(INDEX(样本到样信息汇总统计!E$2:E$500,MATCH(447,样本到样信息汇总统计!$AA$2:$AA$500,0)),"")</f>
        <v/>
      </c>
      <c r="F448" s="4" t="str">
        <f>IFERROR(INDEX(样本到样信息汇总统计!F$2:F$500,MATCH(447,样本到样信息汇总统计!$AA$2:$AA$500,0)),"")</f>
        <v/>
      </c>
      <c r="G448" s="4" t="str">
        <f>IFERROR(INDEX(样本到样信息汇总统计!G$2:G$500,MATCH(447,样本到样信息汇总统计!$AA$2:$AA$500,0)),"")</f>
        <v/>
      </c>
      <c r="H448" s="4" t="str">
        <f>IFERROR(INDEX(样本到样信息汇总统计!H$2:H$500,MATCH(447,样本到样信息汇总统计!$AA$2:$AA$500,0)),"")</f>
        <v/>
      </c>
      <c r="I448" s="4" t="str">
        <f>IFERROR(INDEX(样本到样信息汇总统计!I$2:I$500,MATCH(447,样本到样信息汇总统计!$AA$2:$AA$500,0)),"")</f>
        <v/>
      </c>
      <c r="J448" s="4" t="str">
        <f>IFERROR(INDEX(样本到样信息汇总统计!J$2:J$500,MATCH(447,样本到样信息汇总统计!$AA$2:$AA$500,0)),"")</f>
        <v/>
      </c>
      <c r="K448" s="4" t="str">
        <f>IFERROR(INDEX(样本到样信息汇总统计!K$2:K$500,MATCH(447,样本到样信息汇总统计!$AA$2:$AA$500,0)),"")</f>
        <v/>
      </c>
      <c r="L448" s="4" t="str">
        <f>IFERROR(INDEX(样本到样信息汇总统计!L$2:L$500,MATCH(447,样本到样信息汇总统计!$AA$2:$AA$500,0)),"")</f>
        <v/>
      </c>
      <c r="M448" s="4" t="str">
        <f>IFERROR(INDEX(样本到样信息汇总统计!M$2:M$500,MATCH(447,样本到样信息汇总统计!$AA$2:$AA$500,0)),"")</f>
        <v/>
      </c>
      <c r="N448" s="4" t="str">
        <f>IFERROR(INDEX(样本到样信息汇总统计!N$2:N$500,MATCH(447,样本到样信息汇总统计!$AA$2:$AA$500,0)),"")</f>
        <v/>
      </c>
      <c r="O448" s="4" t="str">
        <f>IFERROR(INDEX(样本到样信息汇总统计!O$2:O$500,MATCH(447,样本到样信息汇总统计!$AA$2:$AA$500,0)),"")</f>
        <v/>
      </c>
      <c r="P448" s="4" t="str">
        <f>IFERROR(INDEX(样本到样信息汇总统计!P$2:P$500,MATCH(447,样本到样信息汇总统计!$AA$2:$AA$500,0)),"")</f>
        <v/>
      </c>
      <c r="Q448" s="4" t="str">
        <f>IFERROR(INDEX(样本到样信息汇总统计!Q$2:Q$500,MATCH(447,样本到样信息汇总统计!$AA$2:$AA$500,0)),"")</f>
        <v/>
      </c>
      <c r="R448" s="4" t="str">
        <f>IFERROR(INDEX(样本到样信息汇总统计!R$2:R$500,MATCH(447,样本到样信息汇总统计!$AA$2:$AA$500,0)),"")</f>
        <v/>
      </c>
      <c r="S448" s="4" t="str">
        <f>IFERROR(INDEX(样本到样信息汇总统计!S$2:S$500,MATCH(447,样本到样信息汇总统计!$AA$2:$AA$500,0)),"")</f>
        <v/>
      </c>
      <c r="T448" s="4" t="str">
        <f>IFERROR(INDEX(样本到样信息汇总统计!T$2:T$500,MATCH(447,样本到样信息汇总统计!$AA$2:$AA$500,0)),"")</f>
        <v/>
      </c>
      <c r="U448" s="4" t="str">
        <f>IFERROR(INDEX(样本到样信息汇总统计!U$2:U$500,MATCH(447,样本到样信息汇总统计!$AA$2:$AA$500,0)),"")</f>
        <v/>
      </c>
      <c r="V448" s="4" t="str">
        <f>IFERROR(INDEX(样本到样信息汇总统计!V$2:V$500,MATCH(447,样本到样信息汇总统计!$AA$2:$AA$500,0)),"")</f>
        <v/>
      </c>
      <c r="W448" s="4" t="str">
        <f>IFERROR(INDEX(样本到样信息汇总统计!W$2:W$500,MATCH(447,样本到样信息汇总统计!$AA$2:$AA$500,0)),"")</f>
        <v/>
      </c>
    </row>
    <row r="449" ht="14.5" spans="1:23">
      <c r="A449" s="8" t="str">
        <f>IFERROR(INDEX(样本到样信息汇总统计!A$2:A$500,MATCH(448,样本到样信息汇总统计!$AA$2:$AA$500,0)),"")</f>
        <v/>
      </c>
      <c r="B449" s="8" t="str">
        <f>IFERROR(INDEX(样本到样信息汇总统计!B$2:B$500,MATCH(448,样本到样信息汇总统计!$AA$2:$AA$500,0)),"")</f>
        <v/>
      </c>
      <c r="C449" s="8" t="str">
        <f>IFERROR(INDEX(样本到样信息汇总统计!C$2:C$500,MATCH(448,样本到样信息汇总统计!$AA$2:$AA$500,0)),"")</f>
        <v/>
      </c>
      <c r="D449" s="8" t="str">
        <f>IFERROR(INDEX(样本到样信息汇总统计!D$2:D$500,MATCH(448,样本到样信息汇总统计!$AA$2:$AA$500,0)),"")</f>
        <v/>
      </c>
      <c r="E449" s="8" t="str">
        <f>IFERROR(INDEX(样本到样信息汇总统计!E$2:E$500,MATCH(448,样本到样信息汇总统计!$AA$2:$AA$500,0)),"")</f>
        <v/>
      </c>
      <c r="F449" s="8" t="str">
        <f>IFERROR(INDEX(样本到样信息汇总统计!F$2:F$500,MATCH(448,样本到样信息汇总统计!$AA$2:$AA$500,0)),"")</f>
        <v/>
      </c>
      <c r="G449" s="8" t="str">
        <f>IFERROR(INDEX(样本到样信息汇总统计!G$2:G$500,MATCH(448,样本到样信息汇总统计!$AA$2:$AA$500,0)),"")</f>
        <v/>
      </c>
      <c r="H449" s="8" t="str">
        <f>IFERROR(INDEX(样本到样信息汇总统计!H$2:H$500,MATCH(448,样本到样信息汇总统计!$AA$2:$AA$500,0)),"")</f>
        <v/>
      </c>
      <c r="I449" s="8" t="str">
        <f>IFERROR(INDEX(样本到样信息汇总统计!I$2:I$500,MATCH(448,样本到样信息汇总统计!$AA$2:$AA$500,0)),"")</f>
        <v/>
      </c>
      <c r="J449" s="8" t="str">
        <f>IFERROR(INDEX(样本到样信息汇总统计!J$2:J$500,MATCH(448,样本到样信息汇总统计!$AA$2:$AA$500,0)),"")</f>
        <v/>
      </c>
      <c r="K449" s="8" t="str">
        <f>IFERROR(INDEX(样本到样信息汇总统计!K$2:K$500,MATCH(448,样本到样信息汇总统计!$AA$2:$AA$500,0)),"")</f>
        <v/>
      </c>
      <c r="L449" s="8" t="str">
        <f>IFERROR(INDEX(样本到样信息汇总统计!L$2:L$500,MATCH(448,样本到样信息汇总统计!$AA$2:$AA$500,0)),"")</f>
        <v/>
      </c>
      <c r="M449" s="8" t="str">
        <f>IFERROR(INDEX(样本到样信息汇总统计!M$2:M$500,MATCH(448,样本到样信息汇总统计!$AA$2:$AA$500,0)),"")</f>
        <v/>
      </c>
      <c r="N449" s="8" t="str">
        <f>IFERROR(INDEX(样本到样信息汇总统计!N$2:N$500,MATCH(448,样本到样信息汇总统计!$AA$2:$AA$500,0)),"")</f>
        <v/>
      </c>
      <c r="O449" s="8" t="str">
        <f>IFERROR(INDEX(样本到样信息汇总统计!O$2:O$500,MATCH(448,样本到样信息汇总统计!$AA$2:$AA$500,0)),"")</f>
        <v/>
      </c>
      <c r="P449" s="8" t="str">
        <f>IFERROR(INDEX(样本到样信息汇总统计!P$2:P$500,MATCH(448,样本到样信息汇总统计!$AA$2:$AA$500,0)),"")</f>
        <v/>
      </c>
      <c r="Q449" s="8" t="str">
        <f>IFERROR(INDEX(样本到样信息汇总统计!Q$2:Q$500,MATCH(448,样本到样信息汇总统计!$AA$2:$AA$500,0)),"")</f>
        <v/>
      </c>
      <c r="R449" s="8" t="str">
        <f>IFERROR(INDEX(样本到样信息汇总统计!R$2:R$500,MATCH(448,样本到样信息汇总统计!$AA$2:$AA$500,0)),"")</f>
        <v/>
      </c>
      <c r="S449" s="8" t="str">
        <f>IFERROR(INDEX(样本到样信息汇总统计!S$2:S$500,MATCH(448,样本到样信息汇总统计!$AA$2:$AA$500,0)),"")</f>
        <v/>
      </c>
      <c r="T449" s="8" t="str">
        <f>IFERROR(INDEX(样本到样信息汇总统计!T$2:T$500,MATCH(448,样本到样信息汇总统计!$AA$2:$AA$500,0)),"")</f>
        <v/>
      </c>
      <c r="U449" s="8" t="str">
        <f>IFERROR(INDEX(样本到样信息汇总统计!U$2:U$500,MATCH(448,样本到样信息汇总统计!$AA$2:$AA$500,0)),"")</f>
        <v/>
      </c>
      <c r="V449" s="8" t="str">
        <f>IFERROR(INDEX(样本到样信息汇总统计!V$2:V$500,MATCH(448,样本到样信息汇总统计!$AA$2:$AA$500,0)),"")</f>
        <v/>
      </c>
      <c r="W449" s="8" t="str">
        <f>IFERROR(INDEX(样本到样信息汇总统计!W$2:W$500,MATCH(448,样本到样信息汇总统计!$AA$2:$AA$500,0)),"")</f>
        <v/>
      </c>
    </row>
    <row r="450" ht="14.5" spans="1:23">
      <c r="A450" s="4" t="str">
        <f>IFERROR(INDEX(样本到样信息汇总统计!A$2:A$500,MATCH(449,样本到样信息汇总统计!$AA$2:$AA$500,0)),"")</f>
        <v/>
      </c>
      <c r="B450" s="4" t="str">
        <f>IFERROR(INDEX(样本到样信息汇总统计!B$2:B$500,MATCH(449,样本到样信息汇总统计!$AA$2:$AA$500,0)),"")</f>
        <v/>
      </c>
      <c r="C450" s="4" t="str">
        <f>IFERROR(INDEX(样本到样信息汇总统计!C$2:C$500,MATCH(449,样本到样信息汇总统计!$AA$2:$AA$500,0)),"")</f>
        <v/>
      </c>
      <c r="D450" s="4" t="str">
        <f>IFERROR(INDEX(样本到样信息汇总统计!D$2:D$500,MATCH(449,样本到样信息汇总统计!$AA$2:$AA$500,0)),"")</f>
        <v/>
      </c>
      <c r="E450" s="4" t="str">
        <f>IFERROR(INDEX(样本到样信息汇总统计!E$2:E$500,MATCH(449,样本到样信息汇总统计!$AA$2:$AA$500,0)),"")</f>
        <v/>
      </c>
      <c r="F450" s="4" t="str">
        <f>IFERROR(INDEX(样本到样信息汇总统计!F$2:F$500,MATCH(449,样本到样信息汇总统计!$AA$2:$AA$500,0)),"")</f>
        <v/>
      </c>
      <c r="G450" s="4" t="str">
        <f>IFERROR(INDEX(样本到样信息汇总统计!G$2:G$500,MATCH(449,样本到样信息汇总统计!$AA$2:$AA$500,0)),"")</f>
        <v/>
      </c>
      <c r="H450" s="4" t="str">
        <f>IFERROR(INDEX(样本到样信息汇总统计!H$2:H$500,MATCH(449,样本到样信息汇总统计!$AA$2:$AA$500,0)),"")</f>
        <v/>
      </c>
      <c r="I450" s="4" t="str">
        <f>IFERROR(INDEX(样本到样信息汇总统计!I$2:I$500,MATCH(449,样本到样信息汇总统计!$AA$2:$AA$500,0)),"")</f>
        <v/>
      </c>
      <c r="J450" s="4" t="str">
        <f>IFERROR(INDEX(样本到样信息汇总统计!J$2:J$500,MATCH(449,样本到样信息汇总统计!$AA$2:$AA$500,0)),"")</f>
        <v/>
      </c>
      <c r="K450" s="4" t="str">
        <f>IFERROR(INDEX(样本到样信息汇总统计!K$2:K$500,MATCH(449,样本到样信息汇总统计!$AA$2:$AA$500,0)),"")</f>
        <v/>
      </c>
      <c r="L450" s="4" t="str">
        <f>IFERROR(INDEX(样本到样信息汇总统计!L$2:L$500,MATCH(449,样本到样信息汇总统计!$AA$2:$AA$500,0)),"")</f>
        <v/>
      </c>
      <c r="M450" s="4" t="str">
        <f>IFERROR(INDEX(样本到样信息汇总统计!M$2:M$500,MATCH(449,样本到样信息汇总统计!$AA$2:$AA$500,0)),"")</f>
        <v/>
      </c>
      <c r="N450" s="4" t="str">
        <f>IFERROR(INDEX(样本到样信息汇总统计!N$2:N$500,MATCH(449,样本到样信息汇总统计!$AA$2:$AA$500,0)),"")</f>
        <v/>
      </c>
      <c r="O450" s="4" t="str">
        <f>IFERROR(INDEX(样本到样信息汇总统计!O$2:O$500,MATCH(449,样本到样信息汇总统计!$AA$2:$AA$500,0)),"")</f>
        <v/>
      </c>
      <c r="P450" s="4" t="str">
        <f>IFERROR(INDEX(样本到样信息汇总统计!P$2:P$500,MATCH(449,样本到样信息汇总统计!$AA$2:$AA$500,0)),"")</f>
        <v/>
      </c>
      <c r="Q450" s="4" t="str">
        <f>IFERROR(INDEX(样本到样信息汇总统计!Q$2:Q$500,MATCH(449,样本到样信息汇总统计!$AA$2:$AA$500,0)),"")</f>
        <v/>
      </c>
      <c r="R450" s="4" t="str">
        <f>IFERROR(INDEX(样本到样信息汇总统计!R$2:R$500,MATCH(449,样本到样信息汇总统计!$AA$2:$AA$500,0)),"")</f>
        <v/>
      </c>
      <c r="S450" s="4" t="str">
        <f>IFERROR(INDEX(样本到样信息汇总统计!S$2:S$500,MATCH(449,样本到样信息汇总统计!$AA$2:$AA$500,0)),"")</f>
        <v/>
      </c>
      <c r="T450" s="4" t="str">
        <f>IFERROR(INDEX(样本到样信息汇总统计!T$2:T$500,MATCH(449,样本到样信息汇总统计!$AA$2:$AA$500,0)),"")</f>
        <v/>
      </c>
      <c r="U450" s="4" t="str">
        <f>IFERROR(INDEX(样本到样信息汇总统计!U$2:U$500,MATCH(449,样本到样信息汇总统计!$AA$2:$AA$500,0)),"")</f>
        <v/>
      </c>
      <c r="V450" s="4" t="str">
        <f>IFERROR(INDEX(样本到样信息汇总统计!V$2:V$500,MATCH(449,样本到样信息汇总统计!$AA$2:$AA$500,0)),"")</f>
        <v/>
      </c>
      <c r="W450" s="4" t="str">
        <f>IFERROR(INDEX(样本到样信息汇总统计!W$2:W$500,MATCH(449,样本到样信息汇总统计!$AA$2:$AA$500,0)),"")</f>
        <v/>
      </c>
    </row>
    <row r="451" ht="14.5" spans="1:23">
      <c r="A451" s="8" t="str">
        <f>IFERROR(INDEX(样本到样信息汇总统计!A$2:A$500,MATCH(450,样本到样信息汇总统计!$AA$2:$AA$500,0)),"")</f>
        <v/>
      </c>
      <c r="B451" s="8" t="str">
        <f>IFERROR(INDEX(样本到样信息汇总统计!B$2:B$500,MATCH(450,样本到样信息汇总统计!$AA$2:$AA$500,0)),"")</f>
        <v/>
      </c>
      <c r="C451" s="8" t="str">
        <f>IFERROR(INDEX(样本到样信息汇总统计!C$2:C$500,MATCH(450,样本到样信息汇总统计!$AA$2:$AA$500,0)),"")</f>
        <v/>
      </c>
      <c r="D451" s="8" t="str">
        <f>IFERROR(INDEX(样本到样信息汇总统计!D$2:D$500,MATCH(450,样本到样信息汇总统计!$AA$2:$AA$500,0)),"")</f>
        <v/>
      </c>
      <c r="E451" s="8" t="str">
        <f>IFERROR(INDEX(样本到样信息汇总统计!E$2:E$500,MATCH(450,样本到样信息汇总统计!$AA$2:$AA$500,0)),"")</f>
        <v/>
      </c>
      <c r="F451" s="8" t="str">
        <f>IFERROR(INDEX(样本到样信息汇总统计!F$2:F$500,MATCH(450,样本到样信息汇总统计!$AA$2:$AA$500,0)),"")</f>
        <v/>
      </c>
      <c r="G451" s="8" t="str">
        <f>IFERROR(INDEX(样本到样信息汇总统计!G$2:G$500,MATCH(450,样本到样信息汇总统计!$AA$2:$AA$500,0)),"")</f>
        <v/>
      </c>
      <c r="H451" s="8" t="str">
        <f>IFERROR(INDEX(样本到样信息汇总统计!H$2:H$500,MATCH(450,样本到样信息汇总统计!$AA$2:$AA$500,0)),"")</f>
        <v/>
      </c>
      <c r="I451" s="8" t="str">
        <f>IFERROR(INDEX(样本到样信息汇总统计!I$2:I$500,MATCH(450,样本到样信息汇总统计!$AA$2:$AA$500,0)),"")</f>
        <v/>
      </c>
      <c r="J451" s="8" t="str">
        <f>IFERROR(INDEX(样本到样信息汇总统计!J$2:J$500,MATCH(450,样本到样信息汇总统计!$AA$2:$AA$500,0)),"")</f>
        <v/>
      </c>
      <c r="K451" s="8" t="str">
        <f>IFERROR(INDEX(样本到样信息汇总统计!K$2:K$500,MATCH(450,样本到样信息汇总统计!$AA$2:$AA$500,0)),"")</f>
        <v/>
      </c>
      <c r="L451" s="8" t="str">
        <f>IFERROR(INDEX(样本到样信息汇总统计!L$2:L$500,MATCH(450,样本到样信息汇总统计!$AA$2:$AA$500,0)),"")</f>
        <v/>
      </c>
      <c r="M451" s="8" t="str">
        <f>IFERROR(INDEX(样本到样信息汇总统计!M$2:M$500,MATCH(450,样本到样信息汇总统计!$AA$2:$AA$500,0)),"")</f>
        <v/>
      </c>
      <c r="N451" s="8" t="str">
        <f>IFERROR(INDEX(样本到样信息汇总统计!N$2:N$500,MATCH(450,样本到样信息汇总统计!$AA$2:$AA$500,0)),"")</f>
        <v/>
      </c>
      <c r="O451" s="8" t="str">
        <f>IFERROR(INDEX(样本到样信息汇总统计!O$2:O$500,MATCH(450,样本到样信息汇总统计!$AA$2:$AA$500,0)),"")</f>
        <v/>
      </c>
      <c r="P451" s="8" t="str">
        <f>IFERROR(INDEX(样本到样信息汇总统计!P$2:P$500,MATCH(450,样本到样信息汇总统计!$AA$2:$AA$500,0)),"")</f>
        <v/>
      </c>
      <c r="Q451" s="8" t="str">
        <f>IFERROR(INDEX(样本到样信息汇总统计!Q$2:Q$500,MATCH(450,样本到样信息汇总统计!$AA$2:$AA$500,0)),"")</f>
        <v/>
      </c>
      <c r="R451" s="8" t="str">
        <f>IFERROR(INDEX(样本到样信息汇总统计!R$2:R$500,MATCH(450,样本到样信息汇总统计!$AA$2:$AA$500,0)),"")</f>
        <v/>
      </c>
      <c r="S451" s="8" t="str">
        <f>IFERROR(INDEX(样本到样信息汇总统计!S$2:S$500,MATCH(450,样本到样信息汇总统计!$AA$2:$AA$500,0)),"")</f>
        <v/>
      </c>
      <c r="T451" s="8" t="str">
        <f>IFERROR(INDEX(样本到样信息汇总统计!T$2:T$500,MATCH(450,样本到样信息汇总统计!$AA$2:$AA$500,0)),"")</f>
        <v/>
      </c>
      <c r="U451" s="8" t="str">
        <f>IFERROR(INDEX(样本到样信息汇总统计!U$2:U$500,MATCH(450,样本到样信息汇总统计!$AA$2:$AA$500,0)),"")</f>
        <v/>
      </c>
      <c r="V451" s="8" t="str">
        <f>IFERROR(INDEX(样本到样信息汇总统计!V$2:V$500,MATCH(450,样本到样信息汇总统计!$AA$2:$AA$500,0)),"")</f>
        <v/>
      </c>
      <c r="W451" s="8" t="str">
        <f>IFERROR(INDEX(样本到样信息汇总统计!W$2:W$500,MATCH(450,样本到样信息汇总统计!$AA$2:$AA$500,0)),"")</f>
        <v/>
      </c>
    </row>
    <row r="452" ht="14.5" spans="1:23">
      <c r="A452" s="4" t="str">
        <f>IFERROR(INDEX(样本到样信息汇总统计!A$2:A$500,MATCH(451,样本到样信息汇总统计!$AA$2:$AA$500,0)),"")</f>
        <v/>
      </c>
      <c r="B452" s="4" t="str">
        <f>IFERROR(INDEX(样本到样信息汇总统计!B$2:B$500,MATCH(451,样本到样信息汇总统计!$AA$2:$AA$500,0)),"")</f>
        <v/>
      </c>
      <c r="C452" s="4" t="str">
        <f>IFERROR(INDEX(样本到样信息汇总统计!C$2:C$500,MATCH(451,样本到样信息汇总统计!$AA$2:$AA$500,0)),"")</f>
        <v/>
      </c>
      <c r="D452" s="4" t="str">
        <f>IFERROR(INDEX(样本到样信息汇总统计!D$2:D$500,MATCH(451,样本到样信息汇总统计!$AA$2:$AA$500,0)),"")</f>
        <v/>
      </c>
      <c r="E452" s="4" t="str">
        <f>IFERROR(INDEX(样本到样信息汇总统计!E$2:E$500,MATCH(451,样本到样信息汇总统计!$AA$2:$AA$500,0)),"")</f>
        <v/>
      </c>
      <c r="F452" s="4" t="str">
        <f>IFERROR(INDEX(样本到样信息汇总统计!F$2:F$500,MATCH(451,样本到样信息汇总统计!$AA$2:$AA$500,0)),"")</f>
        <v/>
      </c>
      <c r="G452" s="4" t="str">
        <f>IFERROR(INDEX(样本到样信息汇总统计!G$2:G$500,MATCH(451,样本到样信息汇总统计!$AA$2:$AA$500,0)),"")</f>
        <v/>
      </c>
      <c r="H452" s="4" t="str">
        <f>IFERROR(INDEX(样本到样信息汇总统计!H$2:H$500,MATCH(451,样本到样信息汇总统计!$AA$2:$AA$500,0)),"")</f>
        <v/>
      </c>
      <c r="I452" s="4" t="str">
        <f>IFERROR(INDEX(样本到样信息汇总统计!I$2:I$500,MATCH(451,样本到样信息汇总统计!$AA$2:$AA$500,0)),"")</f>
        <v/>
      </c>
      <c r="J452" s="4" t="str">
        <f>IFERROR(INDEX(样本到样信息汇总统计!J$2:J$500,MATCH(451,样本到样信息汇总统计!$AA$2:$AA$500,0)),"")</f>
        <v/>
      </c>
      <c r="K452" s="4" t="str">
        <f>IFERROR(INDEX(样本到样信息汇总统计!K$2:K$500,MATCH(451,样本到样信息汇总统计!$AA$2:$AA$500,0)),"")</f>
        <v/>
      </c>
      <c r="L452" s="4" t="str">
        <f>IFERROR(INDEX(样本到样信息汇总统计!L$2:L$500,MATCH(451,样本到样信息汇总统计!$AA$2:$AA$500,0)),"")</f>
        <v/>
      </c>
      <c r="M452" s="4" t="str">
        <f>IFERROR(INDEX(样本到样信息汇总统计!M$2:M$500,MATCH(451,样本到样信息汇总统计!$AA$2:$AA$500,0)),"")</f>
        <v/>
      </c>
      <c r="N452" s="4" t="str">
        <f>IFERROR(INDEX(样本到样信息汇总统计!N$2:N$500,MATCH(451,样本到样信息汇总统计!$AA$2:$AA$500,0)),"")</f>
        <v/>
      </c>
      <c r="O452" s="4" t="str">
        <f>IFERROR(INDEX(样本到样信息汇总统计!O$2:O$500,MATCH(451,样本到样信息汇总统计!$AA$2:$AA$500,0)),"")</f>
        <v/>
      </c>
      <c r="P452" s="4" t="str">
        <f>IFERROR(INDEX(样本到样信息汇总统计!P$2:P$500,MATCH(451,样本到样信息汇总统计!$AA$2:$AA$500,0)),"")</f>
        <v/>
      </c>
      <c r="Q452" s="4" t="str">
        <f>IFERROR(INDEX(样本到样信息汇总统计!Q$2:Q$500,MATCH(451,样本到样信息汇总统计!$AA$2:$AA$500,0)),"")</f>
        <v/>
      </c>
      <c r="R452" s="4" t="str">
        <f>IFERROR(INDEX(样本到样信息汇总统计!R$2:R$500,MATCH(451,样本到样信息汇总统计!$AA$2:$AA$500,0)),"")</f>
        <v/>
      </c>
      <c r="S452" s="4" t="str">
        <f>IFERROR(INDEX(样本到样信息汇总统计!S$2:S$500,MATCH(451,样本到样信息汇总统计!$AA$2:$AA$500,0)),"")</f>
        <v/>
      </c>
      <c r="T452" s="4" t="str">
        <f>IFERROR(INDEX(样本到样信息汇总统计!T$2:T$500,MATCH(451,样本到样信息汇总统计!$AA$2:$AA$500,0)),"")</f>
        <v/>
      </c>
      <c r="U452" s="4" t="str">
        <f>IFERROR(INDEX(样本到样信息汇总统计!U$2:U$500,MATCH(451,样本到样信息汇总统计!$AA$2:$AA$500,0)),"")</f>
        <v/>
      </c>
      <c r="V452" s="4" t="str">
        <f>IFERROR(INDEX(样本到样信息汇总统计!V$2:V$500,MATCH(451,样本到样信息汇总统计!$AA$2:$AA$500,0)),"")</f>
        <v/>
      </c>
      <c r="W452" s="4" t="str">
        <f>IFERROR(INDEX(样本到样信息汇总统计!W$2:W$500,MATCH(451,样本到样信息汇总统计!$AA$2:$AA$500,0)),"")</f>
        <v/>
      </c>
    </row>
    <row r="453" ht="14.5" spans="1:23">
      <c r="A453" s="8" t="str">
        <f>IFERROR(INDEX(样本到样信息汇总统计!A$2:A$500,MATCH(452,样本到样信息汇总统计!$AA$2:$AA$500,0)),"")</f>
        <v/>
      </c>
      <c r="B453" s="8" t="str">
        <f>IFERROR(INDEX(样本到样信息汇总统计!B$2:B$500,MATCH(452,样本到样信息汇总统计!$AA$2:$AA$500,0)),"")</f>
        <v/>
      </c>
      <c r="C453" s="8" t="str">
        <f>IFERROR(INDEX(样本到样信息汇总统计!C$2:C$500,MATCH(452,样本到样信息汇总统计!$AA$2:$AA$500,0)),"")</f>
        <v/>
      </c>
      <c r="D453" s="8" t="str">
        <f>IFERROR(INDEX(样本到样信息汇总统计!D$2:D$500,MATCH(452,样本到样信息汇总统计!$AA$2:$AA$500,0)),"")</f>
        <v/>
      </c>
      <c r="E453" s="8" t="str">
        <f>IFERROR(INDEX(样本到样信息汇总统计!E$2:E$500,MATCH(452,样本到样信息汇总统计!$AA$2:$AA$500,0)),"")</f>
        <v/>
      </c>
      <c r="F453" s="8" t="str">
        <f>IFERROR(INDEX(样本到样信息汇总统计!F$2:F$500,MATCH(452,样本到样信息汇总统计!$AA$2:$AA$500,0)),"")</f>
        <v/>
      </c>
      <c r="G453" s="8" t="str">
        <f>IFERROR(INDEX(样本到样信息汇总统计!G$2:G$500,MATCH(452,样本到样信息汇总统计!$AA$2:$AA$500,0)),"")</f>
        <v/>
      </c>
      <c r="H453" s="8" t="str">
        <f>IFERROR(INDEX(样本到样信息汇总统计!H$2:H$500,MATCH(452,样本到样信息汇总统计!$AA$2:$AA$500,0)),"")</f>
        <v/>
      </c>
      <c r="I453" s="8" t="str">
        <f>IFERROR(INDEX(样本到样信息汇总统计!I$2:I$500,MATCH(452,样本到样信息汇总统计!$AA$2:$AA$500,0)),"")</f>
        <v/>
      </c>
      <c r="J453" s="8" t="str">
        <f>IFERROR(INDEX(样本到样信息汇总统计!J$2:J$500,MATCH(452,样本到样信息汇总统计!$AA$2:$AA$500,0)),"")</f>
        <v/>
      </c>
      <c r="K453" s="8" t="str">
        <f>IFERROR(INDEX(样本到样信息汇总统计!K$2:K$500,MATCH(452,样本到样信息汇总统计!$AA$2:$AA$500,0)),"")</f>
        <v/>
      </c>
      <c r="L453" s="8" t="str">
        <f>IFERROR(INDEX(样本到样信息汇总统计!L$2:L$500,MATCH(452,样本到样信息汇总统计!$AA$2:$AA$500,0)),"")</f>
        <v/>
      </c>
      <c r="M453" s="8" t="str">
        <f>IFERROR(INDEX(样本到样信息汇总统计!M$2:M$500,MATCH(452,样本到样信息汇总统计!$AA$2:$AA$500,0)),"")</f>
        <v/>
      </c>
      <c r="N453" s="8" t="str">
        <f>IFERROR(INDEX(样本到样信息汇总统计!N$2:N$500,MATCH(452,样本到样信息汇总统计!$AA$2:$AA$500,0)),"")</f>
        <v/>
      </c>
      <c r="O453" s="8" t="str">
        <f>IFERROR(INDEX(样本到样信息汇总统计!O$2:O$500,MATCH(452,样本到样信息汇总统计!$AA$2:$AA$500,0)),"")</f>
        <v/>
      </c>
      <c r="P453" s="8" t="str">
        <f>IFERROR(INDEX(样本到样信息汇总统计!P$2:P$500,MATCH(452,样本到样信息汇总统计!$AA$2:$AA$500,0)),"")</f>
        <v/>
      </c>
      <c r="Q453" s="8" t="str">
        <f>IFERROR(INDEX(样本到样信息汇总统计!Q$2:Q$500,MATCH(452,样本到样信息汇总统计!$AA$2:$AA$500,0)),"")</f>
        <v/>
      </c>
      <c r="R453" s="8" t="str">
        <f>IFERROR(INDEX(样本到样信息汇总统计!R$2:R$500,MATCH(452,样本到样信息汇总统计!$AA$2:$AA$500,0)),"")</f>
        <v/>
      </c>
      <c r="S453" s="8" t="str">
        <f>IFERROR(INDEX(样本到样信息汇总统计!S$2:S$500,MATCH(452,样本到样信息汇总统计!$AA$2:$AA$500,0)),"")</f>
        <v/>
      </c>
      <c r="T453" s="8" t="str">
        <f>IFERROR(INDEX(样本到样信息汇总统计!T$2:T$500,MATCH(452,样本到样信息汇总统计!$AA$2:$AA$500,0)),"")</f>
        <v/>
      </c>
      <c r="U453" s="8" t="str">
        <f>IFERROR(INDEX(样本到样信息汇总统计!U$2:U$500,MATCH(452,样本到样信息汇总统计!$AA$2:$AA$500,0)),"")</f>
        <v/>
      </c>
      <c r="V453" s="8" t="str">
        <f>IFERROR(INDEX(样本到样信息汇总统计!V$2:V$500,MATCH(452,样本到样信息汇总统计!$AA$2:$AA$500,0)),"")</f>
        <v/>
      </c>
      <c r="W453" s="8" t="str">
        <f>IFERROR(INDEX(样本到样信息汇总统计!W$2:W$500,MATCH(452,样本到样信息汇总统计!$AA$2:$AA$500,0)),"")</f>
        <v/>
      </c>
    </row>
    <row r="454" ht="14.5" spans="1:23">
      <c r="A454" s="4" t="str">
        <f>IFERROR(INDEX(样本到样信息汇总统计!A$2:A$500,MATCH(453,样本到样信息汇总统计!$AA$2:$AA$500,0)),"")</f>
        <v/>
      </c>
      <c r="B454" s="4" t="str">
        <f>IFERROR(INDEX(样本到样信息汇总统计!B$2:B$500,MATCH(453,样本到样信息汇总统计!$AA$2:$AA$500,0)),"")</f>
        <v/>
      </c>
      <c r="C454" s="4" t="str">
        <f>IFERROR(INDEX(样本到样信息汇总统计!C$2:C$500,MATCH(453,样本到样信息汇总统计!$AA$2:$AA$500,0)),"")</f>
        <v/>
      </c>
      <c r="D454" s="4" t="str">
        <f>IFERROR(INDEX(样本到样信息汇总统计!D$2:D$500,MATCH(453,样本到样信息汇总统计!$AA$2:$AA$500,0)),"")</f>
        <v/>
      </c>
      <c r="E454" s="4" t="str">
        <f>IFERROR(INDEX(样本到样信息汇总统计!E$2:E$500,MATCH(453,样本到样信息汇总统计!$AA$2:$AA$500,0)),"")</f>
        <v/>
      </c>
      <c r="F454" s="4" t="str">
        <f>IFERROR(INDEX(样本到样信息汇总统计!F$2:F$500,MATCH(453,样本到样信息汇总统计!$AA$2:$AA$500,0)),"")</f>
        <v/>
      </c>
      <c r="G454" s="4" t="str">
        <f>IFERROR(INDEX(样本到样信息汇总统计!G$2:G$500,MATCH(453,样本到样信息汇总统计!$AA$2:$AA$500,0)),"")</f>
        <v/>
      </c>
      <c r="H454" s="4" t="str">
        <f>IFERROR(INDEX(样本到样信息汇总统计!H$2:H$500,MATCH(453,样本到样信息汇总统计!$AA$2:$AA$500,0)),"")</f>
        <v/>
      </c>
      <c r="I454" s="4" t="str">
        <f>IFERROR(INDEX(样本到样信息汇总统计!I$2:I$500,MATCH(453,样本到样信息汇总统计!$AA$2:$AA$500,0)),"")</f>
        <v/>
      </c>
      <c r="J454" s="4" t="str">
        <f>IFERROR(INDEX(样本到样信息汇总统计!J$2:J$500,MATCH(453,样本到样信息汇总统计!$AA$2:$AA$500,0)),"")</f>
        <v/>
      </c>
      <c r="K454" s="4" t="str">
        <f>IFERROR(INDEX(样本到样信息汇总统计!K$2:K$500,MATCH(453,样本到样信息汇总统计!$AA$2:$AA$500,0)),"")</f>
        <v/>
      </c>
      <c r="L454" s="4" t="str">
        <f>IFERROR(INDEX(样本到样信息汇总统计!L$2:L$500,MATCH(453,样本到样信息汇总统计!$AA$2:$AA$500,0)),"")</f>
        <v/>
      </c>
      <c r="M454" s="4" t="str">
        <f>IFERROR(INDEX(样本到样信息汇总统计!M$2:M$500,MATCH(453,样本到样信息汇总统计!$AA$2:$AA$500,0)),"")</f>
        <v/>
      </c>
      <c r="N454" s="4" t="str">
        <f>IFERROR(INDEX(样本到样信息汇总统计!N$2:N$500,MATCH(453,样本到样信息汇总统计!$AA$2:$AA$500,0)),"")</f>
        <v/>
      </c>
      <c r="O454" s="4" t="str">
        <f>IFERROR(INDEX(样本到样信息汇总统计!O$2:O$500,MATCH(453,样本到样信息汇总统计!$AA$2:$AA$500,0)),"")</f>
        <v/>
      </c>
      <c r="P454" s="4" t="str">
        <f>IFERROR(INDEX(样本到样信息汇总统计!P$2:P$500,MATCH(453,样本到样信息汇总统计!$AA$2:$AA$500,0)),"")</f>
        <v/>
      </c>
      <c r="Q454" s="4" t="str">
        <f>IFERROR(INDEX(样本到样信息汇总统计!Q$2:Q$500,MATCH(453,样本到样信息汇总统计!$AA$2:$AA$500,0)),"")</f>
        <v/>
      </c>
      <c r="R454" s="4" t="str">
        <f>IFERROR(INDEX(样本到样信息汇总统计!R$2:R$500,MATCH(453,样本到样信息汇总统计!$AA$2:$AA$500,0)),"")</f>
        <v/>
      </c>
      <c r="S454" s="4" t="str">
        <f>IFERROR(INDEX(样本到样信息汇总统计!S$2:S$500,MATCH(453,样本到样信息汇总统计!$AA$2:$AA$500,0)),"")</f>
        <v/>
      </c>
      <c r="T454" s="4" t="str">
        <f>IFERROR(INDEX(样本到样信息汇总统计!T$2:T$500,MATCH(453,样本到样信息汇总统计!$AA$2:$AA$500,0)),"")</f>
        <v/>
      </c>
      <c r="U454" s="4" t="str">
        <f>IFERROR(INDEX(样本到样信息汇总统计!U$2:U$500,MATCH(453,样本到样信息汇总统计!$AA$2:$AA$500,0)),"")</f>
        <v/>
      </c>
      <c r="V454" s="4" t="str">
        <f>IFERROR(INDEX(样本到样信息汇总统计!V$2:V$500,MATCH(453,样本到样信息汇总统计!$AA$2:$AA$500,0)),"")</f>
        <v/>
      </c>
      <c r="W454" s="4" t="str">
        <f>IFERROR(INDEX(样本到样信息汇总统计!W$2:W$500,MATCH(453,样本到样信息汇总统计!$AA$2:$AA$500,0)),"")</f>
        <v/>
      </c>
    </row>
    <row r="455" ht="14.5" spans="1:23">
      <c r="A455" s="8" t="str">
        <f>IFERROR(INDEX(样本到样信息汇总统计!A$2:A$500,MATCH(454,样本到样信息汇总统计!$AA$2:$AA$500,0)),"")</f>
        <v/>
      </c>
      <c r="B455" s="8" t="str">
        <f>IFERROR(INDEX(样本到样信息汇总统计!B$2:B$500,MATCH(454,样本到样信息汇总统计!$AA$2:$AA$500,0)),"")</f>
        <v/>
      </c>
      <c r="C455" s="8" t="str">
        <f>IFERROR(INDEX(样本到样信息汇总统计!C$2:C$500,MATCH(454,样本到样信息汇总统计!$AA$2:$AA$500,0)),"")</f>
        <v/>
      </c>
      <c r="D455" s="8" t="str">
        <f>IFERROR(INDEX(样本到样信息汇总统计!D$2:D$500,MATCH(454,样本到样信息汇总统计!$AA$2:$AA$500,0)),"")</f>
        <v/>
      </c>
      <c r="E455" s="8" t="str">
        <f>IFERROR(INDEX(样本到样信息汇总统计!E$2:E$500,MATCH(454,样本到样信息汇总统计!$AA$2:$AA$500,0)),"")</f>
        <v/>
      </c>
      <c r="F455" s="8" t="str">
        <f>IFERROR(INDEX(样本到样信息汇总统计!F$2:F$500,MATCH(454,样本到样信息汇总统计!$AA$2:$AA$500,0)),"")</f>
        <v/>
      </c>
      <c r="G455" s="8" t="str">
        <f>IFERROR(INDEX(样本到样信息汇总统计!G$2:G$500,MATCH(454,样本到样信息汇总统计!$AA$2:$AA$500,0)),"")</f>
        <v/>
      </c>
      <c r="H455" s="8" t="str">
        <f>IFERROR(INDEX(样本到样信息汇总统计!H$2:H$500,MATCH(454,样本到样信息汇总统计!$AA$2:$AA$500,0)),"")</f>
        <v/>
      </c>
      <c r="I455" s="8" t="str">
        <f>IFERROR(INDEX(样本到样信息汇总统计!I$2:I$500,MATCH(454,样本到样信息汇总统计!$AA$2:$AA$500,0)),"")</f>
        <v/>
      </c>
      <c r="J455" s="8" t="str">
        <f>IFERROR(INDEX(样本到样信息汇总统计!J$2:J$500,MATCH(454,样本到样信息汇总统计!$AA$2:$AA$500,0)),"")</f>
        <v/>
      </c>
      <c r="K455" s="8" t="str">
        <f>IFERROR(INDEX(样本到样信息汇总统计!K$2:K$500,MATCH(454,样本到样信息汇总统计!$AA$2:$AA$500,0)),"")</f>
        <v/>
      </c>
      <c r="L455" s="8" t="str">
        <f>IFERROR(INDEX(样本到样信息汇总统计!L$2:L$500,MATCH(454,样本到样信息汇总统计!$AA$2:$AA$500,0)),"")</f>
        <v/>
      </c>
      <c r="M455" s="8" t="str">
        <f>IFERROR(INDEX(样本到样信息汇总统计!M$2:M$500,MATCH(454,样本到样信息汇总统计!$AA$2:$AA$500,0)),"")</f>
        <v/>
      </c>
      <c r="N455" s="8" t="str">
        <f>IFERROR(INDEX(样本到样信息汇总统计!N$2:N$500,MATCH(454,样本到样信息汇总统计!$AA$2:$AA$500,0)),"")</f>
        <v/>
      </c>
      <c r="O455" s="8" t="str">
        <f>IFERROR(INDEX(样本到样信息汇总统计!O$2:O$500,MATCH(454,样本到样信息汇总统计!$AA$2:$AA$500,0)),"")</f>
        <v/>
      </c>
      <c r="P455" s="8" t="str">
        <f>IFERROR(INDEX(样本到样信息汇总统计!P$2:P$500,MATCH(454,样本到样信息汇总统计!$AA$2:$AA$500,0)),"")</f>
        <v/>
      </c>
      <c r="Q455" s="8" t="str">
        <f>IFERROR(INDEX(样本到样信息汇总统计!Q$2:Q$500,MATCH(454,样本到样信息汇总统计!$AA$2:$AA$500,0)),"")</f>
        <v/>
      </c>
      <c r="R455" s="8" t="str">
        <f>IFERROR(INDEX(样本到样信息汇总统计!R$2:R$500,MATCH(454,样本到样信息汇总统计!$AA$2:$AA$500,0)),"")</f>
        <v/>
      </c>
      <c r="S455" s="8" t="str">
        <f>IFERROR(INDEX(样本到样信息汇总统计!S$2:S$500,MATCH(454,样本到样信息汇总统计!$AA$2:$AA$500,0)),"")</f>
        <v/>
      </c>
      <c r="T455" s="8" t="str">
        <f>IFERROR(INDEX(样本到样信息汇总统计!T$2:T$500,MATCH(454,样本到样信息汇总统计!$AA$2:$AA$500,0)),"")</f>
        <v/>
      </c>
      <c r="U455" s="8" t="str">
        <f>IFERROR(INDEX(样本到样信息汇总统计!U$2:U$500,MATCH(454,样本到样信息汇总统计!$AA$2:$AA$500,0)),"")</f>
        <v/>
      </c>
      <c r="V455" s="8" t="str">
        <f>IFERROR(INDEX(样本到样信息汇总统计!V$2:V$500,MATCH(454,样本到样信息汇总统计!$AA$2:$AA$500,0)),"")</f>
        <v/>
      </c>
      <c r="W455" s="8" t="str">
        <f>IFERROR(INDEX(样本到样信息汇总统计!W$2:W$500,MATCH(454,样本到样信息汇总统计!$AA$2:$AA$500,0)),"")</f>
        <v/>
      </c>
    </row>
    <row r="456" ht="14.5" spans="1:23">
      <c r="A456" s="4" t="str">
        <f>IFERROR(INDEX(样本到样信息汇总统计!A$2:A$500,MATCH(455,样本到样信息汇总统计!$AA$2:$AA$500,0)),"")</f>
        <v/>
      </c>
      <c r="B456" s="4" t="str">
        <f>IFERROR(INDEX(样本到样信息汇总统计!B$2:B$500,MATCH(455,样本到样信息汇总统计!$AA$2:$AA$500,0)),"")</f>
        <v/>
      </c>
      <c r="C456" s="4" t="str">
        <f>IFERROR(INDEX(样本到样信息汇总统计!C$2:C$500,MATCH(455,样本到样信息汇总统计!$AA$2:$AA$500,0)),"")</f>
        <v/>
      </c>
      <c r="D456" s="4" t="str">
        <f>IFERROR(INDEX(样本到样信息汇总统计!D$2:D$500,MATCH(455,样本到样信息汇总统计!$AA$2:$AA$500,0)),"")</f>
        <v/>
      </c>
      <c r="E456" s="4" t="str">
        <f>IFERROR(INDEX(样本到样信息汇总统计!E$2:E$500,MATCH(455,样本到样信息汇总统计!$AA$2:$AA$500,0)),"")</f>
        <v/>
      </c>
      <c r="F456" s="4" t="str">
        <f>IFERROR(INDEX(样本到样信息汇总统计!F$2:F$500,MATCH(455,样本到样信息汇总统计!$AA$2:$AA$500,0)),"")</f>
        <v/>
      </c>
      <c r="G456" s="4" t="str">
        <f>IFERROR(INDEX(样本到样信息汇总统计!G$2:G$500,MATCH(455,样本到样信息汇总统计!$AA$2:$AA$500,0)),"")</f>
        <v/>
      </c>
      <c r="H456" s="4" t="str">
        <f>IFERROR(INDEX(样本到样信息汇总统计!H$2:H$500,MATCH(455,样本到样信息汇总统计!$AA$2:$AA$500,0)),"")</f>
        <v/>
      </c>
      <c r="I456" s="4" t="str">
        <f>IFERROR(INDEX(样本到样信息汇总统计!I$2:I$500,MATCH(455,样本到样信息汇总统计!$AA$2:$AA$500,0)),"")</f>
        <v/>
      </c>
      <c r="J456" s="4" t="str">
        <f>IFERROR(INDEX(样本到样信息汇总统计!J$2:J$500,MATCH(455,样本到样信息汇总统计!$AA$2:$AA$500,0)),"")</f>
        <v/>
      </c>
      <c r="K456" s="4" t="str">
        <f>IFERROR(INDEX(样本到样信息汇总统计!K$2:K$500,MATCH(455,样本到样信息汇总统计!$AA$2:$AA$500,0)),"")</f>
        <v/>
      </c>
      <c r="L456" s="4" t="str">
        <f>IFERROR(INDEX(样本到样信息汇总统计!L$2:L$500,MATCH(455,样本到样信息汇总统计!$AA$2:$AA$500,0)),"")</f>
        <v/>
      </c>
      <c r="M456" s="4" t="str">
        <f>IFERROR(INDEX(样本到样信息汇总统计!M$2:M$500,MATCH(455,样本到样信息汇总统计!$AA$2:$AA$500,0)),"")</f>
        <v/>
      </c>
      <c r="N456" s="4" t="str">
        <f>IFERROR(INDEX(样本到样信息汇总统计!N$2:N$500,MATCH(455,样本到样信息汇总统计!$AA$2:$AA$500,0)),"")</f>
        <v/>
      </c>
      <c r="O456" s="4" t="str">
        <f>IFERROR(INDEX(样本到样信息汇总统计!O$2:O$500,MATCH(455,样本到样信息汇总统计!$AA$2:$AA$500,0)),"")</f>
        <v/>
      </c>
      <c r="P456" s="4" t="str">
        <f>IFERROR(INDEX(样本到样信息汇总统计!P$2:P$500,MATCH(455,样本到样信息汇总统计!$AA$2:$AA$500,0)),"")</f>
        <v/>
      </c>
      <c r="Q456" s="4" t="str">
        <f>IFERROR(INDEX(样本到样信息汇总统计!Q$2:Q$500,MATCH(455,样本到样信息汇总统计!$AA$2:$AA$500,0)),"")</f>
        <v/>
      </c>
      <c r="R456" s="4" t="str">
        <f>IFERROR(INDEX(样本到样信息汇总统计!R$2:R$500,MATCH(455,样本到样信息汇总统计!$AA$2:$AA$500,0)),"")</f>
        <v/>
      </c>
      <c r="S456" s="4" t="str">
        <f>IFERROR(INDEX(样本到样信息汇总统计!S$2:S$500,MATCH(455,样本到样信息汇总统计!$AA$2:$AA$500,0)),"")</f>
        <v/>
      </c>
      <c r="T456" s="4" t="str">
        <f>IFERROR(INDEX(样本到样信息汇总统计!T$2:T$500,MATCH(455,样本到样信息汇总统计!$AA$2:$AA$500,0)),"")</f>
        <v/>
      </c>
      <c r="U456" s="4" t="str">
        <f>IFERROR(INDEX(样本到样信息汇总统计!U$2:U$500,MATCH(455,样本到样信息汇总统计!$AA$2:$AA$500,0)),"")</f>
        <v/>
      </c>
      <c r="V456" s="4" t="str">
        <f>IFERROR(INDEX(样本到样信息汇总统计!V$2:V$500,MATCH(455,样本到样信息汇总统计!$AA$2:$AA$500,0)),"")</f>
        <v/>
      </c>
      <c r="W456" s="4" t="str">
        <f>IFERROR(INDEX(样本到样信息汇总统计!W$2:W$500,MATCH(455,样本到样信息汇总统计!$AA$2:$AA$500,0)),"")</f>
        <v/>
      </c>
    </row>
    <row r="457" ht="14.5" spans="1:23">
      <c r="A457" s="8" t="str">
        <f>IFERROR(INDEX(样本到样信息汇总统计!A$2:A$500,MATCH(456,样本到样信息汇总统计!$AA$2:$AA$500,0)),"")</f>
        <v/>
      </c>
      <c r="B457" s="8" t="str">
        <f>IFERROR(INDEX(样本到样信息汇总统计!B$2:B$500,MATCH(456,样本到样信息汇总统计!$AA$2:$AA$500,0)),"")</f>
        <v/>
      </c>
      <c r="C457" s="8" t="str">
        <f>IFERROR(INDEX(样本到样信息汇总统计!C$2:C$500,MATCH(456,样本到样信息汇总统计!$AA$2:$AA$500,0)),"")</f>
        <v/>
      </c>
      <c r="D457" s="8" t="str">
        <f>IFERROR(INDEX(样本到样信息汇总统计!D$2:D$500,MATCH(456,样本到样信息汇总统计!$AA$2:$AA$500,0)),"")</f>
        <v/>
      </c>
      <c r="E457" s="8" t="str">
        <f>IFERROR(INDEX(样本到样信息汇总统计!E$2:E$500,MATCH(456,样本到样信息汇总统计!$AA$2:$AA$500,0)),"")</f>
        <v/>
      </c>
      <c r="F457" s="8" t="str">
        <f>IFERROR(INDEX(样本到样信息汇总统计!F$2:F$500,MATCH(456,样本到样信息汇总统计!$AA$2:$AA$500,0)),"")</f>
        <v/>
      </c>
      <c r="G457" s="8" t="str">
        <f>IFERROR(INDEX(样本到样信息汇总统计!G$2:G$500,MATCH(456,样本到样信息汇总统计!$AA$2:$AA$500,0)),"")</f>
        <v/>
      </c>
      <c r="H457" s="8" t="str">
        <f>IFERROR(INDEX(样本到样信息汇总统计!H$2:H$500,MATCH(456,样本到样信息汇总统计!$AA$2:$AA$500,0)),"")</f>
        <v/>
      </c>
      <c r="I457" s="8" t="str">
        <f>IFERROR(INDEX(样本到样信息汇总统计!I$2:I$500,MATCH(456,样本到样信息汇总统计!$AA$2:$AA$500,0)),"")</f>
        <v/>
      </c>
      <c r="J457" s="8" t="str">
        <f>IFERROR(INDEX(样本到样信息汇总统计!J$2:J$500,MATCH(456,样本到样信息汇总统计!$AA$2:$AA$500,0)),"")</f>
        <v/>
      </c>
      <c r="K457" s="8" t="str">
        <f>IFERROR(INDEX(样本到样信息汇总统计!K$2:K$500,MATCH(456,样本到样信息汇总统计!$AA$2:$AA$500,0)),"")</f>
        <v/>
      </c>
      <c r="L457" s="8" t="str">
        <f>IFERROR(INDEX(样本到样信息汇总统计!L$2:L$500,MATCH(456,样本到样信息汇总统计!$AA$2:$AA$500,0)),"")</f>
        <v/>
      </c>
      <c r="M457" s="8" t="str">
        <f>IFERROR(INDEX(样本到样信息汇总统计!M$2:M$500,MATCH(456,样本到样信息汇总统计!$AA$2:$AA$500,0)),"")</f>
        <v/>
      </c>
      <c r="N457" s="8" t="str">
        <f>IFERROR(INDEX(样本到样信息汇总统计!N$2:N$500,MATCH(456,样本到样信息汇总统计!$AA$2:$AA$500,0)),"")</f>
        <v/>
      </c>
      <c r="O457" s="8" t="str">
        <f>IFERROR(INDEX(样本到样信息汇总统计!O$2:O$500,MATCH(456,样本到样信息汇总统计!$AA$2:$AA$500,0)),"")</f>
        <v/>
      </c>
      <c r="P457" s="8" t="str">
        <f>IFERROR(INDEX(样本到样信息汇总统计!P$2:P$500,MATCH(456,样本到样信息汇总统计!$AA$2:$AA$500,0)),"")</f>
        <v/>
      </c>
      <c r="Q457" s="8" t="str">
        <f>IFERROR(INDEX(样本到样信息汇总统计!Q$2:Q$500,MATCH(456,样本到样信息汇总统计!$AA$2:$AA$500,0)),"")</f>
        <v/>
      </c>
      <c r="R457" s="8" t="str">
        <f>IFERROR(INDEX(样本到样信息汇总统计!R$2:R$500,MATCH(456,样本到样信息汇总统计!$AA$2:$AA$500,0)),"")</f>
        <v/>
      </c>
      <c r="S457" s="8" t="str">
        <f>IFERROR(INDEX(样本到样信息汇总统计!S$2:S$500,MATCH(456,样本到样信息汇总统计!$AA$2:$AA$500,0)),"")</f>
        <v/>
      </c>
      <c r="T457" s="8" t="str">
        <f>IFERROR(INDEX(样本到样信息汇总统计!T$2:T$500,MATCH(456,样本到样信息汇总统计!$AA$2:$AA$500,0)),"")</f>
        <v/>
      </c>
      <c r="U457" s="8" t="str">
        <f>IFERROR(INDEX(样本到样信息汇总统计!U$2:U$500,MATCH(456,样本到样信息汇总统计!$AA$2:$AA$500,0)),"")</f>
        <v/>
      </c>
      <c r="V457" s="8" t="str">
        <f>IFERROR(INDEX(样本到样信息汇总统计!V$2:V$500,MATCH(456,样本到样信息汇总统计!$AA$2:$AA$500,0)),"")</f>
        <v/>
      </c>
      <c r="W457" s="8" t="str">
        <f>IFERROR(INDEX(样本到样信息汇总统计!W$2:W$500,MATCH(456,样本到样信息汇总统计!$AA$2:$AA$500,0)),"")</f>
        <v/>
      </c>
    </row>
    <row r="458" ht="14.5" spans="1:23">
      <c r="A458" s="4" t="str">
        <f>IFERROR(INDEX(样本到样信息汇总统计!A$2:A$500,MATCH(457,样本到样信息汇总统计!$AA$2:$AA$500,0)),"")</f>
        <v/>
      </c>
      <c r="B458" s="4" t="str">
        <f>IFERROR(INDEX(样本到样信息汇总统计!B$2:B$500,MATCH(457,样本到样信息汇总统计!$AA$2:$AA$500,0)),"")</f>
        <v/>
      </c>
      <c r="C458" s="4" t="str">
        <f>IFERROR(INDEX(样本到样信息汇总统计!C$2:C$500,MATCH(457,样本到样信息汇总统计!$AA$2:$AA$500,0)),"")</f>
        <v/>
      </c>
      <c r="D458" s="4" t="str">
        <f>IFERROR(INDEX(样本到样信息汇总统计!D$2:D$500,MATCH(457,样本到样信息汇总统计!$AA$2:$AA$500,0)),"")</f>
        <v/>
      </c>
      <c r="E458" s="4" t="str">
        <f>IFERROR(INDEX(样本到样信息汇总统计!E$2:E$500,MATCH(457,样本到样信息汇总统计!$AA$2:$AA$500,0)),"")</f>
        <v/>
      </c>
      <c r="F458" s="4" t="str">
        <f>IFERROR(INDEX(样本到样信息汇总统计!F$2:F$500,MATCH(457,样本到样信息汇总统计!$AA$2:$AA$500,0)),"")</f>
        <v/>
      </c>
      <c r="G458" s="4" t="str">
        <f>IFERROR(INDEX(样本到样信息汇总统计!G$2:G$500,MATCH(457,样本到样信息汇总统计!$AA$2:$AA$500,0)),"")</f>
        <v/>
      </c>
      <c r="H458" s="4" t="str">
        <f>IFERROR(INDEX(样本到样信息汇总统计!H$2:H$500,MATCH(457,样本到样信息汇总统计!$AA$2:$AA$500,0)),"")</f>
        <v/>
      </c>
      <c r="I458" s="4" t="str">
        <f>IFERROR(INDEX(样本到样信息汇总统计!I$2:I$500,MATCH(457,样本到样信息汇总统计!$AA$2:$AA$500,0)),"")</f>
        <v/>
      </c>
      <c r="J458" s="4" t="str">
        <f>IFERROR(INDEX(样本到样信息汇总统计!J$2:J$500,MATCH(457,样本到样信息汇总统计!$AA$2:$AA$500,0)),"")</f>
        <v/>
      </c>
      <c r="K458" s="4" t="str">
        <f>IFERROR(INDEX(样本到样信息汇总统计!K$2:K$500,MATCH(457,样本到样信息汇总统计!$AA$2:$AA$500,0)),"")</f>
        <v/>
      </c>
      <c r="L458" s="4" t="str">
        <f>IFERROR(INDEX(样本到样信息汇总统计!L$2:L$500,MATCH(457,样本到样信息汇总统计!$AA$2:$AA$500,0)),"")</f>
        <v/>
      </c>
      <c r="M458" s="4" t="str">
        <f>IFERROR(INDEX(样本到样信息汇总统计!M$2:M$500,MATCH(457,样本到样信息汇总统计!$AA$2:$AA$500,0)),"")</f>
        <v/>
      </c>
      <c r="N458" s="4" t="str">
        <f>IFERROR(INDEX(样本到样信息汇总统计!N$2:N$500,MATCH(457,样本到样信息汇总统计!$AA$2:$AA$500,0)),"")</f>
        <v/>
      </c>
      <c r="O458" s="4" t="str">
        <f>IFERROR(INDEX(样本到样信息汇总统计!O$2:O$500,MATCH(457,样本到样信息汇总统计!$AA$2:$AA$500,0)),"")</f>
        <v/>
      </c>
      <c r="P458" s="4" t="str">
        <f>IFERROR(INDEX(样本到样信息汇总统计!P$2:P$500,MATCH(457,样本到样信息汇总统计!$AA$2:$AA$500,0)),"")</f>
        <v/>
      </c>
      <c r="Q458" s="4" t="str">
        <f>IFERROR(INDEX(样本到样信息汇总统计!Q$2:Q$500,MATCH(457,样本到样信息汇总统计!$AA$2:$AA$500,0)),"")</f>
        <v/>
      </c>
      <c r="R458" s="4" t="str">
        <f>IFERROR(INDEX(样本到样信息汇总统计!R$2:R$500,MATCH(457,样本到样信息汇总统计!$AA$2:$AA$500,0)),"")</f>
        <v/>
      </c>
      <c r="S458" s="4" t="str">
        <f>IFERROR(INDEX(样本到样信息汇总统计!S$2:S$500,MATCH(457,样本到样信息汇总统计!$AA$2:$AA$500,0)),"")</f>
        <v/>
      </c>
      <c r="T458" s="4" t="str">
        <f>IFERROR(INDEX(样本到样信息汇总统计!T$2:T$500,MATCH(457,样本到样信息汇总统计!$AA$2:$AA$500,0)),"")</f>
        <v/>
      </c>
      <c r="U458" s="4" t="str">
        <f>IFERROR(INDEX(样本到样信息汇总统计!U$2:U$500,MATCH(457,样本到样信息汇总统计!$AA$2:$AA$500,0)),"")</f>
        <v/>
      </c>
      <c r="V458" s="4" t="str">
        <f>IFERROR(INDEX(样本到样信息汇总统计!V$2:V$500,MATCH(457,样本到样信息汇总统计!$AA$2:$AA$500,0)),"")</f>
        <v/>
      </c>
      <c r="W458" s="4" t="str">
        <f>IFERROR(INDEX(样本到样信息汇总统计!W$2:W$500,MATCH(457,样本到样信息汇总统计!$AA$2:$AA$500,0)),"")</f>
        <v/>
      </c>
    </row>
    <row r="459" ht="14.5" spans="1:23">
      <c r="A459" s="8" t="str">
        <f>IFERROR(INDEX(样本到样信息汇总统计!A$2:A$500,MATCH(458,样本到样信息汇总统计!$AA$2:$AA$500,0)),"")</f>
        <v/>
      </c>
      <c r="B459" s="8" t="str">
        <f>IFERROR(INDEX(样本到样信息汇总统计!B$2:B$500,MATCH(458,样本到样信息汇总统计!$AA$2:$AA$500,0)),"")</f>
        <v/>
      </c>
      <c r="C459" s="8" t="str">
        <f>IFERROR(INDEX(样本到样信息汇总统计!C$2:C$500,MATCH(458,样本到样信息汇总统计!$AA$2:$AA$500,0)),"")</f>
        <v/>
      </c>
      <c r="D459" s="8" t="str">
        <f>IFERROR(INDEX(样本到样信息汇总统计!D$2:D$500,MATCH(458,样本到样信息汇总统计!$AA$2:$AA$500,0)),"")</f>
        <v/>
      </c>
      <c r="E459" s="8" t="str">
        <f>IFERROR(INDEX(样本到样信息汇总统计!E$2:E$500,MATCH(458,样本到样信息汇总统计!$AA$2:$AA$500,0)),"")</f>
        <v/>
      </c>
      <c r="F459" s="8" t="str">
        <f>IFERROR(INDEX(样本到样信息汇总统计!F$2:F$500,MATCH(458,样本到样信息汇总统计!$AA$2:$AA$500,0)),"")</f>
        <v/>
      </c>
      <c r="G459" s="8" t="str">
        <f>IFERROR(INDEX(样本到样信息汇总统计!G$2:G$500,MATCH(458,样本到样信息汇总统计!$AA$2:$AA$500,0)),"")</f>
        <v/>
      </c>
      <c r="H459" s="8" t="str">
        <f>IFERROR(INDEX(样本到样信息汇总统计!H$2:H$500,MATCH(458,样本到样信息汇总统计!$AA$2:$AA$500,0)),"")</f>
        <v/>
      </c>
      <c r="I459" s="8" t="str">
        <f>IFERROR(INDEX(样本到样信息汇总统计!I$2:I$500,MATCH(458,样本到样信息汇总统计!$AA$2:$AA$500,0)),"")</f>
        <v/>
      </c>
      <c r="J459" s="8" t="str">
        <f>IFERROR(INDEX(样本到样信息汇总统计!J$2:J$500,MATCH(458,样本到样信息汇总统计!$AA$2:$AA$500,0)),"")</f>
        <v/>
      </c>
      <c r="K459" s="8" t="str">
        <f>IFERROR(INDEX(样本到样信息汇总统计!K$2:K$500,MATCH(458,样本到样信息汇总统计!$AA$2:$AA$500,0)),"")</f>
        <v/>
      </c>
      <c r="L459" s="8" t="str">
        <f>IFERROR(INDEX(样本到样信息汇总统计!L$2:L$500,MATCH(458,样本到样信息汇总统计!$AA$2:$AA$500,0)),"")</f>
        <v/>
      </c>
      <c r="M459" s="8" t="str">
        <f>IFERROR(INDEX(样本到样信息汇总统计!M$2:M$500,MATCH(458,样本到样信息汇总统计!$AA$2:$AA$500,0)),"")</f>
        <v/>
      </c>
      <c r="N459" s="8" t="str">
        <f>IFERROR(INDEX(样本到样信息汇总统计!N$2:N$500,MATCH(458,样本到样信息汇总统计!$AA$2:$AA$500,0)),"")</f>
        <v/>
      </c>
      <c r="O459" s="8" t="str">
        <f>IFERROR(INDEX(样本到样信息汇总统计!O$2:O$500,MATCH(458,样本到样信息汇总统计!$AA$2:$AA$500,0)),"")</f>
        <v/>
      </c>
      <c r="P459" s="8" t="str">
        <f>IFERROR(INDEX(样本到样信息汇总统计!P$2:P$500,MATCH(458,样本到样信息汇总统计!$AA$2:$AA$500,0)),"")</f>
        <v/>
      </c>
      <c r="Q459" s="8" t="str">
        <f>IFERROR(INDEX(样本到样信息汇总统计!Q$2:Q$500,MATCH(458,样本到样信息汇总统计!$AA$2:$AA$500,0)),"")</f>
        <v/>
      </c>
      <c r="R459" s="8" t="str">
        <f>IFERROR(INDEX(样本到样信息汇总统计!R$2:R$500,MATCH(458,样本到样信息汇总统计!$AA$2:$AA$500,0)),"")</f>
        <v/>
      </c>
      <c r="S459" s="8" t="str">
        <f>IFERROR(INDEX(样本到样信息汇总统计!S$2:S$500,MATCH(458,样本到样信息汇总统计!$AA$2:$AA$500,0)),"")</f>
        <v/>
      </c>
      <c r="T459" s="8" t="str">
        <f>IFERROR(INDEX(样本到样信息汇总统计!T$2:T$500,MATCH(458,样本到样信息汇总统计!$AA$2:$AA$500,0)),"")</f>
        <v/>
      </c>
      <c r="U459" s="8" t="str">
        <f>IFERROR(INDEX(样本到样信息汇总统计!U$2:U$500,MATCH(458,样本到样信息汇总统计!$AA$2:$AA$500,0)),"")</f>
        <v/>
      </c>
      <c r="V459" s="8" t="str">
        <f>IFERROR(INDEX(样本到样信息汇总统计!V$2:V$500,MATCH(458,样本到样信息汇总统计!$AA$2:$AA$500,0)),"")</f>
        <v/>
      </c>
      <c r="W459" s="8" t="str">
        <f>IFERROR(INDEX(样本到样信息汇总统计!W$2:W$500,MATCH(458,样本到样信息汇总统计!$AA$2:$AA$500,0)),"")</f>
        <v/>
      </c>
    </row>
    <row r="460" ht="14.5" spans="1:23">
      <c r="A460" s="4" t="str">
        <f>IFERROR(INDEX(样本到样信息汇总统计!A$2:A$500,MATCH(459,样本到样信息汇总统计!$AA$2:$AA$500,0)),"")</f>
        <v/>
      </c>
      <c r="B460" s="4" t="str">
        <f>IFERROR(INDEX(样本到样信息汇总统计!B$2:B$500,MATCH(459,样本到样信息汇总统计!$AA$2:$AA$500,0)),"")</f>
        <v/>
      </c>
      <c r="C460" s="4" t="str">
        <f>IFERROR(INDEX(样本到样信息汇总统计!C$2:C$500,MATCH(459,样本到样信息汇总统计!$AA$2:$AA$500,0)),"")</f>
        <v/>
      </c>
      <c r="D460" s="4" t="str">
        <f>IFERROR(INDEX(样本到样信息汇总统计!D$2:D$500,MATCH(459,样本到样信息汇总统计!$AA$2:$AA$500,0)),"")</f>
        <v/>
      </c>
      <c r="E460" s="4" t="str">
        <f>IFERROR(INDEX(样本到样信息汇总统计!E$2:E$500,MATCH(459,样本到样信息汇总统计!$AA$2:$AA$500,0)),"")</f>
        <v/>
      </c>
      <c r="F460" s="4" t="str">
        <f>IFERROR(INDEX(样本到样信息汇总统计!F$2:F$500,MATCH(459,样本到样信息汇总统计!$AA$2:$AA$500,0)),"")</f>
        <v/>
      </c>
      <c r="G460" s="4" t="str">
        <f>IFERROR(INDEX(样本到样信息汇总统计!G$2:G$500,MATCH(459,样本到样信息汇总统计!$AA$2:$AA$500,0)),"")</f>
        <v/>
      </c>
      <c r="H460" s="4" t="str">
        <f>IFERROR(INDEX(样本到样信息汇总统计!H$2:H$500,MATCH(459,样本到样信息汇总统计!$AA$2:$AA$500,0)),"")</f>
        <v/>
      </c>
      <c r="I460" s="4" t="str">
        <f>IFERROR(INDEX(样本到样信息汇总统计!I$2:I$500,MATCH(459,样本到样信息汇总统计!$AA$2:$AA$500,0)),"")</f>
        <v/>
      </c>
      <c r="J460" s="4" t="str">
        <f>IFERROR(INDEX(样本到样信息汇总统计!J$2:J$500,MATCH(459,样本到样信息汇总统计!$AA$2:$AA$500,0)),"")</f>
        <v/>
      </c>
      <c r="K460" s="4" t="str">
        <f>IFERROR(INDEX(样本到样信息汇总统计!K$2:K$500,MATCH(459,样本到样信息汇总统计!$AA$2:$AA$500,0)),"")</f>
        <v/>
      </c>
      <c r="L460" s="4" t="str">
        <f>IFERROR(INDEX(样本到样信息汇总统计!L$2:L$500,MATCH(459,样本到样信息汇总统计!$AA$2:$AA$500,0)),"")</f>
        <v/>
      </c>
      <c r="M460" s="4" t="str">
        <f>IFERROR(INDEX(样本到样信息汇总统计!M$2:M$500,MATCH(459,样本到样信息汇总统计!$AA$2:$AA$500,0)),"")</f>
        <v/>
      </c>
      <c r="N460" s="4" t="str">
        <f>IFERROR(INDEX(样本到样信息汇总统计!N$2:N$500,MATCH(459,样本到样信息汇总统计!$AA$2:$AA$500,0)),"")</f>
        <v/>
      </c>
      <c r="O460" s="4" t="str">
        <f>IFERROR(INDEX(样本到样信息汇总统计!O$2:O$500,MATCH(459,样本到样信息汇总统计!$AA$2:$AA$500,0)),"")</f>
        <v/>
      </c>
      <c r="P460" s="4" t="str">
        <f>IFERROR(INDEX(样本到样信息汇总统计!P$2:P$500,MATCH(459,样本到样信息汇总统计!$AA$2:$AA$500,0)),"")</f>
        <v/>
      </c>
      <c r="Q460" s="4" t="str">
        <f>IFERROR(INDEX(样本到样信息汇总统计!Q$2:Q$500,MATCH(459,样本到样信息汇总统计!$AA$2:$AA$500,0)),"")</f>
        <v/>
      </c>
      <c r="R460" s="4" t="str">
        <f>IFERROR(INDEX(样本到样信息汇总统计!R$2:R$500,MATCH(459,样本到样信息汇总统计!$AA$2:$AA$500,0)),"")</f>
        <v/>
      </c>
      <c r="S460" s="4" t="str">
        <f>IFERROR(INDEX(样本到样信息汇总统计!S$2:S$500,MATCH(459,样本到样信息汇总统计!$AA$2:$AA$500,0)),"")</f>
        <v/>
      </c>
      <c r="T460" s="4" t="str">
        <f>IFERROR(INDEX(样本到样信息汇总统计!T$2:T$500,MATCH(459,样本到样信息汇总统计!$AA$2:$AA$500,0)),"")</f>
        <v/>
      </c>
      <c r="U460" s="4" t="str">
        <f>IFERROR(INDEX(样本到样信息汇总统计!U$2:U$500,MATCH(459,样本到样信息汇总统计!$AA$2:$AA$500,0)),"")</f>
        <v/>
      </c>
      <c r="V460" s="4" t="str">
        <f>IFERROR(INDEX(样本到样信息汇总统计!V$2:V$500,MATCH(459,样本到样信息汇总统计!$AA$2:$AA$500,0)),"")</f>
        <v/>
      </c>
      <c r="W460" s="4" t="str">
        <f>IFERROR(INDEX(样本到样信息汇总统计!W$2:W$500,MATCH(459,样本到样信息汇总统计!$AA$2:$AA$500,0)),"")</f>
        <v/>
      </c>
    </row>
    <row r="461" ht="14.5" spans="1:23">
      <c r="A461" s="8" t="str">
        <f>IFERROR(INDEX(样本到样信息汇总统计!A$2:A$500,MATCH(460,样本到样信息汇总统计!$AA$2:$AA$500,0)),"")</f>
        <v/>
      </c>
      <c r="B461" s="8" t="str">
        <f>IFERROR(INDEX(样本到样信息汇总统计!B$2:B$500,MATCH(460,样本到样信息汇总统计!$AA$2:$AA$500,0)),"")</f>
        <v/>
      </c>
      <c r="C461" s="8" t="str">
        <f>IFERROR(INDEX(样本到样信息汇总统计!C$2:C$500,MATCH(460,样本到样信息汇总统计!$AA$2:$AA$500,0)),"")</f>
        <v/>
      </c>
      <c r="D461" s="8" t="str">
        <f>IFERROR(INDEX(样本到样信息汇总统计!D$2:D$500,MATCH(460,样本到样信息汇总统计!$AA$2:$AA$500,0)),"")</f>
        <v/>
      </c>
      <c r="E461" s="8" t="str">
        <f>IFERROR(INDEX(样本到样信息汇总统计!E$2:E$500,MATCH(460,样本到样信息汇总统计!$AA$2:$AA$500,0)),"")</f>
        <v/>
      </c>
      <c r="F461" s="8" t="str">
        <f>IFERROR(INDEX(样本到样信息汇总统计!F$2:F$500,MATCH(460,样本到样信息汇总统计!$AA$2:$AA$500,0)),"")</f>
        <v/>
      </c>
      <c r="G461" s="8" t="str">
        <f>IFERROR(INDEX(样本到样信息汇总统计!G$2:G$500,MATCH(460,样本到样信息汇总统计!$AA$2:$AA$500,0)),"")</f>
        <v/>
      </c>
      <c r="H461" s="8" t="str">
        <f>IFERROR(INDEX(样本到样信息汇总统计!H$2:H$500,MATCH(460,样本到样信息汇总统计!$AA$2:$AA$500,0)),"")</f>
        <v/>
      </c>
      <c r="I461" s="8" t="str">
        <f>IFERROR(INDEX(样本到样信息汇总统计!I$2:I$500,MATCH(460,样本到样信息汇总统计!$AA$2:$AA$500,0)),"")</f>
        <v/>
      </c>
      <c r="J461" s="8" t="str">
        <f>IFERROR(INDEX(样本到样信息汇总统计!J$2:J$500,MATCH(460,样本到样信息汇总统计!$AA$2:$AA$500,0)),"")</f>
        <v/>
      </c>
      <c r="K461" s="8" t="str">
        <f>IFERROR(INDEX(样本到样信息汇总统计!K$2:K$500,MATCH(460,样本到样信息汇总统计!$AA$2:$AA$500,0)),"")</f>
        <v/>
      </c>
      <c r="L461" s="8" t="str">
        <f>IFERROR(INDEX(样本到样信息汇总统计!L$2:L$500,MATCH(460,样本到样信息汇总统计!$AA$2:$AA$500,0)),"")</f>
        <v/>
      </c>
      <c r="M461" s="8" t="str">
        <f>IFERROR(INDEX(样本到样信息汇总统计!M$2:M$500,MATCH(460,样本到样信息汇总统计!$AA$2:$AA$500,0)),"")</f>
        <v/>
      </c>
      <c r="N461" s="8" t="str">
        <f>IFERROR(INDEX(样本到样信息汇总统计!N$2:N$500,MATCH(460,样本到样信息汇总统计!$AA$2:$AA$500,0)),"")</f>
        <v/>
      </c>
      <c r="O461" s="8" t="str">
        <f>IFERROR(INDEX(样本到样信息汇总统计!O$2:O$500,MATCH(460,样本到样信息汇总统计!$AA$2:$AA$500,0)),"")</f>
        <v/>
      </c>
      <c r="P461" s="8" t="str">
        <f>IFERROR(INDEX(样本到样信息汇总统计!P$2:P$500,MATCH(460,样本到样信息汇总统计!$AA$2:$AA$500,0)),"")</f>
        <v/>
      </c>
      <c r="Q461" s="8" t="str">
        <f>IFERROR(INDEX(样本到样信息汇总统计!Q$2:Q$500,MATCH(460,样本到样信息汇总统计!$AA$2:$AA$500,0)),"")</f>
        <v/>
      </c>
      <c r="R461" s="8" t="str">
        <f>IFERROR(INDEX(样本到样信息汇总统计!R$2:R$500,MATCH(460,样本到样信息汇总统计!$AA$2:$AA$500,0)),"")</f>
        <v/>
      </c>
      <c r="S461" s="8" t="str">
        <f>IFERROR(INDEX(样本到样信息汇总统计!S$2:S$500,MATCH(460,样本到样信息汇总统计!$AA$2:$AA$500,0)),"")</f>
        <v/>
      </c>
      <c r="T461" s="8" t="str">
        <f>IFERROR(INDEX(样本到样信息汇总统计!T$2:T$500,MATCH(460,样本到样信息汇总统计!$AA$2:$AA$500,0)),"")</f>
        <v/>
      </c>
      <c r="U461" s="8" t="str">
        <f>IFERROR(INDEX(样本到样信息汇总统计!U$2:U$500,MATCH(460,样本到样信息汇总统计!$AA$2:$AA$500,0)),"")</f>
        <v/>
      </c>
      <c r="V461" s="8" t="str">
        <f>IFERROR(INDEX(样本到样信息汇总统计!V$2:V$500,MATCH(460,样本到样信息汇总统计!$AA$2:$AA$500,0)),"")</f>
        <v/>
      </c>
      <c r="W461" s="8" t="str">
        <f>IFERROR(INDEX(样本到样信息汇总统计!W$2:W$500,MATCH(460,样本到样信息汇总统计!$AA$2:$AA$500,0)),"")</f>
        <v/>
      </c>
    </row>
    <row r="462" ht="14.5" spans="1:23">
      <c r="A462" s="4" t="str">
        <f>IFERROR(INDEX(样本到样信息汇总统计!A$2:A$500,MATCH(461,样本到样信息汇总统计!$AA$2:$AA$500,0)),"")</f>
        <v/>
      </c>
      <c r="B462" s="4" t="str">
        <f>IFERROR(INDEX(样本到样信息汇总统计!B$2:B$500,MATCH(461,样本到样信息汇总统计!$AA$2:$AA$500,0)),"")</f>
        <v/>
      </c>
      <c r="C462" s="4" t="str">
        <f>IFERROR(INDEX(样本到样信息汇总统计!C$2:C$500,MATCH(461,样本到样信息汇总统计!$AA$2:$AA$500,0)),"")</f>
        <v/>
      </c>
      <c r="D462" s="4" t="str">
        <f>IFERROR(INDEX(样本到样信息汇总统计!D$2:D$500,MATCH(461,样本到样信息汇总统计!$AA$2:$AA$500,0)),"")</f>
        <v/>
      </c>
      <c r="E462" s="4" t="str">
        <f>IFERROR(INDEX(样本到样信息汇总统计!E$2:E$500,MATCH(461,样本到样信息汇总统计!$AA$2:$AA$500,0)),"")</f>
        <v/>
      </c>
      <c r="F462" s="4" t="str">
        <f>IFERROR(INDEX(样本到样信息汇总统计!F$2:F$500,MATCH(461,样本到样信息汇总统计!$AA$2:$AA$500,0)),"")</f>
        <v/>
      </c>
      <c r="G462" s="4" t="str">
        <f>IFERROR(INDEX(样本到样信息汇总统计!G$2:G$500,MATCH(461,样本到样信息汇总统计!$AA$2:$AA$500,0)),"")</f>
        <v/>
      </c>
      <c r="H462" s="4" t="str">
        <f>IFERROR(INDEX(样本到样信息汇总统计!H$2:H$500,MATCH(461,样本到样信息汇总统计!$AA$2:$AA$500,0)),"")</f>
        <v/>
      </c>
      <c r="I462" s="4" t="str">
        <f>IFERROR(INDEX(样本到样信息汇总统计!I$2:I$500,MATCH(461,样本到样信息汇总统计!$AA$2:$AA$500,0)),"")</f>
        <v/>
      </c>
      <c r="J462" s="4" t="str">
        <f>IFERROR(INDEX(样本到样信息汇总统计!J$2:J$500,MATCH(461,样本到样信息汇总统计!$AA$2:$AA$500,0)),"")</f>
        <v/>
      </c>
      <c r="K462" s="4" t="str">
        <f>IFERROR(INDEX(样本到样信息汇总统计!K$2:K$500,MATCH(461,样本到样信息汇总统计!$AA$2:$AA$500,0)),"")</f>
        <v/>
      </c>
      <c r="L462" s="4" t="str">
        <f>IFERROR(INDEX(样本到样信息汇总统计!L$2:L$500,MATCH(461,样本到样信息汇总统计!$AA$2:$AA$500,0)),"")</f>
        <v/>
      </c>
      <c r="M462" s="4" t="str">
        <f>IFERROR(INDEX(样本到样信息汇总统计!M$2:M$500,MATCH(461,样本到样信息汇总统计!$AA$2:$AA$500,0)),"")</f>
        <v/>
      </c>
      <c r="N462" s="4" t="str">
        <f>IFERROR(INDEX(样本到样信息汇总统计!N$2:N$500,MATCH(461,样本到样信息汇总统计!$AA$2:$AA$500,0)),"")</f>
        <v/>
      </c>
      <c r="O462" s="4" t="str">
        <f>IFERROR(INDEX(样本到样信息汇总统计!O$2:O$500,MATCH(461,样本到样信息汇总统计!$AA$2:$AA$500,0)),"")</f>
        <v/>
      </c>
      <c r="P462" s="4" t="str">
        <f>IFERROR(INDEX(样本到样信息汇总统计!P$2:P$500,MATCH(461,样本到样信息汇总统计!$AA$2:$AA$500,0)),"")</f>
        <v/>
      </c>
      <c r="Q462" s="4" t="str">
        <f>IFERROR(INDEX(样本到样信息汇总统计!Q$2:Q$500,MATCH(461,样本到样信息汇总统计!$AA$2:$AA$500,0)),"")</f>
        <v/>
      </c>
      <c r="R462" s="4" t="str">
        <f>IFERROR(INDEX(样本到样信息汇总统计!R$2:R$500,MATCH(461,样本到样信息汇总统计!$AA$2:$AA$500,0)),"")</f>
        <v/>
      </c>
      <c r="S462" s="4" t="str">
        <f>IFERROR(INDEX(样本到样信息汇总统计!S$2:S$500,MATCH(461,样本到样信息汇总统计!$AA$2:$AA$500,0)),"")</f>
        <v/>
      </c>
      <c r="T462" s="4" t="str">
        <f>IFERROR(INDEX(样本到样信息汇总统计!T$2:T$500,MATCH(461,样本到样信息汇总统计!$AA$2:$AA$500,0)),"")</f>
        <v/>
      </c>
      <c r="U462" s="4" t="str">
        <f>IFERROR(INDEX(样本到样信息汇总统计!U$2:U$500,MATCH(461,样本到样信息汇总统计!$AA$2:$AA$500,0)),"")</f>
        <v/>
      </c>
      <c r="V462" s="4" t="str">
        <f>IFERROR(INDEX(样本到样信息汇总统计!V$2:V$500,MATCH(461,样本到样信息汇总统计!$AA$2:$AA$500,0)),"")</f>
        <v/>
      </c>
      <c r="W462" s="4" t="str">
        <f>IFERROR(INDEX(样本到样信息汇总统计!W$2:W$500,MATCH(461,样本到样信息汇总统计!$AA$2:$AA$500,0)),"")</f>
        <v/>
      </c>
    </row>
    <row r="463" ht="14.5" spans="1:23">
      <c r="A463" s="8" t="str">
        <f>IFERROR(INDEX(样本到样信息汇总统计!A$2:A$500,MATCH(462,样本到样信息汇总统计!$AA$2:$AA$500,0)),"")</f>
        <v/>
      </c>
      <c r="B463" s="8" t="str">
        <f>IFERROR(INDEX(样本到样信息汇总统计!B$2:B$500,MATCH(462,样本到样信息汇总统计!$AA$2:$AA$500,0)),"")</f>
        <v/>
      </c>
      <c r="C463" s="8" t="str">
        <f>IFERROR(INDEX(样本到样信息汇总统计!C$2:C$500,MATCH(462,样本到样信息汇总统计!$AA$2:$AA$500,0)),"")</f>
        <v/>
      </c>
      <c r="D463" s="8" t="str">
        <f>IFERROR(INDEX(样本到样信息汇总统计!D$2:D$500,MATCH(462,样本到样信息汇总统计!$AA$2:$AA$500,0)),"")</f>
        <v/>
      </c>
      <c r="E463" s="8" t="str">
        <f>IFERROR(INDEX(样本到样信息汇总统计!E$2:E$500,MATCH(462,样本到样信息汇总统计!$AA$2:$AA$500,0)),"")</f>
        <v/>
      </c>
      <c r="F463" s="8" t="str">
        <f>IFERROR(INDEX(样本到样信息汇总统计!F$2:F$500,MATCH(462,样本到样信息汇总统计!$AA$2:$AA$500,0)),"")</f>
        <v/>
      </c>
      <c r="G463" s="8" t="str">
        <f>IFERROR(INDEX(样本到样信息汇总统计!G$2:G$500,MATCH(462,样本到样信息汇总统计!$AA$2:$AA$500,0)),"")</f>
        <v/>
      </c>
      <c r="H463" s="8" t="str">
        <f>IFERROR(INDEX(样本到样信息汇总统计!H$2:H$500,MATCH(462,样本到样信息汇总统计!$AA$2:$AA$500,0)),"")</f>
        <v/>
      </c>
      <c r="I463" s="8" t="str">
        <f>IFERROR(INDEX(样本到样信息汇总统计!I$2:I$500,MATCH(462,样本到样信息汇总统计!$AA$2:$AA$500,0)),"")</f>
        <v/>
      </c>
      <c r="J463" s="8" t="str">
        <f>IFERROR(INDEX(样本到样信息汇总统计!J$2:J$500,MATCH(462,样本到样信息汇总统计!$AA$2:$AA$500,0)),"")</f>
        <v/>
      </c>
      <c r="K463" s="8" t="str">
        <f>IFERROR(INDEX(样本到样信息汇总统计!K$2:K$500,MATCH(462,样本到样信息汇总统计!$AA$2:$AA$500,0)),"")</f>
        <v/>
      </c>
      <c r="L463" s="8" t="str">
        <f>IFERROR(INDEX(样本到样信息汇总统计!L$2:L$500,MATCH(462,样本到样信息汇总统计!$AA$2:$AA$500,0)),"")</f>
        <v/>
      </c>
      <c r="M463" s="8" t="str">
        <f>IFERROR(INDEX(样本到样信息汇总统计!M$2:M$500,MATCH(462,样本到样信息汇总统计!$AA$2:$AA$500,0)),"")</f>
        <v/>
      </c>
      <c r="N463" s="8" t="str">
        <f>IFERROR(INDEX(样本到样信息汇总统计!N$2:N$500,MATCH(462,样本到样信息汇总统计!$AA$2:$AA$500,0)),"")</f>
        <v/>
      </c>
      <c r="O463" s="8" t="str">
        <f>IFERROR(INDEX(样本到样信息汇总统计!O$2:O$500,MATCH(462,样本到样信息汇总统计!$AA$2:$AA$500,0)),"")</f>
        <v/>
      </c>
      <c r="P463" s="8" t="str">
        <f>IFERROR(INDEX(样本到样信息汇总统计!P$2:P$500,MATCH(462,样本到样信息汇总统计!$AA$2:$AA$500,0)),"")</f>
        <v/>
      </c>
      <c r="Q463" s="8" t="str">
        <f>IFERROR(INDEX(样本到样信息汇总统计!Q$2:Q$500,MATCH(462,样本到样信息汇总统计!$AA$2:$AA$500,0)),"")</f>
        <v/>
      </c>
      <c r="R463" s="8" t="str">
        <f>IFERROR(INDEX(样本到样信息汇总统计!R$2:R$500,MATCH(462,样本到样信息汇总统计!$AA$2:$AA$500,0)),"")</f>
        <v/>
      </c>
      <c r="S463" s="8" t="str">
        <f>IFERROR(INDEX(样本到样信息汇总统计!S$2:S$500,MATCH(462,样本到样信息汇总统计!$AA$2:$AA$500,0)),"")</f>
        <v/>
      </c>
      <c r="T463" s="8" t="str">
        <f>IFERROR(INDEX(样本到样信息汇总统计!T$2:T$500,MATCH(462,样本到样信息汇总统计!$AA$2:$AA$500,0)),"")</f>
        <v/>
      </c>
      <c r="U463" s="8" t="str">
        <f>IFERROR(INDEX(样本到样信息汇总统计!U$2:U$500,MATCH(462,样本到样信息汇总统计!$AA$2:$AA$500,0)),"")</f>
        <v/>
      </c>
      <c r="V463" s="8" t="str">
        <f>IFERROR(INDEX(样本到样信息汇总统计!V$2:V$500,MATCH(462,样本到样信息汇总统计!$AA$2:$AA$500,0)),"")</f>
        <v/>
      </c>
      <c r="W463" s="8" t="str">
        <f>IFERROR(INDEX(样本到样信息汇总统计!W$2:W$500,MATCH(462,样本到样信息汇总统计!$AA$2:$AA$500,0)),"")</f>
        <v/>
      </c>
    </row>
    <row r="464" ht="14.5" spans="1:23">
      <c r="A464" s="4" t="str">
        <f>IFERROR(INDEX(样本到样信息汇总统计!A$2:A$500,MATCH(463,样本到样信息汇总统计!$AA$2:$AA$500,0)),"")</f>
        <v/>
      </c>
      <c r="B464" s="4" t="str">
        <f>IFERROR(INDEX(样本到样信息汇总统计!B$2:B$500,MATCH(463,样本到样信息汇总统计!$AA$2:$AA$500,0)),"")</f>
        <v/>
      </c>
      <c r="C464" s="4" t="str">
        <f>IFERROR(INDEX(样本到样信息汇总统计!C$2:C$500,MATCH(463,样本到样信息汇总统计!$AA$2:$AA$500,0)),"")</f>
        <v/>
      </c>
      <c r="D464" s="4" t="str">
        <f>IFERROR(INDEX(样本到样信息汇总统计!D$2:D$500,MATCH(463,样本到样信息汇总统计!$AA$2:$AA$500,0)),"")</f>
        <v/>
      </c>
      <c r="E464" s="4" t="str">
        <f>IFERROR(INDEX(样本到样信息汇总统计!E$2:E$500,MATCH(463,样本到样信息汇总统计!$AA$2:$AA$500,0)),"")</f>
        <v/>
      </c>
      <c r="F464" s="4" t="str">
        <f>IFERROR(INDEX(样本到样信息汇总统计!F$2:F$500,MATCH(463,样本到样信息汇总统计!$AA$2:$AA$500,0)),"")</f>
        <v/>
      </c>
      <c r="G464" s="4" t="str">
        <f>IFERROR(INDEX(样本到样信息汇总统计!G$2:G$500,MATCH(463,样本到样信息汇总统计!$AA$2:$AA$500,0)),"")</f>
        <v/>
      </c>
      <c r="H464" s="4" t="str">
        <f>IFERROR(INDEX(样本到样信息汇总统计!H$2:H$500,MATCH(463,样本到样信息汇总统计!$AA$2:$AA$500,0)),"")</f>
        <v/>
      </c>
      <c r="I464" s="4" t="str">
        <f>IFERROR(INDEX(样本到样信息汇总统计!I$2:I$500,MATCH(463,样本到样信息汇总统计!$AA$2:$AA$500,0)),"")</f>
        <v/>
      </c>
      <c r="J464" s="4" t="str">
        <f>IFERROR(INDEX(样本到样信息汇总统计!J$2:J$500,MATCH(463,样本到样信息汇总统计!$AA$2:$AA$500,0)),"")</f>
        <v/>
      </c>
      <c r="K464" s="4" t="str">
        <f>IFERROR(INDEX(样本到样信息汇总统计!K$2:K$500,MATCH(463,样本到样信息汇总统计!$AA$2:$AA$500,0)),"")</f>
        <v/>
      </c>
      <c r="L464" s="4" t="str">
        <f>IFERROR(INDEX(样本到样信息汇总统计!L$2:L$500,MATCH(463,样本到样信息汇总统计!$AA$2:$AA$500,0)),"")</f>
        <v/>
      </c>
      <c r="M464" s="4" t="str">
        <f>IFERROR(INDEX(样本到样信息汇总统计!M$2:M$500,MATCH(463,样本到样信息汇总统计!$AA$2:$AA$500,0)),"")</f>
        <v/>
      </c>
      <c r="N464" s="4" t="str">
        <f>IFERROR(INDEX(样本到样信息汇总统计!N$2:N$500,MATCH(463,样本到样信息汇总统计!$AA$2:$AA$500,0)),"")</f>
        <v/>
      </c>
      <c r="O464" s="4" t="str">
        <f>IFERROR(INDEX(样本到样信息汇总统计!O$2:O$500,MATCH(463,样本到样信息汇总统计!$AA$2:$AA$500,0)),"")</f>
        <v/>
      </c>
      <c r="P464" s="4" t="str">
        <f>IFERROR(INDEX(样本到样信息汇总统计!P$2:P$500,MATCH(463,样本到样信息汇总统计!$AA$2:$AA$500,0)),"")</f>
        <v/>
      </c>
      <c r="Q464" s="4" t="str">
        <f>IFERROR(INDEX(样本到样信息汇总统计!Q$2:Q$500,MATCH(463,样本到样信息汇总统计!$AA$2:$AA$500,0)),"")</f>
        <v/>
      </c>
      <c r="R464" s="4" t="str">
        <f>IFERROR(INDEX(样本到样信息汇总统计!R$2:R$500,MATCH(463,样本到样信息汇总统计!$AA$2:$AA$500,0)),"")</f>
        <v/>
      </c>
      <c r="S464" s="4" t="str">
        <f>IFERROR(INDEX(样本到样信息汇总统计!S$2:S$500,MATCH(463,样本到样信息汇总统计!$AA$2:$AA$500,0)),"")</f>
        <v/>
      </c>
      <c r="T464" s="4" t="str">
        <f>IFERROR(INDEX(样本到样信息汇总统计!T$2:T$500,MATCH(463,样本到样信息汇总统计!$AA$2:$AA$500,0)),"")</f>
        <v/>
      </c>
      <c r="U464" s="4" t="str">
        <f>IFERROR(INDEX(样本到样信息汇总统计!U$2:U$500,MATCH(463,样本到样信息汇总统计!$AA$2:$AA$500,0)),"")</f>
        <v/>
      </c>
      <c r="V464" s="4" t="str">
        <f>IFERROR(INDEX(样本到样信息汇总统计!V$2:V$500,MATCH(463,样本到样信息汇总统计!$AA$2:$AA$500,0)),"")</f>
        <v/>
      </c>
      <c r="W464" s="4" t="str">
        <f>IFERROR(INDEX(样本到样信息汇总统计!W$2:W$500,MATCH(463,样本到样信息汇总统计!$AA$2:$AA$500,0)),"")</f>
        <v/>
      </c>
    </row>
    <row r="465" ht="14.5" spans="1:23">
      <c r="A465" s="8" t="str">
        <f>IFERROR(INDEX(样本到样信息汇总统计!A$2:A$500,MATCH(464,样本到样信息汇总统计!$AA$2:$AA$500,0)),"")</f>
        <v/>
      </c>
      <c r="B465" s="8" t="str">
        <f>IFERROR(INDEX(样本到样信息汇总统计!B$2:B$500,MATCH(464,样本到样信息汇总统计!$AA$2:$AA$500,0)),"")</f>
        <v/>
      </c>
      <c r="C465" s="8" t="str">
        <f>IFERROR(INDEX(样本到样信息汇总统计!C$2:C$500,MATCH(464,样本到样信息汇总统计!$AA$2:$AA$500,0)),"")</f>
        <v/>
      </c>
      <c r="D465" s="8" t="str">
        <f>IFERROR(INDEX(样本到样信息汇总统计!D$2:D$500,MATCH(464,样本到样信息汇总统计!$AA$2:$AA$500,0)),"")</f>
        <v/>
      </c>
      <c r="E465" s="8" t="str">
        <f>IFERROR(INDEX(样本到样信息汇总统计!E$2:E$500,MATCH(464,样本到样信息汇总统计!$AA$2:$AA$500,0)),"")</f>
        <v/>
      </c>
      <c r="F465" s="8" t="str">
        <f>IFERROR(INDEX(样本到样信息汇总统计!F$2:F$500,MATCH(464,样本到样信息汇总统计!$AA$2:$AA$500,0)),"")</f>
        <v/>
      </c>
      <c r="G465" s="8" t="str">
        <f>IFERROR(INDEX(样本到样信息汇总统计!G$2:G$500,MATCH(464,样本到样信息汇总统计!$AA$2:$AA$500,0)),"")</f>
        <v/>
      </c>
      <c r="H465" s="8" t="str">
        <f>IFERROR(INDEX(样本到样信息汇总统计!H$2:H$500,MATCH(464,样本到样信息汇总统计!$AA$2:$AA$500,0)),"")</f>
        <v/>
      </c>
      <c r="I465" s="8" t="str">
        <f>IFERROR(INDEX(样本到样信息汇总统计!I$2:I$500,MATCH(464,样本到样信息汇总统计!$AA$2:$AA$500,0)),"")</f>
        <v/>
      </c>
      <c r="J465" s="8" t="str">
        <f>IFERROR(INDEX(样本到样信息汇总统计!J$2:J$500,MATCH(464,样本到样信息汇总统计!$AA$2:$AA$500,0)),"")</f>
        <v/>
      </c>
      <c r="K465" s="8" t="str">
        <f>IFERROR(INDEX(样本到样信息汇总统计!K$2:K$500,MATCH(464,样本到样信息汇总统计!$AA$2:$AA$500,0)),"")</f>
        <v/>
      </c>
      <c r="L465" s="8" t="str">
        <f>IFERROR(INDEX(样本到样信息汇总统计!L$2:L$500,MATCH(464,样本到样信息汇总统计!$AA$2:$AA$500,0)),"")</f>
        <v/>
      </c>
      <c r="M465" s="8" t="str">
        <f>IFERROR(INDEX(样本到样信息汇总统计!M$2:M$500,MATCH(464,样本到样信息汇总统计!$AA$2:$AA$500,0)),"")</f>
        <v/>
      </c>
      <c r="N465" s="8" t="str">
        <f>IFERROR(INDEX(样本到样信息汇总统计!N$2:N$500,MATCH(464,样本到样信息汇总统计!$AA$2:$AA$500,0)),"")</f>
        <v/>
      </c>
      <c r="O465" s="8" t="str">
        <f>IFERROR(INDEX(样本到样信息汇总统计!O$2:O$500,MATCH(464,样本到样信息汇总统计!$AA$2:$AA$500,0)),"")</f>
        <v/>
      </c>
      <c r="P465" s="8" t="str">
        <f>IFERROR(INDEX(样本到样信息汇总统计!P$2:P$500,MATCH(464,样本到样信息汇总统计!$AA$2:$AA$500,0)),"")</f>
        <v/>
      </c>
      <c r="Q465" s="8" t="str">
        <f>IFERROR(INDEX(样本到样信息汇总统计!Q$2:Q$500,MATCH(464,样本到样信息汇总统计!$AA$2:$AA$500,0)),"")</f>
        <v/>
      </c>
      <c r="R465" s="8" t="str">
        <f>IFERROR(INDEX(样本到样信息汇总统计!R$2:R$500,MATCH(464,样本到样信息汇总统计!$AA$2:$AA$500,0)),"")</f>
        <v/>
      </c>
      <c r="S465" s="8" t="str">
        <f>IFERROR(INDEX(样本到样信息汇总统计!S$2:S$500,MATCH(464,样本到样信息汇总统计!$AA$2:$AA$500,0)),"")</f>
        <v/>
      </c>
      <c r="T465" s="8" t="str">
        <f>IFERROR(INDEX(样本到样信息汇总统计!T$2:T$500,MATCH(464,样本到样信息汇总统计!$AA$2:$AA$500,0)),"")</f>
        <v/>
      </c>
      <c r="U465" s="8" t="str">
        <f>IFERROR(INDEX(样本到样信息汇总统计!U$2:U$500,MATCH(464,样本到样信息汇总统计!$AA$2:$AA$500,0)),"")</f>
        <v/>
      </c>
      <c r="V465" s="8" t="str">
        <f>IFERROR(INDEX(样本到样信息汇总统计!V$2:V$500,MATCH(464,样本到样信息汇总统计!$AA$2:$AA$500,0)),"")</f>
        <v/>
      </c>
      <c r="W465" s="8" t="str">
        <f>IFERROR(INDEX(样本到样信息汇总统计!W$2:W$500,MATCH(464,样本到样信息汇总统计!$AA$2:$AA$500,0)),"")</f>
        <v/>
      </c>
    </row>
    <row r="466" ht="14.5" spans="1:23">
      <c r="A466" s="4" t="str">
        <f>IFERROR(INDEX(样本到样信息汇总统计!A$2:A$500,MATCH(465,样本到样信息汇总统计!$AA$2:$AA$500,0)),"")</f>
        <v/>
      </c>
      <c r="B466" s="4" t="str">
        <f>IFERROR(INDEX(样本到样信息汇总统计!B$2:B$500,MATCH(465,样本到样信息汇总统计!$AA$2:$AA$500,0)),"")</f>
        <v/>
      </c>
      <c r="C466" s="4" t="str">
        <f>IFERROR(INDEX(样本到样信息汇总统计!C$2:C$500,MATCH(465,样本到样信息汇总统计!$AA$2:$AA$500,0)),"")</f>
        <v/>
      </c>
      <c r="D466" s="4" t="str">
        <f>IFERROR(INDEX(样本到样信息汇总统计!D$2:D$500,MATCH(465,样本到样信息汇总统计!$AA$2:$AA$500,0)),"")</f>
        <v/>
      </c>
      <c r="E466" s="4" t="str">
        <f>IFERROR(INDEX(样本到样信息汇总统计!E$2:E$500,MATCH(465,样本到样信息汇总统计!$AA$2:$AA$500,0)),"")</f>
        <v/>
      </c>
      <c r="F466" s="4" t="str">
        <f>IFERROR(INDEX(样本到样信息汇总统计!F$2:F$500,MATCH(465,样本到样信息汇总统计!$AA$2:$AA$500,0)),"")</f>
        <v/>
      </c>
      <c r="G466" s="4" t="str">
        <f>IFERROR(INDEX(样本到样信息汇总统计!G$2:G$500,MATCH(465,样本到样信息汇总统计!$AA$2:$AA$500,0)),"")</f>
        <v/>
      </c>
      <c r="H466" s="4" t="str">
        <f>IFERROR(INDEX(样本到样信息汇总统计!H$2:H$500,MATCH(465,样本到样信息汇总统计!$AA$2:$AA$500,0)),"")</f>
        <v/>
      </c>
      <c r="I466" s="4" t="str">
        <f>IFERROR(INDEX(样本到样信息汇总统计!I$2:I$500,MATCH(465,样本到样信息汇总统计!$AA$2:$AA$500,0)),"")</f>
        <v/>
      </c>
      <c r="J466" s="4" t="str">
        <f>IFERROR(INDEX(样本到样信息汇总统计!J$2:J$500,MATCH(465,样本到样信息汇总统计!$AA$2:$AA$500,0)),"")</f>
        <v/>
      </c>
      <c r="K466" s="4" t="str">
        <f>IFERROR(INDEX(样本到样信息汇总统计!K$2:K$500,MATCH(465,样本到样信息汇总统计!$AA$2:$AA$500,0)),"")</f>
        <v/>
      </c>
      <c r="L466" s="4" t="str">
        <f>IFERROR(INDEX(样本到样信息汇总统计!L$2:L$500,MATCH(465,样本到样信息汇总统计!$AA$2:$AA$500,0)),"")</f>
        <v/>
      </c>
      <c r="M466" s="4" t="str">
        <f>IFERROR(INDEX(样本到样信息汇总统计!M$2:M$500,MATCH(465,样本到样信息汇总统计!$AA$2:$AA$500,0)),"")</f>
        <v/>
      </c>
      <c r="N466" s="4" t="str">
        <f>IFERROR(INDEX(样本到样信息汇总统计!N$2:N$500,MATCH(465,样本到样信息汇总统计!$AA$2:$AA$500,0)),"")</f>
        <v/>
      </c>
      <c r="O466" s="4" t="str">
        <f>IFERROR(INDEX(样本到样信息汇总统计!O$2:O$500,MATCH(465,样本到样信息汇总统计!$AA$2:$AA$500,0)),"")</f>
        <v/>
      </c>
      <c r="P466" s="4" t="str">
        <f>IFERROR(INDEX(样本到样信息汇总统计!P$2:P$500,MATCH(465,样本到样信息汇总统计!$AA$2:$AA$500,0)),"")</f>
        <v/>
      </c>
      <c r="Q466" s="4" t="str">
        <f>IFERROR(INDEX(样本到样信息汇总统计!Q$2:Q$500,MATCH(465,样本到样信息汇总统计!$AA$2:$AA$500,0)),"")</f>
        <v/>
      </c>
      <c r="R466" s="4" t="str">
        <f>IFERROR(INDEX(样本到样信息汇总统计!R$2:R$500,MATCH(465,样本到样信息汇总统计!$AA$2:$AA$500,0)),"")</f>
        <v/>
      </c>
      <c r="S466" s="4" t="str">
        <f>IFERROR(INDEX(样本到样信息汇总统计!S$2:S$500,MATCH(465,样本到样信息汇总统计!$AA$2:$AA$500,0)),"")</f>
        <v/>
      </c>
      <c r="T466" s="4" t="str">
        <f>IFERROR(INDEX(样本到样信息汇总统计!T$2:T$500,MATCH(465,样本到样信息汇总统计!$AA$2:$AA$500,0)),"")</f>
        <v/>
      </c>
      <c r="U466" s="4" t="str">
        <f>IFERROR(INDEX(样本到样信息汇总统计!U$2:U$500,MATCH(465,样本到样信息汇总统计!$AA$2:$AA$500,0)),"")</f>
        <v/>
      </c>
      <c r="V466" s="4" t="str">
        <f>IFERROR(INDEX(样本到样信息汇总统计!V$2:V$500,MATCH(465,样本到样信息汇总统计!$AA$2:$AA$500,0)),"")</f>
        <v/>
      </c>
      <c r="W466" s="4" t="str">
        <f>IFERROR(INDEX(样本到样信息汇总统计!W$2:W$500,MATCH(465,样本到样信息汇总统计!$AA$2:$AA$500,0)),"")</f>
        <v/>
      </c>
    </row>
    <row r="467" ht="14.5" spans="1:23">
      <c r="A467" s="8" t="str">
        <f>IFERROR(INDEX(样本到样信息汇总统计!A$2:A$500,MATCH(466,样本到样信息汇总统计!$AA$2:$AA$500,0)),"")</f>
        <v/>
      </c>
      <c r="B467" s="8" t="str">
        <f>IFERROR(INDEX(样本到样信息汇总统计!B$2:B$500,MATCH(466,样本到样信息汇总统计!$AA$2:$AA$500,0)),"")</f>
        <v/>
      </c>
      <c r="C467" s="8" t="str">
        <f>IFERROR(INDEX(样本到样信息汇总统计!C$2:C$500,MATCH(466,样本到样信息汇总统计!$AA$2:$AA$500,0)),"")</f>
        <v/>
      </c>
      <c r="D467" s="8" t="str">
        <f>IFERROR(INDEX(样本到样信息汇总统计!D$2:D$500,MATCH(466,样本到样信息汇总统计!$AA$2:$AA$500,0)),"")</f>
        <v/>
      </c>
      <c r="E467" s="8" t="str">
        <f>IFERROR(INDEX(样本到样信息汇总统计!E$2:E$500,MATCH(466,样本到样信息汇总统计!$AA$2:$AA$500,0)),"")</f>
        <v/>
      </c>
      <c r="F467" s="8" t="str">
        <f>IFERROR(INDEX(样本到样信息汇总统计!F$2:F$500,MATCH(466,样本到样信息汇总统计!$AA$2:$AA$500,0)),"")</f>
        <v/>
      </c>
      <c r="G467" s="8" t="str">
        <f>IFERROR(INDEX(样本到样信息汇总统计!G$2:G$500,MATCH(466,样本到样信息汇总统计!$AA$2:$AA$500,0)),"")</f>
        <v/>
      </c>
      <c r="H467" s="8" t="str">
        <f>IFERROR(INDEX(样本到样信息汇总统计!H$2:H$500,MATCH(466,样本到样信息汇总统计!$AA$2:$AA$500,0)),"")</f>
        <v/>
      </c>
      <c r="I467" s="8" t="str">
        <f>IFERROR(INDEX(样本到样信息汇总统计!I$2:I$500,MATCH(466,样本到样信息汇总统计!$AA$2:$AA$500,0)),"")</f>
        <v/>
      </c>
      <c r="J467" s="8" t="str">
        <f>IFERROR(INDEX(样本到样信息汇总统计!J$2:J$500,MATCH(466,样本到样信息汇总统计!$AA$2:$AA$500,0)),"")</f>
        <v/>
      </c>
      <c r="K467" s="8" t="str">
        <f>IFERROR(INDEX(样本到样信息汇总统计!K$2:K$500,MATCH(466,样本到样信息汇总统计!$AA$2:$AA$500,0)),"")</f>
        <v/>
      </c>
      <c r="L467" s="8" t="str">
        <f>IFERROR(INDEX(样本到样信息汇总统计!L$2:L$500,MATCH(466,样本到样信息汇总统计!$AA$2:$AA$500,0)),"")</f>
        <v/>
      </c>
      <c r="M467" s="8" t="str">
        <f>IFERROR(INDEX(样本到样信息汇总统计!M$2:M$500,MATCH(466,样本到样信息汇总统计!$AA$2:$AA$500,0)),"")</f>
        <v/>
      </c>
      <c r="N467" s="8" t="str">
        <f>IFERROR(INDEX(样本到样信息汇总统计!N$2:N$500,MATCH(466,样本到样信息汇总统计!$AA$2:$AA$500,0)),"")</f>
        <v/>
      </c>
      <c r="O467" s="8" t="str">
        <f>IFERROR(INDEX(样本到样信息汇总统计!O$2:O$500,MATCH(466,样本到样信息汇总统计!$AA$2:$AA$500,0)),"")</f>
        <v/>
      </c>
      <c r="P467" s="8" t="str">
        <f>IFERROR(INDEX(样本到样信息汇总统计!P$2:P$500,MATCH(466,样本到样信息汇总统计!$AA$2:$AA$500,0)),"")</f>
        <v/>
      </c>
      <c r="Q467" s="8" t="str">
        <f>IFERROR(INDEX(样本到样信息汇总统计!Q$2:Q$500,MATCH(466,样本到样信息汇总统计!$AA$2:$AA$500,0)),"")</f>
        <v/>
      </c>
      <c r="R467" s="8" t="str">
        <f>IFERROR(INDEX(样本到样信息汇总统计!R$2:R$500,MATCH(466,样本到样信息汇总统计!$AA$2:$AA$500,0)),"")</f>
        <v/>
      </c>
      <c r="S467" s="8" t="str">
        <f>IFERROR(INDEX(样本到样信息汇总统计!S$2:S$500,MATCH(466,样本到样信息汇总统计!$AA$2:$AA$500,0)),"")</f>
        <v/>
      </c>
      <c r="T467" s="8" t="str">
        <f>IFERROR(INDEX(样本到样信息汇总统计!T$2:T$500,MATCH(466,样本到样信息汇总统计!$AA$2:$AA$500,0)),"")</f>
        <v/>
      </c>
      <c r="U467" s="8" t="str">
        <f>IFERROR(INDEX(样本到样信息汇总统计!U$2:U$500,MATCH(466,样本到样信息汇总统计!$AA$2:$AA$500,0)),"")</f>
        <v/>
      </c>
      <c r="V467" s="8" t="str">
        <f>IFERROR(INDEX(样本到样信息汇总统计!V$2:V$500,MATCH(466,样本到样信息汇总统计!$AA$2:$AA$500,0)),"")</f>
        <v/>
      </c>
      <c r="W467" s="8" t="str">
        <f>IFERROR(INDEX(样本到样信息汇总统计!W$2:W$500,MATCH(466,样本到样信息汇总统计!$AA$2:$AA$500,0)),"")</f>
        <v/>
      </c>
    </row>
    <row r="468" ht="14.5" spans="1:23">
      <c r="A468" s="4" t="str">
        <f>IFERROR(INDEX(样本到样信息汇总统计!A$2:A$500,MATCH(467,样本到样信息汇总统计!$AA$2:$AA$500,0)),"")</f>
        <v/>
      </c>
      <c r="B468" s="4" t="str">
        <f>IFERROR(INDEX(样本到样信息汇总统计!B$2:B$500,MATCH(467,样本到样信息汇总统计!$AA$2:$AA$500,0)),"")</f>
        <v/>
      </c>
      <c r="C468" s="4" t="str">
        <f>IFERROR(INDEX(样本到样信息汇总统计!C$2:C$500,MATCH(467,样本到样信息汇总统计!$AA$2:$AA$500,0)),"")</f>
        <v/>
      </c>
      <c r="D468" s="4" t="str">
        <f>IFERROR(INDEX(样本到样信息汇总统计!D$2:D$500,MATCH(467,样本到样信息汇总统计!$AA$2:$AA$500,0)),"")</f>
        <v/>
      </c>
      <c r="E468" s="4" t="str">
        <f>IFERROR(INDEX(样本到样信息汇总统计!E$2:E$500,MATCH(467,样本到样信息汇总统计!$AA$2:$AA$500,0)),"")</f>
        <v/>
      </c>
      <c r="F468" s="4" t="str">
        <f>IFERROR(INDEX(样本到样信息汇总统计!F$2:F$500,MATCH(467,样本到样信息汇总统计!$AA$2:$AA$500,0)),"")</f>
        <v/>
      </c>
      <c r="G468" s="4" t="str">
        <f>IFERROR(INDEX(样本到样信息汇总统计!G$2:G$500,MATCH(467,样本到样信息汇总统计!$AA$2:$AA$500,0)),"")</f>
        <v/>
      </c>
      <c r="H468" s="4" t="str">
        <f>IFERROR(INDEX(样本到样信息汇总统计!H$2:H$500,MATCH(467,样本到样信息汇总统计!$AA$2:$AA$500,0)),"")</f>
        <v/>
      </c>
      <c r="I468" s="4" t="str">
        <f>IFERROR(INDEX(样本到样信息汇总统计!I$2:I$500,MATCH(467,样本到样信息汇总统计!$AA$2:$AA$500,0)),"")</f>
        <v/>
      </c>
      <c r="J468" s="4" t="str">
        <f>IFERROR(INDEX(样本到样信息汇总统计!J$2:J$500,MATCH(467,样本到样信息汇总统计!$AA$2:$AA$500,0)),"")</f>
        <v/>
      </c>
      <c r="K468" s="4" t="str">
        <f>IFERROR(INDEX(样本到样信息汇总统计!K$2:K$500,MATCH(467,样本到样信息汇总统计!$AA$2:$AA$500,0)),"")</f>
        <v/>
      </c>
      <c r="L468" s="4" t="str">
        <f>IFERROR(INDEX(样本到样信息汇总统计!L$2:L$500,MATCH(467,样本到样信息汇总统计!$AA$2:$AA$500,0)),"")</f>
        <v/>
      </c>
      <c r="M468" s="4" t="str">
        <f>IFERROR(INDEX(样本到样信息汇总统计!M$2:M$500,MATCH(467,样本到样信息汇总统计!$AA$2:$AA$500,0)),"")</f>
        <v/>
      </c>
      <c r="N468" s="4" t="str">
        <f>IFERROR(INDEX(样本到样信息汇总统计!N$2:N$500,MATCH(467,样本到样信息汇总统计!$AA$2:$AA$500,0)),"")</f>
        <v/>
      </c>
      <c r="O468" s="4" t="str">
        <f>IFERROR(INDEX(样本到样信息汇总统计!O$2:O$500,MATCH(467,样本到样信息汇总统计!$AA$2:$AA$500,0)),"")</f>
        <v/>
      </c>
      <c r="P468" s="4" t="str">
        <f>IFERROR(INDEX(样本到样信息汇总统计!P$2:P$500,MATCH(467,样本到样信息汇总统计!$AA$2:$AA$500,0)),"")</f>
        <v/>
      </c>
      <c r="Q468" s="4" t="str">
        <f>IFERROR(INDEX(样本到样信息汇总统计!Q$2:Q$500,MATCH(467,样本到样信息汇总统计!$AA$2:$AA$500,0)),"")</f>
        <v/>
      </c>
      <c r="R468" s="4" t="str">
        <f>IFERROR(INDEX(样本到样信息汇总统计!R$2:R$500,MATCH(467,样本到样信息汇总统计!$AA$2:$AA$500,0)),"")</f>
        <v/>
      </c>
      <c r="S468" s="4" t="str">
        <f>IFERROR(INDEX(样本到样信息汇总统计!S$2:S$500,MATCH(467,样本到样信息汇总统计!$AA$2:$AA$500,0)),"")</f>
        <v/>
      </c>
      <c r="T468" s="4" t="str">
        <f>IFERROR(INDEX(样本到样信息汇总统计!T$2:T$500,MATCH(467,样本到样信息汇总统计!$AA$2:$AA$500,0)),"")</f>
        <v/>
      </c>
      <c r="U468" s="4" t="str">
        <f>IFERROR(INDEX(样本到样信息汇总统计!U$2:U$500,MATCH(467,样本到样信息汇总统计!$AA$2:$AA$500,0)),"")</f>
        <v/>
      </c>
      <c r="V468" s="4" t="str">
        <f>IFERROR(INDEX(样本到样信息汇总统计!V$2:V$500,MATCH(467,样本到样信息汇总统计!$AA$2:$AA$500,0)),"")</f>
        <v/>
      </c>
      <c r="W468" s="4" t="str">
        <f>IFERROR(INDEX(样本到样信息汇总统计!W$2:W$500,MATCH(467,样本到样信息汇总统计!$AA$2:$AA$500,0)),"")</f>
        <v/>
      </c>
    </row>
    <row r="469" ht="14.5" spans="1:23">
      <c r="A469" s="8" t="str">
        <f>IFERROR(INDEX(样本到样信息汇总统计!A$2:A$500,MATCH(468,样本到样信息汇总统计!$AA$2:$AA$500,0)),"")</f>
        <v/>
      </c>
      <c r="B469" s="8" t="str">
        <f>IFERROR(INDEX(样本到样信息汇总统计!B$2:B$500,MATCH(468,样本到样信息汇总统计!$AA$2:$AA$500,0)),"")</f>
        <v/>
      </c>
      <c r="C469" s="8" t="str">
        <f>IFERROR(INDEX(样本到样信息汇总统计!C$2:C$500,MATCH(468,样本到样信息汇总统计!$AA$2:$AA$500,0)),"")</f>
        <v/>
      </c>
      <c r="D469" s="8" t="str">
        <f>IFERROR(INDEX(样本到样信息汇总统计!D$2:D$500,MATCH(468,样本到样信息汇总统计!$AA$2:$AA$500,0)),"")</f>
        <v/>
      </c>
      <c r="E469" s="8" t="str">
        <f>IFERROR(INDEX(样本到样信息汇总统计!E$2:E$500,MATCH(468,样本到样信息汇总统计!$AA$2:$AA$500,0)),"")</f>
        <v/>
      </c>
      <c r="F469" s="8" t="str">
        <f>IFERROR(INDEX(样本到样信息汇总统计!F$2:F$500,MATCH(468,样本到样信息汇总统计!$AA$2:$AA$500,0)),"")</f>
        <v/>
      </c>
      <c r="G469" s="8" t="str">
        <f>IFERROR(INDEX(样本到样信息汇总统计!G$2:G$500,MATCH(468,样本到样信息汇总统计!$AA$2:$AA$500,0)),"")</f>
        <v/>
      </c>
      <c r="H469" s="8" t="str">
        <f>IFERROR(INDEX(样本到样信息汇总统计!H$2:H$500,MATCH(468,样本到样信息汇总统计!$AA$2:$AA$500,0)),"")</f>
        <v/>
      </c>
      <c r="I469" s="8" t="str">
        <f>IFERROR(INDEX(样本到样信息汇总统计!I$2:I$500,MATCH(468,样本到样信息汇总统计!$AA$2:$AA$500,0)),"")</f>
        <v/>
      </c>
      <c r="J469" s="8" t="str">
        <f>IFERROR(INDEX(样本到样信息汇总统计!J$2:J$500,MATCH(468,样本到样信息汇总统计!$AA$2:$AA$500,0)),"")</f>
        <v/>
      </c>
      <c r="K469" s="8" t="str">
        <f>IFERROR(INDEX(样本到样信息汇总统计!K$2:K$500,MATCH(468,样本到样信息汇总统计!$AA$2:$AA$500,0)),"")</f>
        <v/>
      </c>
      <c r="L469" s="8" t="str">
        <f>IFERROR(INDEX(样本到样信息汇总统计!L$2:L$500,MATCH(468,样本到样信息汇总统计!$AA$2:$AA$500,0)),"")</f>
        <v/>
      </c>
      <c r="M469" s="8" t="str">
        <f>IFERROR(INDEX(样本到样信息汇总统计!M$2:M$500,MATCH(468,样本到样信息汇总统计!$AA$2:$AA$500,0)),"")</f>
        <v/>
      </c>
      <c r="N469" s="8" t="str">
        <f>IFERROR(INDEX(样本到样信息汇总统计!N$2:N$500,MATCH(468,样本到样信息汇总统计!$AA$2:$AA$500,0)),"")</f>
        <v/>
      </c>
      <c r="O469" s="8" t="str">
        <f>IFERROR(INDEX(样本到样信息汇总统计!O$2:O$500,MATCH(468,样本到样信息汇总统计!$AA$2:$AA$500,0)),"")</f>
        <v/>
      </c>
      <c r="P469" s="8" t="str">
        <f>IFERROR(INDEX(样本到样信息汇总统计!P$2:P$500,MATCH(468,样本到样信息汇总统计!$AA$2:$AA$500,0)),"")</f>
        <v/>
      </c>
      <c r="Q469" s="8" t="str">
        <f>IFERROR(INDEX(样本到样信息汇总统计!Q$2:Q$500,MATCH(468,样本到样信息汇总统计!$AA$2:$AA$500,0)),"")</f>
        <v/>
      </c>
      <c r="R469" s="8" t="str">
        <f>IFERROR(INDEX(样本到样信息汇总统计!R$2:R$500,MATCH(468,样本到样信息汇总统计!$AA$2:$AA$500,0)),"")</f>
        <v/>
      </c>
      <c r="S469" s="8" t="str">
        <f>IFERROR(INDEX(样本到样信息汇总统计!S$2:S$500,MATCH(468,样本到样信息汇总统计!$AA$2:$AA$500,0)),"")</f>
        <v/>
      </c>
      <c r="T469" s="8" t="str">
        <f>IFERROR(INDEX(样本到样信息汇总统计!T$2:T$500,MATCH(468,样本到样信息汇总统计!$AA$2:$AA$500,0)),"")</f>
        <v/>
      </c>
      <c r="U469" s="8" t="str">
        <f>IFERROR(INDEX(样本到样信息汇总统计!U$2:U$500,MATCH(468,样本到样信息汇总统计!$AA$2:$AA$500,0)),"")</f>
        <v/>
      </c>
      <c r="V469" s="8" t="str">
        <f>IFERROR(INDEX(样本到样信息汇总统计!V$2:V$500,MATCH(468,样本到样信息汇总统计!$AA$2:$AA$500,0)),"")</f>
        <v/>
      </c>
      <c r="W469" s="8" t="str">
        <f>IFERROR(INDEX(样本到样信息汇总统计!W$2:W$500,MATCH(468,样本到样信息汇总统计!$AA$2:$AA$500,0)),"")</f>
        <v/>
      </c>
    </row>
    <row r="470" ht="14.5" spans="1:23">
      <c r="A470" s="4" t="str">
        <f>IFERROR(INDEX(样本到样信息汇总统计!A$2:A$500,MATCH(469,样本到样信息汇总统计!$AA$2:$AA$500,0)),"")</f>
        <v/>
      </c>
      <c r="B470" s="4" t="str">
        <f>IFERROR(INDEX(样本到样信息汇总统计!B$2:B$500,MATCH(469,样本到样信息汇总统计!$AA$2:$AA$500,0)),"")</f>
        <v/>
      </c>
      <c r="C470" s="4" t="str">
        <f>IFERROR(INDEX(样本到样信息汇总统计!C$2:C$500,MATCH(469,样本到样信息汇总统计!$AA$2:$AA$500,0)),"")</f>
        <v/>
      </c>
      <c r="D470" s="4" t="str">
        <f>IFERROR(INDEX(样本到样信息汇总统计!D$2:D$500,MATCH(469,样本到样信息汇总统计!$AA$2:$AA$500,0)),"")</f>
        <v/>
      </c>
      <c r="E470" s="4" t="str">
        <f>IFERROR(INDEX(样本到样信息汇总统计!E$2:E$500,MATCH(469,样本到样信息汇总统计!$AA$2:$AA$500,0)),"")</f>
        <v/>
      </c>
      <c r="F470" s="4" t="str">
        <f>IFERROR(INDEX(样本到样信息汇总统计!F$2:F$500,MATCH(469,样本到样信息汇总统计!$AA$2:$AA$500,0)),"")</f>
        <v/>
      </c>
      <c r="G470" s="4" t="str">
        <f>IFERROR(INDEX(样本到样信息汇总统计!G$2:G$500,MATCH(469,样本到样信息汇总统计!$AA$2:$AA$500,0)),"")</f>
        <v/>
      </c>
      <c r="H470" s="4" t="str">
        <f>IFERROR(INDEX(样本到样信息汇总统计!H$2:H$500,MATCH(469,样本到样信息汇总统计!$AA$2:$AA$500,0)),"")</f>
        <v/>
      </c>
      <c r="I470" s="4" t="str">
        <f>IFERROR(INDEX(样本到样信息汇总统计!I$2:I$500,MATCH(469,样本到样信息汇总统计!$AA$2:$AA$500,0)),"")</f>
        <v/>
      </c>
      <c r="J470" s="4" t="str">
        <f>IFERROR(INDEX(样本到样信息汇总统计!J$2:J$500,MATCH(469,样本到样信息汇总统计!$AA$2:$AA$500,0)),"")</f>
        <v/>
      </c>
      <c r="K470" s="4" t="str">
        <f>IFERROR(INDEX(样本到样信息汇总统计!K$2:K$500,MATCH(469,样本到样信息汇总统计!$AA$2:$AA$500,0)),"")</f>
        <v/>
      </c>
      <c r="L470" s="4" t="str">
        <f>IFERROR(INDEX(样本到样信息汇总统计!L$2:L$500,MATCH(469,样本到样信息汇总统计!$AA$2:$AA$500,0)),"")</f>
        <v/>
      </c>
      <c r="M470" s="4" t="str">
        <f>IFERROR(INDEX(样本到样信息汇总统计!M$2:M$500,MATCH(469,样本到样信息汇总统计!$AA$2:$AA$500,0)),"")</f>
        <v/>
      </c>
      <c r="N470" s="4" t="str">
        <f>IFERROR(INDEX(样本到样信息汇总统计!N$2:N$500,MATCH(469,样本到样信息汇总统计!$AA$2:$AA$500,0)),"")</f>
        <v/>
      </c>
      <c r="O470" s="4" t="str">
        <f>IFERROR(INDEX(样本到样信息汇总统计!O$2:O$500,MATCH(469,样本到样信息汇总统计!$AA$2:$AA$500,0)),"")</f>
        <v/>
      </c>
      <c r="P470" s="4" t="str">
        <f>IFERROR(INDEX(样本到样信息汇总统计!P$2:P$500,MATCH(469,样本到样信息汇总统计!$AA$2:$AA$500,0)),"")</f>
        <v/>
      </c>
      <c r="Q470" s="4" t="str">
        <f>IFERROR(INDEX(样本到样信息汇总统计!Q$2:Q$500,MATCH(469,样本到样信息汇总统计!$AA$2:$AA$500,0)),"")</f>
        <v/>
      </c>
      <c r="R470" s="4" t="str">
        <f>IFERROR(INDEX(样本到样信息汇总统计!R$2:R$500,MATCH(469,样本到样信息汇总统计!$AA$2:$AA$500,0)),"")</f>
        <v/>
      </c>
      <c r="S470" s="4" t="str">
        <f>IFERROR(INDEX(样本到样信息汇总统计!S$2:S$500,MATCH(469,样本到样信息汇总统计!$AA$2:$AA$500,0)),"")</f>
        <v/>
      </c>
      <c r="T470" s="4" t="str">
        <f>IFERROR(INDEX(样本到样信息汇总统计!T$2:T$500,MATCH(469,样本到样信息汇总统计!$AA$2:$AA$500,0)),"")</f>
        <v/>
      </c>
      <c r="U470" s="4" t="str">
        <f>IFERROR(INDEX(样本到样信息汇总统计!U$2:U$500,MATCH(469,样本到样信息汇总统计!$AA$2:$AA$500,0)),"")</f>
        <v/>
      </c>
      <c r="V470" s="4" t="str">
        <f>IFERROR(INDEX(样本到样信息汇总统计!V$2:V$500,MATCH(469,样本到样信息汇总统计!$AA$2:$AA$500,0)),"")</f>
        <v/>
      </c>
      <c r="W470" s="4" t="str">
        <f>IFERROR(INDEX(样本到样信息汇总统计!W$2:W$500,MATCH(469,样本到样信息汇总统计!$AA$2:$AA$500,0)),"")</f>
        <v/>
      </c>
    </row>
    <row r="471" ht="14.5" spans="1:23">
      <c r="A471" s="8" t="str">
        <f>IFERROR(INDEX(样本到样信息汇总统计!A$2:A$500,MATCH(470,样本到样信息汇总统计!$AA$2:$AA$500,0)),"")</f>
        <v/>
      </c>
      <c r="B471" s="8" t="str">
        <f>IFERROR(INDEX(样本到样信息汇总统计!B$2:B$500,MATCH(470,样本到样信息汇总统计!$AA$2:$AA$500,0)),"")</f>
        <v/>
      </c>
      <c r="C471" s="8" t="str">
        <f>IFERROR(INDEX(样本到样信息汇总统计!C$2:C$500,MATCH(470,样本到样信息汇总统计!$AA$2:$AA$500,0)),"")</f>
        <v/>
      </c>
      <c r="D471" s="8" t="str">
        <f>IFERROR(INDEX(样本到样信息汇总统计!D$2:D$500,MATCH(470,样本到样信息汇总统计!$AA$2:$AA$500,0)),"")</f>
        <v/>
      </c>
      <c r="E471" s="8" t="str">
        <f>IFERROR(INDEX(样本到样信息汇总统计!E$2:E$500,MATCH(470,样本到样信息汇总统计!$AA$2:$AA$500,0)),"")</f>
        <v/>
      </c>
      <c r="F471" s="8" t="str">
        <f>IFERROR(INDEX(样本到样信息汇总统计!F$2:F$500,MATCH(470,样本到样信息汇总统计!$AA$2:$AA$500,0)),"")</f>
        <v/>
      </c>
      <c r="G471" s="8" t="str">
        <f>IFERROR(INDEX(样本到样信息汇总统计!G$2:G$500,MATCH(470,样本到样信息汇总统计!$AA$2:$AA$500,0)),"")</f>
        <v/>
      </c>
      <c r="H471" s="8" t="str">
        <f>IFERROR(INDEX(样本到样信息汇总统计!H$2:H$500,MATCH(470,样本到样信息汇总统计!$AA$2:$AA$500,0)),"")</f>
        <v/>
      </c>
      <c r="I471" s="8" t="str">
        <f>IFERROR(INDEX(样本到样信息汇总统计!I$2:I$500,MATCH(470,样本到样信息汇总统计!$AA$2:$AA$500,0)),"")</f>
        <v/>
      </c>
      <c r="J471" s="8" t="str">
        <f>IFERROR(INDEX(样本到样信息汇总统计!J$2:J$500,MATCH(470,样本到样信息汇总统计!$AA$2:$AA$500,0)),"")</f>
        <v/>
      </c>
      <c r="K471" s="8" t="str">
        <f>IFERROR(INDEX(样本到样信息汇总统计!K$2:K$500,MATCH(470,样本到样信息汇总统计!$AA$2:$AA$500,0)),"")</f>
        <v/>
      </c>
      <c r="L471" s="8" t="str">
        <f>IFERROR(INDEX(样本到样信息汇总统计!L$2:L$500,MATCH(470,样本到样信息汇总统计!$AA$2:$AA$500,0)),"")</f>
        <v/>
      </c>
      <c r="M471" s="8" t="str">
        <f>IFERROR(INDEX(样本到样信息汇总统计!M$2:M$500,MATCH(470,样本到样信息汇总统计!$AA$2:$AA$500,0)),"")</f>
        <v/>
      </c>
      <c r="N471" s="8" t="str">
        <f>IFERROR(INDEX(样本到样信息汇总统计!N$2:N$500,MATCH(470,样本到样信息汇总统计!$AA$2:$AA$500,0)),"")</f>
        <v/>
      </c>
      <c r="O471" s="8" t="str">
        <f>IFERROR(INDEX(样本到样信息汇总统计!O$2:O$500,MATCH(470,样本到样信息汇总统计!$AA$2:$AA$500,0)),"")</f>
        <v/>
      </c>
      <c r="P471" s="8" t="str">
        <f>IFERROR(INDEX(样本到样信息汇总统计!P$2:P$500,MATCH(470,样本到样信息汇总统计!$AA$2:$AA$500,0)),"")</f>
        <v/>
      </c>
      <c r="Q471" s="8" t="str">
        <f>IFERROR(INDEX(样本到样信息汇总统计!Q$2:Q$500,MATCH(470,样本到样信息汇总统计!$AA$2:$AA$500,0)),"")</f>
        <v/>
      </c>
      <c r="R471" s="8" t="str">
        <f>IFERROR(INDEX(样本到样信息汇总统计!R$2:R$500,MATCH(470,样本到样信息汇总统计!$AA$2:$AA$500,0)),"")</f>
        <v/>
      </c>
      <c r="S471" s="8" t="str">
        <f>IFERROR(INDEX(样本到样信息汇总统计!S$2:S$500,MATCH(470,样本到样信息汇总统计!$AA$2:$AA$500,0)),"")</f>
        <v/>
      </c>
      <c r="T471" s="8" t="str">
        <f>IFERROR(INDEX(样本到样信息汇总统计!T$2:T$500,MATCH(470,样本到样信息汇总统计!$AA$2:$AA$500,0)),"")</f>
        <v/>
      </c>
      <c r="U471" s="8" t="str">
        <f>IFERROR(INDEX(样本到样信息汇总统计!U$2:U$500,MATCH(470,样本到样信息汇总统计!$AA$2:$AA$500,0)),"")</f>
        <v/>
      </c>
      <c r="V471" s="8" t="str">
        <f>IFERROR(INDEX(样本到样信息汇总统计!V$2:V$500,MATCH(470,样本到样信息汇总统计!$AA$2:$AA$500,0)),"")</f>
        <v/>
      </c>
      <c r="W471" s="8" t="str">
        <f>IFERROR(INDEX(样本到样信息汇总统计!W$2:W$500,MATCH(470,样本到样信息汇总统计!$AA$2:$AA$500,0)),"")</f>
        <v/>
      </c>
    </row>
    <row r="472" ht="14.5" spans="1:23">
      <c r="A472" s="4" t="str">
        <f>IFERROR(INDEX(样本到样信息汇总统计!A$2:A$500,MATCH(471,样本到样信息汇总统计!$AA$2:$AA$500,0)),"")</f>
        <v/>
      </c>
      <c r="B472" s="4" t="str">
        <f>IFERROR(INDEX(样本到样信息汇总统计!B$2:B$500,MATCH(471,样本到样信息汇总统计!$AA$2:$AA$500,0)),"")</f>
        <v/>
      </c>
      <c r="C472" s="4" t="str">
        <f>IFERROR(INDEX(样本到样信息汇总统计!C$2:C$500,MATCH(471,样本到样信息汇总统计!$AA$2:$AA$500,0)),"")</f>
        <v/>
      </c>
      <c r="D472" s="4" t="str">
        <f>IFERROR(INDEX(样本到样信息汇总统计!D$2:D$500,MATCH(471,样本到样信息汇总统计!$AA$2:$AA$500,0)),"")</f>
        <v/>
      </c>
      <c r="E472" s="4" t="str">
        <f>IFERROR(INDEX(样本到样信息汇总统计!E$2:E$500,MATCH(471,样本到样信息汇总统计!$AA$2:$AA$500,0)),"")</f>
        <v/>
      </c>
      <c r="F472" s="4" t="str">
        <f>IFERROR(INDEX(样本到样信息汇总统计!F$2:F$500,MATCH(471,样本到样信息汇总统计!$AA$2:$AA$500,0)),"")</f>
        <v/>
      </c>
      <c r="G472" s="4" t="str">
        <f>IFERROR(INDEX(样本到样信息汇总统计!G$2:G$500,MATCH(471,样本到样信息汇总统计!$AA$2:$AA$500,0)),"")</f>
        <v/>
      </c>
      <c r="H472" s="4" t="str">
        <f>IFERROR(INDEX(样本到样信息汇总统计!H$2:H$500,MATCH(471,样本到样信息汇总统计!$AA$2:$AA$500,0)),"")</f>
        <v/>
      </c>
      <c r="I472" s="4" t="str">
        <f>IFERROR(INDEX(样本到样信息汇总统计!I$2:I$500,MATCH(471,样本到样信息汇总统计!$AA$2:$AA$500,0)),"")</f>
        <v/>
      </c>
      <c r="J472" s="4" t="str">
        <f>IFERROR(INDEX(样本到样信息汇总统计!J$2:J$500,MATCH(471,样本到样信息汇总统计!$AA$2:$AA$500,0)),"")</f>
        <v/>
      </c>
      <c r="K472" s="4" t="str">
        <f>IFERROR(INDEX(样本到样信息汇总统计!K$2:K$500,MATCH(471,样本到样信息汇总统计!$AA$2:$AA$500,0)),"")</f>
        <v/>
      </c>
      <c r="L472" s="4" t="str">
        <f>IFERROR(INDEX(样本到样信息汇总统计!L$2:L$500,MATCH(471,样本到样信息汇总统计!$AA$2:$AA$500,0)),"")</f>
        <v/>
      </c>
      <c r="M472" s="4" t="str">
        <f>IFERROR(INDEX(样本到样信息汇总统计!M$2:M$500,MATCH(471,样本到样信息汇总统计!$AA$2:$AA$500,0)),"")</f>
        <v/>
      </c>
      <c r="N472" s="4" t="str">
        <f>IFERROR(INDEX(样本到样信息汇总统计!N$2:N$500,MATCH(471,样本到样信息汇总统计!$AA$2:$AA$500,0)),"")</f>
        <v/>
      </c>
      <c r="O472" s="4" t="str">
        <f>IFERROR(INDEX(样本到样信息汇总统计!O$2:O$500,MATCH(471,样本到样信息汇总统计!$AA$2:$AA$500,0)),"")</f>
        <v/>
      </c>
      <c r="P472" s="4" t="str">
        <f>IFERROR(INDEX(样本到样信息汇总统计!P$2:P$500,MATCH(471,样本到样信息汇总统计!$AA$2:$AA$500,0)),"")</f>
        <v/>
      </c>
      <c r="Q472" s="4" t="str">
        <f>IFERROR(INDEX(样本到样信息汇总统计!Q$2:Q$500,MATCH(471,样本到样信息汇总统计!$AA$2:$AA$500,0)),"")</f>
        <v/>
      </c>
      <c r="R472" s="4" t="str">
        <f>IFERROR(INDEX(样本到样信息汇总统计!R$2:R$500,MATCH(471,样本到样信息汇总统计!$AA$2:$AA$500,0)),"")</f>
        <v/>
      </c>
      <c r="S472" s="4" t="str">
        <f>IFERROR(INDEX(样本到样信息汇总统计!S$2:S$500,MATCH(471,样本到样信息汇总统计!$AA$2:$AA$500,0)),"")</f>
        <v/>
      </c>
      <c r="T472" s="4" t="str">
        <f>IFERROR(INDEX(样本到样信息汇总统计!T$2:T$500,MATCH(471,样本到样信息汇总统计!$AA$2:$AA$500,0)),"")</f>
        <v/>
      </c>
      <c r="U472" s="4" t="str">
        <f>IFERROR(INDEX(样本到样信息汇总统计!U$2:U$500,MATCH(471,样本到样信息汇总统计!$AA$2:$AA$500,0)),"")</f>
        <v/>
      </c>
      <c r="V472" s="4" t="str">
        <f>IFERROR(INDEX(样本到样信息汇总统计!V$2:V$500,MATCH(471,样本到样信息汇总统计!$AA$2:$AA$500,0)),"")</f>
        <v/>
      </c>
      <c r="W472" s="4" t="str">
        <f>IFERROR(INDEX(样本到样信息汇总统计!W$2:W$500,MATCH(471,样本到样信息汇总统计!$AA$2:$AA$500,0)),"")</f>
        <v/>
      </c>
    </row>
    <row r="473" ht="14.5" spans="1:23">
      <c r="A473" s="8" t="str">
        <f>IFERROR(INDEX(样本到样信息汇总统计!A$2:A$500,MATCH(472,样本到样信息汇总统计!$AA$2:$AA$500,0)),"")</f>
        <v/>
      </c>
      <c r="B473" s="8" t="str">
        <f>IFERROR(INDEX(样本到样信息汇总统计!B$2:B$500,MATCH(472,样本到样信息汇总统计!$AA$2:$AA$500,0)),"")</f>
        <v/>
      </c>
      <c r="C473" s="8" t="str">
        <f>IFERROR(INDEX(样本到样信息汇总统计!C$2:C$500,MATCH(472,样本到样信息汇总统计!$AA$2:$AA$500,0)),"")</f>
        <v/>
      </c>
      <c r="D473" s="8" t="str">
        <f>IFERROR(INDEX(样本到样信息汇总统计!D$2:D$500,MATCH(472,样本到样信息汇总统计!$AA$2:$AA$500,0)),"")</f>
        <v/>
      </c>
      <c r="E473" s="8" t="str">
        <f>IFERROR(INDEX(样本到样信息汇总统计!E$2:E$500,MATCH(472,样本到样信息汇总统计!$AA$2:$AA$500,0)),"")</f>
        <v/>
      </c>
      <c r="F473" s="8" t="str">
        <f>IFERROR(INDEX(样本到样信息汇总统计!F$2:F$500,MATCH(472,样本到样信息汇总统计!$AA$2:$AA$500,0)),"")</f>
        <v/>
      </c>
      <c r="G473" s="8" t="str">
        <f>IFERROR(INDEX(样本到样信息汇总统计!G$2:G$500,MATCH(472,样本到样信息汇总统计!$AA$2:$AA$500,0)),"")</f>
        <v/>
      </c>
      <c r="H473" s="8" t="str">
        <f>IFERROR(INDEX(样本到样信息汇总统计!H$2:H$500,MATCH(472,样本到样信息汇总统计!$AA$2:$AA$500,0)),"")</f>
        <v/>
      </c>
      <c r="I473" s="8" t="str">
        <f>IFERROR(INDEX(样本到样信息汇总统计!I$2:I$500,MATCH(472,样本到样信息汇总统计!$AA$2:$AA$500,0)),"")</f>
        <v/>
      </c>
      <c r="J473" s="8" t="str">
        <f>IFERROR(INDEX(样本到样信息汇总统计!J$2:J$500,MATCH(472,样本到样信息汇总统计!$AA$2:$AA$500,0)),"")</f>
        <v/>
      </c>
      <c r="K473" s="8" t="str">
        <f>IFERROR(INDEX(样本到样信息汇总统计!K$2:K$500,MATCH(472,样本到样信息汇总统计!$AA$2:$AA$500,0)),"")</f>
        <v/>
      </c>
      <c r="L473" s="8" t="str">
        <f>IFERROR(INDEX(样本到样信息汇总统计!L$2:L$500,MATCH(472,样本到样信息汇总统计!$AA$2:$AA$500,0)),"")</f>
        <v/>
      </c>
      <c r="M473" s="8" t="str">
        <f>IFERROR(INDEX(样本到样信息汇总统计!M$2:M$500,MATCH(472,样本到样信息汇总统计!$AA$2:$AA$500,0)),"")</f>
        <v/>
      </c>
      <c r="N473" s="8" t="str">
        <f>IFERROR(INDEX(样本到样信息汇总统计!N$2:N$500,MATCH(472,样本到样信息汇总统计!$AA$2:$AA$500,0)),"")</f>
        <v/>
      </c>
      <c r="O473" s="8" t="str">
        <f>IFERROR(INDEX(样本到样信息汇总统计!O$2:O$500,MATCH(472,样本到样信息汇总统计!$AA$2:$AA$500,0)),"")</f>
        <v/>
      </c>
      <c r="P473" s="8" t="str">
        <f>IFERROR(INDEX(样本到样信息汇总统计!P$2:P$500,MATCH(472,样本到样信息汇总统计!$AA$2:$AA$500,0)),"")</f>
        <v/>
      </c>
      <c r="Q473" s="8" t="str">
        <f>IFERROR(INDEX(样本到样信息汇总统计!Q$2:Q$500,MATCH(472,样本到样信息汇总统计!$AA$2:$AA$500,0)),"")</f>
        <v/>
      </c>
      <c r="R473" s="8" t="str">
        <f>IFERROR(INDEX(样本到样信息汇总统计!R$2:R$500,MATCH(472,样本到样信息汇总统计!$AA$2:$AA$500,0)),"")</f>
        <v/>
      </c>
      <c r="S473" s="8" t="str">
        <f>IFERROR(INDEX(样本到样信息汇总统计!S$2:S$500,MATCH(472,样本到样信息汇总统计!$AA$2:$AA$500,0)),"")</f>
        <v/>
      </c>
      <c r="T473" s="8" t="str">
        <f>IFERROR(INDEX(样本到样信息汇总统计!T$2:T$500,MATCH(472,样本到样信息汇总统计!$AA$2:$AA$500,0)),"")</f>
        <v/>
      </c>
      <c r="U473" s="8" t="str">
        <f>IFERROR(INDEX(样本到样信息汇总统计!U$2:U$500,MATCH(472,样本到样信息汇总统计!$AA$2:$AA$500,0)),"")</f>
        <v/>
      </c>
      <c r="V473" s="8" t="str">
        <f>IFERROR(INDEX(样本到样信息汇总统计!V$2:V$500,MATCH(472,样本到样信息汇总统计!$AA$2:$AA$500,0)),"")</f>
        <v/>
      </c>
      <c r="W473" s="8" t="str">
        <f>IFERROR(INDEX(样本到样信息汇总统计!W$2:W$500,MATCH(472,样本到样信息汇总统计!$AA$2:$AA$500,0)),"")</f>
        <v/>
      </c>
    </row>
    <row r="474" ht="14.5" spans="1:23">
      <c r="A474" s="4" t="str">
        <f>IFERROR(INDEX(样本到样信息汇总统计!A$2:A$500,MATCH(473,样本到样信息汇总统计!$AA$2:$AA$500,0)),"")</f>
        <v/>
      </c>
      <c r="B474" s="4" t="str">
        <f>IFERROR(INDEX(样本到样信息汇总统计!B$2:B$500,MATCH(473,样本到样信息汇总统计!$AA$2:$AA$500,0)),"")</f>
        <v/>
      </c>
      <c r="C474" s="4" t="str">
        <f>IFERROR(INDEX(样本到样信息汇总统计!C$2:C$500,MATCH(473,样本到样信息汇总统计!$AA$2:$AA$500,0)),"")</f>
        <v/>
      </c>
      <c r="D474" s="4" t="str">
        <f>IFERROR(INDEX(样本到样信息汇总统计!D$2:D$500,MATCH(473,样本到样信息汇总统计!$AA$2:$AA$500,0)),"")</f>
        <v/>
      </c>
      <c r="E474" s="4" t="str">
        <f>IFERROR(INDEX(样本到样信息汇总统计!E$2:E$500,MATCH(473,样本到样信息汇总统计!$AA$2:$AA$500,0)),"")</f>
        <v/>
      </c>
      <c r="F474" s="4" t="str">
        <f>IFERROR(INDEX(样本到样信息汇总统计!F$2:F$500,MATCH(473,样本到样信息汇总统计!$AA$2:$AA$500,0)),"")</f>
        <v/>
      </c>
      <c r="G474" s="4" t="str">
        <f>IFERROR(INDEX(样本到样信息汇总统计!G$2:G$500,MATCH(473,样本到样信息汇总统计!$AA$2:$AA$500,0)),"")</f>
        <v/>
      </c>
      <c r="H474" s="4" t="str">
        <f>IFERROR(INDEX(样本到样信息汇总统计!H$2:H$500,MATCH(473,样本到样信息汇总统计!$AA$2:$AA$500,0)),"")</f>
        <v/>
      </c>
      <c r="I474" s="4" t="str">
        <f>IFERROR(INDEX(样本到样信息汇总统计!I$2:I$500,MATCH(473,样本到样信息汇总统计!$AA$2:$AA$500,0)),"")</f>
        <v/>
      </c>
      <c r="J474" s="4" t="str">
        <f>IFERROR(INDEX(样本到样信息汇总统计!J$2:J$500,MATCH(473,样本到样信息汇总统计!$AA$2:$AA$500,0)),"")</f>
        <v/>
      </c>
      <c r="K474" s="4" t="str">
        <f>IFERROR(INDEX(样本到样信息汇总统计!K$2:K$500,MATCH(473,样本到样信息汇总统计!$AA$2:$AA$500,0)),"")</f>
        <v/>
      </c>
      <c r="L474" s="4" t="str">
        <f>IFERROR(INDEX(样本到样信息汇总统计!L$2:L$500,MATCH(473,样本到样信息汇总统计!$AA$2:$AA$500,0)),"")</f>
        <v/>
      </c>
      <c r="M474" s="4" t="str">
        <f>IFERROR(INDEX(样本到样信息汇总统计!M$2:M$500,MATCH(473,样本到样信息汇总统计!$AA$2:$AA$500,0)),"")</f>
        <v/>
      </c>
      <c r="N474" s="4" t="str">
        <f>IFERROR(INDEX(样本到样信息汇总统计!N$2:N$500,MATCH(473,样本到样信息汇总统计!$AA$2:$AA$500,0)),"")</f>
        <v/>
      </c>
      <c r="O474" s="4" t="str">
        <f>IFERROR(INDEX(样本到样信息汇总统计!O$2:O$500,MATCH(473,样本到样信息汇总统计!$AA$2:$AA$500,0)),"")</f>
        <v/>
      </c>
      <c r="P474" s="4" t="str">
        <f>IFERROR(INDEX(样本到样信息汇总统计!P$2:P$500,MATCH(473,样本到样信息汇总统计!$AA$2:$AA$500,0)),"")</f>
        <v/>
      </c>
      <c r="Q474" s="4" t="str">
        <f>IFERROR(INDEX(样本到样信息汇总统计!Q$2:Q$500,MATCH(473,样本到样信息汇总统计!$AA$2:$AA$500,0)),"")</f>
        <v/>
      </c>
      <c r="R474" s="4" t="str">
        <f>IFERROR(INDEX(样本到样信息汇总统计!R$2:R$500,MATCH(473,样本到样信息汇总统计!$AA$2:$AA$500,0)),"")</f>
        <v/>
      </c>
      <c r="S474" s="4" t="str">
        <f>IFERROR(INDEX(样本到样信息汇总统计!S$2:S$500,MATCH(473,样本到样信息汇总统计!$AA$2:$AA$500,0)),"")</f>
        <v/>
      </c>
      <c r="T474" s="4" t="str">
        <f>IFERROR(INDEX(样本到样信息汇总统计!T$2:T$500,MATCH(473,样本到样信息汇总统计!$AA$2:$AA$500,0)),"")</f>
        <v/>
      </c>
      <c r="U474" s="4" t="str">
        <f>IFERROR(INDEX(样本到样信息汇总统计!U$2:U$500,MATCH(473,样本到样信息汇总统计!$AA$2:$AA$500,0)),"")</f>
        <v/>
      </c>
      <c r="V474" s="4" t="str">
        <f>IFERROR(INDEX(样本到样信息汇总统计!V$2:V$500,MATCH(473,样本到样信息汇总统计!$AA$2:$AA$500,0)),"")</f>
        <v/>
      </c>
      <c r="W474" s="4" t="str">
        <f>IFERROR(INDEX(样本到样信息汇总统计!W$2:W$500,MATCH(473,样本到样信息汇总统计!$AA$2:$AA$500,0)),"")</f>
        <v/>
      </c>
    </row>
    <row r="475" ht="14.5" spans="1:23">
      <c r="A475" s="8" t="str">
        <f>IFERROR(INDEX(样本到样信息汇总统计!A$2:A$500,MATCH(474,样本到样信息汇总统计!$AA$2:$AA$500,0)),"")</f>
        <v/>
      </c>
      <c r="B475" s="8" t="str">
        <f>IFERROR(INDEX(样本到样信息汇总统计!B$2:B$500,MATCH(474,样本到样信息汇总统计!$AA$2:$AA$500,0)),"")</f>
        <v/>
      </c>
      <c r="C475" s="8" t="str">
        <f>IFERROR(INDEX(样本到样信息汇总统计!C$2:C$500,MATCH(474,样本到样信息汇总统计!$AA$2:$AA$500,0)),"")</f>
        <v/>
      </c>
      <c r="D475" s="8" t="str">
        <f>IFERROR(INDEX(样本到样信息汇总统计!D$2:D$500,MATCH(474,样本到样信息汇总统计!$AA$2:$AA$500,0)),"")</f>
        <v/>
      </c>
      <c r="E475" s="8" t="str">
        <f>IFERROR(INDEX(样本到样信息汇总统计!E$2:E$500,MATCH(474,样本到样信息汇总统计!$AA$2:$AA$500,0)),"")</f>
        <v/>
      </c>
      <c r="F475" s="8" t="str">
        <f>IFERROR(INDEX(样本到样信息汇总统计!F$2:F$500,MATCH(474,样本到样信息汇总统计!$AA$2:$AA$500,0)),"")</f>
        <v/>
      </c>
      <c r="G475" s="8" t="str">
        <f>IFERROR(INDEX(样本到样信息汇总统计!G$2:G$500,MATCH(474,样本到样信息汇总统计!$AA$2:$AA$500,0)),"")</f>
        <v/>
      </c>
      <c r="H475" s="8" t="str">
        <f>IFERROR(INDEX(样本到样信息汇总统计!H$2:H$500,MATCH(474,样本到样信息汇总统计!$AA$2:$AA$500,0)),"")</f>
        <v/>
      </c>
      <c r="I475" s="8" t="str">
        <f>IFERROR(INDEX(样本到样信息汇总统计!I$2:I$500,MATCH(474,样本到样信息汇总统计!$AA$2:$AA$500,0)),"")</f>
        <v/>
      </c>
      <c r="J475" s="8" t="str">
        <f>IFERROR(INDEX(样本到样信息汇总统计!J$2:J$500,MATCH(474,样本到样信息汇总统计!$AA$2:$AA$500,0)),"")</f>
        <v/>
      </c>
      <c r="K475" s="8" t="str">
        <f>IFERROR(INDEX(样本到样信息汇总统计!K$2:K$500,MATCH(474,样本到样信息汇总统计!$AA$2:$AA$500,0)),"")</f>
        <v/>
      </c>
      <c r="L475" s="8" t="str">
        <f>IFERROR(INDEX(样本到样信息汇总统计!L$2:L$500,MATCH(474,样本到样信息汇总统计!$AA$2:$AA$500,0)),"")</f>
        <v/>
      </c>
      <c r="M475" s="8" t="str">
        <f>IFERROR(INDEX(样本到样信息汇总统计!M$2:M$500,MATCH(474,样本到样信息汇总统计!$AA$2:$AA$500,0)),"")</f>
        <v/>
      </c>
      <c r="N475" s="8" t="str">
        <f>IFERROR(INDEX(样本到样信息汇总统计!N$2:N$500,MATCH(474,样本到样信息汇总统计!$AA$2:$AA$500,0)),"")</f>
        <v/>
      </c>
      <c r="O475" s="8" t="str">
        <f>IFERROR(INDEX(样本到样信息汇总统计!O$2:O$500,MATCH(474,样本到样信息汇总统计!$AA$2:$AA$500,0)),"")</f>
        <v/>
      </c>
      <c r="P475" s="8" t="str">
        <f>IFERROR(INDEX(样本到样信息汇总统计!P$2:P$500,MATCH(474,样本到样信息汇总统计!$AA$2:$AA$500,0)),"")</f>
        <v/>
      </c>
      <c r="Q475" s="8" t="str">
        <f>IFERROR(INDEX(样本到样信息汇总统计!Q$2:Q$500,MATCH(474,样本到样信息汇总统计!$AA$2:$AA$500,0)),"")</f>
        <v/>
      </c>
      <c r="R475" s="8" t="str">
        <f>IFERROR(INDEX(样本到样信息汇总统计!R$2:R$500,MATCH(474,样本到样信息汇总统计!$AA$2:$AA$500,0)),"")</f>
        <v/>
      </c>
      <c r="S475" s="8" t="str">
        <f>IFERROR(INDEX(样本到样信息汇总统计!S$2:S$500,MATCH(474,样本到样信息汇总统计!$AA$2:$AA$500,0)),"")</f>
        <v/>
      </c>
      <c r="T475" s="8" t="str">
        <f>IFERROR(INDEX(样本到样信息汇总统计!T$2:T$500,MATCH(474,样本到样信息汇总统计!$AA$2:$AA$500,0)),"")</f>
        <v/>
      </c>
      <c r="U475" s="8" t="str">
        <f>IFERROR(INDEX(样本到样信息汇总统计!U$2:U$500,MATCH(474,样本到样信息汇总统计!$AA$2:$AA$500,0)),"")</f>
        <v/>
      </c>
      <c r="V475" s="8" t="str">
        <f>IFERROR(INDEX(样本到样信息汇总统计!V$2:V$500,MATCH(474,样本到样信息汇总统计!$AA$2:$AA$500,0)),"")</f>
        <v/>
      </c>
      <c r="W475" s="8" t="str">
        <f>IFERROR(INDEX(样本到样信息汇总统计!W$2:W$500,MATCH(474,样本到样信息汇总统计!$AA$2:$AA$500,0)),"")</f>
        <v/>
      </c>
    </row>
    <row r="476" ht="14.5" spans="1:23">
      <c r="A476" s="4" t="str">
        <f>IFERROR(INDEX(样本到样信息汇总统计!A$2:A$500,MATCH(475,样本到样信息汇总统计!$AA$2:$AA$500,0)),"")</f>
        <v/>
      </c>
      <c r="B476" s="4" t="str">
        <f>IFERROR(INDEX(样本到样信息汇总统计!B$2:B$500,MATCH(475,样本到样信息汇总统计!$AA$2:$AA$500,0)),"")</f>
        <v/>
      </c>
      <c r="C476" s="4" t="str">
        <f>IFERROR(INDEX(样本到样信息汇总统计!C$2:C$500,MATCH(475,样本到样信息汇总统计!$AA$2:$AA$500,0)),"")</f>
        <v/>
      </c>
      <c r="D476" s="4" t="str">
        <f>IFERROR(INDEX(样本到样信息汇总统计!D$2:D$500,MATCH(475,样本到样信息汇总统计!$AA$2:$AA$500,0)),"")</f>
        <v/>
      </c>
      <c r="E476" s="4" t="str">
        <f>IFERROR(INDEX(样本到样信息汇总统计!E$2:E$500,MATCH(475,样本到样信息汇总统计!$AA$2:$AA$500,0)),"")</f>
        <v/>
      </c>
      <c r="F476" s="4" t="str">
        <f>IFERROR(INDEX(样本到样信息汇总统计!F$2:F$500,MATCH(475,样本到样信息汇总统计!$AA$2:$AA$500,0)),"")</f>
        <v/>
      </c>
      <c r="G476" s="4" t="str">
        <f>IFERROR(INDEX(样本到样信息汇总统计!G$2:G$500,MATCH(475,样本到样信息汇总统计!$AA$2:$AA$500,0)),"")</f>
        <v/>
      </c>
      <c r="H476" s="4" t="str">
        <f>IFERROR(INDEX(样本到样信息汇总统计!H$2:H$500,MATCH(475,样本到样信息汇总统计!$AA$2:$AA$500,0)),"")</f>
        <v/>
      </c>
      <c r="I476" s="4" t="str">
        <f>IFERROR(INDEX(样本到样信息汇总统计!I$2:I$500,MATCH(475,样本到样信息汇总统计!$AA$2:$AA$500,0)),"")</f>
        <v/>
      </c>
      <c r="J476" s="4" t="str">
        <f>IFERROR(INDEX(样本到样信息汇总统计!J$2:J$500,MATCH(475,样本到样信息汇总统计!$AA$2:$AA$500,0)),"")</f>
        <v/>
      </c>
      <c r="K476" s="4" t="str">
        <f>IFERROR(INDEX(样本到样信息汇总统计!K$2:K$500,MATCH(475,样本到样信息汇总统计!$AA$2:$AA$500,0)),"")</f>
        <v/>
      </c>
      <c r="L476" s="4" t="str">
        <f>IFERROR(INDEX(样本到样信息汇总统计!L$2:L$500,MATCH(475,样本到样信息汇总统计!$AA$2:$AA$500,0)),"")</f>
        <v/>
      </c>
      <c r="M476" s="4" t="str">
        <f>IFERROR(INDEX(样本到样信息汇总统计!M$2:M$500,MATCH(475,样本到样信息汇总统计!$AA$2:$AA$500,0)),"")</f>
        <v/>
      </c>
      <c r="N476" s="4" t="str">
        <f>IFERROR(INDEX(样本到样信息汇总统计!N$2:N$500,MATCH(475,样本到样信息汇总统计!$AA$2:$AA$500,0)),"")</f>
        <v/>
      </c>
      <c r="O476" s="4" t="str">
        <f>IFERROR(INDEX(样本到样信息汇总统计!O$2:O$500,MATCH(475,样本到样信息汇总统计!$AA$2:$AA$500,0)),"")</f>
        <v/>
      </c>
      <c r="P476" s="4" t="str">
        <f>IFERROR(INDEX(样本到样信息汇总统计!P$2:P$500,MATCH(475,样本到样信息汇总统计!$AA$2:$AA$500,0)),"")</f>
        <v/>
      </c>
      <c r="Q476" s="4" t="str">
        <f>IFERROR(INDEX(样本到样信息汇总统计!Q$2:Q$500,MATCH(475,样本到样信息汇总统计!$AA$2:$AA$500,0)),"")</f>
        <v/>
      </c>
      <c r="R476" s="4" t="str">
        <f>IFERROR(INDEX(样本到样信息汇总统计!R$2:R$500,MATCH(475,样本到样信息汇总统计!$AA$2:$AA$500,0)),"")</f>
        <v/>
      </c>
      <c r="S476" s="4" t="str">
        <f>IFERROR(INDEX(样本到样信息汇总统计!S$2:S$500,MATCH(475,样本到样信息汇总统计!$AA$2:$AA$500,0)),"")</f>
        <v/>
      </c>
      <c r="T476" s="4" t="str">
        <f>IFERROR(INDEX(样本到样信息汇总统计!T$2:T$500,MATCH(475,样本到样信息汇总统计!$AA$2:$AA$500,0)),"")</f>
        <v/>
      </c>
      <c r="U476" s="4" t="str">
        <f>IFERROR(INDEX(样本到样信息汇总统计!U$2:U$500,MATCH(475,样本到样信息汇总统计!$AA$2:$AA$500,0)),"")</f>
        <v/>
      </c>
      <c r="V476" s="4" t="str">
        <f>IFERROR(INDEX(样本到样信息汇总统计!V$2:V$500,MATCH(475,样本到样信息汇总统计!$AA$2:$AA$500,0)),"")</f>
        <v/>
      </c>
      <c r="W476" s="4" t="str">
        <f>IFERROR(INDEX(样本到样信息汇总统计!W$2:W$500,MATCH(475,样本到样信息汇总统计!$AA$2:$AA$500,0)),"")</f>
        <v/>
      </c>
    </row>
    <row r="477" ht="14.5" spans="1:23">
      <c r="A477" s="8" t="str">
        <f>IFERROR(INDEX(样本到样信息汇总统计!A$2:A$500,MATCH(476,样本到样信息汇总统计!$AA$2:$AA$500,0)),"")</f>
        <v/>
      </c>
      <c r="B477" s="8" t="str">
        <f>IFERROR(INDEX(样本到样信息汇总统计!B$2:B$500,MATCH(476,样本到样信息汇总统计!$AA$2:$AA$500,0)),"")</f>
        <v/>
      </c>
      <c r="C477" s="8" t="str">
        <f>IFERROR(INDEX(样本到样信息汇总统计!C$2:C$500,MATCH(476,样本到样信息汇总统计!$AA$2:$AA$500,0)),"")</f>
        <v/>
      </c>
      <c r="D477" s="8" t="str">
        <f>IFERROR(INDEX(样本到样信息汇总统计!D$2:D$500,MATCH(476,样本到样信息汇总统计!$AA$2:$AA$500,0)),"")</f>
        <v/>
      </c>
      <c r="E477" s="8" t="str">
        <f>IFERROR(INDEX(样本到样信息汇总统计!E$2:E$500,MATCH(476,样本到样信息汇总统计!$AA$2:$AA$500,0)),"")</f>
        <v/>
      </c>
      <c r="F477" s="8" t="str">
        <f>IFERROR(INDEX(样本到样信息汇总统计!F$2:F$500,MATCH(476,样本到样信息汇总统计!$AA$2:$AA$500,0)),"")</f>
        <v/>
      </c>
      <c r="G477" s="8" t="str">
        <f>IFERROR(INDEX(样本到样信息汇总统计!G$2:G$500,MATCH(476,样本到样信息汇总统计!$AA$2:$AA$500,0)),"")</f>
        <v/>
      </c>
      <c r="H477" s="8" t="str">
        <f>IFERROR(INDEX(样本到样信息汇总统计!H$2:H$500,MATCH(476,样本到样信息汇总统计!$AA$2:$AA$500,0)),"")</f>
        <v/>
      </c>
      <c r="I477" s="8" t="str">
        <f>IFERROR(INDEX(样本到样信息汇总统计!I$2:I$500,MATCH(476,样本到样信息汇总统计!$AA$2:$AA$500,0)),"")</f>
        <v/>
      </c>
      <c r="J477" s="8" t="str">
        <f>IFERROR(INDEX(样本到样信息汇总统计!J$2:J$500,MATCH(476,样本到样信息汇总统计!$AA$2:$AA$500,0)),"")</f>
        <v/>
      </c>
      <c r="K477" s="8" t="str">
        <f>IFERROR(INDEX(样本到样信息汇总统计!K$2:K$500,MATCH(476,样本到样信息汇总统计!$AA$2:$AA$500,0)),"")</f>
        <v/>
      </c>
      <c r="L477" s="8" t="str">
        <f>IFERROR(INDEX(样本到样信息汇总统计!L$2:L$500,MATCH(476,样本到样信息汇总统计!$AA$2:$AA$500,0)),"")</f>
        <v/>
      </c>
      <c r="M477" s="8" t="str">
        <f>IFERROR(INDEX(样本到样信息汇总统计!M$2:M$500,MATCH(476,样本到样信息汇总统计!$AA$2:$AA$500,0)),"")</f>
        <v/>
      </c>
      <c r="N477" s="8" t="str">
        <f>IFERROR(INDEX(样本到样信息汇总统计!N$2:N$500,MATCH(476,样本到样信息汇总统计!$AA$2:$AA$500,0)),"")</f>
        <v/>
      </c>
      <c r="O477" s="8" t="str">
        <f>IFERROR(INDEX(样本到样信息汇总统计!O$2:O$500,MATCH(476,样本到样信息汇总统计!$AA$2:$AA$500,0)),"")</f>
        <v/>
      </c>
      <c r="P477" s="8" t="str">
        <f>IFERROR(INDEX(样本到样信息汇总统计!P$2:P$500,MATCH(476,样本到样信息汇总统计!$AA$2:$AA$500,0)),"")</f>
        <v/>
      </c>
      <c r="Q477" s="8" t="str">
        <f>IFERROR(INDEX(样本到样信息汇总统计!Q$2:Q$500,MATCH(476,样本到样信息汇总统计!$AA$2:$AA$500,0)),"")</f>
        <v/>
      </c>
      <c r="R477" s="8" t="str">
        <f>IFERROR(INDEX(样本到样信息汇总统计!R$2:R$500,MATCH(476,样本到样信息汇总统计!$AA$2:$AA$500,0)),"")</f>
        <v/>
      </c>
      <c r="S477" s="8" t="str">
        <f>IFERROR(INDEX(样本到样信息汇总统计!S$2:S$500,MATCH(476,样本到样信息汇总统计!$AA$2:$AA$500,0)),"")</f>
        <v/>
      </c>
      <c r="T477" s="8" t="str">
        <f>IFERROR(INDEX(样本到样信息汇总统计!T$2:T$500,MATCH(476,样本到样信息汇总统计!$AA$2:$AA$500,0)),"")</f>
        <v/>
      </c>
      <c r="U477" s="8" t="str">
        <f>IFERROR(INDEX(样本到样信息汇总统计!U$2:U$500,MATCH(476,样本到样信息汇总统计!$AA$2:$AA$500,0)),"")</f>
        <v/>
      </c>
      <c r="V477" s="8" t="str">
        <f>IFERROR(INDEX(样本到样信息汇总统计!V$2:V$500,MATCH(476,样本到样信息汇总统计!$AA$2:$AA$500,0)),"")</f>
        <v/>
      </c>
      <c r="W477" s="8" t="str">
        <f>IFERROR(INDEX(样本到样信息汇总统计!W$2:W$500,MATCH(476,样本到样信息汇总统计!$AA$2:$AA$500,0)),"")</f>
        <v/>
      </c>
    </row>
    <row r="478" ht="14.5" spans="1:23">
      <c r="A478" s="4" t="str">
        <f>IFERROR(INDEX(样本到样信息汇总统计!A$2:A$500,MATCH(477,样本到样信息汇总统计!$AA$2:$AA$500,0)),"")</f>
        <v/>
      </c>
      <c r="B478" s="4" t="str">
        <f>IFERROR(INDEX(样本到样信息汇总统计!B$2:B$500,MATCH(477,样本到样信息汇总统计!$AA$2:$AA$500,0)),"")</f>
        <v/>
      </c>
      <c r="C478" s="4" t="str">
        <f>IFERROR(INDEX(样本到样信息汇总统计!C$2:C$500,MATCH(477,样本到样信息汇总统计!$AA$2:$AA$500,0)),"")</f>
        <v/>
      </c>
      <c r="D478" s="4" t="str">
        <f>IFERROR(INDEX(样本到样信息汇总统计!D$2:D$500,MATCH(477,样本到样信息汇总统计!$AA$2:$AA$500,0)),"")</f>
        <v/>
      </c>
      <c r="E478" s="4" t="str">
        <f>IFERROR(INDEX(样本到样信息汇总统计!E$2:E$500,MATCH(477,样本到样信息汇总统计!$AA$2:$AA$500,0)),"")</f>
        <v/>
      </c>
      <c r="F478" s="4" t="str">
        <f>IFERROR(INDEX(样本到样信息汇总统计!F$2:F$500,MATCH(477,样本到样信息汇总统计!$AA$2:$AA$500,0)),"")</f>
        <v/>
      </c>
      <c r="G478" s="4" t="str">
        <f>IFERROR(INDEX(样本到样信息汇总统计!G$2:G$500,MATCH(477,样本到样信息汇总统计!$AA$2:$AA$500,0)),"")</f>
        <v/>
      </c>
      <c r="H478" s="4" t="str">
        <f>IFERROR(INDEX(样本到样信息汇总统计!H$2:H$500,MATCH(477,样本到样信息汇总统计!$AA$2:$AA$500,0)),"")</f>
        <v/>
      </c>
      <c r="I478" s="4" t="str">
        <f>IFERROR(INDEX(样本到样信息汇总统计!I$2:I$500,MATCH(477,样本到样信息汇总统计!$AA$2:$AA$500,0)),"")</f>
        <v/>
      </c>
      <c r="J478" s="4" t="str">
        <f>IFERROR(INDEX(样本到样信息汇总统计!J$2:J$500,MATCH(477,样本到样信息汇总统计!$AA$2:$AA$500,0)),"")</f>
        <v/>
      </c>
      <c r="K478" s="4" t="str">
        <f>IFERROR(INDEX(样本到样信息汇总统计!K$2:K$500,MATCH(477,样本到样信息汇总统计!$AA$2:$AA$500,0)),"")</f>
        <v/>
      </c>
      <c r="L478" s="4" t="str">
        <f>IFERROR(INDEX(样本到样信息汇总统计!L$2:L$500,MATCH(477,样本到样信息汇总统计!$AA$2:$AA$500,0)),"")</f>
        <v/>
      </c>
      <c r="M478" s="4" t="str">
        <f>IFERROR(INDEX(样本到样信息汇总统计!M$2:M$500,MATCH(477,样本到样信息汇总统计!$AA$2:$AA$500,0)),"")</f>
        <v/>
      </c>
      <c r="N478" s="4" t="str">
        <f>IFERROR(INDEX(样本到样信息汇总统计!N$2:N$500,MATCH(477,样本到样信息汇总统计!$AA$2:$AA$500,0)),"")</f>
        <v/>
      </c>
      <c r="O478" s="4" t="str">
        <f>IFERROR(INDEX(样本到样信息汇总统计!O$2:O$500,MATCH(477,样本到样信息汇总统计!$AA$2:$AA$500,0)),"")</f>
        <v/>
      </c>
      <c r="P478" s="4" t="str">
        <f>IFERROR(INDEX(样本到样信息汇总统计!P$2:P$500,MATCH(477,样本到样信息汇总统计!$AA$2:$AA$500,0)),"")</f>
        <v/>
      </c>
      <c r="Q478" s="4" t="str">
        <f>IFERROR(INDEX(样本到样信息汇总统计!Q$2:Q$500,MATCH(477,样本到样信息汇总统计!$AA$2:$AA$500,0)),"")</f>
        <v/>
      </c>
      <c r="R478" s="4" t="str">
        <f>IFERROR(INDEX(样本到样信息汇总统计!R$2:R$500,MATCH(477,样本到样信息汇总统计!$AA$2:$AA$500,0)),"")</f>
        <v/>
      </c>
      <c r="S478" s="4" t="str">
        <f>IFERROR(INDEX(样本到样信息汇总统计!S$2:S$500,MATCH(477,样本到样信息汇总统计!$AA$2:$AA$500,0)),"")</f>
        <v/>
      </c>
      <c r="T478" s="4" t="str">
        <f>IFERROR(INDEX(样本到样信息汇总统计!T$2:T$500,MATCH(477,样本到样信息汇总统计!$AA$2:$AA$500,0)),"")</f>
        <v/>
      </c>
      <c r="U478" s="4" t="str">
        <f>IFERROR(INDEX(样本到样信息汇总统计!U$2:U$500,MATCH(477,样本到样信息汇总统计!$AA$2:$AA$500,0)),"")</f>
        <v/>
      </c>
      <c r="V478" s="4" t="str">
        <f>IFERROR(INDEX(样本到样信息汇总统计!V$2:V$500,MATCH(477,样本到样信息汇总统计!$AA$2:$AA$500,0)),"")</f>
        <v/>
      </c>
      <c r="W478" s="4" t="str">
        <f>IFERROR(INDEX(样本到样信息汇总统计!W$2:W$500,MATCH(477,样本到样信息汇总统计!$AA$2:$AA$500,0)),"")</f>
        <v/>
      </c>
    </row>
    <row r="479" ht="14.5" spans="1:23">
      <c r="A479" s="8" t="str">
        <f>IFERROR(INDEX(样本到样信息汇总统计!A$2:A$500,MATCH(478,样本到样信息汇总统计!$AA$2:$AA$500,0)),"")</f>
        <v/>
      </c>
      <c r="B479" s="8" t="str">
        <f>IFERROR(INDEX(样本到样信息汇总统计!B$2:B$500,MATCH(478,样本到样信息汇总统计!$AA$2:$AA$500,0)),"")</f>
        <v/>
      </c>
      <c r="C479" s="8" t="str">
        <f>IFERROR(INDEX(样本到样信息汇总统计!C$2:C$500,MATCH(478,样本到样信息汇总统计!$AA$2:$AA$500,0)),"")</f>
        <v/>
      </c>
      <c r="D479" s="8" t="str">
        <f>IFERROR(INDEX(样本到样信息汇总统计!D$2:D$500,MATCH(478,样本到样信息汇总统计!$AA$2:$AA$500,0)),"")</f>
        <v/>
      </c>
      <c r="E479" s="8" t="str">
        <f>IFERROR(INDEX(样本到样信息汇总统计!E$2:E$500,MATCH(478,样本到样信息汇总统计!$AA$2:$AA$500,0)),"")</f>
        <v/>
      </c>
      <c r="F479" s="8" t="str">
        <f>IFERROR(INDEX(样本到样信息汇总统计!F$2:F$500,MATCH(478,样本到样信息汇总统计!$AA$2:$AA$500,0)),"")</f>
        <v/>
      </c>
      <c r="G479" s="8" t="str">
        <f>IFERROR(INDEX(样本到样信息汇总统计!G$2:G$500,MATCH(478,样本到样信息汇总统计!$AA$2:$AA$500,0)),"")</f>
        <v/>
      </c>
      <c r="H479" s="8" t="str">
        <f>IFERROR(INDEX(样本到样信息汇总统计!H$2:H$500,MATCH(478,样本到样信息汇总统计!$AA$2:$AA$500,0)),"")</f>
        <v/>
      </c>
      <c r="I479" s="8" t="str">
        <f>IFERROR(INDEX(样本到样信息汇总统计!I$2:I$500,MATCH(478,样本到样信息汇总统计!$AA$2:$AA$500,0)),"")</f>
        <v/>
      </c>
      <c r="J479" s="8" t="str">
        <f>IFERROR(INDEX(样本到样信息汇总统计!J$2:J$500,MATCH(478,样本到样信息汇总统计!$AA$2:$AA$500,0)),"")</f>
        <v/>
      </c>
      <c r="K479" s="8" t="str">
        <f>IFERROR(INDEX(样本到样信息汇总统计!K$2:K$500,MATCH(478,样本到样信息汇总统计!$AA$2:$AA$500,0)),"")</f>
        <v/>
      </c>
      <c r="L479" s="8" t="str">
        <f>IFERROR(INDEX(样本到样信息汇总统计!L$2:L$500,MATCH(478,样本到样信息汇总统计!$AA$2:$AA$500,0)),"")</f>
        <v/>
      </c>
      <c r="M479" s="8" t="str">
        <f>IFERROR(INDEX(样本到样信息汇总统计!M$2:M$500,MATCH(478,样本到样信息汇总统计!$AA$2:$AA$500,0)),"")</f>
        <v/>
      </c>
      <c r="N479" s="8" t="str">
        <f>IFERROR(INDEX(样本到样信息汇总统计!N$2:N$500,MATCH(478,样本到样信息汇总统计!$AA$2:$AA$500,0)),"")</f>
        <v/>
      </c>
      <c r="O479" s="8" t="str">
        <f>IFERROR(INDEX(样本到样信息汇总统计!O$2:O$500,MATCH(478,样本到样信息汇总统计!$AA$2:$AA$500,0)),"")</f>
        <v/>
      </c>
      <c r="P479" s="8" t="str">
        <f>IFERROR(INDEX(样本到样信息汇总统计!P$2:P$500,MATCH(478,样本到样信息汇总统计!$AA$2:$AA$500,0)),"")</f>
        <v/>
      </c>
      <c r="Q479" s="8" t="str">
        <f>IFERROR(INDEX(样本到样信息汇总统计!Q$2:Q$500,MATCH(478,样本到样信息汇总统计!$AA$2:$AA$500,0)),"")</f>
        <v/>
      </c>
      <c r="R479" s="8" t="str">
        <f>IFERROR(INDEX(样本到样信息汇总统计!R$2:R$500,MATCH(478,样本到样信息汇总统计!$AA$2:$AA$500,0)),"")</f>
        <v/>
      </c>
      <c r="S479" s="8" t="str">
        <f>IFERROR(INDEX(样本到样信息汇总统计!S$2:S$500,MATCH(478,样本到样信息汇总统计!$AA$2:$AA$500,0)),"")</f>
        <v/>
      </c>
      <c r="T479" s="8" t="str">
        <f>IFERROR(INDEX(样本到样信息汇总统计!T$2:T$500,MATCH(478,样本到样信息汇总统计!$AA$2:$AA$500,0)),"")</f>
        <v/>
      </c>
      <c r="U479" s="8" t="str">
        <f>IFERROR(INDEX(样本到样信息汇总统计!U$2:U$500,MATCH(478,样本到样信息汇总统计!$AA$2:$AA$500,0)),"")</f>
        <v/>
      </c>
      <c r="V479" s="8" t="str">
        <f>IFERROR(INDEX(样本到样信息汇总统计!V$2:V$500,MATCH(478,样本到样信息汇总统计!$AA$2:$AA$500,0)),"")</f>
        <v/>
      </c>
      <c r="W479" s="8" t="str">
        <f>IFERROR(INDEX(样本到样信息汇总统计!W$2:W$500,MATCH(478,样本到样信息汇总统计!$AA$2:$AA$500,0)),"")</f>
        <v/>
      </c>
    </row>
    <row r="480" ht="14.5" spans="1:23">
      <c r="A480" s="4" t="str">
        <f>IFERROR(INDEX(样本到样信息汇总统计!A$2:A$500,MATCH(479,样本到样信息汇总统计!$AA$2:$AA$500,0)),"")</f>
        <v/>
      </c>
      <c r="B480" s="4" t="str">
        <f>IFERROR(INDEX(样本到样信息汇总统计!B$2:B$500,MATCH(479,样本到样信息汇总统计!$AA$2:$AA$500,0)),"")</f>
        <v/>
      </c>
      <c r="C480" s="4" t="str">
        <f>IFERROR(INDEX(样本到样信息汇总统计!C$2:C$500,MATCH(479,样本到样信息汇总统计!$AA$2:$AA$500,0)),"")</f>
        <v/>
      </c>
      <c r="D480" s="4" t="str">
        <f>IFERROR(INDEX(样本到样信息汇总统计!D$2:D$500,MATCH(479,样本到样信息汇总统计!$AA$2:$AA$500,0)),"")</f>
        <v/>
      </c>
      <c r="E480" s="4" t="str">
        <f>IFERROR(INDEX(样本到样信息汇总统计!E$2:E$500,MATCH(479,样本到样信息汇总统计!$AA$2:$AA$500,0)),"")</f>
        <v/>
      </c>
      <c r="F480" s="4" t="str">
        <f>IFERROR(INDEX(样本到样信息汇总统计!F$2:F$500,MATCH(479,样本到样信息汇总统计!$AA$2:$AA$500,0)),"")</f>
        <v/>
      </c>
      <c r="G480" s="4" t="str">
        <f>IFERROR(INDEX(样本到样信息汇总统计!G$2:G$500,MATCH(479,样本到样信息汇总统计!$AA$2:$AA$500,0)),"")</f>
        <v/>
      </c>
      <c r="H480" s="4" t="str">
        <f>IFERROR(INDEX(样本到样信息汇总统计!H$2:H$500,MATCH(479,样本到样信息汇总统计!$AA$2:$AA$500,0)),"")</f>
        <v/>
      </c>
      <c r="I480" s="4" t="str">
        <f>IFERROR(INDEX(样本到样信息汇总统计!I$2:I$500,MATCH(479,样本到样信息汇总统计!$AA$2:$AA$500,0)),"")</f>
        <v/>
      </c>
      <c r="J480" s="4" t="str">
        <f>IFERROR(INDEX(样本到样信息汇总统计!J$2:J$500,MATCH(479,样本到样信息汇总统计!$AA$2:$AA$500,0)),"")</f>
        <v/>
      </c>
      <c r="K480" s="4" t="str">
        <f>IFERROR(INDEX(样本到样信息汇总统计!K$2:K$500,MATCH(479,样本到样信息汇总统计!$AA$2:$AA$500,0)),"")</f>
        <v/>
      </c>
      <c r="L480" s="4" t="str">
        <f>IFERROR(INDEX(样本到样信息汇总统计!L$2:L$500,MATCH(479,样本到样信息汇总统计!$AA$2:$AA$500,0)),"")</f>
        <v/>
      </c>
      <c r="M480" s="4" t="str">
        <f>IFERROR(INDEX(样本到样信息汇总统计!M$2:M$500,MATCH(479,样本到样信息汇总统计!$AA$2:$AA$500,0)),"")</f>
        <v/>
      </c>
      <c r="N480" s="4" t="str">
        <f>IFERROR(INDEX(样本到样信息汇总统计!N$2:N$500,MATCH(479,样本到样信息汇总统计!$AA$2:$AA$500,0)),"")</f>
        <v/>
      </c>
      <c r="O480" s="4" t="str">
        <f>IFERROR(INDEX(样本到样信息汇总统计!O$2:O$500,MATCH(479,样本到样信息汇总统计!$AA$2:$AA$500,0)),"")</f>
        <v/>
      </c>
      <c r="P480" s="4" t="str">
        <f>IFERROR(INDEX(样本到样信息汇总统计!P$2:P$500,MATCH(479,样本到样信息汇总统计!$AA$2:$AA$500,0)),"")</f>
        <v/>
      </c>
      <c r="Q480" s="4" t="str">
        <f>IFERROR(INDEX(样本到样信息汇总统计!Q$2:Q$500,MATCH(479,样本到样信息汇总统计!$AA$2:$AA$500,0)),"")</f>
        <v/>
      </c>
      <c r="R480" s="4" t="str">
        <f>IFERROR(INDEX(样本到样信息汇总统计!R$2:R$500,MATCH(479,样本到样信息汇总统计!$AA$2:$AA$500,0)),"")</f>
        <v/>
      </c>
      <c r="S480" s="4" t="str">
        <f>IFERROR(INDEX(样本到样信息汇总统计!S$2:S$500,MATCH(479,样本到样信息汇总统计!$AA$2:$AA$500,0)),"")</f>
        <v/>
      </c>
      <c r="T480" s="4" t="str">
        <f>IFERROR(INDEX(样本到样信息汇总统计!T$2:T$500,MATCH(479,样本到样信息汇总统计!$AA$2:$AA$500,0)),"")</f>
        <v/>
      </c>
      <c r="U480" s="4" t="str">
        <f>IFERROR(INDEX(样本到样信息汇总统计!U$2:U$500,MATCH(479,样本到样信息汇总统计!$AA$2:$AA$500,0)),"")</f>
        <v/>
      </c>
      <c r="V480" s="4" t="str">
        <f>IFERROR(INDEX(样本到样信息汇总统计!V$2:V$500,MATCH(479,样本到样信息汇总统计!$AA$2:$AA$500,0)),"")</f>
        <v/>
      </c>
      <c r="W480" s="4" t="str">
        <f>IFERROR(INDEX(样本到样信息汇总统计!W$2:W$500,MATCH(479,样本到样信息汇总统计!$AA$2:$AA$500,0)),"")</f>
        <v/>
      </c>
    </row>
    <row r="481" ht="14.5" spans="1:23">
      <c r="A481" s="8" t="str">
        <f>IFERROR(INDEX(样本到样信息汇总统计!A$2:A$500,MATCH(480,样本到样信息汇总统计!$AA$2:$AA$500,0)),"")</f>
        <v/>
      </c>
      <c r="B481" s="8" t="str">
        <f>IFERROR(INDEX(样本到样信息汇总统计!B$2:B$500,MATCH(480,样本到样信息汇总统计!$AA$2:$AA$500,0)),"")</f>
        <v/>
      </c>
      <c r="C481" s="8" t="str">
        <f>IFERROR(INDEX(样本到样信息汇总统计!C$2:C$500,MATCH(480,样本到样信息汇总统计!$AA$2:$AA$500,0)),"")</f>
        <v/>
      </c>
      <c r="D481" s="8" t="str">
        <f>IFERROR(INDEX(样本到样信息汇总统计!D$2:D$500,MATCH(480,样本到样信息汇总统计!$AA$2:$AA$500,0)),"")</f>
        <v/>
      </c>
      <c r="E481" s="8" t="str">
        <f>IFERROR(INDEX(样本到样信息汇总统计!E$2:E$500,MATCH(480,样本到样信息汇总统计!$AA$2:$AA$500,0)),"")</f>
        <v/>
      </c>
      <c r="F481" s="8" t="str">
        <f>IFERROR(INDEX(样本到样信息汇总统计!F$2:F$500,MATCH(480,样本到样信息汇总统计!$AA$2:$AA$500,0)),"")</f>
        <v/>
      </c>
      <c r="G481" s="8" t="str">
        <f>IFERROR(INDEX(样本到样信息汇总统计!G$2:G$500,MATCH(480,样本到样信息汇总统计!$AA$2:$AA$500,0)),"")</f>
        <v/>
      </c>
      <c r="H481" s="8" t="str">
        <f>IFERROR(INDEX(样本到样信息汇总统计!H$2:H$500,MATCH(480,样本到样信息汇总统计!$AA$2:$AA$500,0)),"")</f>
        <v/>
      </c>
      <c r="I481" s="8" t="str">
        <f>IFERROR(INDEX(样本到样信息汇总统计!I$2:I$500,MATCH(480,样本到样信息汇总统计!$AA$2:$AA$500,0)),"")</f>
        <v/>
      </c>
      <c r="J481" s="8" t="str">
        <f>IFERROR(INDEX(样本到样信息汇总统计!J$2:J$500,MATCH(480,样本到样信息汇总统计!$AA$2:$AA$500,0)),"")</f>
        <v/>
      </c>
      <c r="K481" s="8" t="str">
        <f>IFERROR(INDEX(样本到样信息汇总统计!K$2:K$500,MATCH(480,样本到样信息汇总统计!$AA$2:$AA$500,0)),"")</f>
        <v/>
      </c>
      <c r="L481" s="8" t="str">
        <f>IFERROR(INDEX(样本到样信息汇总统计!L$2:L$500,MATCH(480,样本到样信息汇总统计!$AA$2:$AA$500,0)),"")</f>
        <v/>
      </c>
      <c r="M481" s="8" t="str">
        <f>IFERROR(INDEX(样本到样信息汇总统计!M$2:M$500,MATCH(480,样本到样信息汇总统计!$AA$2:$AA$500,0)),"")</f>
        <v/>
      </c>
      <c r="N481" s="8" t="str">
        <f>IFERROR(INDEX(样本到样信息汇总统计!N$2:N$500,MATCH(480,样本到样信息汇总统计!$AA$2:$AA$500,0)),"")</f>
        <v/>
      </c>
      <c r="O481" s="8" t="str">
        <f>IFERROR(INDEX(样本到样信息汇总统计!O$2:O$500,MATCH(480,样本到样信息汇总统计!$AA$2:$AA$500,0)),"")</f>
        <v/>
      </c>
      <c r="P481" s="8" t="str">
        <f>IFERROR(INDEX(样本到样信息汇总统计!P$2:P$500,MATCH(480,样本到样信息汇总统计!$AA$2:$AA$500,0)),"")</f>
        <v/>
      </c>
      <c r="Q481" s="8" t="str">
        <f>IFERROR(INDEX(样本到样信息汇总统计!Q$2:Q$500,MATCH(480,样本到样信息汇总统计!$AA$2:$AA$500,0)),"")</f>
        <v/>
      </c>
      <c r="R481" s="8" t="str">
        <f>IFERROR(INDEX(样本到样信息汇总统计!R$2:R$500,MATCH(480,样本到样信息汇总统计!$AA$2:$AA$500,0)),"")</f>
        <v/>
      </c>
      <c r="S481" s="8" t="str">
        <f>IFERROR(INDEX(样本到样信息汇总统计!S$2:S$500,MATCH(480,样本到样信息汇总统计!$AA$2:$AA$500,0)),"")</f>
        <v/>
      </c>
      <c r="T481" s="8" t="str">
        <f>IFERROR(INDEX(样本到样信息汇总统计!T$2:T$500,MATCH(480,样本到样信息汇总统计!$AA$2:$AA$500,0)),"")</f>
        <v/>
      </c>
      <c r="U481" s="8" t="str">
        <f>IFERROR(INDEX(样本到样信息汇总统计!U$2:U$500,MATCH(480,样本到样信息汇总统计!$AA$2:$AA$500,0)),"")</f>
        <v/>
      </c>
      <c r="V481" s="8" t="str">
        <f>IFERROR(INDEX(样本到样信息汇总统计!V$2:V$500,MATCH(480,样本到样信息汇总统计!$AA$2:$AA$500,0)),"")</f>
        <v/>
      </c>
      <c r="W481" s="8" t="str">
        <f>IFERROR(INDEX(样本到样信息汇总统计!W$2:W$500,MATCH(480,样本到样信息汇总统计!$AA$2:$AA$500,0)),"")</f>
        <v/>
      </c>
    </row>
    <row r="482" ht="14.5" spans="1:23">
      <c r="A482" s="4" t="str">
        <f>IFERROR(INDEX(样本到样信息汇总统计!A$2:A$500,MATCH(481,样本到样信息汇总统计!$AA$2:$AA$500,0)),"")</f>
        <v/>
      </c>
      <c r="B482" s="4" t="str">
        <f>IFERROR(INDEX(样本到样信息汇总统计!B$2:B$500,MATCH(481,样本到样信息汇总统计!$AA$2:$AA$500,0)),"")</f>
        <v/>
      </c>
      <c r="C482" s="4" t="str">
        <f>IFERROR(INDEX(样本到样信息汇总统计!C$2:C$500,MATCH(481,样本到样信息汇总统计!$AA$2:$AA$500,0)),"")</f>
        <v/>
      </c>
      <c r="D482" s="4" t="str">
        <f>IFERROR(INDEX(样本到样信息汇总统计!D$2:D$500,MATCH(481,样本到样信息汇总统计!$AA$2:$AA$500,0)),"")</f>
        <v/>
      </c>
      <c r="E482" s="4" t="str">
        <f>IFERROR(INDEX(样本到样信息汇总统计!E$2:E$500,MATCH(481,样本到样信息汇总统计!$AA$2:$AA$500,0)),"")</f>
        <v/>
      </c>
      <c r="F482" s="4" t="str">
        <f>IFERROR(INDEX(样本到样信息汇总统计!F$2:F$500,MATCH(481,样本到样信息汇总统计!$AA$2:$AA$500,0)),"")</f>
        <v/>
      </c>
      <c r="G482" s="4" t="str">
        <f>IFERROR(INDEX(样本到样信息汇总统计!G$2:G$500,MATCH(481,样本到样信息汇总统计!$AA$2:$AA$500,0)),"")</f>
        <v/>
      </c>
      <c r="H482" s="4" t="str">
        <f>IFERROR(INDEX(样本到样信息汇总统计!H$2:H$500,MATCH(481,样本到样信息汇总统计!$AA$2:$AA$500,0)),"")</f>
        <v/>
      </c>
      <c r="I482" s="4" t="str">
        <f>IFERROR(INDEX(样本到样信息汇总统计!I$2:I$500,MATCH(481,样本到样信息汇总统计!$AA$2:$AA$500,0)),"")</f>
        <v/>
      </c>
      <c r="J482" s="4" t="str">
        <f>IFERROR(INDEX(样本到样信息汇总统计!J$2:J$500,MATCH(481,样本到样信息汇总统计!$AA$2:$AA$500,0)),"")</f>
        <v/>
      </c>
      <c r="K482" s="4" t="str">
        <f>IFERROR(INDEX(样本到样信息汇总统计!K$2:K$500,MATCH(481,样本到样信息汇总统计!$AA$2:$AA$500,0)),"")</f>
        <v/>
      </c>
      <c r="L482" s="4" t="str">
        <f>IFERROR(INDEX(样本到样信息汇总统计!L$2:L$500,MATCH(481,样本到样信息汇总统计!$AA$2:$AA$500,0)),"")</f>
        <v/>
      </c>
      <c r="M482" s="4" t="str">
        <f>IFERROR(INDEX(样本到样信息汇总统计!M$2:M$500,MATCH(481,样本到样信息汇总统计!$AA$2:$AA$500,0)),"")</f>
        <v/>
      </c>
      <c r="N482" s="4" t="str">
        <f>IFERROR(INDEX(样本到样信息汇总统计!N$2:N$500,MATCH(481,样本到样信息汇总统计!$AA$2:$AA$500,0)),"")</f>
        <v/>
      </c>
      <c r="O482" s="4" t="str">
        <f>IFERROR(INDEX(样本到样信息汇总统计!O$2:O$500,MATCH(481,样本到样信息汇总统计!$AA$2:$AA$500,0)),"")</f>
        <v/>
      </c>
      <c r="P482" s="4" t="str">
        <f>IFERROR(INDEX(样本到样信息汇总统计!P$2:P$500,MATCH(481,样本到样信息汇总统计!$AA$2:$AA$500,0)),"")</f>
        <v/>
      </c>
      <c r="Q482" s="4" t="str">
        <f>IFERROR(INDEX(样本到样信息汇总统计!Q$2:Q$500,MATCH(481,样本到样信息汇总统计!$AA$2:$AA$500,0)),"")</f>
        <v/>
      </c>
      <c r="R482" s="4" t="str">
        <f>IFERROR(INDEX(样本到样信息汇总统计!R$2:R$500,MATCH(481,样本到样信息汇总统计!$AA$2:$AA$500,0)),"")</f>
        <v/>
      </c>
      <c r="S482" s="4" t="str">
        <f>IFERROR(INDEX(样本到样信息汇总统计!S$2:S$500,MATCH(481,样本到样信息汇总统计!$AA$2:$AA$500,0)),"")</f>
        <v/>
      </c>
      <c r="T482" s="4" t="str">
        <f>IFERROR(INDEX(样本到样信息汇总统计!T$2:T$500,MATCH(481,样本到样信息汇总统计!$AA$2:$AA$500,0)),"")</f>
        <v/>
      </c>
      <c r="U482" s="4" t="str">
        <f>IFERROR(INDEX(样本到样信息汇总统计!U$2:U$500,MATCH(481,样本到样信息汇总统计!$AA$2:$AA$500,0)),"")</f>
        <v/>
      </c>
      <c r="V482" s="4" t="str">
        <f>IFERROR(INDEX(样本到样信息汇总统计!V$2:V$500,MATCH(481,样本到样信息汇总统计!$AA$2:$AA$500,0)),"")</f>
        <v/>
      </c>
      <c r="W482" s="4" t="str">
        <f>IFERROR(INDEX(样本到样信息汇总统计!W$2:W$500,MATCH(481,样本到样信息汇总统计!$AA$2:$AA$500,0)),"")</f>
        <v/>
      </c>
    </row>
    <row r="483" ht="14.5" spans="1:23">
      <c r="A483" s="8" t="str">
        <f>IFERROR(INDEX(样本到样信息汇总统计!A$2:A$500,MATCH(482,样本到样信息汇总统计!$AA$2:$AA$500,0)),"")</f>
        <v/>
      </c>
      <c r="B483" s="8" t="str">
        <f>IFERROR(INDEX(样本到样信息汇总统计!B$2:B$500,MATCH(482,样本到样信息汇总统计!$AA$2:$AA$500,0)),"")</f>
        <v/>
      </c>
      <c r="C483" s="8" t="str">
        <f>IFERROR(INDEX(样本到样信息汇总统计!C$2:C$500,MATCH(482,样本到样信息汇总统计!$AA$2:$AA$500,0)),"")</f>
        <v/>
      </c>
      <c r="D483" s="8" t="str">
        <f>IFERROR(INDEX(样本到样信息汇总统计!D$2:D$500,MATCH(482,样本到样信息汇总统计!$AA$2:$AA$500,0)),"")</f>
        <v/>
      </c>
      <c r="E483" s="8" t="str">
        <f>IFERROR(INDEX(样本到样信息汇总统计!E$2:E$500,MATCH(482,样本到样信息汇总统计!$AA$2:$AA$500,0)),"")</f>
        <v/>
      </c>
      <c r="F483" s="8" t="str">
        <f>IFERROR(INDEX(样本到样信息汇总统计!F$2:F$500,MATCH(482,样本到样信息汇总统计!$AA$2:$AA$500,0)),"")</f>
        <v/>
      </c>
      <c r="G483" s="8" t="str">
        <f>IFERROR(INDEX(样本到样信息汇总统计!G$2:G$500,MATCH(482,样本到样信息汇总统计!$AA$2:$AA$500,0)),"")</f>
        <v/>
      </c>
      <c r="H483" s="8" t="str">
        <f>IFERROR(INDEX(样本到样信息汇总统计!H$2:H$500,MATCH(482,样本到样信息汇总统计!$AA$2:$AA$500,0)),"")</f>
        <v/>
      </c>
      <c r="I483" s="8" t="str">
        <f>IFERROR(INDEX(样本到样信息汇总统计!I$2:I$500,MATCH(482,样本到样信息汇总统计!$AA$2:$AA$500,0)),"")</f>
        <v/>
      </c>
      <c r="J483" s="8" t="str">
        <f>IFERROR(INDEX(样本到样信息汇总统计!J$2:J$500,MATCH(482,样本到样信息汇总统计!$AA$2:$AA$500,0)),"")</f>
        <v/>
      </c>
      <c r="K483" s="8" t="str">
        <f>IFERROR(INDEX(样本到样信息汇总统计!K$2:K$500,MATCH(482,样本到样信息汇总统计!$AA$2:$AA$500,0)),"")</f>
        <v/>
      </c>
      <c r="L483" s="8" t="str">
        <f>IFERROR(INDEX(样本到样信息汇总统计!L$2:L$500,MATCH(482,样本到样信息汇总统计!$AA$2:$AA$500,0)),"")</f>
        <v/>
      </c>
      <c r="M483" s="8" t="str">
        <f>IFERROR(INDEX(样本到样信息汇总统计!M$2:M$500,MATCH(482,样本到样信息汇总统计!$AA$2:$AA$500,0)),"")</f>
        <v/>
      </c>
      <c r="N483" s="8" t="str">
        <f>IFERROR(INDEX(样本到样信息汇总统计!N$2:N$500,MATCH(482,样本到样信息汇总统计!$AA$2:$AA$500,0)),"")</f>
        <v/>
      </c>
      <c r="O483" s="8" t="str">
        <f>IFERROR(INDEX(样本到样信息汇总统计!O$2:O$500,MATCH(482,样本到样信息汇总统计!$AA$2:$AA$500,0)),"")</f>
        <v/>
      </c>
      <c r="P483" s="8" t="str">
        <f>IFERROR(INDEX(样本到样信息汇总统计!P$2:P$500,MATCH(482,样本到样信息汇总统计!$AA$2:$AA$500,0)),"")</f>
        <v/>
      </c>
      <c r="Q483" s="8" t="str">
        <f>IFERROR(INDEX(样本到样信息汇总统计!Q$2:Q$500,MATCH(482,样本到样信息汇总统计!$AA$2:$AA$500,0)),"")</f>
        <v/>
      </c>
      <c r="R483" s="8" t="str">
        <f>IFERROR(INDEX(样本到样信息汇总统计!R$2:R$500,MATCH(482,样本到样信息汇总统计!$AA$2:$AA$500,0)),"")</f>
        <v/>
      </c>
      <c r="S483" s="8" t="str">
        <f>IFERROR(INDEX(样本到样信息汇总统计!S$2:S$500,MATCH(482,样本到样信息汇总统计!$AA$2:$AA$500,0)),"")</f>
        <v/>
      </c>
      <c r="T483" s="8" t="str">
        <f>IFERROR(INDEX(样本到样信息汇总统计!T$2:T$500,MATCH(482,样本到样信息汇总统计!$AA$2:$AA$500,0)),"")</f>
        <v/>
      </c>
      <c r="U483" s="8" t="str">
        <f>IFERROR(INDEX(样本到样信息汇总统计!U$2:U$500,MATCH(482,样本到样信息汇总统计!$AA$2:$AA$500,0)),"")</f>
        <v/>
      </c>
      <c r="V483" s="8" t="str">
        <f>IFERROR(INDEX(样本到样信息汇总统计!V$2:V$500,MATCH(482,样本到样信息汇总统计!$AA$2:$AA$500,0)),"")</f>
        <v/>
      </c>
      <c r="W483" s="8" t="str">
        <f>IFERROR(INDEX(样本到样信息汇总统计!W$2:W$500,MATCH(482,样本到样信息汇总统计!$AA$2:$AA$500,0)),"")</f>
        <v/>
      </c>
    </row>
    <row r="484" ht="14.5" spans="1:23">
      <c r="A484" s="4" t="str">
        <f>IFERROR(INDEX(样本到样信息汇总统计!A$2:A$500,MATCH(483,样本到样信息汇总统计!$AA$2:$AA$500,0)),"")</f>
        <v/>
      </c>
      <c r="B484" s="4" t="str">
        <f>IFERROR(INDEX(样本到样信息汇总统计!B$2:B$500,MATCH(483,样本到样信息汇总统计!$AA$2:$AA$500,0)),"")</f>
        <v/>
      </c>
      <c r="C484" s="4" t="str">
        <f>IFERROR(INDEX(样本到样信息汇总统计!C$2:C$500,MATCH(483,样本到样信息汇总统计!$AA$2:$AA$500,0)),"")</f>
        <v/>
      </c>
      <c r="D484" s="4" t="str">
        <f>IFERROR(INDEX(样本到样信息汇总统计!D$2:D$500,MATCH(483,样本到样信息汇总统计!$AA$2:$AA$500,0)),"")</f>
        <v/>
      </c>
      <c r="E484" s="4" t="str">
        <f>IFERROR(INDEX(样本到样信息汇总统计!E$2:E$500,MATCH(483,样本到样信息汇总统计!$AA$2:$AA$500,0)),"")</f>
        <v/>
      </c>
      <c r="F484" s="4" t="str">
        <f>IFERROR(INDEX(样本到样信息汇总统计!F$2:F$500,MATCH(483,样本到样信息汇总统计!$AA$2:$AA$500,0)),"")</f>
        <v/>
      </c>
      <c r="G484" s="4" t="str">
        <f>IFERROR(INDEX(样本到样信息汇总统计!G$2:G$500,MATCH(483,样本到样信息汇总统计!$AA$2:$AA$500,0)),"")</f>
        <v/>
      </c>
      <c r="H484" s="4" t="str">
        <f>IFERROR(INDEX(样本到样信息汇总统计!H$2:H$500,MATCH(483,样本到样信息汇总统计!$AA$2:$AA$500,0)),"")</f>
        <v/>
      </c>
      <c r="I484" s="4" t="str">
        <f>IFERROR(INDEX(样本到样信息汇总统计!I$2:I$500,MATCH(483,样本到样信息汇总统计!$AA$2:$AA$500,0)),"")</f>
        <v/>
      </c>
      <c r="J484" s="4" t="str">
        <f>IFERROR(INDEX(样本到样信息汇总统计!J$2:J$500,MATCH(483,样本到样信息汇总统计!$AA$2:$AA$500,0)),"")</f>
        <v/>
      </c>
      <c r="K484" s="4" t="str">
        <f>IFERROR(INDEX(样本到样信息汇总统计!K$2:K$500,MATCH(483,样本到样信息汇总统计!$AA$2:$AA$500,0)),"")</f>
        <v/>
      </c>
      <c r="L484" s="4" t="str">
        <f>IFERROR(INDEX(样本到样信息汇总统计!L$2:L$500,MATCH(483,样本到样信息汇总统计!$AA$2:$AA$500,0)),"")</f>
        <v/>
      </c>
      <c r="M484" s="4" t="str">
        <f>IFERROR(INDEX(样本到样信息汇总统计!M$2:M$500,MATCH(483,样本到样信息汇总统计!$AA$2:$AA$500,0)),"")</f>
        <v/>
      </c>
      <c r="N484" s="4" t="str">
        <f>IFERROR(INDEX(样本到样信息汇总统计!N$2:N$500,MATCH(483,样本到样信息汇总统计!$AA$2:$AA$500,0)),"")</f>
        <v/>
      </c>
      <c r="O484" s="4" t="str">
        <f>IFERROR(INDEX(样本到样信息汇总统计!O$2:O$500,MATCH(483,样本到样信息汇总统计!$AA$2:$AA$500,0)),"")</f>
        <v/>
      </c>
      <c r="P484" s="4" t="str">
        <f>IFERROR(INDEX(样本到样信息汇总统计!P$2:P$500,MATCH(483,样本到样信息汇总统计!$AA$2:$AA$500,0)),"")</f>
        <v/>
      </c>
      <c r="Q484" s="4" t="str">
        <f>IFERROR(INDEX(样本到样信息汇总统计!Q$2:Q$500,MATCH(483,样本到样信息汇总统计!$AA$2:$AA$500,0)),"")</f>
        <v/>
      </c>
      <c r="R484" s="4" t="str">
        <f>IFERROR(INDEX(样本到样信息汇总统计!R$2:R$500,MATCH(483,样本到样信息汇总统计!$AA$2:$AA$500,0)),"")</f>
        <v/>
      </c>
      <c r="S484" s="4" t="str">
        <f>IFERROR(INDEX(样本到样信息汇总统计!S$2:S$500,MATCH(483,样本到样信息汇总统计!$AA$2:$AA$500,0)),"")</f>
        <v/>
      </c>
      <c r="T484" s="4" t="str">
        <f>IFERROR(INDEX(样本到样信息汇总统计!T$2:T$500,MATCH(483,样本到样信息汇总统计!$AA$2:$AA$500,0)),"")</f>
        <v/>
      </c>
      <c r="U484" s="4" t="str">
        <f>IFERROR(INDEX(样本到样信息汇总统计!U$2:U$500,MATCH(483,样本到样信息汇总统计!$AA$2:$AA$500,0)),"")</f>
        <v/>
      </c>
      <c r="V484" s="4" t="str">
        <f>IFERROR(INDEX(样本到样信息汇总统计!V$2:V$500,MATCH(483,样本到样信息汇总统计!$AA$2:$AA$500,0)),"")</f>
        <v/>
      </c>
      <c r="W484" s="4" t="str">
        <f>IFERROR(INDEX(样本到样信息汇总统计!W$2:W$500,MATCH(483,样本到样信息汇总统计!$AA$2:$AA$500,0)),"")</f>
        <v/>
      </c>
    </row>
    <row r="485" ht="14.5" spans="1:23">
      <c r="A485" s="8" t="str">
        <f>IFERROR(INDEX(样本到样信息汇总统计!A$2:A$500,MATCH(484,样本到样信息汇总统计!$AA$2:$AA$500,0)),"")</f>
        <v/>
      </c>
      <c r="B485" s="8" t="str">
        <f>IFERROR(INDEX(样本到样信息汇总统计!B$2:B$500,MATCH(484,样本到样信息汇总统计!$AA$2:$AA$500,0)),"")</f>
        <v/>
      </c>
      <c r="C485" s="8" t="str">
        <f>IFERROR(INDEX(样本到样信息汇总统计!C$2:C$500,MATCH(484,样本到样信息汇总统计!$AA$2:$AA$500,0)),"")</f>
        <v/>
      </c>
      <c r="D485" s="8" t="str">
        <f>IFERROR(INDEX(样本到样信息汇总统计!D$2:D$500,MATCH(484,样本到样信息汇总统计!$AA$2:$AA$500,0)),"")</f>
        <v/>
      </c>
      <c r="E485" s="8" t="str">
        <f>IFERROR(INDEX(样本到样信息汇总统计!E$2:E$500,MATCH(484,样本到样信息汇总统计!$AA$2:$AA$500,0)),"")</f>
        <v/>
      </c>
      <c r="F485" s="8" t="str">
        <f>IFERROR(INDEX(样本到样信息汇总统计!F$2:F$500,MATCH(484,样本到样信息汇总统计!$AA$2:$AA$500,0)),"")</f>
        <v/>
      </c>
      <c r="G485" s="8" t="str">
        <f>IFERROR(INDEX(样本到样信息汇总统计!G$2:G$500,MATCH(484,样本到样信息汇总统计!$AA$2:$AA$500,0)),"")</f>
        <v/>
      </c>
      <c r="H485" s="8" t="str">
        <f>IFERROR(INDEX(样本到样信息汇总统计!H$2:H$500,MATCH(484,样本到样信息汇总统计!$AA$2:$AA$500,0)),"")</f>
        <v/>
      </c>
      <c r="I485" s="8" t="str">
        <f>IFERROR(INDEX(样本到样信息汇总统计!I$2:I$500,MATCH(484,样本到样信息汇总统计!$AA$2:$AA$500,0)),"")</f>
        <v/>
      </c>
      <c r="J485" s="8" t="str">
        <f>IFERROR(INDEX(样本到样信息汇总统计!J$2:J$500,MATCH(484,样本到样信息汇总统计!$AA$2:$AA$500,0)),"")</f>
        <v/>
      </c>
      <c r="K485" s="8" t="str">
        <f>IFERROR(INDEX(样本到样信息汇总统计!K$2:K$500,MATCH(484,样本到样信息汇总统计!$AA$2:$AA$500,0)),"")</f>
        <v/>
      </c>
      <c r="L485" s="8" t="str">
        <f>IFERROR(INDEX(样本到样信息汇总统计!L$2:L$500,MATCH(484,样本到样信息汇总统计!$AA$2:$AA$500,0)),"")</f>
        <v/>
      </c>
      <c r="M485" s="8" t="str">
        <f>IFERROR(INDEX(样本到样信息汇总统计!M$2:M$500,MATCH(484,样本到样信息汇总统计!$AA$2:$AA$500,0)),"")</f>
        <v/>
      </c>
      <c r="N485" s="8" t="str">
        <f>IFERROR(INDEX(样本到样信息汇总统计!N$2:N$500,MATCH(484,样本到样信息汇总统计!$AA$2:$AA$500,0)),"")</f>
        <v/>
      </c>
      <c r="O485" s="8" t="str">
        <f>IFERROR(INDEX(样本到样信息汇总统计!O$2:O$500,MATCH(484,样本到样信息汇总统计!$AA$2:$AA$500,0)),"")</f>
        <v/>
      </c>
      <c r="P485" s="8" t="str">
        <f>IFERROR(INDEX(样本到样信息汇总统计!P$2:P$500,MATCH(484,样本到样信息汇总统计!$AA$2:$AA$500,0)),"")</f>
        <v/>
      </c>
      <c r="Q485" s="8" t="str">
        <f>IFERROR(INDEX(样本到样信息汇总统计!Q$2:Q$500,MATCH(484,样本到样信息汇总统计!$AA$2:$AA$500,0)),"")</f>
        <v/>
      </c>
      <c r="R485" s="8" t="str">
        <f>IFERROR(INDEX(样本到样信息汇总统计!R$2:R$500,MATCH(484,样本到样信息汇总统计!$AA$2:$AA$500,0)),"")</f>
        <v/>
      </c>
      <c r="S485" s="8" t="str">
        <f>IFERROR(INDEX(样本到样信息汇总统计!S$2:S$500,MATCH(484,样本到样信息汇总统计!$AA$2:$AA$500,0)),"")</f>
        <v/>
      </c>
      <c r="T485" s="8" t="str">
        <f>IFERROR(INDEX(样本到样信息汇总统计!T$2:T$500,MATCH(484,样本到样信息汇总统计!$AA$2:$AA$500,0)),"")</f>
        <v/>
      </c>
      <c r="U485" s="8" t="str">
        <f>IFERROR(INDEX(样本到样信息汇总统计!U$2:U$500,MATCH(484,样本到样信息汇总统计!$AA$2:$AA$500,0)),"")</f>
        <v/>
      </c>
      <c r="V485" s="8" t="str">
        <f>IFERROR(INDEX(样本到样信息汇总统计!V$2:V$500,MATCH(484,样本到样信息汇总统计!$AA$2:$AA$500,0)),"")</f>
        <v/>
      </c>
      <c r="W485" s="8" t="str">
        <f>IFERROR(INDEX(样本到样信息汇总统计!W$2:W$500,MATCH(484,样本到样信息汇总统计!$AA$2:$AA$500,0)),"")</f>
        <v/>
      </c>
    </row>
    <row r="486" ht="14.5" spans="1:23">
      <c r="A486" s="4" t="str">
        <f>IFERROR(INDEX(样本到样信息汇总统计!A$2:A$500,MATCH(485,样本到样信息汇总统计!$AA$2:$AA$500,0)),"")</f>
        <v/>
      </c>
      <c r="B486" s="4" t="str">
        <f>IFERROR(INDEX(样本到样信息汇总统计!B$2:B$500,MATCH(485,样本到样信息汇总统计!$AA$2:$AA$500,0)),"")</f>
        <v/>
      </c>
      <c r="C486" s="4" t="str">
        <f>IFERROR(INDEX(样本到样信息汇总统计!C$2:C$500,MATCH(485,样本到样信息汇总统计!$AA$2:$AA$500,0)),"")</f>
        <v/>
      </c>
      <c r="D486" s="4" t="str">
        <f>IFERROR(INDEX(样本到样信息汇总统计!D$2:D$500,MATCH(485,样本到样信息汇总统计!$AA$2:$AA$500,0)),"")</f>
        <v/>
      </c>
      <c r="E486" s="4" t="str">
        <f>IFERROR(INDEX(样本到样信息汇总统计!E$2:E$500,MATCH(485,样本到样信息汇总统计!$AA$2:$AA$500,0)),"")</f>
        <v/>
      </c>
      <c r="F486" s="4" t="str">
        <f>IFERROR(INDEX(样本到样信息汇总统计!F$2:F$500,MATCH(485,样本到样信息汇总统计!$AA$2:$AA$500,0)),"")</f>
        <v/>
      </c>
      <c r="G486" s="4" t="str">
        <f>IFERROR(INDEX(样本到样信息汇总统计!G$2:G$500,MATCH(485,样本到样信息汇总统计!$AA$2:$AA$500,0)),"")</f>
        <v/>
      </c>
      <c r="H486" s="4" t="str">
        <f>IFERROR(INDEX(样本到样信息汇总统计!H$2:H$500,MATCH(485,样本到样信息汇总统计!$AA$2:$AA$500,0)),"")</f>
        <v/>
      </c>
      <c r="I486" s="4" t="str">
        <f>IFERROR(INDEX(样本到样信息汇总统计!I$2:I$500,MATCH(485,样本到样信息汇总统计!$AA$2:$AA$500,0)),"")</f>
        <v/>
      </c>
      <c r="J486" s="4" t="str">
        <f>IFERROR(INDEX(样本到样信息汇总统计!J$2:J$500,MATCH(485,样本到样信息汇总统计!$AA$2:$AA$500,0)),"")</f>
        <v/>
      </c>
      <c r="K486" s="4" t="str">
        <f>IFERROR(INDEX(样本到样信息汇总统计!K$2:K$500,MATCH(485,样本到样信息汇总统计!$AA$2:$AA$500,0)),"")</f>
        <v/>
      </c>
      <c r="L486" s="4" t="str">
        <f>IFERROR(INDEX(样本到样信息汇总统计!L$2:L$500,MATCH(485,样本到样信息汇总统计!$AA$2:$AA$500,0)),"")</f>
        <v/>
      </c>
      <c r="M486" s="4" t="str">
        <f>IFERROR(INDEX(样本到样信息汇总统计!M$2:M$500,MATCH(485,样本到样信息汇总统计!$AA$2:$AA$500,0)),"")</f>
        <v/>
      </c>
      <c r="N486" s="4" t="str">
        <f>IFERROR(INDEX(样本到样信息汇总统计!N$2:N$500,MATCH(485,样本到样信息汇总统计!$AA$2:$AA$500,0)),"")</f>
        <v/>
      </c>
      <c r="O486" s="4" t="str">
        <f>IFERROR(INDEX(样本到样信息汇总统计!O$2:O$500,MATCH(485,样本到样信息汇总统计!$AA$2:$AA$500,0)),"")</f>
        <v/>
      </c>
      <c r="P486" s="4" t="str">
        <f>IFERROR(INDEX(样本到样信息汇总统计!P$2:P$500,MATCH(485,样本到样信息汇总统计!$AA$2:$AA$500,0)),"")</f>
        <v/>
      </c>
      <c r="Q486" s="4" t="str">
        <f>IFERROR(INDEX(样本到样信息汇总统计!Q$2:Q$500,MATCH(485,样本到样信息汇总统计!$AA$2:$AA$500,0)),"")</f>
        <v/>
      </c>
      <c r="R486" s="4" t="str">
        <f>IFERROR(INDEX(样本到样信息汇总统计!R$2:R$500,MATCH(485,样本到样信息汇总统计!$AA$2:$AA$500,0)),"")</f>
        <v/>
      </c>
      <c r="S486" s="4" t="str">
        <f>IFERROR(INDEX(样本到样信息汇总统计!S$2:S$500,MATCH(485,样本到样信息汇总统计!$AA$2:$AA$500,0)),"")</f>
        <v/>
      </c>
      <c r="T486" s="4" t="str">
        <f>IFERROR(INDEX(样本到样信息汇总统计!T$2:T$500,MATCH(485,样本到样信息汇总统计!$AA$2:$AA$500,0)),"")</f>
        <v/>
      </c>
      <c r="U486" s="4" t="str">
        <f>IFERROR(INDEX(样本到样信息汇总统计!U$2:U$500,MATCH(485,样本到样信息汇总统计!$AA$2:$AA$500,0)),"")</f>
        <v/>
      </c>
      <c r="V486" s="4" t="str">
        <f>IFERROR(INDEX(样本到样信息汇总统计!V$2:V$500,MATCH(485,样本到样信息汇总统计!$AA$2:$AA$500,0)),"")</f>
        <v/>
      </c>
      <c r="W486" s="4" t="str">
        <f>IFERROR(INDEX(样本到样信息汇总统计!W$2:W$500,MATCH(485,样本到样信息汇总统计!$AA$2:$AA$500,0)),"")</f>
        <v/>
      </c>
    </row>
    <row r="487" ht="14.5" spans="1:23">
      <c r="A487" s="8" t="str">
        <f>IFERROR(INDEX(样本到样信息汇总统计!A$2:A$500,MATCH(486,样本到样信息汇总统计!$AA$2:$AA$500,0)),"")</f>
        <v/>
      </c>
      <c r="B487" s="8" t="str">
        <f>IFERROR(INDEX(样本到样信息汇总统计!B$2:B$500,MATCH(486,样本到样信息汇总统计!$AA$2:$AA$500,0)),"")</f>
        <v/>
      </c>
      <c r="C487" s="8" t="str">
        <f>IFERROR(INDEX(样本到样信息汇总统计!C$2:C$500,MATCH(486,样本到样信息汇总统计!$AA$2:$AA$500,0)),"")</f>
        <v/>
      </c>
      <c r="D487" s="8" t="str">
        <f>IFERROR(INDEX(样本到样信息汇总统计!D$2:D$500,MATCH(486,样本到样信息汇总统计!$AA$2:$AA$500,0)),"")</f>
        <v/>
      </c>
      <c r="E487" s="8" t="str">
        <f>IFERROR(INDEX(样本到样信息汇总统计!E$2:E$500,MATCH(486,样本到样信息汇总统计!$AA$2:$AA$500,0)),"")</f>
        <v/>
      </c>
      <c r="F487" s="8" t="str">
        <f>IFERROR(INDEX(样本到样信息汇总统计!F$2:F$500,MATCH(486,样本到样信息汇总统计!$AA$2:$AA$500,0)),"")</f>
        <v/>
      </c>
      <c r="G487" s="8" t="str">
        <f>IFERROR(INDEX(样本到样信息汇总统计!G$2:G$500,MATCH(486,样本到样信息汇总统计!$AA$2:$AA$500,0)),"")</f>
        <v/>
      </c>
      <c r="H487" s="8" t="str">
        <f>IFERROR(INDEX(样本到样信息汇总统计!H$2:H$500,MATCH(486,样本到样信息汇总统计!$AA$2:$AA$500,0)),"")</f>
        <v/>
      </c>
      <c r="I487" s="8" t="str">
        <f>IFERROR(INDEX(样本到样信息汇总统计!I$2:I$500,MATCH(486,样本到样信息汇总统计!$AA$2:$AA$500,0)),"")</f>
        <v/>
      </c>
      <c r="J487" s="8" t="str">
        <f>IFERROR(INDEX(样本到样信息汇总统计!J$2:J$500,MATCH(486,样本到样信息汇总统计!$AA$2:$AA$500,0)),"")</f>
        <v/>
      </c>
      <c r="K487" s="8" t="str">
        <f>IFERROR(INDEX(样本到样信息汇总统计!K$2:K$500,MATCH(486,样本到样信息汇总统计!$AA$2:$AA$500,0)),"")</f>
        <v/>
      </c>
      <c r="L487" s="8" t="str">
        <f>IFERROR(INDEX(样本到样信息汇总统计!L$2:L$500,MATCH(486,样本到样信息汇总统计!$AA$2:$AA$500,0)),"")</f>
        <v/>
      </c>
      <c r="M487" s="8" t="str">
        <f>IFERROR(INDEX(样本到样信息汇总统计!M$2:M$500,MATCH(486,样本到样信息汇总统计!$AA$2:$AA$500,0)),"")</f>
        <v/>
      </c>
      <c r="N487" s="8" t="str">
        <f>IFERROR(INDEX(样本到样信息汇总统计!N$2:N$500,MATCH(486,样本到样信息汇总统计!$AA$2:$AA$500,0)),"")</f>
        <v/>
      </c>
      <c r="O487" s="8" t="str">
        <f>IFERROR(INDEX(样本到样信息汇总统计!O$2:O$500,MATCH(486,样本到样信息汇总统计!$AA$2:$AA$500,0)),"")</f>
        <v/>
      </c>
      <c r="P487" s="8" t="str">
        <f>IFERROR(INDEX(样本到样信息汇总统计!P$2:P$500,MATCH(486,样本到样信息汇总统计!$AA$2:$AA$500,0)),"")</f>
        <v/>
      </c>
      <c r="Q487" s="8" t="str">
        <f>IFERROR(INDEX(样本到样信息汇总统计!Q$2:Q$500,MATCH(486,样本到样信息汇总统计!$AA$2:$AA$500,0)),"")</f>
        <v/>
      </c>
      <c r="R487" s="8" t="str">
        <f>IFERROR(INDEX(样本到样信息汇总统计!R$2:R$500,MATCH(486,样本到样信息汇总统计!$AA$2:$AA$500,0)),"")</f>
        <v/>
      </c>
      <c r="S487" s="8" t="str">
        <f>IFERROR(INDEX(样本到样信息汇总统计!S$2:S$500,MATCH(486,样本到样信息汇总统计!$AA$2:$AA$500,0)),"")</f>
        <v/>
      </c>
      <c r="T487" s="8" t="str">
        <f>IFERROR(INDEX(样本到样信息汇总统计!T$2:T$500,MATCH(486,样本到样信息汇总统计!$AA$2:$AA$500,0)),"")</f>
        <v/>
      </c>
      <c r="U487" s="8" t="str">
        <f>IFERROR(INDEX(样本到样信息汇总统计!U$2:U$500,MATCH(486,样本到样信息汇总统计!$AA$2:$AA$500,0)),"")</f>
        <v/>
      </c>
      <c r="V487" s="8" t="str">
        <f>IFERROR(INDEX(样本到样信息汇总统计!V$2:V$500,MATCH(486,样本到样信息汇总统计!$AA$2:$AA$500,0)),"")</f>
        <v/>
      </c>
      <c r="W487" s="8" t="str">
        <f>IFERROR(INDEX(样本到样信息汇总统计!W$2:W$500,MATCH(486,样本到样信息汇总统计!$AA$2:$AA$500,0)),"")</f>
        <v/>
      </c>
    </row>
    <row r="488" ht="14.5" spans="1:23">
      <c r="A488" s="4" t="str">
        <f>IFERROR(INDEX(样本到样信息汇总统计!A$2:A$500,MATCH(487,样本到样信息汇总统计!$AA$2:$AA$500,0)),"")</f>
        <v/>
      </c>
      <c r="B488" s="4" t="str">
        <f>IFERROR(INDEX(样本到样信息汇总统计!B$2:B$500,MATCH(487,样本到样信息汇总统计!$AA$2:$AA$500,0)),"")</f>
        <v/>
      </c>
      <c r="C488" s="4" t="str">
        <f>IFERROR(INDEX(样本到样信息汇总统计!C$2:C$500,MATCH(487,样本到样信息汇总统计!$AA$2:$AA$500,0)),"")</f>
        <v/>
      </c>
      <c r="D488" s="4" t="str">
        <f>IFERROR(INDEX(样本到样信息汇总统计!D$2:D$500,MATCH(487,样本到样信息汇总统计!$AA$2:$AA$500,0)),"")</f>
        <v/>
      </c>
      <c r="E488" s="4" t="str">
        <f>IFERROR(INDEX(样本到样信息汇总统计!E$2:E$500,MATCH(487,样本到样信息汇总统计!$AA$2:$AA$500,0)),"")</f>
        <v/>
      </c>
      <c r="F488" s="4" t="str">
        <f>IFERROR(INDEX(样本到样信息汇总统计!F$2:F$500,MATCH(487,样本到样信息汇总统计!$AA$2:$AA$500,0)),"")</f>
        <v/>
      </c>
      <c r="G488" s="4" t="str">
        <f>IFERROR(INDEX(样本到样信息汇总统计!G$2:G$500,MATCH(487,样本到样信息汇总统计!$AA$2:$AA$500,0)),"")</f>
        <v/>
      </c>
      <c r="H488" s="4" t="str">
        <f>IFERROR(INDEX(样本到样信息汇总统计!H$2:H$500,MATCH(487,样本到样信息汇总统计!$AA$2:$AA$500,0)),"")</f>
        <v/>
      </c>
      <c r="I488" s="4" t="str">
        <f>IFERROR(INDEX(样本到样信息汇总统计!I$2:I$500,MATCH(487,样本到样信息汇总统计!$AA$2:$AA$500,0)),"")</f>
        <v/>
      </c>
      <c r="J488" s="4" t="str">
        <f>IFERROR(INDEX(样本到样信息汇总统计!J$2:J$500,MATCH(487,样本到样信息汇总统计!$AA$2:$AA$500,0)),"")</f>
        <v/>
      </c>
      <c r="K488" s="4" t="str">
        <f>IFERROR(INDEX(样本到样信息汇总统计!K$2:K$500,MATCH(487,样本到样信息汇总统计!$AA$2:$AA$500,0)),"")</f>
        <v/>
      </c>
      <c r="L488" s="4" t="str">
        <f>IFERROR(INDEX(样本到样信息汇总统计!L$2:L$500,MATCH(487,样本到样信息汇总统计!$AA$2:$AA$500,0)),"")</f>
        <v/>
      </c>
      <c r="M488" s="4" t="str">
        <f>IFERROR(INDEX(样本到样信息汇总统计!M$2:M$500,MATCH(487,样本到样信息汇总统计!$AA$2:$AA$500,0)),"")</f>
        <v/>
      </c>
      <c r="N488" s="4" t="str">
        <f>IFERROR(INDEX(样本到样信息汇总统计!N$2:N$500,MATCH(487,样本到样信息汇总统计!$AA$2:$AA$500,0)),"")</f>
        <v/>
      </c>
      <c r="O488" s="4" t="str">
        <f>IFERROR(INDEX(样本到样信息汇总统计!O$2:O$500,MATCH(487,样本到样信息汇总统计!$AA$2:$AA$500,0)),"")</f>
        <v/>
      </c>
      <c r="P488" s="4" t="str">
        <f>IFERROR(INDEX(样本到样信息汇总统计!P$2:P$500,MATCH(487,样本到样信息汇总统计!$AA$2:$AA$500,0)),"")</f>
        <v/>
      </c>
      <c r="Q488" s="4" t="str">
        <f>IFERROR(INDEX(样本到样信息汇总统计!Q$2:Q$500,MATCH(487,样本到样信息汇总统计!$AA$2:$AA$500,0)),"")</f>
        <v/>
      </c>
      <c r="R488" s="4" t="str">
        <f>IFERROR(INDEX(样本到样信息汇总统计!R$2:R$500,MATCH(487,样本到样信息汇总统计!$AA$2:$AA$500,0)),"")</f>
        <v/>
      </c>
      <c r="S488" s="4" t="str">
        <f>IFERROR(INDEX(样本到样信息汇总统计!S$2:S$500,MATCH(487,样本到样信息汇总统计!$AA$2:$AA$500,0)),"")</f>
        <v/>
      </c>
      <c r="T488" s="4" t="str">
        <f>IFERROR(INDEX(样本到样信息汇总统计!T$2:T$500,MATCH(487,样本到样信息汇总统计!$AA$2:$AA$500,0)),"")</f>
        <v/>
      </c>
      <c r="U488" s="4" t="str">
        <f>IFERROR(INDEX(样本到样信息汇总统计!U$2:U$500,MATCH(487,样本到样信息汇总统计!$AA$2:$AA$500,0)),"")</f>
        <v/>
      </c>
      <c r="V488" s="4" t="str">
        <f>IFERROR(INDEX(样本到样信息汇总统计!V$2:V$500,MATCH(487,样本到样信息汇总统计!$AA$2:$AA$500,0)),"")</f>
        <v/>
      </c>
      <c r="W488" s="4" t="str">
        <f>IFERROR(INDEX(样本到样信息汇总统计!W$2:W$500,MATCH(487,样本到样信息汇总统计!$AA$2:$AA$500,0)),"")</f>
        <v/>
      </c>
    </row>
    <row r="489" ht="14.5" spans="1:23">
      <c r="A489" s="8" t="str">
        <f>IFERROR(INDEX(样本到样信息汇总统计!A$2:A$500,MATCH(488,样本到样信息汇总统计!$AA$2:$AA$500,0)),"")</f>
        <v/>
      </c>
      <c r="B489" s="8" t="str">
        <f>IFERROR(INDEX(样本到样信息汇总统计!B$2:B$500,MATCH(488,样本到样信息汇总统计!$AA$2:$AA$500,0)),"")</f>
        <v/>
      </c>
      <c r="C489" s="8" t="str">
        <f>IFERROR(INDEX(样本到样信息汇总统计!C$2:C$500,MATCH(488,样本到样信息汇总统计!$AA$2:$AA$500,0)),"")</f>
        <v/>
      </c>
      <c r="D489" s="8" t="str">
        <f>IFERROR(INDEX(样本到样信息汇总统计!D$2:D$500,MATCH(488,样本到样信息汇总统计!$AA$2:$AA$500,0)),"")</f>
        <v/>
      </c>
      <c r="E489" s="8" t="str">
        <f>IFERROR(INDEX(样本到样信息汇总统计!E$2:E$500,MATCH(488,样本到样信息汇总统计!$AA$2:$AA$500,0)),"")</f>
        <v/>
      </c>
      <c r="F489" s="8" t="str">
        <f>IFERROR(INDEX(样本到样信息汇总统计!F$2:F$500,MATCH(488,样本到样信息汇总统计!$AA$2:$AA$500,0)),"")</f>
        <v/>
      </c>
      <c r="G489" s="8" t="str">
        <f>IFERROR(INDEX(样本到样信息汇总统计!G$2:G$500,MATCH(488,样本到样信息汇总统计!$AA$2:$AA$500,0)),"")</f>
        <v/>
      </c>
      <c r="H489" s="8" t="str">
        <f>IFERROR(INDEX(样本到样信息汇总统计!H$2:H$500,MATCH(488,样本到样信息汇总统计!$AA$2:$AA$500,0)),"")</f>
        <v/>
      </c>
      <c r="I489" s="8" t="str">
        <f>IFERROR(INDEX(样本到样信息汇总统计!I$2:I$500,MATCH(488,样本到样信息汇总统计!$AA$2:$AA$500,0)),"")</f>
        <v/>
      </c>
      <c r="J489" s="8" t="str">
        <f>IFERROR(INDEX(样本到样信息汇总统计!J$2:J$500,MATCH(488,样本到样信息汇总统计!$AA$2:$AA$500,0)),"")</f>
        <v/>
      </c>
      <c r="K489" s="8" t="str">
        <f>IFERROR(INDEX(样本到样信息汇总统计!K$2:K$500,MATCH(488,样本到样信息汇总统计!$AA$2:$AA$500,0)),"")</f>
        <v/>
      </c>
      <c r="L489" s="8" t="str">
        <f>IFERROR(INDEX(样本到样信息汇总统计!L$2:L$500,MATCH(488,样本到样信息汇总统计!$AA$2:$AA$500,0)),"")</f>
        <v/>
      </c>
      <c r="M489" s="8" t="str">
        <f>IFERROR(INDEX(样本到样信息汇总统计!M$2:M$500,MATCH(488,样本到样信息汇总统计!$AA$2:$AA$500,0)),"")</f>
        <v/>
      </c>
      <c r="N489" s="8" t="str">
        <f>IFERROR(INDEX(样本到样信息汇总统计!N$2:N$500,MATCH(488,样本到样信息汇总统计!$AA$2:$AA$500,0)),"")</f>
        <v/>
      </c>
      <c r="O489" s="8" t="str">
        <f>IFERROR(INDEX(样本到样信息汇总统计!O$2:O$500,MATCH(488,样本到样信息汇总统计!$AA$2:$AA$500,0)),"")</f>
        <v/>
      </c>
      <c r="P489" s="8" t="str">
        <f>IFERROR(INDEX(样本到样信息汇总统计!P$2:P$500,MATCH(488,样本到样信息汇总统计!$AA$2:$AA$500,0)),"")</f>
        <v/>
      </c>
      <c r="Q489" s="8" t="str">
        <f>IFERROR(INDEX(样本到样信息汇总统计!Q$2:Q$500,MATCH(488,样本到样信息汇总统计!$AA$2:$AA$500,0)),"")</f>
        <v/>
      </c>
      <c r="R489" s="8" t="str">
        <f>IFERROR(INDEX(样本到样信息汇总统计!R$2:R$500,MATCH(488,样本到样信息汇总统计!$AA$2:$AA$500,0)),"")</f>
        <v/>
      </c>
      <c r="S489" s="8" t="str">
        <f>IFERROR(INDEX(样本到样信息汇总统计!S$2:S$500,MATCH(488,样本到样信息汇总统计!$AA$2:$AA$500,0)),"")</f>
        <v/>
      </c>
      <c r="T489" s="8" t="str">
        <f>IFERROR(INDEX(样本到样信息汇总统计!T$2:T$500,MATCH(488,样本到样信息汇总统计!$AA$2:$AA$500,0)),"")</f>
        <v/>
      </c>
      <c r="U489" s="8" t="str">
        <f>IFERROR(INDEX(样本到样信息汇总统计!U$2:U$500,MATCH(488,样本到样信息汇总统计!$AA$2:$AA$500,0)),"")</f>
        <v/>
      </c>
      <c r="V489" s="8" t="str">
        <f>IFERROR(INDEX(样本到样信息汇总统计!V$2:V$500,MATCH(488,样本到样信息汇总统计!$AA$2:$AA$500,0)),"")</f>
        <v/>
      </c>
      <c r="W489" s="8" t="str">
        <f>IFERROR(INDEX(样本到样信息汇总统计!W$2:W$500,MATCH(488,样本到样信息汇总统计!$AA$2:$AA$500,0)),"")</f>
        <v/>
      </c>
    </row>
    <row r="490" ht="14.5" spans="1:23">
      <c r="A490" s="4" t="str">
        <f>IFERROR(INDEX(样本到样信息汇总统计!A$2:A$500,MATCH(489,样本到样信息汇总统计!$AA$2:$AA$500,0)),"")</f>
        <v/>
      </c>
      <c r="B490" s="4" t="str">
        <f>IFERROR(INDEX(样本到样信息汇总统计!B$2:B$500,MATCH(489,样本到样信息汇总统计!$AA$2:$AA$500,0)),"")</f>
        <v/>
      </c>
      <c r="C490" s="4" t="str">
        <f>IFERROR(INDEX(样本到样信息汇总统计!C$2:C$500,MATCH(489,样本到样信息汇总统计!$AA$2:$AA$500,0)),"")</f>
        <v/>
      </c>
      <c r="D490" s="4" t="str">
        <f>IFERROR(INDEX(样本到样信息汇总统计!D$2:D$500,MATCH(489,样本到样信息汇总统计!$AA$2:$AA$500,0)),"")</f>
        <v/>
      </c>
      <c r="E490" s="4" t="str">
        <f>IFERROR(INDEX(样本到样信息汇总统计!E$2:E$500,MATCH(489,样本到样信息汇总统计!$AA$2:$AA$500,0)),"")</f>
        <v/>
      </c>
      <c r="F490" s="4" t="str">
        <f>IFERROR(INDEX(样本到样信息汇总统计!F$2:F$500,MATCH(489,样本到样信息汇总统计!$AA$2:$AA$500,0)),"")</f>
        <v/>
      </c>
      <c r="G490" s="4" t="str">
        <f>IFERROR(INDEX(样本到样信息汇总统计!G$2:G$500,MATCH(489,样本到样信息汇总统计!$AA$2:$AA$500,0)),"")</f>
        <v/>
      </c>
      <c r="H490" s="4" t="str">
        <f>IFERROR(INDEX(样本到样信息汇总统计!H$2:H$500,MATCH(489,样本到样信息汇总统计!$AA$2:$AA$500,0)),"")</f>
        <v/>
      </c>
      <c r="I490" s="4" t="str">
        <f>IFERROR(INDEX(样本到样信息汇总统计!I$2:I$500,MATCH(489,样本到样信息汇总统计!$AA$2:$AA$500,0)),"")</f>
        <v/>
      </c>
      <c r="J490" s="4" t="str">
        <f>IFERROR(INDEX(样本到样信息汇总统计!J$2:J$500,MATCH(489,样本到样信息汇总统计!$AA$2:$AA$500,0)),"")</f>
        <v/>
      </c>
      <c r="K490" s="4" t="str">
        <f>IFERROR(INDEX(样本到样信息汇总统计!K$2:K$500,MATCH(489,样本到样信息汇总统计!$AA$2:$AA$500,0)),"")</f>
        <v/>
      </c>
      <c r="L490" s="4" t="str">
        <f>IFERROR(INDEX(样本到样信息汇总统计!L$2:L$500,MATCH(489,样本到样信息汇总统计!$AA$2:$AA$500,0)),"")</f>
        <v/>
      </c>
      <c r="M490" s="4" t="str">
        <f>IFERROR(INDEX(样本到样信息汇总统计!M$2:M$500,MATCH(489,样本到样信息汇总统计!$AA$2:$AA$500,0)),"")</f>
        <v/>
      </c>
      <c r="N490" s="4" t="str">
        <f>IFERROR(INDEX(样本到样信息汇总统计!N$2:N$500,MATCH(489,样本到样信息汇总统计!$AA$2:$AA$500,0)),"")</f>
        <v/>
      </c>
      <c r="O490" s="4" t="str">
        <f>IFERROR(INDEX(样本到样信息汇总统计!O$2:O$500,MATCH(489,样本到样信息汇总统计!$AA$2:$AA$500,0)),"")</f>
        <v/>
      </c>
      <c r="P490" s="4" t="str">
        <f>IFERROR(INDEX(样本到样信息汇总统计!P$2:P$500,MATCH(489,样本到样信息汇总统计!$AA$2:$AA$500,0)),"")</f>
        <v/>
      </c>
      <c r="Q490" s="4" t="str">
        <f>IFERROR(INDEX(样本到样信息汇总统计!Q$2:Q$500,MATCH(489,样本到样信息汇总统计!$AA$2:$AA$500,0)),"")</f>
        <v/>
      </c>
      <c r="R490" s="4" t="str">
        <f>IFERROR(INDEX(样本到样信息汇总统计!R$2:R$500,MATCH(489,样本到样信息汇总统计!$AA$2:$AA$500,0)),"")</f>
        <v/>
      </c>
      <c r="S490" s="4" t="str">
        <f>IFERROR(INDEX(样本到样信息汇总统计!S$2:S$500,MATCH(489,样本到样信息汇总统计!$AA$2:$AA$500,0)),"")</f>
        <v/>
      </c>
      <c r="T490" s="4" t="str">
        <f>IFERROR(INDEX(样本到样信息汇总统计!T$2:T$500,MATCH(489,样本到样信息汇总统计!$AA$2:$AA$500,0)),"")</f>
        <v/>
      </c>
      <c r="U490" s="4" t="str">
        <f>IFERROR(INDEX(样本到样信息汇总统计!U$2:U$500,MATCH(489,样本到样信息汇总统计!$AA$2:$AA$500,0)),"")</f>
        <v/>
      </c>
      <c r="V490" s="4" t="str">
        <f>IFERROR(INDEX(样本到样信息汇总统计!V$2:V$500,MATCH(489,样本到样信息汇总统计!$AA$2:$AA$500,0)),"")</f>
        <v/>
      </c>
      <c r="W490" s="4" t="str">
        <f>IFERROR(INDEX(样本到样信息汇总统计!W$2:W$500,MATCH(489,样本到样信息汇总统计!$AA$2:$AA$500,0)),"")</f>
        <v/>
      </c>
    </row>
    <row r="491" ht="14.5" spans="1:23">
      <c r="A491" s="8" t="str">
        <f>IFERROR(INDEX(样本到样信息汇总统计!A$2:A$500,MATCH(490,样本到样信息汇总统计!$AA$2:$AA$500,0)),"")</f>
        <v/>
      </c>
      <c r="B491" s="8" t="str">
        <f>IFERROR(INDEX(样本到样信息汇总统计!B$2:B$500,MATCH(490,样本到样信息汇总统计!$AA$2:$AA$500,0)),"")</f>
        <v/>
      </c>
      <c r="C491" s="8" t="str">
        <f>IFERROR(INDEX(样本到样信息汇总统计!C$2:C$500,MATCH(490,样本到样信息汇总统计!$AA$2:$AA$500,0)),"")</f>
        <v/>
      </c>
      <c r="D491" s="8" t="str">
        <f>IFERROR(INDEX(样本到样信息汇总统计!D$2:D$500,MATCH(490,样本到样信息汇总统计!$AA$2:$AA$500,0)),"")</f>
        <v/>
      </c>
      <c r="E491" s="8" t="str">
        <f>IFERROR(INDEX(样本到样信息汇总统计!E$2:E$500,MATCH(490,样本到样信息汇总统计!$AA$2:$AA$500,0)),"")</f>
        <v/>
      </c>
      <c r="F491" s="8" t="str">
        <f>IFERROR(INDEX(样本到样信息汇总统计!F$2:F$500,MATCH(490,样本到样信息汇总统计!$AA$2:$AA$500,0)),"")</f>
        <v/>
      </c>
      <c r="G491" s="8" t="str">
        <f>IFERROR(INDEX(样本到样信息汇总统计!G$2:G$500,MATCH(490,样本到样信息汇总统计!$AA$2:$AA$500,0)),"")</f>
        <v/>
      </c>
      <c r="H491" s="8" t="str">
        <f>IFERROR(INDEX(样本到样信息汇总统计!H$2:H$500,MATCH(490,样本到样信息汇总统计!$AA$2:$AA$500,0)),"")</f>
        <v/>
      </c>
      <c r="I491" s="8" t="str">
        <f>IFERROR(INDEX(样本到样信息汇总统计!I$2:I$500,MATCH(490,样本到样信息汇总统计!$AA$2:$AA$500,0)),"")</f>
        <v/>
      </c>
      <c r="J491" s="8" t="str">
        <f>IFERROR(INDEX(样本到样信息汇总统计!J$2:J$500,MATCH(490,样本到样信息汇总统计!$AA$2:$AA$500,0)),"")</f>
        <v/>
      </c>
      <c r="K491" s="8" t="str">
        <f>IFERROR(INDEX(样本到样信息汇总统计!K$2:K$500,MATCH(490,样本到样信息汇总统计!$AA$2:$AA$500,0)),"")</f>
        <v/>
      </c>
      <c r="L491" s="8" t="str">
        <f>IFERROR(INDEX(样本到样信息汇总统计!L$2:L$500,MATCH(490,样本到样信息汇总统计!$AA$2:$AA$500,0)),"")</f>
        <v/>
      </c>
      <c r="M491" s="8" t="str">
        <f>IFERROR(INDEX(样本到样信息汇总统计!M$2:M$500,MATCH(490,样本到样信息汇总统计!$AA$2:$AA$500,0)),"")</f>
        <v/>
      </c>
      <c r="N491" s="8" t="str">
        <f>IFERROR(INDEX(样本到样信息汇总统计!N$2:N$500,MATCH(490,样本到样信息汇总统计!$AA$2:$AA$500,0)),"")</f>
        <v/>
      </c>
      <c r="O491" s="8" t="str">
        <f>IFERROR(INDEX(样本到样信息汇总统计!O$2:O$500,MATCH(490,样本到样信息汇总统计!$AA$2:$AA$500,0)),"")</f>
        <v/>
      </c>
      <c r="P491" s="8" t="str">
        <f>IFERROR(INDEX(样本到样信息汇总统计!P$2:P$500,MATCH(490,样本到样信息汇总统计!$AA$2:$AA$500,0)),"")</f>
        <v/>
      </c>
      <c r="Q491" s="8" t="str">
        <f>IFERROR(INDEX(样本到样信息汇总统计!Q$2:Q$500,MATCH(490,样本到样信息汇总统计!$AA$2:$AA$500,0)),"")</f>
        <v/>
      </c>
      <c r="R491" s="8" t="str">
        <f>IFERROR(INDEX(样本到样信息汇总统计!R$2:R$500,MATCH(490,样本到样信息汇总统计!$AA$2:$AA$500,0)),"")</f>
        <v/>
      </c>
      <c r="S491" s="8" t="str">
        <f>IFERROR(INDEX(样本到样信息汇总统计!S$2:S$500,MATCH(490,样本到样信息汇总统计!$AA$2:$AA$500,0)),"")</f>
        <v/>
      </c>
      <c r="T491" s="8" t="str">
        <f>IFERROR(INDEX(样本到样信息汇总统计!T$2:T$500,MATCH(490,样本到样信息汇总统计!$AA$2:$AA$500,0)),"")</f>
        <v/>
      </c>
      <c r="U491" s="8" t="str">
        <f>IFERROR(INDEX(样本到样信息汇总统计!U$2:U$500,MATCH(490,样本到样信息汇总统计!$AA$2:$AA$500,0)),"")</f>
        <v/>
      </c>
      <c r="V491" s="8" t="str">
        <f>IFERROR(INDEX(样本到样信息汇总统计!V$2:V$500,MATCH(490,样本到样信息汇总统计!$AA$2:$AA$500,0)),"")</f>
        <v/>
      </c>
      <c r="W491" s="8" t="str">
        <f>IFERROR(INDEX(样本到样信息汇总统计!W$2:W$500,MATCH(490,样本到样信息汇总统计!$AA$2:$AA$500,0)),"")</f>
        <v/>
      </c>
    </row>
    <row r="492" ht="14.5" spans="1:23">
      <c r="A492" s="4" t="str">
        <f>IFERROR(INDEX(样本到样信息汇总统计!A$2:A$500,MATCH(491,样本到样信息汇总统计!$AA$2:$AA$500,0)),"")</f>
        <v/>
      </c>
      <c r="B492" s="4" t="str">
        <f>IFERROR(INDEX(样本到样信息汇总统计!B$2:B$500,MATCH(491,样本到样信息汇总统计!$AA$2:$AA$500,0)),"")</f>
        <v/>
      </c>
      <c r="C492" s="4" t="str">
        <f>IFERROR(INDEX(样本到样信息汇总统计!C$2:C$500,MATCH(491,样本到样信息汇总统计!$AA$2:$AA$500,0)),"")</f>
        <v/>
      </c>
      <c r="D492" s="4" t="str">
        <f>IFERROR(INDEX(样本到样信息汇总统计!D$2:D$500,MATCH(491,样本到样信息汇总统计!$AA$2:$AA$500,0)),"")</f>
        <v/>
      </c>
      <c r="E492" s="4" t="str">
        <f>IFERROR(INDEX(样本到样信息汇总统计!E$2:E$500,MATCH(491,样本到样信息汇总统计!$AA$2:$AA$500,0)),"")</f>
        <v/>
      </c>
      <c r="F492" s="4" t="str">
        <f>IFERROR(INDEX(样本到样信息汇总统计!F$2:F$500,MATCH(491,样本到样信息汇总统计!$AA$2:$AA$500,0)),"")</f>
        <v/>
      </c>
      <c r="G492" s="4" t="str">
        <f>IFERROR(INDEX(样本到样信息汇总统计!G$2:G$500,MATCH(491,样本到样信息汇总统计!$AA$2:$AA$500,0)),"")</f>
        <v/>
      </c>
      <c r="H492" s="4" t="str">
        <f>IFERROR(INDEX(样本到样信息汇总统计!H$2:H$500,MATCH(491,样本到样信息汇总统计!$AA$2:$AA$500,0)),"")</f>
        <v/>
      </c>
      <c r="I492" s="4" t="str">
        <f>IFERROR(INDEX(样本到样信息汇总统计!I$2:I$500,MATCH(491,样本到样信息汇总统计!$AA$2:$AA$500,0)),"")</f>
        <v/>
      </c>
      <c r="J492" s="4" t="str">
        <f>IFERROR(INDEX(样本到样信息汇总统计!J$2:J$500,MATCH(491,样本到样信息汇总统计!$AA$2:$AA$500,0)),"")</f>
        <v/>
      </c>
      <c r="K492" s="4" t="str">
        <f>IFERROR(INDEX(样本到样信息汇总统计!K$2:K$500,MATCH(491,样本到样信息汇总统计!$AA$2:$AA$500,0)),"")</f>
        <v/>
      </c>
      <c r="L492" s="4" t="str">
        <f>IFERROR(INDEX(样本到样信息汇总统计!L$2:L$500,MATCH(491,样本到样信息汇总统计!$AA$2:$AA$500,0)),"")</f>
        <v/>
      </c>
      <c r="M492" s="4" t="str">
        <f>IFERROR(INDEX(样本到样信息汇总统计!M$2:M$500,MATCH(491,样本到样信息汇总统计!$AA$2:$AA$500,0)),"")</f>
        <v/>
      </c>
      <c r="N492" s="4" t="str">
        <f>IFERROR(INDEX(样本到样信息汇总统计!N$2:N$500,MATCH(491,样本到样信息汇总统计!$AA$2:$AA$500,0)),"")</f>
        <v/>
      </c>
      <c r="O492" s="4" t="str">
        <f>IFERROR(INDEX(样本到样信息汇总统计!O$2:O$500,MATCH(491,样本到样信息汇总统计!$AA$2:$AA$500,0)),"")</f>
        <v/>
      </c>
      <c r="P492" s="4" t="str">
        <f>IFERROR(INDEX(样本到样信息汇总统计!P$2:P$500,MATCH(491,样本到样信息汇总统计!$AA$2:$AA$500,0)),"")</f>
        <v/>
      </c>
      <c r="Q492" s="4" t="str">
        <f>IFERROR(INDEX(样本到样信息汇总统计!Q$2:Q$500,MATCH(491,样本到样信息汇总统计!$AA$2:$AA$500,0)),"")</f>
        <v/>
      </c>
      <c r="R492" s="4" t="str">
        <f>IFERROR(INDEX(样本到样信息汇总统计!R$2:R$500,MATCH(491,样本到样信息汇总统计!$AA$2:$AA$500,0)),"")</f>
        <v/>
      </c>
      <c r="S492" s="4" t="str">
        <f>IFERROR(INDEX(样本到样信息汇总统计!S$2:S$500,MATCH(491,样本到样信息汇总统计!$AA$2:$AA$500,0)),"")</f>
        <v/>
      </c>
      <c r="T492" s="4" t="str">
        <f>IFERROR(INDEX(样本到样信息汇总统计!T$2:T$500,MATCH(491,样本到样信息汇总统计!$AA$2:$AA$500,0)),"")</f>
        <v/>
      </c>
      <c r="U492" s="4" t="str">
        <f>IFERROR(INDEX(样本到样信息汇总统计!U$2:U$500,MATCH(491,样本到样信息汇总统计!$AA$2:$AA$500,0)),"")</f>
        <v/>
      </c>
      <c r="V492" s="4" t="str">
        <f>IFERROR(INDEX(样本到样信息汇总统计!V$2:V$500,MATCH(491,样本到样信息汇总统计!$AA$2:$AA$500,0)),"")</f>
        <v/>
      </c>
      <c r="W492" s="4" t="str">
        <f>IFERROR(INDEX(样本到样信息汇总统计!W$2:W$500,MATCH(491,样本到样信息汇总统计!$AA$2:$AA$500,0)),"")</f>
        <v/>
      </c>
    </row>
    <row r="493" ht="14.5" spans="1:23">
      <c r="A493" s="8" t="str">
        <f>IFERROR(INDEX(样本到样信息汇总统计!A$2:A$500,MATCH(492,样本到样信息汇总统计!$AA$2:$AA$500,0)),"")</f>
        <v/>
      </c>
      <c r="B493" s="8" t="str">
        <f>IFERROR(INDEX(样本到样信息汇总统计!B$2:B$500,MATCH(492,样本到样信息汇总统计!$AA$2:$AA$500,0)),"")</f>
        <v/>
      </c>
      <c r="C493" s="8" t="str">
        <f>IFERROR(INDEX(样本到样信息汇总统计!C$2:C$500,MATCH(492,样本到样信息汇总统计!$AA$2:$AA$500,0)),"")</f>
        <v/>
      </c>
      <c r="D493" s="8" t="str">
        <f>IFERROR(INDEX(样本到样信息汇总统计!D$2:D$500,MATCH(492,样本到样信息汇总统计!$AA$2:$AA$500,0)),"")</f>
        <v/>
      </c>
      <c r="E493" s="8" t="str">
        <f>IFERROR(INDEX(样本到样信息汇总统计!E$2:E$500,MATCH(492,样本到样信息汇总统计!$AA$2:$AA$500,0)),"")</f>
        <v/>
      </c>
      <c r="F493" s="8" t="str">
        <f>IFERROR(INDEX(样本到样信息汇总统计!F$2:F$500,MATCH(492,样本到样信息汇总统计!$AA$2:$AA$500,0)),"")</f>
        <v/>
      </c>
      <c r="G493" s="8" t="str">
        <f>IFERROR(INDEX(样本到样信息汇总统计!G$2:G$500,MATCH(492,样本到样信息汇总统计!$AA$2:$AA$500,0)),"")</f>
        <v/>
      </c>
      <c r="H493" s="8" t="str">
        <f>IFERROR(INDEX(样本到样信息汇总统计!H$2:H$500,MATCH(492,样本到样信息汇总统计!$AA$2:$AA$500,0)),"")</f>
        <v/>
      </c>
      <c r="I493" s="8" t="str">
        <f>IFERROR(INDEX(样本到样信息汇总统计!I$2:I$500,MATCH(492,样本到样信息汇总统计!$AA$2:$AA$500,0)),"")</f>
        <v/>
      </c>
      <c r="J493" s="8" t="str">
        <f>IFERROR(INDEX(样本到样信息汇总统计!J$2:J$500,MATCH(492,样本到样信息汇总统计!$AA$2:$AA$500,0)),"")</f>
        <v/>
      </c>
      <c r="K493" s="8" t="str">
        <f>IFERROR(INDEX(样本到样信息汇总统计!K$2:K$500,MATCH(492,样本到样信息汇总统计!$AA$2:$AA$500,0)),"")</f>
        <v/>
      </c>
      <c r="L493" s="8" t="str">
        <f>IFERROR(INDEX(样本到样信息汇总统计!L$2:L$500,MATCH(492,样本到样信息汇总统计!$AA$2:$AA$500,0)),"")</f>
        <v/>
      </c>
      <c r="M493" s="8" t="str">
        <f>IFERROR(INDEX(样本到样信息汇总统计!M$2:M$500,MATCH(492,样本到样信息汇总统计!$AA$2:$AA$500,0)),"")</f>
        <v/>
      </c>
      <c r="N493" s="8" t="str">
        <f>IFERROR(INDEX(样本到样信息汇总统计!N$2:N$500,MATCH(492,样本到样信息汇总统计!$AA$2:$AA$500,0)),"")</f>
        <v/>
      </c>
      <c r="O493" s="8" t="str">
        <f>IFERROR(INDEX(样本到样信息汇总统计!O$2:O$500,MATCH(492,样本到样信息汇总统计!$AA$2:$AA$500,0)),"")</f>
        <v/>
      </c>
      <c r="P493" s="8" t="str">
        <f>IFERROR(INDEX(样本到样信息汇总统计!P$2:P$500,MATCH(492,样本到样信息汇总统计!$AA$2:$AA$500,0)),"")</f>
        <v/>
      </c>
      <c r="Q493" s="8" t="str">
        <f>IFERROR(INDEX(样本到样信息汇总统计!Q$2:Q$500,MATCH(492,样本到样信息汇总统计!$AA$2:$AA$500,0)),"")</f>
        <v/>
      </c>
      <c r="R493" s="8" t="str">
        <f>IFERROR(INDEX(样本到样信息汇总统计!R$2:R$500,MATCH(492,样本到样信息汇总统计!$AA$2:$AA$500,0)),"")</f>
        <v/>
      </c>
      <c r="S493" s="8" t="str">
        <f>IFERROR(INDEX(样本到样信息汇总统计!S$2:S$500,MATCH(492,样本到样信息汇总统计!$AA$2:$AA$500,0)),"")</f>
        <v/>
      </c>
      <c r="T493" s="8" t="str">
        <f>IFERROR(INDEX(样本到样信息汇总统计!T$2:T$500,MATCH(492,样本到样信息汇总统计!$AA$2:$AA$500,0)),"")</f>
        <v/>
      </c>
      <c r="U493" s="8" t="str">
        <f>IFERROR(INDEX(样本到样信息汇总统计!U$2:U$500,MATCH(492,样本到样信息汇总统计!$AA$2:$AA$500,0)),"")</f>
        <v/>
      </c>
      <c r="V493" s="8" t="str">
        <f>IFERROR(INDEX(样本到样信息汇总统计!V$2:V$500,MATCH(492,样本到样信息汇总统计!$AA$2:$AA$500,0)),"")</f>
        <v/>
      </c>
      <c r="W493" s="8" t="str">
        <f>IFERROR(INDEX(样本到样信息汇总统计!W$2:W$500,MATCH(492,样本到样信息汇总统计!$AA$2:$AA$500,0)),"")</f>
        <v/>
      </c>
    </row>
    <row r="494" ht="14.5" spans="1:23">
      <c r="A494" s="4" t="str">
        <f>IFERROR(INDEX(样本到样信息汇总统计!A$2:A$500,MATCH(493,样本到样信息汇总统计!$AA$2:$AA$500,0)),"")</f>
        <v/>
      </c>
      <c r="B494" s="4" t="str">
        <f>IFERROR(INDEX(样本到样信息汇总统计!B$2:B$500,MATCH(493,样本到样信息汇总统计!$AA$2:$AA$500,0)),"")</f>
        <v/>
      </c>
      <c r="C494" s="4" t="str">
        <f>IFERROR(INDEX(样本到样信息汇总统计!C$2:C$500,MATCH(493,样本到样信息汇总统计!$AA$2:$AA$500,0)),"")</f>
        <v/>
      </c>
      <c r="D494" s="4" t="str">
        <f>IFERROR(INDEX(样本到样信息汇总统计!D$2:D$500,MATCH(493,样本到样信息汇总统计!$AA$2:$AA$500,0)),"")</f>
        <v/>
      </c>
      <c r="E494" s="4" t="str">
        <f>IFERROR(INDEX(样本到样信息汇总统计!E$2:E$500,MATCH(493,样本到样信息汇总统计!$AA$2:$AA$500,0)),"")</f>
        <v/>
      </c>
      <c r="F494" s="4" t="str">
        <f>IFERROR(INDEX(样本到样信息汇总统计!F$2:F$500,MATCH(493,样本到样信息汇总统计!$AA$2:$AA$500,0)),"")</f>
        <v/>
      </c>
      <c r="G494" s="4" t="str">
        <f>IFERROR(INDEX(样本到样信息汇总统计!G$2:G$500,MATCH(493,样本到样信息汇总统计!$AA$2:$AA$500,0)),"")</f>
        <v/>
      </c>
      <c r="H494" s="4" t="str">
        <f>IFERROR(INDEX(样本到样信息汇总统计!H$2:H$500,MATCH(493,样本到样信息汇总统计!$AA$2:$AA$500,0)),"")</f>
        <v/>
      </c>
      <c r="I494" s="4" t="str">
        <f>IFERROR(INDEX(样本到样信息汇总统计!I$2:I$500,MATCH(493,样本到样信息汇总统计!$AA$2:$AA$500,0)),"")</f>
        <v/>
      </c>
      <c r="J494" s="4" t="str">
        <f>IFERROR(INDEX(样本到样信息汇总统计!J$2:J$500,MATCH(493,样本到样信息汇总统计!$AA$2:$AA$500,0)),"")</f>
        <v/>
      </c>
      <c r="K494" s="4" t="str">
        <f>IFERROR(INDEX(样本到样信息汇总统计!K$2:K$500,MATCH(493,样本到样信息汇总统计!$AA$2:$AA$500,0)),"")</f>
        <v/>
      </c>
      <c r="L494" s="4" t="str">
        <f>IFERROR(INDEX(样本到样信息汇总统计!L$2:L$500,MATCH(493,样本到样信息汇总统计!$AA$2:$AA$500,0)),"")</f>
        <v/>
      </c>
      <c r="M494" s="4" t="str">
        <f>IFERROR(INDEX(样本到样信息汇总统计!M$2:M$500,MATCH(493,样本到样信息汇总统计!$AA$2:$AA$500,0)),"")</f>
        <v/>
      </c>
      <c r="N494" s="4" t="str">
        <f>IFERROR(INDEX(样本到样信息汇总统计!N$2:N$500,MATCH(493,样本到样信息汇总统计!$AA$2:$AA$500,0)),"")</f>
        <v/>
      </c>
      <c r="O494" s="4" t="str">
        <f>IFERROR(INDEX(样本到样信息汇总统计!O$2:O$500,MATCH(493,样本到样信息汇总统计!$AA$2:$AA$500,0)),"")</f>
        <v/>
      </c>
      <c r="P494" s="4" t="str">
        <f>IFERROR(INDEX(样本到样信息汇总统计!P$2:P$500,MATCH(493,样本到样信息汇总统计!$AA$2:$AA$500,0)),"")</f>
        <v/>
      </c>
      <c r="Q494" s="4" t="str">
        <f>IFERROR(INDEX(样本到样信息汇总统计!Q$2:Q$500,MATCH(493,样本到样信息汇总统计!$AA$2:$AA$500,0)),"")</f>
        <v/>
      </c>
      <c r="R494" s="4" t="str">
        <f>IFERROR(INDEX(样本到样信息汇总统计!R$2:R$500,MATCH(493,样本到样信息汇总统计!$AA$2:$AA$500,0)),"")</f>
        <v/>
      </c>
      <c r="S494" s="4" t="str">
        <f>IFERROR(INDEX(样本到样信息汇总统计!S$2:S$500,MATCH(493,样本到样信息汇总统计!$AA$2:$AA$500,0)),"")</f>
        <v/>
      </c>
      <c r="T494" s="4" t="str">
        <f>IFERROR(INDEX(样本到样信息汇总统计!T$2:T$500,MATCH(493,样本到样信息汇总统计!$AA$2:$AA$500,0)),"")</f>
        <v/>
      </c>
      <c r="U494" s="4" t="str">
        <f>IFERROR(INDEX(样本到样信息汇总统计!U$2:U$500,MATCH(493,样本到样信息汇总统计!$AA$2:$AA$500,0)),"")</f>
        <v/>
      </c>
      <c r="V494" s="4" t="str">
        <f>IFERROR(INDEX(样本到样信息汇总统计!V$2:V$500,MATCH(493,样本到样信息汇总统计!$AA$2:$AA$500,0)),"")</f>
        <v/>
      </c>
      <c r="W494" s="4" t="str">
        <f>IFERROR(INDEX(样本到样信息汇总统计!W$2:W$500,MATCH(493,样本到样信息汇总统计!$AA$2:$AA$500,0)),"")</f>
        <v/>
      </c>
    </row>
    <row r="495" ht="14.5" spans="1:23">
      <c r="A495" s="8" t="str">
        <f>IFERROR(INDEX(样本到样信息汇总统计!A$2:A$500,MATCH(494,样本到样信息汇总统计!$AA$2:$AA$500,0)),"")</f>
        <v/>
      </c>
      <c r="B495" s="8" t="str">
        <f>IFERROR(INDEX(样本到样信息汇总统计!B$2:B$500,MATCH(494,样本到样信息汇总统计!$AA$2:$AA$500,0)),"")</f>
        <v/>
      </c>
      <c r="C495" s="8" t="str">
        <f>IFERROR(INDEX(样本到样信息汇总统计!C$2:C$500,MATCH(494,样本到样信息汇总统计!$AA$2:$AA$500,0)),"")</f>
        <v/>
      </c>
      <c r="D495" s="8" t="str">
        <f>IFERROR(INDEX(样本到样信息汇总统计!D$2:D$500,MATCH(494,样本到样信息汇总统计!$AA$2:$AA$500,0)),"")</f>
        <v/>
      </c>
      <c r="E495" s="8" t="str">
        <f>IFERROR(INDEX(样本到样信息汇总统计!E$2:E$500,MATCH(494,样本到样信息汇总统计!$AA$2:$AA$500,0)),"")</f>
        <v/>
      </c>
      <c r="F495" s="8" t="str">
        <f>IFERROR(INDEX(样本到样信息汇总统计!F$2:F$500,MATCH(494,样本到样信息汇总统计!$AA$2:$AA$500,0)),"")</f>
        <v/>
      </c>
      <c r="G495" s="8" t="str">
        <f>IFERROR(INDEX(样本到样信息汇总统计!G$2:G$500,MATCH(494,样本到样信息汇总统计!$AA$2:$AA$500,0)),"")</f>
        <v/>
      </c>
      <c r="H495" s="8" t="str">
        <f>IFERROR(INDEX(样本到样信息汇总统计!H$2:H$500,MATCH(494,样本到样信息汇总统计!$AA$2:$AA$500,0)),"")</f>
        <v/>
      </c>
      <c r="I495" s="8" t="str">
        <f>IFERROR(INDEX(样本到样信息汇总统计!I$2:I$500,MATCH(494,样本到样信息汇总统计!$AA$2:$AA$500,0)),"")</f>
        <v/>
      </c>
      <c r="J495" s="8" t="str">
        <f>IFERROR(INDEX(样本到样信息汇总统计!J$2:J$500,MATCH(494,样本到样信息汇总统计!$AA$2:$AA$500,0)),"")</f>
        <v/>
      </c>
      <c r="K495" s="8" t="str">
        <f>IFERROR(INDEX(样本到样信息汇总统计!K$2:K$500,MATCH(494,样本到样信息汇总统计!$AA$2:$AA$500,0)),"")</f>
        <v/>
      </c>
      <c r="L495" s="8" t="str">
        <f>IFERROR(INDEX(样本到样信息汇总统计!L$2:L$500,MATCH(494,样本到样信息汇总统计!$AA$2:$AA$500,0)),"")</f>
        <v/>
      </c>
      <c r="M495" s="8" t="str">
        <f>IFERROR(INDEX(样本到样信息汇总统计!M$2:M$500,MATCH(494,样本到样信息汇总统计!$AA$2:$AA$500,0)),"")</f>
        <v/>
      </c>
      <c r="N495" s="8" t="str">
        <f>IFERROR(INDEX(样本到样信息汇总统计!N$2:N$500,MATCH(494,样本到样信息汇总统计!$AA$2:$AA$500,0)),"")</f>
        <v/>
      </c>
      <c r="O495" s="8" t="str">
        <f>IFERROR(INDEX(样本到样信息汇总统计!O$2:O$500,MATCH(494,样本到样信息汇总统计!$AA$2:$AA$500,0)),"")</f>
        <v/>
      </c>
      <c r="P495" s="8" t="str">
        <f>IFERROR(INDEX(样本到样信息汇总统计!P$2:P$500,MATCH(494,样本到样信息汇总统计!$AA$2:$AA$500,0)),"")</f>
        <v/>
      </c>
      <c r="Q495" s="8" t="str">
        <f>IFERROR(INDEX(样本到样信息汇总统计!Q$2:Q$500,MATCH(494,样本到样信息汇总统计!$AA$2:$AA$500,0)),"")</f>
        <v/>
      </c>
      <c r="R495" s="8" t="str">
        <f>IFERROR(INDEX(样本到样信息汇总统计!R$2:R$500,MATCH(494,样本到样信息汇总统计!$AA$2:$AA$500,0)),"")</f>
        <v/>
      </c>
      <c r="S495" s="8" t="str">
        <f>IFERROR(INDEX(样本到样信息汇总统计!S$2:S$500,MATCH(494,样本到样信息汇总统计!$AA$2:$AA$500,0)),"")</f>
        <v/>
      </c>
      <c r="T495" s="8" t="str">
        <f>IFERROR(INDEX(样本到样信息汇总统计!T$2:T$500,MATCH(494,样本到样信息汇总统计!$AA$2:$AA$500,0)),"")</f>
        <v/>
      </c>
      <c r="U495" s="8" t="str">
        <f>IFERROR(INDEX(样本到样信息汇总统计!U$2:U$500,MATCH(494,样本到样信息汇总统计!$AA$2:$AA$500,0)),"")</f>
        <v/>
      </c>
      <c r="V495" s="8" t="str">
        <f>IFERROR(INDEX(样本到样信息汇总统计!V$2:V$500,MATCH(494,样本到样信息汇总统计!$AA$2:$AA$500,0)),"")</f>
        <v/>
      </c>
      <c r="W495" s="8" t="str">
        <f>IFERROR(INDEX(样本到样信息汇总统计!W$2:W$500,MATCH(494,样本到样信息汇总统计!$AA$2:$AA$500,0)),"")</f>
        <v/>
      </c>
    </row>
    <row r="496" ht="14.5" spans="1:23">
      <c r="A496" s="4" t="str">
        <f>IFERROR(INDEX(样本到样信息汇总统计!A$2:A$500,MATCH(495,样本到样信息汇总统计!$AA$2:$AA$500,0)),"")</f>
        <v/>
      </c>
      <c r="B496" s="4" t="str">
        <f>IFERROR(INDEX(样本到样信息汇总统计!B$2:B$500,MATCH(495,样本到样信息汇总统计!$AA$2:$AA$500,0)),"")</f>
        <v/>
      </c>
      <c r="C496" s="4" t="str">
        <f>IFERROR(INDEX(样本到样信息汇总统计!C$2:C$500,MATCH(495,样本到样信息汇总统计!$AA$2:$AA$500,0)),"")</f>
        <v/>
      </c>
      <c r="D496" s="4" t="str">
        <f>IFERROR(INDEX(样本到样信息汇总统计!D$2:D$500,MATCH(495,样本到样信息汇总统计!$AA$2:$AA$500,0)),"")</f>
        <v/>
      </c>
      <c r="E496" s="4" t="str">
        <f>IFERROR(INDEX(样本到样信息汇总统计!E$2:E$500,MATCH(495,样本到样信息汇总统计!$AA$2:$AA$500,0)),"")</f>
        <v/>
      </c>
      <c r="F496" s="4" t="str">
        <f>IFERROR(INDEX(样本到样信息汇总统计!F$2:F$500,MATCH(495,样本到样信息汇总统计!$AA$2:$AA$500,0)),"")</f>
        <v/>
      </c>
      <c r="G496" s="4" t="str">
        <f>IFERROR(INDEX(样本到样信息汇总统计!G$2:G$500,MATCH(495,样本到样信息汇总统计!$AA$2:$AA$500,0)),"")</f>
        <v/>
      </c>
      <c r="H496" s="4" t="str">
        <f>IFERROR(INDEX(样本到样信息汇总统计!H$2:H$500,MATCH(495,样本到样信息汇总统计!$AA$2:$AA$500,0)),"")</f>
        <v/>
      </c>
      <c r="I496" s="4" t="str">
        <f>IFERROR(INDEX(样本到样信息汇总统计!I$2:I$500,MATCH(495,样本到样信息汇总统计!$AA$2:$AA$500,0)),"")</f>
        <v/>
      </c>
      <c r="J496" s="4" t="str">
        <f>IFERROR(INDEX(样本到样信息汇总统计!J$2:J$500,MATCH(495,样本到样信息汇总统计!$AA$2:$AA$500,0)),"")</f>
        <v/>
      </c>
      <c r="K496" s="4" t="str">
        <f>IFERROR(INDEX(样本到样信息汇总统计!K$2:K$500,MATCH(495,样本到样信息汇总统计!$AA$2:$AA$500,0)),"")</f>
        <v/>
      </c>
      <c r="L496" s="4" t="str">
        <f>IFERROR(INDEX(样本到样信息汇总统计!L$2:L$500,MATCH(495,样本到样信息汇总统计!$AA$2:$AA$500,0)),"")</f>
        <v/>
      </c>
      <c r="M496" s="4" t="str">
        <f>IFERROR(INDEX(样本到样信息汇总统计!M$2:M$500,MATCH(495,样本到样信息汇总统计!$AA$2:$AA$500,0)),"")</f>
        <v/>
      </c>
      <c r="N496" s="4" t="str">
        <f>IFERROR(INDEX(样本到样信息汇总统计!N$2:N$500,MATCH(495,样本到样信息汇总统计!$AA$2:$AA$500,0)),"")</f>
        <v/>
      </c>
      <c r="O496" s="4" t="str">
        <f>IFERROR(INDEX(样本到样信息汇总统计!O$2:O$500,MATCH(495,样本到样信息汇总统计!$AA$2:$AA$500,0)),"")</f>
        <v/>
      </c>
      <c r="P496" s="4" t="str">
        <f>IFERROR(INDEX(样本到样信息汇总统计!P$2:P$500,MATCH(495,样本到样信息汇总统计!$AA$2:$AA$500,0)),"")</f>
        <v/>
      </c>
      <c r="Q496" s="4" t="str">
        <f>IFERROR(INDEX(样本到样信息汇总统计!Q$2:Q$500,MATCH(495,样本到样信息汇总统计!$AA$2:$AA$500,0)),"")</f>
        <v/>
      </c>
      <c r="R496" s="4" t="str">
        <f>IFERROR(INDEX(样本到样信息汇总统计!R$2:R$500,MATCH(495,样本到样信息汇总统计!$AA$2:$AA$500,0)),"")</f>
        <v/>
      </c>
      <c r="S496" s="4" t="str">
        <f>IFERROR(INDEX(样本到样信息汇总统计!S$2:S$500,MATCH(495,样本到样信息汇总统计!$AA$2:$AA$500,0)),"")</f>
        <v/>
      </c>
      <c r="T496" s="4" t="str">
        <f>IFERROR(INDEX(样本到样信息汇总统计!T$2:T$500,MATCH(495,样本到样信息汇总统计!$AA$2:$AA$500,0)),"")</f>
        <v/>
      </c>
      <c r="U496" s="4" t="str">
        <f>IFERROR(INDEX(样本到样信息汇总统计!U$2:U$500,MATCH(495,样本到样信息汇总统计!$AA$2:$AA$500,0)),"")</f>
        <v/>
      </c>
      <c r="V496" s="4" t="str">
        <f>IFERROR(INDEX(样本到样信息汇总统计!V$2:V$500,MATCH(495,样本到样信息汇总统计!$AA$2:$AA$500,0)),"")</f>
        <v/>
      </c>
      <c r="W496" s="4" t="str">
        <f>IFERROR(INDEX(样本到样信息汇总统计!W$2:W$500,MATCH(495,样本到样信息汇总统计!$AA$2:$AA$500,0)),"")</f>
        <v/>
      </c>
    </row>
    <row r="497" ht="14.5" spans="1:23">
      <c r="A497" s="8" t="str">
        <f>IFERROR(INDEX(样本到样信息汇总统计!A$2:A$500,MATCH(496,样本到样信息汇总统计!$AA$2:$AA$500,0)),"")</f>
        <v/>
      </c>
      <c r="B497" s="8" t="str">
        <f>IFERROR(INDEX(样本到样信息汇总统计!B$2:B$500,MATCH(496,样本到样信息汇总统计!$AA$2:$AA$500,0)),"")</f>
        <v/>
      </c>
      <c r="C497" s="8" t="str">
        <f>IFERROR(INDEX(样本到样信息汇总统计!C$2:C$500,MATCH(496,样本到样信息汇总统计!$AA$2:$AA$500,0)),"")</f>
        <v/>
      </c>
      <c r="D497" s="8" t="str">
        <f>IFERROR(INDEX(样本到样信息汇总统计!D$2:D$500,MATCH(496,样本到样信息汇总统计!$AA$2:$AA$500,0)),"")</f>
        <v/>
      </c>
      <c r="E497" s="8" t="str">
        <f>IFERROR(INDEX(样本到样信息汇总统计!E$2:E$500,MATCH(496,样本到样信息汇总统计!$AA$2:$AA$500,0)),"")</f>
        <v/>
      </c>
      <c r="F497" s="8" t="str">
        <f>IFERROR(INDEX(样本到样信息汇总统计!F$2:F$500,MATCH(496,样本到样信息汇总统计!$AA$2:$AA$500,0)),"")</f>
        <v/>
      </c>
      <c r="G497" s="8" t="str">
        <f>IFERROR(INDEX(样本到样信息汇总统计!G$2:G$500,MATCH(496,样本到样信息汇总统计!$AA$2:$AA$500,0)),"")</f>
        <v/>
      </c>
      <c r="H497" s="8" t="str">
        <f>IFERROR(INDEX(样本到样信息汇总统计!H$2:H$500,MATCH(496,样本到样信息汇总统计!$AA$2:$AA$500,0)),"")</f>
        <v/>
      </c>
      <c r="I497" s="8" t="str">
        <f>IFERROR(INDEX(样本到样信息汇总统计!I$2:I$500,MATCH(496,样本到样信息汇总统计!$AA$2:$AA$500,0)),"")</f>
        <v/>
      </c>
      <c r="J497" s="8" t="str">
        <f>IFERROR(INDEX(样本到样信息汇总统计!J$2:J$500,MATCH(496,样本到样信息汇总统计!$AA$2:$AA$500,0)),"")</f>
        <v/>
      </c>
      <c r="K497" s="8" t="str">
        <f>IFERROR(INDEX(样本到样信息汇总统计!K$2:K$500,MATCH(496,样本到样信息汇总统计!$AA$2:$AA$500,0)),"")</f>
        <v/>
      </c>
      <c r="L497" s="8" t="str">
        <f>IFERROR(INDEX(样本到样信息汇总统计!L$2:L$500,MATCH(496,样本到样信息汇总统计!$AA$2:$AA$500,0)),"")</f>
        <v/>
      </c>
      <c r="M497" s="8" t="str">
        <f>IFERROR(INDEX(样本到样信息汇总统计!M$2:M$500,MATCH(496,样本到样信息汇总统计!$AA$2:$AA$500,0)),"")</f>
        <v/>
      </c>
      <c r="N497" s="8" t="str">
        <f>IFERROR(INDEX(样本到样信息汇总统计!N$2:N$500,MATCH(496,样本到样信息汇总统计!$AA$2:$AA$500,0)),"")</f>
        <v/>
      </c>
      <c r="O497" s="8" t="str">
        <f>IFERROR(INDEX(样本到样信息汇总统计!O$2:O$500,MATCH(496,样本到样信息汇总统计!$AA$2:$AA$500,0)),"")</f>
        <v/>
      </c>
      <c r="P497" s="8" t="str">
        <f>IFERROR(INDEX(样本到样信息汇总统计!P$2:P$500,MATCH(496,样本到样信息汇总统计!$AA$2:$AA$500,0)),"")</f>
        <v/>
      </c>
      <c r="Q497" s="8" t="str">
        <f>IFERROR(INDEX(样本到样信息汇总统计!Q$2:Q$500,MATCH(496,样本到样信息汇总统计!$AA$2:$AA$500,0)),"")</f>
        <v/>
      </c>
      <c r="R497" s="8" t="str">
        <f>IFERROR(INDEX(样本到样信息汇总统计!R$2:R$500,MATCH(496,样本到样信息汇总统计!$AA$2:$AA$500,0)),"")</f>
        <v/>
      </c>
      <c r="S497" s="8" t="str">
        <f>IFERROR(INDEX(样本到样信息汇总统计!S$2:S$500,MATCH(496,样本到样信息汇总统计!$AA$2:$AA$500,0)),"")</f>
        <v/>
      </c>
      <c r="T497" s="8" t="str">
        <f>IFERROR(INDEX(样本到样信息汇总统计!T$2:T$500,MATCH(496,样本到样信息汇总统计!$AA$2:$AA$500,0)),"")</f>
        <v/>
      </c>
      <c r="U497" s="8" t="str">
        <f>IFERROR(INDEX(样本到样信息汇总统计!U$2:U$500,MATCH(496,样本到样信息汇总统计!$AA$2:$AA$500,0)),"")</f>
        <v/>
      </c>
      <c r="V497" s="8" t="str">
        <f>IFERROR(INDEX(样本到样信息汇总统计!V$2:V$500,MATCH(496,样本到样信息汇总统计!$AA$2:$AA$500,0)),"")</f>
        <v/>
      </c>
      <c r="W497" s="8" t="str">
        <f>IFERROR(INDEX(样本到样信息汇总统计!W$2:W$500,MATCH(496,样本到样信息汇总统计!$AA$2:$AA$500,0)),"")</f>
        <v/>
      </c>
    </row>
    <row r="498" ht="14.5" spans="1:23">
      <c r="A498" s="4" t="str">
        <f>IFERROR(INDEX(样本到样信息汇总统计!A$2:A$500,MATCH(497,样本到样信息汇总统计!$AA$2:$AA$500,0)),"")</f>
        <v/>
      </c>
      <c r="B498" s="4" t="str">
        <f>IFERROR(INDEX(样本到样信息汇总统计!B$2:B$500,MATCH(497,样本到样信息汇总统计!$AA$2:$AA$500,0)),"")</f>
        <v/>
      </c>
      <c r="C498" s="4" t="str">
        <f>IFERROR(INDEX(样本到样信息汇总统计!C$2:C$500,MATCH(497,样本到样信息汇总统计!$AA$2:$AA$500,0)),"")</f>
        <v/>
      </c>
      <c r="D498" s="4" t="str">
        <f>IFERROR(INDEX(样本到样信息汇总统计!D$2:D$500,MATCH(497,样本到样信息汇总统计!$AA$2:$AA$500,0)),"")</f>
        <v/>
      </c>
      <c r="E498" s="4" t="str">
        <f>IFERROR(INDEX(样本到样信息汇总统计!E$2:E$500,MATCH(497,样本到样信息汇总统计!$AA$2:$AA$500,0)),"")</f>
        <v/>
      </c>
      <c r="F498" s="4" t="str">
        <f>IFERROR(INDEX(样本到样信息汇总统计!F$2:F$500,MATCH(497,样本到样信息汇总统计!$AA$2:$AA$500,0)),"")</f>
        <v/>
      </c>
      <c r="G498" s="4" t="str">
        <f>IFERROR(INDEX(样本到样信息汇总统计!G$2:G$500,MATCH(497,样本到样信息汇总统计!$AA$2:$AA$500,0)),"")</f>
        <v/>
      </c>
      <c r="H498" s="4" t="str">
        <f>IFERROR(INDEX(样本到样信息汇总统计!H$2:H$500,MATCH(497,样本到样信息汇总统计!$AA$2:$AA$500,0)),"")</f>
        <v/>
      </c>
      <c r="I498" s="4" t="str">
        <f>IFERROR(INDEX(样本到样信息汇总统计!I$2:I$500,MATCH(497,样本到样信息汇总统计!$AA$2:$AA$500,0)),"")</f>
        <v/>
      </c>
      <c r="J498" s="4" t="str">
        <f>IFERROR(INDEX(样本到样信息汇总统计!J$2:J$500,MATCH(497,样本到样信息汇总统计!$AA$2:$AA$500,0)),"")</f>
        <v/>
      </c>
      <c r="K498" s="4" t="str">
        <f>IFERROR(INDEX(样本到样信息汇总统计!K$2:K$500,MATCH(497,样本到样信息汇总统计!$AA$2:$AA$500,0)),"")</f>
        <v/>
      </c>
      <c r="L498" s="4" t="str">
        <f>IFERROR(INDEX(样本到样信息汇总统计!L$2:L$500,MATCH(497,样本到样信息汇总统计!$AA$2:$AA$500,0)),"")</f>
        <v/>
      </c>
      <c r="M498" s="4" t="str">
        <f>IFERROR(INDEX(样本到样信息汇总统计!M$2:M$500,MATCH(497,样本到样信息汇总统计!$AA$2:$AA$500,0)),"")</f>
        <v/>
      </c>
      <c r="N498" s="4" t="str">
        <f>IFERROR(INDEX(样本到样信息汇总统计!N$2:N$500,MATCH(497,样本到样信息汇总统计!$AA$2:$AA$500,0)),"")</f>
        <v/>
      </c>
      <c r="O498" s="4" t="str">
        <f>IFERROR(INDEX(样本到样信息汇总统计!O$2:O$500,MATCH(497,样本到样信息汇总统计!$AA$2:$AA$500,0)),"")</f>
        <v/>
      </c>
      <c r="P498" s="4" t="str">
        <f>IFERROR(INDEX(样本到样信息汇总统计!P$2:P$500,MATCH(497,样本到样信息汇总统计!$AA$2:$AA$500,0)),"")</f>
        <v/>
      </c>
      <c r="Q498" s="4" t="str">
        <f>IFERROR(INDEX(样本到样信息汇总统计!Q$2:Q$500,MATCH(497,样本到样信息汇总统计!$AA$2:$AA$500,0)),"")</f>
        <v/>
      </c>
      <c r="R498" s="4" t="str">
        <f>IFERROR(INDEX(样本到样信息汇总统计!R$2:R$500,MATCH(497,样本到样信息汇总统计!$AA$2:$AA$500,0)),"")</f>
        <v/>
      </c>
      <c r="S498" s="4" t="str">
        <f>IFERROR(INDEX(样本到样信息汇总统计!S$2:S$500,MATCH(497,样本到样信息汇总统计!$AA$2:$AA$500,0)),"")</f>
        <v/>
      </c>
      <c r="T498" s="4" t="str">
        <f>IFERROR(INDEX(样本到样信息汇总统计!T$2:T$500,MATCH(497,样本到样信息汇总统计!$AA$2:$AA$500,0)),"")</f>
        <v/>
      </c>
      <c r="U498" s="4" t="str">
        <f>IFERROR(INDEX(样本到样信息汇总统计!U$2:U$500,MATCH(497,样本到样信息汇总统计!$AA$2:$AA$500,0)),"")</f>
        <v/>
      </c>
      <c r="V498" s="4" t="str">
        <f>IFERROR(INDEX(样本到样信息汇总统计!V$2:V$500,MATCH(497,样本到样信息汇总统计!$AA$2:$AA$500,0)),"")</f>
        <v/>
      </c>
      <c r="W498" s="4" t="str">
        <f>IFERROR(INDEX(样本到样信息汇总统计!W$2:W$500,MATCH(497,样本到样信息汇总统计!$AA$2:$AA$500,0)),"")</f>
        <v/>
      </c>
    </row>
    <row r="499" ht="14.5" spans="1:23">
      <c r="A499" s="8" t="str">
        <f>IFERROR(INDEX(样本到样信息汇总统计!A$2:A$500,MATCH(498,样本到样信息汇总统计!$AA$2:$AA$500,0)),"")</f>
        <v/>
      </c>
      <c r="B499" s="8" t="str">
        <f>IFERROR(INDEX(样本到样信息汇总统计!B$2:B$500,MATCH(498,样本到样信息汇总统计!$AA$2:$AA$500,0)),"")</f>
        <v/>
      </c>
      <c r="C499" s="8" t="str">
        <f>IFERROR(INDEX(样本到样信息汇总统计!C$2:C$500,MATCH(498,样本到样信息汇总统计!$AA$2:$AA$500,0)),"")</f>
        <v/>
      </c>
      <c r="D499" s="8" t="str">
        <f>IFERROR(INDEX(样本到样信息汇总统计!D$2:D$500,MATCH(498,样本到样信息汇总统计!$AA$2:$AA$500,0)),"")</f>
        <v/>
      </c>
      <c r="E499" s="8" t="str">
        <f>IFERROR(INDEX(样本到样信息汇总统计!E$2:E$500,MATCH(498,样本到样信息汇总统计!$AA$2:$AA$500,0)),"")</f>
        <v/>
      </c>
      <c r="F499" s="8" t="str">
        <f>IFERROR(INDEX(样本到样信息汇总统计!F$2:F$500,MATCH(498,样本到样信息汇总统计!$AA$2:$AA$500,0)),"")</f>
        <v/>
      </c>
      <c r="G499" s="8" t="str">
        <f>IFERROR(INDEX(样本到样信息汇总统计!G$2:G$500,MATCH(498,样本到样信息汇总统计!$AA$2:$AA$500,0)),"")</f>
        <v/>
      </c>
      <c r="H499" s="8" t="str">
        <f>IFERROR(INDEX(样本到样信息汇总统计!H$2:H$500,MATCH(498,样本到样信息汇总统计!$AA$2:$AA$500,0)),"")</f>
        <v/>
      </c>
      <c r="I499" s="8" t="str">
        <f>IFERROR(INDEX(样本到样信息汇总统计!I$2:I$500,MATCH(498,样本到样信息汇总统计!$AA$2:$AA$500,0)),"")</f>
        <v/>
      </c>
      <c r="J499" s="8" t="str">
        <f>IFERROR(INDEX(样本到样信息汇总统计!J$2:J$500,MATCH(498,样本到样信息汇总统计!$AA$2:$AA$500,0)),"")</f>
        <v/>
      </c>
      <c r="K499" s="8" t="str">
        <f>IFERROR(INDEX(样本到样信息汇总统计!K$2:K$500,MATCH(498,样本到样信息汇总统计!$AA$2:$AA$500,0)),"")</f>
        <v/>
      </c>
      <c r="L499" s="8" t="str">
        <f>IFERROR(INDEX(样本到样信息汇总统计!L$2:L$500,MATCH(498,样本到样信息汇总统计!$AA$2:$AA$500,0)),"")</f>
        <v/>
      </c>
      <c r="M499" s="8" t="str">
        <f>IFERROR(INDEX(样本到样信息汇总统计!M$2:M$500,MATCH(498,样本到样信息汇总统计!$AA$2:$AA$500,0)),"")</f>
        <v/>
      </c>
      <c r="N499" s="8" t="str">
        <f>IFERROR(INDEX(样本到样信息汇总统计!N$2:N$500,MATCH(498,样本到样信息汇总统计!$AA$2:$AA$500,0)),"")</f>
        <v/>
      </c>
      <c r="O499" s="8" t="str">
        <f>IFERROR(INDEX(样本到样信息汇总统计!O$2:O$500,MATCH(498,样本到样信息汇总统计!$AA$2:$AA$500,0)),"")</f>
        <v/>
      </c>
      <c r="P499" s="8" t="str">
        <f>IFERROR(INDEX(样本到样信息汇总统计!P$2:P$500,MATCH(498,样本到样信息汇总统计!$AA$2:$AA$500,0)),"")</f>
        <v/>
      </c>
      <c r="Q499" s="8" t="str">
        <f>IFERROR(INDEX(样本到样信息汇总统计!Q$2:Q$500,MATCH(498,样本到样信息汇总统计!$AA$2:$AA$500,0)),"")</f>
        <v/>
      </c>
      <c r="R499" s="8" t="str">
        <f>IFERROR(INDEX(样本到样信息汇总统计!R$2:R$500,MATCH(498,样本到样信息汇总统计!$AA$2:$AA$500,0)),"")</f>
        <v/>
      </c>
      <c r="S499" s="8" t="str">
        <f>IFERROR(INDEX(样本到样信息汇总统计!S$2:S$500,MATCH(498,样本到样信息汇总统计!$AA$2:$AA$500,0)),"")</f>
        <v/>
      </c>
      <c r="T499" s="8" t="str">
        <f>IFERROR(INDEX(样本到样信息汇总统计!T$2:T$500,MATCH(498,样本到样信息汇总统计!$AA$2:$AA$500,0)),"")</f>
        <v/>
      </c>
      <c r="U499" s="8" t="str">
        <f>IFERROR(INDEX(样本到样信息汇总统计!U$2:U$500,MATCH(498,样本到样信息汇总统计!$AA$2:$AA$500,0)),"")</f>
        <v/>
      </c>
      <c r="V499" s="8" t="str">
        <f>IFERROR(INDEX(样本到样信息汇总统计!V$2:V$500,MATCH(498,样本到样信息汇总统计!$AA$2:$AA$500,0)),"")</f>
        <v/>
      </c>
      <c r="W499" s="8" t="str">
        <f>IFERROR(INDEX(样本到样信息汇总统计!W$2:W$500,MATCH(498,样本到样信息汇总统计!$AA$2:$AA$500,0)),"")</f>
        <v/>
      </c>
    </row>
    <row r="500" ht="14.5" spans="1:23">
      <c r="A500" s="4" t="str">
        <f>IFERROR(INDEX(样本到样信息汇总统计!A$2:A$500,MATCH(499,样本到样信息汇总统计!$AA$2:$AA$500,0)),"")</f>
        <v/>
      </c>
      <c r="B500" s="4" t="str">
        <f>IFERROR(INDEX(样本到样信息汇总统计!B$2:B$500,MATCH(499,样本到样信息汇总统计!$AA$2:$AA$500,0)),"")</f>
        <v/>
      </c>
      <c r="C500" s="4" t="str">
        <f>IFERROR(INDEX(样本到样信息汇总统计!C$2:C$500,MATCH(499,样本到样信息汇总统计!$AA$2:$AA$500,0)),"")</f>
        <v/>
      </c>
      <c r="D500" s="4" t="str">
        <f>IFERROR(INDEX(样本到样信息汇总统计!D$2:D$500,MATCH(499,样本到样信息汇总统计!$AA$2:$AA$500,0)),"")</f>
        <v/>
      </c>
      <c r="E500" s="4" t="str">
        <f>IFERROR(INDEX(样本到样信息汇总统计!E$2:E$500,MATCH(499,样本到样信息汇总统计!$AA$2:$AA$500,0)),"")</f>
        <v/>
      </c>
      <c r="F500" s="4" t="str">
        <f>IFERROR(INDEX(样本到样信息汇总统计!F$2:F$500,MATCH(499,样本到样信息汇总统计!$AA$2:$AA$500,0)),"")</f>
        <v/>
      </c>
      <c r="G500" s="4" t="str">
        <f>IFERROR(INDEX(样本到样信息汇总统计!G$2:G$500,MATCH(499,样本到样信息汇总统计!$AA$2:$AA$500,0)),"")</f>
        <v/>
      </c>
      <c r="H500" s="4" t="str">
        <f>IFERROR(INDEX(样本到样信息汇总统计!H$2:H$500,MATCH(499,样本到样信息汇总统计!$AA$2:$AA$500,0)),"")</f>
        <v/>
      </c>
      <c r="I500" s="4" t="str">
        <f>IFERROR(INDEX(样本到样信息汇总统计!I$2:I$500,MATCH(499,样本到样信息汇总统计!$AA$2:$AA$500,0)),"")</f>
        <v/>
      </c>
      <c r="J500" s="4" t="str">
        <f>IFERROR(INDEX(样本到样信息汇总统计!J$2:J$500,MATCH(499,样本到样信息汇总统计!$AA$2:$AA$500,0)),"")</f>
        <v/>
      </c>
      <c r="K500" s="4" t="str">
        <f>IFERROR(INDEX(样本到样信息汇总统计!K$2:K$500,MATCH(499,样本到样信息汇总统计!$AA$2:$AA$500,0)),"")</f>
        <v/>
      </c>
      <c r="L500" s="4" t="str">
        <f>IFERROR(INDEX(样本到样信息汇总统计!L$2:L$500,MATCH(499,样本到样信息汇总统计!$AA$2:$AA$500,0)),"")</f>
        <v/>
      </c>
      <c r="M500" s="4" t="str">
        <f>IFERROR(INDEX(样本到样信息汇总统计!M$2:M$500,MATCH(499,样本到样信息汇总统计!$AA$2:$AA$500,0)),"")</f>
        <v/>
      </c>
      <c r="N500" s="4" t="str">
        <f>IFERROR(INDEX(样本到样信息汇总统计!N$2:N$500,MATCH(499,样本到样信息汇总统计!$AA$2:$AA$500,0)),"")</f>
        <v/>
      </c>
      <c r="O500" s="4" t="str">
        <f>IFERROR(INDEX(样本到样信息汇总统计!O$2:O$500,MATCH(499,样本到样信息汇总统计!$AA$2:$AA$500,0)),"")</f>
        <v/>
      </c>
      <c r="P500" s="4" t="str">
        <f>IFERROR(INDEX(样本到样信息汇总统计!P$2:P$500,MATCH(499,样本到样信息汇总统计!$AA$2:$AA$500,0)),"")</f>
        <v/>
      </c>
      <c r="Q500" s="4" t="str">
        <f>IFERROR(INDEX(样本到样信息汇总统计!Q$2:Q$500,MATCH(499,样本到样信息汇总统计!$AA$2:$AA$500,0)),"")</f>
        <v/>
      </c>
      <c r="R500" s="4" t="str">
        <f>IFERROR(INDEX(样本到样信息汇总统计!R$2:R$500,MATCH(499,样本到样信息汇总统计!$AA$2:$AA$500,0)),"")</f>
        <v/>
      </c>
      <c r="S500" s="4" t="str">
        <f>IFERROR(INDEX(样本到样信息汇总统计!S$2:S$500,MATCH(499,样本到样信息汇总统计!$AA$2:$AA$500,0)),"")</f>
        <v/>
      </c>
      <c r="T500" s="4" t="str">
        <f>IFERROR(INDEX(样本到样信息汇总统计!T$2:T$500,MATCH(499,样本到样信息汇总统计!$AA$2:$AA$500,0)),"")</f>
        <v/>
      </c>
      <c r="U500" s="4" t="str">
        <f>IFERROR(INDEX(样本到样信息汇总统计!U$2:U$500,MATCH(499,样本到样信息汇总统计!$AA$2:$AA$500,0)),"")</f>
        <v/>
      </c>
      <c r="V500" s="4" t="str">
        <f>IFERROR(INDEX(样本到样信息汇总统计!V$2:V$500,MATCH(499,样本到样信息汇总统计!$AA$2:$AA$500,0)),"")</f>
        <v/>
      </c>
      <c r="W500" s="4" t="str">
        <f>IFERROR(INDEX(样本到样信息汇总统计!W$2:W$500,MATCH(499,样本到样信息汇总统计!$AA$2:$AA$500,0)),"")</f>
        <v/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00"/>
  <sheetViews>
    <sheetView showGridLines="0" tabSelected="1" workbookViewId="0">
      <selection activeCell="I7" sqref="I7"/>
    </sheetView>
  </sheetViews>
  <sheetFormatPr defaultColWidth="8.60909090909091" defaultRowHeight="14"/>
  <cols>
    <col min="1" max="2" width="14" customWidth="1"/>
    <col min="3" max="3" width="10" customWidth="1"/>
    <col min="4" max="7" width="14" customWidth="1"/>
    <col min="8" max="9" width="12" customWidth="1"/>
    <col min="10" max="10" width="24" customWidth="1"/>
    <col min="11" max="11" width="10" customWidth="1"/>
    <col min="12" max="12" width="14" customWidth="1"/>
    <col min="13" max="14" width="12" customWidth="1"/>
    <col min="15" max="16" width="14" customWidth="1"/>
    <col min="17" max="17" width="10" customWidth="1"/>
    <col min="18" max="18" width="16" customWidth="1"/>
    <col min="19" max="20" width="12" customWidth="1"/>
    <col min="21" max="25" width="14" customWidth="1"/>
    <col min="26" max="26" width="10" hidden="1" customWidth="1"/>
  </cols>
  <sheetData>
    <row r="1" ht="24.75" customHeight="1" spans="1:26">
      <c r="A1" s="1" t="s">
        <v>0</v>
      </c>
      <c r="B1" s="1" t="s">
        <v>1</v>
      </c>
      <c r="C1" s="1" t="s">
        <v>2</v>
      </c>
      <c r="D1" s="2" t="s">
        <v>124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3"/>
      <c r="Z1" s="3"/>
    </row>
    <row r="2" ht="21.75" customHeight="1" spans="1:26">
      <c r="A2" s="4" t="str">
        <f>IFERROR(INDEX(样本到样信息汇总统计!A$2:A$500,MATCH(1,样本到样信息汇总统计!$AC$2:$AC$500,0)),"")</f>
        <v>XX省人民医院</v>
      </c>
      <c r="B2" s="4" t="str">
        <f>IFERROR(INDEX(样本到样信息汇总统计!B$2:B$500,MATCH(1,样本到样信息汇总统计!$AC$2:$AC$500,0)),"")</f>
        <v>张主任课题组</v>
      </c>
      <c r="C2" s="4" t="str">
        <f>IFERROR(INDEX(样本到样信息汇总统计!C$2:C$500,MATCH(1,样本到样信息汇总统计!$AC$2:$AC$500,0)),"")</f>
        <v>陈经理</v>
      </c>
      <c r="D2" s="4" t="str">
        <f>IFERROR(INDEX(样本到样信息汇总统计!D$2:D$500,MATCH(1,样本到样信息汇总统计!$AC$2:$AC$500,0)),"")</f>
        <v>PJ2026-001</v>
      </c>
      <c r="E2" s="4" t="str">
        <f>IFERROR(INDEX(样本到样信息汇总统计!E$2:E$500,MATCH(1,样本到样信息汇总统计!$AC$2:$AC$500,0)),"")</f>
        <v>ORD-2026-0001</v>
      </c>
      <c r="F2" s="4" t="str">
        <f>IFERROR(INDEX(样本到样信息汇总统计!F$2:F$500,MATCH(1,样本到样信息汇总统计!$AC$2:$AC$500,0)),"")</f>
        <v>肿瘤组织</v>
      </c>
      <c r="G2" s="4" t="str">
        <f>IFERROR(INDEX(样本到样信息汇总统计!G$2:G$500,MATCH(1,样本到样信息汇总统计!$AC$2:$AC$500,0)),"")</f>
        <v>核酸</v>
      </c>
      <c r="H2" s="4">
        <f>IFERROR(INDEX(样本到样信息汇总统计!H$2:H$500,MATCH(1,样本到样信息汇总统计!$AC$2:$AC$500,0)),"")</f>
        <v>50</v>
      </c>
      <c r="I2" s="5" t="s">
        <v>141</v>
      </c>
      <c r="J2" s="5" t="s">
        <v>142</v>
      </c>
      <c r="K2" s="6" t="s">
        <v>143</v>
      </c>
      <c r="L2" s="5" t="s">
        <v>144</v>
      </c>
      <c r="M2" s="6" t="s">
        <v>145</v>
      </c>
      <c r="N2" s="5" t="s">
        <v>146</v>
      </c>
      <c r="O2" s="5" t="s">
        <v>36</v>
      </c>
      <c r="P2" s="5" t="s">
        <v>36</v>
      </c>
      <c r="Q2" s="6" t="s">
        <v>147</v>
      </c>
      <c r="R2" s="5"/>
      <c r="S2" s="5"/>
      <c r="T2" s="5"/>
      <c r="U2" s="5"/>
      <c r="V2" s="5"/>
      <c r="W2" s="5"/>
      <c r="X2" s="5"/>
      <c r="Y2" s="7"/>
      <c r="Z2" s="3"/>
    </row>
    <row r="3" ht="21.75" customHeight="1" spans="1:26">
      <c r="A3" s="8" t="str">
        <f>IFERROR(INDEX(样本到样信息汇总统计!A$2:A$500,MATCH(2,样本到样信息汇总统计!$AC$2:$AC$500,0)),"")</f>
        <v>XX市第一医院</v>
      </c>
      <c r="B3" s="8" t="str">
        <f>IFERROR(INDEX(样本到样信息汇总统计!B$2:B$500,MATCH(2,样本到样信息汇总统计!$AC$2:$AC$500,0)),"")</f>
        <v>李教授团队</v>
      </c>
      <c r="C3" s="8" t="str">
        <f>IFERROR(INDEX(样本到样信息汇总统计!C$2:C$500,MATCH(2,样本到样信息汇总统计!$AC$2:$AC$500,0)),"")</f>
        <v>陈经理</v>
      </c>
      <c r="D3" s="8" t="str">
        <f>IFERROR(INDEX(样本到样信息汇总统计!D$2:D$500,MATCH(2,样本到样信息汇总统计!$AC$2:$AC$500,0)),"")</f>
        <v>PJ2026-002</v>
      </c>
      <c r="E3" s="8" t="str">
        <f>IFERROR(INDEX(样本到样信息汇总统计!E$2:E$500,MATCH(2,样本到样信息汇总统计!$AC$2:$AC$500,0)),"")</f>
        <v>ORD-2026-0002</v>
      </c>
      <c r="F3" s="8" t="str">
        <f>IFERROR(INDEX(样本到样信息汇总统计!F$2:F$500,MATCH(2,样本到样信息汇总统计!$AC$2:$AC$500,0)),"")</f>
        <v>血液</v>
      </c>
      <c r="G3" s="8" t="str">
        <f>IFERROR(INDEX(样本到样信息汇总统计!G$2:G$500,MATCH(2,样本到样信息汇总统计!$AC$2:$AC$500,0)),"")</f>
        <v>原始样本</v>
      </c>
      <c r="H3" s="8">
        <f>IFERROR(INDEX(样本到样信息汇总统计!H$2:H$500,MATCH(2,样本到样信息汇总统计!$AC$2:$AC$500,0)),"")</f>
        <v>200</v>
      </c>
      <c r="I3" s="9" t="s">
        <v>141</v>
      </c>
      <c r="J3" s="9" t="s">
        <v>148</v>
      </c>
      <c r="K3" s="10" t="s">
        <v>149</v>
      </c>
      <c r="L3" s="9" t="s">
        <v>150</v>
      </c>
      <c r="M3" s="10" t="s">
        <v>145</v>
      </c>
      <c r="N3" s="9" t="s">
        <v>151</v>
      </c>
      <c r="O3" s="9" t="s">
        <v>36</v>
      </c>
      <c r="P3" s="9" t="s">
        <v>56</v>
      </c>
      <c r="Q3" s="10" t="s">
        <v>147</v>
      </c>
      <c r="R3" s="9"/>
      <c r="S3" s="9"/>
      <c r="T3" s="9"/>
      <c r="U3" s="9"/>
      <c r="V3" s="9"/>
      <c r="W3" s="9"/>
      <c r="X3" s="9"/>
      <c r="Y3" s="7"/>
      <c r="Z3" s="3"/>
    </row>
    <row r="4" ht="21.75" customHeight="1" spans="1:26">
      <c r="A4" s="4" t="str">
        <f>IFERROR(INDEX(样本到样信息汇总统计!A$2:A$500,MATCH(3,样本到样信息汇总统计!$AC$2:$AC$500,0)),"")</f>
        <v>XX大学附属医院</v>
      </c>
      <c r="B4" s="4" t="str">
        <f>IFERROR(INDEX(样本到样信息汇总统计!B$2:B$500,MATCH(3,样本到样信息汇总统计!$AC$2:$AC$500,0)),"")</f>
        <v>王博士实验室</v>
      </c>
      <c r="C4" s="4" t="str">
        <f>IFERROR(INDEX(样本到样信息汇总统计!C$2:C$500,MATCH(3,样本到样信息汇总统计!$AC$2:$AC$500,0)),"")</f>
        <v>林经理</v>
      </c>
      <c r="D4" s="4" t="str">
        <f>IFERROR(INDEX(样本到样信息汇总统计!D$2:D$500,MATCH(3,样本到样信息汇总统计!$AC$2:$AC$500,0)),"")</f>
        <v>PJ2026-003</v>
      </c>
      <c r="E4" s="4" t="str">
        <f>IFERROR(INDEX(样本到样信息汇总统计!E$2:E$500,MATCH(3,样本到样信息汇总统计!$AC$2:$AC$500,0)),"")</f>
        <v>ORD-2026-0003</v>
      </c>
      <c r="F4" s="4" t="str">
        <f>IFERROR(INDEX(样本到样信息汇总统计!F$2:F$500,MATCH(3,样本到样信息汇总统计!$AC$2:$AC$500,0)),"")</f>
        <v>FFPE</v>
      </c>
      <c r="G4" s="4" t="str">
        <f>IFERROR(INDEX(样本到样信息汇总统计!G$2:G$500,MATCH(3,样本到样信息汇总统计!$AC$2:$AC$500,0)),"")</f>
        <v>文库</v>
      </c>
      <c r="H4" s="4">
        <f>IFERROR(INDEX(样本到样信息汇总统计!H$2:H$500,MATCH(3,样本到样信息汇总统计!$AC$2:$AC$500,0)),"")</f>
        <v>30</v>
      </c>
      <c r="I4" s="5" t="s">
        <v>36</v>
      </c>
      <c r="J4" s="5" t="s">
        <v>152</v>
      </c>
      <c r="K4" s="6" t="s">
        <v>149</v>
      </c>
      <c r="L4" s="5" t="s">
        <v>153</v>
      </c>
      <c r="M4" s="6" t="s">
        <v>154</v>
      </c>
      <c r="N4" s="6" t="s">
        <v>155</v>
      </c>
      <c r="O4" s="5" t="s">
        <v>49</v>
      </c>
      <c r="P4" s="5" t="s">
        <v>49</v>
      </c>
      <c r="Q4" s="6" t="s">
        <v>147</v>
      </c>
      <c r="R4" s="5"/>
      <c r="S4" s="5"/>
      <c r="T4" s="5"/>
      <c r="U4" s="5"/>
      <c r="V4" s="5"/>
      <c r="W4" s="5"/>
      <c r="X4" s="5"/>
      <c r="Y4" s="7"/>
      <c r="Z4" s="3"/>
    </row>
    <row r="5" ht="21.75" customHeight="1" spans="1:26">
      <c r="A5" s="8" t="str">
        <f>IFERROR(INDEX(样本到样信息汇总统计!A$2:A$500,MATCH(4,样本到样信息汇总统计!$AC$2:$AC$500,0)),"")</f>
        <v>XX肿瘤医院</v>
      </c>
      <c r="B5" s="8" t="str">
        <f>IFERROR(INDEX(样本到样信息汇总统计!B$2:B$500,MATCH(4,样本到样信息汇总统计!$AC$2:$AC$500,0)),"")</f>
        <v>赵主任课题组</v>
      </c>
      <c r="C5" s="8" t="str">
        <f>IFERROR(INDEX(样本到样信息汇总统计!C$2:C$500,MATCH(4,样本到样信息汇总统计!$AC$2:$AC$500,0)),"")</f>
        <v>林经理</v>
      </c>
      <c r="D5" s="8" t="str">
        <f>IFERROR(INDEX(样本到样信息汇总统计!D$2:D$500,MATCH(4,样本到样信息汇总统计!$AC$2:$AC$500,0)),"")</f>
        <v>PJ2026-004</v>
      </c>
      <c r="E5" s="8" t="str">
        <f>IFERROR(INDEX(样本到样信息汇总统计!E$2:E$500,MATCH(4,样本到样信息汇总统计!$AC$2:$AC$500,0)),"")</f>
        <v>ORD-2026-0004</v>
      </c>
      <c r="F5" s="8" t="str">
        <f>IFERROR(INDEX(样本到样信息汇总统计!F$2:F$500,MATCH(4,样本到样信息汇总统计!$AC$2:$AC$500,0)),"")</f>
        <v>细胞</v>
      </c>
      <c r="G5" s="8" t="str">
        <f>IFERROR(INDEX(样本到样信息汇总统计!G$2:G$500,MATCH(4,样本到样信息汇总统计!$AC$2:$AC$500,0)),"")</f>
        <v>核酸</v>
      </c>
      <c r="H5" s="8">
        <f>IFERROR(INDEX(样本到样信息汇总统计!H$2:H$500,MATCH(4,样本到样信息汇总统计!$AC$2:$AC$500,0)),"")</f>
        <v>15</v>
      </c>
      <c r="I5" s="9" t="s">
        <v>36</v>
      </c>
      <c r="J5" s="9" t="s">
        <v>156</v>
      </c>
      <c r="K5" s="10" t="s">
        <v>149</v>
      </c>
      <c r="L5" s="9" t="s">
        <v>157</v>
      </c>
      <c r="M5" s="10" t="s">
        <v>154</v>
      </c>
      <c r="N5" s="9" t="s">
        <v>151</v>
      </c>
      <c r="O5" s="9" t="s">
        <v>49</v>
      </c>
      <c r="P5" s="9" t="s">
        <v>67</v>
      </c>
      <c r="Q5" s="10" t="s">
        <v>147</v>
      </c>
      <c r="R5" s="9"/>
      <c r="S5" s="9"/>
      <c r="T5" s="9"/>
      <c r="U5" s="9"/>
      <c r="V5" s="9"/>
      <c r="W5" s="9"/>
      <c r="X5" s="9"/>
      <c r="Y5" s="7"/>
      <c r="Z5" s="3"/>
    </row>
    <row r="6" ht="21.75" customHeight="1" spans="1:26">
      <c r="A6" s="4" t="str">
        <f>IFERROR(INDEX(样本到样信息汇总统计!A$2:A$500,MATCH(5,样本到样信息汇总统计!$AC$2:$AC$500,0)),"")</f>
        <v>XX儿童医院</v>
      </c>
      <c r="B6" s="4" t="str">
        <f>IFERROR(INDEX(样本到样信息汇总统计!B$2:B$500,MATCH(5,样本到样信息汇总统计!$AC$2:$AC$500,0)),"")</f>
        <v>刘教授团队</v>
      </c>
      <c r="C6" s="4" t="str">
        <f>IFERROR(INDEX(样本到样信息汇总统计!C$2:C$500,MATCH(5,样本到样信息汇总统计!$AC$2:$AC$500,0)),"")</f>
        <v>陈经理</v>
      </c>
      <c r="D6" s="4" t="str">
        <f>IFERROR(INDEX(样本到样信息汇总统计!D$2:D$500,MATCH(5,样本到样信息汇总统计!$AC$2:$AC$500,0)),"")</f>
        <v>PJ2026-005</v>
      </c>
      <c r="E6" s="4" t="str">
        <f>IFERROR(INDEX(样本到样信息汇总统计!E$2:E$500,MATCH(5,样本到样信息汇总统计!$AC$2:$AC$500,0)),"")</f>
        <v>ORD-2026-0005</v>
      </c>
      <c r="F6" s="4" t="str">
        <f>IFERROR(INDEX(样本到样信息汇总统计!F$2:F$500,MATCH(5,样本到样信息汇总统计!$AC$2:$AC$500,0)),"")</f>
        <v>脑脊液</v>
      </c>
      <c r="G6" s="4" t="str">
        <f>IFERROR(INDEX(样本到样信息汇总统计!G$2:G$500,MATCH(5,样本到样信息汇总统计!$AC$2:$AC$500,0)),"")</f>
        <v>原始样本</v>
      </c>
      <c r="H6" s="4">
        <f>IFERROR(INDEX(样本到样信息汇总统计!H$2:H$500,MATCH(5,样本到样信息汇总统计!$AC$2:$AC$500,0)),"")</f>
        <v>100</v>
      </c>
      <c r="I6" s="5" t="s">
        <v>49</v>
      </c>
      <c r="J6" s="5" t="s">
        <v>158</v>
      </c>
      <c r="K6" s="6" t="s">
        <v>149</v>
      </c>
      <c r="L6" s="5" t="s">
        <v>159</v>
      </c>
      <c r="M6" s="6" t="s">
        <v>145</v>
      </c>
      <c r="N6" s="5" t="s">
        <v>146</v>
      </c>
      <c r="O6" s="5" t="s">
        <v>87</v>
      </c>
      <c r="P6" s="5" t="s">
        <v>87</v>
      </c>
      <c r="Q6" s="6" t="s">
        <v>147</v>
      </c>
      <c r="R6" s="5"/>
      <c r="S6" s="5"/>
      <c r="T6" s="5"/>
      <c r="U6" s="5"/>
      <c r="V6" s="5"/>
      <c r="W6" s="5"/>
      <c r="X6" s="5"/>
      <c r="Y6" s="7"/>
      <c r="Z6" s="3"/>
    </row>
    <row r="7" ht="21.75" customHeight="1" spans="1:26">
      <c r="A7" s="8" t="str">
        <f>IFERROR(INDEX(样本到样信息汇总统计!A$2:A$500,MATCH(6,样本到样信息汇总统计!$AC$2:$AC$500,0)),"")</f>
        <v>XX儿童医院</v>
      </c>
      <c r="B7" s="8" t="str">
        <f>IFERROR(INDEX(样本到样信息汇总统计!B$2:B$500,MATCH(6,样本到样信息汇总统计!$AC$2:$AC$500,0)),"")</f>
        <v>刘教授团队</v>
      </c>
      <c r="C7" s="8" t="str">
        <f>IFERROR(INDEX(样本到样信息汇总统计!C$2:C$500,MATCH(6,样本到样信息汇总统计!$AC$2:$AC$500,0)),"")</f>
        <v>陈经理</v>
      </c>
      <c r="D7" s="8" t="str">
        <f>IFERROR(INDEX(样本到样信息汇总统计!D$2:D$500,MATCH(6,样本到样信息汇总统计!$AC$2:$AC$500,0)),"")</f>
        <v>PJ2026-006</v>
      </c>
      <c r="E7" s="8" t="str">
        <f>IFERROR(INDEX(样本到样信息汇总统计!E$2:E$500,MATCH(6,样本到样信息汇总统计!$AC$2:$AC$500,0)),"")</f>
        <v>ORD-2026-0006</v>
      </c>
      <c r="F7" s="8" t="str">
        <f>IFERROR(INDEX(样本到样信息汇总统计!F$2:F$500,MATCH(6,样本到样信息汇总统计!$AC$2:$AC$500,0)),"")</f>
        <v>脑脊液</v>
      </c>
      <c r="G7" s="8" t="str">
        <f>IFERROR(INDEX(样本到样信息汇总统计!G$2:G$500,MATCH(6,样本到样信息汇总统计!$AC$2:$AC$500,0)),"")</f>
        <v>原始样本</v>
      </c>
      <c r="H7" s="8">
        <f>IFERROR(INDEX(样本到样信息汇总统计!H$2:H$500,MATCH(6,样本到样信息汇总统计!$AC$2:$AC$500,0)),"")</f>
        <v>100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1"/>
      <c r="Z7" s="11"/>
    </row>
    <row r="8" ht="21.75" customHeight="1" spans="1:26">
      <c r="A8" s="4" t="str">
        <f>IFERROR(INDEX(样本到样信息汇总统计!A$2:A$500,MATCH(7,样本到样信息汇总统计!$AC$2:$AC$500,0)),"")</f>
        <v>XX儿童医院</v>
      </c>
      <c r="B8" s="4" t="str">
        <f>IFERROR(INDEX(样本到样信息汇总统计!B$2:B$500,MATCH(7,样本到样信息汇总统计!$AC$2:$AC$500,0)),"")</f>
        <v>刘教授团队</v>
      </c>
      <c r="C8" s="4" t="str">
        <f>IFERROR(INDEX(样本到样信息汇总统计!C$2:C$500,MATCH(7,样本到样信息汇总统计!$AC$2:$AC$500,0)),"")</f>
        <v>陈经理</v>
      </c>
      <c r="D8" s="4" t="str">
        <f>IFERROR(INDEX(样本到样信息汇总统计!D$2:D$500,MATCH(7,样本到样信息汇总统计!$AC$2:$AC$500,0)),"")</f>
        <v>PJ2026-007</v>
      </c>
      <c r="E8" s="4" t="str">
        <f>IFERROR(INDEX(样本到样信息汇总统计!E$2:E$500,MATCH(7,样本到样信息汇总统计!$AC$2:$AC$500,0)),"")</f>
        <v>ORD-2026-0007</v>
      </c>
      <c r="F8" s="4" t="str">
        <f>IFERROR(INDEX(样本到样信息汇总统计!F$2:F$500,MATCH(7,样本到样信息汇总统计!$AC$2:$AC$500,0)),"")</f>
        <v>脑脊液</v>
      </c>
      <c r="G8" s="4" t="str">
        <f>IFERROR(INDEX(样本到样信息汇总统计!G$2:G$500,MATCH(7,样本到样信息汇总统计!$AC$2:$AC$500,0)),"")</f>
        <v>原始样本</v>
      </c>
      <c r="H8" s="4">
        <f>IFERROR(INDEX(样本到样信息汇总统计!H$2:H$500,MATCH(7,样本到样信息汇总统计!$AC$2:$AC$500,0)),"")</f>
        <v>100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11"/>
      <c r="Z8" s="11"/>
    </row>
    <row r="9" ht="21.75" customHeight="1" spans="1:26">
      <c r="A9" s="8" t="str">
        <f>IFERROR(INDEX(样本到样信息汇总统计!A$2:A$500,MATCH(8,样本到样信息汇总统计!$AC$2:$AC$500,0)),"")</f>
        <v>XX儿童医院</v>
      </c>
      <c r="B9" s="8" t="str">
        <f>IFERROR(INDEX(样本到样信息汇总统计!B$2:B$500,MATCH(8,样本到样信息汇总统计!$AC$2:$AC$500,0)),"")</f>
        <v>刘教授团队</v>
      </c>
      <c r="C9" s="8" t="str">
        <f>IFERROR(INDEX(样本到样信息汇总统计!C$2:C$500,MATCH(8,样本到样信息汇总统计!$AC$2:$AC$500,0)),"")</f>
        <v>陈经理</v>
      </c>
      <c r="D9" s="8" t="str">
        <f>IFERROR(INDEX(样本到样信息汇总统计!D$2:D$500,MATCH(8,样本到样信息汇总统计!$AC$2:$AC$500,0)),"")</f>
        <v>PJ2026-008</v>
      </c>
      <c r="E9" s="8" t="str">
        <f>IFERROR(INDEX(样本到样信息汇总统计!E$2:E$500,MATCH(8,样本到样信息汇总统计!$AC$2:$AC$500,0)),"")</f>
        <v>ORD-2026-0008</v>
      </c>
      <c r="F9" s="8" t="str">
        <f>IFERROR(INDEX(样本到样信息汇总统计!F$2:F$500,MATCH(8,样本到样信息汇总统计!$AC$2:$AC$500,0)),"")</f>
        <v>脑脊液</v>
      </c>
      <c r="G9" s="8" t="str">
        <f>IFERROR(INDEX(样本到样信息汇总统计!G$2:G$500,MATCH(8,样本到样信息汇总统计!$AC$2:$AC$500,0)),"")</f>
        <v>原始样本</v>
      </c>
      <c r="H9" s="8">
        <f>IFERROR(INDEX(样本到样信息汇总统计!H$2:H$500,MATCH(8,样本到样信息汇总统计!$AC$2:$AC$500,0)),"")</f>
        <v>100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1"/>
      <c r="Z9" s="11"/>
    </row>
    <row r="10" ht="21.75" customHeight="1" spans="1:26">
      <c r="A10" s="4" t="str">
        <f>IFERROR(INDEX(样本到样信息汇总统计!A$2:A$500,MATCH(9,样本到样信息汇总统计!$AC$2:$AC$500,0)),"")</f>
        <v>XX儿童医院</v>
      </c>
      <c r="B10" s="4" t="str">
        <f>IFERROR(INDEX(样本到样信息汇总统计!B$2:B$500,MATCH(9,样本到样信息汇总统计!$AC$2:$AC$500,0)),"")</f>
        <v>刘教授团队</v>
      </c>
      <c r="C10" s="4" t="str">
        <f>IFERROR(INDEX(样本到样信息汇总统计!C$2:C$500,MATCH(9,样本到样信息汇总统计!$AC$2:$AC$500,0)),"")</f>
        <v>陈经理</v>
      </c>
      <c r="D10" s="4" t="str">
        <f>IFERROR(INDEX(样本到样信息汇总统计!D$2:D$500,MATCH(9,样本到样信息汇总统计!$AC$2:$AC$500,0)),"")</f>
        <v>PJ2026-009</v>
      </c>
      <c r="E10" s="4" t="str">
        <f>IFERROR(INDEX(样本到样信息汇总统计!E$2:E$500,MATCH(9,样本到样信息汇总统计!$AC$2:$AC$500,0)),"")</f>
        <v>ORD-2026-0009</v>
      </c>
      <c r="F10" s="4" t="str">
        <f>IFERROR(INDEX(样本到样信息汇总统计!F$2:F$500,MATCH(9,样本到样信息汇总统计!$AC$2:$AC$500,0)),"")</f>
        <v>脑脊液</v>
      </c>
      <c r="G10" s="4" t="str">
        <f>IFERROR(INDEX(样本到样信息汇总统计!G$2:G$500,MATCH(9,样本到样信息汇总统计!$AC$2:$AC$500,0)),"")</f>
        <v>原始样本</v>
      </c>
      <c r="H10" s="4">
        <f>IFERROR(INDEX(样本到样信息汇总统计!H$2:H$500,MATCH(9,样本到样信息汇总统计!$AC$2:$AC$500,0)),"")</f>
        <v>100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11"/>
      <c r="Z10" s="11"/>
    </row>
    <row r="11" ht="21.75" customHeight="1" spans="1:26">
      <c r="A11" s="8" t="str">
        <f>IFERROR(INDEX(样本到样信息汇总统计!A$2:A$500,MATCH(10,样本到样信息汇总统计!$AC$2:$AC$500,0)),"")</f>
        <v>XX儿童医院</v>
      </c>
      <c r="B11" s="8" t="str">
        <f>IFERROR(INDEX(样本到样信息汇总统计!B$2:B$500,MATCH(10,样本到样信息汇总统计!$AC$2:$AC$500,0)),"")</f>
        <v>刘教授团队</v>
      </c>
      <c r="C11" s="8" t="str">
        <f>IFERROR(INDEX(样本到样信息汇总统计!C$2:C$500,MATCH(10,样本到样信息汇总统计!$AC$2:$AC$500,0)),"")</f>
        <v>陈经理</v>
      </c>
      <c r="D11" s="8" t="str">
        <f>IFERROR(INDEX(样本到样信息汇总统计!D$2:D$500,MATCH(10,样本到样信息汇总统计!$AC$2:$AC$500,0)),"")</f>
        <v>PJ2026-010</v>
      </c>
      <c r="E11" s="8" t="str">
        <f>IFERROR(INDEX(样本到样信息汇总统计!E$2:E$500,MATCH(10,样本到样信息汇总统计!$AC$2:$AC$500,0)),"")</f>
        <v>ORD-2026-0010</v>
      </c>
      <c r="F11" s="8" t="str">
        <f>IFERROR(INDEX(样本到样信息汇总统计!F$2:F$500,MATCH(10,样本到样信息汇总统计!$AC$2:$AC$500,0)),"")</f>
        <v>脑脊液</v>
      </c>
      <c r="G11" s="8" t="str">
        <f>IFERROR(INDEX(样本到样信息汇总统计!G$2:G$500,MATCH(10,样本到样信息汇总统计!$AC$2:$AC$500,0)),"")</f>
        <v>原始样本</v>
      </c>
      <c r="H11" s="8">
        <f>IFERROR(INDEX(样本到样信息汇总统计!H$2:H$500,MATCH(10,样本到样信息汇总统计!$AC$2:$AC$500,0)),"")</f>
        <v>100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1"/>
      <c r="Z11" s="11"/>
    </row>
    <row r="12" ht="21.75" customHeight="1" spans="1:26">
      <c r="A12" s="4" t="str">
        <f>IFERROR(INDEX(样本到样信息汇总统计!A$2:A$500,MATCH(11,样本到样信息汇总统计!$AC$2:$AC$500,0)),"")</f>
        <v/>
      </c>
      <c r="B12" s="4" t="str">
        <f>IFERROR(INDEX(样本到样信息汇总统计!B$2:B$500,MATCH(11,样本到样信息汇总统计!$AC$2:$AC$500,0)),"")</f>
        <v/>
      </c>
      <c r="C12" s="4" t="str">
        <f>IFERROR(INDEX(样本到样信息汇总统计!C$2:C$500,MATCH(11,样本到样信息汇总统计!$AC$2:$AC$500,0)),"")</f>
        <v/>
      </c>
      <c r="D12" s="4" t="str">
        <f>IFERROR(INDEX(样本到样信息汇总统计!D$2:D$500,MATCH(11,样本到样信息汇总统计!$AC$2:$AC$500,0)),"")</f>
        <v/>
      </c>
      <c r="E12" s="4" t="str">
        <f>IFERROR(INDEX(样本到样信息汇总统计!E$2:E$500,MATCH(11,样本到样信息汇总统计!$AC$2:$AC$500,0)),"")</f>
        <v/>
      </c>
      <c r="F12" s="4" t="str">
        <f>IFERROR(INDEX(样本到样信息汇总统计!F$2:F$500,MATCH(11,样本到样信息汇总统计!$AC$2:$AC$500,0)),"")</f>
        <v/>
      </c>
      <c r="G12" s="4" t="str">
        <f>IFERROR(INDEX(样本到样信息汇总统计!G$2:G$500,MATCH(11,样本到样信息汇总统计!$AC$2:$AC$500,0)),"")</f>
        <v/>
      </c>
      <c r="H12" s="4" t="str">
        <f>IFERROR(INDEX(样本到样信息汇总统计!H$2:H$500,MATCH(11,样本到样信息汇总统计!$AC$2:$AC$500,0)),"")</f>
        <v/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11"/>
      <c r="Z12" s="11"/>
    </row>
    <row r="13" ht="21.75" customHeight="1" spans="1:26">
      <c r="A13" s="8" t="str">
        <f>IFERROR(INDEX(样本到样信息汇总统计!A$2:A$500,MATCH(12,样本到样信息汇总统计!$AC$2:$AC$500,0)),"")</f>
        <v/>
      </c>
      <c r="B13" s="8" t="str">
        <f>IFERROR(INDEX(样本到样信息汇总统计!B$2:B$500,MATCH(12,样本到样信息汇总统计!$AC$2:$AC$500,0)),"")</f>
        <v/>
      </c>
      <c r="C13" s="8" t="str">
        <f>IFERROR(INDEX(样本到样信息汇总统计!C$2:C$500,MATCH(12,样本到样信息汇总统计!$AC$2:$AC$500,0)),"")</f>
        <v/>
      </c>
      <c r="D13" s="8" t="str">
        <f>IFERROR(INDEX(样本到样信息汇总统计!D$2:D$500,MATCH(12,样本到样信息汇总统计!$AC$2:$AC$500,0)),"")</f>
        <v/>
      </c>
      <c r="E13" s="8" t="str">
        <f>IFERROR(INDEX(样本到样信息汇总统计!E$2:E$500,MATCH(12,样本到样信息汇总统计!$AC$2:$AC$500,0)),"")</f>
        <v/>
      </c>
      <c r="F13" s="8" t="str">
        <f>IFERROR(INDEX(样本到样信息汇总统计!F$2:F$500,MATCH(12,样本到样信息汇总统计!$AC$2:$AC$500,0)),"")</f>
        <v/>
      </c>
      <c r="G13" s="8" t="str">
        <f>IFERROR(INDEX(样本到样信息汇总统计!G$2:G$500,MATCH(12,样本到样信息汇总统计!$AC$2:$AC$500,0)),"")</f>
        <v/>
      </c>
      <c r="H13" s="8" t="str">
        <f>IFERROR(INDEX(样本到样信息汇总统计!H$2:H$500,MATCH(12,样本到样信息汇总统计!$AC$2:$AC$500,0)),"")</f>
        <v/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1"/>
      <c r="Z13" s="11"/>
    </row>
    <row r="14" ht="21.75" customHeight="1" spans="1:26">
      <c r="A14" s="4" t="str">
        <f>IFERROR(INDEX(样本到样信息汇总统计!A$2:A$500,MATCH(13,样本到样信息汇总统计!$AC$2:$AC$500,0)),"")</f>
        <v/>
      </c>
      <c r="B14" s="4" t="str">
        <f>IFERROR(INDEX(样本到样信息汇总统计!B$2:B$500,MATCH(13,样本到样信息汇总统计!$AC$2:$AC$500,0)),"")</f>
        <v/>
      </c>
      <c r="C14" s="4" t="str">
        <f>IFERROR(INDEX(样本到样信息汇总统计!C$2:C$500,MATCH(13,样本到样信息汇总统计!$AC$2:$AC$500,0)),"")</f>
        <v/>
      </c>
      <c r="D14" s="4" t="str">
        <f>IFERROR(INDEX(样本到样信息汇总统计!D$2:D$500,MATCH(13,样本到样信息汇总统计!$AC$2:$AC$500,0)),"")</f>
        <v/>
      </c>
      <c r="E14" s="4" t="str">
        <f>IFERROR(INDEX(样本到样信息汇总统计!E$2:E$500,MATCH(13,样本到样信息汇总统计!$AC$2:$AC$500,0)),"")</f>
        <v/>
      </c>
      <c r="F14" s="4" t="str">
        <f>IFERROR(INDEX(样本到样信息汇总统计!F$2:F$500,MATCH(13,样本到样信息汇总统计!$AC$2:$AC$500,0)),"")</f>
        <v/>
      </c>
      <c r="G14" s="4" t="str">
        <f>IFERROR(INDEX(样本到样信息汇总统计!G$2:G$500,MATCH(13,样本到样信息汇总统计!$AC$2:$AC$500,0)),"")</f>
        <v/>
      </c>
      <c r="H14" s="4" t="str">
        <f>IFERROR(INDEX(样本到样信息汇总统计!H$2:H$500,MATCH(13,样本到样信息汇总统计!$AC$2:$AC$500,0)),"")</f>
        <v/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11"/>
      <c r="Z14" s="11"/>
    </row>
    <row r="15" ht="21.75" customHeight="1" spans="1:26">
      <c r="A15" s="8" t="str">
        <f>IFERROR(INDEX(样本到样信息汇总统计!A$2:A$500,MATCH(14,样本到样信息汇总统计!$AC$2:$AC$500,0)),"")</f>
        <v/>
      </c>
      <c r="B15" s="8" t="str">
        <f>IFERROR(INDEX(样本到样信息汇总统计!B$2:B$500,MATCH(14,样本到样信息汇总统计!$AC$2:$AC$500,0)),"")</f>
        <v/>
      </c>
      <c r="C15" s="8" t="str">
        <f>IFERROR(INDEX(样本到样信息汇总统计!C$2:C$500,MATCH(14,样本到样信息汇总统计!$AC$2:$AC$500,0)),"")</f>
        <v/>
      </c>
      <c r="D15" s="8" t="str">
        <f>IFERROR(INDEX(样本到样信息汇总统计!D$2:D$500,MATCH(14,样本到样信息汇总统计!$AC$2:$AC$500,0)),"")</f>
        <v/>
      </c>
      <c r="E15" s="8" t="str">
        <f>IFERROR(INDEX(样本到样信息汇总统计!E$2:E$500,MATCH(14,样本到样信息汇总统计!$AC$2:$AC$500,0)),"")</f>
        <v/>
      </c>
      <c r="F15" s="8" t="str">
        <f>IFERROR(INDEX(样本到样信息汇总统计!F$2:F$500,MATCH(14,样本到样信息汇总统计!$AC$2:$AC$500,0)),"")</f>
        <v/>
      </c>
      <c r="G15" s="8" t="str">
        <f>IFERROR(INDEX(样本到样信息汇总统计!G$2:G$500,MATCH(14,样本到样信息汇总统计!$AC$2:$AC$500,0)),"")</f>
        <v/>
      </c>
      <c r="H15" s="8" t="str">
        <f>IFERROR(INDEX(样本到样信息汇总统计!H$2:H$500,MATCH(14,样本到样信息汇总统计!$AC$2:$AC$500,0)),"")</f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1"/>
      <c r="Z15" s="11"/>
    </row>
    <row r="16" ht="21.75" customHeight="1" spans="1:26">
      <c r="A16" s="4" t="str">
        <f>IFERROR(INDEX(样本到样信息汇总统计!A$2:A$500,MATCH(15,样本到样信息汇总统计!$AC$2:$AC$500,0)),"")</f>
        <v/>
      </c>
      <c r="B16" s="4" t="str">
        <f>IFERROR(INDEX(样本到样信息汇总统计!B$2:B$500,MATCH(15,样本到样信息汇总统计!$AC$2:$AC$500,0)),"")</f>
        <v/>
      </c>
      <c r="C16" s="4" t="str">
        <f>IFERROR(INDEX(样本到样信息汇总统计!C$2:C$500,MATCH(15,样本到样信息汇总统计!$AC$2:$AC$500,0)),"")</f>
        <v/>
      </c>
      <c r="D16" s="4" t="str">
        <f>IFERROR(INDEX(样本到样信息汇总统计!D$2:D$500,MATCH(15,样本到样信息汇总统计!$AC$2:$AC$500,0)),"")</f>
        <v/>
      </c>
      <c r="E16" s="4" t="str">
        <f>IFERROR(INDEX(样本到样信息汇总统计!E$2:E$500,MATCH(15,样本到样信息汇总统计!$AC$2:$AC$500,0)),"")</f>
        <v/>
      </c>
      <c r="F16" s="4" t="str">
        <f>IFERROR(INDEX(样本到样信息汇总统计!F$2:F$500,MATCH(15,样本到样信息汇总统计!$AC$2:$AC$500,0)),"")</f>
        <v/>
      </c>
      <c r="G16" s="4" t="str">
        <f>IFERROR(INDEX(样本到样信息汇总统计!G$2:G$500,MATCH(15,样本到样信息汇总统计!$AC$2:$AC$500,0)),"")</f>
        <v/>
      </c>
      <c r="H16" s="4" t="str">
        <f>IFERROR(INDEX(样本到样信息汇总统计!H$2:H$500,MATCH(15,样本到样信息汇总统计!$AC$2:$AC$500,0)),"")</f>
        <v/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11"/>
      <c r="Z16" s="11"/>
    </row>
    <row r="17" ht="21.75" customHeight="1" spans="1:26">
      <c r="A17" s="8" t="str">
        <f>IFERROR(INDEX(样本到样信息汇总统计!A$2:A$500,MATCH(16,样本到样信息汇总统计!$AC$2:$AC$500,0)),"")</f>
        <v/>
      </c>
      <c r="B17" s="8" t="str">
        <f>IFERROR(INDEX(样本到样信息汇总统计!B$2:B$500,MATCH(16,样本到样信息汇总统计!$AC$2:$AC$500,0)),"")</f>
        <v/>
      </c>
      <c r="C17" s="8" t="str">
        <f>IFERROR(INDEX(样本到样信息汇总统计!C$2:C$500,MATCH(16,样本到样信息汇总统计!$AC$2:$AC$500,0)),"")</f>
        <v/>
      </c>
      <c r="D17" s="8" t="str">
        <f>IFERROR(INDEX(样本到样信息汇总统计!D$2:D$500,MATCH(16,样本到样信息汇总统计!$AC$2:$AC$500,0)),"")</f>
        <v/>
      </c>
      <c r="E17" s="8" t="str">
        <f>IFERROR(INDEX(样本到样信息汇总统计!E$2:E$500,MATCH(16,样本到样信息汇总统计!$AC$2:$AC$500,0)),"")</f>
        <v/>
      </c>
      <c r="F17" s="8" t="str">
        <f>IFERROR(INDEX(样本到样信息汇总统计!F$2:F$500,MATCH(16,样本到样信息汇总统计!$AC$2:$AC$500,0)),"")</f>
        <v/>
      </c>
      <c r="G17" s="8" t="str">
        <f>IFERROR(INDEX(样本到样信息汇总统计!G$2:G$500,MATCH(16,样本到样信息汇总统计!$AC$2:$AC$500,0)),"")</f>
        <v/>
      </c>
      <c r="H17" s="8" t="str">
        <f>IFERROR(INDEX(样本到样信息汇总统计!H$2:H$500,MATCH(16,样本到样信息汇总统计!$AC$2:$AC$500,0)),"")</f>
        <v/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1"/>
      <c r="Z17" s="11"/>
    </row>
    <row r="18" ht="21.75" customHeight="1" spans="1:26">
      <c r="A18" s="4" t="str">
        <f>IFERROR(INDEX(样本到样信息汇总统计!A$2:A$500,MATCH(17,样本到样信息汇总统计!$AC$2:$AC$500,0)),"")</f>
        <v/>
      </c>
      <c r="B18" s="4" t="str">
        <f>IFERROR(INDEX(样本到样信息汇总统计!B$2:B$500,MATCH(17,样本到样信息汇总统计!$AC$2:$AC$500,0)),"")</f>
        <v/>
      </c>
      <c r="C18" s="4" t="str">
        <f>IFERROR(INDEX(样本到样信息汇总统计!C$2:C$500,MATCH(17,样本到样信息汇总统计!$AC$2:$AC$500,0)),"")</f>
        <v/>
      </c>
      <c r="D18" s="4" t="str">
        <f>IFERROR(INDEX(样本到样信息汇总统计!D$2:D$500,MATCH(17,样本到样信息汇总统计!$AC$2:$AC$500,0)),"")</f>
        <v/>
      </c>
      <c r="E18" s="4" t="str">
        <f>IFERROR(INDEX(样本到样信息汇总统计!E$2:E$500,MATCH(17,样本到样信息汇总统计!$AC$2:$AC$500,0)),"")</f>
        <v/>
      </c>
      <c r="F18" s="4" t="str">
        <f>IFERROR(INDEX(样本到样信息汇总统计!F$2:F$500,MATCH(17,样本到样信息汇总统计!$AC$2:$AC$500,0)),"")</f>
        <v/>
      </c>
      <c r="G18" s="4" t="str">
        <f>IFERROR(INDEX(样本到样信息汇总统计!G$2:G$500,MATCH(17,样本到样信息汇总统计!$AC$2:$AC$500,0)),"")</f>
        <v/>
      </c>
      <c r="H18" s="4" t="str">
        <f>IFERROR(INDEX(样本到样信息汇总统计!H$2:H$500,MATCH(17,样本到样信息汇总统计!$AC$2:$AC$500,0)),"")</f>
        <v/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11"/>
      <c r="Z18" s="11"/>
    </row>
    <row r="19" ht="21.75" customHeight="1" spans="1:26">
      <c r="A19" s="8" t="str">
        <f>IFERROR(INDEX(样本到样信息汇总统计!A$2:A$500,MATCH(18,样本到样信息汇总统计!$AC$2:$AC$500,0)),"")</f>
        <v/>
      </c>
      <c r="B19" s="8" t="str">
        <f>IFERROR(INDEX(样本到样信息汇总统计!B$2:B$500,MATCH(18,样本到样信息汇总统计!$AC$2:$AC$500,0)),"")</f>
        <v/>
      </c>
      <c r="C19" s="8" t="str">
        <f>IFERROR(INDEX(样本到样信息汇总统计!C$2:C$500,MATCH(18,样本到样信息汇总统计!$AC$2:$AC$500,0)),"")</f>
        <v/>
      </c>
      <c r="D19" s="8" t="str">
        <f>IFERROR(INDEX(样本到样信息汇总统计!D$2:D$500,MATCH(18,样本到样信息汇总统计!$AC$2:$AC$500,0)),"")</f>
        <v/>
      </c>
      <c r="E19" s="8" t="str">
        <f>IFERROR(INDEX(样本到样信息汇总统计!E$2:E$500,MATCH(18,样本到样信息汇总统计!$AC$2:$AC$500,0)),"")</f>
        <v/>
      </c>
      <c r="F19" s="8" t="str">
        <f>IFERROR(INDEX(样本到样信息汇总统计!F$2:F$500,MATCH(18,样本到样信息汇总统计!$AC$2:$AC$500,0)),"")</f>
        <v/>
      </c>
      <c r="G19" s="8" t="str">
        <f>IFERROR(INDEX(样本到样信息汇总统计!G$2:G$500,MATCH(18,样本到样信息汇总统计!$AC$2:$AC$500,0)),"")</f>
        <v/>
      </c>
      <c r="H19" s="8" t="str">
        <f>IFERROR(INDEX(样本到样信息汇总统计!H$2:H$500,MATCH(18,样本到样信息汇总统计!$AC$2:$AC$500,0)),"")</f>
        <v/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1"/>
      <c r="Z19" s="11"/>
    </row>
    <row r="20" ht="21.75" customHeight="1" spans="1:26">
      <c r="A20" s="4" t="str">
        <f>IFERROR(INDEX(样本到样信息汇总统计!A$2:A$500,MATCH(19,样本到样信息汇总统计!$AC$2:$AC$500,0)),"")</f>
        <v/>
      </c>
      <c r="B20" s="4" t="str">
        <f>IFERROR(INDEX(样本到样信息汇总统计!B$2:B$500,MATCH(19,样本到样信息汇总统计!$AC$2:$AC$500,0)),"")</f>
        <v/>
      </c>
      <c r="C20" s="4" t="str">
        <f>IFERROR(INDEX(样本到样信息汇总统计!C$2:C$500,MATCH(19,样本到样信息汇总统计!$AC$2:$AC$500,0)),"")</f>
        <v/>
      </c>
      <c r="D20" s="4" t="str">
        <f>IFERROR(INDEX(样本到样信息汇总统计!D$2:D$500,MATCH(19,样本到样信息汇总统计!$AC$2:$AC$500,0)),"")</f>
        <v/>
      </c>
      <c r="E20" s="4" t="str">
        <f>IFERROR(INDEX(样本到样信息汇总统计!E$2:E$500,MATCH(19,样本到样信息汇总统计!$AC$2:$AC$500,0)),"")</f>
        <v/>
      </c>
      <c r="F20" s="4" t="str">
        <f>IFERROR(INDEX(样本到样信息汇总统计!F$2:F$500,MATCH(19,样本到样信息汇总统计!$AC$2:$AC$500,0)),"")</f>
        <v/>
      </c>
      <c r="G20" s="4" t="str">
        <f>IFERROR(INDEX(样本到样信息汇总统计!G$2:G$500,MATCH(19,样本到样信息汇总统计!$AC$2:$AC$500,0)),"")</f>
        <v/>
      </c>
      <c r="H20" s="4" t="str">
        <f>IFERROR(INDEX(样本到样信息汇总统计!H$2:H$500,MATCH(19,样本到样信息汇总统计!$AC$2:$AC$500,0)),"")</f>
        <v/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11"/>
      <c r="Z20" s="11"/>
    </row>
    <row r="21" ht="21.75" customHeight="1" spans="1:26">
      <c r="A21" s="8" t="str">
        <f>IFERROR(INDEX(样本到样信息汇总统计!A$2:A$500,MATCH(20,样本到样信息汇总统计!$AC$2:$AC$500,0)),"")</f>
        <v/>
      </c>
      <c r="B21" s="8" t="str">
        <f>IFERROR(INDEX(样本到样信息汇总统计!B$2:B$500,MATCH(20,样本到样信息汇总统计!$AC$2:$AC$500,0)),"")</f>
        <v/>
      </c>
      <c r="C21" s="8" t="str">
        <f>IFERROR(INDEX(样本到样信息汇总统计!C$2:C$500,MATCH(20,样本到样信息汇总统计!$AC$2:$AC$500,0)),"")</f>
        <v/>
      </c>
      <c r="D21" s="8" t="str">
        <f>IFERROR(INDEX(样本到样信息汇总统计!D$2:D$500,MATCH(20,样本到样信息汇总统计!$AC$2:$AC$500,0)),"")</f>
        <v/>
      </c>
      <c r="E21" s="8" t="str">
        <f>IFERROR(INDEX(样本到样信息汇总统计!E$2:E$500,MATCH(20,样本到样信息汇总统计!$AC$2:$AC$500,0)),"")</f>
        <v/>
      </c>
      <c r="F21" s="8" t="str">
        <f>IFERROR(INDEX(样本到样信息汇总统计!F$2:F$500,MATCH(20,样本到样信息汇总统计!$AC$2:$AC$500,0)),"")</f>
        <v/>
      </c>
      <c r="G21" s="8" t="str">
        <f>IFERROR(INDEX(样本到样信息汇总统计!G$2:G$500,MATCH(20,样本到样信息汇总统计!$AC$2:$AC$500,0)),"")</f>
        <v/>
      </c>
      <c r="H21" s="8" t="str">
        <f>IFERROR(INDEX(样本到样信息汇总统计!H$2:H$500,MATCH(20,样本到样信息汇总统计!$AC$2:$AC$500,0)),"")</f>
        <v/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ht="21.75" customHeight="1" spans="1:26">
      <c r="A22" s="4" t="str">
        <f>IFERROR(INDEX(样本到样信息汇总统计!A$2:A$500,MATCH(21,样本到样信息汇总统计!$AC$2:$AC$500,0)),"")</f>
        <v/>
      </c>
      <c r="B22" s="4" t="str">
        <f>IFERROR(INDEX(样本到样信息汇总统计!B$2:B$500,MATCH(21,样本到样信息汇总统计!$AC$2:$AC$500,0)),"")</f>
        <v/>
      </c>
      <c r="C22" s="4" t="str">
        <f>IFERROR(INDEX(样本到样信息汇总统计!C$2:C$500,MATCH(21,样本到样信息汇总统计!$AC$2:$AC$500,0)),"")</f>
        <v/>
      </c>
      <c r="D22" s="4" t="str">
        <f>IFERROR(INDEX(样本到样信息汇总统计!D$2:D$500,MATCH(21,样本到样信息汇总统计!$AC$2:$AC$500,0)),"")</f>
        <v/>
      </c>
      <c r="E22" s="4" t="str">
        <f>IFERROR(INDEX(样本到样信息汇总统计!E$2:E$500,MATCH(21,样本到样信息汇总统计!$AC$2:$AC$500,0)),"")</f>
        <v/>
      </c>
      <c r="F22" s="4" t="str">
        <f>IFERROR(INDEX(样本到样信息汇总统计!F$2:F$500,MATCH(21,样本到样信息汇总统计!$AC$2:$AC$500,0)),"")</f>
        <v/>
      </c>
      <c r="G22" s="4" t="str">
        <f>IFERROR(INDEX(样本到样信息汇总统计!G$2:G$500,MATCH(21,样本到样信息汇总统计!$AC$2:$AC$500,0)),"")</f>
        <v/>
      </c>
      <c r="H22" s="4" t="str">
        <f>IFERROR(INDEX(样本到样信息汇总统计!H$2:H$500,MATCH(21,样本到样信息汇总统计!$AC$2:$AC$500,0)),"")</f>
        <v/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21.75" customHeight="1" spans="1:26">
      <c r="A23" s="8" t="str">
        <f>IFERROR(INDEX(样本到样信息汇总统计!A$2:A$500,MATCH(22,样本到样信息汇总统计!$AC$2:$AC$500,0)),"")</f>
        <v/>
      </c>
      <c r="B23" s="8" t="str">
        <f>IFERROR(INDEX(样本到样信息汇总统计!B$2:B$500,MATCH(22,样本到样信息汇总统计!$AC$2:$AC$500,0)),"")</f>
        <v/>
      </c>
      <c r="C23" s="8" t="str">
        <f>IFERROR(INDEX(样本到样信息汇总统计!C$2:C$500,MATCH(22,样本到样信息汇总统计!$AC$2:$AC$500,0)),"")</f>
        <v/>
      </c>
      <c r="D23" s="8" t="str">
        <f>IFERROR(INDEX(样本到样信息汇总统计!D$2:D$500,MATCH(22,样本到样信息汇总统计!$AC$2:$AC$500,0)),"")</f>
        <v/>
      </c>
      <c r="E23" s="8" t="str">
        <f>IFERROR(INDEX(样本到样信息汇总统计!E$2:E$500,MATCH(22,样本到样信息汇总统计!$AC$2:$AC$500,0)),"")</f>
        <v/>
      </c>
      <c r="F23" s="8" t="str">
        <f>IFERROR(INDEX(样本到样信息汇总统计!F$2:F$500,MATCH(22,样本到样信息汇总统计!$AC$2:$AC$500,0)),"")</f>
        <v/>
      </c>
      <c r="G23" s="8" t="str">
        <f>IFERROR(INDEX(样本到样信息汇总统计!G$2:G$500,MATCH(22,样本到样信息汇总统计!$AC$2:$AC$500,0)),"")</f>
        <v/>
      </c>
      <c r="H23" s="8" t="str">
        <f>IFERROR(INDEX(样本到样信息汇总统计!H$2:H$500,MATCH(22,样本到样信息汇总统计!$AC$2:$AC$500,0)),"")</f>
        <v/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ht="21.75" customHeight="1" spans="1:26">
      <c r="A24" s="4" t="str">
        <f>IFERROR(INDEX(样本到样信息汇总统计!A$2:A$500,MATCH(23,样本到样信息汇总统计!$AC$2:$AC$500,0)),"")</f>
        <v/>
      </c>
      <c r="B24" s="4" t="str">
        <f>IFERROR(INDEX(样本到样信息汇总统计!B$2:B$500,MATCH(23,样本到样信息汇总统计!$AC$2:$AC$500,0)),"")</f>
        <v/>
      </c>
      <c r="C24" s="4" t="str">
        <f>IFERROR(INDEX(样本到样信息汇总统计!C$2:C$500,MATCH(23,样本到样信息汇总统计!$AC$2:$AC$500,0)),"")</f>
        <v/>
      </c>
      <c r="D24" s="4" t="str">
        <f>IFERROR(INDEX(样本到样信息汇总统计!D$2:D$500,MATCH(23,样本到样信息汇总统计!$AC$2:$AC$500,0)),"")</f>
        <v/>
      </c>
      <c r="E24" s="4" t="str">
        <f>IFERROR(INDEX(样本到样信息汇总统计!E$2:E$500,MATCH(23,样本到样信息汇总统计!$AC$2:$AC$500,0)),"")</f>
        <v/>
      </c>
      <c r="F24" s="4" t="str">
        <f>IFERROR(INDEX(样本到样信息汇总统计!F$2:F$500,MATCH(23,样本到样信息汇总统计!$AC$2:$AC$500,0)),"")</f>
        <v/>
      </c>
      <c r="G24" s="4" t="str">
        <f>IFERROR(INDEX(样本到样信息汇总统计!G$2:G$500,MATCH(23,样本到样信息汇总统计!$AC$2:$AC$500,0)),"")</f>
        <v/>
      </c>
      <c r="H24" s="4" t="str">
        <f>IFERROR(INDEX(样本到样信息汇总统计!H$2:H$500,MATCH(23,样本到样信息汇总统计!$AC$2:$AC$500,0)),"")</f>
        <v/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t="21.75" customHeight="1" spans="1:26">
      <c r="A25" s="8" t="str">
        <f>IFERROR(INDEX(样本到样信息汇总统计!A$2:A$500,MATCH(24,样本到样信息汇总统计!$AC$2:$AC$500,0)),"")</f>
        <v/>
      </c>
      <c r="B25" s="8" t="str">
        <f>IFERROR(INDEX(样本到样信息汇总统计!B$2:B$500,MATCH(24,样本到样信息汇总统计!$AC$2:$AC$500,0)),"")</f>
        <v/>
      </c>
      <c r="C25" s="8" t="str">
        <f>IFERROR(INDEX(样本到样信息汇总统计!C$2:C$500,MATCH(24,样本到样信息汇总统计!$AC$2:$AC$500,0)),"")</f>
        <v/>
      </c>
      <c r="D25" s="8" t="str">
        <f>IFERROR(INDEX(样本到样信息汇总统计!D$2:D$500,MATCH(24,样本到样信息汇总统计!$AC$2:$AC$500,0)),"")</f>
        <v/>
      </c>
      <c r="E25" s="8" t="str">
        <f>IFERROR(INDEX(样本到样信息汇总统计!E$2:E$500,MATCH(24,样本到样信息汇总统计!$AC$2:$AC$500,0)),"")</f>
        <v/>
      </c>
      <c r="F25" s="8" t="str">
        <f>IFERROR(INDEX(样本到样信息汇总统计!F$2:F$500,MATCH(24,样本到样信息汇总统计!$AC$2:$AC$500,0)),"")</f>
        <v/>
      </c>
      <c r="G25" s="8" t="str">
        <f>IFERROR(INDEX(样本到样信息汇总统计!G$2:G$500,MATCH(24,样本到样信息汇总统计!$AC$2:$AC$500,0)),"")</f>
        <v/>
      </c>
      <c r="H25" s="8" t="str">
        <f>IFERROR(INDEX(样本到样信息汇总统计!H$2:H$500,MATCH(24,样本到样信息汇总统计!$AC$2:$AC$500,0)),"")</f>
        <v/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ht="21.75" customHeight="1" spans="1:26">
      <c r="A26" s="4" t="str">
        <f>IFERROR(INDEX(样本到样信息汇总统计!A$2:A$500,MATCH(25,样本到样信息汇总统计!$AC$2:$AC$500,0)),"")</f>
        <v/>
      </c>
      <c r="B26" s="4" t="str">
        <f>IFERROR(INDEX(样本到样信息汇总统计!B$2:B$500,MATCH(25,样本到样信息汇总统计!$AC$2:$AC$500,0)),"")</f>
        <v/>
      </c>
      <c r="C26" s="4" t="str">
        <f>IFERROR(INDEX(样本到样信息汇总统计!C$2:C$500,MATCH(25,样本到样信息汇总统计!$AC$2:$AC$500,0)),"")</f>
        <v/>
      </c>
      <c r="D26" s="4" t="str">
        <f>IFERROR(INDEX(样本到样信息汇总统计!D$2:D$500,MATCH(25,样本到样信息汇总统计!$AC$2:$AC$500,0)),"")</f>
        <v/>
      </c>
      <c r="E26" s="4" t="str">
        <f>IFERROR(INDEX(样本到样信息汇总统计!E$2:E$500,MATCH(25,样本到样信息汇总统计!$AC$2:$AC$500,0)),"")</f>
        <v/>
      </c>
      <c r="F26" s="4" t="str">
        <f>IFERROR(INDEX(样本到样信息汇总统计!F$2:F$500,MATCH(25,样本到样信息汇总统计!$AC$2:$AC$500,0)),"")</f>
        <v/>
      </c>
      <c r="G26" s="4" t="str">
        <f>IFERROR(INDEX(样本到样信息汇总统计!G$2:G$500,MATCH(25,样本到样信息汇总统计!$AC$2:$AC$500,0)),"")</f>
        <v/>
      </c>
      <c r="H26" s="4" t="str">
        <f>IFERROR(INDEX(样本到样信息汇总统计!H$2:H$500,MATCH(25,样本到样信息汇总统计!$AC$2:$AC$500,0)),"")</f>
        <v/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t="21.75" customHeight="1" spans="1:26">
      <c r="A27" s="8" t="str">
        <f>IFERROR(INDEX(样本到样信息汇总统计!A$2:A$500,MATCH(26,样本到样信息汇总统计!$AC$2:$AC$500,0)),"")</f>
        <v/>
      </c>
      <c r="B27" s="8" t="str">
        <f>IFERROR(INDEX(样本到样信息汇总统计!B$2:B$500,MATCH(26,样本到样信息汇总统计!$AC$2:$AC$500,0)),"")</f>
        <v/>
      </c>
      <c r="C27" s="8" t="str">
        <f>IFERROR(INDEX(样本到样信息汇总统计!C$2:C$500,MATCH(26,样本到样信息汇总统计!$AC$2:$AC$500,0)),"")</f>
        <v/>
      </c>
      <c r="D27" s="8" t="str">
        <f>IFERROR(INDEX(样本到样信息汇总统计!D$2:D$500,MATCH(26,样本到样信息汇总统计!$AC$2:$AC$500,0)),"")</f>
        <v/>
      </c>
      <c r="E27" s="8" t="str">
        <f>IFERROR(INDEX(样本到样信息汇总统计!E$2:E$500,MATCH(26,样本到样信息汇总统计!$AC$2:$AC$500,0)),"")</f>
        <v/>
      </c>
      <c r="F27" s="8" t="str">
        <f>IFERROR(INDEX(样本到样信息汇总统计!F$2:F$500,MATCH(26,样本到样信息汇总统计!$AC$2:$AC$500,0)),"")</f>
        <v/>
      </c>
      <c r="G27" s="8" t="str">
        <f>IFERROR(INDEX(样本到样信息汇总统计!G$2:G$500,MATCH(26,样本到样信息汇总统计!$AC$2:$AC$500,0)),"")</f>
        <v/>
      </c>
      <c r="H27" s="8" t="str">
        <f>IFERROR(INDEX(样本到样信息汇总统计!H$2:H$500,MATCH(26,样本到样信息汇总统计!$AC$2:$AC$500,0)),"")</f>
        <v/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ht="21.75" customHeight="1" spans="1:26">
      <c r="A28" s="4" t="str">
        <f>IFERROR(INDEX(样本到样信息汇总统计!A$2:A$500,MATCH(27,样本到样信息汇总统计!$AC$2:$AC$500,0)),"")</f>
        <v/>
      </c>
      <c r="B28" s="4" t="str">
        <f>IFERROR(INDEX(样本到样信息汇总统计!B$2:B$500,MATCH(27,样本到样信息汇总统计!$AC$2:$AC$500,0)),"")</f>
        <v/>
      </c>
      <c r="C28" s="4" t="str">
        <f>IFERROR(INDEX(样本到样信息汇总统计!C$2:C$500,MATCH(27,样本到样信息汇总统计!$AC$2:$AC$500,0)),"")</f>
        <v/>
      </c>
      <c r="D28" s="4" t="str">
        <f>IFERROR(INDEX(样本到样信息汇总统计!D$2:D$500,MATCH(27,样本到样信息汇总统计!$AC$2:$AC$500,0)),"")</f>
        <v/>
      </c>
      <c r="E28" s="4" t="str">
        <f>IFERROR(INDEX(样本到样信息汇总统计!E$2:E$500,MATCH(27,样本到样信息汇总统计!$AC$2:$AC$500,0)),"")</f>
        <v/>
      </c>
      <c r="F28" s="4" t="str">
        <f>IFERROR(INDEX(样本到样信息汇总统计!F$2:F$500,MATCH(27,样本到样信息汇总统计!$AC$2:$AC$500,0)),"")</f>
        <v/>
      </c>
      <c r="G28" s="4" t="str">
        <f>IFERROR(INDEX(样本到样信息汇总统计!G$2:G$500,MATCH(27,样本到样信息汇总统计!$AC$2:$AC$500,0)),"")</f>
        <v/>
      </c>
      <c r="H28" s="4" t="str">
        <f>IFERROR(INDEX(样本到样信息汇总统计!H$2:H$500,MATCH(27,样本到样信息汇总统计!$AC$2:$AC$500,0)),"")</f>
        <v/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ht="21.75" customHeight="1" spans="1:26">
      <c r="A29" s="8" t="str">
        <f>IFERROR(INDEX(样本到样信息汇总统计!A$2:A$500,MATCH(28,样本到样信息汇总统计!$AC$2:$AC$500,0)),"")</f>
        <v/>
      </c>
      <c r="B29" s="8" t="str">
        <f>IFERROR(INDEX(样本到样信息汇总统计!B$2:B$500,MATCH(28,样本到样信息汇总统计!$AC$2:$AC$500,0)),"")</f>
        <v/>
      </c>
      <c r="C29" s="8" t="str">
        <f>IFERROR(INDEX(样本到样信息汇总统计!C$2:C$500,MATCH(28,样本到样信息汇总统计!$AC$2:$AC$500,0)),"")</f>
        <v/>
      </c>
      <c r="D29" s="8" t="str">
        <f>IFERROR(INDEX(样本到样信息汇总统计!D$2:D$500,MATCH(28,样本到样信息汇总统计!$AC$2:$AC$500,0)),"")</f>
        <v/>
      </c>
      <c r="E29" s="8" t="str">
        <f>IFERROR(INDEX(样本到样信息汇总统计!E$2:E$500,MATCH(28,样本到样信息汇总统计!$AC$2:$AC$500,0)),"")</f>
        <v/>
      </c>
      <c r="F29" s="8" t="str">
        <f>IFERROR(INDEX(样本到样信息汇总统计!F$2:F$500,MATCH(28,样本到样信息汇总统计!$AC$2:$AC$500,0)),"")</f>
        <v/>
      </c>
      <c r="G29" s="8" t="str">
        <f>IFERROR(INDEX(样本到样信息汇总统计!G$2:G$500,MATCH(28,样本到样信息汇总统计!$AC$2:$AC$500,0)),"")</f>
        <v/>
      </c>
      <c r="H29" s="8" t="str">
        <f>IFERROR(INDEX(样本到样信息汇总统计!H$2:H$500,MATCH(28,样本到样信息汇总统计!$AC$2:$AC$500,0)),"")</f>
        <v/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ht="21.75" customHeight="1" spans="1:26">
      <c r="A30" s="4" t="str">
        <f>IFERROR(INDEX(样本到样信息汇总统计!A$2:A$500,MATCH(29,样本到样信息汇总统计!$AC$2:$AC$500,0)),"")</f>
        <v/>
      </c>
      <c r="B30" s="4" t="str">
        <f>IFERROR(INDEX(样本到样信息汇总统计!B$2:B$500,MATCH(29,样本到样信息汇总统计!$AC$2:$AC$500,0)),"")</f>
        <v/>
      </c>
      <c r="C30" s="4" t="str">
        <f>IFERROR(INDEX(样本到样信息汇总统计!C$2:C$500,MATCH(29,样本到样信息汇总统计!$AC$2:$AC$500,0)),"")</f>
        <v/>
      </c>
      <c r="D30" s="4" t="str">
        <f>IFERROR(INDEX(样本到样信息汇总统计!D$2:D$500,MATCH(29,样本到样信息汇总统计!$AC$2:$AC$500,0)),"")</f>
        <v/>
      </c>
      <c r="E30" s="4" t="str">
        <f>IFERROR(INDEX(样本到样信息汇总统计!E$2:E$500,MATCH(29,样本到样信息汇总统计!$AC$2:$AC$500,0)),"")</f>
        <v/>
      </c>
      <c r="F30" s="4" t="str">
        <f>IFERROR(INDEX(样本到样信息汇总统计!F$2:F$500,MATCH(29,样本到样信息汇总统计!$AC$2:$AC$500,0)),"")</f>
        <v/>
      </c>
      <c r="G30" s="4" t="str">
        <f>IFERROR(INDEX(样本到样信息汇总统计!G$2:G$500,MATCH(29,样本到样信息汇总统计!$AC$2:$AC$500,0)),"")</f>
        <v/>
      </c>
      <c r="H30" s="4" t="str">
        <f>IFERROR(INDEX(样本到样信息汇总统计!H$2:H$500,MATCH(29,样本到样信息汇总统计!$AC$2:$AC$500,0)),"")</f>
        <v/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21.75" customHeight="1" spans="1:26">
      <c r="A31" s="8" t="str">
        <f>IFERROR(INDEX(样本到样信息汇总统计!A$2:A$500,MATCH(30,样本到样信息汇总统计!$AC$2:$AC$500,0)),"")</f>
        <v/>
      </c>
      <c r="B31" s="8" t="str">
        <f>IFERROR(INDEX(样本到样信息汇总统计!B$2:B$500,MATCH(30,样本到样信息汇总统计!$AC$2:$AC$500,0)),"")</f>
        <v/>
      </c>
      <c r="C31" s="8" t="str">
        <f>IFERROR(INDEX(样本到样信息汇总统计!C$2:C$500,MATCH(30,样本到样信息汇总统计!$AC$2:$AC$500,0)),"")</f>
        <v/>
      </c>
      <c r="D31" s="8" t="str">
        <f>IFERROR(INDEX(样本到样信息汇总统计!D$2:D$500,MATCH(30,样本到样信息汇总统计!$AC$2:$AC$500,0)),"")</f>
        <v/>
      </c>
      <c r="E31" s="8" t="str">
        <f>IFERROR(INDEX(样本到样信息汇总统计!E$2:E$500,MATCH(30,样本到样信息汇总统计!$AC$2:$AC$500,0)),"")</f>
        <v/>
      </c>
      <c r="F31" s="8" t="str">
        <f>IFERROR(INDEX(样本到样信息汇总统计!F$2:F$500,MATCH(30,样本到样信息汇总统计!$AC$2:$AC$500,0)),"")</f>
        <v/>
      </c>
      <c r="G31" s="8" t="str">
        <f>IFERROR(INDEX(样本到样信息汇总统计!G$2:G$500,MATCH(30,样本到样信息汇总统计!$AC$2:$AC$500,0)),"")</f>
        <v/>
      </c>
      <c r="H31" s="8" t="str">
        <f>IFERROR(INDEX(样本到样信息汇总统计!H$2:H$500,MATCH(30,样本到样信息汇总统计!$AC$2:$AC$500,0)),"")</f>
        <v/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ht="21.75" customHeight="1" spans="1:26">
      <c r="A32" s="4" t="str">
        <f>IFERROR(INDEX(样本到样信息汇总统计!A$2:A$500,MATCH(31,样本到样信息汇总统计!$AC$2:$AC$500,0)),"")</f>
        <v/>
      </c>
      <c r="B32" s="4" t="str">
        <f>IFERROR(INDEX(样本到样信息汇总统计!B$2:B$500,MATCH(31,样本到样信息汇总统计!$AC$2:$AC$500,0)),"")</f>
        <v/>
      </c>
      <c r="C32" s="4" t="str">
        <f>IFERROR(INDEX(样本到样信息汇总统计!C$2:C$500,MATCH(31,样本到样信息汇总统计!$AC$2:$AC$500,0)),"")</f>
        <v/>
      </c>
      <c r="D32" s="4" t="str">
        <f>IFERROR(INDEX(样本到样信息汇总统计!D$2:D$500,MATCH(31,样本到样信息汇总统计!$AC$2:$AC$500,0)),"")</f>
        <v/>
      </c>
      <c r="E32" s="4" t="str">
        <f>IFERROR(INDEX(样本到样信息汇总统计!E$2:E$500,MATCH(31,样本到样信息汇总统计!$AC$2:$AC$500,0)),"")</f>
        <v/>
      </c>
      <c r="F32" s="4" t="str">
        <f>IFERROR(INDEX(样本到样信息汇总统计!F$2:F$500,MATCH(31,样本到样信息汇总统计!$AC$2:$AC$500,0)),"")</f>
        <v/>
      </c>
      <c r="G32" s="4" t="str">
        <f>IFERROR(INDEX(样本到样信息汇总统计!G$2:G$500,MATCH(31,样本到样信息汇总统计!$AC$2:$AC$500,0)),"")</f>
        <v/>
      </c>
      <c r="H32" s="4" t="str">
        <f>IFERROR(INDEX(样本到样信息汇总统计!H$2:H$500,MATCH(31,样本到样信息汇总统计!$AC$2:$AC$500,0)),"")</f>
        <v/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21.75" customHeight="1" spans="1:24">
      <c r="A33" s="8" t="str">
        <f>IFERROR(INDEX(样本到样信息汇总统计!A$2:A$500,MATCH(32,样本到样信息汇总统计!$AC$2:$AC$500,0)),"")</f>
        <v/>
      </c>
      <c r="B33" s="8" t="str">
        <f>IFERROR(INDEX(样本到样信息汇总统计!B$2:B$500,MATCH(32,样本到样信息汇总统计!$AC$2:$AC$500,0)),"")</f>
        <v/>
      </c>
      <c r="C33" s="8" t="str">
        <f>IFERROR(INDEX(样本到样信息汇总统计!C$2:C$500,MATCH(32,样本到样信息汇总统计!$AC$2:$AC$500,0)),"")</f>
        <v/>
      </c>
      <c r="D33" s="8" t="str">
        <f>IFERROR(INDEX(样本到样信息汇总统计!D$2:D$500,MATCH(32,样本到样信息汇总统计!$AC$2:$AC$500,0)),"")</f>
        <v/>
      </c>
      <c r="E33" s="8" t="str">
        <f>IFERROR(INDEX(样本到样信息汇总统计!E$2:E$500,MATCH(32,样本到样信息汇总统计!$AC$2:$AC$500,0)),"")</f>
        <v/>
      </c>
      <c r="F33" s="8" t="str">
        <f>IFERROR(INDEX(样本到样信息汇总统计!F$2:F$500,MATCH(32,样本到样信息汇总统计!$AC$2:$AC$500,0)),"")</f>
        <v/>
      </c>
      <c r="G33" s="8" t="str">
        <f>IFERROR(INDEX(样本到样信息汇总统计!G$2:G$500,MATCH(32,样本到样信息汇总统计!$AC$2:$AC$500,0)),"")</f>
        <v/>
      </c>
      <c r="H33" s="8" t="str">
        <f>IFERROR(INDEX(样本到样信息汇总统计!H$2:H$500,MATCH(32,样本到样信息汇总统计!$AC$2:$AC$500,0)),"")</f>
        <v/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ht="21.75" customHeight="1" spans="1:24">
      <c r="A34" s="4" t="str">
        <f>IFERROR(INDEX(样本到样信息汇总统计!A$2:A$500,MATCH(33,样本到样信息汇总统计!$AC$2:$AC$500,0)),"")</f>
        <v/>
      </c>
      <c r="B34" s="4" t="str">
        <f>IFERROR(INDEX(样本到样信息汇总统计!B$2:B$500,MATCH(33,样本到样信息汇总统计!$AC$2:$AC$500,0)),"")</f>
        <v/>
      </c>
      <c r="C34" s="4" t="str">
        <f>IFERROR(INDEX(样本到样信息汇总统计!C$2:C$500,MATCH(33,样本到样信息汇总统计!$AC$2:$AC$500,0)),"")</f>
        <v/>
      </c>
      <c r="D34" s="4" t="str">
        <f>IFERROR(INDEX(样本到样信息汇总统计!D$2:D$500,MATCH(33,样本到样信息汇总统计!$AC$2:$AC$500,0)),"")</f>
        <v/>
      </c>
      <c r="E34" s="4" t="str">
        <f>IFERROR(INDEX(样本到样信息汇总统计!E$2:E$500,MATCH(33,样本到样信息汇总统计!$AC$2:$AC$500,0)),"")</f>
        <v/>
      </c>
      <c r="F34" s="4" t="str">
        <f>IFERROR(INDEX(样本到样信息汇总统计!F$2:F$500,MATCH(33,样本到样信息汇总统计!$AC$2:$AC$500,0)),"")</f>
        <v/>
      </c>
      <c r="G34" s="4" t="str">
        <f>IFERROR(INDEX(样本到样信息汇总统计!G$2:G$500,MATCH(33,样本到样信息汇总统计!$AC$2:$AC$500,0)),"")</f>
        <v/>
      </c>
      <c r="H34" s="4" t="str">
        <f>IFERROR(INDEX(样本到样信息汇总统计!H$2:H$500,MATCH(33,样本到样信息汇总统计!$AC$2:$AC$500,0)),"")</f>
        <v/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ht="21.75" customHeight="1" spans="1:24">
      <c r="A35" s="8" t="str">
        <f>IFERROR(INDEX(样本到样信息汇总统计!A$2:A$500,MATCH(34,样本到样信息汇总统计!$AC$2:$AC$500,0)),"")</f>
        <v/>
      </c>
      <c r="B35" s="8" t="str">
        <f>IFERROR(INDEX(样本到样信息汇总统计!B$2:B$500,MATCH(34,样本到样信息汇总统计!$AC$2:$AC$500,0)),"")</f>
        <v/>
      </c>
      <c r="C35" s="8" t="str">
        <f>IFERROR(INDEX(样本到样信息汇总统计!C$2:C$500,MATCH(34,样本到样信息汇总统计!$AC$2:$AC$500,0)),"")</f>
        <v/>
      </c>
      <c r="D35" s="8" t="str">
        <f>IFERROR(INDEX(样本到样信息汇总统计!D$2:D$500,MATCH(34,样本到样信息汇总统计!$AC$2:$AC$500,0)),"")</f>
        <v/>
      </c>
      <c r="E35" s="8" t="str">
        <f>IFERROR(INDEX(样本到样信息汇总统计!E$2:E$500,MATCH(34,样本到样信息汇总统计!$AC$2:$AC$500,0)),"")</f>
        <v/>
      </c>
      <c r="F35" s="8" t="str">
        <f>IFERROR(INDEX(样本到样信息汇总统计!F$2:F$500,MATCH(34,样本到样信息汇总统计!$AC$2:$AC$500,0)),"")</f>
        <v/>
      </c>
      <c r="G35" s="8" t="str">
        <f>IFERROR(INDEX(样本到样信息汇总统计!G$2:G$500,MATCH(34,样本到样信息汇总统计!$AC$2:$AC$500,0)),"")</f>
        <v/>
      </c>
      <c r="H35" s="8" t="str">
        <f>IFERROR(INDEX(样本到样信息汇总统计!H$2:H$500,MATCH(34,样本到样信息汇总统计!$AC$2:$AC$500,0)),"")</f>
        <v/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ht="21.75" customHeight="1" spans="1:24">
      <c r="A36" s="4" t="str">
        <f>IFERROR(INDEX(样本到样信息汇总统计!A$2:A$500,MATCH(35,样本到样信息汇总统计!$AC$2:$AC$500,0)),"")</f>
        <v/>
      </c>
      <c r="B36" s="4" t="str">
        <f>IFERROR(INDEX(样本到样信息汇总统计!B$2:B$500,MATCH(35,样本到样信息汇总统计!$AC$2:$AC$500,0)),"")</f>
        <v/>
      </c>
      <c r="C36" s="4" t="str">
        <f>IFERROR(INDEX(样本到样信息汇总统计!C$2:C$500,MATCH(35,样本到样信息汇总统计!$AC$2:$AC$500,0)),"")</f>
        <v/>
      </c>
      <c r="D36" s="4" t="str">
        <f>IFERROR(INDEX(样本到样信息汇总统计!D$2:D$500,MATCH(35,样本到样信息汇总统计!$AC$2:$AC$500,0)),"")</f>
        <v/>
      </c>
      <c r="E36" s="4" t="str">
        <f>IFERROR(INDEX(样本到样信息汇总统计!E$2:E$500,MATCH(35,样本到样信息汇总统计!$AC$2:$AC$500,0)),"")</f>
        <v/>
      </c>
      <c r="F36" s="4" t="str">
        <f>IFERROR(INDEX(样本到样信息汇总统计!F$2:F$500,MATCH(35,样本到样信息汇总统计!$AC$2:$AC$500,0)),"")</f>
        <v/>
      </c>
      <c r="G36" s="4" t="str">
        <f>IFERROR(INDEX(样本到样信息汇总统计!G$2:G$500,MATCH(35,样本到样信息汇总统计!$AC$2:$AC$500,0)),"")</f>
        <v/>
      </c>
      <c r="H36" s="4" t="str">
        <f>IFERROR(INDEX(样本到样信息汇总统计!H$2:H$500,MATCH(35,样本到样信息汇总统计!$AC$2:$AC$500,0)),"")</f>
        <v/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21.75" customHeight="1" spans="1:24">
      <c r="A37" s="8" t="str">
        <f>IFERROR(INDEX(样本到样信息汇总统计!A$2:A$500,MATCH(36,样本到样信息汇总统计!$AC$2:$AC$500,0)),"")</f>
        <v/>
      </c>
      <c r="B37" s="8" t="str">
        <f>IFERROR(INDEX(样本到样信息汇总统计!B$2:B$500,MATCH(36,样本到样信息汇总统计!$AC$2:$AC$500,0)),"")</f>
        <v/>
      </c>
      <c r="C37" s="8" t="str">
        <f>IFERROR(INDEX(样本到样信息汇总统计!C$2:C$500,MATCH(36,样本到样信息汇总统计!$AC$2:$AC$500,0)),"")</f>
        <v/>
      </c>
      <c r="D37" s="8" t="str">
        <f>IFERROR(INDEX(样本到样信息汇总统计!D$2:D$500,MATCH(36,样本到样信息汇总统计!$AC$2:$AC$500,0)),"")</f>
        <v/>
      </c>
      <c r="E37" s="8" t="str">
        <f>IFERROR(INDEX(样本到样信息汇总统计!E$2:E$500,MATCH(36,样本到样信息汇总统计!$AC$2:$AC$500,0)),"")</f>
        <v/>
      </c>
      <c r="F37" s="8" t="str">
        <f>IFERROR(INDEX(样本到样信息汇总统计!F$2:F$500,MATCH(36,样本到样信息汇总统计!$AC$2:$AC$500,0)),"")</f>
        <v/>
      </c>
      <c r="G37" s="8" t="str">
        <f>IFERROR(INDEX(样本到样信息汇总统计!G$2:G$500,MATCH(36,样本到样信息汇总统计!$AC$2:$AC$500,0)),"")</f>
        <v/>
      </c>
      <c r="H37" s="8" t="str">
        <f>IFERROR(INDEX(样本到样信息汇总统计!H$2:H$500,MATCH(36,样本到样信息汇总统计!$AC$2:$AC$500,0)),"")</f>
        <v/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ht="21.75" customHeight="1" spans="1:24">
      <c r="A38" s="4" t="str">
        <f>IFERROR(INDEX(样本到样信息汇总统计!A$2:A$500,MATCH(37,样本到样信息汇总统计!$AC$2:$AC$500,0)),"")</f>
        <v/>
      </c>
      <c r="B38" s="4" t="str">
        <f>IFERROR(INDEX(样本到样信息汇总统计!B$2:B$500,MATCH(37,样本到样信息汇总统计!$AC$2:$AC$500,0)),"")</f>
        <v/>
      </c>
      <c r="C38" s="4" t="str">
        <f>IFERROR(INDEX(样本到样信息汇总统计!C$2:C$500,MATCH(37,样本到样信息汇总统计!$AC$2:$AC$500,0)),"")</f>
        <v/>
      </c>
      <c r="D38" s="4" t="str">
        <f>IFERROR(INDEX(样本到样信息汇总统计!D$2:D$500,MATCH(37,样本到样信息汇总统计!$AC$2:$AC$500,0)),"")</f>
        <v/>
      </c>
      <c r="E38" s="4" t="str">
        <f>IFERROR(INDEX(样本到样信息汇总统计!E$2:E$500,MATCH(37,样本到样信息汇总统计!$AC$2:$AC$500,0)),"")</f>
        <v/>
      </c>
      <c r="F38" s="4" t="str">
        <f>IFERROR(INDEX(样本到样信息汇总统计!F$2:F$500,MATCH(37,样本到样信息汇总统计!$AC$2:$AC$500,0)),"")</f>
        <v/>
      </c>
      <c r="G38" s="4" t="str">
        <f>IFERROR(INDEX(样本到样信息汇总统计!G$2:G$500,MATCH(37,样本到样信息汇总统计!$AC$2:$AC$500,0)),"")</f>
        <v/>
      </c>
      <c r="H38" s="4" t="str">
        <f>IFERROR(INDEX(样本到样信息汇总统计!H$2:H$500,MATCH(37,样本到样信息汇总统计!$AC$2:$AC$500,0)),"")</f>
        <v/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21.75" customHeight="1" spans="1:24">
      <c r="A39" s="8" t="str">
        <f>IFERROR(INDEX(样本到样信息汇总统计!A$2:A$500,MATCH(38,样本到样信息汇总统计!$AC$2:$AC$500,0)),"")</f>
        <v/>
      </c>
      <c r="B39" s="8" t="str">
        <f>IFERROR(INDEX(样本到样信息汇总统计!B$2:B$500,MATCH(38,样本到样信息汇总统计!$AC$2:$AC$500,0)),"")</f>
        <v/>
      </c>
      <c r="C39" s="8" t="str">
        <f>IFERROR(INDEX(样本到样信息汇总统计!C$2:C$500,MATCH(38,样本到样信息汇总统计!$AC$2:$AC$500,0)),"")</f>
        <v/>
      </c>
      <c r="D39" s="8" t="str">
        <f>IFERROR(INDEX(样本到样信息汇总统计!D$2:D$500,MATCH(38,样本到样信息汇总统计!$AC$2:$AC$500,0)),"")</f>
        <v/>
      </c>
      <c r="E39" s="8" t="str">
        <f>IFERROR(INDEX(样本到样信息汇总统计!E$2:E$500,MATCH(38,样本到样信息汇总统计!$AC$2:$AC$500,0)),"")</f>
        <v/>
      </c>
      <c r="F39" s="8" t="str">
        <f>IFERROR(INDEX(样本到样信息汇总统计!F$2:F$500,MATCH(38,样本到样信息汇总统计!$AC$2:$AC$500,0)),"")</f>
        <v/>
      </c>
      <c r="G39" s="8" t="str">
        <f>IFERROR(INDEX(样本到样信息汇总统计!G$2:G$500,MATCH(38,样本到样信息汇总统计!$AC$2:$AC$500,0)),"")</f>
        <v/>
      </c>
      <c r="H39" s="8" t="str">
        <f>IFERROR(INDEX(样本到样信息汇总统计!H$2:H$500,MATCH(38,样本到样信息汇总统计!$AC$2:$AC$500,0)),"")</f>
        <v/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ht="21.75" customHeight="1" spans="1:24">
      <c r="A40" s="4" t="str">
        <f>IFERROR(INDEX(样本到样信息汇总统计!A$2:A$500,MATCH(39,样本到样信息汇总统计!$AC$2:$AC$500,0)),"")</f>
        <v/>
      </c>
      <c r="B40" s="4" t="str">
        <f>IFERROR(INDEX(样本到样信息汇总统计!B$2:B$500,MATCH(39,样本到样信息汇总统计!$AC$2:$AC$500,0)),"")</f>
        <v/>
      </c>
      <c r="C40" s="4" t="str">
        <f>IFERROR(INDEX(样本到样信息汇总统计!C$2:C$500,MATCH(39,样本到样信息汇总统计!$AC$2:$AC$500,0)),"")</f>
        <v/>
      </c>
      <c r="D40" s="4" t="str">
        <f>IFERROR(INDEX(样本到样信息汇总统计!D$2:D$500,MATCH(39,样本到样信息汇总统计!$AC$2:$AC$500,0)),"")</f>
        <v/>
      </c>
      <c r="E40" s="4" t="str">
        <f>IFERROR(INDEX(样本到样信息汇总统计!E$2:E$500,MATCH(39,样本到样信息汇总统计!$AC$2:$AC$500,0)),"")</f>
        <v/>
      </c>
      <c r="F40" s="4" t="str">
        <f>IFERROR(INDEX(样本到样信息汇总统计!F$2:F$500,MATCH(39,样本到样信息汇总统计!$AC$2:$AC$500,0)),"")</f>
        <v/>
      </c>
      <c r="G40" s="4" t="str">
        <f>IFERROR(INDEX(样本到样信息汇总统计!G$2:G$500,MATCH(39,样本到样信息汇总统计!$AC$2:$AC$500,0)),"")</f>
        <v/>
      </c>
      <c r="H40" s="4" t="str">
        <f>IFERROR(INDEX(样本到样信息汇总统计!H$2:H$500,MATCH(39,样本到样信息汇总统计!$AC$2:$AC$500,0)),"")</f>
        <v/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21.75" customHeight="1" spans="1:24">
      <c r="A41" s="8" t="str">
        <f>IFERROR(INDEX(样本到样信息汇总统计!A$2:A$500,MATCH(40,样本到样信息汇总统计!$AC$2:$AC$500,0)),"")</f>
        <v/>
      </c>
      <c r="B41" s="8" t="str">
        <f>IFERROR(INDEX(样本到样信息汇总统计!B$2:B$500,MATCH(40,样本到样信息汇总统计!$AC$2:$AC$500,0)),"")</f>
        <v/>
      </c>
      <c r="C41" s="8" t="str">
        <f>IFERROR(INDEX(样本到样信息汇总统计!C$2:C$500,MATCH(40,样本到样信息汇总统计!$AC$2:$AC$500,0)),"")</f>
        <v/>
      </c>
      <c r="D41" s="8" t="str">
        <f>IFERROR(INDEX(样本到样信息汇总统计!D$2:D$500,MATCH(40,样本到样信息汇总统计!$AC$2:$AC$500,0)),"")</f>
        <v/>
      </c>
      <c r="E41" s="8" t="str">
        <f>IFERROR(INDEX(样本到样信息汇总统计!E$2:E$500,MATCH(40,样本到样信息汇总统计!$AC$2:$AC$500,0)),"")</f>
        <v/>
      </c>
      <c r="F41" s="8" t="str">
        <f>IFERROR(INDEX(样本到样信息汇总统计!F$2:F$500,MATCH(40,样本到样信息汇总统计!$AC$2:$AC$500,0)),"")</f>
        <v/>
      </c>
      <c r="G41" s="8" t="str">
        <f>IFERROR(INDEX(样本到样信息汇总统计!G$2:G$500,MATCH(40,样本到样信息汇总统计!$AC$2:$AC$500,0)),"")</f>
        <v/>
      </c>
      <c r="H41" s="8" t="str">
        <f>IFERROR(INDEX(样本到样信息汇总统计!H$2:H$500,MATCH(40,样本到样信息汇总统计!$AC$2:$AC$500,0)),"")</f>
        <v/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ht="21.75" customHeight="1" spans="1:24">
      <c r="A42" s="4" t="str">
        <f>IFERROR(INDEX(样本到样信息汇总统计!A$2:A$500,MATCH(41,样本到样信息汇总统计!$AC$2:$AC$500,0)),"")</f>
        <v/>
      </c>
      <c r="B42" s="4" t="str">
        <f>IFERROR(INDEX(样本到样信息汇总统计!B$2:B$500,MATCH(41,样本到样信息汇总统计!$AC$2:$AC$500,0)),"")</f>
        <v/>
      </c>
      <c r="C42" s="4" t="str">
        <f>IFERROR(INDEX(样本到样信息汇总统计!C$2:C$500,MATCH(41,样本到样信息汇总统计!$AC$2:$AC$500,0)),"")</f>
        <v/>
      </c>
      <c r="D42" s="4" t="str">
        <f>IFERROR(INDEX(样本到样信息汇总统计!D$2:D$500,MATCH(41,样本到样信息汇总统计!$AC$2:$AC$500,0)),"")</f>
        <v/>
      </c>
      <c r="E42" s="4" t="str">
        <f>IFERROR(INDEX(样本到样信息汇总统计!E$2:E$500,MATCH(41,样本到样信息汇总统计!$AC$2:$AC$500,0)),"")</f>
        <v/>
      </c>
      <c r="F42" s="4" t="str">
        <f>IFERROR(INDEX(样本到样信息汇总统计!F$2:F$500,MATCH(41,样本到样信息汇总统计!$AC$2:$AC$500,0)),"")</f>
        <v/>
      </c>
      <c r="G42" s="4" t="str">
        <f>IFERROR(INDEX(样本到样信息汇总统计!G$2:G$500,MATCH(41,样本到样信息汇总统计!$AC$2:$AC$500,0)),"")</f>
        <v/>
      </c>
      <c r="H42" s="4" t="str">
        <f>IFERROR(INDEX(样本到样信息汇总统计!H$2:H$500,MATCH(41,样本到样信息汇总统计!$AC$2:$AC$500,0)),"")</f>
        <v/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21.75" customHeight="1" spans="1:24">
      <c r="A43" s="8" t="str">
        <f>IFERROR(INDEX(样本到样信息汇总统计!A$2:A$500,MATCH(42,样本到样信息汇总统计!$AC$2:$AC$500,0)),"")</f>
        <v/>
      </c>
      <c r="B43" s="8" t="str">
        <f>IFERROR(INDEX(样本到样信息汇总统计!B$2:B$500,MATCH(42,样本到样信息汇总统计!$AC$2:$AC$500,0)),"")</f>
        <v/>
      </c>
      <c r="C43" s="8" t="str">
        <f>IFERROR(INDEX(样本到样信息汇总统计!C$2:C$500,MATCH(42,样本到样信息汇总统计!$AC$2:$AC$500,0)),"")</f>
        <v/>
      </c>
      <c r="D43" s="8" t="str">
        <f>IFERROR(INDEX(样本到样信息汇总统计!D$2:D$500,MATCH(42,样本到样信息汇总统计!$AC$2:$AC$500,0)),"")</f>
        <v/>
      </c>
      <c r="E43" s="8" t="str">
        <f>IFERROR(INDEX(样本到样信息汇总统计!E$2:E$500,MATCH(42,样本到样信息汇总统计!$AC$2:$AC$500,0)),"")</f>
        <v/>
      </c>
      <c r="F43" s="8" t="str">
        <f>IFERROR(INDEX(样本到样信息汇总统计!F$2:F$500,MATCH(42,样本到样信息汇总统计!$AC$2:$AC$500,0)),"")</f>
        <v/>
      </c>
      <c r="G43" s="8" t="str">
        <f>IFERROR(INDEX(样本到样信息汇总统计!G$2:G$500,MATCH(42,样本到样信息汇总统计!$AC$2:$AC$500,0)),"")</f>
        <v/>
      </c>
      <c r="H43" s="8" t="str">
        <f>IFERROR(INDEX(样本到样信息汇总统计!H$2:H$500,MATCH(42,样本到样信息汇总统计!$AC$2:$AC$500,0)),"")</f>
        <v/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ht="21.75" customHeight="1" spans="1:24">
      <c r="A44" s="4" t="str">
        <f>IFERROR(INDEX(样本到样信息汇总统计!A$2:A$500,MATCH(43,样本到样信息汇总统计!$AC$2:$AC$500,0)),"")</f>
        <v/>
      </c>
      <c r="B44" s="4" t="str">
        <f>IFERROR(INDEX(样本到样信息汇总统计!B$2:B$500,MATCH(43,样本到样信息汇总统计!$AC$2:$AC$500,0)),"")</f>
        <v/>
      </c>
      <c r="C44" s="4" t="str">
        <f>IFERROR(INDEX(样本到样信息汇总统计!C$2:C$500,MATCH(43,样本到样信息汇总统计!$AC$2:$AC$500,0)),"")</f>
        <v/>
      </c>
      <c r="D44" s="4" t="str">
        <f>IFERROR(INDEX(样本到样信息汇总统计!D$2:D$500,MATCH(43,样本到样信息汇总统计!$AC$2:$AC$500,0)),"")</f>
        <v/>
      </c>
      <c r="E44" s="4" t="str">
        <f>IFERROR(INDEX(样本到样信息汇总统计!E$2:E$500,MATCH(43,样本到样信息汇总统计!$AC$2:$AC$500,0)),"")</f>
        <v/>
      </c>
      <c r="F44" s="4" t="str">
        <f>IFERROR(INDEX(样本到样信息汇总统计!F$2:F$500,MATCH(43,样本到样信息汇总统计!$AC$2:$AC$500,0)),"")</f>
        <v/>
      </c>
      <c r="G44" s="4" t="str">
        <f>IFERROR(INDEX(样本到样信息汇总统计!G$2:G$500,MATCH(43,样本到样信息汇总统计!$AC$2:$AC$500,0)),"")</f>
        <v/>
      </c>
      <c r="H44" s="4" t="str">
        <f>IFERROR(INDEX(样本到样信息汇总统计!H$2:H$500,MATCH(43,样本到样信息汇总统计!$AC$2:$AC$500,0)),"")</f>
        <v/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21.75" customHeight="1" spans="1:24">
      <c r="A45" s="8" t="str">
        <f>IFERROR(INDEX(样本到样信息汇总统计!A$2:A$500,MATCH(44,样本到样信息汇总统计!$AC$2:$AC$500,0)),"")</f>
        <v/>
      </c>
      <c r="B45" s="8" t="str">
        <f>IFERROR(INDEX(样本到样信息汇总统计!B$2:B$500,MATCH(44,样本到样信息汇总统计!$AC$2:$AC$500,0)),"")</f>
        <v/>
      </c>
      <c r="C45" s="8" t="str">
        <f>IFERROR(INDEX(样本到样信息汇总统计!C$2:C$500,MATCH(44,样本到样信息汇总统计!$AC$2:$AC$500,0)),"")</f>
        <v/>
      </c>
      <c r="D45" s="8" t="str">
        <f>IFERROR(INDEX(样本到样信息汇总统计!D$2:D$500,MATCH(44,样本到样信息汇总统计!$AC$2:$AC$500,0)),"")</f>
        <v/>
      </c>
      <c r="E45" s="8" t="str">
        <f>IFERROR(INDEX(样本到样信息汇总统计!E$2:E$500,MATCH(44,样本到样信息汇总统计!$AC$2:$AC$500,0)),"")</f>
        <v/>
      </c>
      <c r="F45" s="8" t="str">
        <f>IFERROR(INDEX(样本到样信息汇总统计!F$2:F$500,MATCH(44,样本到样信息汇总统计!$AC$2:$AC$500,0)),"")</f>
        <v/>
      </c>
      <c r="G45" s="8" t="str">
        <f>IFERROR(INDEX(样本到样信息汇总统计!G$2:G$500,MATCH(44,样本到样信息汇总统计!$AC$2:$AC$500,0)),"")</f>
        <v/>
      </c>
      <c r="H45" s="8" t="str">
        <f>IFERROR(INDEX(样本到样信息汇总统计!H$2:H$500,MATCH(44,样本到样信息汇总统计!$AC$2:$AC$500,0)),"")</f>
        <v/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ht="21.75" customHeight="1" spans="1:24">
      <c r="A46" s="4" t="str">
        <f>IFERROR(INDEX(样本到样信息汇总统计!A$2:A$500,MATCH(45,样本到样信息汇总统计!$AC$2:$AC$500,0)),"")</f>
        <v/>
      </c>
      <c r="B46" s="4" t="str">
        <f>IFERROR(INDEX(样本到样信息汇总统计!B$2:B$500,MATCH(45,样本到样信息汇总统计!$AC$2:$AC$500,0)),"")</f>
        <v/>
      </c>
      <c r="C46" s="4" t="str">
        <f>IFERROR(INDEX(样本到样信息汇总统计!C$2:C$500,MATCH(45,样本到样信息汇总统计!$AC$2:$AC$500,0)),"")</f>
        <v/>
      </c>
      <c r="D46" s="4" t="str">
        <f>IFERROR(INDEX(样本到样信息汇总统计!D$2:D$500,MATCH(45,样本到样信息汇总统计!$AC$2:$AC$500,0)),"")</f>
        <v/>
      </c>
      <c r="E46" s="4" t="str">
        <f>IFERROR(INDEX(样本到样信息汇总统计!E$2:E$500,MATCH(45,样本到样信息汇总统计!$AC$2:$AC$500,0)),"")</f>
        <v/>
      </c>
      <c r="F46" s="4" t="str">
        <f>IFERROR(INDEX(样本到样信息汇总统计!F$2:F$500,MATCH(45,样本到样信息汇总统计!$AC$2:$AC$500,0)),"")</f>
        <v/>
      </c>
      <c r="G46" s="4" t="str">
        <f>IFERROR(INDEX(样本到样信息汇总统计!G$2:G$500,MATCH(45,样本到样信息汇总统计!$AC$2:$AC$500,0)),"")</f>
        <v/>
      </c>
      <c r="H46" s="4" t="str">
        <f>IFERROR(INDEX(样本到样信息汇总统计!H$2:H$500,MATCH(45,样本到样信息汇总统计!$AC$2:$AC$500,0)),"")</f>
        <v/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21.75" customHeight="1" spans="1:24">
      <c r="A47" s="8" t="str">
        <f>IFERROR(INDEX(样本到样信息汇总统计!A$2:A$500,MATCH(46,样本到样信息汇总统计!$AC$2:$AC$500,0)),"")</f>
        <v/>
      </c>
      <c r="B47" s="8" t="str">
        <f>IFERROR(INDEX(样本到样信息汇总统计!B$2:B$500,MATCH(46,样本到样信息汇总统计!$AC$2:$AC$500,0)),"")</f>
        <v/>
      </c>
      <c r="C47" s="8" t="str">
        <f>IFERROR(INDEX(样本到样信息汇总统计!C$2:C$500,MATCH(46,样本到样信息汇总统计!$AC$2:$AC$500,0)),"")</f>
        <v/>
      </c>
      <c r="D47" s="8" t="str">
        <f>IFERROR(INDEX(样本到样信息汇总统计!D$2:D$500,MATCH(46,样本到样信息汇总统计!$AC$2:$AC$500,0)),"")</f>
        <v/>
      </c>
      <c r="E47" s="8" t="str">
        <f>IFERROR(INDEX(样本到样信息汇总统计!E$2:E$500,MATCH(46,样本到样信息汇总统计!$AC$2:$AC$500,0)),"")</f>
        <v/>
      </c>
      <c r="F47" s="8" t="str">
        <f>IFERROR(INDEX(样本到样信息汇总统计!F$2:F$500,MATCH(46,样本到样信息汇总统计!$AC$2:$AC$500,0)),"")</f>
        <v/>
      </c>
      <c r="G47" s="8" t="str">
        <f>IFERROR(INDEX(样本到样信息汇总统计!G$2:G$500,MATCH(46,样本到样信息汇总统计!$AC$2:$AC$500,0)),"")</f>
        <v/>
      </c>
      <c r="H47" s="8" t="str">
        <f>IFERROR(INDEX(样本到样信息汇总统计!H$2:H$500,MATCH(46,样本到样信息汇总统计!$AC$2:$AC$500,0)),"")</f>
        <v/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ht="21.75" customHeight="1" spans="1:24">
      <c r="A48" s="4" t="str">
        <f>IFERROR(INDEX(样本到样信息汇总统计!A$2:A$500,MATCH(47,样本到样信息汇总统计!$AC$2:$AC$500,0)),"")</f>
        <v/>
      </c>
      <c r="B48" s="4" t="str">
        <f>IFERROR(INDEX(样本到样信息汇总统计!B$2:B$500,MATCH(47,样本到样信息汇总统计!$AC$2:$AC$500,0)),"")</f>
        <v/>
      </c>
      <c r="C48" s="4" t="str">
        <f>IFERROR(INDEX(样本到样信息汇总统计!C$2:C$500,MATCH(47,样本到样信息汇总统计!$AC$2:$AC$500,0)),"")</f>
        <v/>
      </c>
      <c r="D48" s="4" t="str">
        <f>IFERROR(INDEX(样本到样信息汇总统计!D$2:D$500,MATCH(47,样本到样信息汇总统计!$AC$2:$AC$500,0)),"")</f>
        <v/>
      </c>
      <c r="E48" s="4" t="str">
        <f>IFERROR(INDEX(样本到样信息汇总统计!E$2:E$500,MATCH(47,样本到样信息汇总统计!$AC$2:$AC$500,0)),"")</f>
        <v/>
      </c>
      <c r="F48" s="4" t="str">
        <f>IFERROR(INDEX(样本到样信息汇总统计!F$2:F$500,MATCH(47,样本到样信息汇总统计!$AC$2:$AC$500,0)),"")</f>
        <v/>
      </c>
      <c r="G48" s="4" t="str">
        <f>IFERROR(INDEX(样本到样信息汇总统计!G$2:G$500,MATCH(47,样本到样信息汇总统计!$AC$2:$AC$500,0)),"")</f>
        <v/>
      </c>
      <c r="H48" s="4" t="str">
        <f>IFERROR(INDEX(样本到样信息汇总统计!H$2:H$500,MATCH(47,样本到样信息汇总统计!$AC$2:$AC$500,0)),"")</f>
        <v/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21.75" customHeight="1" spans="1:24">
      <c r="A49" s="8" t="str">
        <f>IFERROR(INDEX(样本到样信息汇总统计!A$2:A$500,MATCH(48,样本到样信息汇总统计!$AC$2:$AC$500,0)),"")</f>
        <v/>
      </c>
      <c r="B49" s="8" t="str">
        <f>IFERROR(INDEX(样本到样信息汇总统计!B$2:B$500,MATCH(48,样本到样信息汇总统计!$AC$2:$AC$500,0)),"")</f>
        <v/>
      </c>
      <c r="C49" s="8" t="str">
        <f>IFERROR(INDEX(样本到样信息汇总统计!C$2:C$500,MATCH(48,样本到样信息汇总统计!$AC$2:$AC$500,0)),"")</f>
        <v/>
      </c>
      <c r="D49" s="8" t="str">
        <f>IFERROR(INDEX(样本到样信息汇总统计!D$2:D$500,MATCH(48,样本到样信息汇总统计!$AC$2:$AC$500,0)),"")</f>
        <v/>
      </c>
      <c r="E49" s="8" t="str">
        <f>IFERROR(INDEX(样本到样信息汇总统计!E$2:E$500,MATCH(48,样本到样信息汇总统计!$AC$2:$AC$500,0)),"")</f>
        <v/>
      </c>
      <c r="F49" s="8" t="str">
        <f>IFERROR(INDEX(样本到样信息汇总统计!F$2:F$500,MATCH(48,样本到样信息汇总统计!$AC$2:$AC$500,0)),"")</f>
        <v/>
      </c>
      <c r="G49" s="8" t="str">
        <f>IFERROR(INDEX(样本到样信息汇总统计!G$2:G$500,MATCH(48,样本到样信息汇总统计!$AC$2:$AC$500,0)),"")</f>
        <v/>
      </c>
      <c r="H49" s="8" t="str">
        <f>IFERROR(INDEX(样本到样信息汇总统计!H$2:H$500,MATCH(48,样本到样信息汇总统计!$AC$2:$AC$500,0)),"")</f>
        <v/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ht="21.75" customHeight="1" spans="1:24">
      <c r="A50" s="4" t="str">
        <f>IFERROR(INDEX(样本到样信息汇总统计!A$2:A$500,MATCH(49,样本到样信息汇总统计!$AC$2:$AC$500,0)),"")</f>
        <v/>
      </c>
      <c r="B50" s="4" t="str">
        <f>IFERROR(INDEX(样本到样信息汇总统计!B$2:B$500,MATCH(49,样本到样信息汇总统计!$AC$2:$AC$500,0)),"")</f>
        <v/>
      </c>
      <c r="C50" s="4" t="str">
        <f>IFERROR(INDEX(样本到样信息汇总统计!C$2:C$500,MATCH(49,样本到样信息汇总统计!$AC$2:$AC$500,0)),"")</f>
        <v/>
      </c>
      <c r="D50" s="4" t="str">
        <f>IFERROR(INDEX(样本到样信息汇总统计!D$2:D$500,MATCH(49,样本到样信息汇总统计!$AC$2:$AC$500,0)),"")</f>
        <v/>
      </c>
      <c r="E50" s="4" t="str">
        <f>IFERROR(INDEX(样本到样信息汇总统计!E$2:E$500,MATCH(49,样本到样信息汇总统计!$AC$2:$AC$500,0)),"")</f>
        <v/>
      </c>
      <c r="F50" s="4" t="str">
        <f>IFERROR(INDEX(样本到样信息汇总统计!F$2:F$500,MATCH(49,样本到样信息汇总统计!$AC$2:$AC$500,0)),"")</f>
        <v/>
      </c>
      <c r="G50" s="4" t="str">
        <f>IFERROR(INDEX(样本到样信息汇总统计!G$2:G$500,MATCH(49,样本到样信息汇总统计!$AC$2:$AC$500,0)),"")</f>
        <v/>
      </c>
      <c r="H50" s="4" t="str">
        <f>IFERROR(INDEX(样本到样信息汇总统计!H$2:H$500,MATCH(49,样本到样信息汇总统计!$AC$2:$AC$500,0)),"")</f>
        <v/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21.75" customHeight="1" spans="1:24">
      <c r="A51" s="8" t="str">
        <f>IFERROR(INDEX(样本到样信息汇总统计!A$2:A$500,MATCH(50,样本到样信息汇总统计!$AC$2:$AC$500,0)),"")</f>
        <v/>
      </c>
      <c r="B51" s="8" t="str">
        <f>IFERROR(INDEX(样本到样信息汇总统计!B$2:B$500,MATCH(50,样本到样信息汇总统计!$AC$2:$AC$500,0)),"")</f>
        <v/>
      </c>
      <c r="C51" s="8" t="str">
        <f>IFERROR(INDEX(样本到样信息汇总统计!C$2:C$500,MATCH(50,样本到样信息汇总统计!$AC$2:$AC$500,0)),"")</f>
        <v/>
      </c>
      <c r="D51" s="8" t="str">
        <f>IFERROR(INDEX(样本到样信息汇总统计!D$2:D$500,MATCH(50,样本到样信息汇总统计!$AC$2:$AC$500,0)),"")</f>
        <v/>
      </c>
      <c r="E51" s="8" t="str">
        <f>IFERROR(INDEX(样本到样信息汇总统计!E$2:E$500,MATCH(50,样本到样信息汇总统计!$AC$2:$AC$500,0)),"")</f>
        <v/>
      </c>
      <c r="F51" s="8" t="str">
        <f>IFERROR(INDEX(样本到样信息汇总统计!F$2:F$500,MATCH(50,样本到样信息汇总统计!$AC$2:$AC$500,0)),"")</f>
        <v/>
      </c>
      <c r="G51" s="8" t="str">
        <f>IFERROR(INDEX(样本到样信息汇总统计!G$2:G$500,MATCH(50,样本到样信息汇总统计!$AC$2:$AC$500,0)),"")</f>
        <v/>
      </c>
      <c r="H51" s="8" t="str">
        <f>IFERROR(INDEX(样本到样信息汇总统计!H$2:H$500,MATCH(50,样本到样信息汇总统计!$AC$2:$AC$500,0)),"")</f>
        <v/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ht="21.75" customHeight="1" spans="1:24">
      <c r="A52" s="4" t="str">
        <f>IFERROR(INDEX(样本到样信息汇总统计!A$2:A$500,MATCH(51,样本到样信息汇总统计!$AC$2:$AC$500,0)),"")</f>
        <v/>
      </c>
      <c r="B52" s="4" t="str">
        <f>IFERROR(INDEX(样本到样信息汇总统计!B$2:B$500,MATCH(51,样本到样信息汇总统计!$AC$2:$AC$500,0)),"")</f>
        <v/>
      </c>
      <c r="C52" s="4" t="str">
        <f>IFERROR(INDEX(样本到样信息汇总统计!C$2:C$500,MATCH(51,样本到样信息汇总统计!$AC$2:$AC$500,0)),"")</f>
        <v/>
      </c>
      <c r="D52" s="4" t="str">
        <f>IFERROR(INDEX(样本到样信息汇总统计!D$2:D$500,MATCH(51,样本到样信息汇总统计!$AC$2:$AC$500,0)),"")</f>
        <v/>
      </c>
      <c r="E52" s="4" t="str">
        <f>IFERROR(INDEX(样本到样信息汇总统计!E$2:E$500,MATCH(51,样本到样信息汇总统计!$AC$2:$AC$500,0)),"")</f>
        <v/>
      </c>
      <c r="F52" s="4" t="str">
        <f>IFERROR(INDEX(样本到样信息汇总统计!F$2:F$500,MATCH(51,样本到样信息汇总统计!$AC$2:$AC$500,0)),"")</f>
        <v/>
      </c>
      <c r="G52" s="4" t="str">
        <f>IFERROR(INDEX(样本到样信息汇总统计!G$2:G$500,MATCH(51,样本到样信息汇总统计!$AC$2:$AC$500,0)),"")</f>
        <v/>
      </c>
      <c r="H52" s="4" t="str">
        <f>IFERROR(INDEX(样本到样信息汇总统计!H$2:H$500,MATCH(51,样本到样信息汇总统计!$AC$2:$AC$500,0)),"")</f>
        <v/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21.75" customHeight="1" spans="1:24">
      <c r="A53" s="8" t="str">
        <f>IFERROR(INDEX(样本到样信息汇总统计!A$2:A$500,MATCH(52,样本到样信息汇总统计!$AC$2:$AC$500,0)),"")</f>
        <v/>
      </c>
      <c r="B53" s="8" t="str">
        <f>IFERROR(INDEX(样本到样信息汇总统计!B$2:B$500,MATCH(52,样本到样信息汇总统计!$AC$2:$AC$500,0)),"")</f>
        <v/>
      </c>
      <c r="C53" s="8" t="str">
        <f>IFERROR(INDEX(样本到样信息汇总统计!C$2:C$500,MATCH(52,样本到样信息汇总统计!$AC$2:$AC$500,0)),"")</f>
        <v/>
      </c>
      <c r="D53" s="8" t="str">
        <f>IFERROR(INDEX(样本到样信息汇总统计!D$2:D$500,MATCH(52,样本到样信息汇总统计!$AC$2:$AC$500,0)),"")</f>
        <v/>
      </c>
      <c r="E53" s="8" t="str">
        <f>IFERROR(INDEX(样本到样信息汇总统计!E$2:E$500,MATCH(52,样本到样信息汇总统计!$AC$2:$AC$500,0)),"")</f>
        <v/>
      </c>
      <c r="F53" s="8" t="str">
        <f>IFERROR(INDEX(样本到样信息汇总统计!F$2:F$500,MATCH(52,样本到样信息汇总统计!$AC$2:$AC$500,0)),"")</f>
        <v/>
      </c>
      <c r="G53" s="8" t="str">
        <f>IFERROR(INDEX(样本到样信息汇总统计!G$2:G$500,MATCH(52,样本到样信息汇总统计!$AC$2:$AC$500,0)),"")</f>
        <v/>
      </c>
      <c r="H53" s="8" t="str">
        <f>IFERROR(INDEX(样本到样信息汇总统计!H$2:H$500,MATCH(52,样本到样信息汇总统计!$AC$2:$AC$500,0)),"")</f>
        <v/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ht="21.75" customHeight="1" spans="1:24">
      <c r="A54" s="4" t="str">
        <f>IFERROR(INDEX(样本到样信息汇总统计!A$2:A$500,MATCH(53,样本到样信息汇总统计!$AC$2:$AC$500,0)),"")</f>
        <v/>
      </c>
      <c r="B54" s="4" t="str">
        <f>IFERROR(INDEX(样本到样信息汇总统计!B$2:B$500,MATCH(53,样本到样信息汇总统计!$AC$2:$AC$500,0)),"")</f>
        <v/>
      </c>
      <c r="C54" s="4" t="str">
        <f>IFERROR(INDEX(样本到样信息汇总统计!C$2:C$500,MATCH(53,样本到样信息汇总统计!$AC$2:$AC$500,0)),"")</f>
        <v/>
      </c>
      <c r="D54" s="4" t="str">
        <f>IFERROR(INDEX(样本到样信息汇总统计!D$2:D$500,MATCH(53,样本到样信息汇总统计!$AC$2:$AC$500,0)),"")</f>
        <v/>
      </c>
      <c r="E54" s="4" t="str">
        <f>IFERROR(INDEX(样本到样信息汇总统计!E$2:E$500,MATCH(53,样本到样信息汇总统计!$AC$2:$AC$500,0)),"")</f>
        <v/>
      </c>
      <c r="F54" s="4" t="str">
        <f>IFERROR(INDEX(样本到样信息汇总统计!F$2:F$500,MATCH(53,样本到样信息汇总统计!$AC$2:$AC$500,0)),"")</f>
        <v/>
      </c>
      <c r="G54" s="4" t="str">
        <f>IFERROR(INDEX(样本到样信息汇总统计!G$2:G$500,MATCH(53,样本到样信息汇总统计!$AC$2:$AC$500,0)),"")</f>
        <v/>
      </c>
      <c r="H54" s="4" t="str">
        <f>IFERROR(INDEX(样本到样信息汇总统计!H$2:H$500,MATCH(53,样本到样信息汇总统计!$AC$2:$AC$500,0)),"")</f>
        <v/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21.75" customHeight="1" spans="1:24">
      <c r="A55" s="8" t="str">
        <f>IFERROR(INDEX(样本到样信息汇总统计!A$2:A$500,MATCH(54,样本到样信息汇总统计!$AC$2:$AC$500,0)),"")</f>
        <v/>
      </c>
      <c r="B55" s="8" t="str">
        <f>IFERROR(INDEX(样本到样信息汇总统计!B$2:B$500,MATCH(54,样本到样信息汇总统计!$AC$2:$AC$500,0)),"")</f>
        <v/>
      </c>
      <c r="C55" s="8" t="str">
        <f>IFERROR(INDEX(样本到样信息汇总统计!C$2:C$500,MATCH(54,样本到样信息汇总统计!$AC$2:$AC$500,0)),"")</f>
        <v/>
      </c>
      <c r="D55" s="8" t="str">
        <f>IFERROR(INDEX(样本到样信息汇总统计!D$2:D$500,MATCH(54,样本到样信息汇总统计!$AC$2:$AC$500,0)),"")</f>
        <v/>
      </c>
      <c r="E55" s="8" t="str">
        <f>IFERROR(INDEX(样本到样信息汇总统计!E$2:E$500,MATCH(54,样本到样信息汇总统计!$AC$2:$AC$500,0)),"")</f>
        <v/>
      </c>
      <c r="F55" s="8" t="str">
        <f>IFERROR(INDEX(样本到样信息汇总统计!F$2:F$500,MATCH(54,样本到样信息汇总统计!$AC$2:$AC$500,0)),"")</f>
        <v/>
      </c>
      <c r="G55" s="8" t="str">
        <f>IFERROR(INDEX(样本到样信息汇总统计!G$2:G$500,MATCH(54,样本到样信息汇总统计!$AC$2:$AC$500,0)),"")</f>
        <v/>
      </c>
      <c r="H55" s="8" t="str">
        <f>IFERROR(INDEX(样本到样信息汇总统计!H$2:H$500,MATCH(54,样本到样信息汇总统计!$AC$2:$AC$500,0)),"")</f>
        <v/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ht="21.75" customHeight="1" spans="1:24">
      <c r="A56" s="4" t="str">
        <f>IFERROR(INDEX(样本到样信息汇总统计!A$2:A$500,MATCH(55,样本到样信息汇总统计!$AC$2:$AC$500,0)),"")</f>
        <v/>
      </c>
      <c r="B56" s="4" t="str">
        <f>IFERROR(INDEX(样本到样信息汇总统计!B$2:B$500,MATCH(55,样本到样信息汇总统计!$AC$2:$AC$500,0)),"")</f>
        <v/>
      </c>
      <c r="C56" s="4" t="str">
        <f>IFERROR(INDEX(样本到样信息汇总统计!C$2:C$500,MATCH(55,样本到样信息汇总统计!$AC$2:$AC$500,0)),"")</f>
        <v/>
      </c>
      <c r="D56" s="4" t="str">
        <f>IFERROR(INDEX(样本到样信息汇总统计!D$2:D$500,MATCH(55,样本到样信息汇总统计!$AC$2:$AC$500,0)),"")</f>
        <v/>
      </c>
      <c r="E56" s="4" t="str">
        <f>IFERROR(INDEX(样本到样信息汇总统计!E$2:E$500,MATCH(55,样本到样信息汇总统计!$AC$2:$AC$500,0)),"")</f>
        <v/>
      </c>
      <c r="F56" s="4" t="str">
        <f>IFERROR(INDEX(样本到样信息汇总统计!F$2:F$500,MATCH(55,样本到样信息汇总统计!$AC$2:$AC$500,0)),"")</f>
        <v/>
      </c>
      <c r="G56" s="4" t="str">
        <f>IFERROR(INDEX(样本到样信息汇总统计!G$2:G$500,MATCH(55,样本到样信息汇总统计!$AC$2:$AC$500,0)),"")</f>
        <v/>
      </c>
      <c r="H56" s="4" t="str">
        <f>IFERROR(INDEX(样本到样信息汇总统计!H$2:H$500,MATCH(55,样本到样信息汇总统计!$AC$2:$AC$500,0)),"")</f>
        <v/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21.75" customHeight="1" spans="1:24">
      <c r="A57" s="8" t="str">
        <f>IFERROR(INDEX(样本到样信息汇总统计!A$2:A$500,MATCH(56,样本到样信息汇总统计!$AC$2:$AC$500,0)),"")</f>
        <v/>
      </c>
      <c r="B57" s="8" t="str">
        <f>IFERROR(INDEX(样本到样信息汇总统计!B$2:B$500,MATCH(56,样本到样信息汇总统计!$AC$2:$AC$500,0)),"")</f>
        <v/>
      </c>
      <c r="C57" s="8" t="str">
        <f>IFERROR(INDEX(样本到样信息汇总统计!C$2:C$500,MATCH(56,样本到样信息汇总统计!$AC$2:$AC$500,0)),"")</f>
        <v/>
      </c>
      <c r="D57" s="8" t="str">
        <f>IFERROR(INDEX(样本到样信息汇总统计!D$2:D$500,MATCH(56,样本到样信息汇总统计!$AC$2:$AC$500,0)),"")</f>
        <v/>
      </c>
      <c r="E57" s="8" t="str">
        <f>IFERROR(INDEX(样本到样信息汇总统计!E$2:E$500,MATCH(56,样本到样信息汇总统计!$AC$2:$AC$500,0)),"")</f>
        <v/>
      </c>
      <c r="F57" s="8" t="str">
        <f>IFERROR(INDEX(样本到样信息汇总统计!F$2:F$500,MATCH(56,样本到样信息汇总统计!$AC$2:$AC$500,0)),"")</f>
        <v/>
      </c>
      <c r="G57" s="8" t="str">
        <f>IFERROR(INDEX(样本到样信息汇总统计!G$2:G$500,MATCH(56,样本到样信息汇总统计!$AC$2:$AC$500,0)),"")</f>
        <v/>
      </c>
      <c r="H57" s="8" t="str">
        <f>IFERROR(INDEX(样本到样信息汇总统计!H$2:H$500,MATCH(56,样本到样信息汇总统计!$AC$2:$AC$500,0)),"")</f>
        <v/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ht="21.75" customHeight="1" spans="1:24">
      <c r="A58" s="4" t="str">
        <f>IFERROR(INDEX(样本到样信息汇总统计!A$2:A$500,MATCH(57,样本到样信息汇总统计!$AC$2:$AC$500,0)),"")</f>
        <v/>
      </c>
      <c r="B58" s="4" t="str">
        <f>IFERROR(INDEX(样本到样信息汇总统计!B$2:B$500,MATCH(57,样本到样信息汇总统计!$AC$2:$AC$500,0)),"")</f>
        <v/>
      </c>
      <c r="C58" s="4" t="str">
        <f>IFERROR(INDEX(样本到样信息汇总统计!C$2:C$500,MATCH(57,样本到样信息汇总统计!$AC$2:$AC$500,0)),"")</f>
        <v/>
      </c>
      <c r="D58" s="4" t="str">
        <f>IFERROR(INDEX(样本到样信息汇总统计!D$2:D$500,MATCH(57,样本到样信息汇总统计!$AC$2:$AC$500,0)),"")</f>
        <v/>
      </c>
      <c r="E58" s="4" t="str">
        <f>IFERROR(INDEX(样本到样信息汇总统计!E$2:E$500,MATCH(57,样本到样信息汇总统计!$AC$2:$AC$500,0)),"")</f>
        <v/>
      </c>
      <c r="F58" s="4" t="str">
        <f>IFERROR(INDEX(样本到样信息汇总统计!F$2:F$500,MATCH(57,样本到样信息汇总统计!$AC$2:$AC$500,0)),"")</f>
        <v/>
      </c>
      <c r="G58" s="4" t="str">
        <f>IFERROR(INDEX(样本到样信息汇总统计!G$2:G$500,MATCH(57,样本到样信息汇总统计!$AC$2:$AC$500,0)),"")</f>
        <v/>
      </c>
      <c r="H58" s="4" t="str">
        <f>IFERROR(INDEX(样本到样信息汇总统计!H$2:H$500,MATCH(57,样本到样信息汇总统计!$AC$2:$AC$500,0)),"")</f>
        <v/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21.75" customHeight="1" spans="1:24">
      <c r="A59" s="8" t="str">
        <f>IFERROR(INDEX(样本到样信息汇总统计!A$2:A$500,MATCH(58,样本到样信息汇总统计!$AC$2:$AC$500,0)),"")</f>
        <v/>
      </c>
      <c r="B59" s="8" t="str">
        <f>IFERROR(INDEX(样本到样信息汇总统计!B$2:B$500,MATCH(58,样本到样信息汇总统计!$AC$2:$AC$500,0)),"")</f>
        <v/>
      </c>
      <c r="C59" s="8" t="str">
        <f>IFERROR(INDEX(样本到样信息汇总统计!C$2:C$500,MATCH(58,样本到样信息汇总统计!$AC$2:$AC$500,0)),"")</f>
        <v/>
      </c>
      <c r="D59" s="8" t="str">
        <f>IFERROR(INDEX(样本到样信息汇总统计!D$2:D$500,MATCH(58,样本到样信息汇总统计!$AC$2:$AC$500,0)),"")</f>
        <v/>
      </c>
      <c r="E59" s="8" t="str">
        <f>IFERROR(INDEX(样本到样信息汇总统计!E$2:E$500,MATCH(58,样本到样信息汇总统计!$AC$2:$AC$500,0)),"")</f>
        <v/>
      </c>
      <c r="F59" s="8" t="str">
        <f>IFERROR(INDEX(样本到样信息汇总统计!F$2:F$500,MATCH(58,样本到样信息汇总统计!$AC$2:$AC$500,0)),"")</f>
        <v/>
      </c>
      <c r="G59" s="8" t="str">
        <f>IFERROR(INDEX(样本到样信息汇总统计!G$2:G$500,MATCH(58,样本到样信息汇总统计!$AC$2:$AC$500,0)),"")</f>
        <v/>
      </c>
      <c r="H59" s="8" t="str">
        <f>IFERROR(INDEX(样本到样信息汇总统计!H$2:H$500,MATCH(58,样本到样信息汇总统计!$AC$2:$AC$500,0)),"")</f>
        <v/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ht="21.75" customHeight="1" spans="1:24">
      <c r="A60" s="4" t="str">
        <f>IFERROR(INDEX(样本到样信息汇总统计!A$2:A$500,MATCH(59,样本到样信息汇总统计!$AC$2:$AC$500,0)),"")</f>
        <v/>
      </c>
      <c r="B60" s="4" t="str">
        <f>IFERROR(INDEX(样本到样信息汇总统计!B$2:B$500,MATCH(59,样本到样信息汇总统计!$AC$2:$AC$500,0)),"")</f>
        <v/>
      </c>
      <c r="C60" s="4" t="str">
        <f>IFERROR(INDEX(样本到样信息汇总统计!C$2:C$500,MATCH(59,样本到样信息汇总统计!$AC$2:$AC$500,0)),"")</f>
        <v/>
      </c>
      <c r="D60" s="4" t="str">
        <f>IFERROR(INDEX(样本到样信息汇总统计!D$2:D$500,MATCH(59,样本到样信息汇总统计!$AC$2:$AC$500,0)),"")</f>
        <v/>
      </c>
      <c r="E60" s="4" t="str">
        <f>IFERROR(INDEX(样本到样信息汇总统计!E$2:E$500,MATCH(59,样本到样信息汇总统计!$AC$2:$AC$500,0)),"")</f>
        <v/>
      </c>
      <c r="F60" s="4" t="str">
        <f>IFERROR(INDEX(样本到样信息汇总统计!F$2:F$500,MATCH(59,样本到样信息汇总统计!$AC$2:$AC$500,0)),"")</f>
        <v/>
      </c>
      <c r="G60" s="4" t="str">
        <f>IFERROR(INDEX(样本到样信息汇总统计!G$2:G$500,MATCH(59,样本到样信息汇总统计!$AC$2:$AC$500,0)),"")</f>
        <v/>
      </c>
      <c r="H60" s="4" t="str">
        <f>IFERROR(INDEX(样本到样信息汇总统计!H$2:H$500,MATCH(59,样本到样信息汇总统计!$AC$2:$AC$500,0)),"")</f>
        <v/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21.75" customHeight="1" spans="1:24">
      <c r="A61" s="8" t="str">
        <f>IFERROR(INDEX(样本到样信息汇总统计!A$2:A$500,MATCH(60,样本到样信息汇总统计!$AC$2:$AC$500,0)),"")</f>
        <v/>
      </c>
      <c r="B61" s="8" t="str">
        <f>IFERROR(INDEX(样本到样信息汇总统计!B$2:B$500,MATCH(60,样本到样信息汇总统计!$AC$2:$AC$500,0)),"")</f>
        <v/>
      </c>
      <c r="C61" s="8" t="str">
        <f>IFERROR(INDEX(样本到样信息汇总统计!C$2:C$500,MATCH(60,样本到样信息汇总统计!$AC$2:$AC$500,0)),"")</f>
        <v/>
      </c>
      <c r="D61" s="8" t="str">
        <f>IFERROR(INDEX(样本到样信息汇总统计!D$2:D$500,MATCH(60,样本到样信息汇总统计!$AC$2:$AC$500,0)),"")</f>
        <v/>
      </c>
      <c r="E61" s="8" t="str">
        <f>IFERROR(INDEX(样本到样信息汇总统计!E$2:E$500,MATCH(60,样本到样信息汇总统计!$AC$2:$AC$500,0)),"")</f>
        <v/>
      </c>
      <c r="F61" s="8" t="str">
        <f>IFERROR(INDEX(样本到样信息汇总统计!F$2:F$500,MATCH(60,样本到样信息汇总统计!$AC$2:$AC$500,0)),"")</f>
        <v/>
      </c>
      <c r="G61" s="8" t="str">
        <f>IFERROR(INDEX(样本到样信息汇总统计!G$2:G$500,MATCH(60,样本到样信息汇总统计!$AC$2:$AC$500,0)),"")</f>
        <v/>
      </c>
      <c r="H61" s="8" t="str">
        <f>IFERROR(INDEX(样本到样信息汇总统计!H$2:H$500,MATCH(60,样本到样信息汇总统计!$AC$2:$AC$500,0)),"")</f>
        <v/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ht="21.75" customHeight="1" spans="1:24">
      <c r="A62" s="4" t="str">
        <f>IFERROR(INDEX(样本到样信息汇总统计!A$2:A$500,MATCH(61,样本到样信息汇总统计!$AC$2:$AC$500,0)),"")</f>
        <v/>
      </c>
      <c r="B62" s="4" t="str">
        <f>IFERROR(INDEX(样本到样信息汇总统计!B$2:B$500,MATCH(61,样本到样信息汇总统计!$AC$2:$AC$500,0)),"")</f>
        <v/>
      </c>
      <c r="C62" s="4" t="str">
        <f>IFERROR(INDEX(样本到样信息汇总统计!C$2:C$500,MATCH(61,样本到样信息汇总统计!$AC$2:$AC$500,0)),"")</f>
        <v/>
      </c>
      <c r="D62" s="4" t="str">
        <f>IFERROR(INDEX(样本到样信息汇总统计!D$2:D$500,MATCH(61,样本到样信息汇总统计!$AC$2:$AC$500,0)),"")</f>
        <v/>
      </c>
      <c r="E62" s="4" t="str">
        <f>IFERROR(INDEX(样本到样信息汇总统计!E$2:E$500,MATCH(61,样本到样信息汇总统计!$AC$2:$AC$500,0)),"")</f>
        <v/>
      </c>
      <c r="F62" s="4" t="str">
        <f>IFERROR(INDEX(样本到样信息汇总统计!F$2:F$500,MATCH(61,样本到样信息汇总统计!$AC$2:$AC$500,0)),"")</f>
        <v/>
      </c>
      <c r="G62" s="4" t="str">
        <f>IFERROR(INDEX(样本到样信息汇总统计!G$2:G$500,MATCH(61,样本到样信息汇总统计!$AC$2:$AC$500,0)),"")</f>
        <v/>
      </c>
      <c r="H62" s="4" t="str">
        <f>IFERROR(INDEX(样本到样信息汇总统计!H$2:H$500,MATCH(61,样本到样信息汇总统计!$AC$2:$AC$500,0)),"")</f>
        <v/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21.75" customHeight="1" spans="1:24">
      <c r="A63" s="8" t="str">
        <f>IFERROR(INDEX(样本到样信息汇总统计!A$2:A$500,MATCH(62,样本到样信息汇总统计!$AC$2:$AC$500,0)),"")</f>
        <v/>
      </c>
      <c r="B63" s="8" t="str">
        <f>IFERROR(INDEX(样本到样信息汇总统计!B$2:B$500,MATCH(62,样本到样信息汇总统计!$AC$2:$AC$500,0)),"")</f>
        <v/>
      </c>
      <c r="C63" s="8" t="str">
        <f>IFERROR(INDEX(样本到样信息汇总统计!C$2:C$500,MATCH(62,样本到样信息汇总统计!$AC$2:$AC$500,0)),"")</f>
        <v/>
      </c>
      <c r="D63" s="8" t="str">
        <f>IFERROR(INDEX(样本到样信息汇总统计!D$2:D$500,MATCH(62,样本到样信息汇总统计!$AC$2:$AC$500,0)),"")</f>
        <v/>
      </c>
      <c r="E63" s="8" t="str">
        <f>IFERROR(INDEX(样本到样信息汇总统计!E$2:E$500,MATCH(62,样本到样信息汇总统计!$AC$2:$AC$500,0)),"")</f>
        <v/>
      </c>
      <c r="F63" s="8" t="str">
        <f>IFERROR(INDEX(样本到样信息汇总统计!F$2:F$500,MATCH(62,样本到样信息汇总统计!$AC$2:$AC$500,0)),"")</f>
        <v/>
      </c>
      <c r="G63" s="8" t="str">
        <f>IFERROR(INDEX(样本到样信息汇总统计!G$2:G$500,MATCH(62,样本到样信息汇总统计!$AC$2:$AC$500,0)),"")</f>
        <v/>
      </c>
      <c r="H63" s="8" t="str">
        <f>IFERROR(INDEX(样本到样信息汇总统计!H$2:H$500,MATCH(62,样本到样信息汇总统计!$AC$2:$AC$500,0)),"")</f>
        <v/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ht="21.75" customHeight="1" spans="1:24">
      <c r="A64" s="4" t="str">
        <f>IFERROR(INDEX(样本到样信息汇总统计!A$2:A$500,MATCH(63,样本到样信息汇总统计!$AC$2:$AC$500,0)),"")</f>
        <v/>
      </c>
      <c r="B64" s="4" t="str">
        <f>IFERROR(INDEX(样本到样信息汇总统计!B$2:B$500,MATCH(63,样本到样信息汇总统计!$AC$2:$AC$500,0)),"")</f>
        <v/>
      </c>
      <c r="C64" s="4" t="str">
        <f>IFERROR(INDEX(样本到样信息汇总统计!C$2:C$500,MATCH(63,样本到样信息汇总统计!$AC$2:$AC$500,0)),"")</f>
        <v/>
      </c>
      <c r="D64" s="4" t="str">
        <f>IFERROR(INDEX(样本到样信息汇总统计!D$2:D$500,MATCH(63,样本到样信息汇总统计!$AC$2:$AC$500,0)),"")</f>
        <v/>
      </c>
      <c r="E64" s="4" t="str">
        <f>IFERROR(INDEX(样本到样信息汇总统计!E$2:E$500,MATCH(63,样本到样信息汇总统计!$AC$2:$AC$500,0)),"")</f>
        <v/>
      </c>
      <c r="F64" s="4" t="str">
        <f>IFERROR(INDEX(样本到样信息汇总统计!F$2:F$500,MATCH(63,样本到样信息汇总统计!$AC$2:$AC$500,0)),"")</f>
        <v/>
      </c>
      <c r="G64" s="4" t="str">
        <f>IFERROR(INDEX(样本到样信息汇总统计!G$2:G$500,MATCH(63,样本到样信息汇总统计!$AC$2:$AC$500,0)),"")</f>
        <v/>
      </c>
      <c r="H64" s="4" t="str">
        <f>IFERROR(INDEX(样本到样信息汇总统计!H$2:H$500,MATCH(63,样本到样信息汇总统计!$AC$2:$AC$500,0)),"")</f>
        <v/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21.75" customHeight="1" spans="1:24">
      <c r="A65" s="8" t="str">
        <f>IFERROR(INDEX(样本到样信息汇总统计!A$2:A$500,MATCH(64,样本到样信息汇总统计!$AC$2:$AC$500,0)),"")</f>
        <v/>
      </c>
      <c r="B65" s="8" t="str">
        <f>IFERROR(INDEX(样本到样信息汇总统计!B$2:B$500,MATCH(64,样本到样信息汇总统计!$AC$2:$AC$500,0)),"")</f>
        <v/>
      </c>
      <c r="C65" s="8" t="str">
        <f>IFERROR(INDEX(样本到样信息汇总统计!C$2:C$500,MATCH(64,样本到样信息汇总统计!$AC$2:$AC$500,0)),"")</f>
        <v/>
      </c>
      <c r="D65" s="8" t="str">
        <f>IFERROR(INDEX(样本到样信息汇总统计!D$2:D$500,MATCH(64,样本到样信息汇总统计!$AC$2:$AC$500,0)),"")</f>
        <v/>
      </c>
      <c r="E65" s="8" t="str">
        <f>IFERROR(INDEX(样本到样信息汇总统计!E$2:E$500,MATCH(64,样本到样信息汇总统计!$AC$2:$AC$500,0)),"")</f>
        <v/>
      </c>
      <c r="F65" s="8" t="str">
        <f>IFERROR(INDEX(样本到样信息汇总统计!F$2:F$500,MATCH(64,样本到样信息汇总统计!$AC$2:$AC$500,0)),"")</f>
        <v/>
      </c>
      <c r="G65" s="8" t="str">
        <f>IFERROR(INDEX(样本到样信息汇总统计!G$2:G$500,MATCH(64,样本到样信息汇总统计!$AC$2:$AC$500,0)),"")</f>
        <v/>
      </c>
      <c r="H65" s="8" t="str">
        <f>IFERROR(INDEX(样本到样信息汇总统计!H$2:H$500,MATCH(64,样本到样信息汇总统计!$AC$2:$AC$500,0)),"")</f>
        <v/>
      </c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ht="21.75" customHeight="1" spans="1:24">
      <c r="A66" s="4" t="str">
        <f>IFERROR(INDEX(样本到样信息汇总统计!A$2:A$500,MATCH(65,样本到样信息汇总统计!$AC$2:$AC$500,0)),"")</f>
        <v/>
      </c>
      <c r="B66" s="4" t="str">
        <f>IFERROR(INDEX(样本到样信息汇总统计!B$2:B$500,MATCH(65,样本到样信息汇总统计!$AC$2:$AC$500,0)),"")</f>
        <v/>
      </c>
      <c r="C66" s="4" t="str">
        <f>IFERROR(INDEX(样本到样信息汇总统计!C$2:C$500,MATCH(65,样本到样信息汇总统计!$AC$2:$AC$500,0)),"")</f>
        <v/>
      </c>
      <c r="D66" s="4" t="str">
        <f>IFERROR(INDEX(样本到样信息汇总统计!D$2:D$500,MATCH(65,样本到样信息汇总统计!$AC$2:$AC$500,0)),"")</f>
        <v/>
      </c>
      <c r="E66" s="4" t="str">
        <f>IFERROR(INDEX(样本到样信息汇总统计!E$2:E$500,MATCH(65,样本到样信息汇总统计!$AC$2:$AC$500,0)),"")</f>
        <v/>
      </c>
      <c r="F66" s="4" t="str">
        <f>IFERROR(INDEX(样本到样信息汇总统计!F$2:F$500,MATCH(65,样本到样信息汇总统计!$AC$2:$AC$500,0)),"")</f>
        <v/>
      </c>
      <c r="G66" s="4" t="str">
        <f>IFERROR(INDEX(样本到样信息汇总统计!G$2:G$500,MATCH(65,样本到样信息汇总统计!$AC$2:$AC$500,0)),"")</f>
        <v/>
      </c>
      <c r="H66" s="4" t="str">
        <f>IFERROR(INDEX(样本到样信息汇总统计!H$2:H$500,MATCH(65,样本到样信息汇总统计!$AC$2:$AC$500,0)),"")</f>
        <v/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21.75" customHeight="1" spans="1:24">
      <c r="A67" s="8" t="str">
        <f>IFERROR(INDEX(样本到样信息汇总统计!A$2:A$500,MATCH(66,样本到样信息汇总统计!$AC$2:$AC$500,0)),"")</f>
        <v/>
      </c>
      <c r="B67" s="8" t="str">
        <f>IFERROR(INDEX(样本到样信息汇总统计!B$2:B$500,MATCH(66,样本到样信息汇总统计!$AC$2:$AC$500,0)),"")</f>
        <v/>
      </c>
      <c r="C67" s="8" t="str">
        <f>IFERROR(INDEX(样本到样信息汇总统计!C$2:C$500,MATCH(66,样本到样信息汇总统计!$AC$2:$AC$500,0)),"")</f>
        <v/>
      </c>
      <c r="D67" s="8" t="str">
        <f>IFERROR(INDEX(样本到样信息汇总统计!D$2:D$500,MATCH(66,样本到样信息汇总统计!$AC$2:$AC$500,0)),"")</f>
        <v/>
      </c>
      <c r="E67" s="8" t="str">
        <f>IFERROR(INDEX(样本到样信息汇总统计!E$2:E$500,MATCH(66,样本到样信息汇总统计!$AC$2:$AC$500,0)),"")</f>
        <v/>
      </c>
      <c r="F67" s="8" t="str">
        <f>IFERROR(INDEX(样本到样信息汇总统计!F$2:F$500,MATCH(66,样本到样信息汇总统计!$AC$2:$AC$500,0)),"")</f>
        <v/>
      </c>
      <c r="G67" s="8" t="str">
        <f>IFERROR(INDEX(样本到样信息汇总统计!G$2:G$500,MATCH(66,样本到样信息汇总统计!$AC$2:$AC$500,0)),"")</f>
        <v/>
      </c>
      <c r="H67" s="8" t="str">
        <f>IFERROR(INDEX(样本到样信息汇总统计!H$2:H$500,MATCH(66,样本到样信息汇总统计!$AC$2:$AC$500,0)),"")</f>
        <v/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ht="21.75" customHeight="1" spans="1:24">
      <c r="A68" s="4" t="str">
        <f>IFERROR(INDEX(样本到样信息汇总统计!A$2:A$500,MATCH(67,样本到样信息汇总统计!$AC$2:$AC$500,0)),"")</f>
        <v/>
      </c>
      <c r="B68" s="4" t="str">
        <f>IFERROR(INDEX(样本到样信息汇总统计!B$2:B$500,MATCH(67,样本到样信息汇总统计!$AC$2:$AC$500,0)),"")</f>
        <v/>
      </c>
      <c r="C68" s="4" t="str">
        <f>IFERROR(INDEX(样本到样信息汇总统计!C$2:C$500,MATCH(67,样本到样信息汇总统计!$AC$2:$AC$500,0)),"")</f>
        <v/>
      </c>
      <c r="D68" s="4" t="str">
        <f>IFERROR(INDEX(样本到样信息汇总统计!D$2:D$500,MATCH(67,样本到样信息汇总统计!$AC$2:$AC$500,0)),"")</f>
        <v/>
      </c>
      <c r="E68" s="4" t="str">
        <f>IFERROR(INDEX(样本到样信息汇总统计!E$2:E$500,MATCH(67,样本到样信息汇总统计!$AC$2:$AC$500,0)),"")</f>
        <v/>
      </c>
      <c r="F68" s="4" t="str">
        <f>IFERROR(INDEX(样本到样信息汇总统计!F$2:F$500,MATCH(67,样本到样信息汇总统计!$AC$2:$AC$500,0)),"")</f>
        <v/>
      </c>
      <c r="G68" s="4" t="str">
        <f>IFERROR(INDEX(样本到样信息汇总统计!G$2:G$500,MATCH(67,样本到样信息汇总统计!$AC$2:$AC$500,0)),"")</f>
        <v/>
      </c>
      <c r="H68" s="4" t="str">
        <f>IFERROR(INDEX(样本到样信息汇总统计!H$2:H$500,MATCH(67,样本到样信息汇总统计!$AC$2:$AC$500,0)),"")</f>
        <v/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21.75" customHeight="1" spans="1:24">
      <c r="A69" s="8" t="str">
        <f>IFERROR(INDEX(样本到样信息汇总统计!A$2:A$500,MATCH(68,样本到样信息汇总统计!$AC$2:$AC$500,0)),"")</f>
        <v/>
      </c>
      <c r="B69" s="8" t="str">
        <f>IFERROR(INDEX(样本到样信息汇总统计!B$2:B$500,MATCH(68,样本到样信息汇总统计!$AC$2:$AC$500,0)),"")</f>
        <v/>
      </c>
      <c r="C69" s="8" t="str">
        <f>IFERROR(INDEX(样本到样信息汇总统计!C$2:C$500,MATCH(68,样本到样信息汇总统计!$AC$2:$AC$500,0)),"")</f>
        <v/>
      </c>
      <c r="D69" s="8" t="str">
        <f>IFERROR(INDEX(样本到样信息汇总统计!D$2:D$500,MATCH(68,样本到样信息汇总统计!$AC$2:$AC$500,0)),"")</f>
        <v/>
      </c>
      <c r="E69" s="8" t="str">
        <f>IFERROR(INDEX(样本到样信息汇总统计!E$2:E$500,MATCH(68,样本到样信息汇总统计!$AC$2:$AC$500,0)),"")</f>
        <v/>
      </c>
      <c r="F69" s="8" t="str">
        <f>IFERROR(INDEX(样本到样信息汇总统计!F$2:F$500,MATCH(68,样本到样信息汇总统计!$AC$2:$AC$500,0)),"")</f>
        <v/>
      </c>
      <c r="G69" s="8" t="str">
        <f>IFERROR(INDEX(样本到样信息汇总统计!G$2:G$500,MATCH(68,样本到样信息汇总统计!$AC$2:$AC$500,0)),"")</f>
        <v/>
      </c>
      <c r="H69" s="8" t="str">
        <f>IFERROR(INDEX(样本到样信息汇总统计!H$2:H$500,MATCH(68,样本到样信息汇总统计!$AC$2:$AC$500,0)),"")</f>
        <v/>
      </c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ht="21.75" customHeight="1" spans="1:24">
      <c r="A70" s="4" t="str">
        <f>IFERROR(INDEX(样本到样信息汇总统计!A$2:A$500,MATCH(69,样本到样信息汇总统计!$AC$2:$AC$500,0)),"")</f>
        <v/>
      </c>
      <c r="B70" s="4" t="str">
        <f>IFERROR(INDEX(样本到样信息汇总统计!B$2:B$500,MATCH(69,样本到样信息汇总统计!$AC$2:$AC$500,0)),"")</f>
        <v/>
      </c>
      <c r="C70" s="4" t="str">
        <f>IFERROR(INDEX(样本到样信息汇总统计!C$2:C$500,MATCH(69,样本到样信息汇总统计!$AC$2:$AC$500,0)),"")</f>
        <v/>
      </c>
      <c r="D70" s="4" t="str">
        <f>IFERROR(INDEX(样本到样信息汇总统计!D$2:D$500,MATCH(69,样本到样信息汇总统计!$AC$2:$AC$500,0)),"")</f>
        <v/>
      </c>
      <c r="E70" s="4" t="str">
        <f>IFERROR(INDEX(样本到样信息汇总统计!E$2:E$500,MATCH(69,样本到样信息汇总统计!$AC$2:$AC$500,0)),"")</f>
        <v/>
      </c>
      <c r="F70" s="4" t="str">
        <f>IFERROR(INDEX(样本到样信息汇总统计!F$2:F$500,MATCH(69,样本到样信息汇总统计!$AC$2:$AC$500,0)),"")</f>
        <v/>
      </c>
      <c r="G70" s="4" t="str">
        <f>IFERROR(INDEX(样本到样信息汇总统计!G$2:G$500,MATCH(69,样本到样信息汇总统计!$AC$2:$AC$500,0)),"")</f>
        <v/>
      </c>
      <c r="H70" s="4" t="str">
        <f>IFERROR(INDEX(样本到样信息汇总统计!H$2:H$500,MATCH(69,样本到样信息汇总统计!$AC$2:$AC$500,0)),"")</f>
        <v/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21.75" customHeight="1" spans="1:24">
      <c r="A71" s="8" t="str">
        <f>IFERROR(INDEX(样本到样信息汇总统计!A$2:A$500,MATCH(70,样本到样信息汇总统计!$AC$2:$AC$500,0)),"")</f>
        <v/>
      </c>
      <c r="B71" s="8" t="str">
        <f>IFERROR(INDEX(样本到样信息汇总统计!B$2:B$500,MATCH(70,样本到样信息汇总统计!$AC$2:$AC$500,0)),"")</f>
        <v/>
      </c>
      <c r="C71" s="8" t="str">
        <f>IFERROR(INDEX(样本到样信息汇总统计!C$2:C$500,MATCH(70,样本到样信息汇总统计!$AC$2:$AC$500,0)),"")</f>
        <v/>
      </c>
      <c r="D71" s="8" t="str">
        <f>IFERROR(INDEX(样本到样信息汇总统计!D$2:D$500,MATCH(70,样本到样信息汇总统计!$AC$2:$AC$500,0)),"")</f>
        <v/>
      </c>
      <c r="E71" s="8" t="str">
        <f>IFERROR(INDEX(样本到样信息汇总统计!E$2:E$500,MATCH(70,样本到样信息汇总统计!$AC$2:$AC$500,0)),"")</f>
        <v/>
      </c>
      <c r="F71" s="8" t="str">
        <f>IFERROR(INDEX(样本到样信息汇总统计!F$2:F$500,MATCH(70,样本到样信息汇总统计!$AC$2:$AC$500,0)),"")</f>
        <v/>
      </c>
      <c r="G71" s="8" t="str">
        <f>IFERROR(INDEX(样本到样信息汇总统计!G$2:G$500,MATCH(70,样本到样信息汇总统计!$AC$2:$AC$500,0)),"")</f>
        <v/>
      </c>
      <c r="H71" s="8" t="str">
        <f>IFERROR(INDEX(样本到样信息汇总统计!H$2:H$500,MATCH(70,样本到样信息汇总统计!$AC$2:$AC$500,0)),"")</f>
        <v/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ht="21.75" customHeight="1" spans="1:24">
      <c r="A72" s="4" t="str">
        <f>IFERROR(INDEX(样本到样信息汇总统计!A$2:A$500,MATCH(71,样本到样信息汇总统计!$AC$2:$AC$500,0)),"")</f>
        <v/>
      </c>
      <c r="B72" s="4" t="str">
        <f>IFERROR(INDEX(样本到样信息汇总统计!B$2:B$500,MATCH(71,样本到样信息汇总统计!$AC$2:$AC$500,0)),"")</f>
        <v/>
      </c>
      <c r="C72" s="4" t="str">
        <f>IFERROR(INDEX(样本到样信息汇总统计!C$2:C$500,MATCH(71,样本到样信息汇总统计!$AC$2:$AC$500,0)),"")</f>
        <v/>
      </c>
      <c r="D72" s="4" t="str">
        <f>IFERROR(INDEX(样本到样信息汇总统计!D$2:D$500,MATCH(71,样本到样信息汇总统计!$AC$2:$AC$500,0)),"")</f>
        <v/>
      </c>
      <c r="E72" s="4" t="str">
        <f>IFERROR(INDEX(样本到样信息汇总统计!E$2:E$500,MATCH(71,样本到样信息汇总统计!$AC$2:$AC$500,0)),"")</f>
        <v/>
      </c>
      <c r="F72" s="4" t="str">
        <f>IFERROR(INDEX(样本到样信息汇总统计!F$2:F$500,MATCH(71,样本到样信息汇总统计!$AC$2:$AC$500,0)),"")</f>
        <v/>
      </c>
      <c r="G72" s="4" t="str">
        <f>IFERROR(INDEX(样本到样信息汇总统计!G$2:G$500,MATCH(71,样本到样信息汇总统计!$AC$2:$AC$500,0)),"")</f>
        <v/>
      </c>
      <c r="H72" s="4" t="str">
        <f>IFERROR(INDEX(样本到样信息汇总统计!H$2:H$500,MATCH(71,样本到样信息汇总统计!$AC$2:$AC$500,0)),"")</f>
        <v/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21.75" customHeight="1" spans="1:24">
      <c r="A73" s="8" t="str">
        <f>IFERROR(INDEX(样本到样信息汇总统计!A$2:A$500,MATCH(72,样本到样信息汇总统计!$AC$2:$AC$500,0)),"")</f>
        <v/>
      </c>
      <c r="B73" s="8" t="str">
        <f>IFERROR(INDEX(样本到样信息汇总统计!B$2:B$500,MATCH(72,样本到样信息汇总统计!$AC$2:$AC$500,0)),"")</f>
        <v/>
      </c>
      <c r="C73" s="8" t="str">
        <f>IFERROR(INDEX(样本到样信息汇总统计!C$2:C$500,MATCH(72,样本到样信息汇总统计!$AC$2:$AC$500,0)),"")</f>
        <v/>
      </c>
      <c r="D73" s="8" t="str">
        <f>IFERROR(INDEX(样本到样信息汇总统计!D$2:D$500,MATCH(72,样本到样信息汇总统计!$AC$2:$AC$500,0)),"")</f>
        <v/>
      </c>
      <c r="E73" s="8" t="str">
        <f>IFERROR(INDEX(样本到样信息汇总统计!E$2:E$500,MATCH(72,样本到样信息汇总统计!$AC$2:$AC$500,0)),"")</f>
        <v/>
      </c>
      <c r="F73" s="8" t="str">
        <f>IFERROR(INDEX(样本到样信息汇总统计!F$2:F$500,MATCH(72,样本到样信息汇总统计!$AC$2:$AC$500,0)),"")</f>
        <v/>
      </c>
      <c r="G73" s="8" t="str">
        <f>IFERROR(INDEX(样本到样信息汇总统计!G$2:G$500,MATCH(72,样本到样信息汇总统计!$AC$2:$AC$500,0)),"")</f>
        <v/>
      </c>
      <c r="H73" s="8" t="str">
        <f>IFERROR(INDEX(样本到样信息汇总统计!H$2:H$500,MATCH(72,样本到样信息汇总统计!$AC$2:$AC$500,0)),"")</f>
        <v/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ht="21.75" customHeight="1" spans="1:24">
      <c r="A74" s="4" t="str">
        <f>IFERROR(INDEX(样本到样信息汇总统计!A$2:A$500,MATCH(73,样本到样信息汇总统计!$AC$2:$AC$500,0)),"")</f>
        <v/>
      </c>
      <c r="B74" s="4" t="str">
        <f>IFERROR(INDEX(样本到样信息汇总统计!B$2:B$500,MATCH(73,样本到样信息汇总统计!$AC$2:$AC$500,0)),"")</f>
        <v/>
      </c>
      <c r="C74" s="4" t="str">
        <f>IFERROR(INDEX(样本到样信息汇总统计!C$2:C$500,MATCH(73,样本到样信息汇总统计!$AC$2:$AC$500,0)),"")</f>
        <v/>
      </c>
      <c r="D74" s="4" t="str">
        <f>IFERROR(INDEX(样本到样信息汇总统计!D$2:D$500,MATCH(73,样本到样信息汇总统计!$AC$2:$AC$500,0)),"")</f>
        <v/>
      </c>
      <c r="E74" s="4" t="str">
        <f>IFERROR(INDEX(样本到样信息汇总统计!E$2:E$500,MATCH(73,样本到样信息汇总统计!$AC$2:$AC$500,0)),"")</f>
        <v/>
      </c>
      <c r="F74" s="4" t="str">
        <f>IFERROR(INDEX(样本到样信息汇总统计!F$2:F$500,MATCH(73,样本到样信息汇总统计!$AC$2:$AC$500,0)),"")</f>
        <v/>
      </c>
      <c r="G74" s="4" t="str">
        <f>IFERROR(INDEX(样本到样信息汇总统计!G$2:G$500,MATCH(73,样本到样信息汇总统计!$AC$2:$AC$500,0)),"")</f>
        <v/>
      </c>
      <c r="H74" s="4" t="str">
        <f>IFERROR(INDEX(样本到样信息汇总统计!H$2:H$500,MATCH(73,样本到样信息汇总统计!$AC$2:$AC$500,0)),"")</f>
        <v/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21.75" customHeight="1" spans="1:24">
      <c r="A75" s="8" t="str">
        <f>IFERROR(INDEX(样本到样信息汇总统计!A$2:A$500,MATCH(74,样本到样信息汇总统计!$AC$2:$AC$500,0)),"")</f>
        <v/>
      </c>
      <c r="B75" s="8" t="str">
        <f>IFERROR(INDEX(样本到样信息汇总统计!B$2:B$500,MATCH(74,样本到样信息汇总统计!$AC$2:$AC$500,0)),"")</f>
        <v/>
      </c>
      <c r="C75" s="8" t="str">
        <f>IFERROR(INDEX(样本到样信息汇总统计!C$2:C$500,MATCH(74,样本到样信息汇总统计!$AC$2:$AC$500,0)),"")</f>
        <v/>
      </c>
      <c r="D75" s="8" t="str">
        <f>IFERROR(INDEX(样本到样信息汇总统计!D$2:D$500,MATCH(74,样本到样信息汇总统计!$AC$2:$AC$500,0)),"")</f>
        <v/>
      </c>
      <c r="E75" s="8" t="str">
        <f>IFERROR(INDEX(样本到样信息汇总统计!E$2:E$500,MATCH(74,样本到样信息汇总统计!$AC$2:$AC$500,0)),"")</f>
        <v/>
      </c>
      <c r="F75" s="8" t="str">
        <f>IFERROR(INDEX(样本到样信息汇总统计!F$2:F$500,MATCH(74,样本到样信息汇总统计!$AC$2:$AC$500,0)),"")</f>
        <v/>
      </c>
      <c r="G75" s="8" t="str">
        <f>IFERROR(INDEX(样本到样信息汇总统计!G$2:G$500,MATCH(74,样本到样信息汇总统计!$AC$2:$AC$500,0)),"")</f>
        <v/>
      </c>
      <c r="H75" s="8" t="str">
        <f>IFERROR(INDEX(样本到样信息汇总统计!H$2:H$500,MATCH(74,样本到样信息汇总统计!$AC$2:$AC$500,0)),"")</f>
        <v/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ht="21.75" customHeight="1" spans="1:24">
      <c r="A76" s="4" t="str">
        <f>IFERROR(INDEX(样本到样信息汇总统计!A$2:A$500,MATCH(75,样本到样信息汇总统计!$AC$2:$AC$500,0)),"")</f>
        <v/>
      </c>
      <c r="B76" s="4" t="str">
        <f>IFERROR(INDEX(样本到样信息汇总统计!B$2:B$500,MATCH(75,样本到样信息汇总统计!$AC$2:$AC$500,0)),"")</f>
        <v/>
      </c>
      <c r="C76" s="4" t="str">
        <f>IFERROR(INDEX(样本到样信息汇总统计!C$2:C$500,MATCH(75,样本到样信息汇总统计!$AC$2:$AC$500,0)),"")</f>
        <v/>
      </c>
      <c r="D76" s="4" t="str">
        <f>IFERROR(INDEX(样本到样信息汇总统计!D$2:D$500,MATCH(75,样本到样信息汇总统计!$AC$2:$AC$500,0)),"")</f>
        <v/>
      </c>
      <c r="E76" s="4" t="str">
        <f>IFERROR(INDEX(样本到样信息汇总统计!E$2:E$500,MATCH(75,样本到样信息汇总统计!$AC$2:$AC$500,0)),"")</f>
        <v/>
      </c>
      <c r="F76" s="4" t="str">
        <f>IFERROR(INDEX(样本到样信息汇总统计!F$2:F$500,MATCH(75,样本到样信息汇总统计!$AC$2:$AC$500,0)),"")</f>
        <v/>
      </c>
      <c r="G76" s="4" t="str">
        <f>IFERROR(INDEX(样本到样信息汇总统计!G$2:G$500,MATCH(75,样本到样信息汇总统计!$AC$2:$AC$500,0)),"")</f>
        <v/>
      </c>
      <c r="H76" s="4" t="str">
        <f>IFERROR(INDEX(样本到样信息汇总统计!H$2:H$500,MATCH(75,样本到样信息汇总统计!$AC$2:$AC$500,0)),"")</f>
        <v/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21.75" customHeight="1" spans="1:24">
      <c r="A77" s="8" t="str">
        <f>IFERROR(INDEX(样本到样信息汇总统计!A$2:A$500,MATCH(76,样本到样信息汇总统计!$AC$2:$AC$500,0)),"")</f>
        <v/>
      </c>
      <c r="B77" s="8" t="str">
        <f>IFERROR(INDEX(样本到样信息汇总统计!B$2:B$500,MATCH(76,样本到样信息汇总统计!$AC$2:$AC$500,0)),"")</f>
        <v/>
      </c>
      <c r="C77" s="8" t="str">
        <f>IFERROR(INDEX(样本到样信息汇总统计!C$2:C$500,MATCH(76,样本到样信息汇总统计!$AC$2:$AC$500,0)),"")</f>
        <v/>
      </c>
      <c r="D77" s="8" t="str">
        <f>IFERROR(INDEX(样本到样信息汇总统计!D$2:D$500,MATCH(76,样本到样信息汇总统计!$AC$2:$AC$500,0)),"")</f>
        <v/>
      </c>
      <c r="E77" s="8" t="str">
        <f>IFERROR(INDEX(样本到样信息汇总统计!E$2:E$500,MATCH(76,样本到样信息汇总统计!$AC$2:$AC$500,0)),"")</f>
        <v/>
      </c>
      <c r="F77" s="8" t="str">
        <f>IFERROR(INDEX(样本到样信息汇总统计!F$2:F$500,MATCH(76,样本到样信息汇总统计!$AC$2:$AC$500,0)),"")</f>
        <v/>
      </c>
      <c r="G77" s="8" t="str">
        <f>IFERROR(INDEX(样本到样信息汇总统计!G$2:G$500,MATCH(76,样本到样信息汇总统计!$AC$2:$AC$500,0)),"")</f>
        <v/>
      </c>
      <c r="H77" s="8" t="str">
        <f>IFERROR(INDEX(样本到样信息汇总统计!H$2:H$500,MATCH(76,样本到样信息汇总统计!$AC$2:$AC$500,0)),"")</f>
        <v/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ht="21.75" customHeight="1" spans="1:24">
      <c r="A78" s="4" t="str">
        <f>IFERROR(INDEX(样本到样信息汇总统计!A$2:A$500,MATCH(77,样本到样信息汇总统计!$AC$2:$AC$500,0)),"")</f>
        <v/>
      </c>
      <c r="B78" s="4" t="str">
        <f>IFERROR(INDEX(样本到样信息汇总统计!B$2:B$500,MATCH(77,样本到样信息汇总统计!$AC$2:$AC$500,0)),"")</f>
        <v/>
      </c>
      <c r="C78" s="4" t="str">
        <f>IFERROR(INDEX(样本到样信息汇总统计!C$2:C$500,MATCH(77,样本到样信息汇总统计!$AC$2:$AC$500,0)),"")</f>
        <v/>
      </c>
      <c r="D78" s="4" t="str">
        <f>IFERROR(INDEX(样本到样信息汇总统计!D$2:D$500,MATCH(77,样本到样信息汇总统计!$AC$2:$AC$500,0)),"")</f>
        <v/>
      </c>
      <c r="E78" s="4" t="str">
        <f>IFERROR(INDEX(样本到样信息汇总统计!E$2:E$500,MATCH(77,样本到样信息汇总统计!$AC$2:$AC$500,0)),"")</f>
        <v/>
      </c>
      <c r="F78" s="4" t="str">
        <f>IFERROR(INDEX(样本到样信息汇总统计!F$2:F$500,MATCH(77,样本到样信息汇总统计!$AC$2:$AC$500,0)),"")</f>
        <v/>
      </c>
      <c r="G78" s="4" t="str">
        <f>IFERROR(INDEX(样本到样信息汇总统计!G$2:G$500,MATCH(77,样本到样信息汇总统计!$AC$2:$AC$500,0)),"")</f>
        <v/>
      </c>
      <c r="H78" s="4" t="str">
        <f>IFERROR(INDEX(样本到样信息汇总统计!H$2:H$500,MATCH(77,样本到样信息汇总统计!$AC$2:$AC$500,0)),"")</f>
        <v/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21.75" customHeight="1" spans="1:24">
      <c r="A79" s="8" t="str">
        <f>IFERROR(INDEX(样本到样信息汇总统计!A$2:A$500,MATCH(78,样本到样信息汇总统计!$AC$2:$AC$500,0)),"")</f>
        <v/>
      </c>
      <c r="B79" s="8" t="str">
        <f>IFERROR(INDEX(样本到样信息汇总统计!B$2:B$500,MATCH(78,样本到样信息汇总统计!$AC$2:$AC$500,0)),"")</f>
        <v/>
      </c>
      <c r="C79" s="8" t="str">
        <f>IFERROR(INDEX(样本到样信息汇总统计!C$2:C$500,MATCH(78,样本到样信息汇总统计!$AC$2:$AC$500,0)),"")</f>
        <v/>
      </c>
      <c r="D79" s="8" t="str">
        <f>IFERROR(INDEX(样本到样信息汇总统计!D$2:D$500,MATCH(78,样本到样信息汇总统计!$AC$2:$AC$500,0)),"")</f>
        <v/>
      </c>
      <c r="E79" s="8" t="str">
        <f>IFERROR(INDEX(样本到样信息汇总统计!E$2:E$500,MATCH(78,样本到样信息汇总统计!$AC$2:$AC$500,0)),"")</f>
        <v/>
      </c>
      <c r="F79" s="8" t="str">
        <f>IFERROR(INDEX(样本到样信息汇总统计!F$2:F$500,MATCH(78,样本到样信息汇总统计!$AC$2:$AC$500,0)),"")</f>
        <v/>
      </c>
      <c r="G79" s="8" t="str">
        <f>IFERROR(INDEX(样本到样信息汇总统计!G$2:G$500,MATCH(78,样本到样信息汇总统计!$AC$2:$AC$500,0)),"")</f>
        <v/>
      </c>
      <c r="H79" s="8" t="str">
        <f>IFERROR(INDEX(样本到样信息汇总统计!H$2:H$500,MATCH(78,样本到样信息汇总统计!$AC$2:$AC$500,0)),"")</f>
        <v/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ht="21.75" customHeight="1" spans="1:24">
      <c r="A80" s="4" t="str">
        <f>IFERROR(INDEX(样本到样信息汇总统计!A$2:A$500,MATCH(79,样本到样信息汇总统计!$AC$2:$AC$500,0)),"")</f>
        <v/>
      </c>
      <c r="B80" s="4" t="str">
        <f>IFERROR(INDEX(样本到样信息汇总统计!B$2:B$500,MATCH(79,样本到样信息汇总统计!$AC$2:$AC$500,0)),"")</f>
        <v/>
      </c>
      <c r="C80" s="4" t="str">
        <f>IFERROR(INDEX(样本到样信息汇总统计!C$2:C$500,MATCH(79,样本到样信息汇总统计!$AC$2:$AC$500,0)),"")</f>
        <v/>
      </c>
      <c r="D80" s="4" t="str">
        <f>IFERROR(INDEX(样本到样信息汇总统计!D$2:D$500,MATCH(79,样本到样信息汇总统计!$AC$2:$AC$500,0)),"")</f>
        <v/>
      </c>
      <c r="E80" s="4" t="str">
        <f>IFERROR(INDEX(样本到样信息汇总统计!E$2:E$500,MATCH(79,样本到样信息汇总统计!$AC$2:$AC$500,0)),"")</f>
        <v/>
      </c>
      <c r="F80" s="4" t="str">
        <f>IFERROR(INDEX(样本到样信息汇总统计!F$2:F$500,MATCH(79,样本到样信息汇总统计!$AC$2:$AC$500,0)),"")</f>
        <v/>
      </c>
      <c r="G80" s="4" t="str">
        <f>IFERROR(INDEX(样本到样信息汇总统计!G$2:G$500,MATCH(79,样本到样信息汇总统计!$AC$2:$AC$500,0)),"")</f>
        <v/>
      </c>
      <c r="H80" s="4" t="str">
        <f>IFERROR(INDEX(样本到样信息汇总统计!H$2:H$500,MATCH(79,样本到样信息汇总统计!$AC$2:$AC$500,0)),"")</f>
        <v/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21.75" customHeight="1" spans="1:24">
      <c r="A81" s="8" t="str">
        <f>IFERROR(INDEX(样本到样信息汇总统计!A$2:A$500,MATCH(80,样本到样信息汇总统计!$AC$2:$AC$500,0)),"")</f>
        <v/>
      </c>
      <c r="B81" s="8" t="str">
        <f>IFERROR(INDEX(样本到样信息汇总统计!B$2:B$500,MATCH(80,样本到样信息汇总统计!$AC$2:$AC$500,0)),"")</f>
        <v/>
      </c>
      <c r="C81" s="8" t="str">
        <f>IFERROR(INDEX(样本到样信息汇总统计!C$2:C$500,MATCH(80,样本到样信息汇总统计!$AC$2:$AC$500,0)),"")</f>
        <v/>
      </c>
      <c r="D81" s="8" t="str">
        <f>IFERROR(INDEX(样本到样信息汇总统计!D$2:D$500,MATCH(80,样本到样信息汇总统计!$AC$2:$AC$500,0)),"")</f>
        <v/>
      </c>
      <c r="E81" s="8" t="str">
        <f>IFERROR(INDEX(样本到样信息汇总统计!E$2:E$500,MATCH(80,样本到样信息汇总统计!$AC$2:$AC$500,0)),"")</f>
        <v/>
      </c>
      <c r="F81" s="8" t="str">
        <f>IFERROR(INDEX(样本到样信息汇总统计!F$2:F$500,MATCH(80,样本到样信息汇总统计!$AC$2:$AC$500,0)),"")</f>
        <v/>
      </c>
      <c r="G81" s="8" t="str">
        <f>IFERROR(INDEX(样本到样信息汇总统计!G$2:G$500,MATCH(80,样本到样信息汇总统计!$AC$2:$AC$500,0)),"")</f>
        <v/>
      </c>
      <c r="H81" s="8" t="str">
        <f>IFERROR(INDEX(样本到样信息汇总统计!H$2:H$500,MATCH(80,样本到样信息汇总统计!$AC$2:$AC$500,0)),"")</f>
        <v/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ht="21.75" customHeight="1" spans="1:24">
      <c r="A82" s="4" t="str">
        <f>IFERROR(INDEX(样本到样信息汇总统计!A$2:A$500,MATCH(81,样本到样信息汇总统计!$AC$2:$AC$500,0)),"")</f>
        <v/>
      </c>
      <c r="B82" s="4" t="str">
        <f>IFERROR(INDEX(样本到样信息汇总统计!B$2:B$500,MATCH(81,样本到样信息汇总统计!$AC$2:$AC$500,0)),"")</f>
        <v/>
      </c>
      <c r="C82" s="4" t="str">
        <f>IFERROR(INDEX(样本到样信息汇总统计!C$2:C$500,MATCH(81,样本到样信息汇总统计!$AC$2:$AC$500,0)),"")</f>
        <v/>
      </c>
      <c r="D82" s="4" t="str">
        <f>IFERROR(INDEX(样本到样信息汇总统计!D$2:D$500,MATCH(81,样本到样信息汇总统计!$AC$2:$AC$500,0)),"")</f>
        <v/>
      </c>
      <c r="E82" s="4" t="str">
        <f>IFERROR(INDEX(样本到样信息汇总统计!E$2:E$500,MATCH(81,样本到样信息汇总统计!$AC$2:$AC$500,0)),"")</f>
        <v/>
      </c>
      <c r="F82" s="4" t="str">
        <f>IFERROR(INDEX(样本到样信息汇总统计!F$2:F$500,MATCH(81,样本到样信息汇总统计!$AC$2:$AC$500,0)),"")</f>
        <v/>
      </c>
      <c r="G82" s="4" t="str">
        <f>IFERROR(INDEX(样本到样信息汇总统计!G$2:G$500,MATCH(81,样本到样信息汇总统计!$AC$2:$AC$500,0)),"")</f>
        <v/>
      </c>
      <c r="H82" s="4" t="str">
        <f>IFERROR(INDEX(样本到样信息汇总统计!H$2:H$500,MATCH(81,样本到样信息汇总统计!$AC$2:$AC$500,0)),"")</f>
        <v/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21.75" customHeight="1" spans="1:24">
      <c r="A83" s="8" t="str">
        <f>IFERROR(INDEX(样本到样信息汇总统计!A$2:A$500,MATCH(82,样本到样信息汇总统计!$AC$2:$AC$500,0)),"")</f>
        <v/>
      </c>
      <c r="B83" s="8" t="str">
        <f>IFERROR(INDEX(样本到样信息汇总统计!B$2:B$500,MATCH(82,样本到样信息汇总统计!$AC$2:$AC$500,0)),"")</f>
        <v/>
      </c>
      <c r="C83" s="8" t="str">
        <f>IFERROR(INDEX(样本到样信息汇总统计!C$2:C$500,MATCH(82,样本到样信息汇总统计!$AC$2:$AC$500,0)),"")</f>
        <v/>
      </c>
      <c r="D83" s="8" t="str">
        <f>IFERROR(INDEX(样本到样信息汇总统计!D$2:D$500,MATCH(82,样本到样信息汇总统计!$AC$2:$AC$500,0)),"")</f>
        <v/>
      </c>
      <c r="E83" s="8" t="str">
        <f>IFERROR(INDEX(样本到样信息汇总统计!E$2:E$500,MATCH(82,样本到样信息汇总统计!$AC$2:$AC$500,0)),"")</f>
        <v/>
      </c>
      <c r="F83" s="8" t="str">
        <f>IFERROR(INDEX(样本到样信息汇总统计!F$2:F$500,MATCH(82,样本到样信息汇总统计!$AC$2:$AC$500,0)),"")</f>
        <v/>
      </c>
      <c r="G83" s="8" t="str">
        <f>IFERROR(INDEX(样本到样信息汇总统计!G$2:G$500,MATCH(82,样本到样信息汇总统计!$AC$2:$AC$500,0)),"")</f>
        <v/>
      </c>
      <c r="H83" s="8" t="str">
        <f>IFERROR(INDEX(样本到样信息汇总统计!H$2:H$500,MATCH(82,样本到样信息汇总统计!$AC$2:$AC$500,0)),"")</f>
        <v/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ht="21.75" customHeight="1" spans="1:24">
      <c r="A84" s="4" t="str">
        <f>IFERROR(INDEX(样本到样信息汇总统计!A$2:A$500,MATCH(83,样本到样信息汇总统计!$AC$2:$AC$500,0)),"")</f>
        <v/>
      </c>
      <c r="B84" s="4" t="str">
        <f>IFERROR(INDEX(样本到样信息汇总统计!B$2:B$500,MATCH(83,样本到样信息汇总统计!$AC$2:$AC$500,0)),"")</f>
        <v/>
      </c>
      <c r="C84" s="4" t="str">
        <f>IFERROR(INDEX(样本到样信息汇总统计!C$2:C$500,MATCH(83,样本到样信息汇总统计!$AC$2:$AC$500,0)),"")</f>
        <v/>
      </c>
      <c r="D84" s="4" t="str">
        <f>IFERROR(INDEX(样本到样信息汇总统计!D$2:D$500,MATCH(83,样本到样信息汇总统计!$AC$2:$AC$500,0)),"")</f>
        <v/>
      </c>
      <c r="E84" s="4" t="str">
        <f>IFERROR(INDEX(样本到样信息汇总统计!E$2:E$500,MATCH(83,样本到样信息汇总统计!$AC$2:$AC$500,0)),"")</f>
        <v/>
      </c>
      <c r="F84" s="4" t="str">
        <f>IFERROR(INDEX(样本到样信息汇总统计!F$2:F$500,MATCH(83,样本到样信息汇总统计!$AC$2:$AC$500,0)),"")</f>
        <v/>
      </c>
      <c r="G84" s="4" t="str">
        <f>IFERROR(INDEX(样本到样信息汇总统计!G$2:G$500,MATCH(83,样本到样信息汇总统计!$AC$2:$AC$500,0)),"")</f>
        <v/>
      </c>
      <c r="H84" s="4" t="str">
        <f>IFERROR(INDEX(样本到样信息汇总统计!H$2:H$500,MATCH(83,样本到样信息汇总统计!$AC$2:$AC$500,0)),"")</f>
        <v/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21.75" customHeight="1" spans="1:24">
      <c r="A85" s="8" t="str">
        <f>IFERROR(INDEX(样本到样信息汇总统计!A$2:A$500,MATCH(84,样本到样信息汇总统计!$AC$2:$AC$500,0)),"")</f>
        <v/>
      </c>
      <c r="B85" s="8" t="str">
        <f>IFERROR(INDEX(样本到样信息汇总统计!B$2:B$500,MATCH(84,样本到样信息汇总统计!$AC$2:$AC$500,0)),"")</f>
        <v/>
      </c>
      <c r="C85" s="8" t="str">
        <f>IFERROR(INDEX(样本到样信息汇总统计!C$2:C$500,MATCH(84,样本到样信息汇总统计!$AC$2:$AC$500,0)),"")</f>
        <v/>
      </c>
      <c r="D85" s="8" t="str">
        <f>IFERROR(INDEX(样本到样信息汇总统计!D$2:D$500,MATCH(84,样本到样信息汇总统计!$AC$2:$AC$500,0)),"")</f>
        <v/>
      </c>
      <c r="E85" s="8" t="str">
        <f>IFERROR(INDEX(样本到样信息汇总统计!E$2:E$500,MATCH(84,样本到样信息汇总统计!$AC$2:$AC$500,0)),"")</f>
        <v/>
      </c>
      <c r="F85" s="8" t="str">
        <f>IFERROR(INDEX(样本到样信息汇总统计!F$2:F$500,MATCH(84,样本到样信息汇总统计!$AC$2:$AC$500,0)),"")</f>
        <v/>
      </c>
      <c r="G85" s="8" t="str">
        <f>IFERROR(INDEX(样本到样信息汇总统计!G$2:G$500,MATCH(84,样本到样信息汇总统计!$AC$2:$AC$500,0)),"")</f>
        <v/>
      </c>
      <c r="H85" s="8" t="str">
        <f>IFERROR(INDEX(样本到样信息汇总统计!H$2:H$500,MATCH(84,样本到样信息汇总统计!$AC$2:$AC$500,0)),"")</f>
        <v/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ht="21.75" customHeight="1" spans="1:24">
      <c r="A86" s="4" t="str">
        <f>IFERROR(INDEX(样本到样信息汇总统计!A$2:A$500,MATCH(85,样本到样信息汇总统计!$AC$2:$AC$500,0)),"")</f>
        <v/>
      </c>
      <c r="B86" s="4" t="str">
        <f>IFERROR(INDEX(样本到样信息汇总统计!B$2:B$500,MATCH(85,样本到样信息汇总统计!$AC$2:$AC$500,0)),"")</f>
        <v/>
      </c>
      <c r="C86" s="4" t="str">
        <f>IFERROR(INDEX(样本到样信息汇总统计!C$2:C$500,MATCH(85,样本到样信息汇总统计!$AC$2:$AC$500,0)),"")</f>
        <v/>
      </c>
      <c r="D86" s="4" t="str">
        <f>IFERROR(INDEX(样本到样信息汇总统计!D$2:D$500,MATCH(85,样本到样信息汇总统计!$AC$2:$AC$500,0)),"")</f>
        <v/>
      </c>
      <c r="E86" s="4" t="str">
        <f>IFERROR(INDEX(样本到样信息汇总统计!E$2:E$500,MATCH(85,样本到样信息汇总统计!$AC$2:$AC$500,0)),"")</f>
        <v/>
      </c>
      <c r="F86" s="4" t="str">
        <f>IFERROR(INDEX(样本到样信息汇总统计!F$2:F$500,MATCH(85,样本到样信息汇总统计!$AC$2:$AC$500,0)),"")</f>
        <v/>
      </c>
      <c r="G86" s="4" t="str">
        <f>IFERROR(INDEX(样本到样信息汇总统计!G$2:G$500,MATCH(85,样本到样信息汇总统计!$AC$2:$AC$500,0)),"")</f>
        <v/>
      </c>
      <c r="H86" s="4" t="str">
        <f>IFERROR(INDEX(样本到样信息汇总统计!H$2:H$500,MATCH(85,样本到样信息汇总统计!$AC$2:$AC$500,0)),"")</f>
        <v/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21.75" customHeight="1" spans="1:24">
      <c r="A87" s="8" t="str">
        <f>IFERROR(INDEX(样本到样信息汇总统计!A$2:A$500,MATCH(86,样本到样信息汇总统计!$AC$2:$AC$500,0)),"")</f>
        <v/>
      </c>
      <c r="B87" s="8" t="str">
        <f>IFERROR(INDEX(样本到样信息汇总统计!B$2:B$500,MATCH(86,样本到样信息汇总统计!$AC$2:$AC$500,0)),"")</f>
        <v/>
      </c>
      <c r="C87" s="8" t="str">
        <f>IFERROR(INDEX(样本到样信息汇总统计!C$2:C$500,MATCH(86,样本到样信息汇总统计!$AC$2:$AC$500,0)),"")</f>
        <v/>
      </c>
      <c r="D87" s="8" t="str">
        <f>IFERROR(INDEX(样本到样信息汇总统计!D$2:D$500,MATCH(86,样本到样信息汇总统计!$AC$2:$AC$500,0)),"")</f>
        <v/>
      </c>
      <c r="E87" s="8" t="str">
        <f>IFERROR(INDEX(样本到样信息汇总统计!E$2:E$500,MATCH(86,样本到样信息汇总统计!$AC$2:$AC$500,0)),"")</f>
        <v/>
      </c>
      <c r="F87" s="8" t="str">
        <f>IFERROR(INDEX(样本到样信息汇总统计!F$2:F$500,MATCH(86,样本到样信息汇总统计!$AC$2:$AC$500,0)),"")</f>
        <v/>
      </c>
      <c r="G87" s="8" t="str">
        <f>IFERROR(INDEX(样本到样信息汇总统计!G$2:G$500,MATCH(86,样本到样信息汇总统计!$AC$2:$AC$500,0)),"")</f>
        <v/>
      </c>
      <c r="H87" s="8" t="str">
        <f>IFERROR(INDEX(样本到样信息汇总统计!H$2:H$500,MATCH(86,样本到样信息汇总统计!$AC$2:$AC$500,0)),"")</f>
        <v/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ht="21.75" customHeight="1" spans="1:24">
      <c r="A88" s="4" t="str">
        <f>IFERROR(INDEX(样本到样信息汇总统计!A$2:A$500,MATCH(87,样本到样信息汇总统计!$AC$2:$AC$500,0)),"")</f>
        <v/>
      </c>
      <c r="B88" s="4" t="str">
        <f>IFERROR(INDEX(样本到样信息汇总统计!B$2:B$500,MATCH(87,样本到样信息汇总统计!$AC$2:$AC$500,0)),"")</f>
        <v/>
      </c>
      <c r="C88" s="4" t="str">
        <f>IFERROR(INDEX(样本到样信息汇总统计!C$2:C$500,MATCH(87,样本到样信息汇总统计!$AC$2:$AC$500,0)),"")</f>
        <v/>
      </c>
      <c r="D88" s="4" t="str">
        <f>IFERROR(INDEX(样本到样信息汇总统计!D$2:D$500,MATCH(87,样本到样信息汇总统计!$AC$2:$AC$500,0)),"")</f>
        <v/>
      </c>
      <c r="E88" s="4" t="str">
        <f>IFERROR(INDEX(样本到样信息汇总统计!E$2:E$500,MATCH(87,样本到样信息汇总统计!$AC$2:$AC$500,0)),"")</f>
        <v/>
      </c>
      <c r="F88" s="4" t="str">
        <f>IFERROR(INDEX(样本到样信息汇总统计!F$2:F$500,MATCH(87,样本到样信息汇总统计!$AC$2:$AC$500,0)),"")</f>
        <v/>
      </c>
      <c r="G88" s="4" t="str">
        <f>IFERROR(INDEX(样本到样信息汇总统计!G$2:G$500,MATCH(87,样本到样信息汇总统计!$AC$2:$AC$500,0)),"")</f>
        <v/>
      </c>
      <c r="H88" s="4" t="str">
        <f>IFERROR(INDEX(样本到样信息汇总统计!H$2:H$500,MATCH(87,样本到样信息汇总统计!$AC$2:$AC$500,0)),"")</f>
        <v/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21.75" customHeight="1" spans="1:24">
      <c r="A89" s="8" t="str">
        <f>IFERROR(INDEX(样本到样信息汇总统计!A$2:A$500,MATCH(88,样本到样信息汇总统计!$AC$2:$AC$500,0)),"")</f>
        <v/>
      </c>
      <c r="B89" s="8" t="str">
        <f>IFERROR(INDEX(样本到样信息汇总统计!B$2:B$500,MATCH(88,样本到样信息汇总统计!$AC$2:$AC$500,0)),"")</f>
        <v/>
      </c>
      <c r="C89" s="8" t="str">
        <f>IFERROR(INDEX(样本到样信息汇总统计!C$2:C$500,MATCH(88,样本到样信息汇总统计!$AC$2:$AC$500,0)),"")</f>
        <v/>
      </c>
      <c r="D89" s="8" t="str">
        <f>IFERROR(INDEX(样本到样信息汇总统计!D$2:D$500,MATCH(88,样本到样信息汇总统计!$AC$2:$AC$500,0)),"")</f>
        <v/>
      </c>
      <c r="E89" s="8" t="str">
        <f>IFERROR(INDEX(样本到样信息汇总统计!E$2:E$500,MATCH(88,样本到样信息汇总统计!$AC$2:$AC$500,0)),"")</f>
        <v/>
      </c>
      <c r="F89" s="8" t="str">
        <f>IFERROR(INDEX(样本到样信息汇总统计!F$2:F$500,MATCH(88,样本到样信息汇总统计!$AC$2:$AC$500,0)),"")</f>
        <v/>
      </c>
      <c r="G89" s="8" t="str">
        <f>IFERROR(INDEX(样本到样信息汇总统计!G$2:G$500,MATCH(88,样本到样信息汇总统计!$AC$2:$AC$500,0)),"")</f>
        <v/>
      </c>
      <c r="H89" s="8" t="str">
        <f>IFERROR(INDEX(样本到样信息汇总统计!H$2:H$500,MATCH(88,样本到样信息汇总统计!$AC$2:$AC$500,0)),"")</f>
        <v/>
      </c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ht="21.75" customHeight="1" spans="1:24">
      <c r="A90" s="4" t="str">
        <f>IFERROR(INDEX(样本到样信息汇总统计!A$2:A$500,MATCH(89,样本到样信息汇总统计!$AC$2:$AC$500,0)),"")</f>
        <v/>
      </c>
      <c r="B90" s="4" t="str">
        <f>IFERROR(INDEX(样本到样信息汇总统计!B$2:B$500,MATCH(89,样本到样信息汇总统计!$AC$2:$AC$500,0)),"")</f>
        <v/>
      </c>
      <c r="C90" s="4" t="str">
        <f>IFERROR(INDEX(样本到样信息汇总统计!C$2:C$500,MATCH(89,样本到样信息汇总统计!$AC$2:$AC$500,0)),"")</f>
        <v/>
      </c>
      <c r="D90" s="4" t="str">
        <f>IFERROR(INDEX(样本到样信息汇总统计!D$2:D$500,MATCH(89,样本到样信息汇总统计!$AC$2:$AC$500,0)),"")</f>
        <v/>
      </c>
      <c r="E90" s="4" t="str">
        <f>IFERROR(INDEX(样本到样信息汇总统计!E$2:E$500,MATCH(89,样本到样信息汇总统计!$AC$2:$AC$500,0)),"")</f>
        <v/>
      </c>
      <c r="F90" s="4" t="str">
        <f>IFERROR(INDEX(样本到样信息汇总统计!F$2:F$500,MATCH(89,样本到样信息汇总统计!$AC$2:$AC$500,0)),"")</f>
        <v/>
      </c>
      <c r="G90" s="4" t="str">
        <f>IFERROR(INDEX(样本到样信息汇总统计!G$2:G$500,MATCH(89,样本到样信息汇总统计!$AC$2:$AC$500,0)),"")</f>
        <v/>
      </c>
      <c r="H90" s="4" t="str">
        <f>IFERROR(INDEX(样本到样信息汇总统计!H$2:H$500,MATCH(89,样本到样信息汇总统计!$AC$2:$AC$500,0)),"")</f>
        <v/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21.75" customHeight="1" spans="1:24">
      <c r="A91" s="8" t="str">
        <f>IFERROR(INDEX(样本到样信息汇总统计!A$2:A$500,MATCH(90,样本到样信息汇总统计!$AC$2:$AC$500,0)),"")</f>
        <v/>
      </c>
      <c r="B91" s="8" t="str">
        <f>IFERROR(INDEX(样本到样信息汇总统计!B$2:B$500,MATCH(90,样本到样信息汇总统计!$AC$2:$AC$500,0)),"")</f>
        <v/>
      </c>
      <c r="C91" s="8" t="str">
        <f>IFERROR(INDEX(样本到样信息汇总统计!C$2:C$500,MATCH(90,样本到样信息汇总统计!$AC$2:$AC$500,0)),"")</f>
        <v/>
      </c>
      <c r="D91" s="8" t="str">
        <f>IFERROR(INDEX(样本到样信息汇总统计!D$2:D$500,MATCH(90,样本到样信息汇总统计!$AC$2:$AC$500,0)),"")</f>
        <v/>
      </c>
      <c r="E91" s="8" t="str">
        <f>IFERROR(INDEX(样本到样信息汇总统计!E$2:E$500,MATCH(90,样本到样信息汇总统计!$AC$2:$AC$500,0)),"")</f>
        <v/>
      </c>
      <c r="F91" s="8" t="str">
        <f>IFERROR(INDEX(样本到样信息汇总统计!F$2:F$500,MATCH(90,样本到样信息汇总统计!$AC$2:$AC$500,0)),"")</f>
        <v/>
      </c>
      <c r="G91" s="8" t="str">
        <f>IFERROR(INDEX(样本到样信息汇总统计!G$2:G$500,MATCH(90,样本到样信息汇总统计!$AC$2:$AC$500,0)),"")</f>
        <v/>
      </c>
      <c r="H91" s="8" t="str">
        <f>IFERROR(INDEX(样本到样信息汇总统计!H$2:H$500,MATCH(90,样本到样信息汇总统计!$AC$2:$AC$500,0)),"")</f>
        <v/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ht="21.75" customHeight="1" spans="1:24">
      <c r="A92" s="4" t="str">
        <f>IFERROR(INDEX(样本到样信息汇总统计!A$2:A$500,MATCH(91,样本到样信息汇总统计!$AC$2:$AC$500,0)),"")</f>
        <v/>
      </c>
      <c r="B92" s="4" t="str">
        <f>IFERROR(INDEX(样本到样信息汇总统计!B$2:B$500,MATCH(91,样本到样信息汇总统计!$AC$2:$AC$500,0)),"")</f>
        <v/>
      </c>
      <c r="C92" s="4" t="str">
        <f>IFERROR(INDEX(样本到样信息汇总统计!C$2:C$500,MATCH(91,样本到样信息汇总统计!$AC$2:$AC$500,0)),"")</f>
        <v/>
      </c>
      <c r="D92" s="4" t="str">
        <f>IFERROR(INDEX(样本到样信息汇总统计!D$2:D$500,MATCH(91,样本到样信息汇总统计!$AC$2:$AC$500,0)),"")</f>
        <v/>
      </c>
      <c r="E92" s="4" t="str">
        <f>IFERROR(INDEX(样本到样信息汇总统计!E$2:E$500,MATCH(91,样本到样信息汇总统计!$AC$2:$AC$500,0)),"")</f>
        <v/>
      </c>
      <c r="F92" s="4" t="str">
        <f>IFERROR(INDEX(样本到样信息汇总统计!F$2:F$500,MATCH(91,样本到样信息汇总统计!$AC$2:$AC$500,0)),"")</f>
        <v/>
      </c>
      <c r="G92" s="4" t="str">
        <f>IFERROR(INDEX(样本到样信息汇总统计!G$2:G$500,MATCH(91,样本到样信息汇总统计!$AC$2:$AC$500,0)),"")</f>
        <v/>
      </c>
      <c r="H92" s="4" t="str">
        <f>IFERROR(INDEX(样本到样信息汇总统计!H$2:H$500,MATCH(91,样本到样信息汇总统计!$AC$2:$AC$500,0)),"")</f>
        <v/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21.75" customHeight="1" spans="1:24">
      <c r="A93" s="8" t="str">
        <f>IFERROR(INDEX(样本到样信息汇总统计!A$2:A$500,MATCH(92,样本到样信息汇总统计!$AC$2:$AC$500,0)),"")</f>
        <v/>
      </c>
      <c r="B93" s="8" t="str">
        <f>IFERROR(INDEX(样本到样信息汇总统计!B$2:B$500,MATCH(92,样本到样信息汇总统计!$AC$2:$AC$500,0)),"")</f>
        <v/>
      </c>
      <c r="C93" s="8" t="str">
        <f>IFERROR(INDEX(样本到样信息汇总统计!C$2:C$500,MATCH(92,样本到样信息汇总统计!$AC$2:$AC$500,0)),"")</f>
        <v/>
      </c>
      <c r="D93" s="8" t="str">
        <f>IFERROR(INDEX(样本到样信息汇总统计!D$2:D$500,MATCH(92,样本到样信息汇总统计!$AC$2:$AC$500,0)),"")</f>
        <v/>
      </c>
      <c r="E93" s="8" t="str">
        <f>IFERROR(INDEX(样本到样信息汇总统计!E$2:E$500,MATCH(92,样本到样信息汇总统计!$AC$2:$AC$500,0)),"")</f>
        <v/>
      </c>
      <c r="F93" s="8" t="str">
        <f>IFERROR(INDEX(样本到样信息汇总统计!F$2:F$500,MATCH(92,样本到样信息汇总统计!$AC$2:$AC$500,0)),"")</f>
        <v/>
      </c>
      <c r="G93" s="8" t="str">
        <f>IFERROR(INDEX(样本到样信息汇总统计!G$2:G$500,MATCH(92,样本到样信息汇总统计!$AC$2:$AC$500,0)),"")</f>
        <v/>
      </c>
      <c r="H93" s="8" t="str">
        <f>IFERROR(INDEX(样本到样信息汇总统计!H$2:H$500,MATCH(92,样本到样信息汇总统计!$AC$2:$AC$500,0)),"")</f>
        <v/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ht="21.75" customHeight="1" spans="1:24">
      <c r="A94" s="4" t="str">
        <f>IFERROR(INDEX(样本到样信息汇总统计!A$2:A$500,MATCH(93,样本到样信息汇总统计!$AC$2:$AC$500,0)),"")</f>
        <v/>
      </c>
      <c r="B94" s="4" t="str">
        <f>IFERROR(INDEX(样本到样信息汇总统计!B$2:B$500,MATCH(93,样本到样信息汇总统计!$AC$2:$AC$500,0)),"")</f>
        <v/>
      </c>
      <c r="C94" s="4" t="str">
        <f>IFERROR(INDEX(样本到样信息汇总统计!C$2:C$500,MATCH(93,样本到样信息汇总统计!$AC$2:$AC$500,0)),"")</f>
        <v/>
      </c>
      <c r="D94" s="4" t="str">
        <f>IFERROR(INDEX(样本到样信息汇总统计!D$2:D$500,MATCH(93,样本到样信息汇总统计!$AC$2:$AC$500,0)),"")</f>
        <v/>
      </c>
      <c r="E94" s="4" t="str">
        <f>IFERROR(INDEX(样本到样信息汇总统计!E$2:E$500,MATCH(93,样本到样信息汇总统计!$AC$2:$AC$500,0)),"")</f>
        <v/>
      </c>
      <c r="F94" s="4" t="str">
        <f>IFERROR(INDEX(样本到样信息汇总统计!F$2:F$500,MATCH(93,样本到样信息汇总统计!$AC$2:$AC$500,0)),"")</f>
        <v/>
      </c>
      <c r="G94" s="4" t="str">
        <f>IFERROR(INDEX(样本到样信息汇总统计!G$2:G$500,MATCH(93,样本到样信息汇总统计!$AC$2:$AC$500,0)),"")</f>
        <v/>
      </c>
      <c r="H94" s="4" t="str">
        <f>IFERROR(INDEX(样本到样信息汇总统计!H$2:H$500,MATCH(93,样本到样信息汇总统计!$AC$2:$AC$500,0)),"")</f>
        <v/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21.75" customHeight="1" spans="1:24">
      <c r="A95" s="8" t="str">
        <f>IFERROR(INDEX(样本到样信息汇总统计!A$2:A$500,MATCH(94,样本到样信息汇总统计!$AC$2:$AC$500,0)),"")</f>
        <v/>
      </c>
      <c r="B95" s="8" t="str">
        <f>IFERROR(INDEX(样本到样信息汇总统计!B$2:B$500,MATCH(94,样本到样信息汇总统计!$AC$2:$AC$500,0)),"")</f>
        <v/>
      </c>
      <c r="C95" s="8" t="str">
        <f>IFERROR(INDEX(样本到样信息汇总统计!C$2:C$500,MATCH(94,样本到样信息汇总统计!$AC$2:$AC$500,0)),"")</f>
        <v/>
      </c>
      <c r="D95" s="8" t="str">
        <f>IFERROR(INDEX(样本到样信息汇总统计!D$2:D$500,MATCH(94,样本到样信息汇总统计!$AC$2:$AC$500,0)),"")</f>
        <v/>
      </c>
      <c r="E95" s="8" t="str">
        <f>IFERROR(INDEX(样本到样信息汇总统计!E$2:E$500,MATCH(94,样本到样信息汇总统计!$AC$2:$AC$500,0)),"")</f>
        <v/>
      </c>
      <c r="F95" s="8" t="str">
        <f>IFERROR(INDEX(样本到样信息汇总统计!F$2:F$500,MATCH(94,样本到样信息汇总统计!$AC$2:$AC$500,0)),"")</f>
        <v/>
      </c>
      <c r="G95" s="8" t="str">
        <f>IFERROR(INDEX(样本到样信息汇总统计!G$2:G$500,MATCH(94,样本到样信息汇总统计!$AC$2:$AC$500,0)),"")</f>
        <v/>
      </c>
      <c r="H95" s="8" t="str">
        <f>IFERROR(INDEX(样本到样信息汇总统计!H$2:H$500,MATCH(94,样本到样信息汇总统计!$AC$2:$AC$500,0)),"")</f>
        <v/>
      </c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ht="21.75" customHeight="1" spans="1:24">
      <c r="A96" s="4" t="str">
        <f>IFERROR(INDEX(样本到样信息汇总统计!A$2:A$500,MATCH(95,样本到样信息汇总统计!$AC$2:$AC$500,0)),"")</f>
        <v/>
      </c>
      <c r="B96" s="4" t="str">
        <f>IFERROR(INDEX(样本到样信息汇总统计!B$2:B$500,MATCH(95,样本到样信息汇总统计!$AC$2:$AC$500,0)),"")</f>
        <v/>
      </c>
      <c r="C96" s="4" t="str">
        <f>IFERROR(INDEX(样本到样信息汇总统计!C$2:C$500,MATCH(95,样本到样信息汇总统计!$AC$2:$AC$500,0)),"")</f>
        <v/>
      </c>
      <c r="D96" s="4" t="str">
        <f>IFERROR(INDEX(样本到样信息汇总统计!D$2:D$500,MATCH(95,样本到样信息汇总统计!$AC$2:$AC$500,0)),"")</f>
        <v/>
      </c>
      <c r="E96" s="4" t="str">
        <f>IFERROR(INDEX(样本到样信息汇总统计!E$2:E$500,MATCH(95,样本到样信息汇总统计!$AC$2:$AC$500,0)),"")</f>
        <v/>
      </c>
      <c r="F96" s="4" t="str">
        <f>IFERROR(INDEX(样本到样信息汇总统计!F$2:F$500,MATCH(95,样本到样信息汇总统计!$AC$2:$AC$500,0)),"")</f>
        <v/>
      </c>
      <c r="G96" s="4" t="str">
        <f>IFERROR(INDEX(样本到样信息汇总统计!G$2:G$500,MATCH(95,样本到样信息汇总统计!$AC$2:$AC$500,0)),"")</f>
        <v/>
      </c>
      <c r="H96" s="4" t="str">
        <f>IFERROR(INDEX(样本到样信息汇总统计!H$2:H$500,MATCH(95,样本到样信息汇总统计!$AC$2:$AC$500,0)),"")</f>
        <v/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21.75" customHeight="1" spans="1:24">
      <c r="A97" s="8" t="str">
        <f>IFERROR(INDEX(样本到样信息汇总统计!A$2:A$500,MATCH(96,样本到样信息汇总统计!$AC$2:$AC$500,0)),"")</f>
        <v/>
      </c>
      <c r="B97" s="8" t="str">
        <f>IFERROR(INDEX(样本到样信息汇总统计!B$2:B$500,MATCH(96,样本到样信息汇总统计!$AC$2:$AC$500,0)),"")</f>
        <v/>
      </c>
      <c r="C97" s="8" t="str">
        <f>IFERROR(INDEX(样本到样信息汇总统计!C$2:C$500,MATCH(96,样本到样信息汇总统计!$AC$2:$AC$500,0)),"")</f>
        <v/>
      </c>
      <c r="D97" s="8" t="str">
        <f>IFERROR(INDEX(样本到样信息汇总统计!D$2:D$500,MATCH(96,样本到样信息汇总统计!$AC$2:$AC$500,0)),"")</f>
        <v/>
      </c>
      <c r="E97" s="8" t="str">
        <f>IFERROR(INDEX(样本到样信息汇总统计!E$2:E$500,MATCH(96,样本到样信息汇总统计!$AC$2:$AC$500,0)),"")</f>
        <v/>
      </c>
      <c r="F97" s="8" t="str">
        <f>IFERROR(INDEX(样本到样信息汇总统计!F$2:F$500,MATCH(96,样本到样信息汇总统计!$AC$2:$AC$500,0)),"")</f>
        <v/>
      </c>
      <c r="G97" s="8" t="str">
        <f>IFERROR(INDEX(样本到样信息汇总统计!G$2:G$500,MATCH(96,样本到样信息汇总统计!$AC$2:$AC$500,0)),"")</f>
        <v/>
      </c>
      <c r="H97" s="8" t="str">
        <f>IFERROR(INDEX(样本到样信息汇总统计!H$2:H$500,MATCH(96,样本到样信息汇总统计!$AC$2:$AC$500,0)),"")</f>
        <v/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ht="21.75" customHeight="1" spans="1:24">
      <c r="A98" s="4" t="str">
        <f>IFERROR(INDEX(样本到样信息汇总统计!A$2:A$500,MATCH(97,样本到样信息汇总统计!$AC$2:$AC$500,0)),"")</f>
        <v/>
      </c>
      <c r="B98" s="4" t="str">
        <f>IFERROR(INDEX(样本到样信息汇总统计!B$2:B$500,MATCH(97,样本到样信息汇总统计!$AC$2:$AC$500,0)),"")</f>
        <v/>
      </c>
      <c r="C98" s="4" t="str">
        <f>IFERROR(INDEX(样本到样信息汇总统计!C$2:C$500,MATCH(97,样本到样信息汇总统计!$AC$2:$AC$500,0)),"")</f>
        <v/>
      </c>
      <c r="D98" s="4" t="str">
        <f>IFERROR(INDEX(样本到样信息汇总统计!D$2:D$500,MATCH(97,样本到样信息汇总统计!$AC$2:$AC$500,0)),"")</f>
        <v/>
      </c>
      <c r="E98" s="4" t="str">
        <f>IFERROR(INDEX(样本到样信息汇总统计!E$2:E$500,MATCH(97,样本到样信息汇总统计!$AC$2:$AC$500,0)),"")</f>
        <v/>
      </c>
      <c r="F98" s="4" t="str">
        <f>IFERROR(INDEX(样本到样信息汇总统计!F$2:F$500,MATCH(97,样本到样信息汇总统计!$AC$2:$AC$500,0)),"")</f>
        <v/>
      </c>
      <c r="G98" s="4" t="str">
        <f>IFERROR(INDEX(样本到样信息汇总统计!G$2:G$500,MATCH(97,样本到样信息汇总统计!$AC$2:$AC$500,0)),"")</f>
        <v/>
      </c>
      <c r="H98" s="4" t="str">
        <f>IFERROR(INDEX(样本到样信息汇总统计!H$2:H$500,MATCH(97,样本到样信息汇总统计!$AC$2:$AC$500,0)),"")</f>
        <v/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21.75" customHeight="1" spans="1:24">
      <c r="A99" s="8" t="str">
        <f>IFERROR(INDEX(样本到样信息汇总统计!A$2:A$500,MATCH(98,样本到样信息汇总统计!$AC$2:$AC$500,0)),"")</f>
        <v/>
      </c>
      <c r="B99" s="8" t="str">
        <f>IFERROR(INDEX(样本到样信息汇总统计!B$2:B$500,MATCH(98,样本到样信息汇总统计!$AC$2:$AC$500,0)),"")</f>
        <v/>
      </c>
      <c r="C99" s="8" t="str">
        <f>IFERROR(INDEX(样本到样信息汇总统计!C$2:C$500,MATCH(98,样本到样信息汇总统计!$AC$2:$AC$500,0)),"")</f>
        <v/>
      </c>
      <c r="D99" s="8" t="str">
        <f>IFERROR(INDEX(样本到样信息汇总统计!D$2:D$500,MATCH(98,样本到样信息汇总统计!$AC$2:$AC$500,0)),"")</f>
        <v/>
      </c>
      <c r="E99" s="8" t="str">
        <f>IFERROR(INDEX(样本到样信息汇总统计!E$2:E$500,MATCH(98,样本到样信息汇总统计!$AC$2:$AC$500,0)),"")</f>
        <v/>
      </c>
      <c r="F99" s="8" t="str">
        <f>IFERROR(INDEX(样本到样信息汇总统计!F$2:F$500,MATCH(98,样本到样信息汇总统计!$AC$2:$AC$500,0)),"")</f>
        <v/>
      </c>
      <c r="G99" s="8" t="str">
        <f>IFERROR(INDEX(样本到样信息汇总统计!G$2:G$500,MATCH(98,样本到样信息汇总统计!$AC$2:$AC$500,0)),"")</f>
        <v/>
      </c>
      <c r="H99" s="8" t="str">
        <f>IFERROR(INDEX(样本到样信息汇总统计!H$2:H$500,MATCH(98,样本到样信息汇总统计!$AC$2:$AC$500,0)),"")</f>
        <v/>
      </c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ht="21.75" customHeight="1" spans="1:24">
      <c r="A100" s="4" t="str">
        <f>IFERROR(INDEX(样本到样信息汇总统计!A$2:A$500,MATCH(99,样本到样信息汇总统计!$AC$2:$AC$500,0)),"")</f>
        <v/>
      </c>
      <c r="B100" s="4" t="str">
        <f>IFERROR(INDEX(样本到样信息汇总统计!B$2:B$500,MATCH(99,样本到样信息汇总统计!$AC$2:$AC$500,0)),"")</f>
        <v/>
      </c>
      <c r="C100" s="4" t="str">
        <f>IFERROR(INDEX(样本到样信息汇总统计!C$2:C$500,MATCH(99,样本到样信息汇总统计!$AC$2:$AC$500,0)),"")</f>
        <v/>
      </c>
      <c r="D100" s="4" t="str">
        <f>IFERROR(INDEX(样本到样信息汇总统计!D$2:D$500,MATCH(99,样本到样信息汇总统计!$AC$2:$AC$500,0)),"")</f>
        <v/>
      </c>
      <c r="E100" s="4" t="str">
        <f>IFERROR(INDEX(样本到样信息汇总统计!E$2:E$500,MATCH(99,样本到样信息汇总统计!$AC$2:$AC$500,0)),"")</f>
        <v/>
      </c>
      <c r="F100" s="4" t="str">
        <f>IFERROR(INDEX(样本到样信息汇总统计!F$2:F$500,MATCH(99,样本到样信息汇总统计!$AC$2:$AC$500,0)),"")</f>
        <v/>
      </c>
      <c r="G100" s="4" t="str">
        <f>IFERROR(INDEX(样本到样信息汇总统计!G$2:G$500,MATCH(99,样本到样信息汇总统计!$AC$2:$AC$500,0)),"")</f>
        <v/>
      </c>
      <c r="H100" s="4" t="str">
        <f>IFERROR(INDEX(样本到样信息汇总统计!H$2:H$500,MATCH(99,样本到样信息汇总统计!$AC$2:$AC$500,0)),"")</f>
        <v/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21.75" customHeight="1" spans="1:24">
      <c r="A101" s="8" t="str">
        <f>IFERROR(INDEX(样本到样信息汇总统计!A$2:A$500,MATCH(100,样本到样信息汇总统计!$AC$2:$AC$500,0)),"")</f>
        <v/>
      </c>
      <c r="B101" s="8" t="str">
        <f>IFERROR(INDEX(样本到样信息汇总统计!B$2:B$500,MATCH(100,样本到样信息汇总统计!$AC$2:$AC$500,0)),"")</f>
        <v/>
      </c>
      <c r="C101" s="8" t="str">
        <f>IFERROR(INDEX(样本到样信息汇总统计!C$2:C$500,MATCH(100,样本到样信息汇总统计!$AC$2:$AC$500,0)),"")</f>
        <v/>
      </c>
      <c r="D101" s="8" t="str">
        <f>IFERROR(INDEX(样本到样信息汇总统计!D$2:D$500,MATCH(100,样本到样信息汇总统计!$AC$2:$AC$500,0)),"")</f>
        <v/>
      </c>
      <c r="E101" s="8" t="str">
        <f>IFERROR(INDEX(样本到样信息汇总统计!E$2:E$500,MATCH(100,样本到样信息汇总统计!$AC$2:$AC$500,0)),"")</f>
        <v/>
      </c>
      <c r="F101" s="8" t="str">
        <f>IFERROR(INDEX(样本到样信息汇总统计!F$2:F$500,MATCH(100,样本到样信息汇总统计!$AC$2:$AC$500,0)),"")</f>
        <v/>
      </c>
      <c r="G101" s="8" t="str">
        <f>IFERROR(INDEX(样本到样信息汇总统计!G$2:G$500,MATCH(100,样本到样信息汇总统计!$AC$2:$AC$500,0)),"")</f>
        <v/>
      </c>
      <c r="H101" s="8" t="str">
        <f>IFERROR(INDEX(样本到样信息汇总统计!H$2:H$500,MATCH(100,样本到样信息汇总统计!$AC$2:$AC$500,0)),"")</f>
        <v/>
      </c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ht="21.75" customHeight="1" spans="1:24">
      <c r="A102" s="4" t="str">
        <f>IFERROR(INDEX(样本到样信息汇总统计!A$2:A$500,MATCH(101,样本到样信息汇总统计!$AC$2:$AC$500,0)),"")</f>
        <v/>
      </c>
      <c r="B102" s="4" t="str">
        <f>IFERROR(INDEX(样本到样信息汇总统计!B$2:B$500,MATCH(101,样本到样信息汇总统计!$AC$2:$AC$500,0)),"")</f>
        <v/>
      </c>
      <c r="C102" s="4" t="str">
        <f>IFERROR(INDEX(样本到样信息汇总统计!C$2:C$500,MATCH(101,样本到样信息汇总统计!$AC$2:$AC$500,0)),"")</f>
        <v/>
      </c>
      <c r="D102" s="4" t="str">
        <f>IFERROR(INDEX(样本到样信息汇总统计!D$2:D$500,MATCH(101,样本到样信息汇总统计!$AC$2:$AC$500,0)),"")</f>
        <v/>
      </c>
      <c r="E102" s="4" t="str">
        <f>IFERROR(INDEX(样本到样信息汇总统计!E$2:E$500,MATCH(101,样本到样信息汇总统计!$AC$2:$AC$500,0)),"")</f>
        <v/>
      </c>
      <c r="F102" s="4" t="str">
        <f>IFERROR(INDEX(样本到样信息汇总统计!F$2:F$500,MATCH(101,样本到样信息汇总统计!$AC$2:$AC$500,0)),"")</f>
        <v/>
      </c>
      <c r="G102" s="4" t="str">
        <f>IFERROR(INDEX(样本到样信息汇总统计!G$2:G$500,MATCH(101,样本到样信息汇总统计!$AC$2:$AC$500,0)),"")</f>
        <v/>
      </c>
      <c r="H102" s="4" t="str">
        <f>IFERROR(INDEX(样本到样信息汇总统计!H$2:H$500,MATCH(101,样本到样信息汇总统计!$AC$2:$AC$500,0)),"")</f>
        <v/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21.75" customHeight="1" spans="1:24">
      <c r="A103" s="8" t="str">
        <f>IFERROR(INDEX(样本到样信息汇总统计!A$2:A$500,MATCH(102,样本到样信息汇总统计!$AC$2:$AC$500,0)),"")</f>
        <v/>
      </c>
      <c r="B103" s="8" t="str">
        <f>IFERROR(INDEX(样本到样信息汇总统计!B$2:B$500,MATCH(102,样本到样信息汇总统计!$AC$2:$AC$500,0)),"")</f>
        <v/>
      </c>
      <c r="C103" s="8" t="str">
        <f>IFERROR(INDEX(样本到样信息汇总统计!C$2:C$500,MATCH(102,样本到样信息汇总统计!$AC$2:$AC$500,0)),"")</f>
        <v/>
      </c>
      <c r="D103" s="8" t="str">
        <f>IFERROR(INDEX(样本到样信息汇总统计!D$2:D$500,MATCH(102,样本到样信息汇总统计!$AC$2:$AC$500,0)),"")</f>
        <v/>
      </c>
      <c r="E103" s="8" t="str">
        <f>IFERROR(INDEX(样本到样信息汇总统计!E$2:E$500,MATCH(102,样本到样信息汇总统计!$AC$2:$AC$500,0)),"")</f>
        <v/>
      </c>
      <c r="F103" s="8" t="str">
        <f>IFERROR(INDEX(样本到样信息汇总统计!F$2:F$500,MATCH(102,样本到样信息汇总统计!$AC$2:$AC$500,0)),"")</f>
        <v/>
      </c>
      <c r="G103" s="8" t="str">
        <f>IFERROR(INDEX(样本到样信息汇总统计!G$2:G$500,MATCH(102,样本到样信息汇总统计!$AC$2:$AC$500,0)),"")</f>
        <v/>
      </c>
      <c r="H103" s="8" t="str">
        <f>IFERROR(INDEX(样本到样信息汇总统计!H$2:H$500,MATCH(102,样本到样信息汇总统计!$AC$2:$AC$500,0)),"")</f>
        <v/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ht="21.75" customHeight="1" spans="1:24">
      <c r="A104" s="4" t="str">
        <f>IFERROR(INDEX(样本到样信息汇总统计!A$2:A$500,MATCH(103,样本到样信息汇总统计!$AC$2:$AC$500,0)),"")</f>
        <v/>
      </c>
      <c r="B104" s="4" t="str">
        <f>IFERROR(INDEX(样本到样信息汇总统计!B$2:B$500,MATCH(103,样本到样信息汇总统计!$AC$2:$AC$500,0)),"")</f>
        <v/>
      </c>
      <c r="C104" s="4" t="str">
        <f>IFERROR(INDEX(样本到样信息汇总统计!C$2:C$500,MATCH(103,样本到样信息汇总统计!$AC$2:$AC$500,0)),"")</f>
        <v/>
      </c>
      <c r="D104" s="4" t="str">
        <f>IFERROR(INDEX(样本到样信息汇总统计!D$2:D$500,MATCH(103,样本到样信息汇总统计!$AC$2:$AC$500,0)),"")</f>
        <v/>
      </c>
      <c r="E104" s="4" t="str">
        <f>IFERROR(INDEX(样本到样信息汇总统计!E$2:E$500,MATCH(103,样本到样信息汇总统计!$AC$2:$AC$500,0)),"")</f>
        <v/>
      </c>
      <c r="F104" s="4" t="str">
        <f>IFERROR(INDEX(样本到样信息汇总统计!F$2:F$500,MATCH(103,样本到样信息汇总统计!$AC$2:$AC$500,0)),"")</f>
        <v/>
      </c>
      <c r="G104" s="4" t="str">
        <f>IFERROR(INDEX(样本到样信息汇总统计!G$2:G$500,MATCH(103,样本到样信息汇总统计!$AC$2:$AC$500,0)),"")</f>
        <v/>
      </c>
      <c r="H104" s="4" t="str">
        <f>IFERROR(INDEX(样本到样信息汇总统计!H$2:H$500,MATCH(103,样本到样信息汇总统计!$AC$2:$AC$500,0)),"")</f>
        <v/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21.75" customHeight="1" spans="1:24">
      <c r="A105" s="8" t="str">
        <f>IFERROR(INDEX(样本到样信息汇总统计!A$2:A$500,MATCH(104,样本到样信息汇总统计!$AC$2:$AC$500,0)),"")</f>
        <v/>
      </c>
      <c r="B105" s="8" t="str">
        <f>IFERROR(INDEX(样本到样信息汇总统计!B$2:B$500,MATCH(104,样本到样信息汇总统计!$AC$2:$AC$500,0)),"")</f>
        <v/>
      </c>
      <c r="C105" s="8" t="str">
        <f>IFERROR(INDEX(样本到样信息汇总统计!C$2:C$500,MATCH(104,样本到样信息汇总统计!$AC$2:$AC$500,0)),"")</f>
        <v/>
      </c>
      <c r="D105" s="8" t="str">
        <f>IFERROR(INDEX(样本到样信息汇总统计!D$2:D$500,MATCH(104,样本到样信息汇总统计!$AC$2:$AC$500,0)),"")</f>
        <v/>
      </c>
      <c r="E105" s="8" t="str">
        <f>IFERROR(INDEX(样本到样信息汇总统计!E$2:E$500,MATCH(104,样本到样信息汇总统计!$AC$2:$AC$500,0)),"")</f>
        <v/>
      </c>
      <c r="F105" s="8" t="str">
        <f>IFERROR(INDEX(样本到样信息汇总统计!F$2:F$500,MATCH(104,样本到样信息汇总统计!$AC$2:$AC$500,0)),"")</f>
        <v/>
      </c>
      <c r="G105" s="8" t="str">
        <f>IFERROR(INDEX(样本到样信息汇总统计!G$2:G$500,MATCH(104,样本到样信息汇总统计!$AC$2:$AC$500,0)),"")</f>
        <v/>
      </c>
      <c r="H105" s="8" t="str">
        <f>IFERROR(INDEX(样本到样信息汇总统计!H$2:H$500,MATCH(104,样本到样信息汇总统计!$AC$2:$AC$500,0)),"")</f>
        <v/>
      </c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ht="21.75" customHeight="1" spans="1:24">
      <c r="A106" s="4" t="str">
        <f>IFERROR(INDEX(样本到样信息汇总统计!A$2:A$500,MATCH(105,样本到样信息汇总统计!$AC$2:$AC$500,0)),"")</f>
        <v/>
      </c>
      <c r="B106" s="4" t="str">
        <f>IFERROR(INDEX(样本到样信息汇总统计!B$2:B$500,MATCH(105,样本到样信息汇总统计!$AC$2:$AC$500,0)),"")</f>
        <v/>
      </c>
      <c r="C106" s="4" t="str">
        <f>IFERROR(INDEX(样本到样信息汇总统计!C$2:C$500,MATCH(105,样本到样信息汇总统计!$AC$2:$AC$500,0)),"")</f>
        <v/>
      </c>
      <c r="D106" s="4" t="str">
        <f>IFERROR(INDEX(样本到样信息汇总统计!D$2:D$500,MATCH(105,样本到样信息汇总统计!$AC$2:$AC$500,0)),"")</f>
        <v/>
      </c>
      <c r="E106" s="4" t="str">
        <f>IFERROR(INDEX(样本到样信息汇总统计!E$2:E$500,MATCH(105,样本到样信息汇总统计!$AC$2:$AC$500,0)),"")</f>
        <v/>
      </c>
      <c r="F106" s="4" t="str">
        <f>IFERROR(INDEX(样本到样信息汇总统计!F$2:F$500,MATCH(105,样本到样信息汇总统计!$AC$2:$AC$500,0)),"")</f>
        <v/>
      </c>
      <c r="G106" s="4" t="str">
        <f>IFERROR(INDEX(样本到样信息汇总统计!G$2:G$500,MATCH(105,样本到样信息汇总统计!$AC$2:$AC$500,0)),"")</f>
        <v/>
      </c>
      <c r="H106" s="4" t="str">
        <f>IFERROR(INDEX(样本到样信息汇总统计!H$2:H$500,MATCH(105,样本到样信息汇总统计!$AC$2:$AC$500,0)),"")</f>
        <v/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21.75" customHeight="1" spans="1:24">
      <c r="A107" s="8" t="str">
        <f>IFERROR(INDEX(样本到样信息汇总统计!A$2:A$500,MATCH(106,样本到样信息汇总统计!$AC$2:$AC$500,0)),"")</f>
        <v/>
      </c>
      <c r="B107" s="8" t="str">
        <f>IFERROR(INDEX(样本到样信息汇总统计!B$2:B$500,MATCH(106,样本到样信息汇总统计!$AC$2:$AC$500,0)),"")</f>
        <v/>
      </c>
      <c r="C107" s="8" t="str">
        <f>IFERROR(INDEX(样本到样信息汇总统计!C$2:C$500,MATCH(106,样本到样信息汇总统计!$AC$2:$AC$500,0)),"")</f>
        <v/>
      </c>
      <c r="D107" s="8" t="str">
        <f>IFERROR(INDEX(样本到样信息汇总统计!D$2:D$500,MATCH(106,样本到样信息汇总统计!$AC$2:$AC$500,0)),"")</f>
        <v/>
      </c>
      <c r="E107" s="8" t="str">
        <f>IFERROR(INDEX(样本到样信息汇总统计!E$2:E$500,MATCH(106,样本到样信息汇总统计!$AC$2:$AC$500,0)),"")</f>
        <v/>
      </c>
      <c r="F107" s="8" t="str">
        <f>IFERROR(INDEX(样本到样信息汇总统计!F$2:F$500,MATCH(106,样本到样信息汇总统计!$AC$2:$AC$500,0)),"")</f>
        <v/>
      </c>
      <c r="G107" s="8" t="str">
        <f>IFERROR(INDEX(样本到样信息汇总统计!G$2:G$500,MATCH(106,样本到样信息汇总统计!$AC$2:$AC$500,0)),"")</f>
        <v/>
      </c>
      <c r="H107" s="8" t="str">
        <f>IFERROR(INDEX(样本到样信息汇总统计!H$2:H$500,MATCH(106,样本到样信息汇总统计!$AC$2:$AC$500,0)),"")</f>
        <v/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ht="21.75" customHeight="1" spans="1:24">
      <c r="A108" s="4" t="str">
        <f>IFERROR(INDEX(样本到样信息汇总统计!A$2:A$500,MATCH(107,样本到样信息汇总统计!$AC$2:$AC$500,0)),"")</f>
        <v/>
      </c>
      <c r="B108" s="4" t="str">
        <f>IFERROR(INDEX(样本到样信息汇总统计!B$2:B$500,MATCH(107,样本到样信息汇总统计!$AC$2:$AC$500,0)),"")</f>
        <v/>
      </c>
      <c r="C108" s="4" t="str">
        <f>IFERROR(INDEX(样本到样信息汇总统计!C$2:C$500,MATCH(107,样本到样信息汇总统计!$AC$2:$AC$500,0)),"")</f>
        <v/>
      </c>
      <c r="D108" s="4" t="str">
        <f>IFERROR(INDEX(样本到样信息汇总统计!D$2:D$500,MATCH(107,样本到样信息汇总统计!$AC$2:$AC$500,0)),"")</f>
        <v/>
      </c>
      <c r="E108" s="4" t="str">
        <f>IFERROR(INDEX(样本到样信息汇总统计!E$2:E$500,MATCH(107,样本到样信息汇总统计!$AC$2:$AC$500,0)),"")</f>
        <v/>
      </c>
      <c r="F108" s="4" t="str">
        <f>IFERROR(INDEX(样本到样信息汇总统计!F$2:F$500,MATCH(107,样本到样信息汇总统计!$AC$2:$AC$500,0)),"")</f>
        <v/>
      </c>
      <c r="G108" s="4" t="str">
        <f>IFERROR(INDEX(样本到样信息汇总统计!G$2:G$500,MATCH(107,样本到样信息汇总统计!$AC$2:$AC$500,0)),"")</f>
        <v/>
      </c>
      <c r="H108" s="4" t="str">
        <f>IFERROR(INDEX(样本到样信息汇总统计!H$2:H$500,MATCH(107,样本到样信息汇总统计!$AC$2:$AC$500,0)),"")</f>
        <v/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21.75" customHeight="1" spans="1:24">
      <c r="A109" s="8" t="str">
        <f>IFERROR(INDEX(样本到样信息汇总统计!A$2:A$500,MATCH(108,样本到样信息汇总统计!$AC$2:$AC$500,0)),"")</f>
        <v/>
      </c>
      <c r="B109" s="8" t="str">
        <f>IFERROR(INDEX(样本到样信息汇总统计!B$2:B$500,MATCH(108,样本到样信息汇总统计!$AC$2:$AC$500,0)),"")</f>
        <v/>
      </c>
      <c r="C109" s="8" t="str">
        <f>IFERROR(INDEX(样本到样信息汇总统计!C$2:C$500,MATCH(108,样本到样信息汇总统计!$AC$2:$AC$500,0)),"")</f>
        <v/>
      </c>
      <c r="D109" s="8" t="str">
        <f>IFERROR(INDEX(样本到样信息汇总统计!D$2:D$500,MATCH(108,样本到样信息汇总统计!$AC$2:$AC$500,0)),"")</f>
        <v/>
      </c>
      <c r="E109" s="8" t="str">
        <f>IFERROR(INDEX(样本到样信息汇总统计!E$2:E$500,MATCH(108,样本到样信息汇总统计!$AC$2:$AC$500,0)),"")</f>
        <v/>
      </c>
      <c r="F109" s="8" t="str">
        <f>IFERROR(INDEX(样本到样信息汇总统计!F$2:F$500,MATCH(108,样本到样信息汇总统计!$AC$2:$AC$500,0)),"")</f>
        <v/>
      </c>
      <c r="G109" s="8" t="str">
        <f>IFERROR(INDEX(样本到样信息汇总统计!G$2:G$500,MATCH(108,样本到样信息汇总统计!$AC$2:$AC$500,0)),"")</f>
        <v/>
      </c>
      <c r="H109" s="8" t="str">
        <f>IFERROR(INDEX(样本到样信息汇总统计!H$2:H$500,MATCH(108,样本到样信息汇总统计!$AC$2:$AC$500,0)),"")</f>
        <v/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ht="21.75" customHeight="1" spans="1:24">
      <c r="A110" s="4" t="str">
        <f>IFERROR(INDEX(样本到样信息汇总统计!A$2:A$500,MATCH(109,样本到样信息汇总统计!$AC$2:$AC$500,0)),"")</f>
        <v/>
      </c>
      <c r="B110" s="4" t="str">
        <f>IFERROR(INDEX(样本到样信息汇总统计!B$2:B$500,MATCH(109,样本到样信息汇总统计!$AC$2:$AC$500,0)),"")</f>
        <v/>
      </c>
      <c r="C110" s="4" t="str">
        <f>IFERROR(INDEX(样本到样信息汇总统计!C$2:C$500,MATCH(109,样本到样信息汇总统计!$AC$2:$AC$500,0)),"")</f>
        <v/>
      </c>
      <c r="D110" s="4" t="str">
        <f>IFERROR(INDEX(样本到样信息汇总统计!D$2:D$500,MATCH(109,样本到样信息汇总统计!$AC$2:$AC$500,0)),"")</f>
        <v/>
      </c>
      <c r="E110" s="4" t="str">
        <f>IFERROR(INDEX(样本到样信息汇总统计!E$2:E$500,MATCH(109,样本到样信息汇总统计!$AC$2:$AC$500,0)),"")</f>
        <v/>
      </c>
      <c r="F110" s="4" t="str">
        <f>IFERROR(INDEX(样本到样信息汇总统计!F$2:F$500,MATCH(109,样本到样信息汇总统计!$AC$2:$AC$500,0)),"")</f>
        <v/>
      </c>
      <c r="G110" s="4" t="str">
        <f>IFERROR(INDEX(样本到样信息汇总统计!G$2:G$500,MATCH(109,样本到样信息汇总统计!$AC$2:$AC$500,0)),"")</f>
        <v/>
      </c>
      <c r="H110" s="4" t="str">
        <f>IFERROR(INDEX(样本到样信息汇总统计!H$2:H$500,MATCH(109,样本到样信息汇总统计!$AC$2:$AC$500,0)),"")</f>
        <v/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21.75" customHeight="1" spans="1:24">
      <c r="A111" s="8" t="str">
        <f>IFERROR(INDEX(样本到样信息汇总统计!A$2:A$500,MATCH(110,样本到样信息汇总统计!$AC$2:$AC$500,0)),"")</f>
        <v/>
      </c>
      <c r="B111" s="8" t="str">
        <f>IFERROR(INDEX(样本到样信息汇总统计!B$2:B$500,MATCH(110,样本到样信息汇总统计!$AC$2:$AC$500,0)),"")</f>
        <v/>
      </c>
      <c r="C111" s="8" t="str">
        <f>IFERROR(INDEX(样本到样信息汇总统计!C$2:C$500,MATCH(110,样本到样信息汇总统计!$AC$2:$AC$500,0)),"")</f>
        <v/>
      </c>
      <c r="D111" s="8" t="str">
        <f>IFERROR(INDEX(样本到样信息汇总统计!D$2:D$500,MATCH(110,样本到样信息汇总统计!$AC$2:$AC$500,0)),"")</f>
        <v/>
      </c>
      <c r="E111" s="8" t="str">
        <f>IFERROR(INDEX(样本到样信息汇总统计!E$2:E$500,MATCH(110,样本到样信息汇总统计!$AC$2:$AC$500,0)),"")</f>
        <v/>
      </c>
      <c r="F111" s="8" t="str">
        <f>IFERROR(INDEX(样本到样信息汇总统计!F$2:F$500,MATCH(110,样本到样信息汇总统计!$AC$2:$AC$500,0)),"")</f>
        <v/>
      </c>
      <c r="G111" s="8" t="str">
        <f>IFERROR(INDEX(样本到样信息汇总统计!G$2:G$500,MATCH(110,样本到样信息汇总统计!$AC$2:$AC$500,0)),"")</f>
        <v/>
      </c>
      <c r="H111" s="8" t="str">
        <f>IFERROR(INDEX(样本到样信息汇总统计!H$2:H$500,MATCH(110,样本到样信息汇总统计!$AC$2:$AC$500,0)),"")</f>
        <v/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ht="21.75" customHeight="1" spans="1:24">
      <c r="A112" s="4" t="str">
        <f>IFERROR(INDEX(样本到样信息汇总统计!A$2:A$500,MATCH(111,样本到样信息汇总统计!$AC$2:$AC$500,0)),"")</f>
        <v/>
      </c>
      <c r="B112" s="4" t="str">
        <f>IFERROR(INDEX(样本到样信息汇总统计!B$2:B$500,MATCH(111,样本到样信息汇总统计!$AC$2:$AC$500,0)),"")</f>
        <v/>
      </c>
      <c r="C112" s="4" t="str">
        <f>IFERROR(INDEX(样本到样信息汇总统计!C$2:C$500,MATCH(111,样本到样信息汇总统计!$AC$2:$AC$500,0)),"")</f>
        <v/>
      </c>
      <c r="D112" s="4" t="str">
        <f>IFERROR(INDEX(样本到样信息汇总统计!D$2:D$500,MATCH(111,样本到样信息汇总统计!$AC$2:$AC$500,0)),"")</f>
        <v/>
      </c>
      <c r="E112" s="4" t="str">
        <f>IFERROR(INDEX(样本到样信息汇总统计!E$2:E$500,MATCH(111,样本到样信息汇总统计!$AC$2:$AC$500,0)),"")</f>
        <v/>
      </c>
      <c r="F112" s="4" t="str">
        <f>IFERROR(INDEX(样本到样信息汇总统计!F$2:F$500,MATCH(111,样本到样信息汇总统计!$AC$2:$AC$500,0)),"")</f>
        <v/>
      </c>
      <c r="G112" s="4" t="str">
        <f>IFERROR(INDEX(样本到样信息汇总统计!G$2:G$500,MATCH(111,样本到样信息汇总统计!$AC$2:$AC$500,0)),"")</f>
        <v/>
      </c>
      <c r="H112" s="4" t="str">
        <f>IFERROR(INDEX(样本到样信息汇总统计!H$2:H$500,MATCH(111,样本到样信息汇总统计!$AC$2:$AC$500,0)),"")</f>
        <v/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21.75" customHeight="1" spans="1:24">
      <c r="A113" s="8" t="str">
        <f>IFERROR(INDEX(样本到样信息汇总统计!A$2:A$500,MATCH(112,样本到样信息汇总统计!$AC$2:$AC$500,0)),"")</f>
        <v/>
      </c>
      <c r="B113" s="8" t="str">
        <f>IFERROR(INDEX(样本到样信息汇总统计!B$2:B$500,MATCH(112,样本到样信息汇总统计!$AC$2:$AC$500,0)),"")</f>
        <v/>
      </c>
      <c r="C113" s="8" t="str">
        <f>IFERROR(INDEX(样本到样信息汇总统计!C$2:C$500,MATCH(112,样本到样信息汇总统计!$AC$2:$AC$500,0)),"")</f>
        <v/>
      </c>
      <c r="D113" s="8" t="str">
        <f>IFERROR(INDEX(样本到样信息汇总统计!D$2:D$500,MATCH(112,样本到样信息汇总统计!$AC$2:$AC$500,0)),"")</f>
        <v/>
      </c>
      <c r="E113" s="8" t="str">
        <f>IFERROR(INDEX(样本到样信息汇总统计!E$2:E$500,MATCH(112,样本到样信息汇总统计!$AC$2:$AC$500,0)),"")</f>
        <v/>
      </c>
      <c r="F113" s="8" t="str">
        <f>IFERROR(INDEX(样本到样信息汇总统计!F$2:F$500,MATCH(112,样本到样信息汇总统计!$AC$2:$AC$500,0)),"")</f>
        <v/>
      </c>
      <c r="G113" s="8" t="str">
        <f>IFERROR(INDEX(样本到样信息汇总统计!G$2:G$500,MATCH(112,样本到样信息汇总统计!$AC$2:$AC$500,0)),"")</f>
        <v/>
      </c>
      <c r="H113" s="8" t="str">
        <f>IFERROR(INDEX(样本到样信息汇总统计!H$2:H$500,MATCH(112,样本到样信息汇总统计!$AC$2:$AC$500,0)),"")</f>
        <v/>
      </c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ht="21.75" customHeight="1" spans="1:24">
      <c r="A114" s="4" t="str">
        <f>IFERROR(INDEX(样本到样信息汇总统计!A$2:A$500,MATCH(113,样本到样信息汇总统计!$AC$2:$AC$500,0)),"")</f>
        <v/>
      </c>
      <c r="B114" s="4" t="str">
        <f>IFERROR(INDEX(样本到样信息汇总统计!B$2:B$500,MATCH(113,样本到样信息汇总统计!$AC$2:$AC$500,0)),"")</f>
        <v/>
      </c>
      <c r="C114" s="4" t="str">
        <f>IFERROR(INDEX(样本到样信息汇总统计!C$2:C$500,MATCH(113,样本到样信息汇总统计!$AC$2:$AC$500,0)),"")</f>
        <v/>
      </c>
      <c r="D114" s="4" t="str">
        <f>IFERROR(INDEX(样本到样信息汇总统计!D$2:D$500,MATCH(113,样本到样信息汇总统计!$AC$2:$AC$500,0)),"")</f>
        <v/>
      </c>
      <c r="E114" s="4" t="str">
        <f>IFERROR(INDEX(样本到样信息汇总统计!E$2:E$500,MATCH(113,样本到样信息汇总统计!$AC$2:$AC$500,0)),"")</f>
        <v/>
      </c>
      <c r="F114" s="4" t="str">
        <f>IFERROR(INDEX(样本到样信息汇总统计!F$2:F$500,MATCH(113,样本到样信息汇总统计!$AC$2:$AC$500,0)),"")</f>
        <v/>
      </c>
      <c r="G114" s="4" t="str">
        <f>IFERROR(INDEX(样本到样信息汇总统计!G$2:G$500,MATCH(113,样本到样信息汇总统计!$AC$2:$AC$500,0)),"")</f>
        <v/>
      </c>
      <c r="H114" s="4" t="str">
        <f>IFERROR(INDEX(样本到样信息汇总统计!H$2:H$500,MATCH(113,样本到样信息汇总统计!$AC$2:$AC$500,0)),"")</f>
        <v/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21.75" customHeight="1" spans="1:24">
      <c r="A115" s="8" t="str">
        <f>IFERROR(INDEX(样本到样信息汇总统计!A$2:A$500,MATCH(114,样本到样信息汇总统计!$AC$2:$AC$500,0)),"")</f>
        <v/>
      </c>
      <c r="B115" s="8" t="str">
        <f>IFERROR(INDEX(样本到样信息汇总统计!B$2:B$500,MATCH(114,样本到样信息汇总统计!$AC$2:$AC$500,0)),"")</f>
        <v/>
      </c>
      <c r="C115" s="8" t="str">
        <f>IFERROR(INDEX(样本到样信息汇总统计!C$2:C$500,MATCH(114,样本到样信息汇总统计!$AC$2:$AC$500,0)),"")</f>
        <v/>
      </c>
      <c r="D115" s="8" t="str">
        <f>IFERROR(INDEX(样本到样信息汇总统计!D$2:D$500,MATCH(114,样本到样信息汇总统计!$AC$2:$AC$500,0)),"")</f>
        <v/>
      </c>
      <c r="E115" s="8" t="str">
        <f>IFERROR(INDEX(样本到样信息汇总统计!E$2:E$500,MATCH(114,样本到样信息汇总统计!$AC$2:$AC$500,0)),"")</f>
        <v/>
      </c>
      <c r="F115" s="8" t="str">
        <f>IFERROR(INDEX(样本到样信息汇总统计!F$2:F$500,MATCH(114,样本到样信息汇总统计!$AC$2:$AC$500,0)),"")</f>
        <v/>
      </c>
      <c r="G115" s="8" t="str">
        <f>IFERROR(INDEX(样本到样信息汇总统计!G$2:G$500,MATCH(114,样本到样信息汇总统计!$AC$2:$AC$500,0)),"")</f>
        <v/>
      </c>
      <c r="H115" s="8" t="str">
        <f>IFERROR(INDEX(样本到样信息汇总统计!H$2:H$500,MATCH(114,样本到样信息汇总统计!$AC$2:$AC$500,0)),"")</f>
        <v/>
      </c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ht="21.75" customHeight="1" spans="1:24">
      <c r="A116" s="4" t="str">
        <f>IFERROR(INDEX(样本到样信息汇总统计!A$2:A$500,MATCH(115,样本到样信息汇总统计!$AC$2:$AC$500,0)),"")</f>
        <v/>
      </c>
      <c r="B116" s="4" t="str">
        <f>IFERROR(INDEX(样本到样信息汇总统计!B$2:B$500,MATCH(115,样本到样信息汇总统计!$AC$2:$AC$500,0)),"")</f>
        <v/>
      </c>
      <c r="C116" s="4" t="str">
        <f>IFERROR(INDEX(样本到样信息汇总统计!C$2:C$500,MATCH(115,样本到样信息汇总统计!$AC$2:$AC$500,0)),"")</f>
        <v/>
      </c>
      <c r="D116" s="4" t="str">
        <f>IFERROR(INDEX(样本到样信息汇总统计!D$2:D$500,MATCH(115,样本到样信息汇总统计!$AC$2:$AC$500,0)),"")</f>
        <v/>
      </c>
      <c r="E116" s="4" t="str">
        <f>IFERROR(INDEX(样本到样信息汇总统计!E$2:E$500,MATCH(115,样本到样信息汇总统计!$AC$2:$AC$500,0)),"")</f>
        <v/>
      </c>
      <c r="F116" s="4" t="str">
        <f>IFERROR(INDEX(样本到样信息汇总统计!F$2:F$500,MATCH(115,样本到样信息汇总统计!$AC$2:$AC$500,0)),"")</f>
        <v/>
      </c>
      <c r="G116" s="4" t="str">
        <f>IFERROR(INDEX(样本到样信息汇总统计!G$2:G$500,MATCH(115,样本到样信息汇总统计!$AC$2:$AC$500,0)),"")</f>
        <v/>
      </c>
      <c r="H116" s="4" t="str">
        <f>IFERROR(INDEX(样本到样信息汇总统计!H$2:H$500,MATCH(115,样本到样信息汇总统计!$AC$2:$AC$500,0)),"")</f>
        <v/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21.75" customHeight="1" spans="1:24">
      <c r="A117" s="8" t="str">
        <f>IFERROR(INDEX(样本到样信息汇总统计!A$2:A$500,MATCH(116,样本到样信息汇总统计!$AC$2:$AC$500,0)),"")</f>
        <v/>
      </c>
      <c r="B117" s="8" t="str">
        <f>IFERROR(INDEX(样本到样信息汇总统计!B$2:B$500,MATCH(116,样本到样信息汇总统计!$AC$2:$AC$500,0)),"")</f>
        <v/>
      </c>
      <c r="C117" s="8" t="str">
        <f>IFERROR(INDEX(样本到样信息汇总统计!C$2:C$500,MATCH(116,样本到样信息汇总统计!$AC$2:$AC$500,0)),"")</f>
        <v/>
      </c>
      <c r="D117" s="8" t="str">
        <f>IFERROR(INDEX(样本到样信息汇总统计!D$2:D$500,MATCH(116,样本到样信息汇总统计!$AC$2:$AC$500,0)),"")</f>
        <v/>
      </c>
      <c r="E117" s="8" t="str">
        <f>IFERROR(INDEX(样本到样信息汇总统计!E$2:E$500,MATCH(116,样本到样信息汇总统计!$AC$2:$AC$500,0)),"")</f>
        <v/>
      </c>
      <c r="F117" s="8" t="str">
        <f>IFERROR(INDEX(样本到样信息汇总统计!F$2:F$500,MATCH(116,样本到样信息汇总统计!$AC$2:$AC$500,0)),"")</f>
        <v/>
      </c>
      <c r="G117" s="8" t="str">
        <f>IFERROR(INDEX(样本到样信息汇总统计!G$2:G$500,MATCH(116,样本到样信息汇总统计!$AC$2:$AC$500,0)),"")</f>
        <v/>
      </c>
      <c r="H117" s="8" t="str">
        <f>IFERROR(INDEX(样本到样信息汇总统计!H$2:H$500,MATCH(116,样本到样信息汇总统计!$AC$2:$AC$500,0)),"")</f>
        <v/>
      </c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ht="21.75" customHeight="1" spans="1:24">
      <c r="A118" s="4" t="str">
        <f>IFERROR(INDEX(样本到样信息汇总统计!A$2:A$500,MATCH(117,样本到样信息汇总统计!$AC$2:$AC$500,0)),"")</f>
        <v/>
      </c>
      <c r="B118" s="4" t="str">
        <f>IFERROR(INDEX(样本到样信息汇总统计!B$2:B$500,MATCH(117,样本到样信息汇总统计!$AC$2:$AC$500,0)),"")</f>
        <v/>
      </c>
      <c r="C118" s="4" t="str">
        <f>IFERROR(INDEX(样本到样信息汇总统计!C$2:C$500,MATCH(117,样本到样信息汇总统计!$AC$2:$AC$500,0)),"")</f>
        <v/>
      </c>
      <c r="D118" s="4" t="str">
        <f>IFERROR(INDEX(样本到样信息汇总统计!D$2:D$500,MATCH(117,样本到样信息汇总统计!$AC$2:$AC$500,0)),"")</f>
        <v/>
      </c>
      <c r="E118" s="4" t="str">
        <f>IFERROR(INDEX(样本到样信息汇总统计!E$2:E$500,MATCH(117,样本到样信息汇总统计!$AC$2:$AC$500,0)),"")</f>
        <v/>
      </c>
      <c r="F118" s="4" t="str">
        <f>IFERROR(INDEX(样本到样信息汇总统计!F$2:F$500,MATCH(117,样本到样信息汇总统计!$AC$2:$AC$500,0)),"")</f>
        <v/>
      </c>
      <c r="G118" s="4" t="str">
        <f>IFERROR(INDEX(样本到样信息汇总统计!G$2:G$500,MATCH(117,样本到样信息汇总统计!$AC$2:$AC$500,0)),"")</f>
        <v/>
      </c>
      <c r="H118" s="4" t="str">
        <f>IFERROR(INDEX(样本到样信息汇总统计!H$2:H$500,MATCH(117,样本到样信息汇总统计!$AC$2:$AC$500,0)),"")</f>
        <v/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21.75" customHeight="1" spans="1:24">
      <c r="A119" s="8" t="str">
        <f>IFERROR(INDEX(样本到样信息汇总统计!A$2:A$500,MATCH(118,样本到样信息汇总统计!$AC$2:$AC$500,0)),"")</f>
        <v/>
      </c>
      <c r="B119" s="8" t="str">
        <f>IFERROR(INDEX(样本到样信息汇总统计!B$2:B$500,MATCH(118,样本到样信息汇总统计!$AC$2:$AC$500,0)),"")</f>
        <v/>
      </c>
      <c r="C119" s="8" t="str">
        <f>IFERROR(INDEX(样本到样信息汇总统计!C$2:C$500,MATCH(118,样本到样信息汇总统计!$AC$2:$AC$500,0)),"")</f>
        <v/>
      </c>
      <c r="D119" s="8" t="str">
        <f>IFERROR(INDEX(样本到样信息汇总统计!D$2:D$500,MATCH(118,样本到样信息汇总统计!$AC$2:$AC$500,0)),"")</f>
        <v/>
      </c>
      <c r="E119" s="8" t="str">
        <f>IFERROR(INDEX(样本到样信息汇总统计!E$2:E$500,MATCH(118,样本到样信息汇总统计!$AC$2:$AC$500,0)),"")</f>
        <v/>
      </c>
      <c r="F119" s="8" t="str">
        <f>IFERROR(INDEX(样本到样信息汇总统计!F$2:F$500,MATCH(118,样本到样信息汇总统计!$AC$2:$AC$500,0)),"")</f>
        <v/>
      </c>
      <c r="G119" s="8" t="str">
        <f>IFERROR(INDEX(样本到样信息汇总统计!G$2:G$500,MATCH(118,样本到样信息汇总统计!$AC$2:$AC$500,0)),"")</f>
        <v/>
      </c>
      <c r="H119" s="8" t="str">
        <f>IFERROR(INDEX(样本到样信息汇总统计!H$2:H$500,MATCH(118,样本到样信息汇总统计!$AC$2:$AC$500,0)),"")</f>
        <v/>
      </c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ht="21.75" customHeight="1" spans="1:24">
      <c r="A120" s="4" t="str">
        <f>IFERROR(INDEX(样本到样信息汇总统计!A$2:A$500,MATCH(119,样本到样信息汇总统计!$AC$2:$AC$500,0)),"")</f>
        <v/>
      </c>
      <c r="B120" s="4" t="str">
        <f>IFERROR(INDEX(样本到样信息汇总统计!B$2:B$500,MATCH(119,样本到样信息汇总统计!$AC$2:$AC$500,0)),"")</f>
        <v/>
      </c>
      <c r="C120" s="4" t="str">
        <f>IFERROR(INDEX(样本到样信息汇总统计!C$2:C$500,MATCH(119,样本到样信息汇总统计!$AC$2:$AC$500,0)),"")</f>
        <v/>
      </c>
      <c r="D120" s="4" t="str">
        <f>IFERROR(INDEX(样本到样信息汇总统计!D$2:D$500,MATCH(119,样本到样信息汇总统计!$AC$2:$AC$500,0)),"")</f>
        <v/>
      </c>
      <c r="E120" s="4" t="str">
        <f>IFERROR(INDEX(样本到样信息汇总统计!E$2:E$500,MATCH(119,样本到样信息汇总统计!$AC$2:$AC$500,0)),"")</f>
        <v/>
      </c>
      <c r="F120" s="4" t="str">
        <f>IFERROR(INDEX(样本到样信息汇总统计!F$2:F$500,MATCH(119,样本到样信息汇总统计!$AC$2:$AC$500,0)),"")</f>
        <v/>
      </c>
      <c r="G120" s="4" t="str">
        <f>IFERROR(INDEX(样本到样信息汇总统计!G$2:G$500,MATCH(119,样本到样信息汇总统计!$AC$2:$AC$500,0)),"")</f>
        <v/>
      </c>
      <c r="H120" s="4" t="str">
        <f>IFERROR(INDEX(样本到样信息汇总统计!H$2:H$500,MATCH(119,样本到样信息汇总统计!$AC$2:$AC$500,0)),"")</f>
        <v/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21.75" customHeight="1" spans="1:24">
      <c r="A121" s="8" t="str">
        <f>IFERROR(INDEX(样本到样信息汇总统计!A$2:A$500,MATCH(120,样本到样信息汇总统计!$AC$2:$AC$500,0)),"")</f>
        <v/>
      </c>
      <c r="B121" s="8" t="str">
        <f>IFERROR(INDEX(样本到样信息汇总统计!B$2:B$500,MATCH(120,样本到样信息汇总统计!$AC$2:$AC$500,0)),"")</f>
        <v/>
      </c>
      <c r="C121" s="8" t="str">
        <f>IFERROR(INDEX(样本到样信息汇总统计!C$2:C$500,MATCH(120,样本到样信息汇总统计!$AC$2:$AC$500,0)),"")</f>
        <v/>
      </c>
      <c r="D121" s="8" t="str">
        <f>IFERROR(INDEX(样本到样信息汇总统计!D$2:D$500,MATCH(120,样本到样信息汇总统计!$AC$2:$AC$500,0)),"")</f>
        <v/>
      </c>
      <c r="E121" s="8" t="str">
        <f>IFERROR(INDEX(样本到样信息汇总统计!E$2:E$500,MATCH(120,样本到样信息汇总统计!$AC$2:$AC$500,0)),"")</f>
        <v/>
      </c>
      <c r="F121" s="8" t="str">
        <f>IFERROR(INDEX(样本到样信息汇总统计!F$2:F$500,MATCH(120,样本到样信息汇总统计!$AC$2:$AC$500,0)),"")</f>
        <v/>
      </c>
      <c r="G121" s="8" t="str">
        <f>IFERROR(INDEX(样本到样信息汇总统计!G$2:G$500,MATCH(120,样本到样信息汇总统计!$AC$2:$AC$500,0)),"")</f>
        <v/>
      </c>
      <c r="H121" s="8" t="str">
        <f>IFERROR(INDEX(样本到样信息汇总统计!H$2:H$500,MATCH(120,样本到样信息汇总统计!$AC$2:$AC$500,0)),"")</f>
        <v/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ht="21.75" customHeight="1" spans="1:24">
      <c r="A122" s="4" t="str">
        <f>IFERROR(INDEX(样本到样信息汇总统计!A$2:A$500,MATCH(121,样本到样信息汇总统计!$AC$2:$AC$500,0)),"")</f>
        <v/>
      </c>
      <c r="B122" s="4" t="str">
        <f>IFERROR(INDEX(样本到样信息汇总统计!B$2:B$500,MATCH(121,样本到样信息汇总统计!$AC$2:$AC$500,0)),"")</f>
        <v/>
      </c>
      <c r="C122" s="4" t="str">
        <f>IFERROR(INDEX(样本到样信息汇总统计!C$2:C$500,MATCH(121,样本到样信息汇总统计!$AC$2:$AC$500,0)),"")</f>
        <v/>
      </c>
      <c r="D122" s="4" t="str">
        <f>IFERROR(INDEX(样本到样信息汇总统计!D$2:D$500,MATCH(121,样本到样信息汇总统计!$AC$2:$AC$500,0)),"")</f>
        <v/>
      </c>
      <c r="E122" s="4" t="str">
        <f>IFERROR(INDEX(样本到样信息汇总统计!E$2:E$500,MATCH(121,样本到样信息汇总统计!$AC$2:$AC$500,0)),"")</f>
        <v/>
      </c>
      <c r="F122" s="4" t="str">
        <f>IFERROR(INDEX(样本到样信息汇总统计!F$2:F$500,MATCH(121,样本到样信息汇总统计!$AC$2:$AC$500,0)),"")</f>
        <v/>
      </c>
      <c r="G122" s="4" t="str">
        <f>IFERROR(INDEX(样本到样信息汇总统计!G$2:G$500,MATCH(121,样本到样信息汇总统计!$AC$2:$AC$500,0)),"")</f>
        <v/>
      </c>
      <c r="H122" s="4" t="str">
        <f>IFERROR(INDEX(样本到样信息汇总统计!H$2:H$500,MATCH(121,样本到样信息汇总统计!$AC$2:$AC$500,0)),"")</f>
        <v/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21.75" customHeight="1" spans="1:24">
      <c r="A123" s="8" t="str">
        <f>IFERROR(INDEX(样本到样信息汇总统计!A$2:A$500,MATCH(122,样本到样信息汇总统计!$AC$2:$AC$500,0)),"")</f>
        <v/>
      </c>
      <c r="B123" s="8" t="str">
        <f>IFERROR(INDEX(样本到样信息汇总统计!B$2:B$500,MATCH(122,样本到样信息汇总统计!$AC$2:$AC$500,0)),"")</f>
        <v/>
      </c>
      <c r="C123" s="8" t="str">
        <f>IFERROR(INDEX(样本到样信息汇总统计!C$2:C$500,MATCH(122,样本到样信息汇总统计!$AC$2:$AC$500,0)),"")</f>
        <v/>
      </c>
      <c r="D123" s="8" t="str">
        <f>IFERROR(INDEX(样本到样信息汇总统计!D$2:D$500,MATCH(122,样本到样信息汇总统计!$AC$2:$AC$500,0)),"")</f>
        <v/>
      </c>
      <c r="E123" s="8" t="str">
        <f>IFERROR(INDEX(样本到样信息汇总统计!E$2:E$500,MATCH(122,样本到样信息汇总统计!$AC$2:$AC$500,0)),"")</f>
        <v/>
      </c>
      <c r="F123" s="8" t="str">
        <f>IFERROR(INDEX(样本到样信息汇总统计!F$2:F$500,MATCH(122,样本到样信息汇总统计!$AC$2:$AC$500,0)),"")</f>
        <v/>
      </c>
      <c r="G123" s="8" t="str">
        <f>IFERROR(INDEX(样本到样信息汇总统计!G$2:G$500,MATCH(122,样本到样信息汇总统计!$AC$2:$AC$500,0)),"")</f>
        <v/>
      </c>
      <c r="H123" s="8" t="str">
        <f>IFERROR(INDEX(样本到样信息汇总统计!H$2:H$500,MATCH(122,样本到样信息汇总统计!$AC$2:$AC$500,0)),"")</f>
        <v/>
      </c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ht="21.75" customHeight="1" spans="1:24">
      <c r="A124" s="4" t="str">
        <f>IFERROR(INDEX(样本到样信息汇总统计!A$2:A$500,MATCH(123,样本到样信息汇总统计!$AC$2:$AC$500,0)),"")</f>
        <v/>
      </c>
      <c r="B124" s="4" t="str">
        <f>IFERROR(INDEX(样本到样信息汇总统计!B$2:B$500,MATCH(123,样本到样信息汇总统计!$AC$2:$AC$500,0)),"")</f>
        <v/>
      </c>
      <c r="C124" s="4" t="str">
        <f>IFERROR(INDEX(样本到样信息汇总统计!C$2:C$500,MATCH(123,样本到样信息汇总统计!$AC$2:$AC$500,0)),"")</f>
        <v/>
      </c>
      <c r="D124" s="4" t="str">
        <f>IFERROR(INDEX(样本到样信息汇总统计!D$2:D$500,MATCH(123,样本到样信息汇总统计!$AC$2:$AC$500,0)),"")</f>
        <v/>
      </c>
      <c r="E124" s="4" t="str">
        <f>IFERROR(INDEX(样本到样信息汇总统计!E$2:E$500,MATCH(123,样本到样信息汇总统计!$AC$2:$AC$500,0)),"")</f>
        <v/>
      </c>
      <c r="F124" s="4" t="str">
        <f>IFERROR(INDEX(样本到样信息汇总统计!F$2:F$500,MATCH(123,样本到样信息汇总统计!$AC$2:$AC$500,0)),"")</f>
        <v/>
      </c>
      <c r="G124" s="4" t="str">
        <f>IFERROR(INDEX(样本到样信息汇总统计!G$2:G$500,MATCH(123,样本到样信息汇总统计!$AC$2:$AC$500,0)),"")</f>
        <v/>
      </c>
      <c r="H124" s="4" t="str">
        <f>IFERROR(INDEX(样本到样信息汇总统计!H$2:H$500,MATCH(123,样本到样信息汇总统计!$AC$2:$AC$500,0)),"")</f>
        <v/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21.75" customHeight="1" spans="1:24">
      <c r="A125" s="8" t="str">
        <f>IFERROR(INDEX(样本到样信息汇总统计!A$2:A$500,MATCH(124,样本到样信息汇总统计!$AC$2:$AC$500,0)),"")</f>
        <v/>
      </c>
      <c r="B125" s="8" t="str">
        <f>IFERROR(INDEX(样本到样信息汇总统计!B$2:B$500,MATCH(124,样本到样信息汇总统计!$AC$2:$AC$500,0)),"")</f>
        <v/>
      </c>
      <c r="C125" s="8" t="str">
        <f>IFERROR(INDEX(样本到样信息汇总统计!C$2:C$500,MATCH(124,样本到样信息汇总统计!$AC$2:$AC$500,0)),"")</f>
        <v/>
      </c>
      <c r="D125" s="8" t="str">
        <f>IFERROR(INDEX(样本到样信息汇总统计!D$2:D$500,MATCH(124,样本到样信息汇总统计!$AC$2:$AC$500,0)),"")</f>
        <v/>
      </c>
      <c r="E125" s="8" t="str">
        <f>IFERROR(INDEX(样本到样信息汇总统计!E$2:E$500,MATCH(124,样本到样信息汇总统计!$AC$2:$AC$500,0)),"")</f>
        <v/>
      </c>
      <c r="F125" s="8" t="str">
        <f>IFERROR(INDEX(样本到样信息汇总统计!F$2:F$500,MATCH(124,样本到样信息汇总统计!$AC$2:$AC$500,0)),"")</f>
        <v/>
      </c>
      <c r="G125" s="8" t="str">
        <f>IFERROR(INDEX(样本到样信息汇总统计!G$2:G$500,MATCH(124,样本到样信息汇总统计!$AC$2:$AC$500,0)),"")</f>
        <v/>
      </c>
      <c r="H125" s="8" t="str">
        <f>IFERROR(INDEX(样本到样信息汇总统计!H$2:H$500,MATCH(124,样本到样信息汇总统计!$AC$2:$AC$500,0)),"")</f>
        <v/>
      </c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ht="21.75" customHeight="1" spans="1:24">
      <c r="A126" s="4" t="str">
        <f>IFERROR(INDEX(样本到样信息汇总统计!A$2:A$500,MATCH(125,样本到样信息汇总统计!$AC$2:$AC$500,0)),"")</f>
        <v/>
      </c>
      <c r="B126" s="4" t="str">
        <f>IFERROR(INDEX(样本到样信息汇总统计!B$2:B$500,MATCH(125,样本到样信息汇总统计!$AC$2:$AC$500,0)),"")</f>
        <v/>
      </c>
      <c r="C126" s="4" t="str">
        <f>IFERROR(INDEX(样本到样信息汇总统计!C$2:C$500,MATCH(125,样本到样信息汇总统计!$AC$2:$AC$500,0)),"")</f>
        <v/>
      </c>
      <c r="D126" s="4" t="str">
        <f>IFERROR(INDEX(样本到样信息汇总统计!D$2:D$500,MATCH(125,样本到样信息汇总统计!$AC$2:$AC$500,0)),"")</f>
        <v/>
      </c>
      <c r="E126" s="4" t="str">
        <f>IFERROR(INDEX(样本到样信息汇总统计!E$2:E$500,MATCH(125,样本到样信息汇总统计!$AC$2:$AC$500,0)),"")</f>
        <v/>
      </c>
      <c r="F126" s="4" t="str">
        <f>IFERROR(INDEX(样本到样信息汇总统计!F$2:F$500,MATCH(125,样本到样信息汇总统计!$AC$2:$AC$500,0)),"")</f>
        <v/>
      </c>
      <c r="G126" s="4" t="str">
        <f>IFERROR(INDEX(样本到样信息汇总统计!G$2:G$500,MATCH(125,样本到样信息汇总统计!$AC$2:$AC$500,0)),"")</f>
        <v/>
      </c>
      <c r="H126" s="4" t="str">
        <f>IFERROR(INDEX(样本到样信息汇总统计!H$2:H$500,MATCH(125,样本到样信息汇总统计!$AC$2:$AC$500,0)),"")</f>
        <v/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21.75" customHeight="1" spans="1:24">
      <c r="A127" s="8" t="str">
        <f>IFERROR(INDEX(样本到样信息汇总统计!A$2:A$500,MATCH(126,样本到样信息汇总统计!$AC$2:$AC$500,0)),"")</f>
        <v/>
      </c>
      <c r="B127" s="8" t="str">
        <f>IFERROR(INDEX(样本到样信息汇总统计!B$2:B$500,MATCH(126,样本到样信息汇总统计!$AC$2:$AC$500,0)),"")</f>
        <v/>
      </c>
      <c r="C127" s="8" t="str">
        <f>IFERROR(INDEX(样本到样信息汇总统计!C$2:C$500,MATCH(126,样本到样信息汇总统计!$AC$2:$AC$500,0)),"")</f>
        <v/>
      </c>
      <c r="D127" s="8" t="str">
        <f>IFERROR(INDEX(样本到样信息汇总统计!D$2:D$500,MATCH(126,样本到样信息汇总统计!$AC$2:$AC$500,0)),"")</f>
        <v/>
      </c>
      <c r="E127" s="8" t="str">
        <f>IFERROR(INDEX(样本到样信息汇总统计!E$2:E$500,MATCH(126,样本到样信息汇总统计!$AC$2:$AC$500,0)),"")</f>
        <v/>
      </c>
      <c r="F127" s="8" t="str">
        <f>IFERROR(INDEX(样本到样信息汇总统计!F$2:F$500,MATCH(126,样本到样信息汇总统计!$AC$2:$AC$500,0)),"")</f>
        <v/>
      </c>
      <c r="G127" s="8" t="str">
        <f>IFERROR(INDEX(样本到样信息汇总统计!G$2:G$500,MATCH(126,样本到样信息汇总统计!$AC$2:$AC$500,0)),"")</f>
        <v/>
      </c>
      <c r="H127" s="8" t="str">
        <f>IFERROR(INDEX(样本到样信息汇总统计!H$2:H$500,MATCH(126,样本到样信息汇总统计!$AC$2:$AC$500,0)),"")</f>
        <v/>
      </c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ht="21.75" customHeight="1" spans="1:24">
      <c r="A128" s="4" t="str">
        <f>IFERROR(INDEX(样本到样信息汇总统计!A$2:A$500,MATCH(127,样本到样信息汇总统计!$AC$2:$AC$500,0)),"")</f>
        <v/>
      </c>
      <c r="B128" s="4" t="str">
        <f>IFERROR(INDEX(样本到样信息汇总统计!B$2:B$500,MATCH(127,样本到样信息汇总统计!$AC$2:$AC$500,0)),"")</f>
        <v/>
      </c>
      <c r="C128" s="4" t="str">
        <f>IFERROR(INDEX(样本到样信息汇总统计!C$2:C$500,MATCH(127,样本到样信息汇总统计!$AC$2:$AC$500,0)),"")</f>
        <v/>
      </c>
      <c r="D128" s="4" t="str">
        <f>IFERROR(INDEX(样本到样信息汇总统计!D$2:D$500,MATCH(127,样本到样信息汇总统计!$AC$2:$AC$500,0)),"")</f>
        <v/>
      </c>
      <c r="E128" s="4" t="str">
        <f>IFERROR(INDEX(样本到样信息汇总统计!E$2:E$500,MATCH(127,样本到样信息汇总统计!$AC$2:$AC$500,0)),"")</f>
        <v/>
      </c>
      <c r="F128" s="4" t="str">
        <f>IFERROR(INDEX(样本到样信息汇总统计!F$2:F$500,MATCH(127,样本到样信息汇总统计!$AC$2:$AC$500,0)),"")</f>
        <v/>
      </c>
      <c r="G128" s="4" t="str">
        <f>IFERROR(INDEX(样本到样信息汇总统计!G$2:G$500,MATCH(127,样本到样信息汇总统计!$AC$2:$AC$500,0)),"")</f>
        <v/>
      </c>
      <c r="H128" s="4" t="str">
        <f>IFERROR(INDEX(样本到样信息汇总统计!H$2:H$500,MATCH(127,样本到样信息汇总统计!$AC$2:$AC$500,0)),"")</f>
        <v/>
      </c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21.75" customHeight="1" spans="1:24">
      <c r="A129" s="8" t="str">
        <f>IFERROR(INDEX(样本到样信息汇总统计!A$2:A$500,MATCH(128,样本到样信息汇总统计!$AC$2:$AC$500,0)),"")</f>
        <v/>
      </c>
      <c r="B129" s="8" t="str">
        <f>IFERROR(INDEX(样本到样信息汇总统计!B$2:B$500,MATCH(128,样本到样信息汇总统计!$AC$2:$AC$500,0)),"")</f>
        <v/>
      </c>
      <c r="C129" s="8" t="str">
        <f>IFERROR(INDEX(样本到样信息汇总统计!C$2:C$500,MATCH(128,样本到样信息汇总统计!$AC$2:$AC$500,0)),"")</f>
        <v/>
      </c>
      <c r="D129" s="8" t="str">
        <f>IFERROR(INDEX(样本到样信息汇总统计!D$2:D$500,MATCH(128,样本到样信息汇总统计!$AC$2:$AC$500,0)),"")</f>
        <v/>
      </c>
      <c r="E129" s="8" t="str">
        <f>IFERROR(INDEX(样本到样信息汇总统计!E$2:E$500,MATCH(128,样本到样信息汇总统计!$AC$2:$AC$500,0)),"")</f>
        <v/>
      </c>
      <c r="F129" s="8" t="str">
        <f>IFERROR(INDEX(样本到样信息汇总统计!F$2:F$500,MATCH(128,样本到样信息汇总统计!$AC$2:$AC$500,0)),"")</f>
        <v/>
      </c>
      <c r="G129" s="8" t="str">
        <f>IFERROR(INDEX(样本到样信息汇总统计!G$2:G$500,MATCH(128,样本到样信息汇总统计!$AC$2:$AC$500,0)),"")</f>
        <v/>
      </c>
      <c r="H129" s="8" t="str">
        <f>IFERROR(INDEX(样本到样信息汇总统计!H$2:H$500,MATCH(128,样本到样信息汇总统计!$AC$2:$AC$500,0)),"")</f>
        <v/>
      </c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ht="21.75" customHeight="1" spans="1:24">
      <c r="A130" s="4" t="str">
        <f>IFERROR(INDEX(样本到样信息汇总统计!A$2:A$500,MATCH(129,样本到样信息汇总统计!$AC$2:$AC$500,0)),"")</f>
        <v/>
      </c>
      <c r="B130" s="4" t="str">
        <f>IFERROR(INDEX(样本到样信息汇总统计!B$2:B$500,MATCH(129,样本到样信息汇总统计!$AC$2:$AC$500,0)),"")</f>
        <v/>
      </c>
      <c r="C130" s="4" t="str">
        <f>IFERROR(INDEX(样本到样信息汇总统计!C$2:C$500,MATCH(129,样本到样信息汇总统计!$AC$2:$AC$500,0)),"")</f>
        <v/>
      </c>
      <c r="D130" s="4" t="str">
        <f>IFERROR(INDEX(样本到样信息汇总统计!D$2:D$500,MATCH(129,样本到样信息汇总统计!$AC$2:$AC$500,0)),"")</f>
        <v/>
      </c>
      <c r="E130" s="4" t="str">
        <f>IFERROR(INDEX(样本到样信息汇总统计!E$2:E$500,MATCH(129,样本到样信息汇总统计!$AC$2:$AC$500,0)),"")</f>
        <v/>
      </c>
      <c r="F130" s="4" t="str">
        <f>IFERROR(INDEX(样本到样信息汇总统计!F$2:F$500,MATCH(129,样本到样信息汇总统计!$AC$2:$AC$500,0)),"")</f>
        <v/>
      </c>
      <c r="G130" s="4" t="str">
        <f>IFERROR(INDEX(样本到样信息汇总统计!G$2:G$500,MATCH(129,样本到样信息汇总统计!$AC$2:$AC$500,0)),"")</f>
        <v/>
      </c>
      <c r="H130" s="4" t="str">
        <f>IFERROR(INDEX(样本到样信息汇总统计!H$2:H$500,MATCH(129,样本到样信息汇总统计!$AC$2:$AC$500,0)),"")</f>
        <v/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21.75" customHeight="1" spans="1:24">
      <c r="A131" s="8" t="str">
        <f>IFERROR(INDEX(样本到样信息汇总统计!A$2:A$500,MATCH(130,样本到样信息汇总统计!$AC$2:$AC$500,0)),"")</f>
        <v/>
      </c>
      <c r="B131" s="8" t="str">
        <f>IFERROR(INDEX(样本到样信息汇总统计!B$2:B$500,MATCH(130,样本到样信息汇总统计!$AC$2:$AC$500,0)),"")</f>
        <v/>
      </c>
      <c r="C131" s="8" t="str">
        <f>IFERROR(INDEX(样本到样信息汇总统计!C$2:C$500,MATCH(130,样本到样信息汇总统计!$AC$2:$AC$500,0)),"")</f>
        <v/>
      </c>
      <c r="D131" s="8" t="str">
        <f>IFERROR(INDEX(样本到样信息汇总统计!D$2:D$500,MATCH(130,样本到样信息汇总统计!$AC$2:$AC$500,0)),"")</f>
        <v/>
      </c>
      <c r="E131" s="8" t="str">
        <f>IFERROR(INDEX(样本到样信息汇总统计!E$2:E$500,MATCH(130,样本到样信息汇总统计!$AC$2:$AC$500,0)),"")</f>
        <v/>
      </c>
      <c r="F131" s="8" t="str">
        <f>IFERROR(INDEX(样本到样信息汇总统计!F$2:F$500,MATCH(130,样本到样信息汇总统计!$AC$2:$AC$500,0)),"")</f>
        <v/>
      </c>
      <c r="G131" s="8" t="str">
        <f>IFERROR(INDEX(样本到样信息汇总统计!G$2:G$500,MATCH(130,样本到样信息汇总统计!$AC$2:$AC$500,0)),"")</f>
        <v/>
      </c>
      <c r="H131" s="8" t="str">
        <f>IFERROR(INDEX(样本到样信息汇总统计!H$2:H$500,MATCH(130,样本到样信息汇总统计!$AC$2:$AC$500,0)),"")</f>
        <v/>
      </c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ht="21.75" customHeight="1" spans="1:24">
      <c r="A132" s="4" t="str">
        <f>IFERROR(INDEX(样本到样信息汇总统计!A$2:A$500,MATCH(131,样本到样信息汇总统计!$AC$2:$AC$500,0)),"")</f>
        <v/>
      </c>
      <c r="B132" s="4" t="str">
        <f>IFERROR(INDEX(样本到样信息汇总统计!B$2:B$500,MATCH(131,样本到样信息汇总统计!$AC$2:$AC$500,0)),"")</f>
        <v/>
      </c>
      <c r="C132" s="4" t="str">
        <f>IFERROR(INDEX(样本到样信息汇总统计!C$2:C$500,MATCH(131,样本到样信息汇总统计!$AC$2:$AC$500,0)),"")</f>
        <v/>
      </c>
      <c r="D132" s="4" t="str">
        <f>IFERROR(INDEX(样本到样信息汇总统计!D$2:D$500,MATCH(131,样本到样信息汇总统计!$AC$2:$AC$500,0)),"")</f>
        <v/>
      </c>
      <c r="E132" s="4" t="str">
        <f>IFERROR(INDEX(样本到样信息汇总统计!E$2:E$500,MATCH(131,样本到样信息汇总统计!$AC$2:$AC$500,0)),"")</f>
        <v/>
      </c>
      <c r="F132" s="4" t="str">
        <f>IFERROR(INDEX(样本到样信息汇总统计!F$2:F$500,MATCH(131,样本到样信息汇总统计!$AC$2:$AC$500,0)),"")</f>
        <v/>
      </c>
      <c r="G132" s="4" t="str">
        <f>IFERROR(INDEX(样本到样信息汇总统计!G$2:G$500,MATCH(131,样本到样信息汇总统计!$AC$2:$AC$500,0)),"")</f>
        <v/>
      </c>
      <c r="H132" s="4" t="str">
        <f>IFERROR(INDEX(样本到样信息汇总统计!H$2:H$500,MATCH(131,样本到样信息汇总统计!$AC$2:$AC$500,0)),"")</f>
        <v/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21.75" customHeight="1" spans="1:24">
      <c r="A133" s="8" t="str">
        <f>IFERROR(INDEX(样本到样信息汇总统计!A$2:A$500,MATCH(132,样本到样信息汇总统计!$AC$2:$AC$500,0)),"")</f>
        <v/>
      </c>
      <c r="B133" s="8" t="str">
        <f>IFERROR(INDEX(样本到样信息汇总统计!B$2:B$500,MATCH(132,样本到样信息汇总统计!$AC$2:$AC$500,0)),"")</f>
        <v/>
      </c>
      <c r="C133" s="8" t="str">
        <f>IFERROR(INDEX(样本到样信息汇总统计!C$2:C$500,MATCH(132,样本到样信息汇总统计!$AC$2:$AC$500,0)),"")</f>
        <v/>
      </c>
      <c r="D133" s="8" t="str">
        <f>IFERROR(INDEX(样本到样信息汇总统计!D$2:D$500,MATCH(132,样本到样信息汇总统计!$AC$2:$AC$500,0)),"")</f>
        <v/>
      </c>
      <c r="E133" s="8" t="str">
        <f>IFERROR(INDEX(样本到样信息汇总统计!E$2:E$500,MATCH(132,样本到样信息汇总统计!$AC$2:$AC$500,0)),"")</f>
        <v/>
      </c>
      <c r="F133" s="8" t="str">
        <f>IFERROR(INDEX(样本到样信息汇总统计!F$2:F$500,MATCH(132,样本到样信息汇总统计!$AC$2:$AC$500,0)),"")</f>
        <v/>
      </c>
      <c r="G133" s="8" t="str">
        <f>IFERROR(INDEX(样本到样信息汇总统计!G$2:G$500,MATCH(132,样本到样信息汇总统计!$AC$2:$AC$500,0)),"")</f>
        <v/>
      </c>
      <c r="H133" s="8" t="str">
        <f>IFERROR(INDEX(样本到样信息汇总统计!H$2:H$500,MATCH(132,样本到样信息汇总统计!$AC$2:$AC$500,0)),"")</f>
        <v/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ht="21.75" customHeight="1" spans="1:24">
      <c r="A134" s="4" t="str">
        <f>IFERROR(INDEX(样本到样信息汇总统计!A$2:A$500,MATCH(133,样本到样信息汇总统计!$AC$2:$AC$500,0)),"")</f>
        <v/>
      </c>
      <c r="B134" s="4" t="str">
        <f>IFERROR(INDEX(样本到样信息汇总统计!B$2:B$500,MATCH(133,样本到样信息汇总统计!$AC$2:$AC$500,0)),"")</f>
        <v/>
      </c>
      <c r="C134" s="4" t="str">
        <f>IFERROR(INDEX(样本到样信息汇总统计!C$2:C$500,MATCH(133,样本到样信息汇总统计!$AC$2:$AC$500,0)),"")</f>
        <v/>
      </c>
      <c r="D134" s="4" t="str">
        <f>IFERROR(INDEX(样本到样信息汇总统计!D$2:D$500,MATCH(133,样本到样信息汇总统计!$AC$2:$AC$500,0)),"")</f>
        <v/>
      </c>
      <c r="E134" s="4" t="str">
        <f>IFERROR(INDEX(样本到样信息汇总统计!E$2:E$500,MATCH(133,样本到样信息汇总统计!$AC$2:$AC$500,0)),"")</f>
        <v/>
      </c>
      <c r="F134" s="4" t="str">
        <f>IFERROR(INDEX(样本到样信息汇总统计!F$2:F$500,MATCH(133,样本到样信息汇总统计!$AC$2:$AC$500,0)),"")</f>
        <v/>
      </c>
      <c r="G134" s="4" t="str">
        <f>IFERROR(INDEX(样本到样信息汇总统计!G$2:G$500,MATCH(133,样本到样信息汇总统计!$AC$2:$AC$500,0)),"")</f>
        <v/>
      </c>
      <c r="H134" s="4" t="str">
        <f>IFERROR(INDEX(样本到样信息汇总统计!H$2:H$500,MATCH(133,样本到样信息汇总统计!$AC$2:$AC$500,0)),"")</f>
        <v/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21.75" customHeight="1" spans="1:24">
      <c r="A135" s="8" t="str">
        <f>IFERROR(INDEX(样本到样信息汇总统计!A$2:A$500,MATCH(134,样本到样信息汇总统计!$AC$2:$AC$500,0)),"")</f>
        <v/>
      </c>
      <c r="B135" s="8" t="str">
        <f>IFERROR(INDEX(样本到样信息汇总统计!B$2:B$500,MATCH(134,样本到样信息汇总统计!$AC$2:$AC$500,0)),"")</f>
        <v/>
      </c>
      <c r="C135" s="8" t="str">
        <f>IFERROR(INDEX(样本到样信息汇总统计!C$2:C$500,MATCH(134,样本到样信息汇总统计!$AC$2:$AC$500,0)),"")</f>
        <v/>
      </c>
      <c r="D135" s="8" t="str">
        <f>IFERROR(INDEX(样本到样信息汇总统计!D$2:D$500,MATCH(134,样本到样信息汇总统计!$AC$2:$AC$500,0)),"")</f>
        <v/>
      </c>
      <c r="E135" s="8" t="str">
        <f>IFERROR(INDEX(样本到样信息汇总统计!E$2:E$500,MATCH(134,样本到样信息汇总统计!$AC$2:$AC$500,0)),"")</f>
        <v/>
      </c>
      <c r="F135" s="8" t="str">
        <f>IFERROR(INDEX(样本到样信息汇总统计!F$2:F$500,MATCH(134,样本到样信息汇总统计!$AC$2:$AC$500,0)),"")</f>
        <v/>
      </c>
      <c r="G135" s="8" t="str">
        <f>IFERROR(INDEX(样本到样信息汇总统计!G$2:G$500,MATCH(134,样本到样信息汇总统计!$AC$2:$AC$500,0)),"")</f>
        <v/>
      </c>
      <c r="H135" s="8" t="str">
        <f>IFERROR(INDEX(样本到样信息汇总统计!H$2:H$500,MATCH(134,样本到样信息汇总统计!$AC$2:$AC$500,0)),"")</f>
        <v/>
      </c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ht="21.75" customHeight="1" spans="1:24">
      <c r="A136" s="4" t="str">
        <f>IFERROR(INDEX(样本到样信息汇总统计!A$2:A$500,MATCH(135,样本到样信息汇总统计!$AC$2:$AC$500,0)),"")</f>
        <v/>
      </c>
      <c r="B136" s="4" t="str">
        <f>IFERROR(INDEX(样本到样信息汇总统计!B$2:B$500,MATCH(135,样本到样信息汇总统计!$AC$2:$AC$500,0)),"")</f>
        <v/>
      </c>
      <c r="C136" s="4" t="str">
        <f>IFERROR(INDEX(样本到样信息汇总统计!C$2:C$500,MATCH(135,样本到样信息汇总统计!$AC$2:$AC$500,0)),"")</f>
        <v/>
      </c>
      <c r="D136" s="4" t="str">
        <f>IFERROR(INDEX(样本到样信息汇总统计!D$2:D$500,MATCH(135,样本到样信息汇总统计!$AC$2:$AC$500,0)),"")</f>
        <v/>
      </c>
      <c r="E136" s="4" t="str">
        <f>IFERROR(INDEX(样本到样信息汇总统计!E$2:E$500,MATCH(135,样本到样信息汇总统计!$AC$2:$AC$500,0)),"")</f>
        <v/>
      </c>
      <c r="F136" s="4" t="str">
        <f>IFERROR(INDEX(样本到样信息汇总统计!F$2:F$500,MATCH(135,样本到样信息汇总统计!$AC$2:$AC$500,0)),"")</f>
        <v/>
      </c>
      <c r="G136" s="4" t="str">
        <f>IFERROR(INDEX(样本到样信息汇总统计!G$2:G$500,MATCH(135,样本到样信息汇总统计!$AC$2:$AC$500,0)),"")</f>
        <v/>
      </c>
      <c r="H136" s="4" t="str">
        <f>IFERROR(INDEX(样本到样信息汇总统计!H$2:H$500,MATCH(135,样本到样信息汇总统计!$AC$2:$AC$500,0)),"")</f>
        <v/>
      </c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21.75" customHeight="1" spans="1:24">
      <c r="A137" s="8" t="str">
        <f>IFERROR(INDEX(样本到样信息汇总统计!A$2:A$500,MATCH(136,样本到样信息汇总统计!$AC$2:$AC$500,0)),"")</f>
        <v/>
      </c>
      <c r="B137" s="8" t="str">
        <f>IFERROR(INDEX(样本到样信息汇总统计!B$2:B$500,MATCH(136,样本到样信息汇总统计!$AC$2:$AC$500,0)),"")</f>
        <v/>
      </c>
      <c r="C137" s="8" t="str">
        <f>IFERROR(INDEX(样本到样信息汇总统计!C$2:C$500,MATCH(136,样本到样信息汇总统计!$AC$2:$AC$500,0)),"")</f>
        <v/>
      </c>
      <c r="D137" s="8" t="str">
        <f>IFERROR(INDEX(样本到样信息汇总统计!D$2:D$500,MATCH(136,样本到样信息汇总统计!$AC$2:$AC$500,0)),"")</f>
        <v/>
      </c>
      <c r="E137" s="8" t="str">
        <f>IFERROR(INDEX(样本到样信息汇总统计!E$2:E$500,MATCH(136,样本到样信息汇总统计!$AC$2:$AC$500,0)),"")</f>
        <v/>
      </c>
      <c r="F137" s="8" t="str">
        <f>IFERROR(INDEX(样本到样信息汇总统计!F$2:F$500,MATCH(136,样本到样信息汇总统计!$AC$2:$AC$500,0)),"")</f>
        <v/>
      </c>
      <c r="G137" s="8" t="str">
        <f>IFERROR(INDEX(样本到样信息汇总统计!G$2:G$500,MATCH(136,样本到样信息汇总统计!$AC$2:$AC$500,0)),"")</f>
        <v/>
      </c>
      <c r="H137" s="8" t="str">
        <f>IFERROR(INDEX(样本到样信息汇总统计!H$2:H$500,MATCH(136,样本到样信息汇总统计!$AC$2:$AC$500,0)),"")</f>
        <v/>
      </c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ht="21.75" customHeight="1" spans="1:24">
      <c r="A138" s="4" t="str">
        <f>IFERROR(INDEX(样本到样信息汇总统计!A$2:A$500,MATCH(137,样本到样信息汇总统计!$AC$2:$AC$500,0)),"")</f>
        <v/>
      </c>
      <c r="B138" s="4" t="str">
        <f>IFERROR(INDEX(样本到样信息汇总统计!B$2:B$500,MATCH(137,样本到样信息汇总统计!$AC$2:$AC$500,0)),"")</f>
        <v/>
      </c>
      <c r="C138" s="4" t="str">
        <f>IFERROR(INDEX(样本到样信息汇总统计!C$2:C$500,MATCH(137,样本到样信息汇总统计!$AC$2:$AC$500,0)),"")</f>
        <v/>
      </c>
      <c r="D138" s="4" t="str">
        <f>IFERROR(INDEX(样本到样信息汇总统计!D$2:D$500,MATCH(137,样本到样信息汇总统计!$AC$2:$AC$500,0)),"")</f>
        <v/>
      </c>
      <c r="E138" s="4" t="str">
        <f>IFERROR(INDEX(样本到样信息汇总统计!E$2:E$500,MATCH(137,样本到样信息汇总统计!$AC$2:$AC$500,0)),"")</f>
        <v/>
      </c>
      <c r="F138" s="4" t="str">
        <f>IFERROR(INDEX(样本到样信息汇总统计!F$2:F$500,MATCH(137,样本到样信息汇总统计!$AC$2:$AC$500,0)),"")</f>
        <v/>
      </c>
      <c r="G138" s="4" t="str">
        <f>IFERROR(INDEX(样本到样信息汇总统计!G$2:G$500,MATCH(137,样本到样信息汇总统计!$AC$2:$AC$500,0)),"")</f>
        <v/>
      </c>
      <c r="H138" s="4" t="str">
        <f>IFERROR(INDEX(样本到样信息汇总统计!H$2:H$500,MATCH(137,样本到样信息汇总统计!$AC$2:$AC$500,0)),"")</f>
        <v/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21.75" customHeight="1" spans="1:24">
      <c r="A139" s="8" t="str">
        <f>IFERROR(INDEX(样本到样信息汇总统计!A$2:A$500,MATCH(138,样本到样信息汇总统计!$AC$2:$AC$500,0)),"")</f>
        <v/>
      </c>
      <c r="B139" s="8" t="str">
        <f>IFERROR(INDEX(样本到样信息汇总统计!B$2:B$500,MATCH(138,样本到样信息汇总统计!$AC$2:$AC$500,0)),"")</f>
        <v/>
      </c>
      <c r="C139" s="8" t="str">
        <f>IFERROR(INDEX(样本到样信息汇总统计!C$2:C$500,MATCH(138,样本到样信息汇总统计!$AC$2:$AC$500,0)),"")</f>
        <v/>
      </c>
      <c r="D139" s="8" t="str">
        <f>IFERROR(INDEX(样本到样信息汇总统计!D$2:D$500,MATCH(138,样本到样信息汇总统计!$AC$2:$AC$500,0)),"")</f>
        <v/>
      </c>
      <c r="E139" s="8" t="str">
        <f>IFERROR(INDEX(样本到样信息汇总统计!E$2:E$500,MATCH(138,样本到样信息汇总统计!$AC$2:$AC$500,0)),"")</f>
        <v/>
      </c>
      <c r="F139" s="8" t="str">
        <f>IFERROR(INDEX(样本到样信息汇总统计!F$2:F$500,MATCH(138,样本到样信息汇总统计!$AC$2:$AC$500,0)),"")</f>
        <v/>
      </c>
      <c r="G139" s="8" t="str">
        <f>IFERROR(INDEX(样本到样信息汇总统计!G$2:G$500,MATCH(138,样本到样信息汇总统计!$AC$2:$AC$500,0)),"")</f>
        <v/>
      </c>
      <c r="H139" s="8" t="str">
        <f>IFERROR(INDEX(样本到样信息汇总统计!H$2:H$500,MATCH(138,样本到样信息汇总统计!$AC$2:$AC$500,0)),"")</f>
        <v/>
      </c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ht="21.75" customHeight="1" spans="1:24">
      <c r="A140" s="4" t="str">
        <f>IFERROR(INDEX(样本到样信息汇总统计!A$2:A$500,MATCH(139,样本到样信息汇总统计!$AC$2:$AC$500,0)),"")</f>
        <v/>
      </c>
      <c r="B140" s="4" t="str">
        <f>IFERROR(INDEX(样本到样信息汇总统计!B$2:B$500,MATCH(139,样本到样信息汇总统计!$AC$2:$AC$500,0)),"")</f>
        <v/>
      </c>
      <c r="C140" s="4" t="str">
        <f>IFERROR(INDEX(样本到样信息汇总统计!C$2:C$500,MATCH(139,样本到样信息汇总统计!$AC$2:$AC$500,0)),"")</f>
        <v/>
      </c>
      <c r="D140" s="4" t="str">
        <f>IFERROR(INDEX(样本到样信息汇总统计!D$2:D$500,MATCH(139,样本到样信息汇总统计!$AC$2:$AC$500,0)),"")</f>
        <v/>
      </c>
      <c r="E140" s="4" t="str">
        <f>IFERROR(INDEX(样本到样信息汇总统计!E$2:E$500,MATCH(139,样本到样信息汇总统计!$AC$2:$AC$500,0)),"")</f>
        <v/>
      </c>
      <c r="F140" s="4" t="str">
        <f>IFERROR(INDEX(样本到样信息汇总统计!F$2:F$500,MATCH(139,样本到样信息汇总统计!$AC$2:$AC$500,0)),"")</f>
        <v/>
      </c>
      <c r="G140" s="4" t="str">
        <f>IFERROR(INDEX(样本到样信息汇总统计!G$2:G$500,MATCH(139,样本到样信息汇总统计!$AC$2:$AC$500,0)),"")</f>
        <v/>
      </c>
      <c r="H140" s="4" t="str">
        <f>IFERROR(INDEX(样本到样信息汇总统计!H$2:H$500,MATCH(139,样本到样信息汇总统计!$AC$2:$AC$500,0)),"")</f>
        <v/>
      </c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21.75" customHeight="1" spans="1:24">
      <c r="A141" s="8" t="str">
        <f>IFERROR(INDEX(样本到样信息汇总统计!A$2:A$500,MATCH(140,样本到样信息汇总统计!$AC$2:$AC$500,0)),"")</f>
        <v/>
      </c>
      <c r="B141" s="8" t="str">
        <f>IFERROR(INDEX(样本到样信息汇总统计!B$2:B$500,MATCH(140,样本到样信息汇总统计!$AC$2:$AC$500,0)),"")</f>
        <v/>
      </c>
      <c r="C141" s="8" t="str">
        <f>IFERROR(INDEX(样本到样信息汇总统计!C$2:C$500,MATCH(140,样本到样信息汇总统计!$AC$2:$AC$500,0)),"")</f>
        <v/>
      </c>
      <c r="D141" s="8" t="str">
        <f>IFERROR(INDEX(样本到样信息汇总统计!D$2:D$500,MATCH(140,样本到样信息汇总统计!$AC$2:$AC$500,0)),"")</f>
        <v/>
      </c>
      <c r="E141" s="8" t="str">
        <f>IFERROR(INDEX(样本到样信息汇总统计!E$2:E$500,MATCH(140,样本到样信息汇总统计!$AC$2:$AC$500,0)),"")</f>
        <v/>
      </c>
      <c r="F141" s="8" t="str">
        <f>IFERROR(INDEX(样本到样信息汇总统计!F$2:F$500,MATCH(140,样本到样信息汇总统计!$AC$2:$AC$500,0)),"")</f>
        <v/>
      </c>
      <c r="G141" s="8" t="str">
        <f>IFERROR(INDEX(样本到样信息汇总统计!G$2:G$500,MATCH(140,样本到样信息汇总统计!$AC$2:$AC$500,0)),"")</f>
        <v/>
      </c>
      <c r="H141" s="8" t="str">
        <f>IFERROR(INDEX(样本到样信息汇总统计!H$2:H$500,MATCH(140,样本到样信息汇总统计!$AC$2:$AC$500,0)),"")</f>
        <v/>
      </c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ht="21.75" customHeight="1" spans="1:24">
      <c r="A142" s="4" t="str">
        <f>IFERROR(INDEX(样本到样信息汇总统计!A$2:A$500,MATCH(141,样本到样信息汇总统计!$AC$2:$AC$500,0)),"")</f>
        <v/>
      </c>
      <c r="B142" s="4" t="str">
        <f>IFERROR(INDEX(样本到样信息汇总统计!B$2:B$500,MATCH(141,样本到样信息汇总统计!$AC$2:$AC$500,0)),"")</f>
        <v/>
      </c>
      <c r="C142" s="4" t="str">
        <f>IFERROR(INDEX(样本到样信息汇总统计!C$2:C$500,MATCH(141,样本到样信息汇总统计!$AC$2:$AC$500,0)),"")</f>
        <v/>
      </c>
      <c r="D142" s="4" t="str">
        <f>IFERROR(INDEX(样本到样信息汇总统计!D$2:D$500,MATCH(141,样本到样信息汇总统计!$AC$2:$AC$500,0)),"")</f>
        <v/>
      </c>
      <c r="E142" s="4" t="str">
        <f>IFERROR(INDEX(样本到样信息汇总统计!E$2:E$500,MATCH(141,样本到样信息汇总统计!$AC$2:$AC$500,0)),"")</f>
        <v/>
      </c>
      <c r="F142" s="4" t="str">
        <f>IFERROR(INDEX(样本到样信息汇总统计!F$2:F$500,MATCH(141,样本到样信息汇总统计!$AC$2:$AC$500,0)),"")</f>
        <v/>
      </c>
      <c r="G142" s="4" t="str">
        <f>IFERROR(INDEX(样本到样信息汇总统计!G$2:G$500,MATCH(141,样本到样信息汇总统计!$AC$2:$AC$500,0)),"")</f>
        <v/>
      </c>
      <c r="H142" s="4" t="str">
        <f>IFERROR(INDEX(样本到样信息汇总统计!H$2:H$500,MATCH(141,样本到样信息汇总统计!$AC$2:$AC$500,0)),"")</f>
        <v/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21.75" customHeight="1" spans="1:24">
      <c r="A143" s="8" t="str">
        <f>IFERROR(INDEX(样本到样信息汇总统计!A$2:A$500,MATCH(142,样本到样信息汇总统计!$AC$2:$AC$500,0)),"")</f>
        <v/>
      </c>
      <c r="B143" s="8" t="str">
        <f>IFERROR(INDEX(样本到样信息汇总统计!B$2:B$500,MATCH(142,样本到样信息汇总统计!$AC$2:$AC$500,0)),"")</f>
        <v/>
      </c>
      <c r="C143" s="8" t="str">
        <f>IFERROR(INDEX(样本到样信息汇总统计!C$2:C$500,MATCH(142,样本到样信息汇总统计!$AC$2:$AC$500,0)),"")</f>
        <v/>
      </c>
      <c r="D143" s="8" t="str">
        <f>IFERROR(INDEX(样本到样信息汇总统计!D$2:D$500,MATCH(142,样本到样信息汇总统计!$AC$2:$AC$500,0)),"")</f>
        <v/>
      </c>
      <c r="E143" s="8" t="str">
        <f>IFERROR(INDEX(样本到样信息汇总统计!E$2:E$500,MATCH(142,样本到样信息汇总统计!$AC$2:$AC$500,0)),"")</f>
        <v/>
      </c>
      <c r="F143" s="8" t="str">
        <f>IFERROR(INDEX(样本到样信息汇总统计!F$2:F$500,MATCH(142,样本到样信息汇总统计!$AC$2:$AC$500,0)),"")</f>
        <v/>
      </c>
      <c r="G143" s="8" t="str">
        <f>IFERROR(INDEX(样本到样信息汇总统计!G$2:G$500,MATCH(142,样本到样信息汇总统计!$AC$2:$AC$500,0)),"")</f>
        <v/>
      </c>
      <c r="H143" s="8" t="str">
        <f>IFERROR(INDEX(样本到样信息汇总统计!H$2:H$500,MATCH(142,样本到样信息汇总统计!$AC$2:$AC$500,0)),"")</f>
        <v/>
      </c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ht="21.75" customHeight="1" spans="1:24">
      <c r="A144" s="4" t="str">
        <f>IFERROR(INDEX(样本到样信息汇总统计!A$2:A$500,MATCH(143,样本到样信息汇总统计!$AC$2:$AC$500,0)),"")</f>
        <v/>
      </c>
      <c r="B144" s="4" t="str">
        <f>IFERROR(INDEX(样本到样信息汇总统计!B$2:B$500,MATCH(143,样本到样信息汇总统计!$AC$2:$AC$500,0)),"")</f>
        <v/>
      </c>
      <c r="C144" s="4" t="str">
        <f>IFERROR(INDEX(样本到样信息汇总统计!C$2:C$500,MATCH(143,样本到样信息汇总统计!$AC$2:$AC$500,0)),"")</f>
        <v/>
      </c>
      <c r="D144" s="4" t="str">
        <f>IFERROR(INDEX(样本到样信息汇总统计!D$2:D$500,MATCH(143,样本到样信息汇总统计!$AC$2:$AC$500,0)),"")</f>
        <v/>
      </c>
      <c r="E144" s="4" t="str">
        <f>IFERROR(INDEX(样本到样信息汇总统计!E$2:E$500,MATCH(143,样本到样信息汇总统计!$AC$2:$AC$500,0)),"")</f>
        <v/>
      </c>
      <c r="F144" s="4" t="str">
        <f>IFERROR(INDEX(样本到样信息汇总统计!F$2:F$500,MATCH(143,样本到样信息汇总统计!$AC$2:$AC$500,0)),"")</f>
        <v/>
      </c>
      <c r="G144" s="4" t="str">
        <f>IFERROR(INDEX(样本到样信息汇总统计!G$2:G$500,MATCH(143,样本到样信息汇总统计!$AC$2:$AC$500,0)),"")</f>
        <v/>
      </c>
      <c r="H144" s="4" t="str">
        <f>IFERROR(INDEX(样本到样信息汇总统计!H$2:H$500,MATCH(143,样本到样信息汇总统计!$AC$2:$AC$500,0)),"")</f>
        <v/>
      </c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21.75" customHeight="1" spans="1:24">
      <c r="A145" s="8" t="str">
        <f>IFERROR(INDEX(样本到样信息汇总统计!A$2:A$500,MATCH(144,样本到样信息汇总统计!$AC$2:$AC$500,0)),"")</f>
        <v/>
      </c>
      <c r="B145" s="8" t="str">
        <f>IFERROR(INDEX(样本到样信息汇总统计!B$2:B$500,MATCH(144,样本到样信息汇总统计!$AC$2:$AC$500,0)),"")</f>
        <v/>
      </c>
      <c r="C145" s="8" t="str">
        <f>IFERROR(INDEX(样本到样信息汇总统计!C$2:C$500,MATCH(144,样本到样信息汇总统计!$AC$2:$AC$500,0)),"")</f>
        <v/>
      </c>
      <c r="D145" s="8" t="str">
        <f>IFERROR(INDEX(样本到样信息汇总统计!D$2:D$500,MATCH(144,样本到样信息汇总统计!$AC$2:$AC$500,0)),"")</f>
        <v/>
      </c>
      <c r="E145" s="8" t="str">
        <f>IFERROR(INDEX(样本到样信息汇总统计!E$2:E$500,MATCH(144,样本到样信息汇总统计!$AC$2:$AC$500,0)),"")</f>
        <v/>
      </c>
      <c r="F145" s="8" t="str">
        <f>IFERROR(INDEX(样本到样信息汇总统计!F$2:F$500,MATCH(144,样本到样信息汇总统计!$AC$2:$AC$500,0)),"")</f>
        <v/>
      </c>
      <c r="G145" s="8" t="str">
        <f>IFERROR(INDEX(样本到样信息汇总统计!G$2:G$500,MATCH(144,样本到样信息汇总统计!$AC$2:$AC$500,0)),"")</f>
        <v/>
      </c>
      <c r="H145" s="8" t="str">
        <f>IFERROR(INDEX(样本到样信息汇总统计!H$2:H$500,MATCH(144,样本到样信息汇总统计!$AC$2:$AC$500,0)),"")</f>
        <v/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ht="21.75" customHeight="1" spans="1:24">
      <c r="A146" s="4" t="str">
        <f>IFERROR(INDEX(样本到样信息汇总统计!A$2:A$500,MATCH(145,样本到样信息汇总统计!$AC$2:$AC$500,0)),"")</f>
        <v/>
      </c>
      <c r="B146" s="4" t="str">
        <f>IFERROR(INDEX(样本到样信息汇总统计!B$2:B$500,MATCH(145,样本到样信息汇总统计!$AC$2:$AC$500,0)),"")</f>
        <v/>
      </c>
      <c r="C146" s="4" t="str">
        <f>IFERROR(INDEX(样本到样信息汇总统计!C$2:C$500,MATCH(145,样本到样信息汇总统计!$AC$2:$AC$500,0)),"")</f>
        <v/>
      </c>
      <c r="D146" s="4" t="str">
        <f>IFERROR(INDEX(样本到样信息汇总统计!D$2:D$500,MATCH(145,样本到样信息汇总统计!$AC$2:$AC$500,0)),"")</f>
        <v/>
      </c>
      <c r="E146" s="4" t="str">
        <f>IFERROR(INDEX(样本到样信息汇总统计!E$2:E$500,MATCH(145,样本到样信息汇总统计!$AC$2:$AC$500,0)),"")</f>
        <v/>
      </c>
      <c r="F146" s="4" t="str">
        <f>IFERROR(INDEX(样本到样信息汇总统计!F$2:F$500,MATCH(145,样本到样信息汇总统计!$AC$2:$AC$500,0)),"")</f>
        <v/>
      </c>
      <c r="G146" s="4" t="str">
        <f>IFERROR(INDEX(样本到样信息汇总统计!G$2:G$500,MATCH(145,样本到样信息汇总统计!$AC$2:$AC$500,0)),"")</f>
        <v/>
      </c>
      <c r="H146" s="4" t="str">
        <f>IFERROR(INDEX(样本到样信息汇总统计!H$2:H$500,MATCH(145,样本到样信息汇总统计!$AC$2:$AC$500,0)),"")</f>
        <v/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21.75" customHeight="1" spans="1:24">
      <c r="A147" s="8" t="str">
        <f>IFERROR(INDEX(样本到样信息汇总统计!A$2:A$500,MATCH(146,样本到样信息汇总统计!$AC$2:$AC$500,0)),"")</f>
        <v/>
      </c>
      <c r="B147" s="8" t="str">
        <f>IFERROR(INDEX(样本到样信息汇总统计!B$2:B$500,MATCH(146,样本到样信息汇总统计!$AC$2:$AC$500,0)),"")</f>
        <v/>
      </c>
      <c r="C147" s="8" t="str">
        <f>IFERROR(INDEX(样本到样信息汇总统计!C$2:C$500,MATCH(146,样本到样信息汇总统计!$AC$2:$AC$500,0)),"")</f>
        <v/>
      </c>
      <c r="D147" s="8" t="str">
        <f>IFERROR(INDEX(样本到样信息汇总统计!D$2:D$500,MATCH(146,样本到样信息汇总统计!$AC$2:$AC$500,0)),"")</f>
        <v/>
      </c>
      <c r="E147" s="8" t="str">
        <f>IFERROR(INDEX(样本到样信息汇总统计!E$2:E$500,MATCH(146,样本到样信息汇总统计!$AC$2:$AC$500,0)),"")</f>
        <v/>
      </c>
      <c r="F147" s="8" t="str">
        <f>IFERROR(INDEX(样本到样信息汇总统计!F$2:F$500,MATCH(146,样本到样信息汇总统计!$AC$2:$AC$500,0)),"")</f>
        <v/>
      </c>
      <c r="G147" s="8" t="str">
        <f>IFERROR(INDEX(样本到样信息汇总统计!G$2:G$500,MATCH(146,样本到样信息汇总统计!$AC$2:$AC$500,0)),"")</f>
        <v/>
      </c>
      <c r="H147" s="8" t="str">
        <f>IFERROR(INDEX(样本到样信息汇总统计!H$2:H$500,MATCH(146,样本到样信息汇总统计!$AC$2:$AC$500,0)),"")</f>
        <v/>
      </c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ht="21.75" customHeight="1" spans="1:24">
      <c r="A148" s="4" t="str">
        <f>IFERROR(INDEX(样本到样信息汇总统计!A$2:A$500,MATCH(147,样本到样信息汇总统计!$AC$2:$AC$500,0)),"")</f>
        <v/>
      </c>
      <c r="B148" s="4" t="str">
        <f>IFERROR(INDEX(样本到样信息汇总统计!B$2:B$500,MATCH(147,样本到样信息汇总统计!$AC$2:$AC$500,0)),"")</f>
        <v/>
      </c>
      <c r="C148" s="4" t="str">
        <f>IFERROR(INDEX(样本到样信息汇总统计!C$2:C$500,MATCH(147,样本到样信息汇总统计!$AC$2:$AC$500,0)),"")</f>
        <v/>
      </c>
      <c r="D148" s="4" t="str">
        <f>IFERROR(INDEX(样本到样信息汇总统计!D$2:D$500,MATCH(147,样本到样信息汇总统计!$AC$2:$AC$500,0)),"")</f>
        <v/>
      </c>
      <c r="E148" s="4" t="str">
        <f>IFERROR(INDEX(样本到样信息汇总统计!E$2:E$500,MATCH(147,样本到样信息汇总统计!$AC$2:$AC$500,0)),"")</f>
        <v/>
      </c>
      <c r="F148" s="4" t="str">
        <f>IFERROR(INDEX(样本到样信息汇总统计!F$2:F$500,MATCH(147,样本到样信息汇总统计!$AC$2:$AC$500,0)),"")</f>
        <v/>
      </c>
      <c r="G148" s="4" t="str">
        <f>IFERROR(INDEX(样本到样信息汇总统计!G$2:G$500,MATCH(147,样本到样信息汇总统计!$AC$2:$AC$500,0)),"")</f>
        <v/>
      </c>
      <c r="H148" s="4" t="str">
        <f>IFERROR(INDEX(样本到样信息汇总统计!H$2:H$500,MATCH(147,样本到样信息汇总统计!$AC$2:$AC$500,0)),"")</f>
        <v/>
      </c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21.75" customHeight="1" spans="1:24">
      <c r="A149" s="8" t="str">
        <f>IFERROR(INDEX(样本到样信息汇总统计!A$2:A$500,MATCH(148,样本到样信息汇总统计!$AC$2:$AC$500,0)),"")</f>
        <v/>
      </c>
      <c r="B149" s="8" t="str">
        <f>IFERROR(INDEX(样本到样信息汇总统计!B$2:B$500,MATCH(148,样本到样信息汇总统计!$AC$2:$AC$500,0)),"")</f>
        <v/>
      </c>
      <c r="C149" s="8" t="str">
        <f>IFERROR(INDEX(样本到样信息汇总统计!C$2:C$500,MATCH(148,样本到样信息汇总统计!$AC$2:$AC$500,0)),"")</f>
        <v/>
      </c>
      <c r="D149" s="8" t="str">
        <f>IFERROR(INDEX(样本到样信息汇总统计!D$2:D$500,MATCH(148,样本到样信息汇总统计!$AC$2:$AC$500,0)),"")</f>
        <v/>
      </c>
      <c r="E149" s="8" t="str">
        <f>IFERROR(INDEX(样本到样信息汇总统计!E$2:E$500,MATCH(148,样本到样信息汇总统计!$AC$2:$AC$500,0)),"")</f>
        <v/>
      </c>
      <c r="F149" s="8" t="str">
        <f>IFERROR(INDEX(样本到样信息汇总统计!F$2:F$500,MATCH(148,样本到样信息汇总统计!$AC$2:$AC$500,0)),"")</f>
        <v/>
      </c>
      <c r="G149" s="8" t="str">
        <f>IFERROR(INDEX(样本到样信息汇总统计!G$2:G$500,MATCH(148,样本到样信息汇总统计!$AC$2:$AC$500,0)),"")</f>
        <v/>
      </c>
      <c r="H149" s="8" t="str">
        <f>IFERROR(INDEX(样本到样信息汇总统计!H$2:H$500,MATCH(148,样本到样信息汇总统计!$AC$2:$AC$500,0)),"")</f>
        <v/>
      </c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ht="21.75" customHeight="1" spans="1:24">
      <c r="A150" s="4" t="str">
        <f>IFERROR(INDEX(样本到样信息汇总统计!A$2:A$500,MATCH(149,样本到样信息汇总统计!$AC$2:$AC$500,0)),"")</f>
        <v/>
      </c>
      <c r="B150" s="4" t="str">
        <f>IFERROR(INDEX(样本到样信息汇总统计!B$2:B$500,MATCH(149,样本到样信息汇总统计!$AC$2:$AC$500,0)),"")</f>
        <v/>
      </c>
      <c r="C150" s="4" t="str">
        <f>IFERROR(INDEX(样本到样信息汇总统计!C$2:C$500,MATCH(149,样本到样信息汇总统计!$AC$2:$AC$500,0)),"")</f>
        <v/>
      </c>
      <c r="D150" s="4" t="str">
        <f>IFERROR(INDEX(样本到样信息汇总统计!D$2:D$500,MATCH(149,样本到样信息汇总统计!$AC$2:$AC$500,0)),"")</f>
        <v/>
      </c>
      <c r="E150" s="4" t="str">
        <f>IFERROR(INDEX(样本到样信息汇总统计!E$2:E$500,MATCH(149,样本到样信息汇总统计!$AC$2:$AC$500,0)),"")</f>
        <v/>
      </c>
      <c r="F150" s="4" t="str">
        <f>IFERROR(INDEX(样本到样信息汇总统计!F$2:F$500,MATCH(149,样本到样信息汇总统计!$AC$2:$AC$500,0)),"")</f>
        <v/>
      </c>
      <c r="G150" s="4" t="str">
        <f>IFERROR(INDEX(样本到样信息汇总统计!G$2:G$500,MATCH(149,样本到样信息汇总统计!$AC$2:$AC$500,0)),"")</f>
        <v/>
      </c>
      <c r="H150" s="4" t="str">
        <f>IFERROR(INDEX(样本到样信息汇总统计!H$2:H$500,MATCH(149,样本到样信息汇总统计!$AC$2:$AC$500,0)),"")</f>
        <v/>
      </c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21.75" customHeight="1" spans="1:24">
      <c r="A151" s="8" t="str">
        <f>IFERROR(INDEX(样本到样信息汇总统计!A$2:A$500,MATCH(150,样本到样信息汇总统计!$AC$2:$AC$500,0)),"")</f>
        <v/>
      </c>
      <c r="B151" s="8" t="str">
        <f>IFERROR(INDEX(样本到样信息汇总统计!B$2:B$500,MATCH(150,样本到样信息汇总统计!$AC$2:$AC$500,0)),"")</f>
        <v/>
      </c>
      <c r="C151" s="8" t="str">
        <f>IFERROR(INDEX(样本到样信息汇总统计!C$2:C$500,MATCH(150,样本到样信息汇总统计!$AC$2:$AC$500,0)),"")</f>
        <v/>
      </c>
      <c r="D151" s="8" t="str">
        <f>IFERROR(INDEX(样本到样信息汇总统计!D$2:D$500,MATCH(150,样本到样信息汇总统计!$AC$2:$AC$500,0)),"")</f>
        <v/>
      </c>
      <c r="E151" s="8" t="str">
        <f>IFERROR(INDEX(样本到样信息汇总统计!E$2:E$500,MATCH(150,样本到样信息汇总统计!$AC$2:$AC$500,0)),"")</f>
        <v/>
      </c>
      <c r="F151" s="8" t="str">
        <f>IFERROR(INDEX(样本到样信息汇总统计!F$2:F$500,MATCH(150,样本到样信息汇总统计!$AC$2:$AC$500,0)),"")</f>
        <v/>
      </c>
      <c r="G151" s="8" t="str">
        <f>IFERROR(INDEX(样本到样信息汇总统计!G$2:G$500,MATCH(150,样本到样信息汇总统计!$AC$2:$AC$500,0)),"")</f>
        <v/>
      </c>
      <c r="H151" s="8" t="str">
        <f>IFERROR(INDEX(样本到样信息汇总统计!H$2:H$500,MATCH(150,样本到样信息汇总统计!$AC$2:$AC$500,0)),"")</f>
        <v/>
      </c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ht="21.75" customHeight="1" spans="1:24">
      <c r="A152" s="4" t="str">
        <f>IFERROR(INDEX(样本到样信息汇总统计!A$2:A$500,MATCH(151,样本到样信息汇总统计!$AC$2:$AC$500,0)),"")</f>
        <v/>
      </c>
      <c r="B152" s="4" t="str">
        <f>IFERROR(INDEX(样本到样信息汇总统计!B$2:B$500,MATCH(151,样本到样信息汇总统计!$AC$2:$AC$500,0)),"")</f>
        <v/>
      </c>
      <c r="C152" s="4" t="str">
        <f>IFERROR(INDEX(样本到样信息汇总统计!C$2:C$500,MATCH(151,样本到样信息汇总统计!$AC$2:$AC$500,0)),"")</f>
        <v/>
      </c>
      <c r="D152" s="4" t="str">
        <f>IFERROR(INDEX(样本到样信息汇总统计!D$2:D$500,MATCH(151,样本到样信息汇总统计!$AC$2:$AC$500,0)),"")</f>
        <v/>
      </c>
      <c r="E152" s="4" t="str">
        <f>IFERROR(INDEX(样本到样信息汇总统计!E$2:E$500,MATCH(151,样本到样信息汇总统计!$AC$2:$AC$500,0)),"")</f>
        <v/>
      </c>
      <c r="F152" s="4" t="str">
        <f>IFERROR(INDEX(样本到样信息汇总统计!F$2:F$500,MATCH(151,样本到样信息汇总统计!$AC$2:$AC$500,0)),"")</f>
        <v/>
      </c>
      <c r="G152" s="4" t="str">
        <f>IFERROR(INDEX(样本到样信息汇总统计!G$2:G$500,MATCH(151,样本到样信息汇总统计!$AC$2:$AC$500,0)),"")</f>
        <v/>
      </c>
      <c r="H152" s="4" t="str">
        <f>IFERROR(INDEX(样本到样信息汇总统计!H$2:H$500,MATCH(151,样本到样信息汇总统计!$AC$2:$AC$500,0)),"")</f>
        <v/>
      </c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21.75" customHeight="1" spans="1:24">
      <c r="A153" s="8" t="str">
        <f>IFERROR(INDEX(样本到样信息汇总统计!A$2:A$500,MATCH(152,样本到样信息汇总统计!$AC$2:$AC$500,0)),"")</f>
        <v/>
      </c>
      <c r="B153" s="8" t="str">
        <f>IFERROR(INDEX(样本到样信息汇总统计!B$2:B$500,MATCH(152,样本到样信息汇总统计!$AC$2:$AC$500,0)),"")</f>
        <v/>
      </c>
      <c r="C153" s="8" t="str">
        <f>IFERROR(INDEX(样本到样信息汇总统计!C$2:C$500,MATCH(152,样本到样信息汇总统计!$AC$2:$AC$500,0)),"")</f>
        <v/>
      </c>
      <c r="D153" s="8" t="str">
        <f>IFERROR(INDEX(样本到样信息汇总统计!D$2:D$500,MATCH(152,样本到样信息汇总统计!$AC$2:$AC$500,0)),"")</f>
        <v/>
      </c>
      <c r="E153" s="8" t="str">
        <f>IFERROR(INDEX(样本到样信息汇总统计!E$2:E$500,MATCH(152,样本到样信息汇总统计!$AC$2:$AC$500,0)),"")</f>
        <v/>
      </c>
      <c r="F153" s="8" t="str">
        <f>IFERROR(INDEX(样本到样信息汇总统计!F$2:F$500,MATCH(152,样本到样信息汇总统计!$AC$2:$AC$500,0)),"")</f>
        <v/>
      </c>
      <c r="G153" s="8" t="str">
        <f>IFERROR(INDEX(样本到样信息汇总统计!G$2:G$500,MATCH(152,样本到样信息汇总统计!$AC$2:$AC$500,0)),"")</f>
        <v/>
      </c>
      <c r="H153" s="8" t="str">
        <f>IFERROR(INDEX(样本到样信息汇总统计!H$2:H$500,MATCH(152,样本到样信息汇总统计!$AC$2:$AC$500,0)),"")</f>
        <v/>
      </c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ht="21.75" customHeight="1" spans="1:24">
      <c r="A154" s="4" t="str">
        <f>IFERROR(INDEX(样本到样信息汇总统计!A$2:A$500,MATCH(153,样本到样信息汇总统计!$AC$2:$AC$500,0)),"")</f>
        <v/>
      </c>
      <c r="B154" s="4" t="str">
        <f>IFERROR(INDEX(样本到样信息汇总统计!B$2:B$500,MATCH(153,样本到样信息汇总统计!$AC$2:$AC$500,0)),"")</f>
        <v/>
      </c>
      <c r="C154" s="4" t="str">
        <f>IFERROR(INDEX(样本到样信息汇总统计!C$2:C$500,MATCH(153,样本到样信息汇总统计!$AC$2:$AC$500,0)),"")</f>
        <v/>
      </c>
      <c r="D154" s="4" t="str">
        <f>IFERROR(INDEX(样本到样信息汇总统计!D$2:D$500,MATCH(153,样本到样信息汇总统计!$AC$2:$AC$500,0)),"")</f>
        <v/>
      </c>
      <c r="E154" s="4" t="str">
        <f>IFERROR(INDEX(样本到样信息汇总统计!E$2:E$500,MATCH(153,样本到样信息汇总统计!$AC$2:$AC$500,0)),"")</f>
        <v/>
      </c>
      <c r="F154" s="4" t="str">
        <f>IFERROR(INDEX(样本到样信息汇总统计!F$2:F$500,MATCH(153,样本到样信息汇总统计!$AC$2:$AC$500,0)),"")</f>
        <v/>
      </c>
      <c r="G154" s="4" t="str">
        <f>IFERROR(INDEX(样本到样信息汇总统计!G$2:G$500,MATCH(153,样本到样信息汇总统计!$AC$2:$AC$500,0)),"")</f>
        <v/>
      </c>
      <c r="H154" s="4" t="str">
        <f>IFERROR(INDEX(样本到样信息汇总统计!H$2:H$500,MATCH(153,样本到样信息汇总统计!$AC$2:$AC$500,0)),"")</f>
        <v/>
      </c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21.75" customHeight="1" spans="1:24">
      <c r="A155" s="8" t="str">
        <f>IFERROR(INDEX(样本到样信息汇总统计!A$2:A$500,MATCH(154,样本到样信息汇总统计!$AC$2:$AC$500,0)),"")</f>
        <v/>
      </c>
      <c r="B155" s="8" t="str">
        <f>IFERROR(INDEX(样本到样信息汇总统计!B$2:B$500,MATCH(154,样本到样信息汇总统计!$AC$2:$AC$500,0)),"")</f>
        <v/>
      </c>
      <c r="C155" s="8" t="str">
        <f>IFERROR(INDEX(样本到样信息汇总统计!C$2:C$500,MATCH(154,样本到样信息汇总统计!$AC$2:$AC$500,0)),"")</f>
        <v/>
      </c>
      <c r="D155" s="8" t="str">
        <f>IFERROR(INDEX(样本到样信息汇总统计!D$2:D$500,MATCH(154,样本到样信息汇总统计!$AC$2:$AC$500,0)),"")</f>
        <v/>
      </c>
      <c r="E155" s="8" t="str">
        <f>IFERROR(INDEX(样本到样信息汇总统计!E$2:E$500,MATCH(154,样本到样信息汇总统计!$AC$2:$AC$500,0)),"")</f>
        <v/>
      </c>
      <c r="F155" s="8" t="str">
        <f>IFERROR(INDEX(样本到样信息汇总统计!F$2:F$500,MATCH(154,样本到样信息汇总统计!$AC$2:$AC$500,0)),"")</f>
        <v/>
      </c>
      <c r="G155" s="8" t="str">
        <f>IFERROR(INDEX(样本到样信息汇总统计!G$2:G$500,MATCH(154,样本到样信息汇总统计!$AC$2:$AC$500,0)),"")</f>
        <v/>
      </c>
      <c r="H155" s="8" t="str">
        <f>IFERROR(INDEX(样本到样信息汇总统计!H$2:H$500,MATCH(154,样本到样信息汇总统计!$AC$2:$AC$500,0)),"")</f>
        <v/>
      </c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ht="21.75" customHeight="1" spans="1:24">
      <c r="A156" s="4" t="str">
        <f>IFERROR(INDEX(样本到样信息汇总统计!A$2:A$500,MATCH(155,样本到样信息汇总统计!$AC$2:$AC$500,0)),"")</f>
        <v/>
      </c>
      <c r="B156" s="4" t="str">
        <f>IFERROR(INDEX(样本到样信息汇总统计!B$2:B$500,MATCH(155,样本到样信息汇总统计!$AC$2:$AC$500,0)),"")</f>
        <v/>
      </c>
      <c r="C156" s="4" t="str">
        <f>IFERROR(INDEX(样本到样信息汇总统计!C$2:C$500,MATCH(155,样本到样信息汇总统计!$AC$2:$AC$500,0)),"")</f>
        <v/>
      </c>
      <c r="D156" s="4" t="str">
        <f>IFERROR(INDEX(样本到样信息汇总统计!D$2:D$500,MATCH(155,样本到样信息汇总统计!$AC$2:$AC$500,0)),"")</f>
        <v/>
      </c>
      <c r="E156" s="4" t="str">
        <f>IFERROR(INDEX(样本到样信息汇总统计!E$2:E$500,MATCH(155,样本到样信息汇总统计!$AC$2:$AC$500,0)),"")</f>
        <v/>
      </c>
      <c r="F156" s="4" t="str">
        <f>IFERROR(INDEX(样本到样信息汇总统计!F$2:F$500,MATCH(155,样本到样信息汇总统计!$AC$2:$AC$500,0)),"")</f>
        <v/>
      </c>
      <c r="G156" s="4" t="str">
        <f>IFERROR(INDEX(样本到样信息汇总统计!G$2:G$500,MATCH(155,样本到样信息汇总统计!$AC$2:$AC$500,0)),"")</f>
        <v/>
      </c>
      <c r="H156" s="4" t="str">
        <f>IFERROR(INDEX(样本到样信息汇总统计!H$2:H$500,MATCH(155,样本到样信息汇总统计!$AC$2:$AC$500,0)),"")</f>
        <v/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21.75" customHeight="1" spans="1:24">
      <c r="A157" s="8" t="str">
        <f>IFERROR(INDEX(样本到样信息汇总统计!A$2:A$500,MATCH(156,样本到样信息汇总统计!$AC$2:$AC$500,0)),"")</f>
        <v/>
      </c>
      <c r="B157" s="8" t="str">
        <f>IFERROR(INDEX(样本到样信息汇总统计!B$2:B$500,MATCH(156,样本到样信息汇总统计!$AC$2:$AC$500,0)),"")</f>
        <v/>
      </c>
      <c r="C157" s="8" t="str">
        <f>IFERROR(INDEX(样本到样信息汇总统计!C$2:C$500,MATCH(156,样本到样信息汇总统计!$AC$2:$AC$500,0)),"")</f>
        <v/>
      </c>
      <c r="D157" s="8" t="str">
        <f>IFERROR(INDEX(样本到样信息汇总统计!D$2:D$500,MATCH(156,样本到样信息汇总统计!$AC$2:$AC$500,0)),"")</f>
        <v/>
      </c>
      <c r="E157" s="8" t="str">
        <f>IFERROR(INDEX(样本到样信息汇总统计!E$2:E$500,MATCH(156,样本到样信息汇总统计!$AC$2:$AC$500,0)),"")</f>
        <v/>
      </c>
      <c r="F157" s="8" t="str">
        <f>IFERROR(INDEX(样本到样信息汇总统计!F$2:F$500,MATCH(156,样本到样信息汇总统计!$AC$2:$AC$500,0)),"")</f>
        <v/>
      </c>
      <c r="G157" s="8" t="str">
        <f>IFERROR(INDEX(样本到样信息汇总统计!G$2:G$500,MATCH(156,样本到样信息汇总统计!$AC$2:$AC$500,0)),"")</f>
        <v/>
      </c>
      <c r="H157" s="8" t="str">
        <f>IFERROR(INDEX(样本到样信息汇总统计!H$2:H$500,MATCH(156,样本到样信息汇总统计!$AC$2:$AC$500,0)),"")</f>
        <v/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ht="21.75" customHeight="1" spans="1:24">
      <c r="A158" s="4" t="str">
        <f>IFERROR(INDEX(样本到样信息汇总统计!A$2:A$500,MATCH(157,样本到样信息汇总统计!$AC$2:$AC$500,0)),"")</f>
        <v/>
      </c>
      <c r="B158" s="4" t="str">
        <f>IFERROR(INDEX(样本到样信息汇总统计!B$2:B$500,MATCH(157,样本到样信息汇总统计!$AC$2:$AC$500,0)),"")</f>
        <v/>
      </c>
      <c r="C158" s="4" t="str">
        <f>IFERROR(INDEX(样本到样信息汇总统计!C$2:C$500,MATCH(157,样本到样信息汇总统计!$AC$2:$AC$500,0)),"")</f>
        <v/>
      </c>
      <c r="D158" s="4" t="str">
        <f>IFERROR(INDEX(样本到样信息汇总统计!D$2:D$500,MATCH(157,样本到样信息汇总统计!$AC$2:$AC$500,0)),"")</f>
        <v/>
      </c>
      <c r="E158" s="4" t="str">
        <f>IFERROR(INDEX(样本到样信息汇总统计!E$2:E$500,MATCH(157,样本到样信息汇总统计!$AC$2:$AC$500,0)),"")</f>
        <v/>
      </c>
      <c r="F158" s="4" t="str">
        <f>IFERROR(INDEX(样本到样信息汇总统计!F$2:F$500,MATCH(157,样本到样信息汇总统计!$AC$2:$AC$500,0)),"")</f>
        <v/>
      </c>
      <c r="G158" s="4" t="str">
        <f>IFERROR(INDEX(样本到样信息汇总统计!G$2:G$500,MATCH(157,样本到样信息汇总统计!$AC$2:$AC$500,0)),"")</f>
        <v/>
      </c>
      <c r="H158" s="4" t="str">
        <f>IFERROR(INDEX(样本到样信息汇总统计!H$2:H$500,MATCH(157,样本到样信息汇总统计!$AC$2:$AC$500,0)),"")</f>
        <v/>
      </c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21.75" customHeight="1" spans="1:24">
      <c r="A159" s="8" t="str">
        <f>IFERROR(INDEX(样本到样信息汇总统计!A$2:A$500,MATCH(158,样本到样信息汇总统计!$AC$2:$AC$500,0)),"")</f>
        <v/>
      </c>
      <c r="B159" s="8" t="str">
        <f>IFERROR(INDEX(样本到样信息汇总统计!B$2:B$500,MATCH(158,样本到样信息汇总统计!$AC$2:$AC$500,0)),"")</f>
        <v/>
      </c>
      <c r="C159" s="8" t="str">
        <f>IFERROR(INDEX(样本到样信息汇总统计!C$2:C$500,MATCH(158,样本到样信息汇总统计!$AC$2:$AC$500,0)),"")</f>
        <v/>
      </c>
      <c r="D159" s="8" t="str">
        <f>IFERROR(INDEX(样本到样信息汇总统计!D$2:D$500,MATCH(158,样本到样信息汇总统计!$AC$2:$AC$500,0)),"")</f>
        <v/>
      </c>
      <c r="E159" s="8" t="str">
        <f>IFERROR(INDEX(样本到样信息汇总统计!E$2:E$500,MATCH(158,样本到样信息汇总统计!$AC$2:$AC$500,0)),"")</f>
        <v/>
      </c>
      <c r="F159" s="8" t="str">
        <f>IFERROR(INDEX(样本到样信息汇总统计!F$2:F$500,MATCH(158,样本到样信息汇总统计!$AC$2:$AC$500,0)),"")</f>
        <v/>
      </c>
      <c r="G159" s="8" t="str">
        <f>IFERROR(INDEX(样本到样信息汇总统计!G$2:G$500,MATCH(158,样本到样信息汇总统计!$AC$2:$AC$500,0)),"")</f>
        <v/>
      </c>
      <c r="H159" s="8" t="str">
        <f>IFERROR(INDEX(样本到样信息汇总统计!H$2:H$500,MATCH(158,样本到样信息汇总统计!$AC$2:$AC$500,0)),"")</f>
        <v/>
      </c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ht="21.75" customHeight="1" spans="1:24">
      <c r="A160" s="4" t="str">
        <f>IFERROR(INDEX(样本到样信息汇总统计!A$2:A$500,MATCH(159,样本到样信息汇总统计!$AC$2:$AC$500,0)),"")</f>
        <v/>
      </c>
      <c r="B160" s="4" t="str">
        <f>IFERROR(INDEX(样本到样信息汇总统计!B$2:B$500,MATCH(159,样本到样信息汇总统计!$AC$2:$AC$500,0)),"")</f>
        <v/>
      </c>
      <c r="C160" s="4" t="str">
        <f>IFERROR(INDEX(样本到样信息汇总统计!C$2:C$500,MATCH(159,样本到样信息汇总统计!$AC$2:$AC$500,0)),"")</f>
        <v/>
      </c>
      <c r="D160" s="4" t="str">
        <f>IFERROR(INDEX(样本到样信息汇总统计!D$2:D$500,MATCH(159,样本到样信息汇总统计!$AC$2:$AC$500,0)),"")</f>
        <v/>
      </c>
      <c r="E160" s="4" t="str">
        <f>IFERROR(INDEX(样本到样信息汇总统计!E$2:E$500,MATCH(159,样本到样信息汇总统计!$AC$2:$AC$500,0)),"")</f>
        <v/>
      </c>
      <c r="F160" s="4" t="str">
        <f>IFERROR(INDEX(样本到样信息汇总统计!F$2:F$500,MATCH(159,样本到样信息汇总统计!$AC$2:$AC$500,0)),"")</f>
        <v/>
      </c>
      <c r="G160" s="4" t="str">
        <f>IFERROR(INDEX(样本到样信息汇总统计!G$2:G$500,MATCH(159,样本到样信息汇总统计!$AC$2:$AC$500,0)),"")</f>
        <v/>
      </c>
      <c r="H160" s="4" t="str">
        <f>IFERROR(INDEX(样本到样信息汇总统计!H$2:H$500,MATCH(159,样本到样信息汇总统计!$AC$2:$AC$500,0)),"")</f>
        <v/>
      </c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21.75" customHeight="1" spans="1:24">
      <c r="A161" s="8" t="str">
        <f>IFERROR(INDEX(样本到样信息汇总统计!A$2:A$500,MATCH(160,样本到样信息汇总统计!$AC$2:$AC$500,0)),"")</f>
        <v/>
      </c>
      <c r="B161" s="8" t="str">
        <f>IFERROR(INDEX(样本到样信息汇总统计!B$2:B$500,MATCH(160,样本到样信息汇总统计!$AC$2:$AC$500,0)),"")</f>
        <v/>
      </c>
      <c r="C161" s="8" t="str">
        <f>IFERROR(INDEX(样本到样信息汇总统计!C$2:C$500,MATCH(160,样本到样信息汇总统计!$AC$2:$AC$500,0)),"")</f>
        <v/>
      </c>
      <c r="D161" s="8" t="str">
        <f>IFERROR(INDEX(样本到样信息汇总统计!D$2:D$500,MATCH(160,样本到样信息汇总统计!$AC$2:$AC$500,0)),"")</f>
        <v/>
      </c>
      <c r="E161" s="8" t="str">
        <f>IFERROR(INDEX(样本到样信息汇总统计!E$2:E$500,MATCH(160,样本到样信息汇总统计!$AC$2:$AC$500,0)),"")</f>
        <v/>
      </c>
      <c r="F161" s="8" t="str">
        <f>IFERROR(INDEX(样本到样信息汇总统计!F$2:F$500,MATCH(160,样本到样信息汇总统计!$AC$2:$AC$500,0)),"")</f>
        <v/>
      </c>
      <c r="G161" s="8" t="str">
        <f>IFERROR(INDEX(样本到样信息汇总统计!G$2:G$500,MATCH(160,样本到样信息汇总统计!$AC$2:$AC$500,0)),"")</f>
        <v/>
      </c>
      <c r="H161" s="8" t="str">
        <f>IFERROR(INDEX(样本到样信息汇总统计!H$2:H$500,MATCH(160,样本到样信息汇总统计!$AC$2:$AC$500,0)),"")</f>
        <v/>
      </c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ht="21.75" customHeight="1" spans="1:24">
      <c r="A162" s="4" t="str">
        <f>IFERROR(INDEX(样本到样信息汇总统计!A$2:A$500,MATCH(161,样本到样信息汇总统计!$AC$2:$AC$500,0)),"")</f>
        <v/>
      </c>
      <c r="B162" s="4" t="str">
        <f>IFERROR(INDEX(样本到样信息汇总统计!B$2:B$500,MATCH(161,样本到样信息汇总统计!$AC$2:$AC$500,0)),"")</f>
        <v/>
      </c>
      <c r="C162" s="4" t="str">
        <f>IFERROR(INDEX(样本到样信息汇总统计!C$2:C$500,MATCH(161,样本到样信息汇总统计!$AC$2:$AC$500,0)),"")</f>
        <v/>
      </c>
      <c r="D162" s="4" t="str">
        <f>IFERROR(INDEX(样本到样信息汇总统计!D$2:D$500,MATCH(161,样本到样信息汇总统计!$AC$2:$AC$500,0)),"")</f>
        <v/>
      </c>
      <c r="E162" s="4" t="str">
        <f>IFERROR(INDEX(样本到样信息汇总统计!E$2:E$500,MATCH(161,样本到样信息汇总统计!$AC$2:$AC$500,0)),"")</f>
        <v/>
      </c>
      <c r="F162" s="4" t="str">
        <f>IFERROR(INDEX(样本到样信息汇总统计!F$2:F$500,MATCH(161,样本到样信息汇总统计!$AC$2:$AC$500,0)),"")</f>
        <v/>
      </c>
      <c r="G162" s="4" t="str">
        <f>IFERROR(INDEX(样本到样信息汇总统计!G$2:G$500,MATCH(161,样本到样信息汇总统计!$AC$2:$AC$500,0)),"")</f>
        <v/>
      </c>
      <c r="H162" s="4" t="str">
        <f>IFERROR(INDEX(样本到样信息汇总统计!H$2:H$500,MATCH(161,样本到样信息汇总统计!$AC$2:$AC$500,0)),"")</f>
        <v/>
      </c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21.75" customHeight="1" spans="1:24">
      <c r="A163" s="8" t="str">
        <f>IFERROR(INDEX(样本到样信息汇总统计!A$2:A$500,MATCH(162,样本到样信息汇总统计!$AC$2:$AC$500,0)),"")</f>
        <v/>
      </c>
      <c r="B163" s="8" t="str">
        <f>IFERROR(INDEX(样本到样信息汇总统计!B$2:B$500,MATCH(162,样本到样信息汇总统计!$AC$2:$AC$500,0)),"")</f>
        <v/>
      </c>
      <c r="C163" s="8" t="str">
        <f>IFERROR(INDEX(样本到样信息汇总统计!C$2:C$500,MATCH(162,样本到样信息汇总统计!$AC$2:$AC$500,0)),"")</f>
        <v/>
      </c>
      <c r="D163" s="8" t="str">
        <f>IFERROR(INDEX(样本到样信息汇总统计!D$2:D$500,MATCH(162,样本到样信息汇总统计!$AC$2:$AC$500,0)),"")</f>
        <v/>
      </c>
      <c r="E163" s="8" t="str">
        <f>IFERROR(INDEX(样本到样信息汇总统计!E$2:E$500,MATCH(162,样本到样信息汇总统计!$AC$2:$AC$500,0)),"")</f>
        <v/>
      </c>
      <c r="F163" s="8" t="str">
        <f>IFERROR(INDEX(样本到样信息汇总统计!F$2:F$500,MATCH(162,样本到样信息汇总统计!$AC$2:$AC$500,0)),"")</f>
        <v/>
      </c>
      <c r="G163" s="8" t="str">
        <f>IFERROR(INDEX(样本到样信息汇总统计!G$2:G$500,MATCH(162,样本到样信息汇总统计!$AC$2:$AC$500,0)),"")</f>
        <v/>
      </c>
      <c r="H163" s="8" t="str">
        <f>IFERROR(INDEX(样本到样信息汇总统计!H$2:H$500,MATCH(162,样本到样信息汇总统计!$AC$2:$AC$500,0)),"")</f>
        <v/>
      </c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ht="21.75" customHeight="1" spans="1:24">
      <c r="A164" s="4" t="str">
        <f>IFERROR(INDEX(样本到样信息汇总统计!A$2:A$500,MATCH(163,样本到样信息汇总统计!$AC$2:$AC$500,0)),"")</f>
        <v/>
      </c>
      <c r="B164" s="4" t="str">
        <f>IFERROR(INDEX(样本到样信息汇总统计!B$2:B$500,MATCH(163,样本到样信息汇总统计!$AC$2:$AC$500,0)),"")</f>
        <v/>
      </c>
      <c r="C164" s="4" t="str">
        <f>IFERROR(INDEX(样本到样信息汇总统计!C$2:C$500,MATCH(163,样本到样信息汇总统计!$AC$2:$AC$500,0)),"")</f>
        <v/>
      </c>
      <c r="D164" s="4" t="str">
        <f>IFERROR(INDEX(样本到样信息汇总统计!D$2:D$500,MATCH(163,样本到样信息汇总统计!$AC$2:$AC$500,0)),"")</f>
        <v/>
      </c>
      <c r="E164" s="4" t="str">
        <f>IFERROR(INDEX(样本到样信息汇总统计!E$2:E$500,MATCH(163,样本到样信息汇总统计!$AC$2:$AC$500,0)),"")</f>
        <v/>
      </c>
      <c r="F164" s="4" t="str">
        <f>IFERROR(INDEX(样本到样信息汇总统计!F$2:F$500,MATCH(163,样本到样信息汇总统计!$AC$2:$AC$500,0)),"")</f>
        <v/>
      </c>
      <c r="G164" s="4" t="str">
        <f>IFERROR(INDEX(样本到样信息汇总统计!G$2:G$500,MATCH(163,样本到样信息汇总统计!$AC$2:$AC$500,0)),"")</f>
        <v/>
      </c>
      <c r="H164" s="4" t="str">
        <f>IFERROR(INDEX(样本到样信息汇总统计!H$2:H$500,MATCH(163,样本到样信息汇总统计!$AC$2:$AC$500,0)),"")</f>
        <v/>
      </c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21.75" customHeight="1" spans="1:24">
      <c r="A165" s="8" t="str">
        <f>IFERROR(INDEX(样本到样信息汇总统计!A$2:A$500,MATCH(164,样本到样信息汇总统计!$AC$2:$AC$500,0)),"")</f>
        <v/>
      </c>
      <c r="B165" s="8" t="str">
        <f>IFERROR(INDEX(样本到样信息汇总统计!B$2:B$500,MATCH(164,样本到样信息汇总统计!$AC$2:$AC$500,0)),"")</f>
        <v/>
      </c>
      <c r="C165" s="8" t="str">
        <f>IFERROR(INDEX(样本到样信息汇总统计!C$2:C$500,MATCH(164,样本到样信息汇总统计!$AC$2:$AC$500,0)),"")</f>
        <v/>
      </c>
      <c r="D165" s="8" t="str">
        <f>IFERROR(INDEX(样本到样信息汇总统计!D$2:D$500,MATCH(164,样本到样信息汇总统计!$AC$2:$AC$500,0)),"")</f>
        <v/>
      </c>
      <c r="E165" s="8" t="str">
        <f>IFERROR(INDEX(样本到样信息汇总统计!E$2:E$500,MATCH(164,样本到样信息汇总统计!$AC$2:$AC$500,0)),"")</f>
        <v/>
      </c>
      <c r="F165" s="8" t="str">
        <f>IFERROR(INDEX(样本到样信息汇总统计!F$2:F$500,MATCH(164,样本到样信息汇总统计!$AC$2:$AC$500,0)),"")</f>
        <v/>
      </c>
      <c r="G165" s="8" t="str">
        <f>IFERROR(INDEX(样本到样信息汇总统计!G$2:G$500,MATCH(164,样本到样信息汇总统计!$AC$2:$AC$500,0)),"")</f>
        <v/>
      </c>
      <c r="H165" s="8" t="str">
        <f>IFERROR(INDEX(样本到样信息汇总统计!H$2:H$500,MATCH(164,样本到样信息汇总统计!$AC$2:$AC$500,0)),"")</f>
        <v/>
      </c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ht="21.75" customHeight="1" spans="1:24">
      <c r="A166" s="4" t="str">
        <f>IFERROR(INDEX(样本到样信息汇总统计!A$2:A$500,MATCH(165,样本到样信息汇总统计!$AC$2:$AC$500,0)),"")</f>
        <v/>
      </c>
      <c r="B166" s="4" t="str">
        <f>IFERROR(INDEX(样本到样信息汇总统计!B$2:B$500,MATCH(165,样本到样信息汇总统计!$AC$2:$AC$500,0)),"")</f>
        <v/>
      </c>
      <c r="C166" s="4" t="str">
        <f>IFERROR(INDEX(样本到样信息汇总统计!C$2:C$500,MATCH(165,样本到样信息汇总统计!$AC$2:$AC$500,0)),"")</f>
        <v/>
      </c>
      <c r="D166" s="4" t="str">
        <f>IFERROR(INDEX(样本到样信息汇总统计!D$2:D$500,MATCH(165,样本到样信息汇总统计!$AC$2:$AC$500,0)),"")</f>
        <v/>
      </c>
      <c r="E166" s="4" t="str">
        <f>IFERROR(INDEX(样本到样信息汇总统计!E$2:E$500,MATCH(165,样本到样信息汇总统计!$AC$2:$AC$500,0)),"")</f>
        <v/>
      </c>
      <c r="F166" s="4" t="str">
        <f>IFERROR(INDEX(样本到样信息汇总统计!F$2:F$500,MATCH(165,样本到样信息汇总统计!$AC$2:$AC$500,0)),"")</f>
        <v/>
      </c>
      <c r="G166" s="4" t="str">
        <f>IFERROR(INDEX(样本到样信息汇总统计!G$2:G$500,MATCH(165,样本到样信息汇总统计!$AC$2:$AC$500,0)),"")</f>
        <v/>
      </c>
      <c r="H166" s="4" t="str">
        <f>IFERROR(INDEX(样本到样信息汇总统计!H$2:H$500,MATCH(165,样本到样信息汇总统计!$AC$2:$AC$500,0)),"")</f>
        <v/>
      </c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21.75" customHeight="1" spans="1:24">
      <c r="A167" s="8" t="str">
        <f>IFERROR(INDEX(样本到样信息汇总统计!A$2:A$500,MATCH(166,样本到样信息汇总统计!$AC$2:$AC$500,0)),"")</f>
        <v/>
      </c>
      <c r="B167" s="8" t="str">
        <f>IFERROR(INDEX(样本到样信息汇总统计!B$2:B$500,MATCH(166,样本到样信息汇总统计!$AC$2:$AC$500,0)),"")</f>
        <v/>
      </c>
      <c r="C167" s="8" t="str">
        <f>IFERROR(INDEX(样本到样信息汇总统计!C$2:C$500,MATCH(166,样本到样信息汇总统计!$AC$2:$AC$500,0)),"")</f>
        <v/>
      </c>
      <c r="D167" s="8" t="str">
        <f>IFERROR(INDEX(样本到样信息汇总统计!D$2:D$500,MATCH(166,样本到样信息汇总统计!$AC$2:$AC$500,0)),"")</f>
        <v/>
      </c>
      <c r="E167" s="8" t="str">
        <f>IFERROR(INDEX(样本到样信息汇总统计!E$2:E$500,MATCH(166,样本到样信息汇总统计!$AC$2:$AC$500,0)),"")</f>
        <v/>
      </c>
      <c r="F167" s="8" t="str">
        <f>IFERROR(INDEX(样本到样信息汇总统计!F$2:F$500,MATCH(166,样本到样信息汇总统计!$AC$2:$AC$500,0)),"")</f>
        <v/>
      </c>
      <c r="G167" s="8" t="str">
        <f>IFERROR(INDEX(样本到样信息汇总统计!G$2:G$500,MATCH(166,样本到样信息汇总统计!$AC$2:$AC$500,0)),"")</f>
        <v/>
      </c>
      <c r="H167" s="8" t="str">
        <f>IFERROR(INDEX(样本到样信息汇总统计!H$2:H$500,MATCH(166,样本到样信息汇总统计!$AC$2:$AC$500,0)),"")</f>
        <v/>
      </c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ht="21.75" customHeight="1" spans="1:24">
      <c r="A168" s="4" t="str">
        <f>IFERROR(INDEX(样本到样信息汇总统计!A$2:A$500,MATCH(167,样本到样信息汇总统计!$AC$2:$AC$500,0)),"")</f>
        <v/>
      </c>
      <c r="B168" s="4" t="str">
        <f>IFERROR(INDEX(样本到样信息汇总统计!B$2:B$500,MATCH(167,样本到样信息汇总统计!$AC$2:$AC$500,0)),"")</f>
        <v/>
      </c>
      <c r="C168" s="4" t="str">
        <f>IFERROR(INDEX(样本到样信息汇总统计!C$2:C$500,MATCH(167,样本到样信息汇总统计!$AC$2:$AC$500,0)),"")</f>
        <v/>
      </c>
      <c r="D168" s="4" t="str">
        <f>IFERROR(INDEX(样本到样信息汇总统计!D$2:D$500,MATCH(167,样本到样信息汇总统计!$AC$2:$AC$500,0)),"")</f>
        <v/>
      </c>
      <c r="E168" s="4" t="str">
        <f>IFERROR(INDEX(样本到样信息汇总统计!E$2:E$500,MATCH(167,样本到样信息汇总统计!$AC$2:$AC$500,0)),"")</f>
        <v/>
      </c>
      <c r="F168" s="4" t="str">
        <f>IFERROR(INDEX(样本到样信息汇总统计!F$2:F$500,MATCH(167,样本到样信息汇总统计!$AC$2:$AC$500,0)),"")</f>
        <v/>
      </c>
      <c r="G168" s="4" t="str">
        <f>IFERROR(INDEX(样本到样信息汇总统计!G$2:G$500,MATCH(167,样本到样信息汇总统计!$AC$2:$AC$500,0)),"")</f>
        <v/>
      </c>
      <c r="H168" s="4" t="str">
        <f>IFERROR(INDEX(样本到样信息汇总统计!H$2:H$500,MATCH(167,样本到样信息汇总统计!$AC$2:$AC$500,0)),"")</f>
        <v/>
      </c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21.75" customHeight="1" spans="1:24">
      <c r="A169" s="8" t="str">
        <f>IFERROR(INDEX(样本到样信息汇总统计!A$2:A$500,MATCH(168,样本到样信息汇总统计!$AC$2:$AC$500,0)),"")</f>
        <v/>
      </c>
      <c r="B169" s="8" t="str">
        <f>IFERROR(INDEX(样本到样信息汇总统计!B$2:B$500,MATCH(168,样本到样信息汇总统计!$AC$2:$AC$500,0)),"")</f>
        <v/>
      </c>
      <c r="C169" s="8" t="str">
        <f>IFERROR(INDEX(样本到样信息汇总统计!C$2:C$500,MATCH(168,样本到样信息汇总统计!$AC$2:$AC$500,0)),"")</f>
        <v/>
      </c>
      <c r="D169" s="8" t="str">
        <f>IFERROR(INDEX(样本到样信息汇总统计!D$2:D$500,MATCH(168,样本到样信息汇总统计!$AC$2:$AC$500,0)),"")</f>
        <v/>
      </c>
      <c r="E169" s="8" t="str">
        <f>IFERROR(INDEX(样本到样信息汇总统计!E$2:E$500,MATCH(168,样本到样信息汇总统计!$AC$2:$AC$500,0)),"")</f>
        <v/>
      </c>
      <c r="F169" s="8" t="str">
        <f>IFERROR(INDEX(样本到样信息汇总统计!F$2:F$500,MATCH(168,样本到样信息汇总统计!$AC$2:$AC$500,0)),"")</f>
        <v/>
      </c>
      <c r="G169" s="8" t="str">
        <f>IFERROR(INDEX(样本到样信息汇总统计!G$2:G$500,MATCH(168,样本到样信息汇总统计!$AC$2:$AC$500,0)),"")</f>
        <v/>
      </c>
      <c r="H169" s="8" t="str">
        <f>IFERROR(INDEX(样本到样信息汇总统计!H$2:H$500,MATCH(168,样本到样信息汇总统计!$AC$2:$AC$500,0)),"")</f>
        <v/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ht="21.75" customHeight="1" spans="1:24">
      <c r="A170" s="4" t="str">
        <f>IFERROR(INDEX(样本到样信息汇总统计!A$2:A$500,MATCH(169,样本到样信息汇总统计!$AC$2:$AC$500,0)),"")</f>
        <v/>
      </c>
      <c r="B170" s="4" t="str">
        <f>IFERROR(INDEX(样本到样信息汇总统计!B$2:B$500,MATCH(169,样本到样信息汇总统计!$AC$2:$AC$500,0)),"")</f>
        <v/>
      </c>
      <c r="C170" s="4" t="str">
        <f>IFERROR(INDEX(样本到样信息汇总统计!C$2:C$500,MATCH(169,样本到样信息汇总统计!$AC$2:$AC$500,0)),"")</f>
        <v/>
      </c>
      <c r="D170" s="4" t="str">
        <f>IFERROR(INDEX(样本到样信息汇总统计!D$2:D$500,MATCH(169,样本到样信息汇总统计!$AC$2:$AC$500,0)),"")</f>
        <v/>
      </c>
      <c r="E170" s="4" t="str">
        <f>IFERROR(INDEX(样本到样信息汇总统计!E$2:E$500,MATCH(169,样本到样信息汇总统计!$AC$2:$AC$500,0)),"")</f>
        <v/>
      </c>
      <c r="F170" s="4" t="str">
        <f>IFERROR(INDEX(样本到样信息汇总统计!F$2:F$500,MATCH(169,样本到样信息汇总统计!$AC$2:$AC$500,0)),"")</f>
        <v/>
      </c>
      <c r="G170" s="4" t="str">
        <f>IFERROR(INDEX(样本到样信息汇总统计!G$2:G$500,MATCH(169,样本到样信息汇总统计!$AC$2:$AC$500,0)),"")</f>
        <v/>
      </c>
      <c r="H170" s="4" t="str">
        <f>IFERROR(INDEX(样本到样信息汇总统计!H$2:H$500,MATCH(169,样本到样信息汇总统计!$AC$2:$AC$500,0)),"")</f>
        <v/>
      </c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21.75" customHeight="1" spans="1:24">
      <c r="A171" s="8" t="str">
        <f>IFERROR(INDEX(样本到样信息汇总统计!A$2:A$500,MATCH(170,样本到样信息汇总统计!$AC$2:$AC$500,0)),"")</f>
        <v/>
      </c>
      <c r="B171" s="8" t="str">
        <f>IFERROR(INDEX(样本到样信息汇总统计!B$2:B$500,MATCH(170,样本到样信息汇总统计!$AC$2:$AC$500,0)),"")</f>
        <v/>
      </c>
      <c r="C171" s="8" t="str">
        <f>IFERROR(INDEX(样本到样信息汇总统计!C$2:C$500,MATCH(170,样本到样信息汇总统计!$AC$2:$AC$500,0)),"")</f>
        <v/>
      </c>
      <c r="D171" s="8" t="str">
        <f>IFERROR(INDEX(样本到样信息汇总统计!D$2:D$500,MATCH(170,样本到样信息汇总统计!$AC$2:$AC$500,0)),"")</f>
        <v/>
      </c>
      <c r="E171" s="8" t="str">
        <f>IFERROR(INDEX(样本到样信息汇总统计!E$2:E$500,MATCH(170,样本到样信息汇总统计!$AC$2:$AC$500,0)),"")</f>
        <v/>
      </c>
      <c r="F171" s="8" t="str">
        <f>IFERROR(INDEX(样本到样信息汇总统计!F$2:F$500,MATCH(170,样本到样信息汇总统计!$AC$2:$AC$500,0)),"")</f>
        <v/>
      </c>
      <c r="G171" s="8" t="str">
        <f>IFERROR(INDEX(样本到样信息汇总统计!G$2:G$500,MATCH(170,样本到样信息汇总统计!$AC$2:$AC$500,0)),"")</f>
        <v/>
      </c>
      <c r="H171" s="8" t="str">
        <f>IFERROR(INDEX(样本到样信息汇总统计!H$2:H$500,MATCH(170,样本到样信息汇总统计!$AC$2:$AC$500,0)),"")</f>
        <v/>
      </c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ht="21.75" customHeight="1" spans="1:24">
      <c r="A172" s="4" t="str">
        <f>IFERROR(INDEX(样本到样信息汇总统计!A$2:A$500,MATCH(171,样本到样信息汇总统计!$AC$2:$AC$500,0)),"")</f>
        <v/>
      </c>
      <c r="B172" s="4" t="str">
        <f>IFERROR(INDEX(样本到样信息汇总统计!B$2:B$500,MATCH(171,样本到样信息汇总统计!$AC$2:$AC$500,0)),"")</f>
        <v/>
      </c>
      <c r="C172" s="4" t="str">
        <f>IFERROR(INDEX(样本到样信息汇总统计!C$2:C$500,MATCH(171,样本到样信息汇总统计!$AC$2:$AC$500,0)),"")</f>
        <v/>
      </c>
      <c r="D172" s="4" t="str">
        <f>IFERROR(INDEX(样本到样信息汇总统计!D$2:D$500,MATCH(171,样本到样信息汇总统计!$AC$2:$AC$500,0)),"")</f>
        <v/>
      </c>
      <c r="E172" s="4" t="str">
        <f>IFERROR(INDEX(样本到样信息汇总统计!E$2:E$500,MATCH(171,样本到样信息汇总统计!$AC$2:$AC$500,0)),"")</f>
        <v/>
      </c>
      <c r="F172" s="4" t="str">
        <f>IFERROR(INDEX(样本到样信息汇总统计!F$2:F$500,MATCH(171,样本到样信息汇总统计!$AC$2:$AC$500,0)),"")</f>
        <v/>
      </c>
      <c r="G172" s="4" t="str">
        <f>IFERROR(INDEX(样本到样信息汇总统计!G$2:G$500,MATCH(171,样本到样信息汇总统计!$AC$2:$AC$500,0)),"")</f>
        <v/>
      </c>
      <c r="H172" s="4" t="str">
        <f>IFERROR(INDEX(样本到样信息汇总统计!H$2:H$500,MATCH(171,样本到样信息汇总统计!$AC$2:$AC$500,0)),"")</f>
        <v/>
      </c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21.75" customHeight="1" spans="1:24">
      <c r="A173" s="8" t="str">
        <f>IFERROR(INDEX(样本到样信息汇总统计!A$2:A$500,MATCH(172,样本到样信息汇总统计!$AC$2:$AC$500,0)),"")</f>
        <v/>
      </c>
      <c r="B173" s="8" t="str">
        <f>IFERROR(INDEX(样本到样信息汇总统计!B$2:B$500,MATCH(172,样本到样信息汇总统计!$AC$2:$AC$500,0)),"")</f>
        <v/>
      </c>
      <c r="C173" s="8" t="str">
        <f>IFERROR(INDEX(样本到样信息汇总统计!C$2:C$500,MATCH(172,样本到样信息汇总统计!$AC$2:$AC$500,0)),"")</f>
        <v/>
      </c>
      <c r="D173" s="8" t="str">
        <f>IFERROR(INDEX(样本到样信息汇总统计!D$2:D$500,MATCH(172,样本到样信息汇总统计!$AC$2:$AC$500,0)),"")</f>
        <v/>
      </c>
      <c r="E173" s="8" t="str">
        <f>IFERROR(INDEX(样本到样信息汇总统计!E$2:E$500,MATCH(172,样本到样信息汇总统计!$AC$2:$AC$500,0)),"")</f>
        <v/>
      </c>
      <c r="F173" s="8" t="str">
        <f>IFERROR(INDEX(样本到样信息汇总统计!F$2:F$500,MATCH(172,样本到样信息汇总统计!$AC$2:$AC$500,0)),"")</f>
        <v/>
      </c>
      <c r="G173" s="8" t="str">
        <f>IFERROR(INDEX(样本到样信息汇总统计!G$2:G$500,MATCH(172,样本到样信息汇总统计!$AC$2:$AC$500,0)),"")</f>
        <v/>
      </c>
      <c r="H173" s="8" t="str">
        <f>IFERROR(INDEX(样本到样信息汇总统计!H$2:H$500,MATCH(172,样本到样信息汇总统计!$AC$2:$AC$500,0)),"")</f>
        <v/>
      </c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ht="21.75" customHeight="1" spans="1:24">
      <c r="A174" s="4" t="str">
        <f>IFERROR(INDEX(样本到样信息汇总统计!A$2:A$500,MATCH(173,样本到样信息汇总统计!$AC$2:$AC$500,0)),"")</f>
        <v/>
      </c>
      <c r="B174" s="4" t="str">
        <f>IFERROR(INDEX(样本到样信息汇总统计!B$2:B$500,MATCH(173,样本到样信息汇总统计!$AC$2:$AC$500,0)),"")</f>
        <v/>
      </c>
      <c r="C174" s="4" t="str">
        <f>IFERROR(INDEX(样本到样信息汇总统计!C$2:C$500,MATCH(173,样本到样信息汇总统计!$AC$2:$AC$500,0)),"")</f>
        <v/>
      </c>
      <c r="D174" s="4" t="str">
        <f>IFERROR(INDEX(样本到样信息汇总统计!D$2:D$500,MATCH(173,样本到样信息汇总统计!$AC$2:$AC$500,0)),"")</f>
        <v/>
      </c>
      <c r="E174" s="4" t="str">
        <f>IFERROR(INDEX(样本到样信息汇总统计!E$2:E$500,MATCH(173,样本到样信息汇总统计!$AC$2:$AC$500,0)),"")</f>
        <v/>
      </c>
      <c r="F174" s="4" t="str">
        <f>IFERROR(INDEX(样本到样信息汇总统计!F$2:F$500,MATCH(173,样本到样信息汇总统计!$AC$2:$AC$500,0)),"")</f>
        <v/>
      </c>
      <c r="G174" s="4" t="str">
        <f>IFERROR(INDEX(样本到样信息汇总统计!G$2:G$500,MATCH(173,样本到样信息汇总统计!$AC$2:$AC$500,0)),"")</f>
        <v/>
      </c>
      <c r="H174" s="4" t="str">
        <f>IFERROR(INDEX(样本到样信息汇总统计!H$2:H$500,MATCH(173,样本到样信息汇总统计!$AC$2:$AC$500,0)),"")</f>
        <v/>
      </c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21.75" customHeight="1" spans="1:24">
      <c r="A175" s="8" t="str">
        <f>IFERROR(INDEX(样本到样信息汇总统计!A$2:A$500,MATCH(174,样本到样信息汇总统计!$AC$2:$AC$500,0)),"")</f>
        <v/>
      </c>
      <c r="B175" s="8" t="str">
        <f>IFERROR(INDEX(样本到样信息汇总统计!B$2:B$500,MATCH(174,样本到样信息汇总统计!$AC$2:$AC$500,0)),"")</f>
        <v/>
      </c>
      <c r="C175" s="8" t="str">
        <f>IFERROR(INDEX(样本到样信息汇总统计!C$2:C$500,MATCH(174,样本到样信息汇总统计!$AC$2:$AC$500,0)),"")</f>
        <v/>
      </c>
      <c r="D175" s="8" t="str">
        <f>IFERROR(INDEX(样本到样信息汇总统计!D$2:D$500,MATCH(174,样本到样信息汇总统计!$AC$2:$AC$500,0)),"")</f>
        <v/>
      </c>
      <c r="E175" s="8" t="str">
        <f>IFERROR(INDEX(样本到样信息汇总统计!E$2:E$500,MATCH(174,样本到样信息汇总统计!$AC$2:$AC$500,0)),"")</f>
        <v/>
      </c>
      <c r="F175" s="8" t="str">
        <f>IFERROR(INDEX(样本到样信息汇总统计!F$2:F$500,MATCH(174,样本到样信息汇总统计!$AC$2:$AC$500,0)),"")</f>
        <v/>
      </c>
      <c r="G175" s="8" t="str">
        <f>IFERROR(INDEX(样本到样信息汇总统计!G$2:G$500,MATCH(174,样本到样信息汇总统计!$AC$2:$AC$500,0)),"")</f>
        <v/>
      </c>
      <c r="H175" s="8" t="str">
        <f>IFERROR(INDEX(样本到样信息汇总统计!H$2:H$500,MATCH(174,样本到样信息汇总统计!$AC$2:$AC$500,0)),"")</f>
        <v/>
      </c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ht="21.75" customHeight="1" spans="1:24">
      <c r="A176" s="4" t="str">
        <f>IFERROR(INDEX(样本到样信息汇总统计!A$2:A$500,MATCH(175,样本到样信息汇总统计!$AC$2:$AC$500,0)),"")</f>
        <v/>
      </c>
      <c r="B176" s="4" t="str">
        <f>IFERROR(INDEX(样本到样信息汇总统计!B$2:B$500,MATCH(175,样本到样信息汇总统计!$AC$2:$AC$500,0)),"")</f>
        <v/>
      </c>
      <c r="C176" s="4" t="str">
        <f>IFERROR(INDEX(样本到样信息汇总统计!C$2:C$500,MATCH(175,样本到样信息汇总统计!$AC$2:$AC$500,0)),"")</f>
        <v/>
      </c>
      <c r="D176" s="4" t="str">
        <f>IFERROR(INDEX(样本到样信息汇总统计!D$2:D$500,MATCH(175,样本到样信息汇总统计!$AC$2:$AC$500,0)),"")</f>
        <v/>
      </c>
      <c r="E176" s="4" t="str">
        <f>IFERROR(INDEX(样本到样信息汇总统计!E$2:E$500,MATCH(175,样本到样信息汇总统计!$AC$2:$AC$500,0)),"")</f>
        <v/>
      </c>
      <c r="F176" s="4" t="str">
        <f>IFERROR(INDEX(样本到样信息汇总统计!F$2:F$500,MATCH(175,样本到样信息汇总统计!$AC$2:$AC$500,0)),"")</f>
        <v/>
      </c>
      <c r="G176" s="4" t="str">
        <f>IFERROR(INDEX(样本到样信息汇总统计!G$2:G$500,MATCH(175,样本到样信息汇总统计!$AC$2:$AC$500,0)),"")</f>
        <v/>
      </c>
      <c r="H176" s="4" t="str">
        <f>IFERROR(INDEX(样本到样信息汇总统计!H$2:H$500,MATCH(175,样本到样信息汇总统计!$AC$2:$AC$500,0)),"")</f>
        <v/>
      </c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21.75" customHeight="1" spans="1:24">
      <c r="A177" s="8" t="str">
        <f>IFERROR(INDEX(样本到样信息汇总统计!A$2:A$500,MATCH(176,样本到样信息汇总统计!$AC$2:$AC$500,0)),"")</f>
        <v/>
      </c>
      <c r="B177" s="8" t="str">
        <f>IFERROR(INDEX(样本到样信息汇总统计!B$2:B$500,MATCH(176,样本到样信息汇总统计!$AC$2:$AC$500,0)),"")</f>
        <v/>
      </c>
      <c r="C177" s="8" t="str">
        <f>IFERROR(INDEX(样本到样信息汇总统计!C$2:C$500,MATCH(176,样本到样信息汇总统计!$AC$2:$AC$500,0)),"")</f>
        <v/>
      </c>
      <c r="D177" s="8" t="str">
        <f>IFERROR(INDEX(样本到样信息汇总统计!D$2:D$500,MATCH(176,样本到样信息汇总统计!$AC$2:$AC$500,0)),"")</f>
        <v/>
      </c>
      <c r="E177" s="8" t="str">
        <f>IFERROR(INDEX(样本到样信息汇总统计!E$2:E$500,MATCH(176,样本到样信息汇总统计!$AC$2:$AC$500,0)),"")</f>
        <v/>
      </c>
      <c r="F177" s="8" t="str">
        <f>IFERROR(INDEX(样本到样信息汇总统计!F$2:F$500,MATCH(176,样本到样信息汇总统计!$AC$2:$AC$500,0)),"")</f>
        <v/>
      </c>
      <c r="G177" s="8" t="str">
        <f>IFERROR(INDEX(样本到样信息汇总统计!G$2:G$500,MATCH(176,样本到样信息汇总统计!$AC$2:$AC$500,0)),"")</f>
        <v/>
      </c>
      <c r="H177" s="8" t="str">
        <f>IFERROR(INDEX(样本到样信息汇总统计!H$2:H$500,MATCH(176,样本到样信息汇总统计!$AC$2:$AC$500,0)),"")</f>
        <v/>
      </c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ht="21.75" customHeight="1" spans="1:24">
      <c r="A178" s="4" t="str">
        <f>IFERROR(INDEX(样本到样信息汇总统计!A$2:A$500,MATCH(177,样本到样信息汇总统计!$AC$2:$AC$500,0)),"")</f>
        <v/>
      </c>
      <c r="B178" s="4" t="str">
        <f>IFERROR(INDEX(样本到样信息汇总统计!B$2:B$500,MATCH(177,样本到样信息汇总统计!$AC$2:$AC$500,0)),"")</f>
        <v/>
      </c>
      <c r="C178" s="4" t="str">
        <f>IFERROR(INDEX(样本到样信息汇总统计!C$2:C$500,MATCH(177,样本到样信息汇总统计!$AC$2:$AC$500,0)),"")</f>
        <v/>
      </c>
      <c r="D178" s="4" t="str">
        <f>IFERROR(INDEX(样本到样信息汇总统计!D$2:D$500,MATCH(177,样本到样信息汇总统计!$AC$2:$AC$500,0)),"")</f>
        <v/>
      </c>
      <c r="E178" s="4" t="str">
        <f>IFERROR(INDEX(样本到样信息汇总统计!E$2:E$500,MATCH(177,样本到样信息汇总统计!$AC$2:$AC$500,0)),"")</f>
        <v/>
      </c>
      <c r="F178" s="4" t="str">
        <f>IFERROR(INDEX(样本到样信息汇总统计!F$2:F$500,MATCH(177,样本到样信息汇总统计!$AC$2:$AC$500,0)),"")</f>
        <v/>
      </c>
      <c r="G178" s="4" t="str">
        <f>IFERROR(INDEX(样本到样信息汇总统计!G$2:G$500,MATCH(177,样本到样信息汇总统计!$AC$2:$AC$500,0)),"")</f>
        <v/>
      </c>
      <c r="H178" s="4" t="str">
        <f>IFERROR(INDEX(样本到样信息汇总统计!H$2:H$500,MATCH(177,样本到样信息汇总统计!$AC$2:$AC$500,0)),"")</f>
        <v/>
      </c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21.75" customHeight="1" spans="1:24">
      <c r="A179" s="8" t="str">
        <f>IFERROR(INDEX(样本到样信息汇总统计!A$2:A$500,MATCH(178,样本到样信息汇总统计!$AC$2:$AC$500,0)),"")</f>
        <v/>
      </c>
      <c r="B179" s="8" t="str">
        <f>IFERROR(INDEX(样本到样信息汇总统计!B$2:B$500,MATCH(178,样本到样信息汇总统计!$AC$2:$AC$500,0)),"")</f>
        <v/>
      </c>
      <c r="C179" s="8" t="str">
        <f>IFERROR(INDEX(样本到样信息汇总统计!C$2:C$500,MATCH(178,样本到样信息汇总统计!$AC$2:$AC$500,0)),"")</f>
        <v/>
      </c>
      <c r="D179" s="8" t="str">
        <f>IFERROR(INDEX(样本到样信息汇总统计!D$2:D$500,MATCH(178,样本到样信息汇总统计!$AC$2:$AC$500,0)),"")</f>
        <v/>
      </c>
      <c r="E179" s="8" t="str">
        <f>IFERROR(INDEX(样本到样信息汇总统计!E$2:E$500,MATCH(178,样本到样信息汇总统计!$AC$2:$AC$500,0)),"")</f>
        <v/>
      </c>
      <c r="F179" s="8" t="str">
        <f>IFERROR(INDEX(样本到样信息汇总统计!F$2:F$500,MATCH(178,样本到样信息汇总统计!$AC$2:$AC$500,0)),"")</f>
        <v/>
      </c>
      <c r="G179" s="8" t="str">
        <f>IFERROR(INDEX(样本到样信息汇总统计!G$2:G$500,MATCH(178,样本到样信息汇总统计!$AC$2:$AC$500,0)),"")</f>
        <v/>
      </c>
      <c r="H179" s="8" t="str">
        <f>IFERROR(INDEX(样本到样信息汇总统计!H$2:H$500,MATCH(178,样本到样信息汇总统计!$AC$2:$AC$500,0)),"")</f>
        <v/>
      </c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ht="21.75" customHeight="1" spans="1:24">
      <c r="A180" s="4" t="str">
        <f>IFERROR(INDEX(样本到样信息汇总统计!A$2:A$500,MATCH(179,样本到样信息汇总统计!$AC$2:$AC$500,0)),"")</f>
        <v/>
      </c>
      <c r="B180" s="4" t="str">
        <f>IFERROR(INDEX(样本到样信息汇总统计!B$2:B$500,MATCH(179,样本到样信息汇总统计!$AC$2:$AC$500,0)),"")</f>
        <v/>
      </c>
      <c r="C180" s="4" t="str">
        <f>IFERROR(INDEX(样本到样信息汇总统计!C$2:C$500,MATCH(179,样本到样信息汇总统计!$AC$2:$AC$500,0)),"")</f>
        <v/>
      </c>
      <c r="D180" s="4" t="str">
        <f>IFERROR(INDEX(样本到样信息汇总统计!D$2:D$500,MATCH(179,样本到样信息汇总统计!$AC$2:$AC$500,0)),"")</f>
        <v/>
      </c>
      <c r="E180" s="4" t="str">
        <f>IFERROR(INDEX(样本到样信息汇总统计!E$2:E$500,MATCH(179,样本到样信息汇总统计!$AC$2:$AC$500,0)),"")</f>
        <v/>
      </c>
      <c r="F180" s="4" t="str">
        <f>IFERROR(INDEX(样本到样信息汇总统计!F$2:F$500,MATCH(179,样本到样信息汇总统计!$AC$2:$AC$500,0)),"")</f>
        <v/>
      </c>
      <c r="G180" s="4" t="str">
        <f>IFERROR(INDEX(样本到样信息汇总统计!G$2:G$500,MATCH(179,样本到样信息汇总统计!$AC$2:$AC$500,0)),"")</f>
        <v/>
      </c>
      <c r="H180" s="4" t="str">
        <f>IFERROR(INDEX(样本到样信息汇总统计!H$2:H$500,MATCH(179,样本到样信息汇总统计!$AC$2:$AC$500,0)),"")</f>
        <v/>
      </c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21.75" customHeight="1" spans="1:24">
      <c r="A181" s="8" t="str">
        <f>IFERROR(INDEX(样本到样信息汇总统计!A$2:A$500,MATCH(180,样本到样信息汇总统计!$AC$2:$AC$500,0)),"")</f>
        <v/>
      </c>
      <c r="B181" s="8" t="str">
        <f>IFERROR(INDEX(样本到样信息汇总统计!B$2:B$500,MATCH(180,样本到样信息汇总统计!$AC$2:$AC$500,0)),"")</f>
        <v/>
      </c>
      <c r="C181" s="8" t="str">
        <f>IFERROR(INDEX(样本到样信息汇总统计!C$2:C$500,MATCH(180,样本到样信息汇总统计!$AC$2:$AC$500,0)),"")</f>
        <v/>
      </c>
      <c r="D181" s="8" t="str">
        <f>IFERROR(INDEX(样本到样信息汇总统计!D$2:D$500,MATCH(180,样本到样信息汇总统计!$AC$2:$AC$500,0)),"")</f>
        <v/>
      </c>
      <c r="E181" s="8" t="str">
        <f>IFERROR(INDEX(样本到样信息汇总统计!E$2:E$500,MATCH(180,样本到样信息汇总统计!$AC$2:$AC$500,0)),"")</f>
        <v/>
      </c>
      <c r="F181" s="8" t="str">
        <f>IFERROR(INDEX(样本到样信息汇总统计!F$2:F$500,MATCH(180,样本到样信息汇总统计!$AC$2:$AC$500,0)),"")</f>
        <v/>
      </c>
      <c r="G181" s="8" t="str">
        <f>IFERROR(INDEX(样本到样信息汇总统计!G$2:G$500,MATCH(180,样本到样信息汇总统计!$AC$2:$AC$500,0)),"")</f>
        <v/>
      </c>
      <c r="H181" s="8" t="str">
        <f>IFERROR(INDEX(样本到样信息汇总统计!H$2:H$500,MATCH(180,样本到样信息汇总统计!$AC$2:$AC$500,0)),"")</f>
        <v/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ht="21.75" customHeight="1" spans="1:24">
      <c r="A182" s="4" t="str">
        <f>IFERROR(INDEX(样本到样信息汇总统计!A$2:A$500,MATCH(181,样本到样信息汇总统计!$AC$2:$AC$500,0)),"")</f>
        <v/>
      </c>
      <c r="B182" s="4" t="str">
        <f>IFERROR(INDEX(样本到样信息汇总统计!B$2:B$500,MATCH(181,样本到样信息汇总统计!$AC$2:$AC$500,0)),"")</f>
        <v/>
      </c>
      <c r="C182" s="4" t="str">
        <f>IFERROR(INDEX(样本到样信息汇总统计!C$2:C$500,MATCH(181,样本到样信息汇总统计!$AC$2:$AC$500,0)),"")</f>
        <v/>
      </c>
      <c r="D182" s="4" t="str">
        <f>IFERROR(INDEX(样本到样信息汇总统计!D$2:D$500,MATCH(181,样本到样信息汇总统计!$AC$2:$AC$500,0)),"")</f>
        <v/>
      </c>
      <c r="E182" s="4" t="str">
        <f>IFERROR(INDEX(样本到样信息汇总统计!E$2:E$500,MATCH(181,样本到样信息汇总统计!$AC$2:$AC$500,0)),"")</f>
        <v/>
      </c>
      <c r="F182" s="4" t="str">
        <f>IFERROR(INDEX(样本到样信息汇总统计!F$2:F$500,MATCH(181,样本到样信息汇总统计!$AC$2:$AC$500,0)),"")</f>
        <v/>
      </c>
      <c r="G182" s="4" t="str">
        <f>IFERROR(INDEX(样本到样信息汇总统计!G$2:G$500,MATCH(181,样本到样信息汇总统计!$AC$2:$AC$500,0)),"")</f>
        <v/>
      </c>
      <c r="H182" s="4" t="str">
        <f>IFERROR(INDEX(样本到样信息汇总统计!H$2:H$500,MATCH(181,样本到样信息汇总统计!$AC$2:$AC$500,0)),"")</f>
        <v/>
      </c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21.75" customHeight="1" spans="1:24">
      <c r="A183" s="8" t="str">
        <f>IFERROR(INDEX(样本到样信息汇总统计!A$2:A$500,MATCH(182,样本到样信息汇总统计!$AC$2:$AC$500,0)),"")</f>
        <v/>
      </c>
      <c r="B183" s="8" t="str">
        <f>IFERROR(INDEX(样本到样信息汇总统计!B$2:B$500,MATCH(182,样本到样信息汇总统计!$AC$2:$AC$500,0)),"")</f>
        <v/>
      </c>
      <c r="C183" s="8" t="str">
        <f>IFERROR(INDEX(样本到样信息汇总统计!C$2:C$500,MATCH(182,样本到样信息汇总统计!$AC$2:$AC$500,0)),"")</f>
        <v/>
      </c>
      <c r="D183" s="8" t="str">
        <f>IFERROR(INDEX(样本到样信息汇总统计!D$2:D$500,MATCH(182,样本到样信息汇总统计!$AC$2:$AC$500,0)),"")</f>
        <v/>
      </c>
      <c r="E183" s="8" t="str">
        <f>IFERROR(INDEX(样本到样信息汇总统计!E$2:E$500,MATCH(182,样本到样信息汇总统计!$AC$2:$AC$500,0)),"")</f>
        <v/>
      </c>
      <c r="F183" s="8" t="str">
        <f>IFERROR(INDEX(样本到样信息汇总统计!F$2:F$500,MATCH(182,样本到样信息汇总统计!$AC$2:$AC$500,0)),"")</f>
        <v/>
      </c>
      <c r="G183" s="8" t="str">
        <f>IFERROR(INDEX(样本到样信息汇总统计!G$2:G$500,MATCH(182,样本到样信息汇总统计!$AC$2:$AC$500,0)),"")</f>
        <v/>
      </c>
      <c r="H183" s="8" t="str">
        <f>IFERROR(INDEX(样本到样信息汇总统计!H$2:H$500,MATCH(182,样本到样信息汇总统计!$AC$2:$AC$500,0)),"")</f>
        <v/>
      </c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ht="21.75" customHeight="1" spans="1:24">
      <c r="A184" s="4" t="str">
        <f>IFERROR(INDEX(样本到样信息汇总统计!A$2:A$500,MATCH(183,样本到样信息汇总统计!$AC$2:$AC$500,0)),"")</f>
        <v/>
      </c>
      <c r="B184" s="4" t="str">
        <f>IFERROR(INDEX(样本到样信息汇总统计!B$2:B$500,MATCH(183,样本到样信息汇总统计!$AC$2:$AC$500,0)),"")</f>
        <v/>
      </c>
      <c r="C184" s="4" t="str">
        <f>IFERROR(INDEX(样本到样信息汇总统计!C$2:C$500,MATCH(183,样本到样信息汇总统计!$AC$2:$AC$500,0)),"")</f>
        <v/>
      </c>
      <c r="D184" s="4" t="str">
        <f>IFERROR(INDEX(样本到样信息汇总统计!D$2:D$500,MATCH(183,样本到样信息汇总统计!$AC$2:$AC$500,0)),"")</f>
        <v/>
      </c>
      <c r="E184" s="4" t="str">
        <f>IFERROR(INDEX(样本到样信息汇总统计!E$2:E$500,MATCH(183,样本到样信息汇总统计!$AC$2:$AC$500,0)),"")</f>
        <v/>
      </c>
      <c r="F184" s="4" t="str">
        <f>IFERROR(INDEX(样本到样信息汇总统计!F$2:F$500,MATCH(183,样本到样信息汇总统计!$AC$2:$AC$500,0)),"")</f>
        <v/>
      </c>
      <c r="G184" s="4" t="str">
        <f>IFERROR(INDEX(样本到样信息汇总统计!G$2:G$500,MATCH(183,样本到样信息汇总统计!$AC$2:$AC$500,0)),"")</f>
        <v/>
      </c>
      <c r="H184" s="4" t="str">
        <f>IFERROR(INDEX(样本到样信息汇总统计!H$2:H$500,MATCH(183,样本到样信息汇总统计!$AC$2:$AC$500,0)),"")</f>
        <v/>
      </c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21.75" customHeight="1" spans="1:24">
      <c r="A185" s="8" t="str">
        <f>IFERROR(INDEX(样本到样信息汇总统计!A$2:A$500,MATCH(184,样本到样信息汇总统计!$AC$2:$AC$500,0)),"")</f>
        <v/>
      </c>
      <c r="B185" s="8" t="str">
        <f>IFERROR(INDEX(样本到样信息汇总统计!B$2:B$500,MATCH(184,样本到样信息汇总统计!$AC$2:$AC$500,0)),"")</f>
        <v/>
      </c>
      <c r="C185" s="8" t="str">
        <f>IFERROR(INDEX(样本到样信息汇总统计!C$2:C$500,MATCH(184,样本到样信息汇总统计!$AC$2:$AC$500,0)),"")</f>
        <v/>
      </c>
      <c r="D185" s="8" t="str">
        <f>IFERROR(INDEX(样本到样信息汇总统计!D$2:D$500,MATCH(184,样本到样信息汇总统计!$AC$2:$AC$500,0)),"")</f>
        <v/>
      </c>
      <c r="E185" s="8" t="str">
        <f>IFERROR(INDEX(样本到样信息汇总统计!E$2:E$500,MATCH(184,样本到样信息汇总统计!$AC$2:$AC$500,0)),"")</f>
        <v/>
      </c>
      <c r="F185" s="8" t="str">
        <f>IFERROR(INDEX(样本到样信息汇总统计!F$2:F$500,MATCH(184,样本到样信息汇总统计!$AC$2:$AC$500,0)),"")</f>
        <v/>
      </c>
      <c r="G185" s="8" t="str">
        <f>IFERROR(INDEX(样本到样信息汇总统计!G$2:G$500,MATCH(184,样本到样信息汇总统计!$AC$2:$AC$500,0)),"")</f>
        <v/>
      </c>
      <c r="H185" s="8" t="str">
        <f>IFERROR(INDEX(样本到样信息汇总统计!H$2:H$500,MATCH(184,样本到样信息汇总统计!$AC$2:$AC$500,0)),"")</f>
        <v/>
      </c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 ht="21.75" customHeight="1" spans="1:24">
      <c r="A186" s="4" t="str">
        <f>IFERROR(INDEX(样本到样信息汇总统计!A$2:A$500,MATCH(185,样本到样信息汇总统计!$AC$2:$AC$500,0)),"")</f>
        <v/>
      </c>
      <c r="B186" s="4" t="str">
        <f>IFERROR(INDEX(样本到样信息汇总统计!B$2:B$500,MATCH(185,样本到样信息汇总统计!$AC$2:$AC$500,0)),"")</f>
        <v/>
      </c>
      <c r="C186" s="4" t="str">
        <f>IFERROR(INDEX(样本到样信息汇总统计!C$2:C$500,MATCH(185,样本到样信息汇总统计!$AC$2:$AC$500,0)),"")</f>
        <v/>
      </c>
      <c r="D186" s="4" t="str">
        <f>IFERROR(INDEX(样本到样信息汇总统计!D$2:D$500,MATCH(185,样本到样信息汇总统计!$AC$2:$AC$500,0)),"")</f>
        <v/>
      </c>
      <c r="E186" s="4" t="str">
        <f>IFERROR(INDEX(样本到样信息汇总统计!E$2:E$500,MATCH(185,样本到样信息汇总统计!$AC$2:$AC$500,0)),"")</f>
        <v/>
      </c>
      <c r="F186" s="4" t="str">
        <f>IFERROR(INDEX(样本到样信息汇总统计!F$2:F$500,MATCH(185,样本到样信息汇总统计!$AC$2:$AC$500,0)),"")</f>
        <v/>
      </c>
      <c r="G186" s="4" t="str">
        <f>IFERROR(INDEX(样本到样信息汇总统计!G$2:G$500,MATCH(185,样本到样信息汇总统计!$AC$2:$AC$500,0)),"")</f>
        <v/>
      </c>
      <c r="H186" s="4" t="str">
        <f>IFERROR(INDEX(样本到样信息汇总统计!H$2:H$500,MATCH(185,样本到样信息汇总统计!$AC$2:$AC$500,0)),"")</f>
        <v/>
      </c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21.75" customHeight="1" spans="1:24">
      <c r="A187" s="8" t="str">
        <f>IFERROR(INDEX(样本到样信息汇总统计!A$2:A$500,MATCH(186,样本到样信息汇总统计!$AC$2:$AC$500,0)),"")</f>
        <v/>
      </c>
      <c r="B187" s="8" t="str">
        <f>IFERROR(INDEX(样本到样信息汇总统计!B$2:B$500,MATCH(186,样本到样信息汇总统计!$AC$2:$AC$500,0)),"")</f>
        <v/>
      </c>
      <c r="C187" s="8" t="str">
        <f>IFERROR(INDEX(样本到样信息汇总统计!C$2:C$500,MATCH(186,样本到样信息汇总统计!$AC$2:$AC$500,0)),"")</f>
        <v/>
      </c>
      <c r="D187" s="8" t="str">
        <f>IFERROR(INDEX(样本到样信息汇总统计!D$2:D$500,MATCH(186,样本到样信息汇总统计!$AC$2:$AC$500,0)),"")</f>
        <v/>
      </c>
      <c r="E187" s="8" t="str">
        <f>IFERROR(INDEX(样本到样信息汇总统计!E$2:E$500,MATCH(186,样本到样信息汇总统计!$AC$2:$AC$500,0)),"")</f>
        <v/>
      </c>
      <c r="F187" s="8" t="str">
        <f>IFERROR(INDEX(样本到样信息汇总统计!F$2:F$500,MATCH(186,样本到样信息汇总统计!$AC$2:$AC$500,0)),"")</f>
        <v/>
      </c>
      <c r="G187" s="8" t="str">
        <f>IFERROR(INDEX(样本到样信息汇总统计!G$2:G$500,MATCH(186,样本到样信息汇总统计!$AC$2:$AC$500,0)),"")</f>
        <v/>
      </c>
      <c r="H187" s="8" t="str">
        <f>IFERROR(INDEX(样本到样信息汇总统计!H$2:H$500,MATCH(186,样本到样信息汇总统计!$AC$2:$AC$500,0)),"")</f>
        <v/>
      </c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ht="21.75" customHeight="1" spans="1:24">
      <c r="A188" s="4" t="str">
        <f>IFERROR(INDEX(样本到样信息汇总统计!A$2:A$500,MATCH(187,样本到样信息汇总统计!$AC$2:$AC$500,0)),"")</f>
        <v/>
      </c>
      <c r="B188" s="4" t="str">
        <f>IFERROR(INDEX(样本到样信息汇总统计!B$2:B$500,MATCH(187,样本到样信息汇总统计!$AC$2:$AC$500,0)),"")</f>
        <v/>
      </c>
      <c r="C188" s="4" t="str">
        <f>IFERROR(INDEX(样本到样信息汇总统计!C$2:C$500,MATCH(187,样本到样信息汇总统计!$AC$2:$AC$500,0)),"")</f>
        <v/>
      </c>
      <c r="D188" s="4" t="str">
        <f>IFERROR(INDEX(样本到样信息汇总统计!D$2:D$500,MATCH(187,样本到样信息汇总统计!$AC$2:$AC$500,0)),"")</f>
        <v/>
      </c>
      <c r="E188" s="4" t="str">
        <f>IFERROR(INDEX(样本到样信息汇总统计!E$2:E$500,MATCH(187,样本到样信息汇总统计!$AC$2:$AC$500,0)),"")</f>
        <v/>
      </c>
      <c r="F188" s="4" t="str">
        <f>IFERROR(INDEX(样本到样信息汇总统计!F$2:F$500,MATCH(187,样本到样信息汇总统计!$AC$2:$AC$500,0)),"")</f>
        <v/>
      </c>
      <c r="G188" s="4" t="str">
        <f>IFERROR(INDEX(样本到样信息汇总统计!G$2:G$500,MATCH(187,样本到样信息汇总统计!$AC$2:$AC$500,0)),"")</f>
        <v/>
      </c>
      <c r="H188" s="4" t="str">
        <f>IFERROR(INDEX(样本到样信息汇总统计!H$2:H$500,MATCH(187,样本到样信息汇总统计!$AC$2:$AC$500,0)),"")</f>
        <v/>
      </c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21.75" customHeight="1" spans="1:24">
      <c r="A189" s="8" t="str">
        <f>IFERROR(INDEX(样本到样信息汇总统计!A$2:A$500,MATCH(188,样本到样信息汇总统计!$AC$2:$AC$500,0)),"")</f>
        <v/>
      </c>
      <c r="B189" s="8" t="str">
        <f>IFERROR(INDEX(样本到样信息汇总统计!B$2:B$500,MATCH(188,样本到样信息汇总统计!$AC$2:$AC$500,0)),"")</f>
        <v/>
      </c>
      <c r="C189" s="8" t="str">
        <f>IFERROR(INDEX(样本到样信息汇总统计!C$2:C$500,MATCH(188,样本到样信息汇总统计!$AC$2:$AC$500,0)),"")</f>
        <v/>
      </c>
      <c r="D189" s="8" t="str">
        <f>IFERROR(INDEX(样本到样信息汇总统计!D$2:D$500,MATCH(188,样本到样信息汇总统计!$AC$2:$AC$500,0)),"")</f>
        <v/>
      </c>
      <c r="E189" s="8" t="str">
        <f>IFERROR(INDEX(样本到样信息汇总统计!E$2:E$500,MATCH(188,样本到样信息汇总统计!$AC$2:$AC$500,0)),"")</f>
        <v/>
      </c>
      <c r="F189" s="8" t="str">
        <f>IFERROR(INDEX(样本到样信息汇总统计!F$2:F$500,MATCH(188,样本到样信息汇总统计!$AC$2:$AC$500,0)),"")</f>
        <v/>
      </c>
      <c r="G189" s="8" t="str">
        <f>IFERROR(INDEX(样本到样信息汇总统计!G$2:G$500,MATCH(188,样本到样信息汇总统计!$AC$2:$AC$500,0)),"")</f>
        <v/>
      </c>
      <c r="H189" s="8" t="str">
        <f>IFERROR(INDEX(样本到样信息汇总统计!H$2:H$500,MATCH(188,样本到样信息汇总统计!$AC$2:$AC$500,0)),"")</f>
        <v/>
      </c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ht="21.75" customHeight="1" spans="1:24">
      <c r="A190" s="4" t="str">
        <f>IFERROR(INDEX(样本到样信息汇总统计!A$2:A$500,MATCH(189,样本到样信息汇总统计!$AC$2:$AC$500,0)),"")</f>
        <v/>
      </c>
      <c r="B190" s="4" t="str">
        <f>IFERROR(INDEX(样本到样信息汇总统计!B$2:B$500,MATCH(189,样本到样信息汇总统计!$AC$2:$AC$500,0)),"")</f>
        <v/>
      </c>
      <c r="C190" s="4" t="str">
        <f>IFERROR(INDEX(样本到样信息汇总统计!C$2:C$500,MATCH(189,样本到样信息汇总统计!$AC$2:$AC$500,0)),"")</f>
        <v/>
      </c>
      <c r="D190" s="4" t="str">
        <f>IFERROR(INDEX(样本到样信息汇总统计!D$2:D$500,MATCH(189,样本到样信息汇总统计!$AC$2:$AC$500,0)),"")</f>
        <v/>
      </c>
      <c r="E190" s="4" t="str">
        <f>IFERROR(INDEX(样本到样信息汇总统计!E$2:E$500,MATCH(189,样本到样信息汇总统计!$AC$2:$AC$500,0)),"")</f>
        <v/>
      </c>
      <c r="F190" s="4" t="str">
        <f>IFERROR(INDEX(样本到样信息汇总统计!F$2:F$500,MATCH(189,样本到样信息汇总统计!$AC$2:$AC$500,0)),"")</f>
        <v/>
      </c>
      <c r="G190" s="4" t="str">
        <f>IFERROR(INDEX(样本到样信息汇总统计!G$2:G$500,MATCH(189,样本到样信息汇总统计!$AC$2:$AC$500,0)),"")</f>
        <v/>
      </c>
      <c r="H190" s="4" t="str">
        <f>IFERROR(INDEX(样本到样信息汇总统计!H$2:H$500,MATCH(189,样本到样信息汇总统计!$AC$2:$AC$500,0)),"")</f>
        <v/>
      </c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21.75" customHeight="1" spans="1:24">
      <c r="A191" s="8" t="str">
        <f>IFERROR(INDEX(样本到样信息汇总统计!A$2:A$500,MATCH(190,样本到样信息汇总统计!$AC$2:$AC$500,0)),"")</f>
        <v/>
      </c>
      <c r="B191" s="8" t="str">
        <f>IFERROR(INDEX(样本到样信息汇总统计!B$2:B$500,MATCH(190,样本到样信息汇总统计!$AC$2:$AC$500,0)),"")</f>
        <v/>
      </c>
      <c r="C191" s="8" t="str">
        <f>IFERROR(INDEX(样本到样信息汇总统计!C$2:C$500,MATCH(190,样本到样信息汇总统计!$AC$2:$AC$500,0)),"")</f>
        <v/>
      </c>
      <c r="D191" s="8" t="str">
        <f>IFERROR(INDEX(样本到样信息汇总统计!D$2:D$500,MATCH(190,样本到样信息汇总统计!$AC$2:$AC$500,0)),"")</f>
        <v/>
      </c>
      <c r="E191" s="8" t="str">
        <f>IFERROR(INDEX(样本到样信息汇总统计!E$2:E$500,MATCH(190,样本到样信息汇总统计!$AC$2:$AC$500,0)),"")</f>
        <v/>
      </c>
      <c r="F191" s="8" t="str">
        <f>IFERROR(INDEX(样本到样信息汇总统计!F$2:F$500,MATCH(190,样本到样信息汇总统计!$AC$2:$AC$500,0)),"")</f>
        <v/>
      </c>
      <c r="G191" s="8" t="str">
        <f>IFERROR(INDEX(样本到样信息汇总统计!G$2:G$500,MATCH(190,样本到样信息汇总统计!$AC$2:$AC$500,0)),"")</f>
        <v/>
      </c>
      <c r="H191" s="8" t="str">
        <f>IFERROR(INDEX(样本到样信息汇总统计!H$2:H$500,MATCH(190,样本到样信息汇总统计!$AC$2:$AC$500,0)),"")</f>
        <v/>
      </c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ht="21.75" customHeight="1" spans="1:24">
      <c r="A192" s="4" t="str">
        <f>IFERROR(INDEX(样本到样信息汇总统计!A$2:A$500,MATCH(191,样本到样信息汇总统计!$AC$2:$AC$500,0)),"")</f>
        <v/>
      </c>
      <c r="B192" s="4" t="str">
        <f>IFERROR(INDEX(样本到样信息汇总统计!B$2:B$500,MATCH(191,样本到样信息汇总统计!$AC$2:$AC$500,0)),"")</f>
        <v/>
      </c>
      <c r="C192" s="4" t="str">
        <f>IFERROR(INDEX(样本到样信息汇总统计!C$2:C$500,MATCH(191,样本到样信息汇总统计!$AC$2:$AC$500,0)),"")</f>
        <v/>
      </c>
      <c r="D192" s="4" t="str">
        <f>IFERROR(INDEX(样本到样信息汇总统计!D$2:D$500,MATCH(191,样本到样信息汇总统计!$AC$2:$AC$500,0)),"")</f>
        <v/>
      </c>
      <c r="E192" s="4" t="str">
        <f>IFERROR(INDEX(样本到样信息汇总统计!E$2:E$500,MATCH(191,样本到样信息汇总统计!$AC$2:$AC$500,0)),"")</f>
        <v/>
      </c>
      <c r="F192" s="4" t="str">
        <f>IFERROR(INDEX(样本到样信息汇总统计!F$2:F$500,MATCH(191,样本到样信息汇总统计!$AC$2:$AC$500,0)),"")</f>
        <v/>
      </c>
      <c r="G192" s="4" t="str">
        <f>IFERROR(INDEX(样本到样信息汇总统计!G$2:G$500,MATCH(191,样本到样信息汇总统计!$AC$2:$AC$500,0)),"")</f>
        <v/>
      </c>
      <c r="H192" s="4" t="str">
        <f>IFERROR(INDEX(样本到样信息汇总统计!H$2:H$500,MATCH(191,样本到样信息汇总统计!$AC$2:$AC$500,0)),"")</f>
        <v/>
      </c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21.75" customHeight="1" spans="1:24">
      <c r="A193" s="8" t="str">
        <f>IFERROR(INDEX(样本到样信息汇总统计!A$2:A$500,MATCH(192,样本到样信息汇总统计!$AC$2:$AC$500,0)),"")</f>
        <v/>
      </c>
      <c r="B193" s="8" t="str">
        <f>IFERROR(INDEX(样本到样信息汇总统计!B$2:B$500,MATCH(192,样本到样信息汇总统计!$AC$2:$AC$500,0)),"")</f>
        <v/>
      </c>
      <c r="C193" s="8" t="str">
        <f>IFERROR(INDEX(样本到样信息汇总统计!C$2:C$500,MATCH(192,样本到样信息汇总统计!$AC$2:$AC$500,0)),"")</f>
        <v/>
      </c>
      <c r="D193" s="8" t="str">
        <f>IFERROR(INDEX(样本到样信息汇总统计!D$2:D$500,MATCH(192,样本到样信息汇总统计!$AC$2:$AC$500,0)),"")</f>
        <v/>
      </c>
      <c r="E193" s="8" t="str">
        <f>IFERROR(INDEX(样本到样信息汇总统计!E$2:E$500,MATCH(192,样本到样信息汇总统计!$AC$2:$AC$500,0)),"")</f>
        <v/>
      </c>
      <c r="F193" s="8" t="str">
        <f>IFERROR(INDEX(样本到样信息汇总统计!F$2:F$500,MATCH(192,样本到样信息汇总统计!$AC$2:$AC$500,0)),"")</f>
        <v/>
      </c>
      <c r="G193" s="8" t="str">
        <f>IFERROR(INDEX(样本到样信息汇总统计!G$2:G$500,MATCH(192,样本到样信息汇总统计!$AC$2:$AC$500,0)),"")</f>
        <v/>
      </c>
      <c r="H193" s="8" t="str">
        <f>IFERROR(INDEX(样本到样信息汇总统计!H$2:H$500,MATCH(192,样本到样信息汇总统计!$AC$2:$AC$500,0)),"")</f>
        <v/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ht="21.75" customHeight="1" spans="1:24">
      <c r="A194" s="4" t="str">
        <f>IFERROR(INDEX(样本到样信息汇总统计!A$2:A$500,MATCH(193,样本到样信息汇总统计!$AC$2:$AC$500,0)),"")</f>
        <v/>
      </c>
      <c r="B194" s="4" t="str">
        <f>IFERROR(INDEX(样本到样信息汇总统计!B$2:B$500,MATCH(193,样本到样信息汇总统计!$AC$2:$AC$500,0)),"")</f>
        <v/>
      </c>
      <c r="C194" s="4" t="str">
        <f>IFERROR(INDEX(样本到样信息汇总统计!C$2:C$500,MATCH(193,样本到样信息汇总统计!$AC$2:$AC$500,0)),"")</f>
        <v/>
      </c>
      <c r="D194" s="4" t="str">
        <f>IFERROR(INDEX(样本到样信息汇总统计!D$2:D$500,MATCH(193,样本到样信息汇总统计!$AC$2:$AC$500,0)),"")</f>
        <v/>
      </c>
      <c r="E194" s="4" t="str">
        <f>IFERROR(INDEX(样本到样信息汇总统计!E$2:E$500,MATCH(193,样本到样信息汇总统计!$AC$2:$AC$500,0)),"")</f>
        <v/>
      </c>
      <c r="F194" s="4" t="str">
        <f>IFERROR(INDEX(样本到样信息汇总统计!F$2:F$500,MATCH(193,样本到样信息汇总统计!$AC$2:$AC$500,0)),"")</f>
        <v/>
      </c>
      <c r="G194" s="4" t="str">
        <f>IFERROR(INDEX(样本到样信息汇总统计!G$2:G$500,MATCH(193,样本到样信息汇总统计!$AC$2:$AC$500,0)),"")</f>
        <v/>
      </c>
      <c r="H194" s="4" t="str">
        <f>IFERROR(INDEX(样本到样信息汇总统计!H$2:H$500,MATCH(193,样本到样信息汇总统计!$AC$2:$AC$500,0)),"")</f>
        <v/>
      </c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21.75" customHeight="1" spans="1:24">
      <c r="A195" s="8" t="str">
        <f>IFERROR(INDEX(样本到样信息汇总统计!A$2:A$500,MATCH(194,样本到样信息汇总统计!$AC$2:$AC$500,0)),"")</f>
        <v/>
      </c>
      <c r="B195" s="8" t="str">
        <f>IFERROR(INDEX(样本到样信息汇总统计!B$2:B$500,MATCH(194,样本到样信息汇总统计!$AC$2:$AC$500,0)),"")</f>
        <v/>
      </c>
      <c r="C195" s="8" t="str">
        <f>IFERROR(INDEX(样本到样信息汇总统计!C$2:C$500,MATCH(194,样本到样信息汇总统计!$AC$2:$AC$500,0)),"")</f>
        <v/>
      </c>
      <c r="D195" s="8" t="str">
        <f>IFERROR(INDEX(样本到样信息汇总统计!D$2:D$500,MATCH(194,样本到样信息汇总统计!$AC$2:$AC$500,0)),"")</f>
        <v/>
      </c>
      <c r="E195" s="8" t="str">
        <f>IFERROR(INDEX(样本到样信息汇总统计!E$2:E$500,MATCH(194,样本到样信息汇总统计!$AC$2:$AC$500,0)),"")</f>
        <v/>
      </c>
      <c r="F195" s="8" t="str">
        <f>IFERROR(INDEX(样本到样信息汇总统计!F$2:F$500,MATCH(194,样本到样信息汇总统计!$AC$2:$AC$500,0)),"")</f>
        <v/>
      </c>
      <c r="G195" s="8" t="str">
        <f>IFERROR(INDEX(样本到样信息汇总统计!G$2:G$500,MATCH(194,样本到样信息汇总统计!$AC$2:$AC$500,0)),"")</f>
        <v/>
      </c>
      <c r="H195" s="8" t="str">
        <f>IFERROR(INDEX(样本到样信息汇总统计!H$2:H$500,MATCH(194,样本到样信息汇总统计!$AC$2:$AC$500,0)),"")</f>
        <v/>
      </c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ht="21.75" customHeight="1" spans="1:24">
      <c r="A196" s="4" t="str">
        <f>IFERROR(INDEX(样本到样信息汇总统计!A$2:A$500,MATCH(195,样本到样信息汇总统计!$AC$2:$AC$500,0)),"")</f>
        <v/>
      </c>
      <c r="B196" s="4" t="str">
        <f>IFERROR(INDEX(样本到样信息汇总统计!B$2:B$500,MATCH(195,样本到样信息汇总统计!$AC$2:$AC$500,0)),"")</f>
        <v/>
      </c>
      <c r="C196" s="4" t="str">
        <f>IFERROR(INDEX(样本到样信息汇总统计!C$2:C$500,MATCH(195,样本到样信息汇总统计!$AC$2:$AC$500,0)),"")</f>
        <v/>
      </c>
      <c r="D196" s="4" t="str">
        <f>IFERROR(INDEX(样本到样信息汇总统计!D$2:D$500,MATCH(195,样本到样信息汇总统计!$AC$2:$AC$500,0)),"")</f>
        <v/>
      </c>
      <c r="E196" s="4" t="str">
        <f>IFERROR(INDEX(样本到样信息汇总统计!E$2:E$500,MATCH(195,样本到样信息汇总统计!$AC$2:$AC$500,0)),"")</f>
        <v/>
      </c>
      <c r="F196" s="4" t="str">
        <f>IFERROR(INDEX(样本到样信息汇总统计!F$2:F$500,MATCH(195,样本到样信息汇总统计!$AC$2:$AC$500,0)),"")</f>
        <v/>
      </c>
      <c r="G196" s="4" t="str">
        <f>IFERROR(INDEX(样本到样信息汇总统计!G$2:G$500,MATCH(195,样本到样信息汇总统计!$AC$2:$AC$500,0)),"")</f>
        <v/>
      </c>
      <c r="H196" s="4" t="str">
        <f>IFERROR(INDEX(样本到样信息汇总统计!H$2:H$500,MATCH(195,样本到样信息汇总统计!$AC$2:$AC$500,0)),"")</f>
        <v/>
      </c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21.75" customHeight="1" spans="1:24">
      <c r="A197" s="8" t="str">
        <f>IFERROR(INDEX(样本到样信息汇总统计!A$2:A$500,MATCH(196,样本到样信息汇总统计!$AC$2:$AC$500,0)),"")</f>
        <v/>
      </c>
      <c r="B197" s="8" t="str">
        <f>IFERROR(INDEX(样本到样信息汇总统计!B$2:B$500,MATCH(196,样本到样信息汇总统计!$AC$2:$AC$500,0)),"")</f>
        <v/>
      </c>
      <c r="C197" s="8" t="str">
        <f>IFERROR(INDEX(样本到样信息汇总统计!C$2:C$500,MATCH(196,样本到样信息汇总统计!$AC$2:$AC$500,0)),"")</f>
        <v/>
      </c>
      <c r="D197" s="8" t="str">
        <f>IFERROR(INDEX(样本到样信息汇总统计!D$2:D$500,MATCH(196,样本到样信息汇总统计!$AC$2:$AC$500,0)),"")</f>
        <v/>
      </c>
      <c r="E197" s="8" t="str">
        <f>IFERROR(INDEX(样本到样信息汇总统计!E$2:E$500,MATCH(196,样本到样信息汇总统计!$AC$2:$AC$500,0)),"")</f>
        <v/>
      </c>
      <c r="F197" s="8" t="str">
        <f>IFERROR(INDEX(样本到样信息汇总统计!F$2:F$500,MATCH(196,样本到样信息汇总统计!$AC$2:$AC$500,0)),"")</f>
        <v/>
      </c>
      <c r="G197" s="8" t="str">
        <f>IFERROR(INDEX(样本到样信息汇总统计!G$2:G$500,MATCH(196,样本到样信息汇总统计!$AC$2:$AC$500,0)),"")</f>
        <v/>
      </c>
      <c r="H197" s="8" t="str">
        <f>IFERROR(INDEX(样本到样信息汇总统计!H$2:H$500,MATCH(196,样本到样信息汇总统计!$AC$2:$AC$500,0)),"")</f>
        <v/>
      </c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ht="21.75" customHeight="1" spans="1:24">
      <c r="A198" s="4" t="str">
        <f>IFERROR(INDEX(样本到样信息汇总统计!A$2:A$500,MATCH(197,样本到样信息汇总统计!$AC$2:$AC$500,0)),"")</f>
        <v/>
      </c>
      <c r="B198" s="4" t="str">
        <f>IFERROR(INDEX(样本到样信息汇总统计!B$2:B$500,MATCH(197,样本到样信息汇总统计!$AC$2:$AC$500,0)),"")</f>
        <v/>
      </c>
      <c r="C198" s="4" t="str">
        <f>IFERROR(INDEX(样本到样信息汇总统计!C$2:C$500,MATCH(197,样本到样信息汇总统计!$AC$2:$AC$500,0)),"")</f>
        <v/>
      </c>
      <c r="D198" s="4" t="str">
        <f>IFERROR(INDEX(样本到样信息汇总统计!D$2:D$500,MATCH(197,样本到样信息汇总统计!$AC$2:$AC$500,0)),"")</f>
        <v/>
      </c>
      <c r="E198" s="4" t="str">
        <f>IFERROR(INDEX(样本到样信息汇总统计!E$2:E$500,MATCH(197,样本到样信息汇总统计!$AC$2:$AC$500,0)),"")</f>
        <v/>
      </c>
      <c r="F198" s="4" t="str">
        <f>IFERROR(INDEX(样本到样信息汇总统计!F$2:F$500,MATCH(197,样本到样信息汇总统计!$AC$2:$AC$500,0)),"")</f>
        <v/>
      </c>
      <c r="G198" s="4" t="str">
        <f>IFERROR(INDEX(样本到样信息汇总统计!G$2:G$500,MATCH(197,样本到样信息汇总统计!$AC$2:$AC$500,0)),"")</f>
        <v/>
      </c>
      <c r="H198" s="4" t="str">
        <f>IFERROR(INDEX(样本到样信息汇总统计!H$2:H$500,MATCH(197,样本到样信息汇总统计!$AC$2:$AC$500,0)),"")</f>
        <v/>
      </c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21.75" customHeight="1" spans="1:24">
      <c r="A199" s="8" t="str">
        <f>IFERROR(INDEX(样本到样信息汇总统计!A$2:A$500,MATCH(198,样本到样信息汇总统计!$AC$2:$AC$500,0)),"")</f>
        <v/>
      </c>
      <c r="B199" s="8" t="str">
        <f>IFERROR(INDEX(样本到样信息汇总统计!B$2:B$500,MATCH(198,样本到样信息汇总统计!$AC$2:$AC$500,0)),"")</f>
        <v/>
      </c>
      <c r="C199" s="8" t="str">
        <f>IFERROR(INDEX(样本到样信息汇总统计!C$2:C$500,MATCH(198,样本到样信息汇总统计!$AC$2:$AC$500,0)),"")</f>
        <v/>
      </c>
      <c r="D199" s="8" t="str">
        <f>IFERROR(INDEX(样本到样信息汇总统计!D$2:D$500,MATCH(198,样本到样信息汇总统计!$AC$2:$AC$500,0)),"")</f>
        <v/>
      </c>
      <c r="E199" s="8" t="str">
        <f>IFERROR(INDEX(样本到样信息汇总统计!E$2:E$500,MATCH(198,样本到样信息汇总统计!$AC$2:$AC$500,0)),"")</f>
        <v/>
      </c>
      <c r="F199" s="8" t="str">
        <f>IFERROR(INDEX(样本到样信息汇总统计!F$2:F$500,MATCH(198,样本到样信息汇总统计!$AC$2:$AC$500,0)),"")</f>
        <v/>
      </c>
      <c r="G199" s="8" t="str">
        <f>IFERROR(INDEX(样本到样信息汇总统计!G$2:G$500,MATCH(198,样本到样信息汇总统计!$AC$2:$AC$500,0)),"")</f>
        <v/>
      </c>
      <c r="H199" s="8" t="str">
        <f>IFERROR(INDEX(样本到样信息汇总统计!H$2:H$500,MATCH(198,样本到样信息汇总统计!$AC$2:$AC$500,0)),"")</f>
        <v/>
      </c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ht="21.75" customHeight="1" spans="1:24">
      <c r="A200" s="4" t="str">
        <f>IFERROR(INDEX(样本到样信息汇总统计!A$2:A$500,MATCH(199,样本到样信息汇总统计!$AC$2:$AC$500,0)),"")</f>
        <v/>
      </c>
      <c r="B200" s="4" t="str">
        <f>IFERROR(INDEX(样本到样信息汇总统计!B$2:B$500,MATCH(199,样本到样信息汇总统计!$AC$2:$AC$500,0)),"")</f>
        <v/>
      </c>
      <c r="C200" s="4" t="str">
        <f>IFERROR(INDEX(样本到样信息汇总统计!C$2:C$500,MATCH(199,样本到样信息汇总统计!$AC$2:$AC$500,0)),"")</f>
        <v/>
      </c>
      <c r="D200" s="4" t="str">
        <f>IFERROR(INDEX(样本到样信息汇总统计!D$2:D$500,MATCH(199,样本到样信息汇总统计!$AC$2:$AC$500,0)),"")</f>
        <v/>
      </c>
      <c r="E200" s="4" t="str">
        <f>IFERROR(INDEX(样本到样信息汇总统计!E$2:E$500,MATCH(199,样本到样信息汇总统计!$AC$2:$AC$500,0)),"")</f>
        <v/>
      </c>
      <c r="F200" s="4" t="str">
        <f>IFERROR(INDEX(样本到样信息汇总统计!F$2:F$500,MATCH(199,样本到样信息汇总统计!$AC$2:$AC$500,0)),"")</f>
        <v/>
      </c>
      <c r="G200" s="4" t="str">
        <f>IFERROR(INDEX(样本到样信息汇总统计!G$2:G$500,MATCH(199,样本到样信息汇总统计!$AC$2:$AC$500,0)),"")</f>
        <v/>
      </c>
      <c r="H200" s="4" t="str">
        <f>IFERROR(INDEX(样本到样信息汇总统计!H$2:H$500,MATCH(199,样本到样信息汇总统计!$AC$2:$AC$500,0)),"")</f>
        <v/>
      </c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21.75" customHeight="1" spans="1:24">
      <c r="A201" s="8" t="str">
        <f>IFERROR(INDEX(样本到样信息汇总统计!A$2:A$500,MATCH(200,样本到样信息汇总统计!$AC$2:$AC$500,0)),"")</f>
        <v/>
      </c>
      <c r="B201" s="8" t="str">
        <f>IFERROR(INDEX(样本到样信息汇总统计!B$2:B$500,MATCH(200,样本到样信息汇总统计!$AC$2:$AC$500,0)),"")</f>
        <v/>
      </c>
      <c r="C201" s="8" t="str">
        <f>IFERROR(INDEX(样本到样信息汇总统计!C$2:C$500,MATCH(200,样本到样信息汇总统计!$AC$2:$AC$500,0)),"")</f>
        <v/>
      </c>
      <c r="D201" s="8" t="str">
        <f>IFERROR(INDEX(样本到样信息汇总统计!D$2:D$500,MATCH(200,样本到样信息汇总统计!$AC$2:$AC$500,0)),"")</f>
        <v/>
      </c>
      <c r="E201" s="8" t="str">
        <f>IFERROR(INDEX(样本到样信息汇总统计!E$2:E$500,MATCH(200,样本到样信息汇总统计!$AC$2:$AC$500,0)),"")</f>
        <v/>
      </c>
      <c r="F201" s="8" t="str">
        <f>IFERROR(INDEX(样本到样信息汇总统计!F$2:F$500,MATCH(200,样本到样信息汇总统计!$AC$2:$AC$500,0)),"")</f>
        <v/>
      </c>
      <c r="G201" s="8" t="str">
        <f>IFERROR(INDEX(样本到样信息汇总统计!G$2:G$500,MATCH(200,样本到样信息汇总统计!$AC$2:$AC$500,0)),"")</f>
        <v/>
      </c>
      <c r="H201" s="8" t="str">
        <f>IFERROR(INDEX(样本到样信息汇总统计!H$2:H$500,MATCH(200,样本到样信息汇总统计!$AC$2:$AC$500,0)),"")</f>
        <v/>
      </c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ht="21.75" customHeight="1" spans="1:24">
      <c r="A202" s="4" t="str">
        <f>IFERROR(INDEX(样本到样信息汇总统计!A$2:A$500,MATCH(201,样本到样信息汇总统计!$AC$2:$AC$500,0)),"")</f>
        <v/>
      </c>
      <c r="B202" s="4" t="str">
        <f>IFERROR(INDEX(样本到样信息汇总统计!B$2:B$500,MATCH(201,样本到样信息汇总统计!$AC$2:$AC$500,0)),"")</f>
        <v/>
      </c>
      <c r="C202" s="4" t="str">
        <f>IFERROR(INDEX(样本到样信息汇总统计!C$2:C$500,MATCH(201,样本到样信息汇总统计!$AC$2:$AC$500,0)),"")</f>
        <v/>
      </c>
      <c r="D202" s="4" t="str">
        <f>IFERROR(INDEX(样本到样信息汇总统计!D$2:D$500,MATCH(201,样本到样信息汇总统计!$AC$2:$AC$500,0)),"")</f>
        <v/>
      </c>
      <c r="E202" s="4" t="str">
        <f>IFERROR(INDEX(样本到样信息汇总统计!E$2:E$500,MATCH(201,样本到样信息汇总统计!$AC$2:$AC$500,0)),"")</f>
        <v/>
      </c>
      <c r="F202" s="4" t="str">
        <f>IFERROR(INDEX(样本到样信息汇总统计!F$2:F$500,MATCH(201,样本到样信息汇总统计!$AC$2:$AC$500,0)),"")</f>
        <v/>
      </c>
      <c r="G202" s="4" t="str">
        <f>IFERROR(INDEX(样本到样信息汇总统计!G$2:G$500,MATCH(201,样本到样信息汇总统计!$AC$2:$AC$500,0)),"")</f>
        <v/>
      </c>
      <c r="H202" s="4" t="str">
        <f>IFERROR(INDEX(样本到样信息汇总统计!H$2:H$500,MATCH(201,样本到样信息汇总统计!$AC$2:$AC$500,0)),"")</f>
        <v/>
      </c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21.75" customHeight="1" spans="1:24">
      <c r="A203" s="8" t="str">
        <f>IFERROR(INDEX(样本到样信息汇总统计!A$2:A$500,MATCH(202,样本到样信息汇总统计!$AC$2:$AC$500,0)),"")</f>
        <v/>
      </c>
      <c r="B203" s="8" t="str">
        <f>IFERROR(INDEX(样本到样信息汇总统计!B$2:B$500,MATCH(202,样本到样信息汇总统计!$AC$2:$AC$500,0)),"")</f>
        <v/>
      </c>
      <c r="C203" s="8" t="str">
        <f>IFERROR(INDEX(样本到样信息汇总统计!C$2:C$500,MATCH(202,样本到样信息汇总统计!$AC$2:$AC$500,0)),"")</f>
        <v/>
      </c>
      <c r="D203" s="8" t="str">
        <f>IFERROR(INDEX(样本到样信息汇总统计!D$2:D$500,MATCH(202,样本到样信息汇总统计!$AC$2:$AC$500,0)),"")</f>
        <v/>
      </c>
      <c r="E203" s="8" t="str">
        <f>IFERROR(INDEX(样本到样信息汇总统计!E$2:E$500,MATCH(202,样本到样信息汇总统计!$AC$2:$AC$500,0)),"")</f>
        <v/>
      </c>
      <c r="F203" s="8" t="str">
        <f>IFERROR(INDEX(样本到样信息汇总统计!F$2:F$500,MATCH(202,样本到样信息汇总统计!$AC$2:$AC$500,0)),"")</f>
        <v/>
      </c>
      <c r="G203" s="8" t="str">
        <f>IFERROR(INDEX(样本到样信息汇总统计!G$2:G$500,MATCH(202,样本到样信息汇总统计!$AC$2:$AC$500,0)),"")</f>
        <v/>
      </c>
      <c r="H203" s="8" t="str">
        <f>IFERROR(INDEX(样本到样信息汇总统计!H$2:H$500,MATCH(202,样本到样信息汇总统计!$AC$2:$AC$500,0)),"")</f>
        <v/>
      </c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ht="21.75" customHeight="1" spans="1:24">
      <c r="A204" s="4" t="str">
        <f>IFERROR(INDEX(样本到样信息汇总统计!A$2:A$500,MATCH(203,样本到样信息汇总统计!$AC$2:$AC$500,0)),"")</f>
        <v/>
      </c>
      <c r="B204" s="4" t="str">
        <f>IFERROR(INDEX(样本到样信息汇总统计!B$2:B$500,MATCH(203,样本到样信息汇总统计!$AC$2:$AC$500,0)),"")</f>
        <v/>
      </c>
      <c r="C204" s="4" t="str">
        <f>IFERROR(INDEX(样本到样信息汇总统计!C$2:C$500,MATCH(203,样本到样信息汇总统计!$AC$2:$AC$500,0)),"")</f>
        <v/>
      </c>
      <c r="D204" s="4" t="str">
        <f>IFERROR(INDEX(样本到样信息汇总统计!D$2:D$500,MATCH(203,样本到样信息汇总统计!$AC$2:$AC$500,0)),"")</f>
        <v/>
      </c>
      <c r="E204" s="4" t="str">
        <f>IFERROR(INDEX(样本到样信息汇总统计!E$2:E$500,MATCH(203,样本到样信息汇总统计!$AC$2:$AC$500,0)),"")</f>
        <v/>
      </c>
      <c r="F204" s="4" t="str">
        <f>IFERROR(INDEX(样本到样信息汇总统计!F$2:F$500,MATCH(203,样本到样信息汇总统计!$AC$2:$AC$500,0)),"")</f>
        <v/>
      </c>
      <c r="G204" s="4" t="str">
        <f>IFERROR(INDEX(样本到样信息汇总统计!G$2:G$500,MATCH(203,样本到样信息汇总统计!$AC$2:$AC$500,0)),"")</f>
        <v/>
      </c>
      <c r="H204" s="4" t="str">
        <f>IFERROR(INDEX(样本到样信息汇总统计!H$2:H$500,MATCH(203,样本到样信息汇总统计!$AC$2:$AC$500,0)),"")</f>
        <v/>
      </c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21.75" customHeight="1" spans="1:24">
      <c r="A205" s="8" t="str">
        <f>IFERROR(INDEX(样本到样信息汇总统计!A$2:A$500,MATCH(204,样本到样信息汇总统计!$AC$2:$AC$500,0)),"")</f>
        <v/>
      </c>
      <c r="B205" s="8" t="str">
        <f>IFERROR(INDEX(样本到样信息汇总统计!B$2:B$500,MATCH(204,样本到样信息汇总统计!$AC$2:$AC$500,0)),"")</f>
        <v/>
      </c>
      <c r="C205" s="8" t="str">
        <f>IFERROR(INDEX(样本到样信息汇总统计!C$2:C$500,MATCH(204,样本到样信息汇总统计!$AC$2:$AC$500,0)),"")</f>
        <v/>
      </c>
      <c r="D205" s="8" t="str">
        <f>IFERROR(INDEX(样本到样信息汇总统计!D$2:D$500,MATCH(204,样本到样信息汇总统计!$AC$2:$AC$500,0)),"")</f>
        <v/>
      </c>
      <c r="E205" s="8" t="str">
        <f>IFERROR(INDEX(样本到样信息汇总统计!E$2:E$500,MATCH(204,样本到样信息汇总统计!$AC$2:$AC$500,0)),"")</f>
        <v/>
      </c>
      <c r="F205" s="8" t="str">
        <f>IFERROR(INDEX(样本到样信息汇总统计!F$2:F$500,MATCH(204,样本到样信息汇总统计!$AC$2:$AC$500,0)),"")</f>
        <v/>
      </c>
      <c r="G205" s="8" t="str">
        <f>IFERROR(INDEX(样本到样信息汇总统计!G$2:G$500,MATCH(204,样本到样信息汇总统计!$AC$2:$AC$500,0)),"")</f>
        <v/>
      </c>
      <c r="H205" s="8" t="str">
        <f>IFERROR(INDEX(样本到样信息汇总统计!H$2:H$500,MATCH(204,样本到样信息汇总统计!$AC$2:$AC$500,0)),"")</f>
        <v/>
      </c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ht="21.75" customHeight="1" spans="1:24">
      <c r="A206" s="4" t="str">
        <f>IFERROR(INDEX(样本到样信息汇总统计!A$2:A$500,MATCH(205,样本到样信息汇总统计!$AC$2:$AC$500,0)),"")</f>
        <v/>
      </c>
      <c r="B206" s="4" t="str">
        <f>IFERROR(INDEX(样本到样信息汇总统计!B$2:B$500,MATCH(205,样本到样信息汇总统计!$AC$2:$AC$500,0)),"")</f>
        <v/>
      </c>
      <c r="C206" s="4" t="str">
        <f>IFERROR(INDEX(样本到样信息汇总统计!C$2:C$500,MATCH(205,样本到样信息汇总统计!$AC$2:$AC$500,0)),"")</f>
        <v/>
      </c>
      <c r="D206" s="4" t="str">
        <f>IFERROR(INDEX(样本到样信息汇总统计!D$2:D$500,MATCH(205,样本到样信息汇总统计!$AC$2:$AC$500,0)),"")</f>
        <v/>
      </c>
      <c r="E206" s="4" t="str">
        <f>IFERROR(INDEX(样本到样信息汇总统计!E$2:E$500,MATCH(205,样本到样信息汇总统计!$AC$2:$AC$500,0)),"")</f>
        <v/>
      </c>
      <c r="F206" s="4" t="str">
        <f>IFERROR(INDEX(样本到样信息汇总统计!F$2:F$500,MATCH(205,样本到样信息汇总统计!$AC$2:$AC$500,0)),"")</f>
        <v/>
      </c>
      <c r="G206" s="4" t="str">
        <f>IFERROR(INDEX(样本到样信息汇总统计!G$2:G$500,MATCH(205,样本到样信息汇总统计!$AC$2:$AC$500,0)),"")</f>
        <v/>
      </c>
      <c r="H206" s="4" t="str">
        <f>IFERROR(INDEX(样本到样信息汇总统计!H$2:H$500,MATCH(205,样本到样信息汇总统计!$AC$2:$AC$500,0)),"")</f>
        <v/>
      </c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21.75" customHeight="1" spans="1:24">
      <c r="A207" s="8" t="str">
        <f>IFERROR(INDEX(样本到样信息汇总统计!A$2:A$500,MATCH(206,样本到样信息汇总统计!$AC$2:$AC$500,0)),"")</f>
        <v/>
      </c>
      <c r="B207" s="8" t="str">
        <f>IFERROR(INDEX(样本到样信息汇总统计!B$2:B$500,MATCH(206,样本到样信息汇总统计!$AC$2:$AC$500,0)),"")</f>
        <v/>
      </c>
      <c r="C207" s="8" t="str">
        <f>IFERROR(INDEX(样本到样信息汇总统计!C$2:C$500,MATCH(206,样本到样信息汇总统计!$AC$2:$AC$500,0)),"")</f>
        <v/>
      </c>
      <c r="D207" s="8" t="str">
        <f>IFERROR(INDEX(样本到样信息汇总统计!D$2:D$500,MATCH(206,样本到样信息汇总统计!$AC$2:$AC$500,0)),"")</f>
        <v/>
      </c>
      <c r="E207" s="8" t="str">
        <f>IFERROR(INDEX(样本到样信息汇总统计!E$2:E$500,MATCH(206,样本到样信息汇总统计!$AC$2:$AC$500,0)),"")</f>
        <v/>
      </c>
      <c r="F207" s="8" t="str">
        <f>IFERROR(INDEX(样本到样信息汇总统计!F$2:F$500,MATCH(206,样本到样信息汇总统计!$AC$2:$AC$500,0)),"")</f>
        <v/>
      </c>
      <c r="G207" s="8" t="str">
        <f>IFERROR(INDEX(样本到样信息汇总统计!G$2:G$500,MATCH(206,样本到样信息汇总统计!$AC$2:$AC$500,0)),"")</f>
        <v/>
      </c>
      <c r="H207" s="8" t="str">
        <f>IFERROR(INDEX(样本到样信息汇总统计!H$2:H$500,MATCH(206,样本到样信息汇总统计!$AC$2:$AC$500,0)),"")</f>
        <v/>
      </c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ht="21.75" customHeight="1" spans="1:24">
      <c r="A208" s="4" t="str">
        <f>IFERROR(INDEX(样本到样信息汇总统计!A$2:A$500,MATCH(207,样本到样信息汇总统计!$AC$2:$AC$500,0)),"")</f>
        <v/>
      </c>
      <c r="B208" s="4" t="str">
        <f>IFERROR(INDEX(样本到样信息汇总统计!B$2:B$500,MATCH(207,样本到样信息汇总统计!$AC$2:$AC$500,0)),"")</f>
        <v/>
      </c>
      <c r="C208" s="4" t="str">
        <f>IFERROR(INDEX(样本到样信息汇总统计!C$2:C$500,MATCH(207,样本到样信息汇总统计!$AC$2:$AC$500,0)),"")</f>
        <v/>
      </c>
      <c r="D208" s="4" t="str">
        <f>IFERROR(INDEX(样本到样信息汇总统计!D$2:D$500,MATCH(207,样本到样信息汇总统计!$AC$2:$AC$500,0)),"")</f>
        <v/>
      </c>
      <c r="E208" s="4" t="str">
        <f>IFERROR(INDEX(样本到样信息汇总统计!E$2:E$500,MATCH(207,样本到样信息汇总统计!$AC$2:$AC$500,0)),"")</f>
        <v/>
      </c>
      <c r="F208" s="4" t="str">
        <f>IFERROR(INDEX(样本到样信息汇总统计!F$2:F$500,MATCH(207,样本到样信息汇总统计!$AC$2:$AC$500,0)),"")</f>
        <v/>
      </c>
      <c r="G208" s="4" t="str">
        <f>IFERROR(INDEX(样本到样信息汇总统计!G$2:G$500,MATCH(207,样本到样信息汇总统计!$AC$2:$AC$500,0)),"")</f>
        <v/>
      </c>
      <c r="H208" s="4" t="str">
        <f>IFERROR(INDEX(样本到样信息汇总统计!H$2:H$500,MATCH(207,样本到样信息汇总统计!$AC$2:$AC$500,0)),"")</f>
        <v/>
      </c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21.75" customHeight="1" spans="1:24">
      <c r="A209" s="8" t="str">
        <f>IFERROR(INDEX(样本到样信息汇总统计!A$2:A$500,MATCH(208,样本到样信息汇总统计!$AC$2:$AC$500,0)),"")</f>
        <v/>
      </c>
      <c r="B209" s="8" t="str">
        <f>IFERROR(INDEX(样本到样信息汇总统计!B$2:B$500,MATCH(208,样本到样信息汇总统计!$AC$2:$AC$500,0)),"")</f>
        <v/>
      </c>
      <c r="C209" s="8" t="str">
        <f>IFERROR(INDEX(样本到样信息汇总统计!C$2:C$500,MATCH(208,样本到样信息汇总统计!$AC$2:$AC$500,0)),"")</f>
        <v/>
      </c>
      <c r="D209" s="8" t="str">
        <f>IFERROR(INDEX(样本到样信息汇总统计!D$2:D$500,MATCH(208,样本到样信息汇总统计!$AC$2:$AC$500,0)),"")</f>
        <v/>
      </c>
      <c r="E209" s="8" t="str">
        <f>IFERROR(INDEX(样本到样信息汇总统计!E$2:E$500,MATCH(208,样本到样信息汇总统计!$AC$2:$AC$500,0)),"")</f>
        <v/>
      </c>
      <c r="F209" s="8" t="str">
        <f>IFERROR(INDEX(样本到样信息汇总统计!F$2:F$500,MATCH(208,样本到样信息汇总统计!$AC$2:$AC$500,0)),"")</f>
        <v/>
      </c>
      <c r="G209" s="8" t="str">
        <f>IFERROR(INDEX(样本到样信息汇总统计!G$2:G$500,MATCH(208,样本到样信息汇总统计!$AC$2:$AC$500,0)),"")</f>
        <v/>
      </c>
      <c r="H209" s="8" t="str">
        <f>IFERROR(INDEX(样本到样信息汇总统计!H$2:H$500,MATCH(208,样本到样信息汇总统计!$AC$2:$AC$500,0)),"")</f>
        <v/>
      </c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ht="21.75" customHeight="1" spans="1:24">
      <c r="A210" s="4" t="str">
        <f>IFERROR(INDEX(样本到样信息汇总统计!A$2:A$500,MATCH(209,样本到样信息汇总统计!$AC$2:$AC$500,0)),"")</f>
        <v/>
      </c>
      <c r="B210" s="4" t="str">
        <f>IFERROR(INDEX(样本到样信息汇总统计!B$2:B$500,MATCH(209,样本到样信息汇总统计!$AC$2:$AC$500,0)),"")</f>
        <v/>
      </c>
      <c r="C210" s="4" t="str">
        <f>IFERROR(INDEX(样本到样信息汇总统计!C$2:C$500,MATCH(209,样本到样信息汇总统计!$AC$2:$AC$500,0)),"")</f>
        <v/>
      </c>
      <c r="D210" s="4" t="str">
        <f>IFERROR(INDEX(样本到样信息汇总统计!D$2:D$500,MATCH(209,样本到样信息汇总统计!$AC$2:$AC$500,0)),"")</f>
        <v/>
      </c>
      <c r="E210" s="4" t="str">
        <f>IFERROR(INDEX(样本到样信息汇总统计!E$2:E$500,MATCH(209,样本到样信息汇总统计!$AC$2:$AC$500,0)),"")</f>
        <v/>
      </c>
      <c r="F210" s="4" t="str">
        <f>IFERROR(INDEX(样本到样信息汇总统计!F$2:F$500,MATCH(209,样本到样信息汇总统计!$AC$2:$AC$500,0)),"")</f>
        <v/>
      </c>
      <c r="G210" s="4" t="str">
        <f>IFERROR(INDEX(样本到样信息汇总统计!G$2:G$500,MATCH(209,样本到样信息汇总统计!$AC$2:$AC$500,0)),"")</f>
        <v/>
      </c>
      <c r="H210" s="4" t="str">
        <f>IFERROR(INDEX(样本到样信息汇总统计!H$2:H$500,MATCH(209,样本到样信息汇总统计!$AC$2:$AC$500,0)),"")</f>
        <v/>
      </c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21.75" customHeight="1" spans="1:24">
      <c r="A211" s="8" t="str">
        <f>IFERROR(INDEX(样本到样信息汇总统计!A$2:A$500,MATCH(210,样本到样信息汇总统计!$AC$2:$AC$500,0)),"")</f>
        <v/>
      </c>
      <c r="B211" s="8" t="str">
        <f>IFERROR(INDEX(样本到样信息汇总统计!B$2:B$500,MATCH(210,样本到样信息汇总统计!$AC$2:$AC$500,0)),"")</f>
        <v/>
      </c>
      <c r="C211" s="8" t="str">
        <f>IFERROR(INDEX(样本到样信息汇总统计!C$2:C$500,MATCH(210,样本到样信息汇总统计!$AC$2:$AC$500,0)),"")</f>
        <v/>
      </c>
      <c r="D211" s="8" t="str">
        <f>IFERROR(INDEX(样本到样信息汇总统计!D$2:D$500,MATCH(210,样本到样信息汇总统计!$AC$2:$AC$500,0)),"")</f>
        <v/>
      </c>
      <c r="E211" s="8" t="str">
        <f>IFERROR(INDEX(样本到样信息汇总统计!E$2:E$500,MATCH(210,样本到样信息汇总统计!$AC$2:$AC$500,0)),"")</f>
        <v/>
      </c>
      <c r="F211" s="8" t="str">
        <f>IFERROR(INDEX(样本到样信息汇总统计!F$2:F$500,MATCH(210,样本到样信息汇总统计!$AC$2:$AC$500,0)),"")</f>
        <v/>
      </c>
      <c r="G211" s="8" t="str">
        <f>IFERROR(INDEX(样本到样信息汇总统计!G$2:G$500,MATCH(210,样本到样信息汇总统计!$AC$2:$AC$500,0)),"")</f>
        <v/>
      </c>
      <c r="H211" s="8" t="str">
        <f>IFERROR(INDEX(样本到样信息汇总统计!H$2:H$500,MATCH(210,样本到样信息汇总统计!$AC$2:$AC$500,0)),"")</f>
        <v/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ht="21.75" customHeight="1" spans="1:24">
      <c r="A212" s="4" t="str">
        <f>IFERROR(INDEX(样本到样信息汇总统计!A$2:A$500,MATCH(211,样本到样信息汇总统计!$AC$2:$AC$500,0)),"")</f>
        <v/>
      </c>
      <c r="B212" s="4" t="str">
        <f>IFERROR(INDEX(样本到样信息汇总统计!B$2:B$500,MATCH(211,样本到样信息汇总统计!$AC$2:$AC$500,0)),"")</f>
        <v/>
      </c>
      <c r="C212" s="4" t="str">
        <f>IFERROR(INDEX(样本到样信息汇总统计!C$2:C$500,MATCH(211,样本到样信息汇总统计!$AC$2:$AC$500,0)),"")</f>
        <v/>
      </c>
      <c r="D212" s="4" t="str">
        <f>IFERROR(INDEX(样本到样信息汇总统计!D$2:D$500,MATCH(211,样本到样信息汇总统计!$AC$2:$AC$500,0)),"")</f>
        <v/>
      </c>
      <c r="E212" s="4" t="str">
        <f>IFERROR(INDEX(样本到样信息汇总统计!E$2:E$500,MATCH(211,样本到样信息汇总统计!$AC$2:$AC$500,0)),"")</f>
        <v/>
      </c>
      <c r="F212" s="4" t="str">
        <f>IFERROR(INDEX(样本到样信息汇总统计!F$2:F$500,MATCH(211,样本到样信息汇总统计!$AC$2:$AC$500,0)),"")</f>
        <v/>
      </c>
      <c r="G212" s="4" t="str">
        <f>IFERROR(INDEX(样本到样信息汇总统计!G$2:G$500,MATCH(211,样本到样信息汇总统计!$AC$2:$AC$500,0)),"")</f>
        <v/>
      </c>
      <c r="H212" s="4" t="str">
        <f>IFERROR(INDEX(样本到样信息汇总统计!H$2:H$500,MATCH(211,样本到样信息汇总统计!$AC$2:$AC$500,0)),"")</f>
        <v/>
      </c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21.75" customHeight="1" spans="1:24">
      <c r="A213" s="8" t="str">
        <f>IFERROR(INDEX(样本到样信息汇总统计!A$2:A$500,MATCH(212,样本到样信息汇总统计!$AC$2:$AC$500,0)),"")</f>
        <v/>
      </c>
      <c r="B213" s="8" t="str">
        <f>IFERROR(INDEX(样本到样信息汇总统计!B$2:B$500,MATCH(212,样本到样信息汇总统计!$AC$2:$AC$500,0)),"")</f>
        <v/>
      </c>
      <c r="C213" s="8" t="str">
        <f>IFERROR(INDEX(样本到样信息汇总统计!C$2:C$500,MATCH(212,样本到样信息汇总统计!$AC$2:$AC$500,0)),"")</f>
        <v/>
      </c>
      <c r="D213" s="8" t="str">
        <f>IFERROR(INDEX(样本到样信息汇总统计!D$2:D$500,MATCH(212,样本到样信息汇总统计!$AC$2:$AC$500,0)),"")</f>
        <v/>
      </c>
      <c r="E213" s="8" t="str">
        <f>IFERROR(INDEX(样本到样信息汇总统计!E$2:E$500,MATCH(212,样本到样信息汇总统计!$AC$2:$AC$500,0)),"")</f>
        <v/>
      </c>
      <c r="F213" s="8" t="str">
        <f>IFERROR(INDEX(样本到样信息汇总统计!F$2:F$500,MATCH(212,样本到样信息汇总统计!$AC$2:$AC$500,0)),"")</f>
        <v/>
      </c>
      <c r="G213" s="8" t="str">
        <f>IFERROR(INDEX(样本到样信息汇总统计!G$2:G$500,MATCH(212,样本到样信息汇总统计!$AC$2:$AC$500,0)),"")</f>
        <v/>
      </c>
      <c r="H213" s="8" t="str">
        <f>IFERROR(INDEX(样本到样信息汇总统计!H$2:H$500,MATCH(212,样本到样信息汇总统计!$AC$2:$AC$500,0)),"")</f>
        <v/>
      </c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ht="21.75" customHeight="1" spans="1:24">
      <c r="A214" s="4" t="str">
        <f>IFERROR(INDEX(样本到样信息汇总统计!A$2:A$500,MATCH(213,样本到样信息汇总统计!$AC$2:$AC$500,0)),"")</f>
        <v/>
      </c>
      <c r="B214" s="4" t="str">
        <f>IFERROR(INDEX(样本到样信息汇总统计!B$2:B$500,MATCH(213,样本到样信息汇总统计!$AC$2:$AC$500,0)),"")</f>
        <v/>
      </c>
      <c r="C214" s="4" t="str">
        <f>IFERROR(INDEX(样本到样信息汇总统计!C$2:C$500,MATCH(213,样本到样信息汇总统计!$AC$2:$AC$500,0)),"")</f>
        <v/>
      </c>
      <c r="D214" s="4" t="str">
        <f>IFERROR(INDEX(样本到样信息汇总统计!D$2:D$500,MATCH(213,样本到样信息汇总统计!$AC$2:$AC$500,0)),"")</f>
        <v/>
      </c>
      <c r="E214" s="4" t="str">
        <f>IFERROR(INDEX(样本到样信息汇总统计!E$2:E$500,MATCH(213,样本到样信息汇总统计!$AC$2:$AC$500,0)),"")</f>
        <v/>
      </c>
      <c r="F214" s="4" t="str">
        <f>IFERROR(INDEX(样本到样信息汇总统计!F$2:F$500,MATCH(213,样本到样信息汇总统计!$AC$2:$AC$500,0)),"")</f>
        <v/>
      </c>
      <c r="G214" s="4" t="str">
        <f>IFERROR(INDEX(样本到样信息汇总统计!G$2:G$500,MATCH(213,样本到样信息汇总统计!$AC$2:$AC$500,0)),"")</f>
        <v/>
      </c>
      <c r="H214" s="4" t="str">
        <f>IFERROR(INDEX(样本到样信息汇总统计!H$2:H$500,MATCH(213,样本到样信息汇总统计!$AC$2:$AC$500,0)),"")</f>
        <v/>
      </c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21.75" customHeight="1" spans="1:24">
      <c r="A215" s="8" t="str">
        <f>IFERROR(INDEX(样本到样信息汇总统计!A$2:A$500,MATCH(214,样本到样信息汇总统计!$AC$2:$AC$500,0)),"")</f>
        <v/>
      </c>
      <c r="B215" s="8" t="str">
        <f>IFERROR(INDEX(样本到样信息汇总统计!B$2:B$500,MATCH(214,样本到样信息汇总统计!$AC$2:$AC$500,0)),"")</f>
        <v/>
      </c>
      <c r="C215" s="8" t="str">
        <f>IFERROR(INDEX(样本到样信息汇总统计!C$2:C$500,MATCH(214,样本到样信息汇总统计!$AC$2:$AC$500,0)),"")</f>
        <v/>
      </c>
      <c r="D215" s="8" t="str">
        <f>IFERROR(INDEX(样本到样信息汇总统计!D$2:D$500,MATCH(214,样本到样信息汇总统计!$AC$2:$AC$500,0)),"")</f>
        <v/>
      </c>
      <c r="E215" s="8" t="str">
        <f>IFERROR(INDEX(样本到样信息汇总统计!E$2:E$500,MATCH(214,样本到样信息汇总统计!$AC$2:$AC$500,0)),"")</f>
        <v/>
      </c>
      <c r="F215" s="8" t="str">
        <f>IFERROR(INDEX(样本到样信息汇总统计!F$2:F$500,MATCH(214,样本到样信息汇总统计!$AC$2:$AC$500,0)),"")</f>
        <v/>
      </c>
      <c r="G215" s="8" t="str">
        <f>IFERROR(INDEX(样本到样信息汇总统计!G$2:G$500,MATCH(214,样本到样信息汇总统计!$AC$2:$AC$500,0)),"")</f>
        <v/>
      </c>
      <c r="H215" s="8" t="str">
        <f>IFERROR(INDEX(样本到样信息汇总统计!H$2:H$500,MATCH(214,样本到样信息汇总统计!$AC$2:$AC$500,0)),"")</f>
        <v/>
      </c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ht="21.75" customHeight="1" spans="1:24">
      <c r="A216" s="4" t="str">
        <f>IFERROR(INDEX(样本到样信息汇总统计!A$2:A$500,MATCH(215,样本到样信息汇总统计!$AC$2:$AC$500,0)),"")</f>
        <v/>
      </c>
      <c r="B216" s="4" t="str">
        <f>IFERROR(INDEX(样本到样信息汇总统计!B$2:B$500,MATCH(215,样本到样信息汇总统计!$AC$2:$AC$500,0)),"")</f>
        <v/>
      </c>
      <c r="C216" s="4" t="str">
        <f>IFERROR(INDEX(样本到样信息汇总统计!C$2:C$500,MATCH(215,样本到样信息汇总统计!$AC$2:$AC$500,0)),"")</f>
        <v/>
      </c>
      <c r="D216" s="4" t="str">
        <f>IFERROR(INDEX(样本到样信息汇总统计!D$2:D$500,MATCH(215,样本到样信息汇总统计!$AC$2:$AC$500,0)),"")</f>
        <v/>
      </c>
      <c r="E216" s="4" t="str">
        <f>IFERROR(INDEX(样本到样信息汇总统计!E$2:E$500,MATCH(215,样本到样信息汇总统计!$AC$2:$AC$500,0)),"")</f>
        <v/>
      </c>
      <c r="F216" s="4" t="str">
        <f>IFERROR(INDEX(样本到样信息汇总统计!F$2:F$500,MATCH(215,样本到样信息汇总统计!$AC$2:$AC$500,0)),"")</f>
        <v/>
      </c>
      <c r="G216" s="4" t="str">
        <f>IFERROR(INDEX(样本到样信息汇总统计!G$2:G$500,MATCH(215,样本到样信息汇总统计!$AC$2:$AC$500,0)),"")</f>
        <v/>
      </c>
      <c r="H216" s="4" t="str">
        <f>IFERROR(INDEX(样本到样信息汇总统计!H$2:H$500,MATCH(215,样本到样信息汇总统计!$AC$2:$AC$500,0)),"")</f>
        <v/>
      </c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21.75" customHeight="1" spans="1:24">
      <c r="A217" s="8" t="str">
        <f>IFERROR(INDEX(样本到样信息汇总统计!A$2:A$500,MATCH(216,样本到样信息汇总统计!$AC$2:$AC$500,0)),"")</f>
        <v/>
      </c>
      <c r="B217" s="8" t="str">
        <f>IFERROR(INDEX(样本到样信息汇总统计!B$2:B$500,MATCH(216,样本到样信息汇总统计!$AC$2:$AC$500,0)),"")</f>
        <v/>
      </c>
      <c r="C217" s="8" t="str">
        <f>IFERROR(INDEX(样本到样信息汇总统计!C$2:C$500,MATCH(216,样本到样信息汇总统计!$AC$2:$AC$500,0)),"")</f>
        <v/>
      </c>
      <c r="D217" s="8" t="str">
        <f>IFERROR(INDEX(样本到样信息汇总统计!D$2:D$500,MATCH(216,样本到样信息汇总统计!$AC$2:$AC$500,0)),"")</f>
        <v/>
      </c>
      <c r="E217" s="8" t="str">
        <f>IFERROR(INDEX(样本到样信息汇总统计!E$2:E$500,MATCH(216,样本到样信息汇总统计!$AC$2:$AC$500,0)),"")</f>
        <v/>
      </c>
      <c r="F217" s="8" t="str">
        <f>IFERROR(INDEX(样本到样信息汇总统计!F$2:F$500,MATCH(216,样本到样信息汇总统计!$AC$2:$AC$500,0)),"")</f>
        <v/>
      </c>
      <c r="G217" s="8" t="str">
        <f>IFERROR(INDEX(样本到样信息汇总统计!G$2:G$500,MATCH(216,样本到样信息汇总统计!$AC$2:$AC$500,0)),"")</f>
        <v/>
      </c>
      <c r="H217" s="8" t="str">
        <f>IFERROR(INDEX(样本到样信息汇总统计!H$2:H$500,MATCH(216,样本到样信息汇总统计!$AC$2:$AC$500,0)),"")</f>
        <v/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 ht="21.75" customHeight="1" spans="1:24">
      <c r="A218" s="4" t="str">
        <f>IFERROR(INDEX(样本到样信息汇总统计!A$2:A$500,MATCH(217,样本到样信息汇总统计!$AC$2:$AC$500,0)),"")</f>
        <v/>
      </c>
      <c r="B218" s="4" t="str">
        <f>IFERROR(INDEX(样本到样信息汇总统计!B$2:B$500,MATCH(217,样本到样信息汇总统计!$AC$2:$AC$500,0)),"")</f>
        <v/>
      </c>
      <c r="C218" s="4" t="str">
        <f>IFERROR(INDEX(样本到样信息汇总统计!C$2:C$500,MATCH(217,样本到样信息汇总统计!$AC$2:$AC$500,0)),"")</f>
        <v/>
      </c>
      <c r="D218" s="4" t="str">
        <f>IFERROR(INDEX(样本到样信息汇总统计!D$2:D$500,MATCH(217,样本到样信息汇总统计!$AC$2:$AC$500,0)),"")</f>
        <v/>
      </c>
      <c r="E218" s="4" t="str">
        <f>IFERROR(INDEX(样本到样信息汇总统计!E$2:E$500,MATCH(217,样本到样信息汇总统计!$AC$2:$AC$500,0)),"")</f>
        <v/>
      </c>
      <c r="F218" s="4" t="str">
        <f>IFERROR(INDEX(样本到样信息汇总统计!F$2:F$500,MATCH(217,样本到样信息汇总统计!$AC$2:$AC$500,0)),"")</f>
        <v/>
      </c>
      <c r="G218" s="4" t="str">
        <f>IFERROR(INDEX(样本到样信息汇总统计!G$2:G$500,MATCH(217,样本到样信息汇总统计!$AC$2:$AC$500,0)),"")</f>
        <v/>
      </c>
      <c r="H218" s="4" t="str">
        <f>IFERROR(INDEX(样本到样信息汇总统计!H$2:H$500,MATCH(217,样本到样信息汇总统计!$AC$2:$AC$500,0)),"")</f>
        <v/>
      </c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21.75" customHeight="1" spans="1:24">
      <c r="A219" s="8" t="str">
        <f>IFERROR(INDEX(样本到样信息汇总统计!A$2:A$500,MATCH(218,样本到样信息汇总统计!$AC$2:$AC$500,0)),"")</f>
        <v/>
      </c>
      <c r="B219" s="8" t="str">
        <f>IFERROR(INDEX(样本到样信息汇总统计!B$2:B$500,MATCH(218,样本到样信息汇总统计!$AC$2:$AC$500,0)),"")</f>
        <v/>
      </c>
      <c r="C219" s="8" t="str">
        <f>IFERROR(INDEX(样本到样信息汇总统计!C$2:C$500,MATCH(218,样本到样信息汇总统计!$AC$2:$AC$500,0)),"")</f>
        <v/>
      </c>
      <c r="D219" s="8" t="str">
        <f>IFERROR(INDEX(样本到样信息汇总统计!D$2:D$500,MATCH(218,样本到样信息汇总统计!$AC$2:$AC$500,0)),"")</f>
        <v/>
      </c>
      <c r="E219" s="8" t="str">
        <f>IFERROR(INDEX(样本到样信息汇总统计!E$2:E$500,MATCH(218,样本到样信息汇总统计!$AC$2:$AC$500,0)),"")</f>
        <v/>
      </c>
      <c r="F219" s="8" t="str">
        <f>IFERROR(INDEX(样本到样信息汇总统计!F$2:F$500,MATCH(218,样本到样信息汇总统计!$AC$2:$AC$500,0)),"")</f>
        <v/>
      </c>
      <c r="G219" s="8" t="str">
        <f>IFERROR(INDEX(样本到样信息汇总统计!G$2:G$500,MATCH(218,样本到样信息汇总统计!$AC$2:$AC$500,0)),"")</f>
        <v/>
      </c>
      <c r="H219" s="8" t="str">
        <f>IFERROR(INDEX(样本到样信息汇总统计!H$2:H$500,MATCH(218,样本到样信息汇总统计!$AC$2:$AC$500,0)),"")</f>
        <v/>
      </c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ht="21.75" customHeight="1" spans="1:24">
      <c r="A220" s="4" t="str">
        <f>IFERROR(INDEX(样本到样信息汇总统计!A$2:A$500,MATCH(219,样本到样信息汇总统计!$AC$2:$AC$500,0)),"")</f>
        <v/>
      </c>
      <c r="B220" s="4" t="str">
        <f>IFERROR(INDEX(样本到样信息汇总统计!B$2:B$500,MATCH(219,样本到样信息汇总统计!$AC$2:$AC$500,0)),"")</f>
        <v/>
      </c>
      <c r="C220" s="4" t="str">
        <f>IFERROR(INDEX(样本到样信息汇总统计!C$2:C$500,MATCH(219,样本到样信息汇总统计!$AC$2:$AC$500,0)),"")</f>
        <v/>
      </c>
      <c r="D220" s="4" t="str">
        <f>IFERROR(INDEX(样本到样信息汇总统计!D$2:D$500,MATCH(219,样本到样信息汇总统计!$AC$2:$AC$500,0)),"")</f>
        <v/>
      </c>
      <c r="E220" s="4" t="str">
        <f>IFERROR(INDEX(样本到样信息汇总统计!E$2:E$500,MATCH(219,样本到样信息汇总统计!$AC$2:$AC$500,0)),"")</f>
        <v/>
      </c>
      <c r="F220" s="4" t="str">
        <f>IFERROR(INDEX(样本到样信息汇总统计!F$2:F$500,MATCH(219,样本到样信息汇总统计!$AC$2:$AC$500,0)),"")</f>
        <v/>
      </c>
      <c r="G220" s="4" t="str">
        <f>IFERROR(INDEX(样本到样信息汇总统计!G$2:G$500,MATCH(219,样本到样信息汇总统计!$AC$2:$AC$500,0)),"")</f>
        <v/>
      </c>
      <c r="H220" s="4" t="str">
        <f>IFERROR(INDEX(样本到样信息汇总统计!H$2:H$500,MATCH(219,样本到样信息汇总统计!$AC$2:$AC$500,0)),"")</f>
        <v/>
      </c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t="21.75" customHeight="1" spans="1:24">
      <c r="A221" s="8" t="str">
        <f>IFERROR(INDEX(样本到样信息汇总统计!A$2:A$500,MATCH(220,样本到样信息汇总统计!$AC$2:$AC$500,0)),"")</f>
        <v/>
      </c>
      <c r="B221" s="8" t="str">
        <f>IFERROR(INDEX(样本到样信息汇总统计!B$2:B$500,MATCH(220,样本到样信息汇总统计!$AC$2:$AC$500,0)),"")</f>
        <v/>
      </c>
      <c r="C221" s="8" t="str">
        <f>IFERROR(INDEX(样本到样信息汇总统计!C$2:C$500,MATCH(220,样本到样信息汇总统计!$AC$2:$AC$500,0)),"")</f>
        <v/>
      </c>
      <c r="D221" s="8" t="str">
        <f>IFERROR(INDEX(样本到样信息汇总统计!D$2:D$500,MATCH(220,样本到样信息汇总统计!$AC$2:$AC$500,0)),"")</f>
        <v/>
      </c>
      <c r="E221" s="8" t="str">
        <f>IFERROR(INDEX(样本到样信息汇总统计!E$2:E$500,MATCH(220,样本到样信息汇总统计!$AC$2:$AC$500,0)),"")</f>
        <v/>
      </c>
      <c r="F221" s="8" t="str">
        <f>IFERROR(INDEX(样本到样信息汇总统计!F$2:F$500,MATCH(220,样本到样信息汇总统计!$AC$2:$AC$500,0)),"")</f>
        <v/>
      </c>
      <c r="G221" s="8" t="str">
        <f>IFERROR(INDEX(样本到样信息汇总统计!G$2:G$500,MATCH(220,样本到样信息汇总统计!$AC$2:$AC$500,0)),"")</f>
        <v/>
      </c>
      <c r="H221" s="8" t="str">
        <f>IFERROR(INDEX(样本到样信息汇总统计!H$2:H$500,MATCH(220,样本到样信息汇总统计!$AC$2:$AC$500,0)),"")</f>
        <v/>
      </c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 ht="21.75" customHeight="1" spans="1:24">
      <c r="A222" s="4" t="str">
        <f>IFERROR(INDEX(样本到样信息汇总统计!A$2:A$500,MATCH(221,样本到样信息汇总统计!$AC$2:$AC$500,0)),"")</f>
        <v/>
      </c>
      <c r="B222" s="4" t="str">
        <f>IFERROR(INDEX(样本到样信息汇总统计!B$2:B$500,MATCH(221,样本到样信息汇总统计!$AC$2:$AC$500,0)),"")</f>
        <v/>
      </c>
      <c r="C222" s="4" t="str">
        <f>IFERROR(INDEX(样本到样信息汇总统计!C$2:C$500,MATCH(221,样本到样信息汇总统计!$AC$2:$AC$500,0)),"")</f>
        <v/>
      </c>
      <c r="D222" s="4" t="str">
        <f>IFERROR(INDEX(样本到样信息汇总统计!D$2:D$500,MATCH(221,样本到样信息汇总统计!$AC$2:$AC$500,0)),"")</f>
        <v/>
      </c>
      <c r="E222" s="4" t="str">
        <f>IFERROR(INDEX(样本到样信息汇总统计!E$2:E$500,MATCH(221,样本到样信息汇总统计!$AC$2:$AC$500,0)),"")</f>
        <v/>
      </c>
      <c r="F222" s="4" t="str">
        <f>IFERROR(INDEX(样本到样信息汇总统计!F$2:F$500,MATCH(221,样本到样信息汇总统计!$AC$2:$AC$500,0)),"")</f>
        <v/>
      </c>
      <c r="G222" s="4" t="str">
        <f>IFERROR(INDEX(样本到样信息汇总统计!G$2:G$500,MATCH(221,样本到样信息汇总统计!$AC$2:$AC$500,0)),"")</f>
        <v/>
      </c>
      <c r="H222" s="4" t="str">
        <f>IFERROR(INDEX(样本到样信息汇总统计!H$2:H$500,MATCH(221,样本到样信息汇总统计!$AC$2:$AC$500,0)),"")</f>
        <v/>
      </c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ht="21.75" customHeight="1" spans="1:24">
      <c r="A223" s="8" t="str">
        <f>IFERROR(INDEX(样本到样信息汇总统计!A$2:A$500,MATCH(222,样本到样信息汇总统计!$AC$2:$AC$500,0)),"")</f>
        <v/>
      </c>
      <c r="B223" s="8" t="str">
        <f>IFERROR(INDEX(样本到样信息汇总统计!B$2:B$500,MATCH(222,样本到样信息汇总统计!$AC$2:$AC$500,0)),"")</f>
        <v/>
      </c>
      <c r="C223" s="8" t="str">
        <f>IFERROR(INDEX(样本到样信息汇总统计!C$2:C$500,MATCH(222,样本到样信息汇总统计!$AC$2:$AC$500,0)),"")</f>
        <v/>
      </c>
      <c r="D223" s="8" t="str">
        <f>IFERROR(INDEX(样本到样信息汇总统计!D$2:D$500,MATCH(222,样本到样信息汇总统计!$AC$2:$AC$500,0)),"")</f>
        <v/>
      </c>
      <c r="E223" s="8" t="str">
        <f>IFERROR(INDEX(样本到样信息汇总统计!E$2:E$500,MATCH(222,样本到样信息汇总统计!$AC$2:$AC$500,0)),"")</f>
        <v/>
      </c>
      <c r="F223" s="8" t="str">
        <f>IFERROR(INDEX(样本到样信息汇总统计!F$2:F$500,MATCH(222,样本到样信息汇总统计!$AC$2:$AC$500,0)),"")</f>
        <v/>
      </c>
      <c r="G223" s="8" t="str">
        <f>IFERROR(INDEX(样本到样信息汇总统计!G$2:G$500,MATCH(222,样本到样信息汇总统计!$AC$2:$AC$500,0)),"")</f>
        <v/>
      </c>
      <c r="H223" s="8" t="str">
        <f>IFERROR(INDEX(样本到样信息汇总统计!H$2:H$500,MATCH(222,样本到样信息汇总统计!$AC$2:$AC$500,0)),"")</f>
        <v/>
      </c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 ht="21.75" customHeight="1" spans="1:24">
      <c r="A224" s="4" t="str">
        <f>IFERROR(INDEX(样本到样信息汇总统计!A$2:A$500,MATCH(223,样本到样信息汇总统计!$AC$2:$AC$500,0)),"")</f>
        <v/>
      </c>
      <c r="B224" s="4" t="str">
        <f>IFERROR(INDEX(样本到样信息汇总统计!B$2:B$500,MATCH(223,样本到样信息汇总统计!$AC$2:$AC$500,0)),"")</f>
        <v/>
      </c>
      <c r="C224" s="4" t="str">
        <f>IFERROR(INDEX(样本到样信息汇总统计!C$2:C$500,MATCH(223,样本到样信息汇总统计!$AC$2:$AC$500,0)),"")</f>
        <v/>
      </c>
      <c r="D224" s="4" t="str">
        <f>IFERROR(INDEX(样本到样信息汇总统计!D$2:D$500,MATCH(223,样本到样信息汇总统计!$AC$2:$AC$500,0)),"")</f>
        <v/>
      </c>
      <c r="E224" s="4" t="str">
        <f>IFERROR(INDEX(样本到样信息汇总统计!E$2:E$500,MATCH(223,样本到样信息汇总统计!$AC$2:$AC$500,0)),"")</f>
        <v/>
      </c>
      <c r="F224" s="4" t="str">
        <f>IFERROR(INDEX(样本到样信息汇总统计!F$2:F$500,MATCH(223,样本到样信息汇总统计!$AC$2:$AC$500,0)),"")</f>
        <v/>
      </c>
      <c r="G224" s="4" t="str">
        <f>IFERROR(INDEX(样本到样信息汇总统计!G$2:G$500,MATCH(223,样本到样信息汇总统计!$AC$2:$AC$500,0)),"")</f>
        <v/>
      </c>
      <c r="H224" s="4" t="str">
        <f>IFERROR(INDEX(样本到样信息汇总统计!H$2:H$500,MATCH(223,样本到样信息汇总统计!$AC$2:$AC$500,0)),"")</f>
        <v/>
      </c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ht="21.75" customHeight="1" spans="1:24">
      <c r="A225" s="8" t="str">
        <f>IFERROR(INDEX(样本到样信息汇总统计!A$2:A$500,MATCH(224,样本到样信息汇总统计!$AC$2:$AC$500,0)),"")</f>
        <v/>
      </c>
      <c r="B225" s="8" t="str">
        <f>IFERROR(INDEX(样本到样信息汇总统计!B$2:B$500,MATCH(224,样本到样信息汇总统计!$AC$2:$AC$500,0)),"")</f>
        <v/>
      </c>
      <c r="C225" s="8" t="str">
        <f>IFERROR(INDEX(样本到样信息汇总统计!C$2:C$500,MATCH(224,样本到样信息汇总统计!$AC$2:$AC$500,0)),"")</f>
        <v/>
      </c>
      <c r="D225" s="8" t="str">
        <f>IFERROR(INDEX(样本到样信息汇总统计!D$2:D$500,MATCH(224,样本到样信息汇总统计!$AC$2:$AC$500,0)),"")</f>
        <v/>
      </c>
      <c r="E225" s="8" t="str">
        <f>IFERROR(INDEX(样本到样信息汇总统计!E$2:E$500,MATCH(224,样本到样信息汇总统计!$AC$2:$AC$500,0)),"")</f>
        <v/>
      </c>
      <c r="F225" s="8" t="str">
        <f>IFERROR(INDEX(样本到样信息汇总统计!F$2:F$500,MATCH(224,样本到样信息汇总统计!$AC$2:$AC$500,0)),"")</f>
        <v/>
      </c>
      <c r="G225" s="8" t="str">
        <f>IFERROR(INDEX(样本到样信息汇总统计!G$2:G$500,MATCH(224,样本到样信息汇总统计!$AC$2:$AC$500,0)),"")</f>
        <v/>
      </c>
      <c r="H225" s="8" t="str">
        <f>IFERROR(INDEX(样本到样信息汇总统计!H$2:H$500,MATCH(224,样本到样信息汇总统计!$AC$2:$AC$500,0)),"")</f>
        <v/>
      </c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 ht="21.75" customHeight="1" spans="1:24">
      <c r="A226" s="4" t="str">
        <f>IFERROR(INDEX(样本到样信息汇总统计!A$2:A$500,MATCH(225,样本到样信息汇总统计!$AC$2:$AC$500,0)),"")</f>
        <v/>
      </c>
      <c r="B226" s="4" t="str">
        <f>IFERROR(INDEX(样本到样信息汇总统计!B$2:B$500,MATCH(225,样本到样信息汇总统计!$AC$2:$AC$500,0)),"")</f>
        <v/>
      </c>
      <c r="C226" s="4" t="str">
        <f>IFERROR(INDEX(样本到样信息汇总统计!C$2:C$500,MATCH(225,样本到样信息汇总统计!$AC$2:$AC$500,0)),"")</f>
        <v/>
      </c>
      <c r="D226" s="4" t="str">
        <f>IFERROR(INDEX(样本到样信息汇总统计!D$2:D$500,MATCH(225,样本到样信息汇总统计!$AC$2:$AC$500,0)),"")</f>
        <v/>
      </c>
      <c r="E226" s="4" t="str">
        <f>IFERROR(INDEX(样本到样信息汇总统计!E$2:E$500,MATCH(225,样本到样信息汇总统计!$AC$2:$AC$500,0)),"")</f>
        <v/>
      </c>
      <c r="F226" s="4" t="str">
        <f>IFERROR(INDEX(样本到样信息汇总统计!F$2:F$500,MATCH(225,样本到样信息汇总统计!$AC$2:$AC$500,0)),"")</f>
        <v/>
      </c>
      <c r="G226" s="4" t="str">
        <f>IFERROR(INDEX(样本到样信息汇总统计!G$2:G$500,MATCH(225,样本到样信息汇总统计!$AC$2:$AC$500,0)),"")</f>
        <v/>
      </c>
      <c r="H226" s="4" t="str">
        <f>IFERROR(INDEX(样本到样信息汇总统计!H$2:H$500,MATCH(225,样本到样信息汇总统计!$AC$2:$AC$500,0)),"")</f>
        <v/>
      </c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ht="21.75" customHeight="1" spans="1:24">
      <c r="A227" s="8" t="str">
        <f>IFERROR(INDEX(样本到样信息汇总统计!A$2:A$500,MATCH(226,样本到样信息汇总统计!$AC$2:$AC$500,0)),"")</f>
        <v/>
      </c>
      <c r="B227" s="8" t="str">
        <f>IFERROR(INDEX(样本到样信息汇总统计!B$2:B$500,MATCH(226,样本到样信息汇总统计!$AC$2:$AC$500,0)),"")</f>
        <v/>
      </c>
      <c r="C227" s="8" t="str">
        <f>IFERROR(INDEX(样本到样信息汇总统计!C$2:C$500,MATCH(226,样本到样信息汇总统计!$AC$2:$AC$500,0)),"")</f>
        <v/>
      </c>
      <c r="D227" s="8" t="str">
        <f>IFERROR(INDEX(样本到样信息汇总统计!D$2:D$500,MATCH(226,样本到样信息汇总统计!$AC$2:$AC$500,0)),"")</f>
        <v/>
      </c>
      <c r="E227" s="8" t="str">
        <f>IFERROR(INDEX(样本到样信息汇总统计!E$2:E$500,MATCH(226,样本到样信息汇总统计!$AC$2:$AC$500,0)),"")</f>
        <v/>
      </c>
      <c r="F227" s="8" t="str">
        <f>IFERROR(INDEX(样本到样信息汇总统计!F$2:F$500,MATCH(226,样本到样信息汇总统计!$AC$2:$AC$500,0)),"")</f>
        <v/>
      </c>
      <c r="G227" s="8" t="str">
        <f>IFERROR(INDEX(样本到样信息汇总统计!G$2:G$500,MATCH(226,样本到样信息汇总统计!$AC$2:$AC$500,0)),"")</f>
        <v/>
      </c>
      <c r="H227" s="8" t="str">
        <f>IFERROR(INDEX(样本到样信息汇总统计!H$2:H$500,MATCH(226,样本到样信息汇总统计!$AC$2:$AC$500,0)),"")</f>
        <v/>
      </c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 ht="21.75" customHeight="1" spans="1:24">
      <c r="A228" s="4" t="str">
        <f>IFERROR(INDEX(样本到样信息汇总统计!A$2:A$500,MATCH(227,样本到样信息汇总统计!$AC$2:$AC$500,0)),"")</f>
        <v/>
      </c>
      <c r="B228" s="4" t="str">
        <f>IFERROR(INDEX(样本到样信息汇总统计!B$2:B$500,MATCH(227,样本到样信息汇总统计!$AC$2:$AC$500,0)),"")</f>
        <v/>
      </c>
      <c r="C228" s="4" t="str">
        <f>IFERROR(INDEX(样本到样信息汇总统计!C$2:C$500,MATCH(227,样本到样信息汇总统计!$AC$2:$AC$500,0)),"")</f>
        <v/>
      </c>
      <c r="D228" s="4" t="str">
        <f>IFERROR(INDEX(样本到样信息汇总统计!D$2:D$500,MATCH(227,样本到样信息汇总统计!$AC$2:$AC$500,0)),"")</f>
        <v/>
      </c>
      <c r="E228" s="4" t="str">
        <f>IFERROR(INDEX(样本到样信息汇总统计!E$2:E$500,MATCH(227,样本到样信息汇总统计!$AC$2:$AC$500,0)),"")</f>
        <v/>
      </c>
      <c r="F228" s="4" t="str">
        <f>IFERROR(INDEX(样本到样信息汇总统计!F$2:F$500,MATCH(227,样本到样信息汇总统计!$AC$2:$AC$500,0)),"")</f>
        <v/>
      </c>
      <c r="G228" s="4" t="str">
        <f>IFERROR(INDEX(样本到样信息汇总统计!G$2:G$500,MATCH(227,样本到样信息汇总统计!$AC$2:$AC$500,0)),"")</f>
        <v/>
      </c>
      <c r="H228" s="4" t="str">
        <f>IFERROR(INDEX(样本到样信息汇总统计!H$2:H$500,MATCH(227,样本到样信息汇总统计!$AC$2:$AC$500,0)),"")</f>
        <v/>
      </c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ht="21.75" customHeight="1" spans="1:24">
      <c r="A229" s="8" t="str">
        <f>IFERROR(INDEX(样本到样信息汇总统计!A$2:A$500,MATCH(228,样本到样信息汇总统计!$AC$2:$AC$500,0)),"")</f>
        <v/>
      </c>
      <c r="B229" s="8" t="str">
        <f>IFERROR(INDEX(样本到样信息汇总统计!B$2:B$500,MATCH(228,样本到样信息汇总统计!$AC$2:$AC$500,0)),"")</f>
        <v/>
      </c>
      <c r="C229" s="8" t="str">
        <f>IFERROR(INDEX(样本到样信息汇总统计!C$2:C$500,MATCH(228,样本到样信息汇总统计!$AC$2:$AC$500,0)),"")</f>
        <v/>
      </c>
      <c r="D229" s="8" t="str">
        <f>IFERROR(INDEX(样本到样信息汇总统计!D$2:D$500,MATCH(228,样本到样信息汇总统计!$AC$2:$AC$500,0)),"")</f>
        <v/>
      </c>
      <c r="E229" s="8" t="str">
        <f>IFERROR(INDEX(样本到样信息汇总统计!E$2:E$500,MATCH(228,样本到样信息汇总统计!$AC$2:$AC$500,0)),"")</f>
        <v/>
      </c>
      <c r="F229" s="8" t="str">
        <f>IFERROR(INDEX(样本到样信息汇总统计!F$2:F$500,MATCH(228,样本到样信息汇总统计!$AC$2:$AC$500,0)),"")</f>
        <v/>
      </c>
      <c r="G229" s="8" t="str">
        <f>IFERROR(INDEX(样本到样信息汇总统计!G$2:G$500,MATCH(228,样本到样信息汇总统计!$AC$2:$AC$500,0)),"")</f>
        <v/>
      </c>
      <c r="H229" s="8" t="str">
        <f>IFERROR(INDEX(样本到样信息汇总统计!H$2:H$500,MATCH(228,样本到样信息汇总统计!$AC$2:$AC$500,0)),"")</f>
        <v/>
      </c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 ht="21.75" customHeight="1" spans="1:24">
      <c r="A230" s="4" t="str">
        <f>IFERROR(INDEX(样本到样信息汇总统计!A$2:A$500,MATCH(229,样本到样信息汇总统计!$AC$2:$AC$500,0)),"")</f>
        <v/>
      </c>
      <c r="B230" s="4" t="str">
        <f>IFERROR(INDEX(样本到样信息汇总统计!B$2:B$500,MATCH(229,样本到样信息汇总统计!$AC$2:$AC$500,0)),"")</f>
        <v/>
      </c>
      <c r="C230" s="4" t="str">
        <f>IFERROR(INDEX(样本到样信息汇总统计!C$2:C$500,MATCH(229,样本到样信息汇总统计!$AC$2:$AC$500,0)),"")</f>
        <v/>
      </c>
      <c r="D230" s="4" t="str">
        <f>IFERROR(INDEX(样本到样信息汇总统计!D$2:D$500,MATCH(229,样本到样信息汇总统计!$AC$2:$AC$500,0)),"")</f>
        <v/>
      </c>
      <c r="E230" s="4" t="str">
        <f>IFERROR(INDEX(样本到样信息汇总统计!E$2:E$500,MATCH(229,样本到样信息汇总统计!$AC$2:$AC$500,0)),"")</f>
        <v/>
      </c>
      <c r="F230" s="4" t="str">
        <f>IFERROR(INDEX(样本到样信息汇总统计!F$2:F$500,MATCH(229,样本到样信息汇总统计!$AC$2:$AC$500,0)),"")</f>
        <v/>
      </c>
      <c r="G230" s="4" t="str">
        <f>IFERROR(INDEX(样本到样信息汇总统计!G$2:G$500,MATCH(229,样本到样信息汇总统计!$AC$2:$AC$500,0)),"")</f>
        <v/>
      </c>
      <c r="H230" s="4" t="str">
        <f>IFERROR(INDEX(样本到样信息汇总统计!H$2:H$500,MATCH(229,样本到样信息汇总统计!$AC$2:$AC$500,0)),"")</f>
        <v/>
      </c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ht="21.75" customHeight="1" spans="1:24">
      <c r="A231" s="8" t="str">
        <f>IFERROR(INDEX(样本到样信息汇总统计!A$2:A$500,MATCH(230,样本到样信息汇总统计!$AC$2:$AC$500,0)),"")</f>
        <v/>
      </c>
      <c r="B231" s="8" t="str">
        <f>IFERROR(INDEX(样本到样信息汇总统计!B$2:B$500,MATCH(230,样本到样信息汇总统计!$AC$2:$AC$500,0)),"")</f>
        <v/>
      </c>
      <c r="C231" s="8" t="str">
        <f>IFERROR(INDEX(样本到样信息汇总统计!C$2:C$500,MATCH(230,样本到样信息汇总统计!$AC$2:$AC$500,0)),"")</f>
        <v/>
      </c>
      <c r="D231" s="8" t="str">
        <f>IFERROR(INDEX(样本到样信息汇总统计!D$2:D$500,MATCH(230,样本到样信息汇总统计!$AC$2:$AC$500,0)),"")</f>
        <v/>
      </c>
      <c r="E231" s="8" t="str">
        <f>IFERROR(INDEX(样本到样信息汇总统计!E$2:E$500,MATCH(230,样本到样信息汇总统计!$AC$2:$AC$500,0)),"")</f>
        <v/>
      </c>
      <c r="F231" s="8" t="str">
        <f>IFERROR(INDEX(样本到样信息汇总统计!F$2:F$500,MATCH(230,样本到样信息汇总统计!$AC$2:$AC$500,0)),"")</f>
        <v/>
      </c>
      <c r="G231" s="8" t="str">
        <f>IFERROR(INDEX(样本到样信息汇总统计!G$2:G$500,MATCH(230,样本到样信息汇总统计!$AC$2:$AC$500,0)),"")</f>
        <v/>
      </c>
      <c r="H231" s="8" t="str">
        <f>IFERROR(INDEX(样本到样信息汇总统计!H$2:H$500,MATCH(230,样本到样信息汇总统计!$AC$2:$AC$500,0)),"")</f>
        <v/>
      </c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 ht="21.75" customHeight="1" spans="1:24">
      <c r="A232" s="4" t="str">
        <f>IFERROR(INDEX(样本到样信息汇总统计!A$2:A$500,MATCH(231,样本到样信息汇总统计!$AC$2:$AC$500,0)),"")</f>
        <v/>
      </c>
      <c r="B232" s="4" t="str">
        <f>IFERROR(INDEX(样本到样信息汇总统计!B$2:B$500,MATCH(231,样本到样信息汇总统计!$AC$2:$AC$500,0)),"")</f>
        <v/>
      </c>
      <c r="C232" s="4" t="str">
        <f>IFERROR(INDEX(样本到样信息汇总统计!C$2:C$500,MATCH(231,样本到样信息汇总统计!$AC$2:$AC$500,0)),"")</f>
        <v/>
      </c>
      <c r="D232" s="4" t="str">
        <f>IFERROR(INDEX(样本到样信息汇总统计!D$2:D$500,MATCH(231,样本到样信息汇总统计!$AC$2:$AC$500,0)),"")</f>
        <v/>
      </c>
      <c r="E232" s="4" t="str">
        <f>IFERROR(INDEX(样本到样信息汇总统计!E$2:E$500,MATCH(231,样本到样信息汇总统计!$AC$2:$AC$500,0)),"")</f>
        <v/>
      </c>
      <c r="F232" s="4" t="str">
        <f>IFERROR(INDEX(样本到样信息汇总统计!F$2:F$500,MATCH(231,样本到样信息汇总统计!$AC$2:$AC$500,0)),"")</f>
        <v/>
      </c>
      <c r="G232" s="4" t="str">
        <f>IFERROR(INDEX(样本到样信息汇总统计!G$2:G$500,MATCH(231,样本到样信息汇总统计!$AC$2:$AC$500,0)),"")</f>
        <v/>
      </c>
      <c r="H232" s="4" t="str">
        <f>IFERROR(INDEX(样本到样信息汇总统计!H$2:H$500,MATCH(231,样本到样信息汇总统计!$AC$2:$AC$500,0)),"")</f>
        <v/>
      </c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ht="21.75" customHeight="1" spans="1:24">
      <c r="A233" s="8" t="str">
        <f>IFERROR(INDEX(样本到样信息汇总统计!A$2:A$500,MATCH(232,样本到样信息汇总统计!$AC$2:$AC$500,0)),"")</f>
        <v/>
      </c>
      <c r="B233" s="8" t="str">
        <f>IFERROR(INDEX(样本到样信息汇总统计!B$2:B$500,MATCH(232,样本到样信息汇总统计!$AC$2:$AC$500,0)),"")</f>
        <v/>
      </c>
      <c r="C233" s="8" t="str">
        <f>IFERROR(INDEX(样本到样信息汇总统计!C$2:C$500,MATCH(232,样本到样信息汇总统计!$AC$2:$AC$500,0)),"")</f>
        <v/>
      </c>
      <c r="D233" s="8" t="str">
        <f>IFERROR(INDEX(样本到样信息汇总统计!D$2:D$500,MATCH(232,样本到样信息汇总统计!$AC$2:$AC$500,0)),"")</f>
        <v/>
      </c>
      <c r="E233" s="8" t="str">
        <f>IFERROR(INDEX(样本到样信息汇总统计!E$2:E$500,MATCH(232,样本到样信息汇总统计!$AC$2:$AC$500,0)),"")</f>
        <v/>
      </c>
      <c r="F233" s="8" t="str">
        <f>IFERROR(INDEX(样本到样信息汇总统计!F$2:F$500,MATCH(232,样本到样信息汇总统计!$AC$2:$AC$500,0)),"")</f>
        <v/>
      </c>
      <c r="G233" s="8" t="str">
        <f>IFERROR(INDEX(样本到样信息汇总统计!G$2:G$500,MATCH(232,样本到样信息汇总统计!$AC$2:$AC$500,0)),"")</f>
        <v/>
      </c>
      <c r="H233" s="8" t="str">
        <f>IFERROR(INDEX(样本到样信息汇总统计!H$2:H$500,MATCH(232,样本到样信息汇总统计!$AC$2:$AC$500,0)),"")</f>
        <v/>
      </c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 ht="21.75" customHeight="1" spans="1:24">
      <c r="A234" s="4" t="str">
        <f>IFERROR(INDEX(样本到样信息汇总统计!A$2:A$500,MATCH(233,样本到样信息汇总统计!$AC$2:$AC$500,0)),"")</f>
        <v/>
      </c>
      <c r="B234" s="4" t="str">
        <f>IFERROR(INDEX(样本到样信息汇总统计!B$2:B$500,MATCH(233,样本到样信息汇总统计!$AC$2:$AC$500,0)),"")</f>
        <v/>
      </c>
      <c r="C234" s="4" t="str">
        <f>IFERROR(INDEX(样本到样信息汇总统计!C$2:C$500,MATCH(233,样本到样信息汇总统计!$AC$2:$AC$500,0)),"")</f>
        <v/>
      </c>
      <c r="D234" s="4" t="str">
        <f>IFERROR(INDEX(样本到样信息汇总统计!D$2:D$500,MATCH(233,样本到样信息汇总统计!$AC$2:$AC$500,0)),"")</f>
        <v/>
      </c>
      <c r="E234" s="4" t="str">
        <f>IFERROR(INDEX(样本到样信息汇总统计!E$2:E$500,MATCH(233,样本到样信息汇总统计!$AC$2:$AC$500,0)),"")</f>
        <v/>
      </c>
      <c r="F234" s="4" t="str">
        <f>IFERROR(INDEX(样本到样信息汇总统计!F$2:F$500,MATCH(233,样本到样信息汇总统计!$AC$2:$AC$500,0)),"")</f>
        <v/>
      </c>
      <c r="G234" s="4" t="str">
        <f>IFERROR(INDEX(样本到样信息汇总统计!G$2:G$500,MATCH(233,样本到样信息汇总统计!$AC$2:$AC$500,0)),"")</f>
        <v/>
      </c>
      <c r="H234" s="4" t="str">
        <f>IFERROR(INDEX(样本到样信息汇总统计!H$2:H$500,MATCH(233,样本到样信息汇总统计!$AC$2:$AC$500,0)),"")</f>
        <v/>
      </c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ht="21.75" customHeight="1" spans="1:24">
      <c r="A235" s="8" t="str">
        <f>IFERROR(INDEX(样本到样信息汇总统计!A$2:A$500,MATCH(234,样本到样信息汇总统计!$AC$2:$AC$500,0)),"")</f>
        <v/>
      </c>
      <c r="B235" s="8" t="str">
        <f>IFERROR(INDEX(样本到样信息汇总统计!B$2:B$500,MATCH(234,样本到样信息汇总统计!$AC$2:$AC$500,0)),"")</f>
        <v/>
      </c>
      <c r="C235" s="8" t="str">
        <f>IFERROR(INDEX(样本到样信息汇总统计!C$2:C$500,MATCH(234,样本到样信息汇总统计!$AC$2:$AC$500,0)),"")</f>
        <v/>
      </c>
      <c r="D235" s="8" t="str">
        <f>IFERROR(INDEX(样本到样信息汇总统计!D$2:D$500,MATCH(234,样本到样信息汇总统计!$AC$2:$AC$500,0)),"")</f>
        <v/>
      </c>
      <c r="E235" s="8" t="str">
        <f>IFERROR(INDEX(样本到样信息汇总统计!E$2:E$500,MATCH(234,样本到样信息汇总统计!$AC$2:$AC$500,0)),"")</f>
        <v/>
      </c>
      <c r="F235" s="8" t="str">
        <f>IFERROR(INDEX(样本到样信息汇总统计!F$2:F$500,MATCH(234,样本到样信息汇总统计!$AC$2:$AC$500,0)),"")</f>
        <v/>
      </c>
      <c r="G235" s="8" t="str">
        <f>IFERROR(INDEX(样本到样信息汇总统计!G$2:G$500,MATCH(234,样本到样信息汇总统计!$AC$2:$AC$500,0)),"")</f>
        <v/>
      </c>
      <c r="H235" s="8" t="str">
        <f>IFERROR(INDEX(样本到样信息汇总统计!H$2:H$500,MATCH(234,样本到样信息汇总统计!$AC$2:$AC$500,0)),"")</f>
        <v/>
      </c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 ht="21.75" customHeight="1" spans="1:24">
      <c r="A236" s="4" t="str">
        <f>IFERROR(INDEX(样本到样信息汇总统计!A$2:A$500,MATCH(235,样本到样信息汇总统计!$AC$2:$AC$500,0)),"")</f>
        <v/>
      </c>
      <c r="B236" s="4" t="str">
        <f>IFERROR(INDEX(样本到样信息汇总统计!B$2:B$500,MATCH(235,样本到样信息汇总统计!$AC$2:$AC$500,0)),"")</f>
        <v/>
      </c>
      <c r="C236" s="4" t="str">
        <f>IFERROR(INDEX(样本到样信息汇总统计!C$2:C$500,MATCH(235,样本到样信息汇总统计!$AC$2:$AC$500,0)),"")</f>
        <v/>
      </c>
      <c r="D236" s="4" t="str">
        <f>IFERROR(INDEX(样本到样信息汇总统计!D$2:D$500,MATCH(235,样本到样信息汇总统计!$AC$2:$AC$500,0)),"")</f>
        <v/>
      </c>
      <c r="E236" s="4" t="str">
        <f>IFERROR(INDEX(样本到样信息汇总统计!E$2:E$500,MATCH(235,样本到样信息汇总统计!$AC$2:$AC$500,0)),"")</f>
        <v/>
      </c>
      <c r="F236" s="4" t="str">
        <f>IFERROR(INDEX(样本到样信息汇总统计!F$2:F$500,MATCH(235,样本到样信息汇总统计!$AC$2:$AC$500,0)),"")</f>
        <v/>
      </c>
      <c r="G236" s="4" t="str">
        <f>IFERROR(INDEX(样本到样信息汇总统计!G$2:G$500,MATCH(235,样本到样信息汇总统计!$AC$2:$AC$500,0)),"")</f>
        <v/>
      </c>
      <c r="H236" s="4" t="str">
        <f>IFERROR(INDEX(样本到样信息汇总统计!H$2:H$500,MATCH(235,样本到样信息汇总统计!$AC$2:$AC$500,0)),"")</f>
        <v/>
      </c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ht="21.75" customHeight="1" spans="1:24">
      <c r="A237" s="8" t="str">
        <f>IFERROR(INDEX(样本到样信息汇总统计!A$2:A$500,MATCH(236,样本到样信息汇总统计!$AC$2:$AC$500,0)),"")</f>
        <v/>
      </c>
      <c r="B237" s="8" t="str">
        <f>IFERROR(INDEX(样本到样信息汇总统计!B$2:B$500,MATCH(236,样本到样信息汇总统计!$AC$2:$AC$500,0)),"")</f>
        <v/>
      </c>
      <c r="C237" s="8" t="str">
        <f>IFERROR(INDEX(样本到样信息汇总统计!C$2:C$500,MATCH(236,样本到样信息汇总统计!$AC$2:$AC$500,0)),"")</f>
        <v/>
      </c>
      <c r="D237" s="8" t="str">
        <f>IFERROR(INDEX(样本到样信息汇总统计!D$2:D$500,MATCH(236,样本到样信息汇总统计!$AC$2:$AC$500,0)),"")</f>
        <v/>
      </c>
      <c r="E237" s="8" t="str">
        <f>IFERROR(INDEX(样本到样信息汇总统计!E$2:E$500,MATCH(236,样本到样信息汇总统计!$AC$2:$AC$500,0)),"")</f>
        <v/>
      </c>
      <c r="F237" s="8" t="str">
        <f>IFERROR(INDEX(样本到样信息汇总统计!F$2:F$500,MATCH(236,样本到样信息汇总统计!$AC$2:$AC$500,0)),"")</f>
        <v/>
      </c>
      <c r="G237" s="8" t="str">
        <f>IFERROR(INDEX(样本到样信息汇总统计!G$2:G$500,MATCH(236,样本到样信息汇总统计!$AC$2:$AC$500,0)),"")</f>
        <v/>
      </c>
      <c r="H237" s="8" t="str">
        <f>IFERROR(INDEX(样本到样信息汇总统计!H$2:H$500,MATCH(236,样本到样信息汇总统计!$AC$2:$AC$500,0)),"")</f>
        <v/>
      </c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 ht="21.75" customHeight="1" spans="1:24">
      <c r="A238" s="4" t="str">
        <f>IFERROR(INDEX(样本到样信息汇总统计!A$2:A$500,MATCH(237,样本到样信息汇总统计!$AC$2:$AC$500,0)),"")</f>
        <v/>
      </c>
      <c r="B238" s="4" t="str">
        <f>IFERROR(INDEX(样本到样信息汇总统计!B$2:B$500,MATCH(237,样本到样信息汇总统计!$AC$2:$AC$500,0)),"")</f>
        <v/>
      </c>
      <c r="C238" s="4" t="str">
        <f>IFERROR(INDEX(样本到样信息汇总统计!C$2:C$500,MATCH(237,样本到样信息汇总统计!$AC$2:$AC$500,0)),"")</f>
        <v/>
      </c>
      <c r="D238" s="4" t="str">
        <f>IFERROR(INDEX(样本到样信息汇总统计!D$2:D$500,MATCH(237,样本到样信息汇总统计!$AC$2:$AC$500,0)),"")</f>
        <v/>
      </c>
      <c r="E238" s="4" t="str">
        <f>IFERROR(INDEX(样本到样信息汇总统计!E$2:E$500,MATCH(237,样本到样信息汇总统计!$AC$2:$AC$500,0)),"")</f>
        <v/>
      </c>
      <c r="F238" s="4" t="str">
        <f>IFERROR(INDEX(样本到样信息汇总统计!F$2:F$500,MATCH(237,样本到样信息汇总统计!$AC$2:$AC$500,0)),"")</f>
        <v/>
      </c>
      <c r="G238" s="4" t="str">
        <f>IFERROR(INDEX(样本到样信息汇总统计!G$2:G$500,MATCH(237,样本到样信息汇总统计!$AC$2:$AC$500,0)),"")</f>
        <v/>
      </c>
      <c r="H238" s="4" t="str">
        <f>IFERROR(INDEX(样本到样信息汇总统计!H$2:H$500,MATCH(237,样本到样信息汇总统计!$AC$2:$AC$500,0)),"")</f>
        <v/>
      </c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ht="21.75" customHeight="1" spans="1:24">
      <c r="A239" s="8" t="str">
        <f>IFERROR(INDEX(样本到样信息汇总统计!A$2:A$500,MATCH(238,样本到样信息汇总统计!$AC$2:$AC$500,0)),"")</f>
        <v/>
      </c>
      <c r="B239" s="8" t="str">
        <f>IFERROR(INDEX(样本到样信息汇总统计!B$2:B$500,MATCH(238,样本到样信息汇总统计!$AC$2:$AC$500,0)),"")</f>
        <v/>
      </c>
      <c r="C239" s="8" t="str">
        <f>IFERROR(INDEX(样本到样信息汇总统计!C$2:C$500,MATCH(238,样本到样信息汇总统计!$AC$2:$AC$500,0)),"")</f>
        <v/>
      </c>
      <c r="D239" s="8" t="str">
        <f>IFERROR(INDEX(样本到样信息汇总统计!D$2:D$500,MATCH(238,样本到样信息汇总统计!$AC$2:$AC$500,0)),"")</f>
        <v/>
      </c>
      <c r="E239" s="8" t="str">
        <f>IFERROR(INDEX(样本到样信息汇总统计!E$2:E$500,MATCH(238,样本到样信息汇总统计!$AC$2:$AC$500,0)),"")</f>
        <v/>
      </c>
      <c r="F239" s="8" t="str">
        <f>IFERROR(INDEX(样本到样信息汇总统计!F$2:F$500,MATCH(238,样本到样信息汇总统计!$AC$2:$AC$500,0)),"")</f>
        <v/>
      </c>
      <c r="G239" s="8" t="str">
        <f>IFERROR(INDEX(样本到样信息汇总统计!G$2:G$500,MATCH(238,样本到样信息汇总统计!$AC$2:$AC$500,0)),"")</f>
        <v/>
      </c>
      <c r="H239" s="8" t="str">
        <f>IFERROR(INDEX(样本到样信息汇总统计!H$2:H$500,MATCH(238,样本到样信息汇总统计!$AC$2:$AC$500,0)),"")</f>
        <v/>
      </c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 ht="21.75" customHeight="1" spans="1:24">
      <c r="A240" s="4" t="str">
        <f>IFERROR(INDEX(样本到样信息汇总统计!A$2:A$500,MATCH(239,样本到样信息汇总统计!$AC$2:$AC$500,0)),"")</f>
        <v/>
      </c>
      <c r="B240" s="4" t="str">
        <f>IFERROR(INDEX(样本到样信息汇总统计!B$2:B$500,MATCH(239,样本到样信息汇总统计!$AC$2:$AC$500,0)),"")</f>
        <v/>
      </c>
      <c r="C240" s="4" t="str">
        <f>IFERROR(INDEX(样本到样信息汇总统计!C$2:C$500,MATCH(239,样本到样信息汇总统计!$AC$2:$AC$500,0)),"")</f>
        <v/>
      </c>
      <c r="D240" s="4" t="str">
        <f>IFERROR(INDEX(样本到样信息汇总统计!D$2:D$500,MATCH(239,样本到样信息汇总统计!$AC$2:$AC$500,0)),"")</f>
        <v/>
      </c>
      <c r="E240" s="4" t="str">
        <f>IFERROR(INDEX(样本到样信息汇总统计!E$2:E$500,MATCH(239,样本到样信息汇总统计!$AC$2:$AC$500,0)),"")</f>
        <v/>
      </c>
      <c r="F240" s="4" t="str">
        <f>IFERROR(INDEX(样本到样信息汇总统计!F$2:F$500,MATCH(239,样本到样信息汇总统计!$AC$2:$AC$500,0)),"")</f>
        <v/>
      </c>
      <c r="G240" s="4" t="str">
        <f>IFERROR(INDEX(样本到样信息汇总统计!G$2:G$500,MATCH(239,样本到样信息汇总统计!$AC$2:$AC$500,0)),"")</f>
        <v/>
      </c>
      <c r="H240" s="4" t="str">
        <f>IFERROR(INDEX(样本到样信息汇总统计!H$2:H$500,MATCH(239,样本到样信息汇总统计!$AC$2:$AC$500,0)),"")</f>
        <v/>
      </c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ht="21.75" customHeight="1" spans="1:24">
      <c r="A241" s="8" t="str">
        <f>IFERROR(INDEX(样本到样信息汇总统计!A$2:A$500,MATCH(240,样本到样信息汇总统计!$AC$2:$AC$500,0)),"")</f>
        <v/>
      </c>
      <c r="B241" s="8" t="str">
        <f>IFERROR(INDEX(样本到样信息汇总统计!B$2:B$500,MATCH(240,样本到样信息汇总统计!$AC$2:$AC$500,0)),"")</f>
        <v/>
      </c>
      <c r="C241" s="8" t="str">
        <f>IFERROR(INDEX(样本到样信息汇总统计!C$2:C$500,MATCH(240,样本到样信息汇总统计!$AC$2:$AC$500,0)),"")</f>
        <v/>
      </c>
      <c r="D241" s="8" t="str">
        <f>IFERROR(INDEX(样本到样信息汇总统计!D$2:D$500,MATCH(240,样本到样信息汇总统计!$AC$2:$AC$500,0)),"")</f>
        <v/>
      </c>
      <c r="E241" s="8" t="str">
        <f>IFERROR(INDEX(样本到样信息汇总统计!E$2:E$500,MATCH(240,样本到样信息汇总统计!$AC$2:$AC$500,0)),"")</f>
        <v/>
      </c>
      <c r="F241" s="8" t="str">
        <f>IFERROR(INDEX(样本到样信息汇总统计!F$2:F$500,MATCH(240,样本到样信息汇总统计!$AC$2:$AC$500,0)),"")</f>
        <v/>
      </c>
      <c r="G241" s="8" t="str">
        <f>IFERROR(INDEX(样本到样信息汇总统计!G$2:G$500,MATCH(240,样本到样信息汇总统计!$AC$2:$AC$500,0)),"")</f>
        <v/>
      </c>
      <c r="H241" s="8" t="str">
        <f>IFERROR(INDEX(样本到样信息汇总统计!H$2:H$500,MATCH(240,样本到样信息汇总统计!$AC$2:$AC$500,0)),"")</f>
        <v/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 ht="21.75" customHeight="1" spans="1:24">
      <c r="A242" s="4" t="str">
        <f>IFERROR(INDEX(样本到样信息汇总统计!A$2:A$500,MATCH(241,样本到样信息汇总统计!$AC$2:$AC$500,0)),"")</f>
        <v/>
      </c>
      <c r="B242" s="4" t="str">
        <f>IFERROR(INDEX(样本到样信息汇总统计!B$2:B$500,MATCH(241,样本到样信息汇总统计!$AC$2:$AC$500,0)),"")</f>
        <v/>
      </c>
      <c r="C242" s="4" t="str">
        <f>IFERROR(INDEX(样本到样信息汇总统计!C$2:C$500,MATCH(241,样本到样信息汇总统计!$AC$2:$AC$500,0)),"")</f>
        <v/>
      </c>
      <c r="D242" s="4" t="str">
        <f>IFERROR(INDEX(样本到样信息汇总统计!D$2:D$500,MATCH(241,样本到样信息汇总统计!$AC$2:$AC$500,0)),"")</f>
        <v/>
      </c>
      <c r="E242" s="4" t="str">
        <f>IFERROR(INDEX(样本到样信息汇总统计!E$2:E$500,MATCH(241,样本到样信息汇总统计!$AC$2:$AC$500,0)),"")</f>
        <v/>
      </c>
      <c r="F242" s="4" t="str">
        <f>IFERROR(INDEX(样本到样信息汇总统计!F$2:F$500,MATCH(241,样本到样信息汇总统计!$AC$2:$AC$500,0)),"")</f>
        <v/>
      </c>
      <c r="G242" s="4" t="str">
        <f>IFERROR(INDEX(样本到样信息汇总统计!G$2:G$500,MATCH(241,样本到样信息汇总统计!$AC$2:$AC$500,0)),"")</f>
        <v/>
      </c>
      <c r="H242" s="4" t="str">
        <f>IFERROR(INDEX(样本到样信息汇总统计!H$2:H$500,MATCH(241,样本到样信息汇总统计!$AC$2:$AC$500,0)),"")</f>
        <v/>
      </c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ht="21.75" customHeight="1" spans="1:24">
      <c r="A243" s="8" t="str">
        <f>IFERROR(INDEX(样本到样信息汇总统计!A$2:A$500,MATCH(242,样本到样信息汇总统计!$AC$2:$AC$500,0)),"")</f>
        <v/>
      </c>
      <c r="B243" s="8" t="str">
        <f>IFERROR(INDEX(样本到样信息汇总统计!B$2:B$500,MATCH(242,样本到样信息汇总统计!$AC$2:$AC$500,0)),"")</f>
        <v/>
      </c>
      <c r="C243" s="8" t="str">
        <f>IFERROR(INDEX(样本到样信息汇总统计!C$2:C$500,MATCH(242,样本到样信息汇总统计!$AC$2:$AC$500,0)),"")</f>
        <v/>
      </c>
      <c r="D243" s="8" t="str">
        <f>IFERROR(INDEX(样本到样信息汇总统计!D$2:D$500,MATCH(242,样本到样信息汇总统计!$AC$2:$AC$500,0)),"")</f>
        <v/>
      </c>
      <c r="E243" s="8" t="str">
        <f>IFERROR(INDEX(样本到样信息汇总统计!E$2:E$500,MATCH(242,样本到样信息汇总统计!$AC$2:$AC$500,0)),"")</f>
        <v/>
      </c>
      <c r="F243" s="8" t="str">
        <f>IFERROR(INDEX(样本到样信息汇总统计!F$2:F$500,MATCH(242,样本到样信息汇总统计!$AC$2:$AC$500,0)),"")</f>
        <v/>
      </c>
      <c r="G243" s="8" t="str">
        <f>IFERROR(INDEX(样本到样信息汇总统计!G$2:G$500,MATCH(242,样本到样信息汇总统计!$AC$2:$AC$500,0)),"")</f>
        <v/>
      </c>
      <c r="H243" s="8" t="str">
        <f>IFERROR(INDEX(样本到样信息汇总统计!H$2:H$500,MATCH(242,样本到样信息汇总统计!$AC$2:$AC$500,0)),"")</f>
        <v/>
      </c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 ht="21.75" customHeight="1" spans="1:24">
      <c r="A244" s="4" t="str">
        <f>IFERROR(INDEX(样本到样信息汇总统计!A$2:A$500,MATCH(243,样本到样信息汇总统计!$AC$2:$AC$500,0)),"")</f>
        <v/>
      </c>
      <c r="B244" s="4" t="str">
        <f>IFERROR(INDEX(样本到样信息汇总统计!B$2:B$500,MATCH(243,样本到样信息汇总统计!$AC$2:$AC$500,0)),"")</f>
        <v/>
      </c>
      <c r="C244" s="4" t="str">
        <f>IFERROR(INDEX(样本到样信息汇总统计!C$2:C$500,MATCH(243,样本到样信息汇总统计!$AC$2:$AC$500,0)),"")</f>
        <v/>
      </c>
      <c r="D244" s="4" t="str">
        <f>IFERROR(INDEX(样本到样信息汇总统计!D$2:D$500,MATCH(243,样本到样信息汇总统计!$AC$2:$AC$500,0)),"")</f>
        <v/>
      </c>
      <c r="E244" s="4" t="str">
        <f>IFERROR(INDEX(样本到样信息汇总统计!E$2:E$500,MATCH(243,样本到样信息汇总统计!$AC$2:$AC$500,0)),"")</f>
        <v/>
      </c>
      <c r="F244" s="4" t="str">
        <f>IFERROR(INDEX(样本到样信息汇总统计!F$2:F$500,MATCH(243,样本到样信息汇总统计!$AC$2:$AC$500,0)),"")</f>
        <v/>
      </c>
      <c r="G244" s="4" t="str">
        <f>IFERROR(INDEX(样本到样信息汇总统计!G$2:G$500,MATCH(243,样本到样信息汇总统计!$AC$2:$AC$500,0)),"")</f>
        <v/>
      </c>
      <c r="H244" s="4" t="str">
        <f>IFERROR(INDEX(样本到样信息汇总统计!H$2:H$500,MATCH(243,样本到样信息汇总统计!$AC$2:$AC$500,0)),"")</f>
        <v/>
      </c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ht="21.75" customHeight="1" spans="1:24">
      <c r="A245" s="8" t="str">
        <f>IFERROR(INDEX(样本到样信息汇总统计!A$2:A$500,MATCH(244,样本到样信息汇总统计!$AC$2:$AC$500,0)),"")</f>
        <v/>
      </c>
      <c r="B245" s="8" t="str">
        <f>IFERROR(INDEX(样本到样信息汇总统计!B$2:B$500,MATCH(244,样本到样信息汇总统计!$AC$2:$AC$500,0)),"")</f>
        <v/>
      </c>
      <c r="C245" s="8" t="str">
        <f>IFERROR(INDEX(样本到样信息汇总统计!C$2:C$500,MATCH(244,样本到样信息汇总统计!$AC$2:$AC$500,0)),"")</f>
        <v/>
      </c>
      <c r="D245" s="8" t="str">
        <f>IFERROR(INDEX(样本到样信息汇总统计!D$2:D$500,MATCH(244,样本到样信息汇总统计!$AC$2:$AC$500,0)),"")</f>
        <v/>
      </c>
      <c r="E245" s="8" t="str">
        <f>IFERROR(INDEX(样本到样信息汇总统计!E$2:E$500,MATCH(244,样本到样信息汇总统计!$AC$2:$AC$500,0)),"")</f>
        <v/>
      </c>
      <c r="F245" s="8" t="str">
        <f>IFERROR(INDEX(样本到样信息汇总统计!F$2:F$500,MATCH(244,样本到样信息汇总统计!$AC$2:$AC$500,0)),"")</f>
        <v/>
      </c>
      <c r="G245" s="8" t="str">
        <f>IFERROR(INDEX(样本到样信息汇总统计!G$2:G$500,MATCH(244,样本到样信息汇总统计!$AC$2:$AC$500,0)),"")</f>
        <v/>
      </c>
      <c r="H245" s="8" t="str">
        <f>IFERROR(INDEX(样本到样信息汇总统计!H$2:H$500,MATCH(244,样本到样信息汇总统计!$AC$2:$AC$500,0)),"")</f>
        <v/>
      </c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 ht="21.75" customHeight="1" spans="1:24">
      <c r="A246" s="4" t="str">
        <f>IFERROR(INDEX(样本到样信息汇总统计!A$2:A$500,MATCH(245,样本到样信息汇总统计!$AC$2:$AC$500,0)),"")</f>
        <v/>
      </c>
      <c r="B246" s="4" t="str">
        <f>IFERROR(INDEX(样本到样信息汇总统计!B$2:B$500,MATCH(245,样本到样信息汇总统计!$AC$2:$AC$500,0)),"")</f>
        <v/>
      </c>
      <c r="C246" s="4" t="str">
        <f>IFERROR(INDEX(样本到样信息汇总统计!C$2:C$500,MATCH(245,样本到样信息汇总统计!$AC$2:$AC$500,0)),"")</f>
        <v/>
      </c>
      <c r="D246" s="4" t="str">
        <f>IFERROR(INDEX(样本到样信息汇总统计!D$2:D$500,MATCH(245,样本到样信息汇总统计!$AC$2:$AC$500,0)),"")</f>
        <v/>
      </c>
      <c r="E246" s="4" t="str">
        <f>IFERROR(INDEX(样本到样信息汇总统计!E$2:E$500,MATCH(245,样本到样信息汇总统计!$AC$2:$AC$500,0)),"")</f>
        <v/>
      </c>
      <c r="F246" s="4" t="str">
        <f>IFERROR(INDEX(样本到样信息汇总统计!F$2:F$500,MATCH(245,样本到样信息汇总统计!$AC$2:$AC$500,0)),"")</f>
        <v/>
      </c>
      <c r="G246" s="4" t="str">
        <f>IFERROR(INDEX(样本到样信息汇总统计!G$2:G$500,MATCH(245,样本到样信息汇总统计!$AC$2:$AC$500,0)),"")</f>
        <v/>
      </c>
      <c r="H246" s="4" t="str">
        <f>IFERROR(INDEX(样本到样信息汇总统计!H$2:H$500,MATCH(245,样本到样信息汇总统计!$AC$2:$AC$500,0)),"")</f>
        <v/>
      </c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ht="21.75" customHeight="1" spans="1:24">
      <c r="A247" s="8" t="str">
        <f>IFERROR(INDEX(样本到样信息汇总统计!A$2:A$500,MATCH(246,样本到样信息汇总统计!$AC$2:$AC$500,0)),"")</f>
        <v/>
      </c>
      <c r="B247" s="8" t="str">
        <f>IFERROR(INDEX(样本到样信息汇总统计!B$2:B$500,MATCH(246,样本到样信息汇总统计!$AC$2:$AC$500,0)),"")</f>
        <v/>
      </c>
      <c r="C247" s="8" t="str">
        <f>IFERROR(INDEX(样本到样信息汇总统计!C$2:C$500,MATCH(246,样本到样信息汇总统计!$AC$2:$AC$500,0)),"")</f>
        <v/>
      </c>
      <c r="D247" s="8" t="str">
        <f>IFERROR(INDEX(样本到样信息汇总统计!D$2:D$500,MATCH(246,样本到样信息汇总统计!$AC$2:$AC$500,0)),"")</f>
        <v/>
      </c>
      <c r="E247" s="8" t="str">
        <f>IFERROR(INDEX(样本到样信息汇总统计!E$2:E$500,MATCH(246,样本到样信息汇总统计!$AC$2:$AC$500,0)),"")</f>
        <v/>
      </c>
      <c r="F247" s="8" t="str">
        <f>IFERROR(INDEX(样本到样信息汇总统计!F$2:F$500,MATCH(246,样本到样信息汇总统计!$AC$2:$AC$500,0)),"")</f>
        <v/>
      </c>
      <c r="G247" s="8" t="str">
        <f>IFERROR(INDEX(样本到样信息汇总统计!G$2:G$500,MATCH(246,样本到样信息汇总统计!$AC$2:$AC$500,0)),"")</f>
        <v/>
      </c>
      <c r="H247" s="8" t="str">
        <f>IFERROR(INDEX(样本到样信息汇总统计!H$2:H$500,MATCH(246,样本到样信息汇总统计!$AC$2:$AC$500,0)),"")</f>
        <v/>
      </c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 ht="21.75" customHeight="1" spans="1:24">
      <c r="A248" s="4" t="str">
        <f>IFERROR(INDEX(样本到样信息汇总统计!A$2:A$500,MATCH(247,样本到样信息汇总统计!$AC$2:$AC$500,0)),"")</f>
        <v/>
      </c>
      <c r="B248" s="4" t="str">
        <f>IFERROR(INDEX(样本到样信息汇总统计!B$2:B$500,MATCH(247,样本到样信息汇总统计!$AC$2:$AC$500,0)),"")</f>
        <v/>
      </c>
      <c r="C248" s="4" t="str">
        <f>IFERROR(INDEX(样本到样信息汇总统计!C$2:C$500,MATCH(247,样本到样信息汇总统计!$AC$2:$AC$500,0)),"")</f>
        <v/>
      </c>
      <c r="D248" s="4" t="str">
        <f>IFERROR(INDEX(样本到样信息汇总统计!D$2:D$500,MATCH(247,样本到样信息汇总统计!$AC$2:$AC$500,0)),"")</f>
        <v/>
      </c>
      <c r="E248" s="4" t="str">
        <f>IFERROR(INDEX(样本到样信息汇总统计!E$2:E$500,MATCH(247,样本到样信息汇总统计!$AC$2:$AC$500,0)),"")</f>
        <v/>
      </c>
      <c r="F248" s="4" t="str">
        <f>IFERROR(INDEX(样本到样信息汇总统计!F$2:F$500,MATCH(247,样本到样信息汇总统计!$AC$2:$AC$500,0)),"")</f>
        <v/>
      </c>
      <c r="G248" s="4" t="str">
        <f>IFERROR(INDEX(样本到样信息汇总统计!G$2:G$500,MATCH(247,样本到样信息汇总统计!$AC$2:$AC$500,0)),"")</f>
        <v/>
      </c>
      <c r="H248" s="4" t="str">
        <f>IFERROR(INDEX(样本到样信息汇总统计!H$2:H$500,MATCH(247,样本到样信息汇总统计!$AC$2:$AC$500,0)),"")</f>
        <v/>
      </c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ht="21.75" customHeight="1" spans="1:24">
      <c r="A249" s="8" t="str">
        <f>IFERROR(INDEX(样本到样信息汇总统计!A$2:A$500,MATCH(248,样本到样信息汇总统计!$AC$2:$AC$500,0)),"")</f>
        <v/>
      </c>
      <c r="B249" s="8" t="str">
        <f>IFERROR(INDEX(样本到样信息汇总统计!B$2:B$500,MATCH(248,样本到样信息汇总统计!$AC$2:$AC$500,0)),"")</f>
        <v/>
      </c>
      <c r="C249" s="8" t="str">
        <f>IFERROR(INDEX(样本到样信息汇总统计!C$2:C$500,MATCH(248,样本到样信息汇总统计!$AC$2:$AC$500,0)),"")</f>
        <v/>
      </c>
      <c r="D249" s="8" t="str">
        <f>IFERROR(INDEX(样本到样信息汇总统计!D$2:D$500,MATCH(248,样本到样信息汇总统计!$AC$2:$AC$500,0)),"")</f>
        <v/>
      </c>
      <c r="E249" s="8" t="str">
        <f>IFERROR(INDEX(样本到样信息汇总统计!E$2:E$500,MATCH(248,样本到样信息汇总统计!$AC$2:$AC$500,0)),"")</f>
        <v/>
      </c>
      <c r="F249" s="8" t="str">
        <f>IFERROR(INDEX(样本到样信息汇总统计!F$2:F$500,MATCH(248,样本到样信息汇总统计!$AC$2:$AC$500,0)),"")</f>
        <v/>
      </c>
      <c r="G249" s="8" t="str">
        <f>IFERROR(INDEX(样本到样信息汇总统计!G$2:G$500,MATCH(248,样本到样信息汇总统计!$AC$2:$AC$500,0)),"")</f>
        <v/>
      </c>
      <c r="H249" s="8" t="str">
        <f>IFERROR(INDEX(样本到样信息汇总统计!H$2:H$500,MATCH(248,样本到样信息汇总统计!$AC$2:$AC$500,0)),"")</f>
        <v/>
      </c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 ht="21.75" customHeight="1" spans="1:24">
      <c r="A250" s="4" t="str">
        <f>IFERROR(INDEX(样本到样信息汇总统计!A$2:A$500,MATCH(249,样本到样信息汇总统计!$AC$2:$AC$500,0)),"")</f>
        <v/>
      </c>
      <c r="B250" s="4" t="str">
        <f>IFERROR(INDEX(样本到样信息汇总统计!B$2:B$500,MATCH(249,样本到样信息汇总统计!$AC$2:$AC$500,0)),"")</f>
        <v/>
      </c>
      <c r="C250" s="4" t="str">
        <f>IFERROR(INDEX(样本到样信息汇总统计!C$2:C$500,MATCH(249,样本到样信息汇总统计!$AC$2:$AC$500,0)),"")</f>
        <v/>
      </c>
      <c r="D250" s="4" t="str">
        <f>IFERROR(INDEX(样本到样信息汇总统计!D$2:D$500,MATCH(249,样本到样信息汇总统计!$AC$2:$AC$500,0)),"")</f>
        <v/>
      </c>
      <c r="E250" s="4" t="str">
        <f>IFERROR(INDEX(样本到样信息汇总统计!E$2:E$500,MATCH(249,样本到样信息汇总统计!$AC$2:$AC$500,0)),"")</f>
        <v/>
      </c>
      <c r="F250" s="4" t="str">
        <f>IFERROR(INDEX(样本到样信息汇总统计!F$2:F$500,MATCH(249,样本到样信息汇总统计!$AC$2:$AC$500,0)),"")</f>
        <v/>
      </c>
      <c r="G250" s="4" t="str">
        <f>IFERROR(INDEX(样本到样信息汇总统计!G$2:G$500,MATCH(249,样本到样信息汇总统计!$AC$2:$AC$500,0)),"")</f>
        <v/>
      </c>
      <c r="H250" s="4" t="str">
        <f>IFERROR(INDEX(样本到样信息汇总统计!H$2:H$500,MATCH(249,样本到样信息汇总统计!$AC$2:$AC$500,0)),"")</f>
        <v/>
      </c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ht="21.75" customHeight="1" spans="1:24">
      <c r="A251" s="8" t="str">
        <f>IFERROR(INDEX(样本到样信息汇总统计!A$2:A$500,MATCH(250,样本到样信息汇总统计!$AC$2:$AC$500,0)),"")</f>
        <v/>
      </c>
      <c r="B251" s="8" t="str">
        <f>IFERROR(INDEX(样本到样信息汇总统计!B$2:B$500,MATCH(250,样本到样信息汇总统计!$AC$2:$AC$500,0)),"")</f>
        <v/>
      </c>
      <c r="C251" s="8" t="str">
        <f>IFERROR(INDEX(样本到样信息汇总统计!C$2:C$500,MATCH(250,样本到样信息汇总统计!$AC$2:$AC$500,0)),"")</f>
        <v/>
      </c>
      <c r="D251" s="8" t="str">
        <f>IFERROR(INDEX(样本到样信息汇总统计!D$2:D$500,MATCH(250,样本到样信息汇总统计!$AC$2:$AC$500,0)),"")</f>
        <v/>
      </c>
      <c r="E251" s="8" t="str">
        <f>IFERROR(INDEX(样本到样信息汇总统计!E$2:E$500,MATCH(250,样本到样信息汇总统计!$AC$2:$AC$500,0)),"")</f>
        <v/>
      </c>
      <c r="F251" s="8" t="str">
        <f>IFERROR(INDEX(样本到样信息汇总统计!F$2:F$500,MATCH(250,样本到样信息汇总统计!$AC$2:$AC$500,0)),"")</f>
        <v/>
      </c>
      <c r="G251" s="8" t="str">
        <f>IFERROR(INDEX(样本到样信息汇总统计!G$2:G$500,MATCH(250,样本到样信息汇总统计!$AC$2:$AC$500,0)),"")</f>
        <v/>
      </c>
      <c r="H251" s="8" t="str">
        <f>IFERROR(INDEX(样本到样信息汇总统计!H$2:H$500,MATCH(250,样本到样信息汇总统计!$AC$2:$AC$500,0)),"")</f>
        <v/>
      </c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 ht="21.75" customHeight="1" spans="1:24">
      <c r="A252" s="4" t="str">
        <f>IFERROR(INDEX(样本到样信息汇总统计!A$2:A$500,MATCH(251,样本到样信息汇总统计!$AC$2:$AC$500,0)),"")</f>
        <v/>
      </c>
      <c r="B252" s="4" t="str">
        <f>IFERROR(INDEX(样本到样信息汇总统计!B$2:B$500,MATCH(251,样本到样信息汇总统计!$AC$2:$AC$500,0)),"")</f>
        <v/>
      </c>
      <c r="C252" s="4" t="str">
        <f>IFERROR(INDEX(样本到样信息汇总统计!C$2:C$500,MATCH(251,样本到样信息汇总统计!$AC$2:$AC$500,0)),"")</f>
        <v/>
      </c>
      <c r="D252" s="4" t="str">
        <f>IFERROR(INDEX(样本到样信息汇总统计!D$2:D$500,MATCH(251,样本到样信息汇总统计!$AC$2:$AC$500,0)),"")</f>
        <v/>
      </c>
      <c r="E252" s="4" t="str">
        <f>IFERROR(INDEX(样本到样信息汇总统计!E$2:E$500,MATCH(251,样本到样信息汇总统计!$AC$2:$AC$500,0)),"")</f>
        <v/>
      </c>
      <c r="F252" s="4" t="str">
        <f>IFERROR(INDEX(样本到样信息汇总统计!F$2:F$500,MATCH(251,样本到样信息汇总统计!$AC$2:$AC$500,0)),"")</f>
        <v/>
      </c>
      <c r="G252" s="4" t="str">
        <f>IFERROR(INDEX(样本到样信息汇总统计!G$2:G$500,MATCH(251,样本到样信息汇总统计!$AC$2:$AC$500,0)),"")</f>
        <v/>
      </c>
      <c r="H252" s="4" t="str">
        <f>IFERROR(INDEX(样本到样信息汇总统计!H$2:H$500,MATCH(251,样本到样信息汇总统计!$AC$2:$AC$500,0)),"")</f>
        <v/>
      </c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ht="21.75" customHeight="1" spans="1:24">
      <c r="A253" s="8" t="str">
        <f>IFERROR(INDEX(样本到样信息汇总统计!A$2:A$500,MATCH(252,样本到样信息汇总统计!$AC$2:$AC$500,0)),"")</f>
        <v/>
      </c>
      <c r="B253" s="8" t="str">
        <f>IFERROR(INDEX(样本到样信息汇总统计!B$2:B$500,MATCH(252,样本到样信息汇总统计!$AC$2:$AC$500,0)),"")</f>
        <v/>
      </c>
      <c r="C253" s="8" t="str">
        <f>IFERROR(INDEX(样本到样信息汇总统计!C$2:C$500,MATCH(252,样本到样信息汇总统计!$AC$2:$AC$500,0)),"")</f>
        <v/>
      </c>
      <c r="D253" s="8" t="str">
        <f>IFERROR(INDEX(样本到样信息汇总统计!D$2:D$500,MATCH(252,样本到样信息汇总统计!$AC$2:$AC$500,0)),"")</f>
        <v/>
      </c>
      <c r="E253" s="8" t="str">
        <f>IFERROR(INDEX(样本到样信息汇总统计!E$2:E$500,MATCH(252,样本到样信息汇总统计!$AC$2:$AC$500,0)),"")</f>
        <v/>
      </c>
      <c r="F253" s="8" t="str">
        <f>IFERROR(INDEX(样本到样信息汇总统计!F$2:F$500,MATCH(252,样本到样信息汇总统计!$AC$2:$AC$500,0)),"")</f>
        <v/>
      </c>
      <c r="G253" s="8" t="str">
        <f>IFERROR(INDEX(样本到样信息汇总统计!G$2:G$500,MATCH(252,样本到样信息汇总统计!$AC$2:$AC$500,0)),"")</f>
        <v/>
      </c>
      <c r="H253" s="8" t="str">
        <f>IFERROR(INDEX(样本到样信息汇总统计!H$2:H$500,MATCH(252,样本到样信息汇总统计!$AC$2:$AC$500,0)),"")</f>
        <v/>
      </c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 ht="21.75" customHeight="1" spans="1:24">
      <c r="A254" s="4" t="str">
        <f>IFERROR(INDEX(样本到样信息汇总统计!A$2:A$500,MATCH(253,样本到样信息汇总统计!$AC$2:$AC$500,0)),"")</f>
        <v/>
      </c>
      <c r="B254" s="4" t="str">
        <f>IFERROR(INDEX(样本到样信息汇总统计!B$2:B$500,MATCH(253,样本到样信息汇总统计!$AC$2:$AC$500,0)),"")</f>
        <v/>
      </c>
      <c r="C254" s="4" t="str">
        <f>IFERROR(INDEX(样本到样信息汇总统计!C$2:C$500,MATCH(253,样本到样信息汇总统计!$AC$2:$AC$500,0)),"")</f>
        <v/>
      </c>
      <c r="D254" s="4" t="str">
        <f>IFERROR(INDEX(样本到样信息汇总统计!D$2:D$500,MATCH(253,样本到样信息汇总统计!$AC$2:$AC$500,0)),"")</f>
        <v/>
      </c>
      <c r="E254" s="4" t="str">
        <f>IFERROR(INDEX(样本到样信息汇总统计!E$2:E$500,MATCH(253,样本到样信息汇总统计!$AC$2:$AC$500,0)),"")</f>
        <v/>
      </c>
      <c r="F254" s="4" t="str">
        <f>IFERROR(INDEX(样本到样信息汇总统计!F$2:F$500,MATCH(253,样本到样信息汇总统计!$AC$2:$AC$500,0)),"")</f>
        <v/>
      </c>
      <c r="G254" s="4" t="str">
        <f>IFERROR(INDEX(样本到样信息汇总统计!G$2:G$500,MATCH(253,样本到样信息汇总统计!$AC$2:$AC$500,0)),"")</f>
        <v/>
      </c>
      <c r="H254" s="4" t="str">
        <f>IFERROR(INDEX(样本到样信息汇总统计!H$2:H$500,MATCH(253,样本到样信息汇总统计!$AC$2:$AC$500,0)),"")</f>
        <v/>
      </c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ht="21.75" customHeight="1" spans="1:24">
      <c r="A255" s="8" t="str">
        <f>IFERROR(INDEX(样本到样信息汇总统计!A$2:A$500,MATCH(254,样本到样信息汇总统计!$AC$2:$AC$500,0)),"")</f>
        <v/>
      </c>
      <c r="B255" s="8" t="str">
        <f>IFERROR(INDEX(样本到样信息汇总统计!B$2:B$500,MATCH(254,样本到样信息汇总统计!$AC$2:$AC$500,0)),"")</f>
        <v/>
      </c>
      <c r="C255" s="8" t="str">
        <f>IFERROR(INDEX(样本到样信息汇总统计!C$2:C$500,MATCH(254,样本到样信息汇总统计!$AC$2:$AC$500,0)),"")</f>
        <v/>
      </c>
      <c r="D255" s="8" t="str">
        <f>IFERROR(INDEX(样本到样信息汇总统计!D$2:D$500,MATCH(254,样本到样信息汇总统计!$AC$2:$AC$500,0)),"")</f>
        <v/>
      </c>
      <c r="E255" s="8" t="str">
        <f>IFERROR(INDEX(样本到样信息汇总统计!E$2:E$500,MATCH(254,样本到样信息汇总统计!$AC$2:$AC$500,0)),"")</f>
        <v/>
      </c>
      <c r="F255" s="8" t="str">
        <f>IFERROR(INDEX(样本到样信息汇总统计!F$2:F$500,MATCH(254,样本到样信息汇总统计!$AC$2:$AC$500,0)),"")</f>
        <v/>
      </c>
      <c r="G255" s="8" t="str">
        <f>IFERROR(INDEX(样本到样信息汇总统计!G$2:G$500,MATCH(254,样本到样信息汇总统计!$AC$2:$AC$500,0)),"")</f>
        <v/>
      </c>
      <c r="H255" s="8" t="str">
        <f>IFERROR(INDEX(样本到样信息汇总统计!H$2:H$500,MATCH(254,样本到样信息汇总统计!$AC$2:$AC$500,0)),"")</f>
        <v/>
      </c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 ht="21.75" customHeight="1" spans="1:24">
      <c r="A256" s="4" t="str">
        <f>IFERROR(INDEX(样本到样信息汇总统计!A$2:A$500,MATCH(255,样本到样信息汇总统计!$AC$2:$AC$500,0)),"")</f>
        <v/>
      </c>
      <c r="B256" s="4" t="str">
        <f>IFERROR(INDEX(样本到样信息汇总统计!B$2:B$500,MATCH(255,样本到样信息汇总统计!$AC$2:$AC$500,0)),"")</f>
        <v/>
      </c>
      <c r="C256" s="4" t="str">
        <f>IFERROR(INDEX(样本到样信息汇总统计!C$2:C$500,MATCH(255,样本到样信息汇总统计!$AC$2:$AC$500,0)),"")</f>
        <v/>
      </c>
      <c r="D256" s="4" t="str">
        <f>IFERROR(INDEX(样本到样信息汇总统计!D$2:D$500,MATCH(255,样本到样信息汇总统计!$AC$2:$AC$500,0)),"")</f>
        <v/>
      </c>
      <c r="E256" s="4" t="str">
        <f>IFERROR(INDEX(样本到样信息汇总统计!E$2:E$500,MATCH(255,样本到样信息汇总统计!$AC$2:$AC$500,0)),"")</f>
        <v/>
      </c>
      <c r="F256" s="4" t="str">
        <f>IFERROR(INDEX(样本到样信息汇总统计!F$2:F$500,MATCH(255,样本到样信息汇总统计!$AC$2:$AC$500,0)),"")</f>
        <v/>
      </c>
      <c r="G256" s="4" t="str">
        <f>IFERROR(INDEX(样本到样信息汇总统计!G$2:G$500,MATCH(255,样本到样信息汇总统计!$AC$2:$AC$500,0)),"")</f>
        <v/>
      </c>
      <c r="H256" s="4" t="str">
        <f>IFERROR(INDEX(样本到样信息汇总统计!H$2:H$500,MATCH(255,样本到样信息汇总统计!$AC$2:$AC$500,0)),"")</f>
        <v/>
      </c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ht="21.75" customHeight="1" spans="1:24">
      <c r="A257" s="8" t="str">
        <f>IFERROR(INDEX(样本到样信息汇总统计!A$2:A$500,MATCH(256,样本到样信息汇总统计!$AC$2:$AC$500,0)),"")</f>
        <v/>
      </c>
      <c r="B257" s="8" t="str">
        <f>IFERROR(INDEX(样本到样信息汇总统计!B$2:B$500,MATCH(256,样本到样信息汇总统计!$AC$2:$AC$500,0)),"")</f>
        <v/>
      </c>
      <c r="C257" s="8" t="str">
        <f>IFERROR(INDEX(样本到样信息汇总统计!C$2:C$500,MATCH(256,样本到样信息汇总统计!$AC$2:$AC$500,0)),"")</f>
        <v/>
      </c>
      <c r="D257" s="8" t="str">
        <f>IFERROR(INDEX(样本到样信息汇总统计!D$2:D$500,MATCH(256,样本到样信息汇总统计!$AC$2:$AC$500,0)),"")</f>
        <v/>
      </c>
      <c r="E257" s="8" t="str">
        <f>IFERROR(INDEX(样本到样信息汇总统计!E$2:E$500,MATCH(256,样本到样信息汇总统计!$AC$2:$AC$500,0)),"")</f>
        <v/>
      </c>
      <c r="F257" s="8" t="str">
        <f>IFERROR(INDEX(样本到样信息汇总统计!F$2:F$500,MATCH(256,样本到样信息汇总统计!$AC$2:$AC$500,0)),"")</f>
        <v/>
      </c>
      <c r="G257" s="8" t="str">
        <f>IFERROR(INDEX(样本到样信息汇总统计!G$2:G$500,MATCH(256,样本到样信息汇总统计!$AC$2:$AC$500,0)),"")</f>
        <v/>
      </c>
      <c r="H257" s="8" t="str">
        <f>IFERROR(INDEX(样本到样信息汇总统计!H$2:H$500,MATCH(256,样本到样信息汇总统计!$AC$2:$AC$500,0)),"")</f>
        <v/>
      </c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 ht="21.75" customHeight="1" spans="1:24">
      <c r="A258" s="4" t="str">
        <f>IFERROR(INDEX(样本到样信息汇总统计!A$2:A$500,MATCH(257,样本到样信息汇总统计!$AC$2:$AC$500,0)),"")</f>
        <v/>
      </c>
      <c r="B258" s="4" t="str">
        <f>IFERROR(INDEX(样本到样信息汇总统计!B$2:B$500,MATCH(257,样本到样信息汇总统计!$AC$2:$AC$500,0)),"")</f>
        <v/>
      </c>
      <c r="C258" s="4" t="str">
        <f>IFERROR(INDEX(样本到样信息汇总统计!C$2:C$500,MATCH(257,样本到样信息汇总统计!$AC$2:$AC$500,0)),"")</f>
        <v/>
      </c>
      <c r="D258" s="4" t="str">
        <f>IFERROR(INDEX(样本到样信息汇总统计!D$2:D$500,MATCH(257,样本到样信息汇总统计!$AC$2:$AC$500,0)),"")</f>
        <v/>
      </c>
      <c r="E258" s="4" t="str">
        <f>IFERROR(INDEX(样本到样信息汇总统计!E$2:E$500,MATCH(257,样本到样信息汇总统计!$AC$2:$AC$500,0)),"")</f>
        <v/>
      </c>
      <c r="F258" s="4" t="str">
        <f>IFERROR(INDEX(样本到样信息汇总统计!F$2:F$500,MATCH(257,样本到样信息汇总统计!$AC$2:$AC$500,0)),"")</f>
        <v/>
      </c>
      <c r="G258" s="4" t="str">
        <f>IFERROR(INDEX(样本到样信息汇总统计!G$2:G$500,MATCH(257,样本到样信息汇总统计!$AC$2:$AC$500,0)),"")</f>
        <v/>
      </c>
      <c r="H258" s="4" t="str">
        <f>IFERROR(INDEX(样本到样信息汇总统计!H$2:H$500,MATCH(257,样本到样信息汇总统计!$AC$2:$AC$500,0)),"")</f>
        <v/>
      </c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ht="21.75" customHeight="1" spans="1:24">
      <c r="A259" s="8" t="str">
        <f>IFERROR(INDEX(样本到样信息汇总统计!A$2:A$500,MATCH(258,样本到样信息汇总统计!$AC$2:$AC$500,0)),"")</f>
        <v/>
      </c>
      <c r="B259" s="8" t="str">
        <f>IFERROR(INDEX(样本到样信息汇总统计!B$2:B$500,MATCH(258,样本到样信息汇总统计!$AC$2:$AC$500,0)),"")</f>
        <v/>
      </c>
      <c r="C259" s="8" t="str">
        <f>IFERROR(INDEX(样本到样信息汇总统计!C$2:C$500,MATCH(258,样本到样信息汇总统计!$AC$2:$AC$500,0)),"")</f>
        <v/>
      </c>
      <c r="D259" s="8" t="str">
        <f>IFERROR(INDEX(样本到样信息汇总统计!D$2:D$500,MATCH(258,样本到样信息汇总统计!$AC$2:$AC$500,0)),"")</f>
        <v/>
      </c>
      <c r="E259" s="8" t="str">
        <f>IFERROR(INDEX(样本到样信息汇总统计!E$2:E$500,MATCH(258,样本到样信息汇总统计!$AC$2:$AC$500,0)),"")</f>
        <v/>
      </c>
      <c r="F259" s="8" t="str">
        <f>IFERROR(INDEX(样本到样信息汇总统计!F$2:F$500,MATCH(258,样本到样信息汇总统计!$AC$2:$AC$500,0)),"")</f>
        <v/>
      </c>
      <c r="G259" s="8" t="str">
        <f>IFERROR(INDEX(样本到样信息汇总统计!G$2:G$500,MATCH(258,样本到样信息汇总统计!$AC$2:$AC$500,0)),"")</f>
        <v/>
      </c>
      <c r="H259" s="8" t="str">
        <f>IFERROR(INDEX(样本到样信息汇总统计!H$2:H$500,MATCH(258,样本到样信息汇总统计!$AC$2:$AC$500,0)),"")</f>
        <v/>
      </c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 ht="21.75" customHeight="1" spans="1:24">
      <c r="A260" s="4" t="str">
        <f>IFERROR(INDEX(样本到样信息汇总统计!A$2:A$500,MATCH(259,样本到样信息汇总统计!$AC$2:$AC$500,0)),"")</f>
        <v/>
      </c>
      <c r="B260" s="4" t="str">
        <f>IFERROR(INDEX(样本到样信息汇总统计!B$2:B$500,MATCH(259,样本到样信息汇总统计!$AC$2:$AC$500,0)),"")</f>
        <v/>
      </c>
      <c r="C260" s="4" t="str">
        <f>IFERROR(INDEX(样本到样信息汇总统计!C$2:C$500,MATCH(259,样本到样信息汇总统计!$AC$2:$AC$500,0)),"")</f>
        <v/>
      </c>
      <c r="D260" s="4" t="str">
        <f>IFERROR(INDEX(样本到样信息汇总统计!D$2:D$500,MATCH(259,样本到样信息汇总统计!$AC$2:$AC$500,0)),"")</f>
        <v/>
      </c>
      <c r="E260" s="4" t="str">
        <f>IFERROR(INDEX(样本到样信息汇总统计!E$2:E$500,MATCH(259,样本到样信息汇总统计!$AC$2:$AC$500,0)),"")</f>
        <v/>
      </c>
      <c r="F260" s="4" t="str">
        <f>IFERROR(INDEX(样本到样信息汇总统计!F$2:F$500,MATCH(259,样本到样信息汇总统计!$AC$2:$AC$500,0)),"")</f>
        <v/>
      </c>
      <c r="G260" s="4" t="str">
        <f>IFERROR(INDEX(样本到样信息汇总统计!G$2:G$500,MATCH(259,样本到样信息汇总统计!$AC$2:$AC$500,0)),"")</f>
        <v/>
      </c>
      <c r="H260" s="4" t="str">
        <f>IFERROR(INDEX(样本到样信息汇总统计!H$2:H$500,MATCH(259,样本到样信息汇总统计!$AC$2:$AC$500,0)),"")</f>
        <v/>
      </c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ht="21.75" customHeight="1" spans="1:24">
      <c r="A261" s="8" t="str">
        <f>IFERROR(INDEX(样本到样信息汇总统计!A$2:A$500,MATCH(260,样本到样信息汇总统计!$AC$2:$AC$500,0)),"")</f>
        <v/>
      </c>
      <c r="B261" s="8" t="str">
        <f>IFERROR(INDEX(样本到样信息汇总统计!B$2:B$500,MATCH(260,样本到样信息汇总统计!$AC$2:$AC$500,0)),"")</f>
        <v/>
      </c>
      <c r="C261" s="8" t="str">
        <f>IFERROR(INDEX(样本到样信息汇总统计!C$2:C$500,MATCH(260,样本到样信息汇总统计!$AC$2:$AC$500,0)),"")</f>
        <v/>
      </c>
      <c r="D261" s="8" t="str">
        <f>IFERROR(INDEX(样本到样信息汇总统计!D$2:D$500,MATCH(260,样本到样信息汇总统计!$AC$2:$AC$500,0)),"")</f>
        <v/>
      </c>
      <c r="E261" s="8" t="str">
        <f>IFERROR(INDEX(样本到样信息汇总统计!E$2:E$500,MATCH(260,样本到样信息汇总统计!$AC$2:$AC$500,0)),"")</f>
        <v/>
      </c>
      <c r="F261" s="8" t="str">
        <f>IFERROR(INDEX(样本到样信息汇总统计!F$2:F$500,MATCH(260,样本到样信息汇总统计!$AC$2:$AC$500,0)),"")</f>
        <v/>
      </c>
      <c r="G261" s="8" t="str">
        <f>IFERROR(INDEX(样本到样信息汇总统计!G$2:G$500,MATCH(260,样本到样信息汇总统计!$AC$2:$AC$500,0)),"")</f>
        <v/>
      </c>
      <c r="H261" s="8" t="str">
        <f>IFERROR(INDEX(样本到样信息汇总统计!H$2:H$500,MATCH(260,样本到样信息汇总统计!$AC$2:$AC$500,0)),"")</f>
        <v/>
      </c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 ht="21.75" customHeight="1" spans="1:24">
      <c r="A262" s="4" t="str">
        <f>IFERROR(INDEX(样本到样信息汇总统计!A$2:A$500,MATCH(261,样本到样信息汇总统计!$AC$2:$AC$500,0)),"")</f>
        <v/>
      </c>
      <c r="B262" s="4" t="str">
        <f>IFERROR(INDEX(样本到样信息汇总统计!B$2:B$500,MATCH(261,样本到样信息汇总统计!$AC$2:$AC$500,0)),"")</f>
        <v/>
      </c>
      <c r="C262" s="4" t="str">
        <f>IFERROR(INDEX(样本到样信息汇总统计!C$2:C$500,MATCH(261,样本到样信息汇总统计!$AC$2:$AC$500,0)),"")</f>
        <v/>
      </c>
      <c r="D262" s="4" t="str">
        <f>IFERROR(INDEX(样本到样信息汇总统计!D$2:D$500,MATCH(261,样本到样信息汇总统计!$AC$2:$AC$500,0)),"")</f>
        <v/>
      </c>
      <c r="E262" s="4" t="str">
        <f>IFERROR(INDEX(样本到样信息汇总统计!E$2:E$500,MATCH(261,样本到样信息汇总统计!$AC$2:$AC$500,0)),"")</f>
        <v/>
      </c>
      <c r="F262" s="4" t="str">
        <f>IFERROR(INDEX(样本到样信息汇总统计!F$2:F$500,MATCH(261,样本到样信息汇总统计!$AC$2:$AC$500,0)),"")</f>
        <v/>
      </c>
      <c r="G262" s="4" t="str">
        <f>IFERROR(INDEX(样本到样信息汇总统计!G$2:G$500,MATCH(261,样本到样信息汇总统计!$AC$2:$AC$500,0)),"")</f>
        <v/>
      </c>
      <c r="H262" s="4" t="str">
        <f>IFERROR(INDEX(样本到样信息汇总统计!H$2:H$500,MATCH(261,样本到样信息汇总统计!$AC$2:$AC$500,0)),"")</f>
        <v/>
      </c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ht="21.75" customHeight="1" spans="1:24">
      <c r="A263" s="8" t="str">
        <f>IFERROR(INDEX(样本到样信息汇总统计!A$2:A$500,MATCH(262,样本到样信息汇总统计!$AC$2:$AC$500,0)),"")</f>
        <v/>
      </c>
      <c r="B263" s="8" t="str">
        <f>IFERROR(INDEX(样本到样信息汇总统计!B$2:B$500,MATCH(262,样本到样信息汇总统计!$AC$2:$AC$500,0)),"")</f>
        <v/>
      </c>
      <c r="C263" s="8" t="str">
        <f>IFERROR(INDEX(样本到样信息汇总统计!C$2:C$500,MATCH(262,样本到样信息汇总统计!$AC$2:$AC$500,0)),"")</f>
        <v/>
      </c>
      <c r="D263" s="8" t="str">
        <f>IFERROR(INDEX(样本到样信息汇总统计!D$2:D$500,MATCH(262,样本到样信息汇总统计!$AC$2:$AC$500,0)),"")</f>
        <v/>
      </c>
      <c r="E263" s="8" t="str">
        <f>IFERROR(INDEX(样本到样信息汇总统计!E$2:E$500,MATCH(262,样本到样信息汇总统计!$AC$2:$AC$500,0)),"")</f>
        <v/>
      </c>
      <c r="F263" s="8" t="str">
        <f>IFERROR(INDEX(样本到样信息汇总统计!F$2:F$500,MATCH(262,样本到样信息汇总统计!$AC$2:$AC$500,0)),"")</f>
        <v/>
      </c>
      <c r="G263" s="8" t="str">
        <f>IFERROR(INDEX(样本到样信息汇总统计!G$2:G$500,MATCH(262,样本到样信息汇总统计!$AC$2:$AC$500,0)),"")</f>
        <v/>
      </c>
      <c r="H263" s="8" t="str">
        <f>IFERROR(INDEX(样本到样信息汇总统计!H$2:H$500,MATCH(262,样本到样信息汇总统计!$AC$2:$AC$500,0)),"")</f>
        <v/>
      </c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 ht="21.75" customHeight="1" spans="1:24">
      <c r="A264" s="4" t="str">
        <f>IFERROR(INDEX(样本到样信息汇总统计!A$2:A$500,MATCH(263,样本到样信息汇总统计!$AC$2:$AC$500,0)),"")</f>
        <v/>
      </c>
      <c r="B264" s="4" t="str">
        <f>IFERROR(INDEX(样本到样信息汇总统计!B$2:B$500,MATCH(263,样本到样信息汇总统计!$AC$2:$AC$500,0)),"")</f>
        <v/>
      </c>
      <c r="C264" s="4" t="str">
        <f>IFERROR(INDEX(样本到样信息汇总统计!C$2:C$500,MATCH(263,样本到样信息汇总统计!$AC$2:$AC$500,0)),"")</f>
        <v/>
      </c>
      <c r="D264" s="4" t="str">
        <f>IFERROR(INDEX(样本到样信息汇总统计!D$2:D$500,MATCH(263,样本到样信息汇总统计!$AC$2:$AC$500,0)),"")</f>
        <v/>
      </c>
      <c r="E264" s="4" t="str">
        <f>IFERROR(INDEX(样本到样信息汇总统计!E$2:E$500,MATCH(263,样本到样信息汇总统计!$AC$2:$AC$500,0)),"")</f>
        <v/>
      </c>
      <c r="F264" s="4" t="str">
        <f>IFERROR(INDEX(样本到样信息汇总统计!F$2:F$500,MATCH(263,样本到样信息汇总统计!$AC$2:$AC$500,0)),"")</f>
        <v/>
      </c>
      <c r="G264" s="4" t="str">
        <f>IFERROR(INDEX(样本到样信息汇总统计!G$2:G$500,MATCH(263,样本到样信息汇总统计!$AC$2:$AC$500,0)),"")</f>
        <v/>
      </c>
      <c r="H264" s="4" t="str">
        <f>IFERROR(INDEX(样本到样信息汇总统计!H$2:H$500,MATCH(263,样本到样信息汇总统计!$AC$2:$AC$500,0)),"")</f>
        <v/>
      </c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ht="21.75" customHeight="1" spans="1:24">
      <c r="A265" s="8" t="str">
        <f>IFERROR(INDEX(样本到样信息汇总统计!A$2:A$500,MATCH(264,样本到样信息汇总统计!$AC$2:$AC$500,0)),"")</f>
        <v/>
      </c>
      <c r="B265" s="8" t="str">
        <f>IFERROR(INDEX(样本到样信息汇总统计!B$2:B$500,MATCH(264,样本到样信息汇总统计!$AC$2:$AC$500,0)),"")</f>
        <v/>
      </c>
      <c r="C265" s="8" t="str">
        <f>IFERROR(INDEX(样本到样信息汇总统计!C$2:C$500,MATCH(264,样本到样信息汇总统计!$AC$2:$AC$500,0)),"")</f>
        <v/>
      </c>
      <c r="D265" s="8" t="str">
        <f>IFERROR(INDEX(样本到样信息汇总统计!D$2:D$500,MATCH(264,样本到样信息汇总统计!$AC$2:$AC$500,0)),"")</f>
        <v/>
      </c>
      <c r="E265" s="8" t="str">
        <f>IFERROR(INDEX(样本到样信息汇总统计!E$2:E$500,MATCH(264,样本到样信息汇总统计!$AC$2:$AC$500,0)),"")</f>
        <v/>
      </c>
      <c r="F265" s="8" t="str">
        <f>IFERROR(INDEX(样本到样信息汇总统计!F$2:F$500,MATCH(264,样本到样信息汇总统计!$AC$2:$AC$500,0)),"")</f>
        <v/>
      </c>
      <c r="G265" s="8" t="str">
        <f>IFERROR(INDEX(样本到样信息汇总统计!G$2:G$500,MATCH(264,样本到样信息汇总统计!$AC$2:$AC$500,0)),"")</f>
        <v/>
      </c>
      <c r="H265" s="8" t="str">
        <f>IFERROR(INDEX(样本到样信息汇总统计!H$2:H$500,MATCH(264,样本到样信息汇总统计!$AC$2:$AC$500,0)),"")</f>
        <v/>
      </c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 ht="21.75" customHeight="1" spans="1:24">
      <c r="A266" s="4" t="str">
        <f>IFERROR(INDEX(样本到样信息汇总统计!A$2:A$500,MATCH(265,样本到样信息汇总统计!$AC$2:$AC$500,0)),"")</f>
        <v/>
      </c>
      <c r="B266" s="4" t="str">
        <f>IFERROR(INDEX(样本到样信息汇总统计!B$2:B$500,MATCH(265,样本到样信息汇总统计!$AC$2:$AC$500,0)),"")</f>
        <v/>
      </c>
      <c r="C266" s="4" t="str">
        <f>IFERROR(INDEX(样本到样信息汇总统计!C$2:C$500,MATCH(265,样本到样信息汇总统计!$AC$2:$AC$500,0)),"")</f>
        <v/>
      </c>
      <c r="D266" s="4" t="str">
        <f>IFERROR(INDEX(样本到样信息汇总统计!D$2:D$500,MATCH(265,样本到样信息汇总统计!$AC$2:$AC$500,0)),"")</f>
        <v/>
      </c>
      <c r="E266" s="4" t="str">
        <f>IFERROR(INDEX(样本到样信息汇总统计!E$2:E$500,MATCH(265,样本到样信息汇总统计!$AC$2:$AC$500,0)),"")</f>
        <v/>
      </c>
      <c r="F266" s="4" t="str">
        <f>IFERROR(INDEX(样本到样信息汇总统计!F$2:F$500,MATCH(265,样本到样信息汇总统计!$AC$2:$AC$500,0)),"")</f>
        <v/>
      </c>
      <c r="G266" s="4" t="str">
        <f>IFERROR(INDEX(样本到样信息汇总统计!G$2:G$500,MATCH(265,样本到样信息汇总统计!$AC$2:$AC$500,0)),"")</f>
        <v/>
      </c>
      <c r="H266" s="4" t="str">
        <f>IFERROR(INDEX(样本到样信息汇总统计!H$2:H$500,MATCH(265,样本到样信息汇总统计!$AC$2:$AC$500,0)),"")</f>
        <v/>
      </c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ht="21.75" customHeight="1" spans="1:24">
      <c r="A267" s="8" t="str">
        <f>IFERROR(INDEX(样本到样信息汇总统计!A$2:A$500,MATCH(266,样本到样信息汇总统计!$AC$2:$AC$500,0)),"")</f>
        <v/>
      </c>
      <c r="B267" s="8" t="str">
        <f>IFERROR(INDEX(样本到样信息汇总统计!B$2:B$500,MATCH(266,样本到样信息汇总统计!$AC$2:$AC$500,0)),"")</f>
        <v/>
      </c>
      <c r="C267" s="8" t="str">
        <f>IFERROR(INDEX(样本到样信息汇总统计!C$2:C$500,MATCH(266,样本到样信息汇总统计!$AC$2:$AC$500,0)),"")</f>
        <v/>
      </c>
      <c r="D267" s="8" t="str">
        <f>IFERROR(INDEX(样本到样信息汇总统计!D$2:D$500,MATCH(266,样本到样信息汇总统计!$AC$2:$AC$500,0)),"")</f>
        <v/>
      </c>
      <c r="E267" s="8" t="str">
        <f>IFERROR(INDEX(样本到样信息汇总统计!E$2:E$500,MATCH(266,样本到样信息汇总统计!$AC$2:$AC$500,0)),"")</f>
        <v/>
      </c>
      <c r="F267" s="8" t="str">
        <f>IFERROR(INDEX(样本到样信息汇总统计!F$2:F$500,MATCH(266,样本到样信息汇总统计!$AC$2:$AC$500,0)),"")</f>
        <v/>
      </c>
      <c r="G267" s="8" t="str">
        <f>IFERROR(INDEX(样本到样信息汇总统计!G$2:G$500,MATCH(266,样本到样信息汇总统计!$AC$2:$AC$500,0)),"")</f>
        <v/>
      </c>
      <c r="H267" s="8" t="str">
        <f>IFERROR(INDEX(样本到样信息汇总统计!H$2:H$500,MATCH(266,样本到样信息汇总统计!$AC$2:$AC$500,0)),"")</f>
        <v/>
      </c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 ht="21.75" customHeight="1" spans="1:24">
      <c r="A268" s="4" t="str">
        <f>IFERROR(INDEX(样本到样信息汇总统计!A$2:A$500,MATCH(267,样本到样信息汇总统计!$AC$2:$AC$500,0)),"")</f>
        <v/>
      </c>
      <c r="B268" s="4" t="str">
        <f>IFERROR(INDEX(样本到样信息汇总统计!B$2:B$500,MATCH(267,样本到样信息汇总统计!$AC$2:$AC$500,0)),"")</f>
        <v/>
      </c>
      <c r="C268" s="4" t="str">
        <f>IFERROR(INDEX(样本到样信息汇总统计!C$2:C$500,MATCH(267,样本到样信息汇总统计!$AC$2:$AC$500,0)),"")</f>
        <v/>
      </c>
      <c r="D268" s="4" t="str">
        <f>IFERROR(INDEX(样本到样信息汇总统计!D$2:D$500,MATCH(267,样本到样信息汇总统计!$AC$2:$AC$500,0)),"")</f>
        <v/>
      </c>
      <c r="E268" s="4" t="str">
        <f>IFERROR(INDEX(样本到样信息汇总统计!E$2:E$500,MATCH(267,样本到样信息汇总统计!$AC$2:$AC$500,0)),"")</f>
        <v/>
      </c>
      <c r="F268" s="4" t="str">
        <f>IFERROR(INDEX(样本到样信息汇总统计!F$2:F$500,MATCH(267,样本到样信息汇总统计!$AC$2:$AC$500,0)),"")</f>
        <v/>
      </c>
      <c r="G268" s="4" t="str">
        <f>IFERROR(INDEX(样本到样信息汇总统计!G$2:G$500,MATCH(267,样本到样信息汇总统计!$AC$2:$AC$500,0)),"")</f>
        <v/>
      </c>
      <c r="H268" s="4" t="str">
        <f>IFERROR(INDEX(样本到样信息汇总统计!H$2:H$500,MATCH(267,样本到样信息汇总统计!$AC$2:$AC$500,0)),"")</f>
        <v/>
      </c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ht="21.75" customHeight="1" spans="1:24">
      <c r="A269" s="8" t="str">
        <f>IFERROR(INDEX(样本到样信息汇总统计!A$2:A$500,MATCH(268,样本到样信息汇总统计!$AC$2:$AC$500,0)),"")</f>
        <v/>
      </c>
      <c r="B269" s="8" t="str">
        <f>IFERROR(INDEX(样本到样信息汇总统计!B$2:B$500,MATCH(268,样本到样信息汇总统计!$AC$2:$AC$500,0)),"")</f>
        <v/>
      </c>
      <c r="C269" s="8" t="str">
        <f>IFERROR(INDEX(样本到样信息汇总统计!C$2:C$500,MATCH(268,样本到样信息汇总统计!$AC$2:$AC$500,0)),"")</f>
        <v/>
      </c>
      <c r="D269" s="8" t="str">
        <f>IFERROR(INDEX(样本到样信息汇总统计!D$2:D$500,MATCH(268,样本到样信息汇总统计!$AC$2:$AC$500,0)),"")</f>
        <v/>
      </c>
      <c r="E269" s="8" t="str">
        <f>IFERROR(INDEX(样本到样信息汇总统计!E$2:E$500,MATCH(268,样本到样信息汇总统计!$AC$2:$AC$500,0)),"")</f>
        <v/>
      </c>
      <c r="F269" s="8" t="str">
        <f>IFERROR(INDEX(样本到样信息汇总统计!F$2:F$500,MATCH(268,样本到样信息汇总统计!$AC$2:$AC$500,0)),"")</f>
        <v/>
      </c>
      <c r="G269" s="8" t="str">
        <f>IFERROR(INDEX(样本到样信息汇总统计!G$2:G$500,MATCH(268,样本到样信息汇总统计!$AC$2:$AC$500,0)),"")</f>
        <v/>
      </c>
      <c r="H269" s="8" t="str">
        <f>IFERROR(INDEX(样本到样信息汇总统计!H$2:H$500,MATCH(268,样本到样信息汇总统计!$AC$2:$AC$500,0)),"")</f>
        <v/>
      </c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 ht="21.75" customHeight="1" spans="1:24">
      <c r="A270" s="4" t="str">
        <f>IFERROR(INDEX(样本到样信息汇总统计!A$2:A$500,MATCH(269,样本到样信息汇总统计!$AC$2:$AC$500,0)),"")</f>
        <v/>
      </c>
      <c r="B270" s="4" t="str">
        <f>IFERROR(INDEX(样本到样信息汇总统计!B$2:B$500,MATCH(269,样本到样信息汇总统计!$AC$2:$AC$500,0)),"")</f>
        <v/>
      </c>
      <c r="C270" s="4" t="str">
        <f>IFERROR(INDEX(样本到样信息汇总统计!C$2:C$500,MATCH(269,样本到样信息汇总统计!$AC$2:$AC$500,0)),"")</f>
        <v/>
      </c>
      <c r="D270" s="4" t="str">
        <f>IFERROR(INDEX(样本到样信息汇总统计!D$2:D$500,MATCH(269,样本到样信息汇总统计!$AC$2:$AC$500,0)),"")</f>
        <v/>
      </c>
      <c r="E270" s="4" t="str">
        <f>IFERROR(INDEX(样本到样信息汇总统计!E$2:E$500,MATCH(269,样本到样信息汇总统计!$AC$2:$AC$500,0)),"")</f>
        <v/>
      </c>
      <c r="F270" s="4" t="str">
        <f>IFERROR(INDEX(样本到样信息汇总统计!F$2:F$500,MATCH(269,样本到样信息汇总统计!$AC$2:$AC$500,0)),"")</f>
        <v/>
      </c>
      <c r="G270" s="4" t="str">
        <f>IFERROR(INDEX(样本到样信息汇总统计!G$2:G$500,MATCH(269,样本到样信息汇总统计!$AC$2:$AC$500,0)),"")</f>
        <v/>
      </c>
      <c r="H270" s="4" t="str">
        <f>IFERROR(INDEX(样本到样信息汇总统计!H$2:H$500,MATCH(269,样本到样信息汇总统计!$AC$2:$AC$500,0)),"")</f>
        <v/>
      </c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ht="21.75" customHeight="1" spans="1:24">
      <c r="A271" s="8" t="str">
        <f>IFERROR(INDEX(样本到样信息汇总统计!A$2:A$500,MATCH(270,样本到样信息汇总统计!$AC$2:$AC$500,0)),"")</f>
        <v/>
      </c>
      <c r="B271" s="8" t="str">
        <f>IFERROR(INDEX(样本到样信息汇总统计!B$2:B$500,MATCH(270,样本到样信息汇总统计!$AC$2:$AC$500,0)),"")</f>
        <v/>
      </c>
      <c r="C271" s="8" t="str">
        <f>IFERROR(INDEX(样本到样信息汇总统计!C$2:C$500,MATCH(270,样本到样信息汇总统计!$AC$2:$AC$500,0)),"")</f>
        <v/>
      </c>
      <c r="D271" s="8" t="str">
        <f>IFERROR(INDEX(样本到样信息汇总统计!D$2:D$500,MATCH(270,样本到样信息汇总统计!$AC$2:$AC$500,0)),"")</f>
        <v/>
      </c>
      <c r="E271" s="8" t="str">
        <f>IFERROR(INDEX(样本到样信息汇总统计!E$2:E$500,MATCH(270,样本到样信息汇总统计!$AC$2:$AC$500,0)),"")</f>
        <v/>
      </c>
      <c r="F271" s="8" t="str">
        <f>IFERROR(INDEX(样本到样信息汇总统计!F$2:F$500,MATCH(270,样本到样信息汇总统计!$AC$2:$AC$500,0)),"")</f>
        <v/>
      </c>
      <c r="G271" s="8" t="str">
        <f>IFERROR(INDEX(样本到样信息汇总统计!G$2:G$500,MATCH(270,样本到样信息汇总统计!$AC$2:$AC$500,0)),"")</f>
        <v/>
      </c>
      <c r="H271" s="8" t="str">
        <f>IFERROR(INDEX(样本到样信息汇总统计!H$2:H$500,MATCH(270,样本到样信息汇总统计!$AC$2:$AC$500,0)),"")</f>
        <v/>
      </c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 ht="21.75" customHeight="1" spans="1:24">
      <c r="A272" s="4" t="str">
        <f>IFERROR(INDEX(样本到样信息汇总统计!A$2:A$500,MATCH(271,样本到样信息汇总统计!$AC$2:$AC$500,0)),"")</f>
        <v/>
      </c>
      <c r="B272" s="4" t="str">
        <f>IFERROR(INDEX(样本到样信息汇总统计!B$2:B$500,MATCH(271,样本到样信息汇总统计!$AC$2:$AC$500,0)),"")</f>
        <v/>
      </c>
      <c r="C272" s="4" t="str">
        <f>IFERROR(INDEX(样本到样信息汇总统计!C$2:C$500,MATCH(271,样本到样信息汇总统计!$AC$2:$AC$500,0)),"")</f>
        <v/>
      </c>
      <c r="D272" s="4" t="str">
        <f>IFERROR(INDEX(样本到样信息汇总统计!D$2:D$500,MATCH(271,样本到样信息汇总统计!$AC$2:$AC$500,0)),"")</f>
        <v/>
      </c>
      <c r="E272" s="4" t="str">
        <f>IFERROR(INDEX(样本到样信息汇总统计!E$2:E$500,MATCH(271,样本到样信息汇总统计!$AC$2:$AC$500,0)),"")</f>
        <v/>
      </c>
      <c r="F272" s="4" t="str">
        <f>IFERROR(INDEX(样本到样信息汇总统计!F$2:F$500,MATCH(271,样本到样信息汇总统计!$AC$2:$AC$500,0)),"")</f>
        <v/>
      </c>
      <c r="G272" s="4" t="str">
        <f>IFERROR(INDEX(样本到样信息汇总统计!G$2:G$500,MATCH(271,样本到样信息汇总统计!$AC$2:$AC$500,0)),"")</f>
        <v/>
      </c>
      <c r="H272" s="4" t="str">
        <f>IFERROR(INDEX(样本到样信息汇总统计!H$2:H$500,MATCH(271,样本到样信息汇总统计!$AC$2:$AC$500,0)),"")</f>
        <v/>
      </c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ht="21.75" customHeight="1" spans="1:24">
      <c r="A273" s="8" t="str">
        <f>IFERROR(INDEX(样本到样信息汇总统计!A$2:A$500,MATCH(272,样本到样信息汇总统计!$AC$2:$AC$500,0)),"")</f>
        <v/>
      </c>
      <c r="B273" s="8" t="str">
        <f>IFERROR(INDEX(样本到样信息汇总统计!B$2:B$500,MATCH(272,样本到样信息汇总统计!$AC$2:$AC$500,0)),"")</f>
        <v/>
      </c>
      <c r="C273" s="8" t="str">
        <f>IFERROR(INDEX(样本到样信息汇总统计!C$2:C$500,MATCH(272,样本到样信息汇总统计!$AC$2:$AC$500,0)),"")</f>
        <v/>
      </c>
      <c r="D273" s="8" t="str">
        <f>IFERROR(INDEX(样本到样信息汇总统计!D$2:D$500,MATCH(272,样本到样信息汇总统计!$AC$2:$AC$500,0)),"")</f>
        <v/>
      </c>
      <c r="E273" s="8" t="str">
        <f>IFERROR(INDEX(样本到样信息汇总统计!E$2:E$500,MATCH(272,样本到样信息汇总统计!$AC$2:$AC$500,0)),"")</f>
        <v/>
      </c>
      <c r="F273" s="8" t="str">
        <f>IFERROR(INDEX(样本到样信息汇总统计!F$2:F$500,MATCH(272,样本到样信息汇总统计!$AC$2:$AC$500,0)),"")</f>
        <v/>
      </c>
      <c r="G273" s="8" t="str">
        <f>IFERROR(INDEX(样本到样信息汇总统计!G$2:G$500,MATCH(272,样本到样信息汇总统计!$AC$2:$AC$500,0)),"")</f>
        <v/>
      </c>
      <c r="H273" s="8" t="str">
        <f>IFERROR(INDEX(样本到样信息汇总统计!H$2:H$500,MATCH(272,样本到样信息汇总统计!$AC$2:$AC$500,0)),"")</f>
        <v/>
      </c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 ht="21.75" customHeight="1" spans="1:24">
      <c r="A274" s="4" t="str">
        <f>IFERROR(INDEX(样本到样信息汇总统计!A$2:A$500,MATCH(273,样本到样信息汇总统计!$AC$2:$AC$500,0)),"")</f>
        <v/>
      </c>
      <c r="B274" s="4" t="str">
        <f>IFERROR(INDEX(样本到样信息汇总统计!B$2:B$500,MATCH(273,样本到样信息汇总统计!$AC$2:$AC$500,0)),"")</f>
        <v/>
      </c>
      <c r="C274" s="4" t="str">
        <f>IFERROR(INDEX(样本到样信息汇总统计!C$2:C$500,MATCH(273,样本到样信息汇总统计!$AC$2:$AC$500,0)),"")</f>
        <v/>
      </c>
      <c r="D274" s="4" t="str">
        <f>IFERROR(INDEX(样本到样信息汇总统计!D$2:D$500,MATCH(273,样本到样信息汇总统计!$AC$2:$AC$500,0)),"")</f>
        <v/>
      </c>
      <c r="E274" s="4" t="str">
        <f>IFERROR(INDEX(样本到样信息汇总统计!E$2:E$500,MATCH(273,样本到样信息汇总统计!$AC$2:$AC$500,0)),"")</f>
        <v/>
      </c>
      <c r="F274" s="4" t="str">
        <f>IFERROR(INDEX(样本到样信息汇总统计!F$2:F$500,MATCH(273,样本到样信息汇总统计!$AC$2:$AC$500,0)),"")</f>
        <v/>
      </c>
      <c r="G274" s="4" t="str">
        <f>IFERROR(INDEX(样本到样信息汇总统计!G$2:G$500,MATCH(273,样本到样信息汇总统计!$AC$2:$AC$500,0)),"")</f>
        <v/>
      </c>
      <c r="H274" s="4" t="str">
        <f>IFERROR(INDEX(样本到样信息汇总统计!H$2:H$500,MATCH(273,样本到样信息汇总统计!$AC$2:$AC$500,0)),"")</f>
        <v/>
      </c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ht="21.75" customHeight="1" spans="1:24">
      <c r="A275" s="8" t="str">
        <f>IFERROR(INDEX(样本到样信息汇总统计!A$2:A$500,MATCH(274,样本到样信息汇总统计!$AC$2:$AC$500,0)),"")</f>
        <v/>
      </c>
      <c r="B275" s="8" t="str">
        <f>IFERROR(INDEX(样本到样信息汇总统计!B$2:B$500,MATCH(274,样本到样信息汇总统计!$AC$2:$AC$500,0)),"")</f>
        <v/>
      </c>
      <c r="C275" s="8" t="str">
        <f>IFERROR(INDEX(样本到样信息汇总统计!C$2:C$500,MATCH(274,样本到样信息汇总统计!$AC$2:$AC$500,0)),"")</f>
        <v/>
      </c>
      <c r="D275" s="8" t="str">
        <f>IFERROR(INDEX(样本到样信息汇总统计!D$2:D$500,MATCH(274,样本到样信息汇总统计!$AC$2:$AC$500,0)),"")</f>
        <v/>
      </c>
      <c r="E275" s="8" t="str">
        <f>IFERROR(INDEX(样本到样信息汇总统计!E$2:E$500,MATCH(274,样本到样信息汇总统计!$AC$2:$AC$500,0)),"")</f>
        <v/>
      </c>
      <c r="F275" s="8" t="str">
        <f>IFERROR(INDEX(样本到样信息汇总统计!F$2:F$500,MATCH(274,样本到样信息汇总统计!$AC$2:$AC$500,0)),"")</f>
        <v/>
      </c>
      <c r="G275" s="8" t="str">
        <f>IFERROR(INDEX(样本到样信息汇总统计!G$2:G$500,MATCH(274,样本到样信息汇总统计!$AC$2:$AC$500,0)),"")</f>
        <v/>
      </c>
      <c r="H275" s="8" t="str">
        <f>IFERROR(INDEX(样本到样信息汇总统计!H$2:H$500,MATCH(274,样本到样信息汇总统计!$AC$2:$AC$500,0)),"")</f>
        <v/>
      </c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 ht="21.75" customHeight="1" spans="1:24">
      <c r="A276" s="4" t="str">
        <f>IFERROR(INDEX(样本到样信息汇总统计!A$2:A$500,MATCH(275,样本到样信息汇总统计!$AC$2:$AC$500,0)),"")</f>
        <v/>
      </c>
      <c r="B276" s="4" t="str">
        <f>IFERROR(INDEX(样本到样信息汇总统计!B$2:B$500,MATCH(275,样本到样信息汇总统计!$AC$2:$AC$500,0)),"")</f>
        <v/>
      </c>
      <c r="C276" s="4" t="str">
        <f>IFERROR(INDEX(样本到样信息汇总统计!C$2:C$500,MATCH(275,样本到样信息汇总统计!$AC$2:$AC$500,0)),"")</f>
        <v/>
      </c>
      <c r="D276" s="4" t="str">
        <f>IFERROR(INDEX(样本到样信息汇总统计!D$2:D$500,MATCH(275,样本到样信息汇总统计!$AC$2:$AC$500,0)),"")</f>
        <v/>
      </c>
      <c r="E276" s="4" t="str">
        <f>IFERROR(INDEX(样本到样信息汇总统计!E$2:E$500,MATCH(275,样本到样信息汇总统计!$AC$2:$AC$500,0)),"")</f>
        <v/>
      </c>
      <c r="F276" s="4" t="str">
        <f>IFERROR(INDEX(样本到样信息汇总统计!F$2:F$500,MATCH(275,样本到样信息汇总统计!$AC$2:$AC$500,0)),"")</f>
        <v/>
      </c>
      <c r="G276" s="4" t="str">
        <f>IFERROR(INDEX(样本到样信息汇总统计!G$2:G$500,MATCH(275,样本到样信息汇总统计!$AC$2:$AC$500,0)),"")</f>
        <v/>
      </c>
      <c r="H276" s="4" t="str">
        <f>IFERROR(INDEX(样本到样信息汇总统计!H$2:H$500,MATCH(275,样本到样信息汇总统计!$AC$2:$AC$500,0)),"")</f>
        <v/>
      </c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ht="21.75" customHeight="1" spans="1:24">
      <c r="A277" s="8" t="str">
        <f>IFERROR(INDEX(样本到样信息汇总统计!A$2:A$500,MATCH(276,样本到样信息汇总统计!$AC$2:$AC$500,0)),"")</f>
        <v/>
      </c>
      <c r="B277" s="8" t="str">
        <f>IFERROR(INDEX(样本到样信息汇总统计!B$2:B$500,MATCH(276,样本到样信息汇总统计!$AC$2:$AC$500,0)),"")</f>
        <v/>
      </c>
      <c r="C277" s="8" t="str">
        <f>IFERROR(INDEX(样本到样信息汇总统计!C$2:C$500,MATCH(276,样本到样信息汇总统计!$AC$2:$AC$500,0)),"")</f>
        <v/>
      </c>
      <c r="D277" s="8" t="str">
        <f>IFERROR(INDEX(样本到样信息汇总统计!D$2:D$500,MATCH(276,样本到样信息汇总统计!$AC$2:$AC$500,0)),"")</f>
        <v/>
      </c>
      <c r="E277" s="8" t="str">
        <f>IFERROR(INDEX(样本到样信息汇总统计!E$2:E$500,MATCH(276,样本到样信息汇总统计!$AC$2:$AC$500,0)),"")</f>
        <v/>
      </c>
      <c r="F277" s="8" t="str">
        <f>IFERROR(INDEX(样本到样信息汇总统计!F$2:F$500,MATCH(276,样本到样信息汇总统计!$AC$2:$AC$500,0)),"")</f>
        <v/>
      </c>
      <c r="G277" s="8" t="str">
        <f>IFERROR(INDEX(样本到样信息汇总统计!G$2:G$500,MATCH(276,样本到样信息汇总统计!$AC$2:$AC$500,0)),"")</f>
        <v/>
      </c>
      <c r="H277" s="8" t="str">
        <f>IFERROR(INDEX(样本到样信息汇总统计!H$2:H$500,MATCH(276,样本到样信息汇总统计!$AC$2:$AC$500,0)),"")</f>
        <v/>
      </c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 ht="21.75" customHeight="1" spans="1:24">
      <c r="A278" s="4" t="str">
        <f>IFERROR(INDEX(样本到样信息汇总统计!A$2:A$500,MATCH(277,样本到样信息汇总统计!$AC$2:$AC$500,0)),"")</f>
        <v/>
      </c>
      <c r="B278" s="4" t="str">
        <f>IFERROR(INDEX(样本到样信息汇总统计!B$2:B$500,MATCH(277,样本到样信息汇总统计!$AC$2:$AC$500,0)),"")</f>
        <v/>
      </c>
      <c r="C278" s="4" t="str">
        <f>IFERROR(INDEX(样本到样信息汇总统计!C$2:C$500,MATCH(277,样本到样信息汇总统计!$AC$2:$AC$500,0)),"")</f>
        <v/>
      </c>
      <c r="D278" s="4" t="str">
        <f>IFERROR(INDEX(样本到样信息汇总统计!D$2:D$500,MATCH(277,样本到样信息汇总统计!$AC$2:$AC$500,0)),"")</f>
        <v/>
      </c>
      <c r="E278" s="4" t="str">
        <f>IFERROR(INDEX(样本到样信息汇总统计!E$2:E$500,MATCH(277,样本到样信息汇总统计!$AC$2:$AC$500,0)),"")</f>
        <v/>
      </c>
      <c r="F278" s="4" t="str">
        <f>IFERROR(INDEX(样本到样信息汇总统计!F$2:F$500,MATCH(277,样本到样信息汇总统计!$AC$2:$AC$500,0)),"")</f>
        <v/>
      </c>
      <c r="G278" s="4" t="str">
        <f>IFERROR(INDEX(样本到样信息汇总统计!G$2:G$500,MATCH(277,样本到样信息汇总统计!$AC$2:$AC$500,0)),"")</f>
        <v/>
      </c>
      <c r="H278" s="4" t="str">
        <f>IFERROR(INDEX(样本到样信息汇总统计!H$2:H$500,MATCH(277,样本到样信息汇总统计!$AC$2:$AC$500,0)),"")</f>
        <v/>
      </c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ht="21.75" customHeight="1" spans="1:24">
      <c r="A279" s="8" t="str">
        <f>IFERROR(INDEX(样本到样信息汇总统计!A$2:A$500,MATCH(278,样本到样信息汇总统计!$AC$2:$AC$500,0)),"")</f>
        <v/>
      </c>
      <c r="B279" s="8" t="str">
        <f>IFERROR(INDEX(样本到样信息汇总统计!B$2:B$500,MATCH(278,样本到样信息汇总统计!$AC$2:$AC$500,0)),"")</f>
        <v/>
      </c>
      <c r="C279" s="8" t="str">
        <f>IFERROR(INDEX(样本到样信息汇总统计!C$2:C$500,MATCH(278,样本到样信息汇总统计!$AC$2:$AC$500,0)),"")</f>
        <v/>
      </c>
      <c r="D279" s="8" t="str">
        <f>IFERROR(INDEX(样本到样信息汇总统计!D$2:D$500,MATCH(278,样本到样信息汇总统计!$AC$2:$AC$500,0)),"")</f>
        <v/>
      </c>
      <c r="E279" s="8" t="str">
        <f>IFERROR(INDEX(样本到样信息汇总统计!E$2:E$500,MATCH(278,样本到样信息汇总统计!$AC$2:$AC$500,0)),"")</f>
        <v/>
      </c>
      <c r="F279" s="8" t="str">
        <f>IFERROR(INDEX(样本到样信息汇总统计!F$2:F$500,MATCH(278,样本到样信息汇总统计!$AC$2:$AC$500,0)),"")</f>
        <v/>
      </c>
      <c r="G279" s="8" t="str">
        <f>IFERROR(INDEX(样本到样信息汇总统计!G$2:G$500,MATCH(278,样本到样信息汇总统计!$AC$2:$AC$500,0)),"")</f>
        <v/>
      </c>
      <c r="H279" s="8" t="str">
        <f>IFERROR(INDEX(样本到样信息汇总统计!H$2:H$500,MATCH(278,样本到样信息汇总统计!$AC$2:$AC$500,0)),"")</f>
        <v/>
      </c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 ht="21.75" customHeight="1" spans="1:24">
      <c r="A280" s="4" t="str">
        <f>IFERROR(INDEX(样本到样信息汇总统计!A$2:A$500,MATCH(279,样本到样信息汇总统计!$AC$2:$AC$500,0)),"")</f>
        <v/>
      </c>
      <c r="B280" s="4" t="str">
        <f>IFERROR(INDEX(样本到样信息汇总统计!B$2:B$500,MATCH(279,样本到样信息汇总统计!$AC$2:$AC$500,0)),"")</f>
        <v/>
      </c>
      <c r="C280" s="4" t="str">
        <f>IFERROR(INDEX(样本到样信息汇总统计!C$2:C$500,MATCH(279,样本到样信息汇总统计!$AC$2:$AC$500,0)),"")</f>
        <v/>
      </c>
      <c r="D280" s="4" t="str">
        <f>IFERROR(INDEX(样本到样信息汇总统计!D$2:D$500,MATCH(279,样本到样信息汇总统计!$AC$2:$AC$500,0)),"")</f>
        <v/>
      </c>
      <c r="E280" s="4" t="str">
        <f>IFERROR(INDEX(样本到样信息汇总统计!E$2:E$500,MATCH(279,样本到样信息汇总统计!$AC$2:$AC$500,0)),"")</f>
        <v/>
      </c>
      <c r="F280" s="4" t="str">
        <f>IFERROR(INDEX(样本到样信息汇总统计!F$2:F$500,MATCH(279,样本到样信息汇总统计!$AC$2:$AC$500,0)),"")</f>
        <v/>
      </c>
      <c r="G280" s="4" t="str">
        <f>IFERROR(INDEX(样本到样信息汇总统计!G$2:G$500,MATCH(279,样本到样信息汇总统计!$AC$2:$AC$500,0)),"")</f>
        <v/>
      </c>
      <c r="H280" s="4" t="str">
        <f>IFERROR(INDEX(样本到样信息汇总统计!H$2:H$500,MATCH(279,样本到样信息汇总统计!$AC$2:$AC$500,0)),"")</f>
        <v/>
      </c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ht="21.75" customHeight="1" spans="1:24">
      <c r="A281" s="8" t="str">
        <f>IFERROR(INDEX(样本到样信息汇总统计!A$2:A$500,MATCH(280,样本到样信息汇总统计!$AC$2:$AC$500,0)),"")</f>
        <v/>
      </c>
      <c r="B281" s="8" t="str">
        <f>IFERROR(INDEX(样本到样信息汇总统计!B$2:B$500,MATCH(280,样本到样信息汇总统计!$AC$2:$AC$500,0)),"")</f>
        <v/>
      </c>
      <c r="C281" s="8" t="str">
        <f>IFERROR(INDEX(样本到样信息汇总统计!C$2:C$500,MATCH(280,样本到样信息汇总统计!$AC$2:$AC$500,0)),"")</f>
        <v/>
      </c>
      <c r="D281" s="8" t="str">
        <f>IFERROR(INDEX(样本到样信息汇总统计!D$2:D$500,MATCH(280,样本到样信息汇总统计!$AC$2:$AC$500,0)),"")</f>
        <v/>
      </c>
      <c r="E281" s="8" t="str">
        <f>IFERROR(INDEX(样本到样信息汇总统计!E$2:E$500,MATCH(280,样本到样信息汇总统计!$AC$2:$AC$500,0)),"")</f>
        <v/>
      </c>
      <c r="F281" s="8" t="str">
        <f>IFERROR(INDEX(样本到样信息汇总统计!F$2:F$500,MATCH(280,样本到样信息汇总统计!$AC$2:$AC$500,0)),"")</f>
        <v/>
      </c>
      <c r="G281" s="8" t="str">
        <f>IFERROR(INDEX(样本到样信息汇总统计!G$2:G$500,MATCH(280,样本到样信息汇总统计!$AC$2:$AC$500,0)),"")</f>
        <v/>
      </c>
      <c r="H281" s="8" t="str">
        <f>IFERROR(INDEX(样本到样信息汇总统计!H$2:H$500,MATCH(280,样本到样信息汇总统计!$AC$2:$AC$500,0)),"")</f>
        <v/>
      </c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 ht="21.75" customHeight="1" spans="1:24">
      <c r="A282" s="4" t="str">
        <f>IFERROR(INDEX(样本到样信息汇总统计!A$2:A$500,MATCH(281,样本到样信息汇总统计!$AC$2:$AC$500,0)),"")</f>
        <v/>
      </c>
      <c r="B282" s="4" t="str">
        <f>IFERROR(INDEX(样本到样信息汇总统计!B$2:B$500,MATCH(281,样本到样信息汇总统计!$AC$2:$AC$500,0)),"")</f>
        <v/>
      </c>
      <c r="C282" s="4" t="str">
        <f>IFERROR(INDEX(样本到样信息汇总统计!C$2:C$500,MATCH(281,样本到样信息汇总统计!$AC$2:$AC$500,0)),"")</f>
        <v/>
      </c>
      <c r="D282" s="4" t="str">
        <f>IFERROR(INDEX(样本到样信息汇总统计!D$2:D$500,MATCH(281,样本到样信息汇总统计!$AC$2:$AC$500,0)),"")</f>
        <v/>
      </c>
      <c r="E282" s="4" t="str">
        <f>IFERROR(INDEX(样本到样信息汇总统计!E$2:E$500,MATCH(281,样本到样信息汇总统计!$AC$2:$AC$500,0)),"")</f>
        <v/>
      </c>
      <c r="F282" s="4" t="str">
        <f>IFERROR(INDEX(样本到样信息汇总统计!F$2:F$500,MATCH(281,样本到样信息汇总统计!$AC$2:$AC$500,0)),"")</f>
        <v/>
      </c>
      <c r="G282" s="4" t="str">
        <f>IFERROR(INDEX(样本到样信息汇总统计!G$2:G$500,MATCH(281,样本到样信息汇总统计!$AC$2:$AC$500,0)),"")</f>
        <v/>
      </c>
      <c r="H282" s="4" t="str">
        <f>IFERROR(INDEX(样本到样信息汇总统计!H$2:H$500,MATCH(281,样本到样信息汇总统计!$AC$2:$AC$500,0)),"")</f>
        <v/>
      </c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ht="21.75" customHeight="1" spans="1:24">
      <c r="A283" s="8" t="str">
        <f>IFERROR(INDEX(样本到样信息汇总统计!A$2:A$500,MATCH(282,样本到样信息汇总统计!$AC$2:$AC$500,0)),"")</f>
        <v/>
      </c>
      <c r="B283" s="8" t="str">
        <f>IFERROR(INDEX(样本到样信息汇总统计!B$2:B$500,MATCH(282,样本到样信息汇总统计!$AC$2:$AC$500,0)),"")</f>
        <v/>
      </c>
      <c r="C283" s="8" t="str">
        <f>IFERROR(INDEX(样本到样信息汇总统计!C$2:C$500,MATCH(282,样本到样信息汇总统计!$AC$2:$AC$500,0)),"")</f>
        <v/>
      </c>
      <c r="D283" s="8" t="str">
        <f>IFERROR(INDEX(样本到样信息汇总统计!D$2:D$500,MATCH(282,样本到样信息汇总统计!$AC$2:$AC$500,0)),"")</f>
        <v/>
      </c>
      <c r="E283" s="8" t="str">
        <f>IFERROR(INDEX(样本到样信息汇总统计!E$2:E$500,MATCH(282,样本到样信息汇总统计!$AC$2:$AC$500,0)),"")</f>
        <v/>
      </c>
      <c r="F283" s="8" t="str">
        <f>IFERROR(INDEX(样本到样信息汇总统计!F$2:F$500,MATCH(282,样本到样信息汇总统计!$AC$2:$AC$500,0)),"")</f>
        <v/>
      </c>
      <c r="G283" s="8" t="str">
        <f>IFERROR(INDEX(样本到样信息汇总统计!G$2:G$500,MATCH(282,样本到样信息汇总统计!$AC$2:$AC$500,0)),"")</f>
        <v/>
      </c>
      <c r="H283" s="8" t="str">
        <f>IFERROR(INDEX(样本到样信息汇总统计!H$2:H$500,MATCH(282,样本到样信息汇总统计!$AC$2:$AC$500,0)),"")</f>
        <v/>
      </c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 ht="21.75" customHeight="1" spans="1:24">
      <c r="A284" s="4" t="str">
        <f>IFERROR(INDEX(样本到样信息汇总统计!A$2:A$500,MATCH(283,样本到样信息汇总统计!$AC$2:$AC$500,0)),"")</f>
        <v/>
      </c>
      <c r="B284" s="4" t="str">
        <f>IFERROR(INDEX(样本到样信息汇总统计!B$2:B$500,MATCH(283,样本到样信息汇总统计!$AC$2:$AC$500,0)),"")</f>
        <v/>
      </c>
      <c r="C284" s="4" t="str">
        <f>IFERROR(INDEX(样本到样信息汇总统计!C$2:C$500,MATCH(283,样本到样信息汇总统计!$AC$2:$AC$500,0)),"")</f>
        <v/>
      </c>
      <c r="D284" s="4" t="str">
        <f>IFERROR(INDEX(样本到样信息汇总统计!D$2:D$500,MATCH(283,样本到样信息汇总统计!$AC$2:$AC$500,0)),"")</f>
        <v/>
      </c>
      <c r="E284" s="4" t="str">
        <f>IFERROR(INDEX(样本到样信息汇总统计!E$2:E$500,MATCH(283,样本到样信息汇总统计!$AC$2:$AC$500,0)),"")</f>
        <v/>
      </c>
      <c r="F284" s="4" t="str">
        <f>IFERROR(INDEX(样本到样信息汇总统计!F$2:F$500,MATCH(283,样本到样信息汇总统计!$AC$2:$AC$500,0)),"")</f>
        <v/>
      </c>
      <c r="G284" s="4" t="str">
        <f>IFERROR(INDEX(样本到样信息汇总统计!G$2:G$500,MATCH(283,样本到样信息汇总统计!$AC$2:$AC$500,0)),"")</f>
        <v/>
      </c>
      <c r="H284" s="4" t="str">
        <f>IFERROR(INDEX(样本到样信息汇总统计!H$2:H$500,MATCH(283,样本到样信息汇总统计!$AC$2:$AC$500,0)),"")</f>
        <v/>
      </c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ht="21.75" customHeight="1" spans="1:24">
      <c r="A285" s="8" t="str">
        <f>IFERROR(INDEX(样本到样信息汇总统计!A$2:A$500,MATCH(284,样本到样信息汇总统计!$AC$2:$AC$500,0)),"")</f>
        <v/>
      </c>
      <c r="B285" s="8" t="str">
        <f>IFERROR(INDEX(样本到样信息汇总统计!B$2:B$500,MATCH(284,样本到样信息汇总统计!$AC$2:$AC$500,0)),"")</f>
        <v/>
      </c>
      <c r="C285" s="8" t="str">
        <f>IFERROR(INDEX(样本到样信息汇总统计!C$2:C$500,MATCH(284,样本到样信息汇总统计!$AC$2:$AC$500,0)),"")</f>
        <v/>
      </c>
      <c r="D285" s="8" t="str">
        <f>IFERROR(INDEX(样本到样信息汇总统计!D$2:D$500,MATCH(284,样本到样信息汇总统计!$AC$2:$AC$500,0)),"")</f>
        <v/>
      </c>
      <c r="E285" s="8" t="str">
        <f>IFERROR(INDEX(样本到样信息汇总统计!E$2:E$500,MATCH(284,样本到样信息汇总统计!$AC$2:$AC$500,0)),"")</f>
        <v/>
      </c>
      <c r="F285" s="8" t="str">
        <f>IFERROR(INDEX(样本到样信息汇总统计!F$2:F$500,MATCH(284,样本到样信息汇总统计!$AC$2:$AC$500,0)),"")</f>
        <v/>
      </c>
      <c r="G285" s="8" t="str">
        <f>IFERROR(INDEX(样本到样信息汇总统计!G$2:G$500,MATCH(284,样本到样信息汇总统计!$AC$2:$AC$500,0)),"")</f>
        <v/>
      </c>
      <c r="H285" s="8" t="str">
        <f>IFERROR(INDEX(样本到样信息汇总统计!H$2:H$500,MATCH(284,样本到样信息汇总统计!$AC$2:$AC$500,0)),"")</f>
        <v/>
      </c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 ht="21.75" customHeight="1" spans="1:24">
      <c r="A286" s="4" t="str">
        <f>IFERROR(INDEX(样本到样信息汇总统计!A$2:A$500,MATCH(285,样本到样信息汇总统计!$AC$2:$AC$500,0)),"")</f>
        <v/>
      </c>
      <c r="B286" s="4" t="str">
        <f>IFERROR(INDEX(样本到样信息汇总统计!B$2:B$500,MATCH(285,样本到样信息汇总统计!$AC$2:$AC$500,0)),"")</f>
        <v/>
      </c>
      <c r="C286" s="4" t="str">
        <f>IFERROR(INDEX(样本到样信息汇总统计!C$2:C$500,MATCH(285,样本到样信息汇总统计!$AC$2:$AC$500,0)),"")</f>
        <v/>
      </c>
      <c r="D286" s="4" t="str">
        <f>IFERROR(INDEX(样本到样信息汇总统计!D$2:D$500,MATCH(285,样本到样信息汇总统计!$AC$2:$AC$500,0)),"")</f>
        <v/>
      </c>
      <c r="E286" s="4" t="str">
        <f>IFERROR(INDEX(样本到样信息汇总统计!E$2:E$500,MATCH(285,样本到样信息汇总统计!$AC$2:$AC$500,0)),"")</f>
        <v/>
      </c>
      <c r="F286" s="4" t="str">
        <f>IFERROR(INDEX(样本到样信息汇总统计!F$2:F$500,MATCH(285,样本到样信息汇总统计!$AC$2:$AC$500,0)),"")</f>
        <v/>
      </c>
      <c r="G286" s="4" t="str">
        <f>IFERROR(INDEX(样本到样信息汇总统计!G$2:G$500,MATCH(285,样本到样信息汇总统计!$AC$2:$AC$500,0)),"")</f>
        <v/>
      </c>
      <c r="H286" s="4" t="str">
        <f>IFERROR(INDEX(样本到样信息汇总统计!H$2:H$500,MATCH(285,样本到样信息汇总统计!$AC$2:$AC$500,0)),"")</f>
        <v/>
      </c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ht="21.75" customHeight="1" spans="1:24">
      <c r="A287" s="8" t="str">
        <f>IFERROR(INDEX(样本到样信息汇总统计!A$2:A$500,MATCH(286,样本到样信息汇总统计!$AC$2:$AC$500,0)),"")</f>
        <v/>
      </c>
      <c r="B287" s="8" t="str">
        <f>IFERROR(INDEX(样本到样信息汇总统计!B$2:B$500,MATCH(286,样本到样信息汇总统计!$AC$2:$AC$500,0)),"")</f>
        <v/>
      </c>
      <c r="C287" s="8" t="str">
        <f>IFERROR(INDEX(样本到样信息汇总统计!C$2:C$500,MATCH(286,样本到样信息汇总统计!$AC$2:$AC$500,0)),"")</f>
        <v/>
      </c>
      <c r="D287" s="8" t="str">
        <f>IFERROR(INDEX(样本到样信息汇总统计!D$2:D$500,MATCH(286,样本到样信息汇总统计!$AC$2:$AC$500,0)),"")</f>
        <v/>
      </c>
      <c r="E287" s="8" t="str">
        <f>IFERROR(INDEX(样本到样信息汇总统计!E$2:E$500,MATCH(286,样本到样信息汇总统计!$AC$2:$AC$500,0)),"")</f>
        <v/>
      </c>
      <c r="F287" s="8" t="str">
        <f>IFERROR(INDEX(样本到样信息汇总统计!F$2:F$500,MATCH(286,样本到样信息汇总统计!$AC$2:$AC$500,0)),"")</f>
        <v/>
      </c>
      <c r="G287" s="8" t="str">
        <f>IFERROR(INDEX(样本到样信息汇总统计!G$2:G$500,MATCH(286,样本到样信息汇总统计!$AC$2:$AC$500,0)),"")</f>
        <v/>
      </c>
      <c r="H287" s="8" t="str">
        <f>IFERROR(INDEX(样本到样信息汇总统计!H$2:H$500,MATCH(286,样本到样信息汇总统计!$AC$2:$AC$500,0)),"")</f>
        <v/>
      </c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 ht="21.75" customHeight="1" spans="1:24">
      <c r="A288" s="4" t="str">
        <f>IFERROR(INDEX(样本到样信息汇总统计!A$2:A$500,MATCH(287,样本到样信息汇总统计!$AC$2:$AC$500,0)),"")</f>
        <v/>
      </c>
      <c r="B288" s="4" t="str">
        <f>IFERROR(INDEX(样本到样信息汇总统计!B$2:B$500,MATCH(287,样本到样信息汇总统计!$AC$2:$AC$500,0)),"")</f>
        <v/>
      </c>
      <c r="C288" s="4" t="str">
        <f>IFERROR(INDEX(样本到样信息汇总统计!C$2:C$500,MATCH(287,样本到样信息汇总统计!$AC$2:$AC$500,0)),"")</f>
        <v/>
      </c>
      <c r="D288" s="4" t="str">
        <f>IFERROR(INDEX(样本到样信息汇总统计!D$2:D$500,MATCH(287,样本到样信息汇总统计!$AC$2:$AC$500,0)),"")</f>
        <v/>
      </c>
      <c r="E288" s="4" t="str">
        <f>IFERROR(INDEX(样本到样信息汇总统计!E$2:E$500,MATCH(287,样本到样信息汇总统计!$AC$2:$AC$500,0)),"")</f>
        <v/>
      </c>
      <c r="F288" s="4" t="str">
        <f>IFERROR(INDEX(样本到样信息汇总统计!F$2:F$500,MATCH(287,样本到样信息汇总统计!$AC$2:$AC$500,0)),"")</f>
        <v/>
      </c>
      <c r="G288" s="4" t="str">
        <f>IFERROR(INDEX(样本到样信息汇总统计!G$2:G$500,MATCH(287,样本到样信息汇总统计!$AC$2:$AC$500,0)),"")</f>
        <v/>
      </c>
      <c r="H288" s="4" t="str">
        <f>IFERROR(INDEX(样本到样信息汇总统计!H$2:H$500,MATCH(287,样本到样信息汇总统计!$AC$2:$AC$500,0)),"")</f>
        <v/>
      </c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ht="21.75" customHeight="1" spans="1:24">
      <c r="A289" s="8" t="str">
        <f>IFERROR(INDEX(样本到样信息汇总统计!A$2:A$500,MATCH(288,样本到样信息汇总统计!$AC$2:$AC$500,0)),"")</f>
        <v/>
      </c>
      <c r="B289" s="8" t="str">
        <f>IFERROR(INDEX(样本到样信息汇总统计!B$2:B$500,MATCH(288,样本到样信息汇总统计!$AC$2:$AC$500,0)),"")</f>
        <v/>
      </c>
      <c r="C289" s="8" t="str">
        <f>IFERROR(INDEX(样本到样信息汇总统计!C$2:C$500,MATCH(288,样本到样信息汇总统计!$AC$2:$AC$500,0)),"")</f>
        <v/>
      </c>
      <c r="D289" s="8" t="str">
        <f>IFERROR(INDEX(样本到样信息汇总统计!D$2:D$500,MATCH(288,样本到样信息汇总统计!$AC$2:$AC$500,0)),"")</f>
        <v/>
      </c>
      <c r="E289" s="8" t="str">
        <f>IFERROR(INDEX(样本到样信息汇总统计!E$2:E$500,MATCH(288,样本到样信息汇总统计!$AC$2:$AC$500,0)),"")</f>
        <v/>
      </c>
      <c r="F289" s="8" t="str">
        <f>IFERROR(INDEX(样本到样信息汇总统计!F$2:F$500,MATCH(288,样本到样信息汇总统计!$AC$2:$AC$500,0)),"")</f>
        <v/>
      </c>
      <c r="G289" s="8" t="str">
        <f>IFERROR(INDEX(样本到样信息汇总统计!G$2:G$500,MATCH(288,样本到样信息汇总统计!$AC$2:$AC$500,0)),"")</f>
        <v/>
      </c>
      <c r="H289" s="8" t="str">
        <f>IFERROR(INDEX(样本到样信息汇总统计!H$2:H$500,MATCH(288,样本到样信息汇总统计!$AC$2:$AC$500,0)),"")</f>
        <v/>
      </c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 ht="21.75" customHeight="1" spans="1:24">
      <c r="A290" s="4" t="str">
        <f>IFERROR(INDEX(样本到样信息汇总统计!A$2:A$500,MATCH(289,样本到样信息汇总统计!$AC$2:$AC$500,0)),"")</f>
        <v/>
      </c>
      <c r="B290" s="4" t="str">
        <f>IFERROR(INDEX(样本到样信息汇总统计!B$2:B$500,MATCH(289,样本到样信息汇总统计!$AC$2:$AC$500,0)),"")</f>
        <v/>
      </c>
      <c r="C290" s="4" t="str">
        <f>IFERROR(INDEX(样本到样信息汇总统计!C$2:C$500,MATCH(289,样本到样信息汇总统计!$AC$2:$AC$500,0)),"")</f>
        <v/>
      </c>
      <c r="D290" s="4" t="str">
        <f>IFERROR(INDEX(样本到样信息汇总统计!D$2:D$500,MATCH(289,样本到样信息汇总统计!$AC$2:$AC$500,0)),"")</f>
        <v/>
      </c>
      <c r="E290" s="4" t="str">
        <f>IFERROR(INDEX(样本到样信息汇总统计!E$2:E$500,MATCH(289,样本到样信息汇总统计!$AC$2:$AC$500,0)),"")</f>
        <v/>
      </c>
      <c r="F290" s="4" t="str">
        <f>IFERROR(INDEX(样本到样信息汇总统计!F$2:F$500,MATCH(289,样本到样信息汇总统计!$AC$2:$AC$500,0)),"")</f>
        <v/>
      </c>
      <c r="G290" s="4" t="str">
        <f>IFERROR(INDEX(样本到样信息汇总统计!G$2:G$500,MATCH(289,样本到样信息汇总统计!$AC$2:$AC$500,0)),"")</f>
        <v/>
      </c>
      <c r="H290" s="4" t="str">
        <f>IFERROR(INDEX(样本到样信息汇总统计!H$2:H$500,MATCH(289,样本到样信息汇总统计!$AC$2:$AC$500,0)),"")</f>
        <v/>
      </c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ht="21.75" customHeight="1" spans="1:24">
      <c r="A291" s="8" t="str">
        <f>IFERROR(INDEX(样本到样信息汇总统计!A$2:A$500,MATCH(290,样本到样信息汇总统计!$AC$2:$AC$500,0)),"")</f>
        <v/>
      </c>
      <c r="B291" s="8" t="str">
        <f>IFERROR(INDEX(样本到样信息汇总统计!B$2:B$500,MATCH(290,样本到样信息汇总统计!$AC$2:$AC$500,0)),"")</f>
        <v/>
      </c>
      <c r="C291" s="8" t="str">
        <f>IFERROR(INDEX(样本到样信息汇总统计!C$2:C$500,MATCH(290,样本到样信息汇总统计!$AC$2:$AC$500,0)),"")</f>
        <v/>
      </c>
      <c r="D291" s="8" t="str">
        <f>IFERROR(INDEX(样本到样信息汇总统计!D$2:D$500,MATCH(290,样本到样信息汇总统计!$AC$2:$AC$500,0)),"")</f>
        <v/>
      </c>
      <c r="E291" s="8" t="str">
        <f>IFERROR(INDEX(样本到样信息汇总统计!E$2:E$500,MATCH(290,样本到样信息汇总统计!$AC$2:$AC$500,0)),"")</f>
        <v/>
      </c>
      <c r="F291" s="8" t="str">
        <f>IFERROR(INDEX(样本到样信息汇总统计!F$2:F$500,MATCH(290,样本到样信息汇总统计!$AC$2:$AC$500,0)),"")</f>
        <v/>
      </c>
      <c r="G291" s="8" t="str">
        <f>IFERROR(INDEX(样本到样信息汇总统计!G$2:G$500,MATCH(290,样本到样信息汇总统计!$AC$2:$AC$500,0)),"")</f>
        <v/>
      </c>
      <c r="H291" s="8" t="str">
        <f>IFERROR(INDEX(样本到样信息汇总统计!H$2:H$500,MATCH(290,样本到样信息汇总统计!$AC$2:$AC$500,0)),"")</f>
        <v/>
      </c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 ht="21.75" customHeight="1" spans="1:24">
      <c r="A292" s="4" t="str">
        <f>IFERROR(INDEX(样本到样信息汇总统计!A$2:A$500,MATCH(291,样本到样信息汇总统计!$AC$2:$AC$500,0)),"")</f>
        <v/>
      </c>
      <c r="B292" s="4" t="str">
        <f>IFERROR(INDEX(样本到样信息汇总统计!B$2:B$500,MATCH(291,样本到样信息汇总统计!$AC$2:$AC$500,0)),"")</f>
        <v/>
      </c>
      <c r="C292" s="4" t="str">
        <f>IFERROR(INDEX(样本到样信息汇总统计!C$2:C$500,MATCH(291,样本到样信息汇总统计!$AC$2:$AC$500,0)),"")</f>
        <v/>
      </c>
      <c r="D292" s="4" t="str">
        <f>IFERROR(INDEX(样本到样信息汇总统计!D$2:D$500,MATCH(291,样本到样信息汇总统计!$AC$2:$AC$500,0)),"")</f>
        <v/>
      </c>
      <c r="E292" s="4" t="str">
        <f>IFERROR(INDEX(样本到样信息汇总统计!E$2:E$500,MATCH(291,样本到样信息汇总统计!$AC$2:$AC$500,0)),"")</f>
        <v/>
      </c>
      <c r="F292" s="4" t="str">
        <f>IFERROR(INDEX(样本到样信息汇总统计!F$2:F$500,MATCH(291,样本到样信息汇总统计!$AC$2:$AC$500,0)),"")</f>
        <v/>
      </c>
      <c r="G292" s="4" t="str">
        <f>IFERROR(INDEX(样本到样信息汇总统计!G$2:G$500,MATCH(291,样本到样信息汇总统计!$AC$2:$AC$500,0)),"")</f>
        <v/>
      </c>
      <c r="H292" s="4" t="str">
        <f>IFERROR(INDEX(样本到样信息汇总统计!H$2:H$500,MATCH(291,样本到样信息汇总统计!$AC$2:$AC$500,0)),"")</f>
        <v/>
      </c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ht="21.75" customHeight="1" spans="1:24">
      <c r="A293" s="8" t="str">
        <f>IFERROR(INDEX(样本到样信息汇总统计!A$2:A$500,MATCH(292,样本到样信息汇总统计!$AC$2:$AC$500,0)),"")</f>
        <v/>
      </c>
      <c r="B293" s="8" t="str">
        <f>IFERROR(INDEX(样本到样信息汇总统计!B$2:B$500,MATCH(292,样本到样信息汇总统计!$AC$2:$AC$500,0)),"")</f>
        <v/>
      </c>
      <c r="C293" s="8" t="str">
        <f>IFERROR(INDEX(样本到样信息汇总统计!C$2:C$500,MATCH(292,样本到样信息汇总统计!$AC$2:$AC$500,0)),"")</f>
        <v/>
      </c>
      <c r="D293" s="8" t="str">
        <f>IFERROR(INDEX(样本到样信息汇总统计!D$2:D$500,MATCH(292,样本到样信息汇总统计!$AC$2:$AC$500,0)),"")</f>
        <v/>
      </c>
      <c r="E293" s="8" t="str">
        <f>IFERROR(INDEX(样本到样信息汇总统计!E$2:E$500,MATCH(292,样本到样信息汇总统计!$AC$2:$AC$500,0)),"")</f>
        <v/>
      </c>
      <c r="F293" s="8" t="str">
        <f>IFERROR(INDEX(样本到样信息汇总统计!F$2:F$500,MATCH(292,样本到样信息汇总统计!$AC$2:$AC$500,0)),"")</f>
        <v/>
      </c>
      <c r="G293" s="8" t="str">
        <f>IFERROR(INDEX(样本到样信息汇总统计!G$2:G$500,MATCH(292,样本到样信息汇总统计!$AC$2:$AC$500,0)),"")</f>
        <v/>
      </c>
      <c r="H293" s="8" t="str">
        <f>IFERROR(INDEX(样本到样信息汇总统计!H$2:H$500,MATCH(292,样本到样信息汇总统计!$AC$2:$AC$500,0)),"")</f>
        <v/>
      </c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 ht="21.75" customHeight="1" spans="1:24">
      <c r="A294" s="4" t="str">
        <f>IFERROR(INDEX(样本到样信息汇总统计!A$2:A$500,MATCH(293,样本到样信息汇总统计!$AC$2:$AC$500,0)),"")</f>
        <v/>
      </c>
      <c r="B294" s="4" t="str">
        <f>IFERROR(INDEX(样本到样信息汇总统计!B$2:B$500,MATCH(293,样本到样信息汇总统计!$AC$2:$AC$500,0)),"")</f>
        <v/>
      </c>
      <c r="C294" s="4" t="str">
        <f>IFERROR(INDEX(样本到样信息汇总统计!C$2:C$500,MATCH(293,样本到样信息汇总统计!$AC$2:$AC$500,0)),"")</f>
        <v/>
      </c>
      <c r="D294" s="4" t="str">
        <f>IFERROR(INDEX(样本到样信息汇总统计!D$2:D$500,MATCH(293,样本到样信息汇总统计!$AC$2:$AC$500,0)),"")</f>
        <v/>
      </c>
      <c r="E294" s="4" t="str">
        <f>IFERROR(INDEX(样本到样信息汇总统计!E$2:E$500,MATCH(293,样本到样信息汇总统计!$AC$2:$AC$500,0)),"")</f>
        <v/>
      </c>
      <c r="F294" s="4" t="str">
        <f>IFERROR(INDEX(样本到样信息汇总统计!F$2:F$500,MATCH(293,样本到样信息汇总统计!$AC$2:$AC$500,0)),"")</f>
        <v/>
      </c>
      <c r="G294" s="4" t="str">
        <f>IFERROR(INDEX(样本到样信息汇总统计!G$2:G$500,MATCH(293,样本到样信息汇总统计!$AC$2:$AC$500,0)),"")</f>
        <v/>
      </c>
      <c r="H294" s="4" t="str">
        <f>IFERROR(INDEX(样本到样信息汇总统计!H$2:H$500,MATCH(293,样本到样信息汇总统计!$AC$2:$AC$500,0)),"")</f>
        <v/>
      </c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ht="21.75" customHeight="1" spans="1:24">
      <c r="A295" s="8" t="str">
        <f>IFERROR(INDEX(样本到样信息汇总统计!A$2:A$500,MATCH(294,样本到样信息汇总统计!$AC$2:$AC$500,0)),"")</f>
        <v/>
      </c>
      <c r="B295" s="8" t="str">
        <f>IFERROR(INDEX(样本到样信息汇总统计!B$2:B$500,MATCH(294,样本到样信息汇总统计!$AC$2:$AC$500,0)),"")</f>
        <v/>
      </c>
      <c r="C295" s="8" t="str">
        <f>IFERROR(INDEX(样本到样信息汇总统计!C$2:C$500,MATCH(294,样本到样信息汇总统计!$AC$2:$AC$500,0)),"")</f>
        <v/>
      </c>
      <c r="D295" s="8" t="str">
        <f>IFERROR(INDEX(样本到样信息汇总统计!D$2:D$500,MATCH(294,样本到样信息汇总统计!$AC$2:$AC$500,0)),"")</f>
        <v/>
      </c>
      <c r="E295" s="8" t="str">
        <f>IFERROR(INDEX(样本到样信息汇总统计!E$2:E$500,MATCH(294,样本到样信息汇总统计!$AC$2:$AC$500,0)),"")</f>
        <v/>
      </c>
      <c r="F295" s="8" t="str">
        <f>IFERROR(INDEX(样本到样信息汇总统计!F$2:F$500,MATCH(294,样本到样信息汇总统计!$AC$2:$AC$500,0)),"")</f>
        <v/>
      </c>
      <c r="G295" s="8" t="str">
        <f>IFERROR(INDEX(样本到样信息汇总统计!G$2:G$500,MATCH(294,样本到样信息汇总统计!$AC$2:$AC$500,0)),"")</f>
        <v/>
      </c>
      <c r="H295" s="8" t="str">
        <f>IFERROR(INDEX(样本到样信息汇总统计!H$2:H$500,MATCH(294,样本到样信息汇总统计!$AC$2:$AC$500,0)),"")</f>
        <v/>
      </c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 ht="21.75" customHeight="1" spans="1:24">
      <c r="A296" s="4" t="str">
        <f>IFERROR(INDEX(样本到样信息汇总统计!A$2:A$500,MATCH(295,样本到样信息汇总统计!$AC$2:$AC$500,0)),"")</f>
        <v/>
      </c>
      <c r="B296" s="4" t="str">
        <f>IFERROR(INDEX(样本到样信息汇总统计!B$2:B$500,MATCH(295,样本到样信息汇总统计!$AC$2:$AC$500,0)),"")</f>
        <v/>
      </c>
      <c r="C296" s="4" t="str">
        <f>IFERROR(INDEX(样本到样信息汇总统计!C$2:C$500,MATCH(295,样本到样信息汇总统计!$AC$2:$AC$500,0)),"")</f>
        <v/>
      </c>
      <c r="D296" s="4" t="str">
        <f>IFERROR(INDEX(样本到样信息汇总统计!D$2:D$500,MATCH(295,样本到样信息汇总统计!$AC$2:$AC$500,0)),"")</f>
        <v/>
      </c>
      <c r="E296" s="4" t="str">
        <f>IFERROR(INDEX(样本到样信息汇总统计!E$2:E$500,MATCH(295,样本到样信息汇总统计!$AC$2:$AC$500,0)),"")</f>
        <v/>
      </c>
      <c r="F296" s="4" t="str">
        <f>IFERROR(INDEX(样本到样信息汇总统计!F$2:F$500,MATCH(295,样本到样信息汇总统计!$AC$2:$AC$500,0)),"")</f>
        <v/>
      </c>
      <c r="G296" s="4" t="str">
        <f>IFERROR(INDEX(样本到样信息汇总统计!G$2:G$500,MATCH(295,样本到样信息汇总统计!$AC$2:$AC$500,0)),"")</f>
        <v/>
      </c>
      <c r="H296" s="4" t="str">
        <f>IFERROR(INDEX(样本到样信息汇总统计!H$2:H$500,MATCH(295,样本到样信息汇总统计!$AC$2:$AC$500,0)),"")</f>
        <v/>
      </c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ht="21.75" customHeight="1" spans="1:24">
      <c r="A297" s="8" t="str">
        <f>IFERROR(INDEX(样本到样信息汇总统计!A$2:A$500,MATCH(296,样本到样信息汇总统计!$AC$2:$AC$500,0)),"")</f>
        <v/>
      </c>
      <c r="B297" s="8" t="str">
        <f>IFERROR(INDEX(样本到样信息汇总统计!B$2:B$500,MATCH(296,样本到样信息汇总统计!$AC$2:$AC$500,0)),"")</f>
        <v/>
      </c>
      <c r="C297" s="8" t="str">
        <f>IFERROR(INDEX(样本到样信息汇总统计!C$2:C$500,MATCH(296,样本到样信息汇总统计!$AC$2:$AC$500,0)),"")</f>
        <v/>
      </c>
      <c r="D297" s="8" t="str">
        <f>IFERROR(INDEX(样本到样信息汇总统计!D$2:D$500,MATCH(296,样本到样信息汇总统计!$AC$2:$AC$500,0)),"")</f>
        <v/>
      </c>
      <c r="E297" s="8" t="str">
        <f>IFERROR(INDEX(样本到样信息汇总统计!E$2:E$500,MATCH(296,样本到样信息汇总统计!$AC$2:$AC$500,0)),"")</f>
        <v/>
      </c>
      <c r="F297" s="8" t="str">
        <f>IFERROR(INDEX(样本到样信息汇总统计!F$2:F$500,MATCH(296,样本到样信息汇总统计!$AC$2:$AC$500,0)),"")</f>
        <v/>
      </c>
      <c r="G297" s="8" t="str">
        <f>IFERROR(INDEX(样本到样信息汇总统计!G$2:G$500,MATCH(296,样本到样信息汇总统计!$AC$2:$AC$500,0)),"")</f>
        <v/>
      </c>
      <c r="H297" s="8" t="str">
        <f>IFERROR(INDEX(样本到样信息汇总统计!H$2:H$500,MATCH(296,样本到样信息汇总统计!$AC$2:$AC$500,0)),"")</f>
        <v/>
      </c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 ht="21.75" customHeight="1" spans="1:24">
      <c r="A298" s="4" t="str">
        <f>IFERROR(INDEX(样本到样信息汇总统计!A$2:A$500,MATCH(297,样本到样信息汇总统计!$AC$2:$AC$500,0)),"")</f>
        <v/>
      </c>
      <c r="B298" s="4" t="str">
        <f>IFERROR(INDEX(样本到样信息汇总统计!B$2:B$500,MATCH(297,样本到样信息汇总统计!$AC$2:$AC$500,0)),"")</f>
        <v/>
      </c>
      <c r="C298" s="4" t="str">
        <f>IFERROR(INDEX(样本到样信息汇总统计!C$2:C$500,MATCH(297,样本到样信息汇总统计!$AC$2:$AC$500,0)),"")</f>
        <v/>
      </c>
      <c r="D298" s="4" t="str">
        <f>IFERROR(INDEX(样本到样信息汇总统计!D$2:D$500,MATCH(297,样本到样信息汇总统计!$AC$2:$AC$500,0)),"")</f>
        <v/>
      </c>
      <c r="E298" s="4" t="str">
        <f>IFERROR(INDEX(样本到样信息汇总统计!E$2:E$500,MATCH(297,样本到样信息汇总统计!$AC$2:$AC$500,0)),"")</f>
        <v/>
      </c>
      <c r="F298" s="4" t="str">
        <f>IFERROR(INDEX(样本到样信息汇总统计!F$2:F$500,MATCH(297,样本到样信息汇总统计!$AC$2:$AC$500,0)),"")</f>
        <v/>
      </c>
      <c r="G298" s="4" t="str">
        <f>IFERROR(INDEX(样本到样信息汇总统计!G$2:G$500,MATCH(297,样本到样信息汇总统计!$AC$2:$AC$500,0)),"")</f>
        <v/>
      </c>
      <c r="H298" s="4" t="str">
        <f>IFERROR(INDEX(样本到样信息汇总统计!H$2:H$500,MATCH(297,样本到样信息汇总统计!$AC$2:$AC$500,0)),"")</f>
        <v/>
      </c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ht="21.75" customHeight="1" spans="1:24">
      <c r="A299" s="8" t="str">
        <f>IFERROR(INDEX(样本到样信息汇总统计!A$2:A$500,MATCH(298,样本到样信息汇总统计!$AC$2:$AC$500,0)),"")</f>
        <v/>
      </c>
      <c r="B299" s="8" t="str">
        <f>IFERROR(INDEX(样本到样信息汇总统计!B$2:B$500,MATCH(298,样本到样信息汇总统计!$AC$2:$AC$500,0)),"")</f>
        <v/>
      </c>
      <c r="C299" s="8" t="str">
        <f>IFERROR(INDEX(样本到样信息汇总统计!C$2:C$500,MATCH(298,样本到样信息汇总统计!$AC$2:$AC$500,0)),"")</f>
        <v/>
      </c>
      <c r="D299" s="8" t="str">
        <f>IFERROR(INDEX(样本到样信息汇总统计!D$2:D$500,MATCH(298,样本到样信息汇总统计!$AC$2:$AC$500,0)),"")</f>
        <v/>
      </c>
      <c r="E299" s="8" t="str">
        <f>IFERROR(INDEX(样本到样信息汇总统计!E$2:E$500,MATCH(298,样本到样信息汇总统计!$AC$2:$AC$500,0)),"")</f>
        <v/>
      </c>
      <c r="F299" s="8" t="str">
        <f>IFERROR(INDEX(样本到样信息汇总统计!F$2:F$500,MATCH(298,样本到样信息汇总统计!$AC$2:$AC$500,0)),"")</f>
        <v/>
      </c>
      <c r="G299" s="8" t="str">
        <f>IFERROR(INDEX(样本到样信息汇总统计!G$2:G$500,MATCH(298,样本到样信息汇总统计!$AC$2:$AC$500,0)),"")</f>
        <v/>
      </c>
      <c r="H299" s="8" t="str">
        <f>IFERROR(INDEX(样本到样信息汇总统计!H$2:H$500,MATCH(298,样本到样信息汇总统计!$AC$2:$AC$500,0)),"")</f>
        <v/>
      </c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 ht="21.75" customHeight="1" spans="1:24">
      <c r="A300" s="4" t="str">
        <f>IFERROR(INDEX(样本到样信息汇总统计!A$2:A$500,MATCH(299,样本到样信息汇总统计!$AC$2:$AC$500,0)),"")</f>
        <v/>
      </c>
      <c r="B300" s="4" t="str">
        <f>IFERROR(INDEX(样本到样信息汇总统计!B$2:B$500,MATCH(299,样本到样信息汇总统计!$AC$2:$AC$500,0)),"")</f>
        <v/>
      </c>
      <c r="C300" s="4" t="str">
        <f>IFERROR(INDEX(样本到样信息汇总统计!C$2:C$500,MATCH(299,样本到样信息汇总统计!$AC$2:$AC$500,0)),"")</f>
        <v/>
      </c>
      <c r="D300" s="4" t="str">
        <f>IFERROR(INDEX(样本到样信息汇总统计!D$2:D$500,MATCH(299,样本到样信息汇总统计!$AC$2:$AC$500,0)),"")</f>
        <v/>
      </c>
      <c r="E300" s="4" t="str">
        <f>IFERROR(INDEX(样本到样信息汇总统计!E$2:E$500,MATCH(299,样本到样信息汇总统计!$AC$2:$AC$500,0)),"")</f>
        <v/>
      </c>
      <c r="F300" s="4" t="str">
        <f>IFERROR(INDEX(样本到样信息汇总统计!F$2:F$500,MATCH(299,样本到样信息汇总统计!$AC$2:$AC$500,0)),"")</f>
        <v/>
      </c>
      <c r="G300" s="4" t="str">
        <f>IFERROR(INDEX(样本到样信息汇总统计!G$2:G$500,MATCH(299,样本到样信息汇总统计!$AC$2:$AC$500,0)),"")</f>
        <v/>
      </c>
      <c r="H300" s="4" t="str">
        <f>IFERROR(INDEX(样本到样信息汇总统计!H$2:H$500,MATCH(299,样本到样信息汇总统计!$AC$2:$AC$500,0)),"")</f>
        <v/>
      </c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ht="21.75" customHeight="1" spans="1:24">
      <c r="A301" s="8" t="str">
        <f>IFERROR(INDEX(样本到样信息汇总统计!A$2:A$500,MATCH(300,样本到样信息汇总统计!$AC$2:$AC$500,0)),"")</f>
        <v/>
      </c>
      <c r="B301" s="8" t="str">
        <f>IFERROR(INDEX(样本到样信息汇总统计!B$2:B$500,MATCH(300,样本到样信息汇总统计!$AC$2:$AC$500,0)),"")</f>
        <v/>
      </c>
      <c r="C301" s="8" t="str">
        <f>IFERROR(INDEX(样本到样信息汇总统计!C$2:C$500,MATCH(300,样本到样信息汇总统计!$AC$2:$AC$500,0)),"")</f>
        <v/>
      </c>
      <c r="D301" s="8" t="str">
        <f>IFERROR(INDEX(样本到样信息汇总统计!D$2:D$500,MATCH(300,样本到样信息汇总统计!$AC$2:$AC$500,0)),"")</f>
        <v/>
      </c>
      <c r="E301" s="8" t="str">
        <f>IFERROR(INDEX(样本到样信息汇总统计!E$2:E$500,MATCH(300,样本到样信息汇总统计!$AC$2:$AC$500,0)),"")</f>
        <v/>
      </c>
      <c r="F301" s="8" t="str">
        <f>IFERROR(INDEX(样本到样信息汇总统计!F$2:F$500,MATCH(300,样本到样信息汇总统计!$AC$2:$AC$500,0)),"")</f>
        <v/>
      </c>
      <c r="G301" s="8" t="str">
        <f>IFERROR(INDEX(样本到样信息汇总统计!G$2:G$500,MATCH(300,样本到样信息汇总统计!$AC$2:$AC$500,0)),"")</f>
        <v/>
      </c>
      <c r="H301" s="8" t="str">
        <f>IFERROR(INDEX(样本到样信息汇总统计!H$2:H$500,MATCH(300,样本到样信息汇总统计!$AC$2:$AC$500,0)),"")</f>
        <v/>
      </c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 ht="21.75" customHeight="1" spans="1:24">
      <c r="A302" s="4" t="str">
        <f>IFERROR(INDEX(样本到样信息汇总统计!A$2:A$500,MATCH(301,样本到样信息汇总统计!$AC$2:$AC$500,0)),"")</f>
        <v/>
      </c>
      <c r="B302" s="4" t="str">
        <f>IFERROR(INDEX(样本到样信息汇总统计!B$2:B$500,MATCH(301,样本到样信息汇总统计!$AC$2:$AC$500,0)),"")</f>
        <v/>
      </c>
      <c r="C302" s="4" t="str">
        <f>IFERROR(INDEX(样本到样信息汇总统计!C$2:C$500,MATCH(301,样本到样信息汇总统计!$AC$2:$AC$500,0)),"")</f>
        <v/>
      </c>
      <c r="D302" s="4" t="str">
        <f>IFERROR(INDEX(样本到样信息汇总统计!D$2:D$500,MATCH(301,样本到样信息汇总统计!$AC$2:$AC$500,0)),"")</f>
        <v/>
      </c>
      <c r="E302" s="4" t="str">
        <f>IFERROR(INDEX(样本到样信息汇总统计!E$2:E$500,MATCH(301,样本到样信息汇总统计!$AC$2:$AC$500,0)),"")</f>
        <v/>
      </c>
      <c r="F302" s="4" t="str">
        <f>IFERROR(INDEX(样本到样信息汇总统计!F$2:F$500,MATCH(301,样本到样信息汇总统计!$AC$2:$AC$500,0)),"")</f>
        <v/>
      </c>
      <c r="G302" s="4" t="str">
        <f>IFERROR(INDEX(样本到样信息汇总统计!G$2:G$500,MATCH(301,样本到样信息汇总统计!$AC$2:$AC$500,0)),"")</f>
        <v/>
      </c>
      <c r="H302" s="4" t="str">
        <f>IFERROR(INDEX(样本到样信息汇总统计!H$2:H$500,MATCH(301,样本到样信息汇总统计!$AC$2:$AC$500,0)),"")</f>
        <v/>
      </c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ht="21.75" customHeight="1" spans="1:24">
      <c r="A303" s="8" t="str">
        <f>IFERROR(INDEX(样本到样信息汇总统计!A$2:A$500,MATCH(302,样本到样信息汇总统计!$AC$2:$AC$500,0)),"")</f>
        <v/>
      </c>
      <c r="B303" s="8" t="str">
        <f>IFERROR(INDEX(样本到样信息汇总统计!B$2:B$500,MATCH(302,样本到样信息汇总统计!$AC$2:$AC$500,0)),"")</f>
        <v/>
      </c>
      <c r="C303" s="8" t="str">
        <f>IFERROR(INDEX(样本到样信息汇总统计!C$2:C$500,MATCH(302,样本到样信息汇总统计!$AC$2:$AC$500,0)),"")</f>
        <v/>
      </c>
      <c r="D303" s="8" t="str">
        <f>IFERROR(INDEX(样本到样信息汇总统计!D$2:D$500,MATCH(302,样本到样信息汇总统计!$AC$2:$AC$500,0)),"")</f>
        <v/>
      </c>
      <c r="E303" s="8" t="str">
        <f>IFERROR(INDEX(样本到样信息汇总统计!E$2:E$500,MATCH(302,样本到样信息汇总统计!$AC$2:$AC$500,0)),"")</f>
        <v/>
      </c>
      <c r="F303" s="8" t="str">
        <f>IFERROR(INDEX(样本到样信息汇总统计!F$2:F$500,MATCH(302,样本到样信息汇总统计!$AC$2:$AC$500,0)),"")</f>
        <v/>
      </c>
      <c r="G303" s="8" t="str">
        <f>IFERROR(INDEX(样本到样信息汇总统计!G$2:G$500,MATCH(302,样本到样信息汇总统计!$AC$2:$AC$500,0)),"")</f>
        <v/>
      </c>
      <c r="H303" s="8" t="str">
        <f>IFERROR(INDEX(样本到样信息汇总统计!H$2:H$500,MATCH(302,样本到样信息汇总统计!$AC$2:$AC$500,0)),"")</f>
        <v/>
      </c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 ht="21.75" customHeight="1" spans="1:24">
      <c r="A304" s="4" t="str">
        <f>IFERROR(INDEX(样本到样信息汇总统计!A$2:A$500,MATCH(303,样本到样信息汇总统计!$AC$2:$AC$500,0)),"")</f>
        <v/>
      </c>
      <c r="B304" s="4" t="str">
        <f>IFERROR(INDEX(样本到样信息汇总统计!B$2:B$500,MATCH(303,样本到样信息汇总统计!$AC$2:$AC$500,0)),"")</f>
        <v/>
      </c>
      <c r="C304" s="4" t="str">
        <f>IFERROR(INDEX(样本到样信息汇总统计!C$2:C$500,MATCH(303,样本到样信息汇总统计!$AC$2:$AC$500,0)),"")</f>
        <v/>
      </c>
      <c r="D304" s="4" t="str">
        <f>IFERROR(INDEX(样本到样信息汇总统计!D$2:D$500,MATCH(303,样本到样信息汇总统计!$AC$2:$AC$500,0)),"")</f>
        <v/>
      </c>
      <c r="E304" s="4" t="str">
        <f>IFERROR(INDEX(样本到样信息汇总统计!E$2:E$500,MATCH(303,样本到样信息汇总统计!$AC$2:$AC$500,0)),"")</f>
        <v/>
      </c>
      <c r="F304" s="4" t="str">
        <f>IFERROR(INDEX(样本到样信息汇总统计!F$2:F$500,MATCH(303,样本到样信息汇总统计!$AC$2:$AC$500,0)),"")</f>
        <v/>
      </c>
      <c r="G304" s="4" t="str">
        <f>IFERROR(INDEX(样本到样信息汇总统计!G$2:G$500,MATCH(303,样本到样信息汇总统计!$AC$2:$AC$500,0)),"")</f>
        <v/>
      </c>
      <c r="H304" s="4" t="str">
        <f>IFERROR(INDEX(样本到样信息汇总统计!H$2:H$500,MATCH(303,样本到样信息汇总统计!$AC$2:$AC$500,0)),"")</f>
        <v/>
      </c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ht="21.75" customHeight="1" spans="1:24">
      <c r="A305" s="8" t="str">
        <f>IFERROR(INDEX(样本到样信息汇总统计!A$2:A$500,MATCH(304,样本到样信息汇总统计!$AC$2:$AC$500,0)),"")</f>
        <v/>
      </c>
      <c r="B305" s="8" t="str">
        <f>IFERROR(INDEX(样本到样信息汇总统计!B$2:B$500,MATCH(304,样本到样信息汇总统计!$AC$2:$AC$500,0)),"")</f>
        <v/>
      </c>
      <c r="C305" s="8" t="str">
        <f>IFERROR(INDEX(样本到样信息汇总统计!C$2:C$500,MATCH(304,样本到样信息汇总统计!$AC$2:$AC$500,0)),"")</f>
        <v/>
      </c>
      <c r="D305" s="8" t="str">
        <f>IFERROR(INDEX(样本到样信息汇总统计!D$2:D$500,MATCH(304,样本到样信息汇总统计!$AC$2:$AC$500,0)),"")</f>
        <v/>
      </c>
      <c r="E305" s="8" t="str">
        <f>IFERROR(INDEX(样本到样信息汇总统计!E$2:E$500,MATCH(304,样本到样信息汇总统计!$AC$2:$AC$500,0)),"")</f>
        <v/>
      </c>
      <c r="F305" s="8" t="str">
        <f>IFERROR(INDEX(样本到样信息汇总统计!F$2:F$500,MATCH(304,样本到样信息汇总统计!$AC$2:$AC$500,0)),"")</f>
        <v/>
      </c>
      <c r="G305" s="8" t="str">
        <f>IFERROR(INDEX(样本到样信息汇总统计!G$2:G$500,MATCH(304,样本到样信息汇总统计!$AC$2:$AC$500,0)),"")</f>
        <v/>
      </c>
      <c r="H305" s="8" t="str">
        <f>IFERROR(INDEX(样本到样信息汇总统计!H$2:H$500,MATCH(304,样本到样信息汇总统计!$AC$2:$AC$500,0)),"")</f>
        <v/>
      </c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 ht="21.75" customHeight="1" spans="1:24">
      <c r="A306" s="4" t="str">
        <f>IFERROR(INDEX(样本到样信息汇总统计!A$2:A$500,MATCH(305,样本到样信息汇总统计!$AC$2:$AC$500,0)),"")</f>
        <v/>
      </c>
      <c r="B306" s="4" t="str">
        <f>IFERROR(INDEX(样本到样信息汇总统计!B$2:B$500,MATCH(305,样本到样信息汇总统计!$AC$2:$AC$500,0)),"")</f>
        <v/>
      </c>
      <c r="C306" s="4" t="str">
        <f>IFERROR(INDEX(样本到样信息汇总统计!C$2:C$500,MATCH(305,样本到样信息汇总统计!$AC$2:$AC$500,0)),"")</f>
        <v/>
      </c>
      <c r="D306" s="4" t="str">
        <f>IFERROR(INDEX(样本到样信息汇总统计!D$2:D$500,MATCH(305,样本到样信息汇总统计!$AC$2:$AC$500,0)),"")</f>
        <v/>
      </c>
      <c r="E306" s="4" t="str">
        <f>IFERROR(INDEX(样本到样信息汇总统计!E$2:E$500,MATCH(305,样本到样信息汇总统计!$AC$2:$AC$500,0)),"")</f>
        <v/>
      </c>
      <c r="F306" s="4" t="str">
        <f>IFERROR(INDEX(样本到样信息汇总统计!F$2:F$500,MATCH(305,样本到样信息汇总统计!$AC$2:$AC$500,0)),"")</f>
        <v/>
      </c>
      <c r="G306" s="4" t="str">
        <f>IFERROR(INDEX(样本到样信息汇总统计!G$2:G$500,MATCH(305,样本到样信息汇总统计!$AC$2:$AC$500,0)),"")</f>
        <v/>
      </c>
      <c r="H306" s="4" t="str">
        <f>IFERROR(INDEX(样本到样信息汇总统计!H$2:H$500,MATCH(305,样本到样信息汇总统计!$AC$2:$AC$500,0)),"")</f>
        <v/>
      </c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ht="21.75" customHeight="1" spans="1:24">
      <c r="A307" s="8" t="str">
        <f>IFERROR(INDEX(样本到样信息汇总统计!A$2:A$500,MATCH(306,样本到样信息汇总统计!$AC$2:$AC$500,0)),"")</f>
        <v/>
      </c>
      <c r="B307" s="8" t="str">
        <f>IFERROR(INDEX(样本到样信息汇总统计!B$2:B$500,MATCH(306,样本到样信息汇总统计!$AC$2:$AC$500,0)),"")</f>
        <v/>
      </c>
      <c r="C307" s="8" t="str">
        <f>IFERROR(INDEX(样本到样信息汇总统计!C$2:C$500,MATCH(306,样本到样信息汇总统计!$AC$2:$AC$500,0)),"")</f>
        <v/>
      </c>
      <c r="D307" s="8" t="str">
        <f>IFERROR(INDEX(样本到样信息汇总统计!D$2:D$500,MATCH(306,样本到样信息汇总统计!$AC$2:$AC$500,0)),"")</f>
        <v/>
      </c>
      <c r="E307" s="8" t="str">
        <f>IFERROR(INDEX(样本到样信息汇总统计!E$2:E$500,MATCH(306,样本到样信息汇总统计!$AC$2:$AC$500,0)),"")</f>
        <v/>
      </c>
      <c r="F307" s="8" t="str">
        <f>IFERROR(INDEX(样本到样信息汇总统计!F$2:F$500,MATCH(306,样本到样信息汇总统计!$AC$2:$AC$500,0)),"")</f>
        <v/>
      </c>
      <c r="G307" s="8" t="str">
        <f>IFERROR(INDEX(样本到样信息汇总统计!G$2:G$500,MATCH(306,样本到样信息汇总统计!$AC$2:$AC$500,0)),"")</f>
        <v/>
      </c>
      <c r="H307" s="8" t="str">
        <f>IFERROR(INDEX(样本到样信息汇总统计!H$2:H$500,MATCH(306,样本到样信息汇总统计!$AC$2:$AC$500,0)),"")</f>
        <v/>
      </c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 ht="21.75" customHeight="1" spans="1:24">
      <c r="A308" s="4" t="str">
        <f>IFERROR(INDEX(样本到样信息汇总统计!A$2:A$500,MATCH(307,样本到样信息汇总统计!$AC$2:$AC$500,0)),"")</f>
        <v/>
      </c>
      <c r="B308" s="4" t="str">
        <f>IFERROR(INDEX(样本到样信息汇总统计!B$2:B$500,MATCH(307,样本到样信息汇总统计!$AC$2:$AC$500,0)),"")</f>
        <v/>
      </c>
      <c r="C308" s="4" t="str">
        <f>IFERROR(INDEX(样本到样信息汇总统计!C$2:C$500,MATCH(307,样本到样信息汇总统计!$AC$2:$AC$500,0)),"")</f>
        <v/>
      </c>
      <c r="D308" s="4" t="str">
        <f>IFERROR(INDEX(样本到样信息汇总统计!D$2:D$500,MATCH(307,样本到样信息汇总统计!$AC$2:$AC$500,0)),"")</f>
        <v/>
      </c>
      <c r="E308" s="4" t="str">
        <f>IFERROR(INDEX(样本到样信息汇总统计!E$2:E$500,MATCH(307,样本到样信息汇总统计!$AC$2:$AC$500,0)),"")</f>
        <v/>
      </c>
      <c r="F308" s="4" t="str">
        <f>IFERROR(INDEX(样本到样信息汇总统计!F$2:F$500,MATCH(307,样本到样信息汇总统计!$AC$2:$AC$500,0)),"")</f>
        <v/>
      </c>
      <c r="G308" s="4" t="str">
        <f>IFERROR(INDEX(样本到样信息汇总统计!G$2:G$500,MATCH(307,样本到样信息汇总统计!$AC$2:$AC$500,0)),"")</f>
        <v/>
      </c>
      <c r="H308" s="4" t="str">
        <f>IFERROR(INDEX(样本到样信息汇总统计!H$2:H$500,MATCH(307,样本到样信息汇总统计!$AC$2:$AC$500,0)),"")</f>
        <v/>
      </c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ht="21.75" customHeight="1" spans="1:24">
      <c r="A309" s="8" t="str">
        <f>IFERROR(INDEX(样本到样信息汇总统计!A$2:A$500,MATCH(308,样本到样信息汇总统计!$AC$2:$AC$500,0)),"")</f>
        <v/>
      </c>
      <c r="B309" s="8" t="str">
        <f>IFERROR(INDEX(样本到样信息汇总统计!B$2:B$500,MATCH(308,样本到样信息汇总统计!$AC$2:$AC$500,0)),"")</f>
        <v/>
      </c>
      <c r="C309" s="8" t="str">
        <f>IFERROR(INDEX(样本到样信息汇总统计!C$2:C$500,MATCH(308,样本到样信息汇总统计!$AC$2:$AC$500,0)),"")</f>
        <v/>
      </c>
      <c r="D309" s="8" t="str">
        <f>IFERROR(INDEX(样本到样信息汇总统计!D$2:D$500,MATCH(308,样本到样信息汇总统计!$AC$2:$AC$500,0)),"")</f>
        <v/>
      </c>
      <c r="E309" s="8" t="str">
        <f>IFERROR(INDEX(样本到样信息汇总统计!E$2:E$500,MATCH(308,样本到样信息汇总统计!$AC$2:$AC$500,0)),"")</f>
        <v/>
      </c>
      <c r="F309" s="8" t="str">
        <f>IFERROR(INDEX(样本到样信息汇总统计!F$2:F$500,MATCH(308,样本到样信息汇总统计!$AC$2:$AC$500,0)),"")</f>
        <v/>
      </c>
      <c r="G309" s="8" t="str">
        <f>IFERROR(INDEX(样本到样信息汇总统计!G$2:G$500,MATCH(308,样本到样信息汇总统计!$AC$2:$AC$500,0)),"")</f>
        <v/>
      </c>
      <c r="H309" s="8" t="str">
        <f>IFERROR(INDEX(样本到样信息汇总统计!H$2:H$500,MATCH(308,样本到样信息汇总统计!$AC$2:$AC$500,0)),"")</f>
        <v/>
      </c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 ht="21.75" customHeight="1" spans="1:24">
      <c r="A310" s="4" t="str">
        <f>IFERROR(INDEX(样本到样信息汇总统计!A$2:A$500,MATCH(309,样本到样信息汇总统计!$AC$2:$AC$500,0)),"")</f>
        <v/>
      </c>
      <c r="B310" s="4" t="str">
        <f>IFERROR(INDEX(样本到样信息汇总统计!B$2:B$500,MATCH(309,样本到样信息汇总统计!$AC$2:$AC$500,0)),"")</f>
        <v/>
      </c>
      <c r="C310" s="4" t="str">
        <f>IFERROR(INDEX(样本到样信息汇总统计!C$2:C$500,MATCH(309,样本到样信息汇总统计!$AC$2:$AC$500,0)),"")</f>
        <v/>
      </c>
      <c r="D310" s="4" t="str">
        <f>IFERROR(INDEX(样本到样信息汇总统计!D$2:D$500,MATCH(309,样本到样信息汇总统计!$AC$2:$AC$500,0)),"")</f>
        <v/>
      </c>
      <c r="E310" s="4" t="str">
        <f>IFERROR(INDEX(样本到样信息汇总统计!E$2:E$500,MATCH(309,样本到样信息汇总统计!$AC$2:$AC$500,0)),"")</f>
        <v/>
      </c>
      <c r="F310" s="4" t="str">
        <f>IFERROR(INDEX(样本到样信息汇总统计!F$2:F$500,MATCH(309,样本到样信息汇总统计!$AC$2:$AC$500,0)),"")</f>
        <v/>
      </c>
      <c r="G310" s="4" t="str">
        <f>IFERROR(INDEX(样本到样信息汇总统计!G$2:G$500,MATCH(309,样本到样信息汇总统计!$AC$2:$AC$500,0)),"")</f>
        <v/>
      </c>
      <c r="H310" s="4" t="str">
        <f>IFERROR(INDEX(样本到样信息汇总统计!H$2:H$500,MATCH(309,样本到样信息汇总统计!$AC$2:$AC$500,0)),"")</f>
        <v/>
      </c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ht="21.75" customHeight="1" spans="1:24">
      <c r="A311" s="8" t="str">
        <f>IFERROR(INDEX(样本到样信息汇总统计!A$2:A$500,MATCH(310,样本到样信息汇总统计!$AC$2:$AC$500,0)),"")</f>
        <v/>
      </c>
      <c r="B311" s="8" t="str">
        <f>IFERROR(INDEX(样本到样信息汇总统计!B$2:B$500,MATCH(310,样本到样信息汇总统计!$AC$2:$AC$500,0)),"")</f>
        <v/>
      </c>
      <c r="C311" s="8" t="str">
        <f>IFERROR(INDEX(样本到样信息汇总统计!C$2:C$500,MATCH(310,样本到样信息汇总统计!$AC$2:$AC$500,0)),"")</f>
        <v/>
      </c>
      <c r="D311" s="8" t="str">
        <f>IFERROR(INDEX(样本到样信息汇总统计!D$2:D$500,MATCH(310,样本到样信息汇总统计!$AC$2:$AC$500,0)),"")</f>
        <v/>
      </c>
      <c r="E311" s="8" t="str">
        <f>IFERROR(INDEX(样本到样信息汇总统计!E$2:E$500,MATCH(310,样本到样信息汇总统计!$AC$2:$AC$500,0)),"")</f>
        <v/>
      </c>
      <c r="F311" s="8" t="str">
        <f>IFERROR(INDEX(样本到样信息汇总统计!F$2:F$500,MATCH(310,样本到样信息汇总统计!$AC$2:$AC$500,0)),"")</f>
        <v/>
      </c>
      <c r="G311" s="8" t="str">
        <f>IFERROR(INDEX(样本到样信息汇总统计!G$2:G$500,MATCH(310,样本到样信息汇总统计!$AC$2:$AC$500,0)),"")</f>
        <v/>
      </c>
      <c r="H311" s="8" t="str">
        <f>IFERROR(INDEX(样本到样信息汇总统计!H$2:H$500,MATCH(310,样本到样信息汇总统计!$AC$2:$AC$500,0)),"")</f>
        <v/>
      </c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 ht="21.75" customHeight="1" spans="1:24">
      <c r="A312" s="4" t="str">
        <f>IFERROR(INDEX(样本到样信息汇总统计!A$2:A$500,MATCH(311,样本到样信息汇总统计!$AC$2:$AC$500,0)),"")</f>
        <v/>
      </c>
      <c r="B312" s="4" t="str">
        <f>IFERROR(INDEX(样本到样信息汇总统计!B$2:B$500,MATCH(311,样本到样信息汇总统计!$AC$2:$AC$500,0)),"")</f>
        <v/>
      </c>
      <c r="C312" s="4" t="str">
        <f>IFERROR(INDEX(样本到样信息汇总统计!C$2:C$500,MATCH(311,样本到样信息汇总统计!$AC$2:$AC$500,0)),"")</f>
        <v/>
      </c>
      <c r="D312" s="4" t="str">
        <f>IFERROR(INDEX(样本到样信息汇总统计!D$2:D$500,MATCH(311,样本到样信息汇总统计!$AC$2:$AC$500,0)),"")</f>
        <v/>
      </c>
      <c r="E312" s="4" t="str">
        <f>IFERROR(INDEX(样本到样信息汇总统计!E$2:E$500,MATCH(311,样本到样信息汇总统计!$AC$2:$AC$500,0)),"")</f>
        <v/>
      </c>
      <c r="F312" s="4" t="str">
        <f>IFERROR(INDEX(样本到样信息汇总统计!F$2:F$500,MATCH(311,样本到样信息汇总统计!$AC$2:$AC$500,0)),"")</f>
        <v/>
      </c>
      <c r="G312" s="4" t="str">
        <f>IFERROR(INDEX(样本到样信息汇总统计!G$2:G$500,MATCH(311,样本到样信息汇总统计!$AC$2:$AC$500,0)),"")</f>
        <v/>
      </c>
      <c r="H312" s="4" t="str">
        <f>IFERROR(INDEX(样本到样信息汇总统计!H$2:H$500,MATCH(311,样本到样信息汇总统计!$AC$2:$AC$500,0)),"")</f>
        <v/>
      </c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ht="21.75" customHeight="1" spans="1:24">
      <c r="A313" s="8" t="str">
        <f>IFERROR(INDEX(样本到样信息汇总统计!A$2:A$500,MATCH(312,样本到样信息汇总统计!$AC$2:$AC$500,0)),"")</f>
        <v/>
      </c>
      <c r="B313" s="8" t="str">
        <f>IFERROR(INDEX(样本到样信息汇总统计!B$2:B$500,MATCH(312,样本到样信息汇总统计!$AC$2:$AC$500,0)),"")</f>
        <v/>
      </c>
      <c r="C313" s="8" t="str">
        <f>IFERROR(INDEX(样本到样信息汇总统计!C$2:C$500,MATCH(312,样本到样信息汇总统计!$AC$2:$AC$500,0)),"")</f>
        <v/>
      </c>
      <c r="D313" s="8" t="str">
        <f>IFERROR(INDEX(样本到样信息汇总统计!D$2:D$500,MATCH(312,样本到样信息汇总统计!$AC$2:$AC$500,0)),"")</f>
        <v/>
      </c>
      <c r="E313" s="8" t="str">
        <f>IFERROR(INDEX(样本到样信息汇总统计!E$2:E$500,MATCH(312,样本到样信息汇总统计!$AC$2:$AC$500,0)),"")</f>
        <v/>
      </c>
      <c r="F313" s="8" t="str">
        <f>IFERROR(INDEX(样本到样信息汇总统计!F$2:F$500,MATCH(312,样本到样信息汇总统计!$AC$2:$AC$500,0)),"")</f>
        <v/>
      </c>
      <c r="G313" s="8" t="str">
        <f>IFERROR(INDEX(样本到样信息汇总统计!G$2:G$500,MATCH(312,样本到样信息汇总统计!$AC$2:$AC$500,0)),"")</f>
        <v/>
      </c>
      <c r="H313" s="8" t="str">
        <f>IFERROR(INDEX(样本到样信息汇总统计!H$2:H$500,MATCH(312,样本到样信息汇总统计!$AC$2:$AC$500,0)),"")</f>
        <v/>
      </c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 ht="21.75" customHeight="1" spans="1:24">
      <c r="A314" s="4" t="str">
        <f>IFERROR(INDEX(样本到样信息汇总统计!A$2:A$500,MATCH(313,样本到样信息汇总统计!$AC$2:$AC$500,0)),"")</f>
        <v/>
      </c>
      <c r="B314" s="4" t="str">
        <f>IFERROR(INDEX(样本到样信息汇总统计!B$2:B$500,MATCH(313,样本到样信息汇总统计!$AC$2:$AC$500,0)),"")</f>
        <v/>
      </c>
      <c r="C314" s="4" t="str">
        <f>IFERROR(INDEX(样本到样信息汇总统计!C$2:C$500,MATCH(313,样本到样信息汇总统计!$AC$2:$AC$500,0)),"")</f>
        <v/>
      </c>
      <c r="D314" s="4" t="str">
        <f>IFERROR(INDEX(样本到样信息汇总统计!D$2:D$500,MATCH(313,样本到样信息汇总统计!$AC$2:$AC$500,0)),"")</f>
        <v/>
      </c>
      <c r="E314" s="4" t="str">
        <f>IFERROR(INDEX(样本到样信息汇总统计!E$2:E$500,MATCH(313,样本到样信息汇总统计!$AC$2:$AC$500,0)),"")</f>
        <v/>
      </c>
      <c r="F314" s="4" t="str">
        <f>IFERROR(INDEX(样本到样信息汇总统计!F$2:F$500,MATCH(313,样本到样信息汇总统计!$AC$2:$AC$500,0)),"")</f>
        <v/>
      </c>
      <c r="G314" s="4" t="str">
        <f>IFERROR(INDEX(样本到样信息汇总统计!G$2:G$500,MATCH(313,样本到样信息汇总统计!$AC$2:$AC$500,0)),"")</f>
        <v/>
      </c>
      <c r="H314" s="4" t="str">
        <f>IFERROR(INDEX(样本到样信息汇总统计!H$2:H$500,MATCH(313,样本到样信息汇总统计!$AC$2:$AC$500,0)),"")</f>
        <v/>
      </c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ht="21.75" customHeight="1" spans="1:24">
      <c r="A315" s="8" t="str">
        <f>IFERROR(INDEX(样本到样信息汇总统计!A$2:A$500,MATCH(314,样本到样信息汇总统计!$AC$2:$AC$500,0)),"")</f>
        <v/>
      </c>
      <c r="B315" s="8" t="str">
        <f>IFERROR(INDEX(样本到样信息汇总统计!B$2:B$500,MATCH(314,样本到样信息汇总统计!$AC$2:$AC$500,0)),"")</f>
        <v/>
      </c>
      <c r="C315" s="8" t="str">
        <f>IFERROR(INDEX(样本到样信息汇总统计!C$2:C$500,MATCH(314,样本到样信息汇总统计!$AC$2:$AC$500,0)),"")</f>
        <v/>
      </c>
      <c r="D315" s="8" t="str">
        <f>IFERROR(INDEX(样本到样信息汇总统计!D$2:D$500,MATCH(314,样本到样信息汇总统计!$AC$2:$AC$500,0)),"")</f>
        <v/>
      </c>
      <c r="E315" s="8" t="str">
        <f>IFERROR(INDEX(样本到样信息汇总统计!E$2:E$500,MATCH(314,样本到样信息汇总统计!$AC$2:$AC$500,0)),"")</f>
        <v/>
      </c>
      <c r="F315" s="8" t="str">
        <f>IFERROR(INDEX(样本到样信息汇总统计!F$2:F$500,MATCH(314,样本到样信息汇总统计!$AC$2:$AC$500,0)),"")</f>
        <v/>
      </c>
      <c r="G315" s="8" t="str">
        <f>IFERROR(INDEX(样本到样信息汇总统计!G$2:G$500,MATCH(314,样本到样信息汇总统计!$AC$2:$AC$500,0)),"")</f>
        <v/>
      </c>
      <c r="H315" s="8" t="str">
        <f>IFERROR(INDEX(样本到样信息汇总统计!H$2:H$500,MATCH(314,样本到样信息汇总统计!$AC$2:$AC$500,0)),"")</f>
        <v/>
      </c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 ht="21.75" customHeight="1" spans="1:24">
      <c r="A316" s="4" t="str">
        <f>IFERROR(INDEX(样本到样信息汇总统计!A$2:A$500,MATCH(315,样本到样信息汇总统计!$AC$2:$AC$500,0)),"")</f>
        <v/>
      </c>
      <c r="B316" s="4" t="str">
        <f>IFERROR(INDEX(样本到样信息汇总统计!B$2:B$500,MATCH(315,样本到样信息汇总统计!$AC$2:$AC$500,0)),"")</f>
        <v/>
      </c>
      <c r="C316" s="4" t="str">
        <f>IFERROR(INDEX(样本到样信息汇总统计!C$2:C$500,MATCH(315,样本到样信息汇总统计!$AC$2:$AC$500,0)),"")</f>
        <v/>
      </c>
      <c r="D316" s="4" t="str">
        <f>IFERROR(INDEX(样本到样信息汇总统计!D$2:D$500,MATCH(315,样本到样信息汇总统计!$AC$2:$AC$500,0)),"")</f>
        <v/>
      </c>
      <c r="E316" s="4" t="str">
        <f>IFERROR(INDEX(样本到样信息汇总统计!E$2:E$500,MATCH(315,样本到样信息汇总统计!$AC$2:$AC$500,0)),"")</f>
        <v/>
      </c>
      <c r="F316" s="4" t="str">
        <f>IFERROR(INDEX(样本到样信息汇总统计!F$2:F$500,MATCH(315,样本到样信息汇总统计!$AC$2:$AC$500,0)),"")</f>
        <v/>
      </c>
      <c r="G316" s="4" t="str">
        <f>IFERROR(INDEX(样本到样信息汇总统计!G$2:G$500,MATCH(315,样本到样信息汇总统计!$AC$2:$AC$500,0)),"")</f>
        <v/>
      </c>
      <c r="H316" s="4" t="str">
        <f>IFERROR(INDEX(样本到样信息汇总统计!H$2:H$500,MATCH(315,样本到样信息汇总统计!$AC$2:$AC$500,0)),"")</f>
        <v/>
      </c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ht="21.75" customHeight="1" spans="1:24">
      <c r="A317" s="8" t="str">
        <f>IFERROR(INDEX(样本到样信息汇总统计!A$2:A$500,MATCH(316,样本到样信息汇总统计!$AC$2:$AC$500,0)),"")</f>
        <v/>
      </c>
      <c r="B317" s="8" t="str">
        <f>IFERROR(INDEX(样本到样信息汇总统计!B$2:B$500,MATCH(316,样本到样信息汇总统计!$AC$2:$AC$500,0)),"")</f>
        <v/>
      </c>
      <c r="C317" s="8" t="str">
        <f>IFERROR(INDEX(样本到样信息汇总统计!C$2:C$500,MATCH(316,样本到样信息汇总统计!$AC$2:$AC$500,0)),"")</f>
        <v/>
      </c>
      <c r="D317" s="8" t="str">
        <f>IFERROR(INDEX(样本到样信息汇总统计!D$2:D$500,MATCH(316,样本到样信息汇总统计!$AC$2:$AC$500,0)),"")</f>
        <v/>
      </c>
      <c r="E317" s="8" t="str">
        <f>IFERROR(INDEX(样本到样信息汇总统计!E$2:E$500,MATCH(316,样本到样信息汇总统计!$AC$2:$AC$500,0)),"")</f>
        <v/>
      </c>
      <c r="F317" s="8" t="str">
        <f>IFERROR(INDEX(样本到样信息汇总统计!F$2:F$500,MATCH(316,样本到样信息汇总统计!$AC$2:$AC$500,0)),"")</f>
        <v/>
      </c>
      <c r="G317" s="8" t="str">
        <f>IFERROR(INDEX(样本到样信息汇总统计!G$2:G$500,MATCH(316,样本到样信息汇总统计!$AC$2:$AC$500,0)),"")</f>
        <v/>
      </c>
      <c r="H317" s="8" t="str">
        <f>IFERROR(INDEX(样本到样信息汇总统计!H$2:H$500,MATCH(316,样本到样信息汇总统计!$AC$2:$AC$500,0)),"")</f>
        <v/>
      </c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 ht="21.75" customHeight="1" spans="1:24">
      <c r="A318" s="4" t="str">
        <f>IFERROR(INDEX(样本到样信息汇总统计!A$2:A$500,MATCH(317,样本到样信息汇总统计!$AC$2:$AC$500,0)),"")</f>
        <v/>
      </c>
      <c r="B318" s="4" t="str">
        <f>IFERROR(INDEX(样本到样信息汇总统计!B$2:B$500,MATCH(317,样本到样信息汇总统计!$AC$2:$AC$500,0)),"")</f>
        <v/>
      </c>
      <c r="C318" s="4" t="str">
        <f>IFERROR(INDEX(样本到样信息汇总统计!C$2:C$500,MATCH(317,样本到样信息汇总统计!$AC$2:$AC$500,0)),"")</f>
        <v/>
      </c>
      <c r="D318" s="4" t="str">
        <f>IFERROR(INDEX(样本到样信息汇总统计!D$2:D$500,MATCH(317,样本到样信息汇总统计!$AC$2:$AC$500,0)),"")</f>
        <v/>
      </c>
      <c r="E318" s="4" t="str">
        <f>IFERROR(INDEX(样本到样信息汇总统计!E$2:E$500,MATCH(317,样本到样信息汇总统计!$AC$2:$AC$500,0)),"")</f>
        <v/>
      </c>
      <c r="F318" s="4" t="str">
        <f>IFERROR(INDEX(样本到样信息汇总统计!F$2:F$500,MATCH(317,样本到样信息汇总统计!$AC$2:$AC$500,0)),"")</f>
        <v/>
      </c>
      <c r="G318" s="4" t="str">
        <f>IFERROR(INDEX(样本到样信息汇总统计!G$2:G$500,MATCH(317,样本到样信息汇总统计!$AC$2:$AC$500,0)),"")</f>
        <v/>
      </c>
      <c r="H318" s="4" t="str">
        <f>IFERROR(INDEX(样本到样信息汇总统计!H$2:H$500,MATCH(317,样本到样信息汇总统计!$AC$2:$AC$500,0)),"")</f>
        <v/>
      </c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ht="21.75" customHeight="1" spans="1:24">
      <c r="A319" s="8" t="str">
        <f>IFERROR(INDEX(样本到样信息汇总统计!A$2:A$500,MATCH(318,样本到样信息汇总统计!$AC$2:$AC$500,0)),"")</f>
        <v/>
      </c>
      <c r="B319" s="8" t="str">
        <f>IFERROR(INDEX(样本到样信息汇总统计!B$2:B$500,MATCH(318,样本到样信息汇总统计!$AC$2:$AC$500,0)),"")</f>
        <v/>
      </c>
      <c r="C319" s="8" t="str">
        <f>IFERROR(INDEX(样本到样信息汇总统计!C$2:C$500,MATCH(318,样本到样信息汇总统计!$AC$2:$AC$500,0)),"")</f>
        <v/>
      </c>
      <c r="D319" s="8" t="str">
        <f>IFERROR(INDEX(样本到样信息汇总统计!D$2:D$500,MATCH(318,样本到样信息汇总统计!$AC$2:$AC$500,0)),"")</f>
        <v/>
      </c>
      <c r="E319" s="8" t="str">
        <f>IFERROR(INDEX(样本到样信息汇总统计!E$2:E$500,MATCH(318,样本到样信息汇总统计!$AC$2:$AC$500,0)),"")</f>
        <v/>
      </c>
      <c r="F319" s="8" t="str">
        <f>IFERROR(INDEX(样本到样信息汇总统计!F$2:F$500,MATCH(318,样本到样信息汇总统计!$AC$2:$AC$500,0)),"")</f>
        <v/>
      </c>
      <c r="G319" s="8" t="str">
        <f>IFERROR(INDEX(样本到样信息汇总统计!G$2:G$500,MATCH(318,样本到样信息汇总统计!$AC$2:$AC$500,0)),"")</f>
        <v/>
      </c>
      <c r="H319" s="8" t="str">
        <f>IFERROR(INDEX(样本到样信息汇总统计!H$2:H$500,MATCH(318,样本到样信息汇总统计!$AC$2:$AC$500,0)),"")</f>
        <v/>
      </c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 ht="21.75" customHeight="1" spans="1:24">
      <c r="A320" s="4" t="str">
        <f>IFERROR(INDEX(样本到样信息汇总统计!A$2:A$500,MATCH(319,样本到样信息汇总统计!$AC$2:$AC$500,0)),"")</f>
        <v/>
      </c>
      <c r="B320" s="4" t="str">
        <f>IFERROR(INDEX(样本到样信息汇总统计!B$2:B$500,MATCH(319,样本到样信息汇总统计!$AC$2:$AC$500,0)),"")</f>
        <v/>
      </c>
      <c r="C320" s="4" t="str">
        <f>IFERROR(INDEX(样本到样信息汇总统计!C$2:C$500,MATCH(319,样本到样信息汇总统计!$AC$2:$AC$500,0)),"")</f>
        <v/>
      </c>
      <c r="D320" s="4" t="str">
        <f>IFERROR(INDEX(样本到样信息汇总统计!D$2:D$500,MATCH(319,样本到样信息汇总统计!$AC$2:$AC$500,0)),"")</f>
        <v/>
      </c>
      <c r="E320" s="4" t="str">
        <f>IFERROR(INDEX(样本到样信息汇总统计!E$2:E$500,MATCH(319,样本到样信息汇总统计!$AC$2:$AC$500,0)),"")</f>
        <v/>
      </c>
      <c r="F320" s="4" t="str">
        <f>IFERROR(INDEX(样本到样信息汇总统计!F$2:F$500,MATCH(319,样本到样信息汇总统计!$AC$2:$AC$500,0)),"")</f>
        <v/>
      </c>
      <c r="G320" s="4" t="str">
        <f>IFERROR(INDEX(样本到样信息汇总统计!G$2:G$500,MATCH(319,样本到样信息汇总统计!$AC$2:$AC$500,0)),"")</f>
        <v/>
      </c>
      <c r="H320" s="4" t="str">
        <f>IFERROR(INDEX(样本到样信息汇总统计!H$2:H$500,MATCH(319,样本到样信息汇总统计!$AC$2:$AC$500,0)),"")</f>
        <v/>
      </c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ht="21.75" customHeight="1" spans="1:24">
      <c r="A321" s="8" t="str">
        <f>IFERROR(INDEX(样本到样信息汇总统计!A$2:A$500,MATCH(320,样本到样信息汇总统计!$AC$2:$AC$500,0)),"")</f>
        <v/>
      </c>
      <c r="B321" s="8" t="str">
        <f>IFERROR(INDEX(样本到样信息汇总统计!B$2:B$500,MATCH(320,样本到样信息汇总统计!$AC$2:$AC$500,0)),"")</f>
        <v/>
      </c>
      <c r="C321" s="8" t="str">
        <f>IFERROR(INDEX(样本到样信息汇总统计!C$2:C$500,MATCH(320,样本到样信息汇总统计!$AC$2:$AC$500,0)),"")</f>
        <v/>
      </c>
      <c r="D321" s="8" t="str">
        <f>IFERROR(INDEX(样本到样信息汇总统计!D$2:D$500,MATCH(320,样本到样信息汇总统计!$AC$2:$AC$500,0)),"")</f>
        <v/>
      </c>
      <c r="E321" s="8" t="str">
        <f>IFERROR(INDEX(样本到样信息汇总统计!E$2:E$500,MATCH(320,样本到样信息汇总统计!$AC$2:$AC$500,0)),"")</f>
        <v/>
      </c>
      <c r="F321" s="8" t="str">
        <f>IFERROR(INDEX(样本到样信息汇总统计!F$2:F$500,MATCH(320,样本到样信息汇总统计!$AC$2:$AC$500,0)),"")</f>
        <v/>
      </c>
      <c r="G321" s="8" t="str">
        <f>IFERROR(INDEX(样本到样信息汇总统计!G$2:G$500,MATCH(320,样本到样信息汇总统计!$AC$2:$AC$500,0)),"")</f>
        <v/>
      </c>
      <c r="H321" s="8" t="str">
        <f>IFERROR(INDEX(样本到样信息汇总统计!H$2:H$500,MATCH(320,样本到样信息汇总统计!$AC$2:$AC$500,0)),"")</f>
        <v/>
      </c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 ht="21.75" customHeight="1" spans="1:24">
      <c r="A322" s="4" t="str">
        <f>IFERROR(INDEX(样本到样信息汇总统计!A$2:A$500,MATCH(321,样本到样信息汇总统计!$AC$2:$AC$500,0)),"")</f>
        <v/>
      </c>
      <c r="B322" s="4" t="str">
        <f>IFERROR(INDEX(样本到样信息汇总统计!B$2:B$500,MATCH(321,样本到样信息汇总统计!$AC$2:$AC$500,0)),"")</f>
        <v/>
      </c>
      <c r="C322" s="4" t="str">
        <f>IFERROR(INDEX(样本到样信息汇总统计!C$2:C$500,MATCH(321,样本到样信息汇总统计!$AC$2:$AC$500,0)),"")</f>
        <v/>
      </c>
      <c r="D322" s="4" t="str">
        <f>IFERROR(INDEX(样本到样信息汇总统计!D$2:D$500,MATCH(321,样本到样信息汇总统计!$AC$2:$AC$500,0)),"")</f>
        <v/>
      </c>
      <c r="E322" s="4" t="str">
        <f>IFERROR(INDEX(样本到样信息汇总统计!E$2:E$500,MATCH(321,样本到样信息汇总统计!$AC$2:$AC$500,0)),"")</f>
        <v/>
      </c>
      <c r="F322" s="4" t="str">
        <f>IFERROR(INDEX(样本到样信息汇总统计!F$2:F$500,MATCH(321,样本到样信息汇总统计!$AC$2:$AC$500,0)),"")</f>
        <v/>
      </c>
      <c r="G322" s="4" t="str">
        <f>IFERROR(INDEX(样本到样信息汇总统计!G$2:G$500,MATCH(321,样本到样信息汇总统计!$AC$2:$AC$500,0)),"")</f>
        <v/>
      </c>
      <c r="H322" s="4" t="str">
        <f>IFERROR(INDEX(样本到样信息汇总统计!H$2:H$500,MATCH(321,样本到样信息汇总统计!$AC$2:$AC$500,0)),"")</f>
        <v/>
      </c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ht="21.75" customHeight="1" spans="1:24">
      <c r="A323" s="8" t="str">
        <f>IFERROR(INDEX(样本到样信息汇总统计!A$2:A$500,MATCH(322,样本到样信息汇总统计!$AC$2:$AC$500,0)),"")</f>
        <v/>
      </c>
      <c r="B323" s="8" t="str">
        <f>IFERROR(INDEX(样本到样信息汇总统计!B$2:B$500,MATCH(322,样本到样信息汇总统计!$AC$2:$AC$500,0)),"")</f>
        <v/>
      </c>
      <c r="C323" s="8" t="str">
        <f>IFERROR(INDEX(样本到样信息汇总统计!C$2:C$500,MATCH(322,样本到样信息汇总统计!$AC$2:$AC$500,0)),"")</f>
        <v/>
      </c>
      <c r="D323" s="8" t="str">
        <f>IFERROR(INDEX(样本到样信息汇总统计!D$2:D$500,MATCH(322,样本到样信息汇总统计!$AC$2:$AC$500,0)),"")</f>
        <v/>
      </c>
      <c r="E323" s="8" t="str">
        <f>IFERROR(INDEX(样本到样信息汇总统计!E$2:E$500,MATCH(322,样本到样信息汇总统计!$AC$2:$AC$500,0)),"")</f>
        <v/>
      </c>
      <c r="F323" s="8" t="str">
        <f>IFERROR(INDEX(样本到样信息汇总统计!F$2:F$500,MATCH(322,样本到样信息汇总统计!$AC$2:$AC$500,0)),"")</f>
        <v/>
      </c>
      <c r="G323" s="8" t="str">
        <f>IFERROR(INDEX(样本到样信息汇总统计!G$2:G$500,MATCH(322,样本到样信息汇总统计!$AC$2:$AC$500,0)),"")</f>
        <v/>
      </c>
      <c r="H323" s="8" t="str">
        <f>IFERROR(INDEX(样本到样信息汇总统计!H$2:H$500,MATCH(322,样本到样信息汇总统计!$AC$2:$AC$500,0)),"")</f>
        <v/>
      </c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 ht="21.75" customHeight="1" spans="1:24">
      <c r="A324" s="4" t="str">
        <f>IFERROR(INDEX(样本到样信息汇总统计!A$2:A$500,MATCH(323,样本到样信息汇总统计!$AC$2:$AC$500,0)),"")</f>
        <v/>
      </c>
      <c r="B324" s="4" t="str">
        <f>IFERROR(INDEX(样本到样信息汇总统计!B$2:B$500,MATCH(323,样本到样信息汇总统计!$AC$2:$AC$500,0)),"")</f>
        <v/>
      </c>
      <c r="C324" s="4" t="str">
        <f>IFERROR(INDEX(样本到样信息汇总统计!C$2:C$500,MATCH(323,样本到样信息汇总统计!$AC$2:$AC$500,0)),"")</f>
        <v/>
      </c>
      <c r="D324" s="4" t="str">
        <f>IFERROR(INDEX(样本到样信息汇总统计!D$2:D$500,MATCH(323,样本到样信息汇总统计!$AC$2:$AC$500,0)),"")</f>
        <v/>
      </c>
      <c r="E324" s="4" t="str">
        <f>IFERROR(INDEX(样本到样信息汇总统计!E$2:E$500,MATCH(323,样本到样信息汇总统计!$AC$2:$AC$500,0)),"")</f>
        <v/>
      </c>
      <c r="F324" s="4" t="str">
        <f>IFERROR(INDEX(样本到样信息汇总统计!F$2:F$500,MATCH(323,样本到样信息汇总统计!$AC$2:$AC$500,0)),"")</f>
        <v/>
      </c>
      <c r="G324" s="4" t="str">
        <f>IFERROR(INDEX(样本到样信息汇总统计!G$2:G$500,MATCH(323,样本到样信息汇总统计!$AC$2:$AC$500,0)),"")</f>
        <v/>
      </c>
      <c r="H324" s="4" t="str">
        <f>IFERROR(INDEX(样本到样信息汇总统计!H$2:H$500,MATCH(323,样本到样信息汇总统计!$AC$2:$AC$500,0)),"")</f>
        <v/>
      </c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ht="21.75" customHeight="1" spans="1:24">
      <c r="A325" s="8" t="str">
        <f>IFERROR(INDEX(样本到样信息汇总统计!A$2:A$500,MATCH(324,样本到样信息汇总统计!$AC$2:$AC$500,0)),"")</f>
        <v/>
      </c>
      <c r="B325" s="8" t="str">
        <f>IFERROR(INDEX(样本到样信息汇总统计!B$2:B$500,MATCH(324,样本到样信息汇总统计!$AC$2:$AC$500,0)),"")</f>
        <v/>
      </c>
      <c r="C325" s="8" t="str">
        <f>IFERROR(INDEX(样本到样信息汇总统计!C$2:C$500,MATCH(324,样本到样信息汇总统计!$AC$2:$AC$500,0)),"")</f>
        <v/>
      </c>
      <c r="D325" s="8" t="str">
        <f>IFERROR(INDEX(样本到样信息汇总统计!D$2:D$500,MATCH(324,样本到样信息汇总统计!$AC$2:$AC$500,0)),"")</f>
        <v/>
      </c>
      <c r="E325" s="8" t="str">
        <f>IFERROR(INDEX(样本到样信息汇总统计!E$2:E$500,MATCH(324,样本到样信息汇总统计!$AC$2:$AC$500,0)),"")</f>
        <v/>
      </c>
      <c r="F325" s="8" t="str">
        <f>IFERROR(INDEX(样本到样信息汇总统计!F$2:F$500,MATCH(324,样本到样信息汇总统计!$AC$2:$AC$500,0)),"")</f>
        <v/>
      </c>
      <c r="G325" s="8" t="str">
        <f>IFERROR(INDEX(样本到样信息汇总统计!G$2:G$500,MATCH(324,样本到样信息汇总统计!$AC$2:$AC$500,0)),"")</f>
        <v/>
      </c>
      <c r="H325" s="8" t="str">
        <f>IFERROR(INDEX(样本到样信息汇总统计!H$2:H$500,MATCH(324,样本到样信息汇总统计!$AC$2:$AC$500,0)),"")</f>
        <v/>
      </c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 ht="21.75" customHeight="1" spans="1:24">
      <c r="A326" s="4" t="str">
        <f>IFERROR(INDEX(样本到样信息汇总统计!A$2:A$500,MATCH(325,样本到样信息汇总统计!$AC$2:$AC$500,0)),"")</f>
        <v/>
      </c>
      <c r="B326" s="4" t="str">
        <f>IFERROR(INDEX(样本到样信息汇总统计!B$2:B$500,MATCH(325,样本到样信息汇总统计!$AC$2:$AC$500,0)),"")</f>
        <v/>
      </c>
      <c r="C326" s="4" t="str">
        <f>IFERROR(INDEX(样本到样信息汇总统计!C$2:C$500,MATCH(325,样本到样信息汇总统计!$AC$2:$AC$500,0)),"")</f>
        <v/>
      </c>
      <c r="D326" s="4" t="str">
        <f>IFERROR(INDEX(样本到样信息汇总统计!D$2:D$500,MATCH(325,样本到样信息汇总统计!$AC$2:$AC$500,0)),"")</f>
        <v/>
      </c>
      <c r="E326" s="4" t="str">
        <f>IFERROR(INDEX(样本到样信息汇总统计!E$2:E$500,MATCH(325,样本到样信息汇总统计!$AC$2:$AC$500,0)),"")</f>
        <v/>
      </c>
      <c r="F326" s="4" t="str">
        <f>IFERROR(INDEX(样本到样信息汇总统计!F$2:F$500,MATCH(325,样本到样信息汇总统计!$AC$2:$AC$500,0)),"")</f>
        <v/>
      </c>
      <c r="G326" s="4" t="str">
        <f>IFERROR(INDEX(样本到样信息汇总统计!G$2:G$500,MATCH(325,样本到样信息汇总统计!$AC$2:$AC$500,0)),"")</f>
        <v/>
      </c>
      <c r="H326" s="4" t="str">
        <f>IFERROR(INDEX(样本到样信息汇总统计!H$2:H$500,MATCH(325,样本到样信息汇总统计!$AC$2:$AC$500,0)),"")</f>
        <v/>
      </c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ht="21.75" customHeight="1" spans="1:24">
      <c r="A327" s="8" t="str">
        <f>IFERROR(INDEX(样本到样信息汇总统计!A$2:A$500,MATCH(326,样本到样信息汇总统计!$AC$2:$AC$500,0)),"")</f>
        <v/>
      </c>
      <c r="B327" s="8" t="str">
        <f>IFERROR(INDEX(样本到样信息汇总统计!B$2:B$500,MATCH(326,样本到样信息汇总统计!$AC$2:$AC$500,0)),"")</f>
        <v/>
      </c>
      <c r="C327" s="8" t="str">
        <f>IFERROR(INDEX(样本到样信息汇总统计!C$2:C$500,MATCH(326,样本到样信息汇总统计!$AC$2:$AC$500,0)),"")</f>
        <v/>
      </c>
      <c r="D327" s="8" t="str">
        <f>IFERROR(INDEX(样本到样信息汇总统计!D$2:D$500,MATCH(326,样本到样信息汇总统计!$AC$2:$AC$500,0)),"")</f>
        <v/>
      </c>
      <c r="E327" s="8" t="str">
        <f>IFERROR(INDEX(样本到样信息汇总统计!E$2:E$500,MATCH(326,样本到样信息汇总统计!$AC$2:$AC$500,0)),"")</f>
        <v/>
      </c>
      <c r="F327" s="8" t="str">
        <f>IFERROR(INDEX(样本到样信息汇总统计!F$2:F$500,MATCH(326,样本到样信息汇总统计!$AC$2:$AC$500,0)),"")</f>
        <v/>
      </c>
      <c r="G327" s="8" t="str">
        <f>IFERROR(INDEX(样本到样信息汇总统计!G$2:G$500,MATCH(326,样本到样信息汇总统计!$AC$2:$AC$500,0)),"")</f>
        <v/>
      </c>
      <c r="H327" s="8" t="str">
        <f>IFERROR(INDEX(样本到样信息汇总统计!H$2:H$500,MATCH(326,样本到样信息汇总统计!$AC$2:$AC$500,0)),"")</f>
        <v/>
      </c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 ht="21.75" customHeight="1" spans="1:24">
      <c r="A328" s="4" t="str">
        <f>IFERROR(INDEX(样本到样信息汇总统计!A$2:A$500,MATCH(327,样本到样信息汇总统计!$AC$2:$AC$500,0)),"")</f>
        <v/>
      </c>
      <c r="B328" s="4" t="str">
        <f>IFERROR(INDEX(样本到样信息汇总统计!B$2:B$500,MATCH(327,样本到样信息汇总统计!$AC$2:$AC$500,0)),"")</f>
        <v/>
      </c>
      <c r="C328" s="4" t="str">
        <f>IFERROR(INDEX(样本到样信息汇总统计!C$2:C$500,MATCH(327,样本到样信息汇总统计!$AC$2:$AC$500,0)),"")</f>
        <v/>
      </c>
      <c r="D328" s="4" t="str">
        <f>IFERROR(INDEX(样本到样信息汇总统计!D$2:D$500,MATCH(327,样本到样信息汇总统计!$AC$2:$AC$500,0)),"")</f>
        <v/>
      </c>
      <c r="E328" s="4" t="str">
        <f>IFERROR(INDEX(样本到样信息汇总统计!E$2:E$500,MATCH(327,样本到样信息汇总统计!$AC$2:$AC$500,0)),"")</f>
        <v/>
      </c>
      <c r="F328" s="4" t="str">
        <f>IFERROR(INDEX(样本到样信息汇总统计!F$2:F$500,MATCH(327,样本到样信息汇总统计!$AC$2:$AC$500,0)),"")</f>
        <v/>
      </c>
      <c r="G328" s="4" t="str">
        <f>IFERROR(INDEX(样本到样信息汇总统计!G$2:G$500,MATCH(327,样本到样信息汇总统计!$AC$2:$AC$500,0)),"")</f>
        <v/>
      </c>
      <c r="H328" s="4" t="str">
        <f>IFERROR(INDEX(样本到样信息汇总统计!H$2:H$500,MATCH(327,样本到样信息汇总统计!$AC$2:$AC$500,0)),"")</f>
        <v/>
      </c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ht="21.75" customHeight="1" spans="1:24">
      <c r="A329" s="8" t="str">
        <f>IFERROR(INDEX(样本到样信息汇总统计!A$2:A$500,MATCH(328,样本到样信息汇总统计!$AC$2:$AC$500,0)),"")</f>
        <v/>
      </c>
      <c r="B329" s="8" t="str">
        <f>IFERROR(INDEX(样本到样信息汇总统计!B$2:B$500,MATCH(328,样本到样信息汇总统计!$AC$2:$AC$500,0)),"")</f>
        <v/>
      </c>
      <c r="C329" s="8" t="str">
        <f>IFERROR(INDEX(样本到样信息汇总统计!C$2:C$500,MATCH(328,样本到样信息汇总统计!$AC$2:$AC$500,0)),"")</f>
        <v/>
      </c>
      <c r="D329" s="8" t="str">
        <f>IFERROR(INDEX(样本到样信息汇总统计!D$2:D$500,MATCH(328,样本到样信息汇总统计!$AC$2:$AC$500,0)),"")</f>
        <v/>
      </c>
      <c r="E329" s="8" t="str">
        <f>IFERROR(INDEX(样本到样信息汇总统计!E$2:E$500,MATCH(328,样本到样信息汇总统计!$AC$2:$AC$500,0)),"")</f>
        <v/>
      </c>
      <c r="F329" s="8" t="str">
        <f>IFERROR(INDEX(样本到样信息汇总统计!F$2:F$500,MATCH(328,样本到样信息汇总统计!$AC$2:$AC$500,0)),"")</f>
        <v/>
      </c>
      <c r="G329" s="8" t="str">
        <f>IFERROR(INDEX(样本到样信息汇总统计!G$2:G$500,MATCH(328,样本到样信息汇总统计!$AC$2:$AC$500,0)),"")</f>
        <v/>
      </c>
      <c r="H329" s="8" t="str">
        <f>IFERROR(INDEX(样本到样信息汇总统计!H$2:H$500,MATCH(328,样本到样信息汇总统计!$AC$2:$AC$500,0)),"")</f>
        <v/>
      </c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 ht="21.75" customHeight="1" spans="1:24">
      <c r="A330" s="4" t="str">
        <f>IFERROR(INDEX(样本到样信息汇总统计!A$2:A$500,MATCH(329,样本到样信息汇总统计!$AC$2:$AC$500,0)),"")</f>
        <v/>
      </c>
      <c r="B330" s="4" t="str">
        <f>IFERROR(INDEX(样本到样信息汇总统计!B$2:B$500,MATCH(329,样本到样信息汇总统计!$AC$2:$AC$500,0)),"")</f>
        <v/>
      </c>
      <c r="C330" s="4" t="str">
        <f>IFERROR(INDEX(样本到样信息汇总统计!C$2:C$500,MATCH(329,样本到样信息汇总统计!$AC$2:$AC$500,0)),"")</f>
        <v/>
      </c>
      <c r="D330" s="4" t="str">
        <f>IFERROR(INDEX(样本到样信息汇总统计!D$2:D$500,MATCH(329,样本到样信息汇总统计!$AC$2:$AC$500,0)),"")</f>
        <v/>
      </c>
      <c r="E330" s="4" t="str">
        <f>IFERROR(INDEX(样本到样信息汇总统计!E$2:E$500,MATCH(329,样本到样信息汇总统计!$AC$2:$AC$500,0)),"")</f>
        <v/>
      </c>
      <c r="F330" s="4" t="str">
        <f>IFERROR(INDEX(样本到样信息汇总统计!F$2:F$500,MATCH(329,样本到样信息汇总统计!$AC$2:$AC$500,0)),"")</f>
        <v/>
      </c>
      <c r="G330" s="4" t="str">
        <f>IFERROR(INDEX(样本到样信息汇总统计!G$2:G$500,MATCH(329,样本到样信息汇总统计!$AC$2:$AC$500,0)),"")</f>
        <v/>
      </c>
      <c r="H330" s="4" t="str">
        <f>IFERROR(INDEX(样本到样信息汇总统计!H$2:H$500,MATCH(329,样本到样信息汇总统计!$AC$2:$AC$500,0)),"")</f>
        <v/>
      </c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ht="21.75" customHeight="1" spans="1:24">
      <c r="A331" s="8" t="str">
        <f>IFERROR(INDEX(样本到样信息汇总统计!A$2:A$500,MATCH(330,样本到样信息汇总统计!$AC$2:$AC$500,0)),"")</f>
        <v/>
      </c>
      <c r="B331" s="8" t="str">
        <f>IFERROR(INDEX(样本到样信息汇总统计!B$2:B$500,MATCH(330,样本到样信息汇总统计!$AC$2:$AC$500,0)),"")</f>
        <v/>
      </c>
      <c r="C331" s="8" t="str">
        <f>IFERROR(INDEX(样本到样信息汇总统计!C$2:C$500,MATCH(330,样本到样信息汇总统计!$AC$2:$AC$500,0)),"")</f>
        <v/>
      </c>
      <c r="D331" s="8" t="str">
        <f>IFERROR(INDEX(样本到样信息汇总统计!D$2:D$500,MATCH(330,样本到样信息汇总统计!$AC$2:$AC$500,0)),"")</f>
        <v/>
      </c>
      <c r="E331" s="8" t="str">
        <f>IFERROR(INDEX(样本到样信息汇总统计!E$2:E$500,MATCH(330,样本到样信息汇总统计!$AC$2:$AC$500,0)),"")</f>
        <v/>
      </c>
      <c r="F331" s="8" t="str">
        <f>IFERROR(INDEX(样本到样信息汇总统计!F$2:F$500,MATCH(330,样本到样信息汇总统计!$AC$2:$AC$500,0)),"")</f>
        <v/>
      </c>
      <c r="G331" s="8" t="str">
        <f>IFERROR(INDEX(样本到样信息汇总统计!G$2:G$500,MATCH(330,样本到样信息汇总统计!$AC$2:$AC$500,0)),"")</f>
        <v/>
      </c>
      <c r="H331" s="8" t="str">
        <f>IFERROR(INDEX(样本到样信息汇总统计!H$2:H$500,MATCH(330,样本到样信息汇总统计!$AC$2:$AC$500,0)),"")</f>
        <v/>
      </c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 ht="21.75" customHeight="1" spans="1:24">
      <c r="A332" s="4" t="str">
        <f>IFERROR(INDEX(样本到样信息汇总统计!A$2:A$500,MATCH(331,样本到样信息汇总统计!$AC$2:$AC$500,0)),"")</f>
        <v/>
      </c>
      <c r="B332" s="4" t="str">
        <f>IFERROR(INDEX(样本到样信息汇总统计!B$2:B$500,MATCH(331,样本到样信息汇总统计!$AC$2:$AC$500,0)),"")</f>
        <v/>
      </c>
      <c r="C332" s="4" t="str">
        <f>IFERROR(INDEX(样本到样信息汇总统计!C$2:C$500,MATCH(331,样本到样信息汇总统计!$AC$2:$AC$500,0)),"")</f>
        <v/>
      </c>
      <c r="D332" s="4" t="str">
        <f>IFERROR(INDEX(样本到样信息汇总统计!D$2:D$500,MATCH(331,样本到样信息汇总统计!$AC$2:$AC$500,0)),"")</f>
        <v/>
      </c>
      <c r="E332" s="4" t="str">
        <f>IFERROR(INDEX(样本到样信息汇总统计!E$2:E$500,MATCH(331,样本到样信息汇总统计!$AC$2:$AC$500,0)),"")</f>
        <v/>
      </c>
      <c r="F332" s="4" t="str">
        <f>IFERROR(INDEX(样本到样信息汇总统计!F$2:F$500,MATCH(331,样本到样信息汇总统计!$AC$2:$AC$500,0)),"")</f>
        <v/>
      </c>
      <c r="G332" s="4" t="str">
        <f>IFERROR(INDEX(样本到样信息汇总统计!G$2:G$500,MATCH(331,样本到样信息汇总统计!$AC$2:$AC$500,0)),"")</f>
        <v/>
      </c>
      <c r="H332" s="4" t="str">
        <f>IFERROR(INDEX(样本到样信息汇总统计!H$2:H$500,MATCH(331,样本到样信息汇总统计!$AC$2:$AC$500,0)),"")</f>
        <v/>
      </c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ht="21.75" customHeight="1" spans="1:24">
      <c r="A333" s="8" t="str">
        <f>IFERROR(INDEX(样本到样信息汇总统计!A$2:A$500,MATCH(332,样本到样信息汇总统计!$AC$2:$AC$500,0)),"")</f>
        <v/>
      </c>
      <c r="B333" s="8" t="str">
        <f>IFERROR(INDEX(样本到样信息汇总统计!B$2:B$500,MATCH(332,样本到样信息汇总统计!$AC$2:$AC$500,0)),"")</f>
        <v/>
      </c>
      <c r="C333" s="8" t="str">
        <f>IFERROR(INDEX(样本到样信息汇总统计!C$2:C$500,MATCH(332,样本到样信息汇总统计!$AC$2:$AC$500,0)),"")</f>
        <v/>
      </c>
      <c r="D333" s="8" t="str">
        <f>IFERROR(INDEX(样本到样信息汇总统计!D$2:D$500,MATCH(332,样本到样信息汇总统计!$AC$2:$AC$500,0)),"")</f>
        <v/>
      </c>
      <c r="E333" s="8" t="str">
        <f>IFERROR(INDEX(样本到样信息汇总统计!E$2:E$500,MATCH(332,样本到样信息汇总统计!$AC$2:$AC$500,0)),"")</f>
        <v/>
      </c>
      <c r="F333" s="8" t="str">
        <f>IFERROR(INDEX(样本到样信息汇总统计!F$2:F$500,MATCH(332,样本到样信息汇总统计!$AC$2:$AC$500,0)),"")</f>
        <v/>
      </c>
      <c r="G333" s="8" t="str">
        <f>IFERROR(INDEX(样本到样信息汇总统计!G$2:G$500,MATCH(332,样本到样信息汇总统计!$AC$2:$AC$500,0)),"")</f>
        <v/>
      </c>
      <c r="H333" s="8" t="str">
        <f>IFERROR(INDEX(样本到样信息汇总统计!H$2:H$500,MATCH(332,样本到样信息汇总统计!$AC$2:$AC$500,0)),"")</f>
        <v/>
      </c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 ht="21.75" customHeight="1" spans="1:24">
      <c r="A334" s="4" t="str">
        <f>IFERROR(INDEX(样本到样信息汇总统计!A$2:A$500,MATCH(333,样本到样信息汇总统计!$AC$2:$AC$500,0)),"")</f>
        <v/>
      </c>
      <c r="B334" s="4" t="str">
        <f>IFERROR(INDEX(样本到样信息汇总统计!B$2:B$500,MATCH(333,样本到样信息汇总统计!$AC$2:$AC$500,0)),"")</f>
        <v/>
      </c>
      <c r="C334" s="4" t="str">
        <f>IFERROR(INDEX(样本到样信息汇总统计!C$2:C$500,MATCH(333,样本到样信息汇总统计!$AC$2:$AC$500,0)),"")</f>
        <v/>
      </c>
      <c r="D334" s="4" t="str">
        <f>IFERROR(INDEX(样本到样信息汇总统计!D$2:D$500,MATCH(333,样本到样信息汇总统计!$AC$2:$AC$500,0)),"")</f>
        <v/>
      </c>
      <c r="E334" s="4" t="str">
        <f>IFERROR(INDEX(样本到样信息汇总统计!E$2:E$500,MATCH(333,样本到样信息汇总统计!$AC$2:$AC$500,0)),"")</f>
        <v/>
      </c>
      <c r="F334" s="4" t="str">
        <f>IFERROR(INDEX(样本到样信息汇总统计!F$2:F$500,MATCH(333,样本到样信息汇总统计!$AC$2:$AC$500,0)),"")</f>
        <v/>
      </c>
      <c r="G334" s="4" t="str">
        <f>IFERROR(INDEX(样本到样信息汇总统计!G$2:G$500,MATCH(333,样本到样信息汇总统计!$AC$2:$AC$500,0)),"")</f>
        <v/>
      </c>
      <c r="H334" s="4" t="str">
        <f>IFERROR(INDEX(样本到样信息汇总统计!H$2:H$500,MATCH(333,样本到样信息汇总统计!$AC$2:$AC$500,0)),"")</f>
        <v/>
      </c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ht="21.75" customHeight="1" spans="1:24">
      <c r="A335" s="8" t="str">
        <f>IFERROR(INDEX(样本到样信息汇总统计!A$2:A$500,MATCH(334,样本到样信息汇总统计!$AC$2:$AC$500,0)),"")</f>
        <v/>
      </c>
      <c r="B335" s="8" t="str">
        <f>IFERROR(INDEX(样本到样信息汇总统计!B$2:B$500,MATCH(334,样本到样信息汇总统计!$AC$2:$AC$500,0)),"")</f>
        <v/>
      </c>
      <c r="C335" s="8" t="str">
        <f>IFERROR(INDEX(样本到样信息汇总统计!C$2:C$500,MATCH(334,样本到样信息汇总统计!$AC$2:$AC$500,0)),"")</f>
        <v/>
      </c>
      <c r="D335" s="8" t="str">
        <f>IFERROR(INDEX(样本到样信息汇总统计!D$2:D$500,MATCH(334,样本到样信息汇总统计!$AC$2:$AC$500,0)),"")</f>
        <v/>
      </c>
      <c r="E335" s="8" t="str">
        <f>IFERROR(INDEX(样本到样信息汇总统计!E$2:E$500,MATCH(334,样本到样信息汇总统计!$AC$2:$AC$500,0)),"")</f>
        <v/>
      </c>
      <c r="F335" s="8" t="str">
        <f>IFERROR(INDEX(样本到样信息汇总统计!F$2:F$500,MATCH(334,样本到样信息汇总统计!$AC$2:$AC$500,0)),"")</f>
        <v/>
      </c>
      <c r="G335" s="8" t="str">
        <f>IFERROR(INDEX(样本到样信息汇总统计!G$2:G$500,MATCH(334,样本到样信息汇总统计!$AC$2:$AC$500,0)),"")</f>
        <v/>
      </c>
      <c r="H335" s="8" t="str">
        <f>IFERROR(INDEX(样本到样信息汇总统计!H$2:H$500,MATCH(334,样本到样信息汇总统计!$AC$2:$AC$500,0)),"")</f>
        <v/>
      </c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 ht="21.75" customHeight="1" spans="1:24">
      <c r="A336" s="4" t="str">
        <f>IFERROR(INDEX(样本到样信息汇总统计!A$2:A$500,MATCH(335,样本到样信息汇总统计!$AC$2:$AC$500,0)),"")</f>
        <v/>
      </c>
      <c r="B336" s="4" t="str">
        <f>IFERROR(INDEX(样本到样信息汇总统计!B$2:B$500,MATCH(335,样本到样信息汇总统计!$AC$2:$AC$500,0)),"")</f>
        <v/>
      </c>
      <c r="C336" s="4" t="str">
        <f>IFERROR(INDEX(样本到样信息汇总统计!C$2:C$500,MATCH(335,样本到样信息汇总统计!$AC$2:$AC$500,0)),"")</f>
        <v/>
      </c>
      <c r="D336" s="4" t="str">
        <f>IFERROR(INDEX(样本到样信息汇总统计!D$2:D$500,MATCH(335,样本到样信息汇总统计!$AC$2:$AC$500,0)),"")</f>
        <v/>
      </c>
      <c r="E336" s="4" t="str">
        <f>IFERROR(INDEX(样本到样信息汇总统计!E$2:E$500,MATCH(335,样本到样信息汇总统计!$AC$2:$AC$500,0)),"")</f>
        <v/>
      </c>
      <c r="F336" s="4" t="str">
        <f>IFERROR(INDEX(样本到样信息汇总统计!F$2:F$500,MATCH(335,样本到样信息汇总统计!$AC$2:$AC$500,0)),"")</f>
        <v/>
      </c>
      <c r="G336" s="4" t="str">
        <f>IFERROR(INDEX(样本到样信息汇总统计!G$2:G$500,MATCH(335,样本到样信息汇总统计!$AC$2:$AC$500,0)),"")</f>
        <v/>
      </c>
      <c r="H336" s="4" t="str">
        <f>IFERROR(INDEX(样本到样信息汇总统计!H$2:H$500,MATCH(335,样本到样信息汇总统计!$AC$2:$AC$500,0)),"")</f>
        <v/>
      </c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ht="21.75" customHeight="1" spans="1:24">
      <c r="A337" s="8" t="str">
        <f>IFERROR(INDEX(样本到样信息汇总统计!A$2:A$500,MATCH(336,样本到样信息汇总统计!$AC$2:$AC$500,0)),"")</f>
        <v/>
      </c>
      <c r="B337" s="8" t="str">
        <f>IFERROR(INDEX(样本到样信息汇总统计!B$2:B$500,MATCH(336,样本到样信息汇总统计!$AC$2:$AC$500,0)),"")</f>
        <v/>
      </c>
      <c r="C337" s="8" t="str">
        <f>IFERROR(INDEX(样本到样信息汇总统计!C$2:C$500,MATCH(336,样本到样信息汇总统计!$AC$2:$AC$500,0)),"")</f>
        <v/>
      </c>
      <c r="D337" s="8" t="str">
        <f>IFERROR(INDEX(样本到样信息汇总统计!D$2:D$500,MATCH(336,样本到样信息汇总统计!$AC$2:$AC$500,0)),"")</f>
        <v/>
      </c>
      <c r="E337" s="8" t="str">
        <f>IFERROR(INDEX(样本到样信息汇总统计!E$2:E$500,MATCH(336,样本到样信息汇总统计!$AC$2:$AC$500,0)),"")</f>
        <v/>
      </c>
      <c r="F337" s="8" t="str">
        <f>IFERROR(INDEX(样本到样信息汇总统计!F$2:F$500,MATCH(336,样本到样信息汇总统计!$AC$2:$AC$500,0)),"")</f>
        <v/>
      </c>
      <c r="G337" s="8" t="str">
        <f>IFERROR(INDEX(样本到样信息汇总统计!G$2:G$500,MATCH(336,样本到样信息汇总统计!$AC$2:$AC$500,0)),"")</f>
        <v/>
      </c>
      <c r="H337" s="8" t="str">
        <f>IFERROR(INDEX(样本到样信息汇总统计!H$2:H$500,MATCH(336,样本到样信息汇总统计!$AC$2:$AC$500,0)),"")</f>
        <v/>
      </c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 ht="21.75" customHeight="1" spans="1:24">
      <c r="A338" s="4" t="str">
        <f>IFERROR(INDEX(样本到样信息汇总统计!A$2:A$500,MATCH(337,样本到样信息汇总统计!$AC$2:$AC$500,0)),"")</f>
        <v/>
      </c>
      <c r="B338" s="4" t="str">
        <f>IFERROR(INDEX(样本到样信息汇总统计!B$2:B$500,MATCH(337,样本到样信息汇总统计!$AC$2:$AC$500,0)),"")</f>
        <v/>
      </c>
      <c r="C338" s="4" t="str">
        <f>IFERROR(INDEX(样本到样信息汇总统计!C$2:C$500,MATCH(337,样本到样信息汇总统计!$AC$2:$AC$500,0)),"")</f>
        <v/>
      </c>
      <c r="D338" s="4" t="str">
        <f>IFERROR(INDEX(样本到样信息汇总统计!D$2:D$500,MATCH(337,样本到样信息汇总统计!$AC$2:$AC$500,0)),"")</f>
        <v/>
      </c>
      <c r="E338" s="4" t="str">
        <f>IFERROR(INDEX(样本到样信息汇总统计!E$2:E$500,MATCH(337,样本到样信息汇总统计!$AC$2:$AC$500,0)),"")</f>
        <v/>
      </c>
      <c r="F338" s="4" t="str">
        <f>IFERROR(INDEX(样本到样信息汇总统计!F$2:F$500,MATCH(337,样本到样信息汇总统计!$AC$2:$AC$500,0)),"")</f>
        <v/>
      </c>
      <c r="G338" s="4" t="str">
        <f>IFERROR(INDEX(样本到样信息汇总统计!G$2:G$500,MATCH(337,样本到样信息汇总统计!$AC$2:$AC$500,0)),"")</f>
        <v/>
      </c>
      <c r="H338" s="4" t="str">
        <f>IFERROR(INDEX(样本到样信息汇总统计!H$2:H$500,MATCH(337,样本到样信息汇总统计!$AC$2:$AC$500,0)),"")</f>
        <v/>
      </c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ht="21.75" customHeight="1" spans="1:24">
      <c r="A339" s="8" t="str">
        <f>IFERROR(INDEX(样本到样信息汇总统计!A$2:A$500,MATCH(338,样本到样信息汇总统计!$AC$2:$AC$500,0)),"")</f>
        <v/>
      </c>
      <c r="B339" s="8" t="str">
        <f>IFERROR(INDEX(样本到样信息汇总统计!B$2:B$500,MATCH(338,样本到样信息汇总统计!$AC$2:$AC$500,0)),"")</f>
        <v/>
      </c>
      <c r="C339" s="8" t="str">
        <f>IFERROR(INDEX(样本到样信息汇总统计!C$2:C$500,MATCH(338,样本到样信息汇总统计!$AC$2:$AC$500,0)),"")</f>
        <v/>
      </c>
      <c r="D339" s="8" t="str">
        <f>IFERROR(INDEX(样本到样信息汇总统计!D$2:D$500,MATCH(338,样本到样信息汇总统计!$AC$2:$AC$500,0)),"")</f>
        <v/>
      </c>
      <c r="E339" s="8" t="str">
        <f>IFERROR(INDEX(样本到样信息汇总统计!E$2:E$500,MATCH(338,样本到样信息汇总统计!$AC$2:$AC$500,0)),"")</f>
        <v/>
      </c>
      <c r="F339" s="8" t="str">
        <f>IFERROR(INDEX(样本到样信息汇总统计!F$2:F$500,MATCH(338,样本到样信息汇总统计!$AC$2:$AC$500,0)),"")</f>
        <v/>
      </c>
      <c r="G339" s="8" t="str">
        <f>IFERROR(INDEX(样本到样信息汇总统计!G$2:G$500,MATCH(338,样本到样信息汇总统计!$AC$2:$AC$500,0)),"")</f>
        <v/>
      </c>
      <c r="H339" s="8" t="str">
        <f>IFERROR(INDEX(样本到样信息汇总统计!H$2:H$500,MATCH(338,样本到样信息汇总统计!$AC$2:$AC$500,0)),"")</f>
        <v/>
      </c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 ht="21.75" customHeight="1" spans="1:24">
      <c r="A340" s="4" t="str">
        <f>IFERROR(INDEX(样本到样信息汇总统计!A$2:A$500,MATCH(339,样本到样信息汇总统计!$AC$2:$AC$500,0)),"")</f>
        <v/>
      </c>
      <c r="B340" s="4" t="str">
        <f>IFERROR(INDEX(样本到样信息汇总统计!B$2:B$500,MATCH(339,样本到样信息汇总统计!$AC$2:$AC$500,0)),"")</f>
        <v/>
      </c>
      <c r="C340" s="4" t="str">
        <f>IFERROR(INDEX(样本到样信息汇总统计!C$2:C$500,MATCH(339,样本到样信息汇总统计!$AC$2:$AC$500,0)),"")</f>
        <v/>
      </c>
      <c r="D340" s="4" t="str">
        <f>IFERROR(INDEX(样本到样信息汇总统计!D$2:D$500,MATCH(339,样本到样信息汇总统计!$AC$2:$AC$500,0)),"")</f>
        <v/>
      </c>
      <c r="E340" s="4" t="str">
        <f>IFERROR(INDEX(样本到样信息汇总统计!E$2:E$500,MATCH(339,样本到样信息汇总统计!$AC$2:$AC$500,0)),"")</f>
        <v/>
      </c>
      <c r="F340" s="4" t="str">
        <f>IFERROR(INDEX(样本到样信息汇总统计!F$2:F$500,MATCH(339,样本到样信息汇总统计!$AC$2:$AC$500,0)),"")</f>
        <v/>
      </c>
      <c r="G340" s="4" t="str">
        <f>IFERROR(INDEX(样本到样信息汇总统计!G$2:G$500,MATCH(339,样本到样信息汇总统计!$AC$2:$AC$500,0)),"")</f>
        <v/>
      </c>
      <c r="H340" s="4" t="str">
        <f>IFERROR(INDEX(样本到样信息汇总统计!H$2:H$500,MATCH(339,样本到样信息汇总统计!$AC$2:$AC$500,0)),"")</f>
        <v/>
      </c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ht="21.75" customHeight="1" spans="1:24">
      <c r="A341" s="8" t="str">
        <f>IFERROR(INDEX(样本到样信息汇总统计!A$2:A$500,MATCH(340,样本到样信息汇总统计!$AC$2:$AC$500,0)),"")</f>
        <v/>
      </c>
      <c r="B341" s="8" t="str">
        <f>IFERROR(INDEX(样本到样信息汇总统计!B$2:B$500,MATCH(340,样本到样信息汇总统计!$AC$2:$AC$500,0)),"")</f>
        <v/>
      </c>
      <c r="C341" s="8" t="str">
        <f>IFERROR(INDEX(样本到样信息汇总统计!C$2:C$500,MATCH(340,样本到样信息汇总统计!$AC$2:$AC$500,0)),"")</f>
        <v/>
      </c>
      <c r="D341" s="8" t="str">
        <f>IFERROR(INDEX(样本到样信息汇总统计!D$2:D$500,MATCH(340,样本到样信息汇总统计!$AC$2:$AC$500,0)),"")</f>
        <v/>
      </c>
      <c r="E341" s="8" t="str">
        <f>IFERROR(INDEX(样本到样信息汇总统计!E$2:E$500,MATCH(340,样本到样信息汇总统计!$AC$2:$AC$500,0)),"")</f>
        <v/>
      </c>
      <c r="F341" s="8" t="str">
        <f>IFERROR(INDEX(样本到样信息汇总统计!F$2:F$500,MATCH(340,样本到样信息汇总统计!$AC$2:$AC$500,0)),"")</f>
        <v/>
      </c>
      <c r="G341" s="8" t="str">
        <f>IFERROR(INDEX(样本到样信息汇总统计!G$2:G$500,MATCH(340,样本到样信息汇总统计!$AC$2:$AC$500,0)),"")</f>
        <v/>
      </c>
      <c r="H341" s="8" t="str">
        <f>IFERROR(INDEX(样本到样信息汇总统计!H$2:H$500,MATCH(340,样本到样信息汇总统计!$AC$2:$AC$500,0)),"")</f>
        <v/>
      </c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 ht="21.75" customHeight="1" spans="1:24">
      <c r="A342" s="4" t="str">
        <f>IFERROR(INDEX(样本到样信息汇总统计!A$2:A$500,MATCH(341,样本到样信息汇总统计!$AC$2:$AC$500,0)),"")</f>
        <v/>
      </c>
      <c r="B342" s="4" t="str">
        <f>IFERROR(INDEX(样本到样信息汇总统计!B$2:B$500,MATCH(341,样本到样信息汇总统计!$AC$2:$AC$500,0)),"")</f>
        <v/>
      </c>
      <c r="C342" s="4" t="str">
        <f>IFERROR(INDEX(样本到样信息汇总统计!C$2:C$500,MATCH(341,样本到样信息汇总统计!$AC$2:$AC$500,0)),"")</f>
        <v/>
      </c>
      <c r="D342" s="4" t="str">
        <f>IFERROR(INDEX(样本到样信息汇总统计!D$2:D$500,MATCH(341,样本到样信息汇总统计!$AC$2:$AC$500,0)),"")</f>
        <v/>
      </c>
      <c r="E342" s="4" t="str">
        <f>IFERROR(INDEX(样本到样信息汇总统计!E$2:E$500,MATCH(341,样本到样信息汇总统计!$AC$2:$AC$500,0)),"")</f>
        <v/>
      </c>
      <c r="F342" s="4" t="str">
        <f>IFERROR(INDEX(样本到样信息汇总统计!F$2:F$500,MATCH(341,样本到样信息汇总统计!$AC$2:$AC$500,0)),"")</f>
        <v/>
      </c>
      <c r="G342" s="4" t="str">
        <f>IFERROR(INDEX(样本到样信息汇总统计!G$2:G$500,MATCH(341,样本到样信息汇总统计!$AC$2:$AC$500,0)),"")</f>
        <v/>
      </c>
      <c r="H342" s="4" t="str">
        <f>IFERROR(INDEX(样本到样信息汇总统计!H$2:H$500,MATCH(341,样本到样信息汇总统计!$AC$2:$AC$500,0)),"")</f>
        <v/>
      </c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ht="21.75" customHeight="1" spans="1:24">
      <c r="A343" s="8" t="str">
        <f>IFERROR(INDEX(样本到样信息汇总统计!A$2:A$500,MATCH(342,样本到样信息汇总统计!$AC$2:$AC$500,0)),"")</f>
        <v/>
      </c>
      <c r="B343" s="8" t="str">
        <f>IFERROR(INDEX(样本到样信息汇总统计!B$2:B$500,MATCH(342,样本到样信息汇总统计!$AC$2:$AC$500,0)),"")</f>
        <v/>
      </c>
      <c r="C343" s="8" t="str">
        <f>IFERROR(INDEX(样本到样信息汇总统计!C$2:C$500,MATCH(342,样本到样信息汇总统计!$AC$2:$AC$500,0)),"")</f>
        <v/>
      </c>
      <c r="D343" s="8" t="str">
        <f>IFERROR(INDEX(样本到样信息汇总统计!D$2:D$500,MATCH(342,样本到样信息汇总统计!$AC$2:$AC$500,0)),"")</f>
        <v/>
      </c>
      <c r="E343" s="8" t="str">
        <f>IFERROR(INDEX(样本到样信息汇总统计!E$2:E$500,MATCH(342,样本到样信息汇总统计!$AC$2:$AC$500,0)),"")</f>
        <v/>
      </c>
      <c r="F343" s="8" t="str">
        <f>IFERROR(INDEX(样本到样信息汇总统计!F$2:F$500,MATCH(342,样本到样信息汇总统计!$AC$2:$AC$500,0)),"")</f>
        <v/>
      </c>
      <c r="G343" s="8" t="str">
        <f>IFERROR(INDEX(样本到样信息汇总统计!G$2:G$500,MATCH(342,样本到样信息汇总统计!$AC$2:$AC$500,0)),"")</f>
        <v/>
      </c>
      <c r="H343" s="8" t="str">
        <f>IFERROR(INDEX(样本到样信息汇总统计!H$2:H$500,MATCH(342,样本到样信息汇总统计!$AC$2:$AC$500,0)),"")</f>
        <v/>
      </c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 ht="21.75" customHeight="1" spans="1:24">
      <c r="A344" s="4" t="str">
        <f>IFERROR(INDEX(样本到样信息汇总统计!A$2:A$500,MATCH(343,样本到样信息汇总统计!$AC$2:$AC$500,0)),"")</f>
        <v/>
      </c>
      <c r="B344" s="4" t="str">
        <f>IFERROR(INDEX(样本到样信息汇总统计!B$2:B$500,MATCH(343,样本到样信息汇总统计!$AC$2:$AC$500,0)),"")</f>
        <v/>
      </c>
      <c r="C344" s="4" t="str">
        <f>IFERROR(INDEX(样本到样信息汇总统计!C$2:C$500,MATCH(343,样本到样信息汇总统计!$AC$2:$AC$500,0)),"")</f>
        <v/>
      </c>
      <c r="D344" s="4" t="str">
        <f>IFERROR(INDEX(样本到样信息汇总统计!D$2:D$500,MATCH(343,样本到样信息汇总统计!$AC$2:$AC$500,0)),"")</f>
        <v/>
      </c>
      <c r="E344" s="4" t="str">
        <f>IFERROR(INDEX(样本到样信息汇总统计!E$2:E$500,MATCH(343,样本到样信息汇总统计!$AC$2:$AC$500,0)),"")</f>
        <v/>
      </c>
      <c r="F344" s="4" t="str">
        <f>IFERROR(INDEX(样本到样信息汇总统计!F$2:F$500,MATCH(343,样本到样信息汇总统计!$AC$2:$AC$500,0)),"")</f>
        <v/>
      </c>
      <c r="G344" s="4" t="str">
        <f>IFERROR(INDEX(样本到样信息汇总统计!G$2:G$500,MATCH(343,样本到样信息汇总统计!$AC$2:$AC$500,0)),"")</f>
        <v/>
      </c>
      <c r="H344" s="4" t="str">
        <f>IFERROR(INDEX(样本到样信息汇总统计!H$2:H$500,MATCH(343,样本到样信息汇总统计!$AC$2:$AC$500,0)),"")</f>
        <v/>
      </c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ht="21.75" customHeight="1" spans="1:24">
      <c r="A345" s="8" t="str">
        <f>IFERROR(INDEX(样本到样信息汇总统计!A$2:A$500,MATCH(344,样本到样信息汇总统计!$AC$2:$AC$500,0)),"")</f>
        <v/>
      </c>
      <c r="B345" s="8" t="str">
        <f>IFERROR(INDEX(样本到样信息汇总统计!B$2:B$500,MATCH(344,样本到样信息汇总统计!$AC$2:$AC$500,0)),"")</f>
        <v/>
      </c>
      <c r="C345" s="8" t="str">
        <f>IFERROR(INDEX(样本到样信息汇总统计!C$2:C$500,MATCH(344,样本到样信息汇总统计!$AC$2:$AC$500,0)),"")</f>
        <v/>
      </c>
      <c r="D345" s="8" t="str">
        <f>IFERROR(INDEX(样本到样信息汇总统计!D$2:D$500,MATCH(344,样本到样信息汇总统计!$AC$2:$AC$500,0)),"")</f>
        <v/>
      </c>
      <c r="E345" s="8" t="str">
        <f>IFERROR(INDEX(样本到样信息汇总统计!E$2:E$500,MATCH(344,样本到样信息汇总统计!$AC$2:$AC$500,0)),"")</f>
        <v/>
      </c>
      <c r="F345" s="8" t="str">
        <f>IFERROR(INDEX(样本到样信息汇总统计!F$2:F$500,MATCH(344,样本到样信息汇总统计!$AC$2:$AC$500,0)),"")</f>
        <v/>
      </c>
      <c r="G345" s="8" t="str">
        <f>IFERROR(INDEX(样本到样信息汇总统计!G$2:G$500,MATCH(344,样本到样信息汇总统计!$AC$2:$AC$500,0)),"")</f>
        <v/>
      </c>
      <c r="H345" s="8" t="str">
        <f>IFERROR(INDEX(样本到样信息汇总统计!H$2:H$500,MATCH(344,样本到样信息汇总统计!$AC$2:$AC$500,0)),"")</f>
        <v/>
      </c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 ht="21.75" customHeight="1" spans="1:24">
      <c r="A346" s="4" t="str">
        <f>IFERROR(INDEX(样本到样信息汇总统计!A$2:A$500,MATCH(345,样本到样信息汇总统计!$AC$2:$AC$500,0)),"")</f>
        <v/>
      </c>
      <c r="B346" s="4" t="str">
        <f>IFERROR(INDEX(样本到样信息汇总统计!B$2:B$500,MATCH(345,样本到样信息汇总统计!$AC$2:$AC$500,0)),"")</f>
        <v/>
      </c>
      <c r="C346" s="4" t="str">
        <f>IFERROR(INDEX(样本到样信息汇总统计!C$2:C$500,MATCH(345,样本到样信息汇总统计!$AC$2:$AC$500,0)),"")</f>
        <v/>
      </c>
      <c r="D346" s="4" t="str">
        <f>IFERROR(INDEX(样本到样信息汇总统计!D$2:D$500,MATCH(345,样本到样信息汇总统计!$AC$2:$AC$500,0)),"")</f>
        <v/>
      </c>
      <c r="E346" s="4" t="str">
        <f>IFERROR(INDEX(样本到样信息汇总统计!E$2:E$500,MATCH(345,样本到样信息汇总统计!$AC$2:$AC$500,0)),"")</f>
        <v/>
      </c>
      <c r="F346" s="4" t="str">
        <f>IFERROR(INDEX(样本到样信息汇总统计!F$2:F$500,MATCH(345,样本到样信息汇总统计!$AC$2:$AC$500,0)),"")</f>
        <v/>
      </c>
      <c r="G346" s="4" t="str">
        <f>IFERROR(INDEX(样本到样信息汇总统计!G$2:G$500,MATCH(345,样本到样信息汇总统计!$AC$2:$AC$500,0)),"")</f>
        <v/>
      </c>
      <c r="H346" s="4" t="str">
        <f>IFERROR(INDEX(样本到样信息汇总统计!H$2:H$500,MATCH(345,样本到样信息汇总统计!$AC$2:$AC$500,0)),"")</f>
        <v/>
      </c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ht="21.75" customHeight="1" spans="1:24">
      <c r="A347" s="8" t="str">
        <f>IFERROR(INDEX(样本到样信息汇总统计!A$2:A$500,MATCH(346,样本到样信息汇总统计!$AC$2:$AC$500,0)),"")</f>
        <v/>
      </c>
      <c r="B347" s="8" t="str">
        <f>IFERROR(INDEX(样本到样信息汇总统计!B$2:B$500,MATCH(346,样本到样信息汇总统计!$AC$2:$AC$500,0)),"")</f>
        <v/>
      </c>
      <c r="C347" s="8" t="str">
        <f>IFERROR(INDEX(样本到样信息汇总统计!C$2:C$500,MATCH(346,样本到样信息汇总统计!$AC$2:$AC$500,0)),"")</f>
        <v/>
      </c>
      <c r="D347" s="8" t="str">
        <f>IFERROR(INDEX(样本到样信息汇总统计!D$2:D$500,MATCH(346,样本到样信息汇总统计!$AC$2:$AC$500,0)),"")</f>
        <v/>
      </c>
      <c r="E347" s="8" t="str">
        <f>IFERROR(INDEX(样本到样信息汇总统计!E$2:E$500,MATCH(346,样本到样信息汇总统计!$AC$2:$AC$500,0)),"")</f>
        <v/>
      </c>
      <c r="F347" s="8" t="str">
        <f>IFERROR(INDEX(样本到样信息汇总统计!F$2:F$500,MATCH(346,样本到样信息汇总统计!$AC$2:$AC$500,0)),"")</f>
        <v/>
      </c>
      <c r="G347" s="8" t="str">
        <f>IFERROR(INDEX(样本到样信息汇总统计!G$2:G$500,MATCH(346,样本到样信息汇总统计!$AC$2:$AC$500,0)),"")</f>
        <v/>
      </c>
      <c r="H347" s="8" t="str">
        <f>IFERROR(INDEX(样本到样信息汇总统计!H$2:H$500,MATCH(346,样本到样信息汇总统计!$AC$2:$AC$500,0)),"")</f>
        <v/>
      </c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 ht="21.75" customHeight="1" spans="1:24">
      <c r="A348" s="4" t="str">
        <f>IFERROR(INDEX(样本到样信息汇总统计!A$2:A$500,MATCH(347,样本到样信息汇总统计!$AC$2:$AC$500,0)),"")</f>
        <v/>
      </c>
      <c r="B348" s="4" t="str">
        <f>IFERROR(INDEX(样本到样信息汇总统计!B$2:B$500,MATCH(347,样本到样信息汇总统计!$AC$2:$AC$500,0)),"")</f>
        <v/>
      </c>
      <c r="C348" s="4" t="str">
        <f>IFERROR(INDEX(样本到样信息汇总统计!C$2:C$500,MATCH(347,样本到样信息汇总统计!$AC$2:$AC$500,0)),"")</f>
        <v/>
      </c>
      <c r="D348" s="4" t="str">
        <f>IFERROR(INDEX(样本到样信息汇总统计!D$2:D$500,MATCH(347,样本到样信息汇总统计!$AC$2:$AC$500,0)),"")</f>
        <v/>
      </c>
      <c r="E348" s="4" t="str">
        <f>IFERROR(INDEX(样本到样信息汇总统计!E$2:E$500,MATCH(347,样本到样信息汇总统计!$AC$2:$AC$500,0)),"")</f>
        <v/>
      </c>
      <c r="F348" s="4" t="str">
        <f>IFERROR(INDEX(样本到样信息汇总统计!F$2:F$500,MATCH(347,样本到样信息汇总统计!$AC$2:$AC$500,0)),"")</f>
        <v/>
      </c>
      <c r="G348" s="4" t="str">
        <f>IFERROR(INDEX(样本到样信息汇总统计!G$2:G$500,MATCH(347,样本到样信息汇总统计!$AC$2:$AC$500,0)),"")</f>
        <v/>
      </c>
      <c r="H348" s="4" t="str">
        <f>IFERROR(INDEX(样本到样信息汇总统计!H$2:H$500,MATCH(347,样本到样信息汇总统计!$AC$2:$AC$500,0)),"")</f>
        <v/>
      </c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ht="21.75" customHeight="1" spans="1:24">
      <c r="A349" s="8" t="str">
        <f>IFERROR(INDEX(样本到样信息汇总统计!A$2:A$500,MATCH(348,样本到样信息汇总统计!$AC$2:$AC$500,0)),"")</f>
        <v/>
      </c>
      <c r="B349" s="8" t="str">
        <f>IFERROR(INDEX(样本到样信息汇总统计!B$2:B$500,MATCH(348,样本到样信息汇总统计!$AC$2:$AC$500,0)),"")</f>
        <v/>
      </c>
      <c r="C349" s="8" t="str">
        <f>IFERROR(INDEX(样本到样信息汇总统计!C$2:C$500,MATCH(348,样本到样信息汇总统计!$AC$2:$AC$500,0)),"")</f>
        <v/>
      </c>
      <c r="D349" s="8" t="str">
        <f>IFERROR(INDEX(样本到样信息汇总统计!D$2:D$500,MATCH(348,样本到样信息汇总统计!$AC$2:$AC$500,0)),"")</f>
        <v/>
      </c>
      <c r="E349" s="8" t="str">
        <f>IFERROR(INDEX(样本到样信息汇总统计!E$2:E$500,MATCH(348,样本到样信息汇总统计!$AC$2:$AC$500,0)),"")</f>
        <v/>
      </c>
      <c r="F349" s="8" t="str">
        <f>IFERROR(INDEX(样本到样信息汇总统计!F$2:F$500,MATCH(348,样本到样信息汇总统计!$AC$2:$AC$500,0)),"")</f>
        <v/>
      </c>
      <c r="G349" s="8" t="str">
        <f>IFERROR(INDEX(样本到样信息汇总统计!G$2:G$500,MATCH(348,样本到样信息汇总统计!$AC$2:$AC$500,0)),"")</f>
        <v/>
      </c>
      <c r="H349" s="8" t="str">
        <f>IFERROR(INDEX(样本到样信息汇总统计!H$2:H$500,MATCH(348,样本到样信息汇总统计!$AC$2:$AC$500,0)),"")</f>
        <v/>
      </c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 ht="21.75" customHeight="1" spans="1:24">
      <c r="A350" s="4" t="str">
        <f>IFERROR(INDEX(样本到样信息汇总统计!A$2:A$500,MATCH(349,样本到样信息汇总统计!$AC$2:$AC$500,0)),"")</f>
        <v/>
      </c>
      <c r="B350" s="4" t="str">
        <f>IFERROR(INDEX(样本到样信息汇总统计!B$2:B$500,MATCH(349,样本到样信息汇总统计!$AC$2:$AC$500,0)),"")</f>
        <v/>
      </c>
      <c r="C350" s="4" t="str">
        <f>IFERROR(INDEX(样本到样信息汇总统计!C$2:C$500,MATCH(349,样本到样信息汇总统计!$AC$2:$AC$500,0)),"")</f>
        <v/>
      </c>
      <c r="D350" s="4" t="str">
        <f>IFERROR(INDEX(样本到样信息汇总统计!D$2:D$500,MATCH(349,样本到样信息汇总统计!$AC$2:$AC$500,0)),"")</f>
        <v/>
      </c>
      <c r="E350" s="4" t="str">
        <f>IFERROR(INDEX(样本到样信息汇总统计!E$2:E$500,MATCH(349,样本到样信息汇总统计!$AC$2:$AC$500,0)),"")</f>
        <v/>
      </c>
      <c r="F350" s="4" t="str">
        <f>IFERROR(INDEX(样本到样信息汇总统计!F$2:F$500,MATCH(349,样本到样信息汇总统计!$AC$2:$AC$500,0)),"")</f>
        <v/>
      </c>
      <c r="G350" s="4" t="str">
        <f>IFERROR(INDEX(样本到样信息汇总统计!G$2:G$500,MATCH(349,样本到样信息汇总统计!$AC$2:$AC$500,0)),"")</f>
        <v/>
      </c>
      <c r="H350" s="4" t="str">
        <f>IFERROR(INDEX(样本到样信息汇总统计!H$2:H$500,MATCH(349,样本到样信息汇总统计!$AC$2:$AC$500,0)),"")</f>
        <v/>
      </c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ht="21.75" customHeight="1" spans="1:24">
      <c r="A351" s="8" t="str">
        <f>IFERROR(INDEX(样本到样信息汇总统计!A$2:A$500,MATCH(350,样本到样信息汇总统计!$AC$2:$AC$500,0)),"")</f>
        <v/>
      </c>
      <c r="B351" s="8" t="str">
        <f>IFERROR(INDEX(样本到样信息汇总统计!B$2:B$500,MATCH(350,样本到样信息汇总统计!$AC$2:$AC$500,0)),"")</f>
        <v/>
      </c>
      <c r="C351" s="8" t="str">
        <f>IFERROR(INDEX(样本到样信息汇总统计!C$2:C$500,MATCH(350,样本到样信息汇总统计!$AC$2:$AC$500,0)),"")</f>
        <v/>
      </c>
      <c r="D351" s="8" t="str">
        <f>IFERROR(INDEX(样本到样信息汇总统计!D$2:D$500,MATCH(350,样本到样信息汇总统计!$AC$2:$AC$500,0)),"")</f>
        <v/>
      </c>
      <c r="E351" s="8" t="str">
        <f>IFERROR(INDEX(样本到样信息汇总统计!E$2:E$500,MATCH(350,样本到样信息汇总统计!$AC$2:$AC$500,0)),"")</f>
        <v/>
      </c>
      <c r="F351" s="8" t="str">
        <f>IFERROR(INDEX(样本到样信息汇总统计!F$2:F$500,MATCH(350,样本到样信息汇总统计!$AC$2:$AC$500,0)),"")</f>
        <v/>
      </c>
      <c r="G351" s="8" t="str">
        <f>IFERROR(INDEX(样本到样信息汇总统计!G$2:G$500,MATCH(350,样本到样信息汇总统计!$AC$2:$AC$500,0)),"")</f>
        <v/>
      </c>
      <c r="H351" s="8" t="str">
        <f>IFERROR(INDEX(样本到样信息汇总统计!H$2:H$500,MATCH(350,样本到样信息汇总统计!$AC$2:$AC$500,0)),"")</f>
        <v/>
      </c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 ht="21.75" customHeight="1" spans="1:24">
      <c r="A352" s="4" t="str">
        <f>IFERROR(INDEX(样本到样信息汇总统计!A$2:A$500,MATCH(351,样本到样信息汇总统计!$AC$2:$AC$500,0)),"")</f>
        <v/>
      </c>
      <c r="B352" s="4" t="str">
        <f>IFERROR(INDEX(样本到样信息汇总统计!B$2:B$500,MATCH(351,样本到样信息汇总统计!$AC$2:$AC$500,0)),"")</f>
        <v/>
      </c>
      <c r="C352" s="4" t="str">
        <f>IFERROR(INDEX(样本到样信息汇总统计!C$2:C$500,MATCH(351,样本到样信息汇总统计!$AC$2:$AC$500,0)),"")</f>
        <v/>
      </c>
      <c r="D352" s="4" t="str">
        <f>IFERROR(INDEX(样本到样信息汇总统计!D$2:D$500,MATCH(351,样本到样信息汇总统计!$AC$2:$AC$500,0)),"")</f>
        <v/>
      </c>
      <c r="E352" s="4" t="str">
        <f>IFERROR(INDEX(样本到样信息汇总统计!E$2:E$500,MATCH(351,样本到样信息汇总统计!$AC$2:$AC$500,0)),"")</f>
        <v/>
      </c>
      <c r="F352" s="4" t="str">
        <f>IFERROR(INDEX(样本到样信息汇总统计!F$2:F$500,MATCH(351,样本到样信息汇总统计!$AC$2:$AC$500,0)),"")</f>
        <v/>
      </c>
      <c r="G352" s="4" t="str">
        <f>IFERROR(INDEX(样本到样信息汇总统计!G$2:G$500,MATCH(351,样本到样信息汇总统计!$AC$2:$AC$500,0)),"")</f>
        <v/>
      </c>
      <c r="H352" s="4" t="str">
        <f>IFERROR(INDEX(样本到样信息汇总统计!H$2:H$500,MATCH(351,样本到样信息汇总统计!$AC$2:$AC$500,0)),"")</f>
        <v/>
      </c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ht="21.75" customHeight="1" spans="1:24">
      <c r="A353" s="8" t="str">
        <f>IFERROR(INDEX(样本到样信息汇总统计!A$2:A$500,MATCH(352,样本到样信息汇总统计!$AC$2:$AC$500,0)),"")</f>
        <v/>
      </c>
      <c r="B353" s="8" t="str">
        <f>IFERROR(INDEX(样本到样信息汇总统计!B$2:B$500,MATCH(352,样本到样信息汇总统计!$AC$2:$AC$500,0)),"")</f>
        <v/>
      </c>
      <c r="C353" s="8" t="str">
        <f>IFERROR(INDEX(样本到样信息汇总统计!C$2:C$500,MATCH(352,样本到样信息汇总统计!$AC$2:$AC$500,0)),"")</f>
        <v/>
      </c>
      <c r="D353" s="8" t="str">
        <f>IFERROR(INDEX(样本到样信息汇总统计!D$2:D$500,MATCH(352,样本到样信息汇总统计!$AC$2:$AC$500,0)),"")</f>
        <v/>
      </c>
      <c r="E353" s="8" t="str">
        <f>IFERROR(INDEX(样本到样信息汇总统计!E$2:E$500,MATCH(352,样本到样信息汇总统计!$AC$2:$AC$500,0)),"")</f>
        <v/>
      </c>
      <c r="F353" s="8" t="str">
        <f>IFERROR(INDEX(样本到样信息汇总统计!F$2:F$500,MATCH(352,样本到样信息汇总统计!$AC$2:$AC$500,0)),"")</f>
        <v/>
      </c>
      <c r="G353" s="8" t="str">
        <f>IFERROR(INDEX(样本到样信息汇总统计!G$2:G$500,MATCH(352,样本到样信息汇总统计!$AC$2:$AC$500,0)),"")</f>
        <v/>
      </c>
      <c r="H353" s="8" t="str">
        <f>IFERROR(INDEX(样本到样信息汇总统计!H$2:H$500,MATCH(352,样本到样信息汇总统计!$AC$2:$AC$500,0)),"")</f>
        <v/>
      </c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 ht="21.75" customHeight="1" spans="1:24">
      <c r="A354" s="4" t="str">
        <f>IFERROR(INDEX(样本到样信息汇总统计!A$2:A$500,MATCH(353,样本到样信息汇总统计!$AC$2:$AC$500,0)),"")</f>
        <v/>
      </c>
      <c r="B354" s="4" t="str">
        <f>IFERROR(INDEX(样本到样信息汇总统计!B$2:B$500,MATCH(353,样本到样信息汇总统计!$AC$2:$AC$500,0)),"")</f>
        <v/>
      </c>
      <c r="C354" s="4" t="str">
        <f>IFERROR(INDEX(样本到样信息汇总统计!C$2:C$500,MATCH(353,样本到样信息汇总统计!$AC$2:$AC$500,0)),"")</f>
        <v/>
      </c>
      <c r="D354" s="4" t="str">
        <f>IFERROR(INDEX(样本到样信息汇总统计!D$2:D$500,MATCH(353,样本到样信息汇总统计!$AC$2:$AC$500,0)),"")</f>
        <v/>
      </c>
      <c r="E354" s="4" t="str">
        <f>IFERROR(INDEX(样本到样信息汇总统计!E$2:E$500,MATCH(353,样本到样信息汇总统计!$AC$2:$AC$500,0)),"")</f>
        <v/>
      </c>
      <c r="F354" s="4" t="str">
        <f>IFERROR(INDEX(样本到样信息汇总统计!F$2:F$500,MATCH(353,样本到样信息汇总统计!$AC$2:$AC$500,0)),"")</f>
        <v/>
      </c>
      <c r="G354" s="4" t="str">
        <f>IFERROR(INDEX(样本到样信息汇总统计!G$2:G$500,MATCH(353,样本到样信息汇总统计!$AC$2:$AC$500,0)),"")</f>
        <v/>
      </c>
      <c r="H354" s="4" t="str">
        <f>IFERROR(INDEX(样本到样信息汇总统计!H$2:H$500,MATCH(353,样本到样信息汇总统计!$AC$2:$AC$500,0)),"")</f>
        <v/>
      </c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ht="21.75" customHeight="1" spans="1:24">
      <c r="A355" s="8" t="str">
        <f>IFERROR(INDEX(样本到样信息汇总统计!A$2:A$500,MATCH(354,样本到样信息汇总统计!$AC$2:$AC$500,0)),"")</f>
        <v/>
      </c>
      <c r="B355" s="8" t="str">
        <f>IFERROR(INDEX(样本到样信息汇总统计!B$2:B$500,MATCH(354,样本到样信息汇总统计!$AC$2:$AC$500,0)),"")</f>
        <v/>
      </c>
      <c r="C355" s="8" t="str">
        <f>IFERROR(INDEX(样本到样信息汇总统计!C$2:C$500,MATCH(354,样本到样信息汇总统计!$AC$2:$AC$500,0)),"")</f>
        <v/>
      </c>
      <c r="D355" s="8" t="str">
        <f>IFERROR(INDEX(样本到样信息汇总统计!D$2:D$500,MATCH(354,样本到样信息汇总统计!$AC$2:$AC$500,0)),"")</f>
        <v/>
      </c>
      <c r="E355" s="8" t="str">
        <f>IFERROR(INDEX(样本到样信息汇总统计!E$2:E$500,MATCH(354,样本到样信息汇总统计!$AC$2:$AC$500,0)),"")</f>
        <v/>
      </c>
      <c r="F355" s="8" t="str">
        <f>IFERROR(INDEX(样本到样信息汇总统计!F$2:F$500,MATCH(354,样本到样信息汇总统计!$AC$2:$AC$500,0)),"")</f>
        <v/>
      </c>
      <c r="G355" s="8" t="str">
        <f>IFERROR(INDEX(样本到样信息汇总统计!G$2:G$500,MATCH(354,样本到样信息汇总统计!$AC$2:$AC$500,0)),"")</f>
        <v/>
      </c>
      <c r="H355" s="8" t="str">
        <f>IFERROR(INDEX(样本到样信息汇总统计!H$2:H$500,MATCH(354,样本到样信息汇总统计!$AC$2:$AC$500,0)),"")</f>
        <v/>
      </c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 ht="21.75" customHeight="1" spans="1:24">
      <c r="A356" s="4" t="str">
        <f>IFERROR(INDEX(样本到样信息汇总统计!A$2:A$500,MATCH(355,样本到样信息汇总统计!$AC$2:$AC$500,0)),"")</f>
        <v/>
      </c>
      <c r="B356" s="4" t="str">
        <f>IFERROR(INDEX(样本到样信息汇总统计!B$2:B$500,MATCH(355,样本到样信息汇总统计!$AC$2:$AC$500,0)),"")</f>
        <v/>
      </c>
      <c r="C356" s="4" t="str">
        <f>IFERROR(INDEX(样本到样信息汇总统计!C$2:C$500,MATCH(355,样本到样信息汇总统计!$AC$2:$AC$500,0)),"")</f>
        <v/>
      </c>
      <c r="D356" s="4" t="str">
        <f>IFERROR(INDEX(样本到样信息汇总统计!D$2:D$500,MATCH(355,样本到样信息汇总统计!$AC$2:$AC$500,0)),"")</f>
        <v/>
      </c>
      <c r="E356" s="4" t="str">
        <f>IFERROR(INDEX(样本到样信息汇总统计!E$2:E$500,MATCH(355,样本到样信息汇总统计!$AC$2:$AC$500,0)),"")</f>
        <v/>
      </c>
      <c r="F356" s="4" t="str">
        <f>IFERROR(INDEX(样本到样信息汇总统计!F$2:F$500,MATCH(355,样本到样信息汇总统计!$AC$2:$AC$500,0)),"")</f>
        <v/>
      </c>
      <c r="G356" s="4" t="str">
        <f>IFERROR(INDEX(样本到样信息汇总统计!G$2:G$500,MATCH(355,样本到样信息汇总统计!$AC$2:$AC$500,0)),"")</f>
        <v/>
      </c>
      <c r="H356" s="4" t="str">
        <f>IFERROR(INDEX(样本到样信息汇总统计!H$2:H$500,MATCH(355,样本到样信息汇总统计!$AC$2:$AC$500,0)),"")</f>
        <v/>
      </c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ht="21.75" customHeight="1" spans="1:24">
      <c r="A357" s="8" t="str">
        <f>IFERROR(INDEX(样本到样信息汇总统计!A$2:A$500,MATCH(356,样本到样信息汇总统计!$AC$2:$AC$500,0)),"")</f>
        <v/>
      </c>
      <c r="B357" s="8" t="str">
        <f>IFERROR(INDEX(样本到样信息汇总统计!B$2:B$500,MATCH(356,样本到样信息汇总统计!$AC$2:$AC$500,0)),"")</f>
        <v/>
      </c>
      <c r="C357" s="8" t="str">
        <f>IFERROR(INDEX(样本到样信息汇总统计!C$2:C$500,MATCH(356,样本到样信息汇总统计!$AC$2:$AC$500,0)),"")</f>
        <v/>
      </c>
      <c r="D357" s="8" t="str">
        <f>IFERROR(INDEX(样本到样信息汇总统计!D$2:D$500,MATCH(356,样本到样信息汇总统计!$AC$2:$AC$500,0)),"")</f>
        <v/>
      </c>
      <c r="E357" s="8" t="str">
        <f>IFERROR(INDEX(样本到样信息汇总统计!E$2:E$500,MATCH(356,样本到样信息汇总统计!$AC$2:$AC$500,0)),"")</f>
        <v/>
      </c>
      <c r="F357" s="8" t="str">
        <f>IFERROR(INDEX(样本到样信息汇总统计!F$2:F$500,MATCH(356,样本到样信息汇总统计!$AC$2:$AC$500,0)),"")</f>
        <v/>
      </c>
      <c r="G357" s="8" t="str">
        <f>IFERROR(INDEX(样本到样信息汇总统计!G$2:G$500,MATCH(356,样本到样信息汇总统计!$AC$2:$AC$500,0)),"")</f>
        <v/>
      </c>
      <c r="H357" s="8" t="str">
        <f>IFERROR(INDEX(样本到样信息汇总统计!H$2:H$500,MATCH(356,样本到样信息汇总统计!$AC$2:$AC$500,0)),"")</f>
        <v/>
      </c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 ht="21.75" customHeight="1" spans="1:24">
      <c r="A358" s="4" t="str">
        <f>IFERROR(INDEX(样本到样信息汇总统计!A$2:A$500,MATCH(357,样本到样信息汇总统计!$AC$2:$AC$500,0)),"")</f>
        <v/>
      </c>
      <c r="B358" s="4" t="str">
        <f>IFERROR(INDEX(样本到样信息汇总统计!B$2:B$500,MATCH(357,样本到样信息汇总统计!$AC$2:$AC$500,0)),"")</f>
        <v/>
      </c>
      <c r="C358" s="4" t="str">
        <f>IFERROR(INDEX(样本到样信息汇总统计!C$2:C$500,MATCH(357,样本到样信息汇总统计!$AC$2:$AC$500,0)),"")</f>
        <v/>
      </c>
      <c r="D358" s="4" t="str">
        <f>IFERROR(INDEX(样本到样信息汇总统计!D$2:D$500,MATCH(357,样本到样信息汇总统计!$AC$2:$AC$500,0)),"")</f>
        <v/>
      </c>
      <c r="E358" s="4" t="str">
        <f>IFERROR(INDEX(样本到样信息汇总统计!E$2:E$500,MATCH(357,样本到样信息汇总统计!$AC$2:$AC$500,0)),"")</f>
        <v/>
      </c>
      <c r="F358" s="4" t="str">
        <f>IFERROR(INDEX(样本到样信息汇总统计!F$2:F$500,MATCH(357,样本到样信息汇总统计!$AC$2:$AC$500,0)),"")</f>
        <v/>
      </c>
      <c r="G358" s="4" t="str">
        <f>IFERROR(INDEX(样本到样信息汇总统计!G$2:G$500,MATCH(357,样本到样信息汇总统计!$AC$2:$AC$500,0)),"")</f>
        <v/>
      </c>
      <c r="H358" s="4" t="str">
        <f>IFERROR(INDEX(样本到样信息汇总统计!H$2:H$500,MATCH(357,样本到样信息汇总统计!$AC$2:$AC$500,0)),"")</f>
        <v/>
      </c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ht="21.75" customHeight="1" spans="1:24">
      <c r="A359" s="8" t="str">
        <f>IFERROR(INDEX(样本到样信息汇总统计!A$2:A$500,MATCH(358,样本到样信息汇总统计!$AC$2:$AC$500,0)),"")</f>
        <v/>
      </c>
      <c r="B359" s="8" t="str">
        <f>IFERROR(INDEX(样本到样信息汇总统计!B$2:B$500,MATCH(358,样本到样信息汇总统计!$AC$2:$AC$500,0)),"")</f>
        <v/>
      </c>
      <c r="C359" s="8" t="str">
        <f>IFERROR(INDEX(样本到样信息汇总统计!C$2:C$500,MATCH(358,样本到样信息汇总统计!$AC$2:$AC$500,0)),"")</f>
        <v/>
      </c>
      <c r="D359" s="8" t="str">
        <f>IFERROR(INDEX(样本到样信息汇总统计!D$2:D$500,MATCH(358,样本到样信息汇总统计!$AC$2:$AC$500,0)),"")</f>
        <v/>
      </c>
      <c r="E359" s="8" t="str">
        <f>IFERROR(INDEX(样本到样信息汇总统计!E$2:E$500,MATCH(358,样本到样信息汇总统计!$AC$2:$AC$500,0)),"")</f>
        <v/>
      </c>
      <c r="F359" s="8" t="str">
        <f>IFERROR(INDEX(样本到样信息汇总统计!F$2:F$500,MATCH(358,样本到样信息汇总统计!$AC$2:$AC$500,0)),"")</f>
        <v/>
      </c>
      <c r="G359" s="8" t="str">
        <f>IFERROR(INDEX(样本到样信息汇总统计!G$2:G$500,MATCH(358,样本到样信息汇总统计!$AC$2:$AC$500,0)),"")</f>
        <v/>
      </c>
      <c r="H359" s="8" t="str">
        <f>IFERROR(INDEX(样本到样信息汇总统计!H$2:H$500,MATCH(358,样本到样信息汇总统计!$AC$2:$AC$500,0)),"")</f>
        <v/>
      </c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 ht="21.75" customHeight="1" spans="1:24">
      <c r="A360" s="4" t="str">
        <f>IFERROR(INDEX(样本到样信息汇总统计!A$2:A$500,MATCH(359,样本到样信息汇总统计!$AC$2:$AC$500,0)),"")</f>
        <v/>
      </c>
      <c r="B360" s="4" t="str">
        <f>IFERROR(INDEX(样本到样信息汇总统计!B$2:B$500,MATCH(359,样本到样信息汇总统计!$AC$2:$AC$500,0)),"")</f>
        <v/>
      </c>
      <c r="C360" s="4" t="str">
        <f>IFERROR(INDEX(样本到样信息汇总统计!C$2:C$500,MATCH(359,样本到样信息汇总统计!$AC$2:$AC$500,0)),"")</f>
        <v/>
      </c>
      <c r="D360" s="4" t="str">
        <f>IFERROR(INDEX(样本到样信息汇总统计!D$2:D$500,MATCH(359,样本到样信息汇总统计!$AC$2:$AC$500,0)),"")</f>
        <v/>
      </c>
      <c r="E360" s="4" t="str">
        <f>IFERROR(INDEX(样本到样信息汇总统计!E$2:E$500,MATCH(359,样本到样信息汇总统计!$AC$2:$AC$500,0)),"")</f>
        <v/>
      </c>
      <c r="F360" s="4" t="str">
        <f>IFERROR(INDEX(样本到样信息汇总统计!F$2:F$500,MATCH(359,样本到样信息汇总统计!$AC$2:$AC$500,0)),"")</f>
        <v/>
      </c>
      <c r="G360" s="4" t="str">
        <f>IFERROR(INDEX(样本到样信息汇总统计!G$2:G$500,MATCH(359,样本到样信息汇总统计!$AC$2:$AC$500,0)),"")</f>
        <v/>
      </c>
      <c r="H360" s="4" t="str">
        <f>IFERROR(INDEX(样本到样信息汇总统计!H$2:H$500,MATCH(359,样本到样信息汇总统计!$AC$2:$AC$500,0)),"")</f>
        <v/>
      </c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ht="21.75" customHeight="1" spans="1:24">
      <c r="A361" s="8" t="str">
        <f>IFERROR(INDEX(样本到样信息汇总统计!A$2:A$500,MATCH(360,样本到样信息汇总统计!$AC$2:$AC$500,0)),"")</f>
        <v/>
      </c>
      <c r="B361" s="8" t="str">
        <f>IFERROR(INDEX(样本到样信息汇总统计!B$2:B$500,MATCH(360,样本到样信息汇总统计!$AC$2:$AC$500,0)),"")</f>
        <v/>
      </c>
      <c r="C361" s="8" t="str">
        <f>IFERROR(INDEX(样本到样信息汇总统计!C$2:C$500,MATCH(360,样本到样信息汇总统计!$AC$2:$AC$500,0)),"")</f>
        <v/>
      </c>
      <c r="D361" s="8" t="str">
        <f>IFERROR(INDEX(样本到样信息汇总统计!D$2:D$500,MATCH(360,样本到样信息汇总统计!$AC$2:$AC$500,0)),"")</f>
        <v/>
      </c>
      <c r="E361" s="8" t="str">
        <f>IFERROR(INDEX(样本到样信息汇总统计!E$2:E$500,MATCH(360,样本到样信息汇总统计!$AC$2:$AC$500,0)),"")</f>
        <v/>
      </c>
      <c r="F361" s="8" t="str">
        <f>IFERROR(INDEX(样本到样信息汇总统计!F$2:F$500,MATCH(360,样本到样信息汇总统计!$AC$2:$AC$500,0)),"")</f>
        <v/>
      </c>
      <c r="G361" s="8" t="str">
        <f>IFERROR(INDEX(样本到样信息汇总统计!G$2:G$500,MATCH(360,样本到样信息汇总统计!$AC$2:$AC$500,0)),"")</f>
        <v/>
      </c>
      <c r="H361" s="8" t="str">
        <f>IFERROR(INDEX(样本到样信息汇总统计!H$2:H$500,MATCH(360,样本到样信息汇总统计!$AC$2:$AC$500,0)),"")</f>
        <v/>
      </c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 ht="21.75" customHeight="1" spans="1:24">
      <c r="A362" s="4" t="str">
        <f>IFERROR(INDEX(样本到样信息汇总统计!A$2:A$500,MATCH(361,样本到样信息汇总统计!$AC$2:$AC$500,0)),"")</f>
        <v/>
      </c>
      <c r="B362" s="4" t="str">
        <f>IFERROR(INDEX(样本到样信息汇总统计!B$2:B$500,MATCH(361,样本到样信息汇总统计!$AC$2:$AC$500,0)),"")</f>
        <v/>
      </c>
      <c r="C362" s="4" t="str">
        <f>IFERROR(INDEX(样本到样信息汇总统计!C$2:C$500,MATCH(361,样本到样信息汇总统计!$AC$2:$AC$500,0)),"")</f>
        <v/>
      </c>
      <c r="D362" s="4" t="str">
        <f>IFERROR(INDEX(样本到样信息汇总统计!D$2:D$500,MATCH(361,样本到样信息汇总统计!$AC$2:$AC$500,0)),"")</f>
        <v/>
      </c>
      <c r="E362" s="4" t="str">
        <f>IFERROR(INDEX(样本到样信息汇总统计!E$2:E$500,MATCH(361,样本到样信息汇总统计!$AC$2:$AC$500,0)),"")</f>
        <v/>
      </c>
      <c r="F362" s="4" t="str">
        <f>IFERROR(INDEX(样本到样信息汇总统计!F$2:F$500,MATCH(361,样本到样信息汇总统计!$AC$2:$AC$500,0)),"")</f>
        <v/>
      </c>
      <c r="G362" s="4" t="str">
        <f>IFERROR(INDEX(样本到样信息汇总统计!G$2:G$500,MATCH(361,样本到样信息汇总统计!$AC$2:$AC$500,0)),"")</f>
        <v/>
      </c>
      <c r="H362" s="4" t="str">
        <f>IFERROR(INDEX(样本到样信息汇总统计!H$2:H$500,MATCH(361,样本到样信息汇总统计!$AC$2:$AC$500,0)),"")</f>
        <v/>
      </c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ht="21.75" customHeight="1" spans="1:24">
      <c r="A363" s="8" t="str">
        <f>IFERROR(INDEX(样本到样信息汇总统计!A$2:A$500,MATCH(362,样本到样信息汇总统计!$AC$2:$AC$500,0)),"")</f>
        <v/>
      </c>
      <c r="B363" s="8" t="str">
        <f>IFERROR(INDEX(样本到样信息汇总统计!B$2:B$500,MATCH(362,样本到样信息汇总统计!$AC$2:$AC$500,0)),"")</f>
        <v/>
      </c>
      <c r="C363" s="8" t="str">
        <f>IFERROR(INDEX(样本到样信息汇总统计!C$2:C$500,MATCH(362,样本到样信息汇总统计!$AC$2:$AC$500,0)),"")</f>
        <v/>
      </c>
      <c r="D363" s="8" t="str">
        <f>IFERROR(INDEX(样本到样信息汇总统计!D$2:D$500,MATCH(362,样本到样信息汇总统计!$AC$2:$AC$500,0)),"")</f>
        <v/>
      </c>
      <c r="E363" s="8" t="str">
        <f>IFERROR(INDEX(样本到样信息汇总统计!E$2:E$500,MATCH(362,样本到样信息汇总统计!$AC$2:$AC$500,0)),"")</f>
        <v/>
      </c>
      <c r="F363" s="8" t="str">
        <f>IFERROR(INDEX(样本到样信息汇总统计!F$2:F$500,MATCH(362,样本到样信息汇总统计!$AC$2:$AC$500,0)),"")</f>
        <v/>
      </c>
      <c r="G363" s="8" t="str">
        <f>IFERROR(INDEX(样本到样信息汇总统计!G$2:G$500,MATCH(362,样本到样信息汇总统计!$AC$2:$AC$500,0)),"")</f>
        <v/>
      </c>
      <c r="H363" s="8" t="str">
        <f>IFERROR(INDEX(样本到样信息汇总统计!H$2:H$500,MATCH(362,样本到样信息汇总统计!$AC$2:$AC$500,0)),"")</f>
        <v/>
      </c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 ht="21.75" customHeight="1" spans="1:24">
      <c r="A364" s="4" t="str">
        <f>IFERROR(INDEX(样本到样信息汇总统计!A$2:A$500,MATCH(363,样本到样信息汇总统计!$AC$2:$AC$500,0)),"")</f>
        <v/>
      </c>
      <c r="B364" s="4" t="str">
        <f>IFERROR(INDEX(样本到样信息汇总统计!B$2:B$500,MATCH(363,样本到样信息汇总统计!$AC$2:$AC$500,0)),"")</f>
        <v/>
      </c>
      <c r="C364" s="4" t="str">
        <f>IFERROR(INDEX(样本到样信息汇总统计!C$2:C$500,MATCH(363,样本到样信息汇总统计!$AC$2:$AC$500,0)),"")</f>
        <v/>
      </c>
      <c r="D364" s="4" t="str">
        <f>IFERROR(INDEX(样本到样信息汇总统计!D$2:D$500,MATCH(363,样本到样信息汇总统计!$AC$2:$AC$500,0)),"")</f>
        <v/>
      </c>
      <c r="E364" s="4" t="str">
        <f>IFERROR(INDEX(样本到样信息汇总统计!E$2:E$500,MATCH(363,样本到样信息汇总统计!$AC$2:$AC$500,0)),"")</f>
        <v/>
      </c>
      <c r="F364" s="4" t="str">
        <f>IFERROR(INDEX(样本到样信息汇总统计!F$2:F$500,MATCH(363,样本到样信息汇总统计!$AC$2:$AC$500,0)),"")</f>
        <v/>
      </c>
      <c r="G364" s="4" t="str">
        <f>IFERROR(INDEX(样本到样信息汇总统计!G$2:G$500,MATCH(363,样本到样信息汇总统计!$AC$2:$AC$500,0)),"")</f>
        <v/>
      </c>
      <c r="H364" s="4" t="str">
        <f>IFERROR(INDEX(样本到样信息汇总统计!H$2:H$500,MATCH(363,样本到样信息汇总统计!$AC$2:$AC$500,0)),"")</f>
        <v/>
      </c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ht="21.75" customHeight="1" spans="1:24">
      <c r="A365" s="8" t="str">
        <f>IFERROR(INDEX(样本到样信息汇总统计!A$2:A$500,MATCH(364,样本到样信息汇总统计!$AC$2:$AC$500,0)),"")</f>
        <v/>
      </c>
      <c r="B365" s="8" t="str">
        <f>IFERROR(INDEX(样本到样信息汇总统计!B$2:B$500,MATCH(364,样本到样信息汇总统计!$AC$2:$AC$500,0)),"")</f>
        <v/>
      </c>
      <c r="C365" s="8" t="str">
        <f>IFERROR(INDEX(样本到样信息汇总统计!C$2:C$500,MATCH(364,样本到样信息汇总统计!$AC$2:$AC$500,0)),"")</f>
        <v/>
      </c>
      <c r="D365" s="8" t="str">
        <f>IFERROR(INDEX(样本到样信息汇总统计!D$2:D$500,MATCH(364,样本到样信息汇总统计!$AC$2:$AC$500,0)),"")</f>
        <v/>
      </c>
      <c r="E365" s="8" t="str">
        <f>IFERROR(INDEX(样本到样信息汇总统计!E$2:E$500,MATCH(364,样本到样信息汇总统计!$AC$2:$AC$500,0)),"")</f>
        <v/>
      </c>
      <c r="F365" s="8" t="str">
        <f>IFERROR(INDEX(样本到样信息汇总统计!F$2:F$500,MATCH(364,样本到样信息汇总统计!$AC$2:$AC$500,0)),"")</f>
        <v/>
      </c>
      <c r="G365" s="8" t="str">
        <f>IFERROR(INDEX(样本到样信息汇总统计!G$2:G$500,MATCH(364,样本到样信息汇总统计!$AC$2:$AC$500,0)),"")</f>
        <v/>
      </c>
      <c r="H365" s="8" t="str">
        <f>IFERROR(INDEX(样本到样信息汇总统计!H$2:H$500,MATCH(364,样本到样信息汇总统计!$AC$2:$AC$500,0)),"")</f>
        <v/>
      </c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 ht="21.75" customHeight="1" spans="1:24">
      <c r="A366" s="4" t="str">
        <f>IFERROR(INDEX(样本到样信息汇总统计!A$2:A$500,MATCH(365,样本到样信息汇总统计!$AC$2:$AC$500,0)),"")</f>
        <v/>
      </c>
      <c r="B366" s="4" t="str">
        <f>IFERROR(INDEX(样本到样信息汇总统计!B$2:B$500,MATCH(365,样本到样信息汇总统计!$AC$2:$AC$500,0)),"")</f>
        <v/>
      </c>
      <c r="C366" s="4" t="str">
        <f>IFERROR(INDEX(样本到样信息汇总统计!C$2:C$500,MATCH(365,样本到样信息汇总统计!$AC$2:$AC$500,0)),"")</f>
        <v/>
      </c>
      <c r="D366" s="4" t="str">
        <f>IFERROR(INDEX(样本到样信息汇总统计!D$2:D$500,MATCH(365,样本到样信息汇总统计!$AC$2:$AC$500,0)),"")</f>
        <v/>
      </c>
      <c r="E366" s="4" t="str">
        <f>IFERROR(INDEX(样本到样信息汇总统计!E$2:E$500,MATCH(365,样本到样信息汇总统计!$AC$2:$AC$500,0)),"")</f>
        <v/>
      </c>
      <c r="F366" s="4" t="str">
        <f>IFERROR(INDEX(样本到样信息汇总统计!F$2:F$500,MATCH(365,样本到样信息汇总统计!$AC$2:$AC$500,0)),"")</f>
        <v/>
      </c>
      <c r="G366" s="4" t="str">
        <f>IFERROR(INDEX(样本到样信息汇总统计!G$2:G$500,MATCH(365,样本到样信息汇总统计!$AC$2:$AC$500,0)),"")</f>
        <v/>
      </c>
      <c r="H366" s="4" t="str">
        <f>IFERROR(INDEX(样本到样信息汇总统计!H$2:H$500,MATCH(365,样本到样信息汇总统计!$AC$2:$AC$500,0)),"")</f>
        <v/>
      </c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ht="21.75" customHeight="1" spans="1:24">
      <c r="A367" s="8" t="str">
        <f>IFERROR(INDEX(样本到样信息汇总统计!A$2:A$500,MATCH(366,样本到样信息汇总统计!$AC$2:$AC$500,0)),"")</f>
        <v/>
      </c>
      <c r="B367" s="8" t="str">
        <f>IFERROR(INDEX(样本到样信息汇总统计!B$2:B$500,MATCH(366,样本到样信息汇总统计!$AC$2:$AC$500,0)),"")</f>
        <v/>
      </c>
      <c r="C367" s="8" t="str">
        <f>IFERROR(INDEX(样本到样信息汇总统计!C$2:C$500,MATCH(366,样本到样信息汇总统计!$AC$2:$AC$500,0)),"")</f>
        <v/>
      </c>
      <c r="D367" s="8" t="str">
        <f>IFERROR(INDEX(样本到样信息汇总统计!D$2:D$500,MATCH(366,样本到样信息汇总统计!$AC$2:$AC$500,0)),"")</f>
        <v/>
      </c>
      <c r="E367" s="8" t="str">
        <f>IFERROR(INDEX(样本到样信息汇总统计!E$2:E$500,MATCH(366,样本到样信息汇总统计!$AC$2:$AC$500,0)),"")</f>
        <v/>
      </c>
      <c r="F367" s="8" t="str">
        <f>IFERROR(INDEX(样本到样信息汇总统计!F$2:F$500,MATCH(366,样本到样信息汇总统计!$AC$2:$AC$500,0)),"")</f>
        <v/>
      </c>
      <c r="G367" s="8" t="str">
        <f>IFERROR(INDEX(样本到样信息汇总统计!G$2:G$500,MATCH(366,样本到样信息汇总统计!$AC$2:$AC$500,0)),"")</f>
        <v/>
      </c>
      <c r="H367" s="8" t="str">
        <f>IFERROR(INDEX(样本到样信息汇总统计!H$2:H$500,MATCH(366,样本到样信息汇总统计!$AC$2:$AC$500,0)),"")</f>
        <v/>
      </c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 ht="21.75" customHeight="1" spans="1:24">
      <c r="A368" s="4" t="str">
        <f>IFERROR(INDEX(样本到样信息汇总统计!A$2:A$500,MATCH(367,样本到样信息汇总统计!$AC$2:$AC$500,0)),"")</f>
        <v/>
      </c>
      <c r="B368" s="4" t="str">
        <f>IFERROR(INDEX(样本到样信息汇总统计!B$2:B$500,MATCH(367,样本到样信息汇总统计!$AC$2:$AC$500,0)),"")</f>
        <v/>
      </c>
      <c r="C368" s="4" t="str">
        <f>IFERROR(INDEX(样本到样信息汇总统计!C$2:C$500,MATCH(367,样本到样信息汇总统计!$AC$2:$AC$500,0)),"")</f>
        <v/>
      </c>
      <c r="D368" s="4" t="str">
        <f>IFERROR(INDEX(样本到样信息汇总统计!D$2:D$500,MATCH(367,样本到样信息汇总统计!$AC$2:$AC$500,0)),"")</f>
        <v/>
      </c>
      <c r="E368" s="4" t="str">
        <f>IFERROR(INDEX(样本到样信息汇总统计!E$2:E$500,MATCH(367,样本到样信息汇总统计!$AC$2:$AC$500,0)),"")</f>
        <v/>
      </c>
      <c r="F368" s="4" t="str">
        <f>IFERROR(INDEX(样本到样信息汇总统计!F$2:F$500,MATCH(367,样本到样信息汇总统计!$AC$2:$AC$500,0)),"")</f>
        <v/>
      </c>
      <c r="G368" s="4" t="str">
        <f>IFERROR(INDEX(样本到样信息汇总统计!G$2:G$500,MATCH(367,样本到样信息汇总统计!$AC$2:$AC$500,0)),"")</f>
        <v/>
      </c>
      <c r="H368" s="4" t="str">
        <f>IFERROR(INDEX(样本到样信息汇总统计!H$2:H$500,MATCH(367,样本到样信息汇总统计!$AC$2:$AC$500,0)),"")</f>
        <v/>
      </c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ht="21.75" customHeight="1" spans="1:24">
      <c r="A369" s="8" t="str">
        <f>IFERROR(INDEX(样本到样信息汇总统计!A$2:A$500,MATCH(368,样本到样信息汇总统计!$AC$2:$AC$500,0)),"")</f>
        <v/>
      </c>
      <c r="B369" s="8" t="str">
        <f>IFERROR(INDEX(样本到样信息汇总统计!B$2:B$500,MATCH(368,样本到样信息汇总统计!$AC$2:$AC$500,0)),"")</f>
        <v/>
      </c>
      <c r="C369" s="8" t="str">
        <f>IFERROR(INDEX(样本到样信息汇总统计!C$2:C$500,MATCH(368,样本到样信息汇总统计!$AC$2:$AC$500,0)),"")</f>
        <v/>
      </c>
      <c r="D369" s="8" t="str">
        <f>IFERROR(INDEX(样本到样信息汇总统计!D$2:D$500,MATCH(368,样本到样信息汇总统计!$AC$2:$AC$500,0)),"")</f>
        <v/>
      </c>
      <c r="E369" s="8" t="str">
        <f>IFERROR(INDEX(样本到样信息汇总统计!E$2:E$500,MATCH(368,样本到样信息汇总统计!$AC$2:$AC$500,0)),"")</f>
        <v/>
      </c>
      <c r="F369" s="8" t="str">
        <f>IFERROR(INDEX(样本到样信息汇总统计!F$2:F$500,MATCH(368,样本到样信息汇总统计!$AC$2:$AC$500,0)),"")</f>
        <v/>
      </c>
      <c r="G369" s="8" t="str">
        <f>IFERROR(INDEX(样本到样信息汇总统计!G$2:G$500,MATCH(368,样本到样信息汇总统计!$AC$2:$AC$500,0)),"")</f>
        <v/>
      </c>
      <c r="H369" s="8" t="str">
        <f>IFERROR(INDEX(样本到样信息汇总统计!H$2:H$500,MATCH(368,样本到样信息汇总统计!$AC$2:$AC$500,0)),"")</f>
        <v/>
      </c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 ht="21.75" customHeight="1" spans="1:24">
      <c r="A370" s="4" t="str">
        <f>IFERROR(INDEX(样本到样信息汇总统计!A$2:A$500,MATCH(369,样本到样信息汇总统计!$AC$2:$AC$500,0)),"")</f>
        <v/>
      </c>
      <c r="B370" s="4" t="str">
        <f>IFERROR(INDEX(样本到样信息汇总统计!B$2:B$500,MATCH(369,样本到样信息汇总统计!$AC$2:$AC$500,0)),"")</f>
        <v/>
      </c>
      <c r="C370" s="4" t="str">
        <f>IFERROR(INDEX(样本到样信息汇总统计!C$2:C$500,MATCH(369,样本到样信息汇总统计!$AC$2:$AC$500,0)),"")</f>
        <v/>
      </c>
      <c r="D370" s="4" t="str">
        <f>IFERROR(INDEX(样本到样信息汇总统计!D$2:D$500,MATCH(369,样本到样信息汇总统计!$AC$2:$AC$500,0)),"")</f>
        <v/>
      </c>
      <c r="E370" s="4" t="str">
        <f>IFERROR(INDEX(样本到样信息汇总统计!E$2:E$500,MATCH(369,样本到样信息汇总统计!$AC$2:$AC$500,0)),"")</f>
        <v/>
      </c>
      <c r="F370" s="4" t="str">
        <f>IFERROR(INDEX(样本到样信息汇总统计!F$2:F$500,MATCH(369,样本到样信息汇总统计!$AC$2:$AC$500,0)),"")</f>
        <v/>
      </c>
      <c r="G370" s="4" t="str">
        <f>IFERROR(INDEX(样本到样信息汇总统计!G$2:G$500,MATCH(369,样本到样信息汇总统计!$AC$2:$AC$500,0)),"")</f>
        <v/>
      </c>
      <c r="H370" s="4" t="str">
        <f>IFERROR(INDEX(样本到样信息汇总统计!H$2:H$500,MATCH(369,样本到样信息汇总统计!$AC$2:$AC$500,0)),"")</f>
        <v/>
      </c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ht="21.75" customHeight="1" spans="1:24">
      <c r="A371" s="8" t="str">
        <f>IFERROR(INDEX(样本到样信息汇总统计!A$2:A$500,MATCH(370,样本到样信息汇总统计!$AC$2:$AC$500,0)),"")</f>
        <v/>
      </c>
      <c r="B371" s="8" t="str">
        <f>IFERROR(INDEX(样本到样信息汇总统计!B$2:B$500,MATCH(370,样本到样信息汇总统计!$AC$2:$AC$500,0)),"")</f>
        <v/>
      </c>
      <c r="C371" s="8" t="str">
        <f>IFERROR(INDEX(样本到样信息汇总统计!C$2:C$500,MATCH(370,样本到样信息汇总统计!$AC$2:$AC$500,0)),"")</f>
        <v/>
      </c>
      <c r="D371" s="8" t="str">
        <f>IFERROR(INDEX(样本到样信息汇总统计!D$2:D$500,MATCH(370,样本到样信息汇总统计!$AC$2:$AC$500,0)),"")</f>
        <v/>
      </c>
      <c r="E371" s="8" t="str">
        <f>IFERROR(INDEX(样本到样信息汇总统计!E$2:E$500,MATCH(370,样本到样信息汇总统计!$AC$2:$AC$500,0)),"")</f>
        <v/>
      </c>
      <c r="F371" s="8" t="str">
        <f>IFERROR(INDEX(样本到样信息汇总统计!F$2:F$500,MATCH(370,样本到样信息汇总统计!$AC$2:$AC$500,0)),"")</f>
        <v/>
      </c>
      <c r="G371" s="8" t="str">
        <f>IFERROR(INDEX(样本到样信息汇总统计!G$2:G$500,MATCH(370,样本到样信息汇总统计!$AC$2:$AC$500,0)),"")</f>
        <v/>
      </c>
      <c r="H371" s="8" t="str">
        <f>IFERROR(INDEX(样本到样信息汇总统计!H$2:H$500,MATCH(370,样本到样信息汇总统计!$AC$2:$AC$500,0)),"")</f>
        <v/>
      </c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 ht="21.75" customHeight="1" spans="1:24">
      <c r="A372" s="4" t="str">
        <f>IFERROR(INDEX(样本到样信息汇总统计!A$2:A$500,MATCH(371,样本到样信息汇总统计!$AC$2:$AC$500,0)),"")</f>
        <v/>
      </c>
      <c r="B372" s="4" t="str">
        <f>IFERROR(INDEX(样本到样信息汇总统计!B$2:B$500,MATCH(371,样本到样信息汇总统计!$AC$2:$AC$500,0)),"")</f>
        <v/>
      </c>
      <c r="C372" s="4" t="str">
        <f>IFERROR(INDEX(样本到样信息汇总统计!C$2:C$500,MATCH(371,样本到样信息汇总统计!$AC$2:$AC$500,0)),"")</f>
        <v/>
      </c>
      <c r="D372" s="4" t="str">
        <f>IFERROR(INDEX(样本到样信息汇总统计!D$2:D$500,MATCH(371,样本到样信息汇总统计!$AC$2:$AC$500,0)),"")</f>
        <v/>
      </c>
      <c r="E372" s="4" t="str">
        <f>IFERROR(INDEX(样本到样信息汇总统计!E$2:E$500,MATCH(371,样本到样信息汇总统计!$AC$2:$AC$500,0)),"")</f>
        <v/>
      </c>
      <c r="F372" s="4" t="str">
        <f>IFERROR(INDEX(样本到样信息汇总统计!F$2:F$500,MATCH(371,样本到样信息汇总统计!$AC$2:$AC$500,0)),"")</f>
        <v/>
      </c>
      <c r="G372" s="4" t="str">
        <f>IFERROR(INDEX(样本到样信息汇总统计!G$2:G$500,MATCH(371,样本到样信息汇总统计!$AC$2:$AC$500,0)),"")</f>
        <v/>
      </c>
      <c r="H372" s="4" t="str">
        <f>IFERROR(INDEX(样本到样信息汇总统计!H$2:H$500,MATCH(371,样本到样信息汇总统计!$AC$2:$AC$500,0)),"")</f>
        <v/>
      </c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ht="21.75" customHeight="1" spans="1:24">
      <c r="A373" s="8" t="str">
        <f>IFERROR(INDEX(样本到样信息汇总统计!A$2:A$500,MATCH(372,样本到样信息汇总统计!$AC$2:$AC$500,0)),"")</f>
        <v/>
      </c>
      <c r="B373" s="8" t="str">
        <f>IFERROR(INDEX(样本到样信息汇总统计!B$2:B$500,MATCH(372,样本到样信息汇总统计!$AC$2:$AC$500,0)),"")</f>
        <v/>
      </c>
      <c r="C373" s="8" t="str">
        <f>IFERROR(INDEX(样本到样信息汇总统计!C$2:C$500,MATCH(372,样本到样信息汇总统计!$AC$2:$AC$500,0)),"")</f>
        <v/>
      </c>
      <c r="D373" s="8" t="str">
        <f>IFERROR(INDEX(样本到样信息汇总统计!D$2:D$500,MATCH(372,样本到样信息汇总统计!$AC$2:$AC$500,0)),"")</f>
        <v/>
      </c>
      <c r="E373" s="8" t="str">
        <f>IFERROR(INDEX(样本到样信息汇总统计!E$2:E$500,MATCH(372,样本到样信息汇总统计!$AC$2:$AC$500,0)),"")</f>
        <v/>
      </c>
      <c r="F373" s="8" t="str">
        <f>IFERROR(INDEX(样本到样信息汇总统计!F$2:F$500,MATCH(372,样本到样信息汇总统计!$AC$2:$AC$500,0)),"")</f>
        <v/>
      </c>
      <c r="G373" s="8" t="str">
        <f>IFERROR(INDEX(样本到样信息汇总统计!G$2:G$500,MATCH(372,样本到样信息汇总统计!$AC$2:$AC$500,0)),"")</f>
        <v/>
      </c>
      <c r="H373" s="8" t="str">
        <f>IFERROR(INDEX(样本到样信息汇总统计!H$2:H$500,MATCH(372,样本到样信息汇总统计!$AC$2:$AC$500,0)),"")</f>
        <v/>
      </c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 ht="21.75" customHeight="1" spans="1:24">
      <c r="A374" s="4" t="str">
        <f>IFERROR(INDEX(样本到样信息汇总统计!A$2:A$500,MATCH(373,样本到样信息汇总统计!$AC$2:$AC$500,0)),"")</f>
        <v/>
      </c>
      <c r="B374" s="4" t="str">
        <f>IFERROR(INDEX(样本到样信息汇总统计!B$2:B$500,MATCH(373,样本到样信息汇总统计!$AC$2:$AC$500,0)),"")</f>
        <v/>
      </c>
      <c r="C374" s="4" t="str">
        <f>IFERROR(INDEX(样本到样信息汇总统计!C$2:C$500,MATCH(373,样本到样信息汇总统计!$AC$2:$AC$500,0)),"")</f>
        <v/>
      </c>
      <c r="D374" s="4" t="str">
        <f>IFERROR(INDEX(样本到样信息汇总统计!D$2:D$500,MATCH(373,样本到样信息汇总统计!$AC$2:$AC$500,0)),"")</f>
        <v/>
      </c>
      <c r="E374" s="4" t="str">
        <f>IFERROR(INDEX(样本到样信息汇总统计!E$2:E$500,MATCH(373,样本到样信息汇总统计!$AC$2:$AC$500,0)),"")</f>
        <v/>
      </c>
      <c r="F374" s="4" t="str">
        <f>IFERROR(INDEX(样本到样信息汇总统计!F$2:F$500,MATCH(373,样本到样信息汇总统计!$AC$2:$AC$500,0)),"")</f>
        <v/>
      </c>
      <c r="G374" s="4" t="str">
        <f>IFERROR(INDEX(样本到样信息汇总统计!G$2:G$500,MATCH(373,样本到样信息汇总统计!$AC$2:$AC$500,0)),"")</f>
        <v/>
      </c>
      <c r="H374" s="4" t="str">
        <f>IFERROR(INDEX(样本到样信息汇总统计!H$2:H$500,MATCH(373,样本到样信息汇总统计!$AC$2:$AC$500,0)),"")</f>
        <v/>
      </c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ht="21.75" customHeight="1" spans="1:24">
      <c r="A375" s="8" t="str">
        <f>IFERROR(INDEX(样本到样信息汇总统计!A$2:A$500,MATCH(374,样本到样信息汇总统计!$AC$2:$AC$500,0)),"")</f>
        <v/>
      </c>
      <c r="B375" s="8" t="str">
        <f>IFERROR(INDEX(样本到样信息汇总统计!B$2:B$500,MATCH(374,样本到样信息汇总统计!$AC$2:$AC$500,0)),"")</f>
        <v/>
      </c>
      <c r="C375" s="8" t="str">
        <f>IFERROR(INDEX(样本到样信息汇总统计!C$2:C$500,MATCH(374,样本到样信息汇总统计!$AC$2:$AC$500,0)),"")</f>
        <v/>
      </c>
      <c r="D375" s="8" t="str">
        <f>IFERROR(INDEX(样本到样信息汇总统计!D$2:D$500,MATCH(374,样本到样信息汇总统计!$AC$2:$AC$500,0)),"")</f>
        <v/>
      </c>
      <c r="E375" s="8" t="str">
        <f>IFERROR(INDEX(样本到样信息汇总统计!E$2:E$500,MATCH(374,样本到样信息汇总统计!$AC$2:$AC$500,0)),"")</f>
        <v/>
      </c>
      <c r="F375" s="8" t="str">
        <f>IFERROR(INDEX(样本到样信息汇总统计!F$2:F$500,MATCH(374,样本到样信息汇总统计!$AC$2:$AC$500,0)),"")</f>
        <v/>
      </c>
      <c r="G375" s="8" t="str">
        <f>IFERROR(INDEX(样本到样信息汇总统计!G$2:G$500,MATCH(374,样本到样信息汇总统计!$AC$2:$AC$500,0)),"")</f>
        <v/>
      </c>
      <c r="H375" s="8" t="str">
        <f>IFERROR(INDEX(样本到样信息汇总统计!H$2:H$500,MATCH(374,样本到样信息汇总统计!$AC$2:$AC$500,0)),"")</f>
        <v/>
      </c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 ht="21.75" customHeight="1" spans="1:24">
      <c r="A376" s="4" t="str">
        <f>IFERROR(INDEX(样本到样信息汇总统计!A$2:A$500,MATCH(375,样本到样信息汇总统计!$AC$2:$AC$500,0)),"")</f>
        <v/>
      </c>
      <c r="B376" s="4" t="str">
        <f>IFERROR(INDEX(样本到样信息汇总统计!B$2:B$500,MATCH(375,样本到样信息汇总统计!$AC$2:$AC$500,0)),"")</f>
        <v/>
      </c>
      <c r="C376" s="4" t="str">
        <f>IFERROR(INDEX(样本到样信息汇总统计!C$2:C$500,MATCH(375,样本到样信息汇总统计!$AC$2:$AC$500,0)),"")</f>
        <v/>
      </c>
      <c r="D376" s="4" t="str">
        <f>IFERROR(INDEX(样本到样信息汇总统计!D$2:D$500,MATCH(375,样本到样信息汇总统计!$AC$2:$AC$500,0)),"")</f>
        <v/>
      </c>
      <c r="E376" s="4" t="str">
        <f>IFERROR(INDEX(样本到样信息汇总统计!E$2:E$500,MATCH(375,样本到样信息汇总统计!$AC$2:$AC$500,0)),"")</f>
        <v/>
      </c>
      <c r="F376" s="4" t="str">
        <f>IFERROR(INDEX(样本到样信息汇总统计!F$2:F$500,MATCH(375,样本到样信息汇总统计!$AC$2:$AC$500,0)),"")</f>
        <v/>
      </c>
      <c r="G376" s="4" t="str">
        <f>IFERROR(INDEX(样本到样信息汇总统计!G$2:G$500,MATCH(375,样本到样信息汇总统计!$AC$2:$AC$500,0)),"")</f>
        <v/>
      </c>
      <c r="H376" s="4" t="str">
        <f>IFERROR(INDEX(样本到样信息汇总统计!H$2:H$500,MATCH(375,样本到样信息汇总统计!$AC$2:$AC$500,0)),"")</f>
        <v/>
      </c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ht="21.75" customHeight="1" spans="1:24">
      <c r="A377" s="8" t="str">
        <f>IFERROR(INDEX(样本到样信息汇总统计!A$2:A$500,MATCH(376,样本到样信息汇总统计!$AC$2:$AC$500,0)),"")</f>
        <v/>
      </c>
      <c r="B377" s="8" t="str">
        <f>IFERROR(INDEX(样本到样信息汇总统计!B$2:B$500,MATCH(376,样本到样信息汇总统计!$AC$2:$AC$500,0)),"")</f>
        <v/>
      </c>
      <c r="C377" s="8" t="str">
        <f>IFERROR(INDEX(样本到样信息汇总统计!C$2:C$500,MATCH(376,样本到样信息汇总统计!$AC$2:$AC$500,0)),"")</f>
        <v/>
      </c>
      <c r="D377" s="8" t="str">
        <f>IFERROR(INDEX(样本到样信息汇总统计!D$2:D$500,MATCH(376,样本到样信息汇总统计!$AC$2:$AC$500,0)),"")</f>
        <v/>
      </c>
      <c r="E377" s="8" t="str">
        <f>IFERROR(INDEX(样本到样信息汇总统计!E$2:E$500,MATCH(376,样本到样信息汇总统计!$AC$2:$AC$500,0)),"")</f>
        <v/>
      </c>
      <c r="F377" s="8" t="str">
        <f>IFERROR(INDEX(样本到样信息汇总统计!F$2:F$500,MATCH(376,样本到样信息汇总统计!$AC$2:$AC$500,0)),"")</f>
        <v/>
      </c>
      <c r="G377" s="8" t="str">
        <f>IFERROR(INDEX(样本到样信息汇总统计!G$2:G$500,MATCH(376,样本到样信息汇总统计!$AC$2:$AC$500,0)),"")</f>
        <v/>
      </c>
      <c r="H377" s="8" t="str">
        <f>IFERROR(INDEX(样本到样信息汇总统计!H$2:H$500,MATCH(376,样本到样信息汇总统计!$AC$2:$AC$500,0)),"")</f>
        <v/>
      </c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 ht="21.75" customHeight="1" spans="1:24">
      <c r="A378" s="4" t="str">
        <f>IFERROR(INDEX(样本到样信息汇总统计!A$2:A$500,MATCH(377,样本到样信息汇总统计!$AC$2:$AC$500,0)),"")</f>
        <v/>
      </c>
      <c r="B378" s="4" t="str">
        <f>IFERROR(INDEX(样本到样信息汇总统计!B$2:B$500,MATCH(377,样本到样信息汇总统计!$AC$2:$AC$500,0)),"")</f>
        <v/>
      </c>
      <c r="C378" s="4" t="str">
        <f>IFERROR(INDEX(样本到样信息汇总统计!C$2:C$500,MATCH(377,样本到样信息汇总统计!$AC$2:$AC$500,0)),"")</f>
        <v/>
      </c>
      <c r="D378" s="4" t="str">
        <f>IFERROR(INDEX(样本到样信息汇总统计!D$2:D$500,MATCH(377,样本到样信息汇总统计!$AC$2:$AC$500,0)),"")</f>
        <v/>
      </c>
      <c r="E378" s="4" t="str">
        <f>IFERROR(INDEX(样本到样信息汇总统计!E$2:E$500,MATCH(377,样本到样信息汇总统计!$AC$2:$AC$500,0)),"")</f>
        <v/>
      </c>
      <c r="F378" s="4" t="str">
        <f>IFERROR(INDEX(样本到样信息汇总统计!F$2:F$500,MATCH(377,样本到样信息汇总统计!$AC$2:$AC$500,0)),"")</f>
        <v/>
      </c>
      <c r="G378" s="4" t="str">
        <f>IFERROR(INDEX(样本到样信息汇总统计!G$2:G$500,MATCH(377,样本到样信息汇总统计!$AC$2:$AC$500,0)),"")</f>
        <v/>
      </c>
      <c r="H378" s="4" t="str">
        <f>IFERROR(INDEX(样本到样信息汇总统计!H$2:H$500,MATCH(377,样本到样信息汇总统计!$AC$2:$AC$500,0)),"")</f>
        <v/>
      </c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ht="21.75" customHeight="1" spans="1:24">
      <c r="A379" s="8" t="str">
        <f>IFERROR(INDEX(样本到样信息汇总统计!A$2:A$500,MATCH(378,样本到样信息汇总统计!$AC$2:$AC$500,0)),"")</f>
        <v/>
      </c>
      <c r="B379" s="8" t="str">
        <f>IFERROR(INDEX(样本到样信息汇总统计!B$2:B$500,MATCH(378,样本到样信息汇总统计!$AC$2:$AC$500,0)),"")</f>
        <v/>
      </c>
      <c r="C379" s="8" t="str">
        <f>IFERROR(INDEX(样本到样信息汇总统计!C$2:C$500,MATCH(378,样本到样信息汇总统计!$AC$2:$AC$500,0)),"")</f>
        <v/>
      </c>
      <c r="D379" s="8" t="str">
        <f>IFERROR(INDEX(样本到样信息汇总统计!D$2:D$500,MATCH(378,样本到样信息汇总统计!$AC$2:$AC$500,0)),"")</f>
        <v/>
      </c>
      <c r="E379" s="8" t="str">
        <f>IFERROR(INDEX(样本到样信息汇总统计!E$2:E$500,MATCH(378,样本到样信息汇总统计!$AC$2:$AC$500,0)),"")</f>
        <v/>
      </c>
      <c r="F379" s="8" t="str">
        <f>IFERROR(INDEX(样本到样信息汇总统计!F$2:F$500,MATCH(378,样本到样信息汇总统计!$AC$2:$AC$500,0)),"")</f>
        <v/>
      </c>
      <c r="G379" s="8" t="str">
        <f>IFERROR(INDEX(样本到样信息汇总统计!G$2:G$500,MATCH(378,样本到样信息汇总统计!$AC$2:$AC$500,0)),"")</f>
        <v/>
      </c>
      <c r="H379" s="8" t="str">
        <f>IFERROR(INDEX(样本到样信息汇总统计!H$2:H$500,MATCH(378,样本到样信息汇总统计!$AC$2:$AC$500,0)),"")</f>
        <v/>
      </c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 ht="21.75" customHeight="1" spans="1:24">
      <c r="A380" s="4" t="str">
        <f>IFERROR(INDEX(样本到样信息汇总统计!A$2:A$500,MATCH(379,样本到样信息汇总统计!$AC$2:$AC$500,0)),"")</f>
        <v/>
      </c>
      <c r="B380" s="4" t="str">
        <f>IFERROR(INDEX(样本到样信息汇总统计!B$2:B$500,MATCH(379,样本到样信息汇总统计!$AC$2:$AC$500,0)),"")</f>
        <v/>
      </c>
      <c r="C380" s="4" t="str">
        <f>IFERROR(INDEX(样本到样信息汇总统计!C$2:C$500,MATCH(379,样本到样信息汇总统计!$AC$2:$AC$500,0)),"")</f>
        <v/>
      </c>
      <c r="D380" s="4" t="str">
        <f>IFERROR(INDEX(样本到样信息汇总统计!D$2:D$500,MATCH(379,样本到样信息汇总统计!$AC$2:$AC$500,0)),"")</f>
        <v/>
      </c>
      <c r="E380" s="4" t="str">
        <f>IFERROR(INDEX(样本到样信息汇总统计!E$2:E$500,MATCH(379,样本到样信息汇总统计!$AC$2:$AC$500,0)),"")</f>
        <v/>
      </c>
      <c r="F380" s="4" t="str">
        <f>IFERROR(INDEX(样本到样信息汇总统计!F$2:F$500,MATCH(379,样本到样信息汇总统计!$AC$2:$AC$500,0)),"")</f>
        <v/>
      </c>
      <c r="G380" s="4" t="str">
        <f>IFERROR(INDEX(样本到样信息汇总统计!G$2:G$500,MATCH(379,样本到样信息汇总统计!$AC$2:$AC$500,0)),"")</f>
        <v/>
      </c>
      <c r="H380" s="4" t="str">
        <f>IFERROR(INDEX(样本到样信息汇总统计!H$2:H$500,MATCH(379,样本到样信息汇总统计!$AC$2:$AC$500,0)),"")</f>
        <v/>
      </c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ht="21.75" customHeight="1" spans="1:24">
      <c r="A381" s="8" t="str">
        <f>IFERROR(INDEX(样本到样信息汇总统计!A$2:A$500,MATCH(380,样本到样信息汇总统计!$AC$2:$AC$500,0)),"")</f>
        <v/>
      </c>
      <c r="B381" s="8" t="str">
        <f>IFERROR(INDEX(样本到样信息汇总统计!B$2:B$500,MATCH(380,样本到样信息汇总统计!$AC$2:$AC$500,0)),"")</f>
        <v/>
      </c>
      <c r="C381" s="8" t="str">
        <f>IFERROR(INDEX(样本到样信息汇总统计!C$2:C$500,MATCH(380,样本到样信息汇总统计!$AC$2:$AC$500,0)),"")</f>
        <v/>
      </c>
      <c r="D381" s="8" t="str">
        <f>IFERROR(INDEX(样本到样信息汇总统计!D$2:D$500,MATCH(380,样本到样信息汇总统计!$AC$2:$AC$500,0)),"")</f>
        <v/>
      </c>
      <c r="E381" s="8" t="str">
        <f>IFERROR(INDEX(样本到样信息汇总统计!E$2:E$500,MATCH(380,样本到样信息汇总统计!$AC$2:$AC$500,0)),"")</f>
        <v/>
      </c>
      <c r="F381" s="8" t="str">
        <f>IFERROR(INDEX(样本到样信息汇总统计!F$2:F$500,MATCH(380,样本到样信息汇总统计!$AC$2:$AC$500,0)),"")</f>
        <v/>
      </c>
      <c r="G381" s="8" t="str">
        <f>IFERROR(INDEX(样本到样信息汇总统计!G$2:G$500,MATCH(380,样本到样信息汇总统计!$AC$2:$AC$500,0)),"")</f>
        <v/>
      </c>
      <c r="H381" s="8" t="str">
        <f>IFERROR(INDEX(样本到样信息汇总统计!H$2:H$500,MATCH(380,样本到样信息汇总统计!$AC$2:$AC$500,0)),"")</f>
        <v/>
      </c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 ht="21.75" customHeight="1" spans="1:24">
      <c r="A382" s="4" t="str">
        <f>IFERROR(INDEX(样本到样信息汇总统计!A$2:A$500,MATCH(381,样本到样信息汇总统计!$AC$2:$AC$500,0)),"")</f>
        <v/>
      </c>
      <c r="B382" s="4" t="str">
        <f>IFERROR(INDEX(样本到样信息汇总统计!B$2:B$500,MATCH(381,样本到样信息汇总统计!$AC$2:$AC$500,0)),"")</f>
        <v/>
      </c>
      <c r="C382" s="4" t="str">
        <f>IFERROR(INDEX(样本到样信息汇总统计!C$2:C$500,MATCH(381,样本到样信息汇总统计!$AC$2:$AC$500,0)),"")</f>
        <v/>
      </c>
      <c r="D382" s="4" t="str">
        <f>IFERROR(INDEX(样本到样信息汇总统计!D$2:D$500,MATCH(381,样本到样信息汇总统计!$AC$2:$AC$500,0)),"")</f>
        <v/>
      </c>
      <c r="E382" s="4" t="str">
        <f>IFERROR(INDEX(样本到样信息汇总统计!E$2:E$500,MATCH(381,样本到样信息汇总统计!$AC$2:$AC$500,0)),"")</f>
        <v/>
      </c>
      <c r="F382" s="4" t="str">
        <f>IFERROR(INDEX(样本到样信息汇总统计!F$2:F$500,MATCH(381,样本到样信息汇总统计!$AC$2:$AC$500,0)),"")</f>
        <v/>
      </c>
      <c r="G382" s="4" t="str">
        <f>IFERROR(INDEX(样本到样信息汇总统计!G$2:G$500,MATCH(381,样本到样信息汇总统计!$AC$2:$AC$500,0)),"")</f>
        <v/>
      </c>
      <c r="H382" s="4" t="str">
        <f>IFERROR(INDEX(样本到样信息汇总统计!H$2:H$500,MATCH(381,样本到样信息汇总统计!$AC$2:$AC$500,0)),"")</f>
        <v/>
      </c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ht="21.75" customHeight="1" spans="1:24">
      <c r="A383" s="8" t="str">
        <f>IFERROR(INDEX(样本到样信息汇总统计!A$2:A$500,MATCH(382,样本到样信息汇总统计!$AC$2:$AC$500,0)),"")</f>
        <v/>
      </c>
      <c r="B383" s="8" t="str">
        <f>IFERROR(INDEX(样本到样信息汇总统计!B$2:B$500,MATCH(382,样本到样信息汇总统计!$AC$2:$AC$500,0)),"")</f>
        <v/>
      </c>
      <c r="C383" s="8" t="str">
        <f>IFERROR(INDEX(样本到样信息汇总统计!C$2:C$500,MATCH(382,样本到样信息汇总统计!$AC$2:$AC$500,0)),"")</f>
        <v/>
      </c>
      <c r="D383" s="8" t="str">
        <f>IFERROR(INDEX(样本到样信息汇总统计!D$2:D$500,MATCH(382,样本到样信息汇总统计!$AC$2:$AC$500,0)),"")</f>
        <v/>
      </c>
      <c r="E383" s="8" t="str">
        <f>IFERROR(INDEX(样本到样信息汇总统计!E$2:E$500,MATCH(382,样本到样信息汇总统计!$AC$2:$AC$500,0)),"")</f>
        <v/>
      </c>
      <c r="F383" s="8" t="str">
        <f>IFERROR(INDEX(样本到样信息汇总统计!F$2:F$500,MATCH(382,样本到样信息汇总统计!$AC$2:$AC$500,0)),"")</f>
        <v/>
      </c>
      <c r="G383" s="8" t="str">
        <f>IFERROR(INDEX(样本到样信息汇总统计!G$2:G$500,MATCH(382,样本到样信息汇总统计!$AC$2:$AC$500,0)),"")</f>
        <v/>
      </c>
      <c r="H383" s="8" t="str">
        <f>IFERROR(INDEX(样本到样信息汇总统计!H$2:H$500,MATCH(382,样本到样信息汇总统计!$AC$2:$AC$500,0)),"")</f>
        <v/>
      </c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 ht="21.75" customHeight="1" spans="1:24">
      <c r="A384" s="4" t="str">
        <f>IFERROR(INDEX(样本到样信息汇总统计!A$2:A$500,MATCH(383,样本到样信息汇总统计!$AC$2:$AC$500,0)),"")</f>
        <v/>
      </c>
      <c r="B384" s="4" t="str">
        <f>IFERROR(INDEX(样本到样信息汇总统计!B$2:B$500,MATCH(383,样本到样信息汇总统计!$AC$2:$AC$500,0)),"")</f>
        <v/>
      </c>
      <c r="C384" s="4" t="str">
        <f>IFERROR(INDEX(样本到样信息汇总统计!C$2:C$500,MATCH(383,样本到样信息汇总统计!$AC$2:$AC$500,0)),"")</f>
        <v/>
      </c>
      <c r="D384" s="4" t="str">
        <f>IFERROR(INDEX(样本到样信息汇总统计!D$2:D$500,MATCH(383,样本到样信息汇总统计!$AC$2:$AC$500,0)),"")</f>
        <v/>
      </c>
      <c r="E384" s="4" t="str">
        <f>IFERROR(INDEX(样本到样信息汇总统计!E$2:E$500,MATCH(383,样本到样信息汇总统计!$AC$2:$AC$500,0)),"")</f>
        <v/>
      </c>
      <c r="F384" s="4" t="str">
        <f>IFERROR(INDEX(样本到样信息汇总统计!F$2:F$500,MATCH(383,样本到样信息汇总统计!$AC$2:$AC$500,0)),"")</f>
        <v/>
      </c>
      <c r="G384" s="4" t="str">
        <f>IFERROR(INDEX(样本到样信息汇总统计!G$2:G$500,MATCH(383,样本到样信息汇总统计!$AC$2:$AC$500,0)),"")</f>
        <v/>
      </c>
      <c r="H384" s="4" t="str">
        <f>IFERROR(INDEX(样本到样信息汇总统计!H$2:H$500,MATCH(383,样本到样信息汇总统计!$AC$2:$AC$500,0)),"")</f>
        <v/>
      </c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ht="21.75" customHeight="1" spans="1:24">
      <c r="A385" s="8" t="str">
        <f>IFERROR(INDEX(样本到样信息汇总统计!A$2:A$500,MATCH(384,样本到样信息汇总统计!$AC$2:$AC$500,0)),"")</f>
        <v/>
      </c>
      <c r="B385" s="8" t="str">
        <f>IFERROR(INDEX(样本到样信息汇总统计!B$2:B$500,MATCH(384,样本到样信息汇总统计!$AC$2:$AC$500,0)),"")</f>
        <v/>
      </c>
      <c r="C385" s="8" t="str">
        <f>IFERROR(INDEX(样本到样信息汇总统计!C$2:C$500,MATCH(384,样本到样信息汇总统计!$AC$2:$AC$500,0)),"")</f>
        <v/>
      </c>
      <c r="D385" s="8" t="str">
        <f>IFERROR(INDEX(样本到样信息汇总统计!D$2:D$500,MATCH(384,样本到样信息汇总统计!$AC$2:$AC$500,0)),"")</f>
        <v/>
      </c>
      <c r="E385" s="8" t="str">
        <f>IFERROR(INDEX(样本到样信息汇总统计!E$2:E$500,MATCH(384,样本到样信息汇总统计!$AC$2:$AC$500,0)),"")</f>
        <v/>
      </c>
      <c r="F385" s="8" t="str">
        <f>IFERROR(INDEX(样本到样信息汇总统计!F$2:F$500,MATCH(384,样本到样信息汇总统计!$AC$2:$AC$500,0)),"")</f>
        <v/>
      </c>
      <c r="G385" s="8" t="str">
        <f>IFERROR(INDEX(样本到样信息汇总统计!G$2:G$500,MATCH(384,样本到样信息汇总统计!$AC$2:$AC$500,0)),"")</f>
        <v/>
      </c>
      <c r="H385" s="8" t="str">
        <f>IFERROR(INDEX(样本到样信息汇总统计!H$2:H$500,MATCH(384,样本到样信息汇总统计!$AC$2:$AC$500,0)),"")</f>
        <v/>
      </c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 ht="21.75" customHeight="1" spans="1:24">
      <c r="A386" s="4" t="str">
        <f>IFERROR(INDEX(样本到样信息汇总统计!A$2:A$500,MATCH(385,样本到样信息汇总统计!$AC$2:$AC$500,0)),"")</f>
        <v/>
      </c>
      <c r="B386" s="4" t="str">
        <f>IFERROR(INDEX(样本到样信息汇总统计!B$2:B$500,MATCH(385,样本到样信息汇总统计!$AC$2:$AC$500,0)),"")</f>
        <v/>
      </c>
      <c r="C386" s="4" t="str">
        <f>IFERROR(INDEX(样本到样信息汇总统计!C$2:C$500,MATCH(385,样本到样信息汇总统计!$AC$2:$AC$500,0)),"")</f>
        <v/>
      </c>
      <c r="D386" s="4" t="str">
        <f>IFERROR(INDEX(样本到样信息汇总统计!D$2:D$500,MATCH(385,样本到样信息汇总统计!$AC$2:$AC$500,0)),"")</f>
        <v/>
      </c>
      <c r="E386" s="4" t="str">
        <f>IFERROR(INDEX(样本到样信息汇总统计!E$2:E$500,MATCH(385,样本到样信息汇总统计!$AC$2:$AC$500,0)),"")</f>
        <v/>
      </c>
      <c r="F386" s="4" t="str">
        <f>IFERROR(INDEX(样本到样信息汇总统计!F$2:F$500,MATCH(385,样本到样信息汇总统计!$AC$2:$AC$500,0)),"")</f>
        <v/>
      </c>
      <c r="G386" s="4" t="str">
        <f>IFERROR(INDEX(样本到样信息汇总统计!G$2:G$500,MATCH(385,样本到样信息汇总统计!$AC$2:$AC$500,0)),"")</f>
        <v/>
      </c>
      <c r="H386" s="4" t="str">
        <f>IFERROR(INDEX(样本到样信息汇总统计!H$2:H$500,MATCH(385,样本到样信息汇总统计!$AC$2:$AC$500,0)),"")</f>
        <v/>
      </c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ht="21.75" customHeight="1" spans="1:24">
      <c r="A387" s="8" t="str">
        <f>IFERROR(INDEX(样本到样信息汇总统计!A$2:A$500,MATCH(386,样本到样信息汇总统计!$AC$2:$AC$500,0)),"")</f>
        <v/>
      </c>
      <c r="B387" s="8" t="str">
        <f>IFERROR(INDEX(样本到样信息汇总统计!B$2:B$500,MATCH(386,样本到样信息汇总统计!$AC$2:$AC$500,0)),"")</f>
        <v/>
      </c>
      <c r="C387" s="8" t="str">
        <f>IFERROR(INDEX(样本到样信息汇总统计!C$2:C$500,MATCH(386,样本到样信息汇总统计!$AC$2:$AC$500,0)),"")</f>
        <v/>
      </c>
      <c r="D387" s="8" t="str">
        <f>IFERROR(INDEX(样本到样信息汇总统计!D$2:D$500,MATCH(386,样本到样信息汇总统计!$AC$2:$AC$500,0)),"")</f>
        <v/>
      </c>
      <c r="E387" s="8" t="str">
        <f>IFERROR(INDEX(样本到样信息汇总统计!E$2:E$500,MATCH(386,样本到样信息汇总统计!$AC$2:$AC$500,0)),"")</f>
        <v/>
      </c>
      <c r="F387" s="8" t="str">
        <f>IFERROR(INDEX(样本到样信息汇总统计!F$2:F$500,MATCH(386,样本到样信息汇总统计!$AC$2:$AC$500,0)),"")</f>
        <v/>
      </c>
      <c r="G387" s="8" t="str">
        <f>IFERROR(INDEX(样本到样信息汇总统计!G$2:G$500,MATCH(386,样本到样信息汇总统计!$AC$2:$AC$500,0)),"")</f>
        <v/>
      </c>
      <c r="H387" s="8" t="str">
        <f>IFERROR(INDEX(样本到样信息汇总统计!H$2:H$500,MATCH(386,样本到样信息汇总统计!$AC$2:$AC$500,0)),"")</f>
        <v/>
      </c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 ht="21.75" customHeight="1" spans="1:24">
      <c r="A388" s="4" t="str">
        <f>IFERROR(INDEX(样本到样信息汇总统计!A$2:A$500,MATCH(387,样本到样信息汇总统计!$AC$2:$AC$500,0)),"")</f>
        <v/>
      </c>
      <c r="B388" s="4" t="str">
        <f>IFERROR(INDEX(样本到样信息汇总统计!B$2:B$500,MATCH(387,样本到样信息汇总统计!$AC$2:$AC$500,0)),"")</f>
        <v/>
      </c>
      <c r="C388" s="4" t="str">
        <f>IFERROR(INDEX(样本到样信息汇总统计!C$2:C$500,MATCH(387,样本到样信息汇总统计!$AC$2:$AC$500,0)),"")</f>
        <v/>
      </c>
      <c r="D388" s="4" t="str">
        <f>IFERROR(INDEX(样本到样信息汇总统计!D$2:D$500,MATCH(387,样本到样信息汇总统计!$AC$2:$AC$500,0)),"")</f>
        <v/>
      </c>
      <c r="E388" s="4" t="str">
        <f>IFERROR(INDEX(样本到样信息汇总统计!E$2:E$500,MATCH(387,样本到样信息汇总统计!$AC$2:$AC$500,0)),"")</f>
        <v/>
      </c>
      <c r="F388" s="4" t="str">
        <f>IFERROR(INDEX(样本到样信息汇总统计!F$2:F$500,MATCH(387,样本到样信息汇总统计!$AC$2:$AC$500,0)),"")</f>
        <v/>
      </c>
      <c r="G388" s="4" t="str">
        <f>IFERROR(INDEX(样本到样信息汇总统计!G$2:G$500,MATCH(387,样本到样信息汇总统计!$AC$2:$AC$500,0)),"")</f>
        <v/>
      </c>
      <c r="H388" s="4" t="str">
        <f>IFERROR(INDEX(样本到样信息汇总统计!H$2:H$500,MATCH(387,样本到样信息汇总统计!$AC$2:$AC$500,0)),"")</f>
        <v/>
      </c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ht="21.75" customHeight="1" spans="1:24">
      <c r="A389" s="8" t="str">
        <f>IFERROR(INDEX(样本到样信息汇总统计!A$2:A$500,MATCH(388,样本到样信息汇总统计!$AC$2:$AC$500,0)),"")</f>
        <v/>
      </c>
      <c r="B389" s="8" t="str">
        <f>IFERROR(INDEX(样本到样信息汇总统计!B$2:B$500,MATCH(388,样本到样信息汇总统计!$AC$2:$AC$500,0)),"")</f>
        <v/>
      </c>
      <c r="C389" s="8" t="str">
        <f>IFERROR(INDEX(样本到样信息汇总统计!C$2:C$500,MATCH(388,样本到样信息汇总统计!$AC$2:$AC$500,0)),"")</f>
        <v/>
      </c>
      <c r="D389" s="8" t="str">
        <f>IFERROR(INDEX(样本到样信息汇总统计!D$2:D$500,MATCH(388,样本到样信息汇总统计!$AC$2:$AC$500,0)),"")</f>
        <v/>
      </c>
      <c r="E389" s="8" t="str">
        <f>IFERROR(INDEX(样本到样信息汇总统计!E$2:E$500,MATCH(388,样本到样信息汇总统计!$AC$2:$AC$500,0)),"")</f>
        <v/>
      </c>
      <c r="F389" s="8" t="str">
        <f>IFERROR(INDEX(样本到样信息汇总统计!F$2:F$500,MATCH(388,样本到样信息汇总统计!$AC$2:$AC$500,0)),"")</f>
        <v/>
      </c>
      <c r="G389" s="8" t="str">
        <f>IFERROR(INDEX(样本到样信息汇总统计!G$2:G$500,MATCH(388,样本到样信息汇总统计!$AC$2:$AC$500,0)),"")</f>
        <v/>
      </c>
      <c r="H389" s="8" t="str">
        <f>IFERROR(INDEX(样本到样信息汇总统计!H$2:H$500,MATCH(388,样本到样信息汇总统计!$AC$2:$AC$500,0)),"")</f>
        <v/>
      </c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 ht="21.75" customHeight="1" spans="1:24">
      <c r="A390" s="4" t="str">
        <f>IFERROR(INDEX(样本到样信息汇总统计!A$2:A$500,MATCH(389,样本到样信息汇总统计!$AC$2:$AC$500,0)),"")</f>
        <v/>
      </c>
      <c r="B390" s="4" t="str">
        <f>IFERROR(INDEX(样本到样信息汇总统计!B$2:B$500,MATCH(389,样本到样信息汇总统计!$AC$2:$AC$500,0)),"")</f>
        <v/>
      </c>
      <c r="C390" s="4" t="str">
        <f>IFERROR(INDEX(样本到样信息汇总统计!C$2:C$500,MATCH(389,样本到样信息汇总统计!$AC$2:$AC$500,0)),"")</f>
        <v/>
      </c>
      <c r="D390" s="4" t="str">
        <f>IFERROR(INDEX(样本到样信息汇总统计!D$2:D$500,MATCH(389,样本到样信息汇总统计!$AC$2:$AC$500,0)),"")</f>
        <v/>
      </c>
      <c r="E390" s="4" t="str">
        <f>IFERROR(INDEX(样本到样信息汇总统计!E$2:E$500,MATCH(389,样本到样信息汇总统计!$AC$2:$AC$500,0)),"")</f>
        <v/>
      </c>
      <c r="F390" s="4" t="str">
        <f>IFERROR(INDEX(样本到样信息汇总统计!F$2:F$500,MATCH(389,样本到样信息汇总统计!$AC$2:$AC$500,0)),"")</f>
        <v/>
      </c>
      <c r="G390" s="4" t="str">
        <f>IFERROR(INDEX(样本到样信息汇总统计!G$2:G$500,MATCH(389,样本到样信息汇总统计!$AC$2:$AC$500,0)),"")</f>
        <v/>
      </c>
      <c r="H390" s="4" t="str">
        <f>IFERROR(INDEX(样本到样信息汇总统计!H$2:H$500,MATCH(389,样本到样信息汇总统计!$AC$2:$AC$500,0)),"")</f>
        <v/>
      </c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ht="21.75" customHeight="1" spans="1:24">
      <c r="A391" s="8" t="str">
        <f>IFERROR(INDEX(样本到样信息汇总统计!A$2:A$500,MATCH(390,样本到样信息汇总统计!$AC$2:$AC$500,0)),"")</f>
        <v/>
      </c>
      <c r="B391" s="8" t="str">
        <f>IFERROR(INDEX(样本到样信息汇总统计!B$2:B$500,MATCH(390,样本到样信息汇总统计!$AC$2:$AC$500,0)),"")</f>
        <v/>
      </c>
      <c r="C391" s="8" t="str">
        <f>IFERROR(INDEX(样本到样信息汇总统计!C$2:C$500,MATCH(390,样本到样信息汇总统计!$AC$2:$AC$500,0)),"")</f>
        <v/>
      </c>
      <c r="D391" s="8" t="str">
        <f>IFERROR(INDEX(样本到样信息汇总统计!D$2:D$500,MATCH(390,样本到样信息汇总统计!$AC$2:$AC$500,0)),"")</f>
        <v/>
      </c>
      <c r="E391" s="8" t="str">
        <f>IFERROR(INDEX(样本到样信息汇总统计!E$2:E$500,MATCH(390,样本到样信息汇总统计!$AC$2:$AC$500,0)),"")</f>
        <v/>
      </c>
      <c r="F391" s="8" t="str">
        <f>IFERROR(INDEX(样本到样信息汇总统计!F$2:F$500,MATCH(390,样本到样信息汇总统计!$AC$2:$AC$500,0)),"")</f>
        <v/>
      </c>
      <c r="G391" s="8" t="str">
        <f>IFERROR(INDEX(样本到样信息汇总统计!G$2:G$500,MATCH(390,样本到样信息汇总统计!$AC$2:$AC$500,0)),"")</f>
        <v/>
      </c>
      <c r="H391" s="8" t="str">
        <f>IFERROR(INDEX(样本到样信息汇总统计!H$2:H$500,MATCH(390,样本到样信息汇总统计!$AC$2:$AC$500,0)),"")</f>
        <v/>
      </c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 ht="21.75" customHeight="1" spans="1:24">
      <c r="A392" s="4" t="str">
        <f>IFERROR(INDEX(样本到样信息汇总统计!A$2:A$500,MATCH(391,样本到样信息汇总统计!$AC$2:$AC$500,0)),"")</f>
        <v/>
      </c>
      <c r="B392" s="4" t="str">
        <f>IFERROR(INDEX(样本到样信息汇总统计!B$2:B$500,MATCH(391,样本到样信息汇总统计!$AC$2:$AC$500,0)),"")</f>
        <v/>
      </c>
      <c r="C392" s="4" t="str">
        <f>IFERROR(INDEX(样本到样信息汇总统计!C$2:C$500,MATCH(391,样本到样信息汇总统计!$AC$2:$AC$500,0)),"")</f>
        <v/>
      </c>
      <c r="D392" s="4" t="str">
        <f>IFERROR(INDEX(样本到样信息汇总统计!D$2:D$500,MATCH(391,样本到样信息汇总统计!$AC$2:$AC$500,0)),"")</f>
        <v/>
      </c>
      <c r="E392" s="4" t="str">
        <f>IFERROR(INDEX(样本到样信息汇总统计!E$2:E$500,MATCH(391,样本到样信息汇总统计!$AC$2:$AC$500,0)),"")</f>
        <v/>
      </c>
      <c r="F392" s="4" t="str">
        <f>IFERROR(INDEX(样本到样信息汇总统计!F$2:F$500,MATCH(391,样本到样信息汇总统计!$AC$2:$AC$500,0)),"")</f>
        <v/>
      </c>
      <c r="G392" s="4" t="str">
        <f>IFERROR(INDEX(样本到样信息汇总统计!G$2:G$500,MATCH(391,样本到样信息汇总统计!$AC$2:$AC$500,0)),"")</f>
        <v/>
      </c>
      <c r="H392" s="4" t="str">
        <f>IFERROR(INDEX(样本到样信息汇总统计!H$2:H$500,MATCH(391,样本到样信息汇总统计!$AC$2:$AC$500,0)),"")</f>
        <v/>
      </c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ht="21.75" customHeight="1" spans="1:24">
      <c r="A393" s="8" t="str">
        <f>IFERROR(INDEX(样本到样信息汇总统计!A$2:A$500,MATCH(392,样本到样信息汇总统计!$AC$2:$AC$500,0)),"")</f>
        <v/>
      </c>
      <c r="B393" s="8" t="str">
        <f>IFERROR(INDEX(样本到样信息汇总统计!B$2:B$500,MATCH(392,样本到样信息汇总统计!$AC$2:$AC$500,0)),"")</f>
        <v/>
      </c>
      <c r="C393" s="8" t="str">
        <f>IFERROR(INDEX(样本到样信息汇总统计!C$2:C$500,MATCH(392,样本到样信息汇总统计!$AC$2:$AC$500,0)),"")</f>
        <v/>
      </c>
      <c r="D393" s="8" t="str">
        <f>IFERROR(INDEX(样本到样信息汇总统计!D$2:D$500,MATCH(392,样本到样信息汇总统计!$AC$2:$AC$500,0)),"")</f>
        <v/>
      </c>
      <c r="E393" s="8" t="str">
        <f>IFERROR(INDEX(样本到样信息汇总统计!E$2:E$500,MATCH(392,样本到样信息汇总统计!$AC$2:$AC$500,0)),"")</f>
        <v/>
      </c>
      <c r="F393" s="8" t="str">
        <f>IFERROR(INDEX(样本到样信息汇总统计!F$2:F$500,MATCH(392,样本到样信息汇总统计!$AC$2:$AC$500,0)),"")</f>
        <v/>
      </c>
      <c r="G393" s="8" t="str">
        <f>IFERROR(INDEX(样本到样信息汇总统计!G$2:G$500,MATCH(392,样本到样信息汇总统计!$AC$2:$AC$500,0)),"")</f>
        <v/>
      </c>
      <c r="H393" s="8" t="str">
        <f>IFERROR(INDEX(样本到样信息汇总统计!H$2:H$500,MATCH(392,样本到样信息汇总统计!$AC$2:$AC$500,0)),"")</f>
        <v/>
      </c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 ht="21.75" customHeight="1" spans="1:24">
      <c r="A394" s="4" t="str">
        <f>IFERROR(INDEX(样本到样信息汇总统计!A$2:A$500,MATCH(393,样本到样信息汇总统计!$AC$2:$AC$500,0)),"")</f>
        <v/>
      </c>
      <c r="B394" s="4" t="str">
        <f>IFERROR(INDEX(样本到样信息汇总统计!B$2:B$500,MATCH(393,样本到样信息汇总统计!$AC$2:$AC$500,0)),"")</f>
        <v/>
      </c>
      <c r="C394" s="4" t="str">
        <f>IFERROR(INDEX(样本到样信息汇总统计!C$2:C$500,MATCH(393,样本到样信息汇总统计!$AC$2:$AC$500,0)),"")</f>
        <v/>
      </c>
      <c r="D394" s="4" t="str">
        <f>IFERROR(INDEX(样本到样信息汇总统计!D$2:D$500,MATCH(393,样本到样信息汇总统计!$AC$2:$AC$500,0)),"")</f>
        <v/>
      </c>
      <c r="E394" s="4" t="str">
        <f>IFERROR(INDEX(样本到样信息汇总统计!E$2:E$500,MATCH(393,样本到样信息汇总统计!$AC$2:$AC$500,0)),"")</f>
        <v/>
      </c>
      <c r="F394" s="4" t="str">
        <f>IFERROR(INDEX(样本到样信息汇总统计!F$2:F$500,MATCH(393,样本到样信息汇总统计!$AC$2:$AC$500,0)),"")</f>
        <v/>
      </c>
      <c r="G394" s="4" t="str">
        <f>IFERROR(INDEX(样本到样信息汇总统计!G$2:G$500,MATCH(393,样本到样信息汇总统计!$AC$2:$AC$500,0)),"")</f>
        <v/>
      </c>
      <c r="H394" s="4" t="str">
        <f>IFERROR(INDEX(样本到样信息汇总统计!H$2:H$500,MATCH(393,样本到样信息汇总统计!$AC$2:$AC$500,0)),"")</f>
        <v/>
      </c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ht="21.75" customHeight="1" spans="1:24">
      <c r="A395" s="8" t="str">
        <f>IFERROR(INDEX(样本到样信息汇总统计!A$2:A$500,MATCH(394,样本到样信息汇总统计!$AC$2:$AC$500,0)),"")</f>
        <v/>
      </c>
      <c r="B395" s="8" t="str">
        <f>IFERROR(INDEX(样本到样信息汇总统计!B$2:B$500,MATCH(394,样本到样信息汇总统计!$AC$2:$AC$500,0)),"")</f>
        <v/>
      </c>
      <c r="C395" s="8" t="str">
        <f>IFERROR(INDEX(样本到样信息汇总统计!C$2:C$500,MATCH(394,样本到样信息汇总统计!$AC$2:$AC$500,0)),"")</f>
        <v/>
      </c>
      <c r="D395" s="8" t="str">
        <f>IFERROR(INDEX(样本到样信息汇总统计!D$2:D$500,MATCH(394,样本到样信息汇总统计!$AC$2:$AC$500,0)),"")</f>
        <v/>
      </c>
      <c r="E395" s="8" t="str">
        <f>IFERROR(INDEX(样本到样信息汇总统计!E$2:E$500,MATCH(394,样本到样信息汇总统计!$AC$2:$AC$500,0)),"")</f>
        <v/>
      </c>
      <c r="F395" s="8" t="str">
        <f>IFERROR(INDEX(样本到样信息汇总统计!F$2:F$500,MATCH(394,样本到样信息汇总统计!$AC$2:$AC$500,0)),"")</f>
        <v/>
      </c>
      <c r="G395" s="8" t="str">
        <f>IFERROR(INDEX(样本到样信息汇总统计!G$2:G$500,MATCH(394,样本到样信息汇总统计!$AC$2:$AC$500,0)),"")</f>
        <v/>
      </c>
      <c r="H395" s="8" t="str">
        <f>IFERROR(INDEX(样本到样信息汇总统计!H$2:H$500,MATCH(394,样本到样信息汇总统计!$AC$2:$AC$500,0)),"")</f>
        <v/>
      </c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 ht="21.75" customHeight="1" spans="1:24">
      <c r="A396" s="4" t="str">
        <f>IFERROR(INDEX(样本到样信息汇总统计!A$2:A$500,MATCH(395,样本到样信息汇总统计!$AC$2:$AC$500,0)),"")</f>
        <v/>
      </c>
      <c r="B396" s="4" t="str">
        <f>IFERROR(INDEX(样本到样信息汇总统计!B$2:B$500,MATCH(395,样本到样信息汇总统计!$AC$2:$AC$500,0)),"")</f>
        <v/>
      </c>
      <c r="C396" s="4" t="str">
        <f>IFERROR(INDEX(样本到样信息汇总统计!C$2:C$500,MATCH(395,样本到样信息汇总统计!$AC$2:$AC$500,0)),"")</f>
        <v/>
      </c>
      <c r="D396" s="4" t="str">
        <f>IFERROR(INDEX(样本到样信息汇总统计!D$2:D$500,MATCH(395,样本到样信息汇总统计!$AC$2:$AC$500,0)),"")</f>
        <v/>
      </c>
      <c r="E396" s="4" t="str">
        <f>IFERROR(INDEX(样本到样信息汇总统计!E$2:E$500,MATCH(395,样本到样信息汇总统计!$AC$2:$AC$500,0)),"")</f>
        <v/>
      </c>
      <c r="F396" s="4" t="str">
        <f>IFERROR(INDEX(样本到样信息汇总统计!F$2:F$500,MATCH(395,样本到样信息汇总统计!$AC$2:$AC$500,0)),"")</f>
        <v/>
      </c>
      <c r="G396" s="4" t="str">
        <f>IFERROR(INDEX(样本到样信息汇总统计!G$2:G$500,MATCH(395,样本到样信息汇总统计!$AC$2:$AC$500,0)),"")</f>
        <v/>
      </c>
      <c r="H396" s="4" t="str">
        <f>IFERROR(INDEX(样本到样信息汇总统计!H$2:H$500,MATCH(395,样本到样信息汇总统计!$AC$2:$AC$500,0)),"")</f>
        <v/>
      </c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ht="21.75" customHeight="1" spans="1:24">
      <c r="A397" s="8" t="str">
        <f>IFERROR(INDEX(样本到样信息汇总统计!A$2:A$500,MATCH(396,样本到样信息汇总统计!$AC$2:$AC$500,0)),"")</f>
        <v/>
      </c>
      <c r="B397" s="8" t="str">
        <f>IFERROR(INDEX(样本到样信息汇总统计!B$2:B$500,MATCH(396,样本到样信息汇总统计!$AC$2:$AC$500,0)),"")</f>
        <v/>
      </c>
      <c r="C397" s="8" t="str">
        <f>IFERROR(INDEX(样本到样信息汇总统计!C$2:C$500,MATCH(396,样本到样信息汇总统计!$AC$2:$AC$500,0)),"")</f>
        <v/>
      </c>
      <c r="D397" s="8" t="str">
        <f>IFERROR(INDEX(样本到样信息汇总统计!D$2:D$500,MATCH(396,样本到样信息汇总统计!$AC$2:$AC$500,0)),"")</f>
        <v/>
      </c>
      <c r="E397" s="8" t="str">
        <f>IFERROR(INDEX(样本到样信息汇总统计!E$2:E$500,MATCH(396,样本到样信息汇总统计!$AC$2:$AC$500,0)),"")</f>
        <v/>
      </c>
      <c r="F397" s="8" t="str">
        <f>IFERROR(INDEX(样本到样信息汇总统计!F$2:F$500,MATCH(396,样本到样信息汇总统计!$AC$2:$AC$500,0)),"")</f>
        <v/>
      </c>
      <c r="G397" s="8" t="str">
        <f>IFERROR(INDEX(样本到样信息汇总统计!G$2:G$500,MATCH(396,样本到样信息汇总统计!$AC$2:$AC$500,0)),"")</f>
        <v/>
      </c>
      <c r="H397" s="8" t="str">
        <f>IFERROR(INDEX(样本到样信息汇总统计!H$2:H$500,MATCH(396,样本到样信息汇总统计!$AC$2:$AC$500,0)),"")</f>
        <v/>
      </c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 ht="21.75" customHeight="1" spans="1:24">
      <c r="A398" s="4" t="str">
        <f>IFERROR(INDEX(样本到样信息汇总统计!A$2:A$500,MATCH(397,样本到样信息汇总统计!$AC$2:$AC$500,0)),"")</f>
        <v/>
      </c>
      <c r="B398" s="4" t="str">
        <f>IFERROR(INDEX(样本到样信息汇总统计!B$2:B$500,MATCH(397,样本到样信息汇总统计!$AC$2:$AC$500,0)),"")</f>
        <v/>
      </c>
      <c r="C398" s="4" t="str">
        <f>IFERROR(INDEX(样本到样信息汇总统计!C$2:C$500,MATCH(397,样本到样信息汇总统计!$AC$2:$AC$500,0)),"")</f>
        <v/>
      </c>
      <c r="D398" s="4" t="str">
        <f>IFERROR(INDEX(样本到样信息汇总统计!D$2:D$500,MATCH(397,样本到样信息汇总统计!$AC$2:$AC$500,0)),"")</f>
        <v/>
      </c>
      <c r="E398" s="4" t="str">
        <f>IFERROR(INDEX(样本到样信息汇总统计!E$2:E$500,MATCH(397,样本到样信息汇总统计!$AC$2:$AC$500,0)),"")</f>
        <v/>
      </c>
      <c r="F398" s="4" t="str">
        <f>IFERROR(INDEX(样本到样信息汇总统计!F$2:F$500,MATCH(397,样本到样信息汇总统计!$AC$2:$AC$500,0)),"")</f>
        <v/>
      </c>
      <c r="G398" s="4" t="str">
        <f>IFERROR(INDEX(样本到样信息汇总统计!G$2:G$500,MATCH(397,样本到样信息汇总统计!$AC$2:$AC$500,0)),"")</f>
        <v/>
      </c>
      <c r="H398" s="4" t="str">
        <f>IFERROR(INDEX(样本到样信息汇总统计!H$2:H$500,MATCH(397,样本到样信息汇总统计!$AC$2:$AC$500,0)),"")</f>
        <v/>
      </c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ht="21.75" customHeight="1" spans="1:24">
      <c r="A399" s="8" t="str">
        <f>IFERROR(INDEX(样本到样信息汇总统计!A$2:A$500,MATCH(398,样本到样信息汇总统计!$AC$2:$AC$500,0)),"")</f>
        <v/>
      </c>
      <c r="B399" s="8" t="str">
        <f>IFERROR(INDEX(样本到样信息汇总统计!B$2:B$500,MATCH(398,样本到样信息汇总统计!$AC$2:$AC$500,0)),"")</f>
        <v/>
      </c>
      <c r="C399" s="8" t="str">
        <f>IFERROR(INDEX(样本到样信息汇总统计!C$2:C$500,MATCH(398,样本到样信息汇总统计!$AC$2:$AC$500,0)),"")</f>
        <v/>
      </c>
      <c r="D399" s="8" t="str">
        <f>IFERROR(INDEX(样本到样信息汇总统计!D$2:D$500,MATCH(398,样本到样信息汇总统计!$AC$2:$AC$500,0)),"")</f>
        <v/>
      </c>
      <c r="E399" s="8" t="str">
        <f>IFERROR(INDEX(样本到样信息汇总统计!E$2:E$500,MATCH(398,样本到样信息汇总统计!$AC$2:$AC$500,0)),"")</f>
        <v/>
      </c>
      <c r="F399" s="8" t="str">
        <f>IFERROR(INDEX(样本到样信息汇总统计!F$2:F$500,MATCH(398,样本到样信息汇总统计!$AC$2:$AC$500,0)),"")</f>
        <v/>
      </c>
      <c r="G399" s="8" t="str">
        <f>IFERROR(INDEX(样本到样信息汇总统计!G$2:G$500,MATCH(398,样本到样信息汇总统计!$AC$2:$AC$500,0)),"")</f>
        <v/>
      </c>
      <c r="H399" s="8" t="str">
        <f>IFERROR(INDEX(样本到样信息汇总统计!H$2:H$500,MATCH(398,样本到样信息汇总统计!$AC$2:$AC$500,0)),"")</f>
        <v/>
      </c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 ht="21.75" customHeight="1" spans="1:24">
      <c r="A400" s="4" t="str">
        <f>IFERROR(INDEX(样本到样信息汇总统计!A$2:A$500,MATCH(399,样本到样信息汇总统计!$AC$2:$AC$500,0)),"")</f>
        <v/>
      </c>
      <c r="B400" s="4" t="str">
        <f>IFERROR(INDEX(样本到样信息汇总统计!B$2:B$500,MATCH(399,样本到样信息汇总统计!$AC$2:$AC$500,0)),"")</f>
        <v/>
      </c>
      <c r="C400" s="4" t="str">
        <f>IFERROR(INDEX(样本到样信息汇总统计!C$2:C$500,MATCH(399,样本到样信息汇总统计!$AC$2:$AC$500,0)),"")</f>
        <v/>
      </c>
      <c r="D400" s="4" t="str">
        <f>IFERROR(INDEX(样本到样信息汇总统计!D$2:D$500,MATCH(399,样本到样信息汇总统计!$AC$2:$AC$500,0)),"")</f>
        <v/>
      </c>
      <c r="E400" s="4" t="str">
        <f>IFERROR(INDEX(样本到样信息汇总统计!E$2:E$500,MATCH(399,样本到样信息汇总统计!$AC$2:$AC$500,0)),"")</f>
        <v/>
      </c>
      <c r="F400" s="4" t="str">
        <f>IFERROR(INDEX(样本到样信息汇总统计!F$2:F$500,MATCH(399,样本到样信息汇总统计!$AC$2:$AC$500,0)),"")</f>
        <v/>
      </c>
      <c r="G400" s="4" t="str">
        <f>IFERROR(INDEX(样本到样信息汇总统计!G$2:G$500,MATCH(399,样本到样信息汇总统计!$AC$2:$AC$500,0)),"")</f>
        <v/>
      </c>
      <c r="H400" s="4" t="str">
        <f>IFERROR(INDEX(样本到样信息汇总统计!H$2:H$500,MATCH(399,样本到样信息汇总统计!$AC$2:$AC$500,0)),"")</f>
        <v/>
      </c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ht="21.75" customHeight="1" spans="1:24">
      <c r="A401" s="8" t="str">
        <f>IFERROR(INDEX(样本到样信息汇总统计!A$2:A$500,MATCH(400,样本到样信息汇总统计!$AC$2:$AC$500,0)),"")</f>
        <v/>
      </c>
      <c r="B401" s="8" t="str">
        <f>IFERROR(INDEX(样本到样信息汇总统计!B$2:B$500,MATCH(400,样本到样信息汇总统计!$AC$2:$AC$500,0)),"")</f>
        <v/>
      </c>
      <c r="C401" s="8" t="str">
        <f>IFERROR(INDEX(样本到样信息汇总统计!C$2:C$500,MATCH(400,样本到样信息汇总统计!$AC$2:$AC$500,0)),"")</f>
        <v/>
      </c>
      <c r="D401" s="8" t="str">
        <f>IFERROR(INDEX(样本到样信息汇总统计!D$2:D$500,MATCH(400,样本到样信息汇总统计!$AC$2:$AC$500,0)),"")</f>
        <v/>
      </c>
      <c r="E401" s="8" t="str">
        <f>IFERROR(INDEX(样本到样信息汇总统计!E$2:E$500,MATCH(400,样本到样信息汇总统计!$AC$2:$AC$500,0)),"")</f>
        <v/>
      </c>
      <c r="F401" s="8" t="str">
        <f>IFERROR(INDEX(样本到样信息汇总统计!F$2:F$500,MATCH(400,样本到样信息汇总统计!$AC$2:$AC$500,0)),"")</f>
        <v/>
      </c>
      <c r="G401" s="8" t="str">
        <f>IFERROR(INDEX(样本到样信息汇总统计!G$2:G$500,MATCH(400,样本到样信息汇总统计!$AC$2:$AC$500,0)),"")</f>
        <v/>
      </c>
      <c r="H401" s="8" t="str">
        <f>IFERROR(INDEX(样本到样信息汇总统计!H$2:H$500,MATCH(400,样本到样信息汇总统计!$AC$2:$AC$500,0)),"")</f>
        <v/>
      </c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 ht="21.75" customHeight="1" spans="1:24">
      <c r="A402" s="4" t="str">
        <f>IFERROR(INDEX(样本到样信息汇总统计!A$2:A$500,MATCH(401,样本到样信息汇总统计!$AC$2:$AC$500,0)),"")</f>
        <v/>
      </c>
      <c r="B402" s="4" t="str">
        <f>IFERROR(INDEX(样本到样信息汇总统计!B$2:B$500,MATCH(401,样本到样信息汇总统计!$AC$2:$AC$500,0)),"")</f>
        <v/>
      </c>
      <c r="C402" s="4" t="str">
        <f>IFERROR(INDEX(样本到样信息汇总统计!C$2:C$500,MATCH(401,样本到样信息汇总统计!$AC$2:$AC$500,0)),"")</f>
        <v/>
      </c>
      <c r="D402" s="4" t="str">
        <f>IFERROR(INDEX(样本到样信息汇总统计!D$2:D$500,MATCH(401,样本到样信息汇总统计!$AC$2:$AC$500,0)),"")</f>
        <v/>
      </c>
      <c r="E402" s="4" t="str">
        <f>IFERROR(INDEX(样本到样信息汇总统计!E$2:E$500,MATCH(401,样本到样信息汇总统计!$AC$2:$AC$500,0)),"")</f>
        <v/>
      </c>
      <c r="F402" s="4" t="str">
        <f>IFERROR(INDEX(样本到样信息汇总统计!F$2:F$500,MATCH(401,样本到样信息汇总统计!$AC$2:$AC$500,0)),"")</f>
        <v/>
      </c>
      <c r="G402" s="4" t="str">
        <f>IFERROR(INDEX(样本到样信息汇总统计!G$2:G$500,MATCH(401,样本到样信息汇总统计!$AC$2:$AC$500,0)),"")</f>
        <v/>
      </c>
      <c r="H402" s="4" t="str">
        <f>IFERROR(INDEX(样本到样信息汇总统计!H$2:H$500,MATCH(401,样本到样信息汇总统计!$AC$2:$AC$500,0)),"")</f>
        <v/>
      </c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ht="21.75" customHeight="1" spans="1:24">
      <c r="A403" s="8" t="str">
        <f>IFERROR(INDEX(样本到样信息汇总统计!A$2:A$500,MATCH(402,样本到样信息汇总统计!$AC$2:$AC$500,0)),"")</f>
        <v/>
      </c>
      <c r="B403" s="8" t="str">
        <f>IFERROR(INDEX(样本到样信息汇总统计!B$2:B$500,MATCH(402,样本到样信息汇总统计!$AC$2:$AC$500,0)),"")</f>
        <v/>
      </c>
      <c r="C403" s="8" t="str">
        <f>IFERROR(INDEX(样本到样信息汇总统计!C$2:C$500,MATCH(402,样本到样信息汇总统计!$AC$2:$AC$500,0)),"")</f>
        <v/>
      </c>
      <c r="D403" s="8" t="str">
        <f>IFERROR(INDEX(样本到样信息汇总统计!D$2:D$500,MATCH(402,样本到样信息汇总统计!$AC$2:$AC$500,0)),"")</f>
        <v/>
      </c>
      <c r="E403" s="8" t="str">
        <f>IFERROR(INDEX(样本到样信息汇总统计!E$2:E$500,MATCH(402,样本到样信息汇总统计!$AC$2:$AC$500,0)),"")</f>
        <v/>
      </c>
      <c r="F403" s="8" t="str">
        <f>IFERROR(INDEX(样本到样信息汇总统计!F$2:F$500,MATCH(402,样本到样信息汇总统计!$AC$2:$AC$500,0)),"")</f>
        <v/>
      </c>
      <c r="G403" s="8" t="str">
        <f>IFERROR(INDEX(样本到样信息汇总统计!G$2:G$500,MATCH(402,样本到样信息汇总统计!$AC$2:$AC$500,0)),"")</f>
        <v/>
      </c>
      <c r="H403" s="8" t="str">
        <f>IFERROR(INDEX(样本到样信息汇总统计!H$2:H$500,MATCH(402,样本到样信息汇总统计!$AC$2:$AC$500,0)),"")</f>
        <v/>
      </c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 ht="21.75" customHeight="1" spans="1:24">
      <c r="A404" s="4" t="str">
        <f>IFERROR(INDEX(样本到样信息汇总统计!A$2:A$500,MATCH(403,样本到样信息汇总统计!$AC$2:$AC$500,0)),"")</f>
        <v/>
      </c>
      <c r="B404" s="4" t="str">
        <f>IFERROR(INDEX(样本到样信息汇总统计!B$2:B$500,MATCH(403,样本到样信息汇总统计!$AC$2:$AC$500,0)),"")</f>
        <v/>
      </c>
      <c r="C404" s="4" t="str">
        <f>IFERROR(INDEX(样本到样信息汇总统计!C$2:C$500,MATCH(403,样本到样信息汇总统计!$AC$2:$AC$500,0)),"")</f>
        <v/>
      </c>
      <c r="D404" s="4" t="str">
        <f>IFERROR(INDEX(样本到样信息汇总统计!D$2:D$500,MATCH(403,样本到样信息汇总统计!$AC$2:$AC$500,0)),"")</f>
        <v/>
      </c>
      <c r="E404" s="4" t="str">
        <f>IFERROR(INDEX(样本到样信息汇总统计!E$2:E$500,MATCH(403,样本到样信息汇总统计!$AC$2:$AC$500,0)),"")</f>
        <v/>
      </c>
      <c r="F404" s="4" t="str">
        <f>IFERROR(INDEX(样本到样信息汇总统计!F$2:F$500,MATCH(403,样本到样信息汇总统计!$AC$2:$AC$500,0)),"")</f>
        <v/>
      </c>
      <c r="G404" s="4" t="str">
        <f>IFERROR(INDEX(样本到样信息汇总统计!G$2:G$500,MATCH(403,样本到样信息汇总统计!$AC$2:$AC$500,0)),"")</f>
        <v/>
      </c>
      <c r="H404" s="4" t="str">
        <f>IFERROR(INDEX(样本到样信息汇总统计!H$2:H$500,MATCH(403,样本到样信息汇总统计!$AC$2:$AC$500,0)),"")</f>
        <v/>
      </c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ht="21.75" customHeight="1" spans="1:24">
      <c r="A405" s="8" t="str">
        <f>IFERROR(INDEX(样本到样信息汇总统计!A$2:A$500,MATCH(404,样本到样信息汇总统计!$AC$2:$AC$500,0)),"")</f>
        <v/>
      </c>
      <c r="B405" s="8" t="str">
        <f>IFERROR(INDEX(样本到样信息汇总统计!B$2:B$500,MATCH(404,样本到样信息汇总统计!$AC$2:$AC$500,0)),"")</f>
        <v/>
      </c>
      <c r="C405" s="8" t="str">
        <f>IFERROR(INDEX(样本到样信息汇总统计!C$2:C$500,MATCH(404,样本到样信息汇总统计!$AC$2:$AC$500,0)),"")</f>
        <v/>
      </c>
      <c r="D405" s="8" t="str">
        <f>IFERROR(INDEX(样本到样信息汇总统计!D$2:D$500,MATCH(404,样本到样信息汇总统计!$AC$2:$AC$500,0)),"")</f>
        <v/>
      </c>
      <c r="E405" s="8" t="str">
        <f>IFERROR(INDEX(样本到样信息汇总统计!E$2:E$500,MATCH(404,样本到样信息汇总统计!$AC$2:$AC$500,0)),"")</f>
        <v/>
      </c>
      <c r="F405" s="8" t="str">
        <f>IFERROR(INDEX(样本到样信息汇总统计!F$2:F$500,MATCH(404,样本到样信息汇总统计!$AC$2:$AC$500,0)),"")</f>
        <v/>
      </c>
      <c r="G405" s="8" t="str">
        <f>IFERROR(INDEX(样本到样信息汇总统计!G$2:G$500,MATCH(404,样本到样信息汇总统计!$AC$2:$AC$500,0)),"")</f>
        <v/>
      </c>
      <c r="H405" s="8" t="str">
        <f>IFERROR(INDEX(样本到样信息汇总统计!H$2:H$500,MATCH(404,样本到样信息汇总统计!$AC$2:$AC$500,0)),"")</f>
        <v/>
      </c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 ht="21.75" customHeight="1" spans="1:24">
      <c r="A406" s="4" t="str">
        <f>IFERROR(INDEX(样本到样信息汇总统计!A$2:A$500,MATCH(405,样本到样信息汇总统计!$AC$2:$AC$500,0)),"")</f>
        <v/>
      </c>
      <c r="B406" s="4" t="str">
        <f>IFERROR(INDEX(样本到样信息汇总统计!B$2:B$500,MATCH(405,样本到样信息汇总统计!$AC$2:$AC$500,0)),"")</f>
        <v/>
      </c>
      <c r="C406" s="4" t="str">
        <f>IFERROR(INDEX(样本到样信息汇总统计!C$2:C$500,MATCH(405,样本到样信息汇总统计!$AC$2:$AC$500,0)),"")</f>
        <v/>
      </c>
      <c r="D406" s="4" t="str">
        <f>IFERROR(INDEX(样本到样信息汇总统计!D$2:D$500,MATCH(405,样本到样信息汇总统计!$AC$2:$AC$500,0)),"")</f>
        <v/>
      </c>
      <c r="E406" s="4" t="str">
        <f>IFERROR(INDEX(样本到样信息汇总统计!E$2:E$500,MATCH(405,样本到样信息汇总统计!$AC$2:$AC$500,0)),"")</f>
        <v/>
      </c>
      <c r="F406" s="4" t="str">
        <f>IFERROR(INDEX(样本到样信息汇总统计!F$2:F$500,MATCH(405,样本到样信息汇总统计!$AC$2:$AC$500,0)),"")</f>
        <v/>
      </c>
      <c r="G406" s="4" t="str">
        <f>IFERROR(INDEX(样本到样信息汇总统计!G$2:G$500,MATCH(405,样本到样信息汇总统计!$AC$2:$AC$500,0)),"")</f>
        <v/>
      </c>
      <c r="H406" s="4" t="str">
        <f>IFERROR(INDEX(样本到样信息汇总统计!H$2:H$500,MATCH(405,样本到样信息汇总统计!$AC$2:$AC$500,0)),"")</f>
        <v/>
      </c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ht="21.75" customHeight="1" spans="1:24">
      <c r="A407" s="8" t="str">
        <f>IFERROR(INDEX(样本到样信息汇总统计!A$2:A$500,MATCH(406,样本到样信息汇总统计!$AC$2:$AC$500,0)),"")</f>
        <v/>
      </c>
      <c r="B407" s="8" t="str">
        <f>IFERROR(INDEX(样本到样信息汇总统计!B$2:B$500,MATCH(406,样本到样信息汇总统计!$AC$2:$AC$500,0)),"")</f>
        <v/>
      </c>
      <c r="C407" s="8" t="str">
        <f>IFERROR(INDEX(样本到样信息汇总统计!C$2:C$500,MATCH(406,样本到样信息汇总统计!$AC$2:$AC$500,0)),"")</f>
        <v/>
      </c>
      <c r="D407" s="8" t="str">
        <f>IFERROR(INDEX(样本到样信息汇总统计!D$2:D$500,MATCH(406,样本到样信息汇总统计!$AC$2:$AC$500,0)),"")</f>
        <v/>
      </c>
      <c r="E407" s="8" t="str">
        <f>IFERROR(INDEX(样本到样信息汇总统计!E$2:E$500,MATCH(406,样本到样信息汇总统计!$AC$2:$AC$500,0)),"")</f>
        <v/>
      </c>
      <c r="F407" s="8" t="str">
        <f>IFERROR(INDEX(样本到样信息汇总统计!F$2:F$500,MATCH(406,样本到样信息汇总统计!$AC$2:$AC$500,0)),"")</f>
        <v/>
      </c>
      <c r="G407" s="8" t="str">
        <f>IFERROR(INDEX(样本到样信息汇总统计!G$2:G$500,MATCH(406,样本到样信息汇总统计!$AC$2:$AC$500,0)),"")</f>
        <v/>
      </c>
      <c r="H407" s="8" t="str">
        <f>IFERROR(INDEX(样本到样信息汇总统计!H$2:H$500,MATCH(406,样本到样信息汇总统计!$AC$2:$AC$500,0)),"")</f>
        <v/>
      </c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 ht="21.75" customHeight="1" spans="1:24">
      <c r="A408" s="4" t="str">
        <f>IFERROR(INDEX(样本到样信息汇总统计!A$2:A$500,MATCH(407,样本到样信息汇总统计!$AC$2:$AC$500,0)),"")</f>
        <v/>
      </c>
      <c r="B408" s="4" t="str">
        <f>IFERROR(INDEX(样本到样信息汇总统计!B$2:B$500,MATCH(407,样本到样信息汇总统计!$AC$2:$AC$500,0)),"")</f>
        <v/>
      </c>
      <c r="C408" s="4" t="str">
        <f>IFERROR(INDEX(样本到样信息汇总统计!C$2:C$500,MATCH(407,样本到样信息汇总统计!$AC$2:$AC$500,0)),"")</f>
        <v/>
      </c>
      <c r="D408" s="4" t="str">
        <f>IFERROR(INDEX(样本到样信息汇总统计!D$2:D$500,MATCH(407,样本到样信息汇总统计!$AC$2:$AC$500,0)),"")</f>
        <v/>
      </c>
      <c r="E408" s="4" t="str">
        <f>IFERROR(INDEX(样本到样信息汇总统计!E$2:E$500,MATCH(407,样本到样信息汇总统计!$AC$2:$AC$500,0)),"")</f>
        <v/>
      </c>
      <c r="F408" s="4" t="str">
        <f>IFERROR(INDEX(样本到样信息汇总统计!F$2:F$500,MATCH(407,样本到样信息汇总统计!$AC$2:$AC$500,0)),"")</f>
        <v/>
      </c>
      <c r="G408" s="4" t="str">
        <f>IFERROR(INDEX(样本到样信息汇总统计!G$2:G$500,MATCH(407,样本到样信息汇总统计!$AC$2:$AC$500,0)),"")</f>
        <v/>
      </c>
      <c r="H408" s="4" t="str">
        <f>IFERROR(INDEX(样本到样信息汇总统计!H$2:H$500,MATCH(407,样本到样信息汇总统计!$AC$2:$AC$500,0)),"")</f>
        <v/>
      </c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ht="21.75" customHeight="1" spans="1:24">
      <c r="A409" s="8" t="str">
        <f>IFERROR(INDEX(样本到样信息汇总统计!A$2:A$500,MATCH(408,样本到样信息汇总统计!$AC$2:$AC$500,0)),"")</f>
        <v/>
      </c>
      <c r="B409" s="8" t="str">
        <f>IFERROR(INDEX(样本到样信息汇总统计!B$2:B$500,MATCH(408,样本到样信息汇总统计!$AC$2:$AC$500,0)),"")</f>
        <v/>
      </c>
      <c r="C409" s="8" t="str">
        <f>IFERROR(INDEX(样本到样信息汇总统计!C$2:C$500,MATCH(408,样本到样信息汇总统计!$AC$2:$AC$500,0)),"")</f>
        <v/>
      </c>
      <c r="D409" s="8" t="str">
        <f>IFERROR(INDEX(样本到样信息汇总统计!D$2:D$500,MATCH(408,样本到样信息汇总统计!$AC$2:$AC$500,0)),"")</f>
        <v/>
      </c>
      <c r="E409" s="8" t="str">
        <f>IFERROR(INDEX(样本到样信息汇总统计!E$2:E$500,MATCH(408,样本到样信息汇总统计!$AC$2:$AC$500,0)),"")</f>
        <v/>
      </c>
      <c r="F409" s="8" t="str">
        <f>IFERROR(INDEX(样本到样信息汇总统计!F$2:F$500,MATCH(408,样本到样信息汇总统计!$AC$2:$AC$500,0)),"")</f>
        <v/>
      </c>
      <c r="G409" s="8" t="str">
        <f>IFERROR(INDEX(样本到样信息汇总统计!G$2:G$500,MATCH(408,样本到样信息汇总统计!$AC$2:$AC$500,0)),"")</f>
        <v/>
      </c>
      <c r="H409" s="8" t="str">
        <f>IFERROR(INDEX(样本到样信息汇总统计!H$2:H$500,MATCH(408,样本到样信息汇总统计!$AC$2:$AC$500,0)),"")</f>
        <v/>
      </c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 ht="21.75" customHeight="1" spans="1:24">
      <c r="A410" s="4" t="str">
        <f>IFERROR(INDEX(样本到样信息汇总统计!A$2:A$500,MATCH(409,样本到样信息汇总统计!$AC$2:$AC$500,0)),"")</f>
        <v/>
      </c>
      <c r="B410" s="4" t="str">
        <f>IFERROR(INDEX(样本到样信息汇总统计!B$2:B$500,MATCH(409,样本到样信息汇总统计!$AC$2:$AC$500,0)),"")</f>
        <v/>
      </c>
      <c r="C410" s="4" t="str">
        <f>IFERROR(INDEX(样本到样信息汇总统计!C$2:C$500,MATCH(409,样本到样信息汇总统计!$AC$2:$AC$500,0)),"")</f>
        <v/>
      </c>
      <c r="D410" s="4" t="str">
        <f>IFERROR(INDEX(样本到样信息汇总统计!D$2:D$500,MATCH(409,样本到样信息汇总统计!$AC$2:$AC$500,0)),"")</f>
        <v/>
      </c>
      <c r="E410" s="4" t="str">
        <f>IFERROR(INDEX(样本到样信息汇总统计!E$2:E$500,MATCH(409,样本到样信息汇总统计!$AC$2:$AC$500,0)),"")</f>
        <v/>
      </c>
      <c r="F410" s="4" t="str">
        <f>IFERROR(INDEX(样本到样信息汇总统计!F$2:F$500,MATCH(409,样本到样信息汇总统计!$AC$2:$AC$500,0)),"")</f>
        <v/>
      </c>
      <c r="G410" s="4" t="str">
        <f>IFERROR(INDEX(样本到样信息汇总统计!G$2:G$500,MATCH(409,样本到样信息汇总统计!$AC$2:$AC$500,0)),"")</f>
        <v/>
      </c>
      <c r="H410" s="4" t="str">
        <f>IFERROR(INDEX(样本到样信息汇总统计!H$2:H$500,MATCH(409,样本到样信息汇总统计!$AC$2:$AC$500,0)),"")</f>
        <v/>
      </c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ht="21.75" customHeight="1" spans="1:24">
      <c r="A411" s="8" t="str">
        <f>IFERROR(INDEX(样本到样信息汇总统计!A$2:A$500,MATCH(410,样本到样信息汇总统计!$AC$2:$AC$500,0)),"")</f>
        <v/>
      </c>
      <c r="B411" s="8" t="str">
        <f>IFERROR(INDEX(样本到样信息汇总统计!B$2:B$500,MATCH(410,样本到样信息汇总统计!$AC$2:$AC$500,0)),"")</f>
        <v/>
      </c>
      <c r="C411" s="8" t="str">
        <f>IFERROR(INDEX(样本到样信息汇总统计!C$2:C$500,MATCH(410,样本到样信息汇总统计!$AC$2:$AC$500,0)),"")</f>
        <v/>
      </c>
      <c r="D411" s="8" t="str">
        <f>IFERROR(INDEX(样本到样信息汇总统计!D$2:D$500,MATCH(410,样本到样信息汇总统计!$AC$2:$AC$500,0)),"")</f>
        <v/>
      </c>
      <c r="E411" s="8" t="str">
        <f>IFERROR(INDEX(样本到样信息汇总统计!E$2:E$500,MATCH(410,样本到样信息汇总统计!$AC$2:$AC$500,0)),"")</f>
        <v/>
      </c>
      <c r="F411" s="8" t="str">
        <f>IFERROR(INDEX(样本到样信息汇总统计!F$2:F$500,MATCH(410,样本到样信息汇总统计!$AC$2:$AC$500,0)),"")</f>
        <v/>
      </c>
      <c r="G411" s="8" t="str">
        <f>IFERROR(INDEX(样本到样信息汇总统计!G$2:G$500,MATCH(410,样本到样信息汇总统计!$AC$2:$AC$500,0)),"")</f>
        <v/>
      </c>
      <c r="H411" s="8" t="str">
        <f>IFERROR(INDEX(样本到样信息汇总统计!H$2:H$500,MATCH(410,样本到样信息汇总统计!$AC$2:$AC$500,0)),"")</f>
        <v/>
      </c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 ht="21.75" customHeight="1" spans="1:24">
      <c r="A412" s="4" t="str">
        <f>IFERROR(INDEX(样本到样信息汇总统计!A$2:A$500,MATCH(411,样本到样信息汇总统计!$AC$2:$AC$500,0)),"")</f>
        <v/>
      </c>
      <c r="B412" s="4" t="str">
        <f>IFERROR(INDEX(样本到样信息汇总统计!B$2:B$500,MATCH(411,样本到样信息汇总统计!$AC$2:$AC$500,0)),"")</f>
        <v/>
      </c>
      <c r="C412" s="4" t="str">
        <f>IFERROR(INDEX(样本到样信息汇总统计!C$2:C$500,MATCH(411,样本到样信息汇总统计!$AC$2:$AC$500,0)),"")</f>
        <v/>
      </c>
      <c r="D412" s="4" t="str">
        <f>IFERROR(INDEX(样本到样信息汇总统计!D$2:D$500,MATCH(411,样本到样信息汇总统计!$AC$2:$AC$500,0)),"")</f>
        <v/>
      </c>
      <c r="E412" s="4" t="str">
        <f>IFERROR(INDEX(样本到样信息汇总统计!E$2:E$500,MATCH(411,样本到样信息汇总统计!$AC$2:$AC$500,0)),"")</f>
        <v/>
      </c>
      <c r="F412" s="4" t="str">
        <f>IFERROR(INDEX(样本到样信息汇总统计!F$2:F$500,MATCH(411,样本到样信息汇总统计!$AC$2:$AC$500,0)),"")</f>
        <v/>
      </c>
      <c r="G412" s="4" t="str">
        <f>IFERROR(INDEX(样本到样信息汇总统计!G$2:G$500,MATCH(411,样本到样信息汇总统计!$AC$2:$AC$500,0)),"")</f>
        <v/>
      </c>
      <c r="H412" s="4" t="str">
        <f>IFERROR(INDEX(样本到样信息汇总统计!H$2:H$500,MATCH(411,样本到样信息汇总统计!$AC$2:$AC$500,0)),"")</f>
        <v/>
      </c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ht="21.75" customHeight="1" spans="1:24">
      <c r="A413" s="8" t="str">
        <f>IFERROR(INDEX(样本到样信息汇总统计!A$2:A$500,MATCH(412,样本到样信息汇总统计!$AC$2:$AC$500,0)),"")</f>
        <v/>
      </c>
      <c r="B413" s="8" t="str">
        <f>IFERROR(INDEX(样本到样信息汇总统计!B$2:B$500,MATCH(412,样本到样信息汇总统计!$AC$2:$AC$500,0)),"")</f>
        <v/>
      </c>
      <c r="C413" s="8" t="str">
        <f>IFERROR(INDEX(样本到样信息汇总统计!C$2:C$500,MATCH(412,样本到样信息汇总统计!$AC$2:$AC$500,0)),"")</f>
        <v/>
      </c>
      <c r="D413" s="8" t="str">
        <f>IFERROR(INDEX(样本到样信息汇总统计!D$2:D$500,MATCH(412,样本到样信息汇总统计!$AC$2:$AC$500,0)),"")</f>
        <v/>
      </c>
      <c r="E413" s="8" t="str">
        <f>IFERROR(INDEX(样本到样信息汇总统计!E$2:E$500,MATCH(412,样本到样信息汇总统计!$AC$2:$AC$500,0)),"")</f>
        <v/>
      </c>
      <c r="F413" s="8" t="str">
        <f>IFERROR(INDEX(样本到样信息汇总统计!F$2:F$500,MATCH(412,样本到样信息汇总统计!$AC$2:$AC$500,0)),"")</f>
        <v/>
      </c>
      <c r="G413" s="8" t="str">
        <f>IFERROR(INDEX(样本到样信息汇总统计!G$2:G$500,MATCH(412,样本到样信息汇总统计!$AC$2:$AC$500,0)),"")</f>
        <v/>
      </c>
      <c r="H413" s="8" t="str">
        <f>IFERROR(INDEX(样本到样信息汇总统计!H$2:H$500,MATCH(412,样本到样信息汇总统计!$AC$2:$AC$500,0)),"")</f>
        <v/>
      </c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 ht="21.75" customHeight="1" spans="1:24">
      <c r="A414" s="4" t="str">
        <f>IFERROR(INDEX(样本到样信息汇总统计!A$2:A$500,MATCH(413,样本到样信息汇总统计!$AC$2:$AC$500,0)),"")</f>
        <v/>
      </c>
      <c r="B414" s="4" t="str">
        <f>IFERROR(INDEX(样本到样信息汇总统计!B$2:B$500,MATCH(413,样本到样信息汇总统计!$AC$2:$AC$500,0)),"")</f>
        <v/>
      </c>
      <c r="C414" s="4" t="str">
        <f>IFERROR(INDEX(样本到样信息汇总统计!C$2:C$500,MATCH(413,样本到样信息汇总统计!$AC$2:$AC$500,0)),"")</f>
        <v/>
      </c>
      <c r="D414" s="4" t="str">
        <f>IFERROR(INDEX(样本到样信息汇总统计!D$2:D$500,MATCH(413,样本到样信息汇总统计!$AC$2:$AC$500,0)),"")</f>
        <v/>
      </c>
      <c r="E414" s="4" t="str">
        <f>IFERROR(INDEX(样本到样信息汇总统计!E$2:E$500,MATCH(413,样本到样信息汇总统计!$AC$2:$AC$500,0)),"")</f>
        <v/>
      </c>
      <c r="F414" s="4" t="str">
        <f>IFERROR(INDEX(样本到样信息汇总统计!F$2:F$500,MATCH(413,样本到样信息汇总统计!$AC$2:$AC$500,0)),"")</f>
        <v/>
      </c>
      <c r="G414" s="4" t="str">
        <f>IFERROR(INDEX(样本到样信息汇总统计!G$2:G$500,MATCH(413,样本到样信息汇总统计!$AC$2:$AC$500,0)),"")</f>
        <v/>
      </c>
      <c r="H414" s="4" t="str">
        <f>IFERROR(INDEX(样本到样信息汇总统计!H$2:H$500,MATCH(413,样本到样信息汇总统计!$AC$2:$AC$500,0)),"")</f>
        <v/>
      </c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ht="21.75" customHeight="1" spans="1:24">
      <c r="A415" s="8" t="str">
        <f>IFERROR(INDEX(样本到样信息汇总统计!A$2:A$500,MATCH(414,样本到样信息汇总统计!$AC$2:$AC$500,0)),"")</f>
        <v/>
      </c>
      <c r="B415" s="8" t="str">
        <f>IFERROR(INDEX(样本到样信息汇总统计!B$2:B$500,MATCH(414,样本到样信息汇总统计!$AC$2:$AC$500,0)),"")</f>
        <v/>
      </c>
      <c r="C415" s="8" t="str">
        <f>IFERROR(INDEX(样本到样信息汇总统计!C$2:C$500,MATCH(414,样本到样信息汇总统计!$AC$2:$AC$500,0)),"")</f>
        <v/>
      </c>
      <c r="D415" s="8" t="str">
        <f>IFERROR(INDEX(样本到样信息汇总统计!D$2:D$500,MATCH(414,样本到样信息汇总统计!$AC$2:$AC$500,0)),"")</f>
        <v/>
      </c>
      <c r="E415" s="8" t="str">
        <f>IFERROR(INDEX(样本到样信息汇总统计!E$2:E$500,MATCH(414,样本到样信息汇总统计!$AC$2:$AC$500,0)),"")</f>
        <v/>
      </c>
      <c r="F415" s="8" t="str">
        <f>IFERROR(INDEX(样本到样信息汇总统计!F$2:F$500,MATCH(414,样本到样信息汇总统计!$AC$2:$AC$500,0)),"")</f>
        <v/>
      </c>
      <c r="G415" s="8" t="str">
        <f>IFERROR(INDEX(样本到样信息汇总统计!G$2:G$500,MATCH(414,样本到样信息汇总统计!$AC$2:$AC$500,0)),"")</f>
        <v/>
      </c>
      <c r="H415" s="8" t="str">
        <f>IFERROR(INDEX(样本到样信息汇总统计!H$2:H$500,MATCH(414,样本到样信息汇总统计!$AC$2:$AC$500,0)),"")</f>
        <v/>
      </c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 ht="21.75" customHeight="1" spans="1:24">
      <c r="A416" s="4" t="str">
        <f>IFERROR(INDEX(样本到样信息汇总统计!A$2:A$500,MATCH(415,样本到样信息汇总统计!$AC$2:$AC$500,0)),"")</f>
        <v/>
      </c>
      <c r="B416" s="4" t="str">
        <f>IFERROR(INDEX(样本到样信息汇总统计!B$2:B$500,MATCH(415,样本到样信息汇总统计!$AC$2:$AC$500,0)),"")</f>
        <v/>
      </c>
      <c r="C416" s="4" t="str">
        <f>IFERROR(INDEX(样本到样信息汇总统计!C$2:C$500,MATCH(415,样本到样信息汇总统计!$AC$2:$AC$500,0)),"")</f>
        <v/>
      </c>
      <c r="D416" s="4" t="str">
        <f>IFERROR(INDEX(样本到样信息汇总统计!D$2:D$500,MATCH(415,样本到样信息汇总统计!$AC$2:$AC$500,0)),"")</f>
        <v/>
      </c>
      <c r="E416" s="4" t="str">
        <f>IFERROR(INDEX(样本到样信息汇总统计!E$2:E$500,MATCH(415,样本到样信息汇总统计!$AC$2:$AC$500,0)),"")</f>
        <v/>
      </c>
      <c r="F416" s="4" t="str">
        <f>IFERROR(INDEX(样本到样信息汇总统计!F$2:F$500,MATCH(415,样本到样信息汇总统计!$AC$2:$AC$500,0)),"")</f>
        <v/>
      </c>
      <c r="G416" s="4" t="str">
        <f>IFERROR(INDEX(样本到样信息汇总统计!G$2:G$500,MATCH(415,样本到样信息汇总统计!$AC$2:$AC$500,0)),"")</f>
        <v/>
      </c>
      <c r="H416" s="4" t="str">
        <f>IFERROR(INDEX(样本到样信息汇总统计!H$2:H$500,MATCH(415,样本到样信息汇总统计!$AC$2:$AC$500,0)),"")</f>
        <v/>
      </c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ht="21.75" customHeight="1" spans="1:24">
      <c r="A417" s="8" t="str">
        <f>IFERROR(INDEX(样本到样信息汇总统计!A$2:A$500,MATCH(416,样本到样信息汇总统计!$AC$2:$AC$500,0)),"")</f>
        <v/>
      </c>
      <c r="B417" s="8" t="str">
        <f>IFERROR(INDEX(样本到样信息汇总统计!B$2:B$500,MATCH(416,样本到样信息汇总统计!$AC$2:$AC$500,0)),"")</f>
        <v/>
      </c>
      <c r="C417" s="8" t="str">
        <f>IFERROR(INDEX(样本到样信息汇总统计!C$2:C$500,MATCH(416,样本到样信息汇总统计!$AC$2:$AC$500,0)),"")</f>
        <v/>
      </c>
      <c r="D417" s="8" t="str">
        <f>IFERROR(INDEX(样本到样信息汇总统计!D$2:D$500,MATCH(416,样本到样信息汇总统计!$AC$2:$AC$500,0)),"")</f>
        <v/>
      </c>
      <c r="E417" s="8" t="str">
        <f>IFERROR(INDEX(样本到样信息汇总统计!E$2:E$500,MATCH(416,样本到样信息汇总统计!$AC$2:$AC$500,0)),"")</f>
        <v/>
      </c>
      <c r="F417" s="8" t="str">
        <f>IFERROR(INDEX(样本到样信息汇总统计!F$2:F$500,MATCH(416,样本到样信息汇总统计!$AC$2:$AC$500,0)),"")</f>
        <v/>
      </c>
      <c r="G417" s="8" t="str">
        <f>IFERROR(INDEX(样本到样信息汇总统计!G$2:G$500,MATCH(416,样本到样信息汇总统计!$AC$2:$AC$500,0)),"")</f>
        <v/>
      </c>
      <c r="H417" s="8" t="str">
        <f>IFERROR(INDEX(样本到样信息汇总统计!H$2:H$500,MATCH(416,样本到样信息汇总统计!$AC$2:$AC$500,0)),"")</f>
        <v/>
      </c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 ht="21.75" customHeight="1" spans="1:24">
      <c r="A418" s="4" t="str">
        <f>IFERROR(INDEX(样本到样信息汇总统计!A$2:A$500,MATCH(417,样本到样信息汇总统计!$AC$2:$AC$500,0)),"")</f>
        <v/>
      </c>
      <c r="B418" s="4" t="str">
        <f>IFERROR(INDEX(样本到样信息汇总统计!B$2:B$500,MATCH(417,样本到样信息汇总统计!$AC$2:$AC$500,0)),"")</f>
        <v/>
      </c>
      <c r="C418" s="4" t="str">
        <f>IFERROR(INDEX(样本到样信息汇总统计!C$2:C$500,MATCH(417,样本到样信息汇总统计!$AC$2:$AC$500,0)),"")</f>
        <v/>
      </c>
      <c r="D418" s="4" t="str">
        <f>IFERROR(INDEX(样本到样信息汇总统计!D$2:D$500,MATCH(417,样本到样信息汇总统计!$AC$2:$AC$500,0)),"")</f>
        <v/>
      </c>
      <c r="E418" s="4" t="str">
        <f>IFERROR(INDEX(样本到样信息汇总统计!E$2:E$500,MATCH(417,样本到样信息汇总统计!$AC$2:$AC$500,0)),"")</f>
        <v/>
      </c>
      <c r="F418" s="4" t="str">
        <f>IFERROR(INDEX(样本到样信息汇总统计!F$2:F$500,MATCH(417,样本到样信息汇总统计!$AC$2:$AC$500,0)),"")</f>
        <v/>
      </c>
      <c r="G418" s="4" t="str">
        <f>IFERROR(INDEX(样本到样信息汇总统计!G$2:G$500,MATCH(417,样本到样信息汇总统计!$AC$2:$AC$500,0)),"")</f>
        <v/>
      </c>
      <c r="H418" s="4" t="str">
        <f>IFERROR(INDEX(样本到样信息汇总统计!H$2:H$500,MATCH(417,样本到样信息汇总统计!$AC$2:$AC$500,0)),"")</f>
        <v/>
      </c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ht="21.75" customHeight="1" spans="1:24">
      <c r="A419" s="8" t="str">
        <f>IFERROR(INDEX(样本到样信息汇总统计!A$2:A$500,MATCH(418,样本到样信息汇总统计!$AC$2:$AC$500,0)),"")</f>
        <v/>
      </c>
      <c r="B419" s="8" t="str">
        <f>IFERROR(INDEX(样本到样信息汇总统计!B$2:B$500,MATCH(418,样本到样信息汇总统计!$AC$2:$AC$500,0)),"")</f>
        <v/>
      </c>
      <c r="C419" s="8" t="str">
        <f>IFERROR(INDEX(样本到样信息汇总统计!C$2:C$500,MATCH(418,样本到样信息汇总统计!$AC$2:$AC$500,0)),"")</f>
        <v/>
      </c>
      <c r="D419" s="8" t="str">
        <f>IFERROR(INDEX(样本到样信息汇总统计!D$2:D$500,MATCH(418,样本到样信息汇总统计!$AC$2:$AC$500,0)),"")</f>
        <v/>
      </c>
      <c r="E419" s="8" t="str">
        <f>IFERROR(INDEX(样本到样信息汇总统计!E$2:E$500,MATCH(418,样本到样信息汇总统计!$AC$2:$AC$500,0)),"")</f>
        <v/>
      </c>
      <c r="F419" s="8" t="str">
        <f>IFERROR(INDEX(样本到样信息汇总统计!F$2:F$500,MATCH(418,样本到样信息汇总统计!$AC$2:$AC$500,0)),"")</f>
        <v/>
      </c>
      <c r="G419" s="8" t="str">
        <f>IFERROR(INDEX(样本到样信息汇总统计!G$2:G$500,MATCH(418,样本到样信息汇总统计!$AC$2:$AC$500,0)),"")</f>
        <v/>
      </c>
      <c r="H419" s="8" t="str">
        <f>IFERROR(INDEX(样本到样信息汇总统计!H$2:H$500,MATCH(418,样本到样信息汇总统计!$AC$2:$AC$500,0)),"")</f>
        <v/>
      </c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 ht="21.75" customHeight="1" spans="1:24">
      <c r="A420" s="4" t="str">
        <f>IFERROR(INDEX(样本到样信息汇总统计!A$2:A$500,MATCH(419,样本到样信息汇总统计!$AC$2:$AC$500,0)),"")</f>
        <v/>
      </c>
      <c r="B420" s="4" t="str">
        <f>IFERROR(INDEX(样本到样信息汇总统计!B$2:B$500,MATCH(419,样本到样信息汇总统计!$AC$2:$AC$500,0)),"")</f>
        <v/>
      </c>
      <c r="C420" s="4" t="str">
        <f>IFERROR(INDEX(样本到样信息汇总统计!C$2:C$500,MATCH(419,样本到样信息汇总统计!$AC$2:$AC$500,0)),"")</f>
        <v/>
      </c>
      <c r="D420" s="4" t="str">
        <f>IFERROR(INDEX(样本到样信息汇总统计!D$2:D$500,MATCH(419,样本到样信息汇总统计!$AC$2:$AC$500,0)),"")</f>
        <v/>
      </c>
      <c r="E420" s="4" t="str">
        <f>IFERROR(INDEX(样本到样信息汇总统计!E$2:E$500,MATCH(419,样本到样信息汇总统计!$AC$2:$AC$500,0)),"")</f>
        <v/>
      </c>
      <c r="F420" s="4" t="str">
        <f>IFERROR(INDEX(样本到样信息汇总统计!F$2:F$500,MATCH(419,样本到样信息汇总统计!$AC$2:$AC$500,0)),"")</f>
        <v/>
      </c>
      <c r="G420" s="4" t="str">
        <f>IFERROR(INDEX(样本到样信息汇总统计!G$2:G$500,MATCH(419,样本到样信息汇总统计!$AC$2:$AC$500,0)),"")</f>
        <v/>
      </c>
      <c r="H420" s="4" t="str">
        <f>IFERROR(INDEX(样本到样信息汇总统计!H$2:H$500,MATCH(419,样本到样信息汇总统计!$AC$2:$AC$500,0)),"")</f>
        <v/>
      </c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ht="21.75" customHeight="1" spans="1:24">
      <c r="A421" s="8" t="str">
        <f>IFERROR(INDEX(样本到样信息汇总统计!A$2:A$500,MATCH(420,样本到样信息汇总统计!$AC$2:$AC$500,0)),"")</f>
        <v/>
      </c>
      <c r="B421" s="8" t="str">
        <f>IFERROR(INDEX(样本到样信息汇总统计!B$2:B$500,MATCH(420,样本到样信息汇总统计!$AC$2:$AC$500,0)),"")</f>
        <v/>
      </c>
      <c r="C421" s="8" t="str">
        <f>IFERROR(INDEX(样本到样信息汇总统计!C$2:C$500,MATCH(420,样本到样信息汇总统计!$AC$2:$AC$500,0)),"")</f>
        <v/>
      </c>
      <c r="D421" s="8" t="str">
        <f>IFERROR(INDEX(样本到样信息汇总统计!D$2:D$500,MATCH(420,样本到样信息汇总统计!$AC$2:$AC$500,0)),"")</f>
        <v/>
      </c>
      <c r="E421" s="8" t="str">
        <f>IFERROR(INDEX(样本到样信息汇总统计!E$2:E$500,MATCH(420,样本到样信息汇总统计!$AC$2:$AC$500,0)),"")</f>
        <v/>
      </c>
      <c r="F421" s="8" t="str">
        <f>IFERROR(INDEX(样本到样信息汇总统计!F$2:F$500,MATCH(420,样本到样信息汇总统计!$AC$2:$AC$500,0)),"")</f>
        <v/>
      </c>
      <c r="G421" s="8" t="str">
        <f>IFERROR(INDEX(样本到样信息汇总统计!G$2:G$500,MATCH(420,样本到样信息汇总统计!$AC$2:$AC$500,0)),"")</f>
        <v/>
      </c>
      <c r="H421" s="8" t="str">
        <f>IFERROR(INDEX(样本到样信息汇总统计!H$2:H$500,MATCH(420,样本到样信息汇总统计!$AC$2:$AC$500,0)),"")</f>
        <v/>
      </c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 ht="21.75" customHeight="1" spans="1:24">
      <c r="A422" s="4" t="str">
        <f>IFERROR(INDEX(样本到样信息汇总统计!A$2:A$500,MATCH(421,样本到样信息汇总统计!$AC$2:$AC$500,0)),"")</f>
        <v/>
      </c>
      <c r="B422" s="4" t="str">
        <f>IFERROR(INDEX(样本到样信息汇总统计!B$2:B$500,MATCH(421,样本到样信息汇总统计!$AC$2:$AC$500,0)),"")</f>
        <v/>
      </c>
      <c r="C422" s="4" t="str">
        <f>IFERROR(INDEX(样本到样信息汇总统计!C$2:C$500,MATCH(421,样本到样信息汇总统计!$AC$2:$AC$500,0)),"")</f>
        <v/>
      </c>
      <c r="D422" s="4" t="str">
        <f>IFERROR(INDEX(样本到样信息汇总统计!D$2:D$500,MATCH(421,样本到样信息汇总统计!$AC$2:$AC$500,0)),"")</f>
        <v/>
      </c>
      <c r="E422" s="4" t="str">
        <f>IFERROR(INDEX(样本到样信息汇总统计!E$2:E$500,MATCH(421,样本到样信息汇总统计!$AC$2:$AC$500,0)),"")</f>
        <v/>
      </c>
      <c r="F422" s="4" t="str">
        <f>IFERROR(INDEX(样本到样信息汇总统计!F$2:F$500,MATCH(421,样本到样信息汇总统计!$AC$2:$AC$500,0)),"")</f>
        <v/>
      </c>
      <c r="G422" s="4" t="str">
        <f>IFERROR(INDEX(样本到样信息汇总统计!G$2:G$500,MATCH(421,样本到样信息汇总统计!$AC$2:$AC$500,0)),"")</f>
        <v/>
      </c>
      <c r="H422" s="4" t="str">
        <f>IFERROR(INDEX(样本到样信息汇总统计!H$2:H$500,MATCH(421,样本到样信息汇总统计!$AC$2:$AC$500,0)),"")</f>
        <v/>
      </c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ht="21.75" customHeight="1" spans="1:24">
      <c r="A423" s="8" t="str">
        <f>IFERROR(INDEX(样本到样信息汇总统计!A$2:A$500,MATCH(422,样本到样信息汇总统计!$AC$2:$AC$500,0)),"")</f>
        <v/>
      </c>
      <c r="B423" s="8" t="str">
        <f>IFERROR(INDEX(样本到样信息汇总统计!B$2:B$500,MATCH(422,样本到样信息汇总统计!$AC$2:$AC$500,0)),"")</f>
        <v/>
      </c>
      <c r="C423" s="8" t="str">
        <f>IFERROR(INDEX(样本到样信息汇总统计!C$2:C$500,MATCH(422,样本到样信息汇总统计!$AC$2:$AC$500,0)),"")</f>
        <v/>
      </c>
      <c r="D423" s="8" t="str">
        <f>IFERROR(INDEX(样本到样信息汇总统计!D$2:D$500,MATCH(422,样本到样信息汇总统计!$AC$2:$AC$500,0)),"")</f>
        <v/>
      </c>
      <c r="E423" s="8" t="str">
        <f>IFERROR(INDEX(样本到样信息汇总统计!E$2:E$500,MATCH(422,样本到样信息汇总统计!$AC$2:$AC$500,0)),"")</f>
        <v/>
      </c>
      <c r="F423" s="8" t="str">
        <f>IFERROR(INDEX(样本到样信息汇总统计!F$2:F$500,MATCH(422,样本到样信息汇总统计!$AC$2:$AC$500,0)),"")</f>
        <v/>
      </c>
      <c r="G423" s="8" t="str">
        <f>IFERROR(INDEX(样本到样信息汇总统计!G$2:G$500,MATCH(422,样本到样信息汇总统计!$AC$2:$AC$500,0)),"")</f>
        <v/>
      </c>
      <c r="H423" s="8" t="str">
        <f>IFERROR(INDEX(样本到样信息汇总统计!H$2:H$500,MATCH(422,样本到样信息汇总统计!$AC$2:$AC$500,0)),"")</f>
        <v/>
      </c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 ht="21.75" customHeight="1" spans="1:24">
      <c r="A424" s="4" t="str">
        <f>IFERROR(INDEX(样本到样信息汇总统计!A$2:A$500,MATCH(423,样本到样信息汇总统计!$AC$2:$AC$500,0)),"")</f>
        <v/>
      </c>
      <c r="B424" s="4" t="str">
        <f>IFERROR(INDEX(样本到样信息汇总统计!B$2:B$500,MATCH(423,样本到样信息汇总统计!$AC$2:$AC$500,0)),"")</f>
        <v/>
      </c>
      <c r="C424" s="4" t="str">
        <f>IFERROR(INDEX(样本到样信息汇总统计!C$2:C$500,MATCH(423,样本到样信息汇总统计!$AC$2:$AC$500,0)),"")</f>
        <v/>
      </c>
      <c r="D424" s="4" t="str">
        <f>IFERROR(INDEX(样本到样信息汇总统计!D$2:D$500,MATCH(423,样本到样信息汇总统计!$AC$2:$AC$500,0)),"")</f>
        <v/>
      </c>
      <c r="E424" s="4" t="str">
        <f>IFERROR(INDEX(样本到样信息汇总统计!E$2:E$500,MATCH(423,样本到样信息汇总统计!$AC$2:$AC$500,0)),"")</f>
        <v/>
      </c>
      <c r="F424" s="4" t="str">
        <f>IFERROR(INDEX(样本到样信息汇总统计!F$2:F$500,MATCH(423,样本到样信息汇总统计!$AC$2:$AC$500,0)),"")</f>
        <v/>
      </c>
      <c r="G424" s="4" t="str">
        <f>IFERROR(INDEX(样本到样信息汇总统计!G$2:G$500,MATCH(423,样本到样信息汇总统计!$AC$2:$AC$500,0)),"")</f>
        <v/>
      </c>
      <c r="H424" s="4" t="str">
        <f>IFERROR(INDEX(样本到样信息汇总统计!H$2:H$500,MATCH(423,样本到样信息汇总统计!$AC$2:$AC$500,0)),"")</f>
        <v/>
      </c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ht="21.75" customHeight="1" spans="1:24">
      <c r="A425" s="8" t="str">
        <f>IFERROR(INDEX(样本到样信息汇总统计!A$2:A$500,MATCH(424,样本到样信息汇总统计!$AC$2:$AC$500,0)),"")</f>
        <v/>
      </c>
      <c r="B425" s="8" t="str">
        <f>IFERROR(INDEX(样本到样信息汇总统计!B$2:B$500,MATCH(424,样本到样信息汇总统计!$AC$2:$AC$500,0)),"")</f>
        <v/>
      </c>
      <c r="C425" s="8" t="str">
        <f>IFERROR(INDEX(样本到样信息汇总统计!C$2:C$500,MATCH(424,样本到样信息汇总统计!$AC$2:$AC$500,0)),"")</f>
        <v/>
      </c>
      <c r="D425" s="8" t="str">
        <f>IFERROR(INDEX(样本到样信息汇总统计!D$2:D$500,MATCH(424,样本到样信息汇总统计!$AC$2:$AC$500,0)),"")</f>
        <v/>
      </c>
      <c r="E425" s="8" t="str">
        <f>IFERROR(INDEX(样本到样信息汇总统计!E$2:E$500,MATCH(424,样本到样信息汇总统计!$AC$2:$AC$500,0)),"")</f>
        <v/>
      </c>
      <c r="F425" s="8" t="str">
        <f>IFERROR(INDEX(样本到样信息汇总统计!F$2:F$500,MATCH(424,样本到样信息汇总统计!$AC$2:$AC$500,0)),"")</f>
        <v/>
      </c>
      <c r="G425" s="8" t="str">
        <f>IFERROR(INDEX(样本到样信息汇总统计!G$2:G$500,MATCH(424,样本到样信息汇总统计!$AC$2:$AC$500,0)),"")</f>
        <v/>
      </c>
      <c r="H425" s="8" t="str">
        <f>IFERROR(INDEX(样本到样信息汇总统计!H$2:H$500,MATCH(424,样本到样信息汇总统计!$AC$2:$AC$500,0)),"")</f>
        <v/>
      </c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 ht="21.75" customHeight="1" spans="1:24">
      <c r="A426" s="4" t="str">
        <f>IFERROR(INDEX(样本到样信息汇总统计!A$2:A$500,MATCH(425,样本到样信息汇总统计!$AC$2:$AC$500,0)),"")</f>
        <v/>
      </c>
      <c r="B426" s="4" t="str">
        <f>IFERROR(INDEX(样本到样信息汇总统计!B$2:B$500,MATCH(425,样本到样信息汇总统计!$AC$2:$AC$500,0)),"")</f>
        <v/>
      </c>
      <c r="C426" s="4" t="str">
        <f>IFERROR(INDEX(样本到样信息汇总统计!C$2:C$500,MATCH(425,样本到样信息汇总统计!$AC$2:$AC$500,0)),"")</f>
        <v/>
      </c>
      <c r="D426" s="4" t="str">
        <f>IFERROR(INDEX(样本到样信息汇总统计!D$2:D$500,MATCH(425,样本到样信息汇总统计!$AC$2:$AC$500,0)),"")</f>
        <v/>
      </c>
      <c r="E426" s="4" t="str">
        <f>IFERROR(INDEX(样本到样信息汇总统计!E$2:E$500,MATCH(425,样本到样信息汇总统计!$AC$2:$AC$500,0)),"")</f>
        <v/>
      </c>
      <c r="F426" s="4" t="str">
        <f>IFERROR(INDEX(样本到样信息汇总统计!F$2:F$500,MATCH(425,样本到样信息汇总统计!$AC$2:$AC$500,0)),"")</f>
        <v/>
      </c>
      <c r="G426" s="4" t="str">
        <f>IFERROR(INDEX(样本到样信息汇总统计!G$2:G$500,MATCH(425,样本到样信息汇总统计!$AC$2:$AC$500,0)),"")</f>
        <v/>
      </c>
      <c r="H426" s="4" t="str">
        <f>IFERROR(INDEX(样本到样信息汇总统计!H$2:H$500,MATCH(425,样本到样信息汇总统计!$AC$2:$AC$500,0)),"")</f>
        <v/>
      </c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ht="21.75" customHeight="1" spans="1:24">
      <c r="A427" s="8" t="str">
        <f>IFERROR(INDEX(样本到样信息汇总统计!A$2:A$500,MATCH(426,样本到样信息汇总统计!$AC$2:$AC$500,0)),"")</f>
        <v/>
      </c>
      <c r="B427" s="8" t="str">
        <f>IFERROR(INDEX(样本到样信息汇总统计!B$2:B$500,MATCH(426,样本到样信息汇总统计!$AC$2:$AC$500,0)),"")</f>
        <v/>
      </c>
      <c r="C427" s="8" t="str">
        <f>IFERROR(INDEX(样本到样信息汇总统计!C$2:C$500,MATCH(426,样本到样信息汇总统计!$AC$2:$AC$500,0)),"")</f>
        <v/>
      </c>
      <c r="D427" s="8" t="str">
        <f>IFERROR(INDEX(样本到样信息汇总统计!D$2:D$500,MATCH(426,样本到样信息汇总统计!$AC$2:$AC$500,0)),"")</f>
        <v/>
      </c>
      <c r="E427" s="8" t="str">
        <f>IFERROR(INDEX(样本到样信息汇总统计!E$2:E$500,MATCH(426,样本到样信息汇总统计!$AC$2:$AC$500,0)),"")</f>
        <v/>
      </c>
      <c r="F427" s="8" t="str">
        <f>IFERROR(INDEX(样本到样信息汇总统计!F$2:F$500,MATCH(426,样本到样信息汇总统计!$AC$2:$AC$500,0)),"")</f>
        <v/>
      </c>
      <c r="G427" s="8" t="str">
        <f>IFERROR(INDEX(样本到样信息汇总统计!G$2:G$500,MATCH(426,样本到样信息汇总统计!$AC$2:$AC$500,0)),"")</f>
        <v/>
      </c>
      <c r="H427" s="8" t="str">
        <f>IFERROR(INDEX(样本到样信息汇总统计!H$2:H$500,MATCH(426,样本到样信息汇总统计!$AC$2:$AC$500,0)),"")</f>
        <v/>
      </c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 ht="21.75" customHeight="1" spans="1:24">
      <c r="A428" s="4" t="str">
        <f>IFERROR(INDEX(样本到样信息汇总统计!A$2:A$500,MATCH(427,样本到样信息汇总统计!$AC$2:$AC$500,0)),"")</f>
        <v/>
      </c>
      <c r="B428" s="4" t="str">
        <f>IFERROR(INDEX(样本到样信息汇总统计!B$2:B$500,MATCH(427,样本到样信息汇总统计!$AC$2:$AC$500,0)),"")</f>
        <v/>
      </c>
      <c r="C428" s="4" t="str">
        <f>IFERROR(INDEX(样本到样信息汇总统计!C$2:C$500,MATCH(427,样本到样信息汇总统计!$AC$2:$AC$500,0)),"")</f>
        <v/>
      </c>
      <c r="D428" s="4" t="str">
        <f>IFERROR(INDEX(样本到样信息汇总统计!D$2:D$500,MATCH(427,样本到样信息汇总统计!$AC$2:$AC$500,0)),"")</f>
        <v/>
      </c>
      <c r="E428" s="4" t="str">
        <f>IFERROR(INDEX(样本到样信息汇总统计!E$2:E$500,MATCH(427,样本到样信息汇总统计!$AC$2:$AC$500,0)),"")</f>
        <v/>
      </c>
      <c r="F428" s="4" t="str">
        <f>IFERROR(INDEX(样本到样信息汇总统计!F$2:F$500,MATCH(427,样本到样信息汇总统计!$AC$2:$AC$500,0)),"")</f>
        <v/>
      </c>
      <c r="G428" s="4" t="str">
        <f>IFERROR(INDEX(样本到样信息汇总统计!G$2:G$500,MATCH(427,样本到样信息汇总统计!$AC$2:$AC$500,0)),"")</f>
        <v/>
      </c>
      <c r="H428" s="4" t="str">
        <f>IFERROR(INDEX(样本到样信息汇总统计!H$2:H$500,MATCH(427,样本到样信息汇总统计!$AC$2:$AC$500,0)),"")</f>
        <v/>
      </c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ht="21.75" customHeight="1" spans="1:24">
      <c r="A429" s="8" t="str">
        <f>IFERROR(INDEX(样本到样信息汇总统计!A$2:A$500,MATCH(428,样本到样信息汇总统计!$AC$2:$AC$500,0)),"")</f>
        <v/>
      </c>
      <c r="B429" s="8" t="str">
        <f>IFERROR(INDEX(样本到样信息汇总统计!B$2:B$500,MATCH(428,样本到样信息汇总统计!$AC$2:$AC$500,0)),"")</f>
        <v/>
      </c>
      <c r="C429" s="8" t="str">
        <f>IFERROR(INDEX(样本到样信息汇总统计!C$2:C$500,MATCH(428,样本到样信息汇总统计!$AC$2:$AC$500,0)),"")</f>
        <v/>
      </c>
      <c r="D429" s="8" t="str">
        <f>IFERROR(INDEX(样本到样信息汇总统计!D$2:D$500,MATCH(428,样本到样信息汇总统计!$AC$2:$AC$500,0)),"")</f>
        <v/>
      </c>
      <c r="E429" s="8" t="str">
        <f>IFERROR(INDEX(样本到样信息汇总统计!E$2:E$500,MATCH(428,样本到样信息汇总统计!$AC$2:$AC$500,0)),"")</f>
        <v/>
      </c>
      <c r="F429" s="8" t="str">
        <f>IFERROR(INDEX(样本到样信息汇总统计!F$2:F$500,MATCH(428,样本到样信息汇总统计!$AC$2:$AC$500,0)),"")</f>
        <v/>
      </c>
      <c r="G429" s="8" t="str">
        <f>IFERROR(INDEX(样本到样信息汇总统计!G$2:G$500,MATCH(428,样本到样信息汇总统计!$AC$2:$AC$500,0)),"")</f>
        <v/>
      </c>
      <c r="H429" s="8" t="str">
        <f>IFERROR(INDEX(样本到样信息汇总统计!H$2:H$500,MATCH(428,样本到样信息汇总统计!$AC$2:$AC$500,0)),"")</f>
        <v/>
      </c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 ht="21.75" customHeight="1" spans="1:24">
      <c r="A430" s="4" t="str">
        <f>IFERROR(INDEX(样本到样信息汇总统计!A$2:A$500,MATCH(429,样本到样信息汇总统计!$AC$2:$AC$500,0)),"")</f>
        <v/>
      </c>
      <c r="B430" s="4" t="str">
        <f>IFERROR(INDEX(样本到样信息汇总统计!B$2:B$500,MATCH(429,样本到样信息汇总统计!$AC$2:$AC$500,0)),"")</f>
        <v/>
      </c>
      <c r="C430" s="4" t="str">
        <f>IFERROR(INDEX(样本到样信息汇总统计!C$2:C$500,MATCH(429,样本到样信息汇总统计!$AC$2:$AC$500,0)),"")</f>
        <v/>
      </c>
      <c r="D430" s="4" t="str">
        <f>IFERROR(INDEX(样本到样信息汇总统计!D$2:D$500,MATCH(429,样本到样信息汇总统计!$AC$2:$AC$500,0)),"")</f>
        <v/>
      </c>
      <c r="E430" s="4" t="str">
        <f>IFERROR(INDEX(样本到样信息汇总统计!E$2:E$500,MATCH(429,样本到样信息汇总统计!$AC$2:$AC$500,0)),"")</f>
        <v/>
      </c>
      <c r="F430" s="4" t="str">
        <f>IFERROR(INDEX(样本到样信息汇总统计!F$2:F$500,MATCH(429,样本到样信息汇总统计!$AC$2:$AC$500,0)),"")</f>
        <v/>
      </c>
      <c r="G430" s="4" t="str">
        <f>IFERROR(INDEX(样本到样信息汇总统计!G$2:G$500,MATCH(429,样本到样信息汇总统计!$AC$2:$AC$500,0)),"")</f>
        <v/>
      </c>
      <c r="H430" s="4" t="str">
        <f>IFERROR(INDEX(样本到样信息汇总统计!H$2:H$500,MATCH(429,样本到样信息汇总统计!$AC$2:$AC$500,0)),"")</f>
        <v/>
      </c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ht="21.75" customHeight="1" spans="1:24">
      <c r="A431" s="8" t="str">
        <f>IFERROR(INDEX(样本到样信息汇总统计!A$2:A$500,MATCH(430,样本到样信息汇总统计!$AC$2:$AC$500,0)),"")</f>
        <v/>
      </c>
      <c r="B431" s="8" t="str">
        <f>IFERROR(INDEX(样本到样信息汇总统计!B$2:B$500,MATCH(430,样本到样信息汇总统计!$AC$2:$AC$500,0)),"")</f>
        <v/>
      </c>
      <c r="C431" s="8" t="str">
        <f>IFERROR(INDEX(样本到样信息汇总统计!C$2:C$500,MATCH(430,样本到样信息汇总统计!$AC$2:$AC$500,0)),"")</f>
        <v/>
      </c>
      <c r="D431" s="8" t="str">
        <f>IFERROR(INDEX(样本到样信息汇总统计!D$2:D$500,MATCH(430,样本到样信息汇总统计!$AC$2:$AC$500,0)),"")</f>
        <v/>
      </c>
      <c r="E431" s="8" t="str">
        <f>IFERROR(INDEX(样本到样信息汇总统计!E$2:E$500,MATCH(430,样本到样信息汇总统计!$AC$2:$AC$500,0)),"")</f>
        <v/>
      </c>
      <c r="F431" s="8" t="str">
        <f>IFERROR(INDEX(样本到样信息汇总统计!F$2:F$500,MATCH(430,样本到样信息汇总统计!$AC$2:$AC$500,0)),"")</f>
        <v/>
      </c>
      <c r="G431" s="8" t="str">
        <f>IFERROR(INDEX(样本到样信息汇总统计!G$2:G$500,MATCH(430,样本到样信息汇总统计!$AC$2:$AC$500,0)),"")</f>
        <v/>
      </c>
      <c r="H431" s="8" t="str">
        <f>IFERROR(INDEX(样本到样信息汇总统计!H$2:H$500,MATCH(430,样本到样信息汇总统计!$AC$2:$AC$500,0)),"")</f>
        <v/>
      </c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 ht="21.75" customHeight="1" spans="1:24">
      <c r="A432" s="4" t="str">
        <f>IFERROR(INDEX(样本到样信息汇总统计!A$2:A$500,MATCH(431,样本到样信息汇总统计!$AC$2:$AC$500,0)),"")</f>
        <v/>
      </c>
      <c r="B432" s="4" t="str">
        <f>IFERROR(INDEX(样本到样信息汇总统计!B$2:B$500,MATCH(431,样本到样信息汇总统计!$AC$2:$AC$500,0)),"")</f>
        <v/>
      </c>
      <c r="C432" s="4" t="str">
        <f>IFERROR(INDEX(样本到样信息汇总统计!C$2:C$500,MATCH(431,样本到样信息汇总统计!$AC$2:$AC$500,0)),"")</f>
        <v/>
      </c>
      <c r="D432" s="4" t="str">
        <f>IFERROR(INDEX(样本到样信息汇总统计!D$2:D$500,MATCH(431,样本到样信息汇总统计!$AC$2:$AC$500,0)),"")</f>
        <v/>
      </c>
      <c r="E432" s="4" t="str">
        <f>IFERROR(INDEX(样本到样信息汇总统计!E$2:E$500,MATCH(431,样本到样信息汇总统计!$AC$2:$AC$500,0)),"")</f>
        <v/>
      </c>
      <c r="F432" s="4" t="str">
        <f>IFERROR(INDEX(样本到样信息汇总统计!F$2:F$500,MATCH(431,样本到样信息汇总统计!$AC$2:$AC$500,0)),"")</f>
        <v/>
      </c>
      <c r="G432" s="4" t="str">
        <f>IFERROR(INDEX(样本到样信息汇总统计!G$2:G$500,MATCH(431,样本到样信息汇总统计!$AC$2:$AC$500,0)),"")</f>
        <v/>
      </c>
      <c r="H432" s="4" t="str">
        <f>IFERROR(INDEX(样本到样信息汇总统计!H$2:H$500,MATCH(431,样本到样信息汇总统计!$AC$2:$AC$500,0)),"")</f>
        <v/>
      </c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ht="21.75" customHeight="1" spans="1:24">
      <c r="A433" s="8" t="str">
        <f>IFERROR(INDEX(样本到样信息汇总统计!A$2:A$500,MATCH(432,样本到样信息汇总统计!$AC$2:$AC$500,0)),"")</f>
        <v/>
      </c>
      <c r="B433" s="8" t="str">
        <f>IFERROR(INDEX(样本到样信息汇总统计!B$2:B$500,MATCH(432,样本到样信息汇总统计!$AC$2:$AC$500,0)),"")</f>
        <v/>
      </c>
      <c r="C433" s="8" t="str">
        <f>IFERROR(INDEX(样本到样信息汇总统计!C$2:C$500,MATCH(432,样本到样信息汇总统计!$AC$2:$AC$500,0)),"")</f>
        <v/>
      </c>
      <c r="D433" s="8" t="str">
        <f>IFERROR(INDEX(样本到样信息汇总统计!D$2:D$500,MATCH(432,样本到样信息汇总统计!$AC$2:$AC$500,0)),"")</f>
        <v/>
      </c>
      <c r="E433" s="8" t="str">
        <f>IFERROR(INDEX(样本到样信息汇总统计!E$2:E$500,MATCH(432,样本到样信息汇总统计!$AC$2:$AC$500,0)),"")</f>
        <v/>
      </c>
      <c r="F433" s="8" t="str">
        <f>IFERROR(INDEX(样本到样信息汇总统计!F$2:F$500,MATCH(432,样本到样信息汇总统计!$AC$2:$AC$500,0)),"")</f>
        <v/>
      </c>
      <c r="G433" s="8" t="str">
        <f>IFERROR(INDEX(样本到样信息汇总统计!G$2:G$500,MATCH(432,样本到样信息汇总统计!$AC$2:$AC$500,0)),"")</f>
        <v/>
      </c>
      <c r="H433" s="8" t="str">
        <f>IFERROR(INDEX(样本到样信息汇总统计!H$2:H$500,MATCH(432,样本到样信息汇总统计!$AC$2:$AC$500,0)),"")</f>
        <v/>
      </c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 ht="21.75" customHeight="1" spans="1:24">
      <c r="A434" s="4" t="str">
        <f>IFERROR(INDEX(样本到样信息汇总统计!A$2:A$500,MATCH(433,样本到样信息汇总统计!$AC$2:$AC$500,0)),"")</f>
        <v/>
      </c>
      <c r="B434" s="4" t="str">
        <f>IFERROR(INDEX(样本到样信息汇总统计!B$2:B$500,MATCH(433,样本到样信息汇总统计!$AC$2:$AC$500,0)),"")</f>
        <v/>
      </c>
      <c r="C434" s="4" t="str">
        <f>IFERROR(INDEX(样本到样信息汇总统计!C$2:C$500,MATCH(433,样本到样信息汇总统计!$AC$2:$AC$500,0)),"")</f>
        <v/>
      </c>
      <c r="D434" s="4" t="str">
        <f>IFERROR(INDEX(样本到样信息汇总统计!D$2:D$500,MATCH(433,样本到样信息汇总统计!$AC$2:$AC$500,0)),"")</f>
        <v/>
      </c>
      <c r="E434" s="4" t="str">
        <f>IFERROR(INDEX(样本到样信息汇总统计!E$2:E$500,MATCH(433,样本到样信息汇总统计!$AC$2:$AC$500,0)),"")</f>
        <v/>
      </c>
      <c r="F434" s="4" t="str">
        <f>IFERROR(INDEX(样本到样信息汇总统计!F$2:F$500,MATCH(433,样本到样信息汇总统计!$AC$2:$AC$500,0)),"")</f>
        <v/>
      </c>
      <c r="G434" s="4" t="str">
        <f>IFERROR(INDEX(样本到样信息汇总统计!G$2:G$500,MATCH(433,样本到样信息汇总统计!$AC$2:$AC$500,0)),"")</f>
        <v/>
      </c>
      <c r="H434" s="4" t="str">
        <f>IFERROR(INDEX(样本到样信息汇总统计!H$2:H$500,MATCH(433,样本到样信息汇总统计!$AC$2:$AC$500,0)),"")</f>
        <v/>
      </c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ht="21.75" customHeight="1" spans="1:24">
      <c r="A435" s="8" t="str">
        <f>IFERROR(INDEX(样本到样信息汇总统计!A$2:A$500,MATCH(434,样本到样信息汇总统计!$AC$2:$AC$500,0)),"")</f>
        <v/>
      </c>
      <c r="B435" s="8" t="str">
        <f>IFERROR(INDEX(样本到样信息汇总统计!B$2:B$500,MATCH(434,样本到样信息汇总统计!$AC$2:$AC$500,0)),"")</f>
        <v/>
      </c>
      <c r="C435" s="8" t="str">
        <f>IFERROR(INDEX(样本到样信息汇总统计!C$2:C$500,MATCH(434,样本到样信息汇总统计!$AC$2:$AC$500,0)),"")</f>
        <v/>
      </c>
      <c r="D435" s="8" t="str">
        <f>IFERROR(INDEX(样本到样信息汇总统计!D$2:D$500,MATCH(434,样本到样信息汇总统计!$AC$2:$AC$500,0)),"")</f>
        <v/>
      </c>
      <c r="E435" s="8" t="str">
        <f>IFERROR(INDEX(样本到样信息汇总统计!E$2:E$500,MATCH(434,样本到样信息汇总统计!$AC$2:$AC$500,0)),"")</f>
        <v/>
      </c>
      <c r="F435" s="8" t="str">
        <f>IFERROR(INDEX(样本到样信息汇总统计!F$2:F$500,MATCH(434,样本到样信息汇总统计!$AC$2:$AC$500,0)),"")</f>
        <v/>
      </c>
      <c r="G435" s="8" t="str">
        <f>IFERROR(INDEX(样本到样信息汇总统计!G$2:G$500,MATCH(434,样本到样信息汇总统计!$AC$2:$AC$500,0)),"")</f>
        <v/>
      </c>
      <c r="H435" s="8" t="str">
        <f>IFERROR(INDEX(样本到样信息汇总统计!H$2:H$500,MATCH(434,样本到样信息汇总统计!$AC$2:$AC$500,0)),"")</f>
        <v/>
      </c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 ht="21.75" customHeight="1" spans="1:24">
      <c r="A436" s="4" t="str">
        <f>IFERROR(INDEX(样本到样信息汇总统计!A$2:A$500,MATCH(435,样本到样信息汇总统计!$AC$2:$AC$500,0)),"")</f>
        <v/>
      </c>
      <c r="B436" s="4" t="str">
        <f>IFERROR(INDEX(样本到样信息汇总统计!B$2:B$500,MATCH(435,样本到样信息汇总统计!$AC$2:$AC$500,0)),"")</f>
        <v/>
      </c>
      <c r="C436" s="4" t="str">
        <f>IFERROR(INDEX(样本到样信息汇总统计!C$2:C$500,MATCH(435,样本到样信息汇总统计!$AC$2:$AC$500,0)),"")</f>
        <v/>
      </c>
      <c r="D436" s="4" t="str">
        <f>IFERROR(INDEX(样本到样信息汇总统计!D$2:D$500,MATCH(435,样本到样信息汇总统计!$AC$2:$AC$500,0)),"")</f>
        <v/>
      </c>
      <c r="E436" s="4" t="str">
        <f>IFERROR(INDEX(样本到样信息汇总统计!E$2:E$500,MATCH(435,样本到样信息汇总统计!$AC$2:$AC$500,0)),"")</f>
        <v/>
      </c>
      <c r="F436" s="4" t="str">
        <f>IFERROR(INDEX(样本到样信息汇总统计!F$2:F$500,MATCH(435,样本到样信息汇总统计!$AC$2:$AC$500,0)),"")</f>
        <v/>
      </c>
      <c r="G436" s="4" t="str">
        <f>IFERROR(INDEX(样本到样信息汇总统计!G$2:G$500,MATCH(435,样本到样信息汇总统计!$AC$2:$AC$500,0)),"")</f>
        <v/>
      </c>
      <c r="H436" s="4" t="str">
        <f>IFERROR(INDEX(样本到样信息汇总统计!H$2:H$500,MATCH(435,样本到样信息汇总统计!$AC$2:$AC$500,0)),"")</f>
        <v/>
      </c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ht="21.75" customHeight="1" spans="1:24">
      <c r="A437" s="8" t="str">
        <f>IFERROR(INDEX(样本到样信息汇总统计!A$2:A$500,MATCH(436,样本到样信息汇总统计!$AC$2:$AC$500,0)),"")</f>
        <v/>
      </c>
      <c r="B437" s="8" t="str">
        <f>IFERROR(INDEX(样本到样信息汇总统计!B$2:B$500,MATCH(436,样本到样信息汇总统计!$AC$2:$AC$500,0)),"")</f>
        <v/>
      </c>
      <c r="C437" s="8" t="str">
        <f>IFERROR(INDEX(样本到样信息汇总统计!C$2:C$500,MATCH(436,样本到样信息汇总统计!$AC$2:$AC$500,0)),"")</f>
        <v/>
      </c>
      <c r="D437" s="8" t="str">
        <f>IFERROR(INDEX(样本到样信息汇总统计!D$2:D$500,MATCH(436,样本到样信息汇总统计!$AC$2:$AC$500,0)),"")</f>
        <v/>
      </c>
      <c r="E437" s="8" t="str">
        <f>IFERROR(INDEX(样本到样信息汇总统计!E$2:E$500,MATCH(436,样本到样信息汇总统计!$AC$2:$AC$500,0)),"")</f>
        <v/>
      </c>
      <c r="F437" s="8" t="str">
        <f>IFERROR(INDEX(样本到样信息汇总统计!F$2:F$500,MATCH(436,样本到样信息汇总统计!$AC$2:$AC$500,0)),"")</f>
        <v/>
      </c>
      <c r="G437" s="8" t="str">
        <f>IFERROR(INDEX(样本到样信息汇总统计!G$2:G$500,MATCH(436,样本到样信息汇总统计!$AC$2:$AC$500,0)),"")</f>
        <v/>
      </c>
      <c r="H437" s="8" t="str">
        <f>IFERROR(INDEX(样本到样信息汇总统计!H$2:H$500,MATCH(436,样本到样信息汇总统计!$AC$2:$AC$500,0)),"")</f>
        <v/>
      </c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 ht="21.75" customHeight="1" spans="1:24">
      <c r="A438" s="4" t="str">
        <f>IFERROR(INDEX(样本到样信息汇总统计!A$2:A$500,MATCH(437,样本到样信息汇总统计!$AC$2:$AC$500,0)),"")</f>
        <v/>
      </c>
      <c r="B438" s="4" t="str">
        <f>IFERROR(INDEX(样本到样信息汇总统计!B$2:B$500,MATCH(437,样本到样信息汇总统计!$AC$2:$AC$500,0)),"")</f>
        <v/>
      </c>
      <c r="C438" s="4" t="str">
        <f>IFERROR(INDEX(样本到样信息汇总统计!C$2:C$500,MATCH(437,样本到样信息汇总统计!$AC$2:$AC$500,0)),"")</f>
        <v/>
      </c>
      <c r="D438" s="4" t="str">
        <f>IFERROR(INDEX(样本到样信息汇总统计!D$2:D$500,MATCH(437,样本到样信息汇总统计!$AC$2:$AC$500,0)),"")</f>
        <v/>
      </c>
      <c r="E438" s="4" t="str">
        <f>IFERROR(INDEX(样本到样信息汇总统计!E$2:E$500,MATCH(437,样本到样信息汇总统计!$AC$2:$AC$500,0)),"")</f>
        <v/>
      </c>
      <c r="F438" s="4" t="str">
        <f>IFERROR(INDEX(样本到样信息汇总统计!F$2:F$500,MATCH(437,样本到样信息汇总统计!$AC$2:$AC$500,0)),"")</f>
        <v/>
      </c>
      <c r="G438" s="4" t="str">
        <f>IFERROR(INDEX(样本到样信息汇总统计!G$2:G$500,MATCH(437,样本到样信息汇总统计!$AC$2:$AC$500,0)),"")</f>
        <v/>
      </c>
      <c r="H438" s="4" t="str">
        <f>IFERROR(INDEX(样本到样信息汇总统计!H$2:H$500,MATCH(437,样本到样信息汇总统计!$AC$2:$AC$500,0)),"")</f>
        <v/>
      </c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ht="21.75" customHeight="1" spans="1:24">
      <c r="A439" s="8" t="str">
        <f>IFERROR(INDEX(样本到样信息汇总统计!A$2:A$500,MATCH(438,样本到样信息汇总统计!$AC$2:$AC$500,0)),"")</f>
        <v/>
      </c>
      <c r="B439" s="8" t="str">
        <f>IFERROR(INDEX(样本到样信息汇总统计!B$2:B$500,MATCH(438,样本到样信息汇总统计!$AC$2:$AC$500,0)),"")</f>
        <v/>
      </c>
      <c r="C439" s="8" t="str">
        <f>IFERROR(INDEX(样本到样信息汇总统计!C$2:C$500,MATCH(438,样本到样信息汇总统计!$AC$2:$AC$500,0)),"")</f>
        <v/>
      </c>
      <c r="D439" s="8" t="str">
        <f>IFERROR(INDEX(样本到样信息汇总统计!D$2:D$500,MATCH(438,样本到样信息汇总统计!$AC$2:$AC$500,0)),"")</f>
        <v/>
      </c>
      <c r="E439" s="8" t="str">
        <f>IFERROR(INDEX(样本到样信息汇总统计!E$2:E$500,MATCH(438,样本到样信息汇总统计!$AC$2:$AC$500,0)),"")</f>
        <v/>
      </c>
      <c r="F439" s="8" t="str">
        <f>IFERROR(INDEX(样本到样信息汇总统计!F$2:F$500,MATCH(438,样本到样信息汇总统计!$AC$2:$AC$500,0)),"")</f>
        <v/>
      </c>
      <c r="G439" s="8" t="str">
        <f>IFERROR(INDEX(样本到样信息汇总统计!G$2:G$500,MATCH(438,样本到样信息汇总统计!$AC$2:$AC$500,0)),"")</f>
        <v/>
      </c>
      <c r="H439" s="8" t="str">
        <f>IFERROR(INDEX(样本到样信息汇总统计!H$2:H$500,MATCH(438,样本到样信息汇总统计!$AC$2:$AC$500,0)),"")</f>
        <v/>
      </c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 ht="21.75" customHeight="1" spans="1:24">
      <c r="A440" s="4" t="str">
        <f>IFERROR(INDEX(样本到样信息汇总统计!A$2:A$500,MATCH(439,样本到样信息汇总统计!$AC$2:$AC$500,0)),"")</f>
        <v/>
      </c>
      <c r="B440" s="4" t="str">
        <f>IFERROR(INDEX(样本到样信息汇总统计!B$2:B$500,MATCH(439,样本到样信息汇总统计!$AC$2:$AC$500,0)),"")</f>
        <v/>
      </c>
      <c r="C440" s="4" t="str">
        <f>IFERROR(INDEX(样本到样信息汇总统计!C$2:C$500,MATCH(439,样本到样信息汇总统计!$AC$2:$AC$500,0)),"")</f>
        <v/>
      </c>
      <c r="D440" s="4" t="str">
        <f>IFERROR(INDEX(样本到样信息汇总统计!D$2:D$500,MATCH(439,样本到样信息汇总统计!$AC$2:$AC$500,0)),"")</f>
        <v/>
      </c>
      <c r="E440" s="4" t="str">
        <f>IFERROR(INDEX(样本到样信息汇总统计!E$2:E$500,MATCH(439,样本到样信息汇总统计!$AC$2:$AC$500,0)),"")</f>
        <v/>
      </c>
      <c r="F440" s="4" t="str">
        <f>IFERROR(INDEX(样本到样信息汇总统计!F$2:F$500,MATCH(439,样本到样信息汇总统计!$AC$2:$AC$500,0)),"")</f>
        <v/>
      </c>
      <c r="G440" s="4" t="str">
        <f>IFERROR(INDEX(样本到样信息汇总统计!G$2:G$500,MATCH(439,样本到样信息汇总统计!$AC$2:$AC$500,0)),"")</f>
        <v/>
      </c>
      <c r="H440" s="4" t="str">
        <f>IFERROR(INDEX(样本到样信息汇总统计!H$2:H$500,MATCH(439,样本到样信息汇总统计!$AC$2:$AC$500,0)),"")</f>
        <v/>
      </c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ht="21.75" customHeight="1" spans="1:24">
      <c r="A441" s="8" t="str">
        <f>IFERROR(INDEX(样本到样信息汇总统计!A$2:A$500,MATCH(440,样本到样信息汇总统计!$AC$2:$AC$500,0)),"")</f>
        <v/>
      </c>
      <c r="B441" s="8" t="str">
        <f>IFERROR(INDEX(样本到样信息汇总统计!B$2:B$500,MATCH(440,样本到样信息汇总统计!$AC$2:$AC$500,0)),"")</f>
        <v/>
      </c>
      <c r="C441" s="8" t="str">
        <f>IFERROR(INDEX(样本到样信息汇总统计!C$2:C$500,MATCH(440,样本到样信息汇总统计!$AC$2:$AC$500,0)),"")</f>
        <v/>
      </c>
      <c r="D441" s="8" t="str">
        <f>IFERROR(INDEX(样本到样信息汇总统计!D$2:D$500,MATCH(440,样本到样信息汇总统计!$AC$2:$AC$500,0)),"")</f>
        <v/>
      </c>
      <c r="E441" s="8" t="str">
        <f>IFERROR(INDEX(样本到样信息汇总统计!E$2:E$500,MATCH(440,样本到样信息汇总统计!$AC$2:$AC$500,0)),"")</f>
        <v/>
      </c>
      <c r="F441" s="8" t="str">
        <f>IFERROR(INDEX(样本到样信息汇总统计!F$2:F$500,MATCH(440,样本到样信息汇总统计!$AC$2:$AC$500,0)),"")</f>
        <v/>
      </c>
      <c r="G441" s="8" t="str">
        <f>IFERROR(INDEX(样本到样信息汇总统计!G$2:G$500,MATCH(440,样本到样信息汇总统计!$AC$2:$AC$500,0)),"")</f>
        <v/>
      </c>
      <c r="H441" s="8" t="str">
        <f>IFERROR(INDEX(样本到样信息汇总统计!H$2:H$500,MATCH(440,样本到样信息汇总统计!$AC$2:$AC$500,0)),"")</f>
        <v/>
      </c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 ht="21.75" customHeight="1" spans="1:24">
      <c r="A442" s="4" t="str">
        <f>IFERROR(INDEX(样本到样信息汇总统计!A$2:A$500,MATCH(441,样本到样信息汇总统计!$AC$2:$AC$500,0)),"")</f>
        <v/>
      </c>
      <c r="B442" s="4" t="str">
        <f>IFERROR(INDEX(样本到样信息汇总统计!B$2:B$500,MATCH(441,样本到样信息汇总统计!$AC$2:$AC$500,0)),"")</f>
        <v/>
      </c>
      <c r="C442" s="4" t="str">
        <f>IFERROR(INDEX(样本到样信息汇总统计!C$2:C$500,MATCH(441,样本到样信息汇总统计!$AC$2:$AC$500,0)),"")</f>
        <v/>
      </c>
      <c r="D442" s="4" t="str">
        <f>IFERROR(INDEX(样本到样信息汇总统计!D$2:D$500,MATCH(441,样本到样信息汇总统计!$AC$2:$AC$500,0)),"")</f>
        <v/>
      </c>
      <c r="E442" s="4" t="str">
        <f>IFERROR(INDEX(样本到样信息汇总统计!E$2:E$500,MATCH(441,样本到样信息汇总统计!$AC$2:$AC$500,0)),"")</f>
        <v/>
      </c>
      <c r="F442" s="4" t="str">
        <f>IFERROR(INDEX(样本到样信息汇总统计!F$2:F$500,MATCH(441,样本到样信息汇总统计!$AC$2:$AC$500,0)),"")</f>
        <v/>
      </c>
      <c r="G442" s="4" t="str">
        <f>IFERROR(INDEX(样本到样信息汇总统计!G$2:G$500,MATCH(441,样本到样信息汇总统计!$AC$2:$AC$500,0)),"")</f>
        <v/>
      </c>
      <c r="H442" s="4" t="str">
        <f>IFERROR(INDEX(样本到样信息汇总统计!H$2:H$500,MATCH(441,样本到样信息汇总统计!$AC$2:$AC$500,0)),"")</f>
        <v/>
      </c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ht="21.75" customHeight="1" spans="1:24">
      <c r="A443" s="8" t="str">
        <f>IFERROR(INDEX(样本到样信息汇总统计!A$2:A$500,MATCH(442,样本到样信息汇总统计!$AC$2:$AC$500,0)),"")</f>
        <v/>
      </c>
      <c r="B443" s="8" t="str">
        <f>IFERROR(INDEX(样本到样信息汇总统计!B$2:B$500,MATCH(442,样本到样信息汇总统计!$AC$2:$AC$500,0)),"")</f>
        <v/>
      </c>
      <c r="C443" s="8" t="str">
        <f>IFERROR(INDEX(样本到样信息汇总统计!C$2:C$500,MATCH(442,样本到样信息汇总统计!$AC$2:$AC$500,0)),"")</f>
        <v/>
      </c>
      <c r="D443" s="8" t="str">
        <f>IFERROR(INDEX(样本到样信息汇总统计!D$2:D$500,MATCH(442,样本到样信息汇总统计!$AC$2:$AC$500,0)),"")</f>
        <v/>
      </c>
      <c r="E443" s="8" t="str">
        <f>IFERROR(INDEX(样本到样信息汇总统计!E$2:E$500,MATCH(442,样本到样信息汇总统计!$AC$2:$AC$500,0)),"")</f>
        <v/>
      </c>
      <c r="F443" s="8" t="str">
        <f>IFERROR(INDEX(样本到样信息汇总统计!F$2:F$500,MATCH(442,样本到样信息汇总统计!$AC$2:$AC$500,0)),"")</f>
        <v/>
      </c>
      <c r="G443" s="8" t="str">
        <f>IFERROR(INDEX(样本到样信息汇总统计!G$2:G$500,MATCH(442,样本到样信息汇总统计!$AC$2:$AC$500,0)),"")</f>
        <v/>
      </c>
      <c r="H443" s="8" t="str">
        <f>IFERROR(INDEX(样本到样信息汇总统计!H$2:H$500,MATCH(442,样本到样信息汇总统计!$AC$2:$AC$500,0)),"")</f>
        <v/>
      </c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 ht="21.75" customHeight="1" spans="1:24">
      <c r="A444" s="4" t="str">
        <f>IFERROR(INDEX(样本到样信息汇总统计!A$2:A$500,MATCH(443,样本到样信息汇总统计!$AC$2:$AC$500,0)),"")</f>
        <v/>
      </c>
      <c r="B444" s="4" t="str">
        <f>IFERROR(INDEX(样本到样信息汇总统计!B$2:B$500,MATCH(443,样本到样信息汇总统计!$AC$2:$AC$500,0)),"")</f>
        <v/>
      </c>
      <c r="C444" s="4" t="str">
        <f>IFERROR(INDEX(样本到样信息汇总统计!C$2:C$500,MATCH(443,样本到样信息汇总统计!$AC$2:$AC$500,0)),"")</f>
        <v/>
      </c>
      <c r="D444" s="4" t="str">
        <f>IFERROR(INDEX(样本到样信息汇总统计!D$2:D$500,MATCH(443,样本到样信息汇总统计!$AC$2:$AC$500,0)),"")</f>
        <v/>
      </c>
      <c r="E444" s="4" t="str">
        <f>IFERROR(INDEX(样本到样信息汇总统计!E$2:E$500,MATCH(443,样本到样信息汇总统计!$AC$2:$AC$500,0)),"")</f>
        <v/>
      </c>
      <c r="F444" s="4" t="str">
        <f>IFERROR(INDEX(样本到样信息汇总统计!F$2:F$500,MATCH(443,样本到样信息汇总统计!$AC$2:$AC$500,0)),"")</f>
        <v/>
      </c>
      <c r="G444" s="4" t="str">
        <f>IFERROR(INDEX(样本到样信息汇总统计!G$2:G$500,MATCH(443,样本到样信息汇总统计!$AC$2:$AC$500,0)),"")</f>
        <v/>
      </c>
      <c r="H444" s="4" t="str">
        <f>IFERROR(INDEX(样本到样信息汇总统计!H$2:H$500,MATCH(443,样本到样信息汇总统计!$AC$2:$AC$500,0)),"")</f>
        <v/>
      </c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ht="21.75" customHeight="1" spans="1:24">
      <c r="A445" s="8" t="str">
        <f>IFERROR(INDEX(样本到样信息汇总统计!A$2:A$500,MATCH(444,样本到样信息汇总统计!$AC$2:$AC$500,0)),"")</f>
        <v/>
      </c>
      <c r="B445" s="8" t="str">
        <f>IFERROR(INDEX(样本到样信息汇总统计!B$2:B$500,MATCH(444,样本到样信息汇总统计!$AC$2:$AC$500,0)),"")</f>
        <v/>
      </c>
      <c r="C445" s="8" t="str">
        <f>IFERROR(INDEX(样本到样信息汇总统计!C$2:C$500,MATCH(444,样本到样信息汇总统计!$AC$2:$AC$500,0)),"")</f>
        <v/>
      </c>
      <c r="D445" s="8" t="str">
        <f>IFERROR(INDEX(样本到样信息汇总统计!D$2:D$500,MATCH(444,样本到样信息汇总统计!$AC$2:$AC$500,0)),"")</f>
        <v/>
      </c>
      <c r="E445" s="8" t="str">
        <f>IFERROR(INDEX(样本到样信息汇总统计!E$2:E$500,MATCH(444,样本到样信息汇总统计!$AC$2:$AC$500,0)),"")</f>
        <v/>
      </c>
      <c r="F445" s="8" t="str">
        <f>IFERROR(INDEX(样本到样信息汇总统计!F$2:F$500,MATCH(444,样本到样信息汇总统计!$AC$2:$AC$500,0)),"")</f>
        <v/>
      </c>
      <c r="G445" s="8" t="str">
        <f>IFERROR(INDEX(样本到样信息汇总统计!G$2:G$500,MATCH(444,样本到样信息汇总统计!$AC$2:$AC$500,0)),"")</f>
        <v/>
      </c>
      <c r="H445" s="8" t="str">
        <f>IFERROR(INDEX(样本到样信息汇总统计!H$2:H$500,MATCH(444,样本到样信息汇总统计!$AC$2:$AC$500,0)),"")</f>
        <v/>
      </c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 ht="21.75" customHeight="1" spans="1:24">
      <c r="A446" s="4" t="str">
        <f>IFERROR(INDEX(样本到样信息汇总统计!A$2:A$500,MATCH(445,样本到样信息汇总统计!$AC$2:$AC$500,0)),"")</f>
        <v/>
      </c>
      <c r="B446" s="4" t="str">
        <f>IFERROR(INDEX(样本到样信息汇总统计!B$2:B$500,MATCH(445,样本到样信息汇总统计!$AC$2:$AC$500,0)),"")</f>
        <v/>
      </c>
      <c r="C446" s="4" t="str">
        <f>IFERROR(INDEX(样本到样信息汇总统计!C$2:C$500,MATCH(445,样本到样信息汇总统计!$AC$2:$AC$500,0)),"")</f>
        <v/>
      </c>
      <c r="D446" s="4" t="str">
        <f>IFERROR(INDEX(样本到样信息汇总统计!D$2:D$500,MATCH(445,样本到样信息汇总统计!$AC$2:$AC$500,0)),"")</f>
        <v/>
      </c>
      <c r="E446" s="4" t="str">
        <f>IFERROR(INDEX(样本到样信息汇总统计!E$2:E$500,MATCH(445,样本到样信息汇总统计!$AC$2:$AC$500,0)),"")</f>
        <v/>
      </c>
      <c r="F446" s="4" t="str">
        <f>IFERROR(INDEX(样本到样信息汇总统计!F$2:F$500,MATCH(445,样本到样信息汇总统计!$AC$2:$AC$500,0)),"")</f>
        <v/>
      </c>
      <c r="G446" s="4" t="str">
        <f>IFERROR(INDEX(样本到样信息汇总统计!G$2:G$500,MATCH(445,样本到样信息汇总统计!$AC$2:$AC$500,0)),"")</f>
        <v/>
      </c>
      <c r="H446" s="4" t="str">
        <f>IFERROR(INDEX(样本到样信息汇总统计!H$2:H$500,MATCH(445,样本到样信息汇总统计!$AC$2:$AC$500,0)),"")</f>
        <v/>
      </c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ht="21.75" customHeight="1" spans="1:24">
      <c r="A447" s="8" t="str">
        <f>IFERROR(INDEX(样本到样信息汇总统计!A$2:A$500,MATCH(446,样本到样信息汇总统计!$AC$2:$AC$500,0)),"")</f>
        <v/>
      </c>
      <c r="B447" s="8" t="str">
        <f>IFERROR(INDEX(样本到样信息汇总统计!B$2:B$500,MATCH(446,样本到样信息汇总统计!$AC$2:$AC$500,0)),"")</f>
        <v/>
      </c>
      <c r="C447" s="8" t="str">
        <f>IFERROR(INDEX(样本到样信息汇总统计!C$2:C$500,MATCH(446,样本到样信息汇总统计!$AC$2:$AC$500,0)),"")</f>
        <v/>
      </c>
      <c r="D447" s="8" t="str">
        <f>IFERROR(INDEX(样本到样信息汇总统计!D$2:D$500,MATCH(446,样本到样信息汇总统计!$AC$2:$AC$500,0)),"")</f>
        <v/>
      </c>
      <c r="E447" s="8" t="str">
        <f>IFERROR(INDEX(样本到样信息汇总统计!E$2:E$500,MATCH(446,样本到样信息汇总统计!$AC$2:$AC$500,0)),"")</f>
        <v/>
      </c>
      <c r="F447" s="8" t="str">
        <f>IFERROR(INDEX(样本到样信息汇总统计!F$2:F$500,MATCH(446,样本到样信息汇总统计!$AC$2:$AC$500,0)),"")</f>
        <v/>
      </c>
      <c r="G447" s="8" t="str">
        <f>IFERROR(INDEX(样本到样信息汇总统计!G$2:G$500,MATCH(446,样本到样信息汇总统计!$AC$2:$AC$500,0)),"")</f>
        <v/>
      </c>
      <c r="H447" s="8" t="str">
        <f>IFERROR(INDEX(样本到样信息汇总统计!H$2:H$500,MATCH(446,样本到样信息汇总统计!$AC$2:$AC$500,0)),"")</f>
        <v/>
      </c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 ht="21.75" customHeight="1" spans="1:24">
      <c r="A448" s="4" t="str">
        <f>IFERROR(INDEX(样本到样信息汇总统计!A$2:A$500,MATCH(447,样本到样信息汇总统计!$AC$2:$AC$500,0)),"")</f>
        <v/>
      </c>
      <c r="B448" s="4" t="str">
        <f>IFERROR(INDEX(样本到样信息汇总统计!B$2:B$500,MATCH(447,样本到样信息汇总统计!$AC$2:$AC$500,0)),"")</f>
        <v/>
      </c>
      <c r="C448" s="4" t="str">
        <f>IFERROR(INDEX(样本到样信息汇总统计!C$2:C$500,MATCH(447,样本到样信息汇总统计!$AC$2:$AC$500,0)),"")</f>
        <v/>
      </c>
      <c r="D448" s="4" t="str">
        <f>IFERROR(INDEX(样本到样信息汇总统计!D$2:D$500,MATCH(447,样本到样信息汇总统计!$AC$2:$AC$500,0)),"")</f>
        <v/>
      </c>
      <c r="E448" s="4" t="str">
        <f>IFERROR(INDEX(样本到样信息汇总统计!E$2:E$500,MATCH(447,样本到样信息汇总统计!$AC$2:$AC$500,0)),"")</f>
        <v/>
      </c>
      <c r="F448" s="4" t="str">
        <f>IFERROR(INDEX(样本到样信息汇总统计!F$2:F$500,MATCH(447,样本到样信息汇总统计!$AC$2:$AC$500,0)),"")</f>
        <v/>
      </c>
      <c r="G448" s="4" t="str">
        <f>IFERROR(INDEX(样本到样信息汇总统计!G$2:G$500,MATCH(447,样本到样信息汇总统计!$AC$2:$AC$500,0)),"")</f>
        <v/>
      </c>
      <c r="H448" s="4" t="str">
        <f>IFERROR(INDEX(样本到样信息汇总统计!H$2:H$500,MATCH(447,样本到样信息汇总统计!$AC$2:$AC$500,0)),"")</f>
        <v/>
      </c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ht="21.75" customHeight="1" spans="1:24">
      <c r="A449" s="8" t="str">
        <f>IFERROR(INDEX(样本到样信息汇总统计!A$2:A$500,MATCH(448,样本到样信息汇总统计!$AC$2:$AC$500,0)),"")</f>
        <v/>
      </c>
      <c r="B449" s="8" t="str">
        <f>IFERROR(INDEX(样本到样信息汇总统计!B$2:B$500,MATCH(448,样本到样信息汇总统计!$AC$2:$AC$500,0)),"")</f>
        <v/>
      </c>
      <c r="C449" s="8" t="str">
        <f>IFERROR(INDEX(样本到样信息汇总统计!C$2:C$500,MATCH(448,样本到样信息汇总统计!$AC$2:$AC$500,0)),"")</f>
        <v/>
      </c>
      <c r="D449" s="8" t="str">
        <f>IFERROR(INDEX(样本到样信息汇总统计!D$2:D$500,MATCH(448,样本到样信息汇总统计!$AC$2:$AC$500,0)),"")</f>
        <v/>
      </c>
      <c r="E449" s="8" t="str">
        <f>IFERROR(INDEX(样本到样信息汇总统计!E$2:E$500,MATCH(448,样本到样信息汇总统计!$AC$2:$AC$500,0)),"")</f>
        <v/>
      </c>
      <c r="F449" s="8" t="str">
        <f>IFERROR(INDEX(样本到样信息汇总统计!F$2:F$500,MATCH(448,样本到样信息汇总统计!$AC$2:$AC$500,0)),"")</f>
        <v/>
      </c>
      <c r="G449" s="8" t="str">
        <f>IFERROR(INDEX(样本到样信息汇总统计!G$2:G$500,MATCH(448,样本到样信息汇总统计!$AC$2:$AC$500,0)),"")</f>
        <v/>
      </c>
      <c r="H449" s="8" t="str">
        <f>IFERROR(INDEX(样本到样信息汇总统计!H$2:H$500,MATCH(448,样本到样信息汇总统计!$AC$2:$AC$500,0)),"")</f>
        <v/>
      </c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 ht="21.75" customHeight="1" spans="1:24">
      <c r="A450" s="4" t="str">
        <f>IFERROR(INDEX(样本到样信息汇总统计!A$2:A$500,MATCH(449,样本到样信息汇总统计!$AC$2:$AC$500,0)),"")</f>
        <v/>
      </c>
      <c r="B450" s="4" t="str">
        <f>IFERROR(INDEX(样本到样信息汇总统计!B$2:B$500,MATCH(449,样本到样信息汇总统计!$AC$2:$AC$500,0)),"")</f>
        <v/>
      </c>
      <c r="C450" s="4" t="str">
        <f>IFERROR(INDEX(样本到样信息汇总统计!C$2:C$500,MATCH(449,样本到样信息汇总统计!$AC$2:$AC$500,0)),"")</f>
        <v/>
      </c>
      <c r="D450" s="4" t="str">
        <f>IFERROR(INDEX(样本到样信息汇总统计!D$2:D$500,MATCH(449,样本到样信息汇总统计!$AC$2:$AC$500,0)),"")</f>
        <v/>
      </c>
      <c r="E450" s="4" t="str">
        <f>IFERROR(INDEX(样本到样信息汇总统计!E$2:E$500,MATCH(449,样本到样信息汇总统计!$AC$2:$AC$500,0)),"")</f>
        <v/>
      </c>
      <c r="F450" s="4" t="str">
        <f>IFERROR(INDEX(样本到样信息汇总统计!F$2:F$500,MATCH(449,样本到样信息汇总统计!$AC$2:$AC$500,0)),"")</f>
        <v/>
      </c>
      <c r="G450" s="4" t="str">
        <f>IFERROR(INDEX(样本到样信息汇总统计!G$2:G$500,MATCH(449,样本到样信息汇总统计!$AC$2:$AC$500,0)),"")</f>
        <v/>
      </c>
      <c r="H450" s="4" t="str">
        <f>IFERROR(INDEX(样本到样信息汇总统计!H$2:H$500,MATCH(449,样本到样信息汇总统计!$AC$2:$AC$500,0)),"")</f>
        <v/>
      </c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ht="21.75" customHeight="1" spans="1:24">
      <c r="A451" s="8" t="str">
        <f>IFERROR(INDEX(样本到样信息汇总统计!A$2:A$500,MATCH(450,样本到样信息汇总统计!$AC$2:$AC$500,0)),"")</f>
        <v/>
      </c>
      <c r="B451" s="8" t="str">
        <f>IFERROR(INDEX(样本到样信息汇总统计!B$2:B$500,MATCH(450,样本到样信息汇总统计!$AC$2:$AC$500,0)),"")</f>
        <v/>
      </c>
      <c r="C451" s="8" t="str">
        <f>IFERROR(INDEX(样本到样信息汇总统计!C$2:C$500,MATCH(450,样本到样信息汇总统计!$AC$2:$AC$500,0)),"")</f>
        <v/>
      </c>
      <c r="D451" s="8" t="str">
        <f>IFERROR(INDEX(样本到样信息汇总统计!D$2:D$500,MATCH(450,样本到样信息汇总统计!$AC$2:$AC$500,0)),"")</f>
        <v/>
      </c>
      <c r="E451" s="8" t="str">
        <f>IFERROR(INDEX(样本到样信息汇总统计!E$2:E$500,MATCH(450,样本到样信息汇总统计!$AC$2:$AC$500,0)),"")</f>
        <v/>
      </c>
      <c r="F451" s="8" t="str">
        <f>IFERROR(INDEX(样本到样信息汇总统计!F$2:F$500,MATCH(450,样本到样信息汇总统计!$AC$2:$AC$500,0)),"")</f>
        <v/>
      </c>
      <c r="G451" s="8" t="str">
        <f>IFERROR(INDEX(样本到样信息汇总统计!G$2:G$500,MATCH(450,样本到样信息汇总统计!$AC$2:$AC$500,0)),"")</f>
        <v/>
      </c>
      <c r="H451" s="8" t="str">
        <f>IFERROR(INDEX(样本到样信息汇总统计!H$2:H$500,MATCH(450,样本到样信息汇总统计!$AC$2:$AC$500,0)),"")</f>
        <v/>
      </c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 ht="21.75" customHeight="1" spans="1:24">
      <c r="A452" s="4" t="str">
        <f>IFERROR(INDEX(样本到样信息汇总统计!A$2:A$500,MATCH(451,样本到样信息汇总统计!$AC$2:$AC$500,0)),"")</f>
        <v/>
      </c>
      <c r="B452" s="4" t="str">
        <f>IFERROR(INDEX(样本到样信息汇总统计!B$2:B$500,MATCH(451,样本到样信息汇总统计!$AC$2:$AC$500,0)),"")</f>
        <v/>
      </c>
      <c r="C452" s="4" t="str">
        <f>IFERROR(INDEX(样本到样信息汇总统计!C$2:C$500,MATCH(451,样本到样信息汇总统计!$AC$2:$AC$500,0)),"")</f>
        <v/>
      </c>
      <c r="D452" s="4" t="str">
        <f>IFERROR(INDEX(样本到样信息汇总统计!D$2:D$500,MATCH(451,样本到样信息汇总统计!$AC$2:$AC$500,0)),"")</f>
        <v/>
      </c>
      <c r="E452" s="4" t="str">
        <f>IFERROR(INDEX(样本到样信息汇总统计!E$2:E$500,MATCH(451,样本到样信息汇总统计!$AC$2:$AC$500,0)),"")</f>
        <v/>
      </c>
      <c r="F452" s="4" t="str">
        <f>IFERROR(INDEX(样本到样信息汇总统计!F$2:F$500,MATCH(451,样本到样信息汇总统计!$AC$2:$AC$500,0)),"")</f>
        <v/>
      </c>
      <c r="G452" s="4" t="str">
        <f>IFERROR(INDEX(样本到样信息汇总统计!G$2:G$500,MATCH(451,样本到样信息汇总统计!$AC$2:$AC$500,0)),"")</f>
        <v/>
      </c>
      <c r="H452" s="4" t="str">
        <f>IFERROR(INDEX(样本到样信息汇总统计!H$2:H$500,MATCH(451,样本到样信息汇总统计!$AC$2:$AC$500,0)),"")</f>
        <v/>
      </c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ht="21.75" customHeight="1" spans="1:24">
      <c r="A453" s="8" t="str">
        <f>IFERROR(INDEX(样本到样信息汇总统计!A$2:A$500,MATCH(452,样本到样信息汇总统计!$AC$2:$AC$500,0)),"")</f>
        <v/>
      </c>
      <c r="B453" s="8" t="str">
        <f>IFERROR(INDEX(样本到样信息汇总统计!B$2:B$500,MATCH(452,样本到样信息汇总统计!$AC$2:$AC$500,0)),"")</f>
        <v/>
      </c>
      <c r="C453" s="8" t="str">
        <f>IFERROR(INDEX(样本到样信息汇总统计!C$2:C$500,MATCH(452,样本到样信息汇总统计!$AC$2:$AC$500,0)),"")</f>
        <v/>
      </c>
      <c r="D453" s="8" t="str">
        <f>IFERROR(INDEX(样本到样信息汇总统计!D$2:D$500,MATCH(452,样本到样信息汇总统计!$AC$2:$AC$500,0)),"")</f>
        <v/>
      </c>
      <c r="E453" s="8" t="str">
        <f>IFERROR(INDEX(样本到样信息汇总统计!E$2:E$500,MATCH(452,样本到样信息汇总统计!$AC$2:$AC$500,0)),"")</f>
        <v/>
      </c>
      <c r="F453" s="8" t="str">
        <f>IFERROR(INDEX(样本到样信息汇总统计!F$2:F$500,MATCH(452,样本到样信息汇总统计!$AC$2:$AC$500,0)),"")</f>
        <v/>
      </c>
      <c r="G453" s="8" t="str">
        <f>IFERROR(INDEX(样本到样信息汇总统计!G$2:G$500,MATCH(452,样本到样信息汇总统计!$AC$2:$AC$500,0)),"")</f>
        <v/>
      </c>
      <c r="H453" s="8" t="str">
        <f>IFERROR(INDEX(样本到样信息汇总统计!H$2:H$500,MATCH(452,样本到样信息汇总统计!$AC$2:$AC$500,0)),"")</f>
        <v/>
      </c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 ht="21.75" customHeight="1" spans="1:24">
      <c r="A454" s="4" t="str">
        <f>IFERROR(INDEX(样本到样信息汇总统计!A$2:A$500,MATCH(453,样本到样信息汇总统计!$AC$2:$AC$500,0)),"")</f>
        <v/>
      </c>
      <c r="B454" s="4" t="str">
        <f>IFERROR(INDEX(样本到样信息汇总统计!B$2:B$500,MATCH(453,样本到样信息汇总统计!$AC$2:$AC$500,0)),"")</f>
        <v/>
      </c>
      <c r="C454" s="4" t="str">
        <f>IFERROR(INDEX(样本到样信息汇总统计!C$2:C$500,MATCH(453,样本到样信息汇总统计!$AC$2:$AC$500,0)),"")</f>
        <v/>
      </c>
      <c r="D454" s="4" t="str">
        <f>IFERROR(INDEX(样本到样信息汇总统计!D$2:D$500,MATCH(453,样本到样信息汇总统计!$AC$2:$AC$500,0)),"")</f>
        <v/>
      </c>
      <c r="E454" s="4" t="str">
        <f>IFERROR(INDEX(样本到样信息汇总统计!E$2:E$500,MATCH(453,样本到样信息汇总统计!$AC$2:$AC$500,0)),"")</f>
        <v/>
      </c>
      <c r="F454" s="4" t="str">
        <f>IFERROR(INDEX(样本到样信息汇总统计!F$2:F$500,MATCH(453,样本到样信息汇总统计!$AC$2:$AC$500,0)),"")</f>
        <v/>
      </c>
      <c r="G454" s="4" t="str">
        <f>IFERROR(INDEX(样本到样信息汇总统计!G$2:G$500,MATCH(453,样本到样信息汇总统计!$AC$2:$AC$500,0)),"")</f>
        <v/>
      </c>
      <c r="H454" s="4" t="str">
        <f>IFERROR(INDEX(样本到样信息汇总统计!H$2:H$500,MATCH(453,样本到样信息汇总统计!$AC$2:$AC$500,0)),"")</f>
        <v/>
      </c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ht="21.75" customHeight="1" spans="1:24">
      <c r="A455" s="8" t="str">
        <f>IFERROR(INDEX(样本到样信息汇总统计!A$2:A$500,MATCH(454,样本到样信息汇总统计!$AC$2:$AC$500,0)),"")</f>
        <v/>
      </c>
      <c r="B455" s="8" t="str">
        <f>IFERROR(INDEX(样本到样信息汇总统计!B$2:B$500,MATCH(454,样本到样信息汇总统计!$AC$2:$AC$500,0)),"")</f>
        <v/>
      </c>
      <c r="C455" s="8" t="str">
        <f>IFERROR(INDEX(样本到样信息汇总统计!C$2:C$500,MATCH(454,样本到样信息汇总统计!$AC$2:$AC$500,0)),"")</f>
        <v/>
      </c>
      <c r="D455" s="8" t="str">
        <f>IFERROR(INDEX(样本到样信息汇总统计!D$2:D$500,MATCH(454,样本到样信息汇总统计!$AC$2:$AC$500,0)),"")</f>
        <v/>
      </c>
      <c r="E455" s="8" t="str">
        <f>IFERROR(INDEX(样本到样信息汇总统计!E$2:E$500,MATCH(454,样本到样信息汇总统计!$AC$2:$AC$500,0)),"")</f>
        <v/>
      </c>
      <c r="F455" s="8" t="str">
        <f>IFERROR(INDEX(样本到样信息汇总统计!F$2:F$500,MATCH(454,样本到样信息汇总统计!$AC$2:$AC$500,0)),"")</f>
        <v/>
      </c>
      <c r="G455" s="8" t="str">
        <f>IFERROR(INDEX(样本到样信息汇总统计!G$2:G$500,MATCH(454,样本到样信息汇总统计!$AC$2:$AC$500,0)),"")</f>
        <v/>
      </c>
      <c r="H455" s="8" t="str">
        <f>IFERROR(INDEX(样本到样信息汇总统计!H$2:H$500,MATCH(454,样本到样信息汇总统计!$AC$2:$AC$500,0)),"")</f>
        <v/>
      </c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 ht="21.75" customHeight="1" spans="1:24">
      <c r="A456" s="4" t="str">
        <f>IFERROR(INDEX(样本到样信息汇总统计!A$2:A$500,MATCH(455,样本到样信息汇总统计!$AC$2:$AC$500,0)),"")</f>
        <v/>
      </c>
      <c r="B456" s="4" t="str">
        <f>IFERROR(INDEX(样本到样信息汇总统计!B$2:B$500,MATCH(455,样本到样信息汇总统计!$AC$2:$AC$500,0)),"")</f>
        <v/>
      </c>
      <c r="C456" s="4" t="str">
        <f>IFERROR(INDEX(样本到样信息汇总统计!C$2:C$500,MATCH(455,样本到样信息汇总统计!$AC$2:$AC$500,0)),"")</f>
        <v/>
      </c>
      <c r="D456" s="4" t="str">
        <f>IFERROR(INDEX(样本到样信息汇总统计!D$2:D$500,MATCH(455,样本到样信息汇总统计!$AC$2:$AC$500,0)),"")</f>
        <v/>
      </c>
      <c r="E456" s="4" t="str">
        <f>IFERROR(INDEX(样本到样信息汇总统计!E$2:E$500,MATCH(455,样本到样信息汇总统计!$AC$2:$AC$500,0)),"")</f>
        <v/>
      </c>
      <c r="F456" s="4" t="str">
        <f>IFERROR(INDEX(样本到样信息汇总统计!F$2:F$500,MATCH(455,样本到样信息汇总统计!$AC$2:$AC$500,0)),"")</f>
        <v/>
      </c>
      <c r="G456" s="4" t="str">
        <f>IFERROR(INDEX(样本到样信息汇总统计!G$2:G$500,MATCH(455,样本到样信息汇总统计!$AC$2:$AC$500,0)),"")</f>
        <v/>
      </c>
      <c r="H456" s="4" t="str">
        <f>IFERROR(INDEX(样本到样信息汇总统计!H$2:H$500,MATCH(455,样本到样信息汇总统计!$AC$2:$AC$500,0)),"")</f>
        <v/>
      </c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ht="21.75" customHeight="1" spans="1:24">
      <c r="A457" s="8" t="str">
        <f>IFERROR(INDEX(样本到样信息汇总统计!A$2:A$500,MATCH(456,样本到样信息汇总统计!$AC$2:$AC$500,0)),"")</f>
        <v/>
      </c>
      <c r="B457" s="8" t="str">
        <f>IFERROR(INDEX(样本到样信息汇总统计!B$2:B$500,MATCH(456,样本到样信息汇总统计!$AC$2:$AC$500,0)),"")</f>
        <v/>
      </c>
      <c r="C457" s="8" t="str">
        <f>IFERROR(INDEX(样本到样信息汇总统计!C$2:C$500,MATCH(456,样本到样信息汇总统计!$AC$2:$AC$500,0)),"")</f>
        <v/>
      </c>
      <c r="D457" s="8" t="str">
        <f>IFERROR(INDEX(样本到样信息汇总统计!D$2:D$500,MATCH(456,样本到样信息汇总统计!$AC$2:$AC$500,0)),"")</f>
        <v/>
      </c>
      <c r="E457" s="8" t="str">
        <f>IFERROR(INDEX(样本到样信息汇总统计!E$2:E$500,MATCH(456,样本到样信息汇总统计!$AC$2:$AC$500,0)),"")</f>
        <v/>
      </c>
      <c r="F457" s="8" t="str">
        <f>IFERROR(INDEX(样本到样信息汇总统计!F$2:F$500,MATCH(456,样本到样信息汇总统计!$AC$2:$AC$500,0)),"")</f>
        <v/>
      </c>
      <c r="G457" s="8" t="str">
        <f>IFERROR(INDEX(样本到样信息汇总统计!G$2:G$500,MATCH(456,样本到样信息汇总统计!$AC$2:$AC$500,0)),"")</f>
        <v/>
      </c>
      <c r="H457" s="8" t="str">
        <f>IFERROR(INDEX(样本到样信息汇总统计!H$2:H$500,MATCH(456,样本到样信息汇总统计!$AC$2:$AC$500,0)),"")</f>
        <v/>
      </c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 ht="21.75" customHeight="1" spans="1:24">
      <c r="A458" s="4" t="str">
        <f>IFERROR(INDEX(样本到样信息汇总统计!A$2:A$500,MATCH(457,样本到样信息汇总统计!$AC$2:$AC$500,0)),"")</f>
        <v/>
      </c>
      <c r="B458" s="4" t="str">
        <f>IFERROR(INDEX(样本到样信息汇总统计!B$2:B$500,MATCH(457,样本到样信息汇总统计!$AC$2:$AC$500,0)),"")</f>
        <v/>
      </c>
      <c r="C458" s="4" t="str">
        <f>IFERROR(INDEX(样本到样信息汇总统计!C$2:C$500,MATCH(457,样本到样信息汇总统计!$AC$2:$AC$500,0)),"")</f>
        <v/>
      </c>
      <c r="D458" s="4" t="str">
        <f>IFERROR(INDEX(样本到样信息汇总统计!D$2:D$500,MATCH(457,样本到样信息汇总统计!$AC$2:$AC$500,0)),"")</f>
        <v/>
      </c>
      <c r="E458" s="4" t="str">
        <f>IFERROR(INDEX(样本到样信息汇总统计!E$2:E$500,MATCH(457,样本到样信息汇总统计!$AC$2:$AC$500,0)),"")</f>
        <v/>
      </c>
      <c r="F458" s="4" t="str">
        <f>IFERROR(INDEX(样本到样信息汇总统计!F$2:F$500,MATCH(457,样本到样信息汇总统计!$AC$2:$AC$500,0)),"")</f>
        <v/>
      </c>
      <c r="G458" s="4" t="str">
        <f>IFERROR(INDEX(样本到样信息汇总统计!G$2:G$500,MATCH(457,样本到样信息汇总统计!$AC$2:$AC$500,0)),"")</f>
        <v/>
      </c>
      <c r="H458" s="4" t="str">
        <f>IFERROR(INDEX(样本到样信息汇总统计!H$2:H$500,MATCH(457,样本到样信息汇总统计!$AC$2:$AC$500,0)),"")</f>
        <v/>
      </c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ht="21.75" customHeight="1" spans="1:24">
      <c r="A459" s="8" t="str">
        <f>IFERROR(INDEX(样本到样信息汇总统计!A$2:A$500,MATCH(458,样本到样信息汇总统计!$AC$2:$AC$500,0)),"")</f>
        <v/>
      </c>
      <c r="B459" s="8" t="str">
        <f>IFERROR(INDEX(样本到样信息汇总统计!B$2:B$500,MATCH(458,样本到样信息汇总统计!$AC$2:$AC$500,0)),"")</f>
        <v/>
      </c>
      <c r="C459" s="8" t="str">
        <f>IFERROR(INDEX(样本到样信息汇总统计!C$2:C$500,MATCH(458,样本到样信息汇总统计!$AC$2:$AC$500,0)),"")</f>
        <v/>
      </c>
      <c r="D459" s="8" t="str">
        <f>IFERROR(INDEX(样本到样信息汇总统计!D$2:D$500,MATCH(458,样本到样信息汇总统计!$AC$2:$AC$500,0)),"")</f>
        <v/>
      </c>
      <c r="E459" s="8" t="str">
        <f>IFERROR(INDEX(样本到样信息汇总统计!E$2:E$500,MATCH(458,样本到样信息汇总统计!$AC$2:$AC$500,0)),"")</f>
        <v/>
      </c>
      <c r="F459" s="8" t="str">
        <f>IFERROR(INDEX(样本到样信息汇总统计!F$2:F$500,MATCH(458,样本到样信息汇总统计!$AC$2:$AC$500,0)),"")</f>
        <v/>
      </c>
      <c r="G459" s="8" t="str">
        <f>IFERROR(INDEX(样本到样信息汇总统计!G$2:G$500,MATCH(458,样本到样信息汇总统计!$AC$2:$AC$500,0)),"")</f>
        <v/>
      </c>
      <c r="H459" s="8" t="str">
        <f>IFERROR(INDEX(样本到样信息汇总统计!H$2:H$500,MATCH(458,样本到样信息汇总统计!$AC$2:$AC$500,0)),"")</f>
        <v/>
      </c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 ht="21.75" customHeight="1" spans="1:24">
      <c r="A460" s="4" t="str">
        <f>IFERROR(INDEX(样本到样信息汇总统计!A$2:A$500,MATCH(459,样本到样信息汇总统计!$AC$2:$AC$500,0)),"")</f>
        <v/>
      </c>
      <c r="B460" s="4" t="str">
        <f>IFERROR(INDEX(样本到样信息汇总统计!B$2:B$500,MATCH(459,样本到样信息汇总统计!$AC$2:$AC$500,0)),"")</f>
        <v/>
      </c>
      <c r="C460" s="4" t="str">
        <f>IFERROR(INDEX(样本到样信息汇总统计!C$2:C$500,MATCH(459,样本到样信息汇总统计!$AC$2:$AC$500,0)),"")</f>
        <v/>
      </c>
      <c r="D460" s="4" t="str">
        <f>IFERROR(INDEX(样本到样信息汇总统计!D$2:D$500,MATCH(459,样本到样信息汇总统计!$AC$2:$AC$500,0)),"")</f>
        <v/>
      </c>
      <c r="E460" s="4" t="str">
        <f>IFERROR(INDEX(样本到样信息汇总统计!E$2:E$500,MATCH(459,样本到样信息汇总统计!$AC$2:$AC$500,0)),"")</f>
        <v/>
      </c>
      <c r="F460" s="4" t="str">
        <f>IFERROR(INDEX(样本到样信息汇总统计!F$2:F$500,MATCH(459,样本到样信息汇总统计!$AC$2:$AC$500,0)),"")</f>
        <v/>
      </c>
      <c r="G460" s="4" t="str">
        <f>IFERROR(INDEX(样本到样信息汇总统计!G$2:G$500,MATCH(459,样本到样信息汇总统计!$AC$2:$AC$500,0)),"")</f>
        <v/>
      </c>
      <c r="H460" s="4" t="str">
        <f>IFERROR(INDEX(样本到样信息汇总统计!H$2:H$500,MATCH(459,样本到样信息汇总统计!$AC$2:$AC$500,0)),"")</f>
        <v/>
      </c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ht="21.75" customHeight="1" spans="1:24">
      <c r="A461" s="8" t="str">
        <f>IFERROR(INDEX(样本到样信息汇总统计!A$2:A$500,MATCH(460,样本到样信息汇总统计!$AC$2:$AC$500,0)),"")</f>
        <v/>
      </c>
      <c r="B461" s="8" t="str">
        <f>IFERROR(INDEX(样本到样信息汇总统计!B$2:B$500,MATCH(460,样本到样信息汇总统计!$AC$2:$AC$500,0)),"")</f>
        <v/>
      </c>
      <c r="C461" s="8" t="str">
        <f>IFERROR(INDEX(样本到样信息汇总统计!C$2:C$500,MATCH(460,样本到样信息汇总统计!$AC$2:$AC$500,0)),"")</f>
        <v/>
      </c>
      <c r="D461" s="8" t="str">
        <f>IFERROR(INDEX(样本到样信息汇总统计!D$2:D$500,MATCH(460,样本到样信息汇总统计!$AC$2:$AC$500,0)),"")</f>
        <v/>
      </c>
      <c r="E461" s="8" t="str">
        <f>IFERROR(INDEX(样本到样信息汇总统计!E$2:E$500,MATCH(460,样本到样信息汇总统计!$AC$2:$AC$500,0)),"")</f>
        <v/>
      </c>
      <c r="F461" s="8" t="str">
        <f>IFERROR(INDEX(样本到样信息汇总统计!F$2:F$500,MATCH(460,样本到样信息汇总统计!$AC$2:$AC$500,0)),"")</f>
        <v/>
      </c>
      <c r="G461" s="8" t="str">
        <f>IFERROR(INDEX(样本到样信息汇总统计!G$2:G$500,MATCH(460,样本到样信息汇总统计!$AC$2:$AC$500,0)),"")</f>
        <v/>
      </c>
      <c r="H461" s="8" t="str">
        <f>IFERROR(INDEX(样本到样信息汇总统计!H$2:H$500,MATCH(460,样本到样信息汇总统计!$AC$2:$AC$500,0)),"")</f>
        <v/>
      </c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 ht="21.75" customHeight="1" spans="1:24">
      <c r="A462" s="4" t="str">
        <f>IFERROR(INDEX(样本到样信息汇总统计!A$2:A$500,MATCH(461,样本到样信息汇总统计!$AC$2:$AC$500,0)),"")</f>
        <v/>
      </c>
      <c r="B462" s="4" t="str">
        <f>IFERROR(INDEX(样本到样信息汇总统计!B$2:B$500,MATCH(461,样本到样信息汇总统计!$AC$2:$AC$500,0)),"")</f>
        <v/>
      </c>
      <c r="C462" s="4" t="str">
        <f>IFERROR(INDEX(样本到样信息汇总统计!C$2:C$500,MATCH(461,样本到样信息汇总统计!$AC$2:$AC$500,0)),"")</f>
        <v/>
      </c>
      <c r="D462" s="4" t="str">
        <f>IFERROR(INDEX(样本到样信息汇总统计!D$2:D$500,MATCH(461,样本到样信息汇总统计!$AC$2:$AC$500,0)),"")</f>
        <v/>
      </c>
      <c r="E462" s="4" t="str">
        <f>IFERROR(INDEX(样本到样信息汇总统计!E$2:E$500,MATCH(461,样本到样信息汇总统计!$AC$2:$AC$500,0)),"")</f>
        <v/>
      </c>
      <c r="F462" s="4" t="str">
        <f>IFERROR(INDEX(样本到样信息汇总统计!F$2:F$500,MATCH(461,样本到样信息汇总统计!$AC$2:$AC$500,0)),"")</f>
        <v/>
      </c>
      <c r="G462" s="4" t="str">
        <f>IFERROR(INDEX(样本到样信息汇总统计!G$2:G$500,MATCH(461,样本到样信息汇总统计!$AC$2:$AC$500,0)),"")</f>
        <v/>
      </c>
      <c r="H462" s="4" t="str">
        <f>IFERROR(INDEX(样本到样信息汇总统计!H$2:H$500,MATCH(461,样本到样信息汇总统计!$AC$2:$AC$500,0)),"")</f>
        <v/>
      </c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ht="21.75" customHeight="1" spans="1:24">
      <c r="A463" s="8" t="str">
        <f>IFERROR(INDEX(样本到样信息汇总统计!A$2:A$500,MATCH(462,样本到样信息汇总统计!$AC$2:$AC$500,0)),"")</f>
        <v/>
      </c>
      <c r="B463" s="8" t="str">
        <f>IFERROR(INDEX(样本到样信息汇总统计!B$2:B$500,MATCH(462,样本到样信息汇总统计!$AC$2:$AC$500,0)),"")</f>
        <v/>
      </c>
      <c r="C463" s="8" t="str">
        <f>IFERROR(INDEX(样本到样信息汇总统计!C$2:C$500,MATCH(462,样本到样信息汇总统计!$AC$2:$AC$500,0)),"")</f>
        <v/>
      </c>
      <c r="D463" s="8" t="str">
        <f>IFERROR(INDEX(样本到样信息汇总统计!D$2:D$500,MATCH(462,样本到样信息汇总统计!$AC$2:$AC$500,0)),"")</f>
        <v/>
      </c>
      <c r="E463" s="8" t="str">
        <f>IFERROR(INDEX(样本到样信息汇总统计!E$2:E$500,MATCH(462,样本到样信息汇总统计!$AC$2:$AC$500,0)),"")</f>
        <v/>
      </c>
      <c r="F463" s="8" t="str">
        <f>IFERROR(INDEX(样本到样信息汇总统计!F$2:F$500,MATCH(462,样本到样信息汇总统计!$AC$2:$AC$500,0)),"")</f>
        <v/>
      </c>
      <c r="G463" s="8" t="str">
        <f>IFERROR(INDEX(样本到样信息汇总统计!G$2:G$500,MATCH(462,样本到样信息汇总统计!$AC$2:$AC$500,0)),"")</f>
        <v/>
      </c>
      <c r="H463" s="8" t="str">
        <f>IFERROR(INDEX(样本到样信息汇总统计!H$2:H$500,MATCH(462,样本到样信息汇总统计!$AC$2:$AC$500,0)),"")</f>
        <v/>
      </c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 ht="21.75" customHeight="1" spans="1:24">
      <c r="A464" s="4" t="str">
        <f>IFERROR(INDEX(样本到样信息汇总统计!A$2:A$500,MATCH(463,样本到样信息汇总统计!$AC$2:$AC$500,0)),"")</f>
        <v/>
      </c>
      <c r="B464" s="4" t="str">
        <f>IFERROR(INDEX(样本到样信息汇总统计!B$2:B$500,MATCH(463,样本到样信息汇总统计!$AC$2:$AC$500,0)),"")</f>
        <v/>
      </c>
      <c r="C464" s="4" t="str">
        <f>IFERROR(INDEX(样本到样信息汇总统计!C$2:C$500,MATCH(463,样本到样信息汇总统计!$AC$2:$AC$500,0)),"")</f>
        <v/>
      </c>
      <c r="D464" s="4" t="str">
        <f>IFERROR(INDEX(样本到样信息汇总统计!D$2:D$500,MATCH(463,样本到样信息汇总统计!$AC$2:$AC$500,0)),"")</f>
        <v/>
      </c>
      <c r="E464" s="4" t="str">
        <f>IFERROR(INDEX(样本到样信息汇总统计!E$2:E$500,MATCH(463,样本到样信息汇总统计!$AC$2:$AC$500,0)),"")</f>
        <v/>
      </c>
      <c r="F464" s="4" t="str">
        <f>IFERROR(INDEX(样本到样信息汇总统计!F$2:F$500,MATCH(463,样本到样信息汇总统计!$AC$2:$AC$500,0)),"")</f>
        <v/>
      </c>
      <c r="G464" s="4" t="str">
        <f>IFERROR(INDEX(样本到样信息汇总统计!G$2:G$500,MATCH(463,样本到样信息汇总统计!$AC$2:$AC$500,0)),"")</f>
        <v/>
      </c>
      <c r="H464" s="4" t="str">
        <f>IFERROR(INDEX(样本到样信息汇总统计!H$2:H$500,MATCH(463,样本到样信息汇总统计!$AC$2:$AC$500,0)),"")</f>
        <v/>
      </c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ht="21.75" customHeight="1" spans="1:24">
      <c r="A465" s="8" t="str">
        <f>IFERROR(INDEX(样本到样信息汇总统计!A$2:A$500,MATCH(464,样本到样信息汇总统计!$AC$2:$AC$500,0)),"")</f>
        <v/>
      </c>
      <c r="B465" s="8" t="str">
        <f>IFERROR(INDEX(样本到样信息汇总统计!B$2:B$500,MATCH(464,样本到样信息汇总统计!$AC$2:$AC$500,0)),"")</f>
        <v/>
      </c>
      <c r="C465" s="8" t="str">
        <f>IFERROR(INDEX(样本到样信息汇总统计!C$2:C$500,MATCH(464,样本到样信息汇总统计!$AC$2:$AC$500,0)),"")</f>
        <v/>
      </c>
      <c r="D465" s="8" t="str">
        <f>IFERROR(INDEX(样本到样信息汇总统计!D$2:D$500,MATCH(464,样本到样信息汇总统计!$AC$2:$AC$500,0)),"")</f>
        <v/>
      </c>
      <c r="E465" s="8" t="str">
        <f>IFERROR(INDEX(样本到样信息汇总统计!E$2:E$500,MATCH(464,样本到样信息汇总统计!$AC$2:$AC$500,0)),"")</f>
        <v/>
      </c>
      <c r="F465" s="8" t="str">
        <f>IFERROR(INDEX(样本到样信息汇总统计!F$2:F$500,MATCH(464,样本到样信息汇总统计!$AC$2:$AC$500,0)),"")</f>
        <v/>
      </c>
      <c r="G465" s="8" t="str">
        <f>IFERROR(INDEX(样本到样信息汇总统计!G$2:G$500,MATCH(464,样本到样信息汇总统计!$AC$2:$AC$500,0)),"")</f>
        <v/>
      </c>
      <c r="H465" s="8" t="str">
        <f>IFERROR(INDEX(样本到样信息汇总统计!H$2:H$500,MATCH(464,样本到样信息汇总统计!$AC$2:$AC$500,0)),"")</f>
        <v/>
      </c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 ht="21.75" customHeight="1" spans="1:24">
      <c r="A466" s="4" t="str">
        <f>IFERROR(INDEX(样本到样信息汇总统计!A$2:A$500,MATCH(465,样本到样信息汇总统计!$AC$2:$AC$500,0)),"")</f>
        <v/>
      </c>
      <c r="B466" s="4" t="str">
        <f>IFERROR(INDEX(样本到样信息汇总统计!B$2:B$500,MATCH(465,样本到样信息汇总统计!$AC$2:$AC$500,0)),"")</f>
        <v/>
      </c>
      <c r="C466" s="4" t="str">
        <f>IFERROR(INDEX(样本到样信息汇总统计!C$2:C$500,MATCH(465,样本到样信息汇总统计!$AC$2:$AC$500,0)),"")</f>
        <v/>
      </c>
      <c r="D466" s="4" t="str">
        <f>IFERROR(INDEX(样本到样信息汇总统计!D$2:D$500,MATCH(465,样本到样信息汇总统计!$AC$2:$AC$500,0)),"")</f>
        <v/>
      </c>
      <c r="E466" s="4" t="str">
        <f>IFERROR(INDEX(样本到样信息汇总统计!E$2:E$500,MATCH(465,样本到样信息汇总统计!$AC$2:$AC$500,0)),"")</f>
        <v/>
      </c>
      <c r="F466" s="4" t="str">
        <f>IFERROR(INDEX(样本到样信息汇总统计!F$2:F$500,MATCH(465,样本到样信息汇总统计!$AC$2:$AC$500,0)),"")</f>
        <v/>
      </c>
      <c r="G466" s="4" t="str">
        <f>IFERROR(INDEX(样本到样信息汇总统计!G$2:G$500,MATCH(465,样本到样信息汇总统计!$AC$2:$AC$500,0)),"")</f>
        <v/>
      </c>
      <c r="H466" s="4" t="str">
        <f>IFERROR(INDEX(样本到样信息汇总统计!H$2:H$500,MATCH(465,样本到样信息汇总统计!$AC$2:$AC$500,0)),"")</f>
        <v/>
      </c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ht="21.75" customHeight="1" spans="1:24">
      <c r="A467" s="8" t="str">
        <f>IFERROR(INDEX(样本到样信息汇总统计!A$2:A$500,MATCH(466,样本到样信息汇总统计!$AC$2:$AC$500,0)),"")</f>
        <v/>
      </c>
      <c r="B467" s="8" t="str">
        <f>IFERROR(INDEX(样本到样信息汇总统计!B$2:B$500,MATCH(466,样本到样信息汇总统计!$AC$2:$AC$500,0)),"")</f>
        <v/>
      </c>
      <c r="C467" s="8" t="str">
        <f>IFERROR(INDEX(样本到样信息汇总统计!C$2:C$500,MATCH(466,样本到样信息汇总统计!$AC$2:$AC$500,0)),"")</f>
        <v/>
      </c>
      <c r="D467" s="8" t="str">
        <f>IFERROR(INDEX(样本到样信息汇总统计!D$2:D$500,MATCH(466,样本到样信息汇总统计!$AC$2:$AC$500,0)),"")</f>
        <v/>
      </c>
      <c r="E467" s="8" t="str">
        <f>IFERROR(INDEX(样本到样信息汇总统计!E$2:E$500,MATCH(466,样本到样信息汇总统计!$AC$2:$AC$500,0)),"")</f>
        <v/>
      </c>
      <c r="F467" s="8" t="str">
        <f>IFERROR(INDEX(样本到样信息汇总统计!F$2:F$500,MATCH(466,样本到样信息汇总统计!$AC$2:$AC$500,0)),"")</f>
        <v/>
      </c>
      <c r="G467" s="8" t="str">
        <f>IFERROR(INDEX(样本到样信息汇总统计!G$2:G$500,MATCH(466,样本到样信息汇总统计!$AC$2:$AC$500,0)),"")</f>
        <v/>
      </c>
      <c r="H467" s="8" t="str">
        <f>IFERROR(INDEX(样本到样信息汇总统计!H$2:H$500,MATCH(466,样本到样信息汇总统计!$AC$2:$AC$500,0)),"")</f>
        <v/>
      </c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 ht="21.75" customHeight="1" spans="1:24">
      <c r="A468" s="4" t="str">
        <f>IFERROR(INDEX(样本到样信息汇总统计!A$2:A$500,MATCH(467,样本到样信息汇总统计!$AC$2:$AC$500,0)),"")</f>
        <v/>
      </c>
      <c r="B468" s="4" t="str">
        <f>IFERROR(INDEX(样本到样信息汇总统计!B$2:B$500,MATCH(467,样本到样信息汇总统计!$AC$2:$AC$500,0)),"")</f>
        <v/>
      </c>
      <c r="C468" s="4" t="str">
        <f>IFERROR(INDEX(样本到样信息汇总统计!C$2:C$500,MATCH(467,样本到样信息汇总统计!$AC$2:$AC$500,0)),"")</f>
        <v/>
      </c>
      <c r="D468" s="4" t="str">
        <f>IFERROR(INDEX(样本到样信息汇总统计!D$2:D$500,MATCH(467,样本到样信息汇总统计!$AC$2:$AC$500,0)),"")</f>
        <v/>
      </c>
      <c r="E468" s="4" t="str">
        <f>IFERROR(INDEX(样本到样信息汇总统计!E$2:E$500,MATCH(467,样本到样信息汇总统计!$AC$2:$AC$500,0)),"")</f>
        <v/>
      </c>
      <c r="F468" s="4" t="str">
        <f>IFERROR(INDEX(样本到样信息汇总统计!F$2:F$500,MATCH(467,样本到样信息汇总统计!$AC$2:$AC$500,0)),"")</f>
        <v/>
      </c>
      <c r="G468" s="4" t="str">
        <f>IFERROR(INDEX(样本到样信息汇总统计!G$2:G$500,MATCH(467,样本到样信息汇总统计!$AC$2:$AC$500,0)),"")</f>
        <v/>
      </c>
      <c r="H468" s="4" t="str">
        <f>IFERROR(INDEX(样本到样信息汇总统计!H$2:H$500,MATCH(467,样本到样信息汇总统计!$AC$2:$AC$500,0)),"")</f>
        <v/>
      </c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ht="21.75" customHeight="1" spans="1:24">
      <c r="A469" s="8" t="str">
        <f>IFERROR(INDEX(样本到样信息汇总统计!A$2:A$500,MATCH(468,样本到样信息汇总统计!$AC$2:$AC$500,0)),"")</f>
        <v/>
      </c>
      <c r="B469" s="8" t="str">
        <f>IFERROR(INDEX(样本到样信息汇总统计!B$2:B$500,MATCH(468,样本到样信息汇总统计!$AC$2:$AC$500,0)),"")</f>
        <v/>
      </c>
      <c r="C469" s="8" t="str">
        <f>IFERROR(INDEX(样本到样信息汇总统计!C$2:C$500,MATCH(468,样本到样信息汇总统计!$AC$2:$AC$500,0)),"")</f>
        <v/>
      </c>
      <c r="D469" s="8" t="str">
        <f>IFERROR(INDEX(样本到样信息汇总统计!D$2:D$500,MATCH(468,样本到样信息汇总统计!$AC$2:$AC$500,0)),"")</f>
        <v/>
      </c>
      <c r="E469" s="8" t="str">
        <f>IFERROR(INDEX(样本到样信息汇总统计!E$2:E$500,MATCH(468,样本到样信息汇总统计!$AC$2:$AC$500,0)),"")</f>
        <v/>
      </c>
      <c r="F469" s="8" t="str">
        <f>IFERROR(INDEX(样本到样信息汇总统计!F$2:F$500,MATCH(468,样本到样信息汇总统计!$AC$2:$AC$500,0)),"")</f>
        <v/>
      </c>
      <c r="G469" s="8" t="str">
        <f>IFERROR(INDEX(样本到样信息汇总统计!G$2:G$500,MATCH(468,样本到样信息汇总统计!$AC$2:$AC$500,0)),"")</f>
        <v/>
      </c>
      <c r="H469" s="8" t="str">
        <f>IFERROR(INDEX(样本到样信息汇总统计!H$2:H$500,MATCH(468,样本到样信息汇总统计!$AC$2:$AC$500,0)),"")</f>
        <v/>
      </c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 ht="21.75" customHeight="1" spans="1:24">
      <c r="A470" s="4" t="str">
        <f>IFERROR(INDEX(样本到样信息汇总统计!A$2:A$500,MATCH(469,样本到样信息汇总统计!$AC$2:$AC$500,0)),"")</f>
        <v/>
      </c>
      <c r="B470" s="4" t="str">
        <f>IFERROR(INDEX(样本到样信息汇总统计!B$2:B$500,MATCH(469,样本到样信息汇总统计!$AC$2:$AC$500,0)),"")</f>
        <v/>
      </c>
      <c r="C470" s="4" t="str">
        <f>IFERROR(INDEX(样本到样信息汇总统计!C$2:C$500,MATCH(469,样本到样信息汇总统计!$AC$2:$AC$500,0)),"")</f>
        <v/>
      </c>
      <c r="D470" s="4" t="str">
        <f>IFERROR(INDEX(样本到样信息汇总统计!D$2:D$500,MATCH(469,样本到样信息汇总统计!$AC$2:$AC$500,0)),"")</f>
        <v/>
      </c>
      <c r="E470" s="4" t="str">
        <f>IFERROR(INDEX(样本到样信息汇总统计!E$2:E$500,MATCH(469,样本到样信息汇总统计!$AC$2:$AC$500,0)),"")</f>
        <v/>
      </c>
      <c r="F470" s="4" t="str">
        <f>IFERROR(INDEX(样本到样信息汇总统计!F$2:F$500,MATCH(469,样本到样信息汇总统计!$AC$2:$AC$500,0)),"")</f>
        <v/>
      </c>
      <c r="G470" s="4" t="str">
        <f>IFERROR(INDEX(样本到样信息汇总统计!G$2:G$500,MATCH(469,样本到样信息汇总统计!$AC$2:$AC$500,0)),"")</f>
        <v/>
      </c>
      <c r="H470" s="4" t="str">
        <f>IFERROR(INDEX(样本到样信息汇总统计!H$2:H$500,MATCH(469,样本到样信息汇总统计!$AC$2:$AC$500,0)),"")</f>
        <v/>
      </c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ht="21.75" customHeight="1" spans="1:24">
      <c r="A471" s="8" t="str">
        <f>IFERROR(INDEX(样本到样信息汇总统计!A$2:A$500,MATCH(470,样本到样信息汇总统计!$AC$2:$AC$500,0)),"")</f>
        <v/>
      </c>
      <c r="B471" s="8" t="str">
        <f>IFERROR(INDEX(样本到样信息汇总统计!B$2:B$500,MATCH(470,样本到样信息汇总统计!$AC$2:$AC$500,0)),"")</f>
        <v/>
      </c>
      <c r="C471" s="8" t="str">
        <f>IFERROR(INDEX(样本到样信息汇总统计!C$2:C$500,MATCH(470,样本到样信息汇总统计!$AC$2:$AC$500,0)),"")</f>
        <v/>
      </c>
      <c r="D471" s="8" t="str">
        <f>IFERROR(INDEX(样本到样信息汇总统计!D$2:D$500,MATCH(470,样本到样信息汇总统计!$AC$2:$AC$500,0)),"")</f>
        <v/>
      </c>
      <c r="E471" s="8" t="str">
        <f>IFERROR(INDEX(样本到样信息汇总统计!E$2:E$500,MATCH(470,样本到样信息汇总统计!$AC$2:$AC$500,0)),"")</f>
        <v/>
      </c>
      <c r="F471" s="8" t="str">
        <f>IFERROR(INDEX(样本到样信息汇总统计!F$2:F$500,MATCH(470,样本到样信息汇总统计!$AC$2:$AC$500,0)),"")</f>
        <v/>
      </c>
      <c r="G471" s="8" t="str">
        <f>IFERROR(INDEX(样本到样信息汇总统计!G$2:G$500,MATCH(470,样本到样信息汇总统计!$AC$2:$AC$500,0)),"")</f>
        <v/>
      </c>
      <c r="H471" s="8" t="str">
        <f>IFERROR(INDEX(样本到样信息汇总统计!H$2:H$500,MATCH(470,样本到样信息汇总统计!$AC$2:$AC$500,0)),"")</f>
        <v/>
      </c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 ht="21.75" customHeight="1" spans="1:24">
      <c r="A472" s="4" t="str">
        <f>IFERROR(INDEX(样本到样信息汇总统计!A$2:A$500,MATCH(471,样本到样信息汇总统计!$AC$2:$AC$500,0)),"")</f>
        <v/>
      </c>
      <c r="B472" s="4" t="str">
        <f>IFERROR(INDEX(样本到样信息汇总统计!B$2:B$500,MATCH(471,样本到样信息汇总统计!$AC$2:$AC$500,0)),"")</f>
        <v/>
      </c>
      <c r="C472" s="4" t="str">
        <f>IFERROR(INDEX(样本到样信息汇总统计!C$2:C$500,MATCH(471,样本到样信息汇总统计!$AC$2:$AC$500,0)),"")</f>
        <v/>
      </c>
      <c r="D472" s="4" t="str">
        <f>IFERROR(INDEX(样本到样信息汇总统计!D$2:D$500,MATCH(471,样本到样信息汇总统计!$AC$2:$AC$500,0)),"")</f>
        <v/>
      </c>
      <c r="E472" s="4" t="str">
        <f>IFERROR(INDEX(样本到样信息汇总统计!E$2:E$500,MATCH(471,样本到样信息汇总统计!$AC$2:$AC$500,0)),"")</f>
        <v/>
      </c>
      <c r="F472" s="4" t="str">
        <f>IFERROR(INDEX(样本到样信息汇总统计!F$2:F$500,MATCH(471,样本到样信息汇总统计!$AC$2:$AC$500,0)),"")</f>
        <v/>
      </c>
      <c r="G472" s="4" t="str">
        <f>IFERROR(INDEX(样本到样信息汇总统计!G$2:G$500,MATCH(471,样本到样信息汇总统计!$AC$2:$AC$500,0)),"")</f>
        <v/>
      </c>
      <c r="H472" s="4" t="str">
        <f>IFERROR(INDEX(样本到样信息汇总统计!H$2:H$500,MATCH(471,样本到样信息汇总统计!$AC$2:$AC$500,0)),"")</f>
        <v/>
      </c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ht="21.75" customHeight="1" spans="1:24">
      <c r="A473" s="8" t="str">
        <f>IFERROR(INDEX(样本到样信息汇总统计!A$2:A$500,MATCH(472,样本到样信息汇总统计!$AC$2:$AC$500,0)),"")</f>
        <v/>
      </c>
      <c r="B473" s="8" t="str">
        <f>IFERROR(INDEX(样本到样信息汇总统计!B$2:B$500,MATCH(472,样本到样信息汇总统计!$AC$2:$AC$500,0)),"")</f>
        <v/>
      </c>
      <c r="C473" s="8" t="str">
        <f>IFERROR(INDEX(样本到样信息汇总统计!C$2:C$500,MATCH(472,样本到样信息汇总统计!$AC$2:$AC$500,0)),"")</f>
        <v/>
      </c>
      <c r="D473" s="8" t="str">
        <f>IFERROR(INDEX(样本到样信息汇总统计!D$2:D$500,MATCH(472,样本到样信息汇总统计!$AC$2:$AC$500,0)),"")</f>
        <v/>
      </c>
      <c r="E473" s="8" t="str">
        <f>IFERROR(INDEX(样本到样信息汇总统计!E$2:E$500,MATCH(472,样本到样信息汇总统计!$AC$2:$AC$500,0)),"")</f>
        <v/>
      </c>
      <c r="F473" s="8" t="str">
        <f>IFERROR(INDEX(样本到样信息汇总统计!F$2:F$500,MATCH(472,样本到样信息汇总统计!$AC$2:$AC$500,0)),"")</f>
        <v/>
      </c>
      <c r="G473" s="8" t="str">
        <f>IFERROR(INDEX(样本到样信息汇总统计!G$2:G$500,MATCH(472,样本到样信息汇总统计!$AC$2:$AC$500,0)),"")</f>
        <v/>
      </c>
      <c r="H473" s="8" t="str">
        <f>IFERROR(INDEX(样本到样信息汇总统计!H$2:H$500,MATCH(472,样本到样信息汇总统计!$AC$2:$AC$500,0)),"")</f>
        <v/>
      </c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 ht="21.75" customHeight="1" spans="1:24">
      <c r="A474" s="4" t="str">
        <f>IFERROR(INDEX(样本到样信息汇总统计!A$2:A$500,MATCH(473,样本到样信息汇总统计!$AC$2:$AC$500,0)),"")</f>
        <v/>
      </c>
      <c r="B474" s="4" t="str">
        <f>IFERROR(INDEX(样本到样信息汇总统计!B$2:B$500,MATCH(473,样本到样信息汇总统计!$AC$2:$AC$500,0)),"")</f>
        <v/>
      </c>
      <c r="C474" s="4" t="str">
        <f>IFERROR(INDEX(样本到样信息汇总统计!C$2:C$500,MATCH(473,样本到样信息汇总统计!$AC$2:$AC$500,0)),"")</f>
        <v/>
      </c>
      <c r="D474" s="4" t="str">
        <f>IFERROR(INDEX(样本到样信息汇总统计!D$2:D$500,MATCH(473,样本到样信息汇总统计!$AC$2:$AC$500,0)),"")</f>
        <v/>
      </c>
      <c r="E474" s="4" t="str">
        <f>IFERROR(INDEX(样本到样信息汇总统计!E$2:E$500,MATCH(473,样本到样信息汇总统计!$AC$2:$AC$500,0)),"")</f>
        <v/>
      </c>
      <c r="F474" s="4" t="str">
        <f>IFERROR(INDEX(样本到样信息汇总统计!F$2:F$500,MATCH(473,样本到样信息汇总统计!$AC$2:$AC$500,0)),"")</f>
        <v/>
      </c>
      <c r="G474" s="4" t="str">
        <f>IFERROR(INDEX(样本到样信息汇总统计!G$2:G$500,MATCH(473,样本到样信息汇总统计!$AC$2:$AC$500,0)),"")</f>
        <v/>
      </c>
      <c r="H474" s="4" t="str">
        <f>IFERROR(INDEX(样本到样信息汇总统计!H$2:H$500,MATCH(473,样本到样信息汇总统计!$AC$2:$AC$500,0)),"")</f>
        <v/>
      </c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ht="21.75" customHeight="1" spans="1:24">
      <c r="A475" s="8" t="str">
        <f>IFERROR(INDEX(样本到样信息汇总统计!A$2:A$500,MATCH(474,样本到样信息汇总统计!$AC$2:$AC$500,0)),"")</f>
        <v/>
      </c>
      <c r="B475" s="8" t="str">
        <f>IFERROR(INDEX(样本到样信息汇总统计!B$2:B$500,MATCH(474,样本到样信息汇总统计!$AC$2:$AC$500,0)),"")</f>
        <v/>
      </c>
      <c r="C475" s="8" t="str">
        <f>IFERROR(INDEX(样本到样信息汇总统计!C$2:C$500,MATCH(474,样本到样信息汇总统计!$AC$2:$AC$500,0)),"")</f>
        <v/>
      </c>
      <c r="D475" s="8" t="str">
        <f>IFERROR(INDEX(样本到样信息汇总统计!D$2:D$500,MATCH(474,样本到样信息汇总统计!$AC$2:$AC$500,0)),"")</f>
        <v/>
      </c>
      <c r="E475" s="8" t="str">
        <f>IFERROR(INDEX(样本到样信息汇总统计!E$2:E$500,MATCH(474,样本到样信息汇总统计!$AC$2:$AC$500,0)),"")</f>
        <v/>
      </c>
      <c r="F475" s="8" t="str">
        <f>IFERROR(INDEX(样本到样信息汇总统计!F$2:F$500,MATCH(474,样本到样信息汇总统计!$AC$2:$AC$500,0)),"")</f>
        <v/>
      </c>
      <c r="G475" s="8" t="str">
        <f>IFERROR(INDEX(样本到样信息汇总统计!G$2:G$500,MATCH(474,样本到样信息汇总统计!$AC$2:$AC$500,0)),"")</f>
        <v/>
      </c>
      <c r="H475" s="8" t="str">
        <f>IFERROR(INDEX(样本到样信息汇总统计!H$2:H$500,MATCH(474,样本到样信息汇总统计!$AC$2:$AC$500,0)),"")</f>
        <v/>
      </c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 ht="21.75" customHeight="1" spans="1:24">
      <c r="A476" s="4" t="str">
        <f>IFERROR(INDEX(样本到样信息汇总统计!A$2:A$500,MATCH(475,样本到样信息汇总统计!$AC$2:$AC$500,0)),"")</f>
        <v/>
      </c>
      <c r="B476" s="4" t="str">
        <f>IFERROR(INDEX(样本到样信息汇总统计!B$2:B$500,MATCH(475,样本到样信息汇总统计!$AC$2:$AC$500,0)),"")</f>
        <v/>
      </c>
      <c r="C476" s="4" t="str">
        <f>IFERROR(INDEX(样本到样信息汇总统计!C$2:C$500,MATCH(475,样本到样信息汇总统计!$AC$2:$AC$500,0)),"")</f>
        <v/>
      </c>
      <c r="D476" s="4" t="str">
        <f>IFERROR(INDEX(样本到样信息汇总统计!D$2:D$500,MATCH(475,样本到样信息汇总统计!$AC$2:$AC$500,0)),"")</f>
        <v/>
      </c>
      <c r="E476" s="4" t="str">
        <f>IFERROR(INDEX(样本到样信息汇总统计!E$2:E$500,MATCH(475,样本到样信息汇总统计!$AC$2:$AC$500,0)),"")</f>
        <v/>
      </c>
      <c r="F476" s="4" t="str">
        <f>IFERROR(INDEX(样本到样信息汇总统计!F$2:F$500,MATCH(475,样本到样信息汇总统计!$AC$2:$AC$500,0)),"")</f>
        <v/>
      </c>
      <c r="G476" s="4" t="str">
        <f>IFERROR(INDEX(样本到样信息汇总统计!G$2:G$500,MATCH(475,样本到样信息汇总统计!$AC$2:$AC$500,0)),"")</f>
        <v/>
      </c>
      <c r="H476" s="4" t="str">
        <f>IFERROR(INDEX(样本到样信息汇总统计!H$2:H$500,MATCH(475,样本到样信息汇总统计!$AC$2:$AC$500,0)),"")</f>
        <v/>
      </c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ht="21.75" customHeight="1" spans="1:24">
      <c r="A477" s="8" t="str">
        <f>IFERROR(INDEX(样本到样信息汇总统计!A$2:A$500,MATCH(476,样本到样信息汇总统计!$AC$2:$AC$500,0)),"")</f>
        <v/>
      </c>
      <c r="B477" s="8" t="str">
        <f>IFERROR(INDEX(样本到样信息汇总统计!B$2:B$500,MATCH(476,样本到样信息汇总统计!$AC$2:$AC$500,0)),"")</f>
        <v/>
      </c>
      <c r="C477" s="8" t="str">
        <f>IFERROR(INDEX(样本到样信息汇总统计!C$2:C$500,MATCH(476,样本到样信息汇总统计!$AC$2:$AC$500,0)),"")</f>
        <v/>
      </c>
      <c r="D477" s="8" t="str">
        <f>IFERROR(INDEX(样本到样信息汇总统计!D$2:D$500,MATCH(476,样本到样信息汇总统计!$AC$2:$AC$500,0)),"")</f>
        <v/>
      </c>
      <c r="E477" s="8" t="str">
        <f>IFERROR(INDEX(样本到样信息汇总统计!E$2:E$500,MATCH(476,样本到样信息汇总统计!$AC$2:$AC$500,0)),"")</f>
        <v/>
      </c>
      <c r="F477" s="8" t="str">
        <f>IFERROR(INDEX(样本到样信息汇总统计!F$2:F$500,MATCH(476,样本到样信息汇总统计!$AC$2:$AC$500,0)),"")</f>
        <v/>
      </c>
      <c r="G477" s="8" t="str">
        <f>IFERROR(INDEX(样本到样信息汇总统计!G$2:G$500,MATCH(476,样本到样信息汇总统计!$AC$2:$AC$500,0)),"")</f>
        <v/>
      </c>
      <c r="H477" s="8" t="str">
        <f>IFERROR(INDEX(样本到样信息汇总统计!H$2:H$500,MATCH(476,样本到样信息汇总统计!$AC$2:$AC$500,0)),"")</f>
        <v/>
      </c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 ht="21.75" customHeight="1" spans="1:24">
      <c r="A478" s="4" t="str">
        <f>IFERROR(INDEX(样本到样信息汇总统计!A$2:A$500,MATCH(477,样本到样信息汇总统计!$AC$2:$AC$500,0)),"")</f>
        <v/>
      </c>
      <c r="B478" s="4" t="str">
        <f>IFERROR(INDEX(样本到样信息汇总统计!B$2:B$500,MATCH(477,样本到样信息汇总统计!$AC$2:$AC$500,0)),"")</f>
        <v/>
      </c>
      <c r="C478" s="4" t="str">
        <f>IFERROR(INDEX(样本到样信息汇总统计!C$2:C$500,MATCH(477,样本到样信息汇总统计!$AC$2:$AC$500,0)),"")</f>
        <v/>
      </c>
      <c r="D478" s="4" t="str">
        <f>IFERROR(INDEX(样本到样信息汇总统计!D$2:D$500,MATCH(477,样本到样信息汇总统计!$AC$2:$AC$500,0)),"")</f>
        <v/>
      </c>
      <c r="E478" s="4" t="str">
        <f>IFERROR(INDEX(样本到样信息汇总统计!E$2:E$500,MATCH(477,样本到样信息汇总统计!$AC$2:$AC$500,0)),"")</f>
        <v/>
      </c>
      <c r="F478" s="4" t="str">
        <f>IFERROR(INDEX(样本到样信息汇总统计!F$2:F$500,MATCH(477,样本到样信息汇总统计!$AC$2:$AC$500,0)),"")</f>
        <v/>
      </c>
      <c r="G478" s="4" t="str">
        <f>IFERROR(INDEX(样本到样信息汇总统计!G$2:G$500,MATCH(477,样本到样信息汇总统计!$AC$2:$AC$500,0)),"")</f>
        <v/>
      </c>
      <c r="H478" s="4" t="str">
        <f>IFERROR(INDEX(样本到样信息汇总统计!H$2:H$500,MATCH(477,样本到样信息汇总统计!$AC$2:$AC$500,0)),"")</f>
        <v/>
      </c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ht="21.75" customHeight="1" spans="1:24">
      <c r="A479" s="8" t="str">
        <f>IFERROR(INDEX(样本到样信息汇总统计!A$2:A$500,MATCH(478,样本到样信息汇总统计!$AC$2:$AC$500,0)),"")</f>
        <v/>
      </c>
      <c r="B479" s="8" t="str">
        <f>IFERROR(INDEX(样本到样信息汇总统计!B$2:B$500,MATCH(478,样本到样信息汇总统计!$AC$2:$AC$500,0)),"")</f>
        <v/>
      </c>
      <c r="C479" s="8" t="str">
        <f>IFERROR(INDEX(样本到样信息汇总统计!C$2:C$500,MATCH(478,样本到样信息汇总统计!$AC$2:$AC$500,0)),"")</f>
        <v/>
      </c>
      <c r="D479" s="8" t="str">
        <f>IFERROR(INDEX(样本到样信息汇总统计!D$2:D$500,MATCH(478,样本到样信息汇总统计!$AC$2:$AC$500,0)),"")</f>
        <v/>
      </c>
      <c r="E479" s="8" t="str">
        <f>IFERROR(INDEX(样本到样信息汇总统计!E$2:E$500,MATCH(478,样本到样信息汇总统计!$AC$2:$AC$500,0)),"")</f>
        <v/>
      </c>
      <c r="F479" s="8" t="str">
        <f>IFERROR(INDEX(样本到样信息汇总统计!F$2:F$500,MATCH(478,样本到样信息汇总统计!$AC$2:$AC$500,0)),"")</f>
        <v/>
      </c>
      <c r="G479" s="8" t="str">
        <f>IFERROR(INDEX(样本到样信息汇总统计!G$2:G$500,MATCH(478,样本到样信息汇总统计!$AC$2:$AC$500,0)),"")</f>
        <v/>
      </c>
      <c r="H479" s="8" t="str">
        <f>IFERROR(INDEX(样本到样信息汇总统计!H$2:H$500,MATCH(478,样本到样信息汇总统计!$AC$2:$AC$500,0)),"")</f>
        <v/>
      </c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 ht="21.75" customHeight="1" spans="1:24">
      <c r="A480" s="4" t="str">
        <f>IFERROR(INDEX(样本到样信息汇总统计!A$2:A$500,MATCH(479,样本到样信息汇总统计!$AC$2:$AC$500,0)),"")</f>
        <v/>
      </c>
      <c r="B480" s="4" t="str">
        <f>IFERROR(INDEX(样本到样信息汇总统计!B$2:B$500,MATCH(479,样本到样信息汇总统计!$AC$2:$AC$500,0)),"")</f>
        <v/>
      </c>
      <c r="C480" s="4" t="str">
        <f>IFERROR(INDEX(样本到样信息汇总统计!C$2:C$500,MATCH(479,样本到样信息汇总统计!$AC$2:$AC$500,0)),"")</f>
        <v/>
      </c>
      <c r="D480" s="4" t="str">
        <f>IFERROR(INDEX(样本到样信息汇总统计!D$2:D$500,MATCH(479,样本到样信息汇总统计!$AC$2:$AC$500,0)),"")</f>
        <v/>
      </c>
      <c r="E480" s="4" t="str">
        <f>IFERROR(INDEX(样本到样信息汇总统计!E$2:E$500,MATCH(479,样本到样信息汇总统计!$AC$2:$AC$500,0)),"")</f>
        <v/>
      </c>
      <c r="F480" s="4" t="str">
        <f>IFERROR(INDEX(样本到样信息汇总统计!F$2:F$500,MATCH(479,样本到样信息汇总统计!$AC$2:$AC$500,0)),"")</f>
        <v/>
      </c>
      <c r="G480" s="4" t="str">
        <f>IFERROR(INDEX(样本到样信息汇总统计!G$2:G$500,MATCH(479,样本到样信息汇总统计!$AC$2:$AC$500,0)),"")</f>
        <v/>
      </c>
      <c r="H480" s="4" t="str">
        <f>IFERROR(INDEX(样本到样信息汇总统计!H$2:H$500,MATCH(479,样本到样信息汇总统计!$AC$2:$AC$500,0)),"")</f>
        <v/>
      </c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ht="21.75" customHeight="1" spans="1:24">
      <c r="A481" s="8" t="str">
        <f>IFERROR(INDEX(样本到样信息汇总统计!A$2:A$500,MATCH(480,样本到样信息汇总统计!$AC$2:$AC$500,0)),"")</f>
        <v/>
      </c>
      <c r="B481" s="8" t="str">
        <f>IFERROR(INDEX(样本到样信息汇总统计!B$2:B$500,MATCH(480,样本到样信息汇总统计!$AC$2:$AC$500,0)),"")</f>
        <v/>
      </c>
      <c r="C481" s="8" t="str">
        <f>IFERROR(INDEX(样本到样信息汇总统计!C$2:C$500,MATCH(480,样本到样信息汇总统计!$AC$2:$AC$500,0)),"")</f>
        <v/>
      </c>
      <c r="D481" s="8" t="str">
        <f>IFERROR(INDEX(样本到样信息汇总统计!D$2:D$500,MATCH(480,样本到样信息汇总统计!$AC$2:$AC$500,0)),"")</f>
        <v/>
      </c>
      <c r="E481" s="8" t="str">
        <f>IFERROR(INDEX(样本到样信息汇总统计!E$2:E$500,MATCH(480,样本到样信息汇总统计!$AC$2:$AC$500,0)),"")</f>
        <v/>
      </c>
      <c r="F481" s="8" t="str">
        <f>IFERROR(INDEX(样本到样信息汇总统计!F$2:F$500,MATCH(480,样本到样信息汇总统计!$AC$2:$AC$500,0)),"")</f>
        <v/>
      </c>
      <c r="G481" s="8" t="str">
        <f>IFERROR(INDEX(样本到样信息汇总统计!G$2:G$500,MATCH(480,样本到样信息汇总统计!$AC$2:$AC$500,0)),"")</f>
        <v/>
      </c>
      <c r="H481" s="8" t="str">
        <f>IFERROR(INDEX(样本到样信息汇总统计!H$2:H$500,MATCH(480,样本到样信息汇总统计!$AC$2:$AC$500,0)),"")</f>
        <v/>
      </c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 ht="21.75" customHeight="1" spans="1:24">
      <c r="A482" s="4" t="str">
        <f>IFERROR(INDEX(样本到样信息汇总统计!A$2:A$500,MATCH(481,样本到样信息汇总统计!$AC$2:$AC$500,0)),"")</f>
        <v/>
      </c>
      <c r="B482" s="4" t="str">
        <f>IFERROR(INDEX(样本到样信息汇总统计!B$2:B$500,MATCH(481,样本到样信息汇总统计!$AC$2:$AC$500,0)),"")</f>
        <v/>
      </c>
      <c r="C482" s="4" t="str">
        <f>IFERROR(INDEX(样本到样信息汇总统计!C$2:C$500,MATCH(481,样本到样信息汇总统计!$AC$2:$AC$500,0)),"")</f>
        <v/>
      </c>
      <c r="D482" s="4" t="str">
        <f>IFERROR(INDEX(样本到样信息汇总统计!D$2:D$500,MATCH(481,样本到样信息汇总统计!$AC$2:$AC$500,0)),"")</f>
        <v/>
      </c>
      <c r="E482" s="4" t="str">
        <f>IFERROR(INDEX(样本到样信息汇总统计!E$2:E$500,MATCH(481,样本到样信息汇总统计!$AC$2:$AC$500,0)),"")</f>
        <v/>
      </c>
      <c r="F482" s="4" t="str">
        <f>IFERROR(INDEX(样本到样信息汇总统计!F$2:F$500,MATCH(481,样本到样信息汇总统计!$AC$2:$AC$500,0)),"")</f>
        <v/>
      </c>
      <c r="G482" s="4" t="str">
        <f>IFERROR(INDEX(样本到样信息汇总统计!G$2:G$500,MATCH(481,样本到样信息汇总统计!$AC$2:$AC$500,0)),"")</f>
        <v/>
      </c>
      <c r="H482" s="4" t="str">
        <f>IFERROR(INDEX(样本到样信息汇总统计!H$2:H$500,MATCH(481,样本到样信息汇总统计!$AC$2:$AC$500,0)),"")</f>
        <v/>
      </c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ht="21.75" customHeight="1" spans="1:24">
      <c r="A483" s="8" t="str">
        <f>IFERROR(INDEX(样本到样信息汇总统计!A$2:A$500,MATCH(482,样本到样信息汇总统计!$AC$2:$AC$500,0)),"")</f>
        <v/>
      </c>
      <c r="B483" s="8" t="str">
        <f>IFERROR(INDEX(样本到样信息汇总统计!B$2:B$500,MATCH(482,样本到样信息汇总统计!$AC$2:$AC$500,0)),"")</f>
        <v/>
      </c>
      <c r="C483" s="8" t="str">
        <f>IFERROR(INDEX(样本到样信息汇总统计!C$2:C$500,MATCH(482,样本到样信息汇总统计!$AC$2:$AC$500,0)),"")</f>
        <v/>
      </c>
      <c r="D483" s="8" t="str">
        <f>IFERROR(INDEX(样本到样信息汇总统计!D$2:D$500,MATCH(482,样本到样信息汇总统计!$AC$2:$AC$500,0)),"")</f>
        <v/>
      </c>
      <c r="E483" s="8" t="str">
        <f>IFERROR(INDEX(样本到样信息汇总统计!E$2:E$500,MATCH(482,样本到样信息汇总统计!$AC$2:$AC$500,0)),"")</f>
        <v/>
      </c>
      <c r="F483" s="8" t="str">
        <f>IFERROR(INDEX(样本到样信息汇总统计!F$2:F$500,MATCH(482,样本到样信息汇总统计!$AC$2:$AC$500,0)),"")</f>
        <v/>
      </c>
      <c r="G483" s="8" t="str">
        <f>IFERROR(INDEX(样本到样信息汇总统计!G$2:G$500,MATCH(482,样本到样信息汇总统计!$AC$2:$AC$500,0)),"")</f>
        <v/>
      </c>
      <c r="H483" s="8" t="str">
        <f>IFERROR(INDEX(样本到样信息汇总统计!H$2:H$500,MATCH(482,样本到样信息汇总统计!$AC$2:$AC$500,0)),"")</f>
        <v/>
      </c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 ht="21.75" customHeight="1" spans="1:24">
      <c r="A484" s="4" t="str">
        <f>IFERROR(INDEX(样本到样信息汇总统计!A$2:A$500,MATCH(483,样本到样信息汇总统计!$AC$2:$AC$500,0)),"")</f>
        <v/>
      </c>
      <c r="B484" s="4" t="str">
        <f>IFERROR(INDEX(样本到样信息汇总统计!B$2:B$500,MATCH(483,样本到样信息汇总统计!$AC$2:$AC$500,0)),"")</f>
        <v/>
      </c>
      <c r="C484" s="4" t="str">
        <f>IFERROR(INDEX(样本到样信息汇总统计!C$2:C$500,MATCH(483,样本到样信息汇总统计!$AC$2:$AC$500,0)),"")</f>
        <v/>
      </c>
      <c r="D484" s="4" t="str">
        <f>IFERROR(INDEX(样本到样信息汇总统计!D$2:D$500,MATCH(483,样本到样信息汇总统计!$AC$2:$AC$500,0)),"")</f>
        <v/>
      </c>
      <c r="E484" s="4" t="str">
        <f>IFERROR(INDEX(样本到样信息汇总统计!E$2:E$500,MATCH(483,样本到样信息汇总统计!$AC$2:$AC$500,0)),"")</f>
        <v/>
      </c>
      <c r="F484" s="4" t="str">
        <f>IFERROR(INDEX(样本到样信息汇总统计!F$2:F$500,MATCH(483,样本到样信息汇总统计!$AC$2:$AC$500,0)),"")</f>
        <v/>
      </c>
      <c r="G484" s="4" t="str">
        <f>IFERROR(INDEX(样本到样信息汇总统计!G$2:G$500,MATCH(483,样本到样信息汇总统计!$AC$2:$AC$500,0)),"")</f>
        <v/>
      </c>
      <c r="H484" s="4" t="str">
        <f>IFERROR(INDEX(样本到样信息汇总统计!H$2:H$500,MATCH(483,样本到样信息汇总统计!$AC$2:$AC$500,0)),"")</f>
        <v/>
      </c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ht="21.75" customHeight="1" spans="1:24">
      <c r="A485" s="8" t="str">
        <f>IFERROR(INDEX(样本到样信息汇总统计!A$2:A$500,MATCH(484,样本到样信息汇总统计!$AC$2:$AC$500,0)),"")</f>
        <v/>
      </c>
      <c r="B485" s="8" t="str">
        <f>IFERROR(INDEX(样本到样信息汇总统计!B$2:B$500,MATCH(484,样本到样信息汇总统计!$AC$2:$AC$500,0)),"")</f>
        <v/>
      </c>
      <c r="C485" s="8" t="str">
        <f>IFERROR(INDEX(样本到样信息汇总统计!C$2:C$500,MATCH(484,样本到样信息汇总统计!$AC$2:$AC$500,0)),"")</f>
        <v/>
      </c>
      <c r="D485" s="8" t="str">
        <f>IFERROR(INDEX(样本到样信息汇总统计!D$2:D$500,MATCH(484,样本到样信息汇总统计!$AC$2:$AC$500,0)),"")</f>
        <v/>
      </c>
      <c r="E485" s="8" t="str">
        <f>IFERROR(INDEX(样本到样信息汇总统计!E$2:E$500,MATCH(484,样本到样信息汇总统计!$AC$2:$AC$500,0)),"")</f>
        <v/>
      </c>
      <c r="F485" s="8" t="str">
        <f>IFERROR(INDEX(样本到样信息汇总统计!F$2:F$500,MATCH(484,样本到样信息汇总统计!$AC$2:$AC$500,0)),"")</f>
        <v/>
      </c>
      <c r="G485" s="8" t="str">
        <f>IFERROR(INDEX(样本到样信息汇总统计!G$2:G$500,MATCH(484,样本到样信息汇总统计!$AC$2:$AC$500,0)),"")</f>
        <v/>
      </c>
      <c r="H485" s="8" t="str">
        <f>IFERROR(INDEX(样本到样信息汇总统计!H$2:H$500,MATCH(484,样本到样信息汇总统计!$AC$2:$AC$500,0)),"")</f>
        <v/>
      </c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 ht="21.75" customHeight="1" spans="1:24">
      <c r="A486" s="4" t="str">
        <f>IFERROR(INDEX(样本到样信息汇总统计!A$2:A$500,MATCH(485,样本到样信息汇总统计!$AC$2:$AC$500,0)),"")</f>
        <v/>
      </c>
      <c r="B486" s="4" t="str">
        <f>IFERROR(INDEX(样本到样信息汇总统计!B$2:B$500,MATCH(485,样本到样信息汇总统计!$AC$2:$AC$500,0)),"")</f>
        <v/>
      </c>
      <c r="C486" s="4" t="str">
        <f>IFERROR(INDEX(样本到样信息汇总统计!C$2:C$500,MATCH(485,样本到样信息汇总统计!$AC$2:$AC$500,0)),"")</f>
        <v/>
      </c>
      <c r="D486" s="4" t="str">
        <f>IFERROR(INDEX(样本到样信息汇总统计!D$2:D$500,MATCH(485,样本到样信息汇总统计!$AC$2:$AC$500,0)),"")</f>
        <v/>
      </c>
      <c r="E486" s="4" t="str">
        <f>IFERROR(INDEX(样本到样信息汇总统计!E$2:E$500,MATCH(485,样本到样信息汇总统计!$AC$2:$AC$500,0)),"")</f>
        <v/>
      </c>
      <c r="F486" s="4" t="str">
        <f>IFERROR(INDEX(样本到样信息汇总统计!F$2:F$500,MATCH(485,样本到样信息汇总统计!$AC$2:$AC$500,0)),"")</f>
        <v/>
      </c>
      <c r="G486" s="4" t="str">
        <f>IFERROR(INDEX(样本到样信息汇总统计!G$2:G$500,MATCH(485,样本到样信息汇总统计!$AC$2:$AC$500,0)),"")</f>
        <v/>
      </c>
      <c r="H486" s="4" t="str">
        <f>IFERROR(INDEX(样本到样信息汇总统计!H$2:H$500,MATCH(485,样本到样信息汇总统计!$AC$2:$AC$500,0)),"")</f>
        <v/>
      </c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ht="21.75" customHeight="1" spans="1:24">
      <c r="A487" s="8" t="str">
        <f>IFERROR(INDEX(样本到样信息汇总统计!A$2:A$500,MATCH(486,样本到样信息汇总统计!$AC$2:$AC$500,0)),"")</f>
        <v/>
      </c>
      <c r="B487" s="8" t="str">
        <f>IFERROR(INDEX(样本到样信息汇总统计!B$2:B$500,MATCH(486,样本到样信息汇总统计!$AC$2:$AC$500,0)),"")</f>
        <v/>
      </c>
      <c r="C487" s="8" t="str">
        <f>IFERROR(INDEX(样本到样信息汇总统计!C$2:C$500,MATCH(486,样本到样信息汇总统计!$AC$2:$AC$500,0)),"")</f>
        <v/>
      </c>
      <c r="D487" s="8" t="str">
        <f>IFERROR(INDEX(样本到样信息汇总统计!D$2:D$500,MATCH(486,样本到样信息汇总统计!$AC$2:$AC$500,0)),"")</f>
        <v/>
      </c>
      <c r="E487" s="8" t="str">
        <f>IFERROR(INDEX(样本到样信息汇总统计!E$2:E$500,MATCH(486,样本到样信息汇总统计!$AC$2:$AC$500,0)),"")</f>
        <v/>
      </c>
      <c r="F487" s="8" t="str">
        <f>IFERROR(INDEX(样本到样信息汇总统计!F$2:F$500,MATCH(486,样本到样信息汇总统计!$AC$2:$AC$500,0)),"")</f>
        <v/>
      </c>
      <c r="G487" s="8" t="str">
        <f>IFERROR(INDEX(样本到样信息汇总统计!G$2:G$500,MATCH(486,样本到样信息汇总统计!$AC$2:$AC$500,0)),"")</f>
        <v/>
      </c>
      <c r="H487" s="8" t="str">
        <f>IFERROR(INDEX(样本到样信息汇总统计!H$2:H$500,MATCH(486,样本到样信息汇总统计!$AC$2:$AC$500,0)),"")</f>
        <v/>
      </c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 ht="21.75" customHeight="1" spans="1:24">
      <c r="A488" s="4" t="str">
        <f>IFERROR(INDEX(样本到样信息汇总统计!A$2:A$500,MATCH(487,样本到样信息汇总统计!$AC$2:$AC$500,0)),"")</f>
        <v/>
      </c>
      <c r="B488" s="4" t="str">
        <f>IFERROR(INDEX(样本到样信息汇总统计!B$2:B$500,MATCH(487,样本到样信息汇总统计!$AC$2:$AC$500,0)),"")</f>
        <v/>
      </c>
      <c r="C488" s="4" t="str">
        <f>IFERROR(INDEX(样本到样信息汇总统计!C$2:C$500,MATCH(487,样本到样信息汇总统计!$AC$2:$AC$500,0)),"")</f>
        <v/>
      </c>
      <c r="D488" s="4" t="str">
        <f>IFERROR(INDEX(样本到样信息汇总统计!D$2:D$500,MATCH(487,样本到样信息汇总统计!$AC$2:$AC$500,0)),"")</f>
        <v/>
      </c>
      <c r="E488" s="4" t="str">
        <f>IFERROR(INDEX(样本到样信息汇总统计!E$2:E$500,MATCH(487,样本到样信息汇总统计!$AC$2:$AC$500,0)),"")</f>
        <v/>
      </c>
      <c r="F488" s="4" t="str">
        <f>IFERROR(INDEX(样本到样信息汇总统计!F$2:F$500,MATCH(487,样本到样信息汇总统计!$AC$2:$AC$500,0)),"")</f>
        <v/>
      </c>
      <c r="G488" s="4" t="str">
        <f>IFERROR(INDEX(样本到样信息汇总统计!G$2:G$500,MATCH(487,样本到样信息汇总统计!$AC$2:$AC$500,0)),"")</f>
        <v/>
      </c>
      <c r="H488" s="4" t="str">
        <f>IFERROR(INDEX(样本到样信息汇总统计!H$2:H$500,MATCH(487,样本到样信息汇总统计!$AC$2:$AC$500,0)),"")</f>
        <v/>
      </c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ht="21.75" customHeight="1" spans="1:24">
      <c r="A489" s="8" t="str">
        <f>IFERROR(INDEX(样本到样信息汇总统计!A$2:A$500,MATCH(488,样本到样信息汇总统计!$AC$2:$AC$500,0)),"")</f>
        <v/>
      </c>
      <c r="B489" s="8" t="str">
        <f>IFERROR(INDEX(样本到样信息汇总统计!B$2:B$500,MATCH(488,样本到样信息汇总统计!$AC$2:$AC$500,0)),"")</f>
        <v/>
      </c>
      <c r="C489" s="8" t="str">
        <f>IFERROR(INDEX(样本到样信息汇总统计!C$2:C$500,MATCH(488,样本到样信息汇总统计!$AC$2:$AC$500,0)),"")</f>
        <v/>
      </c>
      <c r="D489" s="8" t="str">
        <f>IFERROR(INDEX(样本到样信息汇总统计!D$2:D$500,MATCH(488,样本到样信息汇总统计!$AC$2:$AC$500,0)),"")</f>
        <v/>
      </c>
      <c r="E489" s="8" t="str">
        <f>IFERROR(INDEX(样本到样信息汇总统计!E$2:E$500,MATCH(488,样本到样信息汇总统计!$AC$2:$AC$500,0)),"")</f>
        <v/>
      </c>
      <c r="F489" s="8" t="str">
        <f>IFERROR(INDEX(样本到样信息汇总统计!F$2:F$500,MATCH(488,样本到样信息汇总统计!$AC$2:$AC$500,0)),"")</f>
        <v/>
      </c>
      <c r="G489" s="8" t="str">
        <f>IFERROR(INDEX(样本到样信息汇总统计!G$2:G$500,MATCH(488,样本到样信息汇总统计!$AC$2:$AC$500,0)),"")</f>
        <v/>
      </c>
      <c r="H489" s="8" t="str">
        <f>IFERROR(INDEX(样本到样信息汇总统计!H$2:H$500,MATCH(488,样本到样信息汇总统计!$AC$2:$AC$500,0)),"")</f>
        <v/>
      </c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 ht="21.75" customHeight="1" spans="1:24">
      <c r="A490" s="4" t="str">
        <f>IFERROR(INDEX(样本到样信息汇总统计!A$2:A$500,MATCH(489,样本到样信息汇总统计!$AC$2:$AC$500,0)),"")</f>
        <v/>
      </c>
      <c r="B490" s="4" t="str">
        <f>IFERROR(INDEX(样本到样信息汇总统计!B$2:B$500,MATCH(489,样本到样信息汇总统计!$AC$2:$AC$500,0)),"")</f>
        <v/>
      </c>
      <c r="C490" s="4" t="str">
        <f>IFERROR(INDEX(样本到样信息汇总统计!C$2:C$500,MATCH(489,样本到样信息汇总统计!$AC$2:$AC$500,0)),"")</f>
        <v/>
      </c>
      <c r="D490" s="4" t="str">
        <f>IFERROR(INDEX(样本到样信息汇总统计!D$2:D$500,MATCH(489,样本到样信息汇总统计!$AC$2:$AC$500,0)),"")</f>
        <v/>
      </c>
      <c r="E490" s="4" t="str">
        <f>IFERROR(INDEX(样本到样信息汇总统计!E$2:E$500,MATCH(489,样本到样信息汇总统计!$AC$2:$AC$500,0)),"")</f>
        <v/>
      </c>
      <c r="F490" s="4" t="str">
        <f>IFERROR(INDEX(样本到样信息汇总统计!F$2:F$500,MATCH(489,样本到样信息汇总统计!$AC$2:$AC$500,0)),"")</f>
        <v/>
      </c>
      <c r="G490" s="4" t="str">
        <f>IFERROR(INDEX(样本到样信息汇总统计!G$2:G$500,MATCH(489,样本到样信息汇总统计!$AC$2:$AC$500,0)),"")</f>
        <v/>
      </c>
      <c r="H490" s="4" t="str">
        <f>IFERROR(INDEX(样本到样信息汇总统计!H$2:H$500,MATCH(489,样本到样信息汇总统计!$AC$2:$AC$500,0)),"")</f>
        <v/>
      </c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ht="21.75" customHeight="1" spans="1:24">
      <c r="A491" s="8" t="str">
        <f>IFERROR(INDEX(样本到样信息汇总统计!A$2:A$500,MATCH(490,样本到样信息汇总统计!$AC$2:$AC$500,0)),"")</f>
        <v/>
      </c>
      <c r="B491" s="8" t="str">
        <f>IFERROR(INDEX(样本到样信息汇总统计!B$2:B$500,MATCH(490,样本到样信息汇总统计!$AC$2:$AC$500,0)),"")</f>
        <v/>
      </c>
      <c r="C491" s="8" t="str">
        <f>IFERROR(INDEX(样本到样信息汇总统计!C$2:C$500,MATCH(490,样本到样信息汇总统计!$AC$2:$AC$500,0)),"")</f>
        <v/>
      </c>
      <c r="D491" s="8" t="str">
        <f>IFERROR(INDEX(样本到样信息汇总统计!D$2:D$500,MATCH(490,样本到样信息汇总统计!$AC$2:$AC$500,0)),"")</f>
        <v/>
      </c>
      <c r="E491" s="8" t="str">
        <f>IFERROR(INDEX(样本到样信息汇总统计!E$2:E$500,MATCH(490,样本到样信息汇总统计!$AC$2:$AC$500,0)),"")</f>
        <v/>
      </c>
      <c r="F491" s="8" t="str">
        <f>IFERROR(INDEX(样本到样信息汇总统计!F$2:F$500,MATCH(490,样本到样信息汇总统计!$AC$2:$AC$500,0)),"")</f>
        <v/>
      </c>
      <c r="G491" s="8" t="str">
        <f>IFERROR(INDEX(样本到样信息汇总统计!G$2:G$500,MATCH(490,样本到样信息汇总统计!$AC$2:$AC$500,0)),"")</f>
        <v/>
      </c>
      <c r="H491" s="8" t="str">
        <f>IFERROR(INDEX(样本到样信息汇总统计!H$2:H$500,MATCH(490,样本到样信息汇总统计!$AC$2:$AC$500,0)),"")</f>
        <v/>
      </c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 ht="21.75" customHeight="1" spans="1:24">
      <c r="A492" s="4" t="str">
        <f>IFERROR(INDEX(样本到样信息汇总统计!A$2:A$500,MATCH(491,样本到样信息汇总统计!$AC$2:$AC$500,0)),"")</f>
        <v/>
      </c>
      <c r="B492" s="4" t="str">
        <f>IFERROR(INDEX(样本到样信息汇总统计!B$2:B$500,MATCH(491,样本到样信息汇总统计!$AC$2:$AC$500,0)),"")</f>
        <v/>
      </c>
      <c r="C492" s="4" t="str">
        <f>IFERROR(INDEX(样本到样信息汇总统计!C$2:C$500,MATCH(491,样本到样信息汇总统计!$AC$2:$AC$500,0)),"")</f>
        <v/>
      </c>
      <c r="D492" s="4" t="str">
        <f>IFERROR(INDEX(样本到样信息汇总统计!D$2:D$500,MATCH(491,样本到样信息汇总统计!$AC$2:$AC$500,0)),"")</f>
        <v/>
      </c>
      <c r="E492" s="4" t="str">
        <f>IFERROR(INDEX(样本到样信息汇总统计!E$2:E$500,MATCH(491,样本到样信息汇总统计!$AC$2:$AC$500,0)),"")</f>
        <v/>
      </c>
      <c r="F492" s="4" t="str">
        <f>IFERROR(INDEX(样本到样信息汇总统计!F$2:F$500,MATCH(491,样本到样信息汇总统计!$AC$2:$AC$500,0)),"")</f>
        <v/>
      </c>
      <c r="G492" s="4" t="str">
        <f>IFERROR(INDEX(样本到样信息汇总统计!G$2:G$500,MATCH(491,样本到样信息汇总统计!$AC$2:$AC$500,0)),"")</f>
        <v/>
      </c>
      <c r="H492" s="4" t="str">
        <f>IFERROR(INDEX(样本到样信息汇总统计!H$2:H$500,MATCH(491,样本到样信息汇总统计!$AC$2:$AC$500,0)),"")</f>
        <v/>
      </c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ht="21.75" customHeight="1" spans="1:24">
      <c r="A493" s="8" t="str">
        <f>IFERROR(INDEX(样本到样信息汇总统计!A$2:A$500,MATCH(492,样本到样信息汇总统计!$AC$2:$AC$500,0)),"")</f>
        <v/>
      </c>
      <c r="B493" s="8" t="str">
        <f>IFERROR(INDEX(样本到样信息汇总统计!B$2:B$500,MATCH(492,样本到样信息汇总统计!$AC$2:$AC$500,0)),"")</f>
        <v/>
      </c>
      <c r="C493" s="8" t="str">
        <f>IFERROR(INDEX(样本到样信息汇总统计!C$2:C$500,MATCH(492,样本到样信息汇总统计!$AC$2:$AC$500,0)),"")</f>
        <v/>
      </c>
      <c r="D493" s="8" t="str">
        <f>IFERROR(INDEX(样本到样信息汇总统计!D$2:D$500,MATCH(492,样本到样信息汇总统计!$AC$2:$AC$500,0)),"")</f>
        <v/>
      </c>
      <c r="E493" s="8" t="str">
        <f>IFERROR(INDEX(样本到样信息汇总统计!E$2:E$500,MATCH(492,样本到样信息汇总统计!$AC$2:$AC$500,0)),"")</f>
        <v/>
      </c>
      <c r="F493" s="8" t="str">
        <f>IFERROR(INDEX(样本到样信息汇总统计!F$2:F$500,MATCH(492,样本到样信息汇总统计!$AC$2:$AC$500,0)),"")</f>
        <v/>
      </c>
      <c r="G493" s="8" t="str">
        <f>IFERROR(INDEX(样本到样信息汇总统计!G$2:G$500,MATCH(492,样本到样信息汇总统计!$AC$2:$AC$500,0)),"")</f>
        <v/>
      </c>
      <c r="H493" s="8" t="str">
        <f>IFERROR(INDEX(样本到样信息汇总统计!H$2:H$500,MATCH(492,样本到样信息汇总统计!$AC$2:$AC$500,0)),"")</f>
        <v/>
      </c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 ht="21.75" customHeight="1" spans="1:24">
      <c r="A494" s="4" t="str">
        <f>IFERROR(INDEX(样本到样信息汇总统计!A$2:A$500,MATCH(493,样本到样信息汇总统计!$AC$2:$AC$500,0)),"")</f>
        <v/>
      </c>
      <c r="B494" s="4" t="str">
        <f>IFERROR(INDEX(样本到样信息汇总统计!B$2:B$500,MATCH(493,样本到样信息汇总统计!$AC$2:$AC$500,0)),"")</f>
        <v/>
      </c>
      <c r="C494" s="4" t="str">
        <f>IFERROR(INDEX(样本到样信息汇总统计!C$2:C$500,MATCH(493,样本到样信息汇总统计!$AC$2:$AC$500,0)),"")</f>
        <v/>
      </c>
      <c r="D494" s="4" t="str">
        <f>IFERROR(INDEX(样本到样信息汇总统计!D$2:D$500,MATCH(493,样本到样信息汇总统计!$AC$2:$AC$500,0)),"")</f>
        <v/>
      </c>
      <c r="E494" s="4" t="str">
        <f>IFERROR(INDEX(样本到样信息汇总统计!E$2:E$500,MATCH(493,样本到样信息汇总统计!$AC$2:$AC$500,0)),"")</f>
        <v/>
      </c>
      <c r="F494" s="4" t="str">
        <f>IFERROR(INDEX(样本到样信息汇总统计!F$2:F$500,MATCH(493,样本到样信息汇总统计!$AC$2:$AC$500,0)),"")</f>
        <v/>
      </c>
      <c r="G494" s="4" t="str">
        <f>IFERROR(INDEX(样本到样信息汇总统计!G$2:G$500,MATCH(493,样本到样信息汇总统计!$AC$2:$AC$500,0)),"")</f>
        <v/>
      </c>
      <c r="H494" s="4" t="str">
        <f>IFERROR(INDEX(样本到样信息汇总统计!H$2:H$500,MATCH(493,样本到样信息汇总统计!$AC$2:$AC$500,0)),"")</f>
        <v/>
      </c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ht="21.75" customHeight="1" spans="1:24">
      <c r="A495" s="8" t="str">
        <f>IFERROR(INDEX(样本到样信息汇总统计!A$2:A$500,MATCH(494,样本到样信息汇总统计!$AC$2:$AC$500,0)),"")</f>
        <v/>
      </c>
      <c r="B495" s="8" t="str">
        <f>IFERROR(INDEX(样本到样信息汇总统计!B$2:B$500,MATCH(494,样本到样信息汇总统计!$AC$2:$AC$500,0)),"")</f>
        <v/>
      </c>
      <c r="C495" s="8" t="str">
        <f>IFERROR(INDEX(样本到样信息汇总统计!C$2:C$500,MATCH(494,样本到样信息汇总统计!$AC$2:$AC$500,0)),"")</f>
        <v/>
      </c>
      <c r="D495" s="8" t="str">
        <f>IFERROR(INDEX(样本到样信息汇总统计!D$2:D$500,MATCH(494,样本到样信息汇总统计!$AC$2:$AC$500,0)),"")</f>
        <v/>
      </c>
      <c r="E495" s="8" t="str">
        <f>IFERROR(INDEX(样本到样信息汇总统计!E$2:E$500,MATCH(494,样本到样信息汇总统计!$AC$2:$AC$500,0)),"")</f>
        <v/>
      </c>
      <c r="F495" s="8" t="str">
        <f>IFERROR(INDEX(样本到样信息汇总统计!F$2:F$500,MATCH(494,样本到样信息汇总统计!$AC$2:$AC$500,0)),"")</f>
        <v/>
      </c>
      <c r="G495" s="8" t="str">
        <f>IFERROR(INDEX(样本到样信息汇总统计!G$2:G$500,MATCH(494,样本到样信息汇总统计!$AC$2:$AC$500,0)),"")</f>
        <v/>
      </c>
      <c r="H495" s="8" t="str">
        <f>IFERROR(INDEX(样本到样信息汇总统计!H$2:H$500,MATCH(494,样本到样信息汇总统计!$AC$2:$AC$500,0)),"")</f>
        <v/>
      </c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 ht="21.75" customHeight="1" spans="1:24">
      <c r="A496" s="4" t="str">
        <f>IFERROR(INDEX(样本到样信息汇总统计!A$2:A$500,MATCH(495,样本到样信息汇总统计!$AC$2:$AC$500,0)),"")</f>
        <v/>
      </c>
      <c r="B496" s="4" t="str">
        <f>IFERROR(INDEX(样本到样信息汇总统计!B$2:B$500,MATCH(495,样本到样信息汇总统计!$AC$2:$AC$500,0)),"")</f>
        <v/>
      </c>
      <c r="C496" s="4" t="str">
        <f>IFERROR(INDEX(样本到样信息汇总统计!C$2:C$500,MATCH(495,样本到样信息汇总统计!$AC$2:$AC$500,0)),"")</f>
        <v/>
      </c>
      <c r="D496" s="4" t="str">
        <f>IFERROR(INDEX(样本到样信息汇总统计!D$2:D$500,MATCH(495,样本到样信息汇总统计!$AC$2:$AC$500,0)),"")</f>
        <v/>
      </c>
      <c r="E496" s="4" t="str">
        <f>IFERROR(INDEX(样本到样信息汇总统计!E$2:E$500,MATCH(495,样本到样信息汇总统计!$AC$2:$AC$500,0)),"")</f>
        <v/>
      </c>
      <c r="F496" s="4" t="str">
        <f>IFERROR(INDEX(样本到样信息汇总统计!F$2:F$500,MATCH(495,样本到样信息汇总统计!$AC$2:$AC$500,0)),"")</f>
        <v/>
      </c>
      <c r="G496" s="4" t="str">
        <f>IFERROR(INDEX(样本到样信息汇总统计!G$2:G$500,MATCH(495,样本到样信息汇总统计!$AC$2:$AC$500,0)),"")</f>
        <v/>
      </c>
      <c r="H496" s="4" t="str">
        <f>IFERROR(INDEX(样本到样信息汇总统计!H$2:H$500,MATCH(495,样本到样信息汇总统计!$AC$2:$AC$500,0)),"")</f>
        <v/>
      </c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ht="21.75" customHeight="1" spans="1:24">
      <c r="A497" s="8" t="str">
        <f>IFERROR(INDEX(样本到样信息汇总统计!A$2:A$500,MATCH(496,样本到样信息汇总统计!$AC$2:$AC$500,0)),"")</f>
        <v/>
      </c>
      <c r="B497" s="8" t="str">
        <f>IFERROR(INDEX(样本到样信息汇总统计!B$2:B$500,MATCH(496,样本到样信息汇总统计!$AC$2:$AC$500,0)),"")</f>
        <v/>
      </c>
      <c r="C497" s="8" t="str">
        <f>IFERROR(INDEX(样本到样信息汇总统计!C$2:C$500,MATCH(496,样本到样信息汇总统计!$AC$2:$AC$500,0)),"")</f>
        <v/>
      </c>
      <c r="D497" s="8" t="str">
        <f>IFERROR(INDEX(样本到样信息汇总统计!D$2:D$500,MATCH(496,样本到样信息汇总统计!$AC$2:$AC$500,0)),"")</f>
        <v/>
      </c>
      <c r="E497" s="8" t="str">
        <f>IFERROR(INDEX(样本到样信息汇总统计!E$2:E$500,MATCH(496,样本到样信息汇总统计!$AC$2:$AC$500,0)),"")</f>
        <v/>
      </c>
      <c r="F497" s="8" t="str">
        <f>IFERROR(INDEX(样本到样信息汇总统计!F$2:F$500,MATCH(496,样本到样信息汇总统计!$AC$2:$AC$500,0)),"")</f>
        <v/>
      </c>
      <c r="G497" s="8" t="str">
        <f>IFERROR(INDEX(样本到样信息汇总统计!G$2:G$500,MATCH(496,样本到样信息汇总统计!$AC$2:$AC$500,0)),"")</f>
        <v/>
      </c>
      <c r="H497" s="8" t="str">
        <f>IFERROR(INDEX(样本到样信息汇总统计!H$2:H$500,MATCH(496,样本到样信息汇总统计!$AC$2:$AC$500,0)),"")</f>
        <v/>
      </c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 ht="21.75" customHeight="1" spans="1:24">
      <c r="A498" s="4" t="str">
        <f>IFERROR(INDEX(样本到样信息汇总统计!A$2:A$500,MATCH(497,样本到样信息汇总统计!$AC$2:$AC$500,0)),"")</f>
        <v/>
      </c>
      <c r="B498" s="4" t="str">
        <f>IFERROR(INDEX(样本到样信息汇总统计!B$2:B$500,MATCH(497,样本到样信息汇总统计!$AC$2:$AC$500,0)),"")</f>
        <v/>
      </c>
      <c r="C498" s="4" t="str">
        <f>IFERROR(INDEX(样本到样信息汇总统计!C$2:C$500,MATCH(497,样本到样信息汇总统计!$AC$2:$AC$500,0)),"")</f>
        <v/>
      </c>
      <c r="D498" s="4" t="str">
        <f>IFERROR(INDEX(样本到样信息汇总统计!D$2:D$500,MATCH(497,样本到样信息汇总统计!$AC$2:$AC$500,0)),"")</f>
        <v/>
      </c>
      <c r="E498" s="4" t="str">
        <f>IFERROR(INDEX(样本到样信息汇总统计!E$2:E$500,MATCH(497,样本到样信息汇总统计!$AC$2:$AC$500,0)),"")</f>
        <v/>
      </c>
      <c r="F498" s="4" t="str">
        <f>IFERROR(INDEX(样本到样信息汇总统计!F$2:F$500,MATCH(497,样本到样信息汇总统计!$AC$2:$AC$500,0)),"")</f>
        <v/>
      </c>
      <c r="G498" s="4" t="str">
        <f>IFERROR(INDEX(样本到样信息汇总统计!G$2:G$500,MATCH(497,样本到样信息汇总统计!$AC$2:$AC$500,0)),"")</f>
        <v/>
      </c>
      <c r="H498" s="4" t="str">
        <f>IFERROR(INDEX(样本到样信息汇总统计!H$2:H$500,MATCH(497,样本到样信息汇总统计!$AC$2:$AC$500,0)),"")</f>
        <v/>
      </c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ht="21.75" customHeight="1" spans="1:24">
      <c r="A499" s="8" t="str">
        <f>IFERROR(INDEX(样本到样信息汇总统计!A$2:A$500,MATCH(498,样本到样信息汇总统计!$AC$2:$AC$500,0)),"")</f>
        <v/>
      </c>
      <c r="B499" s="8" t="str">
        <f>IFERROR(INDEX(样本到样信息汇总统计!B$2:B$500,MATCH(498,样本到样信息汇总统计!$AC$2:$AC$500,0)),"")</f>
        <v/>
      </c>
      <c r="C499" s="8" t="str">
        <f>IFERROR(INDEX(样本到样信息汇总统计!C$2:C$500,MATCH(498,样本到样信息汇总统计!$AC$2:$AC$500,0)),"")</f>
        <v/>
      </c>
      <c r="D499" s="8" t="str">
        <f>IFERROR(INDEX(样本到样信息汇总统计!D$2:D$500,MATCH(498,样本到样信息汇总统计!$AC$2:$AC$500,0)),"")</f>
        <v/>
      </c>
      <c r="E499" s="8" t="str">
        <f>IFERROR(INDEX(样本到样信息汇总统计!E$2:E$500,MATCH(498,样本到样信息汇总统计!$AC$2:$AC$500,0)),"")</f>
        <v/>
      </c>
      <c r="F499" s="8" t="str">
        <f>IFERROR(INDEX(样本到样信息汇总统计!F$2:F$500,MATCH(498,样本到样信息汇总统计!$AC$2:$AC$500,0)),"")</f>
        <v/>
      </c>
      <c r="G499" s="8" t="str">
        <f>IFERROR(INDEX(样本到样信息汇总统计!G$2:G$500,MATCH(498,样本到样信息汇总统计!$AC$2:$AC$500,0)),"")</f>
        <v/>
      </c>
      <c r="H499" s="8" t="str">
        <f>IFERROR(INDEX(样本到样信息汇总统计!H$2:H$500,MATCH(498,样本到样信息汇总统计!$AC$2:$AC$500,0)),"")</f>
        <v/>
      </c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 ht="21.75" customHeight="1" spans="1:24">
      <c r="A500" s="4" t="str">
        <f>IFERROR(INDEX(样本到样信息汇总统计!A$2:A$500,MATCH(499,样本到样信息汇总统计!$AC$2:$AC$500,0)),"")</f>
        <v/>
      </c>
      <c r="B500" s="4" t="str">
        <f>IFERROR(INDEX(样本到样信息汇总统计!B$2:B$500,MATCH(499,样本到样信息汇总统计!$AC$2:$AC$500,0)),"")</f>
        <v/>
      </c>
      <c r="C500" s="4" t="str">
        <f>IFERROR(INDEX(样本到样信息汇总统计!C$2:C$500,MATCH(499,样本到样信息汇总统计!$AC$2:$AC$500,0)),"")</f>
        <v/>
      </c>
      <c r="D500" s="4" t="str">
        <f>IFERROR(INDEX(样本到样信息汇总统计!D$2:D$500,MATCH(499,样本到样信息汇总统计!$AC$2:$AC$500,0)),"")</f>
        <v/>
      </c>
      <c r="E500" s="4" t="str">
        <f>IFERROR(INDEX(样本到样信息汇总统计!E$2:E$500,MATCH(499,样本到样信息汇总统计!$AC$2:$AC$500,0)),"")</f>
        <v/>
      </c>
      <c r="F500" s="4" t="str">
        <f>IFERROR(INDEX(样本到样信息汇总统计!F$2:F$500,MATCH(499,样本到样信息汇总统计!$AC$2:$AC$500,0)),"")</f>
        <v/>
      </c>
      <c r="G500" s="4" t="str">
        <f>IFERROR(INDEX(样本到样信息汇总统计!G$2:G$500,MATCH(499,样本到样信息汇总统计!$AC$2:$AC$500,0)),"")</f>
        <v/>
      </c>
      <c r="H500" s="4" t="str">
        <f>IFERROR(INDEX(样本到样信息汇总统计!H$2:H$500,MATCH(499,样本到样信息汇总统计!$AC$2:$AC$500,0)),"")</f>
        <v/>
      </c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</sheetData>
  <dataValidations count="3">
    <dataValidation type="list" allowBlank="1" sqref="K2:K500">
      <formula1>"顺丰速运,生生物流,其他"</formula1>
    </dataValidation>
    <dataValidation type="list" allowBlank="1" sqref="M2:M500">
      <formula1>"我方下单,客户自寄"</formula1>
    </dataValidation>
    <dataValidation type="list" allowBlank="1" sqref="Q2:Q500">
      <formula1>"运输中,已签收"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LibreOffice/7.4.7.2$Linux_X86_64 LibreOffice_project/40$Build-2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样本到样信息汇总统计</vt:lpstr>
      <vt:lpstr>紧急项目列表</vt:lpstr>
      <vt:lpstr>未进行项目</vt:lpstr>
      <vt:lpstr>进行中项目</vt:lpstr>
      <vt:lpstr>已完成项目</vt:lpstr>
      <vt:lpstr>样本物流寄送统计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琳琳</cp:lastModifiedBy>
  <cp:revision>0</cp:revision>
  <dcterms:created xsi:type="dcterms:W3CDTF">2026-05-26T07:35:00Z</dcterms:created>
  <dcterms:modified xsi:type="dcterms:W3CDTF">2026-05-28T05:09:06Z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10EC614E5D4B495BB13F98F0B409D52E_13</vt:lpwstr>
  </property>
  <property fmtid="{D5CDD505-2E9C-101B-9397-08002B2CF9AE}" pid="4" name="KSOProductBuildVer">
    <vt:lpwstr>2052-12.1.0.26375</vt:lpwstr>
  </property>
</Properties>
</file>